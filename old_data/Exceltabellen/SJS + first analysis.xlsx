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autoCompressPictures="0"/>
  <mc:AlternateContent xmlns:mc="http://schemas.openxmlformats.org/markup-compatibility/2006">
    <mc:Choice Requires="x15">
      <x15ac:absPath xmlns:x15ac="http://schemas.microsoft.com/office/spreadsheetml/2010/11/ac" url="F:\Record\Text\Zahnmedizin\Doktorarbeit SJS\Exceltabellen\"/>
    </mc:Choice>
  </mc:AlternateContent>
  <xr:revisionPtr revIDLastSave="0" documentId="13_ncr:1_{9CE175BB-2BB1-4FA1-AC22-2EB0FD26DA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base" sheetId="1" r:id="rId1"/>
    <sheet name="interim analysis" sheetId="2" r:id="rId2"/>
    <sheet name="Tabelle1" sheetId="3" r:id="rId3"/>
  </sheets>
  <definedNames>
    <definedName name="_xlnm._FilterDatabase" localSheetId="1" hidden="1">'interim analysis'!$O$1:$P$464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NX2" i="1" l="1"/>
  <c r="OE2" i="1"/>
  <c r="OL2" i="1"/>
  <c r="OS2" i="1"/>
  <c r="OZ2" i="1"/>
  <c r="PG2" i="1"/>
  <c r="PN2" i="1"/>
  <c r="PU2" i="1"/>
  <c r="QB2" i="1"/>
  <c r="QI2" i="1"/>
  <c r="QP2" i="1"/>
  <c r="QW2" i="1"/>
  <c r="RD2" i="1"/>
  <c r="RK2" i="1"/>
  <c r="RR2" i="1"/>
  <c r="RY2" i="1"/>
  <c r="SF2" i="1"/>
  <c r="SM2" i="1"/>
  <c r="ST2" i="1"/>
  <c r="TA2" i="1"/>
  <c r="TH2" i="1"/>
  <c r="TO2" i="1"/>
  <c r="TV2" i="1"/>
  <c r="UC2" i="1"/>
  <c r="UJ2" i="1"/>
  <c r="UQ2" i="1"/>
  <c r="UX2" i="1"/>
  <c r="VE2" i="1"/>
  <c r="VL2" i="1"/>
  <c r="VS2" i="1"/>
  <c r="VZ2" i="1"/>
  <c r="WG2" i="1"/>
  <c r="WN2" i="1"/>
  <c r="WU2" i="1"/>
  <c r="XB2" i="1"/>
  <c r="XI2" i="1"/>
  <c r="XP2" i="1"/>
  <c r="XW2" i="1"/>
  <c r="YD2" i="1"/>
  <c r="YK2" i="1"/>
  <c r="YR2" i="1"/>
  <c r="YY2" i="1"/>
  <c r="ZF2" i="1"/>
  <c r="ZM2" i="1"/>
  <c r="ZT2" i="1"/>
  <c r="AAA2" i="1"/>
  <c r="AAH2" i="1"/>
  <c r="AAO2" i="1"/>
  <c r="AAV2" i="1"/>
  <c r="ABC2" i="1"/>
  <c r="ABJ2" i="1"/>
  <c r="ABQ2" i="1"/>
  <c r="ABX2" i="1"/>
  <c r="ACE2" i="1"/>
  <c r="ACL2" i="1"/>
  <c r="ACS2" i="1"/>
  <c r="NQ2" i="1"/>
  <c r="NJ2" i="1"/>
  <c r="NC2" i="1"/>
  <c r="MV2" i="1"/>
  <c r="MO2" i="1"/>
  <c r="MH2" i="1"/>
  <c r="LZ2" i="1"/>
  <c r="LS2" i="1"/>
  <c r="LL2" i="1"/>
  <c r="LK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Q2" i="1"/>
  <c r="M1" i="1"/>
  <c r="I1" i="1"/>
  <c r="C526" i="1"/>
  <c r="R3" i="2" s="1"/>
  <c r="E527" i="1"/>
  <c r="B5" i="2" s="1"/>
  <c r="E528" i="1"/>
  <c r="B6" i="2" s="1"/>
  <c r="E526" i="1"/>
  <c r="B4" i="2" s="1"/>
  <c r="G528" i="1"/>
  <c r="J6" i="2" s="1"/>
  <c r="G527" i="1"/>
  <c r="J5" i="2" s="1"/>
  <c r="G526" i="1"/>
  <c r="J4" i="2" s="1"/>
  <c r="B2" i="1"/>
  <c r="B7" i="2" l="1"/>
  <c r="J7" i="2"/>
</calcChain>
</file>

<file path=xl/sharedStrings.xml><?xml version="1.0" encoding="utf-8"?>
<sst xmlns="http://schemas.openxmlformats.org/spreadsheetml/2006/main" count="8097" uniqueCount="4261">
  <si>
    <t>1Df/d</t>
    <phoneticPr fontId="1" type="noConversion"/>
  </si>
  <si>
    <t>20mg/d</t>
    <phoneticPr fontId="1" type="noConversion"/>
  </si>
  <si>
    <t>1/d</t>
    <phoneticPr fontId="1" type="noConversion"/>
  </si>
  <si>
    <t>NARRATIVE -&gt; exact dates; diclofenac one of the suspect drugs, unklare Daten</t>
    <phoneticPr fontId="1" type="noConversion"/>
  </si>
  <si>
    <t>diazepam</t>
    <phoneticPr fontId="1" type="noConversion"/>
  </si>
  <si>
    <t>SJS</t>
  </si>
  <si>
    <t>TEN</t>
  </si>
  <si>
    <t>dermatitis allergic</t>
  </si>
  <si>
    <t>eczema asteatotic</t>
  </si>
  <si>
    <t>spinal osteoarthritis</t>
  </si>
  <si>
    <t>medication error</t>
  </si>
  <si>
    <t>embolism arterial</t>
  </si>
  <si>
    <t>glaucoma</t>
  </si>
  <si>
    <t>hypokinesia</t>
  </si>
  <si>
    <t>rash exfoliativ</t>
  </si>
  <si>
    <t>Ampho-Moronal</t>
    <phoneticPr fontId="1" type="noConversion"/>
  </si>
  <si>
    <t>GRAFIK  (weitere Medikamente)</t>
    <phoneticPr fontId="1" type="noConversion"/>
  </si>
  <si>
    <t>GRAFIK  (weitere Mediakamente)</t>
    <phoneticPr fontId="1" type="noConversion"/>
  </si>
  <si>
    <t>Soventol (bamipine hyrochloride)</t>
    <phoneticPr fontId="1" type="noConversion"/>
  </si>
  <si>
    <t>levofloxacin</t>
    <phoneticPr fontId="1" type="noConversion"/>
  </si>
  <si>
    <t>fenistil(oral)</t>
    <phoneticPr fontId="1" type="noConversion"/>
  </si>
  <si>
    <t>300mg</t>
    <phoneticPr fontId="1" type="noConversion"/>
  </si>
  <si>
    <t>tavegil i.v. (clemastine)</t>
    <phoneticPr fontId="1" type="noConversion"/>
  </si>
  <si>
    <t>cetirizin p.o.</t>
    <phoneticPr fontId="1" type="noConversion"/>
  </si>
  <si>
    <t>Solu-Decortin H i.v ( prednisolon)</t>
    <phoneticPr fontId="1" type="noConversion"/>
  </si>
  <si>
    <t>renitidine i.e.</t>
    <phoneticPr fontId="1" type="noConversion"/>
  </si>
  <si>
    <t>Linolacort topically (betamethasone)</t>
    <phoneticPr fontId="1" type="noConversion"/>
  </si>
  <si>
    <t>foot pain, Lip swelling, gout acute, common cold</t>
    <phoneticPr fontId="1" type="noConversion"/>
  </si>
  <si>
    <t>1Df/d</t>
    <phoneticPr fontId="1" type="noConversion"/>
  </si>
  <si>
    <t>600mg/d</t>
    <phoneticPr fontId="1" type="noConversion"/>
  </si>
  <si>
    <t>paracetamol</t>
    <phoneticPr fontId="1" type="noConversion"/>
  </si>
  <si>
    <t>paractamol</t>
    <phoneticPr fontId="1" type="noConversion"/>
  </si>
  <si>
    <t>unspecified pain</t>
    <phoneticPr fontId="1" type="noConversion"/>
  </si>
  <si>
    <t>NARRATIVE -&gt; exact dates; diclofenac one of the suspect drugs; availabe information are consideres inadequate to fully acess the case</t>
    <phoneticPr fontId="1" type="noConversion"/>
  </si>
  <si>
    <t>prednisolone</t>
    <phoneticPr fontId="1" type="noConversion"/>
  </si>
  <si>
    <t>12055703, 12061933, 12097414 &amp; 12098703, 12116455  sehr ähnlich!! Inadequate information; NARRATIVE  -&gt; diclofenac one of the suspect drugs</t>
    <phoneticPr fontId="1" type="noConversion"/>
  </si>
  <si>
    <t>literature report from british journal of dermatology ; biopsy, histology; sehr ähnlich mit 12116455</t>
    <phoneticPr fontId="1" type="noConversion"/>
  </si>
  <si>
    <t>age</t>
    <phoneticPr fontId="1" type="noConversion"/>
  </si>
  <si>
    <t>sex</t>
    <phoneticPr fontId="1" type="noConversion"/>
  </si>
  <si>
    <t>death</t>
    <phoneticPr fontId="1" type="noConversion"/>
  </si>
  <si>
    <t>alphabetisch</t>
    <phoneticPr fontId="1" type="noConversion"/>
  </si>
  <si>
    <t>nach Häufigkeit, dann alphabetisch</t>
    <phoneticPr fontId="1" type="noConversion"/>
  </si>
  <si>
    <t>TEN + onset, duration, TtO</t>
    <phoneticPr fontId="1" type="noConversion"/>
  </si>
  <si>
    <t>steven johnson + onset, duration, TtO</t>
    <phoneticPr fontId="1" type="noConversion"/>
  </si>
  <si>
    <t>laboratory</t>
    <phoneticPr fontId="1" type="noConversion"/>
  </si>
  <si>
    <t>prednisone</t>
    <phoneticPr fontId="1" type="noConversion"/>
  </si>
  <si>
    <t>prednisone</t>
    <phoneticPr fontId="1" type="noConversion"/>
  </si>
  <si>
    <t>lupus erythematosus</t>
    <phoneticPr fontId="1" type="noConversion"/>
  </si>
  <si>
    <t>ANA</t>
    <phoneticPr fontId="1" type="noConversion"/>
  </si>
  <si>
    <t>Histone antibody</t>
    <phoneticPr fontId="1" type="noConversion"/>
  </si>
  <si>
    <t>direct immunofluorescence</t>
    <phoneticPr fontId="1" type="noConversion"/>
  </si>
  <si>
    <t>Anti-Ro antibody</t>
    <phoneticPr fontId="1" type="noConversion"/>
  </si>
  <si>
    <t>Anti-La antibody</t>
    <phoneticPr fontId="1" type="noConversion"/>
  </si>
  <si>
    <t>Anti dsDNA antibody</t>
    <phoneticPr fontId="1" type="noConversion"/>
  </si>
  <si>
    <t>1:1280</t>
    <phoneticPr fontId="1" type="noConversion"/>
  </si>
  <si>
    <t>fibrin-band like</t>
    <phoneticPr fontId="1" type="noConversion"/>
  </si>
  <si>
    <t>pos</t>
    <phoneticPr fontId="1" type="noConversion"/>
  </si>
  <si>
    <t>12 courses cyclophosphamine</t>
    <phoneticPr fontId="1" type="noConversion"/>
  </si>
  <si>
    <t>skin lesion NOS, lupus erythematosus, polyseroitis, 6 weeks before erythema after sun exporsure</t>
    <phoneticPr fontId="1" type="noConversion"/>
  </si>
  <si>
    <t>literature report, NARRATIVE -&gt; dates; diclofenac one of the suspect drugs</t>
    <phoneticPr fontId="1" type="noConversion"/>
  </si>
  <si>
    <t>immunosuppressant drug therapy</t>
    <phoneticPr fontId="1" type="noConversion"/>
  </si>
  <si>
    <t>NARRATIVE -&gt; exact dates; diclofenac THE suspected drug; autopsy</t>
    <phoneticPr fontId="1" type="noConversion"/>
  </si>
  <si>
    <t>lercanidipine</t>
    <phoneticPr fontId="1" type="noConversion"/>
  </si>
  <si>
    <t>20mg/d</t>
    <phoneticPr fontId="1" type="noConversion"/>
  </si>
  <si>
    <t>30Gtt/d</t>
    <phoneticPr fontId="1" type="noConversion"/>
  </si>
  <si>
    <t>2,5mg/d</t>
    <phoneticPr fontId="1" type="noConversion"/>
  </si>
  <si>
    <t>20mg/d</t>
    <phoneticPr fontId="1" type="noConversion"/>
  </si>
  <si>
    <t>45Gtt/d</t>
    <phoneticPr fontId="1" type="noConversion"/>
  </si>
  <si>
    <t>1,5mg/d</t>
    <phoneticPr fontId="1" type="noConversion"/>
  </si>
  <si>
    <t>5mg/d</t>
    <phoneticPr fontId="1" type="noConversion"/>
  </si>
  <si>
    <t>epilepsy</t>
    <phoneticPr fontId="1" type="noConversion"/>
  </si>
  <si>
    <t>8d</t>
    <phoneticPr fontId="1" type="noConversion"/>
  </si>
  <si>
    <t>ACC</t>
    <phoneticPr fontId="1" type="noConversion"/>
  </si>
  <si>
    <t>acetylcysteine</t>
    <phoneticPr fontId="1" type="noConversion"/>
  </si>
  <si>
    <t>500g/d</t>
    <phoneticPr fontId="1" type="noConversion"/>
  </si>
  <si>
    <t>fever</t>
    <phoneticPr fontId="1" type="noConversion"/>
  </si>
  <si>
    <t>valproic acid</t>
    <phoneticPr fontId="1" type="noConversion"/>
  </si>
  <si>
    <t>valproic acid</t>
    <phoneticPr fontId="1" type="noConversion"/>
  </si>
  <si>
    <t>150mg/d</t>
    <phoneticPr fontId="1" type="noConversion"/>
  </si>
  <si>
    <t>epilepsy</t>
    <phoneticPr fontId="1" type="noConversion"/>
  </si>
  <si>
    <t>Tavanic</t>
    <phoneticPr fontId="1" type="noConversion"/>
  </si>
  <si>
    <t>Chronic obstructive airways disease exacerbated</t>
    <phoneticPr fontId="1" type="noConversion"/>
  </si>
  <si>
    <t>surgery</t>
    <phoneticPr fontId="1" type="noConversion"/>
  </si>
  <si>
    <t>diuresis</t>
    <phoneticPr fontId="1" type="noConversion"/>
  </si>
  <si>
    <t>lasix</t>
    <phoneticPr fontId="1" type="noConversion"/>
  </si>
  <si>
    <t>furosemide</t>
    <phoneticPr fontId="1" type="noConversion"/>
  </si>
  <si>
    <t>cardiomyopathy; Diuretika, Antihypertonika Kombi</t>
    <phoneticPr fontId="1" type="noConversion"/>
  </si>
  <si>
    <t>COPD; Inhalatives Glucocorticoid,  Antihistaminika Kombi</t>
    <phoneticPr fontId="1" type="noConversion"/>
  </si>
  <si>
    <t>electrolyte substitution therapy</t>
    <phoneticPr fontId="1" type="noConversion"/>
  </si>
  <si>
    <t>potassium replacement</t>
    <phoneticPr fontId="1" type="noConversion"/>
  </si>
  <si>
    <t>dry eye</t>
    <phoneticPr fontId="1" type="noConversion"/>
  </si>
  <si>
    <t>eye dryness</t>
    <phoneticPr fontId="1" type="noConversion"/>
  </si>
  <si>
    <t>NARRATIVE -&gt; dates; diclofenac  suspect drugs; information inadequate</t>
    <phoneticPr fontId="1" type="noConversion"/>
  </si>
  <si>
    <t>30mg</t>
    <phoneticPr fontId="1" type="noConversion"/>
  </si>
  <si>
    <t>1Df/d</t>
    <phoneticPr fontId="1" type="noConversion"/>
  </si>
  <si>
    <t>900mg/d</t>
    <phoneticPr fontId="1" type="noConversion"/>
  </si>
  <si>
    <t>0,06mg/d</t>
    <phoneticPr fontId="1" type="noConversion"/>
  </si>
  <si>
    <t>100mg/d</t>
    <phoneticPr fontId="1" type="noConversion"/>
  </si>
  <si>
    <t>3Df/d</t>
    <phoneticPr fontId="1" type="noConversion"/>
  </si>
  <si>
    <t>10d</t>
    <phoneticPr fontId="1" type="noConversion"/>
  </si>
  <si>
    <t>1500mg/d</t>
    <phoneticPr fontId="1" type="noConversion"/>
  </si>
  <si>
    <t>5g/d</t>
    <phoneticPr fontId="1" type="noConversion"/>
  </si>
  <si>
    <t>pain</t>
    <phoneticPr fontId="1" type="noConversion"/>
  </si>
  <si>
    <t>5d</t>
    <phoneticPr fontId="1" type="noConversion"/>
  </si>
  <si>
    <t>substitution</t>
    <phoneticPr fontId="1" type="noConversion"/>
  </si>
  <si>
    <t>250mg/d</t>
    <phoneticPr fontId="1" type="noConversion"/>
  </si>
  <si>
    <t>narcosis</t>
    <phoneticPr fontId="1" type="noConversion"/>
  </si>
  <si>
    <t>2d</t>
    <phoneticPr fontId="1" type="noConversion"/>
  </si>
  <si>
    <t>3d</t>
    <phoneticPr fontId="1" type="noConversion"/>
  </si>
  <si>
    <t>nutrition</t>
    <phoneticPr fontId="1" type="noConversion"/>
  </si>
  <si>
    <t>diuresis</t>
    <phoneticPr fontId="1" type="noConversion"/>
  </si>
  <si>
    <t>5d</t>
    <phoneticPr fontId="1" type="noConversion"/>
  </si>
  <si>
    <t>6d</t>
    <phoneticPr fontId="1" type="noConversion"/>
  </si>
  <si>
    <t>6d</t>
    <phoneticPr fontId="1" type="noConversion"/>
  </si>
  <si>
    <t>substitution</t>
    <phoneticPr fontId="1" type="noConversion"/>
  </si>
  <si>
    <t>6d</t>
    <phoneticPr fontId="1" type="noConversion"/>
  </si>
  <si>
    <t>1d</t>
    <phoneticPr fontId="1" type="noConversion"/>
  </si>
  <si>
    <t>10Df/d</t>
    <phoneticPr fontId="1" type="noConversion"/>
  </si>
  <si>
    <t>10Df/d</t>
    <phoneticPr fontId="1" type="noConversion"/>
  </si>
  <si>
    <t>constipation</t>
    <phoneticPr fontId="1" type="noConversion"/>
  </si>
  <si>
    <t>20mg/d</t>
    <phoneticPr fontId="1" type="noConversion"/>
  </si>
  <si>
    <t>2d</t>
    <phoneticPr fontId="1" type="noConversion"/>
  </si>
  <si>
    <t>7d</t>
    <phoneticPr fontId="1" type="noConversion"/>
  </si>
  <si>
    <t>1d</t>
    <phoneticPr fontId="1" type="noConversion"/>
  </si>
  <si>
    <t>sedation</t>
    <phoneticPr fontId="1" type="noConversion"/>
  </si>
  <si>
    <t>2d</t>
    <phoneticPr fontId="1" type="noConversion"/>
  </si>
  <si>
    <t>substitution; Abführmittel, Nahrungsmittelergänzung</t>
    <phoneticPr fontId="1" type="noConversion"/>
  </si>
  <si>
    <t>NARRATIVE -&gt; exact dates; diclofenac one of the suspect drugs; polymedicated (96 medications)</t>
    <phoneticPr fontId="1" type="noConversion"/>
  </si>
  <si>
    <t>NARRATIVE -&gt; exact dates; diclofenac one of the suspect drugs; polymedicated (79 medications) !!! identisch mit 10039872, soll aus der Datenbank genommen werden !!!</t>
    <phoneticPr fontId="1" type="noConversion"/>
  </si>
  <si>
    <t>cetirizin</t>
    <phoneticPr fontId="1" type="noConversion"/>
  </si>
  <si>
    <t>fenistil</t>
    <phoneticPr fontId="1" type="noConversion"/>
  </si>
  <si>
    <t>2Df/d</t>
    <phoneticPr fontId="1" type="noConversion"/>
  </si>
  <si>
    <t>erythema</t>
    <phoneticPr fontId="1" type="noConversion"/>
  </si>
  <si>
    <t>hepatic encephalopathy prophylaxis; Abführmittel</t>
    <phoneticPr fontId="1" type="noConversion"/>
  </si>
  <si>
    <t>septic shock with multiorgan failure</t>
    <phoneticPr fontId="1" type="noConversion"/>
  </si>
  <si>
    <t>arthrosis</t>
    <phoneticPr fontId="1" type="noConversion"/>
  </si>
  <si>
    <t>Sofratull</t>
    <phoneticPr fontId="1" type="noConversion"/>
  </si>
  <si>
    <t>Bephanten</t>
    <phoneticPr fontId="1" type="noConversion"/>
  </si>
  <si>
    <t>antiseptic and anaesthethic mouth rinsings</t>
    <phoneticPr fontId="1" type="noConversion"/>
  </si>
  <si>
    <t>dexpanthenol</t>
    <phoneticPr fontId="1" type="noConversion"/>
  </si>
  <si>
    <t>u</t>
    <phoneticPr fontId="1" type="noConversion"/>
  </si>
  <si>
    <t>26d</t>
    <phoneticPr fontId="1" type="noConversion"/>
  </si>
  <si>
    <t>ephelides/freckles</t>
    <phoneticPr fontId="1" type="noConversion"/>
  </si>
  <si>
    <t>10mg</t>
    <phoneticPr fontId="1" type="noConversion"/>
  </si>
  <si>
    <t>62,5mg</t>
    <phoneticPr fontId="1" type="noConversion"/>
  </si>
  <si>
    <t xml:space="preserve"> </t>
    <phoneticPr fontId="1" type="noConversion"/>
  </si>
  <si>
    <t>TEN</t>
    <phoneticPr fontId="1" type="noConversion"/>
  </si>
  <si>
    <t>nausea, dizziness, cramps calf</t>
    <phoneticPr fontId="1" type="noConversion"/>
  </si>
  <si>
    <t>coronary artery disease, cirulatory depression</t>
    <phoneticPr fontId="1" type="noConversion"/>
  </si>
  <si>
    <t>renal transplant</t>
    <phoneticPr fontId="1" type="noConversion"/>
  </si>
  <si>
    <t>hypercholesterolemia</t>
    <phoneticPr fontId="1" type="noConversion"/>
  </si>
  <si>
    <t>oedema</t>
    <phoneticPr fontId="1" type="noConversion"/>
  </si>
  <si>
    <t>hepatic cirrhosis</t>
    <phoneticPr fontId="1" type="noConversion"/>
  </si>
  <si>
    <t>f</t>
    <phoneticPr fontId="1" type="noConversion"/>
  </si>
  <si>
    <t>6d</t>
    <phoneticPr fontId="1" type="noConversion"/>
  </si>
  <si>
    <t>coxitis</t>
    <phoneticPr fontId="1" type="noConversion"/>
  </si>
  <si>
    <t>diabetes mellitus</t>
    <phoneticPr fontId="1" type="noConversion"/>
  </si>
  <si>
    <t>disorder sleep</t>
    <phoneticPr fontId="1" type="noConversion"/>
  </si>
  <si>
    <t>hypothyroidism</t>
    <phoneticPr fontId="1" type="noConversion"/>
  </si>
  <si>
    <t>NARRATIVE: only diclofenac -&gt; most probable; exact description without dates</t>
    <phoneticPr fontId="1" type="noConversion"/>
  </si>
  <si>
    <t>suspected and only drug diclofenac</t>
    <phoneticPr fontId="1" type="noConversion"/>
  </si>
  <si>
    <t>mit neuen Daten "geschwärzt" ergänzt</t>
    <phoneticPr fontId="1" type="noConversion"/>
  </si>
  <si>
    <t>Bechterew's disease/ ankylosing spondylitis</t>
    <phoneticPr fontId="1" type="noConversion"/>
  </si>
  <si>
    <t>unknown</t>
    <phoneticPr fontId="1" type="noConversion"/>
  </si>
  <si>
    <t>laboratory</t>
    <phoneticPr fontId="1" type="noConversion"/>
  </si>
  <si>
    <t>date</t>
    <phoneticPr fontId="1" type="noConversion"/>
  </si>
  <si>
    <t>prednisolon</t>
    <phoneticPr fontId="1" type="noConversion"/>
  </si>
  <si>
    <t>NARRATIVE:  suspected medication: VIOXX (rofecoxib)</t>
    <phoneticPr fontId="1" type="noConversion"/>
  </si>
  <si>
    <t>1d</t>
    <phoneticPr fontId="1" type="noConversion"/>
  </si>
  <si>
    <t>39,6/nL</t>
    <phoneticPr fontId="1" type="noConversion"/>
  </si>
  <si>
    <t>lymphocytes</t>
    <phoneticPr fontId="1" type="noConversion"/>
  </si>
  <si>
    <t>neutrophils</t>
    <phoneticPr fontId="1" type="noConversion"/>
  </si>
  <si>
    <t>Hb</t>
    <phoneticPr fontId="1" type="noConversion"/>
  </si>
  <si>
    <t>8,9g/dL</t>
    <phoneticPr fontId="1" type="noConversion"/>
  </si>
  <si>
    <t>platelets</t>
    <phoneticPr fontId="1" type="noConversion"/>
  </si>
  <si>
    <t>23/nL</t>
    <phoneticPr fontId="1" type="noConversion"/>
  </si>
  <si>
    <t>53,7mg/dL</t>
    <phoneticPr fontId="1" type="noConversion"/>
  </si>
  <si>
    <t>total protein</t>
    <phoneticPr fontId="1" type="noConversion"/>
  </si>
  <si>
    <t>3,3g/dL</t>
    <phoneticPr fontId="1" type="noConversion"/>
  </si>
  <si>
    <t>2,4mg/dL</t>
    <phoneticPr fontId="1" type="noConversion"/>
  </si>
  <si>
    <t>GOT</t>
    <phoneticPr fontId="1" type="noConversion"/>
  </si>
  <si>
    <t>NARRATIVE &amp; GRAFIK -&gt; exact dates; diclofenac one of the suspect drugs; multimorbid on multimedication</t>
    <phoneticPr fontId="1" type="noConversion"/>
  </si>
  <si>
    <t>NARRATIVE -&gt; exact dates; diclofenac one of the suspect drugs; multimorbid and polymedicated</t>
    <phoneticPr fontId="1" type="noConversion"/>
  </si>
  <si>
    <t>dry skin/skin xerosis</t>
    <phoneticPr fontId="1" type="noConversion"/>
  </si>
  <si>
    <t>2Df/d</t>
    <phoneticPr fontId="1" type="noConversion"/>
  </si>
  <si>
    <t>120Gtt/d</t>
    <phoneticPr fontId="1" type="noConversion"/>
  </si>
  <si>
    <t>70mg</t>
    <phoneticPr fontId="1" type="noConversion"/>
  </si>
  <si>
    <t>1d</t>
    <phoneticPr fontId="1" type="noConversion"/>
  </si>
  <si>
    <t>10ml/d</t>
    <phoneticPr fontId="1" type="noConversion"/>
  </si>
  <si>
    <t>1Df/d</t>
    <phoneticPr fontId="1" type="noConversion"/>
  </si>
  <si>
    <t>100mg/d</t>
    <phoneticPr fontId="1" type="noConversion"/>
  </si>
  <si>
    <t>0,5mg/d</t>
    <phoneticPr fontId="1" type="noConversion"/>
  </si>
  <si>
    <t>1275mg/d</t>
    <phoneticPr fontId="1" type="noConversion"/>
  </si>
  <si>
    <t>300mg/d</t>
    <phoneticPr fontId="1" type="noConversion"/>
  </si>
  <si>
    <t>osteoporosis, arthrosis</t>
    <phoneticPr fontId="1" type="noConversion"/>
  </si>
  <si>
    <t>TEN</t>
    <phoneticPr fontId="1" type="noConversion"/>
  </si>
  <si>
    <t>constipation</t>
    <phoneticPr fontId="1" type="noConversion"/>
  </si>
  <si>
    <t>constipation</t>
    <phoneticPr fontId="1" type="noConversion"/>
  </si>
  <si>
    <t>prophylactic</t>
    <phoneticPr fontId="1" type="noConversion"/>
  </si>
  <si>
    <t>agitation</t>
    <phoneticPr fontId="1" type="noConversion"/>
  </si>
  <si>
    <t>40mg/d</t>
    <phoneticPr fontId="1" type="noConversion"/>
  </si>
  <si>
    <t>40mg/d</t>
    <phoneticPr fontId="1" type="noConversion"/>
  </si>
  <si>
    <t>10mg/d</t>
    <phoneticPr fontId="1" type="noConversion"/>
  </si>
  <si>
    <t>prednisolon</t>
    <phoneticPr fontId="1" type="noConversion"/>
  </si>
  <si>
    <t>2Df/d</t>
    <phoneticPr fontId="1" type="noConversion"/>
  </si>
  <si>
    <t>18d</t>
    <phoneticPr fontId="1" type="noConversion"/>
  </si>
  <si>
    <t>4d</t>
    <phoneticPr fontId="1" type="noConversion"/>
  </si>
  <si>
    <t>narcosis</t>
    <phoneticPr fontId="1" type="noConversion"/>
  </si>
  <si>
    <t>other</t>
    <phoneticPr fontId="1" type="noConversion"/>
  </si>
  <si>
    <t>cardiomyopathy</t>
    <phoneticPr fontId="1" type="noConversion"/>
  </si>
  <si>
    <t>COPD</t>
    <phoneticPr fontId="1" type="noConversion"/>
  </si>
  <si>
    <t>portal vein pressure increased</t>
    <phoneticPr fontId="1" type="noConversion"/>
  </si>
  <si>
    <t>ascites</t>
    <phoneticPr fontId="1" type="noConversion"/>
  </si>
  <si>
    <t>osteoporosis</t>
    <phoneticPr fontId="1" type="noConversion"/>
  </si>
  <si>
    <t>vitamin B6 dificiency</t>
    <phoneticPr fontId="1" type="noConversion"/>
  </si>
  <si>
    <t>reflux oesophagitits</t>
    <phoneticPr fontId="1" type="noConversion"/>
  </si>
  <si>
    <t>heliobacter infection</t>
    <phoneticPr fontId="1" type="noConversion"/>
  </si>
  <si>
    <t>prophylaxis against gastrointestinal ulcer</t>
    <phoneticPr fontId="1" type="noConversion"/>
  </si>
  <si>
    <t>gastrointestinal ulcer</t>
    <phoneticPr fontId="1" type="noConversion"/>
  </si>
  <si>
    <t>osteoporosis</t>
    <phoneticPr fontId="1" type="noConversion"/>
  </si>
  <si>
    <t>gastrointestinal ulcer, oesophagitis</t>
    <phoneticPr fontId="1" type="noConversion"/>
  </si>
  <si>
    <t>dexpanthenol</t>
    <phoneticPr fontId="1" type="noConversion"/>
  </si>
  <si>
    <t>hypertension arterial</t>
    <phoneticPr fontId="1" type="noConversion"/>
  </si>
  <si>
    <t>necrosis, pain, electrolyte abnormality, edema</t>
    <phoneticPr fontId="1" type="noConversion"/>
  </si>
  <si>
    <t>troponin</t>
    <phoneticPr fontId="1" type="noConversion"/>
  </si>
  <si>
    <t>2,9mg/dL</t>
    <phoneticPr fontId="1" type="noConversion"/>
  </si>
  <si>
    <t>prothrombin</t>
    <phoneticPr fontId="1" type="noConversion"/>
  </si>
  <si>
    <t>PTT</t>
    <phoneticPr fontId="1" type="noConversion"/>
  </si>
  <si>
    <t>108,5s</t>
    <phoneticPr fontId="1" type="noConversion"/>
  </si>
  <si>
    <t>2,466mg/L</t>
    <phoneticPr fontId="1" type="noConversion"/>
  </si>
  <si>
    <t>17,0mg/L</t>
    <phoneticPr fontId="1" type="noConversion"/>
  </si>
  <si>
    <t>CH50</t>
    <phoneticPr fontId="1" type="noConversion"/>
  </si>
  <si>
    <t>282mU/mL</t>
    <phoneticPr fontId="1" type="noConversion"/>
  </si>
  <si>
    <t>fibrinogen</t>
    <phoneticPr fontId="1" type="noConversion"/>
  </si>
  <si>
    <t>415mg%</t>
    <phoneticPr fontId="1" type="noConversion"/>
  </si>
  <si>
    <t>500 or 1000mg/d</t>
  </si>
  <si>
    <t>prednisolon &amp; heparin (low-dose)</t>
    <phoneticPr fontId="1" type="noConversion"/>
  </si>
  <si>
    <t>multiorgan failure</t>
    <phoneticPr fontId="1" type="noConversion"/>
  </si>
  <si>
    <t>NARRATIV-&gt; purpura fulminans more likely</t>
    <phoneticPr fontId="1" type="noConversion"/>
  </si>
  <si>
    <t>ALAT</t>
    <phoneticPr fontId="1" type="noConversion"/>
  </si>
  <si>
    <t>ASAT</t>
    <phoneticPr fontId="1" type="noConversion"/>
  </si>
  <si>
    <t>190U/L</t>
    <phoneticPr fontId="1" type="noConversion"/>
  </si>
  <si>
    <t>916U/L</t>
    <phoneticPr fontId="1" type="noConversion"/>
  </si>
  <si>
    <t>CRP (c-reactive protein)</t>
    <phoneticPr fontId="1" type="noConversion"/>
  </si>
  <si>
    <t>specific antibiosis, high doses glucocorticoids, i.v. immunoglobulin</t>
    <phoneticPr fontId="1" type="noConversion"/>
  </si>
  <si>
    <t>NARRATIVE; mulitmorbide and polymedicated; GRAFIK</t>
    <phoneticPr fontId="1" type="noConversion"/>
  </si>
  <si>
    <t>frozen shoulder</t>
    <phoneticPr fontId="1" type="noConversion"/>
  </si>
  <si>
    <t>heart insufficiency</t>
    <phoneticPr fontId="1" type="noConversion"/>
  </si>
  <si>
    <t>hypertension aterial</t>
    <phoneticPr fontId="1" type="noConversion"/>
  </si>
  <si>
    <t>frozen shoulder</t>
    <phoneticPr fontId="1" type="noConversion"/>
  </si>
  <si>
    <t>shoulder hand syndrome</t>
    <phoneticPr fontId="1" type="noConversion"/>
  </si>
  <si>
    <t>COPD; Inhalatives Glucocorticoid,  Antihistaminika Kombi</t>
    <phoneticPr fontId="1" type="noConversion"/>
  </si>
  <si>
    <t>hypothyroidism</t>
    <phoneticPr fontId="1" type="noConversion"/>
  </si>
  <si>
    <t>scintigraphy</t>
    <phoneticPr fontId="1" type="noConversion"/>
  </si>
  <si>
    <t>cortisone, loratadine</t>
    <phoneticPr fontId="1" type="noConversion"/>
  </si>
  <si>
    <t>lumbar pain</t>
    <phoneticPr fontId="1" type="noConversion"/>
  </si>
  <si>
    <t>multiorgan failure, septic shock</t>
    <phoneticPr fontId="1" type="noConversion"/>
  </si>
  <si>
    <t>suspected and only drug diclofenac</t>
    <phoneticPr fontId="1" type="noConversion"/>
  </si>
  <si>
    <t>renal transplant; Zytostatika</t>
    <phoneticPr fontId="1" type="noConversion"/>
  </si>
  <si>
    <t>circulatory depression</t>
    <phoneticPr fontId="1" type="noConversion"/>
  </si>
  <si>
    <t>circulatory depression</t>
    <phoneticPr fontId="1" type="noConversion"/>
  </si>
  <si>
    <t>sedation</t>
    <phoneticPr fontId="1" type="noConversion"/>
  </si>
  <si>
    <t>sleep disorder</t>
    <phoneticPr fontId="1" type="noConversion"/>
  </si>
  <si>
    <t>coronary artery disease</t>
    <phoneticPr fontId="1" type="noConversion"/>
  </si>
  <si>
    <t>coronary artery disease</t>
    <phoneticPr fontId="1" type="noConversion"/>
  </si>
  <si>
    <t>infection</t>
    <phoneticPr fontId="1" type="noConversion"/>
  </si>
  <si>
    <t>sepsis</t>
    <phoneticPr fontId="1" type="noConversion"/>
  </si>
  <si>
    <t>thrombosis prophylaxis</t>
    <phoneticPr fontId="1" type="noConversion"/>
  </si>
  <si>
    <t>thrombosis prophylaxis</t>
    <phoneticPr fontId="1" type="noConversion"/>
  </si>
  <si>
    <t>fluid replacement</t>
    <phoneticPr fontId="1" type="noConversion"/>
  </si>
  <si>
    <t>diabetes mellitus</t>
    <phoneticPr fontId="1" type="noConversion"/>
  </si>
  <si>
    <t>vitamin supplementation; Vitamine, Antidot Kombi</t>
    <phoneticPr fontId="1" type="noConversion"/>
  </si>
  <si>
    <t>cataract</t>
    <phoneticPr fontId="1" type="noConversion"/>
  </si>
  <si>
    <t>exanthema</t>
    <phoneticPr fontId="1" type="noConversion"/>
  </si>
  <si>
    <t>hypertension</t>
    <phoneticPr fontId="1" type="noConversion"/>
  </si>
  <si>
    <t>hypertension</t>
    <phoneticPr fontId="1" type="noConversion"/>
  </si>
  <si>
    <t>cold</t>
    <phoneticPr fontId="1" type="noConversion"/>
  </si>
  <si>
    <t>diabetes mellitus non-insulin-dependent</t>
    <phoneticPr fontId="1" type="noConversion"/>
  </si>
  <si>
    <t>916U/L</t>
    <phoneticPr fontId="1" type="noConversion"/>
  </si>
  <si>
    <t>GPT</t>
    <phoneticPr fontId="1" type="noConversion"/>
  </si>
  <si>
    <t>190U/L</t>
    <phoneticPr fontId="1" type="noConversion"/>
  </si>
  <si>
    <t>LDH</t>
    <phoneticPr fontId="1" type="noConversion"/>
  </si>
  <si>
    <t>5,423U/L</t>
    <phoneticPr fontId="1" type="noConversion"/>
  </si>
  <si>
    <t>12,441U/L</t>
    <phoneticPr fontId="1" type="noConversion"/>
  </si>
  <si>
    <t>pain, coxarthrosis</t>
    <phoneticPr fontId="1" type="noConversion"/>
  </si>
  <si>
    <t>infection prophylaxis</t>
    <phoneticPr fontId="1" type="noConversion"/>
  </si>
  <si>
    <t>thromboembolism prophylaxis</t>
    <phoneticPr fontId="1" type="noConversion"/>
  </si>
  <si>
    <t>pain</t>
    <phoneticPr fontId="1" type="noConversion"/>
  </si>
  <si>
    <t>lymphoma</t>
    <phoneticPr fontId="1" type="noConversion"/>
  </si>
  <si>
    <t>hypertension; Diuretika, Antihypertonika Kombi</t>
    <phoneticPr fontId="1" type="noConversion"/>
  </si>
  <si>
    <t>hypercholesteraemia</t>
    <phoneticPr fontId="1" type="noConversion"/>
  </si>
  <si>
    <t>supplementation therapy</t>
    <phoneticPr fontId="1" type="noConversion"/>
  </si>
  <si>
    <t>eye pain</t>
    <phoneticPr fontId="1" type="noConversion"/>
  </si>
  <si>
    <t>electrolyte replacement</t>
    <phoneticPr fontId="1" type="noConversion"/>
  </si>
  <si>
    <t>meteorism</t>
    <phoneticPr fontId="1" type="noConversion"/>
  </si>
  <si>
    <t>nur TEN mit Infos aus neuen Daten erweitert</t>
    <phoneticPr fontId="1" type="noConversion"/>
  </si>
  <si>
    <t>SJS (&amp;TEN) mit Infos aus den neuen Daten erweitert</t>
    <phoneticPr fontId="1" type="noConversion"/>
  </si>
  <si>
    <t>f</t>
    <phoneticPr fontId="1" type="noConversion"/>
  </si>
  <si>
    <t>44d</t>
    <phoneticPr fontId="1" type="noConversion"/>
  </si>
  <si>
    <t>pain;Opioid</t>
    <phoneticPr fontId="1" type="noConversion"/>
  </si>
  <si>
    <t>narcosis</t>
    <phoneticPr fontId="1" type="noConversion"/>
  </si>
  <si>
    <t>sore throat</t>
    <phoneticPr fontId="1" type="noConversion"/>
  </si>
  <si>
    <t>infection</t>
    <phoneticPr fontId="1" type="noConversion"/>
  </si>
  <si>
    <t>infection</t>
    <phoneticPr fontId="1" type="noConversion"/>
  </si>
  <si>
    <t>muscule relaxation</t>
    <phoneticPr fontId="1" type="noConversion"/>
  </si>
  <si>
    <t>sore throat, pain, tonsilitis, tonsillectomy</t>
    <phoneticPr fontId="1" type="noConversion"/>
  </si>
  <si>
    <t>pain in joint</t>
    <phoneticPr fontId="1" type="noConversion"/>
  </si>
  <si>
    <t>topical</t>
    <phoneticPr fontId="1" type="noConversion"/>
  </si>
  <si>
    <t>arthralgia</t>
    <phoneticPr fontId="1" type="noConversion"/>
  </si>
  <si>
    <t>circulatory insufficiency</t>
    <phoneticPr fontId="1" type="noConversion"/>
  </si>
  <si>
    <t>f</t>
    <phoneticPr fontId="1" type="noConversion"/>
  </si>
  <si>
    <t>immunosuppressant drug therapy</t>
    <phoneticPr fontId="1" type="noConversion"/>
  </si>
  <si>
    <t>systemic lupus erythematosus</t>
    <phoneticPr fontId="1" type="noConversion"/>
  </si>
  <si>
    <t>NARRATIVE  -&gt; diclofenac one of the suspect drugs</t>
    <phoneticPr fontId="1" type="noConversion"/>
  </si>
  <si>
    <t>immunosuppression</t>
    <phoneticPr fontId="1" type="noConversion"/>
  </si>
  <si>
    <t>maligant neoplasm of bone and articular cartilage</t>
    <phoneticPr fontId="1" type="noConversion"/>
  </si>
  <si>
    <t>hypokalaemia</t>
    <phoneticPr fontId="1" type="noConversion"/>
  </si>
  <si>
    <t>constipation; Abführmittel(Laxantien)</t>
    <phoneticPr fontId="1" type="noConversion"/>
  </si>
  <si>
    <t>hyponatraemia</t>
    <phoneticPr fontId="1" type="noConversion"/>
  </si>
  <si>
    <t>constipation</t>
    <phoneticPr fontId="1" type="noConversion"/>
  </si>
  <si>
    <t>radiotherapy</t>
    <phoneticPr fontId="1" type="noConversion"/>
  </si>
  <si>
    <t>pain NOS, tumor pain</t>
    <phoneticPr fontId="1" type="noConversion"/>
  </si>
  <si>
    <t>carcinoma of prostate metastatic</t>
    <phoneticPr fontId="1" type="noConversion"/>
  </si>
  <si>
    <t>TEN</t>
    <phoneticPr fontId="1" type="noConversion"/>
  </si>
  <si>
    <t>39d</t>
    <phoneticPr fontId="1" type="noConversion"/>
  </si>
  <si>
    <t>liver cirrhosis</t>
    <phoneticPr fontId="1" type="noConversion"/>
  </si>
  <si>
    <t>vitamin K deficiency</t>
    <phoneticPr fontId="1" type="noConversion"/>
  </si>
  <si>
    <t>rectal</t>
    <phoneticPr fontId="1" type="noConversion"/>
  </si>
  <si>
    <t>topical</t>
    <phoneticPr fontId="1" type="noConversion"/>
  </si>
  <si>
    <t>concor 10</t>
    <phoneticPr fontId="1" type="noConversion"/>
  </si>
  <si>
    <t>shock without mention of trauma</t>
    <phoneticPr fontId="1" type="noConversion"/>
  </si>
  <si>
    <t>coagulation defects</t>
    <phoneticPr fontId="1" type="noConversion"/>
  </si>
  <si>
    <t>pyrexia of unknown origin</t>
    <phoneticPr fontId="1" type="noConversion"/>
  </si>
  <si>
    <t>hyperuricaemia</t>
    <phoneticPr fontId="1" type="noConversion"/>
  </si>
  <si>
    <t>hyperuricaemia</t>
    <phoneticPr fontId="1" type="noConversion"/>
  </si>
  <si>
    <t>pyrexia of unknown origin</t>
    <phoneticPr fontId="1" type="noConversion"/>
  </si>
  <si>
    <t>influenza without respiratory manifestations</t>
  </si>
  <si>
    <t>renal insufficiency, diuresis</t>
    <phoneticPr fontId="1" type="noConversion"/>
  </si>
  <si>
    <t>diabetes mellitus</t>
    <phoneticPr fontId="1" type="noConversion"/>
  </si>
  <si>
    <t>32d</t>
    <phoneticPr fontId="1" type="noConversion"/>
  </si>
  <si>
    <t>pain; NSAID, Rubefaszienzien Kombi</t>
    <phoneticPr fontId="1" type="noConversion"/>
  </si>
  <si>
    <t>parenteral nutrition; Abführmittel, Nahrungsmittelergänzung</t>
    <phoneticPr fontId="1" type="noConversion"/>
  </si>
  <si>
    <t>parenteral nutrition</t>
    <phoneticPr fontId="1" type="noConversion"/>
  </si>
  <si>
    <t>therapeutic procedure</t>
    <phoneticPr fontId="1" type="noConversion"/>
  </si>
  <si>
    <t>gastrointestinal disorder; Verdauungsenzyme</t>
    <phoneticPr fontId="1" type="noConversion"/>
  </si>
  <si>
    <t>vitamin supplementation</t>
    <phoneticPr fontId="1" type="noConversion"/>
  </si>
  <si>
    <t>constipation; Abführmittel (Laxantien)</t>
    <phoneticPr fontId="1" type="noConversion"/>
  </si>
  <si>
    <t>fluid replacement</t>
    <phoneticPr fontId="1" type="noConversion"/>
  </si>
  <si>
    <t>agitation</t>
    <phoneticPr fontId="1" type="noConversion"/>
  </si>
  <si>
    <t>prophylaxis</t>
    <phoneticPr fontId="1" type="noConversion"/>
  </si>
  <si>
    <t>gastric ulcer</t>
    <phoneticPr fontId="1" type="noConversion"/>
  </si>
  <si>
    <t>liver cirrhosis</t>
    <phoneticPr fontId="1" type="noConversion"/>
  </si>
  <si>
    <t>peritonitis, gastic ulcer</t>
    <phoneticPr fontId="1" type="noConversion"/>
  </si>
  <si>
    <t>oedema, pain</t>
    <phoneticPr fontId="1" type="noConversion"/>
  </si>
  <si>
    <t>erythema</t>
    <phoneticPr fontId="1" type="noConversion"/>
  </si>
  <si>
    <t>f</t>
    <phoneticPr fontId="1" type="noConversion"/>
  </si>
  <si>
    <t>10d</t>
    <phoneticPr fontId="1" type="noConversion"/>
  </si>
  <si>
    <t>back pain</t>
    <phoneticPr fontId="1" type="noConversion"/>
  </si>
  <si>
    <t>subcutaneous</t>
    <phoneticPr fontId="1" type="noConversion"/>
  </si>
  <si>
    <t>pain in hip; NSAID</t>
    <phoneticPr fontId="1" type="noConversion"/>
  </si>
  <si>
    <t>nausea</t>
    <phoneticPr fontId="1" type="noConversion"/>
  </si>
  <si>
    <t>1/d</t>
    <phoneticPr fontId="1" type="noConversion"/>
  </si>
  <si>
    <t>osteoporosis</t>
    <phoneticPr fontId="1" type="noConversion"/>
  </si>
  <si>
    <t>pain in hip, nausea, back pain</t>
    <phoneticPr fontId="1" type="noConversion"/>
  </si>
  <si>
    <t>total hip replacement</t>
    <phoneticPr fontId="1" type="noConversion"/>
  </si>
  <si>
    <t>33d</t>
    <phoneticPr fontId="1" type="noConversion"/>
  </si>
  <si>
    <t>pruritus/itching</t>
    <phoneticPr fontId="1" type="noConversion"/>
  </si>
  <si>
    <t>pain; Antidot, Opioid-Analgetikum Kombi</t>
    <phoneticPr fontId="1" type="noConversion"/>
  </si>
  <si>
    <t>oral</t>
    <phoneticPr fontId="1" type="noConversion"/>
  </si>
  <si>
    <t>cramps calf</t>
    <phoneticPr fontId="1" type="noConversion"/>
  </si>
  <si>
    <t>urinary tract infection</t>
    <phoneticPr fontId="1" type="noConversion"/>
  </si>
  <si>
    <t>urinary tract infection</t>
    <phoneticPr fontId="1" type="noConversion"/>
  </si>
  <si>
    <t>urinary tract infection</t>
    <phoneticPr fontId="1" type="noConversion"/>
  </si>
  <si>
    <t>thrombosis</t>
    <phoneticPr fontId="1" type="noConversion"/>
  </si>
  <si>
    <t>skin disorder</t>
    <phoneticPr fontId="1" type="noConversion"/>
  </si>
  <si>
    <t>dizziness</t>
    <phoneticPr fontId="1" type="noConversion"/>
  </si>
  <si>
    <t>lumbago; Antirheumatikum</t>
    <phoneticPr fontId="1" type="noConversion"/>
  </si>
  <si>
    <t>prednisolone</t>
    <phoneticPr fontId="1" type="noConversion"/>
  </si>
  <si>
    <t>lumbago</t>
    <phoneticPr fontId="1" type="noConversion"/>
  </si>
  <si>
    <t>other general symptoms</t>
    <phoneticPr fontId="1" type="noConversion"/>
  </si>
  <si>
    <t>other general symptoms; Opioid</t>
    <phoneticPr fontId="1" type="noConversion"/>
  </si>
  <si>
    <t>TEN</t>
    <phoneticPr fontId="1" type="noConversion"/>
  </si>
  <si>
    <t>23d</t>
    <phoneticPr fontId="1" type="noConversion"/>
  </si>
  <si>
    <t>pain</t>
    <phoneticPr fontId="1" type="noConversion"/>
  </si>
  <si>
    <t>fever</t>
    <phoneticPr fontId="1" type="noConversion"/>
  </si>
  <si>
    <t>fever</t>
    <phoneticPr fontId="1" type="noConversion"/>
  </si>
  <si>
    <t>pain; Opioid</t>
    <phoneticPr fontId="1" type="noConversion"/>
  </si>
  <si>
    <t>joint pain</t>
    <phoneticPr fontId="1" type="noConversion"/>
  </si>
  <si>
    <t>joint pain</t>
    <phoneticPr fontId="1" type="noConversion"/>
  </si>
  <si>
    <t>fever</t>
    <phoneticPr fontId="1" type="noConversion"/>
  </si>
  <si>
    <t>atrial fibrillation</t>
    <phoneticPr fontId="1" type="noConversion"/>
  </si>
  <si>
    <t>dexamethason, pyridoxine hydrochloride, cyanocobalamin, lidocaine hydrochloride, diphenhydramine hydrochloride</t>
    <phoneticPr fontId="1" type="noConversion"/>
  </si>
  <si>
    <t>20ml/d</t>
    <phoneticPr fontId="1" type="noConversion"/>
  </si>
  <si>
    <t>palladon</t>
    <phoneticPr fontId="1" type="noConversion"/>
  </si>
  <si>
    <t>hydromorphone hydrochloride</t>
    <phoneticPr fontId="1" type="noConversion"/>
  </si>
  <si>
    <t>valeriana officinalis root</t>
    <phoneticPr fontId="1" type="noConversion"/>
  </si>
  <si>
    <t>propofol</t>
    <phoneticPr fontId="1" type="noConversion"/>
  </si>
  <si>
    <t>70mg/d</t>
    <phoneticPr fontId="1" type="noConversion"/>
  </si>
  <si>
    <t>1116d</t>
    <phoneticPr fontId="1" type="noConversion"/>
  </si>
  <si>
    <t>amiodaron</t>
    <phoneticPr fontId="1" type="noConversion"/>
  </si>
  <si>
    <t>hypertensive crisis</t>
    <phoneticPr fontId="1" type="noConversion"/>
  </si>
  <si>
    <t>tachycardia</t>
    <phoneticPr fontId="1" type="noConversion"/>
  </si>
  <si>
    <t>dry cough</t>
    <phoneticPr fontId="1" type="noConversion"/>
  </si>
  <si>
    <t>edema</t>
    <phoneticPr fontId="1" type="noConversion"/>
  </si>
  <si>
    <t>sleep disorder</t>
    <phoneticPr fontId="1" type="noConversion"/>
  </si>
  <si>
    <t>coxitis</t>
    <phoneticPr fontId="1" type="noConversion"/>
  </si>
  <si>
    <t>f</t>
    <phoneticPr fontId="1" type="noConversion"/>
  </si>
  <si>
    <t>11d</t>
    <phoneticPr fontId="1" type="noConversion"/>
  </si>
  <si>
    <t>pain</t>
    <phoneticPr fontId="1" type="noConversion"/>
  </si>
  <si>
    <t>pain</t>
    <phoneticPr fontId="1" type="noConversion"/>
  </si>
  <si>
    <t>pain</t>
    <phoneticPr fontId="1" type="noConversion"/>
  </si>
  <si>
    <t>pain</t>
    <phoneticPr fontId="1" type="noConversion"/>
  </si>
  <si>
    <t>narrative; suspected drugs amoxicillin and diclofenac (not enough information)</t>
    <phoneticPr fontId="1" type="noConversion"/>
  </si>
  <si>
    <t>HIV infection NOS</t>
    <phoneticPr fontId="1" type="noConversion"/>
  </si>
  <si>
    <t>hypertension arterial</t>
    <phoneticPr fontId="1" type="noConversion"/>
  </si>
  <si>
    <t>osteitis deformans without mention of bone tumour</t>
    <phoneticPr fontId="1" type="noConversion"/>
  </si>
  <si>
    <t>f</t>
    <phoneticPr fontId="1" type="noConversion"/>
  </si>
  <si>
    <t>transdermal</t>
    <phoneticPr fontId="1" type="noConversion"/>
  </si>
  <si>
    <t>enthesopathy of elbow region</t>
    <phoneticPr fontId="1" type="noConversion"/>
  </si>
  <si>
    <t>manic-depressive psychosis</t>
    <phoneticPr fontId="1" type="noConversion"/>
  </si>
  <si>
    <t>nausea</t>
    <phoneticPr fontId="1" type="noConversion"/>
  </si>
  <si>
    <t>gastric pain</t>
    <phoneticPr fontId="1" type="noConversion"/>
  </si>
  <si>
    <t>tumour lysis syndrome</t>
    <phoneticPr fontId="1" type="noConversion"/>
  </si>
  <si>
    <t>bone marrow therapy</t>
    <phoneticPr fontId="1" type="noConversion"/>
  </si>
  <si>
    <t>fever, eye pain, nausea, sleep disorder</t>
    <phoneticPr fontId="1" type="noConversion"/>
  </si>
  <si>
    <t>gastric lymphoma, b-cell lymphoma, tumour lysis syndrome</t>
    <phoneticPr fontId="1" type="noConversion"/>
  </si>
  <si>
    <t>pruritus</t>
    <phoneticPr fontId="1" type="noConversion"/>
  </si>
  <si>
    <t>hypercholesterolemia</t>
    <phoneticPr fontId="1" type="noConversion"/>
  </si>
  <si>
    <t>hip arthrosis</t>
    <phoneticPr fontId="1" type="noConversion"/>
  </si>
  <si>
    <t>gastric pain, meteorism</t>
    <phoneticPr fontId="1" type="noConversion"/>
  </si>
  <si>
    <t>29d</t>
    <phoneticPr fontId="1" type="noConversion"/>
  </si>
  <si>
    <t xml:space="preserve"> </t>
    <phoneticPr fontId="1" type="noConversion"/>
  </si>
  <si>
    <t>10d</t>
    <phoneticPr fontId="1" type="noConversion"/>
  </si>
  <si>
    <t>liver cirrhosis</t>
    <phoneticPr fontId="1" type="noConversion"/>
  </si>
  <si>
    <t>ciprobay</t>
    <phoneticPr fontId="1" type="noConversion"/>
  </si>
  <si>
    <t>13d</t>
    <phoneticPr fontId="1" type="noConversion"/>
  </si>
  <si>
    <t>18d</t>
    <phoneticPr fontId="1" type="noConversion"/>
  </si>
  <si>
    <t>pain</t>
    <phoneticPr fontId="1" type="noConversion"/>
  </si>
  <si>
    <t>tumor pain</t>
    <phoneticPr fontId="1" type="noConversion"/>
  </si>
  <si>
    <t>depression</t>
    <phoneticPr fontId="1" type="noConversion"/>
  </si>
  <si>
    <t>pain management</t>
    <phoneticPr fontId="1" type="noConversion"/>
  </si>
  <si>
    <t>agitation</t>
    <phoneticPr fontId="1" type="noConversion"/>
  </si>
  <si>
    <t>pain management</t>
    <phoneticPr fontId="1" type="noConversion"/>
  </si>
  <si>
    <t>vitamins nis, amino acids nos</t>
    <phoneticPr fontId="1" type="noConversion"/>
  </si>
  <si>
    <t>0,5ml/d</t>
    <phoneticPr fontId="1" type="noConversion"/>
  </si>
  <si>
    <t>dexamethasone</t>
    <phoneticPr fontId="1" type="noConversion"/>
  </si>
  <si>
    <t>/d</t>
    <phoneticPr fontId="1" type="noConversion"/>
  </si>
  <si>
    <t>polybion injection</t>
    <phoneticPr fontId="1" type="noConversion"/>
  </si>
  <si>
    <t>sympal injektionsloesung</t>
    <phoneticPr fontId="1" type="noConversion"/>
  </si>
  <si>
    <t>volume depletion</t>
    <phoneticPr fontId="1" type="noConversion"/>
  </si>
  <si>
    <t>multiple myeloma</t>
    <phoneticPr fontId="1" type="noConversion"/>
  </si>
  <si>
    <t>feeding difficulties and mismanagement</t>
    <phoneticPr fontId="1" type="noConversion"/>
  </si>
  <si>
    <t>nausea, vomiting</t>
    <phoneticPr fontId="1" type="noConversion"/>
  </si>
  <si>
    <t>gout, unspecified</t>
    <phoneticPr fontId="1" type="noConversion"/>
  </si>
  <si>
    <t>gout, unspecified</t>
    <phoneticPr fontId="1" type="noConversion"/>
  </si>
  <si>
    <t>f</t>
    <phoneticPr fontId="1" type="noConversion"/>
  </si>
  <si>
    <t>oral</t>
    <phoneticPr fontId="1" type="noConversion"/>
  </si>
  <si>
    <t>colecalciferol, calcium carbonate</t>
    <phoneticPr fontId="1" type="noConversion"/>
  </si>
  <si>
    <t>diclofenac injlsg</t>
    <phoneticPr fontId="1" type="noConversion"/>
  </si>
  <si>
    <t>colecalciferol, calcium carbonate</t>
    <phoneticPr fontId="1" type="noConversion"/>
  </si>
  <si>
    <t>metoclopramide</t>
    <phoneticPr fontId="1" type="noConversion"/>
  </si>
  <si>
    <t>108Gtt/d</t>
    <phoneticPr fontId="1" type="noConversion"/>
  </si>
  <si>
    <t>milgamma</t>
    <phoneticPr fontId="1" type="noConversion"/>
  </si>
  <si>
    <t>cyanocobalamin, benfotiamine</t>
    <phoneticPr fontId="1" type="noConversion"/>
  </si>
  <si>
    <t>3Df/D</t>
    <phoneticPr fontId="1" type="noConversion"/>
  </si>
  <si>
    <t>omep</t>
    <phoneticPr fontId="1" type="noConversion"/>
  </si>
  <si>
    <t>osteoarthrosis, localized</t>
    <phoneticPr fontId="1" type="noConversion"/>
  </si>
  <si>
    <t>influenza without respiratory manifestations</t>
    <phoneticPr fontId="1" type="noConversion"/>
  </si>
  <si>
    <t>f</t>
    <phoneticPr fontId="1" type="noConversion"/>
  </si>
  <si>
    <t>12d</t>
    <phoneticPr fontId="1" type="noConversion"/>
  </si>
  <si>
    <t>ascites, pain NOS, vitamin B complex deficiency</t>
    <phoneticPr fontId="1" type="noConversion"/>
  </si>
  <si>
    <t>12d</t>
    <phoneticPr fontId="1" type="noConversion"/>
  </si>
  <si>
    <t>peritonitis</t>
    <phoneticPr fontId="1" type="noConversion"/>
  </si>
  <si>
    <t>erythema</t>
    <phoneticPr fontId="1" type="noConversion"/>
  </si>
  <si>
    <t>ulcer of lower lips, except decubitus ulcer</t>
    <phoneticPr fontId="1" type="noConversion"/>
  </si>
  <si>
    <t>unspecified arthropathy</t>
    <phoneticPr fontId="1" type="noConversion"/>
  </si>
  <si>
    <t>chronic ulcer of skin, unspecified site</t>
    <phoneticPr fontId="1" type="noConversion"/>
  </si>
  <si>
    <t>lupus erythematosus</t>
    <phoneticPr fontId="1" type="noConversion"/>
  </si>
  <si>
    <t>allergy</t>
    <phoneticPr fontId="1" type="noConversion"/>
  </si>
  <si>
    <t>unspecific disorder of metabolism</t>
    <phoneticPr fontId="1" type="noConversion"/>
  </si>
  <si>
    <t>unspecified cirulatory system disorder</t>
    <phoneticPr fontId="1" type="noConversion"/>
  </si>
  <si>
    <t>diabetes mellitus</t>
    <phoneticPr fontId="1" type="noConversion"/>
  </si>
  <si>
    <t>erythema multiforme</t>
    <phoneticPr fontId="1" type="noConversion"/>
  </si>
  <si>
    <t>hypertension</t>
    <phoneticPr fontId="1" type="noConversion"/>
  </si>
  <si>
    <t>hypertension</t>
    <phoneticPr fontId="1" type="noConversion"/>
  </si>
  <si>
    <t>tachycardia, atrial fibrillation</t>
    <phoneticPr fontId="1" type="noConversion"/>
  </si>
  <si>
    <t>sharps's syndrome</t>
    <phoneticPr fontId="1" type="noConversion"/>
  </si>
  <si>
    <t>cataract, eye dryness</t>
    <phoneticPr fontId="1" type="noConversion"/>
  </si>
  <si>
    <t>pain</t>
    <phoneticPr fontId="1" type="noConversion"/>
  </si>
  <si>
    <t>agitation</t>
    <phoneticPr fontId="1" type="noConversion"/>
  </si>
  <si>
    <t>lupus erythematosus, edema, exanthema</t>
    <phoneticPr fontId="1" type="noConversion"/>
  </si>
  <si>
    <t>hypertension, hypertensive crisis</t>
    <phoneticPr fontId="1" type="noConversion"/>
  </si>
  <si>
    <t>gastric disorder, stomach discomfort, constipation</t>
    <phoneticPr fontId="1" type="noConversion"/>
  </si>
  <si>
    <t>pain, fever, sleep disorder</t>
    <phoneticPr fontId="1" type="noConversion"/>
  </si>
  <si>
    <t>sepsis, infection</t>
    <phoneticPr fontId="1" type="noConversion"/>
  </si>
  <si>
    <t>collagenosis, Mixed connective tissue disease</t>
    <phoneticPr fontId="1" type="noConversion"/>
  </si>
  <si>
    <t>8d</t>
    <phoneticPr fontId="1" type="noConversion"/>
  </si>
  <si>
    <t>2d</t>
    <phoneticPr fontId="1" type="noConversion"/>
  </si>
  <si>
    <t>neck pain</t>
    <phoneticPr fontId="1" type="noConversion"/>
  </si>
  <si>
    <t>complex partial seizures</t>
    <phoneticPr fontId="1" type="noConversion"/>
  </si>
  <si>
    <t>epilepsy</t>
    <phoneticPr fontId="1" type="noConversion"/>
  </si>
  <si>
    <t>NARRATIVE ; not helpful</t>
    <phoneticPr fontId="1" type="noConversion"/>
  </si>
  <si>
    <t>12Gtt/d</t>
    <phoneticPr fontId="1" type="noConversion"/>
  </si>
  <si>
    <t>60d</t>
    <phoneticPr fontId="1" type="noConversion"/>
  </si>
  <si>
    <t>pantozol</t>
    <phoneticPr fontId="1" type="noConversion"/>
  </si>
  <si>
    <t>pantoprazol sodium</t>
    <phoneticPr fontId="1" type="noConversion"/>
  </si>
  <si>
    <t>200mg</t>
    <phoneticPr fontId="1" type="noConversion"/>
  </si>
  <si>
    <t>insulin human</t>
    <phoneticPr fontId="1" type="noConversion"/>
  </si>
  <si>
    <t>50lu</t>
    <phoneticPr fontId="1" type="noConversion"/>
  </si>
  <si>
    <t>other general symptoms; Opioid</t>
    <phoneticPr fontId="1" type="noConversion"/>
  </si>
  <si>
    <t>other general symptoms</t>
    <phoneticPr fontId="1" type="noConversion"/>
  </si>
  <si>
    <t>gout, unspecified</t>
    <phoneticPr fontId="1" type="noConversion"/>
  </si>
  <si>
    <t>thrombosis</t>
    <phoneticPr fontId="1" type="noConversion"/>
  </si>
  <si>
    <t>irbesartan</t>
    <phoneticPr fontId="1" type="noConversion"/>
  </si>
  <si>
    <t>0,1,mg/d</t>
    <phoneticPr fontId="1" type="noConversion"/>
  </si>
  <si>
    <t>morphin</t>
    <phoneticPr fontId="1" type="noConversion"/>
  </si>
  <si>
    <t>morphine</t>
    <phoneticPr fontId="1" type="noConversion"/>
  </si>
  <si>
    <t>supertendin</t>
    <phoneticPr fontId="1" type="noConversion"/>
  </si>
  <si>
    <t>isophane insuline, insuline human</t>
    <phoneticPr fontId="1" type="noConversion"/>
  </si>
  <si>
    <t>bayotensin akut</t>
    <phoneticPr fontId="1" type="noConversion"/>
  </si>
  <si>
    <t>2ml</t>
    <phoneticPr fontId="1" type="noConversion"/>
  </si>
  <si>
    <t>metoprolol succinate</t>
    <phoneticPr fontId="1" type="noConversion"/>
  </si>
  <si>
    <t>pepsin</t>
    <phoneticPr fontId="1" type="noConversion"/>
  </si>
  <si>
    <t>240mg</t>
    <phoneticPr fontId="1" type="noConversion"/>
  </si>
  <si>
    <t>elektrolyloesung</t>
    <phoneticPr fontId="1" type="noConversion"/>
  </si>
  <si>
    <t>insulin</t>
    <phoneticPr fontId="1" type="noConversion"/>
  </si>
  <si>
    <t>formoterol fumerate</t>
    <phoneticPr fontId="1" type="noConversion"/>
  </si>
  <si>
    <t>amaryl</t>
    <phoneticPr fontId="1" type="noConversion"/>
  </si>
  <si>
    <t>glimepiride</t>
  </si>
  <si>
    <t>amiodarone</t>
    <phoneticPr fontId="1" type="noConversion"/>
  </si>
  <si>
    <t>formoterol</t>
    <phoneticPr fontId="1" type="noConversion"/>
  </si>
  <si>
    <t>hypertension; Diuretikum, Antihypertonikum Kombi</t>
    <phoneticPr fontId="1" type="noConversion"/>
  </si>
  <si>
    <t>connective tissue order</t>
    <phoneticPr fontId="1" type="noConversion"/>
  </si>
  <si>
    <t>eye dryness; künstliche Tränen</t>
    <phoneticPr fontId="1" type="noConversion"/>
  </si>
  <si>
    <t>0,6ml/d</t>
    <phoneticPr fontId="1" type="noConversion"/>
  </si>
  <si>
    <t>Tranexamsäure</t>
    <phoneticPr fontId="1" type="noConversion"/>
  </si>
  <si>
    <t>tranexamic acid</t>
    <phoneticPr fontId="1" type="noConversion"/>
  </si>
  <si>
    <t>ramipril</t>
    <phoneticPr fontId="1" type="noConversion"/>
  </si>
  <si>
    <t>1097d</t>
    <phoneticPr fontId="1" type="noConversion"/>
  </si>
  <si>
    <t>furosemid</t>
    <phoneticPr fontId="1" type="noConversion"/>
  </si>
  <si>
    <t>acc</t>
    <phoneticPr fontId="1" type="noConversion"/>
  </si>
  <si>
    <t>viani forte</t>
    <phoneticPr fontId="1" type="noConversion"/>
  </si>
  <si>
    <t>fluticarsone propionate, salmeterol xinafoate</t>
    <phoneticPr fontId="1" type="noConversion"/>
  </si>
  <si>
    <t>glucose 5%</t>
    <phoneticPr fontId="1" type="noConversion"/>
  </si>
  <si>
    <t>glucose monohydrate</t>
    <phoneticPr fontId="1" type="noConversion"/>
  </si>
  <si>
    <t>milrinon</t>
    <phoneticPr fontId="1" type="noConversion"/>
  </si>
  <si>
    <t>closed fracture of lumbar vertebra</t>
    <phoneticPr fontId="1" type="noConversion"/>
  </si>
  <si>
    <t>closed fracture of lumbar vertebra; Opioid</t>
    <phoneticPr fontId="1" type="noConversion"/>
  </si>
  <si>
    <t>kuerbisoel</t>
    <phoneticPr fontId="1" type="noConversion"/>
  </si>
  <si>
    <t>cucurbita pepo seed oil</t>
    <phoneticPr fontId="1" type="noConversion"/>
  </si>
  <si>
    <t>abdomial pain</t>
    <phoneticPr fontId="1" type="noConversion"/>
  </si>
  <si>
    <t>osteoporosis, closed fracture of lumbar vertebral without mention of spina</t>
    <phoneticPr fontId="1" type="noConversion"/>
  </si>
  <si>
    <t>multiorgan failure</t>
    <phoneticPr fontId="1" type="noConversion"/>
  </si>
  <si>
    <t>low back pain</t>
    <phoneticPr fontId="1" type="noConversion"/>
  </si>
  <si>
    <t>specific antibiosis, high doses glucocorticoids</t>
    <phoneticPr fontId="1" type="noConversion"/>
  </si>
  <si>
    <t>f</t>
    <phoneticPr fontId="1" type="noConversion"/>
  </si>
  <si>
    <t>1095d</t>
    <phoneticPr fontId="1" type="noConversion"/>
  </si>
  <si>
    <t>oral</t>
    <phoneticPr fontId="1" type="noConversion"/>
  </si>
  <si>
    <t>analgesia</t>
    <phoneticPr fontId="1" type="noConversion"/>
  </si>
  <si>
    <t>analgesia</t>
    <phoneticPr fontId="1" type="noConversion"/>
  </si>
  <si>
    <t>arthrosis</t>
    <phoneticPr fontId="1" type="noConversion"/>
  </si>
  <si>
    <t>unspecified functional disorder of stomach</t>
    <phoneticPr fontId="1" type="noConversion"/>
  </si>
  <si>
    <t>multiple myeloma</t>
    <phoneticPr fontId="1" type="noConversion"/>
  </si>
  <si>
    <t>multiple myeloma</t>
    <phoneticPr fontId="1" type="noConversion"/>
  </si>
  <si>
    <t>fluid retention</t>
    <phoneticPr fontId="1" type="noConversion"/>
  </si>
  <si>
    <t>mutaflor</t>
    <phoneticPr fontId="1" type="noConversion"/>
  </si>
  <si>
    <t>escherichia coli</t>
    <phoneticPr fontId="1" type="noConversion"/>
  </si>
  <si>
    <t>aminosteril</t>
    <phoneticPr fontId="1" type="noConversion"/>
  </si>
  <si>
    <t>levothyroxine</t>
    <phoneticPr fontId="1" type="noConversion"/>
  </si>
  <si>
    <t>levothyroxine sodium</t>
    <phoneticPr fontId="1" type="noConversion"/>
  </si>
  <si>
    <t>diclo</t>
    <phoneticPr fontId="1" type="noConversion"/>
  </si>
  <si>
    <t>keppra</t>
    <phoneticPr fontId="1" type="noConversion"/>
  </si>
  <si>
    <t>levetiracetam</t>
    <phoneticPr fontId="1" type="noConversion"/>
  </si>
  <si>
    <t>1500mg/d</t>
    <phoneticPr fontId="1" type="noConversion"/>
  </si>
  <si>
    <t>diclofenac basics 50mg magensaft</t>
    <phoneticPr fontId="1" type="noConversion"/>
  </si>
  <si>
    <t>dexketoprofen trometamol</t>
    <phoneticPr fontId="1" type="noConversion"/>
  </si>
  <si>
    <t>meloxicam 7,5mg</t>
    <phoneticPr fontId="1" type="noConversion"/>
  </si>
  <si>
    <t>electrolyte nnb</t>
    <phoneticPr fontId="1" type="noConversion"/>
  </si>
  <si>
    <t>potassium chloride, magnesium carbonate, calcium gluconate, sodium chloride</t>
    <phoneticPr fontId="1" type="noConversion"/>
  </si>
  <si>
    <t>calcium carbonate</t>
    <phoneticPr fontId="1" type="noConversion"/>
  </si>
  <si>
    <t>NSAID</t>
    <phoneticPr fontId="1" type="noConversion"/>
  </si>
  <si>
    <t>bisoprolol fumarate</t>
    <phoneticPr fontId="1" type="noConversion"/>
  </si>
  <si>
    <t>tri.-thiazid stada</t>
    <phoneticPr fontId="1" type="noConversion"/>
  </si>
  <si>
    <t>hydrochlorothiazide, triamterene</t>
    <phoneticPr fontId="1" type="noConversion"/>
  </si>
  <si>
    <t>antra mups</t>
    <phoneticPr fontId="1" type="noConversion"/>
  </si>
  <si>
    <t>omeprazole magnesium</t>
    <phoneticPr fontId="1" type="noConversion"/>
  </si>
  <si>
    <t>klacid 250</t>
    <phoneticPr fontId="1" type="noConversion"/>
  </si>
  <si>
    <t>calcilac</t>
    <phoneticPr fontId="1" type="noConversion"/>
  </si>
  <si>
    <t>glucophage</t>
    <phoneticPr fontId="1" type="noConversion"/>
  </si>
  <si>
    <t>metformin</t>
    <phoneticPr fontId="1" type="noConversion"/>
  </si>
  <si>
    <t>aquaphor</t>
    <phoneticPr fontId="1" type="noConversion"/>
  </si>
  <si>
    <t>ceftriaxone</t>
    <phoneticPr fontId="1" type="noConversion"/>
  </si>
  <si>
    <t>37d</t>
    <phoneticPr fontId="1" type="noConversion"/>
  </si>
  <si>
    <t>lactulose al sirup</t>
    <phoneticPr fontId="1" type="noConversion"/>
  </si>
  <si>
    <t>spironolacton</t>
    <phoneticPr fontId="1" type="noConversion"/>
  </si>
  <si>
    <t>24mg/d</t>
    <phoneticPr fontId="1" type="noConversion"/>
  </si>
  <si>
    <t>674d</t>
    <phoneticPr fontId="1" type="noConversion"/>
  </si>
  <si>
    <t>40ml/d</t>
    <phoneticPr fontId="1" type="noConversion"/>
  </si>
  <si>
    <t>tramadol "ratiopharm"</t>
    <phoneticPr fontId="1" type="noConversion"/>
  </si>
  <si>
    <t>atmadisc</t>
    <phoneticPr fontId="1" type="noConversion"/>
  </si>
  <si>
    <t>cefuroxim</t>
    <phoneticPr fontId="1" type="noConversion"/>
  </si>
  <si>
    <t>cefuroxime sodium</t>
    <phoneticPr fontId="1" type="noConversion"/>
  </si>
  <si>
    <t>tracrium</t>
    <phoneticPr fontId="1" type="noConversion"/>
  </si>
  <si>
    <t>deahtcause: erythema ; suspected drug: only diclofenac</t>
    <phoneticPr fontId="1" type="noConversion"/>
  </si>
  <si>
    <t>rectal</t>
    <phoneticPr fontId="1" type="noConversion"/>
  </si>
  <si>
    <t>lumbago</t>
    <phoneticPr fontId="1" type="noConversion"/>
  </si>
  <si>
    <t>1d</t>
    <phoneticPr fontId="1" type="noConversion"/>
  </si>
  <si>
    <t>oral</t>
    <phoneticPr fontId="1" type="noConversion"/>
  </si>
  <si>
    <t>pain in joint</t>
    <phoneticPr fontId="1" type="noConversion"/>
  </si>
  <si>
    <t>hyperuricaemia</t>
    <phoneticPr fontId="1" type="noConversion"/>
  </si>
  <si>
    <t>intramuscular</t>
    <phoneticPr fontId="1" type="noConversion"/>
  </si>
  <si>
    <t>oral</t>
    <phoneticPr fontId="1" type="noConversion"/>
  </si>
  <si>
    <t>knee pain</t>
    <phoneticPr fontId="1" type="noConversion"/>
  </si>
  <si>
    <t>atrial fibrillation and flutter</t>
    <phoneticPr fontId="1" type="noConversion"/>
  </si>
  <si>
    <t>erythema multiforme</t>
    <phoneticPr fontId="1" type="noConversion"/>
  </si>
  <si>
    <t>oral</t>
    <phoneticPr fontId="1" type="noConversion"/>
  </si>
  <si>
    <t>intramuscular</t>
    <phoneticPr fontId="1" type="noConversion"/>
  </si>
  <si>
    <t>oral</t>
    <phoneticPr fontId="1" type="noConversion"/>
  </si>
  <si>
    <t>intramuscular</t>
    <phoneticPr fontId="1" type="noConversion"/>
  </si>
  <si>
    <t>oral/topical</t>
    <phoneticPr fontId="1" type="noConversion"/>
  </si>
  <si>
    <t>14d</t>
    <phoneticPr fontId="1" type="noConversion"/>
  </si>
  <si>
    <t>28d</t>
    <phoneticPr fontId="1" type="noConversion"/>
  </si>
  <si>
    <t>displacement of intervertebral disc, site unspecified</t>
  </si>
  <si>
    <t>displacement of intervertebral disc, site unspecified</t>
    <phoneticPr fontId="1" type="noConversion"/>
  </si>
  <si>
    <t>displacement of intervertebral disc, site unspecified; opioid</t>
    <phoneticPr fontId="1" type="noConversion"/>
  </si>
  <si>
    <t>displacement of intervertebral disc, site unspecified; Muskelrelaxans, Analgetikum Kombi</t>
    <phoneticPr fontId="1" type="noConversion"/>
  </si>
  <si>
    <t>lumbago</t>
    <phoneticPr fontId="1" type="noConversion"/>
  </si>
  <si>
    <t>spironolactone</t>
    <phoneticPr fontId="1" type="noConversion"/>
  </si>
  <si>
    <t>43d</t>
    <phoneticPr fontId="1" type="noConversion"/>
  </si>
  <si>
    <t>calcilac kt</t>
    <phoneticPr fontId="1" type="noConversion"/>
  </si>
  <si>
    <t>losartan potassium, hydrochlorothiazide</t>
    <phoneticPr fontId="1" type="noConversion"/>
  </si>
  <si>
    <t>lacrimal</t>
    <phoneticPr fontId="1" type="noConversion"/>
  </si>
  <si>
    <t>Analgetikum, Prostaglandin Kombi</t>
    <phoneticPr fontId="1" type="noConversion"/>
  </si>
  <si>
    <t>saroten retard</t>
    <phoneticPr fontId="1" type="noConversion"/>
  </si>
  <si>
    <t>tegretal 400</t>
    <phoneticPr fontId="1" type="noConversion"/>
  </si>
  <si>
    <t>bromuc</t>
    <phoneticPr fontId="1" type="noConversion"/>
  </si>
  <si>
    <t>thioctacid 600</t>
    <phoneticPr fontId="1" type="noConversion"/>
  </si>
  <si>
    <t>thioctic acid</t>
    <phoneticPr fontId="1" type="noConversion"/>
  </si>
  <si>
    <t>corvaton retard</t>
    <phoneticPr fontId="1" type="noConversion"/>
  </si>
  <si>
    <t>glycerol, soya oil, lecithin</t>
    <phoneticPr fontId="1" type="noConversion"/>
  </si>
  <si>
    <t>0,9l</t>
    <phoneticPr fontId="1" type="noConversion"/>
  </si>
  <si>
    <t>pcm</t>
    <phoneticPr fontId="1" type="noConversion"/>
  </si>
  <si>
    <t>ciprobay 100</t>
    <phoneticPr fontId="1" type="noConversion"/>
  </si>
  <si>
    <t>ciprofloxacin lactate</t>
    <phoneticPr fontId="1" type="noConversion"/>
  </si>
  <si>
    <t>insulin rapid</t>
    <phoneticPr fontId="1" type="noConversion"/>
  </si>
  <si>
    <t>Lösung zur parenteralen Ernährung</t>
    <phoneticPr fontId="1" type="noConversion"/>
  </si>
  <si>
    <t>1000g</t>
    <phoneticPr fontId="1" type="noConversion"/>
  </si>
  <si>
    <t>mst 10</t>
    <phoneticPr fontId="1" type="noConversion"/>
  </si>
  <si>
    <t>morphine sulfate</t>
    <phoneticPr fontId="1" type="noConversion"/>
  </si>
  <si>
    <t>6Df/d</t>
    <phoneticPr fontId="1" type="noConversion"/>
  </si>
  <si>
    <t>vincristine sulfate</t>
    <phoneticPr fontId="1" type="noConversion"/>
  </si>
  <si>
    <t>laxoberal abfuehrtropfen</t>
    <phoneticPr fontId="1" type="noConversion"/>
  </si>
  <si>
    <t>20Gtt</t>
    <phoneticPr fontId="1" type="noConversion"/>
  </si>
  <si>
    <t>allopurinol, benzbromrone</t>
    <phoneticPr fontId="1" type="noConversion"/>
  </si>
  <si>
    <t>nacl 0,9%</t>
    <phoneticPr fontId="1" type="noConversion"/>
  </si>
  <si>
    <t>tramal tropfen</t>
    <phoneticPr fontId="1" type="noConversion"/>
  </si>
  <si>
    <t>150mg/</t>
    <phoneticPr fontId="1" type="noConversion"/>
  </si>
  <si>
    <t>Vitalipide</t>
    <phoneticPr fontId="1" type="noConversion"/>
  </si>
  <si>
    <t>bisomerck</t>
    <phoneticPr fontId="1" type="noConversion"/>
  </si>
  <si>
    <t>17,5mg/d</t>
    <phoneticPr fontId="1" type="noConversion"/>
  </si>
  <si>
    <t>763d</t>
    <phoneticPr fontId="1" type="noConversion"/>
  </si>
  <si>
    <t>budecort</t>
    <phoneticPr fontId="1" type="noConversion"/>
  </si>
  <si>
    <t>aterenol</t>
    <phoneticPr fontId="1" type="noConversion"/>
  </si>
  <si>
    <t>diclofenac</t>
    <phoneticPr fontId="1" type="noConversion"/>
  </si>
  <si>
    <t>arcoxia</t>
    <phoneticPr fontId="1" type="noConversion"/>
  </si>
  <si>
    <t>etorcoxib</t>
    <phoneticPr fontId="1" type="noConversion"/>
  </si>
  <si>
    <t>90mg/d</t>
    <phoneticPr fontId="1" type="noConversion"/>
  </si>
  <si>
    <t>sigaorim forte</t>
    <phoneticPr fontId="1" type="noConversion"/>
  </si>
  <si>
    <t>sulfamethoxazole, trimethoprim</t>
    <phoneticPr fontId="1" type="noConversion"/>
  </si>
  <si>
    <t>suprarenin</t>
    <phoneticPr fontId="1" type="noConversion"/>
  </si>
  <si>
    <t>remifentanil</t>
    <phoneticPr fontId="1" type="noConversion"/>
  </si>
  <si>
    <t>remifentanil hydrochloride</t>
    <phoneticPr fontId="1" type="noConversion"/>
  </si>
  <si>
    <t>387d</t>
    <phoneticPr fontId="1" type="noConversion"/>
  </si>
  <si>
    <t>avalox</t>
    <phoneticPr fontId="1" type="noConversion"/>
  </si>
  <si>
    <t>moxifloxacin hydrochloride</t>
    <phoneticPr fontId="1" type="noConversion"/>
  </si>
  <si>
    <t>onset</t>
    <phoneticPr fontId="1" type="noConversion"/>
  </si>
  <si>
    <t>duration</t>
    <phoneticPr fontId="1" type="noConversion"/>
  </si>
  <si>
    <t>TtO</t>
    <phoneticPr fontId="1" type="noConversion"/>
  </si>
  <si>
    <t>intravenous</t>
    <phoneticPr fontId="1" type="noConversion"/>
  </si>
  <si>
    <t>lumbago</t>
    <phoneticPr fontId="1" type="noConversion"/>
  </si>
  <si>
    <t>sciatica</t>
    <phoneticPr fontId="1" type="noConversion"/>
  </si>
  <si>
    <t>f</t>
    <phoneticPr fontId="1" type="noConversion"/>
  </si>
  <si>
    <t>f</t>
    <phoneticPr fontId="1" type="noConversion"/>
  </si>
  <si>
    <t>vasculitis</t>
    <phoneticPr fontId="1" type="noConversion"/>
  </si>
  <si>
    <t>rheumatism</t>
    <phoneticPr fontId="1" type="noConversion"/>
  </si>
  <si>
    <t>oral</t>
    <phoneticPr fontId="1" type="noConversion"/>
  </si>
  <si>
    <t>/d</t>
    <phoneticPr fontId="1" type="noConversion"/>
  </si>
  <si>
    <t>rheumatism</t>
    <phoneticPr fontId="1" type="noConversion"/>
  </si>
  <si>
    <t>contact dermatitis and other eczema</t>
    <phoneticPr fontId="1" type="noConversion"/>
  </si>
  <si>
    <t>allergy (unspecified)</t>
    <phoneticPr fontId="1" type="noConversion"/>
  </si>
  <si>
    <t>nondependent abuse of alcohol and tabacco</t>
    <phoneticPr fontId="1" type="noConversion"/>
  </si>
  <si>
    <t>gout</t>
    <phoneticPr fontId="1" type="noConversion"/>
  </si>
  <si>
    <t>glaucoma</t>
    <phoneticPr fontId="1" type="noConversion"/>
  </si>
  <si>
    <t>constipation</t>
    <phoneticPr fontId="1" type="noConversion"/>
  </si>
  <si>
    <t>gout</t>
    <phoneticPr fontId="1" type="noConversion"/>
  </si>
  <si>
    <t>heart failure, unspecified</t>
    <phoneticPr fontId="1" type="noConversion"/>
  </si>
  <si>
    <t>pan-ophtal</t>
    <phoneticPr fontId="1" type="noConversion"/>
  </si>
  <si>
    <t>dexpanthenol</t>
    <phoneticPr fontId="1" type="noConversion"/>
  </si>
  <si>
    <t>potassium citrate, potassium carbonate</t>
    <phoneticPr fontId="1" type="noConversion"/>
  </si>
  <si>
    <t>voltaren slow release</t>
    <phoneticPr fontId="1" type="noConversion"/>
  </si>
  <si>
    <t>kalinor</t>
    <phoneticPr fontId="1" type="noConversion"/>
  </si>
  <si>
    <t>diclo 1A pharma</t>
    <phoneticPr fontId="1" type="noConversion"/>
  </si>
  <si>
    <t>Kaliumjodid</t>
    <phoneticPr fontId="1" type="noConversion"/>
  </si>
  <si>
    <t>potassium iodide</t>
    <phoneticPr fontId="1" type="noConversion"/>
  </si>
  <si>
    <t>bisoprolol</t>
    <phoneticPr fontId="1" type="noConversion"/>
  </si>
  <si>
    <t>risedronic acid</t>
    <phoneticPr fontId="1" type="noConversion"/>
  </si>
  <si>
    <t>diclofenac 100mg supp</t>
    <phoneticPr fontId="1" type="noConversion"/>
  </si>
  <si>
    <t>diclofenac sodium</t>
    <phoneticPr fontId="1" type="noConversion"/>
  </si>
  <si>
    <t>diclofenac 100 stada retard</t>
    <phoneticPr fontId="1" type="noConversion"/>
  </si>
  <si>
    <t>372d</t>
    <phoneticPr fontId="1" type="noConversion"/>
  </si>
  <si>
    <t>marcumar</t>
    <phoneticPr fontId="1" type="noConversion"/>
  </si>
  <si>
    <t>phenprocoumon</t>
    <phoneticPr fontId="1" type="noConversion"/>
  </si>
  <si>
    <t>30Gtt</t>
    <phoneticPr fontId="1" type="noConversion"/>
  </si>
  <si>
    <t>tambocor</t>
    <phoneticPr fontId="1" type="noConversion"/>
  </si>
  <si>
    <t>flecainide acetate</t>
    <phoneticPr fontId="1" type="noConversion"/>
  </si>
  <si>
    <t>diclophlogont sl</t>
    <phoneticPr fontId="1" type="noConversion"/>
  </si>
  <si>
    <t>voltaren 100 zaepfchen</t>
    <phoneticPr fontId="1" type="noConversion"/>
  </si>
  <si>
    <t>bactrim</t>
    <phoneticPr fontId="1" type="noConversion"/>
  </si>
  <si>
    <t>mcp-tropfen</t>
    <phoneticPr fontId="1" type="noConversion"/>
  </si>
  <si>
    <t>mobec 7,5mg</t>
    <phoneticPr fontId="1" type="noConversion"/>
  </si>
  <si>
    <t>meloxicam</t>
    <phoneticPr fontId="1" type="noConversion"/>
  </si>
  <si>
    <t>aquaphor 40</t>
    <phoneticPr fontId="1" type="noConversion"/>
  </si>
  <si>
    <t>allvoran sf</t>
    <phoneticPr fontId="1" type="noConversion"/>
  </si>
  <si>
    <t>muskel trancopal compositum</t>
    <phoneticPr fontId="1" type="noConversion"/>
  </si>
  <si>
    <t>Analgetica, Muskelrelaxans Kombi</t>
    <phoneticPr fontId="1" type="noConversion"/>
  </si>
  <si>
    <t>bupivacaine</t>
    <phoneticPr fontId="1" type="noConversion"/>
  </si>
  <si>
    <t xml:space="preserve">volon a </t>
    <phoneticPr fontId="1" type="noConversion"/>
  </si>
  <si>
    <t>triamcinolone acetonide, neomycin sulfate, gramicidin</t>
    <phoneticPr fontId="1" type="noConversion"/>
  </si>
  <si>
    <t>Glukokortikoid, Antibiotika, Antibiotika Kombi</t>
    <phoneticPr fontId="1" type="noConversion"/>
  </si>
  <si>
    <t>paracetamol comp</t>
    <phoneticPr fontId="1" type="noConversion"/>
  </si>
  <si>
    <t>levothyroxin</t>
    <phoneticPr fontId="1" type="noConversion"/>
  </si>
  <si>
    <t>0,2mg/d</t>
    <phoneticPr fontId="1" type="noConversion"/>
  </si>
  <si>
    <t>4500mg/d</t>
    <phoneticPr fontId="1" type="noConversion"/>
  </si>
  <si>
    <t>0,4mg/d</t>
    <phoneticPr fontId="1" type="noConversion"/>
  </si>
  <si>
    <t>vincristine</t>
    <phoneticPr fontId="1" type="noConversion"/>
  </si>
  <si>
    <t>2mg/d</t>
    <phoneticPr fontId="1" type="noConversion"/>
  </si>
  <si>
    <t>pres plus</t>
    <phoneticPr fontId="1" type="noConversion"/>
  </si>
  <si>
    <t>hydrochlorothiazide, enalapril maleate</t>
    <phoneticPr fontId="1" type="noConversion"/>
  </si>
  <si>
    <t>zocor</t>
    <phoneticPr fontId="1" type="noConversion"/>
  </si>
  <si>
    <t>simvastatin</t>
    <phoneticPr fontId="1" type="noConversion"/>
  </si>
  <si>
    <t>atracurium besilate</t>
    <phoneticPr fontId="1" type="noConversion"/>
  </si>
  <si>
    <t>penicillin</t>
    <phoneticPr fontId="1" type="noConversion"/>
  </si>
  <si>
    <t>ultiva</t>
    <phoneticPr fontId="1" type="noConversion"/>
  </si>
  <si>
    <t>isocilin</t>
    <phoneticPr fontId="1" type="noConversion"/>
  </si>
  <si>
    <t>neostigmine</t>
    <phoneticPr fontId="1" type="noConversion"/>
  </si>
  <si>
    <t>bupivacain</t>
    <phoneticPr fontId="1" type="noConversion"/>
  </si>
  <si>
    <t>triamcinolone</t>
    <phoneticPr fontId="1" type="noConversion"/>
  </si>
  <si>
    <t>norepinephrine hydrochloride</t>
    <phoneticPr fontId="1" type="noConversion"/>
  </si>
  <si>
    <t>voltaren ophtha</t>
    <phoneticPr fontId="1" type="noConversion"/>
  </si>
  <si>
    <t>0,8ml/d</t>
    <phoneticPr fontId="1" type="noConversion"/>
  </si>
  <si>
    <t>torem</t>
    <phoneticPr fontId="1" type="noConversion"/>
  </si>
  <si>
    <t>torasemide</t>
    <phoneticPr fontId="1" type="noConversion"/>
  </si>
  <si>
    <t>1102d</t>
    <phoneticPr fontId="1" type="noConversion"/>
  </si>
  <si>
    <t>bisomerck plus</t>
    <phoneticPr fontId="1" type="noConversion"/>
  </si>
  <si>
    <t>bisoprolol hemifumarate, hydrochlorothiazide</t>
    <phoneticPr fontId="1" type="noConversion"/>
  </si>
  <si>
    <t>1Df7D</t>
    <phoneticPr fontId="1" type="noConversion"/>
  </si>
  <si>
    <t>multiple medication</t>
    <phoneticPr fontId="1" type="noConversion"/>
  </si>
  <si>
    <t>Natriumchlorid</t>
    <phoneticPr fontId="1" type="noConversion"/>
  </si>
  <si>
    <t>hot thermo</t>
    <phoneticPr fontId="1" type="noConversion"/>
  </si>
  <si>
    <t>glycol salicylate, benzyl nicotinate</t>
    <phoneticPr fontId="1" type="noConversion"/>
  </si>
  <si>
    <t>zoloft</t>
    <phoneticPr fontId="1" type="noConversion"/>
  </si>
  <si>
    <t>sertraline hydrochloride</t>
    <phoneticPr fontId="1" type="noConversion"/>
  </si>
  <si>
    <t>aprovel</t>
    <phoneticPr fontId="1" type="noConversion"/>
  </si>
  <si>
    <t>60mg/d</t>
    <phoneticPr fontId="1" type="noConversion"/>
  </si>
  <si>
    <t>87d</t>
    <phoneticPr fontId="1" type="noConversion"/>
  </si>
  <si>
    <t>hepa-merz sirup</t>
    <phoneticPr fontId="1" type="noConversion"/>
  </si>
  <si>
    <t>ornithin aspartate</t>
    <phoneticPr fontId="1" type="noConversion"/>
  </si>
  <si>
    <t>konakion n</t>
    <phoneticPr fontId="1" type="noConversion"/>
  </si>
  <si>
    <t>phytomenadione</t>
    <phoneticPr fontId="1" type="noConversion"/>
  </si>
  <si>
    <t>obsidan</t>
    <phoneticPr fontId="1" type="noConversion"/>
  </si>
  <si>
    <t>propranolol hydrochloride</t>
    <phoneticPr fontId="1" type="noConversion"/>
  </si>
  <si>
    <t>37,5mg/d</t>
    <phoneticPr fontId="1" type="noConversion"/>
  </si>
  <si>
    <t>diclofenac sodium, misoprostol</t>
    <phoneticPr fontId="1" type="noConversion"/>
  </si>
  <si>
    <t>arthotec forte</t>
    <phoneticPr fontId="1" type="noConversion"/>
  </si>
  <si>
    <t>benzyl nicotinate, camphor</t>
    <phoneticPr fontId="1" type="noConversion"/>
  </si>
  <si>
    <t>isoglaucon</t>
    <phoneticPr fontId="1" type="noConversion"/>
  </si>
  <si>
    <t>uripurinol-300</t>
    <phoneticPr fontId="1" type="noConversion"/>
  </si>
  <si>
    <t>iso mack</t>
    <phoneticPr fontId="1" type="noConversion"/>
  </si>
  <si>
    <t>claudicat</t>
    <phoneticPr fontId="1" type="noConversion"/>
  </si>
  <si>
    <t>pentoxifylline</t>
    <phoneticPr fontId="1" type="noConversion"/>
  </si>
  <si>
    <t>psyquil</t>
    <phoneticPr fontId="1" type="noConversion"/>
  </si>
  <si>
    <t>triflupromazine</t>
    <phoneticPr fontId="1" type="noConversion"/>
  </si>
  <si>
    <t>arelix</t>
    <phoneticPr fontId="1" type="noConversion"/>
  </si>
  <si>
    <t>piretanide</t>
    <phoneticPr fontId="1" type="noConversion"/>
  </si>
  <si>
    <t>durazanil 6</t>
    <phoneticPr fontId="1" type="noConversion"/>
  </si>
  <si>
    <t>lormetazepam</t>
    <phoneticPr fontId="1" type="noConversion"/>
  </si>
  <si>
    <t>adumbran</t>
    <phoneticPr fontId="1" type="noConversion"/>
  </si>
  <si>
    <t>kaliumchloridlösung</t>
    <phoneticPr fontId="1" type="noConversion"/>
  </si>
  <si>
    <t>metoclopamide hydrochloride</t>
    <phoneticPr fontId="1" type="noConversion"/>
  </si>
  <si>
    <t>complamin retard</t>
    <phoneticPr fontId="1" type="noConversion"/>
  </si>
  <si>
    <t>xantinol nicotinate</t>
    <phoneticPr fontId="1" type="noConversion"/>
  </si>
  <si>
    <t>2Df/d</t>
    <phoneticPr fontId="1" type="noConversion"/>
  </si>
  <si>
    <t>stadasan 200</t>
    <phoneticPr fontId="1" type="noConversion"/>
  </si>
  <si>
    <t>restlessness, unrest, narcosis, fever, parenteral nutrition, nausea</t>
    <phoneticPr fontId="1" type="noConversion"/>
  </si>
  <si>
    <t>constipation</t>
    <phoneticPr fontId="1" type="noConversion"/>
  </si>
  <si>
    <t>bronchial secretion retention, respiratory obstruction unspecified</t>
    <phoneticPr fontId="1" type="noConversion"/>
  </si>
  <si>
    <t>260d</t>
    <phoneticPr fontId="1" type="noConversion"/>
  </si>
  <si>
    <t>topical</t>
    <phoneticPr fontId="1" type="noConversion"/>
  </si>
  <si>
    <t>sterofundin</t>
    <phoneticPr fontId="1" type="noConversion"/>
  </si>
  <si>
    <t>tocopherol, ergocalciferol, retinol palmitate, phytomenadione</t>
    <phoneticPr fontId="1" type="noConversion"/>
  </si>
  <si>
    <t>tim-ophthal</t>
    <phoneticPr fontId="1" type="noConversion"/>
  </si>
  <si>
    <t>timolol maleate</t>
    <phoneticPr fontId="1" type="noConversion"/>
  </si>
  <si>
    <t>tavegil</t>
    <phoneticPr fontId="1" type="noConversion"/>
  </si>
  <si>
    <t>clemastine</t>
    <phoneticPr fontId="1" type="noConversion"/>
  </si>
  <si>
    <t>amlodipine</t>
    <phoneticPr fontId="1" type="noConversion"/>
  </si>
  <si>
    <t>76d</t>
    <phoneticPr fontId="1" type="noConversion"/>
  </si>
  <si>
    <t>silomat</t>
    <phoneticPr fontId="1" type="noConversion"/>
  </si>
  <si>
    <t>clobutinol hydrochloride</t>
    <phoneticPr fontId="1" type="noConversion"/>
  </si>
  <si>
    <t>kontrastmittel</t>
    <phoneticPr fontId="1" type="noConversion"/>
  </si>
  <si>
    <t>55d</t>
    <phoneticPr fontId="1" type="noConversion"/>
  </si>
  <si>
    <t>tagamet</t>
    <phoneticPr fontId="1" type="noConversion"/>
  </si>
  <si>
    <t>cimetidine</t>
    <phoneticPr fontId="1" type="noConversion"/>
  </si>
  <si>
    <t>betaisodona</t>
    <phoneticPr fontId="1" type="noConversion"/>
  </si>
  <si>
    <t>povidone-iodine</t>
    <phoneticPr fontId="1" type="noConversion"/>
  </si>
  <si>
    <t>betavert</t>
    <phoneticPr fontId="1" type="noConversion"/>
  </si>
  <si>
    <t>betahistidine mesilate</t>
    <phoneticPr fontId="1" type="noConversion"/>
  </si>
  <si>
    <t>Kontrastmittel</t>
    <phoneticPr fontId="1" type="noConversion"/>
  </si>
  <si>
    <t>imurek</t>
    <phoneticPr fontId="1" type="noConversion"/>
  </si>
  <si>
    <t>azathioprine</t>
    <phoneticPr fontId="1" type="noConversion"/>
  </si>
  <si>
    <t>sortis</t>
    <phoneticPr fontId="1" type="noConversion"/>
  </si>
  <si>
    <t>atorvastatin calcium</t>
    <phoneticPr fontId="1" type="noConversion"/>
  </si>
  <si>
    <t>klosterfrau melissengeist</t>
    <phoneticPr fontId="1" type="noConversion"/>
  </si>
  <si>
    <t>ethanol, herbal extracts nos</t>
    <phoneticPr fontId="1" type="noConversion"/>
  </si>
  <si>
    <t>nitro-spray</t>
    <phoneticPr fontId="1" type="noConversion"/>
  </si>
  <si>
    <t>vigantoletten</t>
    <phoneticPr fontId="1" type="noConversion"/>
  </si>
  <si>
    <t>colecaliferol</t>
    <phoneticPr fontId="1" type="noConversion"/>
  </si>
  <si>
    <t>corvaton</t>
    <phoneticPr fontId="1" type="noConversion"/>
  </si>
  <si>
    <t>korodin</t>
    <phoneticPr fontId="1" type="noConversion"/>
  </si>
  <si>
    <t>15Gtt/d</t>
    <phoneticPr fontId="1" type="noConversion"/>
  </si>
  <si>
    <t>2,5mg/d</t>
    <phoneticPr fontId="1" type="noConversion"/>
  </si>
  <si>
    <t>nevirapine</t>
    <phoneticPr fontId="1" type="noConversion"/>
  </si>
  <si>
    <t>aponal</t>
    <phoneticPr fontId="1" type="noConversion"/>
  </si>
  <si>
    <t>doxepin hydrochloride</t>
    <phoneticPr fontId="1" type="noConversion"/>
  </si>
  <si>
    <t>elmendos 25 mg tabletten</t>
    <phoneticPr fontId="1" type="noConversion"/>
  </si>
  <si>
    <t>lamotrigine</t>
    <phoneticPr fontId="1" type="noConversion"/>
  </si>
  <si>
    <t>thyreotom</t>
    <phoneticPr fontId="1" type="noConversion"/>
  </si>
  <si>
    <t>levothyroxine sodium, liothyroine</t>
    <phoneticPr fontId="1" type="noConversion"/>
  </si>
  <si>
    <t>elmendos 50 mg tabletten</t>
    <phoneticPr fontId="1" type="noConversion"/>
  </si>
  <si>
    <t>lamotrigine</t>
    <phoneticPr fontId="1" type="noConversion"/>
  </si>
  <si>
    <t>acetonel</t>
    <phoneticPr fontId="1" type="noConversion"/>
  </si>
  <si>
    <t>calcitonin, salmon</t>
    <phoneticPr fontId="1" type="noConversion"/>
  </si>
  <si>
    <t>80mg/d</t>
    <phoneticPr fontId="1" type="noConversion"/>
  </si>
  <si>
    <t>6d</t>
    <phoneticPr fontId="1" type="noConversion"/>
  </si>
  <si>
    <t>8mg/d</t>
    <phoneticPr fontId="1" type="noConversion"/>
  </si>
  <si>
    <t>6mg/d</t>
    <phoneticPr fontId="1" type="noConversion"/>
  </si>
  <si>
    <t>3d</t>
    <phoneticPr fontId="1" type="noConversion"/>
  </si>
  <si>
    <t>supplementation therapy</t>
    <phoneticPr fontId="1" type="noConversion"/>
  </si>
  <si>
    <t>11d</t>
    <phoneticPr fontId="1" type="noConversion"/>
  </si>
  <si>
    <t>7d</t>
    <phoneticPr fontId="1" type="noConversion"/>
  </si>
  <si>
    <t>3mg/d</t>
    <phoneticPr fontId="1" type="noConversion"/>
  </si>
  <si>
    <t>myogit</t>
    <phoneticPr fontId="1" type="noConversion"/>
  </si>
  <si>
    <t>euphyllin</t>
    <phoneticPr fontId="1" type="noConversion"/>
  </si>
  <si>
    <t>aminophylline</t>
    <phoneticPr fontId="1" type="noConversion"/>
  </si>
  <si>
    <t>lopirin</t>
    <phoneticPr fontId="1" type="noConversion"/>
  </si>
  <si>
    <t>verapamil hydrochloride</t>
    <phoneticPr fontId="1" type="noConversion"/>
  </si>
  <si>
    <t>lasix</t>
    <phoneticPr fontId="1" type="noConversion"/>
  </si>
  <si>
    <t>kortison</t>
    <phoneticPr fontId="1" type="noConversion"/>
  </si>
  <si>
    <t>cortisone acetate</t>
    <phoneticPr fontId="1" type="noConversion"/>
  </si>
  <si>
    <t>calcium brausetabletten</t>
    <phoneticPr fontId="1" type="noConversion"/>
  </si>
  <si>
    <t>thrombosis prophylaxis</t>
    <phoneticPr fontId="1" type="noConversion"/>
  </si>
  <si>
    <t>5d</t>
    <phoneticPr fontId="1" type="noConversion"/>
  </si>
  <si>
    <t>prophylaxis</t>
    <phoneticPr fontId="1" type="noConversion"/>
  </si>
  <si>
    <t>1d</t>
    <phoneticPr fontId="1" type="noConversion"/>
  </si>
  <si>
    <t>nitro</t>
    <phoneticPr fontId="1" type="noConversion"/>
  </si>
  <si>
    <t>hypertension arterial</t>
    <phoneticPr fontId="1" type="noConversion"/>
  </si>
  <si>
    <t>160gtt/d</t>
    <phoneticPr fontId="1" type="noConversion"/>
  </si>
  <si>
    <t>10d</t>
    <phoneticPr fontId="1" type="noConversion"/>
  </si>
  <si>
    <t>20mg/d</t>
    <phoneticPr fontId="1" type="noConversion"/>
  </si>
  <si>
    <t>5d</t>
    <phoneticPr fontId="1" type="noConversion"/>
  </si>
  <si>
    <t>8d</t>
    <phoneticPr fontId="1" type="noConversion"/>
  </si>
  <si>
    <t>ofloxacin</t>
    <phoneticPr fontId="1" type="noConversion"/>
  </si>
  <si>
    <t>omnipaque-300</t>
    <phoneticPr fontId="1" type="noConversion"/>
  </si>
  <si>
    <t>iohexol</t>
    <phoneticPr fontId="1" type="noConversion"/>
  </si>
  <si>
    <t>spasmex</t>
    <phoneticPr fontId="1" type="noConversion"/>
  </si>
  <si>
    <t>trospium chloride</t>
    <phoneticPr fontId="1" type="noConversion"/>
  </si>
  <si>
    <t>dytide h</t>
    <phoneticPr fontId="1" type="noConversion"/>
  </si>
  <si>
    <t>azulfidine</t>
    <phoneticPr fontId="1" type="noConversion"/>
  </si>
  <si>
    <t>sulfasalazine</t>
    <phoneticPr fontId="1" type="noConversion"/>
  </si>
  <si>
    <t>Antiphlogistikum, Antirheumatikum</t>
    <phoneticPr fontId="1" type="noConversion"/>
  </si>
  <si>
    <t>duravolten</t>
    <phoneticPr fontId="1" type="noConversion"/>
  </si>
  <si>
    <t>esidrix</t>
    <phoneticPr fontId="1" type="noConversion"/>
  </si>
  <si>
    <t>hydrochlorothiazide</t>
    <phoneticPr fontId="1" type="noConversion"/>
  </si>
  <si>
    <t>voltaren resinate</t>
    <phoneticPr fontId="1" type="noConversion"/>
  </si>
  <si>
    <t>lasix 20</t>
    <phoneticPr fontId="1" type="noConversion"/>
  </si>
  <si>
    <t>cefotaxime</t>
    <phoneticPr fontId="1" type="noConversion"/>
  </si>
  <si>
    <t>godamed 100</t>
    <phoneticPr fontId="1" type="noConversion"/>
  </si>
  <si>
    <t>antra</t>
    <phoneticPr fontId="1" type="noConversion"/>
  </si>
  <si>
    <t>metoclopramide hydrochloride</t>
    <phoneticPr fontId="1" type="noConversion"/>
  </si>
  <si>
    <t>lantus</t>
    <phoneticPr fontId="1" type="noConversion"/>
  </si>
  <si>
    <t>bifiteral sirup</t>
    <phoneticPr fontId="1" type="noConversion"/>
  </si>
  <si>
    <t>alt.insulin</t>
    <phoneticPr fontId="1" type="noConversion"/>
  </si>
  <si>
    <t>16lu</t>
    <phoneticPr fontId="1" type="noConversion"/>
  </si>
  <si>
    <t>durogesic</t>
    <phoneticPr fontId="1" type="noConversion"/>
  </si>
  <si>
    <t>62d</t>
    <phoneticPr fontId="1" type="noConversion"/>
  </si>
  <si>
    <t>saroten</t>
    <phoneticPr fontId="1" type="noConversion"/>
  </si>
  <si>
    <t>25mg</t>
    <phoneticPr fontId="1" type="noConversion"/>
  </si>
  <si>
    <t>neurontin</t>
    <phoneticPr fontId="1" type="noConversion"/>
  </si>
  <si>
    <t>gabapentin</t>
    <phoneticPr fontId="1" type="noConversion"/>
  </si>
  <si>
    <t>5Gtt/d</t>
    <phoneticPr fontId="1" type="noConversion"/>
  </si>
  <si>
    <t>41d</t>
    <phoneticPr fontId="1" type="noConversion"/>
  </si>
  <si>
    <t>laxoberal</t>
    <phoneticPr fontId="1" type="noConversion"/>
  </si>
  <si>
    <t>nexium mups</t>
    <phoneticPr fontId="1" type="noConversion"/>
  </si>
  <si>
    <t>esomeprazole</t>
    <phoneticPr fontId="1" type="noConversion"/>
  </si>
  <si>
    <t>33d</t>
    <phoneticPr fontId="1" type="noConversion"/>
  </si>
  <si>
    <t>movicol</t>
    <phoneticPr fontId="1" type="noConversion"/>
  </si>
  <si>
    <t>macrogol, sodium bicarbonate, sodium chloride, potassium chloride</t>
    <phoneticPr fontId="1" type="noConversion"/>
  </si>
  <si>
    <t>113d</t>
    <phoneticPr fontId="1" type="noConversion"/>
  </si>
  <si>
    <t>sevredol</t>
    <phoneticPr fontId="1" type="noConversion"/>
  </si>
  <si>
    <t>metamizole sodium</t>
    <phoneticPr fontId="1" type="noConversion"/>
  </si>
  <si>
    <t>refobacin</t>
    <phoneticPr fontId="1" type="noConversion"/>
  </si>
  <si>
    <t>gentamicin sulfate</t>
    <phoneticPr fontId="1" type="noConversion"/>
  </si>
  <si>
    <t>supramycin</t>
    <phoneticPr fontId="1" type="noConversion"/>
  </si>
  <si>
    <t>chlortetracycline hydrochloride, tetracycline hydrochloride</t>
    <phoneticPr fontId="1" type="noConversion"/>
  </si>
  <si>
    <t>tarivid</t>
    <phoneticPr fontId="1" type="noConversion"/>
  </si>
  <si>
    <t>ofloxacin</t>
    <phoneticPr fontId="1" type="noConversion"/>
  </si>
  <si>
    <t>ciprobay 500</t>
    <phoneticPr fontId="1" type="noConversion"/>
  </si>
  <si>
    <t>ciprofloxacin hydrochloride</t>
    <phoneticPr fontId="1" type="noConversion"/>
  </si>
  <si>
    <t>dexa-clinit injektion</t>
    <phoneticPr fontId="1" type="noConversion"/>
  </si>
  <si>
    <t>curaflex</t>
    <phoneticPr fontId="1" type="noConversion"/>
  </si>
  <si>
    <t>moxifloxacin hydrochloride</t>
    <phoneticPr fontId="1" type="noConversion"/>
  </si>
  <si>
    <t>400mg/d</t>
    <phoneticPr fontId="1" type="noConversion"/>
  </si>
  <si>
    <t>4d</t>
    <phoneticPr fontId="1" type="noConversion"/>
  </si>
  <si>
    <t>psoas abcess</t>
    <phoneticPr fontId="1" type="noConversion"/>
  </si>
  <si>
    <t>pulmonary disorder</t>
    <phoneticPr fontId="1" type="noConversion"/>
  </si>
  <si>
    <t>acetylsalicylic acid, lithium citrate, quinine citrate</t>
    <phoneticPr fontId="1" type="noConversion"/>
  </si>
  <si>
    <t>cardio-longoral</t>
    <phoneticPr fontId="1" type="noConversion"/>
  </si>
  <si>
    <t>potassium hydrogen aspartate, crataegus extract, magnesium hydrogen aspartat</t>
    <phoneticPr fontId="1" type="noConversion"/>
  </si>
  <si>
    <t>Herz-Kreislauf unterstützende Tablette (pflanzlich)</t>
    <phoneticPr fontId="1" type="noConversion"/>
  </si>
  <si>
    <t>nausea</t>
    <phoneticPr fontId="1" type="noConversion"/>
  </si>
  <si>
    <t>gastritis prophylaxis</t>
    <phoneticPr fontId="1" type="noConversion"/>
  </si>
  <si>
    <t>gastritis prophylaxis</t>
    <phoneticPr fontId="1" type="noConversion"/>
  </si>
  <si>
    <t>collagenosis</t>
    <phoneticPr fontId="1" type="noConversion"/>
  </si>
  <si>
    <t>yersinia infection</t>
    <phoneticPr fontId="1" type="noConversion"/>
  </si>
  <si>
    <t>pruritus</t>
    <phoneticPr fontId="1" type="noConversion"/>
  </si>
  <si>
    <t>dyspnoea</t>
    <phoneticPr fontId="1" type="noConversion"/>
  </si>
  <si>
    <t>polyneuopathy, atonic bladder (neurogenic)</t>
    <phoneticPr fontId="1" type="noConversion"/>
  </si>
  <si>
    <t>pain</t>
    <phoneticPr fontId="1" type="noConversion"/>
  </si>
  <si>
    <t>cystitis</t>
    <phoneticPr fontId="1" type="noConversion"/>
  </si>
  <si>
    <t>thrombsis prophylaxis</t>
    <phoneticPr fontId="1" type="noConversion"/>
  </si>
  <si>
    <t>diabetes mellitus</t>
    <phoneticPr fontId="1" type="noConversion"/>
  </si>
  <si>
    <t>diabetes mellitus</t>
    <phoneticPr fontId="1" type="noConversion"/>
  </si>
  <si>
    <t>electrolytes nis</t>
    <phoneticPr fontId="1" type="noConversion"/>
  </si>
  <si>
    <t>develin retard</t>
    <phoneticPr fontId="1" type="noConversion"/>
  </si>
  <si>
    <t>dextroproproxyphene hydrochloride</t>
    <phoneticPr fontId="1" type="noConversion"/>
  </si>
  <si>
    <t>abnoba ciscum injektionslsg</t>
    <phoneticPr fontId="1" type="noConversion"/>
  </si>
  <si>
    <t>homeopatics nos</t>
    <phoneticPr fontId="1" type="noConversion"/>
  </si>
  <si>
    <t>glucose 5% infusion</t>
    <phoneticPr fontId="1" type="noConversion"/>
  </si>
  <si>
    <t>acic 250 pi</t>
    <phoneticPr fontId="1" type="noConversion"/>
  </si>
  <si>
    <t>aciclovir sodium</t>
    <phoneticPr fontId="1" type="noConversion"/>
  </si>
  <si>
    <t>esberitox</t>
    <phoneticPr fontId="1" type="noConversion"/>
  </si>
  <si>
    <t>glucose, potassium chloride, sodium chloride, calcium chloride dihydrate</t>
    <phoneticPr fontId="1" type="noConversion"/>
  </si>
  <si>
    <t>2l</t>
    <phoneticPr fontId="1" type="noConversion"/>
  </si>
  <si>
    <t>5mg</t>
    <phoneticPr fontId="1" type="noConversion"/>
  </si>
  <si>
    <t>nexium</t>
    <phoneticPr fontId="1" type="noConversion"/>
  </si>
  <si>
    <t>80mg/d</t>
    <phoneticPr fontId="1" type="noConversion"/>
  </si>
  <si>
    <t>nitrolingual-spray</t>
    <phoneticPr fontId="1" type="noConversion"/>
  </si>
  <si>
    <t>novalgin</t>
  </si>
  <si>
    <t>metamizole</t>
  </si>
  <si>
    <t>amoxicillin trihydrate, clavulanic acid</t>
    <phoneticPr fontId="1" type="noConversion"/>
  </si>
  <si>
    <t>4400mg/d</t>
    <phoneticPr fontId="1" type="noConversion"/>
  </si>
  <si>
    <t>enoxaparin</t>
    <phoneticPr fontId="1" type="noConversion"/>
  </si>
  <si>
    <t>bayotensin</t>
    <phoneticPr fontId="1" type="noConversion"/>
  </si>
  <si>
    <t>nitrendipine</t>
    <phoneticPr fontId="1" type="noConversion"/>
  </si>
  <si>
    <t>lorzaar plus</t>
    <phoneticPr fontId="1" type="noConversion"/>
  </si>
  <si>
    <t>combivir</t>
    <phoneticPr fontId="1" type="noConversion"/>
  </si>
  <si>
    <t>zidovudine, lamivudine</t>
    <phoneticPr fontId="1" type="noConversion"/>
  </si>
  <si>
    <t>35d</t>
    <phoneticPr fontId="1" type="noConversion"/>
  </si>
  <si>
    <t>viramune</t>
    <phoneticPr fontId="1" type="noConversion"/>
  </si>
  <si>
    <t>homoeopathika</t>
    <phoneticPr fontId="1" type="noConversion"/>
  </si>
  <si>
    <t>theophylline</t>
    <phoneticPr fontId="1" type="noConversion"/>
  </si>
  <si>
    <t>asclepias oligoplex</t>
    <phoneticPr fontId="1" type="noConversion"/>
  </si>
  <si>
    <t>homoeopatics nos</t>
    <phoneticPr fontId="1" type="noConversion"/>
  </si>
  <si>
    <t>impletol</t>
    <phoneticPr fontId="1" type="noConversion"/>
  </si>
  <si>
    <t>procaine hydrochloride, caffeine</t>
    <phoneticPr fontId="1" type="noConversion"/>
  </si>
  <si>
    <t>5ml</t>
    <phoneticPr fontId="1" type="noConversion"/>
  </si>
  <si>
    <t>dolantin</t>
    <phoneticPr fontId="1" type="noConversion"/>
  </si>
  <si>
    <t>pethidine hydrochloride</t>
    <phoneticPr fontId="1" type="noConversion"/>
  </si>
  <si>
    <t>15Kiu/d</t>
    <phoneticPr fontId="1" type="noConversion"/>
  </si>
  <si>
    <t>doxorubicin hydrochloride</t>
    <phoneticPr fontId="1" type="noConversion"/>
  </si>
  <si>
    <t>15mg</t>
    <phoneticPr fontId="1" type="noConversion"/>
  </si>
  <si>
    <t>karil</t>
    <phoneticPr fontId="1" type="noConversion"/>
  </si>
  <si>
    <t>vitamin K</t>
    <phoneticPr fontId="1" type="noConversion"/>
  </si>
  <si>
    <t>phytomenadione</t>
    <phoneticPr fontId="1" type="noConversion"/>
  </si>
  <si>
    <t>1d</t>
    <phoneticPr fontId="1" type="noConversion"/>
  </si>
  <si>
    <t>anticoagulants/antithombotics</t>
    <phoneticPr fontId="1" type="noConversion"/>
  </si>
  <si>
    <t>antidepressants</t>
    <phoneticPr fontId="1" type="noConversion"/>
  </si>
  <si>
    <t>antidiabetics</t>
    <phoneticPr fontId="1" type="noConversion"/>
  </si>
  <si>
    <t>antidiarrheals</t>
    <phoneticPr fontId="1" type="noConversion"/>
  </si>
  <si>
    <t>3d</t>
    <phoneticPr fontId="1" type="noConversion"/>
  </si>
  <si>
    <t>9d</t>
    <phoneticPr fontId="1" type="noConversion"/>
  </si>
  <si>
    <t>40mg/d</t>
    <phoneticPr fontId="1" type="noConversion"/>
  </si>
  <si>
    <t>160mg/d</t>
    <phoneticPr fontId="1" type="noConversion"/>
  </si>
  <si>
    <t>diuresis</t>
    <phoneticPr fontId="1" type="noConversion"/>
  </si>
  <si>
    <t>75mg/d</t>
    <phoneticPr fontId="1" type="noConversion"/>
  </si>
  <si>
    <t>magnetrans</t>
    <phoneticPr fontId="1" type="noConversion"/>
  </si>
  <si>
    <t>magnetrans forte</t>
    <phoneticPr fontId="1" type="noConversion"/>
  </si>
  <si>
    <t>magnesium oxide</t>
    <phoneticPr fontId="1" type="noConversion"/>
  </si>
  <si>
    <t>600mg/d</t>
    <phoneticPr fontId="1" type="noConversion"/>
  </si>
  <si>
    <t>300lu</t>
    <phoneticPr fontId="1" type="noConversion"/>
  </si>
  <si>
    <t>prostate drug</t>
    <phoneticPr fontId="1" type="noConversion"/>
  </si>
  <si>
    <t>female</t>
    <phoneticPr fontId="1" type="noConversion"/>
  </si>
  <si>
    <t>male</t>
    <phoneticPr fontId="1" type="noConversion"/>
  </si>
  <si>
    <t>AUFBAU DER TABELLE</t>
    <phoneticPr fontId="1" type="noConversion"/>
  </si>
  <si>
    <t>hypercolesterolaemia, diabetes mellitus, hypocalcemia</t>
    <phoneticPr fontId="1" type="noConversion"/>
  </si>
  <si>
    <t>pain, fever, nausea</t>
    <phoneticPr fontId="1" type="noConversion"/>
  </si>
  <si>
    <t>19d</t>
    <phoneticPr fontId="1" type="noConversion"/>
  </si>
  <si>
    <t>22d</t>
    <phoneticPr fontId="1" type="noConversion"/>
  </si>
  <si>
    <t>thrombosis prophylaxis</t>
    <phoneticPr fontId="1" type="noConversion"/>
  </si>
  <si>
    <t>pain</t>
    <phoneticPr fontId="1" type="noConversion"/>
  </si>
  <si>
    <t>prednisolon sodium succinate</t>
    <phoneticPr fontId="1" type="noConversion"/>
  </si>
  <si>
    <t>hypertension arterial</t>
    <phoneticPr fontId="1" type="noConversion"/>
  </si>
  <si>
    <t>hypertension arterial</t>
    <phoneticPr fontId="1" type="noConversion"/>
  </si>
  <si>
    <t>paspertin tropfen</t>
    <phoneticPr fontId="1" type="noConversion"/>
  </si>
  <si>
    <t>metoclopramide hydrochloride</t>
    <phoneticPr fontId="1" type="noConversion"/>
  </si>
  <si>
    <t>spasmo-cibalgin compositum s</t>
    <phoneticPr fontId="1" type="noConversion"/>
  </si>
  <si>
    <t>propyphenazone, codeine phosphat, drofenine hydrochlorid</t>
    <phoneticPr fontId="1" type="noConversion"/>
  </si>
  <si>
    <t>Analgetikum, Spasmolyitkum/Parasympatikolytika, Opioid Kombi</t>
    <phoneticPr fontId="1" type="noConversion"/>
  </si>
  <si>
    <t>buscopan</t>
    <phoneticPr fontId="1" type="noConversion"/>
  </si>
  <si>
    <t>omeprazole</t>
    <phoneticPr fontId="1" type="noConversion"/>
  </si>
  <si>
    <t>erythromycin</t>
    <phoneticPr fontId="1" type="noConversion"/>
  </si>
  <si>
    <t>elobact 250</t>
    <phoneticPr fontId="1" type="noConversion"/>
  </si>
  <si>
    <t>cefuroxime axetil</t>
    <phoneticPr fontId="1" type="noConversion"/>
  </si>
  <si>
    <t>moronal suspension</t>
    <phoneticPr fontId="1" type="noConversion"/>
  </si>
  <si>
    <t>berodual dosier-aerosol</t>
    <phoneticPr fontId="1" type="noConversion"/>
  </si>
  <si>
    <t>fenoterol hydrobromide, ipratropium bromide</t>
    <phoneticPr fontId="1" type="noConversion"/>
  </si>
  <si>
    <t>Sympathomimetika, Parasympatikolytika Kombi</t>
    <phoneticPr fontId="1" type="noConversion"/>
  </si>
  <si>
    <t>gramaxin</t>
    <phoneticPr fontId="1" type="noConversion"/>
  </si>
  <si>
    <t>cefazolin sodium</t>
    <phoneticPr fontId="1" type="noConversion"/>
  </si>
  <si>
    <t>pulmicort</t>
    <phoneticPr fontId="1" type="noConversion"/>
  </si>
  <si>
    <t>budesonide</t>
    <phoneticPr fontId="1" type="noConversion"/>
  </si>
  <si>
    <t>budesonide</t>
    <phoneticPr fontId="1" type="noConversion"/>
  </si>
  <si>
    <t>noctamid</t>
    <phoneticPr fontId="1" type="noConversion"/>
  </si>
  <si>
    <t>noctamid</t>
    <phoneticPr fontId="1" type="noConversion"/>
  </si>
  <si>
    <t>lormetazepam</t>
    <phoneticPr fontId="1" type="noConversion"/>
  </si>
  <si>
    <t>metamizole</t>
    <phoneticPr fontId="1" type="noConversion"/>
  </si>
  <si>
    <t>1Df/D</t>
    <phoneticPr fontId="1" type="noConversion"/>
  </si>
  <si>
    <t>Gallekapseln</t>
    <phoneticPr fontId="1" type="noConversion"/>
  </si>
  <si>
    <t>ubretid</t>
    <phoneticPr fontId="1" type="noConversion"/>
  </si>
  <si>
    <t>distigmine bromide</t>
    <phoneticPr fontId="1" type="noConversion"/>
  </si>
  <si>
    <t>cholspasmin forte</t>
    <phoneticPr fontId="1" type="noConversion"/>
  </si>
  <si>
    <t>hymecromone</t>
    <phoneticPr fontId="1" type="noConversion"/>
  </si>
  <si>
    <t>3Df/d</t>
    <phoneticPr fontId="1" type="noConversion"/>
  </si>
  <si>
    <t>diclofenac 50 stada</t>
    <phoneticPr fontId="1" type="noConversion"/>
  </si>
  <si>
    <t>diclefenac ratiopharm sf</t>
    <phoneticPr fontId="1" type="noConversion"/>
  </si>
  <si>
    <t>clinit-n for injection</t>
    <phoneticPr fontId="1" type="noConversion"/>
  </si>
  <si>
    <t>lidocaine, cyanocobalamin, salamidacetic acid</t>
    <phoneticPr fontId="1" type="noConversion"/>
  </si>
  <si>
    <t>immunomodulators</t>
    <phoneticPr fontId="1" type="noConversion"/>
  </si>
  <si>
    <t>immunosuppressives</t>
    <phoneticPr fontId="1" type="noConversion"/>
  </si>
  <si>
    <t>keratolytics</t>
    <phoneticPr fontId="1" type="noConversion"/>
  </si>
  <si>
    <t>lipid-loweering agents</t>
    <phoneticPr fontId="1" type="noConversion"/>
  </si>
  <si>
    <t>muscle relaxant</t>
    <phoneticPr fontId="1" type="noConversion"/>
  </si>
  <si>
    <t>neuropathy agent</t>
    <phoneticPr fontId="1" type="noConversion"/>
  </si>
  <si>
    <t>2d</t>
    <phoneticPr fontId="1" type="noConversion"/>
  </si>
  <si>
    <t>150mg/d</t>
    <phoneticPr fontId="1" type="noConversion"/>
  </si>
  <si>
    <t>150mg/d</t>
    <phoneticPr fontId="1" type="noConversion"/>
  </si>
  <si>
    <t>1d</t>
    <phoneticPr fontId="1" type="noConversion"/>
  </si>
  <si>
    <t>catapresan</t>
    <phoneticPr fontId="1" type="noConversion"/>
  </si>
  <si>
    <t>clonidine</t>
    <phoneticPr fontId="1" type="noConversion"/>
  </si>
  <si>
    <t>450mg/d</t>
    <phoneticPr fontId="1" type="noConversion"/>
  </si>
  <si>
    <t>150mg/d</t>
    <phoneticPr fontId="1" type="noConversion"/>
  </si>
  <si>
    <t>5d</t>
    <phoneticPr fontId="1" type="noConversion"/>
  </si>
  <si>
    <t>oral</t>
    <phoneticPr fontId="1" type="noConversion"/>
  </si>
  <si>
    <t>abdominal pain</t>
    <phoneticPr fontId="1" type="noConversion"/>
  </si>
  <si>
    <t>abdominal pain</t>
    <phoneticPr fontId="1" type="noConversion"/>
  </si>
  <si>
    <t>depression</t>
    <phoneticPr fontId="1" type="noConversion"/>
  </si>
  <si>
    <t>drug use for unknown indication</t>
    <phoneticPr fontId="1" type="noConversion"/>
  </si>
  <si>
    <t>drug use for unknown indication</t>
    <phoneticPr fontId="1" type="noConversion"/>
  </si>
  <si>
    <t>prophylaxis</t>
    <phoneticPr fontId="1" type="noConversion"/>
  </si>
  <si>
    <t>hypertension arterial</t>
    <phoneticPr fontId="1" type="noConversion"/>
  </si>
  <si>
    <t>thrombosis</t>
    <phoneticPr fontId="1" type="noConversion"/>
  </si>
  <si>
    <t>prostatitis</t>
    <phoneticPr fontId="1" type="noConversion"/>
  </si>
  <si>
    <t>diabetic polyneuropathy</t>
    <phoneticPr fontId="1" type="noConversion"/>
  </si>
  <si>
    <t>diabetes mellitus</t>
    <phoneticPr fontId="1" type="noConversion"/>
  </si>
  <si>
    <t>diabetic polyneuropathy</t>
    <phoneticPr fontId="1" type="noConversion"/>
  </si>
  <si>
    <t>diabetic polyneuropathy</t>
    <phoneticPr fontId="1" type="noConversion"/>
  </si>
  <si>
    <t>arterenol</t>
    <phoneticPr fontId="1" type="noConversion"/>
  </si>
  <si>
    <t>4d</t>
    <phoneticPr fontId="1" type="noConversion"/>
  </si>
  <si>
    <t>polyneuropathy</t>
    <phoneticPr fontId="1" type="noConversion"/>
  </si>
  <si>
    <t>seizure</t>
    <phoneticPr fontId="1" type="noConversion"/>
  </si>
  <si>
    <t>seizure</t>
    <phoneticPr fontId="1" type="noConversion"/>
  </si>
  <si>
    <t>hypertension arterial</t>
    <phoneticPr fontId="1" type="noConversion"/>
  </si>
  <si>
    <t>sleep disorder</t>
    <phoneticPr fontId="1" type="noConversion"/>
  </si>
  <si>
    <t>hypercholesterolemia</t>
    <phoneticPr fontId="1" type="noConversion"/>
  </si>
  <si>
    <t>vitamin c deficiency</t>
    <phoneticPr fontId="1" type="noConversion"/>
  </si>
  <si>
    <t>meteorism; Antiflatulanzien</t>
    <phoneticPr fontId="1" type="noConversion"/>
  </si>
  <si>
    <t>hyponatremia</t>
    <phoneticPr fontId="1" type="noConversion"/>
  </si>
  <si>
    <t>baptisia, lachesis, silicon dioxide, collodial, echinacea spp, apis mellifica</t>
    <phoneticPr fontId="1" type="noConversion"/>
  </si>
  <si>
    <t>aciclovir-ratiopharm 800</t>
    <phoneticPr fontId="1" type="noConversion"/>
  </si>
  <si>
    <t>scandicain 1%</t>
    <phoneticPr fontId="1" type="noConversion"/>
  </si>
  <si>
    <t>mepivacine hydrochloride</t>
    <phoneticPr fontId="1" type="noConversion"/>
  </si>
  <si>
    <t>solutrast</t>
    <phoneticPr fontId="1" type="noConversion"/>
  </si>
  <si>
    <t>iopamidol</t>
    <phoneticPr fontId="1" type="noConversion"/>
  </si>
  <si>
    <t>riopan</t>
    <phoneticPr fontId="1" type="noConversion"/>
  </si>
  <si>
    <t>magaldrate</t>
    <phoneticPr fontId="1" type="noConversion"/>
  </si>
  <si>
    <t>piroxicam</t>
    <phoneticPr fontId="1" type="noConversion"/>
  </si>
  <si>
    <t>sultanol inhalationslsg</t>
    <phoneticPr fontId="1" type="noConversion"/>
  </si>
  <si>
    <t>salbutamol sulfate</t>
    <phoneticPr fontId="1" type="noConversion"/>
  </si>
  <si>
    <t>mucosolvan inhalations lsg</t>
    <phoneticPr fontId="1" type="noConversion"/>
  </si>
  <si>
    <t>dexa-phlogont</t>
    <phoneticPr fontId="1" type="noConversion"/>
  </si>
  <si>
    <t>cyanocobalamin, predisolone, dexamethasone, lidocaine hydrochloride</t>
    <phoneticPr fontId="1" type="noConversion"/>
  </si>
  <si>
    <t>Vitamine, Lokalanästhetikum, Glukocorticoid</t>
    <phoneticPr fontId="1" type="noConversion"/>
  </si>
  <si>
    <t>treupel</t>
    <phoneticPr fontId="1" type="noConversion"/>
  </si>
  <si>
    <t>phenactin, acetylsalicylic acid, codeine phosphate</t>
    <phoneticPr fontId="1" type="noConversion"/>
  </si>
  <si>
    <t>boxazin</t>
    <phoneticPr fontId="1" type="noConversion"/>
  </si>
  <si>
    <t>diclofenac ratiopharm</t>
    <phoneticPr fontId="1" type="noConversion"/>
  </si>
  <si>
    <t>175mg/d</t>
    <phoneticPr fontId="1" type="noConversion"/>
  </si>
  <si>
    <t>27d</t>
    <phoneticPr fontId="1" type="noConversion"/>
  </si>
  <si>
    <t>spizef</t>
    <phoneticPr fontId="1" type="noConversion"/>
  </si>
  <si>
    <t>sufentanil citrate</t>
    <phoneticPr fontId="1" type="noConversion"/>
  </si>
  <si>
    <t>narcosis; opioid</t>
    <phoneticPr fontId="1" type="noConversion"/>
  </si>
  <si>
    <t>12,5mg/d</t>
    <phoneticPr fontId="1" type="noConversion"/>
  </si>
  <si>
    <t>diovan</t>
    <phoneticPr fontId="1" type="noConversion"/>
  </si>
  <si>
    <t>valsartan</t>
    <phoneticPr fontId="1" type="noConversion"/>
  </si>
  <si>
    <t>9mg/d</t>
    <phoneticPr fontId="1" type="noConversion"/>
  </si>
  <si>
    <t>6mg/d</t>
    <phoneticPr fontId="1" type="noConversion"/>
  </si>
  <si>
    <t>8mg/d</t>
    <phoneticPr fontId="1" type="noConversion"/>
  </si>
  <si>
    <t>dolantin</t>
  </si>
  <si>
    <t>pethidine hydrochloride</t>
  </si>
  <si>
    <t>250mg/d</t>
    <phoneticPr fontId="1" type="noConversion"/>
  </si>
  <si>
    <t>antidiuretics</t>
    <phoneticPr fontId="1" type="noConversion"/>
  </si>
  <si>
    <t>antidits</t>
    <phoneticPr fontId="1" type="noConversion"/>
  </si>
  <si>
    <t>antiepileptics</t>
    <phoneticPr fontId="1" type="noConversion"/>
  </si>
  <si>
    <t>antifibrinolytics</t>
    <phoneticPr fontId="1" type="noConversion"/>
  </si>
  <si>
    <t>antiglaucomatous</t>
    <phoneticPr fontId="1" type="noConversion"/>
  </si>
  <si>
    <t>m - male</t>
    <phoneticPr fontId="1" type="noConversion"/>
  </si>
  <si>
    <t>u - unknown</t>
    <phoneticPr fontId="1" type="noConversion"/>
  </si>
  <si>
    <t>0 - recovered</t>
    <phoneticPr fontId="1" type="noConversion"/>
  </si>
  <si>
    <t>antiseptic agents</t>
    <phoneticPr fontId="1" type="noConversion"/>
  </si>
  <si>
    <t>osteoporosis</t>
    <phoneticPr fontId="1" type="noConversion"/>
  </si>
  <si>
    <t>restlessness</t>
    <phoneticPr fontId="1" type="noConversion"/>
  </si>
  <si>
    <t>seizures</t>
    <phoneticPr fontId="1" type="noConversion"/>
  </si>
  <si>
    <t>solu-decortin-h</t>
    <phoneticPr fontId="1" type="noConversion"/>
  </si>
  <si>
    <t>250mg/d</t>
    <phoneticPr fontId="1" type="noConversion"/>
  </si>
  <si>
    <t>1d</t>
    <phoneticPr fontId="1" type="noConversion"/>
  </si>
  <si>
    <t>stridor</t>
    <phoneticPr fontId="1" type="noConversion"/>
  </si>
  <si>
    <t>17d</t>
    <phoneticPr fontId="1" type="noConversion"/>
  </si>
  <si>
    <t>1mg/d</t>
    <phoneticPr fontId="1" type="noConversion"/>
  </si>
  <si>
    <t>40gtt/d</t>
    <phoneticPr fontId="1" type="noConversion"/>
  </si>
  <si>
    <t>60gtt/d</t>
    <phoneticPr fontId="1" type="noConversion"/>
  </si>
  <si>
    <t>pain</t>
    <phoneticPr fontId="1" type="noConversion"/>
  </si>
  <si>
    <t>thiamine hydrochloride, riboflavin, nicotinamide, pyridoxine hydrochloride, calcium pantothenate</t>
    <phoneticPr fontId="1" type="noConversion"/>
  </si>
  <si>
    <t>500ml</t>
    <phoneticPr fontId="1" type="noConversion"/>
  </si>
  <si>
    <t>1200mg/d</t>
    <phoneticPr fontId="1" type="noConversion"/>
  </si>
  <si>
    <t>gastritis prophylaxis</t>
    <phoneticPr fontId="1" type="noConversion"/>
  </si>
  <si>
    <t>calcium</t>
    <phoneticPr fontId="1" type="noConversion"/>
  </si>
  <si>
    <t>prednisolon 125mg</t>
    <phoneticPr fontId="1" type="noConversion"/>
  </si>
  <si>
    <t>27d</t>
    <phoneticPr fontId="1" type="noConversion"/>
  </si>
  <si>
    <t>192d</t>
    <phoneticPr fontId="1" type="noConversion"/>
  </si>
  <si>
    <t>atrial fibrillation</t>
    <phoneticPr fontId="1" type="noConversion"/>
  </si>
  <si>
    <t>renal insufficiency</t>
    <phoneticPr fontId="1" type="noConversion"/>
  </si>
  <si>
    <t>pollakiuria</t>
    <phoneticPr fontId="1" type="noConversion"/>
  </si>
  <si>
    <t>hyperuricaemia</t>
    <phoneticPr fontId="1" type="noConversion"/>
  </si>
  <si>
    <t>intramuscular</t>
    <phoneticPr fontId="1" type="noConversion"/>
  </si>
  <si>
    <t>hyoscine butylbromide</t>
    <phoneticPr fontId="1" type="noConversion"/>
  </si>
  <si>
    <t>novalgin</t>
    <phoneticPr fontId="1" type="noConversion"/>
  </si>
  <si>
    <t>nubain</t>
    <phoneticPr fontId="1" type="noConversion"/>
  </si>
  <si>
    <t>nalbuphine hydrochloride</t>
    <phoneticPr fontId="1" type="noConversion"/>
  </si>
  <si>
    <t>cefotiam hydrochloride</t>
    <phoneticPr fontId="1" type="noConversion"/>
  </si>
  <si>
    <t>15kiu/d</t>
    <phoneticPr fontId="1" type="noConversion"/>
  </si>
  <si>
    <t>effortil</t>
    <phoneticPr fontId="1" type="noConversion"/>
  </si>
  <si>
    <t>etilefrine hydrochloride</t>
    <phoneticPr fontId="1" type="noConversion"/>
  </si>
  <si>
    <t>2Df/</t>
    <phoneticPr fontId="1" type="noConversion"/>
  </si>
  <si>
    <t>aristochol</t>
    <phoneticPr fontId="1" type="noConversion"/>
  </si>
  <si>
    <t>absinthium, taraxacum officinale, flores stoechados, chelidonine, frangula, fructus cardui mariae, tumeric, achillea</t>
    <phoneticPr fontId="1" type="noConversion"/>
  </si>
  <si>
    <t>systemic lupus erythematosus, skin lesion NOS</t>
    <phoneticPr fontId="1" type="noConversion"/>
  </si>
  <si>
    <t>lupus erythematosus</t>
    <phoneticPr fontId="1" type="noConversion"/>
  </si>
  <si>
    <t>literature</t>
    <phoneticPr fontId="1" type="noConversion"/>
  </si>
  <si>
    <t>spondylodiscitis</t>
    <phoneticPr fontId="1" type="noConversion"/>
  </si>
  <si>
    <t>spesis, psoas abcess</t>
    <phoneticPr fontId="1" type="noConversion"/>
  </si>
  <si>
    <t>hyperglycaemia</t>
    <phoneticPr fontId="1" type="noConversion"/>
  </si>
  <si>
    <t>hypertension arterial</t>
    <phoneticPr fontId="1" type="noConversion"/>
  </si>
  <si>
    <t>Adalat</t>
    <phoneticPr fontId="1" type="noConversion"/>
  </si>
  <si>
    <t>nifedipin</t>
    <phoneticPr fontId="1" type="noConversion"/>
  </si>
  <si>
    <t>5mg/d</t>
    <phoneticPr fontId="1" type="noConversion"/>
  </si>
  <si>
    <t>aldactone</t>
    <phoneticPr fontId="1" type="noConversion"/>
  </si>
  <si>
    <t>spironolactone</t>
    <phoneticPr fontId="1" type="noConversion"/>
  </si>
  <si>
    <t>100mg/d</t>
    <phoneticPr fontId="1" type="noConversion"/>
  </si>
  <si>
    <t>avalox</t>
    <phoneticPr fontId="1" type="noConversion"/>
  </si>
  <si>
    <t>hormones</t>
    <phoneticPr fontId="1" type="noConversion"/>
  </si>
  <si>
    <t>hypnotics</t>
    <phoneticPr fontId="1" type="noConversion"/>
  </si>
  <si>
    <t>sympathomimetics</t>
    <phoneticPr fontId="1" type="noConversion"/>
  </si>
  <si>
    <t>ulcer therapeutic agents</t>
    <phoneticPr fontId="1" type="noConversion"/>
  </si>
  <si>
    <t>uricostatics</t>
    <phoneticPr fontId="1" type="noConversion"/>
  </si>
  <si>
    <t>vein medication</t>
    <phoneticPr fontId="1" type="noConversion"/>
  </si>
  <si>
    <t>vaccination</t>
    <phoneticPr fontId="1" type="noConversion"/>
  </si>
  <si>
    <t>decreased bronchial secretion</t>
    <phoneticPr fontId="1" type="noConversion"/>
  </si>
  <si>
    <t>nootropics</t>
    <phoneticPr fontId="1" type="noConversion"/>
  </si>
  <si>
    <t>other</t>
    <phoneticPr fontId="1" type="noConversion"/>
  </si>
  <si>
    <t>parasympatolytics</t>
    <phoneticPr fontId="1" type="noConversion"/>
  </si>
  <si>
    <t>parasymatomimetics</t>
    <phoneticPr fontId="1" type="noConversion"/>
  </si>
  <si>
    <t>phosphodiesterase inhibitors</t>
    <phoneticPr fontId="1" type="noConversion"/>
  </si>
  <si>
    <t>prokinetic agents</t>
    <phoneticPr fontId="1" type="noConversion"/>
  </si>
  <si>
    <t>prostaglandins</t>
    <phoneticPr fontId="1" type="noConversion"/>
  </si>
  <si>
    <t>thombosis prophylaxis</t>
    <phoneticPr fontId="1" type="noConversion"/>
  </si>
  <si>
    <t>urinary tract infection</t>
    <phoneticPr fontId="1" type="noConversion"/>
  </si>
  <si>
    <t>urinary tract infection</t>
    <phoneticPr fontId="1" type="noConversion"/>
  </si>
  <si>
    <t>thombosis prophylaxis</t>
    <phoneticPr fontId="1" type="noConversion"/>
  </si>
  <si>
    <t>38d</t>
    <phoneticPr fontId="1" type="noConversion"/>
  </si>
  <si>
    <t>13d</t>
    <phoneticPr fontId="1" type="noConversion"/>
  </si>
  <si>
    <t>volume depletion</t>
    <phoneticPr fontId="1" type="noConversion"/>
  </si>
  <si>
    <t>parenteral fluid replacement</t>
    <phoneticPr fontId="1" type="noConversion"/>
  </si>
  <si>
    <t>narcosis</t>
    <phoneticPr fontId="1" type="noConversion"/>
  </si>
  <si>
    <t>fever</t>
    <phoneticPr fontId="1" type="noConversion"/>
  </si>
  <si>
    <t>pain</t>
    <phoneticPr fontId="1" type="noConversion"/>
  </si>
  <si>
    <t>oral</t>
    <phoneticPr fontId="1" type="noConversion"/>
  </si>
  <si>
    <t>4d</t>
    <phoneticPr fontId="1" type="noConversion"/>
  </si>
  <si>
    <t>1d</t>
    <phoneticPr fontId="1" type="noConversion"/>
  </si>
  <si>
    <t>ebrantil for injection</t>
    <phoneticPr fontId="1" type="noConversion"/>
  </si>
  <si>
    <t>urapidil hydrochloride</t>
    <phoneticPr fontId="1" type="noConversion"/>
  </si>
  <si>
    <t>250mg/d</t>
    <phoneticPr fontId="1" type="noConversion"/>
  </si>
  <si>
    <t>20ml/d</t>
    <phoneticPr fontId="1" type="noConversion"/>
  </si>
  <si>
    <t>circulatory insufficiency</t>
    <phoneticPr fontId="1" type="noConversion"/>
  </si>
  <si>
    <t>hypertension arterial</t>
    <phoneticPr fontId="1" type="noConversion"/>
  </si>
  <si>
    <t>sulbactam sodium</t>
    <phoneticPr fontId="1" type="noConversion"/>
  </si>
  <si>
    <t>2d</t>
    <phoneticPr fontId="1" type="noConversion"/>
  </si>
  <si>
    <t>psoas abscess</t>
    <phoneticPr fontId="1" type="noConversion"/>
  </si>
  <si>
    <t>disoprivan "astra zeneca"</t>
    <phoneticPr fontId="1" type="noConversion"/>
  </si>
  <si>
    <t>radiotherapy</t>
    <phoneticPr fontId="1" type="noConversion"/>
  </si>
  <si>
    <t>renal cell carcinoma, metastases to brain</t>
    <phoneticPr fontId="1" type="noConversion"/>
  </si>
  <si>
    <t>29d</t>
    <phoneticPr fontId="1" type="noConversion"/>
  </si>
  <si>
    <t>epilepsy</t>
    <phoneticPr fontId="1" type="noConversion"/>
  </si>
  <si>
    <t>16d</t>
    <phoneticPr fontId="1" type="noConversion"/>
  </si>
  <si>
    <t>123d</t>
    <phoneticPr fontId="1" type="noConversion"/>
  </si>
  <si>
    <t>hemorrhoids; LA, NSAID Kombi</t>
    <phoneticPr fontId="1" type="noConversion"/>
  </si>
  <si>
    <t>voltaren im</t>
    <phoneticPr fontId="1" type="noConversion"/>
  </si>
  <si>
    <t>225mg</t>
    <phoneticPr fontId="1" type="noConversion"/>
  </si>
  <si>
    <t>75mg</t>
    <phoneticPr fontId="1" type="noConversion"/>
  </si>
  <si>
    <t>50mg/d</t>
    <phoneticPr fontId="1" type="noConversion"/>
  </si>
  <si>
    <t>1 Df/d</t>
    <phoneticPr fontId="1" type="noConversion"/>
  </si>
  <si>
    <t>osyrol-lasix</t>
    <phoneticPr fontId="1" type="noConversion"/>
  </si>
  <si>
    <t>spironolacton, furosemide</t>
    <phoneticPr fontId="1" type="noConversion"/>
  </si>
  <si>
    <t>isoket retard 20</t>
    <phoneticPr fontId="1" type="noConversion"/>
  </si>
  <si>
    <t>periplasmal</t>
    <phoneticPr fontId="1" type="noConversion"/>
  </si>
  <si>
    <t>amino acid nos, electrolytes nos, sorbtol, xylitol</t>
    <phoneticPr fontId="1" type="noConversion"/>
  </si>
  <si>
    <t>3d</t>
    <phoneticPr fontId="1" type="noConversion"/>
  </si>
  <si>
    <t>pipril</t>
    <phoneticPr fontId="1" type="noConversion"/>
  </si>
  <si>
    <t>piperacillin sodium</t>
    <phoneticPr fontId="1" type="noConversion"/>
  </si>
  <si>
    <t>800mg/d</t>
    <phoneticPr fontId="1" type="noConversion"/>
  </si>
  <si>
    <t>4000mg/d</t>
    <phoneticPr fontId="1" type="noConversion"/>
  </si>
  <si>
    <t xml:space="preserve"> </t>
    <phoneticPr fontId="1" type="noConversion"/>
  </si>
  <si>
    <t>sobelin</t>
    <phoneticPr fontId="1" type="noConversion"/>
  </si>
  <si>
    <t>clindamycin hydrochloride</t>
    <phoneticPr fontId="1" type="noConversion"/>
  </si>
  <si>
    <t>1800mg/d</t>
    <phoneticPr fontId="1" type="noConversion"/>
  </si>
  <si>
    <t>sufenta</t>
    <phoneticPr fontId="1" type="noConversion"/>
  </si>
  <si>
    <t>alcohol dependence, Korsakovs's psychosis (alcoholic)</t>
    <phoneticPr fontId="1" type="noConversion"/>
  </si>
  <si>
    <t>psoriasis</t>
    <phoneticPr fontId="1" type="noConversion"/>
  </si>
  <si>
    <t>diabetes mellitus</t>
    <phoneticPr fontId="1" type="noConversion"/>
  </si>
  <si>
    <t>antibiotics</t>
    <phoneticPr fontId="1" type="noConversion"/>
  </si>
  <si>
    <t>cyanocobalamin</t>
    <phoneticPr fontId="1" type="noConversion"/>
  </si>
  <si>
    <t>1d</t>
    <phoneticPr fontId="1" type="noConversion"/>
  </si>
  <si>
    <t>1d</t>
    <phoneticPr fontId="1" type="noConversion"/>
  </si>
  <si>
    <t>gylceryl trinitrate</t>
    <phoneticPr fontId="1" type="noConversion"/>
  </si>
  <si>
    <t>15000lu/d</t>
    <phoneticPr fontId="1" type="noConversion"/>
  </si>
  <si>
    <t>hydrocortison</t>
    <phoneticPr fontId="1" type="noConversion"/>
  </si>
  <si>
    <t>10d</t>
    <phoneticPr fontId="1" type="noConversion"/>
  </si>
  <si>
    <t>insulin porcine</t>
    <phoneticPr fontId="1" type="noConversion"/>
  </si>
  <si>
    <t>soc-abkürzung alphabetisch</t>
    <phoneticPr fontId="1" type="noConversion"/>
  </si>
  <si>
    <t>lactulose</t>
    <phoneticPr fontId="1" type="noConversion"/>
  </si>
  <si>
    <t>eugalac</t>
    <phoneticPr fontId="1" type="noConversion"/>
  </si>
  <si>
    <t>folsaeure</t>
    <phoneticPr fontId="1" type="noConversion"/>
  </si>
  <si>
    <t>folic acid</t>
    <phoneticPr fontId="1" type="noConversion"/>
  </si>
  <si>
    <t>BFARM-No</t>
    <phoneticPr fontId="1" type="noConversion"/>
  </si>
  <si>
    <t>reaction</t>
    <phoneticPr fontId="1" type="noConversion"/>
  </si>
  <si>
    <t>drugs</t>
    <phoneticPr fontId="1" type="noConversion"/>
  </si>
  <si>
    <t>medical history (conmitant disease)</t>
    <phoneticPr fontId="1" type="noConversion"/>
  </si>
  <si>
    <t>hypertension arterial</t>
    <phoneticPr fontId="1" type="noConversion"/>
  </si>
  <si>
    <t>hypertension arterial</t>
    <phoneticPr fontId="1" type="noConversion"/>
  </si>
  <si>
    <t>NARRATIVE -&gt; exact dates; diclofenac one of the suspect drugs</t>
    <phoneticPr fontId="1" type="noConversion"/>
  </si>
  <si>
    <t>nephrolithiasis; Goldrute - harntreibend, entzündungshemmend</t>
    <phoneticPr fontId="1" type="noConversion"/>
  </si>
  <si>
    <t>nephrolithiasis</t>
    <phoneticPr fontId="1" type="noConversion"/>
  </si>
  <si>
    <t>conjunctivitis</t>
    <phoneticPr fontId="1" type="noConversion"/>
  </si>
  <si>
    <t>8d</t>
    <phoneticPr fontId="1" type="noConversion"/>
  </si>
  <si>
    <t>1d</t>
    <phoneticPr fontId="1" type="noConversion"/>
  </si>
  <si>
    <t>volume depletion</t>
    <phoneticPr fontId="1" type="noConversion"/>
  </si>
  <si>
    <t>volume depletion</t>
    <phoneticPr fontId="1" type="noConversion"/>
  </si>
  <si>
    <t>electrolyte replacement</t>
    <phoneticPr fontId="1" type="noConversion"/>
  </si>
  <si>
    <t>nausea</t>
    <phoneticPr fontId="1" type="noConversion"/>
  </si>
  <si>
    <t>restlessness</t>
    <phoneticPr fontId="1" type="noConversion"/>
  </si>
  <si>
    <t>secretion discharge</t>
    <phoneticPr fontId="1" type="noConversion"/>
  </si>
  <si>
    <t>secretion discharge</t>
    <phoneticPr fontId="1" type="noConversion"/>
  </si>
  <si>
    <t>insulin</t>
    <phoneticPr fontId="1" type="noConversion"/>
  </si>
  <si>
    <t>back pain</t>
    <phoneticPr fontId="1" type="noConversion"/>
  </si>
  <si>
    <t>NARRATIVE-&gt; information inadequate to fully assess the case</t>
    <phoneticPr fontId="1" type="noConversion"/>
  </si>
  <si>
    <t>TEN</t>
    <phoneticPr fontId="1" type="noConversion"/>
  </si>
  <si>
    <t>systemic lupus erythematosus</t>
    <phoneticPr fontId="1" type="noConversion"/>
  </si>
  <si>
    <t>anaemia, leukopenia</t>
    <phoneticPr fontId="1" type="noConversion"/>
  </si>
  <si>
    <t>immunosupressant drug therapy</t>
    <phoneticPr fontId="1" type="noConversion"/>
  </si>
  <si>
    <t>respiratory obstruction unspecified</t>
    <phoneticPr fontId="1" type="noConversion"/>
  </si>
  <si>
    <t>psoas abcess, infection</t>
    <phoneticPr fontId="1" type="noConversion"/>
  </si>
  <si>
    <t>fever, pain, restlessness</t>
    <phoneticPr fontId="1" type="noConversion"/>
  </si>
  <si>
    <t>NARRATIVE -&gt; exact dates; diclofenac one of the suspect drugs</t>
    <phoneticPr fontId="1" type="noConversion"/>
  </si>
  <si>
    <t>19d</t>
    <phoneticPr fontId="1" type="noConversion"/>
  </si>
  <si>
    <t>Adalat</t>
    <phoneticPr fontId="1" type="noConversion"/>
  </si>
  <si>
    <t>nifedipin</t>
    <phoneticPr fontId="1" type="noConversion"/>
  </si>
  <si>
    <t>10mg/d</t>
    <phoneticPr fontId="1" type="noConversion"/>
  </si>
  <si>
    <t>hypertension arterial</t>
    <phoneticPr fontId="1" type="noConversion"/>
  </si>
  <si>
    <t>cytostatics</t>
    <phoneticPr fontId="1" type="noConversion"/>
  </si>
  <si>
    <t>diuretics</t>
    <phoneticPr fontId="1" type="noConversion"/>
  </si>
  <si>
    <t>mucokinetics</t>
    <phoneticPr fontId="1" type="noConversion"/>
  </si>
  <si>
    <t>glucocorticoids</t>
    <phoneticPr fontId="1" type="noConversion"/>
  </si>
  <si>
    <t>HIV medications</t>
    <phoneticPr fontId="1" type="noConversion"/>
  </si>
  <si>
    <t>Volumenersatzmittel</t>
    <phoneticPr fontId="1" type="noConversion"/>
  </si>
  <si>
    <t>aminoven</t>
    <phoneticPr fontId="1" type="noConversion"/>
  </si>
  <si>
    <t>14d</t>
    <phoneticPr fontId="1" type="noConversion"/>
  </si>
  <si>
    <t>insulin glargine</t>
    <phoneticPr fontId="1" type="noConversion"/>
  </si>
  <si>
    <t>insuman</t>
    <phoneticPr fontId="1" type="noConversion"/>
  </si>
  <si>
    <t>insulin zinc protamine injection, insulin human injection, isophane</t>
    <phoneticPr fontId="1" type="noConversion"/>
  </si>
  <si>
    <t>8lu/d</t>
    <phoneticPr fontId="1" type="noConversion"/>
  </si>
  <si>
    <t>inzolen</t>
    <phoneticPr fontId="1" type="noConversion"/>
  </si>
  <si>
    <t>prostate drug</t>
    <phoneticPr fontId="1" type="noConversion"/>
  </si>
  <si>
    <t>psychotropic drugs</t>
    <phoneticPr fontId="1" type="noConversion"/>
  </si>
  <si>
    <t>spasmolytic</t>
    <phoneticPr fontId="1" type="noConversion"/>
  </si>
  <si>
    <t>sympatholytics</t>
    <phoneticPr fontId="1" type="noConversion"/>
  </si>
  <si>
    <t>copper hydrogenaspartate, cobalt hydrogen aspartate, potassium hydrogen aspartate, aspartate zinc, manganese hydrogenaspartate, magnesium aspartate</t>
    <phoneticPr fontId="1" type="noConversion"/>
  </si>
  <si>
    <t>2d</t>
    <phoneticPr fontId="1" type="noConversion"/>
  </si>
  <si>
    <t>vasodilatator</t>
    <phoneticPr fontId="1" type="noConversion"/>
  </si>
  <si>
    <t>COPD</t>
    <phoneticPr fontId="1" type="noConversion"/>
  </si>
  <si>
    <t>skin disorder</t>
    <phoneticPr fontId="1" type="noConversion"/>
  </si>
  <si>
    <t>ache</t>
    <phoneticPr fontId="1" type="noConversion"/>
  </si>
  <si>
    <t>ache</t>
    <phoneticPr fontId="1" type="noConversion"/>
  </si>
  <si>
    <t>drug abuse; Muskelrelaxans (Chinin citrat), Antipsychotika (Lithium)</t>
    <phoneticPr fontId="1" type="noConversion"/>
  </si>
  <si>
    <t>pain</t>
    <phoneticPr fontId="1" type="noConversion"/>
  </si>
  <si>
    <t>oral</t>
    <phoneticPr fontId="1" type="noConversion"/>
  </si>
  <si>
    <t>oral</t>
    <phoneticPr fontId="1" type="noConversion"/>
  </si>
  <si>
    <t>COPD</t>
    <phoneticPr fontId="1" type="noConversion"/>
  </si>
  <si>
    <t>pain, ache</t>
    <phoneticPr fontId="1" type="noConversion"/>
  </si>
  <si>
    <t>cystitis</t>
    <phoneticPr fontId="1" type="noConversion"/>
  </si>
  <si>
    <t>urinary tract infection</t>
    <phoneticPr fontId="1" type="noConversion"/>
  </si>
  <si>
    <t>analgesic abuse</t>
    <phoneticPr fontId="1" type="noConversion"/>
  </si>
  <si>
    <t>hypertension arterial</t>
    <phoneticPr fontId="1" type="noConversion"/>
  </si>
  <si>
    <t>gastritis prophlaxis, constipation</t>
    <phoneticPr fontId="1" type="noConversion"/>
  </si>
  <si>
    <t>iron deficiency, hypokalarmia</t>
    <phoneticPr fontId="1" type="noConversion"/>
  </si>
  <si>
    <t>psoas abscess</t>
    <phoneticPr fontId="1" type="noConversion"/>
  </si>
  <si>
    <t>psoas abscess</t>
    <phoneticPr fontId="1" type="noConversion"/>
  </si>
  <si>
    <t>psoas abscess</t>
    <phoneticPr fontId="1" type="noConversion"/>
  </si>
  <si>
    <t>thrombosis prophylaxis</t>
    <phoneticPr fontId="1" type="noConversion"/>
  </si>
  <si>
    <t>hyperglycaemia</t>
    <phoneticPr fontId="1" type="noConversion"/>
  </si>
  <si>
    <t>diarrhea</t>
    <phoneticPr fontId="1" type="noConversion"/>
  </si>
  <si>
    <t>1d</t>
    <phoneticPr fontId="1" type="noConversion"/>
  </si>
  <si>
    <t>1d</t>
    <phoneticPr fontId="1" type="noConversion"/>
  </si>
  <si>
    <t>8lu</t>
    <phoneticPr fontId="1" type="noConversion"/>
  </si>
  <si>
    <t>isophane insulin, insulin human</t>
    <phoneticPr fontId="1" type="noConversion"/>
  </si>
  <si>
    <t>kalium "verla"</t>
    <phoneticPr fontId="1" type="noConversion"/>
  </si>
  <si>
    <t>potassium citrate</t>
    <phoneticPr fontId="1" type="noConversion"/>
  </si>
  <si>
    <t>lantus</t>
    <phoneticPr fontId="1" type="noConversion"/>
  </si>
  <si>
    <t>1d</t>
    <phoneticPr fontId="1" type="noConversion"/>
  </si>
  <si>
    <t>9d</t>
    <phoneticPr fontId="1" type="noConversion"/>
  </si>
  <si>
    <t>3000mg/d</t>
    <phoneticPr fontId="1" type="noConversion"/>
  </si>
  <si>
    <t>pain</t>
    <phoneticPr fontId="1" type="noConversion"/>
  </si>
  <si>
    <t>40mg/d</t>
    <phoneticPr fontId="1" type="noConversion"/>
  </si>
  <si>
    <t>bronchospasm</t>
    <phoneticPr fontId="1" type="noConversion"/>
  </si>
  <si>
    <t>exanthema</t>
    <phoneticPr fontId="1" type="noConversion"/>
  </si>
  <si>
    <t>sepsis</t>
    <phoneticPr fontId="1" type="noConversion"/>
  </si>
  <si>
    <t>hypothyroidism</t>
    <phoneticPr fontId="1" type="noConversion"/>
  </si>
  <si>
    <t>oral fluid replacement</t>
    <phoneticPr fontId="1" type="noConversion"/>
  </si>
  <si>
    <t>parenteral nutrition</t>
    <phoneticPr fontId="1" type="noConversion"/>
  </si>
  <si>
    <t>constipation</t>
    <phoneticPr fontId="1" type="noConversion"/>
  </si>
  <si>
    <t>hyperuricaemia</t>
    <phoneticPr fontId="1" type="noConversion"/>
  </si>
  <si>
    <t>emphysema</t>
    <phoneticPr fontId="1" type="noConversion"/>
  </si>
  <si>
    <t>antitussive agents</t>
    <phoneticPr fontId="1" type="noConversion"/>
  </si>
  <si>
    <t>antivertiginous</t>
    <phoneticPr fontId="1" type="noConversion"/>
  </si>
  <si>
    <t>antivirals</t>
    <phoneticPr fontId="1" type="noConversion"/>
  </si>
  <si>
    <t>1 - death</t>
    <phoneticPr fontId="1" type="noConversion"/>
  </si>
  <si>
    <t>beta-lactamase-inhibitor</t>
    <phoneticPr fontId="1" type="noConversion"/>
  </si>
  <si>
    <t>combactam</t>
    <phoneticPr fontId="1" type="noConversion"/>
  </si>
  <si>
    <t>sulbactam sodium</t>
    <phoneticPr fontId="1" type="noConversion"/>
  </si>
  <si>
    <t>2000mg/d</t>
    <phoneticPr fontId="1" type="noConversion"/>
  </si>
  <si>
    <t>paracetamol</t>
    <phoneticPr fontId="1" type="noConversion"/>
  </si>
  <si>
    <t>perenterol</t>
    <phoneticPr fontId="1" type="noConversion"/>
  </si>
  <si>
    <t>yeast dried</t>
    <phoneticPr fontId="1" type="noConversion"/>
  </si>
  <si>
    <t>6Df/d</t>
    <phoneticPr fontId="1" type="noConversion"/>
  </si>
  <si>
    <t>paracetamol</t>
    <phoneticPr fontId="1" type="noConversion"/>
  </si>
  <si>
    <t>piperacillin</t>
    <phoneticPr fontId="1" type="noConversion"/>
  </si>
  <si>
    <t>8000mg/d</t>
    <phoneticPr fontId="1" type="noConversion"/>
  </si>
  <si>
    <t>pednisolone</t>
    <phoneticPr fontId="1" type="noConversion"/>
  </si>
  <si>
    <t>25mg/d</t>
    <phoneticPr fontId="1" type="noConversion"/>
  </si>
  <si>
    <t>acetylsalicylic acid</t>
    <phoneticPr fontId="1" type="noConversion"/>
  </si>
  <si>
    <t>5d</t>
    <phoneticPr fontId="1" type="noConversion"/>
  </si>
  <si>
    <t>antimalarials</t>
    <phoneticPr fontId="1" type="noConversion"/>
  </si>
  <si>
    <t>diclofenac sodium</t>
    <phoneticPr fontId="1" type="noConversion"/>
  </si>
  <si>
    <t>diclofenac diethylamine</t>
    <phoneticPr fontId="1" type="noConversion"/>
  </si>
  <si>
    <t>1Df/d</t>
    <phoneticPr fontId="1" type="noConversion"/>
  </si>
  <si>
    <t>sodium acetate, potassium acetate, calcium acetate, magnesium acetate, sodium chloride</t>
    <phoneticPr fontId="1" type="noConversion"/>
  </si>
  <si>
    <t>ibuprofen</t>
    <phoneticPr fontId="1" type="noConversion"/>
  </si>
  <si>
    <t>antihistamines</t>
    <phoneticPr fontId="1" type="noConversion"/>
  </si>
  <si>
    <t>hypertension arterial; Diuretika, Antihypertonika Kombi</t>
    <phoneticPr fontId="1" type="noConversion"/>
  </si>
  <si>
    <t>obstipation</t>
    <phoneticPr fontId="1" type="noConversion"/>
  </si>
  <si>
    <t>obstipation; Abführmittel (Laxantien)</t>
    <phoneticPr fontId="1" type="noConversion"/>
  </si>
  <si>
    <t>sleep disturbance</t>
    <phoneticPr fontId="1" type="noConversion"/>
  </si>
  <si>
    <t>restlessness</t>
    <phoneticPr fontId="1" type="noConversion"/>
  </si>
  <si>
    <t>diabetes mellitus</t>
    <phoneticPr fontId="1" type="noConversion"/>
  </si>
  <si>
    <t>immun</t>
    <phoneticPr fontId="1" type="noConversion"/>
  </si>
  <si>
    <t>infec</t>
    <phoneticPr fontId="1" type="noConversion"/>
  </si>
  <si>
    <t>ing&amp;P</t>
    <phoneticPr fontId="1" type="noConversion"/>
  </si>
  <si>
    <t>inv</t>
    <phoneticPr fontId="1" type="noConversion"/>
  </si>
  <si>
    <t>metab</t>
    <phoneticPr fontId="1" type="noConversion"/>
  </si>
  <si>
    <t>musc</t>
    <phoneticPr fontId="1" type="noConversion"/>
  </si>
  <si>
    <t>neopl</t>
    <phoneticPr fontId="1" type="noConversion"/>
  </si>
  <si>
    <t>nerv</t>
    <phoneticPr fontId="1" type="noConversion"/>
  </si>
  <si>
    <t>13d</t>
    <phoneticPr fontId="1" type="noConversion"/>
  </si>
  <si>
    <t>Pain NOS</t>
    <phoneticPr fontId="1" type="noConversion"/>
  </si>
  <si>
    <t>Gout</t>
    <phoneticPr fontId="1" type="noConversion"/>
  </si>
  <si>
    <t>hyperlipidaemia NOS</t>
    <phoneticPr fontId="1" type="noConversion"/>
  </si>
  <si>
    <t>hypertension</t>
    <phoneticPr fontId="1" type="noConversion"/>
  </si>
  <si>
    <t>30d</t>
    <phoneticPr fontId="1" type="noConversion"/>
  </si>
  <si>
    <t>606d</t>
    <phoneticPr fontId="1" type="noConversion"/>
  </si>
  <si>
    <t>chronic polyarthritis</t>
    <phoneticPr fontId="1" type="noConversion"/>
  </si>
  <si>
    <t>reflux oesophagitis</t>
    <phoneticPr fontId="1" type="noConversion"/>
  </si>
  <si>
    <t>hyperuricaemia</t>
    <phoneticPr fontId="1" type="noConversion"/>
  </si>
  <si>
    <t>reflux oesophagitis</t>
    <phoneticPr fontId="1" type="noConversion"/>
  </si>
  <si>
    <t>instability cardiovascular</t>
    <phoneticPr fontId="1" type="noConversion"/>
  </si>
  <si>
    <t>gastric ulcer prophylaxis</t>
    <phoneticPr fontId="1" type="noConversion"/>
  </si>
  <si>
    <t>glyceroltrinitrat</t>
    <phoneticPr fontId="1" type="noConversion"/>
  </si>
  <si>
    <t>spondylodiscitis</t>
    <phoneticPr fontId="1" type="noConversion"/>
  </si>
  <si>
    <t>psoas abcess</t>
    <phoneticPr fontId="1" type="noConversion"/>
  </si>
  <si>
    <t>diuresis</t>
    <phoneticPr fontId="1" type="noConversion"/>
  </si>
  <si>
    <t>hypertension</t>
    <phoneticPr fontId="1" type="noConversion"/>
  </si>
  <si>
    <t>pruritus</t>
    <phoneticPr fontId="1" type="noConversion"/>
  </si>
  <si>
    <t>candidiasis</t>
    <phoneticPr fontId="1" type="noConversion"/>
  </si>
  <si>
    <t>hypercholesterolaemia</t>
    <phoneticPr fontId="1" type="noConversion"/>
  </si>
  <si>
    <t>polyneuropathy</t>
    <phoneticPr fontId="1" type="noConversion"/>
  </si>
  <si>
    <t>1825d</t>
    <phoneticPr fontId="1" type="noConversion"/>
  </si>
  <si>
    <t>calcium channel blockers</t>
    <phoneticPr fontId="1" type="noConversion"/>
  </si>
  <si>
    <t>cardiac glycoside</t>
    <phoneticPr fontId="1" type="noConversion"/>
  </si>
  <si>
    <t>contrast agent</t>
    <phoneticPr fontId="1" type="noConversion"/>
  </si>
  <si>
    <t>3d</t>
    <phoneticPr fontId="1" type="noConversion"/>
  </si>
  <si>
    <t>solu-decortin-h</t>
    <phoneticPr fontId="1" type="noConversion"/>
  </si>
  <si>
    <t>red blood cells</t>
    <phoneticPr fontId="1" type="noConversion"/>
  </si>
  <si>
    <t>rapifen</t>
    <phoneticPr fontId="1" type="noConversion"/>
  </si>
  <si>
    <t>alfentanil hydrochloride</t>
    <phoneticPr fontId="1" type="noConversion"/>
  </si>
  <si>
    <t>4d</t>
    <phoneticPr fontId="1" type="noConversion"/>
  </si>
  <si>
    <t>150Gtt/d</t>
    <phoneticPr fontId="1" type="noConversion"/>
  </si>
  <si>
    <t>NaCl</t>
    <phoneticPr fontId="1" type="noConversion"/>
  </si>
  <si>
    <t>voltaren</t>
    <phoneticPr fontId="1" type="noConversion"/>
  </si>
  <si>
    <t>voluven</t>
    <phoneticPr fontId="1" type="noConversion"/>
  </si>
  <si>
    <t>hetastarch</t>
    <phoneticPr fontId="1" type="noConversion"/>
  </si>
  <si>
    <t>pyridoxine hydrochloride, cyanocobalamin, thiamine disulfide</t>
    <phoneticPr fontId="1" type="noConversion"/>
  </si>
  <si>
    <t>16d</t>
    <phoneticPr fontId="1" type="noConversion"/>
  </si>
  <si>
    <t>20d</t>
    <phoneticPr fontId="1" type="noConversion"/>
  </si>
  <si>
    <t>fraxiparin</t>
    <phoneticPr fontId="1" type="noConversion"/>
  </si>
  <si>
    <t>humanalbumin</t>
    <phoneticPr fontId="1" type="noConversion"/>
  </si>
  <si>
    <t>albumin human</t>
    <phoneticPr fontId="1" type="noConversion"/>
  </si>
  <si>
    <t>100ml</t>
    <phoneticPr fontId="1" type="noConversion"/>
  </si>
  <si>
    <t>klacid forte</t>
    <phoneticPr fontId="1" type="noConversion"/>
  </si>
  <si>
    <t>1000mg/d</t>
    <phoneticPr fontId="1" type="noConversion"/>
  </si>
  <si>
    <t>20ml</t>
    <phoneticPr fontId="1" type="noConversion"/>
  </si>
  <si>
    <t>lipovenoes</t>
    <phoneticPr fontId="1" type="noConversion"/>
  </si>
  <si>
    <t>soya oil, glycerol, lecithin</t>
    <phoneticPr fontId="1" type="noConversion"/>
  </si>
  <si>
    <t>liquemin</t>
    <phoneticPr fontId="1" type="noConversion"/>
  </si>
  <si>
    <t>magnesium sulfate</t>
    <phoneticPr fontId="1" type="noConversion"/>
  </si>
  <si>
    <t>factorVII, factorII, factorIX, factorX</t>
    <phoneticPr fontId="1" type="noConversion"/>
  </si>
  <si>
    <t>potassium chloride</t>
    <phoneticPr fontId="1" type="noConversion"/>
  </si>
  <si>
    <t>average age</t>
    <phoneticPr fontId="1" type="noConversion"/>
  </si>
  <si>
    <t>interim analysis</t>
    <phoneticPr fontId="1" type="noConversion"/>
  </si>
  <si>
    <t>total</t>
    <phoneticPr fontId="1" type="noConversion"/>
  </si>
  <si>
    <t>prostata carcinoma</t>
    <phoneticPr fontId="1" type="noConversion"/>
  </si>
  <si>
    <t>prophylaxis</t>
    <phoneticPr fontId="1" type="noConversion"/>
  </si>
  <si>
    <t>hypokalemia</t>
    <phoneticPr fontId="1" type="noConversion"/>
  </si>
  <si>
    <t>constipation</t>
    <phoneticPr fontId="1" type="noConversion"/>
  </si>
  <si>
    <t>sleep disorder</t>
    <phoneticPr fontId="1" type="noConversion"/>
  </si>
  <si>
    <t>prostata cancer</t>
    <phoneticPr fontId="1" type="noConversion"/>
  </si>
  <si>
    <t>streptomycin panthothenate, clemizole penicillin, streptomycin sulfate</t>
    <phoneticPr fontId="1" type="noConversion"/>
  </si>
  <si>
    <t>urinary tract infection</t>
    <phoneticPr fontId="1" type="noConversion"/>
  </si>
  <si>
    <t>paralytic ileus</t>
    <phoneticPr fontId="1" type="noConversion"/>
  </si>
  <si>
    <t>quadriplegia</t>
    <phoneticPr fontId="1" type="noConversion"/>
  </si>
  <si>
    <t>essential hypertension, unspecified</t>
    <phoneticPr fontId="1" type="noConversion"/>
  </si>
  <si>
    <t>unspecific organic brain syndrom</t>
    <phoneticPr fontId="1" type="noConversion"/>
  </si>
  <si>
    <t>actrapid mc</t>
    <phoneticPr fontId="1" type="noConversion"/>
  </si>
  <si>
    <t>5Df/d</t>
    <phoneticPr fontId="1" type="noConversion"/>
  </si>
  <si>
    <t>8d</t>
    <phoneticPr fontId="1" type="noConversion"/>
  </si>
  <si>
    <t>aldactone</t>
    <phoneticPr fontId="1" type="noConversion"/>
  </si>
  <si>
    <t>36d</t>
    <phoneticPr fontId="1" type="noConversion"/>
  </si>
  <si>
    <t>ache</t>
    <phoneticPr fontId="1" type="noConversion"/>
  </si>
  <si>
    <t>diuresis</t>
    <phoneticPr fontId="1" type="noConversion"/>
  </si>
  <si>
    <t>38d</t>
    <phoneticPr fontId="1" type="noConversion"/>
  </si>
  <si>
    <t>respiratory obstruction unspecified</t>
    <phoneticPr fontId="1" type="noConversion"/>
  </si>
  <si>
    <t>hypertension</t>
    <phoneticPr fontId="1" type="noConversion"/>
  </si>
  <si>
    <t>hypertension</t>
    <phoneticPr fontId="1" type="noConversion"/>
  </si>
  <si>
    <t>prophylaxis</t>
    <phoneticPr fontId="1" type="noConversion"/>
  </si>
  <si>
    <t>psoas abcess</t>
    <phoneticPr fontId="1" type="noConversion"/>
  </si>
  <si>
    <t>unrest</t>
    <phoneticPr fontId="1" type="noConversion"/>
  </si>
  <si>
    <t>hypertension</t>
    <phoneticPr fontId="1" type="noConversion"/>
  </si>
  <si>
    <t>diuresis</t>
    <phoneticPr fontId="1" type="noConversion"/>
  </si>
  <si>
    <t>z.n. Mamma-Ca, neoplasm of exocervix</t>
    <phoneticPr fontId="1" type="noConversion"/>
  </si>
  <si>
    <t>coronary atherosclerosis</t>
    <phoneticPr fontId="1" type="noConversion"/>
  </si>
  <si>
    <t>heart failure</t>
    <phoneticPr fontId="1" type="noConversion"/>
  </si>
  <si>
    <t>vasoconstrictor</t>
    <phoneticPr fontId="1" type="noConversion"/>
  </si>
  <si>
    <t>a-z</t>
    <phoneticPr fontId="1" type="noConversion"/>
  </si>
  <si>
    <t>100-0</t>
    <phoneticPr fontId="1" type="noConversion"/>
  </si>
  <si>
    <t>gender</t>
    <phoneticPr fontId="1" type="noConversion"/>
  </si>
  <si>
    <t>outcome</t>
    <phoneticPr fontId="1" type="noConversion"/>
  </si>
  <si>
    <t>6ml/d</t>
    <phoneticPr fontId="1" type="noConversion"/>
  </si>
  <si>
    <t>mucosolvan tropfen</t>
  </si>
  <si>
    <t>ambroxol hydrochloride</t>
  </si>
  <si>
    <t>45mg/d</t>
    <phoneticPr fontId="1" type="noConversion"/>
  </si>
  <si>
    <t>amlodipine besilate</t>
    <phoneticPr fontId="1" type="noConversion"/>
  </si>
  <si>
    <t>30Gtt/d</t>
    <phoneticPr fontId="1" type="noConversion"/>
  </si>
  <si>
    <t>3000mg/d</t>
    <phoneticPr fontId="1" type="noConversion"/>
  </si>
  <si>
    <t>pantoprazol</t>
    <phoneticPr fontId="1" type="noConversion"/>
  </si>
  <si>
    <t>40mg/d</t>
    <phoneticPr fontId="1" type="noConversion"/>
  </si>
  <si>
    <t>5d</t>
    <phoneticPr fontId="1" type="noConversion"/>
  </si>
  <si>
    <t>40mg/d</t>
    <phoneticPr fontId="1" type="noConversion"/>
  </si>
  <si>
    <t>17d</t>
    <phoneticPr fontId="1" type="noConversion"/>
  </si>
  <si>
    <t>500mg</t>
    <phoneticPr fontId="1" type="noConversion"/>
  </si>
  <si>
    <t>vitalipid</t>
    <phoneticPr fontId="1" type="noConversion"/>
  </si>
  <si>
    <t>predni tablinen</t>
    <phoneticPr fontId="1" type="noConversion"/>
  </si>
  <si>
    <t>prednisolone</t>
    <phoneticPr fontId="1" type="noConversion"/>
  </si>
  <si>
    <t>2,5mg/d</t>
    <phoneticPr fontId="1" type="noConversion"/>
  </si>
  <si>
    <t>predni h tablinen</t>
    <phoneticPr fontId="1" type="noConversion"/>
  </si>
  <si>
    <t>10d</t>
    <phoneticPr fontId="1" type="noConversion"/>
  </si>
  <si>
    <t>codeine phosphate, paracetamol</t>
  </si>
  <si>
    <t>talvosilen forte</t>
    <phoneticPr fontId="1" type="noConversion"/>
  </si>
  <si>
    <t>2Df/D</t>
    <phoneticPr fontId="1" type="noConversion"/>
  </si>
  <si>
    <t>2Df/D</t>
    <phoneticPr fontId="1" type="noConversion"/>
  </si>
  <si>
    <t>400mg/d</t>
    <phoneticPr fontId="1" type="noConversion"/>
  </si>
  <si>
    <t>5d</t>
    <phoneticPr fontId="1" type="noConversion"/>
  </si>
  <si>
    <t>Thrombosespritze</t>
    <phoneticPr fontId="1" type="noConversion"/>
  </si>
  <si>
    <t>heparin-fraction, sodium salt</t>
    <phoneticPr fontId="1" type="noConversion"/>
  </si>
  <si>
    <t>esomeprazole magnesium</t>
    <phoneticPr fontId="1" type="noConversion"/>
  </si>
  <si>
    <t>blopress</t>
    <phoneticPr fontId="1" type="noConversion"/>
  </si>
  <si>
    <t>1d</t>
    <phoneticPr fontId="1" type="noConversion"/>
  </si>
  <si>
    <t>antihypertensives</t>
    <phoneticPr fontId="1" type="noConversion"/>
  </si>
  <si>
    <t>antihypotonics</t>
    <phoneticPr fontId="1" type="noConversion"/>
  </si>
  <si>
    <t>antimalarials</t>
    <phoneticPr fontId="1" type="noConversion"/>
  </si>
  <si>
    <t>blood</t>
    <phoneticPr fontId="1" type="noConversion"/>
  </si>
  <si>
    <t>card</t>
    <phoneticPr fontId="1" type="noConversion"/>
  </si>
  <si>
    <t>cong</t>
    <phoneticPr fontId="1" type="noConversion"/>
  </si>
  <si>
    <t>ear</t>
    <phoneticPr fontId="1" type="noConversion"/>
  </si>
  <si>
    <t>endo</t>
    <phoneticPr fontId="1" type="noConversion"/>
  </si>
  <si>
    <t>eye</t>
    <phoneticPr fontId="1" type="noConversion"/>
  </si>
  <si>
    <t>gastr</t>
    <phoneticPr fontId="1" type="noConversion"/>
  </si>
  <si>
    <t>genrl</t>
    <phoneticPr fontId="1" type="noConversion"/>
  </si>
  <si>
    <t>hepat</t>
    <phoneticPr fontId="1" type="noConversion"/>
  </si>
  <si>
    <t>renal</t>
    <phoneticPr fontId="1" type="noConversion"/>
  </si>
  <si>
    <t>repro</t>
    <phoneticPr fontId="1" type="noConversion"/>
  </si>
  <si>
    <t>resp</t>
    <phoneticPr fontId="1" type="noConversion"/>
  </si>
  <si>
    <t>skin</t>
    <phoneticPr fontId="1" type="noConversion"/>
  </si>
  <si>
    <t>socCi</t>
    <phoneticPr fontId="1" type="noConversion"/>
  </si>
  <si>
    <t>surg</t>
    <phoneticPr fontId="1" type="noConversion"/>
  </si>
  <si>
    <t>vasc</t>
    <phoneticPr fontId="1" type="noConversion"/>
  </si>
  <si>
    <t>supracombin</t>
    <phoneticPr fontId="1" type="noConversion"/>
  </si>
  <si>
    <t>ascorbic acid, pyriodoxine hydrochloride, tocopheryl acetate, thiamine hydrochloride, cyanocobalamin, retinol palmitate, riboflavin, nicotinamide, calcium panthotenate, rutoside</t>
    <phoneticPr fontId="1" type="noConversion"/>
  </si>
  <si>
    <t>analgesic abuse</t>
    <phoneticPr fontId="1" type="noConversion"/>
  </si>
  <si>
    <t>pain</t>
    <phoneticPr fontId="1" type="noConversion"/>
  </si>
  <si>
    <t>400mg/d</t>
    <phoneticPr fontId="1" type="noConversion"/>
  </si>
  <si>
    <t>29d</t>
    <phoneticPr fontId="1" type="noConversion"/>
  </si>
  <si>
    <t>fever</t>
    <phoneticPr fontId="1" type="noConversion"/>
  </si>
  <si>
    <t>fever</t>
    <phoneticPr fontId="1" type="noConversion"/>
  </si>
  <si>
    <t>fever</t>
    <phoneticPr fontId="1" type="noConversion"/>
  </si>
  <si>
    <t>fever</t>
    <phoneticPr fontId="1" type="noConversion"/>
  </si>
  <si>
    <t>pain</t>
    <phoneticPr fontId="1" type="noConversion"/>
  </si>
  <si>
    <t>infection</t>
    <phoneticPr fontId="1" type="noConversion"/>
  </si>
  <si>
    <t>thrombosis propylaxis</t>
    <phoneticPr fontId="1" type="noConversion"/>
  </si>
  <si>
    <t>diabetes mellitus</t>
    <phoneticPr fontId="1" type="noConversion"/>
  </si>
  <si>
    <t>diarrhea</t>
    <phoneticPr fontId="1" type="noConversion"/>
  </si>
  <si>
    <t>skin disorder</t>
    <phoneticPr fontId="1" type="noConversion"/>
  </si>
  <si>
    <t>beta-lactamase-inhibitor</t>
    <phoneticPr fontId="1" type="noConversion"/>
  </si>
  <si>
    <t>bisphosphonates</t>
    <phoneticPr fontId="1" type="noConversion"/>
  </si>
  <si>
    <t>butyrophenone</t>
    <phoneticPr fontId="1" type="noConversion"/>
  </si>
  <si>
    <t>clindamycin</t>
    <phoneticPr fontId="1" type="noConversion"/>
  </si>
  <si>
    <t>100mg/d</t>
    <phoneticPr fontId="1" type="noConversion"/>
  </si>
  <si>
    <t>euthyrox</t>
    <phoneticPr fontId="1" type="noConversion"/>
  </si>
  <si>
    <t>thybon</t>
    <phoneticPr fontId="1" type="noConversion"/>
  </si>
  <si>
    <t>liothyronine hydrochloride</t>
    <phoneticPr fontId="1" type="noConversion"/>
  </si>
  <si>
    <t>corvaton "cassella-riedel"</t>
    <phoneticPr fontId="1" type="noConversion"/>
  </si>
  <si>
    <t>1Df/d</t>
    <phoneticPr fontId="1" type="noConversion"/>
  </si>
  <si>
    <t>voltaren emulgel</t>
    <phoneticPr fontId="1" type="noConversion"/>
  </si>
  <si>
    <t>tebonin</t>
    <phoneticPr fontId="1" type="noConversion"/>
  </si>
  <si>
    <t>ginkgo tree leaves extract</t>
    <phoneticPr fontId="1" type="noConversion"/>
  </si>
  <si>
    <t>2Df/d</t>
    <phoneticPr fontId="1" type="noConversion"/>
  </si>
  <si>
    <t>neurobion forte</t>
    <phoneticPr fontId="1" type="noConversion"/>
  </si>
  <si>
    <t>clinimix</t>
    <phoneticPr fontId="1" type="noConversion"/>
  </si>
  <si>
    <t>1000ml</t>
    <phoneticPr fontId="1" type="noConversion"/>
  </si>
  <si>
    <t>500mg</t>
    <phoneticPr fontId="1" type="noConversion"/>
  </si>
  <si>
    <t>cordarex</t>
    <phoneticPr fontId="1" type="noConversion"/>
  </si>
  <si>
    <t>amiodarone hydrochloride</t>
    <phoneticPr fontId="1" type="noConversion"/>
  </si>
  <si>
    <t>corneregel</t>
    <phoneticPr fontId="1" type="noConversion"/>
  </si>
  <si>
    <t>phosphodiesterase inhibitors</t>
    <phoneticPr fontId="1" type="noConversion"/>
  </si>
  <si>
    <t>1d</t>
    <phoneticPr fontId="1" type="noConversion"/>
  </si>
  <si>
    <t>8d</t>
    <phoneticPr fontId="1" type="noConversion"/>
  </si>
  <si>
    <t>elzogram</t>
    <phoneticPr fontId="1" type="noConversion"/>
  </si>
  <si>
    <t>120mg/d</t>
    <phoneticPr fontId="1" type="noConversion"/>
  </si>
  <si>
    <t>voltaren schmerzgel</t>
    <phoneticPr fontId="1" type="noConversion"/>
  </si>
  <si>
    <t>diclofenal diethylamine</t>
    <phoneticPr fontId="1" type="noConversion"/>
  </si>
  <si>
    <t>Abführmittel</t>
    <phoneticPr fontId="1" type="noConversion"/>
  </si>
  <si>
    <t>nitroglycerin</t>
    <phoneticPr fontId="1" type="noConversion"/>
  </si>
  <si>
    <t>noradrenaline</t>
    <phoneticPr fontId="1" type="noConversion"/>
  </si>
  <si>
    <t>norepinephrine</t>
    <phoneticPr fontId="1" type="noConversion"/>
  </si>
  <si>
    <t>epinephrine</t>
    <phoneticPr fontId="1" type="noConversion"/>
  </si>
  <si>
    <t>40mg</t>
    <phoneticPr fontId="1" type="noConversion"/>
  </si>
  <si>
    <t>20mg</t>
    <phoneticPr fontId="1" type="noConversion"/>
  </si>
  <si>
    <t>250ml</t>
    <phoneticPr fontId="1" type="noConversion"/>
  </si>
  <si>
    <t>ppsb</t>
    <phoneticPr fontId="1" type="noConversion"/>
  </si>
  <si>
    <t>oflox-azu</t>
    <phoneticPr fontId="1" type="noConversion"/>
  </si>
  <si>
    <t>ofloxacin</t>
  </si>
  <si>
    <t>6d</t>
    <phoneticPr fontId="1" type="noConversion"/>
  </si>
  <si>
    <t>addel</t>
    <phoneticPr fontId="1" type="noConversion"/>
  </si>
  <si>
    <t>kalziumzitrat</t>
    <phoneticPr fontId="1" type="noConversion"/>
  </si>
  <si>
    <t>potassium citrate</t>
    <phoneticPr fontId="1" type="noConversion"/>
  </si>
  <si>
    <t>0,075mg/d</t>
    <phoneticPr fontId="1" type="noConversion"/>
  </si>
  <si>
    <t>9d</t>
    <phoneticPr fontId="1" type="noConversion"/>
  </si>
  <si>
    <t>stevens johnson syndrome</t>
    <phoneticPr fontId="1" type="noConversion"/>
  </si>
  <si>
    <t>c reactive protein increased</t>
    <phoneticPr fontId="1" type="noConversion"/>
  </si>
  <si>
    <t>rash maculo papular</t>
    <phoneticPr fontId="1" type="noConversion"/>
  </si>
  <si>
    <t>rifampicin</t>
    <phoneticPr fontId="1" type="noConversion"/>
  </si>
  <si>
    <t>4d</t>
    <phoneticPr fontId="1" type="noConversion"/>
  </si>
  <si>
    <t>600mg/d</t>
    <phoneticPr fontId="1" type="noConversion"/>
  </si>
  <si>
    <t>4000mg/d</t>
    <phoneticPr fontId="1" type="noConversion"/>
  </si>
  <si>
    <t>sobelin solubile</t>
    <phoneticPr fontId="1" type="noConversion"/>
  </si>
  <si>
    <t>amino acids</t>
    <phoneticPr fontId="1" type="noConversion"/>
  </si>
  <si>
    <t>anaesthetic</t>
    <phoneticPr fontId="1" type="noConversion"/>
  </si>
  <si>
    <t>medication</t>
    <phoneticPr fontId="1" type="noConversion"/>
  </si>
  <si>
    <t>analgesic</t>
    <phoneticPr fontId="1" type="noConversion"/>
  </si>
  <si>
    <t>anti-acne preparation</t>
    <phoneticPr fontId="1" type="noConversion"/>
  </si>
  <si>
    <t>antiarrhythmic agents</t>
    <phoneticPr fontId="1" type="noConversion"/>
  </si>
  <si>
    <t>antiasthmatics</t>
    <phoneticPr fontId="1" type="noConversion"/>
  </si>
  <si>
    <t>flucloxacillin sodium</t>
    <phoneticPr fontId="1" type="noConversion"/>
  </si>
  <si>
    <t>6000mg/d</t>
    <phoneticPr fontId="1" type="noConversion"/>
  </si>
  <si>
    <t>potassium canrenoate</t>
    <phoneticPr fontId="1" type="noConversion"/>
  </si>
  <si>
    <t>100mg/d</t>
    <phoneticPr fontId="1" type="noConversion"/>
  </si>
  <si>
    <t>45mg/d</t>
    <phoneticPr fontId="1" type="noConversion"/>
  </si>
  <si>
    <t>6d</t>
    <phoneticPr fontId="1" type="noConversion"/>
  </si>
  <si>
    <t>rectal</t>
    <phoneticPr fontId="1" type="noConversion"/>
  </si>
  <si>
    <t>pain NOS</t>
    <phoneticPr fontId="1" type="noConversion"/>
  </si>
  <si>
    <t>several (atrial fibrillation and flutter, angina pectoris, ischaemic heart disease, ischaemic cerebrovascular disease</t>
    <phoneticPr fontId="1" type="noConversion"/>
  </si>
  <si>
    <t>influenza</t>
    <phoneticPr fontId="1" type="noConversion"/>
  </si>
  <si>
    <t>reason</t>
    <phoneticPr fontId="1" type="noConversion"/>
  </si>
  <si>
    <t>heart failure, unspecific</t>
    <phoneticPr fontId="1" type="noConversion"/>
  </si>
  <si>
    <t>date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</si>
  <si>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</si>
  <si>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</si>
  <si>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</si>
  <si>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</si>
  <si>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12,5mg/d</t>
    <phoneticPr fontId="1" type="noConversion"/>
  </si>
  <si>
    <t>3d</t>
    <phoneticPr fontId="1" type="noConversion"/>
  </si>
  <si>
    <t>9d</t>
    <phoneticPr fontId="1" type="noConversion"/>
  </si>
  <si>
    <t>sodium chloride</t>
    <phoneticPr fontId="1" type="noConversion"/>
  </si>
  <si>
    <t>Abführmittel</t>
    <phoneticPr fontId="1" type="noConversion"/>
  </si>
  <si>
    <t>19d</t>
    <phoneticPr fontId="1" type="noConversion"/>
  </si>
  <si>
    <t>300mg/d</t>
    <phoneticPr fontId="1" type="noConversion"/>
  </si>
  <si>
    <t>ciprobay</t>
    <phoneticPr fontId="1" type="noConversion"/>
  </si>
  <si>
    <t>200mg</t>
    <phoneticPr fontId="1" type="noConversion"/>
  </si>
  <si>
    <t>prednisolone</t>
    <phoneticPr fontId="1" type="noConversion"/>
  </si>
  <si>
    <t>fenistil</t>
    <phoneticPr fontId="1" type="noConversion"/>
  </si>
  <si>
    <t>500mg/d</t>
    <phoneticPr fontId="1" type="noConversion"/>
  </si>
  <si>
    <t>0,1mg/d</t>
    <phoneticPr fontId="1" type="noConversion"/>
  </si>
  <si>
    <t>ranitidine</t>
    <phoneticPr fontId="1" type="noConversion"/>
  </si>
  <si>
    <t>300mg/d</t>
    <phoneticPr fontId="1" type="noConversion"/>
  </si>
  <si>
    <t>ass</t>
    <phoneticPr fontId="1" type="noConversion"/>
  </si>
  <si>
    <t>neuropathy agent</t>
    <phoneticPr fontId="1" type="noConversion"/>
  </si>
  <si>
    <t>thioctic acid</t>
    <phoneticPr fontId="1" type="noConversion"/>
  </si>
  <si>
    <t>diclofenac ratiopharm</t>
    <phoneticPr fontId="1" type="noConversion"/>
  </si>
  <si>
    <t>thomapyrin</t>
    <phoneticPr fontId="1" type="noConversion"/>
  </si>
  <si>
    <t>acetylsalicylic acid, caffeine, paracetamol</t>
    <phoneticPr fontId="1" type="noConversion"/>
  </si>
  <si>
    <t>unacid</t>
    <phoneticPr fontId="1" type="noConversion"/>
  </si>
  <si>
    <t>ampicillin sodium, sulbactam sodium</t>
    <phoneticPr fontId="1" type="noConversion"/>
  </si>
  <si>
    <t>5d</t>
    <phoneticPr fontId="1" type="noConversion"/>
  </si>
  <si>
    <t>valoron n ret</t>
    <phoneticPr fontId="1" type="noConversion"/>
  </si>
  <si>
    <t>300mg/d</t>
    <phoneticPr fontId="1" type="noConversion"/>
  </si>
  <si>
    <t>2Df/f</t>
    <phoneticPr fontId="1" type="noConversion"/>
  </si>
  <si>
    <t>voltaren retard</t>
    <phoneticPr fontId="1" type="noConversion"/>
  </si>
  <si>
    <t>3Df/d</t>
    <phoneticPr fontId="1" type="noConversion"/>
  </si>
  <si>
    <t>8d</t>
    <phoneticPr fontId="1" type="noConversion"/>
  </si>
  <si>
    <t xml:space="preserve">vomex a </t>
    <phoneticPr fontId="1" type="noConversion"/>
  </si>
  <si>
    <t>10mg</t>
    <phoneticPr fontId="1" type="noConversion"/>
  </si>
  <si>
    <t>aspirin protect</t>
    <phoneticPr fontId="1" type="noConversion"/>
  </si>
  <si>
    <t>1Df/f</t>
    <phoneticPr fontId="1" type="noConversion"/>
  </si>
  <si>
    <t>4mg/d</t>
    <phoneticPr fontId="1" type="noConversion"/>
  </si>
  <si>
    <t>21d</t>
    <phoneticPr fontId="1" type="noConversion"/>
  </si>
  <si>
    <t>1d</t>
    <phoneticPr fontId="1" type="noConversion"/>
  </si>
  <si>
    <t>paracetamol</t>
    <phoneticPr fontId="1" type="noConversion"/>
  </si>
  <si>
    <t>3d</t>
    <phoneticPr fontId="1" type="noConversion"/>
  </si>
  <si>
    <t>1d</t>
    <phoneticPr fontId="1" type="noConversion"/>
  </si>
  <si>
    <t>voltaren resinat</t>
    <phoneticPr fontId="1" type="noConversion"/>
  </si>
  <si>
    <t>isosorbide mononitrate</t>
    <phoneticPr fontId="1" type="noConversion"/>
  </si>
  <si>
    <t>hydrochlorothiazide, candesartan cilexetil</t>
    <phoneticPr fontId="1" type="noConversion"/>
  </si>
  <si>
    <t>antivertiginous</t>
    <phoneticPr fontId="1" type="noConversion"/>
  </si>
  <si>
    <t>5mg/d</t>
    <phoneticPr fontId="1" type="noConversion"/>
  </si>
  <si>
    <t>6d</t>
    <phoneticPr fontId="1" type="noConversion"/>
  </si>
  <si>
    <t>antifibrinolytics</t>
    <phoneticPr fontId="1" type="noConversion"/>
  </si>
  <si>
    <t>4Df/d</t>
    <phoneticPr fontId="1" type="noConversion"/>
  </si>
  <si>
    <t>antimycotic</t>
    <phoneticPr fontId="1" type="noConversion"/>
  </si>
  <si>
    <t>antiparkinsonian</t>
    <phoneticPr fontId="1" type="noConversion"/>
  </si>
  <si>
    <t>preg</t>
    <phoneticPr fontId="1" type="noConversion"/>
  </si>
  <si>
    <t>psych</t>
    <phoneticPr fontId="1" type="noConversion"/>
  </si>
  <si>
    <t>berodual</t>
    <phoneticPr fontId="1" type="noConversion"/>
  </si>
  <si>
    <t>metamizole  " normon"</t>
    <phoneticPr fontId="1" type="noConversion"/>
  </si>
  <si>
    <t>allo</t>
    <phoneticPr fontId="1" type="noConversion"/>
  </si>
  <si>
    <t>1d</t>
    <phoneticPr fontId="1" type="noConversion"/>
  </si>
  <si>
    <t>ascorbin acid/calcium</t>
    <phoneticPr fontId="1" type="noConversion"/>
  </si>
  <si>
    <t>2d</t>
    <phoneticPr fontId="1" type="noConversion"/>
  </si>
  <si>
    <t>0,3mg/d</t>
    <phoneticPr fontId="1" type="noConversion"/>
  </si>
  <si>
    <t>antipsychotics</t>
    <phoneticPr fontId="1" type="noConversion"/>
  </si>
  <si>
    <t>antithryroid</t>
    <phoneticPr fontId="1" type="noConversion"/>
  </si>
  <si>
    <t>sorbitol, xylitol, amino acids nos, electrolytes nos</t>
    <phoneticPr fontId="1" type="noConversion"/>
  </si>
  <si>
    <t>omep</t>
    <phoneticPr fontId="1" type="noConversion"/>
  </si>
  <si>
    <t>20mg/d</t>
    <phoneticPr fontId="1" type="noConversion"/>
  </si>
  <si>
    <t>14d</t>
    <phoneticPr fontId="1" type="noConversion"/>
  </si>
  <si>
    <t>paracetamol</t>
    <phoneticPr fontId="1" type="noConversion"/>
  </si>
  <si>
    <t>1Df</t>
    <phoneticPr fontId="1" type="noConversion"/>
  </si>
  <si>
    <t>stilnox</t>
    <phoneticPr fontId="1" type="noConversion"/>
  </si>
  <si>
    <t>300mg/d</t>
    <phoneticPr fontId="1" type="noConversion"/>
  </si>
  <si>
    <t>23d</t>
    <phoneticPr fontId="1" type="noConversion"/>
  </si>
  <si>
    <t>metoprolol</t>
    <phoneticPr fontId="1" type="noConversion"/>
  </si>
  <si>
    <t>2Df/D</t>
    <phoneticPr fontId="1" type="noConversion"/>
  </si>
  <si>
    <t>450mg/d</t>
    <phoneticPr fontId="1" type="noConversion"/>
  </si>
  <si>
    <t>clexane</t>
    <phoneticPr fontId="1" type="noConversion"/>
  </si>
  <si>
    <t>heparin-fraction, sodium salt</t>
    <phoneticPr fontId="1" type="noConversion"/>
  </si>
  <si>
    <t>clindamycin</t>
    <phoneticPr fontId="1" type="noConversion"/>
  </si>
  <si>
    <t>amino acids nos</t>
    <phoneticPr fontId="1" type="noConversion"/>
  </si>
  <si>
    <t>calcium</t>
    <phoneticPr fontId="1" type="noConversion"/>
  </si>
  <si>
    <t>calcium</t>
    <phoneticPr fontId="1" type="noConversion"/>
  </si>
  <si>
    <t>calcium gluconate</t>
    <phoneticPr fontId="1" type="noConversion"/>
  </si>
  <si>
    <t>0,075mg/d</t>
    <phoneticPr fontId="1" type="noConversion"/>
  </si>
  <si>
    <t>u - unknown</t>
    <phoneticPr fontId="1" type="noConversion"/>
  </si>
  <si>
    <t>skin reactions</t>
    <phoneticPr fontId="1" type="noConversion"/>
  </si>
  <si>
    <t>moronal</t>
    <phoneticPr fontId="1" type="noConversion"/>
  </si>
  <si>
    <t>5d</t>
    <phoneticPr fontId="1" type="noConversion"/>
  </si>
  <si>
    <t>4mg/d</t>
    <phoneticPr fontId="1" type="noConversion"/>
  </si>
  <si>
    <t>1Df/d</t>
    <phoneticPr fontId="1" type="noConversion"/>
  </si>
  <si>
    <t>corangin "ciba-geigy"</t>
    <phoneticPr fontId="1" type="noConversion"/>
  </si>
  <si>
    <t>hydrochlorothiazide, valsartan</t>
    <phoneticPr fontId="1" type="noConversion"/>
  </si>
  <si>
    <t>co-diovan</t>
    <phoneticPr fontId="1" type="noConversion"/>
  </si>
  <si>
    <t>1Df/d</t>
    <phoneticPr fontId="1" type="noConversion"/>
  </si>
  <si>
    <t>1Df/d</t>
    <phoneticPr fontId="1" type="noConversion"/>
  </si>
  <si>
    <t>anexate</t>
    <phoneticPr fontId="1" type="noConversion"/>
  </si>
  <si>
    <t>flumazenil</t>
    <phoneticPr fontId="1" type="noConversion"/>
  </si>
  <si>
    <t>0,5mg</t>
    <phoneticPr fontId="1" type="noConversion"/>
  </si>
  <si>
    <t>carvedilol</t>
    <phoneticPr fontId="1" type="noConversion"/>
  </si>
  <si>
    <t>800mg/d</t>
    <phoneticPr fontId="1" type="noConversion"/>
  </si>
  <si>
    <t>3d</t>
    <phoneticPr fontId="1" type="noConversion"/>
  </si>
  <si>
    <t>400mg</t>
    <phoneticPr fontId="1" type="noConversion"/>
  </si>
  <si>
    <t>refobacin</t>
    <phoneticPr fontId="1" type="noConversion"/>
  </si>
  <si>
    <t>gentamicin sulfate</t>
    <phoneticPr fontId="1" type="noConversion"/>
  </si>
  <si>
    <t>ciprofloxacin hydrochloride</t>
    <phoneticPr fontId="1" type="noConversion"/>
  </si>
  <si>
    <t>fenoterol hydrobromide, ipratropium bromide</t>
    <phoneticPr fontId="1" type="noConversion"/>
  </si>
  <si>
    <t>voltaren</t>
    <phoneticPr fontId="1" type="noConversion"/>
  </si>
  <si>
    <t>aspirin "bayer"</t>
    <phoneticPr fontId="1" type="noConversion"/>
  </si>
  <si>
    <t>75mg</t>
    <phoneticPr fontId="1" type="noConversion"/>
  </si>
  <si>
    <t>150mg</t>
    <phoneticPr fontId="1" type="noConversion"/>
  </si>
  <si>
    <t>bisprolol</t>
    <phoneticPr fontId="1" type="noConversion"/>
  </si>
  <si>
    <t>haloperidol</t>
    <phoneticPr fontId="1" type="noConversion"/>
  </si>
  <si>
    <t>bisoprolol</t>
    <phoneticPr fontId="1" type="noConversion"/>
  </si>
  <si>
    <t>ibuprofen</t>
    <phoneticPr fontId="1" type="noConversion"/>
  </si>
  <si>
    <t>voltaren dispers</t>
    <phoneticPr fontId="1" type="noConversion"/>
  </si>
  <si>
    <t>sulfamethoxazole, trimethoprim</t>
  </si>
  <si>
    <t>cotrimoxazol</t>
    <phoneticPr fontId="1" type="noConversion"/>
  </si>
  <si>
    <t>misoprostol</t>
    <phoneticPr fontId="1" type="noConversion"/>
  </si>
  <si>
    <t>diclophlogont ampullen</t>
    <phoneticPr fontId="1" type="noConversion"/>
  </si>
  <si>
    <t>digimerck</t>
    <phoneticPr fontId="1" type="noConversion"/>
  </si>
  <si>
    <t>digitoxin</t>
    <phoneticPr fontId="1" type="noConversion"/>
  </si>
  <si>
    <t>sodium molybdate, zinkchloride, potassium iodide, sodium fluoride, chromicchloride, ferricchloride, hexahydrate, sodium selenite, cupricchloride dihydrate)</t>
    <phoneticPr fontId="1" type="noConversion"/>
  </si>
  <si>
    <t>adrenalin</t>
    <phoneticPr fontId="1" type="noConversion"/>
  </si>
  <si>
    <t>1000lu</t>
    <phoneticPr fontId="1" type="noConversion"/>
  </si>
  <si>
    <t>prostigmin</t>
    <phoneticPr fontId="1" type="noConversion"/>
  </si>
  <si>
    <t>neostigmine bromide</t>
    <phoneticPr fontId="1" type="noConversion"/>
  </si>
  <si>
    <t>protamin</t>
    <phoneticPr fontId="1" type="noConversion"/>
  </si>
  <si>
    <t>magnesium aspartate hydrochloride</t>
    <phoneticPr fontId="1" type="noConversion"/>
  </si>
  <si>
    <t>valeriana officinalis root</t>
    <phoneticPr fontId="1" type="noConversion"/>
  </si>
  <si>
    <t>acetylsalicylic acid</t>
    <phoneticPr fontId="1" type="noConversion"/>
  </si>
  <si>
    <t>Acetylsalizylsaeure</t>
    <phoneticPr fontId="1" type="noConversion"/>
  </si>
  <si>
    <t>clindamycin phosphate</t>
    <phoneticPr fontId="1" type="noConversion"/>
  </si>
  <si>
    <t>1800mg/d</t>
    <phoneticPr fontId="1" type="noConversion"/>
  </si>
  <si>
    <t>1d</t>
    <phoneticPr fontId="1" type="noConversion"/>
  </si>
  <si>
    <t>250mg/d</t>
    <phoneticPr fontId="1" type="noConversion"/>
  </si>
  <si>
    <t>staphylex</t>
    <phoneticPr fontId="1" type="noConversion"/>
  </si>
  <si>
    <t>ideos</t>
    <phoneticPr fontId="1" type="noConversion"/>
  </si>
  <si>
    <t>haloperidol decanoate</t>
    <phoneticPr fontId="1" type="noConversion"/>
  </si>
  <si>
    <t>10d</t>
    <phoneticPr fontId="1" type="noConversion"/>
  </si>
  <si>
    <t>10d</t>
    <phoneticPr fontId="1" type="noConversion"/>
  </si>
  <si>
    <t>4d</t>
    <phoneticPr fontId="1" type="noConversion"/>
  </si>
  <si>
    <t>18d</t>
    <phoneticPr fontId="1" type="noConversion"/>
  </si>
  <si>
    <t>1mg/d</t>
    <phoneticPr fontId="1" type="noConversion"/>
  </si>
  <si>
    <t>40Gtt/d</t>
    <phoneticPr fontId="1" type="noConversion"/>
  </si>
  <si>
    <t>900mg/d</t>
    <phoneticPr fontId="1" type="noConversion"/>
  </si>
  <si>
    <t>amino acid nos</t>
    <phoneticPr fontId="1" type="noConversion"/>
  </si>
  <si>
    <t>amino acid nos/electrolytes</t>
    <phoneticPr fontId="1" type="noConversion"/>
  </si>
  <si>
    <t>unknown</t>
    <phoneticPr fontId="1" type="noConversion"/>
  </si>
  <si>
    <t>dead</t>
    <phoneticPr fontId="1" type="noConversion"/>
  </si>
  <si>
    <t>recovered</t>
    <phoneticPr fontId="1" type="noConversion"/>
  </si>
  <si>
    <t>unnknown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</si>
  <si>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</si>
  <si>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</si>
  <si>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</si>
  <si>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</si>
  <si>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</si>
  <si>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</si>
  <si>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</si>
  <si>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</si>
  <si>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</si>
  <si>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</si>
  <si>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u</t>
    <phoneticPr fontId="1" type="noConversion"/>
  </si>
  <si>
    <t>15d</t>
    <phoneticPr fontId="1" type="noConversion"/>
  </si>
  <si>
    <t>sodium chloride, calcium chloride dihydrate, polygelantine succinate</t>
    <phoneticPr fontId="1" type="noConversion"/>
  </si>
  <si>
    <t>500ml</t>
    <phoneticPr fontId="1" type="noConversion"/>
  </si>
  <si>
    <t>glucose</t>
    <phoneticPr fontId="1" type="noConversion"/>
  </si>
  <si>
    <t>haes</t>
    <phoneticPr fontId="1" type="noConversion"/>
  </si>
  <si>
    <t>haldol</t>
    <phoneticPr fontId="1" type="noConversion"/>
  </si>
  <si>
    <t>nadroparin calcium</t>
    <phoneticPr fontId="1" type="noConversion"/>
  </si>
  <si>
    <t>metoprolol tartrate</t>
    <phoneticPr fontId="1" type="noConversion"/>
  </si>
  <si>
    <t>propofol</t>
    <phoneticPr fontId="1" type="noConversion"/>
  </si>
  <si>
    <t>25mg/d</t>
    <phoneticPr fontId="1" type="noConversion"/>
  </si>
  <si>
    <t>diclofenac</t>
    <phoneticPr fontId="1" type="noConversion"/>
  </si>
  <si>
    <t>voltaren emulgel</t>
    <phoneticPr fontId="1" type="noConversion"/>
  </si>
  <si>
    <t>1Df/d</t>
    <phoneticPr fontId="1" type="noConversion"/>
  </si>
  <si>
    <t>diclofenac</t>
    <phoneticPr fontId="1" type="noConversion"/>
  </si>
  <si>
    <t>glibenclamide</t>
    <phoneticPr fontId="1" type="noConversion"/>
  </si>
  <si>
    <t>pacyl</t>
    <phoneticPr fontId="1" type="noConversion"/>
  </si>
  <si>
    <t>isoxicam</t>
    <phoneticPr fontId="1" type="noConversion"/>
  </si>
  <si>
    <t>200mg/d</t>
    <phoneticPr fontId="1" type="noConversion"/>
  </si>
  <si>
    <t>11d</t>
    <phoneticPr fontId="1" type="noConversion"/>
  </si>
  <si>
    <t>mofebutazon</t>
    <phoneticPr fontId="1" type="noConversion"/>
  </si>
  <si>
    <t>mofebutazone</t>
    <phoneticPr fontId="1" type="noConversion"/>
  </si>
  <si>
    <t>500mg/d</t>
    <phoneticPr fontId="1" type="noConversion"/>
  </si>
  <si>
    <t>dipyron</t>
    <phoneticPr fontId="1" type="noConversion"/>
  </si>
  <si>
    <t>amitriptyline hydrochloride</t>
    <phoneticPr fontId="1" type="noConversion"/>
  </si>
  <si>
    <t>heparin</t>
    <phoneticPr fontId="1" type="noConversion"/>
  </si>
  <si>
    <t>mono-embolex</t>
    <phoneticPr fontId="1" type="noConversion"/>
  </si>
  <si>
    <t>certoparin sodium</t>
    <phoneticPr fontId="1" type="noConversion"/>
  </si>
  <si>
    <t>4d</t>
    <phoneticPr fontId="1" type="noConversion"/>
  </si>
  <si>
    <t>diclofenac sodium</t>
    <phoneticPr fontId="1" type="noConversion"/>
  </si>
  <si>
    <t>paracetamol</t>
    <phoneticPr fontId="1" type="noConversion"/>
  </si>
  <si>
    <t>vasodilatator</t>
    <phoneticPr fontId="1" type="noConversion"/>
  </si>
  <si>
    <t>skin disorder</t>
  </si>
  <si>
    <t>asthenia</t>
  </si>
  <si>
    <t>atosil tropfen</t>
    <phoneticPr fontId="1" type="noConversion"/>
  </si>
  <si>
    <t>furosemide</t>
    <phoneticPr fontId="1" type="noConversion"/>
  </si>
  <si>
    <t>gelonida</t>
    <phoneticPr fontId="1" type="noConversion"/>
  </si>
  <si>
    <t>paracetamol, acetylsalicylic acid, codeine phosphate</t>
    <phoneticPr fontId="1" type="noConversion"/>
  </si>
  <si>
    <t>bronchicum</t>
    <phoneticPr fontId="1" type="noConversion"/>
  </si>
  <si>
    <t>furosemide</t>
    <phoneticPr fontId="1" type="noConversion"/>
  </si>
  <si>
    <t>furosemide</t>
    <phoneticPr fontId="1" type="noConversion"/>
  </si>
  <si>
    <t>lasix 40</t>
    <phoneticPr fontId="1" type="noConversion"/>
  </si>
  <si>
    <t>blopress plus</t>
    <phoneticPr fontId="1" type="noConversion"/>
  </si>
  <si>
    <t>1Df/d</t>
    <phoneticPr fontId="1" type="noConversion"/>
  </si>
  <si>
    <t>11d</t>
    <phoneticPr fontId="1" type="noConversion"/>
  </si>
  <si>
    <t>calcium d3</t>
    <phoneticPr fontId="1" type="noConversion"/>
  </si>
  <si>
    <t>metamizole magnesium</t>
    <phoneticPr fontId="1" type="noConversion"/>
  </si>
  <si>
    <t>omeprazole</t>
    <phoneticPr fontId="1" type="noConversion"/>
  </si>
  <si>
    <t>voltaren emulgel</t>
    <phoneticPr fontId="1" type="noConversion"/>
  </si>
  <si>
    <t>10mg/d</t>
    <phoneticPr fontId="1" type="noConversion"/>
  </si>
  <si>
    <t>vitamins nos</t>
    <phoneticPr fontId="1" type="noConversion"/>
  </si>
  <si>
    <t>50ml</t>
    <phoneticPr fontId="1" type="noConversion"/>
  </si>
  <si>
    <t>beloc</t>
    <phoneticPr fontId="1" type="noConversion"/>
  </si>
  <si>
    <t>beloc-zok</t>
    <phoneticPr fontId="1" type="noConversion"/>
  </si>
  <si>
    <t>sab simplex</t>
    <phoneticPr fontId="1" type="noConversion"/>
  </si>
  <si>
    <t>dimeticone</t>
    <phoneticPr fontId="1" type="noConversion"/>
  </si>
  <si>
    <t>12d</t>
    <phoneticPr fontId="1" type="noConversion"/>
  </si>
  <si>
    <t>20Gtt/d</t>
    <phoneticPr fontId="1" type="noConversion"/>
  </si>
  <si>
    <t>practo-clyss</t>
    <phoneticPr fontId="1" type="noConversion"/>
  </si>
  <si>
    <t>sodium phosphate dibasic, sodium phosphate monobasic</t>
    <phoneticPr fontId="1" type="noConversion"/>
  </si>
  <si>
    <t>zolpidem</t>
    <phoneticPr fontId="1" type="noConversion"/>
  </si>
  <si>
    <t>Antiflatulanzien</t>
    <phoneticPr fontId="1" type="noConversion"/>
  </si>
  <si>
    <t>diclofenac</t>
    <phoneticPr fontId="1" type="noConversion"/>
  </si>
  <si>
    <t>ass 100mg</t>
    <phoneticPr fontId="1" type="noConversion"/>
  </si>
  <si>
    <t>aponal 50</t>
    <phoneticPr fontId="1" type="noConversion"/>
  </si>
  <si>
    <t>glimepirid 3mg</t>
    <phoneticPr fontId="1" type="noConversion"/>
  </si>
  <si>
    <t>12d</t>
    <phoneticPr fontId="1" type="noConversion"/>
  </si>
  <si>
    <t>fresh frozen plasma</t>
    <phoneticPr fontId="1" type="noConversion"/>
  </si>
  <si>
    <t>plasma protein fraction (human)</t>
    <phoneticPr fontId="1" type="noConversion"/>
  </si>
  <si>
    <t>isophane insulin, insulin human</t>
    <phoneticPr fontId="1" type="noConversion"/>
  </si>
  <si>
    <t>insuman rapid</t>
    <phoneticPr fontId="1" type="noConversion"/>
  </si>
  <si>
    <t>macrogol</t>
    <phoneticPr fontId="1" type="noConversion"/>
  </si>
  <si>
    <t>immunomodulators</t>
    <phoneticPr fontId="1" type="noConversion"/>
  </si>
  <si>
    <t>3000lu/d</t>
    <phoneticPr fontId="1" type="noConversion"/>
  </si>
  <si>
    <t>60Gtt/d</t>
    <phoneticPr fontId="1" type="noConversion"/>
  </si>
  <si>
    <t>7d</t>
    <phoneticPr fontId="1" type="noConversion"/>
  </si>
  <si>
    <t>amino acids nos, sorbitol, acetylcysteine, sodium glycerophosphate, potassium chloride, magnesium chloride anhydrous</t>
    <phoneticPr fontId="1" type="noConversion"/>
  </si>
  <si>
    <t>1000ml</t>
    <phoneticPr fontId="1" type="noConversion"/>
  </si>
  <si>
    <t>amphotericin b</t>
    <phoneticPr fontId="1" type="noConversion"/>
  </si>
  <si>
    <t>10mg</t>
    <phoneticPr fontId="1" type="noConversion"/>
  </si>
  <si>
    <t>ampicillin</t>
    <phoneticPr fontId="1" type="noConversion"/>
  </si>
  <si>
    <t>2000mg</t>
    <phoneticPr fontId="1" type="noConversion"/>
  </si>
  <si>
    <t>cefazolin sodium</t>
    <phoneticPr fontId="1" type="noConversion"/>
  </si>
  <si>
    <t>nystatin</t>
    <phoneticPr fontId="1" type="noConversion"/>
  </si>
  <si>
    <t>hepatic enyzme increased</t>
  </si>
  <si>
    <t>decreased appetite</t>
  </si>
  <si>
    <t>application site reaction</t>
  </si>
  <si>
    <t>malaise</t>
  </si>
  <si>
    <t>anaphylactic shock</t>
  </si>
  <si>
    <t>amoxicillin</t>
    <phoneticPr fontId="1" type="noConversion"/>
  </si>
  <si>
    <t>rohypnol</t>
    <phoneticPr fontId="1" type="noConversion"/>
  </si>
  <si>
    <t>flunitrazepam</t>
    <phoneticPr fontId="1" type="noConversion"/>
  </si>
  <si>
    <t>yersinia infection</t>
  </si>
  <si>
    <t>tetrazepam</t>
    <phoneticPr fontId="1" type="noConversion"/>
  </si>
  <si>
    <t>acetylsalicylic acid</t>
    <phoneticPr fontId="1" type="noConversion"/>
  </si>
  <si>
    <t>diuretics</t>
    <phoneticPr fontId="1" type="noConversion"/>
  </si>
  <si>
    <t>100mg</t>
    <phoneticPr fontId="1" type="noConversion"/>
  </si>
  <si>
    <t>alendronate sodium</t>
    <phoneticPr fontId="1" type="noConversion"/>
  </si>
  <si>
    <t>tramal</t>
    <phoneticPr fontId="1" type="noConversion"/>
  </si>
  <si>
    <t>voltaren</t>
    <phoneticPr fontId="1" type="noConversion"/>
  </si>
  <si>
    <t>adalat</t>
    <phoneticPr fontId="1" type="noConversion"/>
  </si>
  <si>
    <t>nifedipine</t>
    <phoneticPr fontId="1" type="noConversion"/>
  </si>
  <si>
    <t>ben-u-ron</t>
    <phoneticPr fontId="1" type="noConversion"/>
  </si>
  <si>
    <t>cytotec 200</t>
    <phoneticPr fontId="1" type="noConversion"/>
  </si>
  <si>
    <t xml:space="preserve">eczema asteatotic </t>
  </si>
  <si>
    <t>eczema weeping</t>
  </si>
  <si>
    <t>skin ulceration</t>
  </si>
  <si>
    <t>fuchs syndrome</t>
  </si>
  <si>
    <t>flushing</t>
  </si>
  <si>
    <t>elantan 20</t>
    <phoneticPr fontId="1" type="noConversion"/>
  </si>
  <si>
    <t>herpes zoster</t>
  </si>
  <si>
    <t>swelling face</t>
  </si>
  <si>
    <t>streptococcus test postitive</t>
  </si>
  <si>
    <t>amino acids nos</t>
    <phoneticPr fontId="1" type="noConversion"/>
  </si>
  <si>
    <t>aminofusin</t>
    <phoneticPr fontId="1" type="noConversion"/>
  </si>
  <si>
    <t>31d</t>
    <phoneticPr fontId="1" type="noConversion"/>
  </si>
  <si>
    <t>32d</t>
    <phoneticPr fontId="1" type="noConversion"/>
  </si>
  <si>
    <t>4d</t>
    <phoneticPr fontId="1" type="noConversion"/>
  </si>
  <si>
    <t>protamine hydrochloride</t>
    <phoneticPr fontId="1" type="noConversion"/>
  </si>
  <si>
    <t>5000lu</t>
    <phoneticPr fontId="1" type="noConversion"/>
  </si>
  <si>
    <t>Perfalgan</t>
    <phoneticPr fontId="1" type="noConversion"/>
  </si>
  <si>
    <t>decortin</t>
    <phoneticPr fontId="1" type="noConversion"/>
  </si>
  <si>
    <t>prednisone</t>
    <phoneticPr fontId="1" type="noConversion"/>
  </si>
  <si>
    <t>ethanol, diethylether</t>
    <phoneticPr fontId="1" type="noConversion"/>
  </si>
  <si>
    <t>dexamethasone</t>
    <phoneticPr fontId="1" type="noConversion"/>
  </si>
  <si>
    <t>dexabene</t>
    <phoneticPr fontId="1" type="noConversion"/>
  </si>
  <si>
    <t>dexamethasone sodium phosphate</t>
    <phoneticPr fontId="1" type="noConversion"/>
  </si>
  <si>
    <t>carmen</t>
    <phoneticPr fontId="1" type="noConversion"/>
  </si>
  <si>
    <t>3d</t>
    <phoneticPr fontId="1" type="noConversion"/>
  </si>
  <si>
    <t>50mg</t>
    <phoneticPr fontId="1" type="noConversion"/>
  </si>
  <si>
    <t>diclofenac</t>
    <phoneticPr fontId="1" type="noConversion"/>
  </si>
  <si>
    <t>2Df/d</t>
    <phoneticPr fontId="1" type="noConversion"/>
  </si>
  <si>
    <t>30mg/d</t>
    <phoneticPr fontId="1" type="noConversion"/>
  </si>
  <si>
    <t>fenistil retard</t>
    <phoneticPr fontId="1" type="noConversion"/>
  </si>
  <si>
    <t>fosamax</t>
    <phoneticPr fontId="1" type="noConversion"/>
  </si>
  <si>
    <t>5mg/d</t>
    <phoneticPr fontId="1" type="noConversion"/>
  </si>
  <si>
    <t>atacand</t>
    <phoneticPr fontId="1" type="noConversion"/>
  </si>
  <si>
    <t>1200mg/d</t>
    <phoneticPr fontId="1" type="noConversion"/>
  </si>
  <si>
    <t>80mg/d</t>
    <phoneticPr fontId="1" type="noConversion"/>
  </si>
  <si>
    <t>/d</t>
    <phoneticPr fontId="1" type="noConversion"/>
  </si>
  <si>
    <t>75mg/d</t>
    <phoneticPr fontId="1" type="noConversion"/>
  </si>
  <si>
    <t>2d</t>
    <phoneticPr fontId="1" type="noConversion"/>
  </si>
  <si>
    <t>10mg/d</t>
    <phoneticPr fontId="1" type="noConversion"/>
  </si>
  <si>
    <t>2000mg</t>
    <phoneticPr fontId="1" type="noConversion"/>
  </si>
  <si>
    <t>esmeron</t>
    <phoneticPr fontId="1" type="noConversion"/>
  </si>
  <si>
    <t>rocuronium bromide</t>
    <phoneticPr fontId="1" type="noConversion"/>
  </si>
  <si>
    <t>300mg</t>
    <phoneticPr fontId="1" type="noConversion"/>
  </si>
  <si>
    <t>olmesartan medoxomil</t>
    <phoneticPr fontId="1" type="noConversion"/>
  </si>
  <si>
    <t>madopar</t>
    <phoneticPr fontId="1" type="noConversion"/>
  </si>
  <si>
    <t>levodopa,  beserazide hydrochloride</t>
    <phoneticPr fontId="1" type="noConversion"/>
  </si>
  <si>
    <t>17d</t>
    <phoneticPr fontId="1" type="noConversion"/>
  </si>
  <si>
    <t>16d</t>
    <phoneticPr fontId="1" type="noConversion"/>
  </si>
  <si>
    <t>gelafundin</t>
    <phoneticPr fontId="1" type="noConversion"/>
  </si>
  <si>
    <t>glycerol, soya oil, lecithin</t>
    <phoneticPr fontId="1" type="noConversion"/>
  </si>
  <si>
    <t>250ml</t>
    <phoneticPr fontId="1" type="noConversion"/>
  </si>
  <si>
    <t>esomeprazole magnesium</t>
    <phoneticPr fontId="1" type="noConversion"/>
  </si>
  <si>
    <t>corotrop</t>
    <phoneticPr fontId="1" type="noConversion"/>
  </si>
  <si>
    <t>milrinone</t>
    <phoneticPr fontId="1" type="noConversion"/>
  </si>
  <si>
    <t>diclofenac</t>
    <phoneticPr fontId="1" type="noConversion"/>
  </si>
  <si>
    <t>dipidolor</t>
    <phoneticPr fontId="1" type="noConversion"/>
  </si>
  <si>
    <t>piritramide</t>
    <phoneticPr fontId="1" type="noConversion"/>
  </si>
  <si>
    <t>disoprivan</t>
    <phoneticPr fontId="1" type="noConversion"/>
  </si>
  <si>
    <t>duration</t>
    <phoneticPr fontId="1" type="noConversion"/>
  </si>
  <si>
    <t>substance</t>
    <phoneticPr fontId="1" type="noConversion"/>
  </si>
  <si>
    <t>muscle relaxant</t>
    <phoneticPr fontId="1" type="noConversion"/>
  </si>
  <si>
    <t>musaril</t>
    <phoneticPr fontId="1" type="noConversion"/>
  </si>
  <si>
    <t>application site eczema</t>
  </si>
  <si>
    <t>oral mucosal blistering</t>
  </si>
  <si>
    <t>throat irritation</t>
  </si>
  <si>
    <t>capillaritis</t>
  </si>
  <si>
    <t>scar</t>
  </si>
  <si>
    <t>skin hyperpigmentation</t>
  </si>
  <si>
    <t>metamizole sodium, theophylline nicotinate</t>
    <phoneticPr fontId="1" type="noConversion"/>
  </si>
  <si>
    <t>magnesium citrate</t>
    <phoneticPr fontId="1" type="noConversion"/>
  </si>
  <si>
    <t>baldrian</t>
    <phoneticPr fontId="1" type="noConversion"/>
  </si>
  <si>
    <t>calcium</t>
    <phoneticPr fontId="1" type="noConversion"/>
  </si>
  <si>
    <t>zyloric 300</t>
    <phoneticPr fontId="1" type="noConversion"/>
  </si>
  <si>
    <t>allopurinol</t>
    <phoneticPr fontId="1" type="noConversion"/>
  </si>
  <si>
    <t>isosorbide dinitrate</t>
    <phoneticPr fontId="1" type="noConversion"/>
  </si>
  <si>
    <t>cardiac glycoside</t>
    <phoneticPr fontId="1" type="noConversion"/>
  </si>
  <si>
    <t>ianitop</t>
    <phoneticPr fontId="1" type="noConversion"/>
  </si>
  <si>
    <t>metildigoxin</t>
    <phoneticPr fontId="1" type="noConversion"/>
  </si>
  <si>
    <t>analgesic</t>
    <phoneticPr fontId="1" type="noConversion"/>
  </si>
  <si>
    <t>uricostatics</t>
    <phoneticPr fontId="1" type="noConversion"/>
  </si>
  <si>
    <t>hypoaesthesia</t>
  </si>
  <si>
    <t>epidermolysis bullosa</t>
  </si>
  <si>
    <t>hyperkeratosis</t>
  </si>
  <si>
    <t>purulent discharge</t>
  </si>
  <si>
    <t>isoptin</t>
    <phoneticPr fontId="1" type="noConversion"/>
  </si>
  <si>
    <t>verapamil hydrochloride</t>
    <phoneticPr fontId="1" type="noConversion"/>
  </si>
  <si>
    <t>neurocil</t>
    <phoneticPr fontId="1" type="noConversion"/>
  </si>
  <si>
    <t>cholecaliferol, calciumcarbonate</t>
    <phoneticPr fontId="1" type="noConversion"/>
  </si>
  <si>
    <t>100d</t>
    <phoneticPr fontId="1" type="noConversion"/>
  </si>
  <si>
    <t>2Df/d</t>
    <phoneticPr fontId="1" type="noConversion"/>
  </si>
  <si>
    <t>burns second degree</t>
  </si>
  <si>
    <t>nitrofurantoin</t>
    <phoneticPr fontId="1" type="noConversion"/>
  </si>
  <si>
    <t>nitrofurantoin retard</t>
    <phoneticPr fontId="1" type="noConversion"/>
  </si>
  <si>
    <t>4d</t>
    <phoneticPr fontId="1" type="noConversion"/>
  </si>
  <si>
    <t>paracetamol</t>
    <phoneticPr fontId="1" type="noConversion"/>
  </si>
  <si>
    <t>3000mg/d</t>
    <phoneticPr fontId="1" type="noConversion"/>
  </si>
  <si>
    <t>promethazine hydrochloride</t>
    <phoneticPr fontId="1" type="noConversion"/>
  </si>
  <si>
    <t>diclofenac resinat</t>
    <phoneticPr fontId="1" type="noConversion"/>
  </si>
  <si>
    <t>2Df/d</t>
    <phoneticPr fontId="1" type="noConversion"/>
  </si>
  <si>
    <t>250mg/d</t>
    <phoneticPr fontId="1" type="noConversion"/>
  </si>
  <si>
    <t>anaemia</t>
  </si>
  <si>
    <t>conor plus</t>
    <phoneticPr fontId="1" type="noConversion"/>
  </si>
  <si>
    <t>hydrochlorothiazide, bisoprolol fumerate</t>
    <phoneticPr fontId="1" type="noConversion"/>
  </si>
  <si>
    <t>Diuretika, Antihypertonika Kombi</t>
    <phoneticPr fontId="1" type="noConversion"/>
  </si>
  <si>
    <t>fenistil</t>
    <phoneticPr fontId="1" type="noConversion"/>
  </si>
  <si>
    <t>dimetindene maleate</t>
    <phoneticPr fontId="1" type="noConversion"/>
  </si>
  <si>
    <t>!Df/d</t>
    <phoneticPr fontId="1" type="noConversion"/>
  </si>
  <si>
    <t>ketek</t>
    <phoneticPr fontId="1" type="noConversion"/>
  </si>
  <si>
    <t>soluvit</t>
    <phoneticPr fontId="1" type="noConversion"/>
  </si>
  <si>
    <t>1mg</t>
    <phoneticPr fontId="1" type="noConversion"/>
  </si>
  <si>
    <t>tazobac</t>
    <phoneticPr fontId="1" type="noConversion"/>
  </si>
  <si>
    <t>piperacillin sodium, tazobactam sodium</t>
    <phoneticPr fontId="1" type="noConversion"/>
  </si>
  <si>
    <t>4500mg</t>
    <phoneticPr fontId="1" type="noConversion"/>
  </si>
  <si>
    <t>tocopherol</t>
    <phoneticPr fontId="1" type="noConversion"/>
  </si>
  <si>
    <t>ulcogant</t>
    <phoneticPr fontId="1" type="noConversion"/>
  </si>
  <si>
    <t>sucralfate</t>
    <phoneticPr fontId="1" type="noConversion"/>
  </si>
  <si>
    <t>glimepiride</t>
    <phoneticPr fontId="1" type="noConversion"/>
  </si>
  <si>
    <t>150mg/d</t>
    <phoneticPr fontId="1" type="noConversion"/>
  </si>
  <si>
    <t>beta-acetyldigoxin</t>
    <phoneticPr fontId="1" type="noConversion"/>
  </si>
  <si>
    <t>voltaren</t>
    <phoneticPr fontId="1" type="noConversion"/>
  </si>
  <si>
    <t>diclofenac sodium</t>
    <phoneticPr fontId="1" type="noConversion"/>
  </si>
  <si>
    <t>tegretal suspension</t>
    <phoneticPr fontId="1" type="noConversion"/>
  </si>
  <si>
    <t>carbamazepine</t>
    <phoneticPr fontId="1" type="noConversion"/>
  </si>
  <si>
    <t>rivotril</t>
    <phoneticPr fontId="1" type="noConversion"/>
  </si>
  <si>
    <t>clonazepam</t>
    <phoneticPr fontId="1" type="noConversion"/>
  </si>
  <si>
    <t>bromazanil</t>
    <phoneticPr fontId="1" type="noConversion"/>
  </si>
  <si>
    <t>bromazepam</t>
    <phoneticPr fontId="1" type="noConversion"/>
  </si>
  <si>
    <t>paracefan</t>
    <phoneticPr fontId="1" type="noConversion"/>
  </si>
  <si>
    <t>dipidolor</t>
    <phoneticPr fontId="1" type="noConversion"/>
  </si>
  <si>
    <t>piritramide</t>
    <phoneticPr fontId="1" type="noConversion"/>
  </si>
  <si>
    <t>Opioid</t>
    <phoneticPr fontId="1" type="noConversion"/>
  </si>
  <si>
    <t>oropharyngeal pain</t>
  </si>
  <si>
    <t>candida infection</t>
  </si>
  <si>
    <t>agranulocytosis</t>
  </si>
  <si>
    <t>mucosal erosion</t>
  </si>
  <si>
    <t>depression</t>
  </si>
  <si>
    <t>influenza</t>
  </si>
  <si>
    <t>pyelonephritis</t>
  </si>
  <si>
    <t>eye inflammation</t>
  </si>
  <si>
    <t>gastrointestinal pain</t>
  </si>
  <si>
    <t>blood immunglobulin-E increased</t>
  </si>
  <si>
    <t>red blood cell sedimentation rate increased</t>
  </si>
  <si>
    <t>skin neoplasm</t>
  </si>
  <si>
    <t>cough</t>
  </si>
  <si>
    <t>constipation</t>
  </si>
  <si>
    <t>hypertensive crisis</t>
  </si>
  <si>
    <t>lipomatosis</t>
  </si>
  <si>
    <t>metaplasia</t>
  </si>
  <si>
    <t>nodul</t>
  </si>
  <si>
    <t>renal cyst</t>
  </si>
  <si>
    <t>back pain</t>
  </si>
  <si>
    <t>gastrointestinal erosion</t>
  </si>
  <si>
    <t xml:space="preserve">spinal osteoarthritis </t>
  </si>
  <si>
    <t>oral candidiasis</t>
  </si>
  <si>
    <t>seizure</t>
  </si>
  <si>
    <t>transient ischaemic attack</t>
  </si>
  <si>
    <t>antidiabetics</t>
    <phoneticPr fontId="1" type="noConversion"/>
  </si>
  <si>
    <t>nasopharyngitis</t>
  </si>
  <si>
    <t>swelling</t>
  </si>
  <si>
    <t>macule</t>
  </si>
  <si>
    <t>nikolskys sign</t>
  </si>
  <si>
    <t>rash macular</t>
  </si>
  <si>
    <t>cystitis</t>
  </si>
  <si>
    <t>headache</t>
  </si>
  <si>
    <t>lip erosion</t>
  </si>
  <si>
    <t>chemical injury</t>
  </si>
  <si>
    <t>skin swelling</t>
  </si>
  <si>
    <t>wound</t>
  </si>
  <si>
    <t>wound secretion</t>
  </si>
  <si>
    <t>voltaren dispers</t>
    <phoneticPr fontId="1" type="noConversion"/>
  </si>
  <si>
    <t>13d</t>
    <phoneticPr fontId="1" type="noConversion"/>
  </si>
  <si>
    <t>21d</t>
    <phoneticPr fontId="1" type="noConversion"/>
  </si>
  <si>
    <t>rhabdomyolysis</t>
  </si>
  <si>
    <t>myositis</t>
  </si>
  <si>
    <t>antitussive agents</t>
    <phoneticPr fontId="1" type="noConversion"/>
  </si>
  <si>
    <t>2000mg/d</t>
    <phoneticPr fontId="1" type="noConversion"/>
  </si>
  <si>
    <t>cetirizine</t>
    <phoneticPr fontId="1" type="noConversion"/>
  </si>
  <si>
    <t>cetirizin</t>
    <phoneticPr fontId="1" type="noConversion"/>
  </si>
  <si>
    <t>dosis</t>
    <phoneticPr fontId="1" type="noConversion"/>
  </si>
  <si>
    <t>menthol, ephedrine hydrochloride, cortex quebracho, pimpinella root, grindelia, cimicifuga racemosa root, sodium bromide, ammonia, eucalyptus oil, thyme extract, thyme</t>
    <phoneticPr fontId="1" type="noConversion"/>
  </si>
  <si>
    <t>diclo-wolff supp.</t>
    <phoneticPr fontId="1" type="noConversion"/>
  </si>
  <si>
    <t>kraeuterlax</t>
    <phoneticPr fontId="1" type="noConversion"/>
  </si>
  <si>
    <t>sodium phosphate monobasic, sodiumphosphat dibasic dodecahydrate, aloes extract, senna leaf, mandragora, curcuma xanthorrhiza</t>
    <phoneticPr fontId="1" type="noConversion"/>
  </si>
  <si>
    <t>candesartan cilexetil</t>
    <phoneticPr fontId="1" type="noConversion"/>
  </si>
  <si>
    <t>12mg/d</t>
    <phoneticPr fontId="1" type="noConversion"/>
  </si>
  <si>
    <t>vioxx</t>
    <phoneticPr fontId="1" type="noConversion"/>
  </si>
  <si>
    <t>0,5Df/d</t>
    <phoneticPr fontId="1" type="noConversion"/>
  </si>
  <si>
    <t>6d</t>
    <phoneticPr fontId="1" type="noConversion"/>
  </si>
  <si>
    <t>hydrochlorothiazide, ramipril</t>
    <phoneticPr fontId="1" type="noConversion"/>
  </si>
  <si>
    <t>fortimel</t>
    <phoneticPr fontId="1" type="noConversion"/>
  </si>
  <si>
    <t>nutrients nos</t>
    <phoneticPr fontId="1" type="noConversion"/>
  </si>
  <si>
    <t>clopamide, reserpine</t>
    <phoneticPr fontId="1" type="noConversion"/>
  </si>
  <si>
    <t>Diuretika, Antihypertonika Kombi</t>
    <phoneticPr fontId="1" type="noConversion"/>
  </si>
  <si>
    <t>rash erythematous</t>
  </si>
  <si>
    <t>jaundice</t>
  </si>
  <si>
    <t>acetylsalicylic acid</t>
    <phoneticPr fontId="1" type="noConversion"/>
  </si>
  <si>
    <t>100mg/d</t>
    <phoneticPr fontId="1" type="noConversion"/>
  </si>
  <si>
    <t>2d</t>
    <phoneticPr fontId="1" type="noConversion"/>
  </si>
  <si>
    <t>bisphosphonates</t>
    <phoneticPr fontId="1" type="noConversion"/>
  </si>
  <si>
    <t>glucocorticoids</t>
    <phoneticPr fontId="1" type="noConversion"/>
  </si>
  <si>
    <t>novodigal</t>
    <phoneticPr fontId="1" type="noConversion"/>
  </si>
  <si>
    <t>application site oedema</t>
  </si>
  <si>
    <t>application site pruritus</t>
  </si>
  <si>
    <t>lipoma</t>
  </si>
  <si>
    <t>lymphocyte count increased</t>
  </si>
  <si>
    <t>dosis</t>
    <phoneticPr fontId="1" type="noConversion"/>
  </si>
  <si>
    <t>leukocytosis</t>
  </si>
  <si>
    <t>coma hepatic</t>
  </si>
  <si>
    <t>drug eruption</t>
  </si>
  <si>
    <t>blood creatinin increased</t>
  </si>
  <si>
    <t>granulocytopenia</t>
  </si>
  <si>
    <t>skin hypertrophie</t>
  </si>
  <si>
    <t>skin necrosis</t>
  </si>
  <si>
    <t>thermal burn</t>
  </si>
  <si>
    <t>skin exfoliation</t>
  </si>
  <si>
    <t>1Df</t>
    <phoneticPr fontId="1" type="noConversion"/>
  </si>
  <si>
    <t>1Df/d</t>
    <phoneticPr fontId="1" type="noConversion"/>
  </si>
  <si>
    <t>septic shock</t>
  </si>
  <si>
    <t>toxic shock syndrom</t>
  </si>
  <si>
    <t>mucous membrane disorder</t>
  </si>
  <si>
    <t>cystitis haemorrhagic</t>
  </si>
  <si>
    <t>Geschlecht</t>
  </si>
  <si>
    <t>Alter</t>
  </si>
  <si>
    <t>Bfarm</t>
  </si>
  <si>
    <t>abscess</t>
  </si>
  <si>
    <t>mouth ulceration</t>
  </si>
  <si>
    <t>m</t>
  </si>
  <si>
    <t>nausea</t>
  </si>
  <si>
    <t>vomiting</t>
  </si>
  <si>
    <t>conjunctivitis</t>
  </si>
  <si>
    <t>thombosis</t>
  </si>
  <si>
    <t>dandruff</t>
  </si>
  <si>
    <t>scab</t>
  </si>
  <si>
    <t>wound infection</t>
  </si>
  <si>
    <t>skin injury</t>
  </si>
  <si>
    <t>papule</t>
  </si>
  <si>
    <t>blood magnesium abnormal</t>
  </si>
  <si>
    <t>foot fraction</t>
  </si>
  <si>
    <t>diclofenac sodium</t>
    <phoneticPr fontId="1" type="noConversion"/>
  </si>
  <si>
    <t>25d</t>
    <phoneticPr fontId="1" type="noConversion"/>
  </si>
  <si>
    <t>valoron</t>
    <phoneticPr fontId="1" type="noConversion"/>
  </si>
  <si>
    <t>valoron n</t>
    <phoneticPr fontId="1" type="noConversion"/>
  </si>
  <si>
    <t>xanthopsia</t>
  </si>
  <si>
    <t>application site discoloration</t>
  </si>
  <si>
    <t>ear pain</t>
  </si>
  <si>
    <t>oral pain</t>
  </si>
  <si>
    <t>prothrombin time prolonged</t>
  </si>
  <si>
    <t>pleural effusion</t>
  </si>
  <si>
    <t>pneumonitis</t>
  </si>
  <si>
    <t>pulmonary embolism</t>
  </si>
  <si>
    <t>skin burning  sensation</t>
  </si>
  <si>
    <t>calcivit</t>
    <phoneticPr fontId="1" type="noConversion"/>
  </si>
  <si>
    <t>cefazolin</t>
    <phoneticPr fontId="1" type="noConversion"/>
  </si>
  <si>
    <t>diclofenac</t>
    <phoneticPr fontId="1" type="noConversion"/>
  </si>
  <si>
    <t>3d</t>
    <phoneticPr fontId="1" type="noConversion"/>
  </si>
  <si>
    <t>lexotanil</t>
    <phoneticPr fontId="1" type="noConversion"/>
  </si>
  <si>
    <t>azosemide</t>
    <phoneticPr fontId="1" type="noConversion"/>
  </si>
  <si>
    <t>42d</t>
    <phoneticPr fontId="1" type="noConversion"/>
  </si>
  <si>
    <t>other</t>
    <phoneticPr fontId="1" type="noConversion"/>
  </si>
  <si>
    <t>liquifilm</t>
    <phoneticPr fontId="1" type="noConversion"/>
  </si>
  <si>
    <t>promethazine hydrochloride</t>
    <phoneticPr fontId="1" type="noConversion"/>
  </si>
  <si>
    <t>novalgin tropfen</t>
    <phoneticPr fontId="1" type="noConversion"/>
  </si>
  <si>
    <t>metamizole sodium</t>
    <phoneticPr fontId="1" type="noConversion"/>
  </si>
  <si>
    <t>ocular hyperaemia</t>
  </si>
  <si>
    <t>diclofenac sodium</t>
    <phoneticPr fontId="1" type="noConversion"/>
  </si>
  <si>
    <t>isoptin mite</t>
    <phoneticPr fontId="1" type="noConversion"/>
  </si>
  <si>
    <t>trental infusionlsg</t>
    <phoneticPr fontId="1" type="noConversion"/>
  </si>
  <si>
    <t>activated partial thromboplastin time prolonged</t>
  </si>
  <si>
    <t>anxiety</t>
  </si>
  <si>
    <t>telithromycin</t>
    <phoneticPr fontId="1" type="noConversion"/>
  </si>
  <si>
    <t>1Df/d</t>
    <phoneticPr fontId="1" type="noConversion"/>
  </si>
  <si>
    <t>1d</t>
    <phoneticPr fontId="1" type="noConversion"/>
  </si>
  <si>
    <t>vancomycin</t>
    <phoneticPr fontId="1" type="noConversion"/>
  </si>
  <si>
    <t>1000mg</t>
    <phoneticPr fontId="1" type="noConversion"/>
  </si>
  <si>
    <t>zienam</t>
    <phoneticPr fontId="1" type="noConversion"/>
  </si>
  <si>
    <t>imipenem, cilastatin sodium</t>
    <phoneticPr fontId="1" type="noConversion"/>
  </si>
  <si>
    <t>carbamazepine</t>
    <phoneticPr fontId="1" type="noConversion"/>
  </si>
  <si>
    <t>amitriptyline hydrochloride</t>
    <phoneticPr fontId="1" type="noConversion"/>
  </si>
  <si>
    <t>sinus tachycardia</t>
  </si>
  <si>
    <t>speech disorder</t>
  </si>
  <si>
    <t>vasodilatation</t>
  </si>
  <si>
    <t>base excess increased</t>
  </si>
  <si>
    <t>drug intolerance</t>
  </si>
  <si>
    <t>hyperventilation</t>
  </si>
  <si>
    <t>hypokalaemie</t>
  </si>
  <si>
    <t>haematoma</t>
  </si>
  <si>
    <t>antihypertensives (Antihypertensive und Antihypertonikum)</t>
    <phoneticPr fontId="1" type="noConversion"/>
  </si>
  <si>
    <t>mucokinetics (Exspektorans)</t>
    <phoneticPr fontId="1" type="noConversion"/>
  </si>
  <si>
    <t>circulatory collapse</t>
  </si>
  <si>
    <t>angiodema</t>
  </si>
  <si>
    <t>leukopenia</t>
  </si>
  <si>
    <t>lymphadenopathie</t>
  </si>
  <si>
    <t>lipid metabolism disorder</t>
  </si>
  <si>
    <t>proteinuria</t>
  </si>
  <si>
    <t>palpitations</t>
  </si>
  <si>
    <t>haemorrhage</t>
  </si>
  <si>
    <t>dermatitis exfoliative</t>
  </si>
  <si>
    <t>Gamma-glutamyltransferase increased</t>
  </si>
  <si>
    <t>genital erosion</t>
  </si>
  <si>
    <t>hyperuricaemia</t>
  </si>
  <si>
    <t>oral mucosa erosion</t>
  </si>
  <si>
    <t>nasal mucosa disorder</t>
  </si>
  <si>
    <t>pulmonary oedema</t>
  </si>
  <si>
    <t>nasal ulceration</t>
  </si>
  <si>
    <t>skin abrasion</t>
  </si>
  <si>
    <t>haldol</t>
    <phoneticPr fontId="1" type="noConversion"/>
  </si>
  <si>
    <t>haloperidol</t>
    <phoneticPr fontId="1" type="noConversion"/>
  </si>
  <si>
    <t>60Df/d</t>
    <phoneticPr fontId="1" type="noConversion"/>
  </si>
  <si>
    <t>methionine, active</t>
    <phoneticPr fontId="1" type="noConversion"/>
  </si>
  <si>
    <t>25d</t>
    <phoneticPr fontId="1" type="noConversion"/>
  </si>
  <si>
    <t>2d</t>
    <phoneticPr fontId="1" type="noConversion"/>
  </si>
  <si>
    <t>rohypnol</t>
    <phoneticPr fontId="1" type="noConversion"/>
  </si>
  <si>
    <t>anti-acne preparation</t>
    <phoneticPr fontId="1" type="noConversion"/>
  </si>
  <si>
    <t>anaesthetic</t>
    <phoneticPr fontId="1" type="noConversion"/>
  </si>
  <si>
    <t>digitoxin</t>
    <phoneticPr fontId="1" type="noConversion"/>
  </si>
  <si>
    <t>1Df/d</t>
    <phoneticPr fontId="1" type="noConversion"/>
  </si>
  <si>
    <t>100mg/d</t>
    <phoneticPr fontId="1" type="noConversion"/>
  </si>
  <si>
    <t>muskel trancopal compositum</t>
    <phoneticPr fontId="1" type="noConversion"/>
  </si>
  <si>
    <t>diclac</t>
    <phoneticPr fontId="1" type="noConversion"/>
  </si>
  <si>
    <t>rash papulosquamous</t>
  </si>
  <si>
    <t>dyspepsia</t>
  </si>
  <si>
    <t>start date</t>
    <phoneticPr fontId="1" type="noConversion"/>
  </si>
  <si>
    <t>depressed level of consciousness</t>
  </si>
  <si>
    <t>renal vasculitis</t>
  </si>
  <si>
    <t>thrombocytopenia</t>
  </si>
  <si>
    <t>gastric ulcer haemorrhage</t>
  </si>
  <si>
    <t>melaena</t>
  </si>
  <si>
    <t>shock</t>
  </si>
  <si>
    <t>infection</t>
  </si>
  <si>
    <t>fascilitis</t>
  </si>
  <si>
    <t>lymphopenia</t>
  </si>
  <si>
    <t>cardiac failure</t>
  </si>
  <si>
    <t>28d</t>
    <phoneticPr fontId="1" type="noConversion"/>
  </si>
  <si>
    <t>urinary tract infection</t>
  </si>
  <si>
    <t>agitation</t>
  </si>
  <si>
    <t>gout</t>
  </si>
  <si>
    <t>application site erythema</t>
  </si>
  <si>
    <t>oral discorder</t>
  </si>
  <si>
    <t>anal erosion</t>
  </si>
  <si>
    <t>diclofenac sodium</t>
    <phoneticPr fontId="1" type="noConversion"/>
  </si>
  <si>
    <t>eczema</t>
  </si>
  <si>
    <t>enanthema</t>
  </si>
  <si>
    <t>blood urea increased</t>
  </si>
  <si>
    <t>metabolic acidosis</t>
  </si>
  <si>
    <t>Analgetikum, Broncholytikum</t>
    <phoneticPr fontId="1" type="noConversion"/>
  </si>
  <si>
    <t>antibiotics</t>
    <phoneticPr fontId="1" type="noConversion"/>
  </si>
  <si>
    <t>phenoxymethylpenicillin</t>
    <phoneticPr fontId="1" type="noConversion"/>
  </si>
  <si>
    <t>980mg/d</t>
    <phoneticPr fontId="1" type="noConversion"/>
  </si>
  <si>
    <t>5d</t>
    <phoneticPr fontId="1" type="noConversion"/>
  </si>
  <si>
    <t>sorbitol, xylitol, amino acids nos, electrolytes</t>
    <phoneticPr fontId="1" type="noConversion"/>
  </si>
  <si>
    <t>aminofusin hepar</t>
    <phoneticPr fontId="1" type="noConversion"/>
  </si>
  <si>
    <t>imap</t>
    <phoneticPr fontId="1" type="noConversion"/>
  </si>
  <si>
    <t>fluspirilene</t>
    <phoneticPr fontId="1" type="noConversion"/>
  </si>
  <si>
    <t>thomapyrin</t>
    <phoneticPr fontId="1" type="noConversion"/>
  </si>
  <si>
    <t>antiglaucomatous</t>
    <phoneticPr fontId="1" type="noConversion"/>
  </si>
  <si>
    <t>diclofenac resinate</t>
    <phoneticPr fontId="1" type="noConversion"/>
  </si>
  <si>
    <t>jonosteril</t>
    <phoneticPr fontId="1" type="noConversion"/>
  </si>
  <si>
    <t>500mg</t>
    <phoneticPr fontId="1" type="noConversion"/>
  </si>
  <si>
    <t>lipofundin</t>
    <phoneticPr fontId="1" type="noConversion"/>
  </si>
  <si>
    <t>diclofenac diethylamine</t>
    <phoneticPr fontId="1" type="noConversion"/>
  </si>
  <si>
    <t>briserin n</t>
    <phoneticPr fontId="1" type="noConversion"/>
  </si>
  <si>
    <t>clonidine hydrochloride</t>
    <phoneticPr fontId="1" type="noConversion"/>
  </si>
  <si>
    <t>acetylsalicylic acid, caffeine, paracetamol</t>
    <phoneticPr fontId="1" type="noConversion"/>
  </si>
  <si>
    <t>allvoran</t>
    <phoneticPr fontId="1" type="noConversion"/>
  </si>
  <si>
    <t>voltaren emulgel</t>
    <phoneticPr fontId="1" type="noConversion"/>
  </si>
  <si>
    <t>paracetamol</t>
    <phoneticPr fontId="1" type="noConversion"/>
  </si>
  <si>
    <t>paracetamol</t>
    <phoneticPr fontId="1" type="noConversion"/>
  </si>
  <si>
    <t>cheilitis</t>
  </si>
  <si>
    <t>nasal inflammation</t>
  </si>
  <si>
    <t>intraocular pressure increased</t>
  </si>
  <si>
    <t>weight increased</t>
  </si>
  <si>
    <t>blood lactate dehydrogenase increased</t>
  </si>
  <si>
    <t>palatal oedema</t>
  </si>
  <si>
    <t>oral mucosal erythema</t>
  </si>
  <si>
    <t>skin lesion</t>
  </si>
  <si>
    <t>lip ulceration</t>
  </si>
  <si>
    <t>dehydration</t>
  </si>
  <si>
    <t>drug name</t>
    <phoneticPr fontId="1" type="noConversion"/>
  </si>
  <si>
    <t>diclo-phlogont</t>
    <phoneticPr fontId="1" type="noConversion"/>
  </si>
  <si>
    <t>application site discharge</t>
  </si>
  <si>
    <t>skin thightness</t>
  </si>
  <si>
    <t>anorectal disorder</t>
  </si>
  <si>
    <t>lip disorder</t>
  </si>
  <si>
    <t>overlap syndrome</t>
  </si>
  <si>
    <t>pigmentation disorder</t>
  </si>
  <si>
    <t>5d</t>
    <phoneticPr fontId="1" type="noConversion"/>
  </si>
  <si>
    <t>400mg/d</t>
    <phoneticPr fontId="1" type="noConversion"/>
  </si>
  <si>
    <t>diclofenac 50</t>
    <phoneticPr fontId="1" type="noConversion"/>
  </si>
  <si>
    <t>diazepam</t>
    <phoneticPr fontId="1" type="noConversion"/>
  </si>
  <si>
    <t>Mineralcorticoid, LA, Antibiotika Kombi</t>
    <phoneticPr fontId="1" type="noConversion"/>
  </si>
  <si>
    <t>pednisolon</t>
    <phoneticPr fontId="1" type="noConversion"/>
  </si>
  <si>
    <t>prednisolone</t>
    <phoneticPr fontId="1" type="noConversion"/>
  </si>
  <si>
    <t>1d</t>
    <phoneticPr fontId="1" type="noConversion"/>
  </si>
  <si>
    <t>pyrogenium</t>
    <phoneticPr fontId="1" type="noConversion"/>
  </si>
  <si>
    <t>allvoran</t>
    <phoneticPr fontId="1" type="noConversion"/>
  </si>
  <si>
    <t>voltaren</t>
    <phoneticPr fontId="1" type="noConversion"/>
  </si>
  <si>
    <t>volon a haftsalbe</t>
    <phoneticPr fontId="1" type="noConversion"/>
  </si>
  <si>
    <t>triamcinolone acetonide</t>
    <phoneticPr fontId="1" type="noConversion"/>
  </si>
  <si>
    <t>Sinupret</t>
    <phoneticPr fontId="1" type="noConversion"/>
  </si>
  <si>
    <t>Antidot, Opioid-Analgetikum</t>
    <phoneticPr fontId="1" type="noConversion"/>
  </si>
  <si>
    <t>/a</t>
    <phoneticPr fontId="1" type="noConversion"/>
  </si>
  <si>
    <t>42s</t>
    <phoneticPr fontId="1" type="noConversion"/>
  </si>
  <si>
    <t>togal</t>
    <phoneticPr fontId="1" type="noConversion"/>
  </si>
  <si>
    <t>acetylsalicylic acid, quinin citrate, lithium citrate</t>
    <phoneticPr fontId="1" type="noConversion"/>
  </si>
  <si>
    <t>5Df/d</t>
    <phoneticPr fontId="1" type="noConversion"/>
  </si>
  <si>
    <t>10d</t>
    <phoneticPr fontId="1" type="noConversion"/>
  </si>
  <si>
    <t>megacillin oral</t>
    <phoneticPr fontId="1" type="noConversion"/>
  </si>
  <si>
    <t>tilidine hydrochloride</t>
    <phoneticPr fontId="1" type="noConversion"/>
  </si>
  <si>
    <t>phenoxymethylpenicillin potassium</t>
    <phoneticPr fontId="1" type="noConversion"/>
  </si>
  <si>
    <t>acemetacin</t>
    <phoneticPr fontId="1" type="noConversion"/>
  </si>
  <si>
    <t>5d</t>
    <phoneticPr fontId="1" type="noConversion"/>
  </si>
  <si>
    <t>heparin</t>
    <phoneticPr fontId="1" type="noConversion"/>
  </si>
  <si>
    <t>polyvinyl alcohol</t>
    <phoneticPr fontId="1" type="noConversion"/>
  </si>
  <si>
    <t>acute respiratory distress syndrom</t>
  </si>
  <si>
    <t>multi organ failure</t>
  </si>
  <si>
    <t>dyspnoe</t>
  </si>
  <si>
    <t>toxic epidermal necrolysis</t>
  </si>
  <si>
    <t>stomatitis</t>
  </si>
  <si>
    <t>dermatitis bullous</t>
  </si>
  <si>
    <t>skin discoloration</t>
  </si>
  <si>
    <t>purpura</t>
  </si>
  <si>
    <t>vasculitis</t>
  </si>
  <si>
    <t>pentoxifyllin</t>
    <phoneticPr fontId="1" type="noConversion"/>
  </si>
  <si>
    <t>cor tensobon</t>
    <phoneticPr fontId="1" type="noConversion"/>
  </si>
  <si>
    <t>levomepromazine maleate</t>
    <phoneticPr fontId="1" type="noConversion"/>
  </si>
  <si>
    <t>supracombin</t>
    <phoneticPr fontId="1" type="noConversion"/>
  </si>
  <si>
    <t>angina pectoris</t>
  </si>
  <si>
    <t>atelectasis</t>
  </si>
  <si>
    <t>blood bicarbonate decreased</t>
  </si>
  <si>
    <t>heart rate decreased</t>
  </si>
  <si>
    <t>conduction disorder</t>
  </si>
  <si>
    <t xml:space="preserve">embolism arterial </t>
  </si>
  <si>
    <t>chest pain</t>
  </si>
  <si>
    <t>oxygen saturation decreased</t>
  </si>
  <si>
    <t>PO2 decreased</t>
  </si>
  <si>
    <t>pulmonary congestion</t>
  </si>
  <si>
    <t>respiratory failure</t>
  </si>
  <si>
    <t>voltaren 50</t>
    <phoneticPr fontId="1" type="noConversion"/>
  </si>
  <si>
    <t>acetylcysteine</t>
    <phoneticPr fontId="1" type="noConversion"/>
  </si>
  <si>
    <t>lyrica</t>
    <phoneticPr fontId="1" type="noConversion"/>
  </si>
  <si>
    <t>pregabalin</t>
    <phoneticPr fontId="1" type="noConversion"/>
  </si>
  <si>
    <t>rofecoxib</t>
    <phoneticPr fontId="1" type="noConversion"/>
  </si>
  <si>
    <t>pancytopenia</t>
  </si>
  <si>
    <t>azuprostat</t>
    <phoneticPr fontId="1" type="noConversion"/>
  </si>
  <si>
    <t>injection site reaction</t>
  </si>
  <si>
    <t>dermatitis contact</t>
  </si>
  <si>
    <t>pain</t>
  </si>
  <si>
    <t>ALAT increased</t>
  </si>
  <si>
    <t>ASAT increased</t>
  </si>
  <si>
    <t>increased tendecy to bruise</t>
  </si>
  <si>
    <t>impaired healing</t>
  </si>
  <si>
    <t>laceration</t>
  </si>
  <si>
    <t>ludiomil</t>
    <phoneticPr fontId="1" type="noConversion"/>
  </si>
  <si>
    <t>maprotiline hydrochloride</t>
    <phoneticPr fontId="1" type="noConversion"/>
  </si>
  <si>
    <t>parasympatomimetics</t>
    <phoneticPr fontId="1" type="noConversion"/>
  </si>
  <si>
    <t>13d</t>
    <phoneticPr fontId="1" type="noConversion"/>
  </si>
  <si>
    <t>lioresal</t>
    <phoneticPr fontId="1" type="noConversion"/>
  </si>
  <si>
    <t>baclofen</t>
    <phoneticPr fontId="1" type="noConversion"/>
  </si>
  <si>
    <t>3Df/d</t>
    <phoneticPr fontId="1" type="noConversion"/>
  </si>
  <si>
    <t>tensoflux</t>
    <phoneticPr fontId="1" type="noConversion"/>
  </si>
  <si>
    <t>diazepam</t>
    <phoneticPr fontId="1" type="noConversion"/>
  </si>
  <si>
    <t>10mg/</t>
    <phoneticPr fontId="1" type="noConversion"/>
  </si>
  <si>
    <t>butyrophenone</t>
    <phoneticPr fontId="1" type="noConversion"/>
  </si>
  <si>
    <t>paracetamol</t>
    <phoneticPr fontId="1" type="noConversion"/>
  </si>
  <si>
    <t>isoket retard 40</t>
    <phoneticPr fontId="1" type="noConversion"/>
  </si>
  <si>
    <t>isosorbide dinitrate</t>
    <phoneticPr fontId="1" type="noConversion"/>
  </si>
  <si>
    <t>lactulose</t>
    <phoneticPr fontId="1" type="noConversion"/>
  </si>
  <si>
    <t>Abführmittel</t>
    <phoneticPr fontId="1" type="noConversion"/>
  </si>
  <si>
    <t>verapamil hydrochloride</t>
    <phoneticPr fontId="1" type="noConversion"/>
  </si>
  <si>
    <t>Diuretika, Antihypertonika Kombi</t>
    <phoneticPr fontId="1" type="noConversion"/>
  </si>
  <si>
    <t>250mg/d</t>
    <phoneticPr fontId="1" type="noConversion"/>
  </si>
  <si>
    <t>mepivacine</t>
    <phoneticPr fontId="1" type="noConversion"/>
  </si>
  <si>
    <t>allvoran ampullen</t>
    <phoneticPr fontId="1" type="noConversion"/>
  </si>
  <si>
    <t>muskel trancopal</t>
    <phoneticPr fontId="1" type="noConversion"/>
  </si>
  <si>
    <t>acifugan</t>
    <phoneticPr fontId="1" type="noConversion"/>
  </si>
  <si>
    <t>stop date</t>
    <phoneticPr fontId="1" type="noConversion"/>
  </si>
  <si>
    <t>alrheumun</t>
    <phoneticPr fontId="1" type="noConversion"/>
  </si>
  <si>
    <t>ketoprofen</t>
    <phoneticPr fontId="1" type="noConversion"/>
  </si>
  <si>
    <t>imbun</t>
    <phoneticPr fontId="1" type="noConversion"/>
  </si>
  <si>
    <t>ibuprofen lysinate</t>
    <phoneticPr fontId="1" type="noConversion"/>
  </si>
  <si>
    <t>diclofenac sodium</t>
    <phoneticPr fontId="1" type="noConversion"/>
  </si>
  <si>
    <t>voltaren</t>
    <phoneticPr fontId="1" type="noConversion"/>
  </si>
  <si>
    <t>spiro comb. Forte-ratiopharm</t>
    <phoneticPr fontId="1" type="noConversion"/>
  </si>
  <si>
    <t>6d</t>
    <phoneticPr fontId="1" type="noConversion"/>
  </si>
  <si>
    <t>tauredon 20</t>
    <phoneticPr fontId="1" type="noConversion"/>
  </si>
  <si>
    <t>poor peripheral circulation</t>
  </si>
  <si>
    <t>Antirheumatikum (Goldverbindung) viele UAWs</t>
    <phoneticPr fontId="1" type="noConversion"/>
  </si>
  <si>
    <t>/d</t>
    <phoneticPr fontId="1" type="noConversion"/>
  </si>
  <si>
    <t>Opioid</t>
    <phoneticPr fontId="1" type="noConversion"/>
  </si>
  <si>
    <t>hyperthyroidism</t>
  </si>
  <si>
    <t>chapped lips</t>
  </si>
  <si>
    <t>epidermolysis</t>
  </si>
  <si>
    <t>acute kidney injury</t>
  </si>
  <si>
    <t>overdose</t>
  </si>
  <si>
    <t>bendroflumethiazide, amiloride hydrochloride</t>
    <phoneticPr fontId="1" type="noConversion"/>
  </si>
  <si>
    <t>1Df/d</t>
    <phoneticPr fontId="1" type="noConversion"/>
  </si>
  <si>
    <t>2d</t>
    <phoneticPr fontId="1" type="noConversion"/>
  </si>
  <si>
    <t>paralysis</t>
  </si>
  <si>
    <t>mucosa vesicle</t>
  </si>
  <si>
    <t>blister</t>
  </si>
  <si>
    <t>diclofenac sodium</t>
    <phoneticPr fontId="1" type="noConversion"/>
  </si>
  <si>
    <t>diclofenac</t>
    <phoneticPr fontId="1" type="noConversion"/>
  </si>
  <si>
    <t>rewodina</t>
    <phoneticPr fontId="1" type="noConversion"/>
  </si>
  <si>
    <t>glyceryl trinitrate</t>
    <phoneticPr fontId="1" type="noConversion"/>
  </si>
  <si>
    <t>norvasc</t>
    <phoneticPr fontId="1" type="noConversion"/>
  </si>
  <si>
    <t>Hoffmannstropfen</t>
    <phoneticPr fontId="1" type="noConversion"/>
  </si>
  <si>
    <t>lip swelling</t>
  </si>
  <si>
    <t>mucosal inflammation</t>
  </si>
  <si>
    <t>petechiae</t>
  </si>
  <si>
    <t xml:space="preserve">dermatitis allergic </t>
  </si>
  <si>
    <t>pain of skin</t>
  </si>
  <si>
    <t>kreatitis</t>
  </si>
  <si>
    <t>rash pruritic</t>
  </si>
  <si>
    <t>skin reaction</t>
  </si>
  <si>
    <t>gait disturbance</t>
  </si>
  <si>
    <t>eyelid oedema</t>
  </si>
  <si>
    <t>blood creatin phosphokinase increased</t>
  </si>
  <si>
    <t>confusional state</t>
  </si>
  <si>
    <t>fatigue</t>
  </si>
  <si>
    <t>myalgia</t>
  </si>
  <si>
    <t>oedema peripheral</t>
  </si>
  <si>
    <t>2Df/d</t>
    <phoneticPr fontId="1" type="noConversion"/>
  </si>
  <si>
    <t>Antihypertonikum</t>
    <phoneticPr fontId="1" type="noConversion"/>
  </si>
  <si>
    <t>injection site inflammation</t>
  </si>
  <si>
    <t>diarrhoea</t>
  </si>
  <si>
    <t>arthritis</t>
  </si>
  <si>
    <t>borrelia infection</t>
  </si>
  <si>
    <t xml:space="preserve">rash exfoliativ </t>
  </si>
  <si>
    <t>nasal disorder</t>
  </si>
  <si>
    <t>asteatosis</t>
  </si>
  <si>
    <t>ear swelling</t>
  </si>
  <si>
    <t>sodium aurothiomalate</t>
    <phoneticPr fontId="1" type="noConversion"/>
  </si>
  <si>
    <t>20mg/d</t>
    <phoneticPr fontId="1" type="noConversion"/>
  </si>
  <si>
    <t>spasmolytic</t>
    <phoneticPr fontId="1" type="noConversion"/>
  </si>
  <si>
    <t>3Df/d</t>
    <phoneticPr fontId="1" type="noConversion"/>
  </si>
  <si>
    <t>antihypotonics</t>
    <phoneticPr fontId="1" type="noConversion"/>
  </si>
  <si>
    <t>40mg/d</t>
    <phoneticPr fontId="1" type="noConversion"/>
  </si>
  <si>
    <t>19d</t>
    <phoneticPr fontId="1" type="noConversion"/>
  </si>
  <si>
    <t>hormones</t>
    <phoneticPr fontId="1" type="noConversion"/>
  </si>
  <si>
    <t>l-thyroxin</t>
    <phoneticPr fontId="1" type="noConversion"/>
  </si>
  <si>
    <t>0,1mg/d</t>
    <phoneticPr fontId="1" type="noConversion"/>
  </si>
  <si>
    <t>prostaglandins</t>
    <phoneticPr fontId="1" type="noConversion"/>
  </si>
  <si>
    <t>cytotec</t>
    <phoneticPr fontId="1" type="noConversion"/>
  </si>
  <si>
    <t>misoprostol</t>
    <phoneticPr fontId="1" type="noConversion"/>
  </si>
  <si>
    <t>ampho-moronal</t>
    <phoneticPr fontId="1" type="noConversion"/>
  </si>
  <si>
    <t>amphotericin b</t>
    <phoneticPr fontId="1" type="noConversion"/>
  </si>
  <si>
    <t>2Df</t>
    <phoneticPr fontId="1" type="noConversion"/>
  </si>
  <si>
    <t>1d</t>
    <phoneticPr fontId="1" type="noConversion"/>
  </si>
  <si>
    <t>aspirin</t>
    <phoneticPr fontId="1" type="noConversion"/>
  </si>
  <si>
    <t>aspirin</t>
    <phoneticPr fontId="1" type="noConversion"/>
  </si>
  <si>
    <t>briserin</t>
    <phoneticPr fontId="1" type="noConversion"/>
  </si>
  <si>
    <t>clopamide, dihydroergocryptine mesialate, reserpine</t>
    <phoneticPr fontId="1" type="noConversion"/>
  </si>
  <si>
    <t>paracetamol, acetylsalicylic acid, codeine phosphate</t>
    <phoneticPr fontId="1" type="noConversion"/>
  </si>
  <si>
    <t>heparin-natrium</t>
    <phoneticPr fontId="1" type="noConversion"/>
  </si>
  <si>
    <t>primidone</t>
    <phoneticPr fontId="1" type="noConversion"/>
  </si>
  <si>
    <t>3Df/d</t>
    <phoneticPr fontId="1" type="noConversion"/>
  </si>
  <si>
    <t>paracetamol</t>
    <phoneticPr fontId="1" type="noConversion"/>
  </si>
  <si>
    <t>10Df/d</t>
    <phoneticPr fontId="1" type="noConversion"/>
  </si>
  <si>
    <t>acetylsalicylic acid</t>
    <phoneticPr fontId="1" type="noConversion"/>
  </si>
  <si>
    <t>4d</t>
    <phoneticPr fontId="1" type="noConversion"/>
  </si>
  <si>
    <t>defluina peri</t>
    <phoneticPr fontId="1" type="noConversion"/>
  </si>
  <si>
    <t>buflomedil hydrochloride</t>
    <phoneticPr fontId="1" type="noConversion"/>
  </si>
  <si>
    <t>diclac</t>
    <phoneticPr fontId="1" type="noConversion"/>
  </si>
  <si>
    <t>8d</t>
    <phoneticPr fontId="1" type="noConversion"/>
  </si>
  <si>
    <t>voltaren</t>
    <phoneticPr fontId="1" type="noConversion"/>
  </si>
  <si>
    <t>batrafen creme</t>
    <phoneticPr fontId="1" type="noConversion"/>
  </si>
  <si>
    <t>ciclopirox olamine</t>
    <phoneticPr fontId="1" type="noConversion"/>
  </si>
  <si>
    <t>keratolytics</t>
    <phoneticPr fontId="1" type="noConversion"/>
  </si>
  <si>
    <t>carbamid</t>
    <phoneticPr fontId="1" type="noConversion"/>
  </si>
  <si>
    <t>urea</t>
    <phoneticPr fontId="1" type="noConversion"/>
  </si>
  <si>
    <t>benzylpenicillin sodium</t>
    <phoneticPr fontId="1" type="noConversion"/>
  </si>
  <si>
    <t>1d</t>
    <phoneticPr fontId="1" type="noConversion"/>
  </si>
  <si>
    <t>3d</t>
    <phoneticPr fontId="1" type="noConversion"/>
  </si>
  <si>
    <t>künstliche Tränen</t>
    <phoneticPr fontId="1" type="noConversion"/>
  </si>
  <si>
    <t>diclofenac</t>
    <phoneticPr fontId="1" type="noConversion"/>
  </si>
  <si>
    <t>2Df/d</t>
    <phoneticPr fontId="1" type="noConversion"/>
  </si>
  <si>
    <t>isosorbide mononitrate</t>
    <phoneticPr fontId="1" type="noConversion"/>
  </si>
  <si>
    <t>antiparkinsonian</t>
    <phoneticPr fontId="1" type="noConversion"/>
  </si>
  <si>
    <t>face oedema</t>
  </si>
  <si>
    <t>pharyngitis</t>
  </si>
  <si>
    <t>sepsis</t>
  </si>
  <si>
    <t>captopril</t>
    <phoneticPr fontId="1" type="noConversion"/>
  </si>
  <si>
    <t>tramadol</t>
    <phoneticPr fontId="1" type="noConversion"/>
  </si>
  <si>
    <t>Antidot, Opioid-Analgetikum Kombi</t>
    <phoneticPr fontId="1" type="noConversion"/>
  </si>
  <si>
    <t>atosil</t>
    <phoneticPr fontId="1" type="noConversion"/>
  </si>
  <si>
    <t>skin erosion</t>
  </si>
  <si>
    <t>trychophytosis</t>
  </si>
  <si>
    <t>eye haemorrhage</t>
  </si>
  <si>
    <t>Muskelrelaxans (Chinin citrat), Antipsychotika (Lithium)</t>
    <phoneticPr fontId="1" type="noConversion"/>
  </si>
  <si>
    <t>luret</t>
    <phoneticPr fontId="1" type="noConversion"/>
  </si>
  <si>
    <t>vulvovaginal rash</t>
  </si>
  <si>
    <t>Death</t>
  </si>
  <si>
    <t>bleeding time prolonged</t>
  </si>
  <si>
    <t>drug hypersensitivity</t>
  </si>
  <si>
    <t>dizziness</t>
  </si>
  <si>
    <t>hepatic neoplasm</t>
  </si>
  <si>
    <t>Vitamine und Immun</t>
    <phoneticPr fontId="1" type="noConversion"/>
  </si>
  <si>
    <t>corangin 60 retard</t>
    <phoneticPr fontId="1" type="noConversion"/>
  </si>
  <si>
    <t>isosorbide mononitrate</t>
    <phoneticPr fontId="1" type="noConversion"/>
  </si>
  <si>
    <t>1Df/d</t>
    <phoneticPr fontId="1" type="noConversion"/>
  </si>
  <si>
    <t>eusaprim</t>
    <phoneticPr fontId="1" type="noConversion"/>
  </si>
  <si>
    <t>hepatotoxicity</t>
  </si>
  <si>
    <t>skin oedema</t>
  </si>
  <si>
    <t>arthralgia</t>
  </si>
  <si>
    <t>heparin</t>
    <phoneticPr fontId="1" type="noConversion"/>
  </si>
  <si>
    <t>heparin</t>
    <phoneticPr fontId="1" type="noConversion"/>
  </si>
  <si>
    <t>antidepressants</t>
    <phoneticPr fontId="1" type="noConversion"/>
  </si>
  <si>
    <t>terbutaline sulfate</t>
    <phoneticPr fontId="1" type="noConversion"/>
  </si>
  <si>
    <t>salbutamol</t>
    <phoneticPr fontId="1" type="noConversion"/>
  </si>
  <si>
    <t>1Df/d</t>
    <phoneticPr fontId="1" type="noConversion"/>
  </si>
  <si>
    <t>mst</t>
    <phoneticPr fontId="1" type="noConversion"/>
  </si>
  <si>
    <t>morphin sulfate</t>
    <phoneticPr fontId="1" type="noConversion"/>
  </si>
  <si>
    <t>aconite, echinacea spp, eupatorium perfoliatum, belladonna alkaloids, adonis vernalis glycosides, myristica</t>
    <phoneticPr fontId="1" type="noConversion"/>
  </si>
  <si>
    <t>15Gtt</t>
    <phoneticPr fontId="1" type="noConversion"/>
  </si>
  <si>
    <t>klacid</t>
    <phoneticPr fontId="1" type="noConversion"/>
  </si>
  <si>
    <t>34d</t>
    <phoneticPr fontId="1" type="noConversion"/>
  </si>
  <si>
    <t>vertigo-vomex</t>
    <phoneticPr fontId="1" type="noConversion"/>
  </si>
  <si>
    <t>crataegutt novo filmtabletten</t>
    <phoneticPr fontId="1" type="noConversion"/>
  </si>
  <si>
    <t>crataegus extract</t>
    <phoneticPr fontId="1" type="noConversion"/>
  </si>
  <si>
    <t>hom</t>
    <phoneticPr fontId="1" type="noConversion"/>
  </si>
  <si>
    <t>contradol</t>
    <phoneticPr fontId="1" type="noConversion"/>
  </si>
  <si>
    <t>acetylsalicyclic acid</t>
    <phoneticPr fontId="1" type="noConversion"/>
  </si>
  <si>
    <t>clarithromycin</t>
    <phoneticPr fontId="1" type="noConversion"/>
  </si>
  <si>
    <t>500mg/d</t>
    <phoneticPr fontId="1" type="noConversion"/>
  </si>
  <si>
    <t>antiseptic agents</t>
    <phoneticPr fontId="1" type="noConversion"/>
  </si>
  <si>
    <t>sabal extract</t>
    <phoneticPr fontId="1" type="noConversion"/>
  </si>
  <si>
    <t>strogen uno</t>
    <phoneticPr fontId="1" type="noConversion"/>
  </si>
  <si>
    <t>Prostatamittel</t>
    <phoneticPr fontId="1" type="noConversion"/>
  </si>
  <si>
    <t>Urikostatika, Urikosurika Kombi</t>
    <phoneticPr fontId="1" type="noConversion"/>
  </si>
  <si>
    <t>lidocaine hydrochloride, fludrocortisone acetate, neomycin sulfate, polymyxin b sulfate</t>
    <phoneticPr fontId="1" type="noConversion"/>
  </si>
  <si>
    <t>metamizole</t>
    <phoneticPr fontId="1" type="noConversion"/>
  </si>
  <si>
    <t>voltaren</t>
    <phoneticPr fontId="1" type="noConversion"/>
  </si>
  <si>
    <t>1Df/d</t>
    <phoneticPr fontId="1" type="noConversion"/>
  </si>
  <si>
    <t>diclofenac 100 retard</t>
    <phoneticPr fontId="1" type="noConversion"/>
  </si>
  <si>
    <t>100mg/d</t>
    <phoneticPr fontId="1" type="noConversion"/>
  </si>
  <si>
    <t>isosorbide dinitrate</t>
    <phoneticPr fontId="1" type="noConversion"/>
  </si>
  <si>
    <t>??? Therapie Volumenmangel und Schock</t>
    <phoneticPr fontId="1" type="noConversion"/>
  </si>
  <si>
    <t>ass 500</t>
    <phoneticPr fontId="1" type="noConversion"/>
  </si>
  <si>
    <t>diclofenac</t>
    <phoneticPr fontId="1" type="noConversion"/>
  </si>
  <si>
    <t>fluniget</t>
    <phoneticPr fontId="1" type="noConversion"/>
  </si>
  <si>
    <t>diflunial</t>
    <phoneticPr fontId="1" type="noConversion"/>
  </si>
  <si>
    <t>parasympatholytics</t>
    <phoneticPr fontId="1" type="noConversion"/>
  </si>
  <si>
    <t>ipratropium bromide</t>
    <phoneticPr fontId="1" type="noConversion"/>
  </si>
  <si>
    <t>ipratropium bromide</t>
    <phoneticPr fontId="1" type="noConversion"/>
  </si>
  <si>
    <t>LA</t>
    <phoneticPr fontId="1" type="noConversion"/>
  </si>
  <si>
    <t>drug administration error</t>
  </si>
  <si>
    <t>dermatitis</t>
  </si>
  <si>
    <t>amino acids</t>
    <phoneticPr fontId="1" type="noConversion"/>
  </si>
  <si>
    <t>acimethin</t>
    <phoneticPr fontId="1" type="noConversion"/>
  </si>
  <si>
    <t>oedema</t>
  </si>
  <si>
    <t>rash pustular</t>
  </si>
  <si>
    <t>decortin-h</t>
    <phoneticPr fontId="1" type="noConversion"/>
  </si>
  <si>
    <t>prednisolone</t>
    <phoneticPr fontId="1" type="noConversion"/>
  </si>
  <si>
    <t>scotal pain</t>
  </si>
  <si>
    <t>mouth swelling</t>
  </si>
  <si>
    <t>hyperhidriosis</t>
  </si>
  <si>
    <t>flunitrazepam</t>
    <phoneticPr fontId="1" type="noConversion"/>
  </si>
  <si>
    <t>0,5Df/d</t>
    <phoneticPr fontId="1" type="noConversion"/>
  </si>
  <si>
    <t>psychotropic drugs (benzodiazepine)</t>
    <phoneticPr fontId="1" type="noConversion"/>
  </si>
  <si>
    <t>hypertension</t>
  </si>
  <si>
    <t>heart rate increased</t>
  </si>
  <si>
    <t>condition aggravated</t>
  </si>
  <si>
    <t xml:space="preserve">glaucoma </t>
  </si>
  <si>
    <t>nifelat retard</t>
    <phoneticPr fontId="1" type="noConversion"/>
  </si>
  <si>
    <t>nifedipine</t>
    <phoneticPr fontId="1" type="noConversion"/>
  </si>
  <si>
    <t>bromazepam</t>
    <phoneticPr fontId="1" type="noConversion"/>
  </si>
  <si>
    <t>1Df/d</t>
    <phoneticPr fontId="1" type="noConversion"/>
  </si>
  <si>
    <t xml:space="preserve">hypokinesia </t>
  </si>
  <si>
    <t>musculoskeletal stiffness</t>
  </si>
  <si>
    <t>visual acuity reduced</t>
  </si>
  <si>
    <t>acute generalised exanthematous pustulosis</t>
  </si>
  <si>
    <t>renal failure</t>
  </si>
  <si>
    <t>inflammation</t>
  </si>
  <si>
    <t>secretion discharge</t>
  </si>
  <si>
    <t>27d</t>
    <phoneticPr fontId="1" type="noConversion"/>
  </si>
  <si>
    <t>metothrexat</t>
    <phoneticPr fontId="1" type="noConversion"/>
  </si>
  <si>
    <t>8d</t>
    <phoneticPr fontId="1" type="noConversion"/>
  </si>
  <si>
    <t>penicillin</t>
    <phoneticPr fontId="1" type="noConversion"/>
  </si>
  <si>
    <t>l-thyroxin 100</t>
    <phoneticPr fontId="1" type="noConversion"/>
  </si>
  <si>
    <t>levothyroxin sodium</t>
    <phoneticPr fontId="1" type="noConversion"/>
  </si>
  <si>
    <t>muskel trancopal</t>
    <phoneticPr fontId="1" type="noConversion"/>
  </si>
  <si>
    <t>chlormezanone</t>
    <phoneticPr fontId="1" type="noConversion"/>
  </si>
  <si>
    <t>neotri</t>
    <phoneticPr fontId="1" type="noConversion"/>
  </si>
  <si>
    <t>triamterene, xipamide</t>
    <phoneticPr fontId="1" type="noConversion"/>
  </si>
  <si>
    <t>22d</t>
    <phoneticPr fontId="1" type="noConversion"/>
  </si>
  <si>
    <t>colchicine</t>
    <phoneticPr fontId="1" type="noConversion"/>
  </si>
  <si>
    <t>clorazepate dipotassium</t>
    <phoneticPr fontId="1" type="noConversion"/>
  </si>
  <si>
    <t>antimycotic</t>
    <phoneticPr fontId="1" type="noConversion"/>
  </si>
  <si>
    <t>calcium</t>
    <phoneticPr fontId="1" type="noConversion"/>
  </si>
  <si>
    <t>verapamil hydrochloride</t>
    <phoneticPr fontId="1" type="noConversion"/>
  </si>
  <si>
    <t>LA, Antibiotikum Kombi</t>
    <phoneticPr fontId="1" type="noConversion"/>
  </si>
  <si>
    <t>1d</t>
    <phoneticPr fontId="1" type="noConversion"/>
  </si>
  <si>
    <t>oxazepam</t>
    <phoneticPr fontId="1" type="noConversion"/>
  </si>
  <si>
    <t>/d</t>
    <phoneticPr fontId="1" type="noConversion"/>
  </si>
  <si>
    <t>/d</t>
    <phoneticPr fontId="1" type="noConversion"/>
  </si>
  <si>
    <t>magnesium aspartate hydrochloride</t>
    <phoneticPr fontId="1" type="noConversion"/>
  </si>
  <si>
    <t>laxoberal abführtropfen</t>
    <phoneticPr fontId="1" type="noConversion"/>
  </si>
  <si>
    <t>pyridoxine hydrochloride, nicotinic acid, dimenhydrinate</t>
    <phoneticPr fontId="1" type="noConversion"/>
  </si>
  <si>
    <t>heparin sodium</t>
    <phoneticPr fontId="1" type="noConversion"/>
  </si>
  <si>
    <t>primula flowers, ascorbic acid, sambucus flowers, gentiana, verbena herb, rumicis asetosa</t>
    <phoneticPr fontId="1" type="noConversion"/>
  </si>
  <si>
    <t>6Df/d</t>
    <phoneticPr fontId="1" type="noConversion"/>
  </si>
  <si>
    <t>augmentan</t>
    <phoneticPr fontId="1" type="noConversion"/>
  </si>
  <si>
    <t>amoxicillin trihydrate, clavulanic acid</t>
    <phoneticPr fontId="1" type="noConversion"/>
  </si>
  <si>
    <t>1d</t>
    <phoneticPr fontId="1" type="noConversion"/>
  </si>
  <si>
    <t>onkohaes</t>
    <phoneticPr fontId="1" type="noConversion"/>
  </si>
  <si>
    <t>nimodipine</t>
    <phoneticPr fontId="1" type="noConversion"/>
  </si>
  <si>
    <t>sodium chloride, hetastarch</t>
    <phoneticPr fontId="1" type="noConversion"/>
  </si>
  <si>
    <t>prednisolone</t>
    <phoneticPr fontId="1" type="noConversion"/>
  </si>
  <si>
    <t>rheohes</t>
    <phoneticPr fontId="1" type="noConversion"/>
  </si>
  <si>
    <t>spizef 2,0g</t>
    <phoneticPr fontId="1" type="noConversion"/>
  </si>
  <si>
    <t>indometacin</t>
    <phoneticPr fontId="1" type="noConversion"/>
  </si>
  <si>
    <t>contramutan</t>
    <phoneticPr fontId="1" type="noConversion"/>
  </si>
  <si>
    <t>5d</t>
    <phoneticPr fontId="1" type="noConversion"/>
  </si>
  <si>
    <t>ibuprofen</t>
    <phoneticPr fontId="1" type="noConversion"/>
  </si>
  <si>
    <t>ibuprofen</t>
    <phoneticPr fontId="1" type="noConversion"/>
  </si>
  <si>
    <t>7d</t>
    <phoneticPr fontId="1" type="noConversion"/>
  </si>
  <si>
    <t>allopurinol 300 heumann</t>
    <phoneticPr fontId="1" type="noConversion"/>
  </si>
  <si>
    <t>circo-maren</t>
    <phoneticPr fontId="1" type="noConversion"/>
  </si>
  <si>
    <t>hydergin forte</t>
    <phoneticPr fontId="1" type="noConversion"/>
  </si>
  <si>
    <t>hypersensitivty</t>
  </si>
  <si>
    <t>hypersensitivity vasculitis</t>
  </si>
  <si>
    <t>eosinophile count increased</t>
  </si>
  <si>
    <t>reason</t>
    <phoneticPr fontId="1" type="noConversion"/>
  </si>
  <si>
    <t>chondritis</t>
  </si>
  <si>
    <t>ear disorder</t>
  </si>
  <si>
    <t>dihydroergocryptine mesilate, dihydroergocorine mesilate, dihydroergocristine mesilate</t>
    <phoneticPr fontId="1" type="noConversion"/>
  </si>
  <si>
    <t>fensitil</t>
    <phoneticPr fontId="1" type="noConversion"/>
  </si>
  <si>
    <t>dimetindene maleate</t>
    <phoneticPr fontId="1" type="noConversion"/>
  </si>
  <si>
    <t>5d</t>
    <phoneticPr fontId="1" type="noConversion"/>
  </si>
  <si>
    <t>dihydralazine</t>
    <phoneticPr fontId="1" type="noConversion"/>
  </si>
  <si>
    <t>dihydralazine</t>
    <phoneticPr fontId="1" type="noConversion"/>
  </si>
  <si>
    <t>1Df/d</t>
    <phoneticPr fontId="1" type="noConversion"/>
  </si>
  <si>
    <t>digimerck 0,1 tab</t>
    <phoneticPr fontId="1" type="noConversion"/>
  </si>
  <si>
    <t>tachycardia paroxysmal</t>
  </si>
  <si>
    <t>thyroid neoplasm</t>
  </si>
  <si>
    <t>urticaria</t>
  </si>
  <si>
    <t>erythema</t>
  </si>
  <si>
    <t>erythema multiforme</t>
  </si>
  <si>
    <t>swollen tongue</t>
  </si>
  <si>
    <t>disseminated intravascular coagulation</t>
  </si>
  <si>
    <t>purpura fulminans</t>
  </si>
  <si>
    <t>necrosis</t>
  </si>
  <si>
    <t>1Df/d</t>
    <phoneticPr fontId="1" type="noConversion"/>
  </si>
  <si>
    <t>aerodur</t>
    <phoneticPr fontId="1" type="noConversion"/>
  </si>
  <si>
    <t>fortecortin</t>
    <phoneticPr fontId="1" type="noConversion"/>
  </si>
  <si>
    <t>dexamethasone</t>
    <phoneticPr fontId="1" type="noConversion"/>
  </si>
  <si>
    <t>lasix</t>
    <phoneticPr fontId="1" type="noConversion"/>
  </si>
  <si>
    <t>furosemide</t>
    <phoneticPr fontId="1" type="noConversion"/>
  </si>
  <si>
    <t>anticoagulants/antithrombotics</t>
    <phoneticPr fontId="1" type="noConversion"/>
  </si>
  <si>
    <t>marcumar</t>
    <phoneticPr fontId="1" type="noConversion"/>
  </si>
  <si>
    <t>kalinor-brausetabletten</t>
    <phoneticPr fontId="1" type="noConversion"/>
  </si>
  <si>
    <t>potassium citrate, potassium carbonate</t>
    <phoneticPr fontId="1" type="noConversion"/>
  </si>
  <si>
    <t>3Df/w</t>
    <phoneticPr fontId="1" type="noConversion"/>
  </si>
  <si>
    <t>aplona</t>
    <phoneticPr fontId="1" type="noConversion"/>
  </si>
  <si>
    <t>apple dried</t>
    <phoneticPr fontId="1" type="noConversion"/>
  </si>
  <si>
    <t>3d</t>
    <phoneticPr fontId="1" type="noConversion"/>
  </si>
  <si>
    <t>hydrochlorothiazide, triamterene</t>
    <phoneticPr fontId="1" type="noConversion"/>
  </si>
  <si>
    <t>1Df/d</t>
    <phoneticPr fontId="1" type="noConversion"/>
  </si>
  <si>
    <t>26d</t>
    <phoneticPr fontId="1" type="noConversion"/>
  </si>
  <si>
    <t>acetylsalicylic acid, ascorbic acid</t>
    <phoneticPr fontId="1" type="noConversion"/>
  </si>
  <si>
    <t>aspirin 100</t>
    <phoneticPr fontId="1" type="noConversion"/>
  </si>
  <si>
    <t>acetylsalicylic acid</t>
    <phoneticPr fontId="1" type="noConversion"/>
  </si>
  <si>
    <t>normoc</t>
    <phoneticPr fontId="1" type="noConversion"/>
  </si>
  <si>
    <t>ultralan-oral 5</t>
    <phoneticPr fontId="1" type="noConversion"/>
  </si>
  <si>
    <t>fluocortolone</t>
    <phoneticPr fontId="1" type="noConversion"/>
  </si>
  <si>
    <t>/d</t>
    <phoneticPr fontId="1" type="noConversion"/>
  </si>
  <si>
    <t>14d</t>
    <phoneticPr fontId="1" type="noConversion"/>
  </si>
  <si>
    <t>allopurinol</t>
    <phoneticPr fontId="1" type="noConversion"/>
  </si>
  <si>
    <t>1Df/d</t>
    <phoneticPr fontId="1" type="noConversion"/>
  </si>
  <si>
    <t>/a</t>
    <phoneticPr fontId="1" type="noConversion"/>
  </si>
  <si>
    <t>novodigal</t>
    <phoneticPr fontId="1" type="noConversion"/>
  </si>
  <si>
    <t>neuro ratiopharm tabletten</t>
    <phoneticPr fontId="1" type="noConversion"/>
  </si>
  <si>
    <t>pyridoxine hydrochloride, cyanocobalamin, thiamine moninitrate</t>
    <phoneticPr fontId="1" type="noConversion"/>
  </si>
  <si>
    <t>Vitamine</t>
    <phoneticPr fontId="1" type="noConversion"/>
  </si>
  <si>
    <t>isdn 120 stada retard</t>
    <phoneticPr fontId="1" type="noConversion"/>
  </si>
  <si>
    <t>gallo-merz</t>
    <phoneticPr fontId="1" type="noConversion"/>
  </si>
  <si>
    <t>thiamine hydrochloride, riboflavin, nicotinamide, pyridoxine hydrochloride, calcium pantothenate</t>
    <phoneticPr fontId="1" type="noConversion"/>
  </si>
  <si>
    <t>Vitamine</t>
    <phoneticPr fontId="1" type="noConversion"/>
  </si>
  <si>
    <t>valium</t>
    <phoneticPr fontId="1" type="noConversion"/>
  </si>
  <si>
    <t>tridin</t>
    <phoneticPr fontId="1" type="noConversion"/>
  </si>
  <si>
    <t>isoptin</t>
    <phoneticPr fontId="1" type="noConversion"/>
  </si>
  <si>
    <t>18d</t>
    <phoneticPr fontId="1" type="noConversion"/>
  </si>
  <si>
    <t>NSAID</t>
    <phoneticPr fontId="1" type="noConversion"/>
  </si>
  <si>
    <t>prokinetic agents</t>
    <phoneticPr fontId="1" type="noConversion"/>
  </si>
  <si>
    <t>gastrosil</t>
    <phoneticPr fontId="1" type="noConversion"/>
  </si>
  <si>
    <t>metoclopramide hydrochloride</t>
    <phoneticPr fontId="1" type="noConversion"/>
  </si>
  <si>
    <t>5d</t>
    <phoneticPr fontId="1" type="noConversion"/>
  </si>
  <si>
    <t>20mg/d</t>
    <phoneticPr fontId="1" type="noConversion"/>
  </si>
  <si>
    <t>ismo 20</t>
    <phoneticPr fontId="1" type="noConversion"/>
  </si>
  <si>
    <t>abdominal discomfort</t>
  </si>
  <si>
    <t>pancreatic enyzme increased</t>
  </si>
  <si>
    <t>pancreatitis</t>
  </si>
  <si>
    <t>cutaneous vasculitis</t>
  </si>
  <si>
    <t>theophyllin sodium aminoacetate</t>
    <phoneticPr fontId="1" type="noConversion"/>
  </si>
  <si>
    <t>2Df/d</t>
    <phoneticPr fontId="1" type="noConversion"/>
  </si>
  <si>
    <t>4d</t>
    <phoneticPr fontId="1" type="noConversion"/>
  </si>
  <si>
    <t>1d</t>
    <phoneticPr fontId="1" type="noConversion"/>
  </si>
  <si>
    <t>diclofenac</t>
    <phoneticPr fontId="1" type="noConversion"/>
  </si>
  <si>
    <t>diclofenac</t>
    <phoneticPr fontId="1" type="noConversion"/>
  </si>
  <si>
    <t>Vitamin, Cholesterinsenker, Antihistaminika Kombi</t>
    <phoneticPr fontId="1" type="noConversion"/>
  </si>
  <si>
    <t>tensobon comp</t>
    <phoneticPr fontId="1" type="noConversion"/>
  </si>
  <si>
    <t>hydrochlorothiazide, captopril</t>
    <phoneticPr fontId="1" type="noConversion"/>
  </si>
  <si>
    <t>allopurinol</t>
    <phoneticPr fontId="1" type="noConversion"/>
  </si>
  <si>
    <t>novaminsulfon</t>
    <phoneticPr fontId="1" type="noConversion"/>
  </si>
  <si>
    <t>trimethoprim, sulfamethoxazole</t>
    <phoneticPr fontId="1" type="noConversion"/>
  </si>
  <si>
    <t>calcium channel blockers</t>
    <phoneticPr fontId="1" type="noConversion"/>
  </si>
  <si>
    <t>veratide</t>
    <phoneticPr fontId="1" type="noConversion"/>
  </si>
  <si>
    <t>2d</t>
    <phoneticPr fontId="1" type="noConversion"/>
  </si>
  <si>
    <t>actinic keratosis</t>
  </si>
  <si>
    <t>methotrexat</t>
    <phoneticPr fontId="1" type="noConversion"/>
  </si>
  <si>
    <t>cytostatics</t>
    <phoneticPr fontId="1" type="noConversion"/>
  </si>
  <si>
    <t>metoclopramide hydrochloride</t>
    <phoneticPr fontId="1" type="noConversion"/>
  </si>
  <si>
    <t>naloxone hydrochloride, tilidine hydrochloride</t>
    <phoneticPr fontId="1" type="noConversion"/>
  </si>
  <si>
    <t>tebesium 300</t>
    <phoneticPr fontId="1" type="noConversion"/>
  </si>
  <si>
    <t>isoniazid, pyridoxin hydrochloride</t>
    <phoneticPr fontId="1" type="noConversion"/>
  </si>
  <si>
    <t>Tuberkulostatikum</t>
    <phoneticPr fontId="1" type="noConversion"/>
  </si>
  <si>
    <t>diclophlogont</t>
    <phoneticPr fontId="1" type="noConversion"/>
  </si>
  <si>
    <t>azulfidine</t>
    <phoneticPr fontId="1" type="noConversion"/>
  </si>
  <si>
    <t>sulfasalazine</t>
    <phoneticPr fontId="1" type="noConversion"/>
  </si>
  <si>
    <t>Antiphlogistikum, Antirheumatikum</t>
    <phoneticPr fontId="1" type="noConversion"/>
  </si>
  <si>
    <t>allopurinol-ratiopharm 300</t>
    <phoneticPr fontId="1" type="noConversion"/>
  </si>
  <si>
    <t>diclofenac 75mg</t>
    <phoneticPr fontId="1" type="noConversion"/>
  </si>
  <si>
    <t>allohexal 300</t>
    <phoneticPr fontId="1" type="noConversion"/>
  </si>
  <si>
    <t>allopurinol</t>
    <phoneticPr fontId="1" type="noConversion"/>
  </si>
  <si>
    <t>molsidomine</t>
    <phoneticPr fontId="1" type="noConversion"/>
  </si>
  <si>
    <t>isomonit</t>
    <phoneticPr fontId="1" type="noConversion"/>
  </si>
  <si>
    <t>diclofenac</t>
    <phoneticPr fontId="1" type="noConversion"/>
  </si>
  <si>
    <t>vitamins nos</t>
    <phoneticPr fontId="1" type="noConversion"/>
  </si>
  <si>
    <t>voltaren suppositorien 50mg</t>
    <phoneticPr fontId="1" type="noConversion"/>
  </si>
  <si>
    <t>cefazolin sodium</t>
    <phoneticPr fontId="1" type="noConversion"/>
  </si>
  <si>
    <t>isoket 20</t>
    <phoneticPr fontId="1" type="noConversion"/>
  </si>
  <si>
    <t>vomex a injectionsloesun iv</t>
    <phoneticPr fontId="1" type="noConversion"/>
  </si>
  <si>
    <t>hexoral</t>
    <phoneticPr fontId="1" type="noConversion"/>
  </si>
  <si>
    <t>hexetidine</t>
    <phoneticPr fontId="1" type="noConversion"/>
  </si>
  <si>
    <t>gentamicin</t>
    <phoneticPr fontId="1" type="noConversion"/>
  </si>
  <si>
    <t>imeson</t>
    <phoneticPr fontId="1" type="noConversion"/>
  </si>
  <si>
    <t>nitrazepam</t>
    <phoneticPr fontId="1" type="noConversion"/>
  </si>
  <si>
    <t>lactuflor</t>
    <phoneticPr fontId="1" type="noConversion"/>
  </si>
  <si>
    <t>Abführmittel (Laxantien)</t>
    <phoneticPr fontId="1" type="noConversion"/>
  </si>
  <si>
    <t>liquidepur</t>
    <phoneticPr fontId="1" type="noConversion"/>
  </si>
  <si>
    <t>nimotop s</t>
    <phoneticPr fontId="1" type="noConversion"/>
  </si>
  <si>
    <t>dimenhydrinate</t>
    <phoneticPr fontId="1" type="noConversion"/>
  </si>
  <si>
    <t>dimenhydrinate</t>
    <phoneticPr fontId="1" type="noConversion"/>
  </si>
  <si>
    <t>furosemide</t>
    <phoneticPr fontId="1" type="noConversion"/>
  </si>
  <si>
    <t>spiro comb.-ratiopharm</t>
    <phoneticPr fontId="1" type="noConversion"/>
  </si>
  <si>
    <t>spironolactone, furosemide</t>
    <phoneticPr fontId="1" type="noConversion"/>
  </si>
  <si>
    <t>tms forte</t>
    <phoneticPr fontId="1" type="noConversion"/>
  </si>
  <si>
    <t>magnesium hydroxide, algeldrate</t>
    <phoneticPr fontId="1" type="noConversion"/>
  </si>
  <si>
    <t>3Df/d</t>
    <phoneticPr fontId="1" type="noConversion"/>
  </si>
  <si>
    <t>9d</t>
    <phoneticPr fontId="1" type="noConversion"/>
  </si>
  <si>
    <t>depuran</t>
    <phoneticPr fontId="1" type="noConversion"/>
  </si>
  <si>
    <t>carum carvi, anise oil, senna fruit extract</t>
    <phoneticPr fontId="1" type="noConversion"/>
  </si>
  <si>
    <t>Antazida</t>
    <phoneticPr fontId="1" type="noConversion"/>
  </si>
  <si>
    <t>anti-phosphat</t>
    <phoneticPr fontId="1" type="noConversion"/>
  </si>
  <si>
    <t>algeldrate</t>
    <phoneticPr fontId="1" type="noConversion"/>
  </si>
  <si>
    <t>chills</t>
  </si>
  <si>
    <t>arrhythmia supraventricular</t>
  </si>
  <si>
    <t>salivary hypersecretion</t>
  </si>
  <si>
    <t>voltaren</t>
    <phoneticPr fontId="1" type="noConversion"/>
  </si>
  <si>
    <t>beclometasone dipropionate</t>
    <phoneticPr fontId="1" type="noConversion"/>
  </si>
  <si>
    <t>8Df/d</t>
    <phoneticPr fontId="1" type="noConversion"/>
  </si>
  <si>
    <t>8d</t>
    <phoneticPr fontId="1" type="noConversion"/>
  </si>
  <si>
    <t>sanasthmax</t>
    <phoneticPr fontId="1" type="noConversion"/>
  </si>
  <si>
    <t>sanasthmyl</t>
    <phoneticPr fontId="1" type="noConversion"/>
  </si>
  <si>
    <t>acetylsalicylic acid</t>
    <phoneticPr fontId="1" type="noConversion"/>
  </si>
  <si>
    <t>2Df/d</t>
    <phoneticPr fontId="1" type="noConversion"/>
  </si>
  <si>
    <t>28d</t>
    <phoneticPr fontId="1" type="noConversion"/>
  </si>
  <si>
    <t>solu-decortin-h</t>
    <phoneticPr fontId="1" type="noConversion"/>
  </si>
  <si>
    <t>skin atrophie</t>
  </si>
  <si>
    <t>skin haemorrhage</t>
  </si>
  <si>
    <t>sleep disorder</t>
  </si>
  <si>
    <t>tinitus</t>
  </si>
  <si>
    <t>spironolactone, furosemide</t>
    <phoneticPr fontId="1" type="noConversion"/>
  </si>
  <si>
    <t>antiasthmatics</t>
    <phoneticPr fontId="1" type="noConversion"/>
  </si>
  <si>
    <t>theophyllin</t>
    <phoneticPr fontId="1" type="noConversion"/>
  </si>
  <si>
    <t>zantic</t>
    <phoneticPr fontId="1" type="noConversion"/>
  </si>
  <si>
    <t>4d</t>
    <phoneticPr fontId="1" type="noConversion"/>
  </si>
  <si>
    <t>zyloric 300</t>
    <phoneticPr fontId="1" type="noConversion"/>
  </si>
  <si>
    <t>allopurinol</t>
    <phoneticPr fontId="1" type="noConversion"/>
  </si>
  <si>
    <t>acemetacin</t>
    <phoneticPr fontId="1" type="noConversion"/>
  </si>
  <si>
    <t>aciclovir</t>
    <phoneticPr fontId="1" type="noConversion"/>
  </si>
  <si>
    <t>rantudil</t>
    <phoneticPr fontId="1" type="noConversion"/>
  </si>
  <si>
    <t>amoxicillin</t>
    <phoneticPr fontId="1" type="noConversion"/>
  </si>
  <si>
    <t>capto-puren cor</t>
    <phoneticPr fontId="1" type="noConversion"/>
  </si>
  <si>
    <t>captopril</t>
    <phoneticPr fontId="1" type="noConversion"/>
  </si>
  <si>
    <t>diclo 50 von ct</t>
    <phoneticPr fontId="1" type="noConversion"/>
  </si>
  <si>
    <t>calcium c</t>
    <phoneticPr fontId="1" type="noConversion"/>
  </si>
  <si>
    <t>ascorbic acid, calcium lactogluconate</t>
    <phoneticPr fontId="1" type="noConversion"/>
  </si>
  <si>
    <t>batkaletta n reinecke</t>
    <phoneticPr fontId="1" type="noConversion"/>
  </si>
  <si>
    <t>senna leaf</t>
    <phoneticPr fontId="1" type="noConversion"/>
  </si>
  <si>
    <t>ambroxol hydrochloride</t>
    <phoneticPr fontId="1" type="noConversion"/>
  </si>
  <si>
    <t>thilocanfol 1%</t>
    <phoneticPr fontId="1" type="noConversion"/>
  </si>
  <si>
    <t>azidamfenicol</t>
    <phoneticPr fontId="1" type="noConversion"/>
  </si>
  <si>
    <t>tarivid</t>
    <phoneticPr fontId="1" type="noConversion"/>
  </si>
  <si>
    <t>diuretikum verla</t>
    <phoneticPr fontId="1" type="noConversion"/>
  </si>
  <si>
    <t>nifedipine, acebutolol hydrochloride</t>
    <phoneticPr fontId="1" type="noConversion"/>
  </si>
  <si>
    <t>1Df/d</t>
    <phoneticPr fontId="1" type="noConversion"/>
  </si>
  <si>
    <t>Antihypertonikum, Betablocker Kombi</t>
    <phoneticPr fontId="1" type="noConversion"/>
  </si>
  <si>
    <t>voltaren resinat</t>
    <phoneticPr fontId="1" type="noConversion"/>
  </si>
  <si>
    <t>diclofenac resinat</t>
    <phoneticPr fontId="1" type="noConversion"/>
  </si>
  <si>
    <t>bifiteral</t>
    <phoneticPr fontId="1" type="noConversion"/>
  </si>
  <si>
    <t>dexpanthenol</t>
    <phoneticPr fontId="1" type="noConversion"/>
  </si>
  <si>
    <t>sempera liquid</t>
    <phoneticPr fontId="1" type="noConversion"/>
  </si>
  <si>
    <t>prednisolon sodium succinate</t>
    <phoneticPr fontId="1" type="noConversion"/>
  </si>
  <si>
    <t>diclofenac sodium</t>
    <phoneticPr fontId="1" type="noConversion"/>
  </si>
  <si>
    <t>acesal</t>
    <phoneticPr fontId="1" type="noConversion"/>
  </si>
  <si>
    <t>acetylsalicylic acid, caffeine, paracetamol</t>
    <phoneticPr fontId="1" type="noConversion"/>
  </si>
  <si>
    <t>rantudil forte</t>
    <phoneticPr fontId="1" type="noConversion"/>
  </si>
  <si>
    <t>mucosolvan tropfen</t>
    <phoneticPr fontId="1" type="noConversion"/>
  </si>
  <si>
    <t>heparin</t>
    <phoneticPr fontId="1" type="noConversion"/>
  </si>
  <si>
    <t>cerebroforte</t>
    <phoneticPr fontId="1" type="noConversion"/>
  </si>
  <si>
    <t>Prostatamittel</t>
    <phoneticPr fontId="1" type="noConversion"/>
  </si>
  <si>
    <t>allopurinol</t>
    <phoneticPr fontId="1" type="noConversion"/>
  </si>
  <si>
    <t>triampur forte</t>
    <phoneticPr fontId="1" type="noConversion"/>
  </si>
  <si>
    <t>80mg</t>
    <phoneticPr fontId="1" type="noConversion"/>
  </si>
  <si>
    <t>eusaprim forte</t>
    <phoneticPr fontId="1" type="noConversion"/>
  </si>
  <si>
    <t>16d</t>
    <phoneticPr fontId="1" type="noConversion"/>
  </si>
  <si>
    <t>diflucan 50</t>
    <phoneticPr fontId="1" type="noConversion"/>
  </si>
  <si>
    <t>fluconazole</t>
    <phoneticPr fontId="1" type="noConversion"/>
  </si>
  <si>
    <t>50mg/d</t>
    <phoneticPr fontId="1" type="noConversion"/>
  </si>
  <si>
    <t>novalgin</t>
    <phoneticPr fontId="1" type="noConversion"/>
  </si>
  <si>
    <t>veraptamil hydrochloride</t>
    <phoneticPr fontId="1" type="noConversion"/>
  </si>
  <si>
    <t>ofloxacin</t>
    <phoneticPr fontId="1" type="noConversion"/>
  </si>
  <si>
    <t>limptar</t>
    <phoneticPr fontId="1" type="noConversion"/>
  </si>
  <si>
    <t>aminophylline, quinine sulfat</t>
    <phoneticPr fontId="1" type="noConversion"/>
  </si>
  <si>
    <t>gegen Wadenkrämpfe</t>
    <phoneticPr fontId="1" type="noConversion"/>
  </si>
  <si>
    <t>aspirin plus c</t>
    <phoneticPr fontId="1" type="noConversion"/>
  </si>
  <si>
    <t>7d</t>
    <phoneticPr fontId="1" type="noConversion"/>
  </si>
  <si>
    <t>burns first degree</t>
  </si>
  <si>
    <t xml:space="preserve">medication error </t>
  </si>
  <si>
    <t>rash vesicular</t>
  </si>
  <si>
    <t>tubulointestitial nephritis</t>
  </si>
  <si>
    <t>bronchoparat</t>
    <phoneticPr fontId="1" type="noConversion"/>
  </si>
  <si>
    <t>acc 200</t>
    <phoneticPr fontId="1" type="noConversion"/>
  </si>
  <si>
    <t>dobutamine hydrochloride</t>
    <phoneticPr fontId="1" type="noConversion"/>
  </si>
  <si>
    <t>dopamin</t>
    <phoneticPr fontId="1" type="noConversion"/>
  </si>
  <si>
    <t>dopamine hydrochloride</t>
    <phoneticPr fontId="1" type="noConversion"/>
  </si>
  <si>
    <t>dulcolax</t>
    <phoneticPr fontId="1" type="noConversion"/>
  </si>
  <si>
    <t>bisacodyl</t>
    <phoneticPr fontId="1" type="noConversion"/>
  </si>
  <si>
    <t>lefax</t>
    <phoneticPr fontId="1" type="noConversion"/>
  </si>
  <si>
    <t>dimeticone, silicon dioxide, colloidal</t>
    <phoneticPr fontId="1" type="noConversion"/>
  </si>
  <si>
    <t>kalium-duriles</t>
    <phoneticPr fontId="1" type="noConversion"/>
  </si>
  <si>
    <t>potassium chloride</t>
    <phoneticPr fontId="1" type="noConversion"/>
  </si>
  <si>
    <t>ismo 20</t>
    <phoneticPr fontId="1" type="noConversion"/>
  </si>
  <si>
    <t>dulcolax</t>
    <phoneticPr fontId="1" type="noConversion"/>
  </si>
  <si>
    <t>bisacodyl</t>
    <phoneticPr fontId="1" type="noConversion"/>
  </si>
  <si>
    <t>antiepileptics</t>
    <phoneticPr fontId="1" type="noConversion"/>
  </si>
  <si>
    <t>resimatil</t>
    <phoneticPr fontId="1" type="noConversion"/>
  </si>
  <si>
    <t>agarol</t>
    <phoneticPr fontId="1" type="noConversion"/>
  </si>
  <si>
    <t>phenolphthalein, parrafin, liquid</t>
    <phoneticPr fontId="1" type="noConversion"/>
  </si>
  <si>
    <t>optalidon special noc dragees</t>
    <phoneticPr fontId="1" type="noConversion"/>
  </si>
  <si>
    <t>propyphenazone, dihydroergotamine mesilate</t>
    <phoneticPr fontId="1" type="noConversion"/>
  </si>
  <si>
    <t>Antiparkinsonika, Analgetika Kombi</t>
    <phoneticPr fontId="1" type="noConversion"/>
  </si>
  <si>
    <t>pancuronium</t>
    <phoneticPr fontId="1" type="noConversion"/>
  </si>
  <si>
    <t>phenhydan</t>
    <phoneticPr fontId="1" type="noConversion"/>
  </si>
  <si>
    <t>phenytoin</t>
    <phoneticPr fontId="1" type="noConversion"/>
  </si>
  <si>
    <t>Volumenersatzlösung</t>
    <phoneticPr fontId="1" type="noConversion"/>
  </si>
  <si>
    <t>vitamin b12</t>
    <phoneticPr fontId="1" type="noConversion"/>
  </si>
  <si>
    <t>cyanocobalamin</t>
    <phoneticPr fontId="1" type="noConversion"/>
  </si>
  <si>
    <t>paracodin</t>
    <phoneticPr fontId="1" type="noConversion"/>
  </si>
  <si>
    <t>dihydrocodeine bitartarte</t>
    <phoneticPr fontId="1" type="noConversion"/>
  </si>
  <si>
    <t>Opioid</t>
    <phoneticPr fontId="1" type="noConversion"/>
  </si>
  <si>
    <t>nif-ten</t>
    <phoneticPr fontId="1" type="noConversion"/>
  </si>
  <si>
    <t>sympatholytics</t>
    <phoneticPr fontId="1" type="noConversion"/>
  </si>
  <si>
    <t>ebrantil</t>
    <phoneticPr fontId="1" type="noConversion"/>
  </si>
  <si>
    <t>urapidil</t>
    <phoneticPr fontId="1" type="noConversion"/>
  </si>
  <si>
    <t>fluimucil</t>
    <phoneticPr fontId="1" type="noConversion"/>
  </si>
  <si>
    <t>acetylcysteine</t>
    <phoneticPr fontId="1" type="noConversion"/>
  </si>
  <si>
    <t>fortecortin</t>
    <phoneticPr fontId="1" type="noConversion"/>
  </si>
  <si>
    <t>dexamethasone</t>
    <phoneticPr fontId="1" type="noConversion"/>
  </si>
  <si>
    <t>gramaxin</t>
    <phoneticPr fontId="1" type="noConversion"/>
  </si>
  <si>
    <t>metoclopramide hydrochloride</t>
    <phoneticPr fontId="1" type="noConversion"/>
  </si>
  <si>
    <t>Opioid</t>
    <phoneticPr fontId="1" type="noConversion"/>
  </si>
  <si>
    <t>nac 20</t>
    <phoneticPr fontId="1" type="noConversion"/>
  </si>
  <si>
    <t>pepdul i.v.</t>
    <phoneticPr fontId="1" type="noConversion"/>
  </si>
  <si>
    <t>clont</t>
    <phoneticPr fontId="1" type="noConversion"/>
  </si>
  <si>
    <t>metronidazole</t>
    <phoneticPr fontId="1" type="noConversion"/>
  </si>
  <si>
    <t>voltaren resinat</t>
    <phoneticPr fontId="1" type="noConversion"/>
  </si>
  <si>
    <t>1Df/d</t>
    <phoneticPr fontId="1" type="noConversion"/>
  </si>
  <si>
    <t>ass 500</t>
    <phoneticPr fontId="1" type="noConversion"/>
  </si>
  <si>
    <t>doxycycline</t>
    <phoneticPr fontId="1" type="noConversion"/>
  </si>
  <si>
    <t>dimenhydrinate</t>
    <phoneticPr fontId="1" type="noConversion"/>
  </si>
  <si>
    <t>Abführmittel (Laxantien)</t>
    <phoneticPr fontId="1" type="noConversion"/>
  </si>
  <si>
    <t>nifedipine</t>
    <phoneticPr fontId="1" type="noConversion"/>
  </si>
  <si>
    <t>paracodin n-tropfen</t>
    <phoneticPr fontId="1" type="noConversion"/>
  </si>
  <si>
    <t>opioid</t>
    <phoneticPr fontId="1" type="noConversion"/>
  </si>
  <si>
    <t>riopan</t>
    <phoneticPr fontId="1" type="noConversion"/>
  </si>
  <si>
    <t>magaldrate</t>
    <phoneticPr fontId="1" type="noConversion"/>
  </si>
  <si>
    <t>Antirheumatikum</t>
    <phoneticPr fontId="1" type="noConversion"/>
  </si>
  <si>
    <t>Muskelrelaxans, Analgetikum Kombi</t>
    <phoneticPr fontId="1" type="noConversion"/>
  </si>
  <si>
    <t>sulfamethoxazole, trimethoprim</t>
    <phoneticPr fontId="1" type="noConversion"/>
  </si>
  <si>
    <t>hypnotics</t>
    <phoneticPr fontId="1" type="noConversion"/>
  </si>
  <si>
    <t>bikalm</t>
    <phoneticPr fontId="1" type="noConversion"/>
  </si>
  <si>
    <t>valium 2 roche</t>
    <phoneticPr fontId="1" type="noConversion"/>
  </si>
  <si>
    <t>diazepam</t>
    <phoneticPr fontId="1" type="noConversion"/>
  </si>
  <si>
    <t>valium for injection</t>
    <phoneticPr fontId="1" type="noConversion"/>
  </si>
  <si>
    <t>diazepam, propyleme glycol, ethanol, benzoic acid, benzyl alcohol, sodium benzoate</t>
    <phoneticPr fontId="1" type="noConversion"/>
  </si>
  <si>
    <t>tocopheryl acetat, retinol palmitate, sitosterol, echinacea purpurea</t>
    <phoneticPr fontId="1" type="noConversion"/>
  </si>
  <si>
    <t>nicergoline</t>
    <phoneticPr fontId="1" type="noConversion"/>
  </si>
  <si>
    <t>Nootropikum fürs Gehirn</t>
    <phoneticPr fontId="1" type="noConversion"/>
  </si>
  <si>
    <t>tranxilium</t>
    <phoneticPr fontId="1" type="noConversion"/>
  </si>
  <si>
    <t>gelonida na</t>
    <phoneticPr fontId="1" type="noConversion"/>
  </si>
  <si>
    <t>forene</t>
    <phoneticPr fontId="1" type="noConversion"/>
  </si>
  <si>
    <t>isoflurane</t>
    <phoneticPr fontId="1" type="noConversion"/>
  </si>
  <si>
    <t>xipamide</t>
    <phoneticPr fontId="1" type="noConversion"/>
  </si>
  <si>
    <t>paracetamol, chlormezanone</t>
    <phoneticPr fontId="1" type="noConversion"/>
  </si>
  <si>
    <t>carum carci, anise oil, senna liquid extract</t>
    <phoneticPr fontId="1" type="noConversion"/>
  </si>
  <si>
    <t>bei Verstopfung</t>
    <phoneticPr fontId="1" type="noConversion"/>
  </si>
  <si>
    <t>prednisolon sodium succinate</t>
    <phoneticPr fontId="1" type="noConversion"/>
  </si>
  <si>
    <t>25mg/d</t>
    <phoneticPr fontId="1" type="noConversion"/>
  </si>
  <si>
    <t>antihistamines</t>
    <phoneticPr fontId="1" type="noConversion"/>
  </si>
  <si>
    <t>sostril</t>
    <phoneticPr fontId="1" type="noConversion"/>
  </si>
  <si>
    <t>ranitidine hydrochloride</t>
    <phoneticPr fontId="1" type="noConversion"/>
  </si>
  <si>
    <t>minirin</t>
    <phoneticPr fontId="1" type="noConversion"/>
  </si>
  <si>
    <t>desmopressin acetate</t>
    <phoneticPr fontId="1" type="noConversion"/>
  </si>
  <si>
    <t>antivirals</t>
    <phoneticPr fontId="1" type="noConversion"/>
  </si>
  <si>
    <t>ambroxol</t>
    <phoneticPr fontId="1" type="noConversion"/>
  </si>
  <si>
    <t>29d</t>
    <phoneticPr fontId="1" type="noConversion"/>
  </si>
  <si>
    <t>piracetam</t>
    <phoneticPr fontId="1" type="noConversion"/>
  </si>
  <si>
    <t>Gallensäure, Verdauuungsenzyme, Entschäumungsmittel,</t>
    <phoneticPr fontId="1" type="noConversion"/>
  </si>
  <si>
    <t>dehydrocholic acid, pancreatin, turmeric, cellulase, dimeticone</t>
    <phoneticPr fontId="1" type="noConversion"/>
  </si>
  <si>
    <t>maprotiline hydrochloride</t>
    <phoneticPr fontId="1" type="noConversion"/>
  </si>
  <si>
    <t>antipsychotics</t>
    <phoneticPr fontId="1" type="noConversion"/>
  </si>
  <si>
    <t>neogama</t>
    <phoneticPr fontId="1" type="noConversion"/>
  </si>
  <si>
    <t>sulpiride</t>
    <phoneticPr fontId="1" type="noConversion"/>
  </si>
  <si>
    <t>0,075mg/d</t>
    <phoneticPr fontId="1" type="noConversion"/>
  </si>
  <si>
    <t>1Df/d</t>
    <phoneticPr fontId="1" type="noConversion"/>
  </si>
  <si>
    <t>tredalat</t>
    <phoneticPr fontId="1" type="noConversion"/>
  </si>
  <si>
    <t>7d</t>
    <phoneticPr fontId="1" type="noConversion"/>
  </si>
  <si>
    <t>aciclovir</t>
    <phoneticPr fontId="1" type="noConversion"/>
  </si>
  <si>
    <t>aciclovir</t>
    <phoneticPr fontId="1" type="noConversion"/>
  </si>
  <si>
    <t>1500mg/d</t>
    <phoneticPr fontId="1" type="noConversion"/>
  </si>
  <si>
    <t>ben-u-ron</t>
    <phoneticPr fontId="1" type="noConversion"/>
  </si>
  <si>
    <t>rewodina dual 75 kaps</t>
    <phoneticPr fontId="1" type="noConversion"/>
  </si>
  <si>
    <t>furorese</t>
    <phoneticPr fontId="1" type="noConversion"/>
  </si>
  <si>
    <t>bepanthen</t>
    <phoneticPr fontId="1" type="noConversion"/>
  </si>
  <si>
    <t>novalgin</t>
    <phoneticPr fontId="1" type="noConversion"/>
  </si>
  <si>
    <t>metamizole</t>
    <phoneticPr fontId="1" type="noConversion"/>
  </si>
  <si>
    <t>itraconazole</t>
    <phoneticPr fontId="1" type="noConversion"/>
  </si>
  <si>
    <t>saroten retard kapseln 25mg</t>
    <phoneticPr fontId="1" type="noConversion"/>
  </si>
  <si>
    <t>diclophlogont-50</t>
    <phoneticPr fontId="1" type="noConversion"/>
  </si>
  <si>
    <t>oxazepam</t>
    <phoneticPr fontId="1" type="noConversion"/>
  </si>
  <si>
    <t>oxazepam</t>
    <phoneticPr fontId="1" type="noConversion"/>
  </si>
  <si>
    <t>milurit 300</t>
    <phoneticPr fontId="1" type="noConversion"/>
  </si>
  <si>
    <t>allopurinol</t>
    <phoneticPr fontId="1" type="noConversion"/>
  </si>
  <si>
    <t>diclofenac ratiopharm 75 sl</t>
    <phoneticPr fontId="1" type="noConversion"/>
  </si>
  <si>
    <t>acetylsalicylic acid</t>
    <phoneticPr fontId="1" type="noConversion"/>
  </si>
  <si>
    <t>allopuriol 100</t>
    <phoneticPr fontId="1" type="noConversion"/>
  </si>
  <si>
    <t>meditonsin h</t>
    <phoneticPr fontId="1" type="noConversion"/>
  </si>
  <si>
    <t>homeopatics nos</t>
    <phoneticPr fontId="1" type="noConversion"/>
  </si>
  <si>
    <t>allobeta 300</t>
    <phoneticPr fontId="1" type="noConversion"/>
  </si>
  <si>
    <t>allopurinol</t>
    <phoneticPr fontId="1" type="noConversion"/>
  </si>
  <si>
    <t>diclofenac</t>
    <phoneticPr fontId="1" type="noConversion"/>
  </si>
  <si>
    <t>oedemase</t>
    <phoneticPr fontId="1" type="noConversion"/>
  </si>
  <si>
    <t>furosemide</t>
    <phoneticPr fontId="1" type="noConversion"/>
  </si>
  <si>
    <t>sodium fluorophosphat, calcium citrate, calcium gluconate</t>
    <phoneticPr fontId="1" type="noConversion"/>
  </si>
  <si>
    <t>trapanal</t>
    <phoneticPr fontId="1" type="noConversion"/>
  </si>
  <si>
    <t>thiopental sodium</t>
    <phoneticPr fontId="1" type="noConversion"/>
  </si>
  <si>
    <t>allopurinol, benzbromarone</t>
    <phoneticPr fontId="1" type="noConversion"/>
  </si>
  <si>
    <t>voltaren</t>
    <phoneticPr fontId="1" type="noConversion"/>
  </si>
  <si>
    <t>bromazepam</t>
    <phoneticPr fontId="1" type="noConversion"/>
  </si>
  <si>
    <t>vein medication</t>
    <phoneticPr fontId="1" type="noConversion"/>
  </si>
  <si>
    <t>isosorbide mononitrate</t>
    <phoneticPr fontId="1" type="noConversion"/>
  </si>
  <si>
    <t>lidocaine</t>
    <phoneticPr fontId="1" type="noConversion"/>
  </si>
  <si>
    <t>1d</t>
    <phoneticPr fontId="1" type="noConversion"/>
  </si>
  <si>
    <t>chlormezanone</t>
    <phoneticPr fontId="1" type="noConversion"/>
  </si>
  <si>
    <t>1Df</t>
    <phoneticPr fontId="1" type="noConversion"/>
  </si>
  <si>
    <t>nistia mineralische nasensalbe</t>
    <phoneticPr fontId="1" type="noConversion"/>
  </si>
  <si>
    <t>emser salt</t>
    <phoneticPr fontId="1" type="noConversion"/>
  </si>
  <si>
    <t>panotile</t>
    <phoneticPr fontId="1" type="noConversion"/>
  </si>
  <si>
    <t>beta-acetyldigoxin</t>
    <phoneticPr fontId="1" type="noConversion"/>
  </si>
  <si>
    <t>harzol</t>
    <phoneticPr fontId="1" type="noConversion"/>
  </si>
  <si>
    <t>sitosterols</t>
    <phoneticPr fontId="1" type="noConversion"/>
  </si>
  <si>
    <t>Diuretika, Antiparkinsonika, Antihypertonika Kombi</t>
    <phoneticPr fontId="1" type="noConversion"/>
  </si>
  <si>
    <t>2Df/d</t>
    <phoneticPr fontId="1" type="noConversion"/>
  </si>
  <si>
    <t>karil</t>
    <phoneticPr fontId="1" type="noConversion"/>
  </si>
  <si>
    <t>calcitonin, salmon</t>
    <phoneticPr fontId="1" type="noConversion"/>
  </si>
  <si>
    <t>bepanthen roche</t>
    <phoneticPr fontId="1" type="noConversion"/>
  </si>
  <si>
    <t>expafusin</t>
    <phoneticPr fontId="1" type="noConversion"/>
  </si>
  <si>
    <t>homeopatics nos</t>
    <phoneticPr fontId="1" type="noConversion"/>
  </si>
  <si>
    <t>10Gtt</t>
    <phoneticPr fontId="1" type="noConversion"/>
  </si>
  <si>
    <t>allopurinol</t>
    <phoneticPr fontId="1" type="noConversion"/>
  </si>
  <si>
    <t>3Df/w</t>
    <phoneticPr fontId="1" type="noConversion"/>
  </si>
  <si>
    <t>zovirax</t>
    <phoneticPr fontId="1" type="noConversion"/>
  </si>
  <si>
    <t>paspertin</t>
    <phoneticPr fontId="1" type="noConversion"/>
  </si>
  <si>
    <t>camphor, menthol, valerian tincture, convallaria tincture, crataegus extract</t>
    <phoneticPr fontId="1" type="noConversion"/>
  </si>
  <si>
    <t>???</t>
    <phoneticPr fontId="1" type="noConversion"/>
  </si>
  <si>
    <t>lasix 40</t>
    <phoneticPr fontId="1" type="noConversion"/>
  </si>
  <si>
    <t>diclofenac</t>
    <phoneticPr fontId="1" type="noConversion"/>
  </si>
  <si>
    <t>caffeine</t>
    <phoneticPr fontId="1" type="noConversion"/>
  </si>
  <si>
    <t>caffeine</t>
    <phoneticPr fontId="1" type="noConversion"/>
  </si>
  <si>
    <t>corangin 40 retard</t>
    <phoneticPr fontId="1" type="noConversion"/>
  </si>
  <si>
    <t>40mg/d</t>
    <phoneticPr fontId="1" type="noConversion"/>
  </si>
  <si>
    <t>29d</t>
    <phoneticPr fontId="1" type="noConversion"/>
  </si>
  <si>
    <t>50mg/a</t>
    <phoneticPr fontId="1" type="noConversion"/>
  </si>
  <si>
    <t>digimerck</t>
    <phoneticPr fontId="1" type="noConversion"/>
  </si>
  <si>
    <t>digitoxin</t>
    <phoneticPr fontId="1" type="noConversion"/>
  </si>
  <si>
    <t>0,07mg/d</t>
    <phoneticPr fontId="1" type="noConversion"/>
  </si>
  <si>
    <t>dexamethasone</t>
    <phoneticPr fontId="1" type="noConversion"/>
  </si>
  <si>
    <t>dexamethasone</t>
    <phoneticPr fontId="1" type="noConversion"/>
  </si>
  <si>
    <t>adalat retard</t>
    <phoneticPr fontId="1" type="noConversion"/>
  </si>
  <si>
    <t>nifidipine</t>
    <phoneticPr fontId="1" type="noConversion"/>
  </si>
  <si>
    <t>aquaphor</t>
    <phoneticPr fontId="1" type="noConversion"/>
  </si>
  <si>
    <t>cynt</t>
    <phoneticPr fontId="1" type="noConversion"/>
  </si>
  <si>
    <t>moxonidine</t>
    <phoneticPr fontId="1" type="noConversion"/>
  </si>
  <si>
    <t>Antihypertonika</t>
    <phoneticPr fontId="1" type="noConversion"/>
  </si>
  <si>
    <t>adumbran</t>
    <phoneticPr fontId="1" type="noConversion"/>
  </si>
  <si>
    <t>temazepam</t>
    <phoneticPr fontId="1" type="noConversion"/>
  </si>
  <si>
    <t>nexium</t>
    <phoneticPr fontId="1" type="noConversion"/>
  </si>
  <si>
    <t>8d</t>
    <phoneticPr fontId="1" type="noConversion"/>
  </si>
  <si>
    <t>maalox</t>
    <phoneticPr fontId="1" type="noConversion"/>
  </si>
  <si>
    <t>magnesium hydroxide, aluminium hydroxide gel, aluminium hydroxide</t>
    <phoneticPr fontId="1" type="noConversion"/>
  </si>
  <si>
    <t>valerian extract, hypericum extraxt, melissa extract</t>
    <phoneticPr fontId="1" type="noConversion"/>
  </si>
  <si>
    <t>4d</t>
    <phoneticPr fontId="1" type="noConversion"/>
  </si>
  <si>
    <t>1Df</t>
    <phoneticPr fontId="1" type="noConversion"/>
  </si>
  <si>
    <t>tilidine hydrochloride</t>
    <phoneticPr fontId="1" type="noConversion"/>
  </si>
  <si>
    <t>doxycycline</t>
    <phoneticPr fontId="1" type="noConversion"/>
  </si>
  <si>
    <t>magnesium citrate</t>
    <phoneticPr fontId="1" type="noConversion"/>
  </si>
  <si>
    <t>phytomenadione</t>
    <phoneticPr fontId="1" type="noConversion"/>
  </si>
  <si>
    <t>Magenbrennen</t>
    <phoneticPr fontId="1" type="noConversion"/>
  </si>
  <si>
    <t>vasoconstrictor</t>
    <phoneticPr fontId="1" type="noConversion"/>
  </si>
  <si>
    <t>olynth 0,1% lsg</t>
    <phoneticPr fontId="1" type="noConversion"/>
  </si>
  <si>
    <t>xylometazoline hydrochloride</t>
    <phoneticPr fontId="1" type="noConversion"/>
  </si>
  <si>
    <t>Nasenspray</t>
    <phoneticPr fontId="1" type="noConversion"/>
  </si>
  <si>
    <t>bactim forte</t>
    <phoneticPr fontId="1" type="noConversion"/>
  </si>
  <si>
    <t>diclofenac</t>
    <phoneticPr fontId="1" type="noConversion"/>
  </si>
  <si>
    <t>Antihypertonika, Betablocker Kombi</t>
    <phoneticPr fontId="1" type="noConversion"/>
  </si>
  <si>
    <t>molsihexal</t>
    <phoneticPr fontId="1" type="noConversion"/>
  </si>
  <si>
    <t>vitamine nnb</t>
    <phoneticPr fontId="1" type="noConversion"/>
  </si>
  <si>
    <t>nifedipine</t>
    <phoneticPr fontId="1" type="noConversion"/>
  </si>
  <si>
    <t>35mg/d</t>
    <phoneticPr fontId="1" type="noConversion"/>
  </si>
  <si>
    <t>diclofenac</t>
    <phoneticPr fontId="1" type="noConversion"/>
  </si>
  <si>
    <t>1d</t>
    <phoneticPr fontId="1" type="noConversion"/>
  </si>
  <si>
    <t>rulid</t>
    <phoneticPr fontId="1" type="noConversion"/>
  </si>
  <si>
    <t>roxithromycin</t>
    <phoneticPr fontId="1" type="noConversion"/>
  </si>
  <si>
    <t>1d</t>
    <phoneticPr fontId="1" type="noConversion"/>
  </si>
  <si>
    <t>hetastarch, sodium chloride, potassium chloride, sodium lactate, calcium chloride, glucose</t>
    <phoneticPr fontId="1" type="noConversion"/>
  </si>
  <si>
    <t>fentanyl</t>
    <phoneticPr fontId="1" type="noConversion"/>
  </si>
  <si>
    <t>fentanyl</t>
    <phoneticPr fontId="1" type="noConversion"/>
  </si>
  <si>
    <t>Opioid</t>
    <phoneticPr fontId="1" type="noConversion"/>
  </si>
  <si>
    <t>calcium</t>
    <phoneticPr fontId="1" type="noConversion"/>
  </si>
  <si>
    <t>decadron-phosphat 8mg</t>
    <phoneticPr fontId="1" type="noConversion"/>
  </si>
  <si>
    <t>dexamethasone sodium phosphate</t>
    <phoneticPr fontId="1" type="noConversion"/>
  </si>
  <si>
    <t>sympathomimetics</t>
    <phoneticPr fontId="1" type="noConversion"/>
  </si>
  <si>
    <t>dobutrex</t>
    <phoneticPr fontId="1" type="noConversion"/>
  </si>
  <si>
    <t>nitrolingual retard</t>
    <phoneticPr fontId="1" type="noConversion"/>
  </si>
  <si>
    <t>glyceryl trinitrate</t>
    <phoneticPr fontId="1" type="noConversion"/>
  </si>
  <si>
    <t>antidiuretics</t>
    <phoneticPr fontId="1" type="noConversion"/>
  </si>
  <si>
    <t>nifedipine</t>
    <phoneticPr fontId="1" type="noConversion"/>
  </si>
  <si>
    <t>allopurinol 300 stada</t>
    <phoneticPr fontId="1" type="noConversion"/>
  </si>
  <si>
    <t>300mg/d</t>
    <phoneticPr fontId="1" type="noConversion"/>
  </si>
  <si>
    <t>ambroxol</t>
    <phoneticPr fontId="1" type="noConversion"/>
  </si>
  <si>
    <t>thrombophob-7500</t>
    <phoneticPr fontId="1" type="noConversion"/>
  </si>
  <si>
    <t>diclofenac</t>
    <phoneticPr fontId="1" type="noConversion"/>
  </si>
  <si>
    <t>voltaren resinat</t>
    <phoneticPr fontId="1" type="noConversion"/>
  </si>
  <si>
    <t>diclofenac resinate</t>
    <phoneticPr fontId="1" type="noConversion"/>
  </si>
  <si>
    <t>zentropil</t>
    <phoneticPr fontId="1" type="noConversion"/>
  </si>
  <si>
    <t>phenytoin</t>
    <phoneticPr fontId="1" type="noConversion"/>
  </si>
  <si>
    <t>nadroparin calcium</t>
    <phoneticPr fontId="1" type="noConversion"/>
  </si>
  <si>
    <t>1Df</t>
    <phoneticPr fontId="1" type="noConversion"/>
  </si>
  <si>
    <t>corvaton</t>
    <phoneticPr fontId="1" type="noConversion"/>
  </si>
  <si>
    <t>molsidomine</t>
    <phoneticPr fontId="1" type="noConversion"/>
  </si>
  <si>
    <t>corangin</t>
    <phoneticPr fontId="1" type="noConversion"/>
  </si>
  <si>
    <t>isosorbide mononitrate</t>
    <phoneticPr fontId="1" type="noConversion"/>
  </si>
  <si>
    <t>clexane</t>
    <phoneticPr fontId="1" type="noConversion"/>
  </si>
  <si>
    <t>ramipril, piretanide</t>
    <phoneticPr fontId="1" type="noConversion"/>
  </si>
  <si>
    <t>urbason</t>
    <phoneticPr fontId="1" type="noConversion"/>
  </si>
  <si>
    <t>methylprednisolone</t>
    <phoneticPr fontId="1" type="noConversion"/>
  </si>
  <si>
    <t>1500mg/d</t>
    <phoneticPr fontId="1" type="noConversion"/>
  </si>
  <si>
    <t>vioxx</t>
    <phoneticPr fontId="1" type="noConversion"/>
  </si>
  <si>
    <t>rofecoxib</t>
    <phoneticPr fontId="1" type="noConversion"/>
  </si>
  <si>
    <t>13mg/d</t>
    <phoneticPr fontId="1" type="noConversion"/>
  </si>
  <si>
    <t>5d</t>
    <phoneticPr fontId="1" type="noConversion"/>
  </si>
  <si>
    <t>40mg/d</t>
    <phoneticPr fontId="1" type="noConversion"/>
  </si>
  <si>
    <t>bvk roche tablet</t>
    <phoneticPr fontId="1" type="noConversion"/>
  </si>
  <si>
    <t>1d</t>
    <phoneticPr fontId="1" type="noConversion"/>
  </si>
  <si>
    <t>propyphenazone</t>
    <phoneticPr fontId="1" type="noConversion"/>
  </si>
  <si>
    <t>20mg/d</t>
    <phoneticPr fontId="1" type="noConversion"/>
  </si>
  <si>
    <t>2d</t>
    <phoneticPr fontId="1" type="noConversion"/>
  </si>
  <si>
    <t>20mg/d</t>
    <phoneticPr fontId="1" type="noConversion"/>
  </si>
  <si>
    <t>actrapid</t>
    <phoneticPr fontId="1" type="noConversion"/>
  </si>
  <si>
    <t>insulin human</t>
    <phoneticPr fontId="1" type="noConversion"/>
  </si>
  <si>
    <t>adalat retard</t>
    <phoneticPr fontId="1" type="noConversion"/>
  </si>
  <si>
    <t>1Df/a</t>
    <phoneticPr fontId="1" type="noConversion"/>
  </si>
  <si>
    <t>21d</t>
    <phoneticPr fontId="1" type="noConversion"/>
  </si>
  <si>
    <t>antra 20</t>
    <phoneticPr fontId="1" type="noConversion"/>
  </si>
  <si>
    <t>omeprazole</t>
    <phoneticPr fontId="1" type="noConversion"/>
  </si>
  <si>
    <t>diclofenbeta uno</t>
    <phoneticPr fontId="1" type="noConversion"/>
  </si>
  <si>
    <t>herz ass-ratiopharm</t>
    <phoneticPr fontId="1" type="noConversion"/>
  </si>
  <si>
    <t>acetylsalicylic acid</t>
    <phoneticPr fontId="1" type="noConversion"/>
  </si>
  <si>
    <t>15mg/d</t>
    <phoneticPr fontId="1" type="noConversion"/>
  </si>
  <si>
    <t>dolantin</t>
    <phoneticPr fontId="1" type="noConversion"/>
  </si>
  <si>
    <t>20mg/d</t>
    <phoneticPr fontId="1" type="noConversion"/>
  </si>
  <si>
    <t>contrast agent</t>
    <phoneticPr fontId="1" type="noConversion"/>
  </si>
  <si>
    <t>xanef 5 mg</t>
    <phoneticPr fontId="1" type="noConversion"/>
  </si>
  <si>
    <t>enalapril maleate</t>
    <phoneticPr fontId="1" type="noConversion"/>
  </si>
  <si>
    <t>chloraldurat 500</t>
    <phoneticPr fontId="1" type="noConversion"/>
  </si>
  <si>
    <t>chloral hydrate</t>
    <phoneticPr fontId="1" type="noConversion"/>
  </si>
  <si>
    <t>lidocaine hydrochloride</t>
    <phoneticPr fontId="1" type="noConversion"/>
  </si>
  <si>
    <t>fluimucil granulat</t>
    <phoneticPr fontId="1" type="noConversion"/>
  </si>
  <si>
    <t>acetylcysteine</t>
    <phoneticPr fontId="1" type="noConversion"/>
  </si>
  <si>
    <t>endoxan</t>
    <phoneticPr fontId="1" type="noConversion"/>
  </si>
  <si>
    <t>cyclophosphamide</t>
    <phoneticPr fontId="1" type="noConversion"/>
  </si>
  <si>
    <t>cytotec 200</t>
    <phoneticPr fontId="1" type="noConversion"/>
  </si>
  <si>
    <t>misoprostol</t>
    <phoneticPr fontId="1" type="noConversion"/>
  </si>
  <si>
    <t>reparil for injection</t>
    <phoneticPr fontId="1" type="noConversion"/>
  </si>
  <si>
    <t>escin sodium</t>
    <phoneticPr fontId="1" type="noConversion"/>
  </si>
  <si>
    <t>tramal</t>
    <phoneticPr fontId="1" type="noConversion"/>
  </si>
  <si>
    <t>tramadol hydrochloride</t>
    <phoneticPr fontId="1" type="noConversion"/>
  </si>
  <si>
    <t>opioid</t>
    <phoneticPr fontId="1" type="noConversion"/>
  </si>
  <si>
    <t>vitamin b</t>
    <phoneticPr fontId="1" type="noConversion"/>
  </si>
  <si>
    <t>ambroxol hydrochloride</t>
    <phoneticPr fontId="1" type="noConversion"/>
  </si>
  <si>
    <t>almag von ct suspension</t>
    <phoneticPr fontId="1" type="noConversion"/>
  </si>
  <si>
    <t>/d</t>
    <phoneticPr fontId="1" type="noConversion"/>
  </si>
  <si>
    <t>rocephin im.</t>
    <phoneticPr fontId="1" type="noConversion"/>
  </si>
  <si>
    <t>1000mg</t>
    <phoneticPr fontId="1" type="noConversion"/>
  </si>
  <si>
    <t>sodium picosulfate</t>
    <phoneticPr fontId="1" type="noConversion"/>
  </si>
  <si>
    <t>l-polamidon</t>
    <phoneticPr fontId="1" type="noConversion"/>
  </si>
  <si>
    <t>levomethadone</t>
    <phoneticPr fontId="1" type="noConversion"/>
  </si>
  <si>
    <t>14d</t>
    <phoneticPr fontId="1" type="noConversion"/>
  </si>
  <si>
    <t>Kodein</t>
    <phoneticPr fontId="1" type="noConversion"/>
  </si>
  <si>
    <t>panthenol</t>
    <phoneticPr fontId="1" type="noConversion"/>
  </si>
  <si>
    <t>zyloric</t>
    <phoneticPr fontId="1" type="noConversion"/>
  </si>
  <si>
    <t>apis-homaccord</t>
    <phoneticPr fontId="1" type="noConversion"/>
  </si>
  <si>
    <t>codeine</t>
    <phoneticPr fontId="1" type="noConversion"/>
  </si>
  <si>
    <t>15d</t>
    <phoneticPr fontId="1" type="noConversion"/>
  </si>
  <si>
    <t>29d</t>
    <phoneticPr fontId="1" type="noConversion"/>
  </si>
  <si>
    <t>oxazepam</t>
    <phoneticPr fontId="1" type="noConversion"/>
  </si>
  <si>
    <t>800mg/d</t>
    <phoneticPr fontId="1" type="noConversion"/>
  </si>
  <si>
    <t>ergenyl</t>
    <phoneticPr fontId="1" type="noConversion"/>
  </si>
  <si>
    <t>800mg/d</t>
    <phoneticPr fontId="1" type="noConversion"/>
  </si>
  <si>
    <t>10d</t>
    <phoneticPr fontId="1" type="noConversion"/>
  </si>
  <si>
    <t>8d</t>
    <phoneticPr fontId="1" type="noConversion"/>
  </si>
  <si>
    <t>8d</t>
    <phoneticPr fontId="1" type="noConversion"/>
  </si>
  <si>
    <t>dihydrocodeine thiocyanate</t>
    <phoneticPr fontId="1" type="noConversion"/>
  </si>
  <si>
    <t>Opioid</t>
    <phoneticPr fontId="1" type="noConversion"/>
  </si>
  <si>
    <t>rewodina</t>
    <phoneticPr fontId="1" type="noConversion"/>
  </si>
  <si>
    <t>diclofenac</t>
    <phoneticPr fontId="1" type="noConversion"/>
  </si>
  <si>
    <t>xylocaine</t>
    <phoneticPr fontId="1" type="noConversion"/>
  </si>
  <si>
    <t>aceytlcysteine</t>
    <phoneticPr fontId="1" type="noConversion"/>
  </si>
  <si>
    <t>clonazepam</t>
    <phoneticPr fontId="1" type="noConversion"/>
  </si>
  <si>
    <t>680ml/d</t>
    <phoneticPr fontId="1" type="noConversion"/>
  </si>
  <si>
    <t>tavor</t>
    <phoneticPr fontId="1" type="noConversion"/>
  </si>
  <si>
    <t>lorazepam</t>
    <phoneticPr fontId="1" type="noConversion"/>
  </si>
  <si>
    <t>tavor</t>
    <phoneticPr fontId="1" type="noConversion"/>
  </si>
  <si>
    <t>2mg/d</t>
    <phoneticPr fontId="1" type="noConversion"/>
  </si>
  <si>
    <t>timonil retard</t>
    <phoneticPr fontId="1" type="noConversion"/>
  </si>
  <si>
    <t>carbamazepine</t>
    <phoneticPr fontId="1" type="noConversion"/>
  </si>
  <si>
    <t>100lu</t>
    <phoneticPr fontId="1" type="noConversion"/>
  </si>
  <si>
    <t>valium</t>
    <phoneticPr fontId="1" type="noConversion"/>
  </si>
  <si>
    <t>furosemide</t>
    <phoneticPr fontId="1" type="noConversion"/>
  </si>
  <si>
    <t>morphin</t>
    <phoneticPr fontId="1" type="noConversion"/>
  </si>
  <si>
    <t>sortis</t>
    <phoneticPr fontId="1" type="noConversion"/>
  </si>
  <si>
    <t>atorvastatin calcium</t>
    <phoneticPr fontId="1" type="noConversion"/>
  </si>
  <si>
    <t>cimetidine</t>
    <phoneticPr fontId="1" type="noConversion"/>
  </si>
  <si>
    <t>tagamet</t>
    <phoneticPr fontId="1" type="noConversion"/>
  </si>
  <si>
    <t>torasemide</t>
  </si>
  <si>
    <t>planum</t>
    <phoneticPr fontId="1" type="noConversion"/>
  </si>
  <si>
    <t>300mg/d</t>
    <phoneticPr fontId="1" type="noConversion"/>
  </si>
  <si>
    <t>232d</t>
    <phoneticPr fontId="1" type="noConversion"/>
  </si>
  <si>
    <t>zoloft</t>
    <phoneticPr fontId="1" type="noConversion"/>
  </si>
  <si>
    <t>ben-u-ron</t>
    <phoneticPr fontId="1" type="noConversion"/>
  </si>
  <si>
    <t>chloral hydrate</t>
    <phoneticPr fontId="1" type="noConversion"/>
  </si>
  <si>
    <t>35Gtt/d</t>
    <phoneticPr fontId="1" type="noConversion"/>
  </si>
  <si>
    <t>12d</t>
    <phoneticPr fontId="1" type="noConversion"/>
  </si>
  <si>
    <t>tramal</t>
    <phoneticPr fontId="1" type="noConversion"/>
  </si>
  <si>
    <t>1d</t>
    <phoneticPr fontId="1" type="noConversion"/>
  </si>
  <si>
    <t>diclofenac ratiopharm 50</t>
    <phoneticPr fontId="1" type="noConversion"/>
  </si>
  <si>
    <t>naproxen stada 500</t>
    <phoneticPr fontId="1" type="noConversion"/>
  </si>
  <si>
    <t>naproxen</t>
    <phoneticPr fontId="1" type="noConversion"/>
  </si>
  <si>
    <t>NSAID</t>
    <phoneticPr fontId="1" type="noConversion"/>
  </si>
  <si>
    <t>cholchysar buerger</t>
    <phoneticPr fontId="1" type="noConversion"/>
  </si>
  <si>
    <t>omeprazole</t>
    <phoneticPr fontId="1" type="noConversion"/>
  </si>
  <si>
    <t>thomapyrin</t>
    <phoneticPr fontId="1" type="noConversion"/>
  </si>
  <si>
    <t>torasemide</t>
    <phoneticPr fontId="1" type="noConversion"/>
  </si>
  <si>
    <t>zolpidem tartrate</t>
    <phoneticPr fontId="1" type="noConversion"/>
  </si>
  <si>
    <t>levothyroxine sodium</t>
    <phoneticPr fontId="1" type="noConversion"/>
  </si>
  <si>
    <t>l-thyroxin 75 henning</t>
    <phoneticPr fontId="1" type="noConversion"/>
  </si>
  <si>
    <t>piroxicam ratiopharm</t>
    <phoneticPr fontId="1" type="noConversion"/>
  </si>
  <si>
    <t>piroxicam</t>
    <phoneticPr fontId="1" type="noConversion"/>
  </si>
  <si>
    <t>NSAID</t>
    <phoneticPr fontId="1" type="noConversion"/>
  </si>
  <si>
    <t>50mg</t>
    <phoneticPr fontId="1" type="noConversion"/>
  </si>
  <si>
    <t>300mg/d</t>
    <phoneticPr fontId="1" type="noConversion"/>
  </si>
  <si>
    <t>6d</t>
    <phoneticPr fontId="1" type="noConversion"/>
  </si>
  <si>
    <t>1Df/a</t>
    <phoneticPr fontId="1" type="noConversion"/>
  </si>
  <si>
    <t>21d</t>
    <phoneticPr fontId="1" type="noConversion"/>
  </si>
  <si>
    <t>29d</t>
    <phoneticPr fontId="1" type="noConversion"/>
  </si>
  <si>
    <t>eunerpan 25</t>
    <phoneticPr fontId="1" type="noConversion"/>
  </si>
  <si>
    <t>melperone</t>
    <phoneticPr fontId="1" type="noConversion"/>
  </si>
  <si>
    <t>akrinoe injektionsloesung</t>
    <phoneticPr fontId="1" type="noConversion"/>
  </si>
  <si>
    <t>theodrenaline hydrochloride, cafedrine hydrochloride</t>
    <phoneticPr fontId="1" type="noConversion"/>
  </si>
  <si>
    <t>atropine sulfate</t>
    <phoneticPr fontId="1" type="noConversion"/>
  </si>
  <si>
    <t>stropine sulfate</t>
    <phoneticPr fontId="1" type="noConversion"/>
  </si>
  <si>
    <t>buprenorphine</t>
    <phoneticPr fontId="1" type="noConversion"/>
  </si>
  <si>
    <t>Opioid</t>
    <phoneticPr fontId="1" type="noConversion"/>
  </si>
  <si>
    <t>temgesic sublingual</t>
    <phoneticPr fontId="1" type="noConversion"/>
  </si>
  <si>
    <t>buprenorphine hydrochloride</t>
    <phoneticPr fontId="1" type="noConversion"/>
  </si>
  <si>
    <t>adumbran</t>
    <phoneticPr fontId="1" type="noConversion"/>
  </si>
  <si>
    <t>oxazepam</t>
    <phoneticPr fontId="1" type="noConversion"/>
  </si>
  <si>
    <t>voltaren 50</t>
    <phoneticPr fontId="1" type="noConversion"/>
  </si>
  <si>
    <t>nife 20 ret von ct</t>
    <phoneticPr fontId="1" type="noConversion"/>
  </si>
  <si>
    <t>diclofenac sodium</t>
    <phoneticPr fontId="1" type="noConversion"/>
  </si>
  <si>
    <t>famotidine</t>
    <phoneticPr fontId="1" type="noConversion"/>
  </si>
  <si>
    <t>refobacin</t>
    <phoneticPr fontId="1" type="noConversion"/>
  </si>
  <si>
    <t>gentamicin sulfate</t>
    <phoneticPr fontId="1" type="noConversion"/>
  </si>
  <si>
    <t>tegretal 400 retard</t>
    <phoneticPr fontId="1" type="noConversion"/>
  </si>
  <si>
    <t>dopamine hydrochloride</t>
    <phoneticPr fontId="1" type="noConversion"/>
  </si>
  <si>
    <t>bifiteral</t>
    <phoneticPr fontId="1" type="noConversion"/>
  </si>
  <si>
    <t>amantadine sulfate</t>
    <phoneticPr fontId="1" type="noConversion"/>
  </si>
  <si>
    <t>orelox</t>
    <phoneticPr fontId="1" type="noConversion"/>
  </si>
  <si>
    <t>cefpodoxime proxetil</t>
    <phoneticPr fontId="1" type="noConversion"/>
  </si>
  <si>
    <t>mst 10</t>
    <phoneticPr fontId="1" type="noConversion"/>
  </si>
  <si>
    <t>dytide h</t>
    <phoneticPr fontId="1" type="noConversion"/>
  </si>
  <si>
    <t>claforan</t>
    <phoneticPr fontId="1" type="noConversion"/>
  </si>
  <si>
    <t>cefotaxime sodium</t>
    <phoneticPr fontId="1" type="noConversion"/>
  </si>
  <si>
    <t>carbostesin</t>
    <phoneticPr fontId="1" type="noConversion"/>
  </si>
  <si>
    <t>bupivacaine hydrochloride</t>
    <phoneticPr fontId="1" type="noConversion"/>
  </si>
  <si>
    <t>arelix ace</t>
    <phoneticPr fontId="1" type="noConversion"/>
  </si>
  <si>
    <t>novalgin</t>
    <phoneticPr fontId="1" type="noConversion"/>
  </si>
  <si>
    <t>3d</t>
    <phoneticPr fontId="1" type="noConversion"/>
  </si>
  <si>
    <t>paediafusin</t>
    <phoneticPr fontId="1" type="noConversion"/>
  </si>
  <si>
    <t>glucose, sodium acetate, malic acid, magnesium chloride hexahydrate, calcium chloride dihydrate, sodium glycerophosphat</t>
    <phoneticPr fontId="1" type="noConversion"/>
  </si>
  <si>
    <t>pantozol</t>
    <phoneticPr fontId="1" type="noConversion"/>
  </si>
  <si>
    <t>tramadol hydrochloride</t>
    <phoneticPr fontId="1" type="noConversion"/>
  </si>
  <si>
    <t>insulin</t>
    <phoneticPr fontId="1" type="noConversion"/>
  </si>
  <si>
    <t>80mg</t>
    <phoneticPr fontId="1" type="noConversion"/>
  </si>
  <si>
    <t>3d</t>
    <phoneticPr fontId="1" type="noConversion"/>
  </si>
  <si>
    <t>3664d</t>
    <phoneticPr fontId="1" type="noConversion"/>
  </si>
  <si>
    <t>morphine</t>
    <phoneticPr fontId="1" type="noConversion"/>
  </si>
  <si>
    <t>2,5mg/d</t>
    <phoneticPr fontId="1" type="noConversion"/>
  </si>
  <si>
    <t>vitamins nos, amino acids nos, electrolytes nos</t>
    <phoneticPr fontId="1" type="noConversion"/>
  </si>
  <si>
    <t>17d</t>
    <phoneticPr fontId="1" type="noConversion"/>
  </si>
  <si>
    <t>2625m/d</t>
    <phoneticPr fontId="1" type="noConversion"/>
  </si>
  <si>
    <t>tramadol hydrochlorde</t>
    <phoneticPr fontId="1" type="noConversion"/>
  </si>
  <si>
    <t>amoxicillin</t>
    <phoneticPr fontId="1" type="noConversion"/>
  </si>
  <si>
    <t>allopurinol</t>
    <phoneticPr fontId="1" type="noConversion"/>
  </si>
  <si>
    <t>potassium bromide</t>
    <phoneticPr fontId="1" type="noConversion"/>
  </si>
  <si>
    <t>13d</t>
    <phoneticPr fontId="1" type="noConversion"/>
  </si>
  <si>
    <t>diclofenac</t>
    <phoneticPr fontId="1" type="noConversion"/>
  </si>
  <si>
    <t>dolantin</t>
    <phoneticPr fontId="1" type="noConversion"/>
  </si>
  <si>
    <t>pethidine hydrochloride</t>
    <phoneticPr fontId="1" type="noConversion"/>
  </si>
  <si>
    <t>simvastatin</t>
    <phoneticPr fontId="1" type="noConversion"/>
  </si>
  <si>
    <t>ergenyl</t>
    <phoneticPr fontId="1" type="noConversion"/>
  </si>
  <si>
    <t>100mg/d</t>
    <phoneticPr fontId="1" type="noConversion"/>
  </si>
  <si>
    <t>valoron n lsg</t>
    <phoneticPr fontId="1" type="noConversion"/>
  </si>
  <si>
    <t>acetylcysteine</t>
    <phoneticPr fontId="1" type="noConversion"/>
  </si>
  <si>
    <t>colchicine</t>
    <phoneticPr fontId="1" type="noConversion"/>
  </si>
  <si>
    <t>Alkaloide</t>
    <phoneticPr fontId="1" type="noConversion"/>
  </si>
  <si>
    <t>lorafem 400</t>
    <phoneticPr fontId="1" type="noConversion"/>
  </si>
  <si>
    <t>loracarbef</t>
    <phoneticPr fontId="1" type="noConversion"/>
  </si>
  <si>
    <t>zyloric 300</t>
    <phoneticPr fontId="1" type="noConversion"/>
  </si>
  <si>
    <t>diclofenac</t>
    <phoneticPr fontId="1" type="noConversion"/>
  </si>
  <si>
    <t>phenprocoumon</t>
    <phoneticPr fontId="1" type="noConversion"/>
  </si>
  <si>
    <t>marcumar</t>
    <phoneticPr fontId="1" type="noConversion"/>
  </si>
  <si>
    <t>ass 100</t>
    <phoneticPr fontId="1" type="noConversion"/>
  </si>
  <si>
    <t>acetylsalocylic acid</t>
    <phoneticPr fontId="1" type="noConversion"/>
  </si>
  <si>
    <t>acetylsalicylic acid</t>
    <phoneticPr fontId="1" type="noConversion"/>
  </si>
  <si>
    <t>adalat t 10</t>
    <phoneticPr fontId="1" type="noConversion"/>
  </si>
  <si>
    <t>clexane 20</t>
    <phoneticPr fontId="1" type="noConversion"/>
  </si>
  <si>
    <t>enoxaparin</t>
    <phoneticPr fontId="1" type="noConversion"/>
  </si>
  <si>
    <t>zinacef</t>
    <phoneticPr fontId="1" type="noConversion"/>
  </si>
  <si>
    <t>cefuroxime</t>
    <phoneticPr fontId="1" type="noConversion"/>
  </si>
  <si>
    <t>ben-u-ron</t>
    <phoneticPr fontId="1" type="noConversion"/>
  </si>
  <si>
    <t>zocor 10</t>
    <phoneticPr fontId="1" type="noConversion"/>
  </si>
  <si>
    <t>simvastatin</t>
    <phoneticPr fontId="1" type="noConversion"/>
  </si>
  <si>
    <t>ambroxol hydrochloride</t>
    <phoneticPr fontId="1" type="noConversion"/>
  </si>
  <si>
    <t>solidagoren n</t>
    <phoneticPr fontId="1" type="noConversion"/>
  </si>
  <si>
    <t>herbal extracts nos</t>
    <phoneticPr fontId="1" type="noConversion"/>
  </si>
  <si>
    <t>paracetamol</t>
    <phoneticPr fontId="1" type="noConversion"/>
  </si>
  <si>
    <t>diclo divido</t>
    <phoneticPr fontId="1" type="noConversion"/>
  </si>
  <si>
    <t>ass</t>
    <phoneticPr fontId="1" type="noConversion"/>
  </si>
  <si>
    <t>1Df/d</t>
    <phoneticPr fontId="1" type="noConversion"/>
  </si>
  <si>
    <t>1d</t>
    <phoneticPr fontId="1" type="noConversion"/>
  </si>
  <si>
    <t>10d</t>
    <phoneticPr fontId="1" type="noConversion"/>
  </si>
  <si>
    <t>emser pastillen</t>
    <phoneticPr fontId="1" type="noConversion"/>
  </si>
  <si>
    <t>prontopyrin plus</t>
    <phoneticPr fontId="1" type="noConversion"/>
  </si>
  <si>
    <t>paracetamol</t>
    <phoneticPr fontId="1" type="noConversion"/>
  </si>
  <si>
    <t>paracetamol, caffeine</t>
    <phoneticPr fontId="1" type="noConversion"/>
  </si>
  <si>
    <t>noctazepam</t>
    <phoneticPr fontId="1" type="noConversion"/>
  </si>
  <si>
    <t>emser salt, cetylpyridinium chloride, menthol</t>
    <phoneticPr fontId="1" type="noConversion"/>
  </si>
  <si>
    <t>valporate sodium</t>
    <phoneticPr fontId="1" type="noConversion"/>
  </si>
  <si>
    <t>ass</t>
    <phoneticPr fontId="1" type="noConversion"/>
  </si>
  <si>
    <t>konakion</t>
    <phoneticPr fontId="1" type="noConversion"/>
  </si>
  <si>
    <t>unat</t>
    <phoneticPr fontId="1" type="noConversion"/>
  </si>
  <si>
    <t>phenhydan</t>
    <phoneticPr fontId="1" type="noConversion"/>
  </si>
  <si>
    <t>ringer lactado " grifols"</t>
    <phoneticPr fontId="1" type="noConversion"/>
  </si>
  <si>
    <t>13d</t>
    <phoneticPr fontId="1" type="noConversion"/>
  </si>
  <si>
    <t>sodium lactate, potassium chloride, sodium chloride, calcium chloride dihydrate)</t>
    <phoneticPr fontId="1" type="noConversion"/>
  </si>
  <si>
    <t>rivotril</t>
    <phoneticPr fontId="1" type="noConversion"/>
  </si>
  <si>
    <t>pyridoxine hydrochloride, biotin, cyanocobalamin, riboflavin, nicotinamide, calcium pantothenate, thiamine mononitrate</t>
    <phoneticPr fontId="1" type="noConversion"/>
  </si>
  <si>
    <t>5d</t>
    <phoneticPr fontId="1" type="noConversion"/>
  </si>
  <si>
    <t>potasssium chloride</t>
    <phoneticPr fontId="1" type="noConversion"/>
  </si>
  <si>
    <t>kalinor</t>
    <phoneticPr fontId="1" type="noConversion"/>
  </si>
  <si>
    <t>metoclopramide</t>
    <phoneticPr fontId="1" type="noConversion"/>
  </si>
  <si>
    <t>metoclopramide</t>
    <phoneticPr fontId="1" type="noConversion"/>
  </si>
  <si>
    <t>spironolactone</t>
    <phoneticPr fontId="1" type="noConversion"/>
  </si>
  <si>
    <t>acc 600</t>
    <phoneticPr fontId="1" type="noConversion"/>
  </si>
  <si>
    <t>600mg/d</t>
    <phoneticPr fontId="1" type="noConversion"/>
  </si>
  <si>
    <t>alpha-vibolex</t>
    <phoneticPr fontId="1" type="noConversion"/>
  </si>
  <si>
    <t>orfiril</t>
    <phoneticPr fontId="1" type="noConversion"/>
  </si>
  <si>
    <t>valproic acid</t>
    <phoneticPr fontId="1" type="noConversion"/>
  </si>
  <si>
    <t>sertraline hydrochloride</t>
    <phoneticPr fontId="1" type="noConversion"/>
  </si>
  <si>
    <t>casodex</t>
    <phoneticPr fontId="1" type="noConversion"/>
  </si>
  <si>
    <t>bicalutamide</t>
    <phoneticPr fontId="1" type="noConversion"/>
  </si>
  <si>
    <t>chloral hydrate</t>
    <phoneticPr fontId="1" type="noConversion"/>
  </si>
  <si>
    <t>2000mg/d</t>
    <phoneticPr fontId="1" type="noConversion"/>
  </si>
  <si>
    <t>18d</t>
    <phoneticPr fontId="1" type="noConversion"/>
  </si>
  <si>
    <t>paracetamol</t>
    <phoneticPr fontId="1" type="noConversion"/>
  </si>
  <si>
    <t>omeprazol</t>
    <phoneticPr fontId="1" type="noConversion"/>
  </si>
  <si>
    <t>antra 20mg</t>
    <phoneticPr fontId="1" type="noConversion"/>
  </si>
  <si>
    <t>omeprazole</t>
    <phoneticPr fontId="1" type="noConversion"/>
  </si>
  <si>
    <t>omnic 0,4</t>
    <phoneticPr fontId="1" type="noConversion"/>
  </si>
  <si>
    <t>tamsulodin hydrochloride</t>
    <phoneticPr fontId="1" type="noConversion"/>
  </si>
  <si>
    <t>1Df/d</t>
    <phoneticPr fontId="1" type="noConversion"/>
  </si>
  <si>
    <t>voltaren resinat</t>
    <phoneticPr fontId="1" type="noConversion"/>
  </si>
  <si>
    <t>2Df/d</t>
    <phoneticPr fontId="1" type="noConversion"/>
  </si>
  <si>
    <t>8d</t>
    <phoneticPr fontId="1" type="noConversion"/>
  </si>
  <si>
    <t>x-prep</t>
    <phoneticPr fontId="1" type="noConversion"/>
  </si>
  <si>
    <t>senna leaf</t>
    <phoneticPr fontId="1" type="noConversion"/>
  </si>
  <si>
    <t>zyloric 100</t>
    <phoneticPr fontId="1" type="noConversion"/>
  </si>
  <si>
    <t>1Df/d</t>
    <phoneticPr fontId="1" type="noConversion"/>
  </si>
  <si>
    <t>diclophologont</t>
    <phoneticPr fontId="1" type="noConversion"/>
  </si>
  <si>
    <t>diclofenac sodium</t>
    <phoneticPr fontId="1" type="noConversion"/>
  </si>
  <si>
    <t>jenfenac 75 i.m.</t>
    <phoneticPr fontId="1" type="noConversion"/>
  </si>
  <si>
    <t>2d</t>
    <phoneticPr fontId="1" type="noConversion"/>
  </si>
  <si>
    <t>novalgin injectionlsg</t>
    <phoneticPr fontId="1" type="noConversion"/>
  </si>
  <si>
    <t>metamizole</t>
    <phoneticPr fontId="1" type="noConversion"/>
  </si>
  <si>
    <t>1d</t>
    <phoneticPr fontId="1" type="noConversion"/>
  </si>
  <si>
    <t>lipid-lowering agents</t>
    <phoneticPr fontId="1" type="noConversion"/>
  </si>
  <si>
    <t>chloral hydrate</t>
    <phoneticPr fontId="1" type="noConversion"/>
  </si>
  <si>
    <t>500mg/d</t>
    <phoneticPr fontId="1" type="noConversion"/>
  </si>
  <si>
    <t>ambroxol-ratiopharm 75</t>
    <phoneticPr fontId="1" type="noConversion"/>
  </si>
  <si>
    <t>nootropics</t>
    <phoneticPr fontId="1" type="noConversion"/>
  </si>
  <si>
    <t>cefotiam hydrochloride</t>
    <phoneticPr fontId="1" type="noConversion"/>
  </si>
  <si>
    <t>temgesic</t>
    <phoneticPr fontId="1" type="noConversion"/>
  </si>
  <si>
    <t>1d</t>
    <phoneticPr fontId="1" type="noConversion"/>
  </si>
  <si>
    <t>humatin</t>
    <phoneticPr fontId="1" type="noConversion"/>
  </si>
  <si>
    <t>paromomycin sulfate</t>
    <phoneticPr fontId="1" type="noConversion"/>
  </si>
  <si>
    <t>9d</t>
    <phoneticPr fontId="1" type="noConversion"/>
  </si>
  <si>
    <t>furorese</t>
    <phoneticPr fontId="1" type="noConversion"/>
  </si>
  <si>
    <t>furosemide</t>
    <phoneticPr fontId="1" type="noConversion"/>
  </si>
  <si>
    <t>2d</t>
    <phoneticPr fontId="1" type="noConversion"/>
  </si>
  <si>
    <t>cefatamet pivoxil hydrochloride</t>
    <phoneticPr fontId="1" type="noConversion"/>
  </si>
  <si>
    <t>godamed</t>
    <phoneticPr fontId="1" type="noConversion"/>
  </si>
  <si>
    <t>voltaren dispers</t>
    <phoneticPr fontId="1" type="noConversion"/>
  </si>
  <si>
    <t>arlevert</t>
    <phoneticPr fontId="1" type="noConversion"/>
  </si>
  <si>
    <t>cinnarizine, dimenhydrinate</t>
    <phoneticPr fontId="1" type="noConversion"/>
  </si>
  <si>
    <t>dopamin</t>
    <phoneticPr fontId="1" type="noConversion"/>
  </si>
  <si>
    <t>avalox</t>
    <phoneticPr fontId="1" type="noConversion"/>
  </si>
  <si>
    <t>400mg</t>
    <phoneticPr fontId="1" type="noConversion"/>
  </si>
  <si>
    <t>moxifloxacin hydrochloride</t>
    <phoneticPr fontId="1" type="noConversion"/>
  </si>
  <si>
    <t>ben-u-ron</t>
    <phoneticPr fontId="1" type="noConversion"/>
  </si>
  <si>
    <t>paracetamol</t>
    <phoneticPr fontId="1" type="noConversion"/>
  </si>
  <si>
    <t>clinomel</t>
    <phoneticPr fontId="1" type="noConversion"/>
  </si>
  <si>
    <t>electrolytres nos, amino acids nos, calcium chloride dehydrate, lipids nos, glucose</t>
    <phoneticPr fontId="1" type="noConversion"/>
  </si>
  <si>
    <t>1d</t>
    <phoneticPr fontId="1" type="noConversion"/>
  </si>
  <si>
    <t>1d</t>
    <phoneticPr fontId="1" type="noConversion"/>
  </si>
  <si>
    <t>fresubin</t>
    <phoneticPr fontId="1" type="noConversion"/>
  </si>
  <si>
    <t>vitamins nos, carbohydrates nos, proteins nos, fatty acids nos, minerals nos</t>
    <phoneticPr fontId="1" type="noConversion"/>
  </si>
  <si>
    <t>5d</t>
    <phoneticPr fontId="1" type="noConversion"/>
  </si>
  <si>
    <t>1d</t>
    <phoneticPr fontId="1" type="noConversion"/>
  </si>
  <si>
    <t>1094d</t>
    <phoneticPr fontId="1" type="noConversion"/>
  </si>
  <si>
    <t>glucose</t>
    <phoneticPr fontId="1" type="noConversion"/>
  </si>
  <si>
    <t>13d</t>
    <phoneticPr fontId="1" type="noConversion"/>
  </si>
  <si>
    <t>haes-steril</t>
    <phoneticPr fontId="1" type="noConversion"/>
  </si>
  <si>
    <t>KCl</t>
    <phoneticPr fontId="1" type="noConversion"/>
  </si>
  <si>
    <t>codeine</t>
    <phoneticPr fontId="1" type="noConversion"/>
  </si>
  <si>
    <t>optipect kodein</t>
    <phoneticPr fontId="1" type="noConversion"/>
  </si>
  <si>
    <t>pantoprazol</t>
    <phoneticPr fontId="1" type="noConversion"/>
  </si>
  <si>
    <t>1Df</t>
    <phoneticPr fontId="1" type="noConversion"/>
  </si>
  <si>
    <t>paracetamol</t>
    <phoneticPr fontId="1" type="noConversion"/>
  </si>
  <si>
    <t>paracetamol</t>
    <phoneticPr fontId="1" type="noConversion"/>
  </si>
  <si>
    <t>Opioid</t>
    <phoneticPr fontId="1" type="noConversion"/>
  </si>
  <si>
    <t>tutofusin</t>
    <phoneticPr fontId="1" type="noConversion"/>
  </si>
  <si>
    <t>diclofenac supp. Heumann</t>
    <phoneticPr fontId="1" type="noConversion"/>
  </si>
  <si>
    <t>urol mono</t>
    <phoneticPr fontId="1" type="noConversion"/>
  </si>
  <si>
    <t>2d</t>
    <phoneticPr fontId="1" type="noConversion"/>
  </si>
  <si>
    <t>1d</t>
    <phoneticPr fontId="1" type="noConversion"/>
  </si>
  <si>
    <t>/a</t>
    <phoneticPr fontId="1" type="noConversion"/>
  </si>
  <si>
    <t>1Df/d</t>
    <phoneticPr fontId="1" type="noConversion"/>
  </si>
  <si>
    <t>delix</t>
    <phoneticPr fontId="1" type="noConversion"/>
  </si>
  <si>
    <t>ramipril</t>
    <phoneticPr fontId="1" type="noConversion"/>
  </si>
  <si>
    <t>hydrochlorothiazide, benazepril hydrochloride</t>
    <phoneticPr fontId="1" type="noConversion"/>
  </si>
  <si>
    <t>cibatrex</t>
    <phoneticPr fontId="1" type="noConversion"/>
  </si>
  <si>
    <t>10mg/d</t>
    <phoneticPr fontId="1" type="noConversion"/>
  </si>
  <si>
    <t>1d</t>
    <phoneticPr fontId="1" type="noConversion"/>
  </si>
  <si>
    <t>zocor</t>
    <phoneticPr fontId="1" type="noConversion"/>
  </si>
  <si>
    <t>2d</t>
    <phoneticPr fontId="1" type="noConversion"/>
  </si>
  <si>
    <t>10d</t>
    <phoneticPr fontId="1" type="noConversion"/>
  </si>
  <si>
    <t>diclac</t>
    <phoneticPr fontId="1" type="noConversion"/>
  </si>
  <si>
    <t>voltaren resinat</t>
    <phoneticPr fontId="1" type="noConversion"/>
  </si>
  <si>
    <t>allopurinol</t>
    <phoneticPr fontId="1" type="noConversion"/>
  </si>
  <si>
    <t>pantozol</t>
    <phoneticPr fontId="1" type="noConversion"/>
  </si>
  <si>
    <t>pantoprazol sodium</t>
    <phoneticPr fontId="1" type="noConversion"/>
  </si>
  <si>
    <t>lisino</t>
    <phoneticPr fontId="1" type="noConversion"/>
  </si>
  <si>
    <t>loratadine</t>
    <phoneticPr fontId="1" type="noConversion"/>
  </si>
  <si>
    <t>diclophologont 50</t>
    <phoneticPr fontId="1" type="noConversion"/>
  </si>
  <si>
    <t>Antihypertonika, Diuretika Kombi</t>
    <phoneticPr fontId="1" type="noConversion"/>
  </si>
  <si>
    <t>tegretal</t>
    <phoneticPr fontId="1" type="noConversion"/>
  </si>
  <si>
    <t>voltaren resinat</t>
    <phoneticPr fontId="1" type="noConversion"/>
  </si>
  <si>
    <t>magnesium</t>
    <phoneticPr fontId="1" type="noConversion"/>
  </si>
  <si>
    <t>1Df/d</t>
    <phoneticPr fontId="1" type="noConversion"/>
  </si>
  <si>
    <t>1Df/f</t>
    <phoneticPr fontId="1" type="noConversion"/>
  </si>
  <si>
    <t>oxazepam</t>
    <phoneticPr fontId="1" type="noConversion"/>
  </si>
  <si>
    <t>betazolidin</t>
    <phoneticPr fontId="1" type="noConversion"/>
  </si>
  <si>
    <t>phenylbutazone</t>
    <phoneticPr fontId="1" type="noConversion"/>
  </si>
  <si>
    <t>lasix</t>
    <phoneticPr fontId="1" type="noConversion"/>
  </si>
  <si>
    <t>nifedipine</t>
    <phoneticPr fontId="1" type="noConversion"/>
  </si>
  <si>
    <t>diclofenac sodium</t>
    <phoneticPr fontId="1" type="noConversion"/>
  </si>
  <si>
    <t>xyloneural</t>
    <phoneticPr fontId="1" type="noConversion"/>
  </si>
  <si>
    <t>lidocaine hydrochloride</t>
    <phoneticPr fontId="1" type="noConversion"/>
  </si>
  <si>
    <t>brexidol</t>
    <phoneticPr fontId="1" type="noConversion"/>
  </si>
  <si>
    <t>piroxicam</t>
    <phoneticPr fontId="1" type="noConversion"/>
  </si>
  <si>
    <t>salbutamol</t>
    <phoneticPr fontId="1" type="noConversion"/>
  </si>
  <si>
    <t>amoxicillin</t>
    <phoneticPr fontId="1" type="noConversion"/>
  </si>
  <si>
    <t>amoxicillin</t>
    <phoneticPr fontId="1" type="noConversion"/>
  </si>
  <si>
    <t>ulcer therapeutic agents</t>
    <phoneticPr fontId="1" type="noConversion"/>
  </si>
  <si>
    <t>allopurinol</t>
    <phoneticPr fontId="1" type="noConversion"/>
  </si>
  <si>
    <t>diclofenac sodium</t>
    <phoneticPr fontId="1" type="noConversion"/>
  </si>
  <si>
    <t>lidocaine hydrochloride, ceftriaxone sodium</t>
    <phoneticPr fontId="1" type="noConversion"/>
  </si>
  <si>
    <t>rocephin</t>
    <phoneticPr fontId="1" type="noConversion"/>
  </si>
  <si>
    <t>ceftriaxone sodium</t>
    <phoneticPr fontId="1" type="noConversion"/>
  </si>
  <si>
    <t>antidots</t>
    <phoneticPr fontId="1" type="noConversion"/>
  </si>
  <si>
    <t>tracutil</t>
    <phoneticPr fontId="1" type="noConversion"/>
  </si>
  <si>
    <t>voltaren dispers</t>
    <phoneticPr fontId="1" type="noConversion"/>
  </si>
  <si>
    <t>diclofenac sodium</t>
    <phoneticPr fontId="1" type="noConversion"/>
  </si>
  <si>
    <t>1Df/d</t>
    <phoneticPr fontId="1" type="noConversion"/>
  </si>
  <si>
    <t>1Df/d</t>
    <phoneticPr fontId="1" type="noConversion"/>
  </si>
  <si>
    <t>beloc-zok mite</t>
    <phoneticPr fontId="1" type="noConversion"/>
  </si>
  <si>
    <t>95mg/d</t>
    <phoneticPr fontId="1" type="noConversion"/>
  </si>
  <si>
    <t>beloc-zok</t>
    <phoneticPr fontId="1" type="noConversion"/>
  </si>
  <si>
    <t>2Df/d</t>
    <phoneticPr fontId="1" type="noConversion"/>
  </si>
  <si>
    <t>lidocaine hydrochloride, titanium dioxide, bismuth subgallate, bufexamac</t>
    <phoneticPr fontId="1" type="noConversion"/>
  </si>
  <si>
    <t>metfogamma</t>
    <phoneticPr fontId="1" type="noConversion"/>
  </si>
  <si>
    <t>850mg</t>
    <phoneticPr fontId="1" type="noConversion"/>
  </si>
  <si>
    <t>vaccination</t>
    <phoneticPr fontId="1" type="noConversion"/>
  </si>
  <si>
    <t>metformin</t>
    <phoneticPr fontId="1" type="noConversion"/>
  </si>
  <si>
    <t>paracetamol</t>
    <phoneticPr fontId="1" type="noConversion"/>
  </si>
  <si>
    <t>500mg</t>
    <phoneticPr fontId="1" type="noConversion"/>
  </si>
  <si>
    <t>calcium</t>
    <phoneticPr fontId="1" type="noConversion"/>
  </si>
  <si>
    <t>calcium gluconate</t>
    <phoneticPr fontId="1" type="noConversion"/>
  </si>
  <si>
    <t>catapresan</t>
    <phoneticPr fontId="1" type="noConversion"/>
  </si>
  <si>
    <t>clonidine</t>
    <phoneticPr fontId="1" type="noConversion"/>
  </si>
  <si>
    <t>atrovent</t>
    <phoneticPr fontId="1" type="noConversion"/>
  </si>
  <si>
    <t>hydrokortison</t>
    <phoneticPr fontId="1" type="noConversion"/>
  </si>
  <si>
    <t>hydrocortisone</t>
    <phoneticPr fontId="1" type="noConversion"/>
  </si>
  <si>
    <t>klean-prep</t>
    <phoneticPr fontId="1" type="noConversion"/>
  </si>
  <si>
    <t>Natriumbikarbonat</t>
    <phoneticPr fontId="1" type="noConversion"/>
  </si>
  <si>
    <t>sodium bicarbonate</t>
    <phoneticPr fontId="1" type="noConversion"/>
  </si>
  <si>
    <t>metamizole sodium</t>
    <phoneticPr fontId="1" type="noConversion"/>
  </si>
  <si>
    <t>oxygen</t>
    <phoneticPr fontId="1" type="noConversion"/>
  </si>
  <si>
    <t>4l/d</t>
    <phoneticPr fontId="1" type="noConversion"/>
  </si>
  <si>
    <t>synacthen</t>
    <phoneticPr fontId="1" type="noConversion"/>
  </si>
  <si>
    <t>tetracosactide</t>
    <phoneticPr fontId="1" type="noConversion"/>
  </si>
  <si>
    <t>diclofenac</t>
    <phoneticPr fontId="1" type="noConversion"/>
  </si>
  <si>
    <t>ass</t>
    <phoneticPr fontId="1" type="noConversion"/>
  </si>
  <si>
    <t>imurek</t>
    <phoneticPr fontId="1" type="noConversion"/>
  </si>
  <si>
    <t>azathioprine</t>
    <phoneticPr fontId="1" type="noConversion"/>
  </si>
  <si>
    <t>benzodiazepine</t>
    <phoneticPr fontId="1" type="noConversion"/>
  </si>
  <si>
    <t>metoprolol succinate</t>
    <phoneticPr fontId="1" type="noConversion"/>
  </si>
  <si>
    <t>beloc-zok mite</t>
    <phoneticPr fontId="1" type="noConversion"/>
  </si>
  <si>
    <t>immunosuppressives</t>
    <phoneticPr fontId="1" type="noConversion"/>
  </si>
  <si>
    <t>ben-u-ron</t>
    <phoneticPr fontId="1" type="noConversion"/>
  </si>
  <si>
    <t>3d</t>
    <phoneticPr fontId="1" type="noConversion"/>
  </si>
  <si>
    <t>2d</t>
    <phoneticPr fontId="1" type="noConversion"/>
  </si>
  <si>
    <t>7d</t>
    <phoneticPr fontId="1" type="noConversion"/>
  </si>
  <si>
    <t>3lu/d</t>
    <phoneticPr fontId="1" type="noConversion"/>
  </si>
  <si>
    <t>1Df/d</t>
    <phoneticPr fontId="1" type="noConversion"/>
  </si>
  <si>
    <t>dibro-be mono</t>
    <phoneticPr fontId="1" type="noConversion"/>
  </si>
  <si>
    <t>60Gtt/d</t>
    <phoneticPr fontId="1" type="noConversion"/>
  </si>
  <si>
    <t>Natriumchlorid</t>
    <phoneticPr fontId="1" type="noConversion"/>
  </si>
  <si>
    <t>9d</t>
    <phoneticPr fontId="1" type="noConversion"/>
  </si>
  <si>
    <t>liquemin</t>
    <phoneticPr fontId="1" type="noConversion"/>
  </si>
  <si>
    <t>heparin</t>
    <phoneticPr fontId="1" type="noConversion"/>
  </si>
  <si>
    <t>2,5Kiu/d</t>
    <phoneticPr fontId="1" type="noConversion"/>
  </si>
  <si>
    <t>isoket</t>
    <phoneticPr fontId="1" type="noConversion"/>
  </si>
  <si>
    <t>2Df/d</t>
    <phoneticPr fontId="1" type="noConversion"/>
  </si>
  <si>
    <t>100mg/d</t>
    <phoneticPr fontId="1" type="noConversion"/>
  </si>
  <si>
    <t>fraxiparin</t>
    <phoneticPr fontId="1" type="noConversion"/>
  </si>
  <si>
    <t>diazepam</t>
    <phoneticPr fontId="1" type="noConversion"/>
  </si>
  <si>
    <t>10mg/d</t>
    <phoneticPr fontId="1" type="noConversion"/>
  </si>
  <si>
    <t>zentropil</t>
    <phoneticPr fontId="1" type="noConversion"/>
  </si>
  <si>
    <t>cetirizine hydrochloride</t>
    <phoneticPr fontId="1" type="noConversion"/>
  </si>
  <si>
    <t>10mg/d</t>
    <phoneticPr fontId="1" type="noConversion"/>
  </si>
  <si>
    <t>quantalan</t>
    <phoneticPr fontId="1" type="noConversion"/>
  </si>
  <si>
    <t>colestyramine</t>
    <phoneticPr fontId="1" type="noConversion"/>
  </si>
  <si>
    <t>diclofenac</t>
    <phoneticPr fontId="1" type="noConversion"/>
  </si>
  <si>
    <t>triamterene, hydrochlorothiazide</t>
    <phoneticPr fontId="1" type="noConversion"/>
  </si>
  <si>
    <t>korodin</t>
    <phoneticPr fontId="1" type="noConversion"/>
  </si>
  <si>
    <t>allvoran</t>
    <phoneticPr fontId="1" type="noConversion"/>
  </si>
  <si>
    <t>voltaren</t>
    <phoneticPr fontId="1" type="noConversion"/>
  </si>
  <si>
    <t>acc 200</t>
    <phoneticPr fontId="1" type="noConversion"/>
  </si>
  <si>
    <t>acetylcysteine</t>
    <phoneticPr fontId="1" type="noConversion"/>
  </si>
  <si>
    <t>globocef</t>
    <phoneticPr fontId="1" type="noConversion"/>
  </si>
  <si>
    <t>kava-kava rhizoma</t>
    <phoneticPr fontId="1" type="noConversion"/>
  </si>
  <si>
    <t>45mg/d</t>
    <phoneticPr fontId="1" type="noConversion"/>
  </si>
  <si>
    <t>luminal</t>
    <phoneticPr fontId="1" type="noConversion"/>
  </si>
  <si>
    <t>phenobarbital</t>
    <phoneticPr fontId="1" type="noConversion"/>
  </si>
  <si>
    <t>600ml/d</t>
    <phoneticPr fontId="1" type="noConversion"/>
  </si>
  <si>
    <t>Antihypertonikum, Antihistaminika Kombi</t>
    <phoneticPr fontId="1" type="noConversion"/>
  </si>
  <si>
    <t>doxepin hydrochloride</t>
    <phoneticPr fontId="1" type="noConversion"/>
  </si>
  <si>
    <t>pk-merz</t>
    <phoneticPr fontId="1" type="noConversion"/>
  </si>
  <si>
    <t>diclofenac</t>
    <phoneticPr fontId="1" type="noConversion"/>
  </si>
  <si>
    <t>dobutamin</t>
    <phoneticPr fontId="1" type="noConversion"/>
  </si>
  <si>
    <t>1d</t>
    <phoneticPr fontId="1" type="noConversion"/>
  </si>
  <si>
    <t>euphylong</t>
    <phoneticPr fontId="1" type="noConversion"/>
  </si>
  <si>
    <t>1d</t>
    <phoneticPr fontId="1" type="noConversion"/>
  </si>
  <si>
    <t>fenta</t>
    <phoneticPr fontId="1" type="noConversion"/>
  </si>
  <si>
    <t>myocholine</t>
    <phoneticPr fontId="1" type="noConversion"/>
  </si>
  <si>
    <t>75mg/d</t>
    <phoneticPr fontId="1" type="noConversion"/>
  </si>
  <si>
    <t>NaCl</t>
    <phoneticPr fontId="1" type="noConversion"/>
  </si>
  <si>
    <t>sodium chloride</t>
    <phoneticPr fontId="1" type="noConversion"/>
  </si>
  <si>
    <t>500ml</t>
    <phoneticPr fontId="1" type="noConversion"/>
  </si>
  <si>
    <t>7d</t>
    <phoneticPr fontId="1" type="noConversion"/>
  </si>
  <si>
    <t>80Gtt/d</t>
    <phoneticPr fontId="1" type="noConversion"/>
  </si>
  <si>
    <t>122d</t>
    <phoneticPr fontId="1" type="noConversion"/>
  </si>
  <si>
    <t>pantozol</t>
  </si>
  <si>
    <t>diclofenac</t>
    <phoneticPr fontId="1" type="noConversion"/>
  </si>
  <si>
    <t>50mg</t>
    <phoneticPr fontId="1" type="noConversion"/>
  </si>
  <si>
    <t>5mg</t>
    <phoneticPr fontId="1" type="noConversion"/>
  </si>
  <si>
    <t>actos</t>
    <phoneticPr fontId="1" type="noConversion"/>
  </si>
  <si>
    <t>pioglitazone</t>
    <phoneticPr fontId="1" type="noConversion"/>
  </si>
  <si>
    <t>30mg</t>
    <phoneticPr fontId="1" type="noConversion"/>
  </si>
  <si>
    <t>lisinopril</t>
  </si>
  <si>
    <t>2d</t>
    <phoneticPr fontId="1" type="noConversion"/>
  </si>
  <si>
    <t>phenytoin</t>
  </si>
  <si>
    <t>pres</t>
    <phoneticPr fontId="1" type="noConversion"/>
  </si>
  <si>
    <t>prostigmin</t>
    <phoneticPr fontId="1" type="noConversion"/>
  </si>
  <si>
    <t>solosin</t>
    <phoneticPr fontId="1" type="noConversion"/>
  </si>
  <si>
    <t>2d</t>
    <phoneticPr fontId="1" type="noConversion"/>
  </si>
  <si>
    <t>thomaejonin</t>
    <phoneticPr fontId="1" type="noConversion"/>
  </si>
  <si>
    <t>metformin hydrochloride</t>
    <phoneticPr fontId="1" type="noConversion"/>
  </si>
  <si>
    <t>allopurinol 300mg</t>
    <phoneticPr fontId="1" type="noConversion"/>
  </si>
  <si>
    <t>enahexal</t>
    <phoneticPr fontId="1" type="noConversion"/>
  </si>
  <si>
    <t>pantoprazole</t>
    <phoneticPr fontId="1" type="noConversion"/>
  </si>
  <si>
    <t>riopan</t>
  </si>
  <si>
    <t>magaldrate</t>
  </si>
  <si>
    <t>solidaginis extract</t>
    <phoneticPr fontId="1" type="noConversion"/>
  </si>
  <si>
    <t>acetylsalicylic acid</t>
    <phoneticPr fontId="1" type="noConversion"/>
  </si>
  <si>
    <t>100mg/d</t>
    <phoneticPr fontId="1" type="noConversion"/>
  </si>
  <si>
    <t>7d</t>
    <phoneticPr fontId="1" type="noConversion"/>
  </si>
  <si>
    <t>amiodarone</t>
    <phoneticPr fontId="1" type="noConversion"/>
  </si>
  <si>
    <t>xanef</t>
    <phoneticPr fontId="1" type="noConversion"/>
  </si>
  <si>
    <t>altinsulin</t>
    <phoneticPr fontId="1" type="noConversion"/>
  </si>
  <si>
    <t>eunerpan</t>
    <phoneticPr fontId="1" type="noConversion"/>
  </si>
  <si>
    <t>melperone</t>
    <phoneticPr fontId="1" type="noConversion"/>
  </si>
  <si>
    <t>irenat</t>
    <phoneticPr fontId="1" type="noConversion"/>
  </si>
  <si>
    <t>frisium</t>
    <phoneticPr fontId="1" type="noConversion"/>
  </si>
  <si>
    <t>clobazam</t>
    <phoneticPr fontId="1" type="noConversion"/>
  </si>
  <si>
    <t>acetylsalicylic acid</t>
    <phoneticPr fontId="1" type="noConversion"/>
  </si>
  <si>
    <t>enalapril</t>
    <phoneticPr fontId="1" type="noConversion"/>
  </si>
  <si>
    <t>benalapril</t>
    <phoneticPr fontId="1" type="noConversion"/>
  </si>
  <si>
    <t>1027d</t>
    <phoneticPr fontId="1" type="noConversion"/>
  </si>
  <si>
    <t>cefuroxime axetil</t>
    <phoneticPr fontId="1" type="noConversion"/>
  </si>
  <si>
    <t>50mg/d</t>
    <phoneticPr fontId="1" type="noConversion"/>
  </si>
  <si>
    <t>cetirizine hydrochloride</t>
    <phoneticPr fontId="1" type="noConversion"/>
  </si>
  <si>
    <t>ciprobay</t>
    <phoneticPr fontId="1" type="noConversion"/>
  </si>
  <si>
    <t>cotrim forte heumann</t>
    <phoneticPr fontId="1" type="noConversion"/>
  </si>
  <si>
    <t>diclofenac</t>
    <phoneticPr fontId="1" type="noConversion"/>
  </si>
  <si>
    <t>uniphyllin</t>
    <phoneticPr fontId="1" type="noConversion"/>
  </si>
  <si>
    <t>theophyllin</t>
    <phoneticPr fontId="1" type="noConversion"/>
  </si>
  <si>
    <t>150mg/d</t>
    <phoneticPr fontId="1" type="noConversion"/>
  </si>
  <si>
    <t>ambene</t>
    <phoneticPr fontId="1" type="noConversion"/>
  </si>
  <si>
    <t>enalapril maleate</t>
    <phoneticPr fontId="1" type="noConversion"/>
  </si>
  <si>
    <t>2,5mg/d</t>
    <phoneticPr fontId="1" type="noConversion"/>
  </si>
  <si>
    <t>1Df/a</t>
    <phoneticPr fontId="1" type="noConversion"/>
  </si>
  <si>
    <t>kaliumchloridlösung</t>
    <phoneticPr fontId="1" type="noConversion"/>
  </si>
  <si>
    <t>HIV medications</t>
    <phoneticPr fontId="1" type="noConversion"/>
  </si>
  <si>
    <t>pres 2,5mg</t>
    <phoneticPr fontId="1" type="noConversion"/>
  </si>
  <si>
    <t>diclophlogont-50</t>
    <phoneticPr fontId="1" type="noConversion"/>
  </si>
  <si>
    <t>hydrochlorothiazide</t>
    <phoneticPr fontId="1" type="noConversion"/>
  </si>
  <si>
    <t>diclofenac ratiopharm sf</t>
    <phoneticPr fontId="1" type="noConversion"/>
  </si>
  <si>
    <t>paracetamol</t>
    <phoneticPr fontId="1" type="noConversion"/>
  </si>
  <si>
    <t>enalapril maleate</t>
    <phoneticPr fontId="1" type="noConversion"/>
  </si>
  <si>
    <t>cortisone</t>
    <phoneticPr fontId="1" type="noConversion"/>
  </si>
  <si>
    <t>diclofenac sodium</t>
    <phoneticPr fontId="1" type="noConversion"/>
  </si>
  <si>
    <t>2d</t>
    <phoneticPr fontId="1" type="noConversion"/>
  </si>
  <si>
    <t>voltaren resinat</t>
    <phoneticPr fontId="1" type="noConversion"/>
  </si>
  <si>
    <t>diclofenac resinate</t>
    <phoneticPr fontId="1" type="noConversion"/>
  </si>
  <si>
    <t>sodium acetate, potassium chloride, sodium chloride, magnesium chloride hexahydrate, calcium chloride dihydrate</t>
    <phoneticPr fontId="1" type="noConversion"/>
  </si>
  <si>
    <t>minerals nos</t>
    <phoneticPr fontId="1" type="noConversion"/>
  </si>
  <si>
    <t>saroten</t>
    <phoneticPr fontId="1" type="noConversion"/>
  </si>
  <si>
    <t>other general symptoms</t>
    <phoneticPr fontId="1" type="noConversion"/>
  </si>
  <si>
    <t>allergic rhinitis due to other allergen</t>
    <phoneticPr fontId="1" type="noConversion"/>
  </si>
  <si>
    <t>oesophagitis NOS</t>
    <phoneticPr fontId="1" type="noConversion"/>
  </si>
  <si>
    <t>gout</t>
    <phoneticPr fontId="1" type="noConversion"/>
  </si>
  <si>
    <t>allergic asthma</t>
    <phoneticPr fontId="1" type="noConversion"/>
  </si>
  <si>
    <t>congwative heart failure</t>
    <phoneticPr fontId="1" type="noConversion"/>
  </si>
  <si>
    <t>osteoarthrosis</t>
    <phoneticPr fontId="1" type="noConversion"/>
  </si>
  <si>
    <t>presenile dementia</t>
    <phoneticPr fontId="1" type="noConversion"/>
  </si>
  <si>
    <t>renal failure</t>
    <phoneticPr fontId="1" type="noConversion"/>
  </si>
  <si>
    <t>f</t>
    <phoneticPr fontId="1" type="noConversion"/>
  </si>
  <si>
    <t>f</t>
    <phoneticPr fontId="1" type="noConversion"/>
  </si>
  <si>
    <t>nystatin</t>
    <phoneticPr fontId="1" type="noConversion"/>
  </si>
  <si>
    <t>sodium phosphate, monobasic (anhydrate), potassium sorbate, disodium hydrogenorthophosphat</t>
    <phoneticPr fontId="1" type="noConversion"/>
  </si>
  <si>
    <t>300mg/d</t>
    <phoneticPr fontId="1" type="noConversion"/>
  </si>
  <si>
    <t>54d</t>
    <phoneticPr fontId="1" type="noConversion"/>
  </si>
  <si>
    <t>novalgin</t>
    <phoneticPr fontId="1" type="noConversion"/>
  </si>
  <si>
    <t>metamizole</t>
    <phoneticPr fontId="1" type="noConversion"/>
  </si>
  <si>
    <t>novalgin injektionslösung</t>
    <phoneticPr fontId="1" type="noConversion"/>
  </si>
  <si>
    <t>novalgin tropfen</t>
    <phoneticPr fontId="1" type="noConversion"/>
  </si>
  <si>
    <t>25Gtt/d</t>
    <phoneticPr fontId="1" type="noConversion"/>
  </si>
  <si>
    <t>deficiency of Vitamin K</t>
    <phoneticPr fontId="1" type="noConversion"/>
  </si>
  <si>
    <t>20mg/d</t>
    <phoneticPr fontId="1" type="noConversion"/>
  </si>
  <si>
    <t>ringer</t>
    <phoneticPr fontId="1" type="noConversion"/>
  </si>
  <si>
    <t>colchicin</t>
    <phoneticPr fontId="1" type="noConversion"/>
  </si>
  <si>
    <t>1,2mg</t>
    <phoneticPr fontId="1" type="noConversion"/>
  </si>
  <si>
    <t>4d</t>
    <phoneticPr fontId="1" type="noConversion"/>
  </si>
  <si>
    <t>1,3mg</t>
    <phoneticPr fontId="1" type="noConversion"/>
  </si>
  <si>
    <t>300mg/d</t>
    <phoneticPr fontId="1" type="noConversion"/>
  </si>
  <si>
    <t>2,5mg/d</t>
    <phoneticPr fontId="1" type="noConversion"/>
  </si>
  <si>
    <t>delix plus</t>
    <phoneticPr fontId="1" type="noConversion"/>
  </si>
  <si>
    <t>18d</t>
    <phoneticPr fontId="1" type="noConversion"/>
  </si>
  <si>
    <t>30Df/d</t>
    <phoneticPr fontId="1" type="noConversion"/>
  </si>
  <si>
    <t>100mg/d</t>
    <phoneticPr fontId="1" type="noConversion"/>
  </si>
  <si>
    <t>11d</t>
    <phoneticPr fontId="1" type="noConversion"/>
  </si>
  <si>
    <t>sodium picosulfate</t>
  </si>
  <si>
    <t>lactulose</t>
    <phoneticPr fontId="1" type="noConversion"/>
  </si>
  <si>
    <t>9d</t>
    <phoneticPr fontId="1" type="noConversion"/>
  </si>
  <si>
    <t>neurontin</t>
    <phoneticPr fontId="1" type="noConversion"/>
  </si>
  <si>
    <t>esomeprazole</t>
    <phoneticPr fontId="1" type="noConversion"/>
  </si>
  <si>
    <t>3Df/d</t>
    <phoneticPr fontId="1" type="noConversion"/>
  </si>
  <si>
    <t>10d</t>
    <phoneticPr fontId="1" type="noConversion"/>
  </si>
  <si>
    <t>5mg/d</t>
    <phoneticPr fontId="1" type="noConversion"/>
  </si>
  <si>
    <t>dexa-gentamicin augentropfen</t>
    <phoneticPr fontId="1" type="noConversion"/>
  </si>
  <si>
    <t>insulin isophane human biosynthetic</t>
    <phoneticPr fontId="1" type="noConversion"/>
  </si>
  <si>
    <t>orfiril "desitin"</t>
    <phoneticPr fontId="1" type="noConversion"/>
  </si>
  <si>
    <t>600mg</t>
    <phoneticPr fontId="1" type="noConversion"/>
  </si>
  <si>
    <t>20mg/d</t>
    <phoneticPr fontId="1" type="noConversion"/>
  </si>
  <si>
    <t>24d</t>
    <phoneticPr fontId="1" type="noConversion"/>
  </si>
  <si>
    <t>6d</t>
    <phoneticPr fontId="1" type="noConversion"/>
  </si>
  <si>
    <t>gentamicin sulfate, dexamethasone sodium phosphate</t>
    <phoneticPr fontId="1" type="noConversion"/>
  </si>
  <si>
    <t>antithyroid</t>
    <phoneticPr fontId="1" type="noConversion"/>
  </si>
  <si>
    <t>carbimazol</t>
    <phoneticPr fontId="1" type="noConversion"/>
  </si>
  <si>
    <t>phenytoin</t>
    <phoneticPr fontId="1" type="noConversion"/>
  </si>
  <si>
    <t>zyrtec</t>
    <phoneticPr fontId="1" type="noConversion"/>
  </si>
  <si>
    <t>antiarrhythmic agents</t>
    <phoneticPr fontId="1" type="noConversion"/>
  </si>
  <si>
    <t>chloral hydrate</t>
    <phoneticPr fontId="1" type="noConversion"/>
  </si>
  <si>
    <t>1d</t>
    <phoneticPr fontId="1" type="noConversion"/>
  </si>
  <si>
    <t>paracetamol</t>
    <phoneticPr fontId="1" type="noConversion"/>
  </si>
  <si>
    <t>500mg/d</t>
    <phoneticPr fontId="1" type="noConversion"/>
  </si>
  <si>
    <t>ben-u-ron</t>
    <phoneticPr fontId="1" type="noConversion"/>
  </si>
  <si>
    <t>1000mg/d</t>
    <phoneticPr fontId="1" type="noConversion"/>
  </si>
  <si>
    <t>heparin sodium</t>
    <phoneticPr fontId="1" type="noConversion"/>
  </si>
  <si>
    <t>2mg/d</t>
    <phoneticPr fontId="1" type="noConversion"/>
  </si>
  <si>
    <t>kavacur</t>
    <phoneticPr fontId="1" type="noConversion"/>
  </si>
  <si>
    <t>amino acids nos, electrolytes nos, calcium chloride dihydrate, potassium chloride, acetylcysteine, sodium glycerophosphate, glucose monohydrate, glucose</t>
    <phoneticPr fontId="1" type="noConversion"/>
  </si>
  <si>
    <t>500ml</t>
    <phoneticPr fontId="1" type="noConversion"/>
  </si>
  <si>
    <t>5Gtt</t>
    <phoneticPr fontId="1" type="noConversion"/>
  </si>
  <si>
    <t>10Gtt</t>
    <phoneticPr fontId="1" type="noConversion"/>
  </si>
  <si>
    <t>manninil</t>
    <phoneticPr fontId="1" type="noConversion"/>
  </si>
  <si>
    <t>23d</t>
    <phoneticPr fontId="1" type="noConversion"/>
  </si>
  <si>
    <t>oral</t>
    <phoneticPr fontId="1" type="noConversion"/>
  </si>
  <si>
    <t>intramuscular</t>
    <phoneticPr fontId="1" type="noConversion"/>
  </si>
  <si>
    <t>oral</t>
    <phoneticPr fontId="1" type="noConversion"/>
  </si>
  <si>
    <t>intramuscular</t>
    <phoneticPr fontId="1" type="noConversion"/>
  </si>
  <si>
    <t>rectal</t>
    <phoneticPr fontId="1" type="noConversion"/>
  </si>
  <si>
    <t>22d</t>
    <phoneticPr fontId="1" type="noConversion"/>
  </si>
  <si>
    <t>other general symptoms</t>
    <phoneticPr fontId="1" type="noConversion"/>
  </si>
  <si>
    <t>other general symptoms</t>
    <phoneticPr fontId="1" type="noConversion"/>
  </si>
  <si>
    <t>essential hypertension; Antihypertonika</t>
    <phoneticPr fontId="1" type="noConversion"/>
  </si>
  <si>
    <t>acerbon</t>
    <phoneticPr fontId="1" type="noConversion"/>
  </si>
  <si>
    <t>doxycycline hyclate</t>
    <phoneticPr fontId="1" type="noConversion"/>
  </si>
  <si>
    <t>macrogol, sodium bicarbonate, sodium sulfate anhydrous, sodium chloride, potassium chloride</t>
    <phoneticPr fontId="1" type="noConversion"/>
  </si>
  <si>
    <t>voltaren</t>
    <phoneticPr fontId="1" type="noConversion"/>
  </si>
  <si>
    <t>1d</t>
    <phoneticPr fontId="1" type="noConversion"/>
  </si>
  <si>
    <t>diclofenac</t>
    <phoneticPr fontId="1" type="noConversion"/>
  </si>
  <si>
    <t>ascorvit</t>
    <phoneticPr fontId="1" type="noConversion"/>
  </si>
  <si>
    <t>ascorbic acid</t>
    <phoneticPr fontId="1" type="noConversion"/>
  </si>
  <si>
    <t>0,4ml/d</t>
    <phoneticPr fontId="1" type="noConversion"/>
  </si>
  <si>
    <t>fortecortin</t>
  </si>
  <si>
    <t>dexamethasone</t>
  </si>
  <si>
    <t>8mg</t>
    <phoneticPr fontId="1" type="noConversion"/>
  </si>
  <si>
    <t>32mg/d</t>
    <phoneticPr fontId="1" type="noConversion"/>
  </si>
  <si>
    <t>lefax</t>
    <phoneticPr fontId="1" type="noConversion"/>
  </si>
  <si>
    <t>lupus erytematosus; Zytostatika</t>
    <phoneticPr fontId="1" type="noConversion"/>
  </si>
  <si>
    <t>other specified disorders of skin</t>
    <phoneticPr fontId="1" type="noConversion"/>
  </si>
  <si>
    <t>26d</t>
    <phoneticPr fontId="1" type="noConversion"/>
  </si>
  <si>
    <t>2000mg</t>
    <phoneticPr fontId="1" type="noConversion"/>
  </si>
  <si>
    <t>saroten</t>
    <phoneticPr fontId="1" type="noConversion"/>
  </si>
  <si>
    <t>187d</t>
    <phoneticPr fontId="1" type="noConversion"/>
  </si>
  <si>
    <t>thioctacid</t>
    <phoneticPr fontId="1" type="noConversion"/>
  </si>
  <si>
    <t>sodium perchlorate</t>
    <phoneticPr fontId="1" type="noConversion"/>
  </si>
  <si>
    <t>heparin</t>
    <phoneticPr fontId="1" type="noConversion"/>
  </si>
  <si>
    <t>lasix</t>
    <phoneticPr fontId="1" type="noConversion"/>
  </si>
  <si>
    <t>acc</t>
    <phoneticPr fontId="1" type="noConversion"/>
  </si>
  <si>
    <t>insulin</t>
    <phoneticPr fontId="1" type="noConversion"/>
  </si>
  <si>
    <t>50lu/d</t>
    <phoneticPr fontId="1" type="noConversion"/>
  </si>
  <si>
    <t>norepinephrine hydrochloride</t>
    <phoneticPr fontId="1" type="noConversion"/>
  </si>
  <si>
    <t>ass</t>
    <phoneticPr fontId="1" type="noConversion"/>
  </si>
  <si>
    <t>xylitol</t>
    <phoneticPr fontId="1" type="noConversion"/>
  </si>
  <si>
    <t>candio-hermal</t>
    <phoneticPr fontId="1" type="noConversion"/>
  </si>
  <si>
    <t>corangin</t>
    <phoneticPr fontId="1" type="noConversion"/>
  </si>
  <si>
    <t>1Df</t>
    <phoneticPr fontId="1" type="noConversion"/>
  </si>
  <si>
    <t>96d</t>
    <phoneticPr fontId="1" type="noConversion"/>
  </si>
  <si>
    <t>euglucon</t>
    <phoneticPr fontId="1" type="noConversion"/>
  </si>
  <si>
    <t>dicofenac sodium</t>
    <phoneticPr fontId="1" type="noConversion"/>
  </si>
  <si>
    <t>amitriptyline</t>
    <phoneticPr fontId="1" type="noConversion"/>
  </si>
  <si>
    <t>valaciclovir</t>
    <phoneticPr fontId="1" type="noConversion"/>
  </si>
  <si>
    <t>Opioid</t>
    <phoneticPr fontId="1" type="noConversion"/>
  </si>
  <si>
    <t>sertraline</t>
    <phoneticPr fontId="1" type="noConversion"/>
  </si>
  <si>
    <t>piperacillin/tazobactam</t>
    <phoneticPr fontId="1" type="noConversion"/>
  </si>
  <si>
    <t>decortin</t>
    <phoneticPr fontId="1" type="noConversion"/>
  </si>
  <si>
    <t>elobact</t>
    <phoneticPr fontId="1" type="noConversion"/>
  </si>
  <si>
    <t>92d</t>
    <phoneticPr fontId="1" type="noConversion"/>
  </si>
  <si>
    <t>ferrosanol</t>
    <phoneticPr fontId="1" type="noConversion"/>
  </si>
  <si>
    <t>ferroglycine, sulfate complex</t>
    <phoneticPr fontId="1" type="noConversion"/>
  </si>
  <si>
    <t>rantudil forte</t>
    <phoneticPr fontId="1" type="noConversion"/>
  </si>
  <si>
    <t>2Df/d</t>
    <phoneticPr fontId="1" type="noConversion"/>
  </si>
  <si>
    <t>sedariston</t>
    <phoneticPr fontId="1" type="noConversion"/>
  </si>
  <si>
    <t>cefuroxime sodium</t>
    <phoneticPr fontId="1" type="noConversion"/>
  </si>
  <si>
    <t>cefuroxim</t>
    <phoneticPr fontId="1" type="noConversion"/>
  </si>
  <si>
    <t>valproate sodium</t>
    <phoneticPr fontId="1" type="noConversion"/>
  </si>
  <si>
    <t>dexamethasone, phenylbutazone, thiamine hydrochloride, cyanocobalamin, aluminium glycinate</t>
    <phoneticPr fontId="1" type="noConversion"/>
  </si>
  <si>
    <t>1mg/d</t>
    <phoneticPr fontId="1" type="noConversion"/>
  </si>
  <si>
    <t>10mg</t>
    <phoneticPr fontId="1" type="noConversion"/>
  </si>
  <si>
    <t>voltaren</t>
    <phoneticPr fontId="1" type="noConversion"/>
  </si>
  <si>
    <t>1Df/d</t>
    <phoneticPr fontId="1" type="noConversion"/>
  </si>
  <si>
    <t>metoprolol tartrate</t>
  </si>
  <si>
    <t>200mg</t>
    <phoneticPr fontId="1" type="noConversion"/>
  </si>
  <si>
    <t>timonil - slow release</t>
    <phoneticPr fontId="1" type="noConversion"/>
  </si>
  <si>
    <t>diclofenac sodium</t>
    <phoneticPr fontId="1" type="noConversion"/>
  </si>
  <si>
    <t>laxoberal</t>
    <phoneticPr fontId="1" type="noConversion"/>
  </si>
  <si>
    <t>pantoprazole sodium</t>
    <phoneticPr fontId="1" type="noConversion"/>
  </si>
  <si>
    <t>nexium mups 40mg</t>
    <phoneticPr fontId="1" type="noConversion"/>
  </si>
  <si>
    <t>80mg/d</t>
    <phoneticPr fontId="1" type="noConversion"/>
  </si>
  <si>
    <t>hyperlipidemia</t>
    <phoneticPr fontId="1" type="noConversion"/>
  </si>
  <si>
    <t>hypertension arterial</t>
    <phoneticPr fontId="1" type="noConversion"/>
  </si>
  <si>
    <t>thombophilia</t>
    <phoneticPr fontId="1" type="noConversion"/>
  </si>
  <si>
    <t>myomectomy</t>
    <phoneticPr fontId="1" type="noConversion"/>
  </si>
  <si>
    <t>familial risk factor</t>
    <phoneticPr fontId="1" type="noConversion"/>
  </si>
  <si>
    <t>comminuted fracture</t>
    <phoneticPr fontId="1" type="noConversion"/>
  </si>
  <si>
    <t>abrasion NOS</t>
    <phoneticPr fontId="1" type="noConversion"/>
  </si>
  <si>
    <t>heart racing, tachycardia paroxymal, endocarditis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</si>
  <si>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</si>
  <si>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</si>
  <si>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</si>
  <si>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</si>
  <si>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</si>
  <si>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</si>
  <si>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</si>
  <si>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</si>
  <si>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 - female</t>
    <phoneticPr fontId="1" type="noConversion"/>
  </si>
  <si>
    <t>hepatic coma</t>
    <phoneticPr fontId="1" type="noConversion"/>
  </si>
  <si>
    <t>pyrexia of unknown origin</t>
    <phoneticPr fontId="1" type="noConversion"/>
  </si>
  <si>
    <t>other general symtoms</t>
    <phoneticPr fontId="1" type="noConversion"/>
  </si>
  <si>
    <t>unspecific infectious and parasitic diseases</t>
    <phoneticPr fontId="1" type="noConversion"/>
  </si>
  <si>
    <t>encephalopathy</t>
    <phoneticPr fontId="1" type="noConversion"/>
  </si>
  <si>
    <t>topical</t>
    <phoneticPr fontId="1" type="noConversion"/>
  </si>
  <si>
    <t>NARRATIVE!!! Exact dates</t>
    <phoneticPr fontId="1" type="noConversion"/>
  </si>
  <si>
    <t>NARRATIV  -&gt; diclofenac one of the suspect drugs</t>
    <phoneticPr fontId="1" type="noConversion"/>
  </si>
  <si>
    <t>potasssium chloride, sodium chloride, sodium chloride compound injection, calcium chloride</t>
    <phoneticPr fontId="1" type="noConversion"/>
  </si>
  <si>
    <t>solu-decortin-h</t>
    <phoneticPr fontId="1" type="noConversion"/>
  </si>
  <si>
    <t>spiriva</t>
    <phoneticPr fontId="1" type="noConversion"/>
  </si>
  <si>
    <t>16d</t>
    <phoneticPr fontId="1" type="noConversion"/>
  </si>
  <si>
    <t>25mg/d</t>
    <phoneticPr fontId="1" type="noConversion"/>
  </si>
  <si>
    <t>8d</t>
    <phoneticPr fontId="1" type="noConversion"/>
  </si>
  <si>
    <t>2Df</t>
    <phoneticPr fontId="1" type="noConversion"/>
  </si>
  <si>
    <t>/d</t>
    <phoneticPr fontId="1" type="noConversion"/>
  </si>
  <si>
    <t>14d</t>
    <phoneticPr fontId="1" type="noConversion"/>
  </si>
  <si>
    <t>40mg/d</t>
    <phoneticPr fontId="1" type="noConversion"/>
  </si>
  <si>
    <t>gabapentin</t>
    <phoneticPr fontId="1" type="noConversion"/>
  </si>
  <si>
    <t>3d</t>
    <phoneticPr fontId="1" type="noConversion"/>
  </si>
  <si>
    <t>172d</t>
    <phoneticPr fontId="1" type="noConversion"/>
  </si>
  <si>
    <t>142d</t>
    <phoneticPr fontId="1" type="noConversion"/>
  </si>
  <si>
    <t>600d</t>
    <phoneticPr fontId="1" type="noConversion"/>
  </si>
  <si>
    <t>spiro</t>
    <phoneticPr fontId="1" type="noConversion"/>
  </si>
  <si>
    <t>3Df/d</t>
    <phoneticPr fontId="1" type="noConversion"/>
  </si>
  <si>
    <t>20mg</t>
    <phoneticPr fontId="1" type="noConversion"/>
  </si>
  <si>
    <t>protaphan</t>
    <phoneticPr fontId="1" type="noConversion"/>
  </si>
  <si>
    <t>buccal muccosal roughening</t>
    <phoneticPr fontId="1" type="noConversion"/>
  </si>
  <si>
    <t>NSAID; other general symptoms</t>
    <phoneticPr fontId="1" type="noConversion"/>
  </si>
  <si>
    <t>Opioid; other general symptoms</t>
    <phoneticPr fontId="1" type="noConversion"/>
  </si>
  <si>
    <t>Opioid; other general symptoms</t>
    <phoneticPr fontId="1" type="noConversion"/>
  </si>
  <si>
    <t>10mg/d</t>
    <phoneticPr fontId="1" type="noConversion"/>
  </si>
  <si>
    <t>beloc-zok mite</t>
    <phoneticPr fontId="1" type="noConversion"/>
  </si>
  <si>
    <t>47,5mg/d</t>
    <phoneticPr fontId="1" type="noConversion"/>
  </si>
  <si>
    <t>2Df/d</t>
    <phoneticPr fontId="1" type="noConversion"/>
  </si>
  <si>
    <t>rasilez</t>
    <phoneticPr fontId="1" type="noConversion"/>
  </si>
  <si>
    <t>carbimazole</t>
    <phoneticPr fontId="1" type="noConversion"/>
  </si>
  <si>
    <t>voltaren resinat</t>
    <phoneticPr fontId="1" type="noConversion"/>
  </si>
  <si>
    <t>macrogol, sodium bicarbonate, sodium chloride, potassium chloride</t>
    <phoneticPr fontId="1" type="noConversion"/>
  </si>
  <si>
    <t>movicol</t>
    <phoneticPr fontId="1" type="noConversion"/>
  </si>
  <si>
    <t>colecalciferol, calcium carbonate</t>
    <phoneticPr fontId="1" type="noConversion"/>
  </si>
  <si>
    <t>ibuprofen</t>
    <phoneticPr fontId="1" type="noConversion"/>
  </si>
  <si>
    <t>actrapid human</t>
    <phoneticPr fontId="1" type="noConversion"/>
  </si>
  <si>
    <t>6000mg</t>
    <phoneticPr fontId="1" type="noConversion"/>
  </si>
  <si>
    <t>faktu akut</t>
    <phoneticPr fontId="1" type="noConversion"/>
  </si>
  <si>
    <t>onset</t>
  </si>
  <si>
    <t>multibionta</t>
    <phoneticPr fontId="1" type="noConversion"/>
  </si>
  <si>
    <t>riboflavin, retinol palmitate, calcium panthotenate, rutoside, nicotinamide, ascorbin acid, pyridoxine, tocopheryl acetate, thiamine hydrochloride, cyanocobalamin)</t>
    <phoneticPr fontId="1" type="noConversion"/>
  </si>
  <si>
    <t>bethanechol</t>
    <phoneticPr fontId="1" type="noConversion"/>
  </si>
  <si>
    <t>oral</t>
    <phoneticPr fontId="1" type="noConversion"/>
  </si>
  <si>
    <t>oral</t>
    <phoneticPr fontId="1" type="noConversion"/>
  </si>
  <si>
    <t>alcohol dependence syndrome</t>
    <phoneticPr fontId="1" type="noConversion"/>
  </si>
  <si>
    <t>alcoholic fatty liver</t>
    <phoneticPr fontId="1" type="noConversion"/>
  </si>
  <si>
    <t>cardiac insuffiency, pericardial effusion</t>
    <phoneticPr fontId="1" type="noConversion"/>
  </si>
  <si>
    <t>TtO</t>
    <phoneticPr fontId="1" type="noConversion"/>
  </si>
  <si>
    <t>20d</t>
    <phoneticPr fontId="1" type="noConversion"/>
  </si>
  <si>
    <t>18d</t>
    <phoneticPr fontId="1" type="noConversion"/>
  </si>
  <si>
    <t>thromboembolism prophylaxis</t>
    <phoneticPr fontId="1" type="noConversion"/>
  </si>
  <si>
    <t>urinary tract infection</t>
    <phoneticPr fontId="1" type="noConversion"/>
  </si>
  <si>
    <t>other, mixed, or unspecific drug abuse</t>
    <phoneticPr fontId="1" type="noConversion"/>
  </si>
  <si>
    <t>hyperplasia of prostata</t>
    <phoneticPr fontId="1" type="noConversion"/>
  </si>
  <si>
    <t>abnormality of secretion of gastrin</t>
    <phoneticPr fontId="1" type="noConversion"/>
  </si>
  <si>
    <t>28d</t>
    <phoneticPr fontId="1" type="noConversion"/>
  </si>
  <si>
    <t>lumbago</t>
    <phoneticPr fontId="1" type="noConversion"/>
  </si>
  <si>
    <t>lumbago; NSAID</t>
    <phoneticPr fontId="1" type="noConversion"/>
  </si>
  <si>
    <t>frequency of urination and polyuria</t>
    <phoneticPr fontId="1" type="noConversion"/>
  </si>
  <si>
    <t>lupus erythematosus</t>
    <phoneticPr fontId="1" type="noConversion"/>
  </si>
  <si>
    <t>hypertension arterial</t>
    <phoneticPr fontId="1" type="noConversion"/>
  </si>
  <si>
    <t>osteoporosis</t>
    <phoneticPr fontId="1" type="noConversion"/>
  </si>
  <si>
    <t>hypertension arterial; Diuretikum, Antihypertonikum Kombi</t>
    <phoneticPr fontId="1" type="noConversion"/>
  </si>
  <si>
    <t>skin reaction</t>
    <phoneticPr fontId="1" type="noConversion"/>
  </si>
  <si>
    <t>simeticone</t>
    <phoneticPr fontId="1" type="noConversion"/>
  </si>
  <si>
    <t>2Df/d</t>
    <phoneticPr fontId="1" type="noConversion"/>
  </si>
  <si>
    <t>150mg</t>
    <phoneticPr fontId="1" type="noConversion"/>
  </si>
  <si>
    <t>14d</t>
    <phoneticPr fontId="1" type="noConversion"/>
  </si>
  <si>
    <t>Natriumchlorid</t>
    <phoneticPr fontId="1" type="noConversion"/>
  </si>
  <si>
    <t>sodium chloride</t>
    <phoneticPr fontId="1" type="noConversion"/>
  </si>
  <si>
    <t>novorapid</t>
    <phoneticPr fontId="1" type="noConversion"/>
  </si>
  <si>
    <t>600mg</t>
    <phoneticPr fontId="1" type="noConversion"/>
  </si>
  <si>
    <t>voltaren resinat</t>
    <phoneticPr fontId="1" type="noConversion"/>
  </si>
  <si>
    <t>25d</t>
    <phoneticPr fontId="1" type="noConversion"/>
  </si>
  <si>
    <t>xusal</t>
    <phoneticPr fontId="1" type="noConversion"/>
  </si>
  <si>
    <t>levoceterizine dihydrochloride</t>
    <phoneticPr fontId="1" type="noConversion"/>
  </si>
  <si>
    <t>xylit</t>
    <phoneticPr fontId="1" type="noConversion"/>
  </si>
  <si>
    <t>insulin aspart</t>
    <phoneticPr fontId="1" type="noConversion"/>
  </si>
  <si>
    <t>300mg/d</t>
    <phoneticPr fontId="1" type="noConversion"/>
  </si>
  <si>
    <t>Stevens-Johnson-Syndrome</t>
    <phoneticPr fontId="1" type="noConversion"/>
  </si>
  <si>
    <t>28d</t>
    <phoneticPr fontId="1" type="noConversion"/>
  </si>
  <si>
    <t>28d</t>
    <phoneticPr fontId="1" type="noConversion"/>
  </si>
  <si>
    <t>metohexal</t>
  </si>
  <si>
    <t>1Df/d</t>
    <phoneticPr fontId="1" type="noConversion"/>
  </si>
  <si>
    <t>oxybutynin</t>
    <phoneticPr fontId="1" type="noConversion"/>
  </si>
  <si>
    <t>prednisolon</t>
    <phoneticPr fontId="1" type="noConversion"/>
  </si>
  <si>
    <t>unspecific disorder of stomach and duodenum</t>
    <phoneticPr fontId="1" type="noConversion"/>
  </si>
  <si>
    <t>other unspecific symptoms and syndroms</t>
    <phoneticPr fontId="1" type="noConversion"/>
  </si>
  <si>
    <t>essential hypertension</t>
    <phoneticPr fontId="1" type="noConversion"/>
  </si>
  <si>
    <t>heart failure</t>
    <phoneticPr fontId="1" type="noConversion"/>
  </si>
  <si>
    <t>heart failure</t>
    <phoneticPr fontId="1" type="noConversion"/>
  </si>
  <si>
    <t>sleep disturbances</t>
    <phoneticPr fontId="1" type="noConversion"/>
  </si>
  <si>
    <t>0,3ml/d</t>
    <phoneticPr fontId="1" type="noConversion"/>
  </si>
  <si>
    <t>nadroparin calcium</t>
    <phoneticPr fontId="1" type="noConversion"/>
  </si>
  <si>
    <t>fraxiparin injlsg 0,3</t>
    <phoneticPr fontId="1" type="noConversion"/>
  </si>
  <si>
    <t>10800mg/d</t>
    <phoneticPr fontId="1" type="noConversion"/>
  </si>
  <si>
    <t>klysma</t>
    <phoneticPr fontId="1" type="noConversion"/>
  </si>
  <si>
    <t>amoxicillin/clavulanic acid</t>
    <phoneticPr fontId="1" type="noConversion"/>
  </si>
  <si>
    <t>ciprofloxacin</t>
    <phoneticPr fontId="1" type="noConversion"/>
  </si>
  <si>
    <t>cotrimoxazol</t>
  </si>
  <si>
    <t>etoricoxib</t>
    <phoneticPr fontId="1" type="noConversion"/>
  </si>
  <si>
    <t>NSAID</t>
    <phoneticPr fontId="1" type="noConversion"/>
  </si>
  <si>
    <t>19d</t>
    <phoneticPr fontId="1" type="noConversion"/>
  </si>
  <si>
    <t>pain in joint</t>
    <phoneticPr fontId="1" type="noConversion"/>
  </si>
  <si>
    <t>throat pain; Antidesindektiva Kombi</t>
    <phoneticPr fontId="1" type="noConversion"/>
  </si>
  <si>
    <t>hyperuricaemia</t>
    <phoneticPr fontId="1" type="noConversion"/>
  </si>
  <si>
    <t>gout</t>
    <phoneticPr fontId="1" type="noConversion"/>
  </si>
  <si>
    <t>gout</t>
    <phoneticPr fontId="1" type="noConversion"/>
  </si>
  <si>
    <t>asthma bronchial</t>
    <phoneticPr fontId="1" type="noConversion"/>
  </si>
  <si>
    <t>vasculitis</t>
    <phoneticPr fontId="1" type="noConversion"/>
  </si>
  <si>
    <t>33d</t>
    <phoneticPr fontId="1" type="noConversion"/>
  </si>
  <si>
    <t>reumatic fever</t>
    <phoneticPr fontId="1" type="noConversion"/>
  </si>
  <si>
    <t>loss of control of blood sugar</t>
    <phoneticPr fontId="1" type="noConversion"/>
  </si>
  <si>
    <t>dyspnoea exertional</t>
    <phoneticPr fontId="1" type="noConversion"/>
  </si>
  <si>
    <t>overweight, sudden hearing loss, dizziness, tooth extraction</t>
    <phoneticPr fontId="1" type="noConversion"/>
  </si>
  <si>
    <t>7d</t>
    <phoneticPr fontId="1" type="noConversion"/>
  </si>
  <si>
    <t>nutritional supplement</t>
    <phoneticPr fontId="1" type="noConversion"/>
  </si>
  <si>
    <t>pain</t>
    <phoneticPr fontId="1" type="noConversion"/>
  </si>
  <si>
    <t>COPD</t>
    <phoneticPr fontId="1" type="noConversion"/>
  </si>
  <si>
    <t>COPD</t>
    <phoneticPr fontId="1" type="noConversion"/>
  </si>
  <si>
    <t>Rash</t>
    <phoneticPr fontId="1" type="noConversion"/>
  </si>
  <si>
    <t>rash</t>
    <phoneticPr fontId="1" type="noConversion"/>
  </si>
  <si>
    <t>thrombosis prohphylaxis</t>
    <phoneticPr fontId="1" type="noConversion"/>
  </si>
  <si>
    <t>nausea</t>
    <phoneticPr fontId="1" type="noConversion"/>
  </si>
  <si>
    <t>hyperuricemia</t>
    <phoneticPr fontId="1" type="noConversion"/>
  </si>
  <si>
    <t>epilepsy</t>
    <phoneticPr fontId="1" type="noConversion"/>
  </si>
  <si>
    <t>drug allergy (Ibuprofen)</t>
    <phoneticPr fontId="1" type="noConversion"/>
  </si>
  <si>
    <t>intramuscular</t>
    <phoneticPr fontId="1" type="noConversion"/>
  </si>
  <si>
    <t>common cold syndrome</t>
    <phoneticPr fontId="1" type="noConversion"/>
  </si>
  <si>
    <t>common cold</t>
    <phoneticPr fontId="1" type="noConversion"/>
  </si>
  <si>
    <t>28d</t>
    <phoneticPr fontId="1" type="noConversion"/>
  </si>
  <si>
    <t>diabetic nephropathy</t>
    <phoneticPr fontId="1" type="noConversion"/>
  </si>
  <si>
    <t>1d</t>
    <phoneticPr fontId="1" type="noConversion"/>
  </si>
  <si>
    <t>podagra</t>
    <phoneticPr fontId="1" type="noConversion"/>
  </si>
  <si>
    <t>allergic reaction</t>
    <phoneticPr fontId="1" type="noConversion"/>
  </si>
  <si>
    <t>herpes NOS</t>
    <phoneticPr fontId="1" type="noConversion"/>
  </si>
  <si>
    <t>asthma bronchial</t>
    <phoneticPr fontId="1" type="noConversion"/>
  </si>
  <si>
    <t>hyperuricaemia</t>
    <phoneticPr fontId="1" type="noConversion"/>
  </si>
  <si>
    <t>embolism and thrombosis of unspecified site</t>
    <phoneticPr fontId="1" type="noConversion"/>
  </si>
  <si>
    <t>unspecific functional disorder of stomach</t>
    <phoneticPr fontId="1" type="noConversion"/>
  </si>
  <si>
    <t>oedema</t>
    <phoneticPr fontId="1" type="noConversion"/>
  </si>
  <si>
    <t>cirrhosis of liver without mention of alcohol</t>
    <phoneticPr fontId="1" type="noConversion"/>
  </si>
  <si>
    <t>Antazida; unspecific disorder of stomach</t>
    <phoneticPr fontId="1" type="noConversion"/>
  </si>
  <si>
    <t>tiotropium bromide</t>
    <phoneticPr fontId="1" type="noConversion"/>
  </si>
  <si>
    <t>sympal</t>
    <phoneticPr fontId="1" type="noConversion"/>
  </si>
  <si>
    <t>dexketoprofen</t>
    <phoneticPr fontId="1" type="noConversion"/>
  </si>
  <si>
    <t>phenytoin</t>
    <phoneticPr fontId="1" type="noConversion"/>
  </si>
  <si>
    <t>phenhydan</t>
    <phoneticPr fontId="1" type="noConversion"/>
  </si>
  <si>
    <t>2d</t>
    <phoneticPr fontId="1" type="noConversion"/>
  </si>
  <si>
    <t>Abführmittel (Laxantien); unspecific chronic liver disease without mention of alcohol</t>
    <phoneticPr fontId="1" type="noConversion"/>
  </si>
  <si>
    <t>drug dependence of morphine type</t>
    <phoneticPr fontId="1" type="noConversion"/>
  </si>
  <si>
    <t>rash/exanthema</t>
    <phoneticPr fontId="1" type="noConversion"/>
  </si>
  <si>
    <t>pyrexia/fever</t>
    <phoneticPr fontId="1" type="noConversion"/>
  </si>
  <si>
    <t>other and unspecified special symptoms and syndroms</t>
    <phoneticPr fontId="1" type="noConversion"/>
  </si>
  <si>
    <t>other and unspecified special symptoms and syndromes</t>
    <phoneticPr fontId="1" type="noConversion"/>
  </si>
  <si>
    <t>partial epilepsy with impairment of consciousness</t>
    <phoneticPr fontId="1" type="noConversion"/>
  </si>
  <si>
    <t>8d</t>
    <phoneticPr fontId="1" type="noConversion"/>
  </si>
  <si>
    <t>aliskiren</t>
    <phoneticPr fontId="1" type="noConversion"/>
  </si>
  <si>
    <t>1Df/d</t>
    <phoneticPr fontId="1" type="noConversion"/>
  </si>
  <si>
    <t>1,75mg</t>
    <phoneticPr fontId="1" type="noConversion"/>
  </si>
  <si>
    <t>fenistil (nch)</t>
    <phoneticPr fontId="1" type="noConversion"/>
  </si>
  <si>
    <t>antidiarrheals</t>
    <phoneticPr fontId="1" type="noConversion"/>
  </si>
  <si>
    <t>immodium</t>
    <phoneticPr fontId="1" type="noConversion"/>
  </si>
  <si>
    <t>loperamide hydrochloride</t>
    <phoneticPr fontId="1" type="noConversion"/>
  </si>
  <si>
    <t>intramin g</t>
    <phoneticPr fontId="1" type="noConversion"/>
  </si>
  <si>
    <t>clomipramine</t>
    <phoneticPr fontId="1" type="noConversion"/>
  </si>
  <si>
    <t>10mg</t>
    <phoneticPr fontId="1" type="noConversion"/>
  </si>
  <si>
    <t>6d</t>
    <phoneticPr fontId="1" type="noConversion"/>
  </si>
  <si>
    <t>trimipramin</t>
    <phoneticPr fontId="1" type="noConversion"/>
  </si>
  <si>
    <t>trimipramine</t>
    <phoneticPr fontId="1" type="noConversion"/>
  </si>
  <si>
    <t>amlodipine besilate</t>
    <phoneticPr fontId="1" type="noConversion"/>
  </si>
  <si>
    <t>5mg</t>
    <phoneticPr fontId="1" type="noConversion"/>
  </si>
  <si>
    <t>other specified hypertonic and atrophic condotions of skin</t>
    <phoneticPr fontId="1" type="noConversion"/>
  </si>
  <si>
    <t>low back pain</t>
    <phoneticPr fontId="1" type="noConversion"/>
  </si>
  <si>
    <t>route</t>
    <phoneticPr fontId="1" type="noConversion"/>
  </si>
  <si>
    <t>intramuskular</t>
    <phoneticPr fontId="1" type="noConversion"/>
  </si>
  <si>
    <t>cardiac insufficiency</t>
    <phoneticPr fontId="1" type="noConversion"/>
  </si>
  <si>
    <t>restlessness</t>
    <phoneticPr fontId="1" type="noConversion"/>
  </si>
  <si>
    <t>cardiac insufficiency</t>
    <phoneticPr fontId="1" type="noConversion"/>
  </si>
  <si>
    <t>liver failure</t>
    <phoneticPr fontId="1" type="noConversion"/>
  </si>
  <si>
    <t>intestinal operation</t>
    <phoneticPr fontId="1" type="noConversion"/>
  </si>
  <si>
    <t>pain, inflammation</t>
    <phoneticPr fontId="1" type="noConversion"/>
  </si>
  <si>
    <t>psoriasis</t>
    <phoneticPr fontId="1" type="noConversion"/>
  </si>
  <si>
    <t>common cold</t>
    <phoneticPr fontId="1" type="noConversion"/>
  </si>
  <si>
    <t>pharyngitis</t>
    <phoneticPr fontId="1" type="noConversion"/>
  </si>
  <si>
    <t>common cold, fever</t>
    <phoneticPr fontId="1" type="noConversion"/>
  </si>
  <si>
    <t>oral</t>
    <phoneticPr fontId="1" type="noConversion"/>
  </si>
  <si>
    <t>common cold</t>
    <phoneticPr fontId="1" type="noConversion"/>
  </si>
  <si>
    <t>antibiotic prophylaxis</t>
    <phoneticPr fontId="1" type="noConversion"/>
  </si>
  <si>
    <t>urinary tract infection</t>
    <phoneticPr fontId="1" type="noConversion"/>
  </si>
  <si>
    <t>nausea</t>
    <phoneticPr fontId="1" type="noConversion"/>
  </si>
  <si>
    <t>skin reaction</t>
    <phoneticPr fontId="1" type="noConversion"/>
  </si>
  <si>
    <t>pruritus</t>
    <phoneticPr fontId="1" type="noConversion"/>
  </si>
  <si>
    <t>pulmonary embolism, nasal disorder, COPD</t>
    <phoneticPr fontId="1" type="noConversion"/>
  </si>
  <si>
    <t>hypokalemia</t>
    <phoneticPr fontId="1" type="noConversion"/>
  </si>
  <si>
    <t>initial insomnia</t>
    <phoneticPr fontId="1" type="noConversion"/>
  </si>
  <si>
    <t>obstipation; Abfürhmittel(Laxantien)</t>
    <phoneticPr fontId="1" type="noConversion"/>
  </si>
  <si>
    <t>obstipation; Abführmittel</t>
    <phoneticPr fontId="1" type="noConversion"/>
  </si>
  <si>
    <t>prophylaxis against gastrointestinal ulcer</t>
  </si>
  <si>
    <t>further information</t>
    <phoneticPr fontId="1" type="noConversion"/>
  </si>
  <si>
    <t>21d</t>
    <phoneticPr fontId="1" type="noConversion"/>
  </si>
  <si>
    <t>thrombosos prophylaxis</t>
    <phoneticPr fontId="1" type="noConversion"/>
  </si>
  <si>
    <t>sciatica</t>
    <phoneticPr fontId="1" type="noConversion"/>
  </si>
  <si>
    <t>oral</t>
    <phoneticPr fontId="1" type="noConversion"/>
  </si>
  <si>
    <t>pain</t>
    <phoneticPr fontId="1" type="noConversion"/>
  </si>
  <si>
    <t>cystitis</t>
    <phoneticPr fontId="1" type="noConversion"/>
  </si>
  <si>
    <t>urinary infection</t>
    <phoneticPr fontId="1" type="noConversion"/>
  </si>
  <si>
    <t>synovitis and tenosynovitis</t>
    <phoneticPr fontId="1" type="noConversion"/>
  </si>
  <si>
    <t>other and specific conjunctivitis; Antibiotikum, Glucocorticoid Kombi</t>
    <phoneticPr fontId="1" type="noConversion"/>
  </si>
  <si>
    <t>39d</t>
    <phoneticPr fontId="1" type="noConversion"/>
  </si>
  <si>
    <t>other general symptoms</t>
    <phoneticPr fontId="1" type="noConversion"/>
  </si>
  <si>
    <t>parenteral nutrition</t>
    <phoneticPr fontId="1" type="noConversion"/>
  </si>
  <si>
    <t>sedation</t>
    <phoneticPr fontId="1" type="noConversion"/>
  </si>
  <si>
    <t>25mg</t>
    <phoneticPr fontId="1" type="noConversion"/>
  </si>
  <si>
    <t>other general symptoms; Opioid</t>
    <phoneticPr fontId="1" type="noConversion"/>
  </si>
  <si>
    <t>other general symptoms</t>
    <phoneticPr fontId="1" type="noConversion"/>
  </si>
  <si>
    <t>pulmonary embolism</t>
    <phoneticPr fontId="1" type="noConversion"/>
  </si>
  <si>
    <t>thrombosis</t>
    <phoneticPr fontId="1" type="noConversion"/>
  </si>
  <si>
    <t>embolism and thrombosis of unspecific site</t>
    <phoneticPr fontId="1" type="noConversion"/>
  </si>
  <si>
    <t>500mg</t>
    <phoneticPr fontId="1" type="noConversion"/>
  </si>
  <si>
    <t>prophylaxis</t>
    <phoneticPr fontId="1" type="noConversion"/>
  </si>
  <si>
    <t>infection</t>
    <phoneticPr fontId="1" type="noConversion"/>
  </si>
  <si>
    <t>drug use for unknown indication</t>
    <phoneticPr fontId="1" type="noConversion"/>
  </si>
  <si>
    <t>intestinal operation</t>
    <phoneticPr fontId="1" type="noConversion"/>
  </si>
  <si>
    <t>inflammation</t>
    <phoneticPr fontId="1" type="noConversion"/>
  </si>
  <si>
    <t>disorder of magnesium metabolism</t>
    <phoneticPr fontId="1" type="noConversion"/>
  </si>
  <si>
    <t>piperacillin,tazobactam</t>
    <phoneticPr fontId="1" type="noConversion"/>
  </si>
  <si>
    <t>phenoxymethylpenicillin</t>
    <phoneticPr fontId="1" type="noConversion"/>
  </si>
  <si>
    <t>imipenem</t>
    <phoneticPr fontId="1" type="noConversion"/>
  </si>
  <si>
    <t>imipenem</t>
    <phoneticPr fontId="1" type="noConversion"/>
  </si>
  <si>
    <t>hydroxychloroquine</t>
    <phoneticPr fontId="1" type="noConversion"/>
  </si>
  <si>
    <t>amoxicillin, clavulanic acid</t>
    <phoneticPr fontId="1" type="noConversion"/>
  </si>
  <si>
    <t>nausea and vomiting</t>
    <phoneticPr fontId="1" type="noConversion"/>
  </si>
  <si>
    <t>unspecific functional disorder of stomach</t>
    <phoneticPr fontId="1" type="noConversion"/>
  </si>
  <si>
    <t>hyperuricaemia</t>
    <phoneticPr fontId="1" type="noConversion"/>
  </si>
  <si>
    <t>coronary artherosclerosis</t>
    <phoneticPr fontId="1" type="noConversion"/>
  </si>
  <si>
    <t>fracture of femur</t>
    <phoneticPr fontId="1" type="noConversion"/>
  </si>
  <si>
    <t>duration</t>
    <phoneticPr fontId="1" type="noConversion"/>
  </si>
  <si>
    <t>Bechterew's disease</t>
    <phoneticPr fontId="1" type="noConversion"/>
  </si>
  <si>
    <t>Bechterew's disease</t>
    <phoneticPr fontId="1" type="noConversion"/>
  </si>
  <si>
    <t>Bechterew's disease</t>
    <phoneticPr fontId="1" type="noConversion"/>
  </si>
  <si>
    <t>hyperthyroidism</t>
    <phoneticPr fontId="1" type="noConversion"/>
  </si>
  <si>
    <t>heart insufficiency, apoplexy, cardiac failure congestive, myocardial infarction</t>
    <phoneticPr fontId="1" type="noConversion"/>
  </si>
  <si>
    <t>pruritus, exanthma</t>
    <phoneticPr fontId="1" type="noConversion"/>
  </si>
  <si>
    <t>pulmonary oedema</t>
    <phoneticPr fontId="1" type="noConversion"/>
  </si>
  <si>
    <t>gout, sleep disorder, anxiety disorder, arthritis, pain, oedema</t>
    <phoneticPr fontId="1" type="noConversion"/>
  </si>
  <si>
    <t>cardiac insufficiency</t>
    <phoneticPr fontId="1" type="noConversion"/>
  </si>
  <si>
    <t>edema</t>
    <phoneticPr fontId="1" type="noConversion"/>
  </si>
  <si>
    <t>constipation</t>
    <phoneticPr fontId="1" type="noConversion"/>
  </si>
  <si>
    <t>hyperuricaemia</t>
    <phoneticPr fontId="1" type="noConversion"/>
  </si>
  <si>
    <t>cardiac insufficiency</t>
    <phoneticPr fontId="1" type="noConversion"/>
  </si>
  <si>
    <t>enteroclysis</t>
    <phoneticPr fontId="1" type="noConversion"/>
  </si>
  <si>
    <t>blood sugar level fluctuation, hypokalemia</t>
    <phoneticPr fontId="1" type="noConversion"/>
  </si>
  <si>
    <t>epilepsy, volume depletion, poor peripheral circulation, pain, nausea, infection, bateraemia</t>
    <phoneticPr fontId="1" type="noConversion"/>
  </si>
  <si>
    <t>NARRATIVE -&gt; exact dates; diclofenac one of the suspect drugs</t>
    <phoneticPr fontId="1" type="noConversion"/>
  </si>
  <si>
    <t>25d</t>
    <phoneticPr fontId="1" type="noConversion"/>
  </si>
  <si>
    <t>27d</t>
    <phoneticPr fontId="1" type="noConversion"/>
  </si>
  <si>
    <t>pain</t>
    <phoneticPr fontId="1" type="noConversion"/>
  </si>
  <si>
    <t>thrombsis prophylaxis</t>
    <phoneticPr fontId="1" type="noConversion"/>
  </si>
  <si>
    <t>hypothyroidism</t>
    <phoneticPr fontId="1" type="noConversion"/>
  </si>
  <si>
    <t>hypothyroidism</t>
    <phoneticPr fontId="1" type="noConversion"/>
  </si>
  <si>
    <t>constipation</t>
    <phoneticPr fontId="1" type="noConversion"/>
  </si>
  <si>
    <t>bowel discomfort; Abführmittel</t>
    <phoneticPr fontId="1" type="noConversion"/>
  </si>
  <si>
    <t>Antazida</t>
    <phoneticPr fontId="1" type="noConversion"/>
  </si>
  <si>
    <t>epilepsy grand mal</t>
    <phoneticPr fontId="1" type="noConversion"/>
  </si>
  <si>
    <t>embolism and thrombosis of unspecified site</t>
    <phoneticPr fontId="1" type="noConversion"/>
  </si>
  <si>
    <t>epilepsy</t>
    <phoneticPr fontId="1" type="noConversion"/>
  </si>
  <si>
    <t>cortisone</t>
    <phoneticPr fontId="1" type="noConversion"/>
  </si>
  <si>
    <t>100mg/d</t>
    <phoneticPr fontId="1" type="noConversion"/>
  </si>
  <si>
    <t>193mg/L</t>
    <phoneticPr fontId="1" type="noConversion"/>
  </si>
  <si>
    <t>13,12g/L</t>
    <phoneticPr fontId="1" type="noConversion"/>
  </si>
  <si>
    <t>7d</t>
    <phoneticPr fontId="1" type="noConversion"/>
  </si>
  <si>
    <t>intramuscular</t>
    <phoneticPr fontId="1" type="noConversion"/>
  </si>
  <si>
    <t>back pain</t>
    <phoneticPr fontId="1" type="noConversion"/>
  </si>
  <si>
    <t>NARRATIV -&gt; exact dates</t>
    <phoneticPr fontId="1" type="noConversion"/>
  </si>
  <si>
    <t>thrombosis prophylaxis</t>
    <phoneticPr fontId="1" type="noConversion"/>
  </si>
  <si>
    <t>rash and other nonspecific skin eruption</t>
    <phoneticPr fontId="1" type="noConversion"/>
  </si>
  <si>
    <t>herpes simples without mention of complication</t>
    <phoneticPr fontId="1" type="noConversion"/>
  </si>
  <si>
    <t>rash an other nonspecific skin eruption</t>
    <phoneticPr fontId="1" type="noConversion"/>
  </si>
  <si>
    <t>heart insufficiency</t>
    <phoneticPr fontId="1" type="noConversion"/>
  </si>
  <si>
    <t>voltaren resinat "novartis"</t>
    <phoneticPr fontId="1" type="noConversion"/>
  </si>
  <si>
    <t>diclofenac resinate</t>
    <phoneticPr fontId="1" type="noConversion"/>
  </si>
  <si>
    <t>lamotrigine</t>
    <phoneticPr fontId="1" type="noConversion"/>
  </si>
  <si>
    <t>25mg</t>
    <phoneticPr fontId="1" type="noConversion"/>
  </si>
  <si>
    <t>26d</t>
    <phoneticPr fontId="1" type="noConversion"/>
  </si>
  <si>
    <t>400mg/d</t>
    <phoneticPr fontId="1" type="noConversion"/>
  </si>
  <si>
    <t>fever</t>
    <phoneticPr fontId="1" type="noConversion"/>
  </si>
  <si>
    <t>purulent bronchitis</t>
    <phoneticPr fontId="1" type="noConversion"/>
  </si>
  <si>
    <t>itching</t>
    <phoneticPr fontId="1" type="noConversion"/>
  </si>
  <si>
    <t>hypertension; Diuretika, Antihypertonika Kombi</t>
    <phoneticPr fontId="1" type="noConversion"/>
  </si>
  <si>
    <t>allergic exanthema</t>
    <phoneticPr fontId="1" type="noConversion"/>
  </si>
  <si>
    <t>exanthema</t>
    <phoneticPr fontId="1" type="noConversion"/>
  </si>
  <si>
    <t>dermatitis</t>
    <phoneticPr fontId="1" type="noConversion"/>
  </si>
  <si>
    <t>arthophaty</t>
    <phoneticPr fontId="1" type="noConversion"/>
  </si>
  <si>
    <t>parenteral nutrition</t>
    <phoneticPr fontId="1" type="noConversion"/>
  </si>
  <si>
    <t>parenteral nutrition</t>
    <phoneticPr fontId="1" type="noConversion"/>
  </si>
  <si>
    <t>liver failure; Abführmittel</t>
    <phoneticPr fontId="1" type="noConversion"/>
  </si>
  <si>
    <t>parenteral nutrition; Abführmittel, Nahrungsergänzungsmittel</t>
    <phoneticPr fontId="1" type="noConversion"/>
  </si>
  <si>
    <t>Antifibrinolysis</t>
    <phoneticPr fontId="1" type="noConversion"/>
  </si>
  <si>
    <t>parenteral nutrition</t>
    <phoneticPr fontId="1" type="noConversion"/>
  </si>
  <si>
    <t>depression</t>
    <phoneticPr fontId="1" type="noConversion"/>
  </si>
  <si>
    <t>diabetes mellitus</t>
    <phoneticPr fontId="1" type="noConversion"/>
  </si>
  <si>
    <t>urinary tract infection</t>
    <phoneticPr fontId="1" type="noConversion"/>
  </si>
  <si>
    <t>osteoporosis</t>
    <phoneticPr fontId="1" type="noConversion"/>
  </si>
  <si>
    <t>hypertension arterial</t>
    <phoneticPr fontId="1" type="noConversion"/>
  </si>
  <si>
    <t>topical</t>
    <phoneticPr fontId="1" type="noConversion"/>
  </si>
  <si>
    <t>joint disorder</t>
    <phoneticPr fontId="1" type="noConversion"/>
  </si>
  <si>
    <t>nasal disorder</t>
    <phoneticPr fontId="1" type="noConversion"/>
  </si>
  <si>
    <t>solu-decortin H, Ceterizin</t>
    <phoneticPr fontId="1" type="noConversion"/>
  </si>
  <si>
    <t>24d</t>
    <phoneticPr fontId="1" type="noConversion"/>
  </si>
  <si>
    <t>4d</t>
    <phoneticPr fontId="1" type="noConversion"/>
  </si>
  <si>
    <t>pain</t>
    <phoneticPr fontId="1" type="noConversion"/>
  </si>
  <si>
    <t>ascites</t>
    <phoneticPr fontId="1" type="noConversion"/>
  </si>
  <si>
    <t>ascites</t>
    <phoneticPr fontId="1" type="noConversion"/>
  </si>
  <si>
    <t>hepatic encephalopathy prophylaxis; Abführmittel</t>
    <phoneticPr fontId="1" type="noConversion"/>
  </si>
  <si>
    <t>10d</t>
    <phoneticPr fontId="1" type="noConversion"/>
  </si>
  <si>
    <t>gastric ulcer</t>
    <phoneticPr fontId="1" type="noConversion"/>
  </si>
  <si>
    <t>prophylaxis against gastrointestinal ulcer</t>
    <phoneticPr fontId="1" type="noConversion"/>
  </si>
  <si>
    <t>prophylaxis against gastrointestinal ulcer</t>
    <phoneticPr fontId="1" type="noConversion"/>
  </si>
  <si>
    <t>hypertension arterial</t>
    <phoneticPr fontId="1" type="noConversion"/>
  </si>
  <si>
    <t>initial insomnia, nausea, pain</t>
    <phoneticPr fontId="1" type="noConversion"/>
  </si>
  <si>
    <t>skin disorder</t>
    <phoneticPr fontId="1" type="noConversion"/>
  </si>
  <si>
    <t>surgery</t>
    <phoneticPr fontId="1" type="noConversion"/>
  </si>
  <si>
    <t>17d</t>
    <phoneticPr fontId="1" type="noConversion"/>
  </si>
  <si>
    <t>pain; Opioid</t>
    <phoneticPr fontId="1" type="noConversion"/>
  </si>
  <si>
    <t>arthritis</t>
    <phoneticPr fontId="1" type="noConversion"/>
  </si>
  <si>
    <t>arthritis</t>
    <phoneticPr fontId="1" type="noConversion"/>
  </si>
  <si>
    <t>arthritic pains</t>
    <phoneticPr fontId="1" type="noConversion"/>
  </si>
  <si>
    <t>ischial neuralgia</t>
    <phoneticPr fontId="1" type="noConversion"/>
  </si>
  <si>
    <t>bronchitis</t>
    <phoneticPr fontId="1" type="noConversion"/>
  </si>
  <si>
    <t>NARRATIVE &amp; GRAFIK  -&gt;polymedicated;exact dates; diclofenac one of the suspect drugs; impossible to identify the most suspected drug</t>
    <phoneticPr fontId="1" type="noConversion"/>
  </si>
  <si>
    <t>52d</t>
    <phoneticPr fontId="1" type="noConversion"/>
  </si>
  <si>
    <t>ramipril; hydrochlorothiazide</t>
    <phoneticPr fontId="1" type="noConversion"/>
  </si>
  <si>
    <t>2,5mg/d</t>
    <phoneticPr fontId="1" type="noConversion"/>
  </si>
  <si>
    <t>6d</t>
    <phoneticPr fontId="1" type="noConversion"/>
  </si>
  <si>
    <t>sleep disorder</t>
    <phoneticPr fontId="1" type="noConversion"/>
  </si>
  <si>
    <t>hyperthyroidism</t>
    <phoneticPr fontId="1" type="noConversion"/>
  </si>
  <si>
    <t>hypertension; Diuretikum, Antihypertonikum Kombi</t>
    <phoneticPr fontId="1" type="noConversion"/>
  </si>
  <si>
    <t>hypertension; Diuretika, Antihypertonika Kombi</t>
    <phoneticPr fontId="1" type="noConversion"/>
  </si>
  <si>
    <t>arthritic pains</t>
    <phoneticPr fontId="1" type="noConversion"/>
  </si>
  <si>
    <t>other and unspecific special symptoms and syndroms</t>
    <phoneticPr fontId="1" type="noConversion"/>
  </si>
  <si>
    <t>volume depletion</t>
    <phoneticPr fontId="1" type="noConversion"/>
  </si>
  <si>
    <t>constipation</t>
    <phoneticPr fontId="1" type="noConversion"/>
  </si>
  <si>
    <t>constipation; Abführmittel (Laxantien)</t>
    <phoneticPr fontId="1" type="noConversion"/>
  </si>
  <si>
    <t>Infusion mit Exspectorans</t>
    <phoneticPr fontId="1" type="noConversion"/>
  </si>
  <si>
    <t>reaction unevaluable</t>
    <phoneticPr fontId="1" type="noConversion"/>
  </si>
  <si>
    <t>reaction unevaluable</t>
    <phoneticPr fontId="1" type="noConversion"/>
  </si>
  <si>
    <t>50mg</t>
    <phoneticPr fontId="1" type="noConversion"/>
  </si>
  <si>
    <t>drug use for unknown indication</t>
    <phoneticPr fontId="1" type="noConversion"/>
  </si>
  <si>
    <t>upper respiratory tract infection</t>
    <phoneticPr fontId="1" type="noConversion"/>
  </si>
  <si>
    <t>21d</t>
    <phoneticPr fontId="1" type="noConversion"/>
  </si>
  <si>
    <t>restlessness</t>
    <phoneticPr fontId="1" type="noConversion"/>
  </si>
  <si>
    <t>psychotic disorder</t>
    <phoneticPr fontId="1" type="noConversion"/>
  </si>
  <si>
    <t>lung oedema</t>
    <phoneticPr fontId="1" type="noConversion"/>
  </si>
  <si>
    <t>1839d</t>
    <phoneticPr fontId="1" type="noConversion"/>
  </si>
  <si>
    <t>heart insufficiency</t>
    <phoneticPr fontId="1" type="noConversion"/>
  </si>
  <si>
    <t>cardiac failure congestive</t>
    <phoneticPr fontId="1" type="noConversion"/>
  </si>
  <si>
    <t>hyperlipidaemia</t>
    <phoneticPr fontId="1" type="noConversion"/>
  </si>
  <si>
    <t>gout</t>
    <phoneticPr fontId="1" type="noConversion"/>
  </si>
  <si>
    <t>gout</t>
    <phoneticPr fontId="1" type="noConversion"/>
  </si>
  <si>
    <t>anxiety disorder</t>
    <phoneticPr fontId="1" type="noConversion"/>
  </si>
  <si>
    <t>hypertension</t>
    <phoneticPr fontId="1" type="noConversion"/>
  </si>
  <si>
    <t>cardiac insuffiency</t>
    <phoneticPr fontId="1" type="noConversion"/>
  </si>
  <si>
    <t>infection NOS</t>
    <phoneticPr fontId="1" type="noConversion"/>
  </si>
  <si>
    <t>infection</t>
    <phoneticPr fontId="1" type="noConversion"/>
  </si>
  <si>
    <t>hypertension</t>
    <phoneticPr fontId="1" type="noConversion"/>
  </si>
  <si>
    <t>acute renal failure</t>
    <phoneticPr fontId="1" type="noConversion"/>
  </si>
  <si>
    <t>immunosuppressives</t>
  </si>
  <si>
    <t>keratolytics</t>
  </si>
  <si>
    <t>lipid-lowering agents</t>
  </si>
  <si>
    <t>muscle relaxant</t>
  </si>
  <si>
    <t>neuropathy agent</t>
  </si>
  <si>
    <t>nootropics</t>
  </si>
  <si>
    <t>other</t>
  </si>
  <si>
    <t>parasympatholytics</t>
  </si>
  <si>
    <t>parasympatomimetics</t>
  </si>
  <si>
    <t>phosphodiesterase inhibitors</t>
  </si>
  <si>
    <t>prokinetic agents</t>
  </si>
  <si>
    <t>hyperuricemia, renal insufficiency, acute renal failure</t>
    <phoneticPr fontId="1" type="noConversion"/>
  </si>
  <si>
    <t>pruritus, exanthema</t>
    <phoneticPr fontId="1" type="noConversion"/>
  </si>
  <si>
    <t>rhinitis, COPD, pneumonia</t>
    <phoneticPr fontId="1" type="noConversion"/>
  </si>
  <si>
    <t>thyroid operation</t>
    <phoneticPr fontId="1" type="noConversion"/>
  </si>
  <si>
    <t>hypothyroidism</t>
    <phoneticPr fontId="1" type="noConversion"/>
  </si>
  <si>
    <t>papillary carcinoma of the thyroid gland</t>
    <phoneticPr fontId="1" type="noConversion"/>
  </si>
  <si>
    <t>pharyngitis</t>
    <phoneticPr fontId="1" type="noConversion"/>
  </si>
  <si>
    <t>common cold</t>
    <phoneticPr fontId="1" type="noConversion"/>
  </si>
  <si>
    <t>rhinitis</t>
    <phoneticPr fontId="1" type="noConversion"/>
  </si>
  <si>
    <t>fever sore, apathy, odynophagia</t>
    <phoneticPr fontId="1" type="noConversion"/>
  </si>
  <si>
    <t>therapy</t>
    <phoneticPr fontId="1" type="noConversion"/>
  </si>
  <si>
    <t>drug</t>
    <phoneticPr fontId="1" type="noConversion"/>
  </si>
  <si>
    <t>dosis</t>
    <phoneticPr fontId="1" type="noConversion"/>
  </si>
  <si>
    <t>duration</t>
    <phoneticPr fontId="1" type="noConversion"/>
  </si>
  <si>
    <t>apoplexy</t>
    <phoneticPr fontId="1" type="noConversion"/>
  </si>
  <si>
    <t>21d</t>
    <phoneticPr fontId="1" type="noConversion"/>
  </si>
  <si>
    <t>oral</t>
    <phoneticPr fontId="1" type="noConversion"/>
  </si>
  <si>
    <t>Gout</t>
    <phoneticPr fontId="1" type="noConversion"/>
  </si>
  <si>
    <t>pain</t>
    <phoneticPr fontId="1" type="noConversion"/>
  </si>
  <si>
    <t>pain, gout</t>
    <phoneticPr fontId="1" type="noConversion"/>
  </si>
  <si>
    <t>TEN</t>
    <phoneticPr fontId="1" type="noConversion"/>
  </si>
  <si>
    <t>13d</t>
    <phoneticPr fontId="1" type="noConversion"/>
  </si>
  <si>
    <t>thrombosis prophylaxis</t>
    <phoneticPr fontId="1" type="noConversion"/>
  </si>
  <si>
    <t>shoulder pain</t>
    <phoneticPr fontId="1" type="noConversion"/>
  </si>
  <si>
    <t>thrombosis prophylaxis</t>
    <phoneticPr fontId="1" type="noConversion"/>
  </si>
  <si>
    <t>diabetes mellitus</t>
    <phoneticPr fontId="1" type="noConversion"/>
  </si>
  <si>
    <t>cardiac insuffiency</t>
    <phoneticPr fontId="1" type="noConversion"/>
  </si>
  <si>
    <t>unspecific cirulatory system disorder</t>
    <phoneticPr fontId="1" type="noConversion"/>
  </si>
  <si>
    <t>antifungal prophylaxis</t>
    <phoneticPr fontId="1" type="noConversion"/>
  </si>
  <si>
    <t>f</t>
    <phoneticPr fontId="1" type="noConversion"/>
  </si>
  <si>
    <t>infection prophylaxis</t>
    <phoneticPr fontId="1" type="noConversion"/>
  </si>
  <si>
    <t>rash pruritic</t>
    <phoneticPr fontId="1" type="noConversion"/>
  </si>
  <si>
    <t>hypertension</t>
    <phoneticPr fontId="1" type="noConversion"/>
  </si>
  <si>
    <t>post MI</t>
    <phoneticPr fontId="1" type="noConversion"/>
  </si>
  <si>
    <t>delix plus</t>
    <phoneticPr fontId="1" type="noConversion"/>
  </si>
  <si>
    <t>partial epilepsy without mention of impairment of consciousness</t>
    <phoneticPr fontId="1" type="noConversion"/>
  </si>
  <si>
    <t>allergic rhinitis</t>
    <phoneticPr fontId="1" type="noConversion"/>
  </si>
  <si>
    <t>29d</t>
    <phoneticPr fontId="1" type="noConversion"/>
  </si>
  <si>
    <t>displacement of intervertebral disc; Glucocorticoid, NSAID, Vitamine Kombi</t>
    <phoneticPr fontId="1" type="noConversion"/>
  </si>
  <si>
    <t>fever</t>
    <phoneticPr fontId="1" type="noConversion"/>
  </si>
  <si>
    <t>pericardial effusion</t>
    <phoneticPr fontId="1" type="noConversion"/>
  </si>
  <si>
    <t>NARRATIVE &amp; GRAFIK  -&gt; polymedicated; diclofenac one of the suspect drugs</t>
    <phoneticPr fontId="1" type="noConversion"/>
  </si>
  <si>
    <t>GRAFIK</t>
    <phoneticPr fontId="1" type="noConversion"/>
  </si>
  <si>
    <t>NARRATIVE &amp; GRAFIK -&gt; exact dates; diclofenac one of the suspect drugs</t>
    <phoneticPr fontId="1" type="noConversion"/>
  </si>
  <si>
    <t>NARRATIVE &amp; GRAFIK -&gt; exact dates; diclofenac one of the suspect drugs; in the past well tolerated</t>
    <phoneticPr fontId="1" type="noConversion"/>
  </si>
  <si>
    <t>depression reactive</t>
    <phoneticPr fontId="1" type="noConversion"/>
  </si>
  <si>
    <t>NARRATIVE &amp; GRAFIK -&gt; polymedicated; exact dates; diclofenac one of the suspect drugs</t>
    <phoneticPr fontId="1" type="noConversion"/>
  </si>
  <si>
    <t>prostaglandins</t>
  </si>
  <si>
    <t>prostate drug</t>
  </si>
  <si>
    <t>psychotropic drugs (benzodiazepine)</t>
  </si>
  <si>
    <t>spasmolytic</t>
  </si>
  <si>
    <t>sympatholytics</t>
  </si>
  <si>
    <t>sympathomimetics</t>
  </si>
  <si>
    <t>ulcer therapeutic agents</t>
  </si>
  <si>
    <t>uricostatics</t>
  </si>
  <si>
    <t>vein medication</t>
  </si>
  <si>
    <t>vaccination</t>
  </si>
  <si>
    <t>vasodilatator</t>
  </si>
  <si>
    <t>vasoconstrictor</t>
  </si>
  <si>
    <t>emesis, gastric pain, diarrhea</t>
    <phoneticPr fontId="1" type="noConversion"/>
  </si>
  <si>
    <t>NARRATIV &amp; GRAFIK  -&gt; diclofenac one of the suspect drugs</t>
    <phoneticPr fontId="1" type="noConversion"/>
  </si>
  <si>
    <t>dysphagia/swallowing difficult</t>
    <phoneticPr fontId="1" type="noConversion"/>
  </si>
  <si>
    <t>sleep disorder</t>
    <phoneticPr fontId="1" type="noConversion"/>
  </si>
  <si>
    <t>NARRATIV &amp; GRAFIK -&gt; polymedicated,; different drugs suspect,  diclofenac may also be one</t>
    <phoneticPr fontId="1" type="noConversion"/>
  </si>
  <si>
    <t>17d</t>
    <phoneticPr fontId="1" type="noConversion"/>
  </si>
  <si>
    <t>NARRATIVE &amp; GRAFIK -&gt;polymedicated; exact dates! ; diclofenac, musaril and tetrazepam most likely suspect drugs along with fosamax</t>
    <phoneticPr fontId="1" type="noConversion"/>
  </si>
  <si>
    <t>pruritus/itching</t>
  </si>
  <si>
    <t>rash/exanthema</t>
  </si>
  <si>
    <t>pyrexia/fever</t>
  </si>
  <si>
    <t>c reactive protein increased</t>
  </si>
  <si>
    <t>dry skin/skin xerosis</t>
  </si>
  <si>
    <t>dysphagia/swallowing difficult</t>
  </si>
  <si>
    <t>Bechterew's disease/ ankylosing spondylitis</t>
  </si>
  <si>
    <t>buccal muccosal roughening</t>
  </si>
  <si>
    <t>ephelides/freckles</t>
  </si>
  <si>
    <t>rash maculo papular</t>
  </si>
  <si>
    <t>amino acids</t>
  </si>
  <si>
    <t>anaesthetic</t>
  </si>
  <si>
    <t>analgesic</t>
  </si>
  <si>
    <t>anti-acne preparation</t>
  </si>
  <si>
    <t>antiarrhythmic agents</t>
  </si>
  <si>
    <t>antiasthmatics</t>
  </si>
  <si>
    <t>antibiotics</t>
  </si>
  <si>
    <t>anticoagulants/antithrombotics</t>
  </si>
  <si>
    <t>antidepressants</t>
  </si>
  <si>
    <t>antidiabetics</t>
  </si>
  <si>
    <t>antidiarrheals</t>
  </si>
  <si>
    <t>antidiuretics</t>
  </si>
  <si>
    <t>antidots</t>
  </si>
  <si>
    <t>antiepileptics</t>
  </si>
  <si>
    <t>antifibrinolytics</t>
  </si>
  <si>
    <t>antiglaucomatous</t>
  </si>
  <si>
    <t>antihistamines</t>
  </si>
  <si>
    <t>antihypertensives (Antihypertensive und Antihypertonikum)</t>
  </si>
  <si>
    <t>antihypotonics</t>
  </si>
  <si>
    <t>antimalarials</t>
  </si>
  <si>
    <t>antimycotic</t>
  </si>
  <si>
    <t>antiparkinsonian</t>
  </si>
  <si>
    <t>antipsychotics</t>
  </si>
  <si>
    <t>antiseptic agents</t>
  </si>
  <si>
    <t>antithyroid</t>
  </si>
  <si>
    <t>antitussive agents</t>
  </si>
  <si>
    <t>antivertiginous</t>
  </si>
  <si>
    <t>antivirals</t>
  </si>
  <si>
    <t>beta-lactamase-inhibitor</t>
  </si>
  <si>
    <t>bisphosphonates</t>
  </si>
  <si>
    <t>butyrophenone</t>
  </si>
  <si>
    <t>calcium channel blockers</t>
  </si>
  <si>
    <t>cardiac glycoside</t>
  </si>
  <si>
    <t>contrast agent</t>
  </si>
  <si>
    <t>cytostatics</t>
  </si>
  <si>
    <t>diuretics</t>
  </si>
  <si>
    <t>mucokinetics (Exspektorans)</t>
  </si>
  <si>
    <t>glucocorticoids</t>
  </si>
  <si>
    <t>HIV medications</t>
  </si>
  <si>
    <t>hormones</t>
  </si>
  <si>
    <t>hypnotics</t>
  </si>
  <si>
    <t>immunomodulators</t>
  </si>
  <si>
    <t>start date</t>
  </si>
  <si>
    <t>reason</t>
  </si>
  <si>
    <t>Duplikat mit SJS + first…</t>
  </si>
  <si>
    <t>Duplikat mit Paracetamol</t>
  </si>
  <si>
    <t>Duplikate</t>
  </si>
  <si>
    <t>Duplikat mit Diclofenac</t>
  </si>
  <si>
    <r>
      <t xml:space="preserve">Duplikat mit SJS + first… </t>
    </r>
    <r>
      <rPr>
        <b/>
        <u/>
        <sz val="11"/>
        <color theme="1"/>
        <rFont val="Calibri"/>
        <family val="2"/>
        <scheme val="minor"/>
      </rPr>
      <t>und</t>
    </r>
    <r>
      <rPr>
        <sz val="11"/>
        <color theme="1"/>
        <rFont val="Calibri"/>
        <family val="2"/>
        <scheme val="minor"/>
      </rPr>
      <t xml:space="preserve"> Diclofenac</t>
    </r>
  </si>
  <si>
    <t>Primäre Quelle: Diclofenac SMQ Severe cutaneous reactions LineListing (vollständig in Excel übertragen)</t>
  </si>
  <si>
    <t>Quelle: Diclofenac_ab_1992_Haut_Narratives_ohne_Scans</t>
  </si>
  <si>
    <t>albumin</t>
  </si>
  <si>
    <t>CK (creatine phosphokinase)</t>
  </si>
  <si>
    <t>creatinine</t>
  </si>
  <si>
    <t>D-dimers</t>
  </si>
  <si>
    <t>leucocytes/WBC</t>
  </si>
  <si>
    <t>blood myoglobin</t>
  </si>
  <si>
    <t>serum myoglobin</t>
  </si>
  <si>
    <t>80000mg/L</t>
  </si>
  <si>
    <t>Duplikat mit "Übersiche Laborwerte" + Differenzen in rot</t>
  </si>
  <si>
    <t xml:space="preserve">Duplikat mit "Übersiche Laborwerte" </t>
  </si>
  <si>
    <t>AT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</si>
</sst>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0" xfId="0" applyFill="1" applyBorder="1"/>
    <xf numFmtId="14" fontId="0" fillId="0" borderId="0" xfId="0" applyNumberFormat="1" applyBorder="1"/>
    <xf numFmtId="14" fontId="0" fillId="0" borderId="0" xfId="0" applyNumberFormat="1" applyFill="1" applyBorder="1"/>
    <xf numFmtId="17" fontId="0" fillId="0" borderId="0" xfId="0" applyNumberFormat="1" applyBorder="1"/>
    <xf numFmtId="0" fontId="0" fillId="0" borderId="1" xfId="0" applyFill="1" applyBorder="1"/>
    <xf numFmtId="0" fontId="2" fillId="0" borderId="0" xfId="0" applyFont="1"/>
    <xf numFmtId="17" fontId="0" fillId="0" borderId="0" xfId="0" applyNumberFormat="1" applyBorder="1"/>
    <xf numFmtId="17" fontId="0" fillId="0" borderId="0" xfId="0" applyNumberFormat="1" applyBorder="1"/>
    <xf numFmtId="0" fontId="2" fillId="0" borderId="1" xfId="0" applyFont="1" applyBorder="1"/>
    <xf numFmtId="0" fontId="2" fillId="0" borderId="0" xfId="0" applyFont="1" applyFill="1" applyBorder="1"/>
    <xf numFmtId="14" fontId="0" fillId="0" borderId="0" xfId="0" applyNumberFormat="1"/>
    <xf numFmtId="0" fontId="2" fillId="0" borderId="1" xfId="0" applyFont="1" applyFill="1" applyBorder="1"/>
    <xf numFmtId="14" fontId="2" fillId="0" borderId="0" xfId="0" applyNumberFormat="1" applyFont="1"/>
    <xf numFmtId="17" fontId="0" fillId="0" borderId="0" xfId="0" applyNumberFormat="1" applyBorder="1"/>
    <xf numFmtId="2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17" fontId="2" fillId="0" borderId="0" xfId="0" applyNumberFormat="1" applyFont="1"/>
    <xf numFmtId="164" fontId="0" fillId="3" borderId="0" xfId="0" applyNumberFormat="1" applyFill="1"/>
    <xf numFmtId="164" fontId="0" fillId="0" borderId="0" xfId="0" applyNumberFormat="1" applyFill="1"/>
    <xf numFmtId="14" fontId="0" fillId="0" borderId="0" xfId="0" applyNumberFormat="1" applyAlignment="1">
      <alignment horizontal="right"/>
    </xf>
    <xf numFmtId="164" fontId="0" fillId="3" borderId="0" xfId="0" applyNumberFormat="1" applyFill="1" applyBorder="1"/>
    <xf numFmtId="0" fontId="0" fillId="0" borderId="0" xfId="0" applyFont="1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/>
    <xf numFmtId="164" fontId="5" fillId="3" borderId="0" xfId="0" applyNumberFormat="1" applyFont="1" applyFill="1"/>
    <xf numFmtId="0" fontId="2" fillId="0" borderId="2" xfId="0" applyFont="1" applyBorder="1"/>
    <xf numFmtId="0" fontId="0" fillId="5" borderId="0" xfId="0" applyFill="1" applyAlignment="1">
      <alignment horizontal="right"/>
    </xf>
    <xf numFmtId="0" fontId="0" fillId="5" borderId="0" xfId="0" applyFill="1"/>
    <xf numFmtId="0" fontId="0" fillId="0" borderId="2" xfId="0" applyFill="1" applyBorder="1"/>
    <xf numFmtId="9" fontId="0" fillId="0" borderId="0" xfId="0" applyNumberFormat="1" applyFill="1" applyBorder="1"/>
    <xf numFmtId="164" fontId="0" fillId="6" borderId="0" xfId="0" applyNumberFormat="1" applyFill="1"/>
    <xf numFmtId="164" fontId="0" fillId="6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2" fillId="0" borderId="0" xfId="0" applyFont="1" applyBorder="1"/>
    <xf numFmtId="14" fontId="0" fillId="0" borderId="2" xfId="0" applyNumberFormat="1" applyBorder="1"/>
    <xf numFmtId="164" fontId="0" fillId="7" borderId="0" xfId="0" applyNumberFormat="1" applyFill="1"/>
    <xf numFmtId="164" fontId="5" fillId="7" borderId="0" xfId="0" applyNumberFormat="1" applyFont="1" applyFill="1"/>
    <xf numFmtId="14" fontId="0" fillId="0" borderId="0" xfId="0" applyNumberFormat="1" applyFill="1"/>
    <xf numFmtId="0" fontId="0" fillId="7" borderId="0" xfId="0" applyFill="1"/>
    <xf numFmtId="0" fontId="0" fillId="8" borderId="0" xfId="0" applyFill="1"/>
    <xf numFmtId="0" fontId="5" fillId="9" borderId="0" xfId="0" applyFont="1" applyFill="1"/>
    <xf numFmtId="17" fontId="0" fillId="0" borderId="0" xfId="0" applyNumberFormat="1"/>
    <xf numFmtId="0" fontId="5" fillId="10" borderId="0" xfId="0" applyFont="1" applyFill="1"/>
    <xf numFmtId="0" fontId="0" fillId="11" borderId="0" xfId="0" applyFill="1"/>
    <xf numFmtId="9" fontId="0" fillId="0" borderId="0" xfId="0" applyNumberFormat="1"/>
    <xf numFmtId="9" fontId="0" fillId="0" borderId="0" xfId="0" applyNumberFormat="1" applyBorder="1"/>
    <xf numFmtId="49" fontId="0" fillId="0" borderId="0" xfId="0" applyNumberFormat="1"/>
    <xf numFmtId="0" fontId="2" fillId="0" borderId="0" xfId="0" applyFont="1" applyAlignment="1">
      <alignment horizontal="right"/>
    </xf>
    <xf numFmtId="0" fontId="0" fillId="12" borderId="0" xfId="0" applyFill="1"/>
    <xf numFmtId="0" fontId="0" fillId="13" borderId="0" xfId="0" applyFill="1"/>
    <xf numFmtId="9" fontId="0" fillId="0" borderId="0" xfId="0" applyNumberFormat="1" applyFill="1"/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0" fillId="2" borderId="0" xfId="0" applyFill="1" applyAlignmen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/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v>gender</c:v>
          </c:tx>
          <c:cat>
            <c:strRef>
              <c:f>'interim analysis'!$A$4:$A$6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'interim analysis'!$B$4:$B$6</c:f>
              <c:numCache>
                <c:formatCode>General</c:formatCode>
                <c:ptCount val="3"/>
                <c:pt idx="0">
                  <c:v>89</c:v>
                </c:pt>
                <c:pt idx="1">
                  <c:v>68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4B1A-8A4E-F549CE32C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/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v>outcome</c:v>
          </c:tx>
          <c:cat>
            <c:strRef>
              <c:f>'interim analysis'!$I$4:$I$6</c:f>
              <c:strCache>
                <c:ptCount val="3"/>
                <c:pt idx="0">
                  <c:v>dead</c:v>
                </c:pt>
                <c:pt idx="1">
                  <c:v>recovered</c:v>
                </c:pt>
                <c:pt idx="2">
                  <c:v>unnknown</c:v>
                </c:pt>
              </c:strCache>
            </c:strRef>
          </c:cat>
          <c:val>
            <c:numRef>
              <c:f>'interim analysis'!$J$4:$J$6</c:f>
              <c:numCache>
                <c:formatCode>General</c:formatCode>
                <c:ptCount val="3"/>
                <c:pt idx="0">
                  <c:v>46</c:v>
                </c:pt>
                <c:pt idx="1">
                  <c:v>54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1-4E13-BBC1-F87BC2D0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v>Nebenwirkungen</c:v>
          </c:tx>
          <c:cat>
            <c:strRef>
              <c:f>'interim analysis'!$B$14:$B$322</c:f>
              <c:strCache>
                <c:ptCount val="309"/>
                <c:pt idx="0">
                  <c:v>SJS</c:v>
                </c:pt>
                <c:pt idx="1">
                  <c:v>TEN</c:v>
                </c:pt>
                <c:pt idx="2">
                  <c:v>blister</c:v>
                </c:pt>
                <c:pt idx="3">
                  <c:v>pyrexia/fever</c:v>
                </c:pt>
                <c:pt idx="4">
                  <c:v>pruritus/itching</c:v>
                </c:pt>
                <c:pt idx="5">
                  <c:v>conjunctivitis</c:v>
                </c:pt>
                <c:pt idx="6">
                  <c:v>erythema</c:v>
                </c:pt>
                <c:pt idx="7">
                  <c:v>lip erosion</c:v>
                </c:pt>
                <c:pt idx="8">
                  <c:v>nikolskys sign</c:v>
                </c:pt>
                <c:pt idx="9">
                  <c:v>rash/exanthema</c:v>
                </c:pt>
                <c:pt idx="10">
                  <c:v>mucosal erosion</c:v>
                </c:pt>
                <c:pt idx="11">
                  <c:v>pain of skin</c:v>
                </c:pt>
                <c:pt idx="12">
                  <c:v>macule</c:v>
                </c:pt>
                <c:pt idx="13">
                  <c:v>oral mucosa erosion</c:v>
                </c:pt>
                <c:pt idx="14">
                  <c:v>stomatitis</c:v>
                </c:pt>
                <c:pt idx="15">
                  <c:v>skin disorder</c:v>
                </c:pt>
                <c:pt idx="16">
                  <c:v>ocular hyperaemia</c:v>
                </c:pt>
                <c:pt idx="17">
                  <c:v>ALAT increased</c:v>
                </c:pt>
                <c:pt idx="18">
                  <c:v>dermatitis bullous</c:v>
                </c:pt>
                <c:pt idx="19">
                  <c:v>mouth ulceration</c:v>
                </c:pt>
                <c:pt idx="20">
                  <c:v>blood lactate dehydrogenase increased</c:v>
                </c:pt>
                <c:pt idx="21">
                  <c:v>sepsis</c:v>
                </c:pt>
                <c:pt idx="22">
                  <c:v>ASAT increased</c:v>
                </c:pt>
                <c:pt idx="23">
                  <c:v>rash macular</c:v>
                </c:pt>
                <c:pt idx="24">
                  <c:v>lip swelling</c:v>
                </c:pt>
                <c:pt idx="25">
                  <c:v>sleep disorder</c:v>
                </c:pt>
                <c:pt idx="26">
                  <c:v>pain</c:v>
                </c:pt>
                <c:pt idx="27">
                  <c:v>infection</c:v>
                </c:pt>
                <c:pt idx="28">
                  <c:v>leukopenia</c:v>
                </c:pt>
                <c:pt idx="29">
                  <c:v>genital erosion</c:v>
                </c:pt>
                <c:pt idx="30">
                  <c:v>dysphagia/swallowing difficult</c:v>
                </c:pt>
                <c:pt idx="31">
                  <c:v>skin exfoliation</c:v>
                </c:pt>
                <c:pt idx="32">
                  <c:v>skin necrosis</c:v>
                </c:pt>
                <c:pt idx="33">
                  <c:v>oedema</c:v>
                </c:pt>
                <c:pt idx="34">
                  <c:v>leukocytosis</c:v>
                </c:pt>
                <c:pt idx="35">
                  <c:v>anaphylactic shock</c:v>
                </c:pt>
                <c:pt idx="36">
                  <c:v>Gamma-glutamyltransferase increased</c:v>
                </c:pt>
                <c:pt idx="37">
                  <c:v>hypertension</c:v>
                </c:pt>
                <c:pt idx="38">
                  <c:v>blood creatinin increased</c:v>
                </c:pt>
                <c:pt idx="39">
                  <c:v>chills</c:v>
                </c:pt>
                <c:pt idx="40">
                  <c:v>hepatic enyzme increased</c:v>
                </c:pt>
                <c:pt idx="41">
                  <c:v>constipation</c:v>
                </c:pt>
                <c:pt idx="42">
                  <c:v>hypersensitivty</c:v>
                </c:pt>
                <c:pt idx="43">
                  <c:v>rash pustular</c:v>
                </c:pt>
                <c:pt idx="44">
                  <c:v>c reactive protein increased</c:v>
                </c:pt>
                <c:pt idx="45">
                  <c:v>dermatitis exfoliative</c:v>
                </c:pt>
                <c:pt idx="46">
                  <c:v>dermatitis allergic</c:v>
                </c:pt>
                <c:pt idx="47">
                  <c:v>dyspnoe</c:v>
                </c:pt>
                <c:pt idx="48">
                  <c:v>nausea</c:v>
                </c:pt>
                <c:pt idx="49">
                  <c:v>dry skin/skin xerosis</c:v>
                </c:pt>
                <c:pt idx="50">
                  <c:v>skin erosion</c:v>
                </c:pt>
                <c:pt idx="51">
                  <c:v>circulatory collapse</c:v>
                </c:pt>
                <c:pt idx="52">
                  <c:v>purpura</c:v>
                </c:pt>
                <c:pt idx="53">
                  <c:v>rhabdomyolysis</c:v>
                </c:pt>
                <c:pt idx="54">
                  <c:v>cardiac failure</c:v>
                </c:pt>
                <c:pt idx="55">
                  <c:v>cough</c:v>
                </c:pt>
                <c:pt idx="56">
                  <c:v>fatigue</c:v>
                </c:pt>
                <c:pt idx="57">
                  <c:v>hyperuricaemia</c:v>
                </c:pt>
                <c:pt idx="58">
                  <c:v>lip ulceration</c:v>
                </c:pt>
                <c:pt idx="59">
                  <c:v>lymphopenia</c:v>
                </c:pt>
                <c:pt idx="60">
                  <c:v>mucosal inflammation</c:v>
                </c:pt>
                <c:pt idx="61">
                  <c:v>multi organ failure</c:v>
                </c:pt>
                <c:pt idx="62">
                  <c:v>shock</c:v>
                </c:pt>
                <c:pt idx="63">
                  <c:v>urinary tract infection</c:v>
                </c:pt>
                <c:pt idx="64">
                  <c:v>blood creatin phosphokinase increased</c:v>
                </c:pt>
                <c:pt idx="65">
                  <c:v>cheilitis</c:v>
                </c:pt>
                <c:pt idx="66">
                  <c:v>skin reaction</c:v>
                </c:pt>
                <c:pt idx="67">
                  <c:v>skin ulceration</c:v>
                </c:pt>
                <c:pt idx="68">
                  <c:v>urticaria</c:v>
                </c:pt>
                <c:pt idx="69">
                  <c:v>angiodema</c:v>
                </c:pt>
                <c:pt idx="70">
                  <c:v>malaise</c:v>
                </c:pt>
                <c:pt idx="71">
                  <c:v>vasculitis</c:v>
                </c:pt>
                <c:pt idx="72">
                  <c:v>acute kidney injury</c:v>
                </c:pt>
                <c:pt idx="73">
                  <c:v>myalgia</c:v>
                </c:pt>
                <c:pt idx="74">
                  <c:v>thermal burn</c:v>
                </c:pt>
                <c:pt idx="75">
                  <c:v>thrombocytopenia</c:v>
                </c:pt>
                <c:pt idx="76">
                  <c:v>asthenia</c:v>
                </c:pt>
                <c:pt idx="77">
                  <c:v>haematoma</c:v>
                </c:pt>
                <c:pt idx="78">
                  <c:v>heart rate increased</c:v>
                </c:pt>
                <c:pt idx="79">
                  <c:v>hypokalaemie</c:v>
                </c:pt>
                <c:pt idx="80">
                  <c:v>anxiety</c:v>
                </c:pt>
                <c:pt idx="81">
                  <c:v>arthralgia</c:v>
                </c:pt>
                <c:pt idx="82">
                  <c:v>arthritis</c:v>
                </c:pt>
                <c:pt idx="83">
                  <c:v>chest pain</c:v>
                </c:pt>
                <c:pt idx="84">
                  <c:v>drug hypersensitivity</c:v>
                </c:pt>
                <c:pt idx="85">
                  <c:v>impaired healing</c:v>
                </c:pt>
                <c:pt idx="86">
                  <c:v>necrosis</c:v>
                </c:pt>
                <c:pt idx="87">
                  <c:v>oedema peripheral</c:v>
                </c:pt>
                <c:pt idx="88">
                  <c:v>rash erythematous</c:v>
                </c:pt>
                <c:pt idx="89">
                  <c:v>skin lesion</c:v>
                </c:pt>
                <c:pt idx="90">
                  <c:v>swelling face</c:v>
                </c:pt>
                <c:pt idx="91">
                  <c:v>acute respiratory distress syndrom</c:v>
                </c:pt>
                <c:pt idx="92">
                  <c:v>agitation</c:v>
                </c:pt>
                <c:pt idx="93">
                  <c:v>anal erosion</c:v>
                </c:pt>
                <c:pt idx="94">
                  <c:v>Bechterew's disease/ ankylosing spondylitis</c:v>
                </c:pt>
                <c:pt idx="95">
                  <c:v>anorectal disorder</c:v>
                </c:pt>
                <c:pt idx="96">
                  <c:v>arrhythmia supraventricular</c:v>
                </c:pt>
                <c:pt idx="97">
                  <c:v>back pain</c:v>
                </c:pt>
                <c:pt idx="98">
                  <c:v>bleeding time prolonged</c:v>
                </c:pt>
                <c:pt idx="99">
                  <c:v>chapped lips</c:v>
                </c:pt>
                <c:pt idx="100">
                  <c:v>coma hepatic</c:v>
                </c:pt>
                <c:pt idx="101">
                  <c:v>confusional state</c:v>
                </c:pt>
                <c:pt idx="102">
                  <c:v>cystitis</c:v>
                </c:pt>
                <c:pt idx="103">
                  <c:v>cystitis haemorrhagic</c:v>
                </c:pt>
                <c:pt idx="104">
                  <c:v>dehydration</c:v>
                </c:pt>
                <c:pt idx="105">
                  <c:v>depression</c:v>
                </c:pt>
                <c:pt idx="106">
                  <c:v>disseminated intravascular coagulation</c:v>
                </c:pt>
                <c:pt idx="107">
                  <c:v>dizziness</c:v>
                </c:pt>
                <c:pt idx="108">
                  <c:v>dyspepsia</c:v>
                </c:pt>
                <c:pt idx="109">
                  <c:v>eczema asteatotic</c:v>
                </c:pt>
                <c:pt idx="110">
                  <c:v>eczema weeping</c:v>
                </c:pt>
                <c:pt idx="111">
                  <c:v>epidermolysis</c:v>
                </c:pt>
                <c:pt idx="112">
                  <c:v>ephelides/freckles</c:v>
                </c:pt>
                <c:pt idx="113">
                  <c:v>fuchs syndrome</c:v>
                </c:pt>
                <c:pt idx="114">
                  <c:v>gastrointestinal erosion</c:v>
                </c:pt>
                <c:pt idx="115">
                  <c:v>gout</c:v>
                </c:pt>
                <c:pt idx="116">
                  <c:v>haemorrhage</c:v>
                </c:pt>
                <c:pt idx="117">
                  <c:v>headache</c:v>
                </c:pt>
                <c:pt idx="118">
                  <c:v>hepatic neoplasm</c:v>
                </c:pt>
                <c:pt idx="119">
                  <c:v>hypersensitivity vasculitis</c:v>
                </c:pt>
                <c:pt idx="120">
                  <c:v>hypertensive crisis</c:v>
                </c:pt>
                <c:pt idx="121">
                  <c:v>hyperthyroidism</c:v>
                </c:pt>
                <c:pt idx="122">
                  <c:v>increased tendecy to bruise</c:v>
                </c:pt>
                <c:pt idx="123">
                  <c:v>jaundice</c:v>
                </c:pt>
                <c:pt idx="124">
                  <c:v>kreatitis</c:v>
                </c:pt>
                <c:pt idx="125">
                  <c:v>laceration</c:v>
                </c:pt>
                <c:pt idx="126">
                  <c:v>lip disorder</c:v>
                </c:pt>
                <c:pt idx="127">
                  <c:v>lipid metabolism disorder</c:v>
                </c:pt>
                <c:pt idx="128">
                  <c:v>lymphocyte count increased</c:v>
                </c:pt>
                <c:pt idx="129">
                  <c:v>mouth swelling</c:v>
                </c:pt>
                <c:pt idx="130">
                  <c:v>mucosa vesicle</c:v>
                </c:pt>
                <c:pt idx="131">
                  <c:v>nasal disorder</c:v>
                </c:pt>
                <c:pt idx="132">
                  <c:v>nasal inflammation</c:v>
                </c:pt>
                <c:pt idx="133">
                  <c:v>nasal mucosa disorder</c:v>
                </c:pt>
                <c:pt idx="134">
                  <c:v>nasal ulceration</c:v>
                </c:pt>
                <c:pt idx="135">
                  <c:v>oral candidiasis</c:v>
                </c:pt>
                <c:pt idx="136">
                  <c:v>oral discorder</c:v>
                </c:pt>
                <c:pt idx="137">
                  <c:v>oral mucosal erythema</c:v>
                </c:pt>
                <c:pt idx="138">
                  <c:v>overlap syndrome</c:v>
                </c:pt>
                <c:pt idx="139">
                  <c:v>palpitations</c:v>
                </c:pt>
                <c:pt idx="140">
                  <c:v>palatal oedema</c:v>
                </c:pt>
                <c:pt idx="141">
                  <c:v>pancytopenia</c:v>
                </c:pt>
                <c:pt idx="142">
                  <c:v>pancytopenia</c:v>
                </c:pt>
                <c:pt idx="143">
                  <c:v>pigmentation disorder</c:v>
                </c:pt>
                <c:pt idx="144">
                  <c:v>proteinuria</c:v>
                </c:pt>
                <c:pt idx="145">
                  <c:v>pulmonary oedema</c:v>
                </c:pt>
                <c:pt idx="146">
                  <c:v>purpura fulminans</c:v>
                </c:pt>
                <c:pt idx="147">
                  <c:v>pyelonephritis</c:v>
                </c:pt>
                <c:pt idx="148">
                  <c:v>rash maculo papular</c:v>
                </c:pt>
                <c:pt idx="149">
                  <c:v>rash pruritic</c:v>
                </c:pt>
                <c:pt idx="150">
                  <c:v>renal failure</c:v>
                </c:pt>
                <c:pt idx="151">
                  <c:v>scotal pain</c:v>
                </c:pt>
                <c:pt idx="152">
                  <c:v>seizure</c:v>
                </c:pt>
                <c:pt idx="153">
                  <c:v>septic shock</c:v>
                </c:pt>
                <c:pt idx="154">
                  <c:v>skin abrasion</c:v>
                </c:pt>
                <c:pt idx="155">
                  <c:v>skin atrophie</c:v>
                </c:pt>
                <c:pt idx="156">
                  <c:v>skin haemorrhage</c:v>
                </c:pt>
                <c:pt idx="157">
                  <c:v>skin oedema</c:v>
                </c:pt>
                <c:pt idx="158">
                  <c:v>spinal osteoarthritis</c:v>
                </c:pt>
                <c:pt idx="159">
                  <c:v>tachycardia paroxysmal</c:v>
                </c:pt>
                <c:pt idx="160">
                  <c:v>thyroid neoplasm</c:v>
                </c:pt>
                <c:pt idx="161">
                  <c:v>tinitus</c:v>
                </c:pt>
                <c:pt idx="162">
                  <c:v>toxic shock syndrom</c:v>
                </c:pt>
                <c:pt idx="163">
                  <c:v>transient ischaemic attack</c:v>
                </c:pt>
                <c:pt idx="164">
                  <c:v>yersinia infection</c:v>
                </c:pt>
                <c:pt idx="165">
                  <c:v>erythema multiforme</c:v>
                </c:pt>
                <c:pt idx="166">
                  <c:v>drug eruption</c:v>
                </c:pt>
                <c:pt idx="167">
                  <c:v>wound</c:v>
                </c:pt>
                <c:pt idx="168">
                  <c:v>dermatitis</c:v>
                </c:pt>
                <c:pt idx="169">
                  <c:v>skin burning  sensation</c:v>
                </c:pt>
                <c:pt idx="170">
                  <c:v>dermatitis contact</c:v>
                </c:pt>
                <c:pt idx="171">
                  <c:v>swelling</c:v>
                </c:pt>
                <c:pt idx="172">
                  <c:v>scab</c:v>
                </c:pt>
                <c:pt idx="173">
                  <c:v>skin discoloration</c:v>
                </c:pt>
                <c:pt idx="174">
                  <c:v>actinic keratosis</c:v>
                </c:pt>
                <c:pt idx="175">
                  <c:v>application site reaction</c:v>
                </c:pt>
                <c:pt idx="176">
                  <c:v>condition aggravated</c:v>
                </c:pt>
                <c:pt idx="177">
                  <c:v>inflammation</c:v>
                </c:pt>
                <c:pt idx="178">
                  <c:v>secretion discharge</c:v>
                </c:pt>
                <c:pt idx="179">
                  <c:v>acute generalised exanthematous pustulosis</c:v>
                </c:pt>
                <c:pt idx="180">
                  <c:v>eyelid oedema</c:v>
                </c:pt>
                <c:pt idx="181">
                  <c:v>injection site reaction</c:v>
                </c:pt>
                <c:pt idx="182">
                  <c:v>wound secretion</c:v>
                </c:pt>
                <c:pt idx="183">
                  <c:v>application site erythema</c:v>
                </c:pt>
                <c:pt idx="184">
                  <c:v>cutaneous vasculitis</c:v>
                </c:pt>
                <c:pt idx="185">
                  <c:v>diarrhoea</c:v>
                </c:pt>
                <c:pt idx="186">
                  <c:v>flushing</c:v>
                </c:pt>
                <c:pt idx="187">
                  <c:v>herpes zoster</c:v>
                </c:pt>
                <c:pt idx="188">
                  <c:v>rash vesicular</c:v>
                </c:pt>
                <c:pt idx="189">
                  <c:v>vomiting</c:v>
                </c:pt>
                <c:pt idx="190">
                  <c:v>abdominal discomfort</c:v>
                </c:pt>
                <c:pt idx="191">
                  <c:v>abscess</c:v>
                </c:pt>
                <c:pt idx="192">
                  <c:v>agranulocytosis</c:v>
                </c:pt>
                <c:pt idx="193">
                  <c:v>blood urea increased</c:v>
                </c:pt>
                <c:pt idx="194">
                  <c:v>candida infection</c:v>
                </c:pt>
                <c:pt idx="195">
                  <c:v>depressed level of consciousness</c:v>
                </c:pt>
                <c:pt idx="196">
                  <c:v>eczema</c:v>
                </c:pt>
                <c:pt idx="197">
                  <c:v>hepatotoxicity</c:v>
                </c:pt>
                <c:pt idx="198">
                  <c:v>hyperhidriosis</c:v>
                </c:pt>
                <c:pt idx="199">
                  <c:v>lymphadenopathie</c:v>
                </c:pt>
                <c:pt idx="200">
                  <c:v>medication error</c:v>
                </c:pt>
                <c:pt idx="201">
                  <c:v>oral pain</c:v>
                </c:pt>
                <c:pt idx="202">
                  <c:v>oropharyngeal pain</c:v>
                </c:pt>
                <c:pt idx="203">
                  <c:v>overdose</c:v>
                </c:pt>
                <c:pt idx="204">
                  <c:v>papule</c:v>
                </c:pt>
                <c:pt idx="205">
                  <c:v>pharyngitis</c:v>
                </c:pt>
                <c:pt idx="206">
                  <c:v>pulmonary congestion</c:v>
                </c:pt>
                <c:pt idx="207">
                  <c:v>red blood cell sedimentation rate increased</c:v>
                </c:pt>
                <c:pt idx="208">
                  <c:v>scar</c:v>
                </c:pt>
                <c:pt idx="209">
                  <c:v>swollen tongue</c:v>
                </c:pt>
                <c:pt idx="210">
                  <c:v>tubulointestitial nephritis</c:v>
                </c:pt>
                <c:pt idx="211">
                  <c:v>activated partial thromboplastin time prolonged</c:v>
                </c:pt>
                <c:pt idx="212">
                  <c:v>anaemia</c:v>
                </c:pt>
                <c:pt idx="213">
                  <c:v>angina pectoris</c:v>
                </c:pt>
                <c:pt idx="214">
                  <c:v>application site discoloration</c:v>
                </c:pt>
                <c:pt idx="215">
                  <c:v>application site discharge</c:v>
                </c:pt>
                <c:pt idx="216">
                  <c:v>application site eczema</c:v>
                </c:pt>
                <c:pt idx="217">
                  <c:v>application site oedema</c:v>
                </c:pt>
                <c:pt idx="218">
                  <c:v>application site pruritus</c:v>
                </c:pt>
                <c:pt idx="219">
                  <c:v>asteatosis</c:v>
                </c:pt>
                <c:pt idx="220">
                  <c:v>atelectasis</c:v>
                </c:pt>
                <c:pt idx="221">
                  <c:v>base excess increased</c:v>
                </c:pt>
                <c:pt idx="222">
                  <c:v>blood bicarbonate decreased</c:v>
                </c:pt>
                <c:pt idx="223">
                  <c:v>blood immunglobulin-E increased</c:v>
                </c:pt>
                <c:pt idx="224">
                  <c:v>blood magnesium abnormal</c:v>
                </c:pt>
                <c:pt idx="225">
                  <c:v>borrelia infection</c:v>
                </c:pt>
                <c:pt idx="226">
                  <c:v>buccal muccosal roughening</c:v>
                </c:pt>
                <c:pt idx="227">
                  <c:v>burns first degree</c:v>
                </c:pt>
                <c:pt idx="228">
                  <c:v>burns second degree</c:v>
                </c:pt>
                <c:pt idx="229">
                  <c:v>capillaritis</c:v>
                </c:pt>
                <c:pt idx="230">
                  <c:v>chemical injury</c:v>
                </c:pt>
                <c:pt idx="231">
                  <c:v>chondritis</c:v>
                </c:pt>
                <c:pt idx="232">
                  <c:v>conduction disorder</c:v>
                </c:pt>
                <c:pt idx="233">
                  <c:v>dandruff</c:v>
                </c:pt>
                <c:pt idx="234">
                  <c:v>decreased appetite</c:v>
                </c:pt>
                <c:pt idx="235">
                  <c:v>drug administration error</c:v>
                </c:pt>
                <c:pt idx="236">
                  <c:v>drug intolerance</c:v>
                </c:pt>
                <c:pt idx="237">
                  <c:v>ear disorder</c:v>
                </c:pt>
                <c:pt idx="238">
                  <c:v>ear pain</c:v>
                </c:pt>
                <c:pt idx="239">
                  <c:v>ear swelling</c:v>
                </c:pt>
                <c:pt idx="240">
                  <c:v>embolism arterial</c:v>
                </c:pt>
                <c:pt idx="241">
                  <c:v>enanthema</c:v>
                </c:pt>
                <c:pt idx="242">
                  <c:v>eosinophile count increased</c:v>
                </c:pt>
                <c:pt idx="243">
                  <c:v>epidermolysis bullosa</c:v>
                </c:pt>
                <c:pt idx="244">
                  <c:v>eye haemorrhage</c:v>
                </c:pt>
                <c:pt idx="245">
                  <c:v>eye inflammation</c:v>
                </c:pt>
                <c:pt idx="246">
                  <c:v>face oedema</c:v>
                </c:pt>
                <c:pt idx="247">
                  <c:v>fascilitis</c:v>
                </c:pt>
                <c:pt idx="248">
                  <c:v>foot fraction</c:v>
                </c:pt>
                <c:pt idx="249">
                  <c:v>gait disturbance</c:v>
                </c:pt>
                <c:pt idx="250">
                  <c:v>gastric ulcer haemorrhage</c:v>
                </c:pt>
                <c:pt idx="251">
                  <c:v>gastrointestinal pain</c:v>
                </c:pt>
                <c:pt idx="252">
                  <c:v>glaucoma</c:v>
                </c:pt>
                <c:pt idx="253">
                  <c:v>granulocytopenia</c:v>
                </c:pt>
                <c:pt idx="254">
                  <c:v>heart rate decreased</c:v>
                </c:pt>
                <c:pt idx="255">
                  <c:v>hyperkeratosis</c:v>
                </c:pt>
                <c:pt idx="256">
                  <c:v>hyperventilation</c:v>
                </c:pt>
                <c:pt idx="257">
                  <c:v>hypoaesthesia</c:v>
                </c:pt>
                <c:pt idx="258">
                  <c:v>hypokinesia</c:v>
                </c:pt>
                <c:pt idx="259">
                  <c:v>influenza</c:v>
                </c:pt>
                <c:pt idx="260">
                  <c:v>injection site inflammation</c:v>
                </c:pt>
                <c:pt idx="261">
                  <c:v>lipoma</c:v>
                </c:pt>
                <c:pt idx="262">
                  <c:v>lipomatosis</c:v>
                </c:pt>
                <c:pt idx="263">
                  <c:v>melaena</c:v>
                </c:pt>
                <c:pt idx="264">
                  <c:v>metabolic acidosis</c:v>
                </c:pt>
                <c:pt idx="265">
                  <c:v>metaplasia</c:v>
                </c:pt>
                <c:pt idx="266">
                  <c:v>mucous membrane disorder</c:v>
                </c:pt>
                <c:pt idx="267">
                  <c:v>musculoskeletal stiffness</c:v>
                </c:pt>
                <c:pt idx="268">
                  <c:v>myositis</c:v>
                </c:pt>
                <c:pt idx="269">
                  <c:v>nasopharyngitis</c:v>
                </c:pt>
                <c:pt idx="270">
                  <c:v>nodul</c:v>
                </c:pt>
                <c:pt idx="271">
                  <c:v>oral mucosal blistering</c:v>
                </c:pt>
                <c:pt idx="272">
                  <c:v>oxygen saturation decreased</c:v>
                </c:pt>
                <c:pt idx="273">
                  <c:v>pancreatic enyzme increased</c:v>
                </c:pt>
                <c:pt idx="274">
                  <c:v>pancreatitis</c:v>
                </c:pt>
                <c:pt idx="275">
                  <c:v>paralysis</c:v>
                </c:pt>
                <c:pt idx="276">
                  <c:v>petechiae</c:v>
                </c:pt>
                <c:pt idx="277">
                  <c:v>pleural effusion</c:v>
                </c:pt>
                <c:pt idx="278">
                  <c:v>pneumonitis</c:v>
                </c:pt>
                <c:pt idx="279">
                  <c:v>poor peripheral circulation</c:v>
                </c:pt>
                <c:pt idx="280">
                  <c:v>PO2 decreased</c:v>
                </c:pt>
                <c:pt idx="281">
                  <c:v>prothrombin time prolonged</c:v>
                </c:pt>
                <c:pt idx="282">
                  <c:v>pulmonary embolism</c:v>
                </c:pt>
                <c:pt idx="283">
                  <c:v>purulent discharge</c:v>
                </c:pt>
                <c:pt idx="284">
                  <c:v>rash exfoliativ</c:v>
                </c:pt>
                <c:pt idx="285">
                  <c:v>rash papulosquamous</c:v>
                </c:pt>
                <c:pt idx="286">
                  <c:v>renal cyst</c:v>
                </c:pt>
                <c:pt idx="287">
                  <c:v>renal vasculitis</c:v>
                </c:pt>
                <c:pt idx="288">
                  <c:v>respiratory failure</c:v>
                </c:pt>
                <c:pt idx="289">
                  <c:v>salivary hypersecretion</c:v>
                </c:pt>
                <c:pt idx="290">
                  <c:v>sinus tachycardia</c:v>
                </c:pt>
                <c:pt idx="291">
                  <c:v>skin hyperpigmentation</c:v>
                </c:pt>
                <c:pt idx="292">
                  <c:v>skin hypertrophie</c:v>
                </c:pt>
                <c:pt idx="293">
                  <c:v>skin injury</c:v>
                </c:pt>
                <c:pt idx="294">
                  <c:v>skin neoplasm</c:v>
                </c:pt>
                <c:pt idx="295">
                  <c:v>skin swelling</c:v>
                </c:pt>
                <c:pt idx="296">
                  <c:v>skin thightness</c:v>
                </c:pt>
                <c:pt idx="297">
                  <c:v>speech disorder</c:v>
                </c:pt>
                <c:pt idx="298">
                  <c:v>streptococcus test postitive</c:v>
                </c:pt>
                <c:pt idx="299">
                  <c:v>throat irritation</c:v>
                </c:pt>
                <c:pt idx="300">
                  <c:v>thombosis</c:v>
                </c:pt>
                <c:pt idx="301">
                  <c:v>trychophytosis</c:v>
                </c:pt>
                <c:pt idx="302">
                  <c:v>vasodilatation</c:v>
                </c:pt>
                <c:pt idx="303">
                  <c:v>visual acuity reduced</c:v>
                </c:pt>
                <c:pt idx="304">
                  <c:v>weight increased</c:v>
                </c:pt>
                <c:pt idx="305">
                  <c:v>vulvovaginal rash</c:v>
                </c:pt>
                <c:pt idx="306">
                  <c:v>wound infection</c:v>
                </c:pt>
                <c:pt idx="307">
                  <c:v>xanthopsia</c:v>
                </c:pt>
                <c:pt idx="308">
                  <c:v>intraocular pressure increased</c:v>
                </c:pt>
              </c:strCache>
            </c:strRef>
          </c:cat>
          <c:val>
            <c:numRef>
              <c:f>'interim analysis'!$A$14:$A$322</c:f>
              <c:numCache>
                <c:formatCode>General</c:formatCode>
                <c:ptCount val="309"/>
                <c:pt idx="0">
                  <c:v>103</c:v>
                </c:pt>
                <c:pt idx="1">
                  <c:v>86</c:v>
                </c:pt>
                <c:pt idx="2">
                  <c:v>32</c:v>
                </c:pt>
                <c:pt idx="3">
                  <c:v>23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B-4B11-923A-0E6CFF017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v>Komedikation</c:v>
          </c:tx>
          <c:cat>
            <c:strRef>
              <c:f>'interim analysis'!$O$14:$O$78</c:f>
              <c:strCache>
                <c:ptCount val="65"/>
                <c:pt idx="0">
                  <c:v>analgesic</c:v>
                </c:pt>
                <c:pt idx="1">
                  <c:v>other</c:v>
                </c:pt>
                <c:pt idx="2">
                  <c:v>antibiotics</c:v>
                </c:pt>
                <c:pt idx="3">
                  <c:v>diuretics</c:v>
                </c:pt>
                <c:pt idx="4">
                  <c:v>antihypertensives (Antihypertensive und Antihypertonikum)</c:v>
                </c:pt>
                <c:pt idx="5">
                  <c:v>glucocorticoids</c:v>
                </c:pt>
                <c:pt idx="6">
                  <c:v>psychotropic drugs (benzodiazepine)</c:v>
                </c:pt>
                <c:pt idx="7">
                  <c:v>anticoagulants/antithrombotics</c:v>
                </c:pt>
                <c:pt idx="8">
                  <c:v>antiepileptics</c:v>
                </c:pt>
                <c:pt idx="9">
                  <c:v>ulcer therapeutic agents</c:v>
                </c:pt>
                <c:pt idx="10">
                  <c:v>antihistamines</c:v>
                </c:pt>
                <c:pt idx="11">
                  <c:v>uricostatics</c:v>
                </c:pt>
                <c:pt idx="12">
                  <c:v>mucokinetics (Exspektorans)</c:v>
                </c:pt>
                <c:pt idx="13">
                  <c:v>antidiabetics</c:v>
                </c:pt>
                <c:pt idx="14">
                  <c:v>vasodilatator</c:v>
                </c:pt>
                <c:pt idx="15">
                  <c:v>anaesthetic</c:v>
                </c:pt>
                <c:pt idx="16">
                  <c:v>prokinetic agents</c:v>
                </c:pt>
                <c:pt idx="17">
                  <c:v>muscle relaxant</c:v>
                </c:pt>
                <c:pt idx="18">
                  <c:v>antiasthmatics</c:v>
                </c:pt>
                <c:pt idx="19">
                  <c:v>antidepressants</c:v>
                </c:pt>
                <c:pt idx="20">
                  <c:v>sympathomimetics</c:v>
                </c:pt>
                <c:pt idx="21">
                  <c:v>hormones</c:v>
                </c:pt>
                <c:pt idx="22">
                  <c:v>cardiac glycoside</c:v>
                </c:pt>
                <c:pt idx="23">
                  <c:v>amino acids</c:v>
                </c:pt>
                <c:pt idx="24">
                  <c:v>antidots</c:v>
                </c:pt>
                <c:pt idx="25">
                  <c:v>antimycotic</c:v>
                </c:pt>
                <c:pt idx="26">
                  <c:v>antivirals</c:v>
                </c:pt>
                <c:pt idx="27">
                  <c:v>antipsychotics</c:v>
                </c:pt>
                <c:pt idx="28">
                  <c:v>calcium channel blockers</c:v>
                </c:pt>
                <c:pt idx="29">
                  <c:v>hypnotics</c:v>
                </c:pt>
                <c:pt idx="30">
                  <c:v>lipid-lowering agents</c:v>
                </c:pt>
                <c:pt idx="31">
                  <c:v>parasympatholytics</c:v>
                </c:pt>
                <c:pt idx="32">
                  <c:v>immunosuppressives</c:v>
                </c:pt>
                <c:pt idx="33">
                  <c:v>butyrophenone</c:v>
                </c:pt>
                <c:pt idx="34">
                  <c:v>antiarrhythmic agents</c:v>
                </c:pt>
                <c:pt idx="35">
                  <c:v>antidiarrheals</c:v>
                </c:pt>
                <c:pt idx="36">
                  <c:v>antihypotonics</c:v>
                </c:pt>
                <c:pt idx="37">
                  <c:v>contrast agent</c:v>
                </c:pt>
                <c:pt idx="38">
                  <c:v>cytostatics</c:v>
                </c:pt>
                <c:pt idx="39">
                  <c:v>parasympatomimetics</c:v>
                </c:pt>
                <c:pt idx="40">
                  <c:v>prostaglandins</c:v>
                </c:pt>
                <c:pt idx="41">
                  <c:v>sympatholytics</c:v>
                </c:pt>
                <c:pt idx="42">
                  <c:v>bisphosphonates</c:v>
                </c:pt>
                <c:pt idx="43">
                  <c:v>antiparkinsonian</c:v>
                </c:pt>
                <c:pt idx="44">
                  <c:v>neuropathy agent</c:v>
                </c:pt>
                <c:pt idx="45">
                  <c:v>antiseptic agents</c:v>
                </c:pt>
                <c:pt idx="46">
                  <c:v>antithyroid</c:v>
                </c:pt>
                <c:pt idx="47">
                  <c:v>beta-lactamase-inhibitor</c:v>
                </c:pt>
                <c:pt idx="48">
                  <c:v>HIV medications</c:v>
                </c:pt>
                <c:pt idx="49">
                  <c:v>phosphodiesterase inhibitors</c:v>
                </c:pt>
                <c:pt idx="50">
                  <c:v>vasoconstrictor</c:v>
                </c:pt>
                <c:pt idx="51">
                  <c:v>anti-acne preparation</c:v>
                </c:pt>
                <c:pt idx="52">
                  <c:v>antidiuretics</c:v>
                </c:pt>
                <c:pt idx="53">
                  <c:v>antifibrinolytics</c:v>
                </c:pt>
                <c:pt idx="54">
                  <c:v>antiglaucomatous</c:v>
                </c:pt>
                <c:pt idx="55">
                  <c:v>antimalarials</c:v>
                </c:pt>
                <c:pt idx="56">
                  <c:v>antitussive agents</c:v>
                </c:pt>
                <c:pt idx="57">
                  <c:v>antivertiginous</c:v>
                </c:pt>
                <c:pt idx="58">
                  <c:v>keratolytics</c:v>
                </c:pt>
                <c:pt idx="59">
                  <c:v>nootropics</c:v>
                </c:pt>
                <c:pt idx="60">
                  <c:v>spasmolytic</c:v>
                </c:pt>
                <c:pt idx="61">
                  <c:v>vein medication</c:v>
                </c:pt>
                <c:pt idx="62">
                  <c:v>immunomodulators</c:v>
                </c:pt>
                <c:pt idx="63">
                  <c:v>prostate drug</c:v>
                </c:pt>
                <c:pt idx="64">
                  <c:v>vaccination</c:v>
                </c:pt>
              </c:strCache>
            </c:strRef>
          </c:cat>
          <c:val>
            <c:numRef>
              <c:f>'interim analysis'!$P$14:$P$78</c:f>
              <c:numCache>
                <c:formatCode>General</c:formatCode>
                <c:ptCount val="65"/>
                <c:pt idx="0">
                  <c:v>420</c:v>
                </c:pt>
                <c:pt idx="1">
                  <c:v>232</c:v>
                </c:pt>
                <c:pt idx="2">
                  <c:v>126</c:v>
                </c:pt>
                <c:pt idx="3">
                  <c:v>83</c:v>
                </c:pt>
                <c:pt idx="4">
                  <c:v>72</c:v>
                </c:pt>
                <c:pt idx="5">
                  <c:v>65</c:v>
                </c:pt>
                <c:pt idx="6">
                  <c:v>57</c:v>
                </c:pt>
                <c:pt idx="7">
                  <c:v>44</c:v>
                </c:pt>
                <c:pt idx="8">
                  <c:v>43</c:v>
                </c:pt>
                <c:pt idx="9">
                  <c:v>41</c:v>
                </c:pt>
                <c:pt idx="10">
                  <c:v>40</c:v>
                </c:pt>
                <c:pt idx="11">
                  <c:v>40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24</c:v>
                </c:pt>
                <c:pt idx="16">
                  <c:v>23</c:v>
                </c:pt>
                <c:pt idx="17">
                  <c:v>21</c:v>
                </c:pt>
                <c:pt idx="18">
                  <c:v>19</c:v>
                </c:pt>
                <c:pt idx="19">
                  <c:v>18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12</c:v>
                </c:pt>
                <c:pt idx="24">
                  <c:v>10</c:v>
                </c:pt>
                <c:pt idx="25">
                  <c:v>10</c:v>
                </c:pt>
                <c:pt idx="26">
                  <c:v>9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7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8-4144-9B17-9A4371356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</xdr:row>
      <xdr:rowOff>50800</xdr:rowOff>
    </xdr:from>
    <xdr:to>
      <xdr:col>7</xdr:col>
      <xdr:colOff>368300</xdr:colOff>
      <xdr:row>13</xdr:row>
      <xdr:rowOff>12700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317500</xdr:colOff>
      <xdr:row>1</xdr:row>
      <xdr:rowOff>50800</xdr:rowOff>
    </xdr:from>
    <xdr:to>
      <xdr:col>15</xdr:col>
      <xdr:colOff>38100</xdr:colOff>
      <xdr:row>12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660400</xdr:colOff>
      <xdr:row>15</xdr:row>
      <xdr:rowOff>114300</xdr:rowOff>
    </xdr:from>
    <xdr:to>
      <xdr:col>12</xdr:col>
      <xdr:colOff>203200</xdr:colOff>
      <xdr:row>31</xdr:row>
      <xdr:rowOff>12700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431800</xdr:colOff>
      <xdr:row>17</xdr:row>
      <xdr:rowOff>63500</xdr:rowOff>
    </xdr:from>
    <xdr:to>
      <xdr:col>23</xdr:col>
      <xdr:colOff>190500</xdr:colOff>
      <xdr:row>32</xdr:row>
      <xdr:rowOff>139700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G557"/>
  <sheetViews>
    <sheetView tabSelected="1" zoomScaleNormal="100" workbookViewId="0">
      <pane xSplit="2" ySplit="3" topLeftCell="LD4" activePane="bottomRight" state="frozen"/>
      <selection pane="topRight" activeCell="B1" sqref="B1"/>
      <selection pane="bottomLeft" activeCell="A2" sqref="A2"/>
      <selection pane="bottomRight" activeCell="JY6" sqref="JY6"/>
    </sheetView>
  </sheetViews>
  <sheetFormatPr baseColWidth="10" defaultColWidth="8.85546875" defaultRowHeight="15" x14ac:dyDescent="0.25"/>
  <cols>
    <col min="2" max="2" width="24.85546875" style="1" customWidth="1"/>
    <col min="3" max="3" width="4.85546875" customWidth="1"/>
    <col min="4" max="4" width="10.85546875" customWidth="1"/>
    <col min="5" max="5" width="102.85546875" bestFit="1" customWidth="1"/>
    <col min="6" max="6" width="5.28515625" style="23" customWidth="1"/>
    <col min="7" max="7" width="7.85546875" style="23" bestFit="1" customWidth="1"/>
    <col min="8" max="8" width="21.85546875" style="23" bestFit="1" customWidth="1"/>
    <col min="9" max="12" width="10.28515625" customWidth="1"/>
    <col min="13" max="13" width="18.42578125" bestFit="1" customWidth="1"/>
    <col min="14" max="14" width="7.28515625" customWidth="1"/>
    <col min="15" max="15" width="7.7109375" bestFit="1" customWidth="1"/>
    <col min="16" max="16" width="6.42578125" customWidth="1"/>
    <col min="17" max="17" width="6.7109375" customWidth="1"/>
    <col min="18" max="18" width="9.42578125" customWidth="1"/>
    <col min="19" max="19" width="12.85546875" customWidth="1"/>
    <col min="20" max="20" width="14.85546875" customWidth="1"/>
    <col min="21" max="21" width="13.28515625" bestFit="1" customWidth="1"/>
    <col min="22" max="22" width="7.42578125" customWidth="1"/>
    <col min="23" max="23" width="12.28515625" customWidth="1"/>
    <col min="24" max="24" width="17.42578125" customWidth="1"/>
    <col min="25" max="25" width="12.85546875" customWidth="1"/>
    <col min="26" max="26" width="14.85546875" customWidth="1"/>
    <col min="27" max="27" width="9.85546875" customWidth="1"/>
    <col min="28" max="28" width="4.85546875" customWidth="1"/>
    <col min="29" max="29" width="12.42578125" customWidth="1"/>
    <col min="30" max="30" width="20.42578125" customWidth="1"/>
    <col min="31" max="31" width="13.28515625" customWidth="1"/>
    <col min="32" max="32" width="10.42578125" customWidth="1"/>
    <col min="33" max="33" width="8.28515625" customWidth="1"/>
    <col min="34" max="34" width="7.140625" customWidth="1"/>
    <col min="35" max="35" width="11.140625" customWidth="1"/>
    <col min="36" max="36" width="12.42578125" customWidth="1"/>
    <col min="37" max="37" width="10.140625" customWidth="1"/>
    <col min="38" max="38" width="7.42578125" customWidth="1"/>
    <col min="39" max="39" width="16.42578125" customWidth="1"/>
    <col min="40" max="40" width="15.42578125" customWidth="1"/>
    <col min="41" max="41" width="13.28515625" customWidth="1"/>
    <col min="42" max="42" width="21.7109375" customWidth="1"/>
    <col min="43" max="43" width="14.42578125" customWidth="1"/>
    <col min="44" max="44" width="17.28515625" customWidth="1"/>
    <col min="45" max="45" width="12.28515625" customWidth="1"/>
    <col min="46" max="46" width="36.42578125" customWidth="1"/>
    <col min="47" max="47" width="26.28515625" customWidth="1"/>
    <col min="48" max="48" width="20.42578125" customWidth="1"/>
    <col min="49" max="49" width="9" customWidth="1"/>
    <col min="50" max="50" width="12" customWidth="1"/>
    <col min="51" max="51" width="17.7109375" customWidth="1"/>
    <col min="52" max="52" width="19" customWidth="1"/>
    <col min="53" max="53" width="6.42578125" customWidth="1"/>
    <col min="54" max="54" width="8.42578125" customWidth="1"/>
    <col min="55" max="55" width="17.7109375" customWidth="1"/>
    <col min="56" max="56" width="14.7109375" customWidth="1"/>
    <col min="57" max="57" width="36" customWidth="1"/>
    <col min="58" max="58" width="12.85546875" customWidth="1"/>
    <col min="59" max="59" width="11" customWidth="1"/>
    <col min="60" max="60" width="12.140625" customWidth="1"/>
    <col min="61" max="61" width="4.85546875" customWidth="1"/>
    <col min="62" max="62" width="16.7109375" customWidth="1"/>
    <col min="63" max="63" width="14.140625" customWidth="1"/>
    <col min="64" max="64" width="8.28515625" customWidth="1"/>
    <col min="65" max="65" width="15.28515625" customWidth="1"/>
    <col min="66" max="66" width="10.85546875" customWidth="1"/>
    <col min="67" max="67" width="22.7109375" customWidth="1"/>
    <col min="68" max="68" width="23.85546875" customWidth="1"/>
    <col min="69" max="69" width="5.42578125" customWidth="1"/>
    <col min="70" max="70" width="19.85546875" customWidth="1"/>
    <col min="71" max="71" width="17.7109375" customWidth="1"/>
    <col min="72" max="72" width="8.42578125" customWidth="1"/>
    <col min="73" max="73" width="24.42578125" customWidth="1"/>
    <col min="74" max="74" width="13.140625" customWidth="1"/>
    <col min="75" max="75" width="11.140625" customWidth="1"/>
    <col min="76" max="76" width="7.85546875" customWidth="1"/>
    <col min="77" max="77" width="7.28515625" customWidth="1"/>
    <col min="78" max="78" width="18.42578125" customWidth="1"/>
    <col min="79" max="79" width="13.85546875" customWidth="1"/>
    <col min="80" max="80" width="9.140625" customWidth="1"/>
    <col min="81" max="81" width="41.42578125" customWidth="1"/>
    <col min="82" max="82" width="18.140625" customWidth="1"/>
    <col min="83" max="83" width="16.140625" bestFit="1" customWidth="1"/>
    <col min="84" max="84" width="14.42578125" customWidth="1"/>
    <col min="85" max="85" width="20.42578125" customWidth="1"/>
    <col min="86" max="86" width="7.85546875" customWidth="1"/>
    <col min="87" max="88" width="12.42578125" customWidth="1"/>
    <col min="89" max="89" width="17.7109375" customWidth="1"/>
    <col min="90" max="90" width="16" customWidth="1"/>
    <col min="91" max="91" width="24" customWidth="1"/>
    <col min="92" max="92" width="8.42578125" customWidth="1"/>
    <col min="93" max="93" width="18.28515625" customWidth="1"/>
    <col min="94" max="94" width="12" customWidth="1"/>
    <col min="95" max="95" width="19" customWidth="1"/>
    <col min="96" max="96" width="9.42578125" customWidth="1"/>
    <col min="97" max="97" width="8.140625" customWidth="1"/>
    <col min="98" max="98" width="14.42578125" customWidth="1"/>
    <col min="99" max="99" width="11.42578125" customWidth="1"/>
    <col min="100" max="100" width="19" customWidth="1"/>
    <col min="101" max="101" width="13.140625" customWidth="1"/>
    <col min="102" max="102" width="13.7109375" customWidth="1"/>
    <col min="103" max="103" width="8" customWidth="1"/>
    <col min="104" max="104" width="13.140625" customWidth="1"/>
    <col min="105" max="105" width="15.140625" customWidth="1"/>
    <col min="107" max="107" width="20.7109375" customWidth="1"/>
    <col min="108" max="108" width="7.7109375" customWidth="1"/>
    <col min="109" max="109" width="14.85546875" customWidth="1"/>
    <col min="110" max="110" width="7.42578125" customWidth="1"/>
    <col min="111" max="111" width="9.42578125" customWidth="1"/>
    <col min="112" max="112" width="8" customWidth="1"/>
    <col min="113" max="113" width="19.85546875" customWidth="1"/>
    <col min="114" max="114" width="16.42578125" customWidth="1"/>
    <col min="115" max="115" width="13.42578125" customWidth="1"/>
    <col min="116" max="116" width="10" customWidth="1"/>
    <col min="117" max="117" width="6.28515625" customWidth="1"/>
    <col min="118" max="118" width="31.140625" customWidth="1"/>
    <col min="119" max="119" width="20" customWidth="1"/>
    <col min="120" max="120" width="23.7109375" bestFit="1" customWidth="1"/>
    <col min="121" max="121" width="7.7109375" customWidth="1"/>
    <col min="122" max="122" width="7.28515625" customWidth="1"/>
    <col min="123" max="123" width="14" customWidth="1"/>
    <col min="124" max="124" width="13.85546875" customWidth="1"/>
    <col min="125" max="125" width="15" customWidth="1"/>
    <col min="126" max="126" width="16.140625" customWidth="1"/>
    <col min="127" max="127" width="12.7109375" customWidth="1"/>
    <col min="128" max="128" width="18.140625" customWidth="1"/>
    <col min="129" max="129" width="12.7109375" customWidth="1"/>
    <col min="130" max="130" width="16.42578125" customWidth="1"/>
    <col min="131" max="131" width="21" customWidth="1"/>
    <col min="132" max="132" width="17.7109375" customWidth="1"/>
    <col min="133" max="133" width="8.28515625" customWidth="1"/>
    <col min="134" max="134" width="18.28515625" customWidth="1"/>
    <col min="135" max="135" width="8.7109375" customWidth="1"/>
    <col min="136" max="136" width="18.28515625" customWidth="1"/>
    <col min="137" max="137" width="9.28515625" customWidth="1"/>
    <col min="138" max="138" width="7.140625" customWidth="1"/>
    <col min="139" max="139" width="10.85546875" customWidth="1"/>
    <col min="140" max="140" width="21" customWidth="1"/>
    <col min="141" max="141" width="17.85546875" customWidth="1"/>
    <col min="142" max="142" width="40.42578125" customWidth="1"/>
    <col min="143" max="143" width="4.42578125" customWidth="1"/>
    <col min="144" max="144" width="6" customWidth="1"/>
    <col min="145" max="145" width="10.42578125" customWidth="1"/>
    <col min="146" max="146" width="12.42578125" customWidth="1"/>
    <col min="147" max="147" width="14.85546875" customWidth="1"/>
    <col min="148" max="148" width="24.28515625" customWidth="1"/>
    <col min="149" max="149" width="20.42578125" customWidth="1"/>
    <col min="150" max="150" width="44.7109375" customWidth="1"/>
    <col min="151" max="151" width="32.140625" customWidth="1"/>
    <col min="153" max="153" width="8.42578125" customWidth="1"/>
    <col min="154" max="154" width="11.85546875" customWidth="1"/>
    <col min="155" max="155" width="14.42578125" customWidth="1"/>
    <col min="156" max="156" width="33.85546875" bestFit="1" customWidth="1"/>
    <col min="157" max="157" width="17.42578125" customWidth="1"/>
    <col min="158" max="158" width="26.42578125" customWidth="1"/>
    <col min="159" max="159" width="23.85546875" customWidth="1"/>
    <col min="160" max="160" width="22.140625" customWidth="1"/>
    <col min="161" max="161" width="22.7109375" customWidth="1"/>
    <col min="162" max="162" width="22.42578125" customWidth="1"/>
    <col min="163" max="163" width="26.140625" customWidth="1"/>
    <col min="164" max="164" width="9.85546875" customWidth="1"/>
    <col min="165" max="165" width="10.42578125" customWidth="1"/>
    <col min="166" max="166" width="9.28515625" customWidth="1"/>
    <col min="167" max="167" width="20.7109375" customWidth="1"/>
    <col min="168" max="168" width="23.42578125" customWidth="1"/>
    <col min="169" max="169" width="27.28515625" customWidth="1"/>
    <col min="170" max="170" width="36.42578125" customWidth="1"/>
    <col min="171" max="171" width="31.42578125" customWidth="1"/>
    <col min="172" max="172" width="26.28515625" customWidth="1"/>
    <col min="173" max="173" width="16.42578125" customWidth="1"/>
    <col min="174" max="174" width="26.28515625" customWidth="1"/>
    <col min="175" max="175" width="16.85546875" customWidth="1"/>
    <col min="176" max="176" width="19.7109375" customWidth="1"/>
    <col min="177" max="177" width="10.140625" customWidth="1"/>
    <col min="178" max="178" width="12.140625" customWidth="1"/>
    <col min="179" max="179" width="8" customWidth="1"/>
    <col min="180" max="180" width="14.42578125" customWidth="1"/>
    <col min="181" max="181" width="9.85546875" customWidth="1"/>
    <col min="182" max="182" width="12.7109375" customWidth="1"/>
    <col min="183" max="183" width="19" customWidth="1"/>
    <col min="184" max="184" width="16.28515625" customWidth="1"/>
    <col min="185" max="185" width="7.140625" customWidth="1"/>
    <col min="186" max="186" width="20" customWidth="1"/>
    <col min="187" max="187" width="8.7109375" customWidth="1"/>
    <col min="188" max="188" width="18.42578125" customWidth="1"/>
    <col min="189" max="189" width="11.85546875" customWidth="1"/>
    <col min="190" max="190" width="10.85546875" customWidth="1"/>
    <col min="191" max="191" width="36.28515625" customWidth="1"/>
    <col min="192" max="192" width="9" customWidth="1"/>
    <col min="193" max="193" width="23.7109375" customWidth="1"/>
    <col min="194" max="194" width="15.7109375" customWidth="1"/>
    <col min="195" max="195" width="9.85546875" customWidth="1"/>
    <col min="196" max="196" width="11.7109375" customWidth="1"/>
    <col min="197" max="197" width="8.140625" customWidth="1"/>
    <col min="198" max="198" width="11.7109375" customWidth="1"/>
    <col min="199" max="199" width="17.42578125" customWidth="1"/>
    <col min="200" max="200" width="16" customWidth="1"/>
    <col min="201" max="201" width="17.42578125" customWidth="1"/>
    <col min="202" max="202" width="11.140625" customWidth="1"/>
    <col min="203" max="203" width="26.42578125" customWidth="1"/>
    <col min="204" max="204" width="13.7109375" customWidth="1"/>
    <col min="205" max="205" width="20.7109375" customWidth="1"/>
    <col min="206" max="206" width="15" bestFit="1" customWidth="1"/>
    <col min="207" max="207" width="16.7109375" customWidth="1"/>
    <col min="208" max="208" width="16.85546875" customWidth="1"/>
    <col min="209" max="209" width="12.42578125" customWidth="1"/>
    <col min="210" max="210" width="8.28515625" customWidth="1"/>
    <col min="211" max="211" width="12" customWidth="1"/>
    <col min="212" max="212" width="15.140625" customWidth="1"/>
    <col min="213" max="213" width="15.28515625" customWidth="1"/>
    <col min="214" max="214" width="24.28515625" customWidth="1"/>
    <col min="215" max="215" width="22.42578125" customWidth="1"/>
    <col min="216" max="216" width="19.42578125" customWidth="1"/>
    <col min="217" max="217" width="9.85546875" customWidth="1"/>
    <col min="218" max="218" width="5" customWidth="1"/>
    <col min="219" max="219" width="16.42578125" customWidth="1"/>
    <col min="220" max="220" width="12.85546875" customWidth="1"/>
    <col min="221" max="221" width="9.42578125" customWidth="1"/>
    <col min="222" max="222" width="19.42578125" customWidth="1"/>
    <col min="223" max="223" width="16.85546875" customWidth="1"/>
    <col min="224" max="224" width="14.28515625" customWidth="1"/>
    <col min="225" max="225" width="24.28515625" customWidth="1"/>
    <col min="226" max="226" width="17.85546875" customWidth="1"/>
    <col min="227" max="227" width="15.85546875" customWidth="1"/>
    <col min="228" max="228" width="16" customWidth="1"/>
    <col min="229" max="229" width="14" customWidth="1"/>
    <col min="230" max="230" width="12.140625" customWidth="1"/>
    <col min="231" max="231" width="26" customWidth="1"/>
    <col min="232" max="232" width="9.28515625" customWidth="1"/>
    <col min="233" max="233" width="25.42578125" customWidth="1"/>
    <col min="234" max="234" width="8.42578125" customWidth="1"/>
    <col min="235" max="235" width="8.28515625" customWidth="1"/>
    <col min="236" max="236" width="9.85546875" customWidth="1"/>
    <col min="237" max="237" width="11" customWidth="1"/>
    <col min="238" max="238" width="24.28515625" customWidth="1"/>
    <col min="239" max="239" width="7.140625" customWidth="1"/>
    <col min="240" max="240" width="11.28515625" customWidth="1"/>
    <col min="241" max="241" width="26.42578125" customWidth="1"/>
    <col min="242" max="242" width="8.7109375" customWidth="1"/>
    <col min="243" max="243" width="17.42578125" customWidth="1"/>
    <col min="244" max="244" width="10.7109375" customWidth="1"/>
    <col min="245" max="245" width="14.85546875" customWidth="1"/>
    <col min="246" max="246" width="14.42578125" customWidth="1"/>
    <col min="247" max="247" width="26.42578125" customWidth="1"/>
    <col min="248" max="248" width="23.85546875" customWidth="1"/>
    <col min="249" max="249" width="8.42578125" customWidth="1"/>
    <col min="250" max="250" width="13.42578125" customWidth="1"/>
    <col min="251" max="251" width="18.28515625" customWidth="1"/>
    <col min="252" max="252" width="20.85546875" customWidth="1"/>
    <col min="253" max="254" width="15.140625" customWidth="1"/>
    <col min="255" max="255" width="6.140625" customWidth="1"/>
    <col min="256" max="257" width="14.7109375" customWidth="1"/>
    <col min="258" max="259" width="21.42578125" customWidth="1"/>
    <col min="260" max="260" width="17.28515625" customWidth="1"/>
    <col min="261" max="261" width="27" customWidth="1"/>
    <col min="262" max="262" width="11.42578125" customWidth="1"/>
    <col min="263" max="263" width="14.85546875" customWidth="1"/>
    <col min="264" max="264" width="27.140625" customWidth="1"/>
    <col min="265" max="265" width="11.42578125" customWidth="1"/>
    <col min="266" max="267" width="13.140625" customWidth="1"/>
    <col min="268" max="268" width="8.7109375" customWidth="1"/>
    <col min="269" max="269" width="9.85546875" customWidth="1"/>
    <col min="270" max="270" width="21.140625" customWidth="1"/>
    <col min="271" max="271" width="15.28515625" customWidth="1"/>
    <col min="272" max="272" width="12.28515625" customWidth="1"/>
    <col min="273" max="273" width="25" customWidth="1"/>
    <col min="274" max="274" width="14.28515625" customWidth="1"/>
    <col min="275" max="275" width="11" customWidth="1"/>
    <col min="276" max="276" width="27" customWidth="1"/>
    <col min="277" max="277" width="20.140625" customWidth="1"/>
    <col min="278" max="278" width="18.42578125" customWidth="1"/>
    <col min="279" max="279" width="17.85546875" customWidth="1"/>
    <col min="280" max="280" width="17.42578125" customWidth="1"/>
    <col min="281" max="282" width="14.140625" customWidth="1"/>
    <col min="283" max="283" width="19.28515625" customWidth="1"/>
    <col min="284" max="284" width="20.42578125" customWidth="1"/>
    <col min="285" max="285" width="11.42578125" customWidth="1"/>
    <col min="286" max="286" width="9.42578125" customWidth="1"/>
    <col min="287" max="287" width="11.85546875" customWidth="1"/>
    <col min="288" max="288" width="14.28515625" customWidth="1"/>
    <col min="289" max="289" width="17.28515625" customWidth="1"/>
    <col min="290" max="290" width="22" customWidth="1"/>
    <col min="291" max="291" width="10.42578125" customWidth="1"/>
    <col min="292" max="292" width="7.42578125" customWidth="1"/>
    <col min="293" max="293" width="11.7109375" customWidth="1"/>
    <col min="294" max="294" width="16.140625" customWidth="1"/>
    <col min="295" max="296" width="12.42578125" customWidth="1"/>
    <col min="297" max="297" width="17" customWidth="1"/>
    <col min="298" max="298" width="22.42578125" customWidth="1"/>
    <col min="299" max="299" width="16.85546875" customWidth="1"/>
    <col min="300" max="300" width="10.140625" customWidth="1"/>
    <col min="301" max="301" width="13.85546875" customWidth="1"/>
    <col min="302" max="302" width="12.28515625" customWidth="1"/>
    <col min="303" max="303" width="12.42578125" customWidth="1"/>
    <col min="304" max="304" width="14.42578125" customWidth="1"/>
    <col min="305" max="305" width="15.28515625" customWidth="1"/>
    <col min="306" max="306" width="19.42578125" customWidth="1"/>
    <col min="307" max="307" width="25.85546875" customWidth="1"/>
    <col min="308" max="308" width="22" customWidth="1"/>
    <col min="309" max="309" width="14.85546875" customWidth="1"/>
    <col min="310" max="310" width="10.28515625" customWidth="1"/>
    <col min="311" max="311" width="16.7109375" customWidth="1"/>
    <col min="312" max="312" width="6.7109375" customWidth="1"/>
    <col min="313" max="313" width="19.140625" customWidth="1"/>
    <col min="314" max="314" width="24.28515625" customWidth="1"/>
    <col min="315" max="315" width="14.140625" customWidth="1"/>
    <col min="316" max="316" width="13.7109375" customWidth="1"/>
    <col min="317" max="317" width="19.85546875" customWidth="1"/>
    <col min="318" max="319" width="16.28515625" customWidth="1"/>
    <col min="320" max="320" width="15.7109375" customWidth="1"/>
    <col min="321" max="321" width="10.7109375" customWidth="1"/>
    <col min="322" max="322" width="16.42578125" customWidth="1"/>
    <col min="323" max="323" width="28.28515625" customWidth="1"/>
    <col min="324" max="324" width="9.28515625" customWidth="1"/>
    <col min="325" max="325" width="8.7109375" customWidth="1"/>
    <col min="326" max="326" width="5" customWidth="1"/>
    <col min="327" max="329" width="7.7109375" customWidth="1"/>
    <col min="330" max="330" width="16" bestFit="1" customWidth="1"/>
    <col min="331" max="331" width="9.28515625" customWidth="1"/>
    <col min="332" max="332" width="8.7109375" customWidth="1"/>
    <col min="333" max="333" width="5" customWidth="1"/>
    <col min="334" max="336" width="7.7109375" customWidth="1"/>
    <col min="337" max="337" width="6.28515625" customWidth="1"/>
    <col min="338" max="338" width="21.7109375" customWidth="1"/>
    <col min="339" max="339" width="34" bestFit="1" customWidth="1"/>
    <col min="340" max="340" width="8.140625" bestFit="1" customWidth="1"/>
    <col min="341" max="341" width="7.85546875" bestFit="1" customWidth="1"/>
    <col min="342" max="342" width="8.42578125" bestFit="1" customWidth="1"/>
    <col min="343" max="343" width="8.140625" bestFit="1" customWidth="1"/>
    <col min="344" max="344" width="11.7109375" bestFit="1" customWidth="1"/>
    <col min="345" max="345" width="55.140625" bestFit="1" customWidth="1"/>
    <col min="346" max="346" width="9.28515625" customWidth="1"/>
    <col min="347" max="347" width="8.7109375" customWidth="1"/>
    <col min="348" max="348" width="5" customWidth="1"/>
    <col min="349" max="351" width="7.7109375" customWidth="1"/>
    <col min="352" max="352" width="6.28515625" customWidth="1"/>
    <col min="353" max="353" width="9.28515625" customWidth="1"/>
    <col min="354" max="354" width="8.7109375" customWidth="1"/>
    <col min="355" max="355" width="5" customWidth="1"/>
    <col min="356" max="358" width="7.7109375" customWidth="1"/>
    <col min="359" max="359" width="6.28515625" customWidth="1"/>
    <col min="360" max="360" width="9.28515625" customWidth="1"/>
    <col min="361" max="361" width="8.7109375" customWidth="1"/>
    <col min="362" max="362" width="5" customWidth="1"/>
    <col min="363" max="365" width="7.7109375" customWidth="1"/>
    <col min="366" max="366" width="6.28515625" customWidth="1"/>
    <col min="367" max="368" width="19.42578125" bestFit="1" customWidth="1"/>
    <col min="369" max="369" width="8.140625" bestFit="1" customWidth="1"/>
    <col min="370" max="370" width="7.7109375" customWidth="1"/>
    <col min="371" max="371" width="8.42578125" bestFit="1" customWidth="1"/>
    <col min="372" max="372" width="8.140625" bestFit="1" customWidth="1"/>
    <col min="373" max="373" width="52.28515625" bestFit="1" customWidth="1"/>
    <col min="374" max="374" width="9.28515625" customWidth="1"/>
    <col min="375" max="375" width="8.7109375" customWidth="1"/>
    <col min="376" max="376" width="5" customWidth="1"/>
    <col min="377" max="379" width="7.7109375" customWidth="1"/>
    <col min="380" max="380" width="34.7109375" bestFit="1" customWidth="1"/>
    <col min="381" max="381" width="9.28515625" customWidth="1"/>
    <col min="382" max="382" width="8.7109375" customWidth="1"/>
    <col min="383" max="383" width="5" customWidth="1"/>
    <col min="384" max="386" width="7.7109375" customWidth="1"/>
    <col min="387" max="387" width="6.28515625" customWidth="1"/>
    <col min="388" max="388" width="10.7109375" bestFit="1" customWidth="1"/>
    <col min="389" max="389" width="11.7109375" bestFit="1" customWidth="1"/>
    <col min="390" max="390" width="7.85546875" bestFit="1" customWidth="1"/>
    <col min="391" max="391" width="7.7109375" customWidth="1"/>
    <col min="392" max="392" width="8.42578125" bestFit="1" customWidth="1"/>
    <col min="393" max="393" width="8.140625" bestFit="1" customWidth="1"/>
    <col min="394" max="394" width="6.28515625" customWidth="1"/>
    <col min="395" max="395" width="9.28515625" customWidth="1"/>
    <col min="396" max="396" width="8.7109375" customWidth="1"/>
    <col min="397" max="397" width="5" customWidth="1"/>
    <col min="398" max="400" width="7.7109375" customWidth="1"/>
    <col min="401" max="401" width="6.28515625" customWidth="1"/>
    <col min="402" max="402" width="9.28515625" customWidth="1"/>
    <col min="403" max="403" width="8.7109375" customWidth="1"/>
    <col min="404" max="404" width="5" customWidth="1"/>
    <col min="405" max="407" width="7.7109375" customWidth="1"/>
    <col min="408" max="408" width="6.28515625" customWidth="1"/>
    <col min="409" max="409" width="9.28515625" customWidth="1"/>
    <col min="410" max="410" width="8.7109375" customWidth="1"/>
    <col min="411" max="411" width="5" customWidth="1"/>
    <col min="412" max="414" width="7.7109375" customWidth="1"/>
    <col min="415" max="415" width="6.28515625" customWidth="1"/>
    <col min="416" max="416" width="11.42578125" customWidth="1"/>
    <col min="417" max="417" width="8.7109375" customWidth="1"/>
    <col min="418" max="418" width="5" customWidth="1"/>
    <col min="419" max="421" width="7.7109375" customWidth="1"/>
    <col min="422" max="422" width="6.28515625" customWidth="1"/>
    <col min="423" max="423" width="9.28515625" customWidth="1"/>
    <col min="424" max="424" width="8.7109375" customWidth="1"/>
    <col min="425" max="425" width="5" customWidth="1"/>
    <col min="426" max="428" width="7.7109375" customWidth="1"/>
    <col min="429" max="429" width="6.28515625" customWidth="1"/>
    <col min="430" max="430" width="9.28515625" customWidth="1"/>
    <col min="431" max="431" width="8.7109375" customWidth="1"/>
    <col min="432" max="432" width="5" customWidth="1"/>
    <col min="433" max="435" width="7.7109375" customWidth="1"/>
    <col min="436" max="436" width="6.28515625" customWidth="1"/>
    <col min="437" max="437" width="9.28515625" customWidth="1"/>
    <col min="438" max="438" width="8.7109375" customWidth="1"/>
    <col min="439" max="439" width="5" customWidth="1"/>
    <col min="440" max="442" width="7.7109375" customWidth="1"/>
    <col min="443" max="443" width="6.28515625" customWidth="1"/>
    <col min="444" max="444" width="9.28515625" customWidth="1"/>
    <col min="445" max="445" width="16.42578125" customWidth="1"/>
    <col min="446" max="446" width="5" customWidth="1"/>
    <col min="447" max="449" width="7.7109375" customWidth="1"/>
    <col min="450" max="450" width="31" bestFit="1" customWidth="1"/>
    <col min="451" max="451" width="9.28515625" customWidth="1"/>
    <col min="452" max="452" width="8.7109375" customWidth="1"/>
    <col min="453" max="453" width="5" customWidth="1"/>
    <col min="454" max="456" width="7.7109375" customWidth="1"/>
    <col min="457" max="457" width="21.85546875" bestFit="1" customWidth="1"/>
    <col min="458" max="458" width="9.28515625" customWidth="1"/>
    <col min="459" max="459" width="29.42578125" customWidth="1"/>
    <col min="460" max="460" width="5" customWidth="1"/>
    <col min="461" max="463" width="7.7109375" customWidth="1"/>
    <col min="464" max="464" width="6.28515625" customWidth="1"/>
    <col min="465" max="465" width="9.28515625" customWidth="1"/>
    <col min="466" max="466" width="8.7109375" customWidth="1"/>
    <col min="467" max="467" width="5" customWidth="1"/>
    <col min="468" max="470" width="7.7109375" customWidth="1"/>
    <col min="471" max="471" width="6.28515625" customWidth="1"/>
    <col min="472" max="472" width="9.28515625" customWidth="1"/>
    <col min="473" max="473" width="8.7109375" customWidth="1"/>
    <col min="474" max="474" width="5" customWidth="1"/>
    <col min="475" max="477" width="7.7109375" customWidth="1"/>
    <col min="478" max="478" width="6.28515625" customWidth="1"/>
    <col min="479" max="479" width="9.28515625" customWidth="1"/>
    <col min="480" max="480" width="8.7109375" customWidth="1"/>
    <col min="481" max="481" width="5" customWidth="1"/>
    <col min="482" max="484" width="7.7109375" customWidth="1"/>
    <col min="485" max="485" width="6.28515625" customWidth="1"/>
    <col min="486" max="486" width="9.28515625" customWidth="1"/>
    <col min="487" max="487" width="8.7109375" customWidth="1"/>
    <col min="488" max="488" width="5" customWidth="1"/>
    <col min="489" max="491" width="7.7109375" customWidth="1"/>
    <col min="492" max="492" width="6.28515625" customWidth="1"/>
    <col min="493" max="493" width="9.28515625" customWidth="1"/>
    <col min="494" max="494" width="8.7109375" customWidth="1"/>
    <col min="495" max="495" width="5" customWidth="1"/>
    <col min="496" max="498" width="7.7109375" customWidth="1"/>
    <col min="499" max="499" width="6.28515625" customWidth="1"/>
    <col min="500" max="500" width="9.28515625" customWidth="1"/>
    <col min="501" max="501" width="8.7109375" customWidth="1"/>
    <col min="502" max="502" width="5" customWidth="1"/>
    <col min="503" max="505" width="7.7109375" customWidth="1"/>
    <col min="506" max="506" width="6.28515625" customWidth="1"/>
    <col min="507" max="507" width="9.28515625" customWidth="1"/>
    <col min="508" max="508" width="8.7109375" customWidth="1"/>
    <col min="509" max="509" width="5" customWidth="1"/>
    <col min="510" max="512" width="7.7109375" customWidth="1"/>
    <col min="513" max="513" width="6.28515625" customWidth="1"/>
    <col min="514" max="514" width="9.28515625" customWidth="1"/>
    <col min="515" max="515" width="8.7109375" customWidth="1"/>
    <col min="516" max="516" width="5" customWidth="1"/>
    <col min="517" max="519" width="7.7109375" customWidth="1"/>
    <col min="520" max="520" width="6.28515625" customWidth="1"/>
    <col min="521" max="521" width="9.28515625" customWidth="1"/>
    <col min="522" max="522" width="8.7109375" customWidth="1"/>
    <col min="523" max="523" width="5" customWidth="1"/>
    <col min="524" max="526" width="7.7109375" customWidth="1"/>
    <col min="527" max="527" width="6.28515625" customWidth="1"/>
    <col min="528" max="528" width="9.28515625" customWidth="1"/>
    <col min="529" max="529" width="8.7109375" customWidth="1"/>
    <col min="530" max="530" width="5" customWidth="1"/>
    <col min="531" max="533" width="7.7109375" customWidth="1"/>
    <col min="534" max="534" width="6.28515625" customWidth="1"/>
    <col min="535" max="535" width="9.28515625" customWidth="1"/>
    <col min="536" max="536" width="8.7109375" customWidth="1"/>
    <col min="537" max="537" width="5" customWidth="1"/>
    <col min="538" max="540" width="7.7109375" customWidth="1"/>
    <col min="541" max="541" width="6.28515625" customWidth="1"/>
    <col min="542" max="542" width="9.28515625" customWidth="1"/>
    <col min="543" max="543" width="8.7109375" customWidth="1"/>
    <col min="544" max="544" width="5" customWidth="1"/>
    <col min="545" max="547" width="7.7109375" customWidth="1"/>
    <col min="548" max="548" width="6.28515625" customWidth="1"/>
    <col min="549" max="549" width="9.28515625" customWidth="1"/>
    <col min="550" max="550" width="10.42578125" bestFit="1" customWidth="1"/>
    <col min="551" max="551" width="6" bestFit="1" customWidth="1"/>
    <col min="552" max="552" width="7.7109375" customWidth="1"/>
    <col min="553" max="553" width="8.42578125" bestFit="1" customWidth="1"/>
    <col min="554" max="554" width="8.140625" bestFit="1" customWidth="1"/>
    <col min="555" max="555" width="6.28515625" customWidth="1"/>
    <col min="556" max="556" width="9.28515625" customWidth="1"/>
    <col min="557" max="557" width="8.7109375" customWidth="1"/>
    <col min="558" max="558" width="5" customWidth="1"/>
    <col min="559" max="561" width="7.7109375" customWidth="1"/>
    <col min="562" max="562" width="6.28515625" customWidth="1"/>
    <col min="563" max="563" width="9.28515625" customWidth="1"/>
    <col min="564" max="564" width="8.7109375" customWidth="1"/>
    <col min="565" max="565" width="5" customWidth="1"/>
    <col min="566" max="568" width="7.7109375" customWidth="1"/>
    <col min="569" max="569" width="6.28515625" customWidth="1"/>
    <col min="570" max="570" width="16.28515625" customWidth="1"/>
    <col min="571" max="571" width="51" bestFit="1" customWidth="1"/>
    <col min="572" max="572" width="8.42578125" customWidth="1"/>
    <col min="573" max="573" width="7.7109375" customWidth="1"/>
    <col min="574" max="574" width="8.42578125" bestFit="1" customWidth="1"/>
    <col min="575" max="575" width="8.140625" bestFit="1" customWidth="1"/>
    <col min="576" max="576" width="32.140625" bestFit="1" customWidth="1"/>
    <col min="577" max="577" width="9.28515625" customWidth="1"/>
    <col min="578" max="578" width="8.7109375" customWidth="1"/>
    <col min="579" max="579" width="5" customWidth="1"/>
    <col min="580" max="582" width="7.7109375" customWidth="1"/>
    <col min="583" max="583" width="6.28515625" customWidth="1"/>
    <col min="584" max="584" width="9.28515625" customWidth="1"/>
    <col min="585" max="585" width="8.7109375" customWidth="1"/>
    <col min="586" max="586" width="5" customWidth="1"/>
    <col min="587" max="589" width="7.7109375" customWidth="1"/>
    <col min="590" max="590" width="6.28515625" customWidth="1"/>
    <col min="591" max="591" width="10.42578125" bestFit="1" customWidth="1"/>
    <col min="592" max="592" width="11.28515625" bestFit="1" customWidth="1"/>
    <col min="593" max="593" width="9" bestFit="1" customWidth="1"/>
    <col min="594" max="594" width="7.7109375" customWidth="1"/>
    <col min="595" max="595" width="8.42578125" bestFit="1" customWidth="1"/>
    <col min="596" max="596" width="8.140625" bestFit="1" customWidth="1"/>
    <col min="597" max="597" width="6.28515625" customWidth="1"/>
    <col min="598" max="598" width="9.28515625" customWidth="1"/>
    <col min="599" max="599" width="20.28515625" customWidth="1"/>
    <col min="600" max="600" width="5" customWidth="1"/>
    <col min="601" max="603" width="7.7109375" customWidth="1"/>
    <col min="604" max="604" width="6.28515625" customWidth="1"/>
    <col min="605" max="605" width="13.42578125" bestFit="1" customWidth="1"/>
    <col min="606" max="606" width="8.7109375" customWidth="1"/>
    <col min="607" max="607" width="5" customWidth="1"/>
    <col min="608" max="610" width="7.7109375" customWidth="1"/>
    <col min="611" max="611" width="15.140625" bestFit="1" customWidth="1"/>
    <col min="612" max="612" width="9.28515625" customWidth="1"/>
    <col min="613" max="613" width="8.7109375" customWidth="1"/>
    <col min="614" max="614" width="5" customWidth="1"/>
    <col min="615" max="617" width="7.7109375" customWidth="1"/>
    <col min="618" max="618" width="6.28515625" customWidth="1"/>
    <col min="619" max="619" width="9.28515625" customWidth="1"/>
    <col min="620" max="620" width="8.7109375" customWidth="1"/>
    <col min="621" max="621" width="5" customWidth="1"/>
    <col min="622" max="622" width="7.7109375" customWidth="1"/>
    <col min="623" max="623" width="8.42578125" bestFit="1" customWidth="1"/>
    <col min="624" max="624" width="7.7109375" customWidth="1"/>
    <col min="625" max="625" width="25" bestFit="1" customWidth="1"/>
    <col min="626" max="626" width="9.28515625" customWidth="1"/>
    <col min="627" max="627" width="8.7109375" customWidth="1"/>
    <col min="628" max="628" width="5" customWidth="1"/>
    <col min="629" max="631" width="7.7109375" customWidth="1"/>
    <col min="632" max="632" width="6.28515625" customWidth="1"/>
    <col min="633" max="633" width="9.28515625" customWidth="1"/>
    <col min="634" max="634" width="8.7109375" customWidth="1"/>
    <col min="635" max="635" width="5" customWidth="1"/>
    <col min="636" max="638" width="7.7109375" customWidth="1"/>
    <col min="639" max="639" width="6.28515625" customWidth="1"/>
    <col min="640" max="640" width="9.28515625" customWidth="1"/>
    <col min="641" max="641" width="8.7109375" customWidth="1"/>
    <col min="642" max="642" width="5" customWidth="1"/>
    <col min="643" max="645" width="7.7109375" customWidth="1"/>
    <col min="646" max="646" width="7.7109375" bestFit="1" customWidth="1"/>
    <col min="647" max="647" width="9.28515625" customWidth="1"/>
    <col min="648" max="648" width="8.7109375" customWidth="1"/>
    <col min="649" max="649" width="5" customWidth="1"/>
    <col min="650" max="652" width="7.7109375" customWidth="1"/>
    <col min="653" max="653" width="6.28515625" customWidth="1"/>
    <col min="654" max="654" width="9.28515625" customWidth="1"/>
    <col min="655" max="655" width="8.7109375" customWidth="1"/>
    <col min="656" max="656" width="5" customWidth="1"/>
    <col min="657" max="659" width="7.7109375" customWidth="1"/>
    <col min="660" max="660" width="6.28515625" customWidth="1"/>
    <col min="661" max="661" width="28.140625" bestFit="1" customWidth="1"/>
    <col min="662" max="662" width="8.7109375" customWidth="1"/>
    <col min="663" max="663" width="7.28515625" customWidth="1"/>
    <col min="664" max="666" width="7.7109375" customWidth="1"/>
    <col min="667" max="667" width="64.140625" bestFit="1" customWidth="1"/>
    <col min="668" max="668" width="9.28515625" customWidth="1"/>
    <col min="669" max="669" width="8.7109375" customWidth="1"/>
    <col min="670" max="670" width="5" customWidth="1"/>
    <col min="671" max="673" width="7.7109375" customWidth="1"/>
    <col min="674" max="674" width="6.28515625" customWidth="1"/>
    <col min="675" max="675" width="9.28515625" customWidth="1"/>
    <col min="676" max="676" width="8.7109375" customWidth="1"/>
    <col min="677" max="677" width="5" customWidth="1"/>
    <col min="678" max="680" width="7.7109375" customWidth="1"/>
    <col min="681" max="681" width="6.28515625" customWidth="1"/>
    <col min="682" max="682" width="9.28515625" customWidth="1"/>
    <col min="683" max="683" width="8.7109375" customWidth="1"/>
    <col min="684" max="684" width="5" customWidth="1"/>
    <col min="685" max="687" width="7.7109375" customWidth="1"/>
    <col min="688" max="688" width="16.140625" bestFit="1" customWidth="1"/>
    <col min="689" max="689" width="9.28515625" customWidth="1"/>
    <col min="690" max="690" width="8.7109375" customWidth="1"/>
    <col min="691" max="691" width="5" customWidth="1"/>
    <col min="692" max="694" width="7.7109375" customWidth="1"/>
    <col min="695" max="695" width="6.28515625" customWidth="1"/>
    <col min="696" max="696" width="9.28515625" customWidth="1"/>
    <col min="697" max="697" width="8.7109375" customWidth="1"/>
    <col min="698" max="698" width="5" customWidth="1"/>
    <col min="699" max="701" width="7.7109375" customWidth="1"/>
    <col min="702" max="702" width="6.28515625" customWidth="1"/>
    <col min="703" max="703" width="9.28515625" customWidth="1"/>
    <col min="704" max="704" width="8.7109375" customWidth="1"/>
    <col min="705" max="705" width="5" customWidth="1"/>
    <col min="706" max="708" width="7.7109375" customWidth="1"/>
    <col min="709" max="709" width="6.28515625" customWidth="1"/>
    <col min="710" max="710" width="9.28515625" customWidth="1"/>
    <col min="711" max="711" width="8.7109375" customWidth="1"/>
    <col min="712" max="712" width="5" customWidth="1"/>
    <col min="713" max="715" width="7.7109375" customWidth="1"/>
    <col min="716" max="716" width="42.140625" bestFit="1" customWidth="1"/>
    <col min="717" max="717" width="9.28515625" customWidth="1"/>
    <col min="718" max="718" width="8.7109375" customWidth="1"/>
    <col min="719" max="719" width="5" customWidth="1"/>
    <col min="720" max="722" width="7.7109375" customWidth="1"/>
    <col min="723" max="723" width="6.28515625" customWidth="1"/>
    <col min="724" max="724" width="9.28515625" customWidth="1"/>
    <col min="725" max="725" width="8.7109375" customWidth="1"/>
    <col min="726" max="726" width="5" customWidth="1"/>
    <col min="727" max="729" width="7.7109375" customWidth="1"/>
    <col min="730" max="730" width="6.28515625" customWidth="1"/>
    <col min="731" max="731" width="9.28515625" customWidth="1"/>
    <col min="732" max="732" width="8.7109375" customWidth="1"/>
    <col min="733" max="733" width="5" customWidth="1"/>
    <col min="734" max="736" width="7.7109375" customWidth="1"/>
    <col min="737" max="737" width="6.28515625" customWidth="1"/>
    <col min="738" max="738" width="9.28515625" customWidth="1"/>
    <col min="739" max="739" width="8.7109375" customWidth="1"/>
    <col min="740" max="740" width="5" customWidth="1"/>
    <col min="741" max="743" width="7.7109375" customWidth="1"/>
    <col min="744" max="744" width="32" bestFit="1" customWidth="1"/>
    <col min="745" max="745" width="9.28515625" customWidth="1"/>
    <col min="746" max="746" width="9.28515625" bestFit="1" customWidth="1"/>
    <col min="747" max="747" width="8.140625" bestFit="1" customWidth="1"/>
    <col min="748" max="748" width="7.7109375" customWidth="1"/>
    <col min="749" max="749" width="8.42578125" bestFit="1" customWidth="1"/>
    <col min="750" max="750" width="8.140625" bestFit="1" customWidth="1"/>
    <col min="751" max="751" width="6.28515625" customWidth="1"/>
    <col min="752" max="752" width="9.28515625" customWidth="1"/>
    <col min="753" max="753" width="8.7109375" customWidth="1"/>
    <col min="754" max="754" width="5" customWidth="1"/>
    <col min="755" max="757" width="7.7109375" customWidth="1"/>
    <col min="758" max="758" width="6.28515625" customWidth="1"/>
    <col min="759" max="759" width="9.28515625" customWidth="1"/>
    <col min="760" max="760" width="8.7109375" customWidth="1"/>
    <col min="761" max="761" width="5" customWidth="1"/>
    <col min="762" max="764" width="7.7109375" customWidth="1"/>
    <col min="765" max="765" width="6.28515625" customWidth="1"/>
    <col min="766" max="766" width="13" bestFit="1" customWidth="1"/>
    <col min="767" max="767" width="15.85546875" bestFit="1" customWidth="1"/>
    <col min="768" max="768" width="7.140625" bestFit="1" customWidth="1"/>
    <col min="769" max="769" width="7.7109375" customWidth="1"/>
    <col min="770" max="770" width="8.42578125" bestFit="1" customWidth="1"/>
    <col min="771" max="771" width="8.140625" bestFit="1" customWidth="1"/>
    <col min="772" max="772" width="6.28515625" customWidth="1"/>
    <col min="773" max="773" width="9.28515625" customWidth="1"/>
    <col min="774" max="774" width="8.7109375" customWidth="1"/>
    <col min="775" max="775" width="5" customWidth="1"/>
    <col min="776" max="778" width="7.7109375" customWidth="1"/>
    <col min="779" max="779" width="6.28515625" customWidth="1"/>
    <col min="780" max="780" width="16.7109375" bestFit="1" customWidth="1"/>
    <col min="781" max="781" width="85" bestFit="1" customWidth="1"/>
    <col min="782" max="782" width="14.42578125" bestFit="1" customWidth="1"/>
    <col min="783" max="783" width="3.7109375" bestFit="1" customWidth="1"/>
    <col min="784" max="784" width="13.42578125" bestFit="1" customWidth="1"/>
    <col min="785" max="785" width="17" bestFit="1" customWidth="1"/>
    <col min="786" max="786" width="38.28515625" bestFit="1" customWidth="1"/>
    <col min="787" max="787" width="69.140625" bestFit="1" customWidth="1"/>
    <col min="788" max="788" width="15.28515625" bestFit="1" customWidth="1"/>
    <col min="789" max="789" width="15.140625" bestFit="1" customWidth="1"/>
    <col min="790" max="790" width="34.28515625" bestFit="1" customWidth="1"/>
    <col min="791" max="791" width="41.28515625" bestFit="1" customWidth="1"/>
    <col min="792" max="792" width="26.7109375" bestFit="1" customWidth="1"/>
    <col min="793" max="793" width="42.140625" bestFit="1" customWidth="1"/>
    <col min="794" max="794" width="57" bestFit="1" customWidth="1"/>
    <col min="795" max="795" width="45.7109375" bestFit="1" customWidth="1"/>
    <col min="796" max="796" width="33.85546875" bestFit="1" customWidth="1"/>
    <col min="797" max="797" width="4.7109375" bestFit="1" customWidth="1"/>
    <col min="798" max="798" width="25.85546875" bestFit="1" customWidth="1"/>
    <col min="799" max="799" width="40.7109375" bestFit="1" customWidth="1"/>
    <col min="800" max="800" width="11.42578125" bestFit="1" customWidth="1"/>
    <col min="801" max="801" width="50" bestFit="1" customWidth="1"/>
    <col min="802" max="802" width="44.85546875" bestFit="1" customWidth="1"/>
    <col min="803" max="803" width="5.140625" bestFit="1" customWidth="1"/>
    <col min="804" max="804" width="15.85546875" bestFit="1" customWidth="1"/>
    <col min="805" max="805" width="35.28515625" bestFit="1" customWidth="1"/>
    <col min="806" max="806" width="50.28515625" style="6" bestFit="1" customWidth="1"/>
    <col min="807" max="807" width="14.28515625" style="4" bestFit="1" customWidth="1"/>
    <col min="808" max="808" width="7.7109375" style="5" bestFit="1" customWidth="1"/>
    <col min="809" max="809" width="9" style="4" bestFit="1" customWidth="1"/>
    <col min="810" max="810" width="4.85546875" style="4" bestFit="1" customWidth="1"/>
    <col min="811" max="812" width="6.7109375" style="4" bestFit="1" customWidth="1"/>
    <col min="813" max="813" width="7.28515625" style="4" bestFit="1" customWidth="1"/>
    <col min="814" max="814" width="9.7109375" style="4" bestFit="1" customWidth="1"/>
    <col min="815" max="815" width="22.42578125" style="4" bestFit="1" customWidth="1"/>
    <col min="816" max="816" width="8.7109375" style="4" bestFit="1" customWidth="1"/>
    <col min="817" max="817" width="18.85546875" bestFit="1" customWidth="1"/>
    <col min="818" max="818" width="8.28515625" bestFit="1" customWidth="1"/>
    <col min="819" max="819" width="9" bestFit="1" customWidth="1"/>
    <col min="820" max="821" width="6.7109375" bestFit="1" customWidth="1"/>
    <col min="822" max="822" width="7" bestFit="1" customWidth="1"/>
    <col min="823" max="823" width="8.140625" bestFit="1" customWidth="1"/>
    <col min="824" max="824" width="13.42578125" bestFit="1" customWidth="1"/>
    <col min="825" max="825" width="10.7109375" bestFit="1" customWidth="1"/>
    <col min="826" max="826" width="13.85546875" bestFit="1" customWidth="1"/>
    <col min="827" max="827" width="14.140625" customWidth="1"/>
    <col min="828" max="828" width="9.85546875" bestFit="1" customWidth="1"/>
    <col min="829" max="829" width="7.7109375" bestFit="1" customWidth="1"/>
    <col min="830" max="830" width="10.85546875" bestFit="1" customWidth="1"/>
    <col min="831" max="831" width="6.140625" bestFit="1" customWidth="1"/>
    <col min="832" max="832" width="10.42578125" bestFit="1" customWidth="1"/>
    <col min="833" max="833" width="8.28515625" bestFit="1" customWidth="1"/>
    <col min="834" max="834" width="6.28515625" bestFit="1" customWidth="1"/>
    <col min="835" max="835" width="14" bestFit="1" customWidth="1"/>
    <col min="836" max="836" width="21.85546875" bestFit="1" customWidth="1"/>
    <col min="837" max="837" width="13.85546875" bestFit="1" customWidth="1"/>
    <col min="838" max="838" width="13.42578125" bestFit="1" customWidth="1"/>
    <col min="839" max="839" width="16.85546875" bestFit="1" customWidth="1"/>
  </cols>
  <sheetData>
    <row r="1" spans="1:839" x14ac:dyDescent="0.25">
      <c r="I1">
        <f>SUM(I4:I525)</f>
        <v>103</v>
      </c>
      <c r="M1">
        <f>SUM(M4:M525)</f>
        <v>86</v>
      </c>
      <c r="LL1" s="65" t="s">
        <v>2542</v>
      </c>
      <c r="LM1" s="66"/>
      <c r="LN1" s="66"/>
      <c r="LO1" s="66"/>
      <c r="LP1" s="66"/>
      <c r="LQ1" s="66"/>
      <c r="LR1" s="67"/>
      <c r="LS1" s="65" t="s">
        <v>2208</v>
      </c>
      <c r="LT1" s="66"/>
      <c r="LU1" s="66"/>
      <c r="LV1" s="66"/>
      <c r="LW1" s="66"/>
      <c r="LX1" s="66"/>
      <c r="LY1" s="67"/>
      <c r="LZ1" s="65" t="s">
        <v>1973</v>
      </c>
      <c r="MA1" s="66"/>
      <c r="MB1" s="66"/>
      <c r="MC1" s="66"/>
      <c r="MD1" s="66"/>
      <c r="ME1" s="66"/>
      <c r="MF1" s="66"/>
      <c r="MG1" s="67"/>
      <c r="MH1" s="65" t="s">
        <v>2207</v>
      </c>
      <c r="MI1" s="66"/>
      <c r="MJ1" s="66"/>
      <c r="MK1" s="66"/>
      <c r="ML1" s="66"/>
      <c r="MM1" s="66"/>
      <c r="MN1" s="67"/>
      <c r="MO1" s="65" t="s">
        <v>3631</v>
      </c>
      <c r="MP1" s="66"/>
      <c r="MQ1" s="66"/>
      <c r="MR1" s="66"/>
      <c r="MS1" s="66"/>
      <c r="MT1" s="66"/>
      <c r="MU1" s="67"/>
      <c r="MV1" s="65" t="s">
        <v>2768</v>
      </c>
      <c r="MW1" s="66"/>
      <c r="MX1" s="66"/>
      <c r="MY1" s="66"/>
      <c r="MZ1" s="66"/>
      <c r="NA1" s="66"/>
      <c r="NB1" s="67"/>
      <c r="NC1" s="65" t="s">
        <v>2240</v>
      </c>
      <c r="ND1" s="66"/>
      <c r="NE1" s="66"/>
      <c r="NF1" s="66"/>
      <c r="NG1" s="66"/>
      <c r="NH1" s="66"/>
      <c r="NI1" s="67"/>
      <c r="NJ1" s="65" t="s">
        <v>2643</v>
      </c>
      <c r="NK1" s="66"/>
      <c r="NL1" s="66"/>
      <c r="NM1" s="66"/>
      <c r="NN1" s="66"/>
      <c r="NO1" s="66"/>
      <c r="NP1" s="67"/>
      <c r="NQ1" s="65" t="s">
        <v>2501</v>
      </c>
      <c r="NR1" s="66"/>
      <c r="NS1" s="66"/>
      <c r="NT1" s="66"/>
      <c r="NU1" s="66"/>
      <c r="NV1" s="66"/>
      <c r="NW1" s="67"/>
      <c r="NX1" s="65" t="s">
        <v>2051</v>
      </c>
      <c r="NY1" s="66"/>
      <c r="NZ1" s="66"/>
      <c r="OA1" s="66"/>
      <c r="OB1" s="66"/>
      <c r="OC1" s="66"/>
      <c r="OD1" s="67"/>
      <c r="OE1" s="65" t="s">
        <v>3906</v>
      </c>
      <c r="OF1" s="66"/>
      <c r="OG1" s="66"/>
      <c r="OH1" s="66"/>
      <c r="OI1" s="66"/>
      <c r="OJ1" s="66"/>
      <c r="OK1" s="67"/>
      <c r="OL1" s="65" t="s">
        <v>3042</v>
      </c>
      <c r="OM1" s="66"/>
      <c r="ON1" s="66"/>
      <c r="OO1" s="66"/>
      <c r="OP1" s="66"/>
      <c r="OQ1" s="66"/>
      <c r="OR1" s="67"/>
      <c r="OS1" s="65" t="s">
        <v>3417</v>
      </c>
      <c r="OT1" s="66"/>
      <c r="OU1" s="66"/>
      <c r="OV1" s="66"/>
      <c r="OW1" s="66"/>
      <c r="OX1" s="66"/>
      <c r="OY1" s="67"/>
      <c r="OZ1" s="65" t="s">
        <v>2841</v>
      </c>
      <c r="PA1" s="66"/>
      <c r="PB1" s="66"/>
      <c r="PC1" s="66"/>
      <c r="PD1" s="66"/>
      <c r="PE1" s="66"/>
      <c r="PF1" s="67"/>
      <c r="PG1" s="65" t="s">
        <v>1679</v>
      </c>
      <c r="PH1" s="66"/>
      <c r="PI1" s="66"/>
      <c r="PJ1" s="66"/>
      <c r="PK1" s="66"/>
      <c r="PL1" s="66"/>
      <c r="PM1" s="67"/>
      <c r="PN1" s="65" t="s">
        <v>2249</v>
      </c>
      <c r="PO1" s="66"/>
      <c r="PP1" s="66"/>
      <c r="PQ1" s="66"/>
      <c r="PR1" s="66"/>
      <c r="PS1" s="66"/>
      <c r="PT1" s="67"/>
      <c r="PU1" s="65" t="s">
        <v>2905</v>
      </c>
      <c r="PV1" s="66"/>
      <c r="PW1" s="66"/>
      <c r="PX1" s="66"/>
      <c r="PY1" s="66"/>
      <c r="PZ1" s="66"/>
      <c r="QA1" s="67"/>
      <c r="QB1" s="65" t="s">
        <v>2181</v>
      </c>
      <c r="QC1" s="66"/>
      <c r="QD1" s="66"/>
      <c r="QE1" s="66"/>
      <c r="QF1" s="66"/>
      <c r="QG1" s="66"/>
      <c r="QH1" s="67"/>
      <c r="QI1" s="65" t="s">
        <v>2430</v>
      </c>
      <c r="QJ1" s="66"/>
      <c r="QK1" s="66"/>
      <c r="QL1" s="66"/>
      <c r="QM1" s="66"/>
      <c r="QN1" s="66"/>
      <c r="QO1" s="67"/>
      <c r="QP1" s="65" t="s">
        <v>1378</v>
      </c>
      <c r="QQ1" s="66"/>
      <c r="QR1" s="66"/>
      <c r="QS1" s="66"/>
      <c r="QT1" s="66"/>
      <c r="QU1" s="66"/>
      <c r="QV1" s="67"/>
      <c r="QW1" s="65" t="s">
        <v>2582</v>
      </c>
      <c r="QX1" s="66"/>
      <c r="QY1" s="66"/>
      <c r="QZ1" s="66"/>
      <c r="RA1" s="66"/>
      <c r="RB1" s="66"/>
      <c r="RC1" s="67"/>
      <c r="RD1" s="65" t="s">
        <v>2472</v>
      </c>
      <c r="RE1" s="66"/>
      <c r="RF1" s="66"/>
      <c r="RG1" s="66"/>
      <c r="RH1" s="66"/>
      <c r="RI1" s="66"/>
      <c r="RJ1" s="67"/>
      <c r="RK1" s="65" t="s">
        <v>2917</v>
      </c>
      <c r="RL1" s="66"/>
      <c r="RM1" s="66"/>
      <c r="RN1" s="66"/>
      <c r="RO1" s="66"/>
      <c r="RP1" s="66"/>
      <c r="RQ1" s="67"/>
      <c r="RR1" s="65" t="s">
        <v>2519</v>
      </c>
      <c r="RS1" s="66"/>
      <c r="RT1" s="66"/>
      <c r="RU1" s="66"/>
      <c r="RV1" s="66"/>
      <c r="RW1" s="66"/>
      <c r="RX1" s="67"/>
      <c r="RY1" s="65" t="s">
        <v>3627</v>
      </c>
      <c r="RZ1" s="66"/>
      <c r="SA1" s="66"/>
      <c r="SB1" s="66"/>
      <c r="SC1" s="66"/>
      <c r="SD1" s="66"/>
      <c r="SE1" s="67"/>
      <c r="SF1" s="65" t="s">
        <v>2069</v>
      </c>
      <c r="SG1" s="66"/>
      <c r="SH1" s="66"/>
      <c r="SI1" s="66"/>
      <c r="SJ1" s="66"/>
      <c r="SK1" s="66"/>
      <c r="SL1" s="67"/>
      <c r="SM1" s="65" t="s">
        <v>1676</v>
      </c>
      <c r="SN1" s="66"/>
      <c r="SO1" s="66"/>
      <c r="SP1" s="66"/>
      <c r="SQ1" s="66"/>
      <c r="SR1" s="66"/>
      <c r="SS1" s="67"/>
      <c r="ST1" s="65" t="s">
        <v>2910</v>
      </c>
      <c r="SU1" s="66"/>
      <c r="SV1" s="66"/>
      <c r="SW1" s="66"/>
      <c r="SX1" s="66"/>
      <c r="SY1" s="66"/>
      <c r="SZ1" s="67"/>
      <c r="TA1" s="65" t="s">
        <v>1363</v>
      </c>
      <c r="TB1" s="66"/>
      <c r="TC1" s="66"/>
      <c r="TD1" s="66"/>
      <c r="TE1" s="66"/>
      <c r="TF1" s="66"/>
      <c r="TG1" s="67"/>
      <c r="TH1" s="65" t="s">
        <v>2093</v>
      </c>
      <c r="TI1" s="66"/>
      <c r="TJ1" s="66"/>
      <c r="TK1" s="66"/>
      <c r="TL1" s="66"/>
      <c r="TM1" s="66"/>
      <c r="TN1" s="67"/>
      <c r="TO1" s="65" t="s">
        <v>2357</v>
      </c>
      <c r="TP1" s="66"/>
      <c r="TQ1" s="66"/>
      <c r="TR1" s="66"/>
      <c r="TS1" s="66"/>
      <c r="TT1" s="66"/>
      <c r="TU1" s="67"/>
      <c r="TV1" s="65" t="s">
        <v>2700</v>
      </c>
      <c r="TW1" s="66"/>
      <c r="TX1" s="66"/>
      <c r="TY1" s="66"/>
      <c r="TZ1" s="66"/>
      <c r="UA1" s="66"/>
      <c r="UB1" s="67"/>
      <c r="UC1" s="65" t="s">
        <v>1970</v>
      </c>
      <c r="UD1" s="66"/>
      <c r="UE1" s="66"/>
      <c r="UF1" s="66"/>
      <c r="UG1" s="66"/>
      <c r="UH1" s="66"/>
      <c r="UI1" s="67"/>
      <c r="UJ1" s="65" t="s">
        <v>3088</v>
      </c>
      <c r="UK1" s="66"/>
      <c r="UL1" s="66"/>
      <c r="UM1" s="66"/>
      <c r="UN1" s="66"/>
      <c r="UO1" s="66"/>
      <c r="UP1" s="67"/>
      <c r="UQ1" s="65" t="s">
        <v>2705</v>
      </c>
      <c r="UR1" s="66"/>
      <c r="US1" s="66"/>
      <c r="UT1" s="66"/>
      <c r="UU1" s="66"/>
      <c r="UV1" s="66"/>
      <c r="UW1" s="67"/>
      <c r="UX1" s="65" t="s">
        <v>1886</v>
      </c>
      <c r="UY1" s="66"/>
      <c r="UZ1" s="66"/>
      <c r="VA1" s="66"/>
      <c r="VB1" s="66"/>
      <c r="VC1" s="66"/>
      <c r="VD1" s="67"/>
      <c r="VE1" s="65" t="s">
        <v>2182</v>
      </c>
      <c r="VF1" s="66"/>
      <c r="VG1" s="66"/>
      <c r="VH1" s="66"/>
      <c r="VI1" s="66"/>
      <c r="VJ1" s="66"/>
      <c r="VK1" s="67"/>
      <c r="VL1" s="65" t="s">
        <v>2094</v>
      </c>
      <c r="VM1" s="66"/>
      <c r="VN1" s="66"/>
      <c r="VO1" s="66"/>
      <c r="VP1" s="66"/>
      <c r="VQ1" s="66"/>
      <c r="VR1" s="67"/>
      <c r="VS1" s="65" t="s">
        <v>3562</v>
      </c>
      <c r="VT1" s="66"/>
      <c r="VU1" s="66"/>
      <c r="VV1" s="66"/>
      <c r="VW1" s="66"/>
      <c r="VX1" s="66"/>
      <c r="VY1" s="67"/>
      <c r="VZ1" s="65" t="s">
        <v>2433</v>
      </c>
      <c r="WA1" s="66"/>
      <c r="WB1" s="66"/>
      <c r="WC1" s="66"/>
      <c r="WD1" s="66"/>
      <c r="WE1" s="66"/>
      <c r="WF1" s="67"/>
      <c r="WG1" s="65" t="s">
        <v>2886</v>
      </c>
      <c r="WH1" s="66"/>
      <c r="WI1" s="66"/>
      <c r="WJ1" s="66"/>
      <c r="WK1" s="66"/>
      <c r="WL1" s="66"/>
      <c r="WM1" s="67"/>
      <c r="WN1" s="65" t="s">
        <v>1863</v>
      </c>
      <c r="WO1" s="66"/>
      <c r="WP1" s="66"/>
      <c r="WQ1" s="66"/>
      <c r="WR1" s="66"/>
      <c r="WS1" s="66"/>
      <c r="WT1" s="67"/>
      <c r="WU1" s="65" t="s">
        <v>3456</v>
      </c>
      <c r="WV1" s="66"/>
      <c r="WW1" s="66"/>
      <c r="WX1" s="66"/>
      <c r="WY1" s="66"/>
      <c r="WZ1" s="66"/>
      <c r="XA1" s="67"/>
      <c r="XB1" s="65" t="s">
        <v>2462</v>
      </c>
      <c r="XC1" s="66"/>
      <c r="XD1" s="66"/>
      <c r="XE1" s="66"/>
      <c r="XF1" s="66"/>
      <c r="XG1" s="66"/>
      <c r="XH1" s="67"/>
      <c r="XI1" s="65" t="s">
        <v>3323</v>
      </c>
      <c r="XJ1" s="66"/>
      <c r="XK1" s="66"/>
      <c r="XL1" s="66"/>
      <c r="XM1" s="66"/>
      <c r="XN1" s="66"/>
      <c r="XO1" s="67"/>
      <c r="XP1" s="65" t="s">
        <v>1955</v>
      </c>
      <c r="XQ1" s="66"/>
      <c r="XR1" s="66"/>
      <c r="XS1" s="66"/>
      <c r="XT1" s="66"/>
      <c r="XU1" s="66"/>
      <c r="XV1" s="67"/>
      <c r="XW1" s="65" t="s">
        <v>1649</v>
      </c>
      <c r="XX1" s="66"/>
      <c r="XY1" s="66"/>
      <c r="XZ1" s="66"/>
      <c r="YA1" s="66"/>
      <c r="YB1" s="66"/>
      <c r="YC1" s="67"/>
      <c r="YD1" s="65" t="s">
        <v>3327</v>
      </c>
      <c r="YE1" s="66"/>
      <c r="YF1" s="66"/>
      <c r="YG1" s="66"/>
      <c r="YH1" s="66"/>
      <c r="YI1" s="66"/>
      <c r="YJ1" s="67"/>
      <c r="YK1" s="65" t="s">
        <v>2153</v>
      </c>
      <c r="YL1" s="66"/>
      <c r="YM1" s="66"/>
      <c r="YN1" s="66"/>
      <c r="YO1" s="66"/>
      <c r="YP1" s="66"/>
      <c r="YQ1" s="67"/>
      <c r="YR1" s="65" t="s">
        <v>2536</v>
      </c>
      <c r="YS1" s="66"/>
      <c r="YT1" s="66"/>
      <c r="YU1" s="66"/>
      <c r="YV1" s="66"/>
      <c r="YW1" s="66"/>
      <c r="YX1" s="67"/>
      <c r="YY1" s="65" t="s">
        <v>2349</v>
      </c>
      <c r="YZ1" s="66"/>
      <c r="ZA1" s="66"/>
      <c r="ZB1" s="66"/>
      <c r="ZC1" s="66"/>
      <c r="ZD1" s="66"/>
      <c r="ZE1" s="67"/>
      <c r="ZF1" s="65" t="s">
        <v>1577</v>
      </c>
      <c r="ZG1" s="66"/>
      <c r="ZH1" s="66"/>
      <c r="ZI1" s="66"/>
      <c r="ZJ1" s="66"/>
      <c r="ZK1" s="66"/>
      <c r="ZL1" s="67"/>
      <c r="ZM1" s="65" t="s">
        <v>2678</v>
      </c>
      <c r="ZN1" s="66"/>
      <c r="ZO1" s="66"/>
      <c r="ZP1" s="66"/>
      <c r="ZQ1" s="66"/>
      <c r="ZR1" s="66"/>
      <c r="ZS1" s="67"/>
      <c r="ZT1" s="65" t="s">
        <v>2436</v>
      </c>
      <c r="ZU1" s="66"/>
      <c r="ZV1" s="66"/>
      <c r="ZW1" s="66"/>
      <c r="ZX1" s="66"/>
      <c r="ZY1" s="66"/>
      <c r="ZZ1" s="67"/>
      <c r="AAA1" s="65" t="s">
        <v>999</v>
      </c>
      <c r="AAB1" s="66"/>
      <c r="AAC1" s="66"/>
      <c r="AAD1" s="66"/>
      <c r="AAE1" s="66"/>
      <c r="AAF1" s="66"/>
      <c r="AAG1" s="67"/>
      <c r="AAH1" s="65" t="s">
        <v>2553</v>
      </c>
      <c r="AAI1" s="66"/>
      <c r="AAJ1" s="66"/>
      <c r="AAK1" s="66"/>
      <c r="AAL1" s="66"/>
      <c r="AAM1" s="66"/>
      <c r="AAN1" s="67"/>
      <c r="AAO1" s="65" t="s">
        <v>2428</v>
      </c>
      <c r="AAP1" s="66"/>
      <c r="AAQ1" s="66"/>
      <c r="AAR1" s="66"/>
      <c r="AAS1" s="66"/>
      <c r="AAT1" s="66"/>
      <c r="AAU1" s="67"/>
      <c r="AAV1" s="65" t="s">
        <v>2858</v>
      </c>
      <c r="AAW1" s="66"/>
      <c r="AAX1" s="66"/>
      <c r="AAY1" s="66"/>
      <c r="AAZ1" s="66"/>
      <c r="ABA1" s="66"/>
      <c r="ABB1" s="67"/>
      <c r="ABC1" s="65" t="s">
        <v>3038</v>
      </c>
      <c r="ABD1" s="66"/>
      <c r="ABE1" s="66"/>
      <c r="ABF1" s="66"/>
      <c r="ABG1" s="66"/>
      <c r="ABH1" s="66"/>
      <c r="ABI1" s="67"/>
      <c r="ABJ1" s="65" t="s">
        <v>3411</v>
      </c>
      <c r="ABK1" s="66"/>
      <c r="ABL1" s="66"/>
      <c r="ABM1" s="66"/>
      <c r="ABN1" s="66"/>
      <c r="ABO1" s="66"/>
      <c r="ABP1" s="67"/>
      <c r="ABQ1" s="65" t="s">
        <v>1974</v>
      </c>
      <c r="ABR1" s="66"/>
      <c r="ABS1" s="66"/>
      <c r="ABT1" s="66"/>
      <c r="ABU1" s="66"/>
      <c r="ABV1" s="66"/>
      <c r="ABW1" s="67"/>
      <c r="ABX1" s="65" t="s">
        <v>2956</v>
      </c>
      <c r="ABY1" s="66"/>
      <c r="ABZ1" s="66"/>
      <c r="ACA1" s="66"/>
      <c r="ACB1" s="66"/>
      <c r="ACC1" s="66"/>
      <c r="ACD1" s="67"/>
      <c r="ACE1" s="65" t="s">
        <v>3430</v>
      </c>
      <c r="ACF1" s="66"/>
      <c r="ACG1" s="66"/>
      <c r="ACH1" s="66"/>
      <c r="ACI1" s="66"/>
      <c r="ACJ1" s="66"/>
      <c r="ACK1" s="67"/>
      <c r="ACL1" s="65" t="s">
        <v>1822</v>
      </c>
      <c r="ACM1" s="66"/>
      <c r="ACN1" s="66"/>
      <c r="ACO1" s="66"/>
      <c r="ACP1" s="66"/>
      <c r="ACQ1" s="66"/>
      <c r="ACR1" s="67"/>
      <c r="ACS1" s="65" t="s">
        <v>3015</v>
      </c>
      <c r="ACT1" s="66"/>
      <c r="ACU1" s="66"/>
      <c r="ACV1" s="66"/>
      <c r="ACW1" s="66"/>
      <c r="ACX1" s="66"/>
      <c r="ACY1" s="67"/>
      <c r="ACZ1" t="s">
        <v>1524</v>
      </c>
      <c r="ADA1" t="s">
        <v>1525</v>
      </c>
      <c r="ADB1" t="s">
        <v>1526</v>
      </c>
      <c r="ADC1" t="s">
        <v>1527</v>
      </c>
      <c r="ADD1" t="s">
        <v>1528</v>
      </c>
      <c r="ADE1" t="s">
        <v>1529</v>
      </c>
      <c r="ADF1" t="s">
        <v>1530</v>
      </c>
      <c r="ADG1" t="s">
        <v>1531</v>
      </c>
      <c r="ADH1" t="s">
        <v>1532</v>
      </c>
      <c r="ADI1" t="s">
        <v>1391</v>
      </c>
      <c r="ADJ1" t="s">
        <v>1392</v>
      </c>
      <c r="ADK1" t="s">
        <v>1393</v>
      </c>
      <c r="ADL1" t="s">
        <v>1394</v>
      </c>
      <c r="ADM1" t="s">
        <v>1395</v>
      </c>
      <c r="ADN1" t="s">
        <v>1396</v>
      </c>
      <c r="ADO1" t="s">
        <v>1397</v>
      </c>
      <c r="ADP1" t="s">
        <v>1398</v>
      </c>
      <c r="ADQ1" t="s">
        <v>1683</v>
      </c>
      <c r="ADR1" t="s">
        <v>1684</v>
      </c>
      <c r="ADS1" t="s">
        <v>1533</v>
      </c>
      <c r="ADT1" t="s">
        <v>1534</v>
      </c>
      <c r="ADU1" t="s">
        <v>1535</v>
      </c>
      <c r="ADV1" t="s">
        <v>1536</v>
      </c>
      <c r="ADW1" t="s">
        <v>1537</v>
      </c>
      <c r="ADX1" t="s">
        <v>1538</v>
      </c>
      <c r="ADY1" t="s">
        <v>1539</v>
      </c>
      <c r="ADZ1" s="6" t="s">
        <v>4133</v>
      </c>
      <c r="AEC1" t="s">
        <v>164</v>
      </c>
      <c r="AED1"/>
      <c r="AEE1"/>
      <c r="AEF1"/>
      <c r="AEG1"/>
      <c r="AEH1"/>
      <c r="AEI1"/>
      <c r="AEJ1"/>
    </row>
    <row r="2" spans="1:839" x14ac:dyDescent="0.25">
      <c r="B2" s="3">
        <f>COUNTA(B4:B525)</f>
        <v>162</v>
      </c>
      <c r="C2" s="22"/>
      <c r="I2" s="68" t="s">
        <v>1601</v>
      </c>
      <c r="J2" s="69"/>
      <c r="K2" s="69"/>
      <c r="L2" s="69"/>
      <c r="M2" s="68" t="s">
        <v>2311</v>
      </c>
      <c r="N2" s="68"/>
      <c r="O2" s="68"/>
      <c r="P2" s="68"/>
      <c r="Q2">
        <f t="shared" ref="Q2:CB2" si="0">SUM(Q4:Q525)</f>
        <v>32</v>
      </c>
      <c r="R2">
        <f t="shared" si="0"/>
        <v>14</v>
      </c>
      <c r="S2">
        <f t="shared" si="0"/>
        <v>18</v>
      </c>
      <c r="T2">
        <f t="shared" si="0"/>
        <v>3</v>
      </c>
      <c r="U2">
        <f t="shared" si="0"/>
        <v>12</v>
      </c>
      <c r="V2">
        <f t="shared" si="0"/>
        <v>23</v>
      </c>
      <c r="W2">
        <f t="shared" si="0"/>
        <v>3</v>
      </c>
      <c r="X2">
        <f t="shared" si="0"/>
        <v>5</v>
      </c>
      <c r="Y2">
        <f t="shared" si="0"/>
        <v>15</v>
      </c>
      <c r="Z2">
        <f t="shared" si="0"/>
        <v>2</v>
      </c>
      <c r="AA2">
        <f t="shared" si="0"/>
        <v>7</v>
      </c>
      <c r="AB2">
        <f t="shared" si="0"/>
        <v>4</v>
      </c>
      <c r="AC2">
        <f t="shared" si="0"/>
        <v>2</v>
      </c>
      <c r="AD2">
        <f t="shared" si="0"/>
        <v>0</v>
      </c>
      <c r="AE2">
        <f t="shared" si="0"/>
        <v>0</v>
      </c>
      <c r="AF2">
        <f t="shared" si="0"/>
        <v>13</v>
      </c>
      <c r="AG2">
        <f t="shared" si="0"/>
        <v>3</v>
      </c>
      <c r="AH2">
        <f t="shared" si="0"/>
        <v>0</v>
      </c>
      <c r="AI2">
        <f t="shared" si="0"/>
        <v>9</v>
      </c>
      <c r="AJ2">
        <f t="shared" si="0"/>
        <v>7</v>
      </c>
      <c r="AK2">
        <f t="shared" si="0"/>
        <v>0</v>
      </c>
      <c r="AL2">
        <f t="shared" si="0"/>
        <v>9</v>
      </c>
      <c r="AM2">
        <f t="shared" si="0"/>
        <v>5</v>
      </c>
      <c r="AN2">
        <f t="shared" si="0"/>
        <v>12</v>
      </c>
      <c r="AO2">
        <f t="shared" si="0"/>
        <v>13</v>
      </c>
      <c r="AP2">
        <f t="shared" si="0"/>
        <v>0</v>
      </c>
      <c r="AQ2">
        <f t="shared" si="0"/>
        <v>6</v>
      </c>
      <c r="AR2">
        <f t="shared" si="0"/>
        <v>0</v>
      </c>
      <c r="AS2">
        <f t="shared" si="0"/>
        <v>1</v>
      </c>
      <c r="AT2">
        <f t="shared" si="0"/>
        <v>5</v>
      </c>
      <c r="AU2">
        <f t="shared" si="0"/>
        <v>2</v>
      </c>
      <c r="AV2">
        <f t="shared" si="0"/>
        <v>2</v>
      </c>
      <c r="AW2">
        <f t="shared" si="0"/>
        <v>4</v>
      </c>
      <c r="AX2">
        <f t="shared" si="0"/>
        <v>3</v>
      </c>
      <c r="AY2">
        <f t="shared" si="0"/>
        <v>7</v>
      </c>
      <c r="AZ2">
        <f t="shared" si="0"/>
        <v>9</v>
      </c>
      <c r="BA2">
        <f t="shared" si="0"/>
        <v>5</v>
      </c>
      <c r="BB2">
        <f t="shared" si="0"/>
        <v>0</v>
      </c>
      <c r="BC2">
        <f t="shared" si="0"/>
        <v>3</v>
      </c>
      <c r="BD2">
        <f t="shared" si="0"/>
        <v>5</v>
      </c>
      <c r="BE2">
        <f t="shared" si="0"/>
        <v>3</v>
      </c>
      <c r="BF2">
        <f t="shared" si="0"/>
        <v>3</v>
      </c>
      <c r="BG2">
        <f t="shared" si="0"/>
        <v>4</v>
      </c>
      <c r="BH2">
        <f t="shared" si="0"/>
        <v>5</v>
      </c>
      <c r="BI2">
        <f t="shared" si="0"/>
        <v>0</v>
      </c>
      <c r="BJ2">
        <f t="shared" si="0"/>
        <v>0</v>
      </c>
      <c r="BK2">
        <f t="shared" si="0"/>
        <v>1</v>
      </c>
      <c r="BL2">
        <f t="shared" si="0"/>
        <v>1</v>
      </c>
      <c r="BM2">
        <f t="shared" si="0"/>
        <v>0</v>
      </c>
      <c r="BN2">
        <f t="shared" si="0"/>
        <v>1</v>
      </c>
      <c r="BO2">
        <f t="shared" si="0"/>
        <v>0</v>
      </c>
      <c r="BP2">
        <f t="shared" si="0"/>
        <v>3</v>
      </c>
      <c r="BQ2">
        <f t="shared" si="0"/>
        <v>3</v>
      </c>
      <c r="BR2">
        <f t="shared" si="0"/>
        <v>0</v>
      </c>
      <c r="BS2">
        <f t="shared" si="0"/>
        <v>2</v>
      </c>
      <c r="BT2">
        <f t="shared" si="0"/>
        <v>2</v>
      </c>
      <c r="BU2">
        <f t="shared" si="0"/>
        <v>3</v>
      </c>
      <c r="BV2">
        <f t="shared" si="0"/>
        <v>0</v>
      </c>
      <c r="BW2">
        <f t="shared" si="0"/>
        <v>5</v>
      </c>
      <c r="BX2">
        <f t="shared" si="0"/>
        <v>1</v>
      </c>
      <c r="BY2">
        <f t="shared" si="0"/>
        <v>2</v>
      </c>
      <c r="BZ2">
        <f t="shared" si="0"/>
        <v>0</v>
      </c>
      <c r="CA2">
        <f t="shared" si="0"/>
        <v>5</v>
      </c>
      <c r="CB2">
        <f t="shared" si="0"/>
        <v>1</v>
      </c>
      <c r="CC2">
        <f t="shared" ref="CC2:EN2" si="1">SUM(CC4:CC525)</f>
        <v>0</v>
      </c>
      <c r="CD2">
        <f t="shared" si="1"/>
        <v>1</v>
      </c>
      <c r="CE2">
        <f t="shared" si="1"/>
        <v>2</v>
      </c>
      <c r="CF2">
        <f t="shared" si="1"/>
        <v>0</v>
      </c>
      <c r="CG2">
        <f t="shared" si="1"/>
        <v>0</v>
      </c>
      <c r="CH2">
        <f t="shared" si="1"/>
        <v>1</v>
      </c>
      <c r="CI2">
        <f t="shared" si="1"/>
        <v>2</v>
      </c>
      <c r="CJ2">
        <f t="shared" si="1"/>
        <v>1</v>
      </c>
      <c r="CK2">
        <f t="shared" si="1"/>
        <v>1</v>
      </c>
      <c r="CL2">
        <f t="shared" si="1"/>
        <v>0</v>
      </c>
      <c r="CM2">
        <f t="shared" si="1"/>
        <v>0</v>
      </c>
      <c r="CN2">
        <f t="shared" si="1"/>
        <v>1</v>
      </c>
      <c r="CO2">
        <f t="shared" si="1"/>
        <v>2</v>
      </c>
      <c r="CP2">
        <f t="shared" si="1"/>
        <v>3</v>
      </c>
      <c r="CQ2">
        <f t="shared" si="1"/>
        <v>0</v>
      </c>
      <c r="CR2">
        <f t="shared" si="1"/>
        <v>0</v>
      </c>
      <c r="CS2">
        <f t="shared" si="1"/>
        <v>0</v>
      </c>
      <c r="CT2">
        <f t="shared" si="1"/>
        <v>4</v>
      </c>
      <c r="CU2">
        <f t="shared" si="1"/>
        <v>1</v>
      </c>
      <c r="CV2">
        <f t="shared" si="1"/>
        <v>1</v>
      </c>
      <c r="CW2">
        <f t="shared" si="1"/>
        <v>0</v>
      </c>
      <c r="CX2">
        <f t="shared" si="1"/>
        <v>1</v>
      </c>
      <c r="CY2">
        <f t="shared" si="1"/>
        <v>2</v>
      </c>
      <c r="CZ2">
        <f t="shared" si="1"/>
        <v>0</v>
      </c>
      <c r="DA2">
        <f t="shared" si="1"/>
        <v>2</v>
      </c>
      <c r="DB2">
        <f t="shared" si="1"/>
        <v>0</v>
      </c>
      <c r="DC2">
        <f t="shared" si="1"/>
        <v>0</v>
      </c>
      <c r="DD2">
        <f t="shared" si="1"/>
        <v>0</v>
      </c>
      <c r="DE2">
        <f t="shared" si="1"/>
        <v>0</v>
      </c>
      <c r="DF2">
        <f t="shared" si="1"/>
        <v>1</v>
      </c>
      <c r="DG2">
        <f t="shared" si="1"/>
        <v>1</v>
      </c>
      <c r="DH2">
        <f t="shared" si="1"/>
        <v>1</v>
      </c>
      <c r="DI2">
        <f t="shared" si="1"/>
        <v>0</v>
      </c>
      <c r="DJ2">
        <f t="shared" si="1"/>
        <v>0</v>
      </c>
      <c r="DK2">
        <f t="shared" si="1"/>
        <v>2</v>
      </c>
      <c r="DL2">
        <f t="shared" si="1"/>
        <v>1</v>
      </c>
      <c r="DM2">
        <f t="shared" si="1"/>
        <v>2</v>
      </c>
      <c r="DN2">
        <f t="shared" si="1"/>
        <v>0</v>
      </c>
      <c r="DO2">
        <f t="shared" si="1"/>
        <v>1</v>
      </c>
      <c r="DP2">
        <f t="shared" si="1"/>
        <v>4</v>
      </c>
      <c r="DQ2">
        <f t="shared" si="1"/>
        <v>0</v>
      </c>
      <c r="DR2">
        <f t="shared" si="1"/>
        <v>2</v>
      </c>
      <c r="DS2">
        <f t="shared" si="1"/>
        <v>0</v>
      </c>
      <c r="DT2">
        <f t="shared" si="1"/>
        <v>0</v>
      </c>
      <c r="DU2">
        <f t="shared" si="1"/>
        <v>2</v>
      </c>
      <c r="DV2">
        <f t="shared" si="1"/>
        <v>1</v>
      </c>
      <c r="DW2">
        <f t="shared" si="1"/>
        <v>2</v>
      </c>
      <c r="DX2">
        <f t="shared" si="1"/>
        <v>0</v>
      </c>
      <c r="DY2">
        <f t="shared" si="1"/>
        <v>2</v>
      </c>
      <c r="DZ2">
        <f t="shared" si="1"/>
        <v>0</v>
      </c>
      <c r="EA2">
        <f t="shared" si="1"/>
        <v>2</v>
      </c>
      <c r="EB2">
        <f t="shared" si="1"/>
        <v>2</v>
      </c>
      <c r="EC2">
        <f t="shared" si="1"/>
        <v>1</v>
      </c>
      <c r="ED2">
        <f t="shared" si="1"/>
        <v>1</v>
      </c>
      <c r="EE2">
        <f t="shared" si="1"/>
        <v>0</v>
      </c>
      <c r="EF2">
        <f t="shared" si="1"/>
        <v>0</v>
      </c>
      <c r="EG2">
        <f t="shared" si="1"/>
        <v>0</v>
      </c>
      <c r="EH2">
        <f t="shared" si="1"/>
        <v>0</v>
      </c>
      <c r="EI2">
        <f t="shared" si="1"/>
        <v>0</v>
      </c>
      <c r="EJ2">
        <f t="shared" si="1"/>
        <v>0</v>
      </c>
      <c r="EK2">
        <f t="shared" si="1"/>
        <v>1</v>
      </c>
      <c r="EL2">
        <f t="shared" si="1"/>
        <v>0</v>
      </c>
      <c r="EM2">
        <f t="shared" si="1"/>
        <v>0</v>
      </c>
      <c r="EN2">
        <f t="shared" si="1"/>
        <v>2</v>
      </c>
      <c r="EO2">
        <f t="shared" ref="EO2:GZ2" si="2">SUM(EO4:EO525)</f>
        <v>1</v>
      </c>
      <c r="EP2">
        <f t="shared" si="2"/>
        <v>1</v>
      </c>
      <c r="EQ2">
        <f t="shared" si="2"/>
        <v>0</v>
      </c>
      <c r="ER2">
        <f t="shared" si="2"/>
        <v>0</v>
      </c>
      <c r="ES2">
        <f t="shared" si="2"/>
        <v>2</v>
      </c>
      <c r="ET2">
        <f t="shared" si="2"/>
        <v>0</v>
      </c>
      <c r="EU2">
        <f t="shared" si="2"/>
        <v>1</v>
      </c>
      <c r="EV2">
        <f t="shared" si="2"/>
        <v>1</v>
      </c>
      <c r="EW2">
        <f t="shared" si="2"/>
        <v>0</v>
      </c>
      <c r="EX2">
        <f t="shared" si="2"/>
        <v>1</v>
      </c>
      <c r="EY2">
        <f t="shared" si="2"/>
        <v>0</v>
      </c>
      <c r="EZ2">
        <f t="shared" si="2"/>
        <v>1</v>
      </c>
      <c r="FA2">
        <f t="shared" si="2"/>
        <v>1</v>
      </c>
      <c r="FB2">
        <f t="shared" si="2"/>
        <v>0</v>
      </c>
      <c r="FC2">
        <f t="shared" si="2"/>
        <v>0</v>
      </c>
      <c r="FD2">
        <f t="shared" si="2"/>
        <v>0</v>
      </c>
      <c r="FE2">
        <f t="shared" si="2"/>
        <v>0</v>
      </c>
      <c r="FF2">
        <f t="shared" si="2"/>
        <v>0</v>
      </c>
      <c r="FG2">
        <f t="shared" si="2"/>
        <v>1</v>
      </c>
      <c r="FH2">
        <f t="shared" si="2"/>
        <v>0</v>
      </c>
      <c r="FI2">
        <f t="shared" si="2"/>
        <v>0</v>
      </c>
      <c r="FJ2">
        <f t="shared" si="2"/>
        <v>1</v>
      </c>
      <c r="FK2">
        <f t="shared" si="2"/>
        <v>0</v>
      </c>
      <c r="FL2">
        <f t="shared" si="2"/>
        <v>1</v>
      </c>
      <c r="FM2">
        <f t="shared" si="2"/>
        <v>0</v>
      </c>
      <c r="FN2">
        <f t="shared" si="2"/>
        <v>2</v>
      </c>
      <c r="FO2">
        <f t="shared" si="2"/>
        <v>0</v>
      </c>
      <c r="FP2">
        <f t="shared" si="2"/>
        <v>0</v>
      </c>
      <c r="FQ2">
        <f t="shared" si="2"/>
        <v>0</v>
      </c>
      <c r="FR2">
        <f t="shared" si="2"/>
        <v>0</v>
      </c>
      <c r="FS2">
        <f t="shared" si="2"/>
        <v>0</v>
      </c>
      <c r="FT2">
        <f t="shared" si="2"/>
        <v>0</v>
      </c>
      <c r="FU2">
        <f t="shared" si="2"/>
        <v>0</v>
      </c>
      <c r="FV2">
        <f t="shared" si="2"/>
        <v>1</v>
      </c>
      <c r="FW2">
        <f t="shared" si="2"/>
        <v>2</v>
      </c>
      <c r="FX2">
        <f t="shared" si="2"/>
        <v>0</v>
      </c>
      <c r="FY2">
        <f t="shared" si="2"/>
        <v>0</v>
      </c>
      <c r="FZ2">
        <f t="shared" si="2"/>
        <v>1</v>
      </c>
      <c r="GA2">
        <f t="shared" si="2"/>
        <v>0</v>
      </c>
      <c r="GB2">
        <f t="shared" si="2"/>
        <v>1</v>
      </c>
      <c r="GC2">
        <f t="shared" si="2"/>
        <v>1</v>
      </c>
      <c r="GD2">
        <f t="shared" si="2"/>
        <v>1</v>
      </c>
      <c r="GE2">
        <f t="shared" si="2"/>
        <v>0</v>
      </c>
      <c r="GF2">
        <f t="shared" si="2"/>
        <v>0</v>
      </c>
      <c r="GG2">
        <f t="shared" si="2"/>
        <v>1</v>
      </c>
      <c r="GH2">
        <f t="shared" si="2"/>
        <v>1</v>
      </c>
      <c r="GI2">
        <f t="shared" si="2"/>
        <v>1</v>
      </c>
      <c r="GJ2">
        <f t="shared" si="2"/>
        <v>1</v>
      </c>
      <c r="GK2">
        <f t="shared" si="2"/>
        <v>0</v>
      </c>
      <c r="GL2">
        <f t="shared" si="2"/>
        <v>0</v>
      </c>
      <c r="GM2">
        <f t="shared" si="2"/>
        <v>1</v>
      </c>
      <c r="GN2">
        <f t="shared" si="2"/>
        <v>0</v>
      </c>
      <c r="GO2">
        <f t="shared" si="2"/>
        <v>0</v>
      </c>
      <c r="GP2">
        <f t="shared" si="2"/>
        <v>0</v>
      </c>
      <c r="GQ2">
        <f t="shared" si="2"/>
        <v>1</v>
      </c>
      <c r="GR2">
        <f t="shared" si="2"/>
        <v>1</v>
      </c>
      <c r="GS2">
        <f t="shared" si="2"/>
        <v>0</v>
      </c>
      <c r="GT2">
        <f t="shared" si="2"/>
        <v>0</v>
      </c>
      <c r="GU2">
        <f t="shared" si="2"/>
        <v>0</v>
      </c>
      <c r="GV2">
        <f t="shared" si="2"/>
        <v>1</v>
      </c>
      <c r="GW2">
        <f t="shared" si="2"/>
        <v>0</v>
      </c>
      <c r="GX2">
        <f t="shared" si="2"/>
        <v>1</v>
      </c>
      <c r="GY2">
        <f t="shared" si="2"/>
        <v>0</v>
      </c>
      <c r="GZ2">
        <f t="shared" si="2"/>
        <v>0</v>
      </c>
      <c r="HA2">
        <f t="shared" ref="HA2:JL2" si="3">SUM(HA4:HA525)</f>
        <v>0</v>
      </c>
      <c r="HB2">
        <f t="shared" si="3"/>
        <v>0</v>
      </c>
      <c r="HC2">
        <f t="shared" si="3"/>
        <v>0</v>
      </c>
      <c r="HD2">
        <f t="shared" si="3"/>
        <v>1</v>
      </c>
      <c r="HE2">
        <f t="shared" si="3"/>
        <v>0</v>
      </c>
      <c r="HF2">
        <f t="shared" si="3"/>
        <v>0</v>
      </c>
      <c r="HG2">
        <f t="shared" si="3"/>
        <v>1</v>
      </c>
      <c r="HH2">
        <f t="shared" si="3"/>
        <v>0</v>
      </c>
      <c r="HI2">
        <f t="shared" si="3"/>
        <v>0</v>
      </c>
      <c r="HJ2">
        <f t="shared" si="3"/>
        <v>1</v>
      </c>
      <c r="HK2">
        <f t="shared" si="3"/>
        <v>0</v>
      </c>
      <c r="HL2">
        <f t="shared" si="3"/>
        <v>1</v>
      </c>
      <c r="HM2">
        <f t="shared" si="3"/>
        <v>1</v>
      </c>
      <c r="HN2">
        <f t="shared" si="3"/>
        <v>0</v>
      </c>
      <c r="HO2">
        <f t="shared" si="3"/>
        <v>1</v>
      </c>
      <c r="HP2">
        <f t="shared" si="3"/>
        <v>0</v>
      </c>
      <c r="HQ2">
        <f t="shared" si="3"/>
        <v>1</v>
      </c>
      <c r="HR2">
        <f t="shared" si="3"/>
        <v>1</v>
      </c>
      <c r="HS2">
        <f t="shared" si="3"/>
        <v>1</v>
      </c>
      <c r="HT2">
        <f t="shared" si="3"/>
        <v>0</v>
      </c>
      <c r="HU2">
        <f t="shared" si="3"/>
        <v>0</v>
      </c>
      <c r="HV2">
        <f t="shared" si="3"/>
        <v>0</v>
      </c>
      <c r="HW2">
        <f t="shared" si="3"/>
        <v>1</v>
      </c>
      <c r="HX2">
        <f t="shared" si="3"/>
        <v>0</v>
      </c>
      <c r="HY2">
        <f t="shared" si="3"/>
        <v>0</v>
      </c>
      <c r="HZ2">
        <f t="shared" si="3"/>
        <v>1</v>
      </c>
      <c r="IA2">
        <f t="shared" si="3"/>
        <v>1</v>
      </c>
      <c r="IB2">
        <f t="shared" si="3"/>
        <v>1</v>
      </c>
      <c r="IC2">
        <f t="shared" si="3"/>
        <v>1</v>
      </c>
      <c r="ID2">
        <f t="shared" si="3"/>
        <v>1</v>
      </c>
      <c r="IE2">
        <f t="shared" si="3"/>
        <v>0</v>
      </c>
      <c r="IF2">
        <f t="shared" si="3"/>
        <v>0</v>
      </c>
      <c r="IG2">
        <f t="shared" si="3"/>
        <v>1</v>
      </c>
      <c r="IH2">
        <f t="shared" si="3"/>
        <v>0</v>
      </c>
      <c r="II2">
        <f t="shared" si="3"/>
        <v>0</v>
      </c>
      <c r="IJ2">
        <f t="shared" si="3"/>
        <v>0</v>
      </c>
      <c r="IK2">
        <f t="shared" si="3"/>
        <v>1</v>
      </c>
      <c r="IL2">
        <f t="shared" si="3"/>
        <v>1</v>
      </c>
      <c r="IM2">
        <f t="shared" si="3"/>
        <v>0</v>
      </c>
      <c r="IN2">
        <f t="shared" si="3"/>
        <v>0</v>
      </c>
      <c r="IO2">
        <f t="shared" si="3"/>
        <v>0</v>
      </c>
      <c r="IP2">
        <f t="shared" si="3"/>
        <v>1</v>
      </c>
      <c r="IQ2">
        <f t="shared" si="3"/>
        <v>1</v>
      </c>
      <c r="IR2">
        <f t="shared" si="3"/>
        <v>1</v>
      </c>
      <c r="IS2">
        <f t="shared" si="3"/>
        <v>1</v>
      </c>
      <c r="IT2">
        <f t="shared" si="3"/>
        <v>0</v>
      </c>
      <c r="IU2">
        <f t="shared" si="3"/>
        <v>0</v>
      </c>
      <c r="IV2">
        <f t="shared" si="3"/>
        <v>1</v>
      </c>
      <c r="IW2">
        <f t="shared" si="3"/>
        <v>1</v>
      </c>
      <c r="IX2">
        <f t="shared" si="3"/>
        <v>0</v>
      </c>
      <c r="IY2">
        <f t="shared" si="3"/>
        <v>1</v>
      </c>
      <c r="IZ2">
        <f t="shared" si="3"/>
        <v>1</v>
      </c>
      <c r="JA2">
        <f t="shared" si="3"/>
        <v>0</v>
      </c>
      <c r="JB2">
        <f t="shared" si="3"/>
        <v>1</v>
      </c>
      <c r="JC2">
        <f t="shared" si="3"/>
        <v>1</v>
      </c>
      <c r="JD2">
        <f t="shared" si="3"/>
        <v>0</v>
      </c>
      <c r="JE2">
        <f t="shared" si="3"/>
        <v>0</v>
      </c>
      <c r="JF2">
        <f t="shared" si="3"/>
        <v>1</v>
      </c>
      <c r="JG2">
        <f t="shared" si="3"/>
        <v>1</v>
      </c>
      <c r="JH2">
        <f t="shared" si="3"/>
        <v>0</v>
      </c>
      <c r="JI2">
        <f t="shared" si="3"/>
        <v>0</v>
      </c>
      <c r="JJ2">
        <f t="shared" si="3"/>
        <v>1</v>
      </c>
      <c r="JK2">
        <f t="shared" si="3"/>
        <v>0</v>
      </c>
      <c r="JL2">
        <f t="shared" si="3"/>
        <v>0</v>
      </c>
      <c r="JM2">
        <f t="shared" ref="JM2:LK2" si="4">SUM(JM4:JM525)</f>
        <v>0</v>
      </c>
      <c r="JN2">
        <f t="shared" si="4"/>
        <v>0</v>
      </c>
      <c r="JO2">
        <f t="shared" si="4"/>
        <v>1</v>
      </c>
      <c r="JP2">
        <f t="shared" si="4"/>
        <v>0</v>
      </c>
      <c r="JQ2">
        <f t="shared" si="4"/>
        <v>0</v>
      </c>
      <c r="JR2">
        <f t="shared" si="4"/>
        <v>1</v>
      </c>
      <c r="JS2">
        <f t="shared" si="4"/>
        <v>0</v>
      </c>
      <c r="JT2">
        <f t="shared" si="4"/>
        <v>1</v>
      </c>
      <c r="JU2">
        <f t="shared" si="4"/>
        <v>1</v>
      </c>
      <c r="JV2">
        <f t="shared" si="4"/>
        <v>0</v>
      </c>
      <c r="JW2">
        <f t="shared" si="4"/>
        <v>1</v>
      </c>
      <c r="JX2">
        <f t="shared" si="4"/>
        <v>0</v>
      </c>
      <c r="JY2">
        <f t="shared" si="4"/>
        <v>1</v>
      </c>
      <c r="JZ2">
        <f t="shared" si="4"/>
        <v>0</v>
      </c>
      <c r="KA2">
        <f t="shared" si="4"/>
        <v>1</v>
      </c>
      <c r="KB2">
        <f t="shared" si="4"/>
        <v>0</v>
      </c>
      <c r="KC2">
        <f t="shared" si="4"/>
        <v>0</v>
      </c>
      <c r="KD2">
        <f t="shared" si="4"/>
        <v>0</v>
      </c>
      <c r="KE2">
        <f t="shared" si="4"/>
        <v>1</v>
      </c>
      <c r="KF2">
        <f t="shared" si="4"/>
        <v>1</v>
      </c>
      <c r="KG2">
        <f t="shared" si="4"/>
        <v>1</v>
      </c>
      <c r="KH2">
        <f t="shared" si="4"/>
        <v>0</v>
      </c>
      <c r="KI2">
        <f t="shared" si="4"/>
        <v>1</v>
      </c>
      <c r="KJ2">
        <f t="shared" si="4"/>
        <v>1</v>
      </c>
      <c r="KK2">
        <f t="shared" si="4"/>
        <v>1</v>
      </c>
      <c r="KL2">
        <f t="shared" si="4"/>
        <v>0</v>
      </c>
      <c r="KM2">
        <f t="shared" si="4"/>
        <v>0</v>
      </c>
      <c r="KN2">
        <f t="shared" si="4"/>
        <v>0</v>
      </c>
      <c r="KO2">
        <f t="shared" si="4"/>
        <v>0</v>
      </c>
      <c r="KP2">
        <f t="shared" si="4"/>
        <v>1</v>
      </c>
      <c r="KQ2">
        <f t="shared" si="4"/>
        <v>0</v>
      </c>
      <c r="KR2">
        <f t="shared" si="4"/>
        <v>0</v>
      </c>
      <c r="KS2">
        <f t="shared" si="4"/>
        <v>0</v>
      </c>
      <c r="KT2">
        <f t="shared" si="4"/>
        <v>1</v>
      </c>
      <c r="KU2">
        <f t="shared" si="4"/>
        <v>0</v>
      </c>
      <c r="KV2">
        <f t="shared" si="4"/>
        <v>1</v>
      </c>
      <c r="KW2">
        <f t="shared" si="4"/>
        <v>0</v>
      </c>
      <c r="KX2">
        <f t="shared" si="4"/>
        <v>0</v>
      </c>
      <c r="KY2">
        <f t="shared" si="4"/>
        <v>1</v>
      </c>
      <c r="KZ2">
        <f t="shared" si="4"/>
        <v>1</v>
      </c>
      <c r="LA2">
        <f t="shared" si="4"/>
        <v>1</v>
      </c>
      <c r="LB2">
        <f t="shared" si="4"/>
        <v>1</v>
      </c>
      <c r="LC2">
        <f t="shared" si="4"/>
        <v>0</v>
      </c>
      <c r="LD2">
        <f t="shared" si="4"/>
        <v>0</v>
      </c>
      <c r="LE2">
        <f t="shared" si="4"/>
        <v>0</v>
      </c>
      <c r="LF2">
        <f t="shared" si="4"/>
        <v>0</v>
      </c>
      <c r="LG2">
        <f t="shared" si="4"/>
        <v>0</v>
      </c>
      <c r="LH2">
        <f t="shared" si="4"/>
        <v>0</v>
      </c>
      <c r="LI2">
        <f t="shared" si="4"/>
        <v>0</v>
      </c>
      <c r="LJ2">
        <f t="shared" si="4"/>
        <v>1</v>
      </c>
      <c r="LK2">
        <f t="shared" si="4"/>
        <v>0</v>
      </c>
      <c r="LL2" s="3">
        <f>COUNTA(LL4:LL525)</f>
        <v>12</v>
      </c>
      <c r="LM2" s="4"/>
      <c r="LN2" s="4"/>
      <c r="LO2" s="4"/>
      <c r="LP2" s="4"/>
      <c r="LQ2" s="4"/>
      <c r="LR2" s="5"/>
      <c r="LS2" s="3">
        <f>COUNTA(LS4:LS525)</f>
        <v>24</v>
      </c>
      <c r="LT2" s="4"/>
      <c r="LU2" s="4"/>
      <c r="LV2" s="4"/>
      <c r="LW2" s="4"/>
      <c r="LX2" s="4"/>
      <c r="LY2" s="5"/>
      <c r="LZ2" s="3">
        <f>COUNTA(LZ4:LZ525)</f>
        <v>420</v>
      </c>
      <c r="MA2" s="4"/>
      <c r="MB2" s="4"/>
      <c r="MC2" s="4"/>
      <c r="MD2" s="4"/>
      <c r="ME2" s="4"/>
      <c r="MF2" s="4"/>
      <c r="MG2" s="5"/>
      <c r="MH2" s="3">
        <f>COUNTA(MH4:MH525)</f>
        <v>1</v>
      </c>
      <c r="MI2" s="4"/>
      <c r="MJ2" s="4"/>
      <c r="MK2" s="4"/>
      <c r="ML2" s="4"/>
      <c r="MM2" s="4"/>
      <c r="MN2" s="5"/>
      <c r="MO2" s="3">
        <f>COUNTA(MO4:MO525)</f>
        <v>5</v>
      </c>
      <c r="MP2" s="4"/>
      <c r="MQ2" s="4"/>
      <c r="MR2" s="4"/>
      <c r="MS2" s="4"/>
      <c r="MT2" s="4"/>
      <c r="MU2" s="5"/>
      <c r="MV2" s="3">
        <f>COUNTA(MV4:MV525)</f>
        <v>19</v>
      </c>
      <c r="MW2" s="4"/>
      <c r="MX2" s="4"/>
      <c r="MY2" s="4"/>
      <c r="MZ2" s="4"/>
      <c r="NA2" s="4"/>
      <c r="NB2" s="5"/>
      <c r="NC2" s="3">
        <f>COUNTA(NC4:NC663)</f>
        <v>126</v>
      </c>
      <c r="ND2" s="4"/>
      <c r="NE2" s="4"/>
      <c r="NF2" s="4"/>
      <c r="NG2" s="4"/>
      <c r="NH2" s="4"/>
      <c r="NI2" s="5"/>
      <c r="NJ2" s="3">
        <f>COUNTA(NJ4:NJ663)</f>
        <v>44</v>
      </c>
      <c r="NK2" s="4"/>
      <c r="NL2" s="4"/>
      <c r="NM2" s="4"/>
      <c r="NN2" s="4"/>
      <c r="NO2" s="4"/>
      <c r="NP2" s="5"/>
      <c r="NQ2" s="3">
        <f>COUNTA(NQ4:NQ663)</f>
        <v>18</v>
      </c>
      <c r="NR2" s="4"/>
      <c r="NS2" s="4"/>
      <c r="NT2" s="4"/>
      <c r="NU2" s="4"/>
      <c r="NV2" s="4"/>
      <c r="NW2" s="5"/>
      <c r="NX2" s="3">
        <f>COUNTA(NX4:NX663)</f>
        <v>32</v>
      </c>
      <c r="NY2" s="4"/>
      <c r="NZ2" s="4"/>
      <c r="OA2" s="4"/>
      <c r="OB2" s="4"/>
      <c r="OC2" s="4"/>
      <c r="OD2" s="5"/>
      <c r="OE2" s="3">
        <f>COUNTA(OE4:OE663)</f>
        <v>5</v>
      </c>
      <c r="OF2" s="4"/>
      <c r="OG2" s="4"/>
      <c r="OH2" s="4"/>
      <c r="OI2" s="4"/>
      <c r="OJ2" s="4"/>
      <c r="OK2" s="5"/>
      <c r="OL2" s="3">
        <f>COUNTA(OL4:OL663)</f>
        <v>1</v>
      </c>
      <c r="OM2" s="4"/>
      <c r="ON2" s="4"/>
      <c r="OO2" s="4"/>
      <c r="OP2" s="4"/>
      <c r="OQ2" s="4"/>
      <c r="OR2" s="5"/>
      <c r="OS2" s="3">
        <f>COUNTA(OS4:OS663)</f>
        <v>10</v>
      </c>
      <c r="OT2" s="4"/>
      <c r="OU2" s="4"/>
      <c r="OV2" s="4"/>
      <c r="OW2" s="4"/>
      <c r="OX2" s="4"/>
      <c r="OY2" s="5"/>
      <c r="OZ2" s="3">
        <f>COUNTA(OZ4:OZ663)</f>
        <v>43</v>
      </c>
      <c r="PA2" s="4"/>
      <c r="PB2" s="4"/>
      <c r="PC2" s="4"/>
      <c r="PD2" s="4"/>
      <c r="PE2" s="4"/>
      <c r="PF2" s="5"/>
      <c r="PG2" s="3">
        <f>COUNTA(PG4:PG663)</f>
        <v>1</v>
      </c>
      <c r="PH2" s="4"/>
      <c r="PI2" s="4"/>
      <c r="PJ2" s="4"/>
      <c r="PK2" s="4"/>
      <c r="PL2" s="4"/>
      <c r="PM2" s="5"/>
      <c r="PN2" s="3">
        <f>COUNTA(PN4:PN663)</f>
        <v>1</v>
      </c>
      <c r="PO2" s="4"/>
      <c r="PP2" s="4"/>
      <c r="PQ2" s="4"/>
      <c r="PR2" s="4"/>
      <c r="PS2" s="4"/>
      <c r="PT2" s="5"/>
      <c r="PU2" s="3">
        <f>COUNTA(PU4:PU663)</f>
        <v>40</v>
      </c>
      <c r="PV2" s="4"/>
      <c r="PW2" s="4"/>
      <c r="PX2" s="4"/>
      <c r="PY2" s="4"/>
      <c r="PZ2" s="4"/>
      <c r="QA2" s="5"/>
      <c r="QB2" s="3">
        <f>COUNTA(QB4:QB663)</f>
        <v>72</v>
      </c>
      <c r="QC2" s="4"/>
      <c r="QD2" s="4"/>
      <c r="QE2" s="4"/>
      <c r="QF2" s="4"/>
      <c r="QG2" s="4"/>
      <c r="QH2" s="5"/>
      <c r="QI2" s="3">
        <f>COUNTA(QI4:QI663)</f>
        <v>5</v>
      </c>
      <c r="QJ2" s="4"/>
      <c r="QK2" s="4"/>
      <c r="QL2" s="4"/>
      <c r="QM2" s="4"/>
      <c r="QN2" s="4"/>
      <c r="QO2" s="5"/>
      <c r="QP2" s="3">
        <f>COUNTA(QP4:QP663)</f>
        <v>1</v>
      </c>
      <c r="QQ2" s="4"/>
      <c r="QR2" s="4"/>
      <c r="QS2" s="4"/>
      <c r="QT2" s="4"/>
      <c r="QU2" s="4"/>
      <c r="QV2" s="5"/>
      <c r="QW2" s="3">
        <f>COUNTA(QW4:QW663)</f>
        <v>10</v>
      </c>
      <c r="QX2" s="4"/>
      <c r="QY2" s="4"/>
      <c r="QZ2" s="4"/>
      <c r="RA2" s="4"/>
      <c r="RB2" s="4"/>
      <c r="RC2" s="5"/>
      <c r="RD2" s="3">
        <f>COUNTA(RD4:RD663)</f>
        <v>3</v>
      </c>
      <c r="RE2" s="4"/>
      <c r="RF2" s="4"/>
      <c r="RG2" s="4"/>
      <c r="RH2" s="4"/>
      <c r="RI2" s="4"/>
      <c r="RJ2" s="5"/>
      <c r="RK2" s="3">
        <f>COUNTA(RK4:RK663)</f>
        <v>8</v>
      </c>
      <c r="RL2" s="4"/>
      <c r="RM2" s="4"/>
      <c r="RN2" s="4"/>
      <c r="RO2" s="4"/>
      <c r="RP2" s="4"/>
      <c r="RQ2" s="5"/>
      <c r="RR2" s="3">
        <f>COUNTA(RR4:RR663)</f>
        <v>2</v>
      </c>
      <c r="RS2" s="4"/>
      <c r="RT2" s="4"/>
      <c r="RU2" s="4"/>
      <c r="RV2" s="4"/>
      <c r="RW2" s="4"/>
      <c r="RX2" s="5"/>
      <c r="RY2" s="3">
        <f>COUNTA(RY4:RY663)</f>
        <v>2</v>
      </c>
      <c r="RZ2" s="4"/>
      <c r="SA2" s="4"/>
      <c r="SB2" s="4"/>
      <c r="SC2" s="4"/>
      <c r="SD2" s="4"/>
      <c r="SE2" s="5"/>
      <c r="SF2" s="3">
        <f>COUNTA(SF4:SF663)</f>
        <v>1</v>
      </c>
      <c r="SG2" s="4"/>
      <c r="SH2" s="4"/>
      <c r="SI2" s="4"/>
      <c r="SJ2" s="4"/>
      <c r="SK2" s="4"/>
      <c r="SL2" s="5"/>
      <c r="SM2" s="3">
        <f>COUNTA(SM4:SM663)</f>
        <v>1</v>
      </c>
      <c r="SN2" s="4"/>
      <c r="SO2" s="4"/>
      <c r="SP2" s="4"/>
      <c r="SQ2" s="4"/>
      <c r="SR2" s="4"/>
      <c r="SS2" s="5"/>
      <c r="ST2" s="3">
        <f>COUNTA(ST4:ST663)</f>
        <v>9</v>
      </c>
      <c r="SU2" s="4"/>
      <c r="SV2" s="4"/>
      <c r="SW2" s="4"/>
      <c r="SX2" s="4"/>
      <c r="SY2" s="4"/>
      <c r="SZ2" s="5"/>
      <c r="TA2" s="3">
        <f>COUNTA(TA4:TA663)</f>
        <v>2</v>
      </c>
      <c r="TB2" s="4"/>
      <c r="TC2" s="4"/>
      <c r="TD2" s="4"/>
      <c r="TE2" s="4"/>
      <c r="TF2" s="4"/>
      <c r="TG2" s="5"/>
      <c r="TH2" s="3">
        <f>COUNTA(TH4:TH663)</f>
        <v>4</v>
      </c>
      <c r="TI2" s="4"/>
      <c r="TJ2" s="4"/>
      <c r="TK2" s="4"/>
      <c r="TL2" s="4"/>
      <c r="TM2" s="4"/>
      <c r="TN2" s="5"/>
      <c r="TO2" s="3">
        <f>COUNTA(TO4:TO663)</f>
        <v>6</v>
      </c>
      <c r="TP2" s="4"/>
      <c r="TQ2" s="4"/>
      <c r="TR2" s="4"/>
      <c r="TS2" s="4"/>
      <c r="TT2" s="4"/>
      <c r="TU2" s="5"/>
      <c r="TV2" s="3">
        <f>COUNTA(TV4:TV663)</f>
        <v>8</v>
      </c>
      <c r="TW2" s="4"/>
      <c r="TX2" s="4"/>
      <c r="TY2" s="4"/>
      <c r="TZ2" s="4"/>
      <c r="UA2" s="4"/>
      <c r="UB2" s="5"/>
      <c r="UC2" s="3">
        <f>COUNTA(UC4:UC663)</f>
        <v>14</v>
      </c>
      <c r="UD2" s="4"/>
      <c r="UE2" s="4"/>
      <c r="UF2" s="4"/>
      <c r="UG2" s="4"/>
      <c r="UH2" s="4"/>
      <c r="UI2" s="5"/>
      <c r="UJ2" s="3">
        <f>COUNTA(UJ4:UJ663)</f>
        <v>5</v>
      </c>
      <c r="UK2" s="4"/>
      <c r="UL2" s="4"/>
      <c r="UM2" s="4"/>
      <c r="UN2" s="4"/>
      <c r="UO2" s="4"/>
      <c r="UP2" s="5"/>
      <c r="UQ2" s="3">
        <f>COUNTA(UQ4:UQ663)</f>
        <v>5</v>
      </c>
      <c r="UR2" s="4"/>
      <c r="US2" s="4"/>
      <c r="UT2" s="4"/>
      <c r="UU2" s="4"/>
      <c r="UV2" s="4"/>
      <c r="UW2" s="5"/>
      <c r="UX2" s="3">
        <f>COUNTA(UX4:UX663)</f>
        <v>83</v>
      </c>
      <c r="UY2" s="4"/>
      <c r="UZ2" s="4"/>
      <c r="VA2" s="4"/>
      <c r="VB2" s="4"/>
      <c r="VC2" s="4"/>
      <c r="VD2" s="5"/>
      <c r="VE2" s="3">
        <f>COUNTA(VE4:VE663)</f>
        <v>33</v>
      </c>
      <c r="VF2" s="4"/>
      <c r="VG2" s="4"/>
      <c r="VH2" s="4"/>
      <c r="VI2" s="4"/>
      <c r="VJ2" s="4"/>
      <c r="VK2" s="5"/>
      <c r="VL2" s="3">
        <f>COUNTA(VL4:VL663)</f>
        <v>65</v>
      </c>
      <c r="VM2" s="4"/>
      <c r="VN2" s="4"/>
      <c r="VO2" s="4"/>
      <c r="VP2" s="4"/>
      <c r="VQ2" s="4"/>
      <c r="VR2" s="5"/>
      <c r="VS2" s="3">
        <f>COUNTA(VS4:VS524)</f>
        <v>2</v>
      </c>
      <c r="VT2" s="4"/>
      <c r="VU2" s="4"/>
      <c r="VV2" s="4"/>
      <c r="VW2" s="4"/>
      <c r="VX2" s="4"/>
      <c r="VY2" s="5"/>
      <c r="VZ2" s="3">
        <f>COUNTA(VZ4:VZ663)</f>
        <v>15</v>
      </c>
      <c r="WA2" s="4"/>
      <c r="WB2" s="4"/>
      <c r="WC2" s="4"/>
      <c r="WD2" s="4"/>
      <c r="WE2" s="4"/>
      <c r="WF2" s="5"/>
      <c r="WG2" s="3">
        <f>COUNTA(WG4:WG663)</f>
        <v>8</v>
      </c>
      <c r="WH2" s="4"/>
      <c r="WI2" s="4"/>
      <c r="WJ2" s="4"/>
      <c r="WK2" s="4"/>
      <c r="WL2" s="4"/>
      <c r="WM2" s="5"/>
      <c r="WN2" s="3">
        <f>COUNTA(WN4:WN663)</f>
        <v>0</v>
      </c>
      <c r="WO2" s="4"/>
      <c r="WP2" s="4"/>
      <c r="WQ2" s="4"/>
      <c r="WR2" s="4"/>
      <c r="WS2" s="4"/>
      <c r="WT2" s="5"/>
      <c r="WU2" s="3">
        <f>COUNTA(WU4:WU663)</f>
        <v>7</v>
      </c>
      <c r="WV2" s="4"/>
      <c r="WW2" s="4"/>
      <c r="WX2" s="4"/>
      <c r="WY2" s="4"/>
      <c r="WZ2" s="4"/>
      <c r="XA2" s="5"/>
      <c r="XB2" s="3">
        <f>COUNTA(XB4:XB663)</f>
        <v>1</v>
      </c>
      <c r="XC2" s="4"/>
      <c r="XD2" s="4"/>
      <c r="XE2" s="4"/>
      <c r="XF2" s="4"/>
      <c r="XG2" s="4"/>
      <c r="XH2" s="5"/>
      <c r="XI2" s="3">
        <f>COUNTA(XI4:XI663)</f>
        <v>8</v>
      </c>
      <c r="XJ2" s="4"/>
      <c r="XK2" s="4"/>
      <c r="XL2" s="4"/>
      <c r="XM2" s="4"/>
      <c r="XN2" s="4"/>
      <c r="XO2" s="5"/>
      <c r="XP2" s="3">
        <f>COUNTA(XP4:XP663)</f>
        <v>21</v>
      </c>
      <c r="XQ2" s="4"/>
      <c r="XR2" s="4"/>
      <c r="XS2" s="4"/>
      <c r="XT2" s="4"/>
      <c r="XU2" s="4"/>
      <c r="XV2" s="5"/>
      <c r="XW2" s="3">
        <f>COUNTA(XW4:XW663)</f>
        <v>3</v>
      </c>
      <c r="XX2" s="4"/>
      <c r="XY2" s="4"/>
      <c r="XZ2" s="4"/>
      <c r="YA2" s="4"/>
      <c r="YB2" s="4"/>
      <c r="YC2" s="5"/>
      <c r="YD2" s="3">
        <f>COUNTA(YD4:YD663)</f>
        <v>1</v>
      </c>
      <c r="YE2" s="4"/>
      <c r="YF2" s="4"/>
      <c r="YG2" s="4"/>
      <c r="YH2" s="4"/>
      <c r="YI2" s="4"/>
      <c r="YJ2" s="5"/>
      <c r="YK2" s="3">
        <f>COUNTA(YK4:YK663)</f>
        <v>232</v>
      </c>
      <c r="YL2" s="4"/>
      <c r="YM2" s="4"/>
      <c r="YN2" s="4"/>
      <c r="YO2" s="4"/>
      <c r="YP2" s="4"/>
      <c r="YQ2" s="5"/>
      <c r="YR2" s="3">
        <f>COUNTA(YR4:YR663)</f>
        <v>8</v>
      </c>
      <c r="YS2" s="4"/>
      <c r="YT2" s="4"/>
      <c r="YU2" s="4"/>
      <c r="YV2" s="4"/>
      <c r="YW2" s="4"/>
      <c r="YX2" s="5"/>
      <c r="YY2" s="3">
        <f>COUNTA(YY4:YY663)</f>
        <v>5</v>
      </c>
      <c r="YZ2" s="4"/>
      <c r="ZA2" s="4"/>
      <c r="ZB2" s="4"/>
      <c r="ZC2" s="4"/>
      <c r="ZD2" s="4"/>
      <c r="ZE2" s="5"/>
      <c r="ZF2" s="3">
        <f>COUNTA(ZF4:ZF663)</f>
        <v>2</v>
      </c>
      <c r="ZG2" s="4"/>
      <c r="ZH2" s="4"/>
      <c r="ZI2" s="4"/>
      <c r="ZJ2" s="4"/>
      <c r="ZK2" s="4"/>
      <c r="ZL2" s="5"/>
      <c r="ZM2" s="3">
        <f>COUNTA(ZM4:ZM663)</f>
        <v>23</v>
      </c>
      <c r="ZN2" s="4"/>
      <c r="ZO2" s="4"/>
      <c r="ZP2" s="4"/>
      <c r="ZQ2" s="4"/>
      <c r="ZR2" s="4"/>
      <c r="ZS2" s="5"/>
      <c r="ZT2" s="3">
        <f>COUNTA(ZT4:ZT663)</f>
        <v>5</v>
      </c>
      <c r="ZU2" s="4"/>
      <c r="ZV2" s="4"/>
      <c r="ZW2" s="4"/>
      <c r="ZX2" s="4"/>
      <c r="ZY2" s="4"/>
      <c r="ZZ2" s="5"/>
      <c r="AAA2" s="3">
        <f>COUNTA(AAA4:AAA663)</f>
        <v>0</v>
      </c>
      <c r="AAB2" s="4"/>
      <c r="AAC2" s="4"/>
      <c r="AAD2" s="4"/>
      <c r="AAE2" s="4"/>
      <c r="AAF2" s="4"/>
      <c r="AAG2" s="5"/>
      <c r="AAH2" s="3">
        <f>COUNTA(AAH4:AAH663)</f>
        <v>57</v>
      </c>
      <c r="AAI2" s="4"/>
      <c r="AAJ2" s="4"/>
      <c r="AAK2" s="4"/>
      <c r="AAL2" s="4"/>
      <c r="AAM2" s="4"/>
      <c r="AAN2" s="5"/>
      <c r="AAO2" s="3">
        <f>COUNTA(AAO4:AAO663)</f>
        <v>1</v>
      </c>
      <c r="AAP2" s="4"/>
      <c r="AAQ2" s="4"/>
      <c r="AAR2" s="4"/>
      <c r="AAS2" s="4"/>
      <c r="AAT2" s="4"/>
      <c r="AAU2" s="5"/>
      <c r="AAV2" s="3">
        <f>COUNTA(AAV4:AAV663)</f>
        <v>5</v>
      </c>
      <c r="AAW2" s="4"/>
      <c r="AAX2" s="4"/>
      <c r="AAY2" s="4"/>
      <c r="AAZ2" s="4"/>
      <c r="ABA2" s="4"/>
      <c r="ABB2" s="5"/>
      <c r="ABC2" s="3">
        <f>COUNTA(ABC4:ABC663)</f>
        <v>17</v>
      </c>
      <c r="ABD2" s="4"/>
      <c r="ABE2" s="4"/>
      <c r="ABF2" s="4"/>
      <c r="ABG2" s="4"/>
      <c r="ABH2" s="4"/>
      <c r="ABI2" s="5"/>
      <c r="ABJ2" s="3">
        <f>COUNTA(ABJ4:ABJ663)</f>
        <v>41</v>
      </c>
      <c r="ABK2" s="4"/>
      <c r="ABL2" s="4"/>
      <c r="ABM2" s="4"/>
      <c r="ABN2" s="4"/>
      <c r="ABO2" s="4"/>
      <c r="ABP2" s="5"/>
      <c r="ABQ2" s="3">
        <f>COUNTA(ABQ4:ABQ663)</f>
        <v>40</v>
      </c>
      <c r="ABR2" s="4"/>
      <c r="ABS2" s="4"/>
      <c r="ABT2" s="4"/>
      <c r="ABU2" s="4"/>
      <c r="ABV2" s="4"/>
      <c r="ABW2" s="5"/>
      <c r="ABX2" s="3">
        <f>COUNTA(ABX4:ABX663)</f>
        <v>1</v>
      </c>
      <c r="ABY2" s="4"/>
      <c r="ABZ2" s="4"/>
      <c r="ACA2" s="4"/>
      <c r="ACB2" s="4"/>
      <c r="ACC2" s="4"/>
      <c r="ACD2" s="5"/>
      <c r="ACE2" s="3">
        <f>COUNTA(ACE4:ACE663)</f>
        <v>0</v>
      </c>
      <c r="ACF2" s="4"/>
      <c r="ACG2" s="4"/>
      <c r="ACH2" s="4"/>
      <c r="ACI2" s="4"/>
      <c r="ACJ2" s="4"/>
      <c r="ACK2" s="5"/>
      <c r="ACL2" s="3">
        <f>COUNTA(ACL4:ACL663)</f>
        <v>32</v>
      </c>
      <c r="ACM2" s="4"/>
      <c r="ACN2" s="4"/>
      <c r="ACO2" s="4"/>
      <c r="ACP2" s="4"/>
      <c r="ACQ2" s="4"/>
      <c r="ACR2" s="5"/>
      <c r="ACS2" s="3">
        <f>COUNTA(ACS4:ACS663)</f>
        <v>2</v>
      </c>
      <c r="ACT2" s="4"/>
      <c r="ACU2" s="4"/>
      <c r="ACV2" s="4"/>
      <c r="ACW2" s="4"/>
      <c r="ACX2" s="4"/>
      <c r="ACY2" s="5"/>
      <c r="ADZ2" s="6" t="s">
        <v>4134</v>
      </c>
      <c r="AEA2" s="4" t="s">
        <v>4135</v>
      </c>
      <c r="AEB2" s="5" t="s">
        <v>4136</v>
      </c>
      <c r="AEC2" s="7" t="s">
        <v>165</v>
      </c>
      <c r="AED2" s="7" t="s">
        <v>4260</v>
      </c>
      <c r="AEE2" s="7" t="s">
        <v>239</v>
      </c>
      <c r="AEF2" s="7" t="s">
        <v>240</v>
      </c>
      <c r="AEG2" s="7" t="s">
        <v>4250</v>
      </c>
      <c r="AEH2" s="7" t="s">
        <v>231</v>
      </c>
      <c r="AEI2" s="7" t="s">
        <v>4251</v>
      </c>
      <c r="AEJ2" s="7" t="s">
        <v>4252</v>
      </c>
      <c r="AEK2" t="s">
        <v>243</v>
      </c>
      <c r="AEL2" t="s">
        <v>4253</v>
      </c>
      <c r="AEM2" t="s">
        <v>233</v>
      </c>
      <c r="AEN2" t="s">
        <v>180</v>
      </c>
      <c r="AEO2" t="s">
        <v>279</v>
      </c>
      <c r="AEP2" t="s">
        <v>172</v>
      </c>
      <c r="AEQ2" t="s">
        <v>281</v>
      </c>
      <c r="AER2" t="s">
        <v>4254</v>
      </c>
      <c r="AES2" t="s">
        <v>170</v>
      </c>
      <c r="AET2" t="s">
        <v>4255</v>
      </c>
      <c r="AEU2" t="s">
        <v>4256</v>
      </c>
      <c r="AEV2" t="s">
        <v>171</v>
      </c>
      <c r="AEW2" t="s">
        <v>174</v>
      </c>
      <c r="AEX2" t="s">
        <v>226</v>
      </c>
      <c r="AEY2" t="s">
        <v>227</v>
      </c>
      <c r="AEZ2" t="s">
        <v>177</v>
      </c>
      <c r="AFA2" t="s">
        <v>224</v>
      </c>
      <c r="AFB2" t="s">
        <v>48</v>
      </c>
      <c r="AFC2" t="s">
        <v>49</v>
      </c>
      <c r="AFD2" t="s">
        <v>50</v>
      </c>
      <c r="AFE2" t="s">
        <v>51</v>
      </c>
      <c r="AFF2" t="s">
        <v>52</v>
      </c>
      <c r="AFG2" t="s">
        <v>53</v>
      </c>
    </row>
    <row r="3" spans="1:839" x14ac:dyDescent="0.25">
      <c r="A3" t="s">
        <v>4245</v>
      </c>
      <c r="B3" s="1" t="s">
        <v>2118</v>
      </c>
      <c r="C3" t="s">
        <v>2117</v>
      </c>
      <c r="D3" t="s">
        <v>2116</v>
      </c>
      <c r="E3" t="s">
        <v>3944</v>
      </c>
      <c r="F3" s="23" t="s">
        <v>2486</v>
      </c>
      <c r="G3" s="23" t="s">
        <v>1628</v>
      </c>
      <c r="H3" s="23" t="s">
        <v>1626</v>
      </c>
      <c r="J3" s="12" t="s">
        <v>3783</v>
      </c>
      <c r="K3" s="33" t="s">
        <v>3982</v>
      </c>
      <c r="L3" s="23" t="s">
        <v>3792</v>
      </c>
      <c r="N3" t="s">
        <v>675</v>
      </c>
      <c r="O3" t="s">
        <v>676</v>
      </c>
      <c r="P3" t="s">
        <v>677</v>
      </c>
      <c r="Q3" s="2" t="s">
        <v>2394</v>
      </c>
      <c r="R3" t="s">
        <v>2631</v>
      </c>
      <c r="S3" t="s">
        <v>366</v>
      </c>
      <c r="T3" s="2" t="s">
        <v>2109</v>
      </c>
      <c r="U3" t="s">
        <v>3896</v>
      </c>
      <c r="V3" t="s">
        <v>3897</v>
      </c>
      <c r="W3" s="2" t="s">
        <v>2107</v>
      </c>
      <c r="X3" s="2" t="s">
        <v>2313</v>
      </c>
      <c r="Y3" t="s">
        <v>2124</v>
      </c>
      <c r="Z3" t="s">
        <v>2614</v>
      </c>
      <c r="AA3" t="s">
        <v>2312</v>
      </c>
      <c r="AB3" t="s">
        <v>2341</v>
      </c>
      <c r="AC3" t="s">
        <v>2545</v>
      </c>
      <c r="AD3" s="2" t="s">
        <v>2632</v>
      </c>
      <c r="AE3" s="2" t="s">
        <v>2103</v>
      </c>
      <c r="AF3" t="s">
        <v>2059</v>
      </c>
      <c r="AG3" t="s">
        <v>2544</v>
      </c>
      <c r="AH3" t="s">
        <v>2062</v>
      </c>
      <c r="AI3" t="s">
        <v>2405</v>
      </c>
      <c r="AJ3" t="s">
        <v>1823</v>
      </c>
      <c r="AK3" t="s">
        <v>2541</v>
      </c>
      <c r="AL3" t="s">
        <v>2054</v>
      </c>
      <c r="AM3" t="s">
        <v>2120</v>
      </c>
      <c r="AN3" t="s">
        <v>2029</v>
      </c>
      <c r="AO3" s="2" t="s">
        <v>2055</v>
      </c>
      <c r="AP3" t="s">
        <v>2145</v>
      </c>
      <c r="AQ3" t="s">
        <v>2342</v>
      </c>
      <c r="AR3" t="s">
        <v>2340</v>
      </c>
      <c r="AS3" t="s">
        <v>2408</v>
      </c>
      <c r="AT3" t="s">
        <v>2266</v>
      </c>
      <c r="AU3" t="s">
        <v>1602</v>
      </c>
      <c r="AV3" s="2" t="s">
        <v>2191</v>
      </c>
      <c r="AW3" t="s">
        <v>2223</v>
      </c>
      <c r="AX3" t="s">
        <v>2101</v>
      </c>
      <c r="AY3" t="s">
        <v>2158</v>
      </c>
      <c r="AZ3" t="s">
        <v>2195</v>
      </c>
      <c r="BA3" t="s">
        <v>2475</v>
      </c>
      <c r="BB3" t="s">
        <v>2053</v>
      </c>
      <c r="BC3" t="s">
        <v>1879</v>
      </c>
      <c r="BD3" t="s">
        <v>2343</v>
      </c>
      <c r="BE3" t="s">
        <v>2192</v>
      </c>
      <c r="BF3" t="s">
        <v>2554</v>
      </c>
      <c r="BG3" t="s">
        <v>2185</v>
      </c>
      <c r="BH3" t="s">
        <v>2056</v>
      </c>
      <c r="BI3" t="s">
        <v>2127</v>
      </c>
      <c r="BJ3" t="s">
        <v>2314</v>
      </c>
      <c r="BK3" t="s">
        <v>1897</v>
      </c>
      <c r="BL3" t="s">
        <v>2630</v>
      </c>
      <c r="BM3" t="s">
        <v>2703</v>
      </c>
      <c r="BN3" t="s">
        <v>2184</v>
      </c>
      <c r="BO3" t="s">
        <v>1877</v>
      </c>
      <c r="BP3" t="s">
        <v>2104</v>
      </c>
      <c r="BQ3" t="s">
        <v>2750</v>
      </c>
      <c r="BR3" t="s">
        <v>2556</v>
      </c>
      <c r="BS3" t="s">
        <v>2404</v>
      </c>
      <c r="BT3" t="s">
        <v>2310</v>
      </c>
      <c r="BU3" t="s">
        <v>1875</v>
      </c>
      <c r="BV3" t="s">
        <v>2567</v>
      </c>
      <c r="BW3" t="s">
        <v>2401</v>
      </c>
      <c r="BX3" t="s">
        <v>1878</v>
      </c>
      <c r="BY3" t="s">
        <v>2122</v>
      </c>
      <c r="BZ3" t="s">
        <v>2568</v>
      </c>
      <c r="CA3" t="s">
        <v>2765</v>
      </c>
      <c r="CB3" t="s">
        <v>2316</v>
      </c>
      <c r="CC3" s="2" t="s">
        <v>2565</v>
      </c>
      <c r="CD3" t="s">
        <v>2387</v>
      </c>
      <c r="CE3" t="s">
        <v>183</v>
      </c>
      <c r="CF3" t="s">
        <v>2410</v>
      </c>
      <c r="CG3" t="s">
        <v>2339</v>
      </c>
      <c r="CH3" t="s">
        <v>2414</v>
      </c>
      <c r="CI3" s="2" t="s">
        <v>2480</v>
      </c>
      <c r="CJ3" t="s">
        <v>2108</v>
      </c>
      <c r="CK3" t="s">
        <v>2219</v>
      </c>
      <c r="CL3" t="s">
        <v>2063</v>
      </c>
      <c r="CM3" t="s">
        <v>2231</v>
      </c>
      <c r="CN3" t="s">
        <v>1824</v>
      </c>
      <c r="CO3" t="s">
        <v>2183</v>
      </c>
      <c r="CP3" t="s">
        <v>2039</v>
      </c>
      <c r="CQ3" s="2" t="s">
        <v>2687</v>
      </c>
      <c r="CR3" t="s">
        <v>2419</v>
      </c>
      <c r="CS3" t="s">
        <v>1899</v>
      </c>
      <c r="CT3" t="s">
        <v>2193</v>
      </c>
      <c r="CU3" t="s">
        <v>2180</v>
      </c>
      <c r="CV3" t="s">
        <v>2555</v>
      </c>
      <c r="CW3" t="s">
        <v>1901</v>
      </c>
      <c r="CX3" t="s">
        <v>2179</v>
      </c>
      <c r="CY3" t="s">
        <v>2315</v>
      </c>
      <c r="CZ3" t="s">
        <v>2825</v>
      </c>
      <c r="DA3" t="s">
        <v>2067</v>
      </c>
      <c r="DB3" t="s">
        <v>2123</v>
      </c>
      <c r="DC3" t="s">
        <v>2684</v>
      </c>
      <c r="DD3" t="s">
        <v>2119</v>
      </c>
      <c r="DE3" t="s">
        <v>2028</v>
      </c>
      <c r="DF3" t="s">
        <v>2163</v>
      </c>
      <c r="DG3" t="s">
        <v>2498</v>
      </c>
      <c r="DH3" t="s">
        <v>2420</v>
      </c>
      <c r="DI3" t="s">
        <v>2237</v>
      </c>
      <c r="DJ3" t="s">
        <v>2027</v>
      </c>
      <c r="DK3" t="s">
        <v>2226</v>
      </c>
      <c r="DL3" t="s">
        <v>2327</v>
      </c>
      <c r="DM3" t="s">
        <v>2038</v>
      </c>
      <c r="DN3" t="s">
        <v>2217</v>
      </c>
      <c r="DO3" t="s">
        <v>2488</v>
      </c>
      <c r="DP3" t="s">
        <v>4184</v>
      </c>
      <c r="DQ3" t="s">
        <v>2235</v>
      </c>
      <c r="DR3" t="s">
        <v>2413</v>
      </c>
      <c r="DS3" t="s">
        <v>2496</v>
      </c>
      <c r="DT3" t="s">
        <v>2550</v>
      </c>
      <c r="DU3" t="s">
        <v>2194</v>
      </c>
      <c r="DV3" t="s">
        <v>2345</v>
      </c>
      <c r="DW3" t="s">
        <v>2270</v>
      </c>
      <c r="DX3" t="s">
        <v>2186</v>
      </c>
      <c r="DY3" t="s">
        <v>2225</v>
      </c>
      <c r="DZ3" t="s">
        <v>2824</v>
      </c>
      <c r="EA3" t="s">
        <v>2402</v>
      </c>
      <c r="EB3" t="s">
        <v>2309</v>
      </c>
      <c r="EC3" t="s">
        <v>2636</v>
      </c>
      <c r="ED3" t="s">
        <v>2415</v>
      </c>
      <c r="EE3" t="s">
        <v>2140</v>
      </c>
      <c r="EF3" t="s">
        <v>2026</v>
      </c>
      <c r="EG3" t="s">
        <v>2388</v>
      </c>
      <c r="EH3" t="s">
        <v>2130</v>
      </c>
      <c r="EI3" t="s">
        <v>2474</v>
      </c>
      <c r="EJ3" t="s">
        <v>2330</v>
      </c>
      <c r="EK3" t="s">
        <v>2088</v>
      </c>
      <c r="EL3" t="s">
        <v>2036</v>
      </c>
      <c r="EM3" t="s">
        <v>1961</v>
      </c>
      <c r="EN3" t="s">
        <v>2222</v>
      </c>
      <c r="EO3" t="s">
        <v>2269</v>
      </c>
      <c r="EP3" t="s">
        <v>1902</v>
      </c>
      <c r="EQ3" t="s">
        <v>2633</v>
      </c>
      <c r="ER3" t="s">
        <v>2826</v>
      </c>
      <c r="ES3" t="s">
        <v>2228</v>
      </c>
      <c r="ET3" t="s">
        <v>2162</v>
      </c>
      <c r="EU3" t="s">
        <v>2308</v>
      </c>
      <c r="EV3" t="s">
        <v>2229</v>
      </c>
      <c r="EW3" t="s">
        <v>1995</v>
      </c>
      <c r="EX3" t="s">
        <v>2233</v>
      </c>
      <c r="EY3" t="s">
        <v>2321</v>
      </c>
      <c r="EZ3" t="s">
        <v>162</v>
      </c>
      <c r="FA3" t="s">
        <v>2276</v>
      </c>
      <c r="FB3" t="s">
        <v>2138</v>
      </c>
      <c r="FC3" t="s">
        <v>2274</v>
      </c>
      <c r="FD3" t="s">
        <v>1957</v>
      </c>
      <c r="FE3" t="s">
        <v>2096</v>
      </c>
      <c r="FF3" t="s">
        <v>2097</v>
      </c>
      <c r="FG3" t="s">
        <v>2751</v>
      </c>
      <c r="FH3" t="s">
        <v>2424</v>
      </c>
      <c r="FI3" t="s">
        <v>2322</v>
      </c>
      <c r="FJ3" t="s">
        <v>2045</v>
      </c>
      <c r="FK3" t="s">
        <v>2176</v>
      </c>
      <c r="FL3" t="s">
        <v>2487</v>
      </c>
      <c r="FM3" t="s">
        <v>2323</v>
      </c>
      <c r="FN3" t="s">
        <v>2411</v>
      </c>
      <c r="FO3" t="s">
        <v>2035</v>
      </c>
      <c r="FP3" t="s">
        <v>2131</v>
      </c>
      <c r="FQ3" t="s">
        <v>2421</v>
      </c>
      <c r="FR3" t="s">
        <v>3765</v>
      </c>
      <c r="FS3" t="s">
        <v>2823</v>
      </c>
      <c r="FT3" t="s">
        <v>1985</v>
      </c>
      <c r="FU3" t="s">
        <v>1960</v>
      </c>
      <c r="FV3" t="s">
        <v>2385</v>
      </c>
      <c r="FW3" t="s">
        <v>2262</v>
      </c>
      <c r="FX3" t="s">
        <v>2060</v>
      </c>
      <c r="FY3" t="s">
        <v>2618</v>
      </c>
      <c r="FZ3" t="s">
        <v>2102</v>
      </c>
      <c r="GA3" t="s">
        <v>2325</v>
      </c>
      <c r="GB3" t="s">
        <v>2412</v>
      </c>
      <c r="GC3" t="s">
        <v>2057</v>
      </c>
      <c r="GD3" t="s">
        <v>2115</v>
      </c>
      <c r="GE3" t="s">
        <v>2126</v>
      </c>
      <c r="GF3" t="s">
        <v>1876</v>
      </c>
      <c r="GG3" t="s">
        <v>2271</v>
      </c>
      <c r="GH3" t="s">
        <v>2030</v>
      </c>
      <c r="GI3" t="s">
        <v>2634</v>
      </c>
      <c r="GJ3" t="s">
        <v>2489</v>
      </c>
      <c r="GK3" t="s">
        <v>2540</v>
      </c>
      <c r="GL3" t="s">
        <v>2177</v>
      </c>
      <c r="GM3" t="s">
        <v>2215</v>
      </c>
      <c r="GN3" t="s">
        <v>2619</v>
      </c>
      <c r="GO3" t="s">
        <v>2139</v>
      </c>
      <c r="GP3" t="s">
        <v>2425</v>
      </c>
      <c r="GQ3" t="s">
        <v>1895</v>
      </c>
      <c r="GR3" t="s">
        <v>1896</v>
      </c>
      <c r="GS3" t="s">
        <v>2326</v>
      </c>
      <c r="GT3" t="s">
        <v>2236</v>
      </c>
      <c r="GU3" t="s">
        <v>2616</v>
      </c>
      <c r="GV3" t="s">
        <v>2386</v>
      </c>
      <c r="GW3" t="s">
        <v>1976</v>
      </c>
      <c r="GX3" t="s">
        <v>142</v>
      </c>
      <c r="GY3" t="s">
        <v>2482</v>
      </c>
      <c r="GZ3" t="s">
        <v>2033</v>
      </c>
      <c r="HA3" t="s">
        <v>2473</v>
      </c>
      <c r="HB3" t="s">
        <v>2224</v>
      </c>
      <c r="HC3" t="s">
        <v>2132</v>
      </c>
      <c r="HD3" t="s">
        <v>1898</v>
      </c>
      <c r="HE3" t="s">
        <v>2409</v>
      </c>
      <c r="HF3" t="s">
        <v>2220</v>
      </c>
      <c r="HG3" t="s">
        <v>2046</v>
      </c>
      <c r="HH3" t="s">
        <v>2034</v>
      </c>
      <c r="HI3" t="s">
        <v>2557</v>
      </c>
      <c r="HJ3" t="s">
        <v>2230</v>
      </c>
      <c r="HK3" t="s">
        <v>2105</v>
      </c>
      <c r="HL3" t="s">
        <v>2190</v>
      </c>
      <c r="HM3" t="s">
        <v>2058</v>
      </c>
      <c r="HN3" t="s">
        <v>2324</v>
      </c>
      <c r="HO3" t="s">
        <v>2490</v>
      </c>
      <c r="HP3" t="s">
        <v>1977</v>
      </c>
      <c r="HQ3" t="s">
        <v>2615</v>
      </c>
      <c r="HR3" t="s">
        <v>2040</v>
      </c>
      <c r="HS3" t="s">
        <v>2384</v>
      </c>
      <c r="HT3" t="s">
        <v>2178</v>
      </c>
      <c r="HU3" t="s">
        <v>1975</v>
      </c>
      <c r="HV3" t="s">
        <v>2562</v>
      </c>
      <c r="HW3" t="s">
        <v>2344</v>
      </c>
      <c r="HX3" t="s">
        <v>2031</v>
      </c>
      <c r="HY3" t="s">
        <v>2418</v>
      </c>
      <c r="HZ3" t="s">
        <v>2089</v>
      </c>
      <c r="IA3" t="s">
        <v>2406</v>
      </c>
      <c r="IB3" t="s">
        <v>2346</v>
      </c>
      <c r="IC3" t="s">
        <v>2277</v>
      </c>
      <c r="ID3" t="s">
        <v>2187</v>
      </c>
      <c r="IE3" t="s">
        <v>2098</v>
      </c>
      <c r="IF3" t="s">
        <v>2041</v>
      </c>
      <c r="IG3" t="s">
        <v>2099</v>
      </c>
      <c r="IH3" t="s">
        <v>2221</v>
      </c>
      <c r="II3" t="s">
        <v>2238</v>
      </c>
      <c r="IJ3" t="s">
        <v>2042</v>
      </c>
      <c r="IK3" t="s">
        <v>2549</v>
      </c>
      <c r="IL3" t="s">
        <v>2393</v>
      </c>
      <c r="IM3" t="s">
        <v>2114</v>
      </c>
      <c r="IN3" t="s">
        <v>2563</v>
      </c>
      <c r="IO3" t="s">
        <v>2068</v>
      </c>
      <c r="IP3" t="s">
        <v>2423</v>
      </c>
      <c r="IQ3" t="s">
        <v>2263</v>
      </c>
      <c r="IR3" t="s">
        <v>2196</v>
      </c>
      <c r="IS3" t="s">
        <v>2198</v>
      </c>
      <c r="IT3" t="s">
        <v>2052</v>
      </c>
      <c r="IU3" t="s">
        <v>2043</v>
      </c>
      <c r="IV3" t="s">
        <v>2048</v>
      </c>
      <c r="IW3" t="s">
        <v>2232</v>
      </c>
      <c r="IX3" t="s">
        <v>1958</v>
      </c>
      <c r="IY3" t="s">
        <v>2268</v>
      </c>
      <c r="IZ3" t="s">
        <v>2278</v>
      </c>
      <c r="JA3" t="s">
        <v>2328</v>
      </c>
      <c r="JB3" t="s">
        <v>2189</v>
      </c>
      <c r="JC3" t="s">
        <v>2267</v>
      </c>
      <c r="JD3" t="s">
        <v>2685</v>
      </c>
      <c r="JE3" t="s">
        <v>2686</v>
      </c>
      <c r="JF3" t="s">
        <v>2337</v>
      </c>
      <c r="JG3" t="s">
        <v>2337</v>
      </c>
      <c r="JH3" t="s">
        <v>2392</v>
      </c>
      <c r="JI3" t="s">
        <v>2403</v>
      </c>
      <c r="JJ3" t="s">
        <v>2279</v>
      </c>
      <c r="JK3" t="s">
        <v>2142</v>
      </c>
      <c r="JL3" t="s">
        <v>2143</v>
      </c>
      <c r="JM3" t="s">
        <v>2380</v>
      </c>
      <c r="JN3" t="s">
        <v>2329</v>
      </c>
      <c r="JO3" t="s">
        <v>2188</v>
      </c>
      <c r="JP3" t="s">
        <v>2141</v>
      </c>
      <c r="JQ3" t="s">
        <v>2144</v>
      </c>
      <c r="JR3" t="s">
        <v>2197</v>
      </c>
      <c r="JS3" t="s">
        <v>1978</v>
      </c>
      <c r="JT3" t="s">
        <v>2635</v>
      </c>
      <c r="JU3" t="s">
        <v>2032</v>
      </c>
      <c r="JV3" s="2" t="s">
        <v>2422</v>
      </c>
      <c r="JW3" t="s">
        <v>1603</v>
      </c>
      <c r="JX3" t="s">
        <v>2214</v>
      </c>
      <c r="JY3" t="s">
        <v>2407</v>
      </c>
      <c r="JZ3" t="s">
        <v>2044</v>
      </c>
      <c r="KA3" t="s">
        <v>2566</v>
      </c>
      <c r="KB3" t="s">
        <v>2218</v>
      </c>
      <c r="KC3" t="s">
        <v>2331</v>
      </c>
      <c r="KD3" t="s">
        <v>2752</v>
      </c>
      <c r="KE3" t="s">
        <v>2548</v>
      </c>
      <c r="KF3" t="s">
        <v>2049</v>
      </c>
      <c r="KG3" t="s">
        <v>2112</v>
      </c>
      <c r="KH3" t="s">
        <v>2173</v>
      </c>
      <c r="KI3" t="s">
        <v>2199</v>
      </c>
      <c r="KJ3" t="s">
        <v>2763</v>
      </c>
      <c r="KK3" t="s">
        <v>2764</v>
      </c>
      <c r="KL3" t="s">
        <v>1962</v>
      </c>
      <c r="KM3" t="s">
        <v>2106</v>
      </c>
      <c r="KN3" t="s">
        <v>2129</v>
      </c>
      <c r="KO3" t="s">
        <v>2037</v>
      </c>
      <c r="KP3" t="s">
        <v>2497</v>
      </c>
      <c r="KQ3" t="s">
        <v>2061</v>
      </c>
      <c r="KR3" t="s">
        <v>2275</v>
      </c>
      <c r="KS3" t="s">
        <v>2174</v>
      </c>
      <c r="KT3" t="s">
        <v>2047</v>
      </c>
      <c r="KU3" t="s">
        <v>1903</v>
      </c>
      <c r="KV3" t="s">
        <v>2628</v>
      </c>
      <c r="KW3" t="s">
        <v>1959</v>
      </c>
      <c r="KX3" t="s">
        <v>2125</v>
      </c>
      <c r="KY3" t="s">
        <v>2629</v>
      </c>
      <c r="KZ3" t="s">
        <v>2766</v>
      </c>
      <c r="LA3" t="s">
        <v>2113</v>
      </c>
      <c r="LB3" t="s">
        <v>2050</v>
      </c>
      <c r="LC3" t="s">
        <v>2481</v>
      </c>
      <c r="LD3" t="s">
        <v>2175</v>
      </c>
      <c r="LE3" t="s">
        <v>2564</v>
      </c>
      <c r="LF3" t="s">
        <v>2265</v>
      </c>
      <c r="LG3" t="s">
        <v>2485</v>
      </c>
      <c r="LH3" t="s">
        <v>2128</v>
      </c>
      <c r="LI3" t="s">
        <v>2137</v>
      </c>
      <c r="LJ3" t="s">
        <v>1883</v>
      </c>
      <c r="LK3" t="s">
        <v>2264</v>
      </c>
      <c r="LL3" s="6" t="s">
        <v>2272</v>
      </c>
      <c r="LM3" s="4" t="s">
        <v>1954</v>
      </c>
      <c r="LN3" s="4" t="s">
        <v>2100</v>
      </c>
      <c r="LO3" s="4" t="s">
        <v>1953</v>
      </c>
      <c r="LP3" s="7" t="s">
        <v>2216</v>
      </c>
      <c r="LQ3" s="7" t="s">
        <v>2370</v>
      </c>
      <c r="LR3" s="5" t="s">
        <v>2617</v>
      </c>
      <c r="LS3" s="6" t="s">
        <v>2272</v>
      </c>
      <c r="LT3" s="4" t="s">
        <v>1954</v>
      </c>
      <c r="LU3" s="4" t="s">
        <v>2100</v>
      </c>
      <c r="LV3" s="4" t="s">
        <v>1953</v>
      </c>
      <c r="LW3" s="7" t="s">
        <v>2216</v>
      </c>
      <c r="LX3" s="7" t="s">
        <v>2370</v>
      </c>
      <c r="LY3" s="5" t="s">
        <v>2617</v>
      </c>
      <c r="LZ3" s="6" t="s">
        <v>2272</v>
      </c>
      <c r="MA3" s="4" t="s">
        <v>1954</v>
      </c>
      <c r="MB3" s="4" t="s">
        <v>2073</v>
      </c>
      <c r="MC3" s="4" t="s">
        <v>1953</v>
      </c>
      <c r="MD3" s="7" t="s">
        <v>2216</v>
      </c>
      <c r="ME3" s="7" t="s">
        <v>2370</v>
      </c>
      <c r="MF3" s="7" t="s">
        <v>3919</v>
      </c>
      <c r="MG3" s="5" t="s">
        <v>2617</v>
      </c>
      <c r="MH3" s="6" t="s">
        <v>2272</v>
      </c>
      <c r="MI3" s="4" t="s">
        <v>1954</v>
      </c>
      <c r="MJ3" s="4" t="s">
        <v>2100</v>
      </c>
      <c r="MK3" s="4" t="s">
        <v>1953</v>
      </c>
      <c r="ML3" s="7" t="s">
        <v>2216</v>
      </c>
      <c r="MM3" s="7" t="s">
        <v>2370</v>
      </c>
      <c r="MN3" s="5" t="s">
        <v>2617</v>
      </c>
      <c r="MO3" s="6" t="s">
        <v>2272</v>
      </c>
      <c r="MP3" s="4" t="s">
        <v>1954</v>
      </c>
      <c r="MQ3" s="4" t="s">
        <v>2073</v>
      </c>
      <c r="MR3" s="4" t="s">
        <v>1953</v>
      </c>
      <c r="MS3" s="7" t="s">
        <v>2216</v>
      </c>
      <c r="MT3" s="7" t="s">
        <v>2370</v>
      </c>
      <c r="MU3" s="5" t="s">
        <v>2617</v>
      </c>
      <c r="MV3" s="6" t="s">
        <v>2272</v>
      </c>
      <c r="MW3" s="4" t="s">
        <v>1954</v>
      </c>
      <c r="MX3" s="4" t="s">
        <v>2100</v>
      </c>
      <c r="MY3" s="4" t="s">
        <v>1953</v>
      </c>
      <c r="MZ3" s="7" t="s">
        <v>2216</v>
      </c>
      <c r="NA3" s="7" t="s">
        <v>2370</v>
      </c>
      <c r="NB3" s="5" t="s">
        <v>2617</v>
      </c>
      <c r="NC3" s="6" t="s">
        <v>2272</v>
      </c>
      <c r="ND3" s="4" t="s">
        <v>1954</v>
      </c>
      <c r="NE3" s="4" t="s">
        <v>2100</v>
      </c>
      <c r="NF3" s="4" t="s">
        <v>1953</v>
      </c>
      <c r="NG3" s="7" t="s">
        <v>2216</v>
      </c>
      <c r="NH3" s="7" t="s">
        <v>2370</v>
      </c>
      <c r="NI3" s="5" t="s">
        <v>2617</v>
      </c>
      <c r="NJ3" s="6" t="s">
        <v>2272</v>
      </c>
      <c r="NK3" s="4" t="s">
        <v>1954</v>
      </c>
      <c r="NL3" s="4" t="s">
        <v>2100</v>
      </c>
      <c r="NM3" s="4" t="s">
        <v>1953</v>
      </c>
      <c r="NN3" s="7" t="s">
        <v>2216</v>
      </c>
      <c r="NO3" s="7" t="s">
        <v>2370</v>
      </c>
      <c r="NP3" s="5" t="s">
        <v>2617</v>
      </c>
      <c r="NQ3" s="6" t="s">
        <v>2272</v>
      </c>
      <c r="NR3" s="4" t="s">
        <v>1954</v>
      </c>
      <c r="NS3" s="4" t="s">
        <v>2100</v>
      </c>
      <c r="NT3" s="4" t="s">
        <v>1953</v>
      </c>
      <c r="NU3" s="7" t="s">
        <v>2216</v>
      </c>
      <c r="NV3" s="7" t="s">
        <v>2370</v>
      </c>
      <c r="NW3" s="5" t="s">
        <v>2617</v>
      </c>
      <c r="NX3" s="6" t="s">
        <v>2272</v>
      </c>
      <c r="NY3" s="4" t="s">
        <v>1954</v>
      </c>
      <c r="NZ3" s="4" t="s">
        <v>2100</v>
      </c>
      <c r="OA3" s="4" t="s">
        <v>1953</v>
      </c>
      <c r="OB3" s="7" t="s">
        <v>2216</v>
      </c>
      <c r="OC3" s="7" t="s">
        <v>2370</v>
      </c>
      <c r="OD3" s="5" t="s">
        <v>2617</v>
      </c>
      <c r="OE3" s="6" t="s">
        <v>2272</v>
      </c>
      <c r="OF3" s="4" t="s">
        <v>1954</v>
      </c>
      <c r="OG3" s="4" t="s">
        <v>2073</v>
      </c>
      <c r="OH3" s="4" t="s">
        <v>1953</v>
      </c>
      <c r="OI3" s="7" t="s">
        <v>2216</v>
      </c>
      <c r="OJ3" s="7" t="s">
        <v>2370</v>
      </c>
      <c r="OK3" s="5" t="s">
        <v>2617</v>
      </c>
      <c r="OL3" s="6" t="s">
        <v>2272</v>
      </c>
      <c r="OM3" s="4" t="s">
        <v>1954</v>
      </c>
      <c r="ON3" s="4" t="s">
        <v>2100</v>
      </c>
      <c r="OO3" s="4" t="s">
        <v>1953</v>
      </c>
      <c r="OP3" s="7" t="s">
        <v>2216</v>
      </c>
      <c r="OQ3" s="7" t="s">
        <v>2370</v>
      </c>
      <c r="OR3" s="5" t="s">
        <v>2617</v>
      </c>
      <c r="OS3" s="6" t="s">
        <v>2272</v>
      </c>
      <c r="OT3" s="4" t="s">
        <v>1954</v>
      </c>
      <c r="OU3" s="4" t="s">
        <v>2100</v>
      </c>
      <c r="OV3" s="4" t="s">
        <v>1953</v>
      </c>
      <c r="OW3" s="7" t="s">
        <v>2216</v>
      </c>
      <c r="OX3" s="7" t="s">
        <v>2370</v>
      </c>
      <c r="OY3" s="5" t="s">
        <v>2617</v>
      </c>
      <c r="OZ3" s="6" t="s">
        <v>2272</v>
      </c>
      <c r="PA3" s="4" t="s">
        <v>1954</v>
      </c>
      <c r="PB3" s="4" t="s">
        <v>2100</v>
      </c>
      <c r="PC3" s="4" t="s">
        <v>1953</v>
      </c>
      <c r="PD3" s="7" t="s">
        <v>2216</v>
      </c>
      <c r="PE3" s="7" t="s">
        <v>2370</v>
      </c>
      <c r="PF3" s="5" t="s">
        <v>2617</v>
      </c>
      <c r="PG3" s="6" t="s">
        <v>2272</v>
      </c>
      <c r="PH3" s="4" t="s">
        <v>1954</v>
      </c>
      <c r="PI3" s="4" t="s">
        <v>2073</v>
      </c>
      <c r="PJ3" s="4" t="s">
        <v>1953</v>
      </c>
      <c r="PK3" s="7" t="s">
        <v>2216</v>
      </c>
      <c r="PL3" s="7" t="s">
        <v>2370</v>
      </c>
      <c r="PM3" s="5" t="s">
        <v>2617</v>
      </c>
      <c r="PN3" s="6" t="s">
        <v>2272</v>
      </c>
      <c r="PO3" s="4" t="s">
        <v>1954</v>
      </c>
      <c r="PP3" s="4" t="s">
        <v>2073</v>
      </c>
      <c r="PQ3" s="4" t="s">
        <v>1953</v>
      </c>
      <c r="PR3" s="7" t="s">
        <v>2216</v>
      </c>
      <c r="PS3" s="7" t="s">
        <v>2370</v>
      </c>
      <c r="PT3" s="5" t="s">
        <v>2617</v>
      </c>
      <c r="PU3" s="6" t="s">
        <v>2272</v>
      </c>
      <c r="PV3" s="4" t="s">
        <v>1954</v>
      </c>
      <c r="PW3" s="4" t="s">
        <v>2100</v>
      </c>
      <c r="PX3" s="4" t="s">
        <v>1953</v>
      </c>
      <c r="PY3" s="7" t="s">
        <v>2216</v>
      </c>
      <c r="PZ3" s="7" t="s">
        <v>2370</v>
      </c>
      <c r="QA3" s="5" t="s">
        <v>2617</v>
      </c>
      <c r="QB3" s="6" t="s">
        <v>2272</v>
      </c>
      <c r="QC3" s="4" t="s">
        <v>1954</v>
      </c>
      <c r="QD3" s="4" t="s">
        <v>2100</v>
      </c>
      <c r="QE3" s="4" t="s">
        <v>1953</v>
      </c>
      <c r="QF3" s="7" t="s">
        <v>2216</v>
      </c>
      <c r="QG3" s="7" t="s">
        <v>2370</v>
      </c>
      <c r="QH3" s="5" t="s">
        <v>2617</v>
      </c>
      <c r="QI3" s="6" t="s">
        <v>2272</v>
      </c>
      <c r="QJ3" s="4" t="s">
        <v>1954</v>
      </c>
      <c r="QK3" s="4" t="s">
        <v>2100</v>
      </c>
      <c r="QL3" s="4" t="s">
        <v>1953</v>
      </c>
      <c r="QM3" s="7" t="s">
        <v>2216</v>
      </c>
      <c r="QN3" s="7" t="s">
        <v>2370</v>
      </c>
      <c r="QO3" s="5" t="s">
        <v>2617</v>
      </c>
      <c r="QP3" s="6" t="s">
        <v>2272</v>
      </c>
      <c r="QQ3" s="4" t="s">
        <v>1954</v>
      </c>
      <c r="QR3" s="4" t="s">
        <v>2073</v>
      </c>
      <c r="QS3" s="4" t="s">
        <v>1953</v>
      </c>
      <c r="QT3" s="7" t="s">
        <v>2216</v>
      </c>
      <c r="QU3" s="7" t="s">
        <v>2370</v>
      </c>
      <c r="QV3" s="5" t="s">
        <v>2617</v>
      </c>
      <c r="QW3" s="6" t="s">
        <v>2272</v>
      </c>
      <c r="QX3" s="4" t="s">
        <v>1954</v>
      </c>
      <c r="QY3" s="4" t="s">
        <v>2100</v>
      </c>
      <c r="QZ3" s="4" t="s">
        <v>1953</v>
      </c>
      <c r="RA3" s="7" t="s">
        <v>2216</v>
      </c>
      <c r="RB3" s="7" t="s">
        <v>2370</v>
      </c>
      <c r="RC3" s="5" t="s">
        <v>2617</v>
      </c>
      <c r="RD3" s="6" t="s">
        <v>2272</v>
      </c>
      <c r="RE3" s="4" t="s">
        <v>1954</v>
      </c>
      <c r="RF3" s="4" t="s">
        <v>2100</v>
      </c>
      <c r="RG3" s="4" t="s">
        <v>1953</v>
      </c>
      <c r="RH3" s="7" t="s">
        <v>2216</v>
      </c>
      <c r="RI3" s="7" t="s">
        <v>2370</v>
      </c>
      <c r="RJ3" s="5" t="s">
        <v>2617</v>
      </c>
      <c r="RK3" s="6" t="s">
        <v>2272</v>
      </c>
      <c r="RL3" s="4" t="s">
        <v>1954</v>
      </c>
      <c r="RM3" s="4" t="s">
        <v>2100</v>
      </c>
      <c r="RN3" s="4" t="s">
        <v>1953</v>
      </c>
      <c r="RO3" s="7" t="s">
        <v>2216</v>
      </c>
      <c r="RP3" s="7" t="s">
        <v>2370</v>
      </c>
      <c r="RQ3" s="5" t="s">
        <v>2617</v>
      </c>
      <c r="RR3" s="6" t="s">
        <v>2272</v>
      </c>
      <c r="RS3" s="4" t="s">
        <v>1954</v>
      </c>
      <c r="RT3" s="4" t="s">
        <v>2100</v>
      </c>
      <c r="RU3" s="4" t="s">
        <v>1953</v>
      </c>
      <c r="RV3" s="7" t="s">
        <v>2216</v>
      </c>
      <c r="RW3" s="7" t="s">
        <v>2370</v>
      </c>
      <c r="RX3" s="5" t="s">
        <v>2617</v>
      </c>
      <c r="RY3" s="6" t="s">
        <v>2272</v>
      </c>
      <c r="RZ3" s="4" t="s">
        <v>1954</v>
      </c>
      <c r="SA3" s="4" t="s">
        <v>2073</v>
      </c>
      <c r="SB3" s="4" t="s">
        <v>1953</v>
      </c>
      <c r="SC3" s="7" t="s">
        <v>2216</v>
      </c>
      <c r="SD3" s="7" t="s">
        <v>2370</v>
      </c>
      <c r="SE3" s="5" t="s">
        <v>2617</v>
      </c>
      <c r="SF3" s="6" t="s">
        <v>2272</v>
      </c>
      <c r="SG3" s="4" t="s">
        <v>1954</v>
      </c>
      <c r="SH3" s="4" t="s">
        <v>2073</v>
      </c>
      <c r="SI3" s="4" t="s">
        <v>1953</v>
      </c>
      <c r="SJ3" s="7" t="s">
        <v>2216</v>
      </c>
      <c r="SK3" s="7" t="s">
        <v>2370</v>
      </c>
      <c r="SL3" s="5" t="s">
        <v>2617</v>
      </c>
      <c r="SM3" s="6" t="s">
        <v>2272</v>
      </c>
      <c r="SN3" s="4" t="s">
        <v>1954</v>
      </c>
      <c r="SO3" s="4" t="s">
        <v>2073</v>
      </c>
      <c r="SP3" s="4" t="s">
        <v>1953</v>
      </c>
      <c r="SQ3" s="7" t="s">
        <v>2216</v>
      </c>
      <c r="SR3" s="7" t="s">
        <v>2370</v>
      </c>
      <c r="SS3" s="5" t="s">
        <v>2617</v>
      </c>
      <c r="ST3" s="6" t="s">
        <v>2272</v>
      </c>
      <c r="SU3" s="4" t="s">
        <v>1954</v>
      </c>
      <c r="SV3" s="4" t="s">
        <v>2100</v>
      </c>
      <c r="SW3" s="4" t="s">
        <v>1953</v>
      </c>
      <c r="SX3" s="7" t="s">
        <v>2216</v>
      </c>
      <c r="SY3" s="7" t="s">
        <v>2370</v>
      </c>
      <c r="SZ3" s="5" t="s">
        <v>2617</v>
      </c>
      <c r="TA3" s="6" t="s">
        <v>2272</v>
      </c>
      <c r="TB3" s="4" t="s">
        <v>1954</v>
      </c>
      <c r="TC3" s="4" t="s">
        <v>2073</v>
      </c>
      <c r="TD3" s="4" t="s">
        <v>1953</v>
      </c>
      <c r="TE3" s="7" t="s">
        <v>2216</v>
      </c>
      <c r="TF3" s="7" t="s">
        <v>2370</v>
      </c>
      <c r="TG3" s="5" t="s">
        <v>2617</v>
      </c>
      <c r="TH3" s="6" t="s">
        <v>2272</v>
      </c>
      <c r="TI3" s="4" t="s">
        <v>1954</v>
      </c>
      <c r="TJ3" s="4" t="s">
        <v>2073</v>
      </c>
      <c r="TK3" s="4" t="s">
        <v>1953</v>
      </c>
      <c r="TL3" s="7" t="s">
        <v>2216</v>
      </c>
      <c r="TM3" s="7" t="s">
        <v>2370</v>
      </c>
      <c r="TN3" s="5" t="s">
        <v>2617</v>
      </c>
      <c r="TO3" s="6" t="s">
        <v>2272</v>
      </c>
      <c r="TP3" s="4" t="s">
        <v>1954</v>
      </c>
      <c r="TQ3" s="4" t="s">
        <v>2100</v>
      </c>
      <c r="TR3" s="4" t="s">
        <v>1953</v>
      </c>
      <c r="TS3" s="7" t="s">
        <v>2216</v>
      </c>
      <c r="TT3" s="7" t="s">
        <v>2370</v>
      </c>
      <c r="TU3" s="5" t="s">
        <v>2617</v>
      </c>
      <c r="TV3" s="6" t="s">
        <v>2272</v>
      </c>
      <c r="TW3" s="4" t="s">
        <v>1954</v>
      </c>
      <c r="TX3" s="4" t="s">
        <v>2100</v>
      </c>
      <c r="TY3" s="4" t="s">
        <v>1953</v>
      </c>
      <c r="TZ3" s="7" t="s">
        <v>2216</v>
      </c>
      <c r="UA3" s="7" t="s">
        <v>2370</v>
      </c>
      <c r="UB3" s="5" t="s">
        <v>2617</v>
      </c>
      <c r="UC3" s="6" t="s">
        <v>2272</v>
      </c>
      <c r="UD3" s="4" t="s">
        <v>1954</v>
      </c>
      <c r="UE3" s="4" t="s">
        <v>2100</v>
      </c>
      <c r="UF3" s="4" t="s">
        <v>1953</v>
      </c>
      <c r="UG3" s="7" t="s">
        <v>2216</v>
      </c>
      <c r="UH3" s="7" t="s">
        <v>2370</v>
      </c>
      <c r="UI3" s="5" t="s">
        <v>2617</v>
      </c>
      <c r="UJ3" s="6" t="s">
        <v>2272</v>
      </c>
      <c r="UK3" s="4" t="s">
        <v>1954</v>
      </c>
      <c r="UL3" s="4" t="s">
        <v>2100</v>
      </c>
      <c r="UM3" s="4" t="s">
        <v>1953</v>
      </c>
      <c r="UN3" s="7" t="s">
        <v>2216</v>
      </c>
      <c r="UO3" s="7" t="s">
        <v>2370</v>
      </c>
      <c r="UP3" s="5" t="s">
        <v>2617</v>
      </c>
      <c r="UQ3" s="6" t="s">
        <v>2272</v>
      </c>
      <c r="UR3" s="4" t="s">
        <v>1954</v>
      </c>
      <c r="US3" s="4" t="s">
        <v>2100</v>
      </c>
      <c r="UT3" s="4" t="s">
        <v>1953</v>
      </c>
      <c r="UU3" s="7" t="s">
        <v>2216</v>
      </c>
      <c r="UV3" s="7" t="s">
        <v>2370</v>
      </c>
      <c r="UW3" s="5" t="s">
        <v>2617</v>
      </c>
      <c r="UX3" s="6" t="s">
        <v>2272</v>
      </c>
      <c r="UY3" s="4" t="s">
        <v>1954</v>
      </c>
      <c r="UZ3" s="4" t="s">
        <v>2100</v>
      </c>
      <c r="VA3" s="4" t="s">
        <v>1953</v>
      </c>
      <c r="VB3" s="7" t="s">
        <v>2216</v>
      </c>
      <c r="VC3" s="7" t="s">
        <v>2370</v>
      </c>
      <c r="VD3" s="5" t="s">
        <v>2617</v>
      </c>
      <c r="VE3" s="6" t="s">
        <v>2272</v>
      </c>
      <c r="VF3" s="4" t="s">
        <v>1954</v>
      </c>
      <c r="VG3" s="4" t="s">
        <v>2100</v>
      </c>
      <c r="VH3" s="4" t="s">
        <v>1953</v>
      </c>
      <c r="VI3" s="7" t="s">
        <v>2216</v>
      </c>
      <c r="VJ3" s="7" t="s">
        <v>2370</v>
      </c>
      <c r="VK3" s="5" t="s">
        <v>2617</v>
      </c>
      <c r="VL3" s="6" t="s">
        <v>2272</v>
      </c>
      <c r="VM3" s="4" t="s">
        <v>1954</v>
      </c>
      <c r="VN3" s="4" t="s">
        <v>2100</v>
      </c>
      <c r="VO3" s="4" t="s">
        <v>1953</v>
      </c>
      <c r="VP3" s="7" t="s">
        <v>2216</v>
      </c>
      <c r="VQ3" s="7" t="s">
        <v>2370</v>
      </c>
      <c r="VR3" s="5" t="s">
        <v>2617</v>
      </c>
      <c r="VS3" s="6" t="s">
        <v>2272</v>
      </c>
      <c r="VT3" s="4" t="s">
        <v>1954</v>
      </c>
      <c r="VU3" s="4" t="s">
        <v>2100</v>
      </c>
      <c r="VV3" s="4" t="s">
        <v>1953</v>
      </c>
      <c r="VW3" s="7" t="s">
        <v>2216</v>
      </c>
      <c r="VX3" s="7" t="s">
        <v>2370</v>
      </c>
      <c r="VY3" s="5" t="s">
        <v>2617</v>
      </c>
      <c r="VZ3" s="6" t="s">
        <v>2272</v>
      </c>
      <c r="WA3" s="4" t="s">
        <v>1954</v>
      </c>
      <c r="WB3" s="4" t="s">
        <v>2100</v>
      </c>
      <c r="WC3" s="4" t="s">
        <v>1953</v>
      </c>
      <c r="WD3" s="7" t="s">
        <v>2216</v>
      </c>
      <c r="WE3" s="7" t="s">
        <v>2370</v>
      </c>
      <c r="WF3" s="5" t="s">
        <v>2617</v>
      </c>
      <c r="WG3" s="6" t="s">
        <v>2272</v>
      </c>
      <c r="WH3" s="4" t="s">
        <v>1954</v>
      </c>
      <c r="WI3" s="4" t="s">
        <v>2100</v>
      </c>
      <c r="WJ3" s="4" t="s">
        <v>1953</v>
      </c>
      <c r="WK3" s="7" t="s">
        <v>2216</v>
      </c>
      <c r="WL3" s="7" t="s">
        <v>2370</v>
      </c>
      <c r="WM3" s="5" t="s">
        <v>2617</v>
      </c>
      <c r="WN3" s="6" t="s">
        <v>2272</v>
      </c>
      <c r="WO3" s="4" t="s">
        <v>1954</v>
      </c>
      <c r="WP3" s="4" t="s">
        <v>2073</v>
      </c>
      <c r="WQ3" s="4" t="s">
        <v>1953</v>
      </c>
      <c r="WR3" s="7" t="s">
        <v>2216</v>
      </c>
      <c r="WS3" s="7" t="s">
        <v>2370</v>
      </c>
      <c r="WT3" s="5" t="s">
        <v>2617</v>
      </c>
      <c r="WU3" s="6" t="s">
        <v>2272</v>
      </c>
      <c r="WV3" s="4" t="s">
        <v>1954</v>
      </c>
      <c r="WW3" s="4" t="s">
        <v>2073</v>
      </c>
      <c r="WX3" s="4" t="s">
        <v>1953</v>
      </c>
      <c r="WY3" s="7" t="s">
        <v>2216</v>
      </c>
      <c r="WZ3" s="7" t="s">
        <v>2370</v>
      </c>
      <c r="XA3" s="5" t="s">
        <v>2617</v>
      </c>
      <c r="XB3" s="6" t="s">
        <v>2272</v>
      </c>
      <c r="XC3" s="4" t="s">
        <v>1954</v>
      </c>
      <c r="XD3" s="4" t="s">
        <v>2100</v>
      </c>
      <c r="XE3" s="4" t="s">
        <v>1953</v>
      </c>
      <c r="XF3" s="7" t="s">
        <v>2216</v>
      </c>
      <c r="XG3" s="7" t="s">
        <v>2370</v>
      </c>
      <c r="XH3" s="5" t="s">
        <v>2617</v>
      </c>
      <c r="XI3" s="6" t="s">
        <v>2272</v>
      </c>
      <c r="XJ3" s="4" t="s">
        <v>1954</v>
      </c>
      <c r="XK3" s="4" t="s">
        <v>2100</v>
      </c>
      <c r="XL3" s="4" t="s">
        <v>1953</v>
      </c>
      <c r="XM3" s="7" t="s">
        <v>2216</v>
      </c>
      <c r="XN3" s="7" t="s">
        <v>2370</v>
      </c>
      <c r="XO3" s="5" t="s">
        <v>2617</v>
      </c>
      <c r="XP3" s="6" t="s">
        <v>2272</v>
      </c>
      <c r="XQ3" s="4" t="s">
        <v>1954</v>
      </c>
      <c r="XR3" s="4" t="s">
        <v>2100</v>
      </c>
      <c r="XS3" s="4" t="s">
        <v>1953</v>
      </c>
      <c r="XT3" s="7" t="s">
        <v>2216</v>
      </c>
      <c r="XU3" s="7" t="s">
        <v>2370</v>
      </c>
      <c r="XV3" s="5" t="s">
        <v>2617</v>
      </c>
      <c r="XW3" s="6" t="s">
        <v>2272</v>
      </c>
      <c r="XX3" s="4" t="s">
        <v>1954</v>
      </c>
      <c r="XY3" s="4" t="s">
        <v>2073</v>
      </c>
      <c r="XZ3" s="4" t="s">
        <v>1953</v>
      </c>
      <c r="YA3" s="7" t="s">
        <v>2216</v>
      </c>
      <c r="YB3" s="7" t="s">
        <v>2370</v>
      </c>
      <c r="YC3" s="5" t="s">
        <v>2617</v>
      </c>
      <c r="YD3" s="6" t="s">
        <v>2272</v>
      </c>
      <c r="YE3" s="4" t="s">
        <v>1954</v>
      </c>
      <c r="YF3" s="4" t="s">
        <v>2100</v>
      </c>
      <c r="YG3" s="4" t="s">
        <v>1953</v>
      </c>
      <c r="YH3" s="7" t="s">
        <v>2216</v>
      </c>
      <c r="YI3" s="7" t="s">
        <v>2370</v>
      </c>
      <c r="YJ3" s="5" t="s">
        <v>2617</v>
      </c>
      <c r="YK3" s="6" t="s">
        <v>2272</v>
      </c>
      <c r="YL3" s="4" t="s">
        <v>1954</v>
      </c>
      <c r="YM3" s="4" t="s">
        <v>2100</v>
      </c>
      <c r="YN3" s="4" t="s">
        <v>1953</v>
      </c>
      <c r="YO3" s="7" t="s">
        <v>2216</v>
      </c>
      <c r="YP3" s="7" t="s">
        <v>2370</v>
      </c>
      <c r="YQ3" s="5" t="s">
        <v>2617</v>
      </c>
      <c r="YR3" s="6" t="s">
        <v>2272</v>
      </c>
      <c r="YS3" s="4" t="s">
        <v>1954</v>
      </c>
      <c r="YT3" s="4" t="s">
        <v>2100</v>
      </c>
      <c r="YU3" s="4" t="s">
        <v>1953</v>
      </c>
      <c r="YV3" s="7" t="s">
        <v>2216</v>
      </c>
      <c r="YW3" s="7" t="s">
        <v>2370</v>
      </c>
      <c r="YX3" s="5" t="s">
        <v>2617</v>
      </c>
      <c r="YY3" s="6" t="s">
        <v>2272</v>
      </c>
      <c r="YZ3" s="4" t="s">
        <v>1954</v>
      </c>
      <c r="ZA3" s="4" t="s">
        <v>2100</v>
      </c>
      <c r="ZB3" s="4" t="s">
        <v>1953</v>
      </c>
      <c r="ZC3" s="7" t="s">
        <v>2216</v>
      </c>
      <c r="ZD3" s="7" t="s">
        <v>2370</v>
      </c>
      <c r="ZE3" s="5" t="s">
        <v>2617</v>
      </c>
      <c r="ZF3" s="6" t="s">
        <v>2272</v>
      </c>
      <c r="ZG3" s="4" t="s">
        <v>1954</v>
      </c>
      <c r="ZH3" s="4" t="s">
        <v>2073</v>
      </c>
      <c r="ZI3" s="4" t="s">
        <v>1953</v>
      </c>
      <c r="ZJ3" s="7" t="s">
        <v>2216</v>
      </c>
      <c r="ZK3" s="7" t="s">
        <v>2370</v>
      </c>
      <c r="ZL3" s="5" t="s">
        <v>2617</v>
      </c>
      <c r="ZM3" s="6" t="s">
        <v>2272</v>
      </c>
      <c r="ZN3" s="4" t="s">
        <v>1954</v>
      </c>
      <c r="ZO3" s="4" t="s">
        <v>2100</v>
      </c>
      <c r="ZP3" s="4" t="s">
        <v>1953</v>
      </c>
      <c r="ZQ3" s="7" t="s">
        <v>2216</v>
      </c>
      <c r="ZR3" s="7" t="s">
        <v>2370</v>
      </c>
      <c r="ZS3" s="5" t="s">
        <v>2617</v>
      </c>
      <c r="ZT3" s="6" t="s">
        <v>2272</v>
      </c>
      <c r="ZU3" s="4" t="s">
        <v>1954</v>
      </c>
      <c r="ZV3" s="4" t="s">
        <v>2100</v>
      </c>
      <c r="ZW3" s="4" t="s">
        <v>1953</v>
      </c>
      <c r="ZX3" s="7" t="s">
        <v>2216</v>
      </c>
      <c r="ZY3" s="7" t="s">
        <v>2370</v>
      </c>
      <c r="ZZ3" s="5" t="s">
        <v>2617</v>
      </c>
      <c r="AAA3" s="6" t="s">
        <v>2272</v>
      </c>
      <c r="AAB3" s="4" t="s">
        <v>1954</v>
      </c>
      <c r="AAC3" s="4" t="s">
        <v>2073</v>
      </c>
      <c r="AAD3" s="4" t="s">
        <v>1953</v>
      </c>
      <c r="AAE3" s="7" t="s">
        <v>2216</v>
      </c>
      <c r="AAF3" s="7" t="s">
        <v>2370</v>
      </c>
      <c r="AAG3" s="5" t="s">
        <v>2617</v>
      </c>
      <c r="AAH3" s="6" t="s">
        <v>2272</v>
      </c>
      <c r="AAI3" s="4" t="s">
        <v>1954</v>
      </c>
      <c r="AAJ3" s="4" t="s">
        <v>2100</v>
      </c>
      <c r="AAK3" s="4" t="s">
        <v>1953</v>
      </c>
      <c r="AAL3" s="7" t="s">
        <v>2216</v>
      </c>
      <c r="AAM3" s="7" t="s">
        <v>2370</v>
      </c>
      <c r="AAN3" s="5" t="s">
        <v>2617</v>
      </c>
      <c r="AAO3" s="6" t="s">
        <v>2272</v>
      </c>
      <c r="AAP3" s="4" t="s">
        <v>1954</v>
      </c>
      <c r="AAQ3" s="4" t="s">
        <v>2100</v>
      </c>
      <c r="AAR3" s="4" t="s">
        <v>1953</v>
      </c>
      <c r="AAS3" s="7" t="s">
        <v>2216</v>
      </c>
      <c r="AAT3" s="7" t="s">
        <v>2370</v>
      </c>
      <c r="AAU3" s="5" t="s">
        <v>2617</v>
      </c>
      <c r="AAV3" s="6" t="s">
        <v>2272</v>
      </c>
      <c r="AAW3" s="4" t="s">
        <v>1954</v>
      </c>
      <c r="AAX3" s="4" t="s">
        <v>2073</v>
      </c>
      <c r="AAY3" s="4" t="s">
        <v>1953</v>
      </c>
      <c r="AAZ3" s="7" t="s">
        <v>2216</v>
      </c>
      <c r="ABA3" s="7" t="s">
        <v>2370</v>
      </c>
      <c r="ABB3" s="5" t="s">
        <v>2617</v>
      </c>
      <c r="ABC3" s="6" t="s">
        <v>2272</v>
      </c>
      <c r="ABD3" s="4" t="s">
        <v>1954</v>
      </c>
      <c r="ABE3" s="4" t="s">
        <v>2100</v>
      </c>
      <c r="ABF3" s="4" t="s">
        <v>1953</v>
      </c>
      <c r="ABG3" s="7" t="s">
        <v>4241</v>
      </c>
      <c r="ABH3" s="7" t="s">
        <v>2370</v>
      </c>
      <c r="ABI3" s="5" t="s">
        <v>4242</v>
      </c>
      <c r="ABJ3" s="6" t="s">
        <v>2272</v>
      </c>
      <c r="ABK3" s="4" t="s">
        <v>1954</v>
      </c>
      <c r="ABL3" s="4" t="s">
        <v>2100</v>
      </c>
      <c r="ABM3" s="4" t="s">
        <v>1953</v>
      </c>
      <c r="ABN3" s="7" t="s">
        <v>2216</v>
      </c>
      <c r="ABO3" s="7" t="s">
        <v>2370</v>
      </c>
      <c r="ABP3" s="5" t="s">
        <v>2617</v>
      </c>
      <c r="ABQ3" s="6" t="s">
        <v>2272</v>
      </c>
      <c r="ABR3" s="4" t="s">
        <v>1954</v>
      </c>
      <c r="ABS3" s="4" t="s">
        <v>2100</v>
      </c>
      <c r="ABT3" s="4" t="s">
        <v>1953</v>
      </c>
      <c r="ABU3" s="7" t="s">
        <v>2216</v>
      </c>
      <c r="ABV3" s="7" t="s">
        <v>2370</v>
      </c>
      <c r="ABW3" s="5" t="s">
        <v>2617</v>
      </c>
      <c r="ABX3" s="6" t="s">
        <v>2272</v>
      </c>
      <c r="ABY3" s="4" t="s">
        <v>1954</v>
      </c>
      <c r="ABZ3" s="4" t="s">
        <v>2100</v>
      </c>
      <c r="ACA3" s="4" t="s">
        <v>1953</v>
      </c>
      <c r="ACB3" s="7" t="s">
        <v>2216</v>
      </c>
      <c r="ACC3" s="7" t="s">
        <v>2370</v>
      </c>
      <c r="ACD3" s="5" t="s">
        <v>2617</v>
      </c>
      <c r="ACE3" s="6" t="s">
        <v>2272</v>
      </c>
      <c r="ACF3" s="4" t="s">
        <v>1954</v>
      </c>
      <c r="ACG3" s="4" t="s">
        <v>2073</v>
      </c>
      <c r="ACH3" s="4" t="s">
        <v>1953</v>
      </c>
      <c r="ACI3" s="7" t="s">
        <v>2216</v>
      </c>
      <c r="ACJ3" s="7" t="s">
        <v>2370</v>
      </c>
      <c r="ACK3" s="5" t="s">
        <v>2617</v>
      </c>
      <c r="ACL3" s="6" t="s">
        <v>2272</v>
      </c>
      <c r="ACM3" s="4" t="s">
        <v>1954</v>
      </c>
      <c r="ACN3" s="4" t="s">
        <v>2100</v>
      </c>
      <c r="ACO3" s="4" t="s">
        <v>1953</v>
      </c>
      <c r="ACP3" s="7" t="s">
        <v>2216</v>
      </c>
      <c r="ACQ3" s="7" t="s">
        <v>2370</v>
      </c>
      <c r="ACR3" s="5" t="s">
        <v>2617</v>
      </c>
      <c r="ACS3" s="6" t="s">
        <v>2272</v>
      </c>
      <c r="ACT3" s="4" t="s">
        <v>1954</v>
      </c>
      <c r="ACU3" s="4" t="s">
        <v>2100</v>
      </c>
      <c r="ACV3" s="4" t="s">
        <v>1953</v>
      </c>
      <c r="ACW3" s="7" t="s">
        <v>2216</v>
      </c>
      <c r="ACX3" s="7" t="s">
        <v>2370</v>
      </c>
      <c r="ACY3" s="5" t="s">
        <v>2617</v>
      </c>
    </row>
    <row r="4" spans="1:839" x14ac:dyDescent="0.25">
      <c r="B4" s="43">
        <v>84000459</v>
      </c>
      <c r="C4">
        <v>39</v>
      </c>
      <c r="D4" t="s">
        <v>681</v>
      </c>
      <c r="F4" s="23" t="s">
        <v>1781</v>
      </c>
      <c r="J4" s="12"/>
      <c r="K4" s="12"/>
      <c r="L4" s="12"/>
      <c r="M4">
        <v>1</v>
      </c>
      <c r="LL4" s="6"/>
      <c r="LM4" s="4"/>
      <c r="LN4" s="4"/>
      <c r="LO4" s="4"/>
      <c r="LP4" s="4"/>
      <c r="LQ4" s="4"/>
      <c r="LR4" s="5"/>
      <c r="LS4" s="6"/>
      <c r="LT4" s="4"/>
      <c r="LU4" s="4"/>
      <c r="LV4" s="4"/>
      <c r="LW4" s="4"/>
      <c r="LX4" s="4"/>
      <c r="LY4" s="5"/>
      <c r="LZ4" s="6" t="s">
        <v>1224</v>
      </c>
      <c r="MA4" s="7" t="s">
        <v>2375</v>
      </c>
      <c r="MB4" s="7" t="s">
        <v>1225</v>
      </c>
      <c r="MC4" s="4" t="s">
        <v>2149</v>
      </c>
      <c r="MD4" s="8">
        <v>30487</v>
      </c>
      <c r="ME4" s="8">
        <v>30490</v>
      </c>
      <c r="MF4" s="8"/>
      <c r="MG4" s="5"/>
      <c r="MH4" s="6"/>
      <c r="MI4" s="4"/>
      <c r="MJ4" s="4"/>
      <c r="MK4" s="4"/>
      <c r="ML4" s="4"/>
      <c r="MM4" s="4"/>
      <c r="MN4" s="5"/>
      <c r="MO4" s="6"/>
      <c r="MP4" s="4"/>
      <c r="MQ4" s="4"/>
      <c r="MR4" s="4"/>
      <c r="MS4" s="4"/>
      <c r="MT4" s="4"/>
      <c r="MU4" s="5"/>
      <c r="MV4" s="6"/>
      <c r="MW4" s="4"/>
      <c r="MX4" s="4"/>
      <c r="MY4" s="4"/>
      <c r="MZ4" s="4"/>
      <c r="NA4" s="4"/>
      <c r="NB4" s="5"/>
      <c r="NC4" s="6"/>
      <c r="ND4" s="4"/>
      <c r="NE4" s="4"/>
      <c r="NF4" s="4"/>
      <c r="NG4" s="4"/>
      <c r="NH4" s="4"/>
      <c r="NI4" s="5"/>
      <c r="NJ4" s="6"/>
      <c r="NK4" s="4"/>
      <c r="NL4" s="4"/>
      <c r="NM4" s="4"/>
      <c r="NN4" s="4"/>
      <c r="NO4" s="4"/>
      <c r="NP4" s="5"/>
      <c r="NQ4" s="6"/>
      <c r="NR4" s="4"/>
      <c r="NS4" s="4"/>
      <c r="NT4" s="4"/>
      <c r="NU4" s="4"/>
      <c r="NV4" s="4"/>
      <c r="NW4" s="5"/>
      <c r="NX4" s="6"/>
      <c r="NY4" s="4"/>
      <c r="NZ4" s="4"/>
      <c r="OA4" s="4"/>
      <c r="OB4" s="4"/>
      <c r="OC4" s="4"/>
      <c r="OD4" s="5"/>
      <c r="OE4" s="6"/>
      <c r="OF4" s="4"/>
      <c r="OG4" s="4"/>
      <c r="OH4" s="4"/>
      <c r="OI4" s="4"/>
      <c r="OJ4" s="4"/>
      <c r="OK4" s="5"/>
      <c r="OL4" s="6"/>
      <c r="OM4" s="4"/>
      <c r="ON4" s="4"/>
      <c r="OO4" s="4"/>
      <c r="OP4" s="4"/>
      <c r="OQ4" s="4"/>
      <c r="OR4" s="5"/>
      <c r="OS4" s="6"/>
      <c r="OT4" s="4"/>
      <c r="OU4" s="4"/>
      <c r="OV4" s="4"/>
      <c r="OW4" s="4"/>
      <c r="OX4" s="4"/>
      <c r="OY4" s="5"/>
      <c r="OZ4" s="6"/>
      <c r="PA4" s="4"/>
      <c r="PB4" s="4"/>
      <c r="PC4" s="4"/>
      <c r="PD4" s="4"/>
      <c r="PE4" s="4"/>
      <c r="PF4" s="5"/>
      <c r="PG4" s="6"/>
      <c r="PH4" s="4"/>
      <c r="PI4" s="4"/>
      <c r="PJ4" s="4"/>
      <c r="PK4" s="4"/>
      <c r="PL4" s="4"/>
      <c r="PM4" s="5"/>
      <c r="PN4" s="6"/>
      <c r="PO4" s="4"/>
      <c r="PP4" s="4"/>
      <c r="PQ4" s="4"/>
      <c r="PR4" s="4"/>
      <c r="PS4" s="4"/>
      <c r="PT4" s="5"/>
      <c r="PU4" s="6"/>
      <c r="PV4" s="4"/>
      <c r="PW4" s="4"/>
      <c r="PX4" s="4"/>
      <c r="PY4" s="4"/>
      <c r="PZ4" s="4"/>
      <c r="QA4" s="5"/>
      <c r="QB4" s="6"/>
      <c r="QC4" s="4"/>
      <c r="QD4" s="4"/>
      <c r="QE4" s="4"/>
      <c r="QF4" s="4"/>
      <c r="QG4" s="4"/>
      <c r="QH4" s="5"/>
      <c r="QI4" s="6"/>
      <c r="QJ4" s="4"/>
      <c r="QK4" s="4"/>
      <c r="QL4" s="4"/>
      <c r="QM4" s="4"/>
      <c r="QN4" s="4"/>
      <c r="QO4" s="5"/>
      <c r="QP4" s="6"/>
      <c r="QQ4" s="4"/>
      <c r="QR4" s="4"/>
      <c r="QS4" s="4"/>
      <c r="QT4" s="4"/>
      <c r="QU4" s="4"/>
      <c r="QV4" s="5"/>
      <c r="QW4" s="6"/>
      <c r="QX4" s="4"/>
      <c r="QY4" s="4"/>
      <c r="QZ4" s="4"/>
      <c r="RA4" s="4"/>
      <c r="RB4" s="4"/>
      <c r="RC4" s="5"/>
      <c r="RD4" s="6"/>
      <c r="RE4" s="4"/>
      <c r="RF4" s="4"/>
      <c r="RG4" s="4"/>
      <c r="RH4" s="4"/>
      <c r="RI4" s="4"/>
      <c r="RJ4" s="5"/>
      <c r="RK4" s="6"/>
      <c r="RL4" s="4"/>
      <c r="RM4" s="4"/>
      <c r="RN4" s="4"/>
      <c r="RO4" s="4"/>
      <c r="RP4" s="4"/>
      <c r="RQ4" s="5"/>
      <c r="RR4" s="6"/>
      <c r="RS4" s="4"/>
      <c r="RT4" s="4"/>
      <c r="RU4" s="4"/>
      <c r="RV4" s="4"/>
      <c r="RW4" s="4"/>
      <c r="RX4" s="5"/>
      <c r="RY4" s="6"/>
      <c r="RZ4" s="4"/>
      <c r="SA4" s="4"/>
      <c r="SB4" s="4"/>
      <c r="SC4" s="4"/>
      <c r="SD4" s="4"/>
      <c r="SE4" s="5"/>
      <c r="SF4" s="6"/>
      <c r="SG4" s="4"/>
      <c r="SH4" s="4"/>
      <c r="SI4" s="4"/>
      <c r="SJ4" s="4"/>
      <c r="SK4" s="4"/>
      <c r="SL4" s="5"/>
      <c r="SM4" s="6"/>
      <c r="SN4" s="4"/>
      <c r="SO4" s="4"/>
      <c r="SP4" s="4"/>
      <c r="SQ4" s="4"/>
      <c r="SR4" s="4"/>
      <c r="SS4" s="5"/>
      <c r="ST4" s="6"/>
      <c r="SU4" s="4"/>
      <c r="SV4" s="4"/>
      <c r="SW4" s="4"/>
      <c r="SX4" s="4"/>
      <c r="SY4" s="4"/>
      <c r="SZ4" s="5"/>
      <c r="TA4" s="6"/>
      <c r="TB4" s="4"/>
      <c r="TC4" s="4"/>
      <c r="TD4" s="4"/>
      <c r="TE4" s="4"/>
      <c r="TF4" s="4"/>
      <c r="TG4" s="5"/>
      <c r="TH4" s="6"/>
      <c r="TI4" s="4"/>
      <c r="TJ4" s="4"/>
      <c r="TK4" s="4"/>
      <c r="TL4" s="4"/>
      <c r="TM4" s="4"/>
      <c r="TN4" s="5"/>
      <c r="TO4" s="6"/>
      <c r="TP4" s="4"/>
      <c r="TQ4" s="4"/>
      <c r="TR4" s="4"/>
      <c r="TS4" s="4"/>
      <c r="TT4" s="4"/>
      <c r="TU4" s="5"/>
      <c r="TV4" s="6"/>
      <c r="TW4" s="4"/>
      <c r="TX4" s="4"/>
      <c r="TY4" s="4"/>
      <c r="TZ4" s="4"/>
      <c r="UA4" s="4"/>
      <c r="UB4" s="5"/>
      <c r="UC4" s="6"/>
      <c r="UD4" s="4"/>
      <c r="UE4" s="4"/>
      <c r="UF4" s="4"/>
      <c r="UG4" s="4"/>
      <c r="UH4" s="4"/>
      <c r="UI4" s="5"/>
      <c r="UJ4" s="6"/>
      <c r="UK4" s="4"/>
      <c r="UL4" s="4"/>
      <c r="UM4" s="4"/>
      <c r="UN4" s="4"/>
      <c r="UO4" s="4"/>
      <c r="UP4" s="5"/>
      <c r="UQ4" s="6"/>
      <c r="UR4" s="4"/>
      <c r="US4" s="4"/>
      <c r="UT4" s="4"/>
      <c r="UU4" s="4"/>
      <c r="UV4" s="4"/>
      <c r="UW4" s="5"/>
      <c r="UX4" s="6"/>
      <c r="UY4" s="4"/>
      <c r="UZ4" s="4"/>
      <c r="VA4" s="4"/>
      <c r="VB4" s="4"/>
      <c r="VC4" s="4"/>
      <c r="VD4" s="5"/>
      <c r="VE4" s="6"/>
      <c r="VF4" s="4"/>
      <c r="VG4" s="4"/>
      <c r="VH4" s="4"/>
      <c r="VI4" s="4"/>
      <c r="VJ4" s="4"/>
      <c r="VK4" s="5"/>
      <c r="VL4" s="6"/>
      <c r="VM4" s="4"/>
      <c r="VN4" s="4"/>
      <c r="VO4" s="4"/>
      <c r="VP4" s="4"/>
      <c r="VQ4" s="4"/>
      <c r="VR4" s="5"/>
      <c r="VS4" s="6"/>
      <c r="VT4" s="4"/>
      <c r="VU4" s="4"/>
      <c r="VV4" s="4"/>
      <c r="VW4" s="4"/>
      <c r="VX4" s="4"/>
      <c r="VY4" s="5"/>
      <c r="VZ4" s="6"/>
      <c r="WA4" s="4"/>
      <c r="WB4" s="4"/>
      <c r="WC4" s="4"/>
      <c r="WD4" s="4"/>
      <c r="WE4" s="4"/>
      <c r="WF4" s="5"/>
      <c r="WG4" s="6"/>
      <c r="WH4" s="4"/>
      <c r="WI4" s="4"/>
      <c r="WJ4" s="4"/>
      <c r="WK4" s="4"/>
      <c r="WL4" s="4"/>
      <c r="WM4" s="5"/>
      <c r="WN4" s="6"/>
      <c r="WO4" s="4"/>
      <c r="WP4" s="4"/>
      <c r="WQ4" s="4"/>
      <c r="WR4" s="4"/>
      <c r="WS4" s="4"/>
      <c r="WT4" s="5"/>
      <c r="WU4" s="6"/>
      <c r="WV4" s="4"/>
      <c r="WW4" s="4"/>
      <c r="WX4" s="4"/>
      <c r="WY4" s="4"/>
      <c r="WZ4" s="4"/>
      <c r="XA4" s="5"/>
      <c r="XB4" s="6"/>
      <c r="XC4" s="4"/>
      <c r="XD4" s="4"/>
      <c r="XE4" s="4"/>
      <c r="XF4" s="4"/>
      <c r="XG4" s="4"/>
      <c r="XH4" s="5"/>
      <c r="XI4" s="6"/>
      <c r="XJ4" s="4"/>
      <c r="XK4" s="4"/>
      <c r="XL4" s="4"/>
      <c r="XM4" s="4"/>
      <c r="XN4" s="4"/>
      <c r="XO4" s="5"/>
      <c r="XP4" s="6"/>
      <c r="XQ4" s="4"/>
      <c r="XR4" s="4"/>
      <c r="XS4" s="4"/>
      <c r="XT4" s="4"/>
      <c r="XU4" s="4"/>
      <c r="XV4" s="5"/>
      <c r="XW4" s="6"/>
      <c r="XX4" s="4"/>
      <c r="XY4" s="4"/>
      <c r="XZ4" s="4"/>
      <c r="YA4" s="4"/>
      <c r="YB4" s="4"/>
      <c r="YC4" s="5"/>
      <c r="YD4" s="6"/>
      <c r="YE4" s="4"/>
      <c r="YF4" s="4"/>
      <c r="YG4" s="4"/>
      <c r="YH4" s="4"/>
      <c r="YI4" s="4"/>
      <c r="YJ4" s="5"/>
      <c r="YK4" s="6"/>
      <c r="YL4" s="4"/>
      <c r="YM4" s="4"/>
      <c r="YN4" s="4"/>
      <c r="YO4" s="4"/>
      <c r="YP4" s="4"/>
      <c r="YQ4" s="5"/>
      <c r="YR4" s="6"/>
      <c r="YS4" s="4"/>
      <c r="YT4" s="4"/>
      <c r="YU4" s="4"/>
      <c r="YV4" s="4"/>
      <c r="YW4" s="4"/>
      <c r="YX4" s="5"/>
      <c r="YY4" s="6"/>
      <c r="YZ4" s="4"/>
      <c r="ZA4" s="4"/>
      <c r="ZB4" s="4"/>
      <c r="ZC4" s="4"/>
      <c r="ZD4" s="4"/>
      <c r="ZE4" s="5"/>
      <c r="ZF4" s="6"/>
      <c r="ZG4" s="4"/>
      <c r="ZH4" s="4"/>
      <c r="ZI4" s="4"/>
      <c r="ZJ4" s="4"/>
      <c r="ZK4" s="4"/>
      <c r="ZL4" s="5"/>
      <c r="ZM4" s="6"/>
      <c r="ZN4" s="4"/>
      <c r="ZO4" s="4"/>
      <c r="ZP4" s="4"/>
      <c r="ZQ4" s="4"/>
      <c r="ZR4" s="4"/>
      <c r="ZS4" s="5"/>
      <c r="ZT4" s="6"/>
      <c r="ZU4" s="4"/>
      <c r="ZV4" s="4"/>
      <c r="ZW4" s="4"/>
      <c r="ZX4" s="4"/>
      <c r="ZY4" s="4"/>
      <c r="ZZ4" s="5"/>
      <c r="AAA4" s="6"/>
      <c r="AAB4" s="4"/>
      <c r="AAC4" s="4"/>
      <c r="AAD4" s="4"/>
      <c r="AAE4" s="4"/>
      <c r="AAF4" s="4"/>
      <c r="AAG4" s="5"/>
      <c r="AAH4" s="6"/>
      <c r="AAI4" s="4"/>
      <c r="AAJ4" s="4"/>
      <c r="AAK4" s="4"/>
      <c r="AAL4" s="4"/>
      <c r="AAM4" s="4"/>
      <c r="AAN4" s="5"/>
      <c r="AAO4" s="6"/>
      <c r="AAP4" s="4"/>
      <c r="AAQ4" s="4"/>
      <c r="AAR4" s="4"/>
      <c r="AAS4" s="4"/>
      <c r="AAT4" s="4"/>
      <c r="AAU4" s="5"/>
      <c r="AAV4" s="6"/>
      <c r="AAW4" s="4"/>
      <c r="AAX4" s="4"/>
      <c r="AAY4" s="4"/>
      <c r="AAZ4" s="4"/>
      <c r="ABA4" s="4"/>
      <c r="ABB4" s="5"/>
      <c r="ABC4" s="6"/>
      <c r="ABD4" s="4"/>
      <c r="ABE4" s="4"/>
      <c r="ABF4" s="4"/>
      <c r="ABG4" s="4"/>
      <c r="ABH4" s="4"/>
      <c r="ABI4" s="5"/>
      <c r="ABJ4" s="6"/>
      <c r="ABK4" s="4"/>
      <c r="ABL4" s="4"/>
      <c r="ABM4" s="4"/>
      <c r="ABN4" s="4"/>
      <c r="ABO4" s="4"/>
      <c r="ABP4" s="5"/>
      <c r="ABQ4" s="6"/>
      <c r="ABR4" s="4"/>
      <c r="ABS4" s="4"/>
      <c r="ABT4" s="4"/>
      <c r="ABU4" s="4"/>
      <c r="ABV4" s="4"/>
      <c r="ABW4" s="5"/>
      <c r="ABX4" s="6"/>
      <c r="ABY4" s="4"/>
      <c r="ABZ4" s="4"/>
      <c r="ACA4" s="4"/>
      <c r="ACB4" s="4"/>
      <c r="ACC4" s="4"/>
      <c r="ACD4" s="5"/>
      <c r="ACE4" s="6"/>
      <c r="ACF4" s="4"/>
      <c r="ACG4" s="4"/>
      <c r="ACH4" s="4"/>
      <c r="ACI4" s="4"/>
      <c r="ACJ4" s="4"/>
      <c r="ACK4" s="5"/>
      <c r="ACL4" s="6"/>
      <c r="ACM4" s="4"/>
      <c r="ACN4" s="4"/>
      <c r="ACO4" s="4"/>
      <c r="ACP4" s="4"/>
      <c r="ACQ4" s="4"/>
      <c r="ACR4" s="5"/>
      <c r="ACS4" s="6"/>
      <c r="ACT4" s="4"/>
      <c r="ACU4" s="4"/>
      <c r="ACV4" s="4"/>
      <c r="ACW4" s="4"/>
      <c r="ACX4" s="4"/>
      <c r="ACY4" s="5"/>
    </row>
    <row r="5" spans="1:839" x14ac:dyDescent="0.25">
      <c r="B5" s="44"/>
      <c r="J5" s="12"/>
      <c r="K5" s="12"/>
      <c r="L5" s="12"/>
      <c r="LL5" s="6"/>
      <c r="LM5" s="4"/>
      <c r="LN5" s="4"/>
      <c r="LO5" s="4"/>
      <c r="LP5" s="4"/>
      <c r="LQ5" s="4"/>
      <c r="LR5" s="5"/>
      <c r="LS5" s="6"/>
      <c r="LT5" s="4"/>
      <c r="LU5" s="4"/>
      <c r="LV5" s="4"/>
      <c r="LW5" s="4"/>
      <c r="LX5" s="4"/>
      <c r="LY5" s="5"/>
      <c r="LZ5" s="6" t="s">
        <v>3194</v>
      </c>
      <c r="MA5" s="7" t="s">
        <v>2375</v>
      </c>
      <c r="MB5" s="7" t="s">
        <v>4013</v>
      </c>
      <c r="MC5" s="4" t="s">
        <v>2661</v>
      </c>
      <c r="MD5" s="8">
        <v>30487</v>
      </c>
      <c r="ME5" s="8">
        <v>30500</v>
      </c>
      <c r="MF5" s="8"/>
      <c r="MG5" s="5"/>
      <c r="MH5" s="6"/>
      <c r="MI5" s="4"/>
      <c r="MJ5" s="4"/>
      <c r="MK5" s="4"/>
      <c r="ML5" s="4"/>
      <c r="MM5" s="4"/>
      <c r="MN5" s="5"/>
      <c r="MO5" s="6"/>
      <c r="MP5" s="4"/>
      <c r="MQ5" s="4"/>
      <c r="MR5" s="4"/>
      <c r="MS5" s="4"/>
      <c r="MT5" s="4"/>
      <c r="MU5" s="5"/>
      <c r="MV5" s="6"/>
      <c r="MW5" s="4"/>
      <c r="MX5" s="4"/>
      <c r="MY5" s="4"/>
      <c r="MZ5" s="4"/>
      <c r="NA5" s="4"/>
      <c r="NB5" s="5"/>
      <c r="NC5" s="6"/>
      <c r="ND5" s="4"/>
      <c r="NE5" s="4"/>
      <c r="NF5" s="4"/>
      <c r="NG5" s="4"/>
      <c r="NH5" s="4"/>
      <c r="NI5" s="5"/>
      <c r="NJ5" s="6"/>
      <c r="NK5" s="4"/>
      <c r="NL5" s="4"/>
      <c r="NM5" s="4"/>
      <c r="NN5" s="4"/>
      <c r="NO5" s="4"/>
      <c r="NP5" s="5"/>
      <c r="NQ5" s="6"/>
      <c r="NR5" s="4"/>
      <c r="NS5" s="4"/>
      <c r="NT5" s="4"/>
      <c r="NU5" s="4"/>
      <c r="NV5" s="4"/>
      <c r="NW5" s="5"/>
      <c r="NX5" s="6"/>
      <c r="NY5" s="4"/>
      <c r="NZ5" s="4"/>
      <c r="OA5" s="4"/>
      <c r="OB5" s="4"/>
      <c r="OC5" s="4"/>
      <c r="OD5" s="5"/>
      <c r="OE5" s="6"/>
      <c r="OF5" s="4"/>
      <c r="OG5" s="4"/>
      <c r="OH5" s="4"/>
      <c r="OI5" s="4"/>
      <c r="OJ5" s="4"/>
      <c r="OK5" s="5"/>
      <c r="OL5" s="6"/>
      <c r="OM5" s="4"/>
      <c r="ON5" s="4"/>
      <c r="OO5" s="4"/>
      <c r="OP5" s="4"/>
      <c r="OQ5" s="4"/>
      <c r="OR5" s="5"/>
      <c r="OS5" s="6"/>
      <c r="OT5" s="4"/>
      <c r="OU5" s="4"/>
      <c r="OV5" s="4"/>
      <c r="OW5" s="4"/>
      <c r="OX5" s="4"/>
      <c r="OY5" s="5"/>
      <c r="OZ5" s="6"/>
      <c r="PA5" s="4"/>
      <c r="PB5" s="4"/>
      <c r="PC5" s="4"/>
      <c r="PD5" s="4"/>
      <c r="PE5" s="4"/>
      <c r="PF5" s="5"/>
      <c r="PG5" s="6"/>
      <c r="PH5" s="4"/>
      <c r="PI5" s="4"/>
      <c r="PJ5" s="4"/>
      <c r="PK5" s="4"/>
      <c r="PL5" s="4"/>
      <c r="PM5" s="5"/>
      <c r="PN5" s="6"/>
      <c r="PO5" s="4"/>
      <c r="PP5" s="4"/>
      <c r="PQ5" s="4"/>
      <c r="PR5" s="4"/>
      <c r="PS5" s="4"/>
      <c r="PT5" s="5"/>
      <c r="PU5" s="6"/>
      <c r="PV5" s="4"/>
      <c r="PW5" s="4"/>
      <c r="PX5" s="4"/>
      <c r="PY5" s="4"/>
      <c r="PZ5" s="4"/>
      <c r="QA5" s="5"/>
      <c r="QB5" s="6"/>
      <c r="QC5" s="4"/>
      <c r="QD5" s="4"/>
      <c r="QE5" s="4"/>
      <c r="QF5" s="4"/>
      <c r="QG5" s="4"/>
      <c r="QH5" s="5"/>
      <c r="QI5" s="6"/>
      <c r="QJ5" s="4"/>
      <c r="QK5" s="4"/>
      <c r="QL5" s="4"/>
      <c r="QM5" s="4"/>
      <c r="QN5" s="4"/>
      <c r="QO5" s="5"/>
      <c r="QP5" s="6"/>
      <c r="QQ5" s="4"/>
      <c r="QR5" s="4"/>
      <c r="QS5" s="4"/>
      <c r="QT5" s="4"/>
      <c r="QU5" s="4"/>
      <c r="QV5" s="5"/>
      <c r="QW5" s="6"/>
      <c r="QX5" s="4"/>
      <c r="QY5" s="4"/>
      <c r="QZ5" s="4"/>
      <c r="RA5" s="4"/>
      <c r="RB5" s="4"/>
      <c r="RC5" s="5"/>
      <c r="RD5" s="6"/>
      <c r="RE5" s="4"/>
      <c r="RF5" s="4"/>
      <c r="RG5" s="4"/>
      <c r="RH5" s="4"/>
      <c r="RI5" s="4"/>
      <c r="RJ5" s="5"/>
      <c r="RK5" s="6"/>
      <c r="RL5" s="4"/>
      <c r="RM5" s="4"/>
      <c r="RN5" s="4"/>
      <c r="RO5" s="4"/>
      <c r="RP5" s="4"/>
      <c r="RQ5" s="5"/>
      <c r="RR5" s="6"/>
      <c r="RS5" s="4"/>
      <c r="RT5" s="4"/>
      <c r="RU5" s="4"/>
      <c r="RV5" s="4"/>
      <c r="RW5" s="4"/>
      <c r="RX5" s="5"/>
      <c r="RY5" s="6"/>
      <c r="RZ5" s="4"/>
      <c r="SA5" s="4"/>
      <c r="SB5" s="4"/>
      <c r="SC5" s="4"/>
      <c r="SD5" s="4"/>
      <c r="SE5" s="5"/>
      <c r="SF5" s="6"/>
      <c r="SG5" s="4"/>
      <c r="SH5" s="4"/>
      <c r="SI5" s="4"/>
      <c r="SJ5" s="4"/>
      <c r="SK5" s="4"/>
      <c r="SL5" s="5"/>
      <c r="SM5" s="6"/>
      <c r="SN5" s="4"/>
      <c r="SO5" s="4"/>
      <c r="SP5" s="4"/>
      <c r="SQ5" s="4"/>
      <c r="SR5" s="4"/>
      <c r="SS5" s="5"/>
      <c r="ST5" s="6"/>
      <c r="SU5" s="4"/>
      <c r="SV5" s="4"/>
      <c r="SW5" s="4"/>
      <c r="SX5" s="4"/>
      <c r="SY5" s="4"/>
      <c r="SZ5" s="5"/>
      <c r="TA5" s="6"/>
      <c r="TB5" s="4"/>
      <c r="TC5" s="4"/>
      <c r="TD5" s="4"/>
      <c r="TE5" s="4"/>
      <c r="TF5" s="4"/>
      <c r="TG5" s="5"/>
      <c r="TH5" s="6"/>
      <c r="TI5" s="4"/>
      <c r="TJ5" s="4"/>
      <c r="TK5" s="4"/>
      <c r="TL5" s="4"/>
      <c r="TM5" s="4"/>
      <c r="TN5" s="5"/>
      <c r="TO5" s="6"/>
      <c r="TP5" s="4"/>
      <c r="TQ5" s="4"/>
      <c r="TR5" s="4"/>
      <c r="TS5" s="4"/>
      <c r="TT5" s="4"/>
      <c r="TU5" s="5"/>
      <c r="TV5" s="6"/>
      <c r="TW5" s="4"/>
      <c r="TX5" s="4"/>
      <c r="TY5" s="4"/>
      <c r="TZ5" s="4"/>
      <c r="UA5" s="4"/>
      <c r="UB5" s="5"/>
      <c r="UC5" s="6"/>
      <c r="UD5" s="4"/>
      <c r="UE5" s="4"/>
      <c r="UF5" s="4"/>
      <c r="UG5" s="4"/>
      <c r="UH5" s="4"/>
      <c r="UI5" s="5"/>
      <c r="UJ5" s="6"/>
      <c r="UK5" s="4"/>
      <c r="UL5" s="4"/>
      <c r="UM5" s="4"/>
      <c r="UN5" s="4"/>
      <c r="UO5" s="4"/>
      <c r="UP5" s="5"/>
      <c r="UQ5" s="6"/>
      <c r="UR5" s="4"/>
      <c r="US5" s="4"/>
      <c r="UT5" s="4"/>
      <c r="UU5" s="4"/>
      <c r="UV5" s="4"/>
      <c r="UW5" s="5"/>
      <c r="UX5" s="6"/>
      <c r="UY5" s="4"/>
      <c r="UZ5" s="4"/>
      <c r="VA5" s="4"/>
      <c r="VB5" s="4"/>
      <c r="VC5" s="4"/>
      <c r="VD5" s="5"/>
      <c r="VE5" s="6"/>
      <c r="VF5" s="4"/>
      <c r="VG5" s="4"/>
      <c r="VH5" s="4"/>
      <c r="VI5" s="4"/>
      <c r="VJ5" s="4"/>
      <c r="VK5" s="5"/>
      <c r="VL5" s="6"/>
      <c r="VM5" s="4"/>
      <c r="VN5" s="4"/>
      <c r="VO5" s="4"/>
      <c r="VP5" s="4"/>
      <c r="VQ5" s="4"/>
      <c r="VR5" s="5"/>
      <c r="VS5" s="6"/>
      <c r="VT5" s="4"/>
      <c r="VU5" s="4"/>
      <c r="VV5" s="4"/>
      <c r="VW5" s="4"/>
      <c r="VX5" s="4"/>
      <c r="VY5" s="5"/>
      <c r="VZ5" s="6"/>
      <c r="WA5" s="4"/>
      <c r="WB5" s="4"/>
      <c r="WC5" s="4"/>
      <c r="WD5" s="4"/>
      <c r="WE5" s="4"/>
      <c r="WF5" s="5"/>
      <c r="WG5" s="6"/>
      <c r="WH5" s="4"/>
      <c r="WI5" s="4"/>
      <c r="WJ5" s="4"/>
      <c r="WK5" s="4"/>
      <c r="WL5" s="4"/>
      <c r="WM5" s="5"/>
      <c r="WN5" s="6"/>
      <c r="WO5" s="4"/>
      <c r="WP5" s="4"/>
      <c r="WQ5" s="4"/>
      <c r="WR5" s="4"/>
      <c r="WS5" s="4"/>
      <c r="WT5" s="5"/>
      <c r="WU5" s="6"/>
      <c r="WV5" s="4"/>
      <c r="WW5" s="4"/>
      <c r="WX5" s="4"/>
      <c r="WY5" s="4"/>
      <c r="WZ5" s="4"/>
      <c r="XA5" s="5"/>
      <c r="XB5" s="6"/>
      <c r="XC5" s="4"/>
      <c r="XD5" s="4"/>
      <c r="XE5" s="4"/>
      <c r="XF5" s="4"/>
      <c r="XG5" s="4"/>
      <c r="XH5" s="5"/>
      <c r="XI5" s="6"/>
      <c r="XJ5" s="4"/>
      <c r="XK5" s="4"/>
      <c r="XL5" s="4"/>
      <c r="XM5" s="4"/>
      <c r="XN5" s="4"/>
      <c r="XO5" s="5"/>
      <c r="XP5" s="6"/>
      <c r="XQ5" s="4"/>
      <c r="XR5" s="4"/>
      <c r="XS5" s="4"/>
      <c r="XT5" s="4"/>
      <c r="XU5" s="4"/>
      <c r="XV5" s="5"/>
      <c r="XW5" s="6"/>
      <c r="XX5" s="4"/>
      <c r="XY5" s="4"/>
      <c r="XZ5" s="4"/>
      <c r="YA5" s="4"/>
      <c r="YB5" s="4"/>
      <c r="YC5" s="5"/>
      <c r="YD5" s="6"/>
      <c r="YE5" s="4"/>
      <c r="YF5" s="4"/>
      <c r="YG5" s="4"/>
      <c r="YH5" s="4"/>
      <c r="YI5" s="4"/>
      <c r="YJ5" s="5"/>
      <c r="YK5" s="6"/>
      <c r="YL5" s="4"/>
      <c r="YM5" s="4"/>
      <c r="YN5" s="4"/>
      <c r="YO5" s="4"/>
      <c r="YP5" s="4"/>
      <c r="YQ5" s="5"/>
      <c r="YR5" s="6"/>
      <c r="YS5" s="4"/>
      <c r="YT5" s="4"/>
      <c r="YU5" s="4"/>
      <c r="YV5" s="4"/>
      <c r="YW5" s="4"/>
      <c r="YX5" s="5"/>
      <c r="YY5" s="6"/>
      <c r="YZ5" s="4"/>
      <c r="ZA5" s="4"/>
      <c r="ZB5" s="4"/>
      <c r="ZC5" s="4"/>
      <c r="ZD5" s="4"/>
      <c r="ZE5" s="5"/>
      <c r="ZF5" s="6"/>
      <c r="ZG5" s="4"/>
      <c r="ZH5" s="4"/>
      <c r="ZI5" s="4"/>
      <c r="ZJ5" s="4"/>
      <c r="ZK5" s="4"/>
      <c r="ZL5" s="5"/>
      <c r="ZM5" s="6"/>
      <c r="ZN5" s="4"/>
      <c r="ZO5" s="4"/>
      <c r="ZP5" s="4"/>
      <c r="ZQ5" s="4"/>
      <c r="ZR5" s="4"/>
      <c r="ZS5" s="5"/>
      <c r="ZT5" s="6"/>
      <c r="ZU5" s="4"/>
      <c r="ZV5" s="4"/>
      <c r="ZW5" s="4"/>
      <c r="ZX5" s="4"/>
      <c r="ZY5" s="4"/>
      <c r="ZZ5" s="5"/>
      <c r="AAA5" s="6"/>
      <c r="AAB5" s="4"/>
      <c r="AAC5" s="4"/>
      <c r="AAD5" s="4"/>
      <c r="AAE5" s="4"/>
      <c r="AAF5" s="4"/>
      <c r="AAG5" s="5"/>
      <c r="AAH5" s="6"/>
      <c r="AAI5" s="4"/>
      <c r="AAJ5" s="4"/>
      <c r="AAK5" s="4"/>
      <c r="AAL5" s="4"/>
      <c r="AAM5" s="4"/>
      <c r="AAN5" s="5"/>
      <c r="AAO5" s="6"/>
      <c r="AAP5" s="4"/>
      <c r="AAQ5" s="4"/>
      <c r="AAR5" s="4"/>
      <c r="AAS5" s="4"/>
      <c r="AAT5" s="4"/>
      <c r="AAU5" s="5"/>
      <c r="AAV5" s="6"/>
      <c r="AAW5" s="4"/>
      <c r="AAX5" s="4"/>
      <c r="AAY5" s="4"/>
      <c r="AAZ5" s="4"/>
      <c r="ABA5" s="4"/>
      <c r="ABB5" s="5"/>
      <c r="ABC5" s="6"/>
      <c r="ABD5" s="4"/>
      <c r="ABE5" s="4"/>
      <c r="ABF5" s="4"/>
      <c r="ABG5" s="4"/>
      <c r="ABH5" s="4"/>
      <c r="ABI5" s="5"/>
      <c r="ABJ5" s="6"/>
      <c r="ABK5" s="4"/>
      <c r="ABL5" s="4"/>
      <c r="ABM5" s="4"/>
      <c r="ABN5" s="4"/>
      <c r="ABO5" s="4"/>
      <c r="ABP5" s="5"/>
      <c r="ABQ5" s="6"/>
      <c r="ABR5" s="4"/>
      <c r="ABS5" s="4"/>
      <c r="ABT5" s="4"/>
      <c r="ABU5" s="4"/>
      <c r="ABV5" s="4"/>
      <c r="ABW5" s="5"/>
      <c r="ABX5" s="6"/>
      <c r="ABY5" s="4"/>
      <c r="ABZ5" s="4"/>
      <c r="ACA5" s="4"/>
      <c r="ACB5" s="4"/>
      <c r="ACC5" s="4"/>
      <c r="ACD5" s="5"/>
      <c r="ACE5" s="6"/>
      <c r="ACF5" s="4"/>
      <c r="ACG5" s="4"/>
      <c r="ACH5" s="4"/>
      <c r="ACI5" s="4"/>
      <c r="ACJ5" s="4"/>
      <c r="ACK5" s="5"/>
      <c r="ACL5" s="6"/>
      <c r="ACM5" s="4"/>
      <c r="ACN5" s="4"/>
      <c r="ACO5" s="4"/>
      <c r="ACP5" s="4"/>
      <c r="ACQ5" s="4"/>
      <c r="ACR5" s="5"/>
      <c r="ACS5" s="6"/>
      <c r="ACT5" s="4"/>
      <c r="ACU5" s="4"/>
      <c r="ACV5" s="4"/>
      <c r="ACW5" s="4"/>
      <c r="ACX5" s="4"/>
      <c r="ACY5" s="5"/>
    </row>
    <row r="6" spans="1:839" x14ac:dyDescent="0.25">
      <c r="B6" s="43">
        <v>84003222</v>
      </c>
      <c r="C6">
        <v>63</v>
      </c>
      <c r="D6" t="s">
        <v>2121</v>
      </c>
      <c r="F6" s="23" t="s">
        <v>1781</v>
      </c>
      <c r="J6" s="12"/>
      <c r="K6" s="12"/>
      <c r="L6" s="12"/>
      <c r="M6">
        <v>1</v>
      </c>
      <c r="LL6" s="6"/>
      <c r="LM6" s="4"/>
      <c r="LN6" s="4"/>
      <c r="LO6" s="4"/>
      <c r="LP6" s="4"/>
      <c r="LQ6" s="4"/>
      <c r="LR6" s="5"/>
      <c r="LS6" s="6"/>
      <c r="LT6" s="4"/>
      <c r="LU6" s="4"/>
      <c r="LV6" s="4"/>
      <c r="LW6" s="4"/>
      <c r="LX6" s="4"/>
      <c r="LY6" s="5"/>
      <c r="LZ6" s="6" t="s">
        <v>1224</v>
      </c>
      <c r="MA6" s="7" t="s">
        <v>2375</v>
      </c>
      <c r="MB6" s="7" t="s">
        <v>1226</v>
      </c>
      <c r="MC6" s="7" t="s">
        <v>3027</v>
      </c>
      <c r="MD6" s="9">
        <v>30876</v>
      </c>
      <c r="ME6" s="9">
        <v>30876</v>
      </c>
      <c r="MF6" s="9"/>
      <c r="MG6" s="5"/>
      <c r="MH6" s="6"/>
      <c r="MI6" s="4"/>
      <c r="MJ6" s="4"/>
      <c r="MK6" s="4"/>
      <c r="ML6" s="4"/>
      <c r="MM6" s="4"/>
      <c r="MN6" s="5"/>
      <c r="MO6" s="6"/>
      <c r="MP6" s="4"/>
      <c r="MQ6" s="4"/>
      <c r="MR6" s="4"/>
      <c r="MS6" s="4"/>
      <c r="MT6" s="4"/>
      <c r="MU6" s="5"/>
      <c r="MV6" s="6"/>
      <c r="MW6" s="4"/>
      <c r="MX6" s="4"/>
      <c r="MY6" s="4"/>
      <c r="MZ6" s="4"/>
      <c r="NA6" s="4"/>
      <c r="NB6" s="5"/>
      <c r="NC6" s="6"/>
      <c r="ND6" s="4"/>
      <c r="NE6" s="4"/>
      <c r="NF6" s="4"/>
      <c r="NG6" s="4"/>
      <c r="NH6" s="4"/>
      <c r="NI6" s="5"/>
      <c r="NJ6" s="6"/>
      <c r="NK6" s="4"/>
      <c r="NL6" s="4"/>
      <c r="NM6" s="4"/>
      <c r="NN6" s="4"/>
      <c r="NO6" s="4"/>
      <c r="NP6" s="5"/>
      <c r="NQ6" s="6"/>
      <c r="NR6" s="4"/>
      <c r="NS6" s="4"/>
      <c r="NT6" s="4"/>
      <c r="NU6" s="4"/>
      <c r="NV6" s="4"/>
      <c r="NW6" s="5"/>
      <c r="NX6" s="6"/>
      <c r="NY6" s="4"/>
      <c r="NZ6" s="4"/>
      <c r="OA6" s="4"/>
      <c r="OB6" s="4"/>
      <c r="OC6" s="4"/>
      <c r="OD6" s="5"/>
      <c r="OE6" s="6"/>
      <c r="OF6" s="4"/>
      <c r="OG6" s="4"/>
      <c r="OH6" s="4"/>
      <c r="OI6" s="4"/>
      <c r="OJ6" s="4"/>
      <c r="OK6" s="5"/>
      <c r="OL6" s="6"/>
      <c r="OM6" s="4"/>
      <c r="ON6" s="4"/>
      <c r="OO6" s="4"/>
      <c r="OP6" s="4"/>
      <c r="OQ6" s="4"/>
      <c r="OR6" s="5"/>
      <c r="OS6" s="6"/>
      <c r="OT6" s="4"/>
      <c r="OU6" s="4"/>
      <c r="OV6" s="4"/>
      <c r="OW6" s="4"/>
      <c r="OX6" s="4"/>
      <c r="OY6" s="5"/>
      <c r="OZ6" s="6"/>
      <c r="PA6" s="4"/>
      <c r="PB6" s="4"/>
      <c r="PC6" s="4"/>
      <c r="PD6" s="4"/>
      <c r="PE6" s="4"/>
      <c r="PF6" s="5"/>
      <c r="PG6" s="6"/>
      <c r="PH6" s="4"/>
      <c r="PI6" s="4"/>
      <c r="PJ6" s="4"/>
      <c r="PK6" s="4"/>
      <c r="PL6" s="4"/>
      <c r="PM6" s="5"/>
      <c r="PN6" s="6"/>
      <c r="PO6" s="4"/>
      <c r="PP6" s="4"/>
      <c r="PQ6" s="4"/>
      <c r="PR6" s="4"/>
      <c r="PS6" s="4"/>
      <c r="PT6" s="5"/>
      <c r="PU6" s="6"/>
      <c r="PV6" s="4"/>
      <c r="PW6" s="4"/>
      <c r="PX6" s="4"/>
      <c r="PY6" s="4"/>
      <c r="PZ6" s="4"/>
      <c r="QA6" s="5"/>
      <c r="QB6" s="6"/>
      <c r="QC6" s="4"/>
      <c r="QD6" s="4"/>
      <c r="QE6" s="4"/>
      <c r="QF6" s="4"/>
      <c r="QG6" s="4"/>
      <c r="QH6" s="5"/>
      <c r="QI6" s="6"/>
      <c r="QJ6" s="4"/>
      <c r="QK6" s="4"/>
      <c r="QL6" s="4"/>
      <c r="QM6" s="4"/>
      <c r="QN6" s="4"/>
      <c r="QO6" s="5"/>
      <c r="QP6" s="6"/>
      <c r="QQ6" s="4"/>
      <c r="QR6" s="4"/>
      <c r="QS6" s="4"/>
      <c r="QT6" s="4"/>
      <c r="QU6" s="4"/>
      <c r="QV6" s="5"/>
      <c r="QW6" s="6"/>
      <c r="QX6" s="4"/>
      <c r="QY6" s="4"/>
      <c r="QZ6" s="4"/>
      <c r="RA6" s="4"/>
      <c r="RB6" s="4"/>
      <c r="RC6" s="5"/>
      <c r="RD6" s="6"/>
      <c r="RE6" s="4"/>
      <c r="RF6" s="4"/>
      <c r="RG6" s="4"/>
      <c r="RH6" s="4"/>
      <c r="RI6" s="4"/>
      <c r="RJ6" s="5"/>
      <c r="RK6" s="6"/>
      <c r="RL6" s="4"/>
      <c r="RM6" s="4"/>
      <c r="RN6" s="4"/>
      <c r="RO6" s="4"/>
      <c r="RP6" s="4"/>
      <c r="RQ6" s="5"/>
      <c r="RR6" s="6"/>
      <c r="RS6" s="4"/>
      <c r="RT6" s="4"/>
      <c r="RU6" s="4"/>
      <c r="RV6" s="4"/>
      <c r="RW6" s="4"/>
      <c r="RX6" s="5"/>
      <c r="RY6" s="6"/>
      <c r="RZ6" s="4"/>
      <c r="SA6" s="4"/>
      <c r="SB6" s="4"/>
      <c r="SC6" s="4"/>
      <c r="SD6" s="4"/>
      <c r="SE6" s="5"/>
      <c r="SF6" s="6"/>
      <c r="SG6" s="4"/>
      <c r="SH6" s="4"/>
      <c r="SI6" s="4"/>
      <c r="SJ6" s="4"/>
      <c r="SK6" s="4"/>
      <c r="SL6" s="5"/>
      <c r="SM6" s="6"/>
      <c r="SN6" s="4"/>
      <c r="SO6" s="4"/>
      <c r="SP6" s="4"/>
      <c r="SQ6" s="4"/>
      <c r="SR6" s="4"/>
      <c r="SS6" s="5"/>
      <c r="ST6" s="6"/>
      <c r="SU6" s="4"/>
      <c r="SV6" s="4"/>
      <c r="SW6" s="4"/>
      <c r="SX6" s="4"/>
      <c r="SY6" s="4"/>
      <c r="SZ6" s="5"/>
      <c r="TA6" s="6"/>
      <c r="TB6" s="4"/>
      <c r="TC6" s="4"/>
      <c r="TD6" s="4"/>
      <c r="TE6" s="4"/>
      <c r="TF6" s="4"/>
      <c r="TG6" s="5"/>
      <c r="TH6" s="6"/>
      <c r="TI6" s="4"/>
      <c r="TJ6" s="4"/>
      <c r="TK6" s="4"/>
      <c r="TL6" s="4"/>
      <c r="TM6" s="4"/>
      <c r="TN6" s="5"/>
      <c r="TO6" s="6"/>
      <c r="TP6" s="4"/>
      <c r="TQ6" s="4"/>
      <c r="TR6" s="4"/>
      <c r="TS6" s="4"/>
      <c r="TT6" s="4"/>
      <c r="TU6" s="5"/>
      <c r="TV6" s="6"/>
      <c r="TW6" s="4"/>
      <c r="TX6" s="4"/>
      <c r="TY6" s="4"/>
      <c r="TZ6" s="4"/>
      <c r="UA6" s="4"/>
      <c r="UB6" s="5"/>
      <c r="UC6" s="6"/>
      <c r="UD6" s="4"/>
      <c r="UE6" s="4"/>
      <c r="UF6" s="4"/>
      <c r="UG6" s="4"/>
      <c r="UH6" s="4"/>
      <c r="UI6" s="5"/>
      <c r="UJ6" s="6"/>
      <c r="UK6" s="4"/>
      <c r="UL6" s="4"/>
      <c r="UM6" s="4"/>
      <c r="UN6" s="4"/>
      <c r="UO6" s="4"/>
      <c r="UP6" s="5"/>
      <c r="UQ6" s="6"/>
      <c r="UR6" s="4"/>
      <c r="US6" s="4"/>
      <c r="UT6" s="4"/>
      <c r="UU6" s="4"/>
      <c r="UV6" s="4"/>
      <c r="UW6" s="5"/>
      <c r="UX6" s="6"/>
      <c r="UY6" s="4"/>
      <c r="UZ6" s="4"/>
      <c r="VA6" s="4"/>
      <c r="VB6" s="4"/>
      <c r="VC6" s="4"/>
      <c r="VD6" s="5"/>
      <c r="VE6" s="6"/>
      <c r="VF6" s="4"/>
      <c r="VG6" s="4"/>
      <c r="VH6" s="4"/>
      <c r="VI6" s="4"/>
      <c r="VJ6" s="4"/>
      <c r="VK6" s="5"/>
      <c r="VL6" s="6"/>
      <c r="VM6" s="4"/>
      <c r="VN6" s="4"/>
      <c r="VO6" s="4"/>
      <c r="VP6" s="4"/>
      <c r="VQ6" s="4"/>
      <c r="VR6" s="5"/>
      <c r="VS6" s="6"/>
      <c r="VT6" s="4"/>
      <c r="VU6" s="4"/>
      <c r="VV6" s="4"/>
      <c r="VW6" s="4"/>
      <c r="VX6" s="4"/>
      <c r="VY6" s="5"/>
      <c r="VZ6" s="6"/>
      <c r="WA6" s="4"/>
      <c r="WB6" s="4"/>
      <c r="WC6" s="4"/>
      <c r="WD6" s="4"/>
      <c r="WE6" s="4"/>
      <c r="WF6" s="5"/>
      <c r="WG6" s="6"/>
      <c r="WH6" s="4"/>
      <c r="WI6" s="4"/>
      <c r="WJ6" s="4"/>
      <c r="WK6" s="4"/>
      <c r="WL6" s="4"/>
      <c r="WM6" s="5"/>
      <c r="WN6" s="6"/>
      <c r="WO6" s="4"/>
      <c r="WP6" s="4"/>
      <c r="WQ6" s="4"/>
      <c r="WR6" s="4"/>
      <c r="WS6" s="4"/>
      <c r="WT6" s="5"/>
      <c r="WU6" s="6"/>
      <c r="WV6" s="4"/>
      <c r="WW6" s="4"/>
      <c r="WX6" s="4"/>
      <c r="WY6" s="4"/>
      <c r="WZ6" s="4"/>
      <c r="XA6" s="5"/>
      <c r="XB6" s="6"/>
      <c r="XC6" s="4"/>
      <c r="XD6" s="4"/>
      <c r="XE6" s="4"/>
      <c r="XF6" s="4"/>
      <c r="XG6" s="4"/>
      <c r="XH6" s="5"/>
      <c r="XI6" s="6"/>
      <c r="XJ6" s="4"/>
      <c r="XK6" s="4"/>
      <c r="XL6" s="4"/>
      <c r="XM6" s="4"/>
      <c r="XN6" s="4"/>
      <c r="XO6" s="5"/>
      <c r="XP6" s="6"/>
      <c r="XQ6" s="4"/>
      <c r="XR6" s="4"/>
      <c r="XS6" s="4"/>
      <c r="XT6" s="4"/>
      <c r="XU6" s="4"/>
      <c r="XV6" s="5"/>
      <c r="XW6" s="6"/>
      <c r="XX6" s="4"/>
      <c r="XY6" s="4"/>
      <c r="XZ6" s="4"/>
      <c r="YA6" s="4"/>
      <c r="YB6" s="4"/>
      <c r="YC6" s="5"/>
      <c r="YD6" s="6"/>
      <c r="YE6" s="4"/>
      <c r="YF6" s="4"/>
      <c r="YG6" s="4"/>
      <c r="YH6" s="4"/>
      <c r="YI6" s="4"/>
      <c r="YJ6" s="5"/>
      <c r="YK6" s="6"/>
      <c r="YL6" s="4"/>
      <c r="YM6" s="4"/>
      <c r="YN6" s="4"/>
      <c r="YO6" s="4"/>
      <c r="YP6" s="4"/>
      <c r="YQ6" s="5"/>
      <c r="YR6" s="6"/>
      <c r="YS6" s="4"/>
      <c r="YT6" s="4"/>
      <c r="YU6" s="4"/>
      <c r="YV6" s="4"/>
      <c r="YW6" s="4"/>
      <c r="YX6" s="5"/>
      <c r="YY6" s="6"/>
      <c r="YZ6" s="4"/>
      <c r="ZA6" s="4"/>
      <c r="ZB6" s="4"/>
      <c r="ZC6" s="4"/>
      <c r="ZD6" s="4"/>
      <c r="ZE6" s="5"/>
      <c r="ZF6" s="6"/>
      <c r="ZG6" s="4"/>
      <c r="ZH6" s="4"/>
      <c r="ZI6" s="4"/>
      <c r="ZJ6" s="4"/>
      <c r="ZK6" s="4"/>
      <c r="ZL6" s="5"/>
      <c r="ZM6" s="6"/>
      <c r="ZN6" s="4"/>
      <c r="ZO6" s="4"/>
      <c r="ZP6" s="4"/>
      <c r="ZQ6" s="4"/>
      <c r="ZR6" s="4"/>
      <c r="ZS6" s="5"/>
      <c r="ZT6" s="6"/>
      <c r="ZU6" s="4"/>
      <c r="ZV6" s="4"/>
      <c r="ZW6" s="4"/>
      <c r="ZX6" s="4"/>
      <c r="ZY6" s="4"/>
      <c r="ZZ6" s="5"/>
      <c r="AAA6" s="6"/>
      <c r="AAB6" s="4"/>
      <c r="AAC6" s="4"/>
      <c r="AAD6" s="4"/>
      <c r="AAE6" s="4"/>
      <c r="AAF6" s="4"/>
      <c r="AAG6" s="5"/>
      <c r="AAH6" s="6"/>
      <c r="AAI6" s="4"/>
      <c r="AAJ6" s="4"/>
      <c r="AAK6" s="4"/>
      <c r="AAL6" s="4"/>
      <c r="AAM6" s="4"/>
      <c r="AAN6" s="5"/>
      <c r="AAO6" s="6"/>
      <c r="AAP6" s="4"/>
      <c r="AAQ6" s="4"/>
      <c r="AAR6" s="4"/>
      <c r="AAS6" s="4"/>
      <c r="AAT6" s="4"/>
      <c r="AAU6" s="5"/>
      <c r="AAV6" s="6"/>
      <c r="AAW6" s="4"/>
      <c r="AAX6" s="4"/>
      <c r="AAY6" s="4"/>
      <c r="AAZ6" s="4"/>
      <c r="ABA6" s="4"/>
      <c r="ABB6" s="5"/>
      <c r="ABC6" s="6"/>
      <c r="ABD6" s="4"/>
      <c r="ABE6" s="4"/>
      <c r="ABF6" s="4"/>
      <c r="ABG6" s="4"/>
      <c r="ABH6" s="4"/>
      <c r="ABI6" s="5"/>
      <c r="ABJ6" s="6"/>
      <c r="ABK6" s="4"/>
      <c r="ABL6" s="4"/>
      <c r="ABM6" s="4"/>
      <c r="ABN6" s="4"/>
      <c r="ABO6" s="4"/>
      <c r="ABP6" s="5"/>
      <c r="ABQ6" s="6"/>
      <c r="ABR6" s="4"/>
      <c r="ABS6" s="4"/>
      <c r="ABT6" s="4"/>
      <c r="ABU6" s="4"/>
      <c r="ABV6" s="4"/>
      <c r="ABW6" s="5"/>
      <c r="ABX6" s="6"/>
      <c r="ABY6" s="4"/>
      <c r="ABZ6" s="4"/>
      <c r="ACA6" s="4"/>
      <c r="ACB6" s="4"/>
      <c r="ACC6" s="4"/>
      <c r="ACD6" s="5"/>
      <c r="ACE6" s="6"/>
      <c r="ACF6" s="4"/>
      <c r="ACG6" s="4"/>
      <c r="ACH6" s="4"/>
      <c r="ACI6" s="4"/>
      <c r="ACJ6" s="4"/>
      <c r="ACK6" s="5"/>
      <c r="ACL6" s="6"/>
      <c r="ACM6" s="4"/>
      <c r="ACN6" s="4"/>
      <c r="ACO6" s="4"/>
      <c r="ACP6" s="4"/>
      <c r="ACQ6" s="4"/>
      <c r="ACR6" s="5"/>
      <c r="ACS6" s="6"/>
      <c r="ACT6" s="4"/>
      <c r="ACU6" s="4"/>
      <c r="ACV6" s="4"/>
      <c r="ACW6" s="4"/>
      <c r="ACX6" s="4"/>
      <c r="ACY6" s="5"/>
    </row>
    <row r="7" spans="1:839" x14ac:dyDescent="0.25">
      <c r="B7" s="43">
        <v>85002156</v>
      </c>
      <c r="C7">
        <v>78</v>
      </c>
      <c r="D7" t="s">
        <v>2121</v>
      </c>
      <c r="F7" s="23">
        <v>1</v>
      </c>
      <c r="J7" s="12"/>
      <c r="K7" s="12"/>
      <c r="L7" s="12"/>
      <c r="M7">
        <v>1</v>
      </c>
      <c r="LL7" s="6"/>
      <c r="LM7" s="4"/>
      <c r="LN7" s="4"/>
      <c r="LO7" s="4"/>
      <c r="LP7" s="4"/>
      <c r="LQ7" s="4"/>
      <c r="LR7" s="5"/>
      <c r="LS7" s="6"/>
      <c r="LT7" s="4"/>
      <c r="LU7" s="4"/>
      <c r="LV7" s="4"/>
      <c r="LW7" s="4"/>
      <c r="LX7" s="4"/>
      <c r="LY7" s="5"/>
      <c r="LZ7" s="6" t="s">
        <v>3194</v>
      </c>
      <c r="MA7" s="7" t="s">
        <v>2375</v>
      </c>
      <c r="MB7" s="7" t="s">
        <v>1227</v>
      </c>
      <c r="MC7" s="7" t="s">
        <v>2149</v>
      </c>
      <c r="MD7" s="9">
        <v>31010</v>
      </c>
      <c r="ME7" s="9">
        <v>31012</v>
      </c>
      <c r="MF7" s="9"/>
      <c r="MG7" s="5"/>
      <c r="MH7" s="6"/>
      <c r="MI7" s="4"/>
      <c r="MJ7" s="4"/>
      <c r="MK7" s="4"/>
      <c r="ML7" s="4"/>
      <c r="MM7" s="4"/>
      <c r="MN7" s="5"/>
      <c r="MO7" s="6"/>
      <c r="MP7" s="4"/>
      <c r="MQ7" s="4"/>
      <c r="MR7" s="4"/>
      <c r="MS7" s="4"/>
      <c r="MT7" s="4"/>
      <c r="MU7" s="5"/>
      <c r="MV7" s="6"/>
      <c r="MW7" s="4"/>
      <c r="MX7" s="4"/>
      <c r="MY7" s="4"/>
      <c r="MZ7" s="4"/>
      <c r="NA7" s="4"/>
      <c r="NB7" s="5"/>
      <c r="NC7" s="6"/>
      <c r="ND7" s="4"/>
      <c r="NE7" s="4"/>
      <c r="NF7" s="4"/>
      <c r="NG7" s="4"/>
      <c r="NH7" s="4"/>
      <c r="NI7" s="5"/>
      <c r="NJ7" s="6"/>
      <c r="NK7" s="4"/>
      <c r="NL7" s="4"/>
      <c r="NM7" s="4"/>
      <c r="NN7" s="4"/>
      <c r="NO7" s="4"/>
      <c r="NP7" s="5"/>
      <c r="NQ7" s="6"/>
      <c r="NR7" s="4"/>
      <c r="NS7" s="4"/>
      <c r="NT7" s="4"/>
      <c r="NU7" s="4"/>
      <c r="NV7" s="4"/>
      <c r="NW7" s="5"/>
      <c r="NX7" s="6"/>
      <c r="NY7" s="4"/>
      <c r="NZ7" s="4"/>
      <c r="OA7" s="4"/>
      <c r="OB7" s="4"/>
      <c r="OC7" s="4"/>
      <c r="OD7" s="5"/>
      <c r="OE7" s="6"/>
      <c r="OF7" s="4"/>
      <c r="OG7" s="4"/>
      <c r="OH7" s="4"/>
      <c r="OI7" s="4"/>
      <c r="OJ7" s="4"/>
      <c r="OK7" s="5"/>
      <c r="OL7" s="6"/>
      <c r="OM7" s="4"/>
      <c r="ON7" s="4"/>
      <c r="OO7" s="4"/>
      <c r="OP7" s="4"/>
      <c r="OQ7" s="4"/>
      <c r="OR7" s="5"/>
      <c r="OS7" s="6"/>
      <c r="OT7" s="4"/>
      <c r="OU7" s="4"/>
      <c r="OV7" s="4"/>
      <c r="OW7" s="4"/>
      <c r="OX7" s="4"/>
      <c r="OY7" s="5"/>
      <c r="OZ7" s="6"/>
      <c r="PA7" s="4"/>
      <c r="PB7" s="4"/>
      <c r="PC7" s="4"/>
      <c r="PD7" s="4"/>
      <c r="PE7" s="4"/>
      <c r="PF7" s="5"/>
      <c r="PG7" s="6"/>
      <c r="PH7" s="4"/>
      <c r="PI7" s="4"/>
      <c r="PJ7" s="4"/>
      <c r="PK7" s="4"/>
      <c r="PL7" s="4"/>
      <c r="PM7" s="5"/>
      <c r="PN7" s="6"/>
      <c r="PO7" s="4"/>
      <c r="PP7" s="4"/>
      <c r="PQ7" s="4"/>
      <c r="PR7" s="4"/>
      <c r="PS7" s="4"/>
      <c r="PT7" s="5"/>
      <c r="PU7" s="6"/>
      <c r="PV7" s="4"/>
      <c r="PW7" s="4"/>
      <c r="PX7" s="4"/>
      <c r="PY7" s="4"/>
      <c r="PZ7" s="4"/>
      <c r="QA7" s="5"/>
      <c r="QB7" s="6"/>
      <c r="QC7" s="4"/>
      <c r="QD7" s="4"/>
      <c r="QE7" s="4"/>
      <c r="QF7" s="4"/>
      <c r="QG7" s="4"/>
      <c r="QH7" s="5"/>
      <c r="QI7" s="6"/>
      <c r="QJ7" s="4"/>
      <c r="QK7" s="4"/>
      <c r="QL7" s="4"/>
      <c r="QM7" s="4"/>
      <c r="QN7" s="4"/>
      <c r="QO7" s="5"/>
      <c r="QP7" s="6"/>
      <c r="QQ7" s="4"/>
      <c r="QR7" s="4"/>
      <c r="QS7" s="4"/>
      <c r="QT7" s="4"/>
      <c r="QU7" s="4"/>
      <c r="QV7" s="5"/>
      <c r="QW7" s="6"/>
      <c r="QX7" s="4"/>
      <c r="QY7" s="4"/>
      <c r="QZ7" s="4"/>
      <c r="RA7" s="4"/>
      <c r="RB7" s="4"/>
      <c r="RC7" s="5"/>
      <c r="RD7" s="6"/>
      <c r="RE7" s="4"/>
      <c r="RF7" s="4"/>
      <c r="RG7" s="4"/>
      <c r="RH7" s="4"/>
      <c r="RI7" s="4"/>
      <c r="RJ7" s="5"/>
      <c r="RK7" s="6"/>
      <c r="RL7" s="4"/>
      <c r="RM7" s="4"/>
      <c r="RN7" s="4"/>
      <c r="RO7" s="4"/>
      <c r="RP7" s="4"/>
      <c r="RQ7" s="5"/>
      <c r="RR7" s="6"/>
      <c r="RS7" s="4"/>
      <c r="RT7" s="4"/>
      <c r="RU7" s="4"/>
      <c r="RV7" s="4"/>
      <c r="RW7" s="4"/>
      <c r="RX7" s="5"/>
      <c r="RY7" s="6"/>
      <c r="RZ7" s="4"/>
      <c r="SA7" s="4"/>
      <c r="SB7" s="4"/>
      <c r="SC7" s="4"/>
      <c r="SD7" s="4"/>
      <c r="SE7" s="5"/>
      <c r="SF7" s="6"/>
      <c r="SG7" s="4"/>
      <c r="SH7" s="4"/>
      <c r="SI7" s="4"/>
      <c r="SJ7" s="4"/>
      <c r="SK7" s="4"/>
      <c r="SL7" s="5"/>
      <c r="SM7" s="6"/>
      <c r="SN7" s="4"/>
      <c r="SO7" s="4"/>
      <c r="SP7" s="4"/>
      <c r="SQ7" s="4"/>
      <c r="SR7" s="4"/>
      <c r="SS7" s="5"/>
      <c r="ST7" s="6"/>
      <c r="SU7" s="4"/>
      <c r="SV7" s="4"/>
      <c r="SW7" s="4"/>
      <c r="SX7" s="4"/>
      <c r="SY7" s="4"/>
      <c r="SZ7" s="5"/>
      <c r="TA7" s="6"/>
      <c r="TB7" s="4"/>
      <c r="TC7" s="4"/>
      <c r="TD7" s="4"/>
      <c r="TE7" s="4"/>
      <c r="TF7" s="4"/>
      <c r="TG7" s="5"/>
      <c r="TH7" s="6"/>
      <c r="TI7" s="4"/>
      <c r="TJ7" s="4"/>
      <c r="TK7" s="4"/>
      <c r="TL7" s="4"/>
      <c r="TM7" s="4"/>
      <c r="TN7" s="5"/>
      <c r="TO7" s="6"/>
      <c r="TP7" s="4"/>
      <c r="TQ7" s="4"/>
      <c r="TR7" s="4"/>
      <c r="TS7" s="4"/>
      <c r="TT7" s="4"/>
      <c r="TU7" s="5"/>
      <c r="TV7" s="6"/>
      <c r="TW7" s="4"/>
      <c r="TX7" s="4"/>
      <c r="TY7" s="4"/>
      <c r="TZ7" s="4"/>
      <c r="UA7" s="4"/>
      <c r="UB7" s="5"/>
      <c r="UC7" s="6" t="s">
        <v>1971</v>
      </c>
      <c r="UD7" s="7" t="s">
        <v>1972</v>
      </c>
      <c r="UE7" s="7" t="s">
        <v>1228</v>
      </c>
      <c r="UF7" s="7" t="s">
        <v>2661</v>
      </c>
      <c r="UG7" s="9">
        <v>31009</v>
      </c>
      <c r="UH7" s="9">
        <v>31023</v>
      </c>
      <c r="UI7" s="5"/>
      <c r="UJ7" s="6"/>
      <c r="UK7" s="4"/>
      <c r="UL7" s="4"/>
      <c r="UM7" s="4"/>
      <c r="UN7" s="4"/>
      <c r="UO7" s="4"/>
      <c r="UP7" s="5"/>
      <c r="UQ7" s="6"/>
      <c r="UR7" s="4"/>
      <c r="US7" s="4"/>
      <c r="UT7" s="4"/>
      <c r="UU7" s="4"/>
      <c r="UV7" s="4"/>
      <c r="UW7" s="5"/>
      <c r="UX7" s="6" t="s">
        <v>1229</v>
      </c>
      <c r="UY7" s="7" t="s">
        <v>1230</v>
      </c>
      <c r="UZ7" s="7" t="s">
        <v>2470</v>
      </c>
      <c r="VA7" s="7" t="s">
        <v>1595</v>
      </c>
      <c r="VB7" s="9">
        <v>31009</v>
      </c>
      <c r="VC7" s="9">
        <v>31014</v>
      </c>
      <c r="VD7" s="5"/>
      <c r="VE7" s="6"/>
      <c r="VF7" s="4"/>
      <c r="VG7" s="4"/>
      <c r="VH7" s="4"/>
      <c r="VI7" s="4"/>
      <c r="VJ7" s="4"/>
      <c r="VK7" s="5"/>
      <c r="VL7" s="6"/>
      <c r="VM7" s="4"/>
      <c r="VN7" s="4"/>
      <c r="VO7" s="4"/>
      <c r="VP7" s="4"/>
      <c r="VQ7" s="4"/>
      <c r="VR7" s="5"/>
      <c r="VS7" s="6"/>
      <c r="VT7" s="4"/>
      <c r="VU7" s="4"/>
      <c r="VV7" s="4"/>
      <c r="VW7" s="4"/>
      <c r="VX7" s="4"/>
      <c r="VY7" s="5"/>
      <c r="VZ7" s="6"/>
      <c r="WA7" s="4"/>
      <c r="WB7" s="4"/>
      <c r="WC7" s="4"/>
      <c r="WD7" s="4"/>
      <c r="WE7" s="4"/>
      <c r="WF7" s="5"/>
      <c r="WG7" s="6"/>
      <c r="WH7" s="4"/>
      <c r="WI7" s="4"/>
      <c r="WJ7" s="4"/>
      <c r="WK7" s="4"/>
      <c r="WL7" s="4"/>
      <c r="WM7" s="5"/>
      <c r="WN7" s="6"/>
      <c r="WO7" s="4"/>
      <c r="WP7" s="4"/>
      <c r="WQ7" s="4"/>
      <c r="WR7" s="4"/>
      <c r="WS7" s="4"/>
      <c r="WT7" s="5"/>
      <c r="WU7" s="6"/>
      <c r="WV7" s="4"/>
      <c r="WW7" s="4"/>
      <c r="WX7" s="4"/>
      <c r="WY7" s="4"/>
      <c r="WZ7" s="4"/>
      <c r="XA7" s="5"/>
      <c r="XB7" s="6"/>
      <c r="XC7" s="4"/>
      <c r="XD7" s="4"/>
      <c r="XE7" s="4"/>
      <c r="XF7" s="4"/>
      <c r="XG7" s="4"/>
      <c r="XH7" s="5"/>
      <c r="XI7" s="6"/>
      <c r="XJ7" s="4"/>
      <c r="XK7" s="4"/>
      <c r="XL7" s="4"/>
      <c r="XM7" s="4"/>
      <c r="XN7" s="4"/>
      <c r="XO7" s="5"/>
      <c r="XP7" s="6"/>
      <c r="XQ7" s="4"/>
      <c r="XR7" s="4"/>
      <c r="XS7" s="4"/>
      <c r="XT7" s="4"/>
      <c r="XU7" s="4"/>
      <c r="XV7" s="5"/>
      <c r="XW7" s="6"/>
      <c r="XX7" s="4"/>
      <c r="XY7" s="4"/>
      <c r="XZ7" s="4"/>
      <c r="YA7" s="4"/>
      <c r="YB7" s="4"/>
      <c r="YC7" s="5"/>
      <c r="YD7" s="6"/>
      <c r="YE7" s="4"/>
      <c r="YF7" s="4"/>
      <c r="YG7" s="4"/>
      <c r="YH7" s="4"/>
      <c r="YI7" s="4"/>
      <c r="YJ7" s="5"/>
      <c r="YK7" s="6"/>
      <c r="YL7" s="4"/>
      <c r="YM7" s="4"/>
      <c r="YN7" s="4"/>
      <c r="YO7" s="4"/>
      <c r="YP7" s="4"/>
      <c r="YQ7" s="5"/>
      <c r="YR7" s="6"/>
      <c r="YS7" s="4"/>
      <c r="YT7" s="4"/>
      <c r="YU7" s="4"/>
      <c r="YV7" s="4"/>
      <c r="YW7" s="4"/>
      <c r="YX7" s="5"/>
      <c r="YY7" s="6"/>
      <c r="YZ7" s="4"/>
      <c r="ZA7" s="4"/>
      <c r="ZB7" s="4"/>
      <c r="ZC7" s="4"/>
      <c r="ZD7" s="4"/>
      <c r="ZE7" s="5"/>
      <c r="ZF7" s="6"/>
      <c r="ZG7" s="4"/>
      <c r="ZH7" s="4"/>
      <c r="ZI7" s="4"/>
      <c r="ZJ7" s="4"/>
      <c r="ZK7" s="4"/>
      <c r="ZL7" s="5"/>
      <c r="ZM7" s="6"/>
      <c r="ZN7" s="4"/>
      <c r="ZO7" s="4"/>
      <c r="ZP7" s="4"/>
      <c r="ZQ7" s="4"/>
      <c r="ZR7" s="4"/>
      <c r="ZS7" s="5"/>
      <c r="ZT7" s="6"/>
      <c r="ZU7" s="4"/>
      <c r="ZV7" s="4"/>
      <c r="ZW7" s="4"/>
      <c r="ZX7" s="4"/>
      <c r="ZY7" s="4"/>
      <c r="ZZ7" s="5"/>
      <c r="AAA7" s="6"/>
      <c r="AAB7" s="4"/>
      <c r="AAC7" s="4"/>
      <c r="AAD7" s="4"/>
      <c r="AAE7" s="4"/>
      <c r="AAF7" s="4"/>
      <c r="AAG7" s="5"/>
      <c r="AAH7" s="6"/>
      <c r="AAI7" s="4"/>
      <c r="AAJ7" s="4"/>
      <c r="AAK7" s="4"/>
      <c r="AAL7" s="4"/>
      <c r="AAM7" s="4"/>
      <c r="AAN7" s="5"/>
      <c r="AAO7" s="6"/>
      <c r="AAP7" s="4"/>
      <c r="AAQ7" s="4"/>
      <c r="AAR7" s="4"/>
      <c r="AAS7" s="4"/>
      <c r="AAT7" s="4"/>
      <c r="AAU7" s="5"/>
      <c r="AAV7" s="6"/>
      <c r="AAW7" s="4"/>
      <c r="AAX7" s="4"/>
      <c r="AAY7" s="4"/>
      <c r="AAZ7" s="4"/>
      <c r="ABA7" s="4"/>
      <c r="ABB7" s="5"/>
      <c r="ABC7" s="6"/>
      <c r="ABD7" s="4"/>
      <c r="ABE7" s="4"/>
      <c r="ABF7" s="4"/>
      <c r="ABG7" s="4"/>
      <c r="ABH7" s="4"/>
      <c r="ABI7" s="5"/>
      <c r="ABJ7" s="6"/>
      <c r="ABK7" s="4"/>
      <c r="ABL7" s="4"/>
      <c r="ABM7" s="4"/>
      <c r="ABN7" s="4"/>
      <c r="ABO7" s="4"/>
      <c r="ABP7" s="5"/>
      <c r="ABQ7" s="6" t="s">
        <v>2772</v>
      </c>
      <c r="ABR7" s="7" t="s">
        <v>2939</v>
      </c>
      <c r="ABS7" s="7" t="s">
        <v>3590</v>
      </c>
      <c r="ABT7" s="7" t="s">
        <v>2149</v>
      </c>
      <c r="ABU7" s="9">
        <v>31010</v>
      </c>
      <c r="ABV7" s="9">
        <v>31012</v>
      </c>
      <c r="ABW7" s="5"/>
      <c r="ABX7" s="6"/>
      <c r="ABY7" s="4"/>
      <c r="ABZ7" s="4"/>
      <c r="ACA7" s="4"/>
      <c r="ACB7" s="4"/>
      <c r="ACC7" s="4"/>
      <c r="ACD7" s="5"/>
      <c r="ACE7" s="6"/>
      <c r="ACF7" s="4"/>
      <c r="ACG7" s="4"/>
      <c r="ACH7" s="4"/>
      <c r="ACI7" s="4"/>
      <c r="ACJ7" s="4"/>
      <c r="ACK7" s="5"/>
      <c r="ACL7" s="6" t="s">
        <v>1231</v>
      </c>
      <c r="ACM7" s="7" t="s">
        <v>2530</v>
      </c>
      <c r="ACN7" s="7" t="s">
        <v>2987</v>
      </c>
      <c r="ACO7" s="7" t="s">
        <v>2923</v>
      </c>
      <c r="ACP7" s="9">
        <v>31009</v>
      </c>
      <c r="ACQ7" s="9">
        <v>31015</v>
      </c>
      <c r="ACR7" s="5"/>
      <c r="ACS7" s="6"/>
      <c r="ACT7" s="4"/>
      <c r="ACU7" s="4"/>
      <c r="ACV7" s="4"/>
      <c r="ACW7" s="4"/>
      <c r="ACX7" s="4"/>
      <c r="ACY7" s="5"/>
    </row>
    <row r="8" spans="1:839" x14ac:dyDescent="0.25">
      <c r="B8" s="30">
        <v>86007764</v>
      </c>
      <c r="C8">
        <v>44</v>
      </c>
      <c r="D8" t="s">
        <v>3586</v>
      </c>
      <c r="F8" s="23" t="s">
        <v>1787</v>
      </c>
      <c r="I8">
        <v>1</v>
      </c>
      <c r="J8" s="12"/>
      <c r="K8" s="12"/>
      <c r="L8" s="12"/>
      <c r="LL8" s="6"/>
      <c r="LM8" s="4"/>
      <c r="LN8" s="4"/>
      <c r="LO8" s="4"/>
      <c r="LP8" s="4"/>
      <c r="LQ8" s="4"/>
      <c r="LR8" s="5"/>
      <c r="LS8" s="6"/>
      <c r="LT8" s="4"/>
      <c r="LU8" s="4"/>
      <c r="LV8" s="4"/>
      <c r="LW8" s="4"/>
      <c r="LX8" s="4"/>
      <c r="LY8" s="5"/>
      <c r="LZ8" s="6" t="s">
        <v>1805</v>
      </c>
      <c r="MA8" s="7" t="s">
        <v>1805</v>
      </c>
      <c r="MB8" s="4"/>
      <c r="MC8" s="4"/>
      <c r="MD8" s="8">
        <v>30847</v>
      </c>
      <c r="ME8" s="8">
        <v>30857</v>
      </c>
      <c r="MF8" s="8"/>
      <c r="MG8" s="5"/>
      <c r="MH8" s="6"/>
      <c r="MI8" s="4"/>
      <c r="MJ8" s="4"/>
      <c r="MK8" s="4"/>
      <c r="ML8" s="4"/>
      <c r="MM8" s="4"/>
      <c r="MN8" s="5"/>
      <c r="MO8" s="6"/>
      <c r="MP8" s="4"/>
      <c r="MQ8" s="4"/>
      <c r="MR8" s="4"/>
      <c r="MS8" s="4"/>
      <c r="MT8" s="4"/>
      <c r="MU8" s="5"/>
      <c r="MV8" s="6"/>
      <c r="MW8" s="4"/>
      <c r="MX8" s="4"/>
      <c r="MY8" s="4"/>
      <c r="MZ8" s="4"/>
      <c r="NA8" s="4"/>
      <c r="NB8" s="5"/>
      <c r="NC8" s="6" t="s">
        <v>2241</v>
      </c>
      <c r="ND8" s="4" t="s">
        <v>3972</v>
      </c>
      <c r="NE8" s="4" t="s">
        <v>2242</v>
      </c>
      <c r="NF8" s="7" t="s">
        <v>2243</v>
      </c>
      <c r="NG8" s="9">
        <v>30857</v>
      </c>
      <c r="NH8" s="9">
        <v>30861</v>
      </c>
      <c r="NI8" s="5"/>
      <c r="NJ8" s="6"/>
      <c r="NK8" s="4"/>
      <c r="NL8" s="4"/>
      <c r="NM8" s="4"/>
      <c r="NN8" s="4"/>
      <c r="NO8" s="4"/>
      <c r="NP8" s="5"/>
      <c r="NQ8" s="6"/>
      <c r="NR8" s="4"/>
      <c r="NS8" s="4"/>
      <c r="NT8" s="4"/>
      <c r="NU8" s="4"/>
      <c r="NV8" s="4"/>
      <c r="NW8" s="5"/>
      <c r="NX8" s="6"/>
      <c r="NY8" s="4"/>
      <c r="NZ8" s="4"/>
      <c r="OA8" s="4"/>
      <c r="OB8" s="4"/>
      <c r="OC8" s="4"/>
      <c r="OD8" s="5"/>
      <c r="OE8" s="6"/>
      <c r="OF8" s="4"/>
      <c r="OG8" s="4"/>
      <c r="OH8" s="4"/>
      <c r="OI8" s="4"/>
      <c r="OJ8" s="4"/>
      <c r="OK8" s="5"/>
      <c r="OL8" s="6"/>
      <c r="OM8" s="4"/>
      <c r="ON8" s="4"/>
      <c r="OO8" s="4"/>
      <c r="OP8" s="4"/>
      <c r="OQ8" s="4"/>
      <c r="OR8" s="5"/>
      <c r="OS8" s="6"/>
      <c r="OT8" s="4"/>
      <c r="OU8" s="4"/>
      <c r="OV8" s="4"/>
      <c r="OW8" s="4"/>
      <c r="OX8" s="4"/>
      <c r="OY8" s="5"/>
      <c r="OZ8" s="6"/>
      <c r="PA8" s="4"/>
      <c r="PB8" s="4"/>
      <c r="PC8" s="4"/>
      <c r="PD8" s="4"/>
      <c r="PE8" s="4"/>
      <c r="PF8" s="5"/>
      <c r="PG8" s="6"/>
      <c r="PH8" s="4"/>
      <c r="PI8" s="4"/>
      <c r="PJ8" s="4"/>
      <c r="PK8" s="4"/>
      <c r="PL8" s="4"/>
      <c r="PM8" s="5"/>
      <c r="PN8" s="6"/>
      <c r="PO8" s="4"/>
      <c r="PP8" s="4"/>
      <c r="PQ8" s="4"/>
      <c r="PR8" s="4"/>
      <c r="PS8" s="4"/>
      <c r="PT8" s="5"/>
      <c r="PU8" s="6"/>
      <c r="PV8" s="4"/>
      <c r="PW8" s="4"/>
      <c r="PX8" s="4"/>
      <c r="PY8" s="4"/>
      <c r="PZ8" s="4"/>
      <c r="QA8" s="5"/>
      <c r="QB8" s="6"/>
      <c r="QC8" s="4"/>
      <c r="QD8" s="4"/>
      <c r="QE8" s="4"/>
      <c r="QF8" s="4"/>
      <c r="QG8" s="4"/>
      <c r="QH8" s="5"/>
      <c r="QI8" s="6"/>
      <c r="QJ8" s="4"/>
      <c r="QK8" s="4"/>
      <c r="QL8" s="4"/>
      <c r="QM8" s="4"/>
      <c r="QN8" s="4"/>
      <c r="QO8" s="5"/>
      <c r="QP8" s="6"/>
      <c r="QQ8" s="4"/>
      <c r="QR8" s="4"/>
      <c r="QS8" s="4"/>
      <c r="QT8" s="4"/>
      <c r="QU8" s="4"/>
      <c r="QV8" s="5"/>
      <c r="QW8" s="6"/>
      <c r="QX8" s="4"/>
      <c r="QY8" s="4"/>
      <c r="QZ8" s="4"/>
      <c r="RA8" s="4"/>
      <c r="RB8" s="4"/>
      <c r="RC8" s="5"/>
      <c r="RD8" s="6"/>
      <c r="RE8" s="4"/>
      <c r="RF8" s="4"/>
      <c r="RG8" s="4"/>
      <c r="RH8" s="4"/>
      <c r="RI8" s="4"/>
      <c r="RJ8" s="5"/>
      <c r="RK8" s="6"/>
      <c r="RL8" s="4"/>
      <c r="RM8" s="4"/>
      <c r="RN8" s="4"/>
      <c r="RO8" s="4"/>
      <c r="RP8" s="4"/>
      <c r="RQ8" s="5"/>
      <c r="RR8" s="6"/>
      <c r="RS8" s="4"/>
      <c r="RT8" s="4"/>
      <c r="RU8" s="4"/>
      <c r="RV8" s="4"/>
      <c r="RW8" s="4"/>
      <c r="RX8" s="5"/>
      <c r="RY8" s="6"/>
      <c r="RZ8" s="4"/>
      <c r="SA8" s="4"/>
      <c r="SB8" s="4"/>
      <c r="SC8" s="4"/>
      <c r="SD8" s="4"/>
      <c r="SE8" s="5"/>
      <c r="SF8" s="6"/>
      <c r="SG8" s="4"/>
      <c r="SH8" s="4"/>
      <c r="SI8" s="4"/>
      <c r="SJ8" s="4"/>
      <c r="SK8" s="4"/>
      <c r="SL8" s="5"/>
      <c r="SM8" s="6"/>
      <c r="SN8" s="4"/>
      <c r="SO8" s="4"/>
      <c r="SP8" s="4"/>
      <c r="SQ8" s="4"/>
      <c r="SR8" s="4"/>
      <c r="SS8" s="5"/>
      <c r="ST8" s="6"/>
      <c r="SU8" s="4"/>
      <c r="SV8" s="4"/>
      <c r="SW8" s="4"/>
      <c r="SX8" s="4"/>
      <c r="SY8" s="4"/>
      <c r="SZ8" s="5"/>
      <c r="TA8" s="6"/>
      <c r="TB8" s="4"/>
      <c r="TC8" s="4"/>
      <c r="TD8" s="4"/>
      <c r="TE8" s="4"/>
      <c r="TF8" s="4"/>
      <c r="TG8" s="5"/>
      <c r="TH8" s="6"/>
      <c r="TI8" s="4"/>
      <c r="TJ8" s="4"/>
      <c r="TK8" s="4"/>
      <c r="TL8" s="4"/>
      <c r="TM8" s="4"/>
      <c r="TN8" s="5"/>
      <c r="TO8" s="6"/>
      <c r="TP8" s="4"/>
      <c r="TQ8" s="4"/>
      <c r="TR8" s="4"/>
      <c r="TS8" s="4"/>
      <c r="TT8" s="4"/>
      <c r="TU8" s="5"/>
      <c r="TV8" s="6"/>
      <c r="TW8" s="4"/>
      <c r="TX8" s="4"/>
      <c r="TY8" s="4"/>
      <c r="TZ8" s="4"/>
      <c r="UA8" s="4"/>
      <c r="UB8" s="5"/>
      <c r="UC8" s="6"/>
      <c r="UD8" s="4"/>
      <c r="UE8" s="4"/>
      <c r="UF8" s="4"/>
      <c r="UG8" s="4"/>
      <c r="UH8" s="4"/>
      <c r="UI8" s="5"/>
      <c r="UJ8" s="6"/>
      <c r="UK8" s="4"/>
      <c r="UL8" s="4"/>
      <c r="UM8" s="4"/>
      <c r="UN8" s="4"/>
      <c r="UO8" s="4"/>
      <c r="UP8" s="5"/>
      <c r="UQ8" s="6"/>
      <c r="UR8" s="4"/>
      <c r="US8" s="4"/>
      <c r="UT8" s="4"/>
      <c r="UU8" s="4"/>
      <c r="UV8" s="4"/>
      <c r="UW8" s="5"/>
      <c r="UX8" s="6"/>
      <c r="UY8" s="4"/>
      <c r="UZ8" s="4"/>
      <c r="VA8" s="4"/>
      <c r="VB8" s="4"/>
      <c r="VC8" s="4"/>
      <c r="VD8" s="5"/>
      <c r="VE8" s="6"/>
      <c r="VF8" s="4"/>
      <c r="VG8" s="4"/>
      <c r="VH8" s="4"/>
      <c r="VI8" s="4"/>
      <c r="VJ8" s="4"/>
      <c r="VK8" s="5"/>
      <c r="VL8" s="6"/>
      <c r="VM8" s="4"/>
      <c r="VN8" s="4"/>
      <c r="VO8" s="4"/>
      <c r="VP8" s="4"/>
      <c r="VQ8" s="4"/>
      <c r="VR8" s="5"/>
      <c r="VS8" s="6"/>
      <c r="VT8" s="4"/>
      <c r="VU8" s="4"/>
      <c r="VV8" s="4"/>
      <c r="VW8" s="4"/>
      <c r="VX8" s="4"/>
      <c r="VY8" s="5"/>
      <c r="VZ8" s="6"/>
      <c r="WA8" s="4"/>
      <c r="WB8" s="4"/>
      <c r="WC8" s="4"/>
      <c r="WD8" s="4"/>
      <c r="WE8" s="4"/>
      <c r="WF8" s="5"/>
      <c r="WG8" s="6"/>
      <c r="WH8" s="4"/>
      <c r="WI8" s="4"/>
      <c r="WJ8" s="4"/>
      <c r="WK8" s="4"/>
      <c r="WL8" s="4"/>
      <c r="WM8" s="5"/>
      <c r="WN8" s="6"/>
      <c r="WO8" s="4"/>
      <c r="WP8" s="4"/>
      <c r="WQ8" s="4"/>
      <c r="WR8" s="4"/>
      <c r="WS8" s="4"/>
      <c r="WT8" s="5"/>
      <c r="WU8" s="6"/>
      <c r="WV8" s="4"/>
      <c r="WW8" s="4"/>
      <c r="WX8" s="4"/>
      <c r="WY8" s="4"/>
      <c r="WZ8" s="4"/>
      <c r="XA8" s="5"/>
      <c r="XB8" s="6"/>
      <c r="XC8" s="4"/>
      <c r="XD8" s="4"/>
      <c r="XE8" s="4"/>
      <c r="XF8" s="4"/>
      <c r="XG8" s="4"/>
      <c r="XH8" s="5"/>
      <c r="XI8" s="6"/>
      <c r="XJ8" s="4"/>
      <c r="XK8" s="4"/>
      <c r="XL8" s="4"/>
      <c r="XM8" s="4"/>
      <c r="XN8" s="4"/>
      <c r="XO8" s="5"/>
      <c r="XP8" s="6"/>
      <c r="XQ8" s="4"/>
      <c r="XR8" s="4"/>
      <c r="XS8" s="4"/>
      <c r="XT8" s="4"/>
      <c r="XU8" s="4"/>
      <c r="XV8" s="5"/>
      <c r="XW8" s="6"/>
      <c r="XX8" s="4"/>
      <c r="XY8" s="4"/>
      <c r="XZ8" s="4"/>
      <c r="YA8" s="4"/>
      <c r="YB8" s="4"/>
      <c r="YC8" s="5"/>
      <c r="YD8" s="6"/>
      <c r="YE8" s="4"/>
      <c r="YF8" s="4"/>
      <c r="YG8" s="4"/>
      <c r="YH8" s="4"/>
      <c r="YI8" s="4"/>
      <c r="YJ8" s="5"/>
      <c r="YK8" s="6"/>
      <c r="YL8" s="4"/>
      <c r="YM8" s="4"/>
      <c r="YN8" s="4"/>
      <c r="YO8" s="4"/>
      <c r="YP8" s="4"/>
      <c r="YQ8" s="5"/>
      <c r="YR8" s="6"/>
      <c r="YS8" s="4"/>
      <c r="YT8" s="4"/>
      <c r="YU8" s="4"/>
      <c r="YV8" s="4"/>
      <c r="YW8" s="4"/>
      <c r="YX8" s="5"/>
      <c r="YY8" s="6"/>
      <c r="YZ8" s="4"/>
      <c r="ZA8" s="4"/>
      <c r="ZB8" s="4"/>
      <c r="ZC8" s="4"/>
      <c r="ZD8" s="4"/>
      <c r="ZE8" s="5"/>
      <c r="ZF8" s="6"/>
      <c r="ZG8" s="4"/>
      <c r="ZH8" s="4"/>
      <c r="ZI8" s="4"/>
      <c r="ZJ8" s="4"/>
      <c r="ZK8" s="4"/>
      <c r="ZL8" s="5"/>
      <c r="ZM8" s="6"/>
      <c r="ZN8" s="4"/>
      <c r="ZO8" s="4"/>
      <c r="ZP8" s="4"/>
      <c r="ZQ8" s="4"/>
      <c r="ZR8" s="4"/>
      <c r="ZS8" s="5"/>
      <c r="ZT8" s="6"/>
      <c r="ZU8" s="4"/>
      <c r="ZV8" s="4"/>
      <c r="ZW8" s="4"/>
      <c r="ZX8" s="4"/>
      <c r="ZY8" s="4"/>
      <c r="ZZ8" s="5"/>
      <c r="AAA8" s="6"/>
      <c r="AAB8" s="4"/>
      <c r="AAC8" s="4"/>
      <c r="AAD8" s="4"/>
      <c r="AAE8" s="4"/>
      <c r="AAF8" s="4"/>
      <c r="AAG8" s="5"/>
      <c r="AAH8" s="6"/>
      <c r="AAI8" s="4"/>
      <c r="AAJ8" s="4"/>
      <c r="AAK8" s="4"/>
      <c r="AAL8" s="4"/>
      <c r="AAM8" s="4"/>
      <c r="AAN8" s="5"/>
      <c r="AAO8" s="6"/>
      <c r="AAP8" s="4"/>
      <c r="AAQ8" s="4"/>
      <c r="AAR8" s="4"/>
      <c r="AAS8" s="4"/>
      <c r="AAT8" s="4"/>
      <c r="AAU8" s="5"/>
      <c r="AAV8" s="6"/>
      <c r="AAW8" s="4"/>
      <c r="AAX8" s="4"/>
      <c r="AAY8" s="4"/>
      <c r="AAZ8" s="4"/>
      <c r="ABA8" s="4"/>
      <c r="ABB8" s="5"/>
      <c r="ABC8" s="6"/>
      <c r="ABD8" s="4"/>
      <c r="ABE8" s="4"/>
      <c r="ABF8" s="4"/>
      <c r="ABG8" s="4"/>
      <c r="ABH8" s="4"/>
      <c r="ABI8" s="5"/>
      <c r="ABJ8" s="6"/>
      <c r="ABK8" s="4"/>
      <c r="ABL8" s="4"/>
      <c r="ABM8" s="4"/>
      <c r="ABN8" s="4"/>
      <c r="ABO8" s="4"/>
      <c r="ABP8" s="5"/>
      <c r="ABQ8" s="6"/>
      <c r="ABR8" s="4"/>
      <c r="ABS8" s="4"/>
      <c r="ABT8" s="4"/>
      <c r="ABU8" s="4"/>
      <c r="ABV8" s="4"/>
      <c r="ABW8" s="5"/>
      <c r="ABX8" s="6"/>
      <c r="ABY8" s="4"/>
      <c r="ABZ8" s="4"/>
      <c r="ACA8" s="4"/>
      <c r="ACB8" s="4"/>
      <c r="ACC8" s="4"/>
      <c r="ACD8" s="5"/>
      <c r="ACE8" s="6"/>
      <c r="ACF8" s="4"/>
      <c r="ACG8" s="4"/>
      <c r="ACH8" s="4"/>
      <c r="ACI8" s="4"/>
      <c r="ACJ8" s="4"/>
      <c r="ACK8" s="5"/>
      <c r="ACL8" s="6"/>
      <c r="ACM8" s="4"/>
      <c r="ACN8" s="4"/>
      <c r="ACO8" s="4"/>
      <c r="ACP8" s="4"/>
      <c r="ACQ8" s="4"/>
      <c r="ACR8" s="5"/>
      <c r="ACS8" s="6"/>
      <c r="ACT8" s="4"/>
      <c r="ACU8" s="4"/>
      <c r="ACV8" s="4"/>
      <c r="ACW8" s="4"/>
      <c r="ACX8" s="4"/>
      <c r="ACY8" s="5"/>
    </row>
    <row r="9" spans="1:839" x14ac:dyDescent="0.25">
      <c r="B9" s="30"/>
      <c r="J9" s="12"/>
      <c r="K9" s="12"/>
      <c r="L9" s="12"/>
      <c r="LL9" s="6"/>
      <c r="LM9" s="4"/>
      <c r="LN9" s="4"/>
      <c r="LO9" s="4"/>
      <c r="LP9" s="4"/>
      <c r="LQ9" s="4"/>
      <c r="LR9" s="5"/>
      <c r="LS9" s="6"/>
      <c r="LT9" s="4"/>
      <c r="LU9" s="4"/>
      <c r="LV9" s="4"/>
      <c r="LW9" s="4"/>
      <c r="LX9" s="4"/>
      <c r="LY9" s="5"/>
      <c r="LZ9" s="6" t="s">
        <v>1807</v>
      </c>
      <c r="MA9" s="7" t="s">
        <v>1808</v>
      </c>
      <c r="MB9" s="7" t="s">
        <v>1809</v>
      </c>
      <c r="MC9" s="7" t="s">
        <v>1810</v>
      </c>
      <c r="MD9" s="9">
        <v>30847</v>
      </c>
      <c r="ME9" s="9">
        <v>30857</v>
      </c>
      <c r="MF9" s="9"/>
      <c r="MG9" s="5"/>
      <c r="MH9" s="6"/>
      <c r="MI9" s="4"/>
      <c r="MJ9" s="4"/>
      <c r="MK9" s="4"/>
      <c r="ML9" s="4"/>
      <c r="MM9" s="4"/>
      <c r="MN9" s="5"/>
      <c r="MO9" s="6"/>
      <c r="MP9" s="4"/>
      <c r="MQ9" s="4"/>
      <c r="MR9" s="4"/>
      <c r="MS9" s="4"/>
      <c r="MT9" s="4"/>
      <c r="MU9" s="5"/>
      <c r="MV9" s="6"/>
      <c r="MW9" s="4"/>
      <c r="MX9" s="4"/>
      <c r="MY9" s="4"/>
      <c r="MZ9" s="4"/>
      <c r="NA9" s="4"/>
      <c r="NB9" s="5"/>
      <c r="NC9" s="6"/>
      <c r="ND9" s="4"/>
      <c r="NE9" s="4"/>
      <c r="NF9" s="4"/>
      <c r="NG9" s="4"/>
      <c r="NH9" s="4"/>
      <c r="NI9" s="5"/>
      <c r="NJ9" s="6"/>
      <c r="NK9" s="4"/>
      <c r="NL9" s="4"/>
      <c r="NM9" s="4"/>
      <c r="NN9" s="4"/>
      <c r="NO9" s="4"/>
      <c r="NP9" s="5"/>
      <c r="NQ9" s="6"/>
      <c r="NR9" s="4"/>
      <c r="NS9" s="4"/>
      <c r="NT9" s="4"/>
      <c r="NU9" s="4"/>
      <c r="NV9" s="4"/>
      <c r="NW9" s="5"/>
      <c r="NX9" s="6"/>
      <c r="NY9" s="4"/>
      <c r="NZ9" s="4"/>
      <c r="OA9" s="4"/>
      <c r="OB9" s="4"/>
      <c r="OC9" s="4"/>
      <c r="OD9" s="5"/>
      <c r="OE9" s="6"/>
      <c r="OF9" s="4"/>
      <c r="OG9" s="4"/>
      <c r="OH9" s="4"/>
      <c r="OI9" s="4"/>
      <c r="OJ9" s="4"/>
      <c r="OK9" s="5"/>
      <c r="OL9" s="6"/>
      <c r="OM9" s="4"/>
      <c r="ON9" s="4"/>
      <c r="OO9" s="4"/>
      <c r="OP9" s="4"/>
      <c r="OQ9" s="4"/>
      <c r="OR9" s="5"/>
      <c r="OS9" s="6"/>
      <c r="OT9" s="4"/>
      <c r="OU9" s="4"/>
      <c r="OV9" s="4"/>
      <c r="OW9" s="4"/>
      <c r="OX9" s="4"/>
      <c r="OY9" s="5"/>
      <c r="OZ9" s="6"/>
      <c r="PA9" s="4"/>
      <c r="PB9" s="4"/>
      <c r="PC9" s="4"/>
      <c r="PD9" s="4"/>
      <c r="PE9" s="4"/>
      <c r="PF9" s="5"/>
      <c r="PG9" s="6"/>
      <c r="PH9" s="4"/>
      <c r="PI9" s="4"/>
      <c r="PJ9" s="4"/>
      <c r="PK9" s="4"/>
      <c r="PL9" s="4"/>
      <c r="PM9" s="5"/>
      <c r="PN9" s="6"/>
      <c r="PO9" s="4"/>
      <c r="PP9" s="4"/>
      <c r="PQ9" s="4"/>
      <c r="PR9" s="4"/>
      <c r="PS9" s="4"/>
      <c r="PT9" s="5"/>
      <c r="PU9" s="6"/>
      <c r="PV9" s="4"/>
      <c r="PW9" s="4"/>
      <c r="PX9" s="4"/>
      <c r="PY9" s="4"/>
      <c r="PZ9" s="4"/>
      <c r="QA9" s="5"/>
      <c r="QB9" s="6"/>
      <c r="QC9" s="4"/>
      <c r="QD9" s="4"/>
      <c r="QE9" s="4"/>
      <c r="QF9" s="4"/>
      <c r="QG9" s="4"/>
      <c r="QH9" s="5"/>
      <c r="QI9" s="6"/>
      <c r="QJ9" s="4"/>
      <c r="QK9" s="4"/>
      <c r="QL9" s="4"/>
      <c r="QM9" s="4"/>
      <c r="QN9" s="4"/>
      <c r="QO9" s="5"/>
      <c r="QP9" s="6"/>
      <c r="QQ9" s="4"/>
      <c r="QR9" s="4"/>
      <c r="QS9" s="4"/>
      <c r="QT9" s="4"/>
      <c r="QU9" s="4"/>
      <c r="QV9" s="5"/>
      <c r="QW9" s="6"/>
      <c r="QX9" s="4"/>
      <c r="QY9" s="4"/>
      <c r="QZ9" s="4"/>
      <c r="RA9" s="4"/>
      <c r="RB9" s="4"/>
      <c r="RC9" s="5"/>
      <c r="RD9" s="6"/>
      <c r="RE9" s="4"/>
      <c r="RF9" s="4"/>
      <c r="RG9" s="4"/>
      <c r="RH9" s="4"/>
      <c r="RI9" s="4"/>
      <c r="RJ9" s="5"/>
      <c r="RK9" s="6"/>
      <c r="RL9" s="4"/>
      <c r="RM9" s="4"/>
      <c r="RN9" s="4"/>
      <c r="RO9" s="4"/>
      <c r="RP9" s="4"/>
      <c r="RQ9" s="5"/>
      <c r="RR9" s="6"/>
      <c r="RS9" s="4"/>
      <c r="RT9" s="4"/>
      <c r="RU9" s="4"/>
      <c r="RV9" s="4"/>
      <c r="RW9" s="4"/>
      <c r="RX9" s="5"/>
      <c r="RY9" s="6"/>
      <c r="RZ9" s="4"/>
      <c r="SA9" s="4"/>
      <c r="SB9" s="4"/>
      <c r="SC9" s="4"/>
      <c r="SD9" s="4"/>
      <c r="SE9" s="5"/>
      <c r="SF9" s="6"/>
      <c r="SG9" s="4"/>
      <c r="SH9" s="4"/>
      <c r="SI9" s="4"/>
      <c r="SJ9" s="4"/>
      <c r="SK9" s="4"/>
      <c r="SL9" s="5"/>
      <c r="SM9" s="6"/>
      <c r="SN9" s="4"/>
      <c r="SO9" s="4"/>
      <c r="SP9" s="4"/>
      <c r="SQ9" s="4"/>
      <c r="SR9" s="4"/>
      <c r="SS9" s="5"/>
      <c r="ST9" s="6"/>
      <c r="SU9" s="4"/>
      <c r="SV9" s="4"/>
      <c r="SW9" s="4"/>
      <c r="SX9" s="4"/>
      <c r="SY9" s="4"/>
      <c r="SZ9" s="5"/>
      <c r="TA9" s="6"/>
      <c r="TB9" s="4"/>
      <c r="TC9" s="4"/>
      <c r="TD9" s="4"/>
      <c r="TE9" s="4"/>
      <c r="TF9" s="4"/>
      <c r="TG9" s="5"/>
      <c r="TH9" s="6"/>
      <c r="TI9" s="4"/>
      <c r="TJ9" s="4"/>
      <c r="TK9" s="4"/>
      <c r="TL9" s="4"/>
      <c r="TM9" s="4"/>
      <c r="TN9" s="5"/>
      <c r="TO9" s="6"/>
      <c r="TP9" s="4"/>
      <c r="TQ9" s="4"/>
      <c r="TR9" s="4"/>
      <c r="TS9" s="4"/>
      <c r="TT9" s="4"/>
      <c r="TU9" s="5"/>
      <c r="TV9" s="6"/>
      <c r="TW9" s="4"/>
      <c r="TX9" s="4"/>
      <c r="TY9" s="4"/>
      <c r="TZ9" s="4"/>
      <c r="UA9" s="4"/>
      <c r="UB9" s="5"/>
      <c r="UC9" s="6"/>
      <c r="UD9" s="4"/>
      <c r="UE9" s="4"/>
      <c r="UF9" s="4"/>
      <c r="UG9" s="4"/>
      <c r="UH9" s="4"/>
      <c r="UI9" s="5"/>
      <c r="UJ9" s="6"/>
      <c r="UK9" s="4"/>
      <c r="UL9" s="4"/>
      <c r="UM9" s="4"/>
      <c r="UN9" s="4"/>
      <c r="UO9" s="4"/>
      <c r="UP9" s="5"/>
      <c r="UQ9" s="6"/>
      <c r="UR9" s="4"/>
      <c r="US9" s="4"/>
      <c r="UT9" s="4"/>
      <c r="UU9" s="4"/>
      <c r="UV9" s="4"/>
      <c r="UW9" s="5"/>
      <c r="UX9" s="6"/>
      <c r="UY9" s="4"/>
      <c r="UZ9" s="4"/>
      <c r="VA9" s="4"/>
      <c r="VB9" s="4"/>
      <c r="VC9" s="4"/>
      <c r="VD9" s="5"/>
      <c r="VE9" s="6"/>
      <c r="VF9" s="4"/>
      <c r="VG9" s="4"/>
      <c r="VH9" s="4"/>
      <c r="VI9" s="4"/>
      <c r="VJ9" s="4"/>
      <c r="VK9" s="5"/>
      <c r="VL9" s="6"/>
      <c r="VM9" s="4"/>
      <c r="VN9" s="4"/>
      <c r="VO9" s="4"/>
      <c r="VP9" s="4"/>
      <c r="VQ9" s="4"/>
      <c r="VR9" s="5"/>
      <c r="VS9" s="6"/>
      <c r="VT9" s="4"/>
      <c r="VU9" s="4"/>
      <c r="VV9" s="4"/>
      <c r="VW9" s="4"/>
      <c r="VX9" s="4"/>
      <c r="VY9" s="5"/>
      <c r="VZ9" s="6"/>
      <c r="WA9" s="4"/>
      <c r="WB9" s="4"/>
      <c r="WC9" s="4"/>
      <c r="WD9" s="4"/>
      <c r="WE9" s="4"/>
      <c r="WF9" s="5"/>
      <c r="WG9" s="6"/>
      <c r="WH9" s="4"/>
      <c r="WI9" s="4"/>
      <c r="WJ9" s="4"/>
      <c r="WK9" s="4"/>
      <c r="WL9" s="4"/>
      <c r="WM9" s="5"/>
      <c r="WN9" s="6"/>
      <c r="WO9" s="4"/>
      <c r="WP9" s="4"/>
      <c r="WQ9" s="4"/>
      <c r="WR9" s="4"/>
      <c r="WS9" s="4"/>
      <c r="WT9" s="5"/>
      <c r="WU9" s="6"/>
      <c r="WV9" s="4"/>
      <c r="WW9" s="4"/>
      <c r="WX9" s="4"/>
      <c r="WY9" s="4"/>
      <c r="WZ9" s="4"/>
      <c r="XA9" s="5"/>
      <c r="XB9" s="6"/>
      <c r="XC9" s="4"/>
      <c r="XD9" s="4"/>
      <c r="XE9" s="4"/>
      <c r="XF9" s="4"/>
      <c r="XG9" s="4"/>
      <c r="XH9" s="5"/>
      <c r="XI9" s="6"/>
      <c r="XJ9" s="4"/>
      <c r="XK9" s="4"/>
      <c r="XL9" s="4"/>
      <c r="XM9" s="4"/>
      <c r="XN9" s="4"/>
      <c r="XO9" s="5"/>
      <c r="XP9" s="6"/>
      <c r="XQ9" s="4"/>
      <c r="XR9" s="4"/>
      <c r="XS9" s="4"/>
      <c r="XT9" s="4"/>
      <c r="XU9" s="4"/>
      <c r="XV9" s="5"/>
      <c r="XW9" s="6"/>
      <c r="XX9" s="4"/>
      <c r="XY9" s="4"/>
      <c r="XZ9" s="4"/>
      <c r="YA9" s="4"/>
      <c r="YB9" s="4"/>
      <c r="YC9" s="5"/>
      <c r="YD9" s="6"/>
      <c r="YE9" s="4"/>
      <c r="YF9" s="4"/>
      <c r="YG9" s="4"/>
      <c r="YH9" s="4"/>
      <c r="YI9" s="4"/>
      <c r="YJ9" s="5"/>
      <c r="YK9" s="6"/>
      <c r="YL9" s="4"/>
      <c r="YM9" s="4"/>
      <c r="YN9" s="4"/>
      <c r="YO9" s="4"/>
      <c r="YP9" s="4"/>
      <c r="YQ9" s="5"/>
      <c r="YR9" s="6"/>
      <c r="YS9" s="4"/>
      <c r="YT9" s="4"/>
      <c r="YU9" s="4"/>
      <c r="YV9" s="4"/>
      <c r="YW9" s="4"/>
      <c r="YX9" s="5"/>
      <c r="YY9" s="6"/>
      <c r="YZ9" s="4"/>
      <c r="ZA9" s="4"/>
      <c r="ZB9" s="4"/>
      <c r="ZC9" s="4"/>
      <c r="ZD9" s="4"/>
      <c r="ZE9" s="5"/>
      <c r="ZF9" s="6"/>
      <c r="ZG9" s="4"/>
      <c r="ZH9" s="4"/>
      <c r="ZI9" s="4"/>
      <c r="ZJ9" s="4"/>
      <c r="ZK9" s="4"/>
      <c r="ZL9" s="5"/>
      <c r="ZM9" s="6"/>
      <c r="ZN9" s="4"/>
      <c r="ZO9" s="4"/>
      <c r="ZP9" s="4"/>
      <c r="ZQ9" s="4"/>
      <c r="ZR9" s="4"/>
      <c r="ZS9" s="5"/>
      <c r="ZT9" s="6"/>
      <c r="ZU9" s="4"/>
      <c r="ZV9" s="4"/>
      <c r="ZW9" s="4"/>
      <c r="ZX9" s="4"/>
      <c r="ZY9" s="4"/>
      <c r="ZZ9" s="5"/>
      <c r="AAA9" s="6"/>
      <c r="AAB9" s="4"/>
      <c r="AAC9" s="4"/>
      <c r="AAD9" s="4"/>
      <c r="AAE9" s="4"/>
      <c r="AAF9" s="4"/>
      <c r="AAG9" s="5"/>
      <c r="AAH9" s="6"/>
      <c r="AAI9" s="4"/>
      <c r="AAJ9" s="4"/>
      <c r="AAK9" s="4"/>
      <c r="AAL9" s="4"/>
      <c r="AAM9" s="4"/>
      <c r="AAN9" s="5"/>
      <c r="AAO9" s="6"/>
      <c r="AAP9" s="4"/>
      <c r="AAQ9" s="4"/>
      <c r="AAR9" s="4"/>
      <c r="AAS9" s="4"/>
      <c r="AAT9" s="4"/>
      <c r="AAU9" s="5"/>
      <c r="AAV9" s="6"/>
      <c r="AAW9" s="4"/>
      <c r="AAX9" s="4"/>
      <c r="AAY9" s="4"/>
      <c r="AAZ9" s="4"/>
      <c r="ABA9" s="4"/>
      <c r="ABB9" s="5"/>
      <c r="ABC9" s="6"/>
      <c r="ABD9" s="4"/>
      <c r="ABE9" s="4"/>
      <c r="ABF9" s="4"/>
      <c r="ABG9" s="4"/>
      <c r="ABH9" s="4"/>
      <c r="ABI9" s="5"/>
      <c r="ABJ9" s="6"/>
      <c r="ABK9" s="4"/>
      <c r="ABL9" s="4"/>
      <c r="ABM9" s="4"/>
      <c r="ABN9" s="4"/>
      <c r="ABO9" s="4"/>
      <c r="ABP9" s="5"/>
      <c r="ABQ9" s="6"/>
      <c r="ABR9" s="4"/>
      <c r="ABS9" s="4"/>
      <c r="ABT9" s="4"/>
      <c r="ABU9" s="4"/>
      <c r="ABV9" s="4"/>
      <c r="ABW9" s="5"/>
      <c r="ABX9" s="6"/>
      <c r="ABY9" s="4"/>
      <c r="ABZ9" s="4"/>
      <c r="ACA9" s="4"/>
      <c r="ACB9" s="4"/>
      <c r="ACC9" s="4"/>
      <c r="ACD9" s="5"/>
      <c r="ACE9" s="6"/>
      <c r="ACF9" s="4"/>
      <c r="ACG9" s="4"/>
      <c r="ACH9" s="4"/>
      <c r="ACI9" s="4"/>
      <c r="ACJ9" s="4"/>
      <c r="ACK9" s="5"/>
      <c r="ACL9" s="6"/>
      <c r="ACM9" s="4"/>
      <c r="ACN9" s="4"/>
      <c r="ACO9" s="4"/>
      <c r="ACP9" s="4"/>
      <c r="ACQ9" s="4"/>
      <c r="ACR9" s="5"/>
      <c r="ACS9" s="6"/>
      <c r="ACT9" s="4"/>
      <c r="ACU9" s="4"/>
      <c r="ACV9" s="4"/>
      <c r="ACW9" s="4"/>
      <c r="ACX9" s="4"/>
      <c r="ACY9" s="5"/>
    </row>
    <row r="10" spans="1:839" x14ac:dyDescent="0.25">
      <c r="B10" s="30"/>
      <c r="J10" s="12"/>
      <c r="K10" s="12"/>
      <c r="L10" s="12"/>
      <c r="LL10" s="6"/>
      <c r="LM10" s="4"/>
      <c r="LN10" s="4"/>
      <c r="LO10" s="4"/>
      <c r="LP10" s="4"/>
      <c r="LQ10" s="4"/>
      <c r="LR10" s="5"/>
      <c r="LS10" s="6"/>
      <c r="LT10" s="4"/>
      <c r="LU10" s="4"/>
      <c r="LV10" s="4"/>
      <c r="LW10" s="4"/>
      <c r="LX10" s="4"/>
      <c r="LY10" s="5"/>
      <c r="LZ10" s="6" t="s">
        <v>1811</v>
      </c>
      <c r="MA10" s="7" t="s">
        <v>1812</v>
      </c>
      <c r="MB10" s="7" t="s">
        <v>1813</v>
      </c>
      <c r="MC10" s="7"/>
      <c r="MD10" s="7"/>
      <c r="ME10" s="7"/>
      <c r="MF10" s="7"/>
      <c r="MG10" s="5"/>
      <c r="MH10" s="6"/>
      <c r="MI10" s="4"/>
      <c r="MJ10" s="4"/>
      <c r="MK10" s="4"/>
      <c r="ML10" s="4"/>
      <c r="MM10" s="4"/>
      <c r="MN10" s="5"/>
      <c r="MO10" s="6"/>
      <c r="MP10" s="4"/>
      <c r="MQ10" s="4"/>
      <c r="MR10" s="4"/>
      <c r="MS10" s="4"/>
      <c r="MT10" s="4"/>
      <c r="MU10" s="5"/>
      <c r="MV10" s="6"/>
      <c r="MW10" s="4"/>
      <c r="MX10" s="4"/>
      <c r="MY10" s="4"/>
      <c r="MZ10" s="4"/>
      <c r="NA10" s="4"/>
      <c r="NB10" s="5"/>
      <c r="NC10" s="6"/>
      <c r="ND10" s="4"/>
      <c r="NE10" s="4"/>
      <c r="NF10" s="4"/>
      <c r="NG10" s="4"/>
      <c r="NH10" s="4"/>
      <c r="NI10" s="5"/>
      <c r="NJ10" s="6"/>
      <c r="NK10" s="4"/>
      <c r="NL10" s="4"/>
      <c r="NM10" s="4"/>
      <c r="NN10" s="4"/>
      <c r="NO10" s="4"/>
      <c r="NP10" s="5"/>
      <c r="NQ10" s="6"/>
      <c r="NR10" s="4"/>
      <c r="NS10" s="4"/>
      <c r="NT10" s="4"/>
      <c r="NU10" s="4"/>
      <c r="NV10" s="4"/>
      <c r="NW10" s="5"/>
      <c r="NX10" s="6"/>
      <c r="NY10" s="4"/>
      <c r="NZ10" s="4"/>
      <c r="OA10" s="4"/>
      <c r="OB10" s="4"/>
      <c r="OC10" s="4"/>
      <c r="OD10" s="5"/>
      <c r="OE10" s="6"/>
      <c r="OF10" s="4"/>
      <c r="OG10" s="4"/>
      <c r="OH10" s="4"/>
      <c r="OI10" s="4"/>
      <c r="OJ10" s="4"/>
      <c r="OK10" s="5"/>
      <c r="OL10" s="6"/>
      <c r="OM10" s="4"/>
      <c r="ON10" s="4"/>
      <c r="OO10" s="4"/>
      <c r="OP10" s="4"/>
      <c r="OQ10" s="4"/>
      <c r="OR10" s="5"/>
      <c r="OS10" s="6"/>
      <c r="OT10" s="4"/>
      <c r="OU10" s="4"/>
      <c r="OV10" s="4"/>
      <c r="OW10" s="4"/>
      <c r="OX10" s="4"/>
      <c r="OY10" s="5"/>
      <c r="OZ10" s="6"/>
      <c r="PA10" s="4"/>
      <c r="PB10" s="4"/>
      <c r="PC10" s="4"/>
      <c r="PD10" s="4"/>
      <c r="PE10" s="4"/>
      <c r="PF10" s="5"/>
      <c r="PG10" s="6"/>
      <c r="PH10" s="4"/>
      <c r="PI10" s="4"/>
      <c r="PJ10" s="4"/>
      <c r="PK10" s="4"/>
      <c r="PL10" s="4"/>
      <c r="PM10" s="5"/>
      <c r="PN10" s="6"/>
      <c r="PO10" s="4"/>
      <c r="PP10" s="4"/>
      <c r="PQ10" s="4"/>
      <c r="PR10" s="4"/>
      <c r="PS10" s="4"/>
      <c r="PT10" s="5"/>
      <c r="PU10" s="6"/>
      <c r="PV10" s="4"/>
      <c r="PW10" s="4"/>
      <c r="PX10" s="4"/>
      <c r="PY10" s="4"/>
      <c r="PZ10" s="4"/>
      <c r="QA10" s="5"/>
      <c r="QB10" s="6"/>
      <c r="QC10" s="4"/>
      <c r="QD10" s="4"/>
      <c r="QE10" s="4"/>
      <c r="QF10" s="4"/>
      <c r="QG10" s="4"/>
      <c r="QH10" s="5"/>
      <c r="QI10" s="6"/>
      <c r="QJ10" s="4"/>
      <c r="QK10" s="4"/>
      <c r="QL10" s="4"/>
      <c r="QM10" s="4"/>
      <c r="QN10" s="4"/>
      <c r="QO10" s="5"/>
      <c r="QP10" s="6"/>
      <c r="QQ10" s="4"/>
      <c r="QR10" s="4"/>
      <c r="QS10" s="4"/>
      <c r="QT10" s="4"/>
      <c r="QU10" s="4"/>
      <c r="QV10" s="5"/>
      <c r="QW10" s="6"/>
      <c r="QX10" s="4"/>
      <c r="QY10" s="4"/>
      <c r="QZ10" s="4"/>
      <c r="RA10" s="4"/>
      <c r="RB10" s="4"/>
      <c r="RC10" s="5"/>
      <c r="RD10" s="6"/>
      <c r="RE10" s="4"/>
      <c r="RF10" s="4"/>
      <c r="RG10" s="4"/>
      <c r="RH10" s="4"/>
      <c r="RI10" s="4"/>
      <c r="RJ10" s="5"/>
      <c r="RK10" s="6"/>
      <c r="RL10" s="4"/>
      <c r="RM10" s="4"/>
      <c r="RN10" s="4"/>
      <c r="RO10" s="4"/>
      <c r="RP10" s="4"/>
      <c r="RQ10" s="5"/>
      <c r="RR10" s="6"/>
      <c r="RS10" s="4"/>
      <c r="RT10" s="4"/>
      <c r="RU10" s="4"/>
      <c r="RV10" s="4"/>
      <c r="RW10" s="4"/>
      <c r="RX10" s="5"/>
      <c r="RY10" s="6"/>
      <c r="RZ10" s="4"/>
      <c r="SA10" s="4"/>
      <c r="SB10" s="4"/>
      <c r="SC10" s="4"/>
      <c r="SD10" s="4"/>
      <c r="SE10" s="5"/>
      <c r="SF10" s="6"/>
      <c r="SG10" s="4"/>
      <c r="SH10" s="4"/>
      <c r="SI10" s="4"/>
      <c r="SJ10" s="4"/>
      <c r="SK10" s="4"/>
      <c r="SL10" s="5"/>
      <c r="SM10" s="6"/>
      <c r="SN10" s="4"/>
      <c r="SO10" s="4"/>
      <c r="SP10" s="4"/>
      <c r="SQ10" s="4"/>
      <c r="SR10" s="4"/>
      <c r="SS10" s="5"/>
      <c r="ST10" s="6"/>
      <c r="SU10" s="4"/>
      <c r="SV10" s="4"/>
      <c r="SW10" s="4"/>
      <c r="SX10" s="4"/>
      <c r="SY10" s="4"/>
      <c r="SZ10" s="5"/>
      <c r="TA10" s="6"/>
      <c r="TB10" s="4"/>
      <c r="TC10" s="4"/>
      <c r="TD10" s="4"/>
      <c r="TE10" s="4"/>
      <c r="TF10" s="4"/>
      <c r="TG10" s="5"/>
      <c r="TH10" s="6"/>
      <c r="TI10" s="4"/>
      <c r="TJ10" s="4"/>
      <c r="TK10" s="4"/>
      <c r="TL10" s="4"/>
      <c r="TM10" s="4"/>
      <c r="TN10" s="5"/>
      <c r="TO10" s="6"/>
      <c r="TP10" s="4"/>
      <c r="TQ10" s="4"/>
      <c r="TR10" s="4"/>
      <c r="TS10" s="4"/>
      <c r="TT10" s="4"/>
      <c r="TU10" s="5"/>
      <c r="TV10" s="6"/>
      <c r="TW10" s="4"/>
      <c r="TX10" s="4"/>
      <c r="TY10" s="4"/>
      <c r="TZ10" s="4"/>
      <c r="UA10" s="4"/>
      <c r="UB10" s="5"/>
      <c r="UC10" s="6"/>
      <c r="UD10" s="4"/>
      <c r="UE10" s="4"/>
      <c r="UF10" s="4"/>
      <c r="UG10" s="4"/>
      <c r="UH10" s="4"/>
      <c r="UI10" s="5"/>
      <c r="UJ10" s="6"/>
      <c r="UK10" s="4"/>
      <c r="UL10" s="4"/>
      <c r="UM10" s="4"/>
      <c r="UN10" s="4"/>
      <c r="UO10" s="4"/>
      <c r="UP10" s="5"/>
      <c r="UQ10" s="6"/>
      <c r="UR10" s="4"/>
      <c r="US10" s="4"/>
      <c r="UT10" s="4"/>
      <c r="UU10" s="4"/>
      <c r="UV10" s="4"/>
      <c r="UW10" s="5"/>
      <c r="UX10" s="6"/>
      <c r="UY10" s="4"/>
      <c r="UZ10" s="4"/>
      <c r="VA10" s="4"/>
      <c r="VB10" s="4"/>
      <c r="VC10" s="4"/>
      <c r="VD10" s="5"/>
      <c r="VE10" s="6"/>
      <c r="VF10" s="4"/>
      <c r="VG10" s="4"/>
      <c r="VH10" s="4"/>
      <c r="VI10" s="4"/>
      <c r="VJ10" s="4"/>
      <c r="VK10" s="5"/>
      <c r="VL10" s="6"/>
      <c r="VM10" s="4"/>
      <c r="VN10" s="4"/>
      <c r="VO10" s="4"/>
      <c r="VP10" s="4"/>
      <c r="VQ10" s="4"/>
      <c r="VR10" s="5"/>
      <c r="VS10" s="6"/>
      <c r="VT10" s="4"/>
      <c r="VU10" s="4"/>
      <c r="VV10" s="4"/>
      <c r="VW10" s="4"/>
      <c r="VX10" s="4"/>
      <c r="VY10" s="5"/>
      <c r="VZ10" s="6"/>
      <c r="WA10" s="4"/>
      <c r="WB10" s="4"/>
      <c r="WC10" s="4"/>
      <c r="WD10" s="4"/>
      <c r="WE10" s="4"/>
      <c r="WF10" s="5"/>
      <c r="WG10" s="6"/>
      <c r="WH10" s="4"/>
      <c r="WI10" s="4"/>
      <c r="WJ10" s="4"/>
      <c r="WK10" s="4"/>
      <c r="WL10" s="4"/>
      <c r="WM10" s="5"/>
      <c r="WN10" s="6"/>
      <c r="WO10" s="4"/>
      <c r="WP10" s="4"/>
      <c r="WQ10" s="4"/>
      <c r="WR10" s="4"/>
      <c r="WS10" s="4"/>
      <c r="WT10" s="5"/>
      <c r="WU10" s="6"/>
      <c r="WV10" s="4"/>
      <c r="WW10" s="4"/>
      <c r="WX10" s="4"/>
      <c r="WY10" s="4"/>
      <c r="WZ10" s="4"/>
      <c r="XA10" s="5"/>
      <c r="XB10" s="6"/>
      <c r="XC10" s="4"/>
      <c r="XD10" s="4"/>
      <c r="XE10" s="4"/>
      <c r="XF10" s="4"/>
      <c r="XG10" s="4"/>
      <c r="XH10" s="5"/>
      <c r="XI10" s="6"/>
      <c r="XJ10" s="4"/>
      <c r="XK10" s="4"/>
      <c r="XL10" s="4"/>
      <c r="XM10" s="4"/>
      <c r="XN10" s="4"/>
      <c r="XO10" s="5"/>
      <c r="XP10" s="6"/>
      <c r="XQ10" s="4"/>
      <c r="XR10" s="4"/>
      <c r="XS10" s="4"/>
      <c r="XT10" s="4"/>
      <c r="XU10" s="4"/>
      <c r="XV10" s="5"/>
      <c r="XW10" s="6"/>
      <c r="XX10" s="4"/>
      <c r="XY10" s="4"/>
      <c r="XZ10" s="4"/>
      <c r="YA10" s="4"/>
      <c r="YB10" s="4"/>
      <c r="YC10" s="5"/>
      <c r="YD10" s="6"/>
      <c r="YE10" s="4"/>
      <c r="YF10" s="4"/>
      <c r="YG10" s="4"/>
      <c r="YH10" s="4"/>
      <c r="YI10" s="4"/>
      <c r="YJ10" s="5"/>
      <c r="YK10" s="6"/>
      <c r="YL10" s="4"/>
      <c r="YM10" s="4"/>
      <c r="YN10" s="4"/>
      <c r="YO10" s="4"/>
      <c r="YP10" s="4"/>
      <c r="YQ10" s="5"/>
      <c r="YR10" s="6"/>
      <c r="YS10" s="4"/>
      <c r="YT10" s="4"/>
      <c r="YU10" s="4"/>
      <c r="YV10" s="4"/>
      <c r="YW10" s="4"/>
      <c r="YX10" s="5"/>
      <c r="YY10" s="6"/>
      <c r="YZ10" s="4"/>
      <c r="ZA10" s="4"/>
      <c r="ZB10" s="4"/>
      <c r="ZC10" s="4"/>
      <c r="ZD10" s="4"/>
      <c r="ZE10" s="5"/>
      <c r="ZF10" s="6"/>
      <c r="ZG10" s="4"/>
      <c r="ZH10" s="4"/>
      <c r="ZI10" s="4"/>
      <c r="ZJ10" s="4"/>
      <c r="ZK10" s="4"/>
      <c r="ZL10" s="5"/>
      <c r="ZM10" s="6"/>
      <c r="ZN10" s="4"/>
      <c r="ZO10" s="4"/>
      <c r="ZP10" s="4"/>
      <c r="ZQ10" s="4"/>
      <c r="ZR10" s="4"/>
      <c r="ZS10" s="5"/>
      <c r="ZT10" s="6"/>
      <c r="ZU10" s="4"/>
      <c r="ZV10" s="4"/>
      <c r="ZW10" s="4"/>
      <c r="ZX10" s="4"/>
      <c r="ZY10" s="4"/>
      <c r="ZZ10" s="5"/>
      <c r="AAA10" s="6"/>
      <c r="AAB10" s="4"/>
      <c r="AAC10" s="4"/>
      <c r="AAD10" s="4"/>
      <c r="AAE10" s="4"/>
      <c r="AAF10" s="4"/>
      <c r="AAG10" s="5"/>
      <c r="AAH10" s="6"/>
      <c r="AAI10" s="4"/>
      <c r="AAJ10" s="4"/>
      <c r="AAK10" s="4"/>
      <c r="AAL10" s="4"/>
      <c r="AAM10" s="4"/>
      <c r="AAN10" s="5"/>
      <c r="AAO10" s="6"/>
      <c r="AAP10" s="4"/>
      <c r="AAQ10" s="4"/>
      <c r="AAR10" s="4"/>
      <c r="AAS10" s="4"/>
      <c r="AAT10" s="4"/>
      <c r="AAU10" s="5"/>
      <c r="AAV10" s="6"/>
      <c r="AAW10" s="4"/>
      <c r="AAX10" s="4"/>
      <c r="AAY10" s="4"/>
      <c r="AAZ10" s="4"/>
      <c r="ABA10" s="4"/>
      <c r="ABB10" s="5"/>
      <c r="ABC10" s="6"/>
      <c r="ABD10" s="4"/>
      <c r="ABE10" s="4"/>
      <c r="ABF10" s="4"/>
      <c r="ABG10" s="4"/>
      <c r="ABH10" s="4"/>
      <c r="ABI10" s="5"/>
      <c r="ABJ10" s="6"/>
      <c r="ABK10" s="4"/>
      <c r="ABL10" s="4"/>
      <c r="ABM10" s="4"/>
      <c r="ABN10" s="4"/>
      <c r="ABO10" s="4"/>
      <c r="ABP10" s="5"/>
      <c r="ABQ10" s="6"/>
      <c r="ABR10" s="4"/>
      <c r="ABS10" s="4"/>
      <c r="ABT10" s="4"/>
      <c r="ABU10" s="4"/>
      <c r="ABV10" s="4"/>
      <c r="ABW10" s="5"/>
      <c r="ABX10" s="6"/>
      <c r="ABY10" s="4"/>
      <c r="ABZ10" s="4"/>
      <c r="ACA10" s="4"/>
      <c r="ACB10" s="4"/>
      <c r="ACC10" s="4"/>
      <c r="ACD10" s="5"/>
      <c r="ACE10" s="6"/>
      <c r="ACF10" s="4"/>
      <c r="ACG10" s="4"/>
      <c r="ACH10" s="4"/>
      <c r="ACI10" s="4"/>
      <c r="ACJ10" s="4"/>
      <c r="ACK10" s="5"/>
      <c r="ACL10" s="6"/>
      <c r="ACM10" s="4"/>
      <c r="ACN10" s="4"/>
      <c r="ACO10" s="4"/>
      <c r="ACP10" s="4"/>
      <c r="ACQ10" s="4"/>
      <c r="ACR10" s="5"/>
      <c r="ACS10" s="6"/>
      <c r="ACT10" s="4"/>
      <c r="ACU10" s="4"/>
      <c r="ACV10" s="4"/>
      <c r="ACW10" s="4"/>
      <c r="ACX10" s="4"/>
      <c r="ACY10" s="5"/>
    </row>
    <row r="11" spans="1:839" x14ac:dyDescent="0.25">
      <c r="B11" s="30"/>
      <c r="J11" s="12"/>
      <c r="K11" s="12"/>
      <c r="L11" s="12"/>
      <c r="LL11" s="6"/>
      <c r="LM11" s="4"/>
      <c r="LN11" s="4"/>
      <c r="LO11" s="4"/>
      <c r="LP11" s="4"/>
      <c r="LQ11" s="4"/>
      <c r="LR11" s="5"/>
      <c r="LS11" s="6"/>
      <c r="LT11" s="4"/>
      <c r="LU11" s="4"/>
      <c r="LV11" s="4"/>
      <c r="LW11" s="4"/>
      <c r="LX11" s="4"/>
      <c r="LY11" s="5"/>
      <c r="LZ11" s="6" t="s">
        <v>1814</v>
      </c>
      <c r="MA11" s="7" t="s">
        <v>1963</v>
      </c>
      <c r="MB11" s="7" t="s">
        <v>1813</v>
      </c>
      <c r="MC11" s="7" t="s">
        <v>2391</v>
      </c>
      <c r="MD11" s="9">
        <v>30857</v>
      </c>
      <c r="ME11" s="9">
        <v>30858</v>
      </c>
      <c r="MF11" s="9"/>
      <c r="MG11" s="5" t="s">
        <v>2239</v>
      </c>
      <c r="MH11" s="6"/>
      <c r="MI11" s="4"/>
      <c r="MJ11" s="4"/>
      <c r="MK11" s="4"/>
      <c r="ML11" s="4"/>
      <c r="MM11" s="4"/>
      <c r="MN11" s="5"/>
      <c r="MO11" s="6"/>
      <c r="MP11" s="4"/>
      <c r="MQ11" s="4"/>
      <c r="MR11" s="4"/>
      <c r="MS11" s="4"/>
      <c r="MT11" s="4"/>
      <c r="MU11" s="5"/>
      <c r="MV11" s="6"/>
      <c r="MW11" s="4"/>
      <c r="MX11" s="4"/>
      <c r="MY11" s="4"/>
      <c r="MZ11" s="4"/>
      <c r="NA11" s="4"/>
      <c r="NB11" s="5"/>
      <c r="NC11" s="6"/>
      <c r="ND11" s="4"/>
      <c r="NE11" s="4"/>
      <c r="NF11" s="4"/>
      <c r="NG11" s="4"/>
      <c r="NH11" s="4"/>
      <c r="NI11" s="5"/>
      <c r="NJ11" s="6"/>
      <c r="NK11" s="4"/>
      <c r="NL11" s="4"/>
      <c r="NM11" s="4"/>
      <c r="NN11" s="4"/>
      <c r="NO11" s="4"/>
      <c r="NP11" s="5"/>
      <c r="NQ11" s="6"/>
      <c r="NR11" s="4"/>
      <c r="NS11" s="4"/>
      <c r="NT11" s="4"/>
      <c r="NU11" s="4"/>
      <c r="NV11" s="4"/>
      <c r="NW11" s="5"/>
      <c r="NX11" s="6"/>
      <c r="NY11" s="4"/>
      <c r="NZ11" s="4"/>
      <c r="OA11" s="4"/>
      <c r="OB11" s="4"/>
      <c r="OC11" s="4"/>
      <c r="OD11" s="5"/>
      <c r="OE11" s="6"/>
      <c r="OF11" s="4"/>
      <c r="OG11" s="4"/>
      <c r="OH11" s="4"/>
      <c r="OI11" s="4"/>
      <c r="OJ11" s="4"/>
      <c r="OK11" s="5"/>
      <c r="OL11" s="6"/>
      <c r="OM11" s="4"/>
      <c r="ON11" s="4"/>
      <c r="OO11" s="4"/>
      <c r="OP11" s="4"/>
      <c r="OQ11" s="4"/>
      <c r="OR11" s="5"/>
      <c r="OS11" s="6"/>
      <c r="OT11" s="4"/>
      <c r="OU11" s="4"/>
      <c r="OV11" s="4"/>
      <c r="OW11" s="4"/>
      <c r="OX11" s="4"/>
      <c r="OY11" s="5"/>
      <c r="OZ11" s="6"/>
      <c r="PA11" s="4"/>
      <c r="PB11" s="4"/>
      <c r="PC11" s="4"/>
      <c r="PD11" s="4"/>
      <c r="PE11" s="4"/>
      <c r="PF11" s="5"/>
      <c r="PG11" s="6"/>
      <c r="PH11" s="4"/>
      <c r="PI11" s="4"/>
      <c r="PJ11" s="4"/>
      <c r="PK11" s="4"/>
      <c r="PL11" s="4"/>
      <c r="PM11" s="5"/>
      <c r="PN11" s="6"/>
      <c r="PO11" s="4"/>
      <c r="PP11" s="4"/>
      <c r="PQ11" s="4"/>
      <c r="PR11" s="4"/>
      <c r="PS11" s="4"/>
      <c r="PT11" s="5"/>
      <c r="PU11" s="6"/>
      <c r="PV11" s="4"/>
      <c r="PW11" s="4"/>
      <c r="PX11" s="4"/>
      <c r="PY11" s="4"/>
      <c r="PZ11" s="4"/>
      <c r="QA11" s="5"/>
      <c r="QB11" s="6"/>
      <c r="QC11" s="4"/>
      <c r="QD11" s="4"/>
      <c r="QE11" s="4"/>
      <c r="QF11" s="4"/>
      <c r="QG11" s="4"/>
      <c r="QH11" s="5"/>
      <c r="QI11" s="6"/>
      <c r="QJ11" s="4"/>
      <c r="QK11" s="4"/>
      <c r="QL11" s="4"/>
      <c r="QM11" s="4"/>
      <c r="QN11" s="4"/>
      <c r="QO11" s="5"/>
      <c r="QP11" s="6"/>
      <c r="QQ11" s="4"/>
      <c r="QR11" s="4"/>
      <c r="QS11" s="4"/>
      <c r="QT11" s="4"/>
      <c r="QU11" s="4"/>
      <c r="QV11" s="5"/>
      <c r="QW11" s="6"/>
      <c r="QX11" s="4"/>
      <c r="QY11" s="4"/>
      <c r="QZ11" s="4"/>
      <c r="RA11" s="4"/>
      <c r="RB11" s="4"/>
      <c r="RC11" s="5"/>
      <c r="RD11" s="6"/>
      <c r="RE11" s="4"/>
      <c r="RF11" s="4"/>
      <c r="RG11" s="4"/>
      <c r="RH11" s="4"/>
      <c r="RI11" s="4"/>
      <c r="RJ11" s="5"/>
      <c r="RK11" s="6"/>
      <c r="RL11" s="4"/>
      <c r="RM11" s="4"/>
      <c r="RN11" s="4"/>
      <c r="RO11" s="4"/>
      <c r="RP11" s="4"/>
      <c r="RQ11" s="5"/>
      <c r="RR11" s="6"/>
      <c r="RS11" s="4"/>
      <c r="RT11" s="4"/>
      <c r="RU11" s="4"/>
      <c r="RV11" s="4"/>
      <c r="RW11" s="4"/>
      <c r="RX11" s="5"/>
      <c r="RY11" s="6"/>
      <c r="RZ11" s="4"/>
      <c r="SA11" s="4"/>
      <c r="SB11" s="4"/>
      <c r="SC11" s="4"/>
      <c r="SD11" s="4"/>
      <c r="SE11" s="5"/>
      <c r="SF11" s="6"/>
      <c r="SG11" s="4"/>
      <c r="SH11" s="4"/>
      <c r="SI11" s="4"/>
      <c r="SJ11" s="4"/>
      <c r="SK11" s="4"/>
      <c r="SL11" s="5"/>
      <c r="SM11" s="6"/>
      <c r="SN11" s="4"/>
      <c r="SO11" s="4"/>
      <c r="SP11" s="4"/>
      <c r="SQ11" s="4"/>
      <c r="SR11" s="4"/>
      <c r="SS11" s="5"/>
      <c r="ST11" s="6"/>
      <c r="SU11" s="4"/>
      <c r="SV11" s="4"/>
      <c r="SW11" s="4"/>
      <c r="SX11" s="4"/>
      <c r="SY11" s="4"/>
      <c r="SZ11" s="5"/>
      <c r="TA11" s="6"/>
      <c r="TB11" s="4"/>
      <c r="TC11" s="4"/>
      <c r="TD11" s="4"/>
      <c r="TE11" s="4"/>
      <c r="TF11" s="4"/>
      <c r="TG11" s="5"/>
      <c r="TH11" s="6"/>
      <c r="TI11" s="4"/>
      <c r="TJ11" s="4"/>
      <c r="TK11" s="4"/>
      <c r="TL11" s="4"/>
      <c r="TM11" s="4"/>
      <c r="TN11" s="5"/>
      <c r="TO11" s="6"/>
      <c r="TP11" s="4"/>
      <c r="TQ11" s="4"/>
      <c r="TR11" s="4"/>
      <c r="TS11" s="4"/>
      <c r="TT11" s="4"/>
      <c r="TU11" s="5"/>
      <c r="TV11" s="6"/>
      <c r="TW11" s="4"/>
      <c r="TX11" s="4"/>
      <c r="TY11" s="4"/>
      <c r="TZ11" s="4"/>
      <c r="UA11" s="4"/>
      <c r="UB11" s="5"/>
      <c r="UC11" s="6"/>
      <c r="UD11" s="4"/>
      <c r="UE11" s="4"/>
      <c r="UF11" s="4"/>
      <c r="UG11" s="4"/>
      <c r="UH11" s="4"/>
      <c r="UI11" s="5"/>
      <c r="UJ11" s="6"/>
      <c r="UK11" s="4"/>
      <c r="UL11" s="4"/>
      <c r="UM11" s="4"/>
      <c r="UN11" s="4"/>
      <c r="UO11" s="4"/>
      <c r="UP11" s="5"/>
      <c r="UQ11" s="6"/>
      <c r="UR11" s="4"/>
      <c r="US11" s="4"/>
      <c r="UT11" s="4"/>
      <c r="UU11" s="4"/>
      <c r="UV11" s="4"/>
      <c r="UW11" s="5"/>
      <c r="UX11" s="6"/>
      <c r="UY11" s="4"/>
      <c r="UZ11" s="4"/>
      <c r="VA11" s="4"/>
      <c r="VB11" s="4"/>
      <c r="VC11" s="4"/>
      <c r="VD11" s="5"/>
      <c r="VE11" s="6"/>
      <c r="VF11" s="4"/>
      <c r="VG11" s="4"/>
      <c r="VH11" s="4"/>
      <c r="VI11" s="4"/>
      <c r="VJ11" s="4"/>
      <c r="VK11" s="5"/>
      <c r="VL11" s="6"/>
      <c r="VM11" s="4"/>
      <c r="VN11" s="4"/>
      <c r="VO11" s="4"/>
      <c r="VP11" s="4"/>
      <c r="VQ11" s="4"/>
      <c r="VR11" s="5"/>
      <c r="VS11" s="6"/>
      <c r="VT11" s="4"/>
      <c r="VU11" s="4"/>
      <c r="VV11" s="4"/>
      <c r="VW11" s="4"/>
      <c r="VX11" s="4"/>
      <c r="VY11" s="5"/>
      <c r="VZ11" s="6"/>
      <c r="WA11" s="4"/>
      <c r="WB11" s="4"/>
      <c r="WC11" s="4"/>
      <c r="WD11" s="4"/>
      <c r="WE11" s="4"/>
      <c r="WF11" s="5"/>
      <c r="WG11" s="6"/>
      <c r="WH11" s="4"/>
      <c r="WI11" s="4"/>
      <c r="WJ11" s="4"/>
      <c r="WK11" s="4"/>
      <c r="WL11" s="4"/>
      <c r="WM11" s="5"/>
      <c r="WN11" s="6"/>
      <c r="WO11" s="4"/>
      <c r="WP11" s="4"/>
      <c r="WQ11" s="4"/>
      <c r="WR11" s="4"/>
      <c r="WS11" s="4"/>
      <c r="WT11" s="5"/>
      <c r="WU11" s="6"/>
      <c r="WV11" s="4"/>
      <c r="WW11" s="4"/>
      <c r="WX11" s="4"/>
      <c r="WY11" s="4"/>
      <c r="WZ11" s="4"/>
      <c r="XA11" s="5"/>
      <c r="XB11" s="6"/>
      <c r="XC11" s="4"/>
      <c r="XD11" s="4"/>
      <c r="XE11" s="4"/>
      <c r="XF11" s="4"/>
      <c r="XG11" s="4"/>
      <c r="XH11" s="5"/>
      <c r="XI11" s="6"/>
      <c r="XJ11" s="4"/>
      <c r="XK11" s="4"/>
      <c r="XL11" s="4"/>
      <c r="XM11" s="4"/>
      <c r="XN11" s="4"/>
      <c r="XO11" s="5"/>
      <c r="XP11" s="6"/>
      <c r="XQ11" s="4"/>
      <c r="XR11" s="4"/>
      <c r="XS11" s="4"/>
      <c r="XT11" s="4"/>
      <c r="XU11" s="4"/>
      <c r="XV11" s="5"/>
      <c r="XW11" s="6"/>
      <c r="XX11" s="4"/>
      <c r="XY11" s="4"/>
      <c r="XZ11" s="4"/>
      <c r="YA11" s="4"/>
      <c r="YB11" s="4"/>
      <c r="YC11" s="5"/>
      <c r="YD11" s="6"/>
      <c r="YE11" s="4"/>
      <c r="YF11" s="4"/>
      <c r="YG11" s="4"/>
      <c r="YH11" s="4"/>
      <c r="YI11" s="4"/>
      <c r="YJ11" s="5"/>
      <c r="YK11" s="6"/>
      <c r="YL11" s="4"/>
      <c r="YM11" s="4"/>
      <c r="YN11" s="4"/>
      <c r="YO11" s="4"/>
      <c r="YP11" s="4"/>
      <c r="YQ11" s="5"/>
      <c r="YR11" s="6"/>
      <c r="YS11" s="4"/>
      <c r="YT11" s="4"/>
      <c r="YU11" s="4"/>
      <c r="YV11" s="4"/>
      <c r="YW11" s="4"/>
      <c r="YX11" s="5"/>
      <c r="YY11" s="6"/>
      <c r="YZ11" s="4"/>
      <c r="ZA11" s="4"/>
      <c r="ZB11" s="4"/>
      <c r="ZC11" s="4"/>
      <c r="ZD11" s="4"/>
      <c r="ZE11" s="5"/>
      <c r="ZF11" s="6"/>
      <c r="ZG11" s="4"/>
      <c r="ZH11" s="4"/>
      <c r="ZI11" s="4"/>
      <c r="ZJ11" s="4"/>
      <c r="ZK11" s="4"/>
      <c r="ZL11" s="5"/>
      <c r="ZM11" s="6"/>
      <c r="ZN11" s="4"/>
      <c r="ZO11" s="4"/>
      <c r="ZP11" s="4"/>
      <c r="ZQ11" s="4"/>
      <c r="ZR11" s="4"/>
      <c r="ZS11" s="5"/>
      <c r="ZT11" s="6"/>
      <c r="ZU11" s="4"/>
      <c r="ZV11" s="4"/>
      <c r="ZW11" s="4"/>
      <c r="ZX11" s="4"/>
      <c r="ZY11" s="4"/>
      <c r="ZZ11" s="5"/>
      <c r="AAA11" s="6"/>
      <c r="AAB11" s="4"/>
      <c r="AAC11" s="4"/>
      <c r="AAD11" s="4"/>
      <c r="AAE11" s="4"/>
      <c r="AAF11" s="4"/>
      <c r="AAG11" s="5"/>
      <c r="AAH11" s="6"/>
      <c r="AAI11" s="4"/>
      <c r="AAJ11" s="4"/>
      <c r="AAK11" s="4"/>
      <c r="AAL11" s="4"/>
      <c r="AAM11" s="4"/>
      <c r="AAN11" s="5"/>
      <c r="AAO11" s="6"/>
      <c r="AAP11" s="4"/>
      <c r="AAQ11" s="4"/>
      <c r="AAR11" s="4"/>
      <c r="AAS11" s="4"/>
      <c r="AAT11" s="4"/>
      <c r="AAU11" s="5"/>
      <c r="AAV11" s="6"/>
      <c r="AAW11" s="4"/>
      <c r="AAX11" s="4"/>
      <c r="AAY11" s="4"/>
      <c r="AAZ11" s="4"/>
      <c r="ABA11" s="4"/>
      <c r="ABB11" s="5"/>
      <c r="ABC11" s="6"/>
      <c r="ABD11" s="4"/>
      <c r="ABE11" s="4"/>
      <c r="ABF11" s="4"/>
      <c r="ABG11" s="4"/>
      <c r="ABH11" s="4"/>
      <c r="ABI11" s="5"/>
      <c r="ABJ11" s="6"/>
      <c r="ABK11" s="4"/>
      <c r="ABL11" s="4"/>
      <c r="ABM11" s="4"/>
      <c r="ABN11" s="4"/>
      <c r="ABO11" s="4"/>
      <c r="ABP11" s="5"/>
      <c r="ABQ11" s="6"/>
      <c r="ABR11" s="4"/>
      <c r="ABS11" s="4"/>
      <c r="ABT11" s="4"/>
      <c r="ABU11" s="4"/>
      <c r="ABV11" s="4"/>
      <c r="ABW11" s="5"/>
      <c r="ABX11" s="6"/>
      <c r="ABY11" s="4"/>
      <c r="ABZ11" s="4"/>
      <c r="ACA11" s="4"/>
      <c r="ACB11" s="4"/>
      <c r="ACC11" s="4"/>
      <c r="ACD11" s="5"/>
      <c r="ACE11" s="6"/>
      <c r="ACF11" s="4"/>
      <c r="ACG11" s="4"/>
      <c r="ACH11" s="4"/>
      <c r="ACI11" s="4"/>
      <c r="ACJ11" s="4"/>
      <c r="ACK11" s="5"/>
      <c r="ACL11" s="6"/>
      <c r="ACM11" s="4"/>
      <c r="ACN11" s="4"/>
      <c r="ACO11" s="4"/>
      <c r="ACP11" s="4"/>
      <c r="ACQ11" s="4"/>
      <c r="ACR11" s="5"/>
      <c r="ACS11" s="6"/>
      <c r="ACT11" s="4"/>
      <c r="ACU11" s="4"/>
      <c r="ACV11" s="4"/>
      <c r="ACW11" s="4"/>
      <c r="ACX11" s="4"/>
      <c r="ACY11" s="5"/>
    </row>
    <row r="12" spans="1:839" x14ac:dyDescent="0.25">
      <c r="B12" s="30">
        <v>87002161</v>
      </c>
      <c r="C12">
        <v>84</v>
      </c>
      <c r="D12" t="s">
        <v>2121</v>
      </c>
      <c r="F12" s="23" t="s">
        <v>1787</v>
      </c>
      <c r="I12">
        <v>1</v>
      </c>
      <c r="J12" s="12"/>
      <c r="K12" s="12"/>
      <c r="L12" s="12"/>
      <c r="LL12" s="6"/>
      <c r="LM12" s="4"/>
      <c r="LN12" s="4"/>
      <c r="LO12" s="4"/>
      <c r="LP12" s="4"/>
      <c r="LQ12" s="4"/>
      <c r="LR12" s="5"/>
      <c r="LS12" s="6"/>
      <c r="LT12" s="4"/>
      <c r="LU12" s="4"/>
      <c r="LV12" s="4"/>
      <c r="LW12" s="4"/>
      <c r="LX12" s="4"/>
      <c r="LY12" s="5"/>
      <c r="LZ12" s="6" t="s">
        <v>2371</v>
      </c>
      <c r="MA12" s="7" t="s">
        <v>2372</v>
      </c>
      <c r="MB12" s="4"/>
      <c r="MC12" s="4"/>
      <c r="MD12" s="4"/>
      <c r="ME12" s="4"/>
      <c r="MF12" s="4"/>
      <c r="MG12" s="5"/>
      <c r="MH12" s="6"/>
      <c r="MI12" s="4"/>
      <c r="MJ12" s="4"/>
      <c r="MK12" s="4"/>
      <c r="ML12" s="4"/>
      <c r="MM12" s="4"/>
      <c r="MN12" s="5"/>
      <c r="MO12" s="6"/>
      <c r="MP12" s="4"/>
      <c r="MQ12" s="4"/>
      <c r="MR12" s="4"/>
      <c r="MS12" s="4"/>
      <c r="MT12" s="4"/>
      <c r="MU12" s="5"/>
      <c r="MV12" s="6"/>
      <c r="MW12" s="4"/>
      <c r="MX12" s="4"/>
      <c r="MY12" s="4"/>
      <c r="MZ12" s="4"/>
      <c r="NA12" s="4"/>
      <c r="NB12" s="5"/>
      <c r="NC12" s="6"/>
      <c r="ND12" s="4"/>
      <c r="NE12" s="4"/>
      <c r="NF12" s="4"/>
      <c r="NG12" s="4"/>
      <c r="NH12" s="4"/>
      <c r="NI12" s="5"/>
      <c r="NJ12" s="6"/>
      <c r="NK12" s="4"/>
      <c r="NL12" s="4"/>
      <c r="NM12" s="4"/>
      <c r="NN12" s="4"/>
      <c r="NO12" s="4"/>
      <c r="NP12" s="5"/>
      <c r="NQ12" s="6"/>
      <c r="NR12" s="4"/>
      <c r="NS12" s="4"/>
      <c r="NT12" s="4"/>
      <c r="NU12" s="4"/>
      <c r="NV12" s="4"/>
      <c r="NW12" s="5"/>
      <c r="NX12" s="6"/>
      <c r="NY12" s="4"/>
      <c r="NZ12" s="4"/>
      <c r="OA12" s="4"/>
      <c r="OB12" s="4"/>
      <c r="OC12" s="4"/>
      <c r="OD12" s="5"/>
      <c r="OE12" s="6"/>
      <c r="OF12" s="4"/>
      <c r="OG12" s="4"/>
      <c r="OH12" s="4"/>
      <c r="OI12" s="4"/>
      <c r="OJ12" s="4"/>
      <c r="OK12" s="5"/>
      <c r="OL12" s="6"/>
      <c r="OM12" s="4"/>
      <c r="ON12" s="4"/>
      <c r="OO12" s="4"/>
      <c r="OP12" s="4"/>
      <c r="OQ12" s="4"/>
      <c r="OR12" s="5"/>
      <c r="OS12" s="6"/>
      <c r="OT12" s="4"/>
      <c r="OU12" s="4"/>
      <c r="OV12" s="4"/>
      <c r="OW12" s="4"/>
      <c r="OX12" s="4"/>
      <c r="OY12" s="5"/>
      <c r="OZ12" s="6"/>
      <c r="PA12" s="4"/>
      <c r="PB12" s="4"/>
      <c r="PC12" s="4"/>
      <c r="PD12" s="4"/>
      <c r="PE12" s="4"/>
      <c r="PF12" s="5"/>
      <c r="PG12" s="6"/>
      <c r="PH12" s="4"/>
      <c r="PI12" s="4"/>
      <c r="PJ12" s="4"/>
      <c r="PK12" s="4"/>
      <c r="PL12" s="4"/>
      <c r="PM12" s="5"/>
      <c r="PN12" s="6"/>
      <c r="PO12" s="4"/>
      <c r="PP12" s="4"/>
      <c r="PQ12" s="4"/>
      <c r="PR12" s="4"/>
      <c r="PS12" s="4"/>
      <c r="PT12" s="5"/>
      <c r="PU12" s="6"/>
      <c r="PV12" s="4"/>
      <c r="PW12" s="4"/>
      <c r="PX12" s="4"/>
      <c r="PY12" s="4"/>
      <c r="PZ12" s="4"/>
      <c r="QA12" s="5"/>
      <c r="QB12" s="6"/>
      <c r="QC12" s="4"/>
      <c r="QD12" s="4"/>
      <c r="QE12" s="4"/>
      <c r="QF12" s="4"/>
      <c r="QG12" s="4"/>
      <c r="QH12" s="5"/>
      <c r="QI12" s="6"/>
      <c r="QJ12" s="4"/>
      <c r="QK12" s="4"/>
      <c r="QL12" s="4"/>
      <c r="QM12" s="4"/>
      <c r="QN12" s="4"/>
      <c r="QO12" s="5"/>
      <c r="QP12" s="6"/>
      <c r="QQ12" s="4"/>
      <c r="QR12" s="4"/>
      <c r="QS12" s="4"/>
      <c r="QT12" s="4"/>
      <c r="QU12" s="4"/>
      <c r="QV12" s="5"/>
      <c r="QW12" s="6"/>
      <c r="QX12" s="4"/>
      <c r="QY12" s="4"/>
      <c r="QZ12" s="4"/>
      <c r="RA12" s="4"/>
      <c r="RB12" s="4"/>
      <c r="RC12" s="5"/>
      <c r="RD12" s="6"/>
      <c r="RE12" s="4"/>
      <c r="RF12" s="4"/>
      <c r="RG12" s="4"/>
      <c r="RH12" s="4"/>
      <c r="RI12" s="4"/>
      <c r="RJ12" s="5"/>
      <c r="RK12" s="6"/>
      <c r="RL12" s="4"/>
      <c r="RM12" s="4"/>
      <c r="RN12" s="4"/>
      <c r="RO12" s="4"/>
      <c r="RP12" s="4"/>
      <c r="RQ12" s="5"/>
      <c r="RR12" s="6"/>
      <c r="RS12" s="4"/>
      <c r="RT12" s="4"/>
      <c r="RU12" s="4"/>
      <c r="RV12" s="4"/>
      <c r="RW12" s="4"/>
      <c r="RX12" s="5"/>
      <c r="RY12" s="6"/>
      <c r="RZ12" s="4"/>
      <c r="SA12" s="4"/>
      <c r="SB12" s="4"/>
      <c r="SC12" s="4"/>
      <c r="SD12" s="4"/>
      <c r="SE12" s="5"/>
      <c r="SF12" s="6"/>
      <c r="SG12" s="4"/>
      <c r="SH12" s="4"/>
      <c r="SI12" s="4"/>
      <c r="SJ12" s="4"/>
      <c r="SK12" s="4"/>
      <c r="SL12" s="5"/>
      <c r="SM12" s="6"/>
      <c r="SN12" s="4"/>
      <c r="SO12" s="4"/>
      <c r="SP12" s="4"/>
      <c r="SQ12" s="4"/>
      <c r="SR12" s="4"/>
      <c r="SS12" s="5"/>
      <c r="ST12" s="6"/>
      <c r="SU12" s="4"/>
      <c r="SV12" s="4"/>
      <c r="SW12" s="4"/>
      <c r="SX12" s="4"/>
      <c r="SY12" s="4"/>
      <c r="SZ12" s="5"/>
      <c r="TA12" s="6"/>
      <c r="TB12" s="4"/>
      <c r="TC12" s="4"/>
      <c r="TD12" s="4"/>
      <c r="TE12" s="4"/>
      <c r="TF12" s="4"/>
      <c r="TG12" s="5"/>
      <c r="TH12" s="6"/>
      <c r="TI12" s="4"/>
      <c r="TJ12" s="4"/>
      <c r="TK12" s="4"/>
      <c r="TL12" s="4"/>
      <c r="TM12" s="4"/>
      <c r="TN12" s="5"/>
      <c r="TO12" s="6"/>
      <c r="TP12" s="4"/>
      <c r="TQ12" s="4"/>
      <c r="TR12" s="4"/>
      <c r="TS12" s="4"/>
      <c r="TT12" s="4"/>
      <c r="TU12" s="5"/>
      <c r="TV12" s="6"/>
      <c r="TW12" s="4"/>
      <c r="TX12" s="4"/>
      <c r="TY12" s="4"/>
      <c r="TZ12" s="4"/>
      <c r="UA12" s="4"/>
      <c r="UB12" s="5"/>
      <c r="UC12" s="6"/>
      <c r="UD12" s="4"/>
      <c r="UE12" s="4"/>
      <c r="UF12" s="4"/>
      <c r="UG12" s="4"/>
      <c r="UH12" s="4"/>
      <c r="UI12" s="5"/>
      <c r="UJ12" s="6"/>
      <c r="UK12" s="4"/>
      <c r="UL12" s="4"/>
      <c r="UM12" s="4"/>
      <c r="UN12" s="4"/>
      <c r="UO12" s="4"/>
      <c r="UP12" s="5"/>
      <c r="UQ12" s="6"/>
      <c r="UR12" s="4"/>
      <c r="US12" s="4"/>
      <c r="UT12" s="4"/>
      <c r="UU12" s="4"/>
      <c r="UV12" s="4"/>
      <c r="UW12" s="5"/>
      <c r="UX12" s="6"/>
      <c r="UY12" s="4"/>
      <c r="UZ12" s="4"/>
      <c r="VA12" s="4"/>
      <c r="VB12" s="4"/>
      <c r="VC12" s="4"/>
      <c r="VD12" s="5"/>
      <c r="VE12" s="6"/>
      <c r="VF12" s="4"/>
      <c r="VG12" s="4"/>
      <c r="VH12" s="4"/>
      <c r="VI12" s="4"/>
      <c r="VJ12" s="4"/>
      <c r="VK12" s="5"/>
      <c r="VL12" s="6"/>
      <c r="VM12" s="4"/>
      <c r="VN12" s="4"/>
      <c r="VO12" s="4"/>
      <c r="VP12" s="4"/>
      <c r="VQ12" s="4"/>
      <c r="VR12" s="5"/>
      <c r="VS12" s="6"/>
      <c r="VT12" s="4"/>
      <c r="VU12" s="4"/>
      <c r="VV12" s="4"/>
      <c r="VW12" s="4"/>
      <c r="VX12" s="4"/>
      <c r="VY12" s="5"/>
      <c r="VZ12" s="6"/>
      <c r="WA12" s="4"/>
      <c r="WB12" s="4"/>
      <c r="WC12" s="4"/>
      <c r="WD12" s="4"/>
      <c r="WE12" s="4"/>
      <c r="WF12" s="5"/>
      <c r="WG12" s="6"/>
      <c r="WH12" s="4"/>
      <c r="WI12" s="4"/>
      <c r="WJ12" s="4"/>
      <c r="WK12" s="4"/>
      <c r="WL12" s="4"/>
      <c r="WM12" s="5"/>
      <c r="WN12" s="6"/>
      <c r="WO12" s="4"/>
      <c r="WP12" s="4"/>
      <c r="WQ12" s="4"/>
      <c r="WR12" s="4"/>
      <c r="WS12" s="4"/>
      <c r="WT12" s="5"/>
      <c r="WU12" s="6"/>
      <c r="WV12" s="4"/>
      <c r="WW12" s="4"/>
      <c r="WX12" s="4"/>
      <c r="WY12" s="4"/>
      <c r="WZ12" s="4"/>
      <c r="XA12" s="5"/>
      <c r="XB12" s="6"/>
      <c r="XC12" s="4"/>
      <c r="XD12" s="4"/>
      <c r="XE12" s="4"/>
      <c r="XF12" s="4"/>
      <c r="XG12" s="4"/>
      <c r="XH12" s="5"/>
      <c r="XI12" s="6"/>
      <c r="XJ12" s="4"/>
      <c r="XK12" s="4"/>
      <c r="XL12" s="4"/>
      <c r="XM12" s="4"/>
      <c r="XN12" s="4"/>
      <c r="XO12" s="5"/>
      <c r="XP12" s="6"/>
      <c r="XQ12" s="4"/>
      <c r="XR12" s="4"/>
      <c r="XS12" s="4"/>
      <c r="XT12" s="4"/>
      <c r="XU12" s="4"/>
      <c r="XV12" s="5"/>
      <c r="XW12" s="6"/>
      <c r="XX12" s="4"/>
      <c r="XY12" s="4"/>
      <c r="XZ12" s="4"/>
      <c r="YA12" s="4"/>
      <c r="YB12" s="4"/>
      <c r="YC12" s="5"/>
      <c r="YD12" s="6"/>
      <c r="YE12" s="4"/>
      <c r="YF12" s="4"/>
      <c r="YG12" s="4"/>
      <c r="YH12" s="4"/>
      <c r="YI12" s="4"/>
      <c r="YJ12" s="5"/>
      <c r="YK12" s="6"/>
      <c r="YL12" s="4"/>
      <c r="YM12" s="4"/>
      <c r="YN12" s="4"/>
      <c r="YO12" s="4"/>
      <c r="YP12" s="4"/>
      <c r="YQ12" s="5"/>
      <c r="YR12" s="6"/>
      <c r="YS12" s="4"/>
      <c r="YT12" s="4"/>
      <c r="YU12" s="4"/>
      <c r="YV12" s="4"/>
      <c r="YW12" s="4"/>
      <c r="YX12" s="5"/>
      <c r="YY12" s="6"/>
      <c r="YZ12" s="4"/>
      <c r="ZA12" s="4"/>
      <c r="ZB12" s="4"/>
      <c r="ZC12" s="4"/>
      <c r="ZD12" s="4"/>
      <c r="ZE12" s="5"/>
      <c r="ZF12" s="6"/>
      <c r="ZG12" s="4"/>
      <c r="ZH12" s="4"/>
      <c r="ZI12" s="4"/>
      <c r="ZJ12" s="4"/>
      <c r="ZK12" s="4"/>
      <c r="ZL12" s="5"/>
      <c r="ZM12" s="6"/>
      <c r="ZN12" s="4"/>
      <c r="ZO12" s="4"/>
      <c r="ZP12" s="4"/>
      <c r="ZQ12" s="4"/>
      <c r="ZR12" s="4"/>
      <c r="ZS12" s="5"/>
      <c r="ZT12" s="6"/>
      <c r="ZU12" s="4"/>
      <c r="ZV12" s="4"/>
      <c r="ZW12" s="4"/>
      <c r="ZX12" s="4"/>
      <c r="ZY12" s="4"/>
      <c r="ZZ12" s="5"/>
      <c r="AAA12" s="6"/>
      <c r="AAB12" s="4"/>
      <c r="AAC12" s="4"/>
      <c r="AAD12" s="4"/>
      <c r="AAE12" s="4"/>
      <c r="AAF12" s="4"/>
      <c r="AAG12" s="5"/>
      <c r="AAH12" s="6"/>
      <c r="AAI12" s="4"/>
      <c r="AAJ12" s="4"/>
      <c r="AAK12" s="4"/>
      <c r="AAL12" s="4"/>
      <c r="AAM12" s="4"/>
      <c r="AAN12" s="5"/>
      <c r="AAO12" s="6"/>
      <c r="AAP12" s="4"/>
      <c r="AAQ12" s="4"/>
      <c r="AAR12" s="4"/>
      <c r="AAS12" s="4"/>
      <c r="AAT12" s="4"/>
      <c r="AAU12" s="5"/>
      <c r="AAV12" s="6"/>
      <c r="AAW12" s="4"/>
      <c r="AAX12" s="4"/>
      <c r="AAY12" s="4"/>
      <c r="AAZ12" s="4"/>
      <c r="ABA12" s="4"/>
      <c r="ABB12" s="5"/>
      <c r="ABC12" s="6"/>
      <c r="ABD12" s="4"/>
      <c r="ABE12" s="4"/>
      <c r="ABF12" s="4"/>
      <c r="ABG12" s="4"/>
      <c r="ABH12" s="4"/>
      <c r="ABI12" s="5"/>
      <c r="ABJ12" s="6"/>
      <c r="ABK12" s="4"/>
      <c r="ABL12" s="4"/>
      <c r="ABM12" s="4"/>
      <c r="ABN12" s="4"/>
      <c r="ABO12" s="4"/>
      <c r="ABP12" s="5"/>
      <c r="ABQ12" s="6"/>
      <c r="ABR12" s="4"/>
      <c r="ABS12" s="4"/>
      <c r="ABT12" s="4"/>
      <c r="ABU12" s="4"/>
      <c r="ABV12" s="4"/>
      <c r="ABW12" s="5"/>
      <c r="ABX12" s="6"/>
      <c r="ABY12" s="4"/>
      <c r="ABZ12" s="4"/>
      <c r="ACA12" s="4"/>
      <c r="ACB12" s="4"/>
      <c r="ACC12" s="4"/>
      <c r="ACD12" s="5"/>
      <c r="ACE12" s="6"/>
      <c r="ACF12" s="4"/>
      <c r="ACG12" s="4"/>
      <c r="ACH12" s="4"/>
      <c r="ACI12" s="4"/>
      <c r="ACJ12" s="4"/>
      <c r="ACK12" s="5"/>
      <c r="ACL12" s="6"/>
      <c r="ACM12" s="4"/>
      <c r="ACN12" s="4"/>
      <c r="ACO12" s="4"/>
      <c r="ACP12" s="4"/>
      <c r="ACQ12" s="4"/>
      <c r="ACR12" s="5"/>
      <c r="ACS12" s="6"/>
      <c r="ACT12" s="4"/>
      <c r="ACU12" s="4"/>
      <c r="ACV12" s="4"/>
      <c r="ACW12" s="4"/>
      <c r="ACX12" s="4"/>
      <c r="ACY12" s="5"/>
    </row>
    <row r="13" spans="1:839" x14ac:dyDescent="0.25">
      <c r="B13" s="30"/>
      <c r="J13" s="12"/>
      <c r="K13" s="12"/>
      <c r="L13" s="12"/>
      <c r="LL13" s="6"/>
      <c r="LM13" s="4"/>
      <c r="LN13" s="4"/>
      <c r="LO13" s="4"/>
      <c r="LP13" s="4"/>
      <c r="LQ13" s="4"/>
      <c r="LR13" s="5"/>
      <c r="LS13" s="6"/>
      <c r="LT13" s="4"/>
      <c r="LU13" s="4"/>
      <c r="LV13" s="4"/>
      <c r="LW13" s="4"/>
      <c r="LX13" s="4"/>
      <c r="LY13" s="5"/>
      <c r="LZ13" s="6" t="s">
        <v>2373</v>
      </c>
      <c r="MA13" s="7" t="s">
        <v>2374</v>
      </c>
      <c r="MB13" s="4"/>
      <c r="MC13" s="4"/>
      <c r="MD13" s="4"/>
      <c r="ME13" s="4"/>
      <c r="MF13" s="4"/>
      <c r="MG13" s="5"/>
      <c r="MH13" s="6"/>
      <c r="MI13" s="4"/>
      <c r="MJ13" s="4"/>
      <c r="MK13" s="4"/>
      <c r="ML13" s="4"/>
      <c r="MM13" s="4"/>
      <c r="MN13" s="5"/>
      <c r="MO13" s="6"/>
      <c r="MP13" s="4"/>
      <c r="MQ13" s="4"/>
      <c r="MR13" s="4"/>
      <c r="MS13" s="4"/>
      <c r="MT13" s="4"/>
      <c r="MU13" s="5"/>
      <c r="MV13" s="6"/>
      <c r="MW13" s="4"/>
      <c r="MX13" s="4"/>
      <c r="MY13" s="4"/>
      <c r="MZ13" s="4"/>
      <c r="NA13" s="4"/>
      <c r="NB13" s="5"/>
      <c r="NC13" s="6"/>
      <c r="ND13" s="4"/>
      <c r="NE13" s="4"/>
      <c r="NF13" s="4"/>
      <c r="NG13" s="4"/>
      <c r="NH13" s="4"/>
      <c r="NI13" s="5"/>
      <c r="NJ13" s="6"/>
      <c r="NK13" s="4"/>
      <c r="NL13" s="4"/>
      <c r="NM13" s="4"/>
      <c r="NN13" s="4"/>
      <c r="NO13" s="4"/>
      <c r="NP13" s="5"/>
      <c r="NQ13" s="6"/>
      <c r="NR13" s="4"/>
      <c r="NS13" s="4"/>
      <c r="NT13" s="4"/>
      <c r="NU13" s="4"/>
      <c r="NV13" s="4"/>
      <c r="NW13" s="5"/>
      <c r="NX13" s="6"/>
      <c r="NY13" s="4"/>
      <c r="NZ13" s="4"/>
      <c r="OA13" s="4"/>
      <c r="OB13" s="4"/>
      <c r="OC13" s="4"/>
      <c r="OD13" s="5"/>
      <c r="OE13" s="6"/>
      <c r="OF13" s="4"/>
      <c r="OG13" s="4"/>
      <c r="OH13" s="4"/>
      <c r="OI13" s="4"/>
      <c r="OJ13" s="4"/>
      <c r="OK13" s="5"/>
      <c r="OL13" s="6"/>
      <c r="OM13" s="4"/>
      <c r="ON13" s="4"/>
      <c r="OO13" s="4"/>
      <c r="OP13" s="4"/>
      <c r="OQ13" s="4"/>
      <c r="OR13" s="5"/>
      <c r="OS13" s="6"/>
      <c r="OT13" s="4"/>
      <c r="OU13" s="4"/>
      <c r="OV13" s="4"/>
      <c r="OW13" s="4"/>
      <c r="OX13" s="4"/>
      <c r="OY13" s="5"/>
      <c r="OZ13" s="6"/>
      <c r="PA13" s="4"/>
      <c r="PB13" s="4"/>
      <c r="PC13" s="4"/>
      <c r="PD13" s="4"/>
      <c r="PE13" s="4"/>
      <c r="PF13" s="5"/>
      <c r="PG13" s="6"/>
      <c r="PH13" s="4"/>
      <c r="PI13" s="4"/>
      <c r="PJ13" s="4"/>
      <c r="PK13" s="4"/>
      <c r="PL13" s="4"/>
      <c r="PM13" s="5"/>
      <c r="PN13" s="6"/>
      <c r="PO13" s="4"/>
      <c r="PP13" s="4"/>
      <c r="PQ13" s="4"/>
      <c r="PR13" s="4"/>
      <c r="PS13" s="4"/>
      <c r="PT13" s="5"/>
      <c r="PU13" s="6"/>
      <c r="PV13" s="4"/>
      <c r="PW13" s="4"/>
      <c r="PX13" s="4"/>
      <c r="PY13" s="4"/>
      <c r="PZ13" s="4"/>
      <c r="QA13" s="5"/>
      <c r="QB13" s="6"/>
      <c r="QC13" s="4"/>
      <c r="QD13" s="4"/>
      <c r="QE13" s="4"/>
      <c r="QF13" s="4"/>
      <c r="QG13" s="4"/>
      <c r="QH13" s="5"/>
      <c r="QI13" s="6"/>
      <c r="QJ13" s="4"/>
      <c r="QK13" s="4"/>
      <c r="QL13" s="4"/>
      <c r="QM13" s="4"/>
      <c r="QN13" s="4"/>
      <c r="QO13" s="5"/>
      <c r="QP13" s="6"/>
      <c r="QQ13" s="4"/>
      <c r="QR13" s="4"/>
      <c r="QS13" s="4"/>
      <c r="QT13" s="4"/>
      <c r="QU13" s="4"/>
      <c r="QV13" s="5"/>
      <c r="QW13" s="6"/>
      <c r="QX13" s="4"/>
      <c r="QY13" s="4"/>
      <c r="QZ13" s="4"/>
      <c r="RA13" s="4"/>
      <c r="RB13" s="4"/>
      <c r="RC13" s="5"/>
      <c r="RD13" s="6"/>
      <c r="RE13" s="4"/>
      <c r="RF13" s="4"/>
      <c r="RG13" s="4"/>
      <c r="RH13" s="4"/>
      <c r="RI13" s="4"/>
      <c r="RJ13" s="5"/>
      <c r="RK13" s="6"/>
      <c r="RL13" s="4"/>
      <c r="RM13" s="4"/>
      <c r="RN13" s="4"/>
      <c r="RO13" s="4"/>
      <c r="RP13" s="4"/>
      <c r="RQ13" s="5"/>
      <c r="RR13" s="6"/>
      <c r="RS13" s="4"/>
      <c r="RT13" s="4"/>
      <c r="RU13" s="4"/>
      <c r="RV13" s="4"/>
      <c r="RW13" s="4"/>
      <c r="RX13" s="5"/>
      <c r="RY13" s="6"/>
      <c r="RZ13" s="4"/>
      <c r="SA13" s="4"/>
      <c r="SB13" s="4"/>
      <c r="SC13" s="4"/>
      <c r="SD13" s="4"/>
      <c r="SE13" s="5"/>
      <c r="SF13" s="6"/>
      <c r="SG13" s="4"/>
      <c r="SH13" s="4"/>
      <c r="SI13" s="4"/>
      <c r="SJ13" s="4"/>
      <c r="SK13" s="4"/>
      <c r="SL13" s="5"/>
      <c r="SM13" s="6"/>
      <c r="SN13" s="4"/>
      <c r="SO13" s="4"/>
      <c r="SP13" s="4"/>
      <c r="SQ13" s="4"/>
      <c r="SR13" s="4"/>
      <c r="SS13" s="5"/>
      <c r="ST13" s="6"/>
      <c r="SU13" s="4"/>
      <c r="SV13" s="4"/>
      <c r="SW13" s="4"/>
      <c r="SX13" s="4"/>
      <c r="SY13" s="4"/>
      <c r="SZ13" s="5"/>
      <c r="TA13" s="6"/>
      <c r="TB13" s="4"/>
      <c r="TC13" s="4"/>
      <c r="TD13" s="4"/>
      <c r="TE13" s="4"/>
      <c r="TF13" s="4"/>
      <c r="TG13" s="5"/>
      <c r="TH13" s="6"/>
      <c r="TI13" s="4"/>
      <c r="TJ13" s="4"/>
      <c r="TK13" s="4"/>
      <c r="TL13" s="4"/>
      <c r="TM13" s="4"/>
      <c r="TN13" s="5"/>
      <c r="TO13" s="6"/>
      <c r="TP13" s="4"/>
      <c r="TQ13" s="4"/>
      <c r="TR13" s="4"/>
      <c r="TS13" s="4"/>
      <c r="TT13" s="4"/>
      <c r="TU13" s="5"/>
      <c r="TV13" s="6"/>
      <c r="TW13" s="4"/>
      <c r="TX13" s="4"/>
      <c r="TY13" s="4"/>
      <c r="TZ13" s="4"/>
      <c r="UA13" s="4"/>
      <c r="UB13" s="5"/>
      <c r="UC13" s="6"/>
      <c r="UD13" s="4"/>
      <c r="UE13" s="4"/>
      <c r="UF13" s="4"/>
      <c r="UG13" s="4"/>
      <c r="UH13" s="4"/>
      <c r="UI13" s="5"/>
      <c r="UJ13" s="6"/>
      <c r="UK13" s="4"/>
      <c r="UL13" s="4"/>
      <c r="UM13" s="4"/>
      <c r="UN13" s="4"/>
      <c r="UO13" s="4"/>
      <c r="UP13" s="5"/>
      <c r="UQ13" s="6"/>
      <c r="UR13" s="4"/>
      <c r="US13" s="4"/>
      <c r="UT13" s="4"/>
      <c r="UU13" s="4"/>
      <c r="UV13" s="4"/>
      <c r="UW13" s="5"/>
      <c r="UX13" s="6"/>
      <c r="UY13" s="4"/>
      <c r="UZ13" s="4"/>
      <c r="VA13" s="4"/>
      <c r="VB13" s="4"/>
      <c r="VC13" s="4"/>
      <c r="VD13" s="5"/>
      <c r="VE13" s="6"/>
      <c r="VF13" s="4"/>
      <c r="VG13" s="4"/>
      <c r="VH13" s="4"/>
      <c r="VI13" s="4"/>
      <c r="VJ13" s="4"/>
      <c r="VK13" s="5"/>
      <c r="VL13" s="6"/>
      <c r="VM13" s="4"/>
      <c r="VN13" s="4"/>
      <c r="VO13" s="4"/>
      <c r="VP13" s="4"/>
      <c r="VQ13" s="4"/>
      <c r="VR13" s="5"/>
      <c r="VS13" s="6"/>
      <c r="VT13" s="4"/>
      <c r="VU13" s="4"/>
      <c r="VV13" s="4"/>
      <c r="VW13" s="4"/>
      <c r="VX13" s="4"/>
      <c r="VY13" s="5"/>
      <c r="VZ13" s="6"/>
      <c r="WA13" s="4"/>
      <c r="WB13" s="4"/>
      <c r="WC13" s="4"/>
      <c r="WD13" s="4"/>
      <c r="WE13" s="4"/>
      <c r="WF13" s="5"/>
      <c r="WG13" s="6"/>
      <c r="WH13" s="4"/>
      <c r="WI13" s="4"/>
      <c r="WJ13" s="4"/>
      <c r="WK13" s="4"/>
      <c r="WL13" s="4"/>
      <c r="WM13" s="5"/>
      <c r="WN13" s="6"/>
      <c r="WO13" s="4"/>
      <c r="WP13" s="4"/>
      <c r="WQ13" s="4"/>
      <c r="WR13" s="4"/>
      <c r="WS13" s="4"/>
      <c r="WT13" s="5"/>
      <c r="WU13" s="6"/>
      <c r="WV13" s="4"/>
      <c r="WW13" s="4"/>
      <c r="WX13" s="4"/>
      <c r="WY13" s="4"/>
      <c r="WZ13" s="4"/>
      <c r="XA13" s="5"/>
      <c r="XB13" s="6"/>
      <c r="XC13" s="4"/>
      <c r="XD13" s="4"/>
      <c r="XE13" s="4"/>
      <c r="XF13" s="4"/>
      <c r="XG13" s="4"/>
      <c r="XH13" s="5"/>
      <c r="XI13" s="6"/>
      <c r="XJ13" s="4"/>
      <c r="XK13" s="4"/>
      <c r="XL13" s="4"/>
      <c r="XM13" s="4"/>
      <c r="XN13" s="4"/>
      <c r="XO13" s="5"/>
      <c r="XP13" s="6"/>
      <c r="XQ13" s="4"/>
      <c r="XR13" s="4"/>
      <c r="XS13" s="4"/>
      <c r="XT13" s="4"/>
      <c r="XU13" s="4"/>
      <c r="XV13" s="5"/>
      <c r="XW13" s="6"/>
      <c r="XX13" s="4"/>
      <c r="XY13" s="4"/>
      <c r="XZ13" s="4"/>
      <c r="YA13" s="4"/>
      <c r="YB13" s="4"/>
      <c r="YC13" s="5"/>
      <c r="YD13" s="6"/>
      <c r="YE13" s="4"/>
      <c r="YF13" s="4"/>
      <c r="YG13" s="4"/>
      <c r="YH13" s="4"/>
      <c r="YI13" s="4"/>
      <c r="YJ13" s="5"/>
      <c r="YK13" s="6"/>
      <c r="YL13" s="4"/>
      <c r="YM13" s="4"/>
      <c r="YN13" s="4"/>
      <c r="YO13" s="4"/>
      <c r="YP13" s="4"/>
      <c r="YQ13" s="5"/>
      <c r="YR13" s="6"/>
      <c r="YS13" s="4"/>
      <c r="YT13" s="4"/>
      <c r="YU13" s="4"/>
      <c r="YV13" s="4"/>
      <c r="YW13" s="4"/>
      <c r="YX13" s="5"/>
      <c r="YY13" s="6"/>
      <c r="YZ13" s="4"/>
      <c r="ZA13" s="4"/>
      <c r="ZB13" s="4"/>
      <c r="ZC13" s="4"/>
      <c r="ZD13" s="4"/>
      <c r="ZE13" s="5"/>
      <c r="ZF13" s="6"/>
      <c r="ZG13" s="4"/>
      <c r="ZH13" s="4"/>
      <c r="ZI13" s="4"/>
      <c r="ZJ13" s="4"/>
      <c r="ZK13" s="4"/>
      <c r="ZL13" s="5"/>
      <c r="ZM13" s="6"/>
      <c r="ZN13" s="4"/>
      <c r="ZO13" s="4"/>
      <c r="ZP13" s="4"/>
      <c r="ZQ13" s="4"/>
      <c r="ZR13" s="4"/>
      <c r="ZS13" s="5"/>
      <c r="ZT13" s="6"/>
      <c r="ZU13" s="4"/>
      <c r="ZV13" s="4"/>
      <c r="ZW13" s="4"/>
      <c r="ZX13" s="4"/>
      <c r="ZY13" s="4"/>
      <c r="ZZ13" s="5"/>
      <c r="AAA13" s="6"/>
      <c r="AAB13" s="4"/>
      <c r="AAC13" s="4"/>
      <c r="AAD13" s="4"/>
      <c r="AAE13" s="4"/>
      <c r="AAF13" s="4"/>
      <c r="AAG13" s="5"/>
      <c r="AAH13" s="6"/>
      <c r="AAI13" s="4"/>
      <c r="AAJ13" s="4"/>
      <c r="AAK13" s="4"/>
      <c r="AAL13" s="4"/>
      <c r="AAM13" s="4"/>
      <c r="AAN13" s="5"/>
      <c r="AAO13" s="6"/>
      <c r="AAP13" s="4"/>
      <c r="AAQ13" s="4"/>
      <c r="AAR13" s="4"/>
      <c r="AAS13" s="4"/>
      <c r="AAT13" s="4"/>
      <c r="AAU13" s="5"/>
      <c r="AAV13" s="6"/>
      <c r="AAW13" s="4"/>
      <c r="AAX13" s="4"/>
      <c r="AAY13" s="4"/>
      <c r="AAZ13" s="4"/>
      <c r="ABA13" s="4"/>
      <c r="ABB13" s="5"/>
      <c r="ABC13" s="6"/>
      <c r="ABD13" s="4"/>
      <c r="ABE13" s="4"/>
      <c r="ABF13" s="4"/>
      <c r="ABG13" s="4"/>
      <c r="ABH13" s="4"/>
      <c r="ABI13" s="5"/>
      <c r="ABJ13" s="6"/>
      <c r="ABK13" s="4"/>
      <c r="ABL13" s="4"/>
      <c r="ABM13" s="4"/>
      <c r="ABN13" s="4"/>
      <c r="ABO13" s="4"/>
      <c r="ABP13" s="5"/>
      <c r="ABQ13" s="6"/>
      <c r="ABR13" s="4"/>
      <c r="ABS13" s="4"/>
      <c r="ABT13" s="4"/>
      <c r="ABU13" s="4"/>
      <c r="ABV13" s="4"/>
      <c r="ABW13" s="5"/>
      <c r="ABX13" s="6"/>
      <c r="ABY13" s="4"/>
      <c r="ABZ13" s="4"/>
      <c r="ACA13" s="4"/>
      <c r="ACB13" s="4"/>
      <c r="ACC13" s="4"/>
      <c r="ACD13" s="5"/>
      <c r="ACE13" s="6"/>
      <c r="ACF13" s="4"/>
      <c r="ACG13" s="4"/>
      <c r="ACH13" s="4"/>
      <c r="ACI13" s="4"/>
      <c r="ACJ13" s="4"/>
      <c r="ACK13" s="5"/>
      <c r="ACL13" s="6"/>
      <c r="ACM13" s="4"/>
      <c r="ACN13" s="4"/>
      <c r="ACO13" s="4"/>
      <c r="ACP13" s="4"/>
      <c r="ACQ13" s="4"/>
      <c r="ACR13" s="5"/>
      <c r="ACS13" s="6"/>
      <c r="ACT13" s="4"/>
      <c r="ACU13" s="4"/>
      <c r="ACV13" s="4"/>
      <c r="ACW13" s="4"/>
      <c r="ACX13" s="4"/>
      <c r="ACY13" s="5"/>
    </row>
    <row r="14" spans="1:839" x14ac:dyDescent="0.25">
      <c r="B14" s="30"/>
      <c r="J14" s="12"/>
      <c r="K14" s="12"/>
      <c r="L14" s="12"/>
      <c r="LL14" s="6"/>
      <c r="LM14" s="4"/>
      <c r="LN14" s="4"/>
      <c r="LO14" s="4"/>
      <c r="LP14" s="4"/>
      <c r="LQ14" s="4"/>
      <c r="LR14" s="5"/>
      <c r="LS14" s="6"/>
      <c r="LT14" s="4"/>
      <c r="LU14" s="4"/>
      <c r="LV14" s="4"/>
      <c r="LW14" s="4"/>
      <c r="LX14" s="4"/>
      <c r="LY14" s="5"/>
      <c r="LZ14" s="6" t="s">
        <v>2273</v>
      </c>
      <c r="MA14" s="7" t="s">
        <v>2375</v>
      </c>
      <c r="MB14" s="4"/>
      <c r="MC14" s="4"/>
      <c r="MD14" s="4"/>
      <c r="ME14" s="4"/>
      <c r="MF14" s="4"/>
      <c r="MG14" s="5"/>
      <c r="MH14" s="6"/>
      <c r="MI14" s="4"/>
      <c r="MJ14" s="4"/>
      <c r="MK14" s="4"/>
      <c r="ML14" s="4"/>
      <c r="MM14" s="4"/>
      <c r="MN14" s="5"/>
      <c r="MO14" s="6"/>
      <c r="MP14" s="4"/>
      <c r="MQ14" s="4"/>
      <c r="MR14" s="4"/>
      <c r="MS14" s="4"/>
      <c r="MT14" s="4"/>
      <c r="MU14" s="5"/>
      <c r="MV14" s="6"/>
      <c r="MW14" s="4"/>
      <c r="MX14" s="4"/>
      <c r="MY14" s="4"/>
      <c r="MZ14" s="4"/>
      <c r="NA14" s="4"/>
      <c r="NB14" s="5"/>
      <c r="NC14" s="6"/>
      <c r="ND14" s="4"/>
      <c r="NE14" s="4"/>
      <c r="NF14" s="4"/>
      <c r="NG14" s="4"/>
      <c r="NH14" s="4"/>
      <c r="NI14" s="5"/>
      <c r="NJ14" s="6"/>
      <c r="NK14" s="4"/>
      <c r="NL14" s="4"/>
      <c r="NM14" s="4"/>
      <c r="NN14" s="4"/>
      <c r="NO14" s="4"/>
      <c r="NP14" s="5"/>
      <c r="NQ14" s="6"/>
      <c r="NR14" s="4"/>
      <c r="NS14" s="4"/>
      <c r="NT14" s="4"/>
      <c r="NU14" s="4"/>
      <c r="NV14" s="4"/>
      <c r="NW14" s="5"/>
      <c r="NX14" s="6"/>
      <c r="NY14" s="4"/>
      <c r="NZ14" s="4"/>
      <c r="OA14" s="4"/>
      <c r="OB14" s="4"/>
      <c r="OC14" s="4"/>
      <c r="OD14" s="5"/>
      <c r="OE14" s="6"/>
      <c r="OF14" s="4"/>
      <c r="OG14" s="4"/>
      <c r="OH14" s="4"/>
      <c r="OI14" s="4"/>
      <c r="OJ14" s="4"/>
      <c r="OK14" s="5"/>
      <c r="OL14" s="6"/>
      <c r="OM14" s="4"/>
      <c r="ON14" s="4"/>
      <c r="OO14" s="4"/>
      <c r="OP14" s="4"/>
      <c r="OQ14" s="4"/>
      <c r="OR14" s="5"/>
      <c r="OS14" s="6"/>
      <c r="OT14" s="4"/>
      <c r="OU14" s="4"/>
      <c r="OV14" s="4"/>
      <c r="OW14" s="4"/>
      <c r="OX14" s="4"/>
      <c r="OY14" s="5"/>
      <c r="OZ14" s="6"/>
      <c r="PA14" s="4"/>
      <c r="PB14" s="4"/>
      <c r="PC14" s="4"/>
      <c r="PD14" s="4"/>
      <c r="PE14" s="4"/>
      <c r="PF14" s="5"/>
      <c r="PG14" s="6"/>
      <c r="PH14" s="4"/>
      <c r="PI14" s="4"/>
      <c r="PJ14" s="4"/>
      <c r="PK14" s="4"/>
      <c r="PL14" s="4"/>
      <c r="PM14" s="5"/>
      <c r="PN14" s="6"/>
      <c r="PO14" s="4"/>
      <c r="PP14" s="4"/>
      <c r="PQ14" s="4"/>
      <c r="PR14" s="4"/>
      <c r="PS14" s="4"/>
      <c r="PT14" s="5"/>
      <c r="PU14" s="6"/>
      <c r="PV14" s="4"/>
      <c r="PW14" s="4"/>
      <c r="PX14" s="4"/>
      <c r="PY14" s="4"/>
      <c r="PZ14" s="4"/>
      <c r="QA14" s="5"/>
      <c r="QB14" s="6"/>
      <c r="QC14" s="4"/>
      <c r="QD14" s="4"/>
      <c r="QE14" s="4"/>
      <c r="QF14" s="4"/>
      <c r="QG14" s="4"/>
      <c r="QH14" s="5"/>
      <c r="QI14" s="6"/>
      <c r="QJ14" s="4"/>
      <c r="QK14" s="4"/>
      <c r="QL14" s="4"/>
      <c r="QM14" s="4"/>
      <c r="QN14" s="4"/>
      <c r="QO14" s="5"/>
      <c r="QP14" s="6"/>
      <c r="QQ14" s="4"/>
      <c r="QR14" s="4"/>
      <c r="QS14" s="4"/>
      <c r="QT14" s="4"/>
      <c r="QU14" s="4"/>
      <c r="QV14" s="5"/>
      <c r="QW14" s="6"/>
      <c r="QX14" s="4"/>
      <c r="QY14" s="4"/>
      <c r="QZ14" s="4"/>
      <c r="RA14" s="4"/>
      <c r="RB14" s="4"/>
      <c r="RC14" s="5"/>
      <c r="RD14" s="6"/>
      <c r="RE14" s="4"/>
      <c r="RF14" s="4"/>
      <c r="RG14" s="4"/>
      <c r="RH14" s="4"/>
      <c r="RI14" s="4"/>
      <c r="RJ14" s="5"/>
      <c r="RK14" s="6"/>
      <c r="RL14" s="4"/>
      <c r="RM14" s="4"/>
      <c r="RN14" s="4"/>
      <c r="RO14" s="4"/>
      <c r="RP14" s="4"/>
      <c r="RQ14" s="5"/>
      <c r="RR14" s="6"/>
      <c r="RS14" s="4"/>
      <c r="RT14" s="4"/>
      <c r="RU14" s="4"/>
      <c r="RV14" s="4"/>
      <c r="RW14" s="4"/>
      <c r="RX14" s="5"/>
      <c r="RY14" s="6"/>
      <c r="RZ14" s="4"/>
      <c r="SA14" s="4"/>
      <c r="SB14" s="4"/>
      <c r="SC14" s="4"/>
      <c r="SD14" s="4"/>
      <c r="SE14" s="5"/>
      <c r="SF14" s="6"/>
      <c r="SG14" s="4"/>
      <c r="SH14" s="4"/>
      <c r="SI14" s="4"/>
      <c r="SJ14" s="4"/>
      <c r="SK14" s="4"/>
      <c r="SL14" s="5"/>
      <c r="SM14" s="6"/>
      <c r="SN14" s="4"/>
      <c r="SO14" s="4"/>
      <c r="SP14" s="4"/>
      <c r="SQ14" s="4"/>
      <c r="SR14" s="4"/>
      <c r="SS14" s="5"/>
      <c r="ST14" s="6"/>
      <c r="SU14" s="4"/>
      <c r="SV14" s="4"/>
      <c r="SW14" s="4"/>
      <c r="SX14" s="4"/>
      <c r="SY14" s="4"/>
      <c r="SZ14" s="5"/>
      <c r="TA14" s="6"/>
      <c r="TB14" s="4"/>
      <c r="TC14" s="4"/>
      <c r="TD14" s="4"/>
      <c r="TE14" s="4"/>
      <c r="TF14" s="4"/>
      <c r="TG14" s="5"/>
      <c r="TH14" s="6"/>
      <c r="TI14" s="4"/>
      <c r="TJ14" s="4"/>
      <c r="TK14" s="4"/>
      <c r="TL14" s="4"/>
      <c r="TM14" s="4"/>
      <c r="TN14" s="5"/>
      <c r="TO14" s="6"/>
      <c r="TP14" s="4"/>
      <c r="TQ14" s="4"/>
      <c r="TR14" s="4"/>
      <c r="TS14" s="4"/>
      <c r="TT14" s="4"/>
      <c r="TU14" s="5"/>
      <c r="TV14" s="6"/>
      <c r="TW14" s="4"/>
      <c r="TX14" s="4"/>
      <c r="TY14" s="4"/>
      <c r="TZ14" s="4"/>
      <c r="UA14" s="4"/>
      <c r="UB14" s="5"/>
      <c r="UC14" s="6"/>
      <c r="UD14" s="4"/>
      <c r="UE14" s="4"/>
      <c r="UF14" s="4"/>
      <c r="UG14" s="4"/>
      <c r="UH14" s="4"/>
      <c r="UI14" s="5"/>
      <c r="UJ14" s="6"/>
      <c r="UK14" s="4"/>
      <c r="UL14" s="4"/>
      <c r="UM14" s="4"/>
      <c r="UN14" s="4"/>
      <c r="UO14" s="4"/>
      <c r="UP14" s="5"/>
      <c r="UQ14" s="6"/>
      <c r="UR14" s="4"/>
      <c r="US14" s="4"/>
      <c r="UT14" s="4"/>
      <c r="UU14" s="4"/>
      <c r="UV14" s="4"/>
      <c r="UW14" s="5"/>
      <c r="UX14" s="6"/>
      <c r="UY14" s="4"/>
      <c r="UZ14" s="4"/>
      <c r="VA14" s="4"/>
      <c r="VB14" s="4"/>
      <c r="VC14" s="4"/>
      <c r="VD14" s="5"/>
      <c r="VE14" s="6"/>
      <c r="VF14" s="4"/>
      <c r="VG14" s="4"/>
      <c r="VH14" s="4"/>
      <c r="VI14" s="4"/>
      <c r="VJ14" s="4"/>
      <c r="VK14" s="5"/>
      <c r="VL14" s="6"/>
      <c r="VM14" s="4"/>
      <c r="VN14" s="4"/>
      <c r="VO14" s="4"/>
      <c r="VP14" s="4"/>
      <c r="VQ14" s="4"/>
      <c r="VR14" s="5"/>
      <c r="VS14" s="6"/>
      <c r="VT14" s="4"/>
      <c r="VU14" s="4"/>
      <c r="VV14" s="4"/>
      <c r="VW14" s="4"/>
      <c r="VX14" s="4"/>
      <c r="VY14" s="5"/>
      <c r="VZ14" s="6"/>
      <c r="WA14" s="4"/>
      <c r="WB14" s="4"/>
      <c r="WC14" s="4"/>
      <c r="WD14" s="4"/>
      <c r="WE14" s="4"/>
      <c r="WF14" s="5"/>
      <c r="WG14" s="6"/>
      <c r="WH14" s="4"/>
      <c r="WI14" s="4"/>
      <c r="WJ14" s="4"/>
      <c r="WK14" s="4"/>
      <c r="WL14" s="4"/>
      <c r="WM14" s="5"/>
      <c r="WN14" s="6"/>
      <c r="WO14" s="4"/>
      <c r="WP14" s="4"/>
      <c r="WQ14" s="4"/>
      <c r="WR14" s="4"/>
      <c r="WS14" s="4"/>
      <c r="WT14" s="5"/>
      <c r="WU14" s="6"/>
      <c r="WV14" s="4"/>
      <c r="WW14" s="4"/>
      <c r="WX14" s="4"/>
      <c r="WY14" s="4"/>
      <c r="WZ14" s="4"/>
      <c r="XA14" s="5"/>
      <c r="XB14" s="6"/>
      <c r="XC14" s="4"/>
      <c r="XD14" s="4"/>
      <c r="XE14" s="4"/>
      <c r="XF14" s="4"/>
      <c r="XG14" s="4"/>
      <c r="XH14" s="5"/>
      <c r="XI14" s="6"/>
      <c r="XJ14" s="4"/>
      <c r="XK14" s="4"/>
      <c r="XL14" s="4"/>
      <c r="XM14" s="4"/>
      <c r="XN14" s="4"/>
      <c r="XO14" s="5"/>
      <c r="XP14" s="6"/>
      <c r="XQ14" s="4"/>
      <c r="XR14" s="4"/>
      <c r="XS14" s="4"/>
      <c r="XT14" s="4"/>
      <c r="XU14" s="4"/>
      <c r="XV14" s="5"/>
      <c r="XW14" s="6"/>
      <c r="XX14" s="4"/>
      <c r="XY14" s="4"/>
      <c r="XZ14" s="4"/>
      <c r="YA14" s="4"/>
      <c r="YB14" s="4"/>
      <c r="YC14" s="5"/>
      <c r="YD14" s="6"/>
      <c r="YE14" s="4"/>
      <c r="YF14" s="4"/>
      <c r="YG14" s="4"/>
      <c r="YH14" s="4"/>
      <c r="YI14" s="4"/>
      <c r="YJ14" s="5"/>
      <c r="YK14" s="6"/>
      <c r="YL14" s="4"/>
      <c r="YM14" s="4"/>
      <c r="YN14" s="4"/>
      <c r="YO14" s="4"/>
      <c r="YP14" s="4"/>
      <c r="YQ14" s="5"/>
      <c r="YR14" s="6"/>
      <c r="YS14" s="4"/>
      <c r="YT14" s="4"/>
      <c r="YU14" s="4"/>
      <c r="YV14" s="4"/>
      <c r="YW14" s="4"/>
      <c r="YX14" s="5"/>
      <c r="YY14" s="6"/>
      <c r="YZ14" s="4"/>
      <c r="ZA14" s="4"/>
      <c r="ZB14" s="4"/>
      <c r="ZC14" s="4"/>
      <c r="ZD14" s="4"/>
      <c r="ZE14" s="5"/>
      <c r="ZF14" s="6"/>
      <c r="ZG14" s="4"/>
      <c r="ZH14" s="4"/>
      <c r="ZI14" s="4"/>
      <c r="ZJ14" s="4"/>
      <c r="ZK14" s="4"/>
      <c r="ZL14" s="5"/>
      <c r="ZM14" s="6"/>
      <c r="ZN14" s="4"/>
      <c r="ZO14" s="4"/>
      <c r="ZP14" s="4"/>
      <c r="ZQ14" s="4"/>
      <c r="ZR14" s="4"/>
      <c r="ZS14" s="5"/>
      <c r="ZT14" s="6"/>
      <c r="ZU14" s="4"/>
      <c r="ZV14" s="4"/>
      <c r="ZW14" s="4"/>
      <c r="ZX14" s="4"/>
      <c r="ZY14" s="4"/>
      <c r="ZZ14" s="5"/>
      <c r="AAA14" s="6"/>
      <c r="AAB14" s="4"/>
      <c r="AAC14" s="4"/>
      <c r="AAD14" s="4"/>
      <c r="AAE14" s="4"/>
      <c r="AAF14" s="4"/>
      <c r="AAG14" s="5"/>
      <c r="AAH14" s="6"/>
      <c r="AAI14" s="4"/>
      <c r="AAJ14" s="4"/>
      <c r="AAK14" s="4"/>
      <c r="AAL14" s="4"/>
      <c r="AAM14" s="4"/>
      <c r="AAN14" s="5"/>
      <c r="AAO14" s="6"/>
      <c r="AAP14" s="4"/>
      <c r="AAQ14" s="4"/>
      <c r="AAR14" s="4"/>
      <c r="AAS14" s="4"/>
      <c r="AAT14" s="4"/>
      <c r="AAU14" s="5"/>
      <c r="AAV14" s="6"/>
      <c r="AAW14" s="4"/>
      <c r="AAX14" s="4"/>
      <c r="AAY14" s="4"/>
      <c r="AAZ14" s="4"/>
      <c r="ABA14" s="4"/>
      <c r="ABB14" s="5"/>
      <c r="ABC14" s="6"/>
      <c r="ABD14" s="4"/>
      <c r="ABE14" s="4"/>
      <c r="ABF14" s="4"/>
      <c r="ABG14" s="4"/>
      <c r="ABH14" s="4"/>
      <c r="ABI14" s="5"/>
      <c r="ABJ14" s="6"/>
      <c r="ABK14" s="4"/>
      <c r="ABL14" s="4"/>
      <c r="ABM14" s="4"/>
      <c r="ABN14" s="4"/>
      <c r="ABO14" s="4"/>
      <c r="ABP14" s="5"/>
      <c r="ABQ14" s="6"/>
      <c r="ABR14" s="4"/>
      <c r="ABS14" s="4"/>
      <c r="ABT14" s="4"/>
      <c r="ABU14" s="4"/>
      <c r="ABV14" s="4"/>
      <c r="ABW14" s="5"/>
      <c r="ABX14" s="6"/>
      <c r="ABY14" s="4"/>
      <c r="ABZ14" s="4"/>
      <c r="ACA14" s="4"/>
      <c r="ACB14" s="4"/>
      <c r="ACC14" s="4"/>
      <c r="ACD14" s="5"/>
      <c r="ACE14" s="6"/>
      <c r="ACF14" s="4"/>
      <c r="ACG14" s="4"/>
      <c r="ACH14" s="4"/>
      <c r="ACI14" s="4"/>
      <c r="ACJ14" s="4"/>
      <c r="ACK14" s="5"/>
      <c r="ACL14" s="6"/>
      <c r="ACM14" s="4"/>
      <c r="ACN14" s="4"/>
      <c r="ACO14" s="4"/>
      <c r="ACP14" s="4"/>
      <c r="ACQ14" s="4"/>
      <c r="ACR14" s="5"/>
      <c r="ACS14" s="6"/>
      <c r="ACT14" s="4"/>
      <c r="ACU14" s="4"/>
      <c r="ACV14" s="4"/>
      <c r="ACW14" s="4"/>
      <c r="ACX14" s="4"/>
      <c r="ACY14" s="5"/>
    </row>
    <row r="15" spans="1:839" x14ac:dyDescent="0.25">
      <c r="B15" s="30"/>
      <c r="J15" s="12"/>
      <c r="K15" s="12"/>
      <c r="L15" s="12"/>
      <c r="LL15" s="6"/>
      <c r="LM15" s="4"/>
      <c r="LN15" s="4"/>
      <c r="LO15" s="4"/>
      <c r="LP15" s="4"/>
      <c r="LQ15" s="4"/>
      <c r="LR15" s="5"/>
      <c r="LS15" s="6"/>
      <c r="LT15" s="4"/>
      <c r="LU15" s="4"/>
      <c r="LV15" s="4"/>
      <c r="LW15" s="4"/>
      <c r="LX15" s="4"/>
      <c r="LY15" s="5"/>
      <c r="LZ15" s="6" t="s">
        <v>2376</v>
      </c>
      <c r="MA15" s="7" t="s">
        <v>2375</v>
      </c>
      <c r="MB15" s="4"/>
      <c r="MC15" s="4"/>
      <c r="MD15" s="4"/>
      <c r="ME15" s="4"/>
      <c r="MF15" s="4"/>
      <c r="MG15" s="5"/>
      <c r="MH15" s="6"/>
      <c r="MI15" s="4"/>
      <c r="MJ15" s="4"/>
      <c r="MK15" s="4"/>
      <c r="ML15" s="4"/>
      <c r="MM15" s="4"/>
      <c r="MN15" s="5"/>
      <c r="MO15" s="6"/>
      <c r="MP15" s="4"/>
      <c r="MQ15" s="4"/>
      <c r="MR15" s="4"/>
      <c r="MS15" s="4"/>
      <c r="MT15" s="4"/>
      <c r="MU15" s="5"/>
      <c r="MV15" s="6"/>
      <c r="MW15" s="4"/>
      <c r="MX15" s="4"/>
      <c r="MY15" s="4"/>
      <c r="MZ15" s="4"/>
      <c r="NA15" s="4"/>
      <c r="NB15" s="5"/>
      <c r="NC15" s="6"/>
      <c r="ND15" s="4"/>
      <c r="NE15" s="4"/>
      <c r="NF15" s="4"/>
      <c r="NG15" s="4"/>
      <c r="NH15" s="4"/>
      <c r="NI15" s="5"/>
      <c r="NJ15" s="6"/>
      <c r="NK15" s="4"/>
      <c r="NL15" s="4"/>
      <c r="NM15" s="4"/>
      <c r="NN15" s="4"/>
      <c r="NO15" s="4"/>
      <c r="NP15" s="5"/>
      <c r="NQ15" s="6"/>
      <c r="NR15" s="4"/>
      <c r="NS15" s="4"/>
      <c r="NT15" s="4"/>
      <c r="NU15" s="4"/>
      <c r="NV15" s="4"/>
      <c r="NW15" s="5"/>
      <c r="NX15" s="6"/>
      <c r="NY15" s="4"/>
      <c r="NZ15" s="4"/>
      <c r="OA15" s="4"/>
      <c r="OB15" s="4"/>
      <c r="OC15" s="4"/>
      <c r="OD15" s="5"/>
      <c r="OE15" s="6"/>
      <c r="OF15" s="4"/>
      <c r="OG15" s="4"/>
      <c r="OH15" s="4"/>
      <c r="OI15" s="4"/>
      <c r="OJ15" s="4"/>
      <c r="OK15" s="5"/>
      <c r="OL15" s="6"/>
      <c r="OM15" s="4"/>
      <c r="ON15" s="4"/>
      <c r="OO15" s="4"/>
      <c r="OP15" s="4"/>
      <c r="OQ15" s="4"/>
      <c r="OR15" s="5"/>
      <c r="OS15" s="6"/>
      <c r="OT15" s="4"/>
      <c r="OU15" s="4"/>
      <c r="OV15" s="4"/>
      <c r="OW15" s="4"/>
      <c r="OX15" s="4"/>
      <c r="OY15" s="5"/>
      <c r="OZ15" s="6"/>
      <c r="PA15" s="4"/>
      <c r="PB15" s="4"/>
      <c r="PC15" s="4"/>
      <c r="PD15" s="4"/>
      <c r="PE15" s="4"/>
      <c r="PF15" s="5"/>
      <c r="PG15" s="6"/>
      <c r="PH15" s="4"/>
      <c r="PI15" s="4"/>
      <c r="PJ15" s="4"/>
      <c r="PK15" s="4"/>
      <c r="PL15" s="4"/>
      <c r="PM15" s="5"/>
      <c r="PN15" s="6"/>
      <c r="PO15" s="4"/>
      <c r="PP15" s="4"/>
      <c r="PQ15" s="4"/>
      <c r="PR15" s="4"/>
      <c r="PS15" s="4"/>
      <c r="PT15" s="5"/>
      <c r="PU15" s="6"/>
      <c r="PV15" s="4"/>
      <c r="PW15" s="4"/>
      <c r="PX15" s="4"/>
      <c r="PY15" s="4"/>
      <c r="PZ15" s="4"/>
      <c r="QA15" s="5"/>
      <c r="QB15" s="6"/>
      <c r="QC15" s="4"/>
      <c r="QD15" s="4"/>
      <c r="QE15" s="4"/>
      <c r="QF15" s="4"/>
      <c r="QG15" s="4"/>
      <c r="QH15" s="5"/>
      <c r="QI15" s="6"/>
      <c r="QJ15" s="4"/>
      <c r="QK15" s="4"/>
      <c r="QL15" s="4"/>
      <c r="QM15" s="4"/>
      <c r="QN15" s="4"/>
      <c r="QO15" s="5"/>
      <c r="QP15" s="6"/>
      <c r="QQ15" s="4"/>
      <c r="QR15" s="4"/>
      <c r="QS15" s="4"/>
      <c r="QT15" s="4"/>
      <c r="QU15" s="4"/>
      <c r="QV15" s="5"/>
      <c r="QW15" s="6"/>
      <c r="QX15" s="4"/>
      <c r="QY15" s="4"/>
      <c r="QZ15" s="4"/>
      <c r="RA15" s="4"/>
      <c r="RB15" s="4"/>
      <c r="RC15" s="5"/>
      <c r="RD15" s="6"/>
      <c r="RE15" s="4"/>
      <c r="RF15" s="4"/>
      <c r="RG15" s="4"/>
      <c r="RH15" s="4"/>
      <c r="RI15" s="4"/>
      <c r="RJ15" s="5"/>
      <c r="RK15" s="6"/>
      <c r="RL15" s="4"/>
      <c r="RM15" s="4"/>
      <c r="RN15" s="4"/>
      <c r="RO15" s="4"/>
      <c r="RP15" s="4"/>
      <c r="RQ15" s="5"/>
      <c r="RR15" s="6"/>
      <c r="RS15" s="4"/>
      <c r="RT15" s="4"/>
      <c r="RU15" s="4"/>
      <c r="RV15" s="4"/>
      <c r="RW15" s="4"/>
      <c r="RX15" s="5"/>
      <c r="RY15" s="6"/>
      <c r="RZ15" s="4"/>
      <c r="SA15" s="4"/>
      <c r="SB15" s="4"/>
      <c r="SC15" s="4"/>
      <c r="SD15" s="4"/>
      <c r="SE15" s="5"/>
      <c r="SF15" s="6"/>
      <c r="SG15" s="4"/>
      <c r="SH15" s="4"/>
      <c r="SI15" s="4"/>
      <c r="SJ15" s="4"/>
      <c r="SK15" s="4"/>
      <c r="SL15" s="5"/>
      <c r="SM15" s="6"/>
      <c r="SN15" s="4"/>
      <c r="SO15" s="4"/>
      <c r="SP15" s="4"/>
      <c r="SQ15" s="4"/>
      <c r="SR15" s="4"/>
      <c r="SS15" s="5"/>
      <c r="ST15" s="6"/>
      <c r="SU15" s="4"/>
      <c r="SV15" s="4"/>
      <c r="SW15" s="4"/>
      <c r="SX15" s="4"/>
      <c r="SY15" s="4"/>
      <c r="SZ15" s="5"/>
      <c r="TA15" s="6"/>
      <c r="TB15" s="4"/>
      <c r="TC15" s="4"/>
      <c r="TD15" s="4"/>
      <c r="TE15" s="4"/>
      <c r="TF15" s="4"/>
      <c r="TG15" s="5"/>
      <c r="TH15" s="6"/>
      <c r="TI15" s="4"/>
      <c r="TJ15" s="4"/>
      <c r="TK15" s="4"/>
      <c r="TL15" s="4"/>
      <c r="TM15" s="4"/>
      <c r="TN15" s="5"/>
      <c r="TO15" s="6"/>
      <c r="TP15" s="4"/>
      <c r="TQ15" s="4"/>
      <c r="TR15" s="4"/>
      <c r="TS15" s="4"/>
      <c r="TT15" s="4"/>
      <c r="TU15" s="5"/>
      <c r="TV15" s="6"/>
      <c r="TW15" s="4"/>
      <c r="TX15" s="4"/>
      <c r="TY15" s="4"/>
      <c r="TZ15" s="4"/>
      <c r="UA15" s="4"/>
      <c r="UB15" s="5"/>
      <c r="UC15" s="6"/>
      <c r="UD15" s="4"/>
      <c r="UE15" s="4"/>
      <c r="UF15" s="4"/>
      <c r="UG15" s="4"/>
      <c r="UH15" s="4"/>
      <c r="UI15" s="5"/>
      <c r="UJ15" s="6"/>
      <c r="UK15" s="4"/>
      <c r="UL15" s="4"/>
      <c r="UM15" s="4"/>
      <c r="UN15" s="4"/>
      <c r="UO15" s="4"/>
      <c r="UP15" s="5"/>
      <c r="UQ15" s="6"/>
      <c r="UR15" s="4"/>
      <c r="US15" s="4"/>
      <c r="UT15" s="4"/>
      <c r="UU15" s="4"/>
      <c r="UV15" s="4"/>
      <c r="UW15" s="5"/>
      <c r="UX15" s="6"/>
      <c r="UY15" s="4"/>
      <c r="UZ15" s="4"/>
      <c r="VA15" s="4"/>
      <c r="VB15" s="4"/>
      <c r="VC15" s="4"/>
      <c r="VD15" s="5"/>
      <c r="VE15" s="6"/>
      <c r="VF15" s="4"/>
      <c r="VG15" s="4"/>
      <c r="VH15" s="4"/>
      <c r="VI15" s="4"/>
      <c r="VJ15" s="4"/>
      <c r="VK15" s="5"/>
      <c r="VL15" s="6"/>
      <c r="VM15" s="4"/>
      <c r="VN15" s="4"/>
      <c r="VO15" s="4"/>
      <c r="VP15" s="4"/>
      <c r="VQ15" s="4"/>
      <c r="VR15" s="5"/>
      <c r="VS15" s="6"/>
      <c r="VT15" s="4"/>
      <c r="VU15" s="4"/>
      <c r="VV15" s="4"/>
      <c r="VW15" s="4"/>
      <c r="VX15" s="4"/>
      <c r="VY15" s="5"/>
      <c r="VZ15" s="6"/>
      <c r="WA15" s="4"/>
      <c r="WB15" s="4"/>
      <c r="WC15" s="4"/>
      <c r="WD15" s="4"/>
      <c r="WE15" s="4"/>
      <c r="WF15" s="5"/>
      <c r="WG15" s="6"/>
      <c r="WH15" s="4"/>
      <c r="WI15" s="4"/>
      <c r="WJ15" s="4"/>
      <c r="WK15" s="4"/>
      <c r="WL15" s="4"/>
      <c r="WM15" s="5"/>
      <c r="WN15" s="6"/>
      <c r="WO15" s="4"/>
      <c r="WP15" s="4"/>
      <c r="WQ15" s="4"/>
      <c r="WR15" s="4"/>
      <c r="WS15" s="4"/>
      <c r="WT15" s="5"/>
      <c r="WU15" s="6"/>
      <c r="WV15" s="4"/>
      <c r="WW15" s="4"/>
      <c r="WX15" s="4"/>
      <c r="WY15" s="4"/>
      <c r="WZ15" s="4"/>
      <c r="XA15" s="5"/>
      <c r="XB15" s="6"/>
      <c r="XC15" s="4"/>
      <c r="XD15" s="4"/>
      <c r="XE15" s="4"/>
      <c r="XF15" s="4"/>
      <c r="XG15" s="4"/>
      <c r="XH15" s="5"/>
      <c r="XI15" s="6"/>
      <c r="XJ15" s="4"/>
      <c r="XK15" s="4"/>
      <c r="XL15" s="4"/>
      <c r="XM15" s="4"/>
      <c r="XN15" s="4"/>
      <c r="XO15" s="5"/>
      <c r="XP15" s="6"/>
      <c r="XQ15" s="4"/>
      <c r="XR15" s="4"/>
      <c r="XS15" s="4"/>
      <c r="XT15" s="4"/>
      <c r="XU15" s="4"/>
      <c r="XV15" s="5"/>
      <c r="XW15" s="6"/>
      <c r="XX15" s="4"/>
      <c r="XY15" s="4"/>
      <c r="XZ15" s="4"/>
      <c r="YA15" s="4"/>
      <c r="YB15" s="4"/>
      <c r="YC15" s="5"/>
      <c r="YD15" s="6"/>
      <c r="YE15" s="4"/>
      <c r="YF15" s="4"/>
      <c r="YG15" s="4"/>
      <c r="YH15" s="4"/>
      <c r="YI15" s="4"/>
      <c r="YJ15" s="5"/>
      <c r="YK15" s="6"/>
      <c r="YL15" s="4"/>
      <c r="YM15" s="4"/>
      <c r="YN15" s="4"/>
      <c r="YO15" s="4"/>
      <c r="YP15" s="4"/>
      <c r="YQ15" s="5"/>
      <c r="YR15" s="6"/>
      <c r="YS15" s="4"/>
      <c r="YT15" s="4"/>
      <c r="YU15" s="4"/>
      <c r="YV15" s="4"/>
      <c r="YW15" s="4"/>
      <c r="YX15" s="5"/>
      <c r="YY15" s="6"/>
      <c r="YZ15" s="4"/>
      <c r="ZA15" s="4"/>
      <c r="ZB15" s="4"/>
      <c r="ZC15" s="4"/>
      <c r="ZD15" s="4"/>
      <c r="ZE15" s="5"/>
      <c r="ZF15" s="6"/>
      <c r="ZG15" s="4"/>
      <c r="ZH15" s="4"/>
      <c r="ZI15" s="4"/>
      <c r="ZJ15" s="4"/>
      <c r="ZK15" s="4"/>
      <c r="ZL15" s="5"/>
      <c r="ZM15" s="6"/>
      <c r="ZN15" s="4"/>
      <c r="ZO15" s="4"/>
      <c r="ZP15" s="4"/>
      <c r="ZQ15" s="4"/>
      <c r="ZR15" s="4"/>
      <c r="ZS15" s="5"/>
      <c r="ZT15" s="6"/>
      <c r="ZU15" s="4"/>
      <c r="ZV15" s="4"/>
      <c r="ZW15" s="4"/>
      <c r="ZX15" s="4"/>
      <c r="ZY15" s="4"/>
      <c r="ZZ15" s="5"/>
      <c r="AAA15" s="6"/>
      <c r="AAB15" s="4"/>
      <c r="AAC15" s="4"/>
      <c r="AAD15" s="4"/>
      <c r="AAE15" s="4"/>
      <c r="AAF15" s="4"/>
      <c r="AAG15" s="5"/>
      <c r="AAH15" s="6"/>
      <c r="AAI15" s="4"/>
      <c r="AAJ15" s="4"/>
      <c r="AAK15" s="4"/>
      <c r="AAL15" s="4"/>
      <c r="AAM15" s="4"/>
      <c r="AAN15" s="5"/>
      <c r="AAO15" s="6"/>
      <c r="AAP15" s="4"/>
      <c r="AAQ15" s="4"/>
      <c r="AAR15" s="4"/>
      <c r="AAS15" s="4"/>
      <c r="AAT15" s="4"/>
      <c r="AAU15" s="5"/>
      <c r="AAV15" s="6"/>
      <c r="AAW15" s="4"/>
      <c r="AAX15" s="4"/>
      <c r="AAY15" s="4"/>
      <c r="AAZ15" s="4"/>
      <c r="ABA15" s="4"/>
      <c r="ABB15" s="5"/>
      <c r="ABC15" s="6"/>
      <c r="ABD15" s="4"/>
      <c r="ABE15" s="4"/>
      <c r="ABF15" s="4"/>
      <c r="ABG15" s="4"/>
      <c r="ABH15" s="4"/>
      <c r="ABI15" s="5"/>
      <c r="ABJ15" s="6"/>
      <c r="ABK15" s="4"/>
      <c r="ABL15" s="4"/>
      <c r="ABM15" s="4"/>
      <c r="ABN15" s="4"/>
      <c r="ABO15" s="4"/>
      <c r="ABP15" s="5"/>
      <c r="ABQ15" s="6"/>
      <c r="ABR15" s="4"/>
      <c r="ABS15" s="4"/>
      <c r="ABT15" s="4"/>
      <c r="ABU15" s="4"/>
      <c r="ABV15" s="4"/>
      <c r="ABW15" s="5"/>
      <c r="ABX15" s="6"/>
      <c r="ABY15" s="4"/>
      <c r="ABZ15" s="4"/>
      <c r="ACA15" s="4"/>
      <c r="ACB15" s="4"/>
      <c r="ACC15" s="4"/>
      <c r="ACD15" s="5"/>
      <c r="ACE15" s="6"/>
      <c r="ACF15" s="4"/>
      <c r="ACG15" s="4"/>
      <c r="ACH15" s="4"/>
      <c r="ACI15" s="4"/>
      <c r="ACJ15" s="4"/>
      <c r="ACK15" s="5"/>
      <c r="ACL15" s="6"/>
      <c r="ACM15" s="4"/>
      <c r="ACN15" s="4"/>
      <c r="ACO15" s="4"/>
      <c r="ACP15" s="4"/>
      <c r="ACQ15" s="4"/>
      <c r="ACR15" s="5"/>
      <c r="ACS15" s="6"/>
      <c r="ACT15" s="4"/>
      <c r="ACU15" s="4"/>
      <c r="ACV15" s="4"/>
      <c r="ACW15" s="4"/>
      <c r="ACX15" s="4"/>
      <c r="ACY15" s="5"/>
    </row>
    <row r="16" spans="1:839" x14ac:dyDescent="0.25">
      <c r="B16" s="43">
        <v>88010068</v>
      </c>
      <c r="C16">
        <v>36</v>
      </c>
      <c r="D16" t="s">
        <v>2121</v>
      </c>
      <c r="F16" s="23">
        <v>1</v>
      </c>
      <c r="J16" s="12"/>
      <c r="K16" s="12"/>
      <c r="L16" s="12"/>
      <c r="M16">
        <v>1</v>
      </c>
      <c r="W16">
        <v>1</v>
      </c>
      <c r="BA16">
        <v>1</v>
      </c>
      <c r="LL16" s="6"/>
      <c r="LM16" s="4"/>
      <c r="LN16" s="4"/>
      <c r="LO16" s="4"/>
      <c r="LP16" s="4"/>
      <c r="LQ16" s="4"/>
      <c r="LR16" s="5"/>
      <c r="LS16" s="6"/>
      <c r="LT16" s="4"/>
      <c r="LU16" s="4"/>
      <c r="LV16" s="4"/>
      <c r="LW16" s="4"/>
      <c r="LX16" s="4"/>
      <c r="LY16" s="5"/>
      <c r="LZ16" s="6" t="s">
        <v>2983</v>
      </c>
      <c r="MA16" s="7" t="s">
        <v>2983</v>
      </c>
      <c r="MB16" s="7" t="s">
        <v>1226</v>
      </c>
      <c r="MC16" s="4"/>
      <c r="MD16" s="8">
        <v>32264</v>
      </c>
      <c r="ME16" s="4"/>
      <c r="MF16" s="4"/>
      <c r="MG16" s="5"/>
      <c r="MH16" s="6"/>
      <c r="MI16" s="4"/>
      <c r="MJ16" s="4"/>
      <c r="MK16" s="4"/>
      <c r="ML16" s="4"/>
      <c r="MM16" s="4"/>
      <c r="MN16" s="5"/>
      <c r="MO16" s="6"/>
      <c r="MP16" s="4"/>
      <c r="MQ16" s="4"/>
      <c r="MR16" s="4"/>
      <c r="MS16" s="4"/>
      <c r="MT16" s="4"/>
      <c r="MU16" s="5"/>
      <c r="MV16" s="6"/>
      <c r="MW16" s="4"/>
      <c r="MX16" s="4"/>
      <c r="MY16" s="4"/>
      <c r="MZ16" s="4"/>
      <c r="NA16" s="4"/>
      <c r="NB16" s="5"/>
      <c r="NC16" s="6"/>
      <c r="ND16" s="4"/>
      <c r="NE16" s="4"/>
      <c r="NF16" s="4"/>
      <c r="NG16" s="4"/>
      <c r="NH16" s="4"/>
      <c r="NI16" s="5"/>
      <c r="NJ16" s="6"/>
      <c r="NK16" s="4"/>
      <c r="NL16" s="4"/>
      <c r="NM16" s="4"/>
      <c r="NN16" s="4"/>
      <c r="NO16" s="4"/>
      <c r="NP16" s="5"/>
      <c r="NQ16" s="6"/>
      <c r="NR16" s="4"/>
      <c r="NS16" s="4"/>
      <c r="NT16" s="4"/>
      <c r="NU16" s="4"/>
      <c r="NV16" s="4"/>
      <c r="NW16" s="5"/>
      <c r="NX16" s="6"/>
      <c r="NY16" s="4"/>
      <c r="NZ16" s="4"/>
      <c r="OA16" s="4"/>
      <c r="OB16" s="4"/>
      <c r="OC16" s="4"/>
      <c r="OD16" s="5"/>
      <c r="OE16" s="6"/>
      <c r="OF16" s="4"/>
      <c r="OG16" s="4"/>
      <c r="OH16" s="4"/>
      <c r="OI16" s="4"/>
      <c r="OJ16" s="4"/>
      <c r="OK16" s="5"/>
      <c r="OL16" s="6"/>
      <c r="OM16" s="4"/>
      <c r="ON16" s="4"/>
      <c r="OO16" s="4"/>
      <c r="OP16" s="4"/>
      <c r="OQ16" s="4"/>
      <c r="OR16" s="5"/>
      <c r="OS16" s="6"/>
      <c r="OT16" s="4"/>
      <c r="OU16" s="4"/>
      <c r="OV16" s="4"/>
      <c r="OW16" s="4"/>
      <c r="OX16" s="4"/>
      <c r="OY16" s="5"/>
      <c r="OZ16" s="6"/>
      <c r="PA16" s="4"/>
      <c r="PB16" s="4"/>
      <c r="PC16" s="4"/>
      <c r="PD16" s="4"/>
      <c r="PE16" s="4"/>
      <c r="PF16" s="5"/>
      <c r="PG16" s="6"/>
      <c r="PH16" s="4"/>
      <c r="PI16" s="4"/>
      <c r="PJ16" s="4"/>
      <c r="PK16" s="4"/>
      <c r="PL16" s="4"/>
      <c r="PM16" s="5"/>
      <c r="PN16" s="6"/>
      <c r="PO16" s="4"/>
      <c r="PP16" s="4"/>
      <c r="PQ16" s="4"/>
      <c r="PR16" s="4"/>
      <c r="PS16" s="4"/>
      <c r="PT16" s="5"/>
      <c r="PU16" s="6"/>
      <c r="PV16" s="4"/>
      <c r="PW16" s="4"/>
      <c r="PX16" s="4"/>
      <c r="PY16" s="4"/>
      <c r="PZ16" s="4"/>
      <c r="QA16" s="5"/>
      <c r="QB16" s="6"/>
      <c r="QC16" s="4"/>
      <c r="QD16" s="4"/>
      <c r="QE16" s="4"/>
      <c r="QF16" s="4"/>
      <c r="QG16" s="4"/>
      <c r="QH16" s="5"/>
      <c r="QI16" s="6"/>
      <c r="QJ16" s="4"/>
      <c r="QK16" s="4"/>
      <c r="QL16" s="4"/>
      <c r="QM16" s="4"/>
      <c r="QN16" s="4"/>
      <c r="QO16" s="5"/>
      <c r="QP16" s="6"/>
      <c r="QQ16" s="4"/>
      <c r="QR16" s="4"/>
      <c r="QS16" s="4"/>
      <c r="QT16" s="4"/>
      <c r="QU16" s="4"/>
      <c r="QV16" s="5"/>
      <c r="QW16" s="6"/>
      <c r="QX16" s="4"/>
      <c r="QY16" s="4"/>
      <c r="QZ16" s="4"/>
      <c r="RA16" s="4"/>
      <c r="RB16" s="4"/>
      <c r="RC16" s="5"/>
      <c r="RD16" s="6"/>
      <c r="RE16" s="4"/>
      <c r="RF16" s="4"/>
      <c r="RG16" s="4"/>
      <c r="RH16" s="4"/>
      <c r="RI16" s="4"/>
      <c r="RJ16" s="5"/>
      <c r="RK16" s="6"/>
      <c r="RL16" s="4"/>
      <c r="RM16" s="4"/>
      <c r="RN16" s="4"/>
      <c r="RO16" s="4"/>
      <c r="RP16" s="4"/>
      <c r="RQ16" s="5"/>
      <c r="RR16" s="6"/>
      <c r="RS16" s="4"/>
      <c r="RT16" s="4"/>
      <c r="RU16" s="4"/>
      <c r="RV16" s="4"/>
      <c r="RW16" s="4"/>
      <c r="RX16" s="5"/>
      <c r="RY16" s="6"/>
      <c r="RZ16" s="4"/>
      <c r="SA16" s="4"/>
      <c r="SB16" s="4"/>
      <c r="SC16" s="4"/>
      <c r="SD16" s="4"/>
      <c r="SE16" s="5"/>
      <c r="SF16" s="6"/>
      <c r="SG16" s="4"/>
      <c r="SH16" s="4"/>
      <c r="SI16" s="4"/>
      <c r="SJ16" s="4"/>
      <c r="SK16" s="4"/>
      <c r="SL16" s="5"/>
      <c r="SM16" s="6"/>
      <c r="SN16" s="4"/>
      <c r="SO16" s="4"/>
      <c r="SP16" s="4"/>
      <c r="SQ16" s="4"/>
      <c r="SR16" s="4"/>
      <c r="SS16" s="5"/>
      <c r="ST16" s="6"/>
      <c r="SU16" s="4"/>
      <c r="SV16" s="4"/>
      <c r="SW16" s="4"/>
      <c r="SX16" s="4"/>
      <c r="SY16" s="4"/>
      <c r="SZ16" s="5"/>
      <c r="TA16" s="6"/>
      <c r="TB16" s="4"/>
      <c r="TC16" s="4"/>
      <c r="TD16" s="4"/>
      <c r="TE16" s="4"/>
      <c r="TF16" s="4"/>
      <c r="TG16" s="5"/>
      <c r="TH16" s="6"/>
      <c r="TI16" s="4"/>
      <c r="TJ16" s="4"/>
      <c r="TK16" s="4"/>
      <c r="TL16" s="4"/>
      <c r="TM16" s="4"/>
      <c r="TN16" s="5"/>
      <c r="TO16" s="6"/>
      <c r="TP16" s="4"/>
      <c r="TQ16" s="4"/>
      <c r="TR16" s="4"/>
      <c r="TS16" s="4"/>
      <c r="TT16" s="4"/>
      <c r="TU16" s="5"/>
      <c r="TV16" s="6"/>
      <c r="TW16" s="4"/>
      <c r="TX16" s="4"/>
      <c r="TY16" s="4"/>
      <c r="TZ16" s="4"/>
      <c r="UA16" s="4"/>
      <c r="UB16" s="5"/>
      <c r="UC16" s="6"/>
      <c r="UD16" s="4"/>
      <c r="UE16" s="4"/>
      <c r="UF16" s="4"/>
      <c r="UG16" s="4"/>
      <c r="UH16" s="4"/>
      <c r="UI16" s="5"/>
      <c r="UJ16" s="6"/>
      <c r="UK16" s="4"/>
      <c r="UL16" s="4"/>
      <c r="UM16" s="4"/>
      <c r="UN16" s="4"/>
      <c r="UO16" s="4"/>
      <c r="UP16" s="5"/>
      <c r="UQ16" s="6"/>
      <c r="UR16" s="4"/>
      <c r="US16" s="4"/>
      <c r="UT16" s="4"/>
      <c r="UU16" s="4"/>
      <c r="UV16" s="4"/>
      <c r="UW16" s="5"/>
      <c r="UX16" s="6"/>
      <c r="UY16" s="4"/>
      <c r="UZ16" s="4"/>
      <c r="VA16" s="4"/>
      <c r="VB16" s="4"/>
      <c r="VC16" s="4"/>
      <c r="VD16" s="5"/>
      <c r="VE16" s="6"/>
      <c r="VF16" s="4"/>
      <c r="VG16" s="4"/>
      <c r="VH16" s="4"/>
      <c r="VI16" s="4"/>
      <c r="VJ16" s="4"/>
      <c r="VK16" s="5"/>
      <c r="VL16" s="6" t="s">
        <v>1098</v>
      </c>
      <c r="VM16" s="4" t="s">
        <v>1099</v>
      </c>
      <c r="VN16" s="4" t="s">
        <v>2110</v>
      </c>
      <c r="VO16" s="4"/>
      <c r="VP16" s="8">
        <v>32264</v>
      </c>
      <c r="VQ16" s="4"/>
      <c r="VR16" s="5" t="s">
        <v>1100</v>
      </c>
      <c r="VS16" s="6"/>
      <c r="VT16" s="4"/>
      <c r="VU16" s="4"/>
      <c r="VV16" s="4"/>
      <c r="VW16" s="4"/>
      <c r="VX16" s="4"/>
      <c r="VY16" s="5"/>
      <c r="VZ16" s="6"/>
      <c r="WA16" s="4"/>
      <c r="WB16" s="4"/>
      <c r="WC16" s="4"/>
      <c r="WD16" s="4"/>
      <c r="WE16" s="4"/>
      <c r="WF16" s="5"/>
      <c r="WG16" s="6"/>
      <c r="WH16" s="4"/>
      <c r="WI16" s="4"/>
      <c r="WJ16" s="4"/>
      <c r="WK16" s="4"/>
      <c r="WL16" s="4"/>
      <c r="WM16" s="5"/>
      <c r="WN16" s="6"/>
      <c r="WO16" s="4"/>
      <c r="WP16" s="4"/>
      <c r="WQ16" s="4"/>
      <c r="WR16" s="4"/>
      <c r="WS16" s="4"/>
      <c r="WT16" s="5"/>
      <c r="WU16" s="6"/>
      <c r="WV16" s="4"/>
      <c r="WW16" s="4"/>
      <c r="WX16" s="4"/>
      <c r="WY16" s="4"/>
      <c r="WZ16" s="4"/>
      <c r="XA16" s="5"/>
      <c r="XB16" s="6"/>
      <c r="XC16" s="4"/>
      <c r="XD16" s="4"/>
      <c r="XE16" s="4"/>
      <c r="XF16" s="4"/>
      <c r="XG16" s="4"/>
      <c r="XH16" s="5"/>
      <c r="XI16" s="6"/>
      <c r="XJ16" s="4"/>
      <c r="XK16" s="4"/>
      <c r="XL16" s="4"/>
      <c r="XM16" s="4"/>
      <c r="XN16" s="4"/>
      <c r="XO16" s="5"/>
      <c r="XP16" s="6"/>
      <c r="XQ16" s="4"/>
      <c r="XR16" s="4"/>
      <c r="XS16" s="4"/>
      <c r="XT16" s="4"/>
      <c r="XU16" s="4"/>
      <c r="XV16" s="5"/>
      <c r="XW16" s="6"/>
      <c r="XX16" s="4"/>
      <c r="XY16" s="4"/>
      <c r="XZ16" s="4"/>
      <c r="YA16" s="4"/>
      <c r="YB16" s="4"/>
      <c r="YC16" s="5"/>
      <c r="YD16" s="6"/>
      <c r="YE16" s="4"/>
      <c r="YF16" s="4"/>
      <c r="YG16" s="4"/>
      <c r="YH16" s="4"/>
      <c r="YI16" s="4"/>
      <c r="YJ16" s="5"/>
      <c r="YK16" s="6"/>
      <c r="YL16" s="4"/>
      <c r="YM16" s="4"/>
      <c r="YN16" s="4"/>
      <c r="YO16" s="4"/>
      <c r="YP16" s="4"/>
      <c r="YQ16" s="5"/>
      <c r="YR16" s="6"/>
      <c r="YS16" s="4"/>
      <c r="YT16" s="4"/>
      <c r="YU16" s="4"/>
      <c r="YV16" s="4"/>
      <c r="YW16" s="4"/>
      <c r="YX16" s="5"/>
      <c r="YY16" s="6"/>
      <c r="YZ16" s="4"/>
      <c r="ZA16" s="4"/>
      <c r="ZB16" s="4"/>
      <c r="ZC16" s="4"/>
      <c r="ZD16" s="4"/>
      <c r="ZE16" s="5"/>
      <c r="ZF16" s="6"/>
      <c r="ZG16" s="4"/>
      <c r="ZH16" s="4"/>
      <c r="ZI16" s="4"/>
      <c r="ZJ16" s="4"/>
      <c r="ZK16" s="4"/>
      <c r="ZL16" s="5"/>
      <c r="ZM16" s="6"/>
      <c r="ZN16" s="4"/>
      <c r="ZO16" s="4"/>
      <c r="ZP16" s="4"/>
      <c r="ZQ16" s="4"/>
      <c r="ZR16" s="4"/>
      <c r="ZS16" s="5"/>
      <c r="ZT16" s="6"/>
      <c r="ZU16" s="4"/>
      <c r="ZV16" s="4"/>
      <c r="ZW16" s="4"/>
      <c r="ZX16" s="4"/>
      <c r="ZY16" s="4"/>
      <c r="ZZ16" s="5"/>
      <c r="AAA16" s="6"/>
      <c r="AAB16" s="4"/>
      <c r="AAC16" s="4"/>
      <c r="AAD16" s="4"/>
      <c r="AAE16" s="4"/>
      <c r="AAF16" s="4"/>
      <c r="AAG16" s="5"/>
      <c r="AAH16" s="6"/>
      <c r="AAI16" s="4"/>
      <c r="AAJ16" s="4"/>
      <c r="AAK16" s="4"/>
      <c r="AAL16" s="4"/>
      <c r="AAM16" s="4"/>
      <c r="AAN16" s="5"/>
      <c r="AAO16" s="6"/>
      <c r="AAP16" s="4"/>
      <c r="AAQ16" s="4"/>
      <c r="AAR16" s="4"/>
      <c r="AAS16" s="4"/>
      <c r="AAT16" s="4"/>
      <c r="AAU16" s="5"/>
      <c r="AAV16" s="6"/>
      <c r="AAW16" s="4"/>
      <c r="AAX16" s="4"/>
      <c r="AAY16" s="4"/>
      <c r="AAZ16" s="4"/>
      <c r="ABA16" s="4"/>
      <c r="ABB16" s="5"/>
      <c r="ABC16" s="6"/>
      <c r="ABD16" s="4"/>
      <c r="ABE16" s="4"/>
      <c r="ABF16" s="4"/>
      <c r="ABG16" s="4"/>
      <c r="ABH16" s="4"/>
      <c r="ABI16" s="5"/>
      <c r="ABJ16" s="6"/>
      <c r="ABK16" s="4"/>
      <c r="ABL16" s="4"/>
      <c r="ABM16" s="4"/>
      <c r="ABN16" s="4"/>
      <c r="ABO16" s="4"/>
      <c r="ABP16" s="5"/>
      <c r="ABQ16" s="6"/>
      <c r="ABR16" s="4"/>
      <c r="ABS16" s="4"/>
      <c r="ABT16" s="4"/>
      <c r="ABU16" s="4"/>
      <c r="ABV16" s="4"/>
      <c r="ABW16" s="5"/>
      <c r="ABX16" s="6"/>
      <c r="ABY16" s="4"/>
      <c r="ABZ16" s="4"/>
      <c r="ACA16" s="4"/>
      <c r="ACB16" s="4"/>
      <c r="ACC16" s="4"/>
      <c r="ACD16" s="5"/>
      <c r="ACE16" s="6"/>
      <c r="ACF16" s="4"/>
      <c r="ACG16" s="4"/>
      <c r="ACH16" s="4"/>
      <c r="ACI16" s="4"/>
      <c r="ACJ16" s="4"/>
      <c r="ACK16" s="5"/>
      <c r="ACL16" s="6"/>
      <c r="ACM16" s="4"/>
      <c r="ACN16" s="4"/>
      <c r="ACO16" s="4"/>
      <c r="ACP16" s="4"/>
      <c r="ACQ16" s="4"/>
      <c r="ACR16" s="5"/>
      <c r="ACS16" s="6"/>
      <c r="ACT16" s="4"/>
      <c r="ACU16" s="4"/>
      <c r="ACV16" s="4"/>
      <c r="ACW16" s="4"/>
      <c r="ACX16" s="4"/>
      <c r="ACY16" s="5"/>
    </row>
    <row r="17" spans="2:779" x14ac:dyDescent="0.25">
      <c r="B17" s="43">
        <v>88017092</v>
      </c>
      <c r="C17">
        <v>57</v>
      </c>
      <c r="D17" t="s">
        <v>2121</v>
      </c>
      <c r="F17" s="23">
        <v>1</v>
      </c>
      <c r="J17" s="12"/>
      <c r="K17" s="12"/>
      <c r="L17" s="12"/>
      <c r="M17">
        <v>1</v>
      </c>
      <c r="T17">
        <v>1</v>
      </c>
      <c r="LL17" s="6"/>
      <c r="LM17" s="4"/>
      <c r="LN17" s="4"/>
      <c r="LO17" s="4"/>
      <c r="LP17" s="4"/>
      <c r="LQ17" s="4"/>
      <c r="LR17" s="5"/>
      <c r="LS17" s="6"/>
      <c r="LT17" s="4"/>
      <c r="LU17" s="4"/>
      <c r="LV17" s="4"/>
      <c r="LW17" s="4"/>
      <c r="LX17" s="4"/>
      <c r="LY17" s="5"/>
      <c r="LZ17" s="6" t="s">
        <v>2290</v>
      </c>
      <c r="MA17" s="7" t="s">
        <v>2375</v>
      </c>
      <c r="MB17" s="7" t="s">
        <v>1227</v>
      </c>
      <c r="MC17" s="7" t="s">
        <v>2607</v>
      </c>
      <c r="MD17" s="8">
        <v>32409</v>
      </c>
      <c r="ME17" s="8">
        <v>32413</v>
      </c>
      <c r="MF17" s="8"/>
      <c r="MG17" s="5"/>
      <c r="MH17" s="6"/>
      <c r="MI17" s="4"/>
      <c r="MJ17" s="4"/>
      <c r="MK17" s="4"/>
      <c r="ML17" s="4"/>
      <c r="MM17" s="4"/>
      <c r="MN17" s="5"/>
      <c r="MO17" s="6"/>
      <c r="MP17" s="4"/>
      <c r="MQ17" s="4"/>
      <c r="MR17" s="4"/>
      <c r="MS17" s="4"/>
      <c r="MT17" s="4"/>
      <c r="MU17" s="5"/>
      <c r="MV17" s="6"/>
      <c r="MW17" s="4"/>
      <c r="MX17" s="4"/>
      <c r="MY17" s="4"/>
      <c r="MZ17" s="4"/>
      <c r="NA17" s="4"/>
      <c r="NB17" s="5"/>
      <c r="NC17" s="6" t="s">
        <v>2777</v>
      </c>
      <c r="ND17" s="4" t="s">
        <v>2777</v>
      </c>
      <c r="NE17" s="4" t="s">
        <v>1990</v>
      </c>
      <c r="NF17" s="7" t="s">
        <v>1595</v>
      </c>
      <c r="NG17" s="8">
        <v>32409</v>
      </c>
      <c r="NH17" s="8">
        <v>32414</v>
      </c>
      <c r="NI17" s="5"/>
      <c r="NJ17" s="6"/>
      <c r="NK17" s="4"/>
      <c r="NL17" s="4"/>
      <c r="NM17" s="4"/>
      <c r="NN17" s="4"/>
      <c r="NO17" s="4"/>
      <c r="NP17" s="5"/>
      <c r="NQ17" s="6"/>
      <c r="NR17" s="4"/>
      <c r="NS17" s="4"/>
      <c r="NT17" s="4"/>
      <c r="NU17" s="4"/>
      <c r="NV17" s="4"/>
      <c r="NW17" s="5"/>
      <c r="NX17" s="6"/>
      <c r="NY17" s="4"/>
      <c r="NZ17" s="4"/>
      <c r="OA17" s="4"/>
      <c r="OB17" s="4"/>
      <c r="OC17" s="4"/>
      <c r="OD17" s="5"/>
      <c r="OE17" s="6"/>
      <c r="OF17" s="4"/>
      <c r="OG17" s="4"/>
      <c r="OH17" s="4"/>
      <c r="OI17" s="4"/>
      <c r="OJ17" s="4"/>
      <c r="OK17" s="5"/>
      <c r="OL17" s="6"/>
      <c r="OM17" s="4"/>
      <c r="ON17" s="4"/>
      <c r="OO17" s="4"/>
      <c r="OP17" s="4"/>
      <c r="OQ17" s="4"/>
      <c r="OR17" s="5"/>
      <c r="OS17" s="6"/>
      <c r="OT17" s="4"/>
      <c r="OU17" s="4"/>
      <c r="OV17" s="4"/>
      <c r="OW17" s="4"/>
      <c r="OX17" s="4"/>
      <c r="OY17" s="5"/>
      <c r="OZ17" s="6"/>
      <c r="PA17" s="4"/>
      <c r="PB17" s="4"/>
      <c r="PC17" s="4"/>
      <c r="PD17" s="4"/>
      <c r="PE17" s="4"/>
      <c r="PF17" s="5"/>
      <c r="PG17" s="6"/>
      <c r="PH17" s="4"/>
      <c r="PI17" s="4"/>
      <c r="PJ17" s="4"/>
      <c r="PK17" s="4"/>
      <c r="PL17" s="4"/>
      <c r="PM17" s="5"/>
      <c r="PN17" s="6"/>
      <c r="PO17" s="4"/>
      <c r="PP17" s="4"/>
      <c r="PQ17" s="4"/>
      <c r="PR17" s="4"/>
      <c r="PS17" s="4"/>
      <c r="PT17" s="5"/>
      <c r="PU17" s="6"/>
      <c r="PV17" s="4"/>
      <c r="PW17" s="4"/>
      <c r="PX17" s="4"/>
      <c r="PY17" s="4"/>
      <c r="PZ17" s="4"/>
      <c r="QA17" s="5"/>
      <c r="QB17" s="6"/>
      <c r="QC17" s="4"/>
      <c r="QD17" s="4"/>
      <c r="QE17" s="4"/>
      <c r="QF17" s="4"/>
      <c r="QG17" s="4"/>
      <c r="QH17" s="5"/>
      <c r="QI17" s="6"/>
      <c r="QJ17" s="4"/>
      <c r="QK17" s="4"/>
      <c r="QL17" s="4"/>
      <c r="QM17" s="4"/>
      <c r="QN17" s="4"/>
      <c r="QO17" s="5"/>
      <c r="QP17" s="6"/>
      <c r="QQ17" s="4"/>
      <c r="QR17" s="4"/>
      <c r="QS17" s="4"/>
      <c r="QT17" s="4"/>
      <c r="QU17" s="4"/>
      <c r="QV17" s="5"/>
      <c r="QW17" s="6"/>
      <c r="QX17" s="4"/>
      <c r="QY17" s="4"/>
      <c r="QZ17" s="4"/>
      <c r="RA17" s="4"/>
      <c r="RB17" s="4"/>
      <c r="RC17" s="5"/>
      <c r="RD17" s="6"/>
      <c r="RE17" s="4"/>
      <c r="RF17" s="4"/>
      <c r="RG17" s="4"/>
      <c r="RH17" s="4"/>
      <c r="RI17" s="4"/>
      <c r="RJ17" s="5"/>
      <c r="RK17" s="6"/>
      <c r="RL17" s="4"/>
      <c r="RM17" s="4"/>
      <c r="RN17" s="4"/>
      <c r="RO17" s="4"/>
      <c r="RP17" s="4"/>
      <c r="RQ17" s="5"/>
      <c r="RR17" s="6"/>
      <c r="RS17" s="4"/>
      <c r="RT17" s="4"/>
      <c r="RU17" s="4"/>
      <c r="RV17" s="4"/>
      <c r="RW17" s="4"/>
      <c r="RX17" s="5"/>
      <c r="RY17" s="6"/>
      <c r="RZ17" s="4"/>
      <c r="SA17" s="4"/>
      <c r="SB17" s="4"/>
      <c r="SC17" s="4"/>
      <c r="SD17" s="4"/>
      <c r="SE17" s="5"/>
      <c r="SF17" s="6"/>
      <c r="SG17" s="4"/>
      <c r="SH17" s="4"/>
      <c r="SI17" s="4"/>
      <c r="SJ17" s="4"/>
      <c r="SK17" s="4"/>
      <c r="SL17" s="5"/>
      <c r="SM17" s="6"/>
      <c r="SN17" s="4"/>
      <c r="SO17" s="4"/>
      <c r="SP17" s="4"/>
      <c r="SQ17" s="4"/>
      <c r="SR17" s="4"/>
      <c r="SS17" s="5"/>
      <c r="ST17" s="6"/>
      <c r="SU17" s="4"/>
      <c r="SV17" s="4"/>
      <c r="SW17" s="4"/>
      <c r="SX17" s="4"/>
      <c r="SY17" s="4"/>
      <c r="SZ17" s="5"/>
      <c r="TA17" s="6"/>
      <c r="TB17" s="4"/>
      <c r="TC17" s="4"/>
      <c r="TD17" s="4"/>
      <c r="TE17" s="4"/>
      <c r="TF17" s="4"/>
      <c r="TG17" s="5"/>
      <c r="TH17" s="6"/>
      <c r="TI17" s="4"/>
      <c r="TJ17" s="4"/>
      <c r="TK17" s="4"/>
      <c r="TL17" s="4"/>
      <c r="TM17" s="4"/>
      <c r="TN17" s="5"/>
      <c r="TO17" s="6"/>
      <c r="TP17" s="4"/>
      <c r="TQ17" s="4"/>
      <c r="TR17" s="4"/>
      <c r="TS17" s="4"/>
      <c r="TT17" s="4"/>
      <c r="TU17" s="5"/>
      <c r="TV17" s="6"/>
      <c r="TW17" s="4"/>
      <c r="TX17" s="4"/>
      <c r="TY17" s="4"/>
      <c r="TZ17" s="4"/>
      <c r="UA17" s="4"/>
      <c r="UB17" s="5"/>
      <c r="UC17" s="6"/>
      <c r="UD17" s="4"/>
      <c r="UE17" s="4"/>
      <c r="UF17" s="4"/>
      <c r="UG17" s="4"/>
      <c r="UH17" s="4"/>
      <c r="UI17" s="5"/>
      <c r="UJ17" s="6"/>
      <c r="UK17" s="4"/>
      <c r="UL17" s="4"/>
      <c r="UM17" s="4"/>
      <c r="UN17" s="4"/>
      <c r="UO17" s="4"/>
      <c r="UP17" s="5"/>
      <c r="UQ17" s="6"/>
      <c r="UR17" s="4"/>
      <c r="US17" s="4"/>
      <c r="UT17" s="4"/>
      <c r="UU17" s="4"/>
      <c r="UV17" s="4"/>
      <c r="UW17" s="5"/>
      <c r="UX17" s="6"/>
      <c r="UY17" s="4"/>
      <c r="UZ17" s="4"/>
      <c r="VA17" s="4"/>
      <c r="VB17" s="4"/>
      <c r="VC17" s="4"/>
      <c r="VD17" s="5"/>
      <c r="VE17" s="6"/>
      <c r="VF17" s="4"/>
      <c r="VG17" s="4"/>
      <c r="VH17" s="4"/>
      <c r="VI17" s="4"/>
      <c r="VJ17" s="4"/>
      <c r="VK17" s="5"/>
      <c r="VL17" s="6"/>
      <c r="VM17" s="4"/>
      <c r="VN17" s="4"/>
      <c r="VO17" s="4"/>
      <c r="VP17" s="4"/>
      <c r="VQ17" s="4"/>
      <c r="VR17" s="5"/>
      <c r="VS17" s="6"/>
      <c r="VT17" s="4"/>
      <c r="VU17" s="4"/>
      <c r="VV17" s="4"/>
      <c r="VW17" s="4"/>
      <c r="VX17" s="4"/>
      <c r="VY17" s="5"/>
      <c r="VZ17" s="6"/>
      <c r="WA17" s="4"/>
      <c r="WB17" s="4"/>
      <c r="WC17" s="4"/>
      <c r="WD17" s="4"/>
      <c r="WE17" s="4"/>
      <c r="WF17" s="5"/>
      <c r="WG17" s="6"/>
      <c r="WH17" s="4"/>
      <c r="WI17" s="4"/>
      <c r="WJ17" s="4"/>
      <c r="WK17" s="4"/>
      <c r="WL17" s="4"/>
      <c r="WM17" s="5"/>
      <c r="WN17" s="6"/>
      <c r="WO17" s="4"/>
      <c r="WP17" s="4"/>
      <c r="WQ17" s="4"/>
      <c r="WR17" s="4"/>
      <c r="WS17" s="4"/>
      <c r="WT17" s="5"/>
      <c r="WU17" s="6"/>
      <c r="WV17" s="4"/>
      <c r="WW17" s="4"/>
      <c r="WX17" s="4"/>
      <c r="WY17" s="4"/>
      <c r="WZ17" s="4"/>
      <c r="XA17" s="5"/>
      <c r="XB17" s="6"/>
      <c r="XC17" s="4"/>
      <c r="XD17" s="4"/>
      <c r="XE17" s="4"/>
      <c r="XF17" s="4"/>
      <c r="XG17" s="4"/>
      <c r="XH17" s="5"/>
      <c r="XI17" s="6"/>
      <c r="XJ17" s="4"/>
      <c r="XK17" s="4"/>
      <c r="XL17" s="4"/>
      <c r="XM17" s="4"/>
      <c r="XN17" s="4"/>
      <c r="XO17" s="5"/>
      <c r="XP17" s="6"/>
      <c r="XQ17" s="4"/>
      <c r="XR17" s="4"/>
      <c r="XS17" s="4"/>
      <c r="XT17" s="4"/>
      <c r="XU17" s="4"/>
      <c r="XV17" s="5"/>
      <c r="XW17" s="6"/>
      <c r="XX17" s="4"/>
      <c r="XY17" s="4"/>
      <c r="XZ17" s="4"/>
      <c r="YA17" s="4"/>
      <c r="YB17" s="4"/>
      <c r="YC17" s="5"/>
      <c r="YD17" s="6"/>
      <c r="YE17" s="4"/>
      <c r="YF17" s="4"/>
      <c r="YG17" s="4"/>
      <c r="YH17" s="4"/>
      <c r="YI17" s="4"/>
      <c r="YJ17" s="5"/>
      <c r="YK17" s="6"/>
      <c r="YL17" s="4"/>
      <c r="YM17" s="4"/>
      <c r="YN17" s="4"/>
      <c r="YO17" s="4"/>
      <c r="YP17" s="4"/>
      <c r="YQ17" s="5"/>
      <c r="YR17" s="6"/>
      <c r="YS17" s="4"/>
      <c r="YT17" s="4"/>
      <c r="YU17" s="4"/>
      <c r="YV17" s="4"/>
      <c r="YW17" s="4"/>
      <c r="YX17" s="5"/>
      <c r="YY17" s="6"/>
      <c r="YZ17" s="4"/>
      <c r="ZA17" s="4"/>
      <c r="ZB17" s="4"/>
      <c r="ZC17" s="4"/>
      <c r="ZD17" s="4"/>
      <c r="ZE17" s="5"/>
      <c r="ZF17" s="6"/>
      <c r="ZG17" s="4"/>
      <c r="ZH17" s="4"/>
      <c r="ZI17" s="4"/>
      <c r="ZJ17" s="4"/>
      <c r="ZK17" s="4"/>
      <c r="ZL17" s="5"/>
      <c r="ZM17" s="6"/>
      <c r="ZN17" s="4"/>
      <c r="ZO17" s="4"/>
      <c r="ZP17" s="4"/>
      <c r="ZQ17" s="4"/>
      <c r="ZR17" s="4"/>
      <c r="ZS17" s="5"/>
      <c r="ZT17" s="6"/>
      <c r="ZU17" s="4"/>
      <c r="ZV17" s="4"/>
      <c r="ZW17" s="4"/>
      <c r="ZX17" s="4"/>
      <c r="ZY17" s="4"/>
      <c r="ZZ17" s="5"/>
      <c r="AAA17" s="6"/>
      <c r="AAB17" s="4"/>
      <c r="AAC17" s="4"/>
      <c r="AAD17" s="4"/>
      <c r="AAE17" s="4"/>
      <c r="AAF17" s="4"/>
      <c r="AAG17" s="5"/>
      <c r="AAH17" s="6"/>
      <c r="AAI17" s="4"/>
      <c r="AAJ17" s="4"/>
      <c r="AAK17" s="4"/>
      <c r="AAL17" s="4"/>
      <c r="AAM17" s="4"/>
      <c r="AAN17" s="5"/>
      <c r="AAO17" s="6"/>
      <c r="AAP17" s="4"/>
      <c r="AAQ17" s="4"/>
      <c r="AAR17" s="4"/>
      <c r="AAS17" s="4"/>
      <c r="AAT17" s="4"/>
      <c r="AAU17" s="5"/>
      <c r="AAV17" s="6"/>
      <c r="AAW17" s="4"/>
      <c r="AAX17" s="4"/>
      <c r="AAY17" s="4"/>
      <c r="AAZ17" s="4"/>
      <c r="ABA17" s="4"/>
      <c r="ABB17" s="5"/>
      <c r="ABC17" s="6"/>
      <c r="ABD17" s="4"/>
      <c r="ABE17" s="4"/>
      <c r="ABF17" s="4"/>
      <c r="ABG17" s="4"/>
      <c r="ABH17" s="4"/>
      <c r="ABI17" s="5"/>
      <c r="ABJ17" s="6"/>
      <c r="ABK17" s="4"/>
      <c r="ABL17" s="4"/>
      <c r="ABM17" s="4"/>
      <c r="ABN17" s="4"/>
      <c r="ABO17" s="4"/>
      <c r="ABP17" s="5"/>
      <c r="ABQ17" s="6"/>
      <c r="ABR17" s="4"/>
      <c r="ABS17" s="4"/>
      <c r="ABT17" s="4"/>
      <c r="ABU17" s="4"/>
      <c r="ABV17" s="4"/>
      <c r="ABW17" s="5"/>
      <c r="ABX17" s="6"/>
      <c r="ABY17" s="4"/>
      <c r="ABZ17" s="4"/>
      <c r="ACA17" s="4"/>
      <c r="ACB17" s="4"/>
      <c r="ACC17" s="4"/>
      <c r="ACD17" s="5"/>
      <c r="ACE17" s="6"/>
      <c r="ACF17" s="4"/>
      <c r="ACG17" s="4"/>
      <c r="ACH17" s="4"/>
      <c r="ACI17" s="4"/>
      <c r="ACJ17" s="4"/>
      <c r="ACK17" s="5"/>
      <c r="ACL17" s="6"/>
      <c r="ACM17" s="4"/>
      <c r="ACN17" s="4"/>
      <c r="ACO17" s="4"/>
      <c r="ACP17" s="4"/>
      <c r="ACQ17" s="4"/>
      <c r="ACR17" s="5"/>
      <c r="ACS17" s="6"/>
      <c r="ACT17" s="4"/>
      <c r="ACU17" s="4"/>
      <c r="ACV17" s="4"/>
      <c r="ACW17" s="4"/>
      <c r="ACX17" s="4"/>
      <c r="ACY17" s="5"/>
    </row>
    <row r="18" spans="2:779" x14ac:dyDescent="0.25">
      <c r="B18" s="42">
        <v>89007042</v>
      </c>
      <c r="C18">
        <v>51</v>
      </c>
      <c r="D18" t="s">
        <v>681</v>
      </c>
      <c r="F18" s="23">
        <v>1</v>
      </c>
      <c r="J18" s="12"/>
      <c r="K18" s="12"/>
      <c r="L18" s="12"/>
      <c r="M18">
        <v>1</v>
      </c>
      <c r="LL18" s="6"/>
      <c r="LM18" s="4"/>
      <c r="LN18" s="4"/>
      <c r="LO18" s="4"/>
      <c r="LP18" s="4"/>
      <c r="LQ18" s="4"/>
      <c r="LR18" s="5"/>
      <c r="LS18" s="6"/>
      <c r="LT18" s="4"/>
      <c r="LU18" s="4"/>
      <c r="LV18" s="4"/>
      <c r="LW18" s="4"/>
      <c r="LX18" s="4"/>
      <c r="LY18" s="5"/>
      <c r="LZ18" s="6" t="s">
        <v>2273</v>
      </c>
      <c r="MA18" s="7" t="s">
        <v>2375</v>
      </c>
      <c r="MB18" s="7" t="s">
        <v>2660</v>
      </c>
      <c r="MC18" s="7" t="s">
        <v>2607</v>
      </c>
      <c r="MD18" s="8">
        <v>32616</v>
      </c>
      <c r="ME18" s="8">
        <v>32620</v>
      </c>
      <c r="MF18" s="8"/>
      <c r="MG18" s="5"/>
      <c r="MH18" s="6"/>
      <c r="MI18" s="4"/>
      <c r="MJ18" s="4"/>
      <c r="MK18" s="4"/>
      <c r="ML18" s="4"/>
      <c r="MM18" s="4"/>
      <c r="MN18" s="5"/>
      <c r="MO18" s="6"/>
      <c r="MP18" s="4"/>
      <c r="MQ18" s="4"/>
      <c r="MR18" s="4"/>
      <c r="MS18" s="4"/>
      <c r="MT18" s="4"/>
      <c r="MU18" s="5"/>
      <c r="MV18" s="6"/>
      <c r="MW18" s="4"/>
      <c r="MX18" s="4"/>
      <c r="MY18" s="4"/>
      <c r="MZ18" s="4"/>
      <c r="NA18" s="4"/>
      <c r="NB18" s="5"/>
      <c r="NC18" s="6"/>
      <c r="ND18" s="4"/>
      <c r="NE18" s="4"/>
      <c r="NF18" s="4"/>
      <c r="NG18" s="4"/>
      <c r="NH18" s="4"/>
      <c r="NI18" s="5"/>
      <c r="NJ18" s="6"/>
      <c r="NK18" s="4"/>
      <c r="NL18" s="4"/>
      <c r="NM18" s="4"/>
      <c r="NN18" s="4"/>
      <c r="NO18" s="4"/>
      <c r="NP18" s="5"/>
      <c r="NQ18" s="6"/>
      <c r="NR18" s="4"/>
      <c r="NS18" s="4"/>
      <c r="NT18" s="4"/>
      <c r="NU18" s="4"/>
      <c r="NV18" s="4"/>
      <c r="NW18" s="5"/>
      <c r="NX18" s="6"/>
      <c r="NY18" s="4"/>
      <c r="NZ18" s="4"/>
      <c r="OA18" s="4"/>
      <c r="OB18" s="4"/>
      <c r="OC18" s="4"/>
      <c r="OD18" s="5"/>
      <c r="OE18" s="6"/>
      <c r="OF18" s="4"/>
      <c r="OG18" s="4"/>
      <c r="OH18" s="4"/>
      <c r="OI18" s="4"/>
      <c r="OJ18" s="4"/>
      <c r="OK18" s="5"/>
      <c r="OL18" s="6"/>
      <c r="OM18" s="4"/>
      <c r="ON18" s="4"/>
      <c r="OO18" s="4"/>
      <c r="OP18" s="4"/>
      <c r="OQ18" s="4"/>
      <c r="OR18" s="5"/>
      <c r="OS18" s="6"/>
      <c r="OT18" s="4"/>
      <c r="OU18" s="4"/>
      <c r="OV18" s="4"/>
      <c r="OW18" s="4"/>
      <c r="OX18" s="4"/>
      <c r="OY18" s="5"/>
      <c r="OZ18" s="6"/>
      <c r="PA18" s="4"/>
      <c r="PB18" s="4"/>
      <c r="PC18" s="4"/>
      <c r="PD18" s="4"/>
      <c r="PE18" s="4"/>
      <c r="PF18" s="5"/>
      <c r="PG18" s="6"/>
      <c r="PH18" s="4"/>
      <c r="PI18" s="4"/>
      <c r="PJ18" s="4"/>
      <c r="PK18" s="4"/>
      <c r="PL18" s="4"/>
      <c r="PM18" s="5"/>
      <c r="PN18" s="6"/>
      <c r="PO18" s="4"/>
      <c r="PP18" s="4"/>
      <c r="PQ18" s="4"/>
      <c r="PR18" s="4"/>
      <c r="PS18" s="4"/>
      <c r="PT18" s="5"/>
      <c r="PU18" s="6"/>
      <c r="PV18" s="4"/>
      <c r="PW18" s="4"/>
      <c r="PX18" s="4"/>
      <c r="PY18" s="4"/>
      <c r="PZ18" s="4"/>
      <c r="QA18" s="5"/>
      <c r="QB18" s="6"/>
      <c r="QC18" s="4"/>
      <c r="QD18" s="4"/>
      <c r="QE18" s="4"/>
      <c r="QF18" s="4"/>
      <c r="QG18" s="4"/>
      <c r="QH18" s="5"/>
      <c r="QI18" s="6"/>
      <c r="QJ18" s="4"/>
      <c r="QK18" s="4"/>
      <c r="QL18" s="4"/>
      <c r="QM18" s="4"/>
      <c r="QN18" s="4"/>
      <c r="QO18" s="5"/>
      <c r="QP18" s="6"/>
      <c r="QQ18" s="4"/>
      <c r="QR18" s="4"/>
      <c r="QS18" s="4"/>
      <c r="QT18" s="4"/>
      <c r="QU18" s="4"/>
      <c r="QV18" s="5"/>
      <c r="QW18" s="6"/>
      <c r="QX18" s="4"/>
      <c r="QY18" s="4"/>
      <c r="QZ18" s="4"/>
      <c r="RA18" s="4"/>
      <c r="RB18" s="4"/>
      <c r="RC18" s="5"/>
      <c r="RD18" s="6"/>
      <c r="RE18" s="4"/>
      <c r="RF18" s="4"/>
      <c r="RG18" s="4"/>
      <c r="RH18" s="4"/>
      <c r="RI18" s="4"/>
      <c r="RJ18" s="5"/>
      <c r="RK18" s="6"/>
      <c r="RL18" s="4"/>
      <c r="RM18" s="4"/>
      <c r="RN18" s="4"/>
      <c r="RO18" s="4"/>
      <c r="RP18" s="4"/>
      <c r="RQ18" s="5"/>
      <c r="RR18" s="6"/>
      <c r="RS18" s="4"/>
      <c r="RT18" s="4"/>
      <c r="RU18" s="4"/>
      <c r="RV18" s="4"/>
      <c r="RW18" s="4"/>
      <c r="RX18" s="5"/>
      <c r="RY18" s="6"/>
      <c r="RZ18" s="4"/>
      <c r="SA18" s="4"/>
      <c r="SB18" s="4"/>
      <c r="SC18" s="4"/>
      <c r="SD18" s="4"/>
      <c r="SE18" s="5"/>
      <c r="SF18" s="6"/>
      <c r="SG18" s="4"/>
      <c r="SH18" s="4"/>
      <c r="SI18" s="4"/>
      <c r="SJ18" s="4"/>
      <c r="SK18" s="4"/>
      <c r="SL18" s="5"/>
      <c r="SM18" s="6"/>
      <c r="SN18" s="4"/>
      <c r="SO18" s="4"/>
      <c r="SP18" s="4"/>
      <c r="SQ18" s="4"/>
      <c r="SR18" s="4"/>
      <c r="SS18" s="5"/>
      <c r="ST18" s="6"/>
      <c r="SU18" s="4"/>
      <c r="SV18" s="4"/>
      <c r="SW18" s="4"/>
      <c r="SX18" s="4"/>
      <c r="SY18" s="4"/>
      <c r="SZ18" s="5"/>
      <c r="TA18" s="6"/>
      <c r="TB18" s="4"/>
      <c r="TC18" s="4"/>
      <c r="TD18" s="4"/>
      <c r="TE18" s="4"/>
      <c r="TF18" s="4"/>
      <c r="TG18" s="5"/>
      <c r="TH18" s="6"/>
      <c r="TI18" s="4"/>
      <c r="TJ18" s="4"/>
      <c r="TK18" s="4"/>
      <c r="TL18" s="4"/>
      <c r="TM18" s="4"/>
      <c r="TN18" s="5"/>
      <c r="TO18" s="6"/>
      <c r="TP18" s="4"/>
      <c r="TQ18" s="4"/>
      <c r="TR18" s="4"/>
      <c r="TS18" s="4"/>
      <c r="TT18" s="4"/>
      <c r="TU18" s="5"/>
      <c r="TV18" s="6"/>
      <c r="TW18" s="4"/>
      <c r="TX18" s="4"/>
      <c r="TY18" s="4"/>
      <c r="TZ18" s="4"/>
      <c r="UA18" s="4"/>
      <c r="UB18" s="5"/>
      <c r="UC18" s="6"/>
      <c r="UD18" s="4"/>
      <c r="UE18" s="4"/>
      <c r="UF18" s="4"/>
      <c r="UG18" s="4"/>
      <c r="UH18" s="4"/>
      <c r="UI18" s="5"/>
      <c r="UJ18" s="6"/>
      <c r="UK18" s="4"/>
      <c r="UL18" s="4"/>
      <c r="UM18" s="4"/>
      <c r="UN18" s="4"/>
      <c r="UO18" s="4"/>
      <c r="UP18" s="5"/>
      <c r="UQ18" s="6"/>
      <c r="UR18" s="4"/>
      <c r="US18" s="4"/>
      <c r="UT18" s="4"/>
      <c r="UU18" s="4"/>
      <c r="UV18" s="4"/>
      <c r="UW18" s="5"/>
      <c r="UX18" s="6"/>
      <c r="UY18" s="4"/>
      <c r="UZ18" s="4"/>
      <c r="VA18" s="4"/>
      <c r="VB18" s="4"/>
      <c r="VC18" s="4"/>
      <c r="VD18" s="5"/>
      <c r="VE18" s="6"/>
      <c r="VF18" s="4"/>
      <c r="VG18" s="4"/>
      <c r="VH18" s="4"/>
      <c r="VI18" s="4"/>
      <c r="VJ18" s="4"/>
      <c r="VK18" s="5"/>
      <c r="VL18" s="6"/>
      <c r="VM18" s="4"/>
      <c r="VN18" s="4"/>
      <c r="VO18" s="4"/>
      <c r="VP18" s="4"/>
      <c r="VQ18" s="4"/>
      <c r="VR18" s="5"/>
      <c r="VS18" s="6"/>
      <c r="VT18" s="4"/>
      <c r="VU18" s="4"/>
      <c r="VV18" s="4"/>
      <c r="VW18" s="4"/>
      <c r="VX18" s="4"/>
      <c r="VY18" s="5"/>
      <c r="VZ18" s="6"/>
      <c r="WA18" s="4"/>
      <c r="WB18" s="4"/>
      <c r="WC18" s="4"/>
      <c r="WD18" s="4"/>
      <c r="WE18" s="4"/>
      <c r="WF18" s="5"/>
      <c r="WG18" s="6"/>
      <c r="WH18" s="4"/>
      <c r="WI18" s="4"/>
      <c r="WJ18" s="4"/>
      <c r="WK18" s="4"/>
      <c r="WL18" s="4"/>
      <c r="WM18" s="5"/>
      <c r="WN18" s="6"/>
      <c r="WO18" s="4"/>
      <c r="WP18" s="4"/>
      <c r="WQ18" s="4"/>
      <c r="WR18" s="4"/>
      <c r="WS18" s="4"/>
      <c r="WT18" s="5"/>
      <c r="WU18" s="6"/>
      <c r="WV18" s="4"/>
      <c r="WW18" s="4"/>
      <c r="WX18" s="4"/>
      <c r="WY18" s="4"/>
      <c r="WZ18" s="4"/>
      <c r="XA18" s="5"/>
      <c r="XB18" s="6"/>
      <c r="XC18" s="4"/>
      <c r="XD18" s="4"/>
      <c r="XE18" s="4"/>
      <c r="XF18" s="4"/>
      <c r="XG18" s="4"/>
      <c r="XH18" s="5"/>
      <c r="XI18" s="6"/>
      <c r="XJ18" s="4"/>
      <c r="XK18" s="4"/>
      <c r="XL18" s="4"/>
      <c r="XM18" s="4"/>
      <c r="XN18" s="4"/>
      <c r="XO18" s="5"/>
      <c r="XP18" s="6"/>
      <c r="XQ18" s="4"/>
      <c r="XR18" s="4"/>
      <c r="XS18" s="4"/>
      <c r="XT18" s="4"/>
      <c r="XU18" s="4"/>
      <c r="XV18" s="5"/>
      <c r="XW18" s="6"/>
      <c r="XX18" s="4"/>
      <c r="XY18" s="4"/>
      <c r="XZ18" s="4"/>
      <c r="YA18" s="4"/>
      <c r="YB18" s="4"/>
      <c r="YC18" s="5"/>
      <c r="YD18" s="6"/>
      <c r="YE18" s="4"/>
      <c r="YF18" s="4"/>
      <c r="YG18" s="4"/>
      <c r="YH18" s="4"/>
      <c r="YI18" s="4"/>
      <c r="YJ18" s="5"/>
      <c r="YK18" s="6"/>
      <c r="YL18" s="4"/>
      <c r="YM18" s="4"/>
      <c r="YN18" s="4"/>
      <c r="YO18" s="4"/>
      <c r="YP18" s="4"/>
      <c r="YQ18" s="5"/>
      <c r="YR18" s="6"/>
      <c r="YS18" s="4"/>
      <c r="YT18" s="4"/>
      <c r="YU18" s="4"/>
      <c r="YV18" s="4"/>
      <c r="YW18" s="4"/>
      <c r="YX18" s="5"/>
      <c r="YY18" s="6"/>
      <c r="YZ18" s="4"/>
      <c r="ZA18" s="4"/>
      <c r="ZB18" s="4"/>
      <c r="ZC18" s="4"/>
      <c r="ZD18" s="4"/>
      <c r="ZE18" s="5"/>
      <c r="ZF18" s="6"/>
      <c r="ZG18" s="4"/>
      <c r="ZH18" s="4"/>
      <c r="ZI18" s="4"/>
      <c r="ZJ18" s="4"/>
      <c r="ZK18" s="4"/>
      <c r="ZL18" s="5"/>
      <c r="ZM18" s="6"/>
      <c r="ZN18" s="4"/>
      <c r="ZO18" s="4"/>
      <c r="ZP18" s="4"/>
      <c r="ZQ18" s="4"/>
      <c r="ZR18" s="4"/>
      <c r="ZS18" s="5"/>
      <c r="ZT18" s="6"/>
      <c r="ZU18" s="4"/>
      <c r="ZV18" s="4"/>
      <c r="ZW18" s="4"/>
      <c r="ZX18" s="4"/>
      <c r="ZY18" s="4"/>
      <c r="ZZ18" s="5"/>
      <c r="AAA18" s="6"/>
      <c r="AAB18" s="4"/>
      <c r="AAC18" s="4"/>
      <c r="AAD18" s="4"/>
      <c r="AAE18" s="4"/>
      <c r="AAF18" s="4"/>
      <c r="AAG18" s="5"/>
      <c r="AAH18" s="6"/>
      <c r="AAI18" s="4"/>
      <c r="AAJ18" s="4"/>
      <c r="AAK18" s="4"/>
      <c r="AAL18" s="4"/>
      <c r="AAM18" s="4"/>
      <c r="AAN18" s="5"/>
      <c r="AAO18" s="6"/>
      <c r="AAP18" s="4"/>
      <c r="AAQ18" s="4"/>
      <c r="AAR18" s="4"/>
      <c r="AAS18" s="4"/>
      <c r="AAT18" s="4"/>
      <c r="AAU18" s="5"/>
      <c r="AAV18" s="6"/>
      <c r="AAW18" s="4"/>
      <c r="AAX18" s="4"/>
      <c r="AAY18" s="4"/>
      <c r="AAZ18" s="4"/>
      <c r="ABA18" s="4"/>
      <c r="ABB18" s="5"/>
      <c r="ABC18" s="6"/>
      <c r="ABD18" s="4"/>
      <c r="ABE18" s="4"/>
      <c r="ABF18" s="4"/>
      <c r="ABG18" s="4"/>
      <c r="ABH18" s="4"/>
      <c r="ABI18" s="5"/>
      <c r="ABJ18" s="6"/>
      <c r="ABK18" s="4"/>
      <c r="ABL18" s="4"/>
      <c r="ABM18" s="4"/>
      <c r="ABN18" s="4"/>
      <c r="ABO18" s="4"/>
      <c r="ABP18" s="5"/>
      <c r="ABQ18" s="6"/>
      <c r="ABR18" s="4"/>
      <c r="ABS18" s="4"/>
      <c r="ABT18" s="4"/>
      <c r="ABU18" s="4"/>
      <c r="ABV18" s="4"/>
      <c r="ABW18" s="5"/>
      <c r="ABX18" s="6"/>
      <c r="ABY18" s="4"/>
      <c r="ABZ18" s="4"/>
      <c r="ACA18" s="4"/>
      <c r="ACB18" s="4"/>
      <c r="ACC18" s="4"/>
      <c r="ACD18" s="5"/>
      <c r="ACE18" s="6"/>
      <c r="ACF18" s="4"/>
      <c r="ACG18" s="4"/>
      <c r="ACH18" s="4"/>
      <c r="ACI18" s="4"/>
      <c r="ACJ18" s="4"/>
      <c r="ACK18" s="5"/>
      <c r="ACL18" s="6"/>
      <c r="ACM18" s="4"/>
      <c r="ACN18" s="4"/>
      <c r="ACO18" s="4"/>
      <c r="ACP18" s="4"/>
      <c r="ACQ18" s="4"/>
      <c r="ACR18" s="5"/>
      <c r="ACS18" s="6"/>
      <c r="ACT18" s="4"/>
      <c r="ACU18" s="4"/>
      <c r="ACV18" s="4"/>
      <c r="ACW18" s="4"/>
      <c r="ACX18" s="4"/>
      <c r="ACY18" s="5"/>
    </row>
    <row r="19" spans="2:779" x14ac:dyDescent="0.25">
      <c r="B19" s="30"/>
      <c r="J19" s="12"/>
      <c r="K19" s="12"/>
      <c r="L19" s="12"/>
      <c r="LL19" s="6"/>
      <c r="LM19" s="4"/>
      <c r="LN19" s="4"/>
      <c r="LO19" s="4"/>
      <c r="LP19" s="4"/>
      <c r="LQ19" s="4"/>
      <c r="LR19" s="5"/>
      <c r="LS19" s="6"/>
      <c r="LT19" s="4"/>
      <c r="LU19" s="4"/>
      <c r="LV19" s="4"/>
      <c r="LW19" s="4"/>
      <c r="LX19" s="4"/>
      <c r="LY19" s="5"/>
      <c r="LZ19" s="6" t="s">
        <v>1101</v>
      </c>
      <c r="MA19" s="7" t="s">
        <v>1102</v>
      </c>
      <c r="MB19" s="7"/>
      <c r="MC19" s="7" t="s">
        <v>2607</v>
      </c>
      <c r="MD19" s="8">
        <v>32616</v>
      </c>
      <c r="ME19" s="8">
        <v>32620</v>
      </c>
      <c r="MF19" s="8"/>
      <c r="MG19" s="5"/>
      <c r="MH19" s="6"/>
      <c r="MI19" s="4"/>
      <c r="MJ19" s="4"/>
      <c r="MK19" s="4"/>
      <c r="ML19" s="4"/>
      <c r="MM19" s="4"/>
      <c r="MN19" s="5"/>
      <c r="MO19" s="6"/>
      <c r="MP19" s="4"/>
      <c r="MQ19" s="4"/>
      <c r="MR19" s="4"/>
      <c r="MS19" s="4"/>
      <c r="MT19" s="4"/>
      <c r="MU19" s="5"/>
      <c r="MV19" s="6"/>
      <c r="MW19" s="4"/>
      <c r="MX19" s="4"/>
      <c r="MY19" s="4"/>
      <c r="MZ19" s="4"/>
      <c r="NA19" s="4"/>
      <c r="NB19" s="5"/>
      <c r="NC19" s="6"/>
      <c r="ND19" s="4"/>
      <c r="NE19" s="4"/>
      <c r="NF19" s="4"/>
      <c r="NG19" s="4"/>
      <c r="NH19" s="4"/>
      <c r="NI19" s="5"/>
      <c r="NJ19" s="6"/>
      <c r="NK19" s="4"/>
      <c r="NL19" s="4"/>
      <c r="NM19" s="4"/>
      <c r="NN19" s="4"/>
      <c r="NO19" s="4"/>
      <c r="NP19" s="5"/>
      <c r="NQ19" s="6"/>
      <c r="NR19" s="4"/>
      <c r="NS19" s="4"/>
      <c r="NT19" s="4"/>
      <c r="NU19" s="4"/>
      <c r="NV19" s="4"/>
      <c r="NW19" s="5"/>
      <c r="NX19" s="6"/>
      <c r="NY19" s="4"/>
      <c r="NZ19" s="4"/>
      <c r="OA19" s="4"/>
      <c r="OB19" s="4"/>
      <c r="OC19" s="4"/>
      <c r="OD19" s="5"/>
      <c r="OE19" s="6"/>
      <c r="OF19" s="4"/>
      <c r="OG19" s="4"/>
      <c r="OH19" s="4"/>
      <c r="OI19" s="4"/>
      <c r="OJ19" s="4"/>
      <c r="OK19" s="5"/>
      <c r="OL19" s="6"/>
      <c r="OM19" s="4"/>
      <c r="ON19" s="4"/>
      <c r="OO19" s="4"/>
      <c r="OP19" s="4"/>
      <c r="OQ19" s="4"/>
      <c r="OR19" s="5"/>
      <c r="OS19" s="6"/>
      <c r="OT19" s="4"/>
      <c r="OU19" s="4"/>
      <c r="OV19" s="4"/>
      <c r="OW19" s="4"/>
      <c r="OX19" s="4"/>
      <c r="OY19" s="5"/>
      <c r="OZ19" s="6"/>
      <c r="PA19" s="4"/>
      <c r="PB19" s="4"/>
      <c r="PC19" s="4"/>
      <c r="PD19" s="4"/>
      <c r="PE19" s="4"/>
      <c r="PF19" s="5"/>
      <c r="PG19" s="6"/>
      <c r="PH19" s="4"/>
      <c r="PI19" s="4"/>
      <c r="PJ19" s="4"/>
      <c r="PK19" s="4"/>
      <c r="PL19" s="4"/>
      <c r="PM19" s="5"/>
      <c r="PN19" s="6"/>
      <c r="PO19" s="4"/>
      <c r="PP19" s="4"/>
      <c r="PQ19" s="4"/>
      <c r="PR19" s="4"/>
      <c r="PS19" s="4"/>
      <c r="PT19" s="5"/>
      <c r="PU19" s="6"/>
      <c r="PV19" s="4"/>
      <c r="PW19" s="4"/>
      <c r="PX19" s="4"/>
      <c r="PY19" s="4"/>
      <c r="PZ19" s="4"/>
      <c r="QA19" s="5"/>
      <c r="QB19" s="6"/>
      <c r="QC19" s="4"/>
      <c r="QD19" s="4"/>
      <c r="QE19" s="4"/>
      <c r="QF19" s="4"/>
      <c r="QG19" s="4"/>
      <c r="QH19" s="5"/>
      <c r="QI19" s="6"/>
      <c r="QJ19" s="4"/>
      <c r="QK19" s="4"/>
      <c r="QL19" s="4"/>
      <c r="QM19" s="4"/>
      <c r="QN19" s="4"/>
      <c r="QO19" s="5"/>
      <c r="QP19" s="6"/>
      <c r="QQ19" s="4"/>
      <c r="QR19" s="4"/>
      <c r="QS19" s="4"/>
      <c r="QT19" s="4"/>
      <c r="QU19" s="4"/>
      <c r="QV19" s="5"/>
      <c r="QW19" s="6"/>
      <c r="QX19" s="4"/>
      <c r="QY19" s="4"/>
      <c r="QZ19" s="4"/>
      <c r="RA19" s="4"/>
      <c r="RB19" s="4"/>
      <c r="RC19" s="5"/>
      <c r="RD19" s="6"/>
      <c r="RE19" s="4"/>
      <c r="RF19" s="4"/>
      <c r="RG19" s="4"/>
      <c r="RH19" s="4"/>
      <c r="RI19" s="4"/>
      <c r="RJ19" s="5"/>
      <c r="RK19" s="6"/>
      <c r="RL19" s="4"/>
      <c r="RM19" s="4"/>
      <c r="RN19" s="4"/>
      <c r="RO19" s="4"/>
      <c r="RP19" s="4"/>
      <c r="RQ19" s="5"/>
      <c r="RR19" s="6"/>
      <c r="RS19" s="4"/>
      <c r="RT19" s="4"/>
      <c r="RU19" s="4"/>
      <c r="RV19" s="4"/>
      <c r="RW19" s="4"/>
      <c r="RX19" s="5"/>
      <c r="RY19" s="6"/>
      <c r="RZ19" s="4"/>
      <c r="SA19" s="4"/>
      <c r="SB19" s="4"/>
      <c r="SC19" s="4"/>
      <c r="SD19" s="4"/>
      <c r="SE19" s="5"/>
      <c r="SF19" s="6"/>
      <c r="SG19" s="4"/>
      <c r="SH19" s="4"/>
      <c r="SI19" s="4"/>
      <c r="SJ19" s="4"/>
      <c r="SK19" s="4"/>
      <c r="SL19" s="5"/>
      <c r="SM19" s="6"/>
      <c r="SN19" s="4"/>
      <c r="SO19" s="4"/>
      <c r="SP19" s="4"/>
      <c r="SQ19" s="4"/>
      <c r="SR19" s="4"/>
      <c r="SS19" s="5"/>
      <c r="ST19" s="6"/>
      <c r="SU19" s="4"/>
      <c r="SV19" s="4"/>
      <c r="SW19" s="4"/>
      <c r="SX19" s="4"/>
      <c r="SY19" s="4"/>
      <c r="SZ19" s="5"/>
      <c r="TA19" s="6"/>
      <c r="TB19" s="4"/>
      <c r="TC19" s="4"/>
      <c r="TD19" s="4"/>
      <c r="TE19" s="4"/>
      <c r="TF19" s="4"/>
      <c r="TG19" s="5"/>
      <c r="TH19" s="6"/>
      <c r="TI19" s="4"/>
      <c r="TJ19" s="4"/>
      <c r="TK19" s="4"/>
      <c r="TL19" s="4"/>
      <c r="TM19" s="4"/>
      <c r="TN19" s="5"/>
      <c r="TO19" s="6"/>
      <c r="TP19" s="4"/>
      <c r="TQ19" s="4"/>
      <c r="TR19" s="4"/>
      <c r="TS19" s="4"/>
      <c r="TT19" s="4"/>
      <c r="TU19" s="5"/>
      <c r="TV19" s="6"/>
      <c r="TW19" s="4"/>
      <c r="TX19" s="4"/>
      <c r="TY19" s="4"/>
      <c r="TZ19" s="4"/>
      <c r="UA19" s="4"/>
      <c r="UB19" s="5"/>
      <c r="UC19" s="6"/>
      <c r="UD19" s="4"/>
      <c r="UE19" s="4"/>
      <c r="UF19" s="4"/>
      <c r="UG19" s="4"/>
      <c r="UH19" s="4"/>
      <c r="UI19" s="5"/>
      <c r="UJ19" s="6"/>
      <c r="UK19" s="4"/>
      <c r="UL19" s="4"/>
      <c r="UM19" s="4"/>
      <c r="UN19" s="4"/>
      <c r="UO19" s="4"/>
      <c r="UP19" s="5"/>
      <c r="UQ19" s="6"/>
      <c r="UR19" s="4"/>
      <c r="US19" s="4"/>
      <c r="UT19" s="4"/>
      <c r="UU19" s="4"/>
      <c r="UV19" s="4"/>
      <c r="UW19" s="5"/>
      <c r="UX19" s="6"/>
      <c r="UY19" s="4"/>
      <c r="UZ19" s="4"/>
      <c r="VA19" s="4"/>
      <c r="VB19" s="4"/>
      <c r="VC19" s="4"/>
      <c r="VD19" s="5"/>
      <c r="VE19" s="6"/>
      <c r="VF19" s="4"/>
      <c r="VG19" s="4"/>
      <c r="VH19" s="4"/>
      <c r="VI19" s="4"/>
      <c r="VJ19" s="4"/>
      <c r="VK19" s="5"/>
      <c r="VL19" s="6"/>
      <c r="VM19" s="4"/>
      <c r="VN19" s="4"/>
      <c r="VO19" s="4"/>
      <c r="VP19" s="4"/>
      <c r="VQ19" s="4"/>
      <c r="VR19" s="5"/>
      <c r="VS19" s="6"/>
      <c r="VT19" s="4"/>
      <c r="VU19" s="4"/>
      <c r="VV19" s="4"/>
      <c r="VW19" s="4"/>
      <c r="VX19" s="4"/>
      <c r="VY19" s="5"/>
      <c r="VZ19" s="6"/>
      <c r="WA19" s="4"/>
      <c r="WB19" s="4"/>
      <c r="WC19" s="4"/>
      <c r="WD19" s="4"/>
      <c r="WE19" s="4"/>
      <c r="WF19" s="5"/>
      <c r="WG19" s="6"/>
      <c r="WH19" s="4"/>
      <c r="WI19" s="4"/>
      <c r="WJ19" s="4"/>
      <c r="WK19" s="4"/>
      <c r="WL19" s="4"/>
      <c r="WM19" s="5"/>
      <c r="WN19" s="6"/>
      <c r="WO19" s="4"/>
      <c r="WP19" s="4"/>
      <c r="WQ19" s="4"/>
      <c r="WR19" s="4"/>
      <c r="WS19" s="4"/>
      <c r="WT19" s="5"/>
      <c r="WU19" s="6"/>
      <c r="WV19" s="4"/>
      <c r="WW19" s="4"/>
      <c r="WX19" s="4"/>
      <c r="WY19" s="4"/>
      <c r="WZ19" s="4"/>
      <c r="XA19" s="5"/>
      <c r="XB19" s="6"/>
      <c r="XC19" s="4"/>
      <c r="XD19" s="4"/>
      <c r="XE19" s="4"/>
      <c r="XF19" s="4"/>
      <c r="XG19" s="4"/>
      <c r="XH19" s="5"/>
      <c r="XI19" s="6"/>
      <c r="XJ19" s="4"/>
      <c r="XK19" s="4"/>
      <c r="XL19" s="4"/>
      <c r="XM19" s="4"/>
      <c r="XN19" s="4"/>
      <c r="XO19" s="5"/>
      <c r="XP19" s="6"/>
      <c r="XQ19" s="4"/>
      <c r="XR19" s="4"/>
      <c r="XS19" s="4"/>
      <c r="XT19" s="4"/>
      <c r="XU19" s="4"/>
      <c r="XV19" s="5"/>
      <c r="XW19" s="6"/>
      <c r="XX19" s="4"/>
      <c r="XY19" s="4"/>
      <c r="XZ19" s="4"/>
      <c r="YA19" s="4"/>
      <c r="YB19" s="4"/>
      <c r="YC19" s="5"/>
      <c r="YD19" s="6"/>
      <c r="YE19" s="4"/>
      <c r="YF19" s="4"/>
      <c r="YG19" s="4"/>
      <c r="YH19" s="4"/>
      <c r="YI19" s="4"/>
      <c r="YJ19" s="5"/>
      <c r="YK19" s="6"/>
      <c r="YL19" s="4"/>
      <c r="YM19" s="4"/>
      <c r="YN19" s="4"/>
      <c r="YO19" s="4"/>
      <c r="YP19" s="4"/>
      <c r="YQ19" s="5"/>
      <c r="YR19" s="6"/>
      <c r="YS19" s="4"/>
      <c r="YT19" s="4"/>
      <c r="YU19" s="4"/>
      <c r="YV19" s="4"/>
      <c r="YW19" s="4"/>
      <c r="YX19" s="5"/>
      <c r="YY19" s="6"/>
      <c r="YZ19" s="4"/>
      <c r="ZA19" s="4"/>
      <c r="ZB19" s="4"/>
      <c r="ZC19" s="4"/>
      <c r="ZD19" s="4"/>
      <c r="ZE19" s="5"/>
      <c r="ZF19" s="6"/>
      <c r="ZG19" s="4"/>
      <c r="ZH19" s="4"/>
      <c r="ZI19" s="4"/>
      <c r="ZJ19" s="4"/>
      <c r="ZK19" s="4"/>
      <c r="ZL19" s="5"/>
      <c r="ZM19" s="6"/>
      <c r="ZN19" s="4"/>
      <c r="ZO19" s="4"/>
      <c r="ZP19" s="4"/>
      <c r="ZQ19" s="4"/>
      <c r="ZR19" s="4"/>
      <c r="ZS19" s="5"/>
      <c r="ZT19" s="6"/>
      <c r="ZU19" s="4"/>
      <c r="ZV19" s="4"/>
      <c r="ZW19" s="4"/>
      <c r="ZX19" s="4"/>
      <c r="ZY19" s="4"/>
      <c r="ZZ19" s="5"/>
      <c r="AAA19" s="6"/>
      <c r="AAB19" s="4"/>
      <c r="AAC19" s="4"/>
      <c r="AAD19" s="4"/>
      <c r="AAE19" s="4"/>
      <c r="AAF19" s="4"/>
      <c r="AAG19" s="5"/>
      <c r="AAH19" s="6"/>
      <c r="AAI19" s="4"/>
      <c r="AAJ19" s="4"/>
      <c r="AAK19" s="4"/>
      <c r="AAL19" s="4"/>
      <c r="AAM19" s="4"/>
      <c r="AAN19" s="5"/>
      <c r="AAO19" s="6"/>
      <c r="AAP19" s="4"/>
      <c r="AAQ19" s="4"/>
      <c r="AAR19" s="4"/>
      <c r="AAS19" s="4"/>
      <c r="AAT19" s="4"/>
      <c r="AAU19" s="5"/>
      <c r="AAV19" s="6"/>
      <c r="AAW19" s="4"/>
      <c r="AAX19" s="4"/>
      <c r="AAY19" s="4"/>
      <c r="AAZ19" s="4"/>
      <c r="ABA19" s="4"/>
      <c r="ABB19" s="5"/>
      <c r="ABC19" s="6"/>
      <c r="ABD19" s="4"/>
      <c r="ABE19" s="4"/>
      <c r="ABF19" s="4"/>
      <c r="ABG19" s="4"/>
      <c r="ABH19" s="4"/>
      <c r="ABI19" s="5"/>
      <c r="ABJ19" s="6"/>
      <c r="ABK19" s="4"/>
      <c r="ABL19" s="4"/>
      <c r="ABM19" s="4"/>
      <c r="ABN19" s="4"/>
      <c r="ABO19" s="4"/>
      <c r="ABP19" s="5"/>
      <c r="ABQ19" s="6"/>
      <c r="ABR19" s="4"/>
      <c r="ABS19" s="4"/>
      <c r="ABT19" s="4"/>
      <c r="ABU19" s="4"/>
      <c r="ABV19" s="4"/>
      <c r="ABW19" s="5"/>
      <c r="ABX19" s="6"/>
      <c r="ABY19" s="4"/>
      <c r="ABZ19" s="4"/>
      <c r="ACA19" s="4"/>
      <c r="ACB19" s="4"/>
      <c r="ACC19" s="4"/>
      <c r="ACD19" s="5"/>
      <c r="ACE19" s="6"/>
      <c r="ACF19" s="4"/>
      <c r="ACG19" s="4"/>
      <c r="ACH19" s="4"/>
      <c r="ACI19" s="4"/>
      <c r="ACJ19" s="4"/>
      <c r="ACK19" s="5"/>
      <c r="ACL19" s="6"/>
      <c r="ACM19" s="4"/>
      <c r="ACN19" s="4"/>
      <c r="ACO19" s="4"/>
      <c r="ACP19" s="4"/>
      <c r="ACQ19" s="4"/>
      <c r="ACR19" s="5"/>
      <c r="ACS19" s="6"/>
      <c r="ACT19" s="4"/>
      <c r="ACU19" s="4"/>
      <c r="ACV19" s="4"/>
      <c r="ACW19" s="4"/>
      <c r="ACX19" s="4"/>
      <c r="ACY19" s="5"/>
    </row>
    <row r="20" spans="2:779" x14ac:dyDescent="0.25">
      <c r="B20" s="42">
        <v>90000259</v>
      </c>
      <c r="C20">
        <v>64</v>
      </c>
      <c r="D20" t="s">
        <v>2121</v>
      </c>
      <c r="F20" s="23">
        <v>1</v>
      </c>
      <c r="J20" s="12"/>
      <c r="K20" s="12"/>
      <c r="L20" s="12"/>
      <c r="M20">
        <v>1</v>
      </c>
      <c r="V20">
        <v>1</v>
      </c>
      <c r="X20">
        <v>1</v>
      </c>
      <c r="BQ20">
        <v>1</v>
      </c>
      <c r="CY20">
        <v>1</v>
      </c>
      <c r="FG20">
        <v>1</v>
      </c>
      <c r="HQ20">
        <v>1</v>
      </c>
      <c r="LL20" s="6"/>
      <c r="LM20" s="4"/>
      <c r="LN20" s="4"/>
      <c r="LO20" s="4"/>
      <c r="LP20" s="4"/>
      <c r="LQ20" s="4"/>
      <c r="LR20" s="5"/>
      <c r="LS20" s="6"/>
      <c r="LT20" s="4"/>
      <c r="LU20" s="4"/>
      <c r="LV20" s="4"/>
      <c r="LW20" s="4"/>
      <c r="LX20" s="4"/>
      <c r="LY20" s="5"/>
      <c r="LZ20" s="6" t="s">
        <v>1103</v>
      </c>
      <c r="MA20" s="7" t="s">
        <v>2654</v>
      </c>
      <c r="MB20" s="7" t="s">
        <v>2873</v>
      </c>
      <c r="MC20" s="7" t="s">
        <v>2702</v>
      </c>
      <c r="MD20" s="8">
        <v>32807</v>
      </c>
      <c r="ME20" s="8">
        <v>32808</v>
      </c>
      <c r="MF20" s="8"/>
      <c r="MG20" s="5"/>
      <c r="MH20" s="6"/>
      <c r="MI20" s="4"/>
      <c r="MJ20" s="4"/>
      <c r="MK20" s="4"/>
      <c r="ML20" s="4"/>
      <c r="MM20" s="4"/>
      <c r="MN20" s="5"/>
      <c r="MO20" s="6"/>
      <c r="MP20" s="4"/>
      <c r="MQ20" s="4"/>
      <c r="MR20" s="4"/>
      <c r="MS20" s="4"/>
      <c r="MT20" s="4"/>
      <c r="MU20" s="5"/>
      <c r="MV20" s="6"/>
      <c r="MW20" s="4"/>
      <c r="MX20" s="4"/>
      <c r="MY20" s="4"/>
      <c r="MZ20" s="4"/>
      <c r="NA20" s="4"/>
      <c r="NB20" s="5"/>
      <c r="NC20" s="6"/>
      <c r="ND20" s="4"/>
      <c r="NE20" s="4"/>
      <c r="NF20" s="4"/>
      <c r="NG20" s="4"/>
      <c r="NH20" s="4"/>
      <c r="NI20" s="5"/>
      <c r="NJ20" s="6"/>
      <c r="NK20" s="4"/>
      <c r="NL20" s="4"/>
      <c r="NM20" s="4"/>
      <c r="NN20" s="4"/>
      <c r="NO20" s="4"/>
      <c r="NP20" s="5"/>
      <c r="NQ20" s="6"/>
      <c r="NR20" s="4"/>
      <c r="NS20" s="4"/>
      <c r="NT20" s="4"/>
      <c r="NU20" s="4"/>
      <c r="NV20" s="4"/>
      <c r="NW20" s="5"/>
      <c r="NX20" s="6"/>
      <c r="NY20" s="4"/>
      <c r="NZ20" s="4"/>
      <c r="OA20" s="4"/>
      <c r="OB20" s="4"/>
      <c r="OC20" s="4"/>
      <c r="OD20" s="5"/>
      <c r="OE20" s="6"/>
      <c r="OF20" s="4"/>
      <c r="OG20" s="4"/>
      <c r="OH20" s="4"/>
      <c r="OI20" s="4"/>
      <c r="OJ20" s="4"/>
      <c r="OK20" s="5"/>
      <c r="OL20" s="6"/>
      <c r="OM20" s="4"/>
      <c r="ON20" s="4"/>
      <c r="OO20" s="4"/>
      <c r="OP20" s="4"/>
      <c r="OQ20" s="4"/>
      <c r="OR20" s="5"/>
      <c r="OS20" s="6"/>
      <c r="OT20" s="4"/>
      <c r="OU20" s="4"/>
      <c r="OV20" s="4"/>
      <c r="OW20" s="4"/>
      <c r="OX20" s="4"/>
      <c r="OY20" s="5"/>
      <c r="OZ20" s="6"/>
      <c r="PA20" s="4"/>
      <c r="PB20" s="4"/>
      <c r="PC20" s="4"/>
      <c r="PD20" s="4"/>
      <c r="PE20" s="4"/>
      <c r="PF20" s="5"/>
      <c r="PG20" s="6"/>
      <c r="PH20" s="4"/>
      <c r="PI20" s="4"/>
      <c r="PJ20" s="4"/>
      <c r="PK20" s="4"/>
      <c r="PL20" s="4"/>
      <c r="PM20" s="5"/>
      <c r="PN20" s="6"/>
      <c r="PO20" s="4"/>
      <c r="PP20" s="4"/>
      <c r="PQ20" s="4"/>
      <c r="PR20" s="4"/>
      <c r="PS20" s="4"/>
      <c r="PT20" s="5"/>
      <c r="PU20" s="6"/>
      <c r="PV20" s="4"/>
      <c r="PW20" s="4"/>
      <c r="PX20" s="4"/>
      <c r="PY20" s="4"/>
      <c r="PZ20" s="4"/>
      <c r="QA20" s="5"/>
      <c r="QB20" s="6"/>
      <c r="QC20" s="4"/>
      <c r="QD20" s="4"/>
      <c r="QE20" s="4"/>
      <c r="QF20" s="4"/>
      <c r="QG20" s="4"/>
      <c r="QH20" s="5"/>
      <c r="QI20" s="6"/>
      <c r="QJ20" s="4"/>
      <c r="QK20" s="4"/>
      <c r="QL20" s="4"/>
      <c r="QM20" s="4"/>
      <c r="QN20" s="4"/>
      <c r="QO20" s="5"/>
      <c r="QP20" s="6"/>
      <c r="QQ20" s="4"/>
      <c r="QR20" s="4"/>
      <c r="QS20" s="4"/>
      <c r="QT20" s="4"/>
      <c r="QU20" s="4"/>
      <c r="QV20" s="5"/>
      <c r="QW20" s="6"/>
      <c r="QX20" s="4"/>
      <c r="QY20" s="4"/>
      <c r="QZ20" s="4"/>
      <c r="RA20" s="4"/>
      <c r="RB20" s="4"/>
      <c r="RC20" s="5"/>
      <c r="RD20" s="6"/>
      <c r="RE20" s="4"/>
      <c r="RF20" s="4"/>
      <c r="RG20" s="4"/>
      <c r="RH20" s="4"/>
      <c r="RI20" s="4"/>
      <c r="RJ20" s="5"/>
      <c r="RK20" s="6"/>
      <c r="RL20" s="4"/>
      <c r="RM20" s="4"/>
      <c r="RN20" s="4"/>
      <c r="RO20" s="4"/>
      <c r="RP20" s="4"/>
      <c r="RQ20" s="5"/>
      <c r="RR20" s="6"/>
      <c r="RS20" s="4"/>
      <c r="RT20" s="4"/>
      <c r="RU20" s="4"/>
      <c r="RV20" s="4"/>
      <c r="RW20" s="4"/>
      <c r="RX20" s="5"/>
      <c r="RY20" s="6"/>
      <c r="RZ20" s="4"/>
      <c r="SA20" s="4"/>
      <c r="SB20" s="4"/>
      <c r="SC20" s="4"/>
      <c r="SD20" s="4"/>
      <c r="SE20" s="5"/>
      <c r="SF20" s="6"/>
      <c r="SG20" s="4"/>
      <c r="SH20" s="4"/>
      <c r="SI20" s="4"/>
      <c r="SJ20" s="4"/>
      <c r="SK20" s="4"/>
      <c r="SL20" s="5"/>
      <c r="SM20" s="6"/>
      <c r="SN20" s="4"/>
      <c r="SO20" s="4"/>
      <c r="SP20" s="4"/>
      <c r="SQ20" s="4"/>
      <c r="SR20" s="4"/>
      <c r="SS20" s="5"/>
      <c r="ST20" s="6"/>
      <c r="SU20" s="4"/>
      <c r="SV20" s="4"/>
      <c r="SW20" s="4"/>
      <c r="SX20" s="4"/>
      <c r="SY20" s="4"/>
      <c r="SZ20" s="5"/>
      <c r="TA20" s="6"/>
      <c r="TB20" s="4"/>
      <c r="TC20" s="4"/>
      <c r="TD20" s="4"/>
      <c r="TE20" s="4"/>
      <c r="TF20" s="4"/>
      <c r="TG20" s="5"/>
      <c r="TH20" s="6"/>
      <c r="TI20" s="4"/>
      <c r="TJ20" s="4"/>
      <c r="TK20" s="4"/>
      <c r="TL20" s="4"/>
      <c r="TM20" s="4"/>
      <c r="TN20" s="5"/>
      <c r="TO20" s="6"/>
      <c r="TP20" s="4"/>
      <c r="TQ20" s="4"/>
      <c r="TR20" s="4"/>
      <c r="TS20" s="4"/>
      <c r="TT20" s="4"/>
      <c r="TU20" s="5"/>
      <c r="TV20" s="6"/>
      <c r="TW20" s="4"/>
      <c r="TX20" s="4"/>
      <c r="TY20" s="4"/>
      <c r="TZ20" s="4"/>
      <c r="UA20" s="4"/>
      <c r="UB20" s="5"/>
      <c r="UC20" s="6"/>
      <c r="UD20" s="4"/>
      <c r="UE20" s="4"/>
      <c r="UF20" s="4"/>
      <c r="UG20" s="4"/>
      <c r="UH20" s="4"/>
      <c r="UI20" s="5"/>
      <c r="UJ20" s="6"/>
      <c r="UK20" s="4"/>
      <c r="UL20" s="4"/>
      <c r="UM20" s="4"/>
      <c r="UN20" s="4"/>
      <c r="UO20" s="4"/>
      <c r="UP20" s="5"/>
      <c r="UQ20" s="6"/>
      <c r="UR20" s="4"/>
      <c r="US20" s="4"/>
      <c r="UT20" s="4"/>
      <c r="UU20" s="4"/>
      <c r="UV20" s="4"/>
      <c r="UW20" s="5"/>
      <c r="UX20" s="6"/>
      <c r="UY20" s="4"/>
      <c r="UZ20" s="4"/>
      <c r="VA20" s="4"/>
      <c r="VB20" s="4"/>
      <c r="VC20" s="4"/>
      <c r="VD20" s="5"/>
      <c r="VE20" s="6"/>
      <c r="VF20" s="4"/>
      <c r="VG20" s="4"/>
      <c r="VH20" s="4"/>
      <c r="VI20" s="4"/>
      <c r="VJ20" s="4"/>
      <c r="VK20" s="5"/>
      <c r="VL20" s="6"/>
      <c r="VM20" s="4"/>
      <c r="VN20" s="4"/>
      <c r="VO20" s="4"/>
      <c r="VP20" s="4"/>
      <c r="VQ20" s="4"/>
      <c r="VR20" s="5"/>
      <c r="VS20" s="6"/>
      <c r="VT20" s="4"/>
      <c r="VU20" s="4"/>
      <c r="VV20" s="4"/>
      <c r="VW20" s="4"/>
      <c r="VX20" s="4"/>
      <c r="VY20" s="5"/>
      <c r="VZ20" s="6"/>
      <c r="WA20" s="4"/>
      <c r="WB20" s="4"/>
      <c r="WC20" s="4"/>
      <c r="WD20" s="4"/>
      <c r="WE20" s="4"/>
      <c r="WF20" s="5"/>
      <c r="WG20" s="6"/>
      <c r="WH20" s="4"/>
      <c r="WI20" s="4"/>
      <c r="WJ20" s="4"/>
      <c r="WK20" s="4"/>
      <c r="WL20" s="4"/>
      <c r="WM20" s="5"/>
      <c r="WN20" s="6"/>
      <c r="WO20" s="4"/>
      <c r="WP20" s="4"/>
      <c r="WQ20" s="4"/>
      <c r="WR20" s="4"/>
      <c r="WS20" s="4"/>
      <c r="WT20" s="5"/>
      <c r="WU20" s="6"/>
      <c r="WV20" s="4"/>
      <c r="WW20" s="4"/>
      <c r="WX20" s="4"/>
      <c r="WY20" s="4"/>
      <c r="WZ20" s="4"/>
      <c r="XA20" s="5"/>
      <c r="XB20" s="6"/>
      <c r="XC20" s="4"/>
      <c r="XD20" s="4"/>
      <c r="XE20" s="4"/>
      <c r="XF20" s="4"/>
      <c r="XG20" s="4"/>
      <c r="XH20" s="5"/>
      <c r="XI20" s="6"/>
      <c r="XJ20" s="4"/>
      <c r="XK20" s="4"/>
      <c r="XL20" s="4"/>
      <c r="XM20" s="4"/>
      <c r="XN20" s="4"/>
      <c r="XO20" s="5"/>
      <c r="XP20" s="6"/>
      <c r="XQ20" s="4"/>
      <c r="XR20" s="4"/>
      <c r="XS20" s="4"/>
      <c r="XT20" s="4"/>
      <c r="XU20" s="4"/>
      <c r="XV20" s="5"/>
      <c r="XW20" s="6"/>
      <c r="XX20" s="4"/>
      <c r="XY20" s="4"/>
      <c r="XZ20" s="4"/>
      <c r="YA20" s="4"/>
      <c r="YB20" s="4"/>
      <c r="YC20" s="5"/>
      <c r="YD20" s="6"/>
      <c r="YE20" s="4"/>
      <c r="YF20" s="4"/>
      <c r="YG20" s="4"/>
      <c r="YH20" s="4"/>
      <c r="YI20" s="4"/>
      <c r="YJ20" s="5"/>
      <c r="YK20" s="6"/>
      <c r="YL20" s="4"/>
      <c r="YM20" s="4"/>
      <c r="YN20" s="4"/>
      <c r="YO20" s="4"/>
      <c r="YP20" s="4"/>
      <c r="YQ20" s="5"/>
      <c r="YR20" s="6"/>
      <c r="YS20" s="4"/>
      <c r="YT20" s="4"/>
      <c r="YU20" s="4"/>
      <c r="YV20" s="4"/>
      <c r="YW20" s="4"/>
      <c r="YX20" s="5"/>
      <c r="YY20" s="6"/>
      <c r="YZ20" s="4"/>
      <c r="ZA20" s="4"/>
      <c r="ZB20" s="4"/>
      <c r="ZC20" s="4"/>
      <c r="ZD20" s="4"/>
      <c r="ZE20" s="5"/>
      <c r="ZF20" s="6"/>
      <c r="ZG20" s="4"/>
      <c r="ZH20" s="4"/>
      <c r="ZI20" s="4"/>
      <c r="ZJ20" s="4"/>
      <c r="ZK20" s="4"/>
      <c r="ZL20" s="5"/>
      <c r="ZM20" s="6"/>
      <c r="ZN20" s="4"/>
      <c r="ZO20" s="4"/>
      <c r="ZP20" s="4"/>
      <c r="ZQ20" s="4"/>
      <c r="ZR20" s="4"/>
      <c r="ZS20" s="5"/>
      <c r="ZT20" s="6"/>
      <c r="ZU20" s="4"/>
      <c r="ZV20" s="4"/>
      <c r="ZW20" s="4"/>
      <c r="ZX20" s="4"/>
      <c r="ZY20" s="4"/>
      <c r="ZZ20" s="5"/>
      <c r="AAA20" s="6"/>
      <c r="AAB20" s="4"/>
      <c r="AAC20" s="4"/>
      <c r="AAD20" s="4"/>
      <c r="AAE20" s="4"/>
      <c r="AAF20" s="4"/>
      <c r="AAG20" s="5"/>
      <c r="AAH20" s="6"/>
      <c r="AAI20" s="4"/>
      <c r="AAJ20" s="4"/>
      <c r="AAK20" s="4"/>
      <c r="AAL20" s="4"/>
      <c r="AAM20" s="4"/>
      <c r="AAN20" s="5"/>
      <c r="AAO20" s="6"/>
      <c r="AAP20" s="4"/>
      <c r="AAQ20" s="4"/>
      <c r="AAR20" s="4"/>
      <c r="AAS20" s="4"/>
      <c r="AAT20" s="4"/>
      <c r="AAU20" s="5"/>
      <c r="AAV20" s="6"/>
      <c r="AAW20" s="4"/>
      <c r="AAX20" s="4"/>
      <c r="AAY20" s="4"/>
      <c r="AAZ20" s="4"/>
      <c r="ABA20" s="4"/>
      <c r="ABB20" s="5"/>
      <c r="ABC20" s="6"/>
      <c r="ABD20" s="4"/>
      <c r="ABE20" s="4"/>
      <c r="ABF20" s="4"/>
      <c r="ABG20" s="4"/>
      <c r="ABH20" s="4"/>
      <c r="ABI20" s="5"/>
      <c r="ABJ20" s="6"/>
      <c r="ABK20" s="4"/>
      <c r="ABL20" s="4"/>
      <c r="ABM20" s="4"/>
      <c r="ABN20" s="4"/>
      <c r="ABO20" s="4"/>
      <c r="ABP20" s="5"/>
      <c r="ABQ20" s="6"/>
      <c r="ABR20" s="4"/>
      <c r="ABS20" s="4"/>
      <c r="ABT20" s="4"/>
      <c r="ABU20" s="4"/>
      <c r="ABV20" s="4"/>
      <c r="ABW20" s="5"/>
      <c r="ABX20" s="6"/>
      <c r="ABY20" s="4"/>
      <c r="ABZ20" s="4"/>
      <c r="ACA20" s="4"/>
      <c r="ACB20" s="4"/>
      <c r="ACC20" s="4"/>
      <c r="ACD20" s="5"/>
      <c r="ACE20" s="6"/>
      <c r="ACF20" s="4"/>
      <c r="ACG20" s="4"/>
      <c r="ACH20" s="4"/>
      <c r="ACI20" s="4"/>
      <c r="ACJ20" s="4"/>
      <c r="ACK20" s="5"/>
      <c r="ACL20" s="6"/>
      <c r="ACM20" s="4"/>
      <c r="ACN20" s="4"/>
      <c r="ACO20" s="4"/>
      <c r="ACP20" s="4"/>
      <c r="ACQ20" s="4"/>
      <c r="ACR20" s="5"/>
      <c r="ACS20" s="6"/>
      <c r="ACT20" s="4"/>
      <c r="ACU20" s="4"/>
      <c r="ACV20" s="4"/>
      <c r="ACW20" s="4"/>
      <c r="ACX20" s="4"/>
      <c r="ACY20" s="5"/>
    </row>
    <row r="21" spans="2:779" x14ac:dyDescent="0.25">
      <c r="B21" s="30"/>
      <c r="J21" s="12"/>
      <c r="K21" s="12"/>
      <c r="L21" s="12"/>
      <c r="LL21" s="6"/>
      <c r="LM21" s="4"/>
      <c r="LN21" s="4"/>
      <c r="LO21" s="4"/>
      <c r="LP21" s="4"/>
      <c r="LQ21" s="4"/>
      <c r="LR21" s="5"/>
      <c r="LS21" s="6"/>
      <c r="LT21" s="4"/>
      <c r="LU21" s="4"/>
      <c r="LV21" s="4"/>
      <c r="LW21" s="4"/>
      <c r="LX21" s="4"/>
      <c r="LY21" s="5"/>
      <c r="LZ21" s="6" t="s">
        <v>1104</v>
      </c>
      <c r="MA21" s="7" t="s">
        <v>2375</v>
      </c>
      <c r="MB21" s="7" t="s">
        <v>1105</v>
      </c>
      <c r="MC21" s="4" t="s">
        <v>2702</v>
      </c>
      <c r="MD21" s="8">
        <v>32807</v>
      </c>
      <c r="ME21" s="8">
        <v>32808</v>
      </c>
      <c r="MF21" s="8"/>
      <c r="MG21" s="5"/>
      <c r="MH21" s="6"/>
      <c r="MI21" s="4"/>
      <c r="MJ21" s="4"/>
      <c r="MK21" s="4"/>
      <c r="ML21" s="4"/>
      <c r="MM21" s="4"/>
      <c r="MN21" s="5"/>
      <c r="MO21" s="6"/>
      <c r="MP21" s="4"/>
      <c r="MQ21" s="4"/>
      <c r="MR21" s="4"/>
      <c r="MS21" s="4"/>
      <c r="MT21" s="4"/>
      <c r="MU21" s="5"/>
      <c r="MV21" s="6"/>
      <c r="MW21" s="4"/>
      <c r="MX21" s="4"/>
      <c r="MY21" s="4"/>
      <c r="MZ21" s="4"/>
      <c r="NA21" s="4"/>
      <c r="NB21" s="5"/>
      <c r="NC21" s="6"/>
      <c r="ND21" s="4"/>
      <c r="NE21" s="4"/>
      <c r="NF21" s="4"/>
      <c r="NG21" s="4"/>
      <c r="NH21" s="4"/>
      <c r="NI21" s="5"/>
      <c r="NJ21" s="6"/>
      <c r="NK21" s="4"/>
      <c r="NL21" s="4"/>
      <c r="NM21" s="4"/>
      <c r="NN21" s="4"/>
      <c r="NO21" s="4"/>
      <c r="NP21" s="5"/>
      <c r="NQ21" s="6"/>
      <c r="NR21" s="4"/>
      <c r="NS21" s="4"/>
      <c r="NT21" s="4"/>
      <c r="NU21" s="4"/>
      <c r="NV21" s="4"/>
      <c r="NW21" s="5"/>
      <c r="NX21" s="6"/>
      <c r="NY21" s="4"/>
      <c r="NZ21" s="4"/>
      <c r="OA21" s="4"/>
      <c r="OB21" s="4"/>
      <c r="OC21" s="4"/>
      <c r="OD21" s="5"/>
      <c r="OE21" s="6"/>
      <c r="OF21" s="4"/>
      <c r="OG21" s="4"/>
      <c r="OH21" s="4"/>
      <c r="OI21" s="4"/>
      <c r="OJ21" s="4"/>
      <c r="OK21" s="5"/>
      <c r="OL21" s="6"/>
      <c r="OM21" s="4"/>
      <c r="ON21" s="4"/>
      <c r="OO21" s="4"/>
      <c r="OP21" s="4"/>
      <c r="OQ21" s="4"/>
      <c r="OR21" s="5"/>
      <c r="OS21" s="6"/>
      <c r="OT21" s="4"/>
      <c r="OU21" s="4"/>
      <c r="OV21" s="4"/>
      <c r="OW21" s="4"/>
      <c r="OX21" s="4"/>
      <c r="OY21" s="5"/>
      <c r="OZ21" s="6"/>
      <c r="PA21" s="4"/>
      <c r="PB21" s="4"/>
      <c r="PC21" s="4"/>
      <c r="PD21" s="4"/>
      <c r="PE21" s="4"/>
      <c r="PF21" s="5"/>
      <c r="PG21" s="6"/>
      <c r="PH21" s="4"/>
      <c r="PI21" s="4"/>
      <c r="PJ21" s="4"/>
      <c r="PK21" s="4"/>
      <c r="PL21" s="4"/>
      <c r="PM21" s="5"/>
      <c r="PN21" s="6"/>
      <c r="PO21" s="4"/>
      <c r="PP21" s="4"/>
      <c r="PQ21" s="4"/>
      <c r="PR21" s="4"/>
      <c r="PS21" s="4"/>
      <c r="PT21" s="5"/>
      <c r="PU21" s="6"/>
      <c r="PV21" s="4"/>
      <c r="PW21" s="4"/>
      <c r="PX21" s="4"/>
      <c r="PY21" s="4"/>
      <c r="PZ21" s="4"/>
      <c r="QA21" s="5"/>
      <c r="QB21" s="6"/>
      <c r="QC21" s="4"/>
      <c r="QD21" s="4"/>
      <c r="QE21" s="4"/>
      <c r="QF21" s="4"/>
      <c r="QG21" s="4"/>
      <c r="QH21" s="5"/>
      <c r="QI21" s="6"/>
      <c r="QJ21" s="4"/>
      <c r="QK21" s="4"/>
      <c r="QL21" s="4"/>
      <c r="QM21" s="4"/>
      <c r="QN21" s="4"/>
      <c r="QO21" s="5"/>
      <c r="QP21" s="6"/>
      <c r="QQ21" s="4"/>
      <c r="QR21" s="4"/>
      <c r="QS21" s="4"/>
      <c r="QT21" s="4"/>
      <c r="QU21" s="4"/>
      <c r="QV21" s="5"/>
      <c r="QW21" s="6"/>
      <c r="QX21" s="4"/>
      <c r="QY21" s="4"/>
      <c r="QZ21" s="4"/>
      <c r="RA21" s="4"/>
      <c r="RB21" s="4"/>
      <c r="RC21" s="5"/>
      <c r="RD21" s="6"/>
      <c r="RE21" s="4"/>
      <c r="RF21" s="4"/>
      <c r="RG21" s="4"/>
      <c r="RH21" s="4"/>
      <c r="RI21" s="4"/>
      <c r="RJ21" s="5"/>
      <c r="RK21" s="6"/>
      <c r="RL21" s="4"/>
      <c r="RM21" s="4"/>
      <c r="RN21" s="4"/>
      <c r="RO21" s="4"/>
      <c r="RP21" s="4"/>
      <c r="RQ21" s="5"/>
      <c r="RR21" s="6"/>
      <c r="RS21" s="4"/>
      <c r="RT21" s="4"/>
      <c r="RU21" s="4"/>
      <c r="RV21" s="4"/>
      <c r="RW21" s="4"/>
      <c r="RX21" s="5"/>
      <c r="RY21" s="6"/>
      <c r="RZ21" s="4"/>
      <c r="SA21" s="4"/>
      <c r="SB21" s="4"/>
      <c r="SC21" s="4"/>
      <c r="SD21" s="4"/>
      <c r="SE21" s="5"/>
      <c r="SF21" s="6"/>
      <c r="SG21" s="4"/>
      <c r="SH21" s="4"/>
      <c r="SI21" s="4"/>
      <c r="SJ21" s="4"/>
      <c r="SK21" s="4"/>
      <c r="SL21" s="5"/>
      <c r="SM21" s="6"/>
      <c r="SN21" s="4"/>
      <c r="SO21" s="4"/>
      <c r="SP21" s="4"/>
      <c r="SQ21" s="4"/>
      <c r="SR21" s="4"/>
      <c r="SS21" s="5"/>
      <c r="ST21" s="6"/>
      <c r="SU21" s="4"/>
      <c r="SV21" s="4"/>
      <c r="SW21" s="4"/>
      <c r="SX21" s="4"/>
      <c r="SY21" s="4"/>
      <c r="SZ21" s="5"/>
      <c r="TA21" s="6"/>
      <c r="TB21" s="4"/>
      <c r="TC21" s="4"/>
      <c r="TD21" s="4"/>
      <c r="TE21" s="4"/>
      <c r="TF21" s="4"/>
      <c r="TG21" s="5"/>
      <c r="TH21" s="6"/>
      <c r="TI21" s="4"/>
      <c r="TJ21" s="4"/>
      <c r="TK21" s="4"/>
      <c r="TL21" s="4"/>
      <c r="TM21" s="4"/>
      <c r="TN21" s="5"/>
      <c r="TO21" s="6"/>
      <c r="TP21" s="4"/>
      <c r="TQ21" s="4"/>
      <c r="TR21" s="4"/>
      <c r="TS21" s="4"/>
      <c r="TT21" s="4"/>
      <c r="TU21" s="5"/>
      <c r="TV21" s="6"/>
      <c r="TW21" s="4"/>
      <c r="TX21" s="4"/>
      <c r="TY21" s="4"/>
      <c r="TZ21" s="4"/>
      <c r="UA21" s="4"/>
      <c r="UB21" s="5"/>
      <c r="UC21" s="6"/>
      <c r="UD21" s="4"/>
      <c r="UE21" s="4"/>
      <c r="UF21" s="4"/>
      <c r="UG21" s="4"/>
      <c r="UH21" s="4"/>
      <c r="UI21" s="5"/>
      <c r="UJ21" s="6"/>
      <c r="UK21" s="4"/>
      <c r="UL21" s="4"/>
      <c r="UM21" s="4"/>
      <c r="UN21" s="4"/>
      <c r="UO21" s="4"/>
      <c r="UP21" s="5"/>
      <c r="UQ21" s="6"/>
      <c r="UR21" s="4"/>
      <c r="US21" s="4"/>
      <c r="UT21" s="4"/>
      <c r="UU21" s="4"/>
      <c r="UV21" s="4"/>
      <c r="UW21" s="5"/>
      <c r="UX21" s="6"/>
      <c r="UY21" s="4"/>
      <c r="UZ21" s="4"/>
      <c r="VA21" s="4"/>
      <c r="VB21" s="4"/>
      <c r="VC21" s="4"/>
      <c r="VD21" s="5"/>
      <c r="VE21" s="6"/>
      <c r="VF21" s="4"/>
      <c r="VG21" s="4"/>
      <c r="VH21" s="4"/>
      <c r="VI21" s="4"/>
      <c r="VJ21" s="4"/>
      <c r="VK21" s="5"/>
      <c r="VL21" s="6"/>
      <c r="VM21" s="4"/>
      <c r="VN21" s="4"/>
      <c r="VO21" s="4"/>
      <c r="VP21" s="4"/>
      <c r="VQ21" s="4"/>
      <c r="VR21" s="5"/>
      <c r="VS21" s="6"/>
      <c r="VT21" s="4"/>
      <c r="VU21" s="4"/>
      <c r="VV21" s="4"/>
      <c r="VW21" s="4"/>
      <c r="VX21" s="4"/>
      <c r="VY21" s="5"/>
      <c r="VZ21" s="6"/>
      <c r="WA21" s="4"/>
      <c r="WB21" s="4"/>
      <c r="WC21" s="4"/>
      <c r="WD21" s="4"/>
      <c r="WE21" s="4"/>
      <c r="WF21" s="5"/>
      <c r="WG21" s="6"/>
      <c r="WH21" s="4"/>
      <c r="WI21" s="4"/>
      <c r="WJ21" s="4"/>
      <c r="WK21" s="4"/>
      <c r="WL21" s="4"/>
      <c r="WM21" s="5"/>
      <c r="WN21" s="6"/>
      <c r="WO21" s="4"/>
      <c r="WP21" s="4"/>
      <c r="WQ21" s="4"/>
      <c r="WR21" s="4"/>
      <c r="WS21" s="4"/>
      <c r="WT21" s="5"/>
      <c r="WU21" s="6"/>
      <c r="WV21" s="4"/>
      <c r="WW21" s="4"/>
      <c r="WX21" s="4"/>
      <c r="WY21" s="4"/>
      <c r="WZ21" s="4"/>
      <c r="XA21" s="5"/>
      <c r="XB21" s="6"/>
      <c r="XC21" s="4"/>
      <c r="XD21" s="4"/>
      <c r="XE21" s="4"/>
      <c r="XF21" s="4"/>
      <c r="XG21" s="4"/>
      <c r="XH21" s="5"/>
      <c r="XI21" s="6"/>
      <c r="XJ21" s="4"/>
      <c r="XK21" s="4"/>
      <c r="XL21" s="4"/>
      <c r="XM21" s="4"/>
      <c r="XN21" s="4"/>
      <c r="XO21" s="5"/>
      <c r="XP21" s="6"/>
      <c r="XQ21" s="4"/>
      <c r="XR21" s="4"/>
      <c r="XS21" s="4"/>
      <c r="XT21" s="4"/>
      <c r="XU21" s="4"/>
      <c r="XV21" s="5"/>
      <c r="XW21" s="6"/>
      <c r="XX21" s="4"/>
      <c r="XY21" s="4"/>
      <c r="XZ21" s="4"/>
      <c r="YA21" s="4"/>
      <c r="YB21" s="4"/>
      <c r="YC21" s="5"/>
      <c r="YD21" s="6"/>
      <c r="YE21" s="4"/>
      <c r="YF21" s="4"/>
      <c r="YG21" s="4"/>
      <c r="YH21" s="4"/>
      <c r="YI21" s="4"/>
      <c r="YJ21" s="5"/>
      <c r="YK21" s="6"/>
      <c r="YL21" s="4"/>
      <c r="YM21" s="4"/>
      <c r="YN21" s="4"/>
      <c r="YO21" s="4"/>
      <c r="YP21" s="4"/>
      <c r="YQ21" s="5"/>
      <c r="YR21" s="6"/>
      <c r="YS21" s="4"/>
      <c r="YT21" s="4"/>
      <c r="YU21" s="4"/>
      <c r="YV21" s="4"/>
      <c r="YW21" s="4"/>
      <c r="YX21" s="5"/>
      <c r="YY21" s="6"/>
      <c r="YZ21" s="4"/>
      <c r="ZA21" s="4"/>
      <c r="ZB21" s="4"/>
      <c r="ZC21" s="4"/>
      <c r="ZD21" s="4"/>
      <c r="ZE21" s="5"/>
      <c r="ZF21" s="6"/>
      <c r="ZG21" s="4"/>
      <c r="ZH21" s="4"/>
      <c r="ZI21" s="4"/>
      <c r="ZJ21" s="4"/>
      <c r="ZK21" s="4"/>
      <c r="ZL21" s="5"/>
      <c r="ZM21" s="6"/>
      <c r="ZN21" s="4"/>
      <c r="ZO21" s="4"/>
      <c r="ZP21" s="4"/>
      <c r="ZQ21" s="4"/>
      <c r="ZR21" s="4"/>
      <c r="ZS21" s="5"/>
      <c r="ZT21" s="6"/>
      <c r="ZU21" s="4"/>
      <c r="ZV21" s="4"/>
      <c r="ZW21" s="4"/>
      <c r="ZX21" s="4"/>
      <c r="ZY21" s="4"/>
      <c r="ZZ21" s="5"/>
      <c r="AAA21" s="6"/>
      <c r="AAB21" s="4"/>
      <c r="AAC21" s="4"/>
      <c r="AAD21" s="4"/>
      <c r="AAE21" s="4"/>
      <c r="AAF21" s="4"/>
      <c r="AAG21" s="5"/>
      <c r="AAH21" s="6"/>
      <c r="AAI21" s="4"/>
      <c r="AAJ21" s="4"/>
      <c r="AAK21" s="4"/>
      <c r="AAL21" s="4"/>
      <c r="AAM21" s="4"/>
      <c r="AAN21" s="5"/>
      <c r="AAO21" s="6"/>
      <c r="AAP21" s="4"/>
      <c r="AAQ21" s="4"/>
      <c r="AAR21" s="4"/>
      <c r="AAS21" s="4"/>
      <c r="AAT21" s="4"/>
      <c r="AAU21" s="5"/>
      <c r="AAV21" s="6"/>
      <c r="AAW21" s="4"/>
      <c r="AAX21" s="4"/>
      <c r="AAY21" s="4"/>
      <c r="AAZ21" s="4"/>
      <c r="ABA21" s="4"/>
      <c r="ABB21" s="5"/>
      <c r="ABC21" s="6"/>
      <c r="ABD21" s="4"/>
      <c r="ABE21" s="4"/>
      <c r="ABF21" s="4"/>
      <c r="ABG21" s="4"/>
      <c r="ABH21" s="4"/>
      <c r="ABI21" s="5"/>
      <c r="ABJ21" s="6"/>
      <c r="ABK21" s="4"/>
      <c r="ABL21" s="4"/>
      <c r="ABM21" s="4"/>
      <c r="ABN21" s="4"/>
      <c r="ABO21" s="4"/>
      <c r="ABP21" s="5"/>
      <c r="ABQ21" s="6"/>
      <c r="ABR21" s="4"/>
      <c r="ABS21" s="4"/>
      <c r="ABT21" s="4"/>
      <c r="ABU21" s="4"/>
      <c r="ABV21" s="4"/>
      <c r="ABW21" s="5"/>
      <c r="ABX21" s="6"/>
      <c r="ABY21" s="4"/>
      <c r="ABZ21" s="4"/>
      <c r="ACA21" s="4"/>
      <c r="ACB21" s="4"/>
      <c r="ACC21" s="4"/>
      <c r="ACD21" s="5"/>
      <c r="ACE21" s="6"/>
      <c r="ACF21" s="4"/>
      <c r="ACG21" s="4"/>
      <c r="ACH21" s="4"/>
      <c r="ACI21" s="4"/>
      <c r="ACJ21" s="4"/>
      <c r="ACK21" s="5"/>
      <c r="ACL21" s="6"/>
      <c r="ACM21" s="4"/>
      <c r="ACN21" s="4"/>
      <c r="ACO21" s="4"/>
      <c r="ACP21" s="4"/>
      <c r="ACQ21" s="4"/>
      <c r="ACR21" s="5"/>
      <c r="ACS21" s="6"/>
      <c r="ACT21" s="4"/>
      <c r="ACU21" s="4"/>
      <c r="ACV21" s="4"/>
      <c r="ACW21" s="4"/>
      <c r="ACX21" s="4"/>
      <c r="ACY21" s="5"/>
    </row>
    <row r="22" spans="2:779" x14ac:dyDescent="0.25">
      <c r="B22" s="42">
        <v>90013820</v>
      </c>
      <c r="C22">
        <v>78</v>
      </c>
      <c r="D22" t="s">
        <v>682</v>
      </c>
      <c r="F22" s="23" t="s">
        <v>1781</v>
      </c>
      <c r="J22" s="12"/>
      <c r="K22" s="12"/>
      <c r="L22" s="12"/>
      <c r="M22">
        <v>1</v>
      </c>
      <c r="LL22" s="6"/>
      <c r="LM22" s="4"/>
      <c r="LN22" s="4"/>
      <c r="LO22" s="4"/>
      <c r="LP22" s="4"/>
      <c r="LQ22" s="4"/>
      <c r="LR22" s="5"/>
      <c r="LS22" s="6"/>
      <c r="LT22" s="4"/>
      <c r="LU22" s="4"/>
      <c r="LV22" s="4"/>
      <c r="LW22" s="4"/>
      <c r="LX22" s="4"/>
      <c r="LY22" s="5"/>
      <c r="LZ22" s="6" t="s">
        <v>2259</v>
      </c>
      <c r="MA22" s="7" t="s">
        <v>2254</v>
      </c>
      <c r="MB22" s="7" t="s">
        <v>2660</v>
      </c>
      <c r="MC22" s="4"/>
      <c r="MD22" s="20">
        <v>32690</v>
      </c>
      <c r="ME22" s="4"/>
      <c r="MF22" s="4"/>
      <c r="MG22" s="5"/>
      <c r="MH22" s="6"/>
      <c r="MI22" s="4"/>
      <c r="MJ22" s="4"/>
      <c r="MK22" s="4"/>
      <c r="ML22" s="4"/>
      <c r="MM22" s="4"/>
      <c r="MN22" s="5"/>
      <c r="MO22" s="6"/>
      <c r="MP22" s="4"/>
      <c r="MQ22" s="4"/>
      <c r="MR22" s="4"/>
      <c r="MS22" s="4"/>
      <c r="MT22" s="4"/>
      <c r="MU22" s="5"/>
      <c r="MV22" s="6"/>
      <c r="MW22" s="4"/>
      <c r="MX22" s="4"/>
      <c r="MY22" s="4"/>
      <c r="MZ22" s="4"/>
      <c r="NA22" s="4"/>
      <c r="NB22" s="5"/>
      <c r="NC22" s="6"/>
      <c r="ND22" s="4"/>
      <c r="NE22" s="4"/>
      <c r="NF22" s="4"/>
      <c r="NG22" s="4"/>
      <c r="NH22" s="4"/>
      <c r="NI22" s="5"/>
      <c r="NJ22" s="6"/>
      <c r="NK22" s="4"/>
      <c r="NL22" s="4"/>
      <c r="NM22" s="4"/>
      <c r="NN22" s="4"/>
      <c r="NO22" s="4"/>
      <c r="NP22" s="5"/>
      <c r="NQ22" s="6"/>
      <c r="NR22" s="4"/>
      <c r="NS22" s="4"/>
      <c r="NT22" s="4"/>
      <c r="NU22" s="4"/>
      <c r="NV22" s="4"/>
      <c r="NW22" s="5"/>
      <c r="NX22" s="6"/>
      <c r="NY22" s="4"/>
      <c r="NZ22" s="4"/>
      <c r="OA22" s="4"/>
      <c r="OB22" s="4"/>
      <c r="OC22" s="4"/>
      <c r="OD22" s="5"/>
      <c r="OE22" s="6"/>
      <c r="OF22" s="4"/>
      <c r="OG22" s="4"/>
      <c r="OH22" s="4"/>
      <c r="OI22" s="4"/>
      <c r="OJ22" s="4"/>
      <c r="OK22" s="5"/>
      <c r="OL22" s="6"/>
      <c r="OM22" s="4"/>
      <c r="ON22" s="4"/>
      <c r="OO22" s="4"/>
      <c r="OP22" s="4"/>
      <c r="OQ22" s="4"/>
      <c r="OR22" s="5"/>
      <c r="OS22" s="6"/>
      <c r="OT22" s="4"/>
      <c r="OU22" s="4"/>
      <c r="OV22" s="4"/>
      <c r="OW22" s="4"/>
      <c r="OX22" s="4"/>
      <c r="OY22" s="5"/>
      <c r="OZ22" s="6"/>
      <c r="PA22" s="4"/>
      <c r="PB22" s="4"/>
      <c r="PC22" s="4"/>
      <c r="PD22" s="4"/>
      <c r="PE22" s="4"/>
      <c r="PF22" s="5"/>
      <c r="PG22" s="6"/>
      <c r="PH22" s="4"/>
      <c r="PI22" s="4"/>
      <c r="PJ22" s="4"/>
      <c r="PK22" s="4"/>
      <c r="PL22" s="4"/>
      <c r="PM22" s="5"/>
      <c r="PN22" s="6"/>
      <c r="PO22" s="4"/>
      <c r="PP22" s="4"/>
      <c r="PQ22" s="4"/>
      <c r="PR22" s="4"/>
      <c r="PS22" s="4"/>
      <c r="PT22" s="5"/>
      <c r="PU22" s="6"/>
      <c r="PV22" s="4"/>
      <c r="PW22" s="4"/>
      <c r="PX22" s="4"/>
      <c r="PY22" s="4"/>
      <c r="PZ22" s="4"/>
      <c r="QA22" s="5"/>
      <c r="QB22" s="6"/>
      <c r="QC22" s="4"/>
      <c r="QD22" s="4"/>
      <c r="QE22" s="4"/>
      <c r="QF22" s="4"/>
      <c r="QG22" s="4"/>
      <c r="QH22" s="5"/>
      <c r="QI22" s="6"/>
      <c r="QJ22" s="4"/>
      <c r="QK22" s="4"/>
      <c r="QL22" s="4"/>
      <c r="QM22" s="4"/>
      <c r="QN22" s="4"/>
      <c r="QO22" s="5"/>
      <c r="QP22" s="6"/>
      <c r="QQ22" s="4"/>
      <c r="QR22" s="4"/>
      <c r="QS22" s="4"/>
      <c r="QT22" s="4"/>
      <c r="QU22" s="4"/>
      <c r="QV22" s="5"/>
      <c r="QW22" s="6"/>
      <c r="QX22" s="4"/>
      <c r="QY22" s="4"/>
      <c r="QZ22" s="4"/>
      <c r="RA22" s="4"/>
      <c r="RB22" s="4"/>
      <c r="RC22" s="5"/>
      <c r="RD22" s="6"/>
      <c r="RE22" s="4"/>
      <c r="RF22" s="4"/>
      <c r="RG22" s="4"/>
      <c r="RH22" s="4"/>
      <c r="RI22" s="4"/>
      <c r="RJ22" s="5"/>
      <c r="RK22" s="6"/>
      <c r="RL22" s="4"/>
      <c r="RM22" s="4"/>
      <c r="RN22" s="4"/>
      <c r="RO22" s="4"/>
      <c r="RP22" s="4"/>
      <c r="RQ22" s="5"/>
      <c r="RR22" s="6"/>
      <c r="RS22" s="4"/>
      <c r="RT22" s="4"/>
      <c r="RU22" s="4"/>
      <c r="RV22" s="4"/>
      <c r="RW22" s="4"/>
      <c r="RX22" s="5"/>
      <c r="RY22" s="6"/>
      <c r="RZ22" s="4"/>
      <c r="SA22" s="4"/>
      <c r="SB22" s="4"/>
      <c r="SC22" s="4"/>
      <c r="SD22" s="4"/>
      <c r="SE22" s="5"/>
      <c r="SF22" s="6"/>
      <c r="SG22" s="4"/>
      <c r="SH22" s="4"/>
      <c r="SI22" s="4"/>
      <c r="SJ22" s="4"/>
      <c r="SK22" s="4"/>
      <c r="SL22" s="5"/>
      <c r="SM22" s="6"/>
      <c r="SN22" s="4"/>
      <c r="SO22" s="4"/>
      <c r="SP22" s="4"/>
      <c r="SQ22" s="4"/>
      <c r="SR22" s="4"/>
      <c r="SS22" s="5"/>
      <c r="ST22" s="6"/>
      <c r="SU22" s="4"/>
      <c r="SV22" s="4"/>
      <c r="SW22" s="4"/>
      <c r="SX22" s="4"/>
      <c r="SY22" s="4"/>
      <c r="SZ22" s="5"/>
      <c r="TA22" s="6"/>
      <c r="TB22" s="4"/>
      <c r="TC22" s="4"/>
      <c r="TD22" s="4"/>
      <c r="TE22" s="4"/>
      <c r="TF22" s="4"/>
      <c r="TG22" s="5"/>
      <c r="TH22" s="6"/>
      <c r="TI22" s="4"/>
      <c r="TJ22" s="4"/>
      <c r="TK22" s="4"/>
      <c r="TL22" s="4"/>
      <c r="TM22" s="4"/>
      <c r="TN22" s="5"/>
      <c r="TO22" s="6"/>
      <c r="TP22" s="4"/>
      <c r="TQ22" s="4"/>
      <c r="TR22" s="4"/>
      <c r="TS22" s="4"/>
      <c r="TT22" s="4"/>
      <c r="TU22" s="5"/>
      <c r="TV22" s="6"/>
      <c r="TW22" s="4"/>
      <c r="TX22" s="4"/>
      <c r="TY22" s="4"/>
      <c r="TZ22" s="4"/>
      <c r="UA22" s="4"/>
      <c r="UB22" s="5"/>
      <c r="UC22" s="6"/>
      <c r="UD22" s="4"/>
      <c r="UE22" s="4"/>
      <c r="UF22" s="4"/>
      <c r="UG22" s="4"/>
      <c r="UH22" s="4"/>
      <c r="UI22" s="5"/>
      <c r="UJ22" s="6"/>
      <c r="UK22" s="4"/>
      <c r="UL22" s="4"/>
      <c r="UM22" s="4"/>
      <c r="UN22" s="4"/>
      <c r="UO22" s="4"/>
      <c r="UP22" s="5"/>
      <c r="UQ22" s="6"/>
      <c r="UR22" s="4"/>
      <c r="US22" s="4"/>
      <c r="UT22" s="4"/>
      <c r="UU22" s="4"/>
      <c r="UV22" s="4"/>
      <c r="UW22" s="5"/>
      <c r="UX22" s="6"/>
      <c r="UY22" s="4"/>
      <c r="UZ22" s="4"/>
      <c r="VA22" s="4"/>
      <c r="VB22" s="4"/>
      <c r="VC22" s="4"/>
      <c r="VD22" s="5"/>
      <c r="VE22" s="6"/>
      <c r="VF22" s="4"/>
      <c r="VG22" s="4"/>
      <c r="VH22" s="4"/>
      <c r="VI22" s="4"/>
      <c r="VJ22" s="4"/>
      <c r="VK22" s="5"/>
      <c r="VL22" s="6"/>
      <c r="VM22" s="4"/>
      <c r="VN22" s="4"/>
      <c r="VO22" s="4"/>
      <c r="VP22" s="4"/>
      <c r="VQ22" s="4"/>
      <c r="VR22" s="5"/>
      <c r="VS22" s="6"/>
      <c r="VT22" s="4"/>
      <c r="VU22" s="4"/>
      <c r="VV22" s="4"/>
      <c r="VW22" s="4"/>
      <c r="VX22" s="4"/>
      <c r="VY22" s="5"/>
      <c r="VZ22" s="6"/>
      <c r="WA22" s="4"/>
      <c r="WB22" s="4"/>
      <c r="WC22" s="4"/>
      <c r="WD22" s="4"/>
      <c r="WE22" s="4"/>
      <c r="WF22" s="5"/>
      <c r="WG22" s="6"/>
      <c r="WH22" s="4"/>
      <c r="WI22" s="4"/>
      <c r="WJ22" s="4"/>
      <c r="WK22" s="4"/>
      <c r="WL22" s="4"/>
      <c r="WM22" s="5"/>
      <c r="WN22" s="6"/>
      <c r="WO22" s="4"/>
      <c r="WP22" s="4"/>
      <c r="WQ22" s="4"/>
      <c r="WR22" s="4"/>
      <c r="WS22" s="4"/>
      <c r="WT22" s="5"/>
      <c r="WU22" s="6"/>
      <c r="WV22" s="4"/>
      <c r="WW22" s="4"/>
      <c r="WX22" s="4"/>
      <c r="WY22" s="4"/>
      <c r="WZ22" s="4"/>
      <c r="XA22" s="5"/>
      <c r="XB22" s="6"/>
      <c r="XC22" s="4"/>
      <c r="XD22" s="4"/>
      <c r="XE22" s="4"/>
      <c r="XF22" s="4"/>
      <c r="XG22" s="4"/>
      <c r="XH22" s="5"/>
      <c r="XI22" s="6"/>
      <c r="XJ22" s="4"/>
      <c r="XK22" s="4"/>
      <c r="XL22" s="4"/>
      <c r="XM22" s="4"/>
      <c r="XN22" s="4"/>
      <c r="XO22" s="5"/>
      <c r="XP22" s="6"/>
      <c r="XQ22" s="4"/>
      <c r="XR22" s="4"/>
      <c r="XS22" s="4"/>
      <c r="XT22" s="4"/>
      <c r="XU22" s="4"/>
      <c r="XV22" s="5"/>
      <c r="XW22" s="6"/>
      <c r="XX22" s="4"/>
      <c r="XY22" s="4"/>
      <c r="XZ22" s="4"/>
      <c r="YA22" s="4"/>
      <c r="YB22" s="4"/>
      <c r="YC22" s="5"/>
      <c r="YD22" s="6"/>
      <c r="YE22" s="4"/>
      <c r="YF22" s="4"/>
      <c r="YG22" s="4"/>
      <c r="YH22" s="4"/>
      <c r="YI22" s="4"/>
      <c r="YJ22" s="5"/>
      <c r="YK22" s="6"/>
      <c r="YL22" s="4"/>
      <c r="YM22" s="4"/>
      <c r="YN22" s="4"/>
      <c r="YO22" s="4"/>
      <c r="YP22" s="4"/>
      <c r="YQ22" s="5"/>
      <c r="YR22" s="6"/>
      <c r="YS22" s="4"/>
      <c r="YT22" s="4"/>
      <c r="YU22" s="4"/>
      <c r="YV22" s="4"/>
      <c r="YW22" s="4"/>
      <c r="YX22" s="5"/>
      <c r="YY22" s="6"/>
      <c r="YZ22" s="4"/>
      <c r="ZA22" s="4"/>
      <c r="ZB22" s="4"/>
      <c r="ZC22" s="4"/>
      <c r="ZD22" s="4"/>
      <c r="ZE22" s="5"/>
      <c r="ZF22" s="6"/>
      <c r="ZG22" s="4"/>
      <c r="ZH22" s="4"/>
      <c r="ZI22" s="4"/>
      <c r="ZJ22" s="4"/>
      <c r="ZK22" s="4"/>
      <c r="ZL22" s="5"/>
      <c r="ZM22" s="6"/>
      <c r="ZN22" s="4"/>
      <c r="ZO22" s="4"/>
      <c r="ZP22" s="4"/>
      <c r="ZQ22" s="4"/>
      <c r="ZR22" s="4"/>
      <c r="ZS22" s="5"/>
      <c r="ZT22" s="6"/>
      <c r="ZU22" s="4"/>
      <c r="ZV22" s="4"/>
      <c r="ZW22" s="4"/>
      <c r="ZX22" s="4"/>
      <c r="ZY22" s="4"/>
      <c r="ZZ22" s="5"/>
      <c r="AAA22" s="6"/>
      <c r="AAB22" s="4"/>
      <c r="AAC22" s="4"/>
      <c r="AAD22" s="4"/>
      <c r="AAE22" s="4"/>
      <c r="AAF22" s="4"/>
      <c r="AAG22" s="5"/>
      <c r="AAH22" s="6"/>
      <c r="AAI22" s="4"/>
      <c r="AAJ22" s="4"/>
      <c r="AAK22" s="4"/>
      <c r="AAL22" s="4"/>
      <c r="AAM22" s="4"/>
      <c r="AAN22" s="5"/>
      <c r="AAO22" s="6"/>
      <c r="AAP22" s="4"/>
      <c r="AAQ22" s="4"/>
      <c r="AAR22" s="4"/>
      <c r="AAS22" s="4"/>
      <c r="AAT22" s="4"/>
      <c r="AAU22" s="5"/>
      <c r="AAV22" s="6"/>
      <c r="AAW22" s="4"/>
      <c r="AAX22" s="4"/>
      <c r="AAY22" s="4"/>
      <c r="AAZ22" s="4"/>
      <c r="ABA22" s="4"/>
      <c r="ABB22" s="5"/>
      <c r="ABC22" s="6"/>
      <c r="ABD22" s="4"/>
      <c r="ABE22" s="4"/>
      <c r="ABF22" s="4"/>
      <c r="ABG22" s="4"/>
      <c r="ABH22" s="4"/>
      <c r="ABI22" s="5"/>
      <c r="ABJ22" s="6"/>
      <c r="ABK22" s="4"/>
      <c r="ABL22" s="4"/>
      <c r="ABM22" s="4"/>
      <c r="ABN22" s="4"/>
      <c r="ABO22" s="4"/>
      <c r="ABP22" s="5"/>
      <c r="ABQ22" s="6"/>
      <c r="ABR22" s="4"/>
      <c r="ABS22" s="4"/>
      <c r="ABT22" s="4"/>
      <c r="ABU22" s="4"/>
      <c r="ABV22" s="4"/>
      <c r="ABW22" s="5"/>
      <c r="ABX22" s="6"/>
      <c r="ABY22" s="4"/>
      <c r="ABZ22" s="4"/>
      <c r="ACA22" s="4"/>
      <c r="ACB22" s="4"/>
      <c r="ACC22" s="4"/>
      <c r="ACD22" s="5"/>
      <c r="ACE22" s="6"/>
      <c r="ACF22" s="4"/>
      <c r="ACG22" s="4"/>
      <c r="ACH22" s="4"/>
      <c r="ACI22" s="4"/>
      <c r="ACJ22" s="4"/>
      <c r="ACK22" s="5"/>
      <c r="ACL22" s="6"/>
      <c r="ACM22" s="4"/>
      <c r="ACN22" s="4"/>
      <c r="ACO22" s="4"/>
      <c r="ACP22" s="4"/>
      <c r="ACQ22" s="4"/>
      <c r="ACR22" s="5"/>
      <c r="ACS22" s="6"/>
      <c r="ACT22" s="4"/>
      <c r="ACU22" s="4"/>
      <c r="ACV22" s="4"/>
      <c r="ACW22" s="4"/>
      <c r="ACX22" s="4"/>
      <c r="ACY22" s="5"/>
    </row>
    <row r="23" spans="2:779" x14ac:dyDescent="0.25">
      <c r="B23" s="42">
        <v>91900065</v>
      </c>
      <c r="C23">
        <v>90</v>
      </c>
      <c r="D23" t="s">
        <v>682</v>
      </c>
      <c r="F23" s="23">
        <v>1</v>
      </c>
      <c r="J23" s="12"/>
      <c r="K23" s="12"/>
      <c r="L23" s="12"/>
      <c r="M23">
        <v>1</v>
      </c>
      <c r="LL23" s="6"/>
      <c r="LM23" s="4"/>
      <c r="LN23" s="4"/>
      <c r="LO23" s="4"/>
      <c r="LP23" s="4"/>
      <c r="LQ23" s="4"/>
      <c r="LR23" s="5"/>
      <c r="LS23" s="6"/>
      <c r="LT23" s="4"/>
      <c r="LU23" s="4"/>
      <c r="LV23" s="4"/>
      <c r="LW23" s="4"/>
      <c r="LX23" s="4"/>
      <c r="LY23" s="5"/>
      <c r="LZ23" s="6" t="s">
        <v>1660</v>
      </c>
      <c r="MA23" s="7" t="s">
        <v>2375</v>
      </c>
      <c r="MB23" s="7" t="s">
        <v>2873</v>
      </c>
      <c r="MC23" s="7" t="s">
        <v>1106</v>
      </c>
      <c r="MD23" s="8">
        <v>33147</v>
      </c>
      <c r="ME23" s="8">
        <v>33173</v>
      </c>
      <c r="MF23" s="8"/>
      <c r="MG23" s="5"/>
      <c r="MH23" s="6"/>
      <c r="MI23" s="4"/>
      <c r="MJ23" s="4"/>
      <c r="MK23" s="4"/>
      <c r="ML23" s="4"/>
      <c r="MM23" s="4"/>
      <c r="MN23" s="5"/>
      <c r="MO23" s="6"/>
      <c r="MP23" s="4"/>
      <c r="MQ23" s="4"/>
      <c r="MR23" s="4"/>
      <c r="MS23" s="4"/>
      <c r="MT23" s="4"/>
      <c r="MU23" s="5"/>
      <c r="MV23" s="6"/>
      <c r="MW23" s="4"/>
      <c r="MX23" s="4"/>
      <c r="MY23" s="4"/>
      <c r="MZ23" s="4"/>
      <c r="NA23" s="4"/>
      <c r="NB23" s="5"/>
      <c r="NC23" s="6" t="s">
        <v>1107</v>
      </c>
      <c r="ND23" s="4" t="s">
        <v>1157</v>
      </c>
      <c r="NE23" s="4" t="s">
        <v>1617</v>
      </c>
      <c r="NF23" s="7" t="s">
        <v>2300</v>
      </c>
      <c r="NG23" s="8">
        <v>33151</v>
      </c>
      <c r="NH23" s="8">
        <v>33160</v>
      </c>
      <c r="NI23" s="5"/>
      <c r="NJ23" s="6" t="s">
        <v>2306</v>
      </c>
      <c r="NK23" s="4" t="s">
        <v>2306</v>
      </c>
      <c r="NL23" s="4" t="s">
        <v>1158</v>
      </c>
      <c r="NM23" s="7" t="s">
        <v>2761</v>
      </c>
      <c r="NN23" s="8">
        <v>33147</v>
      </c>
      <c r="NO23" s="8">
        <v>33173</v>
      </c>
      <c r="NP23" s="5"/>
      <c r="NQ23" s="6" t="s">
        <v>2347</v>
      </c>
      <c r="NR23" s="4" t="s">
        <v>2916</v>
      </c>
      <c r="NS23" s="4" t="s">
        <v>1227</v>
      </c>
      <c r="NT23" s="7" t="s">
        <v>2771</v>
      </c>
      <c r="NU23" s="8">
        <v>33170</v>
      </c>
      <c r="NV23" s="8">
        <v>33173</v>
      </c>
      <c r="NW23" s="5"/>
      <c r="NX23" s="6"/>
      <c r="NY23" s="4"/>
      <c r="NZ23" s="4"/>
      <c r="OA23" s="4"/>
      <c r="OB23" s="4"/>
      <c r="OC23" s="4"/>
      <c r="OD23" s="5"/>
      <c r="OE23" s="6"/>
      <c r="OF23" s="4"/>
      <c r="OG23" s="4"/>
      <c r="OH23" s="4"/>
      <c r="OI23" s="4"/>
      <c r="OJ23" s="4"/>
      <c r="OK23" s="5"/>
      <c r="OL23" s="6"/>
      <c r="OM23" s="4"/>
      <c r="ON23" s="4"/>
      <c r="OO23" s="4"/>
      <c r="OP23" s="4"/>
      <c r="OQ23" s="4"/>
      <c r="OR23" s="5"/>
      <c r="OS23" s="6"/>
      <c r="OT23" s="4"/>
      <c r="OU23" s="4"/>
      <c r="OV23" s="4"/>
      <c r="OW23" s="4"/>
      <c r="OX23" s="4"/>
      <c r="OY23" s="5"/>
      <c r="OZ23" s="6"/>
      <c r="PA23" s="4"/>
      <c r="PB23" s="4"/>
      <c r="PC23" s="4"/>
      <c r="PD23" s="4"/>
      <c r="PE23" s="4"/>
      <c r="PF23" s="5"/>
      <c r="PG23" s="6"/>
      <c r="PH23" s="4"/>
      <c r="PI23" s="4"/>
      <c r="PJ23" s="4"/>
      <c r="PK23" s="4"/>
      <c r="PL23" s="4"/>
      <c r="PM23" s="5"/>
      <c r="PN23" s="6"/>
      <c r="PO23" s="4"/>
      <c r="PP23" s="4"/>
      <c r="PQ23" s="4"/>
      <c r="PR23" s="4"/>
      <c r="PS23" s="4"/>
      <c r="PT23" s="5"/>
      <c r="PU23" s="6"/>
      <c r="PV23" s="4"/>
      <c r="PW23" s="4"/>
      <c r="PX23" s="4"/>
      <c r="PY23" s="4"/>
      <c r="PZ23" s="4"/>
      <c r="QA23" s="5"/>
      <c r="QB23" s="6"/>
      <c r="QC23" s="4"/>
      <c r="QD23" s="4"/>
      <c r="QE23" s="4"/>
      <c r="QF23" s="4"/>
      <c r="QG23" s="4"/>
      <c r="QH23" s="5"/>
      <c r="QI23" s="6" t="s">
        <v>1159</v>
      </c>
      <c r="QJ23" s="4" t="s">
        <v>1160</v>
      </c>
      <c r="QK23" s="4" t="s">
        <v>1161</v>
      </c>
      <c r="QL23" s="4"/>
      <c r="QM23" s="8">
        <v>33151</v>
      </c>
      <c r="QN23" s="4"/>
      <c r="QO23" s="5"/>
      <c r="QP23" s="6"/>
      <c r="QQ23" s="4"/>
      <c r="QR23" s="4"/>
      <c r="QS23" s="4"/>
      <c r="QT23" s="4"/>
      <c r="QU23" s="4"/>
      <c r="QV23" s="5"/>
      <c r="QW23" s="6"/>
      <c r="QX23" s="4"/>
      <c r="QY23" s="4"/>
      <c r="QZ23" s="4"/>
      <c r="RA23" s="4"/>
      <c r="RB23" s="4"/>
      <c r="RC23" s="5"/>
      <c r="RD23" s="6"/>
      <c r="RE23" s="4"/>
      <c r="RF23" s="4"/>
      <c r="RG23" s="4"/>
      <c r="RH23" s="4"/>
      <c r="RI23" s="4"/>
      <c r="RJ23" s="5"/>
      <c r="RK23" s="6"/>
      <c r="RL23" s="4"/>
      <c r="RM23" s="4"/>
      <c r="RN23" s="4"/>
      <c r="RO23" s="4"/>
      <c r="RP23" s="4"/>
      <c r="RQ23" s="5"/>
      <c r="RR23" s="6"/>
      <c r="RS23" s="4"/>
      <c r="RT23" s="4"/>
      <c r="RU23" s="4"/>
      <c r="RV23" s="4"/>
      <c r="RW23" s="4"/>
      <c r="RX23" s="5"/>
      <c r="RY23" s="6"/>
      <c r="RZ23" s="4"/>
      <c r="SA23" s="4"/>
      <c r="SB23" s="4"/>
      <c r="SC23" s="4"/>
      <c r="SD23" s="4"/>
      <c r="SE23" s="5"/>
      <c r="SF23" s="6"/>
      <c r="SG23" s="4"/>
      <c r="SH23" s="4"/>
      <c r="SI23" s="4"/>
      <c r="SJ23" s="4"/>
      <c r="SK23" s="4"/>
      <c r="SL23" s="5"/>
      <c r="SM23" s="6"/>
      <c r="SN23" s="4"/>
      <c r="SO23" s="4"/>
      <c r="SP23" s="4"/>
      <c r="SQ23" s="4"/>
      <c r="SR23" s="4"/>
      <c r="SS23" s="5"/>
      <c r="ST23" s="6"/>
      <c r="SU23" s="4"/>
      <c r="SV23" s="4"/>
      <c r="SW23" s="4"/>
      <c r="SX23" s="4"/>
      <c r="SY23" s="4"/>
      <c r="SZ23" s="5"/>
      <c r="TA23" s="6"/>
      <c r="TB23" s="4"/>
      <c r="TC23" s="4"/>
      <c r="TD23" s="4"/>
      <c r="TE23" s="4"/>
      <c r="TF23" s="4"/>
      <c r="TG23" s="5"/>
      <c r="TH23" s="6"/>
      <c r="TI23" s="4"/>
      <c r="TJ23" s="4"/>
      <c r="TK23" s="4"/>
      <c r="TL23" s="4"/>
      <c r="TM23" s="4"/>
      <c r="TN23" s="5"/>
      <c r="TO23" s="6"/>
      <c r="TP23" s="4"/>
      <c r="TQ23" s="4"/>
      <c r="TR23" s="4"/>
      <c r="TS23" s="4"/>
      <c r="TT23" s="4"/>
      <c r="TU23" s="5"/>
      <c r="TV23" s="6"/>
      <c r="TW23" s="4"/>
      <c r="TX23" s="4"/>
      <c r="TY23" s="4"/>
      <c r="TZ23" s="4"/>
      <c r="UA23" s="4"/>
      <c r="UB23" s="5"/>
      <c r="UC23" s="6" t="s">
        <v>2665</v>
      </c>
      <c r="UD23" s="4" t="s">
        <v>2965</v>
      </c>
      <c r="UE23" s="4" t="s">
        <v>2873</v>
      </c>
      <c r="UF23" s="7" t="s">
        <v>2761</v>
      </c>
      <c r="UG23" s="8">
        <v>33147</v>
      </c>
      <c r="UH23" s="8">
        <v>33173</v>
      </c>
      <c r="UI23" s="5"/>
      <c r="UJ23" s="6"/>
      <c r="UK23" s="4"/>
      <c r="UL23" s="4"/>
      <c r="UM23" s="4"/>
      <c r="UN23" s="4"/>
      <c r="UO23" s="4"/>
      <c r="UP23" s="5"/>
      <c r="UQ23" s="6"/>
      <c r="UR23" s="4"/>
      <c r="US23" s="4"/>
      <c r="UT23" s="4"/>
      <c r="UU23" s="4"/>
      <c r="UV23" s="4"/>
      <c r="UW23" s="5"/>
      <c r="UX23" s="6"/>
      <c r="UY23" s="4"/>
      <c r="UZ23" s="4"/>
      <c r="VA23" s="4"/>
      <c r="VB23" s="4"/>
      <c r="VC23" s="4"/>
      <c r="VD23" s="5"/>
      <c r="VE23" s="6"/>
      <c r="VF23" s="4"/>
      <c r="VG23" s="4"/>
      <c r="VH23" s="4"/>
      <c r="VI23" s="4"/>
      <c r="VJ23" s="4"/>
      <c r="VK23" s="5"/>
      <c r="VL23" s="6"/>
      <c r="VM23" s="4"/>
      <c r="VN23" s="4"/>
      <c r="VO23" s="4"/>
      <c r="VP23" s="4"/>
      <c r="VQ23" s="4"/>
      <c r="VR23" s="5"/>
      <c r="VS23" s="6"/>
      <c r="VT23" s="4"/>
      <c r="VU23" s="4"/>
      <c r="VV23" s="4"/>
      <c r="VW23" s="4"/>
      <c r="VX23" s="4"/>
      <c r="VY23" s="5"/>
      <c r="VZ23" s="6"/>
      <c r="WA23" s="4"/>
      <c r="WB23" s="4"/>
      <c r="WC23" s="4"/>
      <c r="WD23" s="4"/>
      <c r="WE23" s="4"/>
      <c r="WF23" s="5"/>
      <c r="WG23" s="6"/>
      <c r="WH23" s="4"/>
      <c r="WI23" s="4"/>
      <c r="WJ23" s="4"/>
      <c r="WK23" s="4"/>
      <c r="WL23" s="4"/>
      <c r="WM23" s="5"/>
      <c r="WN23" s="6"/>
      <c r="WO23" s="4"/>
      <c r="WP23" s="4"/>
      <c r="WQ23" s="4"/>
      <c r="WR23" s="4"/>
      <c r="WS23" s="4"/>
      <c r="WT23" s="5"/>
      <c r="WU23" s="6"/>
      <c r="WV23" s="4"/>
      <c r="WW23" s="4"/>
      <c r="WX23" s="4"/>
      <c r="WY23" s="4"/>
      <c r="WZ23" s="4"/>
      <c r="XA23" s="5"/>
      <c r="XB23" s="6"/>
      <c r="XC23" s="4"/>
      <c r="XD23" s="4"/>
      <c r="XE23" s="4"/>
      <c r="XF23" s="4"/>
      <c r="XG23" s="4"/>
      <c r="XH23" s="5"/>
      <c r="XI23" s="6"/>
      <c r="XJ23" s="4"/>
      <c r="XK23" s="4"/>
      <c r="XL23" s="4"/>
      <c r="XM23" s="4"/>
      <c r="XN23" s="4"/>
      <c r="XO23" s="5"/>
      <c r="XP23" s="6"/>
      <c r="XQ23" s="4"/>
      <c r="XR23" s="4"/>
      <c r="XS23" s="4"/>
      <c r="XT23" s="4"/>
      <c r="XU23" s="4"/>
      <c r="XV23" s="5"/>
      <c r="XW23" s="6"/>
      <c r="XX23" s="4"/>
      <c r="XY23" s="4"/>
      <c r="XZ23" s="4"/>
      <c r="YA23" s="4"/>
      <c r="YB23" s="4"/>
      <c r="YC23" s="5"/>
      <c r="YD23" s="6"/>
      <c r="YE23" s="4"/>
      <c r="YF23" s="4"/>
      <c r="YG23" s="4"/>
      <c r="YH23" s="4"/>
      <c r="YI23" s="4"/>
      <c r="YJ23" s="5"/>
      <c r="YK23" s="6" t="s">
        <v>1162</v>
      </c>
      <c r="YL23" s="4" t="s">
        <v>1163</v>
      </c>
      <c r="YM23" s="4" t="s">
        <v>1035</v>
      </c>
      <c r="YN23" s="7" t="s">
        <v>2300</v>
      </c>
      <c r="YO23" s="8">
        <v>33164</v>
      </c>
      <c r="YP23" s="8">
        <v>33173</v>
      </c>
      <c r="YQ23" s="5" t="s">
        <v>1036</v>
      </c>
      <c r="YR23" s="6"/>
      <c r="YS23" s="4"/>
      <c r="YT23" s="4"/>
      <c r="YU23" s="4"/>
      <c r="YV23" s="4"/>
      <c r="YW23" s="4"/>
      <c r="YX23" s="5"/>
      <c r="YY23" s="6" t="s">
        <v>1037</v>
      </c>
      <c r="YZ23" s="7" t="s">
        <v>1038</v>
      </c>
      <c r="ZA23" s="7" t="s">
        <v>2873</v>
      </c>
      <c r="ZB23" s="7" t="s">
        <v>2350</v>
      </c>
      <c r="ZC23" s="8">
        <v>33161</v>
      </c>
      <c r="ZD23" s="8">
        <v>33173</v>
      </c>
      <c r="ZE23" s="5"/>
      <c r="ZF23" s="6"/>
      <c r="ZG23" s="4"/>
      <c r="ZH23" s="4"/>
      <c r="ZI23" s="4"/>
      <c r="ZJ23" s="4"/>
      <c r="ZK23" s="4"/>
      <c r="ZL23" s="5"/>
      <c r="ZM23" s="6"/>
      <c r="ZN23" s="4"/>
      <c r="ZO23" s="4"/>
      <c r="ZP23" s="4"/>
      <c r="ZQ23" s="4"/>
      <c r="ZR23" s="4"/>
      <c r="ZS23" s="5"/>
      <c r="ZT23" s="6"/>
      <c r="ZU23" s="4"/>
      <c r="ZV23" s="4"/>
      <c r="ZW23" s="4"/>
      <c r="ZX23" s="4"/>
      <c r="ZY23" s="4"/>
      <c r="ZZ23" s="5"/>
      <c r="AAA23" s="6"/>
      <c r="AAB23" s="4"/>
      <c r="AAC23" s="4"/>
      <c r="AAD23" s="4"/>
      <c r="AAE23" s="4"/>
      <c r="AAF23" s="4"/>
      <c r="AAG23" s="5"/>
      <c r="AAH23" s="6"/>
      <c r="AAI23" s="4"/>
      <c r="AAJ23" s="4"/>
      <c r="AAK23" s="4"/>
      <c r="AAL23" s="4"/>
      <c r="AAM23" s="4"/>
      <c r="AAN23" s="5"/>
      <c r="AAO23" s="6" t="s">
        <v>1039</v>
      </c>
      <c r="AAP23" s="7" t="s">
        <v>1040</v>
      </c>
      <c r="AAQ23" s="7" t="s">
        <v>1041</v>
      </c>
      <c r="AAR23" s="7" t="s">
        <v>2300</v>
      </c>
      <c r="AAS23" s="8">
        <v>33164</v>
      </c>
      <c r="AAT23" s="8">
        <v>33173</v>
      </c>
      <c r="AAU23" s="5"/>
      <c r="AAV23" s="6"/>
      <c r="AAW23" s="4"/>
      <c r="AAX23" s="4"/>
      <c r="AAY23" s="4"/>
      <c r="AAZ23" s="4"/>
      <c r="ABA23" s="4"/>
      <c r="ABB23" s="5"/>
      <c r="ABC23" s="6"/>
      <c r="ABD23" s="4"/>
      <c r="ABE23" s="4"/>
      <c r="ABF23" s="4"/>
      <c r="ABG23" s="4"/>
      <c r="ABH23" s="4"/>
      <c r="ABI23" s="5"/>
      <c r="ABJ23" s="6"/>
      <c r="ABK23" s="4"/>
      <c r="ABL23" s="4"/>
      <c r="ABM23" s="4"/>
      <c r="ABN23" s="4"/>
      <c r="ABO23" s="4"/>
      <c r="ABP23" s="5"/>
      <c r="ABQ23" s="6"/>
      <c r="ABR23" s="4"/>
      <c r="ABS23" s="4"/>
      <c r="ABT23" s="4"/>
      <c r="ABU23" s="4"/>
      <c r="ABV23" s="4"/>
      <c r="ABW23" s="5"/>
      <c r="ABX23" s="6"/>
      <c r="ABY23" s="4"/>
      <c r="ABZ23" s="4"/>
      <c r="ACA23" s="4"/>
      <c r="ACB23" s="4"/>
      <c r="ACC23" s="4"/>
      <c r="ACD23" s="5"/>
      <c r="ACE23" s="6"/>
      <c r="ACF23" s="4"/>
      <c r="ACG23" s="4"/>
      <c r="ACH23" s="4"/>
      <c r="ACI23" s="4"/>
      <c r="ACJ23" s="4"/>
      <c r="ACK23" s="5"/>
      <c r="ACL23" s="6"/>
      <c r="ACM23" s="4"/>
      <c r="ACN23" s="4"/>
      <c r="ACO23" s="4"/>
      <c r="ACP23" s="4"/>
      <c r="ACQ23" s="4"/>
      <c r="ACR23" s="5"/>
      <c r="ACS23" s="6"/>
      <c r="ACT23" s="4"/>
      <c r="ACU23" s="4"/>
      <c r="ACV23" s="4"/>
      <c r="ACW23" s="4"/>
      <c r="ACX23" s="4"/>
      <c r="ACY23" s="5"/>
    </row>
    <row r="24" spans="2:779" x14ac:dyDescent="0.25">
      <c r="B24" s="42">
        <v>91002263</v>
      </c>
      <c r="C24">
        <v>72</v>
      </c>
      <c r="D24" t="s">
        <v>2121</v>
      </c>
      <c r="F24" s="23">
        <v>0</v>
      </c>
      <c r="J24" s="12"/>
      <c r="K24" s="12"/>
      <c r="L24" s="12"/>
      <c r="M24">
        <v>1</v>
      </c>
      <c r="X24">
        <v>1</v>
      </c>
      <c r="LL24" s="6"/>
      <c r="LM24" s="4"/>
      <c r="LN24" s="4"/>
      <c r="LO24" s="4"/>
      <c r="LP24" s="4"/>
      <c r="LQ24" s="4"/>
      <c r="LR24" s="5"/>
      <c r="LS24" s="6"/>
      <c r="LT24" s="4"/>
      <c r="LU24" s="4"/>
      <c r="LV24" s="4"/>
      <c r="LW24" s="4"/>
      <c r="LX24" s="4"/>
      <c r="LY24" s="5"/>
      <c r="LZ24" s="6" t="s">
        <v>1042</v>
      </c>
      <c r="MA24" s="7" t="s">
        <v>2375</v>
      </c>
      <c r="MB24" s="7" t="s">
        <v>1931</v>
      </c>
      <c r="MC24" s="7" t="s">
        <v>1907</v>
      </c>
      <c r="MD24" s="8">
        <v>33337</v>
      </c>
      <c r="ME24" s="8">
        <v>33368</v>
      </c>
      <c r="MF24" s="8"/>
      <c r="MG24" s="5"/>
      <c r="MH24" s="6"/>
      <c r="MI24" s="4"/>
      <c r="MJ24" s="4"/>
      <c r="MK24" s="4"/>
      <c r="ML24" s="4"/>
      <c r="MM24" s="4"/>
      <c r="MN24" s="5"/>
      <c r="MO24" s="6"/>
      <c r="MP24" s="4"/>
      <c r="MQ24" s="4"/>
      <c r="MR24" s="4"/>
      <c r="MS24" s="4"/>
      <c r="MT24" s="4"/>
      <c r="MU24" s="5"/>
      <c r="MV24" s="6"/>
      <c r="MW24" s="4"/>
      <c r="MX24" s="4"/>
      <c r="MY24" s="4"/>
      <c r="MZ24" s="4"/>
      <c r="NA24" s="4"/>
      <c r="NB24" s="5"/>
      <c r="NC24" s="6"/>
      <c r="ND24" s="4"/>
      <c r="NE24" s="4"/>
      <c r="NF24" s="4"/>
      <c r="NG24" s="4"/>
      <c r="NH24" s="4"/>
      <c r="NI24" s="5"/>
      <c r="NJ24" s="6"/>
      <c r="NK24" s="4"/>
      <c r="NL24" s="4"/>
      <c r="NM24" s="4"/>
      <c r="NN24" s="4"/>
      <c r="NO24" s="4"/>
      <c r="NP24" s="5"/>
      <c r="NQ24" s="6"/>
      <c r="NR24" s="4"/>
      <c r="NS24" s="4"/>
      <c r="NT24" s="4"/>
      <c r="NU24" s="4"/>
      <c r="NV24" s="4"/>
      <c r="NW24" s="5"/>
      <c r="NX24" s="6"/>
      <c r="NY24" s="4"/>
      <c r="NZ24" s="4"/>
      <c r="OA24" s="4"/>
      <c r="OB24" s="4"/>
      <c r="OC24" s="4"/>
      <c r="OD24" s="5"/>
      <c r="OE24" s="6"/>
      <c r="OF24" s="4"/>
      <c r="OG24" s="4"/>
      <c r="OH24" s="4"/>
      <c r="OI24" s="4"/>
      <c r="OJ24" s="4"/>
      <c r="OK24" s="5"/>
      <c r="OL24" s="6"/>
      <c r="OM24" s="4"/>
      <c r="ON24" s="4"/>
      <c r="OO24" s="4"/>
      <c r="OP24" s="4"/>
      <c r="OQ24" s="4"/>
      <c r="OR24" s="5"/>
      <c r="OS24" s="6"/>
      <c r="OT24" s="4"/>
      <c r="OU24" s="4"/>
      <c r="OV24" s="4"/>
      <c r="OW24" s="4"/>
      <c r="OX24" s="4"/>
      <c r="OY24" s="5"/>
      <c r="OZ24" s="6"/>
      <c r="PA24" s="4"/>
      <c r="PB24" s="4"/>
      <c r="PC24" s="4"/>
      <c r="PD24" s="4"/>
      <c r="PE24" s="4"/>
      <c r="PF24" s="5"/>
      <c r="PG24" s="6"/>
      <c r="PH24" s="4"/>
      <c r="PI24" s="4"/>
      <c r="PJ24" s="4"/>
      <c r="PK24" s="4"/>
      <c r="PL24" s="4"/>
      <c r="PM24" s="5"/>
      <c r="PN24" s="6"/>
      <c r="PO24" s="4"/>
      <c r="PP24" s="4"/>
      <c r="PQ24" s="4"/>
      <c r="PR24" s="4"/>
      <c r="PS24" s="4"/>
      <c r="PT24" s="5"/>
      <c r="PU24" s="6"/>
      <c r="PV24" s="4"/>
      <c r="PW24" s="4"/>
      <c r="PX24" s="4"/>
      <c r="PY24" s="4"/>
      <c r="PZ24" s="4"/>
      <c r="QA24" s="5"/>
      <c r="QB24" s="6"/>
      <c r="QC24" s="4"/>
      <c r="QD24" s="4"/>
      <c r="QE24" s="4"/>
      <c r="QF24" s="4"/>
      <c r="QG24" s="4"/>
      <c r="QH24" s="5"/>
      <c r="QI24" s="6"/>
      <c r="QJ24" s="4"/>
      <c r="QK24" s="4"/>
      <c r="QL24" s="4"/>
      <c r="QM24" s="4"/>
      <c r="QN24" s="4"/>
      <c r="QO24" s="5"/>
      <c r="QP24" s="6"/>
      <c r="QQ24" s="4"/>
      <c r="QR24" s="4"/>
      <c r="QS24" s="4"/>
      <c r="QT24" s="4"/>
      <c r="QU24" s="4"/>
      <c r="QV24" s="5"/>
      <c r="QW24" s="6"/>
      <c r="QX24" s="4"/>
      <c r="QY24" s="4"/>
      <c r="QZ24" s="4"/>
      <c r="RA24" s="4"/>
      <c r="RB24" s="4"/>
      <c r="RC24" s="5"/>
      <c r="RD24" s="6"/>
      <c r="RE24" s="4"/>
      <c r="RF24" s="4"/>
      <c r="RG24" s="4"/>
      <c r="RH24" s="4"/>
      <c r="RI24" s="4"/>
      <c r="RJ24" s="5"/>
      <c r="RK24" s="6"/>
      <c r="RL24" s="4"/>
      <c r="RM24" s="4"/>
      <c r="RN24" s="4"/>
      <c r="RO24" s="4"/>
      <c r="RP24" s="4"/>
      <c r="RQ24" s="5"/>
      <c r="RR24" s="6"/>
      <c r="RS24" s="4"/>
      <c r="RT24" s="4"/>
      <c r="RU24" s="4"/>
      <c r="RV24" s="4"/>
      <c r="RW24" s="4"/>
      <c r="RX24" s="5"/>
      <c r="RY24" s="6"/>
      <c r="RZ24" s="4"/>
      <c r="SA24" s="4"/>
      <c r="SB24" s="4"/>
      <c r="SC24" s="4"/>
      <c r="SD24" s="4"/>
      <c r="SE24" s="5"/>
      <c r="SF24" s="6"/>
      <c r="SG24" s="4"/>
      <c r="SH24" s="4"/>
      <c r="SI24" s="4"/>
      <c r="SJ24" s="4"/>
      <c r="SK24" s="4"/>
      <c r="SL24" s="5"/>
      <c r="SM24" s="6"/>
      <c r="SN24" s="4"/>
      <c r="SO24" s="4"/>
      <c r="SP24" s="4"/>
      <c r="SQ24" s="4"/>
      <c r="SR24" s="4"/>
      <c r="SS24" s="5"/>
      <c r="ST24" s="6"/>
      <c r="SU24" s="4"/>
      <c r="SV24" s="4"/>
      <c r="SW24" s="4"/>
      <c r="SX24" s="4"/>
      <c r="SY24" s="4"/>
      <c r="SZ24" s="5"/>
      <c r="TA24" s="6"/>
      <c r="TB24" s="4"/>
      <c r="TC24" s="4"/>
      <c r="TD24" s="4"/>
      <c r="TE24" s="4"/>
      <c r="TF24" s="4"/>
      <c r="TG24" s="5"/>
      <c r="TH24" s="6"/>
      <c r="TI24" s="4"/>
      <c r="TJ24" s="4"/>
      <c r="TK24" s="4"/>
      <c r="TL24" s="4"/>
      <c r="TM24" s="4"/>
      <c r="TN24" s="5"/>
      <c r="TO24" s="6"/>
      <c r="TP24" s="4"/>
      <c r="TQ24" s="4"/>
      <c r="TR24" s="4"/>
      <c r="TS24" s="4"/>
      <c r="TT24" s="4"/>
      <c r="TU24" s="5"/>
      <c r="TV24" s="6"/>
      <c r="TW24" s="4"/>
      <c r="TX24" s="4"/>
      <c r="TY24" s="4"/>
      <c r="TZ24" s="4"/>
      <c r="UA24" s="4"/>
      <c r="UB24" s="5"/>
      <c r="UC24" s="6"/>
      <c r="UD24" s="4"/>
      <c r="UE24" s="4"/>
      <c r="UF24" s="4"/>
      <c r="UG24" s="4"/>
      <c r="UH24" s="4"/>
      <c r="UI24" s="5"/>
      <c r="UJ24" s="6"/>
      <c r="UK24" s="4"/>
      <c r="UL24" s="4"/>
      <c r="UM24" s="4"/>
      <c r="UN24" s="4"/>
      <c r="UO24" s="4"/>
      <c r="UP24" s="5"/>
      <c r="UQ24" s="6"/>
      <c r="UR24" s="4"/>
      <c r="US24" s="4"/>
      <c r="UT24" s="4"/>
      <c r="UU24" s="4"/>
      <c r="UV24" s="4"/>
      <c r="UW24" s="5"/>
      <c r="UX24" s="6"/>
      <c r="UY24" s="4"/>
      <c r="UZ24" s="4"/>
      <c r="VA24" s="4"/>
      <c r="VB24" s="4"/>
      <c r="VC24" s="4"/>
      <c r="VD24" s="5"/>
      <c r="VE24" s="6"/>
      <c r="VF24" s="4"/>
      <c r="VG24" s="4"/>
      <c r="VH24" s="4"/>
      <c r="VI24" s="4"/>
      <c r="VJ24" s="4"/>
      <c r="VK24" s="5"/>
      <c r="VL24" s="6"/>
      <c r="VM24" s="4"/>
      <c r="VN24" s="4"/>
      <c r="VO24" s="4"/>
      <c r="VP24" s="4"/>
      <c r="VQ24" s="4"/>
      <c r="VR24" s="5"/>
      <c r="VS24" s="6"/>
      <c r="VT24" s="4"/>
      <c r="VU24" s="4"/>
      <c r="VV24" s="4"/>
      <c r="VW24" s="4"/>
      <c r="VX24" s="4"/>
      <c r="VY24" s="5"/>
      <c r="VZ24" s="6"/>
      <c r="WA24" s="4"/>
      <c r="WB24" s="4"/>
      <c r="WC24" s="4"/>
      <c r="WD24" s="4"/>
      <c r="WE24" s="4"/>
      <c r="WF24" s="5"/>
      <c r="WG24" s="6"/>
      <c r="WH24" s="4"/>
      <c r="WI24" s="4"/>
      <c r="WJ24" s="4"/>
      <c r="WK24" s="4"/>
      <c r="WL24" s="4"/>
      <c r="WM24" s="5"/>
      <c r="WN24" s="6"/>
      <c r="WO24" s="4"/>
      <c r="WP24" s="4"/>
      <c r="WQ24" s="4"/>
      <c r="WR24" s="4"/>
      <c r="WS24" s="4"/>
      <c r="WT24" s="5"/>
      <c r="WU24" s="6"/>
      <c r="WV24" s="4"/>
      <c r="WW24" s="4"/>
      <c r="WX24" s="4"/>
      <c r="WY24" s="4"/>
      <c r="WZ24" s="4"/>
      <c r="XA24" s="5"/>
      <c r="XB24" s="6"/>
      <c r="XC24" s="4"/>
      <c r="XD24" s="4"/>
      <c r="XE24" s="4"/>
      <c r="XF24" s="4"/>
      <c r="XG24" s="4"/>
      <c r="XH24" s="5"/>
      <c r="XI24" s="6"/>
      <c r="XJ24" s="4"/>
      <c r="XK24" s="4"/>
      <c r="XL24" s="4"/>
      <c r="XM24" s="4"/>
      <c r="XN24" s="4"/>
      <c r="XO24" s="5"/>
      <c r="XP24" s="6"/>
      <c r="XQ24" s="4"/>
      <c r="XR24" s="4"/>
      <c r="XS24" s="4"/>
      <c r="XT24" s="4"/>
      <c r="XU24" s="4"/>
      <c r="XV24" s="5"/>
      <c r="XW24" s="6"/>
      <c r="XX24" s="4"/>
      <c r="XY24" s="4"/>
      <c r="XZ24" s="4"/>
      <c r="YA24" s="4"/>
      <c r="YB24" s="4"/>
      <c r="YC24" s="5"/>
      <c r="YD24" s="6"/>
      <c r="YE24" s="4"/>
      <c r="YF24" s="4"/>
      <c r="YG24" s="4"/>
      <c r="YH24" s="4"/>
      <c r="YI24" s="4"/>
      <c r="YJ24" s="5"/>
      <c r="YK24" s="6"/>
      <c r="YL24" s="4"/>
      <c r="YM24" s="4"/>
      <c r="YN24" s="4"/>
      <c r="YO24" s="4"/>
      <c r="YP24" s="4"/>
      <c r="YQ24" s="5"/>
      <c r="YR24" s="6"/>
      <c r="YS24" s="4"/>
      <c r="YT24" s="4"/>
      <c r="YU24" s="4"/>
      <c r="YV24" s="4"/>
      <c r="YW24" s="4"/>
      <c r="YX24" s="5"/>
      <c r="YY24" s="6"/>
      <c r="YZ24" s="4"/>
      <c r="ZA24" s="4"/>
      <c r="ZB24" s="4"/>
      <c r="ZC24" s="4"/>
      <c r="ZD24" s="4"/>
      <c r="ZE24" s="5"/>
      <c r="ZF24" s="6"/>
      <c r="ZG24" s="4"/>
      <c r="ZH24" s="4"/>
      <c r="ZI24" s="4"/>
      <c r="ZJ24" s="4"/>
      <c r="ZK24" s="4"/>
      <c r="ZL24" s="5"/>
      <c r="ZM24" s="6"/>
      <c r="ZN24" s="4"/>
      <c r="ZO24" s="4"/>
      <c r="ZP24" s="4"/>
      <c r="ZQ24" s="4"/>
      <c r="ZR24" s="4"/>
      <c r="ZS24" s="5"/>
      <c r="ZT24" s="6"/>
      <c r="ZU24" s="4"/>
      <c r="ZV24" s="4"/>
      <c r="ZW24" s="4"/>
      <c r="ZX24" s="4"/>
      <c r="ZY24" s="4"/>
      <c r="ZZ24" s="5"/>
      <c r="AAA24" s="6"/>
      <c r="AAB24" s="4"/>
      <c r="AAC24" s="4"/>
      <c r="AAD24" s="4"/>
      <c r="AAE24" s="4"/>
      <c r="AAF24" s="4"/>
      <c r="AAG24" s="5"/>
      <c r="AAH24" s="6"/>
      <c r="AAI24" s="4"/>
      <c r="AAJ24" s="4"/>
      <c r="AAK24" s="4"/>
      <c r="AAL24" s="4"/>
      <c r="AAM24" s="4"/>
      <c r="AAN24" s="5"/>
      <c r="AAO24" s="6"/>
      <c r="AAP24" s="4"/>
      <c r="AAQ24" s="4"/>
      <c r="AAR24" s="4"/>
      <c r="AAS24" s="4"/>
      <c r="AAT24" s="4"/>
      <c r="AAU24" s="5"/>
      <c r="AAV24" s="6"/>
      <c r="AAW24" s="4"/>
      <c r="AAX24" s="4"/>
      <c r="AAY24" s="4"/>
      <c r="AAZ24" s="4"/>
      <c r="ABA24" s="4"/>
      <c r="ABB24" s="5"/>
      <c r="ABC24" s="6"/>
      <c r="ABD24" s="4"/>
      <c r="ABE24" s="4"/>
      <c r="ABF24" s="4"/>
      <c r="ABG24" s="4"/>
      <c r="ABH24" s="4"/>
      <c r="ABI24" s="5"/>
      <c r="ABJ24" s="6"/>
      <c r="ABK24" s="4"/>
      <c r="ABL24" s="4"/>
      <c r="ABM24" s="4"/>
      <c r="ABN24" s="4"/>
      <c r="ABO24" s="4"/>
      <c r="ABP24" s="5"/>
      <c r="ABQ24" s="6"/>
      <c r="ABR24" s="4"/>
      <c r="ABS24" s="4"/>
      <c r="ABT24" s="4"/>
      <c r="ABU24" s="4"/>
      <c r="ABV24" s="4"/>
      <c r="ABW24" s="5"/>
      <c r="ABX24" s="6"/>
      <c r="ABY24" s="4"/>
      <c r="ABZ24" s="4"/>
      <c r="ACA24" s="4"/>
      <c r="ACB24" s="4"/>
      <c r="ACC24" s="4"/>
      <c r="ACD24" s="5"/>
      <c r="ACE24" s="6"/>
      <c r="ACF24" s="4"/>
      <c r="ACG24" s="4"/>
      <c r="ACH24" s="4"/>
      <c r="ACI24" s="4"/>
      <c r="ACJ24" s="4"/>
      <c r="ACK24" s="5"/>
      <c r="ACL24" s="6"/>
      <c r="ACM24" s="4"/>
      <c r="ACN24" s="4"/>
      <c r="ACO24" s="4"/>
      <c r="ACP24" s="4"/>
      <c r="ACQ24" s="4"/>
      <c r="ACR24" s="5"/>
      <c r="ACS24" s="6"/>
      <c r="ACT24" s="4"/>
      <c r="ACU24" s="4"/>
      <c r="ACV24" s="4"/>
      <c r="ACW24" s="4"/>
      <c r="ACX24" s="4"/>
      <c r="ACY24" s="5"/>
    </row>
    <row r="25" spans="2:779" x14ac:dyDescent="0.25">
      <c r="B25" s="30">
        <v>91010586</v>
      </c>
      <c r="C25">
        <v>82</v>
      </c>
      <c r="D25" t="s">
        <v>3587</v>
      </c>
      <c r="F25" s="23">
        <v>0</v>
      </c>
      <c r="I25">
        <v>1</v>
      </c>
      <c r="J25" s="19">
        <v>33004</v>
      </c>
      <c r="K25" s="19"/>
      <c r="L25" s="19"/>
      <c r="LL25" s="6"/>
      <c r="LM25" s="4"/>
      <c r="LN25" s="4"/>
      <c r="LO25" s="4"/>
      <c r="LP25" s="4"/>
      <c r="LQ25" s="4"/>
      <c r="LR25" s="5"/>
      <c r="LS25" s="6"/>
      <c r="LT25" s="4"/>
      <c r="LU25" s="4"/>
      <c r="LV25" s="4"/>
      <c r="LW25" s="4"/>
      <c r="LX25" s="4"/>
      <c r="LY25" s="5"/>
      <c r="LZ25" s="6" t="s">
        <v>2692</v>
      </c>
      <c r="MA25" s="7" t="s">
        <v>2693</v>
      </c>
      <c r="MB25" s="7" t="s">
        <v>2299</v>
      </c>
      <c r="MC25" s="7" t="s">
        <v>2300</v>
      </c>
      <c r="MD25" s="8">
        <v>32995</v>
      </c>
      <c r="ME25" s="8">
        <v>33004</v>
      </c>
      <c r="MF25" s="8"/>
      <c r="MG25" s="5"/>
      <c r="MH25" s="6"/>
      <c r="MI25" s="4"/>
      <c r="MJ25" s="4"/>
      <c r="MK25" s="4"/>
      <c r="ML25" s="4"/>
      <c r="MM25" s="4"/>
      <c r="MN25" s="5"/>
      <c r="MO25" s="6"/>
      <c r="MP25" s="4"/>
      <c r="MQ25" s="4"/>
      <c r="MR25" s="4"/>
      <c r="MS25" s="4"/>
      <c r="MT25" s="4"/>
      <c r="MU25" s="5"/>
      <c r="MV25" s="6"/>
      <c r="MW25" s="4"/>
      <c r="MX25" s="4"/>
      <c r="MY25" s="4"/>
      <c r="MZ25" s="4"/>
      <c r="NA25" s="4"/>
      <c r="NB25" s="5"/>
      <c r="NC25" s="6"/>
      <c r="ND25" s="4"/>
      <c r="NE25" s="4"/>
      <c r="NF25" s="4"/>
      <c r="NG25" s="4"/>
      <c r="NH25" s="4"/>
      <c r="NI25" s="5"/>
      <c r="NJ25" s="6"/>
      <c r="NK25" s="4"/>
      <c r="NL25" s="4"/>
      <c r="NM25" s="4"/>
      <c r="NN25" s="4"/>
      <c r="NO25" s="4"/>
      <c r="NP25" s="5"/>
      <c r="NQ25" s="6"/>
      <c r="NR25" s="4"/>
      <c r="NS25" s="4"/>
      <c r="NT25" s="4"/>
      <c r="NU25" s="4"/>
      <c r="NV25" s="4"/>
      <c r="NW25" s="5"/>
      <c r="NX25" s="6"/>
      <c r="NY25" s="4"/>
      <c r="NZ25" s="4"/>
      <c r="OA25" s="4"/>
      <c r="OB25" s="4"/>
      <c r="OC25" s="4"/>
      <c r="OD25" s="5"/>
      <c r="OE25" s="6"/>
      <c r="OF25" s="4"/>
      <c r="OG25" s="4"/>
      <c r="OH25" s="4"/>
      <c r="OI25" s="4"/>
      <c r="OJ25" s="4"/>
      <c r="OK25" s="5"/>
      <c r="OL25" s="6"/>
      <c r="OM25" s="4"/>
      <c r="ON25" s="4"/>
      <c r="OO25" s="4"/>
      <c r="OP25" s="4"/>
      <c r="OQ25" s="4"/>
      <c r="OR25" s="5"/>
      <c r="OS25" s="6"/>
      <c r="OT25" s="4"/>
      <c r="OU25" s="4"/>
      <c r="OV25" s="7"/>
      <c r="OW25" s="8"/>
      <c r="OX25" s="8"/>
      <c r="OY25" s="5"/>
      <c r="OZ25" s="6"/>
      <c r="PA25" s="4"/>
      <c r="PB25" s="4"/>
      <c r="PC25" s="4"/>
      <c r="PD25" s="4"/>
      <c r="PE25" s="4"/>
      <c r="PF25" s="5"/>
      <c r="PG25" s="6"/>
      <c r="PH25" s="4"/>
      <c r="PI25" s="4"/>
      <c r="PJ25" s="4"/>
      <c r="PK25" s="4"/>
      <c r="PL25" s="4"/>
      <c r="PM25" s="5"/>
      <c r="PN25" s="6"/>
      <c r="PO25" s="4"/>
      <c r="PP25" s="4"/>
      <c r="PQ25" s="4"/>
      <c r="PR25" s="4"/>
      <c r="PS25" s="4"/>
      <c r="PT25" s="5"/>
      <c r="PU25" s="6"/>
      <c r="PV25" s="4"/>
      <c r="PW25" s="4"/>
      <c r="PX25" s="4"/>
      <c r="PY25" s="4"/>
      <c r="PZ25" s="4"/>
      <c r="QA25" s="5"/>
      <c r="QB25" s="6"/>
      <c r="QC25" s="4"/>
      <c r="QD25" s="4"/>
      <c r="QE25" s="4"/>
      <c r="QF25" s="4"/>
      <c r="QG25" s="4"/>
      <c r="QH25" s="5"/>
      <c r="QI25" s="6"/>
      <c r="QJ25" s="4"/>
      <c r="QK25" s="4"/>
      <c r="QL25" s="4"/>
      <c r="QM25" s="4"/>
      <c r="QN25" s="4"/>
      <c r="QO25" s="5"/>
      <c r="QP25" s="6"/>
      <c r="QQ25" s="4"/>
      <c r="QR25" s="4"/>
      <c r="QS25" s="4"/>
      <c r="QT25" s="4"/>
      <c r="QU25" s="4"/>
      <c r="QV25" s="5"/>
      <c r="QW25" s="6"/>
      <c r="QX25" s="4"/>
      <c r="QY25" s="4"/>
      <c r="QZ25" s="4"/>
      <c r="RA25" s="4"/>
      <c r="RB25" s="4"/>
      <c r="RC25" s="5"/>
      <c r="RD25" s="6"/>
      <c r="RE25" s="4"/>
      <c r="RF25" s="4"/>
      <c r="RG25" s="4"/>
      <c r="RH25" s="4"/>
      <c r="RI25" s="4"/>
      <c r="RJ25" s="5"/>
      <c r="RK25" s="6"/>
      <c r="RL25" s="4"/>
      <c r="RM25" s="4"/>
      <c r="RN25" s="4"/>
      <c r="RO25" s="4"/>
      <c r="RP25" s="4"/>
      <c r="RQ25" s="5"/>
      <c r="RR25" s="6"/>
      <c r="RS25" s="4"/>
      <c r="RT25" s="4"/>
      <c r="RU25" s="4"/>
      <c r="RV25" s="4"/>
      <c r="RW25" s="4"/>
      <c r="RX25" s="5"/>
      <c r="RY25" s="6"/>
      <c r="RZ25" s="4"/>
      <c r="SA25" s="4"/>
      <c r="SB25" s="4"/>
      <c r="SC25" s="4"/>
      <c r="SD25" s="4"/>
      <c r="SE25" s="5"/>
      <c r="SF25" s="6"/>
      <c r="SG25" s="4"/>
      <c r="SH25" s="4"/>
      <c r="SI25" s="4"/>
      <c r="SJ25" s="4"/>
      <c r="SK25" s="4"/>
      <c r="SL25" s="5"/>
      <c r="SM25" s="6"/>
      <c r="SN25" s="4"/>
      <c r="SO25" s="4"/>
      <c r="SP25" s="4"/>
      <c r="SQ25" s="4"/>
      <c r="SR25" s="4"/>
      <c r="SS25" s="5"/>
      <c r="ST25" s="6"/>
      <c r="SU25" s="4"/>
      <c r="SV25" s="4"/>
      <c r="SW25" s="4"/>
      <c r="SX25" s="4"/>
      <c r="SY25" s="4"/>
      <c r="SZ25" s="5"/>
      <c r="TA25" s="6"/>
      <c r="TB25" s="4"/>
      <c r="TC25" s="4"/>
      <c r="TD25" s="4"/>
      <c r="TE25" s="4"/>
      <c r="TF25" s="4"/>
      <c r="TG25" s="5"/>
      <c r="TH25" s="6"/>
      <c r="TI25" s="4"/>
      <c r="TJ25" s="4"/>
      <c r="TK25" s="4"/>
      <c r="TL25" s="4"/>
      <c r="TM25" s="4"/>
      <c r="TN25" s="5"/>
      <c r="TO25" s="6"/>
      <c r="TP25" s="4"/>
      <c r="TQ25" s="4"/>
      <c r="TR25" s="4"/>
      <c r="TS25" s="4"/>
      <c r="TT25" s="4"/>
      <c r="TU25" s="5"/>
      <c r="TV25" s="6"/>
      <c r="TW25" s="4"/>
      <c r="TX25" s="4"/>
      <c r="TY25" s="4"/>
      <c r="TZ25" s="4"/>
      <c r="UA25" s="4"/>
      <c r="UB25" s="5"/>
      <c r="UC25" s="6"/>
      <c r="UD25" s="4"/>
      <c r="UE25" s="4"/>
      <c r="UF25" s="4"/>
      <c r="UG25" s="4"/>
      <c r="UH25" s="4"/>
      <c r="UI25" s="5"/>
      <c r="UJ25" s="6"/>
      <c r="UK25" s="4"/>
      <c r="UL25" s="4"/>
      <c r="UM25" s="4"/>
      <c r="UN25" s="4"/>
      <c r="UO25" s="4"/>
      <c r="UP25" s="5"/>
      <c r="UQ25" s="6"/>
      <c r="UR25" s="4"/>
      <c r="US25" s="4"/>
      <c r="UT25" s="4"/>
      <c r="UU25" s="4"/>
      <c r="UV25" s="4"/>
      <c r="UW25" s="5"/>
      <c r="UX25" s="6" t="s">
        <v>2484</v>
      </c>
      <c r="UY25" s="4" t="s">
        <v>2151</v>
      </c>
      <c r="UZ25" s="4" t="s">
        <v>2111</v>
      </c>
      <c r="VA25" s="7" t="s">
        <v>2152</v>
      </c>
      <c r="VB25" s="8">
        <v>32964</v>
      </c>
      <c r="VC25" s="8">
        <v>33035</v>
      </c>
      <c r="VD25" s="5"/>
      <c r="VE25" s="6"/>
      <c r="VF25" s="4"/>
      <c r="VG25" s="4"/>
      <c r="VH25" s="4"/>
      <c r="VI25" s="4"/>
      <c r="VJ25" s="4"/>
      <c r="VK25" s="5"/>
      <c r="VL25" s="6"/>
      <c r="VM25" s="4"/>
      <c r="VN25" s="4"/>
      <c r="VO25" s="4"/>
      <c r="VP25" s="4"/>
      <c r="VQ25" s="4"/>
      <c r="VR25" s="5"/>
      <c r="VS25" s="6"/>
      <c r="VT25" s="4"/>
      <c r="VU25" s="4"/>
      <c r="VV25" s="4"/>
      <c r="VW25" s="4"/>
      <c r="VX25" s="4"/>
      <c r="VY25" s="5"/>
      <c r="VZ25" s="6"/>
      <c r="WA25" s="4"/>
      <c r="WB25" s="4"/>
      <c r="WC25" s="4"/>
      <c r="WD25" s="4"/>
      <c r="WE25" s="4"/>
      <c r="WF25" s="5"/>
      <c r="WG25" s="6"/>
      <c r="WH25" s="4"/>
      <c r="WI25" s="4"/>
      <c r="WJ25" s="4"/>
      <c r="WK25" s="4"/>
      <c r="WL25" s="4"/>
      <c r="WM25" s="5"/>
      <c r="WN25" s="6"/>
      <c r="WO25" s="4"/>
      <c r="WP25" s="4"/>
      <c r="WQ25" s="4"/>
      <c r="WR25" s="4"/>
      <c r="WS25" s="4"/>
      <c r="WT25" s="5"/>
      <c r="WU25" s="6"/>
      <c r="WV25" s="4"/>
      <c r="WW25" s="4"/>
      <c r="WX25" s="4"/>
      <c r="WY25" s="4"/>
      <c r="WZ25" s="4"/>
      <c r="XA25" s="5"/>
      <c r="XB25" s="6"/>
      <c r="XC25" s="4"/>
      <c r="XD25" s="4"/>
      <c r="XE25" s="4"/>
      <c r="XF25" s="4"/>
      <c r="XG25" s="4"/>
      <c r="XH25" s="5"/>
      <c r="XI25" s="6"/>
      <c r="XJ25" s="4"/>
      <c r="XK25" s="4"/>
      <c r="XL25" s="4"/>
      <c r="XM25" s="4"/>
      <c r="XN25" s="4"/>
      <c r="XO25" s="5"/>
      <c r="XP25" s="6"/>
      <c r="XQ25" s="4"/>
      <c r="XR25" s="4"/>
      <c r="XS25" s="4"/>
      <c r="XT25" s="4"/>
      <c r="XU25" s="4"/>
      <c r="XV25" s="5"/>
      <c r="XW25" s="6"/>
      <c r="XX25" s="4"/>
      <c r="XY25" s="4"/>
      <c r="XZ25" s="4"/>
      <c r="YA25" s="4"/>
      <c r="YB25" s="4"/>
      <c r="YC25" s="5"/>
      <c r="YD25" s="6"/>
      <c r="YE25" s="4"/>
      <c r="YF25" s="4"/>
      <c r="YG25" s="4"/>
      <c r="YH25" s="4"/>
      <c r="YI25" s="4"/>
      <c r="YJ25" s="5"/>
      <c r="YK25" s="6" t="s">
        <v>2154</v>
      </c>
      <c r="YL25" s="4" t="s">
        <v>2307</v>
      </c>
      <c r="YM25" s="4" t="s">
        <v>2429</v>
      </c>
      <c r="YN25" s="7" t="s">
        <v>2467</v>
      </c>
      <c r="YO25" s="8">
        <v>33002</v>
      </c>
      <c r="YP25" s="8">
        <v>33004</v>
      </c>
      <c r="YQ25" s="5" t="s">
        <v>2468</v>
      </c>
      <c r="YR25" s="6"/>
      <c r="YS25" s="4"/>
      <c r="YT25" s="4"/>
      <c r="YU25" s="4"/>
      <c r="YV25" s="4"/>
      <c r="YW25" s="4"/>
      <c r="YX25" s="5"/>
      <c r="YY25" s="6"/>
      <c r="YZ25" s="4"/>
      <c r="ZA25" s="4"/>
      <c r="ZB25" s="4"/>
      <c r="ZC25" s="4"/>
      <c r="ZD25" s="4"/>
      <c r="ZE25" s="5"/>
      <c r="ZF25" s="6"/>
      <c r="ZG25" s="4"/>
      <c r="ZH25" s="4"/>
      <c r="ZI25" s="4"/>
      <c r="ZJ25" s="4"/>
      <c r="ZK25" s="4"/>
      <c r="ZL25" s="5"/>
      <c r="ZM25" s="6"/>
      <c r="ZN25" s="4"/>
      <c r="ZO25" s="4"/>
      <c r="ZP25" s="4"/>
      <c r="ZQ25" s="4"/>
      <c r="ZR25" s="4"/>
      <c r="ZS25" s="5"/>
      <c r="ZT25" s="6"/>
      <c r="ZU25" s="4"/>
      <c r="ZV25" s="4"/>
      <c r="ZW25" s="4"/>
      <c r="ZX25" s="4"/>
      <c r="ZY25" s="4"/>
      <c r="ZZ25" s="5"/>
      <c r="AAA25" s="6"/>
      <c r="AAB25" s="4"/>
      <c r="AAC25" s="4"/>
      <c r="AAD25" s="4"/>
      <c r="AAE25" s="4"/>
      <c r="AAF25" s="4"/>
      <c r="AAG25" s="5"/>
      <c r="AAH25" s="6"/>
      <c r="AAI25" s="4"/>
      <c r="AAJ25" s="4"/>
      <c r="AAK25" s="4"/>
      <c r="AAL25" s="4"/>
      <c r="AAM25" s="4"/>
      <c r="AAN25" s="5"/>
      <c r="AAO25" s="6"/>
      <c r="AAP25" s="4"/>
      <c r="AAQ25" s="4"/>
      <c r="AAR25" s="4"/>
      <c r="AAS25" s="4"/>
      <c r="AAT25" s="4"/>
      <c r="AAU25" s="5"/>
      <c r="AAV25" s="6"/>
      <c r="AAW25" s="4"/>
      <c r="AAX25" s="4"/>
      <c r="AAY25" s="4"/>
      <c r="AAZ25" s="4"/>
      <c r="ABA25" s="4"/>
      <c r="ABB25" s="5"/>
      <c r="ABC25" s="6"/>
      <c r="ABD25" s="4"/>
      <c r="ABE25" s="4"/>
      <c r="ABF25" s="4"/>
      <c r="ABG25" s="4"/>
      <c r="ABH25" s="4"/>
      <c r="ABI25" s="5"/>
      <c r="ABJ25" s="6"/>
      <c r="ABK25" s="4"/>
      <c r="ABL25" s="4"/>
      <c r="ABM25" s="4"/>
      <c r="ABN25" s="4"/>
      <c r="ABO25" s="4"/>
      <c r="ABP25" s="5"/>
      <c r="ABQ25" s="6"/>
      <c r="ABR25" s="4"/>
      <c r="ABS25" s="4"/>
      <c r="ABT25" s="4"/>
      <c r="ABU25" s="4"/>
      <c r="ABV25" s="4"/>
      <c r="ABW25" s="5"/>
      <c r="ABX25" s="6"/>
      <c r="ABY25" s="4"/>
      <c r="ABZ25" s="4"/>
      <c r="ACA25" s="4"/>
      <c r="ACB25" s="4"/>
      <c r="ACC25" s="4"/>
      <c r="ACD25" s="5"/>
      <c r="ACE25" s="6"/>
      <c r="ACF25" s="4"/>
      <c r="ACG25" s="4"/>
      <c r="ACH25" s="4"/>
      <c r="ACI25" s="4"/>
      <c r="ACJ25" s="4"/>
      <c r="ACK25" s="5"/>
      <c r="ACL25" s="6"/>
      <c r="ACM25" s="4"/>
      <c r="ACN25" s="4"/>
      <c r="ACO25" s="4"/>
      <c r="ACP25" s="4"/>
      <c r="ACQ25" s="4"/>
      <c r="ACR25" s="5"/>
      <c r="ACS25" s="6"/>
      <c r="ACT25" s="4"/>
      <c r="ACU25" s="4"/>
      <c r="ACV25" s="4"/>
      <c r="ACW25" s="4"/>
      <c r="ACX25" s="4"/>
      <c r="ACY25" s="5"/>
    </row>
    <row r="26" spans="2:779" x14ac:dyDescent="0.25">
      <c r="B26" s="30"/>
      <c r="J26" s="12"/>
      <c r="K26" s="12"/>
      <c r="L26" s="12"/>
      <c r="LL26" s="6"/>
      <c r="LM26" s="4"/>
      <c r="LN26" s="4"/>
      <c r="LO26" s="4"/>
      <c r="LP26" s="4"/>
      <c r="LQ26" s="4"/>
      <c r="LR26" s="5"/>
      <c r="LS26" s="6"/>
      <c r="LT26" s="4"/>
      <c r="LU26" s="4"/>
      <c r="LV26" s="4"/>
      <c r="LW26" s="4"/>
      <c r="LX26" s="4"/>
      <c r="LY26" s="5"/>
      <c r="LZ26" s="6" t="s">
        <v>2297</v>
      </c>
      <c r="MA26" s="7" t="s">
        <v>2298</v>
      </c>
      <c r="MB26" s="7"/>
      <c r="MC26" s="7"/>
      <c r="MD26" s="8"/>
      <c r="ME26" s="8"/>
      <c r="MF26" s="8"/>
      <c r="MG26" s="5" t="s">
        <v>2483</v>
      </c>
      <c r="MH26" s="6"/>
      <c r="MI26" s="4"/>
      <c r="MJ26" s="4"/>
      <c r="MK26" s="4"/>
      <c r="ML26" s="4"/>
      <c r="MM26" s="4"/>
      <c r="MN26" s="5"/>
      <c r="MO26" s="6"/>
      <c r="MP26" s="4"/>
      <c r="MQ26" s="4"/>
      <c r="MR26" s="4"/>
      <c r="MS26" s="4"/>
      <c r="MT26" s="4"/>
      <c r="MU26" s="5"/>
      <c r="MV26" s="6"/>
      <c r="MW26" s="4"/>
      <c r="MX26" s="4"/>
      <c r="MY26" s="4"/>
      <c r="MZ26" s="4"/>
      <c r="NA26" s="4"/>
      <c r="NB26" s="5"/>
      <c r="NC26" s="6"/>
      <c r="ND26" s="4"/>
      <c r="NE26" s="4"/>
      <c r="NF26" s="4"/>
      <c r="NG26" s="4"/>
      <c r="NH26" s="4"/>
      <c r="NI26" s="5"/>
      <c r="NJ26" s="6"/>
      <c r="NK26" s="4"/>
      <c r="NL26" s="4"/>
      <c r="NM26" s="4"/>
      <c r="NN26" s="4"/>
      <c r="NO26" s="4"/>
      <c r="NP26" s="5"/>
      <c r="NQ26" s="6"/>
      <c r="NR26" s="4"/>
      <c r="NS26" s="4"/>
      <c r="NT26" s="4"/>
      <c r="NU26" s="4"/>
      <c r="NV26" s="4"/>
      <c r="NW26" s="5"/>
      <c r="NX26" s="6"/>
      <c r="NY26" s="4"/>
      <c r="NZ26" s="4"/>
      <c r="OA26" s="4"/>
      <c r="OB26" s="4"/>
      <c r="OC26" s="4"/>
      <c r="OD26" s="5"/>
      <c r="OE26" s="6"/>
      <c r="OF26" s="4"/>
      <c r="OG26" s="4"/>
      <c r="OH26" s="4"/>
      <c r="OI26" s="4"/>
      <c r="OJ26" s="4"/>
      <c r="OK26" s="5"/>
      <c r="OL26" s="6"/>
      <c r="OM26" s="4"/>
      <c r="ON26" s="4"/>
      <c r="OO26" s="4"/>
      <c r="OP26" s="4"/>
      <c r="OQ26" s="4"/>
      <c r="OR26" s="5"/>
      <c r="OS26" s="6"/>
      <c r="OT26" s="4"/>
      <c r="OU26" s="4"/>
      <c r="OV26" s="7"/>
      <c r="OW26" s="8"/>
      <c r="OX26" s="8"/>
      <c r="OY26" s="5"/>
      <c r="OZ26" s="6"/>
      <c r="PA26" s="4"/>
      <c r="PB26" s="4"/>
      <c r="PC26" s="4"/>
      <c r="PD26" s="4"/>
      <c r="PE26" s="4"/>
      <c r="PF26" s="5"/>
      <c r="PG26" s="6"/>
      <c r="PH26" s="4"/>
      <c r="PI26" s="4"/>
      <c r="PJ26" s="4"/>
      <c r="PK26" s="4"/>
      <c r="PL26" s="4"/>
      <c r="PM26" s="5"/>
      <c r="PN26" s="6"/>
      <c r="PO26" s="4"/>
      <c r="PP26" s="4"/>
      <c r="PQ26" s="4"/>
      <c r="PR26" s="4"/>
      <c r="PS26" s="4"/>
      <c r="PT26" s="5"/>
      <c r="PU26" s="6"/>
      <c r="PV26" s="4"/>
      <c r="PW26" s="4"/>
      <c r="PX26" s="4"/>
      <c r="PY26" s="4"/>
      <c r="PZ26" s="4"/>
      <c r="QA26" s="5"/>
      <c r="QB26" s="6"/>
      <c r="QC26" s="4"/>
      <c r="QD26" s="4"/>
      <c r="QE26" s="4"/>
      <c r="QF26" s="4"/>
      <c r="QG26" s="4"/>
      <c r="QH26" s="5"/>
      <c r="QI26" s="6"/>
      <c r="QJ26" s="4"/>
      <c r="QK26" s="4"/>
      <c r="QL26" s="4"/>
      <c r="QM26" s="4"/>
      <c r="QN26" s="4"/>
      <c r="QO26" s="5"/>
      <c r="QP26" s="6"/>
      <c r="QQ26" s="4"/>
      <c r="QR26" s="4"/>
      <c r="QS26" s="4"/>
      <c r="QT26" s="4"/>
      <c r="QU26" s="4"/>
      <c r="QV26" s="5"/>
      <c r="QW26" s="6"/>
      <c r="QX26" s="4"/>
      <c r="QY26" s="4"/>
      <c r="QZ26" s="4"/>
      <c r="RA26" s="4"/>
      <c r="RB26" s="4"/>
      <c r="RC26" s="5"/>
      <c r="RD26" s="6"/>
      <c r="RE26" s="4"/>
      <c r="RF26" s="4"/>
      <c r="RG26" s="4"/>
      <c r="RH26" s="4"/>
      <c r="RI26" s="4"/>
      <c r="RJ26" s="5"/>
      <c r="RK26" s="6"/>
      <c r="RL26" s="4"/>
      <c r="RM26" s="4"/>
      <c r="RN26" s="4"/>
      <c r="RO26" s="4"/>
      <c r="RP26" s="4"/>
      <c r="RQ26" s="5"/>
      <c r="RR26" s="6"/>
      <c r="RS26" s="4"/>
      <c r="RT26" s="4"/>
      <c r="RU26" s="4"/>
      <c r="RV26" s="4"/>
      <c r="RW26" s="4"/>
      <c r="RX26" s="5"/>
      <c r="RY26" s="6"/>
      <c r="RZ26" s="4"/>
      <c r="SA26" s="4"/>
      <c r="SB26" s="4"/>
      <c r="SC26" s="4"/>
      <c r="SD26" s="4"/>
      <c r="SE26" s="5"/>
      <c r="SF26" s="6"/>
      <c r="SG26" s="4"/>
      <c r="SH26" s="4"/>
      <c r="SI26" s="4"/>
      <c r="SJ26" s="4"/>
      <c r="SK26" s="4"/>
      <c r="SL26" s="5"/>
      <c r="SM26" s="6"/>
      <c r="SN26" s="4"/>
      <c r="SO26" s="4"/>
      <c r="SP26" s="4"/>
      <c r="SQ26" s="4"/>
      <c r="SR26" s="4"/>
      <c r="SS26" s="5"/>
      <c r="ST26" s="6"/>
      <c r="SU26" s="4"/>
      <c r="SV26" s="4"/>
      <c r="SW26" s="4"/>
      <c r="SX26" s="4"/>
      <c r="SY26" s="4"/>
      <c r="SZ26" s="5"/>
      <c r="TA26" s="6"/>
      <c r="TB26" s="4"/>
      <c r="TC26" s="4"/>
      <c r="TD26" s="4"/>
      <c r="TE26" s="4"/>
      <c r="TF26" s="4"/>
      <c r="TG26" s="5"/>
      <c r="TH26" s="6"/>
      <c r="TI26" s="4"/>
      <c r="TJ26" s="4"/>
      <c r="TK26" s="4"/>
      <c r="TL26" s="4"/>
      <c r="TM26" s="4"/>
      <c r="TN26" s="5"/>
      <c r="TO26" s="6"/>
      <c r="TP26" s="4"/>
      <c r="TQ26" s="4"/>
      <c r="TR26" s="4"/>
      <c r="TS26" s="4"/>
      <c r="TT26" s="4"/>
      <c r="TU26" s="5"/>
      <c r="TV26" s="6"/>
      <c r="TW26" s="4"/>
      <c r="TX26" s="4"/>
      <c r="TY26" s="4"/>
      <c r="TZ26" s="4"/>
      <c r="UA26" s="4"/>
      <c r="UB26" s="5"/>
      <c r="UC26" s="6"/>
      <c r="UD26" s="4"/>
      <c r="UE26" s="4"/>
      <c r="UF26" s="4"/>
      <c r="UG26" s="4"/>
      <c r="UH26" s="4"/>
      <c r="UI26" s="5"/>
      <c r="UJ26" s="6"/>
      <c r="UK26" s="4"/>
      <c r="UL26" s="4"/>
      <c r="UM26" s="4"/>
      <c r="UN26" s="4"/>
      <c r="UO26" s="4"/>
      <c r="UP26" s="5"/>
      <c r="UQ26" s="6"/>
      <c r="UR26" s="4"/>
      <c r="US26" s="4"/>
      <c r="UT26" s="4"/>
      <c r="UU26" s="4"/>
      <c r="UV26" s="4"/>
      <c r="UW26" s="5"/>
      <c r="UX26" s="6"/>
      <c r="UY26" s="4"/>
      <c r="UZ26" s="4"/>
      <c r="VA26" s="4"/>
      <c r="VB26" s="4"/>
      <c r="VC26" s="4"/>
      <c r="VD26" s="5"/>
      <c r="VE26" s="6"/>
      <c r="VF26" s="4"/>
      <c r="VG26" s="4"/>
      <c r="VH26" s="4"/>
      <c r="VI26" s="4"/>
      <c r="VJ26" s="4"/>
      <c r="VK26" s="5"/>
      <c r="VL26" s="6"/>
      <c r="VM26" s="4"/>
      <c r="VN26" s="4"/>
      <c r="VO26" s="4"/>
      <c r="VP26" s="4"/>
      <c r="VQ26" s="4"/>
      <c r="VR26" s="5"/>
      <c r="VS26" s="6"/>
      <c r="VT26" s="4"/>
      <c r="VU26" s="4"/>
      <c r="VV26" s="4"/>
      <c r="VW26" s="4"/>
      <c r="VX26" s="4"/>
      <c r="VY26" s="5"/>
      <c r="VZ26" s="6"/>
      <c r="WA26" s="4"/>
      <c r="WB26" s="4"/>
      <c r="WC26" s="4"/>
      <c r="WD26" s="4"/>
      <c r="WE26" s="4"/>
      <c r="WF26" s="5"/>
      <c r="WG26" s="6"/>
      <c r="WH26" s="4"/>
      <c r="WI26" s="4"/>
      <c r="WJ26" s="4"/>
      <c r="WK26" s="4"/>
      <c r="WL26" s="4"/>
      <c r="WM26" s="5"/>
      <c r="WN26" s="6"/>
      <c r="WO26" s="4"/>
      <c r="WP26" s="4"/>
      <c r="WQ26" s="4"/>
      <c r="WR26" s="4"/>
      <c r="WS26" s="4"/>
      <c r="WT26" s="5"/>
      <c r="WU26" s="6"/>
      <c r="WV26" s="4"/>
      <c r="WW26" s="4"/>
      <c r="WX26" s="4"/>
      <c r="WY26" s="4"/>
      <c r="WZ26" s="4"/>
      <c r="XA26" s="5"/>
      <c r="XB26" s="6"/>
      <c r="XC26" s="4"/>
      <c r="XD26" s="4"/>
      <c r="XE26" s="4"/>
      <c r="XF26" s="4"/>
      <c r="XG26" s="4"/>
      <c r="XH26" s="5"/>
      <c r="XI26" s="6"/>
      <c r="XJ26" s="4"/>
      <c r="XK26" s="4"/>
      <c r="XL26" s="4"/>
      <c r="XM26" s="4"/>
      <c r="XN26" s="4"/>
      <c r="XO26" s="5"/>
      <c r="XP26" s="6"/>
      <c r="XQ26" s="4"/>
      <c r="XR26" s="4"/>
      <c r="XS26" s="4"/>
      <c r="XT26" s="4"/>
      <c r="XU26" s="4"/>
      <c r="XV26" s="5"/>
      <c r="XW26" s="6"/>
      <c r="XX26" s="4"/>
      <c r="XY26" s="4"/>
      <c r="XZ26" s="4"/>
      <c r="YA26" s="4"/>
      <c r="YB26" s="4"/>
      <c r="YC26" s="5"/>
      <c r="YD26" s="6"/>
      <c r="YE26" s="4"/>
      <c r="YF26" s="4"/>
      <c r="YG26" s="4"/>
      <c r="YH26" s="4"/>
      <c r="YI26" s="4"/>
      <c r="YJ26" s="5"/>
      <c r="YK26" s="6"/>
      <c r="YL26" s="4"/>
      <c r="YM26" s="4"/>
      <c r="YN26" s="4"/>
      <c r="YO26" s="4"/>
      <c r="YP26" s="4"/>
      <c r="YQ26" s="5"/>
      <c r="YR26" s="6"/>
      <c r="YS26" s="4"/>
      <c r="YT26" s="4"/>
      <c r="YU26" s="4"/>
      <c r="YV26" s="4"/>
      <c r="YW26" s="4"/>
      <c r="YX26" s="5"/>
      <c r="YY26" s="6"/>
      <c r="YZ26" s="4"/>
      <c r="ZA26" s="4"/>
      <c r="ZB26" s="4"/>
      <c r="ZC26" s="4"/>
      <c r="ZD26" s="4"/>
      <c r="ZE26" s="5"/>
      <c r="ZF26" s="6"/>
      <c r="ZG26" s="4"/>
      <c r="ZH26" s="4"/>
      <c r="ZI26" s="4"/>
      <c r="ZJ26" s="4"/>
      <c r="ZK26" s="4"/>
      <c r="ZL26" s="5"/>
      <c r="ZM26" s="6"/>
      <c r="ZN26" s="4"/>
      <c r="ZO26" s="4"/>
      <c r="ZP26" s="4"/>
      <c r="ZQ26" s="4"/>
      <c r="ZR26" s="4"/>
      <c r="ZS26" s="5"/>
      <c r="ZT26" s="6"/>
      <c r="ZU26" s="4"/>
      <c r="ZV26" s="4"/>
      <c r="ZW26" s="4"/>
      <c r="ZX26" s="4"/>
      <c r="ZY26" s="4"/>
      <c r="ZZ26" s="5"/>
      <c r="AAA26" s="6"/>
      <c r="AAB26" s="4"/>
      <c r="AAC26" s="4"/>
      <c r="AAD26" s="4"/>
      <c r="AAE26" s="4"/>
      <c r="AAF26" s="4"/>
      <c r="AAG26" s="5"/>
      <c r="AAH26" s="6"/>
      <c r="AAI26" s="4"/>
      <c r="AAJ26" s="4"/>
      <c r="AAK26" s="4"/>
      <c r="AAL26" s="4"/>
      <c r="AAM26" s="4"/>
      <c r="AAN26" s="5"/>
      <c r="AAO26" s="6"/>
      <c r="AAP26" s="4"/>
      <c r="AAQ26" s="4"/>
      <c r="AAR26" s="4"/>
      <c r="AAS26" s="4"/>
      <c r="AAT26" s="4"/>
      <c r="AAU26" s="5"/>
      <c r="AAV26" s="6"/>
      <c r="AAW26" s="4"/>
      <c r="AAX26" s="4"/>
      <c r="AAY26" s="4"/>
      <c r="AAZ26" s="4"/>
      <c r="ABA26" s="4"/>
      <c r="ABB26" s="5"/>
      <c r="ABC26" s="6"/>
      <c r="ABD26" s="4"/>
      <c r="ABE26" s="4"/>
      <c r="ABF26" s="4"/>
      <c r="ABG26" s="4"/>
      <c r="ABH26" s="4"/>
      <c r="ABI26" s="5"/>
      <c r="ABJ26" s="6"/>
      <c r="ABK26" s="4"/>
      <c r="ABL26" s="4"/>
      <c r="ABM26" s="4"/>
      <c r="ABN26" s="4"/>
      <c r="ABO26" s="4"/>
      <c r="ABP26" s="5"/>
      <c r="ABQ26" s="6"/>
      <c r="ABR26" s="4"/>
      <c r="ABS26" s="4"/>
      <c r="ABT26" s="4"/>
      <c r="ABU26" s="4"/>
      <c r="ABV26" s="4"/>
      <c r="ABW26" s="5"/>
      <c r="ABX26" s="6"/>
      <c r="ABY26" s="4"/>
      <c r="ABZ26" s="4"/>
      <c r="ACA26" s="4"/>
      <c r="ACB26" s="4"/>
      <c r="ACC26" s="4"/>
      <c r="ACD26" s="5"/>
      <c r="ACE26" s="6"/>
      <c r="ACF26" s="4"/>
      <c r="ACG26" s="4"/>
      <c r="ACH26" s="4"/>
      <c r="ACI26" s="4"/>
      <c r="ACJ26" s="4"/>
      <c r="ACK26" s="5"/>
      <c r="ACL26" s="6"/>
      <c r="ACM26" s="4"/>
      <c r="ACN26" s="4"/>
      <c r="ACO26" s="4"/>
      <c r="ACP26" s="4"/>
      <c r="ACQ26" s="4"/>
      <c r="ACR26" s="5"/>
      <c r="ACS26" s="6"/>
      <c r="ACT26" s="4"/>
      <c r="ACU26" s="4"/>
      <c r="ACV26" s="4"/>
      <c r="ACW26" s="4"/>
      <c r="ACX26" s="4"/>
      <c r="ACY26" s="5"/>
    </row>
    <row r="27" spans="2:779" x14ac:dyDescent="0.25">
      <c r="B27" s="30"/>
      <c r="J27" s="12"/>
      <c r="K27" s="12"/>
      <c r="L27" s="12"/>
      <c r="LL27" s="6"/>
      <c r="LM27" s="4"/>
      <c r="LN27" s="4"/>
      <c r="LO27" s="4"/>
      <c r="LP27" s="4"/>
      <c r="LQ27" s="4"/>
      <c r="LR27" s="5"/>
      <c r="LS27" s="6"/>
      <c r="LT27" s="4"/>
      <c r="LU27" s="4"/>
      <c r="LV27" s="4"/>
      <c r="LW27" s="4"/>
      <c r="LX27" s="4"/>
      <c r="LY27" s="5"/>
      <c r="LZ27" s="6" t="s">
        <v>2136</v>
      </c>
      <c r="MA27" s="4" t="s">
        <v>2707</v>
      </c>
      <c r="MB27" s="4" t="s">
        <v>2664</v>
      </c>
      <c r="MC27" s="7" t="s">
        <v>2296</v>
      </c>
      <c r="MD27" s="8">
        <v>32964</v>
      </c>
      <c r="ME27" s="8">
        <v>33004</v>
      </c>
      <c r="MF27" s="8"/>
      <c r="MG27" s="5" t="s">
        <v>2478</v>
      </c>
      <c r="MH27" s="6"/>
      <c r="MI27" s="4"/>
      <c r="MJ27" s="4"/>
      <c r="MK27" s="4"/>
      <c r="ML27" s="4"/>
      <c r="MM27" s="4"/>
      <c r="MN27" s="5"/>
      <c r="MO27" s="6"/>
      <c r="MP27" s="4"/>
      <c r="MQ27" s="4"/>
      <c r="MR27" s="4"/>
      <c r="MS27" s="4"/>
      <c r="MT27" s="4"/>
      <c r="MU27" s="5"/>
      <c r="MV27" s="6"/>
      <c r="MW27" s="4"/>
      <c r="MX27" s="4"/>
      <c r="MY27" s="4"/>
      <c r="MZ27" s="4"/>
      <c r="NA27" s="4"/>
      <c r="NB27" s="5"/>
      <c r="NC27" s="6"/>
      <c r="ND27" s="4"/>
      <c r="NE27" s="4"/>
      <c r="NF27" s="4"/>
      <c r="NG27" s="4"/>
      <c r="NH27" s="4"/>
      <c r="NI27" s="5"/>
      <c r="NJ27" s="6"/>
      <c r="NK27" s="4"/>
      <c r="NL27" s="4"/>
      <c r="NM27" s="4"/>
      <c r="NN27" s="4"/>
      <c r="NO27" s="4"/>
      <c r="NP27" s="5"/>
      <c r="NQ27" s="6"/>
      <c r="NR27" s="4"/>
      <c r="NS27" s="4"/>
      <c r="NT27" s="4"/>
      <c r="NU27" s="4"/>
      <c r="NV27" s="4"/>
      <c r="NW27" s="5"/>
      <c r="NX27" s="6"/>
      <c r="NY27" s="4"/>
      <c r="NZ27" s="4"/>
      <c r="OA27" s="4"/>
      <c r="OB27" s="4"/>
      <c r="OC27" s="4"/>
      <c r="OD27" s="5"/>
      <c r="OE27" s="6"/>
      <c r="OF27" s="4"/>
      <c r="OG27" s="4"/>
      <c r="OH27" s="4"/>
      <c r="OI27" s="4"/>
      <c r="OJ27" s="4"/>
      <c r="OK27" s="5"/>
      <c r="OL27" s="6"/>
      <c r="OM27" s="4"/>
      <c r="ON27" s="4"/>
      <c r="OO27" s="4"/>
      <c r="OP27" s="4"/>
      <c r="OQ27" s="4"/>
      <c r="OR27" s="5"/>
      <c r="OS27" s="6"/>
      <c r="OT27" s="4"/>
      <c r="OU27" s="4"/>
      <c r="OV27" s="7"/>
      <c r="OW27" s="8"/>
      <c r="OX27" s="8"/>
      <c r="OY27" s="5"/>
      <c r="OZ27" s="6"/>
      <c r="PA27" s="4"/>
      <c r="PB27" s="4"/>
      <c r="PC27" s="4"/>
      <c r="PD27" s="4"/>
      <c r="PE27" s="4"/>
      <c r="PF27" s="5"/>
      <c r="PG27" s="6"/>
      <c r="PH27" s="4"/>
      <c r="PI27" s="4"/>
      <c r="PJ27" s="4"/>
      <c r="PK27" s="4"/>
      <c r="PL27" s="4"/>
      <c r="PM27" s="5"/>
      <c r="PN27" s="6"/>
      <c r="PO27" s="4"/>
      <c r="PP27" s="4"/>
      <c r="PQ27" s="4"/>
      <c r="PR27" s="4"/>
      <c r="PS27" s="4"/>
      <c r="PT27" s="5"/>
      <c r="PU27" s="6"/>
      <c r="PV27" s="4"/>
      <c r="PW27" s="4"/>
      <c r="PX27" s="4"/>
      <c r="PY27" s="4"/>
      <c r="PZ27" s="4"/>
      <c r="QA27" s="5"/>
      <c r="QB27" s="6"/>
      <c r="QC27" s="4"/>
      <c r="QD27" s="4"/>
      <c r="QE27" s="4"/>
      <c r="QF27" s="4"/>
      <c r="QG27" s="4"/>
      <c r="QH27" s="5"/>
      <c r="QI27" s="6"/>
      <c r="QJ27" s="4"/>
      <c r="QK27" s="4"/>
      <c r="QL27" s="4"/>
      <c r="QM27" s="4"/>
      <c r="QN27" s="4"/>
      <c r="QO27" s="5"/>
      <c r="QP27" s="6"/>
      <c r="QQ27" s="4"/>
      <c r="QR27" s="4"/>
      <c r="QS27" s="4"/>
      <c r="QT27" s="4"/>
      <c r="QU27" s="4"/>
      <c r="QV27" s="5"/>
      <c r="QW27" s="6"/>
      <c r="QX27" s="4"/>
      <c r="QY27" s="4"/>
      <c r="QZ27" s="4"/>
      <c r="RA27" s="4"/>
      <c r="RB27" s="4"/>
      <c r="RC27" s="5"/>
      <c r="RD27" s="6"/>
      <c r="RE27" s="4"/>
      <c r="RF27" s="4"/>
      <c r="RG27" s="4"/>
      <c r="RH27" s="4"/>
      <c r="RI27" s="4"/>
      <c r="RJ27" s="5"/>
      <c r="RK27" s="6"/>
      <c r="RL27" s="4"/>
      <c r="RM27" s="4"/>
      <c r="RN27" s="4"/>
      <c r="RO27" s="4"/>
      <c r="RP27" s="4"/>
      <c r="RQ27" s="5"/>
      <c r="RR27" s="6"/>
      <c r="RS27" s="4"/>
      <c r="RT27" s="4"/>
      <c r="RU27" s="4"/>
      <c r="RV27" s="4"/>
      <c r="RW27" s="4"/>
      <c r="RX27" s="5"/>
      <c r="RY27" s="6"/>
      <c r="RZ27" s="4"/>
      <c r="SA27" s="4"/>
      <c r="SB27" s="4"/>
      <c r="SC27" s="4"/>
      <c r="SD27" s="4"/>
      <c r="SE27" s="5"/>
      <c r="SF27" s="6"/>
      <c r="SG27" s="4"/>
      <c r="SH27" s="4"/>
      <c r="SI27" s="4"/>
      <c r="SJ27" s="4"/>
      <c r="SK27" s="4"/>
      <c r="SL27" s="5"/>
      <c r="SM27" s="6"/>
      <c r="SN27" s="4"/>
      <c r="SO27" s="4"/>
      <c r="SP27" s="4"/>
      <c r="SQ27" s="4"/>
      <c r="SR27" s="4"/>
      <c r="SS27" s="5"/>
      <c r="ST27" s="6"/>
      <c r="SU27" s="4"/>
      <c r="SV27" s="4"/>
      <c r="SW27" s="4"/>
      <c r="SX27" s="4"/>
      <c r="SY27" s="4"/>
      <c r="SZ27" s="5"/>
      <c r="TA27" s="6"/>
      <c r="TB27" s="4"/>
      <c r="TC27" s="4"/>
      <c r="TD27" s="4"/>
      <c r="TE27" s="4"/>
      <c r="TF27" s="4"/>
      <c r="TG27" s="5"/>
      <c r="TH27" s="6"/>
      <c r="TI27" s="4"/>
      <c r="TJ27" s="4"/>
      <c r="TK27" s="4"/>
      <c r="TL27" s="4"/>
      <c r="TM27" s="4"/>
      <c r="TN27" s="5"/>
      <c r="TO27" s="6"/>
      <c r="TP27" s="4"/>
      <c r="TQ27" s="4"/>
      <c r="TR27" s="4"/>
      <c r="TS27" s="4"/>
      <c r="TT27" s="4"/>
      <c r="TU27" s="5"/>
      <c r="TV27" s="6"/>
      <c r="TW27" s="4"/>
      <c r="TX27" s="4"/>
      <c r="TY27" s="4"/>
      <c r="TZ27" s="4"/>
      <c r="UA27" s="4"/>
      <c r="UB27" s="5"/>
      <c r="UC27" s="6"/>
      <c r="UD27" s="4"/>
      <c r="UE27" s="4"/>
      <c r="UF27" s="4"/>
      <c r="UG27" s="4"/>
      <c r="UH27" s="4"/>
      <c r="UI27" s="5"/>
      <c r="UJ27" s="6"/>
      <c r="UK27" s="4"/>
      <c r="UL27" s="4"/>
      <c r="UM27" s="4"/>
      <c r="UN27" s="4"/>
      <c r="UO27" s="4"/>
      <c r="UP27" s="5"/>
      <c r="UQ27" s="6"/>
      <c r="UR27" s="4"/>
      <c r="US27" s="4"/>
      <c r="UT27" s="4"/>
      <c r="UU27" s="4"/>
      <c r="UV27" s="4"/>
      <c r="UW27" s="5"/>
      <c r="UX27" s="6"/>
      <c r="UY27" s="4"/>
      <c r="UZ27" s="4"/>
      <c r="VA27" s="4"/>
      <c r="VB27" s="4"/>
      <c r="VC27" s="4"/>
      <c r="VD27" s="5"/>
      <c r="VE27" s="6"/>
      <c r="VF27" s="4"/>
      <c r="VG27" s="4"/>
      <c r="VH27" s="4"/>
      <c r="VI27" s="4"/>
      <c r="VJ27" s="4"/>
      <c r="VK27" s="5"/>
      <c r="VL27" s="6"/>
      <c r="VM27" s="4"/>
      <c r="VN27" s="4"/>
      <c r="VO27" s="4"/>
      <c r="VP27" s="4"/>
      <c r="VQ27" s="4"/>
      <c r="VR27" s="5"/>
      <c r="VS27" s="6"/>
      <c r="VT27" s="4"/>
      <c r="VU27" s="4"/>
      <c r="VV27" s="4"/>
      <c r="VW27" s="4"/>
      <c r="VX27" s="4"/>
      <c r="VY27" s="5"/>
      <c r="VZ27" s="6"/>
      <c r="WA27" s="4"/>
      <c r="WB27" s="4"/>
      <c r="WC27" s="4"/>
      <c r="WD27" s="4"/>
      <c r="WE27" s="4"/>
      <c r="WF27" s="5"/>
      <c r="WG27" s="6"/>
      <c r="WH27" s="4"/>
      <c r="WI27" s="4"/>
      <c r="WJ27" s="4"/>
      <c r="WK27" s="4"/>
      <c r="WL27" s="4"/>
      <c r="WM27" s="5"/>
      <c r="WN27" s="6"/>
      <c r="WO27" s="4"/>
      <c r="WP27" s="4"/>
      <c r="WQ27" s="4"/>
      <c r="WR27" s="4"/>
      <c r="WS27" s="4"/>
      <c r="WT27" s="5"/>
      <c r="WU27" s="6"/>
      <c r="WV27" s="4"/>
      <c r="WW27" s="4"/>
      <c r="WX27" s="4"/>
      <c r="WY27" s="4"/>
      <c r="WZ27" s="4"/>
      <c r="XA27" s="5"/>
      <c r="XB27" s="6"/>
      <c r="XC27" s="4"/>
      <c r="XD27" s="4"/>
      <c r="XE27" s="4"/>
      <c r="XF27" s="4"/>
      <c r="XG27" s="4"/>
      <c r="XH27" s="5"/>
      <c r="XI27" s="6"/>
      <c r="XJ27" s="4"/>
      <c r="XK27" s="4"/>
      <c r="XL27" s="4"/>
      <c r="XM27" s="4"/>
      <c r="XN27" s="4"/>
      <c r="XO27" s="5"/>
      <c r="XP27" s="6"/>
      <c r="XQ27" s="4"/>
      <c r="XR27" s="4"/>
      <c r="XS27" s="4"/>
      <c r="XT27" s="4"/>
      <c r="XU27" s="4"/>
      <c r="XV27" s="5"/>
      <c r="XW27" s="6"/>
      <c r="XX27" s="4"/>
      <c r="XY27" s="4"/>
      <c r="XZ27" s="4"/>
      <c r="YA27" s="4"/>
      <c r="YB27" s="4"/>
      <c r="YC27" s="5"/>
      <c r="YD27" s="6"/>
      <c r="YE27" s="4"/>
      <c r="YF27" s="4"/>
      <c r="YG27" s="4"/>
      <c r="YH27" s="4"/>
      <c r="YI27" s="4"/>
      <c r="YJ27" s="5"/>
      <c r="YK27" s="6"/>
      <c r="YL27" s="4"/>
      <c r="YM27" s="4"/>
      <c r="YN27" s="4"/>
      <c r="YO27" s="4"/>
      <c r="YP27" s="4"/>
      <c r="YQ27" s="5"/>
      <c r="YR27" s="6"/>
      <c r="YS27" s="4"/>
      <c r="YT27" s="4"/>
      <c r="YU27" s="4"/>
      <c r="YV27" s="4"/>
      <c r="YW27" s="4"/>
      <c r="YX27" s="5"/>
      <c r="YY27" s="6"/>
      <c r="YZ27" s="4"/>
      <c r="ZA27" s="4"/>
      <c r="ZB27" s="4"/>
      <c r="ZC27" s="4"/>
      <c r="ZD27" s="4"/>
      <c r="ZE27" s="5"/>
      <c r="ZF27" s="6"/>
      <c r="ZG27" s="4"/>
      <c r="ZH27" s="4"/>
      <c r="ZI27" s="4"/>
      <c r="ZJ27" s="4"/>
      <c r="ZK27" s="4"/>
      <c r="ZL27" s="5"/>
      <c r="ZM27" s="6"/>
      <c r="ZN27" s="4"/>
      <c r="ZO27" s="4"/>
      <c r="ZP27" s="4"/>
      <c r="ZQ27" s="4"/>
      <c r="ZR27" s="4"/>
      <c r="ZS27" s="5"/>
      <c r="ZT27" s="6"/>
      <c r="ZU27" s="4"/>
      <c r="ZV27" s="4"/>
      <c r="ZW27" s="4"/>
      <c r="ZX27" s="4"/>
      <c r="ZY27" s="4"/>
      <c r="ZZ27" s="5"/>
      <c r="AAA27" s="6"/>
      <c r="AAB27" s="4"/>
      <c r="AAC27" s="4"/>
      <c r="AAD27" s="4"/>
      <c r="AAE27" s="4"/>
      <c r="AAF27" s="4"/>
      <c r="AAG27" s="5"/>
      <c r="AAH27" s="6"/>
      <c r="AAI27" s="4"/>
      <c r="AAJ27" s="4"/>
      <c r="AAK27" s="4"/>
      <c r="AAL27" s="4"/>
      <c r="AAM27" s="4"/>
      <c r="AAN27" s="5"/>
      <c r="AAO27" s="6"/>
      <c r="AAP27" s="4"/>
      <c r="AAQ27" s="4"/>
      <c r="AAR27" s="4"/>
      <c r="AAS27" s="4"/>
      <c r="AAT27" s="4"/>
      <c r="AAU27" s="5"/>
      <c r="AAV27" s="6"/>
      <c r="AAW27" s="4"/>
      <c r="AAX27" s="4"/>
      <c r="AAY27" s="4"/>
      <c r="AAZ27" s="4"/>
      <c r="ABA27" s="4"/>
      <c r="ABB27" s="5"/>
      <c r="ABC27" s="6"/>
      <c r="ABD27" s="4"/>
      <c r="ABE27" s="4"/>
      <c r="ABF27" s="4"/>
      <c r="ABG27" s="4"/>
      <c r="ABH27" s="4"/>
      <c r="ABI27" s="5"/>
      <c r="ABJ27" s="6"/>
      <c r="ABK27" s="4"/>
      <c r="ABL27" s="4"/>
      <c r="ABM27" s="4"/>
      <c r="ABN27" s="4"/>
      <c r="ABO27" s="4"/>
      <c r="ABP27" s="5"/>
      <c r="ABQ27" s="6"/>
      <c r="ABR27" s="4"/>
      <c r="ABS27" s="4"/>
      <c r="ABT27" s="4"/>
      <c r="ABU27" s="4"/>
      <c r="ABV27" s="4"/>
      <c r="ABW27" s="5"/>
      <c r="ABX27" s="6"/>
      <c r="ABY27" s="4"/>
      <c r="ABZ27" s="4"/>
      <c r="ACA27" s="4"/>
      <c r="ACB27" s="4"/>
      <c r="ACC27" s="4"/>
      <c r="ACD27" s="5"/>
      <c r="ACE27" s="6"/>
      <c r="ACF27" s="4"/>
      <c r="ACG27" s="4"/>
      <c r="ACH27" s="4"/>
      <c r="ACI27" s="4"/>
      <c r="ACJ27" s="4"/>
      <c r="ACK27" s="5"/>
      <c r="ACL27" s="6"/>
      <c r="ACM27" s="4"/>
      <c r="ACN27" s="4"/>
      <c r="ACO27" s="4"/>
      <c r="ACP27" s="4"/>
      <c r="ACQ27" s="4"/>
      <c r="ACR27" s="5"/>
      <c r="ACS27" s="6"/>
      <c r="ACT27" s="4"/>
      <c r="ACU27" s="4"/>
      <c r="ACV27" s="4"/>
      <c r="ACW27" s="4"/>
      <c r="ACX27" s="4"/>
      <c r="ACY27" s="5"/>
    </row>
    <row r="28" spans="2:779" x14ac:dyDescent="0.25">
      <c r="B28" s="30">
        <v>91010587</v>
      </c>
      <c r="C28">
        <v>79</v>
      </c>
      <c r="D28" t="s">
        <v>2121</v>
      </c>
      <c r="F28" s="23">
        <v>0</v>
      </c>
      <c r="I28">
        <v>1</v>
      </c>
      <c r="J28" s="19">
        <v>33002</v>
      </c>
      <c r="K28" s="19"/>
      <c r="L28" s="19"/>
      <c r="LL28" s="6"/>
      <c r="LM28" s="4"/>
      <c r="LN28" s="4"/>
      <c r="LO28" s="4"/>
      <c r="LP28" s="4"/>
      <c r="LQ28" s="4"/>
      <c r="LR28" s="5"/>
      <c r="LS28" s="6"/>
      <c r="LT28" s="4"/>
      <c r="LU28" s="4"/>
      <c r="LV28" s="4"/>
      <c r="LW28" s="4"/>
      <c r="LX28" s="4"/>
      <c r="LY28" s="5"/>
      <c r="LZ28" s="6" t="s">
        <v>2469</v>
      </c>
      <c r="MA28" s="7" t="s">
        <v>2693</v>
      </c>
      <c r="MB28" s="7" t="s">
        <v>2470</v>
      </c>
      <c r="MC28" s="7" t="s">
        <v>2702</v>
      </c>
      <c r="MD28" s="8">
        <v>33001</v>
      </c>
      <c r="ME28" s="8">
        <v>33002</v>
      </c>
      <c r="MF28" s="8"/>
      <c r="MG28" s="5"/>
      <c r="MH28" s="6"/>
      <c r="MI28" s="4"/>
      <c r="MJ28" s="4"/>
      <c r="MK28" s="4"/>
      <c r="ML28" s="4"/>
      <c r="MM28" s="4"/>
      <c r="MN28" s="5"/>
      <c r="MO28" s="6"/>
      <c r="MP28" s="4"/>
      <c r="MQ28" s="4"/>
      <c r="MR28" s="4"/>
      <c r="MS28" s="4"/>
      <c r="MT28" s="4"/>
      <c r="MU28" s="5"/>
      <c r="MV28" s="6"/>
      <c r="MW28" s="4"/>
      <c r="MX28" s="4"/>
      <c r="MY28" s="4"/>
      <c r="MZ28" s="4"/>
      <c r="NA28" s="4"/>
      <c r="NB28" s="5"/>
      <c r="NC28" s="6" t="s">
        <v>2495</v>
      </c>
      <c r="ND28" s="4" t="s">
        <v>2699</v>
      </c>
      <c r="NE28" s="4" t="s">
        <v>2470</v>
      </c>
      <c r="NF28" s="7" t="s">
        <v>2702</v>
      </c>
      <c r="NG28" s="8">
        <v>33001</v>
      </c>
      <c r="NH28" s="8">
        <v>33002</v>
      </c>
      <c r="NI28" s="5"/>
      <c r="NJ28" s="6"/>
      <c r="NK28" s="4"/>
      <c r="NL28" s="4"/>
      <c r="NM28" s="4"/>
      <c r="NN28" s="4"/>
      <c r="NO28" s="4"/>
      <c r="NP28" s="5"/>
      <c r="NQ28" s="6"/>
      <c r="NR28" s="4"/>
      <c r="NS28" s="4"/>
      <c r="NT28" s="4"/>
      <c r="NU28" s="4"/>
      <c r="NV28" s="4"/>
      <c r="NW28" s="5"/>
      <c r="NX28" s="6"/>
      <c r="NY28" s="4"/>
      <c r="NZ28" s="4"/>
      <c r="OA28" s="4"/>
      <c r="OB28" s="4"/>
      <c r="OC28" s="4"/>
      <c r="OD28" s="5"/>
      <c r="OE28" s="6"/>
      <c r="OF28" s="4"/>
      <c r="OG28" s="4"/>
      <c r="OH28" s="4"/>
      <c r="OI28" s="4"/>
      <c r="OJ28" s="4"/>
      <c r="OK28" s="5"/>
      <c r="OL28" s="6"/>
      <c r="OM28" s="4"/>
      <c r="ON28" s="4"/>
      <c r="OO28" s="4"/>
      <c r="OP28" s="4"/>
      <c r="OQ28" s="4"/>
      <c r="OR28" s="5"/>
      <c r="OS28" s="6"/>
      <c r="OT28" s="4"/>
      <c r="OU28" s="4"/>
      <c r="OV28" s="4"/>
      <c r="OW28" s="4"/>
      <c r="OX28" s="4"/>
      <c r="OY28" s="5"/>
      <c r="OZ28" s="6"/>
      <c r="PA28" s="4"/>
      <c r="PB28" s="4"/>
      <c r="PC28" s="4"/>
      <c r="PD28" s="4"/>
      <c r="PE28" s="4"/>
      <c r="PF28" s="5"/>
      <c r="PG28" s="6"/>
      <c r="PH28" s="4"/>
      <c r="PI28" s="4"/>
      <c r="PJ28" s="4"/>
      <c r="PK28" s="4"/>
      <c r="PL28" s="4"/>
      <c r="PM28" s="5"/>
      <c r="PN28" s="6"/>
      <c r="PO28" s="4"/>
      <c r="PP28" s="4"/>
      <c r="PQ28" s="4"/>
      <c r="PR28" s="4"/>
      <c r="PS28" s="4"/>
      <c r="PT28" s="5"/>
      <c r="PU28" s="6"/>
      <c r="PV28" s="4"/>
      <c r="PW28" s="4"/>
      <c r="PX28" s="4"/>
      <c r="PY28" s="4"/>
      <c r="PZ28" s="4"/>
      <c r="QA28" s="5"/>
      <c r="QB28" s="6"/>
      <c r="QC28" s="4"/>
      <c r="QD28" s="4"/>
      <c r="QE28" s="4"/>
      <c r="QF28" s="4"/>
      <c r="QG28" s="4"/>
      <c r="QH28" s="5"/>
      <c r="QI28" s="6"/>
      <c r="QJ28" s="4"/>
      <c r="QK28" s="4"/>
      <c r="QL28" s="4"/>
      <c r="QM28" s="4"/>
      <c r="QN28" s="4"/>
      <c r="QO28" s="5"/>
      <c r="QP28" s="6"/>
      <c r="QQ28" s="4"/>
      <c r="QR28" s="4"/>
      <c r="QS28" s="4"/>
      <c r="QT28" s="4"/>
      <c r="QU28" s="4"/>
      <c r="QV28" s="5"/>
      <c r="QW28" s="6"/>
      <c r="QX28" s="4"/>
      <c r="QY28" s="4"/>
      <c r="QZ28" s="4"/>
      <c r="RA28" s="4"/>
      <c r="RB28" s="4"/>
      <c r="RC28" s="5"/>
      <c r="RD28" s="6"/>
      <c r="RE28" s="4"/>
      <c r="RF28" s="4"/>
      <c r="RG28" s="4"/>
      <c r="RH28" s="4"/>
      <c r="RI28" s="4"/>
      <c r="RJ28" s="5"/>
      <c r="RK28" s="6"/>
      <c r="RL28" s="4"/>
      <c r="RM28" s="4"/>
      <c r="RN28" s="4"/>
      <c r="RO28" s="4"/>
      <c r="RP28" s="4"/>
      <c r="RQ28" s="5"/>
      <c r="RR28" s="6"/>
      <c r="RS28" s="4"/>
      <c r="RT28" s="4"/>
      <c r="RU28" s="4"/>
      <c r="RV28" s="4"/>
      <c r="RW28" s="4"/>
      <c r="RX28" s="5"/>
      <c r="RY28" s="6"/>
      <c r="RZ28" s="4"/>
      <c r="SA28" s="4"/>
      <c r="SB28" s="4"/>
      <c r="SC28" s="4"/>
      <c r="SD28" s="4"/>
      <c r="SE28" s="5"/>
      <c r="SF28" s="6"/>
      <c r="SG28" s="4"/>
      <c r="SH28" s="4"/>
      <c r="SI28" s="4"/>
      <c r="SJ28" s="4"/>
      <c r="SK28" s="4"/>
      <c r="SL28" s="5"/>
      <c r="SM28" s="6"/>
      <c r="SN28" s="4"/>
      <c r="SO28" s="4"/>
      <c r="SP28" s="4"/>
      <c r="SQ28" s="4"/>
      <c r="SR28" s="4"/>
      <c r="SS28" s="5"/>
      <c r="ST28" s="6"/>
      <c r="SU28" s="4"/>
      <c r="SV28" s="4"/>
      <c r="SW28" s="4"/>
      <c r="SX28" s="4"/>
      <c r="SY28" s="4"/>
      <c r="SZ28" s="5"/>
      <c r="TA28" s="6"/>
      <c r="TB28" s="4"/>
      <c r="TC28" s="4"/>
      <c r="TD28" s="4"/>
      <c r="TE28" s="4"/>
      <c r="TF28" s="4"/>
      <c r="TG28" s="5"/>
      <c r="TH28" s="6"/>
      <c r="TI28" s="4"/>
      <c r="TJ28" s="4"/>
      <c r="TK28" s="4"/>
      <c r="TL28" s="4"/>
      <c r="TM28" s="4"/>
      <c r="TN28" s="5"/>
      <c r="TO28" s="6"/>
      <c r="TP28" s="4"/>
      <c r="TQ28" s="4"/>
      <c r="TR28" s="4"/>
      <c r="TS28" s="4"/>
      <c r="TT28" s="4"/>
      <c r="TU28" s="5"/>
      <c r="TV28" s="6" t="s">
        <v>2701</v>
      </c>
      <c r="TW28" s="4" t="s">
        <v>2584</v>
      </c>
      <c r="TX28" s="4" t="s">
        <v>2494</v>
      </c>
      <c r="TY28" s="4"/>
      <c r="TZ28" s="4"/>
      <c r="UA28" s="8">
        <v>33003</v>
      </c>
      <c r="UB28" s="5"/>
      <c r="UC28" s="6" t="s">
        <v>2095</v>
      </c>
      <c r="UD28" s="4" t="s">
        <v>2013</v>
      </c>
      <c r="UE28" s="4" t="s">
        <v>2111</v>
      </c>
      <c r="UF28" s="4"/>
      <c r="UG28" s="4"/>
      <c r="UH28" s="8">
        <v>33003</v>
      </c>
      <c r="UI28" s="5"/>
      <c r="UJ28" s="6"/>
      <c r="UK28" s="4"/>
      <c r="UL28" s="4"/>
      <c r="UM28" s="4"/>
      <c r="UN28" s="4"/>
      <c r="UO28" s="4"/>
      <c r="UP28" s="5"/>
      <c r="UQ28" s="6"/>
      <c r="UR28" s="4"/>
      <c r="US28" s="4"/>
      <c r="UT28" s="4"/>
      <c r="UU28" s="4"/>
      <c r="UV28" s="4"/>
      <c r="UW28" s="5"/>
      <c r="UX28" s="6"/>
      <c r="UY28" s="4"/>
      <c r="UZ28" s="4"/>
      <c r="VA28" s="4"/>
      <c r="VB28" s="4"/>
      <c r="VC28" s="4"/>
      <c r="VD28" s="5"/>
      <c r="VE28" s="6"/>
      <c r="VF28" s="4"/>
      <c r="VG28" s="4"/>
      <c r="VH28" s="4"/>
      <c r="VI28" s="4"/>
      <c r="VJ28" s="4"/>
      <c r="VK28" s="5"/>
      <c r="VL28" s="6"/>
      <c r="VM28" s="4"/>
      <c r="VN28" s="4"/>
      <c r="VO28" s="4"/>
      <c r="VP28" s="4"/>
      <c r="VQ28" s="4"/>
      <c r="VR28" s="5"/>
      <c r="VS28" s="6"/>
      <c r="VT28" s="4"/>
      <c r="VU28" s="4"/>
      <c r="VV28" s="4"/>
      <c r="VW28" s="4"/>
      <c r="VX28" s="4"/>
      <c r="VY28" s="5"/>
      <c r="VZ28" s="6"/>
      <c r="WA28" s="4"/>
      <c r="WB28" s="4"/>
      <c r="WC28" s="4"/>
      <c r="WD28" s="4"/>
      <c r="WE28" s="4"/>
      <c r="WF28" s="5"/>
      <c r="WG28" s="6"/>
      <c r="WH28" s="4"/>
      <c r="WI28" s="4"/>
      <c r="WJ28" s="4"/>
      <c r="WK28" s="4"/>
      <c r="WL28" s="4"/>
      <c r="WM28" s="5"/>
      <c r="WN28" s="6"/>
      <c r="WO28" s="4"/>
      <c r="WP28" s="4"/>
      <c r="WQ28" s="4"/>
      <c r="WR28" s="4"/>
      <c r="WS28" s="4"/>
      <c r="WT28" s="5"/>
      <c r="WU28" s="6"/>
      <c r="WV28" s="4"/>
      <c r="WW28" s="4"/>
      <c r="WX28" s="4"/>
      <c r="WY28" s="4"/>
      <c r="WZ28" s="4"/>
      <c r="XA28" s="5"/>
      <c r="XB28" s="6"/>
      <c r="XC28" s="4"/>
      <c r="XD28" s="4"/>
      <c r="XE28" s="4"/>
      <c r="XF28" s="4"/>
      <c r="XG28" s="4"/>
      <c r="XH28" s="5"/>
      <c r="XI28" s="6"/>
      <c r="XJ28" s="4"/>
      <c r="XK28" s="4"/>
      <c r="XL28" s="4"/>
      <c r="XM28" s="4"/>
      <c r="XN28" s="4"/>
      <c r="XO28" s="5"/>
      <c r="XP28" s="6"/>
      <c r="XQ28" s="4"/>
      <c r="XR28" s="4"/>
      <c r="XS28" s="4"/>
      <c r="XT28" s="4"/>
      <c r="XU28" s="4"/>
      <c r="XV28" s="5"/>
      <c r="XW28" s="6"/>
      <c r="XX28" s="4"/>
      <c r="XY28" s="4"/>
      <c r="XZ28" s="4"/>
      <c r="YA28" s="4"/>
      <c r="YB28" s="4"/>
      <c r="YC28" s="5"/>
      <c r="YD28" s="6"/>
      <c r="YE28" s="4"/>
      <c r="YF28" s="4"/>
      <c r="YG28" s="4"/>
      <c r="YH28" s="4"/>
      <c r="YI28" s="4"/>
      <c r="YJ28" s="5"/>
      <c r="YK28" s="6" t="s">
        <v>2338</v>
      </c>
      <c r="YL28" s="4" t="s">
        <v>2892</v>
      </c>
      <c r="YM28" s="4" t="s">
        <v>2429</v>
      </c>
      <c r="YN28" s="4"/>
      <c r="YP28" s="8">
        <v>33003</v>
      </c>
      <c r="YQ28" s="5" t="s">
        <v>2491</v>
      </c>
      <c r="YR28" s="6"/>
      <c r="YS28" s="4"/>
      <c r="YT28" s="4"/>
      <c r="YU28" s="4"/>
      <c r="YV28" s="4"/>
      <c r="YW28" s="4"/>
      <c r="YX28" s="5"/>
      <c r="YY28" s="6"/>
      <c r="YZ28" s="4"/>
      <c r="ZA28" s="4"/>
      <c r="ZB28" s="4"/>
      <c r="ZC28" s="4"/>
      <c r="ZD28" s="4"/>
      <c r="ZE28" s="5"/>
      <c r="ZF28" s="6"/>
      <c r="ZG28" s="4"/>
      <c r="ZH28" s="4"/>
      <c r="ZI28" s="4"/>
      <c r="ZJ28" s="4"/>
      <c r="ZK28" s="4"/>
      <c r="ZL28" s="5"/>
      <c r="ZM28" s="6"/>
      <c r="ZN28" s="4"/>
      <c r="ZO28" s="4"/>
      <c r="ZP28" s="4"/>
      <c r="ZQ28" s="4"/>
      <c r="ZR28" s="4"/>
      <c r="ZS28" s="5"/>
      <c r="ZT28" s="6"/>
      <c r="ZU28" s="4"/>
      <c r="ZV28" s="4"/>
      <c r="ZW28" s="4"/>
      <c r="ZX28" s="4"/>
      <c r="ZY28" s="4"/>
      <c r="ZZ28" s="5"/>
      <c r="AAA28" s="6"/>
      <c r="AAB28" s="4"/>
      <c r="AAC28" s="4"/>
      <c r="AAD28" s="4"/>
      <c r="AAE28" s="4"/>
      <c r="AAF28" s="4"/>
      <c r="AAG28" s="5"/>
      <c r="AAH28" s="6"/>
      <c r="AAI28" s="4"/>
      <c r="AAJ28" s="4"/>
      <c r="AAK28" s="4"/>
      <c r="AAL28" s="4"/>
      <c r="AAM28" s="4"/>
      <c r="AAN28" s="5"/>
      <c r="AAO28" s="6"/>
      <c r="AAP28" s="4"/>
      <c r="AAQ28" s="4"/>
      <c r="AAR28" s="4"/>
      <c r="AAS28" s="4"/>
      <c r="AAT28" s="4"/>
      <c r="AAU28" s="5"/>
      <c r="AAV28" s="6"/>
      <c r="AAW28" s="4"/>
      <c r="AAX28" s="4"/>
      <c r="AAY28" s="4"/>
      <c r="AAZ28" s="4"/>
      <c r="ABA28" s="4"/>
      <c r="ABB28" s="5"/>
      <c r="ABC28" s="6"/>
      <c r="ABD28" s="4"/>
      <c r="ABE28" s="4"/>
      <c r="ABF28" s="4"/>
      <c r="ABG28" s="4"/>
      <c r="ABH28" s="4"/>
      <c r="ABI28" s="5"/>
      <c r="ABJ28" s="6"/>
      <c r="ABK28" s="4"/>
      <c r="ABL28" s="4"/>
      <c r="ABM28" s="4"/>
      <c r="ABN28" s="4"/>
      <c r="ABO28" s="4"/>
      <c r="ABP28" s="5"/>
      <c r="ABQ28" s="6"/>
      <c r="ABR28" s="4"/>
      <c r="ABS28" s="4"/>
      <c r="ABT28" s="4"/>
      <c r="ABU28" s="4"/>
      <c r="ABV28" s="4"/>
      <c r="ABW28" s="5"/>
      <c r="ABX28" s="6"/>
      <c r="ABY28" s="4"/>
      <c r="ABZ28" s="4"/>
      <c r="ACA28" s="4"/>
      <c r="ACB28" s="4"/>
      <c r="ACC28" s="4"/>
      <c r="ACD28" s="5"/>
      <c r="ACE28" s="6"/>
      <c r="ACF28" s="4"/>
      <c r="ACG28" s="4"/>
      <c r="ACH28" s="4"/>
      <c r="ACI28" s="4"/>
      <c r="ACJ28" s="4"/>
      <c r="ACK28" s="5"/>
      <c r="ACL28" s="6" t="s">
        <v>2492</v>
      </c>
      <c r="ACM28" s="4" t="s">
        <v>2493</v>
      </c>
      <c r="ACN28" s="4" t="s">
        <v>2494</v>
      </c>
      <c r="ACO28" s="4"/>
      <c r="ACP28" s="4"/>
      <c r="ACQ28" s="8">
        <v>33003</v>
      </c>
      <c r="ACR28" s="5"/>
      <c r="ACS28" s="6"/>
      <c r="ACT28" s="4"/>
      <c r="ACU28" s="4"/>
      <c r="ACV28" s="4"/>
      <c r="ACW28" s="4"/>
      <c r="ACX28" s="4"/>
      <c r="ACY28" s="5"/>
    </row>
    <row r="29" spans="2:779" x14ac:dyDescent="0.25">
      <c r="B29" s="30">
        <v>91010598</v>
      </c>
      <c r="C29">
        <v>42</v>
      </c>
      <c r="D29" t="s">
        <v>2121</v>
      </c>
      <c r="F29" s="23">
        <v>0</v>
      </c>
      <c r="I29">
        <v>1</v>
      </c>
      <c r="J29" s="19">
        <v>33191</v>
      </c>
      <c r="K29" s="19"/>
      <c r="L29" s="19"/>
      <c r="LL29" s="6"/>
      <c r="LM29" s="4"/>
      <c r="LN29" s="4"/>
      <c r="LO29" s="4"/>
      <c r="LP29" s="4"/>
      <c r="LQ29" s="4"/>
      <c r="LR29" s="5"/>
      <c r="LS29" s="6"/>
      <c r="LT29" s="4"/>
      <c r="LU29" s="4"/>
      <c r="LV29" s="4"/>
      <c r="LW29" s="4"/>
      <c r="LX29" s="4"/>
      <c r="LY29" s="5"/>
      <c r="LZ29" s="6" t="s">
        <v>2753</v>
      </c>
      <c r="MA29" s="7" t="s">
        <v>2234</v>
      </c>
      <c r="MB29" s="4"/>
      <c r="MC29" s="4"/>
      <c r="MD29" s="8"/>
      <c r="ME29" s="8">
        <v>33189</v>
      </c>
      <c r="MF29" s="8"/>
      <c r="MG29" s="5"/>
      <c r="MH29" s="6"/>
      <c r="MI29" s="4"/>
      <c r="MJ29" s="4"/>
      <c r="MK29" s="4"/>
      <c r="ML29" s="4"/>
      <c r="MM29" s="4"/>
      <c r="MN29" s="5"/>
      <c r="MO29" s="6"/>
      <c r="MP29" s="4"/>
      <c r="MQ29" s="4"/>
      <c r="MR29" s="4"/>
      <c r="MS29" s="4"/>
      <c r="MT29" s="4"/>
      <c r="MU29" s="5"/>
      <c r="MV29" s="6" t="s">
        <v>2769</v>
      </c>
      <c r="MW29" s="4" t="s">
        <v>2769</v>
      </c>
      <c r="MX29" s="4"/>
      <c r="MY29" s="4"/>
      <c r="MZ29" s="4"/>
      <c r="NA29" s="8">
        <v>33189</v>
      </c>
      <c r="NB29" s="5"/>
      <c r="NC29" s="6"/>
      <c r="ND29" s="4"/>
      <c r="NE29" s="4"/>
      <c r="NF29" s="4"/>
      <c r="NG29" s="4"/>
      <c r="NH29" s="4"/>
      <c r="NI29" s="5"/>
      <c r="NJ29" s="6"/>
      <c r="NK29" s="4"/>
      <c r="NL29" s="4"/>
      <c r="NM29" s="4"/>
      <c r="NN29" s="4"/>
      <c r="NO29" s="4"/>
      <c r="NP29" s="5"/>
      <c r="NQ29" s="6"/>
      <c r="NR29" s="4"/>
      <c r="NS29" s="4"/>
      <c r="NT29" s="4"/>
      <c r="NU29" s="4"/>
      <c r="NV29" s="4"/>
      <c r="NW29" s="5"/>
      <c r="NX29" s="6"/>
      <c r="NY29" s="4"/>
      <c r="NZ29" s="4"/>
      <c r="OA29" s="4"/>
      <c r="OB29" s="4"/>
      <c r="OC29" s="4"/>
      <c r="OD29" s="5"/>
      <c r="OE29" s="6"/>
      <c r="OF29" s="4"/>
      <c r="OG29" s="4"/>
      <c r="OH29" s="4"/>
      <c r="OI29" s="4"/>
      <c r="OJ29" s="4"/>
      <c r="OK29" s="5"/>
      <c r="OL29" s="6"/>
      <c r="OM29" s="4"/>
      <c r="ON29" s="4"/>
      <c r="OO29" s="4"/>
      <c r="OP29" s="4"/>
      <c r="OQ29" s="4"/>
      <c r="OR29" s="5"/>
      <c r="OS29" s="6"/>
      <c r="OT29" s="4"/>
      <c r="OU29" s="4"/>
      <c r="OV29" s="4"/>
      <c r="OW29" s="4"/>
      <c r="OX29" s="4"/>
      <c r="OY29" s="5"/>
      <c r="OZ29" s="6"/>
      <c r="PA29" s="4"/>
      <c r="PB29" s="4"/>
      <c r="PC29" s="4"/>
      <c r="PD29" s="4"/>
      <c r="PE29" s="4"/>
      <c r="PF29" s="5"/>
      <c r="PG29" s="6"/>
      <c r="PH29" s="4"/>
      <c r="PI29" s="4"/>
      <c r="PJ29" s="4"/>
      <c r="PK29" s="4"/>
      <c r="PL29" s="4"/>
      <c r="PM29" s="5"/>
      <c r="PN29" s="6"/>
      <c r="PO29" s="4"/>
      <c r="PP29" s="4"/>
      <c r="PQ29" s="4"/>
      <c r="PR29" s="4"/>
      <c r="PS29" s="4"/>
      <c r="PT29" s="5"/>
      <c r="PU29" s="6" t="s">
        <v>2906</v>
      </c>
      <c r="PV29" s="4" t="s">
        <v>2907</v>
      </c>
      <c r="PW29" s="4"/>
      <c r="PX29" s="4"/>
      <c r="PY29" s="4"/>
      <c r="PZ29" s="8">
        <v>33189</v>
      </c>
      <c r="QA29" s="5"/>
      <c r="QB29" s="6"/>
      <c r="QC29" s="4"/>
      <c r="QD29" s="4"/>
      <c r="QE29" s="4"/>
      <c r="QF29" s="4"/>
      <c r="QG29" s="4"/>
      <c r="QH29" s="5"/>
      <c r="QI29" s="6"/>
      <c r="QJ29" s="4"/>
      <c r="QK29" s="4"/>
      <c r="QL29" s="4"/>
      <c r="QM29" s="4"/>
      <c r="QN29" s="4"/>
      <c r="QO29" s="5"/>
      <c r="QP29" s="6"/>
      <c r="QQ29" s="4"/>
      <c r="QR29" s="4"/>
      <c r="QS29" s="4"/>
      <c r="QT29" s="4"/>
      <c r="QU29" s="4"/>
      <c r="QV29" s="5"/>
      <c r="QW29" s="6"/>
      <c r="QX29" s="4"/>
      <c r="QY29" s="4"/>
      <c r="QZ29" s="4"/>
      <c r="RA29" s="4"/>
      <c r="RB29" s="4"/>
      <c r="RC29" s="5"/>
      <c r="RD29" s="6"/>
      <c r="RE29" s="4"/>
      <c r="RF29" s="4"/>
      <c r="RG29" s="4"/>
      <c r="RH29" s="4"/>
      <c r="RI29" s="4"/>
      <c r="RJ29" s="5"/>
      <c r="RK29" s="6"/>
      <c r="RL29" s="4"/>
      <c r="RM29" s="4"/>
      <c r="RN29" s="4"/>
      <c r="RO29" s="4"/>
      <c r="RP29" s="4"/>
      <c r="RQ29" s="5"/>
      <c r="RR29" s="6"/>
      <c r="RS29" s="4"/>
      <c r="RT29" s="4"/>
      <c r="RU29" s="4"/>
      <c r="RV29" s="4"/>
      <c r="RW29" s="4"/>
      <c r="RX29" s="5"/>
      <c r="RY29" s="6"/>
      <c r="RZ29" s="4"/>
      <c r="SA29" s="4"/>
      <c r="SB29" s="4"/>
      <c r="SC29" s="4"/>
      <c r="SD29" s="4"/>
      <c r="SE29" s="5"/>
      <c r="SF29" s="6"/>
      <c r="SG29" s="4"/>
      <c r="SH29" s="4"/>
      <c r="SI29" s="4"/>
      <c r="SJ29" s="4"/>
      <c r="SK29" s="4"/>
      <c r="SL29" s="5"/>
      <c r="SM29" s="6"/>
      <c r="SN29" s="4"/>
      <c r="SO29" s="4"/>
      <c r="SP29" s="4"/>
      <c r="SQ29" s="4"/>
      <c r="SR29" s="4"/>
      <c r="SS29" s="5"/>
      <c r="ST29" s="6"/>
      <c r="SU29" s="4"/>
      <c r="SV29" s="4"/>
      <c r="SW29" s="4"/>
      <c r="SX29" s="4"/>
      <c r="SY29" s="4"/>
      <c r="SZ29" s="5"/>
      <c r="TA29" s="6"/>
      <c r="TB29" s="4"/>
      <c r="TC29" s="4"/>
      <c r="TD29" s="4"/>
      <c r="TE29" s="4"/>
      <c r="TF29" s="4"/>
      <c r="TG29" s="5"/>
      <c r="TH29" s="6"/>
      <c r="TI29" s="4"/>
      <c r="TJ29" s="4"/>
      <c r="TK29" s="4"/>
      <c r="TL29" s="4"/>
      <c r="TM29" s="4"/>
      <c r="TN29" s="5"/>
      <c r="TO29" s="6" t="s">
        <v>2200</v>
      </c>
      <c r="TP29" s="4" t="s">
        <v>2201</v>
      </c>
      <c r="TQ29" s="4" t="s">
        <v>2202</v>
      </c>
      <c r="TR29" s="4"/>
      <c r="TS29" s="4"/>
      <c r="TT29" s="8">
        <v>33197</v>
      </c>
      <c r="TU29" s="5"/>
      <c r="TV29" s="6"/>
      <c r="TW29" s="4"/>
      <c r="TX29" s="4"/>
      <c r="TY29" s="4"/>
      <c r="TZ29" s="4"/>
      <c r="UA29" s="4"/>
      <c r="UB29" s="5"/>
      <c r="UC29" s="6" t="s">
        <v>2095</v>
      </c>
      <c r="UD29" s="4" t="s">
        <v>2013</v>
      </c>
      <c r="UE29" s="4" t="s">
        <v>2504</v>
      </c>
      <c r="UF29" s="4"/>
      <c r="UG29" s="4"/>
      <c r="UH29" s="8">
        <v>33197</v>
      </c>
      <c r="UI29" s="5"/>
      <c r="UJ29" s="6"/>
      <c r="UK29" s="4"/>
      <c r="UL29" s="4"/>
      <c r="UM29" s="4"/>
      <c r="UN29" s="4"/>
      <c r="UO29" s="4"/>
      <c r="UP29" s="5"/>
      <c r="UQ29" s="6"/>
      <c r="UR29" s="4"/>
      <c r="US29" s="4"/>
      <c r="UT29" s="4"/>
      <c r="UU29" s="4"/>
      <c r="UV29" s="4"/>
      <c r="UW29" s="5"/>
      <c r="UX29" s="6" t="s">
        <v>2377</v>
      </c>
      <c r="UY29" s="4" t="s">
        <v>2767</v>
      </c>
      <c r="UZ29" s="4" t="s">
        <v>2470</v>
      </c>
      <c r="VA29" s="4"/>
      <c r="VB29" s="4"/>
      <c r="VC29" s="8">
        <v>33197</v>
      </c>
      <c r="VD29" s="5"/>
      <c r="VE29" s="6"/>
      <c r="VF29" s="4"/>
      <c r="VG29" s="4"/>
      <c r="VH29" s="4"/>
      <c r="VI29" s="4"/>
      <c r="VJ29" s="4"/>
      <c r="VK29" s="5"/>
      <c r="VL29" s="6" t="s">
        <v>2757</v>
      </c>
      <c r="VM29" s="4" t="s">
        <v>2754</v>
      </c>
      <c r="VN29" s="4" t="s">
        <v>2755</v>
      </c>
      <c r="VO29" s="7" t="s">
        <v>2756</v>
      </c>
      <c r="VP29" s="8">
        <v>33190</v>
      </c>
      <c r="VQ29" s="8">
        <v>33197</v>
      </c>
      <c r="VR29" s="5"/>
      <c r="VS29" s="6"/>
      <c r="VT29" s="4"/>
      <c r="VU29" s="4"/>
      <c r="VV29" s="4"/>
      <c r="VW29" s="4"/>
      <c r="VX29" s="4"/>
      <c r="VY29" s="5"/>
      <c r="VZ29" s="6"/>
      <c r="WA29" s="4"/>
      <c r="WB29" s="4"/>
      <c r="WC29" s="4"/>
      <c r="WD29" s="4"/>
      <c r="WE29" s="4"/>
      <c r="WF29" s="5"/>
      <c r="WG29" s="6"/>
      <c r="WH29" s="4"/>
      <c r="WI29" s="4"/>
      <c r="WJ29" s="4"/>
      <c r="WK29" s="4"/>
      <c r="WL29" s="4"/>
      <c r="WM29" s="5"/>
      <c r="WN29" s="6"/>
      <c r="WO29" s="4"/>
      <c r="WP29" s="4"/>
      <c r="WQ29" s="4"/>
      <c r="WR29" s="4"/>
      <c r="WS29" s="4"/>
      <c r="WT29" s="5"/>
      <c r="WU29" s="6"/>
      <c r="WV29" s="4"/>
      <c r="WW29" s="4"/>
      <c r="WX29" s="4"/>
      <c r="WY29" s="4"/>
      <c r="WZ29" s="4"/>
      <c r="XA29" s="5"/>
      <c r="XB29" s="6"/>
      <c r="XC29" s="4"/>
      <c r="XD29" s="4"/>
      <c r="XE29" s="4"/>
      <c r="XF29" s="4"/>
      <c r="XG29" s="4"/>
      <c r="XH29" s="5"/>
      <c r="XI29" s="6"/>
      <c r="XJ29" s="4"/>
      <c r="XK29" s="4"/>
      <c r="XL29" s="4"/>
      <c r="XM29" s="4"/>
      <c r="XN29" s="4"/>
      <c r="XO29" s="5"/>
      <c r="XP29" s="6"/>
      <c r="XQ29" s="4"/>
      <c r="XR29" s="4"/>
      <c r="XS29" s="4"/>
      <c r="XT29" s="4"/>
      <c r="XU29" s="4"/>
      <c r="XV29" s="5"/>
      <c r="XW29" s="6"/>
      <c r="XX29" s="4"/>
      <c r="XY29" s="4"/>
      <c r="XZ29" s="4"/>
      <c r="YA29" s="4"/>
      <c r="YB29" s="4"/>
      <c r="YC29" s="5"/>
      <c r="YD29" s="6"/>
      <c r="YE29" s="4"/>
      <c r="YF29" s="4"/>
      <c r="YG29" s="4"/>
      <c r="YH29" s="4"/>
      <c r="YI29" s="4"/>
      <c r="YJ29" s="5"/>
      <c r="YK29" s="6"/>
      <c r="YL29" s="4"/>
      <c r="YM29" s="4"/>
      <c r="YN29" s="4"/>
      <c r="YO29" s="4"/>
      <c r="YP29" s="4"/>
      <c r="YQ29" s="5"/>
      <c r="YR29" s="6" t="s">
        <v>2537</v>
      </c>
      <c r="YS29" s="4" t="s">
        <v>2538</v>
      </c>
      <c r="YT29" s="4"/>
      <c r="YU29" s="4"/>
      <c r="YV29" s="4"/>
      <c r="YW29" s="8">
        <v>33189</v>
      </c>
      <c r="YX29" s="5"/>
      <c r="YY29" s="6"/>
      <c r="YZ29" s="4"/>
      <c r="ZA29" s="4"/>
      <c r="ZB29" s="4"/>
      <c r="ZC29" s="4"/>
      <c r="ZD29" s="4"/>
      <c r="ZE29" s="5"/>
      <c r="ZF29" s="6"/>
      <c r="ZG29" s="4"/>
      <c r="ZH29" s="4"/>
      <c r="ZI29" s="4"/>
      <c r="ZJ29" s="4"/>
      <c r="ZK29" s="4"/>
      <c r="ZL29" s="5"/>
      <c r="ZM29" s="6"/>
      <c r="ZN29" s="4"/>
      <c r="ZO29" s="4"/>
      <c r="ZP29" s="4"/>
      <c r="ZQ29" s="4"/>
      <c r="ZR29" s="4"/>
      <c r="ZS29" s="5"/>
      <c r="ZT29" s="6"/>
      <c r="ZU29" s="4"/>
      <c r="ZV29" s="4"/>
      <c r="ZW29" s="4"/>
      <c r="ZX29" s="4"/>
      <c r="ZY29" s="4"/>
      <c r="ZZ29" s="5"/>
      <c r="AAA29" s="6"/>
      <c r="AAB29" s="4"/>
      <c r="AAC29" s="4"/>
      <c r="AAD29" s="4"/>
      <c r="AAE29" s="4"/>
      <c r="AAF29" s="4"/>
      <c r="AAG29" s="5"/>
      <c r="AAH29" s="6" t="s">
        <v>2283</v>
      </c>
      <c r="AAI29" s="4" t="s">
        <v>2355</v>
      </c>
      <c r="AAJ29" s="4" t="s">
        <v>2356</v>
      </c>
      <c r="AAK29" s="4"/>
      <c r="AAL29" s="4"/>
      <c r="AAM29" s="8">
        <v>33189</v>
      </c>
      <c r="AAN29" s="5"/>
      <c r="AAO29" s="6"/>
      <c r="AAP29" s="4"/>
      <c r="AAQ29" s="4"/>
      <c r="AAR29" s="4"/>
      <c r="AAS29" s="4"/>
      <c r="AAT29" s="4"/>
      <c r="AAU29" s="5"/>
      <c r="AAV29" s="6"/>
      <c r="AAW29" s="4"/>
      <c r="AAX29" s="4"/>
      <c r="AAY29" s="4"/>
      <c r="AAZ29" s="4"/>
      <c r="ABA29" s="4"/>
      <c r="ABB29" s="5"/>
      <c r="ABC29" s="6"/>
      <c r="ABD29" s="4"/>
      <c r="ABE29" s="4"/>
      <c r="ABF29" s="4"/>
      <c r="ABG29" s="4"/>
      <c r="ABH29" s="4"/>
      <c r="ABI29" s="5"/>
      <c r="ABJ29" s="6"/>
      <c r="ABK29" s="4"/>
      <c r="ABL29" s="4"/>
      <c r="ABM29" s="4"/>
      <c r="ABN29" s="4"/>
      <c r="ABO29" s="4"/>
      <c r="ABP29" s="5"/>
      <c r="ABQ29" s="6" t="s">
        <v>2772</v>
      </c>
      <c r="ABR29" s="4" t="s">
        <v>2773</v>
      </c>
      <c r="ABS29" s="4" t="s">
        <v>2637</v>
      </c>
      <c r="ABT29" s="7"/>
      <c r="ABU29" s="4"/>
      <c r="ABV29" s="8">
        <v>33189</v>
      </c>
      <c r="ABW29" s="5"/>
      <c r="ABX29" s="6"/>
      <c r="ABY29" s="4"/>
      <c r="ABZ29" s="4"/>
      <c r="ACA29" s="4"/>
      <c r="ACB29" s="4"/>
      <c r="ACC29" s="4"/>
      <c r="ACD29" s="5"/>
      <c r="ACE29" s="6"/>
      <c r="ACF29" s="4"/>
      <c r="ACG29" s="4"/>
      <c r="ACH29" s="4"/>
      <c r="ACI29" s="4"/>
      <c r="ACJ29" s="4"/>
      <c r="ACK29" s="5"/>
      <c r="ACL29" s="6"/>
      <c r="ACM29" s="4"/>
      <c r="ACN29" s="4"/>
      <c r="ACO29" s="4"/>
      <c r="ACP29" s="4"/>
      <c r="ACQ29" s="4"/>
      <c r="ACR29" s="5"/>
      <c r="ACS29" s="6"/>
      <c r="ACT29" s="4"/>
      <c r="ACU29" s="4"/>
      <c r="ACV29" s="4"/>
      <c r="ACW29" s="4"/>
      <c r="ACX29" s="4"/>
      <c r="ACY29" s="5"/>
    </row>
    <row r="30" spans="2:779" x14ac:dyDescent="0.25">
      <c r="B30" s="30"/>
      <c r="J30" s="12"/>
      <c r="K30" s="12"/>
      <c r="L30" s="12"/>
      <c r="LL30" s="6"/>
      <c r="LM30" s="4"/>
      <c r="LN30" s="4"/>
      <c r="LO30" s="4"/>
      <c r="LP30" s="4"/>
      <c r="LQ30" s="4"/>
      <c r="LR30" s="5"/>
      <c r="LS30" s="6"/>
      <c r="LT30" s="4"/>
      <c r="LU30" s="4"/>
      <c r="LV30" s="4"/>
      <c r="LW30" s="4"/>
      <c r="LX30" s="4"/>
      <c r="LY30" s="5"/>
      <c r="LZ30" s="6" t="s">
        <v>2505</v>
      </c>
      <c r="MA30" s="7" t="s">
        <v>2506</v>
      </c>
      <c r="MB30" s="7" t="s">
        <v>2429</v>
      </c>
      <c r="MC30" s="4"/>
      <c r="MD30" s="8"/>
      <c r="ME30" s="8">
        <v>33197</v>
      </c>
      <c r="MF30" s="8"/>
      <c r="MG30" s="5" t="s">
        <v>2383</v>
      </c>
      <c r="MH30" s="6"/>
      <c r="MI30" s="4"/>
      <c r="MJ30" s="4"/>
      <c r="MK30" s="4"/>
      <c r="ML30" s="4"/>
      <c r="MM30" s="4"/>
      <c r="MN30" s="5"/>
      <c r="MO30" s="6"/>
      <c r="MP30" s="4"/>
      <c r="MQ30" s="4"/>
      <c r="MR30" s="4"/>
      <c r="MS30" s="4"/>
      <c r="MT30" s="4"/>
      <c r="MU30" s="5"/>
      <c r="MV30" s="6" t="s">
        <v>2638</v>
      </c>
      <c r="MW30" s="4" t="s">
        <v>2502</v>
      </c>
      <c r="MX30" s="4" t="s">
        <v>2755</v>
      </c>
      <c r="MY30" s="7" t="s">
        <v>2756</v>
      </c>
      <c r="MZ30" s="8">
        <v>33190</v>
      </c>
      <c r="NA30" s="8">
        <v>33197</v>
      </c>
      <c r="NB30" s="5"/>
      <c r="NC30" s="6"/>
      <c r="ND30" s="4"/>
      <c r="NE30" s="4"/>
      <c r="NF30" s="4"/>
      <c r="NG30" s="4"/>
      <c r="NH30" s="4"/>
      <c r="NI30" s="5"/>
      <c r="NJ30" s="6"/>
      <c r="NK30" s="4"/>
      <c r="NL30" s="4"/>
      <c r="NM30" s="4"/>
      <c r="NN30" s="4"/>
      <c r="NO30" s="4"/>
      <c r="NP30" s="5"/>
      <c r="NQ30" s="6"/>
      <c r="NR30" s="4"/>
      <c r="NS30" s="4"/>
      <c r="NT30" s="4"/>
      <c r="NU30" s="4"/>
      <c r="NV30" s="4"/>
      <c r="NW30" s="5"/>
      <c r="NX30" s="6"/>
      <c r="NY30" s="4"/>
      <c r="NZ30" s="4"/>
      <c r="OA30" s="4"/>
      <c r="OB30" s="4"/>
      <c r="OC30" s="4"/>
      <c r="OD30" s="5"/>
      <c r="OE30" s="6"/>
      <c r="OF30" s="4"/>
      <c r="OG30" s="4"/>
      <c r="OH30" s="4"/>
      <c r="OI30" s="4"/>
      <c r="OJ30" s="4"/>
      <c r="OK30" s="5"/>
      <c r="OL30" s="6"/>
      <c r="OM30" s="4"/>
      <c r="ON30" s="4"/>
      <c r="OO30" s="4"/>
      <c r="OP30" s="4"/>
      <c r="OQ30" s="4"/>
      <c r="OR30" s="5"/>
      <c r="OS30" s="6"/>
      <c r="OT30" s="4"/>
      <c r="OU30" s="4"/>
      <c r="OV30" s="4"/>
      <c r="OW30" s="4"/>
      <c r="OX30" s="4"/>
      <c r="OY30" s="5"/>
      <c r="OZ30" s="6"/>
      <c r="PA30" s="4"/>
      <c r="PB30" s="4"/>
      <c r="PC30" s="4"/>
      <c r="PD30" s="4"/>
      <c r="PE30" s="4"/>
      <c r="PF30" s="5"/>
      <c r="PG30" s="6"/>
      <c r="PH30" s="4"/>
      <c r="PI30" s="4"/>
      <c r="PJ30" s="4"/>
      <c r="PK30" s="4"/>
      <c r="PL30" s="4"/>
      <c r="PM30" s="5"/>
      <c r="PN30" s="6"/>
      <c r="PO30" s="4"/>
      <c r="PP30" s="4"/>
      <c r="PQ30" s="4"/>
      <c r="PR30" s="4"/>
      <c r="PS30" s="4"/>
      <c r="PT30" s="5"/>
      <c r="PU30" s="6" t="s">
        <v>2770</v>
      </c>
      <c r="PV30" s="4" t="s">
        <v>2907</v>
      </c>
      <c r="PW30" s="4"/>
      <c r="PX30" s="4" t="s">
        <v>2771</v>
      </c>
      <c r="PY30" s="8">
        <v>33190</v>
      </c>
      <c r="PZ30" s="8">
        <v>33193</v>
      </c>
      <c r="QA30" s="5"/>
      <c r="QB30" s="6"/>
      <c r="QC30" s="4"/>
      <c r="QD30" s="4"/>
      <c r="QE30" s="4"/>
      <c r="QF30" s="4"/>
      <c r="QG30" s="4"/>
      <c r="QH30" s="5"/>
      <c r="QI30" s="6"/>
      <c r="QJ30" s="4"/>
      <c r="QK30" s="4"/>
      <c r="QL30" s="4"/>
      <c r="QM30" s="4"/>
      <c r="QN30" s="4"/>
      <c r="QO30" s="5"/>
      <c r="QP30" s="6"/>
      <c r="QQ30" s="4"/>
      <c r="QR30" s="4"/>
      <c r="QS30" s="4"/>
      <c r="QT30" s="4"/>
      <c r="QU30" s="4"/>
      <c r="QV30" s="5"/>
      <c r="QW30" s="6"/>
      <c r="QX30" s="4"/>
      <c r="QY30" s="4"/>
      <c r="QZ30" s="4"/>
      <c r="RA30" s="4"/>
      <c r="RB30" s="4"/>
      <c r="RC30" s="5"/>
      <c r="RD30" s="6"/>
      <c r="RE30" s="4"/>
      <c r="RF30" s="4"/>
      <c r="RG30" s="4"/>
      <c r="RH30" s="4"/>
      <c r="RI30" s="4"/>
      <c r="RJ30" s="5"/>
      <c r="RK30" s="6"/>
      <c r="RL30" s="4"/>
      <c r="RM30" s="4"/>
      <c r="RN30" s="4"/>
      <c r="RO30" s="4"/>
      <c r="RP30" s="4"/>
      <c r="RQ30" s="5"/>
      <c r="RR30" s="6"/>
      <c r="RS30" s="4"/>
      <c r="RT30" s="4"/>
      <c r="RU30" s="4"/>
      <c r="RV30" s="4"/>
      <c r="RW30" s="4"/>
      <c r="RX30" s="5"/>
      <c r="RY30" s="6"/>
      <c r="RZ30" s="4"/>
      <c r="SA30" s="4"/>
      <c r="SB30" s="4"/>
      <c r="SC30" s="4"/>
      <c r="SD30" s="4"/>
      <c r="SE30" s="5"/>
      <c r="SF30" s="6"/>
      <c r="SG30" s="4"/>
      <c r="SH30" s="4"/>
      <c r="SI30" s="4"/>
      <c r="SJ30" s="4"/>
      <c r="SK30" s="4"/>
      <c r="SL30" s="5"/>
      <c r="SM30" s="6"/>
      <c r="SN30" s="4"/>
      <c r="SO30" s="4"/>
      <c r="SP30" s="4"/>
      <c r="SQ30" s="4"/>
      <c r="SR30" s="4"/>
      <c r="SS30" s="5"/>
      <c r="ST30" s="6"/>
      <c r="SU30" s="4"/>
      <c r="SV30" s="4"/>
      <c r="SW30" s="4"/>
      <c r="SX30" s="4"/>
      <c r="SY30" s="4"/>
      <c r="SZ30" s="5"/>
      <c r="TA30" s="6"/>
      <c r="TB30" s="4"/>
      <c r="TC30" s="4"/>
      <c r="TD30" s="4"/>
      <c r="TE30" s="4"/>
      <c r="TF30" s="4"/>
      <c r="TG30" s="5"/>
      <c r="TH30" s="6"/>
      <c r="TI30" s="4"/>
      <c r="TJ30" s="4"/>
      <c r="TK30" s="4"/>
      <c r="TL30" s="4"/>
      <c r="TM30" s="4"/>
      <c r="TN30" s="5"/>
      <c r="TO30" s="6"/>
      <c r="TP30" s="4"/>
      <c r="TQ30" s="4"/>
      <c r="TR30" s="4"/>
      <c r="TS30" s="4"/>
      <c r="TT30" s="4"/>
      <c r="TU30" s="5"/>
      <c r="TV30" s="6"/>
      <c r="TW30" s="4"/>
      <c r="TX30" s="4"/>
      <c r="TY30" s="4"/>
      <c r="TZ30" s="4"/>
      <c r="UA30" s="4"/>
      <c r="UB30" s="5"/>
      <c r="UC30" s="6"/>
      <c r="UD30" s="4"/>
      <c r="UE30" s="4"/>
      <c r="UF30" s="4"/>
      <c r="UG30" s="4"/>
      <c r="UH30" s="4"/>
      <c r="UI30" s="5"/>
      <c r="UJ30" s="6"/>
      <c r="UK30" s="4"/>
      <c r="UL30" s="4"/>
      <c r="UM30" s="4"/>
      <c r="UN30" s="4"/>
      <c r="UO30" s="4"/>
      <c r="UP30" s="5"/>
      <c r="UQ30" s="6"/>
      <c r="UR30" s="4"/>
      <c r="US30" s="4"/>
      <c r="UT30" s="4"/>
      <c r="UU30" s="4"/>
      <c r="UV30" s="4"/>
      <c r="UW30" s="5"/>
      <c r="UX30" s="6"/>
      <c r="UY30" s="4"/>
      <c r="UZ30" s="4"/>
      <c r="VA30" s="4"/>
      <c r="VB30" s="4"/>
      <c r="VC30" s="4"/>
      <c r="VD30" s="5"/>
      <c r="VE30" s="6"/>
      <c r="VF30" s="4"/>
      <c r="VG30" s="4"/>
      <c r="VH30" s="4"/>
      <c r="VI30" s="4"/>
      <c r="VJ30" s="4"/>
      <c r="VK30" s="5"/>
      <c r="VL30" s="6" t="s">
        <v>2758</v>
      </c>
      <c r="VM30" s="4" t="s">
        <v>2754</v>
      </c>
      <c r="VN30" s="4" t="s">
        <v>2755</v>
      </c>
      <c r="VO30" s="7"/>
      <c r="VP30" s="8"/>
      <c r="VQ30" s="8">
        <v>33189</v>
      </c>
      <c r="VR30" s="5"/>
      <c r="VS30" s="6"/>
      <c r="VT30" s="4"/>
      <c r="VU30" s="4"/>
      <c r="VV30" s="4"/>
      <c r="VW30" s="4"/>
      <c r="VX30" s="4"/>
      <c r="VY30" s="5"/>
      <c r="VZ30" s="6"/>
      <c r="WA30" s="4"/>
      <c r="WB30" s="4"/>
      <c r="WC30" s="4"/>
      <c r="WD30" s="4"/>
      <c r="WE30" s="4"/>
      <c r="WF30" s="5"/>
      <c r="WG30" s="6"/>
      <c r="WH30" s="4"/>
      <c r="WI30" s="4"/>
      <c r="WJ30" s="4"/>
      <c r="WK30" s="4"/>
      <c r="WL30" s="4"/>
      <c r="WM30" s="5"/>
      <c r="WN30" s="6"/>
      <c r="WO30" s="4"/>
      <c r="WP30" s="4"/>
      <c r="WQ30" s="4"/>
      <c r="WR30" s="4"/>
      <c r="WS30" s="4"/>
      <c r="WT30" s="5"/>
      <c r="WU30" s="6"/>
      <c r="WV30" s="4"/>
      <c r="WW30" s="4"/>
      <c r="WX30" s="4"/>
      <c r="WY30" s="4"/>
      <c r="WZ30" s="4"/>
      <c r="XA30" s="5"/>
      <c r="XB30" s="6"/>
      <c r="XC30" s="4"/>
      <c r="XD30" s="4"/>
      <c r="XE30" s="4"/>
      <c r="XF30" s="4"/>
      <c r="XG30" s="4"/>
      <c r="XH30" s="5"/>
      <c r="XI30" s="6"/>
      <c r="XJ30" s="4"/>
      <c r="XK30" s="4"/>
      <c r="XL30" s="4"/>
      <c r="XM30" s="4"/>
      <c r="XN30" s="4"/>
      <c r="XO30" s="5"/>
      <c r="XP30" s="6"/>
      <c r="XQ30" s="4"/>
      <c r="XR30" s="4"/>
      <c r="XS30" s="4"/>
      <c r="XT30" s="4"/>
      <c r="XU30" s="4"/>
      <c r="XV30" s="5"/>
      <c r="XW30" s="6"/>
      <c r="XX30" s="4"/>
      <c r="XY30" s="4"/>
      <c r="XZ30" s="4"/>
      <c r="YA30" s="4"/>
      <c r="YB30" s="4"/>
      <c r="YC30" s="5"/>
      <c r="YD30" s="6"/>
      <c r="YE30" s="4"/>
      <c r="YF30" s="4"/>
      <c r="YG30" s="4"/>
      <c r="YH30" s="4"/>
      <c r="YI30" s="4"/>
      <c r="YJ30" s="5"/>
      <c r="YK30" s="6"/>
      <c r="YL30" s="4"/>
      <c r="YM30" s="4"/>
      <c r="YN30" s="4"/>
      <c r="YO30" s="4"/>
      <c r="YP30" s="4"/>
      <c r="YQ30" s="5"/>
      <c r="YR30" s="6"/>
      <c r="YS30" s="4"/>
      <c r="YT30" s="4"/>
      <c r="YU30" s="4"/>
      <c r="YV30" s="4"/>
      <c r="YW30" s="4"/>
      <c r="YX30" s="5"/>
      <c r="YY30" s="6"/>
      <c r="YZ30" s="4"/>
      <c r="ZA30" s="4"/>
      <c r="ZB30" s="4"/>
      <c r="ZC30" s="4"/>
      <c r="ZD30" s="4"/>
      <c r="ZE30" s="5"/>
      <c r="ZF30" s="6"/>
      <c r="ZG30" s="4"/>
      <c r="ZH30" s="4"/>
      <c r="ZI30" s="4"/>
      <c r="ZJ30" s="4"/>
      <c r="ZK30" s="4"/>
      <c r="ZL30" s="5"/>
      <c r="ZM30" s="6"/>
      <c r="ZN30" s="4"/>
      <c r="ZO30" s="4"/>
      <c r="ZP30" s="4"/>
      <c r="ZQ30" s="4"/>
      <c r="ZR30" s="4"/>
      <c r="ZS30" s="5"/>
      <c r="ZT30" s="6"/>
      <c r="ZU30" s="4"/>
      <c r="ZV30" s="4"/>
      <c r="ZW30" s="4"/>
      <c r="ZX30" s="4"/>
      <c r="ZY30" s="4"/>
      <c r="ZZ30" s="5"/>
      <c r="AAA30" s="6"/>
      <c r="AAB30" s="4"/>
      <c r="AAC30" s="4"/>
      <c r="AAD30" s="4"/>
      <c r="AAE30" s="4"/>
      <c r="AAF30" s="4"/>
      <c r="AAG30" s="5"/>
      <c r="AAH30" s="6"/>
      <c r="AAI30" s="4"/>
      <c r="AAJ30" s="4"/>
      <c r="AAK30" s="4"/>
      <c r="AAL30" s="4"/>
      <c r="AAM30" s="4"/>
      <c r="AAN30" s="5"/>
      <c r="AAO30" s="6"/>
      <c r="AAP30" s="4"/>
      <c r="AAQ30" s="4"/>
      <c r="AAR30" s="4"/>
      <c r="AAS30" s="4"/>
      <c r="AAT30" s="4"/>
      <c r="AAU30" s="5"/>
      <c r="AAV30" s="6"/>
      <c r="AAW30" s="4"/>
      <c r="AAX30" s="4"/>
      <c r="AAY30" s="4"/>
      <c r="AAZ30" s="4"/>
      <c r="ABA30" s="4"/>
      <c r="ABB30" s="5"/>
      <c r="ABC30" s="6"/>
      <c r="ABD30" s="4"/>
      <c r="ABE30" s="4"/>
      <c r="ABF30" s="4"/>
      <c r="ABG30" s="4"/>
      <c r="ABH30" s="4"/>
      <c r="ABI30" s="5"/>
      <c r="ABJ30" s="6"/>
      <c r="ABK30" s="4"/>
      <c r="ABL30" s="4"/>
      <c r="ABM30" s="4"/>
      <c r="ABN30" s="4"/>
      <c r="ABO30" s="4"/>
      <c r="ABP30" s="5"/>
      <c r="ABQ30" s="6"/>
      <c r="ABR30" s="4"/>
      <c r="ABS30" s="4"/>
      <c r="ABT30" s="4"/>
      <c r="ABU30" s="4"/>
      <c r="ABV30" s="4"/>
      <c r="ABW30" s="5"/>
      <c r="ABX30" s="6"/>
      <c r="ABY30" s="4"/>
      <c r="ABZ30" s="4"/>
      <c r="ACA30" s="4"/>
      <c r="ACB30" s="4"/>
      <c r="ACC30" s="4"/>
      <c r="ACD30" s="5"/>
      <c r="ACE30" s="6"/>
      <c r="ACF30" s="4"/>
      <c r="ACG30" s="4"/>
      <c r="ACH30" s="4"/>
      <c r="ACI30" s="4"/>
      <c r="ACJ30" s="4"/>
      <c r="ACK30" s="5"/>
      <c r="ACL30" s="6"/>
      <c r="ACM30" s="4"/>
      <c r="ACN30" s="4"/>
      <c r="ACO30" s="4"/>
      <c r="ACP30" s="4"/>
      <c r="ACQ30" s="4"/>
      <c r="ACR30" s="5"/>
      <c r="ACS30" s="6"/>
      <c r="ACT30" s="4"/>
      <c r="ACU30" s="4"/>
      <c r="ACV30" s="4"/>
      <c r="ACW30" s="4"/>
      <c r="ACX30" s="4"/>
      <c r="ACY30" s="5"/>
    </row>
    <row r="31" spans="2:779" x14ac:dyDescent="0.25">
      <c r="B31" s="30"/>
      <c r="J31" s="12"/>
      <c r="K31" s="12"/>
      <c r="L31" s="12"/>
      <c r="LL31" s="6"/>
      <c r="LM31" s="4"/>
      <c r="LN31" s="4"/>
      <c r="LO31" s="4"/>
      <c r="LP31" s="4"/>
      <c r="LQ31" s="4"/>
      <c r="LR31" s="5"/>
      <c r="LS31" s="6"/>
      <c r="LT31" s="4"/>
      <c r="LU31" s="4"/>
      <c r="LV31" s="4"/>
      <c r="LW31" s="4"/>
      <c r="LX31" s="4"/>
      <c r="LY31" s="5"/>
      <c r="LZ31" s="6"/>
      <c r="MA31" s="7"/>
      <c r="MB31" s="4"/>
      <c r="MC31" s="4"/>
      <c r="MD31" s="8"/>
      <c r="ME31" s="8"/>
      <c r="MF31" s="8"/>
      <c r="MG31" s="5"/>
      <c r="MH31" s="6"/>
      <c r="MI31" s="4"/>
      <c r="MJ31" s="4"/>
      <c r="MK31" s="4"/>
      <c r="ML31" s="4"/>
      <c r="MM31" s="4"/>
      <c r="MN31" s="5"/>
      <c r="MO31" s="6"/>
      <c r="MP31" s="4"/>
      <c r="MQ31" s="4"/>
      <c r="MR31" s="4"/>
      <c r="MS31" s="4"/>
      <c r="MT31" s="4"/>
      <c r="MU31" s="5"/>
      <c r="MV31" s="6" t="s">
        <v>2503</v>
      </c>
      <c r="MW31" s="4" t="s">
        <v>3408</v>
      </c>
      <c r="MX31" s="4"/>
      <c r="MY31" s="4"/>
      <c r="MZ31" s="4"/>
      <c r="NA31" s="8">
        <v>33189</v>
      </c>
      <c r="NB31" s="5"/>
      <c r="NC31" s="6"/>
      <c r="ND31" s="4"/>
      <c r="NE31" s="4"/>
      <c r="NF31" s="4"/>
      <c r="NG31" s="4"/>
      <c r="NH31" s="4"/>
      <c r="NI31" s="5"/>
      <c r="NJ31" s="6"/>
      <c r="NK31" s="4"/>
      <c r="NL31" s="4"/>
      <c r="NM31" s="4"/>
      <c r="NN31" s="4"/>
      <c r="NO31" s="4"/>
      <c r="NP31" s="5"/>
      <c r="NQ31" s="6"/>
      <c r="NR31" s="4"/>
      <c r="NS31" s="4"/>
      <c r="NT31" s="4"/>
      <c r="NU31" s="4"/>
      <c r="NV31" s="4"/>
      <c r="NW31" s="5"/>
      <c r="NX31" s="6"/>
      <c r="NY31" s="4"/>
      <c r="NZ31" s="4"/>
      <c r="OA31" s="4"/>
      <c r="OB31" s="4"/>
      <c r="OC31" s="4"/>
      <c r="OD31" s="5"/>
      <c r="OE31" s="6"/>
      <c r="OF31" s="4"/>
      <c r="OG31" s="4"/>
      <c r="OH31" s="4"/>
      <c r="OI31" s="4"/>
      <c r="OJ31" s="4"/>
      <c r="OK31" s="5"/>
      <c r="OL31" s="6"/>
      <c r="OM31" s="4"/>
      <c r="ON31" s="4"/>
      <c r="OO31" s="4"/>
      <c r="OP31" s="4"/>
      <c r="OQ31" s="4"/>
      <c r="OR31" s="5"/>
      <c r="OS31" s="6"/>
      <c r="OT31" s="4"/>
      <c r="OU31" s="4"/>
      <c r="OV31" s="4"/>
      <c r="OW31" s="4"/>
      <c r="OX31" s="4"/>
      <c r="OY31" s="5"/>
      <c r="OZ31" s="6"/>
      <c r="PA31" s="4"/>
      <c r="PB31" s="4"/>
      <c r="PC31" s="4"/>
      <c r="PD31" s="4"/>
      <c r="PE31" s="4"/>
      <c r="PF31" s="5"/>
      <c r="PG31" s="6"/>
      <c r="PH31" s="4"/>
      <c r="PI31" s="4"/>
      <c r="PJ31" s="4"/>
      <c r="PK31" s="4"/>
      <c r="PL31" s="4"/>
      <c r="PM31" s="5"/>
      <c r="PN31" s="6"/>
      <c r="PO31" s="4"/>
      <c r="PP31" s="4"/>
      <c r="PQ31" s="4"/>
      <c r="PR31" s="4"/>
      <c r="PS31" s="4"/>
      <c r="PT31" s="5"/>
      <c r="PU31" s="6"/>
      <c r="PV31" s="4"/>
      <c r="PW31" s="4"/>
      <c r="PX31" s="4"/>
      <c r="PY31" s="4"/>
      <c r="PZ31" s="4"/>
      <c r="QA31" s="5"/>
      <c r="QB31" s="6"/>
      <c r="QC31" s="4"/>
      <c r="QD31" s="4"/>
      <c r="QE31" s="4"/>
      <c r="QF31" s="4"/>
      <c r="QG31" s="4"/>
      <c r="QH31" s="5"/>
      <c r="QI31" s="6"/>
      <c r="QJ31" s="4"/>
      <c r="QK31" s="4"/>
      <c r="QL31" s="4"/>
      <c r="QM31" s="4"/>
      <c r="QN31" s="4"/>
      <c r="QO31" s="5"/>
      <c r="QP31" s="6"/>
      <c r="QQ31" s="4"/>
      <c r="QR31" s="4"/>
      <c r="QS31" s="4"/>
      <c r="QT31" s="4"/>
      <c r="QU31" s="4"/>
      <c r="QV31" s="5"/>
      <c r="QW31" s="6"/>
      <c r="QX31" s="4"/>
      <c r="QY31" s="4"/>
      <c r="QZ31" s="4"/>
      <c r="RA31" s="4"/>
      <c r="RB31" s="4"/>
      <c r="RC31" s="5"/>
      <c r="RD31" s="6"/>
      <c r="RE31" s="4"/>
      <c r="RF31" s="4"/>
      <c r="RG31" s="4"/>
      <c r="RH31" s="4"/>
      <c r="RI31" s="4"/>
      <c r="RJ31" s="5"/>
      <c r="RK31" s="6"/>
      <c r="RL31" s="4"/>
      <c r="RM31" s="4"/>
      <c r="RN31" s="4"/>
      <c r="RO31" s="4"/>
      <c r="RP31" s="4"/>
      <c r="RQ31" s="5"/>
      <c r="RR31" s="6"/>
      <c r="RS31" s="4"/>
      <c r="RT31" s="4"/>
      <c r="RU31" s="4"/>
      <c r="RV31" s="4"/>
      <c r="RW31" s="4"/>
      <c r="RX31" s="5"/>
      <c r="RY31" s="6"/>
      <c r="RZ31" s="4"/>
      <c r="SA31" s="4"/>
      <c r="SB31" s="4"/>
      <c r="SC31" s="4"/>
      <c r="SD31" s="4"/>
      <c r="SE31" s="5"/>
      <c r="SF31" s="6"/>
      <c r="SG31" s="4"/>
      <c r="SH31" s="4"/>
      <c r="SI31" s="4"/>
      <c r="SJ31" s="4"/>
      <c r="SK31" s="4"/>
      <c r="SL31" s="5"/>
      <c r="SM31" s="6"/>
      <c r="SN31" s="4"/>
      <c r="SO31" s="4"/>
      <c r="SP31" s="4"/>
      <c r="SQ31" s="4"/>
      <c r="SR31" s="4"/>
      <c r="SS31" s="5"/>
      <c r="ST31" s="6"/>
      <c r="SU31" s="4"/>
      <c r="SV31" s="4"/>
      <c r="SW31" s="4"/>
      <c r="SX31" s="4"/>
      <c r="SY31" s="4"/>
      <c r="SZ31" s="5"/>
      <c r="TA31" s="6"/>
      <c r="TB31" s="4"/>
      <c r="TC31" s="4"/>
      <c r="TD31" s="4"/>
      <c r="TE31" s="4"/>
      <c r="TF31" s="4"/>
      <c r="TG31" s="5"/>
      <c r="TH31" s="6"/>
      <c r="TI31" s="4"/>
      <c r="TJ31" s="4"/>
      <c r="TK31" s="4"/>
      <c r="TL31" s="4"/>
      <c r="TM31" s="4"/>
      <c r="TN31" s="5"/>
      <c r="TO31" s="6"/>
      <c r="TP31" s="4"/>
      <c r="TQ31" s="4"/>
      <c r="TR31" s="4"/>
      <c r="TS31" s="4"/>
      <c r="TT31" s="4"/>
      <c r="TU31" s="5"/>
      <c r="TV31" s="6"/>
      <c r="TW31" s="4"/>
      <c r="TX31" s="4"/>
      <c r="TY31" s="4"/>
      <c r="TZ31" s="4"/>
      <c r="UA31" s="4"/>
      <c r="UB31" s="5"/>
      <c r="UC31" s="6"/>
      <c r="UD31" s="4"/>
      <c r="UE31" s="4"/>
      <c r="UF31" s="4"/>
      <c r="UG31" s="4"/>
      <c r="UH31" s="4"/>
      <c r="UI31" s="5"/>
      <c r="UJ31" s="6"/>
      <c r="UK31" s="4"/>
      <c r="UL31" s="4"/>
      <c r="UM31" s="4"/>
      <c r="UN31" s="4"/>
      <c r="UO31" s="4"/>
      <c r="UP31" s="5"/>
      <c r="UQ31" s="6"/>
      <c r="UR31" s="4"/>
      <c r="US31" s="4"/>
      <c r="UT31" s="4"/>
      <c r="UU31" s="4"/>
      <c r="UV31" s="4"/>
      <c r="UW31" s="5"/>
      <c r="UX31" s="6"/>
      <c r="UY31" s="4"/>
      <c r="UZ31" s="4"/>
      <c r="VA31" s="4"/>
      <c r="VB31" s="4"/>
      <c r="VC31" s="4"/>
      <c r="VD31" s="5"/>
      <c r="VE31" s="6"/>
      <c r="VF31" s="4"/>
      <c r="VG31" s="4"/>
      <c r="VH31" s="4"/>
      <c r="VI31" s="4"/>
      <c r="VJ31" s="4"/>
      <c r="VK31" s="5"/>
      <c r="VL31" s="6" t="s">
        <v>1131</v>
      </c>
      <c r="VM31" s="4" t="s">
        <v>1009</v>
      </c>
      <c r="VN31" s="4" t="s">
        <v>2904</v>
      </c>
      <c r="VO31" s="7"/>
      <c r="VP31" s="8"/>
      <c r="VQ31" s="8">
        <v>33193</v>
      </c>
      <c r="VR31" s="5"/>
      <c r="VS31" s="6"/>
      <c r="VT31" s="4"/>
      <c r="VU31" s="4"/>
      <c r="VV31" s="4"/>
      <c r="VW31" s="4"/>
      <c r="VX31" s="4"/>
      <c r="VY31" s="5"/>
      <c r="VZ31" s="6"/>
      <c r="WA31" s="4"/>
      <c r="WB31" s="4"/>
      <c r="WC31" s="4"/>
      <c r="WD31" s="4"/>
      <c r="WE31" s="4"/>
      <c r="WF31" s="5"/>
      <c r="WG31" s="6"/>
      <c r="WH31" s="4"/>
      <c r="WI31" s="4"/>
      <c r="WJ31" s="4"/>
      <c r="WK31" s="4"/>
      <c r="WL31" s="4"/>
      <c r="WM31" s="5"/>
      <c r="WN31" s="6"/>
      <c r="WO31" s="4"/>
      <c r="WP31" s="4"/>
      <c r="WQ31" s="4"/>
      <c r="WR31" s="4"/>
      <c r="WS31" s="4"/>
      <c r="WT31" s="5"/>
      <c r="WU31" s="6"/>
      <c r="WV31" s="4"/>
      <c r="WW31" s="4"/>
      <c r="WX31" s="4"/>
      <c r="WY31" s="4"/>
      <c r="WZ31" s="4"/>
      <c r="XA31" s="5"/>
      <c r="XB31" s="6"/>
      <c r="XC31" s="4"/>
      <c r="XD31" s="4"/>
      <c r="XE31" s="4"/>
      <c r="XF31" s="4"/>
      <c r="XG31" s="4"/>
      <c r="XH31" s="5"/>
      <c r="XI31" s="6"/>
      <c r="XJ31" s="4"/>
      <c r="XK31" s="4"/>
      <c r="XL31" s="4"/>
      <c r="XM31" s="4"/>
      <c r="XN31" s="4"/>
      <c r="XO31" s="5"/>
      <c r="XP31" s="6"/>
      <c r="XQ31" s="4"/>
      <c r="XR31" s="4"/>
      <c r="XS31" s="4"/>
      <c r="XT31" s="4"/>
      <c r="XU31" s="4"/>
      <c r="XV31" s="5"/>
      <c r="XW31" s="6"/>
      <c r="XX31" s="4"/>
      <c r="XY31" s="4"/>
      <c r="XZ31" s="4"/>
      <c r="YA31" s="4"/>
      <c r="YB31" s="4"/>
      <c r="YC31" s="5"/>
      <c r="YD31" s="6"/>
      <c r="YE31" s="4"/>
      <c r="YF31" s="4"/>
      <c r="YG31" s="4"/>
      <c r="YH31" s="4"/>
      <c r="YI31" s="4"/>
      <c r="YJ31" s="5"/>
      <c r="YK31" s="6"/>
      <c r="YL31" s="4"/>
      <c r="YM31" s="4"/>
      <c r="YN31" s="4"/>
      <c r="YO31" s="4"/>
      <c r="YP31" s="4"/>
      <c r="YQ31" s="5"/>
      <c r="YR31" s="6"/>
      <c r="YS31" s="4"/>
      <c r="YT31" s="4"/>
      <c r="YU31" s="4"/>
      <c r="YV31" s="4"/>
      <c r="YW31" s="4"/>
      <c r="YX31" s="5"/>
      <c r="YY31" s="6"/>
      <c r="YZ31" s="4"/>
      <c r="ZA31" s="4"/>
      <c r="ZB31" s="4"/>
      <c r="ZC31" s="4"/>
      <c r="ZD31" s="4"/>
      <c r="ZE31" s="5"/>
      <c r="ZF31" s="6"/>
      <c r="ZG31" s="4"/>
      <c r="ZH31" s="4"/>
      <c r="ZI31" s="4"/>
      <c r="ZJ31" s="4"/>
      <c r="ZK31" s="4"/>
      <c r="ZL31" s="5"/>
      <c r="ZM31" s="6"/>
      <c r="ZN31" s="4"/>
      <c r="ZO31" s="4"/>
      <c r="ZP31" s="4"/>
      <c r="ZQ31" s="4"/>
      <c r="ZR31" s="4"/>
      <c r="ZS31" s="5"/>
      <c r="ZT31" s="6"/>
      <c r="ZU31" s="4"/>
      <c r="ZV31" s="4"/>
      <c r="ZW31" s="4"/>
      <c r="ZX31" s="4"/>
      <c r="ZY31" s="4"/>
      <c r="ZZ31" s="5"/>
      <c r="AAA31" s="6"/>
      <c r="AAB31" s="4"/>
      <c r="AAC31" s="4"/>
      <c r="AAD31" s="4"/>
      <c r="AAE31" s="4"/>
      <c r="AAF31" s="4"/>
      <c r="AAG31" s="5"/>
      <c r="AAH31" s="6"/>
      <c r="AAI31" s="4"/>
      <c r="AAJ31" s="4"/>
      <c r="AAK31" s="4"/>
      <c r="AAL31" s="4"/>
      <c r="AAM31" s="4"/>
      <c r="AAN31" s="5"/>
      <c r="AAO31" s="6"/>
      <c r="AAP31" s="4"/>
      <c r="AAQ31" s="4"/>
      <c r="AAR31" s="4"/>
      <c r="AAS31" s="4"/>
      <c r="AAT31" s="4"/>
      <c r="AAU31" s="5"/>
      <c r="AAV31" s="6"/>
      <c r="AAW31" s="4"/>
      <c r="AAX31" s="4"/>
      <c r="AAY31" s="4"/>
      <c r="AAZ31" s="4"/>
      <c r="ABA31" s="4"/>
      <c r="ABB31" s="5"/>
      <c r="ABC31" s="6"/>
      <c r="ABD31" s="4"/>
      <c r="ABE31" s="4"/>
      <c r="ABF31" s="4"/>
      <c r="ABG31" s="4"/>
      <c r="ABH31" s="4"/>
      <c r="ABI31" s="5"/>
      <c r="ABJ31" s="6"/>
      <c r="ABK31" s="4"/>
      <c r="ABL31" s="4"/>
      <c r="ABM31" s="4"/>
      <c r="ABN31" s="4"/>
      <c r="ABO31" s="4"/>
      <c r="ABP31" s="5"/>
      <c r="ABQ31" s="6"/>
      <c r="ABR31" s="4"/>
      <c r="ABS31" s="4"/>
      <c r="ABT31" s="4"/>
      <c r="ABU31" s="4"/>
      <c r="ABV31" s="4"/>
      <c r="ABW31" s="5"/>
      <c r="ABX31" s="6"/>
      <c r="ABY31" s="4"/>
      <c r="ABZ31" s="4"/>
      <c r="ACA31" s="4"/>
      <c r="ACB31" s="4"/>
      <c r="ACC31" s="4"/>
      <c r="ACD31" s="5"/>
      <c r="ACE31" s="6"/>
      <c r="ACF31" s="4"/>
      <c r="ACG31" s="4"/>
      <c r="ACH31" s="4"/>
      <c r="ACI31" s="4"/>
      <c r="ACJ31" s="4"/>
      <c r="ACK31" s="5"/>
      <c r="ACL31" s="6"/>
      <c r="ACM31" s="4"/>
      <c r="ACN31" s="4"/>
      <c r="ACO31" s="4"/>
      <c r="ACP31" s="4"/>
      <c r="ACQ31" s="4"/>
      <c r="ACR31" s="5"/>
      <c r="ACS31" s="6"/>
      <c r="ACT31" s="4"/>
      <c r="ACU31" s="4"/>
      <c r="ACV31" s="4"/>
      <c r="ACW31" s="4"/>
      <c r="ACX31" s="4"/>
      <c r="ACY31" s="5"/>
    </row>
    <row r="32" spans="2:779" x14ac:dyDescent="0.25">
      <c r="B32" s="30"/>
      <c r="J32" s="12"/>
      <c r="K32" s="12"/>
      <c r="L32" s="12"/>
      <c r="LL32" s="6"/>
      <c r="LM32" s="4"/>
      <c r="LN32" s="4"/>
      <c r="LO32" s="4"/>
      <c r="LP32" s="4"/>
      <c r="LQ32" s="4"/>
      <c r="LR32" s="5"/>
      <c r="LS32" s="6"/>
      <c r="LT32" s="4"/>
      <c r="LU32" s="4"/>
      <c r="LV32" s="4"/>
      <c r="LW32" s="4"/>
      <c r="LX32" s="4"/>
      <c r="LY32" s="5"/>
      <c r="LZ32" s="6"/>
      <c r="MA32" s="7"/>
      <c r="MB32" s="4"/>
      <c r="MC32" s="4"/>
      <c r="MD32" s="8"/>
      <c r="ME32" s="8"/>
      <c r="MF32" s="8"/>
      <c r="MG32" s="5"/>
      <c r="MH32" s="6"/>
      <c r="MI32" s="4"/>
      <c r="MJ32" s="4"/>
      <c r="MK32" s="4"/>
      <c r="ML32" s="4"/>
      <c r="MM32" s="4"/>
      <c r="MN32" s="5"/>
      <c r="MO32" s="6"/>
      <c r="MP32" s="4"/>
      <c r="MQ32" s="4"/>
      <c r="MR32" s="4"/>
      <c r="MS32" s="4"/>
      <c r="MT32" s="4"/>
      <c r="MU32" s="5"/>
      <c r="MV32" s="6" t="s">
        <v>2827</v>
      </c>
      <c r="MW32" s="7" t="s">
        <v>2688</v>
      </c>
      <c r="MX32" s="4" t="s">
        <v>2689</v>
      </c>
      <c r="MY32" s="7" t="s">
        <v>2690</v>
      </c>
      <c r="MZ32" s="8">
        <v>33190</v>
      </c>
      <c r="NA32" s="8">
        <v>33193</v>
      </c>
      <c r="NB32" s="5"/>
      <c r="NJ32" s="6"/>
      <c r="NK32" s="4"/>
      <c r="NL32" s="4"/>
      <c r="NM32" s="4"/>
      <c r="NN32" s="4"/>
      <c r="NO32" s="4"/>
      <c r="NP32" s="5"/>
      <c r="NQ32" s="6"/>
      <c r="NR32" s="4"/>
      <c r="NS32" s="4"/>
      <c r="NT32" s="4"/>
      <c r="NU32" s="4"/>
      <c r="NV32" s="4"/>
      <c r="NW32" s="5"/>
      <c r="NX32" s="6"/>
      <c r="NY32" s="4"/>
      <c r="NZ32" s="4"/>
      <c r="OA32" s="4"/>
      <c r="OB32" s="4"/>
      <c r="OC32" s="4"/>
      <c r="OD32" s="5"/>
      <c r="OE32" s="6"/>
      <c r="OF32" s="4"/>
      <c r="OG32" s="4"/>
      <c r="OH32" s="4"/>
      <c r="OI32" s="4"/>
      <c r="OJ32" s="4"/>
      <c r="OK32" s="5"/>
      <c r="OL32" s="6"/>
      <c r="OM32" s="4"/>
      <c r="ON32" s="4"/>
      <c r="OO32" s="4"/>
      <c r="OP32" s="4"/>
      <c r="OQ32" s="4"/>
      <c r="OR32" s="5"/>
      <c r="OS32" s="6"/>
      <c r="OT32" s="4"/>
      <c r="OU32" s="4"/>
      <c r="OV32" s="4"/>
      <c r="OW32" s="4"/>
      <c r="OX32" s="4"/>
      <c r="OY32" s="5"/>
      <c r="OZ32" s="6"/>
      <c r="PA32" s="4"/>
      <c r="PB32" s="4"/>
      <c r="PC32" s="4"/>
      <c r="PD32" s="4"/>
      <c r="PE32" s="4"/>
      <c r="PF32" s="5"/>
      <c r="PG32" s="6"/>
      <c r="PH32" s="4"/>
      <c r="PI32" s="4"/>
      <c r="PJ32" s="4"/>
      <c r="PK32" s="4"/>
      <c r="PL32" s="4"/>
      <c r="PM32" s="5"/>
      <c r="PN32" s="6"/>
      <c r="PO32" s="4"/>
      <c r="PP32" s="4"/>
      <c r="PQ32" s="4"/>
      <c r="PR32" s="4"/>
      <c r="PS32" s="4"/>
      <c r="PT32" s="5"/>
      <c r="PU32" s="6"/>
      <c r="PV32" s="4"/>
      <c r="PW32" s="4"/>
      <c r="PX32" s="4"/>
      <c r="PY32" s="4"/>
      <c r="PZ32" s="4"/>
      <c r="QA32" s="5"/>
      <c r="QB32" s="6"/>
      <c r="QC32" s="4"/>
      <c r="QD32" s="4"/>
      <c r="QE32" s="4"/>
      <c r="QF32" s="4"/>
      <c r="QG32" s="4"/>
      <c r="QH32" s="5"/>
      <c r="QI32" s="6"/>
      <c r="QJ32" s="4"/>
      <c r="QK32" s="4"/>
      <c r="QL32" s="4"/>
      <c r="QM32" s="4"/>
      <c r="QN32" s="4"/>
      <c r="QO32" s="5"/>
      <c r="QP32" s="6"/>
      <c r="QQ32" s="4"/>
      <c r="QR32" s="4"/>
      <c r="QS32" s="4"/>
      <c r="QT32" s="4"/>
      <c r="QU32" s="4"/>
      <c r="QV32" s="5"/>
      <c r="QW32" s="6"/>
      <c r="QX32" s="4"/>
      <c r="QY32" s="4"/>
      <c r="QZ32" s="4"/>
      <c r="RA32" s="4"/>
      <c r="RB32" s="4"/>
      <c r="RC32" s="5"/>
      <c r="RD32" s="6"/>
      <c r="RE32" s="4"/>
      <c r="RF32" s="4"/>
      <c r="RG32" s="4"/>
      <c r="RH32" s="4"/>
      <c r="RI32" s="4"/>
      <c r="RJ32" s="5"/>
      <c r="RK32" s="6"/>
      <c r="RL32" s="4"/>
      <c r="RM32" s="4"/>
      <c r="RN32" s="4"/>
      <c r="RO32" s="4"/>
      <c r="RP32" s="4"/>
      <c r="RQ32" s="5"/>
      <c r="RR32" s="6"/>
      <c r="RS32" s="4"/>
      <c r="RT32" s="4"/>
      <c r="RU32" s="4"/>
      <c r="RV32" s="4"/>
      <c r="RW32" s="4"/>
      <c r="RX32" s="5"/>
      <c r="RY32" s="6"/>
      <c r="RZ32" s="4"/>
      <c r="SA32" s="4"/>
      <c r="SB32" s="4"/>
      <c r="SC32" s="4"/>
      <c r="SD32" s="4"/>
      <c r="SE32" s="5"/>
      <c r="SF32" s="6"/>
      <c r="SG32" s="4"/>
      <c r="SH32" s="4"/>
      <c r="SI32" s="4"/>
      <c r="SJ32" s="4"/>
      <c r="SK32" s="4"/>
      <c r="SL32" s="5"/>
      <c r="SM32" s="6"/>
      <c r="SN32" s="4"/>
      <c r="SO32" s="4"/>
      <c r="SP32" s="4"/>
      <c r="SQ32" s="4"/>
      <c r="SR32" s="4"/>
      <c r="SS32" s="5"/>
      <c r="ST32" s="6"/>
      <c r="SU32" s="4"/>
      <c r="SV32" s="4"/>
      <c r="SW32" s="4"/>
      <c r="SX32" s="4"/>
      <c r="SY32" s="4"/>
      <c r="SZ32" s="5"/>
      <c r="TA32" s="6"/>
      <c r="TB32" s="4"/>
      <c r="TC32" s="4"/>
      <c r="TD32" s="4"/>
      <c r="TE32" s="4"/>
      <c r="TF32" s="4"/>
      <c r="TG32" s="5"/>
      <c r="TH32" s="6"/>
      <c r="TI32" s="4"/>
      <c r="TJ32" s="4"/>
      <c r="TK32" s="4"/>
      <c r="TL32" s="4"/>
      <c r="TM32" s="4"/>
      <c r="TN32" s="5"/>
      <c r="TO32" s="6"/>
      <c r="TP32" s="4"/>
      <c r="TQ32" s="4"/>
      <c r="TR32" s="4"/>
      <c r="TS32" s="4"/>
      <c r="TT32" s="4"/>
      <c r="TU32" s="5"/>
      <c r="TV32" s="6"/>
      <c r="TW32" s="4"/>
      <c r="TX32" s="4"/>
      <c r="TY32" s="4"/>
      <c r="TZ32" s="4"/>
      <c r="UA32" s="4"/>
      <c r="UB32" s="5"/>
      <c r="UC32" s="6"/>
      <c r="UD32" s="4"/>
      <c r="UE32" s="4"/>
      <c r="UF32" s="4"/>
      <c r="UG32" s="4"/>
      <c r="UH32" s="4"/>
      <c r="UI32" s="5"/>
      <c r="UJ32" s="6"/>
      <c r="UK32" s="4"/>
      <c r="UL32" s="4"/>
      <c r="UM32" s="4"/>
      <c r="UN32" s="4"/>
      <c r="UO32" s="4"/>
      <c r="UP32" s="5"/>
      <c r="UQ32" s="6"/>
      <c r="UR32" s="4"/>
      <c r="US32" s="4"/>
      <c r="UT32" s="4"/>
      <c r="UU32" s="4"/>
      <c r="UV32" s="4"/>
      <c r="UW32" s="5"/>
      <c r="UX32" s="6"/>
      <c r="UY32" s="4"/>
      <c r="UZ32" s="4"/>
      <c r="VA32" s="4"/>
      <c r="VB32" s="4"/>
      <c r="VC32" s="4"/>
      <c r="VD32" s="5"/>
      <c r="VE32" s="6"/>
      <c r="VF32" s="4"/>
      <c r="VG32" s="4"/>
      <c r="VH32" s="4"/>
      <c r="VI32" s="4"/>
      <c r="VJ32" s="4"/>
      <c r="VK32" s="5"/>
      <c r="VL32" s="6"/>
      <c r="VM32" s="4"/>
      <c r="VN32" s="4"/>
      <c r="VO32" s="7"/>
      <c r="VP32" s="8"/>
      <c r="VQ32" s="8"/>
      <c r="VR32" s="5"/>
      <c r="VS32" s="6"/>
      <c r="VT32" s="4"/>
      <c r="VU32" s="4"/>
      <c r="VV32" s="4"/>
      <c r="VW32" s="4"/>
      <c r="VX32" s="4"/>
      <c r="VY32" s="5"/>
      <c r="VZ32" s="6"/>
      <c r="WA32" s="4"/>
      <c r="WB32" s="4"/>
      <c r="WC32" s="4"/>
      <c r="WD32" s="4"/>
      <c r="WE32" s="4"/>
      <c r="WF32" s="5"/>
      <c r="WG32" s="6"/>
      <c r="WH32" s="4"/>
      <c r="WI32" s="4"/>
      <c r="WJ32" s="4"/>
      <c r="WK32" s="4"/>
      <c r="WL32" s="4"/>
      <c r="WM32" s="5"/>
      <c r="WN32" s="6"/>
      <c r="WO32" s="4"/>
      <c r="WP32" s="4"/>
      <c r="WQ32" s="4"/>
      <c r="WR32" s="4"/>
      <c r="WS32" s="4"/>
      <c r="WT32" s="5"/>
      <c r="WU32" s="6"/>
      <c r="WV32" s="4"/>
      <c r="WW32" s="4"/>
      <c r="WX32" s="4"/>
      <c r="WY32" s="4"/>
      <c r="WZ32" s="4"/>
      <c r="XA32" s="5"/>
      <c r="XB32" s="6"/>
      <c r="XC32" s="4"/>
      <c r="XD32" s="4"/>
      <c r="XE32" s="4"/>
      <c r="XF32" s="4"/>
      <c r="XG32" s="4"/>
      <c r="XH32" s="5"/>
      <c r="XI32" s="6"/>
      <c r="XJ32" s="4"/>
      <c r="XK32" s="4"/>
      <c r="XL32" s="4"/>
      <c r="XM32" s="4"/>
      <c r="XN32" s="4"/>
      <c r="XO32" s="5"/>
      <c r="XP32" s="6"/>
      <c r="XQ32" s="4"/>
      <c r="XR32" s="4"/>
      <c r="XS32" s="4"/>
      <c r="XT32" s="4"/>
      <c r="XU32" s="4"/>
      <c r="XV32" s="5"/>
      <c r="XW32" s="6"/>
      <c r="XX32" s="4"/>
      <c r="XY32" s="4"/>
      <c r="XZ32" s="4"/>
      <c r="YA32" s="4"/>
      <c r="YB32" s="4"/>
      <c r="YC32" s="5"/>
      <c r="YD32" s="6"/>
      <c r="YE32" s="4"/>
      <c r="YF32" s="4"/>
      <c r="YG32" s="4"/>
      <c r="YH32" s="4"/>
      <c r="YI32" s="4"/>
      <c r="YJ32" s="5"/>
      <c r="YK32" s="6"/>
      <c r="YL32" s="4"/>
      <c r="YM32" s="4"/>
      <c r="YN32" s="4"/>
      <c r="YO32" s="4"/>
      <c r="YP32" s="4"/>
      <c r="YQ32" s="5"/>
      <c r="YR32" s="6"/>
      <c r="YS32" s="4"/>
      <c r="YT32" s="4"/>
      <c r="YU32" s="4"/>
      <c r="YV32" s="4"/>
      <c r="YW32" s="4"/>
      <c r="YX32" s="5"/>
      <c r="YY32" s="6"/>
      <c r="YZ32" s="4"/>
      <c r="ZA32" s="4"/>
      <c r="ZB32" s="4"/>
      <c r="ZC32" s="4"/>
      <c r="ZD32" s="4"/>
      <c r="ZE32" s="5"/>
      <c r="ZF32" s="6"/>
      <c r="ZG32" s="4"/>
      <c r="ZH32" s="4"/>
      <c r="ZI32" s="4"/>
      <c r="ZJ32" s="4"/>
      <c r="ZK32" s="4"/>
      <c r="ZL32" s="5"/>
      <c r="ZM32" s="6"/>
      <c r="ZN32" s="4"/>
      <c r="ZO32" s="4"/>
      <c r="ZP32" s="4"/>
      <c r="ZQ32" s="4"/>
      <c r="ZR32" s="4"/>
      <c r="ZS32" s="5"/>
      <c r="ZT32" s="6"/>
      <c r="ZU32" s="4"/>
      <c r="ZV32" s="4"/>
      <c r="ZW32" s="4"/>
      <c r="ZX32" s="4"/>
      <c r="ZY32" s="4"/>
      <c r="ZZ32" s="5"/>
      <c r="AAA32" s="6"/>
      <c r="AAB32" s="4"/>
      <c r="AAC32" s="4"/>
      <c r="AAD32" s="4"/>
      <c r="AAE32" s="4"/>
      <c r="AAF32" s="4"/>
      <c r="AAG32" s="5"/>
      <c r="AAH32" s="6"/>
      <c r="AAI32" s="4"/>
      <c r="AAJ32" s="4"/>
      <c r="AAK32" s="4"/>
      <c r="AAL32" s="4"/>
      <c r="AAM32" s="4"/>
      <c r="AAN32" s="5"/>
      <c r="AAO32" s="6"/>
      <c r="AAP32" s="4"/>
      <c r="AAQ32" s="4"/>
      <c r="AAR32" s="4"/>
      <c r="AAS32" s="4"/>
      <c r="AAT32" s="4"/>
      <c r="AAU32" s="5"/>
      <c r="AAV32" s="6"/>
      <c r="AAW32" s="4"/>
      <c r="AAX32" s="4"/>
      <c r="AAY32" s="4"/>
      <c r="AAZ32" s="4"/>
      <c r="ABA32" s="4"/>
      <c r="ABB32" s="5"/>
      <c r="ABC32" s="6"/>
      <c r="ABD32" s="4"/>
      <c r="ABE32" s="4"/>
      <c r="ABF32" s="4"/>
      <c r="ABG32" s="4"/>
      <c r="ABH32" s="4"/>
      <c r="ABI32" s="5"/>
      <c r="ABJ32" s="6"/>
      <c r="ABK32" s="4"/>
      <c r="ABL32" s="4"/>
      <c r="ABM32" s="4"/>
      <c r="ABN32" s="4"/>
      <c r="ABO32" s="4"/>
      <c r="ABP32" s="5"/>
      <c r="ABQ32" s="6"/>
      <c r="ABR32" s="4"/>
      <c r="ABS32" s="4"/>
      <c r="ABT32" s="4"/>
      <c r="ABU32" s="4"/>
      <c r="ABV32" s="4"/>
      <c r="ABW32" s="5"/>
      <c r="ABX32" s="6"/>
      <c r="ABY32" s="4"/>
      <c r="ABZ32" s="4"/>
      <c r="ACA32" s="4"/>
      <c r="ACB32" s="4"/>
      <c r="ACC32" s="4"/>
      <c r="ACD32" s="5"/>
      <c r="ACE32" s="6"/>
      <c r="ACF32" s="4"/>
      <c r="ACG32" s="4"/>
      <c r="ACH32" s="4"/>
      <c r="ACI32" s="4"/>
      <c r="ACJ32" s="4"/>
      <c r="ACK32" s="5"/>
      <c r="ACL32" s="6"/>
      <c r="ACM32" s="4"/>
      <c r="ACN32" s="4"/>
      <c r="ACO32" s="4"/>
      <c r="ACP32" s="4"/>
      <c r="ACQ32" s="4"/>
      <c r="ACR32" s="5"/>
      <c r="ACS32" s="6"/>
      <c r="ACT32" s="4"/>
      <c r="ACU32" s="4"/>
      <c r="ACV32" s="4"/>
      <c r="ACW32" s="4"/>
      <c r="ACX32" s="4"/>
      <c r="ACY32" s="5"/>
    </row>
    <row r="33" spans="2:816" x14ac:dyDescent="0.25">
      <c r="B33" s="29">
        <v>92900215</v>
      </c>
      <c r="C33">
        <v>80</v>
      </c>
      <c r="D33" t="s">
        <v>2121</v>
      </c>
      <c r="F33" s="23">
        <v>0</v>
      </c>
      <c r="I33">
        <v>1</v>
      </c>
      <c r="J33" s="19">
        <v>33528</v>
      </c>
      <c r="K33" s="19"/>
      <c r="L33" s="19"/>
      <c r="M33">
        <v>1</v>
      </c>
      <c r="N33" s="17">
        <v>33528</v>
      </c>
      <c r="LL33" s="6" t="s">
        <v>2543</v>
      </c>
      <c r="LM33" s="4" t="s">
        <v>2203</v>
      </c>
      <c r="LN33" s="4" t="s">
        <v>2470</v>
      </c>
      <c r="LO33" s="7" t="s">
        <v>2134</v>
      </c>
      <c r="LP33" s="8">
        <v>33503</v>
      </c>
      <c r="LQ33" s="8">
        <v>33528</v>
      </c>
      <c r="LR33" s="5"/>
      <c r="LS33" s="6"/>
      <c r="LT33" s="4"/>
      <c r="LU33" s="4"/>
      <c r="LV33" s="4"/>
      <c r="LW33" s="4"/>
      <c r="LX33" s="4"/>
      <c r="LY33" s="5"/>
      <c r="LZ33" s="6" t="s">
        <v>2289</v>
      </c>
      <c r="MA33" s="7" t="s">
        <v>2133</v>
      </c>
      <c r="MB33" s="4" t="s">
        <v>2111</v>
      </c>
      <c r="MC33" s="7" t="s">
        <v>2134</v>
      </c>
      <c r="MD33" s="8">
        <v>33503</v>
      </c>
      <c r="ME33" s="8">
        <v>33523</v>
      </c>
      <c r="MF33" s="8"/>
      <c r="MG33" s="5"/>
      <c r="MH33" s="6"/>
      <c r="MI33" s="4"/>
      <c r="MJ33" s="4"/>
      <c r="MK33" s="4"/>
      <c r="ML33" s="4"/>
      <c r="MM33" s="4"/>
      <c r="MN33" s="5"/>
      <c r="MO33" s="6"/>
      <c r="MP33" s="4"/>
      <c r="MQ33" s="4"/>
      <c r="MR33" s="4"/>
      <c r="MS33" s="4"/>
      <c r="MT33" s="4"/>
      <c r="MU33" s="5"/>
      <c r="MV33" s="6"/>
      <c r="MW33" s="4"/>
      <c r="MX33" s="4"/>
      <c r="MY33" s="4"/>
      <c r="MZ33" s="4"/>
      <c r="NA33" s="4"/>
      <c r="NB33" s="5"/>
      <c r="NC33" s="6" t="s">
        <v>1540</v>
      </c>
      <c r="ND33" s="4" t="s">
        <v>1461</v>
      </c>
      <c r="NE33" s="4"/>
      <c r="NF33" s="4" t="s">
        <v>2205</v>
      </c>
      <c r="NG33" s="8">
        <v>33528</v>
      </c>
      <c r="NH33" s="8">
        <v>33529</v>
      </c>
      <c r="NI33" s="5" t="s">
        <v>1462</v>
      </c>
      <c r="NJ33" s="6"/>
      <c r="NK33" s="4"/>
      <c r="NL33" s="4"/>
      <c r="NM33" s="4"/>
      <c r="NN33" s="4"/>
      <c r="NO33" s="4"/>
      <c r="NP33" s="5"/>
      <c r="NQ33" s="6" t="s">
        <v>2347</v>
      </c>
      <c r="NR33" s="4" t="s">
        <v>2348</v>
      </c>
      <c r="NS33" s="4" t="s">
        <v>2111</v>
      </c>
      <c r="NT33" s="7" t="s">
        <v>2204</v>
      </c>
      <c r="NU33" s="8">
        <v>33503</v>
      </c>
      <c r="NV33" s="8">
        <v>33528</v>
      </c>
      <c r="NW33" s="5"/>
      <c r="NX33" s="6"/>
      <c r="NY33" s="4"/>
      <c r="NZ33" s="4"/>
      <c r="OA33" s="4"/>
      <c r="OB33" s="4"/>
      <c r="OC33" s="4"/>
      <c r="OD33" s="5"/>
      <c r="OE33" s="6"/>
      <c r="OF33" s="4"/>
      <c r="OG33" s="4"/>
      <c r="OH33" s="4"/>
      <c r="OI33" s="4"/>
      <c r="OJ33" s="4"/>
      <c r="OK33" s="5"/>
      <c r="OL33" s="6"/>
      <c r="OM33" s="4"/>
      <c r="ON33" s="4"/>
      <c r="OO33" s="4"/>
      <c r="OP33" s="4"/>
      <c r="OQ33" s="4"/>
      <c r="OR33" s="5"/>
      <c r="OS33" s="6"/>
      <c r="OT33" s="4"/>
      <c r="OU33" s="4"/>
      <c r="OV33" s="4"/>
      <c r="OW33" s="4"/>
      <c r="OX33" s="4"/>
      <c r="OY33" s="5"/>
      <c r="OZ33" s="6"/>
      <c r="PA33" s="4"/>
      <c r="PB33" s="4"/>
      <c r="PC33" s="4"/>
      <c r="PD33" s="4"/>
      <c r="PE33" s="4"/>
      <c r="PF33" s="5"/>
      <c r="PG33" s="6"/>
      <c r="PH33" s="4"/>
      <c r="PI33" s="4"/>
      <c r="PJ33" s="4"/>
      <c r="PK33" s="4"/>
      <c r="PL33" s="4"/>
      <c r="PM33" s="5"/>
      <c r="PN33" s="6"/>
      <c r="PO33" s="4"/>
      <c r="PP33" s="4"/>
      <c r="PQ33" s="4"/>
      <c r="PR33" s="4"/>
      <c r="PS33" s="4"/>
      <c r="PT33" s="5"/>
      <c r="PU33" s="6"/>
      <c r="PV33" s="4"/>
      <c r="PW33" s="4"/>
      <c r="PX33" s="4"/>
      <c r="PY33" s="4"/>
      <c r="PZ33" s="4"/>
      <c r="QA33" s="5"/>
      <c r="QB33" s="6" t="s">
        <v>2558</v>
      </c>
      <c r="QC33" s="4" t="s">
        <v>2559</v>
      </c>
      <c r="QD33" s="4" t="s">
        <v>2416</v>
      </c>
      <c r="QE33" s="7" t="s">
        <v>2204</v>
      </c>
      <c r="QF33" s="8">
        <v>33503</v>
      </c>
      <c r="QG33" s="8">
        <v>33528</v>
      </c>
      <c r="QH33" s="5" t="s">
        <v>2417</v>
      </c>
      <c r="QI33" s="6"/>
      <c r="QJ33" s="4"/>
      <c r="QK33" s="4"/>
      <c r="QL33" s="4"/>
      <c r="QM33" s="4"/>
      <c r="QN33" s="4"/>
      <c r="QO33" s="5"/>
      <c r="QP33" s="6"/>
      <c r="QQ33" s="4"/>
      <c r="QR33" s="4"/>
      <c r="QS33" s="4"/>
      <c r="QT33" s="4"/>
      <c r="QU33" s="4"/>
      <c r="QV33" s="5"/>
      <c r="QW33" s="6"/>
      <c r="QX33" s="4"/>
      <c r="QY33" s="4"/>
      <c r="QZ33" s="4"/>
      <c r="RA33" s="4"/>
      <c r="RB33" s="4"/>
      <c r="RC33" s="5"/>
      <c r="RD33" s="6"/>
      <c r="RE33" s="4"/>
      <c r="RF33" s="4"/>
      <c r="RG33" s="4"/>
      <c r="RH33" s="4"/>
      <c r="RI33" s="4"/>
      <c r="RJ33" s="5"/>
      <c r="RK33" s="6"/>
      <c r="RL33" s="4"/>
      <c r="RM33" s="4"/>
      <c r="RN33" s="4"/>
      <c r="RO33" s="4"/>
      <c r="RP33" s="4"/>
      <c r="RQ33" s="5"/>
      <c r="RR33" s="6"/>
      <c r="RS33" s="4"/>
      <c r="RT33" s="4"/>
      <c r="RU33" s="4"/>
      <c r="RV33" s="4"/>
      <c r="RW33" s="4"/>
      <c r="RX33" s="5"/>
      <c r="RY33" s="6"/>
      <c r="RZ33" s="4"/>
      <c r="SA33" s="4"/>
      <c r="SB33" s="4"/>
      <c r="SC33" s="4"/>
      <c r="SD33" s="4"/>
      <c r="SE33" s="5"/>
      <c r="SF33" s="6"/>
      <c r="SG33" s="4"/>
      <c r="SH33" s="4"/>
      <c r="SI33" s="4"/>
      <c r="SJ33" s="4"/>
      <c r="SK33" s="4"/>
      <c r="SL33" s="5"/>
      <c r="SM33" s="6"/>
      <c r="SN33" s="4"/>
      <c r="SO33" s="4"/>
      <c r="SP33" s="4"/>
      <c r="SQ33" s="4"/>
      <c r="SR33" s="4"/>
      <c r="SS33" s="5"/>
      <c r="ST33" s="6"/>
      <c r="SU33" s="4"/>
      <c r="SV33" s="4"/>
      <c r="SW33" s="4"/>
      <c r="SX33" s="4"/>
      <c r="SY33" s="4"/>
      <c r="SZ33" s="5"/>
      <c r="TA33" s="6"/>
      <c r="TB33" s="4"/>
      <c r="TC33" s="4"/>
      <c r="TD33" s="4"/>
      <c r="TE33" s="4"/>
      <c r="TF33" s="4"/>
      <c r="TG33" s="5"/>
      <c r="TH33" s="6"/>
      <c r="TI33" s="4"/>
      <c r="TJ33" s="4"/>
      <c r="TK33" s="4"/>
      <c r="TL33" s="4"/>
      <c r="TM33" s="4"/>
      <c r="TN33" s="5"/>
      <c r="TO33" s="6"/>
      <c r="TP33" s="4"/>
      <c r="TQ33" s="4"/>
      <c r="TR33" s="4"/>
      <c r="TS33" s="4"/>
      <c r="TT33" s="4"/>
      <c r="TU33" s="5"/>
      <c r="TV33" s="6"/>
      <c r="TW33" s="4"/>
      <c r="TX33" s="4"/>
      <c r="TY33" s="4"/>
      <c r="TZ33" s="4"/>
      <c r="UA33" s="4"/>
      <c r="UB33" s="5"/>
      <c r="UC33" s="6"/>
      <c r="UD33" s="4"/>
      <c r="UE33" s="4"/>
      <c r="UF33" s="4"/>
      <c r="UG33" s="4"/>
      <c r="UH33" s="4"/>
      <c r="UI33" s="5"/>
      <c r="UJ33" s="6"/>
      <c r="UK33" s="4"/>
      <c r="UL33" s="4"/>
      <c r="UM33" s="4"/>
      <c r="UN33" s="4"/>
      <c r="UO33" s="4"/>
      <c r="UP33" s="5"/>
      <c r="UQ33" s="6"/>
      <c r="UR33" s="4"/>
      <c r="US33" s="4"/>
      <c r="UT33" s="4"/>
      <c r="UU33" s="4"/>
      <c r="UV33" s="4"/>
      <c r="UW33" s="5"/>
      <c r="UX33" s="6" t="s">
        <v>2354</v>
      </c>
      <c r="UY33" s="4" t="s">
        <v>2389</v>
      </c>
      <c r="UZ33" s="4" t="s">
        <v>2390</v>
      </c>
      <c r="VA33" s="7" t="s">
        <v>2134</v>
      </c>
      <c r="VB33" s="8">
        <v>33503</v>
      </c>
      <c r="VC33" s="8">
        <v>33528</v>
      </c>
      <c r="VD33" s="5"/>
      <c r="VE33" s="6"/>
      <c r="VF33" s="4"/>
      <c r="VG33" s="4"/>
      <c r="VH33" s="4"/>
      <c r="VI33" s="4"/>
      <c r="VJ33" s="4"/>
      <c r="VK33" s="5"/>
      <c r="VL33" s="6"/>
      <c r="VM33" s="4"/>
      <c r="VN33" s="4"/>
      <c r="VO33" s="4"/>
      <c r="VP33" s="4"/>
      <c r="VQ33" s="4"/>
      <c r="VR33" s="5"/>
      <c r="VS33" s="6"/>
      <c r="VT33" s="4"/>
      <c r="VU33" s="4"/>
      <c r="VV33" s="4"/>
      <c r="VW33" s="4"/>
      <c r="VX33" s="4"/>
      <c r="VY33" s="5"/>
      <c r="VZ33" s="6"/>
      <c r="WA33" s="4"/>
      <c r="WB33" s="4"/>
      <c r="WC33" s="4"/>
      <c r="WD33" s="4"/>
      <c r="WE33" s="4"/>
      <c r="WF33" s="5"/>
      <c r="WG33" s="6"/>
      <c r="WH33" s="4"/>
      <c r="WI33" s="4"/>
      <c r="WJ33" s="4"/>
      <c r="WK33" s="4"/>
      <c r="WL33" s="4"/>
      <c r="WM33" s="5"/>
      <c r="WN33" s="6"/>
      <c r="WO33" s="4"/>
      <c r="WP33" s="4"/>
      <c r="WQ33" s="4"/>
      <c r="WR33" s="4"/>
      <c r="WS33" s="4"/>
      <c r="WT33" s="5"/>
      <c r="WU33" s="6"/>
      <c r="WV33" s="4"/>
      <c r="WW33" s="4"/>
      <c r="WX33" s="4"/>
      <c r="WY33" s="4"/>
      <c r="WZ33" s="4"/>
      <c r="XA33" s="5"/>
      <c r="XB33" s="6"/>
      <c r="XC33" s="4"/>
      <c r="XD33" s="4"/>
      <c r="XE33" s="4"/>
      <c r="XF33" s="4"/>
      <c r="XG33" s="4"/>
      <c r="XH33" s="5"/>
      <c r="XI33" s="6"/>
      <c r="XJ33" s="4"/>
      <c r="XK33" s="4"/>
      <c r="XL33" s="4"/>
      <c r="XM33" s="4"/>
      <c r="XN33" s="4"/>
      <c r="XO33" s="5"/>
      <c r="XP33" s="6" t="s">
        <v>2351</v>
      </c>
      <c r="XQ33" s="4" t="s">
        <v>2352</v>
      </c>
      <c r="XR33" s="4" t="s">
        <v>2353</v>
      </c>
      <c r="XS33" s="7" t="s">
        <v>2134</v>
      </c>
      <c r="XT33" s="8">
        <v>33503</v>
      </c>
      <c r="XU33" s="8">
        <v>33528</v>
      </c>
      <c r="XV33" s="5"/>
      <c r="XW33" s="6"/>
      <c r="XX33" s="4"/>
      <c r="XY33" s="4"/>
      <c r="XZ33" s="4"/>
      <c r="YA33" s="4"/>
      <c r="YB33" s="4"/>
      <c r="YC33" s="5"/>
      <c r="YD33" s="6"/>
      <c r="YE33" s="4"/>
      <c r="YF33" s="4"/>
      <c r="YG33" s="4"/>
      <c r="YH33" s="4"/>
      <c r="YI33" s="4"/>
      <c r="YJ33" s="5"/>
      <c r="YK33" s="6"/>
      <c r="YL33" s="4"/>
      <c r="YM33" s="4"/>
      <c r="YN33" s="4"/>
      <c r="YO33" s="4"/>
      <c r="YP33" s="4"/>
      <c r="YQ33" s="5"/>
      <c r="YR33" s="6"/>
      <c r="YS33" s="4"/>
      <c r="YT33" s="4"/>
      <c r="YU33" s="4"/>
      <c r="YV33" s="4"/>
      <c r="YW33" s="4"/>
      <c r="YX33" s="5"/>
      <c r="YY33" s="6"/>
      <c r="YZ33" s="4"/>
      <c r="ZA33" s="4"/>
      <c r="ZB33" s="4"/>
      <c r="ZC33" s="4"/>
      <c r="ZD33" s="4"/>
      <c r="ZE33" s="5"/>
      <c r="ZF33" s="6"/>
      <c r="ZG33" s="4"/>
      <c r="ZH33" s="4"/>
      <c r="ZI33" s="4"/>
      <c r="ZJ33" s="4"/>
      <c r="ZK33" s="4"/>
      <c r="ZL33" s="5"/>
      <c r="ZM33" s="6"/>
      <c r="ZN33" s="4"/>
      <c r="ZO33" s="4"/>
      <c r="ZP33" s="4"/>
      <c r="ZQ33" s="4"/>
      <c r="ZR33" s="4"/>
      <c r="ZS33" s="5"/>
      <c r="ZT33" s="6"/>
      <c r="ZU33" s="4"/>
      <c r="ZV33" s="4"/>
      <c r="ZW33" s="4"/>
      <c r="ZX33" s="4"/>
      <c r="ZY33" s="4"/>
      <c r="ZZ33" s="5"/>
      <c r="AAA33" s="6"/>
      <c r="AAB33" s="4"/>
      <c r="AAC33" s="4"/>
      <c r="AAD33" s="4"/>
      <c r="AAE33" s="4"/>
      <c r="AAF33" s="4"/>
      <c r="AAG33" s="5"/>
      <c r="AAH33" s="6" t="s">
        <v>2206</v>
      </c>
      <c r="AAI33" s="4" t="s">
        <v>2551</v>
      </c>
      <c r="AAJ33" s="4" t="s">
        <v>2552</v>
      </c>
      <c r="AAK33" s="7" t="s">
        <v>2204</v>
      </c>
      <c r="AAL33" s="8">
        <v>33503</v>
      </c>
      <c r="AAM33" s="8">
        <v>33523</v>
      </c>
      <c r="AAN33" s="5"/>
      <c r="AAO33" s="6"/>
      <c r="AAP33" s="4"/>
      <c r="AAQ33" s="4"/>
      <c r="AAR33" s="4"/>
      <c r="AAS33" s="4"/>
      <c r="AAT33" s="4"/>
      <c r="AAU33" s="5"/>
      <c r="AAV33" s="6"/>
      <c r="AAW33" s="4"/>
      <c r="AAX33" s="4"/>
      <c r="AAY33" s="4"/>
      <c r="AAZ33" s="4"/>
      <c r="ABA33" s="4"/>
      <c r="ABB33" s="5"/>
      <c r="ABC33" s="6"/>
      <c r="ABD33" s="4"/>
      <c r="ABE33" s="4"/>
      <c r="ABF33" s="4"/>
      <c r="ABG33" s="4"/>
      <c r="ABH33" s="4"/>
      <c r="ABI33" s="5"/>
      <c r="ABJ33" s="6"/>
      <c r="ABK33" s="4"/>
      <c r="ABL33" s="4"/>
      <c r="ABM33" s="4"/>
      <c r="ABN33" s="4"/>
      <c r="ABO33" s="4"/>
      <c r="ABP33" s="5"/>
      <c r="ABQ33" s="6"/>
      <c r="ABR33" s="4"/>
      <c r="ABS33" s="4"/>
      <c r="ABT33" s="4"/>
      <c r="ABU33" s="4"/>
      <c r="ABV33" s="4"/>
      <c r="ABW33" s="5"/>
      <c r="ABX33" s="6"/>
      <c r="ABY33" s="4"/>
      <c r="ABZ33" s="4"/>
      <c r="ACA33" s="4"/>
      <c r="ACB33" s="4"/>
      <c r="ACC33" s="4"/>
      <c r="ACD33" s="5"/>
      <c r="ACE33" s="6"/>
      <c r="ACF33" s="4"/>
      <c r="ACG33" s="4"/>
      <c r="ACH33" s="4"/>
      <c r="ACI33" s="4"/>
      <c r="ACJ33" s="4"/>
      <c r="ACK33" s="5"/>
      <c r="ACL33" s="6"/>
      <c r="ACM33" s="4"/>
      <c r="ACN33" s="4"/>
      <c r="ACO33" s="4"/>
      <c r="ACP33" s="4"/>
      <c r="ACQ33" s="4"/>
      <c r="ACR33" s="5"/>
      <c r="ACS33" s="6"/>
      <c r="ACT33" s="4"/>
      <c r="ACU33" s="4"/>
      <c r="ACV33" s="4"/>
      <c r="ACW33" s="4"/>
      <c r="ACX33" s="4"/>
      <c r="ACY33" s="5"/>
      <c r="ADF33" t="s">
        <v>1463</v>
      </c>
      <c r="ADP33" t="s">
        <v>1464</v>
      </c>
    </row>
    <row r="34" spans="2:816" s="27" customFormat="1" x14ac:dyDescent="0.25">
      <c r="B34" s="49">
        <v>92900471</v>
      </c>
      <c r="C34" s="27">
        <v>39</v>
      </c>
      <c r="D34" s="27" t="s">
        <v>2121</v>
      </c>
      <c r="F34" s="45" t="s">
        <v>1781</v>
      </c>
      <c r="G34" s="45"/>
      <c r="H34" s="45"/>
      <c r="J34" s="46"/>
      <c r="K34" s="46"/>
      <c r="L34" s="46"/>
      <c r="M34" s="27">
        <v>1</v>
      </c>
      <c r="N34" s="51">
        <v>33767</v>
      </c>
      <c r="O34" s="27" t="s">
        <v>620</v>
      </c>
      <c r="EK34" s="27">
        <v>1</v>
      </c>
      <c r="LL34" s="11"/>
      <c r="LM34" s="7"/>
      <c r="LN34" s="7"/>
      <c r="LO34" s="7"/>
      <c r="LP34" s="7"/>
      <c r="LQ34" s="7"/>
      <c r="LR34" s="40"/>
      <c r="LS34" s="11"/>
      <c r="LT34" s="7"/>
      <c r="LU34" s="7"/>
      <c r="LV34" s="7"/>
      <c r="LW34" s="7"/>
      <c r="LX34" s="7"/>
      <c r="LY34" s="40"/>
      <c r="LZ34" s="11" t="s">
        <v>1043</v>
      </c>
      <c r="MA34" s="7" t="s">
        <v>2375</v>
      </c>
      <c r="MB34" s="7" t="s">
        <v>1931</v>
      </c>
      <c r="MC34" s="7" t="s">
        <v>2702</v>
      </c>
      <c r="MD34" s="9">
        <v>33764</v>
      </c>
      <c r="ME34" s="9">
        <v>33765</v>
      </c>
      <c r="MF34" s="9" t="s">
        <v>678</v>
      </c>
      <c r="MG34" s="40" t="s">
        <v>679</v>
      </c>
      <c r="MH34" s="11"/>
      <c r="MI34" s="7"/>
      <c r="MJ34" s="7"/>
      <c r="MK34" s="7"/>
      <c r="ML34" s="7"/>
      <c r="MM34" s="7"/>
      <c r="MN34" s="40"/>
      <c r="MO34" s="11"/>
      <c r="MP34" s="7"/>
      <c r="MQ34" s="7"/>
      <c r="MR34" s="7"/>
      <c r="MS34" s="7"/>
      <c r="MT34" s="7"/>
      <c r="MU34" s="40"/>
      <c r="MV34" s="11"/>
      <c r="MW34" s="7"/>
      <c r="MX34" s="7"/>
      <c r="MY34" s="7"/>
      <c r="MZ34" s="7"/>
      <c r="NA34" s="7"/>
      <c r="NB34" s="40"/>
      <c r="NC34" s="11"/>
      <c r="ND34" s="7"/>
      <c r="NE34" s="7"/>
      <c r="NF34" s="7"/>
      <c r="NG34" s="7"/>
      <c r="NH34" s="7"/>
      <c r="NI34" s="40"/>
      <c r="NJ34" s="11"/>
      <c r="NK34" s="7"/>
      <c r="NL34" s="7"/>
      <c r="NM34" s="7"/>
      <c r="NN34" s="7"/>
      <c r="NO34" s="7"/>
      <c r="NP34" s="40"/>
      <c r="NQ34" s="11"/>
      <c r="NR34" s="7"/>
      <c r="NS34" s="7"/>
      <c r="NT34" s="7"/>
      <c r="NU34" s="7"/>
      <c r="NV34" s="7"/>
      <c r="NW34" s="40"/>
      <c r="NX34" s="11"/>
      <c r="NY34" s="7"/>
      <c r="NZ34" s="7"/>
      <c r="OA34" s="7"/>
      <c r="OB34" s="7"/>
      <c r="OC34" s="7"/>
      <c r="OD34" s="40"/>
      <c r="OE34" s="11"/>
      <c r="OF34" s="7"/>
      <c r="OG34" s="7"/>
      <c r="OH34" s="7"/>
      <c r="OI34" s="7"/>
      <c r="OJ34" s="7"/>
      <c r="OK34" s="40"/>
      <c r="OL34" s="11"/>
      <c r="OM34" s="7"/>
      <c r="ON34" s="7"/>
      <c r="OO34" s="7"/>
      <c r="OP34" s="7"/>
      <c r="OQ34" s="7"/>
      <c r="OR34" s="40"/>
      <c r="OS34" s="11"/>
      <c r="OT34" s="7"/>
      <c r="OU34" s="7"/>
      <c r="OV34" s="7"/>
      <c r="OW34" s="7"/>
      <c r="OX34" s="7"/>
      <c r="OY34" s="40"/>
      <c r="OZ34" s="11"/>
      <c r="PA34" s="7"/>
      <c r="PB34" s="7"/>
      <c r="PC34" s="7"/>
      <c r="PD34" s="7"/>
      <c r="PE34" s="7"/>
      <c r="PF34" s="40"/>
      <c r="PG34" s="11"/>
      <c r="PH34" s="7"/>
      <c r="PI34" s="7"/>
      <c r="PJ34" s="7"/>
      <c r="PK34" s="7"/>
      <c r="PL34" s="7"/>
      <c r="PM34" s="40"/>
      <c r="PN34" s="11"/>
      <c r="PO34" s="7"/>
      <c r="PP34" s="7"/>
      <c r="PQ34" s="7"/>
      <c r="PR34" s="7"/>
      <c r="PS34" s="7"/>
      <c r="PT34" s="40"/>
      <c r="PU34" s="11"/>
      <c r="PV34" s="7"/>
      <c r="PW34" s="7"/>
      <c r="PX34" s="7"/>
      <c r="PY34" s="7"/>
      <c r="PZ34" s="7"/>
      <c r="QA34" s="40"/>
      <c r="QB34" s="11"/>
      <c r="QC34" s="7"/>
      <c r="QD34" s="7"/>
      <c r="QE34" s="7"/>
      <c r="QF34" s="7"/>
      <c r="QG34" s="7"/>
      <c r="QH34" s="40"/>
      <c r="QI34" s="11"/>
      <c r="QJ34" s="7"/>
      <c r="QK34" s="7"/>
      <c r="QL34" s="7"/>
      <c r="QM34" s="7"/>
      <c r="QN34" s="7"/>
      <c r="QO34" s="40"/>
      <c r="QP34" s="11"/>
      <c r="QQ34" s="7"/>
      <c r="QR34" s="7"/>
      <c r="QS34" s="7"/>
      <c r="QT34" s="7"/>
      <c r="QU34" s="7"/>
      <c r="QV34" s="40"/>
      <c r="QW34" s="11"/>
      <c r="QX34" s="7"/>
      <c r="QY34" s="7"/>
      <c r="QZ34" s="7"/>
      <c r="RA34" s="7"/>
      <c r="RB34" s="7"/>
      <c r="RC34" s="40"/>
      <c r="RD34" s="11"/>
      <c r="RE34" s="7"/>
      <c r="RF34" s="7"/>
      <c r="RG34" s="7"/>
      <c r="RH34" s="7"/>
      <c r="RI34" s="7"/>
      <c r="RJ34" s="40"/>
      <c r="RK34" s="11"/>
      <c r="RL34" s="7"/>
      <c r="RM34" s="7"/>
      <c r="RN34" s="7"/>
      <c r="RO34" s="7"/>
      <c r="RP34" s="7"/>
      <c r="RQ34" s="40"/>
      <c r="RR34" s="11"/>
      <c r="RS34" s="7"/>
      <c r="RT34" s="7"/>
      <c r="RU34" s="7"/>
      <c r="RV34" s="7"/>
      <c r="RW34" s="7"/>
      <c r="RX34" s="40"/>
      <c r="RY34" s="11"/>
      <c r="RZ34" s="7"/>
      <c r="SA34" s="7"/>
      <c r="SB34" s="7"/>
      <c r="SC34" s="7"/>
      <c r="SD34" s="7"/>
      <c r="SE34" s="40"/>
      <c r="SF34" s="11"/>
      <c r="SG34" s="7"/>
      <c r="SH34" s="7"/>
      <c r="SI34" s="7"/>
      <c r="SJ34" s="7"/>
      <c r="SK34" s="7"/>
      <c r="SL34" s="40"/>
      <c r="SM34" s="11"/>
      <c r="SN34" s="7"/>
      <c r="SO34" s="7"/>
      <c r="SP34" s="7"/>
      <c r="SQ34" s="7"/>
      <c r="SR34" s="7"/>
      <c r="SS34" s="40"/>
      <c r="ST34" s="11"/>
      <c r="SU34" s="7"/>
      <c r="SV34" s="7"/>
      <c r="SW34" s="7"/>
      <c r="SX34" s="7"/>
      <c r="SY34" s="7"/>
      <c r="SZ34" s="40"/>
      <c r="TA34" s="11"/>
      <c r="TB34" s="7"/>
      <c r="TC34" s="7"/>
      <c r="TD34" s="7"/>
      <c r="TE34" s="7"/>
      <c r="TF34" s="7"/>
      <c r="TG34" s="40"/>
      <c r="TH34" s="11"/>
      <c r="TI34" s="7"/>
      <c r="TJ34" s="7"/>
      <c r="TK34" s="7"/>
      <c r="TL34" s="7"/>
      <c r="TM34" s="7"/>
      <c r="TN34" s="40"/>
      <c r="TO34" s="11"/>
      <c r="TP34" s="7"/>
      <c r="TQ34" s="7"/>
      <c r="TR34" s="7"/>
      <c r="TS34" s="7"/>
      <c r="TT34" s="7"/>
      <c r="TU34" s="40"/>
      <c r="TV34" s="11"/>
      <c r="TW34" s="7"/>
      <c r="TX34" s="7"/>
      <c r="TY34" s="7"/>
      <c r="TZ34" s="7"/>
      <c r="UA34" s="7"/>
      <c r="UB34" s="40"/>
      <c r="UC34" s="11"/>
      <c r="UD34" s="7"/>
      <c r="UE34" s="7"/>
      <c r="UF34" s="7"/>
      <c r="UG34" s="7"/>
      <c r="UH34" s="7"/>
      <c r="UI34" s="40"/>
      <c r="UJ34" s="11"/>
      <c r="UK34" s="7"/>
      <c r="UL34" s="7"/>
      <c r="UM34" s="7"/>
      <c r="UN34" s="7"/>
      <c r="UO34" s="7"/>
      <c r="UP34" s="40"/>
      <c r="UQ34" s="11"/>
      <c r="UR34" s="7"/>
      <c r="US34" s="7"/>
      <c r="UT34" s="7"/>
      <c r="UU34" s="7"/>
      <c r="UV34" s="7"/>
      <c r="UW34" s="40"/>
      <c r="UX34" s="11"/>
      <c r="UY34" s="7"/>
      <c r="UZ34" s="7"/>
      <c r="VA34" s="7"/>
      <c r="VB34" s="7"/>
      <c r="VC34" s="7"/>
      <c r="VD34" s="40"/>
      <c r="VE34" s="11"/>
      <c r="VF34" s="7"/>
      <c r="VG34" s="7"/>
      <c r="VH34" s="7"/>
      <c r="VI34" s="7"/>
      <c r="VJ34" s="7"/>
      <c r="VK34" s="40"/>
      <c r="VL34" s="11"/>
      <c r="VM34" s="7"/>
      <c r="VN34" s="7"/>
      <c r="VO34" s="7"/>
      <c r="VP34" s="7"/>
      <c r="VQ34" s="7"/>
      <c r="VR34" s="40"/>
      <c r="VS34" s="11"/>
      <c r="VT34" s="7"/>
      <c r="VU34" s="7"/>
      <c r="VV34" s="7"/>
      <c r="VW34" s="7"/>
      <c r="VX34" s="7"/>
      <c r="VY34" s="40"/>
      <c r="VZ34" s="11"/>
      <c r="WA34" s="7"/>
      <c r="WB34" s="7"/>
      <c r="WC34" s="7"/>
      <c r="WD34" s="7"/>
      <c r="WE34" s="7"/>
      <c r="WF34" s="40"/>
      <c r="WG34" s="11"/>
      <c r="WH34" s="7"/>
      <c r="WI34" s="7"/>
      <c r="WJ34" s="7"/>
      <c r="WK34" s="7"/>
      <c r="WL34" s="7"/>
      <c r="WM34" s="40"/>
      <c r="WN34" s="11"/>
      <c r="WO34" s="7"/>
      <c r="WP34" s="7"/>
      <c r="WQ34" s="7"/>
      <c r="WR34" s="7"/>
      <c r="WS34" s="7"/>
      <c r="WT34" s="40"/>
      <c r="WU34" s="11"/>
      <c r="WV34" s="7"/>
      <c r="WW34" s="7"/>
      <c r="WX34" s="7"/>
      <c r="WY34" s="7"/>
      <c r="WZ34" s="7"/>
      <c r="XA34" s="40"/>
      <c r="XB34" s="11"/>
      <c r="XC34" s="7"/>
      <c r="XD34" s="7"/>
      <c r="XE34" s="7"/>
      <c r="XF34" s="7"/>
      <c r="XG34" s="7"/>
      <c r="XH34" s="40"/>
      <c r="XI34" s="11"/>
      <c r="XJ34" s="7"/>
      <c r="XK34" s="7"/>
      <c r="XL34" s="7"/>
      <c r="XM34" s="7"/>
      <c r="XN34" s="7"/>
      <c r="XO34" s="40"/>
      <c r="XP34" s="11"/>
      <c r="XQ34" s="7"/>
      <c r="XR34" s="7"/>
      <c r="XS34" s="7"/>
      <c r="XT34" s="7"/>
      <c r="XU34" s="7"/>
      <c r="XV34" s="40"/>
      <c r="XW34" s="11"/>
      <c r="XX34" s="7"/>
      <c r="XY34" s="7"/>
      <c r="XZ34" s="7"/>
      <c r="YA34" s="7"/>
      <c r="YB34" s="7"/>
      <c r="YC34" s="40"/>
      <c r="YD34" s="11"/>
      <c r="YE34" s="7"/>
      <c r="YF34" s="7"/>
      <c r="YG34" s="7"/>
      <c r="YH34" s="7"/>
      <c r="YI34" s="7"/>
      <c r="YJ34" s="40"/>
      <c r="YK34" s="11"/>
      <c r="YL34" s="7"/>
      <c r="YM34" s="7"/>
      <c r="YN34" s="7"/>
      <c r="YO34" s="7"/>
      <c r="YP34" s="7"/>
      <c r="YQ34" s="40"/>
      <c r="YR34" s="11"/>
      <c r="YS34" s="7"/>
      <c r="YT34" s="7"/>
      <c r="YU34" s="7"/>
      <c r="YV34" s="7"/>
      <c r="YW34" s="7"/>
      <c r="YX34" s="40"/>
      <c r="YY34" s="11"/>
      <c r="YZ34" s="7"/>
      <c r="ZA34" s="7"/>
      <c r="ZB34" s="7"/>
      <c r="ZC34" s="7"/>
      <c r="ZD34" s="7"/>
      <c r="ZE34" s="40"/>
      <c r="ZF34" s="11"/>
      <c r="ZG34" s="7"/>
      <c r="ZH34" s="7"/>
      <c r="ZI34" s="7"/>
      <c r="ZJ34" s="7"/>
      <c r="ZK34" s="7"/>
      <c r="ZL34" s="40"/>
      <c r="ZM34" s="11"/>
      <c r="ZN34" s="7"/>
      <c r="ZO34" s="7"/>
      <c r="ZP34" s="7"/>
      <c r="ZQ34" s="7"/>
      <c r="ZR34" s="7"/>
      <c r="ZS34" s="40"/>
      <c r="ZT34" s="11"/>
      <c r="ZU34" s="7"/>
      <c r="ZV34" s="7"/>
      <c r="ZW34" s="7"/>
      <c r="ZX34" s="7"/>
      <c r="ZY34" s="7"/>
      <c r="ZZ34" s="40"/>
      <c r="AAA34" s="11"/>
      <c r="AAB34" s="7"/>
      <c r="AAC34" s="7"/>
      <c r="AAD34" s="7"/>
      <c r="AAE34" s="7"/>
      <c r="AAF34" s="7"/>
      <c r="AAG34" s="40"/>
      <c r="AAH34" s="11"/>
      <c r="AAI34" s="7"/>
      <c r="AAJ34" s="7"/>
      <c r="AAK34" s="7"/>
      <c r="AAL34" s="7"/>
      <c r="AAM34" s="7"/>
      <c r="AAN34" s="40"/>
      <c r="AAO34" s="11"/>
      <c r="AAP34" s="7"/>
      <c r="AAQ34" s="7"/>
      <c r="AAR34" s="7"/>
      <c r="AAS34" s="7"/>
      <c r="AAT34" s="7"/>
      <c r="AAU34" s="40"/>
      <c r="AAV34" s="11"/>
      <c r="AAW34" s="7"/>
      <c r="AAX34" s="7"/>
      <c r="AAY34" s="7"/>
      <c r="AAZ34" s="7"/>
      <c r="ABA34" s="7"/>
      <c r="ABB34" s="40"/>
      <c r="ABC34" s="11"/>
      <c r="ABD34" s="7"/>
      <c r="ABE34" s="7"/>
      <c r="ABF34" s="7"/>
      <c r="ABG34" s="7"/>
      <c r="ABH34" s="7"/>
      <c r="ABI34" s="40"/>
      <c r="ABJ34" s="11"/>
      <c r="ABK34" s="7"/>
      <c r="ABL34" s="7"/>
      <c r="ABM34" s="7"/>
      <c r="ABN34" s="7"/>
      <c r="ABO34" s="7"/>
      <c r="ABP34" s="40"/>
      <c r="ABQ34" s="11"/>
      <c r="ABR34" s="7"/>
      <c r="ABS34" s="7"/>
      <c r="ABT34" s="7"/>
      <c r="ABU34" s="7"/>
      <c r="ABV34" s="7"/>
      <c r="ABW34" s="40"/>
      <c r="ABX34" s="11"/>
      <c r="ABY34" s="7"/>
      <c r="ABZ34" s="7"/>
      <c r="ACA34" s="7"/>
      <c r="ACB34" s="7"/>
      <c r="ACC34" s="7"/>
      <c r="ACD34" s="40"/>
      <c r="ACE34" s="11"/>
      <c r="ACF34" s="7"/>
      <c r="ACG34" s="7"/>
      <c r="ACH34" s="7"/>
      <c r="ACI34" s="7"/>
      <c r="ACJ34" s="7"/>
      <c r="ACK34" s="40"/>
      <c r="ACL34" s="11"/>
      <c r="ACM34" s="7"/>
      <c r="ACN34" s="7"/>
      <c r="ACO34" s="7"/>
      <c r="ACP34" s="7"/>
      <c r="ACQ34" s="7"/>
      <c r="ACR34" s="40"/>
      <c r="ACS34" s="11"/>
      <c r="ACT34" s="7"/>
      <c r="ACU34" s="7"/>
      <c r="ACV34" s="7"/>
      <c r="ACW34" s="7"/>
      <c r="ACX34" s="7"/>
      <c r="ACY34" s="40"/>
      <c r="ADP34" s="27" t="s">
        <v>680</v>
      </c>
      <c r="ADZ34" s="11"/>
      <c r="AEA34" s="7"/>
      <c r="AEB34" s="40"/>
      <c r="AEC34" s="7"/>
      <c r="AED34" s="7"/>
      <c r="AEE34" s="7"/>
      <c r="AEF34" s="7"/>
      <c r="AEG34" s="7"/>
      <c r="AEH34" s="7"/>
      <c r="AEI34" s="7"/>
      <c r="AEJ34" s="7"/>
    </row>
    <row r="35" spans="2:816" x14ac:dyDescent="0.25">
      <c r="B35" s="29">
        <v>92008030</v>
      </c>
      <c r="C35">
        <v>66</v>
      </c>
      <c r="D35" t="s">
        <v>3587</v>
      </c>
      <c r="F35" s="23" t="s">
        <v>1781</v>
      </c>
      <c r="I35">
        <v>1</v>
      </c>
      <c r="J35" s="19">
        <v>33414</v>
      </c>
      <c r="K35" s="19"/>
      <c r="L35" s="19"/>
      <c r="LL35" s="6"/>
      <c r="LM35" s="4"/>
      <c r="LN35" s="4"/>
      <c r="LO35" s="4"/>
      <c r="LP35" s="4"/>
      <c r="LQ35" s="4"/>
      <c r="LR35" s="5"/>
      <c r="LS35" s="6"/>
      <c r="LT35" s="4"/>
      <c r="LU35" s="4"/>
      <c r="LV35" s="4"/>
      <c r="LW35" s="4"/>
      <c r="LX35" s="4"/>
      <c r="LY35" s="5"/>
      <c r="LZ35" s="6" t="s">
        <v>2528</v>
      </c>
      <c r="MA35" s="7" t="s">
        <v>2234</v>
      </c>
      <c r="MB35" s="4" t="s">
        <v>2529</v>
      </c>
      <c r="MC35" s="7" t="s">
        <v>2378</v>
      </c>
      <c r="MD35" s="8">
        <v>33410</v>
      </c>
      <c r="ME35" s="8">
        <v>33415</v>
      </c>
      <c r="MF35" s="8"/>
      <c r="MG35" s="5"/>
      <c r="MH35" s="6"/>
      <c r="MI35" s="4"/>
      <c r="MJ35" s="4"/>
      <c r="MK35" s="4"/>
      <c r="ML35" s="4"/>
      <c r="MM35" s="4"/>
      <c r="MN35" s="5"/>
      <c r="MO35" s="6"/>
      <c r="MP35" s="4"/>
      <c r="MQ35" s="4"/>
      <c r="MR35" s="4"/>
      <c r="MS35" s="4"/>
      <c r="MT35" s="4"/>
      <c r="MU35" s="5"/>
      <c r="MV35" s="6"/>
      <c r="MW35" s="4"/>
      <c r="MX35" s="4"/>
      <c r="MY35" s="4"/>
      <c r="MZ35" s="4"/>
      <c r="NA35" s="4"/>
      <c r="NB35" s="5"/>
      <c r="NC35" s="6"/>
      <c r="ND35" s="4"/>
      <c r="NE35" s="4"/>
      <c r="NF35" s="4"/>
      <c r="NG35" s="4"/>
      <c r="NH35" s="4"/>
      <c r="NI35" s="5"/>
      <c r="NJ35" s="6"/>
      <c r="NK35" s="4"/>
      <c r="NL35" s="4"/>
      <c r="NM35" s="4"/>
      <c r="NN35" s="4"/>
      <c r="NO35" s="4"/>
      <c r="NP35" s="5"/>
      <c r="NQ35" s="6"/>
      <c r="NR35" s="4"/>
      <c r="NS35" s="4"/>
      <c r="NT35" s="4"/>
      <c r="NU35" s="4"/>
      <c r="NV35" s="4"/>
      <c r="NW35" s="5"/>
      <c r="NX35" s="6"/>
      <c r="NY35" s="4"/>
      <c r="NZ35" s="4"/>
      <c r="OA35" s="4"/>
      <c r="OB35" s="4"/>
      <c r="OC35" s="4"/>
      <c r="OD35" s="5"/>
      <c r="OE35" s="6"/>
      <c r="OF35" s="4"/>
      <c r="OG35" s="4"/>
      <c r="OH35" s="4"/>
      <c r="OI35" s="4"/>
      <c r="OJ35" s="4"/>
      <c r="OK35" s="5"/>
      <c r="OL35" s="6"/>
      <c r="OM35" s="4"/>
      <c r="ON35" s="4"/>
      <c r="OO35" s="4"/>
      <c r="OP35" s="4"/>
      <c r="OQ35" s="4"/>
      <c r="OR35" s="5"/>
      <c r="OS35" s="6"/>
      <c r="OT35" s="4"/>
      <c r="OU35" s="4"/>
      <c r="OV35" s="4"/>
      <c r="OW35" s="4"/>
      <c r="OX35" s="4"/>
      <c r="OY35" s="5"/>
      <c r="OZ35" s="6"/>
      <c r="PA35" s="4"/>
      <c r="PB35" s="4"/>
      <c r="PC35" s="4"/>
      <c r="PD35" s="4"/>
      <c r="PE35" s="4"/>
      <c r="PF35" s="5"/>
      <c r="PG35" s="6"/>
      <c r="PH35" s="4"/>
      <c r="PI35" s="4"/>
      <c r="PJ35" s="4"/>
      <c r="PK35" s="4"/>
      <c r="PL35" s="4"/>
      <c r="PM35" s="5"/>
      <c r="PN35" s="6"/>
      <c r="PO35" s="4"/>
      <c r="PP35" s="4"/>
      <c r="PQ35" s="4"/>
      <c r="PR35" s="4"/>
      <c r="PS35" s="4"/>
      <c r="PT35" s="5"/>
      <c r="QB35" s="6"/>
      <c r="QC35" s="4"/>
      <c r="QD35" s="4"/>
      <c r="QE35" s="4"/>
      <c r="QF35" s="4"/>
      <c r="QG35" s="4"/>
      <c r="QH35" s="5"/>
      <c r="QI35" s="6"/>
      <c r="QJ35" s="4"/>
      <c r="QK35" s="4"/>
      <c r="QL35" s="4"/>
      <c r="QM35" s="4"/>
      <c r="QN35" s="4"/>
      <c r="QO35" s="5"/>
      <c r="QP35" s="6"/>
      <c r="QQ35" s="4"/>
      <c r="QR35" s="4"/>
      <c r="QS35" s="4"/>
      <c r="QT35" s="4"/>
      <c r="QU35" s="4"/>
      <c r="QV35" s="5"/>
      <c r="QW35" s="6"/>
      <c r="QX35" s="4"/>
      <c r="QY35" s="4"/>
      <c r="QZ35" s="4"/>
      <c r="RA35" s="4"/>
      <c r="RB35" s="4"/>
      <c r="RC35" s="5"/>
      <c r="RD35" s="6"/>
      <c r="RE35" s="4"/>
      <c r="RF35" s="4"/>
      <c r="RG35" s="4"/>
      <c r="RH35" s="4"/>
      <c r="RI35" s="4"/>
      <c r="RJ35" s="5"/>
      <c r="RK35" s="6"/>
      <c r="RL35" s="4"/>
      <c r="RM35" s="4"/>
      <c r="RN35" s="4"/>
      <c r="RO35" s="4"/>
      <c r="RP35" s="4"/>
      <c r="RQ35" s="5"/>
      <c r="RR35" s="6"/>
      <c r="RS35" s="4"/>
      <c r="RT35" s="4"/>
      <c r="RU35" s="4"/>
      <c r="RV35" s="4"/>
      <c r="RW35" s="4"/>
      <c r="RX35" s="5"/>
      <c r="RY35" s="6"/>
      <c r="RZ35" s="4"/>
      <c r="SA35" s="4"/>
      <c r="SB35" s="4"/>
      <c r="SC35" s="4"/>
      <c r="SD35" s="4"/>
      <c r="SE35" s="5"/>
      <c r="SF35" s="6"/>
      <c r="SG35" s="4"/>
      <c r="SH35" s="4"/>
      <c r="SI35" s="4"/>
      <c r="SJ35" s="4"/>
      <c r="SK35" s="4"/>
      <c r="SL35" s="5"/>
      <c r="SM35" s="6"/>
      <c r="SN35" s="4"/>
      <c r="SO35" s="4"/>
      <c r="SP35" s="4"/>
      <c r="SQ35" s="4"/>
      <c r="SR35" s="4"/>
      <c r="SS35" s="5"/>
      <c r="ST35" s="6"/>
      <c r="SU35" s="4"/>
      <c r="SV35" s="4"/>
      <c r="SW35" s="4"/>
      <c r="SX35" s="4"/>
      <c r="SY35" s="4"/>
      <c r="SZ35" s="5"/>
      <c r="TA35" s="6"/>
      <c r="TB35" s="4"/>
      <c r="TC35" s="4"/>
      <c r="TD35" s="4"/>
      <c r="TE35" s="4"/>
      <c r="TF35" s="4"/>
      <c r="TG35" s="5"/>
      <c r="TH35" s="6"/>
      <c r="TI35" s="4"/>
      <c r="TJ35" s="4"/>
      <c r="TK35" s="4"/>
      <c r="TL35" s="4"/>
      <c r="TM35" s="4"/>
      <c r="TN35" s="5"/>
      <c r="TO35" s="6"/>
      <c r="TP35" s="4"/>
      <c r="TQ35" s="4"/>
      <c r="TR35" s="4"/>
      <c r="TS35" s="4"/>
      <c r="TT35" s="4"/>
      <c r="TU35" s="5"/>
      <c r="TV35" s="6"/>
      <c r="TW35" s="4"/>
      <c r="TX35" s="4"/>
      <c r="TY35" s="4"/>
      <c r="TZ35" s="4"/>
      <c r="UA35" s="4"/>
      <c r="UB35" s="5"/>
      <c r="UC35" s="6"/>
      <c r="UD35" s="4"/>
      <c r="UE35" s="4"/>
      <c r="UF35" s="4"/>
      <c r="UG35" s="4"/>
      <c r="UH35" s="4"/>
      <c r="UI35" s="5"/>
      <c r="UJ35" s="6"/>
      <c r="UK35" s="4"/>
      <c r="UL35" s="4"/>
      <c r="UM35" s="4"/>
      <c r="UN35" s="4"/>
      <c r="UO35" s="4"/>
      <c r="UP35" s="5"/>
      <c r="UQ35" s="6"/>
      <c r="UR35" s="4"/>
      <c r="US35" s="4"/>
      <c r="UT35" s="4"/>
      <c r="UU35" s="4"/>
      <c r="UV35" s="4"/>
      <c r="UW35" s="5"/>
      <c r="UX35" s="6"/>
      <c r="UY35" s="4"/>
      <c r="UZ35" s="4"/>
      <c r="VA35" s="4"/>
      <c r="VB35" s="4"/>
      <c r="VC35" s="4"/>
      <c r="VD35" s="5"/>
      <c r="VE35" s="6"/>
      <c r="VF35" s="4"/>
      <c r="VG35" s="4"/>
      <c r="VH35" s="4"/>
      <c r="VI35" s="4"/>
      <c r="VJ35" s="4"/>
      <c r="VK35" s="5"/>
      <c r="VL35" s="6"/>
      <c r="VM35" s="4"/>
      <c r="VN35" s="4"/>
      <c r="VO35" s="4"/>
      <c r="VP35" s="4"/>
      <c r="VQ35" s="4"/>
      <c r="VR35" s="5"/>
      <c r="VS35" s="6"/>
      <c r="VT35" s="4"/>
      <c r="VU35" s="4"/>
      <c r="VV35" s="4"/>
      <c r="VW35" s="4"/>
      <c r="VX35" s="4"/>
      <c r="VY35" s="5"/>
      <c r="VZ35" s="6" t="s">
        <v>2434</v>
      </c>
      <c r="WA35" s="4" t="s">
        <v>3171</v>
      </c>
      <c r="WB35" s="4" t="s">
        <v>2435</v>
      </c>
      <c r="WC35" s="7" t="s">
        <v>2432</v>
      </c>
      <c r="WD35" s="8">
        <v>33399</v>
      </c>
      <c r="WE35" s="8">
        <v>33417</v>
      </c>
      <c r="WF35" s="5"/>
      <c r="WG35" s="6"/>
      <c r="WH35" s="4"/>
      <c r="WI35" s="4"/>
      <c r="WJ35" s="4"/>
      <c r="WK35" s="4"/>
      <c r="WL35" s="4"/>
      <c r="WM35" s="5"/>
      <c r="WN35" s="6"/>
      <c r="WO35" s="4"/>
      <c r="WP35" s="4"/>
      <c r="WQ35" s="4"/>
      <c r="WR35" s="4"/>
      <c r="WS35" s="4"/>
      <c r="WT35" s="5"/>
      <c r="WU35" s="6"/>
      <c r="WV35" s="4"/>
      <c r="WW35" s="4"/>
      <c r="WX35" s="4"/>
      <c r="WY35" s="4"/>
      <c r="WZ35" s="4"/>
      <c r="XA35" s="5"/>
      <c r="XB35" s="6"/>
      <c r="XC35" s="4"/>
      <c r="XD35" s="4"/>
      <c r="XE35" s="4"/>
      <c r="XF35" s="4"/>
      <c r="XG35" s="4"/>
      <c r="XH35" s="5"/>
      <c r="XI35" s="6"/>
      <c r="XJ35" s="4"/>
      <c r="XK35" s="4"/>
      <c r="XL35" s="4"/>
      <c r="XM35" s="4"/>
      <c r="XN35" s="4"/>
      <c r="XO35" s="5"/>
      <c r="XP35" s="6"/>
      <c r="XQ35" s="4"/>
      <c r="XR35" s="4"/>
      <c r="XS35" s="4"/>
      <c r="XT35" s="4"/>
      <c r="XU35" s="4"/>
      <c r="XV35" s="5"/>
      <c r="XW35" s="6"/>
      <c r="XX35" s="4"/>
      <c r="XY35" s="4"/>
      <c r="XZ35" s="4"/>
      <c r="YA35" s="4"/>
      <c r="YB35" s="4"/>
      <c r="YC35" s="5"/>
      <c r="YD35" s="6"/>
      <c r="YE35" s="4"/>
      <c r="YF35" s="4"/>
      <c r="YG35" s="4"/>
      <c r="YH35" s="4"/>
      <c r="YI35" s="4"/>
      <c r="YJ35" s="5"/>
      <c r="YK35" s="6"/>
      <c r="YL35" s="4"/>
      <c r="YM35" s="4"/>
      <c r="YN35" s="4"/>
      <c r="YO35" s="4"/>
      <c r="YP35" s="4"/>
      <c r="YQ35" s="5"/>
      <c r="YR35" s="6"/>
      <c r="YS35" s="4"/>
      <c r="YT35" s="4"/>
      <c r="YU35" s="4"/>
      <c r="YV35" s="4"/>
      <c r="YW35" s="4"/>
      <c r="YX35" s="5"/>
      <c r="YY35" s="6"/>
      <c r="YZ35" s="4"/>
      <c r="ZA35" s="4"/>
      <c r="ZB35" s="4"/>
      <c r="ZC35" s="4"/>
      <c r="ZD35" s="4"/>
      <c r="ZE35" s="5"/>
      <c r="ZF35" s="6"/>
      <c r="ZG35" s="4"/>
      <c r="ZH35" s="4"/>
      <c r="ZI35" s="4"/>
      <c r="ZJ35" s="4"/>
      <c r="ZK35" s="4"/>
      <c r="ZL35" s="5"/>
      <c r="ZM35" s="6" t="s">
        <v>2679</v>
      </c>
      <c r="ZN35" s="4" t="s">
        <v>2680</v>
      </c>
      <c r="ZO35" s="4" t="s">
        <v>2682</v>
      </c>
      <c r="ZP35" s="7" t="s">
        <v>2681</v>
      </c>
      <c r="ZQ35" s="8">
        <v>33406</v>
      </c>
      <c r="ZR35" s="8">
        <v>33410</v>
      </c>
      <c r="ZS35" s="5"/>
      <c r="ZT35" s="6" t="s">
        <v>2437</v>
      </c>
      <c r="ZU35" s="4" t="s">
        <v>2438</v>
      </c>
      <c r="ZV35" s="4" t="s">
        <v>2281</v>
      </c>
      <c r="ZW35" s="7" t="s">
        <v>2432</v>
      </c>
      <c r="ZX35" s="8">
        <v>33399</v>
      </c>
      <c r="ZY35" s="8">
        <v>33417</v>
      </c>
      <c r="ZZ35" s="5"/>
      <c r="AAA35" s="6"/>
      <c r="AAB35" s="4"/>
      <c r="AAC35" s="4"/>
      <c r="AAD35" s="4"/>
      <c r="AAE35" s="4"/>
      <c r="AAF35" s="4"/>
      <c r="AAG35" s="5"/>
      <c r="AAH35" s="6"/>
      <c r="AAI35" s="4"/>
      <c r="AAJ35" s="4"/>
      <c r="AAK35" s="4"/>
      <c r="AAL35" s="4"/>
      <c r="AAM35" s="4"/>
      <c r="AAN35" s="5"/>
      <c r="AAO35" s="6"/>
      <c r="AAP35" s="4"/>
      <c r="AAQ35" s="4"/>
      <c r="AAR35" s="4"/>
      <c r="AAS35" s="4"/>
      <c r="AAT35" s="4"/>
      <c r="AAU35" s="5"/>
      <c r="AAV35" s="6"/>
      <c r="AAW35" s="4"/>
      <c r="AAX35" s="4"/>
      <c r="AAY35" s="4"/>
      <c r="AAZ35" s="4"/>
      <c r="ABA35" s="4"/>
      <c r="ABB35" s="5"/>
      <c r="ABC35" s="6"/>
      <c r="ABD35" s="4"/>
      <c r="ABE35" s="4"/>
      <c r="ABF35" s="4"/>
      <c r="ABG35" s="4"/>
      <c r="ABH35" s="4"/>
      <c r="ABI35" s="5"/>
      <c r="ABJ35" s="6"/>
      <c r="ABK35" s="4"/>
      <c r="ABL35" s="4"/>
      <c r="ABM35" s="4"/>
      <c r="ABN35" s="4"/>
      <c r="ABO35" s="4"/>
      <c r="ABP35" s="5"/>
      <c r="ABQ35" s="6"/>
      <c r="ABR35" s="4"/>
      <c r="ABS35" s="4"/>
      <c r="ABT35" s="4"/>
      <c r="ABU35" s="4"/>
      <c r="ABV35" s="4"/>
      <c r="ABW35" s="5"/>
      <c r="ABX35" s="6"/>
      <c r="ABY35" s="4"/>
      <c r="ABZ35" s="4"/>
      <c r="ACA35" s="4"/>
      <c r="ACB35" s="4"/>
      <c r="ACC35" s="4"/>
      <c r="ACD35" s="5"/>
      <c r="ACE35" s="6"/>
      <c r="ACF35" s="4"/>
      <c r="ACG35" s="4"/>
      <c r="ACH35" s="4"/>
      <c r="ACI35" s="4"/>
      <c r="ACJ35" s="4"/>
      <c r="ACK35" s="5"/>
      <c r="ACL35" s="6" t="s">
        <v>2683</v>
      </c>
      <c r="ACM35" s="4" t="s">
        <v>2957</v>
      </c>
      <c r="ACN35" s="4" t="s">
        <v>2431</v>
      </c>
      <c r="ACO35" s="7" t="s">
        <v>2432</v>
      </c>
      <c r="ACP35" s="8">
        <v>33399</v>
      </c>
      <c r="ACQ35" s="8">
        <v>33417</v>
      </c>
      <c r="ACR35" s="5"/>
      <c r="ACS35" s="6"/>
      <c r="ACT35" s="4"/>
      <c r="ACU35" s="4"/>
      <c r="ACV35" s="4"/>
      <c r="ACW35" s="4"/>
      <c r="ACX35" s="4"/>
      <c r="ACY35" s="5"/>
    </row>
    <row r="36" spans="2:816" x14ac:dyDescent="0.25">
      <c r="B36" s="30"/>
      <c r="J36" s="12"/>
      <c r="K36" s="12"/>
      <c r="L36" s="12"/>
      <c r="LL36" s="6"/>
      <c r="LM36" s="4"/>
      <c r="LN36" s="4"/>
      <c r="LO36" s="4"/>
      <c r="LP36" s="4"/>
      <c r="LQ36" s="4"/>
      <c r="LR36" s="5"/>
      <c r="LS36" s="6"/>
      <c r="LT36" s="4"/>
      <c r="LU36" s="4"/>
      <c r="LV36" s="4"/>
      <c r="LW36" s="4"/>
      <c r="LX36" s="4"/>
      <c r="LY36" s="5"/>
      <c r="LZ36" s="6" t="s">
        <v>2379</v>
      </c>
      <c r="MA36" s="7" t="s">
        <v>2426</v>
      </c>
      <c r="MB36" s="4" t="s">
        <v>2427</v>
      </c>
      <c r="MC36" s="7" t="s">
        <v>2691</v>
      </c>
      <c r="MD36" s="8">
        <v>33406</v>
      </c>
      <c r="ME36" s="8">
        <v>33406</v>
      </c>
      <c r="MF36" s="8"/>
      <c r="MG36" s="5" t="s">
        <v>2381</v>
      </c>
      <c r="MH36" s="6"/>
      <c r="MI36" s="4"/>
      <c r="MJ36" s="4"/>
      <c r="MK36" s="4"/>
      <c r="ML36" s="4"/>
      <c r="MM36" s="4"/>
      <c r="MN36" s="5"/>
      <c r="MO36" s="6"/>
      <c r="MP36" s="4"/>
      <c r="MQ36" s="4"/>
      <c r="MR36" s="4"/>
      <c r="MS36" s="4"/>
      <c r="MT36" s="4"/>
      <c r="MU36" s="5"/>
      <c r="MV36" s="6"/>
      <c r="MW36" s="4"/>
      <c r="MX36" s="4"/>
      <c r="MY36" s="4"/>
      <c r="MZ36" s="4"/>
      <c r="NA36" s="4"/>
      <c r="NB36" s="5"/>
      <c r="NC36" s="6"/>
      <c r="ND36" s="4"/>
      <c r="NE36" s="4"/>
      <c r="NF36" s="4"/>
      <c r="NG36" s="4"/>
      <c r="NH36" s="4"/>
      <c r="NI36" s="5"/>
      <c r="NJ36" s="6"/>
      <c r="NK36" s="4"/>
      <c r="NL36" s="4"/>
      <c r="NM36" s="4"/>
      <c r="NN36" s="4"/>
      <c r="NO36" s="4"/>
      <c r="NP36" s="5"/>
      <c r="NQ36" s="6"/>
      <c r="NR36" s="4"/>
      <c r="NS36" s="4"/>
      <c r="NT36" s="4"/>
      <c r="NU36" s="4"/>
      <c r="NV36" s="4"/>
      <c r="NW36" s="5"/>
      <c r="NX36" s="6"/>
      <c r="NY36" s="4"/>
      <c r="NZ36" s="4"/>
      <c r="OA36" s="4"/>
      <c r="OB36" s="4"/>
      <c r="OC36" s="4"/>
      <c r="OD36" s="5"/>
      <c r="OE36" s="6"/>
      <c r="OF36" s="4"/>
      <c r="OG36" s="4"/>
      <c r="OH36" s="4"/>
      <c r="OI36" s="4"/>
      <c r="OJ36" s="4"/>
      <c r="OK36" s="5"/>
      <c r="OL36" s="6"/>
      <c r="OM36" s="4"/>
      <c r="ON36" s="4"/>
      <c r="OO36" s="4"/>
      <c r="OP36" s="4"/>
      <c r="OQ36" s="4"/>
      <c r="OR36" s="5"/>
      <c r="OS36" s="6"/>
      <c r="OT36" s="4"/>
      <c r="OU36" s="4"/>
      <c r="OV36" s="4"/>
      <c r="OW36" s="4"/>
      <c r="OX36" s="4"/>
      <c r="OY36" s="5"/>
      <c r="OZ36" s="6"/>
      <c r="PA36" s="4"/>
      <c r="PB36" s="4"/>
      <c r="PC36" s="4"/>
      <c r="PD36" s="4"/>
      <c r="PE36" s="4"/>
      <c r="PF36" s="5"/>
      <c r="PG36" s="6"/>
      <c r="PH36" s="4"/>
      <c r="PI36" s="4"/>
      <c r="PJ36" s="4"/>
      <c r="PK36" s="4"/>
      <c r="PL36" s="4"/>
      <c r="PM36" s="5"/>
      <c r="PN36" s="6"/>
      <c r="PO36" s="4"/>
      <c r="PP36" s="4"/>
      <c r="PQ36" s="4"/>
      <c r="PR36" s="4"/>
      <c r="PS36" s="4"/>
      <c r="PT36" s="5"/>
      <c r="PU36" s="6"/>
      <c r="PV36" s="4"/>
      <c r="PW36" s="4"/>
      <c r="PX36" s="4"/>
      <c r="PY36" s="4"/>
      <c r="PZ36" s="4"/>
      <c r="QA36" s="5"/>
      <c r="QB36" s="6"/>
      <c r="QC36" s="4"/>
      <c r="QD36" s="4"/>
      <c r="QE36" s="4"/>
      <c r="QF36" s="4"/>
      <c r="QG36" s="4"/>
      <c r="QH36" s="5"/>
      <c r="QI36" s="6"/>
      <c r="QJ36" s="4"/>
      <c r="QK36" s="4"/>
      <c r="QL36" s="4"/>
      <c r="QM36" s="4"/>
      <c r="QN36" s="4"/>
      <c r="QO36" s="5"/>
      <c r="QP36" s="6"/>
      <c r="QQ36" s="4"/>
      <c r="QR36" s="4"/>
      <c r="QS36" s="4"/>
      <c r="QT36" s="4"/>
      <c r="QU36" s="4"/>
      <c r="QV36" s="5"/>
      <c r="QW36" s="6"/>
      <c r="QX36" s="4"/>
      <c r="QY36" s="4"/>
      <c r="QZ36" s="4"/>
      <c r="RA36" s="4"/>
      <c r="RB36" s="4"/>
      <c r="RC36" s="5"/>
      <c r="RD36" s="6"/>
      <c r="RE36" s="4"/>
      <c r="RF36" s="4"/>
      <c r="RG36" s="4"/>
      <c r="RH36" s="4"/>
      <c r="RI36" s="4"/>
      <c r="RJ36" s="5"/>
      <c r="RK36" s="6"/>
      <c r="RL36" s="4"/>
      <c r="RM36" s="4"/>
      <c r="RN36" s="4"/>
      <c r="RO36" s="4"/>
      <c r="RP36" s="4"/>
      <c r="RQ36" s="5"/>
      <c r="RR36" s="6"/>
      <c r="RS36" s="4"/>
      <c r="RT36" s="4"/>
      <c r="RU36" s="4"/>
      <c r="RV36" s="4"/>
      <c r="RW36" s="4"/>
      <c r="RX36" s="5"/>
      <c r="RY36" s="6"/>
      <c r="RZ36" s="4"/>
      <c r="SA36" s="4"/>
      <c r="SB36" s="4"/>
      <c r="SC36" s="4"/>
      <c r="SD36" s="4"/>
      <c r="SE36" s="5"/>
      <c r="SF36" s="6"/>
      <c r="SG36" s="4"/>
      <c r="SH36" s="4"/>
      <c r="SI36" s="4"/>
      <c r="SJ36" s="4"/>
      <c r="SK36" s="4"/>
      <c r="SL36" s="5"/>
      <c r="SM36" s="6"/>
      <c r="SN36" s="4"/>
      <c r="SO36" s="4"/>
      <c r="SP36" s="4"/>
      <c r="SQ36" s="4"/>
      <c r="SR36" s="4"/>
      <c r="SS36" s="5"/>
      <c r="ST36" s="6"/>
      <c r="SU36" s="4"/>
      <c r="SV36" s="4"/>
      <c r="SW36" s="4"/>
      <c r="SX36" s="4"/>
      <c r="SY36" s="4"/>
      <c r="SZ36" s="5"/>
      <c r="TA36" s="6"/>
      <c r="TB36" s="4"/>
      <c r="TC36" s="4"/>
      <c r="TD36" s="4"/>
      <c r="TE36" s="4"/>
      <c r="TF36" s="4"/>
      <c r="TG36" s="5"/>
      <c r="TH36" s="6"/>
      <c r="TI36" s="4"/>
      <c r="TJ36" s="4"/>
      <c r="TK36" s="4"/>
      <c r="TL36" s="4"/>
      <c r="TM36" s="4"/>
      <c r="TN36" s="5"/>
      <c r="TO36" s="6"/>
      <c r="TP36" s="4"/>
      <c r="TQ36" s="4"/>
      <c r="TR36" s="4"/>
      <c r="TS36" s="4"/>
      <c r="TT36" s="4"/>
      <c r="TU36" s="5"/>
      <c r="TV36" s="6"/>
      <c r="TW36" s="4"/>
      <c r="TX36" s="4"/>
      <c r="TY36" s="4"/>
      <c r="TZ36" s="4"/>
      <c r="UA36" s="4"/>
      <c r="UB36" s="5"/>
      <c r="UC36" s="6"/>
      <c r="UD36" s="4"/>
      <c r="UE36" s="4"/>
      <c r="UF36" s="4"/>
      <c r="UG36" s="4"/>
      <c r="UH36" s="4"/>
      <c r="UI36" s="5"/>
      <c r="UJ36" s="6"/>
      <c r="UK36" s="4"/>
      <c r="UL36" s="4"/>
      <c r="UM36" s="4"/>
      <c r="UN36" s="4"/>
      <c r="UO36" s="4"/>
      <c r="UP36" s="5"/>
      <c r="UQ36" s="6"/>
      <c r="UR36" s="4"/>
      <c r="US36" s="4"/>
      <c r="UT36" s="4"/>
      <c r="UU36" s="4"/>
      <c r="UV36" s="4"/>
      <c r="UW36" s="5"/>
      <c r="UX36" s="6"/>
      <c r="UY36" s="4"/>
      <c r="UZ36" s="4"/>
      <c r="VA36" s="4"/>
      <c r="VB36" s="4"/>
      <c r="VC36" s="4"/>
      <c r="VD36" s="5"/>
      <c r="VE36" s="6"/>
      <c r="VF36" s="4"/>
      <c r="VG36" s="4"/>
      <c r="VH36" s="4"/>
      <c r="VI36" s="4"/>
      <c r="VJ36" s="4"/>
      <c r="VK36" s="5"/>
      <c r="VL36" s="6"/>
      <c r="VM36" s="4"/>
      <c r="VN36" s="4"/>
      <c r="VO36" s="4"/>
      <c r="VP36" s="4"/>
      <c r="VQ36" s="4"/>
      <c r="VR36" s="5"/>
      <c r="VS36" s="6"/>
      <c r="VT36" s="4"/>
      <c r="VU36" s="4"/>
      <c r="VV36" s="4"/>
      <c r="VW36" s="4"/>
      <c r="VX36" s="4"/>
      <c r="VY36" s="5"/>
      <c r="VZ36" s="6"/>
      <c r="WA36" s="4"/>
      <c r="WB36" s="4"/>
      <c r="WC36" s="4"/>
      <c r="WD36" s="4"/>
      <c r="WE36" s="4"/>
      <c r="WF36" s="5"/>
      <c r="WG36" s="6"/>
      <c r="WH36" s="4"/>
      <c r="WI36" s="4"/>
      <c r="WJ36" s="4"/>
      <c r="WK36" s="4"/>
      <c r="WL36" s="4"/>
      <c r="WM36" s="5"/>
      <c r="WN36" s="6"/>
      <c r="WO36" s="4"/>
      <c r="WP36" s="4"/>
      <c r="WQ36" s="4"/>
      <c r="WR36" s="4"/>
      <c r="WS36" s="4"/>
      <c r="WT36" s="5"/>
      <c r="WU36" s="6"/>
      <c r="WV36" s="4"/>
      <c r="WW36" s="4"/>
      <c r="WX36" s="4"/>
      <c r="WY36" s="4"/>
      <c r="WZ36" s="4"/>
      <c r="XA36" s="5"/>
      <c r="XB36" s="6"/>
      <c r="XC36" s="4"/>
      <c r="XD36" s="4"/>
      <c r="XE36" s="4"/>
      <c r="XF36" s="4"/>
      <c r="XG36" s="4"/>
      <c r="XH36" s="5"/>
      <c r="XI36" s="6"/>
      <c r="XJ36" s="4"/>
      <c r="XK36" s="4"/>
      <c r="XL36" s="4"/>
      <c r="XM36" s="4"/>
      <c r="XN36" s="4"/>
      <c r="XO36" s="5"/>
      <c r="XP36" s="6"/>
      <c r="XQ36" s="4"/>
      <c r="XR36" s="4"/>
      <c r="XS36" s="4"/>
      <c r="XT36" s="4"/>
      <c r="XU36" s="4"/>
      <c r="XV36" s="5"/>
      <c r="XW36" s="6"/>
      <c r="XX36" s="4"/>
      <c r="XY36" s="4"/>
      <c r="XZ36" s="4"/>
      <c r="YA36" s="4"/>
      <c r="YB36" s="4"/>
      <c r="YC36" s="5"/>
      <c r="YD36" s="6"/>
      <c r="YE36" s="4"/>
      <c r="YF36" s="4"/>
      <c r="YG36" s="4"/>
      <c r="YH36" s="4"/>
      <c r="YI36" s="4"/>
      <c r="YJ36" s="5"/>
      <c r="YK36" s="6"/>
      <c r="YL36" s="4"/>
      <c r="YM36" s="4"/>
      <c r="YN36" s="4"/>
      <c r="YO36" s="4"/>
      <c r="YP36" s="4"/>
      <c r="YQ36" s="5"/>
      <c r="YR36" s="6"/>
      <c r="YS36" s="4"/>
      <c r="YT36" s="4"/>
      <c r="YU36" s="4"/>
      <c r="YV36" s="4"/>
      <c r="YW36" s="4"/>
      <c r="YX36" s="5"/>
      <c r="YY36" s="6"/>
      <c r="YZ36" s="4"/>
      <c r="ZA36" s="4"/>
      <c r="ZB36" s="4"/>
      <c r="ZC36" s="4"/>
      <c r="ZD36" s="4"/>
      <c r="ZE36" s="5"/>
      <c r="ZF36" s="6"/>
      <c r="ZG36" s="4"/>
      <c r="ZH36" s="4"/>
      <c r="ZI36" s="4"/>
      <c r="ZJ36" s="4"/>
      <c r="ZK36" s="4"/>
      <c r="ZL36" s="5"/>
      <c r="ZM36" s="6"/>
      <c r="ZN36" s="4"/>
      <c r="ZO36" s="4"/>
      <c r="ZP36" s="4"/>
      <c r="ZQ36" s="4"/>
      <c r="ZR36" s="4"/>
      <c r="ZS36" s="5"/>
      <c r="ZT36" s="6"/>
      <c r="ZU36" s="4"/>
      <c r="ZV36" s="4"/>
      <c r="ZW36" s="4"/>
      <c r="ZX36" s="4"/>
      <c r="ZY36" s="4"/>
      <c r="ZZ36" s="5"/>
      <c r="AAA36" s="6"/>
      <c r="AAB36" s="4"/>
      <c r="AAC36" s="4"/>
      <c r="AAD36" s="4"/>
      <c r="AAE36" s="4"/>
      <c r="AAF36" s="4"/>
      <c r="AAG36" s="5"/>
      <c r="AAH36" s="6"/>
      <c r="AAI36" s="4"/>
      <c r="AAJ36" s="4"/>
      <c r="AAK36" s="4"/>
      <c r="AAL36" s="4"/>
      <c r="AAM36" s="4"/>
      <c r="AAN36" s="5"/>
      <c r="AAO36" s="6"/>
      <c r="AAP36" s="4"/>
      <c r="AAQ36" s="4"/>
      <c r="AAR36" s="4"/>
      <c r="AAS36" s="4"/>
      <c r="AAT36" s="4"/>
      <c r="AAU36" s="5"/>
      <c r="AAV36" s="6"/>
      <c r="AAW36" s="4"/>
      <c r="AAX36" s="4"/>
      <c r="AAY36" s="4"/>
      <c r="AAZ36" s="4"/>
      <c r="ABA36" s="4"/>
      <c r="ABB36" s="5"/>
      <c r="ABC36" s="6"/>
      <c r="ABD36" s="4"/>
      <c r="ABE36" s="4"/>
      <c r="ABF36" s="4"/>
      <c r="ABG36" s="4"/>
      <c r="ABH36" s="4"/>
      <c r="ABI36" s="5"/>
      <c r="ABJ36" s="6"/>
      <c r="ABK36" s="4"/>
      <c r="ABL36" s="4"/>
      <c r="ABM36" s="4"/>
      <c r="ABN36" s="4"/>
      <c r="ABO36" s="4"/>
      <c r="ABP36" s="5"/>
      <c r="ABQ36" s="6"/>
      <c r="ABR36" s="4"/>
      <c r="ABS36" s="4"/>
      <c r="ABT36" s="4"/>
      <c r="ABU36" s="4"/>
      <c r="ABV36" s="4"/>
      <c r="ABW36" s="5"/>
      <c r="ABX36" s="6"/>
      <c r="ABY36" s="4"/>
      <c r="ABZ36" s="4"/>
      <c r="ACA36" s="4"/>
      <c r="ACB36" s="4"/>
      <c r="ACC36" s="4"/>
      <c r="ACD36" s="5"/>
      <c r="ACE36" s="6"/>
      <c r="ACF36" s="4"/>
      <c r="ACG36" s="4"/>
      <c r="ACH36" s="4"/>
      <c r="ACI36" s="4"/>
      <c r="ACJ36" s="4"/>
      <c r="ACK36" s="5"/>
      <c r="ACL36" s="6"/>
      <c r="ACM36" s="4"/>
      <c r="ACN36" s="4"/>
      <c r="ACO36" s="4"/>
      <c r="ACP36" s="4"/>
      <c r="ACQ36" s="4"/>
      <c r="ACR36" s="5"/>
      <c r="ACS36" s="6"/>
      <c r="ACT36" s="4"/>
      <c r="ACU36" s="4"/>
      <c r="ACV36" s="4"/>
      <c r="ACW36" s="4"/>
      <c r="ACX36" s="4"/>
      <c r="ACY36" s="5"/>
    </row>
    <row r="37" spans="2:816" x14ac:dyDescent="0.25">
      <c r="B37" s="30"/>
      <c r="J37" s="12"/>
      <c r="K37" s="12"/>
      <c r="L37" s="12"/>
      <c r="LL37" s="6"/>
      <c r="LM37" s="4"/>
      <c r="LN37" s="4"/>
      <c r="LO37" s="4"/>
      <c r="LP37" s="4"/>
      <c r="LQ37" s="4"/>
      <c r="LR37" s="5"/>
      <c r="LS37" s="6"/>
      <c r="LT37" s="4"/>
      <c r="LU37" s="4"/>
      <c r="LV37" s="4"/>
      <c r="LW37" s="4"/>
      <c r="LX37" s="4"/>
      <c r="LY37" s="5"/>
      <c r="LZ37" s="6" t="s">
        <v>2534</v>
      </c>
      <c r="MA37" s="7" t="s">
        <v>2535</v>
      </c>
      <c r="MB37" s="7" t="s">
        <v>2470</v>
      </c>
      <c r="MC37" s="7" t="s">
        <v>2676</v>
      </c>
      <c r="MD37" s="8">
        <v>33399</v>
      </c>
      <c r="ME37" s="8">
        <v>33416</v>
      </c>
      <c r="MF37" s="8"/>
      <c r="MG37" s="5" t="s">
        <v>2677</v>
      </c>
      <c r="MH37" s="6"/>
      <c r="MI37" s="4"/>
      <c r="MJ37" s="4"/>
      <c r="MK37" s="4"/>
      <c r="ML37" s="4"/>
      <c r="MM37" s="4"/>
      <c r="MN37" s="5"/>
      <c r="MO37" s="6"/>
      <c r="MP37" s="4"/>
      <c r="MQ37" s="4"/>
      <c r="MR37" s="4"/>
      <c r="MS37" s="4"/>
      <c r="MT37" s="4"/>
      <c r="MU37" s="5"/>
      <c r="MV37" s="6"/>
      <c r="MW37" s="4"/>
      <c r="MX37" s="4"/>
      <c r="MY37" s="4"/>
      <c r="MZ37" s="4"/>
      <c r="NA37" s="4"/>
      <c r="NB37" s="5"/>
      <c r="NC37" s="6"/>
      <c r="ND37" s="4"/>
      <c r="NE37" s="4"/>
      <c r="NF37" s="4"/>
      <c r="NG37" s="4"/>
      <c r="NH37" s="4"/>
      <c r="NI37" s="5"/>
      <c r="NJ37" s="6"/>
      <c r="NK37" s="4"/>
      <c r="NL37" s="4"/>
      <c r="NM37" s="4"/>
      <c r="NN37" s="4"/>
      <c r="NO37" s="4"/>
      <c r="NP37" s="5"/>
      <c r="NQ37" s="6"/>
      <c r="NR37" s="4"/>
      <c r="NS37" s="4"/>
      <c r="NT37" s="4"/>
      <c r="NU37" s="4"/>
      <c r="NV37" s="4"/>
      <c r="NW37" s="5"/>
      <c r="NX37" s="6"/>
      <c r="NY37" s="4"/>
      <c r="NZ37" s="4"/>
      <c r="OA37" s="4"/>
      <c r="OB37" s="4"/>
      <c r="OC37" s="4"/>
      <c r="OD37" s="5"/>
      <c r="OE37" s="6"/>
      <c r="OF37" s="4"/>
      <c r="OG37" s="4"/>
      <c r="OH37" s="4"/>
      <c r="OI37" s="4"/>
      <c r="OJ37" s="4"/>
      <c r="OK37" s="5"/>
      <c r="OL37" s="6"/>
      <c r="OM37" s="4"/>
      <c r="ON37" s="4"/>
      <c r="OO37" s="4"/>
      <c r="OP37" s="4"/>
      <c r="OQ37" s="4"/>
      <c r="OR37" s="5"/>
      <c r="OS37" s="6"/>
      <c r="OT37" s="4"/>
      <c r="OU37" s="4"/>
      <c r="OV37" s="4"/>
      <c r="OW37" s="4"/>
      <c r="OX37" s="4"/>
      <c r="OY37" s="5"/>
      <c r="OZ37" s="6"/>
      <c r="PA37" s="4"/>
      <c r="PB37" s="4"/>
      <c r="PC37" s="4"/>
      <c r="PD37" s="4"/>
      <c r="PE37" s="4"/>
      <c r="PF37" s="5"/>
      <c r="PG37" s="6"/>
      <c r="PH37" s="4"/>
      <c r="PI37" s="4"/>
      <c r="PJ37" s="4"/>
      <c r="PK37" s="4"/>
      <c r="PL37" s="4"/>
      <c r="PM37" s="5"/>
      <c r="PN37" s="6"/>
      <c r="PO37" s="4"/>
      <c r="PP37" s="4"/>
      <c r="PQ37" s="4"/>
      <c r="PR37" s="4"/>
      <c r="PS37" s="4"/>
      <c r="PT37" s="5"/>
      <c r="PU37" s="6"/>
      <c r="PV37" s="4"/>
      <c r="PW37" s="4"/>
      <c r="PX37" s="4"/>
      <c r="PY37" s="4"/>
      <c r="PZ37" s="4"/>
      <c r="QA37" s="5"/>
      <c r="QB37" s="6"/>
      <c r="QC37" s="4"/>
      <c r="QD37" s="4"/>
      <c r="QE37" s="4"/>
      <c r="QF37" s="4"/>
      <c r="QG37" s="4"/>
      <c r="QH37" s="5"/>
      <c r="QI37" s="6"/>
      <c r="QJ37" s="4"/>
      <c r="QK37" s="4"/>
      <c r="QL37" s="4"/>
      <c r="QM37" s="4"/>
      <c r="QN37" s="4"/>
      <c r="QO37" s="5"/>
      <c r="QP37" s="6"/>
      <c r="QQ37" s="4"/>
      <c r="QR37" s="4"/>
      <c r="QS37" s="4"/>
      <c r="QT37" s="4"/>
      <c r="QU37" s="4"/>
      <c r="QV37" s="5"/>
      <c r="QW37" s="6"/>
      <c r="QX37" s="4"/>
      <c r="QY37" s="4"/>
      <c r="QZ37" s="4"/>
      <c r="RA37" s="4"/>
      <c r="RB37" s="4"/>
      <c r="RC37" s="5"/>
      <c r="RD37" s="6"/>
      <c r="RE37" s="4"/>
      <c r="RF37" s="4"/>
      <c r="RG37" s="4"/>
      <c r="RH37" s="4"/>
      <c r="RI37" s="4"/>
      <c r="RJ37" s="5"/>
      <c r="RK37" s="6"/>
      <c r="RL37" s="4"/>
      <c r="RM37" s="4"/>
      <c r="RN37" s="4"/>
      <c r="RO37" s="4"/>
      <c r="RP37" s="4"/>
      <c r="RQ37" s="5"/>
      <c r="RR37" s="6"/>
      <c r="RS37" s="4"/>
      <c r="RT37" s="4"/>
      <c r="RU37" s="4"/>
      <c r="RV37" s="4"/>
      <c r="RW37" s="4"/>
      <c r="RX37" s="5"/>
      <c r="RY37" s="6"/>
      <c r="RZ37" s="4"/>
      <c r="SA37" s="4"/>
      <c r="SB37" s="4"/>
      <c r="SC37" s="4"/>
      <c r="SD37" s="4"/>
      <c r="SE37" s="5"/>
      <c r="SF37" s="6"/>
      <c r="SG37" s="4"/>
      <c r="SH37" s="4"/>
      <c r="SI37" s="4"/>
      <c r="SJ37" s="4"/>
      <c r="SK37" s="4"/>
      <c r="SL37" s="5"/>
      <c r="SM37" s="6"/>
      <c r="SN37" s="4"/>
      <c r="SO37" s="4"/>
      <c r="SP37" s="4"/>
      <c r="SQ37" s="4"/>
      <c r="SR37" s="4"/>
      <c r="SS37" s="5"/>
      <c r="ST37" s="6"/>
      <c r="SU37" s="4"/>
      <c r="SV37" s="4"/>
      <c r="SW37" s="4"/>
      <c r="SX37" s="4"/>
      <c r="SY37" s="4"/>
      <c r="SZ37" s="5"/>
      <c r="TA37" s="6"/>
      <c r="TB37" s="4"/>
      <c r="TC37" s="4"/>
      <c r="TD37" s="4"/>
      <c r="TE37" s="4"/>
      <c r="TF37" s="4"/>
      <c r="TG37" s="5"/>
      <c r="TH37" s="6"/>
      <c r="TI37" s="4"/>
      <c r="TJ37" s="4"/>
      <c r="TK37" s="4"/>
      <c r="TL37" s="4"/>
      <c r="TM37" s="4"/>
      <c r="TN37" s="5"/>
      <c r="TO37" s="6"/>
      <c r="TP37" s="4"/>
      <c r="TQ37" s="4"/>
      <c r="TR37" s="4"/>
      <c r="TS37" s="4"/>
      <c r="TT37" s="4"/>
      <c r="TU37" s="5"/>
      <c r="TV37" s="6"/>
      <c r="TW37" s="4"/>
      <c r="TX37" s="4"/>
      <c r="TY37" s="4"/>
      <c r="TZ37" s="4"/>
      <c r="UA37" s="4"/>
      <c r="UB37" s="5"/>
      <c r="UC37" s="6"/>
      <c r="UD37" s="4"/>
      <c r="UE37" s="4"/>
      <c r="UF37" s="4"/>
      <c r="UG37" s="4"/>
      <c r="UH37" s="4"/>
      <c r="UI37" s="5"/>
      <c r="UJ37" s="6"/>
      <c r="UK37" s="4"/>
      <c r="UL37" s="4"/>
      <c r="UM37" s="4"/>
      <c r="UN37" s="4"/>
      <c r="UO37" s="4"/>
      <c r="UP37" s="5"/>
      <c r="UQ37" s="6"/>
      <c r="UR37" s="4"/>
      <c r="US37" s="4"/>
      <c r="UT37" s="4"/>
      <c r="UU37" s="4"/>
      <c r="UV37" s="4"/>
      <c r="UW37" s="5"/>
      <c r="UX37" s="6"/>
      <c r="UY37" s="4"/>
      <c r="UZ37" s="4"/>
      <c r="VA37" s="4"/>
      <c r="VB37" s="4"/>
      <c r="VC37" s="4"/>
      <c r="VD37" s="5"/>
      <c r="VE37" s="6"/>
      <c r="VF37" s="4"/>
      <c r="VG37" s="4"/>
      <c r="VH37" s="4"/>
      <c r="VI37" s="4"/>
      <c r="VJ37" s="4"/>
      <c r="VK37" s="5"/>
      <c r="VL37" s="6"/>
      <c r="VM37" s="4"/>
      <c r="VN37" s="4"/>
      <c r="VO37" s="4"/>
      <c r="VP37" s="4"/>
      <c r="VQ37" s="4"/>
      <c r="VR37" s="5"/>
      <c r="VS37" s="6"/>
      <c r="VT37" s="4"/>
      <c r="VU37" s="4"/>
      <c r="VV37" s="4"/>
      <c r="VW37" s="4"/>
      <c r="VX37" s="4"/>
      <c r="VY37" s="5"/>
      <c r="VZ37" s="6"/>
      <c r="WA37" s="4"/>
      <c r="WB37" s="4"/>
      <c r="WC37" s="4"/>
      <c r="WD37" s="4"/>
      <c r="WE37" s="4"/>
      <c r="WF37" s="5"/>
      <c r="WG37" s="6"/>
      <c r="WH37" s="4"/>
      <c r="WI37" s="4"/>
      <c r="WJ37" s="4"/>
      <c r="WK37" s="4"/>
      <c r="WL37" s="4"/>
      <c r="WM37" s="5"/>
      <c r="WN37" s="6"/>
      <c r="WO37" s="4"/>
      <c r="WP37" s="4"/>
      <c r="WQ37" s="4"/>
      <c r="WR37" s="4"/>
      <c r="WS37" s="4"/>
      <c r="WT37" s="5"/>
      <c r="WU37" s="6"/>
      <c r="WV37" s="4"/>
      <c r="WW37" s="4"/>
      <c r="WX37" s="4"/>
      <c r="WY37" s="4"/>
      <c r="WZ37" s="4"/>
      <c r="XA37" s="5"/>
      <c r="XB37" s="6"/>
      <c r="XC37" s="4"/>
      <c r="XD37" s="4"/>
      <c r="XE37" s="4"/>
      <c r="XF37" s="4"/>
      <c r="XG37" s="4"/>
      <c r="XH37" s="5"/>
      <c r="XI37" s="6"/>
      <c r="XJ37" s="4"/>
      <c r="XK37" s="4"/>
      <c r="XL37" s="4"/>
      <c r="XM37" s="4"/>
      <c r="XN37" s="4"/>
      <c r="XO37" s="5"/>
      <c r="XP37" s="6"/>
      <c r="XQ37" s="4"/>
      <c r="XR37" s="4"/>
      <c r="XS37" s="4"/>
      <c r="XT37" s="4"/>
      <c r="XU37" s="4"/>
      <c r="XV37" s="5"/>
      <c r="XW37" s="6"/>
      <c r="XX37" s="4"/>
      <c r="XY37" s="4"/>
      <c r="XZ37" s="4"/>
      <c r="YA37" s="4"/>
      <c r="YB37" s="4"/>
      <c r="YC37" s="5"/>
      <c r="YD37" s="6"/>
      <c r="YE37" s="4"/>
      <c r="YF37" s="4"/>
      <c r="YG37" s="4"/>
      <c r="YH37" s="4"/>
      <c r="YI37" s="4"/>
      <c r="YJ37" s="5"/>
      <c r="YK37" s="6"/>
      <c r="YL37" s="4"/>
      <c r="YM37" s="4"/>
      <c r="YN37" s="4"/>
      <c r="YO37" s="4"/>
      <c r="YP37" s="4"/>
      <c r="YQ37" s="5"/>
      <c r="YR37" s="6"/>
      <c r="YS37" s="4"/>
      <c r="YT37" s="4"/>
      <c r="YU37" s="4"/>
      <c r="YV37" s="4"/>
      <c r="YW37" s="4"/>
      <c r="YX37" s="5"/>
      <c r="YY37" s="6"/>
      <c r="YZ37" s="4"/>
      <c r="ZA37" s="4"/>
      <c r="ZB37" s="4"/>
      <c r="ZC37" s="4"/>
      <c r="ZD37" s="4"/>
      <c r="ZE37" s="5"/>
      <c r="ZF37" s="6"/>
      <c r="ZG37" s="4"/>
      <c r="ZH37" s="4"/>
      <c r="ZI37" s="4"/>
      <c r="ZJ37" s="4"/>
      <c r="ZK37" s="4"/>
      <c r="ZL37" s="5"/>
      <c r="ZM37" s="6"/>
      <c r="ZN37" s="4"/>
      <c r="ZO37" s="4"/>
      <c r="ZP37" s="4"/>
      <c r="ZQ37" s="4"/>
      <c r="ZR37" s="4"/>
      <c r="ZS37" s="5"/>
      <c r="ZT37" s="6"/>
      <c r="ZU37" s="4"/>
      <c r="ZV37" s="4"/>
      <c r="ZW37" s="4"/>
      <c r="ZX37" s="4"/>
      <c r="ZY37" s="4"/>
      <c r="ZZ37" s="5"/>
      <c r="AAA37" s="6"/>
      <c r="AAB37" s="4"/>
      <c r="AAC37" s="4"/>
      <c r="AAD37" s="4"/>
      <c r="AAE37" s="4"/>
      <c r="AAF37" s="4"/>
      <c r="AAG37" s="5"/>
      <c r="AAH37" s="6"/>
      <c r="AAI37" s="4"/>
      <c r="AAJ37" s="4"/>
      <c r="AAK37" s="4"/>
      <c r="AAL37" s="4"/>
      <c r="AAM37" s="4"/>
      <c r="AAN37" s="5"/>
      <c r="AAO37" s="6"/>
      <c r="AAP37" s="4"/>
      <c r="AAQ37" s="4"/>
      <c r="AAR37" s="4"/>
      <c r="AAS37" s="4"/>
      <c r="AAT37" s="4"/>
      <c r="AAU37" s="5"/>
      <c r="AAV37" s="6"/>
      <c r="AAW37" s="4"/>
      <c r="AAX37" s="4"/>
      <c r="AAY37" s="4"/>
      <c r="AAZ37" s="4"/>
      <c r="ABA37" s="4"/>
      <c r="ABB37" s="5"/>
      <c r="ABC37" s="6"/>
      <c r="ABD37" s="4"/>
      <c r="ABE37" s="4"/>
      <c r="ABF37" s="4"/>
      <c r="ABG37" s="4"/>
      <c r="ABH37" s="4"/>
      <c r="ABI37" s="5"/>
      <c r="ABJ37" s="6"/>
      <c r="ABK37" s="4"/>
      <c r="ABL37" s="4"/>
      <c r="ABM37" s="4"/>
      <c r="ABN37" s="4"/>
      <c r="ABO37" s="4"/>
      <c r="ABP37" s="5"/>
      <c r="ABQ37" s="6"/>
      <c r="ABR37" s="4"/>
      <c r="ABS37" s="4"/>
      <c r="ABT37" s="4"/>
      <c r="ABU37" s="4"/>
      <c r="ABV37" s="4"/>
      <c r="ABW37" s="5"/>
      <c r="ABX37" s="6"/>
      <c r="ABY37" s="4"/>
      <c r="ABZ37" s="4"/>
      <c r="ACA37" s="4"/>
      <c r="ACB37" s="4"/>
      <c r="ACC37" s="4"/>
      <c r="ACD37" s="5"/>
      <c r="ACE37" s="6"/>
      <c r="ACF37" s="4"/>
      <c r="ACG37" s="4"/>
      <c r="ACH37" s="4"/>
      <c r="ACI37" s="4"/>
      <c r="ACJ37" s="4"/>
      <c r="ACK37" s="5"/>
      <c r="ACL37" s="6"/>
      <c r="ACM37" s="4"/>
      <c r="ACN37" s="4"/>
      <c r="ACO37" s="4"/>
      <c r="ACP37" s="4"/>
      <c r="ACQ37" s="4"/>
      <c r="ACR37" s="5"/>
      <c r="ACS37" s="6"/>
      <c r="ACT37" s="4"/>
      <c r="ACU37" s="4"/>
      <c r="ACV37" s="4"/>
      <c r="ACW37" s="4"/>
      <c r="ACX37" s="4"/>
      <c r="ACY37" s="5"/>
    </row>
    <row r="38" spans="2:816" x14ac:dyDescent="0.25">
      <c r="B38" s="29">
        <v>92008032</v>
      </c>
      <c r="C38">
        <v>78</v>
      </c>
      <c r="D38" t="s">
        <v>3729</v>
      </c>
      <c r="F38" s="23">
        <v>0</v>
      </c>
      <c r="I38">
        <v>1</v>
      </c>
      <c r="J38" s="19">
        <v>33487</v>
      </c>
      <c r="K38" s="19"/>
      <c r="L38" s="19"/>
      <c r="LL38" s="6"/>
      <c r="LM38" s="4"/>
      <c r="LN38" s="4"/>
      <c r="LO38" s="4"/>
      <c r="LP38" s="4"/>
      <c r="LQ38" s="4"/>
      <c r="LR38" s="5"/>
      <c r="LS38" s="6"/>
      <c r="LT38" s="4"/>
      <c r="LU38" s="4"/>
      <c r="LV38" s="4"/>
      <c r="LW38" s="4"/>
      <c r="LX38" s="4"/>
      <c r="LY38" s="5"/>
      <c r="LZ38" s="6" t="s">
        <v>2282</v>
      </c>
      <c r="MA38" s="7" t="s">
        <v>2234</v>
      </c>
      <c r="MB38" s="7" t="s">
        <v>2211</v>
      </c>
      <c r="MC38" s="7" t="s">
        <v>2510</v>
      </c>
      <c r="MD38" s="8">
        <v>33453</v>
      </c>
      <c r="ME38" s="8">
        <v>33487</v>
      </c>
      <c r="MF38" s="8"/>
      <c r="MG38" s="5"/>
      <c r="MH38" s="6"/>
      <c r="MI38" s="4"/>
      <c r="MJ38" s="4"/>
      <c r="MK38" s="4"/>
      <c r="ML38" s="4"/>
      <c r="MM38" s="4"/>
      <c r="MN38" s="5"/>
      <c r="MO38" s="6"/>
      <c r="MP38" s="4"/>
      <c r="MQ38" s="4"/>
      <c r="MR38" s="4"/>
      <c r="MS38" s="4"/>
      <c r="MT38" s="4"/>
      <c r="MU38" s="5"/>
      <c r="MV38" s="6"/>
      <c r="MW38" s="4"/>
      <c r="MX38" s="4"/>
      <c r="MY38" s="4"/>
      <c r="MZ38" s="4"/>
      <c r="NA38" s="4"/>
      <c r="NB38" s="5"/>
      <c r="NC38" s="6" t="s">
        <v>2301</v>
      </c>
      <c r="ND38" s="4" t="s">
        <v>2303</v>
      </c>
      <c r="NE38" s="4"/>
      <c r="NF38" s="4" t="s">
        <v>2149</v>
      </c>
      <c r="NG38" s="8">
        <v>33485</v>
      </c>
      <c r="NH38" s="8">
        <v>33487</v>
      </c>
      <c r="NI38" s="5"/>
      <c r="NJ38" s="6"/>
      <c r="NK38" s="4"/>
      <c r="NL38" s="4"/>
      <c r="NM38" s="4"/>
      <c r="NN38" s="4"/>
      <c r="NO38" s="4"/>
      <c r="NP38" s="5"/>
      <c r="NQ38" s="6"/>
      <c r="NR38" s="4"/>
      <c r="NS38" s="4"/>
      <c r="NT38" s="4"/>
      <c r="NU38" s="4"/>
      <c r="NV38" s="4"/>
      <c r="NW38" s="5"/>
      <c r="NX38" s="6"/>
      <c r="NY38" s="4"/>
      <c r="NZ38" s="4"/>
      <c r="OA38" s="4"/>
      <c r="OB38" s="4"/>
      <c r="OC38" s="4"/>
      <c r="OD38" s="5"/>
      <c r="OE38" s="6"/>
      <c r="OF38" s="4"/>
      <c r="OG38" s="4"/>
      <c r="OH38" s="4"/>
      <c r="OI38" s="4"/>
      <c r="OJ38" s="4"/>
      <c r="OK38" s="5"/>
      <c r="OL38" s="6"/>
      <c r="OM38" s="4"/>
      <c r="ON38" s="4"/>
      <c r="OO38" s="4"/>
      <c r="OP38" s="4"/>
      <c r="OQ38" s="4"/>
      <c r="OR38" s="5"/>
      <c r="OS38" s="6"/>
      <c r="OT38" s="4"/>
      <c r="OU38" s="4"/>
      <c r="OV38" s="4"/>
      <c r="OW38" s="4"/>
      <c r="OX38" s="4"/>
      <c r="OY38" s="5"/>
      <c r="OZ38" s="6"/>
      <c r="PA38" s="4"/>
      <c r="PB38" s="4"/>
      <c r="PC38" s="4"/>
      <c r="PD38" s="4"/>
      <c r="PE38" s="4"/>
      <c r="PF38" s="5"/>
      <c r="PG38" s="6"/>
      <c r="PH38" s="4"/>
      <c r="PI38" s="4"/>
      <c r="PJ38" s="4"/>
      <c r="PK38" s="4"/>
      <c r="PL38" s="4"/>
      <c r="PM38" s="5"/>
      <c r="PN38" s="6"/>
      <c r="PO38" s="4"/>
      <c r="PP38" s="4"/>
      <c r="PQ38" s="4"/>
      <c r="PR38" s="4"/>
      <c r="PS38" s="4"/>
      <c r="PT38" s="5"/>
      <c r="PU38" s="6" t="s">
        <v>2511</v>
      </c>
      <c r="PV38" s="4" t="s">
        <v>2592</v>
      </c>
      <c r="PW38" s="4"/>
      <c r="PX38" s="4"/>
      <c r="PY38" s="4"/>
      <c r="PZ38" s="8">
        <v>33487</v>
      </c>
      <c r="QA38" s="5" t="s">
        <v>2694</v>
      </c>
      <c r="QB38" s="6" t="s">
        <v>2624</v>
      </c>
      <c r="QC38" s="4" t="s">
        <v>2625</v>
      </c>
      <c r="QD38" s="7" t="s">
        <v>2626</v>
      </c>
      <c r="QE38" s="4"/>
      <c r="QF38" s="4"/>
      <c r="QG38" s="8">
        <v>33487</v>
      </c>
      <c r="QH38" s="5"/>
      <c r="QI38" s="6"/>
      <c r="QJ38" s="4"/>
      <c r="QK38" s="4"/>
      <c r="QL38" s="4"/>
      <c r="QM38" s="4"/>
      <c r="QN38" s="4"/>
      <c r="QO38" s="5"/>
      <c r="QP38" s="6"/>
      <c r="QQ38" s="4"/>
      <c r="QR38" s="4"/>
      <c r="QS38" s="4"/>
      <c r="QT38" s="4"/>
      <c r="QU38" s="4"/>
      <c r="QV38" s="5"/>
      <c r="QW38" s="6"/>
      <c r="QX38" s="4"/>
      <c r="QY38" s="4"/>
      <c r="QZ38" s="4"/>
      <c r="RA38" s="4"/>
      <c r="RB38" s="4"/>
      <c r="RC38" s="5"/>
      <c r="RD38" s="6" t="s">
        <v>2613</v>
      </c>
      <c r="RE38" s="4" t="s">
        <v>2620</v>
      </c>
      <c r="RF38" s="4"/>
      <c r="RG38" s="4"/>
      <c r="RH38" s="4"/>
      <c r="RI38" s="8">
        <v>33491</v>
      </c>
      <c r="RJ38" s="5"/>
      <c r="RK38" s="6"/>
      <c r="RL38" s="4"/>
      <c r="RM38" s="4"/>
      <c r="RN38" s="4"/>
      <c r="RO38" s="4"/>
      <c r="RP38" s="4"/>
      <c r="RQ38" s="5"/>
      <c r="RR38" s="6"/>
      <c r="RS38" s="4"/>
      <c r="RT38" s="4"/>
      <c r="RU38" s="4"/>
      <c r="RV38" s="4"/>
      <c r="RW38" s="4"/>
      <c r="RX38" s="5"/>
      <c r="RY38" s="6"/>
      <c r="RZ38" s="4"/>
      <c r="SA38" s="4"/>
      <c r="SB38" s="4"/>
      <c r="SC38" s="4"/>
      <c r="SD38" s="4"/>
      <c r="SE38" s="5"/>
      <c r="SF38" s="6"/>
      <c r="SG38" s="4"/>
      <c r="SH38" s="4"/>
      <c r="SI38" s="4"/>
      <c r="SJ38" s="4"/>
      <c r="SK38" s="4"/>
      <c r="SL38" s="5"/>
      <c r="SM38" s="6"/>
      <c r="SN38" s="4"/>
      <c r="SO38" s="4"/>
      <c r="SP38" s="4"/>
      <c r="SQ38" s="4"/>
      <c r="SR38" s="4"/>
      <c r="SS38" s="5"/>
      <c r="ST38" s="6"/>
      <c r="SU38" s="4"/>
      <c r="SV38" s="4"/>
      <c r="SW38" s="4"/>
      <c r="SX38" s="4"/>
      <c r="SY38" s="4"/>
      <c r="SZ38" s="5"/>
      <c r="TA38" s="6"/>
      <c r="TB38" s="4"/>
      <c r="TC38" s="4"/>
      <c r="TD38" s="4"/>
      <c r="TE38" s="4"/>
      <c r="TF38" s="4"/>
      <c r="TG38" s="5"/>
      <c r="TH38" s="6"/>
      <c r="TI38" s="4"/>
      <c r="TJ38" s="4"/>
      <c r="TK38" s="4"/>
      <c r="TL38" s="4"/>
      <c r="TM38" s="4"/>
      <c r="TN38" s="5"/>
      <c r="TO38" s="6"/>
      <c r="TP38" s="4"/>
      <c r="TQ38" s="4"/>
      <c r="TR38" s="4"/>
      <c r="TS38" s="4"/>
      <c r="TT38" s="4"/>
      <c r="TU38" s="5"/>
      <c r="TV38" s="6"/>
      <c r="TW38" s="4"/>
      <c r="TX38" s="4"/>
      <c r="TY38" s="4"/>
      <c r="TZ38" s="4"/>
      <c r="UA38" s="4"/>
      <c r="UB38" s="5"/>
      <c r="UC38" s="6" t="s">
        <v>2627</v>
      </c>
      <c r="UD38" s="4" t="s">
        <v>2209</v>
      </c>
      <c r="UE38" s="4" t="s">
        <v>2210</v>
      </c>
      <c r="UF38" s="7" t="s">
        <v>2280</v>
      </c>
      <c r="UG38" s="8">
        <v>33487</v>
      </c>
      <c r="UH38" s="8">
        <v>33491</v>
      </c>
      <c r="UI38" s="5"/>
      <c r="UJ38" s="6"/>
      <c r="UK38" s="4"/>
      <c r="UL38" s="4"/>
      <c r="UM38" s="4"/>
      <c r="UN38" s="4"/>
      <c r="UO38" s="4"/>
      <c r="UP38" s="5"/>
      <c r="UQ38" s="6"/>
      <c r="UR38" s="4"/>
      <c r="US38" s="4"/>
      <c r="UT38" s="4"/>
      <c r="UU38" s="4"/>
      <c r="UV38" s="4"/>
      <c r="UW38" s="5"/>
      <c r="UX38" s="6" t="s">
        <v>2695</v>
      </c>
      <c r="UY38" s="4" t="s">
        <v>2696</v>
      </c>
      <c r="UZ38" s="4"/>
      <c r="VA38" s="4"/>
      <c r="VB38" s="4"/>
      <c r="VC38" s="8">
        <v>33487</v>
      </c>
      <c r="VD38" s="5" t="s">
        <v>2364</v>
      </c>
      <c r="VE38" s="6"/>
      <c r="VF38" s="4"/>
      <c r="VG38" s="4"/>
      <c r="VH38" s="4"/>
      <c r="VI38" s="4"/>
      <c r="VJ38" s="4"/>
      <c r="VK38" s="5"/>
      <c r="VL38" s="6" t="s">
        <v>3747</v>
      </c>
      <c r="VM38" s="4" t="s">
        <v>2903</v>
      </c>
      <c r="VN38" s="4" t="s">
        <v>2365</v>
      </c>
      <c r="VO38" s="7" t="s">
        <v>2280</v>
      </c>
      <c r="VP38" s="8">
        <v>33487</v>
      </c>
      <c r="VQ38" s="8">
        <v>33491</v>
      </c>
      <c r="VR38" s="5"/>
      <c r="VS38" s="6"/>
      <c r="VT38" s="4"/>
      <c r="VU38" s="4"/>
      <c r="VV38" s="4"/>
      <c r="VW38" s="4"/>
      <c r="VX38" s="4"/>
      <c r="VY38" s="5"/>
      <c r="VZ38" s="6"/>
      <c r="WA38" s="4"/>
      <c r="WB38" s="4"/>
      <c r="WC38" s="4"/>
      <c r="WD38" s="4"/>
      <c r="WE38" s="4"/>
      <c r="WF38" s="5"/>
      <c r="WG38" s="6"/>
      <c r="WH38" s="4"/>
      <c r="WI38" s="4"/>
      <c r="WJ38" s="4"/>
      <c r="WK38" s="4"/>
      <c r="WL38" s="4"/>
      <c r="WM38" s="5"/>
      <c r="WN38" s="6"/>
      <c r="WO38" s="4"/>
      <c r="WP38" s="4"/>
      <c r="WQ38" s="4"/>
      <c r="WR38" s="4"/>
      <c r="WS38" s="4"/>
      <c r="WT38" s="5"/>
      <c r="WU38" s="6"/>
      <c r="WV38" s="4"/>
      <c r="WW38" s="4"/>
      <c r="WX38" s="4"/>
      <c r="WY38" s="4"/>
      <c r="WZ38" s="4"/>
      <c r="XA38" s="5"/>
      <c r="XB38" s="6"/>
      <c r="XC38" s="4"/>
      <c r="XD38" s="4"/>
      <c r="XE38" s="4"/>
      <c r="XF38" s="4"/>
      <c r="XG38" s="4"/>
      <c r="XH38" s="5"/>
      <c r="XI38" s="6"/>
      <c r="XJ38" s="4"/>
      <c r="XK38" s="4"/>
      <c r="XL38" s="4"/>
      <c r="XM38" s="4"/>
      <c r="XN38" s="4"/>
      <c r="XO38" s="5"/>
      <c r="XP38" s="6"/>
      <c r="XQ38" s="4"/>
      <c r="XR38" s="4"/>
      <c r="XS38" s="4"/>
      <c r="XT38" s="4"/>
      <c r="XU38" s="4"/>
      <c r="XV38" s="5"/>
      <c r="XW38" s="6"/>
      <c r="XX38" s="4"/>
      <c r="XY38" s="4"/>
      <c r="XZ38" s="4"/>
      <c r="YA38" s="4"/>
      <c r="YB38" s="4"/>
      <c r="YC38" s="5"/>
      <c r="YD38" s="6"/>
      <c r="YE38" s="4"/>
      <c r="YF38" s="4"/>
      <c r="YG38" s="4"/>
      <c r="YH38" s="4"/>
      <c r="YI38" s="4"/>
      <c r="YJ38" s="5"/>
      <c r="YK38" s="6" t="s">
        <v>2834</v>
      </c>
      <c r="YL38" s="4" t="s">
        <v>2835</v>
      </c>
      <c r="YM38" s="4"/>
      <c r="YN38" s="4"/>
      <c r="YO38" s="4"/>
      <c r="YP38" s="8">
        <v>33487</v>
      </c>
      <c r="YQ38" s="5"/>
      <c r="YR38" s="6"/>
      <c r="YS38" s="4"/>
      <c r="YT38" s="4"/>
      <c r="YU38" s="4"/>
      <c r="YV38" s="4"/>
      <c r="YW38" s="4"/>
      <c r="YX38" s="5"/>
      <c r="YY38" s="6"/>
      <c r="YZ38" s="4"/>
      <c r="ZA38" s="4"/>
      <c r="ZB38" s="4"/>
      <c r="ZC38" s="4"/>
      <c r="ZD38" s="4"/>
      <c r="ZE38" s="5"/>
      <c r="ZF38" s="6"/>
      <c r="ZG38" s="4"/>
      <c r="ZH38" s="4"/>
      <c r="ZI38" s="4"/>
      <c r="ZJ38" s="4"/>
      <c r="ZK38" s="4"/>
      <c r="ZL38" s="5"/>
      <c r="ZM38" s="6" t="s">
        <v>2679</v>
      </c>
      <c r="ZN38" s="4" t="s">
        <v>2680</v>
      </c>
      <c r="ZO38" s="4"/>
      <c r="ZP38" s="4"/>
      <c r="ZQ38" s="4"/>
      <c r="ZR38" s="8">
        <v>33487</v>
      </c>
      <c r="ZS38" s="5"/>
      <c r="ZT38" s="6"/>
      <c r="ZU38" s="4"/>
      <c r="ZV38" s="4"/>
      <c r="ZW38" s="4"/>
      <c r="ZX38" s="4"/>
      <c r="ZY38" s="4"/>
      <c r="ZZ38" s="5"/>
      <c r="AAA38" s="6"/>
      <c r="AAB38" s="4"/>
      <c r="AAC38" s="4"/>
      <c r="AAD38" s="4"/>
      <c r="AAE38" s="4"/>
      <c r="AAF38" s="4"/>
      <c r="AAG38" s="5"/>
      <c r="AAH38" s="6" t="s">
        <v>2150</v>
      </c>
      <c r="AAI38" s="4" t="s">
        <v>2560</v>
      </c>
      <c r="AAJ38" s="4" t="s">
        <v>2561</v>
      </c>
      <c r="AAK38" s="4"/>
      <c r="AAL38" s="4"/>
      <c r="AAM38" s="8">
        <v>33487</v>
      </c>
      <c r="AAN38" s="5"/>
      <c r="AAO38" s="6"/>
      <c r="AAP38" s="4"/>
      <c r="AAQ38" s="4"/>
      <c r="AAR38" s="4"/>
      <c r="AAS38" s="4"/>
      <c r="AAT38" s="4"/>
      <c r="AAU38" s="5"/>
      <c r="AAV38" s="6"/>
      <c r="AAW38" s="4"/>
      <c r="AAX38" s="4"/>
      <c r="AAY38" s="4"/>
      <c r="AAZ38" s="4"/>
      <c r="ABA38" s="4"/>
      <c r="ABB38" s="5"/>
      <c r="ABC38" s="6"/>
      <c r="ABD38" s="4"/>
      <c r="ABE38" s="4"/>
      <c r="ABF38" s="4"/>
      <c r="ABG38" s="4"/>
      <c r="ABH38" s="4"/>
      <c r="ABI38" s="5"/>
      <c r="ABJ38" s="6"/>
      <c r="ABK38" s="4"/>
      <c r="ABL38" s="4"/>
      <c r="ABM38" s="4"/>
      <c r="ABN38" s="4"/>
      <c r="ABO38" s="4"/>
      <c r="ABP38" s="5"/>
      <c r="ABQ38" s="6"/>
      <c r="ABR38" s="4"/>
      <c r="ABS38" s="4"/>
      <c r="ABT38" s="4"/>
      <c r="ABU38" s="4"/>
      <c r="ABV38" s="4"/>
      <c r="ABW38" s="5"/>
      <c r="ABX38" s="6"/>
      <c r="ABY38" s="4"/>
      <c r="ABZ38" s="4"/>
      <c r="ACA38" s="4"/>
      <c r="ACB38" s="4"/>
      <c r="ACC38" s="4"/>
      <c r="ACD38" s="5"/>
      <c r="ACE38" s="6"/>
      <c r="ACF38" s="4"/>
      <c r="ACG38" s="4"/>
      <c r="ACH38" s="4"/>
      <c r="ACI38" s="4"/>
      <c r="ACJ38" s="4"/>
      <c r="ACK38" s="5"/>
      <c r="ACL38" s="6" t="s">
        <v>2838</v>
      </c>
      <c r="ACM38" s="4" t="s">
        <v>2471</v>
      </c>
      <c r="ACN38" s="4" t="s">
        <v>2431</v>
      </c>
      <c r="ACO38" s="4"/>
      <c r="ACP38" s="4"/>
      <c r="ACQ38" s="8">
        <v>33491</v>
      </c>
      <c r="ACR38" s="5"/>
      <c r="ACS38" s="6"/>
      <c r="ACT38" s="4"/>
      <c r="ACU38" s="4"/>
      <c r="ACV38" s="4"/>
      <c r="ACW38" s="4"/>
      <c r="ACX38" s="4"/>
      <c r="ACY38" s="5"/>
      <c r="ADA38" t="s">
        <v>1624</v>
      </c>
      <c r="ADR38" t="s">
        <v>1466</v>
      </c>
      <c r="ADY38" t="s">
        <v>1465</v>
      </c>
    </row>
    <row r="39" spans="2:816" x14ac:dyDescent="0.25">
      <c r="B39" s="30"/>
      <c r="J39" s="12"/>
      <c r="K39" s="12"/>
      <c r="L39" s="12"/>
      <c r="LL39" s="6"/>
      <c r="LM39" s="4"/>
      <c r="LN39" s="4"/>
      <c r="LO39" s="4"/>
      <c r="LP39" s="4"/>
      <c r="LQ39" s="4"/>
      <c r="LR39" s="5"/>
      <c r="LS39" s="6"/>
      <c r="LT39" s="4"/>
      <c r="LU39" s="4"/>
      <c r="LV39" s="4"/>
      <c r="LW39" s="4"/>
      <c r="LX39" s="4"/>
      <c r="LY39" s="5"/>
      <c r="LZ39" s="6"/>
      <c r="MA39" s="7"/>
      <c r="MB39" s="7"/>
      <c r="MC39" s="7"/>
      <c r="MD39" s="8"/>
      <c r="ME39" s="8"/>
      <c r="MF39" s="8"/>
      <c r="MG39" s="5"/>
      <c r="MH39" s="6"/>
      <c r="MI39" s="4"/>
      <c r="MJ39" s="4"/>
      <c r="MK39" s="4"/>
      <c r="ML39" s="4"/>
      <c r="MM39" s="4"/>
      <c r="MN39" s="5"/>
      <c r="MO39" s="6"/>
      <c r="MP39" s="4"/>
      <c r="MQ39" s="4"/>
      <c r="MR39" s="4"/>
      <c r="MS39" s="4"/>
      <c r="MT39" s="4"/>
      <c r="MU39" s="5"/>
      <c r="MV39" s="6"/>
      <c r="MW39" s="4"/>
      <c r="MX39" s="4"/>
      <c r="MY39" s="4"/>
      <c r="MZ39" s="4"/>
      <c r="NA39" s="4"/>
      <c r="NB39" s="5"/>
      <c r="NC39" s="6"/>
      <c r="ND39" s="4"/>
      <c r="NE39" s="4"/>
      <c r="NF39" s="4"/>
      <c r="NG39" s="8"/>
      <c r="NH39" s="8"/>
      <c r="NI39" s="5"/>
      <c r="NJ39" s="6"/>
      <c r="NK39" s="4"/>
      <c r="NL39" s="4"/>
      <c r="NM39" s="4"/>
      <c r="NN39" s="4"/>
      <c r="NO39" s="4"/>
      <c r="NP39" s="5"/>
      <c r="NQ39" s="6"/>
      <c r="NR39" s="4"/>
      <c r="NS39" s="4"/>
      <c r="NT39" s="4"/>
      <c r="NU39" s="4"/>
      <c r="NV39" s="4"/>
      <c r="NW39" s="5"/>
      <c r="NX39" s="6"/>
      <c r="NY39" s="4"/>
      <c r="NZ39" s="4"/>
      <c r="OA39" s="4"/>
      <c r="OB39" s="4"/>
      <c r="OC39" s="4"/>
      <c r="OD39" s="5"/>
      <c r="OE39" s="6"/>
      <c r="OF39" s="4"/>
      <c r="OG39" s="4"/>
      <c r="OH39" s="4"/>
      <c r="OI39" s="4"/>
      <c r="OJ39" s="4"/>
      <c r="OK39" s="5"/>
      <c r="OL39" s="6"/>
      <c r="OM39" s="4"/>
      <c r="ON39" s="4"/>
      <c r="OO39" s="4"/>
      <c r="OP39" s="4"/>
      <c r="OQ39" s="4"/>
      <c r="OR39" s="5"/>
      <c r="OS39" s="6"/>
      <c r="OT39" s="4"/>
      <c r="OU39" s="4"/>
      <c r="OV39" s="4"/>
      <c r="OW39" s="4"/>
      <c r="OX39" s="4"/>
      <c r="OY39" s="5"/>
      <c r="OZ39" s="6"/>
      <c r="PA39" s="4"/>
      <c r="PB39" s="4"/>
      <c r="PC39" s="4"/>
      <c r="PD39" s="4"/>
      <c r="PE39" s="4"/>
      <c r="PF39" s="5"/>
      <c r="PG39" s="6"/>
      <c r="PH39" s="4"/>
      <c r="PI39" s="4"/>
      <c r="PJ39" s="4"/>
      <c r="PK39" s="4"/>
      <c r="PL39" s="4"/>
      <c r="PM39" s="5"/>
      <c r="PN39" s="6"/>
      <c r="PO39" s="4"/>
      <c r="PP39" s="4"/>
      <c r="PQ39" s="4"/>
      <c r="PR39" s="4"/>
      <c r="PS39" s="4"/>
      <c r="PT39" s="5"/>
      <c r="PU39" s="6" t="s">
        <v>2621</v>
      </c>
      <c r="PV39" s="4" t="s">
        <v>2622</v>
      </c>
      <c r="PW39" s="4"/>
      <c r="PX39" s="4" t="s">
        <v>2623</v>
      </c>
      <c r="PY39" s="8">
        <v>33487</v>
      </c>
      <c r="PZ39" s="8">
        <v>33491</v>
      </c>
      <c r="QA39" s="5"/>
      <c r="QB39" s="6"/>
      <c r="QC39" s="4"/>
      <c r="QD39" s="4"/>
      <c r="QE39" s="4"/>
      <c r="QF39" s="4"/>
      <c r="QG39" s="4"/>
      <c r="QH39" s="5"/>
      <c r="QI39" s="6"/>
      <c r="QJ39" s="4"/>
      <c r="QK39" s="4"/>
      <c r="QL39" s="4"/>
      <c r="QM39" s="4"/>
      <c r="QN39" s="4"/>
      <c r="QO39" s="5"/>
      <c r="QP39" s="6"/>
      <c r="QQ39" s="4"/>
      <c r="QR39" s="4"/>
      <c r="QS39" s="4"/>
      <c r="QT39" s="4"/>
      <c r="QU39" s="4"/>
      <c r="QV39" s="5"/>
      <c r="QW39" s="6"/>
      <c r="QX39" s="4"/>
      <c r="QY39" s="4"/>
      <c r="QZ39" s="4"/>
      <c r="RA39" s="4"/>
      <c r="RB39" s="4"/>
      <c r="RC39" s="5"/>
      <c r="RD39" s="6"/>
      <c r="RE39" s="4"/>
      <c r="RF39" s="4"/>
      <c r="RG39" s="4"/>
      <c r="RH39" s="4"/>
      <c r="RI39" s="4"/>
      <c r="RJ39" s="5"/>
      <c r="RK39" s="6"/>
      <c r="RL39" s="4"/>
      <c r="RM39" s="4"/>
      <c r="RN39" s="4"/>
      <c r="RO39" s="4"/>
      <c r="RP39" s="4"/>
      <c r="RQ39" s="5"/>
      <c r="RR39" s="6"/>
      <c r="RS39" s="4"/>
      <c r="RT39" s="4"/>
      <c r="RU39" s="4"/>
      <c r="RV39" s="4"/>
      <c r="RW39" s="4"/>
      <c r="RX39" s="5"/>
      <c r="RY39" s="6"/>
      <c r="RZ39" s="4"/>
      <c r="SA39" s="4"/>
      <c r="SB39" s="4"/>
      <c r="SC39" s="4"/>
      <c r="SD39" s="4"/>
      <c r="SE39" s="5"/>
      <c r="SF39" s="6"/>
      <c r="SG39" s="4"/>
      <c r="SH39" s="4"/>
      <c r="SI39" s="4"/>
      <c r="SJ39" s="4"/>
      <c r="SK39" s="4"/>
      <c r="SL39" s="5"/>
      <c r="SM39" s="6"/>
      <c r="SN39" s="4"/>
      <c r="SO39" s="4"/>
      <c r="SP39" s="4"/>
      <c r="SQ39" s="4"/>
      <c r="SR39" s="4"/>
      <c r="SS39" s="5"/>
      <c r="ST39" s="6"/>
      <c r="SU39" s="4"/>
      <c r="SV39" s="4"/>
      <c r="SW39" s="4"/>
      <c r="SX39" s="4"/>
      <c r="SY39" s="4"/>
      <c r="SZ39" s="5"/>
      <c r="TA39" s="6"/>
      <c r="TB39" s="4"/>
      <c r="TC39" s="4"/>
      <c r="TD39" s="4"/>
      <c r="TE39" s="4"/>
      <c r="TF39" s="4"/>
      <c r="TG39" s="5"/>
      <c r="TH39" s="6"/>
      <c r="TI39" s="4"/>
      <c r="TJ39" s="4"/>
      <c r="TK39" s="4"/>
      <c r="TL39" s="4"/>
      <c r="TM39" s="4"/>
      <c r="TN39" s="5"/>
      <c r="TO39" s="6"/>
      <c r="TP39" s="4"/>
      <c r="TQ39" s="4"/>
      <c r="TR39" s="4"/>
      <c r="TS39" s="4"/>
      <c r="TT39" s="4"/>
      <c r="TU39" s="5"/>
      <c r="TV39" s="6"/>
      <c r="TW39" s="4"/>
      <c r="TX39" s="4"/>
      <c r="TY39" s="4"/>
      <c r="TZ39" s="4"/>
      <c r="UA39" s="4"/>
      <c r="UB39" s="5"/>
      <c r="UC39" s="6"/>
      <c r="UD39" s="4"/>
      <c r="UE39" s="4"/>
      <c r="UF39" s="4"/>
      <c r="UG39" s="4"/>
      <c r="UH39" s="4"/>
      <c r="UI39" s="5"/>
      <c r="UJ39" s="6"/>
      <c r="UK39" s="4"/>
      <c r="UL39" s="4"/>
      <c r="UM39" s="4"/>
      <c r="UN39" s="4"/>
      <c r="UO39" s="4"/>
      <c r="UP39" s="5"/>
      <c r="UQ39" s="6"/>
      <c r="UR39" s="4"/>
      <c r="US39" s="4"/>
      <c r="UT39" s="4"/>
      <c r="UU39" s="4"/>
      <c r="UV39" s="4"/>
      <c r="UW39" s="5"/>
      <c r="UX39" s="6"/>
      <c r="UY39" s="4"/>
      <c r="UZ39" s="4"/>
      <c r="VA39" s="4"/>
      <c r="VB39" s="4"/>
      <c r="VC39" s="8"/>
      <c r="VD39" s="5"/>
      <c r="VE39" s="6"/>
      <c r="VF39" s="4"/>
      <c r="VG39" s="4"/>
      <c r="VH39" s="4"/>
      <c r="VI39" s="4"/>
      <c r="VJ39" s="4"/>
      <c r="VK39" s="5"/>
      <c r="VL39" s="6"/>
      <c r="VM39" s="4"/>
      <c r="VN39" s="4"/>
      <c r="VO39" s="7"/>
      <c r="VP39" s="8"/>
      <c r="VQ39" s="8"/>
      <c r="VR39" s="5"/>
      <c r="VS39" s="6"/>
      <c r="VT39" s="4"/>
      <c r="VU39" s="4"/>
      <c r="VV39" s="4"/>
      <c r="VW39" s="4"/>
      <c r="VX39" s="4"/>
      <c r="VY39" s="5"/>
      <c r="VZ39" s="6"/>
      <c r="WA39" s="4"/>
      <c r="WB39" s="4"/>
      <c r="WC39" s="4"/>
      <c r="WD39" s="4"/>
      <c r="WE39" s="4"/>
      <c r="WF39" s="5"/>
      <c r="WG39" s="6"/>
      <c r="WH39" s="4"/>
      <c r="WI39" s="4"/>
      <c r="WJ39" s="4"/>
      <c r="WK39" s="4"/>
      <c r="WL39" s="4"/>
      <c r="WM39" s="5"/>
      <c r="WN39" s="6"/>
      <c r="WO39" s="4"/>
      <c r="WP39" s="4"/>
      <c r="WQ39" s="4"/>
      <c r="WR39" s="4"/>
      <c r="WS39" s="4"/>
      <c r="WT39" s="5"/>
      <c r="WU39" s="6"/>
      <c r="WV39" s="4"/>
      <c r="WW39" s="4"/>
      <c r="WX39" s="4"/>
      <c r="WY39" s="4"/>
      <c r="WZ39" s="4"/>
      <c r="XA39" s="5"/>
      <c r="XB39" s="6"/>
      <c r="XC39" s="4"/>
      <c r="XD39" s="4"/>
      <c r="XE39" s="4"/>
      <c r="XF39" s="4"/>
      <c r="XG39" s="4"/>
      <c r="XH39" s="5"/>
      <c r="XI39" s="6"/>
      <c r="XJ39" s="4"/>
      <c r="XK39" s="4"/>
      <c r="XL39" s="4"/>
      <c r="XM39" s="4"/>
      <c r="XN39" s="4"/>
      <c r="XO39" s="5"/>
      <c r="XP39" s="6"/>
      <c r="XQ39" s="4"/>
      <c r="XR39" s="4"/>
      <c r="XS39" s="4"/>
      <c r="XT39" s="4"/>
      <c r="XU39" s="4"/>
      <c r="XV39" s="5"/>
      <c r="XW39" s="6"/>
      <c r="XX39" s="4"/>
      <c r="XY39" s="4"/>
      <c r="XZ39" s="4"/>
      <c r="YA39" s="4"/>
      <c r="YB39" s="4"/>
      <c r="YC39" s="5"/>
      <c r="YD39" s="6"/>
      <c r="YE39" s="4"/>
      <c r="YF39" s="4"/>
      <c r="YG39" s="4"/>
      <c r="YH39" s="4"/>
      <c r="YI39" s="4"/>
      <c r="YJ39" s="5"/>
      <c r="YK39" s="6" t="s">
        <v>2836</v>
      </c>
      <c r="YL39" s="4" t="s">
        <v>2837</v>
      </c>
      <c r="YM39" s="4" t="s">
        <v>2111</v>
      </c>
      <c r="YN39" s="7" t="s">
        <v>2681</v>
      </c>
      <c r="YO39" s="8">
        <v>33487</v>
      </c>
      <c r="YP39" s="8">
        <v>33491</v>
      </c>
      <c r="YQ39" s="5"/>
      <c r="YR39" s="6"/>
      <c r="YS39" s="4"/>
      <c r="YT39" s="4"/>
      <c r="YU39" s="4"/>
      <c r="YV39" s="4"/>
      <c r="YW39" s="4"/>
      <c r="YX39" s="5"/>
      <c r="YY39" s="6"/>
      <c r="YZ39" s="4"/>
      <c r="ZA39" s="4"/>
      <c r="ZB39" s="4"/>
      <c r="ZC39" s="4"/>
      <c r="ZD39" s="4"/>
      <c r="ZE39" s="5"/>
      <c r="ZF39" s="6"/>
      <c r="ZG39" s="4"/>
      <c r="ZH39" s="4"/>
      <c r="ZI39" s="4"/>
      <c r="ZJ39" s="4"/>
      <c r="ZK39" s="4"/>
      <c r="ZL39" s="5"/>
      <c r="ZM39" s="6"/>
      <c r="ZN39" s="4"/>
      <c r="ZO39" s="4"/>
      <c r="ZP39" s="4"/>
      <c r="ZQ39" s="4"/>
      <c r="ZR39" s="4"/>
      <c r="ZS39" s="5"/>
      <c r="ZT39" s="6"/>
      <c r="ZU39" s="4"/>
      <c r="ZV39" s="4"/>
      <c r="ZW39" s="4"/>
      <c r="ZX39" s="4"/>
      <c r="ZY39" s="4"/>
      <c r="ZZ39" s="5"/>
      <c r="AAA39" s="6"/>
      <c r="AAB39" s="4"/>
      <c r="AAC39" s="4"/>
      <c r="AAD39" s="4"/>
      <c r="AAE39" s="4"/>
      <c r="AAF39" s="4"/>
      <c r="AAG39" s="5"/>
      <c r="AAH39" s="6" t="s">
        <v>2895</v>
      </c>
      <c r="AAI39" s="4" t="s">
        <v>2581</v>
      </c>
      <c r="AAJ39" s="4" t="s">
        <v>2111</v>
      </c>
      <c r="AAK39" s="4"/>
      <c r="AAL39" s="4"/>
      <c r="AAM39" s="8">
        <v>33487</v>
      </c>
      <c r="AAN39" s="5"/>
      <c r="AAO39" s="6"/>
      <c r="AAP39" s="4"/>
      <c r="AAQ39" s="4"/>
      <c r="AAR39" s="4"/>
      <c r="AAS39" s="4"/>
      <c r="AAT39" s="4"/>
      <c r="AAU39" s="5"/>
      <c r="AAV39" s="6"/>
      <c r="AAW39" s="4"/>
      <c r="AAX39" s="4"/>
      <c r="AAY39" s="4"/>
      <c r="AAZ39" s="4"/>
      <c r="ABA39" s="4"/>
      <c r="ABB39" s="5"/>
      <c r="ABC39" s="6"/>
      <c r="ABD39" s="4"/>
      <c r="ABE39" s="4"/>
      <c r="ABF39" s="4"/>
      <c r="ABG39" s="4"/>
      <c r="ABH39" s="4"/>
      <c r="ABI39" s="5"/>
      <c r="ABJ39" s="6"/>
      <c r="ABK39" s="4"/>
      <c r="ABL39" s="4"/>
      <c r="ABM39" s="4"/>
      <c r="ABN39" s="4"/>
      <c r="ABO39" s="4"/>
      <c r="ABP39" s="5"/>
      <c r="ABQ39" s="6"/>
      <c r="ABR39" s="4"/>
      <c r="ABS39" s="4"/>
      <c r="ABT39" s="4"/>
      <c r="ABU39" s="4"/>
      <c r="ABV39" s="4"/>
      <c r="ABW39" s="5"/>
      <c r="ABX39" s="6"/>
      <c r="ABY39" s="4"/>
      <c r="ABZ39" s="4"/>
      <c r="ACA39" s="4"/>
      <c r="ACB39" s="4"/>
      <c r="ACC39" s="4"/>
      <c r="ACD39" s="5"/>
      <c r="ACE39" s="6"/>
      <c r="ACF39" s="4"/>
      <c r="ACG39" s="4"/>
      <c r="ACH39" s="4"/>
      <c r="ACI39" s="4"/>
      <c r="ACJ39" s="4"/>
      <c r="ACK39" s="5"/>
      <c r="ACL39" s="6" t="s">
        <v>2612</v>
      </c>
      <c r="ACM39" s="4" t="s">
        <v>2893</v>
      </c>
      <c r="ACN39" s="4" t="s">
        <v>2470</v>
      </c>
      <c r="ACO39" s="4"/>
      <c r="ACP39" s="4"/>
      <c r="ACQ39" s="8">
        <v>33487</v>
      </c>
      <c r="ACR39" s="5" t="s">
        <v>2894</v>
      </c>
      <c r="ACS39" s="6"/>
      <c r="ACT39" s="4"/>
      <c r="ACU39" s="4"/>
      <c r="ACV39" s="4"/>
      <c r="ACW39" s="4"/>
      <c r="ACX39" s="4"/>
      <c r="ACY39" s="5"/>
    </row>
    <row r="40" spans="2:816" x14ac:dyDescent="0.25">
      <c r="B40" s="29">
        <v>92900655</v>
      </c>
      <c r="C40">
        <v>24</v>
      </c>
      <c r="D40" t="s">
        <v>3729</v>
      </c>
      <c r="F40" s="23">
        <v>0</v>
      </c>
      <c r="I40">
        <v>1</v>
      </c>
      <c r="J40" s="19">
        <v>33272</v>
      </c>
      <c r="K40" s="19"/>
      <c r="L40" s="19"/>
      <c r="BU40">
        <v>1</v>
      </c>
      <c r="HZ40">
        <v>1</v>
      </c>
      <c r="LL40" s="6"/>
      <c r="LM40" s="4"/>
      <c r="LN40" s="4"/>
      <c r="LO40" s="4"/>
      <c r="LP40" s="4"/>
      <c r="LQ40" s="4"/>
      <c r="LR40" s="5"/>
      <c r="LS40" s="6" t="s">
        <v>2958</v>
      </c>
      <c r="LT40" s="4" t="s">
        <v>2958</v>
      </c>
      <c r="LU40" s="4" t="s">
        <v>2110</v>
      </c>
      <c r="LV40" s="7" t="s">
        <v>2959</v>
      </c>
      <c r="LW40" s="8">
        <v>33257</v>
      </c>
      <c r="LX40" s="8">
        <v>33257</v>
      </c>
      <c r="LY40" s="5" t="s">
        <v>2539</v>
      </c>
      <c r="LZ40" s="6" t="s">
        <v>2444</v>
      </c>
      <c r="MA40" s="7" t="s">
        <v>2759</v>
      </c>
      <c r="MB40" s="7" t="s">
        <v>2760</v>
      </c>
      <c r="MC40" s="7" t="s">
        <v>2761</v>
      </c>
      <c r="MD40" s="8">
        <v>33241</v>
      </c>
      <c r="ME40" s="8">
        <v>33270</v>
      </c>
      <c r="MF40" s="8"/>
      <c r="MG40" s="5"/>
      <c r="MH40" s="6"/>
      <c r="MI40" s="4"/>
      <c r="MJ40" s="4"/>
      <c r="MK40" s="4"/>
      <c r="ML40" s="4"/>
      <c r="MM40" s="4"/>
      <c r="MN40" s="5"/>
      <c r="MO40" s="6"/>
      <c r="MP40" s="4"/>
      <c r="MQ40" s="4"/>
      <c r="MR40" s="4"/>
      <c r="MS40" s="4"/>
      <c r="MT40" s="4"/>
      <c r="MU40" s="5"/>
      <c r="MV40" s="6"/>
      <c r="MW40" s="4"/>
      <c r="MX40" s="4"/>
      <c r="MY40" s="4"/>
      <c r="MZ40" s="4"/>
      <c r="NA40" s="4"/>
      <c r="NB40" s="5"/>
      <c r="NC40" s="6" t="s">
        <v>2596</v>
      </c>
      <c r="ND40" s="4" t="s">
        <v>2597</v>
      </c>
      <c r="NE40" s="4"/>
      <c r="NF40" s="4" t="s">
        <v>2598</v>
      </c>
      <c r="NG40" s="8">
        <v>33240</v>
      </c>
      <c r="NH40" s="8">
        <v>33240</v>
      </c>
      <c r="NI40" s="5"/>
      <c r="NJ40" s="6"/>
      <c r="NK40" s="4"/>
      <c r="NL40" s="4"/>
      <c r="NM40" s="4"/>
      <c r="NN40" s="4"/>
      <c r="NO40" s="4"/>
      <c r="NP40" s="5"/>
      <c r="NQ40" s="6"/>
      <c r="NR40" s="4"/>
      <c r="NS40" s="4"/>
      <c r="NT40" s="4"/>
      <c r="NU40" s="4"/>
      <c r="NV40" s="4"/>
      <c r="NW40" s="5"/>
      <c r="NX40" s="6"/>
      <c r="NY40" s="4"/>
      <c r="NZ40" s="4"/>
      <c r="OA40" s="4"/>
      <c r="OB40" s="4"/>
      <c r="OC40" s="4"/>
      <c r="OD40" s="5"/>
      <c r="OE40" s="6"/>
      <c r="OF40" s="4"/>
      <c r="OG40" s="4"/>
      <c r="OH40" s="4"/>
      <c r="OI40" s="4"/>
      <c r="OJ40" s="4"/>
      <c r="OK40" s="5"/>
      <c r="OL40" s="6"/>
      <c r="OM40" s="4"/>
      <c r="ON40" s="4"/>
      <c r="OO40" s="4"/>
      <c r="OP40" s="4"/>
      <c r="OQ40" s="4"/>
      <c r="OR40" s="5"/>
      <c r="OS40" s="6"/>
      <c r="OT40" s="4"/>
      <c r="OU40" s="4"/>
      <c r="OV40" s="4"/>
      <c r="OW40" s="4"/>
      <c r="OX40" s="4"/>
      <c r="OY40" s="5"/>
      <c r="OZ40" s="6" t="s">
        <v>2842</v>
      </c>
      <c r="PA40" s="4" t="s">
        <v>2449</v>
      </c>
      <c r="PB40" s="4" t="s">
        <v>2450</v>
      </c>
      <c r="PC40" s="4"/>
      <c r="PD40" s="4"/>
      <c r="PE40" s="4"/>
      <c r="PF40" s="5"/>
      <c r="PG40" s="6"/>
      <c r="PH40" s="4"/>
      <c r="PI40" s="4"/>
      <c r="PJ40" s="4"/>
      <c r="PK40" s="4"/>
      <c r="PL40" s="4"/>
      <c r="PM40" s="5"/>
      <c r="PN40" s="6"/>
      <c r="PO40" s="4"/>
      <c r="PP40" s="4"/>
      <c r="PQ40" s="4"/>
      <c r="PR40" s="4"/>
      <c r="PS40" s="4"/>
      <c r="PT40" s="5"/>
      <c r="PU40" s="6"/>
      <c r="PV40" s="4"/>
      <c r="PW40" s="4"/>
      <c r="PX40" s="4"/>
      <c r="PY40" s="4"/>
      <c r="PZ40" s="4"/>
      <c r="QA40" s="5"/>
      <c r="QB40" s="6"/>
      <c r="QC40" s="4"/>
      <c r="QD40" s="4"/>
      <c r="QE40" s="4"/>
      <c r="QF40" s="4"/>
      <c r="QG40" s="4"/>
      <c r="QH40" s="5"/>
      <c r="QI40" s="6"/>
      <c r="QJ40" s="4"/>
      <c r="QK40" s="4"/>
      <c r="QL40" s="4"/>
      <c r="QM40" s="4"/>
      <c r="QN40" s="4"/>
      <c r="QO40" s="5"/>
      <c r="QP40" s="6"/>
      <c r="QQ40" s="4"/>
      <c r="QR40" s="4"/>
      <c r="QS40" s="4"/>
      <c r="QT40" s="4"/>
      <c r="QU40" s="4"/>
      <c r="QV40" s="5"/>
      <c r="QW40" s="6" t="s">
        <v>2439</v>
      </c>
      <c r="QX40" s="4" t="s">
        <v>2440</v>
      </c>
      <c r="QY40" s="4" t="s">
        <v>2441</v>
      </c>
      <c r="QZ40" s="7" t="s">
        <v>2442</v>
      </c>
      <c r="RA40" s="8">
        <v>33258</v>
      </c>
      <c r="RB40" s="8">
        <v>33258</v>
      </c>
      <c r="RC40" s="5"/>
      <c r="RD40" s="6"/>
      <c r="RE40" s="4"/>
      <c r="RF40" s="4"/>
      <c r="RG40" s="4"/>
      <c r="RH40" s="4"/>
      <c r="RI40" s="4"/>
      <c r="RJ40" s="5"/>
      <c r="RK40" s="6"/>
      <c r="RL40" s="4"/>
      <c r="RM40" s="4"/>
      <c r="RN40" s="4"/>
      <c r="RO40" s="4"/>
      <c r="RP40" s="4"/>
      <c r="RQ40" s="5"/>
      <c r="RR40" s="6"/>
      <c r="RS40" s="4"/>
      <c r="RT40" s="4"/>
      <c r="RU40" s="4"/>
      <c r="RV40" s="4"/>
      <c r="RW40" s="4"/>
      <c r="RX40" s="5"/>
      <c r="RY40" s="6"/>
      <c r="RZ40" s="4"/>
      <c r="SA40" s="4"/>
      <c r="SB40" s="4"/>
      <c r="SC40" s="4"/>
      <c r="SD40" s="4"/>
      <c r="SE40" s="5"/>
      <c r="SF40" s="6"/>
      <c r="SG40" s="4"/>
      <c r="SH40" s="4"/>
      <c r="SI40" s="4"/>
      <c r="SJ40" s="4"/>
      <c r="SK40" s="4"/>
      <c r="SL40" s="5"/>
      <c r="SM40" s="6"/>
      <c r="SN40" s="4"/>
      <c r="SO40" s="4"/>
      <c r="SP40" s="4"/>
      <c r="SQ40" s="4"/>
      <c r="SR40" s="4"/>
      <c r="SS40" s="5"/>
      <c r="ST40" s="6"/>
      <c r="SU40" s="4"/>
      <c r="SV40" s="4"/>
      <c r="SW40" s="4"/>
      <c r="SX40" s="4"/>
      <c r="SY40" s="4"/>
      <c r="SZ40" s="5"/>
      <c r="TA40" s="6"/>
      <c r="TB40" s="4"/>
      <c r="TC40" s="4"/>
      <c r="TD40" s="4"/>
      <c r="TE40" s="4"/>
      <c r="TF40" s="4"/>
      <c r="TG40" s="5"/>
      <c r="TH40" s="6"/>
      <c r="TI40" s="4"/>
      <c r="TJ40" s="4"/>
      <c r="TK40" s="4"/>
      <c r="TL40" s="4"/>
      <c r="TM40" s="4"/>
      <c r="TN40" s="5"/>
      <c r="TO40" s="6"/>
      <c r="TP40" s="4"/>
      <c r="TQ40" s="4"/>
      <c r="TR40" s="4"/>
      <c r="TS40" s="4"/>
      <c r="TT40" s="4"/>
      <c r="TU40" s="5"/>
      <c r="TV40" s="6"/>
      <c r="TW40" s="4"/>
      <c r="TX40" s="4"/>
      <c r="TY40" s="4"/>
      <c r="TZ40" s="4"/>
      <c r="UA40" s="4"/>
      <c r="UB40" s="5"/>
      <c r="UC40" s="6"/>
      <c r="UD40" s="4"/>
      <c r="UE40" s="4"/>
      <c r="UF40" s="4"/>
      <c r="UG40" s="4"/>
      <c r="UH40" s="4"/>
      <c r="UI40" s="5"/>
      <c r="UJ40" s="6"/>
      <c r="UK40" s="4"/>
      <c r="UL40" s="4"/>
      <c r="UM40" s="4"/>
      <c r="UN40" s="4"/>
      <c r="UO40" s="4"/>
      <c r="UP40" s="5"/>
      <c r="UQ40" s="6"/>
      <c r="UR40" s="4"/>
      <c r="US40" s="4"/>
      <c r="UT40" s="4"/>
      <c r="UU40" s="4"/>
      <c r="UV40" s="4"/>
      <c r="UW40" s="5"/>
      <c r="UX40" s="6"/>
      <c r="UY40" s="4"/>
      <c r="UZ40" s="4"/>
      <c r="VA40" s="4"/>
      <c r="VB40" s="4"/>
      <c r="VC40" s="4"/>
      <c r="VD40" s="5"/>
      <c r="VE40" s="6"/>
      <c r="VF40" s="4"/>
      <c r="VG40" s="4"/>
      <c r="VH40" s="4"/>
      <c r="VI40" s="4"/>
      <c r="VJ40" s="4"/>
      <c r="VK40" s="5"/>
      <c r="VL40" s="6" t="s">
        <v>2291</v>
      </c>
      <c r="VM40" s="4" t="s">
        <v>2292</v>
      </c>
      <c r="VN40" s="4"/>
      <c r="VO40" s="4"/>
      <c r="VP40" s="4"/>
      <c r="VQ40" s="4"/>
      <c r="VR40" s="5"/>
      <c r="VS40" s="6"/>
      <c r="VT40" s="4"/>
      <c r="VU40" s="4"/>
      <c r="VV40" s="4"/>
      <c r="VW40" s="4"/>
      <c r="VX40" s="4"/>
      <c r="VY40" s="5"/>
      <c r="VZ40" s="6"/>
      <c r="WA40" s="4"/>
      <c r="WB40" s="4"/>
      <c r="WC40" s="4"/>
      <c r="WD40" s="4"/>
      <c r="WE40" s="4"/>
      <c r="WF40" s="5"/>
      <c r="WG40" s="6"/>
      <c r="WH40" s="4"/>
      <c r="WI40" s="4"/>
      <c r="WJ40" s="4"/>
      <c r="WK40" s="4"/>
      <c r="WL40" s="4"/>
      <c r="WM40" s="5"/>
      <c r="WN40" s="6"/>
      <c r="WO40" s="4"/>
      <c r="WP40" s="4"/>
      <c r="WQ40" s="4"/>
      <c r="WR40" s="4"/>
      <c r="WS40" s="4"/>
      <c r="WT40" s="5"/>
      <c r="WU40" s="6"/>
      <c r="WV40" s="4"/>
      <c r="WW40" s="4"/>
      <c r="WX40" s="4"/>
      <c r="WY40" s="4"/>
      <c r="WZ40" s="4"/>
      <c r="XA40" s="5"/>
      <c r="XB40" s="6" t="s">
        <v>2463</v>
      </c>
      <c r="XC40" s="4" t="s">
        <v>2464</v>
      </c>
      <c r="XD40" s="4"/>
      <c r="XE40" s="4"/>
      <c r="XF40" s="4"/>
      <c r="XG40" s="4"/>
      <c r="XH40" s="5"/>
      <c r="XI40" s="6"/>
      <c r="XJ40" s="4"/>
      <c r="XK40" s="4"/>
      <c r="XL40" s="4"/>
      <c r="XM40" s="4"/>
      <c r="XN40" s="4"/>
      <c r="XO40" s="5"/>
      <c r="XP40" s="6" t="s">
        <v>2368</v>
      </c>
      <c r="XQ40" s="4" t="s">
        <v>2960</v>
      </c>
      <c r="XR40" s="4" t="s">
        <v>2961</v>
      </c>
      <c r="XS40" s="7" t="s">
        <v>2691</v>
      </c>
      <c r="XT40" s="8">
        <v>33257</v>
      </c>
      <c r="XU40" s="8">
        <v>33257</v>
      </c>
      <c r="XV40" s="5"/>
      <c r="XW40" s="6"/>
      <c r="XX40" s="4"/>
      <c r="XY40" s="4"/>
      <c r="XZ40" s="4"/>
      <c r="YA40" s="4"/>
      <c r="YB40" s="4"/>
      <c r="YC40" s="5"/>
      <c r="YD40" s="6"/>
      <c r="YE40" s="4"/>
      <c r="YF40" s="4"/>
      <c r="YG40" s="4"/>
      <c r="YH40" s="4"/>
      <c r="YI40" s="4"/>
      <c r="YJ40" s="5"/>
      <c r="YK40" s="6" t="s">
        <v>2293</v>
      </c>
      <c r="YL40" s="4" t="s">
        <v>2594</v>
      </c>
      <c r="YM40" s="4" t="s">
        <v>2595</v>
      </c>
      <c r="YN40" s="4"/>
      <c r="YO40" s="8">
        <v>33239</v>
      </c>
      <c r="YP40" s="4"/>
      <c r="YQ40" s="5"/>
      <c r="YR40" s="6"/>
      <c r="YS40" s="4"/>
      <c r="YT40" s="4"/>
      <c r="YU40" s="4"/>
      <c r="YV40" s="4"/>
      <c r="YW40" s="4"/>
      <c r="YX40" s="5"/>
      <c r="YY40" s="6"/>
      <c r="YZ40" s="4"/>
      <c r="ZA40" s="4"/>
      <c r="ZB40" s="4"/>
      <c r="ZC40" s="4"/>
      <c r="ZD40" s="4"/>
      <c r="ZE40" s="5"/>
      <c r="ZF40" s="6"/>
      <c r="ZG40" s="4"/>
      <c r="ZH40" s="4"/>
      <c r="ZI40" s="4"/>
      <c r="ZJ40" s="4"/>
      <c r="ZK40" s="4"/>
      <c r="ZL40" s="5"/>
      <c r="ZM40" s="6"/>
      <c r="ZN40" s="4"/>
      <c r="ZO40" s="4"/>
      <c r="ZP40" s="4"/>
      <c r="ZQ40" s="4"/>
      <c r="ZR40" s="4"/>
      <c r="ZS40" s="5"/>
      <c r="ZT40" s="6"/>
      <c r="ZU40" s="4"/>
      <c r="ZV40" s="4"/>
      <c r="ZW40" s="4"/>
      <c r="ZX40" s="4"/>
      <c r="ZY40" s="4"/>
      <c r="ZZ40" s="5"/>
      <c r="AAA40" s="6"/>
      <c r="AAB40" s="4"/>
      <c r="AAC40" s="4"/>
      <c r="AAD40" s="4"/>
      <c r="AAE40" s="4"/>
      <c r="AAF40" s="4"/>
      <c r="AAG40" s="5"/>
      <c r="AAH40" s="6"/>
      <c r="AAI40" s="4"/>
      <c r="AAJ40" s="4"/>
      <c r="AAK40" s="4"/>
      <c r="AAL40" s="4"/>
      <c r="AAM40" s="4"/>
      <c r="AAN40" s="5"/>
      <c r="AAO40" s="6"/>
      <c r="AAP40" s="4"/>
      <c r="AAQ40" s="4"/>
      <c r="AAR40" s="4"/>
      <c r="AAS40" s="4"/>
      <c r="AAT40" s="4"/>
      <c r="AAU40" s="5"/>
      <c r="AAV40" s="6"/>
      <c r="AAW40" s="4"/>
      <c r="AAX40" s="4"/>
      <c r="AAY40" s="4"/>
      <c r="AAZ40" s="4"/>
      <c r="ABA40" s="4"/>
      <c r="ABB40" s="5"/>
      <c r="ABC40" s="6"/>
      <c r="ABD40" s="4"/>
      <c r="ABE40" s="4"/>
      <c r="ABF40" s="4"/>
      <c r="ABG40" s="4"/>
      <c r="ABH40" s="4"/>
      <c r="ABI40" s="5"/>
      <c r="ABJ40" s="6"/>
      <c r="ABK40" s="4"/>
      <c r="ABL40" s="4"/>
      <c r="ABM40" s="4"/>
      <c r="ABN40" s="4"/>
      <c r="ABO40" s="4"/>
      <c r="ABP40" s="5"/>
      <c r="ABQ40" s="6"/>
      <c r="ABR40" s="4"/>
      <c r="ABS40" s="4"/>
      <c r="ABT40" s="4"/>
      <c r="ABU40" s="4"/>
      <c r="ABV40" s="4"/>
      <c r="ABW40" s="5"/>
      <c r="ABX40" s="6"/>
      <c r="ABY40" s="4"/>
      <c r="ABZ40" s="4"/>
      <c r="ACA40" s="4"/>
      <c r="ACB40" s="4"/>
      <c r="ACC40" s="4"/>
      <c r="ACD40" s="5"/>
      <c r="ACE40" s="6"/>
      <c r="ACF40" s="4"/>
      <c r="ACG40" s="4"/>
      <c r="ACH40" s="4"/>
      <c r="ACI40" s="4"/>
      <c r="ACJ40" s="4"/>
      <c r="ACK40" s="5"/>
      <c r="ACL40" s="6"/>
      <c r="ACM40" s="4"/>
      <c r="ACN40" s="4"/>
      <c r="ACO40" s="4"/>
      <c r="ACP40" s="4"/>
      <c r="ACQ40" s="4"/>
      <c r="ACR40" s="5"/>
      <c r="ACS40" s="6"/>
      <c r="ACT40" s="4"/>
      <c r="ACU40" s="4"/>
      <c r="ACV40" s="4"/>
      <c r="ACW40" s="4"/>
      <c r="ACX40" s="4"/>
      <c r="ACY40" s="5"/>
      <c r="ADJ40" t="s">
        <v>1625</v>
      </c>
    </row>
    <row r="41" spans="2:816" x14ac:dyDescent="0.25">
      <c r="B41" s="30"/>
      <c r="J41" s="12"/>
      <c r="K41" s="12"/>
      <c r="L41" s="12"/>
      <c r="LL41" s="6"/>
      <c r="LM41" s="4"/>
      <c r="LN41" s="4"/>
      <c r="LO41" s="4"/>
      <c r="LP41" s="4"/>
      <c r="LQ41" s="4"/>
      <c r="LR41" s="5"/>
      <c r="LS41" s="6"/>
      <c r="LT41" s="4"/>
      <c r="LU41" s="4"/>
      <c r="LV41" s="4"/>
      <c r="LW41" s="4"/>
      <c r="LX41" s="4"/>
      <c r="LY41" s="5"/>
      <c r="LZ41" s="6" t="s">
        <v>2290</v>
      </c>
      <c r="MA41" s="7" t="s">
        <v>2234</v>
      </c>
      <c r="MB41" s="7" t="s">
        <v>2110</v>
      </c>
      <c r="MC41" s="7" t="s">
        <v>2691</v>
      </c>
      <c r="MD41" s="8">
        <v>33257</v>
      </c>
      <c r="ME41" s="8">
        <v>33257</v>
      </c>
      <c r="MF41" s="8"/>
      <c r="MG41" s="5"/>
      <c r="MH41" s="6"/>
      <c r="MI41" s="4"/>
      <c r="MJ41" s="4"/>
      <c r="MK41" s="4"/>
      <c r="ML41" s="4"/>
      <c r="MM41" s="4"/>
      <c r="MN41" s="5"/>
      <c r="MO41" s="6"/>
      <c r="MP41" s="4"/>
      <c r="MQ41" s="4"/>
      <c r="MR41" s="4"/>
      <c r="MS41" s="4"/>
      <c r="MT41" s="4"/>
      <c r="MU41" s="5"/>
      <c r="MV41" s="6"/>
      <c r="MW41" s="4"/>
      <c r="MX41" s="4"/>
      <c r="MY41" s="4"/>
      <c r="MZ41" s="4"/>
      <c r="NA41" s="4"/>
      <c r="NB41" s="5"/>
      <c r="NC41" s="6" t="s">
        <v>2509</v>
      </c>
      <c r="ND41" s="4" t="s">
        <v>2517</v>
      </c>
      <c r="NE41" s="4" t="s">
        <v>2518</v>
      </c>
      <c r="NF41" s="4"/>
      <c r="NG41" s="8">
        <v>33241</v>
      </c>
      <c r="NH41" s="4"/>
      <c r="NI41" s="5"/>
      <c r="NJ41" s="6"/>
      <c r="NK41" s="4"/>
      <c r="NL41" s="4"/>
      <c r="NM41" s="4"/>
      <c r="NN41" s="4"/>
      <c r="NO41" s="4"/>
      <c r="NP41" s="5"/>
      <c r="NQ41" s="6"/>
      <c r="NR41" s="4"/>
      <c r="NS41" s="4"/>
      <c r="NT41" s="4"/>
      <c r="NU41" s="4"/>
      <c r="NV41" s="4"/>
      <c r="NW41" s="5"/>
      <c r="NX41" s="6"/>
      <c r="NY41" s="4"/>
      <c r="NZ41" s="4"/>
      <c r="OA41" s="4"/>
      <c r="OB41" s="4"/>
      <c r="OC41" s="4"/>
      <c r="OD41" s="5"/>
      <c r="OE41" s="6"/>
      <c r="OF41" s="4"/>
      <c r="OG41" s="4"/>
      <c r="OH41" s="4"/>
      <c r="OI41" s="4"/>
      <c r="OJ41" s="4"/>
      <c r="OK41" s="5"/>
      <c r="OL41" s="6"/>
      <c r="OM41" s="4"/>
      <c r="ON41" s="4"/>
      <c r="OO41" s="4"/>
      <c r="OP41" s="4"/>
      <c r="OQ41" s="4"/>
      <c r="OR41" s="5"/>
      <c r="OS41" s="6"/>
      <c r="OT41" s="4"/>
      <c r="OU41" s="4"/>
      <c r="OV41" s="4"/>
      <c r="OW41" s="4"/>
      <c r="OX41" s="4"/>
      <c r="OY41" s="5"/>
      <c r="OZ41" s="6"/>
      <c r="PA41" s="4"/>
      <c r="PB41" s="4"/>
      <c r="PC41" s="4"/>
      <c r="PD41" s="4"/>
      <c r="PE41" s="4"/>
      <c r="PF41" s="5"/>
      <c r="PG41" s="6"/>
      <c r="PH41" s="4"/>
      <c r="PI41" s="4"/>
      <c r="PJ41" s="4"/>
      <c r="PK41" s="4"/>
      <c r="PL41" s="4"/>
      <c r="PM41" s="5"/>
      <c r="PN41" s="6"/>
      <c r="PO41" s="4"/>
      <c r="PP41" s="4"/>
      <c r="PQ41" s="4"/>
      <c r="PR41" s="4"/>
      <c r="PS41" s="4"/>
      <c r="PT41" s="5"/>
      <c r="PU41" s="6"/>
      <c r="PV41" s="4"/>
      <c r="PW41" s="4"/>
      <c r="PX41" s="4"/>
      <c r="PY41" s="4"/>
      <c r="PZ41" s="4"/>
      <c r="QA41" s="5"/>
      <c r="QB41" s="6"/>
      <c r="QC41" s="4"/>
      <c r="QD41" s="4"/>
      <c r="QE41" s="4"/>
      <c r="QF41" s="4"/>
      <c r="QG41" s="4"/>
      <c r="QH41" s="5"/>
      <c r="QI41" s="6"/>
      <c r="QJ41" s="4"/>
      <c r="QK41" s="4"/>
      <c r="QL41" s="4"/>
      <c r="QM41" s="4"/>
      <c r="QN41" s="4"/>
      <c r="QO41" s="5"/>
      <c r="QP41" s="6"/>
      <c r="QQ41" s="4"/>
      <c r="QR41" s="4"/>
      <c r="QS41" s="4"/>
      <c r="QT41" s="4"/>
      <c r="QU41" s="4"/>
      <c r="QV41" s="5"/>
      <c r="QW41" s="6" t="s">
        <v>2460</v>
      </c>
      <c r="QX41" s="4" t="s">
        <v>2461</v>
      </c>
      <c r="QY41" s="4"/>
      <c r="QZ41" s="7"/>
      <c r="RA41" s="8"/>
      <c r="RB41" s="8"/>
      <c r="RC41" s="5"/>
      <c r="RD41" s="6"/>
      <c r="RE41" s="4"/>
      <c r="RF41" s="4"/>
      <c r="RG41" s="4"/>
      <c r="RH41" s="4"/>
      <c r="RI41" s="4"/>
      <c r="RJ41" s="5"/>
      <c r="RK41" s="6"/>
      <c r="RL41" s="4"/>
      <c r="RM41" s="4"/>
      <c r="RN41" s="4"/>
      <c r="RO41" s="4"/>
      <c r="RP41" s="4"/>
      <c r="RQ41" s="5"/>
      <c r="RR41" s="6"/>
      <c r="RS41" s="4"/>
      <c r="RT41" s="4"/>
      <c r="RU41" s="4"/>
      <c r="RV41" s="4"/>
      <c r="RW41" s="4"/>
      <c r="RX41" s="5"/>
      <c r="RY41" s="6"/>
      <c r="RZ41" s="4"/>
      <c r="SA41" s="4"/>
      <c r="SB41" s="4"/>
      <c r="SC41" s="4"/>
      <c r="SD41" s="4"/>
      <c r="SE41" s="5"/>
      <c r="SF41" s="6"/>
      <c r="SG41" s="4"/>
      <c r="SH41" s="4"/>
      <c r="SI41" s="4"/>
      <c r="SJ41" s="4"/>
      <c r="SK41" s="4"/>
      <c r="SL41" s="5"/>
      <c r="SM41" s="6"/>
      <c r="SN41" s="4"/>
      <c r="SO41" s="4"/>
      <c r="SP41" s="4"/>
      <c r="SQ41" s="4"/>
      <c r="SR41" s="4"/>
      <c r="SS41" s="5"/>
      <c r="ST41" s="6"/>
      <c r="SU41" s="4"/>
      <c r="SV41" s="4"/>
      <c r="SW41" s="4"/>
      <c r="SX41" s="4"/>
      <c r="SY41" s="4"/>
      <c r="SZ41" s="5"/>
      <c r="TA41" s="6"/>
      <c r="TB41" s="4"/>
      <c r="TC41" s="4"/>
      <c r="TD41" s="4"/>
      <c r="TE41" s="4"/>
      <c r="TF41" s="4"/>
      <c r="TG41" s="5"/>
      <c r="TH41" s="6"/>
      <c r="TI41" s="4"/>
      <c r="TJ41" s="4"/>
      <c r="TK41" s="4"/>
      <c r="TL41" s="4"/>
      <c r="TM41" s="4"/>
      <c r="TN41" s="5"/>
      <c r="TO41" s="6"/>
      <c r="TP41" s="4"/>
      <c r="TQ41" s="4"/>
      <c r="TR41" s="4"/>
      <c r="TS41" s="4"/>
      <c r="TT41" s="4"/>
      <c r="TU41" s="5"/>
      <c r="TV41" s="6"/>
      <c r="TW41" s="4"/>
      <c r="TX41" s="4"/>
      <c r="TY41" s="4"/>
      <c r="TZ41" s="4"/>
      <c r="UA41" s="4"/>
      <c r="UB41" s="5"/>
      <c r="UC41" s="6"/>
      <c r="UD41" s="4"/>
      <c r="UE41" s="4"/>
      <c r="UF41" s="4"/>
      <c r="UG41" s="4"/>
      <c r="UH41" s="4"/>
      <c r="UI41" s="5"/>
      <c r="UJ41" s="6"/>
      <c r="UK41" s="4"/>
      <c r="UL41" s="4"/>
      <c r="UM41" s="4"/>
      <c r="UN41" s="4"/>
      <c r="UO41" s="4"/>
      <c r="UP41" s="5"/>
      <c r="UQ41" s="6"/>
      <c r="UR41" s="4"/>
      <c r="US41" s="4"/>
      <c r="UT41" s="4"/>
      <c r="UU41" s="4"/>
      <c r="UV41" s="4"/>
      <c r="UW41" s="5"/>
      <c r="UX41" s="6"/>
      <c r="UY41" s="4"/>
      <c r="UZ41" s="4"/>
      <c r="VA41" s="4"/>
      <c r="VB41" s="4"/>
      <c r="VC41" s="4"/>
      <c r="VD41" s="5"/>
      <c r="VE41" s="6"/>
      <c r="VF41" s="4"/>
      <c r="VG41" s="4"/>
      <c r="VH41" s="4"/>
      <c r="VI41" s="4"/>
      <c r="VJ41" s="4"/>
      <c r="VK41" s="5"/>
      <c r="VL41" s="6" t="s">
        <v>2285</v>
      </c>
      <c r="VM41" s="4" t="s">
        <v>2286</v>
      </c>
      <c r="VN41" s="4"/>
      <c r="VO41" s="4" t="s">
        <v>2287</v>
      </c>
      <c r="VP41" s="8">
        <v>33257</v>
      </c>
      <c r="VQ41" s="8">
        <v>33257</v>
      </c>
      <c r="VR41" s="5"/>
      <c r="VS41" s="6"/>
      <c r="VT41" s="4"/>
      <c r="VU41" s="4"/>
      <c r="VV41" s="4"/>
      <c r="VW41" s="4"/>
      <c r="VX41" s="4"/>
      <c r="VY41" s="5"/>
      <c r="VZ41" s="6"/>
      <c r="WA41" s="4"/>
      <c r="WB41" s="4"/>
      <c r="WC41" s="4"/>
      <c r="WD41" s="4"/>
      <c r="WE41" s="4"/>
      <c r="WF41" s="5"/>
      <c r="WG41" s="6"/>
      <c r="WH41" s="4"/>
      <c r="WI41" s="4"/>
      <c r="WJ41" s="4"/>
      <c r="WK41" s="4"/>
      <c r="WL41" s="4"/>
      <c r="WM41" s="5"/>
      <c r="WN41" s="6"/>
      <c r="WO41" s="4"/>
      <c r="WP41" s="4"/>
      <c r="WQ41" s="4"/>
      <c r="WR41" s="4"/>
      <c r="WS41" s="4"/>
      <c r="WT41" s="5"/>
      <c r="WU41" s="6"/>
      <c r="WV41" s="4"/>
      <c r="WW41" s="4"/>
      <c r="WX41" s="4"/>
      <c r="WY41" s="4"/>
      <c r="WZ41" s="4"/>
      <c r="XA41" s="5"/>
      <c r="XB41" s="6"/>
      <c r="XC41" s="4"/>
      <c r="XD41" s="4"/>
      <c r="XE41" s="4"/>
      <c r="XF41" s="4"/>
      <c r="XG41" s="4"/>
      <c r="XH41" s="5"/>
      <c r="XI41" s="6"/>
      <c r="XJ41" s="4"/>
      <c r="XK41" s="4"/>
      <c r="XL41" s="4"/>
      <c r="XM41" s="4"/>
      <c r="XN41" s="4"/>
      <c r="XO41" s="5"/>
      <c r="XP41" s="6"/>
      <c r="XQ41" s="4"/>
      <c r="XR41" s="4"/>
      <c r="XS41" s="4"/>
      <c r="XT41" s="4"/>
      <c r="XU41" s="4"/>
      <c r="XV41" s="5"/>
      <c r="XW41" s="6"/>
      <c r="XX41" s="4"/>
      <c r="XY41" s="4"/>
      <c r="XZ41" s="4"/>
      <c r="YA41" s="4"/>
      <c r="YB41" s="4"/>
      <c r="YC41" s="5"/>
      <c r="YD41" s="6"/>
      <c r="YE41" s="4"/>
      <c r="YF41" s="4"/>
      <c r="YG41" s="4"/>
      <c r="YH41" s="4"/>
      <c r="YI41" s="4"/>
      <c r="YJ41" s="5"/>
      <c r="YK41" s="6" t="s">
        <v>2606</v>
      </c>
      <c r="YL41" s="7" t="s">
        <v>2507</v>
      </c>
      <c r="YM41" s="4" t="s">
        <v>2508</v>
      </c>
      <c r="YN41" s="7" t="s">
        <v>2227</v>
      </c>
      <c r="YO41" s="8">
        <v>33241</v>
      </c>
      <c r="YP41" s="8">
        <v>33270</v>
      </c>
      <c r="YQ41" s="5"/>
      <c r="YR41" s="6"/>
      <c r="YS41" s="4"/>
      <c r="YT41" s="4"/>
      <c r="YU41" s="4"/>
      <c r="YV41" s="4"/>
      <c r="YW41" s="4"/>
      <c r="YX41" s="5"/>
      <c r="YY41" s="6"/>
      <c r="YZ41" s="4"/>
      <c r="ZA41" s="4"/>
      <c r="ZB41" s="4"/>
      <c r="ZC41" s="4"/>
      <c r="ZD41" s="4"/>
      <c r="ZE41" s="5"/>
      <c r="ZF41" s="6"/>
      <c r="ZG41" s="4"/>
      <c r="ZH41" s="4"/>
      <c r="ZI41" s="4"/>
      <c r="ZJ41" s="4"/>
      <c r="ZK41" s="4"/>
      <c r="ZL41" s="5"/>
      <c r="ZM41" s="6"/>
      <c r="ZN41" s="4"/>
      <c r="ZO41" s="4"/>
      <c r="ZP41" s="4"/>
      <c r="ZQ41" s="4"/>
      <c r="ZR41" s="4"/>
      <c r="ZS41" s="5"/>
      <c r="ZT41" s="6"/>
      <c r="ZU41" s="4"/>
      <c r="ZV41" s="4"/>
      <c r="ZW41" s="4"/>
      <c r="ZX41" s="4"/>
      <c r="ZY41" s="4"/>
      <c r="ZZ41" s="5"/>
      <c r="AAA41" s="6"/>
      <c r="AAB41" s="4"/>
      <c r="AAC41" s="4"/>
      <c r="AAD41" s="4"/>
      <c r="AAE41" s="4"/>
      <c r="AAF41" s="4"/>
      <c r="AAG41" s="5"/>
      <c r="AAH41" s="6"/>
      <c r="AAI41" s="4"/>
      <c r="AAJ41" s="4"/>
      <c r="AAK41" s="4"/>
      <c r="AAL41" s="4"/>
      <c r="AAM41" s="4"/>
      <c r="AAN41" s="5"/>
      <c r="AAO41" s="6"/>
      <c r="AAP41" s="4"/>
      <c r="AAQ41" s="4"/>
      <c r="AAR41" s="4"/>
      <c r="AAS41" s="4"/>
      <c r="AAT41" s="4"/>
      <c r="AAU41" s="5"/>
      <c r="AAV41" s="6"/>
      <c r="AAW41" s="4"/>
      <c r="AAX41" s="4"/>
      <c r="AAY41" s="4"/>
      <c r="AAZ41" s="4"/>
      <c r="ABA41" s="4"/>
      <c r="ABB41" s="5"/>
      <c r="ABC41" s="6"/>
      <c r="ABD41" s="4"/>
      <c r="ABE41" s="4"/>
      <c r="ABF41" s="4"/>
      <c r="ABG41" s="4"/>
      <c r="ABH41" s="4"/>
      <c r="ABI41" s="5"/>
      <c r="ABJ41" s="6"/>
      <c r="ABK41" s="4"/>
      <c r="ABL41" s="4"/>
      <c r="ABM41" s="4"/>
      <c r="ABN41" s="4"/>
      <c r="ABO41" s="4"/>
      <c r="ABP41" s="5"/>
      <c r="ABQ41" s="6"/>
      <c r="ABR41" s="4"/>
      <c r="ABS41" s="4"/>
      <c r="ABT41" s="4"/>
      <c r="ABU41" s="4"/>
      <c r="ABV41" s="4"/>
      <c r="ABW41" s="5"/>
      <c r="ABX41" s="6"/>
      <c r="ABY41" s="4"/>
      <c r="ABZ41" s="4"/>
      <c r="ACA41" s="4"/>
      <c r="ACB41" s="4"/>
      <c r="ACC41" s="4"/>
      <c r="ACD41" s="5"/>
      <c r="ACE41" s="6"/>
      <c r="ACF41" s="4"/>
      <c r="ACG41" s="4"/>
      <c r="ACH41" s="4"/>
      <c r="ACI41" s="4"/>
      <c r="ACJ41" s="4"/>
      <c r="ACK41" s="5"/>
      <c r="ACL41" s="6"/>
      <c r="ACM41" s="4"/>
      <c r="ACN41" s="4"/>
      <c r="ACO41" s="4"/>
      <c r="ACP41" s="4"/>
      <c r="ACQ41" s="4"/>
      <c r="ACR41" s="5"/>
      <c r="ACS41" s="6"/>
      <c r="ACT41" s="4"/>
      <c r="ACU41" s="4"/>
      <c r="ACV41" s="4"/>
      <c r="ACW41" s="4"/>
      <c r="ACX41" s="4"/>
      <c r="ACY41" s="5"/>
    </row>
    <row r="42" spans="2:816" x14ac:dyDescent="0.25">
      <c r="B42" s="30"/>
      <c r="J42" s="12"/>
      <c r="K42" s="12"/>
      <c r="L42" s="12"/>
      <c r="LL42" s="6"/>
      <c r="LM42" s="4"/>
      <c r="LN42" s="4"/>
      <c r="LO42" s="4"/>
      <c r="LP42" s="4"/>
      <c r="LQ42" s="4"/>
      <c r="LR42" s="5"/>
      <c r="LS42" s="6"/>
      <c r="LT42" s="4"/>
      <c r="LU42" s="4"/>
      <c r="LV42" s="4"/>
      <c r="LW42" s="4"/>
      <c r="LX42" s="4"/>
      <c r="LY42" s="5"/>
      <c r="LZ42" s="6" t="s">
        <v>2451</v>
      </c>
      <c r="MA42" s="7" t="s">
        <v>2451</v>
      </c>
      <c r="MB42" s="7" t="s">
        <v>2452</v>
      </c>
      <c r="MC42" s="7" t="s">
        <v>2702</v>
      </c>
      <c r="MD42" s="8">
        <v>33242</v>
      </c>
      <c r="ME42" s="8">
        <v>33243</v>
      </c>
      <c r="MF42" s="8"/>
      <c r="MG42" s="5"/>
      <c r="MH42" s="6"/>
      <c r="MI42" s="4"/>
      <c r="MJ42" s="4"/>
      <c r="MK42" s="4"/>
      <c r="ML42" s="4"/>
      <c r="MM42" s="4"/>
      <c r="MN42" s="5"/>
      <c r="MO42" s="6"/>
      <c r="MP42" s="4"/>
      <c r="MQ42" s="4"/>
      <c r="MR42" s="4"/>
      <c r="MS42" s="4"/>
      <c r="MT42" s="4"/>
      <c r="MU42" s="5"/>
      <c r="MV42" s="6"/>
      <c r="MW42" s="4"/>
      <c r="MX42" s="4"/>
      <c r="MY42" s="4"/>
      <c r="MZ42" s="4"/>
      <c r="NA42" s="4"/>
      <c r="NB42" s="5"/>
      <c r="NC42" s="6" t="s">
        <v>2964</v>
      </c>
      <c r="ND42" s="7" t="s">
        <v>2524</v>
      </c>
      <c r="NE42" s="4" t="s">
        <v>2429</v>
      </c>
      <c r="NF42" s="7" t="s">
        <v>2691</v>
      </c>
      <c r="NG42" s="8">
        <v>33240</v>
      </c>
      <c r="NH42" s="8">
        <v>33240</v>
      </c>
      <c r="NI42" s="5" t="s">
        <v>2284</v>
      </c>
      <c r="NJ42" s="6"/>
      <c r="NK42" s="4"/>
      <c r="NL42" s="4"/>
      <c r="NM42" s="4"/>
      <c r="NN42" s="4"/>
      <c r="NO42" s="4"/>
      <c r="NP42" s="5"/>
      <c r="NQ42" s="6"/>
      <c r="NR42" s="4"/>
      <c r="NS42" s="4"/>
      <c r="NT42" s="4"/>
      <c r="NU42" s="4"/>
      <c r="NV42" s="4"/>
      <c r="NW42" s="5"/>
      <c r="NX42" s="6"/>
      <c r="NY42" s="4"/>
      <c r="NZ42" s="4"/>
      <c r="OA42" s="4"/>
      <c r="OB42" s="4"/>
      <c r="OC42" s="4"/>
      <c r="OD42" s="5"/>
      <c r="OE42" s="6"/>
      <c r="OF42" s="4"/>
      <c r="OG42" s="4"/>
      <c r="OH42" s="4"/>
      <c r="OI42" s="4"/>
      <c r="OJ42" s="4"/>
      <c r="OK42" s="5"/>
      <c r="OL42" s="6"/>
      <c r="OM42" s="4"/>
      <c r="ON42" s="4"/>
      <c r="OO42" s="4"/>
      <c r="OP42" s="4"/>
      <c r="OQ42" s="4"/>
      <c r="OR42" s="5"/>
      <c r="OS42" s="6"/>
      <c r="OT42" s="4"/>
      <c r="OU42" s="4"/>
      <c r="OV42" s="4"/>
      <c r="OW42" s="4"/>
      <c r="OX42" s="4"/>
      <c r="OY42" s="5"/>
      <c r="OZ42" s="6"/>
      <c r="PA42" s="4"/>
      <c r="PB42" s="4"/>
      <c r="PC42" s="4"/>
      <c r="PD42" s="4"/>
      <c r="PE42" s="4"/>
      <c r="PF42" s="5"/>
      <c r="PG42" s="6"/>
      <c r="PH42" s="4"/>
      <c r="PI42" s="4"/>
      <c r="PJ42" s="4"/>
      <c r="PK42" s="4"/>
      <c r="PL42" s="4"/>
      <c r="PM42" s="5"/>
      <c r="PN42" s="6"/>
      <c r="PO42" s="4"/>
      <c r="PP42" s="4"/>
      <c r="PQ42" s="4"/>
      <c r="PR42" s="4"/>
      <c r="PS42" s="4"/>
      <c r="PT42" s="5"/>
      <c r="PU42" s="6"/>
      <c r="PV42" s="4"/>
      <c r="PW42" s="4"/>
      <c r="PX42" s="4"/>
      <c r="PY42" s="4"/>
      <c r="PZ42" s="4"/>
      <c r="QA42" s="5"/>
      <c r="QB42" s="6"/>
      <c r="QC42" s="4"/>
      <c r="QD42" s="4"/>
      <c r="QE42" s="4"/>
      <c r="QF42" s="4"/>
      <c r="QG42" s="4"/>
      <c r="QH42" s="5"/>
      <c r="QI42" s="6"/>
      <c r="QJ42" s="4"/>
      <c r="QK42" s="4"/>
      <c r="QL42" s="4"/>
      <c r="QM42" s="4"/>
      <c r="QN42" s="4"/>
      <c r="QO42" s="5"/>
      <c r="QP42" s="6"/>
      <c r="QQ42" s="4"/>
      <c r="QR42" s="4"/>
      <c r="QS42" s="4"/>
      <c r="QT42" s="4"/>
      <c r="QU42" s="4"/>
      <c r="QV42" s="5"/>
      <c r="QW42" s="6"/>
      <c r="QX42" s="4"/>
      <c r="QY42" s="4"/>
      <c r="QZ42" s="7"/>
      <c r="RA42" s="8"/>
      <c r="RB42" s="8"/>
      <c r="RC42" s="5"/>
      <c r="RD42" s="6"/>
      <c r="RE42" s="4"/>
      <c r="RF42" s="4"/>
      <c r="RG42" s="4"/>
      <c r="RH42" s="4"/>
      <c r="RI42" s="4"/>
      <c r="RJ42" s="5"/>
      <c r="RK42" s="6"/>
      <c r="RL42" s="4"/>
      <c r="RM42" s="4"/>
      <c r="RN42" s="4"/>
      <c r="RO42" s="4"/>
      <c r="RP42" s="4"/>
      <c r="RQ42" s="5"/>
      <c r="RR42" s="6"/>
      <c r="RS42" s="4"/>
      <c r="RT42" s="4"/>
      <c r="RU42" s="4"/>
      <c r="RV42" s="4"/>
      <c r="RW42" s="4"/>
      <c r="RX42" s="5"/>
      <c r="RY42" s="6"/>
      <c r="RZ42" s="4"/>
      <c r="SA42" s="4"/>
      <c r="SB42" s="4"/>
      <c r="SC42" s="4"/>
      <c r="SD42" s="4"/>
      <c r="SE42" s="5"/>
      <c r="SF42" s="6"/>
      <c r="SG42" s="4"/>
      <c r="SH42" s="4"/>
      <c r="SI42" s="4"/>
      <c r="SJ42" s="4"/>
      <c r="SK42" s="4"/>
      <c r="SL42" s="5"/>
      <c r="SM42" s="6"/>
      <c r="SN42" s="4"/>
      <c r="SO42" s="4"/>
      <c r="SP42" s="4"/>
      <c r="SQ42" s="4"/>
      <c r="SR42" s="4"/>
      <c r="SS42" s="5"/>
      <c r="ST42" s="6"/>
      <c r="SU42" s="4"/>
      <c r="SV42" s="4"/>
      <c r="SW42" s="4"/>
      <c r="SX42" s="4"/>
      <c r="SY42" s="4"/>
      <c r="SZ42" s="5"/>
      <c r="TA42" s="6"/>
      <c r="TB42" s="4"/>
      <c r="TC42" s="4"/>
      <c r="TD42" s="4"/>
      <c r="TE42" s="4"/>
      <c r="TF42" s="4"/>
      <c r="TG42" s="5"/>
      <c r="TH42" s="6"/>
      <c r="TI42" s="4"/>
      <c r="TJ42" s="4"/>
      <c r="TK42" s="4"/>
      <c r="TL42" s="4"/>
      <c r="TM42" s="4"/>
      <c r="TN42" s="5"/>
      <c r="TO42" s="6"/>
      <c r="TP42" s="4"/>
      <c r="TQ42" s="4"/>
      <c r="TR42" s="4"/>
      <c r="TS42" s="4"/>
      <c r="TT42" s="4"/>
      <c r="TU42" s="5"/>
      <c r="TV42" s="6"/>
      <c r="TW42" s="4"/>
      <c r="TX42" s="4"/>
      <c r="TY42" s="4"/>
      <c r="TZ42" s="4"/>
      <c r="UA42" s="4"/>
      <c r="UB42" s="5"/>
      <c r="UC42" s="6"/>
      <c r="UD42" s="4"/>
      <c r="UE42" s="4"/>
      <c r="UF42" s="4"/>
      <c r="UG42" s="4"/>
      <c r="UH42" s="4"/>
      <c r="UI42" s="5"/>
      <c r="UJ42" s="6"/>
      <c r="UK42" s="4"/>
      <c r="UL42" s="4"/>
      <c r="UM42" s="4"/>
      <c r="UN42" s="4"/>
      <c r="UO42" s="4"/>
      <c r="UP42" s="5"/>
      <c r="UQ42" s="6"/>
      <c r="UR42" s="4"/>
      <c r="US42" s="4"/>
      <c r="UT42" s="4"/>
      <c r="UU42" s="4"/>
      <c r="UV42" s="4"/>
      <c r="UW42" s="5"/>
      <c r="UX42" s="6"/>
      <c r="UY42" s="4"/>
      <c r="UZ42" s="4"/>
      <c r="VA42" s="4"/>
      <c r="VB42" s="4"/>
      <c r="VC42" s="4"/>
      <c r="VD42" s="5"/>
      <c r="VE42" s="6"/>
      <c r="VF42" s="4"/>
      <c r="VG42" s="4"/>
      <c r="VH42" s="4"/>
      <c r="VI42" s="4"/>
      <c r="VJ42" s="4"/>
      <c r="VK42" s="5"/>
      <c r="VL42" s="6"/>
      <c r="VM42" s="4"/>
      <c r="VN42" s="4"/>
      <c r="VO42" s="4"/>
      <c r="VP42" s="4"/>
      <c r="VQ42" s="4"/>
      <c r="VR42" s="5"/>
      <c r="VS42" s="6"/>
      <c r="VT42" s="4"/>
      <c r="VU42" s="4"/>
      <c r="VV42" s="4"/>
      <c r="VW42" s="4"/>
      <c r="VX42" s="4"/>
      <c r="VY42" s="5"/>
      <c r="VZ42" s="6"/>
      <c r="WA42" s="4"/>
      <c r="WB42" s="4"/>
      <c r="WC42" s="4"/>
      <c r="WD42" s="4"/>
      <c r="WE42" s="4"/>
      <c r="WF42" s="5"/>
      <c r="WG42" s="6"/>
      <c r="WH42" s="4"/>
      <c r="WI42" s="4"/>
      <c r="WJ42" s="4"/>
      <c r="WK42" s="4"/>
      <c r="WL42" s="4"/>
      <c r="WM42" s="5"/>
      <c r="WN42" s="6"/>
      <c r="WO42" s="4"/>
      <c r="WP42" s="4"/>
      <c r="WQ42" s="4"/>
      <c r="WR42" s="4"/>
      <c r="WS42" s="4"/>
      <c r="WT42" s="5"/>
      <c r="WU42" s="6"/>
      <c r="WV42" s="4"/>
      <c r="WW42" s="4"/>
      <c r="WX42" s="4"/>
      <c r="WY42" s="4"/>
      <c r="WZ42" s="4"/>
      <c r="XA42" s="5"/>
      <c r="XB42" s="6"/>
      <c r="XC42" s="4"/>
      <c r="XD42" s="4"/>
      <c r="XE42" s="4"/>
      <c r="XF42" s="4"/>
      <c r="XG42" s="4"/>
      <c r="XH42" s="5"/>
      <c r="XI42" s="6"/>
      <c r="XJ42" s="4"/>
      <c r="XK42" s="4"/>
      <c r="XL42" s="4"/>
      <c r="XM42" s="4"/>
      <c r="XN42" s="4"/>
      <c r="XO42" s="5"/>
      <c r="XP42" s="6"/>
      <c r="XQ42" s="4"/>
      <c r="XR42" s="4"/>
      <c r="XS42" s="4"/>
      <c r="XT42" s="4"/>
      <c r="XU42" s="4"/>
      <c r="XV42" s="5"/>
      <c r="XW42" s="6"/>
      <c r="XX42" s="4"/>
      <c r="XY42" s="4"/>
      <c r="XZ42" s="4"/>
      <c r="YA42" s="4"/>
      <c r="YB42" s="4"/>
      <c r="YC42" s="5"/>
      <c r="YD42" s="6"/>
      <c r="YE42" s="4"/>
      <c r="YF42" s="4"/>
      <c r="YG42" s="4"/>
      <c r="YH42" s="4"/>
      <c r="YI42" s="4"/>
      <c r="YJ42" s="5"/>
      <c r="YK42" s="6" t="s">
        <v>2962</v>
      </c>
      <c r="YL42" s="7" t="s">
        <v>2963</v>
      </c>
      <c r="YM42" s="4"/>
      <c r="YN42" s="7" t="s">
        <v>2691</v>
      </c>
      <c r="YO42" s="8">
        <v>33244</v>
      </c>
      <c r="YP42" s="8">
        <v>33244</v>
      </c>
      <c r="YQ42" s="5"/>
      <c r="YR42" s="6"/>
      <c r="YS42" s="4"/>
      <c r="YT42" s="4"/>
      <c r="YU42" s="4"/>
      <c r="YV42" s="4"/>
      <c r="YW42" s="4"/>
      <c r="YX42" s="5"/>
      <c r="YY42" s="6"/>
      <c r="YZ42" s="4"/>
      <c r="ZA42" s="4"/>
      <c r="ZB42" s="4"/>
      <c r="ZC42" s="4"/>
      <c r="ZD42" s="4"/>
      <c r="ZE42" s="5"/>
      <c r="ZF42" s="6"/>
      <c r="ZG42" s="4"/>
      <c r="ZH42" s="4"/>
      <c r="ZI42" s="4"/>
      <c r="ZJ42" s="4"/>
      <c r="ZK42" s="4"/>
      <c r="ZL42" s="5"/>
      <c r="ZM42" s="6"/>
      <c r="ZN42" s="4"/>
      <c r="ZO42" s="4"/>
      <c r="ZP42" s="4"/>
      <c r="ZQ42" s="4"/>
      <c r="ZR42" s="4"/>
      <c r="ZS42" s="5"/>
      <c r="ZT42" s="6"/>
      <c r="ZU42" s="4"/>
      <c r="ZV42" s="4"/>
      <c r="ZW42" s="4"/>
      <c r="ZX42" s="4"/>
      <c r="ZY42" s="4"/>
      <c r="ZZ42" s="5"/>
      <c r="AAA42" s="6"/>
      <c r="AAB42" s="4"/>
      <c r="AAC42" s="4"/>
      <c r="AAD42" s="4"/>
      <c r="AAE42" s="4"/>
      <c r="AAF42" s="4"/>
      <c r="AAG42" s="5"/>
      <c r="AAH42" s="6"/>
      <c r="AAI42" s="4"/>
      <c r="AAJ42" s="4"/>
      <c r="AAK42" s="4"/>
      <c r="AAL42" s="4"/>
      <c r="AAM42" s="4"/>
      <c r="AAN42" s="5"/>
      <c r="AAO42" s="6"/>
      <c r="AAP42" s="4"/>
      <c r="AAQ42" s="4"/>
      <c r="AAR42" s="4"/>
      <c r="AAS42" s="4"/>
      <c r="AAT42" s="4"/>
      <c r="AAU42" s="5"/>
      <c r="AAV42" s="6"/>
      <c r="AAW42" s="4"/>
      <c r="AAX42" s="4"/>
      <c r="AAY42" s="4"/>
      <c r="AAZ42" s="4"/>
      <c r="ABA42" s="4"/>
      <c r="ABB42" s="5"/>
      <c r="ABC42" s="6"/>
      <c r="ABD42" s="4"/>
      <c r="ABE42" s="4"/>
      <c r="ABF42" s="4"/>
      <c r="ABG42" s="4"/>
      <c r="ABH42" s="4"/>
      <c r="ABI42" s="5"/>
      <c r="ABJ42" s="6"/>
      <c r="ABK42" s="4"/>
      <c r="ABL42" s="4"/>
      <c r="ABM42" s="4"/>
      <c r="ABN42" s="4"/>
      <c r="ABO42" s="4"/>
      <c r="ABP42" s="5"/>
      <c r="ABQ42" s="6"/>
      <c r="ABR42" s="4"/>
      <c r="ABS42" s="4"/>
      <c r="ABT42" s="4"/>
      <c r="ABU42" s="4"/>
      <c r="ABV42" s="4"/>
      <c r="ABW42" s="5"/>
      <c r="ABX42" s="6"/>
      <c r="ABY42" s="4"/>
      <c r="ABZ42" s="4"/>
      <c r="ACA42" s="4"/>
      <c r="ACB42" s="4"/>
      <c r="ACC42" s="4"/>
      <c r="ACD42" s="5"/>
      <c r="ACE42" s="6"/>
      <c r="ACF42" s="4"/>
      <c r="ACG42" s="4"/>
      <c r="ACH42" s="4"/>
      <c r="ACI42" s="4"/>
      <c r="ACJ42" s="4"/>
      <c r="ACK42" s="5"/>
      <c r="ACL42" s="6"/>
      <c r="ACM42" s="4"/>
      <c r="ACN42" s="4"/>
      <c r="ACO42" s="4"/>
      <c r="ACP42" s="4"/>
      <c r="ACQ42" s="4"/>
      <c r="ACR42" s="5"/>
      <c r="ACS42" s="6"/>
      <c r="ACT42" s="4"/>
      <c r="ACU42" s="4"/>
      <c r="ACV42" s="4"/>
      <c r="ACW42" s="4"/>
      <c r="ACX42" s="4"/>
      <c r="ACY42" s="5"/>
    </row>
    <row r="43" spans="2:816" x14ac:dyDescent="0.25">
      <c r="B43" s="30"/>
      <c r="J43" s="12"/>
      <c r="K43" s="12"/>
      <c r="L43" s="12"/>
      <c r="LL43" s="6"/>
      <c r="LM43" s="4"/>
      <c r="LN43" s="4"/>
      <c r="LO43" s="4"/>
      <c r="LP43" s="4"/>
      <c r="LQ43" s="4"/>
      <c r="LR43" s="5"/>
      <c r="LS43" s="6"/>
      <c r="LT43" s="4"/>
      <c r="LU43" s="4"/>
      <c r="LV43" s="4"/>
      <c r="LW43" s="4"/>
      <c r="LX43" s="4"/>
      <c r="LY43" s="5"/>
      <c r="LZ43" s="6"/>
      <c r="MA43" s="7"/>
      <c r="MB43" s="7"/>
      <c r="MC43" s="7"/>
      <c r="MD43" s="8"/>
      <c r="ME43" s="8"/>
      <c r="MF43" s="8"/>
      <c r="MG43" s="5"/>
      <c r="MH43" s="6"/>
      <c r="MI43" s="4"/>
      <c r="MJ43" s="4"/>
      <c r="MK43" s="4"/>
      <c r="ML43" s="4"/>
      <c r="MM43" s="4"/>
      <c r="MN43" s="5"/>
      <c r="MO43" s="6"/>
      <c r="MP43" s="4"/>
      <c r="MQ43" s="4"/>
      <c r="MR43" s="4"/>
      <c r="MS43" s="4"/>
      <c r="MT43" s="4"/>
      <c r="MU43" s="5"/>
      <c r="MV43" s="6"/>
      <c r="MW43" s="4"/>
      <c r="MX43" s="4"/>
      <c r="MY43" s="4"/>
      <c r="MZ43" s="4"/>
      <c r="NA43" s="4"/>
      <c r="NB43" s="5"/>
      <c r="NC43" s="6"/>
      <c r="ND43" s="7"/>
      <c r="NE43" s="4"/>
      <c r="NF43" s="7"/>
      <c r="NG43" s="8"/>
      <c r="NH43" s="8"/>
      <c r="NI43" s="5"/>
      <c r="NJ43" s="6"/>
      <c r="NK43" s="4"/>
      <c r="NL43" s="4"/>
      <c r="NM43" s="4"/>
      <c r="NN43" s="4"/>
      <c r="NO43" s="4"/>
      <c r="NP43" s="5"/>
      <c r="NQ43" s="6"/>
      <c r="NR43" s="4"/>
      <c r="NS43" s="4"/>
      <c r="NT43" s="4"/>
      <c r="NU43" s="4"/>
      <c r="NV43" s="4"/>
      <c r="NW43" s="5"/>
      <c r="NX43" s="6"/>
      <c r="NY43" s="4"/>
      <c r="NZ43" s="4"/>
      <c r="OA43" s="4"/>
      <c r="OB43" s="4"/>
      <c r="OC43" s="4"/>
      <c r="OD43" s="5"/>
      <c r="OE43" s="6"/>
      <c r="OF43" s="4"/>
      <c r="OG43" s="4"/>
      <c r="OH43" s="4"/>
      <c r="OI43" s="4"/>
      <c r="OJ43" s="4"/>
      <c r="OK43" s="5"/>
      <c r="OL43" s="6"/>
      <c r="OM43" s="4"/>
      <c r="ON43" s="4"/>
      <c r="OO43" s="4"/>
      <c r="OP43" s="4"/>
      <c r="OQ43" s="4"/>
      <c r="OR43" s="5"/>
      <c r="OS43" s="6"/>
      <c r="OT43" s="4"/>
      <c r="OU43" s="4"/>
      <c r="OV43" s="4"/>
      <c r="OW43" s="4"/>
      <c r="OX43" s="4"/>
      <c r="OY43" s="5"/>
      <c r="OZ43" s="6"/>
      <c r="PA43" s="4"/>
      <c r="PB43" s="4"/>
      <c r="PC43" s="4"/>
      <c r="PD43" s="4"/>
      <c r="PE43" s="4"/>
      <c r="PF43" s="5"/>
      <c r="PG43" s="6"/>
      <c r="PH43" s="4"/>
      <c r="PI43" s="4"/>
      <c r="PJ43" s="4"/>
      <c r="PK43" s="4"/>
      <c r="PL43" s="4"/>
      <c r="PM43" s="5"/>
      <c r="PN43" s="6"/>
      <c r="PO43" s="4"/>
      <c r="PP43" s="4"/>
      <c r="PQ43" s="4"/>
      <c r="PR43" s="4"/>
      <c r="PS43" s="4"/>
      <c r="PT43" s="5"/>
      <c r="PU43" s="6"/>
      <c r="PV43" s="4"/>
      <c r="PW43" s="4"/>
      <c r="PX43" s="4"/>
      <c r="PY43" s="4"/>
      <c r="PZ43" s="4"/>
      <c r="QA43" s="5"/>
      <c r="QB43" s="6"/>
      <c r="QC43" s="4"/>
      <c r="QD43" s="4"/>
      <c r="QE43" s="4"/>
      <c r="QF43" s="4"/>
      <c r="QG43" s="4"/>
      <c r="QH43" s="5"/>
      <c r="QI43" s="6"/>
      <c r="QJ43" s="4"/>
      <c r="QK43" s="4"/>
      <c r="QL43" s="4"/>
      <c r="QM43" s="4"/>
      <c r="QN43" s="4"/>
      <c r="QO43" s="5"/>
      <c r="QP43" s="6"/>
      <c r="QQ43" s="4"/>
      <c r="QR43" s="4"/>
      <c r="QS43" s="4"/>
      <c r="QT43" s="4"/>
      <c r="QU43" s="4"/>
      <c r="QV43" s="5"/>
      <c r="QW43" s="6"/>
      <c r="QX43" s="4"/>
      <c r="QY43" s="4"/>
      <c r="QZ43" s="7"/>
      <c r="RA43" s="8"/>
      <c r="RB43" s="8"/>
      <c r="RC43" s="5"/>
      <c r="RD43" s="6"/>
      <c r="RE43" s="4"/>
      <c r="RF43" s="4"/>
      <c r="RG43" s="4"/>
      <c r="RH43" s="4"/>
      <c r="RI43" s="4"/>
      <c r="RJ43" s="5"/>
      <c r="RK43" s="6"/>
      <c r="RL43" s="4"/>
      <c r="RM43" s="4"/>
      <c r="RN43" s="4"/>
      <c r="RO43" s="4"/>
      <c r="RP43" s="4"/>
      <c r="RQ43" s="5"/>
      <c r="RR43" s="6"/>
      <c r="RS43" s="4"/>
      <c r="RT43" s="4"/>
      <c r="RU43" s="4"/>
      <c r="RV43" s="4"/>
      <c r="RW43" s="4"/>
      <c r="RX43" s="5"/>
      <c r="RY43" s="6"/>
      <c r="RZ43" s="4"/>
      <c r="SA43" s="4"/>
      <c r="SB43" s="4"/>
      <c r="SC43" s="4"/>
      <c r="SD43" s="4"/>
      <c r="SE43" s="5"/>
      <c r="SF43" s="6"/>
      <c r="SG43" s="4"/>
      <c r="SH43" s="4"/>
      <c r="SI43" s="4"/>
      <c r="SJ43" s="4"/>
      <c r="SK43" s="4"/>
      <c r="SL43" s="5"/>
      <c r="SM43" s="6"/>
      <c r="SN43" s="4"/>
      <c r="SO43" s="4"/>
      <c r="SP43" s="4"/>
      <c r="SQ43" s="4"/>
      <c r="SR43" s="4"/>
      <c r="SS43" s="5"/>
      <c r="ST43" s="6"/>
      <c r="SU43" s="4"/>
      <c r="SV43" s="4"/>
      <c r="SW43" s="4"/>
      <c r="SX43" s="4"/>
      <c r="SY43" s="4"/>
      <c r="SZ43" s="5"/>
      <c r="TA43" s="6"/>
      <c r="TB43" s="4"/>
      <c r="TC43" s="4"/>
      <c r="TD43" s="4"/>
      <c r="TE43" s="4"/>
      <c r="TF43" s="4"/>
      <c r="TG43" s="5"/>
      <c r="TH43" s="6"/>
      <c r="TI43" s="4"/>
      <c r="TJ43" s="4"/>
      <c r="TK43" s="4"/>
      <c r="TL43" s="4"/>
      <c r="TM43" s="4"/>
      <c r="TN43" s="5"/>
      <c r="TO43" s="6"/>
      <c r="TP43" s="4"/>
      <c r="TQ43" s="4"/>
      <c r="TR43" s="4"/>
      <c r="TS43" s="4"/>
      <c r="TT43" s="4"/>
      <c r="TU43" s="5"/>
      <c r="TV43" s="6"/>
      <c r="TW43" s="4"/>
      <c r="TX43" s="4"/>
      <c r="TY43" s="4"/>
      <c r="TZ43" s="4"/>
      <c r="UA43" s="4"/>
      <c r="UB43" s="5"/>
      <c r="UC43" s="6"/>
      <c r="UD43" s="4"/>
      <c r="UE43" s="4"/>
      <c r="UF43" s="4"/>
      <c r="UG43" s="4"/>
      <c r="UH43" s="4"/>
      <c r="UI43" s="5"/>
      <c r="UJ43" s="6"/>
      <c r="UK43" s="4"/>
      <c r="UL43" s="4"/>
      <c r="UM43" s="4"/>
      <c r="UN43" s="4"/>
      <c r="UO43" s="4"/>
      <c r="UP43" s="5"/>
      <c r="UQ43" s="6"/>
      <c r="UR43" s="4"/>
      <c r="US43" s="4"/>
      <c r="UT43" s="4"/>
      <c r="UU43" s="4"/>
      <c r="UV43" s="4"/>
      <c r="UW43" s="5"/>
      <c r="UX43" s="6"/>
      <c r="UY43" s="4"/>
      <c r="UZ43" s="4"/>
      <c r="VA43" s="4"/>
      <c r="VB43" s="4"/>
      <c r="VC43" s="4"/>
      <c r="VD43" s="5"/>
      <c r="VE43" s="6"/>
      <c r="VF43" s="4"/>
      <c r="VG43" s="4"/>
      <c r="VH43" s="4"/>
      <c r="VI43" s="4"/>
      <c r="VJ43" s="4"/>
      <c r="VK43" s="5"/>
      <c r="VL43" s="6"/>
      <c r="VM43" s="4"/>
      <c r="VN43" s="4"/>
      <c r="VO43" s="4"/>
      <c r="VP43" s="4"/>
      <c r="VQ43" s="4"/>
      <c r="VR43" s="5"/>
      <c r="VS43" s="6"/>
      <c r="VT43" s="4"/>
      <c r="VU43" s="4"/>
      <c r="VV43" s="4"/>
      <c r="VW43" s="4"/>
      <c r="VX43" s="4"/>
      <c r="VY43" s="5"/>
      <c r="VZ43" s="6"/>
      <c r="WA43" s="4"/>
      <c r="WB43" s="4"/>
      <c r="WC43" s="4"/>
      <c r="WD43" s="4"/>
      <c r="WE43" s="4"/>
      <c r="WF43" s="5"/>
      <c r="WG43" s="6"/>
      <c r="WH43" s="4"/>
      <c r="WI43" s="4"/>
      <c r="WJ43" s="4"/>
      <c r="WK43" s="4"/>
      <c r="WL43" s="4"/>
      <c r="WM43" s="5"/>
      <c r="WN43" s="6"/>
      <c r="WO43" s="4"/>
      <c r="WP43" s="4"/>
      <c r="WQ43" s="4"/>
      <c r="WR43" s="4"/>
      <c r="WS43" s="4"/>
      <c r="WT43" s="5"/>
      <c r="WU43" s="6"/>
      <c r="WV43" s="4"/>
      <c r="WW43" s="4"/>
      <c r="WX43" s="4"/>
      <c r="WY43" s="4"/>
      <c r="WZ43" s="4"/>
      <c r="XA43" s="5"/>
      <c r="XB43" s="6"/>
      <c r="XC43" s="4"/>
      <c r="XD43" s="4"/>
      <c r="XE43" s="4"/>
      <c r="XF43" s="4"/>
      <c r="XG43" s="4"/>
      <c r="XH43" s="5"/>
      <c r="XI43" s="6"/>
      <c r="XJ43" s="4"/>
      <c r="XK43" s="4"/>
      <c r="XL43" s="4"/>
      <c r="XM43" s="4"/>
      <c r="XN43" s="4"/>
      <c r="XO43" s="5"/>
      <c r="XP43" s="6"/>
      <c r="XQ43" s="4"/>
      <c r="XR43" s="4"/>
      <c r="XS43" s="4"/>
      <c r="XT43" s="4"/>
      <c r="XU43" s="4"/>
      <c r="XV43" s="5"/>
      <c r="XW43" s="6"/>
      <c r="XX43" s="4"/>
      <c r="XY43" s="4"/>
      <c r="XZ43" s="4"/>
      <c r="YA43" s="4"/>
      <c r="YB43" s="4"/>
      <c r="YC43" s="5"/>
      <c r="YD43" s="6"/>
      <c r="YE43" s="4"/>
      <c r="YF43" s="4"/>
      <c r="YG43" s="4"/>
      <c r="YH43" s="4"/>
      <c r="YI43" s="4"/>
      <c r="YJ43" s="5"/>
      <c r="YK43" s="6" t="s">
        <v>2288</v>
      </c>
      <c r="YL43" s="7" t="s">
        <v>2974</v>
      </c>
      <c r="YM43" s="7" t="s">
        <v>2975</v>
      </c>
      <c r="YN43" s="7" t="s">
        <v>2691</v>
      </c>
      <c r="YO43" s="8">
        <v>33269</v>
      </c>
      <c r="YP43" s="8">
        <v>33269</v>
      </c>
      <c r="YQ43" s="5"/>
      <c r="YR43" s="6"/>
      <c r="YS43" s="4"/>
      <c r="YT43" s="4"/>
      <c r="YU43" s="4"/>
      <c r="YV43" s="4"/>
      <c r="YW43" s="4"/>
      <c r="YX43" s="5"/>
      <c r="YY43" s="6"/>
      <c r="YZ43" s="4"/>
      <c r="ZA43" s="4"/>
      <c r="ZB43" s="4"/>
      <c r="ZC43" s="4"/>
      <c r="ZD43" s="4"/>
      <c r="ZE43" s="5"/>
      <c r="ZF43" s="6"/>
      <c r="ZG43" s="4"/>
      <c r="ZH43" s="4"/>
      <c r="ZI43" s="4"/>
      <c r="ZJ43" s="4"/>
      <c r="ZK43" s="4"/>
      <c r="ZL43" s="5"/>
      <c r="ZM43" s="6"/>
      <c r="ZN43" s="4"/>
      <c r="ZO43" s="4"/>
      <c r="ZP43" s="4"/>
      <c r="ZQ43" s="4"/>
      <c r="ZR43" s="4"/>
      <c r="ZS43" s="5"/>
      <c r="ZT43" s="6"/>
      <c r="ZU43" s="4"/>
      <c r="ZV43" s="4"/>
      <c r="ZW43" s="4"/>
      <c r="ZX43" s="4"/>
      <c r="ZY43" s="4"/>
      <c r="ZZ43" s="5"/>
      <c r="AAA43" s="6"/>
      <c r="AAB43" s="4"/>
      <c r="AAC43" s="4"/>
      <c r="AAD43" s="4"/>
      <c r="AAE43" s="4"/>
      <c r="AAF43" s="4"/>
      <c r="AAG43" s="5"/>
      <c r="AAH43" s="6"/>
      <c r="AAI43" s="4"/>
      <c r="AAJ43" s="4"/>
      <c r="AAK43" s="4"/>
      <c r="AAL43" s="4"/>
      <c r="AAM43" s="4"/>
      <c r="AAN43" s="5"/>
      <c r="AAO43" s="6"/>
      <c r="AAP43" s="4"/>
      <c r="AAQ43" s="4"/>
      <c r="AAR43" s="4"/>
      <c r="AAS43" s="4"/>
      <c r="AAT43" s="4"/>
      <c r="AAU43" s="5"/>
      <c r="AAV43" s="6"/>
      <c r="AAW43" s="4"/>
      <c r="AAX43" s="4"/>
      <c r="AAY43" s="4"/>
      <c r="AAZ43" s="4"/>
      <c r="ABA43" s="4"/>
      <c r="ABB43" s="5"/>
      <c r="ABC43" s="6"/>
      <c r="ABD43" s="4"/>
      <c r="ABE43" s="4"/>
      <c r="ABF43" s="4"/>
      <c r="ABG43" s="4"/>
      <c r="ABH43" s="4"/>
      <c r="ABI43" s="5"/>
      <c r="ABJ43" s="6"/>
      <c r="ABK43" s="4"/>
      <c r="ABL43" s="4"/>
      <c r="ABM43" s="4"/>
      <c r="ABN43" s="4"/>
      <c r="ABO43" s="4"/>
      <c r="ABP43" s="5"/>
      <c r="ABQ43" s="6"/>
      <c r="ABR43" s="4"/>
      <c r="ABS43" s="4"/>
      <c r="ABT43" s="4"/>
      <c r="ABU43" s="4"/>
      <c r="ABV43" s="4"/>
      <c r="ABW43" s="5"/>
      <c r="ABX43" s="6"/>
      <c r="ABY43" s="4"/>
      <c r="ABZ43" s="4"/>
      <c r="ACA43" s="4"/>
      <c r="ACB43" s="4"/>
      <c r="ACC43" s="4"/>
      <c r="ACD43" s="5"/>
      <c r="ACE43" s="6"/>
      <c r="ACF43" s="4"/>
      <c r="ACG43" s="4"/>
      <c r="ACH43" s="4"/>
      <c r="ACI43" s="4"/>
      <c r="ACJ43" s="4"/>
      <c r="ACK43" s="5"/>
      <c r="ACL43" s="6"/>
      <c r="ACM43" s="4"/>
      <c r="ACN43" s="4"/>
      <c r="ACO43" s="4"/>
      <c r="ACP43" s="4"/>
      <c r="ACQ43" s="4"/>
      <c r="ACR43" s="5"/>
      <c r="ACS43" s="6"/>
      <c r="ACT43" s="4"/>
      <c r="ACU43" s="4"/>
      <c r="ACV43" s="4"/>
      <c r="ACW43" s="4"/>
      <c r="ACX43" s="4"/>
      <c r="ACY43" s="5"/>
    </row>
    <row r="44" spans="2:816" x14ac:dyDescent="0.25">
      <c r="B44" s="50">
        <v>93003602</v>
      </c>
      <c r="C44">
        <v>39</v>
      </c>
      <c r="D44" t="s">
        <v>681</v>
      </c>
      <c r="F44" s="23">
        <v>1</v>
      </c>
      <c r="G44" s="31">
        <v>33918</v>
      </c>
      <c r="H44" s="23" t="s">
        <v>683</v>
      </c>
      <c r="J44" s="12"/>
      <c r="K44" s="12"/>
      <c r="L44" s="12"/>
      <c r="M44" s="27">
        <v>1</v>
      </c>
      <c r="N44" s="51">
        <v>33917</v>
      </c>
      <c r="O44" s="27" t="s">
        <v>606</v>
      </c>
      <c r="P44" s="27"/>
      <c r="BC44">
        <v>1</v>
      </c>
      <c r="CO44">
        <v>1</v>
      </c>
      <c r="JF44">
        <v>1</v>
      </c>
      <c r="LL44" s="6"/>
      <c r="LM44" s="4"/>
      <c r="LN44" s="4"/>
      <c r="LO44" s="4"/>
      <c r="LP44" s="4"/>
      <c r="LQ44" s="4"/>
      <c r="LR44" s="5"/>
      <c r="LS44" s="6" t="s">
        <v>1044</v>
      </c>
      <c r="LT44" s="4" t="s">
        <v>1045</v>
      </c>
      <c r="LU44" s="4" t="s">
        <v>2110</v>
      </c>
      <c r="LV44" s="7" t="s">
        <v>3027</v>
      </c>
      <c r="LW44" s="8">
        <v>33914</v>
      </c>
      <c r="LX44" s="8">
        <v>33914</v>
      </c>
      <c r="LY44" s="5" t="s">
        <v>684</v>
      </c>
      <c r="LZ44" s="6" t="s">
        <v>2983</v>
      </c>
      <c r="MA44" s="7" t="s">
        <v>2983</v>
      </c>
      <c r="MB44" s="4"/>
      <c r="MC44" s="7" t="s">
        <v>2702</v>
      </c>
      <c r="MD44" s="8">
        <v>33915</v>
      </c>
      <c r="ME44" s="8">
        <v>33916</v>
      </c>
      <c r="MF44" s="8" t="s">
        <v>685</v>
      </c>
      <c r="MG44" s="5" t="s">
        <v>684</v>
      </c>
      <c r="MH44" s="6"/>
      <c r="MI44" s="4"/>
      <c r="MJ44" s="4"/>
      <c r="MK44" s="4"/>
      <c r="ML44" s="4"/>
      <c r="MM44" s="4"/>
      <c r="MN44" s="5"/>
      <c r="MO44" s="6"/>
      <c r="MP44" s="4"/>
      <c r="MQ44" s="4"/>
      <c r="MR44" s="4"/>
      <c r="MS44" s="4"/>
      <c r="MT44" s="4"/>
      <c r="MU44" s="5"/>
      <c r="MV44" s="6"/>
      <c r="MW44" s="4"/>
      <c r="MX44" s="4"/>
      <c r="MY44" s="4"/>
      <c r="MZ44" s="4"/>
      <c r="NA44" s="4"/>
      <c r="NB44" s="5"/>
      <c r="NC44" s="6"/>
      <c r="ND44" s="4"/>
      <c r="NE44" s="4"/>
      <c r="NF44" s="4"/>
      <c r="NG44" s="4"/>
      <c r="NH44" s="4"/>
      <c r="NI44" s="5"/>
      <c r="NJ44" s="6"/>
      <c r="NK44" s="4"/>
      <c r="NL44" s="4"/>
      <c r="NM44" s="4"/>
      <c r="NN44" s="4"/>
      <c r="NO44" s="4"/>
      <c r="NP44" s="5"/>
      <c r="NQ44" s="6"/>
      <c r="NR44" s="4"/>
      <c r="NS44" s="4"/>
      <c r="NT44" s="4"/>
      <c r="NU44" s="4"/>
      <c r="NV44" s="4"/>
      <c r="NW44" s="5"/>
      <c r="NX44" s="6"/>
      <c r="NY44" s="4"/>
      <c r="NZ44" s="4"/>
      <c r="OA44" s="4"/>
      <c r="OB44" s="4"/>
      <c r="OC44" s="4"/>
      <c r="OD44" s="5"/>
      <c r="OE44" s="6"/>
      <c r="OF44" s="4"/>
      <c r="OG44" s="4"/>
      <c r="OH44" s="4"/>
      <c r="OI44" s="4"/>
      <c r="OJ44" s="4"/>
      <c r="OK44" s="5"/>
      <c r="OL44" s="6"/>
      <c r="OM44" s="4"/>
      <c r="ON44" s="4"/>
      <c r="OO44" s="4"/>
      <c r="OP44" s="4"/>
      <c r="OQ44" s="4"/>
      <c r="OR44" s="5"/>
      <c r="OS44" s="6"/>
      <c r="OT44" s="4"/>
      <c r="OU44" s="4"/>
      <c r="OV44" s="4"/>
      <c r="OW44" s="4"/>
      <c r="OX44" s="4"/>
      <c r="OY44" s="5"/>
      <c r="OZ44" s="6"/>
      <c r="PA44" s="4"/>
      <c r="PB44" s="4"/>
      <c r="PC44" s="4"/>
      <c r="PD44" s="4"/>
      <c r="PE44" s="4"/>
      <c r="PF44" s="5"/>
      <c r="PG44" s="6"/>
      <c r="PH44" s="4"/>
      <c r="PI44" s="4"/>
      <c r="PJ44" s="4"/>
      <c r="PK44" s="4"/>
      <c r="PL44" s="4"/>
      <c r="PM44" s="5"/>
      <c r="PN44" s="6"/>
      <c r="PO44" s="4"/>
      <c r="PP44" s="4"/>
      <c r="PQ44" s="4"/>
      <c r="PR44" s="4"/>
      <c r="PS44" s="4"/>
      <c r="PT44" s="5"/>
      <c r="PU44" s="6"/>
      <c r="PV44" s="4"/>
      <c r="PW44" s="4"/>
      <c r="PX44" s="4"/>
      <c r="PY44" s="4"/>
      <c r="PZ44" s="4"/>
      <c r="QA44" s="5"/>
      <c r="QB44" s="6"/>
      <c r="QC44" s="4"/>
      <c r="QD44" s="4"/>
      <c r="QE44" s="4"/>
      <c r="QF44" s="4"/>
      <c r="QG44" s="4"/>
      <c r="QH44" s="5"/>
      <c r="QI44" s="6"/>
      <c r="QJ44" s="4"/>
      <c r="QK44" s="4"/>
      <c r="QL44" s="4"/>
      <c r="QM44" s="4"/>
      <c r="QN44" s="4"/>
      <c r="QO44" s="5"/>
      <c r="QP44" s="6"/>
      <c r="QQ44" s="4"/>
      <c r="QR44" s="4"/>
      <c r="QS44" s="4"/>
      <c r="QT44" s="4"/>
      <c r="QU44" s="4"/>
      <c r="QV44" s="5"/>
      <c r="QW44" s="6"/>
      <c r="QX44" s="4"/>
      <c r="QY44" s="4"/>
      <c r="QZ44" s="4"/>
      <c r="RA44" s="4"/>
      <c r="RB44" s="4"/>
      <c r="RC44" s="5"/>
      <c r="RD44" s="6"/>
      <c r="RE44" s="4"/>
      <c r="RF44" s="4"/>
      <c r="RG44" s="4"/>
      <c r="RH44" s="4"/>
      <c r="RI44" s="4"/>
      <c r="RJ44" s="5"/>
      <c r="RK44" s="6"/>
      <c r="RL44" s="4"/>
      <c r="RM44" s="4"/>
      <c r="RN44" s="4"/>
      <c r="RO44" s="4"/>
      <c r="RP44" s="4"/>
      <c r="RQ44" s="5"/>
      <c r="RR44" s="6"/>
      <c r="RS44" s="4"/>
      <c r="RT44" s="4"/>
      <c r="RU44" s="4"/>
      <c r="RV44" s="4"/>
      <c r="RW44" s="4"/>
      <c r="RX44" s="5"/>
      <c r="RY44" s="6"/>
      <c r="RZ44" s="4"/>
      <c r="SA44" s="4"/>
      <c r="SB44" s="4"/>
      <c r="SC44" s="4"/>
      <c r="SD44" s="4"/>
      <c r="SE44" s="5"/>
      <c r="SF44" s="6"/>
      <c r="SG44" s="4"/>
      <c r="SH44" s="4"/>
      <c r="SI44" s="4"/>
      <c r="SJ44" s="4"/>
      <c r="SK44" s="4"/>
      <c r="SL44" s="5"/>
      <c r="SM44" s="6"/>
      <c r="SN44" s="4"/>
      <c r="SO44" s="4"/>
      <c r="SP44" s="4"/>
      <c r="SQ44" s="4"/>
      <c r="SR44" s="4"/>
      <c r="SS44" s="5"/>
      <c r="ST44" s="6"/>
      <c r="SU44" s="4"/>
      <c r="SV44" s="4"/>
      <c r="SW44" s="4"/>
      <c r="SX44" s="4"/>
      <c r="SY44" s="4"/>
      <c r="SZ44" s="5"/>
      <c r="TA44" s="6"/>
      <c r="TB44" s="4"/>
      <c r="TC44" s="4"/>
      <c r="TD44" s="4"/>
      <c r="TE44" s="4"/>
      <c r="TF44" s="4"/>
      <c r="TG44" s="5"/>
      <c r="TH44" s="6"/>
      <c r="TI44" s="4"/>
      <c r="TJ44" s="4"/>
      <c r="TK44" s="4"/>
      <c r="TL44" s="4"/>
      <c r="TM44" s="4"/>
      <c r="TN44" s="5"/>
      <c r="TO44" s="6"/>
      <c r="TP44" s="4"/>
      <c r="TQ44" s="4"/>
      <c r="TR44" s="4"/>
      <c r="TS44" s="4"/>
      <c r="TT44" s="4"/>
      <c r="TU44" s="5"/>
      <c r="TV44" s="6"/>
      <c r="TW44" s="4"/>
      <c r="TX44" s="4"/>
      <c r="TY44" s="4"/>
      <c r="TZ44" s="4"/>
      <c r="UA44" s="4"/>
      <c r="UB44" s="5"/>
      <c r="UC44" s="6"/>
      <c r="UD44" s="4"/>
      <c r="UE44" s="4"/>
      <c r="UF44" s="4"/>
      <c r="UG44" s="4"/>
      <c r="UH44" s="4"/>
      <c r="UI44" s="5"/>
      <c r="UJ44" s="6"/>
      <c r="UK44" s="4"/>
      <c r="UL44" s="4"/>
      <c r="UM44" s="4"/>
      <c r="UN44" s="4"/>
      <c r="UO44" s="4"/>
      <c r="UP44" s="5"/>
      <c r="UQ44" s="6"/>
      <c r="UR44" s="4"/>
      <c r="US44" s="4"/>
      <c r="UT44" s="4"/>
      <c r="UU44" s="4"/>
      <c r="UV44" s="4"/>
      <c r="UW44" s="5"/>
      <c r="UX44" s="6"/>
      <c r="UY44" s="4"/>
      <c r="UZ44" s="4"/>
      <c r="VA44" s="4"/>
      <c r="VB44" s="4"/>
      <c r="VC44" s="4"/>
      <c r="VD44" s="5"/>
      <c r="VE44" s="6"/>
      <c r="VF44" s="4"/>
      <c r="VG44" s="4"/>
      <c r="VH44" s="4"/>
      <c r="VI44" s="4"/>
      <c r="VJ44" s="4"/>
      <c r="VK44" s="5"/>
      <c r="VL44" s="6" t="s">
        <v>917</v>
      </c>
      <c r="VM44" s="4" t="s">
        <v>2993</v>
      </c>
      <c r="VN44" s="4" t="s">
        <v>2110</v>
      </c>
      <c r="VO44" s="7" t="s">
        <v>3027</v>
      </c>
      <c r="VP44" s="9">
        <v>33914</v>
      </c>
      <c r="VQ44" s="8">
        <v>33914</v>
      </c>
      <c r="VR44" s="5" t="s">
        <v>684</v>
      </c>
      <c r="VS44" s="6"/>
      <c r="VT44" s="4"/>
      <c r="VU44" s="4"/>
      <c r="VV44" s="4"/>
      <c r="VW44" s="4"/>
      <c r="VX44" s="4"/>
      <c r="VY44" s="5"/>
      <c r="VZ44" s="6"/>
      <c r="WA44" s="4"/>
      <c r="WB44" s="4"/>
      <c r="WC44" s="4"/>
      <c r="WD44" s="4"/>
      <c r="WE44" s="4"/>
      <c r="WF44" s="5"/>
      <c r="WG44" s="6"/>
      <c r="WH44" s="4"/>
      <c r="WI44" s="4"/>
      <c r="WJ44" s="4"/>
      <c r="WK44" s="4"/>
      <c r="WL44" s="4"/>
      <c r="WM44" s="5"/>
      <c r="WN44" s="6"/>
      <c r="WO44" s="4"/>
      <c r="WP44" s="4"/>
      <c r="WQ44" s="4"/>
      <c r="WR44" s="4"/>
      <c r="WS44" s="4"/>
      <c r="WT44" s="5"/>
      <c r="WU44" s="6"/>
      <c r="WV44" s="4"/>
      <c r="WW44" s="4"/>
      <c r="WX44" s="4"/>
      <c r="WY44" s="4"/>
      <c r="WZ44" s="4"/>
      <c r="XA44" s="5"/>
      <c r="XB44" s="6"/>
      <c r="XC44" s="4"/>
      <c r="XD44" s="4"/>
      <c r="XE44" s="4"/>
      <c r="XF44" s="4"/>
      <c r="XG44" s="4"/>
      <c r="XH44" s="5"/>
      <c r="XI44" s="6"/>
      <c r="XJ44" s="4"/>
      <c r="XK44" s="4"/>
      <c r="XL44" s="4"/>
      <c r="XM44" s="4"/>
      <c r="XN44" s="4"/>
      <c r="XO44" s="5"/>
      <c r="XP44" s="6"/>
      <c r="XQ44" s="4"/>
      <c r="XR44" s="4"/>
      <c r="XS44" s="4"/>
      <c r="XT44" s="4"/>
      <c r="XU44" s="4"/>
      <c r="XV44" s="5"/>
      <c r="XW44" s="6"/>
      <c r="XX44" s="4"/>
      <c r="XY44" s="4"/>
      <c r="XZ44" s="4"/>
      <c r="YA44" s="4"/>
      <c r="YB44" s="4"/>
      <c r="YC44" s="5"/>
      <c r="YD44" s="6"/>
      <c r="YE44" s="4"/>
      <c r="YF44" s="4"/>
      <c r="YG44" s="4"/>
      <c r="YH44" s="4"/>
      <c r="YI44" s="4"/>
      <c r="YJ44" s="5"/>
      <c r="YK44" s="6" t="s">
        <v>918</v>
      </c>
      <c r="YL44" s="7" t="s">
        <v>774</v>
      </c>
      <c r="YM44" s="7" t="s">
        <v>686</v>
      </c>
      <c r="YN44" s="7" t="s">
        <v>2149</v>
      </c>
      <c r="YO44" s="8">
        <v>33914</v>
      </c>
      <c r="YP44" s="8">
        <v>33916</v>
      </c>
      <c r="YQ44" s="5" t="s">
        <v>687</v>
      </c>
      <c r="YR44" s="6"/>
      <c r="YS44" s="4"/>
      <c r="YT44" s="4"/>
      <c r="YU44" s="4"/>
      <c r="YV44" s="4"/>
      <c r="YW44" s="4"/>
      <c r="YX44" s="5"/>
      <c r="YY44" s="6"/>
      <c r="YZ44" s="4"/>
      <c r="ZA44" s="4"/>
      <c r="ZB44" s="4"/>
      <c r="ZC44" s="4"/>
      <c r="ZD44" s="4"/>
      <c r="ZE44" s="5"/>
      <c r="ZF44" s="6"/>
      <c r="ZG44" s="4"/>
      <c r="ZH44" s="4"/>
      <c r="ZI44" s="4"/>
      <c r="ZJ44" s="4"/>
      <c r="ZK44" s="4"/>
      <c r="ZL44" s="5"/>
      <c r="ZM44" s="6"/>
      <c r="ZN44" s="4"/>
      <c r="ZO44" s="4"/>
      <c r="ZP44" s="4"/>
      <c r="ZQ44" s="4"/>
      <c r="ZR44" s="4"/>
      <c r="ZS44" s="5"/>
      <c r="ZT44" s="6"/>
      <c r="ZU44" s="4"/>
      <c r="ZV44" s="4"/>
      <c r="ZW44" s="4"/>
      <c r="ZX44" s="4"/>
      <c r="ZY44" s="4"/>
      <c r="ZZ44" s="5"/>
      <c r="AAA44" s="6"/>
      <c r="AAB44" s="4"/>
      <c r="AAC44" s="4"/>
      <c r="AAD44" s="4"/>
      <c r="AAE44" s="4"/>
      <c r="AAF44" s="4"/>
      <c r="AAG44" s="5"/>
      <c r="AAH44" s="6"/>
      <c r="AAI44" s="4"/>
      <c r="AAJ44" s="4"/>
      <c r="AAK44" s="4"/>
      <c r="AAL44" s="4"/>
      <c r="AAM44" s="4"/>
      <c r="AAN44" s="5"/>
      <c r="AAO44" s="6"/>
      <c r="AAP44" s="4"/>
      <c r="AAQ44" s="4"/>
      <c r="AAR44" s="4"/>
      <c r="AAS44" s="4"/>
      <c r="AAT44" s="4"/>
      <c r="AAU44" s="5"/>
      <c r="AAV44" s="6"/>
      <c r="AAW44" s="4"/>
      <c r="AAX44" s="4"/>
      <c r="AAY44" s="4"/>
      <c r="AAZ44" s="4"/>
      <c r="ABA44" s="4"/>
      <c r="ABB44" s="5"/>
      <c r="ABC44" s="6"/>
      <c r="ABD44" s="4"/>
      <c r="ABE44" s="4"/>
      <c r="ABF44" s="4"/>
      <c r="ABG44" s="4"/>
      <c r="ABH44" s="4"/>
      <c r="ABI44" s="5"/>
      <c r="ABJ44" s="6"/>
      <c r="ABK44" s="4"/>
      <c r="ABL44" s="4"/>
      <c r="ABM44" s="4"/>
      <c r="ABN44" s="4"/>
      <c r="ABO44" s="4"/>
      <c r="ABP44" s="5"/>
      <c r="ABQ44" s="6"/>
      <c r="ABR44" s="4"/>
      <c r="ABS44" s="4"/>
      <c r="ABT44" s="4"/>
      <c r="ABU44" s="4"/>
      <c r="ABV44" s="4"/>
      <c r="ABW44" s="5"/>
      <c r="ABX44" s="6"/>
      <c r="ABY44" s="4"/>
      <c r="ABZ44" s="4"/>
      <c r="ACA44" s="4"/>
      <c r="ACB44" s="4"/>
      <c r="ACC44" s="4"/>
      <c r="ACD44" s="5"/>
      <c r="ACE44" s="6"/>
      <c r="ACF44" s="4"/>
      <c r="ACG44" s="4"/>
      <c r="ACH44" s="4"/>
      <c r="ACI44" s="4"/>
      <c r="ACJ44" s="4"/>
      <c r="ACK44" s="5"/>
      <c r="ACL44" s="6"/>
      <c r="ACM44" s="4"/>
      <c r="ACN44" s="4"/>
      <c r="ACO44" s="4"/>
      <c r="ACP44" s="4"/>
      <c r="ACQ44" s="4"/>
      <c r="ACR44" s="5"/>
      <c r="ACS44" s="6"/>
      <c r="ACT44" s="4"/>
      <c r="ACU44" s="4"/>
      <c r="ACV44" s="4"/>
      <c r="ACW44" s="4"/>
      <c r="ACX44" s="4"/>
      <c r="ACY44" s="5"/>
      <c r="ADG44" t="s">
        <v>689</v>
      </c>
      <c r="ADK44" t="s">
        <v>690</v>
      </c>
      <c r="ADV44" t="s">
        <v>688</v>
      </c>
    </row>
    <row r="45" spans="2:816" x14ac:dyDescent="0.25">
      <c r="B45" s="29">
        <v>93004890</v>
      </c>
      <c r="C45">
        <v>78</v>
      </c>
      <c r="D45" t="s">
        <v>3730</v>
      </c>
      <c r="F45" s="23">
        <v>1</v>
      </c>
      <c r="G45" s="31">
        <v>33828</v>
      </c>
      <c r="H45" s="23" t="s">
        <v>1627</v>
      </c>
      <c r="I45">
        <v>1</v>
      </c>
      <c r="J45" s="19">
        <v>33816</v>
      </c>
      <c r="K45" s="19"/>
      <c r="L45" s="19"/>
      <c r="M45">
        <v>1</v>
      </c>
      <c r="N45" s="17">
        <v>33816</v>
      </c>
      <c r="LL45" s="6"/>
      <c r="LM45" s="4"/>
      <c r="LN45" s="4"/>
      <c r="LO45" s="4"/>
      <c r="LP45" s="4"/>
      <c r="LQ45" s="4"/>
      <c r="LR45" s="5"/>
      <c r="LS45" s="6"/>
      <c r="LT45" s="4"/>
      <c r="LU45" s="4"/>
      <c r="LV45" s="4"/>
      <c r="LW45" s="4"/>
      <c r="LX45" s="4"/>
      <c r="LY45" s="5"/>
      <c r="LZ45" s="6" t="s">
        <v>2526</v>
      </c>
      <c r="MA45" s="7" t="s">
        <v>2234</v>
      </c>
      <c r="MB45" s="4" t="s">
        <v>2527</v>
      </c>
      <c r="MC45" s="4"/>
      <c r="MD45" s="8"/>
      <c r="ME45" s="4"/>
      <c r="MF45" s="4"/>
      <c r="MG45" s="5"/>
      <c r="MH45" s="6"/>
      <c r="MI45" s="4"/>
      <c r="MJ45" s="4"/>
      <c r="MK45" s="4"/>
      <c r="ML45" s="4"/>
      <c r="MM45" s="4"/>
      <c r="MN45" s="5"/>
      <c r="MO45" s="6"/>
      <c r="MP45" s="4"/>
      <c r="MQ45" s="4"/>
      <c r="MR45" s="4"/>
      <c r="MS45" s="4"/>
      <c r="MT45" s="4"/>
      <c r="MU45" s="5"/>
      <c r="MV45" s="6"/>
      <c r="MW45" s="4"/>
      <c r="MX45" s="4"/>
      <c r="MY45" s="4"/>
      <c r="MZ45" s="4"/>
      <c r="NA45" s="4"/>
      <c r="NB45" s="5"/>
      <c r="NC45" s="6"/>
      <c r="ND45" s="4"/>
      <c r="NE45" s="4"/>
      <c r="NF45" s="4"/>
      <c r="NG45" s="4"/>
      <c r="NH45" s="4"/>
      <c r="NI45" s="5"/>
      <c r="NJ45" s="6"/>
      <c r="NK45" s="4"/>
      <c r="NL45" s="4"/>
      <c r="NM45" s="4"/>
      <c r="NN45" s="4"/>
      <c r="NO45" s="4"/>
      <c r="NP45" s="5"/>
      <c r="NQ45" s="6"/>
      <c r="NR45" s="4"/>
      <c r="NS45" s="4"/>
      <c r="NT45" s="4"/>
      <c r="NU45" s="4"/>
      <c r="NV45" s="4"/>
      <c r="NW45" s="5"/>
      <c r="NX45" s="6"/>
      <c r="NY45" s="4"/>
      <c r="NZ45" s="4"/>
      <c r="OA45" s="4"/>
      <c r="OB45" s="4"/>
      <c r="OC45" s="4"/>
      <c r="OD45" s="5"/>
      <c r="OE45" s="6"/>
      <c r="OF45" s="4"/>
      <c r="OG45" s="4"/>
      <c r="OH45" s="4"/>
      <c r="OI45" s="4"/>
      <c r="OJ45" s="4"/>
      <c r="OK45" s="5"/>
      <c r="OL45" s="6"/>
      <c r="OM45" s="4"/>
      <c r="ON45" s="4"/>
      <c r="OO45" s="4"/>
      <c r="OP45" s="4"/>
      <c r="OQ45" s="4"/>
      <c r="OR45" s="5"/>
      <c r="OS45" s="6"/>
      <c r="OT45" s="4"/>
      <c r="OU45" s="4"/>
      <c r="OV45" s="4"/>
      <c r="OW45" s="4"/>
      <c r="OX45" s="4"/>
      <c r="OY45" s="5"/>
      <c r="OZ45" s="6"/>
      <c r="PA45" s="4"/>
      <c r="PB45" s="4"/>
      <c r="PC45" s="4"/>
      <c r="PD45" s="4"/>
      <c r="PE45" s="4"/>
      <c r="PF45" s="5"/>
      <c r="PG45" s="6"/>
      <c r="PH45" s="4"/>
      <c r="PI45" s="4"/>
      <c r="PJ45" s="4"/>
      <c r="PK45" s="4"/>
      <c r="PL45" s="4"/>
      <c r="PM45" s="5"/>
      <c r="PN45" s="6"/>
      <c r="PO45" s="4"/>
      <c r="PP45" s="4"/>
      <c r="PQ45" s="4"/>
      <c r="PR45" s="4"/>
      <c r="PS45" s="4"/>
      <c r="PT45" s="5"/>
      <c r="PU45" s="6"/>
      <c r="PV45" s="4"/>
      <c r="PW45" s="4"/>
      <c r="PX45" s="4"/>
      <c r="PY45" s="4"/>
      <c r="PZ45" s="4"/>
      <c r="QA45" s="5"/>
      <c r="QB45" s="6"/>
      <c r="QC45" s="4"/>
      <c r="QD45" s="4"/>
      <c r="QE45" s="4"/>
      <c r="QF45" s="4"/>
      <c r="QG45" s="4"/>
      <c r="QH45" s="5"/>
      <c r="QI45" s="6"/>
      <c r="QJ45" s="4"/>
      <c r="QK45" s="4"/>
      <c r="QL45" s="4"/>
      <c r="QM45" s="4"/>
      <c r="QN45" s="4"/>
      <c r="QO45" s="5"/>
      <c r="QP45" s="6"/>
      <c r="QQ45" s="4"/>
      <c r="QR45" s="4"/>
      <c r="QS45" s="4"/>
      <c r="QT45" s="4"/>
      <c r="QU45" s="4"/>
      <c r="QV45" s="5"/>
      <c r="QW45" s="6"/>
      <c r="QX45" s="4"/>
      <c r="QY45" s="4"/>
      <c r="QZ45" s="4"/>
      <c r="RA45" s="4"/>
      <c r="RB45" s="4"/>
      <c r="RC45" s="5"/>
      <c r="RD45" s="6"/>
      <c r="RE45" s="4"/>
      <c r="RF45" s="4"/>
      <c r="RG45" s="4"/>
      <c r="RH45" s="4"/>
      <c r="RI45" s="4"/>
      <c r="RJ45" s="5"/>
      <c r="RK45" s="6"/>
      <c r="RL45" s="4"/>
      <c r="RM45" s="4"/>
      <c r="RN45" s="4"/>
      <c r="RO45" s="4"/>
      <c r="RP45" s="4"/>
      <c r="RQ45" s="5"/>
      <c r="RR45" s="6"/>
      <c r="RS45" s="4"/>
      <c r="RT45" s="4"/>
      <c r="RU45" s="4"/>
      <c r="RV45" s="4"/>
      <c r="RW45" s="4"/>
      <c r="RX45" s="5"/>
      <c r="RY45" s="6"/>
      <c r="RZ45" s="4"/>
      <c r="SA45" s="4"/>
      <c r="SB45" s="4"/>
      <c r="SC45" s="4"/>
      <c r="SD45" s="4"/>
      <c r="SE45" s="5"/>
      <c r="SF45" s="6"/>
      <c r="SG45" s="4"/>
      <c r="SH45" s="4"/>
      <c r="SI45" s="4"/>
      <c r="SJ45" s="4"/>
      <c r="SK45" s="4"/>
      <c r="SL45" s="5"/>
      <c r="SM45" s="6"/>
      <c r="SN45" s="4"/>
      <c r="SO45" s="4"/>
      <c r="SP45" s="4"/>
      <c r="SQ45" s="4"/>
      <c r="SR45" s="4"/>
      <c r="SS45" s="5"/>
      <c r="ST45" s="6" t="s">
        <v>2978</v>
      </c>
      <c r="SU45" s="4" t="s">
        <v>2775</v>
      </c>
      <c r="SV45" s="4"/>
      <c r="SW45" s="4"/>
      <c r="SX45" s="8">
        <v>33814</v>
      </c>
      <c r="SY45" s="4"/>
      <c r="SZ45" s="5"/>
      <c r="TA45" s="6"/>
      <c r="TB45" s="4"/>
      <c r="TC45" s="4"/>
      <c r="TD45" s="4"/>
      <c r="TE45" s="4"/>
      <c r="TF45" s="4"/>
      <c r="TG45" s="5"/>
      <c r="TH45" s="6"/>
      <c r="TI45" s="4"/>
      <c r="TJ45" s="4"/>
      <c r="TK45" s="4"/>
      <c r="TL45" s="4"/>
      <c r="TM45" s="4"/>
      <c r="TN45" s="5"/>
      <c r="TO45" s="6"/>
      <c r="TP45" s="4"/>
      <c r="TQ45" s="4"/>
      <c r="TR45" s="4"/>
      <c r="TS45" s="4"/>
      <c r="TT45" s="4"/>
      <c r="TU45" s="5"/>
      <c r="TV45" s="6"/>
      <c r="TW45" s="4"/>
      <c r="TX45" s="4"/>
      <c r="TY45" s="4"/>
      <c r="TZ45" s="4"/>
      <c r="UA45" s="4"/>
      <c r="UB45" s="5"/>
      <c r="UC45" s="6"/>
      <c r="UD45" s="4"/>
      <c r="UE45" s="4"/>
      <c r="UF45" s="4"/>
      <c r="UG45" s="4"/>
      <c r="UH45" s="4"/>
      <c r="UI45" s="5"/>
      <c r="UJ45" s="6"/>
      <c r="UK45" s="4"/>
      <c r="UL45" s="4"/>
      <c r="UM45" s="4"/>
      <c r="UN45" s="4"/>
      <c r="UO45" s="4"/>
      <c r="UP45" s="5"/>
      <c r="UQ45" s="6"/>
      <c r="UR45" s="4"/>
      <c r="US45" s="4"/>
      <c r="UT45" s="4"/>
      <c r="UU45" s="4"/>
      <c r="UV45" s="4"/>
      <c r="UW45" s="5"/>
      <c r="UX45" s="6" t="s">
        <v>2445</v>
      </c>
      <c r="UY45" s="4" t="s">
        <v>2446</v>
      </c>
      <c r="UZ45" s="4" t="s">
        <v>2969</v>
      </c>
      <c r="VA45" s="4"/>
      <c r="VB45" s="4"/>
      <c r="VC45" s="4"/>
      <c r="VD45" s="5" t="s">
        <v>2968</v>
      </c>
      <c r="VE45" s="6"/>
      <c r="VF45" s="4"/>
      <c r="VG45" s="4"/>
      <c r="VH45" s="4"/>
      <c r="VI45" s="4"/>
      <c r="VJ45" s="4"/>
      <c r="VK45" s="5"/>
      <c r="VL45" s="6"/>
      <c r="VM45" s="4"/>
      <c r="VN45" s="4"/>
      <c r="VO45" s="4"/>
      <c r="VP45" s="4"/>
      <c r="VQ45" s="4"/>
      <c r="VR45" s="5"/>
      <c r="VS45" s="6"/>
      <c r="VT45" s="4"/>
      <c r="VU45" s="4"/>
      <c r="VV45" s="4"/>
      <c r="VW45" s="4"/>
      <c r="VX45" s="4"/>
      <c r="VY45" s="5"/>
      <c r="VZ45" s="6" t="s">
        <v>2970</v>
      </c>
      <c r="WA45" s="4" t="s">
        <v>2971</v>
      </c>
      <c r="WB45" s="4" t="s">
        <v>2111</v>
      </c>
      <c r="WC45" s="4"/>
      <c r="WD45" s="4"/>
      <c r="WE45" s="4"/>
      <c r="WF45" s="5"/>
      <c r="WG45" s="6"/>
      <c r="WH45" s="4"/>
      <c r="WI45" s="4"/>
      <c r="WJ45" s="4"/>
      <c r="WK45" s="4"/>
      <c r="WL45" s="4"/>
      <c r="WM45" s="5"/>
      <c r="WN45" s="6"/>
      <c r="WO45" s="4"/>
      <c r="WP45" s="4"/>
      <c r="WQ45" s="4"/>
      <c r="WR45" s="4"/>
      <c r="WS45" s="4"/>
      <c r="WT45" s="5"/>
      <c r="WU45" s="6"/>
      <c r="WV45" s="4"/>
      <c r="WW45" s="4"/>
      <c r="WX45" s="4"/>
      <c r="WY45" s="4"/>
      <c r="WZ45" s="4"/>
      <c r="XA45" s="5"/>
      <c r="XB45" s="6"/>
      <c r="XC45" s="4"/>
      <c r="XD45" s="4"/>
      <c r="XE45" s="4"/>
      <c r="XF45" s="4"/>
      <c r="XG45" s="4"/>
      <c r="XH45" s="5"/>
      <c r="XI45" s="6"/>
      <c r="XJ45" s="4"/>
      <c r="XK45" s="4"/>
      <c r="XL45" s="4"/>
      <c r="XM45" s="4"/>
      <c r="XN45" s="4"/>
      <c r="XO45" s="5"/>
      <c r="XP45" s="6"/>
      <c r="XQ45" s="4"/>
      <c r="XR45" s="4"/>
      <c r="XS45" s="4"/>
      <c r="XT45" s="4"/>
      <c r="XU45" s="4"/>
      <c r="XV45" s="5"/>
      <c r="XW45" s="6"/>
      <c r="XX45" s="4"/>
      <c r="XY45" s="4"/>
      <c r="XZ45" s="4"/>
      <c r="YA45" s="4"/>
      <c r="YB45" s="4"/>
      <c r="YC45" s="5"/>
      <c r="YD45" s="6"/>
      <c r="YE45" s="4"/>
      <c r="YF45" s="4"/>
      <c r="YG45" s="4"/>
      <c r="YH45" s="4"/>
      <c r="YI45" s="4"/>
      <c r="YJ45" s="5"/>
      <c r="YK45" s="6" t="s">
        <v>2645</v>
      </c>
      <c r="YL45" s="4" t="s">
        <v>2646</v>
      </c>
      <c r="YM45" s="4" t="s">
        <v>2647</v>
      </c>
      <c r="YN45" s="4"/>
      <c r="YO45" s="4"/>
      <c r="YP45" s="8">
        <v>33809</v>
      </c>
      <c r="YQ45" s="5"/>
      <c r="YR45" s="6"/>
      <c r="YS45" s="4"/>
      <c r="YT45" s="4"/>
      <c r="YU45" s="4"/>
      <c r="YV45" s="4"/>
      <c r="YW45" s="4"/>
      <c r="YX45" s="5"/>
      <c r="YY45" s="6"/>
      <c r="YZ45" s="4"/>
      <c r="ZA45" s="4"/>
      <c r="ZB45" s="4"/>
      <c r="ZC45" s="4"/>
      <c r="ZD45" s="4"/>
      <c r="ZE45" s="5"/>
      <c r="ZF45" s="6"/>
      <c r="ZG45" s="4"/>
      <c r="ZH45" s="4"/>
      <c r="ZI45" s="4"/>
      <c r="ZJ45" s="4"/>
      <c r="ZK45" s="4"/>
      <c r="ZL45" s="5"/>
      <c r="ZM45" s="6" t="s">
        <v>2979</v>
      </c>
      <c r="ZN45" s="4" t="s">
        <v>2706</v>
      </c>
      <c r="ZO45" s="4" t="s">
        <v>2427</v>
      </c>
      <c r="ZP45" s="4"/>
      <c r="ZQ45" s="8">
        <v>33809</v>
      </c>
      <c r="ZR45" s="4"/>
      <c r="ZS45" s="5"/>
      <c r="ZT45" s="6"/>
      <c r="ZU45" s="4"/>
      <c r="ZV45" s="4"/>
      <c r="ZW45" s="4"/>
      <c r="ZX45" s="4"/>
      <c r="ZY45" s="4"/>
      <c r="ZZ45" s="5"/>
      <c r="AAA45" s="6"/>
      <c r="AAB45" s="4"/>
      <c r="AAC45" s="4"/>
      <c r="AAD45" s="4"/>
      <c r="AAE45" s="4"/>
      <c r="AAF45" s="4"/>
      <c r="AAG45" s="5"/>
      <c r="AAH45" s="6"/>
      <c r="AAI45" s="4"/>
      <c r="AAJ45" s="4"/>
      <c r="AAK45" s="4"/>
      <c r="AAL45" s="4"/>
      <c r="AAM45" s="4"/>
      <c r="AAN45" s="5"/>
      <c r="AAO45" s="6"/>
      <c r="AAP45" s="4"/>
      <c r="AAQ45" s="4"/>
      <c r="AAR45" s="4"/>
      <c r="AAS45" s="4"/>
      <c r="AAT45" s="4"/>
      <c r="AAU45" s="5"/>
      <c r="AAV45" s="6"/>
      <c r="AAW45" s="4"/>
      <c r="AAX45" s="4"/>
      <c r="AAY45" s="4"/>
      <c r="AAZ45" s="4"/>
      <c r="ABA45" s="4"/>
      <c r="ABB45" s="5"/>
      <c r="ABC45" s="6"/>
      <c r="ABD45" s="4"/>
      <c r="ABE45" s="4"/>
      <c r="ABF45" s="4"/>
      <c r="ABG45" s="4"/>
      <c r="ABH45" s="4"/>
      <c r="ABI45" s="5"/>
      <c r="ABJ45" s="6"/>
      <c r="ABK45" s="4"/>
      <c r="ABL45" s="4"/>
      <c r="ABM45" s="4"/>
      <c r="ABN45" s="4"/>
      <c r="ABO45" s="4"/>
      <c r="ABP45" s="5"/>
      <c r="ABQ45" s="6" t="s">
        <v>3117</v>
      </c>
      <c r="ABR45" s="4" t="s">
        <v>2976</v>
      </c>
      <c r="ABS45" s="4" t="s">
        <v>2977</v>
      </c>
      <c r="ABT45" s="4"/>
      <c r="ABU45" s="4"/>
      <c r="ABV45" s="8">
        <v>33819</v>
      </c>
      <c r="ABW45" s="5"/>
      <c r="ABX45" s="6"/>
      <c r="ABY45" s="4"/>
      <c r="ABZ45" s="4"/>
      <c r="ACA45" s="4"/>
      <c r="ACB45" s="4"/>
      <c r="ACC45" s="4"/>
      <c r="ACD45" s="5"/>
      <c r="ACE45" s="6"/>
      <c r="ACF45" s="4"/>
      <c r="ACG45" s="4"/>
      <c r="ACH45" s="4"/>
      <c r="ACI45" s="4"/>
      <c r="ACJ45" s="4"/>
      <c r="ACK45" s="5"/>
      <c r="ACL45" s="6"/>
      <c r="ACM45" s="4"/>
      <c r="ACN45" s="4"/>
      <c r="ACO45" s="4"/>
      <c r="ACP45" s="4"/>
      <c r="ACQ45" s="4"/>
      <c r="ACR45" s="5"/>
      <c r="ACS45" s="6"/>
      <c r="ACT45" s="4"/>
      <c r="ACU45" s="4"/>
      <c r="ACV45" s="4"/>
      <c r="ACW45" s="4"/>
      <c r="ACX45" s="4"/>
      <c r="ACY45" s="5"/>
      <c r="ADO45" t="s">
        <v>1483</v>
      </c>
      <c r="ADY45" t="s">
        <v>1465</v>
      </c>
    </row>
    <row r="46" spans="2:816" x14ac:dyDescent="0.25">
      <c r="B46" s="30"/>
      <c r="J46" s="12"/>
      <c r="K46" s="12"/>
      <c r="L46" s="12"/>
      <c r="LL46" s="6"/>
      <c r="LM46" s="4"/>
      <c r="LN46" s="4"/>
      <c r="LO46" s="4"/>
      <c r="LP46" s="4"/>
      <c r="LQ46" s="4"/>
      <c r="LR46" s="5"/>
      <c r="LS46" s="6"/>
      <c r="LT46" s="4"/>
      <c r="LU46" s="4"/>
      <c r="LV46" s="4"/>
      <c r="LW46" s="4"/>
      <c r="LX46" s="4"/>
      <c r="LY46" s="5"/>
      <c r="LZ46" s="6" t="s">
        <v>2515</v>
      </c>
      <c r="MA46" s="7" t="s">
        <v>2516</v>
      </c>
      <c r="MB46" s="4" t="s">
        <v>2743</v>
      </c>
      <c r="MC46" s="7" t="s">
        <v>2702</v>
      </c>
      <c r="MD46" s="8">
        <v>33812</v>
      </c>
      <c r="ME46" s="8">
        <v>33813</v>
      </c>
      <c r="MF46" s="8"/>
      <c r="MG46" s="5"/>
      <c r="MH46" s="6"/>
      <c r="MI46" s="4"/>
      <c r="MJ46" s="4"/>
      <c r="MK46" s="4"/>
      <c r="ML46" s="4"/>
      <c r="MM46" s="4"/>
      <c r="MN46" s="5"/>
      <c r="MO46" s="6"/>
      <c r="MP46" s="4"/>
      <c r="MQ46" s="4"/>
      <c r="MR46" s="4"/>
      <c r="MS46" s="4"/>
      <c r="MT46" s="4"/>
      <c r="MU46" s="5"/>
      <c r="MV46" s="6"/>
      <c r="MW46" s="4"/>
      <c r="MX46" s="4"/>
      <c r="MY46" s="4"/>
      <c r="MZ46" s="4"/>
      <c r="NA46" s="4"/>
      <c r="NB46" s="5"/>
      <c r="NC46" s="6"/>
      <c r="ND46" s="4"/>
      <c r="NE46" s="4"/>
      <c r="NF46" s="4"/>
      <c r="NG46" s="4"/>
      <c r="NH46" s="4"/>
      <c r="NI46" s="5"/>
      <c r="NJ46" s="6"/>
      <c r="NK46" s="4"/>
      <c r="NL46" s="4"/>
      <c r="NM46" s="4"/>
      <c r="NN46" s="4"/>
      <c r="NO46" s="4"/>
      <c r="NP46" s="5"/>
      <c r="NQ46" s="6"/>
      <c r="NR46" s="4"/>
      <c r="NS46" s="4"/>
      <c r="NT46" s="4"/>
      <c r="NU46" s="4"/>
      <c r="NV46" s="4"/>
      <c r="NW46" s="5"/>
      <c r="NX46" s="6"/>
      <c r="NY46" s="4"/>
      <c r="NZ46" s="4"/>
      <c r="OA46" s="4"/>
      <c r="OB46" s="4"/>
      <c r="OC46" s="4"/>
      <c r="OD46" s="5"/>
      <c r="OE46" s="6"/>
      <c r="OF46" s="4"/>
      <c r="OG46" s="4"/>
      <c r="OH46" s="4"/>
      <c r="OI46" s="4"/>
      <c r="OJ46" s="4"/>
      <c r="OK46" s="5"/>
      <c r="OL46" s="6"/>
      <c r="OM46" s="4"/>
      <c r="ON46" s="4"/>
      <c r="OO46" s="4"/>
      <c r="OP46" s="4"/>
      <c r="OQ46" s="4"/>
      <c r="OR46" s="5"/>
      <c r="OS46" s="6"/>
      <c r="OT46" s="4"/>
      <c r="OU46" s="4"/>
      <c r="OV46" s="4"/>
      <c r="OW46" s="4"/>
      <c r="OX46" s="4"/>
      <c r="OY46" s="5"/>
      <c r="OZ46" s="6"/>
      <c r="PA46" s="4"/>
      <c r="PB46" s="4"/>
      <c r="PC46" s="4"/>
      <c r="PD46" s="4"/>
      <c r="PE46" s="4"/>
      <c r="PF46" s="5"/>
      <c r="PG46" s="6"/>
      <c r="PH46" s="4"/>
      <c r="PI46" s="4"/>
      <c r="PJ46" s="4"/>
      <c r="PK46" s="4"/>
      <c r="PL46" s="4"/>
      <c r="PM46" s="5"/>
      <c r="PN46" s="6"/>
      <c r="PO46" s="4"/>
      <c r="PP46" s="4"/>
      <c r="PQ46" s="4"/>
      <c r="PR46" s="4"/>
      <c r="PS46" s="4"/>
      <c r="PT46" s="5"/>
      <c r="PU46" s="6"/>
      <c r="PV46" s="4"/>
      <c r="PW46" s="4"/>
      <c r="PX46" s="4"/>
      <c r="PY46" s="4"/>
      <c r="PZ46" s="4"/>
      <c r="QA46" s="5"/>
      <c r="QB46" s="6"/>
      <c r="QC46" s="4"/>
      <c r="QD46" s="4"/>
      <c r="QE46" s="4"/>
      <c r="QF46" s="4"/>
      <c r="QG46" s="4"/>
      <c r="QH46" s="5"/>
      <c r="QI46" s="6"/>
      <c r="QJ46" s="4"/>
      <c r="QK46" s="4"/>
      <c r="QL46" s="4"/>
      <c r="QM46" s="4"/>
      <c r="QN46" s="4"/>
      <c r="QO46" s="5"/>
      <c r="QP46" s="6"/>
      <c r="QQ46" s="4"/>
      <c r="QR46" s="4"/>
      <c r="QS46" s="4"/>
      <c r="QT46" s="4"/>
      <c r="QU46" s="4"/>
      <c r="QV46" s="5"/>
      <c r="QW46" s="6"/>
      <c r="QX46" s="4"/>
      <c r="QY46" s="4"/>
      <c r="QZ46" s="4"/>
      <c r="RA46" s="4"/>
      <c r="RB46" s="4"/>
      <c r="RC46" s="5"/>
      <c r="RD46" s="6"/>
      <c r="RE46" s="4"/>
      <c r="RF46" s="4"/>
      <c r="RG46" s="4"/>
      <c r="RH46" s="4"/>
      <c r="RI46" s="4"/>
      <c r="RJ46" s="5"/>
      <c r="RK46" s="6"/>
      <c r="RL46" s="4"/>
      <c r="RM46" s="4"/>
      <c r="RN46" s="4"/>
      <c r="RO46" s="4"/>
      <c r="RP46" s="4"/>
      <c r="RQ46" s="5"/>
      <c r="RR46" s="6"/>
      <c r="RS46" s="4"/>
      <c r="RT46" s="4"/>
      <c r="RU46" s="4"/>
      <c r="RV46" s="4"/>
      <c r="RW46" s="4"/>
      <c r="RX46" s="5"/>
      <c r="RY46" s="6"/>
      <c r="RZ46" s="4"/>
      <c r="SA46" s="4"/>
      <c r="SB46" s="4"/>
      <c r="SC46" s="4"/>
      <c r="SD46" s="4"/>
      <c r="SE46" s="5"/>
      <c r="SF46" s="6"/>
      <c r="SG46" s="4"/>
      <c r="SH46" s="4"/>
      <c r="SI46" s="4"/>
      <c r="SJ46" s="4"/>
      <c r="SK46" s="4"/>
      <c r="SL46" s="5"/>
      <c r="SM46" s="6"/>
      <c r="SN46" s="4"/>
      <c r="SO46" s="4"/>
      <c r="SP46" s="4"/>
      <c r="SQ46" s="4"/>
      <c r="SR46" s="4"/>
      <c r="SS46" s="5"/>
      <c r="ST46" s="6"/>
      <c r="SU46" s="4"/>
      <c r="SV46" s="4"/>
      <c r="SW46" s="4"/>
      <c r="SX46" s="4"/>
      <c r="SY46" s="4"/>
      <c r="SZ46" s="5"/>
      <c r="TA46" s="6"/>
      <c r="TB46" s="4"/>
      <c r="TC46" s="4"/>
      <c r="TD46" s="4"/>
      <c r="TE46" s="4"/>
      <c r="TF46" s="4"/>
      <c r="TG46" s="5"/>
      <c r="TH46" s="6"/>
      <c r="TI46" s="4"/>
      <c r="TJ46" s="4"/>
      <c r="TK46" s="4"/>
      <c r="TL46" s="4"/>
      <c r="TM46" s="4"/>
      <c r="TN46" s="5"/>
      <c r="TO46" s="6"/>
      <c r="TP46" s="4"/>
      <c r="TQ46" s="4"/>
      <c r="TR46" s="4"/>
      <c r="TS46" s="4"/>
      <c r="TT46" s="4"/>
      <c r="TU46" s="5"/>
      <c r="TV46" s="6"/>
      <c r="TW46" s="4"/>
      <c r="TX46" s="4"/>
      <c r="TY46" s="4"/>
      <c r="TZ46" s="4"/>
      <c r="UA46" s="4"/>
      <c r="UB46" s="5"/>
      <c r="UC46" s="6"/>
      <c r="UD46" s="4"/>
      <c r="UE46" s="4"/>
      <c r="UF46" s="4"/>
      <c r="UG46" s="4"/>
      <c r="UH46" s="4"/>
      <c r="UI46" s="5"/>
      <c r="UJ46" s="6"/>
      <c r="UK46" s="4"/>
      <c r="UL46" s="4"/>
      <c r="UM46" s="4"/>
      <c r="UN46" s="4"/>
      <c r="UO46" s="4"/>
      <c r="UP46" s="5"/>
      <c r="UQ46" s="6"/>
      <c r="UR46" s="4"/>
      <c r="US46" s="4"/>
      <c r="UT46" s="4"/>
      <c r="UU46" s="4"/>
      <c r="UV46" s="4"/>
      <c r="UW46" s="5"/>
      <c r="UX46" s="6"/>
      <c r="UY46" s="4"/>
      <c r="UZ46" s="4"/>
      <c r="VA46" s="4"/>
      <c r="VB46" s="4"/>
      <c r="VC46" s="4"/>
      <c r="VD46" s="5"/>
      <c r="VE46" s="6"/>
      <c r="VF46" s="4"/>
      <c r="VG46" s="4"/>
      <c r="VH46" s="4"/>
      <c r="VI46" s="4"/>
      <c r="VJ46" s="4"/>
      <c r="VK46" s="5"/>
      <c r="VL46" s="6"/>
      <c r="VM46" s="4"/>
      <c r="VN46" s="4"/>
      <c r="VO46" s="4"/>
      <c r="VP46" s="4"/>
      <c r="VQ46" s="4"/>
      <c r="VR46" s="5"/>
      <c r="VS46" s="6"/>
      <c r="VT46" s="4"/>
      <c r="VU46" s="4"/>
      <c r="VV46" s="4"/>
      <c r="VW46" s="4"/>
      <c r="VX46" s="4"/>
      <c r="VY46" s="5"/>
      <c r="VZ46" s="6"/>
      <c r="WA46" s="4"/>
      <c r="WB46" s="4"/>
      <c r="WC46" s="4"/>
      <c r="WD46" s="4"/>
      <c r="WE46" s="4"/>
      <c r="WF46" s="5"/>
      <c r="WG46" s="6"/>
      <c r="WH46" s="4"/>
      <c r="WI46" s="4"/>
      <c r="WJ46" s="4"/>
      <c r="WK46" s="4"/>
      <c r="WL46" s="4"/>
      <c r="WM46" s="5"/>
      <c r="WN46" s="6"/>
      <c r="WO46" s="4"/>
      <c r="WP46" s="4"/>
      <c r="WQ46" s="4"/>
      <c r="WR46" s="4"/>
      <c r="WS46" s="4"/>
      <c r="WT46" s="5"/>
      <c r="WU46" s="6"/>
      <c r="WV46" s="4"/>
      <c r="WW46" s="4"/>
      <c r="WX46" s="4"/>
      <c r="WY46" s="4"/>
      <c r="WZ46" s="4"/>
      <c r="XA46" s="5"/>
      <c r="XB46" s="6"/>
      <c r="XC46" s="4"/>
      <c r="XD46" s="4"/>
      <c r="XE46" s="4"/>
      <c r="XF46" s="4"/>
      <c r="XG46" s="4"/>
      <c r="XH46" s="5"/>
      <c r="XI46" s="6"/>
      <c r="XJ46" s="4"/>
      <c r="XK46" s="4"/>
      <c r="XL46" s="4"/>
      <c r="XM46" s="4"/>
      <c r="XN46" s="4"/>
      <c r="XO46" s="5"/>
      <c r="XP46" s="6"/>
      <c r="XQ46" s="4"/>
      <c r="XR46" s="4"/>
      <c r="XS46" s="4"/>
      <c r="XT46" s="4"/>
      <c r="XU46" s="4"/>
      <c r="XV46" s="5"/>
      <c r="XW46" s="6"/>
      <c r="XX46" s="4"/>
      <c r="XY46" s="4"/>
      <c r="XZ46" s="4"/>
      <c r="YA46" s="4"/>
      <c r="YB46" s="4"/>
      <c r="YC46" s="5"/>
      <c r="YD46" s="6"/>
      <c r="YE46" s="4"/>
      <c r="YF46" s="4"/>
      <c r="YG46" s="4"/>
      <c r="YH46" s="4"/>
      <c r="YI46" s="4"/>
      <c r="YJ46" s="5"/>
      <c r="YK46" s="6" t="s">
        <v>2648</v>
      </c>
      <c r="YL46" s="4" t="s">
        <v>2649</v>
      </c>
      <c r="YM46" s="4"/>
      <c r="YN46" s="4" t="s">
        <v>2650</v>
      </c>
      <c r="YO46" s="8">
        <v>33812</v>
      </c>
      <c r="YP46" s="8">
        <v>33814</v>
      </c>
      <c r="YQ46" s="5"/>
      <c r="YR46" s="6"/>
      <c r="YS46" s="4"/>
      <c r="YT46" s="4"/>
      <c r="YU46" s="4"/>
      <c r="YV46" s="4"/>
      <c r="YW46" s="4"/>
      <c r="YX46" s="5"/>
      <c r="YY46" s="6"/>
      <c r="YZ46" s="4"/>
      <c r="ZA46" s="4"/>
      <c r="ZB46" s="4"/>
      <c r="ZC46" s="4"/>
      <c r="ZD46" s="4"/>
      <c r="ZE46" s="5"/>
      <c r="ZF46" s="6"/>
      <c r="ZG46" s="4"/>
      <c r="ZH46" s="4"/>
      <c r="ZI46" s="4"/>
      <c r="ZJ46" s="4"/>
      <c r="ZK46" s="4"/>
      <c r="ZL46" s="5"/>
      <c r="ZM46" s="6"/>
      <c r="ZN46" s="4"/>
      <c r="ZO46" s="4"/>
      <c r="ZP46" s="4"/>
      <c r="ZQ46" s="4"/>
      <c r="ZR46" s="4"/>
      <c r="ZS46" s="5"/>
      <c r="ZT46" s="6"/>
      <c r="ZU46" s="4"/>
      <c r="ZV46" s="4"/>
      <c r="ZW46" s="4"/>
      <c r="ZX46" s="4"/>
      <c r="ZY46" s="4"/>
      <c r="ZZ46" s="5"/>
      <c r="AAA46" s="6"/>
      <c r="AAB46" s="4"/>
      <c r="AAC46" s="4"/>
      <c r="AAD46" s="4"/>
      <c r="AAE46" s="4"/>
      <c r="AAF46" s="4"/>
      <c r="AAG46" s="5"/>
      <c r="AAH46" s="6"/>
      <c r="AAI46" s="4"/>
      <c r="AAJ46" s="4"/>
      <c r="AAK46" s="4"/>
      <c r="AAL46" s="4"/>
      <c r="AAM46" s="4"/>
      <c r="AAN46" s="5"/>
      <c r="AAO46" s="6"/>
      <c r="AAP46" s="4"/>
      <c r="AAQ46" s="4"/>
      <c r="AAR46" s="4"/>
      <c r="AAS46" s="4"/>
      <c r="AAT46" s="4"/>
      <c r="AAU46" s="5"/>
      <c r="AAV46" s="6"/>
      <c r="AAW46" s="4"/>
      <c r="AAX46" s="4"/>
      <c r="AAY46" s="4"/>
      <c r="AAZ46" s="4"/>
      <c r="ABA46" s="4"/>
      <c r="ABB46" s="5"/>
      <c r="ABC46" s="6"/>
      <c r="ABD46" s="4"/>
      <c r="ABE46" s="4"/>
      <c r="ABF46" s="4"/>
      <c r="ABG46" s="4"/>
      <c r="ABH46" s="4"/>
      <c r="ABI46" s="5"/>
      <c r="ABJ46" s="6"/>
      <c r="ABK46" s="4"/>
      <c r="ABL46" s="4"/>
      <c r="ABM46" s="4"/>
      <c r="ABN46" s="4"/>
      <c r="ABO46" s="4"/>
      <c r="ABP46" s="5"/>
      <c r="ABQ46" s="6"/>
      <c r="ABR46" s="4"/>
      <c r="ABS46" s="4"/>
      <c r="ABT46" s="4"/>
      <c r="ABU46" s="4"/>
      <c r="ABV46" s="4"/>
      <c r="ABW46" s="5"/>
      <c r="ABX46" s="6"/>
      <c r="ABY46" s="4"/>
      <c r="ABZ46" s="4"/>
      <c r="ACA46" s="4"/>
      <c r="ACB46" s="4"/>
      <c r="ACC46" s="4"/>
      <c r="ACD46" s="5"/>
      <c r="ACE46" s="6"/>
      <c r="ACF46" s="4"/>
      <c r="ACG46" s="4"/>
      <c r="ACH46" s="4"/>
      <c r="ACI46" s="4"/>
      <c r="ACJ46" s="4"/>
      <c r="ACK46" s="5"/>
      <c r="ACL46" s="6"/>
      <c r="ACM46" s="4"/>
      <c r="ACN46" s="4"/>
      <c r="ACO46" s="4"/>
      <c r="ACP46" s="4"/>
      <c r="ACQ46" s="4"/>
      <c r="ACR46" s="5"/>
      <c r="ACS46" s="6"/>
      <c r="ACT46" s="4"/>
      <c r="ACU46" s="4"/>
      <c r="ACV46" s="4"/>
      <c r="ACW46" s="4"/>
      <c r="ACX46" s="4"/>
      <c r="ACY46" s="5"/>
    </row>
    <row r="47" spans="2:816" x14ac:dyDescent="0.25">
      <c r="B47" s="30"/>
      <c r="J47" s="12"/>
      <c r="K47" s="12"/>
      <c r="L47" s="12"/>
      <c r="LL47" s="6"/>
      <c r="LM47" s="4"/>
      <c r="LN47" s="4"/>
      <c r="LO47" s="4"/>
      <c r="LP47" s="4"/>
      <c r="LQ47" s="4"/>
      <c r="LR47" s="5"/>
      <c r="LS47" s="6"/>
      <c r="LT47" s="4"/>
      <c r="LU47" s="4"/>
      <c r="LV47" s="4"/>
      <c r="LW47" s="4"/>
      <c r="LX47" s="4"/>
      <c r="LY47" s="5"/>
      <c r="LZ47" s="6" t="s">
        <v>2605</v>
      </c>
      <c r="MA47" s="7" t="s">
        <v>2605</v>
      </c>
      <c r="MB47" s="4" t="s">
        <v>2111</v>
      </c>
      <c r="MC47" s="7" t="s">
        <v>2744</v>
      </c>
      <c r="MD47" s="8">
        <v>33807</v>
      </c>
      <c r="ME47" s="8">
        <v>33815</v>
      </c>
      <c r="MF47" s="8"/>
      <c r="MG47" s="5" t="s">
        <v>2677</v>
      </c>
      <c r="MH47" s="6"/>
      <c r="MI47" s="4"/>
      <c r="MJ47" s="4"/>
      <c r="MK47" s="4"/>
      <c r="ML47" s="4"/>
      <c r="MM47" s="4"/>
      <c r="MN47" s="5"/>
      <c r="MO47" s="6"/>
      <c r="MP47" s="4"/>
      <c r="MQ47" s="4"/>
      <c r="MR47" s="4"/>
      <c r="MS47" s="4"/>
      <c r="MT47" s="4"/>
      <c r="MU47" s="5"/>
      <c r="MV47" s="6"/>
      <c r="MW47" s="4"/>
      <c r="MX47" s="4"/>
      <c r="MY47" s="4"/>
      <c r="MZ47" s="4"/>
      <c r="NA47" s="4"/>
      <c r="NB47" s="5"/>
      <c r="NC47" s="6"/>
      <c r="ND47" s="4"/>
      <c r="NE47" s="4"/>
      <c r="NF47" s="4"/>
      <c r="NG47" s="4"/>
      <c r="NH47" s="4"/>
      <c r="NI47" s="5"/>
      <c r="NJ47" s="6"/>
      <c r="NK47" s="4"/>
      <c r="NL47" s="4"/>
      <c r="NM47" s="4"/>
      <c r="NN47" s="4"/>
      <c r="NO47" s="4"/>
      <c r="NP47" s="5"/>
      <c r="NQ47" s="6"/>
      <c r="NR47" s="4"/>
      <c r="NS47" s="4"/>
      <c r="NT47" s="4"/>
      <c r="NU47" s="4"/>
      <c r="NV47" s="4"/>
      <c r="NW47" s="5"/>
      <c r="NX47" s="6"/>
      <c r="NY47" s="4"/>
      <c r="NZ47" s="4"/>
      <c r="OA47" s="4"/>
      <c r="OB47" s="4"/>
      <c r="OC47" s="4"/>
      <c r="OD47" s="5"/>
      <c r="OE47" s="6"/>
      <c r="OF47" s="4"/>
      <c r="OG47" s="4"/>
      <c r="OH47" s="4"/>
      <c r="OI47" s="4"/>
      <c r="OJ47" s="4"/>
      <c r="OK47" s="5"/>
      <c r="OL47" s="6"/>
      <c r="OM47" s="4"/>
      <c r="ON47" s="4"/>
      <c r="OO47" s="4"/>
      <c r="OP47" s="4"/>
      <c r="OQ47" s="4"/>
      <c r="OR47" s="5"/>
      <c r="OS47" s="6"/>
      <c r="OT47" s="4"/>
      <c r="OU47" s="4"/>
      <c r="OV47" s="4"/>
      <c r="OW47" s="4"/>
      <c r="OX47" s="4"/>
      <c r="OY47" s="5"/>
      <c r="OZ47" s="6"/>
      <c r="PA47" s="4"/>
      <c r="PB47" s="4"/>
      <c r="PC47" s="4"/>
      <c r="PD47" s="4"/>
      <c r="PE47" s="4"/>
      <c r="PF47" s="5"/>
      <c r="PG47" s="6"/>
      <c r="PH47" s="4"/>
      <c r="PI47" s="4"/>
      <c r="PJ47" s="4"/>
      <c r="PK47" s="4"/>
      <c r="PL47" s="4"/>
      <c r="PM47" s="5"/>
      <c r="PN47" s="6"/>
      <c r="PO47" s="4"/>
      <c r="PP47" s="4"/>
      <c r="PQ47" s="4"/>
      <c r="PR47" s="4"/>
      <c r="PS47" s="4"/>
      <c r="PT47" s="5"/>
      <c r="PU47" s="6"/>
      <c r="PV47" s="4"/>
      <c r="PW47" s="4"/>
      <c r="PX47" s="4"/>
      <c r="PY47" s="4"/>
      <c r="PZ47" s="4"/>
      <c r="QA47" s="5"/>
      <c r="QB47" s="6"/>
      <c r="QC47" s="4"/>
      <c r="QD47" s="4"/>
      <c r="QE47" s="4"/>
      <c r="QF47" s="4"/>
      <c r="QG47" s="4"/>
      <c r="QH47" s="5"/>
      <c r="QI47" s="6"/>
      <c r="QJ47" s="4"/>
      <c r="QK47" s="4"/>
      <c r="QL47" s="4"/>
      <c r="QM47" s="4"/>
      <c r="QN47" s="4"/>
      <c r="QO47" s="5"/>
      <c r="QP47" s="6"/>
      <c r="QQ47" s="4"/>
      <c r="QR47" s="4"/>
      <c r="QS47" s="4"/>
      <c r="QT47" s="4"/>
      <c r="QU47" s="4"/>
      <c r="QV47" s="5"/>
      <c r="QW47" s="6"/>
      <c r="QX47" s="4"/>
      <c r="QY47" s="4"/>
      <c r="QZ47" s="4"/>
      <c r="RA47" s="4"/>
      <c r="RB47" s="4"/>
      <c r="RC47" s="5"/>
      <c r="RD47" s="6"/>
      <c r="RE47" s="4"/>
      <c r="RF47" s="4"/>
      <c r="RG47" s="4"/>
      <c r="RH47" s="4"/>
      <c r="RI47" s="4"/>
      <c r="RJ47" s="5"/>
      <c r="RK47" s="6"/>
      <c r="RL47" s="4"/>
      <c r="RM47" s="4"/>
      <c r="RN47" s="4"/>
      <c r="RO47" s="4"/>
      <c r="RP47" s="4"/>
      <c r="RQ47" s="5"/>
      <c r="RR47" s="6"/>
      <c r="RS47" s="4"/>
      <c r="RT47" s="4"/>
      <c r="RU47" s="4"/>
      <c r="RV47" s="4"/>
      <c r="RW47" s="4"/>
      <c r="RX47" s="5"/>
      <c r="RY47" s="6"/>
      <c r="RZ47" s="4"/>
      <c r="SA47" s="4"/>
      <c r="SB47" s="4"/>
      <c r="SC47" s="4"/>
      <c r="SD47" s="4"/>
      <c r="SE47" s="5"/>
      <c r="SF47" s="6"/>
      <c r="SG47" s="4"/>
      <c r="SH47" s="4"/>
      <c r="SI47" s="4"/>
      <c r="SJ47" s="4"/>
      <c r="SK47" s="4"/>
      <c r="SL47" s="5"/>
      <c r="SM47" s="6"/>
      <c r="SN47" s="4"/>
      <c r="SO47" s="4"/>
      <c r="SP47" s="4"/>
      <c r="SQ47" s="4"/>
      <c r="SR47" s="4"/>
      <c r="SS47" s="5"/>
      <c r="ST47" s="6"/>
      <c r="SU47" s="4"/>
      <c r="SV47" s="4"/>
      <c r="SW47" s="4"/>
      <c r="SX47" s="4"/>
      <c r="SY47" s="4"/>
      <c r="SZ47" s="5"/>
      <c r="TA47" s="6"/>
      <c r="TB47" s="4"/>
      <c r="TC47" s="4"/>
      <c r="TD47" s="4"/>
      <c r="TE47" s="4"/>
      <c r="TF47" s="4"/>
      <c r="TG47" s="5"/>
      <c r="TH47" s="6"/>
      <c r="TI47" s="4"/>
      <c r="TJ47" s="4"/>
      <c r="TK47" s="4"/>
      <c r="TL47" s="4"/>
      <c r="TM47" s="4"/>
      <c r="TN47" s="5"/>
      <c r="TO47" s="6"/>
      <c r="TP47" s="4"/>
      <c r="TQ47" s="4"/>
      <c r="TR47" s="4"/>
      <c r="TS47" s="4"/>
      <c r="TT47" s="4"/>
      <c r="TU47" s="5"/>
      <c r="TV47" s="6"/>
      <c r="TW47" s="4"/>
      <c r="TX47" s="4"/>
      <c r="TY47" s="4"/>
      <c r="TZ47" s="4"/>
      <c r="UA47" s="4"/>
      <c r="UB47" s="5"/>
      <c r="UC47" s="6"/>
      <c r="UD47" s="4"/>
      <c r="UE47" s="4"/>
      <c r="UF47" s="4"/>
      <c r="UG47" s="4"/>
      <c r="UH47" s="4"/>
      <c r="UI47" s="5"/>
      <c r="UJ47" s="6"/>
      <c r="UK47" s="4"/>
      <c r="UL47" s="4"/>
      <c r="UM47" s="4"/>
      <c r="UN47" s="4"/>
      <c r="UO47" s="4"/>
      <c r="UP47" s="5"/>
      <c r="UQ47" s="6"/>
      <c r="UR47" s="4"/>
      <c r="US47" s="4"/>
      <c r="UT47" s="4"/>
      <c r="UU47" s="4"/>
      <c r="UV47" s="4"/>
      <c r="UW47" s="5"/>
      <c r="UX47" s="6"/>
      <c r="UY47" s="4"/>
      <c r="UZ47" s="4"/>
      <c r="VA47" s="4"/>
      <c r="VB47" s="4"/>
      <c r="VC47" s="4"/>
      <c r="VD47" s="5"/>
      <c r="VE47" s="6"/>
      <c r="VF47" s="4"/>
      <c r="VG47" s="4"/>
      <c r="VH47" s="4"/>
      <c r="VI47" s="4"/>
      <c r="VJ47" s="4"/>
      <c r="VK47" s="5"/>
      <c r="VL47" s="6"/>
      <c r="VM47" s="4"/>
      <c r="VN47" s="4"/>
      <c r="VO47" s="4"/>
      <c r="VP47" s="4"/>
      <c r="VQ47" s="4"/>
      <c r="VR47" s="5"/>
      <c r="VS47" s="6"/>
      <c r="VT47" s="4"/>
      <c r="VU47" s="4"/>
      <c r="VV47" s="4"/>
      <c r="VW47" s="4"/>
      <c r="VX47" s="4"/>
      <c r="VY47" s="5"/>
      <c r="VZ47" s="6"/>
      <c r="WA47" s="4"/>
      <c r="WB47" s="4"/>
      <c r="WC47" s="4"/>
      <c r="WD47" s="4"/>
      <c r="WE47" s="4"/>
      <c r="WF47" s="5"/>
      <c r="WG47" s="6"/>
      <c r="WH47" s="4"/>
      <c r="WI47" s="4"/>
      <c r="WJ47" s="4"/>
      <c r="WK47" s="4"/>
      <c r="WL47" s="4"/>
      <c r="WM47" s="5"/>
      <c r="WN47" s="6"/>
      <c r="WO47" s="4"/>
      <c r="WP47" s="4"/>
      <c r="WQ47" s="4"/>
      <c r="WR47" s="4"/>
      <c r="WS47" s="4"/>
      <c r="WT47" s="5"/>
      <c r="WU47" s="6"/>
      <c r="WV47" s="4"/>
      <c r="WW47" s="4"/>
      <c r="WX47" s="4"/>
      <c r="WY47" s="4"/>
      <c r="WZ47" s="4"/>
      <c r="XA47" s="5"/>
      <c r="XB47" s="6"/>
      <c r="XC47" s="4"/>
      <c r="XD47" s="4"/>
      <c r="XE47" s="4"/>
      <c r="XF47" s="4"/>
      <c r="XG47" s="4"/>
      <c r="XH47" s="5"/>
      <c r="XI47" s="6"/>
      <c r="XJ47" s="4"/>
      <c r="XK47" s="4"/>
      <c r="XL47" s="4"/>
      <c r="XM47" s="4"/>
      <c r="XN47" s="4"/>
      <c r="XO47" s="5"/>
      <c r="XP47" s="6"/>
      <c r="XQ47" s="4"/>
      <c r="XR47" s="4"/>
      <c r="XS47" s="4"/>
      <c r="XT47" s="4"/>
      <c r="XU47" s="4"/>
      <c r="XV47" s="5"/>
      <c r="XW47" s="6"/>
      <c r="XX47" s="4"/>
      <c r="XY47" s="4"/>
      <c r="XZ47" s="4"/>
      <c r="YA47" s="4"/>
      <c r="YB47" s="4"/>
      <c r="YC47" s="5"/>
      <c r="YD47" s="6"/>
      <c r="YE47" s="4"/>
      <c r="YF47" s="4"/>
      <c r="YG47" s="4"/>
      <c r="YH47" s="4"/>
      <c r="YI47" s="4"/>
      <c r="YJ47" s="5"/>
      <c r="YK47" s="6" t="s">
        <v>2512</v>
      </c>
      <c r="YL47" s="4" t="s">
        <v>2513</v>
      </c>
      <c r="YM47" s="4" t="s">
        <v>2429</v>
      </c>
      <c r="YN47" s="4"/>
      <c r="YO47" s="8"/>
      <c r="YP47" s="8"/>
      <c r="YQ47" s="5" t="s">
        <v>2514</v>
      </c>
      <c r="YR47" s="6"/>
      <c r="YS47" s="4"/>
      <c r="YT47" s="4"/>
      <c r="YU47" s="4"/>
      <c r="YV47" s="4"/>
      <c r="YW47" s="4"/>
      <c r="YX47" s="5"/>
      <c r="YY47" s="6"/>
      <c r="YZ47" s="4"/>
      <c r="ZA47" s="4"/>
      <c r="ZB47" s="4"/>
      <c r="ZC47" s="4"/>
      <c r="ZD47" s="4"/>
      <c r="ZE47" s="5"/>
      <c r="ZF47" s="6"/>
      <c r="ZG47" s="4"/>
      <c r="ZH47" s="4"/>
      <c r="ZI47" s="4"/>
      <c r="ZJ47" s="4"/>
      <c r="ZK47" s="4"/>
      <c r="ZL47" s="5"/>
      <c r="ZM47" s="6"/>
      <c r="ZN47" s="4"/>
      <c r="ZO47" s="4"/>
      <c r="ZP47" s="4"/>
      <c r="ZQ47" s="4"/>
      <c r="ZR47" s="4"/>
      <c r="ZS47" s="5"/>
      <c r="ZT47" s="6"/>
      <c r="ZU47" s="4"/>
      <c r="ZV47" s="4"/>
      <c r="ZW47" s="4"/>
      <c r="ZX47" s="4"/>
      <c r="ZY47" s="4"/>
      <c r="ZZ47" s="5"/>
      <c r="AAA47" s="6"/>
      <c r="AAB47" s="4"/>
      <c r="AAC47" s="4"/>
      <c r="AAD47" s="4"/>
      <c r="AAE47" s="4"/>
      <c r="AAF47" s="4"/>
      <c r="AAG47" s="5"/>
      <c r="AAH47" s="6"/>
      <c r="AAI47" s="4"/>
      <c r="AAJ47" s="4"/>
      <c r="AAK47" s="4"/>
      <c r="AAL47" s="4"/>
      <c r="AAM47" s="4"/>
      <c r="AAN47" s="5"/>
      <c r="AAO47" s="6"/>
      <c r="AAP47" s="4"/>
      <c r="AAQ47" s="4"/>
      <c r="AAR47" s="4"/>
      <c r="AAS47" s="4"/>
      <c r="AAT47" s="4"/>
      <c r="AAU47" s="5"/>
      <c r="AAV47" s="6"/>
      <c r="AAW47" s="4"/>
      <c r="AAX47" s="4"/>
      <c r="AAY47" s="4"/>
      <c r="AAZ47" s="4"/>
      <c r="ABA47" s="4"/>
      <c r="ABB47" s="5"/>
      <c r="ABC47" s="6"/>
      <c r="ABD47" s="4"/>
      <c r="ABE47" s="4"/>
      <c r="ABF47" s="4"/>
      <c r="ABG47" s="4"/>
      <c r="ABH47" s="4"/>
      <c r="ABI47" s="5"/>
      <c r="ABJ47" s="6"/>
      <c r="ABK47" s="4"/>
      <c r="ABL47" s="4"/>
      <c r="ABM47" s="4"/>
      <c r="ABN47" s="4"/>
      <c r="ABO47" s="4"/>
      <c r="ABP47" s="5"/>
      <c r="ABQ47" s="6"/>
      <c r="ABR47" s="4"/>
      <c r="ABS47" s="4"/>
      <c r="ABT47" s="4"/>
      <c r="ABU47" s="4"/>
      <c r="ABV47" s="4"/>
      <c r="ABW47" s="5"/>
      <c r="ABX47" s="6"/>
      <c r="ABY47" s="4"/>
      <c r="ABZ47" s="4"/>
      <c r="ACA47" s="4"/>
      <c r="ACB47" s="4"/>
      <c r="ACC47" s="4"/>
      <c r="ACD47" s="5"/>
      <c r="ACE47" s="6"/>
      <c r="ACF47" s="4"/>
      <c r="ACG47" s="4"/>
      <c r="ACH47" s="4"/>
      <c r="ACI47" s="4"/>
      <c r="ACJ47" s="4"/>
      <c r="ACK47" s="5"/>
      <c r="ACL47" s="6"/>
      <c r="ACM47" s="4"/>
      <c r="ACN47" s="4"/>
      <c r="ACO47" s="4"/>
      <c r="ACP47" s="4"/>
      <c r="ACQ47" s="4"/>
      <c r="ACR47" s="5"/>
      <c r="ACS47" s="6"/>
      <c r="ACT47" s="4"/>
      <c r="ACU47" s="4"/>
      <c r="ACV47" s="4"/>
      <c r="ACW47" s="4"/>
      <c r="ACX47" s="4"/>
      <c r="ACY47" s="5"/>
    </row>
    <row r="48" spans="2:816" x14ac:dyDescent="0.25">
      <c r="B48" s="30"/>
      <c r="J48" s="12"/>
      <c r="K48" s="12"/>
      <c r="L48" s="12"/>
      <c r="LL48" s="6"/>
      <c r="LM48" s="4"/>
      <c r="LN48" s="4"/>
      <c r="LO48" s="4"/>
      <c r="LP48" s="4"/>
      <c r="LQ48" s="4"/>
      <c r="LR48" s="5"/>
      <c r="LS48" s="6"/>
      <c r="LT48" s="4"/>
      <c r="LU48" s="4"/>
      <c r="LV48" s="4"/>
      <c r="LW48" s="4"/>
      <c r="LX48" s="4"/>
      <c r="LY48" s="5"/>
      <c r="LZ48" s="6"/>
      <c r="MA48" s="7"/>
      <c r="MB48" s="4"/>
      <c r="MC48" s="4"/>
      <c r="MD48" s="8"/>
      <c r="ME48" s="4"/>
      <c r="MF48" s="4"/>
      <c r="MG48" s="5"/>
      <c r="MH48" s="6"/>
      <c r="MI48" s="4"/>
      <c r="MJ48" s="4"/>
      <c r="MK48" s="4"/>
      <c r="ML48" s="4"/>
      <c r="MM48" s="4"/>
      <c r="MN48" s="5"/>
      <c r="MO48" s="6"/>
      <c r="MP48" s="4"/>
      <c r="MQ48" s="4"/>
      <c r="MR48" s="4"/>
      <c r="MS48" s="4"/>
      <c r="MT48" s="4"/>
      <c r="MU48" s="5"/>
      <c r="MV48" s="6"/>
      <c r="MW48" s="4"/>
      <c r="MX48" s="4"/>
      <c r="MY48" s="4"/>
      <c r="MZ48" s="4"/>
      <c r="NA48" s="4"/>
      <c r="NB48" s="5"/>
      <c r="NC48" s="6"/>
      <c r="ND48" s="4"/>
      <c r="NE48" s="4"/>
      <c r="NF48" s="4"/>
      <c r="NG48" s="4"/>
      <c r="NH48" s="4"/>
      <c r="NI48" s="5"/>
      <c r="NJ48" s="6"/>
      <c r="NK48" s="4"/>
      <c r="NL48" s="4"/>
      <c r="NM48" s="4"/>
      <c r="NN48" s="4"/>
      <c r="NO48" s="4"/>
      <c r="NP48" s="5"/>
      <c r="NQ48" s="6"/>
      <c r="NR48" s="4"/>
      <c r="NS48" s="4"/>
      <c r="NT48" s="4"/>
      <c r="NU48" s="4"/>
      <c r="NV48" s="4"/>
      <c r="NW48" s="5"/>
      <c r="NX48" s="6"/>
      <c r="NY48" s="4"/>
      <c r="NZ48" s="4"/>
      <c r="OA48" s="4"/>
      <c r="OB48" s="4"/>
      <c r="OC48" s="4"/>
      <c r="OD48" s="5"/>
      <c r="OE48" s="6"/>
      <c r="OF48" s="4"/>
      <c r="OG48" s="4"/>
      <c r="OH48" s="4"/>
      <c r="OI48" s="4"/>
      <c r="OJ48" s="4"/>
      <c r="OK48" s="5"/>
      <c r="OL48" s="6"/>
      <c r="OM48" s="4"/>
      <c r="ON48" s="4"/>
      <c r="OO48" s="4"/>
      <c r="OP48" s="4"/>
      <c r="OQ48" s="4"/>
      <c r="OR48" s="5"/>
      <c r="OS48" s="6"/>
      <c r="OT48" s="4"/>
      <c r="OU48" s="4"/>
      <c r="OV48" s="4"/>
      <c r="OW48" s="4"/>
      <c r="OX48" s="4"/>
      <c r="OY48" s="5"/>
      <c r="OZ48" s="6"/>
      <c r="PA48" s="4"/>
      <c r="PB48" s="4"/>
      <c r="PC48" s="4"/>
      <c r="PD48" s="4"/>
      <c r="PE48" s="4"/>
      <c r="PF48" s="5"/>
      <c r="PG48" s="6"/>
      <c r="PH48" s="4"/>
      <c r="PI48" s="4"/>
      <c r="PJ48" s="4"/>
      <c r="PK48" s="4"/>
      <c r="PL48" s="4"/>
      <c r="PM48" s="5"/>
      <c r="PN48" s="6"/>
      <c r="PO48" s="4"/>
      <c r="PP48" s="4"/>
      <c r="PQ48" s="4"/>
      <c r="PR48" s="4"/>
      <c r="PS48" s="4"/>
      <c r="PT48" s="5"/>
      <c r="PU48" s="6"/>
      <c r="PV48" s="4"/>
      <c r="PW48" s="4"/>
      <c r="PX48" s="4"/>
      <c r="PY48" s="4"/>
      <c r="PZ48" s="4"/>
      <c r="QA48" s="5"/>
      <c r="QB48" s="6"/>
      <c r="QC48" s="4"/>
      <c r="QD48" s="4"/>
      <c r="QE48" s="4"/>
      <c r="QF48" s="4"/>
      <c r="QG48" s="4"/>
      <c r="QH48" s="5"/>
      <c r="QI48" s="6"/>
      <c r="QJ48" s="4"/>
      <c r="QK48" s="4"/>
      <c r="QL48" s="4"/>
      <c r="QM48" s="4"/>
      <c r="QN48" s="4"/>
      <c r="QO48" s="5"/>
      <c r="QP48" s="6"/>
      <c r="QQ48" s="4"/>
      <c r="QR48" s="4"/>
      <c r="QS48" s="4"/>
      <c r="QT48" s="4"/>
      <c r="QU48" s="4"/>
      <c r="QV48" s="5"/>
      <c r="QW48" s="6"/>
      <c r="QX48" s="4"/>
      <c r="QY48" s="4"/>
      <c r="QZ48" s="4"/>
      <c r="RA48" s="4"/>
      <c r="RB48" s="4"/>
      <c r="RC48" s="5"/>
      <c r="RD48" s="6"/>
      <c r="RE48" s="4"/>
      <c r="RF48" s="4"/>
      <c r="RG48" s="4"/>
      <c r="RH48" s="4"/>
      <c r="RI48" s="4"/>
      <c r="RJ48" s="5"/>
      <c r="RK48" s="6"/>
      <c r="RL48" s="4"/>
      <c r="RM48" s="4"/>
      <c r="RN48" s="4"/>
      <c r="RO48" s="4"/>
      <c r="RP48" s="4"/>
      <c r="RQ48" s="5"/>
      <c r="RR48" s="6"/>
      <c r="RS48" s="4"/>
      <c r="RT48" s="4"/>
      <c r="RU48" s="4"/>
      <c r="RV48" s="4"/>
      <c r="RW48" s="4"/>
      <c r="RX48" s="5"/>
      <c r="RY48" s="6"/>
      <c r="RZ48" s="4"/>
      <c r="SA48" s="4"/>
      <c r="SB48" s="4"/>
      <c r="SC48" s="4"/>
      <c r="SD48" s="4"/>
      <c r="SE48" s="5"/>
      <c r="SF48" s="6"/>
      <c r="SG48" s="4"/>
      <c r="SH48" s="4"/>
      <c r="SI48" s="4"/>
      <c r="SJ48" s="4"/>
      <c r="SK48" s="4"/>
      <c r="SL48" s="5"/>
      <c r="SM48" s="6"/>
      <c r="SN48" s="4"/>
      <c r="SO48" s="4"/>
      <c r="SP48" s="4"/>
      <c r="SQ48" s="4"/>
      <c r="SR48" s="4"/>
      <c r="SS48" s="5"/>
      <c r="ST48" s="6"/>
      <c r="SU48" s="4"/>
      <c r="SV48" s="4"/>
      <c r="SW48" s="4"/>
      <c r="SX48" s="4"/>
      <c r="SY48" s="4"/>
      <c r="SZ48" s="5"/>
      <c r="TA48" s="6"/>
      <c r="TB48" s="4"/>
      <c r="TC48" s="4"/>
      <c r="TD48" s="4"/>
      <c r="TE48" s="4"/>
      <c r="TF48" s="4"/>
      <c r="TG48" s="5"/>
      <c r="TH48" s="6"/>
      <c r="TI48" s="4"/>
      <c r="TJ48" s="4"/>
      <c r="TK48" s="4"/>
      <c r="TL48" s="4"/>
      <c r="TM48" s="4"/>
      <c r="TN48" s="5"/>
      <c r="TO48" s="6"/>
      <c r="TP48" s="4"/>
      <c r="TQ48" s="4"/>
      <c r="TR48" s="4"/>
      <c r="TS48" s="4"/>
      <c r="TT48" s="4"/>
      <c r="TU48" s="5"/>
      <c r="TV48" s="6"/>
      <c r="TW48" s="4"/>
      <c r="TX48" s="4"/>
      <c r="TY48" s="4"/>
      <c r="TZ48" s="4"/>
      <c r="UA48" s="4"/>
      <c r="UB48" s="5"/>
      <c r="UC48" s="6"/>
      <c r="UD48" s="4"/>
      <c r="UE48" s="4"/>
      <c r="UF48" s="4"/>
      <c r="UG48" s="4"/>
      <c r="UH48" s="4"/>
      <c r="UI48" s="5"/>
      <c r="UJ48" s="6"/>
      <c r="UK48" s="4"/>
      <c r="UL48" s="4"/>
      <c r="UM48" s="4"/>
      <c r="UN48" s="4"/>
      <c r="UO48" s="4"/>
      <c r="UP48" s="5"/>
      <c r="UQ48" s="6"/>
      <c r="UR48" s="4"/>
      <c r="US48" s="4"/>
      <c r="UT48" s="4"/>
      <c r="UU48" s="4"/>
      <c r="UV48" s="4"/>
      <c r="UW48" s="5"/>
      <c r="UX48" s="6"/>
      <c r="UY48" s="4"/>
      <c r="UZ48" s="4"/>
      <c r="VA48" s="4"/>
      <c r="VB48" s="4"/>
      <c r="VC48" s="4"/>
      <c r="VD48" s="5"/>
      <c r="VE48" s="6"/>
      <c r="VF48" s="4"/>
      <c r="VG48" s="4"/>
      <c r="VH48" s="4"/>
      <c r="VI48" s="4"/>
      <c r="VJ48" s="4"/>
      <c r="VK48" s="5"/>
      <c r="VL48" s="6"/>
      <c r="VM48" s="4"/>
      <c r="VN48" s="4"/>
      <c r="VO48" s="4"/>
      <c r="VP48" s="4"/>
      <c r="VQ48" s="4"/>
      <c r="VR48" s="5"/>
      <c r="VS48" s="6"/>
      <c r="VT48" s="4"/>
      <c r="VU48" s="4"/>
      <c r="VV48" s="4"/>
      <c r="VW48" s="4"/>
      <c r="VX48" s="4"/>
      <c r="VY48" s="5"/>
      <c r="VZ48" s="6"/>
      <c r="WA48" s="4"/>
      <c r="WB48" s="4"/>
      <c r="WC48" s="4"/>
      <c r="WD48" s="4"/>
      <c r="WE48" s="4"/>
      <c r="WF48" s="5"/>
      <c r="WG48" s="6"/>
      <c r="WH48" s="4"/>
      <c r="WI48" s="4"/>
      <c r="WJ48" s="4"/>
      <c r="WK48" s="4"/>
      <c r="WL48" s="4"/>
      <c r="WM48" s="5"/>
      <c r="WN48" s="6"/>
      <c r="WO48" s="4"/>
      <c r="WP48" s="4"/>
      <c r="WQ48" s="4"/>
      <c r="WR48" s="4"/>
      <c r="WS48" s="4"/>
      <c r="WT48" s="5"/>
      <c r="WU48" s="6"/>
      <c r="WV48" s="4"/>
      <c r="WW48" s="4"/>
      <c r="WX48" s="4"/>
      <c r="WY48" s="4"/>
      <c r="WZ48" s="4"/>
      <c r="XA48" s="5"/>
      <c r="XB48" s="6"/>
      <c r="XC48" s="4"/>
      <c r="XD48" s="4"/>
      <c r="XE48" s="4"/>
      <c r="XF48" s="4"/>
      <c r="XG48" s="4"/>
      <c r="XH48" s="5"/>
      <c r="XI48" s="6"/>
      <c r="XJ48" s="4"/>
      <c r="XK48" s="4"/>
      <c r="XL48" s="4"/>
      <c r="XM48" s="4"/>
      <c r="XN48" s="4"/>
      <c r="XO48" s="5"/>
      <c r="XP48" s="6"/>
      <c r="XQ48" s="4"/>
      <c r="XR48" s="4"/>
      <c r="XS48" s="4"/>
      <c r="XT48" s="4"/>
      <c r="XU48" s="4"/>
      <c r="XV48" s="5"/>
      <c r="XW48" s="6"/>
      <c r="XX48" s="4"/>
      <c r="XY48" s="4"/>
      <c r="XZ48" s="4"/>
      <c r="YA48" s="4"/>
      <c r="YB48" s="4"/>
      <c r="YC48" s="5"/>
      <c r="YD48" s="6"/>
      <c r="YE48" s="4"/>
      <c r="YF48" s="4"/>
      <c r="YG48" s="4"/>
      <c r="YH48" s="4"/>
      <c r="YI48" s="4"/>
      <c r="YJ48" s="5"/>
      <c r="YK48" s="6" t="s">
        <v>2972</v>
      </c>
      <c r="YL48" s="7" t="s">
        <v>3116</v>
      </c>
      <c r="YM48" s="4" t="s">
        <v>2755</v>
      </c>
      <c r="YN48" s="4"/>
      <c r="YO48" s="8">
        <v>33809</v>
      </c>
      <c r="YP48" s="8"/>
      <c r="YQ48" s="5"/>
      <c r="YR48" s="6"/>
      <c r="YS48" s="4"/>
      <c r="YT48" s="4"/>
      <c r="YU48" s="4"/>
      <c r="YV48" s="4"/>
      <c r="YW48" s="4"/>
      <c r="YX48" s="5"/>
      <c r="YY48" s="6"/>
      <c r="YZ48" s="4"/>
      <c r="ZA48" s="4"/>
      <c r="ZB48" s="4"/>
      <c r="ZC48" s="4"/>
      <c r="ZD48" s="4"/>
      <c r="ZE48" s="5"/>
      <c r="ZF48" s="6"/>
      <c r="ZG48" s="4"/>
      <c r="ZH48" s="4"/>
      <c r="ZI48" s="4"/>
      <c r="ZJ48" s="4"/>
      <c r="ZK48" s="4"/>
      <c r="ZL48" s="5"/>
      <c r="ZM48" s="6"/>
      <c r="ZN48" s="4"/>
      <c r="ZO48" s="4"/>
      <c r="ZP48" s="4"/>
      <c r="ZQ48" s="4"/>
      <c r="ZR48" s="4"/>
      <c r="ZS48" s="5"/>
      <c r="ZT48" s="6"/>
      <c r="ZU48" s="4"/>
      <c r="ZV48" s="4"/>
      <c r="ZW48" s="4"/>
      <c r="ZX48" s="4"/>
      <c r="ZY48" s="4"/>
      <c r="ZZ48" s="5"/>
      <c r="AAA48" s="6"/>
      <c r="AAB48" s="4"/>
      <c r="AAC48" s="4"/>
      <c r="AAD48" s="4"/>
      <c r="AAE48" s="4"/>
      <c r="AAF48" s="4"/>
      <c r="AAG48" s="5"/>
      <c r="AAH48" s="6"/>
      <c r="AAI48" s="4"/>
      <c r="AAJ48" s="4"/>
      <c r="AAK48" s="4"/>
      <c r="AAL48" s="4"/>
      <c r="AAM48" s="4"/>
      <c r="AAN48" s="5"/>
      <c r="AAO48" s="6"/>
      <c r="AAP48" s="4"/>
      <c r="AAQ48" s="4"/>
      <c r="AAR48" s="4"/>
      <c r="AAS48" s="4"/>
      <c r="AAT48" s="4"/>
      <c r="AAU48" s="5"/>
      <c r="AAV48" s="6"/>
      <c r="AAW48" s="4"/>
      <c r="AAX48" s="4"/>
      <c r="AAY48" s="4"/>
      <c r="AAZ48" s="4"/>
      <c r="ABA48" s="4"/>
      <c r="ABB48" s="5"/>
      <c r="ABC48" s="6"/>
      <c r="ABD48" s="4"/>
      <c r="ABE48" s="4"/>
      <c r="ABF48" s="4"/>
      <c r="ABG48" s="4"/>
      <c r="ABH48" s="4"/>
      <c r="ABI48" s="5"/>
      <c r="ABJ48" s="6"/>
      <c r="ABK48" s="4"/>
      <c r="ABL48" s="4"/>
      <c r="ABM48" s="4"/>
      <c r="ABN48" s="4"/>
      <c r="ABO48" s="4"/>
      <c r="ABP48" s="5"/>
      <c r="ABQ48" s="6"/>
      <c r="ABR48" s="4"/>
      <c r="ABS48" s="4"/>
      <c r="ABT48" s="4"/>
      <c r="ABU48" s="4"/>
      <c r="ABV48" s="4"/>
      <c r="ABW48" s="5"/>
      <c r="ABX48" s="6"/>
      <c r="ABY48" s="4"/>
      <c r="ABZ48" s="4"/>
      <c r="ACA48" s="4"/>
      <c r="ACB48" s="4"/>
      <c r="ACC48" s="4"/>
      <c r="ACD48" s="5"/>
      <c r="ACE48" s="6"/>
      <c r="ACF48" s="4"/>
      <c r="ACG48" s="4"/>
      <c r="ACH48" s="4"/>
      <c r="ACI48" s="4"/>
      <c r="ACJ48" s="4"/>
      <c r="ACK48" s="5"/>
      <c r="ACL48" s="6"/>
      <c r="ACM48" s="4"/>
      <c r="ACN48" s="4"/>
      <c r="ACO48" s="4"/>
      <c r="ACP48" s="4"/>
      <c r="ACQ48" s="4"/>
      <c r="ACR48" s="5"/>
      <c r="ACS48" s="6"/>
      <c r="ACT48" s="4"/>
      <c r="ACU48" s="4"/>
      <c r="ACV48" s="4"/>
      <c r="ACW48" s="4"/>
      <c r="ACX48" s="4"/>
      <c r="ACY48" s="5"/>
    </row>
    <row r="49" spans="2:805" x14ac:dyDescent="0.25">
      <c r="B49" s="29">
        <v>93004891</v>
      </c>
      <c r="C49">
        <v>77</v>
      </c>
      <c r="D49" t="s">
        <v>3729</v>
      </c>
      <c r="F49" s="23">
        <v>1</v>
      </c>
      <c r="G49" s="31">
        <v>33789</v>
      </c>
      <c r="H49" s="23" t="s">
        <v>1627</v>
      </c>
      <c r="I49">
        <v>1</v>
      </c>
      <c r="J49" s="19">
        <v>33771</v>
      </c>
      <c r="K49" s="19"/>
      <c r="L49" s="19"/>
      <c r="M49">
        <v>1</v>
      </c>
      <c r="LL49" s="6"/>
      <c r="LM49" s="4"/>
      <c r="LN49" s="4"/>
      <c r="LO49" s="4"/>
      <c r="LP49" s="4"/>
      <c r="LQ49" s="4"/>
      <c r="LR49" s="5"/>
      <c r="LS49" s="6"/>
      <c r="LT49" s="4"/>
      <c r="LU49" s="4"/>
      <c r="LV49" s="4"/>
      <c r="LW49" s="4"/>
      <c r="LX49" s="4"/>
      <c r="LY49" s="5"/>
      <c r="LZ49" s="6" t="s">
        <v>2693</v>
      </c>
      <c r="MA49" s="7" t="s">
        <v>3026</v>
      </c>
      <c r="MB49" s="4"/>
      <c r="MC49" s="7" t="s">
        <v>3027</v>
      </c>
      <c r="MD49" s="8">
        <v>33768</v>
      </c>
      <c r="ME49" s="8">
        <v>33768</v>
      </c>
      <c r="MF49" s="8"/>
      <c r="MG49" s="5"/>
      <c r="MH49" s="6"/>
      <c r="MI49" s="4"/>
      <c r="MJ49" s="4"/>
      <c r="MK49" s="4"/>
      <c r="ML49" s="4"/>
      <c r="MM49" s="4"/>
      <c r="MN49" s="5"/>
      <c r="MO49" s="6"/>
      <c r="MP49" s="4"/>
      <c r="MQ49" s="4"/>
      <c r="MR49" s="4"/>
      <c r="MS49" s="4"/>
      <c r="MT49" s="4"/>
      <c r="MU49" s="5"/>
      <c r="MV49" s="6"/>
      <c r="MW49" s="4"/>
      <c r="MX49" s="4"/>
      <c r="MY49" s="4"/>
      <c r="MZ49" s="4"/>
      <c r="NA49" s="4"/>
      <c r="NB49" s="5"/>
      <c r="NC49" s="6" t="s">
        <v>3028</v>
      </c>
      <c r="ND49" s="4" t="s">
        <v>3029</v>
      </c>
      <c r="NE49" s="4"/>
      <c r="NF49" s="4" t="s">
        <v>3030</v>
      </c>
      <c r="NG49" s="8">
        <v>33768</v>
      </c>
      <c r="NH49" s="8">
        <v>33768</v>
      </c>
      <c r="NI49" s="5"/>
      <c r="NJ49" s="6"/>
      <c r="NK49" s="4"/>
      <c r="NL49" s="4"/>
      <c r="NM49" s="4"/>
      <c r="NN49" s="4"/>
      <c r="NO49" s="4"/>
      <c r="NP49" s="5"/>
      <c r="NQ49" s="6"/>
      <c r="NR49" s="4"/>
      <c r="NS49" s="4"/>
      <c r="NT49" s="4"/>
      <c r="NU49" s="4"/>
      <c r="NV49" s="4"/>
      <c r="NW49" s="5"/>
      <c r="NX49" s="6"/>
      <c r="NY49" s="4"/>
      <c r="NZ49" s="4"/>
      <c r="OA49" s="4"/>
      <c r="OB49" s="4"/>
      <c r="OC49" s="4"/>
      <c r="OD49" s="5"/>
      <c r="OE49" s="6"/>
      <c r="OF49" s="4"/>
      <c r="OG49" s="4"/>
      <c r="OH49" s="4"/>
      <c r="OI49" s="4"/>
      <c r="OJ49" s="4"/>
      <c r="OK49" s="5"/>
      <c r="OL49" s="6"/>
      <c r="OM49" s="4"/>
      <c r="ON49" s="4"/>
      <c r="OO49" s="4"/>
      <c r="OP49" s="4"/>
      <c r="OQ49" s="4"/>
      <c r="OR49" s="5"/>
      <c r="OS49" s="6"/>
      <c r="OT49" s="4"/>
      <c r="OU49" s="4"/>
      <c r="OV49" s="4"/>
      <c r="OW49" s="4"/>
      <c r="OX49" s="4"/>
      <c r="OY49" s="5"/>
      <c r="OZ49" s="6"/>
      <c r="PA49" s="4"/>
      <c r="PB49" s="4"/>
      <c r="PC49" s="4"/>
      <c r="PD49" s="4"/>
      <c r="PE49" s="4"/>
      <c r="PF49" s="5"/>
      <c r="PG49" s="6"/>
      <c r="PH49" s="4"/>
      <c r="PI49" s="4"/>
      <c r="PJ49" s="4"/>
      <c r="PK49" s="4"/>
      <c r="PL49" s="4"/>
      <c r="PM49" s="5"/>
      <c r="PN49" s="6"/>
      <c r="PO49" s="4"/>
      <c r="PP49" s="4"/>
      <c r="PQ49" s="4"/>
      <c r="PR49" s="4"/>
      <c r="PS49" s="4"/>
      <c r="PT49" s="5"/>
      <c r="PU49" s="6"/>
      <c r="PV49" s="4"/>
      <c r="PW49" s="4"/>
      <c r="PX49" s="4"/>
      <c r="PY49" s="4"/>
      <c r="PZ49" s="4"/>
      <c r="QA49" s="5"/>
      <c r="QB49" s="6"/>
      <c r="QC49" s="4"/>
      <c r="QD49" s="4"/>
      <c r="QE49" s="4"/>
      <c r="QF49" s="4"/>
      <c r="QG49" s="4"/>
      <c r="QH49" s="5"/>
      <c r="QI49" s="6"/>
      <c r="QJ49" s="4"/>
      <c r="QK49" s="4"/>
      <c r="QL49" s="4"/>
      <c r="QM49" s="4"/>
      <c r="QN49" s="4"/>
      <c r="QO49" s="5"/>
      <c r="QP49" s="6"/>
      <c r="QQ49" s="4"/>
      <c r="QR49" s="4"/>
      <c r="QS49" s="4"/>
      <c r="QT49" s="4"/>
      <c r="QU49" s="4"/>
      <c r="QV49" s="5"/>
      <c r="QW49" s="6"/>
      <c r="QX49" s="4"/>
      <c r="QY49" s="4"/>
      <c r="QZ49" s="4"/>
      <c r="RA49" s="4"/>
      <c r="RB49" s="4"/>
      <c r="RC49" s="5"/>
      <c r="RD49" s="6"/>
      <c r="RE49" s="4"/>
      <c r="RF49" s="4"/>
      <c r="RG49" s="4"/>
      <c r="RH49" s="4"/>
      <c r="RI49" s="4"/>
      <c r="RJ49" s="5"/>
      <c r="RK49" s="6"/>
      <c r="RL49" s="4"/>
      <c r="RM49" s="4"/>
      <c r="RN49" s="4"/>
      <c r="RO49" s="4"/>
      <c r="RP49" s="4"/>
      <c r="RQ49" s="5"/>
      <c r="RR49" s="6"/>
      <c r="RS49" s="4"/>
      <c r="RT49" s="4"/>
      <c r="RU49" s="4"/>
      <c r="RV49" s="4"/>
      <c r="RW49" s="4"/>
      <c r="RX49" s="5"/>
      <c r="RY49" s="6"/>
      <c r="RZ49" s="4"/>
      <c r="SA49" s="4"/>
      <c r="SB49" s="4"/>
      <c r="SC49" s="4"/>
      <c r="SD49" s="4"/>
      <c r="SE49" s="5"/>
      <c r="SF49" s="6"/>
      <c r="SG49" s="4"/>
      <c r="SH49" s="4"/>
      <c r="SI49" s="4"/>
      <c r="SJ49" s="4"/>
      <c r="SK49" s="4"/>
      <c r="SL49" s="5"/>
      <c r="SM49" s="6"/>
      <c r="SN49" s="4"/>
      <c r="SO49" s="4"/>
      <c r="SP49" s="4"/>
      <c r="SQ49" s="4"/>
      <c r="SR49" s="4"/>
      <c r="SS49" s="5"/>
      <c r="ST49" s="6"/>
      <c r="SU49" s="4"/>
      <c r="SV49" s="4"/>
      <c r="SW49" s="4"/>
      <c r="SX49" s="4"/>
      <c r="SY49" s="4"/>
      <c r="SZ49" s="5"/>
      <c r="TA49" s="6"/>
      <c r="TB49" s="4"/>
      <c r="TC49" s="4"/>
      <c r="TD49" s="4"/>
      <c r="TE49" s="4"/>
      <c r="TF49" s="4"/>
      <c r="TG49" s="5"/>
      <c r="TH49" s="6"/>
      <c r="TI49" s="4"/>
      <c r="TJ49" s="4"/>
      <c r="TK49" s="4"/>
      <c r="TL49" s="4"/>
      <c r="TM49" s="4"/>
      <c r="TN49" s="5"/>
      <c r="TO49" s="6"/>
      <c r="TP49" s="4"/>
      <c r="TQ49" s="4"/>
      <c r="TR49" s="4"/>
      <c r="TS49" s="4"/>
      <c r="TT49" s="4"/>
      <c r="TU49" s="5"/>
      <c r="TV49" s="6"/>
      <c r="TW49" s="4"/>
      <c r="TX49" s="4"/>
      <c r="TY49" s="4"/>
      <c r="TZ49" s="4"/>
      <c r="UA49" s="4"/>
      <c r="UB49" s="5"/>
      <c r="UC49" s="6"/>
      <c r="UD49" s="4"/>
      <c r="UE49" s="4"/>
      <c r="UF49" s="4"/>
      <c r="UG49" s="4"/>
      <c r="UH49" s="4"/>
      <c r="UI49" s="5"/>
      <c r="UJ49" s="6"/>
      <c r="UK49" s="4"/>
      <c r="UL49" s="4"/>
      <c r="UM49" s="4"/>
      <c r="UN49" s="4"/>
      <c r="UO49" s="4"/>
      <c r="UP49" s="5"/>
      <c r="UQ49" s="6"/>
      <c r="UR49" s="4"/>
      <c r="US49" s="4"/>
      <c r="UT49" s="4"/>
      <c r="UU49" s="4"/>
      <c r="UV49" s="4"/>
      <c r="UW49" s="5"/>
      <c r="UX49" s="6"/>
      <c r="UY49" s="4"/>
      <c r="UZ49" s="4"/>
      <c r="VA49" s="4"/>
      <c r="VB49" s="4"/>
      <c r="VC49" s="4"/>
      <c r="VD49" s="5"/>
      <c r="VE49" s="6"/>
      <c r="VF49" s="4"/>
      <c r="VG49" s="4"/>
      <c r="VH49" s="4"/>
      <c r="VI49" s="4"/>
      <c r="VJ49" s="4"/>
      <c r="VK49" s="5"/>
      <c r="VL49" s="6"/>
      <c r="VM49" s="4"/>
      <c r="VN49" s="4"/>
      <c r="VO49" s="4"/>
      <c r="VP49" s="4"/>
      <c r="VQ49" s="4"/>
      <c r="VR49" s="5"/>
      <c r="VS49" s="6"/>
      <c r="VT49" s="4"/>
      <c r="VU49" s="4"/>
      <c r="VV49" s="4"/>
      <c r="VW49" s="4"/>
      <c r="VX49" s="4"/>
      <c r="VY49" s="5"/>
      <c r="VZ49" s="6"/>
      <c r="WA49" s="4"/>
      <c r="WB49" s="4"/>
      <c r="WC49" s="4"/>
      <c r="WD49" s="4"/>
      <c r="WE49" s="4"/>
      <c r="WF49" s="5"/>
      <c r="WG49" s="6"/>
      <c r="WH49" s="4"/>
      <c r="WI49" s="4"/>
      <c r="WJ49" s="4"/>
      <c r="WK49" s="4"/>
      <c r="WL49" s="4"/>
      <c r="WM49" s="5"/>
      <c r="WN49" s="6"/>
      <c r="WO49" s="4"/>
      <c r="WP49" s="4"/>
      <c r="WQ49" s="4"/>
      <c r="WR49" s="4"/>
      <c r="WS49" s="4"/>
      <c r="WT49" s="5"/>
      <c r="WU49" s="6"/>
      <c r="WV49" s="4"/>
      <c r="WW49" s="4"/>
      <c r="WX49" s="4"/>
      <c r="WY49" s="4"/>
      <c r="WZ49" s="4"/>
      <c r="XA49" s="5"/>
      <c r="XB49" s="6"/>
      <c r="XC49" s="4"/>
      <c r="XD49" s="4"/>
      <c r="XE49" s="4"/>
      <c r="XF49" s="4"/>
      <c r="XG49" s="4"/>
      <c r="XH49" s="5"/>
      <c r="XI49" s="6"/>
      <c r="XJ49" s="4"/>
      <c r="XK49" s="4"/>
      <c r="XL49" s="4"/>
      <c r="XM49" s="4"/>
      <c r="XN49" s="4"/>
      <c r="XO49" s="5"/>
      <c r="XP49" s="6"/>
      <c r="XQ49" s="4"/>
      <c r="XR49" s="4"/>
      <c r="XS49" s="4"/>
      <c r="XT49" s="4"/>
      <c r="XU49" s="4"/>
      <c r="XV49" s="5"/>
      <c r="XW49" s="6"/>
      <c r="XX49" s="4"/>
      <c r="XY49" s="4"/>
      <c r="XZ49" s="4"/>
      <c r="YA49" s="4"/>
      <c r="YB49" s="4"/>
      <c r="YC49" s="5"/>
      <c r="YD49" s="6"/>
      <c r="YE49" s="4"/>
      <c r="YF49" s="4"/>
      <c r="YG49" s="4"/>
      <c r="YH49" s="4"/>
      <c r="YI49" s="4"/>
      <c r="YJ49" s="5"/>
      <c r="YK49" s="6" t="s">
        <v>2745</v>
      </c>
      <c r="YL49" s="7" t="s">
        <v>2746</v>
      </c>
      <c r="YM49" s="4"/>
      <c r="YN49" s="4"/>
      <c r="YO49" s="4"/>
      <c r="YP49" s="4"/>
      <c r="YQ49" s="5"/>
      <c r="YR49" s="6"/>
      <c r="YS49" s="4"/>
      <c r="YT49" s="4"/>
      <c r="YU49" s="4"/>
      <c r="YV49" s="4"/>
      <c r="YW49" s="4"/>
      <c r="YX49" s="5"/>
      <c r="YY49" s="6"/>
      <c r="YZ49" s="4"/>
      <c r="ZA49" s="4"/>
      <c r="ZB49" s="4"/>
      <c r="ZC49" s="4"/>
      <c r="ZD49" s="4"/>
      <c r="ZE49" s="5"/>
      <c r="ZF49" s="6"/>
      <c r="ZG49" s="4"/>
      <c r="ZH49" s="4"/>
      <c r="ZI49" s="4"/>
      <c r="ZJ49" s="4"/>
      <c r="ZK49" s="4"/>
      <c r="ZL49" s="5"/>
      <c r="ZM49" s="6"/>
      <c r="ZN49" s="4"/>
      <c r="ZO49" s="4"/>
      <c r="ZP49" s="4"/>
      <c r="ZQ49" s="4"/>
      <c r="ZR49" s="4"/>
      <c r="ZS49" s="5"/>
      <c r="ZT49" s="6"/>
      <c r="ZU49" s="4"/>
      <c r="ZV49" s="4"/>
      <c r="ZW49" s="4"/>
      <c r="ZX49" s="4"/>
      <c r="ZY49" s="4"/>
      <c r="ZZ49" s="5"/>
      <c r="AAA49" s="6"/>
      <c r="AAB49" s="4"/>
      <c r="AAC49" s="4"/>
      <c r="AAD49" s="4"/>
      <c r="AAE49" s="4"/>
      <c r="AAF49" s="4"/>
      <c r="AAG49" s="5"/>
      <c r="AAH49" s="6"/>
      <c r="AAI49" s="4"/>
      <c r="AAJ49" s="4"/>
      <c r="AAK49" s="4"/>
      <c r="AAL49" s="4"/>
      <c r="AAM49" s="4"/>
      <c r="AAN49" s="5"/>
      <c r="AAO49" s="6"/>
      <c r="AAP49" s="4"/>
      <c r="AAQ49" s="4"/>
      <c r="AAR49" s="4"/>
      <c r="AAS49" s="4"/>
      <c r="AAT49" s="4"/>
      <c r="AAU49" s="5"/>
      <c r="AAV49" s="6"/>
      <c r="AAW49" s="4"/>
      <c r="AAX49" s="4"/>
      <c r="AAY49" s="4"/>
      <c r="AAZ49" s="4"/>
      <c r="ABA49" s="4"/>
      <c r="ABB49" s="5"/>
      <c r="ABC49" s="6"/>
      <c r="ABD49" s="4"/>
      <c r="ABE49" s="4"/>
      <c r="ABF49" s="4"/>
      <c r="ABG49" s="4"/>
      <c r="ABH49" s="4"/>
      <c r="ABI49" s="5"/>
      <c r="ABJ49" s="6"/>
      <c r="ABK49" s="4"/>
      <c r="ABL49" s="4"/>
      <c r="ABM49" s="4"/>
      <c r="ABN49" s="4"/>
      <c r="ABO49" s="4"/>
      <c r="ABP49" s="5"/>
      <c r="ABQ49" s="6"/>
      <c r="ABR49" s="4"/>
      <c r="ABS49" s="4"/>
      <c r="ABT49" s="4"/>
      <c r="ABU49" s="4"/>
      <c r="ABV49" s="4"/>
      <c r="ABW49" s="5"/>
      <c r="ABX49" s="6"/>
      <c r="ABY49" s="4"/>
      <c r="ABZ49" s="4"/>
      <c r="ACA49" s="4"/>
      <c r="ACB49" s="4"/>
      <c r="ACC49" s="4"/>
      <c r="ACD49" s="5"/>
      <c r="ACE49" s="6"/>
      <c r="ACF49" s="4"/>
      <c r="ACG49" s="4"/>
      <c r="ACH49" s="4"/>
      <c r="ACI49" s="4"/>
      <c r="ACJ49" s="4"/>
      <c r="ACK49" s="5"/>
      <c r="ACL49" s="6" t="s">
        <v>2359</v>
      </c>
      <c r="ACM49" s="4" t="s">
        <v>2360</v>
      </c>
      <c r="ACN49" s="4"/>
      <c r="ACO49" s="4"/>
      <c r="ACP49" s="4"/>
      <c r="ACQ49" s="4"/>
      <c r="ACR49" s="5"/>
      <c r="ACS49" s="6"/>
      <c r="ACT49" s="4"/>
      <c r="ACU49" s="4"/>
      <c r="ACV49" s="4"/>
      <c r="ACW49" s="4"/>
      <c r="ACX49" s="4"/>
      <c r="ACY49" s="5"/>
      <c r="ADY49" t="s">
        <v>1484</v>
      </c>
    </row>
    <row r="50" spans="2:805" x14ac:dyDescent="0.25">
      <c r="B50" s="30"/>
      <c r="J50" s="12"/>
      <c r="K50" s="12"/>
      <c r="L50" s="12"/>
      <c r="LL50" s="6"/>
      <c r="LM50" s="4"/>
      <c r="LN50" s="4"/>
      <c r="LO50" s="4"/>
      <c r="LP50" s="4"/>
      <c r="LQ50" s="4"/>
      <c r="LR50" s="5"/>
      <c r="LS50" s="6"/>
      <c r="LT50" s="4"/>
      <c r="LU50" s="4"/>
      <c r="LV50" s="4"/>
      <c r="LW50" s="4"/>
      <c r="LX50" s="4"/>
      <c r="LY50" s="5"/>
      <c r="LZ50" s="6" t="s">
        <v>2358</v>
      </c>
      <c r="MA50" s="7" t="s">
        <v>2451</v>
      </c>
      <c r="MB50" s="4"/>
      <c r="MC50" s="4"/>
      <c r="MD50" s="8"/>
      <c r="ME50" s="4"/>
      <c r="MF50" s="4"/>
      <c r="MG50" s="5"/>
      <c r="MH50" s="6"/>
      <c r="MI50" s="4"/>
      <c r="MJ50" s="4"/>
      <c r="MK50" s="4"/>
      <c r="ML50" s="4"/>
      <c r="MM50" s="4"/>
      <c r="MN50" s="5"/>
      <c r="MO50" s="6"/>
      <c r="MP50" s="4"/>
      <c r="MQ50" s="4"/>
      <c r="MR50" s="4"/>
      <c r="MS50" s="4"/>
      <c r="MT50" s="4"/>
      <c r="MU50" s="5"/>
      <c r="MV50" s="6"/>
      <c r="MW50" s="4"/>
      <c r="MX50" s="4"/>
      <c r="MY50" s="4"/>
      <c r="MZ50" s="4"/>
      <c r="NA50" s="4"/>
      <c r="NB50" s="5"/>
      <c r="NC50" s="6"/>
      <c r="ND50" s="4"/>
      <c r="NE50" s="4"/>
      <c r="NF50" s="4"/>
      <c r="NG50" s="4"/>
      <c r="NH50" s="4"/>
      <c r="NI50" s="5"/>
      <c r="NJ50" s="6"/>
      <c r="NK50" s="4"/>
      <c r="NL50" s="4"/>
      <c r="NM50" s="4"/>
      <c r="NN50" s="4"/>
      <c r="NO50" s="4"/>
      <c r="NP50" s="5"/>
      <c r="NQ50" s="6"/>
      <c r="NR50" s="4"/>
      <c r="NS50" s="4"/>
      <c r="NT50" s="4"/>
      <c r="NU50" s="4"/>
      <c r="NV50" s="4"/>
      <c r="NW50" s="5"/>
      <c r="NX50" s="6"/>
      <c r="NY50" s="4"/>
      <c r="NZ50" s="4"/>
      <c r="OA50" s="4"/>
      <c r="OB50" s="4"/>
      <c r="OC50" s="4"/>
      <c r="OD50" s="5"/>
      <c r="OE50" s="6"/>
      <c r="OF50" s="4"/>
      <c r="OG50" s="4"/>
      <c r="OH50" s="4"/>
      <c r="OI50" s="4"/>
      <c r="OJ50" s="4"/>
      <c r="OK50" s="5"/>
      <c r="OL50" s="6"/>
      <c r="OM50" s="4"/>
      <c r="ON50" s="4"/>
      <c r="OO50" s="4"/>
      <c r="OP50" s="4"/>
      <c r="OQ50" s="4"/>
      <c r="OR50" s="5"/>
      <c r="OS50" s="6"/>
      <c r="OT50" s="4"/>
      <c r="OU50" s="4"/>
      <c r="OV50" s="4"/>
      <c r="OW50" s="4"/>
      <c r="OX50" s="4"/>
      <c r="OY50" s="5"/>
      <c r="OZ50" s="6"/>
      <c r="PA50" s="4"/>
      <c r="PB50" s="4"/>
      <c r="PC50" s="4"/>
      <c r="PD50" s="4"/>
      <c r="PE50" s="4"/>
      <c r="PF50" s="5"/>
      <c r="PG50" s="6"/>
      <c r="PH50" s="4"/>
      <c r="PI50" s="4"/>
      <c r="PJ50" s="4"/>
      <c r="PK50" s="4"/>
      <c r="PL50" s="4"/>
      <c r="PM50" s="5"/>
      <c r="PN50" s="6"/>
      <c r="PO50" s="4"/>
      <c r="PP50" s="4"/>
      <c r="PQ50" s="4"/>
      <c r="PR50" s="4"/>
      <c r="PS50" s="4"/>
      <c r="PT50" s="5"/>
      <c r="PU50" s="6"/>
      <c r="PV50" s="4"/>
      <c r="PW50" s="4"/>
      <c r="PX50" s="4"/>
      <c r="PY50" s="4"/>
      <c r="PZ50" s="4"/>
      <c r="QA50" s="5"/>
      <c r="QB50" s="6"/>
      <c r="QC50" s="4"/>
      <c r="QD50" s="4"/>
      <c r="QE50" s="4"/>
      <c r="QF50" s="4"/>
      <c r="QG50" s="4"/>
      <c r="QH50" s="5"/>
      <c r="QI50" s="6"/>
      <c r="QJ50" s="4"/>
      <c r="QK50" s="4"/>
      <c r="QL50" s="4"/>
      <c r="QM50" s="4"/>
      <c r="QN50" s="4"/>
      <c r="QO50" s="5"/>
      <c r="QP50" s="6"/>
      <c r="QQ50" s="4"/>
      <c r="QR50" s="4"/>
      <c r="QS50" s="4"/>
      <c r="QT50" s="4"/>
      <c r="QU50" s="4"/>
      <c r="QV50" s="5"/>
      <c r="QW50" s="6"/>
      <c r="QX50" s="4"/>
      <c r="QY50" s="4"/>
      <c r="QZ50" s="4"/>
      <c r="RA50" s="4"/>
      <c r="RB50" s="4"/>
      <c r="RC50" s="5"/>
      <c r="RD50" s="6"/>
      <c r="RE50" s="4"/>
      <c r="RF50" s="4"/>
      <c r="RG50" s="4"/>
      <c r="RH50" s="4"/>
      <c r="RI50" s="4"/>
      <c r="RJ50" s="5"/>
      <c r="RK50" s="6"/>
      <c r="RL50" s="4"/>
      <c r="RM50" s="4"/>
      <c r="RN50" s="4"/>
      <c r="RO50" s="4"/>
      <c r="RP50" s="4"/>
      <c r="RQ50" s="5"/>
      <c r="RR50" s="6"/>
      <c r="RS50" s="4"/>
      <c r="RT50" s="4"/>
      <c r="RU50" s="4"/>
      <c r="RV50" s="4"/>
      <c r="RW50" s="4"/>
      <c r="RX50" s="5"/>
      <c r="RY50" s="6"/>
      <c r="RZ50" s="4"/>
      <c r="SA50" s="4"/>
      <c r="SB50" s="4"/>
      <c r="SC50" s="4"/>
      <c r="SD50" s="4"/>
      <c r="SE50" s="5"/>
      <c r="SF50" s="6"/>
      <c r="SG50" s="4"/>
      <c r="SH50" s="4"/>
      <c r="SI50" s="4"/>
      <c r="SJ50" s="4"/>
      <c r="SK50" s="4"/>
      <c r="SL50" s="5"/>
      <c r="SM50" s="6"/>
      <c r="SN50" s="4"/>
      <c r="SO50" s="4"/>
      <c r="SP50" s="4"/>
      <c r="SQ50" s="4"/>
      <c r="SR50" s="4"/>
      <c r="SS50" s="5"/>
      <c r="ST50" s="6"/>
      <c r="SU50" s="4"/>
      <c r="SV50" s="4"/>
      <c r="SW50" s="4"/>
      <c r="SX50" s="4"/>
      <c r="SY50" s="4"/>
      <c r="SZ50" s="5"/>
      <c r="TA50" s="6"/>
      <c r="TB50" s="4"/>
      <c r="TC50" s="4"/>
      <c r="TD50" s="4"/>
      <c r="TE50" s="4"/>
      <c r="TF50" s="4"/>
      <c r="TG50" s="5"/>
      <c r="TH50" s="6"/>
      <c r="TI50" s="4"/>
      <c r="TJ50" s="4"/>
      <c r="TK50" s="4"/>
      <c r="TL50" s="4"/>
      <c r="TM50" s="4"/>
      <c r="TN50" s="5"/>
      <c r="TO50" s="6"/>
      <c r="TP50" s="4"/>
      <c r="TQ50" s="4"/>
      <c r="TR50" s="4"/>
      <c r="TS50" s="4"/>
      <c r="TT50" s="4"/>
      <c r="TU50" s="5"/>
      <c r="TV50" s="6"/>
      <c r="TW50" s="4"/>
      <c r="TX50" s="4"/>
      <c r="TY50" s="4"/>
      <c r="TZ50" s="4"/>
      <c r="UA50" s="4"/>
      <c r="UB50" s="5"/>
      <c r="UC50" s="6"/>
      <c r="UD50" s="4"/>
      <c r="UE50" s="4"/>
      <c r="UF50" s="4"/>
      <c r="UG50" s="4"/>
      <c r="UH50" s="4"/>
      <c r="UI50" s="5"/>
      <c r="UJ50" s="6"/>
      <c r="UK50" s="4"/>
      <c r="UL50" s="4"/>
      <c r="UM50" s="4"/>
      <c r="UN50" s="4"/>
      <c r="UO50" s="4"/>
      <c r="UP50" s="5"/>
      <c r="UQ50" s="6"/>
      <c r="UR50" s="4"/>
      <c r="US50" s="4"/>
      <c r="UT50" s="4"/>
      <c r="UU50" s="4"/>
      <c r="UV50" s="4"/>
      <c r="UW50" s="5"/>
      <c r="UX50" s="6"/>
      <c r="UY50" s="4"/>
      <c r="UZ50" s="4"/>
      <c r="VA50" s="4"/>
      <c r="VB50" s="4"/>
      <c r="VC50" s="4"/>
      <c r="VD50" s="5"/>
      <c r="VE50" s="6"/>
      <c r="VF50" s="4"/>
      <c r="VG50" s="4"/>
      <c r="VH50" s="4"/>
      <c r="VI50" s="4"/>
      <c r="VJ50" s="4"/>
      <c r="VK50" s="5"/>
      <c r="VL50" s="6"/>
      <c r="VM50" s="4"/>
      <c r="VN50" s="4"/>
      <c r="VO50" s="4"/>
      <c r="VP50" s="4"/>
      <c r="VQ50" s="4"/>
      <c r="VR50" s="5"/>
      <c r="VS50" s="6"/>
      <c r="VT50" s="4"/>
      <c r="VU50" s="4"/>
      <c r="VV50" s="4"/>
      <c r="VW50" s="4"/>
      <c r="VX50" s="4"/>
      <c r="VY50" s="5"/>
      <c r="VZ50" s="6"/>
      <c r="WA50" s="4"/>
      <c r="WB50" s="4"/>
      <c r="WC50" s="4"/>
      <c r="WD50" s="4"/>
      <c r="WE50" s="4"/>
      <c r="WF50" s="5"/>
      <c r="WG50" s="6"/>
      <c r="WH50" s="4"/>
      <c r="WI50" s="4"/>
      <c r="WJ50" s="4"/>
      <c r="WK50" s="4"/>
      <c r="WL50" s="4"/>
      <c r="WM50" s="5"/>
      <c r="WN50" s="6"/>
      <c r="WO50" s="4"/>
      <c r="WP50" s="4"/>
      <c r="WQ50" s="4"/>
      <c r="WR50" s="4"/>
      <c r="WS50" s="4"/>
      <c r="WT50" s="5"/>
      <c r="WU50" s="6"/>
      <c r="WV50" s="4"/>
      <c r="WW50" s="4"/>
      <c r="WX50" s="4"/>
      <c r="WY50" s="4"/>
      <c r="WZ50" s="4"/>
      <c r="XA50" s="5"/>
      <c r="XB50" s="6"/>
      <c r="XC50" s="4"/>
      <c r="XD50" s="4"/>
      <c r="XE50" s="4"/>
      <c r="XF50" s="4"/>
      <c r="XG50" s="4"/>
      <c r="XH50" s="5"/>
      <c r="XI50" s="6"/>
      <c r="XJ50" s="4"/>
      <c r="XK50" s="4"/>
      <c r="XL50" s="4"/>
      <c r="XM50" s="4"/>
      <c r="XN50" s="4"/>
      <c r="XO50" s="5"/>
      <c r="XP50" s="6"/>
      <c r="XQ50" s="4"/>
      <c r="XR50" s="4"/>
      <c r="XS50" s="4"/>
      <c r="XT50" s="4"/>
      <c r="XU50" s="4"/>
      <c r="XV50" s="5"/>
      <c r="XW50" s="6"/>
      <c r="XX50" s="4"/>
      <c r="XY50" s="4"/>
      <c r="XZ50" s="4"/>
      <c r="YA50" s="4"/>
      <c r="YB50" s="4"/>
      <c r="YC50" s="5"/>
      <c r="YD50" s="6"/>
      <c r="YE50" s="4"/>
      <c r="YF50" s="4"/>
      <c r="YG50" s="4"/>
      <c r="YH50" s="4"/>
      <c r="YI50" s="4"/>
      <c r="YJ50" s="5"/>
      <c r="YK50" s="6" t="s">
        <v>2748</v>
      </c>
      <c r="YL50" s="7" t="s">
        <v>2749</v>
      </c>
      <c r="YM50" s="4"/>
      <c r="YN50" s="4"/>
      <c r="YO50" s="4"/>
      <c r="YP50" s="4"/>
      <c r="YQ50" s="5" t="s">
        <v>2747</v>
      </c>
      <c r="YR50" s="6"/>
      <c r="YS50" s="4"/>
      <c r="YT50" s="4"/>
      <c r="YU50" s="4"/>
      <c r="YV50" s="4"/>
      <c r="YW50" s="4"/>
      <c r="YX50" s="5"/>
      <c r="YY50" s="6"/>
      <c r="YZ50" s="4"/>
      <c r="ZA50" s="4"/>
      <c r="ZB50" s="4"/>
      <c r="ZC50" s="4"/>
      <c r="ZD50" s="4"/>
      <c r="ZE50" s="5"/>
      <c r="ZF50" s="6"/>
      <c r="ZG50" s="4"/>
      <c r="ZH50" s="4"/>
      <c r="ZI50" s="4"/>
      <c r="ZJ50" s="4"/>
      <c r="ZK50" s="4"/>
      <c r="ZL50" s="5"/>
      <c r="ZM50" s="6"/>
      <c r="ZN50" s="4"/>
      <c r="ZO50" s="4"/>
      <c r="ZP50" s="4"/>
      <c r="ZQ50" s="4"/>
      <c r="ZR50" s="4"/>
      <c r="ZS50" s="5"/>
      <c r="ZT50" s="6"/>
      <c r="ZU50" s="4"/>
      <c r="ZV50" s="4"/>
      <c r="ZW50" s="4"/>
      <c r="ZX50" s="4"/>
      <c r="ZY50" s="4"/>
      <c r="ZZ50" s="5"/>
      <c r="AAA50" s="6"/>
      <c r="AAB50" s="4"/>
      <c r="AAC50" s="4"/>
      <c r="AAD50" s="4"/>
      <c r="AAE50" s="4"/>
      <c r="AAF50" s="4"/>
      <c r="AAG50" s="5"/>
      <c r="AAH50" s="6"/>
      <c r="AAI50" s="4"/>
      <c r="AAJ50" s="4"/>
      <c r="AAK50" s="4"/>
      <c r="AAL50" s="4"/>
      <c r="AAM50" s="4"/>
      <c r="AAN50" s="5"/>
      <c r="AAO50" s="6"/>
      <c r="AAP50" s="4"/>
      <c r="AAQ50" s="4"/>
      <c r="AAR50" s="4"/>
      <c r="AAS50" s="4"/>
      <c r="AAT50" s="4"/>
      <c r="AAU50" s="5"/>
      <c r="AAV50" s="6"/>
      <c r="AAW50" s="4"/>
      <c r="AAX50" s="4"/>
      <c r="AAY50" s="4"/>
      <c r="AAZ50" s="4"/>
      <c r="ABA50" s="4"/>
      <c r="ABB50" s="5"/>
      <c r="ABC50" s="6"/>
      <c r="ABD50" s="4"/>
      <c r="ABE50" s="4"/>
      <c r="ABF50" s="4"/>
      <c r="ABG50" s="4"/>
      <c r="ABH50" s="4"/>
      <c r="ABI50" s="5"/>
      <c r="ABJ50" s="6"/>
      <c r="ABK50" s="4"/>
      <c r="ABL50" s="4"/>
      <c r="ABM50" s="4"/>
      <c r="ABN50" s="4"/>
      <c r="ABO50" s="4"/>
      <c r="ABP50" s="5"/>
      <c r="ABQ50" s="6"/>
      <c r="ABR50" s="4"/>
      <c r="ABS50" s="4"/>
      <c r="ABT50" s="4"/>
      <c r="ABU50" s="4"/>
      <c r="ABV50" s="4"/>
      <c r="ABW50" s="5"/>
      <c r="ABX50" s="6"/>
      <c r="ABY50" s="4"/>
      <c r="ABZ50" s="4"/>
      <c r="ACA50" s="4"/>
      <c r="ACB50" s="4"/>
      <c r="ACC50" s="4"/>
      <c r="ACD50" s="5"/>
      <c r="ACE50" s="6"/>
      <c r="ACF50" s="4"/>
      <c r="ACG50" s="4"/>
      <c r="ACH50" s="4"/>
      <c r="ACI50" s="4"/>
      <c r="ACJ50" s="4"/>
      <c r="ACK50" s="5"/>
      <c r="ACL50" s="6"/>
      <c r="ACM50" s="4"/>
      <c r="ACN50" s="4"/>
      <c r="ACO50" s="4"/>
      <c r="ACP50" s="4"/>
      <c r="ACQ50" s="4"/>
      <c r="ACR50" s="5"/>
      <c r="ACS50" s="6"/>
      <c r="ACT50" s="4"/>
      <c r="ACU50" s="4"/>
      <c r="ACV50" s="4"/>
      <c r="ACW50" s="4"/>
      <c r="ACX50" s="4"/>
      <c r="ACY50" s="5"/>
    </row>
    <row r="51" spans="2:805" x14ac:dyDescent="0.25">
      <c r="B51" s="30"/>
      <c r="J51" s="12"/>
      <c r="K51" s="12"/>
      <c r="L51" s="12"/>
      <c r="LL51" s="6"/>
      <c r="LM51" s="4"/>
      <c r="LN51" s="4"/>
      <c r="LO51" s="4"/>
      <c r="LP51" s="4"/>
      <c r="LQ51" s="4"/>
      <c r="LR51" s="5"/>
      <c r="LS51" s="6"/>
      <c r="LT51" s="4"/>
      <c r="LU51" s="4"/>
      <c r="LV51" s="4"/>
      <c r="LW51" s="4"/>
      <c r="LX51" s="4"/>
      <c r="LY51" s="5"/>
      <c r="LZ51" s="6"/>
      <c r="MA51" s="7"/>
      <c r="MB51" s="4"/>
      <c r="MC51" s="4"/>
      <c r="MD51" s="8"/>
      <c r="ME51" s="4"/>
      <c r="MF51" s="4"/>
      <c r="MG51" s="5"/>
      <c r="MH51" s="6"/>
      <c r="MI51" s="4"/>
      <c r="MJ51" s="4"/>
      <c r="MK51" s="4"/>
      <c r="ML51" s="4"/>
      <c r="MM51" s="4"/>
      <c r="MN51" s="5"/>
      <c r="MO51" s="6"/>
      <c r="MP51" s="4"/>
      <c r="MQ51" s="4"/>
      <c r="MR51" s="4"/>
      <c r="MS51" s="4"/>
      <c r="MT51" s="4"/>
      <c r="MU51" s="5"/>
      <c r="MV51" s="6"/>
      <c r="MW51" s="4"/>
      <c r="MX51" s="4"/>
      <c r="MY51" s="4"/>
      <c r="MZ51" s="4"/>
      <c r="NA51" s="4"/>
      <c r="NB51" s="5"/>
      <c r="NC51" s="6"/>
      <c r="ND51" s="4"/>
      <c r="NE51" s="4"/>
      <c r="NF51" s="4"/>
      <c r="NG51" s="4"/>
      <c r="NH51" s="4"/>
      <c r="NI51" s="5"/>
      <c r="NJ51" s="6"/>
      <c r="NK51" s="4"/>
      <c r="NL51" s="4"/>
      <c r="NM51" s="4"/>
      <c r="NN51" s="4"/>
      <c r="NO51" s="4"/>
      <c r="NP51" s="5"/>
      <c r="NQ51" s="6"/>
      <c r="NR51" s="4"/>
      <c r="NS51" s="4"/>
      <c r="NT51" s="4"/>
      <c r="NU51" s="4"/>
      <c r="NV51" s="4"/>
      <c r="NW51" s="5"/>
      <c r="NX51" s="6"/>
      <c r="NY51" s="4"/>
      <c r="NZ51" s="4"/>
      <c r="OA51" s="4"/>
      <c r="OB51" s="4"/>
      <c r="OC51" s="4"/>
      <c r="OD51" s="5"/>
      <c r="OE51" s="6"/>
      <c r="OF51" s="4"/>
      <c r="OG51" s="4"/>
      <c r="OH51" s="4"/>
      <c r="OI51" s="4"/>
      <c r="OJ51" s="4"/>
      <c r="OK51" s="5"/>
      <c r="OL51" s="6"/>
      <c r="OM51" s="4"/>
      <c r="ON51" s="4"/>
      <c r="OO51" s="4"/>
      <c r="OP51" s="4"/>
      <c r="OQ51" s="4"/>
      <c r="OR51" s="5"/>
      <c r="OS51" s="6"/>
      <c r="OT51" s="4"/>
      <c r="OU51" s="4"/>
      <c r="OV51" s="4"/>
      <c r="OW51" s="4"/>
      <c r="OX51" s="4"/>
      <c r="OY51" s="5"/>
      <c r="OZ51" s="6"/>
      <c r="PA51" s="4"/>
      <c r="PB51" s="4"/>
      <c r="PC51" s="4"/>
      <c r="PD51" s="4"/>
      <c r="PE51" s="4"/>
      <c r="PF51" s="5"/>
      <c r="PG51" s="6"/>
      <c r="PH51" s="4"/>
      <c r="PI51" s="4"/>
      <c r="PJ51" s="4"/>
      <c r="PK51" s="4"/>
      <c r="PL51" s="4"/>
      <c r="PM51" s="5"/>
      <c r="PN51" s="6"/>
      <c r="PO51" s="4"/>
      <c r="PP51" s="4"/>
      <c r="PQ51" s="4"/>
      <c r="PR51" s="4"/>
      <c r="PS51" s="4"/>
      <c r="PT51" s="5"/>
      <c r="PU51" s="6"/>
      <c r="PV51" s="4"/>
      <c r="PW51" s="4"/>
      <c r="PX51" s="4"/>
      <c r="PY51" s="4"/>
      <c r="PZ51" s="4"/>
      <c r="QA51" s="5"/>
      <c r="QB51" s="6"/>
      <c r="QC51" s="4"/>
      <c r="QD51" s="4"/>
      <c r="QE51" s="4"/>
      <c r="QF51" s="4"/>
      <c r="QG51" s="4"/>
      <c r="QH51" s="5"/>
      <c r="QI51" s="6"/>
      <c r="QJ51" s="4"/>
      <c r="QK51" s="4"/>
      <c r="QL51" s="4"/>
      <c r="QM51" s="4"/>
      <c r="QN51" s="4"/>
      <c r="QO51" s="5"/>
      <c r="QP51" s="6"/>
      <c r="QQ51" s="4"/>
      <c r="QR51" s="4"/>
      <c r="QS51" s="4"/>
      <c r="QT51" s="4"/>
      <c r="QU51" s="4"/>
      <c r="QV51" s="5"/>
      <c r="QW51" s="6"/>
      <c r="QX51" s="4"/>
      <c r="QY51" s="4"/>
      <c r="QZ51" s="4"/>
      <c r="RA51" s="4"/>
      <c r="RB51" s="4"/>
      <c r="RC51" s="5"/>
      <c r="RD51" s="6"/>
      <c r="RE51" s="4"/>
      <c r="RF51" s="4"/>
      <c r="RG51" s="4"/>
      <c r="RH51" s="4"/>
      <c r="RI51" s="4"/>
      <c r="RJ51" s="5"/>
      <c r="RK51" s="6"/>
      <c r="RL51" s="4"/>
      <c r="RM51" s="4"/>
      <c r="RN51" s="4"/>
      <c r="RO51" s="4"/>
      <c r="RP51" s="4"/>
      <c r="RQ51" s="5"/>
      <c r="RR51" s="6"/>
      <c r="RS51" s="4"/>
      <c r="RT51" s="4"/>
      <c r="RU51" s="4"/>
      <c r="RV51" s="4"/>
      <c r="RW51" s="4"/>
      <c r="RX51" s="5"/>
      <c r="RY51" s="6"/>
      <c r="RZ51" s="4"/>
      <c r="SA51" s="4"/>
      <c r="SB51" s="4"/>
      <c r="SC51" s="4"/>
      <c r="SD51" s="4"/>
      <c r="SE51" s="5"/>
      <c r="SF51" s="6"/>
      <c r="SG51" s="4"/>
      <c r="SH51" s="4"/>
      <c r="SI51" s="4"/>
      <c r="SJ51" s="4"/>
      <c r="SK51" s="4"/>
      <c r="SL51" s="5"/>
      <c r="SM51" s="6"/>
      <c r="SN51" s="4"/>
      <c r="SO51" s="4"/>
      <c r="SP51" s="4"/>
      <c r="SQ51" s="4"/>
      <c r="SR51" s="4"/>
      <c r="SS51" s="5"/>
      <c r="ST51" s="6"/>
      <c r="SU51" s="4"/>
      <c r="SV51" s="4"/>
      <c r="SW51" s="4"/>
      <c r="SX51" s="4"/>
      <c r="SY51" s="4"/>
      <c r="SZ51" s="5"/>
      <c r="TA51" s="6"/>
      <c r="TB51" s="4"/>
      <c r="TC51" s="4"/>
      <c r="TD51" s="4"/>
      <c r="TE51" s="4"/>
      <c r="TF51" s="4"/>
      <c r="TG51" s="5"/>
      <c r="TH51" s="6"/>
      <c r="TI51" s="4"/>
      <c r="TJ51" s="4"/>
      <c r="TK51" s="4"/>
      <c r="TL51" s="4"/>
      <c r="TM51" s="4"/>
      <c r="TN51" s="5"/>
      <c r="TO51" s="6"/>
      <c r="TP51" s="4"/>
      <c r="TQ51" s="4"/>
      <c r="TR51" s="4"/>
      <c r="TS51" s="4"/>
      <c r="TT51" s="4"/>
      <c r="TU51" s="5"/>
      <c r="TV51" s="6"/>
      <c r="TW51" s="4"/>
      <c r="TX51" s="4"/>
      <c r="TY51" s="4"/>
      <c r="TZ51" s="4"/>
      <c r="UA51" s="4"/>
      <c r="UB51" s="5"/>
      <c r="UC51" s="6"/>
      <c r="UD51" s="4"/>
      <c r="UE51" s="4"/>
      <c r="UF51" s="4"/>
      <c r="UG51" s="4"/>
      <c r="UH51" s="4"/>
      <c r="UI51" s="5"/>
      <c r="UJ51" s="6"/>
      <c r="UK51" s="4"/>
      <c r="UL51" s="4"/>
      <c r="UM51" s="4"/>
      <c r="UN51" s="4"/>
      <c r="UO51" s="4"/>
      <c r="UP51" s="5"/>
      <c r="UQ51" s="6"/>
      <c r="UR51" s="4"/>
      <c r="US51" s="4"/>
      <c r="UT51" s="4"/>
      <c r="UU51" s="4"/>
      <c r="UV51" s="4"/>
      <c r="UW51" s="5"/>
      <c r="UX51" s="6"/>
      <c r="UY51" s="4"/>
      <c r="UZ51" s="4"/>
      <c r="VA51" s="4"/>
      <c r="VB51" s="4"/>
      <c r="VC51" s="4"/>
      <c r="VD51" s="5"/>
      <c r="VE51" s="6"/>
      <c r="VF51" s="4"/>
      <c r="VG51" s="4"/>
      <c r="VH51" s="4"/>
      <c r="VI51" s="4"/>
      <c r="VJ51" s="4"/>
      <c r="VK51" s="5"/>
      <c r="VL51" s="6"/>
      <c r="VM51" s="4"/>
      <c r="VN51" s="4"/>
      <c r="VO51" s="4"/>
      <c r="VP51" s="4"/>
      <c r="VQ51" s="4"/>
      <c r="VR51" s="5"/>
      <c r="VS51" s="6"/>
      <c r="VT51" s="4"/>
      <c r="VU51" s="4"/>
      <c r="VV51" s="4"/>
      <c r="VW51" s="4"/>
      <c r="VX51" s="4"/>
      <c r="VY51" s="5"/>
      <c r="VZ51" s="6"/>
      <c r="WA51" s="4"/>
      <c r="WB51" s="4"/>
      <c r="WC51" s="4"/>
      <c r="WD51" s="4"/>
      <c r="WE51" s="4"/>
      <c r="WF51" s="5"/>
      <c r="WG51" s="6"/>
      <c r="WH51" s="4"/>
      <c r="WI51" s="4"/>
      <c r="WJ51" s="4"/>
      <c r="WK51" s="4"/>
      <c r="WL51" s="4"/>
      <c r="WM51" s="5"/>
      <c r="WN51" s="6"/>
      <c r="WO51" s="4"/>
      <c r="WP51" s="4"/>
      <c r="WQ51" s="4"/>
      <c r="WR51" s="4"/>
      <c r="WS51" s="4"/>
      <c r="WT51" s="5"/>
      <c r="WU51" s="6"/>
      <c r="WV51" s="4"/>
      <c r="WW51" s="4"/>
      <c r="WX51" s="4"/>
      <c r="WY51" s="4"/>
      <c r="WZ51" s="4"/>
      <c r="XA51" s="5"/>
      <c r="XB51" s="6"/>
      <c r="XC51" s="4"/>
      <c r="XD51" s="4"/>
      <c r="XE51" s="4"/>
      <c r="XF51" s="4"/>
      <c r="XG51" s="4"/>
      <c r="XH51" s="5"/>
      <c r="XI51" s="6"/>
      <c r="XJ51" s="4"/>
      <c r="XK51" s="4"/>
      <c r="XL51" s="4"/>
      <c r="XM51" s="4"/>
      <c r="XN51" s="4"/>
      <c r="XO51" s="5"/>
      <c r="XP51" s="6"/>
      <c r="XQ51" s="4"/>
      <c r="XR51" s="4"/>
      <c r="XS51" s="4"/>
      <c r="XT51" s="4"/>
      <c r="XU51" s="4"/>
      <c r="XV51" s="5"/>
      <c r="XW51" s="6"/>
      <c r="XX51" s="4"/>
      <c r="XY51" s="4"/>
      <c r="XZ51" s="4"/>
      <c r="YA51" s="4"/>
      <c r="YB51" s="4"/>
      <c r="YC51" s="5"/>
      <c r="YD51" s="6"/>
      <c r="YE51" s="4"/>
      <c r="YF51" s="4"/>
      <c r="YG51" s="4"/>
      <c r="YH51" s="4"/>
      <c r="YI51" s="4"/>
      <c r="YJ51" s="5"/>
      <c r="YK51" s="6" t="s">
        <v>2361</v>
      </c>
      <c r="YL51" s="7" t="s">
        <v>2361</v>
      </c>
      <c r="YM51" s="4"/>
      <c r="YN51" s="4"/>
      <c r="YO51" s="4"/>
      <c r="YP51" s="4"/>
      <c r="YQ51" s="5" t="s">
        <v>2362</v>
      </c>
      <c r="YR51" s="6"/>
      <c r="YS51" s="4"/>
      <c r="YT51" s="4"/>
      <c r="YU51" s="4"/>
      <c r="YV51" s="4"/>
      <c r="YW51" s="4"/>
      <c r="YX51" s="5"/>
      <c r="YY51" s="6"/>
      <c r="YZ51" s="4"/>
      <c r="ZA51" s="4"/>
      <c r="ZB51" s="4"/>
      <c r="ZC51" s="4"/>
      <c r="ZD51" s="4"/>
      <c r="ZE51" s="5"/>
      <c r="ZF51" s="6"/>
      <c r="ZG51" s="4"/>
      <c r="ZH51" s="4"/>
      <c r="ZI51" s="4"/>
      <c r="ZJ51" s="4"/>
      <c r="ZK51" s="4"/>
      <c r="ZL51" s="5"/>
      <c r="ZM51" s="6"/>
      <c r="ZN51" s="4"/>
      <c r="ZO51" s="4"/>
      <c r="ZP51" s="4"/>
      <c r="ZQ51" s="4"/>
      <c r="ZR51" s="4"/>
      <c r="ZS51" s="5"/>
      <c r="ZT51" s="6"/>
      <c r="ZU51" s="4"/>
      <c r="ZV51" s="4"/>
      <c r="ZW51" s="4"/>
      <c r="ZX51" s="4"/>
      <c r="ZY51" s="4"/>
      <c r="ZZ51" s="5"/>
      <c r="AAA51" s="6"/>
      <c r="AAB51" s="4"/>
      <c r="AAC51" s="4"/>
      <c r="AAD51" s="4"/>
      <c r="AAE51" s="4"/>
      <c r="AAF51" s="4"/>
      <c r="AAG51" s="5"/>
      <c r="AAH51" s="6"/>
      <c r="AAI51" s="4"/>
      <c r="AAJ51" s="4"/>
      <c r="AAK51" s="4"/>
      <c r="AAL51" s="4"/>
      <c r="AAM51" s="4"/>
      <c r="AAN51" s="5"/>
      <c r="AAO51" s="6"/>
      <c r="AAP51" s="4"/>
      <c r="AAQ51" s="4"/>
      <c r="AAR51" s="4"/>
      <c r="AAS51" s="4"/>
      <c r="AAT51" s="4"/>
      <c r="AAU51" s="5"/>
      <c r="AAV51" s="6"/>
      <c r="AAW51" s="4"/>
      <c r="AAX51" s="4"/>
      <c r="AAY51" s="4"/>
      <c r="AAZ51" s="4"/>
      <c r="ABA51" s="4"/>
      <c r="ABB51" s="5"/>
      <c r="ABC51" s="6"/>
      <c r="ABD51" s="4"/>
      <c r="ABE51" s="4"/>
      <c r="ABF51" s="4"/>
      <c r="ABG51" s="4"/>
      <c r="ABH51" s="4"/>
      <c r="ABI51" s="5"/>
      <c r="ABJ51" s="6"/>
      <c r="ABK51" s="4"/>
      <c r="ABL51" s="4"/>
      <c r="ABM51" s="4"/>
      <c r="ABN51" s="4"/>
      <c r="ABO51" s="4"/>
      <c r="ABP51" s="5"/>
      <c r="ABQ51" s="6"/>
      <c r="ABR51" s="4"/>
      <c r="ABS51" s="4"/>
      <c r="ABT51" s="4"/>
      <c r="ABU51" s="4"/>
      <c r="ABV51" s="4"/>
      <c r="ABW51" s="5"/>
      <c r="ABX51" s="6"/>
      <c r="ABY51" s="4"/>
      <c r="ABZ51" s="4"/>
      <c r="ACA51" s="4"/>
      <c r="ACB51" s="4"/>
      <c r="ACC51" s="4"/>
      <c r="ACD51" s="5"/>
      <c r="ACE51" s="6"/>
      <c r="ACF51" s="4"/>
      <c r="ACG51" s="4"/>
      <c r="ACH51" s="4"/>
      <c r="ACI51" s="4"/>
      <c r="ACJ51" s="4"/>
      <c r="ACK51" s="5"/>
      <c r="ACL51" s="6"/>
      <c r="ACM51" s="4"/>
      <c r="ACN51" s="4"/>
      <c r="ACO51" s="4"/>
      <c r="ACP51" s="4"/>
      <c r="ACQ51" s="4"/>
      <c r="ACR51" s="5"/>
      <c r="ACS51" s="6"/>
      <c r="ACT51" s="4"/>
      <c r="ACU51" s="4"/>
      <c r="ACV51" s="4"/>
      <c r="ACW51" s="4"/>
      <c r="ACX51" s="4"/>
      <c r="ACY51" s="5"/>
    </row>
    <row r="52" spans="2:805" x14ac:dyDescent="0.25">
      <c r="B52" s="49">
        <v>93011023</v>
      </c>
      <c r="C52">
        <v>85</v>
      </c>
      <c r="D52" t="s">
        <v>682</v>
      </c>
      <c r="F52" s="23">
        <v>0</v>
      </c>
      <c r="J52" s="12"/>
      <c r="K52" s="12"/>
      <c r="L52" s="12"/>
      <c r="M52">
        <v>1</v>
      </c>
      <c r="N52" s="17">
        <v>33950</v>
      </c>
      <c r="LL52" s="6"/>
      <c r="LM52" s="4"/>
      <c r="LN52" s="4"/>
      <c r="LO52" s="4"/>
      <c r="LP52" s="4"/>
      <c r="LQ52" s="4"/>
      <c r="LR52" s="5"/>
      <c r="LS52" s="6"/>
      <c r="LT52" s="4"/>
      <c r="LU52" s="4"/>
      <c r="LV52" s="4"/>
      <c r="LW52" s="4"/>
      <c r="LX52" s="4"/>
      <c r="LY52" s="5"/>
      <c r="LZ52" s="6" t="s">
        <v>2289</v>
      </c>
      <c r="MA52" s="7" t="s">
        <v>2375</v>
      </c>
      <c r="MB52" s="4" t="s">
        <v>2873</v>
      </c>
      <c r="MC52" s="4"/>
      <c r="MD52" s="8"/>
      <c r="ME52" s="4"/>
      <c r="MF52" s="4"/>
      <c r="MG52" s="5" t="s">
        <v>691</v>
      </c>
      <c r="MH52" s="6"/>
      <c r="MI52" s="4"/>
      <c r="MJ52" s="4"/>
      <c r="MK52" s="4"/>
      <c r="ML52" s="4"/>
      <c r="MM52" s="4"/>
      <c r="MN52" s="5"/>
      <c r="MO52" s="6"/>
      <c r="MP52" s="4"/>
      <c r="MQ52" s="4"/>
      <c r="MR52" s="4"/>
      <c r="MS52" s="4"/>
      <c r="MT52" s="4"/>
      <c r="MU52" s="5"/>
      <c r="MV52" s="6"/>
      <c r="MW52" s="4"/>
      <c r="MX52" s="4"/>
      <c r="MY52" s="4"/>
      <c r="MZ52" s="4"/>
      <c r="NA52" s="4"/>
      <c r="NB52" s="5"/>
      <c r="NC52" s="6"/>
      <c r="ND52" s="4"/>
      <c r="NE52" s="4"/>
      <c r="NF52" s="4"/>
      <c r="NG52" s="4"/>
      <c r="NH52" s="4"/>
      <c r="NI52" s="5"/>
      <c r="NJ52" s="6"/>
      <c r="NK52" s="4"/>
      <c r="NL52" s="4"/>
      <c r="NM52" s="4"/>
      <c r="NN52" s="4"/>
      <c r="NO52" s="4"/>
      <c r="NP52" s="5"/>
      <c r="NQ52" s="6"/>
      <c r="NR52" s="4"/>
      <c r="NS52" s="4"/>
      <c r="NT52" s="4"/>
      <c r="NU52" s="4"/>
      <c r="NV52" s="4"/>
      <c r="NW52" s="5"/>
      <c r="NX52" s="6"/>
      <c r="NY52" s="4"/>
      <c r="NZ52" s="4"/>
      <c r="OA52" s="4"/>
      <c r="OB52" s="4"/>
      <c r="OC52" s="4"/>
      <c r="OD52" s="5"/>
      <c r="OE52" s="6"/>
      <c r="OF52" s="4"/>
      <c r="OG52" s="4"/>
      <c r="OH52" s="4"/>
      <c r="OI52" s="4"/>
      <c r="OJ52" s="4"/>
      <c r="OK52" s="5"/>
      <c r="OL52" s="6"/>
      <c r="OM52" s="4"/>
      <c r="ON52" s="4"/>
      <c r="OO52" s="4"/>
      <c r="OP52" s="4"/>
      <c r="OQ52" s="4"/>
      <c r="OR52" s="5"/>
      <c r="OS52" s="6"/>
      <c r="OT52" s="4"/>
      <c r="OU52" s="4"/>
      <c r="OV52" s="4"/>
      <c r="OW52" s="4"/>
      <c r="OX52" s="4"/>
      <c r="OY52" s="5"/>
      <c r="OZ52" s="6"/>
      <c r="PA52" s="4"/>
      <c r="PB52" s="4"/>
      <c r="PC52" s="4"/>
      <c r="PD52" s="4"/>
      <c r="PE52" s="4"/>
      <c r="PF52" s="5"/>
      <c r="PG52" s="6"/>
      <c r="PH52" s="4"/>
      <c r="PI52" s="4"/>
      <c r="PJ52" s="4"/>
      <c r="PK52" s="4"/>
      <c r="PL52" s="4"/>
      <c r="PM52" s="5"/>
      <c r="PN52" s="6"/>
      <c r="PO52" s="4"/>
      <c r="PP52" s="4"/>
      <c r="PQ52" s="4"/>
      <c r="PR52" s="4"/>
      <c r="PS52" s="4"/>
      <c r="PT52" s="5"/>
      <c r="PU52" s="6"/>
      <c r="PV52" s="4"/>
      <c r="PW52" s="4"/>
      <c r="PX52" s="4"/>
      <c r="PY52" s="4"/>
      <c r="PZ52" s="4"/>
      <c r="QA52" s="5"/>
      <c r="QB52" s="6" t="s">
        <v>775</v>
      </c>
      <c r="QC52" s="4" t="s">
        <v>2256</v>
      </c>
      <c r="QD52" s="4"/>
      <c r="QE52" s="4"/>
      <c r="QF52" s="4"/>
      <c r="QG52" s="4"/>
      <c r="QH52" s="5" t="s">
        <v>692</v>
      </c>
      <c r="QI52" s="6"/>
      <c r="QJ52" s="4"/>
      <c r="QK52" s="4"/>
      <c r="QL52" s="4"/>
      <c r="QM52" s="4"/>
      <c r="QN52" s="4"/>
      <c r="QO52" s="5"/>
      <c r="QP52" s="6"/>
      <c r="QQ52" s="4"/>
      <c r="QR52" s="4"/>
      <c r="QS52" s="4"/>
      <c r="QT52" s="4"/>
      <c r="QU52" s="4"/>
      <c r="QV52" s="5"/>
      <c r="QW52" s="6"/>
      <c r="QX52" s="4"/>
      <c r="QY52" s="4"/>
      <c r="QZ52" s="4"/>
      <c r="RA52" s="4"/>
      <c r="RB52" s="4"/>
      <c r="RC52" s="5"/>
      <c r="RD52" s="6"/>
      <c r="RE52" s="4"/>
      <c r="RF52" s="4"/>
      <c r="RG52" s="4"/>
      <c r="RH52" s="4"/>
      <c r="RI52" s="4"/>
      <c r="RJ52" s="5"/>
      <c r="RK52" s="6"/>
      <c r="RL52" s="4"/>
      <c r="RM52" s="4"/>
      <c r="RN52" s="4"/>
      <c r="RO52" s="4"/>
      <c r="RP52" s="4"/>
      <c r="RQ52" s="5"/>
      <c r="RR52" s="6"/>
      <c r="RS52" s="4"/>
      <c r="RT52" s="4"/>
      <c r="RU52" s="4"/>
      <c r="RV52" s="4"/>
      <c r="RW52" s="4"/>
      <c r="RX52" s="5"/>
      <c r="RY52" s="6"/>
      <c r="RZ52" s="4"/>
      <c r="SA52" s="4"/>
      <c r="SB52" s="4"/>
      <c r="SC52" s="4"/>
      <c r="SD52" s="4"/>
      <c r="SE52" s="5"/>
      <c r="SF52" s="6"/>
      <c r="SG52" s="4"/>
      <c r="SH52" s="4"/>
      <c r="SI52" s="4"/>
      <c r="SJ52" s="4"/>
      <c r="SK52" s="4"/>
      <c r="SL52" s="5"/>
      <c r="SM52" s="6"/>
      <c r="SN52" s="4"/>
      <c r="SO52" s="4"/>
      <c r="SP52" s="4"/>
      <c r="SQ52" s="4"/>
      <c r="SR52" s="4"/>
      <c r="SS52" s="5"/>
      <c r="ST52" s="6"/>
      <c r="SU52" s="4"/>
      <c r="SV52" s="4"/>
      <c r="SW52" s="4"/>
      <c r="SX52" s="4"/>
      <c r="SY52" s="4"/>
      <c r="SZ52" s="5"/>
      <c r="TA52" s="6"/>
      <c r="TB52" s="4"/>
      <c r="TC52" s="4"/>
      <c r="TD52" s="4"/>
      <c r="TE52" s="4"/>
      <c r="TF52" s="4"/>
      <c r="TG52" s="5"/>
      <c r="TH52" s="6"/>
      <c r="TI52" s="4"/>
      <c r="TJ52" s="4"/>
      <c r="TK52" s="4"/>
      <c r="TL52" s="4"/>
      <c r="TM52" s="4"/>
      <c r="TN52" s="5"/>
      <c r="TO52" s="6"/>
      <c r="TP52" s="4"/>
      <c r="TQ52" s="4"/>
      <c r="TR52" s="4"/>
      <c r="TS52" s="4"/>
      <c r="TT52" s="4"/>
      <c r="TU52" s="5"/>
      <c r="TV52" s="6"/>
      <c r="TW52" s="4"/>
      <c r="TX52" s="4"/>
      <c r="TY52" s="4"/>
      <c r="TZ52" s="4"/>
      <c r="UA52" s="4"/>
      <c r="UB52" s="5"/>
      <c r="UC52" s="6"/>
      <c r="UD52" s="4"/>
      <c r="UE52" s="4"/>
      <c r="UF52" s="4"/>
      <c r="UG52" s="4"/>
      <c r="UH52" s="4"/>
      <c r="UI52" s="5"/>
      <c r="UJ52" s="6"/>
      <c r="UK52" s="4"/>
      <c r="UL52" s="4"/>
      <c r="UM52" s="4"/>
      <c r="UN52" s="4"/>
      <c r="UO52" s="4"/>
      <c r="UP52" s="5"/>
      <c r="UQ52" s="6"/>
      <c r="UR52" s="4"/>
      <c r="US52" s="4"/>
      <c r="UT52" s="4"/>
      <c r="UU52" s="4"/>
      <c r="UV52" s="4"/>
      <c r="UW52" s="5"/>
      <c r="UX52" s="6"/>
      <c r="UY52" s="4"/>
      <c r="UZ52" s="4"/>
      <c r="VA52" s="4"/>
      <c r="VB52" s="4"/>
      <c r="VC52" s="4"/>
      <c r="VD52" s="5"/>
      <c r="VE52" s="6"/>
      <c r="VF52" s="4"/>
      <c r="VG52" s="4"/>
      <c r="VH52" s="4"/>
      <c r="VI52" s="4"/>
      <c r="VJ52" s="4"/>
      <c r="VK52" s="5"/>
      <c r="VL52" s="6"/>
      <c r="VM52" s="4"/>
      <c r="VN52" s="4"/>
      <c r="VO52" s="4"/>
      <c r="VP52" s="4"/>
      <c r="VQ52" s="4"/>
      <c r="VR52" s="5"/>
      <c r="VS52" s="6"/>
      <c r="VT52" s="4"/>
      <c r="VU52" s="4"/>
      <c r="VV52" s="4"/>
      <c r="VW52" s="4"/>
      <c r="VX52" s="4"/>
      <c r="VY52" s="5"/>
      <c r="VZ52" s="6"/>
      <c r="WA52" s="4"/>
      <c r="WB52" s="4"/>
      <c r="WC52" s="4"/>
      <c r="WD52" s="4"/>
      <c r="WE52" s="4"/>
      <c r="WF52" s="5"/>
      <c r="WG52" s="6"/>
      <c r="WH52" s="4"/>
      <c r="WI52" s="4"/>
      <c r="WJ52" s="4"/>
      <c r="WK52" s="4"/>
      <c r="WL52" s="4"/>
      <c r="WM52" s="5"/>
      <c r="WN52" s="6"/>
      <c r="WO52" s="4"/>
      <c r="WP52" s="4"/>
      <c r="WQ52" s="4"/>
      <c r="WR52" s="4"/>
      <c r="WS52" s="4"/>
      <c r="WT52" s="5"/>
      <c r="WU52" s="6"/>
      <c r="WV52" s="4"/>
      <c r="WW52" s="4"/>
      <c r="WX52" s="4"/>
      <c r="WY52" s="4"/>
      <c r="WZ52" s="4"/>
      <c r="XA52" s="5"/>
      <c r="XB52" s="6"/>
      <c r="XC52" s="4"/>
      <c r="XD52" s="4"/>
      <c r="XE52" s="4"/>
      <c r="XF52" s="4"/>
      <c r="XG52" s="4"/>
      <c r="XH52" s="5"/>
      <c r="XI52" s="6"/>
      <c r="XJ52" s="4"/>
      <c r="XK52" s="4"/>
      <c r="XL52" s="4"/>
      <c r="XM52" s="4"/>
      <c r="XN52" s="4"/>
      <c r="XO52" s="5"/>
      <c r="XP52" s="6"/>
      <c r="XQ52" s="4"/>
      <c r="XR52" s="4"/>
      <c r="XS52" s="4"/>
      <c r="XT52" s="4"/>
      <c r="XU52" s="4"/>
      <c r="XV52" s="5"/>
      <c r="XW52" s="6"/>
      <c r="XX52" s="4"/>
      <c r="XY52" s="4"/>
      <c r="XZ52" s="4"/>
      <c r="YA52" s="4"/>
      <c r="YB52" s="4"/>
      <c r="YC52" s="5"/>
      <c r="YD52" s="6"/>
      <c r="YE52" s="4"/>
      <c r="YF52" s="4"/>
      <c r="YG52" s="4"/>
      <c r="YH52" s="4"/>
      <c r="YI52" s="4"/>
      <c r="YJ52" s="5"/>
      <c r="YK52" s="6" t="s">
        <v>2832</v>
      </c>
      <c r="YL52" s="7" t="s">
        <v>2833</v>
      </c>
      <c r="YM52" s="4"/>
      <c r="YN52" s="4"/>
      <c r="YO52" s="4"/>
      <c r="YP52" s="4"/>
      <c r="YQ52" s="5" t="s">
        <v>693</v>
      </c>
      <c r="YR52" s="6"/>
      <c r="YS52" s="4"/>
      <c r="YT52" s="4"/>
      <c r="YU52" s="4"/>
      <c r="YV52" s="4"/>
      <c r="YW52" s="4"/>
      <c r="YX52" s="5"/>
      <c r="YY52" s="6"/>
      <c r="YZ52" s="4"/>
      <c r="ZA52" s="4"/>
      <c r="ZB52" s="4"/>
      <c r="ZC52" s="4"/>
      <c r="ZD52" s="4"/>
      <c r="ZE52" s="5"/>
      <c r="ZF52" s="6"/>
      <c r="ZG52" s="4"/>
      <c r="ZH52" s="4"/>
      <c r="ZI52" s="4"/>
      <c r="ZJ52" s="4"/>
      <c r="ZK52" s="4"/>
      <c r="ZL52" s="5"/>
      <c r="ZM52" s="6"/>
      <c r="ZN52" s="4"/>
      <c r="ZO52" s="4"/>
      <c r="ZP52" s="4"/>
      <c r="ZQ52" s="4"/>
      <c r="ZR52" s="4"/>
      <c r="ZS52" s="5"/>
      <c r="ZT52" s="6"/>
      <c r="ZU52" s="4"/>
      <c r="ZV52" s="4"/>
      <c r="ZW52" s="4"/>
      <c r="ZX52" s="4"/>
      <c r="ZY52" s="4"/>
      <c r="ZZ52" s="5"/>
      <c r="AAA52" s="6"/>
      <c r="AAB52" s="4"/>
      <c r="AAC52" s="4"/>
      <c r="AAD52" s="4"/>
      <c r="AAE52" s="4"/>
      <c r="AAF52" s="4"/>
      <c r="AAG52" s="5"/>
      <c r="AAH52" s="6"/>
      <c r="AAI52" s="4"/>
      <c r="AAJ52" s="4"/>
      <c r="AAK52" s="4"/>
      <c r="AAL52" s="4"/>
      <c r="AAM52" s="4"/>
      <c r="AAN52" s="5"/>
      <c r="AAO52" s="6"/>
      <c r="AAP52" s="4"/>
      <c r="AAQ52" s="4"/>
      <c r="AAR52" s="4"/>
      <c r="AAS52" s="4"/>
      <c r="AAT52" s="4"/>
      <c r="AAU52" s="5"/>
      <c r="AAV52" s="6"/>
      <c r="AAW52" s="4"/>
      <c r="AAX52" s="4"/>
      <c r="AAY52" s="4"/>
      <c r="AAZ52" s="4"/>
      <c r="ABA52" s="4"/>
      <c r="ABB52" s="5"/>
      <c r="ABC52" s="6"/>
      <c r="ABD52" s="4"/>
      <c r="ABE52" s="4"/>
      <c r="ABF52" s="4"/>
      <c r="ABG52" s="4"/>
      <c r="ABH52" s="4"/>
      <c r="ABI52" s="5"/>
      <c r="ABJ52" s="6"/>
      <c r="ABK52" s="4"/>
      <c r="ABL52" s="4"/>
      <c r="ABM52" s="4"/>
      <c r="ABN52" s="4"/>
      <c r="ABO52" s="4"/>
      <c r="ABP52" s="5"/>
      <c r="ABQ52" s="6" t="s">
        <v>776</v>
      </c>
      <c r="ABR52" s="4" t="s">
        <v>2939</v>
      </c>
      <c r="ABS52" s="4" t="s">
        <v>2873</v>
      </c>
      <c r="ABT52" s="4"/>
      <c r="ABU52" s="4"/>
      <c r="ABV52" s="4"/>
      <c r="ABW52" s="5" t="s">
        <v>694</v>
      </c>
      <c r="ABX52" s="6"/>
      <c r="ABY52" s="4"/>
      <c r="ABZ52" s="4"/>
      <c r="ACA52" s="4"/>
      <c r="ACB52" s="4"/>
      <c r="ACC52" s="4"/>
      <c r="ACD52" s="5"/>
      <c r="ACE52" s="6"/>
      <c r="ACF52" s="4"/>
      <c r="ACG52" s="4"/>
      <c r="ACH52" s="4"/>
      <c r="ACI52" s="4"/>
      <c r="ACJ52" s="4"/>
      <c r="ACK52" s="5"/>
      <c r="ACL52" s="6" t="s">
        <v>777</v>
      </c>
      <c r="ACM52" s="4" t="s">
        <v>2530</v>
      </c>
      <c r="ACN52" s="4" t="s">
        <v>2987</v>
      </c>
      <c r="ACO52" s="4"/>
      <c r="ACP52" s="4"/>
      <c r="ACQ52" s="4"/>
      <c r="ACR52" s="5" t="s">
        <v>695</v>
      </c>
      <c r="ACS52" s="6"/>
      <c r="ACT52" s="4"/>
      <c r="ACU52" s="4"/>
      <c r="ACV52" s="4"/>
      <c r="ACW52" s="4"/>
      <c r="ACX52" s="4"/>
      <c r="ACY52" s="5"/>
      <c r="ADM52" t="s">
        <v>481</v>
      </c>
    </row>
    <row r="53" spans="2:805" x14ac:dyDescent="0.25">
      <c r="B53" s="30"/>
      <c r="J53" s="12"/>
      <c r="K53" s="12"/>
      <c r="L53" s="12"/>
      <c r="LL53" s="6"/>
      <c r="LM53" s="4"/>
      <c r="LN53" s="4"/>
      <c r="LO53" s="4"/>
      <c r="LP53" s="4"/>
      <c r="LQ53" s="4"/>
      <c r="LR53" s="5"/>
      <c r="LS53" s="6"/>
      <c r="LT53" s="4"/>
      <c r="LU53" s="4"/>
      <c r="LV53" s="4"/>
      <c r="LW53" s="4"/>
      <c r="LX53" s="4"/>
      <c r="LY53" s="5"/>
      <c r="LZ53" s="6"/>
      <c r="MA53" s="7"/>
      <c r="MB53" s="4"/>
      <c r="MC53" s="4"/>
      <c r="MD53" s="8"/>
      <c r="ME53" s="4"/>
      <c r="MF53" s="4"/>
      <c r="MG53" s="5"/>
      <c r="MH53" s="6"/>
      <c r="MI53" s="4"/>
      <c r="MJ53" s="4"/>
      <c r="MK53" s="4"/>
      <c r="ML53" s="4"/>
      <c r="MM53" s="4"/>
      <c r="MN53" s="5"/>
      <c r="MO53" s="6"/>
      <c r="MP53" s="4"/>
      <c r="MQ53" s="4"/>
      <c r="MR53" s="4"/>
      <c r="MS53" s="4"/>
      <c r="MT53" s="4"/>
      <c r="MU53" s="5"/>
      <c r="MV53" s="6"/>
      <c r="MW53" s="4"/>
      <c r="MX53" s="4"/>
      <c r="MY53" s="4"/>
      <c r="MZ53" s="4"/>
      <c r="NA53" s="4"/>
      <c r="NB53" s="5"/>
      <c r="NC53" s="6"/>
      <c r="ND53" s="4"/>
      <c r="NE53" s="4"/>
      <c r="NF53" s="4"/>
      <c r="NG53" s="4"/>
      <c r="NH53" s="4"/>
      <c r="NI53" s="5"/>
      <c r="NJ53" s="6"/>
      <c r="NK53" s="4"/>
      <c r="NL53" s="4"/>
      <c r="NM53" s="4"/>
      <c r="NN53" s="4"/>
      <c r="NO53" s="4"/>
      <c r="NP53" s="5"/>
      <c r="NQ53" s="6"/>
      <c r="NR53" s="4"/>
      <c r="NS53" s="4"/>
      <c r="NT53" s="4"/>
      <c r="NU53" s="4"/>
      <c r="NV53" s="4"/>
      <c r="NW53" s="5"/>
      <c r="NX53" s="6"/>
      <c r="NY53" s="4"/>
      <c r="NZ53" s="4"/>
      <c r="OA53" s="4"/>
      <c r="OB53" s="4"/>
      <c r="OC53" s="4"/>
      <c r="OD53" s="5"/>
      <c r="OE53" s="6"/>
      <c r="OF53" s="4"/>
      <c r="OG53" s="4"/>
      <c r="OH53" s="4"/>
      <c r="OI53" s="4"/>
      <c r="OJ53" s="4"/>
      <c r="OK53" s="5"/>
      <c r="OL53" s="6"/>
      <c r="OM53" s="4"/>
      <c r="ON53" s="4"/>
      <c r="OO53" s="4"/>
      <c r="OP53" s="4"/>
      <c r="OQ53" s="4"/>
      <c r="OR53" s="5"/>
      <c r="OS53" s="6"/>
      <c r="OT53" s="4"/>
      <c r="OU53" s="4"/>
      <c r="OV53" s="4"/>
      <c r="OW53" s="4"/>
      <c r="OX53" s="4"/>
      <c r="OY53" s="5"/>
      <c r="OZ53" s="6"/>
      <c r="PA53" s="4"/>
      <c r="PB53" s="4"/>
      <c r="PC53" s="4"/>
      <c r="PD53" s="4"/>
      <c r="PE53" s="4"/>
      <c r="PF53" s="5"/>
      <c r="PG53" s="6"/>
      <c r="PH53" s="4"/>
      <c r="PI53" s="4"/>
      <c r="PJ53" s="4"/>
      <c r="PK53" s="4"/>
      <c r="PL53" s="4"/>
      <c r="PM53" s="5"/>
      <c r="PN53" s="6"/>
      <c r="PO53" s="4"/>
      <c r="PP53" s="4"/>
      <c r="PQ53" s="4"/>
      <c r="PR53" s="4"/>
      <c r="PS53" s="4"/>
      <c r="PT53" s="5"/>
      <c r="PU53" s="6"/>
      <c r="PV53" s="4"/>
      <c r="PW53" s="4"/>
      <c r="PX53" s="4"/>
      <c r="PY53" s="4"/>
      <c r="PZ53" s="4"/>
      <c r="QA53" s="5"/>
      <c r="QB53" s="6"/>
      <c r="QC53" s="4"/>
      <c r="QD53" s="4"/>
      <c r="QE53" s="4"/>
      <c r="QF53" s="4"/>
      <c r="QG53" s="4"/>
      <c r="QH53" s="5"/>
      <c r="QI53" s="6"/>
      <c r="QJ53" s="4"/>
      <c r="QK53" s="4"/>
      <c r="QL53" s="4"/>
      <c r="QM53" s="4"/>
      <c r="QN53" s="4"/>
      <c r="QO53" s="5"/>
      <c r="QP53" s="6"/>
      <c r="QQ53" s="4"/>
      <c r="QR53" s="4"/>
      <c r="QS53" s="4"/>
      <c r="QT53" s="4"/>
      <c r="QU53" s="4"/>
      <c r="QV53" s="5"/>
      <c r="QW53" s="6"/>
      <c r="QX53" s="4"/>
      <c r="QY53" s="4"/>
      <c r="QZ53" s="4"/>
      <c r="RA53" s="4"/>
      <c r="RB53" s="4"/>
      <c r="RC53" s="5"/>
      <c r="RD53" s="6"/>
      <c r="RE53" s="4"/>
      <c r="RF53" s="4"/>
      <c r="RG53" s="4"/>
      <c r="RH53" s="4"/>
      <c r="RI53" s="4"/>
      <c r="RJ53" s="5"/>
      <c r="RK53" s="6"/>
      <c r="RL53" s="4"/>
      <c r="RM53" s="4"/>
      <c r="RN53" s="4"/>
      <c r="RO53" s="4"/>
      <c r="RP53" s="4"/>
      <c r="RQ53" s="5"/>
      <c r="RR53" s="6"/>
      <c r="RS53" s="4"/>
      <c r="RT53" s="4"/>
      <c r="RU53" s="4"/>
      <c r="RV53" s="4"/>
      <c r="RW53" s="4"/>
      <c r="RX53" s="5"/>
      <c r="RY53" s="6"/>
      <c r="RZ53" s="4"/>
      <c r="SA53" s="4"/>
      <c r="SB53" s="4"/>
      <c r="SC53" s="4"/>
      <c r="SD53" s="4"/>
      <c r="SE53" s="5"/>
      <c r="SF53" s="6"/>
      <c r="SG53" s="4"/>
      <c r="SH53" s="4"/>
      <c r="SI53" s="4"/>
      <c r="SJ53" s="4"/>
      <c r="SK53" s="4"/>
      <c r="SL53" s="5"/>
      <c r="SM53" s="6"/>
      <c r="SN53" s="4"/>
      <c r="SO53" s="4"/>
      <c r="SP53" s="4"/>
      <c r="SQ53" s="4"/>
      <c r="SR53" s="4"/>
      <c r="SS53" s="5"/>
      <c r="ST53" s="6"/>
      <c r="SU53" s="4"/>
      <c r="SV53" s="4"/>
      <c r="SW53" s="4"/>
      <c r="SX53" s="4"/>
      <c r="SY53" s="4"/>
      <c r="SZ53" s="5"/>
      <c r="TA53" s="6"/>
      <c r="TB53" s="4"/>
      <c r="TC53" s="4"/>
      <c r="TD53" s="4"/>
      <c r="TE53" s="4"/>
      <c r="TF53" s="4"/>
      <c r="TG53" s="5"/>
      <c r="TH53" s="6"/>
      <c r="TI53" s="4"/>
      <c r="TJ53" s="4"/>
      <c r="TK53" s="4"/>
      <c r="TL53" s="4"/>
      <c r="TM53" s="4"/>
      <c r="TN53" s="5"/>
      <c r="TO53" s="6"/>
      <c r="TP53" s="4"/>
      <c r="TQ53" s="4"/>
      <c r="TR53" s="4"/>
      <c r="TS53" s="4"/>
      <c r="TT53" s="4"/>
      <c r="TU53" s="5"/>
      <c r="TV53" s="6"/>
      <c r="TW53" s="4"/>
      <c r="TX53" s="4"/>
      <c r="TY53" s="4"/>
      <c r="TZ53" s="4"/>
      <c r="UA53" s="4"/>
      <c r="UB53" s="5"/>
      <c r="UC53" s="6"/>
      <c r="UD53" s="4"/>
      <c r="UE53" s="4"/>
      <c r="UF53" s="4"/>
      <c r="UG53" s="4"/>
      <c r="UH53" s="4"/>
      <c r="UI53" s="5"/>
      <c r="UJ53" s="6"/>
      <c r="UK53" s="4"/>
      <c r="UL53" s="4"/>
      <c r="UM53" s="4"/>
      <c r="UN53" s="4"/>
      <c r="UO53" s="4"/>
      <c r="UP53" s="5"/>
      <c r="UQ53" s="6"/>
      <c r="UR53" s="4"/>
      <c r="US53" s="4"/>
      <c r="UT53" s="4"/>
      <c r="UU53" s="4"/>
      <c r="UV53" s="4"/>
      <c r="UW53" s="5"/>
      <c r="UX53" s="6"/>
      <c r="UY53" s="4"/>
      <c r="UZ53" s="4"/>
      <c r="VA53" s="4"/>
      <c r="VB53" s="4"/>
      <c r="VC53" s="4"/>
      <c r="VD53" s="5"/>
      <c r="VE53" s="6"/>
      <c r="VF53" s="4"/>
      <c r="VG53" s="4"/>
      <c r="VH53" s="4"/>
      <c r="VI53" s="4"/>
      <c r="VJ53" s="4"/>
      <c r="VK53" s="5"/>
      <c r="VL53" s="6"/>
      <c r="VM53" s="4"/>
      <c r="VN53" s="4"/>
      <c r="VO53" s="4"/>
      <c r="VP53" s="4"/>
      <c r="VQ53" s="4"/>
      <c r="VR53" s="5"/>
      <c r="VS53" s="6"/>
      <c r="VT53" s="4"/>
      <c r="VU53" s="4"/>
      <c r="VV53" s="4"/>
      <c r="VW53" s="4"/>
      <c r="VX53" s="4"/>
      <c r="VY53" s="5"/>
      <c r="VZ53" s="6"/>
      <c r="WA53" s="4"/>
      <c r="WB53" s="4"/>
      <c r="WC53" s="4"/>
      <c r="WD53" s="4"/>
      <c r="WE53" s="4"/>
      <c r="WF53" s="5"/>
      <c r="WG53" s="6"/>
      <c r="WH53" s="4"/>
      <c r="WI53" s="4"/>
      <c r="WJ53" s="4"/>
      <c r="WK53" s="4"/>
      <c r="WL53" s="4"/>
      <c r="WM53" s="5"/>
      <c r="WN53" s="6"/>
      <c r="WO53" s="4"/>
      <c r="WP53" s="4"/>
      <c r="WQ53" s="4"/>
      <c r="WR53" s="4"/>
      <c r="WS53" s="4"/>
      <c r="WT53" s="5"/>
      <c r="WU53" s="6"/>
      <c r="WV53" s="4"/>
      <c r="WW53" s="4"/>
      <c r="WX53" s="4"/>
      <c r="WY53" s="4"/>
      <c r="WZ53" s="4"/>
      <c r="XA53" s="5"/>
      <c r="XB53" s="6"/>
      <c r="XC53" s="4"/>
      <c r="XD53" s="4"/>
      <c r="XE53" s="4"/>
      <c r="XF53" s="4"/>
      <c r="XG53" s="4"/>
      <c r="XH53" s="5"/>
      <c r="XI53" s="6"/>
      <c r="XJ53" s="4"/>
      <c r="XK53" s="4"/>
      <c r="XL53" s="4"/>
      <c r="XM53" s="4"/>
      <c r="XN53" s="4"/>
      <c r="XO53" s="5"/>
      <c r="XP53" s="6"/>
      <c r="XQ53" s="4"/>
      <c r="XR53" s="4"/>
      <c r="XS53" s="4"/>
      <c r="XT53" s="4"/>
      <c r="XU53" s="4"/>
      <c r="XV53" s="5"/>
      <c r="XW53" s="6"/>
      <c r="XX53" s="4"/>
      <c r="XY53" s="4"/>
      <c r="XZ53" s="4"/>
      <c r="YA53" s="4"/>
      <c r="YB53" s="4"/>
      <c r="YC53" s="5"/>
      <c r="YD53" s="6"/>
      <c r="YE53" s="4"/>
      <c r="YF53" s="4"/>
      <c r="YG53" s="4"/>
      <c r="YH53" s="4"/>
      <c r="YI53" s="4"/>
      <c r="YJ53" s="5"/>
      <c r="YK53" s="6"/>
      <c r="YL53" s="4"/>
      <c r="YM53" s="4"/>
      <c r="YN53" s="4"/>
      <c r="YO53" s="4"/>
      <c r="YP53" s="4"/>
      <c r="YQ53" s="5"/>
      <c r="YR53" s="6"/>
      <c r="YS53" s="4"/>
      <c r="YT53" s="4"/>
      <c r="YU53" s="4"/>
      <c r="YV53" s="4"/>
      <c r="YW53" s="4"/>
      <c r="YX53" s="5"/>
      <c r="YY53" s="6"/>
      <c r="YZ53" s="4"/>
      <c r="ZA53" s="4"/>
      <c r="ZB53" s="4"/>
      <c r="ZC53" s="4"/>
      <c r="ZD53" s="4"/>
      <c r="ZE53" s="5"/>
      <c r="ZF53" s="6"/>
      <c r="ZG53" s="4"/>
      <c r="ZH53" s="4"/>
      <c r="ZI53" s="4"/>
      <c r="ZJ53" s="4"/>
      <c r="ZK53" s="4"/>
      <c r="ZL53" s="5"/>
      <c r="ZM53" s="6"/>
      <c r="ZN53" s="4"/>
      <c r="ZO53" s="4"/>
      <c r="ZP53" s="4"/>
      <c r="ZQ53" s="4"/>
      <c r="ZR53" s="4"/>
      <c r="ZS53" s="5"/>
      <c r="ZT53" s="6"/>
      <c r="ZU53" s="4"/>
      <c r="ZV53" s="4"/>
      <c r="ZW53" s="4"/>
      <c r="ZX53" s="4"/>
      <c r="ZY53" s="4"/>
      <c r="ZZ53" s="5"/>
      <c r="AAA53" s="6"/>
      <c r="AAB53" s="4"/>
      <c r="AAC53" s="4"/>
      <c r="AAD53" s="4"/>
      <c r="AAE53" s="4"/>
      <c r="AAF53" s="4"/>
      <c r="AAG53" s="5"/>
      <c r="AAH53" s="6"/>
      <c r="AAI53" s="4"/>
      <c r="AAJ53" s="4"/>
      <c r="AAK53" s="4"/>
      <c r="AAL53" s="4"/>
      <c r="AAM53" s="4"/>
      <c r="AAN53" s="5"/>
      <c r="AAO53" s="6"/>
      <c r="AAP53" s="4"/>
      <c r="AAQ53" s="4"/>
      <c r="AAR53" s="4"/>
      <c r="AAS53" s="4"/>
      <c r="AAT53" s="4"/>
      <c r="AAU53" s="5"/>
      <c r="AAV53" s="6"/>
      <c r="AAW53" s="4"/>
      <c r="AAX53" s="4"/>
      <c r="AAY53" s="4"/>
      <c r="AAZ53" s="4"/>
      <c r="ABA53" s="4"/>
      <c r="ABB53" s="5"/>
      <c r="ABC53" s="6"/>
      <c r="ABD53" s="4"/>
      <c r="ABE53" s="4"/>
      <c r="ABF53" s="4"/>
      <c r="ABG53" s="4"/>
      <c r="ABH53" s="4"/>
      <c r="ABI53" s="5"/>
      <c r="ABJ53" s="6"/>
      <c r="ABK53" s="4"/>
      <c r="ABL53" s="4"/>
      <c r="ABM53" s="4"/>
      <c r="ABN53" s="4"/>
      <c r="ABO53" s="4"/>
      <c r="ABP53" s="5"/>
      <c r="ABQ53" s="6"/>
      <c r="ABR53" s="4"/>
      <c r="ABS53" s="4"/>
      <c r="ABT53" s="4"/>
      <c r="ABU53" s="4"/>
      <c r="ABV53" s="4"/>
      <c r="ABW53" s="5"/>
      <c r="ABX53" s="6"/>
      <c r="ABY53" s="4"/>
      <c r="ABZ53" s="4"/>
      <c r="ACA53" s="4"/>
      <c r="ACB53" s="4"/>
      <c r="ACC53" s="4"/>
      <c r="ACD53" s="5"/>
      <c r="ACE53" s="6"/>
      <c r="ACF53" s="4"/>
      <c r="ACG53" s="4"/>
      <c r="ACH53" s="4"/>
      <c r="ACI53" s="4"/>
      <c r="ACJ53" s="4"/>
      <c r="ACK53" s="5"/>
      <c r="ACL53" s="6" t="s">
        <v>778</v>
      </c>
      <c r="ACM53" s="4" t="s">
        <v>779</v>
      </c>
      <c r="ACN53" s="4"/>
      <c r="ACO53" s="4"/>
      <c r="ACP53" s="4"/>
      <c r="ACQ53" s="4"/>
      <c r="ACR53" s="5" t="s">
        <v>480</v>
      </c>
      <c r="ACS53" s="6"/>
      <c r="ACT53" s="4"/>
      <c r="ACU53" s="4"/>
      <c r="ACV53" s="4"/>
      <c r="ACW53" s="4"/>
      <c r="ACX53" s="4"/>
      <c r="ACY53" s="5"/>
    </row>
    <row r="54" spans="2:805" x14ac:dyDescent="0.25">
      <c r="B54" s="29">
        <v>93011025</v>
      </c>
      <c r="C54">
        <v>76</v>
      </c>
      <c r="D54" t="s">
        <v>3729</v>
      </c>
      <c r="F54" s="23">
        <v>0</v>
      </c>
      <c r="I54">
        <v>1</v>
      </c>
      <c r="J54" s="19">
        <v>34060</v>
      </c>
      <c r="K54" s="19"/>
      <c r="L54" s="19"/>
      <c r="LL54" s="6"/>
      <c r="LM54" s="4"/>
      <c r="LN54" s="4"/>
      <c r="LO54" s="4"/>
      <c r="LP54" s="4"/>
      <c r="LQ54" s="4"/>
      <c r="LR54" s="5"/>
      <c r="LS54" s="6"/>
      <c r="LT54" s="4"/>
      <c r="LU54" s="4"/>
      <c r="LV54" s="4"/>
      <c r="LW54" s="4"/>
      <c r="LX54" s="4"/>
      <c r="LY54" s="5"/>
      <c r="LZ54" s="6" t="s">
        <v>2693</v>
      </c>
      <c r="MA54" s="7" t="s">
        <v>3026</v>
      </c>
      <c r="MB54" s="7" t="s">
        <v>2664</v>
      </c>
      <c r="MC54" s="4"/>
      <c r="MD54" s="8"/>
      <c r="ME54" s="4"/>
      <c r="MF54" s="4"/>
      <c r="MG54" s="5"/>
      <c r="MH54" s="6"/>
      <c r="MI54" s="4"/>
      <c r="MJ54" s="4"/>
      <c r="MK54" s="4"/>
      <c r="ML54" s="4"/>
      <c r="MM54" s="4"/>
      <c r="MN54" s="5"/>
      <c r="MO54" s="6"/>
      <c r="MP54" s="4"/>
      <c r="MQ54" s="4"/>
      <c r="MR54" s="4"/>
      <c r="MS54" s="4"/>
      <c r="MT54" s="4"/>
      <c r="MU54" s="5"/>
      <c r="MV54" s="6"/>
      <c r="MW54" s="4"/>
      <c r="MX54" s="4"/>
      <c r="MY54" s="4"/>
      <c r="MZ54" s="4"/>
      <c r="NA54" s="4"/>
      <c r="NB54" s="5"/>
      <c r="NC54" s="6"/>
      <c r="ND54" s="4"/>
      <c r="NE54" s="4"/>
      <c r="NF54" s="4"/>
      <c r="NG54" s="4"/>
      <c r="NH54" s="4"/>
      <c r="NI54" s="5"/>
      <c r="NJ54" s="6"/>
      <c r="NK54" s="4"/>
      <c r="NL54" s="4"/>
      <c r="NM54" s="4"/>
      <c r="NN54" s="4"/>
      <c r="NO54" s="4"/>
      <c r="NP54" s="5"/>
      <c r="NQ54" s="6"/>
      <c r="NR54" s="4"/>
      <c r="NS54" s="4"/>
      <c r="NT54" s="4"/>
      <c r="NU54" s="4"/>
      <c r="NV54" s="4"/>
      <c r="NW54" s="5"/>
      <c r="NX54" s="6"/>
      <c r="NY54" s="4"/>
      <c r="NZ54" s="4"/>
      <c r="OA54" s="4"/>
      <c r="OB54" s="4"/>
      <c r="OC54" s="4"/>
      <c r="OD54" s="5"/>
      <c r="OE54" s="6"/>
      <c r="OF54" s="4"/>
      <c r="OG54" s="4"/>
      <c r="OH54" s="4"/>
      <c r="OI54" s="4"/>
      <c r="OJ54" s="4"/>
      <c r="OK54" s="5"/>
      <c r="OL54" s="6"/>
      <c r="OM54" s="4"/>
      <c r="ON54" s="4"/>
      <c r="OO54" s="4"/>
      <c r="OP54" s="4"/>
      <c r="OQ54" s="4"/>
      <c r="OR54" s="5"/>
      <c r="OS54" s="6"/>
      <c r="OT54" s="4"/>
      <c r="OU54" s="4"/>
      <c r="OV54" s="4"/>
      <c r="OW54" s="4"/>
      <c r="OX54" s="4"/>
      <c r="OY54" s="5"/>
      <c r="OZ54" s="6"/>
      <c r="PA54" s="4"/>
      <c r="PB54" s="4"/>
      <c r="PC54" s="4"/>
      <c r="PD54" s="4"/>
      <c r="PE54" s="4"/>
      <c r="PF54" s="5"/>
      <c r="PG54" s="6"/>
      <c r="PH54" s="4"/>
      <c r="PI54" s="4"/>
      <c r="PJ54" s="4"/>
      <c r="PK54" s="4"/>
      <c r="PL54" s="4"/>
      <c r="PM54" s="5"/>
      <c r="PN54" s="6"/>
      <c r="PO54" s="4"/>
      <c r="PP54" s="4"/>
      <c r="PQ54" s="4"/>
      <c r="PR54" s="4"/>
      <c r="PS54" s="4"/>
      <c r="PT54" s="5"/>
      <c r="PU54" s="6"/>
      <c r="PV54" s="4"/>
      <c r="PW54" s="4"/>
      <c r="PX54" s="4"/>
      <c r="PY54" s="4"/>
      <c r="PZ54" s="4"/>
      <c r="QA54" s="5"/>
      <c r="QB54" s="6"/>
      <c r="QC54" s="4"/>
      <c r="QD54" s="4"/>
      <c r="QE54" s="4"/>
      <c r="QF54" s="4"/>
      <c r="QG54" s="4"/>
      <c r="QH54" s="5"/>
      <c r="QI54" s="6"/>
      <c r="QJ54" s="4"/>
      <c r="QK54" s="4"/>
      <c r="QL54" s="4"/>
      <c r="QM54" s="4"/>
      <c r="QN54" s="4"/>
      <c r="QO54" s="5"/>
      <c r="QP54" s="6"/>
      <c r="QQ54" s="4"/>
      <c r="QR54" s="4"/>
      <c r="QS54" s="4"/>
      <c r="QT54" s="4"/>
      <c r="QU54" s="4"/>
      <c r="QV54" s="5"/>
      <c r="QW54" s="6"/>
      <c r="QX54" s="4"/>
      <c r="QY54" s="4"/>
      <c r="QZ54" s="4"/>
      <c r="RA54" s="4"/>
      <c r="RB54" s="4"/>
      <c r="RC54" s="5"/>
      <c r="RD54" s="6"/>
      <c r="RE54" s="4"/>
      <c r="RF54" s="4"/>
      <c r="RG54" s="4"/>
      <c r="RH54" s="4"/>
      <c r="RI54" s="4"/>
      <c r="RJ54" s="5"/>
      <c r="RK54" s="6"/>
      <c r="RL54" s="4"/>
      <c r="RM54" s="4"/>
      <c r="RN54" s="4"/>
      <c r="RO54" s="4"/>
      <c r="RP54" s="4"/>
      <c r="RQ54" s="5"/>
      <c r="RR54" s="6"/>
      <c r="RS54" s="4"/>
      <c r="RT54" s="4"/>
      <c r="RU54" s="4"/>
      <c r="RV54" s="4"/>
      <c r="RW54" s="4"/>
      <c r="RX54" s="5"/>
      <c r="RY54" s="6"/>
      <c r="RZ54" s="4"/>
      <c r="SA54" s="4"/>
      <c r="SB54" s="4"/>
      <c r="SC54" s="4"/>
      <c r="SD54" s="4"/>
      <c r="SE54" s="5"/>
      <c r="SF54" s="6"/>
      <c r="SG54" s="4"/>
      <c r="SH54" s="4"/>
      <c r="SI54" s="4"/>
      <c r="SJ54" s="4"/>
      <c r="SK54" s="4"/>
      <c r="SL54" s="5"/>
      <c r="SM54" s="6"/>
      <c r="SN54" s="4"/>
      <c r="SO54" s="4"/>
      <c r="SP54" s="4"/>
      <c r="SQ54" s="4"/>
      <c r="SR54" s="4"/>
      <c r="SS54" s="5"/>
      <c r="ST54" s="6"/>
      <c r="SU54" s="4"/>
      <c r="SV54" s="4"/>
      <c r="SW54" s="4"/>
      <c r="SX54" s="4"/>
      <c r="SY54" s="4"/>
      <c r="SZ54" s="5"/>
      <c r="TA54" s="6"/>
      <c r="TB54" s="4"/>
      <c r="TC54" s="4"/>
      <c r="TD54" s="4"/>
      <c r="TE54" s="4"/>
      <c r="TF54" s="4"/>
      <c r="TG54" s="5"/>
      <c r="TH54" s="6"/>
      <c r="TI54" s="4"/>
      <c r="TJ54" s="4"/>
      <c r="TK54" s="4"/>
      <c r="TL54" s="4"/>
      <c r="TM54" s="4"/>
      <c r="TN54" s="5"/>
      <c r="TO54" s="6"/>
      <c r="TP54" s="4"/>
      <c r="TQ54" s="4"/>
      <c r="TR54" s="4"/>
      <c r="TS54" s="4"/>
      <c r="TT54" s="4"/>
      <c r="TU54" s="5"/>
      <c r="TV54" s="6"/>
      <c r="TW54" s="4"/>
      <c r="TX54" s="4"/>
      <c r="TY54" s="4"/>
      <c r="TZ54" s="4"/>
      <c r="UA54" s="4"/>
      <c r="UB54" s="5"/>
      <c r="UC54" s="6" t="s">
        <v>2665</v>
      </c>
      <c r="UD54" s="4" t="s">
        <v>2965</v>
      </c>
      <c r="UE54" s="4" t="s">
        <v>2111</v>
      </c>
      <c r="UF54" s="4"/>
      <c r="UG54" s="4"/>
      <c r="UH54" s="4"/>
      <c r="UI54" s="5" t="s">
        <v>1485</v>
      </c>
      <c r="UJ54" s="6"/>
      <c r="UK54" s="4"/>
      <c r="UL54" s="4"/>
      <c r="UM54" s="4"/>
      <c r="UN54" s="4"/>
      <c r="UO54" s="4"/>
      <c r="UP54" s="5"/>
      <c r="UQ54" s="6"/>
      <c r="UR54" s="4"/>
      <c r="US54" s="4"/>
      <c r="UT54" s="4"/>
      <c r="UU54" s="4"/>
      <c r="UV54" s="4"/>
      <c r="UW54" s="5"/>
      <c r="UX54" s="6"/>
      <c r="UY54" s="4"/>
      <c r="UZ54" s="4"/>
      <c r="VA54" s="4"/>
      <c r="VB54" s="4"/>
      <c r="VC54" s="4"/>
      <c r="VD54" s="5"/>
      <c r="VE54" s="6"/>
      <c r="VF54" s="4"/>
      <c r="VG54" s="4"/>
      <c r="VH54" s="4"/>
      <c r="VI54" s="4"/>
      <c r="VJ54" s="4"/>
      <c r="VK54" s="5"/>
      <c r="VL54" s="6"/>
      <c r="VM54" s="4"/>
      <c r="VN54" s="4"/>
      <c r="VO54" s="4"/>
      <c r="VP54" s="4"/>
      <c r="VQ54" s="4"/>
      <c r="VR54" s="5"/>
      <c r="VS54" s="6"/>
      <c r="VT54" s="4"/>
      <c r="VU54" s="4"/>
      <c r="VV54" s="4"/>
      <c r="VW54" s="4"/>
      <c r="VX54" s="4"/>
      <c r="VY54" s="5"/>
      <c r="VZ54" s="6"/>
      <c r="WA54" s="4"/>
      <c r="WB54" s="4"/>
      <c r="WC54" s="4"/>
      <c r="WD54" s="4"/>
      <c r="WE54" s="4"/>
      <c r="WF54" s="5"/>
      <c r="WG54" s="6"/>
      <c r="WH54" s="4"/>
      <c r="WI54" s="4"/>
      <c r="WJ54" s="4"/>
      <c r="WK54" s="4"/>
      <c r="WL54" s="4"/>
      <c r="WM54" s="5"/>
      <c r="WN54" s="6"/>
      <c r="WO54" s="4"/>
      <c r="WP54" s="4"/>
      <c r="WQ54" s="4"/>
      <c r="WR54" s="4"/>
      <c r="WS54" s="4"/>
      <c r="WT54" s="5"/>
      <c r="WU54" s="6"/>
      <c r="WV54" s="4"/>
      <c r="WW54" s="4"/>
      <c r="WX54" s="4"/>
      <c r="WY54" s="4"/>
      <c r="WZ54" s="4"/>
      <c r="XA54" s="5"/>
      <c r="XB54" s="6"/>
      <c r="XC54" s="4"/>
      <c r="XD54" s="4"/>
      <c r="XE54" s="4"/>
      <c r="XF54" s="4"/>
      <c r="XG54" s="4"/>
      <c r="XH54" s="5"/>
      <c r="XI54" s="6"/>
      <c r="XJ54" s="4"/>
      <c r="XK54" s="4"/>
      <c r="XL54" s="4"/>
      <c r="XM54" s="4"/>
      <c r="XN54" s="4"/>
      <c r="XO54" s="5"/>
      <c r="XP54" s="6"/>
      <c r="XQ54" s="4"/>
      <c r="XR54" s="4"/>
      <c r="XS54" s="4"/>
      <c r="XT54" s="4"/>
      <c r="XU54" s="4"/>
      <c r="XV54" s="5"/>
      <c r="XW54" s="6"/>
      <c r="XX54" s="4"/>
      <c r="XY54" s="4"/>
      <c r="XZ54" s="4"/>
      <c r="YA54" s="4"/>
      <c r="YB54" s="4"/>
      <c r="YC54" s="5"/>
      <c r="YD54" s="6"/>
      <c r="YE54" s="4"/>
      <c r="YF54" s="4"/>
      <c r="YG54" s="4"/>
      <c r="YH54" s="4"/>
      <c r="YI54" s="4"/>
      <c r="YJ54" s="5"/>
      <c r="YK54" s="6"/>
      <c r="YL54" s="4"/>
      <c r="YM54" s="4"/>
      <c r="YN54" s="4"/>
      <c r="YO54" s="4"/>
      <c r="YP54" s="4"/>
      <c r="YQ54" s="5"/>
      <c r="YR54" s="6"/>
      <c r="YS54" s="4"/>
      <c r="YT54" s="4"/>
      <c r="YU54" s="4"/>
      <c r="YV54" s="4"/>
      <c r="YW54" s="4"/>
      <c r="YX54" s="5"/>
      <c r="YY54" s="6"/>
      <c r="YZ54" s="4"/>
      <c r="ZA54" s="4"/>
      <c r="ZB54" s="4"/>
      <c r="ZC54" s="4"/>
      <c r="ZD54" s="4"/>
      <c r="ZE54" s="5"/>
      <c r="ZF54" s="6"/>
      <c r="ZG54" s="4"/>
      <c r="ZH54" s="4"/>
      <c r="ZI54" s="4"/>
      <c r="ZJ54" s="4"/>
      <c r="ZK54" s="4"/>
      <c r="ZL54" s="5"/>
      <c r="ZM54" s="6"/>
      <c r="ZN54" s="4"/>
      <c r="ZO54" s="4"/>
      <c r="ZP54" s="4"/>
      <c r="ZQ54" s="4"/>
      <c r="ZR54" s="4"/>
      <c r="ZS54" s="5"/>
      <c r="ZT54" s="6"/>
      <c r="ZU54" s="4"/>
      <c r="ZV54" s="4"/>
      <c r="ZW54" s="4"/>
      <c r="ZX54" s="4"/>
      <c r="ZY54" s="4"/>
      <c r="ZZ54" s="5"/>
      <c r="AAA54" s="6"/>
      <c r="AAB54" s="4"/>
      <c r="AAC54" s="4"/>
      <c r="AAD54" s="4"/>
      <c r="AAE54" s="4"/>
      <c r="AAF54" s="4"/>
      <c r="AAG54" s="5"/>
      <c r="AAH54" s="6"/>
      <c r="AAI54" s="4"/>
      <c r="AAJ54" s="4"/>
      <c r="AAK54" s="4"/>
      <c r="AAL54" s="4"/>
      <c r="AAM54" s="4"/>
      <c r="AAN54" s="5"/>
      <c r="AAO54" s="6"/>
      <c r="AAP54" s="4"/>
      <c r="AAQ54" s="4"/>
      <c r="AAR54" s="4"/>
      <c r="AAS54" s="4"/>
      <c r="AAT54" s="4"/>
      <c r="AAU54" s="5"/>
      <c r="AAV54" s="6"/>
      <c r="AAW54" s="4"/>
      <c r="AAX54" s="4"/>
      <c r="AAY54" s="4"/>
      <c r="AAZ54" s="4"/>
      <c r="ABA54" s="4"/>
      <c r="ABB54" s="5"/>
      <c r="ABC54" s="6"/>
      <c r="ABD54" s="4"/>
      <c r="ABE54" s="4"/>
      <c r="ABF54" s="4"/>
      <c r="ABG54" s="4"/>
      <c r="ABH54" s="4"/>
      <c r="ABI54" s="5"/>
      <c r="ABJ54" s="6"/>
      <c r="ABK54" s="4"/>
      <c r="ABL54" s="4"/>
      <c r="ABM54" s="4"/>
      <c r="ABN54" s="4"/>
      <c r="ABO54" s="4"/>
      <c r="ABP54" s="5"/>
      <c r="ABQ54" s="6" t="s">
        <v>2697</v>
      </c>
      <c r="ABR54" s="4" t="s">
        <v>2662</v>
      </c>
      <c r="ABS54" s="4" t="s">
        <v>2663</v>
      </c>
      <c r="ABT54" s="4"/>
      <c r="ABU54" s="8">
        <v>34046</v>
      </c>
      <c r="ABV54" s="4"/>
      <c r="ABW54" s="5" t="s">
        <v>1357</v>
      </c>
      <c r="ABX54" s="6"/>
      <c r="ABY54" s="4"/>
      <c r="ABZ54" s="4"/>
      <c r="ACA54" s="4"/>
      <c r="ACB54" s="4"/>
      <c r="ACC54" s="4"/>
      <c r="ACD54" s="5"/>
      <c r="ACE54" s="6"/>
      <c r="ACF54" s="4"/>
      <c r="ACG54" s="4"/>
      <c r="ACH54" s="4"/>
      <c r="ACI54" s="4"/>
      <c r="ACJ54" s="4"/>
      <c r="ACK54" s="5"/>
      <c r="ACL54" s="6"/>
      <c r="ACM54" s="4"/>
      <c r="ACN54" s="4"/>
      <c r="ACO54" s="4"/>
      <c r="ACP54" s="4"/>
      <c r="ACQ54" s="4"/>
      <c r="ACR54" s="5"/>
      <c r="ACS54" s="6"/>
      <c r="ACT54" s="4"/>
      <c r="ACU54" s="4"/>
      <c r="ACV54" s="4"/>
      <c r="ACW54" s="4"/>
      <c r="ACX54" s="4"/>
      <c r="ACY54" s="5"/>
      <c r="ADK54" t="s">
        <v>1244</v>
      </c>
      <c r="ADU54" t="s">
        <v>1358</v>
      </c>
    </row>
    <row r="55" spans="2:805" x14ac:dyDescent="0.25">
      <c r="B55" s="29">
        <v>93011100</v>
      </c>
      <c r="C55">
        <v>56</v>
      </c>
      <c r="D55" t="s">
        <v>2121</v>
      </c>
      <c r="F55" s="23">
        <v>0</v>
      </c>
      <c r="I55">
        <v>1</v>
      </c>
      <c r="J55" s="19">
        <v>33865</v>
      </c>
      <c r="K55" s="19"/>
      <c r="L55" s="19"/>
      <c r="LL55" s="6"/>
      <c r="LM55" s="4"/>
      <c r="LN55" s="4"/>
      <c r="LO55" s="4"/>
      <c r="LP55" s="4"/>
      <c r="LQ55" s="4"/>
      <c r="LR55" s="5"/>
      <c r="LS55" s="6"/>
      <c r="LT55" s="4"/>
      <c r="LU55" s="4"/>
      <c r="LV55" s="4"/>
      <c r="LW55" s="4"/>
      <c r="LX55" s="4"/>
      <c r="LY55" s="5"/>
      <c r="LZ55" s="6" t="s">
        <v>2443</v>
      </c>
      <c r="MA55" s="7" t="s">
        <v>2453</v>
      </c>
      <c r="MB55" s="4"/>
      <c r="MC55" s="4"/>
      <c r="MD55" s="8"/>
      <c r="ME55" s="4"/>
      <c r="MF55" s="4"/>
      <c r="MG55" s="5"/>
      <c r="MH55" s="6"/>
      <c r="MI55" s="4"/>
      <c r="MJ55" s="4"/>
      <c r="MK55" s="4"/>
      <c r="ML55" s="4"/>
      <c r="MM55" s="4"/>
      <c r="MN55" s="5"/>
      <c r="MO55" s="6"/>
      <c r="MP55" s="4"/>
      <c r="MQ55" s="4"/>
      <c r="MR55" s="4"/>
      <c r="MS55" s="4"/>
      <c r="MT55" s="4"/>
      <c r="MU55" s="5"/>
      <c r="MV55" s="6"/>
      <c r="MW55" s="4"/>
      <c r="MX55" s="4"/>
      <c r="MY55" s="4"/>
      <c r="MZ55" s="4"/>
      <c r="NA55" s="4"/>
      <c r="NB55" s="5"/>
      <c r="NC55" s="6" t="s">
        <v>2596</v>
      </c>
      <c r="ND55" s="4" t="s">
        <v>2597</v>
      </c>
      <c r="NE55" s="4"/>
      <c r="NF55" s="4" t="s">
        <v>2454</v>
      </c>
      <c r="NG55" s="8">
        <v>33865</v>
      </c>
      <c r="NH55" s="8">
        <v>33868</v>
      </c>
      <c r="NI55" s="5"/>
      <c r="NJ55" s="6" t="s">
        <v>2499</v>
      </c>
      <c r="NK55" s="4" t="s">
        <v>2306</v>
      </c>
      <c r="NL55" s="4"/>
      <c r="NM55" s="4"/>
      <c r="NN55" s="8">
        <v>33865</v>
      </c>
      <c r="NO55" s="4"/>
      <c r="NP55" s="5"/>
      <c r="NQ55" s="6"/>
      <c r="NR55" s="4"/>
      <c r="NS55" s="4"/>
      <c r="NT55" s="4"/>
      <c r="NU55" s="4"/>
      <c r="NV55" s="4"/>
      <c r="NW55" s="5"/>
      <c r="NX55" s="6"/>
      <c r="NY55" s="4"/>
      <c r="NZ55" s="4"/>
      <c r="OA55" s="4"/>
      <c r="OB55" s="4"/>
      <c r="OC55" s="4"/>
      <c r="OD55" s="5"/>
      <c r="OE55" s="6"/>
      <c r="OF55" s="4"/>
      <c r="OG55" s="4"/>
      <c r="OH55" s="4"/>
      <c r="OI55" s="4"/>
      <c r="OJ55" s="4"/>
      <c r="OK55" s="5"/>
      <c r="OL55" s="6"/>
      <c r="OM55" s="4"/>
      <c r="ON55" s="4"/>
      <c r="OO55" s="4"/>
      <c r="OP55" s="4"/>
      <c r="OQ55" s="4"/>
      <c r="OR55" s="5"/>
      <c r="OS55" s="6"/>
      <c r="OT55" s="4"/>
      <c r="OU55" s="4"/>
      <c r="OV55" s="4"/>
      <c r="OW55" s="4"/>
      <c r="OX55" s="4"/>
      <c r="OY55" s="5"/>
      <c r="OZ55" s="6"/>
      <c r="PA55" s="4"/>
      <c r="PB55" s="4"/>
      <c r="PC55" s="4"/>
      <c r="PD55" s="4"/>
      <c r="PE55" s="4"/>
      <c r="PF55" s="5"/>
      <c r="PG55" s="6"/>
      <c r="PH55" s="4"/>
      <c r="PI55" s="4"/>
      <c r="PJ55" s="4"/>
      <c r="PK55" s="4"/>
      <c r="PL55" s="4"/>
      <c r="PM55" s="5"/>
      <c r="PN55" s="6"/>
      <c r="PO55" s="4"/>
      <c r="PP55" s="4"/>
      <c r="PQ55" s="4"/>
      <c r="PR55" s="4"/>
      <c r="PS55" s="4"/>
      <c r="PT55" s="5"/>
      <c r="PU55" s="6"/>
      <c r="PV55" s="4"/>
      <c r="PW55" s="4"/>
      <c r="PX55" s="4"/>
      <c r="PY55" s="4"/>
      <c r="PZ55" s="4"/>
      <c r="QA55" s="5"/>
      <c r="QB55" s="6"/>
      <c r="QC55" s="4"/>
      <c r="QD55" s="4"/>
      <c r="QE55" s="4"/>
      <c r="QF55" s="4"/>
      <c r="QG55" s="4"/>
      <c r="QH55" s="5"/>
      <c r="QI55" s="6"/>
      <c r="QJ55" s="4"/>
      <c r="QK55" s="4"/>
      <c r="QL55" s="4"/>
      <c r="QM55" s="4"/>
      <c r="QN55" s="4"/>
      <c r="QO55" s="5"/>
      <c r="QP55" s="6"/>
      <c r="QQ55" s="4"/>
      <c r="QR55" s="4"/>
      <c r="QS55" s="4"/>
      <c r="QT55" s="4"/>
      <c r="QU55" s="4"/>
      <c r="QV55" s="5"/>
      <c r="QW55" s="6"/>
      <c r="QX55" s="4"/>
      <c r="QY55" s="4"/>
      <c r="QZ55" s="4"/>
      <c r="RA55" s="4"/>
      <c r="RB55" s="4"/>
      <c r="RC55" s="5"/>
      <c r="RD55" s="6"/>
      <c r="RE55" s="4"/>
      <c r="RF55" s="4"/>
      <c r="RG55" s="4"/>
      <c r="RH55" s="4"/>
      <c r="RI55" s="4"/>
      <c r="RJ55" s="5"/>
      <c r="RK55" s="6"/>
      <c r="RL55" s="4"/>
      <c r="RM55" s="4"/>
      <c r="RN55" s="4"/>
      <c r="RO55" s="4"/>
      <c r="RP55" s="4"/>
      <c r="RQ55" s="5"/>
      <c r="RR55" s="6"/>
      <c r="RS55" s="4"/>
      <c r="RT55" s="4"/>
      <c r="RU55" s="4"/>
      <c r="RV55" s="4"/>
      <c r="RW55" s="4"/>
      <c r="RX55" s="5"/>
      <c r="RY55" s="6"/>
      <c r="RZ55" s="4"/>
      <c r="SA55" s="4"/>
      <c r="SB55" s="4"/>
      <c r="SC55" s="4"/>
      <c r="SD55" s="4"/>
      <c r="SE55" s="5"/>
      <c r="SF55" s="6"/>
      <c r="SG55" s="4"/>
      <c r="SH55" s="4"/>
      <c r="SI55" s="4"/>
      <c r="SJ55" s="4"/>
      <c r="SK55" s="4"/>
      <c r="SL55" s="5"/>
      <c r="SM55" s="6"/>
      <c r="SN55" s="4"/>
      <c r="SO55" s="4"/>
      <c r="SP55" s="4"/>
      <c r="SQ55" s="4"/>
      <c r="SR55" s="4"/>
      <c r="SS55" s="5"/>
      <c r="ST55" s="6"/>
      <c r="SU55" s="4"/>
      <c r="SV55" s="4"/>
      <c r="SW55" s="4"/>
      <c r="SX55" s="4"/>
      <c r="SY55" s="4"/>
      <c r="SZ55" s="5"/>
      <c r="TA55" s="6"/>
      <c r="TB55" s="4"/>
      <c r="TC55" s="4"/>
      <c r="TD55" s="4"/>
      <c r="TE55" s="4"/>
      <c r="TF55" s="4"/>
      <c r="TG55" s="5"/>
      <c r="TH55" s="6"/>
      <c r="TI55" s="4"/>
      <c r="TJ55" s="4"/>
      <c r="TK55" s="4"/>
      <c r="TL55" s="4"/>
      <c r="TM55" s="4"/>
      <c r="TN55" s="5"/>
      <c r="TO55" s="6"/>
      <c r="TP55" s="4"/>
      <c r="TQ55" s="4"/>
      <c r="TR55" s="4"/>
      <c r="TS55" s="4"/>
      <c r="TT55" s="4"/>
      <c r="TU55" s="5"/>
      <c r="TV55" s="6"/>
      <c r="TW55" s="4"/>
      <c r="TX55" s="4"/>
      <c r="TY55" s="4"/>
      <c r="TZ55" s="4"/>
      <c r="UA55" s="4"/>
      <c r="UB55" s="5"/>
      <c r="UC55" s="6"/>
      <c r="UD55" s="4"/>
      <c r="UE55" s="4"/>
      <c r="UF55" s="4"/>
      <c r="UG55" s="4"/>
      <c r="UH55" s="4"/>
      <c r="UI55" s="5"/>
      <c r="UJ55" s="6"/>
      <c r="UK55" s="4"/>
      <c r="UL55" s="4"/>
      <c r="UM55" s="4"/>
      <c r="UN55" s="4"/>
      <c r="UO55" s="4"/>
      <c r="UP55" s="5"/>
      <c r="UQ55" s="6" t="s">
        <v>2704</v>
      </c>
      <c r="UR55" s="4" t="s">
        <v>2570</v>
      </c>
      <c r="US55" s="4"/>
      <c r="UT55" s="4" t="s">
        <v>2571</v>
      </c>
      <c r="UU55" s="8">
        <v>33861</v>
      </c>
      <c r="UV55" s="8">
        <v>33868</v>
      </c>
      <c r="UW55" s="5"/>
      <c r="UX55" s="6"/>
      <c r="UY55" s="4"/>
      <c r="UZ55" s="4"/>
      <c r="VA55" s="4"/>
      <c r="VB55" s="4"/>
      <c r="VC55" s="4"/>
      <c r="VD55" s="5"/>
      <c r="VE55" s="6" t="s">
        <v>2828</v>
      </c>
      <c r="VF55" s="4" t="s">
        <v>2333</v>
      </c>
      <c r="VG55" s="4"/>
      <c r="VH55" s="4"/>
      <c r="VI55" s="8">
        <v>33865</v>
      </c>
      <c r="VJ55" s="4"/>
      <c r="VK55" s="5"/>
      <c r="VL55" s="6"/>
      <c r="VM55" s="4"/>
      <c r="VN55" s="4"/>
      <c r="VO55" s="4"/>
      <c r="VP55" s="4"/>
      <c r="VQ55" s="4"/>
      <c r="VR55" s="5"/>
      <c r="VS55" s="6"/>
      <c r="VT55" s="4"/>
      <c r="VU55" s="4"/>
      <c r="VV55" s="4"/>
      <c r="VW55" s="4"/>
      <c r="VX55" s="4"/>
      <c r="VY55" s="5"/>
      <c r="VZ55" s="6"/>
      <c r="WA55" s="4"/>
      <c r="WB55" s="4"/>
      <c r="WC55" s="4"/>
      <c r="WD55" s="4"/>
      <c r="WE55" s="4"/>
      <c r="WF55" s="5"/>
      <c r="WG55" s="6"/>
      <c r="WH55" s="4"/>
      <c r="WI55" s="4"/>
      <c r="WJ55" s="4"/>
      <c r="WK55" s="4"/>
      <c r="WL55" s="4"/>
      <c r="WM55" s="5"/>
      <c r="WN55" s="6"/>
      <c r="WO55" s="4"/>
      <c r="WP55" s="4"/>
      <c r="WQ55" s="4"/>
      <c r="WR55" s="4"/>
      <c r="WS55" s="4"/>
      <c r="WT55" s="5"/>
      <c r="WU55" s="6"/>
      <c r="WV55" s="4"/>
      <c r="WW55" s="4"/>
      <c r="WX55" s="4"/>
      <c r="WY55" s="4"/>
      <c r="WZ55" s="4"/>
      <c r="XA55" s="5"/>
      <c r="XB55" s="6"/>
      <c r="XC55" s="4"/>
      <c r="XD55" s="4"/>
      <c r="XE55" s="4"/>
      <c r="XF55" s="4"/>
      <c r="XG55" s="4"/>
      <c r="XH55" s="5"/>
      <c r="XI55" s="6"/>
      <c r="XJ55" s="4"/>
      <c r="XK55" s="4"/>
      <c r="XL55" s="4"/>
      <c r="XM55" s="4"/>
      <c r="XN55" s="4"/>
      <c r="XO55" s="5"/>
      <c r="XP55" s="6"/>
      <c r="XQ55" s="4"/>
      <c r="XR55" s="4"/>
      <c r="XS55" s="4"/>
      <c r="XT55" s="4"/>
      <c r="XU55" s="4"/>
      <c r="XV55" s="5"/>
      <c r="XW55" s="6"/>
      <c r="XX55" s="4"/>
      <c r="XY55" s="4"/>
      <c r="XZ55" s="4"/>
      <c r="YA55" s="4"/>
      <c r="YB55" s="4"/>
      <c r="YC55" s="5"/>
      <c r="YD55" s="6"/>
      <c r="YE55" s="4"/>
      <c r="YF55" s="4"/>
      <c r="YG55" s="4"/>
      <c r="YH55" s="4"/>
      <c r="YI55" s="4"/>
      <c r="YJ55" s="5"/>
      <c r="YK55" s="6" t="s">
        <v>2843</v>
      </c>
      <c r="YL55" s="4" t="s">
        <v>2844</v>
      </c>
      <c r="YM55" s="4"/>
      <c r="YN55" s="4"/>
      <c r="YO55" s="8">
        <v>37517</v>
      </c>
      <c r="YP55" s="4"/>
      <c r="YQ55" s="5" t="s">
        <v>2362</v>
      </c>
      <c r="YR55" s="6"/>
      <c r="YS55" s="4"/>
      <c r="YT55" s="4"/>
      <c r="YU55" s="4"/>
      <c r="YV55" s="4"/>
      <c r="YW55" s="4"/>
      <c r="YX55" s="5"/>
      <c r="YY55" s="6"/>
      <c r="YZ55" s="4"/>
      <c r="ZA55" s="4"/>
      <c r="ZB55" s="4"/>
      <c r="ZC55" s="4"/>
      <c r="ZD55" s="4"/>
      <c r="ZE55" s="5"/>
      <c r="ZF55" s="6"/>
      <c r="ZG55" s="4"/>
      <c r="ZH55" s="4"/>
      <c r="ZI55" s="4"/>
      <c r="ZJ55" s="4"/>
      <c r="ZK55" s="4"/>
      <c r="ZL55" s="5"/>
      <c r="ZM55" s="6"/>
      <c r="ZN55" s="4"/>
      <c r="ZO55" s="4"/>
      <c r="ZP55" s="4"/>
      <c r="ZQ55" s="4"/>
      <c r="ZR55" s="4"/>
      <c r="ZS55" s="5"/>
      <c r="ZT55" s="6" t="s">
        <v>2437</v>
      </c>
      <c r="ZU55" s="4" t="s">
        <v>2438</v>
      </c>
      <c r="ZV55" s="4"/>
      <c r="ZW55" s="4"/>
      <c r="ZX55" s="8">
        <v>33849</v>
      </c>
      <c r="ZY55" s="4"/>
      <c r="ZZ55" s="5"/>
      <c r="AAA55" s="6"/>
      <c r="AAB55" s="4"/>
      <c r="AAC55" s="4"/>
      <c r="AAD55" s="4"/>
      <c r="AAE55" s="4"/>
      <c r="AAF55" s="4"/>
      <c r="AAG55" s="5"/>
      <c r="AAH55" s="6"/>
      <c r="AAI55" s="4"/>
      <c r="AAJ55" s="4"/>
      <c r="AAK55" s="4"/>
      <c r="AAL55" s="4"/>
      <c r="AAM55" s="4"/>
      <c r="AAN55" s="5"/>
      <c r="AAO55" s="6"/>
      <c r="AAP55" s="4"/>
      <c r="AAQ55" s="4"/>
      <c r="AAR55" s="4"/>
      <c r="AAS55" s="4"/>
      <c r="AAT55" s="4"/>
      <c r="AAU55" s="5"/>
      <c r="AAV55" s="6"/>
      <c r="AAW55" s="4"/>
      <c r="AAX55" s="4"/>
      <c r="AAY55" s="4"/>
      <c r="AAZ55" s="4"/>
      <c r="ABA55" s="4"/>
      <c r="ABB55" s="5"/>
      <c r="ABC55" s="6"/>
      <c r="ABD55" s="4"/>
      <c r="ABE55" s="4"/>
      <c r="ABF55" s="4"/>
      <c r="ABG55" s="4"/>
      <c r="ABH55" s="4"/>
      <c r="ABI55" s="5"/>
      <c r="ABJ55" s="6"/>
      <c r="ABK55" s="4"/>
      <c r="ABL55" s="4"/>
      <c r="ABM55" s="4"/>
      <c r="ABN55" s="4"/>
      <c r="ABO55" s="4"/>
      <c r="ABP55" s="5"/>
      <c r="ABQ55" s="6"/>
      <c r="ABR55" s="4"/>
      <c r="ABS55" s="4"/>
      <c r="ABT55" s="4"/>
      <c r="ABU55" s="4"/>
      <c r="ABV55" s="4"/>
      <c r="ABW55" s="5"/>
      <c r="ABX55" s="6"/>
      <c r="ABY55" s="4"/>
      <c r="ABZ55" s="4"/>
      <c r="ACA55" s="4"/>
      <c r="ACB55" s="4"/>
      <c r="ACC55" s="4"/>
      <c r="ACD55" s="5"/>
      <c r="ACE55" s="6"/>
      <c r="ACF55" s="4"/>
      <c r="ACG55" s="4"/>
      <c r="ACH55" s="4"/>
      <c r="ACI55" s="4"/>
      <c r="ACJ55" s="4"/>
      <c r="ACK55" s="5"/>
      <c r="ACL55" s="6" t="s">
        <v>2455</v>
      </c>
      <c r="ACM55" s="4" t="s">
        <v>2456</v>
      </c>
      <c r="ACN55" s="4"/>
      <c r="ACO55" s="4"/>
      <c r="ACP55" s="4"/>
      <c r="ACQ55" s="4"/>
      <c r="ACR55" s="5"/>
      <c r="ACS55" s="6"/>
      <c r="ACT55" s="4"/>
      <c r="ACU55" s="4"/>
      <c r="ACV55" s="4"/>
      <c r="ACW55" s="4"/>
      <c r="ACX55" s="4"/>
      <c r="ACY55" s="5"/>
      <c r="ADM55" t="s">
        <v>1246</v>
      </c>
      <c r="ADV55" t="s">
        <v>1245</v>
      </c>
    </row>
    <row r="56" spans="2:805" x14ac:dyDescent="0.25">
      <c r="B56" s="30"/>
      <c r="J56" s="12"/>
      <c r="K56" s="12"/>
      <c r="L56" s="12"/>
      <c r="LL56" s="6"/>
      <c r="LM56" s="4"/>
      <c r="LN56" s="4"/>
      <c r="LO56" s="4"/>
      <c r="LP56" s="4"/>
      <c r="LQ56" s="4"/>
      <c r="LR56" s="5"/>
      <c r="LS56" s="6"/>
      <c r="LT56" s="4"/>
      <c r="LU56" s="4"/>
      <c r="LV56" s="4"/>
      <c r="LW56" s="4"/>
      <c r="LX56" s="4"/>
      <c r="LY56" s="5"/>
      <c r="LZ56" s="6" t="s">
        <v>2457</v>
      </c>
      <c r="MA56" s="7" t="s">
        <v>2234</v>
      </c>
      <c r="MB56" s="4"/>
      <c r="MC56" s="4" t="s">
        <v>2458</v>
      </c>
      <c r="MD56" s="8">
        <v>33842</v>
      </c>
      <c r="ME56" s="8">
        <v>33850</v>
      </c>
      <c r="MF56" s="8"/>
      <c r="MG56" s="5"/>
      <c r="MH56" s="6"/>
      <c r="MI56" s="4"/>
      <c r="MJ56" s="4"/>
      <c r="MK56" s="4"/>
      <c r="ML56" s="4"/>
      <c r="MM56" s="4"/>
      <c r="MN56" s="5"/>
      <c r="MO56" s="6"/>
      <c r="MP56" s="4"/>
      <c r="MQ56" s="4"/>
      <c r="MR56" s="4"/>
      <c r="MS56" s="4"/>
      <c r="MT56" s="4"/>
      <c r="MU56" s="5"/>
      <c r="MV56" s="6"/>
      <c r="MW56" s="4"/>
      <c r="MX56" s="4"/>
      <c r="MY56" s="4"/>
      <c r="MZ56" s="4"/>
      <c r="NA56" s="4"/>
      <c r="NB56" s="5"/>
      <c r="NC56" s="6" t="s">
        <v>2572</v>
      </c>
      <c r="ND56" s="4" t="s">
        <v>2465</v>
      </c>
      <c r="NE56" s="4"/>
      <c r="NF56" s="4" t="s">
        <v>2466</v>
      </c>
      <c r="NG56" s="8">
        <v>33864</v>
      </c>
      <c r="NH56" s="8">
        <v>33859</v>
      </c>
      <c r="NI56" s="5"/>
      <c r="NJ56" s="6"/>
      <c r="NK56" s="4"/>
      <c r="NL56" s="4"/>
      <c r="NM56" s="4"/>
      <c r="NN56" s="4"/>
      <c r="NO56" s="4"/>
      <c r="NP56" s="5"/>
      <c r="NQ56" s="6"/>
      <c r="NR56" s="4"/>
      <c r="NS56" s="4"/>
      <c r="NT56" s="4"/>
      <c r="NU56" s="4"/>
      <c r="NV56" s="4"/>
      <c r="NW56" s="5"/>
      <c r="NX56" s="6"/>
      <c r="NY56" s="4"/>
      <c r="NZ56" s="4"/>
      <c r="OA56" s="4"/>
      <c r="OB56" s="4"/>
      <c r="OC56" s="4"/>
      <c r="OD56" s="5"/>
      <c r="OE56" s="6"/>
      <c r="OF56" s="4"/>
      <c r="OG56" s="4"/>
      <c r="OH56" s="4"/>
      <c r="OI56" s="4"/>
      <c r="OJ56" s="4"/>
      <c r="OK56" s="5"/>
      <c r="OL56" s="6"/>
      <c r="OM56" s="4"/>
      <c r="ON56" s="4"/>
      <c r="OO56" s="4"/>
      <c r="OP56" s="4"/>
      <c r="OQ56" s="4"/>
      <c r="OR56" s="5"/>
      <c r="OS56" s="6"/>
      <c r="OT56" s="4"/>
      <c r="OU56" s="4"/>
      <c r="OV56" s="4"/>
      <c r="OW56" s="4"/>
      <c r="OX56" s="4"/>
      <c r="OY56" s="5"/>
      <c r="OZ56" s="6"/>
      <c r="PA56" s="4"/>
      <c r="PB56" s="4"/>
      <c r="PC56" s="4"/>
      <c r="PD56" s="4"/>
      <c r="PE56" s="4"/>
      <c r="PF56" s="5"/>
      <c r="PG56" s="6"/>
      <c r="PH56" s="4"/>
      <c r="PI56" s="4"/>
      <c r="PJ56" s="4"/>
      <c r="PK56" s="4"/>
      <c r="PL56" s="4"/>
      <c r="PM56" s="5"/>
      <c r="PN56" s="6"/>
      <c r="PO56" s="4"/>
      <c r="PP56" s="4"/>
      <c r="PQ56" s="4"/>
      <c r="PR56" s="4"/>
      <c r="PS56" s="4"/>
      <c r="PT56" s="5"/>
      <c r="PU56" s="6"/>
      <c r="PV56" s="4"/>
      <c r="PW56" s="4"/>
      <c r="PX56" s="4"/>
      <c r="PY56" s="4"/>
      <c r="PZ56" s="4"/>
      <c r="QA56" s="5"/>
      <c r="QB56" s="6"/>
      <c r="QC56" s="4"/>
      <c r="QD56" s="4"/>
      <c r="QE56" s="4"/>
      <c r="QF56" s="4"/>
      <c r="QG56" s="4"/>
      <c r="QH56" s="5"/>
      <c r="QI56" s="6"/>
      <c r="QJ56" s="4"/>
      <c r="QK56" s="4"/>
      <c r="QL56" s="4"/>
      <c r="QM56" s="4"/>
      <c r="QN56" s="4"/>
      <c r="QO56" s="5"/>
      <c r="QP56" s="6"/>
      <c r="QQ56" s="4"/>
      <c r="QR56" s="4"/>
      <c r="QS56" s="4"/>
      <c r="QT56" s="4"/>
      <c r="QU56" s="4"/>
      <c r="QV56" s="5"/>
      <c r="QW56" s="6"/>
      <c r="QX56" s="4"/>
      <c r="QY56" s="4"/>
      <c r="QZ56" s="4"/>
      <c r="RA56" s="4"/>
      <c r="RB56" s="4"/>
      <c r="RC56" s="5"/>
      <c r="RD56" s="6"/>
      <c r="RE56" s="4"/>
      <c r="RF56" s="4"/>
      <c r="RG56" s="4"/>
      <c r="RH56" s="4"/>
      <c r="RI56" s="4"/>
      <c r="RJ56" s="5"/>
      <c r="RK56" s="6"/>
      <c r="RL56" s="4"/>
      <c r="RM56" s="4"/>
      <c r="RN56" s="4"/>
      <c r="RO56" s="4"/>
      <c r="RP56" s="4"/>
      <c r="RQ56" s="5"/>
      <c r="RR56" s="6"/>
      <c r="RS56" s="4"/>
      <c r="RT56" s="4"/>
      <c r="RU56" s="4"/>
      <c r="RV56" s="4"/>
      <c r="RW56" s="4"/>
      <c r="RX56" s="5"/>
      <c r="RY56" s="6"/>
      <c r="RZ56" s="4"/>
      <c r="SA56" s="4"/>
      <c r="SB56" s="4"/>
      <c r="SC56" s="4"/>
      <c r="SD56" s="4"/>
      <c r="SE56" s="5"/>
      <c r="SF56" s="6"/>
      <c r="SG56" s="4"/>
      <c r="SH56" s="4"/>
      <c r="SI56" s="4"/>
      <c r="SJ56" s="4"/>
      <c r="SK56" s="4"/>
      <c r="SL56" s="5"/>
      <c r="SM56" s="6"/>
      <c r="SN56" s="4"/>
      <c r="SO56" s="4"/>
      <c r="SP56" s="4"/>
      <c r="SQ56" s="4"/>
      <c r="SR56" s="4"/>
      <c r="SS56" s="5"/>
      <c r="ST56" s="6"/>
      <c r="SU56" s="4"/>
      <c r="SV56" s="4"/>
      <c r="SW56" s="4"/>
      <c r="SX56" s="4"/>
      <c r="SY56" s="4"/>
      <c r="SZ56" s="5"/>
      <c r="TA56" s="6"/>
      <c r="TB56" s="4"/>
      <c r="TC56" s="4"/>
      <c r="TD56" s="4"/>
      <c r="TE56" s="4"/>
      <c r="TF56" s="4"/>
      <c r="TG56" s="5"/>
      <c r="TH56" s="6"/>
      <c r="TI56" s="4"/>
      <c r="TJ56" s="4"/>
      <c r="TK56" s="4"/>
      <c r="TL56" s="4"/>
      <c r="TM56" s="4"/>
      <c r="TN56" s="5"/>
      <c r="TO56" s="6"/>
      <c r="TP56" s="4"/>
      <c r="TQ56" s="4"/>
      <c r="TR56" s="4"/>
      <c r="TS56" s="4"/>
      <c r="TT56" s="4"/>
      <c r="TU56" s="5"/>
      <c r="TV56" s="6"/>
      <c r="TW56" s="4"/>
      <c r="TX56" s="4"/>
      <c r="TY56" s="4"/>
      <c r="TZ56" s="4"/>
      <c r="UA56" s="4"/>
      <c r="UB56" s="5"/>
      <c r="UC56" s="6"/>
      <c r="UD56" s="4"/>
      <c r="UE56" s="4"/>
      <c r="UF56" s="4"/>
      <c r="UG56" s="4"/>
      <c r="UH56" s="4"/>
      <c r="UI56" s="5"/>
      <c r="UJ56" s="6"/>
      <c r="UK56" s="4"/>
      <c r="UL56" s="4"/>
      <c r="UM56" s="4"/>
      <c r="UN56" s="4"/>
      <c r="UO56" s="4"/>
      <c r="UP56" s="5"/>
      <c r="UQ56" s="6"/>
      <c r="UR56" s="4"/>
      <c r="US56" s="4"/>
      <c r="UT56" s="4"/>
      <c r="UU56" s="4"/>
      <c r="UV56" s="4"/>
      <c r="UW56" s="5"/>
      <c r="UX56" s="6"/>
      <c r="UY56" s="4"/>
      <c r="UZ56" s="4"/>
      <c r="VA56" s="4"/>
      <c r="VB56" s="4"/>
      <c r="VC56" s="4"/>
      <c r="VD56" s="5"/>
      <c r="VE56" s="6"/>
      <c r="VF56" s="4"/>
      <c r="VG56" s="4"/>
      <c r="VH56" s="4"/>
      <c r="VI56" s="8"/>
      <c r="VJ56" s="4"/>
      <c r="VK56" s="5"/>
      <c r="VL56" s="6"/>
      <c r="VM56" s="4"/>
      <c r="VN56" s="4"/>
      <c r="VO56" s="4"/>
      <c r="VP56" s="4"/>
      <c r="VQ56" s="4"/>
      <c r="VR56" s="5"/>
      <c r="VS56" s="6"/>
      <c r="VT56" s="4"/>
      <c r="VU56" s="4"/>
      <c r="VV56" s="4"/>
      <c r="VW56" s="4"/>
      <c r="VX56" s="4"/>
      <c r="VY56" s="5"/>
      <c r="VZ56" s="6"/>
      <c r="WA56" s="4"/>
      <c r="WB56" s="4"/>
      <c r="WC56" s="4"/>
      <c r="WD56" s="4"/>
      <c r="WE56" s="4"/>
      <c r="WF56" s="5"/>
      <c r="WG56" s="6"/>
      <c r="WH56" s="4"/>
      <c r="WI56" s="4"/>
      <c r="WJ56" s="4"/>
      <c r="WK56" s="4"/>
      <c r="WL56" s="4"/>
      <c r="WM56" s="5"/>
      <c r="WN56" s="6"/>
      <c r="WO56" s="4"/>
      <c r="WP56" s="4"/>
      <c r="WQ56" s="4"/>
      <c r="WR56" s="4"/>
      <c r="WS56" s="4"/>
      <c r="WT56" s="5"/>
      <c r="WU56" s="6"/>
      <c r="WV56" s="4"/>
      <c r="WW56" s="4"/>
      <c r="WX56" s="4"/>
      <c r="WY56" s="4"/>
      <c r="WZ56" s="4"/>
      <c r="XA56" s="5"/>
      <c r="XB56" s="6"/>
      <c r="XC56" s="4"/>
      <c r="XD56" s="4"/>
      <c r="XE56" s="4"/>
      <c r="XF56" s="4"/>
      <c r="XG56" s="4"/>
      <c r="XH56" s="5"/>
      <c r="XI56" s="6"/>
      <c r="XJ56" s="4"/>
      <c r="XK56" s="4"/>
      <c r="XL56" s="4"/>
      <c r="XM56" s="4"/>
      <c r="XN56" s="4"/>
      <c r="XO56" s="5"/>
      <c r="XP56" s="6"/>
      <c r="XQ56" s="4"/>
      <c r="XR56" s="4"/>
      <c r="XS56" s="4"/>
      <c r="XT56" s="4"/>
      <c r="XU56" s="4"/>
      <c r="XV56" s="5"/>
      <c r="XW56" s="6"/>
      <c r="XX56" s="4"/>
      <c r="XY56" s="4"/>
      <c r="XZ56" s="4"/>
      <c r="YA56" s="4"/>
      <c r="YB56" s="4"/>
      <c r="YC56" s="5"/>
      <c r="YD56" s="6"/>
      <c r="YE56" s="4"/>
      <c r="YF56" s="4"/>
      <c r="YG56" s="4"/>
      <c r="YH56" s="4"/>
      <c r="YI56" s="4"/>
      <c r="YJ56" s="5"/>
      <c r="YK56" s="6"/>
      <c r="YL56" s="4"/>
      <c r="YM56" s="4"/>
      <c r="YN56" s="4"/>
      <c r="YO56" s="8"/>
      <c r="YP56" s="4"/>
      <c r="YQ56" s="5"/>
      <c r="YR56" s="6"/>
      <c r="YS56" s="4"/>
      <c r="YT56" s="4"/>
      <c r="YU56" s="4"/>
      <c r="YV56" s="4"/>
      <c r="YW56" s="4"/>
      <c r="YX56" s="5"/>
      <c r="YY56" s="6"/>
      <c r="YZ56" s="4"/>
      <c r="ZA56" s="4"/>
      <c r="ZB56" s="4"/>
      <c r="ZC56" s="4"/>
      <c r="ZD56" s="4"/>
      <c r="ZE56" s="5"/>
      <c r="ZF56" s="6"/>
      <c r="ZG56" s="4"/>
      <c r="ZH56" s="4"/>
      <c r="ZI56" s="4"/>
      <c r="ZJ56" s="4"/>
      <c r="ZK56" s="4"/>
      <c r="ZL56" s="5"/>
      <c r="ZM56" s="6"/>
      <c r="ZN56" s="4"/>
      <c r="ZO56" s="4"/>
      <c r="ZP56" s="4"/>
      <c r="ZQ56" s="4"/>
      <c r="ZR56" s="4"/>
      <c r="ZS56" s="5"/>
      <c r="ZT56" s="6"/>
      <c r="ZU56" s="4"/>
      <c r="ZV56" s="4"/>
      <c r="ZW56" s="4"/>
      <c r="ZX56" s="8"/>
      <c r="ZY56" s="4"/>
      <c r="ZZ56" s="5"/>
      <c r="AAA56" s="6"/>
      <c r="AAB56" s="4"/>
      <c r="AAC56" s="4"/>
      <c r="AAD56" s="4"/>
      <c r="AAE56" s="4"/>
      <c r="AAF56" s="4"/>
      <c r="AAG56" s="5"/>
      <c r="AAH56" s="6"/>
      <c r="AAI56" s="4"/>
      <c r="AAJ56" s="4"/>
      <c r="AAK56" s="4"/>
      <c r="AAL56" s="4"/>
      <c r="AAM56" s="4"/>
      <c r="AAN56" s="5"/>
      <c r="AAO56" s="6"/>
      <c r="AAP56" s="4"/>
      <c r="AAQ56" s="4"/>
      <c r="AAR56" s="4"/>
      <c r="AAS56" s="4"/>
      <c r="AAT56" s="4"/>
      <c r="AAU56" s="5"/>
      <c r="AAV56" s="6"/>
      <c r="AAW56" s="4"/>
      <c r="AAX56" s="4"/>
      <c r="AAY56" s="4"/>
      <c r="AAZ56" s="4"/>
      <c r="ABA56" s="4"/>
      <c r="ABB56" s="5"/>
      <c r="ABC56" s="6"/>
      <c r="ABD56" s="4"/>
      <c r="ABE56" s="4"/>
      <c r="ABF56" s="4"/>
      <c r="ABG56" s="4"/>
      <c r="ABH56" s="4"/>
      <c r="ABI56" s="5"/>
      <c r="ABJ56" s="6"/>
      <c r="ABK56" s="4"/>
      <c r="ABL56" s="4"/>
      <c r="ABM56" s="4"/>
      <c r="ABN56" s="4"/>
      <c r="ABO56" s="4"/>
      <c r="ABP56" s="5"/>
      <c r="ABQ56" s="6"/>
      <c r="ABR56" s="4"/>
      <c r="ABS56" s="4"/>
      <c r="ABT56" s="4"/>
      <c r="ABU56" s="4"/>
      <c r="ABV56" s="4"/>
      <c r="ABW56" s="5"/>
      <c r="ABX56" s="6"/>
      <c r="ABY56" s="4"/>
      <c r="ABZ56" s="4"/>
      <c r="ACA56" s="4"/>
      <c r="ACB56" s="4"/>
      <c r="ACC56" s="4"/>
      <c r="ACD56" s="5"/>
      <c r="ACE56" s="6"/>
      <c r="ACF56" s="4"/>
      <c r="ACG56" s="4"/>
      <c r="ACH56" s="4"/>
      <c r="ACI56" s="4"/>
      <c r="ACJ56" s="4"/>
      <c r="ACK56" s="5"/>
      <c r="ACL56" s="6"/>
      <c r="ACM56" s="4"/>
      <c r="ACN56" s="4"/>
      <c r="ACO56" s="4"/>
      <c r="ACP56" s="4"/>
      <c r="ACQ56" s="4"/>
      <c r="ACR56" s="5"/>
      <c r="ACS56" s="6"/>
      <c r="ACT56" s="4"/>
      <c r="ACU56" s="4"/>
      <c r="ACV56" s="4"/>
      <c r="ACW56" s="4"/>
      <c r="ACX56" s="4"/>
      <c r="ACY56" s="5"/>
    </row>
    <row r="57" spans="2:805" x14ac:dyDescent="0.25">
      <c r="B57" s="30"/>
      <c r="J57" s="12"/>
      <c r="K57" s="12"/>
      <c r="L57" s="12"/>
      <c r="LL57" s="6"/>
      <c r="LM57" s="4"/>
      <c r="LN57" s="4"/>
      <c r="LO57" s="4"/>
      <c r="LP57" s="4"/>
      <c r="LQ57" s="4"/>
      <c r="LR57" s="5"/>
      <c r="LS57" s="6"/>
      <c r="LT57" s="4"/>
      <c r="LU57" s="4"/>
      <c r="LV57" s="4"/>
      <c r="LW57" s="4"/>
      <c r="LX57" s="4"/>
      <c r="LY57" s="5"/>
      <c r="LZ57" s="6" t="s">
        <v>2459</v>
      </c>
      <c r="MA57" s="7" t="s">
        <v>2234</v>
      </c>
      <c r="MB57" s="4"/>
      <c r="MC57" s="4"/>
      <c r="MD57" s="8"/>
      <c r="ME57" s="8">
        <v>33867</v>
      </c>
      <c r="MF57" s="8"/>
      <c r="MG57" s="5"/>
      <c r="MH57" s="6"/>
      <c r="MI57" s="4"/>
      <c r="MJ57" s="4"/>
      <c r="MK57" s="4"/>
      <c r="ML57" s="4"/>
      <c r="MM57" s="4"/>
      <c r="MN57" s="5"/>
      <c r="MO57" s="6"/>
      <c r="MP57" s="4"/>
      <c r="MQ57" s="4"/>
      <c r="MR57" s="4"/>
      <c r="MS57" s="4"/>
      <c r="MT57" s="4"/>
      <c r="MU57" s="5"/>
      <c r="MV57" s="6"/>
      <c r="MW57" s="4"/>
      <c r="MX57" s="4"/>
      <c r="MY57" s="4"/>
      <c r="MZ57" s="4"/>
      <c r="NA57" s="4"/>
      <c r="NB57" s="5"/>
      <c r="NC57" s="6"/>
      <c r="ND57" s="4"/>
      <c r="NE57" s="4"/>
      <c r="NF57" s="4"/>
      <c r="NG57" s="8"/>
      <c r="NH57" s="8"/>
      <c r="NI57" s="5"/>
      <c r="NJ57" s="6"/>
      <c r="NK57" s="4"/>
      <c r="NL57" s="4"/>
      <c r="NM57" s="4"/>
      <c r="NN57" s="4"/>
      <c r="NO57" s="4"/>
      <c r="NP57" s="5"/>
      <c r="NQ57" s="6"/>
      <c r="NR57" s="4"/>
      <c r="NS57" s="4"/>
      <c r="NT57" s="4"/>
      <c r="NU57" s="4"/>
      <c r="NV57" s="4"/>
      <c r="NW57" s="5"/>
      <c r="NX57" s="6"/>
      <c r="NY57" s="4"/>
      <c r="NZ57" s="4"/>
      <c r="OA57" s="4"/>
      <c r="OB57" s="4"/>
      <c r="OC57" s="4"/>
      <c r="OD57" s="5"/>
      <c r="OE57" s="6"/>
      <c r="OF57" s="4"/>
      <c r="OG57" s="4"/>
      <c r="OH57" s="4"/>
      <c r="OI57" s="4"/>
      <c r="OJ57" s="4"/>
      <c r="OK57" s="5"/>
      <c r="OL57" s="6"/>
      <c r="OM57" s="4"/>
      <c r="ON57" s="4"/>
      <c r="OO57" s="4"/>
      <c r="OP57" s="4"/>
      <c r="OQ57" s="4"/>
      <c r="OR57" s="5"/>
      <c r="OS57" s="6"/>
      <c r="OT57" s="4"/>
      <c r="OU57" s="4"/>
      <c r="OV57" s="4"/>
      <c r="OW57" s="4"/>
      <c r="OX57" s="4"/>
      <c r="OY57" s="5"/>
      <c r="OZ57" s="6"/>
      <c r="PA57" s="4"/>
      <c r="PB57" s="4"/>
      <c r="PC57" s="4"/>
      <c r="PD57" s="4"/>
      <c r="PE57" s="4"/>
      <c r="PF57" s="5"/>
      <c r="PG57" s="6"/>
      <c r="PH57" s="4"/>
      <c r="PI57" s="4"/>
      <c r="PJ57" s="4"/>
      <c r="PK57" s="4"/>
      <c r="PL57" s="4"/>
      <c r="PM57" s="5"/>
      <c r="PN57" s="6"/>
      <c r="PO57" s="4"/>
      <c r="PP57" s="4"/>
      <c r="PQ57" s="4"/>
      <c r="PR57" s="4"/>
      <c r="PS57" s="4"/>
      <c r="PT57" s="5"/>
      <c r="PU57" s="6"/>
      <c r="PV57" s="4"/>
      <c r="PW57" s="4"/>
      <c r="PX57" s="4"/>
      <c r="PY57" s="4"/>
      <c r="PZ57" s="4"/>
      <c r="QA57" s="5"/>
      <c r="QB57" s="6"/>
      <c r="QC57" s="4"/>
      <c r="QD57" s="4"/>
      <c r="QE57" s="4"/>
      <c r="QF57" s="4"/>
      <c r="QG57" s="4"/>
      <c r="QH57" s="5"/>
      <c r="QI57" s="6"/>
      <c r="QJ57" s="4"/>
      <c r="QK57" s="4"/>
      <c r="QL57" s="4"/>
      <c r="QM57" s="4"/>
      <c r="QN57" s="4"/>
      <c r="QO57" s="5"/>
      <c r="QP57" s="6"/>
      <c r="QQ57" s="4"/>
      <c r="QR57" s="4"/>
      <c r="QS57" s="4"/>
      <c r="QT57" s="4"/>
      <c r="QU57" s="4"/>
      <c r="QV57" s="5"/>
      <c r="QW57" s="6"/>
      <c r="QX57" s="4"/>
      <c r="QY57" s="4"/>
      <c r="QZ57" s="4"/>
      <c r="RA57" s="4"/>
      <c r="RB57" s="4"/>
      <c r="RC57" s="5"/>
      <c r="RD57" s="6"/>
      <c r="RE57" s="4"/>
      <c r="RF57" s="4"/>
      <c r="RG57" s="4"/>
      <c r="RH57" s="4"/>
      <c r="RI57" s="4"/>
      <c r="RJ57" s="5"/>
      <c r="RK57" s="6"/>
      <c r="RL57" s="4"/>
      <c r="RM57" s="4"/>
      <c r="RN57" s="4"/>
      <c r="RO57" s="4"/>
      <c r="RP57" s="4"/>
      <c r="RQ57" s="5"/>
      <c r="RR57" s="6"/>
      <c r="RS57" s="4"/>
      <c r="RT57" s="4"/>
      <c r="RU57" s="4"/>
      <c r="RV57" s="4"/>
      <c r="RW57" s="4"/>
      <c r="RX57" s="5"/>
      <c r="RY57" s="6"/>
      <c r="RZ57" s="4"/>
      <c r="SA57" s="4"/>
      <c r="SB57" s="4"/>
      <c r="SC57" s="4"/>
      <c r="SD57" s="4"/>
      <c r="SE57" s="5"/>
      <c r="SF57" s="6"/>
      <c r="SG57" s="4"/>
      <c r="SH57" s="4"/>
      <c r="SI57" s="4"/>
      <c r="SJ57" s="4"/>
      <c r="SK57" s="4"/>
      <c r="SL57" s="5"/>
      <c r="SM57" s="6"/>
      <c r="SN57" s="4"/>
      <c r="SO57" s="4"/>
      <c r="SP57" s="4"/>
      <c r="SQ57" s="4"/>
      <c r="SR57" s="4"/>
      <c r="SS57" s="5"/>
      <c r="ST57" s="6"/>
      <c r="SU57" s="4"/>
      <c r="SV57" s="4"/>
      <c r="SW57" s="4"/>
      <c r="SX57" s="4"/>
      <c r="SY57" s="4"/>
      <c r="SZ57" s="5"/>
      <c r="TA57" s="6"/>
      <c r="TB57" s="4"/>
      <c r="TC57" s="4"/>
      <c r="TD57" s="4"/>
      <c r="TE57" s="4"/>
      <c r="TF57" s="4"/>
      <c r="TG57" s="5"/>
      <c r="TH57" s="6"/>
      <c r="TI57" s="4"/>
      <c r="TJ57" s="4"/>
      <c r="TK57" s="4"/>
      <c r="TL57" s="4"/>
      <c r="TM57" s="4"/>
      <c r="TN57" s="5"/>
      <c r="TO57" s="6"/>
      <c r="TP57" s="4"/>
      <c r="TQ57" s="4"/>
      <c r="TR57" s="4"/>
      <c r="TS57" s="4"/>
      <c r="TT57" s="4"/>
      <c r="TU57" s="5"/>
      <c r="TV57" s="6"/>
      <c r="TW57" s="4"/>
      <c r="TX57" s="4"/>
      <c r="TY57" s="4"/>
      <c r="TZ57" s="4"/>
      <c r="UA57" s="4"/>
      <c r="UB57" s="5"/>
      <c r="UC57" s="6"/>
      <c r="UD57" s="4"/>
      <c r="UE57" s="4"/>
      <c r="UF57" s="4"/>
      <c r="UG57" s="4"/>
      <c r="UH57" s="4"/>
      <c r="UI57" s="5"/>
      <c r="UJ57" s="6"/>
      <c r="UK57" s="4"/>
      <c r="UL57" s="4"/>
      <c r="UM57" s="4"/>
      <c r="UN57" s="4"/>
      <c r="UO57" s="4"/>
      <c r="UP57" s="5"/>
      <c r="UQ57" s="6"/>
      <c r="UR57" s="4"/>
      <c r="US57" s="4"/>
      <c r="UT57" s="4"/>
      <c r="UU57" s="4"/>
      <c r="UV57" s="4"/>
      <c r="UW57" s="5"/>
      <c r="UX57" s="6"/>
      <c r="UY57" s="4"/>
      <c r="UZ57" s="4"/>
      <c r="VA57" s="4"/>
      <c r="VB57" s="4"/>
      <c r="VC57" s="4"/>
      <c r="VD57" s="5"/>
      <c r="VE57" s="6"/>
      <c r="VF57" s="4"/>
      <c r="VG57" s="4"/>
      <c r="VH57" s="4"/>
      <c r="VI57" s="8"/>
      <c r="VJ57" s="4"/>
      <c r="VK57" s="5"/>
      <c r="VL57" s="6"/>
      <c r="VM57" s="4"/>
      <c r="VN57" s="4"/>
      <c r="VO57" s="4"/>
      <c r="VP57" s="4"/>
      <c r="VQ57" s="4"/>
      <c r="VR57" s="5"/>
      <c r="VS57" s="6"/>
      <c r="VT57" s="4"/>
      <c r="VU57" s="4"/>
      <c r="VV57" s="4"/>
      <c r="VW57" s="4"/>
      <c r="VX57" s="4"/>
      <c r="VY57" s="5"/>
      <c r="VZ57" s="6"/>
      <c r="WA57" s="4"/>
      <c r="WB57" s="4"/>
      <c r="WC57" s="4"/>
      <c r="WD57" s="4"/>
      <c r="WE57" s="4"/>
      <c r="WF57" s="5"/>
      <c r="WG57" s="6"/>
      <c r="WH57" s="4"/>
      <c r="WI57" s="4"/>
      <c r="WJ57" s="4"/>
      <c r="WK57" s="4"/>
      <c r="WL57" s="4"/>
      <c r="WM57" s="5"/>
      <c r="WN57" s="6"/>
      <c r="WO57" s="4"/>
      <c r="WP57" s="4"/>
      <c r="WQ57" s="4"/>
      <c r="WR57" s="4"/>
      <c r="WS57" s="4"/>
      <c r="WT57" s="5"/>
      <c r="WU57" s="6"/>
      <c r="WV57" s="4"/>
      <c r="WW57" s="4"/>
      <c r="WX57" s="4"/>
      <c r="WY57" s="4"/>
      <c r="WZ57" s="4"/>
      <c r="XA57" s="5"/>
      <c r="XB57" s="6"/>
      <c r="XC57" s="4"/>
      <c r="XD57" s="4"/>
      <c r="XE57" s="4"/>
      <c r="XF57" s="4"/>
      <c r="XG57" s="4"/>
      <c r="XH57" s="5"/>
      <c r="XI57" s="6"/>
      <c r="XJ57" s="4"/>
      <c r="XK57" s="4"/>
      <c r="XL57" s="4"/>
      <c r="XM57" s="4"/>
      <c r="XN57" s="4"/>
      <c r="XO57" s="5"/>
      <c r="XP57" s="6"/>
      <c r="XQ57" s="4"/>
      <c r="XR57" s="4"/>
      <c r="XS57" s="4"/>
      <c r="XT57" s="4"/>
      <c r="XU57" s="4"/>
      <c r="XV57" s="5"/>
      <c r="XW57" s="6"/>
      <c r="XX57" s="4"/>
      <c r="XY57" s="4"/>
      <c r="XZ57" s="4"/>
      <c r="YA57" s="4"/>
      <c r="YB57" s="4"/>
      <c r="YC57" s="5"/>
      <c r="YD57" s="6"/>
      <c r="YE57" s="4"/>
      <c r="YF57" s="4"/>
      <c r="YG57" s="4"/>
      <c r="YH57" s="4"/>
      <c r="YI57" s="4"/>
      <c r="YJ57" s="5"/>
      <c r="YK57" s="6"/>
      <c r="YL57" s="4"/>
      <c r="YM57" s="4"/>
      <c r="YN57" s="4"/>
      <c r="YO57" s="8"/>
      <c r="YP57" s="4"/>
      <c r="YQ57" s="5"/>
      <c r="YR57" s="6"/>
      <c r="YS57" s="4"/>
      <c r="YT57" s="4"/>
      <c r="YU57" s="4"/>
      <c r="YV57" s="4"/>
      <c r="YW57" s="4"/>
      <c r="YX57" s="5"/>
      <c r="YY57" s="6"/>
      <c r="YZ57" s="4"/>
      <c r="ZA57" s="4"/>
      <c r="ZB57" s="4"/>
      <c r="ZC57" s="4"/>
      <c r="ZD57" s="4"/>
      <c r="ZE57" s="5"/>
      <c r="ZF57" s="6"/>
      <c r="ZG57" s="4"/>
      <c r="ZH57" s="4"/>
      <c r="ZI57" s="4"/>
      <c r="ZJ57" s="4"/>
      <c r="ZK57" s="4"/>
      <c r="ZL57" s="5"/>
      <c r="ZM57" s="6"/>
      <c r="ZN57" s="4"/>
      <c r="ZO57" s="4"/>
      <c r="ZP57" s="4"/>
      <c r="ZQ57" s="4"/>
      <c r="ZR57" s="4"/>
      <c r="ZS57" s="5"/>
      <c r="ZT57" s="6"/>
      <c r="ZU57" s="4"/>
      <c r="ZV57" s="4"/>
      <c r="ZW57" s="4"/>
      <c r="ZX57" s="8"/>
      <c r="ZY57" s="4"/>
      <c r="ZZ57" s="5"/>
      <c r="AAA57" s="6"/>
      <c r="AAB57" s="4"/>
      <c r="AAC57" s="4"/>
      <c r="AAD57" s="4"/>
      <c r="AAE57" s="4"/>
      <c r="AAF57" s="4"/>
      <c r="AAG57" s="5"/>
      <c r="AAH57" s="6"/>
      <c r="AAI57" s="4"/>
      <c r="AAJ57" s="4"/>
      <c r="AAK57" s="4"/>
      <c r="AAL57" s="4"/>
      <c r="AAM57" s="4"/>
      <c r="AAN57" s="5"/>
      <c r="AAO57" s="6"/>
      <c r="AAP57" s="4"/>
      <c r="AAQ57" s="4"/>
      <c r="AAR57" s="4"/>
      <c r="AAS57" s="4"/>
      <c r="AAT57" s="4"/>
      <c r="AAU57" s="5"/>
      <c r="AAV57" s="6"/>
      <c r="AAW57" s="4"/>
      <c r="AAX57" s="4"/>
      <c r="AAY57" s="4"/>
      <c r="AAZ57" s="4"/>
      <c r="ABA57" s="4"/>
      <c r="ABB57" s="5"/>
      <c r="ABC57" s="6"/>
      <c r="ABD57" s="4"/>
      <c r="ABE57" s="4"/>
      <c r="ABF57" s="4"/>
      <c r="ABG57" s="4"/>
      <c r="ABH57" s="4"/>
      <c r="ABI57" s="5"/>
      <c r="ABJ57" s="6"/>
      <c r="ABK57" s="4"/>
      <c r="ABL57" s="4"/>
      <c r="ABM57" s="4"/>
      <c r="ABN57" s="4"/>
      <c r="ABO57" s="4"/>
      <c r="ABP57" s="5"/>
      <c r="ABQ57" s="6"/>
      <c r="ABR57" s="4"/>
      <c r="ABS57" s="4"/>
      <c r="ABT57" s="4"/>
      <c r="ABU57" s="4"/>
      <c r="ABV57" s="4"/>
      <c r="ABW57" s="5"/>
      <c r="ABX57" s="6"/>
      <c r="ABY57" s="4"/>
      <c r="ABZ57" s="4"/>
      <c r="ACA57" s="4"/>
      <c r="ACB57" s="4"/>
      <c r="ACC57" s="4"/>
      <c r="ACD57" s="5"/>
      <c r="ACE57" s="6"/>
      <c r="ACF57" s="4"/>
      <c r="ACG57" s="4"/>
      <c r="ACH57" s="4"/>
      <c r="ACI57" s="4"/>
      <c r="ACJ57" s="4"/>
      <c r="ACK57" s="5"/>
      <c r="ACL57" s="6"/>
      <c r="ACM57" s="4"/>
      <c r="ACN57" s="4"/>
      <c r="ACO57" s="4"/>
      <c r="ACP57" s="4"/>
      <c r="ACQ57" s="4"/>
      <c r="ACR57" s="5"/>
      <c r="ACS57" s="6"/>
      <c r="ACT57" s="4"/>
      <c r="ACU57" s="4"/>
      <c r="ACV57" s="4"/>
      <c r="ACW57" s="4"/>
      <c r="ACX57" s="4"/>
      <c r="ACY57" s="5"/>
    </row>
    <row r="58" spans="2:805" x14ac:dyDescent="0.25">
      <c r="B58" s="30"/>
      <c r="J58" s="12"/>
      <c r="K58" s="12"/>
      <c r="L58" s="12"/>
      <c r="LL58" s="6"/>
      <c r="LM58" s="4"/>
      <c r="LN58" s="4"/>
      <c r="LO58" s="4"/>
      <c r="LP58" s="4"/>
      <c r="LQ58" s="4"/>
      <c r="LR58" s="5"/>
      <c r="LS58" s="6"/>
      <c r="LT58" s="4"/>
      <c r="LU58" s="4"/>
      <c r="LV58" s="4"/>
      <c r="LW58" s="4"/>
      <c r="LX58" s="4"/>
      <c r="LY58" s="5"/>
      <c r="LZ58" s="6" t="s">
        <v>2135</v>
      </c>
      <c r="MA58" s="7" t="s">
        <v>2302</v>
      </c>
      <c r="MB58" s="4"/>
      <c r="MC58" s="4"/>
      <c r="MD58" s="8"/>
      <c r="ME58" s="8">
        <v>33867</v>
      </c>
      <c r="MF58" s="8"/>
      <c r="MG58" s="5" t="s">
        <v>2383</v>
      </c>
      <c r="MH58" s="6"/>
      <c r="MI58" s="4"/>
      <c r="MJ58" s="4"/>
      <c r="MK58" s="4"/>
      <c r="ML58" s="4"/>
      <c r="MM58" s="4"/>
      <c r="MN58" s="5"/>
      <c r="MO58" s="6"/>
      <c r="MP58" s="4"/>
      <c r="MQ58" s="4"/>
      <c r="MR58" s="4"/>
      <c r="MS58" s="4"/>
      <c r="MT58" s="4"/>
      <c r="MU58" s="5"/>
      <c r="MV58" s="6"/>
      <c r="MW58" s="4"/>
      <c r="MX58" s="4"/>
      <c r="MY58" s="4"/>
      <c r="MZ58" s="4"/>
      <c r="NA58" s="4"/>
      <c r="NB58" s="5"/>
      <c r="NC58" s="6"/>
      <c r="ND58" s="4"/>
      <c r="NE58" s="4"/>
      <c r="NF58" s="4"/>
      <c r="NG58" s="8"/>
      <c r="NH58" s="8"/>
      <c r="NI58" s="5"/>
      <c r="NJ58" s="6"/>
      <c r="NK58" s="4"/>
      <c r="NL58" s="4"/>
      <c r="NM58" s="4"/>
      <c r="NN58" s="4"/>
      <c r="NO58" s="4"/>
      <c r="NP58" s="5"/>
      <c r="NQ58" s="6"/>
      <c r="NR58" s="4"/>
      <c r="NS58" s="4"/>
      <c r="NT58" s="4"/>
      <c r="NU58" s="4"/>
      <c r="NV58" s="4"/>
      <c r="NW58" s="5"/>
      <c r="NX58" s="6"/>
      <c r="NY58" s="4"/>
      <c r="NZ58" s="4"/>
      <c r="OA58" s="4"/>
      <c r="OB58" s="4"/>
      <c r="OC58" s="4"/>
      <c r="OD58" s="5"/>
      <c r="OE58" s="6"/>
      <c r="OF58" s="4"/>
      <c r="OG58" s="4"/>
      <c r="OH58" s="4"/>
      <c r="OI58" s="4"/>
      <c r="OJ58" s="4"/>
      <c r="OK58" s="5"/>
      <c r="OL58" s="6"/>
      <c r="OM58" s="4"/>
      <c r="ON58" s="4"/>
      <c r="OO58" s="4"/>
      <c r="OP58" s="4"/>
      <c r="OQ58" s="4"/>
      <c r="OR58" s="5"/>
      <c r="OS58" s="6"/>
      <c r="OT58" s="4"/>
      <c r="OU58" s="4"/>
      <c r="OV58" s="4"/>
      <c r="OW58" s="4"/>
      <c r="OX58" s="4"/>
      <c r="OY58" s="5"/>
      <c r="OZ58" s="6"/>
      <c r="PA58" s="4"/>
      <c r="PB58" s="4"/>
      <c r="PC58" s="4"/>
      <c r="PD58" s="4"/>
      <c r="PE58" s="4"/>
      <c r="PF58" s="5"/>
      <c r="PG58" s="6"/>
      <c r="PH58" s="4"/>
      <c r="PI58" s="4"/>
      <c r="PJ58" s="4"/>
      <c r="PK58" s="4"/>
      <c r="PL58" s="4"/>
      <c r="PM58" s="5"/>
      <c r="PN58" s="6"/>
      <c r="PO58" s="4"/>
      <c r="PP58" s="4"/>
      <c r="PQ58" s="4"/>
      <c r="PR58" s="4"/>
      <c r="PS58" s="4"/>
      <c r="PT58" s="5"/>
      <c r="PU58" s="6"/>
      <c r="PV58" s="4"/>
      <c r="PW58" s="4"/>
      <c r="PX58" s="4"/>
      <c r="PY58" s="4"/>
      <c r="PZ58" s="4"/>
      <c r="QA58" s="5"/>
      <c r="QB58" s="6"/>
      <c r="QC58" s="4"/>
      <c r="QD58" s="4"/>
      <c r="QE58" s="4"/>
      <c r="QF58" s="4"/>
      <c r="QG58" s="4"/>
      <c r="QH58" s="5"/>
      <c r="QI58" s="6"/>
      <c r="QJ58" s="4"/>
      <c r="QK58" s="4"/>
      <c r="QL58" s="4"/>
      <c r="QM58" s="4"/>
      <c r="QN58" s="4"/>
      <c r="QO58" s="5"/>
      <c r="QP58" s="6"/>
      <c r="QQ58" s="4"/>
      <c r="QR58" s="4"/>
      <c r="QS58" s="4"/>
      <c r="QT58" s="4"/>
      <c r="QU58" s="4"/>
      <c r="QV58" s="5"/>
      <c r="QW58" s="6"/>
      <c r="QX58" s="4"/>
      <c r="QY58" s="4"/>
      <c r="QZ58" s="4"/>
      <c r="RA58" s="4"/>
      <c r="RB58" s="4"/>
      <c r="RC58" s="5"/>
      <c r="RD58" s="6"/>
      <c r="RE58" s="4"/>
      <c r="RF58" s="4"/>
      <c r="RG58" s="4"/>
      <c r="RH58" s="4"/>
      <c r="RI58" s="4"/>
      <c r="RJ58" s="5"/>
      <c r="RK58" s="6"/>
      <c r="RL58" s="4"/>
      <c r="RM58" s="4"/>
      <c r="RN58" s="4"/>
      <c r="RO58" s="4"/>
      <c r="RP58" s="4"/>
      <c r="RQ58" s="5"/>
      <c r="RR58" s="6"/>
      <c r="RS58" s="4"/>
      <c r="RT58" s="4"/>
      <c r="RU58" s="4"/>
      <c r="RV58" s="4"/>
      <c r="RW58" s="4"/>
      <c r="RX58" s="5"/>
      <c r="RY58" s="6"/>
      <c r="RZ58" s="4"/>
      <c r="SA58" s="4"/>
      <c r="SB58" s="4"/>
      <c r="SC58" s="4"/>
      <c r="SD58" s="4"/>
      <c r="SE58" s="5"/>
      <c r="SF58" s="6"/>
      <c r="SG58" s="4"/>
      <c r="SH58" s="4"/>
      <c r="SI58" s="4"/>
      <c r="SJ58" s="4"/>
      <c r="SK58" s="4"/>
      <c r="SL58" s="5"/>
      <c r="SM58" s="6"/>
      <c r="SN58" s="4"/>
      <c r="SO58" s="4"/>
      <c r="SP58" s="4"/>
      <c r="SQ58" s="4"/>
      <c r="SR58" s="4"/>
      <c r="SS58" s="5"/>
      <c r="ST58" s="6"/>
      <c r="SU58" s="4"/>
      <c r="SV58" s="4"/>
      <c r="SW58" s="4"/>
      <c r="SX58" s="4"/>
      <c r="SY58" s="4"/>
      <c r="SZ58" s="5"/>
      <c r="TA58" s="6"/>
      <c r="TB58" s="4"/>
      <c r="TC58" s="4"/>
      <c r="TD58" s="4"/>
      <c r="TE58" s="4"/>
      <c r="TF58" s="4"/>
      <c r="TG58" s="5"/>
      <c r="TH58" s="6"/>
      <c r="TI58" s="4"/>
      <c r="TJ58" s="4"/>
      <c r="TK58" s="4"/>
      <c r="TL58" s="4"/>
      <c r="TM58" s="4"/>
      <c r="TN58" s="5"/>
      <c r="TO58" s="6"/>
      <c r="TP58" s="4"/>
      <c r="TQ58" s="4"/>
      <c r="TR58" s="4"/>
      <c r="TS58" s="4"/>
      <c r="TT58" s="4"/>
      <c r="TU58" s="5"/>
      <c r="TV58" s="6"/>
      <c r="TW58" s="4"/>
      <c r="TX58" s="4"/>
      <c r="TY58" s="4"/>
      <c r="TZ58" s="4"/>
      <c r="UA58" s="4"/>
      <c r="UB58" s="5"/>
      <c r="UC58" s="6"/>
      <c r="UD58" s="4"/>
      <c r="UE58" s="4"/>
      <c r="UF58" s="4"/>
      <c r="UG58" s="4"/>
      <c r="UH58" s="4"/>
      <c r="UI58" s="5"/>
      <c r="UJ58" s="6"/>
      <c r="UK58" s="4"/>
      <c r="UL58" s="4"/>
      <c r="UM58" s="4"/>
      <c r="UN58" s="4"/>
      <c r="UO58" s="4"/>
      <c r="UP58" s="5"/>
      <c r="UQ58" s="6"/>
      <c r="UR58" s="4"/>
      <c r="US58" s="4"/>
      <c r="UT58" s="4"/>
      <c r="UU58" s="4"/>
      <c r="UV58" s="4"/>
      <c r="UW58" s="5"/>
      <c r="UX58" s="6"/>
      <c r="UY58" s="4"/>
      <c r="UZ58" s="4"/>
      <c r="VA58" s="4"/>
      <c r="VB58" s="4"/>
      <c r="VC58" s="4"/>
      <c r="VD58" s="5"/>
      <c r="VE58" s="6"/>
      <c r="VF58" s="4"/>
      <c r="VG58" s="4"/>
      <c r="VH58" s="4"/>
      <c r="VI58" s="8"/>
      <c r="VJ58" s="4"/>
      <c r="VK58" s="5"/>
      <c r="VL58" s="6"/>
      <c r="VM58" s="4"/>
      <c r="VN58" s="4"/>
      <c r="VO58" s="4"/>
      <c r="VP58" s="4"/>
      <c r="VQ58" s="4"/>
      <c r="VR58" s="5"/>
      <c r="VS58" s="6"/>
      <c r="VT58" s="4"/>
      <c r="VU58" s="4"/>
      <c r="VV58" s="4"/>
      <c r="VW58" s="4"/>
      <c r="VX58" s="4"/>
      <c r="VY58" s="5"/>
      <c r="VZ58" s="6"/>
      <c r="WA58" s="4"/>
      <c r="WB58" s="4"/>
      <c r="WC58" s="4"/>
      <c r="WD58" s="4"/>
      <c r="WE58" s="4"/>
      <c r="WF58" s="5"/>
      <c r="WG58" s="6"/>
      <c r="WH58" s="4"/>
      <c r="WI58" s="4"/>
      <c r="WJ58" s="4"/>
      <c r="WK58" s="4"/>
      <c r="WL58" s="4"/>
      <c r="WM58" s="5"/>
      <c r="WN58" s="6"/>
      <c r="WO58" s="4"/>
      <c r="WP58" s="4"/>
      <c r="WQ58" s="4"/>
      <c r="WR58" s="4"/>
      <c r="WS58" s="4"/>
      <c r="WT58" s="5"/>
      <c r="WU58" s="6"/>
      <c r="WV58" s="4"/>
      <c r="WW58" s="4"/>
      <c r="WX58" s="4"/>
      <c r="WY58" s="4"/>
      <c r="WZ58" s="4"/>
      <c r="XA58" s="5"/>
      <c r="XB58" s="6"/>
      <c r="XC58" s="4"/>
      <c r="XD58" s="4"/>
      <c r="XE58" s="4"/>
      <c r="XF58" s="4"/>
      <c r="XG58" s="4"/>
      <c r="XH58" s="5"/>
      <c r="XI58" s="6"/>
      <c r="XJ58" s="4"/>
      <c r="XK58" s="4"/>
      <c r="XL58" s="4"/>
      <c r="XM58" s="4"/>
      <c r="XN58" s="4"/>
      <c r="XO58" s="5"/>
      <c r="XP58" s="6"/>
      <c r="XQ58" s="4"/>
      <c r="XR58" s="4"/>
      <c r="XS58" s="4"/>
      <c r="XT58" s="4"/>
      <c r="XU58" s="4"/>
      <c r="XV58" s="5"/>
      <c r="XW58" s="6"/>
      <c r="XX58" s="4"/>
      <c r="XY58" s="4"/>
      <c r="XZ58" s="4"/>
      <c r="YA58" s="4"/>
      <c r="YB58" s="4"/>
      <c r="YC58" s="5"/>
      <c r="YD58" s="6"/>
      <c r="YE58" s="4"/>
      <c r="YF58" s="4"/>
      <c r="YG58" s="4"/>
      <c r="YH58" s="4"/>
      <c r="YI58" s="4"/>
      <c r="YJ58" s="5"/>
      <c r="YK58" s="6"/>
      <c r="YL58" s="4"/>
      <c r="YM58" s="4"/>
      <c r="YN58" s="4"/>
      <c r="YO58" s="8"/>
      <c r="YP58" s="4"/>
      <c r="YQ58" s="5"/>
      <c r="YR58" s="6"/>
      <c r="YS58" s="4"/>
      <c r="YT58" s="4"/>
      <c r="YU58" s="4"/>
      <c r="YV58" s="4"/>
      <c r="YW58" s="4"/>
      <c r="YX58" s="5"/>
      <c r="YY58" s="6"/>
      <c r="YZ58" s="4"/>
      <c r="ZA58" s="4"/>
      <c r="ZB58" s="4"/>
      <c r="ZC58" s="4"/>
      <c r="ZD58" s="4"/>
      <c r="ZE58" s="5"/>
      <c r="ZF58" s="6"/>
      <c r="ZG58" s="4"/>
      <c r="ZH58" s="4"/>
      <c r="ZI58" s="4"/>
      <c r="ZJ58" s="4"/>
      <c r="ZK58" s="4"/>
      <c r="ZL58" s="5"/>
      <c r="ZM58" s="6"/>
      <c r="ZN58" s="4"/>
      <c r="ZO58" s="4"/>
      <c r="ZP58" s="4"/>
      <c r="ZQ58" s="4"/>
      <c r="ZR58" s="4"/>
      <c r="ZS58" s="5"/>
      <c r="ZT58" s="6"/>
      <c r="ZU58" s="4"/>
      <c r="ZV58" s="4"/>
      <c r="ZW58" s="4"/>
      <c r="ZX58" s="8"/>
      <c r="ZY58" s="4"/>
      <c r="ZZ58" s="5"/>
      <c r="AAA58" s="6"/>
      <c r="AAB58" s="4"/>
      <c r="AAC58" s="4"/>
      <c r="AAD58" s="4"/>
      <c r="AAE58" s="4"/>
      <c r="AAF58" s="4"/>
      <c r="AAG58" s="5"/>
      <c r="AAH58" s="6"/>
      <c r="AAI58" s="4"/>
      <c r="AAJ58" s="4"/>
      <c r="AAK58" s="4"/>
      <c r="AAL58" s="4"/>
      <c r="AAM58" s="4"/>
      <c r="AAN58" s="5"/>
      <c r="AAO58" s="6"/>
      <c r="AAP58" s="4"/>
      <c r="AAQ58" s="4"/>
      <c r="AAR58" s="4"/>
      <c r="AAS58" s="4"/>
      <c r="AAT58" s="4"/>
      <c r="AAU58" s="5"/>
      <c r="AAV58" s="6"/>
      <c r="AAW58" s="4"/>
      <c r="AAX58" s="4"/>
      <c r="AAY58" s="4"/>
      <c r="AAZ58" s="4"/>
      <c r="ABA58" s="4"/>
      <c r="ABB58" s="5"/>
      <c r="ABC58" s="6"/>
      <c r="ABD58" s="4"/>
      <c r="ABE58" s="4"/>
      <c r="ABF58" s="4"/>
      <c r="ABG58" s="4"/>
      <c r="ABH58" s="4"/>
      <c r="ABI58" s="5"/>
      <c r="ABJ58" s="6"/>
      <c r="ABK58" s="4"/>
      <c r="ABL58" s="4"/>
      <c r="ABM58" s="4"/>
      <c r="ABN58" s="4"/>
      <c r="ABO58" s="4"/>
      <c r="ABP58" s="5"/>
      <c r="ABQ58" s="6"/>
      <c r="ABR58" s="4"/>
      <c r="ABS58" s="4"/>
      <c r="ABT58" s="4"/>
      <c r="ABU58" s="4"/>
      <c r="ABV58" s="4"/>
      <c r="ABW58" s="5"/>
      <c r="ABX58" s="6"/>
      <c r="ABY58" s="4"/>
      <c r="ABZ58" s="4"/>
      <c r="ACA58" s="4"/>
      <c r="ACB58" s="4"/>
      <c r="ACC58" s="4"/>
      <c r="ACD58" s="5"/>
      <c r="ACE58" s="6"/>
      <c r="ACF58" s="4"/>
      <c r="ACG58" s="4"/>
      <c r="ACH58" s="4"/>
      <c r="ACI58" s="4"/>
      <c r="ACJ58" s="4"/>
      <c r="ACK58" s="5"/>
      <c r="ACL58" s="6"/>
      <c r="ACM58" s="4"/>
      <c r="ACN58" s="4"/>
      <c r="ACO58" s="4"/>
      <c r="ACP58" s="4"/>
      <c r="ACQ58" s="4"/>
      <c r="ACR58" s="5"/>
      <c r="ACS58" s="6"/>
      <c r="ACT58" s="4"/>
      <c r="ACU58" s="4"/>
      <c r="ACV58" s="4"/>
      <c r="ACW58" s="4"/>
      <c r="ACX58" s="4"/>
      <c r="ACY58" s="5"/>
    </row>
    <row r="59" spans="2:805" x14ac:dyDescent="0.25">
      <c r="B59" s="30"/>
      <c r="J59" s="12"/>
      <c r="K59" s="12"/>
      <c r="L59" s="12"/>
      <c r="LL59" s="6"/>
      <c r="LM59" s="4"/>
      <c r="LN59" s="4"/>
      <c r="LO59" s="4"/>
      <c r="LP59" s="4"/>
      <c r="LQ59" s="4"/>
      <c r="LR59" s="5"/>
      <c r="LS59" s="6"/>
      <c r="LT59" s="4"/>
      <c r="LU59" s="4"/>
      <c r="LV59" s="4"/>
      <c r="LW59" s="4"/>
      <c r="LX59" s="4"/>
      <c r="LY59" s="5"/>
      <c r="LZ59" s="6" t="s">
        <v>2776</v>
      </c>
      <c r="MA59" s="7" t="s">
        <v>2304</v>
      </c>
      <c r="MB59" s="4"/>
      <c r="MC59" s="4" t="s">
        <v>2305</v>
      </c>
      <c r="MD59" s="8">
        <v>33850</v>
      </c>
      <c r="ME59" s="8">
        <v>33854</v>
      </c>
      <c r="MF59" s="8"/>
      <c r="MG59" s="5" t="s">
        <v>2677</v>
      </c>
      <c r="MH59" s="6"/>
      <c r="MI59" s="4"/>
      <c r="MJ59" s="4"/>
      <c r="MK59" s="4"/>
      <c r="ML59" s="4"/>
      <c r="MM59" s="4"/>
      <c r="MN59" s="5"/>
      <c r="MO59" s="6"/>
      <c r="MP59" s="4"/>
      <c r="MQ59" s="4"/>
      <c r="MR59" s="4"/>
      <c r="MS59" s="4"/>
      <c r="MT59" s="4"/>
      <c r="MU59" s="5"/>
      <c r="MV59" s="6"/>
      <c r="MW59" s="4"/>
      <c r="MX59" s="4"/>
      <c r="MY59" s="4"/>
      <c r="MZ59" s="4"/>
      <c r="NA59" s="4"/>
      <c r="NB59" s="5"/>
      <c r="NC59" s="6"/>
      <c r="ND59" s="4"/>
      <c r="NE59" s="4"/>
      <c r="NF59" s="4"/>
      <c r="NG59" s="8"/>
      <c r="NH59" s="8"/>
      <c r="NI59" s="5"/>
      <c r="NJ59" s="6"/>
      <c r="NK59" s="4"/>
      <c r="NL59" s="4"/>
      <c r="NM59" s="4"/>
      <c r="NN59" s="4"/>
      <c r="NO59" s="4"/>
      <c r="NP59" s="5"/>
      <c r="NQ59" s="6"/>
      <c r="NR59" s="4"/>
      <c r="NS59" s="4"/>
      <c r="NT59" s="4"/>
      <c r="NU59" s="4"/>
      <c r="NV59" s="4"/>
      <c r="NW59" s="5"/>
      <c r="NX59" s="6"/>
      <c r="NY59" s="4"/>
      <c r="NZ59" s="4"/>
      <c r="OA59" s="4"/>
      <c r="OB59" s="4"/>
      <c r="OC59" s="4"/>
      <c r="OD59" s="5"/>
      <c r="OE59" s="6"/>
      <c r="OF59" s="4"/>
      <c r="OG59" s="4"/>
      <c r="OH59" s="4"/>
      <c r="OI59" s="4"/>
      <c r="OJ59" s="4"/>
      <c r="OK59" s="5"/>
      <c r="OL59" s="6"/>
      <c r="OM59" s="4"/>
      <c r="ON59" s="4"/>
      <c r="OO59" s="4"/>
      <c r="OP59" s="4"/>
      <c r="OQ59" s="4"/>
      <c r="OR59" s="5"/>
      <c r="OS59" s="6"/>
      <c r="OT59" s="4"/>
      <c r="OU59" s="4"/>
      <c r="OV59" s="4"/>
      <c r="OW59" s="4"/>
      <c r="OX59" s="4"/>
      <c r="OY59" s="5"/>
      <c r="OZ59" s="6"/>
      <c r="PA59" s="4"/>
      <c r="PB59" s="4"/>
      <c r="PC59" s="4"/>
      <c r="PD59" s="4"/>
      <c r="PE59" s="4"/>
      <c r="PF59" s="5"/>
      <c r="PG59" s="6"/>
      <c r="PH59" s="4"/>
      <c r="PI59" s="4"/>
      <c r="PJ59" s="4"/>
      <c r="PK59" s="4"/>
      <c r="PL59" s="4"/>
      <c r="PM59" s="5"/>
      <c r="PN59" s="6"/>
      <c r="PO59" s="4"/>
      <c r="PP59" s="4"/>
      <c r="PQ59" s="4"/>
      <c r="PR59" s="4"/>
      <c r="PS59" s="4"/>
      <c r="PT59" s="5"/>
      <c r="PU59" s="6"/>
      <c r="PV59" s="4"/>
      <c r="PW59" s="4"/>
      <c r="PX59" s="4"/>
      <c r="PY59" s="4"/>
      <c r="PZ59" s="4"/>
      <c r="QA59" s="5"/>
      <c r="QB59" s="6"/>
      <c r="QC59" s="4"/>
      <c r="QD59" s="4"/>
      <c r="QE59" s="4"/>
      <c r="QF59" s="4"/>
      <c r="QG59" s="4"/>
      <c r="QH59" s="5"/>
      <c r="QI59" s="6"/>
      <c r="QJ59" s="4"/>
      <c r="QK59" s="4"/>
      <c r="QL59" s="4"/>
      <c r="QM59" s="4"/>
      <c r="QN59" s="4"/>
      <c r="QO59" s="5"/>
      <c r="QP59" s="6"/>
      <c r="QQ59" s="4"/>
      <c r="QR59" s="4"/>
      <c r="QS59" s="4"/>
      <c r="QT59" s="4"/>
      <c r="QU59" s="4"/>
      <c r="QV59" s="5"/>
      <c r="QW59" s="6"/>
      <c r="QX59" s="4"/>
      <c r="QY59" s="4"/>
      <c r="QZ59" s="4"/>
      <c r="RA59" s="4"/>
      <c r="RB59" s="4"/>
      <c r="RC59" s="5"/>
      <c r="RD59" s="6"/>
      <c r="RE59" s="4"/>
      <c r="RF59" s="4"/>
      <c r="RG59" s="4"/>
      <c r="RH59" s="4"/>
      <c r="RI59" s="4"/>
      <c r="RJ59" s="5"/>
      <c r="RK59" s="6"/>
      <c r="RL59" s="4"/>
      <c r="RM59" s="4"/>
      <c r="RN59" s="4"/>
      <c r="RO59" s="4"/>
      <c r="RP59" s="4"/>
      <c r="RQ59" s="5"/>
      <c r="RR59" s="6"/>
      <c r="RS59" s="4"/>
      <c r="RT59" s="4"/>
      <c r="RU59" s="4"/>
      <c r="RV59" s="4"/>
      <c r="RW59" s="4"/>
      <c r="RX59" s="5"/>
      <c r="RY59" s="6"/>
      <c r="RZ59" s="4"/>
      <c r="SA59" s="4"/>
      <c r="SB59" s="4"/>
      <c r="SC59" s="4"/>
      <c r="SD59" s="4"/>
      <c r="SE59" s="5"/>
      <c r="SF59" s="6"/>
      <c r="SG59" s="4"/>
      <c r="SH59" s="4"/>
      <c r="SI59" s="4"/>
      <c r="SJ59" s="4"/>
      <c r="SK59" s="4"/>
      <c r="SL59" s="5"/>
      <c r="SM59" s="6"/>
      <c r="SN59" s="4"/>
      <c r="SO59" s="4"/>
      <c r="SP59" s="4"/>
      <c r="SQ59" s="4"/>
      <c r="SR59" s="4"/>
      <c r="SS59" s="5"/>
      <c r="ST59" s="6"/>
      <c r="SU59" s="4"/>
      <c r="SV59" s="4"/>
      <c r="SW59" s="4"/>
      <c r="SX59" s="4"/>
      <c r="SY59" s="4"/>
      <c r="SZ59" s="5"/>
      <c r="TA59" s="6"/>
      <c r="TB59" s="4"/>
      <c r="TC59" s="4"/>
      <c r="TD59" s="4"/>
      <c r="TE59" s="4"/>
      <c r="TF59" s="4"/>
      <c r="TG59" s="5"/>
      <c r="TH59" s="6"/>
      <c r="TI59" s="4"/>
      <c r="TJ59" s="4"/>
      <c r="TK59" s="4"/>
      <c r="TL59" s="4"/>
      <c r="TM59" s="4"/>
      <c r="TN59" s="5"/>
      <c r="TO59" s="6"/>
      <c r="TP59" s="4"/>
      <c r="TQ59" s="4"/>
      <c r="TR59" s="4"/>
      <c r="TS59" s="4"/>
      <c r="TT59" s="4"/>
      <c r="TU59" s="5"/>
      <c r="TV59" s="6"/>
      <c r="TW59" s="4"/>
      <c r="TX59" s="4"/>
      <c r="TY59" s="4"/>
      <c r="TZ59" s="4"/>
      <c r="UA59" s="4"/>
      <c r="UB59" s="5"/>
      <c r="UC59" s="6"/>
      <c r="UD59" s="4"/>
      <c r="UE59" s="4"/>
      <c r="UF59" s="4"/>
      <c r="UG59" s="4"/>
      <c r="UH59" s="4"/>
      <c r="UI59" s="5"/>
      <c r="UJ59" s="6"/>
      <c r="UK59" s="4"/>
      <c r="UL59" s="4"/>
      <c r="UM59" s="4"/>
      <c r="UN59" s="4"/>
      <c r="UO59" s="4"/>
      <c r="UP59" s="5"/>
      <c r="UQ59" s="6"/>
      <c r="UR59" s="4"/>
      <c r="US59" s="4"/>
      <c r="UT59" s="4"/>
      <c r="UU59" s="4"/>
      <c r="UV59" s="4"/>
      <c r="UW59" s="5"/>
      <c r="UX59" s="6"/>
      <c r="UY59" s="4"/>
      <c r="UZ59" s="4"/>
      <c r="VA59" s="4"/>
      <c r="VB59" s="4"/>
      <c r="VC59" s="4"/>
      <c r="VD59" s="5"/>
      <c r="VE59" s="6"/>
      <c r="VF59" s="4"/>
      <c r="VG59" s="4"/>
      <c r="VH59" s="4"/>
      <c r="VI59" s="8"/>
      <c r="VJ59" s="4"/>
      <c r="VK59" s="5"/>
      <c r="VL59" s="6"/>
      <c r="VM59" s="4"/>
      <c r="VN59" s="4"/>
      <c r="VO59" s="4"/>
      <c r="VP59" s="4"/>
      <c r="VQ59" s="4"/>
      <c r="VR59" s="5"/>
      <c r="VS59" s="6"/>
      <c r="VT59" s="4"/>
      <c r="VU59" s="4"/>
      <c r="VV59" s="4"/>
      <c r="VW59" s="4"/>
      <c r="VX59" s="4"/>
      <c r="VY59" s="5"/>
      <c r="VZ59" s="6"/>
      <c r="WA59" s="4"/>
      <c r="WB59" s="4"/>
      <c r="WC59" s="4"/>
      <c r="WD59" s="4"/>
      <c r="WE59" s="4"/>
      <c r="WF59" s="5"/>
      <c r="WG59" s="6"/>
      <c r="WH59" s="4"/>
      <c r="WI59" s="4"/>
      <c r="WJ59" s="4"/>
      <c r="WK59" s="4"/>
      <c r="WL59" s="4"/>
      <c r="WM59" s="5"/>
      <c r="WN59" s="6"/>
      <c r="WO59" s="4"/>
      <c r="WP59" s="4"/>
      <c r="WQ59" s="4"/>
      <c r="WR59" s="4"/>
      <c r="WS59" s="4"/>
      <c r="WT59" s="5"/>
      <c r="WU59" s="6"/>
      <c r="WV59" s="4"/>
      <c r="WW59" s="4"/>
      <c r="WX59" s="4"/>
      <c r="WY59" s="4"/>
      <c r="WZ59" s="4"/>
      <c r="XA59" s="5"/>
      <c r="XB59" s="6"/>
      <c r="XC59" s="4"/>
      <c r="XD59" s="4"/>
      <c r="XE59" s="4"/>
      <c r="XF59" s="4"/>
      <c r="XG59" s="4"/>
      <c r="XH59" s="5"/>
      <c r="XI59" s="6"/>
      <c r="XJ59" s="4"/>
      <c r="XK59" s="4"/>
      <c r="XL59" s="4"/>
      <c r="XM59" s="4"/>
      <c r="XN59" s="4"/>
      <c r="XO59" s="5"/>
      <c r="XP59" s="6"/>
      <c r="XQ59" s="4"/>
      <c r="XR59" s="4"/>
      <c r="XS59" s="4"/>
      <c r="XT59" s="4"/>
      <c r="XU59" s="4"/>
      <c r="XV59" s="5"/>
      <c r="XW59" s="6"/>
      <c r="XX59" s="4"/>
      <c r="XY59" s="4"/>
      <c r="XZ59" s="4"/>
      <c r="YA59" s="4"/>
      <c r="YB59" s="4"/>
      <c r="YC59" s="5"/>
      <c r="YD59" s="6"/>
      <c r="YE59" s="4"/>
      <c r="YF59" s="4"/>
      <c r="YG59" s="4"/>
      <c r="YH59" s="4"/>
      <c r="YI59" s="4"/>
      <c r="YJ59" s="5"/>
      <c r="YK59" s="6"/>
      <c r="YL59" s="4"/>
      <c r="YM59" s="4"/>
      <c r="YN59" s="4"/>
      <c r="YO59" s="8"/>
      <c r="YP59" s="4"/>
      <c r="YQ59" s="5"/>
      <c r="YR59" s="6"/>
      <c r="YS59" s="4"/>
      <c r="YT59" s="4"/>
      <c r="YU59" s="4"/>
      <c r="YV59" s="4"/>
      <c r="YW59" s="4"/>
      <c r="YX59" s="5"/>
      <c r="YY59" s="6"/>
      <c r="YZ59" s="4"/>
      <c r="ZA59" s="4"/>
      <c r="ZB59" s="4"/>
      <c r="ZC59" s="4"/>
      <c r="ZD59" s="4"/>
      <c r="ZE59" s="5"/>
      <c r="ZF59" s="6"/>
      <c r="ZG59" s="4"/>
      <c r="ZH59" s="4"/>
      <c r="ZI59" s="4"/>
      <c r="ZJ59" s="4"/>
      <c r="ZK59" s="4"/>
      <c r="ZL59" s="5"/>
      <c r="ZM59" s="6"/>
      <c r="ZN59" s="4"/>
      <c r="ZO59" s="4"/>
      <c r="ZP59" s="4"/>
      <c r="ZQ59" s="4"/>
      <c r="ZR59" s="4"/>
      <c r="ZS59" s="5"/>
      <c r="ZT59" s="6"/>
      <c r="ZU59" s="4"/>
      <c r="ZV59" s="4"/>
      <c r="ZW59" s="4"/>
      <c r="ZX59" s="8"/>
      <c r="ZY59" s="4"/>
      <c r="ZZ59" s="5"/>
      <c r="AAA59" s="6"/>
      <c r="AAB59" s="4"/>
      <c r="AAC59" s="4"/>
      <c r="AAD59" s="4"/>
      <c r="AAE59" s="4"/>
      <c r="AAF59" s="4"/>
      <c r="AAG59" s="5"/>
      <c r="AAH59" s="6"/>
      <c r="AAI59" s="4"/>
      <c r="AAJ59" s="4"/>
      <c r="AAK59" s="4"/>
      <c r="AAL59" s="4"/>
      <c r="AAM59" s="4"/>
      <c r="AAN59" s="5"/>
      <c r="AAO59" s="6"/>
      <c r="AAP59" s="4"/>
      <c r="AAQ59" s="4"/>
      <c r="AAR59" s="4"/>
      <c r="AAS59" s="4"/>
      <c r="AAT59" s="4"/>
      <c r="AAU59" s="5"/>
      <c r="AAV59" s="6"/>
      <c r="AAW59" s="4"/>
      <c r="AAX59" s="4"/>
      <c r="AAY59" s="4"/>
      <c r="AAZ59" s="4"/>
      <c r="ABA59" s="4"/>
      <c r="ABB59" s="5"/>
      <c r="ABC59" s="6"/>
      <c r="ABD59" s="4"/>
      <c r="ABE59" s="4"/>
      <c r="ABF59" s="4"/>
      <c r="ABG59" s="4"/>
      <c r="ABH59" s="4"/>
      <c r="ABI59" s="5"/>
      <c r="ABJ59" s="6"/>
      <c r="ABK59" s="4"/>
      <c r="ABL59" s="4"/>
      <c r="ABM59" s="4"/>
      <c r="ABN59" s="4"/>
      <c r="ABO59" s="4"/>
      <c r="ABP59" s="5"/>
      <c r="ABQ59" s="6"/>
      <c r="ABR59" s="4"/>
      <c r="ABS59" s="4"/>
      <c r="ABT59" s="4"/>
      <c r="ABU59" s="4"/>
      <c r="ABV59" s="4"/>
      <c r="ABW59" s="5"/>
      <c r="ABX59" s="6"/>
      <c r="ABY59" s="4"/>
      <c r="ABZ59" s="4"/>
      <c r="ACA59" s="4"/>
      <c r="ACB59" s="4"/>
      <c r="ACC59" s="4"/>
      <c r="ACD59" s="5"/>
      <c r="ACE59" s="6"/>
      <c r="ACF59" s="4"/>
      <c r="ACG59" s="4"/>
      <c r="ACH59" s="4"/>
      <c r="ACI59" s="4"/>
      <c r="ACJ59" s="4"/>
      <c r="ACK59" s="5"/>
      <c r="ACL59" s="6"/>
      <c r="ACM59" s="4"/>
      <c r="ACN59" s="4"/>
      <c r="ACO59" s="4"/>
      <c r="ACP59" s="4"/>
      <c r="ACQ59" s="4"/>
      <c r="ACR59" s="5"/>
      <c r="ACS59" s="6"/>
      <c r="ACT59" s="4"/>
      <c r="ACU59" s="4"/>
      <c r="ACV59" s="4"/>
      <c r="ACW59" s="4"/>
      <c r="ACX59" s="4"/>
      <c r="ACY59" s="5"/>
    </row>
    <row r="60" spans="2:805" x14ac:dyDescent="0.25">
      <c r="B60" s="30"/>
      <c r="J60" s="12"/>
      <c r="K60" s="12"/>
      <c r="L60" s="12"/>
      <c r="LL60" s="6"/>
      <c r="LM60" s="4"/>
      <c r="LN60" s="4"/>
      <c r="LO60" s="4"/>
      <c r="LP60" s="4"/>
      <c r="LQ60" s="4"/>
      <c r="LR60" s="5"/>
      <c r="LS60" s="6"/>
      <c r="LT60" s="4"/>
      <c r="LU60" s="4"/>
      <c r="LV60" s="4"/>
      <c r="LW60" s="4"/>
      <c r="LX60" s="4"/>
      <c r="LY60" s="5"/>
      <c r="LZ60" s="6" t="s">
        <v>2605</v>
      </c>
      <c r="MA60" s="7" t="s">
        <v>2605</v>
      </c>
      <c r="MB60" s="4"/>
      <c r="MC60" s="4" t="s">
        <v>2607</v>
      </c>
      <c r="MD60" s="8">
        <v>33861</v>
      </c>
      <c r="ME60" s="8">
        <v>33866</v>
      </c>
      <c r="MF60" s="8"/>
      <c r="MG60" s="5" t="s">
        <v>2677</v>
      </c>
      <c r="MH60" s="6"/>
      <c r="MI60" s="4"/>
      <c r="MJ60" s="4"/>
      <c r="MK60" s="4"/>
      <c r="ML60" s="4"/>
      <c r="MM60" s="4"/>
      <c r="MN60" s="5"/>
      <c r="MO60" s="6"/>
      <c r="MP60" s="4"/>
      <c r="MQ60" s="4"/>
      <c r="MR60" s="4"/>
      <c r="MS60" s="4"/>
      <c r="MT60" s="4"/>
      <c r="MU60" s="5"/>
      <c r="MV60" s="6"/>
      <c r="MW60" s="4"/>
      <c r="MX60" s="4"/>
      <c r="MY60" s="4"/>
      <c r="MZ60" s="4"/>
      <c r="NA60" s="4"/>
      <c r="NB60" s="5"/>
      <c r="NC60" s="6"/>
      <c r="ND60" s="4"/>
      <c r="NE60" s="4"/>
      <c r="NF60" s="4"/>
      <c r="NG60" s="8"/>
      <c r="NH60" s="8"/>
      <c r="NI60" s="5"/>
      <c r="NJ60" s="6"/>
      <c r="NK60" s="4"/>
      <c r="NL60" s="4"/>
      <c r="NM60" s="4"/>
      <c r="NN60" s="4"/>
      <c r="NO60" s="4"/>
      <c r="NP60" s="5"/>
      <c r="NQ60" s="6"/>
      <c r="NR60" s="4"/>
      <c r="NS60" s="4"/>
      <c r="NT60" s="4"/>
      <c r="NU60" s="4"/>
      <c r="NV60" s="4"/>
      <c r="NW60" s="5"/>
      <c r="NX60" s="6"/>
      <c r="NY60" s="4"/>
      <c r="NZ60" s="4"/>
      <c r="OA60" s="4"/>
      <c r="OB60" s="4"/>
      <c r="OC60" s="4"/>
      <c r="OD60" s="5"/>
      <c r="OE60" s="6"/>
      <c r="OF60" s="4"/>
      <c r="OG60" s="4"/>
      <c r="OH60" s="4"/>
      <c r="OI60" s="4"/>
      <c r="OJ60" s="4"/>
      <c r="OK60" s="5"/>
      <c r="OL60" s="6"/>
      <c r="OM60" s="4"/>
      <c r="ON60" s="4"/>
      <c r="OO60" s="4"/>
      <c r="OP60" s="4"/>
      <c r="OQ60" s="4"/>
      <c r="OR60" s="5"/>
      <c r="OS60" s="6"/>
      <c r="OT60" s="4"/>
      <c r="OU60" s="4"/>
      <c r="OV60" s="4"/>
      <c r="OW60" s="4"/>
      <c r="OX60" s="4"/>
      <c r="OY60" s="5"/>
      <c r="OZ60" s="6"/>
      <c r="PA60" s="4"/>
      <c r="PB60" s="4"/>
      <c r="PC60" s="4"/>
      <c r="PD60" s="4"/>
      <c r="PE60" s="4"/>
      <c r="PF60" s="5"/>
      <c r="PG60" s="6"/>
      <c r="PH60" s="4"/>
      <c r="PI60" s="4"/>
      <c r="PJ60" s="4"/>
      <c r="PK60" s="4"/>
      <c r="PL60" s="4"/>
      <c r="PM60" s="5"/>
      <c r="PN60" s="6"/>
      <c r="PO60" s="4"/>
      <c r="PP60" s="4"/>
      <c r="PQ60" s="4"/>
      <c r="PR60" s="4"/>
      <c r="PS60" s="4"/>
      <c r="PT60" s="5"/>
      <c r="PU60" s="6"/>
      <c r="PV60" s="4"/>
      <c r="PW60" s="4"/>
      <c r="PX60" s="4"/>
      <c r="PY60" s="4"/>
      <c r="PZ60" s="4"/>
      <c r="QA60" s="5"/>
      <c r="QB60" s="6"/>
      <c r="QC60" s="4"/>
      <c r="QD60" s="4"/>
      <c r="QE60" s="4"/>
      <c r="QF60" s="4"/>
      <c r="QG60" s="4"/>
      <c r="QH60" s="5"/>
      <c r="QI60" s="6"/>
      <c r="QJ60" s="4"/>
      <c r="QK60" s="4"/>
      <c r="QL60" s="4"/>
      <c r="QM60" s="4"/>
      <c r="QN60" s="4"/>
      <c r="QO60" s="5"/>
      <c r="QP60" s="6"/>
      <c r="QQ60" s="4"/>
      <c r="QR60" s="4"/>
      <c r="QS60" s="4"/>
      <c r="QT60" s="4"/>
      <c r="QU60" s="4"/>
      <c r="QV60" s="5"/>
      <c r="QW60" s="6"/>
      <c r="QX60" s="4"/>
      <c r="QY60" s="4"/>
      <c r="QZ60" s="4"/>
      <c r="RA60" s="4"/>
      <c r="RB60" s="4"/>
      <c r="RC60" s="5"/>
      <c r="RD60" s="6"/>
      <c r="RE60" s="4"/>
      <c r="RF60" s="4"/>
      <c r="RG60" s="4"/>
      <c r="RH60" s="4"/>
      <c r="RI60" s="4"/>
      <c r="RJ60" s="5"/>
      <c r="RK60" s="6"/>
      <c r="RL60" s="4"/>
      <c r="RM60" s="4"/>
      <c r="RN60" s="4"/>
      <c r="RO60" s="4"/>
      <c r="RP60" s="4"/>
      <c r="RQ60" s="5"/>
      <c r="RR60" s="6"/>
      <c r="RS60" s="4"/>
      <c r="RT60" s="4"/>
      <c r="RU60" s="4"/>
      <c r="RV60" s="4"/>
      <c r="RW60" s="4"/>
      <c r="RX60" s="5"/>
      <c r="RY60" s="6"/>
      <c r="RZ60" s="4"/>
      <c r="SA60" s="4"/>
      <c r="SB60" s="4"/>
      <c r="SC60" s="4"/>
      <c r="SD60" s="4"/>
      <c r="SE60" s="5"/>
      <c r="SF60" s="6"/>
      <c r="SG60" s="4"/>
      <c r="SH60" s="4"/>
      <c r="SI60" s="4"/>
      <c r="SJ60" s="4"/>
      <c r="SK60" s="4"/>
      <c r="SL60" s="5"/>
      <c r="SM60" s="6"/>
      <c r="SN60" s="4"/>
      <c r="SO60" s="4"/>
      <c r="SP60" s="4"/>
      <c r="SQ60" s="4"/>
      <c r="SR60" s="4"/>
      <c r="SS60" s="5"/>
      <c r="ST60" s="6"/>
      <c r="SU60" s="4"/>
      <c r="SV60" s="4"/>
      <c r="SW60" s="4"/>
      <c r="SX60" s="4"/>
      <c r="SY60" s="4"/>
      <c r="SZ60" s="5"/>
      <c r="TA60" s="6"/>
      <c r="TB60" s="4"/>
      <c r="TC60" s="4"/>
      <c r="TD60" s="4"/>
      <c r="TE60" s="4"/>
      <c r="TF60" s="4"/>
      <c r="TG60" s="5"/>
      <c r="TH60" s="6"/>
      <c r="TI60" s="4"/>
      <c r="TJ60" s="4"/>
      <c r="TK60" s="4"/>
      <c r="TL60" s="4"/>
      <c r="TM60" s="4"/>
      <c r="TN60" s="5"/>
      <c r="TO60" s="6"/>
      <c r="TP60" s="4"/>
      <c r="TQ60" s="4"/>
      <c r="TR60" s="4"/>
      <c r="TS60" s="4"/>
      <c r="TT60" s="4"/>
      <c r="TU60" s="5"/>
      <c r="TV60" s="6"/>
      <c r="TW60" s="4"/>
      <c r="TX60" s="4"/>
      <c r="TY60" s="4"/>
      <c r="TZ60" s="4"/>
      <c r="UA60" s="4"/>
      <c r="UB60" s="5"/>
      <c r="UC60" s="6"/>
      <c r="UD60" s="4"/>
      <c r="UE60" s="4"/>
      <c r="UF60" s="4"/>
      <c r="UG60" s="4"/>
      <c r="UH60" s="4"/>
      <c r="UI60" s="5"/>
      <c r="UJ60" s="6"/>
      <c r="UK60" s="4"/>
      <c r="UL60" s="4"/>
      <c r="UM60" s="4"/>
      <c r="UN60" s="4"/>
      <c r="UO60" s="4"/>
      <c r="UP60" s="5"/>
      <c r="UQ60" s="6"/>
      <c r="UR60" s="4"/>
      <c r="US60" s="4"/>
      <c r="UT60" s="4"/>
      <c r="UU60" s="4"/>
      <c r="UV60" s="4"/>
      <c r="UW60" s="5"/>
      <c r="UX60" s="6"/>
      <c r="UY60" s="4"/>
      <c r="UZ60" s="4"/>
      <c r="VA60" s="4"/>
      <c r="VB60" s="4"/>
      <c r="VC60" s="4"/>
      <c r="VD60" s="5"/>
      <c r="VE60" s="6"/>
      <c r="VF60" s="4"/>
      <c r="VG60" s="4"/>
      <c r="VH60" s="4"/>
      <c r="VI60" s="8"/>
      <c r="VJ60" s="4"/>
      <c r="VK60" s="5"/>
      <c r="VL60" s="6"/>
      <c r="VM60" s="4"/>
      <c r="VN60" s="4"/>
      <c r="VO60" s="4"/>
      <c r="VP60" s="4"/>
      <c r="VQ60" s="4"/>
      <c r="VR60" s="5"/>
      <c r="VS60" s="6"/>
      <c r="VT60" s="4"/>
      <c r="VU60" s="4"/>
      <c r="VV60" s="4"/>
      <c r="VW60" s="4"/>
      <c r="VX60" s="4"/>
      <c r="VY60" s="5"/>
      <c r="VZ60" s="6"/>
      <c r="WA60" s="4"/>
      <c r="WB60" s="4"/>
      <c r="WC60" s="4"/>
      <c r="WD60" s="4"/>
      <c r="WE60" s="4"/>
      <c r="WF60" s="5"/>
      <c r="WG60" s="6"/>
      <c r="WH60" s="4"/>
      <c r="WI60" s="4"/>
      <c r="WJ60" s="4"/>
      <c r="WK60" s="4"/>
      <c r="WL60" s="4"/>
      <c r="WM60" s="5"/>
      <c r="WN60" s="6"/>
      <c r="WO60" s="4"/>
      <c r="WP60" s="4"/>
      <c r="WQ60" s="4"/>
      <c r="WR60" s="4"/>
      <c r="WS60" s="4"/>
      <c r="WT60" s="5"/>
      <c r="WU60" s="6"/>
      <c r="WV60" s="4"/>
      <c r="WW60" s="4"/>
      <c r="WX60" s="4"/>
      <c r="WY60" s="4"/>
      <c r="WZ60" s="4"/>
      <c r="XA60" s="5"/>
      <c r="XB60" s="6"/>
      <c r="XC60" s="4"/>
      <c r="XD60" s="4"/>
      <c r="XE60" s="4"/>
      <c r="XF60" s="4"/>
      <c r="XG60" s="4"/>
      <c r="XH60" s="5"/>
      <c r="XI60" s="6"/>
      <c r="XJ60" s="4"/>
      <c r="XK60" s="4"/>
      <c r="XL60" s="4"/>
      <c r="XM60" s="4"/>
      <c r="XN60" s="4"/>
      <c r="XO60" s="5"/>
      <c r="XP60" s="6"/>
      <c r="XQ60" s="4"/>
      <c r="XR60" s="4"/>
      <c r="XS60" s="4"/>
      <c r="XT60" s="4"/>
      <c r="XU60" s="4"/>
      <c r="XV60" s="5"/>
      <c r="XW60" s="6"/>
      <c r="XX60" s="4"/>
      <c r="XY60" s="4"/>
      <c r="XZ60" s="4"/>
      <c r="YA60" s="4"/>
      <c r="YB60" s="4"/>
      <c r="YC60" s="5"/>
      <c r="YD60" s="6"/>
      <c r="YE60" s="4"/>
      <c r="YF60" s="4"/>
      <c r="YG60" s="4"/>
      <c r="YH60" s="4"/>
      <c r="YI60" s="4"/>
      <c r="YJ60" s="5"/>
      <c r="YK60" s="6"/>
      <c r="YL60" s="4"/>
      <c r="YM60" s="4"/>
      <c r="YN60" s="4"/>
      <c r="YO60" s="8"/>
      <c r="YP60" s="4"/>
      <c r="YQ60" s="5"/>
      <c r="YR60" s="6"/>
      <c r="YS60" s="4"/>
      <c r="YT60" s="4"/>
      <c r="YU60" s="4"/>
      <c r="YV60" s="4"/>
      <c r="YW60" s="4"/>
      <c r="YX60" s="5"/>
      <c r="YY60" s="6"/>
      <c r="YZ60" s="4"/>
      <c r="ZA60" s="4"/>
      <c r="ZB60" s="4"/>
      <c r="ZC60" s="4"/>
      <c r="ZD60" s="4"/>
      <c r="ZE60" s="5"/>
      <c r="ZF60" s="6"/>
      <c r="ZG60" s="4"/>
      <c r="ZH60" s="4"/>
      <c r="ZI60" s="4"/>
      <c r="ZJ60" s="4"/>
      <c r="ZK60" s="4"/>
      <c r="ZL60" s="5"/>
      <c r="ZM60" s="6"/>
      <c r="ZN60" s="4"/>
      <c r="ZO60" s="4"/>
      <c r="ZP60" s="4"/>
      <c r="ZQ60" s="4"/>
      <c r="ZR60" s="4"/>
      <c r="ZS60" s="5"/>
      <c r="ZT60" s="6"/>
      <c r="ZU60" s="4"/>
      <c r="ZV60" s="4"/>
      <c r="ZW60" s="4"/>
      <c r="ZX60" s="8"/>
      <c r="ZY60" s="4"/>
      <c r="ZZ60" s="5"/>
      <c r="AAA60" s="6"/>
      <c r="AAB60" s="4"/>
      <c r="AAC60" s="4"/>
      <c r="AAD60" s="4"/>
      <c r="AAE60" s="4"/>
      <c r="AAF60" s="4"/>
      <c r="AAG60" s="5"/>
      <c r="AAH60" s="6"/>
      <c r="AAI60" s="4"/>
      <c r="AAJ60" s="4"/>
      <c r="AAK60" s="4"/>
      <c r="AAL60" s="4"/>
      <c r="AAM60" s="4"/>
      <c r="AAN60" s="5"/>
      <c r="AAO60" s="6"/>
      <c r="AAP60" s="4"/>
      <c r="AAQ60" s="4"/>
      <c r="AAR60" s="4"/>
      <c r="AAS60" s="4"/>
      <c r="AAT60" s="4"/>
      <c r="AAU60" s="5"/>
      <c r="AAV60" s="6"/>
      <c r="AAW60" s="4"/>
      <c r="AAX60" s="4"/>
      <c r="AAY60" s="4"/>
      <c r="AAZ60" s="4"/>
      <c r="ABA60" s="4"/>
      <c r="ABB60" s="5"/>
      <c r="ABC60" s="6"/>
      <c r="ABD60" s="4"/>
      <c r="ABE60" s="4"/>
      <c r="ABF60" s="4"/>
      <c r="ABG60" s="4"/>
      <c r="ABH60" s="4"/>
      <c r="ABI60" s="5"/>
      <c r="ABJ60" s="6"/>
      <c r="ABK60" s="4"/>
      <c r="ABL60" s="4"/>
      <c r="ABM60" s="4"/>
      <c r="ABN60" s="4"/>
      <c r="ABO60" s="4"/>
      <c r="ABP60" s="5"/>
      <c r="ABQ60" s="6"/>
      <c r="ABR60" s="4"/>
      <c r="ABS60" s="4"/>
      <c r="ABT60" s="4"/>
      <c r="ABU60" s="4"/>
      <c r="ABV60" s="4"/>
      <c r="ABW60" s="5"/>
      <c r="ABX60" s="6"/>
      <c r="ABY60" s="4"/>
      <c r="ABZ60" s="4"/>
      <c r="ACA60" s="4"/>
      <c r="ACB60" s="4"/>
      <c r="ACC60" s="4"/>
      <c r="ACD60" s="5"/>
      <c r="ACE60" s="6"/>
      <c r="ACF60" s="4"/>
      <c r="ACG60" s="4"/>
      <c r="ACH60" s="4"/>
      <c r="ACI60" s="4"/>
      <c r="ACJ60" s="4"/>
      <c r="ACK60" s="5"/>
      <c r="ACL60" s="6"/>
      <c r="ACM60" s="4"/>
      <c r="ACN60" s="4"/>
      <c r="ACO60" s="4"/>
      <c r="ACP60" s="4"/>
      <c r="ACQ60" s="4"/>
      <c r="ACR60" s="5"/>
      <c r="ACS60" s="6"/>
      <c r="ACT60" s="4"/>
      <c r="ACU60" s="4"/>
      <c r="ACV60" s="4"/>
      <c r="ACW60" s="4"/>
      <c r="ACX60" s="4"/>
      <c r="ACY60" s="5"/>
    </row>
    <row r="61" spans="2:805" x14ac:dyDescent="0.25">
      <c r="B61" s="30"/>
      <c r="J61" s="12"/>
      <c r="K61" s="12"/>
      <c r="L61" s="12"/>
      <c r="LL61" s="6"/>
      <c r="LM61" s="4"/>
      <c r="LN61" s="4"/>
      <c r="LO61" s="4"/>
      <c r="LP61" s="4"/>
      <c r="LQ61" s="4"/>
      <c r="LR61" s="5"/>
      <c r="LS61" s="6"/>
      <c r="LT61" s="4"/>
      <c r="LU61" s="4"/>
      <c r="LV61" s="4"/>
      <c r="LW61" s="4"/>
      <c r="LX61" s="4"/>
      <c r="LY61" s="5"/>
      <c r="LZ61" s="6" t="s">
        <v>2608</v>
      </c>
      <c r="MA61" s="7" t="s">
        <v>2609</v>
      </c>
      <c r="MB61" s="4"/>
      <c r="MC61" s="7" t="s">
        <v>2610</v>
      </c>
      <c r="MD61" s="8">
        <v>33855</v>
      </c>
      <c r="ME61" s="8">
        <v>33861</v>
      </c>
      <c r="MF61" s="8"/>
      <c r="MG61" s="5"/>
      <c r="MH61" s="6"/>
      <c r="MI61" s="4"/>
      <c r="MJ61" s="4"/>
      <c r="MK61" s="4"/>
      <c r="ML61" s="4"/>
      <c r="MM61" s="4"/>
      <c r="MN61" s="5"/>
      <c r="MO61" s="6"/>
      <c r="MP61" s="4"/>
      <c r="MQ61" s="4"/>
      <c r="MR61" s="4"/>
      <c r="MS61" s="4"/>
      <c r="MT61" s="4"/>
      <c r="MU61" s="5"/>
      <c r="MV61" s="6"/>
      <c r="MW61" s="4"/>
      <c r="MX61" s="4"/>
      <c r="MY61" s="4"/>
      <c r="MZ61" s="4"/>
      <c r="NA61" s="4"/>
      <c r="NB61" s="5"/>
      <c r="NC61" s="6"/>
      <c r="ND61" s="4"/>
      <c r="NE61" s="4"/>
      <c r="NF61" s="4"/>
      <c r="NG61" s="8"/>
      <c r="NH61" s="8"/>
      <c r="NI61" s="5"/>
      <c r="NJ61" s="6"/>
      <c r="NK61" s="4"/>
      <c r="NL61" s="4"/>
      <c r="NM61" s="4"/>
      <c r="NN61" s="4"/>
      <c r="NO61" s="4"/>
      <c r="NP61" s="5"/>
      <c r="NQ61" s="6"/>
      <c r="NR61" s="4"/>
      <c r="NS61" s="4"/>
      <c r="NT61" s="4"/>
      <c r="NU61" s="4"/>
      <c r="NV61" s="4"/>
      <c r="NW61" s="5"/>
      <c r="NX61" s="6"/>
      <c r="NY61" s="4"/>
      <c r="NZ61" s="4"/>
      <c r="OA61" s="4"/>
      <c r="OB61" s="4"/>
      <c r="OC61" s="4"/>
      <c r="OD61" s="5"/>
      <c r="OE61" s="6"/>
      <c r="OF61" s="4"/>
      <c r="OG61" s="4"/>
      <c r="OH61" s="4"/>
      <c r="OI61" s="4"/>
      <c r="OJ61" s="4"/>
      <c r="OK61" s="5"/>
      <c r="OL61" s="6"/>
      <c r="OM61" s="4"/>
      <c r="ON61" s="4"/>
      <c r="OO61" s="4"/>
      <c r="OP61" s="4"/>
      <c r="OQ61" s="4"/>
      <c r="OR61" s="5"/>
      <c r="OS61" s="6"/>
      <c r="OT61" s="4"/>
      <c r="OU61" s="4"/>
      <c r="OV61" s="4"/>
      <c r="OW61" s="4"/>
      <c r="OX61" s="4"/>
      <c r="OY61" s="5"/>
      <c r="OZ61" s="6"/>
      <c r="PA61" s="4"/>
      <c r="PB61" s="4"/>
      <c r="PC61" s="4"/>
      <c r="PD61" s="4"/>
      <c r="PE61" s="4"/>
      <c r="PF61" s="5"/>
      <c r="PG61" s="6"/>
      <c r="PH61" s="4"/>
      <c r="PI61" s="4"/>
      <c r="PJ61" s="4"/>
      <c r="PK61" s="4"/>
      <c r="PL61" s="4"/>
      <c r="PM61" s="5"/>
      <c r="PN61" s="6"/>
      <c r="PO61" s="4"/>
      <c r="PP61" s="4"/>
      <c r="PQ61" s="4"/>
      <c r="PR61" s="4"/>
      <c r="PS61" s="4"/>
      <c r="PT61" s="5"/>
      <c r="PU61" s="6"/>
      <c r="PV61" s="4"/>
      <c r="PW61" s="4"/>
      <c r="PX61" s="4"/>
      <c r="PY61" s="4"/>
      <c r="PZ61" s="4"/>
      <c r="QA61" s="5"/>
      <c r="QB61" s="6"/>
      <c r="QC61" s="4"/>
      <c r="QD61" s="4"/>
      <c r="QE61" s="4"/>
      <c r="QF61" s="4"/>
      <c r="QG61" s="4"/>
      <c r="QH61" s="5"/>
      <c r="QI61" s="6"/>
      <c r="QJ61" s="4"/>
      <c r="QK61" s="4"/>
      <c r="QL61" s="4"/>
      <c r="QM61" s="4"/>
      <c r="QN61" s="4"/>
      <c r="QO61" s="5"/>
      <c r="QP61" s="6"/>
      <c r="QQ61" s="4"/>
      <c r="QR61" s="4"/>
      <c r="QS61" s="4"/>
      <c r="QT61" s="4"/>
      <c r="QU61" s="4"/>
      <c r="QV61" s="5"/>
      <c r="QW61" s="6"/>
      <c r="QX61" s="4"/>
      <c r="QY61" s="4"/>
      <c r="QZ61" s="4"/>
      <c r="RA61" s="4"/>
      <c r="RB61" s="4"/>
      <c r="RC61" s="5"/>
      <c r="RD61" s="6"/>
      <c r="RE61" s="4"/>
      <c r="RF61" s="4"/>
      <c r="RG61" s="4"/>
      <c r="RH61" s="4"/>
      <c r="RI61" s="4"/>
      <c r="RJ61" s="5"/>
      <c r="RK61" s="6"/>
      <c r="RL61" s="4"/>
      <c r="RM61" s="4"/>
      <c r="RN61" s="4"/>
      <c r="RO61" s="4"/>
      <c r="RP61" s="4"/>
      <c r="RQ61" s="5"/>
      <c r="RR61" s="6"/>
      <c r="RS61" s="4"/>
      <c r="RT61" s="4"/>
      <c r="RU61" s="4"/>
      <c r="RV61" s="4"/>
      <c r="RW61" s="4"/>
      <c r="RX61" s="5"/>
      <c r="RY61" s="6"/>
      <c r="RZ61" s="4"/>
      <c r="SA61" s="4"/>
      <c r="SB61" s="4"/>
      <c r="SC61" s="4"/>
      <c r="SD61" s="4"/>
      <c r="SE61" s="5"/>
      <c r="SF61" s="6"/>
      <c r="SG61" s="4"/>
      <c r="SH61" s="4"/>
      <c r="SI61" s="4"/>
      <c r="SJ61" s="4"/>
      <c r="SK61" s="4"/>
      <c r="SL61" s="5"/>
      <c r="SM61" s="6"/>
      <c r="SN61" s="4"/>
      <c r="SO61" s="4"/>
      <c r="SP61" s="4"/>
      <c r="SQ61" s="4"/>
      <c r="SR61" s="4"/>
      <c r="SS61" s="5"/>
      <c r="ST61" s="6"/>
      <c r="SU61" s="4"/>
      <c r="SV61" s="4"/>
      <c r="SW61" s="4"/>
      <c r="SX61" s="4"/>
      <c r="SY61" s="4"/>
      <c r="SZ61" s="5"/>
      <c r="TA61" s="6"/>
      <c r="TB61" s="4"/>
      <c r="TC61" s="4"/>
      <c r="TD61" s="4"/>
      <c r="TE61" s="4"/>
      <c r="TF61" s="4"/>
      <c r="TG61" s="5"/>
      <c r="TH61" s="6"/>
      <c r="TI61" s="4"/>
      <c r="TJ61" s="4"/>
      <c r="TK61" s="4"/>
      <c r="TL61" s="4"/>
      <c r="TM61" s="4"/>
      <c r="TN61" s="5"/>
      <c r="TO61" s="6"/>
      <c r="TP61" s="4"/>
      <c r="TQ61" s="4"/>
      <c r="TR61" s="4"/>
      <c r="TS61" s="4"/>
      <c r="TT61" s="4"/>
      <c r="TU61" s="5"/>
      <c r="TV61" s="6"/>
      <c r="TW61" s="4"/>
      <c r="TX61" s="4"/>
      <c r="TY61" s="4"/>
      <c r="TZ61" s="4"/>
      <c r="UA61" s="4"/>
      <c r="UB61" s="5"/>
      <c r="UC61" s="6"/>
      <c r="UD61" s="4"/>
      <c r="UE61" s="4"/>
      <c r="UF61" s="4"/>
      <c r="UG61" s="4"/>
      <c r="UH61" s="4"/>
      <c r="UI61" s="5"/>
      <c r="UJ61" s="6"/>
      <c r="UK61" s="4"/>
      <c r="UL61" s="4"/>
      <c r="UM61" s="4"/>
      <c r="UN61" s="4"/>
      <c r="UO61" s="4"/>
      <c r="UP61" s="5"/>
      <c r="UQ61" s="6"/>
      <c r="UR61" s="4"/>
      <c r="US61" s="4"/>
      <c r="UT61" s="4"/>
      <c r="UU61" s="4"/>
      <c r="UV61" s="4"/>
      <c r="UW61" s="5"/>
      <c r="UX61" s="6"/>
      <c r="UY61" s="4"/>
      <c r="UZ61" s="4"/>
      <c r="VA61" s="4"/>
      <c r="VB61" s="4"/>
      <c r="VC61" s="4"/>
      <c r="VD61" s="5"/>
      <c r="VE61" s="6"/>
      <c r="VF61" s="4"/>
      <c r="VG61" s="4"/>
      <c r="VH61" s="4"/>
      <c r="VI61" s="8"/>
      <c r="VJ61" s="4"/>
      <c r="VK61" s="5"/>
      <c r="VL61" s="6"/>
      <c r="VM61" s="4"/>
      <c r="VN61" s="4"/>
      <c r="VO61" s="4"/>
      <c r="VP61" s="4"/>
      <c r="VQ61" s="4"/>
      <c r="VR61" s="5"/>
      <c r="VS61" s="6"/>
      <c r="VT61" s="4"/>
      <c r="VU61" s="4"/>
      <c r="VV61" s="4"/>
      <c r="VW61" s="4"/>
      <c r="VX61" s="4"/>
      <c r="VY61" s="5"/>
      <c r="VZ61" s="6"/>
      <c r="WA61" s="4"/>
      <c r="WB61" s="4"/>
      <c r="WC61" s="4"/>
      <c r="WD61" s="4"/>
      <c r="WE61" s="4"/>
      <c r="WF61" s="5"/>
      <c r="WG61" s="6"/>
      <c r="WH61" s="4"/>
      <c r="WI61" s="4"/>
      <c r="WJ61" s="4"/>
      <c r="WK61" s="4"/>
      <c r="WL61" s="4"/>
      <c r="WM61" s="5"/>
      <c r="WN61" s="6"/>
      <c r="WO61" s="4"/>
      <c r="WP61" s="4"/>
      <c r="WQ61" s="4"/>
      <c r="WR61" s="4"/>
      <c r="WS61" s="4"/>
      <c r="WT61" s="5"/>
      <c r="WU61" s="6"/>
      <c r="WV61" s="4"/>
      <c r="WW61" s="4"/>
      <c r="WX61" s="4"/>
      <c r="WY61" s="4"/>
      <c r="WZ61" s="4"/>
      <c r="XA61" s="5"/>
      <c r="XB61" s="6"/>
      <c r="XC61" s="4"/>
      <c r="XD61" s="4"/>
      <c r="XE61" s="4"/>
      <c r="XF61" s="4"/>
      <c r="XG61" s="4"/>
      <c r="XH61" s="5"/>
      <c r="XI61" s="6"/>
      <c r="XJ61" s="4"/>
      <c r="XK61" s="4"/>
      <c r="XL61" s="4"/>
      <c r="XM61" s="4"/>
      <c r="XN61" s="4"/>
      <c r="XO61" s="5"/>
      <c r="XP61" s="6"/>
      <c r="XQ61" s="4"/>
      <c r="XR61" s="4"/>
      <c r="XS61" s="4"/>
      <c r="XT61" s="4"/>
      <c r="XU61" s="4"/>
      <c r="XV61" s="5"/>
      <c r="XW61" s="6"/>
      <c r="XX61" s="4"/>
      <c r="XY61" s="4"/>
      <c r="XZ61" s="4"/>
      <c r="YA61" s="4"/>
      <c r="YB61" s="4"/>
      <c r="YC61" s="5"/>
      <c r="YD61" s="6"/>
      <c r="YE61" s="4"/>
      <c r="YF61" s="4"/>
      <c r="YG61" s="4"/>
      <c r="YH61" s="4"/>
      <c r="YI61" s="4"/>
      <c r="YJ61" s="5"/>
      <c r="YK61" s="6"/>
      <c r="YL61" s="4"/>
      <c r="YM61" s="4"/>
      <c r="YN61" s="4"/>
      <c r="YO61" s="8"/>
      <c r="YP61" s="4"/>
      <c r="YQ61" s="5"/>
      <c r="YR61" s="6"/>
      <c r="YS61" s="4"/>
      <c r="YT61" s="4"/>
      <c r="YU61" s="4"/>
      <c r="YV61" s="4"/>
      <c r="YW61" s="4"/>
      <c r="YX61" s="5"/>
      <c r="YY61" s="6"/>
      <c r="YZ61" s="4"/>
      <c r="ZA61" s="4"/>
      <c r="ZB61" s="4"/>
      <c r="ZC61" s="4"/>
      <c r="ZD61" s="4"/>
      <c r="ZE61" s="5"/>
      <c r="ZF61" s="6"/>
      <c r="ZG61" s="4"/>
      <c r="ZH61" s="4"/>
      <c r="ZI61" s="4"/>
      <c r="ZJ61" s="4"/>
      <c r="ZK61" s="4"/>
      <c r="ZL61" s="5"/>
      <c r="ZM61" s="6"/>
      <c r="ZN61" s="4"/>
      <c r="ZO61" s="4"/>
      <c r="ZP61" s="4"/>
      <c r="ZQ61" s="4"/>
      <c r="ZR61" s="4"/>
      <c r="ZS61" s="5"/>
      <c r="ZT61" s="6"/>
      <c r="ZU61" s="4"/>
      <c r="ZV61" s="4"/>
      <c r="ZW61" s="4"/>
      <c r="ZX61" s="8"/>
      <c r="ZY61" s="4"/>
      <c r="ZZ61" s="5"/>
      <c r="AAA61" s="6"/>
      <c r="AAB61" s="4"/>
      <c r="AAC61" s="4"/>
      <c r="AAD61" s="4"/>
      <c r="AAE61" s="4"/>
      <c r="AAF61" s="4"/>
      <c r="AAG61" s="5"/>
      <c r="AAH61" s="6"/>
      <c r="AAI61" s="4"/>
      <c r="AAJ61" s="4"/>
      <c r="AAK61" s="4"/>
      <c r="AAL61" s="4"/>
      <c r="AAM61" s="4"/>
      <c r="AAN61" s="5"/>
      <c r="AAO61" s="6"/>
      <c r="AAP61" s="4"/>
      <c r="AAQ61" s="4"/>
      <c r="AAR61" s="4"/>
      <c r="AAS61" s="4"/>
      <c r="AAT61" s="4"/>
      <c r="AAU61" s="5"/>
      <c r="AAV61" s="6"/>
      <c r="AAW61" s="4"/>
      <c r="AAX61" s="4"/>
      <c r="AAY61" s="4"/>
      <c r="AAZ61" s="4"/>
      <c r="ABA61" s="4"/>
      <c r="ABB61" s="5"/>
      <c r="ABC61" s="6"/>
      <c r="ABD61" s="4"/>
      <c r="ABE61" s="4"/>
      <c r="ABF61" s="4"/>
      <c r="ABG61" s="4"/>
      <c r="ABH61" s="4"/>
      <c r="ABI61" s="5"/>
      <c r="ABJ61" s="6"/>
      <c r="ABK61" s="4"/>
      <c r="ABL61" s="4"/>
      <c r="ABM61" s="4"/>
      <c r="ABN61" s="4"/>
      <c r="ABO61" s="4"/>
      <c r="ABP61" s="5"/>
      <c r="ABQ61" s="6"/>
      <c r="ABR61" s="4"/>
      <c r="ABS61" s="4"/>
      <c r="ABT61" s="4"/>
      <c r="ABU61" s="4"/>
      <c r="ABV61" s="4"/>
      <c r="ABW61" s="5"/>
      <c r="ABX61" s="6"/>
      <c r="ABY61" s="4"/>
      <c r="ABZ61" s="4"/>
      <c r="ACA61" s="4"/>
      <c r="ACB61" s="4"/>
      <c r="ACC61" s="4"/>
      <c r="ACD61" s="5"/>
      <c r="ACE61" s="6"/>
      <c r="ACF61" s="4"/>
      <c r="ACG61" s="4"/>
      <c r="ACH61" s="4"/>
      <c r="ACI61" s="4"/>
      <c r="ACJ61" s="4"/>
      <c r="ACK61" s="5"/>
      <c r="ACL61" s="6"/>
      <c r="ACM61" s="4"/>
      <c r="ACN61" s="4"/>
      <c r="ACO61" s="4"/>
      <c r="ACP61" s="4"/>
      <c r="ACQ61" s="4"/>
      <c r="ACR61" s="5"/>
      <c r="ACS61" s="6"/>
      <c r="ACT61" s="4"/>
      <c r="ACU61" s="4"/>
      <c r="ACV61" s="4"/>
      <c r="ACW61" s="4"/>
      <c r="ACX61" s="4"/>
      <c r="ACY61" s="5"/>
    </row>
    <row r="62" spans="2:805" x14ac:dyDescent="0.25">
      <c r="B62" s="49">
        <v>94900202</v>
      </c>
      <c r="C62">
        <v>77</v>
      </c>
      <c r="D62" t="s">
        <v>682</v>
      </c>
      <c r="E62" s="35" t="s">
        <v>603</v>
      </c>
      <c r="F62" s="23">
        <v>1</v>
      </c>
      <c r="G62" s="31">
        <v>34250</v>
      </c>
      <c r="H62" s="23" t="s">
        <v>482</v>
      </c>
      <c r="J62" s="12"/>
      <c r="K62" s="12"/>
      <c r="L62" s="12"/>
      <c r="M62">
        <v>1</v>
      </c>
      <c r="N62" s="17">
        <v>34248</v>
      </c>
      <c r="LK62" s="27"/>
      <c r="LL62" s="6"/>
      <c r="LM62" s="4"/>
      <c r="LN62" s="4"/>
      <c r="LO62" s="4"/>
      <c r="LP62" s="4"/>
      <c r="LQ62" s="4"/>
      <c r="LR62" s="5"/>
      <c r="LS62" s="6"/>
      <c r="LT62" s="4"/>
      <c r="LU62" s="4"/>
      <c r="LV62" s="4"/>
      <c r="LW62" s="4"/>
      <c r="LX62" s="4"/>
      <c r="LY62" s="5"/>
      <c r="LZ62" s="6" t="s">
        <v>2297</v>
      </c>
      <c r="MA62" s="7" t="s">
        <v>924</v>
      </c>
      <c r="MB62" s="4"/>
      <c r="MC62" s="4"/>
      <c r="MD62" s="8"/>
      <c r="ME62" s="4"/>
      <c r="MF62" s="4"/>
      <c r="MG62" s="5"/>
      <c r="MH62" s="6"/>
      <c r="MI62" s="4"/>
      <c r="MJ62" s="4"/>
      <c r="MK62" s="4"/>
      <c r="ML62" s="4"/>
      <c r="MM62" s="4"/>
      <c r="MN62" s="5"/>
      <c r="MO62" s="6"/>
      <c r="MP62" s="4"/>
      <c r="MQ62" s="4"/>
      <c r="MR62" s="4"/>
      <c r="MS62" s="4"/>
      <c r="MT62" s="4"/>
      <c r="MU62" s="5"/>
      <c r="MV62" s="6"/>
      <c r="MW62" s="4"/>
      <c r="MX62" s="4"/>
      <c r="MY62" s="4"/>
      <c r="MZ62" s="4"/>
      <c r="NA62" s="4"/>
      <c r="NB62" s="5"/>
      <c r="NC62" s="6"/>
      <c r="ND62" s="4"/>
      <c r="NE62" s="4"/>
      <c r="NF62" s="4"/>
      <c r="NG62" s="4"/>
      <c r="NH62" s="4"/>
      <c r="NI62" s="5"/>
      <c r="NJ62" s="6"/>
      <c r="NK62" s="4"/>
      <c r="NL62" s="4"/>
      <c r="NM62" s="4"/>
      <c r="NN62" s="4"/>
      <c r="NO62" s="4"/>
      <c r="NP62" s="5"/>
      <c r="NQ62" s="6"/>
      <c r="NR62" s="4"/>
      <c r="NS62" s="4"/>
      <c r="NT62" s="4"/>
      <c r="NU62" s="4"/>
      <c r="NV62" s="4"/>
      <c r="NW62" s="5"/>
      <c r="NX62" s="6"/>
      <c r="NY62" s="4"/>
      <c r="NZ62" s="4"/>
      <c r="OA62" s="4"/>
      <c r="OB62" s="4"/>
      <c r="OC62" s="4"/>
      <c r="OD62" s="5"/>
      <c r="OE62" s="6"/>
      <c r="OF62" s="4"/>
      <c r="OG62" s="4"/>
      <c r="OH62" s="4"/>
      <c r="OI62" s="4"/>
      <c r="OJ62" s="4"/>
      <c r="OK62" s="5"/>
      <c r="OL62" s="6"/>
      <c r="OM62" s="4"/>
      <c r="ON62" s="4"/>
      <c r="OO62" s="4"/>
      <c r="OP62" s="4"/>
      <c r="OQ62" s="4"/>
      <c r="OR62" s="5"/>
      <c r="OS62" s="6"/>
      <c r="OT62" s="4"/>
      <c r="OU62" s="4"/>
      <c r="OV62" s="4"/>
      <c r="OW62" s="4"/>
      <c r="OX62" s="4"/>
      <c r="OY62" s="5"/>
      <c r="OZ62" s="6"/>
      <c r="PA62" s="4"/>
      <c r="PB62" s="4"/>
      <c r="PC62" s="4"/>
      <c r="PD62" s="4"/>
      <c r="PE62" s="4"/>
      <c r="PF62" s="5"/>
      <c r="PG62" s="6"/>
      <c r="PH62" s="4"/>
      <c r="PI62" s="4"/>
      <c r="PJ62" s="4"/>
      <c r="PK62" s="4"/>
      <c r="PL62" s="4"/>
      <c r="PM62" s="5"/>
      <c r="PN62" s="6"/>
      <c r="PO62" s="4"/>
      <c r="PP62" s="4"/>
      <c r="PQ62" s="4"/>
      <c r="PR62" s="4"/>
      <c r="PS62" s="4"/>
      <c r="PT62" s="5"/>
      <c r="PU62" s="6"/>
      <c r="PV62" s="4"/>
      <c r="PW62" s="4"/>
      <c r="PX62" s="4"/>
      <c r="PY62" s="4"/>
      <c r="PZ62" s="4"/>
      <c r="QA62" s="5"/>
      <c r="QB62" s="6"/>
      <c r="QC62" s="4"/>
      <c r="QD62" s="4"/>
      <c r="QE62" s="4"/>
      <c r="QF62" s="4"/>
      <c r="QG62" s="4"/>
      <c r="QH62" s="5"/>
      <c r="QI62" s="6"/>
      <c r="QJ62" s="4"/>
      <c r="QK62" s="4"/>
      <c r="QL62" s="4"/>
      <c r="QM62" s="4"/>
      <c r="QN62" s="4"/>
      <c r="QO62" s="5"/>
      <c r="QP62" s="6"/>
      <c r="QQ62" s="4"/>
      <c r="QR62" s="4"/>
      <c r="QS62" s="4"/>
      <c r="QT62" s="4"/>
      <c r="QU62" s="4"/>
      <c r="QV62" s="5"/>
      <c r="QW62" s="6"/>
      <c r="QX62" s="4"/>
      <c r="QY62" s="4"/>
      <c r="QZ62" s="4"/>
      <c r="RA62" s="4"/>
      <c r="RB62" s="4"/>
      <c r="RC62" s="5"/>
      <c r="RD62" s="6"/>
      <c r="RE62" s="4"/>
      <c r="RF62" s="4"/>
      <c r="RG62" s="4"/>
      <c r="RH62" s="4"/>
      <c r="RI62" s="4"/>
      <c r="RJ62" s="5"/>
      <c r="RK62" s="6"/>
      <c r="RL62" s="4"/>
      <c r="RM62" s="4"/>
      <c r="RN62" s="4"/>
      <c r="RO62" s="4"/>
      <c r="RP62" s="4"/>
      <c r="RQ62" s="5"/>
      <c r="RR62" s="6"/>
      <c r="RS62" s="4"/>
      <c r="RT62" s="4"/>
      <c r="RU62" s="4"/>
      <c r="RV62" s="4"/>
      <c r="RW62" s="4"/>
      <c r="RX62" s="5"/>
      <c r="RY62" s="6"/>
      <c r="RZ62" s="4"/>
      <c r="SA62" s="4"/>
      <c r="SB62" s="4"/>
      <c r="SC62" s="4"/>
      <c r="SD62" s="4"/>
      <c r="SE62" s="5"/>
      <c r="SF62" s="6"/>
      <c r="SG62" s="4"/>
      <c r="SH62" s="4"/>
      <c r="SI62" s="4"/>
      <c r="SJ62" s="4"/>
      <c r="SK62" s="4"/>
      <c r="SL62" s="5"/>
      <c r="SM62" s="6"/>
      <c r="SN62" s="4"/>
      <c r="SO62" s="4"/>
      <c r="SP62" s="4"/>
      <c r="SQ62" s="4"/>
      <c r="SR62" s="4"/>
      <c r="SS62" s="5"/>
      <c r="ST62" s="6"/>
      <c r="SU62" s="4"/>
      <c r="SV62" s="4"/>
      <c r="SW62" s="4"/>
      <c r="SX62" s="4"/>
      <c r="SY62" s="4"/>
      <c r="SZ62" s="5"/>
      <c r="TA62" s="6"/>
      <c r="TB62" s="4"/>
      <c r="TC62" s="4"/>
      <c r="TD62" s="4"/>
      <c r="TE62" s="4"/>
      <c r="TF62" s="4"/>
      <c r="TG62" s="5"/>
      <c r="TH62" s="6"/>
      <c r="TI62" s="4"/>
      <c r="TJ62" s="4"/>
      <c r="TK62" s="4"/>
      <c r="TL62" s="4"/>
      <c r="TM62" s="4"/>
      <c r="TN62" s="5"/>
      <c r="TO62" s="6"/>
      <c r="TP62" s="4"/>
      <c r="TQ62" s="4"/>
      <c r="TR62" s="4"/>
      <c r="TS62" s="4"/>
      <c r="TT62" s="4"/>
      <c r="TU62" s="5"/>
      <c r="TV62" s="6"/>
      <c r="TW62" s="4"/>
      <c r="TX62" s="4"/>
      <c r="TY62" s="4"/>
      <c r="TZ62" s="4"/>
      <c r="UA62" s="4"/>
      <c r="UB62" s="5"/>
      <c r="UC62" s="6"/>
      <c r="UD62" s="4"/>
      <c r="UE62" s="4"/>
      <c r="UF62" s="4"/>
      <c r="UG62" s="4"/>
      <c r="UH62" s="4"/>
      <c r="UI62" s="5"/>
      <c r="UJ62" s="6"/>
      <c r="UK62" s="4"/>
      <c r="UL62" s="4"/>
      <c r="UM62" s="4"/>
      <c r="UN62" s="4"/>
      <c r="UO62" s="4"/>
      <c r="UP62" s="5"/>
      <c r="UQ62" s="6"/>
      <c r="UR62" s="4"/>
      <c r="US62" s="4"/>
      <c r="UT62" s="4"/>
      <c r="UU62" s="4"/>
      <c r="UV62" s="4"/>
      <c r="UW62" s="5"/>
      <c r="UX62" s="6"/>
      <c r="UY62" s="4"/>
      <c r="UZ62" s="4"/>
      <c r="VA62" s="4"/>
      <c r="VB62" s="4"/>
      <c r="VC62" s="4"/>
      <c r="VD62" s="5"/>
      <c r="VE62" s="6"/>
      <c r="VF62" s="4"/>
      <c r="VG62" s="4"/>
      <c r="VH62" s="4"/>
      <c r="VI62" s="4"/>
      <c r="VJ62" s="4"/>
      <c r="VK62" s="5"/>
      <c r="VL62" s="6"/>
      <c r="VM62" s="4"/>
      <c r="VN62" s="4"/>
      <c r="VO62" s="4"/>
      <c r="VP62" s="4"/>
      <c r="VQ62" s="4"/>
      <c r="VR62" s="5"/>
      <c r="VS62" s="6"/>
      <c r="VT62" s="4"/>
      <c r="VU62" s="4"/>
      <c r="VV62" s="4"/>
      <c r="VW62" s="4"/>
      <c r="VX62" s="4"/>
      <c r="VY62" s="5"/>
      <c r="VZ62" s="6"/>
      <c r="WA62" s="4"/>
      <c r="WB62" s="4"/>
      <c r="WC62" s="4"/>
      <c r="WD62" s="4"/>
      <c r="WE62" s="4"/>
      <c r="WF62" s="5"/>
      <c r="WG62" s="6"/>
      <c r="WH62" s="4"/>
      <c r="WI62" s="4"/>
      <c r="WJ62" s="4"/>
      <c r="WK62" s="4"/>
      <c r="WL62" s="4"/>
      <c r="WM62" s="5"/>
      <c r="WN62" s="6"/>
      <c r="WO62" s="4"/>
      <c r="WP62" s="4"/>
      <c r="WQ62" s="4"/>
      <c r="WR62" s="4"/>
      <c r="WS62" s="4"/>
      <c r="WT62" s="5"/>
      <c r="WU62" s="6"/>
      <c r="WV62" s="4"/>
      <c r="WW62" s="4"/>
      <c r="WX62" s="4"/>
      <c r="WY62" s="4"/>
      <c r="WZ62" s="4"/>
      <c r="XA62" s="5"/>
      <c r="XB62" s="6"/>
      <c r="XC62" s="4"/>
      <c r="XD62" s="4"/>
      <c r="XE62" s="4"/>
      <c r="XF62" s="4"/>
      <c r="XG62" s="4"/>
      <c r="XH62" s="5"/>
      <c r="XI62" s="6"/>
      <c r="XJ62" s="4"/>
      <c r="XK62" s="4"/>
      <c r="XL62" s="4"/>
      <c r="XM62" s="4"/>
      <c r="XN62" s="4"/>
      <c r="XO62" s="5"/>
      <c r="XP62" s="6"/>
      <c r="XQ62" s="4"/>
      <c r="XR62" s="4"/>
      <c r="XS62" s="4"/>
      <c r="XT62" s="4"/>
      <c r="XU62" s="4"/>
      <c r="XV62" s="5"/>
      <c r="XW62" s="6"/>
      <c r="XX62" s="4"/>
      <c r="XY62" s="4"/>
      <c r="XZ62" s="4"/>
      <c r="YA62" s="4"/>
      <c r="YB62" s="4"/>
      <c r="YC62" s="5"/>
      <c r="YD62" s="6"/>
      <c r="YE62" s="4"/>
      <c r="YF62" s="4"/>
      <c r="YG62" s="4"/>
      <c r="YH62" s="4"/>
      <c r="YI62" s="4"/>
      <c r="YJ62" s="5"/>
      <c r="YK62" s="6" t="s">
        <v>925</v>
      </c>
      <c r="YL62" s="4" t="s">
        <v>926</v>
      </c>
      <c r="YM62" s="4"/>
      <c r="YN62" s="4"/>
      <c r="YO62" s="4"/>
      <c r="YP62" s="4"/>
      <c r="YQ62" s="5" t="s">
        <v>927</v>
      </c>
      <c r="YR62" s="6"/>
      <c r="YS62" s="4"/>
      <c r="YT62" s="4"/>
      <c r="YU62" s="4"/>
      <c r="YV62" s="4"/>
      <c r="YW62" s="4"/>
      <c r="YX62" s="5"/>
      <c r="YY62" s="6"/>
      <c r="YZ62" s="4"/>
      <c r="ZA62" s="4"/>
      <c r="ZB62" s="4"/>
      <c r="ZC62" s="4"/>
      <c r="ZD62" s="4"/>
      <c r="ZE62" s="5"/>
      <c r="ZF62" s="6"/>
      <c r="ZG62" s="4"/>
      <c r="ZH62" s="4"/>
      <c r="ZI62" s="4"/>
      <c r="ZJ62" s="4"/>
      <c r="ZK62" s="4"/>
      <c r="ZL62" s="5"/>
      <c r="ZM62" s="6"/>
      <c r="ZN62" s="4"/>
      <c r="ZO62" s="4"/>
      <c r="ZP62" s="4"/>
      <c r="ZQ62" s="4"/>
      <c r="ZR62" s="4"/>
      <c r="ZS62" s="5"/>
      <c r="ZT62" s="6"/>
      <c r="ZU62" s="4"/>
      <c r="ZV62" s="4"/>
      <c r="ZW62" s="4"/>
      <c r="ZX62" s="4"/>
      <c r="ZY62" s="4"/>
      <c r="ZZ62" s="5"/>
      <c r="AAA62" s="6"/>
      <c r="AAB62" s="4"/>
      <c r="AAC62" s="4"/>
      <c r="AAD62" s="4"/>
      <c r="AAE62" s="4"/>
      <c r="AAF62" s="4"/>
      <c r="AAG62" s="5"/>
      <c r="AAH62" s="6"/>
      <c r="AAI62" s="4"/>
      <c r="AAJ62" s="4"/>
      <c r="AAK62" s="4"/>
      <c r="AAL62" s="4"/>
      <c r="AAM62" s="4"/>
      <c r="AAN62" s="5"/>
      <c r="AAO62" s="6"/>
      <c r="AAP62" s="4"/>
      <c r="AAQ62" s="4"/>
      <c r="AAR62" s="4"/>
      <c r="AAS62" s="4"/>
      <c r="AAT62" s="4"/>
      <c r="AAU62" s="5"/>
      <c r="AAV62" s="6"/>
      <c r="AAW62" s="4"/>
      <c r="AAX62" s="4"/>
      <c r="AAY62" s="4"/>
      <c r="AAZ62" s="4"/>
      <c r="ABA62" s="4"/>
      <c r="ABB62" s="5"/>
      <c r="ABC62" s="6"/>
      <c r="ABD62" s="4"/>
      <c r="ABE62" s="4"/>
      <c r="ABF62" s="4"/>
      <c r="ABG62" s="4"/>
      <c r="ABH62" s="4"/>
      <c r="ABI62" s="5"/>
      <c r="ABJ62" s="6"/>
      <c r="ABK62" s="4"/>
      <c r="ABL62" s="4"/>
      <c r="ABM62" s="4"/>
      <c r="ABN62" s="4"/>
      <c r="ABO62" s="4"/>
      <c r="ABP62" s="5"/>
      <c r="ABQ62" s="6"/>
      <c r="ABR62" s="4"/>
      <c r="ABS62" s="4"/>
      <c r="ABT62" s="4"/>
      <c r="ABU62" s="4"/>
      <c r="ABV62" s="4"/>
      <c r="ABW62" s="5"/>
      <c r="ABX62" s="6"/>
      <c r="ABY62" s="4"/>
      <c r="ABZ62" s="4"/>
      <c r="ACA62" s="4"/>
      <c r="ACB62" s="4"/>
      <c r="ACC62" s="4"/>
      <c r="ACD62" s="5"/>
      <c r="ACE62" s="6"/>
      <c r="ACF62" s="4"/>
      <c r="ACG62" s="4"/>
      <c r="ACH62" s="4"/>
      <c r="ACI62" s="4"/>
      <c r="ACJ62" s="4"/>
      <c r="ACK62" s="5"/>
      <c r="ACL62" s="6" t="s">
        <v>789</v>
      </c>
      <c r="ACM62" s="4" t="s">
        <v>790</v>
      </c>
      <c r="ACN62" s="4" t="s">
        <v>791</v>
      </c>
      <c r="ACO62" s="4"/>
      <c r="ACP62" s="4"/>
      <c r="ACQ62" s="4"/>
      <c r="ACR62" s="5"/>
      <c r="ACS62" s="6"/>
      <c r="ACT62" s="4"/>
      <c r="ACU62" s="4"/>
      <c r="ACV62" s="4"/>
      <c r="ACW62" s="4"/>
      <c r="ACX62" s="4"/>
      <c r="ACY62" s="5"/>
    </row>
    <row r="63" spans="2:805" x14ac:dyDescent="0.25">
      <c r="B63" s="30"/>
      <c r="J63" s="12"/>
      <c r="K63" s="12"/>
      <c r="L63" s="12"/>
      <c r="LL63" s="6"/>
      <c r="LM63" s="4"/>
      <c r="LN63" s="4"/>
      <c r="LO63" s="4"/>
      <c r="LP63" s="4"/>
      <c r="LQ63" s="4"/>
      <c r="LR63" s="5"/>
      <c r="LS63" s="6"/>
      <c r="LT63" s="4"/>
      <c r="LU63" s="4"/>
      <c r="LV63" s="4"/>
      <c r="LW63" s="4"/>
      <c r="LX63" s="4"/>
      <c r="LY63" s="5"/>
      <c r="LZ63" s="6" t="s">
        <v>792</v>
      </c>
      <c r="MA63" s="7" t="s">
        <v>2609</v>
      </c>
      <c r="MB63" s="4"/>
      <c r="MC63" s="7" t="s">
        <v>3027</v>
      </c>
      <c r="MD63" s="8">
        <v>34245</v>
      </c>
      <c r="ME63" s="8">
        <v>34245</v>
      </c>
      <c r="MF63" s="8"/>
      <c r="MG63" s="5"/>
      <c r="MH63" s="6"/>
      <c r="MI63" s="4"/>
      <c r="MJ63" s="4"/>
      <c r="MK63" s="4"/>
      <c r="ML63" s="4"/>
      <c r="MM63" s="4"/>
      <c r="MN63" s="5"/>
      <c r="MO63" s="6"/>
      <c r="MP63" s="4"/>
      <c r="MQ63" s="4"/>
      <c r="MR63" s="4"/>
      <c r="MS63" s="4"/>
      <c r="MT63" s="4"/>
      <c r="MU63" s="5"/>
      <c r="MV63" s="6"/>
      <c r="MW63" s="4"/>
      <c r="MX63" s="4"/>
      <c r="MY63" s="4"/>
      <c r="MZ63" s="4"/>
      <c r="NA63" s="4"/>
      <c r="NB63" s="5"/>
      <c r="NC63" s="6"/>
      <c r="ND63" s="4"/>
      <c r="NE63" s="4"/>
      <c r="NF63" s="4"/>
      <c r="NG63" s="4"/>
      <c r="NH63" s="4"/>
      <c r="NI63" s="5"/>
      <c r="NJ63" s="6"/>
      <c r="NK63" s="4"/>
      <c r="NL63" s="4"/>
      <c r="NM63" s="4"/>
      <c r="NN63" s="4"/>
      <c r="NO63" s="4"/>
      <c r="NP63" s="5"/>
      <c r="NQ63" s="6"/>
      <c r="NR63" s="4"/>
      <c r="NS63" s="4"/>
      <c r="NT63" s="4"/>
      <c r="NU63" s="4"/>
      <c r="NV63" s="4"/>
      <c r="NW63" s="5"/>
      <c r="NX63" s="6"/>
      <c r="NY63" s="4"/>
      <c r="NZ63" s="4"/>
      <c r="OA63" s="4"/>
      <c r="OB63" s="4"/>
      <c r="OC63" s="4"/>
      <c r="OD63" s="5"/>
      <c r="OE63" s="6"/>
      <c r="OF63" s="4"/>
      <c r="OG63" s="4"/>
      <c r="OH63" s="4"/>
      <c r="OI63" s="4"/>
      <c r="OJ63" s="4"/>
      <c r="OK63" s="5"/>
      <c r="OL63" s="6"/>
      <c r="OM63" s="4"/>
      <c r="ON63" s="4"/>
      <c r="OO63" s="4"/>
      <c r="OP63" s="4"/>
      <c r="OQ63" s="4"/>
      <c r="OR63" s="5"/>
      <c r="OS63" s="6"/>
      <c r="OT63" s="4"/>
      <c r="OU63" s="4"/>
      <c r="OV63" s="4"/>
      <c r="OW63" s="4"/>
      <c r="OX63" s="4"/>
      <c r="OY63" s="5"/>
      <c r="OZ63" s="6"/>
      <c r="PA63" s="4"/>
      <c r="PB63" s="4"/>
      <c r="PC63" s="4"/>
      <c r="PD63" s="4"/>
      <c r="PE63" s="4"/>
      <c r="PF63" s="5"/>
      <c r="PG63" s="6"/>
      <c r="PH63" s="4"/>
      <c r="PI63" s="4"/>
      <c r="PJ63" s="4"/>
      <c r="PK63" s="4"/>
      <c r="PL63" s="4"/>
      <c r="PM63" s="5"/>
      <c r="PN63" s="6"/>
      <c r="PO63" s="4"/>
      <c r="PP63" s="4"/>
      <c r="PQ63" s="4"/>
      <c r="PR63" s="4"/>
      <c r="PS63" s="4"/>
      <c r="PT63" s="5"/>
      <c r="PU63" s="6"/>
      <c r="PV63" s="4"/>
      <c r="PW63" s="4"/>
      <c r="PX63" s="4"/>
      <c r="PY63" s="4"/>
      <c r="PZ63" s="4"/>
      <c r="QA63" s="5"/>
      <c r="QB63" s="6"/>
      <c r="QC63" s="4"/>
      <c r="QD63" s="4"/>
      <c r="QE63" s="4"/>
      <c r="QF63" s="4"/>
      <c r="QG63" s="4"/>
      <c r="QH63" s="5"/>
      <c r="QI63" s="6"/>
      <c r="QJ63" s="4"/>
      <c r="QK63" s="4"/>
      <c r="QL63" s="4"/>
      <c r="QM63" s="4"/>
      <c r="QN63" s="4"/>
      <c r="QO63" s="5"/>
      <c r="QP63" s="6"/>
      <c r="QQ63" s="4"/>
      <c r="QR63" s="4"/>
      <c r="QS63" s="4"/>
      <c r="QT63" s="4"/>
      <c r="QU63" s="4"/>
      <c r="QV63" s="5"/>
      <c r="QW63" s="6"/>
      <c r="QX63" s="4"/>
      <c r="QY63" s="4"/>
      <c r="QZ63" s="4"/>
      <c r="RA63" s="4"/>
      <c r="RB63" s="4"/>
      <c r="RC63" s="5"/>
      <c r="RD63" s="6"/>
      <c r="RE63" s="4"/>
      <c r="RF63" s="4"/>
      <c r="RG63" s="4"/>
      <c r="RH63" s="4"/>
      <c r="RI63" s="4"/>
      <c r="RJ63" s="5"/>
      <c r="RK63" s="6"/>
      <c r="RL63" s="4"/>
      <c r="RM63" s="4"/>
      <c r="RN63" s="4"/>
      <c r="RO63" s="4"/>
      <c r="RP63" s="4"/>
      <c r="RQ63" s="5"/>
      <c r="RR63" s="6"/>
      <c r="RS63" s="4"/>
      <c r="RT63" s="4"/>
      <c r="RU63" s="4"/>
      <c r="RV63" s="4"/>
      <c r="RW63" s="4"/>
      <c r="RX63" s="5"/>
      <c r="RY63" s="6"/>
      <c r="RZ63" s="4"/>
      <c r="SA63" s="4"/>
      <c r="SB63" s="4"/>
      <c r="SC63" s="4"/>
      <c r="SD63" s="4"/>
      <c r="SE63" s="5"/>
      <c r="SF63" s="6"/>
      <c r="SG63" s="4"/>
      <c r="SH63" s="4"/>
      <c r="SI63" s="4"/>
      <c r="SJ63" s="4"/>
      <c r="SK63" s="4"/>
      <c r="SL63" s="5"/>
      <c r="SM63" s="6"/>
      <c r="SN63" s="4"/>
      <c r="SO63" s="4"/>
      <c r="SP63" s="4"/>
      <c r="SQ63" s="4"/>
      <c r="SR63" s="4"/>
      <c r="SS63" s="5"/>
      <c r="ST63" s="6"/>
      <c r="SU63" s="4"/>
      <c r="SV63" s="4"/>
      <c r="SW63" s="4"/>
      <c r="SX63" s="4"/>
      <c r="SY63" s="4"/>
      <c r="SZ63" s="5"/>
      <c r="TA63" s="6"/>
      <c r="TB63" s="4"/>
      <c r="TC63" s="4"/>
      <c r="TD63" s="4"/>
      <c r="TE63" s="4"/>
      <c r="TF63" s="4"/>
      <c r="TG63" s="5"/>
      <c r="TH63" s="6"/>
      <c r="TI63" s="4"/>
      <c r="TJ63" s="4"/>
      <c r="TK63" s="4"/>
      <c r="TL63" s="4"/>
      <c r="TM63" s="4"/>
      <c r="TN63" s="5"/>
      <c r="TO63" s="6"/>
      <c r="TP63" s="4"/>
      <c r="TQ63" s="4"/>
      <c r="TR63" s="4"/>
      <c r="TS63" s="4"/>
      <c r="TT63" s="4"/>
      <c r="TU63" s="5"/>
      <c r="TV63" s="6"/>
      <c r="TW63" s="4"/>
      <c r="TX63" s="4"/>
      <c r="TY63" s="4"/>
      <c r="TZ63" s="4"/>
      <c r="UA63" s="4"/>
      <c r="UB63" s="5"/>
      <c r="UC63" s="6"/>
      <c r="UD63" s="4"/>
      <c r="UE63" s="4"/>
      <c r="UF63" s="4"/>
      <c r="UG63" s="4"/>
      <c r="UH63" s="4"/>
      <c r="UI63" s="5"/>
      <c r="UJ63" s="6"/>
      <c r="UK63" s="4"/>
      <c r="UL63" s="4"/>
      <c r="UM63" s="4"/>
      <c r="UN63" s="4"/>
      <c r="UO63" s="4"/>
      <c r="UP63" s="5"/>
      <c r="UQ63" s="6"/>
      <c r="UR63" s="4"/>
      <c r="US63" s="4"/>
      <c r="UT63" s="4"/>
      <c r="UU63" s="4"/>
      <c r="UV63" s="4"/>
      <c r="UW63" s="5"/>
      <c r="UX63" s="6"/>
      <c r="UY63" s="4"/>
      <c r="UZ63" s="4"/>
      <c r="VA63" s="4"/>
      <c r="VB63" s="4"/>
      <c r="VC63" s="4"/>
      <c r="VD63" s="5"/>
      <c r="VE63" s="6"/>
      <c r="VF63" s="4"/>
      <c r="VG63" s="4"/>
      <c r="VH63" s="4"/>
      <c r="VI63" s="4"/>
      <c r="VJ63" s="4"/>
      <c r="VK63" s="5"/>
      <c r="VL63" s="6"/>
      <c r="VM63" s="4"/>
      <c r="VN63" s="4"/>
      <c r="VO63" s="4"/>
      <c r="VP63" s="4"/>
      <c r="VQ63" s="4"/>
      <c r="VR63" s="5"/>
      <c r="VS63" s="6"/>
      <c r="VT63" s="4"/>
      <c r="VU63" s="4"/>
      <c r="VV63" s="4"/>
      <c r="VW63" s="4"/>
      <c r="VX63" s="4"/>
      <c r="VY63" s="5"/>
      <c r="VZ63" s="6"/>
      <c r="WA63" s="4"/>
      <c r="WB63" s="4"/>
      <c r="WC63" s="4"/>
      <c r="WD63" s="4"/>
      <c r="WE63" s="4"/>
      <c r="WF63" s="5"/>
      <c r="WG63" s="6"/>
      <c r="WH63" s="4"/>
      <c r="WI63" s="4"/>
      <c r="WJ63" s="4"/>
      <c r="WK63" s="4"/>
      <c r="WL63" s="4"/>
      <c r="WM63" s="5"/>
      <c r="WN63" s="6"/>
      <c r="WO63" s="4"/>
      <c r="WP63" s="4"/>
      <c r="WQ63" s="4"/>
      <c r="WR63" s="4"/>
      <c r="WS63" s="4"/>
      <c r="WT63" s="5"/>
      <c r="WU63" s="6"/>
      <c r="WV63" s="4"/>
      <c r="WW63" s="4"/>
      <c r="WX63" s="4"/>
      <c r="WY63" s="4"/>
      <c r="WZ63" s="4"/>
      <c r="XA63" s="5"/>
      <c r="XB63" s="6"/>
      <c r="XC63" s="4"/>
      <c r="XD63" s="4"/>
      <c r="XE63" s="4"/>
      <c r="XF63" s="4"/>
      <c r="XG63" s="4"/>
      <c r="XH63" s="5"/>
      <c r="XI63" s="6"/>
      <c r="XJ63" s="4"/>
      <c r="XK63" s="4"/>
      <c r="XL63" s="4"/>
      <c r="XM63" s="4"/>
      <c r="XN63" s="4"/>
      <c r="XO63" s="5"/>
      <c r="XP63" s="6"/>
      <c r="XQ63" s="4"/>
      <c r="XR63" s="4"/>
      <c r="XS63" s="4"/>
      <c r="XT63" s="4"/>
      <c r="XU63" s="4"/>
      <c r="XV63" s="5"/>
      <c r="XW63" s="6"/>
      <c r="XX63" s="4"/>
      <c r="XY63" s="4"/>
      <c r="XZ63" s="4"/>
      <c r="YA63" s="4"/>
      <c r="YB63" s="4"/>
      <c r="YC63" s="5"/>
      <c r="YD63" s="6"/>
      <c r="YE63" s="4"/>
      <c r="YF63" s="4"/>
      <c r="YG63" s="4"/>
      <c r="YH63" s="4"/>
      <c r="YI63" s="4"/>
      <c r="YJ63" s="5"/>
      <c r="YK63" s="6"/>
      <c r="YL63" s="4"/>
      <c r="YM63" s="4"/>
      <c r="YN63" s="4"/>
      <c r="YO63" s="4"/>
      <c r="YP63" s="4"/>
      <c r="YQ63" s="5"/>
      <c r="YR63" s="6"/>
      <c r="YS63" s="4"/>
      <c r="YT63" s="4"/>
      <c r="YU63" s="4"/>
      <c r="YV63" s="4"/>
      <c r="YW63" s="4"/>
      <c r="YX63" s="5"/>
      <c r="YY63" s="6"/>
      <c r="YZ63" s="4"/>
      <c r="ZA63" s="4"/>
      <c r="ZB63" s="4"/>
      <c r="ZC63" s="4"/>
      <c r="ZD63" s="4"/>
      <c r="ZE63" s="5"/>
      <c r="ZF63" s="6"/>
      <c r="ZG63" s="4"/>
      <c r="ZH63" s="4"/>
      <c r="ZI63" s="4"/>
      <c r="ZJ63" s="4"/>
      <c r="ZK63" s="4"/>
      <c r="ZL63" s="5"/>
      <c r="ZM63" s="6"/>
      <c r="ZN63" s="4"/>
      <c r="ZO63" s="4"/>
      <c r="ZP63" s="4"/>
      <c r="ZQ63" s="4"/>
      <c r="ZR63" s="4"/>
      <c r="ZS63" s="5"/>
      <c r="ZT63" s="6"/>
      <c r="ZU63" s="4"/>
      <c r="ZV63" s="4"/>
      <c r="ZW63" s="4"/>
      <c r="ZX63" s="4"/>
      <c r="ZY63" s="4"/>
      <c r="ZZ63" s="5"/>
      <c r="AAA63" s="6"/>
      <c r="AAB63" s="4"/>
      <c r="AAC63" s="4"/>
      <c r="AAD63" s="4"/>
      <c r="AAE63" s="4"/>
      <c r="AAF63" s="4"/>
      <c r="AAG63" s="5"/>
      <c r="AAH63" s="6"/>
      <c r="AAI63" s="4"/>
      <c r="AAJ63" s="4"/>
      <c r="AAK63" s="4"/>
      <c r="AAL63" s="4"/>
      <c r="AAM63" s="4"/>
      <c r="AAN63" s="5"/>
      <c r="AAO63" s="6"/>
      <c r="AAP63" s="4"/>
      <c r="AAQ63" s="4"/>
      <c r="AAR63" s="4"/>
      <c r="AAS63" s="4"/>
      <c r="AAT63" s="4"/>
      <c r="AAU63" s="5"/>
      <c r="AAV63" s="6"/>
      <c r="AAW63" s="4"/>
      <c r="AAX63" s="4"/>
      <c r="AAY63" s="4"/>
      <c r="AAZ63" s="4"/>
      <c r="ABA63" s="4"/>
      <c r="ABB63" s="5"/>
      <c r="ABC63" s="6"/>
      <c r="ABD63" s="4"/>
      <c r="ABE63" s="4"/>
      <c r="ABF63" s="4"/>
      <c r="ABG63" s="4"/>
      <c r="ABH63" s="4"/>
      <c r="ABI63" s="5"/>
      <c r="ABJ63" s="6"/>
      <c r="ABK63" s="4"/>
      <c r="ABL63" s="4"/>
      <c r="ABM63" s="4"/>
      <c r="ABN63" s="4"/>
      <c r="ABO63" s="4"/>
      <c r="ABP63" s="5"/>
      <c r="ABQ63" s="6"/>
      <c r="ABR63" s="4"/>
      <c r="ABS63" s="4"/>
      <c r="ABT63" s="4"/>
      <c r="ABU63" s="4"/>
      <c r="ABV63" s="4"/>
      <c r="ABW63" s="5"/>
      <c r="ABX63" s="6"/>
      <c r="ABY63" s="4"/>
      <c r="ABZ63" s="4"/>
      <c r="ACA63" s="4"/>
      <c r="ACB63" s="4"/>
      <c r="ACC63" s="4"/>
      <c r="ACD63" s="5"/>
      <c r="ACE63" s="6"/>
      <c r="ACF63" s="4"/>
      <c r="ACG63" s="4"/>
      <c r="ACH63" s="4"/>
      <c r="ACI63" s="4"/>
      <c r="ACJ63" s="4"/>
      <c r="ACK63" s="5"/>
      <c r="ACL63" s="6"/>
      <c r="ACM63" s="4"/>
      <c r="ACN63" s="4"/>
      <c r="ACO63" s="4"/>
      <c r="ACP63" s="4"/>
      <c r="ACQ63" s="4"/>
      <c r="ACR63" s="5"/>
      <c r="ACS63" s="6"/>
      <c r="ACT63" s="4"/>
      <c r="ACU63" s="4"/>
      <c r="ACV63" s="4"/>
      <c r="ACW63" s="4"/>
      <c r="ACX63" s="4"/>
      <c r="ACY63" s="5"/>
    </row>
    <row r="64" spans="2:805" x14ac:dyDescent="0.25">
      <c r="B64" s="30"/>
      <c r="J64" s="12"/>
      <c r="K64" s="12"/>
      <c r="L64" s="12"/>
      <c r="LL64" s="6"/>
      <c r="LM64" s="4"/>
      <c r="LN64" s="4"/>
      <c r="LO64" s="4"/>
      <c r="LP64" s="4"/>
      <c r="LQ64" s="4"/>
      <c r="LR64" s="5"/>
      <c r="LS64" s="6"/>
      <c r="LT64" s="4"/>
      <c r="LU64" s="4"/>
      <c r="LV64" s="4"/>
      <c r="LW64" s="4"/>
      <c r="LX64" s="4"/>
      <c r="LY64" s="5"/>
      <c r="LZ64" s="6" t="s">
        <v>706</v>
      </c>
      <c r="MA64" s="7" t="s">
        <v>707</v>
      </c>
      <c r="MB64" s="4" t="s">
        <v>2365</v>
      </c>
      <c r="MC64" s="7" t="s">
        <v>3027</v>
      </c>
      <c r="MD64" s="8">
        <v>34248</v>
      </c>
      <c r="ME64" s="8">
        <v>34248</v>
      </c>
      <c r="MF64" s="8" t="s">
        <v>604</v>
      </c>
      <c r="MG64" s="5" t="s">
        <v>605</v>
      </c>
      <c r="MH64" s="6"/>
      <c r="MI64" s="4"/>
      <c r="MJ64" s="4"/>
      <c r="MK64" s="4"/>
      <c r="ML64" s="4"/>
      <c r="MM64" s="4"/>
      <c r="MN64" s="5"/>
      <c r="MO64" s="6"/>
      <c r="MP64" s="4"/>
      <c r="MQ64" s="4"/>
      <c r="MR64" s="4"/>
      <c r="MS64" s="4"/>
      <c r="MT64" s="4"/>
      <c r="MU64" s="5"/>
      <c r="MV64" s="6"/>
      <c r="MW64" s="4"/>
      <c r="MX64" s="4"/>
      <c r="MY64" s="4"/>
      <c r="MZ64" s="4"/>
      <c r="NA64" s="4"/>
      <c r="NB64" s="5"/>
      <c r="NC64" s="6"/>
      <c r="ND64" s="4"/>
      <c r="NE64" s="4"/>
      <c r="NF64" s="4"/>
      <c r="NG64" s="4"/>
      <c r="NH64" s="4"/>
      <c r="NI64" s="5"/>
      <c r="NJ64" s="6"/>
      <c r="NK64" s="4"/>
      <c r="NL64" s="4"/>
      <c r="NM64" s="4"/>
      <c r="NN64" s="4"/>
      <c r="NO64" s="4"/>
      <c r="NP64" s="5"/>
      <c r="NQ64" s="6"/>
      <c r="NR64" s="4"/>
      <c r="NS64" s="4"/>
      <c r="NT64" s="4"/>
      <c r="NU64" s="4"/>
      <c r="NV64" s="4"/>
      <c r="NW64" s="5"/>
      <c r="NX64" s="6"/>
      <c r="NY64" s="4"/>
      <c r="NZ64" s="4"/>
      <c r="OA64" s="4"/>
      <c r="OB64" s="4"/>
      <c r="OC64" s="4"/>
      <c r="OD64" s="5"/>
      <c r="OE64" s="6"/>
      <c r="OF64" s="4"/>
      <c r="OG64" s="4"/>
      <c r="OH64" s="4"/>
      <c r="OI64" s="4"/>
      <c r="OJ64" s="4"/>
      <c r="OK64" s="5"/>
      <c r="OL64" s="6"/>
      <c r="OM64" s="4"/>
      <c r="ON64" s="4"/>
      <c r="OO64" s="4"/>
      <c r="OP64" s="4"/>
      <c r="OQ64" s="4"/>
      <c r="OR64" s="5"/>
      <c r="OS64" s="6"/>
      <c r="OT64" s="4"/>
      <c r="OU64" s="4"/>
      <c r="OV64" s="4"/>
      <c r="OW64" s="4"/>
      <c r="OX64" s="4"/>
      <c r="OY64" s="5"/>
      <c r="OZ64" s="6"/>
      <c r="PA64" s="4"/>
      <c r="PB64" s="4"/>
      <c r="PC64" s="4"/>
      <c r="PD64" s="4"/>
      <c r="PE64" s="4"/>
      <c r="PF64" s="5"/>
      <c r="PG64" s="6"/>
      <c r="PH64" s="4"/>
      <c r="PI64" s="4"/>
      <c r="PJ64" s="4"/>
      <c r="PK64" s="4"/>
      <c r="PL64" s="4"/>
      <c r="PM64" s="5"/>
      <c r="PN64" s="6"/>
      <c r="PO64" s="4"/>
      <c r="PP64" s="4"/>
      <c r="PQ64" s="4"/>
      <c r="PR64" s="4"/>
      <c r="PS64" s="4"/>
      <c r="PT64" s="5"/>
      <c r="PU64" s="6"/>
      <c r="PV64" s="4"/>
      <c r="PW64" s="4"/>
      <c r="PX64" s="4"/>
      <c r="PY64" s="4"/>
      <c r="PZ64" s="4"/>
      <c r="QA64" s="5"/>
      <c r="QB64" s="6"/>
      <c r="QC64" s="4"/>
      <c r="QD64" s="4"/>
      <c r="QE64" s="4"/>
      <c r="QF64" s="4"/>
      <c r="QG64" s="4"/>
      <c r="QH64" s="5"/>
      <c r="QI64" s="6"/>
      <c r="QJ64" s="4"/>
      <c r="QK64" s="4"/>
      <c r="QL64" s="4"/>
      <c r="QM64" s="4"/>
      <c r="QN64" s="4"/>
      <c r="QO64" s="5"/>
      <c r="QP64" s="6"/>
      <c r="QQ64" s="4"/>
      <c r="QR64" s="4"/>
      <c r="QS64" s="4"/>
      <c r="QT64" s="4"/>
      <c r="QU64" s="4"/>
      <c r="QV64" s="5"/>
      <c r="QW64" s="6"/>
      <c r="QX64" s="4"/>
      <c r="QY64" s="4"/>
      <c r="QZ64" s="4"/>
      <c r="RA64" s="4"/>
      <c r="RB64" s="4"/>
      <c r="RC64" s="5"/>
      <c r="RD64" s="6"/>
      <c r="RE64" s="4"/>
      <c r="RF64" s="4"/>
      <c r="RG64" s="4"/>
      <c r="RH64" s="4"/>
      <c r="RI64" s="4"/>
      <c r="RJ64" s="5"/>
      <c r="RK64" s="6"/>
      <c r="RL64" s="4"/>
      <c r="RM64" s="4"/>
      <c r="RN64" s="4"/>
      <c r="RO64" s="4"/>
      <c r="RP64" s="4"/>
      <c r="RQ64" s="5"/>
      <c r="RR64" s="6"/>
      <c r="RS64" s="4"/>
      <c r="RT64" s="4"/>
      <c r="RU64" s="4"/>
      <c r="RV64" s="4"/>
      <c r="RW64" s="4"/>
      <c r="RX64" s="5"/>
      <c r="RY64" s="6"/>
      <c r="RZ64" s="4"/>
      <c r="SA64" s="4"/>
      <c r="SB64" s="4"/>
      <c r="SC64" s="4"/>
      <c r="SD64" s="4"/>
      <c r="SE64" s="5"/>
      <c r="SF64" s="6"/>
      <c r="SG64" s="4"/>
      <c r="SH64" s="4"/>
      <c r="SI64" s="4"/>
      <c r="SJ64" s="4"/>
      <c r="SK64" s="4"/>
      <c r="SL64" s="5"/>
      <c r="SM64" s="6"/>
      <c r="SN64" s="4"/>
      <c r="SO64" s="4"/>
      <c r="SP64" s="4"/>
      <c r="SQ64" s="4"/>
      <c r="SR64" s="4"/>
      <c r="SS64" s="5"/>
      <c r="ST64" s="6"/>
      <c r="SU64" s="4"/>
      <c r="SV64" s="4"/>
      <c r="SW64" s="4"/>
      <c r="SX64" s="4"/>
      <c r="SY64" s="4"/>
      <c r="SZ64" s="5"/>
      <c r="TA64" s="6"/>
      <c r="TB64" s="4"/>
      <c r="TC64" s="4"/>
      <c r="TD64" s="4"/>
      <c r="TE64" s="4"/>
      <c r="TF64" s="4"/>
      <c r="TG64" s="5"/>
      <c r="TH64" s="6"/>
      <c r="TI64" s="4"/>
      <c r="TJ64" s="4"/>
      <c r="TK64" s="4"/>
      <c r="TL64" s="4"/>
      <c r="TM64" s="4"/>
      <c r="TN64" s="5"/>
      <c r="TO64" s="6"/>
      <c r="TP64" s="4"/>
      <c r="TQ64" s="4"/>
      <c r="TR64" s="4"/>
      <c r="TS64" s="4"/>
      <c r="TT64" s="4"/>
      <c r="TU64" s="5"/>
      <c r="TV64" s="6"/>
      <c r="TW64" s="4"/>
      <c r="TX64" s="4"/>
      <c r="TY64" s="4"/>
      <c r="TZ64" s="4"/>
      <c r="UA64" s="4"/>
      <c r="UB64" s="5"/>
      <c r="UC64" s="6"/>
      <c r="UD64" s="4"/>
      <c r="UE64" s="4"/>
      <c r="UF64" s="4"/>
      <c r="UG64" s="4"/>
      <c r="UH64" s="4"/>
      <c r="UI64" s="5"/>
      <c r="UJ64" s="6"/>
      <c r="UK64" s="4"/>
      <c r="UL64" s="4"/>
      <c r="UM64" s="4"/>
      <c r="UN64" s="4"/>
      <c r="UO64" s="4"/>
      <c r="UP64" s="5"/>
      <c r="UQ64" s="6"/>
      <c r="UR64" s="4"/>
      <c r="US64" s="4"/>
      <c r="UT64" s="4"/>
      <c r="UU64" s="4"/>
      <c r="UV64" s="4"/>
      <c r="UW64" s="5"/>
      <c r="UX64" s="6"/>
      <c r="UY64" s="4"/>
      <c r="UZ64" s="4"/>
      <c r="VA64" s="4"/>
      <c r="VB64" s="4"/>
      <c r="VC64" s="4"/>
      <c r="VD64" s="5"/>
      <c r="VE64" s="6"/>
      <c r="VF64" s="4"/>
      <c r="VG64" s="4"/>
      <c r="VH64" s="4"/>
      <c r="VI64" s="4"/>
      <c r="VJ64" s="4"/>
      <c r="VK64" s="5"/>
      <c r="VL64" s="6"/>
      <c r="VM64" s="4"/>
      <c r="VN64" s="4"/>
      <c r="VO64" s="4"/>
      <c r="VP64" s="4"/>
      <c r="VQ64" s="4"/>
      <c r="VR64" s="5"/>
      <c r="VS64" s="6"/>
      <c r="VT64" s="4"/>
      <c r="VU64" s="4"/>
      <c r="VV64" s="4"/>
      <c r="VW64" s="4"/>
      <c r="VX64" s="4"/>
      <c r="VY64" s="5"/>
      <c r="VZ64" s="6"/>
      <c r="WA64" s="4"/>
      <c r="WB64" s="4"/>
      <c r="WC64" s="4"/>
      <c r="WD64" s="4"/>
      <c r="WE64" s="4"/>
      <c r="WF64" s="5"/>
      <c r="WG64" s="6"/>
      <c r="WH64" s="4"/>
      <c r="WI64" s="4"/>
      <c r="WJ64" s="4"/>
      <c r="WK64" s="4"/>
      <c r="WL64" s="4"/>
      <c r="WM64" s="5"/>
      <c r="WN64" s="6"/>
      <c r="WO64" s="4"/>
      <c r="WP64" s="4"/>
      <c r="WQ64" s="4"/>
      <c r="WR64" s="4"/>
      <c r="WS64" s="4"/>
      <c r="WT64" s="5"/>
      <c r="WU64" s="6"/>
      <c r="WV64" s="4"/>
      <c r="WW64" s="4"/>
      <c r="WX64" s="4"/>
      <c r="WY64" s="4"/>
      <c r="WZ64" s="4"/>
      <c r="XA64" s="5"/>
      <c r="XB64" s="6"/>
      <c r="XC64" s="4"/>
      <c r="XD64" s="4"/>
      <c r="XE64" s="4"/>
      <c r="XF64" s="4"/>
      <c r="XG64" s="4"/>
      <c r="XH64" s="5"/>
      <c r="XI64" s="6"/>
      <c r="XJ64" s="4"/>
      <c r="XK64" s="4"/>
      <c r="XL64" s="4"/>
      <c r="XM64" s="4"/>
      <c r="XN64" s="4"/>
      <c r="XO64" s="5"/>
      <c r="XP64" s="6"/>
      <c r="XQ64" s="4"/>
      <c r="XR64" s="4"/>
      <c r="XS64" s="4"/>
      <c r="XT64" s="4"/>
      <c r="XU64" s="4"/>
      <c r="XV64" s="5"/>
      <c r="XW64" s="6"/>
      <c r="XX64" s="4"/>
      <c r="XY64" s="4"/>
      <c r="XZ64" s="4"/>
      <c r="YA64" s="4"/>
      <c r="YB64" s="4"/>
      <c r="YC64" s="5"/>
      <c r="YD64" s="6"/>
      <c r="YE64" s="4"/>
      <c r="YF64" s="4"/>
      <c r="YG64" s="4"/>
      <c r="YH64" s="4"/>
      <c r="YI64" s="4"/>
      <c r="YJ64" s="5"/>
      <c r="YK64" s="6"/>
      <c r="YL64" s="4"/>
      <c r="YM64" s="4"/>
      <c r="YN64" s="4"/>
      <c r="YO64" s="4"/>
      <c r="YP64" s="4"/>
      <c r="YQ64" s="5"/>
      <c r="YR64" s="6"/>
      <c r="YS64" s="4"/>
      <c r="YT64" s="4"/>
      <c r="YU64" s="4"/>
      <c r="YV64" s="4"/>
      <c r="YW64" s="4"/>
      <c r="YX64" s="5"/>
      <c r="YY64" s="6"/>
      <c r="YZ64" s="4"/>
      <c r="ZA64" s="4"/>
      <c r="ZB64" s="4"/>
      <c r="ZC64" s="4"/>
      <c r="ZD64" s="4"/>
      <c r="ZE64" s="5"/>
      <c r="ZF64" s="6"/>
      <c r="ZG64" s="4"/>
      <c r="ZH64" s="4"/>
      <c r="ZI64" s="4"/>
      <c r="ZJ64" s="4"/>
      <c r="ZK64" s="4"/>
      <c r="ZL64" s="5"/>
      <c r="ZM64" s="6"/>
      <c r="ZN64" s="4"/>
      <c r="ZO64" s="4"/>
      <c r="ZP64" s="4"/>
      <c r="ZQ64" s="4"/>
      <c r="ZR64" s="4"/>
      <c r="ZS64" s="5"/>
      <c r="ZT64" s="6"/>
      <c r="ZU64" s="4"/>
      <c r="ZV64" s="4"/>
      <c r="ZW64" s="4"/>
      <c r="ZX64" s="4"/>
      <c r="ZY64" s="4"/>
      <c r="ZZ64" s="5"/>
      <c r="AAA64" s="6"/>
      <c r="AAB64" s="4"/>
      <c r="AAC64" s="4"/>
      <c r="AAD64" s="4"/>
      <c r="AAE64" s="4"/>
      <c r="AAF64" s="4"/>
      <c r="AAG64" s="5"/>
      <c r="AAH64" s="6"/>
      <c r="AAI64" s="4"/>
      <c r="AAJ64" s="4"/>
      <c r="AAK64" s="4"/>
      <c r="AAL64" s="4"/>
      <c r="AAM64" s="4"/>
      <c r="AAN64" s="5"/>
      <c r="AAO64" s="6"/>
      <c r="AAP64" s="4"/>
      <c r="AAQ64" s="4"/>
      <c r="AAR64" s="4"/>
      <c r="AAS64" s="4"/>
      <c r="AAT64" s="4"/>
      <c r="AAU64" s="5"/>
      <c r="AAV64" s="6"/>
      <c r="AAW64" s="4"/>
      <c r="AAX64" s="4"/>
      <c r="AAY64" s="4"/>
      <c r="AAZ64" s="4"/>
      <c r="ABA64" s="4"/>
      <c r="ABB64" s="5"/>
      <c r="ABC64" s="6"/>
      <c r="ABD64" s="4"/>
      <c r="ABE64" s="4"/>
      <c r="ABF64" s="4"/>
      <c r="ABG64" s="4"/>
      <c r="ABH64" s="4"/>
      <c r="ABI64" s="5"/>
      <c r="ABJ64" s="6"/>
      <c r="ABK64" s="4"/>
      <c r="ABL64" s="4"/>
      <c r="ABM64" s="4"/>
      <c r="ABN64" s="4"/>
      <c r="ABO64" s="4"/>
      <c r="ABP64" s="5"/>
      <c r="ABQ64" s="6"/>
      <c r="ABR64" s="4"/>
      <c r="ABS64" s="4"/>
      <c r="ABT64" s="4"/>
      <c r="ABU64" s="4"/>
      <c r="ABV64" s="4"/>
      <c r="ABW64" s="5"/>
      <c r="ABX64" s="6"/>
      <c r="ABY64" s="4"/>
      <c r="ABZ64" s="4"/>
      <c r="ACA64" s="4"/>
      <c r="ACB64" s="4"/>
      <c r="ACC64" s="4"/>
      <c r="ACD64" s="5"/>
      <c r="ACE64" s="6"/>
      <c r="ACF64" s="4"/>
      <c r="ACG64" s="4"/>
      <c r="ACH64" s="4"/>
      <c r="ACI64" s="4"/>
      <c r="ACJ64" s="4"/>
      <c r="ACK64" s="5"/>
      <c r="ACL64" s="6"/>
      <c r="ACM64" s="4"/>
      <c r="ACN64" s="4"/>
      <c r="ACO64" s="4"/>
      <c r="ACP64" s="4"/>
      <c r="ACQ64" s="4"/>
      <c r="ACR64" s="5"/>
      <c r="ACS64" s="6"/>
      <c r="ACT64" s="4"/>
      <c r="ACU64" s="4"/>
      <c r="ACV64" s="4"/>
      <c r="ACW64" s="4"/>
      <c r="ACX64" s="4"/>
      <c r="ACY64" s="5"/>
    </row>
    <row r="65" spans="2:781" x14ac:dyDescent="0.25">
      <c r="B65" s="49">
        <v>94006177</v>
      </c>
      <c r="C65">
        <v>36</v>
      </c>
      <c r="D65" t="s">
        <v>2121</v>
      </c>
      <c r="F65" s="23">
        <v>0</v>
      </c>
      <c r="J65" s="12"/>
      <c r="K65" s="12"/>
      <c r="L65" s="12"/>
      <c r="M65">
        <v>1</v>
      </c>
      <c r="N65" s="17">
        <v>34424</v>
      </c>
      <c r="LL65" s="6"/>
      <c r="LM65" s="4"/>
      <c r="LN65" s="4"/>
      <c r="LO65" s="4"/>
      <c r="LP65" s="4"/>
      <c r="LQ65" s="4"/>
      <c r="LR65" s="5"/>
      <c r="LS65" s="6"/>
      <c r="LT65" s="4"/>
      <c r="LU65" s="4"/>
      <c r="LV65" s="4"/>
      <c r="LW65" s="4"/>
      <c r="LX65" s="4"/>
      <c r="LY65" s="5"/>
      <c r="LZ65" s="6" t="s">
        <v>2983</v>
      </c>
      <c r="MA65" s="7" t="s">
        <v>2983</v>
      </c>
      <c r="MB65" s="4"/>
      <c r="MC65" s="4"/>
      <c r="MD65" s="8"/>
      <c r="ME65" s="4"/>
      <c r="MF65" s="4" t="s">
        <v>607</v>
      </c>
      <c r="MG65" s="5" t="s">
        <v>608</v>
      </c>
      <c r="MH65" s="6"/>
      <c r="MI65" s="4"/>
      <c r="MJ65" s="4"/>
      <c r="MK65" s="4"/>
      <c r="ML65" s="4"/>
      <c r="MM65" s="4"/>
      <c r="MN65" s="5"/>
      <c r="MO65" s="6"/>
      <c r="MP65" s="4"/>
      <c r="MQ65" s="4"/>
      <c r="MR65" s="4"/>
      <c r="MS65" s="4"/>
      <c r="MT65" s="4"/>
      <c r="MU65" s="5"/>
      <c r="MV65" s="6"/>
      <c r="MW65" s="4"/>
      <c r="MX65" s="4"/>
      <c r="MY65" s="4"/>
      <c r="MZ65" s="4"/>
      <c r="NA65" s="4"/>
      <c r="NB65" s="5"/>
      <c r="NC65" s="6"/>
      <c r="ND65" s="4"/>
      <c r="NE65" s="4"/>
      <c r="NF65" s="4"/>
      <c r="NG65" s="4"/>
      <c r="NH65" s="4"/>
      <c r="NI65" s="5"/>
      <c r="NJ65" s="6"/>
      <c r="NK65" s="4"/>
      <c r="NL65" s="4"/>
      <c r="NM65" s="4"/>
      <c r="NN65" s="4"/>
      <c r="NO65" s="4"/>
      <c r="NP65" s="5"/>
      <c r="NQ65" s="6"/>
      <c r="NR65" s="4"/>
      <c r="NS65" s="4"/>
      <c r="NT65" s="4"/>
      <c r="NU65" s="4"/>
      <c r="NV65" s="4"/>
      <c r="NW65" s="5"/>
      <c r="NX65" s="6"/>
      <c r="NY65" s="4"/>
      <c r="NZ65" s="4"/>
      <c r="OA65" s="4"/>
      <c r="OB65" s="4"/>
      <c r="OC65" s="4"/>
      <c r="OD65" s="5"/>
      <c r="OE65" s="6"/>
      <c r="OF65" s="4"/>
      <c r="OG65" s="4"/>
      <c r="OH65" s="4"/>
      <c r="OI65" s="4"/>
      <c r="OJ65" s="4"/>
      <c r="OK65" s="5"/>
      <c r="OL65" s="6"/>
      <c r="OM65" s="4"/>
      <c r="ON65" s="4"/>
      <c r="OO65" s="4"/>
      <c r="OP65" s="4"/>
      <c r="OQ65" s="4"/>
      <c r="OR65" s="5"/>
      <c r="OS65" s="6"/>
      <c r="OT65" s="4"/>
      <c r="OU65" s="4"/>
      <c r="OV65" s="4"/>
      <c r="OW65" s="4"/>
      <c r="OX65" s="4"/>
      <c r="OY65" s="5"/>
      <c r="OZ65" s="6"/>
      <c r="PA65" s="4"/>
      <c r="PB65" s="4"/>
      <c r="PC65" s="4"/>
      <c r="PD65" s="4"/>
      <c r="PE65" s="4"/>
      <c r="PF65" s="5"/>
      <c r="PG65" s="6"/>
      <c r="PH65" s="4"/>
      <c r="PI65" s="4"/>
      <c r="PJ65" s="4"/>
      <c r="PK65" s="4"/>
      <c r="PL65" s="4"/>
      <c r="PM65" s="5"/>
      <c r="PN65" s="6"/>
      <c r="PO65" s="4"/>
      <c r="PP65" s="4"/>
      <c r="PQ65" s="4"/>
      <c r="PR65" s="4"/>
      <c r="PS65" s="4"/>
      <c r="PT65" s="5"/>
      <c r="PU65" s="6"/>
      <c r="PV65" s="4"/>
      <c r="PW65" s="4"/>
      <c r="PX65" s="4"/>
      <c r="PY65" s="4"/>
      <c r="PZ65" s="4"/>
      <c r="QA65" s="5"/>
      <c r="QB65" s="6"/>
      <c r="QC65" s="4"/>
      <c r="QD65" s="4"/>
      <c r="QE65" s="4"/>
      <c r="QF65" s="4"/>
      <c r="QG65" s="4"/>
      <c r="QH65" s="5"/>
      <c r="QI65" s="6"/>
      <c r="QJ65" s="4"/>
      <c r="QK65" s="4"/>
      <c r="QL65" s="4"/>
      <c r="QM65" s="4"/>
      <c r="QN65" s="4"/>
      <c r="QO65" s="5"/>
      <c r="QP65" s="6"/>
      <c r="QQ65" s="4"/>
      <c r="QR65" s="4"/>
      <c r="QS65" s="4"/>
      <c r="QT65" s="4"/>
      <c r="QU65" s="4"/>
      <c r="QV65" s="5"/>
      <c r="QW65" s="6"/>
      <c r="QX65" s="4"/>
      <c r="QY65" s="4"/>
      <c r="QZ65" s="4"/>
      <c r="RA65" s="4"/>
      <c r="RB65" s="4"/>
      <c r="RC65" s="5"/>
      <c r="RD65" s="6"/>
      <c r="RE65" s="4"/>
      <c r="RF65" s="4"/>
      <c r="RG65" s="4"/>
      <c r="RH65" s="4"/>
      <c r="RI65" s="4"/>
      <c r="RJ65" s="5"/>
      <c r="RK65" s="6"/>
      <c r="RL65" s="4"/>
      <c r="RM65" s="4"/>
      <c r="RN65" s="4"/>
      <c r="RO65" s="4"/>
      <c r="RP65" s="4"/>
      <c r="RQ65" s="5"/>
      <c r="RR65" s="6"/>
      <c r="RS65" s="4"/>
      <c r="RT65" s="4"/>
      <c r="RU65" s="4"/>
      <c r="RV65" s="4"/>
      <c r="RW65" s="4"/>
      <c r="RX65" s="5"/>
      <c r="RY65" s="6"/>
      <c r="RZ65" s="4"/>
      <c r="SA65" s="4"/>
      <c r="SB65" s="4"/>
      <c r="SC65" s="4"/>
      <c r="SD65" s="4"/>
      <c r="SE65" s="5"/>
      <c r="SF65" s="6"/>
      <c r="SG65" s="4"/>
      <c r="SH65" s="4"/>
      <c r="SI65" s="4"/>
      <c r="SJ65" s="4"/>
      <c r="SK65" s="4"/>
      <c r="SL65" s="5"/>
      <c r="SM65" s="6"/>
      <c r="SN65" s="4"/>
      <c r="SO65" s="4"/>
      <c r="SP65" s="4"/>
      <c r="SQ65" s="4"/>
      <c r="SR65" s="4"/>
      <c r="SS65" s="5"/>
      <c r="ST65" s="6"/>
      <c r="SU65" s="4"/>
      <c r="SV65" s="4"/>
      <c r="SW65" s="4"/>
      <c r="SX65" s="4"/>
      <c r="SY65" s="4"/>
      <c r="SZ65" s="5"/>
      <c r="TA65" s="6"/>
      <c r="TB65" s="4"/>
      <c r="TC65" s="4"/>
      <c r="TD65" s="4"/>
      <c r="TE65" s="4"/>
      <c r="TF65" s="4"/>
      <c r="TG65" s="5"/>
      <c r="TH65" s="6"/>
      <c r="TI65" s="4"/>
      <c r="TJ65" s="4"/>
      <c r="TK65" s="4"/>
      <c r="TL65" s="4"/>
      <c r="TM65" s="4"/>
      <c r="TN65" s="5"/>
      <c r="TO65" s="6"/>
      <c r="TP65" s="4"/>
      <c r="TQ65" s="4"/>
      <c r="TR65" s="4"/>
      <c r="TS65" s="4"/>
      <c r="TT65" s="4"/>
      <c r="TU65" s="5"/>
      <c r="TV65" s="6"/>
      <c r="TW65" s="4"/>
      <c r="TX65" s="4"/>
      <c r="TY65" s="4"/>
      <c r="TZ65" s="4"/>
      <c r="UA65" s="4"/>
      <c r="UB65" s="5"/>
      <c r="UC65" s="6"/>
      <c r="UD65" s="4"/>
      <c r="UE65" s="4"/>
      <c r="UF65" s="4"/>
      <c r="UG65" s="4"/>
      <c r="UH65" s="4"/>
      <c r="UI65" s="5"/>
      <c r="UJ65" s="6"/>
      <c r="UK65" s="4"/>
      <c r="UL65" s="4"/>
      <c r="UM65" s="4"/>
      <c r="UN65" s="4"/>
      <c r="UO65" s="4"/>
      <c r="UP65" s="5"/>
      <c r="UQ65" s="6"/>
      <c r="UR65" s="4"/>
      <c r="US65" s="4"/>
      <c r="UT65" s="4"/>
      <c r="UU65" s="4"/>
      <c r="UV65" s="4"/>
      <c r="UW65" s="5"/>
      <c r="UX65" s="6"/>
      <c r="VA65" s="4"/>
      <c r="VB65" s="4"/>
      <c r="VC65" s="4"/>
      <c r="VD65" s="5"/>
      <c r="VE65" s="6"/>
      <c r="VF65" s="4"/>
      <c r="VG65" s="4"/>
      <c r="VH65" s="4"/>
      <c r="VI65" s="4"/>
      <c r="VJ65" s="4"/>
      <c r="VK65" s="5"/>
      <c r="VP65" s="4"/>
      <c r="VQ65" s="4"/>
      <c r="VR65" s="5"/>
      <c r="VS65" s="6"/>
      <c r="VT65" s="4"/>
      <c r="VU65" s="4"/>
      <c r="VV65" s="4"/>
      <c r="VW65" s="4"/>
      <c r="VX65" s="4"/>
      <c r="VY65" s="5"/>
      <c r="VZ65" s="6"/>
      <c r="WA65" s="4"/>
      <c r="WB65" s="4"/>
      <c r="WC65" s="4"/>
      <c r="WD65" s="4"/>
      <c r="WE65" s="4"/>
      <c r="WF65" s="5"/>
      <c r="WG65" s="6"/>
      <c r="WH65" s="4"/>
      <c r="WI65" s="4"/>
      <c r="WJ65" s="4"/>
      <c r="WK65" s="4"/>
      <c r="WL65" s="4"/>
      <c r="WM65" s="5"/>
      <c r="WN65" s="6"/>
      <c r="WO65" s="4"/>
      <c r="WP65" s="4"/>
      <c r="WQ65" s="4"/>
      <c r="WR65" s="4"/>
      <c r="WS65" s="4"/>
      <c r="WT65" s="5"/>
      <c r="WU65" s="6"/>
      <c r="WV65" s="4"/>
      <c r="WW65" s="4"/>
      <c r="WX65" s="4"/>
      <c r="WY65" s="4"/>
      <c r="WZ65" s="4"/>
      <c r="XA65" s="5"/>
      <c r="XB65" s="6"/>
      <c r="XC65" s="4"/>
      <c r="XD65" s="4"/>
      <c r="XE65" s="4"/>
      <c r="XF65" s="4"/>
      <c r="XG65" s="4"/>
      <c r="XH65" s="5"/>
      <c r="XI65" s="6"/>
      <c r="XJ65" s="4"/>
      <c r="XK65" s="4"/>
      <c r="XL65" s="4"/>
      <c r="XM65" s="4"/>
      <c r="XN65" s="4"/>
      <c r="XO65" s="5"/>
      <c r="XP65" s="6"/>
      <c r="XQ65" s="4"/>
      <c r="XR65" s="4"/>
      <c r="XS65" s="4"/>
      <c r="XT65" s="4"/>
      <c r="XU65" s="4"/>
      <c r="XV65" s="5"/>
      <c r="XW65" s="6"/>
      <c r="XX65" s="4"/>
      <c r="XY65" s="4"/>
      <c r="XZ65" s="4"/>
      <c r="YA65" s="4"/>
      <c r="YB65" s="4"/>
      <c r="YC65" s="5"/>
      <c r="YD65" s="6"/>
      <c r="YE65" s="4"/>
      <c r="YF65" s="4"/>
      <c r="YG65" s="4"/>
      <c r="YH65" s="4"/>
      <c r="YI65" s="4"/>
      <c r="YJ65" s="5"/>
      <c r="YK65" s="6"/>
      <c r="YL65" s="4"/>
      <c r="YM65" s="4"/>
      <c r="YN65" s="4"/>
      <c r="YO65" s="4"/>
      <c r="YP65" s="4"/>
      <c r="YQ65" s="5"/>
      <c r="YR65" s="6"/>
      <c r="YS65" s="4"/>
      <c r="YT65" s="4"/>
      <c r="YU65" s="4"/>
      <c r="YV65" s="4"/>
      <c r="YW65" s="4"/>
      <c r="YX65" s="5"/>
      <c r="YY65" s="6"/>
      <c r="YZ65" s="4"/>
      <c r="ZA65" s="4"/>
      <c r="ZB65" s="4"/>
      <c r="ZC65" s="4"/>
      <c r="ZD65" s="4"/>
      <c r="ZE65" s="5"/>
      <c r="ZF65" s="6"/>
      <c r="ZG65" s="4"/>
      <c r="ZH65" s="4"/>
      <c r="ZI65" s="4"/>
      <c r="ZJ65" s="4"/>
      <c r="ZK65" s="4"/>
      <c r="ZL65" s="5"/>
      <c r="ZM65" s="6"/>
      <c r="ZN65" s="4"/>
      <c r="ZO65" s="4"/>
      <c r="ZP65" s="4"/>
      <c r="ZQ65" s="4"/>
      <c r="ZR65" s="4"/>
      <c r="ZS65" s="5"/>
      <c r="ZT65" s="6"/>
      <c r="ZU65" s="4"/>
      <c r="ZV65" s="4"/>
      <c r="ZW65" s="4"/>
      <c r="ZX65" s="4"/>
      <c r="ZY65" s="4"/>
      <c r="ZZ65" s="5"/>
      <c r="AAA65" s="6"/>
      <c r="AAB65" s="4"/>
      <c r="AAC65" s="4"/>
      <c r="AAD65" s="4"/>
      <c r="AAE65" s="4"/>
      <c r="AAF65" s="4"/>
      <c r="AAG65" s="5"/>
      <c r="AAH65" s="6"/>
      <c r="AAI65" s="4"/>
      <c r="AAJ65" s="4"/>
      <c r="AAK65" s="4"/>
      <c r="AAL65" s="4"/>
      <c r="AAM65" s="4"/>
      <c r="AAN65" s="5"/>
      <c r="AAO65" s="6"/>
      <c r="AAP65" s="4"/>
      <c r="AAQ65" s="4"/>
      <c r="AAR65" s="4"/>
      <c r="AAS65" s="4"/>
      <c r="AAT65" s="4"/>
      <c r="AAU65" s="5"/>
      <c r="AAV65" s="6"/>
      <c r="AAW65" s="4"/>
      <c r="AAX65" s="4"/>
      <c r="AAY65" s="4"/>
      <c r="AAZ65" s="4"/>
      <c r="ABA65" s="4"/>
      <c r="ABB65" s="5"/>
      <c r="ABC65" s="6"/>
      <c r="ABD65" s="4"/>
      <c r="ABE65" s="4"/>
      <c r="ABF65" s="4"/>
      <c r="ABG65" s="4"/>
      <c r="ABH65" s="4"/>
      <c r="ABI65" s="5"/>
      <c r="ABJ65" s="6"/>
      <c r="ABK65" s="4"/>
      <c r="ABL65" s="4"/>
      <c r="ABM65" s="4"/>
      <c r="ABN65" s="4"/>
      <c r="ABO65" s="4"/>
      <c r="ABP65" s="5"/>
      <c r="ABQ65" s="6" t="s">
        <v>2939</v>
      </c>
      <c r="ABR65" s="4" t="s">
        <v>2939</v>
      </c>
      <c r="ABS65" s="4"/>
      <c r="ABT65" s="4"/>
      <c r="ABU65" s="4"/>
      <c r="ABV65" s="4"/>
      <c r="ABW65" s="5" t="s">
        <v>609</v>
      </c>
      <c r="ABX65" s="6"/>
      <c r="ABY65" s="4"/>
      <c r="ABZ65" s="4"/>
      <c r="ACA65" s="4"/>
      <c r="ACB65" s="4"/>
      <c r="ACC65" s="4"/>
      <c r="ACD65" s="5"/>
      <c r="ACE65" s="6"/>
      <c r="ACF65" s="4"/>
      <c r="ACG65" s="4"/>
      <c r="ACH65" s="4"/>
      <c r="ACI65" s="4"/>
      <c r="ACJ65" s="4"/>
      <c r="ACK65" s="5"/>
      <c r="ACL65" s="6"/>
      <c r="ACM65" s="4"/>
      <c r="ACN65" s="4"/>
      <c r="ACO65" s="4"/>
      <c r="ACP65" s="4"/>
      <c r="ACQ65" s="4"/>
      <c r="ACR65" s="5"/>
      <c r="ACS65" s="6"/>
      <c r="ACT65" s="4"/>
      <c r="ACU65" s="4"/>
      <c r="ACV65" s="4"/>
      <c r="ACW65" s="4"/>
      <c r="ACX65" s="4"/>
      <c r="ACY65" s="5"/>
    </row>
    <row r="66" spans="2:781" x14ac:dyDescent="0.25">
      <c r="B66" s="49">
        <v>94012275</v>
      </c>
      <c r="D66" t="s">
        <v>1781</v>
      </c>
      <c r="F66" s="23" t="s">
        <v>1781</v>
      </c>
      <c r="J66" s="12"/>
      <c r="K66" s="12"/>
      <c r="L66" s="12"/>
      <c r="M66">
        <v>1</v>
      </c>
      <c r="EN66">
        <v>1</v>
      </c>
      <c r="LL66" s="6"/>
      <c r="LM66" s="4"/>
      <c r="LN66" s="4"/>
      <c r="LO66" s="4"/>
      <c r="LP66" s="4"/>
      <c r="LQ66" s="4"/>
      <c r="LR66" s="5"/>
      <c r="LS66" s="6"/>
      <c r="LT66" s="4"/>
      <c r="LU66" s="4"/>
      <c r="LV66" s="4"/>
      <c r="LW66" s="4"/>
      <c r="LX66" s="4"/>
      <c r="LY66" s="5"/>
      <c r="LZ66" s="6" t="s">
        <v>2290</v>
      </c>
      <c r="MA66" s="7" t="s">
        <v>2375</v>
      </c>
      <c r="MB66" s="4"/>
      <c r="MC66" s="4"/>
      <c r="MD66" s="8"/>
      <c r="ME66" s="4"/>
      <c r="MF66" s="4" t="s">
        <v>610</v>
      </c>
      <c r="MG66" s="5"/>
      <c r="MH66" s="6"/>
      <c r="MI66" s="4"/>
      <c r="MJ66" s="4"/>
      <c r="MK66" s="4"/>
      <c r="ML66" s="4"/>
      <c r="MM66" s="4"/>
      <c r="MN66" s="5"/>
      <c r="MO66" s="6"/>
      <c r="MP66" s="4"/>
      <c r="MQ66" s="4"/>
      <c r="MR66" s="4"/>
      <c r="MS66" s="4"/>
      <c r="MT66" s="4"/>
      <c r="MU66" s="5"/>
      <c r="MV66" s="6"/>
      <c r="MW66" s="4"/>
      <c r="MX66" s="4"/>
      <c r="MY66" s="4"/>
      <c r="MZ66" s="4"/>
      <c r="NA66" s="4"/>
      <c r="NB66" s="5"/>
      <c r="NC66" s="6"/>
      <c r="ND66" s="4"/>
      <c r="NE66" s="4"/>
      <c r="NF66" s="4"/>
      <c r="NG66" s="4"/>
      <c r="NH66" s="4"/>
      <c r="NI66" s="5"/>
      <c r="NJ66" s="6"/>
      <c r="NK66" s="4"/>
      <c r="NL66" s="4"/>
      <c r="NM66" s="4"/>
      <c r="NN66" s="4"/>
      <c r="NO66" s="4"/>
      <c r="NP66" s="5"/>
      <c r="NQ66" s="6"/>
      <c r="NR66" s="4"/>
      <c r="NS66" s="4"/>
      <c r="NT66" s="4"/>
      <c r="NU66" s="4"/>
      <c r="NV66" s="4"/>
      <c r="NW66" s="5"/>
      <c r="NX66" s="6"/>
      <c r="NY66" s="4"/>
      <c r="NZ66" s="4"/>
      <c r="OA66" s="4"/>
      <c r="OB66" s="4"/>
      <c r="OC66" s="4"/>
      <c r="OD66" s="5"/>
      <c r="OE66" s="6"/>
      <c r="OF66" s="4"/>
      <c r="OG66" s="4"/>
      <c r="OH66" s="4"/>
      <c r="OI66" s="4"/>
      <c r="OJ66" s="4"/>
      <c r="OK66" s="5"/>
      <c r="OL66" s="6"/>
      <c r="OM66" s="4"/>
      <c r="ON66" s="4"/>
      <c r="OO66" s="4"/>
      <c r="OP66" s="4"/>
      <c r="OQ66" s="4"/>
      <c r="OR66" s="5"/>
      <c r="OS66" s="6"/>
      <c r="OT66" s="4"/>
      <c r="OU66" s="4"/>
      <c r="OV66" s="4"/>
      <c r="OW66" s="4"/>
      <c r="OX66" s="4"/>
      <c r="OY66" s="5"/>
      <c r="OZ66" s="6"/>
      <c r="PA66" s="4"/>
      <c r="PB66" s="4"/>
      <c r="PC66" s="4"/>
      <c r="PD66" s="4"/>
      <c r="PE66" s="4"/>
      <c r="PF66" s="5"/>
      <c r="PG66" s="6"/>
      <c r="PH66" s="4"/>
      <c r="PI66" s="4"/>
      <c r="PJ66" s="4"/>
      <c r="PK66" s="4"/>
      <c r="PL66" s="4"/>
      <c r="PM66" s="5"/>
      <c r="PN66" s="6"/>
      <c r="PO66" s="4"/>
      <c r="PP66" s="4"/>
      <c r="PQ66" s="4"/>
      <c r="PR66" s="4"/>
      <c r="PS66" s="4"/>
      <c r="PT66" s="5"/>
      <c r="PU66" s="6"/>
      <c r="PV66" s="4"/>
      <c r="PW66" s="4"/>
      <c r="PX66" s="4"/>
      <c r="PY66" s="4"/>
      <c r="PZ66" s="4"/>
      <c r="QA66" s="5"/>
      <c r="QB66" s="6"/>
      <c r="QC66" s="4"/>
      <c r="QD66" s="4"/>
      <c r="QE66" s="4"/>
      <c r="QF66" s="4"/>
      <c r="QG66" s="4"/>
      <c r="QH66" s="5"/>
      <c r="QI66" s="6"/>
      <c r="QJ66" s="4"/>
      <c r="QK66" s="4"/>
      <c r="QL66" s="4"/>
      <c r="QM66" s="4"/>
      <c r="QN66" s="4"/>
      <c r="QO66" s="5"/>
      <c r="QP66" s="6"/>
      <c r="QQ66" s="4"/>
      <c r="QR66" s="4"/>
      <c r="QS66" s="4"/>
      <c r="QT66" s="4"/>
      <c r="QU66" s="4"/>
      <c r="QV66" s="5"/>
      <c r="QW66" s="6"/>
      <c r="QX66" s="4"/>
      <c r="QY66" s="4"/>
      <c r="QZ66" s="4"/>
      <c r="RA66" s="4"/>
      <c r="RB66" s="4"/>
      <c r="RC66" s="5"/>
      <c r="RD66" s="6"/>
      <c r="RE66" s="4"/>
      <c r="RF66" s="4"/>
      <c r="RG66" s="4"/>
      <c r="RH66" s="4"/>
      <c r="RI66" s="4"/>
      <c r="RJ66" s="5"/>
      <c r="RK66" s="6"/>
      <c r="RL66" s="4"/>
      <c r="RM66" s="4"/>
      <c r="RN66" s="4"/>
      <c r="RO66" s="4"/>
      <c r="RP66" s="4"/>
      <c r="RQ66" s="5"/>
      <c r="RR66" s="6"/>
      <c r="RS66" s="4"/>
      <c r="RT66" s="4"/>
      <c r="RU66" s="4"/>
      <c r="RV66" s="4"/>
      <c r="RW66" s="4"/>
      <c r="RX66" s="5"/>
      <c r="RY66" s="6"/>
      <c r="RZ66" s="4"/>
      <c r="SA66" s="4"/>
      <c r="SB66" s="4"/>
      <c r="SC66" s="4"/>
      <c r="SD66" s="4"/>
      <c r="SE66" s="5"/>
      <c r="SF66" s="6"/>
      <c r="SG66" s="4"/>
      <c r="SH66" s="4"/>
      <c r="SI66" s="4"/>
      <c r="SJ66" s="4"/>
      <c r="SK66" s="4"/>
      <c r="SL66" s="5"/>
      <c r="SM66" s="6"/>
      <c r="SN66" s="4"/>
      <c r="SO66" s="4"/>
      <c r="SP66" s="4"/>
      <c r="SQ66" s="4"/>
      <c r="SR66" s="4"/>
      <c r="SS66" s="5"/>
      <c r="ST66" s="6"/>
      <c r="SU66" s="4"/>
      <c r="SV66" s="4"/>
      <c r="SW66" s="4"/>
      <c r="SX66" s="4"/>
      <c r="SY66" s="4"/>
      <c r="SZ66" s="5"/>
      <c r="TA66" s="6"/>
      <c r="TB66" s="4"/>
      <c r="TC66" s="4"/>
      <c r="TD66" s="4"/>
      <c r="TE66" s="4"/>
      <c r="TF66" s="4"/>
      <c r="TG66" s="5"/>
      <c r="TH66" s="6"/>
      <c r="TI66" s="4"/>
      <c r="TJ66" s="4"/>
      <c r="TK66" s="4"/>
      <c r="TL66" s="4"/>
      <c r="TM66" s="4"/>
      <c r="TN66" s="5"/>
      <c r="TO66" s="6"/>
      <c r="TP66" s="4"/>
      <c r="TQ66" s="4"/>
      <c r="TR66" s="4"/>
      <c r="TS66" s="4"/>
      <c r="TT66" s="4"/>
      <c r="TU66" s="5"/>
      <c r="TV66" s="6"/>
      <c r="TW66" s="4"/>
      <c r="TX66" s="4"/>
      <c r="TY66" s="4"/>
      <c r="TZ66" s="4"/>
      <c r="UA66" s="4"/>
      <c r="UB66" s="5"/>
      <c r="UC66" s="6"/>
      <c r="UD66" s="4"/>
      <c r="UE66" s="4"/>
      <c r="UF66" s="4"/>
      <c r="UG66" s="4"/>
      <c r="UH66" s="4"/>
      <c r="UI66" s="5"/>
      <c r="UJ66" s="6"/>
      <c r="UK66" s="4"/>
      <c r="UL66" s="4"/>
      <c r="UM66" s="4"/>
      <c r="UN66" s="4"/>
      <c r="UO66" s="4"/>
      <c r="UP66" s="5"/>
      <c r="UQ66" s="6"/>
      <c r="UR66" s="4"/>
      <c r="US66" s="4"/>
      <c r="UT66" s="4"/>
      <c r="UU66" s="4"/>
      <c r="UV66" s="4"/>
      <c r="UW66" s="5"/>
      <c r="UX66" s="6"/>
      <c r="UY66" s="4"/>
      <c r="UZ66" s="4"/>
      <c r="VA66" s="4"/>
      <c r="VB66" s="4"/>
      <c r="VC66" s="4"/>
      <c r="VD66" s="5"/>
      <c r="VE66" s="6"/>
      <c r="VF66" s="4"/>
      <c r="VG66" s="4"/>
      <c r="VH66" s="4"/>
      <c r="VI66" s="4"/>
      <c r="VJ66" s="4"/>
      <c r="VK66" s="5"/>
      <c r="VL66" s="6"/>
      <c r="VM66" s="4"/>
      <c r="VN66" s="4"/>
      <c r="VO66" s="4"/>
      <c r="VP66" s="4"/>
      <c r="VQ66" s="4"/>
      <c r="VR66" s="5"/>
      <c r="VS66" s="6"/>
      <c r="VT66" s="4"/>
      <c r="VU66" s="4"/>
      <c r="VV66" s="4"/>
      <c r="VW66" s="4"/>
      <c r="VX66" s="4"/>
      <c r="VY66" s="5"/>
      <c r="VZ66" s="6"/>
      <c r="WA66" s="4"/>
      <c r="WB66" s="4"/>
      <c r="WC66" s="4"/>
      <c r="WD66" s="4"/>
      <c r="WE66" s="4"/>
      <c r="WF66" s="5"/>
      <c r="WG66" s="6"/>
      <c r="WH66" s="4"/>
      <c r="WI66" s="4"/>
      <c r="WJ66" s="4"/>
      <c r="WK66" s="4"/>
      <c r="WL66" s="4"/>
      <c r="WM66" s="5"/>
      <c r="WN66" s="6"/>
      <c r="WO66" s="4"/>
      <c r="WP66" s="4"/>
      <c r="WQ66" s="4"/>
      <c r="WR66" s="4"/>
      <c r="WS66" s="4"/>
      <c r="WT66" s="5"/>
      <c r="WU66" s="6"/>
      <c r="WV66" s="4"/>
      <c r="WW66" s="4"/>
      <c r="WX66" s="4"/>
      <c r="WY66" s="4"/>
      <c r="WZ66" s="4"/>
      <c r="XA66" s="5"/>
      <c r="XB66" s="6"/>
      <c r="XC66" s="4"/>
      <c r="XD66" s="4"/>
      <c r="XE66" s="4"/>
      <c r="XF66" s="4"/>
      <c r="XG66" s="4"/>
      <c r="XH66" s="5"/>
      <c r="XI66" s="6"/>
      <c r="XJ66" s="4"/>
      <c r="XK66" s="4"/>
      <c r="XL66" s="4"/>
      <c r="XM66" s="4"/>
      <c r="XN66" s="4"/>
      <c r="XO66" s="5"/>
      <c r="XP66" s="6"/>
      <c r="XQ66" s="4"/>
      <c r="XR66" s="4"/>
      <c r="XS66" s="4"/>
      <c r="XT66" s="4"/>
      <c r="XU66" s="4"/>
      <c r="XV66" s="5"/>
      <c r="XW66" s="6"/>
      <c r="XX66" s="4"/>
      <c r="XY66" s="4"/>
      <c r="XZ66" s="4"/>
      <c r="YA66" s="4"/>
      <c r="YB66" s="4"/>
      <c r="YC66" s="5"/>
      <c r="YD66" s="6"/>
      <c r="YE66" s="4"/>
      <c r="YF66" s="4"/>
      <c r="YG66" s="4"/>
      <c r="YH66" s="4"/>
      <c r="YI66" s="4"/>
      <c r="YJ66" s="5"/>
      <c r="YK66" s="6"/>
      <c r="YL66" s="4"/>
      <c r="YM66" s="4"/>
      <c r="YN66" s="4"/>
      <c r="YO66" s="4"/>
      <c r="YP66" s="4"/>
      <c r="YQ66" s="5"/>
      <c r="YR66" s="6"/>
      <c r="YS66" s="4"/>
      <c r="YT66" s="4"/>
      <c r="YU66" s="4"/>
      <c r="YV66" s="4"/>
      <c r="YW66" s="4"/>
      <c r="YX66" s="5"/>
      <c r="YY66" s="6"/>
      <c r="YZ66" s="4"/>
      <c r="ZA66" s="4"/>
      <c r="ZB66" s="4"/>
      <c r="ZC66" s="4"/>
      <c r="ZD66" s="4"/>
      <c r="ZE66" s="5"/>
      <c r="ZF66" s="6"/>
      <c r="ZG66" s="4"/>
      <c r="ZH66" s="4"/>
      <c r="ZI66" s="4"/>
      <c r="ZJ66" s="4"/>
      <c r="ZK66" s="4"/>
      <c r="ZL66" s="5"/>
      <c r="ZM66" s="6"/>
      <c r="ZN66" s="4"/>
      <c r="ZO66" s="4"/>
      <c r="ZP66" s="4"/>
      <c r="ZQ66" s="4"/>
      <c r="ZR66" s="4"/>
      <c r="ZS66" s="5"/>
      <c r="ZT66" s="6"/>
      <c r="ZU66" s="4"/>
      <c r="ZV66" s="4"/>
      <c r="ZW66" s="4"/>
      <c r="ZX66" s="4"/>
      <c r="ZY66" s="4"/>
      <c r="ZZ66" s="5"/>
      <c r="AAA66" s="6"/>
      <c r="AAB66" s="4"/>
      <c r="AAC66" s="4"/>
      <c r="AAD66" s="4"/>
      <c r="AAE66" s="4"/>
      <c r="AAF66" s="4"/>
      <c r="AAG66" s="5"/>
      <c r="AAH66" s="6"/>
      <c r="AAI66" s="4"/>
      <c r="AAJ66" s="4"/>
      <c r="AAK66" s="4"/>
      <c r="AAL66" s="4"/>
      <c r="AAM66" s="4"/>
      <c r="AAN66" s="5"/>
      <c r="AAO66" s="6"/>
      <c r="AAP66" s="4"/>
      <c r="AAQ66" s="4"/>
      <c r="AAR66" s="4"/>
      <c r="AAS66" s="4"/>
      <c r="AAT66" s="4"/>
      <c r="AAU66" s="5"/>
      <c r="AAV66" s="6"/>
      <c r="AAW66" s="4"/>
      <c r="AAX66" s="4"/>
      <c r="AAY66" s="4"/>
      <c r="AAZ66" s="4"/>
      <c r="ABA66" s="4"/>
      <c r="ABB66" s="5"/>
      <c r="ABC66" s="6"/>
      <c r="ABD66" s="4"/>
      <c r="ABE66" s="4"/>
      <c r="ABF66" s="4"/>
      <c r="ABG66" s="4"/>
      <c r="ABH66" s="4"/>
      <c r="ABI66" s="5"/>
      <c r="ABJ66" s="6"/>
      <c r="ABK66" s="4"/>
      <c r="ABL66" s="4"/>
      <c r="ABM66" s="4"/>
      <c r="ABN66" s="4"/>
      <c r="ABO66" s="4"/>
      <c r="ABP66" s="5"/>
      <c r="ABQ66" s="6"/>
      <c r="ABR66" s="4"/>
      <c r="ABS66" s="4"/>
      <c r="ABT66" s="4"/>
      <c r="ABU66" s="4"/>
      <c r="ABV66" s="4"/>
      <c r="ABW66" s="5"/>
      <c r="ABX66" s="6"/>
      <c r="ABY66" s="4"/>
      <c r="ABZ66" s="4"/>
      <c r="ACA66" s="4"/>
      <c r="ACB66" s="4"/>
      <c r="ACC66" s="4"/>
      <c r="ACD66" s="5"/>
      <c r="ACE66" s="6"/>
      <c r="ACF66" s="4"/>
      <c r="ACG66" s="4"/>
      <c r="ACH66" s="4"/>
      <c r="ACI66" s="4"/>
      <c r="ACJ66" s="4"/>
      <c r="ACK66" s="5"/>
      <c r="ACL66" s="6"/>
      <c r="ACM66" s="4"/>
      <c r="ACN66" s="4"/>
      <c r="ACO66" s="4"/>
      <c r="ACP66" s="4"/>
      <c r="ACQ66" s="4"/>
      <c r="ACR66" s="5"/>
      <c r="ACS66" s="6"/>
      <c r="ACT66" s="4"/>
      <c r="ACU66" s="4"/>
      <c r="ACV66" s="4"/>
      <c r="ACW66" s="4"/>
      <c r="ACX66" s="4"/>
      <c r="ACY66" s="5"/>
    </row>
    <row r="67" spans="2:781" x14ac:dyDescent="0.25">
      <c r="B67" s="49">
        <v>95000560</v>
      </c>
      <c r="C67">
        <v>62</v>
      </c>
      <c r="D67" t="s">
        <v>2121</v>
      </c>
      <c r="F67" s="23">
        <v>0</v>
      </c>
      <c r="J67" s="12"/>
      <c r="K67" s="12"/>
      <c r="L67" s="12"/>
      <c r="M67">
        <v>1</v>
      </c>
      <c r="N67" s="17">
        <v>34644</v>
      </c>
      <c r="W67">
        <v>1</v>
      </c>
      <c r="LL67" s="6"/>
      <c r="LM67" s="4"/>
      <c r="LN67" s="4"/>
      <c r="LO67" s="4"/>
      <c r="LP67" s="4"/>
      <c r="LQ67" s="4"/>
      <c r="LR67" s="5"/>
      <c r="LS67" s="6"/>
      <c r="LT67" s="4"/>
      <c r="LU67" s="4"/>
      <c r="LV67" s="4"/>
      <c r="LW67" s="4"/>
      <c r="LX67" s="4"/>
      <c r="LY67" s="5"/>
      <c r="LZ67" s="6" t="s">
        <v>708</v>
      </c>
      <c r="MA67" s="7" t="s">
        <v>2375</v>
      </c>
      <c r="MB67" s="4" t="s">
        <v>4013</v>
      </c>
      <c r="MC67" s="7" t="s">
        <v>709</v>
      </c>
      <c r="MD67" s="8">
        <v>34274</v>
      </c>
      <c r="ME67" s="8">
        <v>34645</v>
      </c>
      <c r="MF67" s="8" t="s">
        <v>611</v>
      </c>
      <c r="MG67" s="5" t="s">
        <v>612</v>
      </c>
      <c r="MH67" s="6"/>
      <c r="MI67" s="4"/>
      <c r="MJ67" s="4"/>
      <c r="MK67" s="4"/>
      <c r="ML67" s="4"/>
      <c r="MM67" s="4"/>
      <c r="MN67" s="5"/>
      <c r="MO67" s="6"/>
      <c r="MP67" s="4"/>
      <c r="MQ67" s="4"/>
      <c r="MR67" s="4"/>
      <c r="MS67" s="4"/>
      <c r="MT67" s="4"/>
      <c r="MU67" s="5"/>
      <c r="MV67" s="6"/>
      <c r="MW67" s="4"/>
      <c r="MX67" s="4"/>
      <c r="MY67" s="4"/>
      <c r="MZ67" s="4"/>
      <c r="NA67" s="4"/>
      <c r="NB67" s="5"/>
      <c r="NC67" s="6"/>
      <c r="ND67" s="4"/>
      <c r="NE67" s="4"/>
      <c r="NF67" s="4"/>
      <c r="NG67" s="4"/>
      <c r="NH67" s="4"/>
      <c r="NI67" s="5"/>
      <c r="NJ67" s="6" t="s">
        <v>710</v>
      </c>
      <c r="NK67" s="4" t="s">
        <v>711</v>
      </c>
      <c r="NL67" s="4" t="s">
        <v>849</v>
      </c>
      <c r="NM67" s="4"/>
      <c r="NN67" s="8">
        <v>34090</v>
      </c>
      <c r="NO67" s="4"/>
      <c r="NP67" s="5"/>
      <c r="NQ67" s="6"/>
      <c r="NR67" s="4"/>
      <c r="NS67" s="4"/>
      <c r="NT67" s="4"/>
      <c r="NU67" s="4"/>
      <c r="NV67" s="4"/>
      <c r="NW67" s="5"/>
      <c r="NX67" s="6"/>
      <c r="NY67" s="4"/>
      <c r="NZ67" s="4"/>
      <c r="OA67" s="4"/>
      <c r="OB67" s="4"/>
      <c r="OC67" s="4"/>
      <c r="OD67" s="5"/>
      <c r="OE67" s="6"/>
      <c r="OF67" s="4"/>
      <c r="OG67" s="4"/>
      <c r="OH67" s="4"/>
      <c r="OI67" s="4"/>
      <c r="OJ67" s="4"/>
      <c r="OK67" s="5"/>
      <c r="OL67" s="6"/>
      <c r="OM67" s="4"/>
      <c r="ON67" s="4"/>
      <c r="OO67" s="4"/>
      <c r="OP67" s="4"/>
      <c r="OQ67" s="4"/>
      <c r="OR67" s="5"/>
      <c r="OS67" s="6"/>
      <c r="OT67" s="4"/>
      <c r="OU67" s="4"/>
      <c r="OV67" s="4"/>
      <c r="OW67" s="4"/>
      <c r="OX67" s="4"/>
      <c r="OY67" s="5"/>
      <c r="OZ67" s="6"/>
      <c r="PA67" s="4"/>
      <c r="PB67" s="4"/>
      <c r="PC67" s="4"/>
      <c r="PD67" s="4"/>
      <c r="PE67" s="4"/>
      <c r="PF67" s="5"/>
      <c r="PG67" s="6"/>
      <c r="PH67" s="4"/>
      <c r="PI67" s="4"/>
      <c r="PJ67" s="4"/>
      <c r="PK67" s="4"/>
      <c r="PL67" s="4"/>
      <c r="PM67" s="5"/>
      <c r="PN67" s="6"/>
      <c r="PO67" s="4"/>
      <c r="PP67" s="4"/>
      <c r="PQ67" s="4"/>
      <c r="PR67" s="4"/>
      <c r="PS67" s="4"/>
      <c r="PT67" s="5"/>
      <c r="PU67" s="6"/>
      <c r="PV67" s="4"/>
      <c r="PW67" s="4"/>
      <c r="PX67" s="4"/>
      <c r="PY67" s="4"/>
      <c r="PZ67" s="4"/>
      <c r="QA67" s="5"/>
      <c r="QB67" s="6"/>
      <c r="QC67" s="4"/>
      <c r="QD67" s="4"/>
      <c r="QE67" s="4"/>
      <c r="QF67" s="4"/>
      <c r="QG67" s="4"/>
      <c r="QH67" s="5"/>
      <c r="QI67" s="6"/>
      <c r="QJ67" s="4"/>
      <c r="QK67" s="4"/>
      <c r="QL67" s="4"/>
      <c r="QM67" s="4"/>
      <c r="QN67" s="4"/>
      <c r="QO67" s="5"/>
      <c r="QP67" s="6"/>
      <c r="QQ67" s="4"/>
      <c r="QR67" s="4"/>
      <c r="QS67" s="4"/>
      <c r="QT67" s="4"/>
      <c r="QU67" s="4"/>
      <c r="QV67" s="5"/>
      <c r="QW67" s="6"/>
      <c r="QX67" s="4"/>
      <c r="QY67" s="4"/>
      <c r="QZ67" s="4"/>
      <c r="RA67" s="4"/>
      <c r="RB67" s="4"/>
      <c r="RC67" s="5"/>
      <c r="RD67" s="6"/>
      <c r="RE67" s="4"/>
      <c r="RF67" s="4"/>
      <c r="RG67" s="4"/>
      <c r="RH67" s="4"/>
      <c r="RI67" s="4"/>
      <c r="RJ67" s="5"/>
      <c r="RK67" s="6"/>
      <c r="RL67" s="4"/>
      <c r="RM67" s="4"/>
      <c r="RN67" s="4"/>
      <c r="RO67" s="4"/>
      <c r="RP67" s="4"/>
      <c r="RQ67" s="5"/>
      <c r="RR67" s="6"/>
      <c r="RS67" s="4"/>
      <c r="RT67" s="4"/>
      <c r="RU67" s="4"/>
      <c r="RV67" s="4"/>
      <c r="RW67" s="4"/>
      <c r="RX67" s="5"/>
      <c r="RY67" s="6"/>
      <c r="RZ67" s="4"/>
      <c r="SA67" s="4"/>
      <c r="SB67" s="4"/>
      <c r="SC67" s="4"/>
      <c r="SD67" s="4"/>
      <c r="SE67" s="5"/>
      <c r="SF67" s="6"/>
      <c r="SG67" s="4"/>
      <c r="SH67" s="4"/>
      <c r="SI67" s="4"/>
      <c r="SJ67" s="4"/>
      <c r="SK67" s="4"/>
      <c r="SL67" s="5"/>
      <c r="SM67" s="6"/>
      <c r="SN67" s="4"/>
      <c r="SO67" s="4"/>
      <c r="SP67" s="4"/>
      <c r="SQ67" s="4"/>
      <c r="SR67" s="4"/>
      <c r="SS67" s="5"/>
      <c r="ST67" s="6"/>
      <c r="SU67" s="4"/>
      <c r="SV67" s="4"/>
      <c r="SW67" s="4"/>
      <c r="SX67" s="4"/>
      <c r="SY67" s="4"/>
      <c r="SZ67" s="5"/>
      <c r="TA67" s="6"/>
      <c r="TB67" s="4"/>
      <c r="TC67" s="4"/>
      <c r="TD67" s="4"/>
      <c r="TE67" s="4"/>
      <c r="TF67" s="4"/>
      <c r="TG67" s="5"/>
      <c r="TH67" s="6"/>
      <c r="TI67" s="4"/>
      <c r="TJ67" s="4"/>
      <c r="TK67" s="4"/>
      <c r="TL67" s="4"/>
      <c r="TM67" s="4"/>
      <c r="TN67" s="5"/>
      <c r="TO67" s="6"/>
      <c r="TP67" s="4"/>
      <c r="TQ67" s="4"/>
      <c r="TR67" s="4"/>
      <c r="TS67" s="4"/>
      <c r="TT67" s="4"/>
      <c r="TU67" s="5"/>
      <c r="TV67" s="6"/>
      <c r="TW67" s="4"/>
      <c r="TX67" s="4"/>
      <c r="TY67" s="4"/>
      <c r="TZ67" s="4"/>
      <c r="UA67" s="4"/>
      <c r="UB67" s="5"/>
      <c r="UC67" s="6"/>
      <c r="UD67" s="4"/>
      <c r="UE67" s="4"/>
      <c r="UF67" s="4"/>
      <c r="UG67" s="4"/>
      <c r="UH67" s="4"/>
      <c r="UI67" s="5"/>
      <c r="UJ67" s="6"/>
      <c r="UK67" s="4"/>
      <c r="UL67" s="4"/>
      <c r="UM67" s="4"/>
      <c r="UN67" s="4"/>
      <c r="UO67" s="4"/>
      <c r="UP67" s="5"/>
      <c r="UQ67" s="6"/>
      <c r="UR67" s="4"/>
      <c r="US67" s="4"/>
      <c r="UT67" s="4"/>
      <c r="UU67" s="4"/>
      <c r="UV67" s="4"/>
      <c r="UW67" s="5"/>
      <c r="UX67" s="6"/>
      <c r="UY67" s="4"/>
      <c r="UZ67" s="4"/>
      <c r="VA67" s="4"/>
      <c r="VB67" s="4"/>
      <c r="VC67" s="4"/>
      <c r="VD67" s="5"/>
      <c r="VE67" s="6"/>
      <c r="VF67" s="4"/>
      <c r="VG67" s="4"/>
      <c r="VH67" s="4"/>
      <c r="VI67" s="4"/>
      <c r="VJ67" s="4"/>
      <c r="VK67" s="5"/>
      <c r="VL67" s="6"/>
      <c r="VM67" s="4"/>
      <c r="VN67" s="4"/>
      <c r="VO67" s="4"/>
      <c r="VP67" s="4"/>
      <c r="VQ67" s="4"/>
      <c r="VR67" s="5"/>
      <c r="VS67" s="6"/>
      <c r="VT67" s="4"/>
      <c r="VU67" s="4"/>
      <c r="VV67" s="4"/>
      <c r="VW67" s="4"/>
      <c r="VX67" s="4"/>
      <c r="VY67" s="5"/>
      <c r="VZ67" s="6"/>
      <c r="WA67" s="4"/>
      <c r="WB67" s="4"/>
      <c r="WC67" s="4"/>
      <c r="WD67" s="4"/>
      <c r="WE67" s="4"/>
      <c r="WF67" s="5"/>
      <c r="WG67" s="6"/>
      <c r="WH67" s="4"/>
      <c r="WI67" s="4"/>
      <c r="WJ67" s="4"/>
      <c r="WK67" s="4"/>
      <c r="WL67" s="4"/>
      <c r="WM67" s="5"/>
      <c r="WN67" s="6"/>
      <c r="WO67" s="4"/>
      <c r="WP67" s="4"/>
      <c r="WQ67" s="4"/>
      <c r="WR67" s="4"/>
      <c r="WS67" s="4"/>
      <c r="WT67" s="5"/>
      <c r="WU67" s="6"/>
      <c r="WV67" s="4"/>
      <c r="WW67" s="4"/>
      <c r="WX67" s="4"/>
      <c r="WY67" s="4"/>
      <c r="WZ67" s="4"/>
      <c r="XA67" s="5"/>
      <c r="XB67" s="6"/>
      <c r="XC67" s="4"/>
      <c r="XD67" s="4"/>
      <c r="XE67" s="4"/>
      <c r="XF67" s="4"/>
      <c r="XG67" s="4"/>
      <c r="XH67" s="5"/>
      <c r="XI67" s="6"/>
      <c r="XJ67" s="4"/>
      <c r="XK67" s="4"/>
      <c r="XL67" s="4"/>
      <c r="XM67" s="4"/>
      <c r="XN67" s="4"/>
      <c r="XO67" s="5"/>
      <c r="XP67" s="6"/>
      <c r="XQ67" s="4"/>
      <c r="XR67" s="4"/>
      <c r="XS67" s="4"/>
      <c r="XT67" s="4"/>
      <c r="XU67" s="4"/>
      <c r="XV67" s="5"/>
      <c r="XW67" s="6"/>
      <c r="XX67" s="4"/>
      <c r="XY67" s="4"/>
      <c r="XZ67" s="4"/>
      <c r="YA67" s="4"/>
      <c r="YB67" s="4"/>
      <c r="YC67" s="5"/>
      <c r="YD67" s="6"/>
      <c r="YE67" s="4"/>
      <c r="YF67" s="4"/>
      <c r="YG67" s="4"/>
      <c r="YH67" s="4"/>
      <c r="YI67" s="4"/>
      <c r="YJ67" s="5"/>
      <c r="YK67" s="6"/>
      <c r="YL67" s="4"/>
      <c r="YM67" s="4"/>
      <c r="YN67" s="4"/>
      <c r="YO67" s="4"/>
      <c r="YP67" s="4"/>
      <c r="YQ67" s="5"/>
      <c r="YR67" s="6"/>
      <c r="YS67" s="4"/>
      <c r="YT67" s="4"/>
      <c r="YU67" s="4"/>
      <c r="YV67" s="4"/>
      <c r="YW67" s="4"/>
      <c r="YX67" s="5"/>
      <c r="YY67" s="6"/>
      <c r="YZ67" s="4"/>
      <c r="ZA67" s="4"/>
      <c r="ZB67" s="4"/>
      <c r="ZC67" s="4"/>
      <c r="ZD67" s="4"/>
      <c r="ZE67" s="5"/>
      <c r="ZF67" s="6"/>
      <c r="ZG67" s="4"/>
      <c r="ZH67" s="4"/>
      <c r="ZI67" s="4"/>
      <c r="ZJ67" s="4"/>
      <c r="ZK67" s="4"/>
      <c r="ZL67" s="5"/>
      <c r="ZM67" s="6"/>
      <c r="ZN67" s="4"/>
      <c r="ZO67" s="4"/>
      <c r="ZP67" s="4"/>
      <c r="ZQ67" s="4"/>
      <c r="ZR67" s="4"/>
      <c r="ZS67" s="5"/>
      <c r="ZT67" s="6"/>
      <c r="ZU67" s="4"/>
      <c r="ZV67" s="4"/>
      <c r="ZW67" s="4"/>
      <c r="ZX67" s="4"/>
      <c r="ZY67" s="4"/>
      <c r="ZZ67" s="5"/>
      <c r="AAA67" s="6"/>
      <c r="AAB67" s="4"/>
      <c r="AAC67" s="4"/>
      <c r="AAD67" s="4"/>
      <c r="AAE67" s="4"/>
      <c r="AAF67" s="4"/>
      <c r="AAG67" s="5"/>
      <c r="AAH67" s="6"/>
      <c r="AAI67" s="4"/>
      <c r="AAJ67" s="4"/>
      <c r="AAK67" s="4"/>
      <c r="AAL67" s="4"/>
      <c r="AAM67" s="4"/>
      <c r="AAN67" s="5"/>
      <c r="AAO67" s="6"/>
      <c r="AAP67" s="4"/>
      <c r="AAQ67" s="4"/>
      <c r="AAR67" s="4"/>
      <c r="AAS67" s="4"/>
      <c r="AAT67" s="4"/>
      <c r="AAU67" s="5"/>
      <c r="AAV67" s="6"/>
      <c r="AAW67" s="4"/>
      <c r="AAX67" s="4"/>
      <c r="AAY67" s="4"/>
      <c r="AAZ67" s="4"/>
      <c r="ABA67" s="4"/>
      <c r="ABB67" s="5"/>
      <c r="ABC67" s="6"/>
      <c r="ABD67" s="4"/>
      <c r="ABE67" s="4"/>
      <c r="ABF67" s="4"/>
      <c r="ABG67" s="4"/>
      <c r="ABH67" s="4"/>
      <c r="ABI67" s="5"/>
      <c r="ABJ67" s="6"/>
      <c r="ABK67" s="4"/>
      <c r="ABL67" s="4"/>
      <c r="ABM67" s="4"/>
      <c r="ABN67" s="4"/>
      <c r="ABO67" s="4"/>
      <c r="ABP67" s="5"/>
      <c r="ABQ67" s="6"/>
      <c r="ABR67" s="4"/>
      <c r="ABS67" s="4"/>
      <c r="ABT67" s="4"/>
      <c r="ABU67" s="4"/>
      <c r="ABV67" s="4"/>
      <c r="ABW67" s="5"/>
      <c r="ABX67" s="6"/>
      <c r="ABY67" s="4"/>
      <c r="ABZ67" s="4"/>
      <c r="ACA67" s="4"/>
      <c r="ACB67" s="4"/>
      <c r="ACC67" s="4"/>
      <c r="ACD67" s="5"/>
      <c r="ACE67" s="6"/>
      <c r="ACF67" s="4"/>
      <c r="ACG67" s="4"/>
      <c r="ACH67" s="4"/>
      <c r="ACI67" s="4"/>
      <c r="ACJ67" s="4"/>
      <c r="ACK67" s="5"/>
      <c r="ACL67" s="6"/>
      <c r="ACM67" s="4"/>
      <c r="ACN67" s="4"/>
      <c r="ACO67" s="4"/>
      <c r="ACP67" s="4"/>
      <c r="ACQ67" s="4"/>
      <c r="ACR67" s="5"/>
      <c r="ACS67" s="6"/>
      <c r="ACT67" s="4"/>
      <c r="ACU67" s="4"/>
      <c r="ACV67" s="4"/>
      <c r="ACW67" s="4"/>
      <c r="ACX67" s="4"/>
      <c r="ACY67" s="5"/>
      <c r="ADA67" t="s">
        <v>613</v>
      </c>
    </row>
    <row r="68" spans="2:781" x14ac:dyDescent="0.25">
      <c r="B68" s="29">
        <v>95003071</v>
      </c>
      <c r="C68">
        <v>62</v>
      </c>
      <c r="D68" t="s">
        <v>2121</v>
      </c>
      <c r="F68" s="23" t="s">
        <v>1789</v>
      </c>
      <c r="I68">
        <v>1</v>
      </c>
      <c r="J68" s="19">
        <v>34194</v>
      </c>
      <c r="K68" s="19"/>
      <c r="L68" s="19"/>
      <c r="LL68" s="6"/>
      <c r="LM68" s="4"/>
      <c r="LN68" s="4"/>
      <c r="LO68" s="4"/>
      <c r="LP68" s="4"/>
      <c r="LQ68" s="4"/>
      <c r="LR68" s="5"/>
      <c r="LS68" s="6" t="s">
        <v>2366</v>
      </c>
      <c r="LT68" s="4" t="s">
        <v>2366</v>
      </c>
      <c r="LU68" s="4"/>
      <c r="LV68" s="4"/>
      <c r="LW68" s="4"/>
      <c r="LX68" s="4"/>
      <c r="LY68" s="5"/>
      <c r="LZ68" s="6" t="s">
        <v>2367</v>
      </c>
      <c r="MA68" s="7" t="s">
        <v>2234</v>
      </c>
      <c r="MB68" s="4"/>
      <c r="MC68" s="4"/>
      <c r="MD68" s="8"/>
      <c r="ME68" s="4"/>
      <c r="MF68" s="4"/>
      <c r="MG68" s="5"/>
      <c r="MH68" s="6"/>
      <c r="MI68" s="4"/>
      <c r="MJ68" s="4"/>
      <c r="MK68" s="4"/>
      <c r="ML68" s="4"/>
      <c r="MM68" s="4"/>
      <c r="MN68" s="5"/>
      <c r="MO68" s="6"/>
      <c r="MP68" s="4"/>
      <c r="MQ68" s="4"/>
      <c r="MR68" s="4"/>
      <c r="MS68" s="4"/>
      <c r="MT68" s="4"/>
      <c r="MU68" s="5"/>
      <c r="MV68" s="6"/>
      <c r="MW68" s="4"/>
      <c r="MX68" s="4"/>
      <c r="MY68" s="4"/>
      <c r="MZ68" s="4"/>
      <c r="NA68" s="4"/>
      <c r="NB68" s="5"/>
      <c r="NC68" s="6"/>
      <c r="ND68" s="4"/>
      <c r="NE68" s="4"/>
      <c r="NF68" s="4"/>
      <c r="NG68" s="4"/>
      <c r="NH68" s="4"/>
      <c r="NI68" s="5"/>
      <c r="NJ68" s="6"/>
      <c r="NK68" s="4"/>
      <c r="NL68" s="4"/>
      <c r="NM68" s="4"/>
      <c r="NN68" s="4"/>
      <c r="NO68" s="4"/>
      <c r="NP68" s="5"/>
      <c r="NQ68" s="6"/>
      <c r="NR68" s="4"/>
      <c r="NS68" s="4"/>
      <c r="NT68" s="4"/>
      <c r="NU68" s="4"/>
      <c r="NV68" s="4"/>
      <c r="NW68" s="5"/>
      <c r="NX68" s="6"/>
      <c r="NY68" s="4"/>
      <c r="NZ68" s="4"/>
      <c r="OA68" s="4"/>
      <c r="OB68" s="4"/>
      <c r="OC68" s="4"/>
      <c r="OD68" s="5"/>
      <c r="OE68" s="6"/>
      <c r="OF68" s="4"/>
      <c r="OG68" s="4"/>
      <c r="OH68" s="4"/>
      <c r="OI68" s="4"/>
      <c r="OJ68" s="4"/>
      <c r="OK68" s="5"/>
      <c r="OL68" s="6"/>
      <c r="OM68" s="4"/>
      <c r="ON68" s="4"/>
      <c r="OO68" s="4"/>
      <c r="OP68" s="4"/>
      <c r="OQ68" s="4"/>
      <c r="OR68" s="5"/>
      <c r="OS68" s="6"/>
      <c r="OT68" s="4"/>
      <c r="OU68" s="4"/>
      <c r="OV68" s="4"/>
      <c r="OW68" s="4"/>
      <c r="OX68" s="4"/>
      <c r="OY68" s="5"/>
      <c r="OZ68" s="6"/>
      <c r="PA68" s="4"/>
      <c r="PB68" s="4"/>
      <c r="PC68" s="4"/>
      <c r="PD68" s="4"/>
      <c r="PE68" s="4"/>
      <c r="PF68" s="5"/>
      <c r="PG68" s="6"/>
      <c r="PH68" s="4"/>
      <c r="PI68" s="4"/>
      <c r="PJ68" s="4"/>
      <c r="PK68" s="4"/>
      <c r="PL68" s="4"/>
      <c r="PM68" s="5"/>
      <c r="PN68" s="6"/>
      <c r="PO68" s="4"/>
      <c r="PP68" s="4"/>
      <c r="PQ68" s="4"/>
      <c r="PR68" s="4"/>
      <c r="PS68" s="4"/>
      <c r="PT68" s="5"/>
      <c r="PU68" s="6"/>
      <c r="PV68" s="4"/>
      <c r="PW68" s="4"/>
      <c r="PX68" s="4"/>
      <c r="PY68" s="4"/>
      <c r="PZ68" s="4"/>
      <c r="QA68" s="5"/>
      <c r="QB68" s="6"/>
      <c r="QC68" s="4"/>
      <c r="QD68" s="4"/>
      <c r="QE68" s="4"/>
      <c r="QF68" s="4"/>
      <c r="QG68" s="4"/>
      <c r="QH68" s="5"/>
      <c r="QI68" s="6"/>
      <c r="QJ68" s="4"/>
      <c r="QK68" s="4"/>
      <c r="QL68" s="4"/>
      <c r="QM68" s="4"/>
      <c r="QN68" s="4"/>
      <c r="QO68" s="5"/>
      <c r="QP68" s="6"/>
      <c r="QQ68" s="4"/>
      <c r="QR68" s="4"/>
      <c r="QS68" s="4"/>
      <c r="QT68" s="4"/>
      <c r="QU68" s="4"/>
      <c r="QV68" s="5"/>
      <c r="QW68" s="6"/>
      <c r="QX68" s="4"/>
      <c r="QY68" s="4"/>
      <c r="QZ68" s="4"/>
      <c r="RA68" s="4"/>
      <c r="RB68" s="4"/>
      <c r="RC68" s="5"/>
      <c r="RD68" s="6"/>
      <c r="RE68" s="4"/>
      <c r="RF68" s="4"/>
      <c r="RG68" s="4"/>
      <c r="RH68" s="4"/>
      <c r="RI68" s="4"/>
      <c r="RJ68" s="5"/>
      <c r="RK68" s="6"/>
      <c r="RL68" s="4"/>
      <c r="RM68" s="4"/>
      <c r="RN68" s="4"/>
      <c r="RO68" s="4"/>
      <c r="RP68" s="4"/>
      <c r="RQ68" s="5"/>
      <c r="RR68" s="6"/>
      <c r="RS68" s="4"/>
      <c r="RT68" s="4"/>
      <c r="RU68" s="4"/>
      <c r="RV68" s="4"/>
      <c r="RW68" s="4"/>
      <c r="RX68" s="5"/>
      <c r="RY68" s="6"/>
      <c r="RZ68" s="4"/>
      <c r="SA68" s="4"/>
      <c r="SB68" s="4"/>
      <c r="SC68" s="4"/>
      <c r="SD68" s="4"/>
      <c r="SE68" s="5"/>
      <c r="SF68" s="6"/>
      <c r="SG68" s="4"/>
      <c r="SH68" s="4"/>
      <c r="SI68" s="4"/>
      <c r="SJ68" s="4"/>
      <c r="SK68" s="4"/>
      <c r="SL68" s="5"/>
      <c r="SM68" s="6"/>
      <c r="SN68" s="4"/>
      <c r="SO68" s="4"/>
      <c r="SP68" s="4"/>
      <c r="SQ68" s="4"/>
      <c r="SR68" s="4"/>
      <c r="SS68" s="5"/>
      <c r="ST68" s="6"/>
      <c r="SU68" s="4"/>
      <c r="SV68" s="4"/>
      <c r="SW68" s="4"/>
      <c r="SX68" s="4"/>
      <c r="SY68" s="4"/>
      <c r="SZ68" s="5"/>
      <c r="TA68" s="6"/>
      <c r="TB68" s="4"/>
      <c r="TC68" s="4"/>
      <c r="TD68" s="4"/>
      <c r="TE68" s="4"/>
      <c r="TF68" s="4"/>
      <c r="TG68" s="5"/>
      <c r="TH68" s="6"/>
      <c r="TI68" s="4"/>
      <c r="TJ68" s="4"/>
      <c r="TK68" s="4"/>
      <c r="TL68" s="4"/>
      <c r="TM68" s="4"/>
      <c r="TN68" s="5"/>
      <c r="TO68" s="6"/>
      <c r="TP68" s="4"/>
      <c r="TQ68" s="4"/>
      <c r="TR68" s="4"/>
      <c r="TS68" s="4"/>
      <c r="TT68" s="4"/>
      <c r="TU68" s="5"/>
      <c r="TV68" s="6"/>
      <c r="TW68" s="4"/>
      <c r="TX68" s="4"/>
      <c r="TY68" s="4"/>
      <c r="TZ68" s="4"/>
      <c r="UA68" s="4"/>
      <c r="UB68" s="5"/>
      <c r="UC68" s="6"/>
      <c r="UD68" s="4"/>
      <c r="UE68" s="4"/>
      <c r="UF68" s="4"/>
      <c r="UG68" s="4"/>
      <c r="UH68" s="4"/>
      <c r="UI68" s="5"/>
      <c r="UJ68" s="6"/>
      <c r="UK68" s="4"/>
      <c r="UL68" s="4"/>
      <c r="UM68" s="4"/>
      <c r="UN68" s="4"/>
      <c r="UO68" s="4"/>
      <c r="UP68" s="5"/>
      <c r="UQ68" s="6"/>
      <c r="UR68" s="4"/>
      <c r="US68" s="4"/>
      <c r="UT68" s="4"/>
      <c r="UU68" s="4"/>
      <c r="UV68" s="4"/>
      <c r="UW68" s="5"/>
      <c r="UX68" s="6"/>
      <c r="UY68" s="4"/>
      <c r="UZ68" s="4"/>
      <c r="VA68" s="4"/>
      <c r="VB68" s="4"/>
      <c r="VC68" s="4"/>
      <c r="VD68" s="5"/>
      <c r="VE68" s="6"/>
      <c r="VF68" s="4"/>
      <c r="VG68" s="4"/>
      <c r="VH68" s="4"/>
      <c r="VI68" s="4"/>
      <c r="VJ68" s="4"/>
      <c r="VK68" s="5"/>
      <c r="VL68" s="6"/>
      <c r="VM68" s="4"/>
      <c r="VN68" s="4"/>
      <c r="VO68" s="4"/>
      <c r="VP68" s="4"/>
      <c r="VQ68" s="4"/>
      <c r="VR68" s="5"/>
      <c r="VS68" s="6"/>
      <c r="VT68" s="4"/>
      <c r="VU68" s="4"/>
      <c r="VV68" s="4"/>
      <c r="VW68" s="4"/>
      <c r="VX68" s="4"/>
      <c r="VY68" s="5"/>
      <c r="VZ68" s="6"/>
      <c r="WA68" s="4"/>
      <c r="WB68" s="4"/>
      <c r="WC68" s="4"/>
      <c r="WD68" s="4"/>
      <c r="WE68" s="4"/>
      <c r="WF68" s="5"/>
      <c r="WG68" s="6"/>
      <c r="WH68" s="4"/>
      <c r="WI68" s="4"/>
      <c r="WJ68" s="4"/>
      <c r="WK68" s="4"/>
      <c r="WL68" s="4"/>
      <c r="WM68" s="5"/>
      <c r="WN68" s="6"/>
      <c r="WO68" s="4"/>
      <c r="WP68" s="4"/>
      <c r="WQ68" s="4"/>
      <c r="WR68" s="4"/>
      <c r="WS68" s="4"/>
      <c r="WT68" s="5"/>
      <c r="WU68" s="6"/>
      <c r="WV68" s="4"/>
      <c r="WW68" s="4"/>
      <c r="WX68" s="4"/>
      <c r="WY68" s="4"/>
      <c r="WZ68" s="4"/>
      <c r="XA68" s="5"/>
      <c r="XB68" s="6"/>
      <c r="XC68" s="4"/>
      <c r="XD68" s="4"/>
      <c r="XE68" s="4"/>
      <c r="XF68" s="4"/>
      <c r="XG68" s="4"/>
      <c r="XH68" s="5"/>
      <c r="XI68" s="6"/>
      <c r="XJ68" s="4"/>
      <c r="XK68" s="4"/>
      <c r="XL68" s="4"/>
      <c r="XM68" s="4"/>
      <c r="XN68" s="4"/>
      <c r="XO68" s="5"/>
      <c r="XP68" s="6" t="s">
        <v>2368</v>
      </c>
      <c r="XQ68" s="4" t="s">
        <v>2960</v>
      </c>
      <c r="XR68" s="4"/>
      <c r="XS68" s="4"/>
      <c r="XT68" s="4"/>
      <c r="XU68" s="4"/>
      <c r="XV68" s="5"/>
      <c r="XW68" s="6"/>
      <c r="XX68" s="4"/>
      <c r="XY68" s="4"/>
      <c r="XZ68" s="4"/>
      <c r="YA68" s="4"/>
      <c r="YB68" s="4"/>
      <c r="YC68" s="5"/>
      <c r="YD68" s="6"/>
      <c r="YE68" s="4"/>
      <c r="YF68" s="4"/>
      <c r="YG68" s="4"/>
      <c r="YH68" s="4"/>
      <c r="YI68" s="4"/>
      <c r="YJ68" s="5"/>
      <c r="YK68" s="6"/>
      <c r="YL68" s="4"/>
      <c r="YM68" s="4"/>
      <c r="YN68" s="4"/>
      <c r="YO68" s="4"/>
      <c r="YP68" s="4"/>
      <c r="YQ68" s="5"/>
      <c r="YR68" s="6"/>
      <c r="YS68" s="4"/>
      <c r="YT68" s="4"/>
      <c r="YU68" s="4"/>
      <c r="YV68" s="4"/>
      <c r="YW68" s="4"/>
      <c r="YX68" s="5"/>
      <c r="YY68" s="6"/>
      <c r="YZ68" s="4"/>
      <c r="ZA68" s="4"/>
      <c r="ZB68" s="4"/>
      <c r="ZC68" s="4"/>
      <c r="ZD68" s="4"/>
      <c r="ZE68" s="5"/>
      <c r="ZF68" s="6"/>
      <c r="ZG68" s="4"/>
      <c r="ZH68" s="4"/>
      <c r="ZI68" s="4"/>
      <c r="ZJ68" s="4"/>
      <c r="ZK68" s="4"/>
      <c r="ZL68" s="5"/>
      <c r="ZM68" s="6"/>
      <c r="ZN68" s="4"/>
      <c r="ZO68" s="4"/>
      <c r="ZP68" s="4"/>
      <c r="ZQ68" s="4"/>
      <c r="ZR68" s="4"/>
      <c r="ZS68" s="5"/>
      <c r="ZT68" s="6"/>
      <c r="ZU68" s="4"/>
      <c r="ZV68" s="4"/>
      <c r="ZW68" s="4"/>
      <c r="ZX68" s="4"/>
      <c r="ZY68" s="4"/>
      <c r="ZZ68" s="5"/>
      <c r="AAA68" s="6"/>
      <c r="AAB68" s="4"/>
      <c r="AAC68" s="4"/>
      <c r="AAD68" s="4"/>
      <c r="AAE68" s="4"/>
      <c r="AAF68" s="4"/>
      <c r="AAG68" s="5"/>
      <c r="AAH68" s="6"/>
      <c r="AAI68" s="4"/>
      <c r="AAJ68" s="4"/>
      <c r="AAK68" s="4"/>
      <c r="AAL68" s="4"/>
      <c r="AAM68" s="4"/>
      <c r="AAN68" s="5"/>
      <c r="AAO68" s="6"/>
      <c r="AAP68" s="4"/>
      <c r="AAQ68" s="4"/>
      <c r="AAR68" s="4"/>
      <c r="AAS68" s="4"/>
      <c r="AAT68" s="4"/>
      <c r="AAU68" s="5"/>
      <c r="AAV68" s="6"/>
      <c r="AAW68" s="4"/>
      <c r="AAX68" s="4"/>
      <c r="AAY68" s="4"/>
      <c r="AAZ68" s="4"/>
      <c r="ABA68" s="4"/>
      <c r="ABB68" s="5"/>
      <c r="ABC68" s="6"/>
      <c r="ABD68" s="4"/>
      <c r="ABE68" s="4"/>
      <c r="ABF68" s="4"/>
      <c r="ABG68" s="4"/>
      <c r="ABH68" s="4"/>
      <c r="ABI68" s="5"/>
      <c r="ABJ68" s="6"/>
      <c r="ABK68" s="4"/>
      <c r="ABL68" s="4"/>
      <c r="ABM68" s="4"/>
      <c r="ABN68" s="4"/>
      <c r="ABO68" s="4"/>
      <c r="ABP68" s="5"/>
      <c r="ABQ68" s="6"/>
      <c r="ABR68" s="4"/>
      <c r="ABS68" s="4"/>
      <c r="ABT68" s="4"/>
      <c r="ABU68" s="4"/>
      <c r="ABV68" s="4"/>
      <c r="ABW68" s="5"/>
      <c r="ABX68" s="6"/>
      <c r="ABY68" s="4"/>
      <c r="ABZ68" s="4"/>
      <c r="ACA68" s="4"/>
      <c r="ACB68" s="4"/>
      <c r="ACC68" s="4"/>
      <c r="ACD68" s="5"/>
      <c r="ACE68" s="6"/>
      <c r="ACF68" s="4"/>
      <c r="ACG68" s="4"/>
      <c r="ACH68" s="4"/>
      <c r="ACI68" s="4"/>
      <c r="ACJ68" s="4"/>
      <c r="ACK68" s="5"/>
      <c r="ACL68" s="6"/>
      <c r="ACM68" s="4"/>
      <c r="ACN68" s="4"/>
      <c r="ACO68" s="4"/>
      <c r="ACP68" s="4"/>
      <c r="ACQ68" s="4"/>
      <c r="ACR68" s="5"/>
      <c r="ACS68" s="6"/>
      <c r="ACT68" s="4"/>
      <c r="ACU68" s="4"/>
      <c r="ACV68" s="4"/>
      <c r="ACW68" s="4"/>
      <c r="ACX68" s="4"/>
      <c r="ACY68" s="5"/>
    </row>
    <row r="69" spans="2:781" x14ac:dyDescent="0.25">
      <c r="B69" s="32">
        <v>95900243</v>
      </c>
      <c r="D69" t="s">
        <v>1782</v>
      </c>
      <c r="F69" s="23" t="s">
        <v>1789</v>
      </c>
      <c r="I69">
        <v>1</v>
      </c>
      <c r="J69" s="12"/>
      <c r="K69" s="12"/>
      <c r="L69" s="12"/>
      <c r="LL69" s="6"/>
      <c r="LM69" s="4"/>
      <c r="LN69" s="4"/>
      <c r="LO69" s="4"/>
      <c r="LP69" s="4"/>
      <c r="LQ69" s="4"/>
      <c r="LR69" s="5"/>
      <c r="LS69" s="6"/>
      <c r="LT69" s="4"/>
      <c r="LU69" s="4"/>
      <c r="LV69" s="4"/>
      <c r="LW69" s="4"/>
      <c r="LX69" s="4"/>
      <c r="LY69" s="5"/>
      <c r="LZ69" s="6" t="s">
        <v>2954</v>
      </c>
      <c r="MA69" s="7" t="s">
        <v>2234</v>
      </c>
      <c r="MB69" s="4"/>
      <c r="MC69" s="4"/>
      <c r="MD69" s="8"/>
      <c r="ME69" s="4"/>
      <c r="MF69" s="4"/>
      <c r="MG69" s="5"/>
      <c r="MH69" s="6"/>
      <c r="MI69" s="4"/>
      <c r="MJ69" s="4"/>
      <c r="MK69" s="4"/>
      <c r="ML69" s="4"/>
      <c r="MM69" s="4"/>
      <c r="MN69" s="5"/>
      <c r="MO69" s="6"/>
      <c r="MP69" s="4"/>
      <c r="MQ69" s="4"/>
      <c r="MR69" s="4"/>
      <c r="MS69" s="4"/>
      <c r="MT69" s="4"/>
      <c r="MU69" s="5"/>
      <c r="MV69" s="6"/>
      <c r="MW69" s="4"/>
      <c r="MX69" s="4"/>
      <c r="MY69" s="4"/>
      <c r="MZ69" s="4"/>
      <c r="NA69" s="4"/>
      <c r="NB69" s="5"/>
      <c r="NC69" s="6" t="s">
        <v>2708</v>
      </c>
      <c r="ND69" s="4" t="s">
        <v>2709</v>
      </c>
      <c r="NE69" s="4"/>
      <c r="NF69" s="4"/>
      <c r="NG69" s="4"/>
      <c r="NH69" s="4"/>
      <c r="NI69" s="5" t="s">
        <v>2710</v>
      </c>
      <c r="NJ69" s="6"/>
      <c r="NK69" s="4"/>
      <c r="NL69" s="4"/>
      <c r="NM69" s="4"/>
      <c r="NN69" s="4"/>
      <c r="NO69" s="4"/>
      <c r="NP69" s="5"/>
      <c r="NQ69" s="6"/>
      <c r="NR69" s="4"/>
      <c r="NS69" s="4"/>
      <c r="NT69" s="4"/>
      <c r="NU69" s="4"/>
      <c r="NV69" s="4"/>
      <c r="NW69" s="5"/>
      <c r="NX69" s="6"/>
      <c r="NY69" s="4"/>
      <c r="NZ69" s="4"/>
      <c r="OA69" s="4"/>
      <c r="OB69" s="4"/>
      <c r="OC69" s="4"/>
      <c r="OD69" s="5"/>
      <c r="OE69" s="6"/>
      <c r="OF69" s="4"/>
      <c r="OG69" s="4"/>
      <c r="OH69" s="4"/>
      <c r="OI69" s="4"/>
      <c r="OJ69" s="4"/>
      <c r="OK69" s="5"/>
      <c r="OL69" s="6"/>
      <c r="OM69" s="4"/>
      <c r="ON69" s="4"/>
      <c r="OO69" s="4"/>
      <c r="OP69" s="4"/>
      <c r="OQ69" s="4"/>
      <c r="OR69" s="5"/>
      <c r="OZ69" s="6"/>
      <c r="PA69" s="4"/>
      <c r="PB69" s="4"/>
      <c r="PC69" s="4"/>
      <c r="PD69" s="4"/>
      <c r="PE69" s="4"/>
      <c r="PF69" s="5"/>
      <c r="PG69" s="6"/>
      <c r="PH69" s="4"/>
      <c r="PI69" s="4"/>
      <c r="PJ69" s="4"/>
      <c r="PK69" s="4"/>
      <c r="PL69" s="4"/>
      <c r="PM69" s="5"/>
      <c r="PN69" s="6"/>
      <c r="PO69" s="4"/>
      <c r="PP69" s="4"/>
      <c r="PQ69" s="4"/>
      <c r="PR69" s="4"/>
      <c r="PS69" s="4"/>
      <c r="PT69" s="5"/>
      <c r="PU69" s="6"/>
      <c r="PV69" s="4"/>
      <c r="PW69" s="4"/>
      <c r="PX69" s="4"/>
      <c r="PY69" s="4"/>
      <c r="PZ69" s="4"/>
      <c r="QA69" s="5"/>
      <c r="QB69" s="6"/>
      <c r="QC69" s="4"/>
      <c r="QD69" s="4"/>
      <c r="QE69" s="4"/>
      <c r="QF69" s="4"/>
      <c r="QG69" s="4"/>
      <c r="QH69" s="5"/>
      <c r="QI69" s="6"/>
      <c r="QJ69" s="4"/>
      <c r="QK69" s="4"/>
      <c r="QL69" s="4"/>
      <c r="QM69" s="4"/>
      <c r="QN69" s="4"/>
      <c r="QO69" s="5"/>
      <c r="QP69" s="6"/>
      <c r="QQ69" s="4"/>
      <c r="QR69" s="4"/>
      <c r="QS69" s="4"/>
      <c r="QT69" s="4"/>
      <c r="QU69" s="4"/>
      <c r="QV69" s="5"/>
      <c r="QW69" s="6"/>
      <c r="QX69" s="4"/>
      <c r="QY69" s="4"/>
      <c r="QZ69" s="4"/>
      <c r="RA69" s="4"/>
      <c r="RB69" s="4"/>
      <c r="RC69" s="5"/>
      <c r="RD69" s="6"/>
      <c r="RE69" s="4"/>
      <c r="RF69" s="4"/>
      <c r="RG69" s="4"/>
      <c r="RH69" s="4"/>
      <c r="RI69" s="4"/>
      <c r="RJ69" s="5"/>
      <c r="RK69" s="6"/>
      <c r="RL69" s="4"/>
      <c r="RM69" s="4"/>
      <c r="RN69" s="4"/>
      <c r="RO69" s="4"/>
      <c r="RP69" s="4"/>
      <c r="RQ69" s="5"/>
      <c r="RR69" s="6"/>
      <c r="RS69" s="4"/>
      <c r="RT69" s="4"/>
      <c r="RU69" s="4"/>
      <c r="RV69" s="4"/>
      <c r="RW69" s="4"/>
      <c r="RX69" s="5"/>
      <c r="RY69" s="6"/>
      <c r="RZ69" s="4"/>
      <c r="SA69" s="4"/>
      <c r="SB69" s="4"/>
      <c r="SC69" s="4"/>
      <c r="SD69" s="4"/>
      <c r="SE69" s="5"/>
      <c r="SF69" s="6"/>
      <c r="SG69" s="4"/>
      <c r="SH69" s="4"/>
      <c r="SI69" s="4"/>
      <c r="SJ69" s="4"/>
      <c r="SK69" s="4"/>
      <c r="SL69" s="5"/>
      <c r="SM69" s="6"/>
      <c r="SN69" s="4"/>
      <c r="SO69" s="4"/>
      <c r="SP69" s="4"/>
      <c r="SQ69" s="4"/>
      <c r="SR69" s="4"/>
      <c r="SS69" s="5"/>
      <c r="ST69" s="6"/>
      <c r="SU69" s="4"/>
      <c r="SV69" s="4"/>
      <c r="SW69" s="4"/>
      <c r="SX69" s="4"/>
      <c r="SY69" s="4"/>
      <c r="SZ69" s="5"/>
      <c r="TA69" s="6"/>
      <c r="TB69" s="4"/>
      <c r="TC69" s="4"/>
      <c r="TD69" s="4"/>
      <c r="TE69" s="4"/>
      <c r="TF69" s="4"/>
      <c r="TG69" s="5"/>
      <c r="TH69" s="6"/>
      <c r="TI69" s="4"/>
      <c r="TJ69" s="4"/>
      <c r="TK69" s="4"/>
      <c r="TL69" s="4"/>
      <c r="TM69" s="4"/>
      <c r="TN69" s="5"/>
      <c r="TO69" s="6"/>
      <c r="TP69" s="4"/>
      <c r="TQ69" s="4"/>
      <c r="TR69" s="4"/>
      <c r="TS69" s="4"/>
      <c r="TT69" s="4"/>
      <c r="TU69" s="5"/>
      <c r="TV69" s="6"/>
      <c r="TW69" s="4"/>
      <c r="TX69" s="4"/>
      <c r="TY69" s="4"/>
      <c r="TZ69" s="4"/>
      <c r="UA69" s="4"/>
      <c r="UB69" s="5"/>
      <c r="UC69" s="6"/>
      <c r="UD69" s="4"/>
      <c r="UE69" s="4"/>
      <c r="UF69" s="4"/>
      <c r="UG69" s="4"/>
      <c r="UH69" s="4"/>
      <c r="UI69" s="5"/>
      <c r="UJ69" s="6"/>
      <c r="UK69" s="4"/>
      <c r="UL69" s="4"/>
      <c r="UM69" s="4"/>
      <c r="UN69" s="4"/>
      <c r="UO69" s="4"/>
      <c r="UP69" s="5"/>
      <c r="UQ69" s="6"/>
      <c r="UR69" s="4"/>
      <c r="US69" s="4"/>
      <c r="UT69" s="4"/>
      <c r="UU69" s="4"/>
      <c r="UV69" s="4"/>
      <c r="UW69" s="5"/>
      <c r="UX69" s="6"/>
      <c r="UY69" s="4"/>
      <c r="UZ69" s="4"/>
      <c r="VA69" s="4"/>
      <c r="VB69" s="4"/>
      <c r="VC69" s="4"/>
      <c r="VD69" s="5"/>
      <c r="VE69" s="6"/>
      <c r="VF69" s="4"/>
      <c r="VG69" s="4"/>
      <c r="VH69" s="4"/>
      <c r="VI69" s="4"/>
      <c r="VJ69" s="4"/>
      <c r="VK69" s="5"/>
      <c r="VL69" s="6"/>
      <c r="VM69" s="4"/>
      <c r="VN69" s="4"/>
      <c r="VO69" s="4"/>
      <c r="VP69" s="4"/>
      <c r="VQ69" s="4"/>
      <c r="VR69" s="5"/>
      <c r="VS69" s="6"/>
      <c r="VT69" s="4"/>
      <c r="VU69" s="4"/>
      <c r="VV69" s="4"/>
      <c r="VW69" s="4"/>
      <c r="VX69" s="4"/>
      <c r="VY69" s="5"/>
      <c r="VZ69" s="6"/>
      <c r="WA69" s="4"/>
      <c r="WB69" s="4"/>
      <c r="WC69" s="4"/>
      <c r="WD69" s="4"/>
      <c r="WE69" s="4"/>
      <c r="WF69" s="5"/>
      <c r="WG69" s="6"/>
      <c r="WH69" s="4"/>
      <c r="WI69" s="4"/>
      <c r="WJ69" s="4"/>
      <c r="WK69" s="4"/>
      <c r="WL69" s="4"/>
      <c r="WM69" s="5"/>
      <c r="WN69" s="6"/>
      <c r="WO69" s="4"/>
      <c r="WP69" s="4"/>
      <c r="WQ69" s="4"/>
      <c r="WR69" s="4"/>
      <c r="WS69" s="4"/>
      <c r="WT69" s="5"/>
      <c r="WU69" s="6"/>
      <c r="WV69" s="4"/>
      <c r="WW69" s="4"/>
      <c r="WX69" s="4"/>
      <c r="WY69" s="4"/>
      <c r="WZ69" s="4"/>
      <c r="XA69" s="5"/>
      <c r="XB69" s="6"/>
      <c r="XC69" s="4"/>
      <c r="XD69" s="4"/>
      <c r="XE69" s="4"/>
      <c r="XF69" s="4"/>
      <c r="XG69" s="4"/>
      <c r="XH69" s="5"/>
      <c r="XI69" s="6"/>
      <c r="XJ69" s="4"/>
      <c r="XK69" s="4"/>
      <c r="XL69" s="4"/>
      <c r="XM69" s="4"/>
      <c r="XN69" s="4"/>
      <c r="XO69" s="5"/>
      <c r="XP69" s="6"/>
      <c r="XQ69" s="4"/>
      <c r="XR69" s="4"/>
      <c r="XS69" s="4"/>
      <c r="XT69" s="4"/>
      <c r="XU69" s="4"/>
      <c r="XV69" s="5"/>
      <c r="XW69" s="6"/>
      <c r="XX69" s="4"/>
      <c r="XY69" s="4"/>
      <c r="XZ69" s="4"/>
      <c r="YA69" s="4"/>
      <c r="YB69" s="4"/>
      <c r="YC69" s="5"/>
      <c r="YD69" s="6"/>
      <c r="YE69" s="4"/>
      <c r="YF69" s="4"/>
      <c r="YG69" s="4"/>
      <c r="YH69" s="4"/>
      <c r="YI69" s="4"/>
      <c r="YJ69" s="5"/>
      <c r="YK69" s="6"/>
      <c r="YL69" s="4"/>
      <c r="YM69" s="4"/>
      <c r="YN69" s="4"/>
      <c r="YO69" s="4"/>
      <c r="YP69" s="4"/>
      <c r="YQ69" s="5"/>
      <c r="YR69" s="6"/>
      <c r="YS69" s="4"/>
      <c r="YT69" s="4"/>
      <c r="YU69" s="4"/>
      <c r="YV69" s="4"/>
      <c r="YW69" s="4"/>
      <c r="YX69" s="5"/>
      <c r="YY69" s="6"/>
      <c r="YZ69" s="4"/>
      <c r="ZA69" s="4"/>
      <c r="ZB69" s="4"/>
      <c r="ZC69" s="4"/>
      <c r="ZD69" s="4"/>
      <c r="ZE69" s="5"/>
      <c r="ZF69" s="6"/>
      <c r="ZG69" s="4"/>
      <c r="ZH69" s="4"/>
      <c r="ZI69" s="4"/>
      <c r="ZJ69" s="4"/>
      <c r="ZK69" s="4"/>
      <c r="ZL69" s="5"/>
      <c r="ZM69" s="6"/>
      <c r="ZN69" s="4"/>
      <c r="ZO69" s="4"/>
      <c r="ZP69" s="4"/>
      <c r="ZQ69" s="4"/>
      <c r="ZR69" s="4"/>
      <c r="ZS69" s="5"/>
      <c r="ZT69" s="6"/>
      <c r="ZU69" s="4"/>
      <c r="ZV69" s="4"/>
      <c r="ZW69" s="4"/>
      <c r="ZX69" s="4"/>
      <c r="ZY69" s="4"/>
      <c r="ZZ69" s="5"/>
      <c r="AAA69" s="6"/>
      <c r="AAB69" s="4"/>
      <c r="AAC69" s="4"/>
      <c r="AAD69" s="4"/>
      <c r="AAE69" s="4"/>
      <c r="AAF69" s="4"/>
      <c r="AAG69" s="5"/>
      <c r="AAH69" s="6"/>
      <c r="AAI69" s="4"/>
      <c r="AAJ69" s="4"/>
      <c r="AAK69" s="4"/>
      <c r="AAL69" s="4"/>
      <c r="AAM69" s="4"/>
      <c r="AAN69" s="5"/>
      <c r="AAO69" s="6"/>
      <c r="AAP69" s="4"/>
      <c r="AAQ69" s="4"/>
      <c r="AAR69" s="4"/>
      <c r="AAS69" s="4"/>
      <c r="AAT69" s="4"/>
      <c r="AAU69" s="5"/>
      <c r="AAV69" s="6"/>
      <c r="AAW69" s="4"/>
      <c r="AAX69" s="4"/>
      <c r="AAY69" s="4"/>
      <c r="AAZ69" s="4"/>
      <c r="ABA69" s="4"/>
      <c r="ABB69" s="5"/>
      <c r="ABC69" s="6"/>
      <c r="ABD69" s="4"/>
      <c r="ABE69" s="4"/>
      <c r="ABF69" s="4"/>
      <c r="ABG69" s="4"/>
      <c r="ABH69" s="4"/>
      <c r="ABI69" s="5"/>
      <c r="ABJ69" s="6"/>
      <c r="ABK69" s="4"/>
      <c r="ABL69" s="4"/>
      <c r="ABM69" s="4"/>
      <c r="ABN69" s="4"/>
      <c r="ABO69" s="4"/>
      <c r="ABP69" s="5"/>
      <c r="ABQ69" s="6" t="s">
        <v>2369</v>
      </c>
      <c r="ABR69" s="4" t="s">
        <v>2953</v>
      </c>
      <c r="ABS69" s="4"/>
      <c r="ABT69" s="4"/>
      <c r="ABU69" s="4"/>
      <c r="ABV69" s="4"/>
      <c r="ABW69" s="5" t="s">
        <v>2523</v>
      </c>
      <c r="ABX69" s="6"/>
      <c r="ABY69" s="4"/>
      <c r="ABZ69" s="4"/>
      <c r="ACA69" s="4"/>
      <c r="ACB69" s="4"/>
      <c r="ACC69" s="4"/>
      <c r="ACD69" s="5"/>
      <c r="ACE69" s="6"/>
      <c r="ACF69" s="4"/>
      <c r="ACG69" s="4"/>
      <c r="ACH69" s="4"/>
      <c r="ACI69" s="4"/>
      <c r="ACJ69" s="4"/>
      <c r="ACK69" s="5"/>
      <c r="ACL69" s="6"/>
      <c r="ACM69" s="4"/>
      <c r="ACN69" s="4"/>
      <c r="ACO69" s="4"/>
      <c r="ACP69" s="4"/>
      <c r="ACQ69" s="4"/>
      <c r="ACR69" s="5"/>
      <c r="ACS69" s="6"/>
      <c r="ACT69" s="4"/>
      <c r="ACU69" s="4"/>
      <c r="ACV69" s="4"/>
      <c r="ACW69" s="4"/>
      <c r="ACX69" s="4"/>
      <c r="ACY69" s="5"/>
    </row>
    <row r="70" spans="2:781" x14ac:dyDescent="0.25">
      <c r="B70" s="30"/>
      <c r="J70" s="12"/>
      <c r="K70" s="12"/>
      <c r="L70" s="12"/>
      <c r="LL70" s="6"/>
      <c r="LM70" s="4"/>
      <c r="LN70" s="4"/>
      <c r="LO70" s="4"/>
      <c r="LP70" s="4"/>
      <c r="LQ70" s="4"/>
      <c r="LR70" s="5"/>
      <c r="LS70" s="6"/>
      <c r="LT70" s="4"/>
      <c r="LU70" s="4"/>
      <c r="LV70" s="4"/>
      <c r="LW70" s="4"/>
      <c r="LX70" s="4"/>
      <c r="LY70" s="5"/>
      <c r="LZ70" s="6" t="s">
        <v>2711</v>
      </c>
      <c r="MA70" s="7" t="s">
        <v>2234</v>
      </c>
      <c r="MB70" s="4"/>
      <c r="MC70" s="4"/>
      <c r="MD70" s="8"/>
      <c r="ME70" s="4"/>
      <c r="MF70" s="4"/>
      <c r="MG70" s="5"/>
      <c r="MH70" s="6"/>
      <c r="MI70" s="4"/>
      <c r="MJ70" s="4"/>
      <c r="MK70" s="4"/>
      <c r="ML70" s="4"/>
      <c r="MM70" s="4"/>
      <c r="MN70" s="5"/>
      <c r="MO70" s="6"/>
      <c r="MP70" s="4"/>
      <c r="MQ70" s="4"/>
      <c r="MR70" s="4"/>
      <c r="MS70" s="4"/>
      <c r="MT70" s="4"/>
      <c r="MU70" s="5"/>
      <c r="MV70" s="6"/>
      <c r="MW70" s="4"/>
      <c r="MX70" s="4"/>
      <c r="MY70" s="4"/>
      <c r="MZ70" s="4"/>
      <c r="NA70" s="4"/>
      <c r="NB70" s="5"/>
      <c r="NC70" s="6"/>
      <c r="ND70" s="4"/>
      <c r="NE70" s="4"/>
      <c r="NF70" s="4"/>
      <c r="NG70" s="4"/>
      <c r="NH70" s="4"/>
      <c r="NI70" s="5"/>
      <c r="NJ70" s="6"/>
      <c r="NK70" s="4"/>
      <c r="NL70" s="4"/>
      <c r="NM70" s="4"/>
      <c r="NN70" s="4"/>
      <c r="NO70" s="4"/>
      <c r="NP70" s="5"/>
      <c r="NQ70" s="6"/>
      <c r="NR70" s="4"/>
      <c r="NS70" s="4"/>
      <c r="NT70" s="4"/>
      <c r="NU70" s="4"/>
      <c r="NV70" s="4"/>
      <c r="NW70" s="5"/>
      <c r="NX70" s="6"/>
      <c r="NY70" s="4"/>
      <c r="NZ70" s="4"/>
      <c r="OA70" s="4"/>
      <c r="OB70" s="4"/>
      <c r="OC70" s="4"/>
      <c r="OD70" s="5"/>
      <c r="OE70" s="6"/>
      <c r="OF70" s="4"/>
      <c r="OG70" s="4"/>
      <c r="OH70" s="4"/>
      <c r="OI70" s="4"/>
      <c r="OJ70" s="4"/>
      <c r="OK70" s="5"/>
      <c r="OL70" s="6"/>
      <c r="OM70" s="4"/>
      <c r="ON70" s="4"/>
      <c r="OO70" s="4"/>
      <c r="OP70" s="4"/>
      <c r="OQ70" s="4"/>
      <c r="OR70" s="5"/>
      <c r="OS70" s="6"/>
      <c r="OT70" s="4"/>
      <c r="OU70" s="4"/>
      <c r="OV70" s="4"/>
      <c r="OW70" s="4"/>
      <c r="OX70" s="4"/>
      <c r="OY70" s="5"/>
      <c r="OZ70" s="6"/>
      <c r="PA70" s="4"/>
      <c r="PB70" s="4"/>
      <c r="PC70" s="4"/>
      <c r="PD70" s="4"/>
      <c r="PE70" s="4"/>
      <c r="PF70" s="5"/>
      <c r="PG70" s="6"/>
      <c r="PH70" s="4"/>
      <c r="PI70" s="4"/>
      <c r="PJ70" s="4"/>
      <c r="PK70" s="4"/>
      <c r="PL70" s="4"/>
      <c r="PM70" s="5"/>
      <c r="PN70" s="6"/>
      <c r="PO70" s="4"/>
      <c r="PP70" s="4"/>
      <c r="PQ70" s="4"/>
      <c r="PR70" s="4"/>
      <c r="PS70" s="4"/>
      <c r="PT70" s="5"/>
      <c r="PU70" s="6"/>
      <c r="PV70" s="4"/>
      <c r="PW70" s="4"/>
      <c r="PX70" s="4"/>
      <c r="PY70" s="4"/>
      <c r="PZ70" s="4"/>
      <c r="QA70" s="5"/>
      <c r="QB70" s="6"/>
      <c r="QC70" s="4"/>
      <c r="QD70" s="4"/>
      <c r="QE70" s="4"/>
      <c r="QF70" s="4"/>
      <c r="QG70" s="4"/>
      <c r="QH70" s="5"/>
      <c r="QI70" s="6"/>
      <c r="QJ70" s="4"/>
      <c r="QK70" s="4"/>
      <c r="QL70" s="4"/>
      <c r="QM70" s="4"/>
      <c r="QN70" s="4"/>
      <c r="QO70" s="5"/>
      <c r="QP70" s="6"/>
      <c r="QQ70" s="4"/>
      <c r="QR70" s="4"/>
      <c r="QS70" s="4"/>
      <c r="QT70" s="4"/>
      <c r="QU70" s="4"/>
      <c r="QV70" s="5"/>
      <c r="QW70" s="6"/>
      <c r="QX70" s="4"/>
      <c r="QY70" s="4"/>
      <c r="QZ70" s="4"/>
      <c r="RA70" s="4"/>
      <c r="RB70" s="4"/>
      <c r="RC70" s="5"/>
      <c r="RD70" s="6"/>
      <c r="RE70" s="4"/>
      <c r="RF70" s="4"/>
      <c r="RG70" s="4"/>
      <c r="RH70" s="4"/>
      <c r="RI70" s="4"/>
      <c r="RJ70" s="5"/>
      <c r="RK70" s="6"/>
      <c r="RL70" s="4"/>
      <c r="RM70" s="4"/>
      <c r="RN70" s="4"/>
      <c r="RO70" s="4"/>
      <c r="RP70" s="4"/>
      <c r="RQ70" s="5"/>
      <c r="RR70" s="6"/>
      <c r="RS70" s="4"/>
      <c r="RT70" s="4"/>
      <c r="RU70" s="4"/>
      <c r="RV70" s="4"/>
      <c r="RW70" s="4"/>
      <c r="RX70" s="5"/>
      <c r="RY70" s="6"/>
      <c r="RZ70" s="4"/>
      <c r="SA70" s="4"/>
      <c r="SB70" s="4"/>
      <c r="SC70" s="4"/>
      <c r="SD70" s="4"/>
      <c r="SE70" s="5"/>
      <c r="SF70" s="6"/>
      <c r="SG70" s="4"/>
      <c r="SH70" s="4"/>
      <c r="SI70" s="4"/>
      <c r="SJ70" s="4"/>
      <c r="SK70" s="4"/>
      <c r="SL70" s="5"/>
      <c r="SM70" s="6"/>
      <c r="SN70" s="4"/>
      <c r="SO70" s="4"/>
      <c r="SP70" s="4"/>
      <c r="SQ70" s="4"/>
      <c r="SR70" s="4"/>
      <c r="SS70" s="5"/>
      <c r="ST70" s="6"/>
      <c r="SU70" s="4"/>
      <c r="SV70" s="4"/>
      <c r="SW70" s="4"/>
      <c r="SX70" s="4"/>
      <c r="SY70" s="4"/>
      <c r="SZ70" s="5"/>
      <c r="TA70" s="6"/>
      <c r="TB70" s="4"/>
      <c r="TC70" s="4"/>
      <c r="TD70" s="4"/>
      <c r="TE70" s="4"/>
      <c r="TF70" s="4"/>
      <c r="TG70" s="5"/>
      <c r="TH70" s="6"/>
      <c r="TI70" s="4"/>
      <c r="TJ70" s="4"/>
      <c r="TK70" s="4"/>
      <c r="TL70" s="4"/>
      <c r="TM70" s="4"/>
      <c r="TN70" s="5"/>
      <c r="TO70" s="6"/>
      <c r="TP70" s="4"/>
      <c r="TQ70" s="4"/>
      <c r="TR70" s="4"/>
      <c r="TS70" s="4"/>
      <c r="TT70" s="4"/>
      <c r="TU70" s="5"/>
      <c r="TV70" s="6"/>
      <c r="TW70" s="4"/>
      <c r="TX70" s="4"/>
      <c r="TY70" s="4"/>
      <c r="TZ70" s="4"/>
      <c r="UA70" s="4"/>
      <c r="UB70" s="5"/>
      <c r="UC70" s="6"/>
      <c r="UD70" s="4"/>
      <c r="UE70" s="4"/>
      <c r="UF70" s="4"/>
      <c r="UG70" s="4"/>
      <c r="UH70" s="4"/>
      <c r="UI70" s="5"/>
      <c r="UJ70" s="6"/>
      <c r="UK70" s="4"/>
      <c r="UL70" s="4"/>
      <c r="UM70" s="4"/>
      <c r="UN70" s="4"/>
      <c r="UO70" s="4"/>
      <c r="UP70" s="5"/>
      <c r="UQ70" s="6"/>
      <c r="UR70" s="4"/>
      <c r="US70" s="4"/>
      <c r="UT70" s="4"/>
      <c r="UU70" s="4"/>
      <c r="UV70" s="4"/>
      <c r="UW70" s="5"/>
      <c r="UX70" s="6"/>
      <c r="UY70" s="4"/>
      <c r="UZ70" s="4"/>
      <c r="VA70" s="4"/>
      <c r="VB70" s="4"/>
      <c r="VC70" s="4"/>
      <c r="VD70" s="5"/>
      <c r="VE70" s="6"/>
      <c r="VF70" s="4"/>
      <c r="VG70" s="4"/>
      <c r="VH70" s="4"/>
      <c r="VI70" s="4"/>
      <c r="VJ70" s="4"/>
      <c r="VK70" s="5"/>
      <c r="VL70" s="6"/>
      <c r="VM70" s="4"/>
      <c r="VN70" s="4"/>
      <c r="VO70" s="4"/>
      <c r="VP70" s="4"/>
      <c r="VQ70" s="4"/>
      <c r="VR70" s="5"/>
      <c r="VS70" s="6"/>
      <c r="VT70" s="4"/>
      <c r="VU70" s="4"/>
      <c r="VV70" s="4"/>
      <c r="VW70" s="4"/>
      <c r="VX70" s="4"/>
      <c r="VY70" s="5"/>
      <c r="VZ70" s="6"/>
      <c r="WA70" s="4"/>
      <c r="WB70" s="4"/>
      <c r="WC70" s="4"/>
      <c r="WD70" s="4"/>
      <c r="WE70" s="4"/>
      <c r="WF70" s="5"/>
      <c r="WG70" s="6"/>
      <c r="WH70" s="4"/>
      <c r="WI70" s="4"/>
      <c r="WJ70" s="4"/>
      <c r="WK70" s="4"/>
      <c r="WL70" s="4"/>
      <c r="WM70" s="5"/>
      <c r="WN70" s="6"/>
      <c r="WO70" s="4"/>
      <c r="WP70" s="4"/>
      <c r="WQ70" s="4"/>
      <c r="WR70" s="4"/>
      <c r="WS70" s="4"/>
      <c r="WT70" s="5"/>
      <c r="WU70" s="6"/>
      <c r="WV70" s="4"/>
      <c r="WW70" s="4"/>
      <c r="WX70" s="4"/>
      <c r="WY70" s="4"/>
      <c r="WZ70" s="4"/>
      <c r="XA70" s="5"/>
      <c r="XB70" s="6"/>
      <c r="XC70" s="4"/>
      <c r="XD70" s="4"/>
      <c r="XE70" s="4"/>
      <c r="XF70" s="4"/>
      <c r="XG70" s="4"/>
      <c r="XH70" s="5"/>
      <c r="XI70" s="6"/>
      <c r="XJ70" s="4"/>
      <c r="XK70" s="4"/>
      <c r="XL70" s="4"/>
      <c r="XM70" s="4"/>
      <c r="XN70" s="4"/>
      <c r="XO70" s="5"/>
      <c r="XP70" s="6"/>
      <c r="XQ70" s="4"/>
      <c r="XR70" s="4"/>
      <c r="XS70" s="4"/>
      <c r="XT70" s="4"/>
      <c r="XU70" s="4"/>
      <c r="XV70" s="5"/>
      <c r="XW70" s="6"/>
      <c r="XX70" s="4"/>
      <c r="XY70" s="4"/>
      <c r="XZ70" s="4"/>
      <c r="YA70" s="4"/>
      <c r="YB70" s="4"/>
      <c r="YC70" s="5"/>
      <c r="YD70" s="6"/>
      <c r="YE70" s="4"/>
      <c r="YF70" s="4"/>
      <c r="YG70" s="4"/>
      <c r="YH70" s="4"/>
      <c r="YI70" s="4"/>
      <c r="YJ70" s="5"/>
      <c r="YK70" s="6"/>
      <c r="YL70" s="4"/>
      <c r="YM70" s="4"/>
      <c r="YN70" s="4"/>
      <c r="YO70" s="4"/>
      <c r="YP70" s="4"/>
      <c r="YQ70" s="5"/>
      <c r="YR70" s="6"/>
      <c r="YS70" s="4"/>
      <c r="YT70" s="4"/>
      <c r="YU70" s="4"/>
      <c r="YV70" s="4"/>
      <c r="YW70" s="4"/>
      <c r="YX70" s="5"/>
      <c r="YY70" s="6"/>
      <c r="YZ70" s="4"/>
      <c r="ZA70" s="4"/>
      <c r="ZB70" s="4"/>
      <c r="ZC70" s="4"/>
      <c r="ZD70" s="4"/>
      <c r="ZE70" s="5"/>
      <c r="ZF70" s="6"/>
      <c r="ZG70" s="4"/>
      <c r="ZH70" s="4"/>
      <c r="ZI70" s="4"/>
      <c r="ZJ70" s="4"/>
      <c r="ZK70" s="4"/>
      <c r="ZL70" s="5"/>
      <c r="ZM70" s="6"/>
      <c r="ZN70" s="4"/>
      <c r="ZO70" s="4"/>
      <c r="ZP70" s="4"/>
      <c r="ZQ70" s="4"/>
      <c r="ZR70" s="4"/>
      <c r="ZS70" s="5"/>
      <c r="ZT70" s="6"/>
      <c r="ZU70" s="4"/>
      <c r="ZV70" s="4"/>
      <c r="ZW70" s="4"/>
      <c r="ZX70" s="4"/>
      <c r="ZY70" s="4"/>
      <c r="ZZ70" s="5"/>
      <c r="AAA70" s="6"/>
      <c r="AAB70" s="4"/>
      <c r="AAC70" s="4"/>
      <c r="AAD70" s="4"/>
      <c r="AAE70" s="4"/>
      <c r="AAF70" s="4"/>
      <c r="AAG70" s="5"/>
      <c r="AAH70" s="6"/>
      <c r="AAI70" s="4"/>
      <c r="AAJ70" s="4"/>
      <c r="AAK70" s="4"/>
      <c r="AAL70" s="4"/>
      <c r="AAM70" s="4"/>
      <c r="AAN70" s="5"/>
      <c r="AAO70" s="6"/>
      <c r="AAP70" s="4"/>
      <c r="AAQ70" s="4"/>
      <c r="AAR70" s="4"/>
      <c r="AAS70" s="4"/>
      <c r="AAT70" s="4"/>
      <c r="AAU70" s="5"/>
      <c r="AAV70" s="6"/>
      <c r="AAW70" s="4"/>
      <c r="AAX70" s="4"/>
      <c r="AAY70" s="4"/>
      <c r="AAZ70" s="4"/>
      <c r="ABA70" s="4"/>
      <c r="ABB70" s="5"/>
      <c r="ABC70" s="6"/>
      <c r="ABD70" s="4"/>
      <c r="ABE70" s="4"/>
      <c r="ABF70" s="4"/>
      <c r="ABG70" s="4"/>
      <c r="ABH70" s="4"/>
      <c r="ABI70" s="5"/>
      <c r="ABJ70" s="6"/>
      <c r="ABK70" s="4"/>
      <c r="ABL70" s="4"/>
      <c r="ABM70" s="4"/>
      <c r="ABN70" s="4"/>
      <c r="ABO70" s="4"/>
      <c r="ABP70" s="5"/>
      <c r="ABQ70" s="6" t="s">
        <v>2715</v>
      </c>
      <c r="ABR70" s="4" t="s">
        <v>2697</v>
      </c>
      <c r="ABS70" s="4"/>
      <c r="ABT70" s="4"/>
      <c r="ABU70" s="4"/>
      <c r="ABV70" s="4"/>
      <c r="ABW70" s="5"/>
      <c r="ABX70" s="6"/>
      <c r="ABY70" s="4"/>
      <c r="ABZ70" s="4"/>
      <c r="ACA70" s="4"/>
      <c r="ACB70" s="4"/>
      <c r="ACC70" s="4"/>
      <c r="ACD70" s="5"/>
      <c r="ACE70" s="6"/>
      <c r="ACF70" s="4"/>
      <c r="ACG70" s="4"/>
      <c r="ACH70" s="4"/>
      <c r="ACI70" s="4"/>
      <c r="ACJ70" s="4"/>
      <c r="ACK70" s="5"/>
      <c r="ACL70" s="6"/>
      <c r="ACM70" s="4"/>
      <c r="ACN70" s="4"/>
      <c r="ACO70" s="4"/>
      <c r="ACP70" s="4"/>
      <c r="ACQ70" s="4"/>
      <c r="ACR70" s="5"/>
      <c r="ACS70" s="6"/>
      <c r="ACT70" s="4"/>
      <c r="ACU70" s="4"/>
      <c r="ACV70" s="4"/>
      <c r="ACW70" s="4"/>
      <c r="ACX70" s="4"/>
      <c r="ACY70" s="5"/>
    </row>
    <row r="71" spans="2:781" x14ac:dyDescent="0.25">
      <c r="B71" s="30"/>
      <c r="J71" s="12"/>
      <c r="K71" s="12"/>
      <c r="L71" s="12"/>
      <c r="LL71" s="6"/>
      <c r="LM71" s="4"/>
      <c r="LN71" s="4"/>
      <c r="LO71" s="4"/>
      <c r="LP71" s="4"/>
      <c r="LQ71" s="4"/>
      <c r="LR71" s="5"/>
      <c r="LS71" s="6"/>
      <c r="LT71" s="4"/>
      <c r="LU71" s="4"/>
      <c r="LV71" s="4"/>
      <c r="LW71" s="4"/>
      <c r="LX71" s="4"/>
      <c r="LY71" s="5"/>
      <c r="LZ71" s="6" t="s">
        <v>2693</v>
      </c>
      <c r="MA71" s="7" t="s">
        <v>2693</v>
      </c>
      <c r="MB71" s="4"/>
      <c r="MC71" s="4"/>
      <c r="MD71" s="8"/>
      <c r="ME71" s="4"/>
      <c r="MF71" s="4"/>
      <c r="MG71" s="5"/>
      <c r="MH71" s="6"/>
      <c r="MI71" s="4"/>
      <c r="MJ71" s="4"/>
      <c r="MK71" s="4"/>
      <c r="ML71" s="4"/>
      <c r="MM71" s="4"/>
      <c r="MN71" s="5"/>
      <c r="MO71" s="6"/>
      <c r="MP71" s="4"/>
      <c r="MQ71" s="4"/>
      <c r="MR71" s="4"/>
      <c r="MS71" s="4"/>
      <c r="MT71" s="4"/>
      <c r="MU71" s="5"/>
      <c r="MV71" s="6"/>
      <c r="MW71" s="4"/>
      <c r="MX71" s="4"/>
      <c r="MY71" s="4"/>
      <c r="MZ71" s="4"/>
      <c r="NA71" s="4"/>
      <c r="NB71" s="5"/>
      <c r="NC71" s="6"/>
      <c r="ND71" s="4"/>
      <c r="NE71" s="4"/>
      <c r="NF71" s="4"/>
      <c r="NG71" s="4"/>
      <c r="NH71" s="4"/>
      <c r="NI71" s="5"/>
      <c r="NJ71" s="6"/>
      <c r="NK71" s="4"/>
      <c r="NL71" s="4"/>
      <c r="NM71" s="4"/>
      <c r="NN71" s="4"/>
      <c r="NO71" s="4"/>
      <c r="NP71" s="5"/>
      <c r="NQ71" s="6"/>
      <c r="NR71" s="4"/>
      <c r="NS71" s="4"/>
      <c r="NT71" s="4"/>
      <c r="NU71" s="4"/>
      <c r="NV71" s="4"/>
      <c r="NW71" s="5"/>
      <c r="NX71" s="6"/>
      <c r="NY71" s="4"/>
      <c r="NZ71" s="4"/>
      <c r="OA71" s="4"/>
      <c r="OB71" s="4"/>
      <c r="OC71" s="4"/>
      <c r="OD71" s="5"/>
      <c r="OE71" s="6"/>
      <c r="OF71" s="4"/>
      <c r="OG71" s="4"/>
      <c r="OH71" s="4"/>
      <c r="OI71" s="4"/>
      <c r="OJ71" s="4"/>
      <c r="OK71" s="5"/>
      <c r="OL71" s="6"/>
      <c r="OM71" s="4"/>
      <c r="ON71" s="4"/>
      <c r="OO71" s="4"/>
      <c r="OP71" s="4"/>
      <c r="OQ71" s="4"/>
      <c r="OR71" s="5"/>
      <c r="OS71" s="6"/>
      <c r="OT71" s="4"/>
      <c r="OU71" s="4"/>
      <c r="OV71" s="4"/>
      <c r="OW71" s="4"/>
      <c r="OX71" s="4"/>
      <c r="OY71" s="5"/>
      <c r="OZ71" s="6"/>
      <c r="PA71" s="4"/>
      <c r="PB71" s="4"/>
      <c r="PC71" s="4"/>
      <c r="PD71" s="4"/>
      <c r="PE71" s="4"/>
      <c r="PF71" s="5"/>
      <c r="PG71" s="6"/>
      <c r="PH71" s="4"/>
      <c r="PI71" s="4"/>
      <c r="PJ71" s="4"/>
      <c r="PK71" s="4"/>
      <c r="PL71" s="4"/>
      <c r="PM71" s="5"/>
      <c r="PN71" s="6"/>
      <c r="PO71" s="4"/>
      <c r="PP71" s="4"/>
      <c r="PQ71" s="4"/>
      <c r="PR71" s="4"/>
      <c r="PS71" s="4"/>
      <c r="PT71" s="5"/>
      <c r="PU71" s="6"/>
      <c r="PV71" s="4"/>
      <c r="PW71" s="4"/>
      <c r="PX71" s="4"/>
      <c r="PY71" s="4"/>
      <c r="PZ71" s="4"/>
      <c r="QA71" s="5"/>
      <c r="QB71" s="6"/>
      <c r="QC71" s="4"/>
      <c r="QD71" s="4"/>
      <c r="QE71" s="4"/>
      <c r="QF71" s="4"/>
      <c r="QG71" s="4"/>
      <c r="QH71" s="5"/>
      <c r="QI71" s="6"/>
      <c r="QJ71" s="4"/>
      <c r="QK71" s="4"/>
      <c r="QL71" s="4"/>
      <c r="QM71" s="4"/>
      <c r="QN71" s="4"/>
      <c r="QO71" s="5"/>
      <c r="QP71" s="6"/>
      <c r="QQ71" s="4"/>
      <c r="QR71" s="4"/>
      <c r="QS71" s="4"/>
      <c r="QT71" s="4"/>
      <c r="QU71" s="4"/>
      <c r="QV71" s="5"/>
      <c r="QW71" s="6"/>
      <c r="QX71" s="4"/>
      <c r="QY71" s="4"/>
      <c r="QZ71" s="4"/>
      <c r="RA71" s="4"/>
      <c r="RB71" s="4"/>
      <c r="RC71" s="5"/>
      <c r="RD71" s="6"/>
      <c r="RE71" s="4"/>
      <c r="RF71" s="4"/>
      <c r="RG71" s="4"/>
      <c r="RH71" s="4"/>
      <c r="RI71" s="4"/>
      <c r="RJ71" s="5"/>
      <c r="RK71" s="6"/>
      <c r="RL71" s="4"/>
      <c r="RM71" s="4"/>
      <c r="RN71" s="4"/>
      <c r="RO71" s="4"/>
      <c r="RP71" s="4"/>
      <c r="RQ71" s="5"/>
      <c r="RR71" s="6"/>
      <c r="RS71" s="4"/>
      <c r="RT71" s="4"/>
      <c r="RU71" s="4"/>
      <c r="RV71" s="4"/>
      <c r="RW71" s="4"/>
      <c r="RX71" s="5"/>
      <c r="RY71" s="6"/>
      <c r="RZ71" s="4"/>
      <c r="SA71" s="4"/>
      <c r="SB71" s="4"/>
      <c r="SC71" s="4"/>
      <c r="SD71" s="4"/>
      <c r="SE71" s="5"/>
      <c r="SF71" s="6"/>
      <c r="SG71" s="4"/>
      <c r="SH71" s="4"/>
      <c r="SI71" s="4"/>
      <c r="SJ71" s="4"/>
      <c r="SK71" s="4"/>
      <c r="SL71" s="5"/>
      <c r="SM71" s="6"/>
      <c r="SN71" s="4"/>
      <c r="SO71" s="4"/>
      <c r="SP71" s="4"/>
      <c r="SQ71" s="4"/>
      <c r="SR71" s="4"/>
      <c r="SS71" s="5"/>
      <c r="ST71" s="6"/>
      <c r="SU71" s="4"/>
      <c r="SV71" s="4"/>
      <c r="SW71" s="4"/>
      <c r="SX71" s="4"/>
      <c r="SY71" s="4"/>
      <c r="SZ71" s="5"/>
      <c r="TA71" s="6"/>
      <c r="TB71" s="4"/>
      <c r="TC71" s="4"/>
      <c r="TD71" s="4"/>
      <c r="TE71" s="4"/>
      <c r="TF71" s="4"/>
      <c r="TG71" s="5"/>
      <c r="TH71" s="6"/>
      <c r="TI71" s="4"/>
      <c r="TJ71" s="4"/>
      <c r="TK71" s="4"/>
      <c r="TL71" s="4"/>
      <c r="TM71" s="4"/>
      <c r="TN71" s="5"/>
      <c r="TO71" s="6"/>
      <c r="TP71" s="4"/>
      <c r="TQ71" s="4"/>
      <c r="TR71" s="4"/>
      <c r="TS71" s="4"/>
      <c r="TT71" s="4"/>
      <c r="TU71" s="5"/>
      <c r="TV71" s="6"/>
      <c r="TW71" s="4"/>
      <c r="TX71" s="4"/>
      <c r="TY71" s="4"/>
      <c r="TZ71" s="4"/>
      <c r="UA71" s="4"/>
      <c r="UB71" s="5"/>
      <c r="UC71" s="6"/>
      <c r="UD71" s="4"/>
      <c r="UE71" s="4"/>
      <c r="UF71" s="4"/>
      <c r="UG71" s="4"/>
      <c r="UH71" s="4"/>
      <c r="UI71" s="5"/>
      <c r="UJ71" s="6"/>
      <c r="UK71" s="4"/>
      <c r="UL71" s="4"/>
      <c r="UM71" s="4"/>
      <c r="UN71" s="4"/>
      <c r="UO71" s="4"/>
      <c r="UP71" s="5"/>
      <c r="UQ71" s="6"/>
      <c r="UR71" s="4"/>
      <c r="US71" s="4"/>
      <c r="UT71" s="4"/>
      <c r="UU71" s="4"/>
      <c r="UV71" s="4"/>
      <c r="UW71" s="5"/>
      <c r="UX71" s="6"/>
      <c r="UY71" s="4"/>
      <c r="UZ71" s="4"/>
      <c r="VA71" s="4"/>
      <c r="VB71" s="4"/>
      <c r="VC71" s="4"/>
      <c r="VD71" s="5"/>
      <c r="VE71" s="6"/>
      <c r="VF71" s="4"/>
      <c r="VG71" s="4"/>
      <c r="VH71" s="4"/>
      <c r="VI71" s="4"/>
      <c r="VJ71" s="4"/>
      <c r="VK71" s="5"/>
      <c r="VL71" s="6"/>
      <c r="VM71" s="4"/>
      <c r="VN71" s="4"/>
      <c r="VO71" s="4"/>
      <c r="VP71" s="4"/>
      <c r="VQ71" s="4"/>
      <c r="VR71" s="5"/>
      <c r="VS71" s="6"/>
      <c r="VT71" s="4"/>
      <c r="VU71" s="4"/>
      <c r="VV71" s="4"/>
      <c r="VW71" s="4"/>
      <c r="VX71" s="4"/>
      <c r="VY71" s="5"/>
      <c r="VZ71" s="6"/>
      <c r="WA71" s="4"/>
      <c r="WB71" s="4"/>
      <c r="WC71" s="4"/>
      <c r="WD71" s="4"/>
      <c r="WE71" s="4"/>
      <c r="WF71" s="5"/>
      <c r="WG71" s="6"/>
      <c r="WH71" s="4"/>
      <c r="WI71" s="4"/>
      <c r="WJ71" s="4"/>
      <c r="WK71" s="4"/>
      <c r="WL71" s="4"/>
      <c r="WM71" s="5"/>
      <c r="WN71" s="6"/>
      <c r="WO71" s="4"/>
      <c r="WP71" s="4"/>
      <c r="WQ71" s="4"/>
      <c r="WR71" s="4"/>
      <c r="WS71" s="4"/>
      <c r="WT71" s="5"/>
      <c r="WU71" s="6"/>
      <c r="WV71" s="4"/>
      <c r="WW71" s="4"/>
      <c r="WX71" s="4"/>
      <c r="WY71" s="4"/>
      <c r="WZ71" s="4"/>
      <c r="XA71" s="5"/>
      <c r="XB71" s="6"/>
      <c r="XC71" s="4"/>
      <c r="XD71" s="4"/>
      <c r="XE71" s="4"/>
      <c r="XF71" s="4"/>
      <c r="XG71" s="4"/>
      <c r="XH71" s="5"/>
      <c r="XI71" s="6"/>
      <c r="XJ71" s="4"/>
      <c r="XK71" s="4"/>
      <c r="XL71" s="4"/>
      <c r="XM71" s="4"/>
      <c r="XN71" s="4"/>
      <c r="XO71" s="5"/>
      <c r="XP71" s="6"/>
      <c r="XQ71" s="4"/>
      <c r="XR71" s="4"/>
      <c r="XS71" s="4"/>
      <c r="XT71" s="4"/>
      <c r="XU71" s="4"/>
      <c r="XV71" s="5"/>
      <c r="XW71" s="6"/>
      <c r="XX71" s="4"/>
      <c r="XY71" s="4"/>
      <c r="XZ71" s="4"/>
      <c r="YA71" s="4"/>
      <c r="YB71" s="4"/>
      <c r="YC71" s="5"/>
      <c r="YD71" s="6"/>
      <c r="YE71" s="4"/>
      <c r="YF71" s="4"/>
      <c r="YG71" s="4"/>
      <c r="YH71" s="4"/>
      <c r="YI71" s="4"/>
      <c r="YJ71" s="5"/>
      <c r="YK71" s="6"/>
      <c r="YL71" s="4"/>
      <c r="YM71" s="4"/>
      <c r="YN71" s="4"/>
      <c r="YO71" s="4"/>
      <c r="YP71" s="4"/>
      <c r="YQ71" s="5"/>
      <c r="YR71" s="6"/>
      <c r="YS71" s="4"/>
      <c r="YT71" s="4"/>
      <c r="YU71" s="4"/>
      <c r="YV71" s="4"/>
      <c r="YW71" s="4"/>
      <c r="YX71" s="5"/>
      <c r="YY71" s="6"/>
      <c r="YZ71" s="4"/>
      <c r="ZA71" s="4"/>
      <c r="ZB71" s="4"/>
      <c r="ZC71" s="4"/>
      <c r="ZD71" s="4"/>
      <c r="ZE71" s="5"/>
      <c r="ZF71" s="6"/>
      <c r="ZG71" s="4"/>
      <c r="ZH71" s="4"/>
      <c r="ZI71" s="4"/>
      <c r="ZJ71" s="4"/>
      <c r="ZK71" s="4"/>
      <c r="ZL71" s="5"/>
      <c r="ZM71" s="6"/>
      <c r="ZN71" s="4"/>
      <c r="ZO71" s="4"/>
      <c r="ZP71" s="4"/>
      <c r="ZQ71" s="4"/>
      <c r="ZR71" s="4"/>
      <c r="ZS71" s="5"/>
      <c r="ZT71" s="6"/>
      <c r="ZU71" s="4"/>
      <c r="ZV71" s="4"/>
      <c r="ZW71" s="4"/>
      <c r="ZX71" s="4"/>
      <c r="ZY71" s="4"/>
      <c r="ZZ71" s="5"/>
      <c r="AAA71" s="6"/>
      <c r="AAB71" s="4"/>
      <c r="AAC71" s="4"/>
      <c r="AAD71" s="4"/>
      <c r="AAE71" s="4"/>
      <c r="AAF71" s="4"/>
      <c r="AAG71" s="5"/>
      <c r="AAH71" s="6"/>
      <c r="AAI71" s="4"/>
      <c r="AAJ71" s="4"/>
      <c r="AAK71" s="4"/>
      <c r="AAL71" s="4"/>
      <c r="AAM71" s="4"/>
      <c r="AAN71" s="5"/>
      <c r="AAO71" s="6"/>
      <c r="AAP71" s="4"/>
      <c r="AAQ71" s="4"/>
      <c r="AAR71" s="4"/>
      <c r="AAS71" s="4"/>
      <c r="AAT71" s="4"/>
      <c r="AAU71" s="5"/>
      <c r="AAV71" s="6"/>
      <c r="AAW71" s="4"/>
      <c r="AAX71" s="4"/>
      <c r="AAY71" s="4"/>
      <c r="AAZ71" s="4"/>
      <c r="ABA71" s="4"/>
      <c r="ABB71" s="5"/>
      <c r="ABC71" s="6"/>
      <c r="ABD71" s="4"/>
      <c r="ABE71" s="4"/>
      <c r="ABF71" s="4"/>
      <c r="ABG71" s="4"/>
      <c r="ABH71" s="4"/>
      <c r="ABI71" s="5"/>
      <c r="ABJ71" s="6"/>
      <c r="ABK71" s="4"/>
      <c r="ABL71" s="4"/>
      <c r="ABM71" s="4"/>
      <c r="ABN71" s="4"/>
      <c r="ABO71" s="4"/>
      <c r="ABP71" s="5"/>
      <c r="ABQ71" s="6"/>
      <c r="ABR71" s="4"/>
      <c r="ABS71" s="4"/>
      <c r="ABT71" s="4"/>
      <c r="ABU71" s="4"/>
      <c r="ABV71" s="4"/>
      <c r="ABW71" s="5"/>
      <c r="ABX71" s="6"/>
      <c r="ABY71" s="4"/>
      <c r="ABZ71" s="4"/>
      <c r="ACA71" s="4"/>
      <c r="ACB71" s="4"/>
      <c r="ACC71" s="4"/>
      <c r="ACD71" s="5"/>
      <c r="ACE71" s="6"/>
      <c r="ACF71" s="4"/>
      <c r="ACG71" s="4"/>
      <c r="ACH71" s="4"/>
      <c r="ACI71" s="4"/>
      <c r="ACJ71" s="4"/>
      <c r="ACK71" s="5"/>
      <c r="ACL71" s="6"/>
      <c r="ACM71" s="4"/>
      <c r="ACN71" s="4"/>
      <c r="ACO71" s="4"/>
      <c r="ACP71" s="4"/>
      <c r="ACQ71" s="4"/>
      <c r="ACR71" s="5"/>
      <c r="ACS71" s="6"/>
      <c r="ACT71" s="4"/>
      <c r="ACU71" s="4"/>
      <c r="ACV71" s="4"/>
      <c r="ACW71" s="4"/>
      <c r="ACX71" s="4"/>
      <c r="ACY71" s="5"/>
    </row>
    <row r="72" spans="2:781" x14ac:dyDescent="0.25">
      <c r="B72" s="30"/>
      <c r="J72" s="12"/>
      <c r="K72" s="12"/>
      <c r="L72" s="12"/>
      <c r="LL72" s="6"/>
      <c r="LM72" s="4"/>
      <c r="LN72" s="4"/>
      <c r="LO72" s="4"/>
      <c r="LP72" s="4"/>
      <c r="LQ72" s="4"/>
      <c r="LR72" s="5"/>
      <c r="LS72" s="6"/>
      <c r="LT72" s="4"/>
      <c r="LU72" s="4"/>
      <c r="LV72" s="4"/>
      <c r="LW72" s="4"/>
      <c r="LX72" s="4"/>
      <c r="LY72" s="5"/>
      <c r="LZ72" s="6" t="s">
        <v>2712</v>
      </c>
      <c r="MA72" s="7" t="s">
        <v>2713</v>
      </c>
      <c r="MB72" s="4"/>
      <c r="MC72" s="4"/>
      <c r="MD72" s="8"/>
      <c r="ME72" s="4"/>
      <c r="MF72" s="4"/>
      <c r="MG72" s="5" t="s">
        <v>2714</v>
      </c>
      <c r="MH72" s="6"/>
      <c r="MI72" s="4"/>
      <c r="MJ72" s="4"/>
      <c r="MK72" s="4"/>
      <c r="ML72" s="4"/>
      <c r="MM72" s="4"/>
      <c r="MN72" s="5"/>
      <c r="MO72" s="6"/>
      <c r="MP72" s="4"/>
      <c r="MQ72" s="4"/>
      <c r="MR72" s="4"/>
      <c r="MS72" s="4"/>
      <c r="MT72" s="4"/>
      <c r="MU72" s="5"/>
      <c r="MV72" s="6"/>
      <c r="MW72" s="4"/>
      <c r="MX72" s="4"/>
      <c r="MY72" s="4"/>
      <c r="MZ72" s="4"/>
      <c r="NA72" s="4"/>
      <c r="NB72" s="5"/>
      <c r="NC72" s="6"/>
      <c r="ND72" s="4"/>
      <c r="NE72" s="4"/>
      <c r="NF72" s="4"/>
      <c r="NG72" s="4"/>
      <c r="NH72" s="4"/>
      <c r="NI72" s="5"/>
      <c r="NJ72" s="6"/>
      <c r="NK72" s="4"/>
      <c r="NL72" s="4"/>
      <c r="NM72" s="4"/>
      <c r="NN72" s="4"/>
      <c r="NO72" s="4"/>
      <c r="NP72" s="5"/>
      <c r="NQ72" s="6"/>
      <c r="NR72" s="4"/>
      <c r="NS72" s="4"/>
      <c r="NT72" s="4"/>
      <c r="NU72" s="4"/>
      <c r="NV72" s="4"/>
      <c r="NW72" s="5"/>
      <c r="NX72" s="6"/>
      <c r="NY72" s="4"/>
      <c r="NZ72" s="4"/>
      <c r="OA72" s="4"/>
      <c r="OB72" s="4"/>
      <c r="OC72" s="4"/>
      <c r="OD72" s="5"/>
      <c r="OE72" s="6"/>
      <c r="OF72" s="4"/>
      <c r="OG72" s="4"/>
      <c r="OH72" s="4"/>
      <c r="OI72" s="4"/>
      <c r="OJ72" s="4"/>
      <c r="OK72" s="5"/>
      <c r="OL72" s="6"/>
      <c r="OM72" s="4"/>
      <c r="ON72" s="4"/>
      <c r="OO72" s="4"/>
      <c r="OP72" s="4"/>
      <c r="OQ72" s="4"/>
      <c r="OR72" s="5"/>
      <c r="OS72" s="6"/>
      <c r="OT72" s="4"/>
      <c r="OU72" s="4"/>
      <c r="OV72" s="4"/>
      <c r="OW72" s="4"/>
      <c r="OX72" s="4"/>
      <c r="OY72" s="5"/>
      <c r="OZ72" s="6"/>
      <c r="PA72" s="4"/>
      <c r="PB72" s="4"/>
      <c r="PC72" s="4"/>
      <c r="PD72" s="4"/>
      <c r="PE72" s="4"/>
      <c r="PF72" s="5"/>
      <c r="PG72" s="6"/>
      <c r="PH72" s="4"/>
      <c r="PI72" s="4"/>
      <c r="PJ72" s="4"/>
      <c r="PK72" s="4"/>
      <c r="PL72" s="4"/>
      <c r="PM72" s="5"/>
      <c r="PN72" s="6"/>
      <c r="PO72" s="4"/>
      <c r="PP72" s="4"/>
      <c r="PQ72" s="4"/>
      <c r="PR72" s="4"/>
      <c r="PS72" s="4"/>
      <c r="PT72" s="5"/>
      <c r="PU72" s="6"/>
      <c r="PV72" s="4"/>
      <c r="PW72" s="4"/>
      <c r="PX72" s="4"/>
      <c r="PY72" s="4"/>
      <c r="PZ72" s="4"/>
      <c r="QA72" s="5"/>
      <c r="QB72" s="6"/>
      <c r="QC72" s="4"/>
      <c r="QD72" s="4"/>
      <c r="QE72" s="4"/>
      <c r="QF72" s="4"/>
      <c r="QG72" s="4"/>
      <c r="QH72" s="5"/>
      <c r="QI72" s="6"/>
      <c r="QJ72" s="4"/>
      <c r="QK72" s="4"/>
      <c r="QL72" s="4"/>
      <c r="QM72" s="4"/>
      <c r="QN72" s="4"/>
      <c r="QO72" s="5"/>
      <c r="QP72" s="6"/>
      <c r="QQ72" s="4"/>
      <c r="QR72" s="4"/>
      <c r="QS72" s="4"/>
      <c r="QT72" s="4"/>
      <c r="QU72" s="4"/>
      <c r="QV72" s="5"/>
      <c r="QW72" s="6"/>
      <c r="QX72" s="4"/>
      <c r="QY72" s="4"/>
      <c r="QZ72" s="4"/>
      <c r="RA72" s="4"/>
      <c r="RB72" s="4"/>
      <c r="RC72" s="5"/>
      <c r="RD72" s="6"/>
      <c r="RE72" s="4"/>
      <c r="RF72" s="4"/>
      <c r="RG72" s="4"/>
      <c r="RH72" s="4"/>
      <c r="RI72" s="4"/>
      <c r="RJ72" s="5"/>
      <c r="RK72" s="6"/>
      <c r="RL72" s="4"/>
      <c r="RM72" s="4"/>
      <c r="RN72" s="4"/>
      <c r="RO72" s="4"/>
      <c r="RP72" s="4"/>
      <c r="RQ72" s="5"/>
      <c r="RR72" s="6"/>
      <c r="RS72" s="4"/>
      <c r="RT72" s="4"/>
      <c r="RU72" s="4"/>
      <c r="RV72" s="4"/>
      <c r="RW72" s="4"/>
      <c r="RX72" s="5"/>
      <c r="RY72" s="6"/>
      <c r="RZ72" s="4"/>
      <c r="SA72" s="4"/>
      <c r="SB72" s="4"/>
      <c r="SC72" s="4"/>
      <c r="SD72" s="4"/>
      <c r="SE72" s="5"/>
      <c r="SF72" s="6"/>
      <c r="SG72" s="4"/>
      <c r="SH72" s="4"/>
      <c r="SI72" s="4"/>
      <c r="SJ72" s="4"/>
      <c r="SK72" s="4"/>
      <c r="SL72" s="5"/>
      <c r="SM72" s="6"/>
      <c r="SN72" s="4"/>
      <c r="SO72" s="4"/>
      <c r="SP72" s="4"/>
      <c r="SQ72" s="4"/>
      <c r="SR72" s="4"/>
      <c r="SS72" s="5"/>
      <c r="ST72" s="6"/>
      <c r="SU72" s="4"/>
      <c r="SV72" s="4"/>
      <c r="SW72" s="4"/>
      <c r="SX72" s="4"/>
      <c r="SY72" s="4"/>
      <c r="SZ72" s="5"/>
      <c r="TA72" s="6"/>
      <c r="TB72" s="4"/>
      <c r="TC72" s="4"/>
      <c r="TD72" s="4"/>
      <c r="TE72" s="4"/>
      <c r="TF72" s="4"/>
      <c r="TG72" s="5"/>
      <c r="TH72" s="6"/>
      <c r="TI72" s="4"/>
      <c r="TJ72" s="4"/>
      <c r="TK72" s="4"/>
      <c r="TL72" s="4"/>
      <c r="TM72" s="4"/>
      <c r="TN72" s="5"/>
      <c r="TO72" s="6"/>
      <c r="TP72" s="4"/>
      <c r="TQ72" s="4"/>
      <c r="TR72" s="4"/>
      <c r="TS72" s="4"/>
      <c r="TT72" s="4"/>
      <c r="TU72" s="5"/>
      <c r="TV72" s="6"/>
      <c r="TW72" s="4"/>
      <c r="TX72" s="4"/>
      <c r="TY72" s="4"/>
      <c r="TZ72" s="4"/>
      <c r="UA72" s="4"/>
      <c r="UB72" s="5"/>
      <c r="UC72" s="6"/>
      <c r="UD72" s="4"/>
      <c r="UE72" s="4"/>
      <c r="UF72" s="4"/>
      <c r="UG72" s="4"/>
      <c r="UH72" s="4"/>
      <c r="UI72" s="5"/>
      <c r="UJ72" s="6"/>
      <c r="UK72" s="4"/>
      <c r="UL72" s="4"/>
      <c r="UM72" s="4"/>
      <c r="UN72" s="4"/>
      <c r="UO72" s="4"/>
      <c r="UP72" s="5"/>
      <c r="UQ72" s="6"/>
      <c r="UR72" s="4"/>
      <c r="US72" s="4"/>
      <c r="UT72" s="4"/>
      <c r="UU72" s="4"/>
      <c r="UV72" s="4"/>
      <c r="UW72" s="5"/>
      <c r="UX72" s="6"/>
      <c r="UY72" s="4"/>
      <c r="UZ72" s="4"/>
      <c r="VA72" s="4"/>
      <c r="VB72" s="4"/>
      <c r="VC72" s="4"/>
      <c r="VD72" s="5"/>
      <c r="VE72" s="6"/>
      <c r="VF72" s="4"/>
      <c r="VG72" s="4"/>
      <c r="VH72" s="4"/>
      <c r="VI72" s="4"/>
      <c r="VJ72" s="4"/>
      <c r="VK72" s="5"/>
      <c r="VL72" s="6"/>
      <c r="VM72" s="4"/>
      <c r="VN72" s="4"/>
      <c r="VO72" s="4"/>
      <c r="VP72" s="4"/>
      <c r="VQ72" s="4"/>
      <c r="VR72" s="5"/>
      <c r="VS72" s="6"/>
      <c r="VT72" s="4"/>
      <c r="VU72" s="4"/>
      <c r="VV72" s="4"/>
      <c r="VW72" s="4"/>
      <c r="VX72" s="4"/>
      <c r="VY72" s="5"/>
      <c r="VZ72" s="6"/>
      <c r="WA72" s="4"/>
      <c r="WB72" s="4"/>
      <c r="WC72" s="4"/>
      <c r="WD72" s="4"/>
      <c r="WE72" s="4"/>
      <c r="WF72" s="5"/>
      <c r="WG72" s="6"/>
      <c r="WH72" s="4"/>
      <c r="WI72" s="4"/>
      <c r="WJ72" s="4"/>
      <c r="WK72" s="4"/>
      <c r="WL72" s="4"/>
      <c r="WM72" s="5"/>
      <c r="WN72" s="6"/>
      <c r="WO72" s="4"/>
      <c r="WP72" s="4"/>
      <c r="WQ72" s="4"/>
      <c r="WR72" s="4"/>
      <c r="WS72" s="4"/>
      <c r="WT72" s="5"/>
      <c r="WU72" s="6"/>
      <c r="WV72" s="4"/>
      <c r="WW72" s="4"/>
      <c r="WX72" s="4"/>
      <c r="WY72" s="4"/>
      <c r="WZ72" s="4"/>
      <c r="XA72" s="5"/>
      <c r="XB72" s="6"/>
      <c r="XC72" s="4"/>
      <c r="XD72" s="4"/>
      <c r="XE72" s="4"/>
      <c r="XF72" s="4"/>
      <c r="XG72" s="4"/>
      <c r="XH72" s="5"/>
      <c r="XI72" s="6"/>
      <c r="XJ72" s="4"/>
      <c r="XK72" s="4"/>
      <c r="XL72" s="4"/>
      <c r="XM72" s="4"/>
      <c r="XN72" s="4"/>
      <c r="XO72" s="5"/>
      <c r="XP72" s="6"/>
      <c r="XQ72" s="4"/>
      <c r="XR72" s="4"/>
      <c r="XS72" s="4"/>
      <c r="XT72" s="4"/>
      <c r="XU72" s="4"/>
      <c r="XV72" s="5"/>
      <c r="XW72" s="6"/>
      <c r="XX72" s="4"/>
      <c r="XY72" s="4"/>
      <c r="XZ72" s="4"/>
      <c r="YA72" s="4"/>
      <c r="YB72" s="4"/>
      <c r="YC72" s="5"/>
      <c r="YD72" s="6"/>
      <c r="YE72" s="4"/>
      <c r="YF72" s="4"/>
      <c r="YG72" s="4"/>
      <c r="YH72" s="4"/>
      <c r="YI72" s="4"/>
      <c r="YJ72" s="5"/>
      <c r="YK72" s="6"/>
      <c r="YL72" s="4"/>
      <c r="YM72" s="4"/>
      <c r="YN72" s="4"/>
      <c r="YO72" s="4"/>
      <c r="YP72" s="4"/>
      <c r="YQ72" s="5"/>
      <c r="YR72" s="6"/>
      <c r="YS72" s="4"/>
      <c r="YT72" s="4"/>
      <c r="YU72" s="4"/>
      <c r="YV72" s="4"/>
      <c r="YW72" s="4"/>
      <c r="YX72" s="5"/>
      <c r="YY72" s="6"/>
      <c r="YZ72" s="4"/>
      <c r="ZA72" s="4"/>
      <c r="ZB72" s="4"/>
      <c r="ZC72" s="4"/>
      <c r="ZD72" s="4"/>
      <c r="ZE72" s="5"/>
      <c r="ZF72" s="6"/>
      <c r="ZG72" s="4"/>
      <c r="ZH72" s="4"/>
      <c r="ZI72" s="4"/>
      <c r="ZJ72" s="4"/>
      <c r="ZK72" s="4"/>
      <c r="ZL72" s="5"/>
      <c r="ZM72" s="6"/>
      <c r="ZN72" s="4"/>
      <c r="ZO72" s="4"/>
      <c r="ZP72" s="4"/>
      <c r="ZQ72" s="4"/>
      <c r="ZR72" s="4"/>
      <c r="ZS72" s="5"/>
      <c r="ZT72" s="6"/>
      <c r="ZU72" s="4"/>
      <c r="ZV72" s="4"/>
      <c r="ZW72" s="4"/>
      <c r="ZX72" s="4"/>
      <c r="ZY72" s="4"/>
      <c r="ZZ72" s="5"/>
      <c r="AAA72" s="6"/>
      <c r="AAB72" s="4"/>
      <c r="AAC72" s="4"/>
      <c r="AAD72" s="4"/>
      <c r="AAE72" s="4"/>
      <c r="AAF72" s="4"/>
      <c r="AAG72" s="5"/>
      <c r="AAH72" s="6"/>
      <c r="AAI72" s="4"/>
      <c r="AAJ72" s="4"/>
      <c r="AAK72" s="4"/>
      <c r="AAL72" s="4"/>
      <c r="AAM72" s="4"/>
      <c r="AAN72" s="5"/>
      <c r="AAO72" s="6"/>
      <c r="AAP72" s="4"/>
      <c r="AAQ72" s="4"/>
      <c r="AAR72" s="4"/>
      <c r="AAS72" s="4"/>
      <c r="AAT72" s="4"/>
      <c r="AAU72" s="5"/>
      <c r="AAV72" s="6"/>
      <c r="AAW72" s="4"/>
      <c r="AAX72" s="4"/>
      <c r="AAY72" s="4"/>
      <c r="AAZ72" s="4"/>
      <c r="ABA72" s="4"/>
      <c r="ABB72" s="5"/>
      <c r="ABC72" s="6"/>
      <c r="ABD72" s="4"/>
      <c r="ABE72" s="4"/>
      <c r="ABF72" s="4"/>
      <c r="ABG72" s="4"/>
      <c r="ABH72" s="4"/>
      <c r="ABI72" s="5"/>
      <c r="ABJ72" s="6"/>
      <c r="ABK72" s="4"/>
      <c r="ABL72" s="4"/>
      <c r="ABM72" s="4"/>
      <c r="ABN72" s="4"/>
      <c r="ABO72" s="4"/>
      <c r="ABP72" s="5"/>
      <c r="ABQ72" s="6"/>
      <c r="ABR72" s="4"/>
      <c r="ABS72" s="4"/>
      <c r="ABT72" s="4"/>
      <c r="ABU72" s="4"/>
      <c r="ABV72" s="4"/>
      <c r="ABW72" s="5"/>
      <c r="ABX72" s="6"/>
      <c r="ABY72" s="4"/>
      <c r="ABZ72" s="4"/>
      <c r="ACA72" s="4"/>
      <c r="ACB72" s="4"/>
      <c r="ACC72" s="4"/>
      <c r="ACD72" s="5"/>
      <c r="ACE72" s="6"/>
      <c r="ACF72" s="4"/>
      <c r="ACG72" s="4"/>
      <c r="ACH72" s="4"/>
      <c r="ACI72" s="4"/>
      <c r="ACJ72" s="4"/>
      <c r="ACK72" s="5"/>
      <c r="ACL72" s="6"/>
      <c r="ACM72" s="4"/>
      <c r="ACN72" s="4"/>
      <c r="ACO72" s="4"/>
      <c r="ACP72" s="4"/>
      <c r="ACQ72" s="4"/>
      <c r="ACR72" s="5"/>
      <c r="ACS72" s="6"/>
      <c r="ACT72" s="4"/>
      <c r="ACU72" s="4"/>
      <c r="ACV72" s="4"/>
      <c r="ACW72" s="4"/>
      <c r="ACX72" s="4"/>
      <c r="ACY72" s="5"/>
    </row>
    <row r="73" spans="2:781" x14ac:dyDescent="0.25">
      <c r="B73" s="30"/>
      <c r="J73" s="12"/>
      <c r="K73" s="12"/>
      <c r="L73" s="12"/>
      <c r="LL73" s="6"/>
      <c r="LM73" s="4"/>
      <c r="LN73" s="4"/>
      <c r="LO73" s="4"/>
      <c r="LP73" s="4"/>
      <c r="LQ73" s="4"/>
      <c r="LR73" s="5"/>
      <c r="LS73" s="6"/>
      <c r="LT73" s="4"/>
      <c r="LU73" s="4"/>
      <c r="LV73" s="4"/>
      <c r="LW73" s="4"/>
      <c r="LX73" s="4"/>
      <c r="LY73" s="5"/>
      <c r="LZ73" s="6" t="s">
        <v>2136</v>
      </c>
      <c r="MA73" s="4" t="s">
        <v>2707</v>
      </c>
      <c r="MB73" s="4"/>
      <c r="MC73" s="4"/>
      <c r="MD73" s="4"/>
      <c r="ME73" s="4"/>
      <c r="MF73" s="4"/>
      <c r="MG73" s="5" t="s">
        <v>2294</v>
      </c>
      <c r="MH73" s="6"/>
      <c r="MI73" s="4"/>
      <c r="MJ73" s="4"/>
      <c r="MK73" s="4"/>
      <c r="ML73" s="4"/>
      <c r="MM73" s="4"/>
      <c r="MN73" s="5"/>
      <c r="MO73" s="6"/>
      <c r="MP73" s="4"/>
      <c r="MQ73" s="4"/>
      <c r="MR73" s="4"/>
      <c r="MS73" s="4"/>
      <c r="MT73" s="4"/>
      <c r="MU73" s="5"/>
      <c r="MV73" s="6"/>
      <c r="MW73" s="4"/>
      <c r="MX73" s="4"/>
      <c r="MY73" s="4"/>
      <c r="MZ73" s="4"/>
      <c r="NA73" s="4"/>
      <c r="NB73" s="5"/>
      <c r="NC73" s="6"/>
      <c r="ND73" s="4"/>
      <c r="NE73" s="4"/>
      <c r="NF73" s="4"/>
      <c r="NG73" s="4"/>
      <c r="NH73" s="4"/>
      <c r="NI73" s="5"/>
      <c r="NJ73" s="6"/>
      <c r="NK73" s="4"/>
      <c r="NL73" s="4"/>
      <c r="NM73" s="4"/>
      <c r="NN73" s="4"/>
      <c r="NO73" s="4"/>
      <c r="NP73" s="5"/>
      <c r="NQ73" s="6"/>
      <c r="NR73" s="4"/>
      <c r="NS73" s="4"/>
      <c r="NT73" s="4"/>
      <c r="NU73" s="4"/>
      <c r="NV73" s="4"/>
      <c r="NW73" s="5"/>
      <c r="NX73" s="6"/>
      <c r="NY73" s="4"/>
      <c r="NZ73" s="4"/>
      <c r="OA73" s="4"/>
      <c r="OB73" s="4"/>
      <c r="OC73" s="4"/>
      <c r="OD73" s="5"/>
      <c r="OE73" s="6"/>
      <c r="OF73" s="4"/>
      <c r="OG73" s="4"/>
      <c r="OH73" s="4"/>
      <c r="OI73" s="4"/>
      <c r="OJ73" s="4"/>
      <c r="OK73" s="5"/>
      <c r="OL73" s="6"/>
      <c r="OM73" s="4"/>
      <c r="ON73" s="4"/>
      <c r="OO73" s="4"/>
      <c r="OP73" s="4"/>
      <c r="OQ73" s="4"/>
      <c r="OR73" s="5"/>
      <c r="OS73" s="6"/>
      <c r="OT73" s="4"/>
      <c r="OU73" s="4"/>
      <c r="OV73" s="4"/>
      <c r="OW73" s="4"/>
      <c r="OX73" s="4"/>
      <c r="OY73" s="5"/>
      <c r="OZ73" s="6"/>
      <c r="PA73" s="4"/>
      <c r="PB73" s="4"/>
      <c r="PC73" s="4"/>
      <c r="PD73" s="4"/>
      <c r="PE73" s="4"/>
      <c r="PF73" s="5"/>
      <c r="PG73" s="6"/>
      <c r="PH73" s="4"/>
      <c r="PI73" s="4"/>
      <c r="PJ73" s="4"/>
      <c r="PK73" s="4"/>
      <c r="PL73" s="4"/>
      <c r="PM73" s="5"/>
      <c r="PN73" s="6"/>
      <c r="PO73" s="4"/>
      <c r="PP73" s="4"/>
      <c r="PQ73" s="4"/>
      <c r="PR73" s="4"/>
      <c r="PS73" s="4"/>
      <c r="PT73" s="5"/>
      <c r="PU73" s="6"/>
      <c r="PV73" s="4"/>
      <c r="PW73" s="4"/>
      <c r="PX73" s="4"/>
      <c r="PY73" s="4"/>
      <c r="PZ73" s="4"/>
      <c r="QA73" s="5"/>
      <c r="QB73" s="6"/>
      <c r="QC73" s="4"/>
      <c r="QD73" s="4"/>
      <c r="QE73" s="4"/>
      <c r="QF73" s="4"/>
      <c r="QG73" s="4"/>
      <c r="QH73" s="5"/>
      <c r="QI73" s="6"/>
      <c r="QJ73" s="4"/>
      <c r="QK73" s="4"/>
      <c r="QL73" s="4"/>
      <c r="QM73" s="4"/>
      <c r="QN73" s="4"/>
      <c r="QO73" s="5"/>
      <c r="QP73" s="6"/>
      <c r="QQ73" s="4"/>
      <c r="QR73" s="4"/>
      <c r="QS73" s="4"/>
      <c r="QT73" s="4"/>
      <c r="QU73" s="4"/>
      <c r="QV73" s="5"/>
      <c r="QW73" s="6"/>
      <c r="QX73" s="4"/>
      <c r="QY73" s="4"/>
      <c r="QZ73" s="4"/>
      <c r="RA73" s="4"/>
      <c r="RB73" s="4"/>
      <c r="RC73" s="5"/>
      <c r="RD73" s="6"/>
      <c r="RE73" s="4"/>
      <c r="RF73" s="4"/>
      <c r="RG73" s="4"/>
      <c r="RH73" s="4"/>
      <c r="RI73" s="4"/>
      <c r="RJ73" s="5"/>
      <c r="RK73" s="6"/>
      <c r="RL73" s="4"/>
      <c r="RM73" s="4"/>
      <c r="RN73" s="4"/>
      <c r="RO73" s="4"/>
      <c r="RP73" s="4"/>
      <c r="RQ73" s="5"/>
      <c r="RR73" s="6"/>
      <c r="RS73" s="4"/>
      <c r="RT73" s="4"/>
      <c r="RU73" s="4"/>
      <c r="RV73" s="4"/>
      <c r="RW73" s="4"/>
      <c r="RX73" s="5"/>
      <c r="RY73" s="6"/>
      <c r="RZ73" s="4"/>
      <c r="SA73" s="4"/>
      <c r="SB73" s="4"/>
      <c r="SC73" s="4"/>
      <c r="SD73" s="4"/>
      <c r="SE73" s="5"/>
      <c r="SF73" s="6"/>
      <c r="SG73" s="4"/>
      <c r="SH73" s="4"/>
      <c r="SI73" s="4"/>
      <c r="SJ73" s="4"/>
      <c r="SK73" s="4"/>
      <c r="SL73" s="5"/>
      <c r="SM73" s="6"/>
      <c r="SN73" s="4"/>
      <c r="SO73" s="4"/>
      <c r="SP73" s="4"/>
      <c r="SQ73" s="4"/>
      <c r="SR73" s="4"/>
      <c r="SS73" s="5"/>
      <c r="ST73" s="6"/>
      <c r="SU73" s="4"/>
      <c r="SV73" s="4"/>
      <c r="SW73" s="4"/>
      <c r="SX73" s="4"/>
      <c r="SY73" s="4"/>
      <c r="SZ73" s="5"/>
      <c r="TA73" s="6"/>
      <c r="TB73" s="4"/>
      <c r="TC73" s="4"/>
      <c r="TD73" s="4"/>
      <c r="TE73" s="4"/>
      <c r="TF73" s="4"/>
      <c r="TG73" s="5"/>
      <c r="TH73" s="6"/>
      <c r="TI73" s="4"/>
      <c r="TJ73" s="4"/>
      <c r="TK73" s="4"/>
      <c r="TL73" s="4"/>
      <c r="TM73" s="4"/>
      <c r="TN73" s="5"/>
      <c r="TO73" s="6"/>
      <c r="TP73" s="4"/>
      <c r="TQ73" s="4"/>
      <c r="TR73" s="4"/>
      <c r="TS73" s="4"/>
      <c r="TT73" s="4"/>
      <c r="TU73" s="5"/>
      <c r="TV73" s="6"/>
      <c r="TW73" s="4"/>
      <c r="TX73" s="4"/>
      <c r="TY73" s="4"/>
      <c r="TZ73" s="4"/>
      <c r="UA73" s="4"/>
      <c r="UB73" s="5"/>
      <c r="UC73" s="6"/>
      <c r="UD73" s="4"/>
      <c r="UE73" s="4"/>
      <c r="UF73" s="4"/>
      <c r="UG73" s="4"/>
      <c r="UH73" s="4"/>
      <c r="UI73" s="5"/>
      <c r="UJ73" s="6"/>
      <c r="UK73" s="4"/>
      <c r="UL73" s="4"/>
      <c r="UM73" s="4"/>
      <c r="UN73" s="4"/>
      <c r="UO73" s="4"/>
      <c r="UP73" s="5"/>
      <c r="UQ73" s="6"/>
      <c r="UR73" s="4"/>
      <c r="US73" s="4"/>
      <c r="UT73" s="4"/>
      <c r="UU73" s="4"/>
      <c r="UV73" s="4"/>
      <c r="UW73" s="5"/>
      <c r="UX73" s="6"/>
      <c r="UY73" s="4"/>
      <c r="UZ73" s="4"/>
      <c r="VA73" s="4"/>
      <c r="VB73" s="4"/>
      <c r="VC73" s="4"/>
      <c r="VD73" s="5"/>
      <c r="VE73" s="6"/>
      <c r="VF73" s="4"/>
      <c r="VG73" s="4"/>
      <c r="VH73" s="4"/>
      <c r="VI73" s="4"/>
      <c r="VJ73" s="4"/>
      <c r="VK73" s="5"/>
      <c r="VL73" s="6"/>
      <c r="VM73" s="4"/>
      <c r="VN73" s="4"/>
      <c r="VO73" s="4"/>
      <c r="VP73" s="4"/>
      <c r="VQ73" s="4"/>
      <c r="VR73" s="5"/>
      <c r="VS73" s="6"/>
      <c r="VT73" s="4"/>
      <c r="VU73" s="4"/>
      <c r="VV73" s="4"/>
      <c r="VW73" s="4"/>
      <c r="VX73" s="4"/>
      <c r="VY73" s="5"/>
      <c r="VZ73" s="6"/>
      <c r="WA73" s="4"/>
      <c r="WB73" s="4"/>
      <c r="WC73" s="4"/>
      <c r="WD73" s="4"/>
      <c r="WE73" s="4"/>
      <c r="WF73" s="5"/>
      <c r="WG73" s="6"/>
      <c r="WH73" s="4"/>
      <c r="WI73" s="4"/>
      <c r="WJ73" s="4"/>
      <c r="WK73" s="4"/>
      <c r="WL73" s="4"/>
      <c r="WM73" s="5"/>
      <c r="WN73" s="6"/>
      <c r="WO73" s="4"/>
      <c r="WP73" s="4"/>
      <c r="WQ73" s="4"/>
      <c r="WR73" s="4"/>
      <c r="WS73" s="4"/>
      <c r="WT73" s="5"/>
      <c r="WU73" s="6"/>
      <c r="WV73" s="4"/>
      <c r="WW73" s="4"/>
      <c r="WX73" s="4"/>
      <c r="WY73" s="4"/>
      <c r="WZ73" s="4"/>
      <c r="XA73" s="5"/>
      <c r="XB73" s="6"/>
      <c r="XC73" s="4"/>
      <c r="XD73" s="4"/>
      <c r="XE73" s="4"/>
      <c r="XF73" s="4"/>
      <c r="XG73" s="4"/>
      <c r="XH73" s="5"/>
      <c r="XI73" s="6"/>
      <c r="XJ73" s="4"/>
      <c r="XK73" s="4"/>
      <c r="XL73" s="4"/>
      <c r="XM73" s="4"/>
      <c r="XN73" s="4"/>
      <c r="XO73" s="5"/>
      <c r="XP73" s="6"/>
      <c r="XQ73" s="4"/>
      <c r="XR73" s="4"/>
      <c r="XS73" s="4"/>
      <c r="XT73" s="4"/>
      <c r="XU73" s="4"/>
      <c r="XV73" s="5"/>
      <c r="XW73" s="6"/>
      <c r="XX73" s="4"/>
      <c r="XY73" s="4"/>
      <c r="XZ73" s="4"/>
      <c r="YA73" s="4"/>
      <c r="YB73" s="4"/>
      <c r="YC73" s="5"/>
      <c r="YD73" s="6"/>
      <c r="YE73" s="4"/>
      <c r="YF73" s="4"/>
      <c r="YG73" s="4"/>
      <c r="YH73" s="4"/>
      <c r="YI73" s="4"/>
      <c r="YJ73" s="5"/>
      <c r="YK73" s="6"/>
      <c r="YL73" s="4"/>
      <c r="YM73" s="4"/>
      <c r="YN73" s="4"/>
      <c r="YO73" s="4"/>
      <c r="YP73" s="4"/>
      <c r="YQ73" s="5"/>
      <c r="YR73" s="6"/>
      <c r="YS73" s="4"/>
      <c r="YT73" s="4"/>
      <c r="YU73" s="4"/>
      <c r="YV73" s="4"/>
      <c r="YW73" s="4"/>
      <c r="YX73" s="5"/>
      <c r="YY73" s="6"/>
      <c r="YZ73" s="4"/>
      <c r="ZA73" s="4"/>
      <c r="ZB73" s="4"/>
      <c r="ZC73" s="4"/>
      <c r="ZD73" s="4"/>
      <c r="ZE73" s="5"/>
      <c r="ZF73" s="6"/>
      <c r="ZG73" s="4"/>
      <c r="ZH73" s="4"/>
      <c r="ZI73" s="4"/>
      <c r="ZJ73" s="4"/>
      <c r="ZK73" s="4"/>
      <c r="ZL73" s="5"/>
      <c r="ZM73" s="6"/>
      <c r="ZN73" s="4"/>
      <c r="ZO73" s="4"/>
      <c r="ZP73" s="4"/>
      <c r="ZQ73" s="4"/>
      <c r="ZR73" s="4"/>
      <c r="ZS73" s="5"/>
      <c r="ZT73" s="6"/>
      <c r="ZU73" s="4"/>
      <c r="ZV73" s="4"/>
      <c r="ZW73" s="4"/>
      <c r="ZX73" s="4"/>
      <c r="ZY73" s="4"/>
      <c r="ZZ73" s="5"/>
      <c r="AAA73" s="6"/>
      <c r="AAB73" s="4"/>
      <c r="AAC73" s="4"/>
      <c r="AAD73" s="4"/>
      <c r="AAE73" s="4"/>
      <c r="AAF73" s="4"/>
      <c r="AAG73" s="5"/>
      <c r="AAH73" s="6"/>
      <c r="AAI73" s="4"/>
      <c r="AAJ73" s="4"/>
      <c r="AAK73" s="4"/>
      <c r="AAL73" s="4"/>
      <c r="AAM73" s="4"/>
      <c r="AAN73" s="5"/>
      <c r="AAO73" s="6"/>
      <c r="AAP73" s="4"/>
      <c r="AAQ73" s="4"/>
      <c r="AAR73" s="4"/>
      <c r="AAS73" s="4"/>
      <c r="AAT73" s="4"/>
      <c r="AAU73" s="5"/>
      <c r="AAV73" s="6"/>
      <c r="AAW73" s="4"/>
      <c r="AAX73" s="4"/>
      <c r="AAY73" s="4"/>
      <c r="AAZ73" s="4"/>
      <c r="ABA73" s="4"/>
      <c r="ABB73" s="5"/>
      <c r="ABC73" s="6"/>
      <c r="ABD73" s="4"/>
      <c r="ABE73" s="4"/>
      <c r="ABF73" s="4"/>
      <c r="ABG73" s="4"/>
      <c r="ABH73" s="4"/>
      <c r="ABI73" s="5"/>
      <c r="ABJ73" s="6"/>
      <c r="ABK73" s="4"/>
      <c r="ABL73" s="4"/>
      <c r="ABM73" s="4"/>
      <c r="ABN73" s="4"/>
      <c r="ABO73" s="4"/>
      <c r="ABP73" s="5"/>
      <c r="ABQ73" s="6"/>
      <c r="ABR73" s="4"/>
      <c r="ABS73" s="4"/>
      <c r="ABT73" s="4"/>
      <c r="ABU73" s="4"/>
      <c r="ABV73" s="4"/>
      <c r="ABW73" s="5"/>
      <c r="ABX73" s="6"/>
      <c r="ABY73" s="4"/>
      <c r="ABZ73" s="4"/>
      <c r="ACA73" s="4"/>
      <c r="ACB73" s="4"/>
      <c r="ACC73" s="4"/>
      <c r="ACD73" s="5"/>
      <c r="ACE73" s="6"/>
      <c r="ACF73" s="4"/>
      <c r="ACG73" s="4"/>
      <c r="ACH73" s="4"/>
      <c r="ACI73" s="4"/>
      <c r="ACJ73" s="4"/>
      <c r="ACK73" s="5"/>
      <c r="ACL73" s="6"/>
      <c r="ACM73" s="4"/>
      <c r="ACN73" s="4"/>
      <c r="ACO73" s="4"/>
      <c r="ACP73" s="4"/>
      <c r="ACQ73" s="4"/>
      <c r="ACR73" s="5"/>
      <c r="ACS73" s="6"/>
      <c r="ACT73" s="4"/>
      <c r="ACU73" s="4"/>
      <c r="ACV73" s="4"/>
      <c r="ACW73" s="4"/>
      <c r="ACX73" s="4"/>
      <c r="ACY73" s="5"/>
    </row>
    <row r="74" spans="2:781" x14ac:dyDescent="0.25">
      <c r="B74" s="49">
        <v>95900195</v>
      </c>
      <c r="C74">
        <v>80</v>
      </c>
      <c r="D74" t="s">
        <v>2121</v>
      </c>
      <c r="F74" s="23">
        <v>1</v>
      </c>
      <c r="G74" s="31">
        <v>34192</v>
      </c>
      <c r="H74" s="23" t="s">
        <v>614</v>
      </c>
      <c r="J74" s="12"/>
      <c r="K74" s="12"/>
      <c r="L74" s="12"/>
      <c r="M74">
        <v>1</v>
      </c>
      <c r="N74" s="17">
        <v>34178</v>
      </c>
      <c r="LL74" s="6"/>
      <c r="LM74" s="4"/>
      <c r="LN74" s="4"/>
      <c r="LO74" s="4"/>
      <c r="LP74" s="4"/>
      <c r="LQ74" s="4"/>
      <c r="LR74" s="5"/>
      <c r="LS74" s="6"/>
      <c r="LT74" s="4"/>
      <c r="LU74" s="4"/>
      <c r="LV74" s="4"/>
      <c r="LW74" s="4"/>
      <c r="LX74" s="4"/>
      <c r="LY74" s="5"/>
      <c r="LZ74" s="6" t="s">
        <v>850</v>
      </c>
      <c r="MA74" s="7" t="s">
        <v>2375</v>
      </c>
      <c r="MB74" s="4"/>
      <c r="MC74" s="4"/>
      <c r="MD74" s="8"/>
      <c r="ME74" s="4"/>
      <c r="MF74" s="4" t="s">
        <v>615</v>
      </c>
      <c r="MG74" s="5"/>
      <c r="MH74" s="6"/>
      <c r="MI74" s="4"/>
      <c r="MJ74" s="4"/>
      <c r="MK74" s="4"/>
      <c r="ML74" s="4"/>
      <c r="MM74" s="4"/>
      <c r="MN74" s="5"/>
      <c r="MO74" s="6"/>
      <c r="MP74" s="4"/>
      <c r="MQ74" s="4"/>
      <c r="MR74" s="4"/>
      <c r="MS74" s="4"/>
      <c r="MT74" s="4"/>
      <c r="MU74" s="5"/>
      <c r="MV74" s="6" t="s">
        <v>851</v>
      </c>
      <c r="MW74" s="4" t="s">
        <v>852</v>
      </c>
      <c r="MX74" s="4"/>
      <c r="MY74" s="4"/>
      <c r="MZ74" s="4"/>
      <c r="NA74" s="4"/>
      <c r="NB74" s="5"/>
      <c r="NC74" s="6"/>
      <c r="ND74" s="4"/>
      <c r="NE74" s="4"/>
      <c r="NF74" s="4"/>
      <c r="NG74" s="4"/>
      <c r="NH74" s="4"/>
      <c r="NI74" s="5"/>
      <c r="NJ74" s="6"/>
      <c r="NK74" s="4"/>
      <c r="NL74" s="4"/>
      <c r="NM74" s="4"/>
      <c r="NN74" s="4"/>
      <c r="NO74" s="4"/>
      <c r="NP74" s="5"/>
      <c r="NQ74" s="6"/>
      <c r="NR74" s="4"/>
      <c r="NS74" s="4"/>
      <c r="NT74" s="4"/>
      <c r="NU74" s="4"/>
      <c r="NV74" s="4"/>
      <c r="NW74" s="5"/>
      <c r="NX74" s="6"/>
      <c r="NY74" s="4"/>
      <c r="NZ74" s="4"/>
      <c r="OA74" s="4"/>
      <c r="OB74" s="4"/>
      <c r="OC74" s="4"/>
      <c r="OD74" s="5"/>
      <c r="OE74" s="6"/>
      <c r="OF74" s="4"/>
      <c r="OG74" s="4"/>
      <c r="OH74" s="4"/>
      <c r="OI74" s="4"/>
      <c r="OJ74" s="4"/>
      <c r="OK74" s="5"/>
      <c r="OL74" s="6"/>
      <c r="OM74" s="4"/>
      <c r="ON74" s="4"/>
      <c r="OO74" s="4"/>
      <c r="OP74" s="4"/>
      <c r="OQ74" s="4"/>
      <c r="OR74" s="5"/>
      <c r="OS74" s="6"/>
      <c r="OT74" s="4"/>
      <c r="OU74" s="4"/>
      <c r="OV74" s="4"/>
      <c r="OW74" s="4"/>
      <c r="OX74" s="4"/>
      <c r="OY74" s="5"/>
      <c r="OZ74" s="6"/>
      <c r="PA74" s="4"/>
      <c r="PB74" s="4"/>
      <c r="PC74" s="4"/>
      <c r="PD74" s="4"/>
      <c r="PE74" s="4"/>
      <c r="PF74" s="5"/>
      <c r="PG74" s="6"/>
      <c r="PH74" s="4"/>
      <c r="PI74" s="4"/>
      <c r="PJ74" s="4"/>
      <c r="PK74" s="4"/>
      <c r="PL74" s="4"/>
      <c r="PM74" s="5"/>
      <c r="PN74" s="6"/>
      <c r="PO74" s="4"/>
      <c r="PP74" s="4"/>
      <c r="PQ74" s="4"/>
      <c r="PR74" s="4"/>
      <c r="PS74" s="4"/>
      <c r="PT74" s="5"/>
      <c r="PU74" s="6"/>
      <c r="PV74" s="4"/>
      <c r="PW74" s="4"/>
      <c r="PX74" s="4"/>
      <c r="PY74" s="4"/>
      <c r="PZ74" s="4"/>
      <c r="QA74" s="5"/>
      <c r="QB74" s="6" t="s">
        <v>853</v>
      </c>
      <c r="QC74" s="4" t="s">
        <v>2779</v>
      </c>
      <c r="QD74" s="4"/>
      <c r="QE74" s="4"/>
      <c r="QF74" s="4"/>
      <c r="QG74" s="4"/>
      <c r="QH74" s="5"/>
      <c r="QI74" s="6"/>
      <c r="QJ74" s="4"/>
      <c r="QK74" s="4"/>
      <c r="QL74" s="4"/>
      <c r="QM74" s="4"/>
      <c r="QN74" s="4"/>
      <c r="QO74" s="5"/>
      <c r="QP74" s="6"/>
      <c r="QQ74" s="4"/>
      <c r="QR74" s="4"/>
      <c r="QS74" s="4"/>
      <c r="QT74" s="4"/>
      <c r="QU74" s="4"/>
      <c r="QV74" s="5"/>
      <c r="QW74" s="6"/>
      <c r="QX74" s="4"/>
      <c r="QY74" s="4"/>
      <c r="QZ74" s="4"/>
      <c r="RA74" s="4"/>
      <c r="RB74" s="4"/>
      <c r="RC74" s="5"/>
      <c r="RD74" s="6"/>
      <c r="RE74" s="4"/>
      <c r="RF74" s="4"/>
      <c r="RG74" s="4"/>
      <c r="RH74" s="4"/>
      <c r="RI74" s="4"/>
      <c r="RJ74" s="5"/>
      <c r="RK74" s="6"/>
      <c r="RL74" s="4"/>
      <c r="RM74" s="4"/>
      <c r="RN74" s="4"/>
      <c r="RO74" s="4"/>
      <c r="RP74" s="4"/>
      <c r="RQ74" s="5"/>
      <c r="RR74" s="6"/>
      <c r="RS74" s="4"/>
      <c r="RT74" s="4"/>
      <c r="RU74" s="4"/>
      <c r="RV74" s="4"/>
      <c r="RW74" s="4"/>
      <c r="RX74" s="5"/>
      <c r="RY74" s="6"/>
      <c r="RZ74" s="4"/>
      <c r="SA74" s="4"/>
      <c r="SB74" s="4"/>
      <c r="SC74" s="4"/>
      <c r="SD74" s="4"/>
      <c r="SE74" s="5"/>
      <c r="SF74" s="6"/>
      <c r="SG74" s="4"/>
      <c r="SH74" s="4"/>
      <c r="SI74" s="4"/>
      <c r="SJ74" s="4"/>
      <c r="SK74" s="4"/>
      <c r="SL74" s="5"/>
      <c r="SM74" s="6"/>
      <c r="SN74" s="4"/>
      <c r="SO74" s="4"/>
      <c r="SP74" s="4"/>
      <c r="SQ74" s="4"/>
      <c r="SR74" s="4"/>
      <c r="SS74" s="5"/>
      <c r="ST74" s="6"/>
      <c r="SU74" s="4"/>
      <c r="SV74" s="4"/>
      <c r="SW74" s="4"/>
      <c r="SX74" s="4"/>
      <c r="SY74" s="4"/>
      <c r="SZ74" s="5"/>
      <c r="TA74" s="6"/>
      <c r="TB74" s="4"/>
      <c r="TC74" s="4"/>
      <c r="TD74" s="4"/>
      <c r="TE74" s="4"/>
      <c r="TF74" s="4"/>
      <c r="TG74" s="5"/>
      <c r="TH74" s="6"/>
      <c r="TI74" s="4"/>
      <c r="TJ74" s="4"/>
      <c r="TK74" s="4"/>
      <c r="TL74" s="4"/>
      <c r="TM74" s="4"/>
      <c r="TN74" s="5"/>
      <c r="TO74" s="6"/>
      <c r="TP74" s="4"/>
      <c r="TQ74" s="4"/>
      <c r="TR74" s="4"/>
      <c r="TS74" s="4"/>
      <c r="TT74" s="4"/>
      <c r="TU74" s="5"/>
      <c r="TV74" s="6" t="s">
        <v>1979</v>
      </c>
      <c r="TW74" s="4" t="s">
        <v>854</v>
      </c>
      <c r="TX74" s="4"/>
      <c r="TY74" s="4"/>
      <c r="TZ74" s="4"/>
      <c r="UA74" s="4"/>
      <c r="UB74" s="5"/>
      <c r="UC74" s="6"/>
      <c r="UD74" s="4"/>
      <c r="UE74" s="4"/>
      <c r="UF74" s="4"/>
      <c r="UG74" s="4"/>
      <c r="UH74" s="4"/>
      <c r="UI74" s="5"/>
      <c r="UJ74" s="6"/>
      <c r="UK74" s="4"/>
      <c r="UL74" s="4"/>
      <c r="UM74" s="4"/>
      <c r="UN74" s="4"/>
      <c r="UO74" s="4"/>
      <c r="UP74" s="5"/>
      <c r="UQ74" s="6"/>
      <c r="UR74" s="4"/>
      <c r="US74" s="4"/>
      <c r="UT74" s="4"/>
      <c r="UU74" s="4"/>
      <c r="UV74" s="4"/>
      <c r="UW74" s="5"/>
      <c r="UX74" s="6" t="s">
        <v>855</v>
      </c>
      <c r="UY74" s="4" t="s">
        <v>2738</v>
      </c>
      <c r="UZ74" s="4" t="s">
        <v>2470</v>
      </c>
      <c r="VA74" s="7" t="s">
        <v>3901</v>
      </c>
      <c r="VB74" s="8">
        <v>34173</v>
      </c>
      <c r="VC74" s="8">
        <v>34180</v>
      </c>
      <c r="VD74" s="5"/>
      <c r="VE74" s="6"/>
      <c r="VF74" s="4"/>
      <c r="VG74" s="4"/>
      <c r="VH74" s="4"/>
      <c r="VI74" s="4"/>
      <c r="VJ74" s="4"/>
      <c r="VK74" s="5"/>
      <c r="VL74" s="6" t="s">
        <v>856</v>
      </c>
      <c r="VM74" s="4" t="s">
        <v>857</v>
      </c>
      <c r="VN74" s="4"/>
      <c r="VO74" s="4"/>
      <c r="VP74" s="4"/>
      <c r="VQ74" s="4"/>
      <c r="VR74" s="5"/>
      <c r="VS74" s="6"/>
      <c r="VT74" s="4"/>
      <c r="VU74" s="4"/>
      <c r="VV74" s="4"/>
      <c r="VW74" s="4"/>
      <c r="VX74" s="4"/>
      <c r="VY74" s="5"/>
      <c r="VZ74" s="6"/>
      <c r="WA74" s="4"/>
      <c r="WB74" s="4"/>
      <c r="WC74" s="4"/>
      <c r="WD74" s="4"/>
      <c r="WE74" s="4"/>
      <c r="WF74" s="5"/>
      <c r="WG74" s="6"/>
      <c r="WH74" s="4"/>
      <c r="WI74" s="4"/>
      <c r="WJ74" s="4"/>
      <c r="WK74" s="4"/>
      <c r="WL74" s="4"/>
      <c r="WM74" s="5"/>
      <c r="WN74" s="6"/>
      <c r="WO74" s="4"/>
      <c r="WP74" s="4"/>
      <c r="WQ74" s="4"/>
      <c r="WR74" s="4"/>
      <c r="WS74" s="4"/>
      <c r="WT74" s="5"/>
      <c r="WU74" s="6"/>
      <c r="WV74" s="4"/>
      <c r="WW74" s="4"/>
      <c r="WX74" s="4"/>
      <c r="WY74" s="4"/>
      <c r="WZ74" s="4"/>
      <c r="XA74" s="5"/>
      <c r="XB74" s="6"/>
      <c r="XC74" s="4"/>
      <c r="XD74" s="4"/>
      <c r="XE74" s="4"/>
      <c r="XF74" s="4"/>
      <c r="XG74" s="4"/>
      <c r="XH74" s="5"/>
      <c r="XI74" s="6"/>
      <c r="XJ74" s="4"/>
      <c r="XK74" s="4"/>
      <c r="XL74" s="4"/>
      <c r="XM74" s="4"/>
      <c r="XN74" s="4"/>
      <c r="XO74" s="5"/>
      <c r="XP74" s="6"/>
      <c r="XQ74" s="4"/>
      <c r="XR74" s="4"/>
      <c r="XS74" s="4"/>
      <c r="XT74" s="4"/>
      <c r="XU74" s="4"/>
      <c r="XV74" s="5"/>
      <c r="XW74" s="6"/>
      <c r="XX74" s="4"/>
      <c r="XY74" s="4"/>
      <c r="XZ74" s="4"/>
      <c r="YA74" s="4"/>
      <c r="YB74" s="4"/>
      <c r="YC74" s="5"/>
      <c r="YD74" s="6"/>
      <c r="YE74" s="4"/>
      <c r="YF74" s="4"/>
      <c r="YG74" s="4"/>
      <c r="YH74" s="4"/>
      <c r="YI74" s="4"/>
      <c r="YJ74" s="5"/>
      <c r="YK74" s="6" t="s">
        <v>858</v>
      </c>
      <c r="YL74" s="4" t="s">
        <v>3035</v>
      </c>
      <c r="YM74" s="4"/>
      <c r="YN74" s="4"/>
      <c r="YO74" s="4"/>
      <c r="YP74" s="4"/>
      <c r="YQ74" s="5"/>
      <c r="YR74" s="6"/>
      <c r="YS74" s="4"/>
      <c r="YT74" s="4"/>
      <c r="YU74" s="4"/>
      <c r="YV74" s="4"/>
      <c r="YW74" s="4"/>
      <c r="YX74" s="5"/>
      <c r="YY74" s="6"/>
      <c r="YZ74" s="4"/>
      <c r="ZA74" s="4"/>
      <c r="ZB74" s="4"/>
      <c r="ZC74" s="4"/>
      <c r="ZD74" s="4"/>
      <c r="ZE74" s="5"/>
      <c r="ZF74" s="6"/>
      <c r="ZG74" s="4"/>
      <c r="ZH74" s="4"/>
      <c r="ZI74" s="4"/>
      <c r="ZJ74" s="4"/>
      <c r="ZK74" s="4"/>
      <c r="ZL74" s="5"/>
      <c r="ZM74" s="6"/>
      <c r="ZN74" s="4"/>
      <c r="ZO74" s="4"/>
      <c r="ZP74" s="4"/>
      <c r="ZQ74" s="4"/>
      <c r="ZR74" s="4"/>
      <c r="ZS74" s="5"/>
      <c r="ZT74" s="6"/>
      <c r="ZU74" s="4"/>
      <c r="ZV74" s="4"/>
      <c r="ZW74" s="4"/>
      <c r="ZX74" s="4"/>
      <c r="ZY74" s="4"/>
      <c r="ZZ74" s="5"/>
      <c r="AAA74" s="6"/>
      <c r="AAB74" s="4"/>
      <c r="AAC74" s="4"/>
      <c r="AAD74" s="4"/>
      <c r="AAE74" s="4"/>
      <c r="AAF74" s="4"/>
      <c r="AAG74" s="5"/>
      <c r="AAH74" s="6"/>
      <c r="AAI74" s="4"/>
      <c r="AAJ74" s="4"/>
      <c r="AAK74" s="4"/>
      <c r="AAL74" s="4"/>
      <c r="AAM74" s="4"/>
      <c r="AAN74" s="5"/>
      <c r="AAO74" s="6"/>
      <c r="AAP74" s="4"/>
      <c r="AAQ74" s="4"/>
      <c r="AAR74" s="4"/>
      <c r="AAS74" s="4"/>
      <c r="AAT74" s="4"/>
      <c r="AAU74" s="5"/>
      <c r="AAV74" s="6"/>
      <c r="AAW74" s="4"/>
      <c r="AAX74" s="4"/>
      <c r="AAY74" s="4"/>
      <c r="AAZ74" s="4"/>
      <c r="ABA74" s="4"/>
      <c r="ABB74" s="5"/>
      <c r="ABC74" s="6"/>
      <c r="ABD74" s="4"/>
      <c r="ABE74" s="4"/>
      <c r="ABF74" s="4"/>
      <c r="ABG74" s="4"/>
      <c r="ABH74" s="4"/>
      <c r="ABI74" s="5"/>
      <c r="ABJ74" s="6"/>
      <c r="ABK74" s="4"/>
      <c r="ABL74" s="4"/>
      <c r="ABM74" s="4"/>
      <c r="ABN74" s="4"/>
      <c r="ABO74" s="4"/>
      <c r="ABP74" s="5"/>
      <c r="ABQ74" s="6"/>
      <c r="ABR74" s="4"/>
      <c r="ABS74" s="4"/>
      <c r="ABT74" s="4"/>
      <c r="ABU74" s="4"/>
      <c r="ABV74" s="4"/>
      <c r="ABW74" s="5"/>
      <c r="ABX74" s="6"/>
      <c r="ABY74" s="4"/>
      <c r="ABZ74" s="4"/>
      <c r="ACA74" s="4"/>
      <c r="ACB74" s="4"/>
      <c r="ACC74" s="4"/>
      <c r="ACD74" s="5"/>
      <c r="ACE74" s="6"/>
      <c r="ACF74" s="4"/>
      <c r="ACG74" s="4"/>
      <c r="ACH74" s="4"/>
      <c r="ACI74" s="4"/>
      <c r="ACJ74" s="4"/>
      <c r="ACK74" s="5"/>
      <c r="ACL74" s="6"/>
      <c r="ACM74" s="4"/>
      <c r="ACN74" s="4"/>
      <c r="ACO74" s="4"/>
      <c r="ACP74" s="4"/>
      <c r="ACQ74" s="4"/>
      <c r="ACR74" s="5"/>
      <c r="ACS74" s="6"/>
      <c r="ACT74" s="4"/>
      <c r="ACU74" s="4"/>
      <c r="ACV74" s="4"/>
      <c r="ACW74" s="4"/>
      <c r="ACX74" s="4"/>
      <c r="ACY74" s="5"/>
    </row>
    <row r="75" spans="2:781" x14ac:dyDescent="0.25">
      <c r="B75" s="30"/>
      <c r="J75" s="12"/>
      <c r="K75" s="12"/>
      <c r="L75" s="12"/>
      <c r="LL75" s="6"/>
      <c r="LM75" s="4"/>
      <c r="LN75" s="4"/>
      <c r="LO75" s="4"/>
      <c r="LP75" s="4"/>
      <c r="LQ75" s="4"/>
      <c r="LR75" s="5"/>
      <c r="LS75" s="6"/>
      <c r="LT75" s="4"/>
      <c r="LU75" s="4"/>
      <c r="LV75" s="4"/>
      <c r="LW75" s="4"/>
      <c r="LX75" s="4"/>
      <c r="LY75" s="5"/>
      <c r="LZ75" s="6"/>
      <c r="MA75" s="7"/>
      <c r="MB75" s="4"/>
      <c r="MC75" s="4"/>
      <c r="MD75" s="8"/>
      <c r="ME75" s="4"/>
      <c r="MF75" s="4"/>
      <c r="MG75" s="5"/>
      <c r="MH75" s="6"/>
      <c r="MI75" s="4"/>
      <c r="MJ75" s="4"/>
      <c r="MK75" s="4"/>
      <c r="ML75" s="4"/>
      <c r="MM75" s="4"/>
      <c r="MN75" s="5"/>
      <c r="MO75" s="6"/>
      <c r="MP75" s="4"/>
      <c r="MQ75" s="4"/>
      <c r="MR75" s="4"/>
      <c r="MS75" s="4"/>
      <c r="MT75" s="4"/>
      <c r="MU75" s="5"/>
      <c r="MV75" s="6"/>
      <c r="MW75" s="4"/>
      <c r="MX75" s="4"/>
      <c r="MY75" s="4"/>
      <c r="MZ75" s="4"/>
      <c r="NA75" s="4"/>
      <c r="NB75" s="5"/>
      <c r="NC75" s="6"/>
      <c r="ND75" s="4"/>
      <c r="NE75" s="4"/>
      <c r="NF75" s="4"/>
      <c r="NG75" s="4"/>
      <c r="NH75" s="4"/>
      <c r="NI75" s="5"/>
      <c r="NJ75" s="6"/>
      <c r="NK75" s="4"/>
      <c r="NL75" s="4"/>
      <c r="NM75" s="4"/>
      <c r="NN75" s="4"/>
      <c r="NO75" s="4"/>
      <c r="NP75" s="5"/>
      <c r="NQ75" s="6"/>
      <c r="NR75" s="4"/>
      <c r="NS75" s="4"/>
      <c r="NT75" s="4"/>
      <c r="NU75" s="4"/>
      <c r="NV75" s="4"/>
      <c r="NW75" s="5"/>
      <c r="NX75" s="6"/>
      <c r="NY75" s="4"/>
      <c r="NZ75" s="4"/>
      <c r="OA75" s="4"/>
      <c r="OB75" s="4"/>
      <c r="OC75" s="4"/>
      <c r="OD75" s="5"/>
      <c r="OE75" s="6"/>
      <c r="OF75" s="4"/>
      <c r="OG75" s="4"/>
      <c r="OH75" s="4"/>
      <c r="OI75" s="4"/>
      <c r="OJ75" s="4"/>
      <c r="OK75" s="5"/>
      <c r="OL75" s="6"/>
      <c r="OM75" s="4"/>
      <c r="ON75" s="4"/>
      <c r="OO75" s="4"/>
      <c r="OP75" s="4"/>
      <c r="OQ75" s="4"/>
      <c r="OR75" s="5"/>
      <c r="OS75" s="6"/>
      <c r="OT75" s="4"/>
      <c r="OU75" s="4"/>
      <c r="OV75" s="4"/>
      <c r="OW75" s="4"/>
      <c r="OX75" s="4"/>
      <c r="OY75" s="5"/>
      <c r="OZ75" s="6"/>
      <c r="PA75" s="4"/>
      <c r="PB75" s="4"/>
      <c r="PC75" s="4"/>
      <c r="PD75" s="4"/>
      <c r="PE75" s="4"/>
      <c r="PF75" s="5"/>
      <c r="PG75" s="6"/>
      <c r="PH75" s="4"/>
      <c r="PI75" s="4"/>
      <c r="PJ75" s="4"/>
      <c r="PK75" s="4"/>
      <c r="PL75" s="4"/>
      <c r="PM75" s="5"/>
      <c r="PN75" s="6"/>
      <c r="PO75" s="4"/>
      <c r="PP75" s="4"/>
      <c r="PQ75" s="4"/>
      <c r="PR75" s="4"/>
      <c r="PS75" s="4"/>
      <c r="PT75" s="5"/>
      <c r="PU75" s="6"/>
      <c r="PV75" s="4"/>
      <c r="PW75" s="4"/>
      <c r="PX75" s="4"/>
      <c r="PY75" s="4"/>
      <c r="PZ75" s="4"/>
      <c r="QA75" s="5"/>
      <c r="QB75" s="6"/>
      <c r="QC75" s="4"/>
      <c r="QD75" s="4"/>
      <c r="QE75" s="4"/>
      <c r="QF75" s="4"/>
      <c r="QG75" s="4"/>
      <c r="QH75" s="5"/>
      <c r="QI75" s="6"/>
      <c r="QJ75" s="4"/>
      <c r="QK75" s="4"/>
      <c r="QL75" s="4"/>
      <c r="QM75" s="4"/>
      <c r="QN75" s="4"/>
      <c r="QO75" s="5"/>
      <c r="QP75" s="6"/>
      <c r="QQ75" s="4"/>
      <c r="QR75" s="4"/>
      <c r="QS75" s="4"/>
      <c r="QT75" s="4"/>
      <c r="QU75" s="4"/>
      <c r="QV75" s="5"/>
      <c r="QW75" s="6"/>
      <c r="QX75" s="4"/>
      <c r="QY75" s="4"/>
      <c r="QZ75" s="4"/>
      <c r="RA75" s="4"/>
      <c r="RB75" s="4"/>
      <c r="RC75" s="5"/>
      <c r="RD75" s="6"/>
      <c r="RE75" s="4"/>
      <c r="RF75" s="4"/>
      <c r="RG75" s="4"/>
      <c r="RH75" s="4"/>
      <c r="RI75" s="4"/>
      <c r="RJ75" s="5"/>
      <c r="RK75" s="6"/>
      <c r="RL75" s="4"/>
      <c r="RM75" s="4"/>
      <c r="RN75" s="4"/>
      <c r="RO75" s="4"/>
      <c r="RP75" s="4"/>
      <c r="RQ75" s="5"/>
      <c r="RR75" s="6"/>
      <c r="RS75" s="4"/>
      <c r="RT75" s="4"/>
      <c r="RU75" s="4"/>
      <c r="RV75" s="4"/>
      <c r="RW75" s="4"/>
      <c r="RX75" s="5"/>
      <c r="RY75" s="6"/>
      <c r="RZ75" s="4"/>
      <c r="SA75" s="4"/>
      <c r="SB75" s="4"/>
      <c r="SC75" s="4"/>
      <c r="SD75" s="4"/>
      <c r="SE75" s="5"/>
      <c r="SF75" s="6"/>
      <c r="SG75" s="4"/>
      <c r="SH75" s="4"/>
      <c r="SI75" s="4"/>
      <c r="SJ75" s="4"/>
      <c r="SK75" s="4"/>
      <c r="SL75" s="5"/>
      <c r="SM75" s="6"/>
      <c r="SN75" s="4"/>
      <c r="SO75" s="4"/>
      <c r="SP75" s="4"/>
      <c r="SQ75" s="4"/>
      <c r="SR75" s="4"/>
      <c r="SS75" s="5"/>
      <c r="ST75" s="6"/>
      <c r="SU75" s="4"/>
      <c r="SV75" s="4"/>
      <c r="SW75" s="4"/>
      <c r="SX75" s="4"/>
      <c r="SY75" s="4"/>
      <c r="SZ75" s="5"/>
      <c r="TA75" s="6"/>
      <c r="TB75" s="4"/>
      <c r="TC75" s="4"/>
      <c r="TD75" s="4"/>
      <c r="TE75" s="4"/>
      <c r="TF75" s="4"/>
      <c r="TG75" s="5"/>
      <c r="TH75" s="6"/>
      <c r="TI75" s="4"/>
      <c r="TJ75" s="4"/>
      <c r="TK75" s="4"/>
      <c r="TL75" s="4"/>
      <c r="TM75" s="4"/>
      <c r="TN75" s="5"/>
      <c r="TO75" s="6"/>
      <c r="TP75" s="4"/>
      <c r="TQ75" s="4"/>
      <c r="TR75" s="4"/>
      <c r="TS75" s="4"/>
      <c r="TT75" s="4"/>
      <c r="TU75" s="5"/>
      <c r="TV75" s="6"/>
      <c r="TW75" s="4"/>
      <c r="TX75" s="4"/>
      <c r="TY75" s="4"/>
      <c r="TZ75" s="4"/>
      <c r="UA75" s="4"/>
      <c r="UB75" s="5"/>
      <c r="UC75" s="6"/>
      <c r="UD75" s="4"/>
      <c r="UE75" s="4"/>
      <c r="UF75" s="4"/>
      <c r="UG75" s="4"/>
      <c r="UH75" s="4"/>
      <c r="UI75" s="5"/>
      <c r="UJ75" s="6"/>
      <c r="UK75" s="4"/>
      <c r="UL75" s="4"/>
      <c r="UM75" s="4"/>
      <c r="UN75" s="4"/>
      <c r="UO75" s="4"/>
      <c r="UP75" s="5"/>
      <c r="UQ75" s="6"/>
      <c r="UR75" s="4"/>
      <c r="US75" s="4"/>
      <c r="UT75" s="4"/>
      <c r="UU75" s="4"/>
      <c r="UV75" s="4"/>
      <c r="UW75" s="5"/>
      <c r="UX75" s="6" t="s">
        <v>721</v>
      </c>
      <c r="UY75" s="4" t="s">
        <v>2899</v>
      </c>
      <c r="UZ75" s="4"/>
      <c r="VA75" s="7"/>
      <c r="VB75" s="8"/>
      <c r="VC75" s="8"/>
      <c r="VD75" s="5"/>
      <c r="VE75" s="6"/>
      <c r="VF75" s="4"/>
      <c r="VG75" s="4"/>
      <c r="VH75" s="4"/>
      <c r="VI75" s="4"/>
      <c r="VJ75" s="4"/>
      <c r="VK75" s="5"/>
      <c r="VL75" s="6"/>
      <c r="VM75" s="4"/>
      <c r="VN75" s="4"/>
      <c r="VO75" s="4"/>
      <c r="VP75" s="4"/>
      <c r="VQ75" s="4"/>
      <c r="VR75" s="5"/>
      <c r="VS75" s="6"/>
      <c r="VT75" s="4"/>
      <c r="VU75" s="4"/>
      <c r="VV75" s="4"/>
      <c r="VW75" s="4"/>
      <c r="VX75" s="4"/>
      <c r="VY75" s="5"/>
      <c r="VZ75" s="6"/>
      <c r="WA75" s="4"/>
      <c r="WB75" s="4"/>
      <c r="WC75" s="4"/>
      <c r="WD75" s="4"/>
      <c r="WE75" s="4"/>
      <c r="WF75" s="5"/>
      <c r="WG75" s="6"/>
      <c r="WH75" s="4"/>
      <c r="WI75" s="4"/>
      <c r="WJ75" s="4"/>
      <c r="WK75" s="4"/>
      <c r="WL75" s="4"/>
      <c r="WM75" s="5"/>
      <c r="WN75" s="6"/>
      <c r="WO75" s="4"/>
      <c r="WP75" s="4"/>
      <c r="WQ75" s="4"/>
      <c r="WR75" s="4"/>
      <c r="WS75" s="4"/>
      <c r="WT75" s="5"/>
      <c r="WU75" s="6"/>
      <c r="WV75" s="4"/>
      <c r="WW75" s="4"/>
      <c r="WX75" s="4"/>
      <c r="WY75" s="4"/>
      <c r="WZ75" s="4"/>
      <c r="XA75" s="5"/>
      <c r="XB75" s="6"/>
      <c r="XC75" s="4"/>
      <c r="XD75" s="4"/>
      <c r="XE75" s="4"/>
      <c r="XF75" s="4"/>
      <c r="XG75" s="4"/>
      <c r="XH75" s="5"/>
      <c r="XI75" s="6"/>
      <c r="XJ75" s="4"/>
      <c r="XK75" s="4"/>
      <c r="XL75" s="4"/>
      <c r="XM75" s="4"/>
      <c r="XN75" s="4"/>
      <c r="XO75" s="5"/>
      <c r="XP75" s="6"/>
      <c r="XQ75" s="4"/>
      <c r="XR75" s="4"/>
      <c r="XS75" s="4"/>
      <c r="XT75" s="4"/>
      <c r="XU75" s="4"/>
      <c r="XV75" s="5"/>
      <c r="XW75" s="6"/>
      <c r="XX75" s="4"/>
      <c r="XY75" s="4"/>
      <c r="XZ75" s="4"/>
      <c r="YA75" s="4"/>
      <c r="YB75" s="4"/>
      <c r="YC75" s="5"/>
      <c r="YD75" s="6"/>
      <c r="YE75" s="4"/>
      <c r="YF75" s="4"/>
      <c r="YG75" s="4"/>
      <c r="YH75" s="4"/>
      <c r="YI75" s="4"/>
      <c r="YJ75" s="5"/>
      <c r="YK75" s="6"/>
      <c r="YL75" s="4"/>
      <c r="YM75" s="4"/>
      <c r="YN75" s="4"/>
      <c r="YO75" s="4"/>
      <c r="YP75" s="4"/>
      <c r="YQ75" s="5"/>
      <c r="YR75" s="6"/>
      <c r="YS75" s="4"/>
      <c r="YT75" s="4"/>
      <c r="YU75" s="4"/>
      <c r="YV75" s="4"/>
      <c r="YW75" s="4"/>
      <c r="YX75" s="5"/>
      <c r="YY75" s="6"/>
      <c r="YZ75" s="4"/>
      <c r="ZA75" s="4"/>
      <c r="ZB75" s="4"/>
      <c r="ZC75" s="4"/>
      <c r="ZD75" s="4"/>
      <c r="ZE75" s="5"/>
      <c r="ZF75" s="6"/>
      <c r="ZG75" s="4"/>
      <c r="ZH75" s="4"/>
      <c r="ZI75" s="4"/>
      <c r="ZJ75" s="4"/>
      <c r="ZK75" s="4"/>
      <c r="ZL75" s="5"/>
      <c r="ZM75" s="6"/>
      <c r="ZN75" s="4"/>
      <c r="ZO75" s="4"/>
      <c r="ZP75" s="4"/>
      <c r="ZQ75" s="4"/>
      <c r="ZR75" s="4"/>
      <c r="ZS75" s="5"/>
      <c r="ZT75" s="6"/>
      <c r="ZU75" s="4"/>
      <c r="ZV75" s="4"/>
      <c r="ZW75" s="4"/>
      <c r="ZX75" s="4"/>
      <c r="ZY75" s="4"/>
      <c r="ZZ75" s="5"/>
      <c r="AAA75" s="6"/>
      <c r="AAB75" s="4"/>
      <c r="AAC75" s="4"/>
      <c r="AAD75" s="4"/>
      <c r="AAE75" s="4"/>
      <c r="AAF75" s="4"/>
      <c r="AAG75" s="5"/>
      <c r="AAH75" s="6"/>
      <c r="AAI75" s="4"/>
      <c r="AAJ75" s="4"/>
      <c r="AAK75" s="4"/>
      <c r="AAL75" s="4"/>
      <c r="AAM75" s="4"/>
      <c r="AAN75" s="5"/>
      <c r="AAO75" s="6"/>
      <c r="AAP75" s="4"/>
      <c r="AAQ75" s="4"/>
      <c r="AAR75" s="4"/>
      <c r="AAS75" s="4"/>
      <c r="AAT75" s="4"/>
      <c r="AAU75" s="5"/>
      <c r="AAV75" s="6"/>
      <c r="AAW75" s="4"/>
      <c r="AAX75" s="4"/>
      <c r="AAY75" s="4"/>
      <c r="AAZ75" s="4"/>
      <c r="ABA75" s="4"/>
      <c r="ABB75" s="5"/>
      <c r="ABC75" s="6"/>
      <c r="ABD75" s="4"/>
      <c r="ABE75" s="4"/>
      <c r="ABF75" s="4"/>
      <c r="ABG75" s="4"/>
      <c r="ABH75" s="4"/>
      <c r="ABI75" s="5"/>
      <c r="ABJ75" s="6"/>
      <c r="ABK75" s="4"/>
      <c r="ABL75" s="4"/>
      <c r="ABM75" s="4"/>
      <c r="ABN75" s="4"/>
      <c r="ABO75" s="4"/>
      <c r="ABP75" s="5"/>
      <c r="ABQ75" s="6"/>
      <c r="ABR75" s="4"/>
      <c r="ABS75" s="4"/>
      <c r="ABT75" s="4"/>
      <c r="ABU75" s="4"/>
      <c r="ABV75" s="4"/>
      <c r="ABW75" s="5"/>
      <c r="ABX75" s="6"/>
      <c r="ABY75" s="4"/>
      <c r="ABZ75" s="4"/>
      <c r="ACA75" s="4"/>
      <c r="ACB75" s="4"/>
      <c r="ACC75" s="4"/>
      <c r="ACD75" s="5"/>
      <c r="ACE75" s="6"/>
      <c r="ACF75" s="4"/>
      <c r="ACG75" s="4"/>
      <c r="ACH75" s="4"/>
      <c r="ACI75" s="4"/>
      <c r="ACJ75" s="4"/>
      <c r="ACK75" s="5"/>
      <c r="ACL75" s="6"/>
      <c r="ACM75" s="4"/>
      <c r="ACN75" s="4"/>
      <c r="ACO75" s="4"/>
      <c r="ACP75" s="4"/>
      <c r="ACQ75" s="4"/>
      <c r="ACR75" s="5"/>
      <c r="ACS75" s="6"/>
      <c r="ACT75" s="4"/>
      <c r="ACU75" s="4"/>
      <c r="ACV75" s="4"/>
      <c r="ACW75" s="4"/>
      <c r="ACX75" s="4"/>
      <c r="ACY75" s="5"/>
    </row>
    <row r="76" spans="2:781" x14ac:dyDescent="0.25">
      <c r="B76" s="49">
        <v>95005918</v>
      </c>
      <c r="C76">
        <v>36</v>
      </c>
      <c r="D76" t="s">
        <v>681</v>
      </c>
      <c r="F76" s="23" t="s">
        <v>1781</v>
      </c>
      <c r="J76" s="12"/>
      <c r="K76" s="12"/>
      <c r="L76" s="12"/>
      <c r="M76">
        <v>1</v>
      </c>
      <c r="N76" s="17">
        <v>34684</v>
      </c>
      <c r="LL76" s="6"/>
      <c r="LM76" s="4"/>
      <c r="LN76" s="4"/>
      <c r="LO76" s="4"/>
      <c r="LP76" s="4"/>
      <c r="LQ76" s="4"/>
      <c r="LR76" s="5"/>
      <c r="LS76" s="6"/>
      <c r="LT76" s="4"/>
      <c r="LU76" s="4"/>
      <c r="LV76" s="4"/>
      <c r="LW76" s="4"/>
      <c r="LX76" s="4"/>
      <c r="LY76" s="5"/>
      <c r="LZ76" s="6" t="s">
        <v>722</v>
      </c>
      <c r="MA76" s="7" t="s">
        <v>2375</v>
      </c>
      <c r="MB76" s="4"/>
      <c r="MC76" s="4"/>
      <c r="MD76" s="8"/>
      <c r="ME76" s="4"/>
      <c r="MF76" s="4" t="s">
        <v>616</v>
      </c>
      <c r="MG76" s="5"/>
      <c r="MH76" s="6"/>
      <c r="MI76" s="4"/>
      <c r="MJ76" s="4"/>
      <c r="MK76" s="4"/>
      <c r="ML76" s="4"/>
      <c r="MM76" s="4"/>
      <c r="MN76" s="5"/>
      <c r="MO76" s="6"/>
      <c r="MP76" s="4"/>
      <c r="MQ76" s="4"/>
      <c r="MR76" s="4"/>
      <c r="MS76" s="4"/>
      <c r="MT76" s="4"/>
      <c r="MU76" s="5"/>
      <c r="MV76" s="6"/>
      <c r="MW76" s="4"/>
      <c r="MX76" s="4"/>
      <c r="MY76" s="4"/>
      <c r="MZ76" s="4"/>
      <c r="NA76" s="4"/>
      <c r="NB76" s="5"/>
      <c r="NC76" s="6"/>
      <c r="ND76" s="4"/>
      <c r="NE76" s="4"/>
      <c r="NF76" s="4"/>
      <c r="NG76" s="4"/>
      <c r="NH76" s="4"/>
      <c r="NI76" s="5"/>
      <c r="NJ76" s="6"/>
      <c r="NK76" s="4"/>
      <c r="NL76" s="4"/>
      <c r="NM76" s="4"/>
      <c r="NN76" s="4"/>
      <c r="NO76" s="4"/>
      <c r="NP76" s="5"/>
      <c r="NQ76" s="6"/>
      <c r="NR76" s="4"/>
      <c r="NS76" s="4"/>
      <c r="NT76" s="4"/>
      <c r="NU76" s="4"/>
      <c r="NV76" s="4"/>
      <c r="NW76" s="5"/>
      <c r="NX76" s="6"/>
      <c r="NY76" s="4"/>
      <c r="NZ76" s="4"/>
      <c r="OA76" s="4"/>
      <c r="OB76" s="4"/>
      <c r="OC76" s="4"/>
      <c r="OD76" s="5"/>
      <c r="OE76" s="6"/>
      <c r="OF76" s="4"/>
      <c r="OG76" s="4"/>
      <c r="OH76" s="4"/>
      <c r="OI76" s="4"/>
      <c r="OJ76" s="4"/>
      <c r="OK76" s="5"/>
      <c r="OL76" s="6"/>
      <c r="OM76" s="4"/>
      <c r="ON76" s="4"/>
      <c r="OO76" s="4"/>
      <c r="OP76" s="4"/>
      <c r="OQ76" s="4"/>
      <c r="OR76" s="5"/>
      <c r="OS76" s="6"/>
      <c r="OT76" s="4"/>
      <c r="OU76" s="4"/>
      <c r="OV76" s="4"/>
      <c r="OW76" s="4"/>
      <c r="OX76" s="4"/>
      <c r="OY76" s="5"/>
      <c r="OZ76" s="6"/>
      <c r="PA76" s="4"/>
      <c r="PB76" s="4"/>
      <c r="PC76" s="4"/>
      <c r="PD76" s="4"/>
      <c r="PE76" s="4"/>
      <c r="PF76" s="5"/>
      <c r="PG76" s="6"/>
      <c r="PH76" s="4"/>
      <c r="PI76" s="4"/>
      <c r="PJ76" s="4"/>
      <c r="PK76" s="4"/>
      <c r="PL76" s="4"/>
      <c r="PM76" s="5"/>
      <c r="PN76" s="6"/>
      <c r="PO76" s="4"/>
      <c r="PP76" s="4"/>
      <c r="PQ76" s="4"/>
      <c r="PR76" s="4"/>
      <c r="PS76" s="4"/>
      <c r="PT76" s="5"/>
      <c r="PU76" s="6"/>
      <c r="PV76" s="4"/>
      <c r="PW76" s="4"/>
      <c r="PX76" s="4"/>
      <c r="PY76" s="4"/>
      <c r="PZ76" s="4"/>
      <c r="QA76" s="5"/>
      <c r="QB76" s="6"/>
      <c r="QC76" s="4"/>
      <c r="QD76" s="4"/>
      <c r="QE76" s="4"/>
      <c r="QF76" s="4"/>
      <c r="QG76" s="4"/>
      <c r="QH76" s="5"/>
      <c r="QI76" s="6"/>
      <c r="QJ76" s="4"/>
      <c r="QK76" s="4"/>
      <c r="QL76" s="4"/>
      <c r="QM76" s="4"/>
      <c r="QN76" s="4"/>
      <c r="QO76" s="5"/>
      <c r="QP76" s="6"/>
      <c r="QQ76" s="4"/>
      <c r="QR76" s="4"/>
      <c r="QS76" s="4"/>
      <c r="QT76" s="4"/>
      <c r="QU76" s="4"/>
      <c r="QV76" s="5"/>
      <c r="QW76" s="6"/>
      <c r="QX76" s="4"/>
      <c r="QY76" s="4"/>
      <c r="QZ76" s="4"/>
      <c r="RA76" s="4"/>
      <c r="RB76" s="4"/>
      <c r="RC76" s="5"/>
      <c r="RD76" s="6"/>
      <c r="RE76" s="4"/>
      <c r="RF76" s="4"/>
      <c r="RG76" s="4"/>
      <c r="RH76" s="4"/>
      <c r="RI76" s="4"/>
      <c r="RJ76" s="5"/>
      <c r="RK76" s="6"/>
      <c r="RL76" s="4"/>
      <c r="RM76" s="4"/>
      <c r="RN76" s="4"/>
      <c r="RO76" s="4"/>
      <c r="RP76" s="4"/>
      <c r="RQ76" s="5"/>
      <c r="RR76" s="6"/>
      <c r="RS76" s="4"/>
      <c r="RT76" s="4"/>
      <c r="RU76" s="4"/>
      <c r="RV76" s="4"/>
      <c r="RW76" s="4"/>
      <c r="RX76" s="5"/>
      <c r="RY76" s="6"/>
      <c r="RZ76" s="4"/>
      <c r="SA76" s="4"/>
      <c r="SB76" s="4"/>
      <c r="SC76" s="4"/>
      <c r="SD76" s="4"/>
      <c r="SE76" s="5"/>
      <c r="SF76" s="6"/>
      <c r="SG76" s="4"/>
      <c r="SH76" s="4"/>
      <c r="SI76" s="4"/>
      <c r="SJ76" s="4"/>
      <c r="SK76" s="4"/>
      <c r="SL76" s="5"/>
      <c r="SM76" s="6"/>
      <c r="SN76" s="4"/>
      <c r="SO76" s="4"/>
      <c r="SP76" s="4"/>
      <c r="SQ76" s="4"/>
      <c r="SR76" s="4"/>
      <c r="SS76" s="5"/>
      <c r="ST76" s="6"/>
      <c r="SU76" s="4"/>
      <c r="SV76" s="4"/>
      <c r="SW76" s="4"/>
      <c r="SX76" s="4"/>
      <c r="SY76" s="4"/>
      <c r="SZ76" s="5"/>
      <c r="TA76" s="6"/>
      <c r="TB76" s="4"/>
      <c r="TC76" s="4"/>
      <c r="TD76" s="4"/>
      <c r="TE76" s="4"/>
      <c r="TF76" s="4"/>
      <c r="TG76" s="5"/>
      <c r="TH76" s="6"/>
      <c r="TI76" s="4"/>
      <c r="TJ76" s="4"/>
      <c r="TK76" s="4"/>
      <c r="TL76" s="4"/>
      <c r="TM76" s="4"/>
      <c r="TN76" s="5"/>
      <c r="TO76" s="6"/>
      <c r="TP76" s="4"/>
      <c r="TQ76" s="4"/>
      <c r="TR76" s="4"/>
      <c r="TS76" s="4"/>
      <c r="TT76" s="4"/>
      <c r="TU76" s="5"/>
      <c r="TV76" s="6"/>
      <c r="TW76" s="4"/>
      <c r="TX76" s="4"/>
      <c r="TY76" s="4"/>
      <c r="TZ76" s="4"/>
      <c r="UA76" s="4"/>
      <c r="UB76" s="5"/>
      <c r="UC76" s="6"/>
      <c r="UD76" s="4"/>
      <c r="UE76" s="4"/>
      <c r="UF76" s="4"/>
      <c r="UG76" s="4"/>
      <c r="UH76" s="4"/>
      <c r="UI76" s="5"/>
      <c r="UJ76" s="6"/>
      <c r="UK76" s="4"/>
      <c r="UL76" s="4"/>
      <c r="UM76" s="4"/>
      <c r="UN76" s="4"/>
      <c r="UO76" s="4"/>
      <c r="UP76" s="5"/>
      <c r="UQ76" s="6"/>
      <c r="UR76" s="4"/>
      <c r="US76" s="4"/>
      <c r="UT76" s="4"/>
      <c r="UU76" s="4"/>
      <c r="UV76" s="4"/>
      <c r="UW76" s="5"/>
      <c r="UX76" s="6"/>
      <c r="UY76" s="4"/>
      <c r="UZ76" s="4"/>
      <c r="VA76" s="4"/>
      <c r="VB76" s="4"/>
      <c r="VC76" s="4"/>
      <c r="VD76" s="5"/>
      <c r="VE76" s="6"/>
      <c r="VF76" s="4"/>
      <c r="VG76" s="4"/>
      <c r="VH76" s="4"/>
      <c r="VI76" s="4"/>
      <c r="VJ76" s="4"/>
      <c r="VK76" s="5"/>
      <c r="VL76" s="6"/>
      <c r="VM76" s="4"/>
      <c r="VN76" s="4"/>
      <c r="VO76" s="4"/>
      <c r="VP76" s="4"/>
      <c r="VQ76" s="4"/>
      <c r="VR76" s="5"/>
      <c r="VS76" s="6"/>
      <c r="VT76" s="4"/>
      <c r="VU76" s="4"/>
      <c r="VV76" s="4"/>
      <c r="VW76" s="4"/>
      <c r="VX76" s="4"/>
      <c r="VY76" s="5"/>
      <c r="VZ76" s="6"/>
      <c r="WA76" s="4"/>
      <c r="WB76" s="4"/>
      <c r="WC76" s="4"/>
      <c r="WD76" s="4"/>
      <c r="WE76" s="4"/>
      <c r="WF76" s="5"/>
      <c r="WG76" s="6"/>
      <c r="WH76" s="4"/>
      <c r="WI76" s="4"/>
      <c r="WJ76" s="4"/>
      <c r="WK76" s="4"/>
      <c r="WL76" s="4"/>
      <c r="WM76" s="5"/>
      <c r="WN76" s="6"/>
      <c r="WO76" s="4"/>
      <c r="WP76" s="4"/>
      <c r="WQ76" s="4"/>
      <c r="WR76" s="4"/>
      <c r="WS76" s="4"/>
      <c r="WT76" s="5"/>
      <c r="WU76" s="6"/>
      <c r="WV76" s="4"/>
      <c r="WW76" s="4"/>
      <c r="WX76" s="4"/>
      <c r="WY76" s="4"/>
      <c r="WZ76" s="4"/>
      <c r="XA76" s="5"/>
      <c r="XB76" s="6"/>
      <c r="XC76" s="4"/>
      <c r="XD76" s="4"/>
      <c r="XE76" s="4"/>
      <c r="XF76" s="4"/>
      <c r="XG76" s="4"/>
      <c r="XH76" s="5"/>
      <c r="XI76" s="6"/>
      <c r="XJ76" s="4"/>
      <c r="XK76" s="4"/>
      <c r="XL76" s="4"/>
      <c r="XM76" s="4"/>
      <c r="XN76" s="4"/>
      <c r="XO76" s="5"/>
      <c r="XP76" s="6"/>
      <c r="XQ76" s="4"/>
      <c r="XR76" s="4"/>
      <c r="XS76" s="4"/>
      <c r="XT76" s="4"/>
      <c r="XU76" s="4"/>
      <c r="XV76" s="5"/>
      <c r="XW76" s="6"/>
      <c r="XX76" s="4"/>
      <c r="XY76" s="4"/>
      <c r="XZ76" s="4"/>
      <c r="YA76" s="4"/>
      <c r="YB76" s="4"/>
      <c r="YC76" s="5"/>
      <c r="YD76" s="6"/>
      <c r="YE76" s="4"/>
      <c r="YF76" s="4"/>
      <c r="YG76" s="4"/>
      <c r="YH76" s="4"/>
      <c r="YI76" s="4"/>
      <c r="YJ76" s="5"/>
      <c r="YK76" s="6"/>
      <c r="YL76" s="4"/>
      <c r="YM76" s="4"/>
      <c r="YN76" s="4"/>
      <c r="YO76" s="4"/>
      <c r="YP76" s="4"/>
      <c r="YQ76" s="5"/>
      <c r="YR76" s="6"/>
      <c r="YS76" s="4"/>
      <c r="YT76" s="4"/>
      <c r="YU76" s="4"/>
      <c r="YV76" s="4"/>
      <c r="YW76" s="4"/>
      <c r="YX76" s="5"/>
      <c r="YY76" s="6"/>
      <c r="YZ76" s="4"/>
      <c r="ZA76" s="4"/>
      <c r="ZB76" s="4"/>
      <c r="ZC76" s="4"/>
      <c r="ZD76" s="4"/>
      <c r="ZE76" s="5"/>
      <c r="ZF76" s="6"/>
      <c r="ZG76" s="4"/>
      <c r="ZH76" s="4"/>
      <c r="ZI76" s="4"/>
      <c r="ZJ76" s="4"/>
      <c r="ZK76" s="4"/>
      <c r="ZL76" s="5"/>
      <c r="ZM76" s="6"/>
      <c r="ZN76" s="4"/>
      <c r="ZO76" s="4"/>
      <c r="ZP76" s="4"/>
      <c r="ZQ76" s="4"/>
      <c r="ZR76" s="4"/>
      <c r="ZS76" s="5"/>
      <c r="ZT76" s="6"/>
      <c r="ZU76" s="4"/>
      <c r="ZV76" s="4"/>
      <c r="ZW76" s="4"/>
      <c r="ZX76" s="4"/>
      <c r="ZY76" s="4"/>
      <c r="ZZ76" s="5"/>
      <c r="AAA76" s="6"/>
      <c r="AAB76" s="4"/>
      <c r="AAC76" s="4"/>
      <c r="AAD76" s="4"/>
      <c r="AAE76" s="4"/>
      <c r="AAF76" s="4"/>
      <c r="AAG76" s="5"/>
      <c r="AAH76" s="6"/>
      <c r="AAI76" s="4"/>
      <c r="AAJ76" s="4"/>
      <c r="AAK76" s="4"/>
      <c r="AAL76" s="4"/>
      <c r="AAM76" s="4"/>
      <c r="AAN76" s="5"/>
      <c r="AAO76" s="6"/>
      <c r="AAP76" s="4"/>
      <c r="AAQ76" s="4"/>
      <c r="AAR76" s="4"/>
      <c r="AAS76" s="4"/>
      <c r="AAT76" s="4"/>
      <c r="AAU76" s="5"/>
      <c r="AAV76" s="6"/>
      <c r="AAW76" s="4"/>
      <c r="AAX76" s="4"/>
      <c r="AAY76" s="4"/>
      <c r="AAZ76" s="4"/>
      <c r="ABA76" s="4"/>
      <c r="ABB76" s="5"/>
      <c r="ABC76" s="6"/>
      <c r="ABD76" s="4"/>
      <c r="ABE76" s="4"/>
      <c r="ABF76" s="4"/>
      <c r="ABG76" s="4"/>
      <c r="ABH76" s="4"/>
      <c r="ABI76" s="5"/>
      <c r="ABJ76" s="6"/>
      <c r="ABK76" s="4"/>
      <c r="ABL76" s="4"/>
      <c r="ABM76" s="4"/>
      <c r="ABN76" s="4"/>
      <c r="ABO76" s="4"/>
      <c r="ABP76" s="5"/>
      <c r="ABQ76" s="6"/>
      <c r="ABR76" s="4"/>
      <c r="ABS76" s="4"/>
      <c r="ABT76" s="4"/>
      <c r="ABU76" s="4"/>
      <c r="ABV76" s="4"/>
      <c r="ABW76" s="5"/>
      <c r="ABX76" s="6"/>
      <c r="ABY76" s="4"/>
      <c r="ABZ76" s="4"/>
      <c r="ACA76" s="4"/>
      <c r="ACB76" s="4"/>
      <c r="ACC76" s="4"/>
      <c r="ACD76" s="5"/>
      <c r="ACE76" s="6"/>
      <c r="ACF76" s="4"/>
      <c r="ACG76" s="4"/>
      <c r="ACH76" s="4"/>
      <c r="ACI76" s="4"/>
      <c r="ACJ76" s="4"/>
      <c r="ACK76" s="5"/>
      <c r="ACL76" s="6"/>
      <c r="ACM76" s="4"/>
      <c r="ACN76" s="4"/>
      <c r="ACO76" s="4"/>
      <c r="ACP76" s="4"/>
      <c r="ACQ76" s="4"/>
      <c r="ACR76" s="5"/>
      <c r="ACS76" s="6"/>
      <c r="ACT76" s="4"/>
      <c r="ACU76" s="4"/>
      <c r="ACV76" s="4"/>
      <c r="ACW76" s="4"/>
      <c r="ACX76" s="4"/>
      <c r="ACY76" s="5"/>
    </row>
    <row r="77" spans="2:781" x14ac:dyDescent="0.25">
      <c r="B77" s="30"/>
      <c r="J77" s="12"/>
      <c r="K77" s="12"/>
      <c r="L77" s="12"/>
      <c r="LL77" s="6"/>
      <c r="LM77" s="4"/>
      <c r="LN77" s="4"/>
      <c r="LO77" s="4"/>
      <c r="LP77" s="4"/>
      <c r="LQ77" s="4"/>
      <c r="LR77" s="5"/>
      <c r="LS77" s="6"/>
      <c r="LT77" s="4"/>
      <c r="LU77" s="4"/>
      <c r="LV77" s="4"/>
      <c r="LW77" s="4"/>
      <c r="LX77" s="4"/>
      <c r="LY77" s="5"/>
      <c r="LZ77" s="6" t="s">
        <v>723</v>
      </c>
      <c r="MA77" s="7" t="s">
        <v>2900</v>
      </c>
      <c r="MB77" s="4"/>
      <c r="MC77" s="4"/>
      <c r="MD77" s="8"/>
      <c r="ME77" s="4"/>
      <c r="MF77" s="4"/>
      <c r="MG77" s="5" t="s">
        <v>724</v>
      </c>
      <c r="MH77" s="6"/>
      <c r="MI77" s="4"/>
      <c r="MJ77" s="4"/>
      <c r="MK77" s="4"/>
      <c r="ML77" s="4"/>
      <c r="MM77" s="4"/>
      <c r="MN77" s="5"/>
      <c r="MO77" s="6"/>
      <c r="MP77" s="4"/>
      <c r="MQ77" s="4"/>
      <c r="MR77" s="4"/>
      <c r="MS77" s="4"/>
      <c r="MT77" s="4"/>
      <c r="MU77" s="5"/>
      <c r="MV77" s="6"/>
      <c r="MW77" s="4"/>
      <c r="MX77" s="4"/>
      <c r="MY77" s="4"/>
      <c r="MZ77" s="4"/>
      <c r="NA77" s="4"/>
      <c r="NB77" s="5"/>
      <c r="NC77" s="6"/>
      <c r="ND77" s="4"/>
      <c r="NE77" s="4"/>
      <c r="NF77" s="4"/>
      <c r="NG77" s="4"/>
      <c r="NH77" s="4"/>
      <c r="NI77" s="5"/>
      <c r="NJ77" s="6"/>
      <c r="NK77" s="4"/>
      <c r="NL77" s="4"/>
      <c r="NM77" s="4"/>
      <c r="NN77" s="4"/>
      <c r="NO77" s="4"/>
      <c r="NP77" s="5"/>
      <c r="NQ77" s="6"/>
      <c r="NR77" s="4"/>
      <c r="NS77" s="4"/>
      <c r="NT77" s="4"/>
      <c r="NU77" s="4"/>
      <c r="NV77" s="4"/>
      <c r="NW77" s="5"/>
      <c r="NX77" s="6"/>
      <c r="NY77" s="4"/>
      <c r="NZ77" s="4"/>
      <c r="OA77" s="4"/>
      <c r="OB77" s="4"/>
      <c r="OC77" s="4"/>
      <c r="OD77" s="5"/>
      <c r="OE77" s="6"/>
      <c r="OF77" s="4"/>
      <c r="OG77" s="4"/>
      <c r="OH77" s="4"/>
      <c r="OI77" s="4"/>
      <c r="OJ77" s="4"/>
      <c r="OK77" s="5"/>
      <c r="OL77" s="6"/>
      <c r="OM77" s="4"/>
      <c r="ON77" s="4"/>
      <c r="OO77" s="4"/>
      <c r="OP77" s="4"/>
      <c r="OQ77" s="4"/>
      <c r="OR77" s="5"/>
      <c r="OS77" s="6"/>
      <c r="OT77" s="4"/>
      <c r="OU77" s="4"/>
      <c r="OV77" s="4"/>
      <c r="OW77" s="4"/>
      <c r="OX77" s="4"/>
      <c r="OY77" s="5"/>
      <c r="OZ77" s="6"/>
      <c r="PA77" s="4"/>
      <c r="PB77" s="4"/>
      <c r="PC77" s="4"/>
      <c r="PD77" s="4"/>
      <c r="PE77" s="4"/>
      <c r="PF77" s="5"/>
      <c r="PG77" s="6"/>
      <c r="PH77" s="4"/>
      <c r="PI77" s="4"/>
      <c r="PJ77" s="4"/>
      <c r="PK77" s="4"/>
      <c r="PL77" s="4"/>
      <c r="PM77" s="5"/>
      <c r="PN77" s="6"/>
      <c r="PO77" s="4"/>
      <c r="PP77" s="4"/>
      <c r="PQ77" s="4"/>
      <c r="PR77" s="4"/>
      <c r="PS77" s="4"/>
      <c r="PT77" s="5"/>
      <c r="PU77" s="6"/>
      <c r="PV77" s="4"/>
      <c r="PW77" s="4"/>
      <c r="PX77" s="4"/>
      <c r="PY77" s="4"/>
      <c r="PZ77" s="4"/>
      <c r="QA77" s="5"/>
      <c r="QB77" s="6"/>
      <c r="QC77" s="4"/>
      <c r="QD77" s="4"/>
      <c r="QE77" s="4"/>
      <c r="QF77" s="4"/>
      <c r="QG77" s="4"/>
      <c r="QH77" s="5"/>
      <c r="QI77" s="6"/>
      <c r="QJ77" s="4"/>
      <c r="QK77" s="4"/>
      <c r="QL77" s="4"/>
      <c r="QM77" s="4"/>
      <c r="QN77" s="4"/>
      <c r="QO77" s="5"/>
      <c r="QP77" s="6"/>
      <c r="QQ77" s="4"/>
      <c r="QR77" s="4"/>
      <c r="QS77" s="4"/>
      <c r="QT77" s="4"/>
      <c r="QU77" s="4"/>
      <c r="QV77" s="5"/>
      <c r="QW77" s="6"/>
      <c r="QX77" s="4"/>
      <c r="QY77" s="4"/>
      <c r="QZ77" s="4"/>
      <c r="RA77" s="4"/>
      <c r="RB77" s="4"/>
      <c r="RC77" s="5"/>
      <c r="RD77" s="6"/>
      <c r="RE77" s="4"/>
      <c r="RF77" s="4"/>
      <c r="RG77" s="4"/>
      <c r="RH77" s="4"/>
      <c r="RI77" s="4"/>
      <c r="RJ77" s="5"/>
      <c r="RK77" s="6"/>
      <c r="RL77" s="4"/>
      <c r="RM77" s="4"/>
      <c r="RN77" s="4"/>
      <c r="RO77" s="4"/>
      <c r="RP77" s="4"/>
      <c r="RQ77" s="5"/>
      <c r="RR77" s="6"/>
      <c r="RS77" s="4"/>
      <c r="RT77" s="4"/>
      <c r="RU77" s="4"/>
      <c r="RV77" s="4"/>
      <c r="RW77" s="4"/>
      <c r="RX77" s="5"/>
      <c r="RY77" s="6"/>
      <c r="RZ77" s="4"/>
      <c r="SA77" s="4"/>
      <c r="SB77" s="4"/>
      <c r="SC77" s="4"/>
      <c r="SD77" s="4"/>
      <c r="SE77" s="5"/>
      <c r="SF77" s="6"/>
      <c r="SG77" s="4"/>
      <c r="SH77" s="4"/>
      <c r="SI77" s="4"/>
      <c r="SJ77" s="4"/>
      <c r="SK77" s="4"/>
      <c r="SL77" s="5"/>
      <c r="SM77" s="6"/>
      <c r="SN77" s="4"/>
      <c r="SO77" s="4"/>
      <c r="SP77" s="4"/>
      <c r="SQ77" s="4"/>
      <c r="SR77" s="4"/>
      <c r="SS77" s="5"/>
      <c r="ST77" s="6"/>
      <c r="SU77" s="4"/>
      <c r="SV77" s="4"/>
      <c r="SW77" s="4"/>
      <c r="SX77" s="4"/>
      <c r="SY77" s="4"/>
      <c r="SZ77" s="5"/>
      <c r="TA77" s="6"/>
      <c r="TB77" s="4"/>
      <c r="TC77" s="4"/>
      <c r="TD77" s="4"/>
      <c r="TE77" s="4"/>
      <c r="TF77" s="4"/>
      <c r="TG77" s="5"/>
      <c r="TH77" s="6"/>
      <c r="TI77" s="4"/>
      <c r="TJ77" s="4"/>
      <c r="TK77" s="4"/>
      <c r="TL77" s="4"/>
      <c r="TM77" s="4"/>
      <c r="TN77" s="5"/>
      <c r="TO77" s="6"/>
      <c r="TP77" s="4"/>
      <c r="TQ77" s="4"/>
      <c r="TR77" s="4"/>
      <c r="TS77" s="4"/>
      <c r="TT77" s="4"/>
      <c r="TU77" s="5"/>
      <c r="TV77" s="6"/>
      <c r="TW77" s="4"/>
      <c r="TX77" s="4"/>
      <c r="TY77" s="4"/>
      <c r="TZ77" s="4"/>
      <c r="UA77" s="4"/>
      <c r="UB77" s="5"/>
      <c r="UC77" s="6"/>
      <c r="UD77" s="4"/>
      <c r="UE77" s="4"/>
      <c r="UF77" s="4"/>
      <c r="UG77" s="4"/>
      <c r="UH77" s="4"/>
      <c r="UI77" s="5"/>
      <c r="UJ77" s="6"/>
      <c r="UK77" s="4"/>
      <c r="UL77" s="4"/>
      <c r="UM77" s="4"/>
      <c r="UN77" s="4"/>
      <c r="UO77" s="4"/>
      <c r="UP77" s="5"/>
      <c r="UQ77" s="6"/>
      <c r="UR77" s="4"/>
      <c r="US77" s="4"/>
      <c r="UT77" s="4"/>
      <c r="UU77" s="4"/>
      <c r="UV77" s="4"/>
      <c r="UW77" s="5"/>
      <c r="UX77" s="6"/>
      <c r="UY77" s="4"/>
      <c r="UZ77" s="4"/>
      <c r="VA77" s="4"/>
      <c r="VB77" s="4"/>
      <c r="VC77" s="4"/>
      <c r="VD77" s="5"/>
      <c r="VE77" s="6"/>
      <c r="VF77" s="4"/>
      <c r="VG77" s="4"/>
      <c r="VH77" s="4"/>
      <c r="VI77" s="4"/>
      <c r="VJ77" s="4"/>
      <c r="VK77" s="5"/>
      <c r="VL77" s="6"/>
      <c r="VM77" s="4"/>
      <c r="VN77" s="4"/>
      <c r="VO77" s="4"/>
      <c r="VP77" s="4"/>
      <c r="VQ77" s="4"/>
      <c r="VR77" s="5"/>
      <c r="VS77" s="6"/>
      <c r="VT77" s="4"/>
      <c r="VU77" s="4"/>
      <c r="VV77" s="4"/>
      <c r="VW77" s="4"/>
      <c r="VX77" s="4"/>
      <c r="VY77" s="5"/>
      <c r="VZ77" s="6"/>
      <c r="WA77" s="4"/>
      <c r="WB77" s="4"/>
      <c r="WC77" s="4"/>
      <c r="WD77" s="4"/>
      <c r="WE77" s="4"/>
      <c r="WF77" s="5"/>
      <c r="WG77" s="6"/>
      <c r="WH77" s="4"/>
      <c r="WI77" s="4"/>
      <c r="WJ77" s="4"/>
      <c r="WK77" s="4"/>
      <c r="WL77" s="4"/>
      <c r="WM77" s="5"/>
      <c r="WN77" s="6"/>
      <c r="WO77" s="4"/>
      <c r="WP77" s="4"/>
      <c r="WQ77" s="4"/>
      <c r="WR77" s="4"/>
      <c r="WS77" s="4"/>
      <c r="WT77" s="5"/>
      <c r="WU77" s="6"/>
      <c r="WV77" s="4"/>
      <c r="WW77" s="4"/>
      <c r="WX77" s="4"/>
      <c r="WY77" s="4"/>
      <c r="WZ77" s="4"/>
      <c r="XA77" s="5"/>
      <c r="XB77" s="6"/>
      <c r="XC77" s="4"/>
      <c r="XD77" s="4"/>
      <c r="XE77" s="4"/>
      <c r="XF77" s="4"/>
      <c r="XG77" s="4"/>
      <c r="XH77" s="5"/>
      <c r="XI77" s="6"/>
      <c r="XJ77" s="4"/>
      <c r="XK77" s="4"/>
      <c r="XL77" s="4"/>
      <c r="XM77" s="4"/>
      <c r="XN77" s="4"/>
      <c r="XO77" s="5"/>
      <c r="XP77" s="6"/>
      <c r="XQ77" s="4"/>
      <c r="XR77" s="4"/>
      <c r="XS77" s="4"/>
      <c r="XT77" s="4"/>
      <c r="XU77" s="4"/>
      <c r="XV77" s="5"/>
      <c r="XW77" s="6"/>
      <c r="XX77" s="4"/>
      <c r="XY77" s="4"/>
      <c r="XZ77" s="4"/>
      <c r="YA77" s="4"/>
      <c r="YB77" s="4"/>
      <c r="YC77" s="5"/>
      <c r="YD77" s="6"/>
      <c r="YE77" s="4"/>
      <c r="YF77" s="4"/>
      <c r="YG77" s="4"/>
      <c r="YH77" s="4"/>
      <c r="YI77" s="4"/>
      <c r="YJ77" s="5"/>
      <c r="YK77" s="6"/>
      <c r="YL77" s="4"/>
      <c r="YM77" s="4"/>
      <c r="YN77" s="4"/>
      <c r="YO77" s="4"/>
      <c r="YP77" s="4"/>
      <c r="YQ77" s="5"/>
      <c r="YR77" s="6"/>
      <c r="YS77" s="4"/>
      <c r="YT77" s="4"/>
      <c r="YU77" s="4"/>
      <c r="YV77" s="4"/>
      <c r="YW77" s="4"/>
      <c r="YX77" s="5"/>
      <c r="YY77" s="6"/>
      <c r="YZ77" s="4"/>
      <c r="ZA77" s="4"/>
      <c r="ZB77" s="4"/>
      <c r="ZC77" s="4"/>
      <c r="ZD77" s="4"/>
      <c r="ZE77" s="5"/>
      <c r="ZF77" s="6"/>
      <c r="ZG77" s="4"/>
      <c r="ZH77" s="4"/>
      <c r="ZI77" s="4"/>
      <c r="ZJ77" s="4"/>
      <c r="ZK77" s="4"/>
      <c r="ZL77" s="5"/>
      <c r="ZM77" s="6"/>
      <c r="ZN77" s="4"/>
      <c r="ZO77" s="4"/>
      <c r="ZP77" s="4"/>
      <c r="ZQ77" s="4"/>
      <c r="ZR77" s="4"/>
      <c r="ZS77" s="5"/>
      <c r="ZT77" s="6"/>
      <c r="ZU77" s="4"/>
      <c r="ZV77" s="4"/>
      <c r="ZW77" s="4"/>
      <c r="ZX77" s="4"/>
      <c r="ZY77" s="4"/>
      <c r="ZZ77" s="5"/>
      <c r="AAA77" s="6"/>
      <c r="AAB77" s="4"/>
      <c r="AAC77" s="4"/>
      <c r="AAD77" s="4"/>
      <c r="AAE77" s="4"/>
      <c r="AAF77" s="4"/>
      <c r="AAG77" s="5"/>
      <c r="AAH77" s="6"/>
      <c r="AAI77" s="4"/>
      <c r="AAJ77" s="4"/>
      <c r="AAK77" s="4"/>
      <c r="AAL77" s="4"/>
      <c r="AAM77" s="4"/>
      <c r="AAN77" s="5"/>
      <c r="AAO77" s="6"/>
      <c r="AAP77" s="4"/>
      <c r="AAQ77" s="4"/>
      <c r="AAR77" s="4"/>
      <c r="AAS77" s="4"/>
      <c r="AAT77" s="4"/>
      <c r="AAU77" s="5"/>
      <c r="AAV77" s="6"/>
      <c r="AAW77" s="4"/>
      <c r="AAX77" s="4"/>
      <c r="AAY77" s="4"/>
      <c r="AAZ77" s="4"/>
      <c r="ABA77" s="4"/>
      <c r="ABB77" s="5"/>
      <c r="ABC77" s="6"/>
      <c r="ABD77" s="4"/>
      <c r="ABE77" s="4"/>
      <c r="ABF77" s="4"/>
      <c r="ABG77" s="4"/>
      <c r="ABH77" s="4"/>
      <c r="ABI77" s="5"/>
      <c r="ABJ77" s="6"/>
      <c r="ABK77" s="4"/>
      <c r="ABL77" s="4"/>
      <c r="ABM77" s="4"/>
      <c r="ABN77" s="4"/>
      <c r="ABO77" s="4"/>
      <c r="ABP77" s="5"/>
      <c r="ABQ77" s="6"/>
      <c r="ABR77" s="4"/>
      <c r="ABS77" s="4"/>
      <c r="ABT77" s="4"/>
      <c r="ABU77" s="4"/>
      <c r="ABV77" s="4"/>
      <c r="ABW77" s="5"/>
      <c r="ABX77" s="6"/>
      <c r="ABY77" s="4"/>
      <c r="ABZ77" s="4"/>
      <c r="ACA77" s="4"/>
      <c r="ACB77" s="4"/>
      <c r="ACC77" s="4"/>
      <c r="ACD77" s="5"/>
      <c r="ACE77" s="6"/>
      <c r="ACF77" s="4"/>
      <c r="ACG77" s="4"/>
      <c r="ACH77" s="4"/>
      <c r="ACI77" s="4"/>
      <c r="ACJ77" s="4"/>
      <c r="ACK77" s="5"/>
      <c r="ACL77" s="6"/>
      <c r="ACM77" s="4"/>
      <c r="ACN77" s="4"/>
      <c r="ACO77" s="4"/>
      <c r="ACP77" s="4"/>
      <c r="ACQ77" s="4"/>
      <c r="ACR77" s="5"/>
      <c r="ACS77" s="6"/>
      <c r="ACT77" s="4"/>
      <c r="ACU77" s="4"/>
      <c r="ACV77" s="4"/>
      <c r="ACW77" s="4"/>
      <c r="ACX77" s="4"/>
      <c r="ACY77" s="5"/>
    </row>
    <row r="78" spans="2:781" x14ac:dyDescent="0.25">
      <c r="B78" s="49">
        <v>95900664</v>
      </c>
      <c r="D78" t="s">
        <v>1781</v>
      </c>
      <c r="F78" s="23">
        <v>1</v>
      </c>
      <c r="J78" s="12"/>
      <c r="K78" s="12"/>
      <c r="L78" s="12"/>
      <c r="M78">
        <v>1</v>
      </c>
      <c r="BC78">
        <v>1</v>
      </c>
      <c r="LL78" s="6"/>
      <c r="LM78" s="4"/>
      <c r="LN78" s="4"/>
      <c r="LO78" s="4"/>
      <c r="LP78" s="4"/>
      <c r="LQ78" s="4"/>
      <c r="LR78" s="5"/>
      <c r="LS78" s="6" t="s">
        <v>725</v>
      </c>
      <c r="LT78" s="4" t="s">
        <v>725</v>
      </c>
      <c r="LU78" s="4"/>
      <c r="LV78" s="4"/>
      <c r="LW78" s="4"/>
      <c r="LX78" s="4"/>
      <c r="LY78" s="5"/>
      <c r="LZ78" s="6" t="s">
        <v>2983</v>
      </c>
      <c r="MA78" s="7" t="s">
        <v>2983</v>
      </c>
      <c r="MB78" s="4"/>
      <c r="MC78" s="4"/>
      <c r="MD78" s="8"/>
      <c r="ME78" s="4"/>
      <c r="MF78" s="4" t="s">
        <v>619</v>
      </c>
      <c r="MG78" s="5"/>
      <c r="MH78" s="6"/>
      <c r="MI78" s="4"/>
      <c r="MJ78" s="4"/>
      <c r="MK78" s="4"/>
      <c r="ML78" s="4"/>
      <c r="MM78" s="4"/>
      <c r="MN78" s="5"/>
      <c r="MO78" s="6"/>
      <c r="MP78" s="4"/>
      <c r="MQ78" s="4"/>
      <c r="MR78" s="4"/>
      <c r="MS78" s="4"/>
      <c r="MT78" s="4"/>
      <c r="MU78" s="5"/>
      <c r="MV78" s="6"/>
      <c r="MW78" s="4"/>
      <c r="MX78" s="4"/>
      <c r="MY78" s="4"/>
      <c r="MZ78" s="4"/>
      <c r="NA78" s="4"/>
      <c r="NB78" s="5"/>
      <c r="NC78" s="6"/>
      <c r="ND78" s="4"/>
      <c r="NE78" s="4"/>
      <c r="NF78" s="4"/>
      <c r="NG78" s="4"/>
      <c r="NH78" s="4"/>
      <c r="NI78" s="5"/>
      <c r="NJ78" s="6"/>
      <c r="NK78" s="4"/>
      <c r="NL78" s="4"/>
      <c r="NM78" s="4"/>
      <c r="NN78" s="4"/>
      <c r="NO78" s="4"/>
      <c r="NP78" s="5"/>
      <c r="NQ78" s="6"/>
      <c r="NR78" s="4"/>
      <c r="NS78" s="4"/>
      <c r="NT78" s="4"/>
      <c r="NU78" s="4"/>
      <c r="NV78" s="4"/>
      <c r="NW78" s="5"/>
      <c r="NX78" s="6"/>
      <c r="NY78" s="4"/>
      <c r="NZ78" s="4"/>
      <c r="OA78" s="4"/>
      <c r="OB78" s="4"/>
      <c r="OC78" s="4"/>
      <c r="OD78" s="5"/>
      <c r="OE78" s="6"/>
      <c r="OF78" s="4"/>
      <c r="OG78" s="4"/>
      <c r="OH78" s="4"/>
      <c r="OI78" s="4"/>
      <c r="OJ78" s="4"/>
      <c r="OK78" s="5"/>
      <c r="OL78" s="6"/>
      <c r="OM78" s="4"/>
      <c r="ON78" s="4"/>
      <c r="OO78" s="4"/>
      <c r="OP78" s="4"/>
      <c r="OQ78" s="4"/>
      <c r="OR78" s="5"/>
      <c r="OS78" s="6"/>
      <c r="OT78" s="4"/>
      <c r="OU78" s="4"/>
      <c r="OV78" s="4"/>
      <c r="OW78" s="4"/>
      <c r="OX78" s="4"/>
      <c r="OY78" s="5"/>
      <c r="OZ78" s="6"/>
      <c r="PA78" s="4"/>
      <c r="PB78" s="4"/>
      <c r="PC78" s="4"/>
      <c r="PD78" s="4"/>
      <c r="PE78" s="4"/>
      <c r="PF78" s="5"/>
      <c r="PG78" s="6"/>
      <c r="PH78" s="4"/>
      <c r="PI78" s="4"/>
      <c r="PJ78" s="4"/>
      <c r="PK78" s="4"/>
      <c r="PL78" s="4"/>
      <c r="PM78" s="5"/>
      <c r="PN78" s="6"/>
      <c r="PO78" s="4"/>
      <c r="PP78" s="4"/>
      <c r="PQ78" s="4"/>
      <c r="PR78" s="4"/>
      <c r="PS78" s="4"/>
      <c r="PT78" s="5"/>
      <c r="PU78" s="6"/>
      <c r="PV78" s="4"/>
      <c r="PW78" s="4"/>
      <c r="PX78" s="4"/>
      <c r="PY78" s="4"/>
      <c r="PZ78" s="4"/>
      <c r="QA78" s="5"/>
      <c r="QB78" s="6"/>
      <c r="QC78" s="4"/>
      <c r="QD78" s="4"/>
      <c r="QE78" s="4"/>
      <c r="QF78" s="4"/>
      <c r="QG78" s="4"/>
      <c r="QH78" s="5"/>
      <c r="QI78" s="6"/>
      <c r="QJ78" s="4"/>
      <c r="QK78" s="4"/>
      <c r="QL78" s="4"/>
      <c r="QM78" s="4"/>
      <c r="QN78" s="4"/>
      <c r="QO78" s="5"/>
      <c r="QP78" s="6"/>
      <c r="QQ78" s="4"/>
      <c r="QR78" s="4"/>
      <c r="QS78" s="4"/>
      <c r="QT78" s="4"/>
      <c r="QU78" s="4"/>
      <c r="QV78" s="5"/>
      <c r="QW78" s="6"/>
      <c r="QX78" s="4"/>
      <c r="QY78" s="4"/>
      <c r="QZ78" s="4"/>
      <c r="RA78" s="4"/>
      <c r="RB78" s="4"/>
      <c r="RC78" s="5"/>
      <c r="RD78" s="6"/>
      <c r="RE78" s="4"/>
      <c r="RF78" s="4"/>
      <c r="RG78" s="4"/>
      <c r="RH78" s="4"/>
      <c r="RI78" s="4"/>
      <c r="RJ78" s="5"/>
      <c r="RK78" s="6"/>
      <c r="RL78" s="4"/>
      <c r="RM78" s="4"/>
      <c r="RN78" s="4"/>
      <c r="RO78" s="4"/>
      <c r="RP78" s="4"/>
      <c r="RQ78" s="5"/>
      <c r="RR78" s="6"/>
      <c r="RS78" s="4"/>
      <c r="RT78" s="4"/>
      <c r="RU78" s="4"/>
      <c r="RV78" s="4"/>
      <c r="RW78" s="4"/>
      <c r="RX78" s="5"/>
      <c r="RY78" s="6"/>
      <c r="RZ78" s="4"/>
      <c r="SA78" s="4"/>
      <c r="SB78" s="4"/>
      <c r="SC78" s="4"/>
      <c r="SD78" s="4"/>
      <c r="SE78" s="5"/>
      <c r="SF78" s="6"/>
      <c r="SG78" s="4"/>
      <c r="SH78" s="4"/>
      <c r="SI78" s="4"/>
      <c r="SJ78" s="4"/>
      <c r="SK78" s="4"/>
      <c r="SL78" s="5"/>
      <c r="SM78" s="6"/>
      <c r="SN78" s="4"/>
      <c r="SO78" s="4"/>
      <c r="SP78" s="4"/>
      <c r="SQ78" s="4"/>
      <c r="SR78" s="4"/>
      <c r="SS78" s="5"/>
      <c r="ST78" s="6"/>
      <c r="SU78" s="4"/>
      <c r="SV78" s="4"/>
      <c r="SW78" s="4"/>
      <c r="SX78" s="4"/>
      <c r="SY78" s="4"/>
      <c r="SZ78" s="5"/>
      <c r="TA78" s="6"/>
      <c r="TB78" s="4"/>
      <c r="TC78" s="4"/>
      <c r="TD78" s="4"/>
      <c r="TE78" s="4"/>
      <c r="TF78" s="4"/>
      <c r="TG78" s="5"/>
      <c r="TH78" s="6"/>
      <c r="TI78" s="4"/>
      <c r="TJ78" s="4"/>
      <c r="TK78" s="4"/>
      <c r="TL78" s="4"/>
      <c r="TM78" s="4"/>
      <c r="TN78" s="5"/>
      <c r="TO78" s="6"/>
      <c r="TP78" s="4"/>
      <c r="TQ78" s="4"/>
      <c r="TR78" s="4"/>
      <c r="TS78" s="4"/>
      <c r="TT78" s="4"/>
      <c r="TU78" s="5"/>
      <c r="TV78" s="6"/>
      <c r="TW78" s="4"/>
      <c r="TX78" s="4"/>
      <c r="TY78" s="4"/>
      <c r="TZ78" s="4"/>
      <c r="UA78" s="4"/>
      <c r="UB78" s="5"/>
      <c r="UC78" s="6"/>
      <c r="UD78" s="4"/>
      <c r="UE78" s="4"/>
      <c r="UF78" s="4"/>
      <c r="UG78" s="4"/>
      <c r="UH78" s="4"/>
      <c r="UI78" s="5"/>
      <c r="UJ78" s="6"/>
      <c r="UK78" s="4"/>
      <c r="UL78" s="4"/>
      <c r="UM78" s="4"/>
      <c r="UN78" s="4"/>
      <c r="UO78" s="4"/>
      <c r="UP78" s="5"/>
      <c r="UQ78" s="6"/>
      <c r="UR78" s="4"/>
      <c r="US78" s="4"/>
      <c r="UT78" s="4"/>
      <c r="UU78" s="4"/>
      <c r="UV78" s="4"/>
      <c r="UW78" s="5"/>
      <c r="UX78" s="6"/>
      <c r="UY78" s="4"/>
      <c r="UZ78" s="4"/>
      <c r="VA78" s="4"/>
      <c r="VB78" s="4"/>
      <c r="VC78" s="4"/>
      <c r="VD78" s="5"/>
      <c r="VE78" s="6"/>
      <c r="VF78" s="4"/>
      <c r="VG78" s="4"/>
      <c r="VH78" s="4"/>
      <c r="VI78" s="4"/>
      <c r="VJ78" s="4"/>
      <c r="VK78" s="5"/>
      <c r="VL78" s="6" t="s">
        <v>726</v>
      </c>
      <c r="VM78" s="4" t="s">
        <v>727</v>
      </c>
      <c r="VN78" s="4"/>
      <c r="VO78" s="4"/>
      <c r="VP78" s="4"/>
      <c r="VQ78" s="4"/>
      <c r="VR78" s="5" t="s">
        <v>728</v>
      </c>
      <c r="VS78" s="6"/>
      <c r="VT78" s="4"/>
      <c r="VU78" s="4"/>
      <c r="VV78" s="4"/>
      <c r="VW78" s="4"/>
      <c r="VX78" s="4"/>
      <c r="VY78" s="5"/>
      <c r="VZ78" s="6"/>
      <c r="WA78" s="4"/>
      <c r="WB78" s="4"/>
      <c r="WC78" s="4"/>
      <c r="WD78" s="4"/>
      <c r="WE78" s="4"/>
      <c r="WF78" s="5"/>
      <c r="WG78" s="6"/>
      <c r="WH78" s="4"/>
      <c r="WI78" s="4"/>
      <c r="WJ78" s="4"/>
      <c r="WK78" s="4"/>
      <c r="WL78" s="4"/>
      <c r="WM78" s="5"/>
      <c r="WN78" s="6"/>
      <c r="WO78" s="4"/>
      <c r="WP78" s="4"/>
      <c r="WQ78" s="4"/>
      <c r="WR78" s="4"/>
      <c r="WS78" s="4"/>
      <c r="WT78" s="5"/>
      <c r="WU78" s="6"/>
      <c r="WV78" s="4"/>
      <c r="WW78" s="4"/>
      <c r="WX78" s="4"/>
      <c r="WY78" s="4"/>
      <c r="WZ78" s="4"/>
      <c r="XA78" s="5"/>
      <c r="XB78" s="6"/>
      <c r="XC78" s="4"/>
      <c r="XD78" s="4"/>
      <c r="XE78" s="4"/>
      <c r="XF78" s="4"/>
      <c r="XG78" s="4"/>
      <c r="XH78" s="5"/>
      <c r="XI78" s="6"/>
      <c r="XJ78" s="4"/>
      <c r="XK78" s="4"/>
      <c r="XL78" s="4"/>
      <c r="XM78" s="4"/>
      <c r="XN78" s="4"/>
      <c r="XO78" s="5"/>
      <c r="XP78" s="6"/>
      <c r="XQ78" s="4"/>
      <c r="XR78" s="4"/>
      <c r="XS78" s="4"/>
      <c r="XT78" s="4"/>
      <c r="XU78" s="4"/>
      <c r="XV78" s="5"/>
      <c r="XW78" s="6"/>
      <c r="XX78" s="4"/>
      <c r="XY78" s="4"/>
      <c r="XZ78" s="4"/>
      <c r="YA78" s="4"/>
      <c r="YB78" s="4"/>
      <c r="YC78" s="5"/>
      <c r="YD78" s="6"/>
      <c r="YE78" s="4"/>
      <c r="YF78" s="4"/>
      <c r="YG78" s="4"/>
      <c r="YH78" s="4"/>
      <c r="YI78" s="4"/>
      <c r="YJ78" s="5"/>
      <c r="YK78" s="6"/>
      <c r="YL78" s="4"/>
      <c r="YM78" s="4"/>
      <c r="YN78" s="4"/>
      <c r="YO78" s="4"/>
      <c r="YP78" s="4"/>
      <c r="YQ78" s="5"/>
      <c r="YR78" s="6"/>
      <c r="YS78" s="4"/>
      <c r="YT78" s="4"/>
      <c r="YU78" s="4"/>
      <c r="YV78" s="4"/>
      <c r="YW78" s="4"/>
      <c r="YX78" s="5"/>
      <c r="YY78" s="6"/>
      <c r="YZ78" s="4"/>
      <c r="ZA78" s="4"/>
      <c r="ZB78" s="4"/>
      <c r="ZC78" s="4"/>
      <c r="ZD78" s="4"/>
      <c r="ZE78" s="5"/>
      <c r="ZF78" s="6"/>
      <c r="ZG78" s="4"/>
      <c r="ZH78" s="4"/>
      <c r="ZI78" s="4"/>
      <c r="ZJ78" s="4"/>
      <c r="ZK78" s="4"/>
      <c r="ZL78" s="5"/>
      <c r="ZM78" s="6"/>
      <c r="ZN78" s="4"/>
      <c r="ZO78" s="4"/>
      <c r="ZP78" s="4"/>
      <c r="ZQ78" s="4"/>
      <c r="ZR78" s="4"/>
      <c r="ZS78" s="5"/>
      <c r="ZT78" s="6"/>
      <c r="ZU78" s="4"/>
      <c r="ZV78" s="4"/>
      <c r="ZW78" s="4"/>
      <c r="ZX78" s="4"/>
      <c r="ZY78" s="4"/>
      <c r="ZZ78" s="5"/>
      <c r="AAA78" s="6"/>
      <c r="AAB78" s="4"/>
      <c r="AAC78" s="4"/>
      <c r="AAD78" s="4"/>
      <c r="AAE78" s="4"/>
      <c r="AAF78" s="4"/>
      <c r="AAG78" s="5"/>
      <c r="AAH78" s="6"/>
      <c r="AAI78" s="4"/>
      <c r="AAJ78" s="4"/>
      <c r="AAK78" s="4"/>
      <c r="AAL78" s="4"/>
      <c r="AAM78" s="4"/>
      <c r="AAN78" s="5"/>
      <c r="AAO78" s="6"/>
      <c r="AAP78" s="4"/>
      <c r="AAQ78" s="4"/>
      <c r="AAR78" s="4"/>
      <c r="AAS78" s="4"/>
      <c r="AAT78" s="4"/>
      <c r="AAU78" s="5"/>
      <c r="AAV78" s="6"/>
      <c r="AAW78" s="4"/>
      <c r="AAX78" s="4"/>
      <c r="AAY78" s="4"/>
      <c r="AAZ78" s="4"/>
      <c r="ABA78" s="4"/>
      <c r="ABB78" s="5"/>
      <c r="ABC78" s="6"/>
      <c r="ABD78" s="4"/>
      <c r="ABE78" s="4"/>
      <c r="ABF78" s="4"/>
      <c r="ABG78" s="4"/>
      <c r="ABH78" s="4"/>
      <c r="ABI78" s="5"/>
      <c r="ABJ78" s="6"/>
      <c r="ABK78" s="4"/>
      <c r="ABL78" s="4"/>
      <c r="ABM78" s="4"/>
      <c r="ABN78" s="4"/>
      <c r="ABO78" s="4"/>
      <c r="ABP78" s="5"/>
      <c r="ABQ78" s="6"/>
      <c r="ABR78" s="4"/>
      <c r="ABS78" s="4"/>
      <c r="ABT78" s="4"/>
      <c r="ABU78" s="4"/>
      <c r="ABV78" s="4"/>
      <c r="ABW78" s="5"/>
      <c r="ABX78" s="6"/>
      <c r="ABY78" s="4"/>
      <c r="ABZ78" s="4"/>
      <c r="ACA78" s="4"/>
      <c r="ACB78" s="4"/>
      <c r="ACC78" s="4"/>
      <c r="ACD78" s="5"/>
      <c r="ACE78" s="6"/>
      <c r="ACF78" s="4"/>
      <c r="ACG78" s="4"/>
      <c r="ACH78" s="4"/>
      <c r="ACI78" s="4"/>
      <c r="ACJ78" s="4"/>
      <c r="ACK78" s="5"/>
      <c r="ACL78" s="6"/>
      <c r="ACM78" s="4"/>
      <c r="ACN78" s="4"/>
      <c r="ACO78" s="4"/>
      <c r="ACP78" s="4"/>
      <c r="ACQ78" s="4"/>
      <c r="ACR78" s="5"/>
      <c r="ACS78" s="6"/>
      <c r="ACT78" s="4"/>
      <c r="ACU78" s="4"/>
      <c r="ACV78" s="4"/>
      <c r="ACW78" s="4"/>
      <c r="ACX78" s="4"/>
      <c r="ACY78" s="5"/>
    </row>
    <row r="79" spans="2:781" x14ac:dyDescent="0.25">
      <c r="B79" s="30"/>
      <c r="J79" s="12"/>
      <c r="K79" s="12"/>
      <c r="L79" s="12"/>
      <c r="LL79" s="6"/>
      <c r="LM79" s="4"/>
      <c r="LN79" s="4"/>
      <c r="LO79" s="4"/>
      <c r="LP79" s="4"/>
      <c r="LQ79" s="4"/>
      <c r="LR79" s="5"/>
      <c r="LS79" s="6"/>
      <c r="LT79" s="4"/>
      <c r="LU79" s="4"/>
      <c r="LV79" s="4"/>
      <c r="LW79" s="4"/>
      <c r="LX79" s="4"/>
      <c r="LY79" s="5"/>
      <c r="LZ79" s="6" t="s">
        <v>722</v>
      </c>
      <c r="MA79" s="7" t="s">
        <v>2375</v>
      </c>
      <c r="MB79" s="4"/>
      <c r="MC79" s="4"/>
      <c r="MD79" s="8"/>
      <c r="ME79" s="4"/>
      <c r="MF79" s="7" t="s">
        <v>618</v>
      </c>
      <c r="MG79" s="5"/>
      <c r="MH79" s="6"/>
      <c r="MI79" s="4"/>
      <c r="MJ79" s="4"/>
      <c r="MK79" s="4"/>
      <c r="ML79" s="4"/>
      <c r="MM79" s="4"/>
      <c r="MN79" s="5"/>
      <c r="MO79" s="6"/>
      <c r="MP79" s="4"/>
      <c r="MQ79" s="4"/>
      <c r="MR79" s="4"/>
      <c r="MS79" s="4"/>
      <c r="MT79" s="4"/>
      <c r="MU79" s="5"/>
      <c r="MV79" s="6"/>
      <c r="MW79" s="4"/>
      <c r="MX79" s="4"/>
      <c r="MY79" s="4"/>
      <c r="MZ79" s="4"/>
      <c r="NA79" s="4"/>
      <c r="NB79" s="5"/>
      <c r="NC79" s="6"/>
      <c r="ND79" s="4"/>
      <c r="NE79" s="4"/>
      <c r="NF79" s="4"/>
      <c r="NG79" s="4"/>
      <c r="NH79" s="4"/>
      <c r="NI79" s="5"/>
      <c r="NJ79" s="6"/>
      <c r="NK79" s="4"/>
      <c r="NL79" s="4"/>
      <c r="NM79" s="4"/>
      <c r="NN79" s="4"/>
      <c r="NO79" s="4"/>
      <c r="NP79" s="5"/>
      <c r="NQ79" s="6"/>
      <c r="NR79" s="4"/>
      <c r="NS79" s="4"/>
      <c r="NT79" s="4"/>
      <c r="NU79" s="4"/>
      <c r="NV79" s="4"/>
      <c r="NW79" s="5"/>
      <c r="NX79" s="6"/>
      <c r="NY79" s="4"/>
      <c r="NZ79" s="4"/>
      <c r="OA79" s="4"/>
      <c r="OB79" s="4"/>
      <c r="OC79" s="4"/>
      <c r="OD79" s="5"/>
      <c r="OE79" s="6"/>
      <c r="OF79" s="4"/>
      <c r="OG79" s="4"/>
      <c r="OH79" s="4"/>
      <c r="OI79" s="4"/>
      <c r="OJ79" s="4"/>
      <c r="OK79" s="5"/>
      <c r="OL79" s="6"/>
      <c r="OM79" s="4"/>
      <c r="ON79" s="4"/>
      <c r="OO79" s="4"/>
      <c r="OP79" s="4"/>
      <c r="OQ79" s="4"/>
      <c r="OR79" s="5"/>
      <c r="OS79" s="6"/>
      <c r="OT79" s="4"/>
      <c r="OU79" s="4"/>
      <c r="OV79" s="4"/>
      <c r="OW79" s="4"/>
      <c r="OX79" s="4"/>
      <c r="OY79" s="5"/>
      <c r="OZ79" s="6"/>
      <c r="PA79" s="4"/>
      <c r="PB79" s="4"/>
      <c r="PC79" s="4"/>
      <c r="PD79" s="4"/>
      <c r="PE79" s="4"/>
      <c r="PF79" s="5"/>
      <c r="PG79" s="6"/>
      <c r="PH79" s="4"/>
      <c r="PI79" s="4"/>
      <c r="PJ79" s="4"/>
      <c r="PK79" s="4"/>
      <c r="PL79" s="4"/>
      <c r="PM79" s="5"/>
      <c r="PN79" s="6"/>
      <c r="PO79" s="4"/>
      <c r="PP79" s="4"/>
      <c r="PQ79" s="4"/>
      <c r="PR79" s="4"/>
      <c r="PS79" s="4"/>
      <c r="PT79" s="5"/>
      <c r="PU79" s="6"/>
      <c r="PV79" s="4"/>
      <c r="PW79" s="4"/>
      <c r="PX79" s="4"/>
      <c r="PY79" s="4"/>
      <c r="PZ79" s="4"/>
      <c r="QA79" s="5"/>
      <c r="QB79" s="6"/>
      <c r="QC79" s="4"/>
      <c r="QD79" s="4"/>
      <c r="QE79" s="4"/>
      <c r="QF79" s="4"/>
      <c r="QG79" s="4"/>
      <c r="QH79" s="5"/>
      <c r="QI79" s="6"/>
      <c r="QJ79" s="4"/>
      <c r="QK79" s="4"/>
      <c r="QL79" s="4"/>
      <c r="QM79" s="4"/>
      <c r="QN79" s="4"/>
      <c r="QO79" s="5"/>
      <c r="QP79" s="6"/>
      <c r="QQ79" s="4"/>
      <c r="QR79" s="4"/>
      <c r="QS79" s="4"/>
      <c r="QT79" s="4"/>
      <c r="QU79" s="4"/>
      <c r="QV79" s="5"/>
      <c r="QW79" s="6"/>
      <c r="QX79" s="4"/>
      <c r="QY79" s="4"/>
      <c r="QZ79" s="4"/>
      <c r="RA79" s="4"/>
      <c r="RB79" s="4"/>
      <c r="RC79" s="5"/>
      <c r="RD79" s="6"/>
      <c r="RE79" s="4"/>
      <c r="RF79" s="4"/>
      <c r="RG79" s="4"/>
      <c r="RH79" s="4"/>
      <c r="RI79" s="4"/>
      <c r="RJ79" s="5"/>
      <c r="RK79" s="6"/>
      <c r="RL79" s="4"/>
      <c r="RM79" s="4"/>
      <c r="RN79" s="4"/>
      <c r="RO79" s="4"/>
      <c r="RP79" s="4"/>
      <c r="RQ79" s="5"/>
      <c r="RR79" s="6"/>
      <c r="RS79" s="4"/>
      <c r="RT79" s="4"/>
      <c r="RU79" s="4"/>
      <c r="RV79" s="4"/>
      <c r="RW79" s="4"/>
      <c r="RX79" s="5"/>
      <c r="RY79" s="6"/>
      <c r="RZ79" s="4"/>
      <c r="SA79" s="4"/>
      <c r="SB79" s="4"/>
      <c r="SC79" s="4"/>
      <c r="SD79" s="4"/>
      <c r="SE79" s="5"/>
      <c r="SF79" s="6"/>
      <c r="SG79" s="4"/>
      <c r="SH79" s="4"/>
      <c r="SI79" s="4"/>
      <c r="SJ79" s="4"/>
      <c r="SK79" s="4"/>
      <c r="SL79" s="5"/>
      <c r="SM79" s="6"/>
      <c r="SN79" s="4"/>
      <c r="SO79" s="4"/>
      <c r="SP79" s="4"/>
      <c r="SQ79" s="4"/>
      <c r="SR79" s="4"/>
      <c r="SS79" s="5"/>
      <c r="ST79" s="6"/>
      <c r="SU79" s="4"/>
      <c r="SV79" s="4"/>
      <c r="SW79" s="4"/>
      <c r="SX79" s="4"/>
      <c r="SY79" s="4"/>
      <c r="SZ79" s="5"/>
      <c r="TA79" s="6"/>
      <c r="TB79" s="4"/>
      <c r="TC79" s="4"/>
      <c r="TD79" s="4"/>
      <c r="TE79" s="4"/>
      <c r="TF79" s="4"/>
      <c r="TG79" s="5"/>
      <c r="TH79" s="6"/>
      <c r="TI79" s="4"/>
      <c r="TJ79" s="4"/>
      <c r="TK79" s="4"/>
      <c r="TL79" s="4"/>
      <c r="TM79" s="4"/>
      <c r="TN79" s="5"/>
      <c r="TO79" s="6"/>
      <c r="TP79" s="4"/>
      <c r="TQ79" s="4"/>
      <c r="TR79" s="4"/>
      <c r="TS79" s="4"/>
      <c r="TT79" s="4"/>
      <c r="TU79" s="5"/>
      <c r="TV79" s="6"/>
      <c r="TW79" s="4"/>
      <c r="TX79" s="4"/>
      <c r="TY79" s="4"/>
      <c r="TZ79" s="4"/>
      <c r="UA79" s="4"/>
      <c r="UB79" s="5"/>
      <c r="UC79" s="6"/>
      <c r="UD79" s="4"/>
      <c r="UE79" s="4"/>
      <c r="UF79" s="4"/>
      <c r="UG79" s="4"/>
      <c r="UH79" s="4"/>
      <c r="UI79" s="5"/>
      <c r="UJ79" s="6"/>
      <c r="UK79" s="4"/>
      <c r="UL79" s="4"/>
      <c r="UM79" s="4"/>
      <c r="UN79" s="4"/>
      <c r="UO79" s="4"/>
      <c r="UP79" s="5"/>
      <c r="UQ79" s="6"/>
      <c r="UR79" s="4"/>
      <c r="US79" s="4"/>
      <c r="UT79" s="4"/>
      <c r="UU79" s="4"/>
      <c r="UV79" s="4"/>
      <c r="UW79" s="5"/>
      <c r="UX79" s="6"/>
      <c r="UY79" s="4"/>
      <c r="UZ79" s="4"/>
      <c r="VA79" s="4"/>
      <c r="VB79" s="4"/>
      <c r="VC79" s="4"/>
      <c r="VD79" s="5"/>
      <c r="VE79" s="6"/>
      <c r="VF79" s="4"/>
      <c r="VG79" s="4"/>
      <c r="VH79" s="4"/>
      <c r="VI79" s="4"/>
      <c r="VJ79" s="4"/>
      <c r="VK79" s="5"/>
      <c r="VL79" s="6"/>
      <c r="VM79" s="4"/>
      <c r="VN79" s="4"/>
      <c r="VO79" s="4"/>
      <c r="VP79" s="4"/>
      <c r="VQ79" s="4"/>
      <c r="VR79" s="5"/>
      <c r="VS79" s="6"/>
      <c r="VT79" s="4"/>
      <c r="VU79" s="4"/>
      <c r="VV79" s="4"/>
      <c r="VW79" s="4"/>
      <c r="VX79" s="4"/>
      <c r="VY79" s="5"/>
      <c r="VZ79" s="6"/>
      <c r="WA79" s="4"/>
      <c r="WB79" s="4"/>
      <c r="WC79" s="4"/>
      <c r="WD79" s="4"/>
      <c r="WE79" s="4"/>
      <c r="WF79" s="5"/>
      <c r="WG79" s="6"/>
      <c r="WH79" s="4"/>
      <c r="WI79" s="4"/>
      <c r="WJ79" s="4"/>
      <c r="WK79" s="4"/>
      <c r="WL79" s="4"/>
      <c r="WM79" s="5"/>
      <c r="WN79" s="6"/>
      <c r="WO79" s="4"/>
      <c r="WP79" s="4"/>
      <c r="WQ79" s="4"/>
      <c r="WR79" s="4"/>
      <c r="WS79" s="4"/>
      <c r="WT79" s="5"/>
      <c r="WU79" s="6"/>
      <c r="WV79" s="4"/>
      <c r="WW79" s="4"/>
      <c r="WX79" s="4"/>
      <c r="WY79" s="4"/>
      <c r="WZ79" s="4"/>
      <c r="XA79" s="5"/>
      <c r="XB79" s="6"/>
      <c r="XC79" s="4"/>
      <c r="XD79" s="4"/>
      <c r="XE79" s="4"/>
      <c r="XF79" s="4"/>
      <c r="XG79" s="4"/>
      <c r="XH79" s="5"/>
      <c r="XI79" s="6"/>
      <c r="XJ79" s="4"/>
      <c r="XK79" s="4"/>
      <c r="XL79" s="4"/>
      <c r="XM79" s="4"/>
      <c r="XN79" s="4"/>
      <c r="XO79" s="5"/>
      <c r="XP79" s="6"/>
      <c r="XQ79" s="4"/>
      <c r="XR79" s="4"/>
      <c r="XS79" s="4"/>
      <c r="XT79" s="4"/>
      <c r="XU79" s="4"/>
      <c r="XV79" s="5"/>
      <c r="XW79" s="6"/>
      <c r="XX79" s="4"/>
      <c r="XY79" s="4"/>
      <c r="XZ79" s="4"/>
      <c r="YA79" s="4"/>
      <c r="YB79" s="4"/>
      <c r="YC79" s="5"/>
      <c r="YD79" s="6"/>
      <c r="YE79" s="4"/>
      <c r="YF79" s="4"/>
      <c r="YG79" s="4"/>
      <c r="YH79" s="4"/>
      <c r="YI79" s="4"/>
      <c r="YJ79" s="5"/>
      <c r="YK79" s="6"/>
      <c r="YL79" s="4"/>
      <c r="YM79" s="4"/>
      <c r="YN79" s="4"/>
      <c r="YO79" s="4"/>
      <c r="YP79" s="4"/>
      <c r="YQ79" s="5"/>
      <c r="YR79" s="6"/>
      <c r="YS79" s="4"/>
      <c r="YT79" s="4"/>
      <c r="YU79" s="4"/>
      <c r="YV79" s="4"/>
      <c r="YW79" s="4"/>
      <c r="YX79" s="5"/>
      <c r="YY79" s="6"/>
      <c r="YZ79" s="4"/>
      <c r="ZA79" s="4"/>
      <c r="ZB79" s="4"/>
      <c r="ZC79" s="4"/>
      <c r="ZD79" s="4"/>
      <c r="ZE79" s="5"/>
      <c r="ZF79" s="6"/>
      <c r="ZG79" s="4"/>
      <c r="ZH79" s="4"/>
      <c r="ZI79" s="4"/>
      <c r="ZJ79" s="4"/>
      <c r="ZK79" s="4"/>
      <c r="ZL79" s="5"/>
      <c r="ZM79" s="6"/>
      <c r="ZN79" s="4"/>
      <c r="ZO79" s="4"/>
      <c r="ZP79" s="4"/>
      <c r="ZQ79" s="4"/>
      <c r="ZR79" s="4"/>
      <c r="ZS79" s="5"/>
      <c r="ZT79" s="6"/>
      <c r="ZU79" s="4"/>
      <c r="ZV79" s="4"/>
      <c r="ZW79" s="4"/>
      <c r="ZX79" s="4"/>
      <c r="ZY79" s="4"/>
      <c r="ZZ79" s="5"/>
      <c r="AAA79" s="6"/>
      <c r="AAB79" s="4"/>
      <c r="AAC79" s="4"/>
      <c r="AAD79" s="4"/>
      <c r="AAE79" s="4"/>
      <c r="AAF79" s="4"/>
      <c r="AAG79" s="5"/>
      <c r="AAH79" s="6"/>
      <c r="AAI79" s="4"/>
      <c r="AAJ79" s="4"/>
      <c r="AAK79" s="4"/>
      <c r="AAL79" s="4"/>
      <c r="AAM79" s="4"/>
      <c r="AAN79" s="5"/>
      <c r="AAO79" s="6"/>
      <c r="AAP79" s="4"/>
      <c r="AAQ79" s="4"/>
      <c r="AAR79" s="4"/>
      <c r="AAS79" s="4"/>
      <c r="AAT79" s="4"/>
      <c r="AAU79" s="5"/>
      <c r="AAV79" s="6"/>
      <c r="AAW79" s="4"/>
      <c r="AAX79" s="4"/>
      <c r="AAY79" s="4"/>
      <c r="AAZ79" s="4"/>
      <c r="ABA79" s="4"/>
      <c r="ABB79" s="5"/>
      <c r="ABC79" s="6"/>
      <c r="ABD79" s="4"/>
      <c r="ABE79" s="4"/>
      <c r="ABF79" s="4"/>
      <c r="ABG79" s="4"/>
      <c r="ABH79" s="4"/>
      <c r="ABI79" s="5"/>
      <c r="ABJ79" s="6"/>
      <c r="ABK79" s="4"/>
      <c r="ABL79" s="4"/>
      <c r="ABM79" s="4"/>
      <c r="ABN79" s="4"/>
      <c r="ABO79" s="4"/>
      <c r="ABP79" s="5"/>
      <c r="ABQ79" s="6"/>
      <c r="ABR79" s="4"/>
      <c r="ABS79" s="4"/>
      <c r="ABT79" s="4"/>
      <c r="ABU79" s="4"/>
      <c r="ABV79" s="4"/>
      <c r="ABW79" s="5"/>
      <c r="ABX79" s="6"/>
      <c r="ABY79" s="4"/>
      <c r="ABZ79" s="4"/>
      <c r="ACA79" s="4"/>
      <c r="ACB79" s="4"/>
      <c r="ACC79" s="4"/>
      <c r="ACD79" s="5"/>
      <c r="ACE79" s="6"/>
      <c r="ACF79" s="4"/>
      <c r="ACG79" s="4"/>
      <c r="ACH79" s="4"/>
      <c r="ACI79" s="4"/>
      <c r="ACJ79" s="4"/>
      <c r="ACK79" s="5"/>
      <c r="ACL79" s="6"/>
      <c r="ACM79" s="4"/>
      <c r="ACN79" s="4"/>
      <c r="ACO79" s="4"/>
      <c r="ACP79" s="4"/>
      <c r="ACQ79" s="4"/>
      <c r="ACR79" s="5"/>
      <c r="ACS79" s="6"/>
      <c r="ACT79" s="4"/>
      <c r="ACU79" s="4"/>
      <c r="ACV79" s="4"/>
      <c r="ACW79" s="4"/>
      <c r="ACX79" s="4"/>
      <c r="ACY79" s="5"/>
    </row>
    <row r="80" spans="2:781" x14ac:dyDescent="0.25">
      <c r="B80" s="29">
        <v>95901189</v>
      </c>
      <c r="C80">
        <v>63</v>
      </c>
      <c r="D80" t="s">
        <v>3729</v>
      </c>
      <c r="F80" s="23" t="s">
        <v>1781</v>
      </c>
      <c r="I80">
        <v>1</v>
      </c>
      <c r="J80" s="19">
        <v>34602</v>
      </c>
      <c r="K80" s="19"/>
      <c r="L80" s="19"/>
      <c r="LL80" s="6"/>
      <c r="LM80" s="4"/>
      <c r="LN80" s="4"/>
      <c r="LO80" s="4"/>
      <c r="LP80" s="4"/>
      <c r="LQ80" s="4"/>
      <c r="LR80" s="5"/>
      <c r="LS80" s="6"/>
      <c r="LT80" s="4"/>
      <c r="LU80" s="4"/>
      <c r="LV80" s="4"/>
      <c r="LW80" s="4"/>
      <c r="LX80" s="4"/>
      <c r="LY80" s="5"/>
      <c r="LZ80" s="6" t="s">
        <v>2533</v>
      </c>
      <c r="MA80" s="7" t="s">
        <v>2693</v>
      </c>
      <c r="MB80" s="4"/>
      <c r="MC80" s="4"/>
      <c r="MD80" s="8"/>
      <c r="ME80" s="4"/>
      <c r="MF80" s="4"/>
      <c r="MG80" s="5"/>
      <c r="MH80" s="6"/>
      <c r="MI80" s="4"/>
      <c r="MJ80" s="4"/>
      <c r="MK80" s="4"/>
      <c r="ML80" s="4"/>
      <c r="MM80" s="4"/>
      <c r="MN80" s="5"/>
      <c r="MO80" s="6"/>
      <c r="MP80" s="4"/>
      <c r="MQ80" s="4"/>
      <c r="MR80" s="4"/>
      <c r="MS80" s="4"/>
      <c r="MT80" s="4"/>
      <c r="MU80" s="5"/>
      <c r="MV80" s="6"/>
      <c r="MW80" s="4"/>
      <c r="MX80" s="4"/>
      <c r="MY80" s="4"/>
      <c r="MZ80" s="4"/>
      <c r="NA80" s="4"/>
      <c r="NB80" s="5"/>
      <c r="NC80" s="6"/>
      <c r="ND80" s="4"/>
      <c r="NE80" s="4"/>
      <c r="NF80" s="4"/>
      <c r="NG80" s="4"/>
      <c r="NH80" s="4"/>
      <c r="NI80" s="5"/>
      <c r="NJ80" s="6"/>
      <c r="NK80" s="4"/>
      <c r="NL80" s="4"/>
      <c r="NM80" s="4"/>
      <c r="NN80" s="4"/>
      <c r="NO80" s="4"/>
      <c r="NP80" s="5"/>
      <c r="NQ80" s="6"/>
      <c r="NR80" s="4"/>
      <c r="NS80" s="4"/>
      <c r="NT80" s="4"/>
      <c r="NU80" s="4"/>
      <c r="NV80" s="4"/>
      <c r="NW80" s="5"/>
      <c r="NX80" s="6"/>
      <c r="NY80" s="4"/>
      <c r="NZ80" s="4"/>
      <c r="OA80" s="4"/>
      <c r="OB80" s="4"/>
      <c r="OC80" s="4"/>
      <c r="OD80" s="5"/>
      <c r="OE80" s="6"/>
      <c r="OF80" s="4"/>
      <c r="OG80" s="4"/>
      <c r="OH80" s="4"/>
      <c r="OI80" s="4"/>
      <c r="OJ80" s="4"/>
      <c r="OK80" s="5"/>
      <c r="OL80" s="6"/>
      <c r="OM80" s="4"/>
      <c r="ON80" s="4"/>
      <c r="OO80" s="4"/>
      <c r="OP80" s="4"/>
      <c r="OQ80" s="4"/>
      <c r="OR80" s="5"/>
      <c r="OS80" s="6"/>
      <c r="OT80" s="4"/>
      <c r="OU80" s="4"/>
      <c r="OV80" s="4"/>
      <c r="OW80" s="4"/>
      <c r="OX80" s="4"/>
      <c r="OY80" s="5"/>
      <c r="OZ80" s="6"/>
      <c r="PA80" s="4"/>
      <c r="PB80" s="4"/>
      <c r="PC80" s="4"/>
      <c r="PD80" s="4"/>
      <c r="PE80" s="4"/>
      <c r="PF80" s="5"/>
      <c r="PG80" s="6"/>
      <c r="PH80" s="4"/>
      <c r="PI80" s="4"/>
      <c r="PJ80" s="4"/>
      <c r="PK80" s="4"/>
      <c r="PL80" s="4"/>
      <c r="PM80" s="5"/>
      <c r="PN80" s="6"/>
      <c r="PO80" s="4"/>
      <c r="PP80" s="4"/>
      <c r="PQ80" s="4"/>
      <c r="PR80" s="4"/>
      <c r="PS80" s="4"/>
      <c r="PT80" s="5"/>
      <c r="PU80" s="6"/>
      <c r="PV80" s="4"/>
      <c r="PW80" s="4"/>
      <c r="PX80" s="4"/>
      <c r="PY80" s="4"/>
      <c r="PZ80" s="4"/>
      <c r="QA80" s="5"/>
      <c r="QB80" s="6"/>
      <c r="QC80" s="4"/>
      <c r="QD80" s="4"/>
      <c r="QE80" s="4"/>
      <c r="QF80" s="4"/>
      <c r="QG80" s="4"/>
      <c r="QH80" s="5"/>
      <c r="QI80" s="6"/>
      <c r="QJ80" s="4"/>
      <c r="QK80" s="4"/>
      <c r="QL80" s="4"/>
      <c r="QM80" s="4"/>
      <c r="QN80" s="4"/>
      <c r="QO80" s="5"/>
      <c r="QP80" s="6"/>
      <c r="QQ80" s="4"/>
      <c r="QR80" s="4"/>
      <c r="QS80" s="4"/>
      <c r="QT80" s="4"/>
      <c r="QU80" s="4"/>
      <c r="QV80" s="5"/>
      <c r="QW80" s="6"/>
      <c r="QX80" s="4"/>
      <c r="QY80" s="4"/>
      <c r="QZ80" s="4"/>
      <c r="RA80" s="4"/>
      <c r="RB80" s="4"/>
      <c r="RC80" s="5"/>
      <c r="RD80" s="6"/>
      <c r="RE80" s="4"/>
      <c r="RF80" s="4"/>
      <c r="RG80" s="4"/>
      <c r="RH80" s="4"/>
      <c r="RI80" s="4"/>
      <c r="RJ80" s="5"/>
      <c r="RK80" s="6"/>
      <c r="RL80" s="4"/>
      <c r="RM80" s="4"/>
      <c r="RN80" s="4"/>
      <c r="RO80" s="4"/>
      <c r="RP80" s="4"/>
      <c r="RQ80" s="5"/>
      <c r="RR80" s="6"/>
      <c r="RS80" s="4"/>
      <c r="RT80" s="4"/>
      <c r="RU80" s="4"/>
      <c r="RV80" s="4"/>
      <c r="RW80" s="4"/>
      <c r="RX80" s="5"/>
      <c r="RY80" s="6"/>
      <c r="RZ80" s="4"/>
      <c r="SA80" s="4"/>
      <c r="SB80" s="4"/>
      <c r="SC80" s="4"/>
      <c r="SD80" s="4"/>
      <c r="SE80" s="5"/>
      <c r="SF80" s="6"/>
      <c r="SG80" s="4"/>
      <c r="SH80" s="4"/>
      <c r="SI80" s="4"/>
      <c r="SJ80" s="4"/>
      <c r="SK80" s="4"/>
      <c r="SL80" s="5"/>
      <c r="SM80" s="6"/>
      <c r="SN80" s="4"/>
      <c r="SO80" s="4"/>
      <c r="SP80" s="4"/>
      <c r="SQ80" s="4"/>
      <c r="SR80" s="4"/>
      <c r="SS80" s="5"/>
      <c r="ST80" s="6"/>
      <c r="SU80" s="4"/>
      <c r="SV80" s="4"/>
      <c r="SW80" s="4"/>
      <c r="SX80" s="4"/>
      <c r="SY80" s="4"/>
      <c r="SZ80" s="5"/>
      <c r="TA80" s="6"/>
      <c r="TB80" s="4"/>
      <c r="TC80" s="4"/>
      <c r="TD80" s="4"/>
      <c r="TE80" s="4"/>
      <c r="TF80" s="4"/>
      <c r="TG80" s="5"/>
      <c r="TH80" s="6"/>
      <c r="TI80" s="4"/>
      <c r="TJ80" s="4"/>
      <c r="TK80" s="4"/>
      <c r="TL80" s="4"/>
      <c r="TM80" s="4"/>
      <c r="TN80" s="5"/>
      <c r="TO80" s="6"/>
      <c r="TP80" s="4"/>
      <c r="TQ80" s="4"/>
      <c r="TR80" s="4"/>
      <c r="TS80" s="4"/>
      <c r="TT80" s="4"/>
      <c r="TU80" s="5"/>
      <c r="TV80" s="6" t="s">
        <v>2675</v>
      </c>
      <c r="TW80" s="4" t="s">
        <v>2816</v>
      </c>
      <c r="TX80" s="4"/>
      <c r="TY80" s="4"/>
      <c r="TZ80" s="4"/>
      <c r="UA80" s="4"/>
      <c r="UB80" s="5"/>
      <c r="UC80" s="6"/>
      <c r="UD80" s="4"/>
      <c r="UE80" s="4"/>
      <c r="UF80" s="4"/>
      <c r="UG80" s="4"/>
      <c r="UH80" s="4"/>
      <c r="UI80" s="5"/>
      <c r="UJ80" s="6"/>
      <c r="UK80" s="4"/>
      <c r="UL80" s="4"/>
      <c r="UM80" s="4"/>
      <c r="UN80" s="4"/>
      <c r="UO80" s="4"/>
      <c r="UP80" s="5"/>
      <c r="UQ80" s="6"/>
      <c r="UR80" s="4"/>
      <c r="US80" s="4"/>
      <c r="UT80" s="4"/>
      <c r="UU80" s="4"/>
      <c r="UV80" s="4"/>
      <c r="UW80" s="5"/>
      <c r="UX80" s="6" t="s">
        <v>2577</v>
      </c>
      <c r="UY80" s="4" t="s">
        <v>2578</v>
      </c>
      <c r="UZ80" s="4"/>
      <c r="VA80" s="4"/>
      <c r="VB80" s="4"/>
      <c r="VC80" s="4"/>
      <c r="VD80" s="5"/>
      <c r="VE80" s="6"/>
      <c r="VF80" s="4"/>
      <c r="VG80" s="4"/>
      <c r="VH80" s="4"/>
      <c r="VI80" s="4"/>
      <c r="VJ80" s="4"/>
      <c r="VK80" s="5"/>
      <c r="VL80" s="6"/>
      <c r="VM80" s="4"/>
      <c r="VN80" s="4"/>
      <c r="VO80" s="4"/>
      <c r="VP80" s="4"/>
      <c r="VQ80" s="4"/>
      <c r="VR80" s="5"/>
      <c r="VS80" s="6"/>
      <c r="VT80" s="4"/>
      <c r="VU80" s="4"/>
      <c r="VV80" s="4"/>
      <c r="VW80" s="4"/>
      <c r="VX80" s="4"/>
      <c r="VY80" s="5"/>
      <c r="VZ80" s="6" t="s">
        <v>2573</v>
      </c>
      <c r="WA80" s="4" t="s">
        <v>2574</v>
      </c>
      <c r="WB80" s="4"/>
      <c r="WC80" s="4"/>
      <c r="WD80" s="4"/>
      <c r="WE80" s="4"/>
      <c r="WF80" s="5"/>
      <c r="WG80" s="6"/>
      <c r="WH80" s="4"/>
      <c r="WI80" s="4"/>
      <c r="WJ80" s="4"/>
      <c r="WK80" s="4"/>
      <c r="WL80" s="4"/>
      <c r="WM80" s="5"/>
      <c r="WN80" s="6"/>
      <c r="WO80" s="4"/>
      <c r="WP80" s="4"/>
      <c r="WQ80" s="4"/>
      <c r="WR80" s="4"/>
      <c r="WS80" s="4"/>
      <c r="WT80" s="5"/>
      <c r="WU80" s="6"/>
      <c r="WV80" s="4"/>
      <c r="WW80" s="4"/>
      <c r="WX80" s="4"/>
      <c r="WY80" s="4"/>
      <c r="WZ80" s="4"/>
      <c r="XA80" s="5"/>
      <c r="XB80" s="6"/>
      <c r="XC80" s="4"/>
      <c r="XD80" s="4"/>
      <c r="XE80" s="4"/>
      <c r="XF80" s="4"/>
      <c r="XG80" s="4"/>
      <c r="XH80" s="5"/>
      <c r="XI80" s="6"/>
      <c r="XJ80" s="4"/>
      <c r="XK80" s="4"/>
      <c r="XL80" s="4"/>
      <c r="XM80" s="4"/>
      <c r="XN80" s="4"/>
      <c r="XO80" s="5"/>
      <c r="XP80" s="6" t="s">
        <v>2575</v>
      </c>
      <c r="XQ80" s="4" t="s">
        <v>2576</v>
      </c>
      <c r="XR80" s="4"/>
      <c r="XS80" s="4"/>
      <c r="XT80" s="4"/>
      <c r="XU80" s="4"/>
      <c r="XV80" s="5"/>
      <c r="XW80" s="6"/>
      <c r="XX80" s="4"/>
      <c r="XY80" s="4"/>
      <c r="XZ80" s="4"/>
      <c r="YA80" s="4"/>
      <c r="YB80" s="4"/>
      <c r="YC80" s="5"/>
      <c r="YD80" s="6"/>
      <c r="YE80" s="4"/>
      <c r="YF80" s="4"/>
      <c r="YG80" s="4"/>
      <c r="YH80" s="4"/>
      <c r="YI80" s="4"/>
      <c r="YJ80" s="5"/>
      <c r="YK80" s="6"/>
      <c r="YL80" s="4"/>
      <c r="YM80" s="4"/>
      <c r="YN80" s="4"/>
      <c r="YO80" s="4"/>
      <c r="YP80" s="4"/>
      <c r="YQ80" s="5"/>
      <c r="YR80" s="6"/>
      <c r="YS80" s="4"/>
      <c r="YT80" s="4"/>
      <c r="YU80" s="4"/>
      <c r="YV80" s="4"/>
      <c r="YW80" s="4"/>
      <c r="YX80" s="5"/>
      <c r="YY80" s="6"/>
      <c r="YZ80" s="4"/>
      <c r="ZA80" s="4"/>
      <c r="ZB80" s="4"/>
      <c r="ZC80" s="4"/>
      <c r="ZD80" s="4"/>
      <c r="ZE80" s="5"/>
      <c r="ZF80" s="6"/>
      <c r="ZG80" s="4"/>
      <c r="ZH80" s="4"/>
      <c r="ZI80" s="4"/>
      <c r="ZJ80" s="4"/>
      <c r="ZK80" s="4"/>
      <c r="ZL80" s="5"/>
      <c r="ZM80" s="6"/>
      <c r="ZN80" s="4"/>
      <c r="ZO80" s="4"/>
      <c r="ZP80" s="4"/>
      <c r="ZQ80" s="4"/>
      <c r="ZR80" s="4"/>
      <c r="ZS80" s="5"/>
      <c r="ZT80" s="6"/>
      <c r="ZU80" s="4"/>
      <c r="ZV80" s="4"/>
      <c r="ZW80" s="4"/>
      <c r="ZX80" s="4"/>
      <c r="ZY80" s="4"/>
      <c r="ZZ80" s="5"/>
      <c r="AAA80" s="6"/>
      <c r="AAB80" s="4"/>
      <c r="AAC80" s="4"/>
      <c r="AAD80" s="4"/>
      <c r="AAE80" s="4"/>
      <c r="AAF80" s="4"/>
      <c r="AAG80" s="5"/>
      <c r="AAH80" s="6"/>
      <c r="AAI80" s="4"/>
      <c r="AAJ80" s="4"/>
      <c r="AAK80" s="4"/>
      <c r="AAL80" s="4"/>
      <c r="AAM80" s="4"/>
      <c r="AAN80" s="5"/>
      <c r="AAO80" s="6"/>
      <c r="AAP80" s="4"/>
      <c r="AAQ80" s="4"/>
      <c r="AAR80" s="4"/>
      <c r="AAS80" s="4"/>
      <c r="AAT80" s="4"/>
      <c r="AAU80" s="5"/>
      <c r="AAV80" s="6"/>
      <c r="AAW80" s="4"/>
      <c r="AAX80" s="4"/>
      <c r="AAY80" s="4"/>
      <c r="AAZ80" s="4"/>
      <c r="ABA80" s="4"/>
      <c r="ABB80" s="5"/>
      <c r="ABC80" s="6"/>
      <c r="ABD80" s="4"/>
      <c r="ABE80" s="4"/>
      <c r="ABF80" s="4"/>
      <c r="ABG80" s="4"/>
      <c r="ABH80" s="4"/>
      <c r="ABI80" s="5"/>
      <c r="ABJ80" s="6"/>
      <c r="ABK80" s="4"/>
      <c r="ABL80" s="4"/>
      <c r="ABM80" s="4"/>
      <c r="ABN80" s="4"/>
      <c r="ABO80" s="4"/>
      <c r="ABP80" s="5"/>
      <c r="ABQ80" s="6"/>
      <c r="ABR80" s="4"/>
      <c r="ABS80" s="4"/>
      <c r="ABT80" s="4"/>
      <c r="ABU80" s="4"/>
      <c r="ABV80" s="4"/>
      <c r="ABW80" s="5"/>
      <c r="ABX80" s="6"/>
      <c r="ABY80" s="4"/>
      <c r="ABZ80" s="4"/>
      <c r="ACA80" s="4"/>
      <c r="ACB80" s="4"/>
      <c r="ACC80" s="4"/>
      <c r="ACD80" s="5"/>
      <c r="ACE80" s="6"/>
      <c r="ACF80" s="4"/>
      <c r="ACG80" s="4"/>
      <c r="ACH80" s="4"/>
      <c r="ACI80" s="4"/>
      <c r="ACJ80" s="4"/>
      <c r="ACK80" s="5"/>
      <c r="ACL80" s="6"/>
      <c r="ACM80" s="4"/>
      <c r="ACN80" s="4"/>
      <c r="ACO80" s="4"/>
      <c r="ACP80" s="4"/>
      <c r="ACQ80" s="4"/>
      <c r="ACR80" s="5"/>
      <c r="ACS80" s="6"/>
      <c r="ACT80" s="4"/>
      <c r="ACU80" s="4"/>
      <c r="ACV80" s="4"/>
      <c r="ACW80" s="4"/>
      <c r="ACX80" s="4"/>
      <c r="ACY80" s="5"/>
    </row>
    <row r="81" spans="1:779" x14ac:dyDescent="0.25">
      <c r="A81" t="s">
        <v>4246</v>
      </c>
      <c r="B81" s="29">
        <v>95005911</v>
      </c>
      <c r="C81">
        <v>56</v>
      </c>
      <c r="D81" t="s">
        <v>3729</v>
      </c>
      <c r="F81" s="23" t="s">
        <v>1788</v>
      </c>
      <c r="I81">
        <v>1</v>
      </c>
      <c r="J81" s="19">
        <v>33930</v>
      </c>
      <c r="K81" s="19"/>
      <c r="L81" s="19"/>
      <c r="M81">
        <v>1</v>
      </c>
      <c r="N81" s="17">
        <v>33930</v>
      </c>
      <c r="AQ81">
        <v>1</v>
      </c>
      <c r="BE81">
        <v>1</v>
      </c>
      <c r="DY81">
        <v>1</v>
      </c>
      <c r="LL81" s="6"/>
      <c r="LM81" s="4"/>
      <c r="LN81" s="4"/>
      <c r="LO81" s="4"/>
      <c r="LP81" s="4"/>
      <c r="LQ81" s="4"/>
      <c r="LR81" s="5"/>
      <c r="LS81" s="6"/>
      <c r="LT81" s="4"/>
      <c r="LU81" s="4"/>
      <c r="LV81" s="4"/>
      <c r="LW81" s="4"/>
      <c r="LX81" s="4"/>
      <c r="LY81" s="5"/>
      <c r="LZ81" s="6" t="s">
        <v>2821</v>
      </c>
      <c r="MA81" s="7" t="s">
        <v>2654</v>
      </c>
      <c r="MB81" s="4"/>
      <c r="MC81" s="4"/>
      <c r="MD81" s="8"/>
      <c r="ME81" s="4"/>
      <c r="MF81" s="4"/>
      <c r="MG81" s="5"/>
      <c r="MH81" s="6"/>
      <c r="MI81" s="4"/>
      <c r="MJ81" s="4"/>
      <c r="MK81" s="4"/>
      <c r="ML81" s="4"/>
      <c r="MM81" s="4"/>
      <c r="MN81" s="5"/>
      <c r="MO81" s="6"/>
      <c r="MP81" s="4"/>
      <c r="MQ81" s="4"/>
      <c r="MR81" s="4"/>
      <c r="MS81" s="4"/>
      <c r="MT81" s="4"/>
      <c r="MU81" s="5"/>
      <c r="MV81" s="6" t="s">
        <v>2818</v>
      </c>
      <c r="MW81" s="4" t="s">
        <v>2819</v>
      </c>
      <c r="MX81" s="4"/>
      <c r="MY81" s="4"/>
      <c r="MZ81" s="4"/>
      <c r="NA81" s="4"/>
      <c r="NB81" s="5" t="s">
        <v>2820</v>
      </c>
      <c r="NC81" s="6"/>
      <c r="ND81" s="4"/>
      <c r="NE81" s="4"/>
      <c r="NF81" s="4"/>
      <c r="NG81" s="4"/>
      <c r="NH81" s="4"/>
      <c r="NI81" s="5"/>
      <c r="NJ81" s="6"/>
      <c r="NK81" s="4"/>
      <c r="NL81" s="4"/>
      <c r="NM81" s="4"/>
      <c r="NN81" s="4"/>
      <c r="NO81" s="4"/>
      <c r="NP81" s="5"/>
      <c r="NQ81" s="6"/>
      <c r="NR81" s="4"/>
      <c r="NS81" s="4"/>
      <c r="NT81" s="4"/>
      <c r="NU81" s="4"/>
      <c r="NV81" s="4"/>
      <c r="NW81" s="5"/>
      <c r="NX81" s="6"/>
      <c r="NY81" s="4"/>
      <c r="NZ81" s="4"/>
      <c r="OA81" s="4"/>
      <c r="OB81" s="4"/>
      <c r="OC81" s="4"/>
      <c r="OD81" s="5"/>
      <c r="OE81" s="6"/>
      <c r="OF81" s="4"/>
      <c r="OG81" s="4"/>
      <c r="OH81" s="4"/>
      <c r="OI81" s="4"/>
      <c r="OJ81" s="4"/>
      <c r="OK81" s="5"/>
      <c r="OL81" s="6"/>
      <c r="OM81" s="4"/>
      <c r="ON81" s="4"/>
      <c r="OO81" s="4"/>
      <c r="OP81" s="4"/>
      <c r="OQ81" s="4"/>
      <c r="OR81" s="5"/>
      <c r="OS81" s="6"/>
      <c r="OT81" s="4"/>
      <c r="OU81" s="4"/>
      <c r="OV81" s="4"/>
      <c r="OW81" s="4"/>
      <c r="OX81" s="4"/>
      <c r="OY81" s="5"/>
      <c r="OZ81" s="6"/>
      <c r="PA81" s="4"/>
      <c r="PB81" s="4"/>
      <c r="PC81" s="4"/>
      <c r="PD81" s="4"/>
      <c r="PE81" s="4"/>
      <c r="PF81" s="5"/>
      <c r="PG81" s="6"/>
      <c r="PH81" s="4"/>
      <c r="PI81" s="4"/>
      <c r="PJ81" s="4"/>
      <c r="PK81" s="4"/>
      <c r="PL81" s="4"/>
      <c r="PM81" s="5"/>
      <c r="PN81" s="6"/>
      <c r="PO81" s="4"/>
      <c r="PP81" s="4"/>
      <c r="PQ81" s="4"/>
      <c r="PR81" s="4"/>
      <c r="PS81" s="4"/>
      <c r="PT81" s="5"/>
      <c r="PU81" s="6"/>
      <c r="PV81" s="4"/>
      <c r="PW81" s="4"/>
      <c r="PX81" s="4"/>
      <c r="PY81" s="4"/>
      <c r="PZ81" s="4"/>
      <c r="QA81" s="5"/>
      <c r="QB81" s="6"/>
      <c r="QC81" s="4"/>
      <c r="QD81" s="4"/>
      <c r="QE81" s="4"/>
      <c r="QF81" s="4"/>
      <c r="QG81" s="4"/>
      <c r="QH81" s="5"/>
      <c r="QI81" s="6"/>
      <c r="QJ81" s="4"/>
      <c r="QK81" s="4"/>
      <c r="QL81" s="4"/>
      <c r="QM81" s="4"/>
      <c r="QN81" s="4"/>
      <c r="QO81" s="5"/>
      <c r="QP81" s="6"/>
      <c r="QQ81" s="4"/>
      <c r="QR81" s="4"/>
      <c r="QS81" s="4"/>
      <c r="QT81" s="4"/>
      <c r="QU81" s="4"/>
      <c r="QV81" s="5"/>
      <c r="QW81" s="6"/>
      <c r="QX81" s="4"/>
      <c r="QY81" s="4"/>
      <c r="QZ81" s="4"/>
      <c r="RA81" s="4"/>
      <c r="RB81" s="4"/>
      <c r="RC81" s="5"/>
      <c r="RD81" s="6"/>
      <c r="RE81" s="4"/>
      <c r="RF81" s="4"/>
      <c r="RG81" s="4"/>
      <c r="RH81" s="4"/>
      <c r="RI81" s="4"/>
      <c r="RJ81" s="5"/>
      <c r="RK81" s="6"/>
      <c r="RL81" s="4"/>
      <c r="RM81" s="4"/>
      <c r="RN81" s="4"/>
      <c r="RO81" s="4"/>
      <c r="RP81" s="4"/>
      <c r="RQ81" s="5"/>
      <c r="RR81" s="6"/>
      <c r="RS81" s="4"/>
      <c r="RT81" s="4"/>
      <c r="RU81" s="4"/>
      <c r="RV81" s="4"/>
      <c r="RW81" s="4"/>
      <c r="RX81" s="5"/>
      <c r="RY81" s="6"/>
      <c r="RZ81" s="4"/>
      <c r="SA81" s="4"/>
      <c r="SB81" s="4"/>
      <c r="SC81" s="4"/>
      <c r="SD81" s="4"/>
      <c r="SE81" s="5"/>
      <c r="SF81" s="6"/>
      <c r="SG81" s="4"/>
      <c r="SH81" s="4"/>
      <c r="SI81" s="4"/>
      <c r="SJ81" s="4"/>
      <c r="SK81" s="4"/>
      <c r="SL81" s="5"/>
      <c r="SM81" s="6"/>
      <c r="SN81" s="4"/>
      <c r="SO81" s="4"/>
      <c r="SP81" s="4"/>
      <c r="SQ81" s="4"/>
      <c r="SR81" s="4"/>
      <c r="SS81" s="5"/>
      <c r="ST81" s="6"/>
      <c r="SU81" s="4"/>
      <c r="SV81" s="4"/>
      <c r="SW81" s="4"/>
      <c r="SX81" s="4"/>
      <c r="SY81" s="4"/>
      <c r="SZ81" s="5"/>
      <c r="TA81" s="6"/>
      <c r="TB81" s="4"/>
      <c r="TC81" s="4"/>
      <c r="TD81" s="4"/>
      <c r="TE81" s="4"/>
      <c r="TF81" s="4"/>
      <c r="TG81" s="5"/>
      <c r="TH81" s="6"/>
      <c r="TI81" s="4"/>
      <c r="TJ81" s="4"/>
      <c r="TK81" s="4"/>
      <c r="TL81" s="4"/>
      <c r="TM81" s="4"/>
      <c r="TN81" s="5"/>
      <c r="TO81" s="6"/>
      <c r="TP81" s="4"/>
      <c r="TQ81" s="4"/>
      <c r="TR81" s="4"/>
      <c r="TS81" s="4"/>
      <c r="TT81" s="4"/>
      <c r="TU81" s="5"/>
      <c r="TV81" s="6"/>
      <c r="TW81" s="4"/>
      <c r="TX81" s="4"/>
      <c r="TY81" s="4"/>
      <c r="TZ81" s="4"/>
      <c r="UA81" s="4"/>
      <c r="UB81" s="5"/>
      <c r="UC81" s="6"/>
      <c r="UD81" s="4"/>
      <c r="UE81" s="4"/>
      <c r="UF81" s="4"/>
      <c r="UG81" s="4"/>
      <c r="UH81" s="4"/>
      <c r="UI81" s="5"/>
      <c r="UJ81" s="6"/>
      <c r="UK81" s="4"/>
      <c r="UL81" s="4"/>
      <c r="UM81" s="4"/>
      <c r="UN81" s="4"/>
      <c r="UO81" s="4"/>
      <c r="UP81" s="5"/>
      <c r="UQ81" s="6"/>
      <c r="UR81" s="4"/>
      <c r="US81" s="4"/>
      <c r="UT81" s="4"/>
      <c r="UU81" s="4"/>
      <c r="UV81" s="4"/>
      <c r="UW81" s="5"/>
      <c r="UX81" s="6"/>
      <c r="UY81" s="4"/>
      <c r="UZ81" s="4"/>
      <c r="VA81" s="4"/>
      <c r="VB81" s="4"/>
      <c r="VC81" s="4"/>
      <c r="VD81" s="5"/>
      <c r="VE81" s="6"/>
      <c r="VF81" s="4"/>
      <c r="VG81" s="4"/>
      <c r="VH81" s="4"/>
      <c r="VI81" s="4"/>
      <c r="VJ81" s="4"/>
      <c r="VK81" s="5"/>
      <c r="VL81" s="6"/>
      <c r="VM81" s="4"/>
      <c r="VN81" s="4"/>
      <c r="VO81" s="4"/>
      <c r="VP81" s="4"/>
      <c r="VQ81" s="4"/>
      <c r="VR81" s="5"/>
      <c r="VS81" s="6"/>
      <c r="VT81" s="4"/>
      <c r="VU81" s="4"/>
      <c r="VV81" s="4"/>
      <c r="VW81" s="4"/>
      <c r="VX81" s="4"/>
      <c r="VY81" s="5"/>
      <c r="VZ81" s="6"/>
      <c r="WA81" s="4"/>
      <c r="WB81" s="4"/>
      <c r="WC81" s="4"/>
      <c r="WD81" s="4"/>
      <c r="WE81" s="4"/>
      <c r="WF81" s="5"/>
      <c r="WG81" s="6"/>
      <c r="WH81" s="4"/>
      <c r="WI81" s="4"/>
      <c r="WJ81" s="4"/>
      <c r="WK81" s="4"/>
      <c r="WL81" s="4"/>
      <c r="WM81" s="5"/>
      <c r="WN81" s="6"/>
      <c r="WO81" s="4"/>
      <c r="WP81" s="4"/>
      <c r="WQ81" s="4"/>
      <c r="WR81" s="4"/>
      <c r="WS81" s="4"/>
      <c r="WT81" s="5"/>
      <c r="WU81" s="6"/>
      <c r="WV81" s="4"/>
      <c r="WW81" s="4"/>
      <c r="WX81" s="4"/>
      <c r="WY81" s="4"/>
      <c r="WZ81" s="4"/>
      <c r="XA81" s="5"/>
      <c r="XB81" s="6"/>
      <c r="XC81" s="4"/>
      <c r="XD81" s="4"/>
      <c r="XE81" s="4"/>
      <c r="XF81" s="4"/>
      <c r="XG81" s="4"/>
      <c r="XH81" s="5"/>
      <c r="XI81" s="6"/>
      <c r="XJ81" s="4"/>
      <c r="XK81" s="4"/>
      <c r="XL81" s="4"/>
      <c r="XM81" s="4"/>
      <c r="XN81" s="4"/>
      <c r="XO81" s="5"/>
      <c r="XP81" s="6" t="s">
        <v>2575</v>
      </c>
      <c r="XQ81" s="4" t="s">
        <v>2576</v>
      </c>
      <c r="XR81" s="4"/>
      <c r="XS81" s="4"/>
      <c r="XT81" s="4"/>
      <c r="XU81" s="4"/>
      <c r="XV81" s="5"/>
      <c r="XW81" s="6"/>
      <c r="XX81" s="4"/>
      <c r="XY81" s="4"/>
      <c r="XZ81" s="4"/>
      <c r="YA81" s="4"/>
      <c r="YB81" s="4"/>
      <c r="YC81" s="5"/>
      <c r="YD81" s="6"/>
      <c r="YE81" s="4"/>
      <c r="YF81" s="4"/>
      <c r="YG81" s="4"/>
      <c r="YH81" s="4"/>
      <c r="YI81" s="4"/>
      <c r="YJ81" s="5"/>
      <c r="YK81" s="6" t="s">
        <v>3105</v>
      </c>
      <c r="YL81" s="4" t="s">
        <v>1140</v>
      </c>
      <c r="YM81" s="4"/>
      <c r="YN81" s="4"/>
      <c r="YO81" s="4"/>
      <c r="YP81" s="4"/>
      <c r="YQ81" s="5" t="s">
        <v>2672</v>
      </c>
      <c r="YR81" s="6"/>
      <c r="YS81" s="4"/>
      <c r="YT81" s="4"/>
      <c r="YU81" s="4"/>
      <c r="YV81" s="4"/>
      <c r="YW81" s="4"/>
      <c r="YX81" s="5"/>
      <c r="YY81" s="6"/>
      <c r="YZ81" s="4"/>
      <c r="ZA81" s="4"/>
      <c r="ZB81" s="4"/>
      <c r="ZC81" s="4"/>
      <c r="ZD81" s="4"/>
      <c r="ZE81" s="5"/>
      <c r="ZF81" s="6"/>
      <c r="ZG81" s="4"/>
      <c r="ZH81" s="4"/>
      <c r="ZI81" s="4"/>
      <c r="ZJ81" s="4"/>
      <c r="ZK81" s="4"/>
      <c r="ZL81" s="5"/>
      <c r="ZM81" s="6"/>
      <c r="ZN81" s="4"/>
      <c r="ZO81" s="4"/>
      <c r="ZP81" s="4"/>
      <c r="ZQ81" s="4"/>
      <c r="ZR81" s="4"/>
      <c r="ZS81" s="5"/>
      <c r="ZT81" s="6"/>
      <c r="ZU81" s="4"/>
      <c r="ZV81" s="4"/>
      <c r="ZW81" s="4"/>
      <c r="ZX81" s="4"/>
      <c r="ZY81" s="4"/>
      <c r="ZZ81" s="5"/>
      <c r="AAA81" s="6"/>
      <c r="AAB81" s="4"/>
      <c r="AAC81" s="4"/>
      <c r="AAD81" s="4"/>
      <c r="AAE81" s="4"/>
      <c r="AAF81" s="4"/>
      <c r="AAG81" s="5"/>
      <c r="AAH81" s="6" t="s">
        <v>2657</v>
      </c>
      <c r="AAI81" s="4" t="s">
        <v>2955</v>
      </c>
      <c r="AAJ81" s="4"/>
      <c r="AAK81" s="4"/>
      <c r="AAL81" s="4"/>
      <c r="AAM81" s="4"/>
      <c r="AAN81" s="5"/>
      <c r="AAO81" s="6"/>
      <c r="AAP81" s="4"/>
      <c r="AAQ81" s="4"/>
      <c r="AAR81" s="4"/>
      <c r="AAS81" s="4"/>
      <c r="AAT81" s="4"/>
      <c r="AAU81" s="5"/>
      <c r="AAV81" s="6"/>
      <c r="AAW81" s="4"/>
      <c r="AAX81" s="4"/>
      <c r="AAY81" s="4"/>
      <c r="AAZ81" s="4"/>
      <c r="ABA81" s="4"/>
      <c r="ABB81" s="5"/>
      <c r="ABC81" s="6"/>
      <c r="ABD81" s="4"/>
      <c r="ABE81" s="4"/>
      <c r="ABF81" s="4"/>
      <c r="ABG81" s="4"/>
      <c r="ABH81" s="4"/>
      <c r="ABI81" s="5"/>
      <c r="ABJ81" s="6"/>
      <c r="ABK81" s="4"/>
      <c r="ABL81" s="4"/>
      <c r="ABM81" s="4"/>
      <c r="ABN81" s="4"/>
      <c r="ABO81" s="4"/>
      <c r="ABP81" s="5"/>
      <c r="ABQ81" s="6"/>
      <c r="ABR81" s="4"/>
      <c r="ABS81" s="4"/>
      <c r="ABT81" s="4"/>
      <c r="ABU81" s="4"/>
      <c r="ABV81" s="4"/>
      <c r="ABW81" s="5"/>
      <c r="ABX81" s="6" t="s">
        <v>3100</v>
      </c>
      <c r="ABY81" s="4" t="s">
        <v>3101</v>
      </c>
      <c r="ABZ81" s="4"/>
      <c r="ACA81" s="4"/>
      <c r="ACB81" s="4"/>
      <c r="ACC81" s="4"/>
      <c r="ACD81" s="5"/>
      <c r="ACE81" s="6"/>
      <c r="ACF81" s="4"/>
      <c r="ACG81" s="4"/>
      <c r="ACH81" s="4"/>
      <c r="ACI81" s="4"/>
      <c r="ACJ81" s="4"/>
      <c r="ACK81" s="5"/>
      <c r="ACL81" s="6"/>
      <c r="ACM81" s="4"/>
      <c r="ACN81" s="4"/>
      <c r="ACO81" s="4"/>
      <c r="ACP81" s="4"/>
      <c r="ACQ81" s="4"/>
      <c r="ACR81" s="5"/>
      <c r="ACS81" s="6"/>
      <c r="ACT81" s="4"/>
      <c r="ACU81" s="4"/>
      <c r="ACV81" s="4"/>
      <c r="ACW81" s="4"/>
      <c r="ACX81" s="4"/>
      <c r="ACY81" s="5"/>
    </row>
    <row r="82" spans="1:779" x14ac:dyDescent="0.25">
      <c r="B82" s="30"/>
      <c r="J82" s="12"/>
      <c r="K82" s="12"/>
      <c r="L82" s="12"/>
      <c r="LL82" s="6"/>
      <c r="LM82" s="4"/>
      <c r="LN82" s="4"/>
      <c r="LO82" s="4"/>
      <c r="LP82" s="4"/>
      <c r="LQ82" s="4"/>
      <c r="LR82" s="5"/>
      <c r="LS82" s="6"/>
      <c r="LT82" s="4"/>
      <c r="LU82" s="4"/>
      <c r="LV82" s="4"/>
      <c r="LW82" s="4"/>
      <c r="LX82" s="4"/>
      <c r="LY82" s="5"/>
      <c r="LZ82" s="6" t="s">
        <v>2290</v>
      </c>
      <c r="MA82" s="7" t="s">
        <v>2234</v>
      </c>
      <c r="MB82" s="4"/>
      <c r="MC82" s="4"/>
      <c r="MD82" s="8"/>
      <c r="ME82" s="4"/>
      <c r="MF82" s="4"/>
      <c r="MG82" s="5"/>
      <c r="MH82" s="6"/>
      <c r="MI82" s="4"/>
      <c r="MJ82" s="4"/>
      <c r="MK82" s="4"/>
      <c r="ML82" s="4"/>
      <c r="MM82" s="4"/>
      <c r="MN82" s="5"/>
      <c r="MO82" s="6"/>
      <c r="MP82" s="4"/>
      <c r="MQ82" s="4"/>
      <c r="MR82" s="4"/>
      <c r="MS82" s="4"/>
      <c r="MT82" s="4"/>
      <c r="MU82" s="5"/>
      <c r="MV82" s="6"/>
      <c r="MW82" s="4"/>
      <c r="MX82" s="4"/>
      <c r="MY82" s="4"/>
      <c r="MZ82" s="4"/>
      <c r="NA82" s="4"/>
      <c r="NB82" s="5"/>
      <c r="NC82" s="6"/>
      <c r="ND82" s="4"/>
      <c r="NE82" s="4"/>
      <c r="NF82" s="4"/>
      <c r="NG82" s="4"/>
      <c r="NH82" s="4"/>
      <c r="NI82" s="5"/>
      <c r="NJ82" s="6"/>
      <c r="NK82" s="4"/>
      <c r="NL82" s="4"/>
      <c r="NM82" s="4"/>
      <c r="NN82" s="4"/>
      <c r="NO82" s="4"/>
      <c r="NP82" s="5"/>
      <c r="NQ82" s="6"/>
      <c r="NR82" s="4"/>
      <c r="NS82" s="4"/>
      <c r="NT82" s="4"/>
      <c r="NU82" s="4"/>
      <c r="NV82" s="4"/>
      <c r="NW82" s="5"/>
      <c r="NX82" s="6"/>
      <c r="NY82" s="4"/>
      <c r="NZ82" s="4"/>
      <c r="OA82" s="4"/>
      <c r="OB82" s="4"/>
      <c r="OC82" s="4"/>
      <c r="OD82" s="5"/>
      <c r="OE82" s="6"/>
      <c r="OF82" s="4"/>
      <c r="OG82" s="4"/>
      <c r="OH82" s="4"/>
      <c r="OI82" s="4"/>
      <c r="OJ82" s="4"/>
      <c r="OK82" s="5"/>
      <c r="OL82" s="6"/>
      <c r="OM82" s="4"/>
      <c r="ON82" s="4"/>
      <c r="OO82" s="4"/>
      <c r="OP82" s="4"/>
      <c r="OQ82" s="4"/>
      <c r="OR82" s="5"/>
      <c r="OS82" s="6"/>
      <c r="OT82" s="4"/>
      <c r="OU82" s="4"/>
      <c r="OV82" s="4"/>
      <c r="OW82" s="4"/>
      <c r="OX82" s="4"/>
      <c r="OY82" s="5"/>
      <c r="OZ82" s="6"/>
      <c r="PA82" s="4"/>
      <c r="PB82" s="4"/>
      <c r="PC82" s="4"/>
      <c r="PD82" s="4"/>
      <c r="PE82" s="4"/>
      <c r="PF82" s="5"/>
      <c r="PG82" s="6"/>
      <c r="PH82" s="4"/>
      <c r="PI82" s="4"/>
      <c r="PJ82" s="4"/>
      <c r="PK82" s="4"/>
      <c r="PL82" s="4"/>
      <c r="PM82" s="5"/>
      <c r="PN82" s="6"/>
      <c r="PO82" s="4"/>
      <c r="PP82" s="4"/>
      <c r="PQ82" s="4"/>
      <c r="PR82" s="4"/>
      <c r="PS82" s="4"/>
      <c r="PT82" s="5"/>
      <c r="PU82" s="6"/>
      <c r="PV82" s="4"/>
      <c r="PW82" s="4"/>
      <c r="PX82" s="4"/>
      <c r="PY82" s="4"/>
      <c r="PZ82" s="4"/>
      <c r="QA82" s="5"/>
      <c r="QB82" s="6"/>
      <c r="QC82" s="4"/>
      <c r="QD82" s="4"/>
      <c r="QE82" s="4"/>
      <c r="QF82" s="4"/>
      <c r="QG82" s="4"/>
      <c r="QH82" s="5"/>
      <c r="QI82" s="6"/>
      <c r="QJ82" s="4"/>
      <c r="QK82" s="4"/>
      <c r="QL82" s="4"/>
      <c r="QM82" s="4"/>
      <c r="QN82" s="4"/>
      <c r="QO82" s="5"/>
      <c r="QP82" s="6"/>
      <c r="QQ82" s="4"/>
      <c r="QR82" s="4"/>
      <c r="QS82" s="4"/>
      <c r="QT82" s="4"/>
      <c r="QU82" s="4"/>
      <c r="QV82" s="5"/>
      <c r="QW82" s="6"/>
      <c r="QX82" s="4"/>
      <c r="QY82" s="4"/>
      <c r="QZ82" s="4"/>
      <c r="RA82" s="4"/>
      <c r="RB82" s="4"/>
      <c r="RC82" s="5"/>
      <c r="RD82" s="6"/>
      <c r="RE82" s="4"/>
      <c r="RF82" s="4"/>
      <c r="RG82" s="4"/>
      <c r="RH82" s="4"/>
      <c r="RI82" s="4"/>
      <c r="RJ82" s="5"/>
      <c r="RK82" s="6"/>
      <c r="RL82" s="4"/>
      <c r="RM82" s="4"/>
      <c r="RN82" s="4"/>
      <c r="RO82" s="4"/>
      <c r="RP82" s="4"/>
      <c r="RQ82" s="5"/>
      <c r="RR82" s="6"/>
      <c r="RS82" s="4"/>
      <c r="RT82" s="4"/>
      <c r="RU82" s="4"/>
      <c r="RV82" s="4"/>
      <c r="RW82" s="4"/>
      <c r="RX82" s="5"/>
      <c r="RY82" s="6"/>
      <c r="RZ82" s="4"/>
      <c r="SA82" s="4"/>
      <c r="SB82" s="4"/>
      <c r="SC82" s="4"/>
      <c r="SD82" s="4"/>
      <c r="SE82" s="5"/>
      <c r="SF82" s="6"/>
      <c r="SG82" s="4"/>
      <c r="SH82" s="4"/>
      <c r="SI82" s="4"/>
      <c r="SJ82" s="4"/>
      <c r="SK82" s="4"/>
      <c r="SL82" s="5"/>
      <c r="SM82" s="6"/>
      <c r="SN82" s="4"/>
      <c r="SO82" s="4"/>
      <c r="SP82" s="4"/>
      <c r="SQ82" s="4"/>
      <c r="SR82" s="4"/>
      <c r="SS82" s="5"/>
      <c r="ST82" s="6"/>
      <c r="SU82" s="4"/>
      <c r="SV82" s="4"/>
      <c r="SW82" s="4"/>
      <c r="SX82" s="4"/>
      <c r="SY82" s="4"/>
      <c r="SZ82" s="5"/>
      <c r="TA82" s="6"/>
      <c r="TB82" s="4"/>
      <c r="TC82" s="4"/>
      <c r="TD82" s="4"/>
      <c r="TE82" s="4"/>
      <c r="TF82" s="4"/>
      <c r="TG82" s="5"/>
      <c r="TH82" s="6"/>
      <c r="TI82" s="4"/>
      <c r="TJ82" s="4"/>
      <c r="TK82" s="4"/>
      <c r="TL82" s="4"/>
      <c r="TM82" s="4"/>
      <c r="TN82" s="5"/>
      <c r="TO82" s="6"/>
      <c r="TP82" s="4"/>
      <c r="TQ82" s="4"/>
      <c r="TR82" s="4"/>
      <c r="TS82" s="4"/>
      <c r="TT82" s="4"/>
      <c r="TU82" s="5"/>
      <c r="TV82" s="6"/>
      <c r="TW82" s="4"/>
      <c r="TX82" s="4"/>
      <c r="TY82" s="4"/>
      <c r="TZ82" s="4"/>
      <c r="UA82" s="4"/>
      <c r="UB82" s="5"/>
      <c r="UC82" s="6"/>
      <c r="UD82" s="4"/>
      <c r="UE82" s="4"/>
      <c r="UF82" s="4"/>
      <c r="UG82" s="4"/>
      <c r="UH82" s="4"/>
      <c r="UI82" s="5"/>
      <c r="UJ82" s="6"/>
      <c r="UK82" s="4"/>
      <c r="UL82" s="4"/>
      <c r="UM82" s="4"/>
      <c r="UN82" s="4"/>
      <c r="UO82" s="4"/>
      <c r="UP82" s="5"/>
      <c r="UQ82" s="6"/>
      <c r="UR82" s="4"/>
      <c r="US82" s="4"/>
      <c r="UT82" s="4"/>
      <c r="UU82" s="4"/>
      <c r="UV82" s="4"/>
      <c r="UW82" s="5"/>
      <c r="UX82" s="6"/>
      <c r="UY82" s="4"/>
      <c r="UZ82" s="4"/>
      <c r="VA82" s="4"/>
      <c r="VB82" s="4"/>
      <c r="VC82" s="4"/>
      <c r="VD82" s="5"/>
      <c r="VE82" s="6"/>
      <c r="VF82" s="4"/>
      <c r="VG82" s="4"/>
      <c r="VH82" s="4"/>
      <c r="VI82" s="4"/>
      <c r="VJ82" s="4"/>
      <c r="VK82" s="5"/>
      <c r="VL82" s="6"/>
      <c r="VM82" s="4"/>
      <c r="VN82" s="4"/>
      <c r="VO82" s="4"/>
      <c r="VP82" s="4"/>
      <c r="VQ82" s="4"/>
      <c r="VR82" s="5"/>
      <c r="VS82" s="6"/>
      <c r="VT82" s="4"/>
      <c r="VU82" s="4"/>
      <c r="VV82" s="4"/>
      <c r="VW82" s="4"/>
      <c r="VX82" s="4"/>
      <c r="VY82" s="5"/>
      <c r="VZ82" s="6"/>
      <c r="WA82" s="4"/>
      <c r="WB82" s="4"/>
      <c r="WC82" s="4"/>
      <c r="WD82" s="4"/>
      <c r="WE82" s="4"/>
      <c r="WF82" s="5"/>
      <c r="WG82" s="6"/>
      <c r="WH82" s="4"/>
      <c r="WI82" s="4"/>
      <c r="WJ82" s="4"/>
      <c r="WK82" s="4"/>
      <c r="WL82" s="4"/>
      <c r="WM82" s="5"/>
      <c r="WN82" s="6"/>
      <c r="WO82" s="4"/>
      <c r="WP82" s="4"/>
      <c r="WQ82" s="4"/>
      <c r="WR82" s="4"/>
      <c r="WS82" s="4"/>
      <c r="WT82" s="5"/>
      <c r="WU82" s="6"/>
      <c r="WV82" s="4"/>
      <c r="WW82" s="4"/>
      <c r="WX82" s="4"/>
      <c r="WY82" s="4"/>
      <c r="WZ82" s="4"/>
      <c r="XA82" s="5"/>
      <c r="XB82" s="6"/>
      <c r="XC82" s="4"/>
      <c r="XD82" s="4"/>
      <c r="XE82" s="4"/>
      <c r="XF82" s="4"/>
      <c r="XG82" s="4"/>
      <c r="XH82" s="5"/>
      <c r="XI82" s="6"/>
      <c r="XJ82" s="4"/>
      <c r="XK82" s="4"/>
      <c r="XL82" s="4"/>
      <c r="XM82" s="4"/>
      <c r="XN82" s="4"/>
      <c r="XO82" s="5"/>
      <c r="XP82" s="6"/>
      <c r="XQ82" s="4"/>
      <c r="XR82" s="4"/>
      <c r="XS82" s="4"/>
      <c r="XT82" s="4"/>
      <c r="XU82" s="4"/>
      <c r="XV82" s="5"/>
      <c r="XW82" s="6"/>
      <c r="XX82" s="4"/>
      <c r="XY82" s="4"/>
      <c r="XZ82" s="4"/>
      <c r="YA82" s="4"/>
      <c r="YB82" s="4"/>
      <c r="YC82" s="5"/>
      <c r="YD82" s="6"/>
      <c r="YE82" s="4"/>
      <c r="YF82" s="4"/>
      <c r="YG82" s="4"/>
      <c r="YH82" s="4"/>
      <c r="YI82" s="4"/>
      <c r="YJ82" s="5"/>
      <c r="YK82" s="6" t="s">
        <v>2674</v>
      </c>
      <c r="YL82" s="4" t="s">
        <v>2950</v>
      </c>
      <c r="YM82" s="4"/>
      <c r="YN82" s="4"/>
      <c r="YO82" s="4"/>
      <c r="YP82" s="4"/>
      <c r="YQ82" s="5"/>
      <c r="YR82" s="6"/>
      <c r="YS82" s="4"/>
      <c r="YT82" s="4"/>
      <c r="YU82" s="4"/>
      <c r="YV82" s="4"/>
      <c r="YW82" s="4"/>
      <c r="YX82" s="5"/>
      <c r="YY82" s="6"/>
      <c r="YZ82" s="4"/>
      <c r="ZA82" s="4"/>
      <c r="ZB82" s="4"/>
      <c r="ZC82" s="4"/>
      <c r="ZD82" s="4"/>
      <c r="ZE82" s="5"/>
      <c r="ZF82" s="6"/>
      <c r="ZG82" s="4"/>
      <c r="ZH82" s="4"/>
      <c r="ZI82" s="4"/>
      <c r="ZJ82" s="4"/>
      <c r="ZK82" s="4"/>
      <c r="ZL82" s="5"/>
      <c r="ZM82" s="6"/>
      <c r="ZN82" s="4"/>
      <c r="ZO82" s="4"/>
      <c r="ZP82" s="4"/>
      <c r="ZQ82" s="4"/>
      <c r="ZR82" s="4"/>
      <c r="ZS82" s="5"/>
      <c r="ZT82" s="6"/>
      <c r="ZU82" s="4"/>
      <c r="ZV82" s="4"/>
      <c r="ZW82" s="4"/>
      <c r="ZX82" s="4"/>
      <c r="ZY82" s="4"/>
      <c r="ZZ82" s="5"/>
      <c r="AAA82" s="6"/>
      <c r="AAB82" s="4"/>
      <c r="AAC82" s="4"/>
      <c r="AAD82" s="4"/>
      <c r="AAE82" s="4"/>
      <c r="AAF82" s="4"/>
      <c r="AAG82" s="5"/>
      <c r="AAH82" s="6" t="s">
        <v>2673</v>
      </c>
      <c r="AAI82" s="4" t="s">
        <v>2283</v>
      </c>
      <c r="AAJ82" s="4"/>
      <c r="AAK82" s="4"/>
      <c r="AAL82" s="4"/>
      <c r="AAM82" s="4"/>
      <c r="AAN82" s="5"/>
      <c r="AAO82" s="6"/>
      <c r="AAP82" s="4"/>
      <c r="AAQ82" s="4"/>
      <c r="AAR82" s="4"/>
      <c r="AAS82" s="4"/>
      <c r="AAT82" s="4"/>
      <c r="AAU82" s="5"/>
      <c r="AAV82" s="6"/>
      <c r="AAW82" s="4"/>
      <c r="AAX82" s="4"/>
      <c r="AAY82" s="4"/>
      <c r="AAZ82" s="4"/>
      <c r="ABA82" s="4"/>
      <c r="ABB82" s="5"/>
      <c r="ABC82" s="6"/>
      <c r="ABD82" s="4"/>
      <c r="ABE82" s="4"/>
      <c r="ABF82" s="4"/>
      <c r="ABG82" s="4"/>
      <c r="ABH82" s="4"/>
      <c r="ABI82" s="5"/>
      <c r="ABJ82" s="6"/>
      <c r="ABK82" s="4"/>
      <c r="ABL82" s="4"/>
      <c r="ABM82" s="4"/>
      <c r="ABN82" s="4"/>
      <c r="ABO82" s="4"/>
      <c r="ABP82" s="5"/>
      <c r="ABQ82" s="6"/>
      <c r="ABR82" s="4"/>
      <c r="ABS82" s="4"/>
      <c r="ABT82" s="4"/>
      <c r="ABU82" s="4"/>
      <c r="ABV82" s="4"/>
      <c r="ABW82" s="5"/>
      <c r="ABX82" s="6"/>
      <c r="ABY82" s="4"/>
      <c r="ABZ82" s="4"/>
      <c r="ACA82" s="4"/>
      <c r="ACB82" s="4"/>
      <c r="ACC82" s="4"/>
      <c r="ACD82" s="5"/>
      <c r="ACE82" s="6"/>
      <c r="ACF82" s="4"/>
      <c r="ACG82" s="4"/>
      <c r="ACH82" s="4"/>
      <c r="ACI82" s="4"/>
      <c r="ACJ82" s="4"/>
      <c r="ACK82" s="5"/>
      <c r="ACL82" s="6"/>
      <c r="ACM82" s="4"/>
      <c r="ACN82" s="4"/>
      <c r="ACO82" s="4"/>
      <c r="ACP82" s="4"/>
      <c r="ACQ82" s="4"/>
      <c r="ACR82" s="5"/>
      <c r="ACS82" s="6"/>
      <c r="ACT82" s="4"/>
      <c r="ACU82" s="4"/>
      <c r="ACV82" s="4"/>
      <c r="ACW82" s="4"/>
      <c r="ACX82" s="4"/>
      <c r="ACY82" s="5"/>
    </row>
    <row r="83" spans="1:779" x14ac:dyDescent="0.25">
      <c r="B83" s="30"/>
      <c r="J83" s="12"/>
      <c r="K83" s="12"/>
      <c r="L83" s="12"/>
      <c r="LL83" s="6"/>
      <c r="LM83" s="4"/>
      <c r="LN83" s="4"/>
      <c r="LO83" s="4"/>
      <c r="LP83" s="4"/>
      <c r="LQ83" s="4"/>
      <c r="LR83" s="5"/>
      <c r="LS83" s="6"/>
      <c r="LT83" s="4"/>
      <c r="LU83" s="4"/>
      <c r="LV83" s="4"/>
      <c r="LW83" s="4"/>
      <c r="LX83" s="4"/>
      <c r="LY83" s="5"/>
      <c r="LZ83" s="6" t="s">
        <v>2655</v>
      </c>
      <c r="MA83" s="7" t="s">
        <v>2656</v>
      </c>
      <c r="MB83" s="4"/>
      <c r="MC83" s="4"/>
      <c r="MD83" s="8"/>
      <c r="ME83" s="4"/>
      <c r="MF83" s="4"/>
      <c r="MG83" s="5"/>
      <c r="MH83" s="6"/>
      <c r="MI83" s="4"/>
      <c r="MJ83" s="4"/>
      <c r="MK83" s="4"/>
      <c r="ML83" s="4"/>
      <c r="MM83" s="4"/>
      <c r="MN83" s="5"/>
      <c r="MO83" s="6"/>
      <c r="MP83" s="4"/>
      <c r="MQ83" s="4"/>
      <c r="MR83" s="4"/>
      <c r="MS83" s="4"/>
      <c r="MT83" s="4"/>
      <c r="MU83" s="5"/>
      <c r="MV83" s="6"/>
      <c r="MW83" s="4"/>
      <c r="MX83" s="4"/>
      <c r="MY83" s="4"/>
      <c r="MZ83" s="4"/>
      <c r="NA83" s="4"/>
      <c r="NB83" s="5"/>
      <c r="NC83" s="6"/>
      <c r="ND83" s="4"/>
      <c r="NE83" s="4"/>
      <c r="NF83" s="4"/>
      <c r="NG83" s="4"/>
      <c r="NH83" s="4"/>
      <c r="NI83" s="5"/>
      <c r="NJ83" s="6"/>
      <c r="NK83" s="4"/>
      <c r="NL83" s="4"/>
      <c r="NM83" s="4"/>
      <c r="NN83" s="4"/>
      <c r="NO83" s="4"/>
      <c r="NP83" s="5"/>
      <c r="NQ83" s="6"/>
      <c r="NR83" s="4"/>
      <c r="NS83" s="4"/>
      <c r="NT83" s="4"/>
      <c r="NU83" s="4"/>
      <c r="NV83" s="4"/>
      <c r="NW83" s="5"/>
      <c r="NX83" s="6"/>
      <c r="NY83" s="4"/>
      <c r="NZ83" s="4"/>
      <c r="OA83" s="4"/>
      <c r="OB83" s="4"/>
      <c r="OC83" s="4"/>
      <c r="OD83" s="5"/>
      <c r="OE83" s="6"/>
      <c r="OF83" s="4"/>
      <c r="OG83" s="4"/>
      <c r="OH83" s="4"/>
      <c r="OI83" s="4"/>
      <c r="OJ83" s="4"/>
      <c r="OK83" s="5"/>
      <c r="OL83" s="6"/>
      <c r="OM83" s="4"/>
      <c r="ON83" s="4"/>
      <c r="OO83" s="4"/>
      <c r="OP83" s="4"/>
      <c r="OQ83" s="4"/>
      <c r="OR83" s="5"/>
      <c r="OS83" s="6"/>
      <c r="OT83" s="4"/>
      <c r="OU83" s="4"/>
      <c r="OV83" s="4"/>
      <c r="OW83" s="4"/>
      <c r="OX83" s="4"/>
      <c r="OY83" s="5"/>
      <c r="OZ83" s="6"/>
      <c r="PA83" s="4"/>
      <c r="PB83" s="4"/>
      <c r="PC83" s="4"/>
      <c r="PD83" s="4"/>
      <c r="PE83" s="4"/>
      <c r="PF83" s="5"/>
      <c r="PG83" s="6"/>
      <c r="PH83" s="4"/>
      <c r="PI83" s="4"/>
      <c r="PJ83" s="4"/>
      <c r="PK83" s="4"/>
      <c r="PL83" s="4"/>
      <c r="PM83" s="5"/>
      <c r="PN83" s="6"/>
      <c r="PO83" s="4"/>
      <c r="PP83" s="4"/>
      <c r="PQ83" s="4"/>
      <c r="PR83" s="4"/>
      <c r="PS83" s="4"/>
      <c r="PT83" s="5"/>
      <c r="PU83" s="6"/>
      <c r="PV83" s="4"/>
      <c r="PW83" s="4"/>
      <c r="PX83" s="4"/>
      <c r="PY83" s="4"/>
      <c r="PZ83" s="4"/>
      <c r="QA83" s="5"/>
      <c r="QB83" s="6"/>
      <c r="QC83" s="4"/>
      <c r="QD83" s="4"/>
      <c r="QE83" s="4"/>
      <c r="QF83" s="4"/>
      <c r="QG83" s="4"/>
      <c r="QH83" s="5"/>
      <c r="QI83" s="6"/>
      <c r="QJ83" s="4"/>
      <c r="QK83" s="4"/>
      <c r="QL83" s="4"/>
      <c r="QM83" s="4"/>
      <c r="QN83" s="4"/>
      <c r="QO83" s="5"/>
      <c r="QP83" s="6"/>
      <c r="QQ83" s="4"/>
      <c r="QR83" s="4"/>
      <c r="QS83" s="4"/>
      <c r="QT83" s="4"/>
      <c r="QU83" s="4"/>
      <c r="QV83" s="5"/>
      <c r="QW83" s="6"/>
      <c r="QX83" s="4"/>
      <c r="QY83" s="4"/>
      <c r="QZ83" s="4"/>
      <c r="RA83" s="4"/>
      <c r="RB83" s="4"/>
      <c r="RC83" s="5"/>
      <c r="RD83" s="6"/>
      <c r="RE83" s="4"/>
      <c r="RF83" s="4"/>
      <c r="RG83" s="4"/>
      <c r="RH83" s="4"/>
      <c r="RI83" s="4"/>
      <c r="RJ83" s="5"/>
      <c r="RK83" s="6"/>
      <c r="RL83" s="4"/>
      <c r="RM83" s="4"/>
      <c r="RN83" s="4"/>
      <c r="RO83" s="4"/>
      <c r="RP83" s="4"/>
      <c r="RQ83" s="5"/>
      <c r="RR83" s="6"/>
      <c r="RS83" s="4"/>
      <c r="RT83" s="4"/>
      <c r="RU83" s="4"/>
      <c r="RV83" s="4"/>
      <c r="RW83" s="4"/>
      <c r="RX83" s="5"/>
      <c r="RY83" s="6"/>
      <c r="RZ83" s="4"/>
      <c r="SA83" s="4"/>
      <c r="SB83" s="4"/>
      <c r="SC83" s="4"/>
      <c r="SD83" s="4"/>
      <c r="SE83" s="5"/>
      <c r="SF83" s="6"/>
      <c r="SG83" s="4"/>
      <c r="SH83" s="4"/>
      <c r="SI83" s="4"/>
      <c r="SJ83" s="4"/>
      <c r="SK83" s="4"/>
      <c r="SL83" s="5"/>
      <c r="SM83" s="6"/>
      <c r="SN83" s="4"/>
      <c r="SO83" s="4"/>
      <c r="SP83" s="4"/>
      <c r="SQ83" s="4"/>
      <c r="SR83" s="4"/>
      <c r="SS83" s="5"/>
      <c r="ST83" s="6"/>
      <c r="SU83" s="4"/>
      <c r="SV83" s="4"/>
      <c r="SW83" s="4"/>
      <c r="SX83" s="4"/>
      <c r="SY83" s="4"/>
      <c r="SZ83" s="5"/>
      <c r="TA83" s="6"/>
      <c r="TB83" s="4"/>
      <c r="TC83" s="4"/>
      <c r="TD83" s="4"/>
      <c r="TE83" s="4"/>
      <c r="TF83" s="4"/>
      <c r="TG83" s="5"/>
      <c r="TH83" s="6"/>
      <c r="TI83" s="4"/>
      <c r="TJ83" s="4"/>
      <c r="TK83" s="4"/>
      <c r="TL83" s="4"/>
      <c r="TM83" s="4"/>
      <c r="TN83" s="5"/>
      <c r="TO83" s="6"/>
      <c r="TP83" s="4"/>
      <c r="TQ83" s="4"/>
      <c r="TR83" s="4"/>
      <c r="TS83" s="4"/>
      <c r="TT83" s="4"/>
      <c r="TU83" s="5"/>
      <c r="TV83" s="6"/>
      <c r="TW83" s="4"/>
      <c r="TX83" s="4"/>
      <c r="TY83" s="4"/>
      <c r="TZ83" s="4"/>
      <c r="UA83" s="4"/>
      <c r="UB83" s="5"/>
      <c r="UC83" s="6"/>
      <c r="UD83" s="4"/>
      <c r="UE83" s="4"/>
      <c r="UF83" s="4"/>
      <c r="UG83" s="4"/>
      <c r="UH83" s="4"/>
      <c r="UI83" s="5"/>
      <c r="UJ83" s="6"/>
      <c r="UK83" s="4"/>
      <c r="UL83" s="4"/>
      <c r="UM83" s="4"/>
      <c r="UN83" s="4"/>
      <c r="UO83" s="4"/>
      <c r="UP83" s="5"/>
      <c r="UQ83" s="6"/>
      <c r="UR83" s="4"/>
      <c r="US83" s="4"/>
      <c r="UT83" s="4"/>
      <c r="UU83" s="4"/>
      <c r="UV83" s="4"/>
      <c r="UW83" s="5"/>
      <c r="UX83" s="6"/>
      <c r="UY83" s="4"/>
      <c r="UZ83" s="4"/>
      <c r="VA83" s="4"/>
      <c r="VB83" s="4"/>
      <c r="VC83" s="4"/>
      <c r="VD83" s="5"/>
      <c r="VE83" s="6"/>
      <c r="VF83" s="4"/>
      <c r="VG83" s="4"/>
      <c r="VH83" s="4"/>
      <c r="VI83" s="4"/>
      <c r="VJ83" s="4"/>
      <c r="VK83" s="5"/>
      <c r="VL83" s="6"/>
      <c r="VM83" s="4"/>
      <c r="VN83" s="4"/>
      <c r="VO83" s="4"/>
      <c r="VP83" s="4"/>
      <c r="VQ83" s="4"/>
      <c r="VR83" s="5"/>
      <c r="VS83" s="6"/>
      <c r="VT83" s="4"/>
      <c r="VU83" s="4"/>
      <c r="VV83" s="4"/>
      <c r="VW83" s="4"/>
      <c r="VX83" s="4"/>
      <c r="VY83" s="5"/>
      <c r="VZ83" s="6"/>
      <c r="WA83" s="4"/>
      <c r="WB83" s="4"/>
      <c r="WC83" s="4"/>
      <c r="WD83" s="4"/>
      <c r="WE83" s="4"/>
      <c r="WF83" s="5"/>
      <c r="WG83" s="6"/>
      <c r="WH83" s="4"/>
      <c r="WI83" s="4"/>
      <c r="WJ83" s="4"/>
      <c r="WK83" s="4"/>
      <c r="WL83" s="4"/>
      <c r="WM83" s="5"/>
      <c r="WN83" s="6"/>
      <c r="WO83" s="4"/>
      <c r="WP83" s="4"/>
      <c r="WQ83" s="4"/>
      <c r="WR83" s="4"/>
      <c r="WS83" s="4"/>
      <c r="WT83" s="5"/>
      <c r="WU83" s="6"/>
      <c r="WV83" s="4"/>
      <c r="WW83" s="4"/>
      <c r="WX83" s="4"/>
      <c r="WY83" s="4"/>
      <c r="WZ83" s="4"/>
      <c r="XA83" s="5"/>
      <c r="XB83" s="6"/>
      <c r="XC83" s="4"/>
      <c r="XD83" s="4"/>
      <c r="XE83" s="4"/>
      <c r="XF83" s="4"/>
      <c r="XG83" s="4"/>
      <c r="XH83" s="5"/>
      <c r="XI83" s="6"/>
      <c r="XJ83" s="4"/>
      <c r="XK83" s="4"/>
      <c r="XL83" s="4"/>
      <c r="XM83" s="4"/>
      <c r="XN83" s="4"/>
      <c r="XO83" s="5"/>
      <c r="XP83" s="6"/>
      <c r="XQ83" s="4"/>
      <c r="XR83" s="4"/>
      <c r="XS83" s="4"/>
      <c r="XT83" s="4"/>
      <c r="XU83" s="4"/>
      <c r="XV83" s="5"/>
      <c r="XW83" s="6"/>
      <c r="XX83" s="4"/>
      <c r="XY83" s="4"/>
      <c r="XZ83" s="4"/>
      <c r="YA83" s="4"/>
      <c r="YB83" s="4"/>
      <c r="YC83" s="5"/>
      <c r="YD83" s="6"/>
      <c r="YE83" s="4"/>
      <c r="YF83" s="4"/>
      <c r="YG83" s="4"/>
      <c r="YH83" s="4"/>
      <c r="YI83" s="4"/>
      <c r="YJ83" s="5"/>
      <c r="YK83" s="6"/>
      <c r="YL83" s="4"/>
      <c r="YM83" s="4"/>
      <c r="YN83" s="4"/>
      <c r="YO83" s="4"/>
      <c r="YP83" s="4"/>
      <c r="YQ83" s="5"/>
      <c r="YR83" s="6"/>
      <c r="YS83" s="4"/>
      <c r="YT83" s="4"/>
      <c r="YU83" s="4"/>
      <c r="YV83" s="4"/>
      <c r="YW83" s="4"/>
      <c r="YX83" s="5"/>
      <c r="YY83" s="6"/>
      <c r="YZ83" s="4"/>
      <c r="ZA83" s="4"/>
      <c r="ZB83" s="4"/>
      <c r="ZC83" s="4"/>
      <c r="ZD83" s="4"/>
      <c r="ZE83" s="5"/>
      <c r="ZF83" s="6"/>
      <c r="ZG83" s="4"/>
      <c r="ZH83" s="4"/>
      <c r="ZI83" s="4"/>
      <c r="ZJ83" s="4"/>
      <c r="ZK83" s="4"/>
      <c r="ZL83" s="5"/>
      <c r="ZM83" s="6"/>
      <c r="ZN83" s="4"/>
      <c r="ZO83" s="4"/>
      <c r="ZP83" s="4"/>
      <c r="ZQ83" s="4"/>
      <c r="ZR83" s="4"/>
      <c r="ZS83" s="5"/>
      <c r="ZT83" s="6"/>
      <c r="ZU83" s="4"/>
      <c r="ZV83" s="4"/>
      <c r="ZW83" s="4"/>
      <c r="ZX83" s="4"/>
      <c r="ZY83" s="4"/>
      <c r="ZZ83" s="5"/>
      <c r="AAA83" s="6"/>
      <c r="AAB83" s="4"/>
      <c r="AAC83" s="4"/>
      <c r="AAD83" s="4"/>
      <c r="AAE83" s="4"/>
      <c r="AAF83" s="4"/>
      <c r="AAG83" s="5"/>
      <c r="AAH83" s="6"/>
      <c r="AAI83" s="4"/>
      <c r="AAJ83" s="4"/>
      <c r="AAK83" s="4"/>
      <c r="AAL83" s="4"/>
      <c r="AAM83" s="4"/>
      <c r="AAN83" s="5"/>
      <c r="AAO83" s="6"/>
      <c r="AAP83" s="4"/>
      <c r="AAQ83" s="4"/>
      <c r="AAR83" s="4"/>
      <c r="AAS83" s="4"/>
      <c r="AAT83" s="4"/>
      <c r="AAU83" s="5"/>
      <c r="AAV83" s="6"/>
      <c r="AAW83" s="4"/>
      <c r="AAX83" s="4"/>
      <c r="AAY83" s="4"/>
      <c r="AAZ83" s="4"/>
      <c r="ABA83" s="4"/>
      <c r="ABB83" s="5"/>
      <c r="ABC83" s="6"/>
      <c r="ABD83" s="4"/>
      <c r="ABE83" s="4"/>
      <c r="ABF83" s="4"/>
      <c r="ABG83" s="4"/>
      <c r="ABH83" s="4"/>
      <c r="ABI83" s="5"/>
      <c r="ABJ83" s="6"/>
      <c r="ABK83" s="4"/>
      <c r="ABL83" s="4"/>
      <c r="ABM83" s="4"/>
      <c r="ABN83" s="4"/>
      <c r="ABO83" s="4"/>
      <c r="ABP83" s="5"/>
      <c r="ABQ83" s="6"/>
      <c r="ABR83" s="4"/>
      <c r="ABS83" s="4"/>
      <c r="ABT83" s="4"/>
      <c r="ABU83" s="4"/>
      <c r="ABV83" s="4"/>
      <c r="ABW83" s="5"/>
      <c r="ABX83" s="6"/>
      <c r="ABY83" s="4"/>
      <c r="ABZ83" s="4"/>
      <c r="ACA83" s="4"/>
      <c r="ACB83" s="4"/>
      <c r="ACC83" s="4"/>
      <c r="ACD83" s="5"/>
      <c r="ACE83" s="6"/>
      <c r="ACF83" s="4"/>
      <c r="ACG83" s="4"/>
      <c r="ACH83" s="4"/>
      <c r="ACI83" s="4"/>
      <c r="ACJ83" s="4"/>
      <c r="ACK83" s="5"/>
      <c r="ACL83" s="6"/>
      <c r="ACM83" s="4"/>
      <c r="ACN83" s="4"/>
      <c r="ACO83" s="4"/>
      <c r="ACP83" s="4"/>
      <c r="ACQ83" s="4"/>
      <c r="ACR83" s="5"/>
      <c r="ACS83" s="6"/>
      <c r="ACT83" s="4"/>
      <c r="ACU83" s="4"/>
      <c r="ACV83" s="4"/>
      <c r="ACW83" s="4"/>
      <c r="ACX83" s="4"/>
      <c r="ACY83" s="5"/>
    </row>
    <row r="84" spans="1:779" x14ac:dyDescent="0.25">
      <c r="B84" s="30"/>
      <c r="J84" s="12"/>
      <c r="K84" s="12"/>
      <c r="L84" s="12"/>
      <c r="LL84" s="6"/>
      <c r="LM84" s="4"/>
      <c r="LN84" s="4"/>
      <c r="LO84" s="4"/>
      <c r="LP84" s="4"/>
      <c r="LQ84" s="4"/>
      <c r="LR84" s="5"/>
      <c r="LS84" s="6"/>
      <c r="LT84" s="4"/>
      <c r="LU84" s="4"/>
      <c r="LV84" s="4"/>
      <c r="LW84" s="4"/>
      <c r="LX84" s="4"/>
      <c r="LY84" s="5"/>
      <c r="LZ84" s="6" t="s">
        <v>3102</v>
      </c>
      <c r="MA84" s="7" t="s">
        <v>3103</v>
      </c>
      <c r="MB84" s="4"/>
      <c r="MC84" s="4"/>
      <c r="MD84" s="8"/>
      <c r="ME84" s="4"/>
      <c r="MF84" s="4"/>
      <c r="MG84" s="5" t="s">
        <v>3104</v>
      </c>
      <c r="MH84" s="6"/>
      <c r="MI84" s="4"/>
      <c r="MJ84" s="4"/>
      <c r="MK84" s="4"/>
      <c r="ML84" s="4"/>
      <c r="MM84" s="4"/>
      <c r="MN84" s="5"/>
      <c r="MO84" s="6"/>
      <c r="MP84" s="4"/>
      <c r="MQ84" s="4"/>
      <c r="MR84" s="4"/>
      <c r="MS84" s="4"/>
      <c r="MT84" s="4"/>
      <c r="MU84" s="5"/>
      <c r="MV84" s="6"/>
      <c r="MW84" s="4"/>
      <c r="MX84" s="4"/>
      <c r="MY84" s="4"/>
      <c r="MZ84" s="4"/>
      <c r="NA84" s="4"/>
      <c r="NB84" s="5"/>
      <c r="NC84" s="6"/>
      <c r="ND84" s="4"/>
      <c r="NE84" s="4"/>
      <c r="NF84" s="4"/>
      <c r="NG84" s="4"/>
      <c r="NH84" s="4"/>
      <c r="NI84" s="5"/>
      <c r="NJ84" s="6"/>
      <c r="NK84" s="4"/>
      <c r="NL84" s="4"/>
      <c r="NM84" s="4"/>
      <c r="NN84" s="4"/>
      <c r="NO84" s="4"/>
      <c r="NP84" s="5"/>
      <c r="NQ84" s="6"/>
      <c r="NR84" s="4"/>
      <c r="NS84" s="4"/>
      <c r="NT84" s="4"/>
      <c r="NU84" s="4"/>
      <c r="NV84" s="4"/>
      <c r="NW84" s="5"/>
      <c r="NX84" s="6"/>
      <c r="NY84" s="4"/>
      <c r="NZ84" s="4"/>
      <c r="OA84" s="4"/>
      <c r="OB84" s="4"/>
      <c r="OC84" s="4"/>
      <c r="OD84" s="5"/>
      <c r="OE84" s="6"/>
      <c r="OF84" s="4"/>
      <c r="OG84" s="4"/>
      <c r="OH84" s="4"/>
      <c r="OI84" s="4"/>
      <c r="OJ84" s="4"/>
      <c r="OK84" s="5"/>
      <c r="ON84" s="4"/>
      <c r="OO84" s="4"/>
      <c r="OP84" s="4"/>
      <c r="OQ84" s="4"/>
      <c r="OR84" s="5"/>
      <c r="OS84" s="6"/>
      <c r="OT84" s="4"/>
      <c r="OU84" s="4"/>
      <c r="OV84" s="4"/>
      <c r="OW84" s="4"/>
      <c r="OX84" s="4"/>
      <c r="OY84" s="5"/>
      <c r="OZ84" s="6"/>
      <c r="PA84" s="4"/>
      <c r="PB84" s="4"/>
      <c r="PC84" s="4"/>
      <c r="PD84" s="4"/>
      <c r="PE84" s="4"/>
      <c r="PF84" s="5"/>
      <c r="PG84" s="6"/>
      <c r="PH84" s="4"/>
      <c r="PI84" s="4"/>
      <c r="PJ84" s="4"/>
      <c r="PK84" s="4"/>
      <c r="PL84" s="4"/>
      <c r="PM84" s="5"/>
      <c r="PN84" s="6"/>
      <c r="PO84" s="4"/>
      <c r="PP84" s="4"/>
      <c r="PQ84" s="4"/>
      <c r="PR84" s="4"/>
      <c r="PS84" s="4"/>
      <c r="PT84" s="5"/>
      <c r="PU84" s="6"/>
      <c r="PV84" s="4"/>
      <c r="PW84" s="4"/>
      <c r="PX84" s="4"/>
      <c r="PY84" s="4"/>
      <c r="PZ84" s="4"/>
      <c r="QA84" s="5"/>
      <c r="QB84" s="6"/>
      <c r="QC84" s="4"/>
      <c r="QD84" s="4"/>
      <c r="QE84" s="4"/>
      <c r="QF84" s="4"/>
      <c r="QG84" s="4"/>
      <c r="QH84" s="5"/>
      <c r="QI84" s="6"/>
      <c r="QJ84" s="4"/>
      <c r="QK84" s="4"/>
      <c r="QL84" s="4"/>
      <c r="QM84" s="4"/>
      <c r="QN84" s="4"/>
      <c r="QO84" s="5"/>
      <c r="QP84" s="6"/>
      <c r="QQ84" s="4"/>
      <c r="QR84" s="4"/>
      <c r="QS84" s="4"/>
      <c r="QT84" s="4"/>
      <c r="QU84" s="4"/>
      <c r="QV84" s="5"/>
      <c r="QW84" s="6"/>
      <c r="QX84" s="4"/>
      <c r="QY84" s="4"/>
      <c r="QZ84" s="4"/>
      <c r="RA84" s="4"/>
      <c r="RB84" s="4"/>
      <c r="RC84" s="5"/>
      <c r="RD84" s="6"/>
      <c r="RE84" s="4"/>
      <c r="RF84" s="4"/>
      <c r="RG84" s="4"/>
      <c r="RH84" s="4"/>
      <c r="RI84" s="4"/>
      <c r="RJ84" s="5"/>
      <c r="RK84" s="6"/>
      <c r="RL84" s="4"/>
      <c r="RM84" s="4"/>
      <c r="RN84" s="4"/>
      <c r="RO84" s="4"/>
      <c r="RP84" s="4"/>
      <c r="RQ84" s="5"/>
      <c r="RR84" s="6"/>
      <c r="RS84" s="4"/>
      <c r="RT84" s="4"/>
      <c r="RU84" s="4"/>
      <c r="RV84" s="4"/>
      <c r="RW84" s="4"/>
      <c r="RX84" s="5"/>
      <c r="RY84" s="6"/>
      <c r="RZ84" s="4"/>
      <c r="SA84" s="4"/>
      <c r="SB84" s="4"/>
      <c r="SC84" s="4"/>
      <c r="SD84" s="4"/>
      <c r="SE84" s="5"/>
      <c r="SF84" s="6"/>
      <c r="SG84" s="4"/>
      <c r="SH84" s="4"/>
      <c r="SI84" s="4"/>
      <c r="SJ84" s="4"/>
      <c r="SK84" s="4"/>
      <c r="SL84" s="5"/>
      <c r="SM84" s="6"/>
      <c r="SN84" s="4"/>
      <c r="SO84" s="4"/>
      <c r="SP84" s="4"/>
      <c r="SQ84" s="4"/>
      <c r="SR84" s="4"/>
      <c r="SS84" s="5"/>
      <c r="ST84" s="6"/>
      <c r="SU84" s="4"/>
      <c r="SV84" s="4"/>
      <c r="SW84" s="4"/>
      <c r="SX84" s="4"/>
      <c r="SY84" s="4"/>
      <c r="SZ84" s="5"/>
      <c r="TA84" s="6"/>
      <c r="TB84" s="4"/>
      <c r="TC84" s="4"/>
      <c r="TD84" s="4"/>
      <c r="TE84" s="4"/>
      <c r="TF84" s="4"/>
      <c r="TG84" s="5"/>
      <c r="TH84" s="6"/>
      <c r="TI84" s="4"/>
      <c r="TJ84" s="4"/>
      <c r="TK84" s="4"/>
      <c r="TL84" s="4"/>
      <c r="TM84" s="4"/>
      <c r="TN84" s="5"/>
      <c r="TO84" s="6"/>
      <c r="TP84" s="4"/>
      <c r="TQ84" s="4"/>
      <c r="TR84" s="4"/>
      <c r="TS84" s="4"/>
      <c r="TT84" s="4"/>
      <c r="TU84" s="5"/>
      <c r="TV84" s="6"/>
      <c r="TW84" s="4"/>
      <c r="TX84" s="4"/>
      <c r="TY84" s="4"/>
      <c r="TZ84" s="4"/>
      <c r="UA84" s="4"/>
      <c r="UB84" s="5"/>
      <c r="UC84" s="6"/>
      <c r="UD84" s="4"/>
      <c r="UE84" s="4"/>
      <c r="UF84" s="4"/>
      <c r="UG84" s="4"/>
      <c r="UH84" s="4"/>
      <c r="UI84" s="5"/>
      <c r="UJ84" s="6"/>
      <c r="UK84" s="4"/>
      <c r="UL84" s="4"/>
      <c r="UM84" s="4"/>
      <c r="UN84" s="4"/>
      <c r="UO84" s="4"/>
      <c r="UP84" s="5"/>
      <c r="UQ84" s="6"/>
      <c r="UR84" s="4"/>
      <c r="US84" s="4"/>
      <c r="UT84" s="4"/>
      <c r="UU84" s="4"/>
      <c r="UV84" s="4"/>
      <c r="UW84" s="5"/>
      <c r="UX84" s="6"/>
      <c r="UY84" s="4"/>
      <c r="UZ84" s="4"/>
      <c r="VA84" s="4"/>
      <c r="VB84" s="4"/>
      <c r="VC84" s="4"/>
      <c r="VD84" s="5"/>
      <c r="VE84" s="6"/>
      <c r="VF84" s="4"/>
      <c r="VG84" s="4"/>
      <c r="VH84" s="4"/>
      <c r="VI84" s="4"/>
      <c r="VJ84" s="4"/>
      <c r="VK84" s="5"/>
      <c r="VL84" s="6"/>
      <c r="VM84" s="4"/>
      <c r="VN84" s="4"/>
      <c r="VO84" s="4"/>
      <c r="VP84" s="4"/>
      <c r="VQ84" s="4"/>
      <c r="VR84" s="5"/>
      <c r="VS84" s="6"/>
      <c r="VT84" s="4"/>
      <c r="VU84" s="4"/>
      <c r="VV84" s="4"/>
      <c r="VW84" s="4"/>
      <c r="VX84" s="4"/>
      <c r="VY84" s="5"/>
      <c r="VZ84" s="6"/>
      <c r="WA84" s="4"/>
      <c r="WB84" s="4"/>
      <c r="WC84" s="4"/>
      <c r="WD84" s="4"/>
      <c r="WE84" s="4"/>
      <c r="WF84" s="5"/>
      <c r="WG84" s="6"/>
      <c r="WH84" s="4"/>
      <c r="WI84" s="4"/>
      <c r="WJ84" s="4"/>
      <c r="WK84" s="4"/>
      <c r="WL84" s="4"/>
      <c r="WM84" s="5"/>
      <c r="WN84" s="6"/>
      <c r="WO84" s="4"/>
      <c r="WP84" s="4"/>
      <c r="WQ84" s="4"/>
      <c r="WR84" s="4"/>
      <c r="WS84" s="4"/>
      <c r="WT84" s="5"/>
      <c r="WU84" s="6"/>
      <c r="WV84" s="4"/>
      <c r="WW84" s="4"/>
      <c r="WX84" s="4"/>
      <c r="WY84" s="4"/>
      <c r="WZ84" s="4"/>
      <c r="XA84" s="5"/>
      <c r="XB84" s="6"/>
      <c r="XC84" s="4"/>
      <c r="XD84" s="4"/>
      <c r="XE84" s="4"/>
      <c r="XF84" s="4"/>
      <c r="XG84" s="4"/>
      <c r="XH84" s="5"/>
      <c r="XI84" s="6"/>
      <c r="XJ84" s="4"/>
      <c r="XK84" s="4"/>
      <c r="XL84" s="4"/>
      <c r="XM84" s="4"/>
      <c r="XN84" s="4"/>
      <c r="XO84" s="5"/>
      <c r="XR84" s="4"/>
      <c r="XS84" s="4"/>
      <c r="XT84" s="4"/>
      <c r="XU84" s="4"/>
      <c r="XV84" s="5"/>
      <c r="XW84" s="6"/>
      <c r="XX84" s="4"/>
      <c r="XY84" s="4"/>
      <c r="XZ84" s="4"/>
      <c r="YA84" s="4"/>
      <c r="YB84" s="4"/>
      <c r="YC84" s="5"/>
      <c r="YD84" s="6"/>
      <c r="YE84" s="4"/>
      <c r="YF84" s="4"/>
      <c r="YG84" s="4"/>
      <c r="YH84" s="4"/>
      <c r="YI84" s="4"/>
      <c r="YJ84" s="5"/>
      <c r="YK84" s="6"/>
      <c r="YL84" s="4"/>
      <c r="YM84" s="4"/>
      <c r="YN84" s="4"/>
      <c r="YO84" s="4"/>
      <c r="YP84" s="4"/>
      <c r="YQ84" s="5"/>
      <c r="YR84" s="6"/>
      <c r="YS84" s="4"/>
      <c r="YT84" s="4"/>
      <c r="YU84" s="4"/>
      <c r="YV84" s="4"/>
      <c r="YW84" s="4"/>
      <c r="YX84" s="5"/>
      <c r="YY84" s="6"/>
      <c r="YZ84" s="4"/>
      <c r="ZA84" s="4"/>
      <c r="ZB84" s="4"/>
      <c r="ZC84" s="4"/>
      <c r="ZD84" s="4"/>
      <c r="ZE84" s="5"/>
      <c r="ZF84" s="6"/>
      <c r="ZG84" s="4"/>
      <c r="ZH84" s="4"/>
      <c r="ZI84" s="4"/>
      <c r="ZJ84" s="4"/>
      <c r="ZK84" s="4"/>
      <c r="ZL84" s="5"/>
      <c r="ZM84" s="6"/>
      <c r="ZN84" s="4"/>
      <c r="ZO84" s="4"/>
      <c r="ZP84" s="4"/>
      <c r="ZQ84" s="4"/>
      <c r="ZR84" s="4"/>
      <c r="ZS84" s="5"/>
      <c r="ZT84" s="6"/>
      <c r="ZU84" s="4"/>
      <c r="ZV84" s="4"/>
      <c r="ZW84" s="4"/>
      <c r="ZX84" s="4"/>
      <c r="ZY84" s="4"/>
      <c r="ZZ84" s="5"/>
      <c r="AAA84" s="6"/>
      <c r="AAB84" s="4"/>
      <c r="AAC84" s="4"/>
      <c r="AAD84" s="4"/>
      <c r="AAE84" s="4"/>
      <c r="AAF84" s="4"/>
      <c r="AAG84" s="5"/>
      <c r="AAH84" s="6"/>
      <c r="AAI84" s="4"/>
      <c r="AAJ84" s="4"/>
      <c r="AAK84" s="4"/>
      <c r="AAL84" s="4"/>
      <c r="AAM84" s="4"/>
      <c r="AAN84" s="5"/>
      <c r="AAO84" s="6"/>
      <c r="AAP84" s="4"/>
      <c r="AAQ84" s="4"/>
      <c r="AAR84" s="4"/>
      <c r="AAS84" s="4"/>
      <c r="AAT84" s="4"/>
      <c r="AAU84" s="5"/>
      <c r="AAV84" s="6"/>
      <c r="AAW84" s="4"/>
      <c r="AAX84" s="4"/>
      <c r="AAY84" s="4"/>
      <c r="AAZ84" s="4"/>
      <c r="ABA84" s="4"/>
      <c r="ABB84" s="5"/>
      <c r="ABC84" s="6"/>
      <c r="ABD84" s="4"/>
      <c r="ABE84" s="4"/>
      <c r="ABF84" s="4"/>
      <c r="ABG84" s="4"/>
      <c r="ABH84" s="4"/>
      <c r="ABI84" s="5"/>
      <c r="ABJ84" s="6"/>
      <c r="ABK84" s="4"/>
      <c r="ABL84" s="4"/>
      <c r="ABM84" s="4"/>
      <c r="ABN84" s="4"/>
      <c r="ABO84" s="4"/>
      <c r="ABP84" s="5"/>
      <c r="ABQ84" s="6"/>
      <c r="ABR84" s="4"/>
      <c r="ABS84" s="4"/>
      <c r="ABT84" s="4"/>
      <c r="ABU84" s="4"/>
      <c r="ABV84" s="4"/>
      <c r="ABW84" s="5"/>
      <c r="ABX84" s="6"/>
      <c r="ABY84" s="4"/>
      <c r="ABZ84" s="4"/>
      <c r="ACA84" s="4"/>
      <c r="ACB84" s="4"/>
      <c r="ACC84" s="4"/>
      <c r="ACD84" s="5"/>
      <c r="ACE84" s="6"/>
      <c r="ACF84" s="4"/>
      <c r="ACG84" s="4"/>
      <c r="ACH84" s="4"/>
      <c r="ACI84" s="4"/>
      <c r="ACJ84" s="4"/>
      <c r="ACK84" s="5"/>
      <c r="ACL84" s="6"/>
      <c r="ACM84" s="4"/>
      <c r="ACN84" s="4"/>
      <c r="ACO84" s="4"/>
      <c r="ACP84" s="4"/>
      <c r="ACQ84" s="4"/>
      <c r="ACR84" s="5"/>
      <c r="ACS84" s="6"/>
      <c r="ACT84" s="4"/>
      <c r="ACU84" s="4"/>
      <c r="ACV84" s="4"/>
      <c r="ACW84" s="4"/>
      <c r="ACX84" s="4"/>
      <c r="ACY84" s="5"/>
    </row>
    <row r="85" spans="1:779" x14ac:dyDescent="0.25">
      <c r="B85" s="29">
        <v>95005913</v>
      </c>
      <c r="C85">
        <v>40</v>
      </c>
      <c r="D85" t="s">
        <v>3729</v>
      </c>
      <c r="F85" s="23" t="s">
        <v>1781</v>
      </c>
      <c r="I85">
        <v>1</v>
      </c>
      <c r="J85" s="19">
        <v>34322</v>
      </c>
      <c r="K85" s="19"/>
      <c r="L85" s="19"/>
      <c r="LL85" s="6"/>
      <c r="LM85" s="4"/>
      <c r="LN85" s="4"/>
      <c r="LO85" s="4"/>
      <c r="LP85" s="4"/>
      <c r="LQ85" s="4"/>
      <c r="LR85" s="5"/>
      <c r="LS85" s="6" t="s">
        <v>2951</v>
      </c>
      <c r="LT85" s="4" t="s">
        <v>2952</v>
      </c>
      <c r="LU85" s="4"/>
      <c r="LV85" s="4"/>
      <c r="LW85" s="4"/>
      <c r="LX85" s="4"/>
      <c r="LY85" s="5"/>
      <c r="LZ85" s="6" t="s">
        <v>3102</v>
      </c>
      <c r="MA85" s="7" t="s">
        <v>3103</v>
      </c>
      <c r="MB85" s="4"/>
      <c r="MC85" s="4"/>
      <c r="MD85" s="8"/>
      <c r="ME85" s="4"/>
      <c r="MF85" s="4"/>
      <c r="MG85" s="5" t="s">
        <v>2880</v>
      </c>
      <c r="MH85" s="6"/>
      <c r="MI85" s="4"/>
      <c r="MJ85" s="4"/>
      <c r="MK85" s="4"/>
      <c r="ML85" s="4"/>
      <c r="MM85" s="4"/>
      <c r="MN85" s="5"/>
      <c r="MO85" s="6"/>
      <c r="MP85" s="4"/>
      <c r="MQ85" s="4"/>
      <c r="MR85" s="4"/>
      <c r="MS85" s="4"/>
      <c r="MT85" s="4"/>
      <c r="MU85" s="5"/>
      <c r="MV85" s="6"/>
      <c r="MW85" s="4"/>
      <c r="MX85" s="4"/>
      <c r="MY85" s="4"/>
      <c r="MZ85" s="4"/>
      <c r="NA85" s="4"/>
      <c r="NB85" s="5"/>
      <c r="NC85" s="6" t="s">
        <v>2604</v>
      </c>
      <c r="ND85" s="4" t="s">
        <v>3328</v>
      </c>
      <c r="NE85" s="4"/>
      <c r="NF85" s="4"/>
      <c r="NG85" s="4"/>
      <c r="NH85" s="4"/>
      <c r="NI85" s="5"/>
      <c r="NJ85" s="6" t="s">
        <v>2448</v>
      </c>
      <c r="NK85" s="4" t="s">
        <v>2593</v>
      </c>
      <c r="NL85" s="4"/>
      <c r="NM85" s="4"/>
      <c r="NN85" s="4"/>
      <c r="NO85" s="4"/>
      <c r="NP85" s="5"/>
      <c r="NQ85" s="6"/>
      <c r="NR85" s="4"/>
      <c r="NS85" s="4"/>
      <c r="NT85" s="4"/>
      <c r="NU85" s="4"/>
      <c r="NV85" s="4"/>
      <c r="NW85" s="5"/>
      <c r="NX85" s="6"/>
      <c r="NY85" s="4"/>
      <c r="NZ85" s="4"/>
      <c r="OA85" s="4"/>
      <c r="OB85" s="4"/>
      <c r="OC85" s="4"/>
      <c r="OD85" s="5"/>
      <c r="OE85" s="6"/>
      <c r="OF85" s="4"/>
      <c r="OG85" s="4"/>
      <c r="OH85" s="4"/>
      <c r="OI85" s="4"/>
      <c r="OJ85" s="4"/>
      <c r="OK85" s="5"/>
      <c r="OL85" s="6" t="s">
        <v>2908</v>
      </c>
      <c r="OM85" s="4" t="s">
        <v>2909</v>
      </c>
      <c r="ON85" s="4"/>
      <c r="OO85" s="4"/>
      <c r="OP85" s="4"/>
      <c r="OQ85" s="4"/>
      <c r="OR85" s="5"/>
      <c r="OS85" s="6"/>
      <c r="OT85" s="4"/>
      <c r="OU85" s="4"/>
      <c r="OV85" s="4"/>
      <c r="OW85" s="4"/>
      <c r="OX85" s="4"/>
      <c r="OY85" s="5"/>
      <c r="OZ85" s="6" t="s">
        <v>2849</v>
      </c>
      <c r="PA85" s="4" t="s">
        <v>2850</v>
      </c>
      <c r="PB85" s="4"/>
      <c r="PC85" s="4"/>
      <c r="PD85" s="4"/>
      <c r="PE85" s="4"/>
      <c r="PF85" s="5"/>
      <c r="PG85" s="6"/>
      <c r="PH85" s="4"/>
      <c r="PI85" s="4"/>
      <c r="PJ85" s="4"/>
      <c r="PK85" s="4"/>
      <c r="PL85" s="4"/>
      <c r="PM85" s="5"/>
      <c r="PN85" s="6"/>
      <c r="PO85" s="4"/>
      <c r="PP85" s="4"/>
      <c r="PQ85" s="4"/>
      <c r="PR85" s="4"/>
      <c r="PS85" s="4"/>
      <c r="PT85" s="5"/>
      <c r="PU85" s="6" t="s">
        <v>2726</v>
      </c>
      <c r="PV85" s="4" t="s">
        <v>2876</v>
      </c>
      <c r="PW85" s="4"/>
      <c r="PX85" s="4"/>
      <c r="PY85" s="4"/>
      <c r="PZ85" s="4"/>
      <c r="QA85" s="5"/>
      <c r="QB85" s="6" t="s">
        <v>2735</v>
      </c>
      <c r="QC85" s="4" t="s">
        <v>2600</v>
      </c>
      <c r="QD85" s="4"/>
      <c r="QE85" s="4"/>
      <c r="QF85" s="4"/>
      <c r="QG85" s="4"/>
      <c r="QH85" s="5"/>
      <c r="QI85" s="6" t="s">
        <v>3184</v>
      </c>
      <c r="QJ85" s="4" t="s">
        <v>3185</v>
      </c>
      <c r="QK85" s="4"/>
      <c r="QL85" s="4"/>
      <c r="QM85" s="4"/>
      <c r="QN85" s="4"/>
      <c r="QO85" s="5"/>
      <c r="QP85" s="6"/>
      <c r="QQ85" s="4"/>
      <c r="QR85" s="4"/>
      <c r="QS85" s="4"/>
      <c r="QT85" s="4"/>
      <c r="QU85" s="4"/>
      <c r="QV85" s="5"/>
      <c r="QW85" s="6"/>
      <c r="QX85" s="4"/>
      <c r="QY85" s="4"/>
      <c r="QZ85" s="4"/>
      <c r="RA85" s="4"/>
      <c r="RB85" s="4"/>
      <c r="RC85" s="5"/>
      <c r="RD85" s="6"/>
      <c r="RE85" s="4"/>
      <c r="RF85" s="4"/>
      <c r="RG85" s="4"/>
      <c r="RH85" s="4"/>
      <c r="RI85" s="4"/>
      <c r="RJ85" s="5"/>
      <c r="RK85" s="6"/>
      <c r="RL85" s="4"/>
      <c r="RM85" s="4"/>
      <c r="RN85" s="4"/>
      <c r="RO85" s="4"/>
      <c r="RP85" s="4"/>
      <c r="RQ85" s="5"/>
      <c r="RR85" s="6" t="s">
        <v>2727</v>
      </c>
      <c r="RS85" s="4" t="s">
        <v>2728</v>
      </c>
      <c r="RT85" s="4"/>
      <c r="RU85" s="4"/>
      <c r="RV85" s="4"/>
      <c r="RW85" s="4"/>
      <c r="RX85" s="5"/>
      <c r="RY85" s="6"/>
      <c r="RZ85" s="4"/>
      <c r="SA85" s="4"/>
      <c r="SB85" s="4"/>
      <c r="SC85" s="4"/>
      <c r="SD85" s="4"/>
      <c r="SE85" s="5"/>
      <c r="SF85" s="6"/>
      <c r="SG85" s="4"/>
      <c r="SH85" s="4"/>
      <c r="SI85" s="4"/>
      <c r="SJ85" s="4"/>
      <c r="SK85" s="4"/>
      <c r="SL85" s="5"/>
      <c r="SM85" s="6"/>
      <c r="SN85" s="4"/>
      <c r="SO85" s="4"/>
      <c r="SP85" s="4"/>
      <c r="SQ85" s="4"/>
      <c r="SR85" s="4"/>
      <c r="SS85" s="5"/>
      <c r="ST85" s="6"/>
      <c r="SU85" s="4"/>
      <c r="SV85" s="4"/>
      <c r="SW85" s="4"/>
      <c r="SX85" s="4"/>
      <c r="SY85" s="4"/>
      <c r="SZ85" s="5"/>
      <c r="TA85" s="6"/>
      <c r="TB85" s="4"/>
      <c r="TC85" s="4"/>
      <c r="TD85" s="4"/>
      <c r="TE85" s="4"/>
      <c r="TF85" s="4"/>
      <c r="TG85" s="5"/>
      <c r="TH85" s="6"/>
      <c r="TI85" s="4"/>
      <c r="TJ85" s="4"/>
      <c r="TK85" s="4"/>
      <c r="TL85" s="4"/>
      <c r="TM85" s="4"/>
      <c r="TN85" s="5"/>
      <c r="TO85" s="6"/>
      <c r="TP85" s="4"/>
      <c r="TQ85" s="4"/>
      <c r="TR85" s="4"/>
      <c r="TS85" s="4"/>
      <c r="TT85" s="4"/>
      <c r="TU85" s="5"/>
      <c r="TV85" s="6"/>
      <c r="TW85" s="4"/>
      <c r="TX85" s="4"/>
      <c r="TY85" s="4"/>
      <c r="TZ85" s="4"/>
      <c r="UA85" s="4"/>
      <c r="UB85" s="5"/>
      <c r="UC85" s="6"/>
      <c r="UD85" s="4"/>
      <c r="UE85" s="4"/>
      <c r="UF85" s="4"/>
      <c r="UG85" s="4"/>
      <c r="UH85" s="4"/>
      <c r="UI85" s="5"/>
      <c r="UJ85" s="6"/>
      <c r="UK85" s="4"/>
      <c r="UL85" s="4"/>
      <c r="UM85" s="4"/>
      <c r="UN85" s="4"/>
      <c r="UO85" s="4"/>
      <c r="UP85" s="5"/>
      <c r="UQ85" s="6"/>
      <c r="UR85" s="4"/>
      <c r="US85" s="4"/>
      <c r="UT85" s="4"/>
      <c r="UU85" s="4"/>
      <c r="UV85" s="4"/>
      <c r="UW85" s="5"/>
      <c r="UX85" s="6"/>
      <c r="UY85" s="4"/>
      <c r="UZ85" s="4"/>
      <c r="VA85" s="4"/>
      <c r="VB85" s="4"/>
      <c r="VC85" s="4"/>
      <c r="VD85" s="5"/>
      <c r="VE85" s="6"/>
      <c r="VF85" s="4"/>
      <c r="VG85" s="4"/>
      <c r="VH85" s="4"/>
      <c r="VI85" s="4"/>
      <c r="VJ85" s="4"/>
      <c r="VK85" s="5"/>
      <c r="VL85" s="6" t="s">
        <v>3036</v>
      </c>
      <c r="VM85" s="4" t="s">
        <v>3037</v>
      </c>
      <c r="VN85" s="4"/>
      <c r="VO85" s="4"/>
      <c r="VP85" s="4"/>
      <c r="VQ85" s="4"/>
      <c r="VR85" s="5"/>
      <c r="VS85" s="6"/>
      <c r="VT85" s="4"/>
      <c r="VU85" s="4"/>
      <c r="VV85" s="4"/>
      <c r="VW85" s="4"/>
      <c r="VX85" s="4"/>
      <c r="VY85" s="5"/>
      <c r="VZ85" s="6"/>
      <c r="WA85" s="4"/>
      <c r="WB85" s="4"/>
      <c r="WC85" s="4"/>
      <c r="WD85" s="4"/>
      <c r="WE85" s="4"/>
      <c r="WF85" s="5"/>
      <c r="WG85" s="6"/>
      <c r="WH85" s="4"/>
      <c r="WI85" s="4"/>
      <c r="WJ85" s="4"/>
      <c r="WK85" s="4"/>
      <c r="WL85" s="4"/>
      <c r="WM85" s="5"/>
      <c r="WN85" s="6"/>
      <c r="WO85" s="4"/>
      <c r="WP85" s="4"/>
      <c r="WQ85" s="4"/>
      <c r="WR85" s="4"/>
      <c r="WS85" s="4"/>
      <c r="WT85" s="5"/>
      <c r="WU85" s="6"/>
      <c r="WV85" s="4"/>
      <c r="WW85" s="4"/>
      <c r="WX85" s="4"/>
      <c r="WY85" s="4"/>
      <c r="WZ85" s="4"/>
      <c r="XA85" s="5"/>
      <c r="XB85" s="6"/>
      <c r="XC85" s="4"/>
      <c r="XD85" s="4"/>
      <c r="XE85" s="4"/>
      <c r="XF85" s="4"/>
      <c r="XG85" s="4"/>
      <c r="XH85" s="5"/>
      <c r="XI85" s="6"/>
      <c r="XJ85" s="4"/>
      <c r="XK85" s="4"/>
      <c r="XL85" s="4"/>
      <c r="XM85" s="4"/>
      <c r="XN85" s="4"/>
      <c r="XO85" s="5"/>
      <c r="XP85" s="6" t="s">
        <v>2575</v>
      </c>
      <c r="XQ85" s="4" t="s">
        <v>2576</v>
      </c>
      <c r="XR85" s="4"/>
      <c r="XS85" s="4"/>
      <c r="XT85" s="4"/>
      <c r="XU85" s="4"/>
      <c r="XV85" s="5"/>
      <c r="XW85" s="6"/>
      <c r="XX85" s="4"/>
      <c r="XY85" s="4"/>
      <c r="XZ85" s="4"/>
      <c r="YA85" s="4"/>
      <c r="YB85" s="4"/>
      <c r="YC85" s="5"/>
      <c r="YD85" s="6"/>
      <c r="YE85" s="4"/>
      <c r="YF85" s="4"/>
      <c r="YG85" s="4"/>
      <c r="YH85" s="4"/>
      <c r="YI85" s="4"/>
      <c r="YJ85" s="5"/>
      <c r="YK85" s="6" t="s">
        <v>3023</v>
      </c>
      <c r="YL85" s="4" t="s">
        <v>2722</v>
      </c>
      <c r="YM85" s="4"/>
      <c r="YN85" s="4"/>
      <c r="YO85" s="4"/>
      <c r="YP85" s="4"/>
      <c r="YQ85" s="5"/>
      <c r="YR85" s="6" t="s">
        <v>3186</v>
      </c>
      <c r="YS85" s="4" t="s">
        <v>3187</v>
      </c>
      <c r="YT85" s="4"/>
      <c r="YU85" s="4"/>
      <c r="YV85" s="4"/>
      <c r="YW85" s="4"/>
      <c r="YX85" s="5"/>
      <c r="YY85" s="6"/>
      <c r="YZ85" s="4"/>
      <c r="ZA85" s="4"/>
      <c r="ZB85" s="4"/>
      <c r="ZC85" s="4"/>
      <c r="ZD85" s="4"/>
      <c r="ZE85" s="5"/>
      <c r="ZF85" s="6"/>
      <c r="ZG85" s="4"/>
      <c r="ZH85" s="4"/>
      <c r="ZI85" s="4"/>
      <c r="ZJ85" s="4"/>
      <c r="ZK85" s="4"/>
      <c r="ZL85" s="5"/>
      <c r="ZM85" s="6"/>
      <c r="ZN85" s="4"/>
      <c r="ZO85" s="4"/>
      <c r="ZP85" s="4"/>
      <c r="ZQ85" s="4"/>
      <c r="ZR85" s="4"/>
      <c r="ZS85" s="5"/>
      <c r="ZT85" s="6"/>
      <c r="ZU85" s="4"/>
      <c r="ZV85" s="4"/>
      <c r="ZW85" s="4"/>
      <c r="ZX85" s="4"/>
      <c r="ZY85" s="4"/>
      <c r="ZZ85" s="5"/>
      <c r="AAA85" s="6"/>
      <c r="AAB85" s="4"/>
      <c r="AAC85" s="4"/>
      <c r="AAD85" s="4"/>
      <c r="AAE85" s="4"/>
      <c r="AAF85" s="4"/>
      <c r="AAG85" s="5"/>
      <c r="AAH85" s="6" t="s">
        <v>2888</v>
      </c>
      <c r="AAI85" s="4" t="s">
        <v>2889</v>
      </c>
      <c r="AAJ85" s="4"/>
      <c r="AAK85" s="4"/>
      <c r="AAL85" s="4"/>
      <c r="AAM85" s="4"/>
      <c r="AAN85" s="5"/>
      <c r="AAO85" s="6"/>
      <c r="AAP85" s="4"/>
      <c r="AAQ85" s="4"/>
      <c r="AAR85" s="4"/>
      <c r="AAS85" s="4"/>
      <c r="AAT85" s="4"/>
      <c r="AAU85" s="5"/>
      <c r="AAV85" s="6"/>
      <c r="AAW85" s="4"/>
      <c r="AAX85" s="4"/>
      <c r="AAY85" s="4"/>
      <c r="AAZ85" s="4"/>
      <c r="ABA85" s="4"/>
      <c r="ABB85" s="5"/>
      <c r="ABC85" s="6" t="s">
        <v>3039</v>
      </c>
      <c r="ABD85" s="4" t="s">
        <v>2829</v>
      </c>
      <c r="ABE85" s="4"/>
      <c r="ABF85" s="4"/>
      <c r="ABG85" s="4"/>
      <c r="ABH85" s="4"/>
      <c r="ABI85" s="5"/>
      <c r="ABJ85" s="6"/>
      <c r="ABK85" s="4"/>
      <c r="ABL85" s="4"/>
      <c r="ABM85" s="4"/>
      <c r="ABN85" s="4"/>
      <c r="ABO85" s="4"/>
      <c r="ABP85" s="5"/>
      <c r="ABQ85" s="6"/>
      <c r="ABR85" s="4"/>
      <c r="ABS85" s="4"/>
      <c r="ABT85" s="4"/>
      <c r="ABU85" s="4"/>
      <c r="ABV85" s="4"/>
      <c r="ABW85" s="5"/>
      <c r="ABX85" s="6"/>
      <c r="ABY85" s="4"/>
      <c r="ABZ85" s="4"/>
      <c r="ACA85" s="4"/>
      <c r="ACB85" s="4"/>
      <c r="ACC85" s="4"/>
      <c r="ACD85" s="5"/>
      <c r="ACE85" s="6"/>
      <c r="ACF85" s="4"/>
      <c r="ACG85" s="4"/>
      <c r="ACH85" s="4"/>
      <c r="ACI85" s="4"/>
      <c r="ACJ85" s="4"/>
      <c r="ACK85" s="5"/>
      <c r="ACL85" s="6"/>
      <c r="ACM85" s="4"/>
      <c r="ACN85" s="4"/>
      <c r="ACO85" s="4"/>
      <c r="ACP85" s="4"/>
      <c r="ACQ85" s="4"/>
      <c r="ACR85" s="5"/>
      <c r="ACS85" s="6"/>
      <c r="ACT85" s="4"/>
      <c r="ACU85" s="4"/>
      <c r="ACV85" s="4"/>
      <c r="ACW85" s="4"/>
      <c r="ACX85" s="4"/>
      <c r="ACY85" s="5"/>
    </row>
    <row r="86" spans="1:779" x14ac:dyDescent="0.25">
      <c r="B86" s="30"/>
      <c r="J86" s="12"/>
      <c r="K86" s="12"/>
      <c r="L86" s="12"/>
      <c r="LL86" s="6"/>
      <c r="LM86" s="4"/>
      <c r="LN86" s="4"/>
      <c r="LO86" s="4"/>
      <c r="LP86" s="4"/>
      <c r="LQ86" s="4"/>
      <c r="LR86" s="5"/>
      <c r="LS86" s="4" t="s">
        <v>2897</v>
      </c>
      <c r="LT86" s="4" t="s">
        <v>2898</v>
      </c>
      <c r="LU86" s="4"/>
      <c r="LV86" s="4"/>
      <c r="LW86" s="4"/>
      <c r="LX86" s="4"/>
      <c r="LY86" s="5"/>
      <c r="LZ86" s="6" t="s">
        <v>2723</v>
      </c>
      <c r="MA86" s="7"/>
      <c r="MB86" s="4"/>
      <c r="MC86" s="4"/>
      <c r="MD86" s="8"/>
      <c r="ME86" s="4"/>
      <c r="MF86" s="4"/>
      <c r="MG86" s="5"/>
      <c r="MH86" s="6"/>
      <c r="MI86" s="4"/>
      <c r="MJ86" s="4"/>
      <c r="MK86" s="4"/>
      <c r="ML86" s="4"/>
      <c r="MM86" s="4"/>
      <c r="MN86" s="5"/>
      <c r="MO86" s="6"/>
      <c r="MP86" s="4"/>
      <c r="MQ86" s="4"/>
      <c r="MR86" s="4"/>
      <c r="MS86" s="4"/>
      <c r="MT86" s="4"/>
      <c r="MU86" s="5"/>
      <c r="MV86" s="6"/>
      <c r="MW86" s="4"/>
      <c r="MX86" s="4"/>
      <c r="MY86" s="4"/>
      <c r="MZ86" s="4"/>
      <c r="NA86" s="4"/>
      <c r="NB86" s="5"/>
      <c r="NC86" s="6"/>
      <c r="ND86" s="4"/>
      <c r="NE86" s="4"/>
      <c r="NF86" s="4"/>
      <c r="NG86" s="4"/>
      <c r="NH86" s="4"/>
      <c r="NI86" s="5"/>
      <c r="NJ86" s="6"/>
      <c r="NK86" s="4"/>
      <c r="NL86" s="4"/>
      <c r="NM86" s="4"/>
      <c r="NN86" s="4"/>
      <c r="NO86" s="4"/>
      <c r="NP86" s="5"/>
      <c r="NQ86" s="6"/>
      <c r="NR86" s="4"/>
      <c r="NS86" s="4"/>
      <c r="NT86" s="4"/>
      <c r="NU86" s="4"/>
      <c r="NV86" s="4"/>
      <c r="NW86" s="5"/>
      <c r="NX86" s="6"/>
      <c r="NY86" s="4"/>
      <c r="NZ86" s="4"/>
      <c r="OA86" s="4"/>
      <c r="OB86" s="4"/>
      <c r="OC86" s="4"/>
      <c r="OD86" s="5"/>
      <c r="OE86" s="6"/>
      <c r="OF86" s="4"/>
      <c r="OG86" s="4"/>
      <c r="OH86" s="4"/>
      <c r="OI86" s="4"/>
      <c r="OJ86" s="4"/>
      <c r="OK86" s="5"/>
      <c r="ON86" s="4"/>
      <c r="OO86" s="4"/>
      <c r="OP86" s="4"/>
      <c r="OQ86" s="4"/>
      <c r="OR86" s="5"/>
      <c r="OS86" s="6"/>
      <c r="OT86" s="4"/>
      <c r="OU86" s="4"/>
      <c r="OV86" s="4"/>
      <c r="OW86" s="4"/>
      <c r="OX86" s="4"/>
      <c r="OY86" s="5"/>
      <c r="OZ86" s="6"/>
      <c r="PA86" s="4"/>
      <c r="PB86" s="4"/>
      <c r="PC86" s="4"/>
      <c r="PD86" s="4"/>
      <c r="PE86" s="4"/>
      <c r="PF86" s="5"/>
      <c r="PG86" s="6"/>
      <c r="PH86" s="4"/>
      <c r="PI86" s="4"/>
      <c r="PJ86" s="4"/>
      <c r="PK86" s="4"/>
      <c r="PL86" s="4"/>
      <c r="PM86" s="5"/>
      <c r="PN86" s="6"/>
      <c r="PO86" s="4"/>
      <c r="PP86" s="4"/>
      <c r="PQ86" s="4"/>
      <c r="PR86" s="4"/>
      <c r="PS86" s="4"/>
      <c r="PT86" s="5"/>
      <c r="PU86" s="6" t="s">
        <v>2770</v>
      </c>
      <c r="PV86" s="4" t="s">
        <v>2907</v>
      </c>
      <c r="PW86" s="4"/>
      <c r="PX86" s="4"/>
      <c r="PY86" s="4"/>
      <c r="PZ86" s="4"/>
      <c r="QA86" s="5"/>
      <c r="QB86" s="6"/>
      <c r="QC86" s="4"/>
      <c r="QD86" s="4"/>
      <c r="QE86" s="4"/>
      <c r="QF86" s="4"/>
      <c r="QG86" s="4"/>
      <c r="QH86" s="5"/>
      <c r="QI86" s="6" t="s">
        <v>2830</v>
      </c>
      <c r="QJ86" s="4" t="s">
        <v>2831</v>
      </c>
      <c r="QK86" s="4"/>
      <c r="QL86" s="4"/>
      <c r="QM86" s="4"/>
      <c r="QN86" s="4"/>
      <c r="QO86" s="5"/>
      <c r="QP86" s="6"/>
      <c r="QQ86" s="4"/>
      <c r="QR86" s="4"/>
      <c r="QS86" s="4"/>
      <c r="QT86" s="4"/>
      <c r="QU86" s="4"/>
      <c r="QV86" s="5"/>
      <c r="QW86" s="6"/>
      <c r="QX86" s="4"/>
      <c r="QY86" s="4"/>
      <c r="QZ86" s="4"/>
      <c r="RA86" s="4"/>
      <c r="RB86" s="4"/>
      <c r="RC86" s="5"/>
      <c r="RD86" s="6"/>
      <c r="RE86" s="4"/>
      <c r="RF86" s="4"/>
      <c r="RG86" s="4"/>
      <c r="RH86" s="4"/>
      <c r="RI86" s="4"/>
      <c r="RJ86" s="5"/>
      <c r="RK86" s="6"/>
      <c r="RL86" s="4"/>
      <c r="RM86" s="4"/>
      <c r="RN86" s="4"/>
      <c r="RO86" s="4"/>
      <c r="RP86" s="4"/>
      <c r="RQ86" s="5"/>
      <c r="RR86" s="6"/>
      <c r="RS86" s="4"/>
      <c r="RT86" s="4"/>
      <c r="RU86" s="4"/>
      <c r="RV86" s="4"/>
      <c r="RW86" s="4"/>
      <c r="RX86" s="5"/>
      <c r="RY86" s="6"/>
      <c r="RZ86" s="4"/>
      <c r="SA86" s="4"/>
      <c r="SB86" s="4"/>
      <c r="SC86" s="4"/>
      <c r="SD86" s="4"/>
      <c r="SE86" s="5"/>
      <c r="SF86" s="6"/>
      <c r="SG86" s="4"/>
      <c r="SH86" s="4"/>
      <c r="SI86" s="4"/>
      <c r="SJ86" s="4"/>
      <c r="SK86" s="4"/>
      <c r="SL86" s="5"/>
      <c r="SM86" s="6"/>
      <c r="SN86" s="4"/>
      <c r="SO86" s="4"/>
      <c r="SP86" s="4"/>
      <c r="SQ86" s="4"/>
      <c r="SR86" s="4"/>
      <c r="SS86" s="5"/>
      <c r="ST86" s="6"/>
      <c r="SU86" s="4"/>
      <c r="SV86" s="4"/>
      <c r="SW86" s="4"/>
      <c r="SX86" s="4"/>
      <c r="SY86" s="4"/>
      <c r="SZ86" s="5"/>
      <c r="TA86" s="6"/>
      <c r="TB86" s="4"/>
      <c r="TC86" s="4"/>
      <c r="TD86" s="4"/>
      <c r="TE86" s="4"/>
      <c r="TF86" s="4"/>
      <c r="TG86" s="5"/>
      <c r="TH86" s="6"/>
      <c r="TI86" s="4"/>
      <c r="TJ86" s="4"/>
      <c r="TK86" s="4"/>
      <c r="TL86" s="4"/>
      <c r="TM86" s="4"/>
      <c r="TN86" s="5"/>
      <c r="TO86" s="6"/>
      <c r="TP86" s="4"/>
      <c r="TQ86" s="4"/>
      <c r="TR86" s="4"/>
      <c r="TS86" s="4"/>
      <c r="TT86" s="4"/>
      <c r="TU86" s="5"/>
      <c r="TV86" s="6"/>
      <c r="TW86" s="4"/>
      <c r="TX86" s="4"/>
      <c r="TY86" s="4"/>
      <c r="TZ86" s="4"/>
      <c r="UA86" s="4"/>
      <c r="UB86" s="5"/>
      <c r="UC86" s="6"/>
      <c r="UD86" s="4"/>
      <c r="UE86" s="4"/>
      <c r="UF86" s="4"/>
      <c r="UG86" s="4"/>
      <c r="UH86" s="4"/>
      <c r="UI86" s="5"/>
      <c r="UJ86" s="6"/>
      <c r="UK86" s="4"/>
      <c r="UL86" s="4"/>
      <c r="UM86" s="4"/>
      <c r="UN86" s="4"/>
      <c r="UO86" s="4"/>
      <c r="UP86" s="5"/>
      <c r="UQ86" s="6"/>
      <c r="UR86" s="4"/>
      <c r="US86" s="4"/>
      <c r="UT86" s="4"/>
      <c r="UU86" s="4"/>
      <c r="UV86" s="4"/>
      <c r="UW86" s="5"/>
      <c r="UX86" s="6"/>
      <c r="UY86" s="4"/>
      <c r="UZ86" s="4"/>
      <c r="VA86" s="4"/>
      <c r="VB86" s="4"/>
      <c r="VC86" s="4"/>
      <c r="VD86" s="5"/>
      <c r="VE86" s="6"/>
      <c r="VF86" s="4"/>
      <c r="VG86" s="4"/>
      <c r="VH86" s="4"/>
      <c r="VI86" s="4"/>
      <c r="VJ86" s="4"/>
      <c r="VK86" s="5"/>
      <c r="VL86" s="6" t="s">
        <v>2639</v>
      </c>
      <c r="VM86" s="4" t="s">
        <v>2640</v>
      </c>
      <c r="VN86" s="4"/>
      <c r="VO86" s="4"/>
      <c r="VP86" s="4"/>
      <c r="VQ86" s="4"/>
      <c r="VR86" s="5"/>
      <c r="VS86" s="6"/>
      <c r="VT86" s="4"/>
      <c r="VU86" s="4"/>
      <c r="VV86" s="4"/>
      <c r="VW86" s="4"/>
      <c r="VX86" s="4"/>
      <c r="VY86" s="5"/>
      <c r="VZ86" s="6"/>
      <c r="WA86" s="4"/>
      <c r="WB86" s="4"/>
      <c r="WC86" s="4"/>
      <c r="WD86" s="4"/>
      <c r="WE86" s="4"/>
      <c r="WF86" s="5"/>
      <c r="WG86" s="6"/>
      <c r="WH86" s="4"/>
      <c r="WI86" s="4"/>
      <c r="WJ86" s="4"/>
      <c r="WK86" s="4"/>
      <c r="WL86" s="4"/>
      <c r="WM86" s="5"/>
      <c r="WN86" s="6"/>
      <c r="WO86" s="4"/>
      <c r="WP86" s="4"/>
      <c r="WQ86" s="4"/>
      <c r="WR86" s="4"/>
      <c r="WS86" s="4"/>
      <c r="WT86" s="5"/>
      <c r="WU86" s="6"/>
      <c r="WV86" s="4"/>
      <c r="WW86" s="4"/>
      <c r="WX86" s="4"/>
      <c r="WY86" s="4"/>
      <c r="WZ86" s="4"/>
      <c r="XA86" s="5"/>
      <c r="XB86" s="6"/>
      <c r="XC86" s="4"/>
      <c r="XD86" s="4"/>
      <c r="XE86" s="4"/>
      <c r="XF86" s="4"/>
      <c r="XG86" s="4"/>
      <c r="XH86" s="5"/>
      <c r="XI86" s="6"/>
      <c r="XJ86" s="4"/>
      <c r="XK86" s="4"/>
      <c r="XL86" s="4"/>
      <c r="XM86" s="4"/>
      <c r="XN86" s="4"/>
      <c r="XO86" s="5"/>
      <c r="XP86" s="6" t="s">
        <v>2848</v>
      </c>
      <c r="XQ86" s="4" t="s">
        <v>2848</v>
      </c>
      <c r="XR86" s="4"/>
      <c r="XS86" s="4"/>
      <c r="XT86" s="4"/>
      <c r="XU86" s="4"/>
      <c r="XV86" s="5"/>
      <c r="XW86" s="6"/>
      <c r="XX86" s="4"/>
      <c r="XY86" s="4"/>
      <c r="XZ86" s="4"/>
      <c r="YA86" s="4"/>
      <c r="YB86" s="4"/>
      <c r="YC86" s="5"/>
      <c r="YD86" s="6"/>
      <c r="YE86" s="4"/>
      <c r="YF86" s="4"/>
      <c r="YG86" s="4"/>
      <c r="YH86" s="4"/>
      <c r="YI86" s="4"/>
      <c r="YJ86" s="5"/>
      <c r="YK86" s="6" t="s">
        <v>2843</v>
      </c>
      <c r="YL86" s="4" t="s">
        <v>2844</v>
      </c>
      <c r="YM86" s="4"/>
      <c r="YN86" s="4"/>
      <c r="YO86" s="4"/>
      <c r="YP86" s="4"/>
      <c r="YQ86" s="5" t="s">
        <v>2877</v>
      </c>
      <c r="YR86" s="6"/>
      <c r="YS86" s="4"/>
      <c r="YT86" s="4"/>
      <c r="YU86" s="4"/>
      <c r="YV86" s="4"/>
      <c r="YW86" s="4"/>
      <c r="YX86" s="5"/>
      <c r="YY86" s="6"/>
      <c r="YZ86" s="4"/>
      <c r="ZA86" s="4"/>
      <c r="ZB86" s="4"/>
      <c r="ZC86" s="4"/>
      <c r="ZD86" s="4"/>
      <c r="ZE86" s="5"/>
      <c r="ZF86" s="6"/>
      <c r="ZG86" s="4"/>
      <c r="ZH86" s="4"/>
      <c r="ZI86" s="4"/>
      <c r="ZJ86" s="4"/>
      <c r="ZK86" s="4"/>
      <c r="ZL86" s="5"/>
      <c r="ZM86" s="6"/>
      <c r="ZN86" s="4"/>
      <c r="ZO86" s="4"/>
      <c r="ZP86" s="4"/>
      <c r="ZQ86" s="4"/>
      <c r="ZR86" s="4"/>
      <c r="ZS86" s="5"/>
      <c r="ZT86" s="6"/>
      <c r="ZU86" s="4"/>
      <c r="ZV86" s="4"/>
      <c r="ZW86" s="4"/>
      <c r="ZX86" s="4"/>
      <c r="ZY86" s="4"/>
      <c r="ZZ86" s="5"/>
      <c r="AAA86" s="6"/>
      <c r="AAB86" s="4"/>
      <c r="AAC86" s="4"/>
      <c r="AAD86" s="4"/>
      <c r="AAE86" s="4"/>
      <c r="AAF86" s="4"/>
      <c r="AAG86" s="5"/>
      <c r="AAH86" s="6" t="s">
        <v>2890</v>
      </c>
      <c r="AAI86" s="7" t="s">
        <v>2891</v>
      </c>
      <c r="AAJ86" s="4"/>
      <c r="AAK86" s="4"/>
      <c r="AAL86" s="4"/>
      <c r="AAM86" s="4"/>
      <c r="AAN86" s="5"/>
      <c r="AAO86" s="6"/>
      <c r="AAP86" s="4"/>
      <c r="AAQ86" s="4"/>
      <c r="AAR86" s="4"/>
      <c r="AAS86" s="4"/>
      <c r="AAT86" s="4"/>
      <c r="AAU86" s="5"/>
      <c r="AAV86" s="6"/>
      <c r="AAW86" s="4"/>
      <c r="AAX86" s="4"/>
      <c r="AAY86" s="4"/>
      <c r="AAZ86" s="4"/>
      <c r="ABA86" s="4"/>
      <c r="ABB86" s="5"/>
      <c r="ABC86" s="6"/>
      <c r="ABD86" s="4"/>
      <c r="ABE86" s="4"/>
      <c r="ABF86" s="4"/>
      <c r="ABG86" s="4"/>
      <c r="ABH86" s="4"/>
      <c r="ABI86" s="5"/>
      <c r="ABJ86" s="6"/>
      <c r="ABK86" s="4"/>
      <c r="ABL86" s="4"/>
      <c r="ABM86" s="4"/>
      <c r="ABN86" s="4"/>
      <c r="ABO86" s="4"/>
      <c r="ABP86" s="5"/>
      <c r="ABQ86" s="6"/>
      <c r="ABR86" s="4"/>
      <c r="ABS86" s="4"/>
      <c r="ABT86" s="4"/>
      <c r="ABU86" s="4"/>
      <c r="ABV86" s="4"/>
      <c r="ABW86" s="5"/>
      <c r="ABX86" s="6"/>
      <c r="ABY86" s="4"/>
      <c r="ABZ86" s="4"/>
      <c r="ACA86" s="4"/>
      <c r="ACB86" s="4"/>
      <c r="ACC86" s="4"/>
      <c r="ACD86" s="5"/>
      <c r="ACE86" s="6"/>
      <c r="ACF86" s="4"/>
      <c r="ACG86" s="4"/>
      <c r="ACH86" s="4"/>
      <c r="ACI86" s="4"/>
      <c r="ACJ86" s="4"/>
      <c r="ACK86" s="5"/>
      <c r="ACL86" s="6"/>
      <c r="ACM86" s="4"/>
      <c r="ACN86" s="4"/>
      <c r="ACO86" s="4"/>
      <c r="ACP86" s="4"/>
      <c r="ACQ86" s="4"/>
      <c r="ACR86" s="5"/>
      <c r="ACS86" s="6"/>
      <c r="ACT86" s="4"/>
      <c r="ACU86" s="4"/>
      <c r="ACV86" s="4"/>
      <c r="ACW86" s="4"/>
      <c r="ACX86" s="4"/>
      <c r="ACY86" s="5"/>
    </row>
    <row r="87" spans="1:779" x14ac:dyDescent="0.25">
      <c r="B87" s="30"/>
      <c r="J87" s="12"/>
      <c r="K87" s="12"/>
      <c r="L87" s="12"/>
      <c r="LL87" s="6"/>
      <c r="LM87" s="4"/>
      <c r="LN87" s="4"/>
      <c r="LO87" s="4"/>
      <c r="LP87" s="4"/>
      <c r="LQ87" s="4"/>
      <c r="LR87" s="5"/>
      <c r="LS87" s="4"/>
      <c r="LT87" s="4"/>
      <c r="LU87" s="4"/>
      <c r="LV87" s="4"/>
      <c r="LW87" s="4"/>
      <c r="LX87" s="4"/>
      <c r="LY87" s="5"/>
      <c r="LZ87" s="6" t="s">
        <v>3032</v>
      </c>
      <c r="MA87" s="7" t="s">
        <v>3033</v>
      </c>
      <c r="MB87" s="4"/>
      <c r="MC87" s="4"/>
      <c r="MD87" s="8"/>
      <c r="ME87" s="4"/>
      <c r="MF87" s="4"/>
      <c r="MG87" s="5" t="s">
        <v>3034</v>
      </c>
      <c r="MH87" s="6"/>
      <c r="MI87" s="4"/>
      <c r="MJ87" s="4"/>
      <c r="MK87" s="4"/>
      <c r="ML87" s="4"/>
      <c r="MM87" s="4"/>
      <c r="MN87" s="5"/>
      <c r="MO87" s="6"/>
      <c r="MP87" s="4"/>
      <c r="MQ87" s="4"/>
      <c r="MR87" s="4"/>
      <c r="MS87" s="4"/>
      <c r="MT87" s="4"/>
      <c r="MU87" s="5"/>
      <c r="MV87" s="6"/>
      <c r="MW87" s="4"/>
      <c r="MX87" s="4"/>
      <c r="MY87" s="4"/>
      <c r="MZ87" s="4"/>
      <c r="NA87" s="4"/>
      <c r="NB87" s="5"/>
      <c r="NC87" s="6"/>
      <c r="ND87" s="4"/>
      <c r="NE87" s="4"/>
      <c r="NF87" s="4"/>
      <c r="NG87" s="4"/>
      <c r="NH87" s="4"/>
      <c r="NI87" s="5"/>
      <c r="NJ87" s="6"/>
      <c r="NK87" s="4"/>
      <c r="NL87" s="4"/>
      <c r="NM87" s="4"/>
      <c r="NN87" s="4"/>
      <c r="NO87" s="4"/>
      <c r="NP87" s="5"/>
      <c r="NQ87" s="6"/>
      <c r="NR87" s="4"/>
      <c r="NS87" s="4"/>
      <c r="NT87" s="4"/>
      <c r="NU87" s="4"/>
      <c r="NV87" s="4"/>
      <c r="NW87" s="5"/>
      <c r="NX87" s="6"/>
      <c r="NY87" s="4"/>
      <c r="NZ87" s="4"/>
      <c r="OA87" s="4"/>
      <c r="OB87" s="4"/>
      <c r="OC87" s="4"/>
      <c r="OD87" s="5"/>
      <c r="OE87" s="6"/>
      <c r="OF87" s="4"/>
      <c r="OG87" s="4"/>
      <c r="OH87" s="4"/>
      <c r="OI87" s="4"/>
      <c r="OJ87" s="4"/>
      <c r="OK87" s="5"/>
      <c r="OL87" s="6"/>
      <c r="OM87" s="4"/>
      <c r="ON87" s="4"/>
      <c r="OO87" s="4"/>
      <c r="OP87" s="4"/>
      <c r="OQ87" s="4"/>
      <c r="OR87" s="5"/>
      <c r="OS87" s="6"/>
      <c r="OT87" s="4"/>
      <c r="OU87" s="4"/>
      <c r="OV87" s="4"/>
      <c r="OW87" s="4"/>
      <c r="OX87" s="4"/>
      <c r="OY87" s="5"/>
      <c r="OZ87" s="6"/>
      <c r="PA87" s="4"/>
      <c r="PB87" s="4"/>
      <c r="PC87" s="4"/>
      <c r="PD87" s="4"/>
      <c r="PE87" s="4"/>
      <c r="PF87" s="5"/>
      <c r="PG87" s="6"/>
      <c r="PH87" s="4"/>
      <c r="PI87" s="4"/>
      <c r="PJ87" s="4"/>
      <c r="PK87" s="4"/>
      <c r="PL87" s="4"/>
      <c r="PM87" s="5"/>
      <c r="PN87" s="6"/>
      <c r="PO87" s="4"/>
      <c r="PP87" s="4"/>
      <c r="PQ87" s="4"/>
      <c r="PR87" s="4"/>
      <c r="PS87" s="4"/>
      <c r="PT87" s="5"/>
      <c r="PU87" s="6"/>
      <c r="PV87" s="4"/>
      <c r="PW87" s="4"/>
      <c r="PX87" s="4"/>
      <c r="PY87" s="4"/>
      <c r="PZ87" s="4"/>
      <c r="QA87" s="5"/>
      <c r="QB87" s="6"/>
      <c r="QC87" s="4"/>
      <c r="QD87" s="4"/>
      <c r="QE87" s="4"/>
      <c r="QF87" s="4"/>
      <c r="QG87" s="4"/>
      <c r="QH87" s="5"/>
      <c r="QI87" s="6"/>
      <c r="QJ87" s="4"/>
      <c r="QK87" s="4"/>
      <c r="QL87" s="4"/>
      <c r="QM87" s="4"/>
      <c r="QN87" s="4"/>
      <c r="QO87" s="5"/>
      <c r="QP87" s="6"/>
      <c r="QQ87" s="4"/>
      <c r="QR87" s="4"/>
      <c r="QS87" s="4"/>
      <c r="QT87" s="4"/>
      <c r="QU87" s="4"/>
      <c r="QV87" s="5"/>
      <c r="QW87" s="6"/>
      <c r="QX87" s="4"/>
      <c r="QY87" s="4"/>
      <c r="QZ87" s="4"/>
      <c r="RA87" s="4"/>
      <c r="RB87" s="4"/>
      <c r="RC87" s="5"/>
      <c r="RD87" s="6"/>
      <c r="RE87" s="4"/>
      <c r="RF87" s="4"/>
      <c r="RG87" s="4"/>
      <c r="RH87" s="4"/>
      <c r="RI87" s="4"/>
      <c r="RJ87" s="5"/>
      <c r="RK87" s="6"/>
      <c r="RL87" s="4"/>
      <c r="RM87" s="4"/>
      <c r="RN87" s="4"/>
      <c r="RO87" s="4"/>
      <c r="RP87" s="4"/>
      <c r="RQ87" s="5"/>
      <c r="RR87" s="6"/>
      <c r="RS87" s="4"/>
      <c r="RT87" s="4"/>
      <c r="RU87" s="4"/>
      <c r="RV87" s="4"/>
      <c r="RW87" s="4"/>
      <c r="RX87" s="5"/>
      <c r="RY87" s="6"/>
      <c r="RZ87" s="4"/>
      <c r="SA87" s="4"/>
      <c r="SB87" s="4"/>
      <c r="SC87" s="4"/>
      <c r="SD87" s="4"/>
      <c r="SE87" s="5"/>
      <c r="SF87" s="6"/>
      <c r="SG87" s="4"/>
      <c r="SH87" s="4"/>
      <c r="SI87" s="4"/>
      <c r="SJ87" s="4"/>
      <c r="SK87" s="4"/>
      <c r="SL87" s="5"/>
      <c r="SM87" s="6"/>
      <c r="SN87" s="4"/>
      <c r="SO87" s="4"/>
      <c r="SP87" s="4"/>
      <c r="SQ87" s="4"/>
      <c r="SR87" s="4"/>
      <c r="SS87" s="5"/>
      <c r="ST87" s="6"/>
      <c r="SU87" s="4"/>
      <c r="SV87" s="4"/>
      <c r="SW87" s="4"/>
      <c r="SX87" s="4"/>
      <c r="SY87" s="4"/>
      <c r="SZ87" s="5"/>
      <c r="TA87" s="6"/>
      <c r="TB87" s="4"/>
      <c r="TC87" s="4"/>
      <c r="TD87" s="4"/>
      <c r="TE87" s="4"/>
      <c r="TF87" s="4"/>
      <c r="TG87" s="5"/>
      <c r="TH87" s="6"/>
      <c r="TI87" s="4"/>
      <c r="TJ87" s="4"/>
      <c r="TK87" s="4"/>
      <c r="TL87" s="4"/>
      <c r="TM87" s="4"/>
      <c r="TN87" s="5"/>
      <c r="TO87" s="6"/>
      <c r="TP87" s="4"/>
      <c r="TQ87" s="4"/>
      <c r="TR87" s="4"/>
      <c r="TS87" s="4"/>
      <c r="TT87" s="4"/>
      <c r="TU87" s="5"/>
      <c r="TV87" s="6"/>
      <c r="TW87" s="4"/>
      <c r="TX87" s="4"/>
      <c r="TY87" s="4"/>
      <c r="TZ87" s="4"/>
      <c r="UA87" s="4"/>
      <c r="UB87" s="5"/>
      <c r="UC87" s="6"/>
      <c r="UD87" s="4"/>
      <c r="UE87" s="4"/>
      <c r="UF87" s="4"/>
      <c r="UG87" s="4"/>
      <c r="UH87" s="4"/>
      <c r="UI87" s="5"/>
      <c r="UJ87" s="6"/>
      <c r="UK87" s="4"/>
      <c r="UL87" s="4"/>
      <c r="UM87" s="4"/>
      <c r="UN87" s="4"/>
      <c r="UO87" s="4"/>
      <c r="UP87" s="5"/>
      <c r="UQ87" s="6"/>
      <c r="UR87" s="4"/>
      <c r="US87" s="4"/>
      <c r="UT87" s="4"/>
      <c r="UU87" s="4"/>
      <c r="UV87" s="4"/>
      <c r="UW87" s="5"/>
      <c r="UX87" s="6"/>
      <c r="UY87" s="4"/>
      <c r="UZ87" s="4"/>
      <c r="VA87" s="4"/>
      <c r="VB87" s="4"/>
      <c r="VC87" s="4"/>
      <c r="VD87" s="5"/>
      <c r="VE87" s="6"/>
      <c r="VF87" s="4"/>
      <c r="VG87" s="4"/>
      <c r="VH87" s="4"/>
      <c r="VI87" s="4"/>
      <c r="VJ87" s="4"/>
      <c r="VK87" s="5"/>
      <c r="VL87" s="6"/>
      <c r="VM87" s="4"/>
      <c r="VN87" s="4"/>
      <c r="VO87" s="4"/>
      <c r="VP87" s="4"/>
      <c r="VQ87" s="4"/>
      <c r="VR87" s="5"/>
      <c r="VS87" s="6"/>
      <c r="VT87" s="4"/>
      <c r="VU87" s="4"/>
      <c r="VV87" s="4"/>
      <c r="VW87" s="4"/>
      <c r="VX87" s="4"/>
      <c r="VY87" s="5"/>
      <c r="VZ87" s="6"/>
      <c r="WA87" s="4"/>
      <c r="WB87" s="4"/>
      <c r="WC87" s="4"/>
      <c r="WD87" s="4"/>
      <c r="WE87" s="4"/>
      <c r="WF87" s="5"/>
      <c r="WG87" s="6"/>
      <c r="WH87" s="4"/>
      <c r="WI87" s="4"/>
      <c r="WJ87" s="4"/>
      <c r="WK87" s="4"/>
      <c r="WL87" s="4"/>
      <c r="WM87" s="5"/>
      <c r="WN87" s="6"/>
      <c r="WO87" s="4"/>
      <c r="WP87" s="4"/>
      <c r="WQ87" s="4"/>
      <c r="WR87" s="4"/>
      <c r="WS87" s="4"/>
      <c r="WT87" s="5"/>
      <c r="WU87" s="6"/>
      <c r="WV87" s="4"/>
      <c r="WW87" s="4"/>
      <c r="WX87" s="4"/>
      <c r="WY87" s="4"/>
      <c r="WZ87" s="4"/>
      <c r="XA87" s="5"/>
      <c r="XB87" s="6"/>
      <c r="XC87" s="4"/>
      <c r="XD87" s="4"/>
      <c r="XE87" s="4"/>
      <c r="XF87" s="4"/>
      <c r="XG87" s="4"/>
      <c r="XH87" s="5"/>
      <c r="XI87" s="6"/>
      <c r="XJ87" s="4"/>
      <c r="XK87" s="4"/>
      <c r="XL87" s="4"/>
      <c r="XM87" s="4"/>
      <c r="XN87" s="4"/>
      <c r="XO87" s="5"/>
      <c r="XP87" s="6"/>
      <c r="XQ87" s="4"/>
      <c r="XR87" s="4"/>
      <c r="XS87" s="4"/>
      <c r="XT87" s="4"/>
      <c r="XU87" s="4"/>
      <c r="XV87" s="5"/>
      <c r="XW87" s="6"/>
      <c r="XX87" s="4"/>
      <c r="XY87" s="4"/>
      <c r="XZ87" s="4"/>
      <c r="YA87" s="4"/>
      <c r="YB87" s="4"/>
      <c r="YC87" s="5"/>
      <c r="YD87" s="6"/>
      <c r="YE87" s="4"/>
      <c r="YF87" s="4"/>
      <c r="YG87" s="4"/>
      <c r="YH87" s="4"/>
      <c r="YI87" s="4"/>
      <c r="YJ87" s="5"/>
      <c r="YK87" s="6" t="s">
        <v>3035</v>
      </c>
      <c r="YL87" s="7" t="s">
        <v>2583</v>
      </c>
      <c r="YM87" s="4"/>
      <c r="YN87" s="4"/>
      <c r="YO87" s="4"/>
      <c r="YP87" s="4"/>
      <c r="YQ87" s="5"/>
      <c r="YR87" s="6"/>
      <c r="YS87" s="4"/>
      <c r="YT87" s="4"/>
      <c r="YU87" s="4"/>
      <c r="YV87" s="4"/>
      <c r="YW87" s="4"/>
      <c r="YX87" s="5"/>
      <c r="YY87" s="6"/>
      <c r="YZ87" s="4"/>
      <c r="ZA87" s="4"/>
      <c r="ZB87" s="4"/>
      <c r="ZC87" s="4"/>
      <c r="ZD87" s="4"/>
      <c r="ZE87" s="5"/>
      <c r="ZF87" s="6"/>
      <c r="ZG87" s="4"/>
      <c r="ZH87" s="4"/>
      <c r="ZI87" s="4"/>
      <c r="ZJ87" s="4"/>
      <c r="ZK87" s="4"/>
      <c r="ZL87" s="5"/>
      <c r="ZM87" s="6"/>
      <c r="ZN87" s="4"/>
      <c r="ZO87" s="4"/>
      <c r="ZP87" s="4"/>
      <c r="ZQ87" s="4"/>
      <c r="ZR87" s="4"/>
      <c r="ZS87" s="5"/>
      <c r="ZT87" s="6"/>
      <c r="ZU87" s="4"/>
      <c r="ZV87" s="4"/>
      <c r="ZW87" s="4"/>
      <c r="ZX87" s="4"/>
      <c r="ZY87" s="4"/>
      <c r="ZZ87" s="5"/>
      <c r="AAA87" s="6"/>
      <c r="AAB87" s="4"/>
      <c r="AAC87" s="4"/>
      <c r="AAD87" s="4"/>
      <c r="AAE87" s="4"/>
      <c r="AAF87" s="4"/>
      <c r="AAG87" s="5"/>
      <c r="AAH87" s="6" t="s">
        <v>2730</v>
      </c>
      <c r="AAI87" s="7" t="s">
        <v>2731</v>
      </c>
      <c r="AAJ87" s="4"/>
      <c r="AAK87" s="4"/>
      <c r="AAL87" s="4"/>
      <c r="AAM87" s="4"/>
      <c r="AAN87" s="5"/>
      <c r="AAO87" s="6"/>
      <c r="AAP87" s="4"/>
      <c r="AAQ87" s="4"/>
      <c r="AAR87" s="4"/>
      <c r="AAS87" s="4"/>
      <c r="AAT87" s="4"/>
      <c r="AAU87" s="5"/>
      <c r="AAV87" s="6"/>
      <c r="AAW87" s="4"/>
      <c r="AAX87" s="4"/>
      <c r="AAY87" s="4"/>
      <c r="AAZ87" s="4"/>
      <c r="ABA87" s="4"/>
      <c r="ABB87" s="5"/>
      <c r="ABC87" s="6"/>
      <c r="ABD87" s="4"/>
      <c r="ABE87" s="4"/>
      <c r="ABF87" s="4"/>
      <c r="ABG87" s="4"/>
      <c r="ABH87" s="4"/>
      <c r="ABI87" s="5"/>
      <c r="ABJ87" s="6"/>
      <c r="ABK87" s="4"/>
      <c r="ABL87" s="4"/>
      <c r="ABM87" s="4"/>
      <c r="ABN87" s="4"/>
      <c r="ABO87" s="4"/>
      <c r="ABP87" s="5"/>
      <c r="ABQ87" s="6"/>
      <c r="ABR87" s="4"/>
      <c r="ABS87" s="4"/>
      <c r="ABT87" s="4"/>
      <c r="ABU87" s="4"/>
      <c r="ABV87" s="4"/>
      <c r="ABW87" s="5"/>
      <c r="ABX87" s="6"/>
      <c r="ABY87" s="4"/>
      <c r="ABZ87" s="4"/>
      <c r="ACA87" s="4"/>
      <c r="ACB87" s="4"/>
      <c r="ACC87" s="4"/>
      <c r="ACD87" s="5"/>
      <c r="ACE87" s="6"/>
      <c r="ACF87" s="4"/>
      <c r="ACG87" s="4"/>
      <c r="ACH87" s="4"/>
      <c r="ACI87" s="4"/>
      <c r="ACJ87" s="4"/>
      <c r="ACK87" s="5"/>
      <c r="ACL87" s="6"/>
      <c r="ACM87" s="4"/>
      <c r="ACN87" s="4"/>
      <c r="ACO87" s="4"/>
      <c r="ACP87" s="4"/>
      <c r="ACQ87" s="4"/>
      <c r="ACR87" s="5"/>
      <c r="ACS87" s="6"/>
      <c r="ACT87" s="4"/>
      <c r="ACU87" s="4"/>
      <c r="ACV87" s="4"/>
      <c r="ACW87" s="4"/>
      <c r="ACX87" s="4"/>
      <c r="ACY87" s="5"/>
    </row>
    <row r="88" spans="1:779" x14ac:dyDescent="0.25">
      <c r="B88" s="30"/>
      <c r="J88" s="12"/>
      <c r="K88" s="12"/>
      <c r="L88" s="12"/>
      <c r="LL88" s="6"/>
      <c r="LM88" s="4"/>
      <c r="LN88" s="4"/>
      <c r="LO88" s="4"/>
      <c r="LP88" s="4"/>
      <c r="LQ88" s="4"/>
      <c r="LR88" s="5"/>
      <c r="LS88" s="4"/>
      <c r="LT88" s="4"/>
      <c r="LU88" s="4"/>
      <c r="LV88" s="4"/>
      <c r="LW88" s="4"/>
      <c r="LX88" s="4"/>
      <c r="LY88" s="5"/>
      <c r="LZ88" s="6" t="s">
        <v>2896</v>
      </c>
      <c r="MA88" s="7" t="s">
        <v>2447</v>
      </c>
      <c r="MB88" s="4"/>
      <c r="MC88" s="4"/>
      <c r="MD88" s="8"/>
      <c r="ME88" s="4"/>
      <c r="MF88" s="4"/>
      <c r="MG88" s="5"/>
      <c r="MH88" s="6"/>
      <c r="MI88" s="4"/>
      <c r="MJ88" s="4"/>
      <c r="MK88" s="4"/>
      <c r="ML88" s="4"/>
      <c r="MM88" s="4"/>
      <c r="MN88" s="5"/>
      <c r="MO88" s="6"/>
      <c r="MP88" s="4"/>
      <c r="MQ88" s="4"/>
      <c r="MR88" s="4"/>
      <c r="MS88" s="4"/>
      <c r="MT88" s="4"/>
      <c r="MU88" s="5"/>
      <c r="MV88" s="6"/>
      <c r="MW88" s="4"/>
      <c r="MX88" s="4"/>
      <c r="MY88" s="4"/>
      <c r="MZ88" s="4"/>
      <c r="NA88" s="4"/>
      <c r="NB88" s="5"/>
      <c r="NC88" s="6"/>
      <c r="ND88" s="4"/>
      <c r="NE88" s="4"/>
      <c r="NF88" s="4"/>
      <c r="NG88" s="4"/>
      <c r="NH88" s="4"/>
      <c r="NI88" s="5"/>
      <c r="NJ88" s="6"/>
      <c r="NK88" s="4"/>
      <c r="NL88" s="4"/>
      <c r="NM88" s="4"/>
      <c r="NN88" s="4"/>
      <c r="NO88" s="4"/>
      <c r="NP88" s="5"/>
      <c r="NQ88" s="6"/>
      <c r="NR88" s="4"/>
      <c r="NS88" s="4"/>
      <c r="NT88" s="4"/>
      <c r="NU88" s="4"/>
      <c r="NV88" s="4"/>
      <c r="NW88" s="5"/>
      <c r="NX88" s="6"/>
      <c r="NY88" s="4"/>
      <c r="NZ88" s="4"/>
      <c r="OA88" s="4"/>
      <c r="OB88" s="4"/>
      <c r="OC88" s="4"/>
      <c r="OD88" s="5"/>
      <c r="OE88" s="6"/>
      <c r="OF88" s="4"/>
      <c r="OG88" s="4"/>
      <c r="OH88" s="4"/>
      <c r="OI88" s="4"/>
      <c r="OJ88" s="4"/>
      <c r="OK88" s="5"/>
      <c r="OL88" s="6"/>
      <c r="OM88" s="4"/>
      <c r="ON88" s="4"/>
      <c r="OO88" s="4"/>
      <c r="OP88" s="4"/>
      <c r="OQ88" s="4"/>
      <c r="OR88" s="5"/>
      <c r="OS88" s="6"/>
      <c r="OT88" s="4"/>
      <c r="OU88" s="4"/>
      <c r="OV88" s="4"/>
      <c r="OW88" s="4"/>
      <c r="OX88" s="4"/>
      <c r="OY88" s="5"/>
      <c r="OZ88" s="6"/>
      <c r="PA88" s="4"/>
      <c r="PB88" s="4"/>
      <c r="PC88" s="4"/>
      <c r="PD88" s="4"/>
      <c r="PE88" s="4"/>
      <c r="PF88" s="5"/>
      <c r="PG88" s="6"/>
      <c r="PH88" s="4"/>
      <c r="PI88" s="4"/>
      <c r="PJ88" s="4"/>
      <c r="PK88" s="4"/>
      <c r="PL88" s="4"/>
      <c r="PM88" s="5"/>
      <c r="PN88" s="6"/>
      <c r="PO88" s="4"/>
      <c r="PP88" s="4"/>
      <c r="PQ88" s="4"/>
      <c r="PR88" s="4"/>
      <c r="PS88" s="4"/>
      <c r="PT88" s="5"/>
      <c r="PU88" s="6"/>
      <c r="PV88" s="4"/>
      <c r="PW88" s="4"/>
      <c r="PX88" s="4"/>
      <c r="PY88" s="4"/>
      <c r="PZ88" s="4"/>
      <c r="QA88" s="5"/>
      <c r="QB88" s="6"/>
      <c r="QC88" s="4"/>
      <c r="QD88" s="4"/>
      <c r="QE88" s="4"/>
      <c r="QF88" s="4"/>
      <c r="QG88" s="4"/>
      <c r="QH88" s="5"/>
      <c r="QI88" s="6"/>
      <c r="QJ88" s="4"/>
      <c r="QK88" s="4"/>
      <c r="QL88" s="4"/>
      <c r="QM88" s="4"/>
      <c r="QN88" s="4"/>
      <c r="QO88" s="5"/>
      <c r="QP88" s="6"/>
      <c r="QQ88" s="4"/>
      <c r="QR88" s="4"/>
      <c r="QS88" s="4"/>
      <c r="QT88" s="4"/>
      <c r="QU88" s="4"/>
      <c r="QV88" s="5"/>
      <c r="QW88" s="6"/>
      <c r="QX88" s="4"/>
      <c r="QY88" s="4"/>
      <c r="QZ88" s="4"/>
      <c r="RA88" s="4"/>
      <c r="RB88" s="4"/>
      <c r="RC88" s="5"/>
      <c r="RD88" s="6"/>
      <c r="RE88" s="4"/>
      <c r="RF88" s="4"/>
      <c r="RG88" s="4"/>
      <c r="RH88" s="4"/>
      <c r="RI88" s="4"/>
      <c r="RJ88" s="5"/>
      <c r="RK88" s="6"/>
      <c r="RL88" s="4"/>
      <c r="RM88" s="4"/>
      <c r="RN88" s="4"/>
      <c r="RO88" s="4"/>
      <c r="RP88" s="4"/>
      <c r="RQ88" s="5"/>
      <c r="RR88" s="6"/>
      <c r="RS88" s="4"/>
      <c r="RT88" s="4"/>
      <c r="RU88" s="4"/>
      <c r="RV88" s="4"/>
      <c r="RW88" s="4"/>
      <c r="RX88" s="5"/>
      <c r="RY88" s="6"/>
      <c r="RZ88" s="4"/>
      <c r="SA88" s="4"/>
      <c r="SB88" s="4"/>
      <c r="SC88" s="4"/>
      <c r="SD88" s="4"/>
      <c r="SE88" s="5"/>
      <c r="SF88" s="6"/>
      <c r="SG88" s="4"/>
      <c r="SH88" s="4"/>
      <c r="SI88" s="4"/>
      <c r="SJ88" s="4"/>
      <c r="SK88" s="4"/>
      <c r="SL88" s="5"/>
      <c r="SM88" s="6"/>
      <c r="SN88" s="4"/>
      <c r="SO88" s="4"/>
      <c r="SP88" s="4"/>
      <c r="SQ88" s="4"/>
      <c r="SR88" s="4"/>
      <c r="SS88" s="5"/>
      <c r="ST88" s="6"/>
      <c r="SU88" s="4"/>
      <c r="SV88" s="4"/>
      <c r="SW88" s="4"/>
      <c r="SX88" s="4"/>
      <c r="SY88" s="4"/>
      <c r="SZ88" s="5"/>
      <c r="TA88" s="6"/>
      <c r="TB88" s="4"/>
      <c r="TC88" s="4"/>
      <c r="TD88" s="4"/>
      <c r="TE88" s="4"/>
      <c r="TF88" s="4"/>
      <c r="TG88" s="5"/>
      <c r="TH88" s="6"/>
      <c r="TI88" s="4"/>
      <c r="TJ88" s="4"/>
      <c r="TK88" s="4"/>
      <c r="TL88" s="4"/>
      <c r="TM88" s="4"/>
      <c r="TN88" s="5"/>
      <c r="TO88" s="6"/>
      <c r="TP88" s="4"/>
      <c r="TQ88" s="4"/>
      <c r="TR88" s="4"/>
      <c r="TS88" s="4"/>
      <c r="TT88" s="4"/>
      <c r="TU88" s="5"/>
      <c r="TV88" s="6"/>
      <c r="TW88" s="4"/>
      <c r="TX88" s="4"/>
      <c r="TY88" s="4"/>
      <c r="TZ88" s="4"/>
      <c r="UA88" s="4"/>
      <c r="UB88" s="5"/>
      <c r="UC88" s="6"/>
      <c r="UD88" s="4"/>
      <c r="UE88" s="4"/>
      <c r="UF88" s="4"/>
      <c r="UG88" s="4"/>
      <c r="UH88" s="4"/>
      <c r="UI88" s="5"/>
      <c r="UJ88" s="6"/>
      <c r="UK88" s="4"/>
      <c r="UL88" s="4"/>
      <c r="UM88" s="4"/>
      <c r="UN88" s="4"/>
      <c r="UO88" s="4"/>
      <c r="UP88" s="5"/>
      <c r="UQ88" s="6"/>
      <c r="UR88" s="4"/>
      <c r="US88" s="4"/>
      <c r="UT88" s="4"/>
      <c r="UU88" s="4"/>
      <c r="UV88" s="4"/>
      <c r="UW88" s="5"/>
      <c r="UX88" s="6"/>
      <c r="UY88" s="4"/>
      <c r="UZ88" s="4"/>
      <c r="VA88" s="4"/>
      <c r="VB88" s="4"/>
      <c r="VC88" s="4"/>
      <c r="VD88" s="5"/>
      <c r="VE88" s="6"/>
      <c r="VF88" s="4"/>
      <c r="VG88" s="4"/>
      <c r="VH88" s="4"/>
      <c r="VI88" s="4"/>
      <c r="VJ88" s="4"/>
      <c r="VK88" s="5"/>
      <c r="VL88" s="6"/>
      <c r="VM88" s="4"/>
      <c r="VN88" s="4"/>
      <c r="VO88" s="4"/>
      <c r="VP88" s="4"/>
      <c r="VQ88" s="4"/>
      <c r="VR88" s="5"/>
      <c r="VS88" s="6"/>
      <c r="VT88" s="4"/>
      <c r="VU88" s="4"/>
      <c r="VV88" s="4"/>
      <c r="VW88" s="4"/>
      <c r="VX88" s="4"/>
      <c r="VY88" s="5"/>
      <c r="VZ88" s="6"/>
      <c r="WA88" s="4"/>
      <c r="WB88" s="4"/>
      <c r="WC88" s="4"/>
      <c r="WD88" s="4"/>
      <c r="WE88" s="4"/>
      <c r="WF88" s="5"/>
      <c r="WG88" s="6"/>
      <c r="WH88" s="4"/>
      <c r="WI88" s="4"/>
      <c r="WJ88" s="4"/>
      <c r="WK88" s="4"/>
      <c r="WL88" s="4"/>
      <c r="WM88" s="5"/>
      <c r="WN88" s="6"/>
      <c r="WO88" s="4"/>
      <c r="WP88" s="4"/>
      <c r="WQ88" s="4"/>
      <c r="WR88" s="4"/>
      <c r="WS88" s="4"/>
      <c r="WT88" s="5"/>
      <c r="WU88" s="6"/>
      <c r="WV88" s="4"/>
      <c r="WW88" s="4"/>
      <c r="WX88" s="4"/>
      <c r="WY88" s="4"/>
      <c r="WZ88" s="4"/>
      <c r="XA88" s="5"/>
      <c r="XB88" s="6"/>
      <c r="XC88" s="4"/>
      <c r="XD88" s="4"/>
      <c r="XE88" s="4"/>
      <c r="XF88" s="4"/>
      <c r="XG88" s="4"/>
      <c r="XH88" s="5"/>
      <c r="XI88" s="6"/>
      <c r="XJ88" s="4"/>
      <c r="XK88" s="4"/>
      <c r="XL88" s="4"/>
      <c r="XM88" s="4"/>
      <c r="XN88" s="4"/>
      <c r="XO88" s="5"/>
      <c r="XP88" s="6"/>
      <c r="XQ88" s="4"/>
      <c r="XR88" s="4"/>
      <c r="XS88" s="4"/>
      <c r="XT88" s="4"/>
      <c r="XU88" s="4"/>
      <c r="XV88" s="5"/>
      <c r="XW88" s="6"/>
      <c r="XX88" s="4"/>
      <c r="XY88" s="4"/>
      <c r="XZ88" s="4"/>
      <c r="YA88" s="4"/>
      <c r="YB88" s="4"/>
      <c r="YC88" s="5"/>
      <c r="YD88" s="6"/>
      <c r="YE88" s="4"/>
      <c r="YF88" s="4"/>
      <c r="YG88" s="4"/>
      <c r="YH88" s="4"/>
      <c r="YI88" s="4"/>
      <c r="YJ88" s="5"/>
      <c r="YK88" s="6" t="s">
        <v>2832</v>
      </c>
      <c r="YL88" s="7" t="s">
        <v>2833</v>
      </c>
      <c r="YM88" s="4"/>
      <c r="YN88" s="4"/>
      <c r="YO88" s="4"/>
      <c r="YP88" s="4"/>
      <c r="YQ88" s="5"/>
      <c r="YR88" s="6"/>
      <c r="YS88" s="4"/>
      <c r="YT88" s="4"/>
      <c r="YU88" s="4"/>
      <c r="YV88" s="4"/>
      <c r="YW88" s="4"/>
      <c r="YX88" s="5"/>
      <c r="YY88" s="6"/>
      <c r="YZ88" s="4"/>
      <c r="ZA88" s="4"/>
      <c r="ZB88" s="4"/>
      <c r="ZC88" s="4"/>
      <c r="ZD88" s="4"/>
      <c r="ZE88" s="5"/>
      <c r="ZF88" s="6"/>
      <c r="ZG88" s="4"/>
      <c r="ZH88" s="4"/>
      <c r="ZI88" s="4"/>
      <c r="ZJ88" s="4"/>
      <c r="ZK88" s="4"/>
      <c r="ZL88" s="5"/>
      <c r="ZM88" s="6"/>
      <c r="ZN88" s="4"/>
      <c r="ZO88" s="4"/>
      <c r="ZP88" s="4"/>
      <c r="ZQ88" s="4"/>
      <c r="ZR88" s="4"/>
      <c r="ZS88" s="5"/>
      <c r="ZT88" s="6"/>
      <c r="ZU88" s="4"/>
      <c r="ZV88" s="4"/>
      <c r="ZW88" s="4"/>
      <c r="ZX88" s="4"/>
      <c r="ZY88" s="4"/>
      <c r="ZZ88" s="5"/>
      <c r="AAA88" s="6"/>
      <c r="AAB88" s="4"/>
      <c r="AAC88" s="4"/>
      <c r="AAD88" s="4"/>
      <c r="AAE88" s="4"/>
      <c r="AAF88" s="4"/>
      <c r="AAG88" s="5"/>
      <c r="AAH88" s="6"/>
      <c r="AAI88" s="7"/>
      <c r="AAJ88" s="4"/>
      <c r="AAK88" s="4"/>
      <c r="AAL88" s="4"/>
      <c r="AAM88" s="4"/>
      <c r="AAN88" s="5"/>
      <c r="AAO88" s="6"/>
      <c r="AAP88" s="4"/>
      <c r="AAQ88" s="4"/>
      <c r="AAR88" s="4"/>
      <c r="AAS88" s="4"/>
      <c r="AAT88" s="4"/>
      <c r="AAU88" s="5"/>
      <c r="AAV88" s="6"/>
      <c r="AAW88" s="4"/>
      <c r="AAX88" s="4"/>
      <c r="AAY88" s="4"/>
      <c r="AAZ88" s="4"/>
      <c r="ABA88" s="4"/>
      <c r="ABB88" s="5"/>
      <c r="ABC88" s="6"/>
      <c r="ABD88" s="4"/>
      <c r="ABE88" s="4"/>
      <c r="ABF88" s="4"/>
      <c r="ABG88" s="4"/>
      <c r="ABH88" s="4"/>
      <c r="ABI88" s="5"/>
      <c r="ABJ88" s="6"/>
      <c r="ABK88" s="4"/>
      <c r="ABL88" s="4"/>
      <c r="ABM88" s="4"/>
      <c r="ABN88" s="4"/>
      <c r="ABO88" s="4"/>
      <c r="ABP88" s="5"/>
      <c r="ABQ88" s="6"/>
      <c r="ABR88" s="4"/>
      <c r="ABS88" s="4"/>
      <c r="ABT88" s="4"/>
      <c r="ABU88" s="4"/>
      <c r="ABV88" s="4"/>
      <c r="ABW88" s="5"/>
      <c r="ABX88" s="6"/>
      <c r="ABY88" s="4"/>
      <c r="ABZ88" s="4"/>
      <c r="ACA88" s="4"/>
      <c r="ACB88" s="4"/>
      <c r="ACC88" s="4"/>
      <c r="ACD88" s="5"/>
      <c r="ACE88" s="6"/>
      <c r="ACF88" s="4"/>
      <c r="ACG88" s="4"/>
      <c r="ACH88" s="4"/>
      <c r="ACI88" s="4"/>
      <c r="ACJ88" s="4"/>
      <c r="ACK88" s="5"/>
      <c r="ACL88" s="6"/>
      <c r="ACM88" s="4"/>
      <c r="ACN88" s="4"/>
      <c r="ACO88" s="4"/>
      <c r="ACP88" s="4"/>
      <c r="ACQ88" s="4"/>
      <c r="ACR88" s="5"/>
      <c r="ACS88" s="6"/>
      <c r="ACT88" s="4"/>
      <c r="ACU88" s="4"/>
      <c r="ACV88" s="4"/>
      <c r="ACW88" s="4"/>
      <c r="ACX88" s="4"/>
      <c r="ACY88" s="5"/>
    </row>
    <row r="89" spans="1:779" x14ac:dyDescent="0.25">
      <c r="B89" s="30"/>
      <c r="J89" s="12"/>
      <c r="K89" s="12"/>
      <c r="L89" s="12"/>
      <c r="LL89" s="6"/>
      <c r="LM89" s="4"/>
      <c r="LN89" s="4"/>
      <c r="LO89" s="4"/>
      <c r="LP89" s="4"/>
      <c r="LQ89" s="4"/>
      <c r="LR89" s="5"/>
      <c r="LS89" s="4"/>
      <c r="LT89" s="4"/>
      <c r="LU89" s="4"/>
      <c r="LV89" s="4"/>
      <c r="LW89" s="4"/>
      <c r="LX89" s="4"/>
      <c r="LY89" s="5"/>
      <c r="LZ89" s="6" t="s">
        <v>2845</v>
      </c>
      <c r="MA89" s="7" t="s">
        <v>2846</v>
      </c>
      <c r="MB89" s="4"/>
      <c r="MC89" s="4"/>
      <c r="MD89" s="8"/>
      <c r="ME89" s="4"/>
      <c r="MF89" s="4"/>
      <c r="MG89" s="5" t="s">
        <v>2847</v>
      </c>
      <c r="MH89" s="6"/>
      <c r="MI89" s="4"/>
      <c r="MJ89" s="4"/>
      <c r="MK89" s="4"/>
      <c r="ML89" s="4"/>
      <c r="MM89" s="4"/>
      <c r="MN89" s="5"/>
      <c r="MO89" s="6"/>
      <c r="MP89" s="4"/>
      <c r="MQ89" s="4"/>
      <c r="MR89" s="4"/>
      <c r="MS89" s="4"/>
      <c r="MT89" s="4"/>
      <c r="MU89" s="5"/>
      <c r="MV89" s="6"/>
      <c r="MW89" s="4"/>
      <c r="MX89" s="4"/>
      <c r="MY89" s="4"/>
      <c r="MZ89" s="4"/>
      <c r="NA89" s="4"/>
      <c r="NB89" s="5"/>
      <c r="NC89" s="6"/>
      <c r="ND89" s="4"/>
      <c r="NE89" s="4"/>
      <c r="NF89" s="4"/>
      <c r="NG89" s="4"/>
      <c r="NH89" s="4"/>
      <c r="NI89" s="5"/>
      <c r="NJ89" s="6"/>
      <c r="NK89" s="4"/>
      <c r="NL89" s="4"/>
      <c r="NM89" s="4"/>
      <c r="NN89" s="4"/>
      <c r="NO89" s="4"/>
      <c r="NP89" s="5"/>
      <c r="NQ89" s="6"/>
      <c r="NR89" s="4"/>
      <c r="NS89" s="4"/>
      <c r="NT89" s="4"/>
      <c r="NU89" s="4"/>
      <c r="NV89" s="4"/>
      <c r="NW89" s="5"/>
      <c r="NX89" s="6"/>
      <c r="NY89" s="4"/>
      <c r="NZ89" s="4"/>
      <c r="OA89" s="4"/>
      <c r="OB89" s="4"/>
      <c r="OC89" s="4"/>
      <c r="OD89" s="5"/>
      <c r="OE89" s="6"/>
      <c r="OF89" s="4"/>
      <c r="OG89" s="4"/>
      <c r="OH89" s="4"/>
      <c r="OI89" s="4"/>
      <c r="OJ89" s="4"/>
      <c r="OK89" s="5"/>
      <c r="OL89" s="6"/>
      <c r="OM89" s="4"/>
      <c r="ON89" s="4"/>
      <c r="OO89" s="4"/>
      <c r="OP89" s="4"/>
      <c r="OQ89" s="4"/>
      <c r="OR89" s="5"/>
      <c r="OS89" s="6"/>
      <c r="OT89" s="4"/>
      <c r="OU89" s="4"/>
      <c r="OV89" s="4"/>
      <c r="OW89" s="4"/>
      <c r="OX89" s="4"/>
      <c r="OY89" s="5"/>
      <c r="OZ89" s="6"/>
      <c r="PA89" s="4"/>
      <c r="PB89" s="4"/>
      <c r="PC89" s="4"/>
      <c r="PD89" s="4"/>
      <c r="PE89" s="4"/>
      <c r="PF89" s="5"/>
      <c r="PG89" s="6"/>
      <c r="PH89" s="4"/>
      <c r="PI89" s="4"/>
      <c r="PJ89" s="4"/>
      <c r="PK89" s="4"/>
      <c r="PL89" s="4"/>
      <c r="PM89" s="5"/>
      <c r="PN89" s="6"/>
      <c r="PO89" s="4"/>
      <c r="PP89" s="4"/>
      <c r="PQ89" s="4"/>
      <c r="PR89" s="4"/>
      <c r="PS89" s="4"/>
      <c r="PT89" s="5"/>
      <c r="PU89" s="6"/>
      <c r="PV89" s="4"/>
      <c r="PW89" s="4"/>
      <c r="PX89" s="4"/>
      <c r="PY89" s="4"/>
      <c r="PZ89" s="4"/>
      <c r="QA89" s="5"/>
      <c r="QB89" s="6"/>
      <c r="QC89" s="4"/>
      <c r="QD89" s="4"/>
      <c r="QE89" s="4"/>
      <c r="QF89" s="4"/>
      <c r="QG89" s="4"/>
      <c r="QH89" s="5"/>
      <c r="QI89" s="6"/>
      <c r="QJ89" s="4"/>
      <c r="QK89" s="4"/>
      <c r="QL89" s="4"/>
      <c r="QM89" s="4"/>
      <c r="QN89" s="4"/>
      <c r="QO89" s="5"/>
      <c r="QP89" s="6"/>
      <c r="QQ89" s="4"/>
      <c r="QR89" s="4"/>
      <c r="QS89" s="4"/>
      <c r="QT89" s="4"/>
      <c r="QU89" s="4"/>
      <c r="QV89" s="5"/>
      <c r="QW89" s="6"/>
      <c r="QX89" s="4"/>
      <c r="QY89" s="4"/>
      <c r="QZ89" s="4"/>
      <c r="RA89" s="4"/>
      <c r="RB89" s="4"/>
      <c r="RC89" s="5"/>
      <c r="RD89" s="6"/>
      <c r="RE89" s="4"/>
      <c r="RF89" s="4"/>
      <c r="RG89" s="4"/>
      <c r="RH89" s="4"/>
      <c r="RI89" s="4"/>
      <c r="RJ89" s="5"/>
      <c r="RK89" s="6"/>
      <c r="RL89" s="4"/>
      <c r="RM89" s="4"/>
      <c r="RN89" s="4"/>
      <c r="RO89" s="4"/>
      <c r="RP89" s="4"/>
      <c r="RQ89" s="5"/>
      <c r="RR89" s="6"/>
      <c r="RS89" s="4"/>
      <c r="RT89" s="4"/>
      <c r="RU89" s="4"/>
      <c r="RV89" s="4"/>
      <c r="RW89" s="4"/>
      <c r="RX89" s="5"/>
      <c r="RY89" s="6"/>
      <c r="RZ89" s="4"/>
      <c r="SA89" s="4"/>
      <c r="SB89" s="4"/>
      <c r="SC89" s="4"/>
      <c r="SD89" s="4"/>
      <c r="SE89" s="5"/>
      <c r="SF89" s="6"/>
      <c r="SG89" s="4"/>
      <c r="SH89" s="4"/>
      <c r="SI89" s="4"/>
      <c r="SJ89" s="4"/>
      <c r="SK89" s="4"/>
      <c r="SL89" s="5"/>
      <c r="SM89" s="6"/>
      <c r="SN89" s="4"/>
      <c r="SO89" s="4"/>
      <c r="SP89" s="4"/>
      <c r="SQ89" s="4"/>
      <c r="SR89" s="4"/>
      <c r="SS89" s="5"/>
      <c r="ST89" s="6"/>
      <c r="SU89" s="4"/>
      <c r="SV89" s="4"/>
      <c r="SW89" s="4"/>
      <c r="SX89" s="4"/>
      <c r="SY89" s="4"/>
      <c r="SZ89" s="5"/>
      <c r="TA89" s="6"/>
      <c r="TB89" s="4"/>
      <c r="TC89" s="4"/>
      <c r="TD89" s="4"/>
      <c r="TE89" s="4"/>
      <c r="TF89" s="4"/>
      <c r="TG89" s="5"/>
      <c r="TH89" s="6"/>
      <c r="TI89" s="4"/>
      <c r="TJ89" s="4"/>
      <c r="TK89" s="4"/>
      <c r="TL89" s="4"/>
      <c r="TM89" s="4"/>
      <c r="TN89" s="5"/>
      <c r="TO89" s="6"/>
      <c r="TP89" s="4"/>
      <c r="TQ89" s="4"/>
      <c r="TR89" s="4"/>
      <c r="TS89" s="4"/>
      <c r="TT89" s="4"/>
      <c r="TU89" s="5"/>
      <c r="TV89" s="6"/>
      <c r="TW89" s="4"/>
      <c r="TX89" s="4"/>
      <c r="TY89" s="4"/>
      <c r="TZ89" s="4"/>
      <c r="UA89" s="4"/>
      <c r="UB89" s="5"/>
      <c r="UC89" s="6"/>
      <c r="UD89" s="4"/>
      <c r="UE89" s="4"/>
      <c r="UF89" s="4"/>
      <c r="UG89" s="4"/>
      <c r="UH89" s="4"/>
      <c r="UI89" s="5"/>
      <c r="UJ89" s="6"/>
      <c r="UK89" s="4"/>
      <c r="UL89" s="4"/>
      <c r="UM89" s="4"/>
      <c r="UN89" s="4"/>
      <c r="UO89" s="4"/>
      <c r="UP89" s="5"/>
      <c r="UQ89" s="6"/>
      <c r="UR89" s="4"/>
      <c r="US89" s="4"/>
      <c r="UT89" s="4"/>
      <c r="UU89" s="4"/>
      <c r="UV89" s="4"/>
      <c r="UW89" s="5"/>
      <c r="UX89" s="6"/>
      <c r="UY89" s="4"/>
      <c r="UZ89" s="4"/>
      <c r="VA89" s="4"/>
      <c r="VB89" s="4"/>
      <c r="VC89" s="4"/>
      <c r="VD89" s="5"/>
      <c r="VE89" s="6"/>
      <c r="VF89" s="4"/>
      <c r="VG89" s="4"/>
      <c r="VH89" s="4"/>
      <c r="VI89" s="4"/>
      <c r="VJ89" s="4"/>
      <c r="VK89" s="5"/>
      <c r="VL89" s="6"/>
      <c r="VM89" s="4"/>
      <c r="VN89" s="4"/>
      <c r="VO89" s="4"/>
      <c r="VP89" s="4"/>
      <c r="VQ89" s="4"/>
      <c r="VR89" s="5"/>
      <c r="VS89" s="6"/>
      <c r="VT89" s="4"/>
      <c r="VU89" s="4"/>
      <c r="VV89" s="4"/>
      <c r="VW89" s="4"/>
      <c r="VX89" s="4"/>
      <c r="VY89" s="5"/>
      <c r="VZ89" s="6"/>
      <c r="WA89" s="4"/>
      <c r="WB89" s="4"/>
      <c r="WC89" s="4"/>
      <c r="WD89" s="4"/>
      <c r="WE89" s="4"/>
      <c r="WF89" s="5"/>
      <c r="WG89" s="6"/>
      <c r="WH89" s="4"/>
      <c r="WI89" s="4"/>
      <c r="WJ89" s="4"/>
      <c r="WK89" s="4"/>
      <c r="WL89" s="4"/>
      <c r="WM89" s="5"/>
      <c r="WN89" s="6"/>
      <c r="WO89" s="4"/>
      <c r="WP89" s="4"/>
      <c r="WQ89" s="4"/>
      <c r="WR89" s="4"/>
      <c r="WS89" s="4"/>
      <c r="WT89" s="5"/>
      <c r="WU89" s="6"/>
      <c r="WV89" s="4"/>
      <c r="WW89" s="4"/>
      <c r="WX89" s="4"/>
      <c r="WY89" s="4"/>
      <c r="WZ89" s="4"/>
      <c r="XA89" s="5"/>
      <c r="XB89" s="6"/>
      <c r="XC89" s="4"/>
      <c r="XD89" s="4"/>
      <c r="XE89" s="4"/>
      <c r="XF89" s="4"/>
      <c r="XG89" s="4"/>
      <c r="XH89" s="5"/>
      <c r="XI89" s="6"/>
      <c r="XJ89" s="4"/>
      <c r="XK89" s="4"/>
      <c r="XL89" s="4"/>
      <c r="XM89" s="4"/>
      <c r="XN89" s="4"/>
      <c r="XO89" s="5"/>
      <c r="XP89" s="6"/>
      <c r="XQ89" s="4"/>
      <c r="XR89" s="4"/>
      <c r="XS89" s="4"/>
      <c r="XT89" s="4"/>
      <c r="XU89" s="4"/>
      <c r="XV89" s="5"/>
      <c r="XW89" s="6"/>
      <c r="XX89" s="4"/>
      <c r="XY89" s="4"/>
      <c r="XZ89" s="4"/>
      <c r="YA89" s="4"/>
      <c r="YB89" s="4"/>
      <c r="YC89" s="5"/>
      <c r="YD89" s="6"/>
      <c r="YE89" s="4"/>
      <c r="YF89" s="4"/>
      <c r="YG89" s="4"/>
      <c r="YH89" s="4"/>
      <c r="YI89" s="4"/>
      <c r="YJ89" s="5"/>
      <c r="YK89" s="6" t="s">
        <v>2973</v>
      </c>
      <c r="YL89" s="7" t="s">
        <v>3031</v>
      </c>
      <c r="YM89" s="4"/>
      <c r="YN89" s="4"/>
      <c r="YO89" s="4"/>
      <c r="YP89" s="4"/>
      <c r="YQ89" s="5" t="s">
        <v>2531</v>
      </c>
      <c r="YR89" s="6"/>
      <c r="YS89" s="4"/>
      <c r="YT89" s="4"/>
      <c r="YU89" s="4"/>
      <c r="YV89" s="4"/>
      <c r="YW89" s="4"/>
      <c r="YX89" s="5"/>
      <c r="YY89" s="6"/>
      <c r="YZ89" s="4"/>
      <c r="ZA89" s="4"/>
      <c r="ZB89" s="4"/>
      <c r="ZC89" s="4"/>
      <c r="ZD89" s="4"/>
      <c r="ZE89" s="5"/>
      <c r="ZF89" s="6"/>
      <c r="ZG89" s="4"/>
      <c r="ZH89" s="4"/>
      <c r="ZI89" s="4"/>
      <c r="ZJ89" s="4"/>
      <c r="ZK89" s="4"/>
      <c r="ZL89" s="5"/>
      <c r="ZM89" s="6"/>
      <c r="ZN89" s="4"/>
      <c r="ZO89" s="4"/>
      <c r="ZP89" s="4"/>
      <c r="ZQ89" s="4"/>
      <c r="ZR89" s="4"/>
      <c r="ZS89" s="5"/>
      <c r="ZT89" s="6"/>
      <c r="ZU89" s="4"/>
      <c r="ZV89" s="4"/>
      <c r="ZW89" s="4"/>
      <c r="ZX89" s="4"/>
      <c r="ZY89" s="4"/>
      <c r="ZZ89" s="5"/>
      <c r="AAA89" s="6"/>
      <c r="AAB89" s="4"/>
      <c r="AAC89" s="4"/>
      <c r="AAD89" s="4"/>
      <c r="AAE89" s="4"/>
      <c r="AAF89" s="4"/>
      <c r="AAG89" s="5"/>
      <c r="AAH89" s="6"/>
      <c r="AAI89" s="7"/>
      <c r="AAJ89" s="4"/>
      <c r="AAK89" s="4"/>
      <c r="AAL89" s="4"/>
      <c r="AAM89" s="4"/>
      <c r="AAN89" s="5"/>
      <c r="AAO89" s="6"/>
      <c r="AAP89" s="4"/>
      <c r="AAQ89" s="4"/>
      <c r="AAR89" s="4"/>
      <c r="AAS89" s="4"/>
      <c r="AAT89" s="4"/>
      <c r="AAU89" s="5"/>
      <c r="AAV89" s="6"/>
      <c r="AAW89" s="4"/>
      <c r="AAX89" s="4"/>
      <c r="AAY89" s="4"/>
      <c r="AAZ89" s="4"/>
      <c r="ABA89" s="4"/>
      <c r="ABB89" s="5"/>
      <c r="ABC89" s="6"/>
      <c r="ABD89" s="4"/>
      <c r="ABE89" s="4"/>
      <c r="ABF89" s="4"/>
      <c r="ABG89" s="4"/>
      <c r="ABH89" s="4"/>
      <c r="ABI89" s="5"/>
      <c r="ABJ89" s="6"/>
      <c r="ABK89" s="4"/>
      <c r="ABL89" s="4"/>
      <c r="ABM89" s="4"/>
      <c r="ABN89" s="4"/>
      <c r="ABO89" s="4"/>
      <c r="ABP89" s="5"/>
      <c r="ABQ89" s="6"/>
      <c r="ABR89" s="4"/>
      <c r="ABS89" s="4"/>
      <c r="ABT89" s="4"/>
      <c r="ABU89" s="4"/>
      <c r="ABV89" s="4"/>
      <c r="ABW89" s="5"/>
      <c r="ABX89" s="6"/>
      <c r="ABY89" s="4"/>
      <c r="ABZ89" s="4"/>
      <c r="ACA89" s="4"/>
      <c r="ACB89" s="4"/>
      <c r="ACC89" s="4"/>
      <c r="ACD89" s="5"/>
      <c r="ACE89" s="6"/>
      <c r="ACF89" s="4"/>
      <c r="ACG89" s="4"/>
      <c r="ACH89" s="4"/>
      <c r="ACI89" s="4"/>
      <c r="ACJ89" s="4"/>
      <c r="ACK89" s="5"/>
      <c r="ACL89" s="6"/>
      <c r="ACM89" s="4"/>
      <c r="ACN89" s="4"/>
      <c r="ACO89" s="4"/>
      <c r="ACP89" s="4"/>
      <c r="ACQ89" s="4"/>
      <c r="ACR89" s="5"/>
      <c r="ACS89" s="6"/>
      <c r="ACT89" s="4"/>
      <c r="ACU89" s="4"/>
      <c r="ACV89" s="4"/>
      <c r="ACW89" s="4"/>
      <c r="ACX89" s="4"/>
      <c r="ACY89" s="5"/>
    </row>
    <row r="90" spans="1:779" x14ac:dyDescent="0.25">
      <c r="B90" s="30"/>
      <c r="J90" s="12"/>
      <c r="K90" s="12"/>
      <c r="L90" s="12"/>
      <c r="LL90" s="6"/>
      <c r="LM90" s="4"/>
      <c r="LN90" s="4"/>
      <c r="LO90" s="4"/>
      <c r="LP90" s="4"/>
      <c r="LQ90" s="4"/>
      <c r="LR90" s="5"/>
      <c r="LS90" s="4"/>
      <c r="LT90" s="4"/>
      <c r="LU90" s="4"/>
      <c r="LV90" s="4"/>
      <c r="LW90" s="4"/>
      <c r="LX90" s="4"/>
      <c r="LY90" s="5"/>
      <c r="LZ90" s="6" t="s">
        <v>2451</v>
      </c>
      <c r="MA90" s="7" t="s">
        <v>2451</v>
      </c>
      <c r="MB90" s="4"/>
      <c r="MC90" s="4"/>
      <c r="MD90" s="8"/>
      <c r="ME90" s="4"/>
      <c r="MF90" s="4"/>
      <c r="MG90" s="5"/>
      <c r="MH90" s="6"/>
      <c r="MI90" s="4"/>
      <c r="MJ90" s="4"/>
      <c r="MK90" s="4"/>
      <c r="ML90" s="4"/>
      <c r="MM90" s="4"/>
      <c r="MN90" s="5"/>
      <c r="MO90" s="6"/>
      <c r="MP90" s="4"/>
      <c r="MQ90" s="4"/>
      <c r="MR90" s="4"/>
      <c r="MS90" s="4"/>
      <c r="MT90" s="4"/>
      <c r="MU90" s="5"/>
      <c r="MV90" s="6"/>
      <c r="MW90" s="4"/>
      <c r="MX90" s="4"/>
      <c r="MY90" s="4"/>
      <c r="MZ90" s="4"/>
      <c r="NA90" s="4"/>
      <c r="NB90" s="5"/>
      <c r="NC90" s="6"/>
      <c r="ND90" s="4"/>
      <c r="NE90" s="4"/>
      <c r="NF90" s="4"/>
      <c r="NG90" s="4"/>
      <c r="NH90" s="4"/>
      <c r="NI90" s="5"/>
      <c r="NJ90" s="6"/>
      <c r="NK90" s="4"/>
      <c r="NL90" s="4"/>
      <c r="NM90" s="4"/>
      <c r="NN90" s="4"/>
      <c r="NO90" s="4"/>
      <c r="NP90" s="5"/>
      <c r="NQ90" s="6"/>
      <c r="NR90" s="4"/>
      <c r="NS90" s="4"/>
      <c r="NT90" s="4"/>
      <c r="NU90" s="4"/>
      <c r="NV90" s="4"/>
      <c r="NW90" s="5"/>
      <c r="NX90" s="6"/>
      <c r="NY90" s="4"/>
      <c r="NZ90" s="4"/>
      <c r="OA90" s="4"/>
      <c r="OB90" s="4"/>
      <c r="OC90" s="4"/>
      <c r="OD90" s="5"/>
      <c r="OE90" s="6"/>
      <c r="OF90" s="4"/>
      <c r="OG90" s="4"/>
      <c r="OH90" s="4"/>
      <c r="OI90" s="4"/>
      <c r="OJ90" s="4"/>
      <c r="OK90" s="5"/>
      <c r="OL90" s="6"/>
      <c r="OM90" s="4"/>
      <c r="ON90" s="4"/>
      <c r="OO90" s="4"/>
      <c r="OP90" s="4"/>
      <c r="OQ90" s="4"/>
      <c r="OR90" s="5"/>
      <c r="OS90" s="6"/>
      <c r="OT90" s="4"/>
      <c r="OU90" s="4"/>
      <c r="OV90" s="4"/>
      <c r="OW90" s="4"/>
      <c r="OX90" s="4"/>
      <c r="OY90" s="5"/>
      <c r="OZ90" s="6"/>
      <c r="PA90" s="4"/>
      <c r="PB90" s="4"/>
      <c r="PC90" s="4"/>
      <c r="PD90" s="4"/>
      <c r="PE90" s="4"/>
      <c r="PF90" s="5"/>
      <c r="PG90" s="6"/>
      <c r="PH90" s="4"/>
      <c r="PI90" s="4"/>
      <c r="PJ90" s="4"/>
      <c r="PK90" s="4"/>
      <c r="PL90" s="4"/>
      <c r="PM90" s="5"/>
      <c r="PN90" s="6"/>
      <c r="PO90" s="4"/>
      <c r="PP90" s="4"/>
      <c r="PQ90" s="4"/>
      <c r="PR90" s="4"/>
      <c r="PS90" s="4"/>
      <c r="PT90" s="5"/>
      <c r="PU90" s="6"/>
      <c r="PV90" s="4"/>
      <c r="PW90" s="4"/>
      <c r="PX90" s="4"/>
      <c r="PY90" s="4"/>
      <c r="PZ90" s="4"/>
      <c r="QA90" s="5"/>
      <c r="QB90" s="6"/>
      <c r="QC90" s="4"/>
      <c r="QD90" s="4"/>
      <c r="QE90" s="4"/>
      <c r="QF90" s="4"/>
      <c r="QG90" s="4"/>
      <c r="QH90" s="5"/>
      <c r="QI90" s="6"/>
      <c r="QJ90" s="4"/>
      <c r="QK90" s="4"/>
      <c r="QL90" s="4"/>
      <c r="QM90" s="4"/>
      <c r="QN90" s="4"/>
      <c r="QO90" s="5"/>
      <c r="QP90" s="6"/>
      <c r="QQ90" s="4"/>
      <c r="QR90" s="4"/>
      <c r="QS90" s="4"/>
      <c r="QT90" s="4"/>
      <c r="QU90" s="4"/>
      <c r="QV90" s="5"/>
      <c r="QW90" s="6"/>
      <c r="QX90" s="4"/>
      <c r="QY90" s="4"/>
      <c r="QZ90" s="4"/>
      <c r="RA90" s="4"/>
      <c r="RB90" s="4"/>
      <c r="RC90" s="5"/>
      <c r="RD90" s="6"/>
      <c r="RE90" s="4"/>
      <c r="RF90" s="4"/>
      <c r="RG90" s="4"/>
      <c r="RH90" s="4"/>
      <c r="RI90" s="4"/>
      <c r="RJ90" s="5"/>
      <c r="RK90" s="6"/>
      <c r="RL90" s="4"/>
      <c r="RM90" s="4"/>
      <c r="RN90" s="4"/>
      <c r="RO90" s="4"/>
      <c r="RP90" s="4"/>
      <c r="RQ90" s="5"/>
      <c r="RR90" s="6"/>
      <c r="RS90" s="4"/>
      <c r="RT90" s="4"/>
      <c r="RU90" s="4"/>
      <c r="RV90" s="4"/>
      <c r="RW90" s="4"/>
      <c r="RX90" s="5"/>
      <c r="RY90" s="6"/>
      <c r="RZ90" s="4"/>
      <c r="SA90" s="4"/>
      <c r="SB90" s="4"/>
      <c r="SC90" s="4"/>
      <c r="SD90" s="4"/>
      <c r="SE90" s="5"/>
      <c r="SF90" s="6"/>
      <c r="SG90" s="4"/>
      <c r="SH90" s="4"/>
      <c r="SI90" s="4"/>
      <c r="SJ90" s="4"/>
      <c r="SK90" s="4"/>
      <c r="SL90" s="5"/>
      <c r="SM90" s="6"/>
      <c r="SN90" s="4"/>
      <c r="SO90" s="4"/>
      <c r="SP90" s="4"/>
      <c r="SQ90" s="4"/>
      <c r="SR90" s="4"/>
      <c r="SS90" s="5"/>
      <c r="ST90" s="6"/>
      <c r="SU90" s="4"/>
      <c r="SV90" s="4"/>
      <c r="SW90" s="4"/>
      <c r="SX90" s="4"/>
      <c r="SY90" s="4"/>
      <c r="SZ90" s="5"/>
      <c r="TA90" s="6"/>
      <c r="TB90" s="4"/>
      <c r="TC90" s="4"/>
      <c r="TD90" s="4"/>
      <c r="TE90" s="4"/>
      <c r="TF90" s="4"/>
      <c r="TG90" s="5"/>
      <c r="TH90" s="6"/>
      <c r="TI90" s="4"/>
      <c r="TJ90" s="4"/>
      <c r="TK90" s="4"/>
      <c r="TL90" s="4"/>
      <c r="TM90" s="4"/>
      <c r="TN90" s="5"/>
      <c r="TO90" s="6"/>
      <c r="TP90" s="4"/>
      <c r="TQ90" s="4"/>
      <c r="TR90" s="4"/>
      <c r="TS90" s="4"/>
      <c r="TT90" s="4"/>
      <c r="TU90" s="5"/>
      <c r="TV90" s="6"/>
      <c r="TW90" s="4"/>
      <c r="TX90" s="4"/>
      <c r="TY90" s="4"/>
      <c r="TZ90" s="4"/>
      <c r="UA90" s="4"/>
      <c r="UB90" s="5"/>
      <c r="UC90" s="6"/>
      <c r="UD90" s="4"/>
      <c r="UE90" s="4"/>
      <c r="UF90" s="4"/>
      <c r="UG90" s="4"/>
      <c r="UH90" s="4"/>
      <c r="UI90" s="5"/>
      <c r="UJ90" s="6"/>
      <c r="UK90" s="4"/>
      <c r="UL90" s="4"/>
      <c r="UM90" s="4"/>
      <c r="UN90" s="4"/>
      <c r="UO90" s="4"/>
      <c r="UP90" s="5"/>
      <c r="UQ90" s="6"/>
      <c r="UR90" s="4"/>
      <c r="US90" s="4"/>
      <c r="UT90" s="4"/>
      <c r="UU90" s="4"/>
      <c r="UV90" s="4"/>
      <c r="UW90" s="5"/>
      <c r="UX90" s="6"/>
      <c r="UY90" s="4"/>
      <c r="UZ90" s="4"/>
      <c r="VA90" s="4"/>
      <c r="VB90" s="4"/>
      <c r="VC90" s="4"/>
      <c r="VD90" s="5"/>
      <c r="VE90" s="6"/>
      <c r="VF90" s="4"/>
      <c r="VG90" s="4"/>
      <c r="VH90" s="4"/>
      <c r="VI90" s="4"/>
      <c r="VJ90" s="4"/>
      <c r="VK90" s="5"/>
      <c r="VL90" s="6"/>
      <c r="VM90" s="4"/>
      <c r="VN90" s="4"/>
      <c r="VO90" s="4"/>
      <c r="VP90" s="4"/>
      <c r="VQ90" s="4"/>
      <c r="VR90" s="5"/>
      <c r="VS90" s="6"/>
      <c r="VT90" s="4"/>
      <c r="VU90" s="4"/>
      <c r="VV90" s="4"/>
      <c r="VW90" s="4"/>
      <c r="VX90" s="4"/>
      <c r="VY90" s="5"/>
      <c r="VZ90" s="6"/>
      <c r="WA90" s="4"/>
      <c r="WB90" s="4"/>
      <c r="WC90" s="4"/>
      <c r="WD90" s="4"/>
      <c r="WE90" s="4"/>
      <c r="WF90" s="5"/>
      <c r="WG90" s="6"/>
      <c r="WH90" s="4"/>
      <c r="WI90" s="4"/>
      <c r="WJ90" s="4"/>
      <c r="WK90" s="4"/>
      <c r="WL90" s="4"/>
      <c r="WM90" s="5"/>
      <c r="WN90" s="6"/>
      <c r="WO90" s="4"/>
      <c r="WP90" s="4"/>
      <c r="WQ90" s="4"/>
      <c r="WR90" s="4"/>
      <c r="WS90" s="4"/>
      <c r="WT90" s="5"/>
      <c r="WU90" s="6"/>
      <c r="WV90" s="4"/>
      <c r="WW90" s="4"/>
      <c r="WX90" s="4"/>
      <c r="WY90" s="4"/>
      <c r="WZ90" s="4"/>
      <c r="XA90" s="5"/>
      <c r="XB90" s="6"/>
      <c r="XC90" s="4"/>
      <c r="XD90" s="4"/>
      <c r="XE90" s="4"/>
      <c r="XF90" s="4"/>
      <c r="XG90" s="4"/>
      <c r="XH90" s="5"/>
      <c r="XI90" s="6"/>
      <c r="XJ90" s="4"/>
      <c r="XK90" s="4"/>
      <c r="XL90" s="4"/>
      <c r="XM90" s="4"/>
      <c r="XN90" s="4"/>
      <c r="XO90" s="5"/>
      <c r="XP90" s="6"/>
      <c r="XQ90" s="4"/>
      <c r="XR90" s="4"/>
      <c r="XS90" s="4"/>
      <c r="XT90" s="4"/>
      <c r="XU90" s="4"/>
      <c r="XV90" s="5"/>
      <c r="XW90" s="6"/>
      <c r="XX90" s="4"/>
      <c r="XY90" s="4"/>
      <c r="XZ90" s="4"/>
      <c r="YA90" s="4"/>
      <c r="YB90" s="4"/>
      <c r="YC90" s="5"/>
      <c r="YD90" s="6"/>
      <c r="YE90" s="4"/>
      <c r="YF90" s="4"/>
      <c r="YG90" s="4"/>
      <c r="YH90" s="4"/>
      <c r="YI90" s="4"/>
      <c r="YJ90" s="5"/>
      <c r="YK90" s="6" t="s">
        <v>2732</v>
      </c>
      <c r="YL90" s="7" t="s">
        <v>2361</v>
      </c>
      <c r="YM90" s="4"/>
      <c r="YN90" s="4"/>
      <c r="YO90" s="4"/>
      <c r="YP90" s="4"/>
      <c r="YQ90" s="5" t="s">
        <v>2733</v>
      </c>
      <c r="YR90" s="6"/>
      <c r="YS90" s="4"/>
      <c r="YT90" s="4"/>
      <c r="YU90" s="4"/>
      <c r="YV90" s="4"/>
      <c r="YW90" s="4"/>
      <c r="YX90" s="5"/>
      <c r="YY90" s="6"/>
      <c r="YZ90" s="4"/>
      <c r="ZA90" s="4"/>
      <c r="ZB90" s="4"/>
      <c r="ZC90" s="4"/>
      <c r="ZD90" s="4"/>
      <c r="ZE90" s="5"/>
      <c r="ZF90" s="6"/>
      <c r="ZG90" s="4"/>
      <c r="ZH90" s="4"/>
      <c r="ZI90" s="4"/>
      <c r="ZJ90" s="4"/>
      <c r="ZK90" s="4"/>
      <c r="ZL90" s="5"/>
      <c r="ZM90" s="6"/>
      <c r="ZN90" s="4"/>
      <c r="ZO90" s="4"/>
      <c r="ZP90" s="4"/>
      <c r="ZQ90" s="4"/>
      <c r="ZR90" s="4"/>
      <c r="ZS90" s="5"/>
      <c r="ZT90" s="6"/>
      <c r="ZU90" s="4"/>
      <c r="ZV90" s="4"/>
      <c r="ZW90" s="4"/>
      <c r="ZX90" s="4"/>
      <c r="ZY90" s="4"/>
      <c r="ZZ90" s="5"/>
      <c r="AAA90" s="6"/>
      <c r="AAB90" s="4"/>
      <c r="AAC90" s="4"/>
      <c r="AAD90" s="4"/>
      <c r="AAE90" s="4"/>
      <c r="AAF90" s="4"/>
      <c r="AAG90" s="5"/>
      <c r="AAH90" s="6"/>
      <c r="AAI90" s="7"/>
      <c r="AAJ90" s="4"/>
      <c r="AAK90" s="4"/>
      <c r="AAL90" s="4"/>
      <c r="AAM90" s="4"/>
      <c r="AAN90" s="5"/>
      <c r="AAO90" s="6"/>
      <c r="AAP90" s="4"/>
      <c r="AAQ90" s="4"/>
      <c r="AAR90" s="4"/>
      <c r="AAS90" s="4"/>
      <c r="AAT90" s="4"/>
      <c r="AAU90" s="5"/>
      <c r="AAV90" s="6"/>
      <c r="AAW90" s="4"/>
      <c r="AAX90" s="4"/>
      <c r="AAY90" s="4"/>
      <c r="AAZ90" s="4"/>
      <c r="ABA90" s="4"/>
      <c r="ABB90" s="5"/>
      <c r="ABC90" s="6"/>
      <c r="ABD90" s="4"/>
      <c r="ABE90" s="4"/>
      <c r="ABF90" s="4"/>
      <c r="ABG90" s="4"/>
      <c r="ABH90" s="4"/>
      <c r="ABI90" s="5"/>
      <c r="ABJ90" s="6"/>
      <c r="ABK90" s="4"/>
      <c r="ABL90" s="4"/>
      <c r="ABM90" s="4"/>
      <c r="ABN90" s="4"/>
      <c r="ABO90" s="4"/>
      <c r="ABP90" s="5"/>
      <c r="ABQ90" s="6"/>
      <c r="ABR90" s="4"/>
      <c r="ABS90" s="4"/>
      <c r="ABT90" s="4"/>
      <c r="ABU90" s="4"/>
      <c r="ABV90" s="4"/>
      <c r="ABW90" s="5"/>
      <c r="ABX90" s="6"/>
      <c r="ABY90" s="4"/>
      <c r="ABZ90" s="4"/>
      <c r="ACA90" s="4"/>
      <c r="ACB90" s="4"/>
      <c r="ACC90" s="4"/>
      <c r="ACD90" s="5"/>
      <c r="ACE90" s="6"/>
      <c r="ACF90" s="4"/>
      <c r="ACG90" s="4"/>
      <c r="ACH90" s="4"/>
      <c r="ACI90" s="4"/>
      <c r="ACJ90" s="4"/>
      <c r="ACK90" s="5"/>
      <c r="ACL90" s="6"/>
      <c r="ACM90" s="4"/>
      <c r="ACN90" s="4"/>
      <c r="ACO90" s="4"/>
      <c r="ACP90" s="4"/>
      <c r="ACQ90" s="4"/>
      <c r="ACR90" s="5"/>
      <c r="ACS90" s="6"/>
      <c r="ACT90" s="4"/>
      <c r="ACU90" s="4"/>
      <c r="ACV90" s="4"/>
      <c r="ACW90" s="4"/>
      <c r="ACX90" s="4"/>
      <c r="ACY90" s="5"/>
    </row>
    <row r="91" spans="1:779" x14ac:dyDescent="0.25">
      <c r="B91" s="30"/>
      <c r="J91" s="12"/>
      <c r="K91" s="12"/>
      <c r="L91" s="12"/>
      <c r="LL91" s="6"/>
      <c r="LM91" s="4"/>
      <c r="LN91" s="4"/>
      <c r="LO91" s="4"/>
      <c r="LP91" s="4"/>
      <c r="LQ91" s="4"/>
      <c r="LR91" s="5"/>
      <c r="LS91" s="4"/>
      <c r="LT91" s="4"/>
      <c r="LU91" s="4"/>
      <c r="LV91" s="4"/>
      <c r="LW91" s="4"/>
      <c r="LX91" s="4"/>
      <c r="LY91" s="5"/>
      <c r="LZ91" s="6" t="s">
        <v>3329</v>
      </c>
      <c r="MA91" s="7" t="s">
        <v>3188</v>
      </c>
      <c r="MB91" s="4"/>
      <c r="MC91" s="4"/>
      <c r="MD91" s="8"/>
      <c r="ME91" s="4"/>
      <c r="MF91" s="4"/>
      <c r="MG91" s="5" t="s">
        <v>3189</v>
      </c>
      <c r="MH91" s="6"/>
      <c r="MI91" s="4"/>
      <c r="MJ91" s="4"/>
      <c r="MK91" s="4"/>
      <c r="ML91" s="4"/>
      <c r="MM91" s="4"/>
      <c r="MN91" s="5"/>
      <c r="MO91" s="6"/>
      <c r="MP91" s="4"/>
      <c r="MQ91" s="4"/>
      <c r="MR91" s="4"/>
      <c r="MS91" s="4"/>
      <c r="MT91" s="4"/>
      <c r="MU91" s="5"/>
      <c r="MV91" s="6"/>
      <c r="MW91" s="4"/>
      <c r="MX91" s="4"/>
      <c r="MY91" s="4"/>
      <c r="MZ91" s="4"/>
      <c r="NA91" s="4"/>
      <c r="NB91" s="5"/>
      <c r="NC91" s="6"/>
      <c r="ND91" s="4"/>
      <c r="NE91" s="4"/>
      <c r="NF91" s="4"/>
      <c r="NG91" s="4"/>
      <c r="NH91" s="4"/>
      <c r="NI91" s="5"/>
      <c r="NJ91" s="6"/>
      <c r="NK91" s="4"/>
      <c r="NL91" s="4"/>
      <c r="NM91" s="4"/>
      <c r="NN91" s="4"/>
      <c r="NO91" s="4"/>
      <c r="NP91" s="5"/>
      <c r="NQ91" s="6"/>
      <c r="NR91" s="4"/>
      <c r="NS91" s="4"/>
      <c r="NT91" s="4"/>
      <c r="NU91" s="4"/>
      <c r="NV91" s="4"/>
      <c r="NW91" s="5"/>
      <c r="NX91" s="6"/>
      <c r="NY91" s="4"/>
      <c r="NZ91" s="4"/>
      <c r="OA91" s="4"/>
      <c r="OB91" s="4"/>
      <c r="OC91" s="4"/>
      <c r="OD91" s="5"/>
      <c r="OE91" s="6"/>
      <c r="OF91" s="4"/>
      <c r="OG91" s="4"/>
      <c r="OH91" s="4"/>
      <c r="OI91" s="4"/>
      <c r="OJ91" s="4"/>
      <c r="OK91" s="5"/>
      <c r="OL91" s="6"/>
      <c r="OM91" s="4"/>
      <c r="ON91" s="4"/>
      <c r="OO91" s="4"/>
      <c r="OP91" s="4"/>
      <c r="OQ91" s="4"/>
      <c r="OR91" s="5"/>
      <c r="OS91" s="6"/>
      <c r="OT91" s="4"/>
      <c r="OU91" s="4"/>
      <c r="OV91" s="4"/>
      <c r="OW91" s="4"/>
      <c r="OX91" s="4"/>
      <c r="OY91" s="5"/>
      <c r="OZ91" s="6"/>
      <c r="PA91" s="4"/>
      <c r="PB91" s="4"/>
      <c r="PC91" s="4"/>
      <c r="PD91" s="4"/>
      <c r="PE91" s="4"/>
      <c r="PF91" s="5"/>
      <c r="PG91" s="6"/>
      <c r="PH91" s="4"/>
      <c r="PI91" s="4"/>
      <c r="PJ91" s="4"/>
      <c r="PK91" s="4"/>
      <c r="PL91" s="4"/>
      <c r="PM91" s="5"/>
      <c r="PN91" s="6"/>
      <c r="PO91" s="4"/>
      <c r="PP91" s="4"/>
      <c r="PQ91" s="4"/>
      <c r="PR91" s="4"/>
      <c r="PS91" s="4"/>
      <c r="PT91" s="5"/>
      <c r="PU91" s="6"/>
      <c r="PV91" s="4"/>
      <c r="PW91" s="4"/>
      <c r="PX91" s="4"/>
      <c r="PY91" s="4"/>
      <c r="PZ91" s="4"/>
      <c r="QA91" s="5"/>
      <c r="QB91" s="6"/>
      <c r="QC91" s="4"/>
      <c r="QD91" s="4"/>
      <c r="QE91" s="4"/>
      <c r="QF91" s="4"/>
      <c r="QG91" s="4"/>
      <c r="QH91" s="5"/>
      <c r="QI91" s="6"/>
      <c r="QJ91" s="4"/>
      <c r="QK91" s="4"/>
      <c r="QL91" s="4"/>
      <c r="QM91" s="4"/>
      <c r="QN91" s="4"/>
      <c r="QO91" s="5"/>
      <c r="QP91" s="6"/>
      <c r="QQ91" s="4"/>
      <c r="QR91" s="4"/>
      <c r="QS91" s="4"/>
      <c r="QT91" s="4"/>
      <c r="QU91" s="4"/>
      <c r="QV91" s="5"/>
      <c r="QW91" s="6"/>
      <c r="QX91" s="4"/>
      <c r="QY91" s="4"/>
      <c r="QZ91" s="4"/>
      <c r="RA91" s="4"/>
      <c r="RB91" s="4"/>
      <c r="RC91" s="5"/>
      <c r="RD91" s="6"/>
      <c r="RE91" s="4"/>
      <c r="RF91" s="4"/>
      <c r="RG91" s="4"/>
      <c r="RH91" s="4"/>
      <c r="RI91" s="4"/>
      <c r="RJ91" s="5"/>
      <c r="RK91" s="6"/>
      <c r="RL91" s="4"/>
      <c r="RM91" s="4"/>
      <c r="RN91" s="4"/>
      <c r="RO91" s="4"/>
      <c r="RP91" s="4"/>
      <c r="RQ91" s="5"/>
      <c r="RR91" s="6"/>
      <c r="RS91" s="4"/>
      <c r="RT91" s="4"/>
      <c r="RU91" s="4"/>
      <c r="RV91" s="4"/>
      <c r="RW91" s="4"/>
      <c r="RX91" s="5"/>
      <c r="RY91" s="6"/>
      <c r="RZ91" s="4"/>
      <c r="SA91" s="4"/>
      <c r="SB91" s="4"/>
      <c r="SC91" s="4"/>
      <c r="SD91" s="4"/>
      <c r="SE91" s="5"/>
      <c r="SF91" s="6"/>
      <c r="SG91" s="4"/>
      <c r="SH91" s="4"/>
      <c r="SI91" s="4"/>
      <c r="SJ91" s="4"/>
      <c r="SK91" s="4"/>
      <c r="SL91" s="5"/>
      <c r="SM91" s="6"/>
      <c r="SN91" s="4"/>
      <c r="SO91" s="4"/>
      <c r="SP91" s="4"/>
      <c r="SQ91" s="4"/>
      <c r="SR91" s="4"/>
      <c r="SS91" s="5"/>
      <c r="ST91" s="6"/>
      <c r="SU91" s="4"/>
      <c r="SV91" s="4"/>
      <c r="SW91" s="4"/>
      <c r="SX91" s="4"/>
      <c r="SY91" s="4"/>
      <c r="SZ91" s="5"/>
      <c r="TA91" s="6"/>
      <c r="TB91" s="4"/>
      <c r="TC91" s="4"/>
      <c r="TD91" s="4"/>
      <c r="TE91" s="4"/>
      <c r="TF91" s="4"/>
      <c r="TG91" s="5"/>
      <c r="TH91" s="6"/>
      <c r="TI91" s="4"/>
      <c r="TJ91" s="4"/>
      <c r="TK91" s="4"/>
      <c r="TL91" s="4"/>
      <c r="TM91" s="4"/>
      <c r="TN91" s="5"/>
      <c r="TO91" s="6"/>
      <c r="TP91" s="4"/>
      <c r="TQ91" s="4"/>
      <c r="TR91" s="4"/>
      <c r="TS91" s="4"/>
      <c r="TT91" s="4"/>
      <c r="TU91" s="5"/>
      <c r="TV91" s="6"/>
      <c r="TW91" s="4"/>
      <c r="TX91" s="4"/>
      <c r="TY91" s="4"/>
      <c r="TZ91" s="4"/>
      <c r="UA91" s="4"/>
      <c r="UB91" s="5"/>
      <c r="UC91" s="6"/>
      <c r="UD91" s="4"/>
      <c r="UE91" s="4"/>
      <c r="UF91" s="4"/>
      <c r="UG91" s="4"/>
      <c r="UH91" s="4"/>
      <c r="UI91" s="5"/>
      <c r="UJ91" s="6"/>
      <c r="UK91" s="4"/>
      <c r="UL91" s="4"/>
      <c r="UM91" s="4"/>
      <c r="UN91" s="4"/>
      <c r="UO91" s="4"/>
      <c r="UP91" s="5"/>
      <c r="UQ91" s="6"/>
      <c r="UR91" s="4"/>
      <c r="US91" s="4"/>
      <c r="UT91" s="4"/>
      <c r="UU91" s="4"/>
      <c r="UV91" s="4"/>
      <c r="UW91" s="5"/>
      <c r="UX91" s="6"/>
      <c r="UY91" s="4"/>
      <c r="UZ91" s="4"/>
      <c r="VA91" s="4"/>
      <c r="VB91" s="4"/>
      <c r="VC91" s="4"/>
      <c r="VD91" s="5"/>
      <c r="VE91" s="6"/>
      <c r="VF91" s="4"/>
      <c r="VG91" s="4"/>
      <c r="VH91" s="4"/>
      <c r="VI91" s="4"/>
      <c r="VJ91" s="4"/>
      <c r="VK91" s="5"/>
      <c r="VL91" s="6"/>
      <c r="VM91" s="4"/>
      <c r="VN91" s="4"/>
      <c r="VO91" s="4"/>
      <c r="VP91" s="4"/>
      <c r="VQ91" s="4"/>
      <c r="VR91" s="5"/>
      <c r="VS91" s="6"/>
      <c r="VT91" s="4"/>
      <c r="VU91" s="4"/>
      <c r="VV91" s="4"/>
      <c r="VW91" s="4"/>
      <c r="VX91" s="4"/>
      <c r="VY91" s="5"/>
      <c r="VZ91" s="6"/>
      <c r="WA91" s="4"/>
      <c r="WB91" s="4"/>
      <c r="WC91" s="4"/>
      <c r="WD91" s="4"/>
      <c r="WE91" s="4"/>
      <c r="WF91" s="5"/>
      <c r="WG91" s="6"/>
      <c r="WH91" s="4"/>
      <c r="WI91" s="4"/>
      <c r="WJ91" s="4"/>
      <c r="WK91" s="4"/>
      <c r="WL91" s="4"/>
      <c r="WM91" s="5"/>
      <c r="WN91" s="6"/>
      <c r="WO91" s="4"/>
      <c r="WP91" s="4"/>
      <c r="WQ91" s="4"/>
      <c r="WR91" s="4"/>
      <c r="WS91" s="4"/>
      <c r="WT91" s="5"/>
      <c r="WU91" s="6"/>
      <c r="WV91" s="4"/>
      <c r="WW91" s="4"/>
      <c r="WX91" s="4"/>
      <c r="WY91" s="4"/>
      <c r="WZ91" s="4"/>
      <c r="XA91" s="5"/>
      <c r="XB91" s="6"/>
      <c r="XC91" s="4"/>
      <c r="XD91" s="4"/>
      <c r="XE91" s="4"/>
      <c r="XF91" s="4"/>
      <c r="XG91" s="4"/>
      <c r="XH91" s="5"/>
      <c r="XI91" s="6"/>
      <c r="XJ91" s="4"/>
      <c r="XK91" s="4"/>
      <c r="XL91" s="4"/>
      <c r="XM91" s="4"/>
      <c r="XN91" s="4"/>
      <c r="XO91" s="5"/>
      <c r="XP91" s="6"/>
      <c r="XQ91" s="4"/>
      <c r="XR91" s="4"/>
      <c r="XS91" s="4"/>
      <c r="XT91" s="4"/>
      <c r="XU91" s="4"/>
      <c r="XV91" s="5"/>
      <c r="XW91" s="6"/>
      <c r="XX91" s="4"/>
      <c r="XY91" s="4"/>
      <c r="XZ91" s="4"/>
      <c r="YA91" s="4"/>
      <c r="YB91" s="4"/>
      <c r="YC91" s="5"/>
      <c r="YD91" s="6"/>
      <c r="YE91" s="4"/>
      <c r="YF91" s="4"/>
      <c r="YG91" s="4"/>
      <c r="YH91" s="4"/>
      <c r="YI91" s="4"/>
      <c r="YJ91" s="5"/>
      <c r="YK91" s="6" t="s">
        <v>2734</v>
      </c>
      <c r="YL91" s="7" t="s">
        <v>2901</v>
      </c>
      <c r="YM91" s="4"/>
      <c r="YN91" s="4"/>
      <c r="YO91" s="4"/>
      <c r="YP91" s="4"/>
      <c r="YQ91" s="5" t="s">
        <v>2902</v>
      </c>
      <c r="YR91" s="6"/>
      <c r="YS91" s="4"/>
      <c r="YT91" s="4"/>
      <c r="YU91" s="4"/>
      <c r="YV91" s="4"/>
      <c r="YW91" s="4"/>
      <c r="YX91" s="5"/>
      <c r="YY91" s="6"/>
      <c r="YZ91" s="4"/>
      <c r="ZA91" s="4"/>
      <c r="ZB91" s="4"/>
      <c r="ZC91" s="4"/>
      <c r="ZD91" s="4"/>
      <c r="ZE91" s="5"/>
      <c r="ZF91" s="6"/>
      <c r="ZG91" s="4"/>
      <c r="ZH91" s="4"/>
      <c r="ZI91" s="4"/>
      <c r="ZJ91" s="4"/>
      <c r="ZK91" s="4"/>
      <c r="ZL91" s="5"/>
      <c r="ZM91" s="6"/>
      <c r="ZN91" s="4"/>
      <c r="ZO91" s="4"/>
      <c r="ZP91" s="4"/>
      <c r="ZQ91" s="4"/>
      <c r="ZR91" s="4"/>
      <c r="ZS91" s="5"/>
      <c r="ZT91" s="6"/>
      <c r="ZU91" s="4"/>
      <c r="ZV91" s="4"/>
      <c r="ZW91" s="4"/>
      <c r="ZX91" s="4"/>
      <c r="ZY91" s="4"/>
      <c r="ZZ91" s="5"/>
      <c r="AAA91" s="6"/>
      <c r="AAB91" s="4"/>
      <c r="AAC91" s="4"/>
      <c r="AAD91" s="4"/>
      <c r="AAE91" s="4"/>
      <c r="AAF91" s="4"/>
      <c r="AAG91" s="5"/>
      <c r="AAH91" s="6"/>
      <c r="AAI91" s="7"/>
      <c r="AAJ91" s="4"/>
      <c r="AAK91" s="4"/>
      <c r="AAL91" s="4"/>
      <c r="AAM91" s="4"/>
      <c r="AAN91" s="5"/>
      <c r="AAO91" s="6"/>
      <c r="AAP91" s="4"/>
      <c r="AAQ91" s="4"/>
      <c r="AAR91" s="4"/>
      <c r="AAS91" s="4"/>
      <c r="AAT91" s="4"/>
      <c r="AAU91" s="5"/>
      <c r="AAV91" s="6"/>
      <c r="AAW91" s="4"/>
      <c r="AAX91" s="4"/>
      <c r="AAY91" s="4"/>
      <c r="AAZ91" s="4"/>
      <c r="ABA91" s="4"/>
      <c r="ABB91" s="5"/>
      <c r="ABC91" s="6"/>
      <c r="ABD91" s="4"/>
      <c r="ABE91" s="4"/>
      <c r="ABF91" s="4"/>
      <c r="ABG91" s="4"/>
      <c r="ABH91" s="4"/>
      <c r="ABI91" s="5"/>
      <c r="ABJ91" s="6"/>
      <c r="ABK91" s="4"/>
      <c r="ABL91" s="4"/>
      <c r="ABM91" s="4"/>
      <c r="ABN91" s="4"/>
      <c r="ABO91" s="4"/>
      <c r="ABP91" s="5"/>
      <c r="ABQ91" s="6"/>
      <c r="ABR91" s="4"/>
      <c r="ABS91" s="4"/>
      <c r="ABT91" s="4"/>
      <c r="ABU91" s="4"/>
      <c r="ABV91" s="4"/>
      <c r="ABW91" s="5"/>
      <c r="ABX91" s="6"/>
      <c r="ABY91" s="4"/>
      <c r="ABZ91" s="4"/>
      <c r="ACA91" s="4"/>
      <c r="ACB91" s="4"/>
      <c r="ACC91" s="4"/>
      <c r="ACD91" s="5"/>
      <c r="ACE91" s="6"/>
      <c r="ACF91" s="4"/>
      <c r="ACG91" s="4"/>
      <c r="ACH91" s="4"/>
      <c r="ACI91" s="4"/>
      <c r="ACJ91" s="4"/>
      <c r="ACK91" s="5"/>
      <c r="ACL91" s="6"/>
      <c r="ACM91" s="4"/>
      <c r="ACN91" s="4"/>
      <c r="ACO91" s="4"/>
      <c r="ACP91" s="4"/>
      <c r="ACQ91" s="4"/>
      <c r="ACR91" s="5"/>
      <c r="ACS91" s="6"/>
      <c r="ACT91" s="4"/>
      <c r="ACU91" s="4"/>
      <c r="ACV91" s="4"/>
      <c r="ACW91" s="4"/>
      <c r="ACX91" s="4"/>
      <c r="ACY91" s="5"/>
    </row>
    <row r="92" spans="1:779" x14ac:dyDescent="0.25">
      <c r="B92" s="30"/>
      <c r="J92" s="12"/>
      <c r="K92" s="12"/>
      <c r="L92" s="12"/>
      <c r="LL92" s="6"/>
      <c r="LM92" s="4"/>
      <c r="LN92" s="4"/>
      <c r="LO92" s="4"/>
      <c r="LP92" s="4"/>
      <c r="LQ92" s="4"/>
      <c r="LR92" s="5"/>
      <c r="LS92" s="4"/>
      <c r="LT92" s="4"/>
      <c r="LU92" s="4"/>
      <c r="LV92" s="4"/>
      <c r="LW92" s="4"/>
      <c r="LX92" s="4"/>
      <c r="LY92" s="5"/>
      <c r="LZ92" s="6" t="s">
        <v>3190</v>
      </c>
      <c r="MA92" s="7" t="s">
        <v>3191</v>
      </c>
      <c r="MB92" s="4"/>
      <c r="MC92" s="4"/>
      <c r="MD92" s="8"/>
      <c r="ME92" s="4"/>
      <c r="MF92" s="4"/>
      <c r="MG92" s="5" t="s">
        <v>2383</v>
      </c>
      <c r="MH92" s="6"/>
      <c r="MI92" s="4"/>
      <c r="MJ92" s="4"/>
      <c r="MK92" s="4"/>
      <c r="ML92" s="4"/>
      <c r="MM92" s="4"/>
      <c r="MN92" s="5"/>
      <c r="MO92" s="6"/>
      <c r="MP92" s="4"/>
      <c r="MQ92" s="4"/>
      <c r="MR92" s="4"/>
      <c r="MS92" s="4"/>
      <c r="MT92" s="4"/>
      <c r="MU92" s="5"/>
      <c r="MV92" s="6"/>
      <c r="MW92" s="4"/>
      <c r="MX92" s="4"/>
      <c r="MY92" s="4"/>
      <c r="MZ92" s="4"/>
      <c r="NA92" s="4"/>
      <c r="NB92" s="5"/>
      <c r="NC92" s="6"/>
      <c r="ND92" s="4"/>
      <c r="NE92" s="4"/>
      <c r="NF92" s="4"/>
      <c r="NG92" s="4"/>
      <c r="NH92" s="4"/>
      <c r="NI92" s="5"/>
      <c r="NJ92" s="6"/>
      <c r="NK92" s="4"/>
      <c r="NL92" s="4"/>
      <c r="NM92" s="4"/>
      <c r="NN92" s="4"/>
      <c r="NO92" s="4"/>
      <c r="NP92" s="5"/>
      <c r="NQ92" s="6"/>
      <c r="NR92" s="4"/>
      <c r="NS92" s="4"/>
      <c r="NT92" s="4"/>
      <c r="NU92" s="4"/>
      <c r="NV92" s="4"/>
      <c r="NW92" s="5"/>
      <c r="NX92" s="6"/>
      <c r="NY92" s="4"/>
      <c r="NZ92" s="4"/>
      <c r="OA92" s="4"/>
      <c r="OB92" s="4"/>
      <c r="OC92" s="4"/>
      <c r="OD92" s="5"/>
      <c r="OE92" s="6"/>
      <c r="OF92" s="4"/>
      <c r="OG92" s="4"/>
      <c r="OH92" s="4"/>
      <c r="OI92" s="4"/>
      <c r="OJ92" s="4"/>
      <c r="OK92" s="5"/>
      <c r="OL92" s="6"/>
      <c r="OM92" s="4"/>
      <c r="ON92" s="4"/>
      <c r="OO92" s="4"/>
      <c r="OP92" s="4"/>
      <c r="OQ92" s="4"/>
      <c r="OR92" s="5"/>
      <c r="OS92" s="6"/>
      <c r="OT92" s="4"/>
      <c r="OU92" s="4"/>
      <c r="OV92" s="4"/>
      <c r="OW92" s="4"/>
      <c r="OX92" s="4"/>
      <c r="OY92" s="5"/>
      <c r="OZ92" s="6"/>
      <c r="PA92" s="4"/>
      <c r="PB92" s="4"/>
      <c r="PC92" s="4"/>
      <c r="PD92" s="4"/>
      <c r="PE92" s="4"/>
      <c r="PF92" s="5"/>
      <c r="PG92" s="6"/>
      <c r="PH92" s="4"/>
      <c r="PI92" s="4"/>
      <c r="PJ92" s="4"/>
      <c r="PK92" s="4"/>
      <c r="PL92" s="4"/>
      <c r="PM92" s="5"/>
      <c r="PN92" s="6"/>
      <c r="PO92" s="4"/>
      <c r="PP92" s="4"/>
      <c r="PQ92" s="4"/>
      <c r="PR92" s="4"/>
      <c r="PS92" s="4"/>
      <c r="PT92" s="5"/>
      <c r="PU92" s="6"/>
      <c r="PV92" s="4"/>
      <c r="PW92" s="4"/>
      <c r="PX92" s="4"/>
      <c r="PY92" s="4"/>
      <c r="PZ92" s="4"/>
      <c r="QA92" s="5"/>
      <c r="QB92" s="6"/>
      <c r="QC92" s="4"/>
      <c r="QD92" s="4"/>
      <c r="QE92" s="4"/>
      <c r="QF92" s="4"/>
      <c r="QG92" s="4"/>
      <c r="QH92" s="5"/>
      <c r="QI92" s="6"/>
      <c r="QJ92" s="4"/>
      <c r="QK92" s="4"/>
      <c r="QL92" s="4"/>
      <c r="QM92" s="4"/>
      <c r="QN92" s="4"/>
      <c r="QO92" s="5"/>
      <c r="QP92" s="6"/>
      <c r="QQ92" s="4"/>
      <c r="QR92" s="4"/>
      <c r="QS92" s="4"/>
      <c r="QT92" s="4"/>
      <c r="QU92" s="4"/>
      <c r="QV92" s="5"/>
      <c r="QW92" s="6"/>
      <c r="QX92" s="4"/>
      <c r="QY92" s="4"/>
      <c r="QZ92" s="4"/>
      <c r="RA92" s="4"/>
      <c r="RB92" s="4"/>
      <c r="RC92" s="5"/>
      <c r="RD92" s="6"/>
      <c r="RE92" s="4"/>
      <c r="RF92" s="4"/>
      <c r="RG92" s="4"/>
      <c r="RH92" s="4"/>
      <c r="RI92" s="4"/>
      <c r="RJ92" s="5"/>
      <c r="RK92" s="6"/>
      <c r="RL92" s="4"/>
      <c r="RM92" s="4"/>
      <c r="RN92" s="4"/>
      <c r="RO92" s="4"/>
      <c r="RP92" s="4"/>
      <c r="RQ92" s="5"/>
      <c r="RR92" s="6"/>
      <c r="RS92" s="4"/>
      <c r="RT92" s="4"/>
      <c r="RU92" s="4"/>
      <c r="RV92" s="4"/>
      <c r="RW92" s="4"/>
      <c r="RX92" s="5"/>
      <c r="RY92" s="6"/>
      <c r="RZ92" s="4"/>
      <c r="SA92" s="4"/>
      <c r="SB92" s="4"/>
      <c r="SC92" s="4"/>
      <c r="SD92" s="4"/>
      <c r="SE92" s="5"/>
      <c r="SF92" s="6"/>
      <c r="SG92" s="4"/>
      <c r="SH92" s="4"/>
      <c r="SI92" s="4"/>
      <c r="SJ92" s="4"/>
      <c r="SK92" s="4"/>
      <c r="SL92" s="5"/>
      <c r="SM92" s="6"/>
      <c r="SN92" s="4"/>
      <c r="SO92" s="4"/>
      <c r="SP92" s="4"/>
      <c r="SQ92" s="4"/>
      <c r="SR92" s="4"/>
      <c r="SS92" s="5"/>
      <c r="ST92" s="6"/>
      <c r="SU92" s="4"/>
      <c r="SV92" s="4"/>
      <c r="SW92" s="4"/>
      <c r="SX92" s="4"/>
      <c r="SY92" s="4"/>
      <c r="SZ92" s="5"/>
      <c r="TA92" s="6"/>
      <c r="TB92" s="4"/>
      <c r="TC92" s="4"/>
      <c r="TD92" s="4"/>
      <c r="TE92" s="4"/>
      <c r="TF92" s="4"/>
      <c r="TG92" s="5"/>
      <c r="TH92" s="6"/>
      <c r="TI92" s="4"/>
      <c r="TJ92" s="4"/>
      <c r="TK92" s="4"/>
      <c r="TL92" s="4"/>
      <c r="TM92" s="4"/>
      <c r="TN92" s="5"/>
      <c r="TO92" s="6"/>
      <c r="TP92" s="4"/>
      <c r="TQ92" s="4"/>
      <c r="TR92" s="4"/>
      <c r="TS92" s="4"/>
      <c r="TT92" s="4"/>
      <c r="TU92" s="5"/>
      <c r="TV92" s="6"/>
      <c r="TW92" s="4"/>
      <c r="TX92" s="4"/>
      <c r="TY92" s="4"/>
      <c r="TZ92" s="4"/>
      <c r="UA92" s="4"/>
      <c r="UB92" s="5"/>
      <c r="UC92" s="6"/>
      <c r="UD92" s="4"/>
      <c r="UE92" s="4"/>
      <c r="UF92" s="4"/>
      <c r="UG92" s="4"/>
      <c r="UH92" s="4"/>
      <c r="UI92" s="5"/>
      <c r="UJ92" s="6"/>
      <c r="UK92" s="4"/>
      <c r="UL92" s="4"/>
      <c r="UM92" s="4"/>
      <c r="UN92" s="4"/>
      <c r="UO92" s="4"/>
      <c r="UP92" s="5"/>
      <c r="UQ92" s="6"/>
      <c r="UR92" s="4"/>
      <c r="US92" s="4"/>
      <c r="UT92" s="4"/>
      <c r="UU92" s="4"/>
      <c r="UV92" s="4"/>
      <c r="UW92" s="5"/>
      <c r="UX92" s="6"/>
      <c r="UY92" s="4"/>
      <c r="UZ92" s="4"/>
      <c r="VA92" s="4"/>
      <c r="VB92" s="4"/>
      <c r="VC92" s="4"/>
      <c r="VD92" s="5"/>
      <c r="VE92" s="6"/>
      <c r="VF92" s="4"/>
      <c r="VG92" s="4"/>
      <c r="VH92" s="4"/>
      <c r="VI92" s="4"/>
      <c r="VJ92" s="4"/>
      <c r="VK92" s="5"/>
      <c r="VL92" s="6"/>
      <c r="VM92" s="4"/>
      <c r="VN92" s="4"/>
      <c r="VO92" s="4"/>
      <c r="VP92" s="4"/>
      <c r="VQ92" s="4"/>
      <c r="VR92" s="5"/>
      <c r="VS92" s="6"/>
      <c r="VT92" s="4"/>
      <c r="VU92" s="4"/>
      <c r="VV92" s="4"/>
      <c r="VW92" s="4"/>
      <c r="VX92" s="4"/>
      <c r="VY92" s="5"/>
      <c r="VZ92" s="6"/>
      <c r="WA92" s="4"/>
      <c r="WB92" s="4"/>
      <c r="WC92" s="4"/>
      <c r="WD92" s="4"/>
      <c r="WE92" s="4"/>
      <c r="WF92" s="5"/>
      <c r="WG92" s="6"/>
      <c r="WH92" s="4"/>
      <c r="WI92" s="4"/>
      <c r="WJ92" s="4"/>
      <c r="WK92" s="4"/>
      <c r="WL92" s="4"/>
      <c r="WM92" s="5"/>
      <c r="WN92" s="6"/>
      <c r="WO92" s="4"/>
      <c r="WP92" s="4"/>
      <c r="WQ92" s="4"/>
      <c r="WR92" s="4"/>
      <c r="WS92" s="4"/>
      <c r="WT92" s="5"/>
      <c r="WU92" s="6"/>
      <c r="WV92" s="4"/>
      <c r="WW92" s="4"/>
      <c r="WX92" s="4"/>
      <c r="WY92" s="4"/>
      <c r="WZ92" s="4"/>
      <c r="XA92" s="5"/>
      <c r="XB92" s="6"/>
      <c r="XC92" s="4"/>
      <c r="XD92" s="4"/>
      <c r="XE92" s="4"/>
      <c r="XF92" s="4"/>
      <c r="XG92" s="4"/>
      <c r="XH92" s="5"/>
      <c r="XI92" s="6"/>
      <c r="XJ92" s="4"/>
      <c r="XK92" s="4"/>
      <c r="XL92" s="4"/>
      <c r="XM92" s="4"/>
      <c r="XN92" s="4"/>
      <c r="XO92" s="5"/>
      <c r="XP92" s="6"/>
      <c r="XQ92" s="4"/>
      <c r="XR92" s="4"/>
      <c r="XS92" s="4"/>
      <c r="XT92" s="4"/>
      <c r="XU92" s="4"/>
      <c r="XV92" s="5"/>
      <c r="XW92" s="6"/>
      <c r="XX92" s="4"/>
      <c r="XY92" s="4"/>
      <c r="XZ92" s="4"/>
      <c r="YA92" s="4"/>
      <c r="YB92" s="4"/>
      <c r="YC92" s="5"/>
      <c r="YD92" s="6"/>
      <c r="YE92" s="4"/>
      <c r="YF92" s="4"/>
      <c r="YG92" s="4"/>
      <c r="YH92" s="4"/>
      <c r="YI92" s="4"/>
      <c r="YJ92" s="5"/>
      <c r="YK92" s="6" t="s">
        <v>2599</v>
      </c>
      <c r="YL92" s="7" t="s">
        <v>2601</v>
      </c>
      <c r="YM92" s="4"/>
      <c r="YN92" s="4"/>
      <c r="YO92" s="4"/>
      <c r="YP92" s="4"/>
      <c r="YQ92" s="5" t="s">
        <v>2981</v>
      </c>
      <c r="YR92" s="6"/>
      <c r="YS92" s="4"/>
      <c r="YT92" s="4"/>
      <c r="YU92" s="4"/>
      <c r="YV92" s="4"/>
      <c r="YW92" s="4"/>
      <c r="YX92" s="5"/>
      <c r="YY92" s="6"/>
      <c r="YZ92" s="4"/>
      <c r="ZA92" s="4"/>
      <c r="ZB92" s="4"/>
      <c r="ZC92" s="4"/>
      <c r="ZD92" s="4"/>
      <c r="ZE92" s="5"/>
      <c r="ZF92" s="6"/>
      <c r="ZG92" s="4"/>
      <c r="ZH92" s="4"/>
      <c r="ZI92" s="4"/>
      <c r="ZJ92" s="4"/>
      <c r="ZK92" s="4"/>
      <c r="ZL92" s="5"/>
      <c r="ZM92" s="6"/>
      <c r="ZN92" s="4"/>
      <c r="ZO92" s="4"/>
      <c r="ZP92" s="4"/>
      <c r="ZQ92" s="4"/>
      <c r="ZR92" s="4"/>
      <c r="ZS92" s="5"/>
      <c r="ZT92" s="6"/>
      <c r="ZU92" s="4"/>
      <c r="ZV92" s="4"/>
      <c r="ZW92" s="4"/>
      <c r="ZX92" s="4"/>
      <c r="ZY92" s="4"/>
      <c r="ZZ92" s="5"/>
      <c r="AAA92" s="6"/>
      <c r="AAB92" s="4"/>
      <c r="AAC92" s="4"/>
      <c r="AAD92" s="4"/>
      <c r="AAE92" s="4"/>
      <c r="AAF92" s="4"/>
      <c r="AAG92" s="5"/>
      <c r="AAH92" s="6"/>
      <c r="AAI92" s="7"/>
      <c r="AAJ92" s="4"/>
      <c r="AAK92" s="4"/>
      <c r="AAL92" s="4"/>
      <c r="AAM92" s="4"/>
      <c r="AAN92" s="5"/>
      <c r="AAO92" s="6"/>
      <c r="AAP92" s="4"/>
      <c r="AAQ92" s="4"/>
      <c r="AAR92" s="4"/>
      <c r="AAS92" s="4"/>
      <c r="AAT92" s="4"/>
      <c r="AAU92" s="5"/>
      <c r="AAV92" s="6"/>
      <c r="AAW92" s="4"/>
      <c r="AAX92" s="4"/>
      <c r="AAY92" s="4"/>
      <c r="AAZ92" s="4"/>
      <c r="ABA92" s="4"/>
      <c r="ABB92" s="5"/>
      <c r="ABC92" s="6"/>
      <c r="ABD92" s="4"/>
      <c r="ABE92" s="4"/>
      <c r="ABF92" s="4"/>
      <c r="ABG92" s="4"/>
      <c r="ABH92" s="4"/>
      <c r="ABI92" s="5"/>
      <c r="ABJ92" s="6"/>
      <c r="ABK92" s="4"/>
      <c r="ABL92" s="4"/>
      <c r="ABM92" s="4"/>
      <c r="ABN92" s="4"/>
      <c r="ABO92" s="4"/>
      <c r="ABP92" s="5"/>
      <c r="ABQ92" s="6"/>
      <c r="ABR92" s="4"/>
      <c r="ABS92" s="4"/>
      <c r="ABT92" s="4"/>
      <c r="ABU92" s="4"/>
      <c r="ABV92" s="4"/>
      <c r="ABW92" s="5"/>
      <c r="ABX92" s="6"/>
      <c r="ABY92" s="4"/>
      <c r="ABZ92" s="4"/>
      <c r="ACA92" s="4"/>
      <c r="ACB92" s="4"/>
      <c r="ACC92" s="4"/>
      <c r="ACD92" s="5"/>
      <c r="ACE92" s="6"/>
      <c r="ACF92" s="4"/>
      <c r="ACG92" s="4"/>
      <c r="ACH92" s="4"/>
      <c r="ACI92" s="4"/>
      <c r="ACJ92" s="4"/>
      <c r="ACK92" s="5"/>
      <c r="ACL92" s="6"/>
      <c r="ACM92" s="4"/>
      <c r="ACN92" s="4"/>
      <c r="ACO92" s="4"/>
      <c r="ACP92" s="4"/>
      <c r="ACQ92" s="4"/>
      <c r="ACR92" s="5"/>
      <c r="ACS92" s="6"/>
      <c r="ACT92" s="4"/>
      <c r="ACU92" s="4"/>
      <c r="ACV92" s="4"/>
      <c r="ACW92" s="4"/>
      <c r="ACX92" s="4"/>
      <c r="ACY92" s="5"/>
    </row>
    <row r="93" spans="1:779" x14ac:dyDescent="0.25">
      <c r="B93" s="30"/>
      <c r="J93" s="12"/>
      <c r="K93" s="12"/>
      <c r="L93" s="12"/>
      <c r="LL93" s="6"/>
      <c r="LM93" s="4"/>
      <c r="LN93" s="4"/>
      <c r="LO93" s="4"/>
      <c r="LP93" s="4"/>
      <c r="LQ93" s="4"/>
      <c r="LR93" s="5"/>
      <c r="LS93" s="4"/>
      <c r="LT93" s="4"/>
      <c r="LU93" s="4"/>
      <c r="LV93" s="4"/>
      <c r="LW93" s="4"/>
      <c r="LX93" s="4"/>
      <c r="LY93" s="5"/>
      <c r="LZ93" s="6"/>
      <c r="MA93" s="7"/>
      <c r="MB93" s="4"/>
      <c r="MC93" s="4"/>
      <c r="MD93" s="8"/>
      <c r="ME93" s="4"/>
      <c r="MF93" s="4"/>
      <c r="MG93" s="5"/>
      <c r="MH93" s="6"/>
      <c r="MI93" s="4"/>
      <c r="MJ93" s="4"/>
      <c r="MK93" s="4"/>
      <c r="ML93" s="4"/>
      <c r="MM93" s="4"/>
      <c r="MN93" s="5"/>
      <c r="MO93" s="6"/>
      <c r="MP93" s="4"/>
      <c r="MQ93" s="4"/>
      <c r="MR93" s="4"/>
      <c r="MS93" s="4"/>
      <c r="MT93" s="4"/>
      <c r="MU93" s="5"/>
      <c r="MV93" s="6"/>
      <c r="MW93" s="4"/>
      <c r="MX93" s="4"/>
      <c r="MY93" s="4"/>
      <c r="MZ93" s="4"/>
      <c r="NA93" s="4"/>
      <c r="NB93" s="5"/>
      <c r="NC93" s="6"/>
      <c r="ND93" s="4"/>
      <c r="NE93" s="4"/>
      <c r="NF93" s="4"/>
      <c r="NG93" s="4"/>
      <c r="NH93" s="4"/>
      <c r="NI93" s="5"/>
      <c r="NJ93" s="6"/>
      <c r="NK93" s="4"/>
      <c r="NL93" s="4"/>
      <c r="NM93" s="4"/>
      <c r="NN93" s="4"/>
      <c r="NO93" s="4"/>
      <c r="NP93" s="5"/>
      <c r="NQ93" s="6"/>
      <c r="NR93" s="4"/>
      <c r="NS93" s="4"/>
      <c r="NT93" s="4"/>
      <c r="NU93" s="4"/>
      <c r="NV93" s="4"/>
      <c r="NW93" s="5"/>
      <c r="NX93" s="6"/>
      <c r="NY93" s="4"/>
      <c r="NZ93" s="4"/>
      <c r="OA93" s="4"/>
      <c r="OB93" s="4"/>
      <c r="OC93" s="4"/>
      <c r="OD93" s="5"/>
      <c r="OE93" s="6"/>
      <c r="OF93" s="4"/>
      <c r="OG93" s="4"/>
      <c r="OH93" s="4"/>
      <c r="OI93" s="4"/>
      <c r="OJ93" s="4"/>
      <c r="OK93" s="5"/>
      <c r="OL93" s="6"/>
      <c r="OM93" s="4"/>
      <c r="ON93" s="4"/>
      <c r="OO93" s="4"/>
      <c r="OP93" s="4"/>
      <c r="OQ93" s="4"/>
      <c r="OR93" s="5"/>
      <c r="OS93" s="6"/>
      <c r="OT93" s="4"/>
      <c r="OU93" s="4"/>
      <c r="OV93" s="4"/>
      <c r="OW93" s="4"/>
      <c r="OX93" s="4"/>
      <c r="OY93" s="5"/>
      <c r="OZ93" s="6"/>
      <c r="PA93" s="4"/>
      <c r="PB93" s="4"/>
      <c r="PC93" s="4"/>
      <c r="PD93" s="4"/>
      <c r="PE93" s="4"/>
      <c r="PF93" s="5"/>
      <c r="PG93" s="6"/>
      <c r="PH93" s="4"/>
      <c r="PI93" s="4"/>
      <c r="PJ93" s="4"/>
      <c r="PK93" s="4"/>
      <c r="PL93" s="4"/>
      <c r="PM93" s="5"/>
      <c r="PN93" s="6"/>
      <c r="PO93" s="4"/>
      <c r="PP93" s="4"/>
      <c r="PQ93" s="4"/>
      <c r="PR93" s="4"/>
      <c r="PS93" s="4"/>
      <c r="PT93" s="5"/>
      <c r="PW93" s="4"/>
      <c r="PX93" s="4"/>
      <c r="PY93" s="4"/>
      <c r="PZ93" s="4"/>
      <c r="QA93" s="5"/>
      <c r="QB93" s="6"/>
      <c r="QC93" s="4"/>
      <c r="QD93" s="4"/>
      <c r="QE93" s="4"/>
      <c r="QF93" s="4"/>
      <c r="QG93" s="4"/>
      <c r="QH93" s="5"/>
      <c r="QI93" s="6"/>
      <c r="QJ93" s="4"/>
      <c r="QK93" s="4"/>
      <c r="QL93" s="4"/>
      <c r="QM93" s="4"/>
      <c r="QN93" s="4"/>
      <c r="QO93" s="5"/>
      <c r="QP93" s="6"/>
      <c r="QQ93" s="4"/>
      <c r="QR93" s="4"/>
      <c r="QS93" s="4"/>
      <c r="QT93" s="4"/>
      <c r="QU93" s="4"/>
      <c r="QV93" s="5"/>
      <c r="QW93" s="6"/>
      <c r="QX93" s="4"/>
      <c r="QY93" s="4"/>
      <c r="QZ93" s="4"/>
      <c r="RA93" s="4"/>
      <c r="RB93" s="4"/>
      <c r="RC93" s="5"/>
      <c r="RD93" s="6"/>
      <c r="RE93" s="4"/>
      <c r="RF93" s="4"/>
      <c r="RG93" s="4"/>
      <c r="RH93" s="4"/>
      <c r="RI93" s="4"/>
      <c r="RJ93" s="5"/>
      <c r="RK93" s="6"/>
      <c r="RL93" s="4"/>
      <c r="RM93" s="4"/>
      <c r="RN93" s="4"/>
      <c r="RO93" s="4"/>
      <c r="RP93" s="4"/>
      <c r="RQ93" s="5"/>
      <c r="RR93" s="6"/>
      <c r="RS93" s="4"/>
      <c r="RT93" s="4"/>
      <c r="RU93" s="4"/>
      <c r="RV93" s="4"/>
      <c r="RW93" s="4"/>
      <c r="RX93" s="5"/>
      <c r="RY93" s="6"/>
      <c r="RZ93" s="4"/>
      <c r="SA93" s="4"/>
      <c r="SB93" s="4"/>
      <c r="SC93" s="4"/>
      <c r="SD93" s="4"/>
      <c r="SE93" s="5"/>
      <c r="SF93" s="6"/>
      <c r="SG93" s="4"/>
      <c r="SH93" s="4"/>
      <c r="SI93" s="4"/>
      <c r="SJ93" s="4"/>
      <c r="SK93" s="4"/>
      <c r="SL93" s="5"/>
      <c r="SM93" s="6"/>
      <c r="SN93" s="4"/>
      <c r="SO93" s="4"/>
      <c r="SP93" s="4"/>
      <c r="SQ93" s="4"/>
      <c r="SR93" s="4"/>
      <c r="SS93" s="5"/>
      <c r="ST93" s="6"/>
      <c r="SU93" s="4"/>
      <c r="SV93" s="4"/>
      <c r="SW93" s="4"/>
      <c r="SX93" s="4"/>
      <c r="SY93" s="4"/>
      <c r="SZ93" s="5"/>
      <c r="TA93" s="6"/>
      <c r="TB93" s="4"/>
      <c r="TC93" s="4"/>
      <c r="TD93" s="4"/>
      <c r="TE93" s="4"/>
      <c r="TF93" s="4"/>
      <c r="TG93" s="5"/>
      <c r="TH93" s="6"/>
      <c r="TI93" s="4"/>
      <c r="TJ93" s="4"/>
      <c r="TK93" s="4"/>
      <c r="TL93" s="4"/>
      <c r="TM93" s="4"/>
      <c r="TN93" s="5"/>
      <c r="TO93" s="6"/>
      <c r="TP93" s="4"/>
      <c r="TQ93" s="4"/>
      <c r="TR93" s="4"/>
      <c r="TS93" s="4"/>
      <c r="TT93" s="4"/>
      <c r="TU93" s="5"/>
      <c r="TV93" s="6"/>
      <c r="TW93" s="4"/>
      <c r="TX93" s="4"/>
      <c r="TY93" s="4"/>
      <c r="TZ93" s="4"/>
      <c r="UA93" s="4"/>
      <c r="UB93" s="5"/>
      <c r="UC93" s="6"/>
      <c r="UD93" s="4"/>
      <c r="UE93" s="4"/>
      <c r="UF93" s="4"/>
      <c r="UG93" s="4"/>
      <c r="UH93" s="4"/>
      <c r="UI93" s="5"/>
      <c r="UJ93" s="6"/>
      <c r="UK93" s="4"/>
      <c r="UL93" s="4"/>
      <c r="UM93" s="4"/>
      <c r="UN93" s="4"/>
      <c r="UO93" s="4"/>
      <c r="UP93" s="5"/>
      <c r="UQ93" s="6"/>
      <c r="UR93" s="4"/>
      <c r="US93" s="4"/>
      <c r="UT93" s="4"/>
      <c r="UU93" s="4"/>
      <c r="UV93" s="4"/>
      <c r="UW93" s="5"/>
      <c r="UX93" s="6"/>
      <c r="UY93" s="4"/>
      <c r="UZ93" s="4"/>
      <c r="VA93" s="4"/>
      <c r="VB93" s="4"/>
      <c r="VC93" s="4"/>
      <c r="VD93" s="5"/>
      <c r="VE93" s="6"/>
      <c r="VF93" s="4"/>
      <c r="VG93" s="4"/>
      <c r="VH93" s="4"/>
      <c r="VI93" s="4"/>
      <c r="VJ93" s="4"/>
      <c r="VK93" s="5"/>
      <c r="VL93" s="6"/>
      <c r="VM93" s="4"/>
      <c r="VN93" s="4"/>
      <c r="VO93" s="4"/>
      <c r="VP93" s="4"/>
      <c r="VQ93" s="4"/>
      <c r="VR93" s="5"/>
      <c r="VS93" s="6"/>
      <c r="VT93" s="4"/>
      <c r="VU93" s="4"/>
      <c r="VV93" s="4"/>
      <c r="VW93" s="4"/>
      <c r="VX93" s="4"/>
      <c r="VY93" s="5"/>
      <c r="VZ93" s="6"/>
      <c r="WA93" s="4"/>
      <c r="WB93" s="4"/>
      <c r="WC93" s="4"/>
      <c r="WD93" s="4"/>
      <c r="WE93" s="4"/>
      <c r="WF93" s="5"/>
      <c r="WG93" s="6"/>
      <c r="WH93" s="4"/>
      <c r="WI93" s="4"/>
      <c r="WJ93" s="4"/>
      <c r="WK93" s="4"/>
      <c r="WL93" s="4"/>
      <c r="WM93" s="5"/>
      <c r="WN93" s="6"/>
      <c r="WO93" s="4"/>
      <c r="WP93" s="4"/>
      <c r="WQ93" s="4"/>
      <c r="WR93" s="4"/>
      <c r="WS93" s="4"/>
      <c r="WT93" s="5"/>
      <c r="WU93" s="6"/>
      <c r="WV93" s="4"/>
      <c r="WW93" s="4"/>
      <c r="WX93" s="4"/>
      <c r="WY93" s="4"/>
      <c r="WZ93" s="4"/>
      <c r="XA93" s="5"/>
      <c r="XB93" s="6"/>
      <c r="XC93" s="4"/>
      <c r="XD93" s="4"/>
      <c r="XE93" s="4"/>
      <c r="XF93" s="4"/>
      <c r="XG93" s="4"/>
      <c r="XH93" s="5"/>
      <c r="XI93" s="6"/>
      <c r="XJ93" s="4"/>
      <c r="XK93" s="4"/>
      <c r="XL93" s="4"/>
      <c r="XM93" s="4"/>
      <c r="XN93" s="4"/>
      <c r="XO93" s="5"/>
      <c r="XP93" s="6"/>
      <c r="XQ93" s="4"/>
      <c r="XR93" s="4"/>
      <c r="XS93" s="4"/>
      <c r="XT93" s="4"/>
      <c r="XU93" s="4"/>
      <c r="XV93" s="5"/>
      <c r="XW93" s="6"/>
      <c r="XX93" s="4"/>
      <c r="XY93" s="4"/>
      <c r="XZ93" s="4"/>
      <c r="YA93" s="4"/>
      <c r="YB93" s="4"/>
      <c r="YC93" s="5"/>
      <c r="YD93" s="6"/>
      <c r="YE93" s="4"/>
      <c r="YF93" s="4"/>
      <c r="YG93" s="4"/>
      <c r="YH93" s="4"/>
      <c r="YI93" s="4"/>
      <c r="YJ93" s="5"/>
      <c r="YK93" s="6" t="s">
        <v>2603</v>
      </c>
      <c r="YL93" s="7" t="s">
        <v>2601</v>
      </c>
      <c r="YM93" s="4"/>
      <c r="YN93" s="4"/>
      <c r="YO93" s="4"/>
      <c r="YP93" s="4"/>
      <c r="YQ93" s="5" t="s">
        <v>2851</v>
      </c>
      <c r="YR93" s="6"/>
      <c r="YS93" s="4"/>
      <c r="YT93" s="4"/>
      <c r="YU93" s="4"/>
      <c r="YV93" s="4"/>
      <c r="YW93" s="4"/>
      <c r="YX93" s="5"/>
      <c r="YY93" s="6"/>
      <c r="YZ93" s="4"/>
      <c r="ZA93" s="4"/>
      <c r="ZB93" s="4"/>
      <c r="ZC93" s="4"/>
      <c r="ZD93" s="4"/>
      <c r="ZE93" s="5"/>
      <c r="ZF93" s="6"/>
      <c r="ZG93" s="4"/>
      <c r="ZH93" s="4"/>
      <c r="ZI93" s="4"/>
      <c r="ZJ93" s="4"/>
      <c r="ZK93" s="4"/>
      <c r="ZL93" s="5"/>
      <c r="ZM93" s="6"/>
      <c r="ZN93" s="4"/>
      <c r="ZO93" s="4"/>
      <c r="ZP93" s="4"/>
      <c r="ZQ93" s="4"/>
      <c r="ZR93" s="4"/>
      <c r="ZS93" s="5"/>
      <c r="ZT93" s="6"/>
      <c r="ZU93" s="4"/>
      <c r="ZV93" s="4"/>
      <c r="ZW93" s="4"/>
      <c r="ZX93" s="4"/>
      <c r="ZY93" s="4"/>
      <c r="ZZ93" s="5"/>
      <c r="AAA93" s="6"/>
      <c r="AAB93" s="4"/>
      <c r="AAC93" s="4"/>
      <c r="AAD93" s="4"/>
      <c r="AAE93" s="4"/>
      <c r="AAF93" s="4"/>
      <c r="AAG93" s="5"/>
      <c r="AAH93" s="6"/>
      <c r="AAI93" s="7"/>
      <c r="AAJ93" s="4"/>
      <c r="AAK93" s="4"/>
      <c r="AAL93" s="4"/>
      <c r="AAM93" s="4"/>
      <c r="AAN93" s="5"/>
      <c r="AAO93" s="6"/>
      <c r="AAP93" s="4"/>
      <c r="AAQ93" s="4"/>
      <c r="AAR93" s="4"/>
      <c r="AAS93" s="4"/>
      <c r="AAT93" s="4"/>
      <c r="AAU93" s="5"/>
      <c r="AAV93" s="6"/>
      <c r="AAW93" s="4"/>
      <c r="AAX93" s="4"/>
      <c r="AAY93" s="4"/>
      <c r="AAZ93" s="4"/>
      <c r="ABA93" s="4"/>
      <c r="ABB93" s="5"/>
      <c r="ABC93" s="6"/>
      <c r="ABD93" s="4"/>
      <c r="ABE93" s="4"/>
      <c r="ABF93" s="4"/>
      <c r="ABG93" s="4"/>
      <c r="ABH93" s="4"/>
      <c r="ABI93" s="5"/>
      <c r="ABJ93" s="6"/>
      <c r="ABK93" s="4"/>
      <c r="ABL93" s="4"/>
      <c r="ABM93" s="4"/>
      <c r="ABN93" s="4"/>
      <c r="ABO93" s="4"/>
      <c r="ABP93" s="5"/>
      <c r="ABQ93" s="6"/>
      <c r="ABR93" s="4"/>
      <c r="ABS93" s="4"/>
      <c r="ABT93" s="4"/>
      <c r="ABU93" s="4"/>
      <c r="ABV93" s="4"/>
      <c r="ABW93" s="5"/>
      <c r="ABX93" s="6"/>
      <c r="ABY93" s="4"/>
      <c r="ABZ93" s="4"/>
      <c r="ACA93" s="4"/>
      <c r="ACB93" s="4"/>
      <c r="ACC93" s="4"/>
      <c r="ACD93" s="5"/>
      <c r="ACE93" s="6"/>
      <c r="ACF93" s="4"/>
      <c r="ACG93" s="4"/>
      <c r="ACH93" s="4"/>
      <c r="ACI93" s="4"/>
      <c r="ACJ93" s="4"/>
      <c r="ACK93" s="5"/>
      <c r="ACL93" s="6"/>
      <c r="ACM93" s="4"/>
      <c r="ACN93" s="4"/>
      <c r="ACO93" s="4"/>
      <c r="ACP93" s="4"/>
      <c r="ACQ93" s="4"/>
      <c r="ACR93" s="5"/>
      <c r="ACS93" s="6"/>
      <c r="ACT93" s="4"/>
      <c r="ACU93" s="4"/>
      <c r="ACV93" s="4"/>
      <c r="ACW93" s="4"/>
      <c r="ACX93" s="4"/>
      <c r="ACY93" s="5"/>
    </row>
    <row r="94" spans="1:779" x14ac:dyDescent="0.25">
      <c r="B94" s="29">
        <v>95005914</v>
      </c>
      <c r="C94">
        <v>68</v>
      </c>
      <c r="D94" t="s">
        <v>2121</v>
      </c>
      <c r="F94" s="23" t="s">
        <v>1781</v>
      </c>
      <c r="I94">
        <v>1</v>
      </c>
      <c r="J94" s="19">
        <v>34344</v>
      </c>
      <c r="K94" s="19"/>
      <c r="L94" s="19"/>
      <c r="LL94" s="6"/>
      <c r="LM94" s="4"/>
      <c r="LN94" s="4"/>
      <c r="LO94" s="4"/>
      <c r="LP94" s="4"/>
      <c r="LQ94" s="4"/>
      <c r="LR94" s="5"/>
      <c r="LU94" s="4"/>
      <c r="LV94" s="4"/>
      <c r="LW94" s="4"/>
      <c r="LX94" s="4"/>
      <c r="LY94" s="5"/>
      <c r="LZ94" s="6" t="s">
        <v>3194</v>
      </c>
      <c r="MA94" s="7" t="s">
        <v>3196</v>
      </c>
      <c r="MB94" s="4"/>
      <c r="MC94" s="4"/>
      <c r="MD94" s="8"/>
      <c r="ME94" s="4"/>
      <c r="MF94" s="4"/>
      <c r="MG94" s="5"/>
      <c r="MH94" s="6"/>
      <c r="MI94" s="4"/>
      <c r="MJ94" s="4"/>
      <c r="MK94" s="4"/>
      <c r="ML94" s="4"/>
      <c r="MM94" s="4"/>
      <c r="MN94" s="5"/>
      <c r="MO94" s="6"/>
      <c r="MP94" s="4"/>
      <c r="MQ94" s="4"/>
      <c r="MR94" s="4"/>
      <c r="MS94" s="4"/>
      <c r="MT94" s="4"/>
      <c r="MU94" s="5"/>
      <c r="MV94" s="6"/>
      <c r="MW94" s="4"/>
      <c r="MX94" s="4"/>
      <c r="MY94" s="4"/>
      <c r="MZ94" s="4"/>
      <c r="NA94" s="4"/>
      <c r="NB94" s="5"/>
      <c r="NC94" s="6" t="s">
        <v>3255</v>
      </c>
      <c r="ND94" s="4" t="s">
        <v>3256</v>
      </c>
      <c r="NE94" s="4"/>
      <c r="NF94" s="4"/>
      <c r="NG94" s="4"/>
      <c r="NH94" s="4"/>
      <c r="NI94" s="5"/>
      <c r="NJ94" s="6" t="s">
        <v>3253</v>
      </c>
      <c r="NK94" s="4" t="s">
        <v>3254</v>
      </c>
      <c r="NL94" s="4"/>
      <c r="NM94" s="4"/>
      <c r="NN94" s="4"/>
      <c r="NO94" s="4"/>
      <c r="NP94" s="5"/>
      <c r="NQ94" s="6"/>
      <c r="NR94" s="4"/>
      <c r="NS94" s="4"/>
      <c r="NT94" s="4"/>
      <c r="NU94" s="4"/>
      <c r="NV94" s="4"/>
      <c r="NW94" s="5"/>
      <c r="NX94" s="6"/>
      <c r="NY94" s="4"/>
      <c r="NZ94" s="4"/>
      <c r="OA94" s="4"/>
      <c r="OB94" s="4"/>
      <c r="OC94" s="4"/>
      <c r="OD94" s="5"/>
      <c r="OE94" s="6"/>
      <c r="OF94" s="4"/>
      <c r="OG94" s="4"/>
      <c r="OH94" s="4"/>
      <c r="OI94" s="4"/>
      <c r="OJ94" s="4"/>
      <c r="OK94" s="5"/>
      <c r="OL94" s="6"/>
      <c r="OM94" s="4"/>
      <c r="ON94" s="4"/>
      <c r="OO94" s="4"/>
      <c r="OP94" s="4"/>
      <c r="OQ94" s="4"/>
      <c r="OR94" s="5"/>
      <c r="OS94" s="6"/>
      <c r="OT94" s="4"/>
      <c r="OU94" s="4"/>
      <c r="OV94" s="4"/>
      <c r="OW94" s="4"/>
      <c r="OX94" s="4"/>
      <c r="OY94" s="5"/>
      <c r="OZ94" s="6"/>
      <c r="PA94" s="4"/>
      <c r="PB94" s="4"/>
      <c r="PC94" s="4"/>
      <c r="PD94" s="4"/>
      <c r="PE94" s="4"/>
      <c r="PF94" s="5"/>
      <c r="PG94" s="6"/>
      <c r="PH94" s="4"/>
      <c r="PI94" s="4"/>
      <c r="PJ94" s="4"/>
      <c r="PK94" s="4"/>
      <c r="PL94" s="4"/>
      <c r="PM94" s="5"/>
      <c r="PN94" s="6"/>
      <c r="PO94" s="4"/>
      <c r="PP94" s="4"/>
      <c r="PQ94" s="4"/>
      <c r="PR94" s="4"/>
      <c r="PS94" s="4"/>
      <c r="PT94" s="5"/>
      <c r="PU94" s="6" t="s">
        <v>2770</v>
      </c>
      <c r="PV94" s="4" t="s">
        <v>2907</v>
      </c>
      <c r="PW94" s="4"/>
      <c r="PX94" s="4"/>
      <c r="PY94" s="4"/>
      <c r="PZ94" s="4"/>
      <c r="QA94" s="5"/>
      <c r="QB94" s="6"/>
      <c r="QC94" s="4"/>
      <c r="QD94" s="4"/>
      <c r="QE94" s="4"/>
      <c r="QF94" s="4"/>
      <c r="QG94" s="4"/>
      <c r="QH94" s="5"/>
      <c r="QI94" s="6"/>
      <c r="QJ94" s="4"/>
      <c r="QK94" s="4"/>
      <c r="QL94" s="4"/>
      <c r="QM94" s="4"/>
      <c r="QN94" s="4"/>
      <c r="QO94" s="5"/>
      <c r="QP94" s="6"/>
      <c r="QQ94" s="4"/>
      <c r="QR94" s="4"/>
      <c r="QS94" s="4"/>
      <c r="QT94" s="4"/>
      <c r="QU94" s="4"/>
      <c r="QV94" s="5"/>
      <c r="QW94" s="6"/>
      <c r="QX94" s="4"/>
      <c r="QY94" s="4"/>
      <c r="QZ94" s="4"/>
      <c r="RA94" s="4"/>
      <c r="RB94" s="4"/>
      <c r="RC94" s="5"/>
      <c r="RD94" s="6"/>
      <c r="RE94" s="4"/>
      <c r="RF94" s="4"/>
      <c r="RG94" s="4"/>
      <c r="RH94" s="4"/>
      <c r="RI94" s="4"/>
      <c r="RJ94" s="5"/>
      <c r="RK94" s="6"/>
      <c r="RL94" s="4"/>
      <c r="RM94" s="4"/>
      <c r="RN94" s="4"/>
      <c r="RO94" s="4"/>
      <c r="RP94" s="4"/>
      <c r="RQ94" s="5"/>
      <c r="RR94" s="6"/>
      <c r="RS94" s="4"/>
      <c r="RT94" s="4"/>
      <c r="RU94" s="4"/>
      <c r="RV94" s="4"/>
      <c r="RW94" s="4"/>
      <c r="RX94" s="5"/>
      <c r="RY94" s="6"/>
      <c r="RZ94" s="4"/>
      <c r="SA94" s="4"/>
      <c r="SB94" s="4"/>
      <c r="SC94" s="4"/>
      <c r="SD94" s="4"/>
      <c r="SE94" s="5"/>
      <c r="SF94" s="6"/>
      <c r="SG94" s="4"/>
      <c r="SH94" s="4"/>
      <c r="SI94" s="4"/>
      <c r="SJ94" s="4"/>
      <c r="SK94" s="4"/>
      <c r="SL94" s="5"/>
      <c r="SM94" s="6"/>
      <c r="SN94" s="4"/>
      <c r="SO94" s="4"/>
      <c r="SP94" s="4"/>
      <c r="SQ94" s="4"/>
      <c r="SR94" s="4"/>
      <c r="SS94" s="5"/>
      <c r="ST94" s="6"/>
      <c r="SU94" s="4"/>
      <c r="SV94" s="4"/>
      <c r="SW94" s="4"/>
      <c r="SX94" s="4"/>
      <c r="SY94" s="4"/>
      <c r="SZ94" s="5"/>
      <c r="TA94" s="6"/>
      <c r="TB94" s="4"/>
      <c r="TC94" s="4"/>
      <c r="TD94" s="4"/>
      <c r="TE94" s="4"/>
      <c r="TF94" s="4"/>
      <c r="TG94" s="5"/>
      <c r="TH94" s="6"/>
      <c r="TI94" s="4"/>
      <c r="TJ94" s="4"/>
      <c r="TK94" s="4"/>
      <c r="TL94" s="4"/>
      <c r="TM94" s="4"/>
      <c r="TN94" s="5"/>
      <c r="TO94" s="6"/>
      <c r="TP94" s="4"/>
      <c r="TQ94" s="4"/>
      <c r="TR94" s="4"/>
      <c r="TS94" s="4"/>
      <c r="TT94" s="4"/>
      <c r="TU94" s="5"/>
      <c r="TV94" s="6"/>
      <c r="TW94" s="4"/>
      <c r="TX94" s="4"/>
      <c r="TY94" s="4"/>
      <c r="TZ94" s="4"/>
      <c r="UA94" s="4"/>
      <c r="UB94" s="5"/>
      <c r="UC94" s="6"/>
      <c r="UD94" s="4"/>
      <c r="UE94" s="4"/>
      <c r="UF94" s="4"/>
      <c r="UG94" s="4"/>
      <c r="UH94" s="4"/>
      <c r="UI94" s="5"/>
      <c r="UJ94" s="6"/>
      <c r="UK94" s="4"/>
      <c r="UL94" s="4"/>
      <c r="UM94" s="4"/>
      <c r="UN94" s="4"/>
      <c r="UO94" s="4"/>
      <c r="UP94" s="5"/>
      <c r="UQ94" s="6" t="s">
        <v>3096</v>
      </c>
      <c r="UR94" s="4" t="s">
        <v>3097</v>
      </c>
      <c r="US94" s="4"/>
      <c r="UT94" s="4"/>
      <c r="UU94" s="4"/>
      <c r="UV94" s="4"/>
      <c r="UW94" s="5"/>
      <c r="UX94" s="6"/>
      <c r="UY94" s="4"/>
      <c r="UZ94" s="4"/>
      <c r="VA94" s="4"/>
      <c r="VB94" s="4"/>
      <c r="VC94" s="4"/>
      <c r="VD94" s="5"/>
      <c r="VE94" s="6" t="s">
        <v>2803</v>
      </c>
      <c r="VF94" s="4" t="s">
        <v>3106</v>
      </c>
      <c r="VG94" s="4"/>
      <c r="VH94" s="4"/>
      <c r="VI94" s="4"/>
      <c r="VJ94" s="4"/>
      <c r="VK94" s="5"/>
      <c r="VL94" s="6" t="s">
        <v>2658</v>
      </c>
      <c r="VM94" s="4" t="s">
        <v>2659</v>
      </c>
      <c r="VN94" s="4"/>
      <c r="VO94" s="4"/>
      <c r="VP94" s="4"/>
      <c r="VQ94" s="4"/>
      <c r="VR94" s="5"/>
      <c r="VS94" s="6"/>
      <c r="VT94" s="4"/>
      <c r="VU94" s="4"/>
      <c r="VV94" s="4"/>
      <c r="VW94" s="4"/>
      <c r="VX94" s="4"/>
      <c r="VY94" s="5"/>
      <c r="VZ94" s="6"/>
      <c r="WA94" s="4"/>
      <c r="WB94" s="4"/>
      <c r="WC94" s="4"/>
      <c r="WD94" s="4"/>
      <c r="WE94" s="4"/>
      <c r="WF94" s="5"/>
      <c r="WI94" s="4"/>
      <c r="WJ94" s="4"/>
      <c r="WK94" s="4"/>
      <c r="WL94" s="4"/>
      <c r="WM94" s="5"/>
      <c r="WN94" s="6"/>
      <c r="WO94" s="4"/>
      <c r="WP94" s="4"/>
      <c r="WQ94" s="4"/>
      <c r="WR94" s="4"/>
      <c r="WS94" s="4"/>
      <c r="WT94" s="5"/>
      <c r="WU94" s="6"/>
      <c r="WV94" s="4"/>
      <c r="WW94" s="4"/>
      <c r="WX94" s="4"/>
      <c r="WY94" s="4"/>
      <c r="WZ94" s="4"/>
      <c r="XA94" s="5"/>
      <c r="XB94" s="6"/>
      <c r="XC94" s="4"/>
      <c r="XD94" s="4"/>
      <c r="XE94" s="4"/>
      <c r="XF94" s="4"/>
      <c r="XG94" s="4"/>
      <c r="XH94" s="5"/>
      <c r="XI94" s="6"/>
      <c r="XJ94" s="4"/>
      <c r="XK94" s="4"/>
      <c r="XL94" s="4"/>
      <c r="XM94" s="4"/>
      <c r="XN94" s="4"/>
      <c r="XO94" s="5"/>
      <c r="XP94" s="6" t="s">
        <v>2368</v>
      </c>
      <c r="XQ94" s="4" t="s">
        <v>2960</v>
      </c>
      <c r="XR94" s="4"/>
      <c r="XS94" s="4"/>
      <c r="XT94" s="4"/>
      <c r="XU94" s="4"/>
      <c r="XV94" s="5"/>
      <c r="XW94" s="6"/>
      <c r="XX94" s="4"/>
      <c r="XY94" s="4"/>
      <c r="XZ94" s="4"/>
      <c r="YA94" s="4"/>
      <c r="YB94" s="4"/>
      <c r="YC94" s="5"/>
      <c r="YD94" s="6"/>
      <c r="YE94" s="4"/>
      <c r="YF94" s="4"/>
      <c r="YG94" s="4"/>
      <c r="YH94" s="4"/>
      <c r="YI94" s="4"/>
      <c r="YJ94" s="5"/>
      <c r="YK94" s="11" t="s">
        <v>2521</v>
      </c>
      <c r="YL94" s="5" t="s">
        <v>2520</v>
      </c>
      <c r="YM94" s="4"/>
      <c r="YN94" s="4"/>
      <c r="YO94" s="4"/>
      <c r="YP94" s="4"/>
      <c r="YQ94" s="5" t="s">
        <v>2522</v>
      </c>
      <c r="YR94" s="6"/>
      <c r="YS94" s="4"/>
      <c r="YT94" s="4"/>
      <c r="YU94" s="4"/>
      <c r="YV94" s="4"/>
      <c r="YW94" s="4"/>
      <c r="YX94" s="5"/>
      <c r="YY94" s="6"/>
      <c r="YZ94" s="4"/>
      <c r="ZA94" s="4"/>
      <c r="ZB94" s="4"/>
      <c r="ZC94" s="4"/>
      <c r="ZD94" s="4"/>
      <c r="ZE94" s="5"/>
      <c r="ZF94" s="6"/>
      <c r="ZG94" s="4"/>
      <c r="ZH94" s="4"/>
      <c r="ZI94" s="4"/>
      <c r="ZJ94" s="4"/>
      <c r="ZK94" s="4"/>
      <c r="ZL94" s="5"/>
      <c r="ZM94" s="6"/>
      <c r="ZN94" s="4"/>
      <c r="ZO94" s="4"/>
      <c r="ZP94" s="4"/>
      <c r="ZQ94" s="4"/>
      <c r="ZR94" s="4"/>
      <c r="ZS94" s="5"/>
      <c r="ZT94" s="6" t="s">
        <v>3098</v>
      </c>
      <c r="ZU94" s="4" t="s">
        <v>3099</v>
      </c>
      <c r="ZV94" s="4"/>
      <c r="ZW94" s="4"/>
      <c r="ZX94" s="4"/>
      <c r="ZY94" s="4"/>
      <c r="ZZ94" s="5"/>
      <c r="AAA94" s="6"/>
      <c r="AAB94" s="4"/>
      <c r="AAC94" s="4"/>
      <c r="AAD94" s="4"/>
      <c r="AAE94" s="4"/>
      <c r="AAF94" s="4"/>
      <c r="AAG94" s="5"/>
      <c r="AAH94" s="6" t="s">
        <v>3192</v>
      </c>
      <c r="AAI94" s="4" t="s">
        <v>3193</v>
      </c>
      <c r="AAJ94" s="4"/>
      <c r="AAK94" s="4"/>
      <c r="AAL94" s="4"/>
      <c r="AAM94" s="4"/>
      <c r="AAN94" s="5"/>
      <c r="AAO94" s="6"/>
      <c r="AAP94" s="4"/>
      <c r="AAQ94" s="4"/>
      <c r="AAR94" s="4"/>
      <c r="AAS94" s="4"/>
      <c r="AAT94" s="4"/>
      <c r="AAU94" s="5"/>
      <c r="AAV94" s="6"/>
      <c r="AAW94" s="4"/>
      <c r="AAX94" s="4"/>
      <c r="AAY94" s="4"/>
      <c r="AAZ94" s="4"/>
      <c r="ABA94" s="4"/>
      <c r="ABB94" s="5"/>
      <c r="ABC94" s="6"/>
      <c r="ABD94" s="4"/>
      <c r="ABE94" s="4"/>
      <c r="ABF94" s="4"/>
      <c r="ABG94" s="4"/>
      <c r="ABH94" s="4"/>
      <c r="ABI94" s="5"/>
      <c r="ABJ94" s="6"/>
      <c r="ABK94" s="4"/>
      <c r="ABL94" s="4"/>
      <c r="ABM94" s="4"/>
      <c r="ABN94" s="4"/>
      <c r="ABO94" s="4"/>
      <c r="ABP94" s="5"/>
      <c r="ABQ94" s="6"/>
      <c r="ABR94" s="4"/>
      <c r="ABS94" s="4"/>
      <c r="ABT94" s="4"/>
      <c r="ABU94" s="4"/>
      <c r="ABV94" s="4"/>
      <c r="ABW94" s="5"/>
      <c r="ABX94" s="6"/>
      <c r="ABY94" s="4"/>
      <c r="ABZ94" s="4"/>
      <c r="ACA94" s="4"/>
      <c r="ACB94" s="4"/>
      <c r="ACC94" s="4"/>
      <c r="ACD94" s="5"/>
      <c r="ACE94" s="6"/>
      <c r="ACF94" s="4"/>
      <c r="ACG94" s="4"/>
      <c r="ACH94" s="4"/>
      <c r="ACI94" s="4"/>
      <c r="ACJ94" s="4"/>
      <c r="ACK94" s="5"/>
      <c r="ACL94" s="6"/>
      <c r="ACM94" s="4"/>
      <c r="ACN94" s="4"/>
      <c r="ACO94" s="4"/>
      <c r="ACP94" s="4"/>
      <c r="ACQ94" s="4"/>
      <c r="ACR94" s="5"/>
      <c r="ACS94" s="6"/>
      <c r="ACT94" s="4"/>
      <c r="ACU94" s="4"/>
      <c r="ACV94" s="4"/>
      <c r="ACW94" s="4"/>
      <c r="ACX94" s="4"/>
      <c r="ACY94" s="5"/>
    </row>
    <row r="95" spans="1:779" x14ac:dyDescent="0.25">
      <c r="B95" s="30"/>
      <c r="J95" s="12"/>
      <c r="K95" s="12"/>
      <c r="L95" s="12"/>
      <c r="LL95" s="6"/>
      <c r="LM95" s="4"/>
      <c r="LN95" s="4"/>
      <c r="LO95" s="4"/>
      <c r="LP95" s="4"/>
      <c r="LQ95" s="4"/>
      <c r="LR95" s="5"/>
      <c r="LU95" s="4"/>
      <c r="LV95" s="4"/>
      <c r="LW95" s="4"/>
      <c r="LX95" s="4"/>
      <c r="LY95" s="5"/>
      <c r="LZ95" s="6" t="s">
        <v>2135</v>
      </c>
      <c r="MA95" s="7" t="s">
        <v>2302</v>
      </c>
      <c r="MD95" s="8"/>
      <c r="ME95" s="4"/>
      <c r="MF95" s="4"/>
      <c r="MG95" s="5" t="s">
        <v>2383</v>
      </c>
      <c r="MH95" s="6"/>
      <c r="MI95" s="4"/>
      <c r="MJ95" s="4"/>
      <c r="MK95" s="4"/>
      <c r="ML95" s="4"/>
      <c r="MM95" s="4"/>
      <c r="MN95" s="5"/>
      <c r="MO95" s="6"/>
      <c r="MP95" s="4"/>
      <c r="MQ95" s="4"/>
      <c r="MR95" s="4"/>
      <c r="MS95" s="4"/>
      <c r="MT95" s="4"/>
      <c r="MU95" s="5"/>
      <c r="MV95" s="6"/>
      <c r="MW95" s="4"/>
      <c r="MX95" s="4"/>
      <c r="MY95" s="4"/>
      <c r="MZ95" s="4"/>
      <c r="NA95" s="4"/>
      <c r="NB95" s="5"/>
      <c r="NC95" s="6"/>
      <c r="ND95" s="4"/>
      <c r="NE95" s="4"/>
      <c r="NF95" s="4"/>
      <c r="NG95" s="4"/>
      <c r="NH95" s="4"/>
      <c r="NI95" s="5"/>
      <c r="NJ95" s="6"/>
      <c r="NK95" s="4"/>
      <c r="NL95" s="4"/>
      <c r="NM95" s="4"/>
      <c r="NN95" s="4"/>
      <c r="NO95" s="4"/>
      <c r="NP95" s="5"/>
      <c r="NQ95" s="6"/>
      <c r="NR95" s="4"/>
      <c r="NS95" s="4"/>
      <c r="NT95" s="4"/>
      <c r="NU95" s="4"/>
      <c r="NV95" s="4"/>
      <c r="NW95" s="5"/>
      <c r="NX95" s="6"/>
      <c r="NY95" s="4"/>
      <c r="NZ95" s="4"/>
      <c r="OA95" s="4"/>
      <c r="OB95" s="4"/>
      <c r="OC95" s="4"/>
      <c r="OD95" s="5"/>
      <c r="OE95" s="6"/>
      <c r="OF95" s="4"/>
      <c r="OG95" s="4"/>
      <c r="OH95" s="4"/>
      <c r="OI95" s="4"/>
      <c r="OJ95" s="4"/>
      <c r="OK95" s="5"/>
      <c r="OL95" s="6"/>
      <c r="OM95" s="4"/>
      <c r="ON95" s="4"/>
      <c r="OO95" s="4"/>
      <c r="OP95" s="4"/>
      <c r="OQ95" s="4"/>
      <c r="OR95" s="5"/>
      <c r="OS95" s="6"/>
      <c r="OT95" s="4"/>
      <c r="OU95" s="4"/>
      <c r="OV95" s="4"/>
      <c r="OW95" s="4"/>
      <c r="OX95" s="4"/>
      <c r="OY95" s="5"/>
      <c r="OZ95" s="6"/>
      <c r="PA95" s="4"/>
      <c r="PB95" s="4"/>
      <c r="PC95" s="4"/>
      <c r="PD95" s="4"/>
      <c r="PE95" s="4"/>
      <c r="PF95" s="5"/>
      <c r="PG95" s="6"/>
      <c r="PH95" s="4"/>
      <c r="PI95" s="4"/>
      <c r="PJ95" s="4"/>
      <c r="PK95" s="4"/>
      <c r="PL95" s="4"/>
      <c r="PM95" s="5"/>
      <c r="PN95" s="6"/>
      <c r="PO95" s="4"/>
      <c r="PP95" s="4"/>
      <c r="PQ95" s="4"/>
      <c r="PR95" s="4"/>
      <c r="PS95" s="4"/>
      <c r="PT95" s="5"/>
      <c r="PU95" s="6"/>
      <c r="PV95" s="4"/>
      <c r="PW95" s="4"/>
      <c r="PX95" s="4"/>
      <c r="PY95" s="4"/>
      <c r="PZ95" s="4"/>
      <c r="QA95" s="5"/>
      <c r="QB95" s="6"/>
      <c r="QC95" s="4"/>
      <c r="QD95" s="4"/>
      <c r="QE95" s="4"/>
      <c r="QF95" s="4"/>
      <c r="QG95" s="4"/>
      <c r="QH95" s="5"/>
      <c r="QI95" s="6"/>
      <c r="QJ95" s="4"/>
      <c r="QK95" s="4"/>
      <c r="QL95" s="4"/>
      <c r="QM95" s="4"/>
      <c r="QN95" s="4"/>
      <c r="QO95" s="5"/>
      <c r="QP95" s="6"/>
      <c r="QQ95" s="4"/>
      <c r="QR95" s="4"/>
      <c r="QS95" s="4"/>
      <c r="QT95" s="4"/>
      <c r="QU95" s="4"/>
      <c r="QV95" s="5"/>
      <c r="QW95" s="6"/>
      <c r="QX95" s="4"/>
      <c r="QY95" s="4"/>
      <c r="QZ95" s="4"/>
      <c r="RA95" s="4"/>
      <c r="RB95" s="4"/>
      <c r="RC95" s="5"/>
      <c r="RD95" s="6"/>
      <c r="RE95" s="4"/>
      <c r="RF95" s="4"/>
      <c r="RG95" s="4"/>
      <c r="RH95" s="4"/>
      <c r="RI95" s="4"/>
      <c r="RJ95" s="5"/>
      <c r="RK95" s="6"/>
      <c r="RL95" s="4"/>
      <c r="RM95" s="4"/>
      <c r="RN95" s="4"/>
      <c r="RO95" s="4"/>
      <c r="RP95" s="4"/>
      <c r="RQ95" s="5"/>
      <c r="RR95" s="6"/>
      <c r="RS95" s="4"/>
      <c r="RT95" s="4"/>
      <c r="RU95" s="4"/>
      <c r="RV95" s="4"/>
      <c r="RW95" s="4"/>
      <c r="RX95" s="5"/>
      <c r="RY95" s="6"/>
      <c r="RZ95" s="4"/>
      <c r="SA95" s="4"/>
      <c r="SB95" s="4"/>
      <c r="SC95" s="4"/>
      <c r="SD95" s="4"/>
      <c r="SE95" s="5"/>
      <c r="SF95" s="6"/>
      <c r="SG95" s="4"/>
      <c r="SH95" s="4"/>
      <c r="SI95" s="4"/>
      <c r="SJ95" s="4"/>
      <c r="SK95" s="4"/>
      <c r="SL95" s="5"/>
      <c r="SM95" s="6"/>
      <c r="SN95" s="4"/>
      <c r="SO95" s="4"/>
      <c r="SP95" s="4"/>
      <c r="SQ95" s="4"/>
      <c r="SR95" s="4"/>
      <c r="SS95" s="5"/>
      <c r="ST95" s="6"/>
      <c r="SU95" s="4"/>
      <c r="SV95" s="4"/>
      <c r="SW95" s="4"/>
      <c r="SX95" s="4"/>
      <c r="SY95" s="4"/>
      <c r="SZ95" s="5"/>
      <c r="TA95" s="6"/>
      <c r="TB95" s="4"/>
      <c r="TC95" s="4"/>
      <c r="TD95" s="4"/>
      <c r="TE95" s="4"/>
      <c r="TF95" s="4"/>
      <c r="TG95" s="5"/>
      <c r="TH95" s="6"/>
      <c r="TI95" s="4"/>
      <c r="TJ95" s="4"/>
      <c r="TK95" s="4"/>
      <c r="TL95" s="4"/>
      <c r="TM95" s="4"/>
      <c r="TN95" s="5"/>
      <c r="TO95" s="6"/>
      <c r="TP95" s="4"/>
      <c r="TQ95" s="4"/>
      <c r="TR95" s="4"/>
      <c r="TS95" s="4"/>
      <c r="TT95" s="4"/>
      <c r="TU95" s="5"/>
      <c r="TV95" s="6"/>
      <c r="TW95" s="4"/>
      <c r="TX95" s="4"/>
      <c r="TY95" s="4"/>
      <c r="TZ95" s="4"/>
      <c r="UA95" s="4"/>
      <c r="UB95" s="5"/>
      <c r="UC95" s="6"/>
      <c r="UD95" s="4"/>
      <c r="UE95" s="4"/>
      <c r="UF95" s="4"/>
      <c r="UG95" s="4"/>
      <c r="UH95" s="4"/>
      <c r="UI95" s="5"/>
      <c r="UJ95" s="6"/>
      <c r="UK95" s="4"/>
      <c r="UL95" s="4"/>
      <c r="UM95" s="4"/>
      <c r="UN95" s="4"/>
      <c r="UO95" s="4"/>
      <c r="UP95" s="5"/>
      <c r="UQ95" s="6"/>
      <c r="UR95" s="4"/>
      <c r="US95" s="4"/>
      <c r="UT95" s="4"/>
      <c r="UU95" s="4"/>
      <c r="UV95" s="4"/>
      <c r="UW95" s="5"/>
      <c r="UX95" s="6"/>
      <c r="UY95" s="4"/>
      <c r="UZ95" s="4"/>
      <c r="VA95" s="4"/>
      <c r="VB95" s="4"/>
      <c r="VC95" s="4"/>
      <c r="VD95" s="5"/>
      <c r="VE95" s="6" t="s">
        <v>3094</v>
      </c>
      <c r="VF95" s="4" t="s">
        <v>3095</v>
      </c>
      <c r="VG95" s="4"/>
      <c r="VH95" s="4"/>
      <c r="VI95" s="4"/>
      <c r="VJ95" s="4"/>
      <c r="VK95" s="5"/>
      <c r="VL95" s="6"/>
      <c r="VM95" s="4"/>
      <c r="VN95" s="4"/>
      <c r="VO95" s="4"/>
      <c r="VP95" s="4"/>
      <c r="VQ95" s="4"/>
      <c r="VR95" s="5"/>
      <c r="VS95" s="6"/>
      <c r="VT95" s="4"/>
      <c r="VU95" s="4"/>
      <c r="VV95" s="4"/>
      <c r="VW95" s="4"/>
      <c r="VX95" s="4"/>
      <c r="VY95" s="5"/>
      <c r="VZ95" s="6"/>
      <c r="WA95" s="4"/>
      <c r="WB95" s="4"/>
      <c r="WC95" s="4"/>
      <c r="WD95" s="4"/>
      <c r="WE95" s="4"/>
      <c r="WF95" s="5"/>
      <c r="WG95" s="6"/>
      <c r="WH95" s="4"/>
      <c r="WI95" s="4"/>
      <c r="WJ95" s="4"/>
      <c r="WK95" s="4"/>
      <c r="WL95" s="4"/>
      <c r="WM95" s="5"/>
      <c r="WN95" s="6"/>
      <c r="WO95" s="4"/>
      <c r="WP95" s="4"/>
      <c r="WQ95" s="4"/>
      <c r="WR95" s="4"/>
      <c r="WS95" s="4"/>
      <c r="WT95" s="5"/>
      <c r="WU95" s="6"/>
      <c r="WV95" s="4"/>
      <c r="WW95" s="4"/>
      <c r="WX95" s="4"/>
      <c r="WY95" s="4"/>
      <c r="WZ95" s="4"/>
      <c r="XA95" s="5"/>
      <c r="XB95" s="6"/>
      <c r="XC95" s="4"/>
      <c r="XD95" s="4"/>
      <c r="XE95" s="4"/>
      <c r="XF95" s="4"/>
      <c r="XG95" s="4"/>
      <c r="XH95" s="5"/>
      <c r="XI95" s="6"/>
      <c r="XJ95" s="4"/>
      <c r="XK95" s="4"/>
      <c r="XL95" s="4"/>
      <c r="XM95" s="4"/>
      <c r="XN95" s="4"/>
      <c r="XO95" s="5"/>
      <c r="XP95" s="6"/>
      <c r="XQ95" s="4"/>
      <c r="XR95" s="4"/>
      <c r="XS95" s="4"/>
      <c r="XT95" s="4"/>
      <c r="XU95" s="4"/>
      <c r="XV95" s="5"/>
      <c r="XW95" s="6"/>
      <c r="XX95" s="4"/>
      <c r="XY95" s="4"/>
      <c r="XZ95" s="4"/>
      <c r="YA95" s="4"/>
      <c r="YB95" s="4"/>
      <c r="YC95" s="5"/>
      <c r="YD95" s="6"/>
      <c r="YE95" s="4"/>
      <c r="YF95" s="4"/>
      <c r="YG95" s="4"/>
      <c r="YH95" s="4"/>
      <c r="YI95" s="4"/>
      <c r="YJ95" s="5"/>
      <c r="YK95" s="6" t="s">
        <v>2966</v>
      </c>
      <c r="YL95" s="7" t="s">
        <v>2967</v>
      </c>
      <c r="YM95" s="4"/>
      <c r="YN95" s="4"/>
      <c r="YO95" s="4"/>
      <c r="YP95" s="4"/>
      <c r="YQ95" s="5" t="s">
        <v>2806</v>
      </c>
      <c r="YR95" s="6"/>
      <c r="YS95" s="4"/>
      <c r="YT95" s="4"/>
      <c r="YU95" s="4"/>
      <c r="YV95" s="4"/>
      <c r="YW95" s="4"/>
      <c r="YX95" s="5"/>
      <c r="YY95" s="6"/>
      <c r="YZ95" s="4"/>
      <c r="ZA95" s="4"/>
      <c r="ZB95" s="4"/>
      <c r="ZC95" s="4"/>
      <c r="ZD95" s="4"/>
      <c r="ZE95" s="5"/>
      <c r="ZF95" s="6"/>
      <c r="ZG95" s="4"/>
      <c r="ZH95" s="4"/>
      <c r="ZI95" s="4"/>
      <c r="ZJ95" s="4"/>
      <c r="ZK95" s="4"/>
      <c r="ZL95" s="5"/>
      <c r="ZM95" s="6"/>
      <c r="ZN95" s="4"/>
      <c r="ZO95" s="4"/>
      <c r="ZP95" s="4"/>
      <c r="ZQ95" s="4"/>
      <c r="ZR95" s="4"/>
      <c r="ZS95" s="5"/>
      <c r="ZT95" s="6"/>
      <c r="ZU95" s="4"/>
      <c r="ZV95" s="4"/>
      <c r="ZW95" s="4"/>
      <c r="ZX95" s="4"/>
      <c r="ZY95" s="4"/>
      <c r="ZZ95" s="5"/>
      <c r="AAA95" s="6"/>
      <c r="AAB95" s="4"/>
      <c r="AAC95" s="4"/>
      <c r="AAD95" s="4"/>
      <c r="AAE95" s="4"/>
      <c r="AAF95" s="4"/>
      <c r="AAG95" s="5"/>
      <c r="AAH95" s="6" t="s">
        <v>1881</v>
      </c>
      <c r="AAI95" s="4" t="s">
        <v>1882</v>
      </c>
      <c r="AAJ95" s="4"/>
      <c r="AAK95" s="4"/>
      <c r="AAL95" s="4"/>
      <c r="AAM95" s="4"/>
      <c r="AAN95" s="5"/>
      <c r="AAO95" s="6"/>
      <c r="AAP95" s="4"/>
      <c r="AAQ95" s="4"/>
      <c r="AAR95" s="4"/>
      <c r="AAS95" s="4"/>
      <c r="AAT95" s="4"/>
      <c r="AAU95" s="5"/>
      <c r="AAV95" s="6"/>
      <c r="AAW95" s="4"/>
      <c r="AAX95" s="4"/>
      <c r="AAY95" s="4"/>
      <c r="AAZ95" s="4"/>
      <c r="ABA95" s="4"/>
      <c r="ABB95" s="5"/>
      <c r="ABC95" s="6"/>
      <c r="ABD95" s="4"/>
      <c r="ABE95" s="4"/>
      <c r="ABF95" s="4"/>
      <c r="ABG95" s="4"/>
      <c r="ABH95" s="4"/>
      <c r="ABI95" s="5"/>
      <c r="ABJ95" s="6"/>
      <c r="ABK95" s="4"/>
      <c r="ABL95" s="4"/>
      <c r="ABM95" s="4"/>
      <c r="ABN95" s="4"/>
      <c r="ABO95" s="4"/>
      <c r="ABP95" s="5"/>
      <c r="ABQ95" s="6"/>
      <c r="ABR95" s="4"/>
      <c r="ABS95" s="4"/>
      <c r="ABT95" s="4"/>
      <c r="ABU95" s="4"/>
      <c r="ABV95" s="4"/>
      <c r="ABW95" s="5"/>
      <c r="ABX95" s="6"/>
      <c r="ABY95" s="4"/>
      <c r="ABZ95" s="4"/>
      <c r="ACA95" s="4"/>
      <c r="ACB95" s="4"/>
      <c r="ACC95" s="4"/>
      <c r="ACD95" s="5"/>
      <c r="ACE95" s="6"/>
      <c r="ACF95" s="4"/>
      <c r="ACG95" s="4"/>
      <c r="ACH95" s="4"/>
      <c r="ACI95" s="4"/>
      <c r="ACJ95" s="4"/>
      <c r="ACK95" s="5"/>
      <c r="ACL95" s="6"/>
      <c r="ACM95" s="4"/>
      <c r="ACN95" s="4"/>
      <c r="ACO95" s="4"/>
      <c r="ACP95" s="4"/>
      <c r="ACQ95" s="4"/>
      <c r="ACR95" s="5"/>
      <c r="ACS95" s="6"/>
      <c r="ACT95" s="4"/>
      <c r="ACU95" s="4"/>
      <c r="ACV95" s="4"/>
      <c r="ACW95" s="4"/>
      <c r="ACX95" s="4"/>
      <c r="ACY95" s="5"/>
    </row>
    <row r="96" spans="1:779" x14ac:dyDescent="0.25">
      <c r="B96" s="30"/>
      <c r="J96" s="12"/>
      <c r="K96" s="12"/>
      <c r="L96" s="12"/>
      <c r="LL96" s="6"/>
      <c r="LM96" s="4"/>
      <c r="LN96" s="4"/>
      <c r="LO96" s="4"/>
      <c r="LP96" s="4"/>
      <c r="LQ96" s="4"/>
      <c r="LR96" s="5"/>
      <c r="LU96" s="4"/>
      <c r="LV96" s="4"/>
      <c r="LW96" s="4"/>
      <c r="LX96" s="4"/>
      <c r="LY96" s="5"/>
      <c r="LZ96" s="6" t="s">
        <v>2802</v>
      </c>
      <c r="MA96" s="7" t="s">
        <v>2774</v>
      </c>
      <c r="MB96" s="4"/>
      <c r="MC96" s="7"/>
      <c r="MD96" s="8"/>
      <c r="ME96" s="4"/>
      <c r="MF96" s="4"/>
      <c r="MG96" s="5" t="s">
        <v>2677</v>
      </c>
      <c r="MH96" s="6"/>
      <c r="MI96" s="4"/>
      <c r="MJ96" s="4"/>
      <c r="MK96" s="4"/>
      <c r="ML96" s="4"/>
      <c r="MM96" s="4"/>
      <c r="MN96" s="5"/>
      <c r="MO96" s="6"/>
      <c r="MP96" s="4"/>
      <c r="MQ96" s="4"/>
      <c r="MR96" s="4"/>
      <c r="MS96" s="4"/>
      <c r="MT96" s="4"/>
      <c r="MU96" s="5"/>
      <c r="MV96" s="6"/>
      <c r="MW96" s="4"/>
      <c r="MX96" s="4"/>
      <c r="MY96" s="4"/>
      <c r="MZ96" s="4"/>
      <c r="NA96" s="4"/>
      <c r="NB96" s="5"/>
      <c r="NC96" s="6"/>
      <c r="ND96" s="4"/>
      <c r="NE96" s="4"/>
      <c r="NF96" s="4"/>
      <c r="NG96" s="4"/>
      <c r="NH96" s="4"/>
      <c r="NI96" s="5"/>
      <c r="NJ96" s="6"/>
      <c r="NK96" s="4"/>
      <c r="NL96" s="4"/>
      <c r="NM96" s="4"/>
      <c r="NN96" s="4"/>
      <c r="NO96" s="4"/>
      <c r="NP96" s="5"/>
      <c r="NQ96" s="6"/>
      <c r="NR96" s="4"/>
      <c r="NS96" s="4"/>
      <c r="NT96" s="4"/>
      <c r="NU96" s="4"/>
      <c r="NV96" s="4"/>
      <c r="NW96" s="5"/>
      <c r="NX96" s="6"/>
      <c r="NY96" s="4"/>
      <c r="NZ96" s="4"/>
      <c r="OA96" s="4"/>
      <c r="OB96" s="4"/>
      <c r="OC96" s="4"/>
      <c r="OD96" s="5"/>
      <c r="OE96" s="6"/>
      <c r="OF96" s="4"/>
      <c r="OG96" s="4"/>
      <c r="OH96" s="4"/>
      <c r="OI96" s="4"/>
      <c r="OJ96" s="4"/>
      <c r="OK96" s="5"/>
      <c r="OL96" s="6"/>
      <c r="OM96" s="4"/>
      <c r="ON96" s="4"/>
      <c r="OO96" s="4"/>
      <c r="OP96" s="4"/>
      <c r="OQ96" s="4"/>
      <c r="OR96" s="5"/>
      <c r="OS96" s="6"/>
      <c r="OT96" s="4"/>
      <c r="OU96" s="4"/>
      <c r="OV96" s="4"/>
      <c r="OW96" s="4"/>
      <c r="OX96" s="4"/>
      <c r="OY96" s="5"/>
      <c r="OZ96" s="6"/>
      <c r="PA96" s="4"/>
      <c r="PB96" s="4"/>
      <c r="PC96" s="4"/>
      <c r="PD96" s="4"/>
      <c r="PE96" s="4"/>
      <c r="PF96" s="5"/>
      <c r="PG96" s="6"/>
      <c r="PH96" s="4"/>
      <c r="PI96" s="4"/>
      <c r="PJ96" s="4"/>
      <c r="PK96" s="4"/>
      <c r="PL96" s="4"/>
      <c r="PM96" s="5"/>
      <c r="PN96" s="6"/>
      <c r="PO96" s="4"/>
      <c r="PP96" s="4"/>
      <c r="PQ96" s="4"/>
      <c r="PR96" s="4"/>
      <c r="PS96" s="4"/>
      <c r="PT96" s="5"/>
      <c r="PU96" s="6"/>
      <c r="PV96" s="4"/>
      <c r="PW96" s="4"/>
      <c r="PX96" s="4"/>
      <c r="PY96" s="4"/>
      <c r="PZ96" s="4"/>
      <c r="QA96" s="5"/>
      <c r="QB96" s="6"/>
      <c r="QC96" s="4"/>
      <c r="QD96" s="4"/>
      <c r="QE96" s="4"/>
      <c r="QF96" s="4"/>
      <c r="QG96" s="4"/>
      <c r="QH96" s="5"/>
      <c r="QI96" s="6"/>
      <c r="QJ96" s="4"/>
      <c r="QK96" s="4"/>
      <c r="QL96" s="4"/>
      <c r="QM96" s="4"/>
      <c r="QN96" s="4"/>
      <c r="QO96" s="5"/>
      <c r="QP96" s="6"/>
      <c r="QQ96" s="4"/>
      <c r="QR96" s="4"/>
      <c r="QS96" s="4"/>
      <c r="QT96" s="4"/>
      <c r="QU96" s="4"/>
      <c r="QV96" s="5"/>
      <c r="QW96" s="6"/>
      <c r="QX96" s="4"/>
      <c r="QY96" s="4"/>
      <c r="QZ96" s="4"/>
      <c r="RA96" s="4"/>
      <c r="RB96" s="4"/>
      <c r="RC96" s="5"/>
      <c r="RD96" s="6"/>
      <c r="RE96" s="4"/>
      <c r="RF96" s="4"/>
      <c r="RG96" s="4"/>
      <c r="RH96" s="4"/>
      <c r="RI96" s="4"/>
      <c r="RJ96" s="5"/>
      <c r="RK96" s="6"/>
      <c r="RL96" s="4"/>
      <c r="RM96" s="4"/>
      <c r="RN96" s="4"/>
      <c r="RO96" s="4"/>
      <c r="RP96" s="4"/>
      <c r="RQ96" s="5"/>
      <c r="RR96" s="6"/>
      <c r="RS96" s="4"/>
      <c r="RT96" s="4"/>
      <c r="RU96" s="4"/>
      <c r="RV96" s="4"/>
      <c r="RW96" s="4"/>
      <c r="RX96" s="5"/>
      <c r="RY96" s="6"/>
      <c r="RZ96" s="4"/>
      <c r="SA96" s="4"/>
      <c r="SB96" s="4"/>
      <c r="SC96" s="4"/>
      <c r="SD96" s="4"/>
      <c r="SE96" s="5"/>
      <c r="SF96" s="6"/>
      <c r="SG96" s="4"/>
      <c r="SH96" s="4"/>
      <c r="SI96" s="4"/>
      <c r="SJ96" s="4"/>
      <c r="SK96" s="4"/>
      <c r="SL96" s="5"/>
      <c r="SM96" s="6"/>
      <c r="SN96" s="4"/>
      <c r="SO96" s="4"/>
      <c r="SP96" s="4"/>
      <c r="SQ96" s="4"/>
      <c r="SR96" s="4"/>
      <c r="SS96" s="5"/>
      <c r="ST96" s="6"/>
      <c r="SU96" s="4"/>
      <c r="SV96" s="4"/>
      <c r="SW96" s="4"/>
      <c r="SX96" s="4"/>
      <c r="SY96" s="4"/>
      <c r="SZ96" s="5"/>
      <c r="TA96" s="6"/>
      <c r="TB96" s="4"/>
      <c r="TC96" s="4"/>
      <c r="TD96" s="4"/>
      <c r="TE96" s="4"/>
      <c r="TF96" s="4"/>
      <c r="TG96" s="5"/>
      <c r="TH96" s="6"/>
      <c r="TI96" s="4"/>
      <c r="TJ96" s="4"/>
      <c r="TK96" s="4"/>
      <c r="TL96" s="4"/>
      <c r="TM96" s="4"/>
      <c r="TN96" s="5"/>
      <c r="TO96" s="6"/>
      <c r="TP96" s="4"/>
      <c r="TQ96" s="4"/>
      <c r="TR96" s="4"/>
      <c r="TS96" s="4"/>
      <c r="TT96" s="4"/>
      <c r="TU96" s="5"/>
      <c r="TV96" s="6"/>
      <c r="TW96" s="4"/>
      <c r="TX96" s="4"/>
      <c r="TY96" s="4"/>
      <c r="TZ96" s="4"/>
      <c r="UA96" s="4"/>
      <c r="UB96" s="5"/>
      <c r="UC96" s="6"/>
      <c r="UD96" s="4"/>
      <c r="UE96" s="4"/>
      <c r="UF96" s="4"/>
      <c r="UG96" s="4"/>
      <c r="UH96" s="4"/>
      <c r="UI96" s="5"/>
      <c r="UJ96" s="6"/>
      <c r="UK96" s="4"/>
      <c r="UL96" s="4"/>
      <c r="UM96" s="4"/>
      <c r="UN96" s="4"/>
      <c r="UO96" s="4"/>
      <c r="UP96" s="5"/>
      <c r="UQ96" s="6"/>
      <c r="UR96" s="4"/>
      <c r="US96" s="4"/>
      <c r="UT96" s="4"/>
      <c r="UU96" s="4"/>
      <c r="UV96" s="4"/>
      <c r="UW96" s="5"/>
      <c r="UX96" s="6"/>
      <c r="UY96" s="4"/>
      <c r="UZ96" s="4"/>
      <c r="VA96" s="4"/>
      <c r="VB96" s="4"/>
      <c r="VC96" s="4"/>
      <c r="VD96" s="5"/>
      <c r="VE96" s="6"/>
      <c r="VF96" s="4"/>
      <c r="VG96" s="4"/>
      <c r="VH96" s="4"/>
      <c r="VI96" s="4"/>
      <c r="VJ96" s="4"/>
      <c r="VK96" s="5"/>
      <c r="VL96" s="6"/>
      <c r="VM96" s="4"/>
      <c r="VN96" s="4"/>
      <c r="VO96" s="4"/>
      <c r="VP96" s="4"/>
      <c r="VQ96" s="4"/>
      <c r="VR96" s="5"/>
      <c r="VS96" s="6"/>
      <c r="VT96" s="4"/>
      <c r="VU96" s="4"/>
      <c r="VV96" s="4"/>
      <c r="VW96" s="4"/>
      <c r="VX96" s="4"/>
      <c r="VY96" s="5"/>
      <c r="VZ96" s="6"/>
      <c r="WA96" s="4"/>
      <c r="WB96" s="4"/>
      <c r="WC96" s="4"/>
      <c r="WD96" s="4"/>
      <c r="WE96" s="4"/>
      <c r="WF96" s="5"/>
      <c r="WG96" s="6"/>
      <c r="WH96" s="4"/>
      <c r="WI96" s="4"/>
      <c r="WJ96" s="4"/>
      <c r="WK96" s="4"/>
      <c r="WL96" s="4"/>
      <c r="WM96" s="5"/>
      <c r="WN96" s="6"/>
      <c r="WO96" s="4"/>
      <c r="WP96" s="4"/>
      <c r="WQ96" s="4"/>
      <c r="WR96" s="4"/>
      <c r="WS96" s="4"/>
      <c r="WT96" s="5"/>
      <c r="WU96" s="6"/>
      <c r="WV96" s="4"/>
      <c r="WW96" s="4"/>
      <c r="WX96" s="4"/>
      <c r="WY96" s="4"/>
      <c r="WZ96" s="4"/>
      <c r="XA96" s="5"/>
      <c r="XB96" s="6"/>
      <c r="XC96" s="4"/>
      <c r="XD96" s="4"/>
      <c r="XE96" s="4"/>
      <c r="XF96" s="4"/>
      <c r="XG96" s="4"/>
      <c r="XH96" s="5"/>
      <c r="XI96" s="6"/>
      <c r="XJ96" s="4"/>
      <c r="XK96" s="4"/>
      <c r="XL96" s="4"/>
      <c r="XM96" s="4"/>
      <c r="XN96" s="4"/>
      <c r="XO96" s="5"/>
      <c r="XP96" s="6"/>
      <c r="XQ96" s="4"/>
      <c r="XR96" s="4"/>
      <c r="XS96" s="4"/>
      <c r="XT96" s="4"/>
      <c r="XU96" s="4"/>
      <c r="XV96" s="5"/>
      <c r="XW96" s="6"/>
      <c r="XX96" s="4"/>
      <c r="XY96" s="4"/>
      <c r="XZ96" s="4"/>
      <c r="YA96" s="4"/>
      <c r="YB96" s="4"/>
      <c r="YC96" s="5"/>
      <c r="YD96" s="6"/>
      <c r="YE96" s="4"/>
      <c r="YF96" s="4"/>
      <c r="YG96" s="4"/>
      <c r="YH96" s="4"/>
      <c r="YI96" s="4"/>
      <c r="YJ96" s="5"/>
      <c r="YK96" s="6" t="s">
        <v>2670</v>
      </c>
      <c r="YL96" s="7" t="s">
        <v>2915</v>
      </c>
      <c r="YM96" s="4"/>
      <c r="YN96" s="4"/>
      <c r="YO96" s="4"/>
      <c r="YP96" s="4"/>
      <c r="YQ96" s="5" t="s">
        <v>2914</v>
      </c>
      <c r="YR96" s="6"/>
      <c r="YS96" s="4"/>
      <c r="YT96" s="4"/>
      <c r="YU96" s="4"/>
      <c r="YV96" s="4"/>
      <c r="YW96" s="4"/>
      <c r="YX96" s="5"/>
      <c r="YY96" s="6"/>
      <c r="YZ96" s="4"/>
      <c r="ZA96" s="4"/>
      <c r="ZB96" s="4"/>
      <c r="ZC96" s="4"/>
      <c r="ZD96" s="4"/>
      <c r="ZE96" s="5"/>
      <c r="ZF96" s="6"/>
      <c r="ZG96" s="4"/>
      <c r="ZH96" s="4"/>
      <c r="ZI96" s="4"/>
      <c r="ZJ96" s="4"/>
      <c r="ZK96" s="4"/>
      <c r="ZL96" s="5"/>
      <c r="ZM96" s="6"/>
      <c r="ZN96" s="4"/>
      <c r="ZO96" s="4"/>
      <c r="ZP96" s="4"/>
      <c r="ZQ96" s="4"/>
      <c r="ZR96" s="4"/>
      <c r="ZS96" s="5"/>
      <c r="ZT96" s="6"/>
      <c r="ZU96" s="4"/>
      <c r="ZV96" s="4"/>
      <c r="ZW96" s="4"/>
      <c r="ZX96" s="4"/>
      <c r="ZY96" s="4"/>
      <c r="ZZ96" s="5"/>
      <c r="AAA96" s="6"/>
      <c r="AAB96" s="4"/>
      <c r="AAC96" s="4"/>
      <c r="AAD96" s="4"/>
      <c r="AAE96" s="4"/>
      <c r="AAF96" s="4"/>
      <c r="AAG96" s="5"/>
      <c r="AAH96" s="6"/>
      <c r="AAI96" s="4"/>
      <c r="AAJ96" s="4"/>
      <c r="AAK96" s="4"/>
      <c r="AAL96" s="4"/>
      <c r="AAM96" s="4"/>
      <c r="AAN96" s="5"/>
      <c r="AAO96" s="6"/>
      <c r="AAP96" s="4"/>
      <c r="AAQ96" s="4"/>
      <c r="AAR96" s="4"/>
      <c r="AAS96" s="4"/>
      <c r="AAT96" s="4"/>
      <c r="AAU96" s="5"/>
      <c r="AAV96" s="6"/>
      <c r="AAW96" s="4"/>
      <c r="AAX96" s="4"/>
      <c r="AAY96" s="4"/>
      <c r="AAZ96" s="4"/>
      <c r="ABA96" s="4"/>
      <c r="ABB96" s="5"/>
      <c r="ABC96" s="6"/>
      <c r="ABD96" s="4"/>
      <c r="ABE96" s="4"/>
      <c r="ABF96" s="4"/>
      <c r="ABG96" s="4"/>
      <c r="ABH96" s="4"/>
      <c r="ABI96" s="5"/>
      <c r="ABJ96" s="6"/>
      <c r="ABK96" s="4"/>
      <c r="ABL96" s="4"/>
      <c r="ABM96" s="4"/>
      <c r="ABN96" s="4"/>
      <c r="ABO96" s="4"/>
      <c r="ABP96" s="5"/>
      <c r="ABQ96" s="6"/>
      <c r="ABR96" s="4"/>
      <c r="ABS96" s="4"/>
      <c r="ABT96" s="4"/>
      <c r="ABU96" s="4"/>
      <c r="ABV96" s="4"/>
      <c r="ABW96" s="5"/>
      <c r="ABX96" s="6"/>
      <c r="ABY96" s="4"/>
      <c r="ABZ96" s="4"/>
      <c r="ACA96" s="4"/>
      <c r="ACB96" s="4"/>
      <c r="ACC96" s="4"/>
      <c r="ACD96" s="5"/>
      <c r="ACE96" s="6"/>
      <c r="ACF96" s="4"/>
      <c r="ACG96" s="4"/>
      <c r="ACH96" s="4"/>
      <c r="ACI96" s="4"/>
      <c r="ACJ96" s="4"/>
      <c r="ACK96" s="5"/>
      <c r="ACL96" s="6"/>
      <c r="ACM96" s="4"/>
      <c r="ACN96" s="4"/>
      <c r="ACO96" s="4"/>
      <c r="ACP96" s="4"/>
      <c r="ACQ96" s="4"/>
      <c r="ACR96" s="5"/>
      <c r="ACS96" s="6"/>
      <c r="ACT96" s="4"/>
      <c r="ACU96" s="4"/>
      <c r="ACV96" s="4"/>
      <c r="ACW96" s="4"/>
      <c r="ACX96" s="4"/>
      <c r="ACY96" s="5"/>
    </row>
    <row r="97" spans="2:779" x14ac:dyDescent="0.25">
      <c r="B97" s="30"/>
      <c r="J97" s="12"/>
      <c r="K97" s="12"/>
      <c r="L97" s="12"/>
      <c r="LL97" s="6"/>
      <c r="LM97" s="4"/>
      <c r="LN97" s="4"/>
      <c r="LO97" s="4"/>
      <c r="LP97" s="4"/>
      <c r="LQ97" s="4"/>
      <c r="LR97" s="5"/>
      <c r="LU97" s="4"/>
      <c r="LV97" s="4"/>
      <c r="LW97" s="4"/>
      <c r="LX97" s="4"/>
      <c r="LY97" s="5"/>
      <c r="LZ97" s="6" t="s">
        <v>3257</v>
      </c>
      <c r="MA97" s="7" t="s">
        <v>2451</v>
      </c>
      <c r="MB97" s="4"/>
      <c r="MC97" s="7"/>
      <c r="MD97" s="8"/>
      <c r="ME97" s="4"/>
      <c r="MF97" s="4"/>
      <c r="MG97" s="5"/>
      <c r="MH97" s="6"/>
      <c r="MI97" s="4"/>
      <c r="MJ97" s="4"/>
      <c r="MK97" s="4"/>
      <c r="ML97" s="4"/>
      <c r="MM97" s="4"/>
      <c r="MN97" s="5"/>
      <c r="MO97" s="6"/>
      <c r="MP97" s="4"/>
      <c r="MQ97" s="4"/>
      <c r="MR97" s="4"/>
      <c r="MS97" s="4"/>
      <c r="MT97" s="4"/>
      <c r="MU97" s="5"/>
      <c r="MV97" s="6"/>
      <c r="MW97" s="4"/>
      <c r="MX97" s="4"/>
      <c r="MY97" s="4"/>
      <c r="MZ97" s="4"/>
      <c r="NA97" s="4"/>
      <c r="NB97" s="5"/>
      <c r="NC97" s="6"/>
      <c r="ND97" s="4"/>
      <c r="NE97" s="4"/>
      <c r="NF97" s="4"/>
      <c r="NG97" s="4"/>
      <c r="NH97" s="4"/>
      <c r="NI97" s="5"/>
      <c r="NJ97" s="6"/>
      <c r="NK97" s="4"/>
      <c r="NL97" s="4"/>
      <c r="NM97" s="4"/>
      <c r="NN97" s="4"/>
      <c r="NO97" s="4"/>
      <c r="NP97" s="5"/>
      <c r="NQ97" s="6"/>
      <c r="NR97" s="4"/>
      <c r="NS97" s="4"/>
      <c r="NT97" s="4"/>
      <c r="NU97" s="4"/>
      <c r="NV97" s="4"/>
      <c r="NW97" s="5"/>
      <c r="NX97" s="6"/>
      <c r="NY97" s="4"/>
      <c r="NZ97" s="4"/>
      <c r="OA97" s="4"/>
      <c r="OB97" s="4"/>
      <c r="OC97" s="4"/>
      <c r="OD97" s="5"/>
      <c r="OE97" s="6"/>
      <c r="OF97" s="4"/>
      <c r="OG97" s="4"/>
      <c r="OH97" s="4"/>
      <c r="OI97" s="4"/>
      <c r="OJ97" s="4"/>
      <c r="OK97" s="5"/>
      <c r="OL97" s="6"/>
      <c r="OM97" s="4"/>
      <c r="ON97" s="4"/>
      <c r="OO97" s="4"/>
      <c r="OP97" s="4"/>
      <c r="OQ97" s="4"/>
      <c r="OR97" s="5"/>
      <c r="OS97" s="6"/>
      <c r="OT97" s="4"/>
      <c r="OU97" s="4"/>
      <c r="OV97" s="4"/>
      <c r="OW97" s="4"/>
      <c r="OX97" s="4"/>
      <c r="OY97" s="5"/>
      <c r="OZ97" s="6"/>
      <c r="PA97" s="4"/>
      <c r="PB97" s="4"/>
      <c r="PC97" s="4"/>
      <c r="PD97" s="4"/>
      <c r="PE97" s="4"/>
      <c r="PF97" s="5"/>
      <c r="PG97" s="6"/>
      <c r="PH97" s="4"/>
      <c r="PI97" s="4"/>
      <c r="PJ97" s="4"/>
      <c r="PK97" s="4"/>
      <c r="PL97" s="4"/>
      <c r="PM97" s="5"/>
      <c r="PN97" s="6"/>
      <c r="PO97" s="4"/>
      <c r="PP97" s="4"/>
      <c r="PQ97" s="4"/>
      <c r="PR97" s="4"/>
      <c r="PS97" s="4"/>
      <c r="PT97" s="5"/>
      <c r="PU97" s="6"/>
      <c r="PV97" s="4"/>
      <c r="PW97" s="4"/>
      <c r="PX97" s="4"/>
      <c r="PY97" s="4"/>
      <c r="PZ97" s="4"/>
      <c r="QA97" s="5"/>
      <c r="QB97" s="6"/>
      <c r="QC97" s="4"/>
      <c r="QD97" s="4"/>
      <c r="QE97" s="4"/>
      <c r="QF97" s="4"/>
      <c r="QG97" s="4"/>
      <c r="QH97" s="5"/>
      <c r="QI97" s="6"/>
      <c r="QJ97" s="4"/>
      <c r="QK97" s="4"/>
      <c r="QL97" s="4"/>
      <c r="QM97" s="4"/>
      <c r="QN97" s="4"/>
      <c r="QO97" s="5"/>
      <c r="QP97" s="6"/>
      <c r="QQ97" s="4"/>
      <c r="QR97" s="4"/>
      <c r="QS97" s="4"/>
      <c r="QT97" s="4"/>
      <c r="QU97" s="4"/>
      <c r="QV97" s="5"/>
      <c r="QW97" s="6"/>
      <c r="QX97" s="4"/>
      <c r="QY97" s="4"/>
      <c r="QZ97" s="4"/>
      <c r="RA97" s="4"/>
      <c r="RB97" s="4"/>
      <c r="RC97" s="5"/>
      <c r="RD97" s="6"/>
      <c r="RE97" s="4"/>
      <c r="RF97" s="4"/>
      <c r="RG97" s="4"/>
      <c r="RH97" s="4"/>
      <c r="RI97" s="4"/>
      <c r="RJ97" s="5"/>
      <c r="RK97" s="6"/>
      <c r="RL97" s="4"/>
      <c r="RM97" s="4"/>
      <c r="RN97" s="4"/>
      <c r="RO97" s="4"/>
      <c r="RP97" s="4"/>
      <c r="RQ97" s="5"/>
      <c r="RR97" s="6"/>
      <c r="RS97" s="4"/>
      <c r="RT97" s="4"/>
      <c r="RU97" s="4"/>
      <c r="RV97" s="4"/>
      <c r="RW97" s="4"/>
      <c r="RX97" s="5"/>
      <c r="RY97" s="6"/>
      <c r="RZ97" s="4"/>
      <c r="SA97" s="4"/>
      <c r="SB97" s="4"/>
      <c r="SC97" s="4"/>
      <c r="SD97" s="4"/>
      <c r="SE97" s="5"/>
      <c r="SF97" s="6"/>
      <c r="SG97" s="4"/>
      <c r="SH97" s="4"/>
      <c r="SI97" s="4"/>
      <c r="SJ97" s="4"/>
      <c r="SK97" s="4"/>
      <c r="SL97" s="5"/>
      <c r="SM97" s="6"/>
      <c r="SN97" s="4"/>
      <c r="SO97" s="4"/>
      <c r="SP97" s="4"/>
      <c r="SQ97" s="4"/>
      <c r="SR97" s="4"/>
      <c r="SS97" s="5"/>
      <c r="ST97" s="6"/>
      <c r="SU97" s="4"/>
      <c r="SV97" s="4"/>
      <c r="SW97" s="4"/>
      <c r="SX97" s="4"/>
      <c r="SY97" s="4"/>
      <c r="SZ97" s="5"/>
      <c r="TA97" s="6"/>
      <c r="TB97" s="4"/>
      <c r="TC97" s="4"/>
      <c r="TD97" s="4"/>
      <c r="TE97" s="4"/>
      <c r="TF97" s="4"/>
      <c r="TG97" s="5"/>
      <c r="TH97" s="6"/>
      <c r="TI97" s="4"/>
      <c r="TJ97" s="4"/>
      <c r="TK97" s="4"/>
      <c r="TL97" s="4"/>
      <c r="TM97" s="4"/>
      <c r="TN97" s="5"/>
      <c r="TO97" s="6"/>
      <c r="TP97" s="4"/>
      <c r="TQ97" s="4"/>
      <c r="TR97" s="4"/>
      <c r="TS97" s="4"/>
      <c r="TT97" s="4"/>
      <c r="TU97" s="5"/>
      <c r="TV97" s="6"/>
      <c r="TW97" s="4"/>
      <c r="TX97" s="4"/>
      <c r="TY97" s="4"/>
      <c r="TZ97" s="4"/>
      <c r="UA97" s="4"/>
      <c r="UB97" s="5"/>
      <c r="UC97" s="6"/>
      <c r="UD97" s="4"/>
      <c r="UE97" s="4"/>
      <c r="UF97" s="4"/>
      <c r="UG97" s="4"/>
      <c r="UH97" s="4"/>
      <c r="UI97" s="5"/>
      <c r="UJ97" s="6"/>
      <c r="UK97" s="4"/>
      <c r="UL97" s="4"/>
      <c r="UM97" s="4"/>
      <c r="UN97" s="4"/>
      <c r="UO97" s="4"/>
      <c r="UP97" s="5"/>
      <c r="UQ97" s="6"/>
      <c r="UR97" s="4"/>
      <c r="US97" s="4"/>
      <c r="UT97" s="4"/>
      <c r="UU97" s="4"/>
      <c r="UV97" s="4"/>
      <c r="UW97" s="5"/>
      <c r="UX97" s="6"/>
      <c r="UY97" s="4"/>
      <c r="UZ97" s="4"/>
      <c r="VA97" s="4"/>
      <c r="VB97" s="4"/>
      <c r="VC97" s="4"/>
      <c r="VD97" s="5"/>
      <c r="VE97" s="6"/>
      <c r="VF97" s="4"/>
      <c r="VG97" s="4"/>
      <c r="VH97" s="4"/>
      <c r="VI97" s="4"/>
      <c r="VJ97" s="4"/>
      <c r="VK97" s="5"/>
      <c r="VL97" s="6"/>
      <c r="VM97" s="4"/>
      <c r="VN97" s="4"/>
      <c r="VO97" s="4"/>
      <c r="VP97" s="4"/>
      <c r="VQ97" s="4"/>
      <c r="VR97" s="5"/>
      <c r="VS97" s="6"/>
      <c r="VT97" s="4"/>
      <c r="VU97" s="4"/>
      <c r="VV97" s="4"/>
      <c r="VW97" s="4"/>
      <c r="VX97" s="4"/>
      <c r="VY97" s="5"/>
      <c r="VZ97" s="6"/>
      <c r="WA97" s="4"/>
      <c r="WB97" s="4"/>
      <c r="WC97" s="4"/>
      <c r="WD97" s="4"/>
      <c r="WE97" s="4"/>
      <c r="WF97" s="5"/>
      <c r="WG97" s="6"/>
      <c r="WH97" s="4"/>
      <c r="WI97" s="4"/>
      <c r="WJ97" s="4"/>
      <c r="WK97" s="4"/>
      <c r="WL97" s="4"/>
      <c r="WM97" s="5"/>
      <c r="WN97" s="6"/>
      <c r="WO97" s="4"/>
      <c r="WP97" s="4"/>
      <c r="WQ97" s="4"/>
      <c r="WR97" s="4"/>
      <c r="WS97" s="4"/>
      <c r="WT97" s="5"/>
      <c r="WU97" s="6"/>
      <c r="WV97" s="4"/>
      <c r="WW97" s="4"/>
      <c r="WX97" s="4"/>
      <c r="WY97" s="4"/>
      <c r="WZ97" s="4"/>
      <c r="XA97" s="5"/>
      <c r="XB97" s="6"/>
      <c r="XC97" s="4"/>
      <c r="XD97" s="4"/>
      <c r="XE97" s="4"/>
      <c r="XF97" s="4"/>
      <c r="XG97" s="4"/>
      <c r="XH97" s="5"/>
      <c r="XI97" s="6"/>
      <c r="XJ97" s="4"/>
      <c r="XK97" s="4"/>
      <c r="XL97" s="4"/>
      <c r="XM97" s="4"/>
      <c r="XN97" s="4"/>
      <c r="XO97" s="5"/>
      <c r="XP97" s="6"/>
      <c r="XQ97" s="4"/>
      <c r="XR97" s="4"/>
      <c r="XS97" s="4"/>
      <c r="XT97" s="4"/>
      <c r="XU97" s="4"/>
      <c r="XV97" s="5"/>
      <c r="XW97" s="6"/>
      <c r="XX97" s="4"/>
      <c r="XY97" s="4"/>
      <c r="XZ97" s="4"/>
      <c r="YA97" s="4"/>
      <c r="YB97" s="4"/>
      <c r="YC97" s="5"/>
      <c r="YD97" s="6"/>
      <c r="YE97" s="4"/>
      <c r="YF97" s="4"/>
      <c r="YG97" s="4"/>
      <c r="YH97" s="4"/>
      <c r="YI97" s="4"/>
      <c r="YJ97" s="5"/>
      <c r="YK97" s="6"/>
      <c r="YL97" s="4"/>
      <c r="YM97" s="4"/>
      <c r="YN97" s="4"/>
      <c r="YO97" s="4"/>
      <c r="YP97" s="4"/>
      <c r="YQ97" s="5"/>
      <c r="YR97" s="6"/>
      <c r="YS97" s="4"/>
      <c r="YT97" s="4"/>
      <c r="YU97" s="4"/>
      <c r="YV97" s="4"/>
      <c r="YW97" s="4"/>
      <c r="YX97" s="5"/>
      <c r="YY97" s="6"/>
      <c r="YZ97" s="4"/>
      <c r="ZA97" s="4"/>
      <c r="ZB97" s="4"/>
      <c r="ZC97" s="4"/>
      <c r="ZD97" s="4"/>
      <c r="ZE97" s="5"/>
      <c r="ZF97" s="6"/>
      <c r="ZG97" s="4"/>
      <c r="ZH97" s="4"/>
      <c r="ZI97" s="4"/>
      <c r="ZJ97" s="4"/>
      <c r="ZK97" s="4"/>
      <c r="ZL97" s="5"/>
      <c r="ZM97" s="6"/>
      <c r="ZN97" s="4"/>
      <c r="ZO97" s="4"/>
      <c r="ZP97" s="4"/>
      <c r="ZQ97" s="4"/>
      <c r="ZR97" s="4"/>
      <c r="ZS97" s="5"/>
      <c r="ZT97" s="6"/>
      <c r="ZU97" s="4"/>
      <c r="ZV97" s="4"/>
      <c r="ZW97" s="4"/>
      <c r="ZX97" s="4"/>
      <c r="ZY97" s="4"/>
      <c r="ZZ97" s="5"/>
      <c r="AAA97" s="6"/>
      <c r="AAB97" s="4"/>
      <c r="AAC97" s="4"/>
      <c r="AAD97" s="4"/>
      <c r="AAE97" s="4"/>
      <c r="AAF97" s="4"/>
      <c r="AAG97" s="5"/>
      <c r="AAH97" s="6"/>
      <c r="AAI97" s="4"/>
      <c r="AAJ97" s="4"/>
      <c r="AAK97" s="4"/>
      <c r="AAL97" s="4"/>
      <c r="AAM97" s="4"/>
      <c r="AAN97" s="5"/>
      <c r="AAO97" s="6"/>
      <c r="AAP97" s="4"/>
      <c r="AAQ97" s="4"/>
      <c r="AAR97" s="4"/>
      <c r="AAS97" s="4"/>
      <c r="AAT97" s="4"/>
      <c r="AAU97" s="5"/>
      <c r="AAV97" s="6"/>
      <c r="AAW97" s="4"/>
      <c r="AAX97" s="4"/>
      <c r="AAY97" s="4"/>
      <c r="AAZ97" s="4"/>
      <c r="ABA97" s="4"/>
      <c r="ABB97" s="5"/>
      <c r="ABC97" s="6"/>
      <c r="ABD97" s="4"/>
      <c r="ABE97" s="4"/>
      <c r="ABF97" s="4"/>
      <c r="ABG97" s="4"/>
      <c r="ABH97" s="4"/>
      <c r="ABI97" s="5"/>
      <c r="ABJ97" s="6"/>
      <c r="ABK97" s="4"/>
      <c r="ABL97" s="4"/>
      <c r="ABM97" s="4"/>
      <c r="ABN97" s="4"/>
      <c r="ABO97" s="4"/>
      <c r="ABP97" s="5"/>
      <c r="ABQ97" s="6"/>
      <c r="ABR97" s="4"/>
      <c r="ABS97" s="4"/>
      <c r="ABT97" s="4"/>
      <c r="ABU97" s="4"/>
      <c r="ABV97" s="4"/>
      <c r="ABW97" s="5"/>
      <c r="ABX97" s="6"/>
      <c r="ABY97" s="4"/>
      <c r="ABZ97" s="4"/>
      <c r="ACA97" s="4"/>
      <c r="ACB97" s="4"/>
      <c r="ACC97" s="4"/>
      <c r="ACD97" s="5"/>
      <c r="ACE97" s="6"/>
      <c r="ACF97" s="4"/>
      <c r="ACG97" s="4"/>
      <c r="ACH97" s="4"/>
      <c r="ACI97" s="4"/>
      <c r="ACJ97" s="4"/>
      <c r="ACK97" s="5"/>
      <c r="ACL97" s="6"/>
      <c r="ACM97" s="4"/>
      <c r="ACN97" s="4"/>
      <c r="ACO97" s="4"/>
      <c r="ACP97" s="4"/>
      <c r="ACQ97" s="4"/>
      <c r="ACR97" s="5"/>
      <c r="ACS97" s="6"/>
      <c r="ACT97" s="4"/>
      <c r="ACU97" s="4"/>
      <c r="ACV97" s="4"/>
      <c r="ACW97" s="4"/>
      <c r="ACX97" s="4"/>
      <c r="ACY97" s="5"/>
    </row>
    <row r="98" spans="2:779" x14ac:dyDescent="0.25">
      <c r="B98" s="29">
        <v>95005917</v>
      </c>
      <c r="C98">
        <v>59</v>
      </c>
      <c r="D98" t="s">
        <v>2121</v>
      </c>
      <c r="F98" s="23" t="s">
        <v>1791</v>
      </c>
      <c r="I98">
        <v>1</v>
      </c>
      <c r="J98" s="19">
        <v>34559</v>
      </c>
      <c r="K98" s="19"/>
      <c r="L98" s="19"/>
      <c r="LL98" s="6"/>
      <c r="LM98" s="4"/>
      <c r="LN98" s="4"/>
      <c r="LO98" s="4"/>
      <c r="LP98" s="4"/>
      <c r="LQ98" s="4"/>
      <c r="LR98" s="5"/>
      <c r="LS98" s="6"/>
      <c r="LT98" s="4"/>
      <c r="LU98" s="4"/>
      <c r="LV98" s="4"/>
      <c r="LW98" s="4"/>
      <c r="LX98" s="4"/>
      <c r="LY98" s="5"/>
      <c r="LZ98" s="6" t="s">
        <v>2780</v>
      </c>
      <c r="MA98" s="7" t="s">
        <v>2234</v>
      </c>
      <c r="MB98" s="4"/>
      <c r="MC98" s="4"/>
      <c r="MD98" s="8"/>
      <c r="ME98" s="4"/>
      <c r="MF98" s="4"/>
      <c r="MG98" s="5"/>
      <c r="MH98" s="6"/>
      <c r="MI98" s="4"/>
      <c r="MJ98" s="4"/>
      <c r="MK98" s="4"/>
      <c r="ML98" s="4"/>
      <c r="MM98" s="4"/>
      <c r="MN98" s="5"/>
      <c r="MO98" s="6"/>
      <c r="MP98" s="4"/>
      <c r="MQ98" s="4"/>
      <c r="MR98" s="4"/>
      <c r="MS98" s="4"/>
      <c r="MT98" s="4"/>
      <c r="MU98" s="5"/>
      <c r="MV98" s="6"/>
      <c r="MW98" s="4"/>
      <c r="MX98" s="4"/>
      <c r="MY98" s="4"/>
      <c r="MZ98" s="4"/>
      <c r="NA98" s="4"/>
      <c r="NB98" s="5"/>
      <c r="NC98" s="6" t="s">
        <v>2786</v>
      </c>
      <c r="ND98" s="4" t="s">
        <v>2787</v>
      </c>
      <c r="NE98" s="4"/>
      <c r="NF98" s="4"/>
      <c r="NG98" s="4"/>
      <c r="NH98" s="4"/>
      <c r="NI98" s="5"/>
      <c r="NJ98" s="6"/>
      <c r="NK98" s="4"/>
      <c r="NL98" s="4"/>
      <c r="NM98" s="4"/>
      <c r="NN98" s="4"/>
      <c r="NO98" s="4"/>
      <c r="NP98" s="5"/>
      <c r="NQ98" s="6"/>
      <c r="NR98" s="4"/>
      <c r="NS98" s="4"/>
      <c r="NT98" s="4"/>
      <c r="NU98" s="4"/>
      <c r="NV98" s="4"/>
      <c r="NW98" s="5"/>
      <c r="NX98" s="6"/>
      <c r="NY98" s="4"/>
      <c r="NZ98" s="4"/>
      <c r="OA98" s="4"/>
      <c r="OB98" s="4"/>
      <c r="OC98" s="4"/>
      <c r="OD98" s="5"/>
      <c r="OE98" s="6"/>
      <c r="OF98" s="4"/>
      <c r="OG98" s="4"/>
      <c r="OH98" s="4"/>
      <c r="OI98" s="4"/>
      <c r="OJ98" s="4"/>
      <c r="OK98" s="5"/>
      <c r="OL98" s="6"/>
      <c r="OM98" s="4"/>
      <c r="ON98" s="4"/>
      <c r="OO98" s="4"/>
      <c r="OP98" s="4"/>
      <c r="OQ98" s="4"/>
      <c r="OR98" s="5"/>
      <c r="OS98" s="6"/>
      <c r="OT98" s="4"/>
      <c r="OU98" s="4"/>
      <c r="OV98" s="4"/>
      <c r="OW98" s="4"/>
      <c r="OX98" s="4"/>
      <c r="OY98" s="5"/>
      <c r="OZ98" s="6"/>
      <c r="PA98" s="4"/>
      <c r="PB98" s="4"/>
      <c r="PC98" s="4"/>
      <c r="PD98" s="4"/>
      <c r="PE98" s="4"/>
      <c r="PF98" s="5"/>
      <c r="PG98" s="6"/>
      <c r="PH98" s="4"/>
      <c r="PI98" s="4"/>
      <c r="PJ98" s="4"/>
      <c r="PK98" s="4"/>
      <c r="PL98" s="4"/>
      <c r="PM98" s="5"/>
      <c r="PN98" s="6"/>
      <c r="PO98" s="4"/>
      <c r="PP98" s="4"/>
      <c r="PQ98" s="4"/>
      <c r="PR98" s="4"/>
      <c r="PS98" s="4"/>
      <c r="PT98" s="5"/>
      <c r="PU98" s="6"/>
      <c r="PV98" s="4"/>
      <c r="PW98" s="4"/>
      <c r="PX98" s="4"/>
      <c r="PY98" s="4"/>
      <c r="PZ98" s="4"/>
      <c r="QA98" s="5"/>
      <c r="QB98" s="6" t="s">
        <v>3195</v>
      </c>
      <c r="QC98" s="4" t="s">
        <v>3043</v>
      </c>
      <c r="QD98" s="4"/>
      <c r="QE98" s="4"/>
      <c r="QF98" s="4"/>
      <c r="QG98" s="4"/>
      <c r="QH98" s="5"/>
      <c r="QI98" s="6"/>
      <c r="QJ98" s="4"/>
      <c r="QK98" s="4"/>
      <c r="QL98" s="4"/>
      <c r="QM98" s="4"/>
      <c r="QN98" s="4"/>
      <c r="QO98" s="5"/>
      <c r="QP98" s="6"/>
      <c r="QQ98" s="4"/>
      <c r="QR98" s="4"/>
      <c r="QS98" s="4"/>
      <c r="QT98" s="4"/>
      <c r="QU98" s="4"/>
      <c r="QV98" s="5"/>
      <c r="QW98" s="6"/>
      <c r="QX98" s="4"/>
      <c r="QY98" s="4"/>
      <c r="QZ98" s="4"/>
      <c r="RA98" s="4"/>
      <c r="RB98" s="4"/>
      <c r="RC98" s="5"/>
      <c r="RD98" s="6"/>
      <c r="RE98" s="4"/>
      <c r="RF98" s="4"/>
      <c r="RG98" s="4"/>
      <c r="RH98" s="4"/>
      <c r="RI98" s="4"/>
      <c r="RJ98" s="5"/>
      <c r="RK98" s="6"/>
      <c r="RL98" s="4"/>
      <c r="RM98" s="4"/>
      <c r="RN98" s="4"/>
      <c r="RO98" s="4"/>
      <c r="RP98" s="4"/>
      <c r="RQ98" s="5"/>
      <c r="RR98" s="6"/>
      <c r="RS98" s="4"/>
      <c r="RT98" s="4"/>
      <c r="RU98" s="4"/>
      <c r="RV98" s="4"/>
      <c r="RW98" s="4"/>
      <c r="RX98" s="5"/>
      <c r="RY98" s="6"/>
      <c r="RZ98" s="4"/>
      <c r="SA98" s="4"/>
      <c r="SB98" s="4"/>
      <c r="SC98" s="4"/>
      <c r="SD98" s="4"/>
      <c r="SE98" s="5"/>
      <c r="SF98" s="6"/>
      <c r="SG98" s="4"/>
      <c r="SH98" s="4"/>
      <c r="SI98" s="4"/>
      <c r="SJ98" s="4"/>
      <c r="SK98" s="4"/>
      <c r="SL98" s="5"/>
      <c r="SM98" s="6"/>
      <c r="SN98" s="4"/>
      <c r="SO98" s="4"/>
      <c r="SP98" s="4"/>
      <c r="SQ98" s="4"/>
      <c r="SR98" s="4"/>
      <c r="SS98" s="5"/>
      <c r="ST98" s="6"/>
      <c r="SU98" s="4"/>
      <c r="SV98" s="4"/>
      <c r="SW98" s="4"/>
      <c r="SX98" s="4"/>
      <c r="SY98" s="4"/>
      <c r="SZ98" s="5"/>
      <c r="TA98" s="6"/>
      <c r="TB98" s="4"/>
      <c r="TC98" s="4"/>
      <c r="TD98" s="4"/>
      <c r="TE98" s="4"/>
      <c r="TF98" s="4"/>
      <c r="TG98" s="5"/>
      <c r="TH98" s="6"/>
      <c r="TI98" s="4"/>
      <c r="TJ98" s="4"/>
      <c r="TK98" s="4"/>
      <c r="TL98" s="4"/>
      <c r="TM98" s="4"/>
      <c r="TN98" s="5"/>
      <c r="TO98" s="6"/>
      <c r="TP98" s="4"/>
      <c r="TQ98" s="4"/>
      <c r="TR98" s="4"/>
      <c r="TS98" s="4"/>
      <c r="TT98" s="4"/>
      <c r="TU98" s="5"/>
      <c r="TV98" s="6"/>
      <c r="TW98" s="4"/>
      <c r="TX98" s="4"/>
      <c r="TY98" s="4"/>
      <c r="TZ98" s="4"/>
      <c r="UA98" s="4"/>
      <c r="UB98" s="5"/>
      <c r="UC98" s="6"/>
      <c r="UD98" s="4"/>
      <c r="UE98" s="4"/>
      <c r="UF98" s="4"/>
      <c r="UG98" s="4"/>
      <c r="UH98" s="4"/>
      <c r="UI98" s="5"/>
      <c r="UJ98" s="6"/>
      <c r="UK98" s="4"/>
      <c r="UL98" s="4"/>
      <c r="UM98" s="4"/>
      <c r="UN98" s="4"/>
      <c r="UO98" s="4"/>
      <c r="UP98" s="5"/>
      <c r="UQ98" s="6"/>
      <c r="UR98" s="4"/>
      <c r="US98" s="4"/>
      <c r="UT98" s="4"/>
      <c r="UU98" s="4"/>
      <c r="UV98" s="4"/>
      <c r="UW98" s="5"/>
      <c r="UX98" s="6"/>
      <c r="UY98" s="4"/>
      <c r="UZ98" s="4"/>
      <c r="VA98" s="4"/>
      <c r="VB98" s="4"/>
      <c r="VC98" s="4"/>
      <c r="VD98" s="5"/>
      <c r="VE98" s="6" t="s">
        <v>3326</v>
      </c>
      <c r="VF98" s="4" t="s">
        <v>2785</v>
      </c>
      <c r="VG98" s="4"/>
      <c r="VH98" s="4"/>
      <c r="VI98" s="4"/>
      <c r="VJ98" s="4"/>
      <c r="VK98" s="5"/>
      <c r="VL98" s="6"/>
      <c r="VM98" s="4"/>
      <c r="VN98" s="4"/>
      <c r="VO98" s="4"/>
      <c r="VP98" s="4"/>
      <c r="VQ98" s="4"/>
      <c r="VR98" s="5"/>
      <c r="VS98" s="6"/>
      <c r="VT98" s="4"/>
      <c r="VU98" s="4"/>
      <c r="VV98" s="4"/>
      <c r="VW98" s="4"/>
      <c r="VX98" s="4"/>
      <c r="VY98" s="5"/>
      <c r="VZ98" s="6"/>
      <c r="WA98" s="4"/>
      <c r="WB98" s="4"/>
      <c r="WC98" s="4"/>
      <c r="WD98" s="4"/>
      <c r="WE98" s="4"/>
      <c r="WF98" s="5"/>
      <c r="WG98" s="6"/>
      <c r="WH98" s="4"/>
      <c r="WI98" s="4"/>
      <c r="WJ98" s="4"/>
      <c r="WK98" s="4"/>
      <c r="WL98" s="4"/>
      <c r="WM98" s="5"/>
      <c r="WN98" s="6"/>
      <c r="WO98" s="4"/>
      <c r="WP98" s="4"/>
      <c r="WQ98" s="4"/>
      <c r="WR98" s="4"/>
      <c r="WS98" s="4"/>
      <c r="WT98" s="5"/>
      <c r="WU98" s="6"/>
      <c r="WV98" s="4"/>
      <c r="WW98" s="4"/>
      <c r="WX98" s="4"/>
      <c r="WY98" s="4"/>
      <c r="WZ98" s="4"/>
      <c r="XA98" s="5"/>
      <c r="XB98" s="6"/>
      <c r="XC98" s="4"/>
      <c r="XD98" s="4"/>
      <c r="XE98" s="4"/>
      <c r="XF98" s="4"/>
      <c r="XG98" s="4"/>
      <c r="XH98" s="5"/>
      <c r="XI98" s="6" t="s">
        <v>3258</v>
      </c>
      <c r="XJ98" s="4" t="s">
        <v>3259</v>
      </c>
      <c r="XK98" s="4"/>
      <c r="XL98" s="4"/>
      <c r="XM98" s="4"/>
      <c r="XN98" s="4"/>
      <c r="XO98" s="5"/>
      <c r="XP98" s="6" t="s">
        <v>2368</v>
      </c>
      <c r="XQ98" s="4" t="s">
        <v>2960</v>
      </c>
      <c r="XR98" s="4"/>
      <c r="XS98" s="4"/>
      <c r="XT98" s="4"/>
      <c r="XU98" s="4"/>
      <c r="XV98" s="5"/>
      <c r="XW98" s="6"/>
      <c r="XX98" s="4"/>
      <c r="XY98" s="4"/>
      <c r="XZ98" s="4"/>
      <c r="YA98" s="4"/>
      <c r="YB98" s="4"/>
      <c r="YC98" s="5"/>
      <c r="YD98" s="6"/>
      <c r="YE98" s="4"/>
      <c r="YF98" s="4"/>
      <c r="YG98" s="4"/>
      <c r="YH98" s="4"/>
      <c r="YI98" s="4"/>
      <c r="YJ98" s="5"/>
      <c r="YK98" s="6" t="s">
        <v>3107</v>
      </c>
      <c r="YL98" s="7" t="s">
        <v>2742</v>
      </c>
      <c r="YM98" s="4"/>
      <c r="YN98" s="4"/>
      <c r="YO98" s="4"/>
      <c r="YP98" s="4"/>
      <c r="YQ98" s="5" t="s">
        <v>3014</v>
      </c>
      <c r="YR98" s="6"/>
      <c r="YS98" s="4"/>
      <c r="YT98" s="4"/>
      <c r="YU98" s="4"/>
      <c r="YV98" s="4"/>
      <c r="YW98" s="4"/>
      <c r="YX98" s="5"/>
      <c r="YY98" s="6"/>
      <c r="YZ98" s="4"/>
      <c r="ZA98" s="4"/>
      <c r="ZB98" s="4"/>
      <c r="ZC98" s="4"/>
      <c r="ZD98" s="4"/>
      <c r="ZE98" s="5"/>
      <c r="ZF98" s="6"/>
      <c r="ZG98" s="4"/>
      <c r="ZH98" s="4"/>
      <c r="ZI98" s="4"/>
      <c r="ZJ98" s="4"/>
      <c r="ZK98" s="4"/>
      <c r="ZL98" s="5"/>
      <c r="ZM98" s="6"/>
      <c r="ZN98" s="4"/>
      <c r="ZO98" s="4"/>
      <c r="ZP98" s="4"/>
      <c r="ZQ98" s="4"/>
      <c r="ZR98" s="4"/>
      <c r="ZS98" s="5"/>
      <c r="ZT98" s="6"/>
      <c r="ZU98" s="4"/>
      <c r="ZV98" s="4"/>
      <c r="ZW98" s="4"/>
      <c r="ZX98" s="4"/>
      <c r="ZY98" s="4"/>
      <c r="ZZ98" s="5"/>
      <c r="AAA98" s="6"/>
      <c r="AAB98" s="4"/>
      <c r="AAC98" s="4"/>
      <c r="AAD98" s="4"/>
      <c r="AAE98" s="4"/>
      <c r="AAF98" s="4"/>
      <c r="AAG98" s="5"/>
      <c r="AAH98" s="6"/>
      <c r="AAI98" s="4"/>
      <c r="AAJ98" s="4"/>
      <c r="AAK98" s="4"/>
      <c r="AAL98" s="4"/>
      <c r="AAM98" s="4"/>
      <c r="AAN98" s="5"/>
      <c r="AAO98" s="6"/>
      <c r="AAP98" s="4"/>
      <c r="AAQ98" s="4"/>
      <c r="AAR98" s="4"/>
      <c r="AAS98" s="4"/>
      <c r="AAT98" s="4"/>
      <c r="AAU98" s="5"/>
      <c r="AAV98" s="6"/>
      <c r="AAW98" s="4"/>
      <c r="AAX98" s="4"/>
      <c r="AAY98" s="4"/>
      <c r="AAZ98" s="4"/>
      <c r="ABA98" s="4"/>
      <c r="ABB98" s="5"/>
      <c r="ABC98" s="6"/>
      <c r="ABD98" s="4"/>
      <c r="ABE98" s="4"/>
      <c r="ABF98" s="4"/>
      <c r="ABG98" s="4"/>
      <c r="ABH98" s="4"/>
      <c r="ABI98" s="5"/>
      <c r="ABJ98" s="6"/>
      <c r="ABK98" s="4"/>
      <c r="ABL98" s="4"/>
      <c r="ABM98" s="4"/>
      <c r="ABN98" s="4"/>
      <c r="ABO98" s="4"/>
      <c r="ABP98" s="5"/>
      <c r="ABQ98" s="6"/>
      <c r="ABR98" s="4"/>
      <c r="ABS98" s="4"/>
      <c r="ABT98" s="4"/>
      <c r="ABU98" s="4"/>
      <c r="ABV98" s="4"/>
      <c r="ABW98" s="5"/>
      <c r="ABX98" s="6"/>
      <c r="ABY98" s="4"/>
      <c r="ABZ98" s="4"/>
      <c r="ACA98" s="4"/>
      <c r="ACB98" s="4"/>
      <c r="ACC98" s="4"/>
      <c r="ACD98" s="5"/>
      <c r="ACE98" s="6"/>
      <c r="ACF98" s="4"/>
      <c r="ACG98" s="4"/>
      <c r="ACH98" s="4"/>
      <c r="ACI98" s="4"/>
      <c r="ACJ98" s="4"/>
      <c r="ACK98" s="5"/>
      <c r="ACL98" s="6" t="s">
        <v>3040</v>
      </c>
      <c r="ACM98" s="4" t="s">
        <v>3041</v>
      </c>
      <c r="ACN98" s="4"/>
      <c r="ACO98" s="4"/>
      <c r="ACP98" s="4"/>
      <c r="ACQ98" s="4"/>
      <c r="ACR98" s="5"/>
      <c r="ACS98" s="6" t="s">
        <v>3016</v>
      </c>
      <c r="ACT98" s="4" t="s">
        <v>3017</v>
      </c>
      <c r="ACU98" s="4"/>
      <c r="ACV98" s="4"/>
      <c r="ACW98" s="4"/>
      <c r="ACX98" s="4"/>
      <c r="ACY98" s="5" t="s">
        <v>3018</v>
      </c>
    </row>
    <row r="99" spans="2:779" x14ac:dyDescent="0.25">
      <c r="B99" s="30"/>
      <c r="J99" s="12"/>
      <c r="K99" s="12"/>
      <c r="L99" s="12"/>
      <c r="LL99" s="6"/>
      <c r="LM99" s="4"/>
      <c r="LN99" s="4"/>
      <c r="LO99" s="4"/>
      <c r="LP99" s="4"/>
      <c r="LQ99" s="4"/>
      <c r="LR99" s="5"/>
      <c r="LS99" s="6"/>
      <c r="LT99" s="4"/>
      <c r="LU99" s="4"/>
      <c r="LV99" s="4"/>
      <c r="LW99" s="4"/>
      <c r="LX99" s="4"/>
      <c r="LY99" s="5"/>
      <c r="LZ99" s="6" t="s">
        <v>2532</v>
      </c>
      <c r="MA99" s="7" t="s">
        <v>2453</v>
      </c>
      <c r="MB99" s="4"/>
      <c r="MC99" s="4"/>
      <c r="MD99" s="8"/>
      <c r="ME99" s="4"/>
      <c r="MF99" s="4"/>
      <c r="MG99" s="5"/>
      <c r="MH99" s="6"/>
      <c r="MI99" s="4"/>
      <c r="MJ99" s="4"/>
      <c r="MK99" s="4"/>
      <c r="ML99" s="4"/>
      <c r="MM99" s="4"/>
      <c r="MN99" s="5"/>
      <c r="MO99" s="6"/>
      <c r="MP99" s="4"/>
      <c r="MQ99" s="4"/>
      <c r="MR99" s="4"/>
      <c r="MS99" s="4"/>
      <c r="MT99" s="4"/>
      <c r="MU99" s="5"/>
      <c r="MV99" s="6"/>
      <c r="MW99" s="4"/>
      <c r="MX99" s="4"/>
      <c r="MY99" s="4"/>
      <c r="MZ99" s="4"/>
      <c r="NA99" s="4"/>
      <c r="NB99" s="5"/>
      <c r="NC99" s="6"/>
      <c r="ND99" s="4"/>
      <c r="NE99" s="4"/>
      <c r="NF99" s="4"/>
      <c r="NG99" s="4"/>
      <c r="NH99" s="4"/>
      <c r="NI99" s="5"/>
      <c r="NJ99" s="6"/>
      <c r="NK99" s="4"/>
      <c r="NL99" s="4"/>
      <c r="NM99" s="4"/>
      <c r="NN99" s="4"/>
      <c r="NO99" s="4"/>
      <c r="NP99" s="5"/>
      <c r="NQ99" s="6"/>
      <c r="NR99" s="4"/>
      <c r="NS99" s="4"/>
      <c r="NT99" s="4"/>
      <c r="NU99" s="4"/>
      <c r="NV99" s="4"/>
      <c r="NW99" s="5"/>
      <c r="NX99" s="6"/>
      <c r="NY99" s="4"/>
      <c r="NZ99" s="4"/>
      <c r="OA99" s="4"/>
      <c r="OB99" s="4"/>
      <c r="OC99" s="4"/>
      <c r="OD99" s="5"/>
      <c r="OE99" s="6"/>
      <c r="OF99" s="4"/>
      <c r="OG99" s="4"/>
      <c r="OH99" s="4"/>
      <c r="OI99" s="4"/>
      <c r="OJ99" s="4"/>
      <c r="OK99" s="5"/>
      <c r="OL99" s="6"/>
      <c r="OM99" s="4"/>
      <c r="ON99" s="4"/>
      <c r="OO99" s="4"/>
      <c r="OP99" s="4"/>
      <c r="OQ99" s="4"/>
      <c r="OR99" s="5"/>
      <c r="OS99" s="6"/>
      <c r="OT99" s="4"/>
      <c r="OU99" s="4"/>
      <c r="OV99" s="4"/>
      <c r="OW99" s="4"/>
      <c r="OX99" s="4"/>
      <c r="OY99" s="5"/>
      <c r="OZ99" s="6"/>
      <c r="PA99" s="4"/>
      <c r="PB99" s="4"/>
      <c r="PC99" s="4"/>
      <c r="PD99" s="4"/>
      <c r="PE99" s="4"/>
      <c r="PF99" s="5"/>
      <c r="PG99" s="6"/>
      <c r="PH99" s="4"/>
      <c r="PI99" s="4"/>
      <c r="PJ99" s="4"/>
      <c r="PK99" s="4"/>
      <c r="PL99" s="4"/>
      <c r="PM99" s="5"/>
      <c r="PN99" s="6"/>
      <c r="PO99" s="4"/>
      <c r="PP99" s="4"/>
      <c r="PQ99" s="4"/>
      <c r="PR99" s="4"/>
      <c r="PS99" s="4"/>
      <c r="PT99" s="5"/>
      <c r="PU99" s="6"/>
      <c r="PV99" s="4"/>
      <c r="PW99" s="4"/>
      <c r="PX99" s="4"/>
      <c r="PY99" s="4"/>
      <c r="PZ99" s="4"/>
      <c r="QA99" s="5"/>
      <c r="QB99" s="6"/>
      <c r="QC99" s="4"/>
      <c r="QD99" s="4"/>
      <c r="QE99" s="4"/>
      <c r="QF99" s="4"/>
      <c r="QG99" s="4"/>
      <c r="QH99" s="5"/>
      <c r="QI99" s="6"/>
      <c r="QJ99" s="4"/>
      <c r="QK99" s="4"/>
      <c r="QL99" s="4"/>
      <c r="QM99" s="4"/>
      <c r="QN99" s="4"/>
      <c r="QO99" s="5"/>
      <c r="QP99" s="6"/>
      <c r="QQ99" s="4"/>
      <c r="QR99" s="4"/>
      <c r="QS99" s="4"/>
      <c r="QT99" s="4"/>
      <c r="QU99" s="4"/>
      <c r="QV99" s="5"/>
      <c r="QW99" s="6"/>
      <c r="QX99" s="4"/>
      <c r="QY99" s="4"/>
      <c r="QZ99" s="4"/>
      <c r="RA99" s="4"/>
      <c r="RB99" s="4"/>
      <c r="RC99" s="5"/>
      <c r="RD99" s="6"/>
      <c r="RE99" s="4"/>
      <c r="RF99" s="4"/>
      <c r="RG99" s="4"/>
      <c r="RH99" s="4"/>
      <c r="RI99" s="4"/>
      <c r="RJ99" s="5"/>
      <c r="RK99" s="6"/>
      <c r="RL99" s="4"/>
      <c r="RM99" s="4"/>
      <c r="RN99" s="4"/>
      <c r="RO99" s="4"/>
      <c r="RP99" s="4"/>
      <c r="RQ99" s="5"/>
      <c r="RR99" s="6"/>
      <c r="RS99" s="4"/>
      <c r="RT99" s="4"/>
      <c r="RU99" s="4"/>
      <c r="RV99" s="4"/>
      <c r="RW99" s="4"/>
      <c r="RX99" s="5"/>
      <c r="RY99" s="6"/>
      <c r="RZ99" s="4"/>
      <c r="SA99" s="4"/>
      <c r="SB99" s="4"/>
      <c r="SC99" s="4"/>
      <c r="SD99" s="4"/>
      <c r="SE99" s="5"/>
      <c r="SF99" s="6"/>
      <c r="SG99" s="4"/>
      <c r="SH99" s="4"/>
      <c r="SI99" s="4"/>
      <c r="SJ99" s="4"/>
      <c r="SK99" s="4"/>
      <c r="SL99" s="5"/>
      <c r="SM99" s="6"/>
      <c r="SN99" s="4"/>
      <c r="SO99" s="4"/>
      <c r="SP99" s="4"/>
      <c r="SQ99" s="4"/>
      <c r="SR99" s="4"/>
      <c r="SS99" s="5"/>
      <c r="ST99" s="6"/>
      <c r="SU99" s="4"/>
      <c r="SV99" s="4"/>
      <c r="SW99" s="4"/>
      <c r="SX99" s="4"/>
      <c r="SY99" s="4"/>
      <c r="SZ99" s="5"/>
      <c r="TA99" s="6"/>
      <c r="TB99" s="4"/>
      <c r="TC99" s="4"/>
      <c r="TD99" s="4"/>
      <c r="TE99" s="4"/>
      <c r="TF99" s="4"/>
      <c r="TG99" s="5"/>
      <c r="TH99" s="6"/>
      <c r="TI99" s="4"/>
      <c r="TJ99" s="4"/>
      <c r="TK99" s="4"/>
      <c r="TL99" s="4"/>
      <c r="TM99" s="4"/>
      <c r="TN99" s="5"/>
      <c r="TO99" s="6"/>
      <c r="TP99" s="4"/>
      <c r="TQ99" s="4"/>
      <c r="TR99" s="4"/>
      <c r="TS99" s="4"/>
      <c r="TT99" s="4"/>
      <c r="TU99" s="5"/>
      <c r="TV99" s="6"/>
      <c r="TW99" s="4"/>
      <c r="TX99" s="4"/>
      <c r="TY99" s="4"/>
      <c r="TZ99" s="4"/>
      <c r="UA99" s="4"/>
      <c r="UB99" s="5"/>
      <c r="UC99" s="6"/>
      <c r="UD99" s="4"/>
      <c r="UE99" s="4"/>
      <c r="UF99" s="4"/>
      <c r="UG99" s="4"/>
      <c r="UH99" s="4"/>
      <c r="UI99" s="5"/>
      <c r="UJ99" s="6"/>
      <c r="UK99" s="4"/>
      <c r="UL99" s="4"/>
      <c r="UM99" s="4"/>
      <c r="UN99" s="4"/>
      <c r="UO99" s="4"/>
      <c r="UP99" s="5"/>
      <c r="UQ99" s="6"/>
      <c r="UR99" s="4"/>
      <c r="US99" s="4"/>
      <c r="UT99" s="4"/>
      <c r="UU99" s="4"/>
      <c r="UV99" s="4"/>
      <c r="UW99" s="5"/>
      <c r="UX99" s="6"/>
      <c r="UY99" s="4"/>
      <c r="UZ99" s="4"/>
      <c r="VA99" s="4"/>
      <c r="VB99" s="4"/>
      <c r="VC99" s="4"/>
      <c r="VD99" s="5"/>
      <c r="VE99" s="6"/>
      <c r="VF99" s="4"/>
      <c r="VG99" s="4"/>
      <c r="VH99" s="4"/>
      <c r="VI99" s="4"/>
      <c r="VJ99" s="4"/>
      <c r="VK99" s="5"/>
      <c r="VL99" s="6"/>
      <c r="VM99" s="4"/>
      <c r="VN99" s="4"/>
      <c r="VO99" s="4"/>
      <c r="VP99" s="4"/>
      <c r="VQ99" s="4"/>
      <c r="VR99" s="5"/>
      <c r="VS99" s="6"/>
      <c r="VT99" s="4"/>
      <c r="VU99" s="4"/>
      <c r="VV99" s="4"/>
      <c r="VW99" s="4"/>
      <c r="VX99" s="4"/>
      <c r="VY99" s="5"/>
      <c r="VZ99" s="6"/>
      <c r="WA99" s="4"/>
      <c r="WB99" s="4"/>
      <c r="WC99" s="4"/>
      <c r="WD99" s="4"/>
      <c r="WE99" s="4"/>
      <c r="WF99" s="5"/>
      <c r="WG99" s="6"/>
      <c r="WH99" s="4"/>
      <c r="WI99" s="4"/>
      <c r="WJ99" s="4"/>
      <c r="WK99" s="4"/>
      <c r="WL99" s="4"/>
      <c r="WM99" s="5"/>
      <c r="WN99" s="6"/>
      <c r="WO99" s="4"/>
      <c r="WP99" s="4"/>
      <c r="WQ99" s="4"/>
      <c r="WR99" s="4"/>
      <c r="WS99" s="4"/>
      <c r="WT99" s="5"/>
      <c r="WU99" s="6"/>
      <c r="WV99" s="4"/>
      <c r="WW99" s="4"/>
      <c r="WX99" s="4"/>
      <c r="WY99" s="4"/>
      <c r="WZ99" s="4"/>
      <c r="XA99" s="5"/>
      <c r="XB99" s="6"/>
      <c r="XC99" s="4"/>
      <c r="XD99" s="4"/>
      <c r="XE99" s="4"/>
      <c r="XF99" s="4"/>
      <c r="XG99" s="4"/>
      <c r="XH99" s="5"/>
      <c r="XI99" s="6"/>
      <c r="XJ99" s="4"/>
      <c r="XK99" s="4"/>
      <c r="XL99" s="4"/>
      <c r="XM99" s="4"/>
      <c r="XN99" s="4"/>
      <c r="XO99" s="5"/>
      <c r="XP99" s="6"/>
      <c r="XQ99" s="4"/>
      <c r="XR99" s="4"/>
      <c r="XS99" s="4"/>
      <c r="XT99" s="4"/>
      <c r="XU99" s="4"/>
      <c r="XV99" s="5"/>
      <c r="XW99" s="6"/>
      <c r="XX99" s="4"/>
      <c r="XY99" s="4"/>
      <c r="XZ99" s="4"/>
      <c r="YA99" s="4"/>
      <c r="YB99" s="4"/>
      <c r="YC99" s="5"/>
      <c r="YD99" s="6"/>
      <c r="YE99" s="4"/>
      <c r="YF99" s="4"/>
      <c r="YG99" s="4"/>
      <c r="YH99" s="4"/>
      <c r="YI99" s="4"/>
      <c r="YJ99" s="5"/>
      <c r="YK99" s="6" t="s">
        <v>2666</v>
      </c>
      <c r="YL99" s="7" t="s">
        <v>2667</v>
      </c>
      <c r="YM99" s="4"/>
      <c r="YN99" s="4"/>
      <c r="YO99" s="4"/>
      <c r="YP99" s="4"/>
      <c r="YQ99" s="5" t="s">
        <v>2668</v>
      </c>
      <c r="YR99" s="6"/>
      <c r="YS99" s="4"/>
      <c r="YT99" s="4"/>
      <c r="YU99" s="4"/>
      <c r="YV99" s="4"/>
      <c r="YW99" s="4"/>
      <c r="YX99" s="5"/>
      <c r="YY99" s="6"/>
      <c r="YZ99" s="4"/>
      <c r="ZA99" s="4"/>
      <c r="ZB99" s="4"/>
      <c r="ZC99" s="4"/>
      <c r="ZD99" s="4"/>
      <c r="ZE99" s="5"/>
      <c r="ZF99" s="6"/>
      <c r="ZG99" s="4"/>
      <c r="ZH99" s="4"/>
      <c r="ZI99" s="4"/>
      <c r="ZJ99" s="4"/>
      <c r="ZK99" s="4"/>
      <c r="ZL99" s="5"/>
      <c r="ZM99" s="6"/>
      <c r="ZN99" s="4"/>
      <c r="ZO99" s="4"/>
      <c r="ZP99" s="4"/>
      <c r="ZQ99" s="4"/>
      <c r="ZR99" s="4"/>
      <c r="ZS99" s="5"/>
      <c r="ZT99" s="6"/>
      <c r="ZU99" s="4"/>
      <c r="ZV99" s="4"/>
      <c r="ZW99" s="4"/>
      <c r="ZX99" s="4"/>
      <c r="ZY99" s="4"/>
      <c r="ZZ99" s="5"/>
      <c r="AAA99" s="6"/>
      <c r="AAB99" s="4"/>
      <c r="AAC99" s="4"/>
      <c r="AAD99" s="4"/>
      <c r="AAE99" s="4"/>
      <c r="AAF99" s="4"/>
      <c r="AAG99" s="5"/>
      <c r="AAH99" s="6"/>
      <c r="AAI99" s="4"/>
      <c r="AAJ99" s="4"/>
      <c r="AAK99" s="4"/>
      <c r="AAL99" s="4"/>
      <c r="AAM99" s="4"/>
      <c r="AAN99" s="5"/>
      <c r="AAO99" s="6"/>
      <c r="AAP99" s="4"/>
      <c r="AAQ99" s="4"/>
      <c r="AAR99" s="4"/>
      <c r="AAS99" s="4"/>
      <c r="AAT99" s="4"/>
      <c r="AAU99" s="5"/>
      <c r="AAV99" s="6"/>
      <c r="AAW99" s="4"/>
      <c r="AAX99" s="4"/>
      <c r="AAY99" s="4"/>
      <c r="AAZ99" s="4"/>
      <c r="ABA99" s="4"/>
      <c r="ABB99" s="5"/>
      <c r="ABC99" s="6"/>
      <c r="ABD99" s="4"/>
      <c r="ABE99" s="4"/>
      <c r="ABF99" s="4"/>
      <c r="ABG99" s="4"/>
      <c r="ABH99" s="4"/>
      <c r="ABI99" s="5"/>
      <c r="ABJ99" s="6"/>
      <c r="ABK99" s="4"/>
      <c r="ABL99" s="4"/>
      <c r="ABM99" s="4"/>
      <c r="ABN99" s="4"/>
      <c r="ABO99" s="4"/>
      <c r="ABP99" s="5"/>
      <c r="ABQ99" s="6"/>
      <c r="ABR99" s="4"/>
      <c r="ABS99" s="4"/>
      <c r="ABT99" s="4"/>
      <c r="ABU99" s="4"/>
      <c r="ABV99" s="4"/>
      <c r="ABW99" s="5"/>
      <c r="ABX99" s="6"/>
      <c r="ABY99" s="4"/>
      <c r="ABZ99" s="4"/>
      <c r="ACA99" s="4"/>
      <c r="ACB99" s="4"/>
      <c r="ACC99" s="4"/>
      <c r="ACD99" s="5"/>
      <c r="ACE99" s="6"/>
      <c r="ACF99" s="4"/>
      <c r="ACG99" s="4"/>
      <c r="ACH99" s="4"/>
      <c r="ACI99" s="4"/>
      <c r="ACJ99" s="4"/>
      <c r="ACK99" s="5"/>
      <c r="ACL99" s="6" t="s">
        <v>2669</v>
      </c>
      <c r="ACM99" s="4" t="s">
        <v>2530</v>
      </c>
      <c r="ACN99" s="4"/>
      <c r="ACO99" s="4"/>
      <c r="ACP99" s="4"/>
      <c r="ACQ99" s="4"/>
      <c r="ACR99" s="5"/>
      <c r="ACS99" s="6"/>
      <c r="ACT99" s="4"/>
      <c r="ACU99" s="4"/>
      <c r="ACV99" s="4"/>
      <c r="ACW99" s="4"/>
      <c r="ACX99" s="4"/>
      <c r="ACY99" s="5"/>
    </row>
    <row r="100" spans="2:779" x14ac:dyDescent="0.25">
      <c r="B100" s="30"/>
      <c r="J100" s="12"/>
      <c r="K100" s="12"/>
      <c r="L100" s="12"/>
      <c r="LL100" s="6"/>
      <c r="LM100" s="4"/>
      <c r="LN100" s="4"/>
      <c r="LO100" s="4"/>
      <c r="LP100" s="4"/>
      <c r="LQ100" s="4"/>
      <c r="LR100" s="5"/>
      <c r="LS100" s="6"/>
      <c r="LT100" s="4"/>
      <c r="LU100" s="4"/>
      <c r="LV100" s="4"/>
      <c r="LW100" s="4"/>
      <c r="LX100" s="4"/>
      <c r="LY100" s="5"/>
      <c r="LZ100" s="6"/>
      <c r="MA100" s="4"/>
      <c r="MB100" s="4"/>
      <c r="MC100" s="4"/>
      <c r="MD100" s="8"/>
      <c r="ME100" s="4"/>
      <c r="MF100" s="4"/>
      <c r="MG100" s="5"/>
      <c r="MH100" s="6"/>
      <c r="MI100" s="4"/>
      <c r="MJ100" s="4"/>
      <c r="MK100" s="4"/>
      <c r="ML100" s="4"/>
      <c r="MM100" s="4"/>
      <c r="MN100" s="5"/>
      <c r="MO100" s="6"/>
      <c r="MP100" s="4"/>
      <c r="MQ100" s="4"/>
      <c r="MR100" s="4"/>
      <c r="MS100" s="4"/>
      <c r="MT100" s="4"/>
      <c r="MU100" s="5"/>
      <c r="MV100" s="6"/>
      <c r="MW100" s="4"/>
      <c r="MX100" s="4"/>
      <c r="MY100" s="4"/>
      <c r="MZ100" s="4"/>
      <c r="NA100" s="4"/>
      <c r="NB100" s="5"/>
      <c r="NC100" s="6"/>
      <c r="ND100" s="4"/>
      <c r="NE100" s="4"/>
      <c r="NF100" s="4"/>
      <c r="NG100" s="4"/>
      <c r="NH100" s="4"/>
      <c r="NI100" s="5"/>
      <c r="NJ100" s="6"/>
      <c r="NK100" s="4"/>
      <c r="NL100" s="4"/>
      <c r="NM100" s="4"/>
      <c r="NN100" s="4"/>
      <c r="NO100" s="4"/>
      <c r="NP100" s="5"/>
      <c r="NQ100" s="6"/>
      <c r="NR100" s="4"/>
      <c r="NS100" s="4"/>
      <c r="NT100" s="4"/>
      <c r="NU100" s="4"/>
      <c r="NV100" s="4"/>
      <c r="NW100" s="5"/>
      <c r="NX100" s="6"/>
      <c r="NY100" s="4"/>
      <c r="NZ100" s="4"/>
      <c r="OA100" s="4"/>
      <c r="OB100" s="4"/>
      <c r="OC100" s="4"/>
      <c r="OD100" s="5"/>
      <c r="OE100" s="6"/>
      <c r="OF100" s="4"/>
      <c r="OG100" s="4"/>
      <c r="OH100" s="4"/>
      <c r="OI100" s="4"/>
      <c r="OJ100" s="4"/>
      <c r="OK100" s="5"/>
      <c r="OL100" s="6"/>
      <c r="OM100" s="4"/>
      <c r="ON100" s="4"/>
      <c r="OO100" s="4"/>
      <c r="OP100" s="4"/>
      <c r="OQ100" s="4"/>
      <c r="OR100" s="5"/>
      <c r="OS100" s="6"/>
      <c r="OT100" s="4"/>
      <c r="OU100" s="4"/>
      <c r="OV100" s="4"/>
      <c r="OW100" s="4"/>
      <c r="OX100" s="4"/>
      <c r="OY100" s="5"/>
      <c r="OZ100" s="6"/>
      <c r="PA100" s="4"/>
      <c r="PB100" s="4"/>
      <c r="PC100" s="4"/>
      <c r="PD100" s="4"/>
      <c r="PE100" s="4"/>
      <c r="PF100" s="5"/>
      <c r="PG100" s="6"/>
      <c r="PH100" s="4"/>
      <c r="PI100" s="4"/>
      <c r="PJ100" s="4"/>
      <c r="PK100" s="4"/>
      <c r="PL100" s="4"/>
      <c r="PM100" s="5"/>
      <c r="PN100" s="6"/>
      <c r="PO100" s="4"/>
      <c r="PP100" s="4"/>
      <c r="PQ100" s="4"/>
      <c r="PR100" s="4"/>
      <c r="PS100" s="4"/>
      <c r="PT100" s="5"/>
      <c r="PU100" s="6"/>
      <c r="PV100" s="4"/>
      <c r="PW100" s="4"/>
      <c r="PX100" s="4"/>
      <c r="PY100" s="4"/>
      <c r="PZ100" s="4"/>
      <c r="QA100" s="5"/>
      <c r="QB100" s="6"/>
      <c r="QC100" s="4"/>
      <c r="QD100" s="4"/>
      <c r="QE100" s="4"/>
      <c r="QF100" s="4"/>
      <c r="QG100" s="4"/>
      <c r="QH100" s="5"/>
      <c r="QI100" s="6"/>
      <c r="QJ100" s="4"/>
      <c r="QK100" s="4"/>
      <c r="QL100" s="4"/>
      <c r="QM100" s="4"/>
      <c r="QN100" s="4"/>
      <c r="QO100" s="5"/>
      <c r="QP100" s="6"/>
      <c r="QQ100" s="4"/>
      <c r="QR100" s="4"/>
      <c r="QS100" s="4"/>
      <c r="QT100" s="4"/>
      <c r="QU100" s="4"/>
      <c r="QV100" s="5"/>
      <c r="QW100" s="6"/>
      <c r="QX100" s="4"/>
      <c r="QY100" s="4"/>
      <c r="QZ100" s="4"/>
      <c r="RA100" s="4"/>
      <c r="RB100" s="4"/>
      <c r="RC100" s="5"/>
      <c r="RD100" s="6"/>
      <c r="RE100" s="4"/>
      <c r="RF100" s="4"/>
      <c r="RG100" s="4"/>
      <c r="RH100" s="4"/>
      <c r="RI100" s="4"/>
      <c r="RJ100" s="5"/>
      <c r="RK100" s="6"/>
      <c r="RL100" s="4"/>
      <c r="RM100" s="4"/>
      <c r="RN100" s="4"/>
      <c r="RO100" s="4"/>
      <c r="RP100" s="4"/>
      <c r="RQ100" s="5"/>
      <c r="RR100" s="6"/>
      <c r="RS100" s="4"/>
      <c r="RT100" s="4"/>
      <c r="RU100" s="4"/>
      <c r="RV100" s="4"/>
      <c r="RW100" s="4"/>
      <c r="RX100" s="5"/>
      <c r="RY100" s="6"/>
      <c r="RZ100" s="4"/>
      <c r="SA100" s="4"/>
      <c r="SB100" s="4"/>
      <c r="SC100" s="4"/>
      <c r="SD100" s="4"/>
      <c r="SE100" s="5"/>
      <c r="SF100" s="6"/>
      <c r="SG100" s="4"/>
      <c r="SH100" s="4"/>
      <c r="SI100" s="4"/>
      <c r="SJ100" s="4"/>
      <c r="SK100" s="4"/>
      <c r="SL100" s="5"/>
      <c r="SM100" s="6"/>
      <c r="SN100" s="4"/>
      <c r="SO100" s="4"/>
      <c r="SP100" s="4"/>
      <c r="SQ100" s="4"/>
      <c r="SR100" s="4"/>
      <c r="SS100" s="5"/>
      <c r="ST100" s="6"/>
      <c r="SU100" s="4"/>
      <c r="SV100" s="4"/>
      <c r="SW100" s="4"/>
      <c r="SX100" s="4"/>
      <c r="SY100" s="4"/>
      <c r="SZ100" s="5"/>
      <c r="TA100" s="6"/>
      <c r="TB100" s="4"/>
      <c r="TC100" s="4"/>
      <c r="TD100" s="4"/>
      <c r="TE100" s="4"/>
      <c r="TF100" s="4"/>
      <c r="TG100" s="5"/>
      <c r="TH100" s="6"/>
      <c r="TI100" s="4"/>
      <c r="TJ100" s="4"/>
      <c r="TK100" s="4"/>
      <c r="TL100" s="4"/>
      <c r="TM100" s="4"/>
      <c r="TN100" s="5"/>
      <c r="TO100" s="6"/>
      <c r="TP100" s="4"/>
      <c r="TQ100" s="4"/>
      <c r="TR100" s="4"/>
      <c r="TS100" s="4"/>
      <c r="TT100" s="4"/>
      <c r="TU100" s="5"/>
      <c r="TV100" s="6"/>
      <c r="TW100" s="4"/>
      <c r="TX100" s="4"/>
      <c r="TY100" s="4"/>
      <c r="TZ100" s="4"/>
      <c r="UA100" s="4"/>
      <c r="UB100" s="5"/>
      <c r="UC100" s="6"/>
      <c r="UD100" s="4"/>
      <c r="UE100" s="4"/>
      <c r="UF100" s="4"/>
      <c r="UG100" s="4"/>
      <c r="UH100" s="4"/>
      <c r="UI100" s="5"/>
      <c r="UJ100" s="6"/>
      <c r="UK100" s="4"/>
      <c r="UL100" s="4"/>
      <c r="UM100" s="4"/>
      <c r="UN100" s="4"/>
      <c r="UO100" s="4"/>
      <c r="UP100" s="5"/>
      <c r="UQ100" s="6"/>
      <c r="UR100" s="4"/>
      <c r="US100" s="4"/>
      <c r="UT100" s="4"/>
      <c r="UU100" s="4"/>
      <c r="UV100" s="4"/>
      <c r="UW100" s="5"/>
      <c r="UX100" s="6"/>
      <c r="UY100" s="4"/>
      <c r="UZ100" s="4"/>
      <c r="VA100" s="4"/>
      <c r="VB100" s="4"/>
      <c r="VC100" s="4"/>
      <c r="VD100" s="5"/>
      <c r="VE100" s="6"/>
      <c r="VF100" s="4"/>
      <c r="VG100" s="4"/>
      <c r="VH100" s="4"/>
      <c r="VI100" s="4"/>
      <c r="VJ100" s="4"/>
      <c r="VK100" s="5"/>
      <c r="VL100" s="6"/>
      <c r="VM100" s="4"/>
      <c r="VN100" s="4"/>
      <c r="VO100" s="4"/>
      <c r="VP100" s="4"/>
      <c r="VQ100" s="4"/>
      <c r="VR100" s="5"/>
      <c r="VS100" s="6"/>
      <c r="VT100" s="4"/>
      <c r="VU100" s="4"/>
      <c r="VV100" s="4"/>
      <c r="VW100" s="4"/>
      <c r="VX100" s="4"/>
      <c r="VY100" s="5"/>
      <c r="VZ100" s="6"/>
      <c r="WA100" s="4"/>
      <c r="WB100" s="4"/>
      <c r="WC100" s="4"/>
      <c r="WD100" s="4"/>
      <c r="WE100" s="4"/>
      <c r="WF100" s="5"/>
      <c r="WG100" s="6"/>
      <c r="WH100" s="4"/>
      <c r="WI100" s="4"/>
      <c r="WJ100" s="4"/>
      <c r="WK100" s="4"/>
      <c r="WL100" s="4"/>
      <c r="WM100" s="5"/>
      <c r="WN100" s="6"/>
      <c r="WO100" s="4"/>
      <c r="WP100" s="4"/>
      <c r="WQ100" s="4"/>
      <c r="WR100" s="4"/>
      <c r="WS100" s="4"/>
      <c r="WT100" s="5"/>
      <c r="WU100" s="6"/>
      <c r="WV100" s="4"/>
      <c r="WW100" s="4"/>
      <c r="WX100" s="4"/>
      <c r="WY100" s="4"/>
      <c r="WZ100" s="4"/>
      <c r="XA100" s="5"/>
      <c r="XB100" s="6"/>
      <c r="XC100" s="4"/>
      <c r="XD100" s="4"/>
      <c r="XE100" s="4"/>
      <c r="XF100" s="4"/>
      <c r="XG100" s="4"/>
      <c r="XH100" s="5"/>
      <c r="XI100" s="6"/>
      <c r="XJ100" s="4"/>
      <c r="XK100" s="4"/>
      <c r="XL100" s="4"/>
      <c r="XM100" s="4"/>
      <c r="XN100" s="4"/>
      <c r="XO100" s="5"/>
      <c r="XP100" s="6"/>
      <c r="XQ100" s="4"/>
      <c r="XR100" s="4"/>
      <c r="XS100" s="4"/>
      <c r="XT100" s="4"/>
      <c r="XU100" s="4"/>
      <c r="XV100" s="5"/>
      <c r="XW100" s="6"/>
      <c r="XX100" s="4"/>
      <c r="XY100" s="4"/>
      <c r="XZ100" s="4"/>
      <c r="YA100" s="4"/>
      <c r="YB100" s="4"/>
      <c r="YC100" s="5"/>
      <c r="YD100" s="6"/>
      <c r="YE100" s="4"/>
      <c r="YF100" s="4"/>
      <c r="YG100" s="4"/>
      <c r="YH100" s="4"/>
      <c r="YI100" s="4"/>
      <c r="YJ100" s="5"/>
      <c r="YK100" s="6" t="s">
        <v>2781</v>
      </c>
      <c r="YL100" s="7" t="s">
        <v>2782</v>
      </c>
      <c r="YM100" s="4"/>
      <c r="YN100" s="4"/>
      <c r="YO100" s="4"/>
      <c r="YP100" s="4"/>
      <c r="YQ100" s="5"/>
      <c r="YR100" s="6"/>
      <c r="YS100" s="4"/>
      <c r="YT100" s="4"/>
      <c r="YU100" s="4"/>
      <c r="YV100" s="4"/>
      <c r="YW100" s="4"/>
      <c r="YX100" s="5"/>
      <c r="YY100" s="6"/>
      <c r="YZ100" s="4"/>
      <c r="ZA100" s="4"/>
      <c r="ZB100" s="4"/>
      <c r="ZC100" s="4"/>
      <c r="ZD100" s="4"/>
      <c r="ZE100" s="5"/>
      <c r="ZF100" s="6"/>
      <c r="ZG100" s="4"/>
      <c r="ZH100" s="4"/>
      <c r="ZI100" s="4"/>
      <c r="ZJ100" s="4"/>
      <c r="ZK100" s="4"/>
      <c r="ZL100" s="5"/>
      <c r="ZM100" s="6"/>
      <c r="ZN100" s="4"/>
      <c r="ZO100" s="4"/>
      <c r="ZP100" s="4"/>
      <c r="ZQ100" s="4"/>
      <c r="ZR100" s="4"/>
      <c r="ZS100" s="5"/>
      <c r="ZT100" s="6"/>
      <c r="ZU100" s="4"/>
      <c r="ZV100" s="4"/>
      <c r="ZW100" s="4"/>
      <c r="ZX100" s="4"/>
      <c r="ZY100" s="4"/>
      <c r="ZZ100" s="5"/>
      <c r="AAA100" s="6"/>
      <c r="AAB100" s="4"/>
      <c r="AAC100" s="4"/>
      <c r="AAD100" s="4"/>
      <c r="AAE100" s="4"/>
      <c r="AAF100" s="4"/>
      <c r="AAG100" s="5"/>
      <c r="AAH100" s="6"/>
      <c r="AAI100" s="4"/>
      <c r="AAJ100" s="4"/>
      <c r="AAK100" s="4"/>
      <c r="AAL100" s="4"/>
      <c r="AAM100" s="4"/>
      <c r="AAN100" s="5"/>
      <c r="AAO100" s="6"/>
      <c r="AAP100" s="4"/>
      <c r="AAQ100" s="4"/>
      <c r="AAR100" s="4"/>
      <c r="AAS100" s="4"/>
      <c r="AAT100" s="4"/>
      <c r="AAU100" s="5"/>
      <c r="AAV100" s="6"/>
      <c r="AAW100" s="4"/>
      <c r="AAX100" s="4"/>
      <c r="AAY100" s="4"/>
      <c r="AAZ100" s="4"/>
      <c r="ABA100" s="4"/>
      <c r="ABB100" s="5"/>
      <c r="ABC100" s="6"/>
      <c r="ABD100" s="4"/>
      <c r="ABE100" s="4"/>
      <c r="ABF100" s="4"/>
      <c r="ABG100" s="4"/>
      <c r="ABH100" s="4"/>
      <c r="ABI100" s="5"/>
      <c r="ABJ100" s="6"/>
      <c r="ABK100" s="4"/>
      <c r="ABL100" s="4"/>
      <c r="ABM100" s="4"/>
      <c r="ABN100" s="4"/>
      <c r="ABO100" s="4"/>
      <c r="ABP100" s="5"/>
      <c r="ABQ100" s="6"/>
      <c r="ABR100" s="4"/>
      <c r="ABS100" s="4"/>
      <c r="ABT100" s="4"/>
      <c r="ABU100" s="4"/>
      <c r="ABV100" s="4"/>
      <c r="ABW100" s="5"/>
      <c r="ABX100" s="6"/>
      <c r="ABY100" s="4"/>
      <c r="ABZ100" s="4"/>
      <c r="ACA100" s="4"/>
      <c r="ACB100" s="4"/>
      <c r="ACC100" s="4"/>
      <c r="ACD100" s="5"/>
      <c r="ACE100" s="6"/>
      <c r="ACF100" s="4"/>
      <c r="ACG100" s="4"/>
      <c r="ACH100" s="4"/>
      <c r="ACI100" s="4"/>
      <c r="ACJ100" s="4"/>
      <c r="ACK100" s="5"/>
      <c r="ACL100" s="6"/>
      <c r="ACM100" s="4"/>
      <c r="ACN100" s="4"/>
      <c r="ACO100" s="4"/>
      <c r="ACP100" s="4"/>
      <c r="ACQ100" s="4"/>
      <c r="ACR100" s="5"/>
      <c r="ACS100" s="6"/>
      <c r="ACT100" s="4"/>
      <c r="ACU100" s="4"/>
      <c r="ACV100" s="4"/>
      <c r="ACW100" s="4"/>
      <c r="ACX100" s="4"/>
      <c r="ACY100" s="5"/>
    </row>
    <row r="101" spans="2:779" x14ac:dyDescent="0.25">
      <c r="B101" s="30"/>
      <c r="J101" s="12"/>
      <c r="K101" s="12"/>
      <c r="L101" s="12"/>
      <c r="LL101" s="6"/>
      <c r="LM101" s="4"/>
      <c r="LN101" s="4"/>
      <c r="LO101" s="4"/>
      <c r="LP101" s="4"/>
      <c r="LQ101" s="4"/>
      <c r="LR101" s="5"/>
      <c r="LS101" s="6"/>
      <c r="LT101" s="4"/>
      <c r="LU101" s="4"/>
      <c r="LV101" s="4"/>
      <c r="LW101" s="4"/>
      <c r="LX101" s="4"/>
      <c r="LY101" s="5"/>
      <c r="LZ101" s="6"/>
      <c r="MB101" s="4"/>
      <c r="MC101" s="4"/>
      <c r="MD101" s="8"/>
      <c r="ME101" s="4"/>
      <c r="MF101" s="4"/>
      <c r="MG101" s="5"/>
      <c r="MH101" s="6"/>
      <c r="MI101" s="4"/>
      <c r="MJ101" s="4"/>
      <c r="MK101" s="4"/>
      <c r="ML101" s="4"/>
      <c r="MM101" s="4"/>
      <c r="MN101" s="5"/>
      <c r="MO101" s="6"/>
      <c r="MP101" s="4"/>
      <c r="MQ101" s="4"/>
      <c r="MR101" s="4"/>
      <c r="MS101" s="4"/>
      <c r="MT101" s="4"/>
      <c r="MU101" s="5"/>
      <c r="MV101" s="6"/>
      <c r="MW101" s="4"/>
      <c r="MX101" s="4"/>
      <c r="MY101" s="4"/>
      <c r="MZ101" s="4"/>
      <c r="NA101" s="4"/>
      <c r="NB101" s="5"/>
      <c r="NC101" s="6"/>
      <c r="ND101" s="4"/>
      <c r="NE101" s="4"/>
      <c r="NF101" s="4"/>
      <c r="NG101" s="4"/>
      <c r="NH101" s="4"/>
      <c r="NI101" s="5"/>
      <c r="NJ101" s="6"/>
      <c r="NK101" s="4"/>
      <c r="NL101" s="4"/>
      <c r="NM101" s="4"/>
      <c r="NN101" s="4"/>
      <c r="NO101" s="4"/>
      <c r="NP101" s="5"/>
      <c r="NQ101" s="6"/>
      <c r="NR101" s="4"/>
      <c r="NS101" s="4"/>
      <c r="NT101" s="4"/>
      <c r="NU101" s="4"/>
      <c r="NV101" s="4"/>
      <c r="NW101" s="5"/>
      <c r="NX101" s="6"/>
      <c r="NY101" s="4"/>
      <c r="NZ101" s="4"/>
      <c r="OA101" s="4"/>
      <c r="OB101" s="4"/>
      <c r="OC101" s="4"/>
      <c r="OD101" s="5"/>
      <c r="OE101" s="6"/>
      <c r="OF101" s="4"/>
      <c r="OG101" s="4"/>
      <c r="OH101" s="4"/>
      <c r="OI101" s="4"/>
      <c r="OJ101" s="4"/>
      <c r="OK101" s="5"/>
      <c r="OL101" s="6"/>
      <c r="OM101" s="4"/>
      <c r="ON101" s="4"/>
      <c r="OO101" s="4"/>
      <c r="OP101" s="4"/>
      <c r="OQ101" s="4"/>
      <c r="OR101" s="5"/>
      <c r="OS101" s="6"/>
      <c r="OT101" s="4"/>
      <c r="OU101" s="4"/>
      <c r="OV101" s="4"/>
      <c r="OW101" s="4"/>
      <c r="OX101" s="4"/>
      <c r="OY101" s="5"/>
      <c r="OZ101" s="6"/>
      <c r="PA101" s="4"/>
      <c r="PB101" s="4"/>
      <c r="PC101" s="4"/>
      <c r="PD101" s="4"/>
      <c r="PE101" s="4"/>
      <c r="PF101" s="5"/>
      <c r="PG101" s="6"/>
      <c r="PH101" s="4"/>
      <c r="PI101" s="4"/>
      <c r="PJ101" s="4"/>
      <c r="PK101" s="4"/>
      <c r="PL101" s="4"/>
      <c r="PM101" s="5"/>
      <c r="PN101" s="6"/>
      <c r="PO101" s="4"/>
      <c r="PP101" s="4"/>
      <c r="PQ101" s="4"/>
      <c r="PR101" s="4"/>
      <c r="PS101" s="4"/>
      <c r="PT101" s="5"/>
      <c r="PU101" s="6"/>
      <c r="PV101" s="4"/>
      <c r="PW101" s="4"/>
      <c r="PX101" s="4"/>
      <c r="PY101" s="4"/>
      <c r="PZ101" s="4"/>
      <c r="QA101" s="5"/>
      <c r="QB101" s="6"/>
      <c r="QC101" s="4"/>
      <c r="QD101" s="4"/>
      <c r="QE101" s="4"/>
      <c r="QF101" s="4"/>
      <c r="QG101" s="4"/>
      <c r="QH101" s="5"/>
      <c r="QI101" s="6"/>
      <c r="QJ101" s="4"/>
      <c r="QK101" s="4"/>
      <c r="QL101" s="4"/>
      <c r="QM101" s="4"/>
      <c r="QN101" s="4"/>
      <c r="QO101" s="5"/>
      <c r="QP101" s="6"/>
      <c r="QQ101" s="4"/>
      <c r="QR101" s="4"/>
      <c r="QS101" s="4"/>
      <c r="QT101" s="4"/>
      <c r="QU101" s="4"/>
      <c r="QV101" s="5"/>
      <c r="QW101" s="6"/>
      <c r="QX101" s="4"/>
      <c r="QY101" s="4"/>
      <c r="QZ101" s="4"/>
      <c r="RA101" s="4"/>
      <c r="RB101" s="4"/>
      <c r="RC101" s="5"/>
      <c r="RD101" s="6"/>
      <c r="RE101" s="4"/>
      <c r="RF101" s="4"/>
      <c r="RG101" s="4"/>
      <c r="RH101" s="4"/>
      <c r="RI101" s="4"/>
      <c r="RJ101" s="5"/>
      <c r="RK101" s="6"/>
      <c r="RL101" s="4"/>
      <c r="RM101" s="4"/>
      <c r="RN101" s="4"/>
      <c r="RO101" s="4"/>
      <c r="RP101" s="4"/>
      <c r="RQ101" s="5"/>
      <c r="RR101" s="6"/>
      <c r="RS101" s="4"/>
      <c r="RT101" s="4"/>
      <c r="RU101" s="4"/>
      <c r="RV101" s="4"/>
      <c r="RW101" s="4"/>
      <c r="RX101" s="5"/>
      <c r="RY101" s="6"/>
      <c r="RZ101" s="4"/>
      <c r="SA101" s="4"/>
      <c r="SB101" s="4"/>
      <c r="SC101" s="4"/>
      <c r="SD101" s="4"/>
      <c r="SE101" s="5"/>
      <c r="SF101" s="6"/>
      <c r="SG101" s="4"/>
      <c r="SH101" s="4"/>
      <c r="SI101" s="4"/>
      <c r="SJ101" s="4"/>
      <c r="SK101" s="4"/>
      <c r="SL101" s="5"/>
      <c r="SM101" s="6"/>
      <c r="SN101" s="4"/>
      <c r="SO101" s="4"/>
      <c r="SP101" s="4"/>
      <c r="SQ101" s="4"/>
      <c r="SR101" s="4"/>
      <c r="SS101" s="5"/>
      <c r="ST101" s="6"/>
      <c r="SU101" s="4"/>
      <c r="SV101" s="4"/>
      <c r="SW101" s="4"/>
      <c r="SX101" s="4"/>
      <c r="SY101" s="4"/>
      <c r="SZ101" s="5"/>
      <c r="TA101" s="6"/>
      <c r="TB101" s="4"/>
      <c r="TC101" s="4"/>
      <c r="TD101" s="4"/>
      <c r="TE101" s="4"/>
      <c r="TF101" s="4"/>
      <c r="TG101" s="5"/>
      <c r="TH101" s="6"/>
      <c r="TI101" s="4"/>
      <c r="TJ101" s="4"/>
      <c r="TK101" s="4"/>
      <c r="TL101" s="4"/>
      <c r="TM101" s="4"/>
      <c r="TN101" s="5"/>
      <c r="TO101" s="6"/>
      <c r="TP101" s="4"/>
      <c r="TQ101" s="4"/>
      <c r="TR101" s="4"/>
      <c r="TS101" s="4"/>
      <c r="TT101" s="4"/>
      <c r="TU101" s="5"/>
      <c r="TV101" s="6"/>
      <c r="TW101" s="4"/>
      <c r="TX101" s="4"/>
      <c r="TY101" s="4"/>
      <c r="TZ101" s="4"/>
      <c r="UA101" s="4"/>
      <c r="UB101" s="5"/>
      <c r="UC101" s="6"/>
      <c r="UD101" s="4"/>
      <c r="UE101" s="4"/>
      <c r="UF101" s="4"/>
      <c r="UG101" s="4"/>
      <c r="UH101" s="4"/>
      <c r="UI101" s="5"/>
      <c r="UJ101" s="6"/>
      <c r="UK101" s="4"/>
      <c r="UL101" s="4"/>
      <c r="UM101" s="4"/>
      <c r="UN101" s="4"/>
      <c r="UO101" s="4"/>
      <c r="UP101" s="5"/>
      <c r="UQ101" s="6"/>
      <c r="UR101" s="4"/>
      <c r="US101" s="4"/>
      <c r="UT101" s="4"/>
      <c r="UU101" s="4"/>
      <c r="UV101" s="4"/>
      <c r="UW101" s="5"/>
      <c r="UX101" s="6"/>
      <c r="UY101" s="4"/>
      <c r="UZ101" s="4"/>
      <c r="VA101" s="4"/>
      <c r="VB101" s="4"/>
      <c r="VC101" s="4"/>
      <c r="VD101" s="5"/>
      <c r="VE101" s="6"/>
      <c r="VF101" s="4"/>
      <c r="VG101" s="4"/>
      <c r="VH101" s="4"/>
      <c r="VI101" s="4"/>
      <c r="VJ101" s="4"/>
      <c r="VK101" s="5"/>
      <c r="VL101" s="6"/>
      <c r="VM101" s="4"/>
      <c r="VN101" s="4"/>
      <c r="VO101" s="4"/>
      <c r="VP101" s="4"/>
      <c r="VQ101" s="4"/>
      <c r="VR101" s="5"/>
      <c r="VS101" s="6"/>
      <c r="VT101" s="4"/>
      <c r="VU101" s="4"/>
      <c r="VV101" s="4"/>
      <c r="VW101" s="4"/>
      <c r="VX101" s="4"/>
      <c r="VY101" s="5"/>
      <c r="VZ101" s="6"/>
      <c r="WA101" s="4"/>
      <c r="WB101" s="4"/>
      <c r="WC101" s="4"/>
      <c r="WD101" s="4"/>
      <c r="WE101" s="4"/>
      <c r="WF101" s="5"/>
      <c r="WG101" s="6"/>
      <c r="WH101" s="4"/>
      <c r="WI101" s="4"/>
      <c r="WJ101" s="4"/>
      <c r="WK101" s="4"/>
      <c r="WL101" s="4"/>
      <c r="WM101" s="5"/>
      <c r="WN101" s="6"/>
      <c r="WO101" s="4"/>
      <c r="WP101" s="4"/>
      <c r="WQ101" s="4"/>
      <c r="WR101" s="4"/>
      <c r="WS101" s="4"/>
      <c r="WT101" s="5"/>
      <c r="WU101" s="6"/>
      <c r="WV101" s="4"/>
      <c r="WW101" s="4"/>
      <c r="WX101" s="4"/>
      <c r="WY101" s="4"/>
      <c r="WZ101" s="4"/>
      <c r="XA101" s="5"/>
      <c r="XB101" s="6"/>
      <c r="XC101" s="4"/>
      <c r="XD101" s="4"/>
      <c r="XE101" s="4"/>
      <c r="XF101" s="4"/>
      <c r="XG101" s="4"/>
      <c r="XH101" s="5"/>
      <c r="XI101" s="6"/>
      <c r="XJ101" s="4"/>
      <c r="XK101" s="4"/>
      <c r="XL101" s="4"/>
      <c r="XM101" s="4"/>
      <c r="XN101" s="4"/>
      <c r="XO101" s="5"/>
      <c r="XP101" s="6"/>
      <c r="XQ101" s="4"/>
      <c r="XR101" s="4"/>
      <c r="XS101" s="4"/>
      <c r="XT101" s="4"/>
      <c r="XU101" s="4"/>
      <c r="XV101" s="5"/>
      <c r="XW101" s="6"/>
      <c r="XX101" s="4"/>
      <c r="XY101" s="4"/>
      <c r="XZ101" s="4"/>
      <c r="YA101" s="4"/>
      <c r="YB101" s="4"/>
      <c r="YC101" s="5"/>
      <c r="YD101" s="6"/>
      <c r="YE101" s="4"/>
      <c r="YF101" s="4"/>
      <c r="YG101" s="4"/>
      <c r="YH101" s="4"/>
      <c r="YI101" s="4"/>
      <c r="YJ101" s="5"/>
      <c r="YK101" s="6" t="s">
        <v>2783</v>
      </c>
      <c r="YL101" s="7" t="s">
        <v>2784</v>
      </c>
      <c r="YM101" s="4"/>
      <c r="YN101" s="4"/>
      <c r="YO101" s="4"/>
      <c r="YP101" s="4"/>
      <c r="YQ101" s="5" t="s">
        <v>2362</v>
      </c>
      <c r="YR101" s="6"/>
      <c r="YS101" s="4"/>
      <c r="YT101" s="4"/>
      <c r="YU101" s="4"/>
      <c r="YV101" s="4"/>
      <c r="YW101" s="4"/>
      <c r="YX101" s="5"/>
      <c r="YY101" s="6"/>
      <c r="YZ101" s="4"/>
      <c r="ZA101" s="4"/>
      <c r="ZB101" s="4"/>
      <c r="ZC101" s="4"/>
      <c r="ZD101" s="4"/>
      <c r="ZE101" s="5"/>
      <c r="ZF101" s="6"/>
      <c r="ZG101" s="4"/>
      <c r="ZH101" s="4"/>
      <c r="ZI101" s="4"/>
      <c r="ZJ101" s="4"/>
      <c r="ZK101" s="4"/>
      <c r="ZL101" s="5"/>
      <c r="ZM101" s="6"/>
      <c r="ZN101" s="4"/>
      <c r="ZO101" s="4"/>
      <c r="ZP101" s="4"/>
      <c r="ZQ101" s="4"/>
      <c r="ZR101" s="4"/>
      <c r="ZS101" s="5"/>
      <c r="ZT101" s="6"/>
      <c r="ZU101" s="4"/>
      <c r="ZV101" s="4"/>
      <c r="ZW101" s="4"/>
      <c r="ZX101" s="4"/>
      <c r="ZY101" s="4"/>
      <c r="ZZ101" s="5"/>
      <c r="AAA101" s="6"/>
      <c r="AAB101" s="4"/>
      <c r="AAC101" s="4"/>
      <c r="AAD101" s="4"/>
      <c r="AAE101" s="4"/>
      <c r="AAF101" s="4"/>
      <c r="AAG101" s="5"/>
      <c r="AAH101" s="6"/>
      <c r="AAI101" s="4"/>
      <c r="AAJ101" s="4"/>
      <c r="AAK101" s="4"/>
      <c r="AAL101" s="4"/>
      <c r="AAM101" s="4"/>
      <c r="AAN101" s="5"/>
      <c r="AAO101" s="6"/>
      <c r="AAP101" s="4"/>
      <c r="AAQ101" s="4"/>
      <c r="AAR101" s="4"/>
      <c r="AAS101" s="4"/>
      <c r="AAT101" s="4"/>
      <c r="AAU101" s="5"/>
      <c r="AAV101" s="6"/>
      <c r="AAW101" s="4"/>
      <c r="AAX101" s="4"/>
      <c r="AAY101" s="4"/>
      <c r="AAZ101" s="4"/>
      <c r="ABA101" s="4"/>
      <c r="ABB101" s="5"/>
      <c r="ABC101" s="6"/>
      <c r="ABD101" s="4"/>
      <c r="ABE101" s="4"/>
      <c r="ABF101" s="4"/>
      <c r="ABG101" s="4"/>
      <c r="ABH101" s="4"/>
      <c r="ABI101" s="5"/>
      <c r="ABJ101" s="6"/>
      <c r="ABK101" s="4"/>
      <c r="ABL101" s="4"/>
      <c r="ABM101" s="4"/>
      <c r="ABN101" s="4"/>
      <c r="ABO101" s="4"/>
      <c r="ABP101" s="5"/>
      <c r="ABQ101" s="6"/>
      <c r="ABR101" s="4"/>
      <c r="ABS101" s="4"/>
      <c r="ABT101" s="4"/>
      <c r="ABU101" s="4"/>
      <c r="ABV101" s="4"/>
      <c r="ABW101" s="5"/>
      <c r="ABX101" s="6"/>
      <c r="ABY101" s="4"/>
      <c r="ABZ101" s="4"/>
      <c r="ACA101" s="4"/>
      <c r="ACB101" s="4"/>
      <c r="ACC101" s="4"/>
      <c r="ACD101" s="5"/>
      <c r="ACE101" s="6"/>
      <c r="ACF101" s="4"/>
      <c r="ACG101" s="4"/>
      <c r="ACH101" s="4"/>
      <c r="ACI101" s="4"/>
      <c r="ACJ101" s="4"/>
      <c r="ACK101" s="5"/>
      <c r="ACL101" s="6"/>
      <c r="ACM101" s="4"/>
      <c r="ACN101" s="4"/>
      <c r="ACO101" s="4"/>
      <c r="ACP101" s="4"/>
      <c r="ACQ101" s="4"/>
      <c r="ACR101" s="5"/>
      <c r="ACS101" s="6"/>
      <c r="ACT101" s="4"/>
      <c r="ACU101" s="4"/>
      <c r="ACV101" s="4"/>
      <c r="ACW101" s="4"/>
      <c r="ACX101" s="4"/>
      <c r="ACY101" s="5"/>
    </row>
    <row r="102" spans="2:779" x14ac:dyDescent="0.25">
      <c r="B102" s="49">
        <v>96900009</v>
      </c>
      <c r="C102">
        <v>36</v>
      </c>
      <c r="D102" t="s">
        <v>2121</v>
      </c>
      <c r="F102" s="23" t="s">
        <v>1781</v>
      </c>
      <c r="J102" s="12"/>
      <c r="K102" s="12"/>
      <c r="L102" s="12"/>
      <c r="M102">
        <v>1</v>
      </c>
      <c r="N102" s="17">
        <v>34560</v>
      </c>
      <c r="V102">
        <v>1</v>
      </c>
      <c r="LL102" s="6"/>
      <c r="LM102" s="4"/>
      <c r="LN102" s="4"/>
      <c r="LO102" s="4"/>
      <c r="LP102" s="4"/>
      <c r="LQ102" s="4"/>
      <c r="LR102" s="5"/>
      <c r="LS102" s="6"/>
      <c r="LT102" s="4"/>
      <c r="LU102" s="4"/>
      <c r="LV102" s="4"/>
      <c r="LW102" s="4"/>
      <c r="LX102" s="4"/>
      <c r="LY102" s="5"/>
      <c r="LZ102" s="6" t="s">
        <v>3102</v>
      </c>
      <c r="MA102" s="7" t="s">
        <v>3103</v>
      </c>
      <c r="MB102" s="4"/>
      <c r="MC102" s="4"/>
      <c r="MD102" s="8"/>
      <c r="ME102" s="4"/>
      <c r="MF102" s="4"/>
      <c r="MG102" s="5" t="s">
        <v>3104</v>
      </c>
      <c r="MH102" s="6"/>
      <c r="MI102" s="4"/>
      <c r="MJ102" s="4"/>
      <c r="MK102" s="4"/>
      <c r="ML102" s="4"/>
      <c r="MM102" s="4"/>
      <c r="MN102" s="5"/>
      <c r="MO102" s="6"/>
      <c r="MP102" s="4"/>
      <c r="MQ102" s="4"/>
      <c r="MR102" s="4"/>
      <c r="MS102" s="4"/>
      <c r="MT102" s="4"/>
      <c r="MU102" s="5"/>
      <c r="MV102" s="6"/>
      <c r="MW102" s="4"/>
      <c r="MX102" s="4"/>
      <c r="MY102" s="4"/>
      <c r="MZ102" s="4"/>
      <c r="NA102" s="4"/>
      <c r="NB102" s="5"/>
      <c r="NC102" s="6" t="s">
        <v>2788</v>
      </c>
      <c r="ND102" s="4" t="s">
        <v>870</v>
      </c>
      <c r="NE102" s="4"/>
      <c r="NF102" s="4"/>
      <c r="NG102" s="4"/>
      <c r="NH102" s="4"/>
      <c r="NI102" s="5"/>
      <c r="NJ102" s="6"/>
      <c r="NK102" s="4"/>
      <c r="NL102" s="4"/>
      <c r="NM102" s="4"/>
      <c r="NN102" s="4"/>
      <c r="NO102" s="4"/>
      <c r="NP102" s="5"/>
      <c r="NQ102" s="6"/>
      <c r="NR102" s="4"/>
      <c r="NS102" s="4"/>
      <c r="NT102" s="4"/>
      <c r="NU102" s="4"/>
      <c r="NV102" s="4"/>
      <c r="NW102" s="5"/>
      <c r="NX102" s="6"/>
      <c r="NY102" s="4"/>
      <c r="NZ102" s="4"/>
      <c r="OA102" s="4"/>
      <c r="OB102" s="4"/>
      <c r="OC102" s="4"/>
      <c r="OD102" s="5"/>
      <c r="OE102" s="6"/>
      <c r="OF102" s="4"/>
      <c r="OG102" s="4"/>
      <c r="OH102" s="4"/>
      <c r="OI102" s="4"/>
      <c r="OJ102" s="4"/>
      <c r="OK102" s="5"/>
      <c r="OL102" s="6"/>
      <c r="OM102" s="4"/>
      <c r="ON102" s="4"/>
      <c r="OO102" s="4"/>
      <c r="OP102" s="4"/>
      <c r="OQ102" s="4"/>
      <c r="OR102" s="5"/>
      <c r="OS102" s="6"/>
      <c r="OT102" s="4"/>
      <c r="OU102" s="4"/>
      <c r="OV102" s="4"/>
      <c r="OW102" s="4"/>
      <c r="OX102" s="4"/>
      <c r="OY102" s="5"/>
      <c r="OZ102" s="6"/>
      <c r="PA102" s="4"/>
      <c r="PB102" s="4"/>
      <c r="PC102" s="4"/>
      <c r="PD102" s="4"/>
      <c r="PE102" s="4"/>
      <c r="PF102" s="5"/>
      <c r="PG102" s="6"/>
      <c r="PH102" s="4"/>
      <c r="PI102" s="4"/>
      <c r="PJ102" s="4"/>
      <c r="PK102" s="4"/>
      <c r="PL102" s="4"/>
      <c r="PM102" s="5"/>
      <c r="PN102" s="6"/>
      <c r="PO102" s="4"/>
      <c r="PP102" s="4"/>
      <c r="PQ102" s="4"/>
      <c r="PR102" s="4"/>
      <c r="PS102" s="4"/>
      <c r="PT102" s="5"/>
      <c r="PU102" s="6"/>
      <c r="PV102" s="4"/>
      <c r="PW102" s="4"/>
      <c r="PX102" s="4"/>
      <c r="PY102" s="4"/>
      <c r="PZ102" s="4"/>
      <c r="QA102" s="5"/>
      <c r="QB102" s="6"/>
      <c r="QC102" s="4"/>
      <c r="QD102" s="4"/>
      <c r="QE102" s="4"/>
      <c r="QF102" s="4"/>
      <c r="QG102" s="4"/>
      <c r="QH102" s="5"/>
      <c r="QI102" s="6"/>
      <c r="QJ102" s="4"/>
      <c r="QK102" s="4"/>
      <c r="QL102" s="4"/>
      <c r="QM102" s="4"/>
      <c r="QN102" s="4"/>
      <c r="QO102" s="5"/>
      <c r="QP102" s="6"/>
      <c r="QQ102" s="4"/>
      <c r="QR102" s="4"/>
      <c r="QS102" s="4"/>
      <c r="QT102" s="4"/>
      <c r="QU102" s="4"/>
      <c r="QV102" s="5"/>
      <c r="QW102" s="6"/>
      <c r="QX102" s="4"/>
      <c r="QY102" s="4"/>
      <c r="QZ102" s="4"/>
      <c r="RA102" s="4"/>
      <c r="RB102" s="4"/>
      <c r="RC102" s="5"/>
      <c r="RD102" s="6"/>
      <c r="RE102" s="4"/>
      <c r="RF102" s="4"/>
      <c r="RG102" s="4"/>
      <c r="RH102" s="4"/>
      <c r="RI102" s="4"/>
      <c r="RJ102" s="5"/>
      <c r="RK102" s="6"/>
      <c r="RL102" s="4"/>
      <c r="RM102" s="4"/>
      <c r="RN102" s="4"/>
      <c r="RO102" s="4"/>
      <c r="RP102" s="4"/>
      <c r="RQ102" s="5"/>
      <c r="RR102" s="6"/>
      <c r="RS102" s="4"/>
      <c r="RT102" s="4"/>
      <c r="RU102" s="4"/>
      <c r="RV102" s="4"/>
      <c r="RW102" s="4"/>
      <c r="RX102" s="5"/>
      <c r="RY102" s="6"/>
      <c r="RZ102" s="4"/>
      <c r="SA102" s="4"/>
      <c r="SB102" s="4"/>
      <c r="SC102" s="4"/>
      <c r="SD102" s="4"/>
      <c r="SE102" s="5"/>
      <c r="SF102" s="6"/>
      <c r="SG102" s="4"/>
      <c r="SH102" s="4"/>
      <c r="SI102" s="4"/>
      <c r="SJ102" s="4"/>
      <c r="SK102" s="4"/>
      <c r="SL102" s="5"/>
      <c r="SM102" s="6"/>
      <c r="SN102" s="4"/>
      <c r="SO102" s="4"/>
      <c r="SP102" s="4"/>
      <c r="SQ102" s="4"/>
      <c r="SR102" s="4"/>
      <c r="SS102" s="5"/>
      <c r="ST102" s="6"/>
      <c r="SU102" s="4"/>
      <c r="SV102" s="4"/>
      <c r="SW102" s="4"/>
      <c r="SX102" s="4"/>
      <c r="SY102" s="4"/>
      <c r="SZ102" s="5"/>
      <c r="TA102" s="6"/>
      <c r="TB102" s="4"/>
      <c r="TC102" s="4"/>
      <c r="TD102" s="4"/>
      <c r="TE102" s="4"/>
      <c r="TF102" s="4"/>
      <c r="TG102" s="5"/>
      <c r="TH102" s="6"/>
      <c r="TI102" s="4"/>
      <c r="TJ102" s="4"/>
      <c r="TK102" s="4"/>
      <c r="TL102" s="4"/>
      <c r="TM102" s="4"/>
      <c r="TN102" s="5"/>
      <c r="TO102" s="6"/>
      <c r="TP102" s="4"/>
      <c r="TQ102" s="4"/>
      <c r="TR102" s="4"/>
      <c r="TS102" s="4"/>
      <c r="TT102" s="4"/>
      <c r="TU102" s="5"/>
      <c r="TV102" s="6"/>
      <c r="TW102" s="4"/>
      <c r="TX102" s="4"/>
      <c r="TY102" s="4"/>
      <c r="TZ102" s="4"/>
      <c r="UA102" s="4"/>
      <c r="UB102" s="5"/>
      <c r="UC102" s="6"/>
      <c r="UD102" s="4"/>
      <c r="UE102" s="4"/>
      <c r="UF102" s="4"/>
      <c r="UG102" s="4"/>
      <c r="UH102" s="4"/>
      <c r="UI102" s="5"/>
      <c r="UJ102" s="6" t="s">
        <v>871</v>
      </c>
      <c r="UK102" s="4" t="s">
        <v>872</v>
      </c>
      <c r="UL102" s="4"/>
      <c r="UM102" s="4"/>
      <c r="UN102" s="4"/>
      <c r="UO102" s="4"/>
      <c r="UP102" s="5"/>
      <c r="UQ102" s="6"/>
      <c r="UR102" s="4"/>
      <c r="US102" s="4"/>
      <c r="UT102" s="4"/>
      <c r="UU102" s="4"/>
      <c r="UV102" s="4"/>
      <c r="UW102" s="5"/>
      <c r="UX102" s="6"/>
      <c r="UY102" s="4"/>
      <c r="UZ102" s="4"/>
      <c r="VA102" s="4"/>
      <c r="VB102" s="4"/>
      <c r="VC102" s="4"/>
      <c r="VD102" s="5"/>
      <c r="VE102" s="6"/>
      <c r="VF102" s="4"/>
      <c r="VG102" s="4"/>
      <c r="VH102" s="4"/>
      <c r="VI102" s="4"/>
      <c r="VJ102" s="4"/>
      <c r="VK102" s="5"/>
      <c r="VL102" s="6"/>
      <c r="VM102" s="4"/>
      <c r="VN102" s="4"/>
      <c r="VO102" s="4"/>
      <c r="VP102" s="4"/>
      <c r="VQ102" s="4"/>
      <c r="VR102" s="5"/>
      <c r="VS102" s="6"/>
      <c r="VT102" s="4"/>
      <c r="VU102" s="4"/>
      <c r="VV102" s="4"/>
      <c r="VW102" s="4"/>
      <c r="VX102" s="4"/>
      <c r="VY102" s="5"/>
      <c r="VZ102" s="6"/>
      <c r="WA102" s="4"/>
      <c r="WB102" s="4"/>
      <c r="WC102" s="4"/>
      <c r="WD102" s="4"/>
      <c r="WE102" s="4"/>
      <c r="WF102" s="5"/>
      <c r="WG102" s="6"/>
      <c r="WH102" s="4"/>
      <c r="WI102" s="4"/>
      <c r="WJ102" s="4"/>
      <c r="WK102" s="4"/>
      <c r="WL102" s="4"/>
      <c r="WM102" s="5"/>
      <c r="WN102" s="6"/>
      <c r="WO102" s="4"/>
      <c r="WP102" s="4"/>
      <c r="WQ102" s="4"/>
      <c r="WR102" s="4"/>
      <c r="WS102" s="4"/>
      <c r="WT102" s="5"/>
      <c r="WU102" s="6"/>
      <c r="WV102" s="4"/>
      <c r="WW102" s="4"/>
      <c r="WX102" s="4"/>
      <c r="WY102" s="4"/>
      <c r="WZ102" s="4"/>
      <c r="XA102" s="5"/>
      <c r="XB102" s="6"/>
      <c r="XC102" s="4"/>
      <c r="XD102" s="4"/>
      <c r="XE102" s="4"/>
      <c r="XF102" s="4"/>
      <c r="XG102" s="4"/>
      <c r="XH102" s="5"/>
      <c r="XI102" s="6"/>
      <c r="XJ102" s="4"/>
      <c r="XK102" s="4"/>
      <c r="XL102" s="4"/>
      <c r="XM102" s="4"/>
      <c r="XN102" s="4"/>
      <c r="XO102" s="5"/>
      <c r="XP102" s="6" t="s">
        <v>1956</v>
      </c>
      <c r="XQ102" s="4" t="s">
        <v>1884</v>
      </c>
      <c r="XR102" s="4"/>
      <c r="XS102" s="4"/>
      <c r="XT102" s="4"/>
      <c r="XU102" s="4"/>
      <c r="XV102" s="5"/>
      <c r="XW102" s="6"/>
      <c r="XX102" s="4"/>
      <c r="XY102" s="4"/>
      <c r="XZ102" s="4"/>
      <c r="YA102" s="4"/>
      <c r="YB102" s="4"/>
      <c r="YC102" s="5"/>
      <c r="YD102" s="6"/>
      <c r="YE102" s="4"/>
      <c r="YF102" s="4"/>
      <c r="YG102" s="4"/>
      <c r="YH102" s="4"/>
      <c r="YI102" s="4"/>
      <c r="YJ102" s="5"/>
      <c r="YK102" s="6"/>
      <c r="YL102" s="4"/>
      <c r="YM102" s="4"/>
      <c r="YN102" s="4"/>
      <c r="YO102" s="4"/>
      <c r="YP102" s="4"/>
      <c r="YQ102" s="5"/>
      <c r="YR102" s="6" t="s">
        <v>873</v>
      </c>
      <c r="YS102" s="4" t="s">
        <v>874</v>
      </c>
      <c r="YT102" s="4"/>
      <c r="YU102" s="4"/>
      <c r="YV102" s="4"/>
      <c r="YW102" s="4"/>
      <c r="YX102" s="5"/>
      <c r="YY102" s="6"/>
      <c r="YZ102" s="4"/>
      <c r="ZA102" s="4"/>
      <c r="ZB102" s="4"/>
      <c r="ZC102" s="4"/>
      <c r="ZD102" s="4"/>
      <c r="ZE102" s="5"/>
      <c r="ZF102" s="6"/>
      <c r="ZG102" s="4"/>
      <c r="ZH102" s="4"/>
      <c r="ZI102" s="4"/>
      <c r="ZJ102" s="4"/>
      <c r="ZK102" s="4"/>
      <c r="ZL102" s="5"/>
      <c r="ZM102" s="6" t="s">
        <v>1012</v>
      </c>
      <c r="ZN102" s="4" t="s">
        <v>1013</v>
      </c>
      <c r="ZO102" s="4"/>
      <c r="ZP102" s="4"/>
      <c r="ZQ102" s="4"/>
      <c r="ZR102" s="4"/>
      <c r="ZS102" s="5"/>
      <c r="ZT102" s="6"/>
      <c r="ZU102" s="4"/>
      <c r="ZV102" s="4"/>
      <c r="ZW102" s="4"/>
      <c r="ZX102" s="4"/>
      <c r="ZY102" s="4"/>
      <c r="ZZ102" s="5"/>
      <c r="AAA102" s="6"/>
      <c r="AAB102" s="4"/>
      <c r="AAC102" s="4"/>
      <c r="AAD102" s="4"/>
      <c r="AAE102" s="4"/>
      <c r="AAF102" s="4"/>
      <c r="AAG102" s="5"/>
      <c r="AAH102" s="6"/>
      <c r="AAI102" s="4"/>
      <c r="AAJ102" s="4"/>
      <c r="AAK102" s="4"/>
      <c r="AAL102" s="4"/>
      <c r="AAM102" s="4"/>
      <c r="AAN102" s="5"/>
      <c r="AAO102" s="6"/>
      <c r="AAP102" s="4"/>
      <c r="AAQ102" s="4"/>
      <c r="AAR102" s="4"/>
      <c r="AAS102" s="4"/>
      <c r="AAT102" s="4"/>
      <c r="AAU102" s="5"/>
      <c r="AAV102" s="6"/>
      <c r="AAW102" s="4"/>
      <c r="AAX102" s="4"/>
      <c r="AAY102" s="4"/>
      <c r="AAZ102" s="4"/>
      <c r="ABA102" s="4"/>
      <c r="ABB102" s="5"/>
      <c r="ABC102" s="6"/>
      <c r="ABD102" s="4"/>
      <c r="ABE102" s="4"/>
      <c r="ABF102" s="4"/>
      <c r="ABG102" s="4"/>
      <c r="ABH102" s="4"/>
      <c r="ABI102" s="5"/>
      <c r="ABJ102" s="6"/>
      <c r="ABK102" s="4"/>
      <c r="ABL102" s="4"/>
      <c r="ABM102" s="4"/>
      <c r="ABN102" s="4"/>
      <c r="ABO102" s="4"/>
      <c r="ABP102" s="5"/>
      <c r="ABQ102" s="6"/>
      <c r="ABR102" s="4"/>
      <c r="ABS102" s="4"/>
      <c r="ABT102" s="4"/>
      <c r="ABU102" s="4"/>
      <c r="ABV102" s="4"/>
      <c r="ABW102" s="5"/>
      <c r="ABX102" s="6"/>
      <c r="ABY102" s="4"/>
      <c r="ABZ102" s="4"/>
      <c r="ACA102" s="4"/>
      <c r="ACB102" s="4"/>
      <c r="ACC102" s="4"/>
      <c r="ACD102" s="5"/>
      <c r="ACE102" s="6"/>
      <c r="ACF102" s="4"/>
      <c r="ACG102" s="4"/>
      <c r="ACH102" s="4"/>
      <c r="ACI102" s="4"/>
      <c r="ACJ102" s="4"/>
      <c r="ACK102" s="5"/>
      <c r="ACL102" s="6"/>
      <c r="ACM102" s="4"/>
      <c r="ACN102" s="4"/>
      <c r="ACO102" s="4"/>
      <c r="ACP102" s="4"/>
      <c r="ACQ102" s="4"/>
      <c r="ACR102" s="5"/>
      <c r="ACS102" s="6"/>
      <c r="ACT102" s="4"/>
      <c r="ACU102" s="4"/>
      <c r="ACV102" s="4"/>
      <c r="ACW102" s="4"/>
      <c r="ACX102" s="4"/>
      <c r="ACY102" s="5"/>
    </row>
    <row r="103" spans="2:779" x14ac:dyDescent="0.25">
      <c r="B103" s="30"/>
      <c r="J103" s="12"/>
      <c r="K103" s="12"/>
      <c r="L103" s="12"/>
      <c r="LL103" s="6"/>
      <c r="LM103" s="4"/>
      <c r="LN103" s="4"/>
      <c r="LO103" s="4"/>
      <c r="LP103" s="4"/>
      <c r="LQ103" s="4"/>
      <c r="LR103" s="5"/>
      <c r="LS103" s="6"/>
      <c r="LT103" s="4"/>
      <c r="LU103" s="4"/>
      <c r="LV103" s="4"/>
      <c r="LW103" s="4"/>
      <c r="LX103" s="4"/>
      <c r="LY103" s="5"/>
      <c r="LZ103" s="6" t="s">
        <v>1014</v>
      </c>
      <c r="MA103" s="7" t="s">
        <v>1015</v>
      </c>
      <c r="MB103" s="4"/>
      <c r="MC103" s="4"/>
      <c r="MD103" s="8"/>
      <c r="ME103" s="4"/>
      <c r="MF103" s="4"/>
      <c r="MG103" s="5" t="s">
        <v>1016</v>
      </c>
      <c r="MH103" s="6"/>
      <c r="MI103" s="4"/>
      <c r="MJ103" s="4"/>
      <c r="MK103" s="4"/>
      <c r="ML103" s="4"/>
      <c r="MM103" s="4"/>
      <c r="MN103" s="5"/>
      <c r="MO103" s="6"/>
      <c r="MP103" s="4"/>
      <c r="MQ103" s="4"/>
      <c r="MR103" s="4"/>
      <c r="MS103" s="4"/>
      <c r="MT103" s="4"/>
      <c r="MU103" s="5"/>
      <c r="MV103" s="6"/>
      <c r="MW103" s="4"/>
      <c r="MX103" s="4"/>
      <c r="MY103" s="4"/>
      <c r="MZ103" s="4"/>
      <c r="NA103" s="4"/>
      <c r="NB103" s="5"/>
      <c r="NC103" s="6"/>
      <c r="ND103" s="4"/>
      <c r="NE103" s="4"/>
      <c r="NF103" s="4"/>
      <c r="NG103" s="4"/>
      <c r="NH103" s="4"/>
      <c r="NI103" s="5"/>
      <c r="NJ103" s="6"/>
      <c r="NK103" s="4"/>
      <c r="NL103" s="4"/>
      <c r="NM103" s="4"/>
      <c r="NN103" s="4"/>
      <c r="NO103" s="4"/>
      <c r="NP103" s="5"/>
      <c r="NQ103" s="6"/>
      <c r="NR103" s="4"/>
      <c r="NS103" s="4"/>
      <c r="NT103" s="4"/>
      <c r="NU103" s="4"/>
      <c r="NV103" s="4"/>
      <c r="NW103" s="5"/>
      <c r="NX103" s="6"/>
      <c r="NY103" s="4"/>
      <c r="NZ103" s="4"/>
      <c r="OA103" s="4"/>
      <c r="OB103" s="4"/>
      <c r="OC103" s="4"/>
      <c r="OD103" s="5"/>
      <c r="OE103" s="6"/>
      <c r="OF103" s="4"/>
      <c r="OG103" s="4"/>
      <c r="OH103" s="4"/>
      <c r="OI103" s="4"/>
      <c r="OJ103" s="4"/>
      <c r="OK103" s="5"/>
      <c r="OL103" s="6"/>
      <c r="OM103" s="4"/>
      <c r="ON103" s="4"/>
      <c r="OO103" s="4"/>
      <c r="OP103" s="4"/>
      <c r="OQ103" s="4"/>
      <c r="OR103" s="5"/>
      <c r="OS103" s="6"/>
      <c r="OT103" s="4"/>
      <c r="OU103" s="4"/>
      <c r="OV103" s="4"/>
      <c r="OW103" s="4"/>
      <c r="OX103" s="4"/>
      <c r="OY103" s="5"/>
      <c r="OZ103" s="6"/>
      <c r="PA103" s="4"/>
      <c r="PB103" s="4"/>
      <c r="PC103" s="4"/>
      <c r="PD103" s="4"/>
      <c r="PE103" s="4"/>
      <c r="PF103" s="5"/>
      <c r="PG103" s="6"/>
      <c r="PH103" s="4"/>
      <c r="PI103" s="4"/>
      <c r="PJ103" s="4"/>
      <c r="PK103" s="4"/>
      <c r="PL103" s="4"/>
      <c r="PM103" s="5"/>
      <c r="PN103" s="6"/>
      <c r="PO103" s="4"/>
      <c r="PP103" s="4"/>
      <c r="PQ103" s="4"/>
      <c r="PR103" s="4"/>
      <c r="PS103" s="4"/>
      <c r="PT103" s="5"/>
      <c r="PU103" s="6"/>
      <c r="PV103" s="4"/>
      <c r="PW103" s="4"/>
      <c r="PX103" s="4"/>
      <c r="PY103" s="4"/>
      <c r="PZ103" s="4"/>
      <c r="QA103" s="5"/>
      <c r="QB103" s="6"/>
      <c r="QC103" s="4"/>
      <c r="QD103" s="4"/>
      <c r="QE103" s="4"/>
      <c r="QF103" s="4"/>
      <c r="QG103" s="4"/>
      <c r="QH103" s="5"/>
      <c r="QI103" s="6"/>
      <c r="QJ103" s="4"/>
      <c r="QK103" s="4"/>
      <c r="QL103" s="4"/>
      <c r="QM103" s="4"/>
      <c r="QN103" s="4"/>
      <c r="QO103" s="5"/>
      <c r="QP103" s="6"/>
      <c r="QQ103" s="4"/>
      <c r="QR103" s="4"/>
      <c r="QS103" s="4"/>
      <c r="QT103" s="4"/>
      <c r="QU103" s="4"/>
      <c r="QV103" s="5"/>
      <c r="QW103" s="6"/>
      <c r="QX103" s="4"/>
      <c r="QY103" s="4"/>
      <c r="QZ103" s="4"/>
      <c r="RA103" s="4"/>
      <c r="RB103" s="4"/>
      <c r="RC103" s="5"/>
      <c r="RD103" s="6"/>
      <c r="RE103" s="4"/>
      <c r="RF103" s="4"/>
      <c r="RG103" s="4"/>
      <c r="RH103" s="4"/>
      <c r="RI103" s="4"/>
      <c r="RJ103" s="5"/>
      <c r="RK103" s="6"/>
      <c r="RL103" s="4"/>
      <c r="RM103" s="4"/>
      <c r="RN103" s="4"/>
      <c r="RO103" s="4"/>
      <c r="RP103" s="4"/>
      <c r="RQ103" s="5"/>
      <c r="RR103" s="6"/>
      <c r="RS103" s="4"/>
      <c r="RT103" s="4"/>
      <c r="RU103" s="4"/>
      <c r="RV103" s="4"/>
      <c r="RW103" s="4"/>
      <c r="RX103" s="5"/>
      <c r="RY103" s="6"/>
      <c r="RZ103" s="4"/>
      <c r="SA103" s="4"/>
      <c r="SB103" s="4"/>
      <c r="SC103" s="4"/>
      <c r="SD103" s="4"/>
      <c r="SE103" s="5"/>
      <c r="SF103" s="6"/>
      <c r="SG103" s="4"/>
      <c r="SH103" s="4"/>
      <c r="SI103" s="4"/>
      <c r="SJ103" s="4"/>
      <c r="SK103" s="4"/>
      <c r="SL103" s="5"/>
      <c r="SM103" s="6"/>
      <c r="SN103" s="4"/>
      <c r="SO103" s="4"/>
      <c r="SP103" s="4"/>
      <c r="SQ103" s="4"/>
      <c r="SR103" s="4"/>
      <c r="SS103" s="5"/>
      <c r="ST103" s="6"/>
      <c r="SU103" s="4"/>
      <c r="SV103" s="4"/>
      <c r="SW103" s="4"/>
      <c r="SX103" s="4"/>
      <c r="SY103" s="4"/>
      <c r="SZ103" s="5"/>
      <c r="TA103" s="6"/>
      <c r="TB103" s="4"/>
      <c r="TC103" s="4"/>
      <c r="TD103" s="4"/>
      <c r="TE103" s="4"/>
      <c r="TF103" s="4"/>
      <c r="TG103" s="5"/>
      <c r="TH103" s="6"/>
      <c r="TI103" s="4"/>
      <c r="TJ103" s="4"/>
      <c r="TK103" s="4"/>
      <c r="TL103" s="4"/>
      <c r="TM103" s="4"/>
      <c r="TN103" s="5"/>
      <c r="TO103" s="6"/>
      <c r="TP103" s="4"/>
      <c r="TQ103" s="4"/>
      <c r="TR103" s="4"/>
      <c r="TS103" s="4"/>
      <c r="TT103" s="4"/>
      <c r="TU103" s="5"/>
      <c r="TV103" s="6"/>
      <c r="TW103" s="4"/>
      <c r="TX103" s="4"/>
      <c r="TY103" s="4"/>
      <c r="TZ103" s="4"/>
      <c r="UA103" s="4"/>
      <c r="UB103" s="5"/>
      <c r="UC103" s="6"/>
      <c r="UD103" s="4"/>
      <c r="UE103" s="4"/>
      <c r="UF103" s="4"/>
      <c r="UG103" s="4"/>
      <c r="UH103" s="4"/>
      <c r="UI103" s="5"/>
      <c r="UJ103" s="6"/>
      <c r="UK103" s="4"/>
      <c r="UL103" s="4"/>
      <c r="UM103" s="4"/>
      <c r="UN103" s="4"/>
      <c r="UO103" s="4"/>
      <c r="UP103" s="5"/>
      <c r="UQ103" s="6"/>
      <c r="UR103" s="4"/>
      <c r="US103" s="4"/>
      <c r="UT103" s="4"/>
      <c r="UU103" s="4"/>
      <c r="UV103" s="4"/>
      <c r="UW103" s="5"/>
      <c r="UX103" s="6"/>
      <c r="UY103" s="4"/>
      <c r="UZ103" s="4"/>
      <c r="VA103" s="4"/>
      <c r="VB103" s="4"/>
      <c r="VC103" s="4"/>
      <c r="VD103" s="5"/>
      <c r="VE103" s="6"/>
      <c r="VF103" s="4"/>
      <c r="VG103" s="4"/>
      <c r="VH103" s="4"/>
      <c r="VI103" s="4"/>
      <c r="VJ103" s="4"/>
      <c r="VK103" s="5"/>
      <c r="VL103" s="6"/>
      <c r="VM103" s="4"/>
      <c r="VN103" s="4"/>
      <c r="VO103" s="4"/>
      <c r="VP103" s="4"/>
      <c r="VQ103" s="4"/>
      <c r="VR103" s="5"/>
      <c r="VS103" s="6"/>
      <c r="VT103" s="4"/>
      <c r="VU103" s="4"/>
      <c r="VV103" s="4"/>
      <c r="VW103" s="4"/>
      <c r="VX103" s="4"/>
      <c r="VY103" s="5"/>
      <c r="VZ103" s="6"/>
      <c r="WA103" s="4"/>
      <c r="WB103" s="4"/>
      <c r="WC103" s="4"/>
      <c r="WD103" s="4"/>
      <c r="WE103" s="4"/>
      <c r="WF103" s="5"/>
      <c r="WG103" s="6"/>
      <c r="WH103" s="4"/>
      <c r="WI103" s="4"/>
      <c r="WJ103" s="4"/>
      <c r="WK103" s="4"/>
      <c r="WL103" s="4"/>
      <c r="WM103" s="5"/>
      <c r="WN103" s="6"/>
      <c r="WO103" s="4"/>
      <c r="WP103" s="4"/>
      <c r="WQ103" s="4"/>
      <c r="WR103" s="4"/>
      <c r="WS103" s="4"/>
      <c r="WT103" s="5"/>
      <c r="WU103" s="6"/>
      <c r="WV103" s="4"/>
      <c r="WW103" s="4"/>
      <c r="WX103" s="4"/>
      <c r="WY103" s="4"/>
      <c r="WZ103" s="4"/>
      <c r="XA103" s="5"/>
      <c r="XB103" s="6"/>
      <c r="XC103" s="4"/>
      <c r="XD103" s="4"/>
      <c r="XE103" s="4"/>
      <c r="XF103" s="4"/>
      <c r="XG103" s="4"/>
      <c r="XH103" s="5"/>
      <c r="XI103" s="6"/>
      <c r="XJ103" s="4"/>
      <c r="XK103" s="4"/>
      <c r="XL103" s="4"/>
      <c r="XM103" s="4"/>
      <c r="XN103" s="4"/>
      <c r="XO103" s="5"/>
      <c r="XP103" s="6" t="s">
        <v>2368</v>
      </c>
      <c r="XQ103" s="4" t="s">
        <v>2960</v>
      </c>
      <c r="XR103" s="4"/>
      <c r="XS103" s="4"/>
      <c r="XT103" s="4"/>
      <c r="XU103" s="4"/>
      <c r="XV103" s="5"/>
      <c r="XW103" s="6"/>
      <c r="XX103" s="4"/>
      <c r="XY103" s="4"/>
      <c r="XZ103" s="4"/>
      <c r="YA103" s="4"/>
      <c r="YB103" s="4"/>
      <c r="YC103" s="5"/>
      <c r="YD103" s="6"/>
      <c r="YE103" s="4"/>
      <c r="YF103" s="4"/>
      <c r="YG103" s="4"/>
      <c r="YH103" s="4"/>
      <c r="YI103" s="4"/>
      <c r="YJ103" s="5"/>
      <c r="YK103" s="6"/>
      <c r="YL103" s="4"/>
      <c r="YM103" s="4"/>
      <c r="YN103" s="4"/>
      <c r="YO103" s="4"/>
      <c r="YP103" s="4"/>
      <c r="YQ103" s="5"/>
      <c r="YR103" s="6" t="s">
        <v>1017</v>
      </c>
      <c r="YS103" s="4" t="s">
        <v>1153</v>
      </c>
      <c r="YT103" s="4"/>
      <c r="YU103" s="4"/>
      <c r="YV103" s="4"/>
      <c r="YW103" s="4"/>
      <c r="YX103" s="5"/>
      <c r="YY103" s="6"/>
      <c r="YZ103" s="4"/>
      <c r="ZA103" s="4"/>
      <c r="ZB103" s="4"/>
      <c r="ZC103" s="4"/>
      <c r="ZD103" s="4"/>
      <c r="ZE103" s="5"/>
      <c r="ZF103" s="6"/>
      <c r="ZG103" s="4"/>
      <c r="ZH103" s="4"/>
      <c r="ZI103" s="4"/>
      <c r="ZJ103" s="4"/>
      <c r="ZK103" s="4"/>
      <c r="ZL103" s="5"/>
      <c r="ZM103" s="6"/>
      <c r="ZN103" s="4"/>
      <c r="ZO103" s="4"/>
      <c r="ZP103" s="4"/>
      <c r="ZQ103" s="4"/>
      <c r="ZR103" s="4"/>
      <c r="ZS103" s="5"/>
      <c r="ZT103" s="6"/>
      <c r="ZU103" s="4"/>
      <c r="ZV103" s="4"/>
      <c r="ZW103" s="4"/>
      <c r="ZX103" s="4"/>
      <c r="ZY103" s="4"/>
      <c r="ZZ103" s="5"/>
      <c r="AAA103" s="6"/>
      <c r="AAB103" s="4"/>
      <c r="AAC103" s="4"/>
      <c r="AAD103" s="4"/>
      <c r="AAE103" s="4"/>
      <c r="AAF103" s="4"/>
      <c r="AAG103" s="5"/>
      <c r="AAH103" s="6"/>
      <c r="AAI103" s="4"/>
      <c r="AAJ103" s="4"/>
      <c r="AAK103" s="4"/>
      <c r="AAL103" s="4"/>
      <c r="AAM103" s="4"/>
      <c r="AAN103" s="5"/>
      <c r="AAO103" s="6"/>
      <c r="AAP103" s="4"/>
      <c r="AAQ103" s="4"/>
      <c r="AAR103" s="4"/>
      <c r="AAS103" s="4"/>
      <c r="AAT103" s="4"/>
      <c r="AAU103" s="5"/>
      <c r="AAV103" s="6"/>
      <c r="AAW103" s="4"/>
      <c r="AAX103" s="4"/>
      <c r="AAY103" s="4"/>
      <c r="AAZ103" s="4"/>
      <c r="ABA103" s="4"/>
      <c r="ABB103" s="5"/>
      <c r="ABC103" s="6"/>
      <c r="ABD103" s="4"/>
      <c r="ABE103" s="4"/>
      <c r="ABF103" s="4"/>
      <c r="ABG103" s="4"/>
      <c r="ABH103" s="4"/>
      <c r="ABI103" s="5"/>
      <c r="ABJ103" s="6"/>
      <c r="ABK103" s="4"/>
      <c r="ABL103" s="4"/>
      <c r="ABM103" s="4"/>
      <c r="ABN103" s="4"/>
      <c r="ABO103" s="4"/>
      <c r="ABP103" s="5"/>
      <c r="ABQ103" s="6"/>
      <c r="ABR103" s="4"/>
      <c r="ABS103" s="4"/>
      <c r="ABT103" s="4"/>
      <c r="ABU103" s="4"/>
      <c r="ABV103" s="4"/>
      <c r="ABW103" s="5"/>
      <c r="ABX103" s="6"/>
      <c r="ABY103" s="4"/>
      <c r="ABZ103" s="4"/>
      <c r="ACA103" s="4"/>
      <c r="ACB103" s="4"/>
      <c r="ACC103" s="4"/>
      <c r="ACD103" s="5"/>
      <c r="ACE103" s="6"/>
      <c r="ACF103" s="4"/>
      <c r="ACG103" s="4"/>
      <c r="ACH103" s="4"/>
      <c r="ACI103" s="4"/>
      <c r="ACJ103" s="4"/>
      <c r="ACK103" s="5"/>
      <c r="ACL103" s="6"/>
      <c r="ACM103" s="4"/>
      <c r="ACN103" s="4"/>
      <c r="ACO103" s="4"/>
      <c r="ACP103" s="4"/>
      <c r="ACQ103" s="4"/>
      <c r="ACR103" s="5"/>
      <c r="ACS103" s="6"/>
      <c r="ACT103" s="4"/>
      <c r="ACU103" s="4"/>
      <c r="ACV103" s="4"/>
      <c r="ACW103" s="4"/>
      <c r="ACX103" s="4"/>
      <c r="ACY103" s="5"/>
    </row>
    <row r="104" spans="2:779" x14ac:dyDescent="0.25">
      <c r="B104" s="30"/>
      <c r="J104" s="12"/>
      <c r="K104" s="12"/>
      <c r="L104" s="12"/>
      <c r="LL104" s="6"/>
      <c r="LM104" s="4"/>
      <c r="LN104" s="4"/>
      <c r="LO104" s="4"/>
      <c r="LP104" s="4"/>
      <c r="LQ104" s="4"/>
      <c r="LR104" s="5"/>
      <c r="LS104" s="6"/>
      <c r="LT104" s="4"/>
      <c r="LU104" s="4"/>
      <c r="LV104" s="4"/>
      <c r="LW104" s="4"/>
      <c r="LX104" s="4"/>
      <c r="LY104" s="5"/>
      <c r="LZ104" s="6" t="s">
        <v>1154</v>
      </c>
      <c r="MA104" s="7" t="s">
        <v>2525</v>
      </c>
      <c r="MB104" s="4"/>
      <c r="MC104" s="4"/>
      <c r="MD104" s="8"/>
      <c r="ME104" s="4"/>
      <c r="MF104" s="4"/>
      <c r="MG104" s="5"/>
      <c r="MH104" s="6"/>
      <c r="MI104" s="4"/>
      <c r="MJ104" s="4"/>
      <c r="MK104" s="4"/>
      <c r="ML104" s="4"/>
      <c r="MM104" s="4"/>
      <c r="MN104" s="5"/>
      <c r="MO104" s="6"/>
      <c r="MP104" s="4"/>
      <c r="MQ104" s="4"/>
      <c r="MR104" s="4"/>
      <c r="MS104" s="4"/>
      <c r="MT104" s="4"/>
      <c r="MU104" s="5"/>
      <c r="MV104" s="6"/>
      <c r="MW104" s="4"/>
      <c r="MX104" s="4"/>
      <c r="MY104" s="4"/>
      <c r="MZ104" s="4"/>
      <c r="NA104" s="4"/>
      <c r="NB104" s="5"/>
      <c r="NC104" s="6"/>
      <c r="ND104" s="4"/>
      <c r="NE104" s="4"/>
      <c r="NF104" s="4"/>
      <c r="NG104" s="4"/>
      <c r="NH104" s="4"/>
      <c r="NI104" s="5"/>
      <c r="NJ104" s="6"/>
      <c r="NK104" s="4"/>
      <c r="NL104" s="4"/>
      <c r="NM104" s="4"/>
      <c r="NN104" s="4"/>
      <c r="NO104" s="4"/>
      <c r="NP104" s="5"/>
      <c r="NQ104" s="6"/>
      <c r="NR104" s="4"/>
      <c r="NS104" s="4"/>
      <c r="NT104" s="4"/>
      <c r="NU104" s="4"/>
      <c r="NV104" s="4"/>
      <c r="NW104" s="5"/>
      <c r="NX104" s="6"/>
      <c r="NY104" s="4"/>
      <c r="NZ104" s="4"/>
      <c r="OA104" s="4"/>
      <c r="OB104" s="4"/>
      <c r="OC104" s="4"/>
      <c r="OD104" s="5"/>
      <c r="OE104" s="6"/>
      <c r="OF104" s="4"/>
      <c r="OG104" s="4"/>
      <c r="OH104" s="4"/>
      <c r="OI104" s="4"/>
      <c r="OJ104" s="4"/>
      <c r="OK104" s="5"/>
      <c r="OL104" s="6"/>
      <c r="OM104" s="4"/>
      <c r="ON104" s="4"/>
      <c r="OO104" s="4"/>
      <c r="OP104" s="4"/>
      <c r="OQ104" s="4"/>
      <c r="OR104" s="5"/>
      <c r="OS104" s="6"/>
      <c r="OT104" s="4"/>
      <c r="OU104" s="4"/>
      <c r="OV104" s="4"/>
      <c r="OW104" s="4"/>
      <c r="OX104" s="4"/>
      <c r="OY104" s="5"/>
      <c r="OZ104" s="6"/>
      <c r="PA104" s="4"/>
      <c r="PB104" s="4"/>
      <c r="PC104" s="4"/>
      <c r="PD104" s="4"/>
      <c r="PE104" s="4"/>
      <c r="PF104" s="5"/>
      <c r="PG104" s="6"/>
      <c r="PH104" s="4"/>
      <c r="PI104" s="4"/>
      <c r="PJ104" s="4"/>
      <c r="PK104" s="4"/>
      <c r="PL104" s="4"/>
      <c r="PM104" s="5"/>
      <c r="PN104" s="6"/>
      <c r="PO104" s="4"/>
      <c r="PP104" s="4"/>
      <c r="PQ104" s="4"/>
      <c r="PR104" s="4"/>
      <c r="PS104" s="4"/>
      <c r="PT104" s="5"/>
      <c r="PU104" s="6"/>
      <c r="PV104" s="4"/>
      <c r="PW104" s="4"/>
      <c r="PX104" s="4"/>
      <c r="PY104" s="4"/>
      <c r="PZ104" s="4"/>
      <c r="QA104" s="5"/>
      <c r="QB104" s="6"/>
      <c r="QC104" s="4"/>
      <c r="QD104" s="4"/>
      <c r="QE104" s="4"/>
      <c r="QF104" s="4"/>
      <c r="QG104" s="4"/>
      <c r="QH104" s="5"/>
      <c r="QI104" s="6"/>
      <c r="QJ104" s="4"/>
      <c r="QK104" s="4"/>
      <c r="QL104" s="4"/>
      <c r="QM104" s="4"/>
      <c r="QN104" s="4"/>
      <c r="QO104" s="5"/>
      <c r="QP104" s="6"/>
      <c r="QQ104" s="4"/>
      <c r="QR104" s="4"/>
      <c r="QS104" s="4"/>
      <c r="QT104" s="4"/>
      <c r="QU104" s="4"/>
      <c r="QV104" s="5"/>
      <c r="QW104" s="6"/>
      <c r="QX104" s="4"/>
      <c r="QY104" s="4"/>
      <c r="QZ104" s="4"/>
      <c r="RA104" s="4"/>
      <c r="RB104" s="4"/>
      <c r="RC104" s="5"/>
      <c r="RD104" s="6"/>
      <c r="RE104" s="4"/>
      <c r="RF104" s="4"/>
      <c r="RG104" s="4"/>
      <c r="RH104" s="4"/>
      <c r="RI104" s="4"/>
      <c r="RJ104" s="5"/>
      <c r="RK104" s="6"/>
      <c r="RL104" s="4"/>
      <c r="RM104" s="4"/>
      <c r="RN104" s="4"/>
      <c r="RO104" s="4"/>
      <c r="RP104" s="4"/>
      <c r="RQ104" s="5"/>
      <c r="RR104" s="6"/>
      <c r="RS104" s="4"/>
      <c r="RT104" s="4"/>
      <c r="RU104" s="4"/>
      <c r="RV104" s="4"/>
      <c r="RW104" s="4"/>
      <c r="RX104" s="5"/>
      <c r="RY104" s="6"/>
      <c r="RZ104" s="4"/>
      <c r="SA104" s="4"/>
      <c r="SB104" s="4"/>
      <c r="SC104" s="4"/>
      <c r="SD104" s="4"/>
      <c r="SE104" s="5"/>
      <c r="SF104" s="6"/>
      <c r="SG104" s="4"/>
      <c r="SH104" s="4"/>
      <c r="SI104" s="4"/>
      <c r="SJ104" s="4"/>
      <c r="SK104" s="4"/>
      <c r="SL104" s="5"/>
      <c r="SM104" s="6"/>
      <c r="SN104" s="4"/>
      <c r="SO104" s="4"/>
      <c r="SP104" s="4"/>
      <c r="SQ104" s="4"/>
      <c r="SR104" s="4"/>
      <c r="SS104" s="5"/>
      <c r="ST104" s="6"/>
      <c r="SU104" s="4"/>
      <c r="SV104" s="4"/>
      <c r="SW104" s="4"/>
      <c r="SX104" s="4"/>
      <c r="SY104" s="4"/>
      <c r="SZ104" s="5"/>
      <c r="TA104" s="6"/>
      <c r="TB104" s="4"/>
      <c r="TC104" s="4"/>
      <c r="TD104" s="4"/>
      <c r="TE104" s="4"/>
      <c r="TF104" s="4"/>
      <c r="TG104" s="5"/>
      <c r="TH104" s="6"/>
      <c r="TI104" s="4"/>
      <c r="TJ104" s="4"/>
      <c r="TK104" s="4"/>
      <c r="TL104" s="4"/>
      <c r="TM104" s="4"/>
      <c r="TN104" s="5"/>
      <c r="TO104" s="6"/>
      <c r="TP104" s="4"/>
      <c r="TQ104" s="4"/>
      <c r="TR104" s="4"/>
      <c r="TS104" s="4"/>
      <c r="TT104" s="4"/>
      <c r="TU104" s="5"/>
      <c r="TV104" s="6"/>
      <c r="TW104" s="4"/>
      <c r="TX104" s="4"/>
      <c r="TY104" s="4"/>
      <c r="TZ104" s="4"/>
      <c r="UA104" s="4"/>
      <c r="UB104" s="5"/>
      <c r="UC104" s="6"/>
      <c r="UD104" s="4"/>
      <c r="UE104" s="4"/>
      <c r="UF104" s="4"/>
      <c r="UG104" s="4"/>
      <c r="UH104" s="4"/>
      <c r="UI104" s="5"/>
      <c r="UJ104" s="6"/>
      <c r="UK104" s="4"/>
      <c r="UL104" s="4"/>
      <c r="UM104" s="4"/>
      <c r="UN104" s="4"/>
      <c r="UO104" s="4"/>
      <c r="UP104" s="5"/>
      <c r="UQ104" s="6"/>
      <c r="UR104" s="4"/>
      <c r="US104" s="4"/>
      <c r="UT104" s="4"/>
      <c r="UU104" s="4"/>
      <c r="UV104" s="4"/>
      <c r="UW104" s="5"/>
      <c r="UX104" s="6"/>
      <c r="UY104" s="4"/>
      <c r="UZ104" s="4"/>
      <c r="VA104" s="4"/>
      <c r="VB104" s="4"/>
      <c r="VC104" s="4"/>
      <c r="VD104" s="5"/>
      <c r="VE104" s="6"/>
      <c r="VF104" s="4"/>
      <c r="VG104" s="4"/>
      <c r="VH104" s="4"/>
      <c r="VI104" s="4"/>
      <c r="VJ104" s="4"/>
      <c r="VK104" s="5"/>
      <c r="VL104" s="6"/>
      <c r="VM104" s="4"/>
      <c r="VN104" s="4"/>
      <c r="VO104" s="4"/>
      <c r="VP104" s="4"/>
      <c r="VQ104" s="4"/>
      <c r="VR104" s="5"/>
      <c r="VS104" s="6"/>
      <c r="VT104" s="4"/>
      <c r="VU104" s="4"/>
      <c r="VV104" s="4"/>
      <c r="VW104" s="4"/>
      <c r="VX104" s="4"/>
      <c r="VY104" s="5"/>
      <c r="VZ104" s="6"/>
      <c r="WA104" s="4"/>
      <c r="WB104" s="4"/>
      <c r="WC104" s="4"/>
      <c r="WD104" s="4"/>
      <c r="WE104" s="4"/>
      <c r="WF104" s="5"/>
      <c r="WG104" s="6"/>
      <c r="WH104" s="4"/>
      <c r="WI104" s="4"/>
      <c r="WJ104" s="4"/>
      <c r="WK104" s="4"/>
      <c r="WL104" s="4"/>
      <c r="WM104" s="5"/>
      <c r="WN104" s="6"/>
      <c r="WO104" s="4"/>
      <c r="WP104" s="4"/>
      <c r="WQ104" s="4"/>
      <c r="WR104" s="4"/>
      <c r="WS104" s="4"/>
      <c r="WT104" s="5"/>
      <c r="WU104" s="6"/>
      <c r="WV104" s="4"/>
      <c r="WW104" s="4"/>
      <c r="WX104" s="4"/>
      <c r="WY104" s="4"/>
      <c r="WZ104" s="4"/>
      <c r="XA104" s="5"/>
      <c r="XB104" s="6"/>
      <c r="XC104" s="4"/>
      <c r="XD104" s="4"/>
      <c r="XE104" s="4"/>
      <c r="XF104" s="4"/>
      <c r="XG104" s="4"/>
      <c r="XH104" s="5"/>
      <c r="XI104" s="6"/>
      <c r="XJ104" s="4"/>
      <c r="XK104" s="4"/>
      <c r="XL104" s="4"/>
      <c r="XM104" s="4"/>
      <c r="XN104" s="4"/>
      <c r="XO104" s="5"/>
      <c r="XP104" s="6"/>
      <c r="XQ104" s="4"/>
      <c r="XR104" s="4"/>
      <c r="XS104" s="4"/>
      <c r="XT104" s="4"/>
      <c r="XU104" s="4"/>
      <c r="XV104" s="5"/>
      <c r="XW104" s="6"/>
      <c r="XX104" s="4"/>
      <c r="XY104" s="4"/>
      <c r="XZ104" s="4"/>
      <c r="YA104" s="4"/>
      <c r="YB104" s="4"/>
      <c r="YC104" s="5"/>
      <c r="YD104" s="6"/>
      <c r="YE104" s="4"/>
      <c r="YF104" s="4"/>
      <c r="YG104" s="4"/>
      <c r="YH104" s="4"/>
      <c r="YI104" s="4"/>
      <c r="YJ104" s="5"/>
      <c r="YK104" s="6"/>
      <c r="YL104" s="4"/>
      <c r="YM104" s="4"/>
      <c r="YN104" s="4"/>
      <c r="YO104" s="4"/>
      <c r="YP104" s="4"/>
      <c r="YQ104" s="5"/>
      <c r="YR104" s="6"/>
      <c r="YS104" s="4"/>
      <c r="YT104" s="4"/>
      <c r="YU104" s="4"/>
      <c r="YV104" s="4"/>
      <c r="YW104" s="4"/>
      <c r="YX104" s="5"/>
      <c r="YY104" s="6"/>
      <c r="YZ104" s="4"/>
      <c r="ZA104" s="4"/>
      <c r="ZB104" s="4"/>
      <c r="ZC104" s="4"/>
      <c r="ZD104" s="4"/>
      <c r="ZE104" s="5"/>
      <c r="ZF104" s="6"/>
      <c r="ZG104" s="4"/>
      <c r="ZH104" s="4"/>
      <c r="ZI104" s="4"/>
      <c r="ZJ104" s="4"/>
      <c r="ZK104" s="4"/>
      <c r="ZL104" s="5"/>
      <c r="ZM104" s="6"/>
      <c r="ZN104" s="4"/>
      <c r="ZO104" s="4"/>
      <c r="ZP104" s="4"/>
      <c r="ZQ104" s="4"/>
      <c r="ZR104" s="4"/>
      <c r="ZS104" s="5"/>
      <c r="ZT104" s="6"/>
      <c r="ZU104" s="4"/>
      <c r="ZV104" s="4"/>
      <c r="ZW104" s="4"/>
      <c r="ZX104" s="4"/>
      <c r="ZY104" s="4"/>
      <c r="ZZ104" s="5"/>
      <c r="AAA104" s="6"/>
      <c r="AAB104" s="4"/>
      <c r="AAC104" s="4"/>
      <c r="AAD104" s="4"/>
      <c r="AAE104" s="4"/>
      <c r="AAF104" s="4"/>
      <c r="AAG104" s="5"/>
      <c r="AAH104" s="6"/>
      <c r="AAI104" s="4"/>
      <c r="AAJ104" s="4"/>
      <c r="AAK104" s="4"/>
      <c r="AAL104" s="4"/>
      <c r="AAM104" s="4"/>
      <c r="AAN104" s="5"/>
      <c r="AAO104" s="6"/>
      <c r="AAP104" s="4"/>
      <c r="AAQ104" s="4"/>
      <c r="AAR104" s="4"/>
      <c r="AAS104" s="4"/>
      <c r="AAT104" s="4"/>
      <c r="AAU104" s="5"/>
      <c r="AAV104" s="6"/>
      <c r="AAW104" s="4"/>
      <c r="AAX104" s="4"/>
      <c r="AAY104" s="4"/>
      <c r="AAZ104" s="4"/>
      <c r="ABA104" s="4"/>
      <c r="ABB104" s="5"/>
      <c r="ABC104" s="6"/>
      <c r="ABD104" s="4"/>
      <c r="ABE104" s="4"/>
      <c r="ABF104" s="4"/>
      <c r="ABG104" s="4"/>
      <c r="ABH104" s="4"/>
      <c r="ABI104" s="5"/>
      <c r="ABJ104" s="6"/>
      <c r="ABK104" s="4"/>
      <c r="ABL104" s="4"/>
      <c r="ABM104" s="4"/>
      <c r="ABN104" s="4"/>
      <c r="ABO104" s="4"/>
      <c r="ABP104" s="5"/>
      <c r="ABQ104" s="6"/>
      <c r="ABR104" s="4"/>
      <c r="ABS104" s="4"/>
      <c r="ABT104" s="4"/>
      <c r="ABU104" s="4"/>
      <c r="ABV104" s="4"/>
      <c r="ABW104" s="5"/>
      <c r="ABX104" s="6"/>
      <c r="ABY104" s="4"/>
      <c r="ABZ104" s="4"/>
      <c r="ACA104" s="4"/>
      <c r="ACB104" s="4"/>
      <c r="ACC104" s="4"/>
      <c r="ACD104" s="5"/>
      <c r="ACE104" s="6"/>
      <c r="ACF104" s="4"/>
      <c r="ACG104" s="4"/>
      <c r="ACH104" s="4"/>
      <c r="ACI104" s="4"/>
      <c r="ACJ104" s="4"/>
      <c r="ACK104" s="5"/>
      <c r="ACL104" s="6"/>
      <c r="ACM104" s="4"/>
      <c r="ACN104" s="4"/>
      <c r="ACO104" s="4"/>
      <c r="ACP104" s="4"/>
      <c r="ACQ104" s="4"/>
      <c r="ACR104" s="5"/>
      <c r="ACS104" s="6"/>
      <c r="ACT104" s="4"/>
      <c r="ACU104" s="4"/>
      <c r="ACV104" s="4"/>
      <c r="ACW104" s="4"/>
      <c r="ACX104" s="4"/>
      <c r="ACY104" s="5"/>
    </row>
    <row r="105" spans="2:779" x14ac:dyDescent="0.25">
      <c r="B105" s="30"/>
      <c r="J105" s="12"/>
      <c r="K105" s="12"/>
      <c r="L105" s="12"/>
      <c r="LL105" s="6"/>
      <c r="LM105" s="4"/>
      <c r="LN105" s="4"/>
      <c r="LO105" s="4"/>
      <c r="LP105" s="4"/>
      <c r="LQ105" s="4"/>
      <c r="LR105" s="5"/>
      <c r="LS105" s="6"/>
      <c r="LT105" s="4"/>
      <c r="LU105" s="4"/>
      <c r="LV105" s="4"/>
      <c r="LW105" s="4"/>
      <c r="LX105" s="4"/>
      <c r="LY105" s="5"/>
      <c r="LZ105" s="6" t="s">
        <v>1155</v>
      </c>
      <c r="MA105" s="7" t="s">
        <v>1156</v>
      </c>
      <c r="MB105" s="4"/>
      <c r="MC105" s="4"/>
      <c r="MD105" s="8"/>
      <c r="ME105" s="4"/>
      <c r="MF105" s="4"/>
      <c r="MG105" s="5" t="s">
        <v>2856</v>
      </c>
      <c r="MH105" s="6"/>
      <c r="MI105" s="4"/>
      <c r="MJ105" s="4"/>
      <c r="MK105" s="4"/>
      <c r="ML105" s="4"/>
      <c r="MM105" s="4"/>
      <c r="MN105" s="5"/>
      <c r="MO105" s="6"/>
      <c r="MP105" s="4"/>
      <c r="MQ105" s="4"/>
      <c r="MR105" s="4"/>
      <c r="MS105" s="4"/>
      <c r="MT105" s="4"/>
      <c r="MU105" s="5"/>
      <c r="MV105" s="6"/>
      <c r="MW105" s="4"/>
      <c r="MX105" s="4"/>
      <c r="MY105" s="4"/>
      <c r="MZ105" s="4"/>
      <c r="NA105" s="4"/>
      <c r="NB105" s="5"/>
      <c r="NC105" s="6"/>
      <c r="ND105" s="4"/>
      <c r="NE105" s="4"/>
      <c r="NF105" s="4"/>
      <c r="NG105" s="4"/>
      <c r="NH105" s="4"/>
      <c r="NI105" s="5"/>
      <c r="NJ105" s="6"/>
      <c r="NK105" s="4"/>
      <c r="NL105" s="4"/>
      <c r="NM105" s="4"/>
      <c r="NN105" s="4"/>
      <c r="NO105" s="4"/>
      <c r="NP105" s="5"/>
      <c r="NQ105" s="6"/>
      <c r="NR105" s="4"/>
      <c r="NS105" s="4"/>
      <c r="NT105" s="4"/>
      <c r="NU105" s="4"/>
      <c r="NV105" s="4"/>
      <c r="NW105" s="5"/>
      <c r="NX105" s="6"/>
      <c r="NY105" s="4"/>
      <c r="NZ105" s="4"/>
      <c r="OA105" s="4"/>
      <c r="OB105" s="4"/>
      <c r="OC105" s="4"/>
      <c r="OD105" s="5"/>
      <c r="OE105" s="6"/>
      <c r="OF105" s="4"/>
      <c r="OG105" s="4"/>
      <c r="OH105" s="4"/>
      <c r="OI105" s="4"/>
      <c r="OJ105" s="4"/>
      <c r="OK105" s="5"/>
      <c r="OL105" s="6"/>
      <c r="OM105" s="4"/>
      <c r="ON105" s="4"/>
      <c r="OO105" s="4"/>
      <c r="OP105" s="4"/>
      <c r="OQ105" s="4"/>
      <c r="OR105" s="5"/>
      <c r="OS105" s="6"/>
      <c r="OT105" s="4"/>
      <c r="OU105" s="4"/>
      <c r="OV105" s="4"/>
      <c r="OW105" s="4"/>
      <c r="OX105" s="4"/>
      <c r="OY105" s="5"/>
      <c r="OZ105" s="6"/>
      <c r="PA105" s="4"/>
      <c r="PB105" s="4"/>
      <c r="PC105" s="4"/>
      <c r="PD105" s="4"/>
      <c r="PE105" s="4"/>
      <c r="PF105" s="5"/>
      <c r="PG105" s="6"/>
      <c r="PH105" s="4"/>
      <c r="PI105" s="4"/>
      <c r="PJ105" s="4"/>
      <c r="PK105" s="4"/>
      <c r="PL105" s="4"/>
      <c r="PM105" s="5"/>
      <c r="PN105" s="6"/>
      <c r="PO105" s="4"/>
      <c r="PP105" s="4"/>
      <c r="PQ105" s="4"/>
      <c r="PR105" s="4"/>
      <c r="PS105" s="4"/>
      <c r="PT105" s="5"/>
      <c r="PU105" s="6"/>
      <c r="PV105" s="4"/>
      <c r="PW105" s="4"/>
      <c r="PX105" s="4"/>
      <c r="PY105" s="4"/>
      <c r="PZ105" s="4"/>
      <c r="QA105" s="5"/>
      <c r="QB105" s="6"/>
      <c r="QC105" s="4"/>
      <c r="QD105" s="4"/>
      <c r="QE105" s="4"/>
      <c r="QF105" s="4"/>
      <c r="QG105" s="4"/>
      <c r="QH105" s="5"/>
      <c r="QI105" s="6"/>
      <c r="QJ105" s="4"/>
      <c r="QK105" s="4"/>
      <c r="QL105" s="4"/>
      <c r="QM105" s="4"/>
      <c r="QN105" s="4"/>
      <c r="QO105" s="5"/>
      <c r="QP105" s="6"/>
      <c r="QQ105" s="4"/>
      <c r="QR105" s="4"/>
      <c r="QS105" s="4"/>
      <c r="QT105" s="4"/>
      <c r="QU105" s="4"/>
      <c r="QV105" s="5"/>
      <c r="QW105" s="6"/>
      <c r="QX105" s="4"/>
      <c r="QY105" s="4"/>
      <c r="QZ105" s="4"/>
      <c r="RA105" s="4"/>
      <c r="RB105" s="4"/>
      <c r="RC105" s="5"/>
      <c r="RD105" s="6"/>
      <c r="RE105" s="4"/>
      <c r="RF105" s="4"/>
      <c r="RG105" s="4"/>
      <c r="RH105" s="4"/>
      <c r="RI105" s="4"/>
      <c r="RJ105" s="5"/>
      <c r="RK105" s="6"/>
      <c r="RL105" s="4"/>
      <c r="RM105" s="4"/>
      <c r="RN105" s="4"/>
      <c r="RO105" s="4"/>
      <c r="RP105" s="4"/>
      <c r="RQ105" s="5"/>
      <c r="RR105" s="6"/>
      <c r="RS105" s="4"/>
      <c r="RT105" s="4"/>
      <c r="RU105" s="4"/>
      <c r="RV105" s="4"/>
      <c r="RW105" s="4"/>
      <c r="RX105" s="5"/>
      <c r="RY105" s="6"/>
      <c r="RZ105" s="4"/>
      <c r="SA105" s="4"/>
      <c r="SB105" s="4"/>
      <c r="SC105" s="4"/>
      <c r="SD105" s="4"/>
      <c r="SE105" s="5"/>
      <c r="SF105" s="6"/>
      <c r="SG105" s="4"/>
      <c r="SH105" s="4"/>
      <c r="SI105" s="4"/>
      <c r="SJ105" s="4"/>
      <c r="SK105" s="4"/>
      <c r="SL105" s="5"/>
      <c r="SM105" s="6"/>
      <c r="SN105" s="4"/>
      <c r="SO105" s="4"/>
      <c r="SP105" s="4"/>
      <c r="SQ105" s="4"/>
      <c r="SR105" s="4"/>
      <c r="SS105" s="5"/>
      <c r="ST105" s="6"/>
      <c r="SU105" s="4"/>
      <c r="SV105" s="4"/>
      <c r="SW105" s="4"/>
      <c r="SX105" s="4"/>
      <c r="SY105" s="4"/>
      <c r="SZ105" s="5"/>
      <c r="TA105" s="6"/>
      <c r="TB105" s="4"/>
      <c r="TC105" s="4"/>
      <c r="TD105" s="4"/>
      <c r="TE105" s="4"/>
      <c r="TF105" s="4"/>
      <c r="TG105" s="5"/>
      <c r="TH105" s="6"/>
      <c r="TI105" s="4"/>
      <c r="TJ105" s="4"/>
      <c r="TK105" s="4"/>
      <c r="TL105" s="4"/>
      <c r="TM105" s="4"/>
      <c r="TN105" s="5"/>
      <c r="TO105" s="6"/>
      <c r="TP105" s="4"/>
      <c r="TQ105" s="4"/>
      <c r="TR105" s="4"/>
      <c r="TS105" s="4"/>
      <c r="TT105" s="4"/>
      <c r="TU105" s="5"/>
      <c r="TV105" s="6"/>
      <c r="TW105" s="4"/>
      <c r="TX105" s="4"/>
      <c r="TY105" s="4"/>
      <c r="TZ105" s="4"/>
      <c r="UA105" s="4"/>
      <c r="UB105" s="5"/>
      <c r="UC105" s="6"/>
      <c r="UD105" s="4"/>
      <c r="UE105" s="4"/>
      <c r="UF105" s="4"/>
      <c r="UG105" s="4"/>
      <c r="UH105" s="4"/>
      <c r="UI105" s="5"/>
      <c r="UJ105" s="6"/>
      <c r="UK105" s="4"/>
      <c r="UL105" s="4"/>
      <c r="UM105" s="4"/>
      <c r="UN105" s="4"/>
      <c r="UO105" s="4"/>
      <c r="UP105" s="5"/>
      <c r="UQ105" s="6"/>
      <c r="UR105" s="4"/>
      <c r="US105" s="4"/>
      <c r="UT105" s="4"/>
      <c r="UU105" s="4"/>
      <c r="UV105" s="4"/>
      <c r="UW105" s="5"/>
      <c r="UX105" s="6"/>
      <c r="UY105" s="4"/>
      <c r="UZ105" s="4"/>
      <c r="VA105" s="4"/>
      <c r="VB105" s="4"/>
      <c r="VC105" s="4"/>
      <c r="VD105" s="5"/>
      <c r="VE105" s="6"/>
      <c r="VF105" s="4"/>
      <c r="VG105" s="4"/>
      <c r="VH105" s="4"/>
      <c r="VI105" s="4"/>
      <c r="VJ105" s="4"/>
      <c r="VK105" s="5"/>
      <c r="VL105" s="6"/>
      <c r="VM105" s="4"/>
      <c r="VN105" s="4"/>
      <c r="VO105" s="4"/>
      <c r="VP105" s="4"/>
      <c r="VQ105" s="4"/>
      <c r="VR105" s="5"/>
      <c r="VS105" s="6"/>
      <c r="VT105" s="4"/>
      <c r="VU105" s="4"/>
      <c r="VV105" s="4"/>
      <c r="VW105" s="4"/>
      <c r="VX105" s="4"/>
      <c r="VY105" s="5"/>
      <c r="VZ105" s="6"/>
      <c r="WA105" s="4"/>
      <c r="WB105" s="4"/>
      <c r="WC105" s="4"/>
      <c r="WD105" s="4"/>
      <c r="WE105" s="4"/>
      <c r="WF105" s="5"/>
      <c r="WG105" s="6"/>
      <c r="WH105" s="4"/>
      <c r="WI105" s="4"/>
      <c r="WJ105" s="4"/>
      <c r="WK105" s="4"/>
      <c r="WL105" s="4"/>
      <c r="WM105" s="5"/>
      <c r="WN105" s="6"/>
      <c r="WO105" s="4"/>
      <c r="WP105" s="4"/>
      <c r="WQ105" s="4"/>
      <c r="WR105" s="4"/>
      <c r="WS105" s="4"/>
      <c r="WT105" s="5"/>
      <c r="WU105" s="6"/>
      <c r="WV105" s="4"/>
      <c r="WW105" s="4"/>
      <c r="WX105" s="4"/>
      <c r="WY105" s="4"/>
      <c r="WZ105" s="4"/>
      <c r="XA105" s="5"/>
      <c r="XB105" s="6"/>
      <c r="XC105" s="4"/>
      <c r="XD105" s="4"/>
      <c r="XE105" s="4"/>
      <c r="XF105" s="4"/>
      <c r="XG105" s="4"/>
      <c r="XH105" s="5"/>
      <c r="XI105" s="6"/>
      <c r="XJ105" s="4"/>
      <c r="XK105" s="4"/>
      <c r="XL105" s="4"/>
      <c r="XM105" s="4"/>
      <c r="XN105" s="4"/>
      <c r="XO105" s="5"/>
      <c r="XP105" s="6"/>
      <c r="XQ105" s="4"/>
      <c r="XR105" s="4"/>
      <c r="XS105" s="4"/>
      <c r="XT105" s="4"/>
      <c r="XU105" s="4"/>
      <c r="XV105" s="5"/>
      <c r="XW105" s="6"/>
      <c r="XX105" s="4"/>
      <c r="XY105" s="4"/>
      <c r="XZ105" s="4"/>
      <c r="YA105" s="4"/>
      <c r="YB105" s="4"/>
      <c r="YC105" s="5"/>
      <c r="YD105" s="6"/>
      <c r="YE105" s="4"/>
      <c r="YF105" s="4"/>
      <c r="YG105" s="4"/>
      <c r="YH105" s="4"/>
      <c r="YI105" s="4"/>
      <c r="YJ105" s="5"/>
      <c r="YK105" s="6"/>
      <c r="YL105" s="4"/>
      <c r="YM105" s="4"/>
      <c r="YN105" s="4"/>
      <c r="YO105" s="4"/>
      <c r="YP105" s="4"/>
      <c r="YQ105" s="5"/>
      <c r="YR105" s="6"/>
      <c r="YS105" s="4"/>
      <c r="YT105" s="4"/>
      <c r="YU105" s="4"/>
      <c r="YV105" s="4"/>
      <c r="YW105" s="4"/>
      <c r="YX105" s="5"/>
      <c r="YY105" s="6"/>
      <c r="YZ105" s="4"/>
      <c r="ZA105" s="4"/>
      <c r="ZB105" s="4"/>
      <c r="ZC105" s="4"/>
      <c r="ZD105" s="4"/>
      <c r="ZE105" s="5"/>
      <c r="ZF105" s="6"/>
      <c r="ZG105" s="4"/>
      <c r="ZH105" s="4"/>
      <c r="ZI105" s="4"/>
      <c r="ZJ105" s="4"/>
      <c r="ZK105" s="4"/>
      <c r="ZL105" s="5"/>
      <c r="ZM105" s="6"/>
      <c r="ZN105" s="4"/>
      <c r="ZO105" s="4"/>
      <c r="ZP105" s="4"/>
      <c r="ZQ105" s="4"/>
      <c r="ZR105" s="4"/>
      <c r="ZS105" s="5"/>
      <c r="ZT105" s="6"/>
      <c r="ZU105" s="4"/>
      <c r="ZV105" s="4"/>
      <c r="ZW105" s="4"/>
      <c r="ZX105" s="4"/>
      <c r="ZY105" s="4"/>
      <c r="ZZ105" s="5"/>
      <c r="AAA105" s="6"/>
      <c r="AAB105" s="4"/>
      <c r="AAC105" s="4"/>
      <c r="AAD105" s="4"/>
      <c r="AAE105" s="4"/>
      <c r="AAF105" s="4"/>
      <c r="AAG105" s="5"/>
      <c r="AAH105" s="6"/>
      <c r="AAI105" s="4"/>
      <c r="AAJ105" s="4"/>
      <c r="AAK105" s="4"/>
      <c r="AAL105" s="4"/>
      <c r="AAM105" s="4"/>
      <c r="AAN105" s="5"/>
      <c r="AAO105" s="6"/>
      <c r="AAP105" s="4"/>
      <c r="AAQ105" s="4"/>
      <c r="AAR105" s="4"/>
      <c r="AAS105" s="4"/>
      <c r="AAT105" s="4"/>
      <c r="AAU105" s="5"/>
      <c r="AAV105" s="6"/>
      <c r="AAW105" s="4"/>
      <c r="AAX105" s="4"/>
      <c r="AAY105" s="4"/>
      <c r="AAZ105" s="4"/>
      <c r="ABA105" s="4"/>
      <c r="ABB105" s="5"/>
      <c r="ABC105" s="6"/>
      <c r="ABD105" s="4"/>
      <c r="ABE105" s="4"/>
      <c r="ABF105" s="4"/>
      <c r="ABG105" s="4"/>
      <c r="ABH105" s="4"/>
      <c r="ABI105" s="5"/>
      <c r="ABJ105" s="6"/>
      <c r="ABK105" s="4"/>
      <c r="ABL105" s="4"/>
      <c r="ABM105" s="4"/>
      <c r="ABN105" s="4"/>
      <c r="ABO105" s="4"/>
      <c r="ABP105" s="5"/>
      <c r="ABQ105" s="6"/>
      <c r="ABR105" s="4"/>
      <c r="ABS105" s="4"/>
      <c r="ABT105" s="4"/>
      <c r="ABU105" s="4"/>
      <c r="ABV105" s="4"/>
      <c r="ABW105" s="5"/>
      <c r="ABX105" s="6"/>
      <c r="ABY105" s="4"/>
      <c r="ABZ105" s="4"/>
      <c r="ACA105" s="4"/>
      <c r="ACB105" s="4"/>
      <c r="ACC105" s="4"/>
      <c r="ACD105" s="5"/>
      <c r="ACE105" s="6"/>
      <c r="ACF105" s="4"/>
      <c r="ACG105" s="4"/>
      <c r="ACH105" s="4"/>
      <c r="ACI105" s="4"/>
      <c r="ACJ105" s="4"/>
      <c r="ACK105" s="5"/>
      <c r="ACL105" s="6"/>
      <c r="ACM105" s="4"/>
      <c r="ACN105" s="4"/>
      <c r="ACO105" s="4"/>
      <c r="ACP105" s="4"/>
      <c r="ACQ105" s="4"/>
      <c r="ACR105" s="5"/>
      <c r="ACS105" s="6"/>
      <c r="ACT105" s="4"/>
      <c r="ACU105" s="4"/>
      <c r="ACV105" s="4"/>
      <c r="ACW105" s="4"/>
      <c r="ACX105" s="4"/>
      <c r="ACY105" s="5"/>
    </row>
    <row r="106" spans="2:779" x14ac:dyDescent="0.25">
      <c r="B106" s="30"/>
      <c r="J106" s="12"/>
      <c r="K106" s="12"/>
      <c r="L106" s="12"/>
      <c r="LL106" s="6"/>
      <c r="LM106" s="4"/>
      <c r="LN106" s="4"/>
      <c r="LO106" s="4"/>
      <c r="LP106" s="4"/>
      <c r="LQ106" s="4"/>
      <c r="LR106" s="5"/>
      <c r="LS106" s="6"/>
      <c r="LT106" s="4"/>
      <c r="LU106" s="4"/>
      <c r="LV106" s="4"/>
      <c r="LW106" s="4"/>
      <c r="LX106" s="4"/>
      <c r="LY106" s="5"/>
      <c r="LZ106" s="6" t="s">
        <v>2290</v>
      </c>
      <c r="MA106" s="7" t="s">
        <v>2375</v>
      </c>
      <c r="MB106" s="4"/>
      <c r="MC106" s="4"/>
      <c r="MD106" s="8"/>
      <c r="ME106" s="4"/>
      <c r="MF106" s="4" t="s">
        <v>604</v>
      </c>
      <c r="MG106" s="5"/>
      <c r="MH106" s="6"/>
      <c r="MI106" s="4"/>
      <c r="MJ106" s="4"/>
      <c r="MK106" s="4"/>
      <c r="ML106" s="4"/>
      <c r="MM106" s="4"/>
      <c r="MN106" s="5"/>
      <c r="MO106" s="6"/>
      <c r="MP106" s="4"/>
      <c r="MQ106" s="4"/>
      <c r="MR106" s="4"/>
      <c r="MS106" s="4"/>
      <c r="MT106" s="4"/>
      <c r="MU106" s="5"/>
      <c r="MV106" s="6"/>
      <c r="MW106" s="4"/>
      <c r="MX106" s="4"/>
      <c r="MY106" s="4"/>
      <c r="MZ106" s="4"/>
      <c r="NA106" s="4"/>
      <c r="NB106" s="5"/>
      <c r="NC106" s="6"/>
      <c r="ND106" s="4"/>
      <c r="NE106" s="4"/>
      <c r="NF106" s="4"/>
      <c r="NG106" s="4"/>
      <c r="NH106" s="4"/>
      <c r="NI106" s="5"/>
      <c r="NJ106" s="6"/>
      <c r="NK106" s="4"/>
      <c r="NL106" s="4"/>
      <c r="NM106" s="4"/>
      <c r="NN106" s="4"/>
      <c r="NO106" s="4"/>
      <c r="NP106" s="5"/>
      <c r="NQ106" s="6"/>
      <c r="NR106" s="4"/>
      <c r="NS106" s="4"/>
      <c r="NT106" s="4"/>
      <c r="NU106" s="4"/>
      <c r="NV106" s="4"/>
      <c r="NW106" s="5"/>
      <c r="NX106" s="6"/>
      <c r="NY106" s="4"/>
      <c r="NZ106" s="4"/>
      <c r="OA106" s="4"/>
      <c r="OB106" s="4"/>
      <c r="OC106" s="4"/>
      <c r="OD106" s="5"/>
      <c r="OE106" s="6"/>
      <c r="OF106" s="4"/>
      <c r="OG106" s="4"/>
      <c r="OH106" s="4"/>
      <c r="OI106" s="4"/>
      <c r="OJ106" s="4"/>
      <c r="OK106" s="5"/>
      <c r="OL106" s="6"/>
      <c r="OM106" s="4"/>
      <c r="ON106" s="4"/>
      <c r="OO106" s="4"/>
      <c r="OP106" s="4"/>
      <c r="OQ106" s="4"/>
      <c r="OR106" s="5"/>
      <c r="OS106" s="6"/>
      <c r="OT106" s="4"/>
      <c r="OU106" s="4"/>
      <c r="OV106" s="4"/>
      <c r="OW106" s="4"/>
      <c r="OX106" s="4"/>
      <c r="OY106" s="5"/>
      <c r="OZ106" s="6"/>
      <c r="PA106" s="4"/>
      <c r="PB106" s="4"/>
      <c r="PC106" s="4"/>
      <c r="PD106" s="4"/>
      <c r="PE106" s="4"/>
      <c r="PF106" s="5"/>
      <c r="PG106" s="6"/>
      <c r="PH106" s="4"/>
      <c r="PI106" s="4"/>
      <c r="PJ106" s="4"/>
      <c r="PK106" s="4"/>
      <c r="PL106" s="4"/>
      <c r="PM106" s="5"/>
      <c r="PN106" s="6"/>
      <c r="PO106" s="4"/>
      <c r="PP106" s="4"/>
      <c r="PQ106" s="4"/>
      <c r="PR106" s="4"/>
      <c r="PS106" s="4"/>
      <c r="PT106" s="5"/>
      <c r="PU106" s="6"/>
      <c r="PV106" s="4"/>
      <c r="PW106" s="4"/>
      <c r="PX106" s="4"/>
      <c r="PY106" s="4"/>
      <c r="PZ106" s="4"/>
      <c r="QA106" s="5"/>
      <c r="QB106" s="6"/>
      <c r="QC106" s="4"/>
      <c r="QD106" s="4"/>
      <c r="QE106" s="4"/>
      <c r="QF106" s="4"/>
      <c r="QG106" s="4"/>
      <c r="QH106" s="5"/>
      <c r="QI106" s="6"/>
      <c r="QJ106" s="4"/>
      <c r="QK106" s="4"/>
      <c r="QL106" s="4"/>
      <c r="QM106" s="4"/>
      <c r="QN106" s="4"/>
      <c r="QO106" s="5"/>
      <c r="QP106" s="6"/>
      <c r="QQ106" s="4"/>
      <c r="QR106" s="4"/>
      <c r="QS106" s="4"/>
      <c r="QT106" s="4"/>
      <c r="QU106" s="4"/>
      <c r="QV106" s="5"/>
      <c r="QW106" s="6"/>
      <c r="QX106" s="4"/>
      <c r="QY106" s="4"/>
      <c r="QZ106" s="4"/>
      <c r="RA106" s="4"/>
      <c r="RB106" s="4"/>
      <c r="RC106" s="5"/>
      <c r="RD106" s="6"/>
      <c r="RE106" s="4"/>
      <c r="RF106" s="4"/>
      <c r="RG106" s="4"/>
      <c r="RH106" s="4"/>
      <c r="RI106" s="4"/>
      <c r="RJ106" s="5"/>
      <c r="RK106" s="6"/>
      <c r="RL106" s="4"/>
      <c r="RM106" s="4"/>
      <c r="RN106" s="4"/>
      <c r="RO106" s="4"/>
      <c r="RP106" s="4"/>
      <c r="RQ106" s="5"/>
      <c r="RR106" s="6"/>
      <c r="RS106" s="4"/>
      <c r="RT106" s="4"/>
      <c r="RU106" s="4"/>
      <c r="RV106" s="4"/>
      <c r="RW106" s="4"/>
      <c r="RX106" s="5"/>
      <c r="RY106" s="6"/>
      <c r="RZ106" s="4"/>
      <c r="SA106" s="4"/>
      <c r="SB106" s="4"/>
      <c r="SC106" s="4"/>
      <c r="SD106" s="4"/>
      <c r="SE106" s="5"/>
      <c r="SF106" s="6"/>
      <c r="SG106" s="4"/>
      <c r="SH106" s="4"/>
      <c r="SI106" s="4"/>
      <c r="SJ106" s="4"/>
      <c r="SK106" s="4"/>
      <c r="SL106" s="5"/>
      <c r="SM106" s="6"/>
      <c r="SN106" s="4"/>
      <c r="SO106" s="4"/>
      <c r="SP106" s="4"/>
      <c r="SQ106" s="4"/>
      <c r="SR106" s="4"/>
      <c r="SS106" s="5"/>
      <c r="ST106" s="6"/>
      <c r="SU106" s="4"/>
      <c r="SV106" s="4"/>
      <c r="SW106" s="4"/>
      <c r="SX106" s="4"/>
      <c r="SY106" s="4"/>
      <c r="SZ106" s="5"/>
      <c r="TA106" s="6"/>
      <c r="TB106" s="4"/>
      <c r="TC106" s="4"/>
      <c r="TD106" s="4"/>
      <c r="TE106" s="4"/>
      <c r="TF106" s="4"/>
      <c r="TG106" s="5"/>
      <c r="TH106" s="6"/>
      <c r="TI106" s="4"/>
      <c r="TJ106" s="4"/>
      <c r="TK106" s="4"/>
      <c r="TL106" s="4"/>
      <c r="TM106" s="4"/>
      <c r="TN106" s="5"/>
      <c r="TO106" s="6"/>
      <c r="TP106" s="4"/>
      <c r="TQ106" s="4"/>
      <c r="TR106" s="4"/>
      <c r="TS106" s="4"/>
      <c r="TT106" s="4"/>
      <c r="TU106" s="5"/>
      <c r="TV106" s="6"/>
      <c r="TW106" s="4"/>
      <c r="TX106" s="4"/>
      <c r="TY106" s="4"/>
      <c r="TZ106" s="4"/>
      <c r="UA106" s="4"/>
      <c r="UB106" s="5"/>
      <c r="UC106" s="6"/>
      <c r="UD106" s="4"/>
      <c r="UE106" s="4"/>
      <c r="UF106" s="4"/>
      <c r="UG106" s="4"/>
      <c r="UH106" s="4"/>
      <c r="UI106" s="5"/>
      <c r="UJ106" s="6"/>
      <c r="UK106" s="4"/>
      <c r="UL106" s="4"/>
      <c r="UM106" s="4"/>
      <c r="UN106" s="4"/>
      <c r="UO106" s="4"/>
      <c r="UP106" s="5"/>
      <c r="UQ106" s="6"/>
      <c r="UR106" s="4"/>
      <c r="US106" s="4"/>
      <c r="UT106" s="4"/>
      <c r="UU106" s="4"/>
      <c r="UV106" s="4"/>
      <c r="UW106" s="5"/>
      <c r="UX106" s="6"/>
      <c r="UY106" s="4"/>
      <c r="UZ106" s="4"/>
      <c r="VA106" s="4"/>
      <c r="VB106" s="4"/>
      <c r="VC106" s="4"/>
      <c r="VD106" s="5"/>
      <c r="VE106" s="6"/>
      <c r="VF106" s="4"/>
      <c r="VG106" s="4"/>
      <c r="VH106" s="4"/>
      <c r="VI106" s="4"/>
      <c r="VJ106" s="4"/>
      <c r="VK106" s="5"/>
      <c r="VL106" s="6"/>
      <c r="VM106" s="4"/>
      <c r="VN106" s="4"/>
      <c r="VO106" s="4"/>
      <c r="VP106" s="4"/>
      <c r="VQ106" s="4"/>
      <c r="VR106" s="5"/>
      <c r="VS106" s="6"/>
      <c r="VT106" s="4"/>
      <c r="VU106" s="4"/>
      <c r="VV106" s="4"/>
      <c r="VW106" s="4"/>
      <c r="VX106" s="4"/>
      <c r="VY106" s="5"/>
      <c r="VZ106" s="6"/>
      <c r="WA106" s="4"/>
      <c r="WB106" s="4"/>
      <c r="WC106" s="4"/>
      <c r="WD106" s="4"/>
      <c r="WE106" s="4"/>
      <c r="WF106" s="5"/>
      <c r="WG106" s="6"/>
      <c r="WH106" s="4"/>
      <c r="WI106" s="4"/>
      <c r="WJ106" s="4"/>
      <c r="WK106" s="4"/>
      <c r="WL106" s="4"/>
      <c r="WM106" s="5"/>
      <c r="WN106" s="6"/>
      <c r="WO106" s="4"/>
      <c r="WP106" s="4"/>
      <c r="WQ106" s="4"/>
      <c r="WR106" s="4"/>
      <c r="WS106" s="4"/>
      <c r="WT106" s="5"/>
      <c r="WU106" s="6"/>
      <c r="WV106" s="4"/>
      <c r="WW106" s="4"/>
      <c r="WX106" s="4"/>
      <c r="WY106" s="4"/>
      <c r="WZ106" s="4"/>
      <c r="XA106" s="5"/>
      <c r="XB106" s="6"/>
      <c r="XC106" s="4"/>
      <c r="XD106" s="4"/>
      <c r="XE106" s="4"/>
      <c r="XF106" s="4"/>
      <c r="XG106" s="4"/>
      <c r="XH106" s="5"/>
      <c r="XI106" s="6"/>
      <c r="XJ106" s="4"/>
      <c r="XK106" s="4"/>
      <c r="XL106" s="4"/>
      <c r="XM106" s="4"/>
      <c r="XN106" s="4"/>
      <c r="XO106" s="5"/>
      <c r="XP106" s="6"/>
      <c r="XQ106" s="4"/>
      <c r="XR106" s="4"/>
      <c r="XS106" s="4"/>
      <c r="XT106" s="4"/>
      <c r="XU106" s="4"/>
      <c r="XV106" s="5"/>
      <c r="XW106" s="6"/>
      <c r="XX106" s="4"/>
      <c r="XY106" s="4"/>
      <c r="XZ106" s="4"/>
      <c r="YA106" s="4"/>
      <c r="YB106" s="4"/>
      <c r="YC106" s="5"/>
      <c r="YD106" s="6"/>
      <c r="YE106" s="4"/>
      <c r="YF106" s="4"/>
      <c r="YG106" s="4"/>
      <c r="YH106" s="4"/>
      <c r="YI106" s="4"/>
      <c r="YJ106" s="5"/>
      <c r="YK106" s="6"/>
      <c r="YL106" s="4"/>
      <c r="YM106" s="4"/>
      <c r="YN106" s="4"/>
      <c r="YO106" s="4"/>
      <c r="YP106" s="4"/>
      <c r="YQ106" s="5"/>
      <c r="YR106" s="6"/>
      <c r="YS106" s="4"/>
      <c r="YT106" s="4"/>
      <c r="YU106" s="4"/>
      <c r="YV106" s="4"/>
      <c r="YW106" s="4"/>
      <c r="YX106" s="5"/>
      <c r="YY106" s="6"/>
      <c r="YZ106" s="4"/>
      <c r="ZA106" s="4"/>
      <c r="ZB106" s="4"/>
      <c r="ZC106" s="4"/>
      <c r="ZD106" s="4"/>
      <c r="ZE106" s="5"/>
      <c r="ZF106" s="6"/>
      <c r="ZG106" s="4"/>
      <c r="ZH106" s="4"/>
      <c r="ZI106" s="4"/>
      <c r="ZJ106" s="4"/>
      <c r="ZK106" s="4"/>
      <c r="ZL106" s="5"/>
      <c r="ZM106" s="6"/>
      <c r="ZN106" s="4"/>
      <c r="ZO106" s="4"/>
      <c r="ZP106" s="4"/>
      <c r="ZQ106" s="4"/>
      <c r="ZR106" s="4"/>
      <c r="ZS106" s="5"/>
      <c r="ZT106" s="6"/>
      <c r="ZU106" s="4"/>
      <c r="ZV106" s="4"/>
      <c r="ZW106" s="4"/>
      <c r="ZX106" s="4"/>
      <c r="ZY106" s="4"/>
      <c r="ZZ106" s="5"/>
      <c r="AAA106" s="6"/>
      <c r="AAB106" s="4"/>
      <c r="AAC106" s="4"/>
      <c r="AAD106" s="4"/>
      <c r="AAE106" s="4"/>
      <c r="AAF106" s="4"/>
      <c r="AAG106" s="5"/>
      <c r="AAH106" s="6"/>
      <c r="AAI106" s="4"/>
      <c r="AAJ106" s="4"/>
      <c r="AAK106" s="4"/>
      <c r="AAL106" s="4"/>
      <c r="AAM106" s="4"/>
      <c r="AAN106" s="5"/>
      <c r="AAO106" s="6"/>
      <c r="AAP106" s="4"/>
      <c r="AAQ106" s="4"/>
      <c r="AAR106" s="4"/>
      <c r="AAS106" s="4"/>
      <c r="AAT106" s="4"/>
      <c r="AAU106" s="5"/>
      <c r="AAV106" s="6"/>
      <c r="AAW106" s="4"/>
      <c r="AAX106" s="4"/>
      <c r="AAY106" s="4"/>
      <c r="AAZ106" s="4"/>
      <c r="ABA106" s="4"/>
      <c r="ABB106" s="5"/>
      <c r="ABC106" s="6"/>
      <c r="ABD106" s="4"/>
      <c r="ABE106" s="4"/>
      <c r="ABF106" s="4"/>
      <c r="ABG106" s="4"/>
      <c r="ABH106" s="4"/>
      <c r="ABI106" s="5"/>
      <c r="ABJ106" s="6"/>
      <c r="ABK106" s="4"/>
      <c r="ABL106" s="4"/>
      <c r="ABM106" s="4"/>
      <c r="ABN106" s="4"/>
      <c r="ABO106" s="4"/>
      <c r="ABP106" s="5"/>
      <c r="ABQ106" s="6"/>
      <c r="ABR106" s="4"/>
      <c r="ABS106" s="4"/>
      <c r="ABT106" s="4"/>
      <c r="ABU106" s="4"/>
      <c r="ABV106" s="4"/>
      <c r="ABW106" s="5"/>
      <c r="ABX106" s="6"/>
      <c r="ABY106" s="4"/>
      <c r="ABZ106" s="4"/>
      <c r="ACA106" s="4"/>
      <c r="ACB106" s="4"/>
      <c r="ACC106" s="4"/>
      <c r="ACD106" s="5"/>
      <c r="ACE106" s="6"/>
      <c r="ACF106" s="4"/>
      <c r="ACG106" s="4"/>
      <c r="ACH106" s="4"/>
      <c r="ACI106" s="4"/>
      <c r="ACJ106" s="4"/>
      <c r="ACK106" s="5"/>
      <c r="ACL106" s="6"/>
      <c r="ACM106" s="4"/>
      <c r="ACN106" s="4"/>
      <c r="ACO106" s="4"/>
      <c r="ACP106" s="4"/>
      <c r="ACQ106" s="4"/>
      <c r="ACR106" s="5"/>
      <c r="ACS106" s="6"/>
      <c r="ACT106" s="4"/>
      <c r="ACU106" s="4"/>
      <c r="ACV106" s="4"/>
      <c r="ACW106" s="4"/>
      <c r="ACX106" s="4"/>
      <c r="ACY106" s="5"/>
    </row>
    <row r="107" spans="2:779" x14ac:dyDescent="0.25">
      <c r="B107" s="29">
        <v>96900246</v>
      </c>
      <c r="C107">
        <v>55</v>
      </c>
      <c r="D107" t="s">
        <v>2121</v>
      </c>
      <c r="F107" s="23" t="s">
        <v>1786</v>
      </c>
      <c r="I107">
        <v>1</v>
      </c>
      <c r="J107" s="19">
        <v>35077</v>
      </c>
      <c r="K107" s="19"/>
      <c r="L107" s="19"/>
      <c r="LL107" s="6"/>
      <c r="LM107" s="4"/>
      <c r="LN107" s="4"/>
      <c r="LO107" s="4"/>
      <c r="LP107" s="4"/>
      <c r="LQ107" s="4"/>
      <c r="LR107" s="5"/>
      <c r="LS107" s="6"/>
      <c r="LT107" s="4"/>
      <c r="LU107" s="4"/>
      <c r="LV107" s="4"/>
      <c r="LW107" s="4"/>
      <c r="LX107" s="4"/>
      <c r="LY107" s="5"/>
      <c r="LZ107" s="6" t="s">
        <v>2854</v>
      </c>
      <c r="MA107" s="7" t="s">
        <v>2855</v>
      </c>
      <c r="MB107" s="4"/>
      <c r="MC107" s="4"/>
      <c r="MD107" s="8"/>
      <c r="ME107" s="4"/>
      <c r="MF107" s="4"/>
      <c r="MG107" s="5" t="s">
        <v>2856</v>
      </c>
      <c r="MH107" s="6"/>
      <c r="MI107" s="4"/>
      <c r="MJ107" s="4"/>
      <c r="MK107" s="4"/>
      <c r="ML107" s="4"/>
      <c r="MM107" s="4"/>
      <c r="MN107" s="5"/>
      <c r="MO107" s="6"/>
      <c r="MP107" s="4"/>
      <c r="MQ107" s="4"/>
      <c r="MR107" s="4"/>
      <c r="MS107" s="4"/>
      <c r="MT107" s="4"/>
      <c r="MU107" s="5"/>
      <c r="MV107" s="6"/>
      <c r="MW107" s="4"/>
      <c r="MX107" s="4"/>
      <c r="MY107" s="4"/>
      <c r="MZ107" s="4"/>
      <c r="NA107" s="4"/>
      <c r="NB107" s="5"/>
      <c r="NC107" s="6"/>
      <c r="ND107" s="4"/>
      <c r="NE107" s="4"/>
      <c r="NF107" s="4"/>
      <c r="NG107" s="4"/>
      <c r="NH107" s="4"/>
      <c r="NI107" s="5"/>
      <c r="NJ107" s="6"/>
      <c r="NK107" s="4"/>
      <c r="NL107" s="4"/>
      <c r="NM107" s="4"/>
      <c r="NN107" s="4"/>
      <c r="NO107" s="4"/>
      <c r="NP107" s="5"/>
      <c r="NQ107" s="6"/>
      <c r="NR107" s="4"/>
      <c r="NS107" s="4"/>
      <c r="NT107" s="4"/>
      <c r="NU107" s="4"/>
      <c r="NV107" s="4"/>
      <c r="NW107" s="5"/>
      <c r="NX107" s="6"/>
      <c r="NY107" s="4"/>
      <c r="NZ107" s="4"/>
      <c r="OA107" s="4"/>
      <c r="OB107" s="4"/>
      <c r="OC107" s="4"/>
      <c r="OD107" s="5"/>
      <c r="OE107" s="6"/>
      <c r="OF107" s="4"/>
      <c r="OG107" s="4"/>
      <c r="OH107" s="4"/>
      <c r="OI107" s="4"/>
      <c r="OJ107" s="4"/>
      <c r="OK107" s="5"/>
      <c r="OL107" s="6"/>
      <c r="OM107" s="4"/>
      <c r="ON107" s="4"/>
      <c r="OO107" s="4"/>
      <c r="OP107" s="4"/>
      <c r="OQ107" s="4"/>
      <c r="OR107" s="5"/>
      <c r="OS107" s="6"/>
      <c r="OT107" s="4"/>
      <c r="OU107" s="4"/>
      <c r="OV107" s="4"/>
      <c r="OW107" s="4"/>
      <c r="OX107" s="4"/>
      <c r="OY107" s="5"/>
      <c r="OZ107" s="6"/>
      <c r="PA107" s="4"/>
      <c r="PB107" s="4"/>
      <c r="PC107" s="4"/>
      <c r="PD107" s="4"/>
      <c r="PE107" s="4"/>
      <c r="PF107" s="5"/>
      <c r="PG107" s="6"/>
      <c r="PH107" s="4"/>
      <c r="PI107" s="4"/>
      <c r="PJ107" s="4"/>
      <c r="PK107" s="4"/>
      <c r="PL107" s="4"/>
      <c r="PM107" s="5"/>
      <c r="PN107" s="6"/>
      <c r="PO107" s="4"/>
      <c r="PP107" s="4"/>
      <c r="PQ107" s="4"/>
      <c r="PR107" s="4"/>
      <c r="PS107" s="4"/>
      <c r="PT107" s="5"/>
      <c r="PU107" s="6"/>
      <c r="PV107" s="4"/>
      <c r="PW107" s="4"/>
      <c r="PX107" s="4"/>
      <c r="PY107" s="4"/>
      <c r="PZ107" s="4"/>
      <c r="QA107" s="5"/>
      <c r="QB107" s="6" t="s">
        <v>3089</v>
      </c>
      <c r="QC107" s="4" t="s">
        <v>3090</v>
      </c>
      <c r="QD107" s="4"/>
      <c r="QE107" s="4"/>
      <c r="QF107" s="4"/>
      <c r="QG107" s="4"/>
      <c r="QH107" s="5"/>
      <c r="QI107" s="6"/>
      <c r="QJ107" s="4"/>
      <c r="QK107" s="4"/>
      <c r="QL107" s="4"/>
      <c r="QM107" s="4"/>
      <c r="QN107" s="4"/>
      <c r="QO107" s="5"/>
      <c r="QP107" s="6"/>
      <c r="QQ107" s="4"/>
      <c r="QR107" s="4"/>
      <c r="QS107" s="4"/>
      <c r="QT107" s="4"/>
      <c r="QU107" s="4"/>
      <c r="QV107" s="5"/>
      <c r="QW107" s="6"/>
      <c r="QX107" s="4"/>
      <c r="QY107" s="4"/>
      <c r="QZ107" s="4"/>
      <c r="RA107" s="4"/>
      <c r="RB107" s="4"/>
      <c r="RC107" s="5"/>
      <c r="RD107" s="6"/>
      <c r="RE107" s="4"/>
      <c r="RF107" s="4"/>
      <c r="RG107" s="4"/>
      <c r="RH107" s="4"/>
      <c r="RI107" s="4"/>
      <c r="RJ107" s="5"/>
      <c r="RK107" s="6"/>
      <c r="RL107" s="4"/>
      <c r="RM107" s="4"/>
      <c r="RN107" s="4"/>
      <c r="RO107" s="4"/>
      <c r="RP107" s="4"/>
      <c r="RQ107" s="5"/>
      <c r="RR107" s="6"/>
      <c r="RS107" s="4"/>
      <c r="RT107" s="4"/>
      <c r="RU107" s="4"/>
      <c r="RV107" s="4"/>
      <c r="RW107" s="4"/>
      <c r="RX107" s="5"/>
      <c r="RY107" s="6"/>
      <c r="RZ107" s="4"/>
      <c r="SA107" s="4"/>
      <c r="SB107" s="4"/>
      <c r="SC107" s="4"/>
      <c r="SD107" s="4"/>
      <c r="SE107" s="5"/>
      <c r="SF107" s="6"/>
      <c r="SG107" s="4"/>
      <c r="SH107" s="4"/>
      <c r="SI107" s="4"/>
      <c r="SJ107" s="4"/>
      <c r="SK107" s="4"/>
      <c r="SL107" s="5"/>
      <c r="SM107" s="6"/>
      <c r="SN107" s="4"/>
      <c r="SO107" s="4"/>
      <c r="SP107" s="4"/>
      <c r="SQ107" s="4"/>
      <c r="SR107" s="4"/>
      <c r="SS107" s="5"/>
      <c r="ST107" s="6"/>
      <c r="SU107" s="4"/>
      <c r="SV107" s="4"/>
      <c r="SW107" s="4"/>
      <c r="SX107" s="4"/>
      <c r="SY107" s="4"/>
      <c r="SZ107" s="5"/>
      <c r="TA107" s="6"/>
      <c r="TB107" s="4"/>
      <c r="TC107" s="4"/>
      <c r="TD107" s="4"/>
      <c r="TE107" s="4"/>
      <c r="TF107" s="4"/>
      <c r="TG107" s="5"/>
      <c r="TH107" s="6"/>
      <c r="TI107" s="4"/>
      <c r="TJ107" s="4"/>
      <c r="TK107" s="4"/>
      <c r="TL107" s="4"/>
      <c r="TM107" s="4"/>
      <c r="TN107" s="5"/>
      <c r="TO107" s="6"/>
      <c r="TP107" s="4"/>
      <c r="TQ107" s="4"/>
      <c r="TR107" s="4"/>
      <c r="TS107" s="4"/>
      <c r="TT107" s="4"/>
      <c r="TU107" s="5"/>
      <c r="TV107" s="6"/>
      <c r="TW107" s="4"/>
      <c r="TX107" s="4"/>
      <c r="TY107" s="4"/>
      <c r="TZ107" s="4"/>
      <c r="UA107" s="4"/>
      <c r="UB107" s="5"/>
      <c r="UC107" s="6"/>
      <c r="UD107" s="4"/>
      <c r="UE107" s="4"/>
      <c r="UF107" s="4"/>
      <c r="UG107" s="4"/>
      <c r="UH107" s="4"/>
      <c r="UI107" s="5"/>
      <c r="UJ107" s="6"/>
      <c r="UK107" s="4"/>
      <c r="UL107" s="4"/>
      <c r="UM107" s="4"/>
      <c r="UN107" s="4"/>
      <c r="UO107" s="4"/>
      <c r="UP107" s="5"/>
      <c r="UQ107" s="6"/>
      <c r="UR107" s="4"/>
      <c r="US107" s="4"/>
      <c r="UT107" s="4"/>
      <c r="UU107" s="4"/>
      <c r="UV107" s="4"/>
      <c r="UW107" s="5"/>
      <c r="UX107" s="6"/>
      <c r="UY107" s="4"/>
      <c r="UZ107" s="4"/>
      <c r="VA107" s="4"/>
      <c r="VB107" s="4"/>
      <c r="VC107" s="4"/>
      <c r="VD107" s="5"/>
      <c r="VE107" s="6"/>
      <c r="VF107" s="4"/>
      <c r="VG107" s="4"/>
      <c r="VH107" s="4"/>
      <c r="VI107" s="4"/>
      <c r="VJ107" s="4"/>
      <c r="VK107" s="5"/>
      <c r="VL107" s="6"/>
      <c r="VM107" s="4"/>
      <c r="VN107" s="4"/>
      <c r="VO107" s="4"/>
      <c r="VP107" s="4"/>
      <c r="VQ107" s="4"/>
      <c r="VR107" s="5"/>
      <c r="VS107" s="6"/>
      <c r="VT107" s="4"/>
      <c r="VU107" s="4"/>
      <c r="VV107" s="4"/>
      <c r="VW107" s="4"/>
      <c r="VX107" s="4"/>
      <c r="VY107" s="5"/>
      <c r="VZ107" s="6"/>
      <c r="WA107" s="4"/>
      <c r="WB107" s="4"/>
      <c r="WC107" s="4"/>
      <c r="WD107" s="4"/>
      <c r="WE107" s="4"/>
      <c r="WF107" s="5"/>
      <c r="WG107" s="6"/>
      <c r="WH107" s="4"/>
      <c r="WI107" s="4"/>
      <c r="WJ107" s="4"/>
      <c r="WK107" s="4"/>
      <c r="WL107" s="4"/>
      <c r="WM107" s="5"/>
      <c r="WN107" s="6"/>
      <c r="WO107" s="4"/>
      <c r="WP107" s="4"/>
      <c r="WQ107" s="4"/>
      <c r="WR107" s="4"/>
      <c r="WS107" s="4"/>
      <c r="WT107" s="5"/>
      <c r="WU107" s="6"/>
      <c r="WV107" s="4"/>
      <c r="WW107" s="4"/>
      <c r="WX107" s="4"/>
      <c r="WY107" s="4"/>
      <c r="WZ107" s="4"/>
      <c r="XA107" s="5"/>
      <c r="XB107" s="6"/>
      <c r="XC107" s="4"/>
      <c r="XD107" s="4"/>
      <c r="XE107" s="4"/>
      <c r="XF107" s="4"/>
      <c r="XG107" s="4"/>
      <c r="XH107" s="5"/>
      <c r="XI107" s="6"/>
      <c r="XJ107" s="4"/>
      <c r="XK107" s="4"/>
      <c r="XL107" s="4"/>
      <c r="XM107" s="4"/>
      <c r="XN107" s="4"/>
      <c r="XO107" s="5"/>
      <c r="XP107" s="6"/>
      <c r="XQ107" s="4"/>
      <c r="XR107" s="4"/>
      <c r="XS107" s="4"/>
      <c r="XT107" s="4"/>
      <c r="XU107" s="4"/>
      <c r="XV107" s="5"/>
      <c r="XW107" s="6"/>
      <c r="XX107" s="4"/>
      <c r="XY107" s="4"/>
      <c r="XZ107" s="4"/>
      <c r="YA107" s="4"/>
      <c r="YB107" s="4"/>
      <c r="YC107" s="5"/>
      <c r="YD107" s="6"/>
      <c r="YE107" s="4"/>
      <c r="YF107" s="4"/>
      <c r="YG107" s="4"/>
      <c r="YH107" s="4"/>
      <c r="YI107" s="4"/>
      <c r="YJ107" s="5"/>
      <c r="YK107" s="6" t="s">
        <v>2852</v>
      </c>
      <c r="YL107" s="4" t="s">
        <v>2853</v>
      </c>
      <c r="YM107" s="4"/>
      <c r="YN107" s="4"/>
      <c r="YO107" s="4"/>
      <c r="YP107" s="4"/>
      <c r="YQ107" s="5"/>
      <c r="YR107" s="6"/>
      <c r="YS107" s="4"/>
      <c r="YT107" s="4"/>
      <c r="YU107" s="4"/>
      <c r="YV107" s="4"/>
      <c r="YW107" s="4"/>
      <c r="YX107" s="5"/>
      <c r="YY107" s="6"/>
      <c r="YZ107" s="4"/>
      <c r="ZA107" s="4"/>
      <c r="ZB107" s="4"/>
      <c r="ZC107" s="4"/>
      <c r="ZD107" s="4"/>
      <c r="ZE107" s="5"/>
      <c r="ZF107" s="6"/>
      <c r="ZG107" s="4"/>
      <c r="ZH107" s="4"/>
      <c r="ZI107" s="4"/>
      <c r="ZJ107" s="4"/>
      <c r="ZK107" s="4"/>
      <c r="ZL107" s="5"/>
      <c r="ZM107" s="6"/>
      <c r="ZN107" s="4"/>
      <c r="ZO107" s="4"/>
      <c r="ZP107" s="4"/>
      <c r="ZQ107" s="4"/>
      <c r="ZR107" s="4"/>
      <c r="ZS107" s="5"/>
      <c r="ZT107" s="6"/>
      <c r="ZU107" s="4"/>
      <c r="ZV107" s="4"/>
      <c r="ZW107" s="4"/>
      <c r="ZX107" s="4"/>
      <c r="ZY107" s="4"/>
      <c r="ZZ107" s="5"/>
      <c r="AAA107" s="6"/>
      <c r="AAB107" s="4"/>
      <c r="AAC107" s="4"/>
      <c r="AAD107" s="4"/>
      <c r="AAE107" s="4"/>
      <c r="AAF107" s="4"/>
      <c r="AAG107" s="5"/>
      <c r="AAH107" s="6"/>
      <c r="AAI107" s="4"/>
      <c r="AAJ107" s="4"/>
      <c r="AAK107" s="4"/>
      <c r="AAL107" s="4"/>
      <c r="AAM107" s="4"/>
      <c r="AAN107" s="5"/>
      <c r="AAO107" s="6"/>
      <c r="AAP107" s="4"/>
      <c r="AAQ107" s="4"/>
      <c r="AAR107" s="4"/>
      <c r="AAS107" s="4"/>
      <c r="AAT107" s="4"/>
      <c r="AAU107" s="5"/>
      <c r="AAV107" s="6"/>
      <c r="AAW107" s="4"/>
      <c r="AAX107" s="4"/>
      <c r="AAY107" s="4"/>
      <c r="AAZ107" s="4"/>
      <c r="ABA107" s="4"/>
      <c r="ABB107" s="5"/>
      <c r="ABC107" s="6"/>
      <c r="ABD107" s="4"/>
      <c r="ABE107" s="4"/>
      <c r="ABF107" s="4"/>
      <c r="ABG107" s="4"/>
      <c r="ABH107" s="4"/>
      <c r="ABI107" s="5"/>
      <c r="ABJ107" s="6"/>
      <c r="ABK107" s="4"/>
      <c r="ABL107" s="4"/>
      <c r="ABM107" s="4"/>
      <c r="ABN107" s="4"/>
      <c r="ABO107" s="4"/>
      <c r="ABP107" s="5"/>
      <c r="ABQ107" s="6"/>
      <c r="ABR107" s="4"/>
      <c r="ABS107" s="4"/>
      <c r="ABT107" s="4"/>
      <c r="ABU107" s="4"/>
      <c r="ABV107" s="4"/>
      <c r="ABW107" s="5"/>
      <c r="ABX107" s="6"/>
      <c r="ABY107" s="4"/>
      <c r="ABZ107" s="4"/>
      <c r="ACA107" s="4"/>
      <c r="ACB107" s="4"/>
      <c r="ACC107" s="4"/>
      <c r="ACD107" s="5"/>
      <c r="ACE107" s="6"/>
      <c r="ACF107" s="4"/>
      <c r="ACG107" s="4"/>
      <c r="ACH107" s="4"/>
      <c r="ACI107" s="4"/>
      <c r="ACJ107" s="4"/>
      <c r="ACK107" s="5"/>
      <c r="ACL107" s="6" t="s">
        <v>3022</v>
      </c>
      <c r="ACM107" s="4" t="s">
        <v>2719</v>
      </c>
      <c r="ACN107" s="4"/>
      <c r="ACO107" s="4"/>
      <c r="ACP107" s="4"/>
      <c r="ACQ107" s="4"/>
      <c r="ACR107" s="5"/>
      <c r="ACS107" s="6"/>
      <c r="ACT107" s="4"/>
      <c r="ACU107" s="4"/>
      <c r="ACV107" s="4"/>
      <c r="ACW107" s="4"/>
      <c r="ACX107" s="4"/>
      <c r="ACY107" s="5"/>
    </row>
    <row r="108" spans="2:779" x14ac:dyDescent="0.25">
      <c r="B108" s="30"/>
      <c r="J108" s="12"/>
      <c r="K108" s="12"/>
      <c r="L108" s="12"/>
      <c r="LL108" s="6"/>
      <c r="LM108" s="4"/>
      <c r="LN108" s="4"/>
      <c r="LO108" s="4"/>
      <c r="LP108" s="4"/>
      <c r="LQ108" s="4"/>
      <c r="LR108" s="5"/>
      <c r="LS108" s="6"/>
      <c r="LT108" s="4"/>
      <c r="LU108" s="4"/>
      <c r="LV108" s="4"/>
      <c r="LW108" s="4"/>
      <c r="LX108" s="4"/>
      <c r="LY108" s="5"/>
      <c r="LZ108" s="6" t="s">
        <v>2721</v>
      </c>
      <c r="MA108" s="7" t="s">
        <v>2693</v>
      </c>
      <c r="MB108" s="4"/>
      <c r="MC108" s="4"/>
      <c r="MD108" s="8"/>
      <c r="ME108" s="4"/>
      <c r="MF108" s="4"/>
      <c r="MG108" s="5"/>
      <c r="MH108" s="6"/>
      <c r="MI108" s="4"/>
      <c r="MJ108" s="4"/>
      <c r="MK108" s="4"/>
      <c r="ML108" s="4"/>
      <c r="MM108" s="4"/>
      <c r="MN108" s="5"/>
      <c r="MO108" s="6"/>
      <c r="MP108" s="4"/>
      <c r="MQ108" s="4"/>
      <c r="MR108" s="4"/>
      <c r="MS108" s="4"/>
      <c r="MT108" s="4"/>
      <c r="MU108" s="5"/>
      <c r="MV108" s="6"/>
      <c r="MW108" s="4"/>
      <c r="MX108" s="4"/>
      <c r="MY108" s="4"/>
      <c r="MZ108" s="4"/>
      <c r="NA108" s="4"/>
      <c r="NB108" s="5"/>
      <c r="NC108" s="6"/>
      <c r="ND108" s="4"/>
      <c r="NE108" s="4"/>
      <c r="NF108" s="4"/>
      <c r="NG108" s="4"/>
      <c r="NH108" s="4"/>
      <c r="NI108" s="5"/>
      <c r="NJ108" s="6"/>
      <c r="NK108" s="4"/>
      <c r="NL108" s="4"/>
      <c r="NM108" s="4"/>
      <c r="NN108" s="4"/>
      <c r="NO108" s="4"/>
      <c r="NP108" s="5"/>
      <c r="NQ108" s="6"/>
      <c r="NR108" s="4"/>
      <c r="NS108" s="4"/>
      <c r="NT108" s="4"/>
      <c r="NU108" s="4"/>
      <c r="NV108" s="4"/>
      <c r="NW108" s="5"/>
      <c r="NX108" s="6"/>
      <c r="NY108" s="4"/>
      <c r="NZ108" s="4"/>
      <c r="OA108" s="4"/>
      <c r="OB108" s="4"/>
      <c r="OC108" s="4"/>
      <c r="OD108" s="5"/>
      <c r="OE108" s="6"/>
      <c r="OF108" s="4"/>
      <c r="OG108" s="4"/>
      <c r="OH108" s="4"/>
      <c r="OI108" s="4"/>
      <c r="OJ108" s="4"/>
      <c r="OK108" s="5"/>
      <c r="OL108" s="6"/>
      <c r="OM108" s="4"/>
      <c r="ON108" s="4"/>
      <c r="OO108" s="4"/>
      <c r="OP108" s="4"/>
      <c r="OQ108" s="4"/>
      <c r="OR108" s="5"/>
      <c r="OS108" s="6"/>
      <c r="OT108" s="4"/>
      <c r="OU108" s="4"/>
      <c r="OV108" s="4"/>
      <c r="OW108" s="4"/>
      <c r="OX108" s="4"/>
      <c r="OY108" s="5"/>
      <c r="OZ108" s="6"/>
      <c r="PA108" s="4"/>
      <c r="PB108" s="4"/>
      <c r="PC108" s="4"/>
      <c r="PD108" s="4"/>
      <c r="PE108" s="4"/>
      <c r="PF108" s="5"/>
      <c r="PG108" s="6"/>
      <c r="PH108" s="4"/>
      <c r="PI108" s="4"/>
      <c r="PJ108" s="4"/>
      <c r="PK108" s="4"/>
      <c r="PL108" s="4"/>
      <c r="PM108" s="5"/>
      <c r="PN108" s="6"/>
      <c r="PO108" s="4"/>
      <c r="PP108" s="4"/>
      <c r="PQ108" s="4"/>
      <c r="PR108" s="4"/>
      <c r="PS108" s="4"/>
      <c r="PT108" s="5"/>
      <c r="PU108" s="6"/>
      <c r="PV108" s="4"/>
      <c r="PW108" s="4"/>
      <c r="PX108" s="4"/>
      <c r="PY108" s="4"/>
      <c r="PZ108" s="4"/>
      <c r="QA108" s="5"/>
      <c r="QB108" s="6" t="s">
        <v>2857</v>
      </c>
      <c r="QC108" s="4" t="s">
        <v>3024</v>
      </c>
      <c r="QD108" s="4"/>
      <c r="QE108" s="4"/>
      <c r="QF108" s="4"/>
      <c r="QG108" s="4"/>
      <c r="QH108" s="5" t="s">
        <v>3021</v>
      </c>
      <c r="QI108" s="6"/>
      <c r="QJ108" s="4"/>
      <c r="QK108" s="4"/>
      <c r="QL108" s="4"/>
      <c r="QM108" s="4"/>
      <c r="QN108" s="4"/>
      <c r="QO108" s="5"/>
      <c r="QP108" s="6"/>
      <c r="QQ108" s="4"/>
      <c r="QR108" s="4"/>
      <c r="QS108" s="4"/>
      <c r="QT108" s="4"/>
      <c r="QU108" s="4"/>
      <c r="QV108" s="5"/>
      <c r="QW108" s="6"/>
      <c r="QX108" s="4"/>
      <c r="QY108" s="4"/>
      <c r="QZ108" s="4"/>
      <c r="RA108" s="4"/>
      <c r="RB108" s="4"/>
      <c r="RC108" s="5"/>
      <c r="RD108" s="6"/>
      <c r="RE108" s="4"/>
      <c r="RF108" s="4"/>
      <c r="RG108" s="4"/>
      <c r="RH108" s="4"/>
      <c r="RI108" s="4"/>
      <c r="RJ108" s="5"/>
      <c r="RK108" s="6"/>
      <c r="RL108" s="4"/>
      <c r="RM108" s="4"/>
      <c r="RN108" s="4"/>
      <c r="RO108" s="4"/>
      <c r="RP108" s="4"/>
      <c r="RQ108" s="5"/>
      <c r="RR108" s="6"/>
      <c r="RS108" s="4"/>
      <c r="RT108" s="4"/>
      <c r="RU108" s="4"/>
      <c r="RV108" s="4"/>
      <c r="RW108" s="4"/>
      <c r="RX108" s="5"/>
      <c r="RY108" s="6"/>
      <c r="RZ108" s="4"/>
      <c r="SA108" s="4"/>
      <c r="SB108" s="4"/>
      <c r="SC108" s="4"/>
      <c r="SD108" s="4"/>
      <c r="SE108" s="5"/>
      <c r="SF108" s="6"/>
      <c r="SG108" s="4"/>
      <c r="SH108" s="4"/>
      <c r="SI108" s="4"/>
      <c r="SJ108" s="4"/>
      <c r="SK108" s="4"/>
      <c r="SL108" s="5"/>
      <c r="SM108" s="6"/>
      <c r="SN108" s="4"/>
      <c r="SO108" s="4"/>
      <c r="SP108" s="4"/>
      <c r="SQ108" s="4"/>
      <c r="SR108" s="4"/>
      <c r="SS108" s="5"/>
      <c r="ST108" s="6"/>
      <c r="SU108" s="4"/>
      <c r="SV108" s="4"/>
      <c r="SW108" s="4"/>
      <c r="SX108" s="4"/>
      <c r="SY108" s="4"/>
      <c r="SZ108" s="5"/>
      <c r="TA108" s="6"/>
      <c r="TB108" s="4"/>
      <c r="TC108" s="4"/>
      <c r="TD108" s="4"/>
      <c r="TE108" s="4"/>
      <c r="TF108" s="4"/>
      <c r="TG108" s="5"/>
      <c r="TH108" s="6"/>
      <c r="TI108" s="4"/>
      <c r="TJ108" s="4"/>
      <c r="TK108" s="4"/>
      <c r="TL108" s="4"/>
      <c r="TM108" s="4"/>
      <c r="TN108" s="5"/>
      <c r="TO108" s="6"/>
      <c r="TP108" s="4"/>
      <c r="TQ108" s="4"/>
      <c r="TR108" s="4"/>
      <c r="TS108" s="4"/>
      <c r="TT108" s="4"/>
      <c r="TU108" s="5"/>
      <c r="TV108" s="6"/>
      <c r="TW108" s="4"/>
      <c r="TX108" s="4"/>
      <c r="TY108" s="4"/>
      <c r="TZ108" s="4"/>
      <c r="UA108" s="4"/>
      <c r="UB108" s="5"/>
      <c r="UC108" s="6"/>
      <c r="UD108" s="4"/>
      <c r="UE108" s="4"/>
      <c r="UF108" s="4"/>
      <c r="UG108" s="4"/>
      <c r="UH108" s="4"/>
      <c r="UI108" s="5"/>
      <c r="UJ108" s="6"/>
      <c r="UK108" s="4"/>
      <c r="UL108" s="4"/>
      <c r="UM108" s="4"/>
      <c r="UN108" s="4"/>
      <c r="UO108" s="4"/>
      <c r="UP108" s="5"/>
      <c r="UQ108" s="6"/>
      <c r="UR108" s="4"/>
      <c r="US108" s="4"/>
      <c r="UT108" s="4"/>
      <c r="UU108" s="4"/>
      <c r="UV108" s="4"/>
      <c r="UW108" s="5"/>
      <c r="UX108" s="6"/>
      <c r="UY108" s="4"/>
      <c r="UZ108" s="4"/>
      <c r="VA108" s="4"/>
      <c r="VB108" s="4"/>
      <c r="VC108" s="4"/>
      <c r="VD108" s="5"/>
      <c r="VE108" s="6"/>
      <c r="VF108" s="4"/>
      <c r="VG108" s="4"/>
      <c r="VH108" s="4"/>
      <c r="VI108" s="4"/>
      <c r="VJ108" s="4"/>
      <c r="VK108" s="5"/>
      <c r="VL108" s="6"/>
      <c r="VM108" s="4"/>
      <c r="VN108" s="4"/>
      <c r="VO108" s="4"/>
      <c r="VP108" s="4"/>
      <c r="VQ108" s="4"/>
      <c r="VR108" s="5"/>
      <c r="VS108" s="6"/>
      <c r="VT108" s="4"/>
      <c r="VU108" s="4"/>
      <c r="VV108" s="4"/>
      <c r="VW108" s="4"/>
      <c r="VX108" s="4"/>
      <c r="VY108" s="5"/>
      <c r="VZ108" s="6"/>
      <c r="WA108" s="4"/>
      <c r="WB108" s="4"/>
      <c r="WC108" s="4"/>
      <c r="WD108" s="4"/>
      <c r="WE108" s="4"/>
      <c r="WF108" s="5"/>
      <c r="WG108" s="6"/>
      <c r="WH108" s="4"/>
      <c r="WI108" s="4"/>
      <c r="WJ108" s="4"/>
      <c r="WK108" s="4"/>
      <c r="WL108" s="4"/>
      <c r="WM108" s="5"/>
      <c r="WN108" s="6"/>
      <c r="WO108" s="4"/>
      <c r="WP108" s="4"/>
      <c r="WQ108" s="4"/>
      <c r="WR108" s="4"/>
      <c r="WS108" s="4"/>
      <c r="WT108" s="5"/>
      <c r="WU108" s="6"/>
      <c r="WV108" s="4"/>
      <c r="WW108" s="4"/>
      <c r="WX108" s="4"/>
      <c r="WY108" s="4"/>
      <c r="WZ108" s="4"/>
      <c r="XA108" s="5"/>
      <c r="XB108" s="6"/>
      <c r="XC108" s="4"/>
      <c r="XD108" s="4"/>
      <c r="XE108" s="4"/>
      <c r="XF108" s="4"/>
      <c r="XG108" s="4"/>
      <c r="XH108" s="5"/>
      <c r="XI108" s="6"/>
      <c r="XJ108" s="4"/>
      <c r="XK108" s="4"/>
      <c r="XL108" s="4"/>
      <c r="XM108" s="4"/>
      <c r="XN108" s="4"/>
      <c r="XO108" s="5"/>
      <c r="XP108" s="6"/>
      <c r="XQ108" s="4"/>
      <c r="XR108" s="4"/>
      <c r="XS108" s="4"/>
      <c r="XT108" s="4"/>
      <c r="XU108" s="4"/>
      <c r="XV108" s="5"/>
      <c r="XW108" s="6"/>
      <c r="XX108" s="4"/>
      <c r="XY108" s="4"/>
      <c r="XZ108" s="4"/>
      <c r="YA108" s="4"/>
      <c r="YB108" s="4"/>
      <c r="YC108" s="5"/>
      <c r="YD108" s="6"/>
      <c r="YE108" s="4"/>
      <c r="YF108" s="4"/>
      <c r="YG108" s="4"/>
      <c r="YH108" s="4"/>
      <c r="YI108" s="4"/>
      <c r="YJ108" s="5"/>
      <c r="YK108" s="6"/>
      <c r="YL108" s="4"/>
      <c r="YM108" s="4"/>
      <c r="YN108" s="4"/>
      <c r="YO108" s="4"/>
      <c r="YP108" s="4"/>
      <c r="YQ108" s="5"/>
      <c r="YR108" s="6"/>
      <c r="YS108" s="4"/>
      <c r="YT108" s="4"/>
      <c r="YU108" s="4"/>
      <c r="YV108" s="4"/>
      <c r="YW108" s="4"/>
      <c r="YX108" s="5"/>
      <c r="YY108" s="6"/>
      <c r="YZ108" s="4"/>
      <c r="ZA108" s="4"/>
      <c r="ZB108" s="4"/>
      <c r="ZC108" s="4"/>
      <c r="ZD108" s="4"/>
      <c r="ZE108" s="5"/>
      <c r="ZF108" s="6"/>
      <c r="ZG108" s="4"/>
      <c r="ZH108" s="4"/>
      <c r="ZI108" s="4"/>
      <c r="ZJ108" s="4"/>
      <c r="ZK108" s="4"/>
      <c r="ZL108" s="5"/>
      <c r="ZM108" s="6"/>
      <c r="ZN108" s="4"/>
      <c r="ZO108" s="4"/>
      <c r="ZP108" s="4"/>
      <c r="ZQ108" s="4"/>
      <c r="ZR108" s="4"/>
      <c r="ZS108" s="5"/>
      <c r="ZT108" s="6"/>
      <c r="ZU108" s="4"/>
      <c r="ZV108" s="4"/>
      <c r="ZW108" s="4"/>
      <c r="ZX108" s="4"/>
      <c r="ZY108" s="4"/>
      <c r="ZZ108" s="5"/>
      <c r="AAA108" s="6"/>
      <c r="AAB108" s="4"/>
      <c r="AAC108" s="4"/>
      <c r="AAD108" s="4"/>
      <c r="AAE108" s="4"/>
      <c r="AAF108" s="4"/>
      <c r="AAG108" s="5"/>
      <c r="AAH108" s="6"/>
      <c r="AAI108" s="4"/>
      <c r="AAJ108" s="4"/>
      <c r="AAK108" s="4"/>
      <c r="AAL108" s="4"/>
      <c r="AAM108" s="4"/>
      <c r="AAN108" s="5"/>
      <c r="AAO108" s="6"/>
      <c r="AAP108" s="4"/>
      <c r="AAQ108" s="4"/>
      <c r="AAR108" s="4"/>
      <c r="AAS108" s="4"/>
      <c r="AAT108" s="4"/>
      <c r="AAU108" s="5"/>
      <c r="AAV108" s="6"/>
      <c r="AAW108" s="4"/>
      <c r="AAX108" s="4"/>
      <c r="AAY108" s="4"/>
      <c r="AAZ108" s="4"/>
      <c r="ABA108" s="4"/>
      <c r="ABB108" s="5"/>
      <c r="ABC108" s="6"/>
      <c r="ABD108" s="4"/>
      <c r="ABE108" s="4"/>
      <c r="ABF108" s="4"/>
      <c r="ABG108" s="4"/>
      <c r="ABH108" s="4"/>
      <c r="ABI108" s="5"/>
      <c r="ABJ108" s="6"/>
      <c r="ABK108" s="4"/>
      <c r="ABL108" s="4"/>
      <c r="ABM108" s="4"/>
      <c r="ABN108" s="4"/>
      <c r="ABO108" s="4"/>
      <c r="ABP108" s="5"/>
      <c r="ABQ108" s="6"/>
      <c r="ABR108" s="4"/>
      <c r="ABS108" s="4"/>
      <c r="ABT108" s="4"/>
      <c r="ABU108" s="4"/>
      <c r="ABV108" s="4"/>
      <c r="ABW108" s="5"/>
      <c r="ABX108" s="6"/>
      <c r="ABY108" s="4"/>
      <c r="ABZ108" s="4"/>
      <c r="ACA108" s="4"/>
      <c r="ACB108" s="4"/>
      <c r="ACC108" s="4"/>
      <c r="ACD108" s="5"/>
      <c r="ACE108" s="6"/>
      <c r="ACF108" s="4"/>
      <c r="ACG108" s="4"/>
      <c r="ACH108" s="4"/>
      <c r="ACI108" s="4"/>
      <c r="ACJ108" s="4"/>
      <c r="ACK108" s="5"/>
      <c r="ACL108" s="6" t="s">
        <v>2720</v>
      </c>
      <c r="ACM108" s="4" t="s">
        <v>2530</v>
      </c>
      <c r="ACN108" s="4"/>
      <c r="ACO108" s="4"/>
      <c r="ACP108" s="4"/>
      <c r="ACQ108" s="4"/>
      <c r="ACR108" s="5"/>
      <c r="ACS108" s="6"/>
      <c r="ACT108" s="4"/>
      <c r="ACU108" s="4"/>
      <c r="ACV108" s="4"/>
      <c r="ACW108" s="4"/>
      <c r="ACX108" s="4"/>
      <c r="ACY108" s="5"/>
    </row>
    <row r="109" spans="2:779" x14ac:dyDescent="0.25">
      <c r="B109" s="30"/>
      <c r="J109" s="12"/>
      <c r="K109" s="12"/>
      <c r="L109" s="12"/>
      <c r="LL109" s="6"/>
      <c r="LM109" s="4"/>
      <c r="LN109" s="4"/>
      <c r="LO109" s="4"/>
      <c r="LP109" s="4"/>
      <c r="LQ109" s="4"/>
      <c r="LR109" s="5"/>
      <c r="LS109" s="6"/>
      <c r="LT109" s="4"/>
      <c r="LU109" s="4"/>
      <c r="LV109" s="4"/>
      <c r="LW109" s="4"/>
      <c r="LX109" s="4"/>
      <c r="LY109" s="5"/>
      <c r="LZ109" s="6" t="s">
        <v>3249</v>
      </c>
      <c r="MA109" s="7" t="s">
        <v>3251</v>
      </c>
      <c r="MB109" s="4"/>
      <c r="MC109" s="4"/>
      <c r="MD109" s="8"/>
      <c r="ME109" s="4"/>
      <c r="MF109" s="4"/>
      <c r="MG109" s="5"/>
      <c r="MH109" s="6"/>
      <c r="MI109" s="4"/>
      <c r="MJ109" s="4"/>
      <c r="MK109" s="4"/>
      <c r="ML109" s="4"/>
      <c r="MM109" s="4"/>
      <c r="MN109" s="5"/>
      <c r="MO109" s="6"/>
      <c r="MP109" s="4"/>
      <c r="MQ109" s="4"/>
      <c r="MR109" s="4"/>
      <c r="MS109" s="4"/>
      <c r="MT109" s="4"/>
      <c r="MU109" s="5"/>
      <c r="MV109" s="6"/>
      <c r="MW109" s="4"/>
      <c r="MX109" s="4"/>
      <c r="MY109" s="4"/>
      <c r="MZ109" s="4"/>
      <c r="NA109" s="4"/>
      <c r="NB109" s="5"/>
      <c r="NC109" s="6"/>
      <c r="ND109" s="4"/>
      <c r="NE109" s="4"/>
      <c r="NF109" s="4"/>
      <c r="NG109" s="4"/>
      <c r="NH109" s="4"/>
      <c r="NI109" s="5"/>
      <c r="NJ109" s="6"/>
      <c r="NK109" s="4"/>
      <c r="NL109" s="4"/>
      <c r="NM109" s="4"/>
      <c r="NN109" s="4"/>
      <c r="NO109" s="4"/>
      <c r="NP109" s="5"/>
      <c r="NQ109" s="6"/>
      <c r="NR109" s="4"/>
      <c r="NS109" s="4"/>
      <c r="NT109" s="4"/>
      <c r="NU109" s="4"/>
      <c r="NV109" s="4"/>
      <c r="NW109" s="5"/>
      <c r="NX109" s="6"/>
      <c r="NY109" s="4"/>
      <c r="NZ109" s="4"/>
      <c r="OA109" s="4"/>
      <c r="OB109" s="4"/>
      <c r="OC109" s="4"/>
      <c r="OD109" s="5"/>
      <c r="OE109" s="6"/>
      <c r="OF109" s="4"/>
      <c r="OG109" s="4"/>
      <c r="OH109" s="4"/>
      <c r="OI109" s="4"/>
      <c r="OJ109" s="4"/>
      <c r="OK109" s="5"/>
      <c r="OL109" s="6"/>
      <c r="OM109" s="4"/>
      <c r="ON109" s="4"/>
      <c r="OO109" s="4"/>
      <c r="OP109" s="4"/>
      <c r="OQ109" s="4"/>
      <c r="OR109" s="5"/>
      <c r="OS109" s="6"/>
      <c r="OT109" s="4"/>
      <c r="OU109" s="4"/>
      <c r="OV109" s="4"/>
      <c r="OW109" s="4"/>
      <c r="OX109" s="4"/>
      <c r="OY109" s="5"/>
      <c r="OZ109" s="6"/>
      <c r="PA109" s="4"/>
      <c r="PB109" s="4"/>
      <c r="PC109" s="4"/>
      <c r="PD109" s="4"/>
      <c r="PE109" s="4"/>
      <c r="PF109" s="5"/>
      <c r="PG109" s="6"/>
      <c r="PH109" s="4"/>
      <c r="PI109" s="4"/>
      <c r="PJ109" s="4"/>
      <c r="PK109" s="4"/>
      <c r="PL109" s="4"/>
      <c r="PM109" s="5"/>
      <c r="PN109" s="6"/>
      <c r="PO109" s="4"/>
      <c r="PP109" s="4"/>
      <c r="PQ109" s="4"/>
      <c r="PR109" s="4"/>
      <c r="PS109" s="4"/>
      <c r="PT109" s="5"/>
      <c r="PU109" s="6"/>
      <c r="PV109" s="4"/>
      <c r="PW109" s="4"/>
      <c r="PX109" s="4"/>
      <c r="PY109" s="4"/>
      <c r="PZ109" s="4"/>
      <c r="QA109" s="5"/>
      <c r="QB109" s="6"/>
      <c r="QC109" s="4"/>
      <c r="QD109" s="4"/>
      <c r="QE109" s="4"/>
      <c r="QF109" s="4"/>
      <c r="QG109" s="4"/>
      <c r="QH109" s="5"/>
      <c r="QI109" s="6"/>
      <c r="QJ109" s="4"/>
      <c r="QK109" s="4"/>
      <c r="QL109" s="4"/>
      <c r="QM109" s="4"/>
      <c r="QN109" s="4"/>
      <c r="QO109" s="5"/>
      <c r="QP109" s="6"/>
      <c r="QQ109" s="4"/>
      <c r="QR109" s="4"/>
      <c r="QS109" s="4"/>
      <c r="QT109" s="4"/>
      <c r="QU109" s="4"/>
      <c r="QV109" s="5"/>
      <c r="QW109" s="6"/>
      <c r="QX109" s="4"/>
      <c r="QY109" s="4"/>
      <c r="QZ109" s="4"/>
      <c r="RA109" s="4"/>
      <c r="RB109" s="4"/>
      <c r="RC109" s="5"/>
      <c r="RD109" s="6"/>
      <c r="RE109" s="4"/>
      <c r="RF109" s="4"/>
      <c r="RG109" s="4"/>
      <c r="RH109" s="4"/>
      <c r="RI109" s="4"/>
      <c r="RJ109" s="5"/>
      <c r="RK109" s="6"/>
      <c r="RL109" s="4"/>
      <c r="RM109" s="4"/>
      <c r="RN109" s="4"/>
      <c r="RO109" s="4"/>
      <c r="RP109" s="4"/>
      <c r="RQ109" s="5"/>
      <c r="RR109" s="6"/>
      <c r="RS109" s="4"/>
      <c r="RT109" s="4"/>
      <c r="RU109" s="4"/>
      <c r="RV109" s="4"/>
      <c r="RW109" s="4"/>
      <c r="RX109" s="5"/>
      <c r="RY109" s="6"/>
      <c r="RZ109" s="4"/>
      <c r="SA109" s="4"/>
      <c r="SB109" s="4"/>
      <c r="SC109" s="4"/>
      <c r="SD109" s="4"/>
      <c r="SE109" s="5"/>
      <c r="SF109" s="6"/>
      <c r="SG109" s="4"/>
      <c r="SH109" s="4"/>
      <c r="SI109" s="4"/>
      <c r="SJ109" s="4"/>
      <c r="SK109" s="4"/>
      <c r="SL109" s="5"/>
      <c r="SM109" s="6"/>
      <c r="SN109" s="4"/>
      <c r="SO109" s="4"/>
      <c r="SP109" s="4"/>
      <c r="SQ109" s="4"/>
      <c r="SR109" s="4"/>
      <c r="SS109" s="5"/>
      <c r="ST109" s="6"/>
      <c r="SU109" s="4"/>
      <c r="SV109" s="4"/>
      <c r="SW109" s="4"/>
      <c r="SX109" s="4"/>
      <c r="SY109" s="4"/>
      <c r="SZ109" s="5"/>
      <c r="TA109" s="6"/>
      <c r="TB109" s="4"/>
      <c r="TC109" s="4"/>
      <c r="TD109" s="4"/>
      <c r="TE109" s="4"/>
      <c r="TF109" s="4"/>
      <c r="TG109" s="5"/>
      <c r="TH109" s="6"/>
      <c r="TI109" s="4"/>
      <c r="TJ109" s="4"/>
      <c r="TK109" s="4"/>
      <c r="TL109" s="4"/>
      <c r="TM109" s="4"/>
      <c r="TN109" s="5"/>
      <c r="TO109" s="6"/>
      <c r="TP109" s="4"/>
      <c r="TQ109" s="4"/>
      <c r="TR109" s="4"/>
      <c r="TS109" s="4"/>
      <c r="TT109" s="4"/>
      <c r="TU109" s="5"/>
      <c r="TV109" s="6"/>
      <c r="TW109" s="4"/>
      <c r="TX109" s="4"/>
      <c r="TY109" s="4"/>
      <c r="TZ109" s="4"/>
      <c r="UA109" s="4"/>
      <c r="UB109" s="5"/>
      <c r="UC109" s="6"/>
      <c r="UD109" s="4"/>
      <c r="UE109" s="4"/>
      <c r="UF109" s="4"/>
      <c r="UG109" s="4"/>
      <c r="UH109" s="4"/>
      <c r="UI109" s="5"/>
      <c r="UJ109" s="6"/>
      <c r="UK109" s="4"/>
      <c r="UL109" s="4"/>
      <c r="UM109" s="4"/>
      <c r="UN109" s="4"/>
      <c r="UO109" s="4"/>
      <c r="UP109" s="5"/>
      <c r="UQ109" s="6"/>
      <c r="UR109" s="4"/>
      <c r="US109" s="4"/>
      <c r="UT109" s="4"/>
      <c r="UU109" s="4"/>
      <c r="UV109" s="4"/>
      <c r="UW109" s="5"/>
      <c r="UX109" s="6"/>
      <c r="UY109" s="4"/>
      <c r="UZ109" s="4"/>
      <c r="VA109" s="4"/>
      <c r="VB109" s="4"/>
      <c r="VC109" s="4"/>
      <c r="VD109" s="5"/>
      <c r="VE109" s="6"/>
      <c r="VF109" s="4"/>
      <c r="VG109" s="4"/>
      <c r="VH109" s="4"/>
      <c r="VI109" s="4"/>
      <c r="VJ109" s="4"/>
      <c r="VK109" s="5"/>
      <c r="VL109" s="6"/>
      <c r="VM109" s="4"/>
      <c r="VN109" s="4"/>
      <c r="VO109" s="4"/>
      <c r="VP109" s="4"/>
      <c r="VQ109" s="4"/>
      <c r="VR109" s="5"/>
      <c r="VS109" s="6"/>
      <c r="VT109" s="4"/>
      <c r="VU109" s="4"/>
      <c r="VV109" s="4"/>
      <c r="VW109" s="4"/>
      <c r="VX109" s="4"/>
      <c r="VY109" s="5"/>
      <c r="VZ109" s="6"/>
      <c r="WA109" s="4"/>
      <c r="WB109" s="4"/>
      <c r="WC109" s="4"/>
      <c r="WD109" s="4"/>
      <c r="WE109" s="4"/>
      <c r="WF109" s="5"/>
      <c r="WG109" s="6"/>
      <c r="WH109" s="4"/>
      <c r="WI109" s="4"/>
      <c r="WJ109" s="4"/>
      <c r="WK109" s="4"/>
      <c r="WL109" s="4"/>
      <c r="WM109" s="5"/>
      <c r="WN109" s="6"/>
      <c r="WO109" s="4"/>
      <c r="WP109" s="4"/>
      <c r="WQ109" s="4"/>
      <c r="WR109" s="4"/>
      <c r="WS109" s="4"/>
      <c r="WT109" s="5"/>
      <c r="WU109" s="6"/>
      <c r="WV109" s="4"/>
      <c r="WW109" s="4"/>
      <c r="WX109" s="4"/>
      <c r="WY109" s="4"/>
      <c r="WZ109" s="4"/>
      <c r="XA109" s="5"/>
      <c r="XB109" s="6"/>
      <c r="XC109" s="4"/>
      <c r="XD109" s="4"/>
      <c r="XE109" s="4"/>
      <c r="XF109" s="4"/>
      <c r="XG109" s="4"/>
      <c r="XH109" s="5"/>
      <c r="XI109" s="6"/>
      <c r="XJ109" s="4"/>
      <c r="XK109" s="4"/>
      <c r="XL109" s="4"/>
      <c r="XM109" s="4"/>
      <c r="XN109" s="4"/>
      <c r="XO109" s="5"/>
      <c r="XP109" s="6"/>
      <c r="XQ109" s="4"/>
      <c r="XR109" s="4"/>
      <c r="XS109" s="4"/>
      <c r="XT109" s="4"/>
      <c r="XU109" s="4"/>
      <c r="XV109" s="5"/>
      <c r="XW109" s="6"/>
      <c r="XX109" s="4"/>
      <c r="XY109" s="4"/>
      <c r="XZ109" s="4"/>
      <c r="YA109" s="4"/>
      <c r="YB109" s="4"/>
      <c r="YC109" s="5"/>
      <c r="YD109" s="6"/>
      <c r="YE109" s="4"/>
      <c r="YF109" s="4"/>
      <c r="YG109" s="4"/>
      <c r="YH109" s="4"/>
      <c r="YI109" s="4"/>
      <c r="YJ109" s="5"/>
      <c r="YK109" s="6"/>
      <c r="YL109" s="4"/>
      <c r="YM109" s="4"/>
      <c r="YN109" s="4"/>
      <c r="YO109" s="4"/>
      <c r="YP109" s="4"/>
      <c r="YQ109" s="5"/>
      <c r="YR109" s="6"/>
      <c r="YS109" s="4"/>
      <c r="YT109" s="4"/>
      <c r="YU109" s="4"/>
      <c r="YV109" s="4"/>
      <c r="YW109" s="4"/>
      <c r="YX109" s="5"/>
      <c r="YY109" s="6"/>
      <c r="YZ109" s="4"/>
      <c r="ZA109" s="4"/>
      <c r="ZB109" s="4"/>
      <c r="ZC109" s="4"/>
      <c r="ZD109" s="4"/>
      <c r="ZE109" s="5"/>
      <c r="ZF109" s="6"/>
      <c r="ZG109" s="4"/>
      <c r="ZH109" s="4"/>
      <c r="ZI109" s="4"/>
      <c r="ZJ109" s="4"/>
      <c r="ZK109" s="4"/>
      <c r="ZL109" s="5"/>
      <c r="ZM109" s="6"/>
      <c r="ZN109" s="4"/>
      <c r="ZO109" s="4"/>
      <c r="ZP109" s="4"/>
      <c r="ZQ109" s="4"/>
      <c r="ZR109" s="4"/>
      <c r="ZS109" s="5"/>
      <c r="ZT109" s="6"/>
      <c r="ZU109" s="4"/>
      <c r="ZV109" s="4"/>
      <c r="ZW109" s="4"/>
      <c r="ZX109" s="4"/>
      <c r="ZY109" s="4"/>
      <c r="ZZ109" s="5"/>
      <c r="AAA109" s="6"/>
      <c r="AAB109" s="4"/>
      <c r="AAC109" s="4"/>
      <c r="AAD109" s="4"/>
      <c r="AAE109" s="4"/>
      <c r="AAF109" s="4"/>
      <c r="AAG109" s="5"/>
      <c r="AAH109" s="6"/>
      <c r="AAI109" s="4"/>
      <c r="AAJ109" s="4"/>
      <c r="AAK109" s="4"/>
      <c r="AAL109" s="4"/>
      <c r="AAM109" s="4"/>
      <c r="AAN109" s="5"/>
      <c r="AAO109" s="6"/>
      <c r="AAP109" s="4"/>
      <c r="AAQ109" s="4"/>
      <c r="AAR109" s="4"/>
      <c r="AAS109" s="4"/>
      <c r="AAT109" s="4"/>
      <c r="AAU109" s="5"/>
      <c r="AAV109" s="6"/>
      <c r="AAW109" s="4"/>
      <c r="AAX109" s="4"/>
      <c r="AAY109" s="4"/>
      <c r="AAZ109" s="4"/>
      <c r="ABA109" s="4"/>
      <c r="ABB109" s="5"/>
      <c r="ABC109" s="6"/>
      <c r="ABD109" s="4"/>
      <c r="ABE109" s="4"/>
      <c r="ABF109" s="4"/>
      <c r="ABG109" s="4"/>
      <c r="ABH109" s="4"/>
      <c r="ABI109" s="5"/>
      <c r="ABJ109" s="6"/>
      <c r="ABK109" s="4"/>
      <c r="ABL109" s="4"/>
      <c r="ABM109" s="4"/>
      <c r="ABN109" s="4"/>
      <c r="ABO109" s="4"/>
      <c r="ABP109" s="5"/>
      <c r="ABQ109" s="6"/>
      <c r="ABR109" s="4"/>
      <c r="ABS109" s="4"/>
      <c r="ABT109" s="4"/>
      <c r="ABU109" s="4"/>
      <c r="ABV109" s="4"/>
      <c r="ABW109" s="5"/>
      <c r="ABX109" s="6"/>
      <c r="ABY109" s="4"/>
      <c r="ABZ109" s="4"/>
      <c r="ACA109" s="4"/>
      <c r="ACB109" s="4"/>
      <c r="ACC109" s="4"/>
      <c r="ACD109" s="5"/>
      <c r="ACE109" s="6"/>
      <c r="ACF109" s="4"/>
      <c r="ACG109" s="4"/>
      <c r="ACH109" s="4"/>
      <c r="ACI109" s="4"/>
      <c r="ACJ109" s="4"/>
      <c r="ACK109" s="5"/>
      <c r="ACL109" s="6"/>
      <c r="ACM109" s="4"/>
      <c r="ACN109" s="4"/>
      <c r="ACO109" s="4"/>
      <c r="ACP109" s="4"/>
      <c r="ACQ109" s="4"/>
      <c r="ACR109" s="5"/>
      <c r="ACS109" s="6"/>
      <c r="ACT109" s="4"/>
      <c r="ACU109" s="4"/>
      <c r="ACV109" s="4"/>
      <c r="ACW109" s="4"/>
      <c r="ACX109" s="4"/>
      <c r="ACY109" s="5"/>
    </row>
    <row r="110" spans="2:779" x14ac:dyDescent="0.25">
      <c r="B110" s="30"/>
      <c r="J110" s="12"/>
      <c r="K110" s="12"/>
      <c r="L110" s="12"/>
      <c r="LL110" s="6"/>
      <c r="LM110" s="4"/>
      <c r="LN110" s="4"/>
      <c r="LO110" s="4"/>
      <c r="LP110" s="4"/>
      <c r="LQ110" s="4"/>
      <c r="LR110" s="5"/>
      <c r="LS110" s="6"/>
      <c r="LT110" s="4"/>
      <c r="LU110" s="4"/>
      <c r="LV110" s="4"/>
      <c r="LW110" s="4"/>
      <c r="LX110" s="4"/>
      <c r="LY110" s="5"/>
      <c r="LZ110" s="6" t="s">
        <v>3399</v>
      </c>
      <c r="MA110" s="7" t="s">
        <v>3400</v>
      </c>
      <c r="MB110" s="4"/>
      <c r="MC110" s="4"/>
      <c r="MD110" s="8"/>
      <c r="ME110" s="4"/>
      <c r="MF110" s="4"/>
      <c r="MG110" s="5"/>
      <c r="MH110" s="6"/>
      <c r="MI110" s="4"/>
      <c r="MJ110" s="4"/>
      <c r="MK110" s="4"/>
      <c r="ML110" s="4"/>
      <c r="MM110" s="4"/>
      <c r="MN110" s="5"/>
      <c r="MO110" s="6"/>
      <c r="MP110" s="4"/>
      <c r="MQ110" s="4"/>
      <c r="MR110" s="4"/>
      <c r="MS110" s="4"/>
      <c r="MT110" s="4"/>
      <c r="MU110" s="5"/>
      <c r="MV110" s="6"/>
      <c r="MW110" s="4"/>
      <c r="MX110" s="4"/>
      <c r="MY110" s="4"/>
      <c r="MZ110" s="4"/>
      <c r="NA110" s="4"/>
      <c r="NB110" s="5"/>
      <c r="NC110" s="6"/>
      <c r="ND110" s="4"/>
      <c r="NE110" s="4"/>
      <c r="NF110" s="4"/>
      <c r="NG110" s="4"/>
      <c r="NH110" s="4"/>
      <c r="NI110" s="5"/>
      <c r="NJ110" s="6"/>
      <c r="NK110" s="4"/>
      <c r="NL110" s="4"/>
      <c r="NM110" s="4"/>
      <c r="NN110" s="4"/>
      <c r="NO110" s="4"/>
      <c r="NP110" s="5"/>
      <c r="NQ110" s="6"/>
      <c r="NR110" s="4"/>
      <c r="NS110" s="4"/>
      <c r="NT110" s="4"/>
      <c r="NU110" s="4"/>
      <c r="NV110" s="4"/>
      <c r="NW110" s="5"/>
      <c r="NX110" s="6"/>
      <c r="NY110" s="4"/>
      <c r="NZ110" s="4"/>
      <c r="OA110" s="4"/>
      <c r="OB110" s="4"/>
      <c r="OC110" s="4"/>
      <c r="OD110" s="5"/>
      <c r="OE110" s="6"/>
      <c r="OF110" s="4"/>
      <c r="OG110" s="4"/>
      <c r="OH110" s="4"/>
      <c r="OI110" s="4"/>
      <c r="OJ110" s="4"/>
      <c r="OK110" s="5"/>
      <c r="OL110" s="6"/>
      <c r="OM110" s="4"/>
      <c r="ON110" s="4"/>
      <c r="OO110" s="4"/>
      <c r="OP110" s="4"/>
      <c r="OQ110" s="4"/>
      <c r="OR110" s="5"/>
      <c r="OS110" s="6"/>
      <c r="OT110" s="4"/>
      <c r="OU110" s="4"/>
      <c r="OV110" s="4"/>
      <c r="OW110" s="4"/>
      <c r="OX110" s="4"/>
      <c r="OY110" s="5"/>
      <c r="OZ110" s="6"/>
      <c r="PA110" s="4"/>
      <c r="PB110" s="4"/>
      <c r="PC110" s="4"/>
      <c r="PD110" s="4"/>
      <c r="PE110" s="4"/>
      <c r="PF110" s="5"/>
      <c r="PG110" s="6"/>
      <c r="PH110" s="4"/>
      <c r="PI110" s="4"/>
      <c r="PJ110" s="4"/>
      <c r="PK110" s="4"/>
      <c r="PL110" s="4"/>
      <c r="PM110" s="5"/>
      <c r="PN110" s="6"/>
      <c r="PO110" s="4"/>
      <c r="PP110" s="4"/>
      <c r="PQ110" s="4"/>
      <c r="PR110" s="4"/>
      <c r="PS110" s="4"/>
      <c r="PT110" s="5"/>
      <c r="PU110" s="6"/>
      <c r="PV110" s="4"/>
      <c r="PW110" s="4"/>
      <c r="PX110" s="4"/>
      <c r="PY110" s="4"/>
      <c r="PZ110" s="4"/>
      <c r="QA110" s="5"/>
      <c r="QB110" s="6"/>
      <c r="QC110" s="4"/>
      <c r="QD110" s="4"/>
      <c r="QE110" s="4"/>
      <c r="QF110" s="4"/>
      <c r="QG110" s="4"/>
      <c r="QH110" s="5"/>
      <c r="QI110" s="6"/>
      <c r="QJ110" s="4"/>
      <c r="QK110" s="4"/>
      <c r="QL110" s="4"/>
      <c r="QM110" s="4"/>
      <c r="QN110" s="4"/>
      <c r="QO110" s="5"/>
      <c r="QP110" s="6"/>
      <c r="QQ110" s="4"/>
      <c r="QR110" s="4"/>
      <c r="QS110" s="4"/>
      <c r="QT110" s="4"/>
      <c r="QU110" s="4"/>
      <c r="QV110" s="5"/>
      <c r="QW110" s="6"/>
      <c r="QX110" s="4"/>
      <c r="QY110" s="4"/>
      <c r="QZ110" s="4"/>
      <c r="RA110" s="4"/>
      <c r="RB110" s="4"/>
      <c r="RC110" s="5"/>
      <c r="RD110" s="6"/>
      <c r="RE110" s="4"/>
      <c r="RF110" s="4"/>
      <c r="RG110" s="4"/>
      <c r="RH110" s="4"/>
      <c r="RI110" s="4"/>
      <c r="RJ110" s="5"/>
      <c r="RK110" s="6"/>
      <c r="RL110" s="4"/>
      <c r="RM110" s="4"/>
      <c r="RN110" s="4"/>
      <c r="RO110" s="4"/>
      <c r="RP110" s="4"/>
      <c r="RQ110" s="5"/>
      <c r="RR110" s="6"/>
      <c r="RS110" s="4"/>
      <c r="RT110" s="4"/>
      <c r="RU110" s="4"/>
      <c r="RV110" s="4"/>
      <c r="RW110" s="4"/>
      <c r="RX110" s="5"/>
      <c r="RY110" s="6"/>
      <c r="RZ110" s="4"/>
      <c r="SA110" s="4"/>
      <c r="SB110" s="4"/>
      <c r="SC110" s="4"/>
      <c r="SD110" s="4"/>
      <c r="SE110" s="5"/>
      <c r="SF110" s="6"/>
      <c r="SG110" s="4"/>
      <c r="SH110" s="4"/>
      <c r="SI110" s="4"/>
      <c r="SJ110" s="4"/>
      <c r="SK110" s="4"/>
      <c r="SL110" s="5"/>
      <c r="SM110" s="6"/>
      <c r="SN110" s="4"/>
      <c r="SO110" s="4"/>
      <c r="SP110" s="4"/>
      <c r="SQ110" s="4"/>
      <c r="SR110" s="4"/>
      <c r="SS110" s="5"/>
      <c r="ST110" s="6"/>
      <c r="SU110" s="4"/>
      <c r="SV110" s="4"/>
      <c r="SW110" s="4"/>
      <c r="SX110" s="4"/>
      <c r="SY110" s="4"/>
      <c r="SZ110" s="5"/>
      <c r="TA110" s="6"/>
      <c r="TB110" s="4"/>
      <c r="TC110" s="4"/>
      <c r="TD110" s="4"/>
      <c r="TE110" s="4"/>
      <c r="TF110" s="4"/>
      <c r="TG110" s="5"/>
      <c r="TH110" s="6"/>
      <c r="TI110" s="4"/>
      <c r="TJ110" s="4"/>
      <c r="TK110" s="4"/>
      <c r="TL110" s="4"/>
      <c r="TM110" s="4"/>
      <c r="TN110" s="5"/>
      <c r="TO110" s="6"/>
      <c r="TP110" s="4"/>
      <c r="TQ110" s="4"/>
      <c r="TR110" s="4"/>
      <c r="TS110" s="4"/>
      <c r="TT110" s="4"/>
      <c r="TU110" s="5"/>
      <c r="TV110" s="6"/>
      <c r="TW110" s="4"/>
      <c r="TX110" s="4"/>
      <c r="TY110" s="4"/>
      <c r="TZ110" s="4"/>
      <c r="UA110" s="4"/>
      <c r="UB110" s="5"/>
      <c r="UC110" s="6"/>
      <c r="UD110" s="4"/>
      <c r="UE110" s="4"/>
      <c r="UF110" s="4"/>
      <c r="UG110" s="4"/>
      <c r="UH110" s="4"/>
      <c r="UI110" s="5"/>
      <c r="UJ110" s="6"/>
      <c r="UK110" s="4"/>
      <c r="UL110" s="4"/>
      <c r="UM110" s="4"/>
      <c r="UN110" s="4"/>
      <c r="UO110" s="4"/>
      <c r="UP110" s="5"/>
      <c r="UQ110" s="6"/>
      <c r="UR110" s="4"/>
      <c r="US110" s="4"/>
      <c r="UT110" s="4"/>
      <c r="UU110" s="4"/>
      <c r="UV110" s="4"/>
      <c r="UW110" s="5"/>
      <c r="UX110" s="6"/>
      <c r="UY110" s="4"/>
      <c r="UZ110" s="4"/>
      <c r="VA110" s="4"/>
      <c r="VB110" s="4"/>
      <c r="VC110" s="4"/>
      <c r="VD110" s="5"/>
      <c r="VE110" s="6"/>
      <c r="VF110" s="4"/>
      <c r="VG110" s="4"/>
      <c r="VH110" s="4"/>
      <c r="VI110" s="4"/>
      <c r="VJ110" s="4"/>
      <c r="VK110" s="5"/>
      <c r="VL110" s="6"/>
      <c r="VM110" s="4"/>
      <c r="VN110" s="4"/>
      <c r="VO110" s="4"/>
      <c r="VP110" s="4"/>
      <c r="VQ110" s="4"/>
      <c r="VR110" s="5"/>
      <c r="VS110" s="6"/>
      <c r="VT110" s="4"/>
      <c r="VU110" s="4"/>
      <c r="VV110" s="4"/>
      <c r="VW110" s="4"/>
      <c r="VX110" s="4"/>
      <c r="VY110" s="5"/>
      <c r="VZ110" s="6"/>
      <c r="WA110" s="4"/>
      <c r="WB110" s="4"/>
      <c r="WC110" s="4"/>
      <c r="WD110" s="4"/>
      <c r="WE110" s="4"/>
      <c r="WF110" s="5"/>
      <c r="WG110" s="6"/>
      <c r="WH110" s="4"/>
      <c r="WI110" s="4"/>
      <c r="WJ110" s="4"/>
      <c r="WK110" s="4"/>
      <c r="WL110" s="4"/>
      <c r="WM110" s="5"/>
      <c r="WN110" s="6"/>
      <c r="WO110" s="4"/>
      <c r="WP110" s="4"/>
      <c r="WQ110" s="4"/>
      <c r="WR110" s="4"/>
      <c r="WS110" s="4"/>
      <c r="WT110" s="5"/>
      <c r="WU110" s="6"/>
      <c r="WV110" s="4"/>
      <c r="WW110" s="4"/>
      <c r="WX110" s="4"/>
      <c r="WY110" s="4"/>
      <c r="WZ110" s="4"/>
      <c r="XA110" s="5"/>
      <c r="XB110" s="6"/>
      <c r="XC110" s="4"/>
      <c r="XD110" s="4"/>
      <c r="XE110" s="4"/>
      <c r="XF110" s="4"/>
      <c r="XG110" s="4"/>
      <c r="XH110" s="5"/>
      <c r="XI110" s="6"/>
      <c r="XJ110" s="4"/>
      <c r="XK110" s="4"/>
      <c r="XL110" s="4"/>
      <c r="XM110" s="4"/>
      <c r="XN110" s="4"/>
      <c r="XO110" s="5"/>
      <c r="XP110" s="6"/>
      <c r="XQ110" s="4"/>
      <c r="XR110" s="4"/>
      <c r="XS110" s="4"/>
      <c r="XT110" s="4"/>
      <c r="XU110" s="4"/>
      <c r="XV110" s="5"/>
      <c r="XW110" s="6"/>
      <c r="XX110" s="4"/>
      <c r="XY110" s="4"/>
      <c r="XZ110" s="4"/>
      <c r="YA110" s="4"/>
      <c r="YB110" s="4"/>
      <c r="YC110" s="5"/>
      <c r="YD110" s="6"/>
      <c r="YE110" s="4"/>
      <c r="YF110" s="4"/>
      <c r="YG110" s="4"/>
      <c r="YH110" s="4"/>
      <c r="YI110" s="4"/>
      <c r="YJ110" s="5"/>
      <c r="YK110" s="6"/>
      <c r="YL110" s="4"/>
      <c r="YM110" s="4"/>
      <c r="YN110" s="4"/>
      <c r="YO110" s="4"/>
      <c r="YP110" s="4"/>
      <c r="YQ110" s="5"/>
      <c r="YR110" s="6"/>
      <c r="YS110" s="4"/>
      <c r="YT110" s="4"/>
      <c r="YU110" s="4"/>
      <c r="YV110" s="4"/>
      <c r="YW110" s="4"/>
      <c r="YX110" s="5"/>
      <c r="YY110" s="6"/>
      <c r="YZ110" s="4"/>
      <c r="ZA110" s="4"/>
      <c r="ZB110" s="4"/>
      <c r="ZC110" s="4"/>
      <c r="ZD110" s="4"/>
      <c r="ZE110" s="5"/>
      <c r="ZF110" s="6"/>
      <c r="ZG110" s="4"/>
      <c r="ZH110" s="4"/>
      <c r="ZI110" s="4"/>
      <c r="ZJ110" s="4"/>
      <c r="ZK110" s="4"/>
      <c r="ZL110" s="5"/>
      <c r="ZM110" s="6"/>
      <c r="ZN110" s="4"/>
      <c r="ZO110" s="4"/>
      <c r="ZP110" s="4"/>
      <c r="ZQ110" s="4"/>
      <c r="ZR110" s="4"/>
      <c r="ZS110" s="5"/>
      <c r="ZT110" s="6"/>
      <c r="ZU110" s="4"/>
      <c r="ZV110" s="4"/>
      <c r="ZW110" s="4"/>
      <c r="ZX110" s="4"/>
      <c r="ZY110" s="4"/>
      <c r="ZZ110" s="5"/>
      <c r="AAA110" s="6"/>
      <c r="AAB110" s="4"/>
      <c r="AAC110" s="4"/>
      <c r="AAD110" s="4"/>
      <c r="AAE110" s="4"/>
      <c r="AAF110" s="4"/>
      <c r="AAG110" s="5"/>
      <c r="AAH110" s="6"/>
      <c r="AAI110" s="4"/>
      <c r="AAJ110" s="4"/>
      <c r="AAK110" s="4"/>
      <c r="AAL110" s="4"/>
      <c r="AAM110" s="4"/>
      <c r="AAN110" s="5"/>
      <c r="AAO110" s="6"/>
      <c r="AAP110" s="4"/>
      <c r="AAQ110" s="4"/>
      <c r="AAR110" s="4"/>
      <c r="AAS110" s="4"/>
      <c r="AAT110" s="4"/>
      <c r="AAU110" s="5"/>
      <c r="AAV110" s="6"/>
      <c r="AAW110" s="4"/>
      <c r="AAX110" s="4"/>
      <c r="AAY110" s="4"/>
      <c r="AAZ110" s="4"/>
      <c r="ABA110" s="4"/>
      <c r="ABB110" s="5"/>
      <c r="ABC110" s="6"/>
      <c r="ABD110" s="4"/>
      <c r="ABE110" s="4"/>
      <c r="ABF110" s="4"/>
      <c r="ABG110" s="4"/>
      <c r="ABH110" s="4"/>
      <c r="ABI110" s="5"/>
      <c r="ABJ110" s="6"/>
      <c r="ABK110" s="4"/>
      <c r="ABL110" s="4"/>
      <c r="ABM110" s="4"/>
      <c r="ABN110" s="4"/>
      <c r="ABO110" s="4"/>
      <c r="ABP110" s="5"/>
      <c r="ABQ110" s="6"/>
      <c r="ABR110" s="4"/>
      <c r="ABS110" s="4"/>
      <c r="ABT110" s="4"/>
      <c r="ABU110" s="4"/>
      <c r="ABV110" s="4"/>
      <c r="ABW110" s="5"/>
      <c r="ABX110" s="6"/>
      <c r="ABY110" s="4"/>
      <c r="ABZ110" s="4"/>
      <c r="ACA110" s="4"/>
      <c r="ACB110" s="4"/>
      <c r="ACC110" s="4"/>
      <c r="ACD110" s="5"/>
      <c r="ACE110" s="6"/>
      <c r="ACF110" s="4"/>
      <c r="ACG110" s="4"/>
      <c r="ACH110" s="4"/>
      <c r="ACI110" s="4"/>
      <c r="ACJ110" s="4"/>
      <c r="ACK110" s="5"/>
      <c r="ACL110" s="6"/>
      <c r="ACM110" s="4"/>
      <c r="ACN110" s="4"/>
      <c r="ACO110" s="4"/>
      <c r="ACP110" s="4"/>
      <c r="ACQ110" s="4"/>
      <c r="ACR110" s="5"/>
      <c r="ACS110" s="6"/>
      <c r="ACT110" s="4"/>
      <c r="ACU110" s="4"/>
      <c r="ACV110" s="4"/>
      <c r="ACW110" s="4"/>
      <c r="ACX110" s="4"/>
      <c r="ACY110" s="5"/>
    </row>
    <row r="111" spans="2:779" x14ac:dyDescent="0.25">
      <c r="B111" s="29">
        <v>96005154</v>
      </c>
      <c r="C111">
        <v>84</v>
      </c>
      <c r="D111" t="s">
        <v>3729</v>
      </c>
      <c r="F111" s="23">
        <v>1</v>
      </c>
      <c r="I111">
        <v>1</v>
      </c>
      <c r="J111" s="19">
        <v>33729</v>
      </c>
      <c r="K111" s="19"/>
      <c r="L111" s="19"/>
      <c r="M111">
        <v>1</v>
      </c>
      <c r="N111" s="17">
        <v>33729</v>
      </c>
      <c r="LL111" s="6"/>
      <c r="LM111" s="4"/>
      <c r="LN111" s="4"/>
      <c r="LO111" s="4"/>
      <c r="LP111" s="4"/>
      <c r="LQ111" s="4"/>
      <c r="LR111" s="5"/>
      <c r="LS111" s="6"/>
      <c r="LT111" s="4"/>
      <c r="LU111" s="4"/>
      <c r="LV111" s="4"/>
      <c r="LW111" s="4"/>
      <c r="LX111" s="4"/>
      <c r="LY111" s="5"/>
      <c r="LZ111" s="6" t="s">
        <v>2693</v>
      </c>
      <c r="MA111" s="7" t="s">
        <v>2693</v>
      </c>
      <c r="MB111" s="4"/>
      <c r="MC111" s="4"/>
      <c r="MD111" s="10"/>
      <c r="ME111" s="4"/>
      <c r="MF111" s="4"/>
      <c r="MG111" s="5"/>
      <c r="MH111" s="6"/>
      <c r="MI111" s="4"/>
      <c r="MJ111" s="4"/>
      <c r="MK111" s="4"/>
      <c r="ML111" s="4"/>
      <c r="MM111" s="4"/>
      <c r="MN111" s="5"/>
      <c r="MO111" s="6"/>
      <c r="MP111" s="4"/>
      <c r="MQ111" s="4"/>
      <c r="MR111" s="4"/>
      <c r="MS111" s="4"/>
      <c r="MT111" s="4"/>
      <c r="MU111" s="5"/>
      <c r="MV111" s="6"/>
      <c r="MW111" s="4"/>
      <c r="MX111" s="4"/>
      <c r="MY111" s="4"/>
      <c r="MZ111" s="4"/>
      <c r="NA111" s="4"/>
      <c r="NB111" s="5"/>
      <c r="NC111" s="6" t="s">
        <v>2741</v>
      </c>
      <c r="ND111" s="4" t="s">
        <v>2885</v>
      </c>
      <c r="NE111" s="4"/>
      <c r="NF111" s="4"/>
      <c r="NG111" s="4"/>
      <c r="NH111" s="4"/>
      <c r="NI111" s="5"/>
      <c r="NJ111" s="6"/>
      <c r="NK111" s="4"/>
      <c r="NL111" s="4"/>
      <c r="NM111" s="4"/>
      <c r="NN111" s="4"/>
      <c r="NO111" s="4"/>
      <c r="NP111" s="5"/>
      <c r="NQ111" s="6"/>
      <c r="NR111" s="4"/>
      <c r="NS111" s="4"/>
      <c r="NT111" s="4"/>
      <c r="NU111" s="4"/>
      <c r="NV111" s="4"/>
      <c r="NW111" s="5"/>
      <c r="NX111" s="6"/>
      <c r="NY111" s="4"/>
      <c r="NZ111" s="4"/>
      <c r="OA111" s="4"/>
      <c r="OB111" s="4"/>
      <c r="OC111" s="4"/>
      <c r="OD111" s="5"/>
      <c r="OE111" s="6"/>
      <c r="OF111" s="4"/>
      <c r="OG111" s="4"/>
      <c r="OH111" s="4"/>
      <c r="OI111" s="4"/>
      <c r="OJ111" s="4"/>
      <c r="OK111" s="5"/>
      <c r="OL111" s="6"/>
      <c r="OM111" s="4"/>
      <c r="ON111" s="4"/>
      <c r="OO111" s="4"/>
      <c r="OP111" s="4"/>
      <c r="OQ111" s="4"/>
      <c r="OR111" s="5"/>
      <c r="OS111" s="6"/>
      <c r="OT111" s="4"/>
      <c r="OU111" s="4"/>
      <c r="OV111" s="4"/>
      <c r="OW111" s="4"/>
      <c r="OX111" s="4"/>
      <c r="OY111" s="5"/>
      <c r="OZ111" s="6"/>
      <c r="PA111" s="4"/>
      <c r="PB111" s="4"/>
      <c r="PC111" s="4"/>
      <c r="PD111" s="4"/>
      <c r="PE111" s="4"/>
      <c r="PF111" s="5"/>
      <c r="PG111" s="6"/>
      <c r="PH111" s="4"/>
      <c r="PI111" s="4"/>
      <c r="PJ111" s="4"/>
      <c r="PK111" s="4"/>
      <c r="PL111" s="4"/>
      <c r="PM111" s="5"/>
      <c r="PN111" s="6"/>
      <c r="PO111" s="4"/>
      <c r="PP111" s="4"/>
      <c r="PQ111" s="4"/>
      <c r="PR111" s="4"/>
      <c r="PS111" s="4"/>
      <c r="PT111" s="5"/>
      <c r="PU111" s="6" t="s">
        <v>2736</v>
      </c>
      <c r="PV111" s="4" t="s">
        <v>2737</v>
      </c>
      <c r="PW111" s="4"/>
      <c r="PX111" s="4"/>
      <c r="PY111" s="4"/>
      <c r="PZ111" s="4"/>
      <c r="QA111" s="5"/>
      <c r="QB111" s="6" t="s">
        <v>3252</v>
      </c>
      <c r="QC111" s="4" t="s">
        <v>2878</v>
      </c>
      <c r="QD111" s="4"/>
      <c r="QE111" s="4"/>
      <c r="QF111" s="4"/>
      <c r="QG111" s="4"/>
      <c r="QH111" s="5"/>
      <c r="QI111" s="6"/>
      <c r="QJ111" s="4"/>
      <c r="QK111" s="4"/>
      <c r="QL111" s="4"/>
      <c r="QM111" s="4"/>
      <c r="QN111" s="4"/>
      <c r="QO111" s="5"/>
      <c r="QP111" s="6"/>
      <c r="QQ111" s="4"/>
      <c r="QR111" s="4"/>
      <c r="QS111" s="4"/>
      <c r="QT111" s="4"/>
      <c r="QU111" s="4"/>
      <c r="QV111" s="5"/>
      <c r="QW111" s="6"/>
      <c r="QX111" s="4"/>
      <c r="QY111" s="4"/>
      <c r="QZ111" s="4"/>
      <c r="RA111" s="4"/>
      <c r="RB111" s="4"/>
      <c r="RC111" s="5"/>
      <c r="RD111" s="6"/>
      <c r="RE111" s="4"/>
      <c r="RF111" s="4"/>
      <c r="RG111" s="4"/>
      <c r="RH111" s="4"/>
      <c r="RI111" s="4"/>
      <c r="RJ111" s="5"/>
      <c r="RK111" s="6"/>
      <c r="RL111" s="4"/>
      <c r="RM111" s="4"/>
      <c r="RN111" s="4"/>
      <c r="RO111" s="4"/>
      <c r="RP111" s="4"/>
      <c r="RQ111" s="5"/>
      <c r="RR111" s="6"/>
      <c r="RS111" s="4"/>
      <c r="RT111" s="4"/>
      <c r="RU111" s="4"/>
      <c r="RV111" s="4"/>
      <c r="RW111" s="4"/>
      <c r="RX111" s="5"/>
      <c r="RY111" s="6"/>
      <c r="RZ111" s="4"/>
      <c r="SA111" s="4"/>
      <c r="SB111" s="4"/>
      <c r="SC111" s="4"/>
      <c r="SD111" s="4"/>
      <c r="SE111" s="5"/>
      <c r="SF111" s="6"/>
      <c r="SG111" s="4"/>
      <c r="SH111" s="4"/>
      <c r="SI111" s="4"/>
      <c r="SJ111" s="4"/>
      <c r="SK111" s="4"/>
      <c r="SL111" s="5"/>
      <c r="SM111" s="6"/>
      <c r="SN111" s="4"/>
      <c r="SO111" s="4"/>
      <c r="SP111" s="4"/>
      <c r="SQ111" s="4"/>
      <c r="SR111" s="4"/>
      <c r="SS111" s="5"/>
      <c r="ST111" s="6"/>
      <c r="SU111" s="4"/>
      <c r="SV111" s="4"/>
      <c r="SW111" s="4"/>
      <c r="SX111" s="4"/>
      <c r="SY111" s="4"/>
      <c r="SZ111" s="5"/>
      <c r="TA111" s="6"/>
      <c r="TB111" s="4"/>
      <c r="TC111" s="4"/>
      <c r="TD111" s="4"/>
      <c r="TE111" s="4"/>
      <c r="TF111" s="4"/>
      <c r="TG111" s="5"/>
      <c r="TH111" s="6"/>
      <c r="TI111" s="4"/>
      <c r="TJ111" s="4"/>
      <c r="TK111" s="4"/>
      <c r="TL111" s="4"/>
      <c r="TM111" s="4"/>
      <c r="TN111" s="5"/>
      <c r="TO111" s="6"/>
      <c r="TP111" s="4"/>
      <c r="TQ111" s="4"/>
      <c r="TR111" s="4"/>
      <c r="TS111" s="4"/>
      <c r="TT111" s="4"/>
      <c r="TU111" s="5"/>
      <c r="TV111" s="6"/>
      <c r="TW111" s="4"/>
      <c r="TX111" s="4"/>
      <c r="TY111" s="4"/>
      <c r="TZ111" s="4"/>
      <c r="UA111" s="4"/>
      <c r="UB111" s="5"/>
      <c r="UC111" s="6" t="s">
        <v>2095</v>
      </c>
      <c r="UD111" s="4" t="s">
        <v>2013</v>
      </c>
      <c r="UE111" s="4"/>
      <c r="UF111" s="4"/>
      <c r="UG111" s="4"/>
      <c r="UH111" s="4"/>
      <c r="UI111" s="5"/>
      <c r="UJ111" s="6"/>
      <c r="UK111" s="4"/>
      <c r="UL111" s="4"/>
      <c r="UM111" s="4"/>
      <c r="UN111" s="4"/>
      <c r="UO111" s="4"/>
      <c r="UP111" s="5"/>
      <c r="UQ111" s="6"/>
      <c r="UR111" s="4"/>
      <c r="US111" s="4"/>
      <c r="UT111" s="4"/>
      <c r="UU111" s="4"/>
      <c r="UV111" s="4"/>
      <c r="UW111" s="5"/>
      <c r="UX111" s="6" t="s">
        <v>2738</v>
      </c>
      <c r="UY111" s="4" t="s">
        <v>2738</v>
      </c>
      <c r="UZ111" s="4"/>
      <c r="VA111" s="4"/>
      <c r="VB111" s="4"/>
      <c r="VC111" s="4"/>
      <c r="VD111" s="5"/>
      <c r="VE111" s="6"/>
      <c r="VF111" s="4"/>
      <c r="VG111" s="4"/>
      <c r="VH111" s="4"/>
      <c r="VI111" s="4"/>
      <c r="VJ111" s="4"/>
      <c r="VK111" s="5"/>
      <c r="VL111" s="6"/>
      <c r="VM111" s="4"/>
      <c r="VN111" s="4"/>
      <c r="VO111" s="4"/>
      <c r="VP111" s="4"/>
      <c r="VQ111" s="4"/>
      <c r="VR111" s="5"/>
      <c r="VS111" s="6"/>
      <c r="VT111" s="4"/>
      <c r="VU111" s="4"/>
      <c r="VV111" s="4"/>
      <c r="VW111" s="4"/>
      <c r="VX111" s="4"/>
      <c r="VY111" s="5"/>
      <c r="VZ111" s="6"/>
      <c r="WA111" s="4"/>
      <c r="WB111" s="4"/>
      <c r="WC111" s="4"/>
      <c r="WD111" s="4"/>
      <c r="WE111" s="4"/>
      <c r="WF111" s="5"/>
      <c r="WG111" s="6"/>
      <c r="WH111" s="4"/>
      <c r="WI111" s="4"/>
      <c r="WJ111" s="4"/>
      <c r="WK111" s="4"/>
      <c r="WL111" s="4"/>
      <c r="WM111" s="5"/>
      <c r="WN111" s="6"/>
      <c r="WO111" s="4"/>
      <c r="WP111" s="4"/>
      <c r="WQ111" s="4"/>
      <c r="WR111" s="4"/>
      <c r="WS111" s="4"/>
      <c r="WT111" s="5"/>
      <c r="WU111" s="6"/>
      <c r="WV111" s="4"/>
      <c r="WW111" s="4"/>
      <c r="WX111" s="4"/>
      <c r="WY111" s="4"/>
      <c r="WZ111" s="4"/>
      <c r="XA111" s="5"/>
      <c r="XB111" s="6"/>
      <c r="XC111" s="4"/>
      <c r="XD111" s="4"/>
      <c r="XE111" s="4"/>
      <c r="XF111" s="4"/>
      <c r="XG111" s="4"/>
      <c r="XH111" s="5"/>
      <c r="XI111" s="6"/>
      <c r="XJ111" s="4"/>
      <c r="XK111" s="4"/>
      <c r="XL111" s="4"/>
      <c r="XM111" s="4"/>
      <c r="XN111" s="4"/>
      <c r="XO111" s="5"/>
      <c r="XP111" s="6"/>
      <c r="XQ111" s="4"/>
      <c r="XR111" s="4"/>
      <c r="XS111" s="4"/>
      <c r="XT111" s="4"/>
      <c r="XU111" s="4"/>
      <c r="XV111" s="5"/>
      <c r="XW111" s="6"/>
      <c r="XX111" s="4"/>
      <c r="XY111" s="4"/>
      <c r="XZ111" s="4"/>
      <c r="YA111" s="4"/>
      <c r="YB111" s="4"/>
      <c r="YC111" s="5"/>
      <c r="YD111" s="6"/>
      <c r="YE111" s="4"/>
      <c r="YF111" s="4"/>
      <c r="YG111" s="4"/>
      <c r="YH111" s="4"/>
      <c r="YI111" s="4"/>
      <c r="YJ111" s="5"/>
      <c r="YK111" s="6"/>
      <c r="YL111" s="4"/>
      <c r="YM111" s="4"/>
      <c r="YN111" s="4"/>
      <c r="YO111" s="4"/>
      <c r="YP111" s="4"/>
      <c r="YQ111" s="5"/>
      <c r="YR111" s="6"/>
      <c r="YS111" s="4"/>
      <c r="YT111" s="4"/>
      <c r="YU111" s="4"/>
      <c r="YV111" s="4"/>
      <c r="YW111" s="4"/>
      <c r="YX111" s="5"/>
      <c r="YY111" s="6"/>
      <c r="YZ111" s="4"/>
      <c r="ZA111" s="4"/>
      <c r="ZB111" s="4"/>
      <c r="ZC111" s="4"/>
      <c r="ZD111" s="4"/>
      <c r="ZE111" s="5"/>
      <c r="ZF111" s="6"/>
      <c r="ZG111" s="4"/>
      <c r="ZH111" s="4"/>
      <c r="ZI111" s="4"/>
      <c r="ZJ111" s="4"/>
      <c r="ZK111" s="4"/>
      <c r="ZL111" s="5"/>
      <c r="ZM111" s="6"/>
      <c r="ZN111" s="4"/>
      <c r="ZO111" s="4"/>
      <c r="ZP111" s="4"/>
      <c r="ZQ111" s="4"/>
      <c r="ZR111" s="4"/>
      <c r="ZS111" s="5"/>
      <c r="ZT111" s="6"/>
      <c r="ZU111" s="4"/>
      <c r="ZV111" s="4"/>
      <c r="ZW111" s="4"/>
      <c r="ZX111" s="4"/>
      <c r="ZY111" s="4"/>
      <c r="ZZ111" s="5"/>
      <c r="AAA111" s="6"/>
      <c r="AAB111" s="4"/>
      <c r="AAC111" s="4"/>
      <c r="AAD111" s="4"/>
      <c r="AAE111" s="4"/>
      <c r="AAF111" s="4"/>
      <c r="AAG111" s="5"/>
      <c r="AAH111" s="6"/>
      <c r="AAI111" s="4"/>
      <c r="AAJ111" s="4"/>
      <c r="AAK111" s="4"/>
      <c r="AAL111" s="4"/>
      <c r="AAM111" s="4"/>
      <c r="AAN111" s="5"/>
      <c r="AAO111" s="6"/>
      <c r="AAP111" s="4"/>
      <c r="AAQ111" s="4"/>
      <c r="AAR111" s="4"/>
      <c r="AAS111" s="4"/>
      <c r="AAT111" s="4"/>
      <c r="AAU111" s="5"/>
      <c r="AAV111" s="6"/>
      <c r="AAW111" s="4"/>
      <c r="AAX111" s="4"/>
      <c r="AAY111" s="4"/>
      <c r="AAZ111" s="4"/>
      <c r="ABA111" s="4"/>
      <c r="ABB111" s="5"/>
      <c r="ABC111" s="6"/>
      <c r="ABD111" s="4"/>
      <c r="ABE111" s="4"/>
      <c r="ABF111" s="4"/>
      <c r="ABG111" s="4"/>
      <c r="ABH111" s="4"/>
      <c r="ABI111" s="5"/>
      <c r="ABJ111" s="6"/>
      <c r="ABK111" s="4"/>
      <c r="ABL111" s="4"/>
      <c r="ABM111" s="4"/>
      <c r="ABN111" s="4"/>
      <c r="ABO111" s="4"/>
      <c r="ABP111" s="5"/>
      <c r="ABQ111" s="6"/>
      <c r="ABR111" s="4"/>
      <c r="ABS111" s="4"/>
      <c r="ABT111" s="4"/>
      <c r="ABU111" s="4"/>
      <c r="ABV111" s="4"/>
      <c r="ABW111" s="5"/>
      <c r="ABX111" s="6"/>
      <c r="ABY111" s="4"/>
      <c r="ABZ111" s="4"/>
      <c r="ACA111" s="4"/>
      <c r="ACB111" s="4"/>
      <c r="ACC111" s="4"/>
      <c r="ACD111" s="5"/>
      <c r="ACE111" s="6"/>
      <c r="ACF111" s="4"/>
      <c r="ACG111" s="4"/>
      <c r="ACH111" s="4"/>
      <c r="ACI111" s="4"/>
      <c r="ACJ111" s="4"/>
      <c r="ACK111" s="5"/>
      <c r="ACL111" s="6"/>
      <c r="ACM111" s="4"/>
      <c r="ACN111" s="4"/>
      <c r="ACO111" s="4"/>
      <c r="ACP111" s="4"/>
      <c r="ACQ111" s="4"/>
      <c r="ACR111" s="5"/>
      <c r="ACS111" s="6"/>
      <c r="ACT111" s="4"/>
      <c r="ACU111" s="4"/>
      <c r="ACV111" s="4"/>
      <c r="ACW111" s="4"/>
      <c r="ACX111" s="4"/>
      <c r="ACY111" s="5"/>
    </row>
    <row r="112" spans="2:779" x14ac:dyDescent="0.25">
      <c r="B112" s="30"/>
      <c r="J112" s="12"/>
      <c r="K112" s="12"/>
      <c r="L112" s="12"/>
      <c r="LL112" s="6"/>
      <c r="LM112" s="4"/>
      <c r="LN112" s="4"/>
      <c r="LO112" s="4"/>
      <c r="LP112" s="4"/>
      <c r="LQ112" s="4"/>
      <c r="LR112" s="5"/>
      <c r="LS112" s="6"/>
      <c r="LT112" s="4"/>
      <c r="LU112" s="4"/>
      <c r="LV112" s="4"/>
      <c r="LW112" s="4"/>
      <c r="LX112" s="4"/>
      <c r="LY112" s="5"/>
      <c r="LZ112" s="6"/>
      <c r="MA112" s="7"/>
      <c r="MB112" s="4"/>
      <c r="MC112" s="4"/>
      <c r="MD112" s="10"/>
      <c r="ME112" s="4"/>
      <c r="MF112" s="4"/>
      <c r="MG112" s="5"/>
      <c r="MH112" s="6"/>
      <c r="MI112" s="4"/>
      <c r="MJ112" s="4"/>
      <c r="MK112" s="4"/>
      <c r="ML112" s="4"/>
      <c r="MM112" s="4"/>
      <c r="MN112" s="5"/>
      <c r="MO112" s="6"/>
      <c r="MP112" s="4"/>
      <c r="MQ112" s="4"/>
      <c r="MR112" s="4"/>
      <c r="MS112" s="4"/>
      <c r="MT112" s="4"/>
      <c r="MU112" s="5"/>
      <c r="MV112" s="6"/>
      <c r="MW112" s="4"/>
      <c r="MX112" s="4"/>
      <c r="MY112" s="4"/>
      <c r="MZ112" s="4"/>
      <c r="NA112" s="4"/>
      <c r="NB112" s="5"/>
      <c r="NC112" s="6"/>
      <c r="ND112" s="4"/>
      <c r="NE112" s="4"/>
      <c r="NF112" s="4"/>
      <c r="NG112" s="4"/>
      <c r="NH112" s="4"/>
      <c r="NI112" s="5"/>
      <c r="NJ112" s="6"/>
      <c r="NK112" s="4"/>
      <c r="NL112" s="4"/>
      <c r="NM112" s="4"/>
      <c r="NN112" s="4"/>
      <c r="NO112" s="4"/>
      <c r="NP112" s="5"/>
      <c r="NQ112" s="6"/>
      <c r="NR112" s="4"/>
      <c r="NS112" s="4"/>
      <c r="NT112" s="4"/>
      <c r="NU112" s="4"/>
      <c r="NV112" s="4"/>
      <c r="NW112" s="5"/>
      <c r="NX112" s="6"/>
      <c r="NY112" s="4"/>
      <c r="NZ112" s="4"/>
      <c r="OA112" s="4"/>
      <c r="OB112" s="4"/>
      <c r="OC112" s="4"/>
      <c r="OD112" s="5"/>
      <c r="OE112" s="6"/>
      <c r="OF112" s="4"/>
      <c r="OG112" s="4"/>
      <c r="OH112" s="4"/>
      <c r="OI112" s="4"/>
      <c r="OJ112" s="4"/>
      <c r="OK112" s="5"/>
      <c r="OL112" s="6"/>
      <c r="OM112" s="4"/>
      <c r="ON112" s="4"/>
      <c r="OO112" s="4"/>
      <c r="OP112" s="4"/>
      <c r="OQ112" s="4"/>
      <c r="OR112" s="5"/>
      <c r="OS112" s="6"/>
      <c r="OT112" s="4"/>
      <c r="OU112" s="4"/>
      <c r="OV112" s="4"/>
      <c r="OW112" s="4"/>
      <c r="OX112" s="4"/>
      <c r="OY112" s="5"/>
      <c r="OZ112" s="6"/>
      <c r="PA112" s="4"/>
      <c r="PB112" s="4"/>
      <c r="PC112" s="4"/>
      <c r="PD112" s="4"/>
      <c r="PE112" s="4"/>
      <c r="PF112" s="5"/>
      <c r="PG112" s="6"/>
      <c r="PH112" s="4"/>
      <c r="PI112" s="4"/>
      <c r="PJ112" s="4"/>
      <c r="PK112" s="4"/>
      <c r="PL112" s="4"/>
      <c r="PM112" s="5"/>
      <c r="PN112" s="6"/>
      <c r="PO112" s="4"/>
      <c r="PP112" s="4"/>
      <c r="PQ112" s="4"/>
      <c r="PR112" s="4"/>
      <c r="PS112" s="4"/>
      <c r="PT112" s="5"/>
      <c r="PU112" s="6"/>
      <c r="PV112" s="4"/>
      <c r="PW112" s="4"/>
      <c r="PX112" s="4"/>
      <c r="PY112" s="4"/>
      <c r="PZ112" s="4"/>
      <c r="QA112" s="5"/>
      <c r="QB112" s="6"/>
      <c r="QC112" s="4"/>
      <c r="QD112" s="4"/>
      <c r="QE112" s="4"/>
      <c r="QF112" s="4"/>
      <c r="QG112" s="4"/>
      <c r="QH112" s="5"/>
      <c r="QI112" s="6"/>
      <c r="QJ112" s="4"/>
      <c r="QK112" s="4"/>
      <c r="QL112" s="4"/>
      <c r="QM112" s="4"/>
      <c r="QN112" s="4"/>
      <c r="QO112" s="5"/>
      <c r="QP112" s="6"/>
      <c r="QQ112" s="4"/>
      <c r="QR112" s="4"/>
      <c r="QS112" s="4"/>
      <c r="QT112" s="4"/>
      <c r="QU112" s="4"/>
      <c r="QV112" s="5"/>
      <c r="QW112" s="6"/>
      <c r="QX112" s="4"/>
      <c r="QY112" s="4"/>
      <c r="QZ112" s="4"/>
      <c r="RA112" s="4"/>
      <c r="RB112" s="4"/>
      <c r="RC112" s="5"/>
      <c r="RD112" s="6"/>
      <c r="RE112" s="4"/>
      <c r="RF112" s="4"/>
      <c r="RG112" s="4"/>
      <c r="RH112" s="4"/>
      <c r="RI112" s="4"/>
      <c r="RJ112" s="5"/>
      <c r="RK112" s="6"/>
      <c r="RL112" s="4"/>
      <c r="RM112" s="4"/>
      <c r="RN112" s="4"/>
      <c r="RO112" s="4"/>
      <c r="RP112" s="4"/>
      <c r="RQ112" s="5"/>
      <c r="RR112" s="6"/>
      <c r="RS112" s="4"/>
      <c r="RT112" s="4"/>
      <c r="RU112" s="4"/>
      <c r="RV112" s="4"/>
      <c r="RW112" s="4"/>
      <c r="RX112" s="5"/>
      <c r="RY112" s="6"/>
      <c r="RZ112" s="4"/>
      <c r="SA112" s="4"/>
      <c r="SB112" s="4"/>
      <c r="SC112" s="4"/>
      <c r="SD112" s="4"/>
      <c r="SE112" s="5"/>
      <c r="SF112" s="6"/>
      <c r="SG112" s="4"/>
      <c r="SH112" s="4"/>
      <c r="SI112" s="4"/>
      <c r="SJ112" s="4"/>
      <c r="SK112" s="4"/>
      <c r="SL112" s="5"/>
      <c r="SM112" s="6"/>
      <c r="SN112" s="4"/>
      <c r="SO112" s="4"/>
      <c r="SP112" s="4"/>
      <c r="SQ112" s="4"/>
      <c r="SR112" s="4"/>
      <c r="SS112" s="5"/>
      <c r="ST112" s="6"/>
      <c r="SU112" s="4"/>
      <c r="SV112" s="4"/>
      <c r="SW112" s="4"/>
      <c r="SX112" s="4"/>
      <c r="SY112" s="4"/>
      <c r="SZ112" s="5"/>
      <c r="TA112" s="6"/>
      <c r="TB112" s="4"/>
      <c r="TC112" s="4"/>
      <c r="TD112" s="4"/>
      <c r="TE112" s="4"/>
      <c r="TF112" s="4"/>
      <c r="TG112" s="5"/>
      <c r="TH112" s="6"/>
      <c r="TI112" s="4"/>
      <c r="TJ112" s="4"/>
      <c r="TK112" s="4"/>
      <c r="TL112" s="4"/>
      <c r="TM112" s="4"/>
      <c r="TN112" s="5"/>
      <c r="TO112" s="6"/>
      <c r="TP112" s="4"/>
      <c r="TQ112" s="4"/>
      <c r="TR112" s="4"/>
      <c r="TS112" s="4"/>
      <c r="TT112" s="4"/>
      <c r="TU112" s="5"/>
      <c r="TV112" s="6"/>
      <c r="TW112" s="4"/>
      <c r="TX112" s="4"/>
      <c r="TY112" s="4"/>
      <c r="TZ112" s="4"/>
      <c r="UA112" s="4"/>
      <c r="UB112" s="5"/>
      <c r="UC112" s="6"/>
      <c r="UD112" s="4"/>
      <c r="UE112" s="4"/>
      <c r="UF112" s="4"/>
      <c r="UG112" s="4"/>
      <c r="UH112" s="4"/>
      <c r="UI112" s="5"/>
      <c r="UJ112" s="6"/>
      <c r="UK112" s="4"/>
      <c r="UL112" s="4"/>
      <c r="UM112" s="4"/>
      <c r="UN112" s="4"/>
      <c r="UO112" s="4"/>
      <c r="UP112" s="5"/>
      <c r="UQ112" s="6"/>
      <c r="UR112" s="4"/>
      <c r="US112" s="4"/>
      <c r="UT112" s="4"/>
      <c r="UU112" s="4"/>
      <c r="UV112" s="4"/>
      <c r="UW112" s="5"/>
      <c r="UX112" s="6" t="s">
        <v>2739</v>
      </c>
      <c r="UY112" s="4" t="s">
        <v>2740</v>
      </c>
      <c r="UZ112" s="4"/>
      <c r="VA112" s="4"/>
      <c r="VB112" s="4"/>
      <c r="VC112" s="4"/>
      <c r="VD112" s="5"/>
      <c r="VE112" s="6"/>
      <c r="VF112" s="4"/>
      <c r="VG112" s="4"/>
      <c r="VH112" s="4"/>
      <c r="VI112" s="4"/>
      <c r="VJ112" s="4"/>
      <c r="VK112" s="5"/>
      <c r="VL112" s="6"/>
      <c r="VM112" s="4"/>
      <c r="VN112" s="4"/>
      <c r="VO112" s="4"/>
      <c r="VP112" s="4"/>
      <c r="VQ112" s="4"/>
      <c r="VR112" s="5"/>
      <c r="VS112" s="6"/>
      <c r="VT112" s="4"/>
      <c r="VU112" s="4"/>
      <c r="VV112" s="4"/>
      <c r="VW112" s="4"/>
      <c r="VX112" s="4"/>
      <c r="VY112" s="5"/>
      <c r="VZ112" s="6"/>
      <c r="WA112" s="4"/>
      <c r="WB112" s="4"/>
      <c r="WC112" s="4"/>
      <c r="WD112" s="4"/>
      <c r="WE112" s="4"/>
      <c r="WF112" s="5"/>
      <c r="WG112" s="6"/>
      <c r="WH112" s="4"/>
      <c r="WI112" s="4"/>
      <c r="WJ112" s="4"/>
      <c r="WK112" s="4"/>
      <c r="WL112" s="4"/>
      <c r="WM112" s="5"/>
      <c r="WN112" s="6"/>
      <c r="WO112" s="4"/>
      <c r="WP112" s="4"/>
      <c r="WQ112" s="4"/>
      <c r="WR112" s="4"/>
      <c r="WS112" s="4"/>
      <c r="WT112" s="5"/>
      <c r="WU112" s="6"/>
      <c r="WV112" s="4"/>
      <c r="WW112" s="4"/>
      <c r="WX112" s="4"/>
      <c r="WY112" s="4"/>
      <c r="WZ112" s="4"/>
      <c r="XA112" s="5"/>
      <c r="XB112" s="6"/>
      <c r="XC112" s="4"/>
      <c r="XD112" s="4"/>
      <c r="XE112" s="4"/>
      <c r="XF112" s="4"/>
      <c r="XG112" s="4"/>
      <c r="XH112" s="5"/>
      <c r="XI112" s="6"/>
      <c r="XJ112" s="4"/>
      <c r="XK112" s="4"/>
      <c r="XL112" s="4"/>
      <c r="XM112" s="4"/>
      <c r="XN112" s="4"/>
      <c r="XO112" s="5"/>
      <c r="XP112" s="6"/>
      <c r="XQ112" s="4"/>
      <c r="XR112" s="4"/>
      <c r="XS112" s="4"/>
      <c r="XT112" s="4"/>
      <c r="XU112" s="4"/>
      <c r="XV112" s="5"/>
      <c r="XW112" s="6"/>
      <c r="XX112" s="4"/>
      <c r="XY112" s="4"/>
      <c r="XZ112" s="4"/>
      <c r="YA112" s="4"/>
      <c r="YB112" s="4"/>
      <c r="YC112" s="5"/>
      <c r="YD112" s="6"/>
      <c r="YE112" s="4"/>
      <c r="YF112" s="4"/>
      <c r="YG112" s="4"/>
      <c r="YH112" s="4"/>
      <c r="YI112" s="4"/>
      <c r="YJ112" s="5"/>
      <c r="YK112" s="6"/>
      <c r="YL112" s="4"/>
      <c r="YM112" s="4"/>
      <c r="YN112" s="4"/>
      <c r="YO112" s="4"/>
      <c r="YP112" s="4"/>
      <c r="YQ112" s="5"/>
      <c r="YR112" s="6"/>
      <c r="YS112" s="4"/>
      <c r="YT112" s="4"/>
      <c r="YU112" s="4"/>
      <c r="YV112" s="4"/>
      <c r="YW112" s="4"/>
      <c r="YX112" s="5"/>
      <c r="YY112" s="6"/>
      <c r="YZ112" s="4"/>
      <c r="ZA112" s="4"/>
      <c r="ZB112" s="4"/>
      <c r="ZC112" s="4"/>
      <c r="ZD112" s="4"/>
      <c r="ZE112" s="5"/>
      <c r="ZF112" s="6"/>
      <c r="ZG112" s="4"/>
      <c r="ZH112" s="4"/>
      <c r="ZI112" s="4"/>
      <c r="ZJ112" s="4"/>
      <c r="ZK112" s="4"/>
      <c r="ZL112" s="5"/>
      <c r="ZM112" s="6"/>
      <c r="ZN112" s="4"/>
      <c r="ZO112" s="4"/>
      <c r="ZP112" s="4"/>
      <c r="ZQ112" s="4"/>
      <c r="ZR112" s="4"/>
      <c r="ZS112" s="5"/>
      <c r="ZT112" s="6"/>
      <c r="ZU112" s="4"/>
      <c r="ZV112" s="4"/>
      <c r="ZW112" s="4"/>
      <c r="ZX112" s="4"/>
      <c r="ZY112" s="4"/>
      <c r="ZZ112" s="5"/>
      <c r="AAA112" s="6"/>
      <c r="AAB112" s="4"/>
      <c r="AAC112" s="4"/>
      <c r="AAD112" s="4"/>
      <c r="AAE112" s="4"/>
      <c r="AAF112" s="4"/>
      <c r="AAG112" s="5"/>
      <c r="AAH112" s="6"/>
      <c r="AAI112" s="4"/>
      <c r="AAJ112" s="4"/>
      <c r="AAK112" s="4"/>
      <c r="AAL112" s="4"/>
      <c r="AAM112" s="4"/>
      <c r="AAN112" s="5"/>
      <c r="AAO112" s="6"/>
      <c r="AAP112" s="4"/>
      <c r="AAQ112" s="4"/>
      <c r="AAR112" s="4"/>
      <c r="AAS112" s="4"/>
      <c r="AAT112" s="4"/>
      <c r="AAU112" s="5"/>
      <c r="AAV112" s="6"/>
      <c r="AAW112" s="4"/>
      <c r="AAX112" s="4"/>
      <c r="AAY112" s="4"/>
      <c r="AAZ112" s="4"/>
      <c r="ABA112" s="4"/>
      <c r="ABB112" s="5"/>
      <c r="ABC112" s="6"/>
      <c r="ABD112" s="4"/>
      <c r="ABE112" s="4"/>
      <c r="ABF112" s="4"/>
      <c r="ABG112" s="4"/>
      <c r="ABH112" s="4"/>
      <c r="ABI112" s="5"/>
      <c r="ABJ112" s="6"/>
      <c r="ABK112" s="4"/>
      <c r="ABL112" s="4"/>
      <c r="ABM112" s="4"/>
      <c r="ABN112" s="4"/>
      <c r="ABO112" s="4"/>
      <c r="ABP112" s="5"/>
      <c r="ABQ112" s="6"/>
      <c r="ABR112" s="4"/>
      <c r="ABS112" s="4"/>
      <c r="ABT112" s="4"/>
      <c r="ABU112" s="4"/>
      <c r="ABV112" s="4"/>
      <c r="ABW112" s="5"/>
      <c r="ABX112" s="6"/>
      <c r="ABY112" s="4"/>
      <c r="ABZ112" s="4"/>
      <c r="ACA112" s="4"/>
      <c r="ACB112" s="4"/>
      <c r="ACC112" s="4"/>
      <c r="ACD112" s="5"/>
      <c r="ACE112" s="6"/>
      <c r="ACF112" s="4"/>
      <c r="ACG112" s="4"/>
      <c r="ACH112" s="4"/>
      <c r="ACI112" s="4"/>
      <c r="ACJ112" s="4"/>
      <c r="ACK112" s="5"/>
      <c r="ACL112" s="6"/>
      <c r="ACM112" s="4"/>
      <c r="ACN112" s="4"/>
      <c r="ACO112" s="4"/>
      <c r="ACP112" s="4"/>
      <c r="ACQ112" s="4"/>
      <c r="ACR112" s="5"/>
      <c r="ACS112" s="6"/>
      <c r="ACT112" s="4"/>
      <c r="ACU112" s="4"/>
      <c r="ACV112" s="4"/>
      <c r="ACW112" s="4"/>
      <c r="ACX112" s="4"/>
      <c r="ACY112" s="5"/>
    </row>
    <row r="113" spans="2:799" x14ac:dyDescent="0.25">
      <c r="B113" s="29">
        <v>96008197</v>
      </c>
      <c r="C113">
        <v>75</v>
      </c>
      <c r="D113" t="s">
        <v>3729</v>
      </c>
      <c r="F113" s="23" t="s">
        <v>1786</v>
      </c>
      <c r="I113">
        <v>1</v>
      </c>
      <c r="J113" s="19">
        <v>38661</v>
      </c>
      <c r="K113" s="19"/>
      <c r="L113" s="19"/>
      <c r="LL113" s="6"/>
      <c r="LM113" s="4"/>
      <c r="LN113" s="4"/>
      <c r="LO113" s="4"/>
      <c r="LP113" s="4"/>
      <c r="LQ113" s="4"/>
      <c r="LR113" s="5"/>
      <c r="LS113" s="6"/>
      <c r="LT113" s="4"/>
      <c r="LU113" s="4"/>
      <c r="LV113" s="4"/>
      <c r="LW113" s="4"/>
      <c r="LX113" s="4"/>
      <c r="LY113" s="5"/>
      <c r="LZ113" s="6" t="s">
        <v>2793</v>
      </c>
      <c r="MA113" s="7" t="s">
        <v>2794</v>
      </c>
      <c r="MB113" s="4" t="s">
        <v>2470</v>
      </c>
      <c r="MC113" s="4"/>
      <c r="MD113" s="8"/>
      <c r="ME113" s="4"/>
      <c r="MF113" s="4"/>
      <c r="MG113" s="5"/>
      <c r="MH113" s="6"/>
      <c r="MI113" s="4"/>
      <c r="MJ113" s="4"/>
      <c r="MK113" s="4"/>
      <c r="ML113" s="4"/>
      <c r="MM113" s="4"/>
      <c r="MN113" s="5"/>
      <c r="MO113" s="6"/>
      <c r="MP113" s="4"/>
      <c r="MQ113" s="4"/>
      <c r="MR113" s="4"/>
      <c r="MS113" s="4"/>
      <c r="MT113" s="4"/>
      <c r="MU113" s="5"/>
      <c r="MV113" s="6"/>
      <c r="MW113" s="4"/>
      <c r="MX113" s="4"/>
      <c r="MY113" s="4"/>
      <c r="MZ113" s="4"/>
      <c r="NA113" s="4"/>
      <c r="NB113" s="5"/>
      <c r="NC113" s="6"/>
      <c r="ND113" s="4"/>
      <c r="NE113" s="4"/>
      <c r="NF113" s="4"/>
      <c r="NG113" s="4"/>
      <c r="NH113" s="4"/>
      <c r="NI113" s="5"/>
      <c r="NJ113" s="6"/>
      <c r="NK113" s="4"/>
      <c r="NL113" s="4"/>
      <c r="NM113" s="4"/>
      <c r="NN113" s="4"/>
      <c r="NO113" s="4"/>
      <c r="NP113" s="5"/>
      <c r="NQ113" s="6" t="s">
        <v>2916</v>
      </c>
      <c r="NR113" s="6" t="s">
        <v>2916</v>
      </c>
      <c r="NS113" s="4" t="s">
        <v>2111</v>
      </c>
      <c r="NT113" s="4"/>
      <c r="NU113" s="4"/>
      <c r="NV113" s="4"/>
      <c r="NW113" s="5"/>
      <c r="NX113" s="6"/>
      <c r="NY113" s="4"/>
      <c r="NZ113" s="4"/>
      <c r="OA113" s="4"/>
      <c r="OB113" s="4"/>
      <c r="OC113" s="4"/>
      <c r="OD113" s="5"/>
      <c r="OE113" s="6"/>
      <c r="OF113" s="4"/>
      <c r="OG113" s="4"/>
      <c r="OH113" s="4"/>
      <c r="OI113" s="4"/>
      <c r="OJ113" s="4"/>
      <c r="OK113" s="5"/>
      <c r="OL113" s="6"/>
      <c r="OM113" s="4"/>
      <c r="ON113" s="4"/>
      <c r="OO113" s="4"/>
      <c r="OP113" s="4"/>
      <c r="OQ113" s="4"/>
      <c r="OR113" s="5"/>
      <c r="OS113" s="6"/>
      <c r="OT113" s="4"/>
      <c r="OU113" s="4"/>
      <c r="OV113" s="4"/>
      <c r="OW113" s="4"/>
      <c r="OX113" s="4"/>
      <c r="OY113" s="5"/>
      <c r="OZ113" s="6"/>
      <c r="PA113" s="4"/>
      <c r="PB113" s="4"/>
      <c r="PC113" s="4"/>
      <c r="PD113" s="4"/>
      <c r="PE113" s="4"/>
      <c r="PF113" s="5"/>
      <c r="PG113" s="6"/>
      <c r="PH113" s="4"/>
      <c r="PI113" s="4"/>
      <c r="PJ113" s="4"/>
      <c r="PK113" s="4"/>
      <c r="PL113" s="4"/>
      <c r="PM113" s="5"/>
      <c r="PN113" s="6"/>
      <c r="PO113" s="4"/>
      <c r="PP113" s="4"/>
      <c r="PQ113" s="4"/>
      <c r="PR113" s="4"/>
      <c r="PS113" s="4"/>
      <c r="PT113" s="5"/>
      <c r="PU113" s="6"/>
      <c r="PV113" s="4"/>
      <c r="PW113" s="4"/>
      <c r="PX113" s="4"/>
      <c r="PY113" s="4"/>
      <c r="PZ113" s="4"/>
      <c r="QA113" s="5"/>
      <c r="QB113" s="6" t="s">
        <v>2922</v>
      </c>
      <c r="QC113" s="4" t="s">
        <v>2790</v>
      </c>
      <c r="QD113" s="4" t="s">
        <v>2791</v>
      </c>
      <c r="QE113" s="4"/>
      <c r="QF113" s="4"/>
      <c r="QG113" s="4"/>
      <c r="QH113" s="5" t="s">
        <v>2792</v>
      </c>
      <c r="QI113" s="6"/>
      <c r="QJ113" s="4"/>
      <c r="QK113" s="4"/>
      <c r="QL113" s="4"/>
      <c r="QM113" s="4"/>
      <c r="QN113" s="4"/>
      <c r="QO113" s="5"/>
      <c r="QP113" s="6"/>
      <c r="QQ113" s="4"/>
      <c r="QR113" s="4"/>
      <c r="QS113" s="4"/>
      <c r="QT113" s="4"/>
      <c r="QU113" s="4"/>
      <c r="QV113" s="5"/>
      <c r="QW113" s="6"/>
      <c r="QX113" s="4"/>
      <c r="QY113" s="4"/>
      <c r="QZ113" s="4"/>
      <c r="RA113" s="4"/>
      <c r="RB113" s="4"/>
      <c r="RC113" s="5"/>
      <c r="RD113" s="6"/>
      <c r="RE113" s="4"/>
      <c r="RF113" s="4"/>
      <c r="RG113" s="4"/>
      <c r="RH113" s="4"/>
      <c r="RI113" s="4"/>
      <c r="RJ113" s="5"/>
      <c r="RK113" s="6" t="s">
        <v>2918</v>
      </c>
      <c r="RL113" s="4" t="s">
        <v>2919</v>
      </c>
      <c r="RM113" s="4" t="s">
        <v>2470</v>
      </c>
      <c r="RN113" s="4"/>
      <c r="RO113" s="4"/>
      <c r="RP113" s="4"/>
      <c r="RQ113" s="5"/>
      <c r="RR113" s="6"/>
      <c r="RS113" s="4"/>
      <c r="RT113" s="4"/>
      <c r="RU113" s="4"/>
      <c r="RV113" s="4"/>
      <c r="RW113" s="4"/>
      <c r="RX113" s="5"/>
      <c r="RY113" s="6"/>
      <c r="RZ113" s="4"/>
      <c r="SA113" s="4"/>
      <c r="SB113" s="4"/>
      <c r="SC113" s="4"/>
      <c r="SD113" s="4"/>
      <c r="SE113" s="5"/>
      <c r="SF113" s="6"/>
      <c r="SG113" s="4"/>
      <c r="SH113" s="4"/>
      <c r="SI113" s="4"/>
      <c r="SJ113" s="4"/>
      <c r="SK113" s="4"/>
      <c r="SL113" s="5"/>
      <c r="SM113" s="6"/>
      <c r="SN113" s="4"/>
      <c r="SO113" s="4"/>
      <c r="SP113" s="4"/>
      <c r="SQ113" s="4"/>
      <c r="SR113" s="4"/>
      <c r="SS113" s="5"/>
      <c r="ST113" s="6"/>
      <c r="SU113" s="4"/>
      <c r="SV113" s="4"/>
      <c r="SW113" s="4"/>
      <c r="SX113" s="4"/>
      <c r="SY113" s="4"/>
      <c r="SZ113" s="5"/>
      <c r="TA113" s="6"/>
      <c r="TB113" s="4"/>
      <c r="TC113" s="4"/>
      <c r="TD113" s="4"/>
      <c r="TE113" s="4"/>
      <c r="TF113" s="4"/>
      <c r="TG113" s="5"/>
      <c r="TH113" s="6"/>
      <c r="TI113" s="4"/>
      <c r="TJ113" s="4"/>
      <c r="TK113" s="4"/>
      <c r="TL113" s="4"/>
      <c r="TM113" s="4"/>
      <c r="TN113" s="5"/>
      <c r="TO113" s="6"/>
      <c r="TP113" s="4"/>
      <c r="TQ113" s="4"/>
      <c r="TR113" s="4"/>
      <c r="TS113" s="4"/>
      <c r="TT113" s="4"/>
      <c r="TU113" s="5"/>
      <c r="TV113" s="6"/>
      <c r="TW113" s="4"/>
      <c r="TX113" s="4"/>
      <c r="TY113" s="4"/>
      <c r="TZ113" s="4"/>
      <c r="UA113" s="4"/>
      <c r="UB113" s="5"/>
      <c r="UC113" s="6" t="s">
        <v>2095</v>
      </c>
      <c r="UD113" s="4" t="s">
        <v>2013</v>
      </c>
      <c r="UE113" s="4"/>
      <c r="UF113" s="4" t="s">
        <v>2504</v>
      </c>
      <c r="UG113" s="4"/>
      <c r="UH113" s="4"/>
      <c r="UI113" s="5"/>
      <c r="UJ113" s="6"/>
      <c r="UK113" s="4"/>
      <c r="UL113" s="4"/>
      <c r="UM113" s="4"/>
      <c r="UN113" s="4"/>
      <c r="UO113" s="4"/>
      <c r="UP113" s="5"/>
      <c r="UQ113" s="6"/>
      <c r="UR113" s="4"/>
      <c r="US113" s="4"/>
      <c r="UT113" s="4"/>
      <c r="UU113" s="4"/>
      <c r="UV113" s="4"/>
      <c r="UW113" s="5"/>
      <c r="UX113" s="6"/>
      <c r="UY113" s="4"/>
      <c r="UZ113" s="4"/>
      <c r="VA113" s="4"/>
      <c r="VB113" s="4"/>
      <c r="VC113" s="4"/>
      <c r="VD113" s="5"/>
      <c r="VE113" s="6"/>
      <c r="VF113" s="4"/>
      <c r="VG113" s="4"/>
      <c r="VH113" s="4"/>
      <c r="VI113" s="4"/>
      <c r="VJ113" s="4"/>
      <c r="VK113" s="5"/>
      <c r="VL113" s="6"/>
      <c r="VM113" s="4"/>
      <c r="VN113" s="4"/>
      <c r="VO113" s="4"/>
      <c r="VP113" s="4"/>
      <c r="VQ113" s="4"/>
      <c r="VR113" s="5"/>
      <c r="VS113" s="6"/>
      <c r="VT113" s="4"/>
      <c r="VU113" s="4"/>
      <c r="VV113" s="4"/>
      <c r="VW113" s="4"/>
      <c r="VX113" s="4"/>
      <c r="VY113" s="5"/>
      <c r="VZ113" s="6" t="s">
        <v>3172</v>
      </c>
      <c r="WA113" s="4" t="s">
        <v>3171</v>
      </c>
      <c r="WB113" s="4" t="s">
        <v>2920</v>
      </c>
      <c r="WC113" s="4"/>
      <c r="WD113" s="4"/>
      <c r="WE113" s="4"/>
      <c r="WF113" s="5"/>
      <c r="WG113" s="6" t="s">
        <v>2887</v>
      </c>
      <c r="WH113" s="4" t="s">
        <v>3170</v>
      </c>
      <c r="WI113" s="4" t="s">
        <v>2552</v>
      </c>
      <c r="WJ113" s="4"/>
      <c r="WK113" s="4"/>
      <c r="WL113" s="4"/>
      <c r="WM113" s="5"/>
      <c r="WN113" s="6"/>
      <c r="WO113" s="4"/>
      <c r="WP113" s="4"/>
      <c r="WQ113" s="4"/>
      <c r="WR113" s="4"/>
      <c r="WS113" s="4"/>
      <c r="WT113" s="5"/>
      <c r="WU113" s="6"/>
      <c r="WV113" s="4"/>
      <c r="WW113" s="4"/>
      <c r="WX113" s="4"/>
      <c r="WY113" s="4"/>
      <c r="WZ113" s="4"/>
      <c r="XA113" s="5"/>
      <c r="XB113" s="6"/>
      <c r="XC113" s="4"/>
      <c r="XD113" s="4"/>
      <c r="XE113" s="4"/>
      <c r="XF113" s="4"/>
      <c r="XG113" s="4"/>
      <c r="XH113" s="5"/>
      <c r="XI113" s="6"/>
      <c r="XJ113" s="4"/>
      <c r="XK113" s="4"/>
      <c r="XL113" s="4"/>
      <c r="XM113" s="4"/>
      <c r="XN113" s="4"/>
      <c r="XO113" s="5"/>
      <c r="XP113" s="6" t="s">
        <v>2368</v>
      </c>
      <c r="XQ113" s="4" t="s">
        <v>2960</v>
      </c>
      <c r="XR113" s="4" t="s">
        <v>2921</v>
      </c>
      <c r="XS113" s="4"/>
      <c r="XT113" s="4"/>
      <c r="XU113" s="4"/>
      <c r="XV113" s="5"/>
      <c r="XW113" s="6"/>
      <c r="XX113" s="4"/>
      <c r="XY113" s="4"/>
      <c r="XZ113" s="4"/>
      <c r="YA113" s="4"/>
      <c r="YB113" s="4"/>
      <c r="YC113" s="5"/>
      <c r="YD113" s="6"/>
      <c r="YE113" s="4"/>
      <c r="YF113" s="4"/>
      <c r="YG113" s="4"/>
      <c r="YH113" s="4"/>
      <c r="YI113" s="4"/>
      <c r="YJ113" s="5"/>
      <c r="YK113" s="6"/>
      <c r="YL113" s="4"/>
      <c r="YM113" s="4"/>
      <c r="YN113" s="4"/>
      <c r="YO113" s="4"/>
      <c r="YP113" s="4"/>
      <c r="YQ113" s="5"/>
      <c r="YR113" s="6"/>
      <c r="YS113" s="4"/>
      <c r="YT113" s="4"/>
      <c r="YU113" s="4"/>
      <c r="YV113" s="4"/>
      <c r="YW113" s="4"/>
      <c r="YX113" s="5"/>
      <c r="YY113" s="6"/>
      <c r="YZ113" s="4"/>
      <c r="ZA113" s="4"/>
      <c r="ZB113" s="4"/>
      <c r="ZC113" s="4"/>
      <c r="ZD113" s="4"/>
      <c r="ZE113" s="5"/>
      <c r="ZF113" s="6"/>
      <c r="ZG113" s="4"/>
      <c r="ZH113" s="4"/>
      <c r="ZI113" s="4"/>
      <c r="ZJ113" s="4"/>
      <c r="ZK113" s="4"/>
      <c r="ZL113" s="5"/>
      <c r="ZM113" s="6"/>
      <c r="ZN113" s="4"/>
      <c r="ZO113" s="4"/>
      <c r="ZP113" s="4"/>
      <c r="ZQ113" s="4"/>
      <c r="ZR113" s="4"/>
      <c r="ZS113" s="5"/>
      <c r="ZT113" s="6"/>
      <c r="ZU113" s="4"/>
      <c r="ZV113" s="4"/>
      <c r="ZW113" s="4"/>
      <c r="ZX113" s="4"/>
      <c r="ZY113" s="4"/>
      <c r="ZZ113" s="5"/>
      <c r="AAA113" s="6"/>
      <c r="AAB113" s="4"/>
      <c r="AAC113" s="4"/>
      <c r="AAD113" s="4"/>
      <c r="AAE113" s="4"/>
      <c r="AAF113" s="4"/>
      <c r="AAG113" s="5"/>
      <c r="AAH113" s="6"/>
      <c r="AAI113" s="4"/>
      <c r="AAJ113" s="4"/>
      <c r="AAK113" s="4"/>
      <c r="AAL113" s="4"/>
      <c r="AAM113" s="4"/>
      <c r="AAN113" s="5"/>
      <c r="AAO113" s="6"/>
      <c r="AAP113" s="4"/>
      <c r="AAQ113" s="4"/>
      <c r="AAR113" s="4"/>
      <c r="AAS113" s="4"/>
      <c r="AAT113" s="4"/>
      <c r="AAU113" s="5"/>
      <c r="AAV113" s="6"/>
      <c r="AAW113" s="4"/>
      <c r="AAX113" s="4"/>
      <c r="AAY113" s="4"/>
      <c r="AAZ113" s="4"/>
      <c r="ABA113" s="4"/>
      <c r="ABB113" s="5"/>
      <c r="ABC113" s="6"/>
      <c r="ABD113" s="4"/>
      <c r="ABE113" s="4"/>
      <c r="ABF113" s="4"/>
      <c r="ABG113" s="4"/>
      <c r="ABH113" s="4"/>
      <c r="ABI113" s="5"/>
      <c r="ABJ113" s="6"/>
      <c r="ABK113" s="4"/>
      <c r="ABL113" s="4"/>
      <c r="ABM113" s="4"/>
      <c r="ABN113" s="4"/>
      <c r="ABO113" s="4"/>
      <c r="ABP113" s="5"/>
      <c r="ABQ113" s="6"/>
      <c r="ABR113" s="4"/>
      <c r="ABS113" s="4"/>
      <c r="ABT113" s="4"/>
      <c r="ABU113" s="4"/>
      <c r="ABV113" s="4"/>
      <c r="ABW113" s="5"/>
      <c r="ABX113" s="6"/>
      <c r="ABY113" s="4"/>
      <c r="ABZ113" s="4"/>
      <c r="ACA113" s="4"/>
      <c r="ACB113" s="4"/>
      <c r="ACC113" s="4"/>
      <c r="ACD113" s="5"/>
      <c r="ACE113" s="6"/>
      <c r="ACF113" s="4"/>
      <c r="ACG113" s="4"/>
      <c r="ACH113" s="4"/>
      <c r="ACI113" s="4"/>
      <c r="ACJ113" s="4"/>
      <c r="ACK113" s="5"/>
      <c r="ACL113" s="6"/>
      <c r="ACM113" s="4"/>
      <c r="ACN113" s="4"/>
      <c r="ACO113" s="4"/>
      <c r="ACP113" s="4"/>
      <c r="ACQ113" s="4"/>
      <c r="ACR113" s="5"/>
      <c r="ACS113" s="6"/>
      <c r="ACT113" s="4"/>
      <c r="ACU113" s="4"/>
      <c r="ACV113" s="4"/>
      <c r="ACW113" s="4"/>
      <c r="ACX113" s="4"/>
      <c r="ACY113" s="5"/>
    </row>
    <row r="114" spans="2:799" x14ac:dyDescent="0.25">
      <c r="B114" s="49">
        <v>96008678</v>
      </c>
      <c r="C114">
        <v>64</v>
      </c>
      <c r="D114" t="s">
        <v>1781</v>
      </c>
      <c r="F114" s="23" t="s">
        <v>1781</v>
      </c>
      <c r="J114" s="12"/>
      <c r="K114" s="12"/>
      <c r="L114" s="12"/>
      <c r="M114">
        <v>1</v>
      </c>
      <c r="N114" s="17">
        <v>35173</v>
      </c>
      <c r="LL114" s="6"/>
      <c r="LM114" s="4"/>
      <c r="LN114" s="4"/>
      <c r="LO114" s="4"/>
      <c r="LP114" s="4"/>
      <c r="LQ114" s="4"/>
      <c r="LR114" s="5"/>
      <c r="LS114" s="6"/>
      <c r="LT114" s="4"/>
      <c r="LU114" s="4"/>
      <c r="LV114" s="4"/>
      <c r="LW114" s="4"/>
      <c r="LX114" s="4"/>
      <c r="LY114" s="5"/>
      <c r="LZ114" s="6" t="s">
        <v>2983</v>
      </c>
      <c r="MA114" s="7" t="s">
        <v>2983</v>
      </c>
      <c r="MB114" s="4"/>
      <c r="MC114" s="4"/>
      <c r="MD114" s="8"/>
      <c r="ME114" s="4"/>
      <c r="MF114" s="4" t="s">
        <v>611</v>
      </c>
      <c r="MG114" s="5"/>
      <c r="MH114" s="6"/>
      <c r="MI114" s="4"/>
      <c r="MJ114" s="4"/>
      <c r="MK114" s="4"/>
      <c r="ML114" s="4"/>
      <c r="MM114" s="4"/>
      <c r="MN114" s="5"/>
      <c r="MO114" s="6"/>
      <c r="MP114" s="4"/>
      <c r="MQ114" s="4"/>
      <c r="MR114" s="4"/>
      <c r="MS114" s="4"/>
      <c r="MT114" s="4"/>
      <c r="MU114" s="5"/>
      <c r="MV114" s="6"/>
      <c r="MW114" s="4"/>
      <c r="MX114" s="4"/>
      <c r="MY114" s="4"/>
      <c r="MZ114" s="4"/>
      <c r="NA114" s="4"/>
      <c r="NB114" s="5"/>
      <c r="NC114" s="6"/>
      <c r="ND114" s="4"/>
      <c r="NE114" s="4"/>
      <c r="NF114" s="4"/>
      <c r="NG114" s="4"/>
      <c r="NH114" s="4"/>
      <c r="NI114" s="5"/>
      <c r="NJ114" s="6"/>
      <c r="NK114" s="4"/>
      <c r="NL114" s="4"/>
      <c r="NM114" s="4"/>
      <c r="NN114" s="4"/>
      <c r="NO114" s="4"/>
      <c r="NP114" s="5"/>
      <c r="NQ114" s="6"/>
      <c r="NR114" s="4"/>
      <c r="NS114" s="4"/>
      <c r="NT114" s="4"/>
      <c r="NU114" s="4"/>
      <c r="NV114" s="4"/>
      <c r="NW114" s="5"/>
      <c r="NX114" s="6"/>
      <c r="NY114" s="4"/>
      <c r="NZ114" s="4"/>
      <c r="OA114" s="4"/>
      <c r="OB114" s="4"/>
      <c r="OC114" s="4"/>
      <c r="OD114" s="5"/>
      <c r="OE114" s="6"/>
      <c r="OF114" s="4"/>
      <c r="OG114" s="4"/>
      <c r="OH114" s="4"/>
      <c r="OI114" s="4"/>
      <c r="OJ114" s="4"/>
      <c r="OK114" s="5"/>
      <c r="OL114" s="6"/>
      <c r="OM114" s="4"/>
      <c r="ON114" s="4"/>
      <c r="OO114" s="4"/>
      <c r="OP114" s="4"/>
      <c r="OQ114" s="4"/>
      <c r="OR114" s="5"/>
      <c r="OS114" s="6"/>
      <c r="OT114" s="4"/>
      <c r="OU114" s="4"/>
      <c r="OV114" s="4"/>
      <c r="OW114" s="4"/>
      <c r="OX114" s="4"/>
      <c r="OY114" s="5"/>
      <c r="OZ114" s="6"/>
      <c r="PA114" s="4"/>
      <c r="PB114" s="4"/>
      <c r="PC114" s="4"/>
      <c r="PD114" s="4"/>
      <c r="PE114" s="4"/>
      <c r="PF114" s="5"/>
      <c r="PG114" s="6"/>
      <c r="PH114" s="4"/>
      <c r="PI114" s="4"/>
      <c r="PJ114" s="4"/>
      <c r="PK114" s="4"/>
      <c r="PL114" s="4"/>
      <c r="PM114" s="5"/>
      <c r="PN114" s="6"/>
      <c r="PO114" s="4"/>
      <c r="PP114" s="4"/>
      <c r="PQ114" s="4"/>
      <c r="PR114" s="4"/>
      <c r="PS114" s="4"/>
      <c r="PT114" s="5"/>
      <c r="PU114" s="6"/>
      <c r="PV114" s="4"/>
      <c r="PW114" s="4"/>
      <c r="PX114" s="4"/>
      <c r="PY114" s="4"/>
      <c r="PZ114" s="4"/>
      <c r="QA114" s="5"/>
      <c r="QB114" s="6"/>
      <c r="QC114" s="4"/>
      <c r="QD114" s="4"/>
      <c r="QE114" s="4"/>
      <c r="QF114" s="4"/>
      <c r="QG114" s="4"/>
      <c r="QH114" s="5"/>
      <c r="QI114" s="6"/>
      <c r="QJ114" s="4"/>
      <c r="QK114" s="4"/>
      <c r="QL114" s="4"/>
      <c r="QM114" s="4"/>
      <c r="QN114" s="4"/>
      <c r="QO114" s="5"/>
      <c r="QP114" s="6"/>
      <c r="QQ114" s="4"/>
      <c r="QR114" s="4"/>
      <c r="QS114" s="4"/>
      <c r="QT114" s="4"/>
      <c r="QU114" s="4"/>
      <c r="QV114" s="5"/>
      <c r="QW114" s="6"/>
      <c r="QX114" s="4"/>
      <c r="QY114" s="4"/>
      <c r="QZ114" s="4"/>
      <c r="RA114" s="4"/>
      <c r="RB114" s="4"/>
      <c r="RC114" s="5"/>
      <c r="RD114" s="6"/>
      <c r="RE114" s="4"/>
      <c r="RF114" s="4"/>
      <c r="RG114" s="4"/>
      <c r="RH114" s="4"/>
      <c r="RI114" s="4"/>
      <c r="RJ114" s="5"/>
      <c r="RK114" s="6"/>
      <c r="RL114" s="4"/>
      <c r="RM114" s="4"/>
      <c r="RN114" s="4"/>
      <c r="RO114" s="4"/>
      <c r="RP114" s="4"/>
      <c r="RQ114" s="5"/>
      <c r="RR114" s="6"/>
      <c r="RS114" s="4"/>
      <c r="RT114" s="4"/>
      <c r="RU114" s="4"/>
      <c r="RV114" s="4"/>
      <c r="RW114" s="4"/>
      <c r="RX114" s="5"/>
      <c r="RY114" s="6"/>
      <c r="RZ114" s="4"/>
      <c r="SA114" s="4"/>
      <c r="SB114" s="4"/>
      <c r="SC114" s="4"/>
      <c r="SD114" s="4"/>
      <c r="SE114" s="5"/>
      <c r="SF114" s="6"/>
      <c r="SG114" s="4"/>
      <c r="SH114" s="4"/>
      <c r="SI114" s="4"/>
      <c r="SJ114" s="4"/>
      <c r="SK114" s="4"/>
      <c r="SL114" s="5"/>
      <c r="SM114" s="6"/>
      <c r="SN114" s="4"/>
      <c r="SO114" s="4"/>
      <c r="SP114" s="4"/>
      <c r="SQ114" s="4"/>
      <c r="SR114" s="4"/>
      <c r="SS114" s="5"/>
      <c r="ST114" s="6"/>
      <c r="SU114" s="4"/>
      <c r="SV114" s="4"/>
      <c r="SW114" s="4"/>
      <c r="SX114" s="4"/>
      <c r="SY114" s="4"/>
      <c r="SZ114" s="5"/>
      <c r="TA114" s="6"/>
      <c r="TB114" s="4"/>
      <c r="TC114" s="4"/>
      <c r="TD114" s="4"/>
      <c r="TE114" s="4"/>
      <c r="TF114" s="4"/>
      <c r="TG114" s="5"/>
      <c r="TH114" s="6"/>
      <c r="TI114" s="4"/>
      <c r="TJ114" s="4"/>
      <c r="TK114" s="4"/>
      <c r="TL114" s="4"/>
      <c r="TM114" s="4"/>
      <c r="TN114" s="5"/>
      <c r="TO114" s="6"/>
      <c r="TP114" s="4"/>
      <c r="TQ114" s="4"/>
      <c r="TR114" s="4"/>
      <c r="TS114" s="4"/>
      <c r="TT114" s="4"/>
      <c r="TU114" s="5"/>
      <c r="TV114" s="6"/>
      <c r="TW114" s="4"/>
      <c r="TX114" s="4"/>
      <c r="TY114" s="4"/>
      <c r="TZ114" s="4"/>
      <c r="UA114" s="4"/>
      <c r="UB114" s="5"/>
      <c r="UC114" s="6"/>
      <c r="UD114" s="4"/>
      <c r="UE114" s="4"/>
      <c r="UF114" s="4"/>
      <c r="UG114" s="4"/>
      <c r="UH114" s="4"/>
      <c r="UI114" s="5"/>
      <c r="UJ114" s="6"/>
      <c r="UK114" s="4"/>
      <c r="UL114" s="4"/>
      <c r="UM114" s="4"/>
      <c r="UN114" s="4"/>
      <c r="UO114" s="4"/>
      <c r="UP114" s="5"/>
      <c r="UQ114" s="6"/>
      <c r="UR114" s="4"/>
      <c r="US114" s="4"/>
      <c r="UT114" s="4"/>
      <c r="UU114" s="4"/>
      <c r="UV114" s="4"/>
      <c r="UW114" s="5"/>
      <c r="UX114" s="6"/>
      <c r="UY114" s="4"/>
      <c r="UZ114" s="4"/>
      <c r="VA114" s="4"/>
      <c r="VB114" s="4"/>
      <c r="VC114" s="4"/>
      <c r="VD114" s="5"/>
      <c r="VE114" s="6"/>
      <c r="VF114" s="4"/>
      <c r="VG114" s="4"/>
      <c r="VH114" s="4"/>
      <c r="VI114" s="4"/>
      <c r="VJ114" s="4"/>
      <c r="VK114" s="5"/>
      <c r="VL114" s="6"/>
      <c r="VM114" s="4"/>
      <c r="VN114" s="4"/>
      <c r="VO114" s="4"/>
      <c r="VP114" s="4"/>
      <c r="VQ114" s="4"/>
      <c r="VR114" s="5"/>
      <c r="VS114" s="6"/>
      <c r="VT114" s="4"/>
      <c r="VU114" s="4"/>
      <c r="VV114" s="4"/>
      <c r="VW114" s="4"/>
      <c r="VX114" s="4"/>
      <c r="VY114" s="5"/>
      <c r="VZ114" s="6"/>
      <c r="WA114" s="4"/>
      <c r="WB114" s="4"/>
      <c r="WC114" s="4"/>
      <c r="WD114" s="4"/>
      <c r="WE114" s="4"/>
      <c r="WF114" s="5"/>
      <c r="WG114" s="6"/>
      <c r="WH114" s="4"/>
      <c r="WI114" s="4"/>
      <c r="WJ114" s="4"/>
      <c r="WK114" s="4"/>
      <c r="WL114" s="4"/>
      <c r="WM114" s="5"/>
      <c r="WN114" s="6"/>
      <c r="WO114" s="4"/>
      <c r="WP114" s="4"/>
      <c r="WQ114" s="4"/>
      <c r="WR114" s="4"/>
      <c r="WS114" s="4"/>
      <c r="WT114" s="5"/>
      <c r="WU114" s="6"/>
      <c r="WV114" s="4"/>
      <c r="WW114" s="4"/>
      <c r="WX114" s="4"/>
      <c r="WY114" s="4"/>
      <c r="WZ114" s="4"/>
      <c r="XA114" s="5"/>
      <c r="XB114" s="6"/>
      <c r="XC114" s="4"/>
      <c r="XD114" s="4"/>
      <c r="XE114" s="4"/>
      <c r="XF114" s="4"/>
      <c r="XG114" s="4"/>
      <c r="XH114" s="5"/>
      <c r="XI114" s="6"/>
      <c r="XJ114" s="4"/>
      <c r="XK114" s="4"/>
      <c r="XL114" s="4"/>
      <c r="XM114" s="4"/>
      <c r="XN114" s="4"/>
      <c r="XO114" s="5"/>
      <c r="XP114" s="6"/>
      <c r="XQ114" s="4"/>
      <c r="XR114" s="4"/>
      <c r="XS114" s="4"/>
      <c r="XT114" s="4"/>
      <c r="XU114" s="4"/>
      <c r="XV114" s="5"/>
      <c r="XW114" s="6"/>
      <c r="XX114" s="4"/>
      <c r="XY114" s="4"/>
      <c r="XZ114" s="4"/>
      <c r="YA114" s="4"/>
      <c r="YB114" s="4"/>
      <c r="YC114" s="5"/>
      <c r="YD114" s="6"/>
      <c r="YE114" s="4"/>
      <c r="YF114" s="4"/>
      <c r="YG114" s="4"/>
      <c r="YH114" s="4"/>
      <c r="YI114" s="4"/>
      <c r="YJ114" s="5"/>
      <c r="YK114" s="6"/>
      <c r="YL114" s="4"/>
      <c r="YM114" s="4"/>
      <c r="YN114" s="4"/>
      <c r="YO114" s="4"/>
      <c r="YP114" s="4"/>
      <c r="YQ114" s="5"/>
      <c r="YR114" s="6"/>
      <c r="YS114" s="4"/>
      <c r="YT114" s="4"/>
      <c r="YU114" s="4"/>
      <c r="YV114" s="4"/>
      <c r="YW114" s="4"/>
      <c r="YX114" s="5"/>
      <c r="YY114" s="6"/>
      <c r="YZ114" s="4"/>
      <c r="ZA114" s="4"/>
      <c r="ZB114" s="4"/>
      <c r="ZC114" s="4"/>
      <c r="ZD114" s="4"/>
      <c r="ZE114" s="5"/>
      <c r="ZF114" s="6"/>
      <c r="ZG114" s="4"/>
      <c r="ZH114" s="4"/>
      <c r="ZI114" s="4"/>
      <c r="ZJ114" s="4"/>
      <c r="ZK114" s="4"/>
      <c r="ZL114" s="5"/>
      <c r="ZM114" s="6"/>
      <c r="ZN114" s="4"/>
      <c r="ZO114" s="4"/>
      <c r="ZP114" s="4"/>
      <c r="ZQ114" s="4"/>
      <c r="ZR114" s="4"/>
      <c r="ZS114" s="5"/>
      <c r="ZT114" s="6"/>
      <c r="ZU114" s="4"/>
      <c r="ZV114" s="4"/>
      <c r="ZW114" s="4"/>
      <c r="ZX114" s="4"/>
      <c r="ZY114" s="4"/>
      <c r="ZZ114" s="5"/>
      <c r="AAA114" s="6"/>
      <c r="AAB114" s="4"/>
      <c r="AAC114" s="4"/>
      <c r="AAD114" s="4"/>
      <c r="AAE114" s="4"/>
      <c r="AAF114" s="4"/>
      <c r="AAG114" s="5"/>
      <c r="AAH114" s="6"/>
      <c r="AAI114" s="4"/>
      <c r="AAJ114" s="4"/>
      <c r="AAK114" s="4"/>
      <c r="AAL114" s="4"/>
      <c r="AAM114" s="4"/>
      <c r="AAN114" s="5"/>
      <c r="AAO114" s="6"/>
      <c r="AAP114" s="4"/>
      <c r="AAQ114" s="4"/>
      <c r="AAR114" s="4"/>
      <c r="AAS114" s="4"/>
      <c r="AAT114" s="4"/>
      <c r="AAU114" s="5"/>
      <c r="AAV114" s="6"/>
      <c r="AAW114" s="4"/>
      <c r="AAX114" s="4"/>
      <c r="AAY114" s="4"/>
      <c r="AAZ114" s="4"/>
      <c r="ABA114" s="4"/>
      <c r="ABB114" s="5"/>
      <c r="ABC114" s="6"/>
      <c r="ABD114" s="4"/>
      <c r="ABE114" s="4"/>
      <c r="ABF114" s="4"/>
      <c r="ABG114" s="4"/>
      <c r="ABH114" s="4"/>
      <c r="ABI114" s="5"/>
      <c r="ABJ114" s="6"/>
      <c r="ABK114" s="4"/>
      <c r="ABL114" s="4"/>
      <c r="ABM114" s="4"/>
      <c r="ABN114" s="4"/>
      <c r="ABO114" s="4"/>
      <c r="ABP114" s="5"/>
      <c r="ABQ114" s="6"/>
      <c r="ABR114" s="4"/>
      <c r="ABS114" s="4"/>
      <c r="ABT114" s="4"/>
      <c r="ABU114" s="4"/>
      <c r="ABV114" s="4"/>
      <c r="ABW114" s="5"/>
      <c r="ABX114" s="6"/>
      <c r="ABY114" s="4"/>
      <c r="ABZ114" s="4"/>
      <c r="ACA114" s="4"/>
      <c r="ACB114" s="4"/>
      <c r="ACC114" s="4"/>
      <c r="ACD114" s="5"/>
      <c r="ACE114" s="6"/>
      <c r="ACF114" s="4"/>
      <c r="ACG114" s="4"/>
      <c r="ACH114" s="4"/>
      <c r="ACI114" s="4"/>
      <c r="ACJ114" s="4"/>
      <c r="ACK114" s="5"/>
      <c r="ACL114" s="6"/>
      <c r="ACM114" s="4"/>
      <c r="ACN114" s="4"/>
      <c r="ACO114" s="4"/>
      <c r="ACP114" s="4"/>
      <c r="ACQ114" s="4"/>
      <c r="ACR114" s="5"/>
      <c r="ACS114" s="6"/>
      <c r="ACT114" s="4"/>
      <c r="ACU114" s="4"/>
      <c r="ACV114" s="4"/>
      <c r="ACW114" s="4"/>
      <c r="ACX114" s="4"/>
      <c r="ACY114" s="5"/>
    </row>
    <row r="115" spans="2:799" x14ac:dyDescent="0.25">
      <c r="B115" s="29">
        <v>96016514</v>
      </c>
      <c r="C115">
        <v>33</v>
      </c>
      <c r="D115" t="s">
        <v>2121</v>
      </c>
      <c r="F115" s="23">
        <v>0</v>
      </c>
      <c r="I115">
        <v>1</v>
      </c>
      <c r="J115" s="19">
        <v>34640</v>
      </c>
      <c r="K115" s="19"/>
      <c r="L115" s="19"/>
      <c r="LL115" s="6"/>
      <c r="LM115" s="4"/>
      <c r="LN115" s="4"/>
      <c r="LO115" s="4"/>
      <c r="LP115" s="4"/>
      <c r="LQ115" s="4"/>
      <c r="LR115" s="5"/>
      <c r="LS115" s="6" t="s">
        <v>3109</v>
      </c>
      <c r="LT115" s="4" t="s">
        <v>3414</v>
      </c>
      <c r="LU115" s="4" t="s">
        <v>3110</v>
      </c>
      <c r="LV115" s="7" t="s">
        <v>2586</v>
      </c>
      <c r="LW115" s="8">
        <v>34639</v>
      </c>
      <c r="LX115" s="8">
        <v>34639</v>
      </c>
      <c r="LY115" s="5" t="s">
        <v>2585</v>
      </c>
      <c r="LZ115" s="6" t="s">
        <v>3112</v>
      </c>
      <c r="MA115" s="7" t="s">
        <v>3113</v>
      </c>
      <c r="MB115" s="4"/>
      <c r="MC115" s="7" t="s">
        <v>3114</v>
      </c>
      <c r="MD115" s="8">
        <v>34627</v>
      </c>
      <c r="ME115" s="8">
        <v>34640</v>
      </c>
      <c r="MF115" s="8"/>
      <c r="MG115" s="5" t="s">
        <v>2383</v>
      </c>
      <c r="MH115" s="6"/>
      <c r="MI115" s="4"/>
      <c r="MJ115" s="4"/>
      <c r="MK115" s="4"/>
      <c r="ML115" s="4"/>
      <c r="MM115" s="4"/>
      <c r="MN115" s="5"/>
      <c r="MO115" s="6"/>
      <c r="MP115" s="4"/>
      <c r="MQ115" s="4"/>
      <c r="MR115" s="4"/>
      <c r="MS115" s="4"/>
      <c r="MT115" s="4"/>
      <c r="MU115" s="5"/>
      <c r="MV115" s="6"/>
      <c r="MW115" s="4"/>
      <c r="MX115" s="4"/>
      <c r="MY115" s="4"/>
      <c r="MZ115" s="4"/>
      <c r="NA115" s="4"/>
      <c r="NB115" s="5"/>
      <c r="NC115" s="6" t="s">
        <v>2729</v>
      </c>
      <c r="ND115" s="4" t="s">
        <v>2729</v>
      </c>
      <c r="NE115" s="4" t="s">
        <v>2809</v>
      </c>
      <c r="NF115" s="7" t="s">
        <v>2598</v>
      </c>
      <c r="NG115" s="8">
        <v>34639</v>
      </c>
      <c r="NH115" s="8">
        <v>34639</v>
      </c>
      <c r="NI115" s="5"/>
      <c r="NJ115" s="6"/>
      <c r="NK115" s="4"/>
      <c r="NL115" s="4"/>
      <c r="NM115" s="4"/>
      <c r="NN115" s="4"/>
      <c r="NO115" s="4"/>
      <c r="NP115" s="5"/>
      <c r="NQ115" s="6"/>
      <c r="NR115" s="4"/>
      <c r="NS115" s="4"/>
      <c r="NT115" s="4"/>
      <c r="NU115" s="4"/>
      <c r="NV115" s="4"/>
      <c r="NW115" s="5"/>
      <c r="NX115" s="6"/>
      <c r="NY115" s="4"/>
      <c r="NZ115" s="4"/>
      <c r="OA115" s="4"/>
      <c r="OB115" s="4"/>
      <c r="OC115" s="4"/>
      <c r="OD115" s="5"/>
      <c r="OE115" s="6"/>
      <c r="OF115" s="4"/>
      <c r="OG115" s="4"/>
      <c r="OH115" s="4"/>
      <c r="OI115" s="4"/>
      <c r="OJ115" s="4"/>
      <c r="OK115" s="5"/>
      <c r="OL115" s="6"/>
      <c r="OM115" s="4"/>
      <c r="ON115" s="4"/>
      <c r="OO115" s="4"/>
      <c r="OP115" s="4"/>
      <c r="OQ115" s="4"/>
      <c r="OR115" s="5"/>
      <c r="OS115" s="6"/>
      <c r="OT115" s="4"/>
      <c r="OU115" s="4"/>
      <c r="OV115" s="4"/>
      <c r="OW115" s="4"/>
      <c r="OX115" s="4"/>
      <c r="OY115" s="5"/>
      <c r="OZ115" s="6"/>
      <c r="PA115" s="4"/>
      <c r="PB115" s="4"/>
      <c r="PC115" s="4"/>
      <c r="PD115" s="4"/>
      <c r="PE115" s="4"/>
      <c r="PF115" s="5"/>
      <c r="PG115" s="6"/>
      <c r="PH115" s="4"/>
      <c r="PI115" s="4"/>
      <c r="PJ115" s="4"/>
      <c r="PK115" s="4"/>
      <c r="PL115" s="4"/>
      <c r="PM115" s="5"/>
      <c r="PN115" s="6"/>
      <c r="PO115" s="4"/>
      <c r="PP115" s="4"/>
      <c r="PQ115" s="4"/>
      <c r="PR115" s="4"/>
      <c r="PS115" s="4"/>
      <c r="PT115" s="5"/>
      <c r="PU115" s="6"/>
      <c r="PV115" s="4"/>
      <c r="PW115" s="4"/>
      <c r="PX115" s="4"/>
      <c r="PY115" s="4"/>
      <c r="PZ115" s="4"/>
      <c r="QA115" s="5"/>
      <c r="QB115" s="6"/>
      <c r="QC115" s="4"/>
      <c r="QD115" s="4"/>
      <c r="QE115" s="4"/>
      <c r="QF115" s="4"/>
      <c r="QG115" s="4"/>
      <c r="QH115" s="5"/>
      <c r="QI115" s="6"/>
      <c r="QJ115" s="4"/>
      <c r="QK115" s="4"/>
      <c r="QL115" s="4"/>
      <c r="QM115" s="4"/>
      <c r="QN115" s="4"/>
      <c r="QO115" s="5"/>
      <c r="QP115" s="6"/>
      <c r="QQ115" s="4"/>
      <c r="QR115" s="4"/>
      <c r="QS115" s="4"/>
      <c r="QT115" s="4"/>
      <c r="QU115" s="4"/>
      <c r="QV115" s="5"/>
      <c r="QW115" s="6" t="s">
        <v>2812</v>
      </c>
      <c r="QX115" s="4" t="s">
        <v>2813</v>
      </c>
      <c r="QY115" s="4" t="s">
        <v>2814</v>
      </c>
      <c r="QZ115" s="7" t="s">
        <v>3121</v>
      </c>
      <c r="RA115" s="8">
        <v>34612</v>
      </c>
      <c r="RB115" s="8">
        <v>34640</v>
      </c>
      <c r="RC115" s="5"/>
      <c r="RD115" s="6"/>
      <c r="RE115" s="4"/>
      <c r="RF115" s="4"/>
      <c r="RG115" s="4"/>
      <c r="RH115" s="4"/>
      <c r="RI115" s="4"/>
      <c r="RJ115" s="5"/>
      <c r="RK115" s="6"/>
      <c r="RL115" s="4"/>
      <c r="RM115" s="4"/>
      <c r="RN115" s="4"/>
      <c r="RO115" s="4"/>
      <c r="RP115" s="4"/>
      <c r="RQ115" s="5"/>
      <c r="RR115" s="6"/>
      <c r="RS115" s="4"/>
      <c r="RT115" s="4"/>
      <c r="RU115" s="4"/>
      <c r="RV115" s="4"/>
      <c r="RW115" s="4"/>
      <c r="RX115" s="5"/>
      <c r="RY115" s="6"/>
      <c r="RZ115" s="4"/>
      <c r="SA115" s="4"/>
      <c r="SB115" s="4"/>
      <c r="SC115" s="4"/>
      <c r="SD115" s="4"/>
      <c r="SE115" s="5"/>
      <c r="SF115" s="6"/>
      <c r="SG115" s="4"/>
      <c r="SH115" s="4"/>
      <c r="SI115" s="4"/>
      <c r="SJ115" s="4"/>
      <c r="SK115" s="4"/>
      <c r="SL115" s="5"/>
      <c r="SM115" s="6"/>
      <c r="SN115" s="4"/>
      <c r="SO115" s="4"/>
      <c r="SP115" s="4"/>
      <c r="SQ115" s="4"/>
      <c r="SR115" s="4"/>
      <c r="SS115" s="5"/>
      <c r="ST115" s="6" t="s">
        <v>2978</v>
      </c>
      <c r="SU115" s="4" t="s">
        <v>2775</v>
      </c>
      <c r="SV115" s="4" t="s">
        <v>2382</v>
      </c>
      <c r="SW115" s="7" t="s">
        <v>2350</v>
      </c>
      <c r="SX115" s="8">
        <v>34628</v>
      </c>
      <c r="SY115" s="8">
        <v>34640</v>
      </c>
      <c r="SZ115" s="5"/>
      <c r="TA115" s="6"/>
      <c r="TB115" s="4"/>
      <c r="TC115" s="4"/>
      <c r="TD115" s="4"/>
      <c r="TE115" s="4"/>
      <c r="TF115" s="4"/>
      <c r="TG115" s="5"/>
      <c r="TH115" s="6"/>
      <c r="TI115" s="4"/>
      <c r="TJ115" s="4"/>
      <c r="TK115" s="4"/>
      <c r="TL115" s="4"/>
      <c r="TM115" s="4"/>
      <c r="TN115" s="5"/>
      <c r="TO115" s="6"/>
      <c r="TP115" s="4"/>
      <c r="TQ115" s="4"/>
      <c r="TR115" s="4"/>
      <c r="TS115" s="4"/>
      <c r="TT115" s="4"/>
      <c r="TU115" s="5"/>
      <c r="TV115" s="6"/>
      <c r="TW115" s="4"/>
      <c r="TX115" s="4"/>
      <c r="TY115" s="4"/>
      <c r="TZ115" s="4"/>
      <c r="UA115" s="4"/>
      <c r="UB115" s="5"/>
      <c r="UC115" s="6"/>
      <c r="UD115" s="4"/>
      <c r="UE115" s="4"/>
      <c r="UF115" s="4"/>
      <c r="UG115" s="4"/>
      <c r="UH115" s="4"/>
      <c r="UI115" s="5"/>
      <c r="UJ115" s="6"/>
      <c r="UK115" s="4"/>
      <c r="UL115" s="4"/>
      <c r="UM115" s="4"/>
      <c r="UN115" s="4"/>
      <c r="UO115" s="4"/>
      <c r="UP115" s="5"/>
      <c r="UQ115" s="6"/>
      <c r="UR115" s="4"/>
      <c r="US115" s="4"/>
      <c r="UT115" s="4"/>
      <c r="UU115" s="4"/>
      <c r="UV115" s="4"/>
      <c r="UW115" s="5"/>
      <c r="UX115" s="6"/>
      <c r="UY115" s="4"/>
      <c r="UZ115" s="4"/>
      <c r="VA115" s="4"/>
      <c r="VB115" s="4"/>
      <c r="VC115" s="4"/>
      <c r="VD115" s="5"/>
      <c r="VE115" s="6"/>
      <c r="VF115" s="4"/>
      <c r="VG115" s="4"/>
      <c r="VH115" s="4"/>
      <c r="VI115" s="4"/>
      <c r="VJ115" s="4"/>
      <c r="VK115" s="5"/>
      <c r="VL115" s="6"/>
      <c r="VM115" s="4"/>
      <c r="VN115" s="4"/>
      <c r="VO115" s="4"/>
      <c r="VP115" s="4"/>
      <c r="VQ115" s="4"/>
      <c r="VR115" s="5"/>
      <c r="VS115" s="6"/>
      <c r="VT115" s="4"/>
      <c r="VU115" s="4"/>
      <c r="VV115" s="4"/>
      <c r="VW115" s="4"/>
      <c r="VX115" s="4"/>
      <c r="VY115" s="5"/>
      <c r="VZ115" s="6"/>
      <c r="WA115" s="4"/>
      <c r="WB115" s="4"/>
      <c r="WC115" s="4"/>
      <c r="WD115" s="4"/>
      <c r="WE115" s="4"/>
      <c r="WF115" s="5"/>
      <c r="WG115" s="6"/>
      <c r="WH115" s="4"/>
      <c r="WI115" s="4"/>
      <c r="WJ115" s="4"/>
      <c r="WK115" s="4"/>
      <c r="WL115" s="4"/>
      <c r="WM115" s="5"/>
      <c r="WN115" s="6"/>
      <c r="WO115" s="4"/>
      <c r="WP115" s="4"/>
      <c r="WQ115" s="4"/>
      <c r="WR115" s="4"/>
      <c r="WS115" s="4"/>
      <c r="WT115" s="5"/>
      <c r="WU115" s="6"/>
      <c r="WV115" s="4"/>
      <c r="WW115" s="4"/>
      <c r="WX115" s="4"/>
      <c r="WY115" s="4"/>
      <c r="WZ115" s="4"/>
      <c r="XA115" s="5"/>
      <c r="XB115" s="6"/>
      <c r="XC115" s="4"/>
      <c r="XD115" s="4"/>
      <c r="XE115" s="4"/>
      <c r="XF115" s="4"/>
      <c r="XG115" s="4"/>
      <c r="XH115" s="5"/>
      <c r="XI115" s="6"/>
      <c r="XJ115" s="4"/>
      <c r="XK115" s="4"/>
      <c r="XL115" s="4"/>
      <c r="XM115" s="4"/>
      <c r="XN115" s="4"/>
      <c r="XO115" s="5"/>
      <c r="XP115" s="6" t="s">
        <v>2368</v>
      </c>
      <c r="XQ115" s="4" t="s">
        <v>2960</v>
      </c>
      <c r="XR115" s="4" t="s">
        <v>2589</v>
      </c>
      <c r="XS115" s="7" t="s">
        <v>2650</v>
      </c>
      <c r="XT115" s="8">
        <v>34627</v>
      </c>
      <c r="XU115" s="8">
        <v>34629</v>
      </c>
      <c r="XV115" s="5"/>
      <c r="XW115" s="6"/>
      <c r="XX115" s="4"/>
      <c r="XY115" s="4"/>
      <c r="XZ115" s="4"/>
      <c r="YA115" s="4"/>
      <c r="YB115" s="4"/>
      <c r="YC115" s="5"/>
      <c r="YD115" s="6"/>
      <c r="YE115" s="4"/>
      <c r="YF115" s="4"/>
      <c r="YG115" s="4"/>
      <c r="YH115" s="4"/>
      <c r="YI115" s="4"/>
      <c r="YJ115" s="5"/>
      <c r="YK115" s="6" t="s">
        <v>2795</v>
      </c>
      <c r="YL115" s="4" t="s">
        <v>2361</v>
      </c>
      <c r="YM115" s="4" t="s">
        <v>3108</v>
      </c>
      <c r="YN115" s="7" t="s">
        <v>2822</v>
      </c>
      <c r="YO115" s="8">
        <v>34631</v>
      </c>
      <c r="YP115" s="8">
        <v>34637</v>
      </c>
      <c r="YQ115" s="5" t="s">
        <v>2733</v>
      </c>
      <c r="YR115" s="6"/>
      <c r="YS115" s="4"/>
      <c r="YT115" s="4"/>
      <c r="YU115" s="4"/>
      <c r="YV115" s="4"/>
      <c r="YW115" s="4"/>
      <c r="YX115" s="5"/>
      <c r="YY115" s="6"/>
      <c r="YZ115" s="4"/>
      <c r="ZA115" s="4"/>
      <c r="ZB115" s="4"/>
      <c r="ZC115" s="4"/>
      <c r="ZD115" s="4"/>
      <c r="ZE115" s="5"/>
      <c r="ZF115" s="6"/>
      <c r="ZG115" s="4"/>
      <c r="ZH115" s="4"/>
      <c r="ZI115" s="4"/>
      <c r="ZJ115" s="4"/>
      <c r="ZK115" s="4"/>
      <c r="ZL115" s="5"/>
      <c r="ZM115" s="6"/>
      <c r="ZN115" s="4"/>
      <c r="ZO115" s="4"/>
      <c r="ZP115" s="4"/>
      <c r="ZQ115" s="4"/>
      <c r="ZR115" s="4"/>
      <c r="ZS115" s="5"/>
      <c r="ZT115" s="6"/>
      <c r="ZU115" s="4"/>
      <c r="ZV115" s="4"/>
      <c r="ZW115" s="4"/>
      <c r="ZX115" s="4"/>
      <c r="ZY115" s="4"/>
      <c r="ZZ115" s="5"/>
      <c r="AAA115" s="6"/>
      <c r="AAB115" s="4"/>
      <c r="AAC115" s="4"/>
      <c r="AAD115" s="4"/>
      <c r="AAE115" s="4"/>
      <c r="AAF115" s="4"/>
      <c r="AAG115" s="5"/>
      <c r="AAH115" s="6" t="s">
        <v>2587</v>
      </c>
      <c r="AAI115" s="4" t="s">
        <v>3193</v>
      </c>
      <c r="AAJ115" s="4" t="s">
        <v>2588</v>
      </c>
      <c r="AAK115" s="7" t="s">
        <v>2569</v>
      </c>
      <c r="AAL115" s="8">
        <v>34632</v>
      </c>
      <c r="AAM115" s="8">
        <v>34658</v>
      </c>
      <c r="AAN115" s="5"/>
      <c r="AAO115" s="6"/>
      <c r="AAP115" s="4"/>
      <c r="AAQ115" s="4"/>
      <c r="AAR115" s="4"/>
      <c r="AAS115" s="4"/>
      <c r="AAT115" s="4"/>
      <c r="AAU115" s="5"/>
      <c r="AAV115" s="6"/>
      <c r="AAW115" s="4"/>
      <c r="AAX115" s="4"/>
      <c r="AAY115" s="4"/>
      <c r="AAZ115" s="4"/>
      <c r="ABA115" s="4"/>
      <c r="ABB115" s="5"/>
      <c r="ABC115" s="6"/>
      <c r="ABD115" s="4"/>
      <c r="ABE115" s="4"/>
      <c r="ABF115" s="4"/>
      <c r="ABG115" s="4"/>
      <c r="ABH115" s="4"/>
      <c r="ABI115" s="5"/>
      <c r="ABJ115" s="6"/>
      <c r="ABK115" s="4"/>
      <c r="ABL115" s="4"/>
      <c r="ABM115" s="4"/>
      <c r="ABN115" s="4"/>
      <c r="ABO115" s="4"/>
      <c r="ABP115" s="5"/>
      <c r="ABQ115" s="6" t="s">
        <v>1967</v>
      </c>
      <c r="ABR115" s="7" t="s">
        <v>1968</v>
      </c>
      <c r="ABS115" s="4" t="s">
        <v>2660</v>
      </c>
      <c r="ABT115" s="7" t="s">
        <v>2661</v>
      </c>
      <c r="ABU115" s="8">
        <v>34628</v>
      </c>
      <c r="ABV115" s="8">
        <v>34640</v>
      </c>
      <c r="ABW115" s="5"/>
      <c r="ABX115" s="6"/>
      <c r="ABY115" s="4"/>
      <c r="ABZ115" s="4"/>
      <c r="ACA115" s="4"/>
      <c r="ACB115" s="4"/>
      <c r="ACC115" s="4"/>
      <c r="ACD115" s="5"/>
      <c r="ACE115" s="6"/>
      <c r="ACF115" s="4"/>
      <c r="ACG115" s="4"/>
      <c r="ACH115" s="4"/>
      <c r="ACI115" s="4"/>
      <c r="ACJ115" s="4"/>
      <c r="ACK115" s="5"/>
      <c r="ACL115" s="6"/>
      <c r="ACM115" s="4"/>
      <c r="ACN115" s="4"/>
      <c r="ACO115" s="4"/>
      <c r="ACP115" s="4"/>
      <c r="ACQ115" s="4"/>
      <c r="ACR115" s="5"/>
      <c r="ACS115" s="6"/>
      <c r="ACT115" s="4"/>
      <c r="ACU115" s="4"/>
      <c r="ACV115" s="4"/>
      <c r="ACW115" s="4"/>
      <c r="ACX115" s="4"/>
      <c r="ACY115" s="5"/>
    </row>
    <row r="116" spans="2:799" x14ac:dyDescent="0.25">
      <c r="B116" s="30"/>
      <c r="J116" s="12"/>
      <c r="K116" s="12"/>
      <c r="L116" s="12"/>
      <c r="LL116" s="6"/>
      <c r="LM116" s="4"/>
      <c r="LN116" s="4"/>
      <c r="LO116" s="4"/>
      <c r="LP116" s="4"/>
      <c r="LQ116" s="4"/>
      <c r="LR116" s="5"/>
      <c r="LS116" s="6"/>
      <c r="LT116" s="4"/>
      <c r="LU116" s="4"/>
      <c r="LV116" s="7"/>
      <c r="LW116" s="8"/>
      <c r="LX116" s="8"/>
      <c r="LY116" s="5"/>
      <c r="LZ116" s="6" t="s">
        <v>3115</v>
      </c>
      <c r="MA116" s="7" t="s">
        <v>3119</v>
      </c>
      <c r="MB116" s="4" t="s">
        <v>2382</v>
      </c>
      <c r="MC116" s="7" t="s">
        <v>3120</v>
      </c>
      <c r="MD116" s="8">
        <v>34612</v>
      </c>
      <c r="ME116" s="8">
        <v>34626</v>
      </c>
      <c r="MF116" s="8"/>
      <c r="MG116" s="5" t="s">
        <v>2383</v>
      </c>
      <c r="MH116" s="6"/>
      <c r="MI116" s="4"/>
      <c r="MJ116" s="4"/>
      <c r="MK116" s="4"/>
      <c r="ML116" s="4"/>
      <c r="MM116" s="4"/>
      <c r="MN116" s="5"/>
      <c r="MO116" s="6"/>
      <c r="MP116" s="4"/>
      <c r="MQ116" s="4"/>
      <c r="MR116" s="4"/>
      <c r="MS116" s="4"/>
      <c r="MT116" s="4"/>
      <c r="MU116" s="5"/>
      <c r="MV116" s="6"/>
      <c r="MW116" s="4"/>
      <c r="MX116" s="4"/>
      <c r="MY116" s="4"/>
      <c r="MZ116" s="4"/>
      <c r="NA116" s="4"/>
      <c r="NB116" s="5"/>
      <c r="NC116" s="6" t="s">
        <v>2810</v>
      </c>
      <c r="ND116" s="4" t="s">
        <v>2699</v>
      </c>
      <c r="NE116" s="4" t="s">
        <v>2470</v>
      </c>
      <c r="NF116" s="7" t="s">
        <v>2811</v>
      </c>
      <c r="NG116" s="8">
        <v>34612</v>
      </c>
      <c r="NH116" s="8">
        <v>34627</v>
      </c>
      <c r="NI116" s="5"/>
      <c r="NJ116" s="6"/>
      <c r="NK116" s="4"/>
      <c r="NL116" s="4"/>
      <c r="NM116" s="4"/>
      <c r="NN116" s="4"/>
      <c r="NO116" s="4"/>
      <c r="NP116" s="5"/>
      <c r="NQ116" s="6"/>
      <c r="NR116" s="4"/>
      <c r="NS116" s="4"/>
      <c r="NT116" s="4"/>
      <c r="NU116" s="4"/>
      <c r="NV116" s="4"/>
      <c r="NW116" s="5"/>
      <c r="NX116" s="6"/>
      <c r="NY116" s="4"/>
      <c r="NZ116" s="4"/>
      <c r="OA116" s="4"/>
      <c r="OB116" s="4"/>
      <c r="OC116" s="4"/>
      <c r="OD116" s="5"/>
      <c r="OE116" s="6"/>
      <c r="OF116" s="4"/>
      <c r="OG116" s="4"/>
      <c r="OH116" s="4"/>
      <c r="OI116" s="4"/>
      <c r="OJ116" s="4"/>
      <c r="OK116" s="5"/>
      <c r="OL116" s="6"/>
      <c r="OM116" s="4"/>
      <c r="ON116" s="4"/>
      <c r="OO116" s="4"/>
      <c r="OP116" s="4"/>
      <c r="OQ116" s="4"/>
      <c r="OR116" s="5"/>
      <c r="OS116" s="6"/>
      <c r="OT116" s="4"/>
      <c r="OU116" s="4"/>
      <c r="OV116" s="4"/>
      <c r="OW116" s="4"/>
      <c r="OX116" s="4"/>
      <c r="OY116" s="5"/>
      <c r="OZ116" s="6"/>
      <c r="PA116" s="4"/>
      <c r="PB116" s="4"/>
      <c r="PC116" s="4"/>
      <c r="PD116" s="4"/>
      <c r="PE116" s="4"/>
      <c r="PF116" s="5"/>
      <c r="PG116" s="6"/>
      <c r="PH116" s="4"/>
      <c r="PI116" s="4"/>
      <c r="PJ116" s="4"/>
      <c r="PK116" s="4"/>
      <c r="PL116" s="4"/>
      <c r="PM116" s="5"/>
      <c r="PN116" s="6"/>
      <c r="PO116" s="4"/>
      <c r="PP116" s="4"/>
      <c r="PQ116" s="4"/>
      <c r="PR116" s="4"/>
      <c r="PS116" s="4"/>
      <c r="PT116" s="5"/>
      <c r="PU116" s="6"/>
      <c r="PV116" s="4"/>
      <c r="PW116" s="4"/>
      <c r="PX116" s="4"/>
      <c r="PY116" s="4"/>
      <c r="PZ116" s="4"/>
      <c r="QA116" s="5"/>
      <c r="QB116" s="6"/>
      <c r="QC116" s="4"/>
      <c r="QD116" s="4"/>
      <c r="QE116" s="4"/>
      <c r="QF116" s="4"/>
      <c r="QG116" s="4"/>
      <c r="QH116" s="5"/>
      <c r="QI116" s="6"/>
      <c r="QJ116" s="4"/>
      <c r="QK116" s="4"/>
      <c r="QL116" s="4"/>
      <c r="QM116" s="4"/>
      <c r="QN116" s="4"/>
      <c r="QO116" s="5"/>
      <c r="QP116" s="6"/>
      <c r="QQ116" s="4"/>
      <c r="QR116" s="4"/>
      <c r="QS116" s="4"/>
      <c r="QT116" s="4"/>
      <c r="QU116" s="4"/>
      <c r="QV116" s="5"/>
      <c r="QW116" s="6"/>
      <c r="QX116" s="4"/>
      <c r="QY116" s="4"/>
      <c r="QZ116" s="4"/>
      <c r="RA116" s="4"/>
      <c r="RB116" s="4"/>
      <c r="RC116" s="5"/>
      <c r="RD116" s="6"/>
      <c r="RE116" s="4"/>
      <c r="RF116" s="4"/>
      <c r="RG116" s="4"/>
      <c r="RH116" s="4"/>
      <c r="RI116" s="4"/>
      <c r="RJ116" s="5"/>
      <c r="RK116" s="6"/>
      <c r="RL116" s="4"/>
      <c r="RM116" s="4"/>
      <c r="RN116" s="4"/>
      <c r="RO116" s="4"/>
      <c r="RP116" s="4"/>
      <c r="RQ116" s="5"/>
      <c r="RR116" s="6"/>
      <c r="RS116" s="4"/>
      <c r="RT116" s="4"/>
      <c r="RU116" s="4"/>
      <c r="RV116" s="4"/>
      <c r="RW116" s="4"/>
      <c r="RX116" s="5"/>
      <c r="RY116" s="6"/>
      <c r="RZ116" s="4"/>
      <c r="SA116" s="4"/>
      <c r="SB116" s="4"/>
      <c r="SC116" s="4"/>
      <c r="SD116" s="4"/>
      <c r="SE116" s="5"/>
      <c r="SF116" s="6"/>
      <c r="SG116" s="4"/>
      <c r="SH116" s="4"/>
      <c r="SI116" s="4"/>
      <c r="SJ116" s="4"/>
      <c r="SK116" s="4"/>
      <c r="SL116" s="5"/>
      <c r="SM116" s="6"/>
      <c r="SN116" s="4"/>
      <c r="SO116" s="4"/>
      <c r="SP116" s="4"/>
      <c r="SQ116" s="4"/>
      <c r="SR116" s="4"/>
      <c r="SS116" s="5"/>
      <c r="ST116" s="6"/>
      <c r="SU116" s="4"/>
      <c r="SV116" s="4"/>
      <c r="SW116" s="7"/>
      <c r="SX116" s="8"/>
      <c r="SY116" s="8"/>
      <c r="SZ116" s="5"/>
      <c r="TA116" s="6"/>
      <c r="TB116" s="4"/>
      <c r="TC116" s="4"/>
      <c r="TD116" s="4"/>
      <c r="TE116" s="4"/>
      <c r="TF116" s="4"/>
      <c r="TG116" s="5"/>
      <c r="TH116" s="6"/>
      <c r="TI116" s="4"/>
      <c r="TJ116" s="4"/>
      <c r="TK116" s="4"/>
      <c r="TL116" s="4"/>
      <c r="TM116" s="4"/>
      <c r="TN116" s="5"/>
      <c r="TO116" s="6"/>
      <c r="TP116" s="4"/>
      <c r="TQ116" s="4"/>
      <c r="TR116" s="4"/>
      <c r="TS116" s="4"/>
      <c r="TT116" s="4"/>
      <c r="TU116" s="5"/>
      <c r="TV116" s="6"/>
      <c r="TW116" s="4"/>
      <c r="TX116" s="4"/>
      <c r="TY116" s="4"/>
      <c r="TZ116" s="4"/>
      <c r="UA116" s="4"/>
      <c r="UB116" s="5"/>
      <c r="UC116" s="6"/>
      <c r="UD116" s="4"/>
      <c r="UE116" s="4"/>
      <c r="UF116" s="4"/>
      <c r="UG116" s="4"/>
      <c r="UH116" s="4"/>
      <c r="UI116" s="5"/>
      <c r="UJ116" s="6"/>
      <c r="UK116" s="4"/>
      <c r="UL116" s="4"/>
      <c r="UM116" s="4"/>
      <c r="UN116" s="4"/>
      <c r="UO116" s="4"/>
      <c r="UP116" s="5"/>
      <c r="UQ116" s="6"/>
      <c r="UR116" s="4"/>
      <c r="US116" s="4"/>
      <c r="UT116" s="4"/>
      <c r="UU116" s="4"/>
      <c r="UV116" s="4"/>
      <c r="UW116" s="5"/>
      <c r="UX116" s="6"/>
      <c r="UY116" s="4"/>
      <c r="UZ116" s="4"/>
      <c r="VA116" s="4"/>
      <c r="VB116" s="4"/>
      <c r="VC116" s="4"/>
      <c r="VD116" s="5"/>
      <c r="VE116" s="6"/>
      <c r="VF116" s="4"/>
      <c r="VG116" s="4"/>
      <c r="VH116" s="4"/>
      <c r="VI116" s="4"/>
      <c r="VJ116" s="4"/>
      <c r="VK116" s="5"/>
      <c r="VL116" s="6"/>
      <c r="VM116" s="4"/>
      <c r="VN116" s="4"/>
      <c r="VO116" s="4"/>
      <c r="VP116" s="4"/>
      <c r="VQ116" s="4"/>
      <c r="VR116" s="5"/>
      <c r="VS116" s="6"/>
      <c r="VT116" s="4"/>
      <c r="VU116" s="4"/>
      <c r="VV116" s="4"/>
      <c r="VW116" s="4"/>
      <c r="VX116" s="4"/>
      <c r="VY116" s="5"/>
      <c r="VZ116" s="6"/>
      <c r="WA116" s="4"/>
      <c r="WB116" s="4"/>
      <c r="WC116" s="4"/>
      <c r="WD116" s="4"/>
      <c r="WE116" s="4"/>
      <c r="WF116" s="5"/>
      <c r="WG116" s="6"/>
      <c r="WH116" s="4"/>
      <c r="WI116" s="4"/>
      <c r="WJ116" s="4"/>
      <c r="WK116" s="4"/>
      <c r="WL116" s="4"/>
      <c r="WM116" s="5"/>
      <c r="WN116" s="6"/>
      <c r="WO116" s="4"/>
      <c r="WP116" s="4"/>
      <c r="WQ116" s="4"/>
      <c r="WR116" s="4"/>
      <c r="WS116" s="4"/>
      <c r="WT116" s="5"/>
      <c r="WU116" s="6"/>
      <c r="WV116" s="4"/>
      <c r="WW116" s="4"/>
      <c r="WX116" s="4"/>
      <c r="WY116" s="4"/>
      <c r="WZ116" s="4"/>
      <c r="XA116" s="5"/>
      <c r="XB116" s="6"/>
      <c r="XC116" s="4"/>
      <c r="XD116" s="4"/>
      <c r="XE116" s="4"/>
      <c r="XF116" s="4"/>
      <c r="XG116" s="4"/>
      <c r="XH116" s="5"/>
      <c r="XI116" s="6"/>
      <c r="XJ116" s="4"/>
      <c r="XK116" s="4"/>
      <c r="XL116" s="4"/>
      <c r="XM116" s="4"/>
      <c r="XN116" s="4"/>
      <c r="XO116" s="5"/>
      <c r="XP116" s="6"/>
      <c r="XQ116" s="4"/>
      <c r="XR116" s="4"/>
      <c r="XS116" s="7"/>
      <c r="XT116" s="8"/>
      <c r="XU116" s="8"/>
      <c r="XV116" s="5"/>
      <c r="XW116" s="6"/>
      <c r="XX116" s="4"/>
      <c r="XY116" s="4"/>
      <c r="XZ116" s="4"/>
      <c r="YA116" s="4"/>
      <c r="YB116" s="4"/>
      <c r="YC116" s="5"/>
      <c r="YD116" s="6"/>
      <c r="YE116" s="4"/>
      <c r="YF116" s="4"/>
      <c r="YG116" s="4"/>
      <c r="YH116" s="4"/>
      <c r="YI116" s="4"/>
      <c r="YJ116" s="5"/>
      <c r="YK116" s="6" t="s">
        <v>2590</v>
      </c>
      <c r="YL116" s="4" t="s">
        <v>2590</v>
      </c>
      <c r="YM116" s="4"/>
      <c r="YN116" s="7" t="s">
        <v>2691</v>
      </c>
      <c r="YO116" s="8">
        <v>34628</v>
      </c>
      <c r="YP116" s="8">
        <v>34628</v>
      </c>
      <c r="YQ116" s="5"/>
      <c r="YR116" s="6"/>
      <c r="YS116" s="4"/>
      <c r="YT116" s="4"/>
      <c r="YU116" s="4"/>
      <c r="YV116" s="4"/>
      <c r="YW116" s="4"/>
      <c r="YX116" s="5"/>
      <c r="YY116" s="6"/>
      <c r="YZ116" s="4"/>
      <c r="ZA116" s="4"/>
      <c r="ZB116" s="4"/>
      <c r="ZC116" s="4"/>
      <c r="ZD116" s="4"/>
      <c r="ZE116" s="5"/>
      <c r="ZF116" s="6"/>
      <c r="ZG116" s="4"/>
      <c r="ZH116" s="4"/>
      <c r="ZI116" s="4"/>
      <c r="ZJ116" s="4"/>
      <c r="ZK116" s="4"/>
      <c r="ZL116" s="5"/>
      <c r="ZM116" s="6"/>
      <c r="ZN116" s="4"/>
      <c r="ZO116" s="4"/>
      <c r="ZP116" s="4"/>
      <c r="ZQ116" s="4"/>
      <c r="ZR116" s="4"/>
      <c r="ZS116" s="5"/>
      <c r="ZT116" s="6"/>
      <c r="ZU116" s="4"/>
      <c r="ZV116" s="4"/>
      <c r="ZW116" s="4"/>
      <c r="ZX116" s="4"/>
      <c r="ZY116" s="4"/>
      <c r="ZZ116" s="5"/>
      <c r="AAA116" s="6"/>
      <c r="AAB116" s="4"/>
      <c r="AAC116" s="4"/>
      <c r="AAD116" s="4"/>
      <c r="AAE116" s="4"/>
      <c r="AAF116" s="4"/>
      <c r="AAG116" s="5"/>
      <c r="AAH116" s="6"/>
      <c r="AAI116" s="4"/>
      <c r="AAJ116" s="4"/>
      <c r="AAK116" s="7"/>
      <c r="AAL116" s="8"/>
      <c r="AAM116" s="8"/>
      <c r="AAN116" s="5"/>
      <c r="AAO116" s="6"/>
      <c r="AAP116" s="4"/>
      <c r="AAQ116" s="4"/>
      <c r="AAR116" s="4"/>
      <c r="AAS116" s="4"/>
      <c r="AAT116" s="4"/>
      <c r="AAU116" s="5"/>
      <c r="AAV116" s="6"/>
      <c r="AAW116" s="4"/>
      <c r="AAX116" s="4"/>
      <c r="AAY116" s="4"/>
      <c r="AAZ116" s="4"/>
      <c r="ABA116" s="4"/>
      <c r="ABB116" s="5"/>
      <c r="ABC116" s="6"/>
      <c r="ABD116" s="4"/>
      <c r="ABE116" s="4"/>
      <c r="ABF116" s="4"/>
      <c r="ABG116" s="4"/>
      <c r="ABH116" s="4"/>
      <c r="ABI116" s="5"/>
      <c r="ABJ116" s="6"/>
      <c r="ABK116" s="4"/>
      <c r="ABL116" s="4"/>
      <c r="ABM116" s="4"/>
      <c r="ABN116" s="4"/>
      <c r="ABO116" s="4"/>
      <c r="ABP116" s="5"/>
      <c r="ABQ116" s="6"/>
      <c r="ABR116" s="7"/>
      <c r="ABS116" s="4"/>
      <c r="ABT116" s="7"/>
      <c r="ABU116" s="8"/>
      <c r="ABV116" s="8"/>
      <c r="ABW116" s="5"/>
      <c r="ABX116" s="6"/>
      <c r="ABY116" s="4"/>
      <c r="ABZ116" s="4"/>
      <c r="ACA116" s="4"/>
      <c r="ACB116" s="4"/>
      <c r="ACC116" s="4"/>
      <c r="ACD116" s="5"/>
      <c r="ACE116" s="6"/>
      <c r="ACF116" s="4"/>
      <c r="ACG116" s="4"/>
      <c r="ACH116" s="4"/>
      <c r="ACI116" s="4"/>
      <c r="ACJ116" s="4"/>
      <c r="ACK116" s="5"/>
      <c r="ACL116" s="6"/>
      <c r="ACM116" s="4"/>
      <c r="ACN116" s="4"/>
      <c r="ACO116" s="4"/>
      <c r="ACP116" s="4"/>
      <c r="ACQ116" s="4"/>
      <c r="ACR116" s="5"/>
      <c r="ACS116" s="6"/>
      <c r="ACT116" s="4"/>
      <c r="ACU116" s="4"/>
      <c r="ACV116" s="4"/>
      <c r="ACW116" s="4"/>
      <c r="ACX116" s="4"/>
      <c r="ACY116" s="5"/>
    </row>
    <row r="117" spans="2:799" x14ac:dyDescent="0.25">
      <c r="B117" s="30"/>
      <c r="J117" s="12"/>
      <c r="K117" s="12"/>
      <c r="L117" s="12"/>
      <c r="LL117" s="6"/>
      <c r="LM117" s="4"/>
      <c r="LN117" s="4"/>
      <c r="LO117" s="4"/>
      <c r="LP117" s="4"/>
      <c r="LQ117" s="4"/>
      <c r="LR117" s="5"/>
      <c r="LS117" s="6"/>
      <c r="LT117" s="4"/>
      <c r="LU117" s="4"/>
      <c r="LV117" s="7"/>
      <c r="LW117" s="8"/>
      <c r="LX117" s="8"/>
      <c r="LY117" s="5"/>
      <c r="LZ117" s="6" t="s">
        <v>3020</v>
      </c>
      <c r="MA117" s="7" t="s">
        <v>2693</v>
      </c>
      <c r="MB117" s="4" t="s">
        <v>3176</v>
      </c>
      <c r="MC117" s="7" t="s">
        <v>2691</v>
      </c>
      <c r="MD117" s="8">
        <v>34630</v>
      </c>
      <c r="ME117" s="8">
        <v>34630</v>
      </c>
      <c r="MF117" s="8"/>
      <c r="MG117" s="5"/>
      <c r="MH117" s="6"/>
      <c r="MI117" s="4"/>
      <c r="MJ117" s="4"/>
      <c r="MK117" s="4"/>
      <c r="ML117" s="4"/>
      <c r="MM117" s="4"/>
      <c r="MN117" s="5"/>
      <c r="MO117" s="6"/>
      <c r="MP117" s="4"/>
      <c r="MQ117" s="4"/>
      <c r="MR117" s="4"/>
      <c r="MS117" s="4"/>
      <c r="MT117" s="4"/>
      <c r="MU117" s="5"/>
      <c r="MV117" s="6"/>
      <c r="MW117" s="4"/>
      <c r="MX117" s="4"/>
      <c r="MY117" s="4"/>
      <c r="MZ117" s="4"/>
      <c r="NA117" s="4"/>
      <c r="NB117" s="5"/>
      <c r="NC117" s="6" t="s">
        <v>3019</v>
      </c>
      <c r="ND117" s="4" t="s">
        <v>2699</v>
      </c>
      <c r="NE117" s="4" t="s">
        <v>2382</v>
      </c>
      <c r="NF117" s="7" t="s">
        <v>3114</v>
      </c>
      <c r="NG117" s="8">
        <v>34627</v>
      </c>
      <c r="NH117" s="8">
        <v>34640</v>
      </c>
      <c r="NI117" s="5"/>
      <c r="NJ117" s="6"/>
      <c r="NK117" s="4"/>
      <c r="NL117" s="4"/>
      <c r="NM117" s="4"/>
      <c r="NN117" s="4"/>
      <c r="NO117" s="4"/>
      <c r="NP117" s="5"/>
      <c r="NQ117" s="6"/>
      <c r="NR117" s="4"/>
      <c r="NS117" s="4"/>
      <c r="NT117" s="4"/>
      <c r="NU117" s="4"/>
      <c r="NV117" s="4"/>
      <c r="NW117" s="5"/>
      <c r="NX117" s="6"/>
      <c r="NY117" s="4"/>
      <c r="NZ117" s="4"/>
      <c r="OA117" s="4"/>
      <c r="OB117" s="4"/>
      <c r="OC117" s="4"/>
      <c r="OD117" s="5"/>
      <c r="OE117" s="6"/>
      <c r="OF117" s="4"/>
      <c r="OG117" s="4"/>
      <c r="OH117" s="4"/>
      <c r="OI117" s="4"/>
      <c r="OJ117" s="4"/>
      <c r="OK117" s="5"/>
      <c r="OL117" s="6"/>
      <c r="OM117" s="4"/>
      <c r="ON117" s="4"/>
      <c r="OO117" s="4"/>
      <c r="OP117" s="4"/>
      <c r="OQ117" s="4"/>
      <c r="OR117" s="5"/>
      <c r="OS117" s="6"/>
      <c r="OT117" s="4"/>
      <c r="OU117" s="4"/>
      <c r="OV117" s="4"/>
      <c r="OW117" s="4"/>
      <c r="OX117" s="4"/>
      <c r="OY117" s="5"/>
      <c r="OZ117" s="6"/>
      <c r="PA117" s="4"/>
      <c r="PB117" s="4"/>
      <c r="PC117" s="4"/>
      <c r="PD117" s="4"/>
      <c r="PE117" s="4"/>
      <c r="PF117" s="5"/>
      <c r="PG117" s="6"/>
      <c r="PH117" s="4"/>
      <c r="PI117" s="4"/>
      <c r="PJ117" s="4"/>
      <c r="PK117" s="4"/>
      <c r="PL117" s="4"/>
      <c r="PM117" s="5"/>
      <c r="PN117" s="6"/>
      <c r="PO117" s="4"/>
      <c r="PP117" s="4"/>
      <c r="PQ117" s="4"/>
      <c r="PR117" s="4"/>
      <c r="PS117" s="4"/>
      <c r="PT117" s="5"/>
      <c r="PU117" s="6"/>
      <c r="PV117" s="4"/>
      <c r="PW117" s="4"/>
      <c r="PX117" s="4"/>
      <c r="PY117" s="4"/>
      <c r="PZ117" s="4"/>
      <c r="QA117" s="5"/>
      <c r="QB117" s="6"/>
      <c r="QC117" s="4"/>
      <c r="QD117" s="4"/>
      <c r="QE117" s="4"/>
      <c r="QF117" s="4"/>
      <c r="QG117" s="4"/>
      <c r="QH117" s="5"/>
      <c r="QI117" s="6"/>
      <c r="QJ117" s="4"/>
      <c r="QK117" s="4"/>
      <c r="QL117" s="4"/>
      <c r="QM117" s="4"/>
      <c r="QN117" s="4"/>
      <c r="QO117" s="5"/>
      <c r="QP117" s="6"/>
      <c r="QQ117" s="4"/>
      <c r="QR117" s="4"/>
      <c r="QS117" s="4"/>
      <c r="QT117" s="4"/>
      <c r="QU117" s="4"/>
      <c r="QV117" s="5"/>
      <c r="QW117" s="6"/>
      <c r="QX117" s="4"/>
      <c r="QY117" s="4"/>
      <c r="QZ117" s="4"/>
      <c r="RA117" s="4"/>
      <c r="RB117" s="4"/>
      <c r="RC117" s="5"/>
      <c r="RD117" s="6"/>
      <c r="RE117" s="4"/>
      <c r="RF117" s="4"/>
      <c r="RG117" s="4"/>
      <c r="RH117" s="4"/>
      <c r="RI117" s="4"/>
      <c r="RJ117" s="5"/>
      <c r="RK117" s="6"/>
      <c r="RL117" s="4"/>
      <c r="RM117" s="4"/>
      <c r="RN117" s="4"/>
      <c r="RO117" s="4"/>
      <c r="RP117" s="4"/>
      <c r="RQ117" s="5"/>
      <c r="RR117" s="6"/>
      <c r="RS117" s="4"/>
      <c r="RT117" s="4"/>
      <c r="RU117" s="4"/>
      <c r="RV117" s="4"/>
      <c r="RW117" s="4"/>
      <c r="RX117" s="5"/>
      <c r="RY117" s="6"/>
      <c r="RZ117" s="4"/>
      <c r="SA117" s="4"/>
      <c r="SB117" s="4"/>
      <c r="SC117" s="4"/>
      <c r="SD117" s="4"/>
      <c r="SE117" s="5"/>
      <c r="SF117" s="6"/>
      <c r="SG117" s="4"/>
      <c r="SH117" s="4"/>
      <c r="SI117" s="4"/>
      <c r="SJ117" s="4"/>
      <c r="SK117" s="4"/>
      <c r="SL117" s="5"/>
      <c r="SM117" s="6"/>
      <c r="SN117" s="4"/>
      <c r="SO117" s="4"/>
      <c r="SP117" s="4"/>
      <c r="SQ117" s="4"/>
      <c r="SR117" s="4"/>
      <c r="SS117" s="5"/>
      <c r="ST117" s="6"/>
      <c r="SU117" s="4"/>
      <c r="SV117" s="4"/>
      <c r="SW117" s="7"/>
      <c r="SX117" s="8"/>
      <c r="SY117" s="8"/>
      <c r="SZ117" s="5"/>
      <c r="TA117" s="6"/>
      <c r="TB117" s="4"/>
      <c r="TC117" s="4"/>
      <c r="TD117" s="4"/>
      <c r="TE117" s="4"/>
      <c r="TF117" s="4"/>
      <c r="TG117" s="5"/>
      <c r="TH117" s="6"/>
      <c r="TI117" s="4"/>
      <c r="TJ117" s="4"/>
      <c r="TK117" s="4"/>
      <c r="TL117" s="4"/>
      <c r="TM117" s="4"/>
      <c r="TN117" s="5"/>
      <c r="TO117" s="6"/>
      <c r="TP117" s="4"/>
      <c r="TQ117" s="4"/>
      <c r="TR117" s="4"/>
      <c r="TS117" s="4"/>
      <c r="TT117" s="4"/>
      <c r="TU117" s="5"/>
      <c r="TV117" s="6"/>
      <c r="TW117" s="4"/>
      <c r="TX117" s="4"/>
      <c r="TY117" s="4"/>
      <c r="TZ117" s="4"/>
      <c r="UA117" s="4"/>
      <c r="UB117" s="5"/>
      <c r="UC117" s="6"/>
      <c r="UD117" s="4"/>
      <c r="UE117" s="4"/>
      <c r="UF117" s="4"/>
      <c r="UG117" s="4"/>
      <c r="UH117" s="4"/>
      <c r="UI117" s="5"/>
      <c r="UJ117" s="6"/>
      <c r="UK117" s="4"/>
      <c r="UL117" s="4"/>
      <c r="UM117" s="4"/>
      <c r="UN117" s="4"/>
      <c r="UO117" s="4"/>
      <c r="UP117" s="5"/>
      <c r="UQ117" s="6"/>
      <c r="UR117" s="4"/>
      <c r="US117" s="4"/>
      <c r="UT117" s="4"/>
      <c r="UU117" s="4"/>
      <c r="UV117" s="4"/>
      <c r="UW117" s="5"/>
      <c r="UX117" s="6"/>
      <c r="UY117" s="4"/>
      <c r="UZ117" s="4"/>
      <c r="VA117" s="4"/>
      <c r="VB117" s="4"/>
      <c r="VC117" s="4"/>
      <c r="VD117" s="5"/>
      <c r="VE117" s="6"/>
      <c r="VF117" s="4"/>
      <c r="VG117" s="4"/>
      <c r="VH117" s="4"/>
      <c r="VI117" s="4"/>
      <c r="VJ117" s="4"/>
      <c r="VK117" s="5"/>
      <c r="VL117" s="6"/>
      <c r="VM117" s="4"/>
      <c r="VN117" s="4"/>
      <c r="VO117" s="4"/>
      <c r="VP117" s="4"/>
      <c r="VQ117" s="4"/>
      <c r="VR117" s="5"/>
      <c r="VS117" s="6"/>
      <c r="VT117" s="4"/>
      <c r="VU117" s="4"/>
      <c r="VV117" s="4"/>
      <c r="VW117" s="4"/>
      <c r="VX117" s="4"/>
      <c r="VY117" s="5"/>
      <c r="VZ117" s="6"/>
      <c r="WA117" s="4"/>
      <c r="WB117" s="4"/>
      <c r="WC117" s="4"/>
      <c r="WD117" s="4"/>
      <c r="WE117" s="4"/>
      <c r="WF117" s="5"/>
      <c r="WG117" s="6"/>
      <c r="WH117" s="4"/>
      <c r="WI117" s="4"/>
      <c r="WJ117" s="4"/>
      <c r="WK117" s="4"/>
      <c r="WL117" s="4"/>
      <c r="WM117" s="5"/>
      <c r="WN117" s="6"/>
      <c r="WO117" s="4"/>
      <c r="WP117" s="4"/>
      <c r="WQ117" s="4"/>
      <c r="WR117" s="4"/>
      <c r="WS117" s="4"/>
      <c r="WT117" s="5"/>
      <c r="WU117" s="6"/>
      <c r="WV117" s="4"/>
      <c r="WW117" s="4"/>
      <c r="WX117" s="4"/>
      <c r="WY117" s="4"/>
      <c r="WZ117" s="4"/>
      <c r="XA117" s="5"/>
      <c r="XB117" s="6"/>
      <c r="XC117" s="4"/>
      <c r="XD117" s="4"/>
      <c r="XE117" s="4"/>
      <c r="XF117" s="4"/>
      <c r="XG117" s="4"/>
      <c r="XH117" s="5"/>
      <c r="XI117" s="6"/>
      <c r="XJ117" s="4"/>
      <c r="XK117" s="4"/>
      <c r="XL117" s="4"/>
      <c r="XM117" s="4"/>
      <c r="XN117" s="4"/>
      <c r="XO117" s="5"/>
      <c r="XP117" s="6"/>
      <c r="XQ117" s="4"/>
      <c r="XR117" s="4"/>
      <c r="XS117" s="7"/>
      <c r="XT117" s="8"/>
      <c r="XU117" s="8"/>
      <c r="XV117" s="5"/>
      <c r="XW117" s="6"/>
      <c r="XX117" s="4"/>
      <c r="XY117" s="4"/>
      <c r="XZ117" s="4"/>
      <c r="YA117" s="4"/>
      <c r="YB117" s="4"/>
      <c r="YC117" s="5"/>
      <c r="YD117" s="6"/>
      <c r="YE117" s="4"/>
      <c r="YF117" s="4"/>
      <c r="YG117" s="4"/>
      <c r="YH117" s="4"/>
      <c r="YI117" s="4"/>
      <c r="YJ117" s="5"/>
      <c r="YK117" s="6" t="s">
        <v>2591</v>
      </c>
      <c r="YL117" s="4" t="s">
        <v>3111</v>
      </c>
      <c r="YM117" s="4"/>
      <c r="YN117" s="7"/>
      <c r="YO117" s="8"/>
      <c r="YP117" s="8"/>
      <c r="YQ117" s="5" t="s">
        <v>2733</v>
      </c>
      <c r="YR117" s="6"/>
      <c r="YS117" s="4"/>
      <c r="YT117" s="4"/>
      <c r="YU117" s="4"/>
      <c r="YV117" s="4"/>
      <c r="YW117" s="4"/>
      <c r="YX117" s="5"/>
      <c r="YY117" s="6"/>
      <c r="YZ117" s="4"/>
      <c r="ZA117" s="4"/>
      <c r="ZB117" s="4"/>
      <c r="ZC117" s="4"/>
      <c r="ZD117" s="4"/>
      <c r="ZE117" s="5"/>
      <c r="ZF117" s="6"/>
      <c r="ZG117" s="4"/>
      <c r="ZH117" s="4"/>
      <c r="ZI117" s="4"/>
      <c r="ZJ117" s="4"/>
      <c r="ZK117" s="4"/>
      <c r="ZL117" s="5"/>
      <c r="ZM117" s="6"/>
      <c r="ZN117" s="4"/>
      <c r="ZO117" s="4"/>
      <c r="ZP117" s="4"/>
      <c r="ZQ117" s="4"/>
      <c r="ZR117" s="4"/>
      <c r="ZS117" s="5"/>
      <c r="ZT117" s="6"/>
      <c r="ZU117" s="4"/>
      <c r="ZV117" s="4"/>
      <c r="ZW117" s="4"/>
      <c r="ZX117" s="4"/>
      <c r="ZY117" s="4"/>
      <c r="ZZ117" s="5"/>
      <c r="AAA117" s="6"/>
      <c r="AAB117" s="4"/>
      <c r="AAC117" s="4"/>
      <c r="AAD117" s="4"/>
      <c r="AAE117" s="4"/>
      <c r="AAF117" s="4"/>
      <c r="AAG117" s="5"/>
      <c r="AAH117" s="6"/>
      <c r="AAI117" s="4"/>
      <c r="AAJ117" s="4"/>
      <c r="AAK117" s="7"/>
      <c r="AAL117" s="8"/>
      <c r="AAM117" s="8"/>
      <c r="AAN117" s="5"/>
      <c r="AAO117" s="6"/>
      <c r="AAP117" s="4"/>
      <c r="AAQ117" s="4"/>
      <c r="AAR117" s="4"/>
      <c r="AAS117" s="4"/>
      <c r="AAT117" s="4"/>
      <c r="AAU117" s="5"/>
      <c r="AAV117" s="6"/>
      <c r="AAW117" s="4"/>
      <c r="AAX117" s="4"/>
      <c r="AAY117" s="4"/>
      <c r="AAZ117" s="4"/>
      <c r="ABA117" s="4"/>
      <c r="ABB117" s="5"/>
      <c r="ABC117" s="6"/>
      <c r="ABD117" s="4"/>
      <c r="ABE117" s="4"/>
      <c r="ABF117" s="4"/>
      <c r="ABG117" s="4"/>
      <c r="ABH117" s="4"/>
      <c r="ABI117" s="5"/>
      <c r="ABJ117" s="6"/>
      <c r="ABK117" s="4"/>
      <c r="ABL117" s="4"/>
      <c r="ABM117" s="4"/>
      <c r="ABN117" s="4"/>
      <c r="ABO117" s="4"/>
      <c r="ABP117" s="5"/>
      <c r="ABQ117" s="6"/>
      <c r="ABR117" s="7"/>
      <c r="ABS117" s="4"/>
      <c r="ABT117" s="7"/>
      <c r="ABU117" s="8"/>
      <c r="ABV117" s="8"/>
      <c r="ABW117" s="5"/>
      <c r="ABX117" s="6"/>
      <c r="ABY117" s="4"/>
      <c r="ABZ117" s="4"/>
      <c r="ACA117" s="4"/>
      <c r="ACB117" s="4"/>
      <c r="ACC117" s="4"/>
      <c r="ACD117" s="5"/>
      <c r="ACE117" s="6"/>
      <c r="ACF117" s="4"/>
      <c r="ACG117" s="4"/>
      <c r="ACH117" s="4"/>
      <c r="ACI117" s="4"/>
      <c r="ACJ117" s="4"/>
      <c r="ACK117" s="5"/>
      <c r="ACL117" s="6"/>
      <c r="ACM117" s="4"/>
      <c r="ACN117" s="4"/>
      <c r="ACO117" s="4"/>
      <c r="ACP117" s="4"/>
      <c r="ACQ117" s="4"/>
      <c r="ACR117" s="5"/>
      <c r="ACS117" s="6"/>
      <c r="ACT117" s="4"/>
      <c r="ACU117" s="4"/>
      <c r="ACV117" s="4"/>
      <c r="ACW117" s="4"/>
      <c r="ACX117" s="4"/>
      <c r="ACY117" s="5"/>
    </row>
    <row r="118" spans="2:799" x14ac:dyDescent="0.25">
      <c r="B118" s="29">
        <v>96016515</v>
      </c>
      <c r="C118">
        <v>87</v>
      </c>
      <c r="D118" t="s">
        <v>3729</v>
      </c>
      <c r="F118" s="23">
        <v>1</v>
      </c>
      <c r="G118" s="31">
        <v>35024</v>
      </c>
      <c r="H118" s="23" t="s">
        <v>3582</v>
      </c>
      <c r="I118">
        <v>1</v>
      </c>
      <c r="J118" s="19">
        <v>35013</v>
      </c>
      <c r="K118" s="19"/>
      <c r="L118" s="19"/>
      <c r="M118">
        <v>1</v>
      </c>
      <c r="N118" s="17">
        <v>35013</v>
      </c>
      <c r="LL118" s="6"/>
      <c r="LM118" s="4"/>
      <c r="LN118" s="4"/>
      <c r="LO118" s="4"/>
      <c r="LP118" s="4"/>
      <c r="LQ118" s="4"/>
      <c r="LR118" s="5"/>
      <c r="LS118" s="6"/>
      <c r="LT118" s="4"/>
      <c r="LU118" s="4"/>
      <c r="LV118" s="4"/>
      <c r="LW118" s="4"/>
      <c r="LX118" s="4"/>
      <c r="LY118" s="5"/>
      <c r="LZ118" s="6" t="s">
        <v>2693</v>
      </c>
      <c r="MA118" s="7" t="s">
        <v>2693</v>
      </c>
      <c r="MB118" s="7" t="s">
        <v>2989</v>
      </c>
      <c r="MC118" s="7" t="s">
        <v>2579</v>
      </c>
      <c r="MD118" s="8">
        <v>34988</v>
      </c>
      <c r="ME118" s="8">
        <v>35009</v>
      </c>
      <c r="MF118" s="8"/>
      <c r="MG118" s="5"/>
      <c r="MH118" s="6"/>
      <c r="MI118" s="4"/>
      <c r="MJ118" s="4"/>
      <c r="MK118" s="4"/>
      <c r="ML118" s="4"/>
      <c r="MM118" s="4"/>
      <c r="MN118" s="5"/>
      <c r="MO118" s="6"/>
      <c r="MP118" s="4"/>
      <c r="MQ118" s="4"/>
      <c r="MR118" s="4"/>
      <c r="MS118" s="4"/>
      <c r="MT118" s="4"/>
      <c r="MU118" s="5"/>
      <c r="MV118" s="6"/>
      <c r="MW118" s="4"/>
      <c r="MX118" s="4"/>
      <c r="MY118" s="4"/>
      <c r="MZ118" s="4"/>
      <c r="NA118" s="4"/>
      <c r="NB118" s="5"/>
      <c r="NC118" s="6" t="s">
        <v>2777</v>
      </c>
      <c r="ND118" s="7" t="s">
        <v>2777</v>
      </c>
      <c r="NE118" s="7" t="s">
        <v>2470</v>
      </c>
      <c r="NF118" s="7" t="s">
        <v>2280</v>
      </c>
      <c r="NG118" s="8">
        <v>35009</v>
      </c>
      <c r="NH118" s="8">
        <v>35013</v>
      </c>
      <c r="NI118" s="5"/>
      <c r="NJ118" s="6"/>
      <c r="NK118" s="4"/>
      <c r="NL118" s="4"/>
      <c r="NM118" s="4"/>
      <c r="NN118" s="4"/>
      <c r="NO118" s="4"/>
      <c r="NP118" s="5"/>
      <c r="NQ118" s="6"/>
      <c r="NR118" s="4"/>
      <c r="NS118" s="4"/>
      <c r="NT118" s="4"/>
      <c r="NU118" s="4"/>
      <c r="NV118" s="4"/>
      <c r="NW118" s="5"/>
      <c r="NX118" s="6"/>
      <c r="NY118" s="4"/>
      <c r="NZ118" s="4"/>
      <c r="OA118" s="4"/>
      <c r="OB118" s="4"/>
      <c r="OC118" s="4"/>
      <c r="OD118" s="5"/>
      <c r="OE118" s="6"/>
      <c r="OF118" s="4"/>
      <c r="OG118" s="4"/>
      <c r="OH118" s="4"/>
      <c r="OI118" s="4"/>
      <c r="OJ118" s="4"/>
      <c r="OK118" s="5"/>
      <c r="OL118" s="6"/>
      <c r="OM118" s="4"/>
      <c r="ON118" s="4"/>
      <c r="OO118" s="4"/>
      <c r="OP118" s="4"/>
      <c r="OQ118" s="4"/>
      <c r="OR118" s="5"/>
      <c r="OS118" s="6"/>
      <c r="OT118" s="4"/>
      <c r="OU118" s="4"/>
      <c r="OV118" s="4"/>
      <c r="OW118" s="4"/>
      <c r="OX118" s="4"/>
      <c r="OY118" s="5"/>
      <c r="OZ118" s="6"/>
      <c r="PA118" s="4"/>
      <c r="PB118" s="4"/>
      <c r="PC118" s="4"/>
      <c r="PD118" s="4"/>
      <c r="PE118" s="4"/>
      <c r="PF118" s="5"/>
      <c r="PG118" s="6"/>
      <c r="PH118" s="4"/>
      <c r="PI118" s="4"/>
      <c r="PJ118" s="4"/>
      <c r="PK118" s="4"/>
      <c r="PL118" s="4"/>
      <c r="PM118" s="5"/>
      <c r="PN118" s="6"/>
      <c r="PO118" s="4"/>
      <c r="PP118" s="4"/>
      <c r="PQ118" s="4"/>
      <c r="PR118" s="4"/>
      <c r="PS118" s="4"/>
      <c r="PT118" s="5"/>
      <c r="PU118" s="6"/>
      <c r="PV118" s="4"/>
      <c r="PW118" s="4"/>
      <c r="PX118" s="4"/>
      <c r="PY118" s="4"/>
      <c r="PZ118" s="4"/>
      <c r="QA118" s="5"/>
      <c r="QB118" s="6" t="s">
        <v>2778</v>
      </c>
      <c r="QC118" s="4" t="s">
        <v>2779</v>
      </c>
      <c r="QD118" s="4"/>
      <c r="QE118" s="4" t="s">
        <v>3181</v>
      </c>
      <c r="QF118" s="8">
        <v>34988</v>
      </c>
      <c r="QG118" s="8">
        <v>35016</v>
      </c>
      <c r="QH118" s="5"/>
      <c r="QI118" s="6"/>
      <c r="QJ118" s="4"/>
      <c r="QK118" s="4"/>
      <c r="QL118" s="4"/>
      <c r="QM118" s="4"/>
      <c r="QN118" s="4"/>
      <c r="QO118" s="5"/>
      <c r="QP118" s="6"/>
      <c r="QQ118" s="4"/>
      <c r="QR118" s="4"/>
      <c r="QS118" s="4"/>
      <c r="QT118" s="4"/>
      <c r="QU118" s="4"/>
      <c r="QV118" s="5"/>
      <c r="QW118" s="6"/>
      <c r="QX118" s="4"/>
      <c r="QY118" s="4"/>
      <c r="QZ118" s="4"/>
      <c r="RA118" s="4"/>
      <c r="RB118" s="4"/>
      <c r="RC118" s="5"/>
      <c r="RD118" s="6"/>
      <c r="RE118" s="4"/>
      <c r="RF118" s="4"/>
      <c r="RG118" s="4"/>
      <c r="RH118" s="4"/>
      <c r="RI118" s="4"/>
      <c r="RJ118" s="5"/>
      <c r="RK118" s="6" t="s">
        <v>3182</v>
      </c>
      <c r="RL118" s="4" t="s">
        <v>3183</v>
      </c>
      <c r="RM118" s="4" t="s">
        <v>3025</v>
      </c>
      <c r="RN118" s="7" t="s">
        <v>3121</v>
      </c>
      <c r="RO118" s="8">
        <v>34988</v>
      </c>
      <c r="RP118" s="8">
        <v>35016</v>
      </c>
      <c r="RQ118" s="5"/>
      <c r="RR118" s="6"/>
      <c r="RS118" s="4"/>
      <c r="RT118" s="4"/>
      <c r="RU118" s="4"/>
      <c r="RV118" s="4"/>
      <c r="RW118" s="4"/>
      <c r="RX118" s="5"/>
      <c r="RY118" s="6"/>
      <c r="RZ118" s="4"/>
      <c r="SA118" s="4"/>
      <c r="SB118" s="4"/>
      <c r="SC118" s="4"/>
      <c r="SD118" s="4"/>
      <c r="SE118" s="5"/>
      <c r="SF118" s="6"/>
      <c r="SG118" s="4"/>
      <c r="SH118" s="4"/>
      <c r="SI118" s="4"/>
      <c r="SJ118" s="4"/>
      <c r="SK118" s="4"/>
      <c r="SL118" s="5"/>
      <c r="SM118" s="6"/>
      <c r="SN118" s="4"/>
      <c r="SO118" s="4"/>
      <c r="SP118" s="4"/>
      <c r="SQ118" s="4"/>
      <c r="SR118" s="4"/>
      <c r="SS118" s="5"/>
      <c r="ST118" s="6"/>
      <c r="SU118" s="4"/>
      <c r="SV118" s="4"/>
      <c r="SW118" s="4"/>
      <c r="SX118" s="4"/>
      <c r="SY118" s="4"/>
      <c r="SZ118" s="5"/>
      <c r="TA118" s="6"/>
      <c r="TB118" s="4"/>
      <c r="TC118" s="4"/>
      <c r="TD118" s="4"/>
      <c r="TE118" s="4"/>
      <c r="TF118" s="4"/>
      <c r="TG118" s="5"/>
      <c r="TH118" s="6"/>
      <c r="TI118" s="4"/>
      <c r="TJ118" s="4"/>
      <c r="TK118" s="4"/>
      <c r="TL118" s="4"/>
      <c r="TM118" s="4"/>
      <c r="TN118" s="5"/>
      <c r="TO118" s="6"/>
      <c r="TP118" s="4"/>
      <c r="TQ118" s="4"/>
      <c r="TR118" s="4"/>
      <c r="TS118" s="4"/>
      <c r="TT118" s="4"/>
      <c r="TU118" s="5"/>
      <c r="TV118" s="6"/>
      <c r="TW118" s="4"/>
      <c r="TX118" s="4"/>
      <c r="TY118" s="4"/>
      <c r="TZ118" s="4"/>
      <c r="UA118" s="4"/>
      <c r="UB118" s="5"/>
      <c r="UC118" s="6" t="s">
        <v>2990</v>
      </c>
      <c r="UD118" s="4" t="s">
        <v>2991</v>
      </c>
      <c r="UE118" s="4" t="s">
        <v>2992</v>
      </c>
      <c r="UF118" s="7" t="s">
        <v>3121</v>
      </c>
      <c r="UG118" s="8">
        <v>34988</v>
      </c>
      <c r="UH118" s="8">
        <v>35016</v>
      </c>
      <c r="UI118" s="5"/>
      <c r="UJ118" s="6"/>
      <c r="UK118" s="4"/>
      <c r="UL118" s="4"/>
      <c r="UM118" s="4"/>
      <c r="UN118" s="4"/>
      <c r="UO118" s="4"/>
      <c r="UP118" s="5"/>
      <c r="UQ118" s="6"/>
      <c r="UR118" s="4"/>
      <c r="US118" s="4"/>
      <c r="UT118" s="4"/>
      <c r="UU118" s="4"/>
      <c r="UV118" s="4"/>
      <c r="UW118" s="5"/>
      <c r="UX118" s="6" t="s">
        <v>2789</v>
      </c>
      <c r="UY118" s="4" t="s">
        <v>2651</v>
      </c>
      <c r="UZ118" s="4" t="s">
        <v>2652</v>
      </c>
      <c r="VA118" s="7" t="s">
        <v>2653</v>
      </c>
      <c r="VB118" s="8">
        <v>34988</v>
      </c>
      <c r="VC118" s="8">
        <v>35013</v>
      </c>
      <c r="VD118" s="5"/>
      <c r="VE118" s="6" t="s">
        <v>3046</v>
      </c>
      <c r="VF118" s="4" t="s">
        <v>2911</v>
      </c>
      <c r="VG118" s="4" t="s">
        <v>2295</v>
      </c>
      <c r="VH118" s="7" t="s">
        <v>2912</v>
      </c>
      <c r="VI118" s="8">
        <v>38641</v>
      </c>
      <c r="VJ118" s="8">
        <v>35016</v>
      </c>
      <c r="VK118" s="5"/>
      <c r="VL118" s="6"/>
      <c r="VM118" s="4"/>
      <c r="VN118" s="4"/>
      <c r="VO118" s="4"/>
      <c r="VP118" s="4"/>
      <c r="VQ118" s="4"/>
      <c r="VR118" s="5"/>
      <c r="VS118" s="6"/>
      <c r="VT118" s="4"/>
      <c r="VU118" s="4"/>
      <c r="VV118" s="4"/>
      <c r="VW118" s="4"/>
      <c r="VX118" s="4"/>
      <c r="VY118" s="5"/>
      <c r="VZ118" s="6"/>
      <c r="WA118" s="4"/>
      <c r="WB118" s="4"/>
      <c r="WC118" s="4"/>
      <c r="WD118" s="4"/>
      <c r="WE118" s="4"/>
      <c r="WF118" s="5"/>
      <c r="WG118" s="6" t="s">
        <v>3324</v>
      </c>
      <c r="WH118" s="6" t="s">
        <v>3324</v>
      </c>
      <c r="WI118" s="4" t="s">
        <v>3325</v>
      </c>
      <c r="WJ118" s="7" t="s">
        <v>3121</v>
      </c>
      <c r="WK118" s="8">
        <v>34988</v>
      </c>
      <c r="WL118" s="8">
        <v>35016</v>
      </c>
      <c r="WM118" s="5"/>
      <c r="WN118" s="6"/>
      <c r="WO118" s="4"/>
      <c r="WP118" s="4"/>
      <c r="WQ118" s="4"/>
      <c r="WR118" s="4"/>
      <c r="WS118" s="4"/>
      <c r="WT118" s="5"/>
      <c r="WU118" s="6"/>
      <c r="WV118" s="4"/>
      <c r="WW118" s="4"/>
      <c r="WX118" s="4"/>
      <c r="WY118" s="4"/>
      <c r="WZ118" s="4"/>
      <c r="XA118" s="5"/>
      <c r="XB118" s="6"/>
      <c r="XC118" s="4"/>
      <c r="XD118" s="4"/>
      <c r="XE118" s="4"/>
      <c r="XF118" s="4"/>
      <c r="XG118" s="4"/>
      <c r="XH118" s="5"/>
      <c r="XI118" s="6"/>
      <c r="XJ118" s="4"/>
      <c r="XK118" s="4"/>
      <c r="XL118" s="4"/>
      <c r="XM118" s="4"/>
      <c r="XN118" s="4"/>
      <c r="XO118" s="5"/>
      <c r="XP118" s="6" t="s">
        <v>2368</v>
      </c>
      <c r="XQ118" s="4" t="s">
        <v>2960</v>
      </c>
      <c r="XR118" s="4" t="s">
        <v>3179</v>
      </c>
      <c r="XS118" s="7" t="s">
        <v>3180</v>
      </c>
      <c r="XT118" s="8">
        <v>34988</v>
      </c>
      <c r="XU118" s="8">
        <v>35009</v>
      </c>
      <c r="XV118" s="5"/>
      <c r="XW118" s="6"/>
      <c r="XX118" s="4"/>
      <c r="XY118" s="4"/>
      <c r="XZ118" s="4"/>
      <c r="YA118" s="4"/>
      <c r="YB118" s="4"/>
      <c r="YC118" s="5"/>
      <c r="YD118" s="6" t="s">
        <v>2805</v>
      </c>
      <c r="YE118" s="4" t="s">
        <v>2913</v>
      </c>
      <c r="YF118" s="4" t="s">
        <v>2429</v>
      </c>
      <c r="YG118" s="7" t="s">
        <v>3121</v>
      </c>
      <c r="YH118" s="8">
        <v>34988</v>
      </c>
      <c r="YI118" s="8">
        <v>35016</v>
      </c>
      <c r="YJ118" s="5"/>
      <c r="YK118" s="6"/>
      <c r="YL118" s="4"/>
      <c r="YM118" s="4"/>
      <c r="YN118" s="4"/>
      <c r="YO118" s="4"/>
      <c r="YP118" s="4"/>
      <c r="YQ118" s="5"/>
      <c r="YR118" s="6"/>
      <c r="YS118" s="4"/>
      <c r="YT118" s="4"/>
      <c r="YU118" s="4"/>
      <c r="YV118" s="4"/>
      <c r="YW118" s="4"/>
      <c r="YX118" s="5"/>
      <c r="YY118" s="6"/>
      <c r="YZ118" s="4"/>
      <c r="ZA118" s="4"/>
      <c r="ZB118" s="4"/>
      <c r="ZC118" s="4"/>
      <c r="ZD118" s="4"/>
      <c r="ZE118" s="5"/>
      <c r="ZF118" s="6"/>
      <c r="ZG118" s="4"/>
      <c r="ZH118" s="4"/>
      <c r="ZI118" s="4"/>
      <c r="ZJ118" s="4"/>
      <c r="ZK118" s="4"/>
      <c r="ZL118" s="5"/>
      <c r="ZM118" s="6"/>
      <c r="ZN118" s="4"/>
      <c r="ZO118" s="4"/>
      <c r="ZP118" s="4"/>
      <c r="ZQ118" s="4"/>
      <c r="ZR118" s="4"/>
      <c r="ZS118" s="5"/>
      <c r="ZT118" s="6"/>
      <c r="ZU118" s="4"/>
      <c r="ZV118" s="4"/>
      <c r="ZW118" s="4"/>
      <c r="ZX118" s="4"/>
      <c r="ZY118" s="4"/>
      <c r="ZZ118" s="5"/>
      <c r="AAA118" s="6"/>
      <c r="AAB118" s="4"/>
      <c r="AAC118" s="4"/>
      <c r="AAD118" s="4"/>
      <c r="AAE118" s="4"/>
      <c r="AAF118" s="4"/>
      <c r="AAG118" s="5"/>
      <c r="AAH118" s="6"/>
      <c r="AAI118" s="4"/>
      <c r="AAJ118" s="4"/>
      <c r="AAK118" s="4"/>
      <c r="AAL118" s="4"/>
      <c r="AAM118" s="4"/>
      <c r="AAN118" s="5"/>
      <c r="AAO118" s="6"/>
      <c r="AAP118" s="4"/>
      <c r="AAQ118" s="4"/>
      <c r="AAR118" s="4"/>
      <c r="AAS118" s="4"/>
      <c r="AAT118" s="4"/>
      <c r="AAU118" s="5"/>
      <c r="AAV118" s="6"/>
      <c r="AAW118" s="4"/>
      <c r="AAX118" s="4"/>
      <c r="AAY118" s="4"/>
      <c r="AAZ118" s="4"/>
      <c r="ABA118" s="4"/>
      <c r="ABB118" s="5"/>
      <c r="ABC118" s="6"/>
      <c r="ABD118" s="4"/>
      <c r="ABE118" s="4"/>
      <c r="ABF118" s="4"/>
      <c r="ABG118" s="4"/>
      <c r="ABH118" s="4"/>
      <c r="ABI118" s="5"/>
      <c r="ABJ118" s="6"/>
      <c r="ABK118" s="4"/>
      <c r="ABL118" s="4"/>
      <c r="ABM118" s="4"/>
      <c r="ABN118" s="4"/>
      <c r="ABO118" s="4"/>
      <c r="ABP118" s="5"/>
      <c r="ABQ118" s="6" t="s">
        <v>2611</v>
      </c>
      <c r="ABR118" s="4" t="s">
        <v>2697</v>
      </c>
      <c r="ABS118" s="4" t="s">
        <v>3177</v>
      </c>
      <c r="ABT118" s="7" t="s">
        <v>3178</v>
      </c>
      <c r="ABU118" s="8">
        <v>35009</v>
      </c>
      <c r="ABV118" s="8">
        <v>35014</v>
      </c>
      <c r="ABW118" s="5"/>
      <c r="ABX118" s="6"/>
      <c r="ABY118" s="4"/>
      <c r="ABZ118" s="4"/>
      <c r="ACA118" s="4"/>
      <c r="ACB118" s="4"/>
      <c r="ACC118" s="4"/>
      <c r="ACD118" s="5"/>
      <c r="ACE118" s="6"/>
      <c r="ACF118" s="4"/>
      <c r="ACG118" s="4"/>
      <c r="ACH118" s="4"/>
      <c r="ACI118" s="4"/>
      <c r="ACJ118" s="4"/>
      <c r="ACK118" s="5"/>
      <c r="ACL118" s="6" t="s">
        <v>2986</v>
      </c>
      <c r="ACM118" s="4" t="s">
        <v>2493</v>
      </c>
      <c r="ACN118" s="4" t="s">
        <v>2987</v>
      </c>
      <c r="ACO118" s="7" t="s">
        <v>2988</v>
      </c>
      <c r="ACP118" s="8">
        <v>34988</v>
      </c>
      <c r="ACQ118" s="8">
        <v>35016</v>
      </c>
      <c r="ACR118" s="5"/>
      <c r="ACS118" s="6"/>
      <c r="ACT118" s="4"/>
      <c r="ACU118" s="4"/>
      <c r="ACV118" s="4"/>
      <c r="ACW118" s="4"/>
      <c r="ACX118" s="4"/>
      <c r="ACY118" s="5"/>
      <c r="ADG118" t="s">
        <v>3583</v>
      </c>
      <c r="ADR118" t="s">
        <v>3584</v>
      </c>
      <c r="ADS118" t="s">
        <v>3585</v>
      </c>
    </row>
    <row r="119" spans="2:799" x14ac:dyDescent="0.25">
      <c r="B119" s="30"/>
      <c r="J119" s="12"/>
      <c r="K119" s="12"/>
      <c r="L119" s="12"/>
      <c r="LL119" s="6"/>
      <c r="LM119" s="4"/>
      <c r="LN119" s="4"/>
      <c r="LO119" s="4"/>
      <c r="LP119" s="4"/>
      <c r="LQ119" s="4"/>
      <c r="LR119" s="5"/>
      <c r="LS119" s="6"/>
      <c r="LT119" s="4"/>
      <c r="LU119" s="4"/>
      <c r="LV119" s="4"/>
      <c r="LW119" s="4"/>
      <c r="LX119" s="4"/>
      <c r="LY119" s="5"/>
      <c r="LZ119" s="6"/>
      <c r="MA119" s="4"/>
      <c r="MB119" s="4"/>
      <c r="MC119" s="4"/>
      <c r="MD119" s="8"/>
      <c r="ME119" s="4"/>
      <c r="MF119" s="4"/>
      <c r="MG119" s="5"/>
      <c r="MH119" s="6"/>
      <c r="MI119" s="4"/>
      <c r="MJ119" s="4"/>
      <c r="MK119" s="4"/>
      <c r="ML119" s="4"/>
      <c r="MM119" s="4"/>
      <c r="MN119" s="5"/>
      <c r="MO119" s="6"/>
      <c r="MP119" s="4"/>
      <c r="MQ119" s="4"/>
      <c r="MR119" s="4"/>
      <c r="MS119" s="4"/>
      <c r="MT119" s="4"/>
      <c r="MU119" s="5"/>
      <c r="MV119" s="6"/>
      <c r="MW119" s="4"/>
      <c r="MX119" s="4"/>
      <c r="MY119" s="4"/>
      <c r="MZ119" s="4"/>
      <c r="NA119" s="4"/>
      <c r="NB119" s="5"/>
      <c r="NC119" s="6"/>
      <c r="ND119" s="4"/>
      <c r="NE119" s="4"/>
      <c r="NF119" s="4"/>
      <c r="NG119" s="4"/>
      <c r="NH119" s="4"/>
      <c r="NI119" s="5"/>
      <c r="NJ119" s="6"/>
      <c r="NK119" s="4"/>
      <c r="NL119" s="4"/>
      <c r="NM119" s="4"/>
      <c r="NN119" s="4"/>
      <c r="NO119" s="4"/>
      <c r="NP119" s="5"/>
      <c r="NQ119" s="6"/>
      <c r="NR119" s="4"/>
      <c r="NS119" s="4"/>
      <c r="NT119" s="4"/>
      <c r="NU119" s="4"/>
      <c r="NV119" s="4"/>
      <c r="NW119" s="5"/>
      <c r="NX119" s="6"/>
      <c r="NY119" s="4"/>
      <c r="NZ119" s="4"/>
      <c r="OA119" s="4"/>
      <c r="OB119" s="4"/>
      <c r="OC119" s="4"/>
      <c r="OD119" s="5"/>
      <c r="OE119" s="6"/>
      <c r="OF119" s="4"/>
      <c r="OG119" s="4"/>
      <c r="OH119" s="4"/>
      <c r="OI119" s="4"/>
      <c r="OJ119" s="4"/>
      <c r="OK119" s="5"/>
      <c r="OL119" s="6"/>
      <c r="OM119" s="4"/>
      <c r="ON119" s="4"/>
      <c r="OO119" s="4"/>
      <c r="OP119" s="4"/>
      <c r="OQ119" s="4"/>
      <c r="OR119" s="5"/>
      <c r="OS119" s="6"/>
      <c r="OT119" s="4"/>
      <c r="OU119" s="4"/>
      <c r="OV119" s="4"/>
      <c r="OW119" s="4"/>
      <c r="OX119" s="4"/>
      <c r="OY119" s="5"/>
      <c r="OZ119" s="6"/>
      <c r="PA119" s="4"/>
      <c r="PB119" s="4"/>
      <c r="PC119" s="4"/>
      <c r="PD119" s="4"/>
      <c r="PE119" s="4"/>
      <c r="PF119" s="5"/>
      <c r="PG119" s="6"/>
      <c r="PH119" s="4"/>
      <c r="PI119" s="4"/>
      <c r="PJ119" s="4"/>
      <c r="PK119" s="4"/>
      <c r="PL119" s="4"/>
      <c r="PM119" s="5"/>
      <c r="PN119" s="6"/>
      <c r="PO119" s="4"/>
      <c r="PP119" s="4"/>
      <c r="PQ119" s="4"/>
      <c r="PR119" s="4"/>
      <c r="PS119" s="4"/>
      <c r="PT119" s="5"/>
      <c r="PU119" s="6"/>
      <c r="PV119" s="4"/>
      <c r="PW119" s="4"/>
      <c r="PX119" s="4"/>
      <c r="PY119" s="4"/>
      <c r="PZ119" s="4"/>
      <c r="QA119" s="5"/>
      <c r="QB119" s="6"/>
      <c r="QC119" s="4"/>
      <c r="QD119" s="4"/>
      <c r="QE119" s="4"/>
      <c r="QF119" s="4"/>
      <c r="QG119" s="4"/>
      <c r="QH119" s="5"/>
      <c r="QI119" s="6"/>
      <c r="QJ119" s="4"/>
      <c r="QK119" s="4"/>
      <c r="QL119" s="4"/>
      <c r="QM119" s="4"/>
      <c r="QN119" s="4"/>
      <c r="QO119" s="5"/>
      <c r="QP119" s="6"/>
      <c r="QQ119" s="4"/>
      <c r="QR119" s="4"/>
      <c r="QS119" s="4"/>
      <c r="QT119" s="4"/>
      <c r="QU119" s="4"/>
      <c r="QV119" s="5"/>
      <c r="QW119" s="6"/>
      <c r="QX119" s="4"/>
      <c r="QY119" s="4"/>
      <c r="QZ119" s="4"/>
      <c r="RA119" s="4"/>
      <c r="RB119" s="4"/>
      <c r="RC119" s="5"/>
      <c r="RD119" s="6"/>
      <c r="RE119" s="4"/>
      <c r="RF119" s="4"/>
      <c r="RG119" s="4"/>
      <c r="RH119" s="4"/>
      <c r="RI119" s="4"/>
      <c r="RJ119" s="5"/>
      <c r="RK119" s="6"/>
      <c r="RL119" s="4"/>
      <c r="RM119" s="4"/>
      <c r="RN119" s="4"/>
      <c r="RO119" s="4"/>
      <c r="RP119" s="4"/>
      <c r="RQ119" s="5"/>
      <c r="RR119" s="6"/>
      <c r="RS119" s="4"/>
      <c r="RT119" s="4"/>
      <c r="RU119" s="4"/>
      <c r="RV119" s="4"/>
      <c r="RW119" s="4"/>
      <c r="RX119" s="5"/>
      <c r="RY119" s="6"/>
      <c r="RZ119" s="4"/>
      <c r="SA119" s="4"/>
      <c r="SB119" s="4"/>
      <c r="SC119" s="4"/>
      <c r="SD119" s="4"/>
      <c r="SE119" s="5"/>
      <c r="SF119" s="6"/>
      <c r="SG119" s="4"/>
      <c r="SH119" s="4"/>
      <c r="SI119" s="4"/>
      <c r="SJ119" s="4"/>
      <c r="SK119" s="4"/>
      <c r="SL119" s="5"/>
      <c r="SM119" s="6"/>
      <c r="SN119" s="4"/>
      <c r="SO119" s="4"/>
      <c r="SP119" s="4"/>
      <c r="SQ119" s="4"/>
      <c r="SR119" s="4"/>
      <c r="SS119" s="5"/>
      <c r="ST119" s="6"/>
      <c r="SU119" s="4"/>
      <c r="SV119" s="4"/>
      <c r="SW119" s="4"/>
      <c r="SX119" s="4"/>
      <c r="SY119" s="4"/>
      <c r="SZ119" s="5"/>
      <c r="TA119" s="6"/>
      <c r="TB119" s="4"/>
      <c r="TC119" s="4"/>
      <c r="TD119" s="4"/>
      <c r="TE119" s="4"/>
      <c r="TF119" s="4"/>
      <c r="TG119" s="5"/>
      <c r="TH119" s="6"/>
      <c r="TI119" s="4"/>
      <c r="TJ119" s="4"/>
      <c r="TK119" s="4"/>
      <c r="TL119" s="4"/>
      <c r="TM119" s="4"/>
      <c r="TN119" s="5"/>
      <c r="TO119" s="6"/>
      <c r="TP119" s="4"/>
      <c r="TQ119" s="4"/>
      <c r="TR119" s="4"/>
      <c r="TS119" s="4"/>
      <c r="TT119" s="4"/>
      <c r="TU119" s="5"/>
      <c r="TV119" s="6"/>
      <c r="TW119" s="4"/>
      <c r="TX119" s="4"/>
      <c r="TY119" s="4"/>
      <c r="TZ119" s="4"/>
      <c r="UA119" s="4"/>
      <c r="UB119" s="5"/>
      <c r="UC119" s="6"/>
      <c r="UD119" s="4"/>
      <c r="UE119" s="4"/>
      <c r="UF119" s="4"/>
      <c r="UG119" s="4"/>
      <c r="UH119" s="4"/>
      <c r="UI119" s="5"/>
      <c r="UJ119" s="6"/>
      <c r="UK119" s="4"/>
      <c r="UL119" s="4"/>
      <c r="UM119" s="4"/>
      <c r="UN119" s="4"/>
      <c r="UO119" s="4"/>
      <c r="UP119" s="5"/>
      <c r="UQ119" s="6"/>
      <c r="UR119" s="4"/>
      <c r="US119" s="4"/>
      <c r="UT119" s="4"/>
      <c r="UU119" s="4"/>
      <c r="UV119" s="4"/>
      <c r="UW119" s="5"/>
      <c r="UX119" s="6"/>
      <c r="UY119" s="4"/>
      <c r="UZ119" s="4"/>
      <c r="VA119" s="4"/>
      <c r="VB119" s="4"/>
      <c r="VC119" s="4"/>
      <c r="VD119" s="5"/>
      <c r="VE119" s="6"/>
      <c r="VF119" s="4"/>
      <c r="VG119" s="4"/>
      <c r="VH119" s="4"/>
      <c r="VI119" s="4"/>
      <c r="VJ119" s="4"/>
      <c r="VK119" s="5"/>
      <c r="VL119" s="6"/>
      <c r="VM119" s="4"/>
      <c r="VN119" s="4"/>
      <c r="VO119" s="4"/>
      <c r="VP119" s="4"/>
      <c r="VQ119" s="4"/>
      <c r="VR119" s="5"/>
      <c r="VS119" s="6"/>
      <c r="VT119" s="4"/>
      <c r="VU119" s="4"/>
      <c r="VV119" s="4"/>
      <c r="VW119" s="4"/>
      <c r="VX119" s="4"/>
      <c r="VY119" s="5"/>
      <c r="VZ119" s="6"/>
      <c r="WA119" s="4"/>
      <c r="WB119" s="4"/>
      <c r="WC119" s="4"/>
      <c r="WD119" s="4"/>
      <c r="WE119" s="4"/>
      <c r="WF119" s="5"/>
      <c r="WG119" s="6"/>
      <c r="WH119" s="4"/>
      <c r="WI119" s="4"/>
      <c r="WJ119" s="4"/>
      <c r="WK119" s="4"/>
      <c r="WL119" s="4"/>
      <c r="WM119" s="5"/>
      <c r="WN119" s="6"/>
      <c r="WO119" s="4"/>
      <c r="WP119" s="4"/>
      <c r="WQ119" s="4"/>
      <c r="WR119" s="4"/>
      <c r="WS119" s="4"/>
      <c r="WT119" s="5"/>
      <c r="WU119" s="6"/>
      <c r="WV119" s="4"/>
      <c r="WW119" s="4"/>
      <c r="WX119" s="4"/>
      <c r="WY119" s="4"/>
      <c r="WZ119" s="4"/>
      <c r="XA119" s="5"/>
      <c r="XB119" s="6"/>
      <c r="XC119" s="4"/>
      <c r="XD119" s="4"/>
      <c r="XE119" s="4"/>
      <c r="XF119" s="4"/>
      <c r="XG119" s="4"/>
      <c r="XH119" s="5"/>
      <c r="XI119" s="6"/>
      <c r="XJ119" s="4"/>
      <c r="XK119" s="4"/>
      <c r="XL119" s="4"/>
      <c r="XM119" s="4"/>
      <c r="XN119" s="4"/>
      <c r="XO119" s="5"/>
      <c r="XP119" s="6"/>
      <c r="XQ119" s="4"/>
      <c r="XR119" s="4"/>
      <c r="XS119" s="7"/>
      <c r="XT119" s="8"/>
      <c r="XU119" s="8"/>
      <c r="XV119" s="5"/>
      <c r="XW119" s="6"/>
      <c r="XX119" s="4"/>
      <c r="XY119" s="4"/>
      <c r="XZ119" s="4"/>
      <c r="YA119" s="4"/>
      <c r="YB119" s="4"/>
      <c r="YC119" s="5"/>
      <c r="YD119" s="6"/>
      <c r="YE119" s="4"/>
      <c r="YF119" s="4"/>
      <c r="YG119" s="4"/>
      <c r="YH119" s="4"/>
      <c r="YI119" s="4"/>
      <c r="YJ119" s="5"/>
      <c r="YK119" s="6"/>
      <c r="YL119" s="4"/>
      <c r="YM119" s="4"/>
      <c r="YN119" s="4"/>
      <c r="YO119" s="4"/>
      <c r="YP119" s="4"/>
      <c r="YQ119" s="5"/>
      <c r="YR119" s="6"/>
      <c r="YS119" s="4"/>
      <c r="YT119" s="4"/>
      <c r="YU119" s="4"/>
      <c r="YV119" s="4"/>
      <c r="YW119" s="4"/>
      <c r="YX119" s="5"/>
      <c r="YY119" s="6"/>
      <c r="YZ119" s="4"/>
      <c r="ZA119" s="4"/>
      <c r="ZB119" s="4"/>
      <c r="ZC119" s="4"/>
      <c r="ZD119" s="4"/>
      <c r="ZE119" s="5"/>
      <c r="ZF119" s="6"/>
      <c r="ZG119" s="4"/>
      <c r="ZH119" s="4"/>
      <c r="ZI119" s="4"/>
      <c r="ZJ119" s="4"/>
      <c r="ZK119" s="4"/>
      <c r="ZL119" s="5"/>
      <c r="ZM119" s="6"/>
      <c r="ZN119" s="4"/>
      <c r="ZO119" s="4"/>
      <c r="ZP119" s="4"/>
      <c r="ZQ119" s="4"/>
      <c r="ZR119" s="4"/>
      <c r="ZS119" s="5"/>
      <c r="ZT119" s="6"/>
      <c r="ZU119" s="4"/>
      <c r="ZV119" s="4"/>
      <c r="ZW119" s="4"/>
      <c r="ZX119" s="4"/>
      <c r="ZY119" s="4"/>
      <c r="ZZ119" s="5"/>
      <c r="AAA119" s="6"/>
      <c r="AAB119" s="4"/>
      <c r="AAC119" s="4"/>
      <c r="AAD119" s="4"/>
      <c r="AAE119" s="4"/>
      <c r="AAF119" s="4"/>
      <c r="AAG119" s="5"/>
      <c r="AAH119" s="6"/>
      <c r="AAI119" s="4"/>
      <c r="AAJ119" s="4"/>
      <c r="AAK119" s="4"/>
      <c r="AAL119" s="4"/>
      <c r="AAM119" s="4"/>
      <c r="AAN119" s="5"/>
      <c r="AAO119" s="6"/>
      <c r="AAP119" s="4"/>
      <c r="AAQ119" s="4"/>
      <c r="AAR119" s="4"/>
      <c r="AAS119" s="4"/>
      <c r="AAT119" s="4"/>
      <c r="AAU119" s="5"/>
      <c r="AAV119" s="6"/>
      <c r="AAW119" s="4"/>
      <c r="AAX119" s="4"/>
      <c r="AAY119" s="4"/>
      <c r="AAZ119" s="4"/>
      <c r="ABA119" s="4"/>
      <c r="ABB119" s="5"/>
      <c r="ABC119" s="6"/>
      <c r="ABD119" s="4"/>
      <c r="ABE119" s="4"/>
      <c r="ABF119" s="4"/>
      <c r="ABG119" s="4"/>
      <c r="ABH119" s="4"/>
      <c r="ABI119" s="5"/>
      <c r="ABJ119" s="6"/>
      <c r="ABK119" s="4"/>
      <c r="ABL119" s="4"/>
      <c r="ABM119" s="4"/>
      <c r="ABN119" s="4"/>
      <c r="ABO119" s="4"/>
      <c r="ABP119" s="5"/>
      <c r="ABQ119" s="6" t="s">
        <v>3044</v>
      </c>
      <c r="ABR119" s="4" t="s">
        <v>2697</v>
      </c>
      <c r="ABS119" s="4" t="s">
        <v>3045</v>
      </c>
      <c r="ABT119" s="7" t="s">
        <v>2378</v>
      </c>
      <c r="ABU119" s="8">
        <v>35009</v>
      </c>
      <c r="ABV119" s="8">
        <v>35014</v>
      </c>
      <c r="ABW119" s="5"/>
      <c r="ABX119" s="6"/>
      <c r="ABY119" s="4"/>
      <c r="ABZ119" s="4"/>
      <c r="ACA119" s="4"/>
      <c r="ACB119" s="4"/>
      <c r="ACC119" s="4"/>
      <c r="ACD119" s="5"/>
      <c r="ACE119" s="6"/>
      <c r="ACF119" s="4"/>
      <c r="ACG119" s="4"/>
      <c r="ACH119" s="4"/>
      <c r="ACI119" s="4"/>
      <c r="ACJ119" s="4"/>
      <c r="ACK119" s="5"/>
      <c r="ACL119" s="6"/>
      <c r="ACM119" s="4"/>
      <c r="ACN119" s="4"/>
      <c r="ACO119" s="4"/>
      <c r="ACP119" s="4"/>
      <c r="ACQ119" s="4"/>
      <c r="ACR119" s="5"/>
      <c r="ACS119" s="6"/>
      <c r="ACT119" s="4"/>
      <c r="ACU119" s="4"/>
      <c r="ACV119" s="4"/>
      <c r="ACW119" s="4"/>
      <c r="ACX119" s="4"/>
      <c r="ACY119" s="5"/>
    </row>
    <row r="120" spans="2:799" x14ac:dyDescent="0.25">
      <c r="B120" s="49">
        <v>96016516</v>
      </c>
      <c r="C120">
        <v>35</v>
      </c>
      <c r="D120" t="s">
        <v>681</v>
      </c>
      <c r="F120" s="23">
        <v>0</v>
      </c>
      <c r="J120" s="12"/>
      <c r="K120" s="12"/>
      <c r="L120" s="12"/>
      <c r="M120">
        <v>1</v>
      </c>
      <c r="N120" s="17">
        <v>34977</v>
      </c>
      <c r="O120" t="s">
        <v>621</v>
      </c>
      <c r="Y120">
        <v>1</v>
      </c>
      <c r="JW120">
        <v>1</v>
      </c>
      <c r="LL120" s="6"/>
      <c r="LM120" s="4"/>
      <c r="LN120" s="4"/>
      <c r="LO120" s="4"/>
      <c r="LP120" s="4"/>
      <c r="LQ120" s="4"/>
      <c r="LR120" s="5"/>
      <c r="LS120" s="6"/>
      <c r="LT120" s="4"/>
      <c r="LU120" s="4"/>
      <c r="LV120" s="4"/>
      <c r="LW120" s="4"/>
      <c r="LX120" s="4"/>
      <c r="LY120" s="5"/>
      <c r="LZ120" s="6" t="s">
        <v>3194</v>
      </c>
      <c r="MA120" s="7" t="s">
        <v>2375</v>
      </c>
      <c r="MB120" s="7" t="s">
        <v>2012</v>
      </c>
      <c r="MC120" s="7" t="s">
        <v>2923</v>
      </c>
      <c r="MD120" s="8">
        <v>34970</v>
      </c>
      <c r="ME120" s="8">
        <v>34976</v>
      </c>
      <c r="MF120" s="8" t="s">
        <v>611</v>
      </c>
      <c r="MG120" s="5" t="s">
        <v>623</v>
      </c>
      <c r="MH120" s="6"/>
      <c r="MI120" s="4"/>
      <c r="MJ120" s="4"/>
      <c r="MK120" s="4"/>
      <c r="ML120" s="4"/>
      <c r="MM120" s="4"/>
      <c r="MN120" s="5"/>
      <c r="MO120" s="6"/>
      <c r="MP120" s="4"/>
      <c r="MQ120" s="4"/>
      <c r="MR120" s="4"/>
      <c r="MS120" s="4"/>
      <c r="MT120" s="4"/>
      <c r="MU120" s="5"/>
      <c r="MV120" s="6"/>
      <c r="MW120" s="4"/>
      <c r="MX120" s="4"/>
      <c r="MY120" s="4"/>
      <c r="MZ120" s="4"/>
      <c r="NA120" s="4"/>
      <c r="NB120" s="5"/>
      <c r="NC120" s="6"/>
      <c r="ND120" s="4"/>
      <c r="NE120" s="4"/>
      <c r="NF120" s="4"/>
      <c r="NG120" s="4"/>
      <c r="NH120" s="4"/>
      <c r="NI120" s="5"/>
      <c r="NJ120" s="6"/>
      <c r="NK120" s="4"/>
      <c r="NL120" s="4"/>
      <c r="NM120" s="4"/>
      <c r="NN120" s="4"/>
      <c r="NO120" s="4"/>
      <c r="NP120" s="5"/>
      <c r="NQ120" s="6"/>
      <c r="NR120" s="4"/>
      <c r="NS120" s="4"/>
      <c r="NT120" s="4"/>
      <c r="NU120" s="4"/>
      <c r="NV120" s="4"/>
      <c r="NW120" s="5"/>
      <c r="NX120" s="6"/>
      <c r="NY120" s="4"/>
      <c r="NZ120" s="4"/>
      <c r="OA120" s="4"/>
      <c r="OB120" s="4"/>
      <c r="OC120" s="4"/>
      <c r="OD120" s="5"/>
      <c r="OE120" s="6"/>
      <c r="OF120" s="4"/>
      <c r="OG120" s="4"/>
      <c r="OH120" s="4"/>
      <c r="OI120" s="4"/>
      <c r="OJ120" s="4"/>
      <c r="OK120" s="5"/>
      <c r="OL120" s="6"/>
      <c r="OM120" s="4"/>
      <c r="ON120" s="4"/>
      <c r="OO120" s="4"/>
      <c r="OP120" s="4"/>
      <c r="OQ120" s="4"/>
      <c r="OR120" s="5"/>
      <c r="OS120" s="6"/>
      <c r="OT120" s="4"/>
      <c r="OU120" s="4"/>
      <c r="OV120" s="4"/>
      <c r="OW120" s="4"/>
      <c r="OX120" s="4"/>
      <c r="OY120" s="5"/>
      <c r="OZ120" s="6"/>
      <c r="PA120" s="4"/>
      <c r="PB120" s="4"/>
      <c r="PC120" s="4"/>
      <c r="PD120" s="4"/>
      <c r="PE120" s="4"/>
      <c r="PF120" s="5"/>
      <c r="PG120" s="6"/>
      <c r="PH120" s="4"/>
      <c r="PI120" s="4"/>
      <c r="PJ120" s="4"/>
      <c r="PK120" s="4"/>
      <c r="PL120" s="4"/>
      <c r="PM120" s="5"/>
      <c r="PN120" s="6"/>
      <c r="PO120" s="4"/>
      <c r="PP120" s="4"/>
      <c r="PQ120" s="4"/>
      <c r="PR120" s="4"/>
      <c r="PS120" s="4"/>
      <c r="PT120" s="5"/>
      <c r="PU120" s="6"/>
      <c r="PV120" s="4"/>
      <c r="PW120" s="4"/>
      <c r="PX120" s="4"/>
      <c r="PY120" s="4"/>
      <c r="PZ120" s="4"/>
      <c r="QA120" s="5"/>
      <c r="QB120" s="6"/>
      <c r="QC120" s="4"/>
      <c r="QD120" s="4"/>
      <c r="QE120" s="4"/>
      <c r="QF120" s="4"/>
      <c r="QG120" s="4"/>
      <c r="QH120" s="5"/>
      <c r="QI120" s="6"/>
      <c r="QJ120" s="4"/>
      <c r="QK120" s="4"/>
      <c r="QL120" s="4"/>
      <c r="QM120" s="4"/>
      <c r="QN120" s="4"/>
      <c r="QO120" s="5"/>
      <c r="QP120" s="6"/>
      <c r="QQ120" s="4"/>
      <c r="QR120" s="4"/>
      <c r="QS120" s="4"/>
      <c r="QT120" s="4"/>
      <c r="QU120" s="4"/>
      <c r="QV120" s="5"/>
      <c r="QW120" s="6"/>
      <c r="QX120" s="4"/>
      <c r="QY120" s="4"/>
      <c r="QZ120" s="4"/>
      <c r="RA120" s="4"/>
      <c r="RB120" s="4"/>
      <c r="RC120" s="5"/>
      <c r="RD120" s="6"/>
      <c r="RE120" s="4"/>
      <c r="RF120" s="4"/>
      <c r="RG120" s="4"/>
      <c r="RH120" s="4"/>
      <c r="RI120" s="4"/>
      <c r="RJ120" s="5"/>
      <c r="RK120" s="6"/>
      <c r="RL120" s="4"/>
      <c r="RM120" s="4"/>
      <c r="RN120" s="4"/>
      <c r="RO120" s="4"/>
      <c r="RP120" s="4"/>
      <c r="RQ120" s="5"/>
      <c r="RR120" s="6"/>
      <c r="RS120" s="4"/>
      <c r="RT120" s="4"/>
      <c r="RU120" s="4"/>
      <c r="RV120" s="4"/>
      <c r="RW120" s="4"/>
      <c r="RX120" s="5"/>
      <c r="RY120" s="6"/>
      <c r="RZ120" s="4"/>
      <c r="SA120" s="4"/>
      <c r="SB120" s="4"/>
      <c r="SC120" s="4"/>
      <c r="SD120" s="4"/>
      <c r="SE120" s="5"/>
      <c r="SF120" s="6"/>
      <c r="SG120" s="4"/>
      <c r="SH120" s="4"/>
      <c r="SI120" s="4"/>
      <c r="SJ120" s="4"/>
      <c r="SK120" s="4"/>
      <c r="SL120" s="5"/>
      <c r="SM120" s="6"/>
      <c r="SN120" s="4"/>
      <c r="SO120" s="4"/>
      <c r="SP120" s="4"/>
      <c r="SQ120" s="4"/>
      <c r="SR120" s="4"/>
      <c r="SS120" s="5"/>
      <c r="ST120" s="6"/>
      <c r="SU120" s="4"/>
      <c r="SV120" s="4"/>
      <c r="SW120" s="4"/>
      <c r="SX120" s="4"/>
      <c r="SY120" s="4"/>
      <c r="SZ120" s="5"/>
      <c r="TA120" s="6"/>
      <c r="TB120" s="4"/>
      <c r="TC120" s="4"/>
      <c r="TD120" s="4"/>
      <c r="TE120" s="4"/>
      <c r="TF120" s="4"/>
      <c r="TG120" s="5"/>
      <c r="TH120" s="6"/>
      <c r="TI120" s="4"/>
      <c r="TJ120" s="4"/>
      <c r="TK120" s="4"/>
      <c r="TL120" s="4"/>
      <c r="TM120" s="4"/>
      <c r="TN120" s="5"/>
      <c r="TO120" s="6"/>
      <c r="TP120" s="4"/>
      <c r="TQ120" s="4"/>
      <c r="TR120" s="4"/>
      <c r="TS120" s="4"/>
      <c r="TT120" s="4"/>
      <c r="TU120" s="5"/>
      <c r="TV120" s="6"/>
      <c r="TW120" s="4"/>
      <c r="TX120" s="4"/>
      <c r="TY120" s="4"/>
      <c r="TZ120" s="4"/>
      <c r="UA120" s="4"/>
      <c r="UB120" s="5"/>
      <c r="UC120" s="6"/>
      <c r="UD120" s="4"/>
      <c r="UE120" s="4"/>
      <c r="UF120" s="4"/>
      <c r="UG120" s="4"/>
      <c r="UH120" s="4"/>
      <c r="UI120" s="5"/>
      <c r="UJ120" s="6" t="s">
        <v>1090</v>
      </c>
      <c r="UK120" s="4" t="s">
        <v>1091</v>
      </c>
      <c r="UL120" s="4" t="s">
        <v>2110</v>
      </c>
      <c r="UM120" s="7" t="s">
        <v>3027</v>
      </c>
      <c r="UN120" s="8">
        <v>34971</v>
      </c>
      <c r="UO120" s="8">
        <v>34971</v>
      </c>
      <c r="UP120" s="5"/>
      <c r="UQ120" s="6"/>
      <c r="UR120" s="4"/>
      <c r="US120" s="4"/>
      <c r="UT120" s="4"/>
      <c r="UU120" s="4"/>
      <c r="UV120" s="4"/>
      <c r="UW120" s="5"/>
      <c r="UX120" s="6"/>
      <c r="UY120" s="4"/>
      <c r="UZ120" s="4"/>
      <c r="VA120" s="4"/>
      <c r="VB120" s="4"/>
      <c r="VC120" s="4"/>
      <c r="VD120" s="5"/>
      <c r="VE120" s="6"/>
      <c r="VF120" s="4"/>
      <c r="VG120" s="4"/>
      <c r="VH120" s="4"/>
      <c r="VI120" s="4"/>
      <c r="VJ120" s="4"/>
      <c r="VK120" s="5"/>
      <c r="VL120" s="6" t="s">
        <v>377</v>
      </c>
      <c r="VM120" s="4" t="s">
        <v>2602</v>
      </c>
      <c r="VN120" s="4" t="s">
        <v>2110</v>
      </c>
      <c r="VO120" s="7" t="s">
        <v>3027</v>
      </c>
      <c r="VP120" s="8">
        <v>34960</v>
      </c>
      <c r="VQ120" s="8">
        <v>34960</v>
      </c>
      <c r="VR120" s="5" t="s">
        <v>378</v>
      </c>
      <c r="VS120" s="6"/>
      <c r="VT120" s="4"/>
      <c r="VU120" s="4"/>
      <c r="VV120" s="4"/>
      <c r="VW120" s="4"/>
      <c r="VX120" s="4"/>
      <c r="VY120" s="5"/>
      <c r="VZ120" s="6"/>
      <c r="WA120" s="4"/>
      <c r="WB120" s="4"/>
      <c r="WC120" s="4"/>
      <c r="WD120" s="4"/>
      <c r="WE120" s="4"/>
      <c r="WF120" s="5"/>
      <c r="WG120" s="6"/>
      <c r="WH120" s="4"/>
      <c r="WI120" s="4"/>
      <c r="WJ120" s="4"/>
      <c r="WK120" s="4"/>
      <c r="WL120" s="4"/>
      <c r="WM120" s="5"/>
      <c r="WN120" s="6"/>
      <c r="WO120" s="4"/>
      <c r="WP120" s="4"/>
      <c r="WQ120" s="4"/>
      <c r="WR120" s="4"/>
      <c r="WS120" s="4"/>
      <c r="WT120" s="5"/>
      <c r="WU120" s="6"/>
      <c r="WV120" s="4"/>
      <c r="WW120" s="4"/>
      <c r="WX120" s="4"/>
      <c r="WY120" s="4"/>
      <c r="WZ120" s="4"/>
      <c r="XA120" s="5"/>
      <c r="XB120" s="6"/>
      <c r="XC120" s="4"/>
      <c r="XD120" s="4"/>
      <c r="XE120" s="4"/>
      <c r="XF120" s="4"/>
      <c r="XG120" s="4"/>
      <c r="XH120" s="5"/>
      <c r="XI120" s="6"/>
      <c r="XJ120" s="4"/>
      <c r="XK120" s="4"/>
      <c r="XL120" s="4"/>
      <c r="XM120" s="4"/>
      <c r="XN120" s="4"/>
      <c r="XO120" s="5"/>
      <c r="XP120" s="6" t="s">
        <v>1956</v>
      </c>
      <c r="XQ120" s="4" t="s">
        <v>1884</v>
      </c>
      <c r="XR120" s="4" t="s">
        <v>2012</v>
      </c>
      <c r="XS120" s="7" t="s">
        <v>2923</v>
      </c>
      <c r="XT120" s="8">
        <v>34970</v>
      </c>
      <c r="XU120" s="8">
        <v>34976</v>
      </c>
      <c r="XV120" s="37" t="s">
        <v>622</v>
      </c>
      <c r="XW120" s="6"/>
      <c r="XX120" s="4"/>
      <c r="XY120" s="4"/>
      <c r="XZ120" s="4"/>
      <c r="YA120" s="4"/>
      <c r="YB120" s="4"/>
      <c r="YC120" s="5"/>
      <c r="YJ120" s="5"/>
      <c r="YK120" s="6" t="s">
        <v>2852</v>
      </c>
      <c r="YL120" s="7" t="s">
        <v>2853</v>
      </c>
      <c r="YM120" s="4" t="s">
        <v>2441</v>
      </c>
      <c r="YN120" s="7" t="s">
        <v>2702</v>
      </c>
      <c r="YO120" s="8">
        <v>34960</v>
      </c>
      <c r="YP120" s="8">
        <v>34961</v>
      </c>
      <c r="YQ120" s="5" t="s">
        <v>626</v>
      </c>
      <c r="YR120" s="6"/>
      <c r="YS120" s="4"/>
      <c r="YT120" s="4"/>
      <c r="YU120" s="4"/>
      <c r="YV120" s="4"/>
      <c r="YW120" s="4"/>
      <c r="YX120" s="5"/>
      <c r="YY120" s="6"/>
      <c r="YZ120" s="4"/>
      <c r="ZA120" s="4"/>
      <c r="ZB120" s="4"/>
      <c r="ZC120" s="4"/>
      <c r="ZD120" s="4"/>
      <c r="ZE120" s="5"/>
      <c r="ZF120" s="6"/>
      <c r="ZG120" s="4"/>
      <c r="ZH120" s="4"/>
      <c r="ZI120" s="4"/>
      <c r="ZJ120" s="4"/>
      <c r="ZK120" s="4"/>
      <c r="ZL120" s="5"/>
      <c r="ZM120" s="6"/>
      <c r="ZN120" s="4"/>
      <c r="ZO120" s="4"/>
      <c r="ZP120" s="4"/>
      <c r="ZQ120" s="4"/>
      <c r="ZR120" s="4"/>
      <c r="ZS120" s="5"/>
      <c r="ZT120" s="6"/>
      <c r="ZU120" s="4"/>
      <c r="ZV120" s="4"/>
      <c r="ZW120" s="4"/>
      <c r="ZX120" s="4"/>
      <c r="ZY120" s="4"/>
      <c r="ZZ120" s="5"/>
      <c r="AAA120" s="6"/>
      <c r="AAB120" s="4"/>
      <c r="AAC120" s="4"/>
      <c r="AAD120" s="4"/>
      <c r="AAE120" s="4"/>
      <c r="AAF120" s="4"/>
      <c r="AAG120" s="5"/>
      <c r="AAH120" s="6" t="s">
        <v>2889</v>
      </c>
      <c r="AAI120" s="4" t="s">
        <v>2889</v>
      </c>
      <c r="AAJ120" s="4" t="s">
        <v>1840</v>
      </c>
      <c r="AAK120" s="7" t="s">
        <v>2702</v>
      </c>
      <c r="AAL120" s="8">
        <v>34960</v>
      </c>
      <c r="AAM120" s="8">
        <v>34961</v>
      </c>
      <c r="AAN120" s="5"/>
      <c r="AAO120" s="6"/>
      <c r="AAP120" s="4"/>
      <c r="AAQ120" s="4"/>
      <c r="AAR120" s="4"/>
      <c r="AAS120" s="4"/>
      <c r="AAT120" s="4"/>
      <c r="AAU120" s="5"/>
      <c r="AAV120" s="6"/>
      <c r="AAW120" s="4"/>
      <c r="AAX120" s="4"/>
      <c r="AAY120" s="4"/>
      <c r="AAZ120" s="4"/>
      <c r="ABA120" s="4"/>
      <c r="ABB120" s="5"/>
      <c r="ABC120" s="6"/>
      <c r="ABD120" s="4"/>
      <c r="ABE120" s="4"/>
      <c r="ABF120" s="4"/>
      <c r="ABG120" s="4"/>
      <c r="ABH120" s="4"/>
      <c r="ABI120" s="5"/>
      <c r="ABJ120" s="6"/>
      <c r="ABK120" s="4"/>
      <c r="ABL120" s="4"/>
      <c r="ABM120" s="4"/>
      <c r="ABN120" s="4"/>
      <c r="ABO120" s="4"/>
      <c r="ABP120" s="5"/>
      <c r="ABQ120" s="6"/>
      <c r="ABR120" s="4"/>
      <c r="ABS120" s="4"/>
      <c r="ABT120" s="4"/>
      <c r="ABU120" s="4"/>
      <c r="ABV120" s="4"/>
      <c r="ABW120" s="5"/>
      <c r="ABX120" s="6"/>
      <c r="ABY120" s="4"/>
      <c r="ABZ120" s="4"/>
      <c r="ACA120" s="4"/>
      <c r="ACB120" s="4"/>
      <c r="ACC120" s="4"/>
      <c r="ACD120" s="5"/>
      <c r="ACE120" s="6"/>
      <c r="ACF120" s="4"/>
      <c r="ACG120" s="4"/>
      <c r="ACH120" s="4"/>
      <c r="ACI120" s="4"/>
      <c r="ACJ120" s="4"/>
      <c r="ACK120" s="5"/>
      <c r="ACL120" s="6"/>
      <c r="ACM120" s="4"/>
      <c r="ACN120" s="4"/>
      <c r="ACO120" s="4"/>
      <c r="ACP120" s="4"/>
      <c r="ACQ120" s="4"/>
      <c r="ACR120" s="5"/>
      <c r="ACS120" s="6"/>
      <c r="ACT120" s="4"/>
      <c r="ACU120" s="4"/>
      <c r="ACV120" s="4"/>
      <c r="ACW120" s="4"/>
      <c r="ACX120" s="4"/>
      <c r="ACY120" s="5"/>
    </row>
    <row r="121" spans="2:799" x14ac:dyDescent="0.25">
      <c r="B121" s="30"/>
      <c r="J121" s="12"/>
      <c r="K121" s="12"/>
      <c r="L121" s="12"/>
      <c r="LL121" s="6"/>
      <c r="LM121" s="4"/>
      <c r="LN121" s="4"/>
      <c r="LO121" s="4"/>
      <c r="LP121" s="4"/>
      <c r="LQ121" s="4"/>
      <c r="LR121" s="5"/>
      <c r="LS121" s="6"/>
      <c r="LT121" s="4"/>
      <c r="LU121" s="4"/>
      <c r="LV121" s="4"/>
      <c r="LW121" s="4"/>
      <c r="LX121" s="4"/>
      <c r="LY121" s="5"/>
      <c r="LZ121" s="6" t="s">
        <v>2477</v>
      </c>
      <c r="MA121" s="7" t="s">
        <v>2477</v>
      </c>
      <c r="MB121" s="7" t="s">
        <v>2664</v>
      </c>
      <c r="MC121" s="7" t="s">
        <v>2923</v>
      </c>
      <c r="MD121" s="8">
        <v>34963</v>
      </c>
      <c r="ME121" s="8">
        <v>34969</v>
      </c>
      <c r="MF121" s="8"/>
      <c r="MG121" s="5" t="s">
        <v>624</v>
      </c>
      <c r="MH121" s="6"/>
      <c r="MI121" s="4"/>
      <c r="MJ121" s="4"/>
      <c r="MK121" s="4"/>
      <c r="ML121" s="4"/>
      <c r="MM121" s="4"/>
      <c r="MN121" s="5"/>
      <c r="MO121" s="6"/>
      <c r="MP121" s="4"/>
      <c r="MQ121" s="4"/>
      <c r="MR121" s="4"/>
      <c r="MS121" s="4"/>
      <c r="MT121" s="4"/>
      <c r="MU121" s="5"/>
      <c r="MV121" s="6"/>
      <c r="MW121" s="4"/>
      <c r="MX121" s="4"/>
      <c r="MY121" s="4"/>
      <c r="MZ121" s="4"/>
      <c r="NA121" s="4"/>
      <c r="NB121" s="5"/>
      <c r="NC121" s="6"/>
      <c r="ND121" s="4"/>
      <c r="NE121" s="4"/>
      <c r="NF121" s="4"/>
      <c r="NG121" s="4"/>
      <c r="NH121" s="4"/>
      <c r="NI121" s="5"/>
      <c r="NJ121" s="6"/>
      <c r="NK121" s="4"/>
      <c r="NL121" s="4"/>
      <c r="NM121" s="4"/>
      <c r="NN121" s="4"/>
      <c r="NO121" s="4"/>
      <c r="NP121" s="5"/>
      <c r="NQ121" s="6"/>
      <c r="NR121" s="4"/>
      <c r="NS121" s="4"/>
      <c r="NT121" s="4"/>
      <c r="NU121" s="4"/>
      <c r="NV121" s="4"/>
      <c r="NW121" s="5"/>
      <c r="NX121" s="6"/>
      <c r="NY121" s="4"/>
      <c r="NZ121" s="4"/>
      <c r="OA121" s="4"/>
      <c r="OB121" s="4"/>
      <c r="OC121" s="4"/>
      <c r="OD121" s="5"/>
      <c r="OE121" s="6"/>
      <c r="OF121" s="4"/>
      <c r="OG121" s="4"/>
      <c r="OH121" s="4"/>
      <c r="OI121" s="4"/>
      <c r="OJ121" s="4"/>
      <c r="OK121" s="5"/>
      <c r="OL121" s="6"/>
      <c r="OM121" s="4"/>
      <c r="ON121" s="4"/>
      <c r="OO121" s="4"/>
      <c r="OP121" s="4"/>
      <c r="OQ121" s="4"/>
      <c r="OR121" s="5"/>
      <c r="OS121" s="6"/>
      <c r="OT121" s="4"/>
      <c r="OU121" s="4"/>
      <c r="OV121" s="4"/>
      <c r="OW121" s="4"/>
      <c r="OX121" s="4"/>
      <c r="OY121" s="5"/>
      <c r="OZ121" s="6"/>
      <c r="PA121" s="4"/>
      <c r="PB121" s="4"/>
      <c r="PC121" s="4"/>
      <c r="PD121" s="4"/>
      <c r="PE121" s="4"/>
      <c r="PF121" s="5"/>
      <c r="PG121" s="6"/>
      <c r="PH121" s="4"/>
      <c r="PI121" s="4"/>
      <c r="PJ121" s="4"/>
      <c r="PK121" s="4"/>
      <c r="PL121" s="4"/>
      <c r="PM121" s="5"/>
      <c r="PN121" s="6"/>
      <c r="PO121" s="4"/>
      <c r="PP121" s="4"/>
      <c r="PQ121" s="4"/>
      <c r="PR121" s="4"/>
      <c r="PS121" s="4"/>
      <c r="PT121" s="5"/>
      <c r="PU121" s="6"/>
      <c r="PV121" s="4"/>
      <c r="PW121" s="4"/>
      <c r="PX121" s="4"/>
      <c r="PY121" s="4"/>
      <c r="PZ121" s="4"/>
      <c r="QA121" s="5"/>
      <c r="QB121" s="6"/>
      <c r="QC121" s="4"/>
      <c r="QD121" s="4"/>
      <c r="QE121" s="4"/>
      <c r="QF121" s="4"/>
      <c r="QG121" s="4"/>
      <c r="QH121" s="5"/>
      <c r="QI121" s="6"/>
      <c r="QJ121" s="4"/>
      <c r="QK121" s="4"/>
      <c r="QL121" s="4"/>
      <c r="QM121" s="4"/>
      <c r="QN121" s="4"/>
      <c r="QO121" s="5"/>
      <c r="QP121" s="6"/>
      <c r="QQ121" s="4"/>
      <c r="QR121" s="4"/>
      <c r="QS121" s="4"/>
      <c r="QT121" s="4"/>
      <c r="QU121" s="4"/>
      <c r="QV121" s="5"/>
      <c r="QW121" s="6"/>
      <c r="QX121" s="4"/>
      <c r="QY121" s="4"/>
      <c r="QZ121" s="4"/>
      <c r="RA121" s="4"/>
      <c r="RB121" s="4"/>
      <c r="RC121" s="5"/>
      <c r="RD121" s="6"/>
      <c r="RE121" s="4"/>
      <c r="RF121" s="4"/>
      <c r="RG121" s="4"/>
      <c r="RH121" s="4"/>
      <c r="RI121" s="4"/>
      <c r="RJ121" s="5"/>
      <c r="RK121" s="6"/>
      <c r="RL121" s="4"/>
      <c r="RM121" s="4"/>
      <c r="RN121" s="4"/>
      <c r="RO121" s="4"/>
      <c r="RP121" s="4"/>
      <c r="RQ121" s="5"/>
      <c r="RR121" s="6"/>
      <c r="RS121" s="4"/>
      <c r="RT121" s="4"/>
      <c r="RU121" s="4"/>
      <c r="RV121" s="4"/>
      <c r="RW121" s="4"/>
      <c r="RX121" s="5"/>
      <c r="RY121" s="6"/>
      <c r="RZ121" s="4"/>
      <c r="SA121" s="4"/>
      <c r="SB121" s="4"/>
      <c r="SC121" s="4"/>
      <c r="SD121" s="4"/>
      <c r="SE121" s="5"/>
      <c r="SF121" s="6"/>
      <c r="SG121" s="4"/>
      <c r="SH121" s="4"/>
      <c r="SI121" s="4"/>
      <c r="SJ121" s="4"/>
      <c r="SK121" s="4"/>
      <c r="SL121" s="5"/>
      <c r="SM121" s="6"/>
      <c r="SN121" s="4"/>
      <c r="SO121" s="4"/>
      <c r="SP121" s="4"/>
      <c r="SQ121" s="4"/>
      <c r="SR121" s="4"/>
      <c r="SS121" s="5"/>
      <c r="ST121" s="6"/>
      <c r="SU121" s="4"/>
      <c r="SV121" s="4"/>
      <c r="SW121" s="4"/>
      <c r="SX121" s="4"/>
      <c r="SY121" s="4"/>
      <c r="SZ121" s="5"/>
      <c r="TA121" s="6"/>
      <c r="TB121" s="4"/>
      <c r="TC121" s="4"/>
      <c r="TD121" s="4"/>
      <c r="TE121" s="4"/>
      <c r="TF121" s="4"/>
      <c r="TG121" s="5"/>
      <c r="TH121" s="6"/>
      <c r="TI121" s="4"/>
      <c r="TJ121" s="4"/>
      <c r="TK121" s="4"/>
      <c r="TL121" s="4"/>
      <c r="TM121" s="4"/>
      <c r="TN121" s="5"/>
      <c r="TO121" s="6"/>
      <c r="TP121" s="4"/>
      <c r="TQ121" s="4"/>
      <c r="TR121" s="4"/>
      <c r="TS121" s="4"/>
      <c r="TT121" s="4"/>
      <c r="TU121" s="5"/>
      <c r="TV121" s="6"/>
      <c r="TW121" s="4"/>
      <c r="TX121" s="4"/>
      <c r="TY121" s="4"/>
      <c r="TZ121" s="4"/>
      <c r="UA121" s="4"/>
      <c r="UB121" s="5"/>
      <c r="UC121" s="6"/>
      <c r="UD121" s="4"/>
      <c r="UE121" s="4"/>
      <c r="UF121" s="4"/>
      <c r="UG121" s="4"/>
      <c r="UH121" s="4"/>
      <c r="UI121" s="5"/>
      <c r="UJ121" s="6"/>
      <c r="UK121" s="4"/>
      <c r="UL121" s="4"/>
      <c r="UM121" s="4"/>
      <c r="UN121" s="4"/>
      <c r="UO121" s="4"/>
      <c r="UP121" s="5"/>
      <c r="UQ121" s="6"/>
      <c r="UR121" s="4"/>
      <c r="US121" s="4"/>
      <c r="UT121" s="4"/>
      <c r="UU121" s="4"/>
      <c r="UV121" s="4"/>
      <c r="UW121" s="5"/>
      <c r="UX121" s="6"/>
      <c r="UY121" s="4"/>
      <c r="UZ121" s="4"/>
      <c r="VA121" s="4"/>
      <c r="VB121" s="4"/>
      <c r="VC121" s="4"/>
      <c r="VD121" s="5"/>
      <c r="VE121" s="6"/>
      <c r="VF121" s="4"/>
      <c r="VG121" s="4"/>
      <c r="VH121" s="4"/>
      <c r="VI121" s="4"/>
      <c r="VJ121" s="4"/>
      <c r="VK121" s="5"/>
      <c r="VL121" s="6"/>
      <c r="VM121" s="4"/>
      <c r="VN121" s="4"/>
      <c r="VO121" s="4"/>
      <c r="VP121" s="4"/>
      <c r="VQ121" s="4"/>
      <c r="VR121" s="5"/>
      <c r="VS121" s="6"/>
      <c r="VT121" s="4"/>
      <c r="VU121" s="4"/>
      <c r="VV121" s="4"/>
      <c r="VW121" s="4"/>
      <c r="VX121" s="4"/>
      <c r="VY121" s="5"/>
      <c r="VZ121" s="6"/>
      <c r="WA121" s="4"/>
      <c r="WB121" s="4"/>
      <c r="WC121" s="4"/>
      <c r="WD121" s="4"/>
      <c r="WE121" s="4"/>
      <c r="WF121" s="5"/>
      <c r="WG121" s="6"/>
      <c r="WH121" s="4"/>
      <c r="WI121" s="4"/>
      <c r="WJ121" s="4"/>
      <c r="WK121" s="4"/>
      <c r="WL121" s="4"/>
      <c r="WM121" s="5"/>
      <c r="WN121" s="6"/>
      <c r="WO121" s="4"/>
      <c r="WP121" s="4"/>
      <c r="WQ121" s="4"/>
      <c r="WR121" s="4"/>
      <c r="WS121" s="4"/>
      <c r="WT121" s="5"/>
      <c r="WU121" s="6"/>
      <c r="WV121" s="4"/>
      <c r="WW121" s="4"/>
      <c r="WX121" s="4"/>
      <c r="WY121" s="4"/>
      <c r="WZ121" s="4"/>
      <c r="XA121" s="5"/>
      <c r="XB121" s="6"/>
      <c r="XC121" s="4"/>
      <c r="XD121" s="4"/>
      <c r="XE121" s="4"/>
      <c r="XF121" s="4"/>
      <c r="XG121" s="4"/>
      <c r="XH121" s="5"/>
      <c r="XI121" s="6"/>
      <c r="XJ121" s="4"/>
      <c r="XK121" s="4"/>
      <c r="XL121" s="4"/>
      <c r="XM121" s="4"/>
      <c r="XN121" s="4"/>
      <c r="XO121" s="5"/>
      <c r="XP121" s="6"/>
      <c r="XQ121" s="4"/>
      <c r="XR121" s="4"/>
      <c r="XS121" s="4"/>
      <c r="XT121" s="4"/>
      <c r="XU121" s="4"/>
      <c r="XV121" s="5"/>
      <c r="XW121" s="6"/>
      <c r="XX121" s="4"/>
      <c r="XY121" s="4"/>
      <c r="XZ121" s="4"/>
      <c r="YA121" s="4"/>
      <c r="YB121" s="4"/>
      <c r="YC121" s="5"/>
      <c r="YJ121" s="5"/>
      <c r="YK121" s="6" t="s">
        <v>1092</v>
      </c>
      <c r="YL121" s="7" t="s">
        <v>1093</v>
      </c>
      <c r="YM121" s="4" t="s">
        <v>2743</v>
      </c>
      <c r="YN121" s="7" t="s">
        <v>2923</v>
      </c>
      <c r="YO121" s="8">
        <v>34970</v>
      </c>
      <c r="YP121" s="8">
        <v>34976</v>
      </c>
      <c r="YQ121" s="5"/>
      <c r="YR121" s="6"/>
      <c r="YS121" s="4"/>
      <c r="YT121" s="4"/>
      <c r="YU121" s="4"/>
      <c r="YV121" s="4"/>
      <c r="YW121" s="4"/>
      <c r="YX121" s="5"/>
      <c r="YY121" s="6"/>
      <c r="YZ121" s="4"/>
      <c r="ZA121" s="4"/>
      <c r="ZB121" s="4"/>
      <c r="ZC121" s="4"/>
      <c r="ZD121" s="4"/>
      <c r="ZE121" s="5"/>
      <c r="ZF121" s="6"/>
      <c r="ZG121" s="4"/>
      <c r="ZH121" s="4"/>
      <c r="ZI121" s="4"/>
      <c r="ZJ121" s="4"/>
      <c r="ZK121" s="4"/>
      <c r="ZL121" s="5"/>
      <c r="ZM121" s="6"/>
      <c r="ZN121" s="4"/>
      <c r="ZO121" s="4"/>
      <c r="ZP121" s="4"/>
      <c r="ZQ121" s="4"/>
      <c r="ZR121" s="4"/>
      <c r="ZS121" s="5"/>
      <c r="ZT121" s="6"/>
      <c r="ZU121" s="4"/>
      <c r="ZV121" s="4"/>
      <c r="ZW121" s="4"/>
      <c r="ZX121" s="4"/>
      <c r="ZY121" s="4"/>
      <c r="ZZ121" s="5"/>
      <c r="AAA121" s="6"/>
      <c r="AAB121" s="4"/>
      <c r="AAC121" s="4"/>
      <c r="AAD121" s="4"/>
      <c r="AAE121" s="4"/>
      <c r="AAF121" s="4"/>
      <c r="AAG121" s="5"/>
      <c r="AAH121" s="6"/>
      <c r="AAI121" s="4"/>
      <c r="AAJ121" s="4"/>
      <c r="AAK121" s="4"/>
      <c r="AAL121" s="4"/>
      <c r="AAM121" s="4"/>
      <c r="AAN121" s="5"/>
      <c r="AAO121" s="6"/>
      <c r="AAP121" s="4"/>
      <c r="AAQ121" s="4"/>
      <c r="AAR121" s="4"/>
      <c r="AAS121" s="4"/>
      <c r="AAT121" s="4"/>
      <c r="AAU121" s="5"/>
      <c r="AAV121" s="6"/>
      <c r="AAW121" s="4"/>
      <c r="AAX121" s="4"/>
      <c r="AAY121" s="4"/>
      <c r="AAZ121" s="4"/>
      <c r="ABA121" s="4"/>
      <c r="ABB121" s="5"/>
      <c r="ABC121" s="6"/>
      <c r="ABD121" s="4"/>
      <c r="ABE121" s="4"/>
      <c r="ABF121" s="4"/>
      <c r="ABG121" s="4"/>
      <c r="ABH121" s="4"/>
      <c r="ABI121" s="5"/>
      <c r="ABJ121" s="6"/>
      <c r="ABK121" s="4"/>
      <c r="ABL121" s="4"/>
      <c r="ABM121" s="4"/>
      <c r="ABN121" s="4"/>
      <c r="ABO121" s="4"/>
      <c r="ABP121" s="5"/>
      <c r="ABQ121" s="6"/>
      <c r="ABR121" s="4"/>
      <c r="ABS121" s="4"/>
      <c r="ABT121" s="4"/>
      <c r="ABU121" s="4"/>
      <c r="ABV121" s="4"/>
      <c r="ABW121" s="5"/>
      <c r="ABX121" s="6"/>
      <c r="ABY121" s="4"/>
      <c r="ABZ121" s="4"/>
      <c r="ACA121" s="4"/>
      <c r="ACB121" s="4"/>
      <c r="ACC121" s="4"/>
      <c r="ACD121" s="5"/>
      <c r="ACE121" s="6"/>
      <c r="ACF121" s="4"/>
      <c r="ACG121" s="4"/>
      <c r="ACH121" s="4"/>
      <c r="ACI121" s="4"/>
      <c r="ACJ121" s="4"/>
      <c r="ACK121" s="5"/>
      <c r="ACL121" s="6"/>
      <c r="ACM121" s="4"/>
      <c r="ACN121" s="4"/>
      <c r="ACO121" s="4"/>
      <c r="ACP121" s="4"/>
      <c r="ACQ121" s="4"/>
      <c r="ACR121" s="5"/>
      <c r="ACS121" s="6"/>
      <c r="ACT121" s="4"/>
      <c r="ACU121" s="4"/>
      <c r="ACV121" s="4"/>
      <c r="ACW121" s="4"/>
      <c r="ACX121" s="4"/>
      <c r="ACY121" s="5"/>
    </row>
    <row r="122" spans="2:799" x14ac:dyDescent="0.25">
      <c r="B122" s="30"/>
      <c r="J122" s="12"/>
      <c r="K122" s="12"/>
      <c r="L122" s="12"/>
      <c r="LL122" s="6"/>
      <c r="LM122" s="4"/>
      <c r="LN122" s="4"/>
      <c r="LO122" s="4"/>
      <c r="LP122" s="4"/>
      <c r="LQ122" s="4"/>
      <c r="LR122" s="5"/>
      <c r="LS122" s="6"/>
      <c r="LT122" s="4"/>
      <c r="LU122" s="4"/>
      <c r="LV122" s="4"/>
      <c r="LW122" s="4"/>
      <c r="LX122" s="4"/>
      <c r="LY122" s="5"/>
      <c r="LZ122" s="6" t="s">
        <v>1094</v>
      </c>
      <c r="MA122" s="7" t="s">
        <v>1094</v>
      </c>
      <c r="MB122" s="7" t="s">
        <v>2441</v>
      </c>
      <c r="MC122" s="7" t="s">
        <v>3027</v>
      </c>
      <c r="MD122" s="8">
        <v>34960</v>
      </c>
      <c r="ME122" s="8">
        <v>34960</v>
      </c>
      <c r="MF122" s="8"/>
      <c r="MG122" s="5" t="s">
        <v>376</v>
      </c>
      <c r="MH122" s="6"/>
      <c r="MI122" s="4"/>
      <c r="MJ122" s="4"/>
      <c r="MK122" s="4"/>
      <c r="ML122" s="4"/>
      <c r="MM122" s="4"/>
      <c r="MN122" s="5"/>
      <c r="MO122" s="6"/>
      <c r="MP122" s="4"/>
      <c r="MQ122" s="4"/>
      <c r="MR122" s="4"/>
      <c r="MS122" s="4"/>
      <c r="MT122" s="4"/>
      <c r="MU122" s="5"/>
      <c r="MV122" s="6"/>
      <c r="MW122" s="4"/>
      <c r="MX122" s="4"/>
      <c r="MY122" s="4"/>
      <c r="MZ122" s="4"/>
      <c r="NA122" s="4"/>
      <c r="NB122" s="5"/>
      <c r="NC122" s="6"/>
      <c r="ND122" s="4"/>
      <c r="NE122" s="4"/>
      <c r="NF122" s="4"/>
      <c r="NG122" s="4"/>
      <c r="NH122" s="4"/>
      <c r="NI122" s="5"/>
      <c r="NJ122" s="6"/>
      <c r="NK122" s="4"/>
      <c r="NL122" s="4"/>
      <c r="NM122" s="4"/>
      <c r="NN122" s="4"/>
      <c r="NO122" s="4"/>
      <c r="NP122" s="5"/>
      <c r="NQ122" s="6"/>
      <c r="NR122" s="4"/>
      <c r="NS122" s="4"/>
      <c r="NT122" s="4"/>
      <c r="NU122" s="4"/>
      <c r="NV122" s="4"/>
      <c r="NW122" s="5"/>
      <c r="NX122" s="6"/>
      <c r="NY122" s="4"/>
      <c r="NZ122" s="4"/>
      <c r="OA122" s="4"/>
      <c r="OB122" s="4"/>
      <c r="OC122" s="4"/>
      <c r="OD122" s="5"/>
      <c r="OE122" s="6"/>
      <c r="OF122" s="4"/>
      <c r="OG122" s="4"/>
      <c r="OH122" s="4"/>
      <c r="OI122" s="4"/>
      <c r="OJ122" s="4"/>
      <c r="OK122" s="5"/>
      <c r="OL122" s="6"/>
      <c r="OM122" s="4"/>
      <c r="ON122" s="4"/>
      <c r="OO122" s="4"/>
      <c r="OP122" s="4"/>
      <c r="OQ122" s="4"/>
      <c r="OR122" s="5"/>
      <c r="OS122" s="6"/>
      <c r="OT122" s="4"/>
      <c r="OU122" s="4"/>
      <c r="OV122" s="4"/>
      <c r="OW122" s="4"/>
      <c r="OX122" s="4"/>
      <c r="OY122" s="5"/>
      <c r="OZ122" s="6"/>
      <c r="PA122" s="4"/>
      <c r="PB122" s="4"/>
      <c r="PC122" s="4"/>
      <c r="PD122" s="4"/>
      <c r="PE122" s="4"/>
      <c r="PF122" s="5"/>
      <c r="PG122" s="6"/>
      <c r="PH122" s="4"/>
      <c r="PI122" s="4"/>
      <c r="PJ122" s="4"/>
      <c r="PK122" s="4"/>
      <c r="PL122" s="4"/>
      <c r="PM122" s="5"/>
      <c r="PN122" s="6"/>
      <c r="PO122" s="4"/>
      <c r="PP122" s="4"/>
      <c r="PQ122" s="4"/>
      <c r="PR122" s="4"/>
      <c r="PS122" s="4"/>
      <c r="PT122" s="5"/>
      <c r="PU122" s="6"/>
      <c r="PV122" s="4"/>
      <c r="PW122" s="4"/>
      <c r="PX122" s="4"/>
      <c r="PY122" s="4"/>
      <c r="PZ122" s="4"/>
      <c r="QA122" s="5"/>
      <c r="QB122" s="6"/>
      <c r="QC122" s="4"/>
      <c r="QD122" s="4"/>
      <c r="QE122" s="4"/>
      <c r="QF122" s="4"/>
      <c r="QG122" s="4"/>
      <c r="QH122" s="5"/>
      <c r="QI122" s="6"/>
      <c r="QJ122" s="4"/>
      <c r="QK122" s="4"/>
      <c r="QL122" s="4"/>
      <c r="QM122" s="4"/>
      <c r="QN122" s="4"/>
      <c r="QO122" s="5"/>
      <c r="QP122" s="6"/>
      <c r="QQ122" s="4"/>
      <c r="QR122" s="4"/>
      <c r="QS122" s="4"/>
      <c r="QT122" s="4"/>
      <c r="QU122" s="4"/>
      <c r="QV122" s="5"/>
      <c r="QW122" s="6"/>
      <c r="QX122" s="4"/>
      <c r="QY122" s="4"/>
      <c r="QZ122" s="4"/>
      <c r="RA122" s="4"/>
      <c r="RB122" s="4"/>
      <c r="RC122" s="5"/>
      <c r="RD122" s="6"/>
      <c r="RE122" s="4"/>
      <c r="RF122" s="4"/>
      <c r="RG122" s="4"/>
      <c r="RH122" s="4"/>
      <c r="RI122" s="4"/>
      <c r="RJ122" s="5"/>
      <c r="RK122" s="6"/>
      <c r="RL122" s="4"/>
      <c r="RM122" s="4"/>
      <c r="RN122" s="4"/>
      <c r="RO122" s="4"/>
      <c r="RP122" s="4"/>
      <c r="RQ122" s="5"/>
      <c r="RR122" s="6"/>
      <c r="RS122" s="4"/>
      <c r="RT122" s="4"/>
      <c r="RU122" s="4"/>
      <c r="RV122" s="4"/>
      <c r="RW122" s="4"/>
      <c r="RX122" s="5"/>
      <c r="RY122" s="6"/>
      <c r="RZ122" s="4"/>
      <c r="SA122" s="4"/>
      <c r="SB122" s="4"/>
      <c r="SC122" s="4"/>
      <c r="SD122" s="4"/>
      <c r="SE122" s="5"/>
      <c r="SF122" s="6"/>
      <c r="SG122" s="4"/>
      <c r="SH122" s="4"/>
      <c r="SI122" s="4"/>
      <c r="SJ122" s="4"/>
      <c r="SK122" s="4"/>
      <c r="SL122" s="5"/>
      <c r="SM122" s="6"/>
      <c r="SN122" s="4"/>
      <c r="SO122" s="4"/>
      <c r="SP122" s="4"/>
      <c r="SQ122" s="4"/>
      <c r="SR122" s="4"/>
      <c r="SS122" s="5"/>
      <c r="ST122" s="6"/>
      <c r="SU122" s="4"/>
      <c r="SV122" s="4"/>
      <c r="SW122" s="4"/>
      <c r="SX122" s="4"/>
      <c r="SY122" s="4"/>
      <c r="SZ122" s="5"/>
      <c r="TA122" s="6"/>
      <c r="TB122" s="4"/>
      <c r="TC122" s="4"/>
      <c r="TD122" s="4"/>
      <c r="TE122" s="4"/>
      <c r="TF122" s="4"/>
      <c r="TG122" s="5"/>
      <c r="TH122" s="6"/>
      <c r="TI122" s="4"/>
      <c r="TJ122" s="4"/>
      <c r="TK122" s="4"/>
      <c r="TL122" s="4"/>
      <c r="TM122" s="4"/>
      <c r="TN122" s="5"/>
      <c r="TO122" s="6"/>
      <c r="TP122" s="4"/>
      <c r="TQ122" s="4"/>
      <c r="TR122" s="4"/>
      <c r="TS122" s="4"/>
      <c r="TT122" s="4"/>
      <c r="TU122" s="5"/>
      <c r="TV122" s="6"/>
      <c r="TW122" s="4"/>
      <c r="TX122" s="4"/>
      <c r="TY122" s="4"/>
      <c r="TZ122" s="4"/>
      <c r="UA122" s="4"/>
      <c r="UB122" s="5"/>
      <c r="UC122" s="6"/>
      <c r="UD122" s="4"/>
      <c r="UE122" s="4"/>
      <c r="UF122" s="4"/>
      <c r="UG122" s="4"/>
      <c r="UH122" s="4"/>
      <c r="UI122" s="5"/>
      <c r="UJ122" s="6"/>
      <c r="UK122" s="4"/>
      <c r="UL122" s="4"/>
      <c r="UM122" s="4"/>
      <c r="UN122" s="4"/>
      <c r="UO122" s="4"/>
      <c r="UP122" s="5"/>
      <c r="UQ122" s="6"/>
      <c r="UR122" s="4"/>
      <c r="US122" s="4"/>
      <c r="UT122" s="4"/>
      <c r="UU122" s="4"/>
      <c r="UV122" s="4"/>
      <c r="UW122" s="5"/>
      <c r="UX122" s="6"/>
      <c r="UY122" s="4"/>
      <c r="UZ122" s="4"/>
      <c r="VA122" s="4"/>
      <c r="VB122" s="4"/>
      <c r="VC122" s="4"/>
      <c r="VD122" s="5"/>
      <c r="VE122" s="6"/>
      <c r="VF122" s="4"/>
      <c r="VG122" s="4"/>
      <c r="VH122" s="4"/>
      <c r="VI122" s="4"/>
      <c r="VJ122" s="4"/>
      <c r="VK122" s="5"/>
      <c r="VL122" s="6"/>
      <c r="VM122" s="4"/>
      <c r="VN122" s="4"/>
      <c r="VO122" s="4"/>
      <c r="VP122" s="4"/>
      <c r="VQ122" s="4"/>
      <c r="VR122" s="5"/>
      <c r="VS122" s="6"/>
      <c r="VT122" s="4"/>
      <c r="VU122" s="4"/>
      <c r="VV122" s="4"/>
      <c r="VW122" s="4"/>
      <c r="VX122" s="4"/>
      <c r="VY122" s="5"/>
      <c r="VZ122" s="6"/>
      <c r="WA122" s="4"/>
      <c r="WB122" s="4"/>
      <c r="WC122" s="4"/>
      <c r="WD122" s="4"/>
      <c r="WE122" s="4"/>
      <c r="WF122" s="5"/>
      <c r="WG122" s="6"/>
      <c r="WH122" s="4"/>
      <c r="WI122" s="4"/>
      <c r="WJ122" s="4"/>
      <c r="WK122" s="4"/>
      <c r="WL122" s="4"/>
      <c r="WM122" s="5"/>
      <c r="WN122" s="6"/>
      <c r="WO122" s="4"/>
      <c r="WP122" s="4"/>
      <c r="WQ122" s="4"/>
      <c r="WR122" s="4"/>
      <c r="WS122" s="4"/>
      <c r="WT122" s="5"/>
      <c r="WU122" s="6"/>
      <c r="WV122" s="4"/>
      <c r="WW122" s="4"/>
      <c r="WX122" s="4"/>
      <c r="WY122" s="4"/>
      <c r="WZ122" s="4"/>
      <c r="XA122" s="5"/>
      <c r="XB122" s="6"/>
      <c r="XC122" s="4"/>
      <c r="XD122" s="4"/>
      <c r="XE122" s="4"/>
      <c r="XF122" s="4"/>
      <c r="XG122" s="4"/>
      <c r="XH122" s="5"/>
      <c r="XI122" s="6"/>
      <c r="XJ122" s="4"/>
      <c r="XK122" s="4"/>
      <c r="XL122" s="4"/>
      <c r="XM122" s="4"/>
      <c r="XN122" s="4"/>
      <c r="XO122" s="5"/>
      <c r="XP122" s="6"/>
      <c r="XQ122" s="4"/>
      <c r="XR122" s="4"/>
      <c r="XS122" s="4"/>
      <c r="XT122" s="4"/>
      <c r="XU122" s="4"/>
      <c r="XV122" s="5"/>
      <c r="XW122" s="6"/>
      <c r="XX122" s="4"/>
      <c r="XY122" s="4"/>
      <c r="XZ122" s="4"/>
      <c r="YA122" s="4"/>
      <c r="YB122" s="4"/>
      <c r="YC122" s="5"/>
      <c r="YJ122" s="5"/>
      <c r="YK122" s="6"/>
      <c r="YL122" s="7"/>
      <c r="YM122" s="4"/>
      <c r="YN122" s="7"/>
      <c r="YO122" s="8"/>
      <c r="YP122" s="8"/>
      <c r="YQ122" s="5"/>
      <c r="YR122" s="6"/>
      <c r="YS122" s="4"/>
      <c r="YT122" s="4"/>
      <c r="YU122" s="4"/>
      <c r="YV122" s="4"/>
      <c r="YW122" s="4"/>
      <c r="YX122" s="5"/>
      <c r="YY122" s="6"/>
      <c r="YZ122" s="4"/>
      <c r="ZA122" s="4"/>
      <c r="ZB122" s="4"/>
      <c r="ZC122" s="4"/>
      <c r="ZD122" s="4"/>
      <c r="ZE122" s="5"/>
      <c r="ZF122" s="6"/>
      <c r="ZG122" s="4"/>
      <c r="ZH122" s="4"/>
      <c r="ZI122" s="4"/>
      <c r="ZJ122" s="4"/>
      <c r="ZK122" s="4"/>
      <c r="ZL122" s="5"/>
      <c r="ZM122" s="6"/>
      <c r="ZN122" s="4"/>
      <c r="ZO122" s="4"/>
      <c r="ZP122" s="4"/>
      <c r="ZQ122" s="4"/>
      <c r="ZR122" s="4"/>
      <c r="ZS122" s="5"/>
      <c r="ZT122" s="6"/>
      <c r="ZU122" s="4"/>
      <c r="ZV122" s="4"/>
      <c r="ZW122" s="4"/>
      <c r="ZX122" s="4"/>
      <c r="ZY122" s="4"/>
      <c r="ZZ122" s="5"/>
      <c r="AAA122" s="6"/>
      <c r="AAB122" s="4"/>
      <c r="AAC122" s="4"/>
      <c r="AAD122" s="4"/>
      <c r="AAE122" s="4"/>
      <c r="AAF122" s="4"/>
      <c r="AAG122" s="5"/>
      <c r="AAH122" s="6"/>
      <c r="AAI122" s="4"/>
      <c r="AAJ122" s="4"/>
      <c r="AAK122" s="4"/>
      <c r="AAL122" s="4"/>
      <c r="AAM122" s="4"/>
      <c r="AAN122" s="5"/>
      <c r="AAO122" s="6"/>
      <c r="AAP122" s="4"/>
      <c r="AAQ122" s="4"/>
      <c r="AAR122" s="4"/>
      <c r="AAS122" s="4"/>
      <c r="AAT122" s="4"/>
      <c r="AAU122" s="5"/>
      <c r="AAV122" s="6"/>
      <c r="AAW122" s="4"/>
      <c r="AAX122" s="4"/>
      <c r="AAY122" s="4"/>
      <c r="AAZ122" s="4"/>
      <c r="ABA122" s="4"/>
      <c r="ABB122" s="5"/>
      <c r="ABC122" s="6"/>
      <c r="ABD122" s="4"/>
      <c r="ABE122" s="4"/>
      <c r="ABF122" s="4"/>
      <c r="ABG122" s="4"/>
      <c r="ABH122" s="4"/>
      <c r="ABI122" s="5"/>
      <c r="ABJ122" s="6"/>
      <c r="ABK122" s="4"/>
      <c r="ABL122" s="4"/>
      <c r="ABM122" s="4"/>
      <c r="ABN122" s="4"/>
      <c r="ABO122" s="4"/>
      <c r="ABP122" s="5"/>
      <c r="ABQ122" s="6"/>
      <c r="ABR122" s="4"/>
      <c r="ABS122" s="4"/>
      <c r="ABT122" s="4"/>
      <c r="ABU122" s="4"/>
      <c r="ABV122" s="4"/>
      <c r="ABW122" s="5"/>
      <c r="ABX122" s="6"/>
      <c r="ABY122" s="4"/>
      <c r="ABZ122" s="4"/>
      <c r="ACA122" s="4"/>
      <c r="ACB122" s="4"/>
      <c r="ACC122" s="4"/>
      <c r="ACD122" s="5"/>
      <c r="ACE122" s="6"/>
      <c r="ACF122" s="4"/>
      <c r="ACG122" s="4"/>
      <c r="ACH122" s="4"/>
      <c r="ACI122" s="4"/>
      <c r="ACJ122" s="4"/>
      <c r="ACK122" s="5"/>
      <c r="ACL122" s="6"/>
      <c r="ACM122" s="4"/>
      <c r="ACN122" s="4"/>
      <c r="ACO122" s="4"/>
      <c r="ACP122" s="4"/>
      <c r="ACQ122" s="4"/>
      <c r="ACR122" s="5"/>
      <c r="ACS122" s="6"/>
      <c r="ACT122" s="4"/>
      <c r="ACU122" s="4"/>
      <c r="ACV122" s="4"/>
      <c r="ACW122" s="4"/>
      <c r="ACX122" s="4"/>
      <c r="ACY122" s="5"/>
    </row>
    <row r="123" spans="2:799" x14ac:dyDescent="0.25">
      <c r="B123" s="30"/>
      <c r="J123" s="12"/>
      <c r="K123" s="12"/>
      <c r="L123" s="12"/>
      <c r="LL123" s="6"/>
      <c r="LM123" s="4"/>
      <c r="LN123" s="4"/>
      <c r="LO123" s="4"/>
      <c r="LP123" s="4"/>
      <c r="LQ123" s="4"/>
      <c r="LR123" s="5"/>
      <c r="LS123" s="6"/>
      <c r="LT123" s="4"/>
      <c r="LU123" s="4"/>
      <c r="LV123" s="4"/>
      <c r="LW123" s="4"/>
      <c r="LX123" s="4"/>
      <c r="LY123" s="5"/>
      <c r="LZ123" s="6" t="s">
        <v>723</v>
      </c>
      <c r="MA123" s="7" t="s">
        <v>2900</v>
      </c>
      <c r="MB123" s="7" t="s">
        <v>2873</v>
      </c>
      <c r="MC123" s="7" t="s">
        <v>2923</v>
      </c>
      <c r="MD123" s="8">
        <v>34963</v>
      </c>
      <c r="ME123" s="8">
        <v>34969</v>
      </c>
      <c r="MF123" s="8"/>
      <c r="MG123" s="5" t="s">
        <v>625</v>
      </c>
      <c r="MH123" s="6"/>
      <c r="MI123" s="4"/>
      <c r="MJ123" s="4"/>
      <c r="MK123" s="4"/>
      <c r="ML123" s="4"/>
      <c r="MM123" s="4"/>
      <c r="MN123" s="5"/>
      <c r="MO123" s="6"/>
      <c r="MP123" s="4"/>
      <c r="MQ123" s="4"/>
      <c r="MR123" s="4"/>
      <c r="MS123" s="4"/>
      <c r="MT123" s="4"/>
      <c r="MU123" s="5"/>
      <c r="MV123" s="6"/>
      <c r="MW123" s="4"/>
      <c r="MX123" s="4"/>
      <c r="MY123" s="4"/>
      <c r="MZ123" s="4"/>
      <c r="NA123" s="4"/>
      <c r="NB123" s="5"/>
      <c r="NC123" s="6"/>
      <c r="ND123" s="4"/>
      <c r="NE123" s="4"/>
      <c r="NF123" s="4"/>
      <c r="NG123" s="4"/>
      <c r="NH123" s="4"/>
      <c r="NI123" s="5"/>
      <c r="NJ123" s="6"/>
      <c r="NK123" s="4"/>
      <c r="NL123" s="4"/>
      <c r="NM123" s="4"/>
      <c r="NN123" s="4"/>
      <c r="NO123" s="4"/>
      <c r="NP123" s="5"/>
      <c r="NQ123" s="6"/>
      <c r="NR123" s="4"/>
      <c r="NS123" s="4"/>
      <c r="NT123" s="4"/>
      <c r="NU123" s="4"/>
      <c r="NV123" s="4"/>
      <c r="NW123" s="5"/>
      <c r="NX123" s="6"/>
      <c r="NY123" s="4"/>
      <c r="NZ123" s="4"/>
      <c r="OA123" s="4"/>
      <c r="OB123" s="4"/>
      <c r="OC123" s="4"/>
      <c r="OD123" s="5"/>
      <c r="OE123" s="6"/>
      <c r="OF123" s="4"/>
      <c r="OG123" s="4"/>
      <c r="OH123" s="4"/>
      <c r="OI123" s="4"/>
      <c r="OJ123" s="4"/>
      <c r="OK123" s="5"/>
      <c r="OL123" s="6"/>
      <c r="OM123" s="4"/>
      <c r="ON123" s="4"/>
      <c r="OO123" s="4"/>
      <c r="OP123" s="4"/>
      <c r="OQ123" s="4"/>
      <c r="OR123" s="5"/>
      <c r="OS123" s="6"/>
      <c r="OT123" s="4"/>
      <c r="OU123" s="4"/>
      <c r="OV123" s="4"/>
      <c r="OW123" s="4"/>
      <c r="OX123" s="4"/>
      <c r="OY123" s="5"/>
      <c r="OZ123" s="6"/>
      <c r="PA123" s="4"/>
      <c r="PB123" s="4"/>
      <c r="PC123" s="4"/>
      <c r="PD123" s="4"/>
      <c r="PE123" s="4"/>
      <c r="PF123" s="5"/>
      <c r="PG123" s="6"/>
      <c r="PH123" s="4"/>
      <c r="PI123" s="4"/>
      <c r="PJ123" s="4"/>
      <c r="PK123" s="4"/>
      <c r="PL123" s="4"/>
      <c r="PM123" s="5"/>
      <c r="PN123" s="6"/>
      <c r="PO123" s="4"/>
      <c r="PP123" s="4"/>
      <c r="PQ123" s="4"/>
      <c r="PR123" s="4"/>
      <c r="PS123" s="4"/>
      <c r="PT123" s="5"/>
      <c r="PU123" s="6"/>
      <c r="PV123" s="4"/>
      <c r="PW123" s="4"/>
      <c r="PX123" s="4"/>
      <c r="PY123" s="4"/>
      <c r="PZ123" s="4"/>
      <c r="QA123" s="5"/>
      <c r="QB123" s="6"/>
      <c r="QC123" s="4"/>
      <c r="QD123" s="4"/>
      <c r="QE123" s="4"/>
      <c r="QF123" s="4"/>
      <c r="QG123" s="4"/>
      <c r="QH123" s="5"/>
      <c r="QI123" s="6"/>
      <c r="QJ123" s="4"/>
      <c r="QK123" s="4"/>
      <c r="QL123" s="4"/>
      <c r="QM123" s="4"/>
      <c r="QN123" s="4"/>
      <c r="QO123" s="5"/>
      <c r="QP123" s="6"/>
      <c r="QQ123" s="4"/>
      <c r="QR123" s="4"/>
      <c r="QS123" s="4"/>
      <c r="QT123" s="4"/>
      <c r="QU123" s="4"/>
      <c r="QV123" s="5"/>
      <c r="QW123" s="6"/>
      <c r="QX123" s="4"/>
      <c r="QY123" s="4"/>
      <c r="QZ123" s="4"/>
      <c r="RA123" s="4"/>
      <c r="RB123" s="4"/>
      <c r="RC123" s="5"/>
      <c r="RD123" s="6"/>
      <c r="RE123" s="4"/>
      <c r="RF123" s="4"/>
      <c r="RG123" s="4"/>
      <c r="RH123" s="4"/>
      <c r="RI123" s="4"/>
      <c r="RJ123" s="5"/>
      <c r="RK123" s="6"/>
      <c r="RL123" s="4"/>
      <c r="RM123" s="4"/>
      <c r="RN123" s="4"/>
      <c r="RO123" s="4"/>
      <c r="RP123" s="4"/>
      <c r="RQ123" s="5"/>
      <c r="RR123" s="6"/>
      <c r="RS123" s="4"/>
      <c r="RT123" s="4"/>
      <c r="RU123" s="4"/>
      <c r="RV123" s="4"/>
      <c r="RW123" s="4"/>
      <c r="RX123" s="5"/>
      <c r="RY123" s="6"/>
      <c r="RZ123" s="4"/>
      <c r="SA123" s="4"/>
      <c r="SB123" s="4"/>
      <c r="SC123" s="4"/>
      <c r="SD123" s="4"/>
      <c r="SE123" s="5"/>
      <c r="SF123" s="6"/>
      <c r="SG123" s="4"/>
      <c r="SH123" s="4"/>
      <c r="SI123" s="4"/>
      <c r="SJ123" s="4"/>
      <c r="SK123" s="4"/>
      <c r="SL123" s="5"/>
      <c r="SM123" s="6"/>
      <c r="SN123" s="4"/>
      <c r="SO123" s="4"/>
      <c r="SP123" s="4"/>
      <c r="SQ123" s="4"/>
      <c r="SR123" s="4"/>
      <c r="SS123" s="5"/>
      <c r="ST123" s="6"/>
      <c r="SU123" s="4"/>
      <c r="SV123" s="4"/>
      <c r="SW123" s="4"/>
      <c r="SX123" s="4"/>
      <c r="SY123" s="4"/>
      <c r="SZ123" s="5"/>
      <c r="TA123" s="6"/>
      <c r="TB123" s="4"/>
      <c r="TC123" s="4"/>
      <c r="TD123" s="4"/>
      <c r="TE123" s="4"/>
      <c r="TF123" s="4"/>
      <c r="TG123" s="5"/>
      <c r="TH123" s="6"/>
      <c r="TI123" s="4"/>
      <c r="TJ123" s="4"/>
      <c r="TK123" s="4"/>
      <c r="TL123" s="4"/>
      <c r="TM123" s="4"/>
      <c r="TN123" s="5"/>
      <c r="TO123" s="6"/>
      <c r="TP123" s="4"/>
      <c r="TQ123" s="4"/>
      <c r="TR123" s="4"/>
      <c r="TS123" s="4"/>
      <c r="TT123" s="4"/>
      <c r="TU123" s="5"/>
      <c r="TV123" s="6"/>
      <c r="TW123" s="4"/>
      <c r="TX123" s="4"/>
      <c r="TY123" s="4"/>
      <c r="TZ123" s="4"/>
      <c r="UA123" s="4"/>
      <c r="UB123" s="5"/>
      <c r="UC123" s="6"/>
      <c r="UD123" s="4"/>
      <c r="UE123" s="4"/>
      <c r="UF123" s="4"/>
      <c r="UG123" s="4"/>
      <c r="UH123" s="4"/>
      <c r="UI123" s="5"/>
      <c r="UJ123" s="6"/>
      <c r="UK123" s="4"/>
      <c r="UL123" s="4"/>
      <c r="UM123" s="4"/>
      <c r="UN123" s="4"/>
      <c r="UO123" s="4"/>
      <c r="UP123" s="5"/>
      <c r="UQ123" s="6"/>
      <c r="UR123" s="4"/>
      <c r="US123" s="4"/>
      <c r="UT123" s="4"/>
      <c r="UU123" s="4"/>
      <c r="UV123" s="4"/>
      <c r="UW123" s="5"/>
      <c r="UX123" s="6"/>
      <c r="UY123" s="4"/>
      <c r="UZ123" s="4"/>
      <c r="VA123" s="4"/>
      <c r="VB123" s="4"/>
      <c r="VC123" s="4"/>
      <c r="VD123" s="5"/>
      <c r="VE123" s="6"/>
      <c r="VF123" s="4"/>
      <c r="VG123" s="4"/>
      <c r="VH123" s="4"/>
      <c r="VI123" s="4"/>
      <c r="VJ123" s="4"/>
      <c r="VK123" s="5"/>
      <c r="VL123" s="6"/>
      <c r="VM123" s="4"/>
      <c r="VN123" s="4"/>
      <c r="VO123" s="4"/>
      <c r="VP123" s="4"/>
      <c r="VQ123" s="4"/>
      <c r="VR123" s="5"/>
      <c r="VS123" s="6"/>
      <c r="VT123" s="4"/>
      <c r="VU123" s="4"/>
      <c r="VV123" s="4"/>
      <c r="VW123" s="4"/>
      <c r="VX123" s="4"/>
      <c r="VY123" s="5"/>
      <c r="VZ123" s="6"/>
      <c r="WA123" s="4"/>
      <c r="WB123" s="4"/>
      <c r="WC123" s="4"/>
      <c r="WD123" s="4"/>
      <c r="WE123" s="4"/>
      <c r="WF123" s="5"/>
      <c r="WG123" s="6"/>
      <c r="WH123" s="4"/>
      <c r="WI123" s="4"/>
      <c r="WJ123" s="4"/>
      <c r="WK123" s="4"/>
      <c r="WL123" s="4"/>
      <c r="WM123" s="5"/>
      <c r="WN123" s="6"/>
      <c r="WO123" s="4"/>
      <c r="WP123" s="4"/>
      <c r="WQ123" s="4"/>
      <c r="WR123" s="4"/>
      <c r="WS123" s="4"/>
      <c r="WT123" s="5"/>
      <c r="WU123" s="6"/>
      <c r="WV123" s="4"/>
      <c r="WW123" s="4"/>
      <c r="WX123" s="4"/>
      <c r="WY123" s="4"/>
      <c r="WZ123" s="4"/>
      <c r="XA123" s="5"/>
      <c r="XB123" s="6"/>
      <c r="XC123" s="4"/>
      <c r="XD123" s="4"/>
      <c r="XE123" s="4"/>
      <c r="XF123" s="4"/>
      <c r="XG123" s="4"/>
      <c r="XH123" s="5"/>
      <c r="XI123" s="6"/>
      <c r="XJ123" s="4"/>
      <c r="XK123" s="4"/>
      <c r="XL123" s="4"/>
      <c r="XM123" s="4"/>
      <c r="XN123" s="4"/>
      <c r="XO123" s="5"/>
      <c r="XP123" s="6"/>
      <c r="XQ123" s="4"/>
      <c r="XR123" s="4"/>
      <c r="XS123" s="4"/>
      <c r="XT123" s="4"/>
      <c r="XU123" s="4"/>
      <c r="XV123" s="5"/>
      <c r="XW123" s="6"/>
      <c r="XX123" s="4"/>
      <c r="XY123" s="4"/>
      <c r="XZ123" s="4"/>
      <c r="YA123" s="4"/>
      <c r="YB123" s="4"/>
      <c r="YC123" s="5"/>
      <c r="YJ123" s="5"/>
      <c r="YK123" s="6"/>
      <c r="YL123" s="7"/>
      <c r="YM123" s="4"/>
      <c r="YN123" s="7"/>
      <c r="YO123" s="8"/>
      <c r="YP123" s="8"/>
      <c r="YQ123" s="5"/>
      <c r="YR123" s="6"/>
      <c r="YS123" s="4"/>
      <c r="YT123" s="4"/>
      <c r="YU123" s="4"/>
      <c r="YV123" s="4"/>
      <c r="YW123" s="4"/>
      <c r="YX123" s="5"/>
      <c r="YY123" s="6"/>
      <c r="YZ123" s="4"/>
      <c r="ZA123" s="4"/>
      <c r="ZB123" s="4"/>
      <c r="ZC123" s="4"/>
      <c r="ZD123" s="4"/>
      <c r="ZE123" s="5"/>
      <c r="ZF123" s="6"/>
      <c r="ZG123" s="4"/>
      <c r="ZH123" s="4"/>
      <c r="ZI123" s="4"/>
      <c r="ZJ123" s="4"/>
      <c r="ZK123" s="4"/>
      <c r="ZL123" s="5"/>
      <c r="ZM123" s="6"/>
      <c r="ZN123" s="4"/>
      <c r="ZO123" s="4"/>
      <c r="ZP123" s="4"/>
      <c r="ZQ123" s="4"/>
      <c r="ZR123" s="4"/>
      <c r="ZS123" s="5"/>
      <c r="ZT123" s="6"/>
      <c r="ZU123" s="4"/>
      <c r="ZV123" s="4"/>
      <c r="ZW123" s="4"/>
      <c r="ZX123" s="4"/>
      <c r="ZY123" s="4"/>
      <c r="ZZ123" s="5"/>
      <c r="AAA123" s="6"/>
      <c r="AAB123" s="4"/>
      <c r="AAC123" s="4"/>
      <c r="AAD123" s="4"/>
      <c r="AAE123" s="4"/>
      <c r="AAF123" s="4"/>
      <c r="AAG123" s="5"/>
      <c r="AAH123" s="6"/>
      <c r="AAI123" s="4"/>
      <c r="AAJ123" s="4"/>
      <c r="AAK123" s="4"/>
      <c r="AAL123" s="4"/>
      <c r="AAM123" s="4"/>
      <c r="AAN123" s="5"/>
      <c r="AAO123" s="6"/>
      <c r="AAP123" s="4"/>
      <c r="AAQ123" s="4"/>
      <c r="AAR123" s="4"/>
      <c r="AAS123" s="4"/>
      <c r="AAT123" s="4"/>
      <c r="AAU123" s="5"/>
      <c r="AAV123" s="6"/>
      <c r="AAW123" s="4"/>
      <c r="AAX123" s="4"/>
      <c r="AAY123" s="4"/>
      <c r="AAZ123" s="4"/>
      <c r="ABA123" s="4"/>
      <c r="ABB123" s="5"/>
      <c r="ABC123" s="6"/>
      <c r="ABD123" s="4"/>
      <c r="ABE123" s="4"/>
      <c r="ABF123" s="4"/>
      <c r="ABG123" s="4"/>
      <c r="ABH123" s="4"/>
      <c r="ABI123" s="5"/>
      <c r="ABJ123" s="6"/>
      <c r="ABK123" s="4"/>
      <c r="ABL123" s="4"/>
      <c r="ABM123" s="4"/>
      <c r="ABN123" s="4"/>
      <c r="ABO123" s="4"/>
      <c r="ABP123" s="5"/>
      <c r="ABQ123" s="6"/>
      <c r="ABR123" s="4"/>
      <c r="ABS123" s="4"/>
      <c r="ABT123" s="4"/>
      <c r="ABU123" s="4"/>
      <c r="ABV123" s="4"/>
      <c r="ABW123" s="5"/>
      <c r="ABX123" s="6"/>
      <c r="ABY123" s="4"/>
      <c r="ABZ123" s="4"/>
      <c r="ACA123" s="4"/>
      <c r="ACB123" s="4"/>
      <c r="ACC123" s="4"/>
      <c r="ACD123" s="5"/>
      <c r="ACE123" s="6"/>
      <c r="ACF123" s="4"/>
      <c r="ACG123" s="4"/>
      <c r="ACH123" s="4"/>
      <c r="ACI123" s="4"/>
      <c r="ACJ123" s="4"/>
      <c r="ACK123" s="5"/>
      <c r="ACL123" s="6"/>
      <c r="ACM123" s="4"/>
      <c r="ACN123" s="4"/>
      <c r="ACO123" s="4"/>
      <c r="ACP123" s="4"/>
      <c r="ACQ123" s="4"/>
      <c r="ACR123" s="5"/>
      <c r="ACS123" s="6"/>
      <c r="ACT123" s="4"/>
      <c r="ACU123" s="4"/>
      <c r="ACV123" s="4"/>
      <c r="ACW123" s="4"/>
      <c r="ACX123" s="4"/>
      <c r="ACY123" s="5"/>
    </row>
    <row r="124" spans="2:799" x14ac:dyDescent="0.25">
      <c r="B124" s="30"/>
      <c r="J124" s="12"/>
      <c r="K124" s="12"/>
      <c r="L124" s="12"/>
      <c r="LL124" s="6"/>
      <c r="LM124" s="4"/>
      <c r="LN124" s="4"/>
      <c r="LO124" s="4"/>
      <c r="LP124" s="4"/>
      <c r="LQ124" s="4"/>
      <c r="LR124" s="5"/>
      <c r="LS124" s="6"/>
      <c r="LT124" s="4"/>
      <c r="LU124" s="4"/>
      <c r="LV124" s="4"/>
      <c r="LW124" s="4"/>
      <c r="LX124" s="4"/>
      <c r="LY124" s="5"/>
      <c r="LZ124" s="6" t="s">
        <v>2983</v>
      </c>
      <c r="MA124" s="7" t="s">
        <v>2983</v>
      </c>
      <c r="MB124" s="7" t="s">
        <v>2441</v>
      </c>
      <c r="MC124" s="7" t="s">
        <v>2702</v>
      </c>
      <c r="MD124" s="8">
        <v>34960</v>
      </c>
      <c r="ME124" s="8">
        <v>34961</v>
      </c>
      <c r="MF124" s="8" t="s">
        <v>678</v>
      </c>
      <c r="MG124" s="5" t="s">
        <v>626</v>
      </c>
      <c r="MH124" s="6"/>
      <c r="MI124" s="4"/>
      <c r="MJ124" s="4"/>
      <c r="MK124" s="4"/>
      <c r="ML124" s="4"/>
      <c r="MM124" s="4"/>
      <c r="MN124" s="5"/>
      <c r="MO124" s="6"/>
      <c r="MP124" s="4"/>
      <c r="MQ124" s="4"/>
      <c r="MR124" s="4"/>
      <c r="MS124" s="4"/>
      <c r="MT124" s="4"/>
      <c r="MU124" s="5"/>
      <c r="MV124" s="6"/>
      <c r="MW124" s="4"/>
      <c r="MX124" s="4"/>
      <c r="MY124" s="4"/>
      <c r="MZ124" s="4"/>
      <c r="NA124" s="4"/>
      <c r="NB124" s="5"/>
      <c r="NC124" s="6"/>
      <c r="ND124" s="4"/>
      <c r="NE124" s="4"/>
      <c r="NF124" s="4"/>
      <c r="NG124" s="4"/>
      <c r="NH124" s="4"/>
      <c r="NI124" s="5"/>
      <c r="NJ124" s="6"/>
      <c r="NK124" s="4"/>
      <c r="NL124" s="4"/>
      <c r="NM124" s="4"/>
      <c r="NN124" s="4"/>
      <c r="NO124" s="4"/>
      <c r="NP124" s="5"/>
      <c r="NQ124" s="6"/>
      <c r="NR124" s="4"/>
      <c r="NS124" s="4"/>
      <c r="NT124" s="4"/>
      <c r="NU124" s="4"/>
      <c r="NV124" s="4"/>
      <c r="NW124" s="5"/>
      <c r="NX124" s="6"/>
      <c r="NY124" s="4"/>
      <c r="NZ124" s="4"/>
      <c r="OA124" s="4"/>
      <c r="OB124" s="4"/>
      <c r="OC124" s="4"/>
      <c r="OD124" s="5"/>
      <c r="OE124" s="6"/>
      <c r="OF124" s="4"/>
      <c r="OG124" s="4"/>
      <c r="OH124" s="4"/>
      <c r="OI124" s="4"/>
      <c r="OJ124" s="4"/>
      <c r="OK124" s="5"/>
      <c r="OL124" s="6"/>
      <c r="OM124" s="4"/>
      <c r="ON124" s="4"/>
      <c r="OO124" s="4"/>
      <c r="OP124" s="4"/>
      <c r="OQ124" s="4"/>
      <c r="OR124" s="5"/>
      <c r="OS124" s="6"/>
      <c r="OT124" s="4"/>
      <c r="OU124" s="4"/>
      <c r="OV124" s="4"/>
      <c r="OW124" s="4"/>
      <c r="OX124" s="4"/>
      <c r="OY124" s="5"/>
      <c r="OZ124" s="6"/>
      <c r="PA124" s="4"/>
      <c r="PB124" s="4"/>
      <c r="PC124" s="4"/>
      <c r="PD124" s="4"/>
      <c r="PE124" s="4"/>
      <c r="PF124" s="5"/>
      <c r="PG124" s="6"/>
      <c r="PH124" s="4"/>
      <c r="PI124" s="4"/>
      <c r="PJ124" s="4"/>
      <c r="PK124" s="4"/>
      <c r="PL124" s="4"/>
      <c r="PM124" s="5"/>
      <c r="PN124" s="6"/>
      <c r="PO124" s="4"/>
      <c r="PP124" s="4"/>
      <c r="PQ124" s="4"/>
      <c r="PR124" s="4"/>
      <c r="PS124" s="4"/>
      <c r="PT124" s="5"/>
      <c r="PU124" s="6"/>
      <c r="PV124" s="4"/>
      <c r="PW124" s="4"/>
      <c r="PX124" s="4"/>
      <c r="PY124" s="4"/>
      <c r="PZ124" s="4"/>
      <c r="QA124" s="5"/>
      <c r="QB124" s="6"/>
      <c r="QC124" s="4"/>
      <c r="QD124" s="4"/>
      <c r="QE124" s="4"/>
      <c r="QF124" s="4"/>
      <c r="QG124" s="4"/>
      <c r="QH124" s="5"/>
      <c r="QI124" s="6"/>
      <c r="QJ124" s="4"/>
      <c r="QK124" s="4"/>
      <c r="QL124" s="4"/>
      <c r="QM124" s="4"/>
      <c r="QN124" s="4"/>
      <c r="QO124" s="5"/>
      <c r="QP124" s="6"/>
      <c r="QQ124" s="4"/>
      <c r="QR124" s="4"/>
      <c r="QS124" s="4"/>
      <c r="QT124" s="4"/>
      <c r="QU124" s="4"/>
      <c r="QV124" s="5"/>
      <c r="QW124" s="6"/>
      <c r="QX124" s="4"/>
      <c r="QY124" s="4"/>
      <c r="QZ124" s="4"/>
      <c r="RA124" s="4"/>
      <c r="RB124" s="4"/>
      <c r="RC124" s="5"/>
      <c r="RD124" s="6"/>
      <c r="RE124" s="4"/>
      <c r="RF124" s="4"/>
      <c r="RG124" s="4"/>
      <c r="RH124" s="4"/>
      <c r="RI124" s="4"/>
      <c r="RJ124" s="5"/>
      <c r="RK124" s="6"/>
      <c r="RL124" s="4"/>
      <c r="RM124" s="4"/>
      <c r="RN124" s="4"/>
      <c r="RO124" s="4"/>
      <c r="RP124" s="4"/>
      <c r="RQ124" s="5"/>
      <c r="RR124" s="6"/>
      <c r="RS124" s="4"/>
      <c r="RT124" s="4"/>
      <c r="RU124" s="4"/>
      <c r="RV124" s="4"/>
      <c r="RW124" s="4"/>
      <c r="RX124" s="5"/>
      <c r="RY124" s="6"/>
      <c r="RZ124" s="4"/>
      <c r="SA124" s="4"/>
      <c r="SB124" s="4"/>
      <c r="SC124" s="4"/>
      <c r="SD124" s="4"/>
      <c r="SE124" s="5"/>
      <c r="SF124" s="6"/>
      <c r="SG124" s="4"/>
      <c r="SH124" s="4"/>
      <c r="SI124" s="4"/>
      <c r="SJ124" s="4"/>
      <c r="SK124" s="4"/>
      <c r="SL124" s="5"/>
      <c r="SM124" s="6"/>
      <c r="SN124" s="4"/>
      <c r="SO124" s="4"/>
      <c r="SP124" s="4"/>
      <c r="SQ124" s="4"/>
      <c r="SR124" s="4"/>
      <c r="SS124" s="5"/>
      <c r="ST124" s="6"/>
      <c r="SU124" s="4"/>
      <c r="SV124" s="4"/>
      <c r="SW124" s="4"/>
      <c r="SX124" s="4"/>
      <c r="SY124" s="4"/>
      <c r="SZ124" s="5"/>
      <c r="TA124" s="6"/>
      <c r="TB124" s="4"/>
      <c r="TC124" s="4"/>
      <c r="TD124" s="4"/>
      <c r="TE124" s="4"/>
      <c r="TF124" s="4"/>
      <c r="TG124" s="5"/>
      <c r="TH124" s="6"/>
      <c r="TI124" s="4"/>
      <c r="TJ124" s="4"/>
      <c r="TK124" s="4"/>
      <c r="TL124" s="4"/>
      <c r="TM124" s="4"/>
      <c r="TN124" s="5"/>
      <c r="TO124" s="6"/>
      <c r="TP124" s="4"/>
      <c r="TQ124" s="4"/>
      <c r="TR124" s="4"/>
      <c r="TS124" s="4"/>
      <c r="TT124" s="4"/>
      <c r="TU124" s="5"/>
      <c r="TV124" s="6"/>
      <c r="TW124" s="4"/>
      <c r="TX124" s="4"/>
      <c r="TY124" s="4"/>
      <c r="TZ124" s="4"/>
      <c r="UA124" s="4"/>
      <c r="UB124" s="5"/>
      <c r="UC124" s="6"/>
      <c r="UD124" s="4"/>
      <c r="UE124" s="4"/>
      <c r="UF124" s="4"/>
      <c r="UG124" s="4"/>
      <c r="UH124" s="4"/>
      <c r="UI124" s="5"/>
      <c r="UJ124" s="6"/>
      <c r="UK124" s="4"/>
      <c r="UL124" s="4"/>
      <c r="UM124" s="4"/>
      <c r="UN124" s="4"/>
      <c r="UO124" s="4"/>
      <c r="UP124" s="5"/>
      <c r="UQ124" s="6"/>
      <c r="UR124" s="4"/>
      <c r="US124" s="4"/>
      <c r="UT124" s="4"/>
      <c r="UU124" s="4"/>
      <c r="UV124" s="4"/>
      <c r="UW124" s="5"/>
      <c r="UX124" s="6"/>
      <c r="UY124" s="4"/>
      <c r="UZ124" s="4"/>
      <c r="VA124" s="4"/>
      <c r="VB124" s="4"/>
      <c r="VC124" s="4"/>
      <c r="VD124" s="5"/>
      <c r="VE124" s="6"/>
      <c r="VF124" s="4"/>
      <c r="VG124" s="4"/>
      <c r="VH124" s="4"/>
      <c r="VI124" s="4"/>
      <c r="VJ124" s="4"/>
      <c r="VK124" s="5"/>
      <c r="VL124" s="6"/>
      <c r="VM124" s="4"/>
      <c r="VN124" s="4"/>
      <c r="VO124" s="4"/>
      <c r="VP124" s="4"/>
      <c r="VQ124" s="4"/>
      <c r="VR124" s="5"/>
      <c r="VS124" s="6"/>
      <c r="VT124" s="4"/>
      <c r="VU124" s="4"/>
      <c r="VV124" s="4"/>
      <c r="VW124" s="4"/>
      <c r="VX124" s="4"/>
      <c r="VY124" s="5"/>
      <c r="VZ124" s="6"/>
      <c r="WA124" s="4"/>
      <c r="WB124" s="4"/>
      <c r="WC124" s="4"/>
      <c r="WD124" s="4"/>
      <c r="WE124" s="4"/>
      <c r="WF124" s="5"/>
      <c r="WG124" s="6"/>
      <c r="WH124" s="4"/>
      <c r="WI124" s="4"/>
      <c r="WJ124" s="4"/>
      <c r="WK124" s="4"/>
      <c r="WL124" s="4"/>
      <c r="WM124" s="5"/>
      <c r="WN124" s="6"/>
      <c r="WO124" s="4"/>
      <c r="WP124" s="4"/>
      <c r="WQ124" s="4"/>
      <c r="WR124" s="4"/>
      <c r="WS124" s="4"/>
      <c r="WT124" s="5"/>
      <c r="WU124" s="6"/>
      <c r="WV124" s="4"/>
      <c r="WW124" s="4"/>
      <c r="WX124" s="4"/>
      <c r="WY124" s="4"/>
      <c r="WZ124" s="4"/>
      <c r="XA124" s="5"/>
      <c r="XB124" s="6"/>
      <c r="XC124" s="4"/>
      <c r="XD124" s="4"/>
      <c r="XE124" s="4"/>
      <c r="XF124" s="4"/>
      <c r="XG124" s="4"/>
      <c r="XH124" s="5"/>
      <c r="XI124" s="6"/>
      <c r="XJ124" s="4"/>
      <c r="XK124" s="4"/>
      <c r="XL124" s="4"/>
      <c r="XM124" s="4"/>
      <c r="XN124" s="4"/>
      <c r="XO124" s="5"/>
      <c r="XP124" s="6"/>
      <c r="XQ124" s="4"/>
      <c r="XR124" s="4"/>
      <c r="XS124" s="4"/>
      <c r="XT124" s="4"/>
      <c r="XU124" s="4"/>
      <c r="XV124" s="5"/>
      <c r="XW124" s="6"/>
      <c r="XX124" s="4"/>
      <c r="XY124" s="4"/>
      <c r="XZ124" s="4"/>
      <c r="YA124" s="4"/>
      <c r="YB124" s="4"/>
      <c r="YC124" s="5"/>
      <c r="YJ124" s="5"/>
      <c r="YK124" s="6"/>
      <c r="YL124" s="7"/>
      <c r="YM124" s="4"/>
      <c r="YN124" s="7"/>
      <c r="YO124" s="8"/>
      <c r="YP124" s="8"/>
      <c r="YQ124" s="5"/>
      <c r="YR124" s="6"/>
      <c r="YS124" s="4"/>
      <c r="YT124" s="4"/>
      <c r="YU124" s="4"/>
      <c r="YV124" s="4"/>
      <c r="YW124" s="4"/>
      <c r="YX124" s="5"/>
      <c r="YY124" s="6"/>
      <c r="YZ124" s="4"/>
      <c r="ZA124" s="4"/>
      <c r="ZB124" s="4"/>
      <c r="ZC124" s="4"/>
      <c r="ZD124" s="4"/>
      <c r="ZE124" s="5"/>
      <c r="ZF124" s="6"/>
      <c r="ZG124" s="4"/>
      <c r="ZH124" s="4"/>
      <c r="ZI124" s="4"/>
      <c r="ZJ124" s="4"/>
      <c r="ZK124" s="4"/>
      <c r="ZL124" s="5"/>
      <c r="ZM124" s="6"/>
      <c r="ZN124" s="4"/>
      <c r="ZO124" s="4"/>
      <c r="ZP124" s="4"/>
      <c r="ZQ124" s="4"/>
      <c r="ZR124" s="4"/>
      <c r="ZS124" s="5"/>
      <c r="ZT124" s="6"/>
      <c r="ZU124" s="4"/>
      <c r="ZV124" s="4"/>
      <c r="ZW124" s="4"/>
      <c r="ZX124" s="4"/>
      <c r="ZY124" s="4"/>
      <c r="ZZ124" s="5"/>
      <c r="AAA124" s="6"/>
      <c r="AAB124" s="4"/>
      <c r="AAC124" s="4"/>
      <c r="AAD124" s="4"/>
      <c r="AAE124" s="4"/>
      <c r="AAF124" s="4"/>
      <c r="AAG124" s="5"/>
      <c r="AAH124" s="6"/>
      <c r="AAI124" s="4"/>
      <c r="AAJ124" s="4"/>
      <c r="AAK124" s="4"/>
      <c r="AAL124" s="4"/>
      <c r="AAM124" s="4"/>
      <c r="AAN124" s="5"/>
      <c r="AAO124" s="6"/>
      <c r="AAP124" s="4"/>
      <c r="AAQ124" s="4"/>
      <c r="AAR124" s="4"/>
      <c r="AAS124" s="4"/>
      <c r="AAT124" s="4"/>
      <c r="AAU124" s="5"/>
      <c r="AAV124" s="6"/>
      <c r="AAW124" s="4"/>
      <c r="AAX124" s="4"/>
      <c r="AAY124" s="4"/>
      <c r="AAZ124" s="4"/>
      <c r="ABA124" s="4"/>
      <c r="ABB124" s="5"/>
      <c r="ABC124" s="6"/>
      <c r="ABD124" s="4"/>
      <c r="ABE124" s="4"/>
      <c r="ABF124" s="4"/>
      <c r="ABG124" s="4"/>
      <c r="ABH124" s="4"/>
      <c r="ABI124" s="5"/>
      <c r="ABJ124" s="6"/>
      <c r="ABK124" s="4"/>
      <c r="ABL124" s="4"/>
      <c r="ABM124" s="4"/>
      <c r="ABN124" s="4"/>
      <c r="ABO124" s="4"/>
      <c r="ABP124" s="5"/>
      <c r="ABQ124" s="6"/>
      <c r="ABR124" s="4"/>
      <c r="ABS124" s="4"/>
      <c r="ABT124" s="4"/>
      <c r="ABU124" s="4"/>
      <c r="ABV124" s="4"/>
      <c r="ABW124" s="5"/>
      <c r="ABX124" s="6"/>
      <c r="ABY124" s="4"/>
      <c r="ABZ124" s="4"/>
      <c r="ACA124" s="4"/>
      <c r="ACB124" s="4"/>
      <c r="ACC124" s="4"/>
      <c r="ACD124" s="5"/>
      <c r="ACE124" s="6"/>
      <c r="ACF124" s="4"/>
      <c r="ACG124" s="4"/>
      <c r="ACH124" s="4"/>
      <c r="ACI124" s="4"/>
      <c r="ACJ124" s="4"/>
      <c r="ACK124" s="5"/>
      <c r="ACL124" s="6"/>
      <c r="ACM124" s="4"/>
      <c r="ACN124" s="4"/>
      <c r="ACO124" s="4"/>
      <c r="ACP124" s="4"/>
      <c r="ACQ124" s="4"/>
      <c r="ACR124" s="5"/>
      <c r="ACS124" s="6"/>
      <c r="ACT124" s="4"/>
      <c r="ACU124" s="4"/>
      <c r="ACV124" s="4"/>
      <c r="ACW124" s="4"/>
      <c r="ACX124" s="4"/>
      <c r="ACY124" s="5"/>
    </row>
    <row r="125" spans="2:799" x14ac:dyDescent="0.25">
      <c r="B125" s="29">
        <v>96016528</v>
      </c>
      <c r="C125">
        <v>24</v>
      </c>
      <c r="D125" t="s">
        <v>2121</v>
      </c>
      <c r="F125" s="23" t="s">
        <v>1629</v>
      </c>
      <c r="I125">
        <v>1</v>
      </c>
      <c r="J125" s="19">
        <v>34984</v>
      </c>
      <c r="K125" s="19"/>
      <c r="L125" s="19"/>
      <c r="LL125" s="6"/>
      <c r="LM125" s="4"/>
      <c r="LN125" s="4"/>
      <c r="LO125" s="4"/>
      <c r="LP125" s="4"/>
      <c r="LQ125" s="4"/>
      <c r="LR125" s="5"/>
      <c r="LS125" s="6" t="s">
        <v>3404</v>
      </c>
      <c r="LT125" s="4" t="s">
        <v>3405</v>
      </c>
      <c r="LU125" s="4"/>
      <c r="LV125" s="4"/>
      <c r="LW125" s="4"/>
      <c r="LX125" s="4"/>
      <c r="LY125" s="5"/>
      <c r="LZ125" s="6" t="s">
        <v>3484</v>
      </c>
      <c r="MA125" s="7" t="s">
        <v>3403</v>
      </c>
      <c r="MB125" s="4"/>
      <c r="MC125" s="4"/>
      <c r="MD125" s="8"/>
      <c r="ME125" s="4"/>
      <c r="MF125" s="4"/>
      <c r="MG125" s="5"/>
      <c r="MH125" s="6"/>
      <c r="MI125" s="4"/>
      <c r="MJ125" s="4"/>
      <c r="MK125" s="4"/>
      <c r="ML125" s="4"/>
      <c r="MM125" s="4"/>
      <c r="MN125" s="5"/>
      <c r="MO125" s="6"/>
      <c r="MP125" s="4"/>
      <c r="MQ125" s="4"/>
      <c r="MR125" s="4"/>
      <c r="MS125" s="4"/>
      <c r="MT125" s="4"/>
      <c r="MU125" s="5"/>
      <c r="MV125" s="6"/>
      <c r="MW125" s="4"/>
      <c r="MX125" s="4"/>
      <c r="MY125" s="4"/>
      <c r="MZ125" s="4"/>
      <c r="NA125" s="4"/>
      <c r="NB125" s="5"/>
      <c r="NC125" s="6"/>
      <c r="ND125" s="4"/>
      <c r="NE125" s="4"/>
      <c r="NF125" s="4"/>
      <c r="NG125" s="4"/>
      <c r="NH125" s="4"/>
      <c r="NI125" s="5"/>
      <c r="NJ125" s="6"/>
      <c r="NK125" s="4"/>
      <c r="NL125" s="4"/>
      <c r="NM125" s="4"/>
      <c r="NN125" s="4"/>
      <c r="NO125" s="4"/>
      <c r="NP125" s="5"/>
      <c r="NQ125" s="6"/>
      <c r="NR125" s="4"/>
      <c r="NS125" s="4"/>
      <c r="NT125" s="4"/>
      <c r="NU125" s="4"/>
      <c r="NV125" s="4"/>
      <c r="NW125" s="5"/>
      <c r="NX125" s="6"/>
      <c r="NY125" s="4"/>
      <c r="NZ125" s="4"/>
      <c r="OA125" s="4"/>
      <c r="OB125" s="4"/>
      <c r="OC125" s="4"/>
      <c r="OD125" s="5"/>
      <c r="OE125" s="6"/>
      <c r="OF125" s="4"/>
      <c r="OG125" s="4"/>
      <c r="OH125" s="4"/>
      <c r="OI125" s="4"/>
      <c r="OJ125" s="4"/>
      <c r="OK125" s="5"/>
      <c r="OL125" s="6"/>
      <c r="OM125" s="4"/>
      <c r="ON125" s="4"/>
      <c r="OO125" s="4"/>
      <c r="OP125" s="4"/>
      <c r="OQ125" s="4"/>
      <c r="OR125" s="5"/>
      <c r="OS125" s="6"/>
      <c r="OT125" s="4"/>
      <c r="OU125" s="4"/>
      <c r="OV125" s="4"/>
      <c r="OW125" s="4"/>
      <c r="OX125" s="4"/>
      <c r="OY125" s="5"/>
      <c r="OZ125" s="6"/>
      <c r="PA125" s="4"/>
      <c r="PB125" s="4"/>
      <c r="PC125" s="4"/>
      <c r="PD125" s="4"/>
      <c r="PE125" s="4"/>
      <c r="PF125" s="5"/>
      <c r="PG125" s="6"/>
      <c r="PH125" s="4"/>
      <c r="PI125" s="4"/>
      <c r="PJ125" s="4"/>
      <c r="PK125" s="4"/>
      <c r="PL125" s="4"/>
      <c r="PM125" s="5"/>
      <c r="PN125" s="6"/>
      <c r="PO125" s="4"/>
      <c r="PP125" s="4"/>
      <c r="PQ125" s="4"/>
      <c r="PR125" s="4"/>
      <c r="PS125" s="4"/>
      <c r="PT125" s="5"/>
      <c r="PU125" s="6"/>
      <c r="PV125" s="4"/>
      <c r="PW125" s="4"/>
      <c r="PX125" s="4"/>
      <c r="PY125" s="4"/>
      <c r="PZ125" s="4"/>
      <c r="QA125" s="5"/>
      <c r="QB125" s="6"/>
      <c r="QC125" s="4"/>
      <c r="QD125" s="4"/>
      <c r="QE125" s="4"/>
      <c r="QF125" s="4"/>
      <c r="QG125" s="4"/>
      <c r="QH125" s="5"/>
      <c r="QI125" s="6"/>
      <c r="QJ125" s="4"/>
      <c r="QK125" s="4"/>
      <c r="QL125" s="4"/>
      <c r="QM125" s="4"/>
      <c r="QN125" s="4"/>
      <c r="QO125" s="5"/>
      <c r="QP125" s="6"/>
      <c r="QQ125" s="4"/>
      <c r="QR125" s="4"/>
      <c r="QS125" s="4"/>
      <c r="QT125" s="4"/>
      <c r="QU125" s="4"/>
      <c r="QV125" s="5"/>
      <c r="QW125" s="6"/>
      <c r="QX125" s="4"/>
      <c r="QY125" s="4"/>
      <c r="QZ125" s="4"/>
      <c r="RA125" s="4"/>
      <c r="RB125" s="4"/>
      <c r="RC125" s="5"/>
      <c r="RD125" s="6"/>
      <c r="RE125" s="4"/>
      <c r="RF125" s="4"/>
      <c r="RG125" s="4"/>
      <c r="RH125" s="4"/>
      <c r="RI125" s="4"/>
      <c r="RJ125" s="5"/>
      <c r="RK125" s="6"/>
      <c r="RL125" s="4"/>
      <c r="RM125" s="4"/>
      <c r="RN125" s="4"/>
      <c r="RO125" s="4"/>
      <c r="RP125" s="4"/>
      <c r="RQ125" s="5"/>
      <c r="RR125" s="6"/>
      <c r="RS125" s="4"/>
      <c r="RT125" s="4"/>
      <c r="RU125" s="4"/>
      <c r="RV125" s="4"/>
      <c r="RW125" s="4"/>
      <c r="RX125" s="5"/>
      <c r="RY125" s="6"/>
      <c r="RZ125" s="4"/>
      <c r="SA125" s="4"/>
      <c r="SB125" s="4"/>
      <c r="SC125" s="4"/>
      <c r="SD125" s="4"/>
      <c r="SE125" s="5"/>
      <c r="SF125" s="6"/>
      <c r="SG125" s="4"/>
      <c r="SH125" s="4"/>
      <c r="SI125" s="4"/>
      <c r="SJ125" s="4"/>
      <c r="SK125" s="4"/>
      <c r="SL125" s="5"/>
      <c r="SM125" s="6"/>
      <c r="SN125" s="4"/>
      <c r="SO125" s="4"/>
      <c r="SP125" s="4"/>
      <c r="SQ125" s="4"/>
      <c r="SR125" s="4"/>
      <c r="SS125" s="5"/>
      <c r="ST125" s="6"/>
      <c r="SU125" s="4"/>
      <c r="SV125" s="4"/>
      <c r="SW125" s="4"/>
      <c r="SX125" s="4"/>
      <c r="SY125" s="4"/>
      <c r="SZ125" s="5"/>
      <c r="TA125" s="6"/>
      <c r="TB125" s="4"/>
      <c r="TC125" s="4"/>
      <c r="TD125" s="4"/>
      <c r="TE125" s="4"/>
      <c r="TF125" s="4"/>
      <c r="TG125" s="5"/>
      <c r="TH125" s="6"/>
      <c r="TI125" s="4"/>
      <c r="TJ125" s="4"/>
      <c r="TK125" s="4"/>
      <c r="TL125" s="4"/>
      <c r="TM125" s="4"/>
      <c r="TN125" s="5"/>
      <c r="TO125" s="6"/>
      <c r="TP125" s="4"/>
      <c r="TQ125" s="4"/>
      <c r="TR125" s="4"/>
      <c r="TS125" s="4"/>
      <c r="TT125" s="4"/>
      <c r="TU125" s="5"/>
      <c r="TV125" s="6"/>
      <c r="TW125" s="4"/>
      <c r="TX125" s="4"/>
      <c r="TY125" s="4"/>
      <c r="TZ125" s="4"/>
      <c r="UA125" s="4"/>
      <c r="UB125" s="5"/>
      <c r="UC125" s="6"/>
      <c r="UD125" s="4"/>
      <c r="UE125" s="4"/>
      <c r="UF125" s="4"/>
      <c r="UG125" s="4"/>
      <c r="UH125" s="4"/>
      <c r="UI125" s="5"/>
      <c r="UJ125" s="6"/>
      <c r="UK125" s="4"/>
      <c r="UL125" s="4"/>
      <c r="UM125" s="4"/>
      <c r="UN125" s="4"/>
      <c r="UO125" s="4"/>
      <c r="UP125" s="5"/>
      <c r="UQ125" s="6"/>
      <c r="UR125" s="4"/>
      <c r="US125" s="4"/>
      <c r="UT125" s="4"/>
      <c r="UU125" s="4"/>
      <c r="UV125" s="4"/>
      <c r="UW125" s="5"/>
      <c r="UX125" s="6"/>
      <c r="UY125" s="4"/>
      <c r="UZ125" s="4"/>
      <c r="VA125" s="4"/>
      <c r="VB125" s="4"/>
      <c r="VC125" s="4"/>
      <c r="VD125" s="5"/>
      <c r="VE125" s="6"/>
      <c r="VF125" s="4"/>
      <c r="VG125" s="4"/>
      <c r="VH125" s="4"/>
      <c r="VI125" s="4"/>
      <c r="VJ125" s="4"/>
      <c r="VK125" s="5"/>
      <c r="VL125" s="6"/>
      <c r="VM125" s="4"/>
      <c r="VN125" s="4"/>
      <c r="VO125" s="4"/>
      <c r="VP125" s="4"/>
      <c r="VQ125" s="4"/>
      <c r="VR125" s="5"/>
      <c r="VS125" s="6"/>
      <c r="VT125" s="4"/>
      <c r="VU125" s="4"/>
      <c r="VV125" s="4"/>
      <c r="VW125" s="4"/>
      <c r="VX125" s="4"/>
      <c r="VY125" s="5"/>
      <c r="VZ125" s="6"/>
      <c r="WA125" s="4"/>
      <c r="WB125" s="4"/>
      <c r="WC125" s="4"/>
      <c r="WD125" s="4"/>
      <c r="WE125" s="4"/>
      <c r="WF125" s="5"/>
      <c r="WG125" s="6"/>
      <c r="WH125" s="4"/>
      <c r="WI125" s="4"/>
      <c r="WJ125" s="4"/>
      <c r="WK125" s="4"/>
      <c r="WL125" s="4"/>
      <c r="WM125" s="5"/>
      <c r="WN125" s="6"/>
      <c r="WO125" s="4"/>
      <c r="WP125" s="4"/>
      <c r="WQ125" s="4"/>
      <c r="WR125" s="4"/>
      <c r="WS125" s="4"/>
      <c r="WT125" s="5"/>
      <c r="WU125" s="6"/>
      <c r="WV125" s="4"/>
      <c r="WW125" s="4"/>
      <c r="WX125" s="4"/>
      <c r="WY125" s="4"/>
      <c r="WZ125" s="4"/>
      <c r="XA125" s="5"/>
      <c r="XB125" s="6"/>
      <c r="XC125" s="4"/>
      <c r="XD125" s="4"/>
      <c r="XE125" s="4"/>
      <c r="XF125" s="4"/>
      <c r="XG125" s="4"/>
      <c r="XH125" s="5"/>
      <c r="XI125" s="6"/>
      <c r="XJ125" s="4"/>
      <c r="XK125" s="4"/>
      <c r="XL125" s="4"/>
      <c r="XM125" s="4"/>
      <c r="XN125" s="4"/>
      <c r="XO125" s="5"/>
      <c r="XP125" s="6"/>
      <c r="XQ125" s="4"/>
      <c r="XR125" s="4"/>
      <c r="XS125" s="4"/>
      <c r="XT125" s="4"/>
      <c r="XU125" s="4"/>
      <c r="XV125" s="5"/>
      <c r="XW125" s="6"/>
      <c r="XX125" s="4"/>
      <c r="XY125" s="4"/>
      <c r="XZ125" s="4"/>
      <c r="YA125" s="4"/>
      <c r="YB125" s="4"/>
      <c r="YC125" s="5"/>
      <c r="YD125" s="6"/>
      <c r="YE125" s="4"/>
      <c r="YF125" s="4"/>
      <c r="YG125" s="4"/>
      <c r="YH125" s="4"/>
      <c r="YI125" s="4"/>
      <c r="YJ125" s="5"/>
      <c r="YK125" s="6"/>
      <c r="YL125" s="4"/>
      <c r="YM125" s="4"/>
      <c r="YN125" s="4"/>
      <c r="YO125" s="4"/>
      <c r="YP125" s="4"/>
      <c r="YQ125" s="5"/>
      <c r="YR125" s="6"/>
      <c r="YS125" s="4"/>
      <c r="YT125" s="4"/>
      <c r="YU125" s="4"/>
      <c r="YV125" s="4"/>
      <c r="YW125" s="4"/>
      <c r="YX125" s="5"/>
      <c r="YY125" s="6"/>
      <c r="YZ125" s="4"/>
      <c r="ZA125" s="4"/>
      <c r="ZB125" s="4"/>
      <c r="ZC125" s="4"/>
      <c r="ZD125" s="4"/>
      <c r="ZE125" s="5"/>
      <c r="ZF125" s="6"/>
      <c r="ZG125" s="4"/>
      <c r="ZH125" s="4"/>
      <c r="ZI125" s="4"/>
      <c r="ZJ125" s="4"/>
      <c r="ZK125" s="4"/>
      <c r="ZL125" s="5"/>
      <c r="ZM125" s="6"/>
      <c r="ZN125" s="4"/>
      <c r="ZO125" s="4"/>
      <c r="ZP125" s="4"/>
      <c r="ZQ125" s="4"/>
      <c r="ZR125" s="4"/>
      <c r="ZS125" s="5"/>
      <c r="ZT125" s="6"/>
      <c r="ZU125" s="4"/>
      <c r="ZV125" s="4"/>
      <c r="ZW125" s="4"/>
      <c r="ZX125" s="4"/>
      <c r="ZY125" s="4"/>
      <c r="ZZ125" s="5"/>
      <c r="AAA125" s="6"/>
      <c r="AAB125" s="4"/>
      <c r="AAC125" s="4"/>
      <c r="AAD125" s="4"/>
      <c r="AAE125" s="4"/>
      <c r="AAF125" s="4"/>
      <c r="AAG125" s="5"/>
      <c r="AAH125" s="6"/>
      <c r="AAI125" s="4"/>
      <c r="AAJ125" s="4"/>
      <c r="AAK125" s="4"/>
      <c r="AAL125" s="4"/>
      <c r="AAM125" s="4"/>
      <c r="AAN125" s="5"/>
      <c r="AAO125" s="6"/>
      <c r="AAP125" s="4"/>
      <c r="AAQ125" s="4"/>
      <c r="AAR125" s="4"/>
      <c r="AAS125" s="4"/>
      <c r="AAT125" s="4"/>
      <c r="AAU125" s="5"/>
      <c r="AAV125" s="6"/>
      <c r="AAW125" s="4"/>
      <c r="AAX125" s="4"/>
      <c r="AAY125" s="4"/>
      <c r="AAZ125" s="4"/>
      <c r="ABA125" s="4"/>
      <c r="ABB125" s="5"/>
      <c r="ABC125" s="6"/>
      <c r="ABD125" s="4"/>
      <c r="ABE125" s="4"/>
      <c r="ABF125" s="4"/>
      <c r="ABG125" s="4"/>
      <c r="ABH125" s="4"/>
      <c r="ABI125" s="5"/>
      <c r="ABJ125" s="6"/>
      <c r="ABK125" s="4"/>
      <c r="ABL125" s="4"/>
      <c r="ABM125" s="4"/>
      <c r="ABN125" s="4"/>
      <c r="ABO125" s="4"/>
      <c r="ABP125" s="5"/>
      <c r="ABQ125" s="6"/>
      <c r="ABR125" s="4"/>
      <c r="ABS125" s="4"/>
      <c r="ABT125" s="4"/>
      <c r="ABU125" s="4"/>
      <c r="ABV125" s="4"/>
      <c r="ABW125" s="5"/>
      <c r="ABX125" s="6"/>
      <c r="ABY125" s="4"/>
      <c r="ABZ125" s="4"/>
      <c r="ACA125" s="4"/>
      <c r="ACB125" s="4"/>
      <c r="ACC125" s="4"/>
      <c r="ACD125" s="5"/>
      <c r="ACE125" s="6"/>
      <c r="ACF125" s="4"/>
      <c r="ACG125" s="4"/>
      <c r="ACH125" s="4"/>
      <c r="ACI125" s="4"/>
      <c r="ACJ125" s="4"/>
      <c r="ACK125" s="5"/>
      <c r="ACL125" s="6"/>
      <c r="ACM125" s="4"/>
      <c r="ACN125" s="4"/>
      <c r="ACO125" s="4"/>
      <c r="ACP125" s="4"/>
      <c r="ACQ125" s="4"/>
      <c r="ACR125" s="5"/>
      <c r="ACS125" s="6"/>
      <c r="ACT125" s="4"/>
      <c r="ACU125" s="4"/>
      <c r="ACV125" s="4"/>
      <c r="ACW125" s="4"/>
      <c r="ACX125" s="4"/>
      <c r="ACY125" s="5"/>
    </row>
    <row r="126" spans="2:799" x14ac:dyDescent="0.25">
      <c r="B126" s="30"/>
      <c r="J126" s="12"/>
      <c r="K126" s="12"/>
      <c r="L126" s="12"/>
      <c r="LL126" s="6"/>
      <c r="LM126" s="4"/>
      <c r="LN126" s="4"/>
      <c r="LO126" s="4"/>
      <c r="LP126" s="4"/>
      <c r="LQ126" s="4"/>
      <c r="LR126" s="5"/>
      <c r="LS126" s="6"/>
      <c r="LT126" s="4"/>
      <c r="LU126" s="4"/>
      <c r="LV126" s="4"/>
      <c r="LW126" s="4"/>
      <c r="LX126" s="4"/>
      <c r="LY126" s="5"/>
      <c r="LZ126" s="6" t="s">
        <v>2290</v>
      </c>
      <c r="MA126" s="7" t="s">
        <v>2234</v>
      </c>
      <c r="MB126" s="4"/>
      <c r="MC126" s="4"/>
      <c r="MD126" s="8"/>
      <c r="ME126" s="4"/>
      <c r="MF126" s="4"/>
      <c r="MG126" s="5"/>
      <c r="MH126" s="6"/>
      <c r="MI126" s="4"/>
      <c r="MJ126" s="4"/>
      <c r="MK126" s="4"/>
      <c r="ML126" s="4"/>
      <c r="MM126" s="4"/>
      <c r="MN126" s="5"/>
      <c r="MO126" s="6"/>
      <c r="MP126" s="4"/>
      <c r="MQ126" s="4"/>
      <c r="MR126" s="4"/>
      <c r="MS126" s="4"/>
      <c r="MT126" s="4"/>
      <c r="MU126" s="5"/>
      <c r="MV126" s="6"/>
      <c r="MW126" s="4"/>
      <c r="MX126" s="4"/>
      <c r="MY126" s="4"/>
      <c r="MZ126" s="4"/>
      <c r="NA126" s="4"/>
      <c r="NB126" s="5"/>
      <c r="NC126" s="6"/>
      <c r="ND126" s="4"/>
      <c r="NE126" s="4"/>
      <c r="NF126" s="4"/>
      <c r="NG126" s="4"/>
      <c r="NH126" s="4"/>
      <c r="NI126" s="5"/>
      <c r="NJ126" s="6"/>
      <c r="NK126" s="4"/>
      <c r="NL126" s="4"/>
      <c r="NM126" s="4"/>
      <c r="NN126" s="4"/>
      <c r="NO126" s="4"/>
      <c r="NP126" s="5"/>
      <c r="NQ126" s="6"/>
      <c r="NR126" s="4"/>
      <c r="NS126" s="4"/>
      <c r="NT126" s="4"/>
      <c r="NU126" s="4"/>
      <c r="NV126" s="4"/>
      <c r="NW126" s="5"/>
      <c r="NX126" s="6"/>
      <c r="NY126" s="4"/>
      <c r="NZ126" s="4"/>
      <c r="OA126" s="4"/>
      <c r="OB126" s="4"/>
      <c r="OC126" s="4"/>
      <c r="OD126" s="5"/>
      <c r="OE126" s="6"/>
      <c r="OF126" s="4"/>
      <c r="OG126" s="4"/>
      <c r="OH126" s="4"/>
      <c r="OI126" s="4"/>
      <c r="OJ126" s="4"/>
      <c r="OK126" s="5"/>
      <c r="OL126" s="6"/>
      <c r="OM126" s="4"/>
      <c r="ON126" s="4"/>
      <c r="OO126" s="4"/>
      <c r="OP126" s="4"/>
      <c r="OQ126" s="4"/>
      <c r="OR126" s="5"/>
      <c r="OS126" s="6"/>
      <c r="OT126" s="4"/>
      <c r="OU126" s="4"/>
      <c r="OV126" s="4"/>
      <c r="OW126" s="4"/>
      <c r="OX126" s="4"/>
      <c r="OY126" s="5"/>
      <c r="OZ126" s="6"/>
      <c r="PA126" s="4"/>
      <c r="PB126" s="4"/>
      <c r="PC126" s="4"/>
      <c r="PD126" s="4"/>
      <c r="PE126" s="4"/>
      <c r="PF126" s="5"/>
      <c r="PG126" s="6"/>
      <c r="PH126" s="4"/>
      <c r="PI126" s="4"/>
      <c r="PJ126" s="4"/>
      <c r="PK126" s="4"/>
      <c r="PL126" s="4"/>
      <c r="PM126" s="5"/>
      <c r="PN126" s="6"/>
      <c r="PO126" s="4"/>
      <c r="PP126" s="4"/>
      <c r="PQ126" s="4"/>
      <c r="PR126" s="4"/>
      <c r="PS126" s="4"/>
      <c r="PT126" s="5"/>
      <c r="PU126" s="6"/>
      <c r="PV126" s="4"/>
      <c r="PW126" s="4"/>
      <c r="PX126" s="4"/>
      <c r="PY126" s="4"/>
      <c r="PZ126" s="4"/>
      <c r="QA126" s="5"/>
      <c r="QB126" s="6"/>
      <c r="QC126" s="4"/>
      <c r="QD126" s="4"/>
      <c r="QE126" s="4"/>
      <c r="QF126" s="4"/>
      <c r="QG126" s="4"/>
      <c r="QH126" s="5"/>
      <c r="QI126" s="6"/>
      <c r="QJ126" s="4"/>
      <c r="QK126" s="4"/>
      <c r="QL126" s="4"/>
      <c r="QM126" s="4"/>
      <c r="QN126" s="4"/>
      <c r="QO126" s="5"/>
      <c r="QP126" s="6"/>
      <c r="QQ126" s="4"/>
      <c r="QR126" s="4"/>
      <c r="QS126" s="4"/>
      <c r="QT126" s="4"/>
      <c r="QU126" s="4"/>
      <c r="QV126" s="5"/>
      <c r="QW126" s="6"/>
      <c r="QX126" s="4"/>
      <c r="QY126" s="4"/>
      <c r="QZ126" s="4"/>
      <c r="RA126" s="4"/>
      <c r="RB126" s="4"/>
      <c r="RC126" s="5"/>
      <c r="RD126" s="6"/>
      <c r="RE126" s="4"/>
      <c r="RF126" s="4"/>
      <c r="RG126" s="4"/>
      <c r="RH126" s="4"/>
      <c r="RI126" s="4"/>
      <c r="RJ126" s="5"/>
      <c r="RK126" s="6"/>
      <c r="RL126" s="4"/>
      <c r="RM126" s="4"/>
      <c r="RN126" s="4"/>
      <c r="RO126" s="4"/>
      <c r="RP126" s="4"/>
      <c r="RQ126" s="5"/>
      <c r="RR126" s="6"/>
      <c r="RS126" s="4"/>
      <c r="RT126" s="4"/>
      <c r="RU126" s="4"/>
      <c r="RV126" s="4"/>
      <c r="RW126" s="4"/>
      <c r="RX126" s="5"/>
      <c r="RY126" s="6"/>
      <c r="RZ126" s="4"/>
      <c r="SA126" s="4"/>
      <c r="SB126" s="4"/>
      <c r="SC126" s="4"/>
      <c r="SD126" s="4"/>
      <c r="SE126" s="5"/>
      <c r="SF126" s="6"/>
      <c r="SG126" s="4"/>
      <c r="SH126" s="4"/>
      <c r="SI126" s="4"/>
      <c r="SJ126" s="4"/>
      <c r="SK126" s="4"/>
      <c r="SL126" s="5"/>
      <c r="SM126" s="6"/>
      <c r="SN126" s="4"/>
      <c r="SO126" s="4"/>
      <c r="SP126" s="4"/>
      <c r="SQ126" s="4"/>
      <c r="SR126" s="4"/>
      <c r="SS126" s="5"/>
      <c r="ST126" s="6"/>
      <c r="SU126" s="4"/>
      <c r="SV126" s="4"/>
      <c r="SW126" s="4"/>
      <c r="SX126" s="4"/>
      <c r="SY126" s="4"/>
      <c r="SZ126" s="5"/>
      <c r="TA126" s="6"/>
      <c r="TB126" s="4"/>
      <c r="TC126" s="4"/>
      <c r="TD126" s="4"/>
      <c r="TE126" s="4"/>
      <c r="TF126" s="4"/>
      <c r="TG126" s="5"/>
      <c r="TH126" s="6"/>
      <c r="TI126" s="4"/>
      <c r="TJ126" s="4"/>
      <c r="TK126" s="4"/>
      <c r="TL126" s="4"/>
      <c r="TM126" s="4"/>
      <c r="TN126" s="5"/>
      <c r="TO126" s="6"/>
      <c r="TP126" s="4"/>
      <c r="TQ126" s="4"/>
      <c r="TR126" s="4"/>
      <c r="TS126" s="4"/>
      <c r="TT126" s="4"/>
      <c r="TU126" s="5"/>
      <c r="TV126" s="6"/>
      <c r="TW126" s="4"/>
      <c r="TX126" s="4"/>
      <c r="TY126" s="4"/>
      <c r="TZ126" s="4"/>
      <c r="UA126" s="4"/>
      <c r="UB126" s="5"/>
      <c r="UC126" s="6"/>
      <c r="UD126" s="4"/>
      <c r="UE126" s="4"/>
      <c r="UF126" s="4"/>
      <c r="UG126" s="4"/>
      <c r="UH126" s="4"/>
      <c r="UI126" s="5"/>
      <c r="UJ126" s="6"/>
      <c r="UK126" s="4"/>
      <c r="UL126" s="4"/>
      <c r="UM126" s="4"/>
      <c r="UN126" s="4"/>
      <c r="UO126" s="4"/>
      <c r="UP126" s="5"/>
      <c r="UQ126" s="6"/>
      <c r="UR126" s="4"/>
      <c r="US126" s="4"/>
      <c r="UT126" s="4"/>
      <c r="UU126" s="4"/>
      <c r="UV126" s="4"/>
      <c r="UW126" s="5"/>
      <c r="UX126" s="6"/>
      <c r="UY126" s="4"/>
      <c r="UZ126" s="4"/>
      <c r="VA126" s="4"/>
      <c r="VB126" s="4"/>
      <c r="VC126" s="4"/>
      <c r="VD126" s="5"/>
      <c r="VE126" s="6"/>
      <c r="VF126" s="4"/>
      <c r="VG126" s="4"/>
      <c r="VH126" s="4"/>
      <c r="VI126" s="4"/>
      <c r="VJ126" s="4"/>
      <c r="VK126" s="5"/>
      <c r="VL126" s="6"/>
      <c r="VM126" s="4"/>
      <c r="VN126" s="4"/>
      <c r="VO126" s="4"/>
      <c r="VP126" s="4"/>
      <c r="VQ126" s="4"/>
      <c r="VR126" s="5"/>
      <c r="VS126" s="6"/>
      <c r="VT126" s="4"/>
      <c r="VU126" s="4"/>
      <c r="VV126" s="4"/>
      <c r="VW126" s="4"/>
      <c r="VX126" s="4"/>
      <c r="VY126" s="5"/>
      <c r="VZ126" s="6"/>
      <c r="WA126" s="4"/>
      <c r="WB126" s="4"/>
      <c r="WC126" s="4"/>
      <c r="WD126" s="4"/>
      <c r="WE126" s="4"/>
      <c r="WF126" s="5"/>
      <c r="WG126" s="6"/>
      <c r="WH126" s="4"/>
      <c r="WI126" s="4"/>
      <c r="WJ126" s="4"/>
      <c r="WK126" s="4"/>
      <c r="WL126" s="4"/>
      <c r="WM126" s="5"/>
      <c r="WN126" s="6"/>
      <c r="WO126" s="4"/>
      <c r="WP126" s="4"/>
      <c r="WQ126" s="4"/>
      <c r="WR126" s="4"/>
      <c r="WS126" s="4"/>
      <c r="WT126" s="5"/>
      <c r="WU126" s="6"/>
      <c r="WV126" s="4"/>
      <c r="WW126" s="4"/>
      <c r="WX126" s="4"/>
      <c r="WY126" s="4"/>
      <c r="WZ126" s="4"/>
      <c r="XA126" s="5"/>
      <c r="XB126" s="6"/>
      <c r="XC126" s="4"/>
      <c r="XD126" s="4"/>
      <c r="XE126" s="4"/>
      <c r="XF126" s="4"/>
      <c r="XG126" s="4"/>
      <c r="XH126" s="5"/>
      <c r="XI126" s="6"/>
      <c r="XJ126" s="4"/>
      <c r="XK126" s="4"/>
      <c r="XL126" s="4"/>
      <c r="XM126" s="4"/>
      <c r="XN126" s="4"/>
      <c r="XO126" s="5"/>
      <c r="XP126" s="6"/>
      <c r="XQ126" s="4"/>
      <c r="XR126" s="4"/>
      <c r="XS126" s="4"/>
      <c r="XT126" s="4"/>
      <c r="XU126" s="4"/>
      <c r="XV126" s="5"/>
      <c r="XW126" s="6"/>
      <c r="XX126" s="4"/>
      <c r="XY126" s="4"/>
      <c r="XZ126" s="4"/>
      <c r="YA126" s="4"/>
      <c r="YB126" s="4"/>
      <c r="YC126" s="5"/>
      <c r="YD126" s="6"/>
      <c r="YE126" s="4"/>
      <c r="YF126" s="4"/>
      <c r="YG126" s="4"/>
      <c r="YH126" s="4"/>
      <c r="YI126" s="4"/>
      <c r="YJ126" s="5"/>
      <c r="YK126" s="6"/>
      <c r="YL126" s="4"/>
      <c r="YM126" s="4"/>
      <c r="YN126" s="4"/>
      <c r="YO126" s="4"/>
      <c r="YP126" s="4"/>
      <c r="YQ126" s="5"/>
      <c r="YR126" s="6"/>
      <c r="YS126" s="4"/>
      <c r="YT126" s="4"/>
      <c r="YU126" s="4"/>
      <c r="YV126" s="4"/>
      <c r="YW126" s="4"/>
      <c r="YX126" s="5"/>
      <c r="YY126" s="6"/>
      <c r="YZ126" s="4"/>
      <c r="ZA126" s="4"/>
      <c r="ZB126" s="4"/>
      <c r="ZC126" s="4"/>
      <c r="ZD126" s="4"/>
      <c r="ZE126" s="5"/>
      <c r="ZF126" s="6"/>
      <c r="ZG126" s="4"/>
      <c r="ZH126" s="4"/>
      <c r="ZI126" s="4"/>
      <c r="ZJ126" s="4"/>
      <c r="ZK126" s="4"/>
      <c r="ZL126" s="5"/>
      <c r="ZM126" s="6"/>
      <c r="ZN126" s="4"/>
      <c r="ZO126" s="4"/>
      <c r="ZP126" s="4"/>
      <c r="ZQ126" s="4"/>
      <c r="ZR126" s="4"/>
      <c r="ZS126" s="5"/>
      <c r="ZT126" s="6"/>
      <c r="ZU126" s="4"/>
      <c r="ZV126" s="4"/>
      <c r="ZW126" s="4"/>
      <c r="ZX126" s="4"/>
      <c r="ZY126" s="4"/>
      <c r="ZZ126" s="5"/>
      <c r="AAA126" s="6"/>
      <c r="AAB126" s="4"/>
      <c r="AAC126" s="4"/>
      <c r="AAD126" s="4"/>
      <c r="AAE126" s="4"/>
      <c r="AAF126" s="4"/>
      <c r="AAG126" s="5"/>
      <c r="AAH126" s="6"/>
      <c r="AAI126" s="4"/>
      <c r="AAJ126" s="4"/>
      <c r="AAK126" s="4"/>
      <c r="AAL126" s="4"/>
      <c r="AAM126" s="4"/>
      <c r="AAN126" s="5"/>
      <c r="AAO126" s="6"/>
      <c r="AAP126" s="4"/>
      <c r="AAQ126" s="4"/>
      <c r="AAR126" s="4"/>
      <c r="AAS126" s="4"/>
      <c r="AAT126" s="4"/>
      <c r="AAU126" s="5"/>
      <c r="AAV126" s="6"/>
      <c r="AAW126" s="4"/>
      <c r="AAX126" s="4"/>
      <c r="AAY126" s="4"/>
      <c r="AAZ126" s="4"/>
      <c r="ABA126" s="4"/>
      <c r="ABB126" s="5"/>
      <c r="ABC126" s="6"/>
      <c r="ABD126" s="4"/>
      <c r="ABE126" s="4"/>
      <c r="ABF126" s="4"/>
      <c r="ABG126" s="4"/>
      <c r="ABH126" s="4"/>
      <c r="ABI126" s="5"/>
      <c r="ABJ126" s="6"/>
      <c r="ABK126" s="4"/>
      <c r="ABL126" s="4"/>
      <c r="ABM126" s="4"/>
      <c r="ABN126" s="4"/>
      <c r="ABO126" s="4"/>
      <c r="ABP126" s="5"/>
      <c r="ABQ126" s="6"/>
      <c r="ABR126" s="4"/>
      <c r="ABS126" s="4"/>
      <c r="ABT126" s="4"/>
      <c r="ABU126" s="4"/>
      <c r="ABV126" s="4"/>
      <c r="ABW126" s="5"/>
      <c r="ABX126" s="6"/>
      <c r="ABY126" s="4"/>
      <c r="ABZ126" s="4"/>
      <c r="ACA126" s="4"/>
      <c r="ACB126" s="4"/>
      <c r="ACC126" s="4"/>
      <c r="ACD126" s="5"/>
      <c r="ACE126" s="6"/>
      <c r="ACF126" s="4"/>
      <c r="ACG126" s="4"/>
      <c r="ACH126" s="4"/>
      <c r="ACI126" s="4"/>
      <c r="ACJ126" s="4"/>
      <c r="ACK126" s="5"/>
      <c r="ACL126" s="6"/>
      <c r="ACM126" s="4"/>
      <c r="ACN126" s="4"/>
      <c r="ACO126" s="4"/>
      <c r="ACP126" s="4"/>
      <c r="ACQ126" s="4"/>
      <c r="ACR126" s="5"/>
      <c r="ACS126" s="6"/>
      <c r="ACT126" s="4"/>
      <c r="ACU126" s="4"/>
      <c r="ACV126" s="4"/>
      <c r="ACW126" s="4"/>
      <c r="ACX126" s="4"/>
      <c r="ACY126" s="5"/>
    </row>
    <row r="127" spans="2:799" x14ac:dyDescent="0.25">
      <c r="B127" s="30"/>
      <c r="J127" s="12"/>
      <c r="K127" s="12"/>
      <c r="L127" s="12"/>
      <c r="LL127" s="6"/>
      <c r="LM127" s="4"/>
      <c r="LN127" s="4"/>
      <c r="LO127" s="4"/>
      <c r="LP127" s="4"/>
      <c r="LQ127" s="4"/>
      <c r="LR127" s="5"/>
      <c r="LS127" s="6"/>
      <c r="LT127" s="4"/>
      <c r="LU127" s="4"/>
      <c r="LV127" s="4"/>
      <c r="LW127" s="4"/>
      <c r="LX127" s="4"/>
      <c r="LY127" s="5"/>
      <c r="LZ127" s="6" t="s">
        <v>2212</v>
      </c>
      <c r="MA127" s="7" t="s">
        <v>2900</v>
      </c>
      <c r="MB127" s="4"/>
      <c r="MC127" s="4"/>
      <c r="MD127" s="8"/>
      <c r="ME127" s="4"/>
      <c r="MF127" s="4"/>
      <c r="MG127" s="5" t="s">
        <v>2884</v>
      </c>
      <c r="MH127" s="6"/>
      <c r="MI127" s="4"/>
      <c r="MJ127" s="4"/>
      <c r="MK127" s="4"/>
      <c r="ML127" s="4"/>
      <c r="MM127" s="4"/>
      <c r="MN127" s="5"/>
      <c r="MO127" s="6"/>
      <c r="MP127" s="4"/>
      <c r="MQ127" s="4"/>
      <c r="MR127" s="4"/>
      <c r="MS127" s="4"/>
      <c r="MT127" s="4"/>
      <c r="MU127" s="5"/>
      <c r="MV127" s="6"/>
      <c r="MW127" s="4"/>
      <c r="MX127" s="4"/>
      <c r="MY127" s="4"/>
      <c r="MZ127" s="4"/>
      <c r="NA127" s="4"/>
      <c r="NB127" s="5"/>
      <c r="NC127" s="6"/>
      <c r="ND127" s="4"/>
      <c r="NE127" s="4"/>
      <c r="NF127" s="4"/>
      <c r="NG127" s="4"/>
      <c r="NH127" s="4"/>
      <c r="NI127" s="5"/>
      <c r="NJ127" s="6"/>
      <c r="NK127" s="4"/>
      <c r="NL127" s="4"/>
      <c r="NM127" s="4"/>
      <c r="NN127" s="4"/>
      <c r="NO127" s="4"/>
      <c r="NP127" s="5"/>
      <c r="NQ127" s="6"/>
      <c r="NR127" s="4"/>
      <c r="NS127" s="4"/>
      <c r="NT127" s="4"/>
      <c r="NU127" s="4"/>
      <c r="NV127" s="4"/>
      <c r="NW127" s="5"/>
      <c r="NX127" s="6"/>
      <c r="NY127" s="4"/>
      <c r="NZ127" s="4"/>
      <c r="OA127" s="4"/>
      <c r="OB127" s="4"/>
      <c r="OC127" s="4"/>
      <c r="OD127" s="5"/>
      <c r="OE127" s="6"/>
      <c r="OF127" s="4"/>
      <c r="OG127" s="4"/>
      <c r="OH127" s="4"/>
      <c r="OI127" s="4"/>
      <c r="OJ127" s="4"/>
      <c r="OK127" s="5"/>
      <c r="OL127" s="6"/>
      <c r="OM127" s="4"/>
      <c r="ON127" s="4"/>
      <c r="OO127" s="4"/>
      <c r="OP127" s="4"/>
      <c r="OQ127" s="4"/>
      <c r="OR127" s="5"/>
      <c r="OS127" s="6"/>
      <c r="OT127" s="4"/>
      <c r="OU127" s="4"/>
      <c r="OV127" s="4"/>
      <c r="OW127" s="4"/>
      <c r="OX127" s="4"/>
      <c r="OY127" s="5"/>
      <c r="OZ127" s="6"/>
      <c r="PA127" s="4"/>
      <c r="PB127" s="4"/>
      <c r="PC127" s="4"/>
      <c r="PD127" s="4"/>
      <c r="PE127" s="4"/>
      <c r="PF127" s="5"/>
      <c r="PG127" s="6"/>
      <c r="PH127" s="4"/>
      <c r="PI127" s="4"/>
      <c r="PJ127" s="4"/>
      <c r="PK127" s="4"/>
      <c r="PL127" s="4"/>
      <c r="PM127" s="5"/>
      <c r="PN127" s="6"/>
      <c r="PO127" s="4"/>
      <c r="PP127" s="4"/>
      <c r="PQ127" s="4"/>
      <c r="PR127" s="4"/>
      <c r="PS127" s="4"/>
      <c r="PT127" s="5"/>
      <c r="PU127" s="6"/>
      <c r="PV127" s="4"/>
      <c r="PW127" s="4"/>
      <c r="PX127" s="4"/>
      <c r="PY127" s="4"/>
      <c r="PZ127" s="4"/>
      <c r="QA127" s="5"/>
      <c r="QB127" s="6"/>
      <c r="QC127" s="4"/>
      <c r="QD127" s="4"/>
      <c r="QE127" s="4"/>
      <c r="QF127" s="4"/>
      <c r="QG127" s="4"/>
      <c r="QH127" s="5"/>
      <c r="QI127" s="6"/>
      <c r="QJ127" s="4"/>
      <c r="QK127" s="4"/>
      <c r="QL127" s="4"/>
      <c r="QM127" s="4"/>
      <c r="QN127" s="4"/>
      <c r="QO127" s="5"/>
      <c r="QP127" s="6"/>
      <c r="QQ127" s="4"/>
      <c r="QR127" s="4"/>
      <c r="QS127" s="4"/>
      <c r="QT127" s="4"/>
      <c r="QU127" s="4"/>
      <c r="QV127" s="5"/>
      <c r="QW127" s="6"/>
      <c r="QX127" s="4"/>
      <c r="QY127" s="4"/>
      <c r="QZ127" s="4"/>
      <c r="RA127" s="4"/>
      <c r="RB127" s="4"/>
      <c r="RC127" s="5"/>
      <c r="RD127" s="6"/>
      <c r="RE127" s="4"/>
      <c r="RF127" s="4"/>
      <c r="RG127" s="4"/>
      <c r="RH127" s="4"/>
      <c r="RI127" s="4"/>
      <c r="RJ127" s="5"/>
      <c r="RK127" s="6"/>
      <c r="RL127" s="4"/>
      <c r="RM127" s="4"/>
      <c r="RN127" s="4"/>
      <c r="RO127" s="4"/>
      <c r="RP127" s="4"/>
      <c r="RQ127" s="5"/>
      <c r="RR127" s="6"/>
      <c r="RS127" s="4"/>
      <c r="RT127" s="4"/>
      <c r="RU127" s="4"/>
      <c r="RV127" s="4"/>
      <c r="RW127" s="4"/>
      <c r="RX127" s="5"/>
      <c r="RY127" s="6"/>
      <c r="RZ127" s="4"/>
      <c r="SA127" s="4"/>
      <c r="SB127" s="4"/>
      <c r="SC127" s="4"/>
      <c r="SD127" s="4"/>
      <c r="SE127" s="5"/>
      <c r="SF127" s="6"/>
      <c r="SG127" s="4"/>
      <c r="SH127" s="4"/>
      <c r="SI127" s="4"/>
      <c r="SJ127" s="4"/>
      <c r="SK127" s="4"/>
      <c r="SL127" s="5"/>
      <c r="SM127" s="6"/>
      <c r="SN127" s="4"/>
      <c r="SO127" s="4"/>
      <c r="SP127" s="4"/>
      <c r="SQ127" s="4"/>
      <c r="SR127" s="4"/>
      <c r="SS127" s="5"/>
      <c r="ST127" s="6"/>
      <c r="SU127" s="4"/>
      <c r="SV127" s="4"/>
      <c r="SW127" s="4"/>
      <c r="SX127" s="4"/>
      <c r="SY127" s="4"/>
      <c r="SZ127" s="5"/>
      <c r="TA127" s="6"/>
      <c r="TB127" s="4"/>
      <c r="TC127" s="4"/>
      <c r="TD127" s="4"/>
      <c r="TE127" s="4"/>
      <c r="TF127" s="4"/>
      <c r="TG127" s="5"/>
      <c r="TH127" s="6"/>
      <c r="TI127" s="4"/>
      <c r="TJ127" s="4"/>
      <c r="TK127" s="4"/>
      <c r="TL127" s="4"/>
      <c r="TM127" s="4"/>
      <c r="TN127" s="5"/>
      <c r="TO127" s="6"/>
      <c r="TP127" s="4"/>
      <c r="TQ127" s="4"/>
      <c r="TR127" s="4"/>
      <c r="TS127" s="4"/>
      <c r="TT127" s="4"/>
      <c r="TU127" s="5"/>
      <c r="TV127" s="6"/>
      <c r="TW127" s="4"/>
      <c r="TX127" s="4"/>
      <c r="TY127" s="4"/>
      <c r="TZ127" s="4"/>
      <c r="UA127" s="4"/>
      <c r="UB127" s="5"/>
      <c r="UC127" s="6"/>
      <c r="UD127" s="4"/>
      <c r="UE127" s="4"/>
      <c r="UF127" s="4"/>
      <c r="UG127" s="4"/>
      <c r="UH127" s="4"/>
      <c r="UI127" s="5"/>
      <c r="UJ127" s="6"/>
      <c r="UK127" s="4"/>
      <c r="UL127" s="4"/>
      <c r="UM127" s="4"/>
      <c r="UN127" s="4"/>
      <c r="UO127" s="4"/>
      <c r="UP127" s="5"/>
      <c r="UQ127" s="6"/>
      <c r="UR127" s="4"/>
      <c r="US127" s="4"/>
      <c r="UT127" s="4"/>
      <c r="UU127" s="4"/>
      <c r="UV127" s="4"/>
      <c r="UW127" s="5"/>
      <c r="UX127" s="6"/>
      <c r="UY127" s="4"/>
      <c r="UZ127" s="4"/>
      <c r="VA127" s="4"/>
      <c r="VB127" s="4"/>
      <c r="VC127" s="4"/>
      <c r="VD127" s="5"/>
      <c r="VE127" s="6"/>
      <c r="VF127" s="4"/>
      <c r="VG127" s="4"/>
      <c r="VH127" s="4"/>
      <c r="VI127" s="4"/>
      <c r="VJ127" s="4"/>
      <c r="VK127" s="5"/>
      <c r="VL127" s="6"/>
      <c r="VM127" s="4"/>
      <c r="VN127" s="4"/>
      <c r="VO127" s="4"/>
      <c r="VP127" s="4"/>
      <c r="VQ127" s="4"/>
      <c r="VR127" s="5"/>
      <c r="VS127" s="6"/>
      <c r="VT127" s="4"/>
      <c r="VU127" s="4"/>
      <c r="VV127" s="4"/>
      <c r="VW127" s="4"/>
      <c r="VX127" s="4"/>
      <c r="VY127" s="5"/>
      <c r="VZ127" s="6"/>
      <c r="WA127" s="4"/>
      <c r="WB127" s="4"/>
      <c r="WC127" s="4"/>
      <c r="WD127" s="4"/>
      <c r="WE127" s="4"/>
      <c r="WF127" s="5"/>
      <c r="WG127" s="6"/>
      <c r="WH127" s="4"/>
      <c r="WI127" s="4"/>
      <c r="WJ127" s="4"/>
      <c r="WK127" s="4"/>
      <c r="WL127" s="4"/>
      <c r="WM127" s="5"/>
      <c r="WN127" s="6"/>
      <c r="WO127" s="4"/>
      <c r="WP127" s="4"/>
      <c r="WQ127" s="4"/>
      <c r="WR127" s="4"/>
      <c r="WS127" s="4"/>
      <c r="WT127" s="5"/>
      <c r="WU127" s="6"/>
      <c r="WV127" s="4"/>
      <c r="WW127" s="4"/>
      <c r="WX127" s="4"/>
      <c r="WY127" s="4"/>
      <c r="WZ127" s="4"/>
      <c r="XA127" s="5"/>
      <c r="XB127" s="6"/>
      <c r="XC127" s="4"/>
      <c r="XD127" s="4"/>
      <c r="XE127" s="4"/>
      <c r="XF127" s="4"/>
      <c r="XG127" s="4"/>
      <c r="XH127" s="5"/>
      <c r="XI127" s="6"/>
      <c r="XJ127" s="4"/>
      <c r="XK127" s="4"/>
      <c r="XL127" s="4"/>
      <c r="XM127" s="4"/>
      <c r="XN127" s="4"/>
      <c r="XO127" s="5"/>
      <c r="XP127" s="6"/>
      <c r="XQ127" s="4"/>
      <c r="XR127" s="4"/>
      <c r="XS127" s="4"/>
      <c r="XT127" s="4"/>
      <c r="XU127" s="4"/>
      <c r="XV127" s="5"/>
      <c r="XW127" s="6"/>
      <c r="XX127" s="4"/>
      <c r="XY127" s="4"/>
      <c r="XZ127" s="4"/>
      <c r="YA127" s="4"/>
      <c r="YB127" s="4"/>
      <c r="YC127" s="5"/>
      <c r="YD127" s="6"/>
      <c r="YE127" s="4"/>
      <c r="YF127" s="4"/>
      <c r="YG127" s="4"/>
      <c r="YH127" s="4"/>
      <c r="YI127" s="4"/>
      <c r="YJ127" s="5"/>
      <c r="YK127" s="6"/>
      <c r="YL127" s="4"/>
      <c r="YM127" s="4"/>
      <c r="YN127" s="4"/>
      <c r="YO127" s="4"/>
      <c r="YP127" s="4"/>
      <c r="YQ127" s="5"/>
      <c r="YR127" s="6"/>
      <c r="YS127" s="4"/>
      <c r="YT127" s="4"/>
      <c r="YU127" s="4"/>
      <c r="YV127" s="4"/>
      <c r="YW127" s="4"/>
      <c r="YX127" s="5"/>
      <c r="YY127" s="6"/>
      <c r="YZ127" s="4"/>
      <c r="ZA127" s="4"/>
      <c r="ZB127" s="4"/>
      <c r="ZC127" s="4"/>
      <c r="ZD127" s="4"/>
      <c r="ZE127" s="5"/>
      <c r="ZF127" s="6"/>
      <c r="ZG127" s="4"/>
      <c r="ZH127" s="4"/>
      <c r="ZI127" s="4"/>
      <c r="ZJ127" s="4"/>
      <c r="ZK127" s="4"/>
      <c r="ZL127" s="5"/>
      <c r="ZM127" s="6"/>
      <c r="ZN127" s="4"/>
      <c r="ZO127" s="4"/>
      <c r="ZP127" s="4"/>
      <c r="ZQ127" s="4"/>
      <c r="ZR127" s="4"/>
      <c r="ZS127" s="5"/>
      <c r="ZT127" s="6"/>
      <c r="ZU127" s="4"/>
      <c r="ZV127" s="4"/>
      <c r="ZW127" s="4"/>
      <c r="ZX127" s="4"/>
      <c r="ZY127" s="4"/>
      <c r="ZZ127" s="5"/>
      <c r="AAA127" s="6"/>
      <c r="AAB127" s="4"/>
      <c r="AAC127" s="4"/>
      <c r="AAD127" s="4"/>
      <c r="AAE127" s="4"/>
      <c r="AAF127" s="4"/>
      <c r="AAG127" s="5"/>
      <c r="AAH127" s="6"/>
      <c r="AAI127" s="4"/>
      <c r="AAJ127" s="4"/>
      <c r="AAK127" s="4"/>
      <c r="AAL127" s="4"/>
      <c r="AAM127" s="4"/>
      <c r="AAN127" s="5"/>
      <c r="AAO127" s="6"/>
      <c r="AAP127" s="4"/>
      <c r="AAQ127" s="4"/>
      <c r="AAR127" s="4"/>
      <c r="AAS127" s="4"/>
      <c r="AAT127" s="4"/>
      <c r="AAU127" s="5"/>
      <c r="AAV127" s="6"/>
      <c r="AAW127" s="4"/>
      <c r="AAX127" s="4"/>
      <c r="AAY127" s="4"/>
      <c r="AAZ127" s="4"/>
      <c r="ABA127" s="4"/>
      <c r="ABB127" s="5"/>
      <c r="ABC127" s="6"/>
      <c r="ABD127" s="4"/>
      <c r="ABE127" s="4"/>
      <c r="ABF127" s="4"/>
      <c r="ABG127" s="4"/>
      <c r="ABH127" s="4"/>
      <c r="ABI127" s="5"/>
      <c r="ABJ127" s="6"/>
      <c r="ABK127" s="4"/>
      <c r="ABL127" s="4"/>
      <c r="ABM127" s="4"/>
      <c r="ABN127" s="4"/>
      <c r="ABO127" s="4"/>
      <c r="ABP127" s="5"/>
      <c r="ABQ127" s="6"/>
      <c r="ABR127" s="4"/>
      <c r="ABS127" s="4"/>
      <c r="ABT127" s="4"/>
      <c r="ABU127" s="4"/>
      <c r="ABV127" s="4"/>
      <c r="ABW127" s="5"/>
      <c r="ABX127" s="6"/>
      <c r="ABY127" s="4"/>
      <c r="ABZ127" s="4"/>
      <c r="ACA127" s="4"/>
      <c r="ACB127" s="4"/>
      <c r="ACC127" s="4"/>
      <c r="ACD127" s="5"/>
      <c r="ACE127" s="6"/>
      <c r="ACF127" s="4"/>
      <c r="ACG127" s="4"/>
      <c r="ACH127" s="4"/>
      <c r="ACI127" s="4"/>
      <c r="ACJ127" s="4"/>
      <c r="ACK127" s="5"/>
      <c r="ACL127" s="6"/>
      <c r="ACM127" s="4"/>
      <c r="ACN127" s="4"/>
      <c r="ACO127" s="4"/>
      <c r="ACP127" s="4"/>
      <c r="ACQ127" s="4"/>
      <c r="ACR127" s="5"/>
      <c r="ACS127" s="6"/>
      <c r="ACT127" s="4"/>
      <c r="ACU127" s="4"/>
      <c r="ACV127" s="4"/>
      <c r="ACW127" s="4"/>
      <c r="ACX127" s="4"/>
      <c r="ACY127" s="5"/>
    </row>
    <row r="128" spans="2:799" x14ac:dyDescent="0.25">
      <c r="B128" s="30"/>
      <c r="J128" s="12"/>
      <c r="K128" s="12"/>
      <c r="L128" s="12"/>
      <c r="LL128" s="6"/>
      <c r="LM128" s="4"/>
      <c r="LN128" s="4"/>
      <c r="LO128" s="4"/>
      <c r="LP128" s="4"/>
      <c r="LQ128" s="4"/>
      <c r="LR128" s="5"/>
      <c r="LS128" s="6"/>
      <c r="LT128" s="4"/>
      <c r="LU128" s="4"/>
      <c r="LV128" s="4"/>
      <c r="LW128" s="4"/>
      <c r="LX128" s="4"/>
      <c r="LY128" s="5"/>
      <c r="LZ128" s="6" t="s">
        <v>3406</v>
      </c>
      <c r="MA128" s="7" t="s">
        <v>3407</v>
      </c>
      <c r="MB128" s="4"/>
      <c r="MC128" s="4"/>
      <c r="MD128" s="8"/>
      <c r="ME128" s="4"/>
      <c r="MF128" s="4"/>
      <c r="MG128" s="5" t="s">
        <v>2883</v>
      </c>
      <c r="MH128" s="6"/>
      <c r="MI128" s="4"/>
      <c r="MJ128" s="4"/>
      <c r="MK128" s="4"/>
      <c r="ML128" s="4"/>
      <c r="MM128" s="4"/>
      <c r="MN128" s="5"/>
      <c r="MO128" s="6"/>
      <c r="MP128" s="4"/>
      <c r="MQ128" s="4"/>
      <c r="MR128" s="4"/>
      <c r="MS128" s="4"/>
      <c r="MT128" s="4"/>
      <c r="MU128" s="5"/>
      <c r="MV128" s="6"/>
      <c r="MW128" s="4"/>
      <c r="MX128" s="4"/>
      <c r="MY128" s="4"/>
      <c r="MZ128" s="4"/>
      <c r="NA128" s="4"/>
      <c r="NB128" s="5"/>
      <c r="NC128" s="6"/>
      <c r="ND128" s="4"/>
      <c r="NE128" s="4"/>
      <c r="NF128" s="4"/>
      <c r="NG128" s="4"/>
      <c r="NH128" s="4"/>
      <c r="NI128" s="5"/>
      <c r="NJ128" s="6"/>
      <c r="NK128" s="4"/>
      <c r="NL128" s="4"/>
      <c r="NM128" s="4"/>
      <c r="NN128" s="4"/>
      <c r="NO128" s="4"/>
      <c r="NP128" s="5"/>
      <c r="NQ128" s="6"/>
      <c r="NR128" s="4"/>
      <c r="NS128" s="4"/>
      <c r="NT128" s="4"/>
      <c r="NU128" s="4"/>
      <c r="NV128" s="4"/>
      <c r="NW128" s="5"/>
      <c r="NX128" s="6"/>
      <c r="NY128" s="4"/>
      <c r="NZ128" s="4"/>
      <c r="OA128" s="4"/>
      <c r="OB128" s="4"/>
      <c r="OC128" s="4"/>
      <c r="OD128" s="5"/>
      <c r="OE128" s="6"/>
      <c r="OF128" s="4"/>
      <c r="OG128" s="4"/>
      <c r="OH128" s="4"/>
      <c r="OI128" s="4"/>
      <c r="OJ128" s="4"/>
      <c r="OK128" s="5"/>
      <c r="OL128" s="6"/>
      <c r="OM128" s="4"/>
      <c r="ON128" s="4"/>
      <c r="OO128" s="4"/>
      <c r="OP128" s="4"/>
      <c r="OQ128" s="4"/>
      <c r="OR128" s="5"/>
      <c r="OS128" s="6"/>
      <c r="OT128" s="4"/>
      <c r="OU128" s="4"/>
      <c r="OV128" s="4"/>
      <c r="OW128" s="4"/>
      <c r="OX128" s="4"/>
      <c r="OY128" s="5"/>
      <c r="OZ128" s="6"/>
      <c r="PA128" s="4"/>
      <c r="PB128" s="4"/>
      <c r="PC128" s="4"/>
      <c r="PD128" s="4"/>
      <c r="PE128" s="4"/>
      <c r="PF128" s="5"/>
      <c r="PG128" s="6"/>
      <c r="PH128" s="4"/>
      <c r="PI128" s="4"/>
      <c r="PJ128" s="4"/>
      <c r="PK128" s="4"/>
      <c r="PL128" s="4"/>
      <c r="PM128" s="5"/>
      <c r="PN128" s="6"/>
      <c r="PO128" s="4"/>
      <c r="PP128" s="4"/>
      <c r="PQ128" s="4"/>
      <c r="PR128" s="4"/>
      <c r="PS128" s="4"/>
      <c r="PT128" s="5"/>
      <c r="PU128" s="6"/>
      <c r="PV128" s="4"/>
      <c r="PW128" s="4"/>
      <c r="PX128" s="4"/>
      <c r="PY128" s="4"/>
      <c r="PZ128" s="4"/>
      <c r="QA128" s="5"/>
      <c r="QB128" s="6"/>
      <c r="QC128" s="4"/>
      <c r="QD128" s="4"/>
      <c r="QE128" s="4"/>
      <c r="QF128" s="4"/>
      <c r="QG128" s="4"/>
      <c r="QH128" s="5"/>
      <c r="QI128" s="6"/>
      <c r="QJ128" s="4"/>
      <c r="QK128" s="4"/>
      <c r="QL128" s="4"/>
      <c r="QM128" s="4"/>
      <c r="QN128" s="4"/>
      <c r="QO128" s="5"/>
      <c r="QP128" s="6"/>
      <c r="QQ128" s="4"/>
      <c r="QR128" s="4"/>
      <c r="QS128" s="4"/>
      <c r="QT128" s="4"/>
      <c r="QU128" s="4"/>
      <c r="QV128" s="5"/>
      <c r="QW128" s="6"/>
      <c r="QX128" s="4"/>
      <c r="QY128" s="4"/>
      <c r="QZ128" s="4"/>
      <c r="RA128" s="4"/>
      <c r="RB128" s="4"/>
      <c r="RC128" s="5"/>
      <c r="RD128" s="6"/>
      <c r="RE128" s="4"/>
      <c r="RF128" s="4"/>
      <c r="RG128" s="4"/>
      <c r="RH128" s="4"/>
      <c r="RI128" s="4"/>
      <c r="RJ128" s="5"/>
      <c r="RK128" s="6"/>
      <c r="RL128" s="4"/>
      <c r="RM128" s="4"/>
      <c r="RN128" s="4"/>
      <c r="RO128" s="4"/>
      <c r="RP128" s="4"/>
      <c r="RQ128" s="5"/>
      <c r="RR128" s="6"/>
      <c r="RS128" s="4"/>
      <c r="RT128" s="4"/>
      <c r="RU128" s="4"/>
      <c r="RV128" s="4"/>
      <c r="RW128" s="4"/>
      <c r="RX128" s="5"/>
      <c r="RY128" s="6"/>
      <c r="RZ128" s="4"/>
      <c r="SA128" s="4"/>
      <c r="SB128" s="4"/>
      <c r="SC128" s="4"/>
      <c r="SD128" s="4"/>
      <c r="SE128" s="5"/>
      <c r="SF128" s="6"/>
      <c r="SG128" s="4"/>
      <c r="SH128" s="4"/>
      <c r="SI128" s="4"/>
      <c r="SJ128" s="4"/>
      <c r="SK128" s="4"/>
      <c r="SL128" s="5"/>
      <c r="SM128" s="6"/>
      <c r="SN128" s="4"/>
      <c r="SO128" s="4"/>
      <c r="SP128" s="4"/>
      <c r="SQ128" s="4"/>
      <c r="SR128" s="4"/>
      <c r="SS128" s="5"/>
      <c r="ST128" s="6"/>
      <c r="SU128" s="4"/>
      <c r="SV128" s="4"/>
      <c r="SW128" s="4"/>
      <c r="SX128" s="4"/>
      <c r="SY128" s="4"/>
      <c r="SZ128" s="5"/>
      <c r="TA128" s="6"/>
      <c r="TB128" s="4"/>
      <c r="TC128" s="4"/>
      <c r="TD128" s="4"/>
      <c r="TE128" s="4"/>
      <c r="TF128" s="4"/>
      <c r="TG128" s="5"/>
      <c r="TH128" s="6"/>
      <c r="TI128" s="4"/>
      <c r="TJ128" s="4"/>
      <c r="TK128" s="4"/>
      <c r="TL128" s="4"/>
      <c r="TM128" s="4"/>
      <c r="TN128" s="5"/>
      <c r="TO128" s="6"/>
      <c r="TP128" s="4"/>
      <c r="TQ128" s="4"/>
      <c r="TR128" s="4"/>
      <c r="TS128" s="4"/>
      <c r="TT128" s="4"/>
      <c r="TU128" s="5"/>
      <c r="TV128" s="6"/>
      <c r="TW128" s="4"/>
      <c r="TX128" s="4"/>
      <c r="TY128" s="4"/>
      <c r="TZ128" s="4"/>
      <c r="UA128" s="4"/>
      <c r="UB128" s="5"/>
      <c r="UC128" s="6"/>
      <c r="UD128" s="4"/>
      <c r="UE128" s="4"/>
      <c r="UF128" s="4"/>
      <c r="UG128" s="4"/>
      <c r="UH128" s="4"/>
      <c r="UI128" s="5"/>
      <c r="UJ128" s="6"/>
      <c r="UK128" s="4"/>
      <c r="UL128" s="4"/>
      <c r="UM128" s="4"/>
      <c r="UN128" s="4"/>
      <c r="UO128" s="4"/>
      <c r="UP128" s="5"/>
      <c r="UQ128" s="6"/>
      <c r="UR128" s="4"/>
      <c r="US128" s="4"/>
      <c r="UT128" s="4"/>
      <c r="UU128" s="4"/>
      <c r="UV128" s="4"/>
      <c r="UW128" s="5"/>
      <c r="UX128" s="6"/>
      <c r="UY128" s="4"/>
      <c r="UZ128" s="4"/>
      <c r="VA128" s="4"/>
      <c r="VB128" s="4"/>
      <c r="VC128" s="4"/>
      <c r="VD128" s="5"/>
      <c r="VE128" s="6"/>
      <c r="VF128" s="4"/>
      <c r="VG128" s="4"/>
      <c r="VH128" s="4"/>
      <c r="VI128" s="4"/>
      <c r="VJ128" s="4"/>
      <c r="VK128" s="5"/>
      <c r="VL128" s="6"/>
      <c r="VM128" s="4"/>
      <c r="VN128" s="4"/>
      <c r="VO128" s="4"/>
      <c r="VP128" s="4"/>
      <c r="VQ128" s="4"/>
      <c r="VR128" s="5"/>
      <c r="VS128" s="6"/>
      <c r="VT128" s="4"/>
      <c r="VU128" s="4"/>
      <c r="VV128" s="4"/>
      <c r="VW128" s="4"/>
      <c r="VX128" s="4"/>
      <c r="VY128" s="5"/>
      <c r="VZ128" s="6"/>
      <c r="WA128" s="4"/>
      <c r="WB128" s="4"/>
      <c r="WC128" s="4"/>
      <c r="WD128" s="4"/>
      <c r="WE128" s="4"/>
      <c r="WF128" s="5"/>
      <c r="WG128" s="6"/>
      <c r="WH128" s="4"/>
      <c r="WI128" s="4"/>
      <c r="WJ128" s="4"/>
      <c r="WK128" s="4"/>
      <c r="WL128" s="4"/>
      <c r="WM128" s="5"/>
      <c r="WN128" s="6"/>
      <c r="WO128" s="4"/>
      <c r="WP128" s="4"/>
      <c r="WQ128" s="4"/>
      <c r="WR128" s="4"/>
      <c r="WS128" s="4"/>
      <c r="WT128" s="5"/>
      <c r="WU128" s="6"/>
      <c r="WV128" s="4"/>
      <c r="WW128" s="4"/>
      <c r="WX128" s="4"/>
      <c r="WY128" s="4"/>
      <c r="WZ128" s="4"/>
      <c r="XA128" s="5"/>
      <c r="XB128" s="6"/>
      <c r="XC128" s="4"/>
      <c r="XD128" s="4"/>
      <c r="XE128" s="4"/>
      <c r="XF128" s="4"/>
      <c r="XG128" s="4"/>
      <c r="XH128" s="5"/>
      <c r="XI128" s="6"/>
      <c r="XJ128" s="4"/>
      <c r="XK128" s="4"/>
      <c r="XL128" s="4"/>
      <c r="XM128" s="4"/>
      <c r="XN128" s="4"/>
      <c r="XO128" s="5"/>
      <c r="XP128" s="6"/>
      <c r="XQ128" s="4"/>
      <c r="XR128" s="4"/>
      <c r="XS128" s="4"/>
      <c r="XT128" s="4"/>
      <c r="XU128" s="4"/>
      <c r="XV128" s="5"/>
      <c r="XW128" s="6"/>
      <c r="XX128" s="4"/>
      <c r="XY128" s="4"/>
      <c r="XZ128" s="4"/>
      <c r="YA128" s="4"/>
      <c r="YB128" s="4"/>
      <c r="YC128" s="5"/>
      <c r="YD128" s="6"/>
      <c r="YE128" s="4"/>
      <c r="YF128" s="4"/>
      <c r="YG128" s="4"/>
      <c r="YH128" s="4"/>
      <c r="YI128" s="4"/>
      <c r="YJ128" s="5"/>
      <c r="YK128" s="6"/>
      <c r="YL128" s="4"/>
      <c r="YM128" s="4"/>
      <c r="YN128" s="4"/>
      <c r="YO128" s="4"/>
      <c r="YP128" s="4"/>
      <c r="YQ128" s="5"/>
      <c r="YR128" s="6"/>
      <c r="YS128" s="4"/>
      <c r="YT128" s="4"/>
      <c r="YU128" s="4"/>
      <c r="YV128" s="4"/>
      <c r="YW128" s="4"/>
      <c r="YX128" s="5"/>
      <c r="YY128" s="6"/>
      <c r="YZ128" s="4"/>
      <c r="ZA128" s="4"/>
      <c r="ZB128" s="4"/>
      <c r="ZC128" s="4"/>
      <c r="ZD128" s="4"/>
      <c r="ZE128" s="5"/>
      <c r="ZF128" s="6"/>
      <c r="ZG128" s="4"/>
      <c r="ZH128" s="4"/>
      <c r="ZI128" s="4"/>
      <c r="ZJ128" s="4"/>
      <c r="ZK128" s="4"/>
      <c r="ZL128" s="5"/>
      <c r="ZM128" s="6"/>
      <c r="ZN128" s="4"/>
      <c r="ZO128" s="4"/>
      <c r="ZP128" s="4"/>
      <c r="ZQ128" s="4"/>
      <c r="ZR128" s="4"/>
      <c r="ZS128" s="5"/>
      <c r="ZT128" s="6"/>
      <c r="ZU128" s="4"/>
      <c r="ZV128" s="4"/>
      <c r="ZW128" s="4"/>
      <c r="ZX128" s="4"/>
      <c r="ZY128" s="4"/>
      <c r="ZZ128" s="5"/>
      <c r="AAA128" s="6"/>
      <c r="AAB128" s="4"/>
      <c r="AAC128" s="4"/>
      <c r="AAD128" s="4"/>
      <c r="AAE128" s="4"/>
      <c r="AAF128" s="4"/>
      <c r="AAG128" s="5"/>
      <c r="AAH128" s="6"/>
      <c r="AAI128" s="4"/>
      <c r="AAJ128" s="4"/>
      <c r="AAK128" s="4"/>
      <c r="AAL128" s="4"/>
      <c r="AAM128" s="4"/>
      <c r="AAN128" s="5"/>
      <c r="AAO128" s="6"/>
      <c r="AAP128" s="4"/>
      <c r="AAQ128" s="4"/>
      <c r="AAR128" s="4"/>
      <c r="AAS128" s="4"/>
      <c r="AAT128" s="4"/>
      <c r="AAU128" s="5"/>
      <c r="AAV128" s="6"/>
      <c r="AAW128" s="4"/>
      <c r="AAX128" s="4"/>
      <c r="AAY128" s="4"/>
      <c r="AAZ128" s="4"/>
      <c r="ABA128" s="4"/>
      <c r="ABB128" s="5"/>
      <c r="ABC128" s="6"/>
      <c r="ABD128" s="4"/>
      <c r="ABE128" s="4"/>
      <c r="ABF128" s="4"/>
      <c r="ABG128" s="4"/>
      <c r="ABH128" s="4"/>
      <c r="ABI128" s="5"/>
      <c r="ABJ128" s="6"/>
      <c r="ABK128" s="4"/>
      <c r="ABL128" s="4"/>
      <c r="ABM128" s="4"/>
      <c r="ABN128" s="4"/>
      <c r="ABO128" s="4"/>
      <c r="ABP128" s="5"/>
      <c r="ABQ128" s="6"/>
      <c r="ABR128" s="4"/>
      <c r="ABS128" s="4"/>
      <c r="ABT128" s="4"/>
      <c r="ABU128" s="4"/>
      <c r="ABV128" s="4"/>
      <c r="ABW128" s="5"/>
      <c r="ABX128" s="6"/>
      <c r="ABY128" s="4"/>
      <c r="ABZ128" s="4"/>
      <c r="ACA128" s="4"/>
      <c r="ACB128" s="4"/>
      <c r="ACC128" s="4"/>
      <c r="ACD128" s="5"/>
      <c r="ACE128" s="6"/>
      <c r="ACF128" s="4"/>
      <c r="ACG128" s="4"/>
      <c r="ACH128" s="4"/>
      <c r="ACI128" s="4"/>
      <c r="ACJ128" s="4"/>
      <c r="ACK128" s="5"/>
      <c r="ACL128" s="6"/>
      <c r="ACM128" s="4"/>
      <c r="ACN128" s="4"/>
      <c r="ACO128" s="4"/>
      <c r="ACP128" s="4"/>
      <c r="ACQ128" s="4"/>
      <c r="ACR128" s="5"/>
      <c r="ACS128" s="6"/>
      <c r="ACT128" s="4"/>
      <c r="ACU128" s="4"/>
      <c r="ACV128" s="4"/>
      <c r="ACW128" s="4"/>
      <c r="ACX128" s="4"/>
      <c r="ACY128" s="5"/>
    </row>
    <row r="129" spans="2:779" x14ac:dyDescent="0.25">
      <c r="B129" s="49">
        <v>96020742</v>
      </c>
      <c r="C129">
        <v>76</v>
      </c>
      <c r="D129" t="s">
        <v>2121</v>
      </c>
      <c r="F129" s="23">
        <v>1</v>
      </c>
      <c r="J129" s="12"/>
      <c r="K129" s="12"/>
      <c r="L129" s="12"/>
      <c r="M129">
        <v>1</v>
      </c>
      <c r="N129" s="17">
        <v>33474</v>
      </c>
      <c r="LL129" s="6"/>
      <c r="LM129" s="4"/>
      <c r="LN129" s="4"/>
      <c r="LO129" s="4"/>
      <c r="LP129" s="4"/>
      <c r="LQ129" s="4"/>
      <c r="LR129" s="5"/>
      <c r="LS129" s="6"/>
      <c r="LT129" s="4"/>
      <c r="LU129" s="4"/>
      <c r="LV129" s="4"/>
      <c r="LW129" s="4"/>
      <c r="LX129" s="4"/>
      <c r="LY129" s="5"/>
      <c r="LZ129" s="6" t="s">
        <v>2983</v>
      </c>
      <c r="MA129" s="7" t="s">
        <v>2983</v>
      </c>
      <c r="MB129" s="4"/>
      <c r="MC129" s="4"/>
      <c r="MD129" s="8"/>
      <c r="ME129" s="4"/>
      <c r="MF129" s="4" t="s">
        <v>615</v>
      </c>
      <c r="MG129" s="5"/>
      <c r="MH129" s="6"/>
      <c r="MI129" s="4"/>
      <c r="MJ129" s="4"/>
      <c r="MK129" s="4"/>
      <c r="ML129" s="4"/>
      <c r="MM129" s="4"/>
      <c r="MN129" s="5"/>
      <c r="MO129" s="6"/>
      <c r="MP129" s="4"/>
      <c r="MQ129" s="4"/>
      <c r="MR129" s="4"/>
      <c r="MS129" s="4"/>
      <c r="MT129" s="4"/>
      <c r="MU129" s="5"/>
      <c r="MV129" s="6" t="s">
        <v>1095</v>
      </c>
      <c r="MW129" s="4" t="s">
        <v>1096</v>
      </c>
      <c r="MX129" s="4"/>
      <c r="MY129" s="4"/>
      <c r="MZ129" s="4"/>
      <c r="NA129" s="4"/>
      <c r="NB129" s="5"/>
      <c r="NC129" s="6"/>
      <c r="ND129" s="4"/>
      <c r="NE129" s="4"/>
      <c r="NF129" s="4"/>
      <c r="NG129" s="4"/>
      <c r="NH129" s="4"/>
      <c r="NI129" s="5"/>
      <c r="NJ129" s="6"/>
      <c r="NK129" s="4"/>
      <c r="NL129" s="4"/>
      <c r="NM129" s="4"/>
      <c r="NN129" s="4"/>
      <c r="NO129" s="4"/>
      <c r="NP129" s="5"/>
      <c r="NQ129" s="6"/>
      <c r="NR129" s="4"/>
      <c r="NS129" s="4"/>
      <c r="NT129" s="4"/>
      <c r="NU129" s="4"/>
      <c r="NV129" s="4"/>
      <c r="NW129" s="5"/>
      <c r="NX129" s="6"/>
      <c r="NY129" s="4"/>
      <c r="NZ129" s="4"/>
      <c r="OA129" s="4"/>
      <c r="OB129" s="4"/>
      <c r="OC129" s="4"/>
      <c r="OD129" s="5"/>
      <c r="OE129" s="6"/>
      <c r="OF129" s="4"/>
      <c r="OG129" s="4"/>
      <c r="OH129" s="4"/>
      <c r="OI129" s="4"/>
      <c r="OJ129" s="4"/>
      <c r="OK129" s="5"/>
      <c r="OL129" s="6"/>
      <c r="OM129" s="4"/>
      <c r="ON129" s="4"/>
      <c r="OO129" s="4"/>
      <c r="OP129" s="4"/>
      <c r="OQ129" s="4"/>
      <c r="OR129" s="5"/>
      <c r="OS129" s="6"/>
      <c r="OT129" s="4"/>
      <c r="OU129" s="4"/>
      <c r="OV129" s="4"/>
      <c r="OW129" s="4"/>
      <c r="OX129" s="4"/>
      <c r="OY129" s="5"/>
      <c r="OZ129" s="6"/>
      <c r="PA129" s="4"/>
      <c r="PB129" s="4"/>
      <c r="PC129" s="4"/>
      <c r="PD129" s="4"/>
      <c r="PE129" s="4"/>
      <c r="PF129" s="5"/>
      <c r="PG129" s="6"/>
      <c r="PH129" s="4"/>
      <c r="PI129" s="4"/>
      <c r="PJ129" s="4"/>
      <c r="PK129" s="4"/>
      <c r="PL129" s="4"/>
      <c r="PM129" s="5"/>
      <c r="PN129" s="6"/>
      <c r="PO129" s="4"/>
      <c r="PP129" s="4"/>
      <c r="PQ129" s="4"/>
      <c r="PR129" s="4"/>
      <c r="PS129" s="4"/>
      <c r="PT129" s="5"/>
      <c r="PU129" s="6"/>
      <c r="PV129" s="4"/>
      <c r="PW129" s="4"/>
      <c r="PX129" s="4"/>
      <c r="PY129" s="4"/>
      <c r="PZ129" s="4"/>
      <c r="QA129" s="5"/>
      <c r="QB129" s="6"/>
      <c r="QC129" s="4"/>
      <c r="QD129" s="4"/>
      <c r="QE129" s="4"/>
      <c r="QF129" s="4"/>
      <c r="QG129" s="4"/>
      <c r="QH129" s="5"/>
      <c r="QI129" s="6"/>
      <c r="QJ129" s="4"/>
      <c r="QK129" s="4"/>
      <c r="QL129" s="4"/>
      <c r="QM129" s="4"/>
      <c r="QN129" s="4"/>
      <c r="QO129" s="5"/>
      <c r="QP129" s="6"/>
      <c r="QQ129" s="4"/>
      <c r="QR129" s="4"/>
      <c r="QS129" s="4"/>
      <c r="QT129" s="4"/>
      <c r="QU129" s="4"/>
      <c r="QV129" s="5"/>
      <c r="QW129" s="6"/>
      <c r="QX129" s="4"/>
      <c r="QY129" s="4"/>
      <c r="QZ129" s="4"/>
      <c r="RA129" s="4"/>
      <c r="RB129" s="4"/>
      <c r="RC129" s="5"/>
      <c r="RD129" s="6"/>
      <c r="RE129" s="4"/>
      <c r="RF129" s="4"/>
      <c r="RG129" s="4"/>
      <c r="RH129" s="4"/>
      <c r="RI129" s="4"/>
      <c r="RJ129" s="5"/>
      <c r="RK129" s="6"/>
      <c r="RL129" s="4"/>
      <c r="RM129" s="4"/>
      <c r="RN129" s="4"/>
      <c r="RO129" s="4"/>
      <c r="RP129" s="4"/>
      <c r="RQ129" s="5"/>
      <c r="RR129" s="6"/>
      <c r="RS129" s="4"/>
      <c r="RT129" s="4"/>
      <c r="RU129" s="4"/>
      <c r="RV129" s="4"/>
      <c r="RW129" s="4"/>
      <c r="RX129" s="5"/>
      <c r="RY129" s="6"/>
      <c r="RZ129" s="4"/>
      <c r="SA129" s="4"/>
      <c r="SB129" s="4"/>
      <c r="SC129" s="4"/>
      <c r="SD129" s="4"/>
      <c r="SE129" s="5"/>
      <c r="SF129" s="6"/>
      <c r="SG129" s="4"/>
      <c r="SH129" s="4"/>
      <c r="SI129" s="4"/>
      <c r="SJ129" s="4"/>
      <c r="SK129" s="4"/>
      <c r="SL129" s="5"/>
      <c r="SM129" s="6"/>
      <c r="SN129" s="4"/>
      <c r="SO129" s="4"/>
      <c r="SP129" s="4"/>
      <c r="SQ129" s="4"/>
      <c r="SR129" s="4"/>
      <c r="SS129" s="5"/>
      <c r="ST129" s="6"/>
      <c r="SU129" s="4"/>
      <c r="SV129" s="4"/>
      <c r="SW129" s="4"/>
      <c r="SX129" s="4"/>
      <c r="SY129" s="4"/>
      <c r="SZ129" s="5"/>
      <c r="TA129" s="6"/>
      <c r="TB129" s="4"/>
      <c r="TC129" s="4"/>
      <c r="TD129" s="4"/>
      <c r="TE129" s="4"/>
      <c r="TF129" s="4"/>
      <c r="TG129" s="5"/>
      <c r="TH129" s="6"/>
      <c r="TI129" s="4"/>
      <c r="TJ129" s="4"/>
      <c r="TK129" s="4"/>
      <c r="TL129" s="4"/>
      <c r="TM129" s="4"/>
      <c r="TN129" s="5"/>
      <c r="TO129" s="6"/>
      <c r="TP129" s="4"/>
      <c r="TQ129" s="4"/>
      <c r="TR129" s="4"/>
      <c r="TS129" s="4"/>
      <c r="TT129" s="4"/>
      <c r="TU129" s="5"/>
      <c r="TV129" s="6"/>
      <c r="TW129" s="4"/>
      <c r="TX129" s="4"/>
      <c r="TY129" s="4"/>
      <c r="TZ129" s="4"/>
      <c r="UA129" s="4"/>
      <c r="UB129" s="5"/>
      <c r="UC129" s="6"/>
      <c r="UD129" s="4"/>
      <c r="UE129" s="4"/>
      <c r="UF129" s="4"/>
      <c r="UG129" s="4"/>
      <c r="UH129" s="4"/>
      <c r="UI129" s="5"/>
      <c r="UJ129" s="6"/>
      <c r="UK129" s="4"/>
      <c r="UL129" s="4"/>
      <c r="UM129" s="4"/>
      <c r="UN129" s="4"/>
      <c r="UO129" s="4"/>
      <c r="UP129" s="5"/>
      <c r="UQ129" s="6"/>
      <c r="UR129" s="4"/>
      <c r="US129" s="4"/>
      <c r="UT129" s="4"/>
      <c r="UU129" s="4"/>
      <c r="UV129" s="4"/>
      <c r="UW129" s="5"/>
      <c r="UX129" s="6"/>
      <c r="UY129" s="4"/>
      <c r="UZ129" s="4"/>
      <c r="VA129" s="4"/>
      <c r="VB129" s="4"/>
      <c r="VC129" s="4"/>
      <c r="VD129" s="5"/>
      <c r="VE129" s="6" t="s">
        <v>1097</v>
      </c>
      <c r="VF129" s="4" t="s">
        <v>3260</v>
      </c>
      <c r="VG129" s="4"/>
      <c r="VH129" s="4"/>
      <c r="VI129" s="4"/>
      <c r="VJ129" s="4"/>
      <c r="VK129" s="5"/>
      <c r="VL129" s="6"/>
      <c r="VM129" s="4"/>
      <c r="VN129" s="4"/>
      <c r="VO129" s="4"/>
      <c r="VP129" s="4"/>
      <c r="VQ129" s="4"/>
      <c r="VR129" s="5"/>
      <c r="VS129" s="6"/>
      <c r="VT129" s="4"/>
      <c r="VU129" s="4"/>
      <c r="VV129" s="4"/>
      <c r="VW129" s="4"/>
      <c r="VX129" s="4"/>
      <c r="VY129" s="5"/>
      <c r="VZ129" s="6"/>
      <c r="WA129" s="4"/>
      <c r="WB129" s="4"/>
      <c r="WC129" s="4"/>
      <c r="WD129" s="4"/>
      <c r="WE129" s="4"/>
      <c r="WF129" s="5"/>
      <c r="WG129" s="6"/>
      <c r="WH129" s="4"/>
      <c r="WI129" s="4"/>
      <c r="WJ129" s="4"/>
      <c r="WK129" s="4"/>
      <c r="WL129" s="4"/>
      <c r="WM129" s="5"/>
      <c r="WN129" s="6"/>
      <c r="WO129" s="4"/>
      <c r="WP129" s="4"/>
      <c r="WQ129" s="4"/>
      <c r="WR129" s="4"/>
      <c r="WS129" s="4"/>
      <c r="WT129" s="5"/>
      <c r="WU129" s="6"/>
      <c r="WV129" s="4"/>
      <c r="WW129" s="4"/>
      <c r="WX129" s="4"/>
      <c r="WY129" s="4"/>
      <c r="WZ129" s="4"/>
      <c r="XA129" s="5"/>
      <c r="XB129" s="6"/>
      <c r="XC129" s="4"/>
      <c r="XD129" s="4"/>
      <c r="XE129" s="4"/>
      <c r="XF129" s="4"/>
      <c r="XG129" s="4"/>
      <c r="XH129" s="5"/>
      <c r="XI129" s="6"/>
      <c r="XJ129" s="4"/>
      <c r="XK129" s="4"/>
      <c r="XL129" s="4"/>
      <c r="XM129" s="4"/>
      <c r="XN129" s="4"/>
      <c r="XO129" s="5"/>
      <c r="XP129" s="6"/>
      <c r="XQ129" s="4"/>
      <c r="XR129" s="4"/>
      <c r="XS129" s="4"/>
      <c r="XT129" s="4"/>
      <c r="XU129" s="4"/>
      <c r="XV129" s="5"/>
      <c r="XW129" s="6"/>
      <c r="XX129" s="4"/>
      <c r="XY129" s="4"/>
      <c r="XZ129" s="4"/>
      <c r="YA129" s="4"/>
      <c r="YB129" s="4"/>
      <c r="YC129" s="5"/>
      <c r="YD129" s="6"/>
      <c r="YE129" s="4"/>
      <c r="YF129" s="4"/>
      <c r="YG129" s="4"/>
      <c r="YH129" s="4"/>
      <c r="YI129" s="4"/>
      <c r="YJ129" s="5"/>
      <c r="YK129" s="6" t="s">
        <v>968</v>
      </c>
      <c r="YL129" s="4"/>
      <c r="YM129" s="4"/>
      <c r="YN129" s="4"/>
      <c r="YO129" s="4"/>
      <c r="YP129" s="4"/>
      <c r="YQ129" s="5"/>
      <c r="YR129" s="6"/>
      <c r="YS129" s="4"/>
      <c r="YT129" s="4"/>
      <c r="YU129" s="4"/>
      <c r="YV129" s="4"/>
      <c r="YW129" s="4"/>
      <c r="YX129" s="5"/>
      <c r="YY129" s="6"/>
      <c r="YZ129" s="4"/>
      <c r="ZA129" s="4"/>
      <c r="ZB129" s="4"/>
      <c r="ZC129" s="4"/>
      <c r="ZD129" s="4"/>
      <c r="ZE129" s="5"/>
      <c r="ZF129" s="6"/>
      <c r="ZG129" s="4"/>
      <c r="ZH129" s="4"/>
      <c r="ZI129" s="4"/>
      <c r="ZJ129" s="4"/>
      <c r="ZK129" s="4"/>
      <c r="ZL129" s="5"/>
      <c r="ZM129" s="6"/>
      <c r="ZN129" s="4"/>
      <c r="ZO129" s="4"/>
      <c r="ZP129" s="4"/>
      <c r="ZQ129" s="4"/>
      <c r="ZR129" s="4"/>
      <c r="ZS129" s="5"/>
      <c r="ZT129" s="6"/>
      <c r="ZU129" s="4"/>
      <c r="ZV129" s="4"/>
      <c r="ZW129" s="4"/>
      <c r="ZX129" s="4"/>
      <c r="ZY129" s="4"/>
      <c r="ZZ129" s="5"/>
      <c r="AAA129" s="6"/>
      <c r="AAB129" s="4"/>
      <c r="AAC129" s="4"/>
      <c r="AAD129" s="4"/>
      <c r="AAE129" s="4"/>
      <c r="AAF129" s="4"/>
      <c r="AAG129" s="5"/>
      <c r="AAH129" s="6"/>
      <c r="AAI129" s="4"/>
      <c r="AAJ129" s="4"/>
      <c r="AAK129" s="4"/>
      <c r="AAL129" s="4"/>
      <c r="AAM129" s="4"/>
      <c r="AAN129" s="5"/>
      <c r="AAO129" s="6"/>
      <c r="AAP129" s="4"/>
      <c r="AAQ129" s="4"/>
      <c r="AAR129" s="4"/>
      <c r="AAS129" s="4"/>
      <c r="AAT129" s="4"/>
      <c r="AAU129" s="5"/>
      <c r="AAV129" s="6"/>
      <c r="AAW129" s="4"/>
      <c r="AAX129" s="4"/>
      <c r="AAY129" s="4"/>
      <c r="AAZ129" s="4"/>
      <c r="ABA129" s="4"/>
      <c r="ABB129" s="5"/>
      <c r="ABC129" s="6"/>
      <c r="ABD129" s="4"/>
      <c r="ABE129" s="4"/>
      <c r="ABF129" s="4"/>
      <c r="ABG129" s="4"/>
      <c r="ABH129" s="4"/>
      <c r="ABI129" s="5"/>
      <c r="ABJ129" s="6"/>
      <c r="ABK129" s="4"/>
      <c r="ABL129" s="4"/>
      <c r="ABM129" s="4"/>
      <c r="ABN129" s="4"/>
      <c r="ABO129" s="4"/>
      <c r="ABP129" s="5"/>
      <c r="ABQ129" s="6" t="s">
        <v>2939</v>
      </c>
      <c r="ABR129" s="4" t="s">
        <v>2939</v>
      </c>
      <c r="ABS129" s="4"/>
      <c r="ABT129" s="4"/>
      <c r="ABU129" s="4"/>
      <c r="ABV129" s="4"/>
      <c r="ABW129" s="5"/>
      <c r="ABX129" s="6"/>
      <c r="ABY129" s="4"/>
      <c r="ABZ129" s="4"/>
      <c r="ACA129" s="4"/>
      <c r="ACB129" s="4"/>
      <c r="ACC129" s="4"/>
      <c r="ACD129" s="5"/>
      <c r="ACE129" s="6"/>
      <c r="ACF129" s="4"/>
      <c r="ACG129" s="4"/>
      <c r="ACH129" s="4"/>
      <c r="ACI129" s="4"/>
      <c r="ACJ129" s="4"/>
      <c r="ACK129" s="5"/>
      <c r="ACL129" s="6"/>
      <c r="ACM129" s="4"/>
      <c r="ACN129" s="4"/>
      <c r="ACO129" s="4"/>
      <c r="ACP129" s="4"/>
      <c r="ACQ129" s="4"/>
      <c r="ACR129" s="5"/>
      <c r="ACS129" s="6"/>
      <c r="ACT129" s="4"/>
      <c r="ACU129" s="4"/>
      <c r="ACV129" s="4"/>
      <c r="ACW129" s="4"/>
      <c r="ACX129" s="4"/>
      <c r="ACY129" s="5"/>
    </row>
    <row r="130" spans="2:779" x14ac:dyDescent="0.25">
      <c r="B130" s="30"/>
      <c r="J130" s="12"/>
      <c r="K130" s="12"/>
      <c r="L130" s="12"/>
      <c r="LL130" s="6"/>
      <c r="LM130" s="4"/>
      <c r="LN130" s="4"/>
      <c r="LO130" s="4"/>
      <c r="LP130" s="4"/>
      <c r="LQ130" s="4"/>
      <c r="LR130" s="5"/>
      <c r="LS130" s="6"/>
      <c r="LT130" s="4"/>
      <c r="LU130" s="4"/>
      <c r="LV130" s="4"/>
      <c r="LW130" s="4"/>
      <c r="LX130" s="4"/>
      <c r="LY130" s="5"/>
      <c r="LZ130" s="6"/>
      <c r="MA130" s="7"/>
      <c r="MB130" s="4"/>
      <c r="MC130" s="4"/>
      <c r="MD130" s="8"/>
      <c r="ME130" s="4"/>
      <c r="MF130" s="4"/>
      <c r="MG130" s="5"/>
      <c r="MH130" s="6"/>
      <c r="MI130" s="4"/>
      <c r="MJ130" s="4"/>
      <c r="MK130" s="4"/>
      <c r="ML130" s="4"/>
      <c r="MM130" s="4"/>
      <c r="MN130" s="5"/>
      <c r="MO130" s="6"/>
      <c r="MP130" s="4"/>
      <c r="MQ130" s="4"/>
      <c r="MR130" s="4"/>
      <c r="MS130" s="4"/>
      <c r="MT130" s="4"/>
      <c r="MU130" s="5"/>
      <c r="MV130" s="6" t="s">
        <v>2769</v>
      </c>
      <c r="MW130" s="4" t="s">
        <v>969</v>
      </c>
      <c r="MX130" s="4"/>
      <c r="MY130" s="4"/>
      <c r="MZ130" s="4"/>
      <c r="NA130" s="4"/>
      <c r="NB130" s="5"/>
      <c r="NC130" s="6"/>
      <c r="ND130" s="4"/>
      <c r="NE130" s="4"/>
      <c r="NF130" s="4"/>
      <c r="NG130" s="4"/>
      <c r="NH130" s="4"/>
      <c r="NI130" s="5"/>
      <c r="NJ130" s="6"/>
      <c r="NK130" s="4"/>
      <c r="NL130" s="4"/>
      <c r="NM130" s="4"/>
      <c r="NN130" s="4"/>
      <c r="NO130" s="4"/>
      <c r="NP130" s="5"/>
      <c r="NQ130" s="6"/>
      <c r="NR130" s="4"/>
      <c r="NS130" s="4"/>
      <c r="NT130" s="4"/>
      <c r="NU130" s="4"/>
      <c r="NV130" s="4"/>
      <c r="NW130" s="5"/>
      <c r="NX130" s="6"/>
      <c r="NY130" s="4"/>
      <c r="NZ130" s="4"/>
      <c r="OA130" s="4"/>
      <c r="OB130" s="4"/>
      <c r="OC130" s="4"/>
      <c r="OD130" s="5"/>
      <c r="OE130" s="6"/>
      <c r="OF130" s="4"/>
      <c r="OG130" s="4"/>
      <c r="OH130" s="4"/>
      <c r="OI130" s="4"/>
      <c r="OJ130" s="4"/>
      <c r="OK130" s="5"/>
      <c r="OL130" s="6"/>
      <c r="OM130" s="4"/>
      <c r="ON130" s="4"/>
      <c r="OO130" s="4"/>
      <c r="OP130" s="4"/>
      <c r="OQ130" s="4"/>
      <c r="OR130" s="5"/>
      <c r="OS130" s="6"/>
      <c r="OT130" s="4"/>
      <c r="OU130" s="4"/>
      <c r="OV130" s="4"/>
      <c r="OW130" s="4"/>
      <c r="OX130" s="4"/>
      <c r="OY130" s="5"/>
      <c r="OZ130" s="6"/>
      <c r="PA130" s="4"/>
      <c r="PB130" s="4"/>
      <c r="PC130" s="4"/>
      <c r="PD130" s="4"/>
      <c r="PE130" s="4"/>
      <c r="PF130" s="5"/>
      <c r="PG130" s="6"/>
      <c r="PH130" s="4"/>
      <c r="PI130" s="4"/>
      <c r="PJ130" s="4"/>
      <c r="PK130" s="4"/>
      <c r="PL130" s="4"/>
      <c r="PM130" s="5"/>
      <c r="PN130" s="6"/>
      <c r="PO130" s="4"/>
      <c r="PP130" s="4"/>
      <c r="PQ130" s="4"/>
      <c r="PR130" s="4"/>
      <c r="PS130" s="4"/>
      <c r="PT130" s="5"/>
      <c r="PU130" s="6"/>
      <c r="PV130" s="4"/>
      <c r="PW130" s="4"/>
      <c r="PX130" s="4"/>
      <c r="PY130" s="4"/>
      <c r="PZ130" s="4"/>
      <c r="QA130" s="5"/>
      <c r="QB130" s="6"/>
      <c r="QC130" s="4"/>
      <c r="QD130" s="4"/>
      <c r="QE130" s="4"/>
      <c r="QF130" s="4"/>
      <c r="QG130" s="4"/>
      <c r="QH130" s="5"/>
      <c r="QI130" s="6"/>
      <c r="QJ130" s="4"/>
      <c r="QK130" s="4"/>
      <c r="QL130" s="4"/>
      <c r="QM130" s="4"/>
      <c r="QN130" s="4"/>
      <c r="QO130" s="5"/>
      <c r="QP130" s="6"/>
      <c r="QQ130" s="4"/>
      <c r="QR130" s="4"/>
      <c r="QS130" s="4"/>
      <c r="QT130" s="4"/>
      <c r="QU130" s="4"/>
      <c r="QV130" s="5"/>
      <c r="QW130" s="6"/>
      <c r="QX130" s="4"/>
      <c r="QY130" s="4"/>
      <c r="QZ130" s="4"/>
      <c r="RA130" s="4"/>
      <c r="RB130" s="4"/>
      <c r="RC130" s="5"/>
      <c r="RD130" s="6"/>
      <c r="RE130" s="4"/>
      <c r="RF130" s="4"/>
      <c r="RG130" s="4"/>
      <c r="RH130" s="4"/>
      <c r="RI130" s="4"/>
      <c r="RJ130" s="5"/>
      <c r="RK130" s="6"/>
      <c r="RL130" s="4"/>
      <c r="RM130" s="4"/>
      <c r="RN130" s="4"/>
      <c r="RO130" s="4"/>
      <c r="RP130" s="4"/>
      <c r="RQ130" s="5"/>
      <c r="RR130" s="6"/>
      <c r="RS130" s="4"/>
      <c r="RT130" s="4"/>
      <c r="RU130" s="4"/>
      <c r="RV130" s="4"/>
      <c r="RW130" s="4"/>
      <c r="RX130" s="5"/>
      <c r="RY130" s="6"/>
      <c r="RZ130" s="4"/>
      <c r="SA130" s="4"/>
      <c r="SB130" s="4"/>
      <c r="SC130" s="4"/>
      <c r="SD130" s="4"/>
      <c r="SE130" s="5"/>
      <c r="SF130" s="6"/>
      <c r="SG130" s="4"/>
      <c r="SH130" s="4"/>
      <c r="SI130" s="4"/>
      <c r="SJ130" s="4"/>
      <c r="SK130" s="4"/>
      <c r="SL130" s="5"/>
      <c r="SM130" s="6"/>
      <c r="SN130" s="4"/>
      <c r="SO130" s="4"/>
      <c r="SP130" s="4"/>
      <c r="SQ130" s="4"/>
      <c r="SR130" s="4"/>
      <c r="SS130" s="5"/>
      <c r="ST130" s="6"/>
      <c r="SU130" s="4"/>
      <c r="SV130" s="4"/>
      <c r="SW130" s="4"/>
      <c r="SX130" s="4"/>
      <c r="SY130" s="4"/>
      <c r="SZ130" s="5"/>
      <c r="TA130" s="6"/>
      <c r="TB130" s="4"/>
      <c r="TC130" s="4"/>
      <c r="TD130" s="4"/>
      <c r="TE130" s="4"/>
      <c r="TF130" s="4"/>
      <c r="TG130" s="5"/>
      <c r="TH130" s="6"/>
      <c r="TI130" s="4"/>
      <c r="TJ130" s="4"/>
      <c r="TK130" s="4"/>
      <c r="TL130" s="4"/>
      <c r="TM130" s="4"/>
      <c r="TN130" s="5"/>
      <c r="TO130" s="6"/>
      <c r="TP130" s="4"/>
      <c r="TQ130" s="4"/>
      <c r="TR130" s="4"/>
      <c r="TS130" s="4"/>
      <c r="TT130" s="4"/>
      <c r="TU130" s="5"/>
      <c r="TV130" s="6"/>
      <c r="TW130" s="4"/>
      <c r="TX130" s="4"/>
      <c r="TY130" s="4"/>
      <c r="TZ130" s="4"/>
      <c r="UA130" s="4"/>
      <c r="UB130" s="5"/>
      <c r="UC130" s="6"/>
      <c r="UD130" s="4"/>
      <c r="UE130" s="4"/>
      <c r="UF130" s="4"/>
      <c r="UG130" s="4"/>
      <c r="UH130" s="4"/>
      <c r="UI130" s="5"/>
      <c r="UJ130" s="6"/>
      <c r="UK130" s="4"/>
      <c r="UL130" s="4"/>
      <c r="UM130" s="4"/>
      <c r="UN130" s="4"/>
      <c r="UO130" s="4"/>
      <c r="UP130" s="5"/>
      <c r="UQ130" s="6"/>
      <c r="UR130" s="4"/>
      <c r="US130" s="4"/>
      <c r="UT130" s="4"/>
      <c r="UU130" s="4"/>
      <c r="UV130" s="4"/>
      <c r="UW130" s="5"/>
      <c r="UX130" s="6"/>
      <c r="UY130" s="4"/>
      <c r="UZ130" s="4"/>
      <c r="VA130" s="4"/>
      <c r="VB130" s="4"/>
      <c r="VC130" s="4"/>
      <c r="VD130" s="5"/>
      <c r="VE130" s="6"/>
      <c r="VF130" s="4"/>
      <c r="VG130" s="4"/>
      <c r="VH130" s="4"/>
      <c r="VI130" s="4"/>
      <c r="VJ130" s="4"/>
      <c r="VK130" s="5"/>
      <c r="VL130" s="6"/>
      <c r="VM130" s="4"/>
      <c r="VN130" s="4"/>
      <c r="VO130" s="4"/>
      <c r="VP130" s="4"/>
      <c r="VQ130" s="4"/>
      <c r="VR130" s="5"/>
      <c r="VS130" s="6"/>
      <c r="VT130" s="4"/>
      <c r="VU130" s="4"/>
      <c r="VV130" s="4"/>
      <c r="VW130" s="4"/>
      <c r="VX130" s="4"/>
      <c r="VY130" s="5"/>
      <c r="VZ130" s="6"/>
      <c r="WA130" s="4"/>
      <c r="WB130" s="4"/>
      <c r="WC130" s="4"/>
      <c r="WD130" s="4"/>
      <c r="WE130" s="4"/>
      <c r="WF130" s="5"/>
      <c r="WG130" s="6"/>
      <c r="WH130" s="4"/>
      <c r="WI130" s="4"/>
      <c r="WJ130" s="4"/>
      <c r="WK130" s="4"/>
      <c r="WL130" s="4"/>
      <c r="WM130" s="5"/>
      <c r="WN130" s="6"/>
      <c r="WO130" s="4"/>
      <c r="WP130" s="4"/>
      <c r="WQ130" s="4"/>
      <c r="WR130" s="4"/>
      <c r="WS130" s="4"/>
      <c r="WT130" s="5"/>
      <c r="WU130" s="6"/>
      <c r="WV130" s="4"/>
      <c r="WW130" s="4"/>
      <c r="WX130" s="4"/>
      <c r="WY130" s="4"/>
      <c r="WZ130" s="4"/>
      <c r="XA130" s="5"/>
      <c r="XB130" s="6"/>
      <c r="XC130" s="4"/>
      <c r="XD130" s="4"/>
      <c r="XE130" s="4"/>
      <c r="XF130" s="4"/>
      <c r="XG130" s="4"/>
      <c r="XH130" s="5"/>
      <c r="XI130" s="6"/>
      <c r="XJ130" s="4"/>
      <c r="XK130" s="4"/>
      <c r="XL130" s="4"/>
      <c r="XM130" s="4"/>
      <c r="XN130" s="4"/>
      <c r="XO130" s="5"/>
      <c r="XP130" s="6"/>
      <c r="XQ130" s="4"/>
      <c r="XR130" s="4"/>
      <c r="XS130" s="4"/>
      <c r="XT130" s="4"/>
      <c r="XU130" s="4"/>
      <c r="XV130" s="5"/>
      <c r="XW130" s="6"/>
      <c r="XX130" s="4"/>
      <c r="XY130" s="4"/>
      <c r="XZ130" s="4"/>
      <c r="YA130" s="4"/>
      <c r="YB130" s="4"/>
      <c r="YC130" s="5"/>
      <c r="YD130" s="6"/>
      <c r="YE130" s="4"/>
      <c r="YF130" s="4"/>
      <c r="YG130" s="4"/>
      <c r="YH130" s="4"/>
      <c r="YI130" s="4"/>
      <c r="YJ130" s="5"/>
      <c r="YK130" s="6" t="s">
        <v>970</v>
      </c>
      <c r="YL130" s="4" t="s">
        <v>971</v>
      </c>
      <c r="YM130" s="4"/>
      <c r="YN130" s="4"/>
      <c r="YO130" s="4"/>
      <c r="YP130" s="4"/>
      <c r="YQ130" s="5"/>
      <c r="YR130" s="6"/>
      <c r="YS130" s="4"/>
      <c r="YT130" s="4"/>
      <c r="YU130" s="4"/>
      <c r="YV130" s="4"/>
      <c r="YW130" s="4"/>
      <c r="YX130" s="5"/>
      <c r="YY130" s="6"/>
      <c r="YZ130" s="4"/>
      <c r="ZA130" s="4"/>
      <c r="ZB130" s="4"/>
      <c r="ZC130" s="4"/>
      <c r="ZD130" s="4"/>
      <c r="ZE130" s="5"/>
      <c r="ZF130" s="6"/>
      <c r="ZG130" s="4"/>
      <c r="ZH130" s="4"/>
      <c r="ZI130" s="4"/>
      <c r="ZJ130" s="4"/>
      <c r="ZK130" s="4"/>
      <c r="ZL130" s="5"/>
      <c r="ZM130" s="6"/>
      <c r="ZN130" s="4"/>
      <c r="ZO130" s="4"/>
      <c r="ZP130" s="4"/>
      <c r="ZQ130" s="4"/>
      <c r="ZR130" s="4"/>
      <c r="ZS130" s="5"/>
      <c r="ZT130" s="6"/>
      <c r="ZU130" s="4"/>
      <c r="ZV130" s="4"/>
      <c r="ZW130" s="4"/>
      <c r="ZX130" s="4"/>
      <c r="ZY130" s="4"/>
      <c r="ZZ130" s="5"/>
      <c r="AAA130" s="6"/>
      <c r="AAB130" s="4"/>
      <c r="AAC130" s="4"/>
      <c r="AAD130" s="4"/>
      <c r="AAE130" s="4"/>
      <c r="AAF130" s="4"/>
      <c r="AAG130" s="5"/>
      <c r="AAH130" s="6"/>
      <c r="AAI130" s="4"/>
      <c r="AAJ130" s="4"/>
      <c r="AAK130" s="4"/>
      <c r="AAL130" s="4"/>
      <c r="AAM130" s="4"/>
      <c r="AAN130" s="5"/>
      <c r="AAO130" s="6"/>
      <c r="AAP130" s="4"/>
      <c r="AAQ130" s="4"/>
      <c r="AAR130" s="4"/>
      <c r="AAS130" s="4"/>
      <c r="AAT130" s="4"/>
      <c r="AAU130" s="5"/>
      <c r="AAV130" s="6"/>
      <c r="AAW130" s="4"/>
      <c r="AAX130" s="4"/>
      <c r="AAY130" s="4"/>
      <c r="AAZ130" s="4"/>
      <c r="ABA130" s="4"/>
      <c r="ABB130" s="5"/>
      <c r="ABC130" s="6"/>
      <c r="ABD130" s="4"/>
      <c r="ABE130" s="4"/>
      <c r="ABF130" s="4"/>
      <c r="ABG130" s="4"/>
      <c r="ABH130" s="4"/>
      <c r="ABI130" s="5"/>
      <c r="ABJ130" s="6"/>
      <c r="ABK130" s="4"/>
      <c r="ABL130" s="4"/>
      <c r="ABM130" s="4"/>
      <c r="ABN130" s="4"/>
      <c r="ABO130" s="4"/>
      <c r="ABP130" s="5"/>
      <c r="ABQ130" s="6"/>
      <c r="ABR130" s="4"/>
      <c r="ABS130" s="4"/>
      <c r="ABT130" s="4"/>
      <c r="ABU130" s="4"/>
      <c r="ABV130" s="4"/>
      <c r="ABW130" s="5"/>
      <c r="ABX130" s="6"/>
      <c r="ABY130" s="4"/>
      <c r="ABZ130" s="4"/>
      <c r="ACA130" s="4"/>
      <c r="ACB130" s="4"/>
      <c r="ACC130" s="4"/>
      <c r="ACD130" s="5"/>
      <c r="ACE130" s="6"/>
      <c r="ACF130" s="4"/>
      <c r="ACG130" s="4"/>
      <c r="ACH130" s="4"/>
      <c r="ACI130" s="4"/>
      <c r="ACJ130" s="4"/>
      <c r="ACK130" s="5"/>
      <c r="ACL130" s="6"/>
      <c r="ACM130" s="4"/>
      <c r="ACN130" s="4"/>
      <c r="ACO130" s="4"/>
      <c r="ACP130" s="4"/>
      <c r="ACQ130" s="4"/>
      <c r="ACR130" s="5"/>
      <c r="ACS130" s="6"/>
      <c r="ACT130" s="4"/>
      <c r="ACU130" s="4"/>
      <c r="ACV130" s="4"/>
      <c r="ACW130" s="4"/>
      <c r="ACX130" s="4"/>
      <c r="ACY130" s="5"/>
    </row>
    <row r="131" spans="2:779" x14ac:dyDescent="0.25">
      <c r="B131" s="29">
        <v>97000100</v>
      </c>
      <c r="C131">
        <v>45</v>
      </c>
      <c r="D131" t="s">
        <v>3729</v>
      </c>
      <c r="F131" s="23" t="s">
        <v>1629</v>
      </c>
      <c r="I131">
        <v>1</v>
      </c>
      <c r="J131" s="19">
        <v>34350</v>
      </c>
      <c r="K131" s="19"/>
      <c r="L131" s="19"/>
      <c r="LL131" s="6"/>
      <c r="LM131" s="4"/>
      <c r="LN131" s="4"/>
      <c r="LO131" s="4"/>
      <c r="LP131" s="4"/>
      <c r="LQ131" s="4"/>
      <c r="LR131" s="5"/>
      <c r="LS131" s="6"/>
      <c r="LT131" s="4"/>
      <c r="LU131" s="4"/>
      <c r="LV131" s="4"/>
      <c r="LW131" s="4"/>
      <c r="LX131" s="4"/>
      <c r="LY131" s="5"/>
      <c r="LZ131" s="6" t="s">
        <v>2451</v>
      </c>
      <c r="MA131" s="7" t="s">
        <v>3263</v>
      </c>
      <c r="MB131" s="4"/>
      <c r="MC131" s="4"/>
      <c r="MD131" s="8"/>
      <c r="ME131" s="4"/>
      <c r="MF131" s="4"/>
      <c r="MG131" s="5"/>
      <c r="MH131" s="6"/>
      <c r="MI131" s="4"/>
      <c r="MJ131" s="4"/>
      <c r="MK131" s="4"/>
      <c r="ML131" s="4"/>
      <c r="MM131" s="4"/>
      <c r="MN131" s="5"/>
      <c r="MO131" s="6"/>
      <c r="MP131" s="4"/>
      <c r="MQ131" s="4"/>
      <c r="MR131" s="4"/>
      <c r="MS131" s="4"/>
      <c r="MT131" s="4"/>
      <c r="MU131" s="5"/>
      <c r="MV131" s="6"/>
      <c r="MW131" s="4"/>
      <c r="MX131" s="4"/>
      <c r="MY131" s="4"/>
      <c r="MZ131" s="4"/>
      <c r="NA131" s="4"/>
      <c r="NB131" s="5"/>
      <c r="NC131" s="6" t="s">
        <v>2596</v>
      </c>
      <c r="ND131" s="4" t="s">
        <v>2597</v>
      </c>
      <c r="NE131" s="4"/>
      <c r="NF131" s="4"/>
      <c r="NG131" s="4"/>
      <c r="NH131" s="4"/>
      <c r="NI131" s="5"/>
      <c r="NJ131" s="6"/>
      <c r="NK131" s="4"/>
      <c r="NL131" s="4"/>
      <c r="NM131" s="4"/>
      <c r="NN131" s="4"/>
      <c r="NO131" s="4"/>
      <c r="NP131" s="5"/>
      <c r="NQ131" s="6"/>
      <c r="NR131" s="4"/>
      <c r="NS131" s="4"/>
      <c r="NT131" s="4"/>
      <c r="NU131" s="4"/>
      <c r="NV131" s="4"/>
      <c r="NW131" s="5"/>
      <c r="NX131" s="6"/>
      <c r="NY131" s="4"/>
      <c r="NZ131" s="4"/>
      <c r="OA131" s="4"/>
      <c r="OB131" s="4"/>
      <c r="OC131" s="4"/>
      <c r="OD131" s="5"/>
      <c r="OE131" s="6"/>
      <c r="OF131" s="4"/>
      <c r="OG131" s="4"/>
      <c r="OH131" s="4"/>
      <c r="OI131" s="4"/>
      <c r="OJ131" s="4"/>
      <c r="OK131" s="5"/>
      <c r="OL131" s="6"/>
      <c r="OM131" s="4"/>
      <c r="ON131" s="4"/>
      <c r="OO131" s="4"/>
      <c r="OP131" s="4"/>
      <c r="OQ131" s="4"/>
      <c r="OR131" s="5"/>
      <c r="OS131" s="6"/>
      <c r="OT131" s="4"/>
      <c r="OU131" s="4"/>
      <c r="OV131" s="4"/>
      <c r="OW131" s="4"/>
      <c r="OX131" s="4"/>
      <c r="OY131" s="5"/>
      <c r="OZ131" s="6"/>
      <c r="PA131" s="4"/>
      <c r="PB131" s="4"/>
      <c r="PC131" s="4"/>
      <c r="PD131" s="4"/>
      <c r="PE131" s="4"/>
      <c r="PF131" s="5"/>
      <c r="PG131" s="6"/>
      <c r="PH131" s="4"/>
      <c r="PI131" s="4"/>
      <c r="PJ131" s="4"/>
      <c r="PK131" s="4"/>
      <c r="PL131" s="4"/>
      <c r="PM131" s="5"/>
      <c r="PN131" s="6"/>
      <c r="PO131" s="4"/>
      <c r="PP131" s="4"/>
      <c r="PQ131" s="4"/>
      <c r="PR131" s="4"/>
      <c r="PS131" s="4"/>
      <c r="PT131" s="5"/>
      <c r="PU131" s="6"/>
      <c r="PV131" s="4"/>
      <c r="PW131" s="4"/>
      <c r="PX131" s="4"/>
      <c r="PY131" s="4"/>
      <c r="PZ131" s="4"/>
      <c r="QA131" s="5"/>
      <c r="QB131" s="6"/>
      <c r="QC131" s="4"/>
      <c r="QD131" s="4"/>
      <c r="QE131" s="4"/>
      <c r="QF131" s="4"/>
      <c r="QG131" s="4"/>
      <c r="QH131" s="5"/>
      <c r="QI131" s="6"/>
      <c r="QJ131" s="4"/>
      <c r="QK131" s="4"/>
      <c r="QL131" s="4"/>
      <c r="QM131" s="4"/>
      <c r="QN131" s="4"/>
      <c r="QO131" s="5"/>
      <c r="QP131" s="6"/>
      <c r="QQ131" s="4"/>
      <c r="QR131" s="4"/>
      <c r="QS131" s="4"/>
      <c r="QT131" s="4"/>
      <c r="QU131" s="4"/>
      <c r="QV131" s="5"/>
      <c r="QW131" s="6"/>
      <c r="QX131" s="4"/>
      <c r="QY131" s="4"/>
      <c r="QZ131" s="4"/>
      <c r="RA131" s="4"/>
      <c r="RB131" s="4"/>
      <c r="RC131" s="5"/>
      <c r="RD131" s="6"/>
      <c r="RE131" s="4"/>
      <c r="RF131" s="4"/>
      <c r="RG131" s="4"/>
      <c r="RH131" s="4"/>
      <c r="RI131" s="4"/>
      <c r="RJ131" s="5"/>
      <c r="RK131" s="6"/>
      <c r="RL131" s="4"/>
      <c r="RM131" s="4"/>
      <c r="RN131" s="4"/>
      <c r="RO131" s="4"/>
      <c r="RP131" s="4"/>
      <c r="RQ131" s="5"/>
      <c r="RR131" s="6"/>
      <c r="RS131" s="4"/>
      <c r="RT131" s="4"/>
      <c r="RU131" s="4"/>
      <c r="RV131" s="4"/>
      <c r="RW131" s="4"/>
      <c r="RX131" s="5"/>
      <c r="RY131" s="6"/>
      <c r="RZ131" s="4"/>
      <c r="SA131" s="4"/>
      <c r="SB131" s="4"/>
      <c r="SC131" s="4"/>
      <c r="SD131" s="4"/>
      <c r="SE131" s="5"/>
      <c r="SF131" s="6"/>
      <c r="SG131" s="4"/>
      <c r="SH131" s="4"/>
      <c r="SI131" s="4"/>
      <c r="SJ131" s="4"/>
      <c r="SK131" s="4"/>
      <c r="SL131" s="5"/>
      <c r="SM131" s="6"/>
      <c r="SN131" s="4"/>
      <c r="SO131" s="4"/>
      <c r="SP131" s="4"/>
      <c r="SQ131" s="4"/>
      <c r="SR131" s="4"/>
      <c r="SS131" s="5"/>
      <c r="ST131" s="6"/>
      <c r="SU131" s="4"/>
      <c r="SV131" s="4"/>
      <c r="SW131" s="4"/>
      <c r="SX131" s="4"/>
      <c r="SY131" s="4"/>
      <c r="SZ131" s="5"/>
      <c r="TA131" s="6"/>
      <c r="TB131" s="4"/>
      <c r="TC131" s="4"/>
      <c r="TD131" s="4"/>
      <c r="TE131" s="4"/>
      <c r="TF131" s="4"/>
      <c r="TG131" s="5"/>
      <c r="TH131" s="6"/>
      <c r="TI131" s="4"/>
      <c r="TJ131" s="4"/>
      <c r="TK131" s="4"/>
      <c r="TL131" s="4"/>
      <c r="TM131" s="4"/>
      <c r="TN131" s="5"/>
      <c r="TO131" s="6"/>
      <c r="TP131" s="4"/>
      <c r="TQ131" s="4"/>
      <c r="TR131" s="4"/>
      <c r="TS131" s="4"/>
      <c r="TT131" s="4"/>
      <c r="TU131" s="5"/>
      <c r="TV131" s="6"/>
      <c r="TW131" s="4"/>
      <c r="TX131" s="4"/>
      <c r="TY131" s="4"/>
      <c r="TZ131" s="4"/>
      <c r="UA131" s="4"/>
      <c r="UB131" s="5"/>
      <c r="UC131" s="6"/>
      <c r="UD131" s="4"/>
      <c r="UE131" s="4"/>
      <c r="UF131" s="4"/>
      <c r="UG131" s="4"/>
      <c r="UH131" s="4"/>
      <c r="UI131" s="5"/>
      <c r="UJ131" s="6"/>
      <c r="UK131" s="4"/>
      <c r="UL131" s="4"/>
      <c r="UM131" s="4"/>
      <c r="UN131" s="4"/>
      <c r="UO131" s="4"/>
      <c r="UP131" s="5"/>
      <c r="UQ131" s="6"/>
      <c r="UR131" s="4"/>
      <c r="US131" s="4"/>
      <c r="UT131" s="4"/>
      <c r="UU131" s="4"/>
      <c r="UV131" s="4"/>
      <c r="UW131" s="5"/>
      <c r="UX131" s="6"/>
      <c r="UY131" s="4"/>
      <c r="UZ131" s="4"/>
      <c r="VA131" s="4"/>
      <c r="VB131" s="4"/>
      <c r="VC131" s="4"/>
      <c r="VD131" s="5"/>
      <c r="VE131" s="6"/>
      <c r="VF131" s="4"/>
      <c r="VG131" s="4"/>
      <c r="VH131" s="4"/>
      <c r="VI131" s="4"/>
      <c r="VJ131" s="4"/>
      <c r="VK131" s="5"/>
      <c r="VL131" s="6"/>
      <c r="VM131" s="4"/>
      <c r="VN131" s="4"/>
      <c r="VO131" s="4"/>
      <c r="VP131" s="4"/>
      <c r="VQ131" s="4"/>
      <c r="VR131" s="5"/>
      <c r="VS131" s="6"/>
      <c r="VT131" s="4"/>
      <c r="VU131" s="4"/>
      <c r="VV131" s="4"/>
      <c r="VW131" s="4"/>
      <c r="VX131" s="4"/>
      <c r="VY131" s="5"/>
      <c r="VZ131" s="6"/>
      <c r="WA131" s="4"/>
      <c r="WB131" s="4"/>
      <c r="WC131" s="4"/>
      <c r="WD131" s="4"/>
      <c r="WE131" s="4"/>
      <c r="WF131" s="5"/>
      <c r="WG131" s="6"/>
      <c r="WH131" s="4"/>
      <c r="WI131" s="4"/>
      <c r="WJ131" s="4"/>
      <c r="WK131" s="4"/>
      <c r="WL131" s="4"/>
      <c r="WM131" s="5"/>
      <c r="WN131" s="6"/>
      <c r="WO131" s="4"/>
      <c r="WP131" s="4"/>
      <c r="WQ131" s="4"/>
      <c r="WR131" s="4"/>
      <c r="WS131" s="4"/>
      <c r="WT131" s="5"/>
      <c r="WU131" s="6"/>
      <c r="WV131" s="4"/>
      <c r="WW131" s="4"/>
      <c r="WX131" s="4"/>
      <c r="WY131" s="4"/>
      <c r="WZ131" s="4"/>
      <c r="XA131" s="5"/>
      <c r="XB131" s="6"/>
      <c r="XC131" s="4"/>
      <c r="XD131" s="4"/>
      <c r="XE131" s="4"/>
      <c r="XF131" s="4"/>
      <c r="XG131" s="4"/>
      <c r="XH131" s="5"/>
      <c r="XI131" s="6"/>
      <c r="XJ131" s="4"/>
      <c r="XK131" s="4"/>
      <c r="XL131" s="4"/>
      <c r="XM131" s="4"/>
      <c r="XN131" s="4"/>
      <c r="XO131" s="5"/>
      <c r="XP131" s="6"/>
      <c r="XQ131" s="4"/>
      <c r="XR131" s="4"/>
      <c r="XS131" s="4"/>
      <c r="XT131" s="4"/>
      <c r="XU131" s="4"/>
      <c r="XV131" s="5"/>
      <c r="XW131" s="6"/>
      <c r="XX131" s="4"/>
      <c r="XY131" s="4"/>
      <c r="XZ131" s="4"/>
      <c r="YA131" s="4"/>
      <c r="YB131" s="4"/>
      <c r="YC131" s="5"/>
      <c r="YD131" s="6"/>
      <c r="YE131" s="4"/>
      <c r="YF131" s="4"/>
      <c r="YG131" s="4"/>
      <c r="YH131" s="4"/>
      <c r="YI131" s="4"/>
      <c r="YJ131" s="5"/>
      <c r="YK131" s="6" t="s">
        <v>3261</v>
      </c>
      <c r="YL131" s="4" t="s">
        <v>3262</v>
      </c>
      <c r="YM131" s="4"/>
      <c r="YN131" s="4"/>
      <c r="YO131" s="4"/>
      <c r="YP131" s="4"/>
      <c r="YQ131" s="5"/>
      <c r="YR131" s="6"/>
      <c r="YS131" s="4"/>
      <c r="YT131" s="4"/>
      <c r="YU131" s="4"/>
      <c r="YV131" s="4"/>
      <c r="YW131" s="4"/>
      <c r="YX131" s="5"/>
      <c r="YY131" s="6"/>
      <c r="YZ131" s="4"/>
      <c r="ZA131" s="4"/>
      <c r="ZB131" s="4"/>
      <c r="ZC131" s="4"/>
      <c r="ZD131" s="4"/>
      <c r="ZE131" s="5"/>
      <c r="ZF131" s="6"/>
      <c r="ZG131" s="4"/>
      <c r="ZH131" s="4"/>
      <c r="ZI131" s="4"/>
      <c r="ZJ131" s="4"/>
      <c r="ZK131" s="4"/>
      <c r="ZL131" s="5"/>
      <c r="ZM131" s="6"/>
      <c r="ZN131" s="4"/>
      <c r="ZO131" s="4"/>
      <c r="ZP131" s="4"/>
      <c r="ZQ131" s="4"/>
      <c r="ZR131" s="4"/>
      <c r="ZS131" s="5"/>
      <c r="ZT131" s="6"/>
      <c r="ZU131" s="4"/>
      <c r="ZV131" s="4"/>
      <c r="ZW131" s="4"/>
      <c r="ZX131" s="4"/>
      <c r="ZY131" s="4"/>
      <c r="ZZ131" s="5"/>
      <c r="AAA131" s="6"/>
      <c r="AAB131" s="4"/>
      <c r="AAC131" s="4"/>
      <c r="AAD131" s="4"/>
      <c r="AAE131" s="4"/>
      <c r="AAF131" s="4"/>
      <c r="AAG131" s="5"/>
      <c r="AAH131" s="6"/>
      <c r="AAI131" s="4"/>
      <c r="AAJ131" s="4"/>
      <c r="AAK131" s="4"/>
      <c r="AAL131" s="4"/>
      <c r="AAM131" s="4"/>
      <c r="AAN131" s="5"/>
      <c r="AAO131" s="6"/>
      <c r="AAP131" s="4"/>
      <c r="AAQ131" s="4"/>
      <c r="AAR131" s="4"/>
      <c r="AAS131" s="4"/>
      <c r="AAT131" s="4"/>
      <c r="AAU131" s="5"/>
      <c r="AAV131" s="6"/>
      <c r="AAW131" s="4"/>
      <c r="AAX131" s="4"/>
      <c r="AAY131" s="4"/>
      <c r="AAZ131" s="4"/>
      <c r="ABA131" s="4"/>
      <c r="ABB131" s="5"/>
      <c r="ABC131" s="6"/>
      <c r="ABD131" s="4"/>
      <c r="ABE131" s="4"/>
      <c r="ABF131" s="4"/>
      <c r="ABG131" s="4"/>
      <c r="ABH131" s="4"/>
      <c r="ABI131" s="5"/>
      <c r="ABJ131" s="6"/>
      <c r="ABK131" s="4"/>
      <c r="ABL131" s="4"/>
      <c r="ABM131" s="4"/>
      <c r="ABN131" s="4"/>
      <c r="ABO131" s="4"/>
      <c r="ABP131" s="5"/>
      <c r="ABQ131" s="6"/>
      <c r="ABR131" s="4"/>
      <c r="ABS131" s="4"/>
      <c r="ABT131" s="4"/>
      <c r="ABU131" s="4"/>
      <c r="ABV131" s="4"/>
      <c r="ABW131" s="5"/>
      <c r="ABX131" s="6"/>
      <c r="ABY131" s="4"/>
      <c r="ABZ131" s="4"/>
      <c r="ACA131" s="4"/>
      <c r="ACB131" s="4"/>
      <c r="ACC131" s="4"/>
      <c r="ACD131" s="5"/>
      <c r="ACE131" s="6"/>
      <c r="ACF131" s="4"/>
      <c r="ACG131" s="4"/>
      <c r="ACH131" s="4"/>
      <c r="ACI131" s="4"/>
      <c r="ACJ131" s="4"/>
      <c r="ACK131" s="5"/>
      <c r="ACL131" s="6"/>
      <c r="ACM131" s="4"/>
      <c r="ACN131" s="4"/>
      <c r="ACO131" s="4"/>
      <c r="ACP131" s="4"/>
      <c r="ACQ131" s="4"/>
      <c r="ACR131" s="5"/>
      <c r="ACS131" s="6"/>
      <c r="ACT131" s="4"/>
      <c r="ACU131" s="4"/>
      <c r="ACV131" s="4"/>
      <c r="ACW131" s="4"/>
      <c r="ACX131" s="4"/>
      <c r="ACY131" s="5"/>
    </row>
    <row r="132" spans="2:779" x14ac:dyDescent="0.25">
      <c r="B132" s="30"/>
      <c r="J132" s="12"/>
      <c r="K132" s="12"/>
      <c r="L132" s="12"/>
      <c r="LL132" s="6"/>
      <c r="LM132" s="4"/>
      <c r="LN132" s="4"/>
      <c r="LO132" s="4"/>
      <c r="LP132" s="4"/>
      <c r="LQ132" s="4"/>
      <c r="LR132" s="5"/>
      <c r="LS132" s="6"/>
      <c r="LT132" s="4"/>
      <c r="LU132" s="4"/>
      <c r="LV132" s="4"/>
      <c r="LW132" s="4"/>
      <c r="LX132" s="4"/>
      <c r="LY132" s="5"/>
      <c r="LZ132" s="6" t="s">
        <v>3264</v>
      </c>
      <c r="MA132" s="7" t="s">
        <v>2234</v>
      </c>
      <c r="MB132" s="4"/>
      <c r="MC132" s="4"/>
      <c r="MD132" s="8"/>
      <c r="ME132" s="4"/>
      <c r="MF132" s="4"/>
      <c r="MG132" s="5"/>
      <c r="MH132" s="6"/>
      <c r="MI132" s="4"/>
      <c r="MJ132" s="4"/>
      <c r="MK132" s="4"/>
      <c r="ML132" s="4"/>
      <c r="MM132" s="4"/>
      <c r="MN132" s="5"/>
      <c r="MO132" s="6"/>
      <c r="MP132" s="4"/>
      <c r="MQ132" s="4"/>
      <c r="MR132" s="4"/>
      <c r="MS132" s="4"/>
      <c r="MT132" s="4"/>
      <c r="MU132" s="5"/>
      <c r="MV132" s="6"/>
      <c r="MW132" s="4"/>
      <c r="MX132" s="4"/>
      <c r="MY132" s="4"/>
      <c r="MZ132" s="4"/>
      <c r="NA132" s="4"/>
      <c r="NB132" s="5"/>
      <c r="NC132" s="6"/>
      <c r="ND132" s="4"/>
      <c r="NE132" s="4"/>
      <c r="NF132" s="4"/>
      <c r="NG132" s="4"/>
      <c r="NH132" s="4"/>
      <c r="NI132" s="5"/>
      <c r="NJ132" s="6"/>
      <c r="NK132" s="4"/>
      <c r="NL132" s="4"/>
      <c r="NM132" s="4"/>
      <c r="NN132" s="4"/>
      <c r="NO132" s="4"/>
      <c r="NP132" s="5"/>
      <c r="NQ132" s="6"/>
      <c r="NR132" s="4"/>
      <c r="NS132" s="4"/>
      <c r="NT132" s="4"/>
      <c r="NU132" s="4"/>
      <c r="NV132" s="4"/>
      <c r="NW132" s="5"/>
      <c r="NX132" s="6"/>
      <c r="NY132" s="4"/>
      <c r="NZ132" s="4"/>
      <c r="OA132" s="4"/>
      <c r="OB132" s="4"/>
      <c r="OC132" s="4"/>
      <c r="OD132" s="5"/>
      <c r="OE132" s="6"/>
      <c r="OF132" s="4"/>
      <c r="OG132" s="4"/>
      <c r="OH132" s="4"/>
      <c r="OI132" s="4"/>
      <c r="OJ132" s="4"/>
      <c r="OK132" s="5"/>
      <c r="OL132" s="6"/>
      <c r="OM132" s="4"/>
      <c r="ON132" s="4"/>
      <c r="OO132" s="4"/>
      <c r="OP132" s="4"/>
      <c r="OQ132" s="4"/>
      <c r="OR132" s="5"/>
      <c r="OS132" s="6"/>
      <c r="OT132" s="4"/>
      <c r="OU132" s="4"/>
      <c r="OV132" s="4"/>
      <c r="OW132" s="4"/>
      <c r="OX132" s="4"/>
      <c r="OY132" s="5"/>
      <c r="OZ132" s="6"/>
      <c r="PA132" s="4"/>
      <c r="PB132" s="4"/>
      <c r="PC132" s="4"/>
      <c r="PD132" s="4"/>
      <c r="PE132" s="4"/>
      <c r="PF132" s="5"/>
      <c r="PG132" s="6"/>
      <c r="PH132" s="4"/>
      <c r="PI132" s="4"/>
      <c r="PJ132" s="4"/>
      <c r="PK132" s="4"/>
      <c r="PL132" s="4"/>
      <c r="PM132" s="5"/>
      <c r="PN132" s="6"/>
      <c r="PO132" s="4"/>
      <c r="PP132" s="4"/>
      <c r="PQ132" s="4"/>
      <c r="PR132" s="4"/>
      <c r="PS132" s="4"/>
      <c r="PT132" s="5"/>
      <c r="PU132" s="6"/>
      <c r="PV132" s="4"/>
      <c r="PW132" s="4"/>
      <c r="PX132" s="4"/>
      <c r="PY132" s="4"/>
      <c r="PZ132" s="4"/>
      <c r="QA132" s="5"/>
      <c r="QB132" s="6"/>
      <c r="QC132" s="4"/>
      <c r="QD132" s="4"/>
      <c r="QE132" s="4"/>
      <c r="QF132" s="4"/>
      <c r="QG132" s="4"/>
      <c r="QH132" s="5"/>
      <c r="QI132" s="6"/>
      <c r="QJ132" s="4"/>
      <c r="QK132" s="4"/>
      <c r="QL132" s="4"/>
      <c r="QM132" s="4"/>
      <c r="QN132" s="4"/>
      <c r="QO132" s="5"/>
      <c r="QP132" s="6"/>
      <c r="QQ132" s="4"/>
      <c r="QR132" s="4"/>
      <c r="QS132" s="4"/>
      <c r="QT132" s="4"/>
      <c r="QU132" s="4"/>
      <c r="QV132" s="5"/>
      <c r="QW132" s="6"/>
      <c r="QX132" s="4"/>
      <c r="QY132" s="4"/>
      <c r="QZ132" s="4"/>
      <c r="RA132" s="4"/>
      <c r="RB132" s="4"/>
      <c r="RC132" s="5"/>
      <c r="RD132" s="6"/>
      <c r="RE132" s="4"/>
      <c r="RF132" s="4"/>
      <c r="RG132" s="4"/>
      <c r="RH132" s="4"/>
      <c r="RI132" s="4"/>
      <c r="RJ132" s="5"/>
      <c r="RK132" s="6"/>
      <c r="RL132" s="4"/>
      <c r="RM132" s="4"/>
      <c r="RN132" s="4"/>
      <c r="RO132" s="4"/>
      <c r="RP132" s="4"/>
      <c r="RQ132" s="5"/>
      <c r="RR132" s="6"/>
      <c r="RS132" s="4"/>
      <c r="RT132" s="4"/>
      <c r="RU132" s="4"/>
      <c r="RV132" s="4"/>
      <c r="RW132" s="4"/>
      <c r="RX132" s="5"/>
      <c r="RY132" s="6"/>
      <c r="RZ132" s="4"/>
      <c r="SA132" s="4"/>
      <c r="SB132" s="4"/>
      <c r="SC132" s="4"/>
      <c r="SD132" s="4"/>
      <c r="SE132" s="5"/>
      <c r="SF132" s="6"/>
      <c r="SG132" s="4"/>
      <c r="SH132" s="4"/>
      <c r="SI132" s="4"/>
      <c r="SJ132" s="4"/>
      <c r="SK132" s="4"/>
      <c r="SL132" s="5"/>
      <c r="SM132" s="6"/>
      <c r="SN132" s="4"/>
      <c r="SO132" s="4"/>
      <c r="SP132" s="4"/>
      <c r="SQ132" s="4"/>
      <c r="SR132" s="4"/>
      <c r="SS132" s="5"/>
      <c r="ST132" s="6"/>
      <c r="SU132" s="4"/>
      <c r="SV132" s="4"/>
      <c r="SW132" s="4"/>
      <c r="SX132" s="4"/>
      <c r="SY132" s="4"/>
      <c r="SZ132" s="5"/>
      <c r="TA132" s="6"/>
      <c r="TB132" s="4"/>
      <c r="TC132" s="4"/>
      <c r="TD132" s="4"/>
      <c r="TE132" s="4"/>
      <c r="TF132" s="4"/>
      <c r="TG132" s="5"/>
      <c r="TH132" s="6"/>
      <c r="TI132" s="4"/>
      <c r="TJ132" s="4"/>
      <c r="TK132" s="4"/>
      <c r="TL132" s="4"/>
      <c r="TM132" s="4"/>
      <c r="TN132" s="5"/>
      <c r="TO132" s="6"/>
      <c r="TP132" s="4"/>
      <c r="TQ132" s="4"/>
      <c r="TR132" s="4"/>
      <c r="TS132" s="4"/>
      <c r="TT132" s="4"/>
      <c r="TU132" s="5"/>
      <c r="TV132" s="6"/>
      <c r="TW132" s="4"/>
      <c r="TX132" s="4"/>
      <c r="TY132" s="4"/>
      <c r="TZ132" s="4"/>
      <c r="UA132" s="4"/>
      <c r="UB132" s="5"/>
      <c r="UC132" s="6"/>
      <c r="UD132" s="4"/>
      <c r="UE132" s="4"/>
      <c r="UF132" s="4"/>
      <c r="UG132" s="4"/>
      <c r="UH132" s="4"/>
      <c r="UI132" s="5"/>
      <c r="UJ132" s="6"/>
      <c r="UK132" s="4"/>
      <c r="UL132" s="4"/>
      <c r="UM132" s="4"/>
      <c r="UN132" s="4"/>
      <c r="UO132" s="4"/>
      <c r="UP132" s="5"/>
      <c r="UQ132" s="6"/>
      <c r="UR132" s="4"/>
      <c r="US132" s="4"/>
      <c r="UT132" s="4"/>
      <c r="UU132" s="4"/>
      <c r="UV132" s="4"/>
      <c r="UW132" s="5"/>
      <c r="UX132" s="6"/>
      <c r="UY132" s="4"/>
      <c r="UZ132" s="4"/>
      <c r="VA132" s="4"/>
      <c r="VB132" s="4"/>
      <c r="VC132" s="4"/>
      <c r="VD132" s="5"/>
      <c r="VE132" s="6"/>
      <c r="VF132" s="4"/>
      <c r="VG132" s="4"/>
      <c r="VH132" s="4"/>
      <c r="VI132" s="4"/>
      <c r="VJ132" s="4"/>
      <c r="VK132" s="5"/>
      <c r="VL132" s="6"/>
      <c r="VM132" s="4"/>
      <c r="VN132" s="4"/>
      <c r="VO132" s="4"/>
      <c r="VP132" s="4"/>
      <c r="VQ132" s="4"/>
      <c r="VR132" s="5"/>
      <c r="VS132" s="6"/>
      <c r="VT132" s="4"/>
      <c r="VU132" s="4"/>
      <c r="VV132" s="4"/>
      <c r="VW132" s="4"/>
      <c r="VX132" s="4"/>
      <c r="VY132" s="5"/>
      <c r="VZ132" s="6"/>
      <c r="WA132" s="4"/>
      <c r="WB132" s="4"/>
      <c r="WC132" s="4"/>
      <c r="WD132" s="4"/>
      <c r="WE132" s="4"/>
      <c r="WF132" s="5"/>
      <c r="WG132" s="6"/>
      <c r="WH132" s="4"/>
      <c r="WI132" s="4"/>
      <c r="WJ132" s="4"/>
      <c r="WK132" s="4"/>
      <c r="WL132" s="4"/>
      <c r="WM132" s="5"/>
      <c r="WN132" s="6"/>
      <c r="WO132" s="4"/>
      <c r="WP132" s="4"/>
      <c r="WQ132" s="4"/>
      <c r="WR132" s="4"/>
      <c r="WS132" s="4"/>
      <c r="WT132" s="5"/>
      <c r="WU132" s="6"/>
      <c r="WV132" s="4"/>
      <c r="WW132" s="4"/>
      <c r="WX132" s="4"/>
      <c r="WY132" s="4"/>
      <c r="WZ132" s="4"/>
      <c r="XA132" s="5"/>
      <c r="XB132" s="6"/>
      <c r="XC132" s="4"/>
      <c r="XD132" s="4"/>
      <c r="XE132" s="4"/>
      <c r="XF132" s="4"/>
      <c r="XG132" s="4"/>
      <c r="XH132" s="5"/>
      <c r="XI132" s="6"/>
      <c r="XJ132" s="4"/>
      <c r="XK132" s="4"/>
      <c r="XL132" s="4"/>
      <c r="XM132" s="4"/>
      <c r="XN132" s="4"/>
      <c r="XO132" s="5"/>
      <c r="XP132" s="6"/>
      <c r="XQ132" s="4"/>
      <c r="XR132" s="4"/>
      <c r="XS132" s="4"/>
      <c r="XT132" s="4"/>
      <c r="XU132" s="4"/>
      <c r="XV132" s="5"/>
      <c r="XW132" s="6"/>
      <c r="XX132" s="4"/>
      <c r="XY132" s="4"/>
      <c r="XZ132" s="4"/>
      <c r="YA132" s="4"/>
      <c r="YB132" s="4"/>
      <c r="YC132" s="5"/>
      <c r="YD132" s="6"/>
      <c r="YE132" s="4"/>
      <c r="YF132" s="4"/>
      <c r="YG132" s="4"/>
      <c r="YH132" s="4"/>
      <c r="YI132" s="4"/>
      <c r="YJ132" s="5"/>
      <c r="YK132" s="6" t="s">
        <v>3118</v>
      </c>
      <c r="YL132" s="4" t="s">
        <v>2974</v>
      </c>
      <c r="YM132" s="4"/>
      <c r="YN132" s="4"/>
      <c r="YO132" s="4"/>
      <c r="YP132" s="4"/>
      <c r="YQ132" s="5"/>
      <c r="YR132" s="6"/>
      <c r="YS132" s="4"/>
      <c r="YT132" s="4"/>
      <c r="YU132" s="4"/>
      <c r="YV132" s="4"/>
      <c r="YW132" s="4"/>
      <c r="YX132" s="5"/>
      <c r="YY132" s="6"/>
      <c r="YZ132" s="4"/>
      <c r="ZA132" s="4"/>
      <c r="ZB132" s="4"/>
      <c r="ZC132" s="4"/>
      <c r="ZD132" s="4"/>
      <c r="ZE132" s="5"/>
      <c r="ZF132" s="6"/>
      <c r="ZG132" s="4"/>
      <c r="ZH132" s="4"/>
      <c r="ZI132" s="4"/>
      <c r="ZJ132" s="4"/>
      <c r="ZK132" s="4"/>
      <c r="ZL132" s="5"/>
      <c r="ZM132" s="6"/>
      <c r="ZN132" s="4"/>
      <c r="ZO132" s="4"/>
      <c r="ZP132" s="4"/>
      <c r="ZQ132" s="4"/>
      <c r="ZR132" s="4"/>
      <c r="ZS132" s="5"/>
      <c r="ZT132" s="6"/>
      <c r="ZU132" s="4"/>
      <c r="ZV132" s="4"/>
      <c r="ZW132" s="4"/>
      <c r="ZX132" s="4"/>
      <c r="ZY132" s="4"/>
      <c r="ZZ132" s="5"/>
      <c r="AAA132" s="6"/>
      <c r="AAB132" s="4"/>
      <c r="AAC132" s="4"/>
      <c r="AAD132" s="4"/>
      <c r="AAE132" s="4"/>
      <c r="AAF132" s="4"/>
      <c r="AAG132" s="5"/>
      <c r="AAH132" s="6"/>
      <c r="AAI132" s="4"/>
      <c r="AAJ132" s="4"/>
      <c r="AAK132" s="4"/>
      <c r="AAL132" s="4"/>
      <c r="AAM132" s="4"/>
      <c r="AAN132" s="5"/>
      <c r="AAO132" s="6"/>
      <c r="AAP132" s="4"/>
      <c r="AAQ132" s="4"/>
      <c r="AAR132" s="4"/>
      <c r="AAS132" s="4"/>
      <c r="AAT132" s="4"/>
      <c r="AAU132" s="5"/>
      <c r="AAV132" s="6"/>
      <c r="AAW132" s="4"/>
      <c r="AAX132" s="4"/>
      <c r="AAY132" s="4"/>
      <c r="AAZ132" s="4"/>
      <c r="ABA132" s="4"/>
      <c r="ABB132" s="5"/>
      <c r="ABC132" s="6"/>
      <c r="ABD132" s="4"/>
      <c r="ABE132" s="4"/>
      <c r="ABF132" s="4"/>
      <c r="ABG132" s="4"/>
      <c r="ABH132" s="4"/>
      <c r="ABI132" s="5"/>
      <c r="ABJ132" s="6"/>
      <c r="ABK132" s="4"/>
      <c r="ABL132" s="4"/>
      <c r="ABM132" s="4"/>
      <c r="ABN132" s="4"/>
      <c r="ABO132" s="4"/>
      <c r="ABP132" s="5"/>
      <c r="ABQ132" s="6"/>
      <c r="ABR132" s="4"/>
      <c r="ABS132" s="4"/>
      <c r="ABT132" s="4"/>
      <c r="ABU132" s="4"/>
      <c r="ABV132" s="4"/>
      <c r="ABW132" s="5"/>
      <c r="ABX132" s="6"/>
      <c r="ABY132" s="4"/>
      <c r="ABZ132" s="4"/>
      <c r="ACA132" s="4"/>
      <c r="ACB132" s="4"/>
      <c r="ACC132" s="4"/>
      <c r="ACD132" s="5"/>
      <c r="ACE132" s="6"/>
      <c r="ACF132" s="4"/>
      <c r="ACG132" s="4"/>
      <c r="ACH132" s="4"/>
      <c r="ACI132" s="4"/>
      <c r="ACJ132" s="4"/>
      <c r="ACK132" s="5"/>
      <c r="ACL132" s="6"/>
      <c r="ACM132" s="4"/>
      <c r="ACN132" s="4"/>
      <c r="ACO132" s="4"/>
      <c r="ACP132" s="4"/>
      <c r="ACQ132" s="4"/>
      <c r="ACR132" s="5"/>
      <c r="ACS132" s="6"/>
      <c r="ACT132" s="4"/>
      <c r="ACU132" s="4"/>
      <c r="ACV132" s="4"/>
      <c r="ACW132" s="4"/>
      <c r="ACX132" s="4"/>
      <c r="ACY132" s="5"/>
    </row>
    <row r="133" spans="2:779" x14ac:dyDescent="0.25">
      <c r="B133" s="30"/>
      <c r="J133" s="12"/>
      <c r="K133" s="12"/>
      <c r="L133" s="12"/>
      <c r="LL133" s="6"/>
      <c r="LM133" s="4"/>
      <c r="LN133" s="4"/>
      <c r="LO133" s="4"/>
      <c r="LP133" s="4"/>
      <c r="LQ133" s="4"/>
      <c r="LR133" s="5"/>
      <c r="LS133" s="6"/>
      <c r="LT133" s="4"/>
      <c r="LU133" s="4"/>
      <c r="LV133" s="4"/>
      <c r="LW133" s="4"/>
      <c r="LX133" s="4"/>
      <c r="LY133" s="5"/>
      <c r="LZ133" s="6" t="s">
        <v>3265</v>
      </c>
      <c r="MA133" s="7" t="s">
        <v>3250</v>
      </c>
      <c r="MB133" s="4"/>
      <c r="MC133" s="4"/>
      <c r="MD133" s="8"/>
      <c r="ME133" s="4"/>
      <c r="MF133" s="4"/>
      <c r="MG133" s="5"/>
      <c r="MH133" s="6"/>
      <c r="MI133" s="4"/>
      <c r="MJ133" s="4"/>
      <c r="MK133" s="4"/>
      <c r="ML133" s="4"/>
      <c r="MM133" s="4"/>
      <c r="MN133" s="5"/>
      <c r="MO133" s="6"/>
      <c r="MP133" s="4"/>
      <c r="MQ133" s="4"/>
      <c r="MR133" s="4"/>
      <c r="MS133" s="4"/>
      <c r="MT133" s="4"/>
      <c r="MU133" s="5"/>
      <c r="MV133" s="6"/>
      <c r="MW133" s="4"/>
      <c r="MX133" s="4"/>
      <c r="MY133" s="4"/>
      <c r="MZ133" s="4"/>
      <c r="NA133" s="4"/>
      <c r="NB133" s="5"/>
      <c r="NC133" s="6"/>
      <c r="ND133" s="4"/>
      <c r="NE133" s="4"/>
      <c r="NF133" s="4"/>
      <c r="NG133" s="4"/>
      <c r="NH133" s="4"/>
      <c r="NI133" s="5"/>
      <c r="NJ133" s="6"/>
      <c r="NK133" s="4"/>
      <c r="NL133" s="4"/>
      <c r="NM133" s="4"/>
      <c r="NN133" s="4"/>
      <c r="NO133" s="4"/>
      <c r="NP133" s="5"/>
      <c r="NQ133" s="6"/>
      <c r="NR133" s="4"/>
      <c r="NS133" s="4"/>
      <c r="NT133" s="4"/>
      <c r="NU133" s="4"/>
      <c r="NV133" s="4"/>
      <c r="NW133" s="5"/>
      <c r="NX133" s="6"/>
      <c r="NY133" s="4"/>
      <c r="NZ133" s="4"/>
      <c r="OA133" s="4"/>
      <c r="OB133" s="4"/>
      <c r="OC133" s="4"/>
      <c r="OD133" s="5"/>
      <c r="OE133" s="6"/>
      <c r="OF133" s="4"/>
      <c r="OG133" s="4"/>
      <c r="OH133" s="4"/>
      <c r="OI133" s="4"/>
      <c r="OJ133" s="4"/>
      <c r="OK133" s="5"/>
      <c r="OL133" s="6"/>
      <c r="OM133" s="4"/>
      <c r="ON133" s="4"/>
      <c r="OO133" s="4"/>
      <c r="OP133" s="4"/>
      <c r="OQ133" s="4"/>
      <c r="OR133" s="5"/>
      <c r="OS133" s="6"/>
      <c r="OT133" s="4"/>
      <c r="OU133" s="4"/>
      <c r="OV133" s="4"/>
      <c r="OW133" s="4"/>
      <c r="OX133" s="4"/>
      <c r="OY133" s="5"/>
      <c r="OZ133" s="6"/>
      <c r="PA133" s="4"/>
      <c r="PB133" s="4"/>
      <c r="PC133" s="4"/>
      <c r="PD133" s="4"/>
      <c r="PE133" s="4"/>
      <c r="PF133" s="5"/>
      <c r="PG133" s="6"/>
      <c r="PH133" s="4"/>
      <c r="PI133" s="4"/>
      <c r="PJ133" s="4"/>
      <c r="PK133" s="4"/>
      <c r="PL133" s="4"/>
      <c r="PM133" s="5"/>
      <c r="PN133" s="6"/>
      <c r="PO133" s="4"/>
      <c r="PP133" s="4"/>
      <c r="PQ133" s="4"/>
      <c r="PR133" s="4"/>
      <c r="PS133" s="4"/>
      <c r="PT133" s="5"/>
      <c r="PU133" s="6"/>
      <c r="PV133" s="4"/>
      <c r="PW133" s="4"/>
      <c r="PX133" s="4"/>
      <c r="PY133" s="4"/>
      <c r="PZ133" s="4"/>
      <c r="QA133" s="5"/>
      <c r="QB133" s="6"/>
      <c r="QC133" s="4"/>
      <c r="QD133" s="4"/>
      <c r="QE133" s="4"/>
      <c r="QF133" s="4"/>
      <c r="QG133" s="4"/>
      <c r="QH133" s="5"/>
      <c r="QI133" s="6"/>
      <c r="QJ133" s="4"/>
      <c r="QK133" s="4"/>
      <c r="QL133" s="4"/>
      <c r="QM133" s="4"/>
      <c r="QN133" s="4"/>
      <c r="QO133" s="5"/>
      <c r="QP133" s="6"/>
      <c r="QQ133" s="4"/>
      <c r="QR133" s="4"/>
      <c r="QS133" s="4"/>
      <c r="QT133" s="4"/>
      <c r="QU133" s="4"/>
      <c r="QV133" s="5"/>
      <c r="QW133" s="6"/>
      <c r="QX133" s="4"/>
      <c r="QY133" s="4"/>
      <c r="QZ133" s="4"/>
      <c r="RA133" s="4"/>
      <c r="RB133" s="4"/>
      <c r="RC133" s="5"/>
      <c r="RD133" s="6"/>
      <c r="RE133" s="4"/>
      <c r="RF133" s="4"/>
      <c r="RG133" s="4"/>
      <c r="RH133" s="4"/>
      <c r="RI133" s="4"/>
      <c r="RJ133" s="5"/>
      <c r="RK133" s="6"/>
      <c r="RL133" s="4"/>
      <c r="RM133" s="4"/>
      <c r="RN133" s="4"/>
      <c r="RO133" s="4"/>
      <c r="RP133" s="4"/>
      <c r="RQ133" s="5"/>
      <c r="RR133" s="6"/>
      <c r="RS133" s="4"/>
      <c r="RT133" s="4"/>
      <c r="RU133" s="4"/>
      <c r="RV133" s="4"/>
      <c r="RW133" s="4"/>
      <c r="RX133" s="5"/>
      <c r="RY133" s="6"/>
      <c r="RZ133" s="4"/>
      <c r="SA133" s="4"/>
      <c r="SB133" s="4"/>
      <c r="SC133" s="4"/>
      <c r="SD133" s="4"/>
      <c r="SE133" s="5"/>
      <c r="SF133" s="6"/>
      <c r="SG133" s="4"/>
      <c r="SH133" s="4"/>
      <c r="SI133" s="4"/>
      <c r="SJ133" s="4"/>
      <c r="SK133" s="4"/>
      <c r="SL133" s="5"/>
      <c r="SM133" s="6"/>
      <c r="SN133" s="4"/>
      <c r="SO133" s="4"/>
      <c r="SP133" s="4"/>
      <c r="SQ133" s="4"/>
      <c r="SR133" s="4"/>
      <c r="SS133" s="5"/>
      <c r="ST133" s="6"/>
      <c r="SU133" s="4"/>
      <c r="SV133" s="4"/>
      <c r="SW133" s="4"/>
      <c r="SX133" s="4"/>
      <c r="SY133" s="4"/>
      <c r="SZ133" s="5"/>
      <c r="TA133" s="6"/>
      <c r="TB133" s="4"/>
      <c r="TC133" s="4"/>
      <c r="TD133" s="4"/>
      <c r="TE133" s="4"/>
      <c r="TF133" s="4"/>
      <c r="TG133" s="5"/>
      <c r="TH133" s="6"/>
      <c r="TI133" s="4"/>
      <c r="TJ133" s="4"/>
      <c r="TK133" s="4"/>
      <c r="TL133" s="4"/>
      <c r="TM133" s="4"/>
      <c r="TN133" s="5"/>
      <c r="TO133" s="6"/>
      <c r="TP133" s="4"/>
      <c r="TQ133" s="4"/>
      <c r="TR133" s="4"/>
      <c r="TS133" s="4"/>
      <c r="TT133" s="4"/>
      <c r="TU133" s="5"/>
      <c r="TV133" s="6"/>
      <c r="TW133" s="4"/>
      <c r="TX133" s="4"/>
      <c r="TY133" s="4"/>
      <c r="TZ133" s="4"/>
      <c r="UA133" s="4"/>
      <c r="UB133" s="5"/>
      <c r="UC133" s="6"/>
      <c r="UD133" s="4"/>
      <c r="UE133" s="4"/>
      <c r="UF133" s="4"/>
      <c r="UG133" s="4"/>
      <c r="UH133" s="4"/>
      <c r="UI133" s="5"/>
      <c r="UJ133" s="6"/>
      <c r="UK133" s="4"/>
      <c r="UL133" s="4"/>
      <c r="UM133" s="4"/>
      <c r="UN133" s="4"/>
      <c r="UO133" s="4"/>
      <c r="UP133" s="5"/>
      <c r="UQ133" s="6"/>
      <c r="UR133" s="4"/>
      <c r="US133" s="4"/>
      <c r="UT133" s="4"/>
      <c r="UU133" s="4"/>
      <c r="UV133" s="4"/>
      <c r="UW133" s="5"/>
      <c r="UX133" s="6"/>
      <c r="UY133" s="4"/>
      <c r="UZ133" s="4"/>
      <c r="VA133" s="4"/>
      <c r="VB133" s="4"/>
      <c r="VC133" s="4"/>
      <c r="VD133" s="5"/>
      <c r="VE133" s="6"/>
      <c r="VF133" s="4"/>
      <c r="VG133" s="4"/>
      <c r="VH133" s="4"/>
      <c r="VI133" s="4"/>
      <c r="VJ133" s="4"/>
      <c r="VK133" s="5"/>
      <c r="VL133" s="6"/>
      <c r="VM133" s="4"/>
      <c r="VN133" s="4"/>
      <c r="VO133" s="4"/>
      <c r="VP133" s="4"/>
      <c r="VQ133" s="4"/>
      <c r="VR133" s="5"/>
      <c r="VS133" s="6"/>
      <c r="VT133" s="4"/>
      <c r="VU133" s="4"/>
      <c r="VV133" s="4"/>
      <c r="VW133" s="4"/>
      <c r="VX133" s="4"/>
      <c r="VY133" s="5"/>
      <c r="VZ133" s="6"/>
      <c r="WA133" s="4"/>
      <c r="WB133" s="4"/>
      <c r="WC133" s="4"/>
      <c r="WD133" s="4"/>
      <c r="WE133" s="4"/>
      <c r="WF133" s="5"/>
      <c r="WG133" s="6"/>
      <c r="WH133" s="4"/>
      <c r="WI133" s="4"/>
      <c r="WJ133" s="4"/>
      <c r="WK133" s="4"/>
      <c r="WL133" s="4"/>
      <c r="WM133" s="5"/>
      <c r="WN133" s="6"/>
      <c r="WO133" s="4"/>
      <c r="WP133" s="4"/>
      <c r="WQ133" s="4"/>
      <c r="WR133" s="4"/>
      <c r="WS133" s="4"/>
      <c r="WT133" s="5"/>
      <c r="WU133" s="6"/>
      <c r="WV133" s="4"/>
      <c r="WW133" s="4"/>
      <c r="WX133" s="4"/>
      <c r="WY133" s="4"/>
      <c r="WZ133" s="4"/>
      <c r="XA133" s="5"/>
      <c r="XB133" s="6"/>
      <c r="XC133" s="4"/>
      <c r="XD133" s="4"/>
      <c r="XE133" s="4"/>
      <c r="XF133" s="4"/>
      <c r="XG133" s="4"/>
      <c r="XH133" s="5"/>
      <c r="XI133" s="6"/>
      <c r="XJ133" s="4"/>
      <c r="XK133" s="4"/>
      <c r="XL133" s="4"/>
      <c r="XM133" s="4"/>
      <c r="XN133" s="4"/>
      <c r="XO133" s="5"/>
      <c r="XP133" s="6"/>
      <c r="XQ133" s="4"/>
      <c r="XR133" s="4"/>
      <c r="XS133" s="4"/>
      <c r="XT133" s="4"/>
      <c r="XU133" s="4"/>
      <c r="XV133" s="5"/>
      <c r="XW133" s="6"/>
      <c r="XX133" s="4"/>
      <c r="XY133" s="4"/>
      <c r="XZ133" s="4"/>
      <c r="YA133" s="4"/>
      <c r="YB133" s="4"/>
      <c r="YC133" s="5"/>
      <c r="YD133" s="6"/>
      <c r="YE133" s="4"/>
      <c r="YF133" s="4"/>
      <c r="YG133" s="4"/>
      <c r="YH133" s="4"/>
      <c r="YI133" s="4"/>
      <c r="YJ133" s="5"/>
      <c r="YK133" s="6"/>
      <c r="YL133" s="4"/>
      <c r="YM133" s="4"/>
      <c r="YN133" s="4"/>
      <c r="YO133" s="4"/>
      <c r="YP133" s="4"/>
      <c r="YQ133" s="5"/>
      <c r="YR133" s="6"/>
      <c r="YS133" s="4"/>
      <c r="YT133" s="4"/>
      <c r="YU133" s="4"/>
      <c r="YV133" s="4"/>
      <c r="YW133" s="4"/>
      <c r="YX133" s="5"/>
      <c r="YY133" s="6"/>
      <c r="YZ133" s="4"/>
      <c r="ZA133" s="4"/>
      <c r="ZB133" s="4"/>
      <c r="ZC133" s="4"/>
      <c r="ZD133" s="4"/>
      <c r="ZE133" s="5"/>
      <c r="ZF133" s="6"/>
      <c r="ZG133" s="4"/>
      <c r="ZH133" s="4"/>
      <c r="ZI133" s="4"/>
      <c r="ZJ133" s="4"/>
      <c r="ZK133" s="4"/>
      <c r="ZL133" s="5"/>
      <c r="ZM133" s="6"/>
      <c r="ZN133" s="4"/>
      <c r="ZO133" s="4"/>
      <c r="ZP133" s="4"/>
      <c r="ZQ133" s="4"/>
      <c r="ZR133" s="4"/>
      <c r="ZS133" s="5"/>
      <c r="ZT133" s="6"/>
      <c r="ZU133" s="4"/>
      <c r="ZV133" s="4"/>
      <c r="ZW133" s="4"/>
      <c r="ZX133" s="4"/>
      <c r="ZY133" s="4"/>
      <c r="ZZ133" s="5"/>
      <c r="AAA133" s="6"/>
      <c r="AAB133" s="4"/>
      <c r="AAC133" s="4"/>
      <c r="AAD133" s="4"/>
      <c r="AAE133" s="4"/>
      <c r="AAF133" s="4"/>
      <c r="AAG133" s="5"/>
      <c r="AAH133" s="6"/>
      <c r="AAI133" s="4"/>
      <c r="AAJ133" s="4"/>
      <c r="AAK133" s="4"/>
      <c r="AAL133" s="4"/>
      <c r="AAM133" s="4"/>
      <c r="AAN133" s="5"/>
      <c r="AAO133" s="6"/>
      <c r="AAP133" s="4"/>
      <c r="AAQ133" s="4"/>
      <c r="AAR133" s="4"/>
      <c r="AAS133" s="4"/>
      <c r="AAT133" s="4"/>
      <c r="AAU133" s="5"/>
      <c r="AAV133" s="6"/>
      <c r="AAW133" s="4"/>
      <c r="AAX133" s="4"/>
      <c r="AAY133" s="4"/>
      <c r="AAZ133" s="4"/>
      <c r="ABA133" s="4"/>
      <c r="ABB133" s="5"/>
      <c r="ABC133" s="6"/>
      <c r="ABD133" s="4"/>
      <c r="ABE133" s="4"/>
      <c r="ABF133" s="4"/>
      <c r="ABG133" s="4"/>
      <c r="ABH133" s="4"/>
      <c r="ABI133" s="5"/>
      <c r="ABJ133" s="6"/>
      <c r="ABK133" s="4"/>
      <c r="ABL133" s="4"/>
      <c r="ABM133" s="4"/>
      <c r="ABN133" s="4"/>
      <c r="ABO133" s="4"/>
      <c r="ABP133" s="5"/>
      <c r="ABQ133" s="6"/>
      <c r="ABR133" s="4"/>
      <c r="ABS133" s="4"/>
      <c r="ABT133" s="4"/>
      <c r="ABU133" s="4"/>
      <c r="ABV133" s="4"/>
      <c r="ABW133" s="5"/>
      <c r="ABX133" s="6"/>
      <c r="ABY133" s="4"/>
      <c r="ABZ133" s="4"/>
      <c r="ACA133" s="4"/>
      <c r="ACB133" s="4"/>
      <c r="ACC133" s="4"/>
      <c r="ACD133" s="5"/>
      <c r="ACE133" s="6"/>
      <c r="ACF133" s="4"/>
      <c r="ACG133" s="4"/>
      <c r="ACH133" s="4"/>
      <c r="ACI133" s="4"/>
      <c r="ACJ133" s="4"/>
      <c r="ACK133" s="5"/>
      <c r="ACL133" s="6"/>
      <c r="ACM133" s="4"/>
      <c r="ACN133" s="4"/>
      <c r="ACO133" s="4"/>
      <c r="ACP133" s="4"/>
      <c r="ACQ133" s="4"/>
      <c r="ACR133" s="5"/>
      <c r="ACS133" s="6"/>
      <c r="ACT133" s="4"/>
      <c r="ACU133" s="4"/>
      <c r="ACV133" s="4"/>
      <c r="ACW133" s="4"/>
      <c r="ACX133" s="4"/>
      <c r="ACY133" s="5"/>
    </row>
    <row r="134" spans="2:779" x14ac:dyDescent="0.25">
      <c r="B134" s="49">
        <v>97000114</v>
      </c>
      <c r="C134">
        <v>68</v>
      </c>
      <c r="D134" t="s">
        <v>2121</v>
      </c>
      <c r="F134" s="23">
        <v>1</v>
      </c>
      <c r="J134" s="12"/>
      <c r="K134" s="12"/>
      <c r="L134" s="12"/>
      <c r="M134">
        <v>1</v>
      </c>
      <c r="N134" s="17">
        <v>34998</v>
      </c>
      <c r="R134">
        <v>1</v>
      </c>
      <c r="CO134">
        <v>1</v>
      </c>
      <c r="DK134">
        <v>1</v>
      </c>
      <c r="LL134" s="6"/>
      <c r="LM134" s="4"/>
      <c r="LN134" s="4"/>
      <c r="LO134" s="4"/>
      <c r="LP134" s="4"/>
      <c r="LQ134" s="4"/>
      <c r="LR134" s="5"/>
      <c r="LS134" s="6" t="s">
        <v>972</v>
      </c>
      <c r="LT134" s="4" t="s">
        <v>973</v>
      </c>
      <c r="LU134" s="4" t="s">
        <v>974</v>
      </c>
      <c r="LV134" s="7" t="s">
        <v>2771</v>
      </c>
      <c r="LW134" s="8">
        <v>34994</v>
      </c>
      <c r="LX134" s="8">
        <v>34997</v>
      </c>
      <c r="LY134" s="5" t="s">
        <v>379</v>
      </c>
      <c r="LZ134" s="6" t="s">
        <v>975</v>
      </c>
      <c r="MA134" s="7" t="s">
        <v>976</v>
      </c>
      <c r="MB134" s="4"/>
      <c r="MC134" s="4"/>
      <c r="MD134" s="8"/>
      <c r="ME134" s="4"/>
      <c r="MF134" s="4"/>
      <c r="MG134" s="5" t="s">
        <v>380</v>
      </c>
      <c r="MH134" s="6"/>
      <c r="MI134" s="4"/>
      <c r="MJ134" s="4"/>
      <c r="MK134" s="4"/>
      <c r="ML134" s="4"/>
      <c r="MM134" s="4"/>
      <c r="MN134" s="5"/>
      <c r="MO134" s="6"/>
      <c r="MP134" s="4"/>
      <c r="MQ134" s="4"/>
      <c r="MR134" s="4"/>
      <c r="MS134" s="4"/>
      <c r="MT134" s="4"/>
      <c r="MU134" s="5"/>
      <c r="MV134" s="6"/>
      <c r="MW134" s="4"/>
      <c r="MX134" s="4"/>
      <c r="MY134" s="4"/>
      <c r="MZ134" s="4"/>
      <c r="NA134" s="4"/>
      <c r="NB134" s="5"/>
      <c r="NC134" s="6"/>
      <c r="ND134" s="4"/>
      <c r="NE134" s="4"/>
      <c r="NF134" s="4"/>
      <c r="NG134" s="4"/>
      <c r="NH134" s="4"/>
      <c r="NI134" s="5"/>
      <c r="NJ134" s="6" t="s">
        <v>2306</v>
      </c>
      <c r="NK134" s="4" t="s">
        <v>2306</v>
      </c>
      <c r="NL134" s="4" t="s">
        <v>977</v>
      </c>
      <c r="NM134" s="4"/>
      <c r="NN134" s="8">
        <v>34989</v>
      </c>
      <c r="NO134" s="4"/>
      <c r="NP134" s="5" t="s">
        <v>512</v>
      </c>
      <c r="NQ134" s="6"/>
      <c r="NR134" s="4"/>
      <c r="NS134" s="4"/>
      <c r="NT134" s="4"/>
      <c r="NU134" s="4"/>
      <c r="NV134" s="4"/>
      <c r="NW134" s="5"/>
      <c r="NX134" s="6"/>
      <c r="NY134" s="4"/>
      <c r="NZ134" s="4"/>
      <c r="OA134" s="4"/>
      <c r="OB134" s="4"/>
      <c r="OC134" s="4"/>
      <c r="OD134" s="5"/>
      <c r="OE134" s="6"/>
      <c r="OF134" s="4"/>
      <c r="OG134" s="4"/>
      <c r="OH134" s="4"/>
      <c r="OI134" s="4"/>
      <c r="OJ134" s="4"/>
      <c r="OK134" s="5"/>
      <c r="OL134" s="6"/>
      <c r="OM134" s="4"/>
      <c r="ON134" s="4"/>
      <c r="OO134" s="4"/>
      <c r="OP134" s="4"/>
      <c r="OQ134" s="4"/>
      <c r="OR134" s="5"/>
      <c r="OS134" s="6"/>
      <c r="OT134" s="4"/>
      <c r="OU134" s="4"/>
      <c r="OV134" s="4"/>
      <c r="OW134" s="4"/>
      <c r="OX134" s="4"/>
      <c r="OY134" s="5"/>
      <c r="OZ134" s="6"/>
      <c r="PA134" s="4"/>
      <c r="PB134" s="4"/>
      <c r="PC134" s="4"/>
      <c r="PD134" s="4"/>
      <c r="PE134" s="4"/>
      <c r="PF134" s="5"/>
      <c r="PG134" s="6"/>
      <c r="PH134" s="4"/>
      <c r="PI134" s="4"/>
      <c r="PJ134" s="4"/>
      <c r="PK134" s="4"/>
      <c r="PL134" s="4"/>
      <c r="PM134" s="5"/>
      <c r="PN134" s="6"/>
      <c r="PO134" s="4"/>
      <c r="PP134" s="4"/>
      <c r="PQ134" s="4"/>
      <c r="PR134" s="4"/>
      <c r="PS134" s="4"/>
      <c r="PT134" s="5"/>
      <c r="PU134" s="6" t="s">
        <v>2906</v>
      </c>
      <c r="PV134" s="4" t="s">
        <v>2907</v>
      </c>
      <c r="PW134" s="4" t="s">
        <v>2470</v>
      </c>
      <c r="PX134" s="4"/>
      <c r="PY134" s="8">
        <v>34971</v>
      </c>
      <c r="PZ134" s="4"/>
      <c r="QA134" s="5" t="s">
        <v>561</v>
      </c>
      <c r="QB134" s="6"/>
      <c r="QC134" s="4"/>
      <c r="QD134" s="4"/>
      <c r="QE134" s="4"/>
      <c r="QF134" s="4"/>
      <c r="QG134" s="4"/>
      <c r="QH134" s="5"/>
      <c r="QI134" s="6"/>
      <c r="QJ134" s="4"/>
      <c r="QK134" s="4"/>
      <c r="QL134" s="4"/>
      <c r="QM134" s="4"/>
      <c r="QN134" s="4"/>
      <c r="QO134" s="5"/>
      <c r="QP134" s="6"/>
      <c r="QQ134" s="4"/>
      <c r="QR134" s="4"/>
      <c r="QS134" s="4"/>
      <c r="QT134" s="4"/>
      <c r="QU134" s="4"/>
      <c r="QV134" s="5"/>
      <c r="QW134" s="6"/>
      <c r="QX134" s="4"/>
      <c r="QY134" s="4"/>
      <c r="QZ134" s="4"/>
      <c r="RA134" s="4"/>
      <c r="RB134" s="4"/>
      <c r="RC134" s="5"/>
      <c r="RD134" s="6"/>
      <c r="RE134" s="4"/>
      <c r="RF134" s="4"/>
      <c r="RG134" s="4"/>
      <c r="RH134" s="4"/>
      <c r="RI134" s="4"/>
      <c r="RJ134" s="5"/>
      <c r="RK134" s="6"/>
      <c r="RL134" s="4"/>
      <c r="RM134" s="4"/>
      <c r="RN134" s="4"/>
      <c r="RO134" s="4"/>
      <c r="RP134" s="4"/>
      <c r="RQ134" s="5"/>
      <c r="RR134" s="6"/>
      <c r="RS134" s="4"/>
      <c r="RT134" s="4"/>
      <c r="RU134" s="4"/>
      <c r="RV134" s="4"/>
      <c r="RW134" s="4"/>
      <c r="RX134" s="5"/>
      <c r="RY134" s="6"/>
      <c r="RZ134" s="4"/>
      <c r="SA134" s="4"/>
      <c r="SB134" s="4"/>
      <c r="SC134" s="4"/>
      <c r="SD134" s="4"/>
      <c r="SE134" s="5"/>
      <c r="SF134" s="6"/>
      <c r="SG134" s="4"/>
      <c r="SH134" s="4"/>
      <c r="SI134" s="4"/>
      <c r="SJ134" s="4"/>
      <c r="SK134" s="4"/>
      <c r="SL134" s="5"/>
      <c r="SM134" s="6"/>
      <c r="SN134" s="4"/>
      <c r="SO134" s="4"/>
      <c r="SP134" s="4"/>
      <c r="SQ134" s="4"/>
      <c r="SR134" s="4"/>
      <c r="SS134" s="5"/>
      <c r="ST134" s="6"/>
      <c r="SU134" s="4"/>
      <c r="SV134" s="4"/>
      <c r="SW134" s="4"/>
      <c r="SX134" s="4"/>
      <c r="SY134" s="4"/>
      <c r="SZ134" s="5"/>
      <c r="TA134" s="6"/>
      <c r="TB134" s="4"/>
      <c r="TC134" s="4"/>
      <c r="TD134" s="4"/>
      <c r="TE134" s="4"/>
      <c r="TF134" s="4"/>
      <c r="TG134" s="5"/>
      <c r="TH134" s="6"/>
      <c r="TI134" s="4"/>
      <c r="TJ134" s="4"/>
      <c r="TK134" s="4"/>
      <c r="TL134" s="4"/>
      <c r="TM134" s="4"/>
      <c r="TN134" s="5"/>
      <c r="TO134" s="6"/>
      <c r="TP134" s="4"/>
      <c r="TQ134" s="4"/>
      <c r="TR134" s="4"/>
      <c r="TS134" s="4"/>
      <c r="TT134" s="4"/>
      <c r="TU134" s="5"/>
      <c r="TV134" s="6"/>
      <c r="TW134" s="4"/>
      <c r="TX134" s="4"/>
      <c r="TY134" s="4"/>
      <c r="TZ134" s="4"/>
      <c r="UA134" s="4"/>
      <c r="UB134" s="5"/>
      <c r="UC134" s="6"/>
      <c r="UD134" s="4"/>
      <c r="UE134" s="4"/>
      <c r="UF134" s="4"/>
      <c r="UG134" s="4"/>
      <c r="UH134" s="4"/>
      <c r="UI134" s="5"/>
      <c r="UJ134" s="6"/>
      <c r="UK134" s="4"/>
      <c r="UL134" s="4"/>
      <c r="UM134" s="4"/>
      <c r="UN134" s="4"/>
      <c r="UO134" s="4"/>
      <c r="UP134" s="5"/>
      <c r="UQ134" s="6" t="s">
        <v>978</v>
      </c>
      <c r="UR134" s="6" t="s">
        <v>978</v>
      </c>
      <c r="US134" s="4" t="s">
        <v>979</v>
      </c>
      <c r="UT134" s="4"/>
      <c r="UU134" s="8">
        <v>34995</v>
      </c>
      <c r="UV134" s="4"/>
      <c r="UW134" s="5" t="s">
        <v>562</v>
      </c>
      <c r="UX134" s="6" t="s">
        <v>2641</v>
      </c>
      <c r="UY134" s="4" t="s">
        <v>2738</v>
      </c>
      <c r="UZ134" s="4"/>
      <c r="VA134" s="4"/>
      <c r="VB134" s="4"/>
      <c r="VC134" s="4"/>
      <c r="VD134" s="5" t="s">
        <v>564</v>
      </c>
      <c r="VE134" s="6"/>
      <c r="VF134" s="4"/>
      <c r="VG134" s="4"/>
      <c r="VH134" s="4"/>
      <c r="VI134" s="4"/>
      <c r="VJ134" s="4"/>
      <c r="VK134" s="5"/>
      <c r="VL134" s="6" t="s">
        <v>2863</v>
      </c>
      <c r="VM134" s="4" t="s">
        <v>2993</v>
      </c>
      <c r="VN134" s="4" t="s">
        <v>1589</v>
      </c>
      <c r="VO134" s="4" t="s">
        <v>2149</v>
      </c>
      <c r="VP134" s="8">
        <v>34995</v>
      </c>
      <c r="VQ134" s="8">
        <v>34997</v>
      </c>
      <c r="VR134" s="5"/>
      <c r="VS134" s="6"/>
      <c r="VT134" s="4"/>
      <c r="VU134" s="4"/>
      <c r="VV134" s="4"/>
      <c r="VW134" s="4"/>
      <c r="VX134" s="4"/>
      <c r="VY134" s="5"/>
      <c r="VZ134" s="6" t="s">
        <v>980</v>
      </c>
      <c r="WA134" s="4" t="s">
        <v>840</v>
      </c>
      <c r="WB134" s="4" t="s">
        <v>2110</v>
      </c>
      <c r="WC134" s="4"/>
      <c r="WD134" s="8">
        <v>38648</v>
      </c>
      <c r="WE134" s="4"/>
      <c r="WF134" s="5" t="s">
        <v>315</v>
      </c>
      <c r="WG134" s="6"/>
      <c r="WH134" s="4"/>
      <c r="WI134" s="4"/>
      <c r="WJ134" s="4"/>
      <c r="WK134" s="4"/>
      <c r="WL134" s="4"/>
      <c r="WM134" s="5"/>
      <c r="WN134" s="6"/>
      <c r="WO134" s="4"/>
      <c r="WP134" s="4"/>
      <c r="WQ134" s="4"/>
      <c r="WR134" s="4"/>
      <c r="WS134" s="4"/>
      <c r="WT134" s="5"/>
      <c r="WU134" s="6"/>
      <c r="WV134" s="4"/>
      <c r="WW134" s="4"/>
      <c r="WX134" s="4"/>
      <c r="WY134" s="4"/>
      <c r="WZ134" s="4"/>
      <c r="XA134" s="5"/>
      <c r="XB134" s="6"/>
      <c r="XC134" s="4"/>
      <c r="XD134" s="4"/>
      <c r="XE134" s="4"/>
      <c r="XF134" s="4"/>
      <c r="XG134" s="4"/>
      <c r="XH134" s="5"/>
      <c r="XI134" s="6"/>
      <c r="XJ134" s="4"/>
      <c r="XK134" s="4"/>
      <c r="XL134" s="4"/>
      <c r="XM134" s="4"/>
      <c r="XN134" s="4"/>
      <c r="XO134" s="5"/>
      <c r="XP134" s="6"/>
      <c r="XQ134" s="4"/>
      <c r="XR134" s="4"/>
      <c r="XS134" s="4"/>
      <c r="XT134" s="4"/>
      <c r="XU134" s="4"/>
      <c r="XV134" s="5"/>
      <c r="XW134" s="6"/>
      <c r="XX134" s="4"/>
      <c r="XY134" s="4"/>
      <c r="XZ134" s="4"/>
      <c r="YA134" s="4"/>
      <c r="YB134" s="4"/>
      <c r="YC134" s="5"/>
      <c r="YD134" s="6"/>
      <c r="YE134" s="4"/>
      <c r="YF134" s="4"/>
      <c r="YG134" s="4"/>
      <c r="YH134" s="4"/>
      <c r="YI134" s="4"/>
      <c r="YJ134" s="5"/>
      <c r="YK134" s="6" t="s">
        <v>787</v>
      </c>
      <c r="YL134" s="7" t="s">
        <v>2837</v>
      </c>
      <c r="YM134" s="4"/>
      <c r="YN134" s="4"/>
      <c r="YO134" s="8">
        <v>34990</v>
      </c>
      <c r="YP134" s="4"/>
      <c r="YQ134" s="5" t="s">
        <v>316</v>
      </c>
      <c r="YR134" s="6"/>
      <c r="YS134" s="4"/>
      <c r="YT134" s="4"/>
      <c r="YU134" s="4"/>
      <c r="YV134" s="4"/>
      <c r="YW134" s="4"/>
      <c r="YX134" s="5"/>
      <c r="YY134" s="6"/>
      <c r="YZ134" s="4"/>
      <c r="ZA134" s="4"/>
      <c r="ZB134" s="4"/>
      <c r="ZC134" s="4"/>
      <c r="ZD134" s="4"/>
      <c r="ZE134" s="5"/>
      <c r="ZF134" s="6"/>
      <c r="ZG134" s="4"/>
      <c r="ZH134" s="4"/>
      <c r="ZI134" s="4"/>
      <c r="ZJ134" s="4"/>
      <c r="ZK134" s="4"/>
      <c r="ZL134" s="5"/>
      <c r="ZM134" s="6" t="s">
        <v>1012</v>
      </c>
      <c r="ZN134" s="4" t="s">
        <v>788</v>
      </c>
      <c r="ZO134" s="4" t="s">
        <v>2682</v>
      </c>
      <c r="ZP134" s="7" t="s">
        <v>2607</v>
      </c>
      <c r="ZQ134" s="8">
        <v>34993</v>
      </c>
      <c r="ZR134" s="8">
        <v>34997</v>
      </c>
      <c r="ZS134" s="5" t="s">
        <v>452</v>
      </c>
      <c r="ZT134" s="6"/>
      <c r="ZU134" s="4"/>
      <c r="ZV134" s="4"/>
      <c r="ZW134" s="4"/>
      <c r="ZX134" s="4"/>
      <c r="ZY134" s="4"/>
      <c r="ZZ134" s="5"/>
      <c r="AAA134" s="6"/>
      <c r="AAB134" s="4"/>
      <c r="AAC134" s="4"/>
      <c r="AAD134" s="4"/>
      <c r="AAE134" s="4"/>
      <c r="AAF134" s="4"/>
      <c r="AAG134" s="5"/>
      <c r="AAH134" s="6"/>
      <c r="AAI134" s="4"/>
      <c r="AAJ134" s="4"/>
      <c r="AAK134" s="4"/>
      <c r="AAL134" s="4"/>
      <c r="AAM134" s="4"/>
      <c r="AAN134" s="5"/>
      <c r="AAO134" s="6"/>
      <c r="AAP134" s="4"/>
      <c r="AAQ134" s="4"/>
      <c r="AAR134" s="4"/>
      <c r="AAS134" s="4"/>
      <c r="AAT134" s="4"/>
      <c r="AAU134" s="5"/>
      <c r="AAV134" s="6"/>
      <c r="AAW134" s="4"/>
      <c r="AAX134" s="4"/>
      <c r="AAY134" s="4"/>
      <c r="AAZ134" s="4"/>
      <c r="ABA134" s="4"/>
      <c r="ABB134" s="5"/>
      <c r="ABC134" s="6"/>
      <c r="ABD134" s="4"/>
      <c r="ABE134" s="4"/>
      <c r="ABF134" s="4"/>
      <c r="ABG134" s="4"/>
      <c r="ABH134" s="4"/>
      <c r="ABI134" s="5"/>
      <c r="ABJ134" s="6"/>
      <c r="ABK134" s="4"/>
      <c r="ABL134" s="4"/>
      <c r="ABM134" s="4"/>
      <c r="ABN134" s="4"/>
      <c r="ABO134" s="4"/>
      <c r="ABP134" s="5"/>
      <c r="ABQ134" s="6" t="s">
        <v>2939</v>
      </c>
      <c r="ABR134" s="4" t="s">
        <v>2939</v>
      </c>
      <c r="ABS134" s="4" t="s">
        <v>2660</v>
      </c>
      <c r="ABT134" s="4"/>
      <c r="ABU134" s="8">
        <v>34989</v>
      </c>
      <c r="ABV134" s="4"/>
      <c r="ABW134" s="5" t="s">
        <v>453</v>
      </c>
      <c r="ABX134" s="6"/>
      <c r="ABY134" s="4"/>
      <c r="ABZ134" s="4"/>
      <c r="ACA134" s="4"/>
      <c r="ACB134" s="4"/>
      <c r="ACC134" s="4"/>
      <c r="ACD134" s="5"/>
      <c r="ACE134" s="6"/>
      <c r="ACF134" s="4"/>
      <c r="ACG134" s="4"/>
      <c r="ACH134" s="4"/>
      <c r="ACI134" s="4"/>
      <c r="ACJ134" s="4"/>
      <c r="ACK134" s="5"/>
      <c r="ACL134" s="6"/>
      <c r="ACM134" s="4"/>
      <c r="ACN134" s="4"/>
      <c r="ACO134" s="4"/>
      <c r="ACP134" s="4"/>
      <c r="ACQ134" s="4"/>
      <c r="ACR134" s="5"/>
      <c r="ACS134" s="6"/>
      <c r="ACT134" s="4"/>
      <c r="ACU134" s="4"/>
      <c r="ACV134" s="4"/>
      <c r="ACW134" s="4"/>
      <c r="ACX134" s="4"/>
      <c r="ACY134" s="5"/>
    </row>
    <row r="135" spans="2:779" x14ac:dyDescent="0.25">
      <c r="B135" s="30"/>
      <c r="J135" s="12"/>
      <c r="K135" s="12"/>
      <c r="L135" s="12"/>
      <c r="LL135" s="6"/>
      <c r="LM135" s="4"/>
      <c r="LN135" s="4"/>
      <c r="LO135" s="4"/>
      <c r="LP135" s="4"/>
      <c r="LQ135" s="4"/>
      <c r="LR135" s="5"/>
      <c r="LS135" s="6"/>
      <c r="LT135" s="4"/>
      <c r="LU135" s="4"/>
      <c r="LV135" s="4"/>
      <c r="LW135" s="4"/>
      <c r="LX135" s="4"/>
      <c r="LY135" s="5"/>
      <c r="LZ135" s="6" t="s">
        <v>647</v>
      </c>
      <c r="MA135" s="7" t="s">
        <v>648</v>
      </c>
      <c r="MB135" s="4" t="s">
        <v>649</v>
      </c>
      <c r="MC135" s="7" t="s">
        <v>2702</v>
      </c>
      <c r="MD135" s="8">
        <v>34989</v>
      </c>
      <c r="ME135" s="8">
        <v>34990</v>
      </c>
      <c r="MF135" s="8"/>
      <c r="MG135" s="5" t="s">
        <v>509</v>
      </c>
      <c r="MH135" s="6"/>
      <c r="MI135" s="4"/>
      <c r="MJ135" s="4"/>
      <c r="MK135" s="4"/>
      <c r="ML135" s="4"/>
      <c r="MM135" s="4"/>
      <c r="MN135" s="5"/>
      <c r="MO135" s="6"/>
      <c r="MP135" s="4"/>
      <c r="MQ135" s="4"/>
      <c r="MR135" s="4"/>
      <c r="MS135" s="4"/>
      <c r="MT135" s="4"/>
      <c r="MU135" s="5"/>
      <c r="MV135" s="6"/>
      <c r="MW135" s="4"/>
      <c r="MX135" s="4"/>
      <c r="MY135" s="4"/>
      <c r="MZ135" s="4"/>
      <c r="NA135" s="4"/>
      <c r="NB135" s="5"/>
      <c r="NC135" s="6"/>
      <c r="ND135" s="4"/>
      <c r="NE135" s="4"/>
      <c r="NF135" s="4"/>
      <c r="NG135" s="4"/>
      <c r="NH135" s="4"/>
      <c r="NI135" s="5"/>
      <c r="NJ135" s="6"/>
      <c r="NK135" s="4"/>
      <c r="NL135" s="4"/>
      <c r="NM135" s="4"/>
      <c r="NN135" s="4"/>
      <c r="NO135" s="4"/>
      <c r="NP135" s="5"/>
      <c r="NQ135" s="6"/>
      <c r="NR135" s="4"/>
      <c r="NS135" s="4"/>
      <c r="NT135" s="4"/>
      <c r="NU135" s="4"/>
      <c r="NV135" s="4"/>
      <c r="NW135" s="5"/>
      <c r="NX135" s="6"/>
      <c r="NY135" s="4"/>
      <c r="NZ135" s="4"/>
      <c r="OA135" s="4"/>
      <c r="OB135" s="4"/>
      <c r="OC135" s="4"/>
      <c r="OD135" s="5"/>
      <c r="OE135" s="6"/>
      <c r="OF135" s="4"/>
      <c r="OG135" s="4"/>
      <c r="OH135" s="4"/>
      <c r="OI135" s="4"/>
      <c r="OJ135" s="4"/>
      <c r="OK135" s="5"/>
      <c r="OL135" s="6"/>
      <c r="OM135" s="4"/>
      <c r="ON135" s="4"/>
      <c r="OO135" s="4"/>
      <c r="OP135" s="4"/>
      <c r="OQ135" s="4"/>
      <c r="OR135" s="5"/>
      <c r="OS135" s="6"/>
      <c r="OT135" s="4"/>
      <c r="OU135" s="4"/>
      <c r="OV135" s="4"/>
      <c r="OW135" s="4"/>
      <c r="OX135" s="4"/>
      <c r="OY135" s="5"/>
      <c r="OZ135" s="6"/>
      <c r="PA135" s="4"/>
      <c r="PB135" s="4"/>
      <c r="PC135" s="4"/>
      <c r="PD135" s="4"/>
      <c r="PE135" s="4"/>
      <c r="PF135" s="5"/>
      <c r="PG135" s="6"/>
      <c r="PH135" s="4"/>
      <c r="PI135" s="4"/>
      <c r="PJ135" s="4"/>
      <c r="PK135" s="4"/>
      <c r="PL135" s="4"/>
      <c r="PM135" s="5"/>
      <c r="PN135" s="6"/>
      <c r="PO135" s="4"/>
      <c r="PP135" s="4"/>
      <c r="PQ135" s="4"/>
      <c r="PR135" s="4"/>
      <c r="PS135" s="4"/>
      <c r="PT135" s="5"/>
      <c r="PU135" s="6"/>
      <c r="PV135" s="4"/>
      <c r="PW135" s="4"/>
      <c r="PX135" s="4"/>
      <c r="PY135" s="4"/>
      <c r="PZ135" s="4"/>
      <c r="QA135" s="5"/>
      <c r="QB135" s="6"/>
      <c r="QC135" s="4"/>
      <c r="QD135" s="4"/>
      <c r="QE135" s="4"/>
      <c r="QF135" s="4"/>
      <c r="QG135" s="4"/>
      <c r="QH135" s="5"/>
      <c r="QI135" s="6"/>
      <c r="QJ135" s="4"/>
      <c r="QK135" s="4"/>
      <c r="QL135" s="4"/>
      <c r="QM135" s="4"/>
      <c r="QN135" s="4"/>
      <c r="QO135" s="5"/>
      <c r="QP135" s="6"/>
      <c r="QQ135" s="4"/>
      <c r="QR135" s="4"/>
      <c r="QS135" s="4"/>
      <c r="QT135" s="4"/>
      <c r="QU135" s="4"/>
      <c r="QV135" s="5"/>
      <c r="QW135" s="6"/>
      <c r="QX135" s="4"/>
      <c r="QY135" s="4"/>
      <c r="QZ135" s="4"/>
      <c r="RA135" s="4"/>
      <c r="RB135" s="4"/>
      <c r="RC135" s="5"/>
      <c r="RD135" s="6"/>
      <c r="RE135" s="4"/>
      <c r="RF135" s="4"/>
      <c r="RG135" s="4"/>
      <c r="RH135" s="4"/>
      <c r="RI135" s="4"/>
      <c r="RJ135" s="5"/>
      <c r="RK135" s="6"/>
      <c r="RL135" s="4"/>
      <c r="RM135" s="4"/>
      <c r="RN135" s="4"/>
      <c r="RO135" s="4"/>
      <c r="RP135" s="4"/>
      <c r="RQ135" s="5"/>
      <c r="RR135" s="6"/>
      <c r="RS135" s="4"/>
      <c r="RT135" s="4"/>
      <c r="RU135" s="4"/>
      <c r="RV135" s="4"/>
      <c r="RW135" s="4"/>
      <c r="RX135" s="5"/>
      <c r="RY135" s="6"/>
      <c r="RZ135" s="4"/>
      <c r="SA135" s="4"/>
      <c r="SB135" s="4"/>
      <c r="SC135" s="4"/>
      <c r="SD135" s="4"/>
      <c r="SE135" s="5"/>
      <c r="SF135" s="6"/>
      <c r="SG135" s="4"/>
      <c r="SH135" s="4"/>
      <c r="SI135" s="4"/>
      <c r="SJ135" s="4"/>
      <c r="SK135" s="4"/>
      <c r="SL135" s="5"/>
      <c r="SM135" s="6"/>
      <c r="SN135" s="4"/>
      <c r="SO135" s="4"/>
      <c r="SP135" s="4"/>
      <c r="SQ135" s="4"/>
      <c r="SR135" s="4"/>
      <c r="SS135" s="5"/>
      <c r="ST135" s="6"/>
      <c r="SU135" s="4"/>
      <c r="SV135" s="4"/>
      <c r="SW135" s="4"/>
      <c r="SX135" s="4"/>
      <c r="SY135" s="4"/>
      <c r="SZ135" s="5"/>
      <c r="TA135" s="6"/>
      <c r="TB135" s="4"/>
      <c r="TC135" s="4"/>
      <c r="TD135" s="4"/>
      <c r="TE135" s="4"/>
      <c r="TF135" s="4"/>
      <c r="TG135" s="5"/>
      <c r="TH135" s="6"/>
      <c r="TI135" s="4"/>
      <c r="TJ135" s="4"/>
      <c r="TK135" s="4"/>
      <c r="TL135" s="4"/>
      <c r="TM135" s="4"/>
      <c r="TN135" s="5"/>
      <c r="TO135" s="6"/>
      <c r="TP135" s="4"/>
      <c r="TQ135" s="4"/>
      <c r="TR135" s="4"/>
      <c r="TS135" s="4"/>
      <c r="TT135" s="4"/>
      <c r="TU135" s="5"/>
      <c r="TV135" s="6"/>
      <c r="TW135" s="4"/>
      <c r="TX135" s="4"/>
      <c r="TY135" s="4"/>
      <c r="TZ135" s="4"/>
      <c r="UA135" s="4"/>
      <c r="UB135" s="5"/>
      <c r="UC135" s="6"/>
      <c r="UD135" s="4"/>
      <c r="UE135" s="4"/>
      <c r="UF135" s="4"/>
      <c r="UG135" s="4"/>
      <c r="UH135" s="4"/>
      <c r="UI135" s="5"/>
      <c r="UJ135" s="6"/>
      <c r="UK135" s="4"/>
      <c r="UL135" s="4"/>
      <c r="UM135" s="4"/>
      <c r="UN135" s="4"/>
      <c r="UO135" s="4"/>
      <c r="UP135" s="5"/>
      <c r="UQ135" s="6" t="s">
        <v>650</v>
      </c>
      <c r="UR135" s="6" t="s">
        <v>650</v>
      </c>
      <c r="US135" s="4"/>
      <c r="UT135" s="4"/>
      <c r="UU135" s="8">
        <v>34995</v>
      </c>
      <c r="UV135" s="4"/>
      <c r="UW135" s="5" t="s">
        <v>563</v>
      </c>
      <c r="UX135" s="6"/>
      <c r="UY135" s="4"/>
      <c r="UZ135" s="4"/>
      <c r="VA135" s="4"/>
      <c r="VB135" s="4"/>
      <c r="VC135" s="4"/>
      <c r="VD135" s="5"/>
      <c r="VE135" s="6"/>
      <c r="VF135" s="4"/>
      <c r="VG135" s="4"/>
      <c r="VH135" s="4"/>
      <c r="VI135" s="4"/>
      <c r="VJ135" s="4"/>
      <c r="VK135" s="5"/>
      <c r="VL135" s="6" t="s">
        <v>2762</v>
      </c>
      <c r="VM135" s="4" t="s">
        <v>2798</v>
      </c>
      <c r="VN135" s="4"/>
      <c r="VO135" s="4" t="s">
        <v>2702</v>
      </c>
      <c r="VP135" s="8">
        <v>34997</v>
      </c>
      <c r="VQ135" s="8">
        <v>34998</v>
      </c>
      <c r="VR135" s="5"/>
      <c r="VS135" s="6"/>
      <c r="VT135" s="4"/>
      <c r="VU135" s="4"/>
      <c r="VV135" s="4"/>
      <c r="VW135" s="4"/>
      <c r="VX135" s="4"/>
      <c r="VY135" s="5"/>
      <c r="VZ135" s="6"/>
      <c r="WA135" s="4"/>
      <c r="WB135" s="4"/>
      <c r="WC135" s="4"/>
      <c r="WD135" s="4"/>
      <c r="WE135" s="4"/>
      <c r="WF135" s="5"/>
      <c r="WG135" s="6"/>
      <c r="WH135" s="4"/>
      <c r="WI135" s="4"/>
      <c r="WJ135" s="4"/>
      <c r="WK135" s="4"/>
      <c r="WL135" s="4"/>
      <c r="WM135" s="5"/>
      <c r="WN135" s="6"/>
      <c r="WO135" s="4"/>
      <c r="WP135" s="4"/>
      <c r="WQ135" s="4"/>
      <c r="WR135" s="4"/>
      <c r="WS135" s="4"/>
      <c r="WT135" s="5"/>
      <c r="WU135" s="6"/>
      <c r="WV135" s="4"/>
      <c r="WW135" s="4"/>
      <c r="WX135" s="4"/>
      <c r="WY135" s="4"/>
      <c r="WZ135" s="4"/>
      <c r="XA135" s="5"/>
      <c r="XB135" s="6"/>
      <c r="XC135" s="4"/>
      <c r="XD135" s="4"/>
      <c r="XE135" s="4"/>
      <c r="XF135" s="4"/>
      <c r="XG135" s="4"/>
      <c r="XH135" s="5"/>
      <c r="XI135" s="6"/>
      <c r="XJ135" s="4"/>
      <c r="XK135" s="4"/>
      <c r="XL135" s="4"/>
      <c r="XM135" s="4"/>
      <c r="XN135" s="4"/>
      <c r="XO135" s="5"/>
      <c r="XP135" s="6"/>
      <c r="XQ135" s="4"/>
      <c r="XR135" s="4"/>
      <c r="XS135" s="4"/>
      <c r="XT135" s="4"/>
      <c r="XU135" s="4"/>
      <c r="XV135" s="5"/>
      <c r="XW135" s="6"/>
      <c r="XX135" s="4"/>
      <c r="XY135" s="4"/>
      <c r="XZ135" s="4"/>
      <c r="YA135" s="4"/>
      <c r="YB135" s="4"/>
      <c r="YC135" s="5"/>
      <c r="YD135" s="6"/>
      <c r="YE135" s="4"/>
      <c r="YF135" s="4"/>
      <c r="YG135" s="4"/>
      <c r="YH135" s="4"/>
      <c r="YI135" s="4"/>
      <c r="YJ135" s="5"/>
      <c r="YK135" s="6" t="s">
        <v>651</v>
      </c>
      <c r="YL135" s="7" t="s">
        <v>3111</v>
      </c>
      <c r="YM135" s="4" t="s">
        <v>652</v>
      </c>
      <c r="YN135" s="4"/>
      <c r="YO135" s="8">
        <v>34990</v>
      </c>
      <c r="YP135" s="4"/>
      <c r="YQ135" s="5" t="s">
        <v>317</v>
      </c>
      <c r="YR135" s="6"/>
      <c r="YS135" s="4"/>
      <c r="YT135" s="4"/>
      <c r="YU135" s="4"/>
      <c r="YV135" s="4"/>
      <c r="YW135" s="4"/>
      <c r="YX135" s="5"/>
      <c r="YY135" s="6"/>
      <c r="YZ135" s="4"/>
      <c r="ZA135" s="4"/>
      <c r="ZB135" s="4"/>
      <c r="ZC135" s="4"/>
      <c r="ZD135" s="4"/>
      <c r="ZE135" s="5"/>
      <c r="ZF135" s="6"/>
      <c r="ZG135" s="4"/>
      <c r="ZH135" s="4"/>
      <c r="ZI135" s="4"/>
      <c r="ZJ135" s="4"/>
      <c r="ZK135" s="4"/>
      <c r="ZL135" s="5"/>
      <c r="ZM135" s="6"/>
      <c r="ZN135" s="4"/>
      <c r="ZO135" s="4"/>
      <c r="ZP135" s="4"/>
      <c r="ZQ135" s="4"/>
      <c r="ZR135" s="4"/>
      <c r="ZS135" s="5"/>
      <c r="ZT135" s="6"/>
      <c r="ZU135" s="4"/>
      <c r="ZV135" s="4"/>
      <c r="ZW135" s="4"/>
      <c r="ZX135" s="4"/>
      <c r="ZY135" s="4"/>
      <c r="ZZ135" s="5"/>
      <c r="AAA135" s="6"/>
      <c r="AAB135" s="4"/>
      <c r="AAC135" s="4"/>
      <c r="AAD135" s="4"/>
      <c r="AAE135" s="4"/>
      <c r="AAF135" s="4"/>
      <c r="AAG135" s="5"/>
      <c r="AAH135" s="6"/>
      <c r="AAI135" s="4"/>
      <c r="AAJ135" s="4"/>
      <c r="AAK135" s="4"/>
      <c r="AAL135" s="4"/>
      <c r="AAM135" s="4"/>
      <c r="AAN135" s="5"/>
      <c r="AAO135" s="6"/>
      <c r="AAP135" s="4"/>
      <c r="AAQ135" s="4"/>
      <c r="AAR135" s="4"/>
      <c r="AAS135" s="4"/>
      <c r="AAT135" s="4"/>
      <c r="AAU135" s="5"/>
      <c r="AAV135" s="6"/>
      <c r="AAW135" s="4"/>
      <c r="AAX135" s="4"/>
      <c r="AAY135" s="4"/>
      <c r="AAZ135" s="4"/>
      <c r="ABA135" s="4"/>
      <c r="ABB135" s="5"/>
      <c r="ABC135" s="6"/>
      <c r="ABD135" s="4"/>
      <c r="ABE135" s="4"/>
      <c r="ABF135" s="4"/>
      <c r="ABG135" s="4"/>
      <c r="ABH135" s="4"/>
      <c r="ABI135" s="5"/>
      <c r="ABJ135" s="6"/>
      <c r="ABK135" s="4"/>
      <c r="ABL135" s="4"/>
      <c r="ABM135" s="4"/>
      <c r="ABN135" s="4"/>
      <c r="ABO135" s="4"/>
      <c r="ABP135" s="5"/>
      <c r="ABQ135" s="6" t="s">
        <v>2369</v>
      </c>
      <c r="ABR135" s="4" t="s">
        <v>653</v>
      </c>
      <c r="ABS135" s="4" t="s">
        <v>2743</v>
      </c>
      <c r="ABT135" s="4"/>
      <c r="ABU135" s="8">
        <v>34971</v>
      </c>
      <c r="ABV135" s="4"/>
      <c r="ABW135" s="5" t="s">
        <v>454</v>
      </c>
      <c r="ABX135" s="6"/>
      <c r="ABY135" s="4"/>
      <c r="ABZ135" s="4"/>
      <c r="ACA135" s="4"/>
      <c r="ACB135" s="4"/>
      <c r="ACC135" s="4"/>
      <c r="ACD135" s="5"/>
      <c r="ACE135" s="6"/>
      <c r="ACF135" s="4"/>
      <c r="ACG135" s="4"/>
      <c r="ACH135" s="4"/>
      <c r="ACI135" s="4"/>
      <c r="ACJ135" s="4"/>
      <c r="ACK135" s="5"/>
      <c r="ACL135" s="6"/>
      <c r="ACM135" s="4"/>
      <c r="ACN135" s="4"/>
      <c r="ACO135" s="4"/>
      <c r="ACP135" s="4"/>
      <c r="ACQ135" s="4"/>
      <c r="ACR135" s="5"/>
      <c r="ACS135" s="6"/>
      <c r="ACT135" s="4"/>
      <c r="ACU135" s="4"/>
      <c r="ACV135" s="4"/>
      <c r="ACW135" s="4"/>
      <c r="ACX135" s="4"/>
      <c r="ACY135" s="5"/>
    </row>
    <row r="136" spans="2:779" x14ac:dyDescent="0.25">
      <c r="B136" s="30"/>
      <c r="J136" s="12"/>
      <c r="K136" s="12"/>
      <c r="L136" s="12"/>
      <c r="LL136" s="6"/>
      <c r="LM136" s="4"/>
      <c r="LN136" s="4"/>
      <c r="LO136" s="4"/>
      <c r="LP136" s="4"/>
      <c r="LQ136" s="4"/>
      <c r="LR136" s="5"/>
      <c r="LS136" s="6"/>
      <c r="LT136" s="4"/>
      <c r="LU136" s="4"/>
      <c r="LV136" s="4"/>
      <c r="LW136" s="4"/>
      <c r="LX136" s="4"/>
      <c r="LY136" s="5"/>
      <c r="LZ136" s="6" t="s">
        <v>1154</v>
      </c>
      <c r="MA136" s="7" t="s">
        <v>2525</v>
      </c>
      <c r="MB136" s="4"/>
      <c r="MC136" s="7"/>
      <c r="MD136" s="8"/>
      <c r="ME136" s="8"/>
      <c r="MF136" s="8"/>
      <c r="MG136" s="5" t="s">
        <v>379</v>
      </c>
      <c r="MH136" s="6"/>
      <c r="MI136" s="4"/>
      <c r="MJ136" s="4"/>
      <c r="MK136" s="4"/>
      <c r="ML136" s="4"/>
      <c r="MM136" s="4"/>
      <c r="MN136" s="5"/>
      <c r="MO136" s="6"/>
      <c r="MP136" s="4"/>
      <c r="MQ136" s="4"/>
      <c r="MR136" s="4"/>
      <c r="MS136" s="4"/>
      <c r="MT136" s="4"/>
      <c r="MU136" s="5"/>
      <c r="MV136" s="6"/>
      <c r="MW136" s="4"/>
      <c r="MX136" s="4"/>
      <c r="MY136" s="4"/>
      <c r="MZ136" s="4"/>
      <c r="NA136" s="4"/>
      <c r="NB136" s="5"/>
      <c r="NC136" s="6"/>
      <c r="ND136" s="4"/>
      <c r="NE136" s="4"/>
      <c r="NF136" s="4"/>
      <c r="NG136" s="4"/>
      <c r="NH136" s="4"/>
      <c r="NI136" s="5"/>
      <c r="NJ136" s="6"/>
      <c r="NK136" s="4"/>
      <c r="NL136" s="4"/>
      <c r="NM136" s="4"/>
      <c r="NN136" s="4"/>
      <c r="NO136" s="4"/>
      <c r="NP136" s="5"/>
      <c r="NQ136" s="6"/>
      <c r="NR136" s="4"/>
      <c r="NS136" s="4"/>
      <c r="NT136" s="4"/>
      <c r="NU136" s="4"/>
      <c r="NV136" s="4"/>
      <c r="NW136" s="5"/>
      <c r="NX136" s="6"/>
      <c r="NY136" s="4"/>
      <c r="NZ136" s="4"/>
      <c r="OA136" s="4"/>
      <c r="OB136" s="4"/>
      <c r="OC136" s="4"/>
      <c r="OD136" s="5"/>
      <c r="OE136" s="6"/>
      <c r="OF136" s="4"/>
      <c r="OG136" s="4"/>
      <c r="OH136" s="4"/>
      <c r="OI136" s="4"/>
      <c r="OJ136" s="4"/>
      <c r="OK136" s="5"/>
      <c r="OL136" s="6"/>
      <c r="OM136" s="4"/>
      <c r="ON136" s="4"/>
      <c r="OO136" s="4"/>
      <c r="OP136" s="4"/>
      <c r="OQ136" s="4"/>
      <c r="OR136" s="5"/>
      <c r="OS136" s="6"/>
      <c r="OT136" s="4"/>
      <c r="OU136" s="4"/>
      <c r="OV136" s="4"/>
      <c r="OW136" s="4"/>
      <c r="OX136" s="4"/>
      <c r="OY136" s="5"/>
      <c r="OZ136" s="6"/>
      <c r="PA136" s="4"/>
      <c r="PB136" s="4"/>
      <c r="PC136" s="4"/>
      <c r="PD136" s="4"/>
      <c r="PE136" s="4"/>
      <c r="PF136" s="5"/>
      <c r="PG136" s="6"/>
      <c r="PH136" s="4"/>
      <c r="PI136" s="4"/>
      <c r="PJ136" s="4"/>
      <c r="PK136" s="4"/>
      <c r="PL136" s="4"/>
      <c r="PM136" s="5"/>
      <c r="PN136" s="6"/>
      <c r="PO136" s="4"/>
      <c r="PP136" s="4"/>
      <c r="PQ136" s="4"/>
      <c r="PR136" s="4"/>
      <c r="PS136" s="4"/>
      <c r="PT136" s="5"/>
      <c r="PU136" s="6"/>
      <c r="PV136" s="4"/>
      <c r="PW136" s="4"/>
      <c r="PX136" s="4"/>
      <c r="PY136" s="4"/>
      <c r="PZ136" s="4"/>
      <c r="QA136" s="5"/>
      <c r="QB136" s="6"/>
      <c r="QC136" s="4"/>
      <c r="QD136" s="4"/>
      <c r="QE136" s="4"/>
      <c r="QF136" s="4"/>
      <c r="QG136" s="4"/>
      <c r="QH136" s="5"/>
      <c r="QI136" s="6"/>
      <c r="QJ136" s="4"/>
      <c r="QK136" s="4"/>
      <c r="QL136" s="4"/>
      <c r="QM136" s="4"/>
      <c r="QN136" s="4"/>
      <c r="QO136" s="5"/>
      <c r="QP136" s="6"/>
      <c r="QQ136" s="4"/>
      <c r="QR136" s="4"/>
      <c r="QS136" s="4"/>
      <c r="QT136" s="4"/>
      <c r="QU136" s="4"/>
      <c r="QV136" s="5"/>
      <c r="QW136" s="6"/>
      <c r="QX136" s="4"/>
      <c r="QY136" s="4"/>
      <c r="QZ136" s="4"/>
      <c r="RA136" s="4"/>
      <c r="RB136" s="4"/>
      <c r="RC136" s="5"/>
      <c r="RD136" s="6"/>
      <c r="RE136" s="4"/>
      <c r="RF136" s="4"/>
      <c r="RG136" s="4"/>
      <c r="RH136" s="4"/>
      <c r="RI136" s="4"/>
      <c r="RJ136" s="5"/>
      <c r="RK136" s="6"/>
      <c r="RL136" s="4"/>
      <c r="RM136" s="4"/>
      <c r="RN136" s="4"/>
      <c r="RO136" s="4"/>
      <c r="RP136" s="4"/>
      <c r="RQ136" s="5"/>
      <c r="RR136" s="6"/>
      <c r="RS136" s="4"/>
      <c r="RT136" s="4"/>
      <c r="RU136" s="4"/>
      <c r="RV136" s="4"/>
      <c r="RW136" s="4"/>
      <c r="RX136" s="5"/>
      <c r="RY136" s="6"/>
      <c r="RZ136" s="4"/>
      <c r="SA136" s="4"/>
      <c r="SB136" s="4"/>
      <c r="SC136" s="4"/>
      <c r="SD136" s="4"/>
      <c r="SE136" s="5"/>
      <c r="SF136" s="6"/>
      <c r="SG136" s="4"/>
      <c r="SH136" s="4"/>
      <c r="SI136" s="4"/>
      <c r="SJ136" s="4"/>
      <c r="SK136" s="4"/>
      <c r="SL136" s="5"/>
      <c r="SM136" s="6"/>
      <c r="SN136" s="4"/>
      <c r="SO136" s="4"/>
      <c r="SP136" s="4"/>
      <c r="SQ136" s="4"/>
      <c r="SR136" s="4"/>
      <c r="SS136" s="5"/>
      <c r="ST136" s="6"/>
      <c r="SU136" s="4"/>
      <c r="SV136" s="4"/>
      <c r="SW136" s="4"/>
      <c r="SX136" s="4"/>
      <c r="SY136" s="4"/>
      <c r="SZ136" s="5"/>
      <c r="TA136" s="6"/>
      <c r="TB136" s="4"/>
      <c r="TC136" s="4"/>
      <c r="TD136" s="4"/>
      <c r="TE136" s="4"/>
      <c r="TF136" s="4"/>
      <c r="TG136" s="5"/>
      <c r="TH136" s="6"/>
      <c r="TI136" s="4"/>
      <c r="TJ136" s="4"/>
      <c r="TK136" s="4"/>
      <c r="TL136" s="4"/>
      <c r="TM136" s="4"/>
      <c r="TN136" s="5"/>
      <c r="TO136" s="6"/>
      <c r="TP136" s="4"/>
      <c r="TQ136" s="4"/>
      <c r="TR136" s="4"/>
      <c r="TS136" s="4"/>
      <c r="TT136" s="4"/>
      <c r="TU136" s="5"/>
      <c r="TV136" s="6"/>
      <c r="TW136" s="4"/>
      <c r="TX136" s="4"/>
      <c r="TY136" s="4"/>
      <c r="TZ136" s="4"/>
      <c r="UA136" s="4"/>
      <c r="UB136" s="5"/>
      <c r="UC136" s="6"/>
      <c r="UD136" s="4"/>
      <c r="UE136" s="4"/>
      <c r="UF136" s="4"/>
      <c r="UG136" s="4"/>
      <c r="UH136" s="4"/>
      <c r="UI136" s="5"/>
      <c r="UJ136" s="6"/>
      <c r="UK136" s="4"/>
      <c r="UL136" s="4"/>
      <c r="UM136" s="4"/>
      <c r="UN136" s="4"/>
      <c r="UO136" s="4"/>
      <c r="UP136" s="5"/>
      <c r="UQ136" s="6"/>
      <c r="UR136" s="4"/>
      <c r="US136" s="4"/>
      <c r="UT136" s="4"/>
      <c r="UU136" s="8"/>
      <c r="UV136" s="4"/>
      <c r="UW136" s="5"/>
      <c r="UX136" s="6"/>
      <c r="UY136" s="4"/>
      <c r="UZ136" s="4"/>
      <c r="VA136" s="4"/>
      <c r="VB136" s="4"/>
      <c r="VC136" s="4"/>
      <c r="VD136" s="5"/>
      <c r="VE136" s="6"/>
      <c r="VF136" s="4"/>
      <c r="VG136" s="4"/>
      <c r="VH136" s="4"/>
      <c r="VI136" s="4"/>
      <c r="VJ136" s="4"/>
      <c r="VK136" s="5"/>
      <c r="VL136" s="6"/>
      <c r="VM136" s="4"/>
      <c r="VN136" s="4"/>
      <c r="VO136" s="4"/>
      <c r="VP136" s="8"/>
      <c r="VQ136" s="8"/>
      <c r="VR136" s="5"/>
      <c r="VS136" s="6"/>
      <c r="VT136" s="4"/>
      <c r="VU136" s="4"/>
      <c r="VV136" s="4"/>
      <c r="VW136" s="4"/>
      <c r="VX136" s="4"/>
      <c r="VY136" s="5"/>
      <c r="VZ136" s="6"/>
      <c r="WA136" s="4"/>
      <c r="WB136" s="4"/>
      <c r="WC136" s="4"/>
      <c r="WD136" s="4"/>
      <c r="WE136" s="4"/>
      <c r="WF136" s="5"/>
      <c r="WG136" s="6"/>
      <c r="WH136" s="4"/>
      <c r="WI136" s="4"/>
      <c r="WJ136" s="4"/>
      <c r="WK136" s="4"/>
      <c r="WL136" s="4"/>
      <c r="WM136" s="5"/>
      <c r="WN136" s="6"/>
      <c r="WO136" s="4"/>
      <c r="WP136" s="4"/>
      <c r="WQ136" s="4"/>
      <c r="WR136" s="4"/>
      <c r="WS136" s="4"/>
      <c r="WT136" s="5"/>
      <c r="WU136" s="6"/>
      <c r="WV136" s="4"/>
      <c r="WW136" s="4"/>
      <c r="WX136" s="4"/>
      <c r="WY136" s="4"/>
      <c r="WZ136" s="4"/>
      <c r="XA136" s="5"/>
      <c r="XB136" s="6"/>
      <c r="XC136" s="4"/>
      <c r="XD136" s="4"/>
      <c r="XE136" s="4"/>
      <c r="XF136" s="4"/>
      <c r="XG136" s="4"/>
      <c r="XH136" s="5"/>
      <c r="XI136" s="6"/>
      <c r="XJ136" s="4"/>
      <c r="XK136" s="4"/>
      <c r="XL136" s="4"/>
      <c r="XM136" s="4"/>
      <c r="XN136" s="4"/>
      <c r="XO136" s="5"/>
      <c r="XP136" s="6"/>
      <c r="XQ136" s="4"/>
      <c r="XR136" s="4"/>
      <c r="XS136" s="4"/>
      <c r="XT136" s="4"/>
      <c r="XU136" s="4"/>
      <c r="XV136" s="5"/>
      <c r="XW136" s="6"/>
      <c r="XX136" s="4"/>
      <c r="XY136" s="4"/>
      <c r="XZ136" s="4"/>
      <c r="YA136" s="4"/>
      <c r="YB136" s="4"/>
      <c r="YC136" s="5"/>
      <c r="YD136" s="6"/>
      <c r="YE136" s="4"/>
      <c r="YF136" s="4"/>
      <c r="YG136" s="4"/>
      <c r="YH136" s="4"/>
      <c r="YI136" s="4"/>
      <c r="YJ136" s="5"/>
      <c r="YK136" s="6" t="s">
        <v>654</v>
      </c>
      <c r="YL136" s="7" t="s">
        <v>1636</v>
      </c>
      <c r="YM136" s="4"/>
      <c r="YN136" s="4" t="s">
        <v>3901</v>
      </c>
      <c r="YO136" s="8">
        <v>34990</v>
      </c>
      <c r="YP136" s="8">
        <v>34997</v>
      </c>
      <c r="YQ136" s="5" t="s">
        <v>318</v>
      </c>
      <c r="YR136" s="6"/>
      <c r="YS136" s="4"/>
      <c r="YT136" s="4"/>
      <c r="YU136" s="4"/>
      <c r="YV136" s="4"/>
      <c r="YW136" s="4"/>
      <c r="YX136" s="5"/>
      <c r="YY136" s="6"/>
      <c r="YZ136" s="4"/>
      <c r="ZA136" s="4"/>
      <c r="ZB136" s="4"/>
      <c r="ZC136" s="4"/>
      <c r="ZD136" s="4"/>
      <c r="ZE136" s="5"/>
      <c r="ZF136" s="6"/>
      <c r="ZG136" s="4"/>
      <c r="ZH136" s="4"/>
      <c r="ZI136" s="4"/>
      <c r="ZJ136" s="4"/>
      <c r="ZK136" s="4"/>
      <c r="ZL136" s="5"/>
      <c r="ZM136" s="6"/>
      <c r="ZN136" s="4"/>
      <c r="ZO136" s="4"/>
      <c r="ZP136" s="4"/>
      <c r="ZQ136" s="4"/>
      <c r="ZR136" s="4"/>
      <c r="ZS136" s="5"/>
      <c r="ZT136" s="6"/>
      <c r="ZU136" s="4"/>
      <c r="ZV136" s="4"/>
      <c r="ZW136" s="4"/>
      <c r="ZX136" s="4"/>
      <c r="ZY136" s="4"/>
      <c r="ZZ136" s="5"/>
      <c r="AAA136" s="6"/>
      <c r="AAB136" s="4"/>
      <c r="AAC136" s="4"/>
      <c r="AAD136" s="4"/>
      <c r="AAE136" s="4"/>
      <c r="AAF136" s="4"/>
      <c r="AAG136" s="5"/>
      <c r="AAH136" s="6"/>
      <c r="AAI136" s="4"/>
      <c r="AAJ136" s="4"/>
      <c r="AAK136" s="4"/>
      <c r="AAL136" s="4"/>
      <c r="AAM136" s="4"/>
      <c r="AAN136" s="5"/>
      <c r="AAO136" s="6"/>
      <c r="AAP136" s="4"/>
      <c r="AAQ136" s="4"/>
      <c r="AAR136" s="4"/>
      <c r="AAS136" s="4"/>
      <c r="AAT136" s="4"/>
      <c r="AAU136" s="5"/>
      <c r="AAV136" s="6"/>
      <c r="AAW136" s="4"/>
      <c r="AAX136" s="4"/>
      <c r="AAY136" s="4"/>
      <c r="AAZ136" s="4"/>
      <c r="ABA136" s="4"/>
      <c r="ABB136" s="5"/>
      <c r="ABC136" s="6"/>
      <c r="ABD136" s="4"/>
      <c r="ABE136" s="4"/>
      <c r="ABF136" s="4"/>
      <c r="ABG136" s="4"/>
      <c r="ABH136" s="4"/>
      <c r="ABI136" s="5"/>
      <c r="ABJ136" s="6"/>
      <c r="ABK136" s="4"/>
      <c r="ABL136" s="4"/>
      <c r="ABM136" s="4"/>
      <c r="ABN136" s="4"/>
      <c r="ABO136" s="4"/>
      <c r="ABP136" s="5"/>
      <c r="ABQ136" s="6"/>
      <c r="ABR136" s="4"/>
      <c r="ABS136" s="4"/>
      <c r="ABT136" s="4"/>
      <c r="ABU136" s="4"/>
      <c r="ABV136" s="4"/>
      <c r="ABW136" s="5"/>
      <c r="ABX136" s="6"/>
      <c r="ABY136" s="4"/>
      <c r="ABZ136" s="4"/>
      <c r="ACA136" s="4"/>
      <c r="ACB136" s="4"/>
      <c r="ACC136" s="4"/>
      <c r="ACD136" s="5"/>
      <c r="ACE136" s="6"/>
      <c r="ACF136" s="4"/>
      <c r="ACG136" s="4"/>
      <c r="ACH136" s="4"/>
      <c r="ACI136" s="4"/>
      <c r="ACJ136" s="4"/>
      <c r="ACK136" s="5"/>
      <c r="ACL136" s="6"/>
      <c r="ACM136" s="4"/>
      <c r="ACN136" s="4"/>
      <c r="ACO136" s="4"/>
      <c r="ACP136" s="4"/>
      <c r="ACQ136" s="4"/>
      <c r="ACR136" s="5"/>
      <c r="ACS136" s="6"/>
      <c r="ACT136" s="4"/>
      <c r="ACU136" s="4"/>
      <c r="ACV136" s="4"/>
      <c r="ACW136" s="4"/>
      <c r="ACX136" s="4"/>
      <c r="ACY136" s="5"/>
    </row>
    <row r="137" spans="2:779" x14ac:dyDescent="0.25">
      <c r="B137" s="30"/>
      <c r="J137" s="12"/>
      <c r="K137" s="12"/>
      <c r="L137" s="12"/>
      <c r="LL137" s="6"/>
      <c r="LM137" s="4"/>
      <c r="LN137" s="4"/>
      <c r="LO137" s="4"/>
      <c r="LP137" s="4"/>
      <c r="LQ137" s="4"/>
      <c r="LR137" s="5"/>
      <c r="LS137" s="6"/>
      <c r="LT137" s="4"/>
      <c r="LU137" s="4"/>
      <c r="LV137" s="4"/>
      <c r="LW137" s="4"/>
      <c r="LX137" s="4"/>
      <c r="LY137" s="5"/>
      <c r="LZ137" s="6" t="s">
        <v>655</v>
      </c>
      <c r="MA137" s="7" t="s">
        <v>3103</v>
      </c>
      <c r="MB137" s="4" t="s">
        <v>656</v>
      </c>
      <c r="MC137" s="7"/>
      <c r="MD137" s="8">
        <v>34971</v>
      </c>
      <c r="ME137" s="8"/>
      <c r="MF137" s="8"/>
      <c r="MG137" s="5" t="s">
        <v>510</v>
      </c>
      <c r="MH137" s="6"/>
      <c r="MI137" s="4"/>
      <c r="MJ137" s="4"/>
      <c r="MK137" s="4"/>
      <c r="ML137" s="4"/>
      <c r="MM137" s="4"/>
      <c r="MN137" s="5"/>
      <c r="MO137" s="6"/>
      <c r="MP137" s="4"/>
      <c r="MQ137" s="4"/>
      <c r="MR137" s="4"/>
      <c r="MS137" s="4"/>
      <c r="MT137" s="4"/>
      <c r="MU137" s="5"/>
      <c r="MV137" s="6"/>
      <c r="MW137" s="4"/>
      <c r="MX137" s="4"/>
      <c r="MY137" s="4"/>
      <c r="MZ137" s="4"/>
      <c r="NA137" s="4"/>
      <c r="NB137" s="5"/>
      <c r="NC137" s="6"/>
      <c r="ND137" s="4"/>
      <c r="NE137" s="4"/>
      <c r="NF137" s="4"/>
      <c r="NG137" s="4"/>
      <c r="NH137" s="4"/>
      <c r="NI137" s="5"/>
      <c r="NJ137" s="6"/>
      <c r="NK137" s="4"/>
      <c r="NL137" s="4"/>
      <c r="NM137" s="4"/>
      <c r="NN137" s="4"/>
      <c r="NO137" s="4"/>
      <c r="NP137" s="5"/>
      <c r="NQ137" s="6"/>
      <c r="NR137" s="4"/>
      <c r="NS137" s="4"/>
      <c r="NT137" s="4"/>
      <c r="NU137" s="4"/>
      <c r="NV137" s="4"/>
      <c r="NW137" s="5"/>
      <c r="NX137" s="6"/>
      <c r="NY137" s="4"/>
      <c r="NZ137" s="4"/>
      <c r="OA137" s="4"/>
      <c r="OB137" s="4"/>
      <c r="OC137" s="4"/>
      <c r="OD137" s="5"/>
      <c r="OE137" s="6"/>
      <c r="OF137" s="4"/>
      <c r="OG137" s="4"/>
      <c r="OH137" s="4"/>
      <c r="OI137" s="4"/>
      <c r="OJ137" s="4"/>
      <c r="OK137" s="5"/>
      <c r="OL137" s="6"/>
      <c r="OM137" s="4"/>
      <c r="ON137" s="4"/>
      <c r="OO137" s="4"/>
      <c r="OP137" s="4"/>
      <c r="OQ137" s="4"/>
      <c r="OR137" s="5"/>
      <c r="OS137" s="6"/>
      <c r="OT137" s="4"/>
      <c r="OU137" s="4"/>
      <c r="OV137" s="4"/>
      <c r="OW137" s="4"/>
      <c r="OX137" s="4"/>
      <c r="OY137" s="5"/>
      <c r="OZ137" s="6"/>
      <c r="PA137" s="4"/>
      <c r="PB137" s="4"/>
      <c r="PC137" s="4"/>
      <c r="PD137" s="4"/>
      <c r="PE137" s="4"/>
      <c r="PF137" s="5"/>
      <c r="PG137" s="6"/>
      <c r="PH137" s="4"/>
      <c r="PI137" s="4"/>
      <c r="PJ137" s="4"/>
      <c r="PK137" s="4"/>
      <c r="PL137" s="4"/>
      <c r="PM137" s="5"/>
      <c r="PN137" s="6"/>
      <c r="PO137" s="4"/>
      <c r="PP137" s="4"/>
      <c r="PQ137" s="4"/>
      <c r="PR137" s="4"/>
      <c r="PS137" s="4"/>
      <c r="PT137" s="5"/>
      <c r="PU137" s="6"/>
      <c r="PV137" s="4"/>
      <c r="PW137" s="4"/>
      <c r="PX137" s="4"/>
      <c r="PY137" s="4"/>
      <c r="PZ137" s="4"/>
      <c r="QA137" s="5"/>
      <c r="QB137" s="6"/>
      <c r="QC137" s="4"/>
      <c r="QD137" s="4"/>
      <c r="QE137" s="4"/>
      <c r="QF137" s="4"/>
      <c r="QG137" s="4"/>
      <c r="QH137" s="5"/>
      <c r="QI137" s="6"/>
      <c r="QJ137" s="4"/>
      <c r="QK137" s="4"/>
      <c r="QL137" s="4"/>
      <c r="QM137" s="4"/>
      <c r="QN137" s="4"/>
      <c r="QO137" s="5"/>
      <c r="QP137" s="6"/>
      <c r="QQ137" s="4"/>
      <c r="QR137" s="4"/>
      <c r="QS137" s="4"/>
      <c r="QT137" s="4"/>
      <c r="QU137" s="4"/>
      <c r="QV137" s="5"/>
      <c r="QW137" s="6"/>
      <c r="QX137" s="4"/>
      <c r="QY137" s="4"/>
      <c r="QZ137" s="4"/>
      <c r="RA137" s="4"/>
      <c r="RB137" s="4"/>
      <c r="RC137" s="5"/>
      <c r="RD137" s="6"/>
      <c r="RE137" s="4"/>
      <c r="RF137" s="4"/>
      <c r="RG137" s="4"/>
      <c r="RH137" s="4"/>
      <c r="RI137" s="4"/>
      <c r="RJ137" s="5"/>
      <c r="RK137" s="6"/>
      <c r="RL137" s="4"/>
      <c r="RM137" s="4"/>
      <c r="RN137" s="4"/>
      <c r="RO137" s="4"/>
      <c r="RP137" s="4"/>
      <c r="RQ137" s="5"/>
      <c r="RR137" s="6"/>
      <c r="RS137" s="4"/>
      <c r="RT137" s="4"/>
      <c r="RU137" s="4"/>
      <c r="RV137" s="4"/>
      <c r="RW137" s="4"/>
      <c r="RX137" s="5"/>
      <c r="RY137" s="6"/>
      <c r="RZ137" s="4"/>
      <c r="SA137" s="4"/>
      <c r="SB137" s="4"/>
      <c r="SC137" s="4"/>
      <c r="SD137" s="4"/>
      <c r="SE137" s="5"/>
      <c r="SF137" s="6"/>
      <c r="SG137" s="4"/>
      <c r="SH137" s="4"/>
      <c r="SI137" s="4"/>
      <c r="SJ137" s="4"/>
      <c r="SK137" s="4"/>
      <c r="SL137" s="5"/>
      <c r="SM137" s="6"/>
      <c r="SN137" s="4"/>
      <c r="SO137" s="4"/>
      <c r="SP137" s="4"/>
      <c r="SQ137" s="4"/>
      <c r="SR137" s="4"/>
      <c r="SS137" s="5"/>
      <c r="ST137" s="6"/>
      <c r="SU137" s="4"/>
      <c r="SV137" s="4"/>
      <c r="SW137" s="4"/>
      <c r="SX137" s="4"/>
      <c r="SY137" s="4"/>
      <c r="SZ137" s="5"/>
      <c r="TA137" s="6"/>
      <c r="TB137" s="4"/>
      <c r="TC137" s="4"/>
      <c r="TD137" s="4"/>
      <c r="TE137" s="4"/>
      <c r="TF137" s="4"/>
      <c r="TG137" s="5"/>
      <c r="TH137" s="6"/>
      <c r="TI137" s="4"/>
      <c r="TJ137" s="4"/>
      <c r="TK137" s="4"/>
      <c r="TL137" s="4"/>
      <c r="TM137" s="4"/>
      <c r="TN137" s="5"/>
      <c r="TO137" s="6"/>
      <c r="TP137" s="4"/>
      <c r="TQ137" s="4"/>
      <c r="TR137" s="4"/>
      <c r="TS137" s="4"/>
      <c r="TT137" s="4"/>
      <c r="TU137" s="5"/>
      <c r="TV137" s="6"/>
      <c r="TW137" s="4"/>
      <c r="TX137" s="4"/>
      <c r="TY137" s="4"/>
      <c r="TZ137" s="4"/>
      <c r="UA137" s="4"/>
      <c r="UB137" s="5"/>
      <c r="UC137" s="6"/>
      <c r="UD137" s="4"/>
      <c r="UE137" s="4"/>
      <c r="UF137" s="4"/>
      <c r="UG137" s="4"/>
      <c r="UH137" s="4"/>
      <c r="UI137" s="5"/>
      <c r="UJ137" s="6"/>
      <c r="UK137" s="4"/>
      <c r="UL137" s="4"/>
      <c r="UM137" s="4"/>
      <c r="UN137" s="4"/>
      <c r="UO137" s="4"/>
      <c r="UP137" s="5"/>
      <c r="UQ137" s="6"/>
      <c r="UR137" s="4"/>
      <c r="US137" s="4"/>
      <c r="UT137" s="4"/>
      <c r="UU137" s="8"/>
      <c r="UV137" s="4"/>
      <c r="UW137" s="5"/>
      <c r="UX137" s="6"/>
      <c r="UY137" s="4"/>
      <c r="UZ137" s="4"/>
      <c r="VA137" s="4"/>
      <c r="VB137" s="4"/>
      <c r="VC137" s="4"/>
      <c r="VD137" s="5"/>
      <c r="VE137" s="6"/>
      <c r="VF137" s="4"/>
      <c r="VG137" s="4"/>
      <c r="VH137" s="4"/>
      <c r="VI137" s="4"/>
      <c r="VJ137" s="4"/>
      <c r="VK137" s="5"/>
      <c r="VL137" s="6"/>
      <c r="VM137" s="4"/>
      <c r="VN137" s="4"/>
      <c r="VO137" s="4"/>
      <c r="VP137" s="8"/>
      <c r="VQ137" s="8"/>
      <c r="VR137" s="5"/>
      <c r="VS137" s="6"/>
      <c r="VT137" s="4"/>
      <c r="VU137" s="4"/>
      <c r="VV137" s="4"/>
      <c r="VW137" s="4"/>
      <c r="VX137" s="4"/>
      <c r="VY137" s="5"/>
      <c r="VZ137" s="6"/>
      <c r="WA137" s="4"/>
      <c r="WB137" s="4"/>
      <c r="WC137" s="4"/>
      <c r="WD137" s="4"/>
      <c r="WE137" s="4"/>
      <c r="WF137" s="5"/>
      <c r="WG137" s="6"/>
      <c r="WH137" s="4"/>
      <c r="WI137" s="4"/>
      <c r="WJ137" s="4"/>
      <c r="WK137" s="4"/>
      <c r="WL137" s="4"/>
      <c r="WM137" s="5"/>
      <c r="WN137" s="6"/>
      <c r="WO137" s="4"/>
      <c r="WP137" s="4"/>
      <c r="WQ137" s="4"/>
      <c r="WR137" s="4"/>
      <c r="WS137" s="4"/>
      <c r="WT137" s="5"/>
      <c r="WU137" s="6"/>
      <c r="WV137" s="4"/>
      <c r="WW137" s="4"/>
      <c r="WX137" s="4"/>
      <c r="WY137" s="4"/>
      <c r="WZ137" s="4"/>
      <c r="XA137" s="5"/>
      <c r="XB137" s="6"/>
      <c r="XC137" s="4"/>
      <c r="XD137" s="4"/>
      <c r="XE137" s="4"/>
      <c r="XF137" s="4"/>
      <c r="XG137" s="4"/>
      <c r="XH137" s="5"/>
      <c r="XI137" s="6"/>
      <c r="XJ137" s="4"/>
      <c r="XK137" s="4"/>
      <c r="XL137" s="4"/>
      <c r="XM137" s="4"/>
      <c r="XN137" s="4"/>
      <c r="XO137" s="5"/>
      <c r="XP137" s="6"/>
      <c r="XQ137" s="4"/>
      <c r="XR137" s="4"/>
      <c r="XS137" s="4"/>
      <c r="XT137" s="4"/>
      <c r="XU137" s="4"/>
      <c r="XV137" s="5"/>
      <c r="XW137" s="6"/>
      <c r="XX137" s="4"/>
      <c r="XY137" s="4"/>
      <c r="XZ137" s="4"/>
      <c r="YA137" s="4"/>
      <c r="YB137" s="4"/>
      <c r="YC137" s="5"/>
      <c r="YD137" s="6"/>
      <c r="YE137" s="4"/>
      <c r="YF137" s="4"/>
      <c r="YG137" s="4"/>
      <c r="YH137" s="4"/>
      <c r="YI137" s="4"/>
      <c r="YJ137" s="5"/>
      <c r="YK137" s="6" t="s">
        <v>798</v>
      </c>
      <c r="YL137" s="7" t="s">
        <v>941</v>
      </c>
      <c r="YM137" s="4"/>
      <c r="YN137" s="4"/>
      <c r="YO137" s="8">
        <v>34990</v>
      </c>
      <c r="YP137" s="8"/>
      <c r="YQ137" s="5" t="s">
        <v>449</v>
      </c>
      <c r="YR137" s="6"/>
      <c r="YS137" s="4"/>
      <c r="YT137" s="4"/>
      <c r="YU137" s="4"/>
      <c r="YV137" s="4"/>
      <c r="YW137" s="4"/>
      <c r="YX137" s="5"/>
      <c r="YY137" s="6"/>
      <c r="YZ137" s="4"/>
      <c r="ZA137" s="4"/>
      <c r="ZB137" s="4"/>
      <c r="ZC137" s="4"/>
      <c r="ZD137" s="4"/>
      <c r="ZE137" s="5"/>
      <c r="ZF137" s="6"/>
      <c r="ZG137" s="4"/>
      <c r="ZH137" s="4"/>
      <c r="ZI137" s="4"/>
      <c r="ZJ137" s="4"/>
      <c r="ZK137" s="4"/>
      <c r="ZL137" s="5"/>
      <c r="ZM137" s="6"/>
      <c r="ZN137" s="4"/>
      <c r="ZO137" s="4"/>
      <c r="ZP137" s="4"/>
      <c r="ZQ137" s="4"/>
      <c r="ZR137" s="4"/>
      <c r="ZS137" s="5"/>
      <c r="ZT137" s="6"/>
      <c r="ZU137" s="4"/>
      <c r="ZV137" s="4"/>
      <c r="ZW137" s="4"/>
      <c r="ZX137" s="4"/>
      <c r="ZY137" s="4"/>
      <c r="ZZ137" s="5"/>
      <c r="AAA137" s="6"/>
      <c r="AAB137" s="4"/>
      <c r="AAC137" s="4"/>
      <c r="AAD137" s="4"/>
      <c r="AAE137" s="4"/>
      <c r="AAF137" s="4"/>
      <c r="AAG137" s="5"/>
      <c r="AAH137" s="6"/>
      <c r="AAI137" s="4"/>
      <c r="AAJ137" s="4"/>
      <c r="AAK137" s="4"/>
      <c r="AAL137" s="4"/>
      <c r="AAM137" s="4"/>
      <c r="AAN137" s="5"/>
      <c r="AAO137" s="6"/>
      <c r="AAP137" s="4"/>
      <c r="AAQ137" s="4"/>
      <c r="AAR137" s="4"/>
      <c r="AAS137" s="4"/>
      <c r="AAT137" s="4"/>
      <c r="AAU137" s="5"/>
      <c r="AAV137" s="6"/>
      <c r="AAW137" s="4"/>
      <c r="AAX137" s="4"/>
      <c r="AAY137" s="4"/>
      <c r="AAZ137" s="4"/>
      <c r="ABA137" s="4"/>
      <c r="ABB137" s="5"/>
      <c r="ABC137" s="6"/>
      <c r="ABD137" s="4"/>
      <c r="ABE137" s="4"/>
      <c r="ABF137" s="4"/>
      <c r="ABG137" s="4"/>
      <c r="ABH137" s="4"/>
      <c r="ABI137" s="5"/>
      <c r="ABJ137" s="6"/>
      <c r="ABK137" s="4"/>
      <c r="ABL137" s="4"/>
      <c r="ABM137" s="4"/>
      <c r="ABN137" s="4"/>
      <c r="ABO137" s="4"/>
      <c r="ABP137" s="5"/>
      <c r="ABQ137" s="6"/>
      <c r="ABR137" s="4"/>
      <c r="ABS137" s="4"/>
      <c r="ABT137" s="4"/>
      <c r="ABU137" s="4"/>
      <c r="ABV137" s="4"/>
      <c r="ABW137" s="5"/>
      <c r="ABX137" s="6"/>
      <c r="ABY137" s="4"/>
      <c r="ABZ137" s="4"/>
      <c r="ACA137" s="4"/>
      <c r="ACB137" s="4"/>
      <c r="ACC137" s="4"/>
      <c r="ACD137" s="5"/>
      <c r="ACE137" s="6"/>
      <c r="ACF137" s="4"/>
      <c r="ACG137" s="4"/>
      <c r="ACH137" s="4"/>
      <c r="ACI137" s="4"/>
      <c r="ACJ137" s="4"/>
      <c r="ACK137" s="5"/>
      <c r="ACL137" s="6"/>
      <c r="ACM137" s="4"/>
      <c r="ACN137" s="4"/>
      <c r="ACO137" s="4"/>
      <c r="ACP137" s="4"/>
      <c r="ACQ137" s="4"/>
      <c r="ACR137" s="5"/>
      <c r="ACS137" s="6"/>
      <c r="ACT137" s="4"/>
      <c r="ACU137" s="4"/>
      <c r="ACV137" s="4"/>
      <c r="ACW137" s="4"/>
      <c r="ACX137" s="4"/>
      <c r="ACY137" s="5"/>
    </row>
    <row r="138" spans="2:779" x14ac:dyDescent="0.25">
      <c r="B138" s="30"/>
      <c r="J138" s="12"/>
      <c r="K138" s="12"/>
      <c r="L138" s="12"/>
      <c r="LL138" s="6"/>
      <c r="LM138" s="4"/>
      <c r="LN138" s="4"/>
      <c r="LO138" s="4"/>
      <c r="LP138" s="4"/>
      <c r="LQ138" s="4"/>
      <c r="LR138" s="5"/>
      <c r="LS138" s="6"/>
      <c r="LT138" s="4"/>
      <c r="LU138" s="4"/>
      <c r="LV138" s="4"/>
      <c r="LW138" s="4"/>
      <c r="LX138" s="4"/>
      <c r="LY138" s="5"/>
      <c r="LZ138" s="6" t="s">
        <v>2983</v>
      </c>
      <c r="MA138" s="7" t="s">
        <v>2983</v>
      </c>
      <c r="MB138" s="4"/>
      <c r="MC138" s="7"/>
      <c r="MD138" s="8"/>
      <c r="ME138" s="8"/>
      <c r="MF138" s="8" t="s">
        <v>617</v>
      </c>
      <c r="MG138" s="5" t="s">
        <v>511</v>
      </c>
      <c r="MH138" s="6"/>
      <c r="MI138" s="4"/>
      <c r="MJ138" s="4"/>
      <c r="MK138" s="4"/>
      <c r="ML138" s="4"/>
      <c r="MM138" s="4"/>
      <c r="MN138" s="5"/>
      <c r="MO138" s="6"/>
      <c r="MP138" s="4"/>
      <c r="MQ138" s="4"/>
      <c r="MR138" s="4"/>
      <c r="MS138" s="4"/>
      <c r="MT138" s="4"/>
      <c r="MU138" s="5"/>
      <c r="MV138" s="6"/>
      <c r="MW138" s="4"/>
      <c r="MX138" s="4"/>
      <c r="MY138" s="4"/>
      <c r="MZ138" s="4"/>
      <c r="NA138" s="4"/>
      <c r="NB138" s="5"/>
      <c r="NC138" s="6"/>
      <c r="ND138" s="4"/>
      <c r="NE138" s="4"/>
      <c r="NF138" s="4"/>
      <c r="NG138" s="4"/>
      <c r="NH138" s="4"/>
      <c r="NI138" s="5"/>
      <c r="NJ138" s="6"/>
      <c r="NK138" s="4"/>
      <c r="NL138" s="4"/>
      <c r="NM138" s="4"/>
      <c r="NN138" s="4"/>
      <c r="NO138" s="4"/>
      <c r="NP138" s="5"/>
      <c r="NQ138" s="6"/>
      <c r="NR138" s="4"/>
      <c r="NS138" s="4"/>
      <c r="NT138" s="4"/>
      <c r="NU138" s="4"/>
      <c r="NV138" s="4"/>
      <c r="NW138" s="5"/>
      <c r="NX138" s="6"/>
      <c r="NY138" s="4"/>
      <c r="NZ138" s="4"/>
      <c r="OA138" s="4"/>
      <c r="OB138" s="4"/>
      <c r="OC138" s="4"/>
      <c r="OD138" s="5"/>
      <c r="OE138" s="6"/>
      <c r="OF138" s="4"/>
      <c r="OG138" s="4"/>
      <c r="OH138" s="4"/>
      <c r="OI138" s="4"/>
      <c r="OJ138" s="4"/>
      <c r="OK138" s="5"/>
      <c r="OL138" s="6"/>
      <c r="OM138" s="4"/>
      <c r="ON138" s="4"/>
      <c r="OO138" s="4"/>
      <c r="OP138" s="4"/>
      <c r="OQ138" s="4"/>
      <c r="OR138" s="5"/>
      <c r="OS138" s="6"/>
      <c r="OT138" s="4"/>
      <c r="OU138" s="4"/>
      <c r="OV138" s="4"/>
      <c r="OW138" s="4"/>
      <c r="OX138" s="4"/>
      <c r="OY138" s="5"/>
      <c r="OZ138" s="6"/>
      <c r="PA138" s="4"/>
      <c r="PB138" s="4"/>
      <c r="PC138" s="4"/>
      <c r="PD138" s="4"/>
      <c r="PE138" s="4"/>
      <c r="PF138" s="5"/>
      <c r="PG138" s="6"/>
      <c r="PH138" s="4"/>
      <c r="PI138" s="4"/>
      <c r="PJ138" s="4"/>
      <c r="PK138" s="4"/>
      <c r="PL138" s="4"/>
      <c r="PM138" s="5"/>
      <c r="PN138" s="6"/>
      <c r="PO138" s="4"/>
      <c r="PP138" s="4"/>
      <c r="PQ138" s="4"/>
      <c r="PR138" s="4"/>
      <c r="PS138" s="4"/>
      <c r="PT138" s="5"/>
      <c r="PU138" s="6"/>
      <c r="PV138" s="4"/>
      <c r="PW138" s="4"/>
      <c r="PX138" s="4"/>
      <c r="PY138" s="4"/>
      <c r="PZ138" s="4"/>
      <c r="QA138" s="5"/>
      <c r="QB138" s="6"/>
      <c r="QC138" s="4"/>
      <c r="QD138" s="4"/>
      <c r="QE138" s="4"/>
      <c r="QF138" s="4"/>
      <c r="QG138" s="4"/>
      <c r="QH138" s="5"/>
      <c r="QI138" s="6"/>
      <c r="QJ138" s="4"/>
      <c r="QK138" s="4"/>
      <c r="QL138" s="4"/>
      <c r="QM138" s="4"/>
      <c r="QN138" s="4"/>
      <c r="QO138" s="5"/>
      <c r="QP138" s="6"/>
      <c r="QQ138" s="4"/>
      <c r="QR138" s="4"/>
      <c r="QS138" s="4"/>
      <c r="QT138" s="4"/>
      <c r="QU138" s="4"/>
      <c r="QV138" s="5"/>
      <c r="QW138" s="6"/>
      <c r="QX138" s="4"/>
      <c r="QY138" s="4"/>
      <c r="QZ138" s="4"/>
      <c r="RA138" s="4"/>
      <c r="RB138" s="4"/>
      <c r="RC138" s="5"/>
      <c r="RD138" s="6"/>
      <c r="RE138" s="4"/>
      <c r="RF138" s="4"/>
      <c r="RG138" s="4"/>
      <c r="RH138" s="4"/>
      <c r="RI138" s="4"/>
      <c r="RJ138" s="5"/>
      <c r="RK138" s="6"/>
      <c r="RL138" s="4"/>
      <c r="RM138" s="4"/>
      <c r="RN138" s="4"/>
      <c r="RO138" s="4"/>
      <c r="RP138" s="4"/>
      <c r="RQ138" s="5"/>
      <c r="RR138" s="6"/>
      <c r="RS138" s="4"/>
      <c r="RT138" s="4"/>
      <c r="RU138" s="4"/>
      <c r="RV138" s="4"/>
      <c r="RW138" s="4"/>
      <c r="RX138" s="5"/>
      <c r="RY138" s="6"/>
      <c r="RZ138" s="4"/>
      <c r="SA138" s="4"/>
      <c r="SB138" s="4"/>
      <c r="SC138" s="4"/>
      <c r="SD138" s="4"/>
      <c r="SE138" s="5"/>
      <c r="SF138" s="6"/>
      <c r="SG138" s="4"/>
      <c r="SH138" s="4"/>
      <c r="SI138" s="4"/>
      <c r="SJ138" s="4"/>
      <c r="SK138" s="4"/>
      <c r="SL138" s="5"/>
      <c r="SM138" s="6"/>
      <c r="SN138" s="4"/>
      <c r="SO138" s="4"/>
      <c r="SP138" s="4"/>
      <c r="SQ138" s="4"/>
      <c r="SR138" s="4"/>
      <c r="SS138" s="5"/>
      <c r="ST138" s="6"/>
      <c r="SU138" s="4"/>
      <c r="SV138" s="4"/>
      <c r="SW138" s="4"/>
      <c r="SX138" s="4"/>
      <c r="SY138" s="4"/>
      <c r="SZ138" s="5"/>
      <c r="TA138" s="6"/>
      <c r="TB138" s="4"/>
      <c r="TC138" s="4"/>
      <c r="TD138" s="4"/>
      <c r="TE138" s="4"/>
      <c r="TF138" s="4"/>
      <c r="TG138" s="5"/>
      <c r="TH138" s="6"/>
      <c r="TI138" s="4"/>
      <c r="TJ138" s="4"/>
      <c r="TK138" s="4"/>
      <c r="TL138" s="4"/>
      <c r="TM138" s="4"/>
      <c r="TN138" s="5"/>
      <c r="TO138" s="6"/>
      <c r="TP138" s="4"/>
      <c r="TQ138" s="4"/>
      <c r="TR138" s="4"/>
      <c r="TS138" s="4"/>
      <c r="TT138" s="4"/>
      <c r="TU138" s="5"/>
      <c r="TV138" s="6"/>
      <c r="TW138" s="4"/>
      <c r="TX138" s="4"/>
      <c r="TY138" s="4"/>
      <c r="TZ138" s="4"/>
      <c r="UA138" s="4"/>
      <c r="UB138" s="5"/>
      <c r="UC138" s="6"/>
      <c r="UD138" s="4"/>
      <c r="UE138" s="4"/>
      <c r="UF138" s="4"/>
      <c r="UG138" s="4"/>
      <c r="UH138" s="4"/>
      <c r="UI138" s="5"/>
      <c r="UJ138" s="6"/>
      <c r="UK138" s="4"/>
      <c r="UL138" s="4"/>
      <c r="UM138" s="4"/>
      <c r="UN138" s="4"/>
      <c r="UO138" s="4"/>
      <c r="UP138" s="5"/>
      <c r="UQ138" s="6"/>
      <c r="UR138" s="4"/>
      <c r="US138" s="4"/>
      <c r="UT138" s="4"/>
      <c r="UU138" s="8"/>
      <c r="UV138" s="4"/>
      <c r="UW138" s="5"/>
      <c r="UX138" s="6"/>
      <c r="UY138" s="4"/>
      <c r="UZ138" s="4"/>
      <c r="VA138" s="4"/>
      <c r="VB138" s="4"/>
      <c r="VC138" s="4"/>
      <c r="VD138" s="5"/>
      <c r="VE138" s="6"/>
      <c r="VF138" s="4"/>
      <c r="VG138" s="4"/>
      <c r="VH138" s="4"/>
      <c r="VI138" s="4"/>
      <c r="VJ138" s="4"/>
      <c r="VK138" s="5"/>
      <c r="VL138" s="6"/>
      <c r="VM138" s="4"/>
      <c r="VN138" s="4"/>
      <c r="VO138" s="4"/>
      <c r="VP138" s="8"/>
      <c r="VQ138" s="8"/>
      <c r="VR138" s="5"/>
      <c r="VS138" s="6"/>
      <c r="VT138" s="4"/>
      <c r="VU138" s="4"/>
      <c r="VV138" s="4"/>
      <c r="VW138" s="4"/>
      <c r="VX138" s="4"/>
      <c r="VY138" s="5"/>
      <c r="VZ138" s="6"/>
      <c r="WA138" s="4"/>
      <c r="WB138" s="4"/>
      <c r="WC138" s="4"/>
      <c r="WD138" s="4"/>
      <c r="WE138" s="4"/>
      <c r="WF138" s="5"/>
      <c r="WG138" s="6"/>
      <c r="WH138" s="4"/>
      <c r="WI138" s="4"/>
      <c r="WJ138" s="4"/>
      <c r="WK138" s="4"/>
      <c r="WL138" s="4"/>
      <c r="WM138" s="5"/>
      <c r="WN138" s="6"/>
      <c r="WO138" s="4"/>
      <c r="WP138" s="4"/>
      <c r="WQ138" s="4"/>
      <c r="WR138" s="4"/>
      <c r="WS138" s="4"/>
      <c r="WT138" s="5"/>
      <c r="WU138" s="6"/>
      <c r="WV138" s="4"/>
      <c r="WW138" s="4"/>
      <c r="WX138" s="4"/>
      <c r="WY138" s="4"/>
      <c r="WZ138" s="4"/>
      <c r="XA138" s="5"/>
      <c r="XB138" s="6"/>
      <c r="XC138" s="4"/>
      <c r="XD138" s="4"/>
      <c r="XE138" s="4"/>
      <c r="XF138" s="4"/>
      <c r="XG138" s="4"/>
      <c r="XH138" s="5"/>
      <c r="XI138" s="6"/>
      <c r="XJ138" s="4"/>
      <c r="XK138" s="4"/>
      <c r="XL138" s="4"/>
      <c r="XM138" s="4"/>
      <c r="XN138" s="4"/>
      <c r="XO138" s="5"/>
      <c r="XP138" s="6"/>
      <c r="XQ138" s="4"/>
      <c r="XR138" s="4"/>
      <c r="XS138" s="4"/>
      <c r="XT138" s="4"/>
      <c r="XU138" s="4"/>
      <c r="XV138" s="5"/>
      <c r="XW138" s="6"/>
      <c r="XX138" s="4"/>
      <c r="XY138" s="4"/>
      <c r="XZ138" s="4"/>
      <c r="YA138" s="4"/>
      <c r="YB138" s="4"/>
      <c r="YC138" s="5"/>
      <c r="YD138" s="6"/>
      <c r="YE138" s="4"/>
      <c r="YF138" s="4"/>
      <c r="YG138" s="4"/>
      <c r="YH138" s="4"/>
      <c r="YI138" s="4"/>
      <c r="YJ138" s="5"/>
      <c r="YK138" s="6" t="s">
        <v>2795</v>
      </c>
      <c r="YL138" s="4" t="s">
        <v>2361</v>
      </c>
      <c r="YM138" s="4"/>
      <c r="YN138" s="4"/>
      <c r="YO138" s="8">
        <v>34989</v>
      </c>
      <c r="YP138" s="8"/>
      <c r="YQ138" s="5" t="s">
        <v>317</v>
      </c>
      <c r="YR138" s="6"/>
      <c r="YS138" s="4"/>
      <c r="YT138" s="4"/>
      <c r="YU138" s="4"/>
      <c r="YV138" s="4"/>
      <c r="YW138" s="4"/>
      <c r="YX138" s="5"/>
      <c r="YY138" s="6"/>
      <c r="YZ138" s="4"/>
      <c r="ZA138" s="4"/>
      <c r="ZB138" s="4"/>
      <c r="ZC138" s="4"/>
      <c r="ZD138" s="4"/>
      <c r="ZE138" s="5"/>
      <c r="ZF138" s="6"/>
      <c r="ZG138" s="4"/>
      <c r="ZH138" s="4"/>
      <c r="ZI138" s="4"/>
      <c r="ZJ138" s="4"/>
      <c r="ZK138" s="4"/>
      <c r="ZL138" s="5"/>
      <c r="ZM138" s="6"/>
      <c r="ZN138" s="4"/>
      <c r="ZO138" s="4"/>
      <c r="ZP138" s="4"/>
      <c r="ZQ138" s="4"/>
      <c r="ZR138" s="4"/>
      <c r="ZS138" s="5"/>
      <c r="ZT138" s="6"/>
      <c r="ZU138" s="4"/>
      <c r="ZV138" s="4"/>
      <c r="ZW138" s="4"/>
      <c r="ZX138" s="4"/>
      <c r="ZY138" s="4"/>
      <c r="ZZ138" s="5"/>
      <c r="AAA138" s="6"/>
      <c r="AAB138" s="4"/>
      <c r="AAC138" s="4"/>
      <c r="AAD138" s="4"/>
      <c r="AAE138" s="4"/>
      <c r="AAF138" s="4"/>
      <c r="AAG138" s="5"/>
      <c r="AAH138" s="6"/>
      <c r="AAI138" s="4"/>
      <c r="AAJ138" s="4"/>
      <c r="AAK138" s="4"/>
      <c r="AAL138" s="4"/>
      <c r="AAM138" s="4"/>
      <c r="AAN138" s="5"/>
      <c r="AAO138" s="6"/>
      <c r="AAP138" s="4"/>
      <c r="AAQ138" s="4"/>
      <c r="AAR138" s="4"/>
      <c r="AAS138" s="4"/>
      <c r="AAT138" s="4"/>
      <c r="AAU138" s="5"/>
      <c r="AAV138" s="6"/>
      <c r="AAW138" s="4"/>
      <c r="AAX138" s="4"/>
      <c r="AAY138" s="4"/>
      <c r="AAZ138" s="4"/>
      <c r="ABA138" s="4"/>
      <c r="ABB138" s="5"/>
      <c r="ABC138" s="6"/>
      <c r="ABD138" s="4"/>
      <c r="ABE138" s="4"/>
      <c r="ABF138" s="4"/>
      <c r="ABG138" s="4"/>
      <c r="ABH138" s="4"/>
      <c r="ABI138" s="5"/>
      <c r="ABJ138" s="6"/>
      <c r="ABK138" s="4"/>
      <c r="ABL138" s="4"/>
      <c r="ABM138" s="4"/>
      <c r="ABN138" s="4"/>
      <c r="ABO138" s="4"/>
      <c r="ABP138" s="5"/>
      <c r="ABQ138" s="6"/>
      <c r="ABR138" s="4"/>
      <c r="ABS138" s="4"/>
      <c r="ABT138" s="4"/>
      <c r="ABU138" s="4"/>
      <c r="ABV138" s="4"/>
      <c r="ABW138" s="5"/>
      <c r="ABX138" s="6"/>
      <c r="ABY138" s="4"/>
      <c r="ABZ138" s="4"/>
      <c r="ACA138" s="4"/>
      <c r="ACB138" s="4"/>
      <c r="ACC138" s="4"/>
      <c r="ACD138" s="5"/>
      <c r="ACE138" s="6"/>
      <c r="ACF138" s="4"/>
      <c r="ACG138" s="4"/>
      <c r="ACH138" s="4"/>
      <c r="ACI138" s="4"/>
      <c r="ACJ138" s="4"/>
      <c r="ACK138" s="5"/>
      <c r="ACL138" s="6"/>
      <c r="ACM138" s="4"/>
      <c r="ACN138" s="4"/>
      <c r="ACO138" s="4"/>
      <c r="ACP138" s="4"/>
      <c r="ACQ138" s="4"/>
      <c r="ACR138" s="5"/>
      <c r="ACS138" s="6"/>
      <c r="ACT138" s="4"/>
      <c r="ACU138" s="4"/>
      <c r="ACV138" s="4"/>
      <c r="ACW138" s="4"/>
      <c r="ACX138" s="4"/>
      <c r="ACY138" s="5"/>
    </row>
    <row r="139" spans="2:779" x14ac:dyDescent="0.25">
      <c r="B139" s="30"/>
      <c r="J139" s="12"/>
      <c r="K139" s="12"/>
      <c r="L139" s="12"/>
      <c r="LL139" s="6"/>
      <c r="LM139" s="4"/>
      <c r="LN139" s="4"/>
      <c r="LO139" s="4"/>
      <c r="LP139" s="4"/>
      <c r="LQ139" s="4"/>
      <c r="LR139" s="5"/>
      <c r="LS139" s="6"/>
      <c r="LT139" s="4"/>
      <c r="LU139" s="4"/>
      <c r="LV139" s="4"/>
      <c r="LW139" s="4"/>
      <c r="LX139" s="4"/>
      <c r="LY139" s="5"/>
      <c r="LZ139" s="11" t="s">
        <v>942</v>
      </c>
      <c r="MA139" s="4" t="s">
        <v>943</v>
      </c>
      <c r="MB139" s="7" t="s">
        <v>2470</v>
      </c>
      <c r="MC139" s="7"/>
      <c r="MD139" s="8">
        <v>34989</v>
      </c>
      <c r="ME139" s="8"/>
      <c r="MF139" s="8"/>
      <c r="MG139" s="5" t="s">
        <v>379</v>
      </c>
      <c r="MH139" s="6"/>
      <c r="MI139" s="4"/>
      <c r="MJ139" s="4"/>
      <c r="MK139" s="4"/>
      <c r="ML139" s="4"/>
      <c r="MM139" s="4"/>
      <c r="MN139" s="5"/>
      <c r="MO139" s="6"/>
      <c r="MP139" s="4"/>
      <c r="MQ139" s="4"/>
      <c r="MR139" s="4"/>
      <c r="MS139" s="4"/>
      <c r="MT139" s="4"/>
      <c r="MU139" s="5"/>
      <c r="MV139" s="6"/>
      <c r="MW139" s="4"/>
      <c r="MX139" s="4"/>
      <c r="MY139" s="4"/>
      <c r="MZ139" s="4"/>
      <c r="NA139" s="4"/>
      <c r="NB139" s="5"/>
      <c r="NC139" s="6"/>
      <c r="ND139" s="4"/>
      <c r="NE139" s="4"/>
      <c r="NF139" s="4"/>
      <c r="NG139" s="4"/>
      <c r="NH139" s="4"/>
      <c r="NI139" s="5"/>
      <c r="NJ139" s="6"/>
      <c r="NK139" s="4"/>
      <c r="NL139" s="4"/>
      <c r="NM139" s="4"/>
      <c r="NN139" s="4"/>
      <c r="NO139" s="4"/>
      <c r="NP139" s="5"/>
      <c r="NQ139" s="6"/>
      <c r="NR139" s="4"/>
      <c r="NS139" s="4"/>
      <c r="NT139" s="4"/>
      <c r="NU139" s="4"/>
      <c r="NV139" s="4"/>
      <c r="NW139" s="5"/>
      <c r="NX139" s="6"/>
      <c r="NY139" s="4"/>
      <c r="NZ139" s="4"/>
      <c r="OA139" s="4"/>
      <c r="OB139" s="4"/>
      <c r="OC139" s="4"/>
      <c r="OD139" s="5"/>
      <c r="OE139" s="6"/>
      <c r="OF139" s="4"/>
      <c r="OG139" s="4"/>
      <c r="OH139" s="4"/>
      <c r="OI139" s="4"/>
      <c r="OJ139" s="4"/>
      <c r="OK139" s="5"/>
      <c r="OL139" s="6"/>
      <c r="OM139" s="4"/>
      <c r="ON139" s="4"/>
      <c r="OO139" s="4"/>
      <c r="OP139" s="4"/>
      <c r="OQ139" s="4"/>
      <c r="OR139" s="5"/>
      <c r="OS139" s="6"/>
      <c r="OT139" s="4"/>
      <c r="OU139" s="4"/>
      <c r="OV139" s="4"/>
      <c r="OW139" s="4"/>
      <c r="OX139" s="4"/>
      <c r="OY139" s="5"/>
      <c r="OZ139" s="6"/>
      <c r="PA139" s="4"/>
      <c r="PB139" s="4"/>
      <c r="PC139" s="4"/>
      <c r="PD139" s="4"/>
      <c r="PE139" s="4"/>
      <c r="PF139" s="5"/>
      <c r="PG139" s="6"/>
      <c r="PH139" s="4"/>
      <c r="PI139" s="4"/>
      <c r="PJ139" s="4"/>
      <c r="PK139" s="4"/>
      <c r="PL139" s="4"/>
      <c r="PM139" s="5"/>
      <c r="PN139" s="6"/>
      <c r="PO139" s="4"/>
      <c r="PP139" s="4"/>
      <c r="PQ139" s="4"/>
      <c r="PR139" s="4"/>
      <c r="PS139" s="4"/>
      <c r="PT139" s="5"/>
      <c r="PU139" s="6"/>
      <c r="PV139" s="4"/>
      <c r="PW139" s="4"/>
      <c r="PX139" s="4"/>
      <c r="PY139" s="4"/>
      <c r="PZ139" s="4"/>
      <c r="QA139" s="5"/>
      <c r="QB139" s="6"/>
      <c r="QC139" s="4"/>
      <c r="QD139" s="4"/>
      <c r="QE139" s="4"/>
      <c r="QF139" s="4"/>
      <c r="QG139" s="4"/>
      <c r="QH139" s="5"/>
      <c r="QI139" s="6"/>
      <c r="QJ139" s="4"/>
      <c r="QK139" s="4"/>
      <c r="QL139" s="4"/>
      <c r="QM139" s="4"/>
      <c r="QN139" s="4"/>
      <c r="QO139" s="5"/>
      <c r="QP139" s="6"/>
      <c r="QQ139" s="4"/>
      <c r="QR139" s="4"/>
      <c r="QS139" s="4"/>
      <c r="QT139" s="4"/>
      <c r="QU139" s="4"/>
      <c r="QV139" s="5"/>
      <c r="QW139" s="6"/>
      <c r="QX139" s="4"/>
      <c r="QY139" s="4"/>
      <c r="QZ139" s="4"/>
      <c r="RA139" s="4"/>
      <c r="RB139" s="4"/>
      <c r="RC139" s="5"/>
      <c r="RD139" s="6"/>
      <c r="RE139" s="4"/>
      <c r="RF139" s="4"/>
      <c r="RG139" s="4"/>
      <c r="RH139" s="4"/>
      <c r="RI139" s="4"/>
      <c r="RJ139" s="5"/>
      <c r="RK139" s="6"/>
      <c r="RL139" s="4"/>
      <c r="RM139" s="4"/>
      <c r="RN139" s="4"/>
      <c r="RO139" s="4"/>
      <c r="RP139" s="4"/>
      <c r="RQ139" s="5"/>
      <c r="RR139" s="6"/>
      <c r="RS139" s="4"/>
      <c r="RT139" s="4"/>
      <c r="RU139" s="4"/>
      <c r="RV139" s="4"/>
      <c r="RW139" s="4"/>
      <c r="RX139" s="5"/>
      <c r="RY139" s="6"/>
      <c r="RZ139" s="4"/>
      <c r="SA139" s="4"/>
      <c r="SB139" s="4"/>
      <c r="SC139" s="4"/>
      <c r="SD139" s="4"/>
      <c r="SE139" s="5"/>
      <c r="SF139" s="6"/>
      <c r="SG139" s="4"/>
      <c r="SH139" s="4"/>
      <c r="SI139" s="4"/>
      <c r="SJ139" s="4"/>
      <c r="SK139" s="4"/>
      <c r="SL139" s="5"/>
      <c r="SM139" s="6"/>
      <c r="SN139" s="4"/>
      <c r="SO139" s="4"/>
      <c r="SP139" s="4"/>
      <c r="SQ139" s="4"/>
      <c r="SR139" s="4"/>
      <c r="SS139" s="5"/>
      <c r="ST139" s="6"/>
      <c r="SU139" s="4"/>
      <c r="SV139" s="4"/>
      <c r="SW139" s="4"/>
      <c r="SX139" s="4"/>
      <c r="SY139" s="4"/>
      <c r="SZ139" s="5"/>
      <c r="TA139" s="6"/>
      <c r="TB139" s="4"/>
      <c r="TC139" s="4"/>
      <c r="TD139" s="4"/>
      <c r="TE139" s="4"/>
      <c r="TF139" s="4"/>
      <c r="TG139" s="5"/>
      <c r="TH139" s="6"/>
      <c r="TI139" s="4"/>
      <c r="TJ139" s="4"/>
      <c r="TK139" s="4"/>
      <c r="TL139" s="4"/>
      <c r="TM139" s="4"/>
      <c r="TN139" s="5"/>
      <c r="TO139" s="6"/>
      <c r="TP139" s="4"/>
      <c r="TQ139" s="4"/>
      <c r="TR139" s="4"/>
      <c r="TS139" s="4"/>
      <c r="TT139" s="4"/>
      <c r="TU139" s="5"/>
      <c r="TV139" s="6"/>
      <c r="TW139" s="4"/>
      <c r="TX139" s="4"/>
      <c r="TY139" s="4"/>
      <c r="TZ139" s="4"/>
      <c r="UA139" s="4"/>
      <c r="UB139" s="5"/>
      <c r="UC139" s="6"/>
      <c r="UD139" s="4"/>
      <c r="UE139" s="4"/>
      <c r="UF139" s="4"/>
      <c r="UG139" s="4"/>
      <c r="UH139" s="4"/>
      <c r="UI139" s="5"/>
      <c r="UJ139" s="6"/>
      <c r="UK139" s="4"/>
      <c r="UL139" s="4"/>
      <c r="UM139" s="4"/>
      <c r="UN139" s="4"/>
      <c r="UO139" s="4"/>
      <c r="UP139" s="5"/>
      <c r="UQ139" s="6"/>
      <c r="UR139" s="4"/>
      <c r="US139" s="4"/>
      <c r="UT139" s="4"/>
      <c r="UU139" s="8"/>
      <c r="UV139" s="4"/>
      <c r="UW139" s="5"/>
      <c r="UX139" s="6"/>
      <c r="UY139" s="4"/>
      <c r="UZ139" s="4"/>
      <c r="VA139" s="4"/>
      <c r="VB139" s="4"/>
      <c r="VC139" s="4"/>
      <c r="VD139" s="5"/>
      <c r="VE139" s="6"/>
      <c r="VF139" s="4"/>
      <c r="VG139" s="4"/>
      <c r="VH139" s="4"/>
      <c r="VI139" s="4"/>
      <c r="VJ139" s="4"/>
      <c r="VK139" s="5"/>
      <c r="VL139" s="6"/>
      <c r="VM139" s="4"/>
      <c r="VN139" s="4"/>
      <c r="VO139" s="4"/>
      <c r="VP139" s="8"/>
      <c r="VQ139" s="8"/>
      <c r="VR139" s="5"/>
      <c r="VS139" s="6"/>
      <c r="VT139" s="4"/>
      <c r="VU139" s="4"/>
      <c r="VV139" s="4"/>
      <c r="VW139" s="4"/>
      <c r="VX139" s="4"/>
      <c r="VY139" s="5"/>
      <c r="VZ139" s="6"/>
      <c r="WA139" s="4"/>
      <c r="WB139" s="4"/>
      <c r="WC139" s="4"/>
      <c r="WD139" s="4"/>
      <c r="WE139" s="4"/>
      <c r="WF139" s="5"/>
      <c r="WG139" s="6"/>
      <c r="WH139" s="4"/>
      <c r="WI139" s="4"/>
      <c r="WJ139" s="4"/>
      <c r="WK139" s="4"/>
      <c r="WL139" s="4"/>
      <c r="WM139" s="5"/>
      <c r="WN139" s="6"/>
      <c r="WO139" s="4"/>
      <c r="WP139" s="4"/>
      <c r="WQ139" s="4"/>
      <c r="WR139" s="4"/>
      <c r="WS139" s="4"/>
      <c r="WT139" s="5"/>
      <c r="WU139" s="6"/>
      <c r="WV139" s="4"/>
      <c r="WW139" s="4"/>
      <c r="WX139" s="4"/>
      <c r="WY139" s="4"/>
      <c r="WZ139" s="4"/>
      <c r="XA139" s="5"/>
      <c r="XB139" s="6"/>
      <c r="XC139" s="4"/>
      <c r="XD139" s="4"/>
      <c r="XE139" s="4"/>
      <c r="XF139" s="4"/>
      <c r="XG139" s="4"/>
      <c r="XH139" s="5"/>
      <c r="XI139" s="6"/>
      <c r="XJ139" s="4"/>
      <c r="XK139" s="4"/>
      <c r="XL139" s="4"/>
      <c r="XM139" s="4"/>
      <c r="XN139" s="4"/>
      <c r="XO139" s="5"/>
      <c r="XP139" s="6"/>
      <c r="XQ139" s="4"/>
      <c r="XR139" s="4"/>
      <c r="XS139" s="4"/>
      <c r="XT139" s="4"/>
      <c r="XU139" s="4"/>
      <c r="XV139" s="5"/>
      <c r="XW139" s="6"/>
      <c r="XX139" s="4"/>
      <c r="XY139" s="4"/>
      <c r="XZ139" s="4"/>
      <c r="YA139" s="4"/>
      <c r="YB139" s="4"/>
      <c r="YC139" s="5"/>
      <c r="YD139" s="6"/>
      <c r="YE139" s="4"/>
      <c r="YF139" s="4"/>
      <c r="YG139" s="4"/>
      <c r="YH139" s="4"/>
      <c r="YI139" s="4"/>
      <c r="YJ139" s="5"/>
      <c r="YK139" s="6" t="s">
        <v>944</v>
      </c>
      <c r="YL139" s="7" t="s">
        <v>945</v>
      </c>
      <c r="YM139" s="4"/>
      <c r="YN139" s="4" t="s">
        <v>2607</v>
      </c>
      <c r="YO139" s="8">
        <v>34991</v>
      </c>
      <c r="YP139" s="8">
        <v>34995</v>
      </c>
      <c r="YQ139" s="5" t="s">
        <v>450</v>
      </c>
      <c r="YR139" s="6"/>
      <c r="YS139" s="4"/>
      <c r="YT139" s="4"/>
      <c r="YU139" s="4"/>
      <c r="YV139" s="4"/>
      <c r="YW139" s="4"/>
      <c r="YX139" s="5"/>
      <c r="YY139" s="6"/>
      <c r="YZ139" s="4"/>
      <c r="ZA139" s="4"/>
      <c r="ZB139" s="4"/>
      <c r="ZC139" s="4"/>
      <c r="ZD139" s="4"/>
      <c r="ZE139" s="5"/>
      <c r="ZF139" s="6"/>
      <c r="ZG139" s="4"/>
      <c r="ZH139" s="4"/>
      <c r="ZI139" s="4"/>
      <c r="ZJ139" s="4"/>
      <c r="ZK139" s="4"/>
      <c r="ZL139" s="5"/>
      <c r="ZM139" s="6"/>
      <c r="ZN139" s="4"/>
      <c r="ZO139" s="4"/>
      <c r="ZP139" s="4"/>
      <c r="ZQ139" s="4"/>
      <c r="ZR139" s="4"/>
      <c r="ZS139" s="5"/>
      <c r="ZT139" s="6"/>
      <c r="ZU139" s="4"/>
      <c r="ZV139" s="4"/>
      <c r="ZW139" s="4"/>
      <c r="ZX139" s="4"/>
      <c r="ZY139" s="4"/>
      <c r="ZZ139" s="5"/>
      <c r="AAA139" s="6"/>
      <c r="AAB139" s="4"/>
      <c r="AAC139" s="4"/>
      <c r="AAD139" s="4"/>
      <c r="AAE139" s="4"/>
      <c r="AAF139" s="4"/>
      <c r="AAG139" s="5"/>
      <c r="AAH139" s="6"/>
      <c r="AAI139" s="4"/>
      <c r="AAJ139" s="4"/>
      <c r="AAK139" s="4"/>
      <c r="AAL139" s="4"/>
      <c r="AAM139" s="4"/>
      <c r="AAN139" s="5"/>
      <c r="AAO139" s="6"/>
      <c r="AAP139" s="4"/>
      <c r="AAQ139" s="4"/>
      <c r="AAR139" s="4"/>
      <c r="AAS139" s="4"/>
      <c r="AAT139" s="4"/>
      <c r="AAU139" s="5"/>
      <c r="AAV139" s="6"/>
      <c r="AAW139" s="4"/>
      <c r="AAX139" s="4"/>
      <c r="AAY139" s="4"/>
      <c r="AAZ139" s="4"/>
      <c r="ABA139" s="4"/>
      <c r="ABB139" s="5"/>
      <c r="ABC139" s="6"/>
      <c r="ABD139" s="4"/>
      <c r="ABE139" s="4"/>
      <c r="ABF139" s="4"/>
      <c r="ABG139" s="4"/>
      <c r="ABH139" s="4"/>
      <c r="ABI139" s="5"/>
      <c r="ABJ139" s="6"/>
      <c r="ABK139" s="4"/>
      <c r="ABL139" s="4"/>
      <c r="ABM139" s="4"/>
      <c r="ABN139" s="4"/>
      <c r="ABO139" s="4"/>
      <c r="ABP139" s="5"/>
      <c r="ABQ139" s="6"/>
      <c r="ABR139" s="4"/>
      <c r="ABS139" s="4"/>
      <c r="ABT139" s="4"/>
      <c r="ABU139" s="4"/>
      <c r="ABV139" s="4"/>
      <c r="ABW139" s="5"/>
      <c r="ABX139" s="6"/>
      <c r="ABY139" s="4"/>
      <c r="ABZ139" s="4"/>
      <c r="ACA139" s="4"/>
      <c r="ACB139" s="4"/>
      <c r="ACC139" s="4"/>
      <c r="ACD139" s="5"/>
      <c r="ACE139" s="6"/>
      <c r="ACF139" s="4"/>
      <c r="ACG139" s="4"/>
      <c r="ACH139" s="4"/>
      <c r="ACI139" s="4"/>
      <c r="ACJ139" s="4"/>
      <c r="ACK139" s="5"/>
      <c r="ACL139" s="6"/>
      <c r="ACM139" s="4"/>
      <c r="ACN139" s="4"/>
      <c r="ACO139" s="4"/>
      <c r="ACP139" s="4"/>
      <c r="ACQ139" s="4"/>
      <c r="ACR139" s="5"/>
      <c r="ACS139" s="6"/>
      <c r="ACT139" s="4"/>
      <c r="ACU139" s="4"/>
      <c r="ACV139" s="4"/>
      <c r="ACW139" s="4"/>
      <c r="ACX139" s="4"/>
      <c r="ACY139" s="5"/>
    </row>
    <row r="140" spans="2:779" x14ac:dyDescent="0.25">
      <c r="B140" s="30"/>
      <c r="J140" s="12"/>
      <c r="K140" s="12"/>
      <c r="L140" s="12"/>
      <c r="LL140" s="6"/>
      <c r="LM140" s="4"/>
      <c r="LN140" s="4"/>
      <c r="LO140" s="4"/>
      <c r="LP140" s="4"/>
      <c r="LQ140" s="4"/>
      <c r="LR140" s="5"/>
      <c r="LS140" s="6"/>
      <c r="LT140" s="4"/>
      <c r="LU140" s="4"/>
      <c r="LV140" s="4"/>
      <c r="LW140" s="4"/>
      <c r="LX140" s="4"/>
      <c r="LY140" s="5"/>
      <c r="LZ140" s="11"/>
      <c r="MA140" s="4"/>
      <c r="MB140" s="7"/>
      <c r="MC140" s="7"/>
      <c r="MD140" s="8"/>
      <c r="ME140" s="8"/>
      <c r="MF140" s="8"/>
      <c r="MG140" s="5"/>
      <c r="MH140" s="6"/>
      <c r="MI140" s="4"/>
      <c r="MJ140" s="4"/>
      <c r="MK140" s="4"/>
      <c r="ML140" s="4"/>
      <c r="MM140" s="4"/>
      <c r="MN140" s="5"/>
      <c r="MO140" s="6"/>
      <c r="MP140" s="4"/>
      <c r="MQ140" s="4"/>
      <c r="MR140" s="4"/>
      <c r="MS140" s="4"/>
      <c r="MT140" s="4"/>
      <c r="MU140" s="5"/>
      <c r="MV140" s="6"/>
      <c r="MW140" s="4"/>
      <c r="MX140" s="4"/>
      <c r="MY140" s="4"/>
      <c r="MZ140" s="4"/>
      <c r="NA140" s="4"/>
      <c r="NB140" s="5"/>
      <c r="NC140" s="6"/>
      <c r="ND140" s="4"/>
      <c r="NE140" s="4"/>
      <c r="NF140" s="4"/>
      <c r="NG140" s="4"/>
      <c r="NH140" s="4"/>
      <c r="NI140" s="5"/>
      <c r="NJ140" s="6"/>
      <c r="NK140" s="4"/>
      <c r="NL140" s="4"/>
      <c r="NM140" s="4"/>
      <c r="NN140" s="4"/>
      <c r="NO140" s="4"/>
      <c r="NP140" s="5"/>
      <c r="NQ140" s="6"/>
      <c r="NR140" s="4"/>
      <c r="NS140" s="4"/>
      <c r="NT140" s="4"/>
      <c r="NU140" s="4"/>
      <c r="NV140" s="4"/>
      <c r="NW140" s="5"/>
      <c r="NX140" s="6"/>
      <c r="NY140" s="4"/>
      <c r="NZ140" s="4"/>
      <c r="OA140" s="4"/>
      <c r="OB140" s="4"/>
      <c r="OC140" s="4"/>
      <c r="OD140" s="5"/>
      <c r="OE140" s="6"/>
      <c r="OF140" s="4"/>
      <c r="OG140" s="4"/>
      <c r="OH140" s="4"/>
      <c r="OI140" s="4"/>
      <c r="OJ140" s="4"/>
      <c r="OK140" s="5"/>
      <c r="OL140" s="6"/>
      <c r="OM140" s="4"/>
      <c r="ON140" s="4"/>
      <c r="OO140" s="4"/>
      <c r="OP140" s="4"/>
      <c r="OQ140" s="4"/>
      <c r="OR140" s="5"/>
      <c r="OS140" s="6"/>
      <c r="OT140" s="4"/>
      <c r="OU140" s="4"/>
      <c r="OV140" s="4"/>
      <c r="OW140" s="4"/>
      <c r="OX140" s="4"/>
      <c r="OY140" s="5"/>
      <c r="OZ140" s="6"/>
      <c r="PA140" s="4"/>
      <c r="PB140" s="4"/>
      <c r="PC140" s="4"/>
      <c r="PD140" s="4"/>
      <c r="PE140" s="4"/>
      <c r="PF140" s="5"/>
      <c r="PG140" s="6"/>
      <c r="PH140" s="4"/>
      <c r="PI140" s="4"/>
      <c r="PJ140" s="4"/>
      <c r="PK140" s="4"/>
      <c r="PL140" s="4"/>
      <c r="PM140" s="5"/>
      <c r="PN140" s="6"/>
      <c r="PO140" s="4"/>
      <c r="PP140" s="4"/>
      <c r="PQ140" s="4"/>
      <c r="PR140" s="4"/>
      <c r="PS140" s="4"/>
      <c r="PT140" s="5"/>
      <c r="PU140" s="6"/>
      <c r="PV140" s="4"/>
      <c r="PW140" s="4"/>
      <c r="PX140" s="4"/>
      <c r="PY140" s="4"/>
      <c r="PZ140" s="4"/>
      <c r="QA140" s="5"/>
      <c r="QB140" s="6"/>
      <c r="QC140" s="4"/>
      <c r="QD140" s="4"/>
      <c r="QE140" s="4"/>
      <c r="QF140" s="4"/>
      <c r="QG140" s="4"/>
      <c r="QH140" s="5"/>
      <c r="QI140" s="6"/>
      <c r="QJ140" s="4"/>
      <c r="QK140" s="4"/>
      <c r="QL140" s="4"/>
      <c r="QM140" s="4"/>
      <c r="QN140" s="4"/>
      <c r="QO140" s="5"/>
      <c r="QP140" s="6"/>
      <c r="QQ140" s="4"/>
      <c r="QR140" s="4"/>
      <c r="QS140" s="4"/>
      <c r="QT140" s="4"/>
      <c r="QU140" s="4"/>
      <c r="QV140" s="5"/>
      <c r="QW140" s="6"/>
      <c r="QX140" s="4"/>
      <c r="QY140" s="4"/>
      <c r="QZ140" s="4"/>
      <c r="RA140" s="4"/>
      <c r="RB140" s="4"/>
      <c r="RC140" s="5"/>
      <c r="RD140" s="6"/>
      <c r="RE140" s="4"/>
      <c r="RF140" s="4"/>
      <c r="RG140" s="4"/>
      <c r="RH140" s="4"/>
      <c r="RI140" s="4"/>
      <c r="RJ140" s="5"/>
      <c r="RK140" s="6"/>
      <c r="RL140" s="4"/>
      <c r="RM140" s="4"/>
      <c r="RN140" s="4"/>
      <c r="RO140" s="4"/>
      <c r="RP140" s="4"/>
      <c r="RQ140" s="5"/>
      <c r="RR140" s="6"/>
      <c r="RS140" s="4"/>
      <c r="RT140" s="4"/>
      <c r="RU140" s="4"/>
      <c r="RV140" s="4"/>
      <c r="RW140" s="4"/>
      <c r="RX140" s="5"/>
      <c r="RY140" s="6"/>
      <c r="RZ140" s="4"/>
      <c r="SA140" s="4"/>
      <c r="SB140" s="4"/>
      <c r="SC140" s="4"/>
      <c r="SD140" s="4"/>
      <c r="SE140" s="5"/>
      <c r="SF140" s="6"/>
      <c r="SG140" s="4"/>
      <c r="SH140" s="4"/>
      <c r="SI140" s="4"/>
      <c r="SJ140" s="4"/>
      <c r="SK140" s="4"/>
      <c r="SL140" s="5"/>
      <c r="SM140" s="6"/>
      <c r="SN140" s="4"/>
      <c r="SO140" s="4"/>
      <c r="SP140" s="4"/>
      <c r="SQ140" s="4"/>
      <c r="SR140" s="4"/>
      <c r="SS140" s="5"/>
      <c r="ST140" s="6"/>
      <c r="SU140" s="4"/>
      <c r="SV140" s="4"/>
      <c r="SW140" s="4"/>
      <c r="SX140" s="4"/>
      <c r="SY140" s="4"/>
      <c r="SZ140" s="5"/>
      <c r="TA140" s="6"/>
      <c r="TB140" s="4"/>
      <c r="TC140" s="4"/>
      <c r="TD140" s="4"/>
      <c r="TE140" s="4"/>
      <c r="TF140" s="4"/>
      <c r="TG140" s="5"/>
      <c r="TH140" s="6"/>
      <c r="TI140" s="4"/>
      <c r="TJ140" s="4"/>
      <c r="TK140" s="4"/>
      <c r="TL140" s="4"/>
      <c r="TM140" s="4"/>
      <c r="TN140" s="5"/>
      <c r="TO140" s="6"/>
      <c r="TP140" s="4"/>
      <c r="TQ140" s="4"/>
      <c r="TR140" s="4"/>
      <c r="TS140" s="4"/>
      <c r="TT140" s="4"/>
      <c r="TU140" s="5"/>
      <c r="TV140" s="6"/>
      <c r="TW140" s="4"/>
      <c r="TX140" s="4"/>
      <c r="TY140" s="4"/>
      <c r="TZ140" s="4"/>
      <c r="UA140" s="4"/>
      <c r="UB140" s="5"/>
      <c r="UC140" s="6"/>
      <c r="UD140" s="4"/>
      <c r="UE140" s="4"/>
      <c r="UF140" s="4"/>
      <c r="UG140" s="4"/>
      <c r="UH140" s="4"/>
      <c r="UI140" s="5"/>
      <c r="UJ140" s="6"/>
      <c r="UK140" s="4"/>
      <c r="UL140" s="4"/>
      <c r="UM140" s="4"/>
      <c r="UN140" s="4"/>
      <c r="UO140" s="4"/>
      <c r="UP140" s="5"/>
      <c r="UQ140" s="6"/>
      <c r="UR140" s="4"/>
      <c r="US140" s="4"/>
      <c r="UT140" s="4"/>
      <c r="UU140" s="8"/>
      <c r="UV140" s="4"/>
      <c r="UW140" s="5"/>
      <c r="UX140" s="6"/>
      <c r="UY140" s="4"/>
      <c r="UZ140" s="4"/>
      <c r="VA140" s="4"/>
      <c r="VB140" s="4"/>
      <c r="VC140" s="4"/>
      <c r="VD140" s="5"/>
      <c r="VE140" s="6"/>
      <c r="VF140" s="4"/>
      <c r="VG140" s="4"/>
      <c r="VH140" s="4"/>
      <c r="VI140" s="4"/>
      <c r="VJ140" s="4"/>
      <c r="VK140" s="5"/>
      <c r="VL140" s="6"/>
      <c r="VM140" s="4"/>
      <c r="VN140" s="4"/>
      <c r="VO140" s="4"/>
      <c r="VP140" s="8"/>
      <c r="VQ140" s="8"/>
      <c r="VR140" s="5"/>
      <c r="VS140" s="6"/>
      <c r="VT140" s="4"/>
      <c r="VU140" s="4"/>
      <c r="VV140" s="4"/>
      <c r="VW140" s="4"/>
      <c r="VX140" s="4"/>
      <c r="VY140" s="5"/>
      <c r="VZ140" s="6"/>
      <c r="WA140" s="4"/>
      <c r="WB140" s="4"/>
      <c r="WC140" s="4"/>
      <c r="WD140" s="4"/>
      <c r="WE140" s="4"/>
      <c r="WF140" s="5"/>
      <c r="WG140" s="6"/>
      <c r="WH140" s="4"/>
      <c r="WI140" s="4"/>
      <c r="WJ140" s="4"/>
      <c r="WK140" s="4"/>
      <c r="WL140" s="4"/>
      <c r="WM140" s="5"/>
      <c r="WN140" s="6"/>
      <c r="WO140" s="4"/>
      <c r="WP140" s="4"/>
      <c r="WQ140" s="4"/>
      <c r="WR140" s="4"/>
      <c r="WS140" s="4"/>
      <c r="WT140" s="5"/>
      <c r="WU140" s="6"/>
      <c r="WV140" s="4"/>
      <c r="WW140" s="4"/>
      <c r="WX140" s="4"/>
      <c r="WY140" s="4"/>
      <c r="WZ140" s="4"/>
      <c r="XA140" s="5"/>
      <c r="XB140" s="6"/>
      <c r="XC140" s="4"/>
      <c r="XD140" s="4"/>
      <c r="XE140" s="4"/>
      <c r="XF140" s="4"/>
      <c r="XG140" s="4"/>
      <c r="XH140" s="5"/>
      <c r="XI140" s="6"/>
      <c r="XJ140" s="4"/>
      <c r="XK140" s="4"/>
      <c r="XL140" s="4"/>
      <c r="XM140" s="4"/>
      <c r="XN140" s="4"/>
      <c r="XO140" s="5"/>
      <c r="XP140" s="6"/>
      <c r="XQ140" s="4"/>
      <c r="XR140" s="4"/>
      <c r="XS140" s="4"/>
      <c r="XT140" s="4"/>
      <c r="XU140" s="4"/>
      <c r="XV140" s="5"/>
      <c r="XW140" s="6"/>
      <c r="XX140" s="4"/>
      <c r="XY140" s="4"/>
      <c r="XZ140" s="4"/>
      <c r="YA140" s="4"/>
      <c r="YB140" s="4"/>
      <c r="YC140" s="5"/>
      <c r="YD140" s="6"/>
      <c r="YE140" s="4"/>
      <c r="YF140" s="4"/>
      <c r="YG140" s="4"/>
      <c r="YH140" s="4"/>
      <c r="YI140" s="4"/>
      <c r="YJ140" s="5"/>
      <c r="YK140" s="6" t="s">
        <v>946</v>
      </c>
      <c r="YL140" s="7" t="s">
        <v>1795</v>
      </c>
      <c r="YM140" s="4"/>
      <c r="YN140" s="4"/>
      <c r="YO140" s="8">
        <v>34990</v>
      </c>
      <c r="YP140" s="8"/>
      <c r="YQ140" s="5" t="s">
        <v>451</v>
      </c>
      <c r="YR140" s="6"/>
      <c r="YS140" s="4"/>
      <c r="YT140" s="4"/>
      <c r="YU140" s="4"/>
      <c r="YV140" s="4"/>
      <c r="YW140" s="4"/>
      <c r="YX140" s="5"/>
      <c r="YY140" s="6"/>
      <c r="YZ140" s="4"/>
      <c r="ZA140" s="4"/>
      <c r="ZB140" s="4"/>
      <c r="ZC140" s="4"/>
      <c r="ZD140" s="4"/>
      <c r="ZE140" s="5"/>
      <c r="ZF140" s="6"/>
      <c r="ZG140" s="4"/>
      <c r="ZH140" s="4"/>
      <c r="ZI140" s="4"/>
      <c r="ZJ140" s="4"/>
      <c r="ZK140" s="4"/>
      <c r="ZL140" s="5"/>
      <c r="ZM140" s="6"/>
      <c r="ZN140" s="4"/>
      <c r="ZO140" s="4"/>
      <c r="ZP140" s="4"/>
      <c r="ZQ140" s="4"/>
      <c r="ZR140" s="4"/>
      <c r="ZS140" s="5"/>
      <c r="ZT140" s="6"/>
      <c r="ZU140" s="4"/>
      <c r="ZV140" s="4"/>
      <c r="ZW140" s="4"/>
      <c r="ZX140" s="4"/>
      <c r="ZY140" s="4"/>
      <c r="ZZ140" s="5"/>
      <c r="AAA140" s="6"/>
      <c r="AAB140" s="4"/>
      <c r="AAC140" s="4"/>
      <c r="AAD140" s="4"/>
      <c r="AAE140" s="4"/>
      <c r="AAF140" s="4"/>
      <c r="AAG140" s="5"/>
      <c r="AAH140" s="6"/>
      <c r="AAI140" s="4"/>
      <c r="AAJ140" s="4"/>
      <c r="AAK140" s="4"/>
      <c r="AAL140" s="4"/>
      <c r="AAM140" s="4"/>
      <c r="AAN140" s="5"/>
      <c r="AAO140" s="6"/>
      <c r="AAP140" s="4"/>
      <c r="AAQ140" s="4"/>
      <c r="AAR140" s="4"/>
      <c r="AAS140" s="4"/>
      <c r="AAT140" s="4"/>
      <c r="AAU140" s="5"/>
      <c r="AAV140" s="6"/>
      <c r="AAW140" s="4"/>
      <c r="AAX140" s="4"/>
      <c r="AAY140" s="4"/>
      <c r="AAZ140" s="4"/>
      <c r="ABA140" s="4"/>
      <c r="ABB140" s="5"/>
      <c r="ABC140" s="6"/>
      <c r="ABD140" s="4"/>
      <c r="ABE140" s="4"/>
      <c r="ABF140" s="4"/>
      <c r="ABG140" s="4"/>
      <c r="ABH140" s="4"/>
      <c r="ABI140" s="5"/>
      <c r="ABJ140" s="6"/>
      <c r="ABK140" s="4"/>
      <c r="ABL140" s="4"/>
      <c r="ABM140" s="4"/>
      <c r="ABN140" s="4"/>
      <c r="ABO140" s="4"/>
      <c r="ABP140" s="5"/>
      <c r="ABQ140" s="6"/>
      <c r="ABR140" s="4"/>
      <c r="ABS140" s="4"/>
      <c r="ABT140" s="4"/>
      <c r="ABU140" s="4"/>
      <c r="ABV140" s="4"/>
      <c r="ABW140" s="5"/>
      <c r="ABX140" s="6"/>
      <c r="ABY140" s="4"/>
      <c r="ABZ140" s="4"/>
      <c r="ACA140" s="4"/>
      <c r="ACB140" s="4"/>
      <c r="ACC140" s="4"/>
      <c r="ACD140" s="5"/>
      <c r="ACE140" s="6"/>
      <c r="ACF140" s="4"/>
      <c r="ACG140" s="4"/>
      <c r="ACH140" s="4"/>
      <c r="ACI140" s="4"/>
      <c r="ACJ140" s="4"/>
      <c r="ACK140" s="5"/>
      <c r="ACL140" s="6"/>
      <c r="ACM140" s="4"/>
      <c r="ACN140" s="4"/>
      <c r="ACO140" s="4"/>
      <c r="ACP140" s="4"/>
      <c r="ACQ140" s="4"/>
      <c r="ACR140" s="5"/>
      <c r="ACS140" s="6"/>
      <c r="ACT140" s="4"/>
      <c r="ACU140" s="4"/>
      <c r="ACV140" s="4"/>
      <c r="ACW140" s="4"/>
      <c r="ACX140" s="4"/>
      <c r="ACY140" s="5"/>
    </row>
    <row r="141" spans="2:779" x14ac:dyDescent="0.25">
      <c r="B141" s="29">
        <v>97000116</v>
      </c>
      <c r="C141">
        <v>83</v>
      </c>
      <c r="D141" t="s">
        <v>3729</v>
      </c>
      <c r="F141" s="23" t="s">
        <v>1781</v>
      </c>
      <c r="I141">
        <v>1</v>
      </c>
      <c r="J141" s="19">
        <v>35070</v>
      </c>
      <c r="K141" s="19"/>
      <c r="L141" s="19"/>
      <c r="M141">
        <v>1</v>
      </c>
      <c r="N141" s="17">
        <v>35070</v>
      </c>
      <c r="LL141" s="6"/>
      <c r="LM141" s="4"/>
      <c r="LN141" s="4"/>
      <c r="LO141" s="4"/>
      <c r="LP141" s="4"/>
      <c r="LQ141" s="4"/>
      <c r="LR141" s="5"/>
      <c r="LS141" s="6" t="s">
        <v>2400</v>
      </c>
      <c r="LT141" s="4" t="s">
        <v>1914</v>
      </c>
      <c r="LU141" s="4"/>
      <c r="LV141" s="4"/>
      <c r="LW141" s="4"/>
      <c r="LX141" s="4"/>
      <c r="LY141" s="5"/>
      <c r="LZ141" s="6" t="s">
        <v>2815</v>
      </c>
      <c r="MA141" s="7" t="s">
        <v>2525</v>
      </c>
      <c r="MB141" s="4"/>
      <c r="MC141" s="4"/>
      <c r="MD141" s="8"/>
      <c r="ME141" s="4"/>
      <c r="MF141" s="4"/>
      <c r="MG141" s="5"/>
      <c r="MH141" s="6"/>
      <c r="MI141" s="4"/>
      <c r="MJ141" s="4"/>
      <c r="MK141" s="4"/>
      <c r="ML141" s="4"/>
      <c r="MM141" s="4"/>
      <c r="MN141" s="5"/>
      <c r="MO141" s="6"/>
      <c r="MP141" s="4"/>
      <c r="MQ141" s="4"/>
      <c r="MR141" s="4"/>
      <c r="MS141" s="4"/>
      <c r="MT141" s="4"/>
      <c r="MU141" s="5"/>
      <c r="MV141" s="6"/>
      <c r="MW141" s="4"/>
      <c r="MX141" s="4"/>
      <c r="MY141" s="4"/>
      <c r="MZ141" s="4"/>
      <c r="NA141" s="4"/>
      <c r="NB141" s="5"/>
      <c r="NC141" s="6"/>
      <c r="ND141" s="4"/>
      <c r="NE141" s="4"/>
      <c r="NF141" s="4"/>
      <c r="NG141" s="4"/>
      <c r="NH141" s="4"/>
      <c r="NI141" s="5"/>
      <c r="NJ141" s="6"/>
      <c r="NK141" s="4"/>
      <c r="NL141" s="4"/>
      <c r="NM141" s="4"/>
      <c r="NN141" s="4"/>
      <c r="NO141" s="4"/>
      <c r="NP141" s="5"/>
      <c r="NQ141" s="6"/>
      <c r="NR141" s="4"/>
      <c r="NS141" s="4"/>
      <c r="NT141" s="4"/>
      <c r="NU141" s="4"/>
      <c r="NV141" s="4"/>
      <c r="NW141" s="5"/>
      <c r="NX141" s="6"/>
      <c r="NY141" s="4"/>
      <c r="NZ141" s="4"/>
      <c r="OA141" s="4"/>
      <c r="OB141" s="4"/>
      <c r="OC141" s="4"/>
      <c r="OD141" s="5"/>
      <c r="OE141" s="6"/>
      <c r="OF141" s="4"/>
      <c r="OG141" s="4"/>
      <c r="OH141" s="4"/>
      <c r="OI141" s="4"/>
      <c r="OJ141" s="4"/>
      <c r="OK141" s="5"/>
      <c r="OL141" s="6"/>
      <c r="OM141" s="4"/>
      <c r="ON141" s="4"/>
      <c r="OO141" s="4"/>
      <c r="OP141" s="4"/>
      <c r="OQ141" s="4"/>
      <c r="OR141" s="5"/>
      <c r="OS141" s="6"/>
      <c r="OT141" s="4"/>
      <c r="OU141" s="4"/>
      <c r="OV141" s="4"/>
      <c r="OW141" s="4"/>
      <c r="OX141" s="4"/>
      <c r="OY141" s="5"/>
      <c r="OZ141" s="6"/>
      <c r="PA141" s="4"/>
      <c r="PB141" s="4"/>
      <c r="PC141" s="4"/>
      <c r="PD141" s="4"/>
      <c r="PE141" s="4"/>
      <c r="PF141" s="5"/>
      <c r="PG141" s="6"/>
      <c r="PH141" s="4"/>
      <c r="PI141" s="4"/>
      <c r="PJ141" s="4"/>
      <c r="PK141" s="4"/>
      <c r="PL141" s="4"/>
      <c r="PM141" s="5"/>
      <c r="PN141" s="6"/>
      <c r="PO141" s="4"/>
      <c r="PP141" s="4"/>
      <c r="PQ141" s="4"/>
      <c r="PR141" s="4"/>
      <c r="PS141" s="4"/>
      <c r="PT141" s="5"/>
      <c r="PU141" s="6"/>
      <c r="PV141" s="4"/>
      <c r="PW141" s="4"/>
      <c r="PX141" s="4"/>
      <c r="PY141" s="4"/>
      <c r="PZ141" s="4"/>
      <c r="QA141" s="5"/>
      <c r="QB141" s="6"/>
      <c r="QC141" s="4"/>
      <c r="QD141" s="4"/>
      <c r="QE141" s="4"/>
      <c r="QF141" s="4"/>
      <c r="QG141" s="4"/>
      <c r="QH141" s="5"/>
      <c r="QI141" s="6"/>
      <c r="QJ141" s="4"/>
      <c r="QK141" s="4"/>
      <c r="QL141" s="4"/>
      <c r="QM141" s="4"/>
      <c r="QN141" s="4"/>
      <c r="QO141" s="5"/>
      <c r="QP141" s="6"/>
      <c r="QQ141" s="4"/>
      <c r="QR141" s="4"/>
      <c r="QS141" s="4"/>
      <c r="QT141" s="4"/>
      <c r="QU141" s="4"/>
      <c r="QV141" s="5"/>
      <c r="QW141" s="6"/>
      <c r="QX141" s="4"/>
      <c r="QY141" s="4"/>
      <c r="QZ141" s="4"/>
      <c r="RA141" s="4"/>
      <c r="RB141" s="4"/>
      <c r="RC141" s="5"/>
      <c r="RD141" s="6"/>
      <c r="RE141" s="4"/>
      <c r="RF141" s="4"/>
      <c r="RG141" s="4"/>
      <c r="RH141" s="4"/>
      <c r="RI141" s="4"/>
      <c r="RJ141" s="5"/>
      <c r="RK141" s="6"/>
      <c r="RL141" s="4"/>
      <c r="RM141" s="4"/>
      <c r="RN141" s="4"/>
      <c r="RO141" s="4"/>
      <c r="RP141" s="4"/>
      <c r="RQ141" s="5"/>
      <c r="RR141" s="6"/>
      <c r="RS141" s="4"/>
      <c r="RT141" s="4"/>
      <c r="RU141" s="4"/>
      <c r="RV141" s="4"/>
      <c r="RW141" s="4"/>
      <c r="RX141" s="5"/>
      <c r="RY141" s="6"/>
      <c r="RZ141" s="4"/>
      <c r="SA141" s="4"/>
      <c r="SB141" s="4"/>
      <c r="SC141" s="4"/>
      <c r="SD141" s="4"/>
      <c r="SE141" s="5"/>
      <c r="SF141" s="6"/>
      <c r="SG141" s="4"/>
      <c r="SH141" s="4"/>
      <c r="SI141" s="4"/>
      <c r="SJ141" s="4"/>
      <c r="SK141" s="4"/>
      <c r="SL141" s="5"/>
      <c r="SM141" s="6"/>
      <c r="SN141" s="4"/>
      <c r="SO141" s="4"/>
      <c r="SP141" s="4"/>
      <c r="SQ141" s="4"/>
      <c r="SR141" s="4"/>
      <c r="SS141" s="5"/>
      <c r="ST141" s="6"/>
      <c r="SU141" s="4"/>
      <c r="SV141" s="4"/>
      <c r="SW141" s="4"/>
      <c r="SX141" s="4"/>
      <c r="SY141" s="4"/>
      <c r="SZ141" s="5"/>
      <c r="TA141" s="6"/>
      <c r="TB141" s="4"/>
      <c r="TC141" s="4"/>
      <c r="TD141" s="4"/>
      <c r="TE141" s="4"/>
      <c r="TF141" s="4"/>
      <c r="TG141" s="5"/>
      <c r="TH141" s="6"/>
      <c r="TI141" s="4"/>
      <c r="TJ141" s="4"/>
      <c r="TK141" s="4"/>
      <c r="TL141" s="4"/>
      <c r="TM141" s="4"/>
      <c r="TN141" s="5"/>
      <c r="TO141" s="6"/>
      <c r="TP141" s="4"/>
      <c r="TQ141" s="4"/>
      <c r="TR141" s="4"/>
      <c r="TS141" s="4"/>
      <c r="TT141" s="4"/>
      <c r="TU141" s="5"/>
      <c r="TV141" s="6"/>
      <c r="TW141" s="4"/>
      <c r="TX141" s="4"/>
      <c r="TY141" s="4"/>
      <c r="TZ141" s="4"/>
      <c r="UA141" s="4"/>
      <c r="UB141" s="5"/>
      <c r="UC141" s="6"/>
      <c r="UD141" s="4"/>
      <c r="UE141" s="4"/>
      <c r="UF141" s="4"/>
      <c r="UG141" s="4"/>
      <c r="UH141" s="4"/>
      <c r="UI141" s="5"/>
      <c r="UJ141" s="6"/>
      <c r="UK141" s="4"/>
      <c r="UL141" s="4"/>
      <c r="UM141" s="4"/>
      <c r="UN141" s="4"/>
      <c r="UO141" s="4"/>
      <c r="UP141" s="5"/>
      <c r="UQ141" s="6"/>
      <c r="UR141" s="4"/>
      <c r="US141" s="4"/>
      <c r="UT141" s="4"/>
      <c r="UU141" s="4"/>
      <c r="UV141" s="4"/>
      <c r="UW141" s="5"/>
      <c r="UX141" s="6"/>
      <c r="UY141" s="4"/>
      <c r="UZ141" s="4"/>
      <c r="VA141" s="4"/>
      <c r="VB141" s="4"/>
      <c r="VC141" s="4"/>
      <c r="VD141" s="5"/>
      <c r="VE141" s="6"/>
      <c r="VF141" s="4"/>
      <c r="VG141" s="4"/>
      <c r="VH141" s="4"/>
      <c r="VI141" s="4"/>
      <c r="VJ141" s="4"/>
      <c r="VK141" s="5"/>
      <c r="VL141" s="6"/>
      <c r="VM141" s="4"/>
      <c r="VN141" s="4"/>
      <c r="VO141" s="4"/>
      <c r="VP141" s="4"/>
      <c r="VQ141" s="4"/>
      <c r="VR141" s="5"/>
      <c r="VS141" s="6"/>
      <c r="VT141" s="4"/>
      <c r="VU141" s="4"/>
      <c r="VV141" s="4"/>
      <c r="VW141" s="4"/>
      <c r="VX141" s="4"/>
      <c r="VY141" s="5"/>
      <c r="VZ141" s="6"/>
      <c r="WA141" s="4"/>
      <c r="WB141" s="4"/>
      <c r="WC141" s="4"/>
      <c r="WD141" s="4"/>
      <c r="WE141" s="4"/>
      <c r="WF141" s="5"/>
      <c r="WG141" s="6"/>
      <c r="WH141" s="4"/>
      <c r="WI141" s="4"/>
      <c r="WJ141" s="4"/>
      <c r="WK141" s="4"/>
      <c r="WL141" s="4"/>
      <c r="WM141" s="5"/>
      <c r="WN141" s="6"/>
      <c r="WO141" s="4"/>
      <c r="WP141" s="4"/>
      <c r="WQ141" s="4"/>
      <c r="WR141" s="4"/>
      <c r="WS141" s="4"/>
      <c r="WT141" s="5"/>
      <c r="WU141" s="6"/>
      <c r="WV141" s="4"/>
      <c r="WW141" s="4"/>
      <c r="WX141" s="4"/>
      <c r="WY141" s="4"/>
      <c r="WZ141" s="4"/>
      <c r="XA141" s="5"/>
      <c r="XB141" s="6"/>
      <c r="XC141" s="4"/>
      <c r="XD141" s="4"/>
      <c r="XE141" s="4"/>
      <c r="XF141" s="4"/>
      <c r="XG141" s="4"/>
      <c r="XH141" s="5"/>
      <c r="XI141" s="6"/>
      <c r="XJ141" s="4"/>
      <c r="XK141" s="4"/>
      <c r="XL141" s="4"/>
      <c r="XM141" s="4"/>
      <c r="XN141" s="4"/>
      <c r="XO141" s="5"/>
      <c r="XP141" s="6"/>
      <c r="XQ141" s="4"/>
      <c r="XR141" s="4"/>
      <c r="XS141" s="4"/>
      <c r="XT141" s="4"/>
      <c r="XU141" s="4"/>
      <c r="XV141" s="5"/>
      <c r="XW141" s="6"/>
      <c r="XX141" s="4"/>
      <c r="XY141" s="4"/>
      <c r="XZ141" s="4"/>
      <c r="YA141" s="4"/>
      <c r="YB141" s="4"/>
      <c r="YC141" s="5"/>
      <c r="YD141" s="6"/>
      <c r="YE141" s="4"/>
      <c r="YF141" s="4"/>
      <c r="YG141" s="4"/>
      <c r="YH141" s="4"/>
      <c r="YI141" s="4"/>
      <c r="YJ141" s="5"/>
      <c r="YK141" s="6" t="s">
        <v>3483</v>
      </c>
      <c r="YL141" s="7" t="s">
        <v>2980</v>
      </c>
      <c r="YM141" s="4"/>
      <c r="YN141" s="4"/>
      <c r="YO141" s="4"/>
      <c r="YP141" s="4"/>
      <c r="YQ141" s="5"/>
      <c r="YR141" s="6"/>
      <c r="YS141" s="4"/>
      <c r="YT141" s="4"/>
      <c r="YU141" s="4"/>
      <c r="YV141" s="4"/>
      <c r="YW141" s="4"/>
      <c r="YX141" s="5"/>
      <c r="YY141" s="6"/>
      <c r="YZ141" s="4"/>
      <c r="ZA141" s="4"/>
      <c r="ZB141" s="4"/>
      <c r="ZC141" s="4"/>
      <c r="ZD141" s="4"/>
      <c r="ZE141" s="5"/>
      <c r="ZF141" s="6"/>
      <c r="ZG141" s="4"/>
      <c r="ZH141" s="4"/>
      <c r="ZI141" s="4"/>
      <c r="ZJ141" s="4"/>
      <c r="ZK141" s="4"/>
      <c r="ZL141" s="5"/>
      <c r="ZM141" s="6"/>
      <c r="ZN141" s="4"/>
      <c r="ZO141" s="4"/>
      <c r="ZP141" s="4"/>
      <c r="ZQ141" s="4"/>
      <c r="ZR141" s="4"/>
      <c r="ZS141" s="5"/>
      <c r="ZT141" s="6"/>
      <c r="ZU141" s="4"/>
      <c r="ZV141" s="4"/>
      <c r="ZW141" s="4"/>
      <c r="ZX141" s="4"/>
      <c r="ZY141" s="4"/>
      <c r="ZZ141" s="5"/>
      <c r="AAA141" s="6"/>
      <c r="AAB141" s="4"/>
      <c r="AAC141" s="4"/>
      <c r="AAD141" s="4"/>
      <c r="AAE141" s="4"/>
      <c r="AAF141" s="4"/>
      <c r="AAG141" s="5"/>
      <c r="AAH141" s="6"/>
      <c r="AAI141" s="4"/>
      <c r="AAJ141" s="4"/>
      <c r="AAK141" s="4"/>
      <c r="AAL141" s="4"/>
      <c r="AAM141" s="4"/>
      <c r="AAN141" s="5"/>
      <c r="AAO141" s="6"/>
      <c r="AAP141" s="4"/>
      <c r="AAQ141" s="4"/>
      <c r="AAR141" s="4"/>
      <c r="AAS141" s="4"/>
      <c r="AAT141" s="4"/>
      <c r="AAU141" s="5"/>
      <c r="AAV141" s="6"/>
      <c r="AAW141" s="4"/>
      <c r="AAX141" s="4"/>
      <c r="AAY141" s="4"/>
      <c r="AAZ141" s="4"/>
      <c r="ABA141" s="4"/>
      <c r="ABB141" s="5"/>
      <c r="ABC141" s="6" t="s">
        <v>1829</v>
      </c>
      <c r="ABD141" s="4" t="s">
        <v>2074</v>
      </c>
      <c r="ABE141" s="4"/>
      <c r="ABF141" s="4"/>
      <c r="ABG141" s="4"/>
      <c r="ABH141" s="4"/>
      <c r="ABI141" s="5"/>
      <c r="ABJ141" s="6"/>
      <c r="ABK141" s="4"/>
      <c r="ABL141" s="4"/>
      <c r="ABM141" s="4"/>
      <c r="ABN141" s="4"/>
      <c r="ABO141" s="4"/>
      <c r="ABP141" s="5"/>
      <c r="ABQ141" s="6"/>
      <c r="ABR141" s="4"/>
      <c r="ABS141" s="4"/>
      <c r="ABT141" s="4"/>
      <c r="ABU141" s="4"/>
      <c r="ABV141" s="4"/>
      <c r="ABW141" s="5"/>
      <c r="ABX141" s="6"/>
      <c r="ABY141" s="4"/>
      <c r="ABZ141" s="4"/>
      <c r="ACA141" s="4"/>
      <c r="ACB141" s="4"/>
      <c r="ACC141" s="4"/>
      <c r="ACD141" s="5"/>
      <c r="ACE141" s="6"/>
      <c r="ACF141" s="4"/>
      <c r="ACG141" s="4"/>
      <c r="ACH141" s="4"/>
      <c r="ACI141" s="4"/>
      <c r="ACJ141" s="4"/>
      <c r="ACK141" s="5"/>
      <c r="ACL141" s="6"/>
      <c r="ACM141" s="4"/>
      <c r="ACN141" s="4"/>
      <c r="ACO141" s="4"/>
      <c r="ACP141" s="4"/>
      <c r="ACQ141" s="4"/>
      <c r="ACR141" s="5"/>
      <c r="ACS141" s="6"/>
      <c r="ACT141" s="4"/>
      <c r="ACU141" s="4"/>
      <c r="ACV141" s="4"/>
      <c r="ACW141" s="4"/>
      <c r="ACX141" s="4"/>
      <c r="ACY141" s="5"/>
    </row>
    <row r="142" spans="2:779" x14ac:dyDescent="0.25">
      <c r="B142" s="30"/>
      <c r="J142" s="12"/>
      <c r="K142" s="12"/>
      <c r="L142" s="12"/>
      <c r="LL142" s="6"/>
      <c r="LM142" s="4"/>
      <c r="LN142" s="4"/>
      <c r="LO142" s="4"/>
      <c r="LP142" s="4"/>
      <c r="LQ142" s="4"/>
      <c r="LR142" s="5"/>
      <c r="LS142" s="6"/>
      <c r="LT142" s="4"/>
      <c r="LU142" s="4"/>
      <c r="LV142" s="4"/>
      <c r="LW142" s="4"/>
      <c r="LX142" s="4"/>
      <c r="LY142" s="5"/>
      <c r="LZ142" s="6" t="s">
        <v>2075</v>
      </c>
      <c r="MA142" s="7" t="s">
        <v>2395</v>
      </c>
      <c r="MB142" s="4"/>
      <c r="MC142" s="4"/>
      <c r="MD142" s="8"/>
      <c r="ME142" s="4"/>
      <c r="MF142" s="4"/>
      <c r="MG142" s="5"/>
      <c r="MH142" s="6"/>
      <c r="MI142" s="4"/>
      <c r="MJ142" s="4"/>
      <c r="MK142" s="4"/>
      <c r="ML142" s="4"/>
      <c r="MM142" s="4"/>
      <c r="MN142" s="5"/>
      <c r="MO142" s="6"/>
      <c r="MP142" s="4"/>
      <c r="MQ142" s="4"/>
      <c r="MR142" s="4"/>
      <c r="MS142" s="4"/>
      <c r="MT142" s="4"/>
      <c r="MU142" s="5"/>
      <c r="MV142" s="6"/>
      <c r="MW142" s="4"/>
      <c r="MX142" s="4"/>
      <c r="MY142" s="4"/>
      <c r="MZ142" s="4"/>
      <c r="NA142" s="4"/>
      <c r="NB142" s="5"/>
      <c r="NC142" s="6"/>
      <c r="ND142" s="4"/>
      <c r="NE142" s="4"/>
      <c r="NF142" s="4"/>
      <c r="NG142" s="4"/>
      <c r="NH142" s="4"/>
      <c r="NI142" s="5"/>
      <c r="NJ142" s="6"/>
      <c r="NK142" s="4"/>
      <c r="NL142" s="4"/>
      <c r="NM142" s="4"/>
      <c r="NN142" s="4"/>
      <c r="NO142" s="4"/>
      <c r="NP142" s="5"/>
      <c r="NQ142" s="6"/>
      <c r="NR142" s="4"/>
      <c r="NS142" s="4"/>
      <c r="NT142" s="4"/>
      <c r="NU142" s="4"/>
      <c r="NV142" s="4"/>
      <c r="NW142" s="5"/>
      <c r="NX142" s="6"/>
      <c r="NY142" s="4"/>
      <c r="NZ142" s="4"/>
      <c r="OA142" s="4"/>
      <c r="OB142" s="4"/>
      <c r="OC142" s="4"/>
      <c r="OD142" s="5"/>
      <c r="OE142" s="6"/>
      <c r="OF142" s="4"/>
      <c r="OG142" s="4"/>
      <c r="OH142" s="4"/>
      <c r="OI142" s="4"/>
      <c r="OJ142" s="4"/>
      <c r="OK142" s="5"/>
      <c r="OL142" s="6"/>
      <c r="OM142" s="4"/>
      <c r="ON142" s="4"/>
      <c r="OO142" s="4"/>
      <c r="OP142" s="4"/>
      <c r="OQ142" s="4"/>
      <c r="OR142" s="5"/>
      <c r="OS142" s="6"/>
      <c r="OT142" s="4"/>
      <c r="OU142" s="4"/>
      <c r="OV142" s="4"/>
      <c r="OW142" s="4"/>
      <c r="OX142" s="4"/>
      <c r="OY142" s="5"/>
      <c r="OZ142" s="6"/>
      <c r="PA142" s="4"/>
      <c r="PB142" s="4"/>
      <c r="PC142" s="4"/>
      <c r="PD142" s="4"/>
      <c r="PE142" s="4"/>
      <c r="PF142" s="5"/>
      <c r="PG142" s="6"/>
      <c r="PH142" s="4"/>
      <c r="PI142" s="4"/>
      <c r="PJ142" s="4"/>
      <c r="PK142" s="4"/>
      <c r="PL142" s="4"/>
      <c r="PM142" s="5"/>
      <c r="PN142" s="6"/>
      <c r="PO142" s="4"/>
      <c r="PP142" s="4"/>
      <c r="PQ142" s="4"/>
      <c r="PR142" s="4"/>
      <c r="PS142" s="4"/>
      <c r="PT142" s="5"/>
      <c r="PU142" s="6"/>
      <c r="PV142" s="4"/>
      <c r="PW142" s="4"/>
      <c r="PX142" s="4"/>
      <c r="PY142" s="4"/>
      <c r="PZ142" s="4"/>
      <c r="QA142" s="5"/>
      <c r="QB142" s="6"/>
      <c r="QC142" s="4"/>
      <c r="QD142" s="4"/>
      <c r="QE142" s="4"/>
      <c r="QF142" s="4"/>
      <c r="QG142" s="4"/>
      <c r="QH142" s="5"/>
      <c r="QI142" s="6"/>
      <c r="QJ142" s="4"/>
      <c r="QK142" s="4"/>
      <c r="QL142" s="4"/>
      <c r="QM142" s="4"/>
      <c r="QN142" s="4"/>
      <c r="QO142" s="5"/>
      <c r="QP142" s="6"/>
      <c r="QQ142" s="4"/>
      <c r="QR142" s="4"/>
      <c r="QS142" s="4"/>
      <c r="QT142" s="4"/>
      <c r="QU142" s="4"/>
      <c r="QV142" s="5"/>
      <c r="QW142" s="6"/>
      <c r="QX142" s="4"/>
      <c r="QY142" s="4"/>
      <c r="QZ142" s="4"/>
      <c r="RA142" s="4"/>
      <c r="RB142" s="4"/>
      <c r="RC142" s="5"/>
      <c r="RD142" s="6"/>
      <c r="RE142" s="4"/>
      <c r="RF142" s="4"/>
      <c r="RG142" s="4"/>
      <c r="RH142" s="4"/>
      <c r="RI142" s="4"/>
      <c r="RJ142" s="5"/>
      <c r="RK142" s="6"/>
      <c r="RL142" s="4"/>
      <c r="RM142" s="4"/>
      <c r="RN142" s="4"/>
      <c r="RO142" s="4"/>
      <c r="RP142" s="4"/>
      <c r="RQ142" s="5"/>
      <c r="RR142" s="6"/>
      <c r="RS142" s="4"/>
      <c r="RT142" s="4"/>
      <c r="RU142" s="4"/>
      <c r="RV142" s="4"/>
      <c r="RW142" s="4"/>
      <c r="RX142" s="5"/>
      <c r="RY142" s="6"/>
      <c r="RZ142" s="4"/>
      <c r="SA142" s="4"/>
      <c r="SB142" s="4"/>
      <c r="SC142" s="4"/>
      <c r="SD142" s="4"/>
      <c r="SE142" s="5"/>
      <c r="SF142" s="6"/>
      <c r="SG142" s="4"/>
      <c r="SH142" s="4"/>
      <c r="SI142" s="4"/>
      <c r="SJ142" s="4"/>
      <c r="SK142" s="4"/>
      <c r="SL142" s="5"/>
      <c r="SM142" s="6"/>
      <c r="SN142" s="4"/>
      <c r="SO142" s="4"/>
      <c r="SP142" s="4"/>
      <c r="SQ142" s="4"/>
      <c r="SR142" s="4"/>
      <c r="SS142" s="5"/>
      <c r="ST142" s="6"/>
      <c r="SU142" s="4"/>
      <c r="SV142" s="4"/>
      <c r="SW142" s="4"/>
      <c r="SX142" s="4"/>
      <c r="SY142" s="4"/>
      <c r="SZ142" s="5"/>
      <c r="TA142" s="6"/>
      <c r="TB142" s="4"/>
      <c r="TC142" s="4"/>
      <c r="TD142" s="4"/>
      <c r="TE142" s="4"/>
      <c r="TF142" s="4"/>
      <c r="TG142" s="5"/>
      <c r="TH142" s="6"/>
      <c r="TI142" s="4"/>
      <c r="TJ142" s="4"/>
      <c r="TK142" s="4"/>
      <c r="TL142" s="4"/>
      <c r="TM142" s="4"/>
      <c r="TN142" s="5"/>
      <c r="TO142" s="6"/>
      <c r="TP142" s="4"/>
      <c r="TQ142" s="4"/>
      <c r="TR142" s="4"/>
      <c r="TS142" s="4"/>
      <c r="TT142" s="4"/>
      <c r="TU142" s="5"/>
      <c r="TV142" s="6"/>
      <c r="TW142" s="4"/>
      <c r="TX142" s="4"/>
      <c r="TY142" s="4"/>
      <c r="TZ142" s="4"/>
      <c r="UA142" s="4"/>
      <c r="UB142" s="5"/>
      <c r="UC142" s="6"/>
      <c r="UD142" s="4"/>
      <c r="UE142" s="4"/>
      <c r="UF142" s="4"/>
      <c r="UG142" s="4"/>
      <c r="UH142" s="4"/>
      <c r="UI142" s="5"/>
      <c r="UJ142" s="6"/>
      <c r="UK142" s="4"/>
      <c r="UL142" s="4"/>
      <c r="UM142" s="4"/>
      <c r="UN142" s="4"/>
      <c r="UO142" s="4"/>
      <c r="UP142" s="5"/>
      <c r="UQ142" s="6"/>
      <c r="UR142" s="4"/>
      <c r="US142" s="4"/>
      <c r="UT142" s="4"/>
      <c r="UU142" s="4"/>
      <c r="UV142" s="4"/>
      <c r="UW142" s="5"/>
      <c r="UX142" s="6"/>
      <c r="UY142" s="4"/>
      <c r="UZ142" s="4"/>
      <c r="VA142" s="4"/>
      <c r="VB142" s="4"/>
      <c r="VC142" s="4"/>
      <c r="VD142" s="5"/>
      <c r="VE142" s="6"/>
      <c r="VF142" s="4"/>
      <c r="VG142" s="4"/>
      <c r="VH142" s="4"/>
      <c r="VI142" s="4"/>
      <c r="VJ142" s="4"/>
      <c r="VK142" s="5"/>
      <c r="VL142" s="6"/>
      <c r="VM142" s="4"/>
      <c r="VN142" s="4"/>
      <c r="VO142" s="4"/>
      <c r="VP142" s="4"/>
      <c r="VQ142" s="4"/>
      <c r="VR142" s="5"/>
      <c r="VS142" s="6"/>
      <c r="VT142" s="4"/>
      <c r="VU142" s="4"/>
      <c r="VV142" s="4"/>
      <c r="VW142" s="4"/>
      <c r="VX142" s="4"/>
      <c r="VY142" s="5"/>
      <c r="VZ142" s="6"/>
      <c r="WA142" s="4"/>
      <c r="WB142" s="4"/>
      <c r="WC142" s="4"/>
      <c r="WD142" s="4"/>
      <c r="WE142" s="4"/>
      <c r="WF142" s="5"/>
      <c r="WG142" s="6"/>
      <c r="WH142" s="4"/>
      <c r="WI142" s="4"/>
      <c r="WJ142" s="4"/>
      <c r="WK142" s="4"/>
      <c r="WL142" s="4"/>
      <c r="WM142" s="5"/>
      <c r="WN142" s="6"/>
      <c r="WO142" s="4"/>
      <c r="WP142" s="4"/>
      <c r="WQ142" s="4"/>
      <c r="WR142" s="4"/>
      <c r="WS142" s="4"/>
      <c r="WT142" s="5"/>
      <c r="WU142" s="6"/>
      <c r="WV142" s="4"/>
      <c r="WW142" s="4"/>
      <c r="WX142" s="4"/>
      <c r="WY142" s="4"/>
      <c r="WZ142" s="4"/>
      <c r="XA142" s="5"/>
      <c r="XB142" s="6"/>
      <c r="XC142" s="4"/>
      <c r="XD142" s="4"/>
      <c r="XE142" s="4"/>
      <c r="XF142" s="4"/>
      <c r="XG142" s="4"/>
      <c r="XH142" s="5"/>
      <c r="XI142" s="6"/>
      <c r="XJ142" s="4"/>
      <c r="XK142" s="4"/>
      <c r="XL142" s="4"/>
      <c r="XM142" s="4"/>
      <c r="XN142" s="4"/>
      <c r="XO142" s="5"/>
      <c r="XP142" s="6"/>
      <c r="XQ142" s="4"/>
      <c r="XR142" s="4"/>
      <c r="XS142" s="4"/>
      <c r="XT142" s="4"/>
      <c r="XU142" s="4"/>
      <c r="XV142" s="5"/>
      <c r="XW142" s="6"/>
      <c r="XX142" s="4"/>
      <c r="XY142" s="4"/>
      <c r="XZ142" s="4"/>
      <c r="YA142" s="4"/>
      <c r="YB142" s="4"/>
      <c r="YC142" s="5"/>
      <c r="YD142" s="6"/>
      <c r="YE142" s="4"/>
      <c r="YF142" s="4"/>
      <c r="YG142" s="4"/>
      <c r="YH142" s="4"/>
      <c r="YI142" s="4"/>
      <c r="YJ142" s="5"/>
      <c r="YK142" s="6" t="s">
        <v>3012</v>
      </c>
      <c r="YL142" s="7" t="s">
        <v>1964</v>
      </c>
      <c r="YM142" s="4"/>
      <c r="YN142" s="4"/>
      <c r="YO142" s="4"/>
      <c r="YP142" s="4"/>
      <c r="YQ142" s="5"/>
      <c r="YR142" s="6"/>
      <c r="YS142" s="4"/>
      <c r="YT142" s="4"/>
      <c r="YU142" s="4"/>
      <c r="YV142" s="4"/>
      <c r="YW142" s="4"/>
      <c r="YX142" s="5"/>
      <c r="YY142" s="6"/>
      <c r="YZ142" s="4"/>
      <c r="ZA142" s="4"/>
      <c r="ZB142" s="4"/>
      <c r="ZC142" s="4"/>
      <c r="ZD142" s="4"/>
      <c r="ZE142" s="5"/>
      <c r="ZF142" s="6"/>
      <c r="ZG142" s="4"/>
      <c r="ZH142" s="4"/>
      <c r="ZI142" s="4"/>
      <c r="ZJ142" s="4"/>
      <c r="ZK142" s="4"/>
      <c r="ZL142" s="5"/>
      <c r="ZM142" s="6"/>
      <c r="ZN142" s="4"/>
      <c r="ZO142" s="4"/>
      <c r="ZP142" s="4"/>
      <c r="ZQ142" s="4"/>
      <c r="ZR142" s="4"/>
      <c r="ZS142" s="5"/>
      <c r="ZT142" s="6"/>
      <c r="ZU142" s="4"/>
      <c r="ZV142" s="4"/>
      <c r="ZW142" s="4"/>
      <c r="ZX142" s="4"/>
      <c r="ZY142" s="4"/>
      <c r="ZZ142" s="5"/>
      <c r="AAA142" s="6"/>
      <c r="AAB142" s="4"/>
      <c r="AAC142" s="4"/>
      <c r="AAD142" s="4"/>
      <c r="AAE142" s="4"/>
      <c r="AAF142" s="4"/>
      <c r="AAG142" s="5"/>
      <c r="AAH142" s="6"/>
      <c r="AAI142" s="4"/>
      <c r="AAJ142" s="4"/>
      <c r="AAK142" s="4"/>
      <c r="AAL142" s="4"/>
      <c r="AAM142" s="4"/>
      <c r="AAN142" s="5"/>
      <c r="AAO142" s="6"/>
      <c r="AAP142" s="4"/>
      <c r="AAQ142" s="4"/>
      <c r="AAR142" s="4"/>
      <c r="AAS142" s="4"/>
      <c r="AAT142" s="4"/>
      <c r="AAU142" s="5"/>
      <c r="AAV142" s="6"/>
      <c r="AAW142" s="4"/>
      <c r="AAX142" s="4"/>
      <c r="AAY142" s="4"/>
      <c r="AAZ142" s="4"/>
      <c r="ABA142" s="4"/>
      <c r="ABB142" s="5"/>
      <c r="ABC142" s="6"/>
      <c r="ABD142" s="4"/>
      <c r="ABE142" s="4"/>
      <c r="ABF142" s="4"/>
      <c r="ABG142" s="4"/>
      <c r="ABH142" s="4"/>
      <c r="ABI142" s="5"/>
      <c r="ABJ142" s="6"/>
      <c r="ABK142" s="4"/>
      <c r="ABL142" s="4"/>
      <c r="ABM142" s="4"/>
      <c r="ABN142" s="4"/>
      <c r="ABO142" s="4"/>
      <c r="ABP142" s="5"/>
      <c r="ABQ142" s="6"/>
      <c r="ABR142" s="4"/>
      <c r="ABS142" s="4"/>
      <c r="ABT142" s="4"/>
      <c r="ABU142" s="4"/>
      <c r="ABV142" s="4"/>
      <c r="ABW142" s="5"/>
      <c r="ABX142" s="6"/>
      <c r="ABY142" s="4"/>
      <c r="ABZ142" s="4"/>
      <c r="ACA142" s="4"/>
      <c r="ACB142" s="4"/>
      <c r="ACC142" s="4"/>
      <c r="ACD142" s="5"/>
      <c r="ACE142" s="6"/>
      <c r="ACF142" s="4"/>
      <c r="ACG142" s="4"/>
      <c r="ACH142" s="4"/>
      <c r="ACI142" s="4"/>
      <c r="ACJ142" s="4"/>
      <c r="ACK142" s="5"/>
      <c r="ACL142" s="6"/>
      <c r="ACM142" s="4"/>
      <c r="ACN142" s="4"/>
      <c r="ACO142" s="4"/>
      <c r="ACP142" s="4"/>
      <c r="ACQ142" s="4"/>
      <c r="ACR142" s="5"/>
      <c r="ACS142" s="6"/>
      <c r="ACT142" s="4"/>
      <c r="ACU142" s="4"/>
      <c r="ACV142" s="4"/>
      <c r="ACW142" s="4"/>
      <c r="ACX142" s="4"/>
      <c r="ACY142" s="5"/>
    </row>
    <row r="143" spans="2:779" x14ac:dyDescent="0.25">
      <c r="B143" s="30"/>
      <c r="J143" s="12"/>
      <c r="K143" s="12"/>
      <c r="L143" s="12"/>
      <c r="LL143" s="6"/>
      <c r="LM143" s="4"/>
      <c r="LN143" s="4"/>
      <c r="LO143" s="4"/>
      <c r="LP143" s="4"/>
      <c r="LQ143" s="4"/>
      <c r="LR143" s="5"/>
      <c r="LS143" s="6"/>
      <c r="LT143" s="4"/>
      <c r="LU143" s="4"/>
      <c r="LV143" s="4"/>
      <c r="LW143" s="4"/>
      <c r="LX143" s="4"/>
      <c r="LY143" s="5"/>
      <c r="LZ143" s="6" t="s">
        <v>2396</v>
      </c>
      <c r="MA143" s="7" t="s">
        <v>2396</v>
      </c>
      <c r="MB143" s="4"/>
      <c r="MC143" s="4"/>
      <c r="MD143" s="8"/>
      <c r="ME143" s="4"/>
      <c r="MF143" s="4"/>
      <c r="MG143" s="5"/>
      <c r="MH143" s="6"/>
      <c r="MI143" s="4"/>
      <c r="MJ143" s="4"/>
      <c r="MK143" s="4"/>
      <c r="ML143" s="4"/>
      <c r="MM143" s="4"/>
      <c r="MN143" s="5"/>
      <c r="MO143" s="6"/>
      <c r="MP143" s="4"/>
      <c r="MQ143" s="4"/>
      <c r="MR143" s="4"/>
      <c r="MS143" s="4"/>
      <c r="MT143" s="4"/>
      <c r="MU143" s="5"/>
      <c r="MV143" s="6"/>
      <c r="MW143" s="4"/>
      <c r="MX143" s="4"/>
      <c r="MY143" s="4"/>
      <c r="MZ143" s="4"/>
      <c r="NA143" s="4"/>
      <c r="NB143" s="5"/>
      <c r="NC143" s="6"/>
      <c r="ND143" s="4"/>
      <c r="NE143" s="4"/>
      <c r="NF143" s="4"/>
      <c r="NG143" s="4"/>
      <c r="NH143" s="4"/>
      <c r="NI143" s="5"/>
      <c r="NJ143" s="6"/>
      <c r="NK143" s="4"/>
      <c r="NL143" s="4"/>
      <c r="NM143" s="4"/>
      <c r="NN143" s="4"/>
      <c r="NO143" s="4"/>
      <c r="NP143" s="5"/>
      <c r="NQ143" s="6"/>
      <c r="NR143" s="4"/>
      <c r="NS143" s="4"/>
      <c r="NT143" s="4"/>
      <c r="NU143" s="4"/>
      <c r="NV143" s="4"/>
      <c r="NW143" s="5"/>
      <c r="NX143" s="6"/>
      <c r="NY143" s="4"/>
      <c r="NZ143" s="4"/>
      <c r="OA143" s="4"/>
      <c r="OB143" s="4"/>
      <c r="OC143" s="4"/>
      <c r="OD143" s="5"/>
      <c r="OE143" s="6"/>
      <c r="OF143" s="4"/>
      <c r="OG143" s="4"/>
      <c r="OH143" s="4"/>
      <c r="OI143" s="4"/>
      <c r="OJ143" s="4"/>
      <c r="OK143" s="5"/>
      <c r="OL143" s="6"/>
      <c r="OM143" s="4"/>
      <c r="ON143" s="4"/>
      <c r="OO143" s="4"/>
      <c r="OP143" s="4"/>
      <c r="OQ143" s="4"/>
      <c r="OR143" s="5"/>
      <c r="OS143" s="6"/>
      <c r="OT143" s="4"/>
      <c r="OU143" s="4"/>
      <c r="OV143" s="4"/>
      <c r="OW143" s="4"/>
      <c r="OX143" s="4"/>
      <c r="OY143" s="5"/>
      <c r="OZ143" s="6"/>
      <c r="PA143" s="4"/>
      <c r="PB143" s="4"/>
      <c r="PC143" s="4"/>
      <c r="PD143" s="4"/>
      <c r="PE143" s="4"/>
      <c r="PF143" s="5"/>
      <c r="PG143" s="6"/>
      <c r="PH143" s="4"/>
      <c r="PI143" s="4"/>
      <c r="PJ143" s="4"/>
      <c r="PK143" s="4"/>
      <c r="PL143" s="4"/>
      <c r="PM143" s="5"/>
      <c r="PN143" s="6"/>
      <c r="PO143" s="4"/>
      <c r="PP143" s="4"/>
      <c r="PQ143" s="4"/>
      <c r="PR143" s="4"/>
      <c r="PS143" s="4"/>
      <c r="PT143" s="5"/>
      <c r="PU143" s="6"/>
      <c r="PV143" s="4"/>
      <c r="PW143" s="4"/>
      <c r="PX143" s="4"/>
      <c r="PY143" s="4"/>
      <c r="PZ143" s="4"/>
      <c r="QA143" s="5"/>
      <c r="QB143" s="6"/>
      <c r="QC143" s="4"/>
      <c r="QD143" s="4"/>
      <c r="QE143" s="4"/>
      <c r="QF143" s="4"/>
      <c r="QG143" s="4"/>
      <c r="QH143" s="5"/>
      <c r="QI143" s="6"/>
      <c r="QJ143" s="4"/>
      <c r="QK143" s="4"/>
      <c r="QL143" s="4"/>
      <c r="QM143" s="4"/>
      <c r="QN143" s="4"/>
      <c r="QO143" s="5"/>
      <c r="QP143" s="6"/>
      <c r="QQ143" s="4"/>
      <c r="QR143" s="4"/>
      <c r="QS143" s="4"/>
      <c r="QT143" s="4"/>
      <c r="QU143" s="4"/>
      <c r="QV143" s="5"/>
      <c r="QW143" s="6"/>
      <c r="QX143" s="4"/>
      <c r="QY143" s="4"/>
      <c r="QZ143" s="4"/>
      <c r="RA143" s="4"/>
      <c r="RB143" s="4"/>
      <c r="RC143" s="5"/>
      <c r="RD143" s="6"/>
      <c r="RE143" s="4"/>
      <c r="RF143" s="4"/>
      <c r="RG143" s="4"/>
      <c r="RH143" s="4"/>
      <c r="RI143" s="4"/>
      <c r="RJ143" s="5"/>
      <c r="RK143" s="6"/>
      <c r="RL143" s="4"/>
      <c r="RM143" s="4"/>
      <c r="RN143" s="4"/>
      <c r="RO143" s="4"/>
      <c r="RP143" s="4"/>
      <c r="RQ143" s="5"/>
      <c r="RR143" s="6"/>
      <c r="RS143" s="4"/>
      <c r="RT143" s="4"/>
      <c r="RU143" s="4"/>
      <c r="RV143" s="4"/>
      <c r="RW143" s="4"/>
      <c r="RX143" s="5"/>
      <c r="RY143" s="6"/>
      <c r="RZ143" s="4"/>
      <c r="SA143" s="4"/>
      <c r="SB143" s="4"/>
      <c r="SC143" s="4"/>
      <c r="SD143" s="4"/>
      <c r="SE143" s="5"/>
      <c r="SF143" s="6"/>
      <c r="SG143" s="4"/>
      <c r="SH143" s="4"/>
      <c r="SI143" s="4"/>
      <c r="SJ143" s="4"/>
      <c r="SK143" s="4"/>
      <c r="SL143" s="5"/>
      <c r="SM143" s="6"/>
      <c r="SN143" s="4"/>
      <c r="SO143" s="4"/>
      <c r="SP143" s="4"/>
      <c r="SQ143" s="4"/>
      <c r="SR143" s="4"/>
      <c r="SS143" s="5"/>
      <c r="ST143" s="6"/>
      <c r="SU143" s="4"/>
      <c r="SV143" s="4"/>
      <c r="SW143" s="4"/>
      <c r="SX143" s="4"/>
      <c r="SY143" s="4"/>
      <c r="SZ143" s="5"/>
      <c r="TA143" s="6"/>
      <c r="TB143" s="4"/>
      <c r="TC143" s="4"/>
      <c r="TD143" s="4"/>
      <c r="TE143" s="4"/>
      <c r="TF143" s="4"/>
      <c r="TG143" s="5"/>
      <c r="TH143" s="6"/>
      <c r="TI143" s="4"/>
      <c r="TJ143" s="4"/>
      <c r="TK143" s="4"/>
      <c r="TL143" s="4"/>
      <c r="TM143" s="4"/>
      <c r="TN143" s="5"/>
      <c r="TO143" s="6"/>
      <c r="TP143" s="4"/>
      <c r="TQ143" s="4"/>
      <c r="TR143" s="4"/>
      <c r="TS143" s="4"/>
      <c r="TT143" s="4"/>
      <c r="TU143" s="5"/>
      <c r="TV143" s="6"/>
      <c r="TW143" s="4"/>
      <c r="TX143" s="4"/>
      <c r="TY143" s="4"/>
      <c r="TZ143" s="4"/>
      <c r="UA143" s="4"/>
      <c r="UB143" s="5"/>
      <c r="UC143" s="6"/>
      <c r="UD143" s="4"/>
      <c r="UE143" s="4"/>
      <c r="UF143" s="4"/>
      <c r="UG143" s="4"/>
      <c r="UH143" s="4"/>
      <c r="UI143" s="5"/>
      <c r="UJ143" s="6"/>
      <c r="UK143" s="4"/>
      <c r="UL143" s="4"/>
      <c r="UM143" s="4"/>
      <c r="UN143" s="4"/>
      <c r="UO143" s="4"/>
      <c r="UP143" s="5"/>
      <c r="UQ143" s="6"/>
      <c r="UR143" s="4"/>
      <c r="US143" s="4"/>
      <c r="UT143" s="4"/>
      <c r="UU143" s="4"/>
      <c r="UV143" s="4"/>
      <c r="UW143" s="5"/>
      <c r="UX143" s="6"/>
      <c r="UY143" s="4"/>
      <c r="UZ143" s="4"/>
      <c r="VA143" s="4"/>
      <c r="VB143" s="4"/>
      <c r="VC143" s="4"/>
      <c r="VD143" s="5"/>
      <c r="VE143" s="6"/>
      <c r="VF143" s="4"/>
      <c r="VG143" s="4"/>
      <c r="VH143" s="4"/>
      <c r="VI143" s="4"/>
      <c r="VJ143" s="4"/>
      <c r="VK143" s="5"/>
      <c r="VL143" s="6"/>
      <c r="VM143" s="4"/>
      <c r="VN143" s="4"/>
      <c r="VO143" s="4"/>
      <c r="VP143" s="4"/>
      <c r="VQ143" s="4"/>
      <c r="VR143" s="5"/>
      <c r="VS143" s="6"/>
      <c r="VT143" s="4"/>
      <c r="VU143" s="4"/>
      <c r="VV143" s="4"/>
      <c r="VW143" s="4"/>
      <c r="VX143" s="4"/>
      <c r="VY143" s="5"/>
      <c r="VZ143" s="6"/>
      <c r="WA143" s="4"/>
      <c r="WB143" s="4"/>
      <c r="WC143" s="4"/>
      <c r="WD143" s="4"/>
      <c r="WE143" s="4"/>
      <c r="WF143" s="5"/>
      <c r="WG143" s="6"/>
      <c r="WH143" s="4"/>
      <c r="WI143" s="4"/>
      <c r="WJ143" s="4"/>
      <c r="WK143" s="4"/>
      <c r="WL143" s="4"/>
      <c r="WM143" s="5"/>
      <c r="WN143" s="6"/>
      <c r="WO143" s="4"/>
      <c r="WP143" s="4"/>
      <c r="WQ143" s="4"/>
      <c r="WR143" s="4"/>
      <c r="WS143" s="4"/>
      <c r="WT143" s="5"/>
      <c r="WU143" s="6"/>
      <c r="WV143" s="4"/>
      <c r="WW143" s="4"/>
      <c r="WX143" s="4"/>
      <c r="WY143" s="4"/>
      <c r="WZ143" s="4"/>
      <c r="XA143" s="5"/>
      <c r="XB143" s="6"/>
      <c r="XC143" s="4"/>
      <c r="XD143" s="4"/>
      <c r="XE143" s="4"/>
      <c r="XF143" s="4"/>
      <c r="XG143" s="4"/>
      <c r="XH143" s="5"/>
      <c r="XI143" s="6"/>
      <c r="XJ143" s="4"/>
      <c r="XK143" s="4"/>
      <c r="XL143" s="4"/>
      <c r="XM143" s="4"/>
      <c r="XN143" s="4"/>
      <c r="XO143" s="5"/>
      <c r="XP143" s="6"/>
      <c r="XQ143" s="4"/>
      <c r="XR143" s="4"/>
      <c r="XS143" s="4"/>
      <c r="XT143" s="4"/>
      <c r="XU143" s="4"/>
      <c r="XV143" s="5"/>
      <c r="XW143" s="6"/>
      <c r="XX143" s="4"/>
      <c r="XY143" s="4"/>
      <c r="XZ143" s="4"/>
      <c r="YA143" s="4"/>
      <c r="YB143" s="4"/>
      <c r="YC143" s="5"/>
      <c r="YD143" s="6"/>
      <c r="YE143" s="4"/>
      <c r="YF143" s="4"/>
      <c r="YG143" s="4"/>
      <c r="YH143" s="4"/>
      <c r="YI143" s="4"/>
      <c r="YJ143" s="5"/>
      <c r="YK143" s="6" t="s">
        <v>1965</v>
      </c>
      <c r="YL143" s="7" t="s">
        <v>1758</v>
      </c>
      <c r="YM143" s="4"/>
      <c r="YN143" s="4"/>
      <c r="YO143" s="4"/>
      <c r="YP143" s="4"/>
      <c r="YQ143" s="5"/>
      <c r="YR143" s="6"/>
      <c r="YS143" s="4"/>
      <c r="YT143" s="4"/>
      <c r="YU143" s="4"/>
      <c r="YV143" s="4"/>
      <c r="YW143" s="4"/>
      <c r="YX143" s="5"/>
      <c r="YY143" s="6"/>
      <c r="YZ143" s="4"/>
      <c r="ZA143" s="4"/>
      <c r="ZB143" s="4"/>
      <c r="ZC143" s="4"/>
      <c r="ZD143" s="4"/>
      <c r="ZE143" s="5"/>
      <c r="ZF143" s="6"/>
      <c r="ZG143" s="4"/>
      <c r="ZH143" s="4"/>
      <c r="ZI143" s="4"/>
      <c r="ZJ143" s="4"/>
      <c r="ZK143" s="4"/>
      <c r="ZL143" s="5"/>
      <c r="ZM143" s="6"/>
      <c r="ZN143" s="4"/>
      <c r="ZO143" s="4"/>
      <c r="ZP143" s="4"/>
      <c r="ZQ143" s="4"/>
      <c r="ZR143" s="4"/>
      <c r="ZS143" s="5"/>
      <c r="ZT143" s="6"/>
      <c r="ZU143" s="4"/>
      <c r="ZV143" s="4"/>
      <c r="ZW143" s="4"/>
      <c r="ZX143" s="4"/>
      <c r="ZY143" s="4"/>
      <c r="ZZ143" s="5"/>
      <c r="AAA143" s="6"/>
      <c r="AAB143" s="4"/>
      <c r="AAC143" s="4"/>
      <c r="AAD143" s="4"/>
      <c r="AAE143" s="4"/>
      <c r="AAF143" s="4"/>
      <c r="AAG143" s="5"/>
      <c r="AAH143" s="6"/>
      <c r="AAI143" s="4"/>
      <c r="AAJ143" s="4"/>
      <c r="AAK143" s="4"/>
      <c r="AAL143" s="4"/>
      <c r="AAM143" s="4"/>
      <c r="AAN143" s="5"/>
      <c r="AAO143" s="6"/>
      <c r="AAP143" s="4"/>
      <c r="AAQ143" s="4"/>
      <c r="AAR143" s="4"/>
      <c r="AAS143" s="4"/>
      <c r="AAT143" s="4"/>
      <c r="AAU143" s="5"/>
      <c r="AAV143" s="6"/>
      <c r="AAW143" s="4"/>
      <c r="AAX143" s="4"/>
      <c r="AAY143" s="4"/>
      <c r="AAZ143" s="4"/>
      <c r="ABA143" s="4"/>
      <c r="ABB143" s="5"/>
      <c r="ABC143" s="6"/>
      <c r="ABD143" s="4"/>
      <c r="ABE143" s="4"/>
      <c r="ABF143" s="4"/>
      <c r="ABG143" s="4"/>
      <c r="ABH143" s="4"/>
      <c r="ABI143" s="5"/>
      <c r="ABJ143" s="6"/>
      <c r="ABK143" s="4"/>
      <c r="ABL143" s="4"/>
      <c r="ABM143" s="4"/>
      <c r="ABN143" s="4"/>
      <c r="ABO143" s="4"/>
      <c r="ABP143" s="5"/>
      <c r="ABQ143" s="6"/>
      <c r="ABR143" s="4"/>
      <c r="ABS143" s="4"/>
      <c r="ABT143" s="4"/>
      <c r="ABU143" s="4"/>
      <c r="ABV143" s="4"/>
      <c r="ABW143" s="5"/>
      <c r="ABX143" s="6"/>
      <c r="ABY143" s="4"/>
      <c r="ABZ143" s="4"/>
      <c r="ACA143" s="4"/>
      <c r="ACB143" s="4"/>
      <c r="ACC143" s="4"/>
      <c r="ACD143" s="5"/>
      <c r="ACE143" s="6"/>
      <c r="ACF143" s="4"/>
      <c r="ACG143" s="4"/>
      <c r="ACH143" s="4"/>
      <c r="ACI143" s="4"/>
      <c r="ACJ143" s="4"/>
      <c r="ACK143" s="5"/>
      <c r="ACL143" s="6"/>
      <c r="ACM143" s="4"/>
      <c r="ACN143" s="4"/>
      <c r="ACO143" s="4"/>
      <c r="ACP143" s="4"/>
      <c r="ACQ143" s="4"/>
      <c r="ACR143" s="5"/>
      <c r="ACS143" s="6"/>
      <c r="ACT143" s="4"/>
      <c r="ACU143" s="4"/>
      <c r="ACV143" s="4"/>
      <c r="ACW143" s="4"/>
      <c r="ACX143" s="4"/>
      <c r="ACY143" s="5"/>
    </row>
    <row r="144" spans="2:779" x14ac:dyDescent="0.25">
      <c r="B144" s="30"/>
      <c r="J144" s="12"/>
      <c r="K144" s="12"/>
      <c r="L144" s="12"/>
      <c r="LL144" s="6"/>
      <c r="LM144" s="4"/>
      <c r="LN144" s="4"/>
      <c r="LO144" s="4"/>
      <c r="LP144" s="4"/>
      <c r="LQ144" s="4"/>
      <c r="LR144" s="5"/>
      <c r="LS144" s="6"/>
      <c r="LT144" s="4"/>
      <c r="LU144" s="4"/>
      <c r="LV144" s="4"/>
      <c r="LW144" s="4"/>
      <c r="LX144" s="4"/>
      <c r="LY144" s="5"/>
      <c r="LZ144" s="6"/>
      <c r="MA144" s="4"/>
      <c r="MB144" s="4"/>
      <c r="MC144" s="4"/>
      <c r="MD144" s="8"/>
      <c r="ME144" s="4"/>
      <c r="MF144" s="4"/>
      <c r="MG144" s="5"/>
      <c r="MH144" s="6"/>
      <c r="MI144" s="4"/>
      <c r="MJ144" s="4"/>
      <c r="MK144" s="4"/>
      <c r="ML144" s="4"/>
      <c r="MM144" s="4"/>
      <c r="MN144" s="5"/>
      <c r="MO144" s="6"/>
      <c r="MP144" s="4"/>
      <c r="MQ144" s="4"/>
      <c r="MR144" s="4"/>
      <c r="MS144" s="4"/>
      <c r="MT144" s="4"/>
      <c r="MU144" s="5"/>
      <c r="MV144" s="6"/>
      <c r="MW144" s="4"/>
      <c r="MX144" s="4"/>
      <c r="MY144" s="4"/>
      <c r="MZ144" s="4"/>
      <c r="NA144" s="4"/>
      <c r="NB144" s="5"/>
      <c r="NC144" s="6"/>
      <c r="ND144" s="4"/>
      <c r="NE144" s="4"/>
      <c r="NF144" s="4"/>
      <c r="NG144" s="4"/>
      <c r="NH144" s="4"/>
      <c r="NI144" s="5"/>
      <c r="NJ144" s="6"/>
      <c r="NK144" s="4"/>
      <c r="NL144" s="4"/>
      <c r="NM144" s="4"/>
      <c r="NN144" s="4"/>
      <c r="NO144" s="4"/>
      <c r="NP144" s="5"/>
      <c r="NQ144" s="6"/>
      <c r="NR144" s="4"/>
      <c r="NS144" s="4"/>
      <c r="NT144" s="4"/>
      <c r="NU144" s="4"/>
      <c r="NV144" s="4"/>
      <c r="NW144" s="5"/>
      <c r="NX144" s="6"/>
      <c r="NY144" s="4"/>
      <c r="NZ144" s="4"/>
      <c r="OA144" s="4"/>
      <c r="OB144" s="4"/>
      <c r="OC144" s="4"/>
      <c r="OD144" s="5"/>
      <c r="OE144" s="6"/>
      <c r="OF144" s="4"/>
      <c r="OG144" s="4"/>
      <c r="OH144" s="4"/>
      <c r="OI144" s="4"/>
      <c r="OJ144" s="4"/>
      <c r="OK144" s="5"/>
      <c r="OL144" s="6"/>
      <c r="OM144" s="4"/>
      <c r="ON144" s="4"/>
      <c r="OO144" s="4"/>
      <c r="OP144" s="4"/>
      <c r="OQ144" s="4"/>
      <c r="OR144" s="5"/>
      <c r="OS144" s="6"/>
      <c r="OT144" s="4"/>
      <c r="OU144" s="4"/>
      <c r="OV144" s="4"/>
      <c r="OW144" s="4"/>
      <c r="OX144" s="4"/>
      <c r="OY144" s="5"/>
      <c r="OZ144" s="6"/>
      <c r="PA144" s="4"/>
      <c r="PB144" s="4"/>
      <c r="PC144" s="4"/>
      <c r="PD144" s="4"/>
      <c r="PE144" s="4"/>
      <c r="PF144" s="5"/>
      <c r="PG144" s="6"/>
      <c r="PH144" s="4"/>
      <c r="PI144" s="4"/>
      <c r="PJ144" s="4"/>
      <c r="PK144" s="4"/>
      <c r="PL144" s="4"/>
      <c r="PM144" s="5"/>
      <c r="PN144" s="6"/>
      <c r="PO144" s="4"/>
      <c r="PP144" s="4"/>
      <c r="PQ144" s="4"/>
      <c r="PR144" s="4"/>
      <c r="PS144" s="4"/>
      <c r="PT144" s="5"/>
      <c r="PU144" s="6"/>
      <c r="PV144" s="4"/>
      <c r="PW144" s="4"/>
      <c r="PX144" s="4"/>
      <c r="PY144" s="4"/>
      <c r="PZ144" s="4"/>
      <c r="QA144" s="5"/>
      <c r="QB144" s="6"/>
      <c r="QC144" s="4"/>
      <c r="QD144" s="4"/>
      <c r="QE144" s="4"/>
      <c r="QF144" s="4"/>
      <c r="QG144" s="4"/>
      <c r="QH144" s="5"/>
      <c r="QI144" s="6"/>
      <c r="QJ144" s="4"/>
      <c r="QK144" s="4"/>
      <c r="QL144" s="4"/>
      <c r="QM144" s="4"/>
      <c r="QN144" s="4"/>
      <c r="QO144" s="5"/>
      <c r="QP144" s="6"/>
      <c r="QQ144" s="4"/>
      <c r="QR144" s="4"/>
      <c r="QS144" s="4"/>
      <c r="QT144" s="4"/>
      <c r="QU144" s="4"/>
      <c r="QV144" s="5"/>
      <c r="QW144" s="6"/>
      <c r="QX144" s="4"/>
      <c r="QY144" s="4"/>
      <c r="QZ144" s="4"/>
      <c r="RA144" s="4"/>
      <c r="RB144" s="4"/>
      <c r="RC144" s="5"/>
      <c r="RD144" s="6"/>
      <c r="RE144" s="4"/>
      <c r="RF144" s="4"/>
      <c r="RG144" s="4"/>
      <c r="RH144" s="4"/>
      <c r="RI144" s="4"/>
      <c r="RJ144" s="5"/>
      <c r="RK144" s="6"/>
      <c r="RL144" s="4"/>
      <c r="RM144" s="4"/>
      <c r="RN144" s="4"/>
      <c r="RO144" s="4"/>
      <c r="RP144" s="4"/>
      <c r="RQ144" s="5"/>
      <c r="RR144" s="6"/>
      <c r="RS144" s="4"/>
      <c r="RT144" s="4"/>
      <c r="RU144" s="4"/>
      <c r="RV144" s="4"/>
      <c r="RW144" s="4"/>
      <c r="RX144" s="5"/>
      <c r="RY144" s="6"/>
      <c r="RZ144" s="4"/>
      <c r="SA144" s="4"/>
      <c r="SB144" s="4"/>
      <c r="SC144" s="4"/>
      <c r="SD144" s="4"/>
      <c r="SE144" s="5"/>
      <c r="SF144" s="6"/>
      <c r="SG144" s="4"/>
      <c r="SH144" s="4"/>
      <c r="SI144" s="4"/>
      <c r="SJ144" s="4"/>
      <c r="SK144" s="4"/>
      <c r="SL144" s="5"/>
      <c r="SM144" s="6"/>
      <c r="SN144" s="4"/>
      <c r="SO144" s="4"/>
      <c r="SP144" s="4"/>
      <c r="SQ144" s="4"/>
      <c r="SR144" s="4"/>
      <c r="SS144" s="5"/>
      <c r="ST144" s="6"/>
      <c r="SU144" s="4"/>
      <c r="SV144" s="4"/>
      <c r="SW144" s="4"/>
      <c r="SX144" s="4"/>
      <c r="SY144" s="4"/>
      <c r="SZ144" s="5"/>
      <c r="TA144" s="6"/>
      <c r="TB144" s="4"/>
      <c r="TC144" s="4"/>
      <c r="TD144" s="4"/>
      <c r="TE144" s="4"/>
      <c r="TF144" s="4"/>
      <c r="TG144" s="5"/>
      <c r="TH144" s="6"/>
      <c r="TI144" s="4"/>
      <c r="TJ144" s="4"/>
      <c r="TK144" s="4"/>
      <c r="TL144" s="4"/>
      <c r="TM144" s="4"/>
      <c r="TN144" s="5"/>
      <c r="TO144" s="6"/>
      <c r="TP144" s="4"/>
      <c r="TQ144" s="4"/>
      <c r="TR144" s="4"/>
      <c r="TS144" s="4"/>
      <c r="TT144" s="4"/>
      <c r="TU144" s="5"/>
      <c r="TV144" s="6"/>
      <c r="TW144" s="4"/>
      <c r="TX144" s="4"/>
      <c r="TY144" s="4"/>
      <c r="TZ144" s="4"/>
      <c r="UA144" s="4"/>
      <c r="UB144" s="5"/>
      <c r="UC144" s="6"/>
      <c r="UD144" s="4"/>
      <c r="UE144" s="4"/>
      <c r="UF144" s="4"/>
      <c r="UG144" s="4"/>
      <c r="UH144" s="4"/>
      <c r="UI144" s="5"/>
      <c r="UJ144" s="6"/>
      <c r="UK144" s="4"/>
      <c r="UL144" s="4"/>
      <c r="UM144" s="4"/>
      <c r="UN144" s="4"/>
      <c r="UO144" s="4"/>
      <c r="UP144" s="5"/>
      <c r="UQ144" s="6"/>
      <c r="UR144" s="4"/>
      <c r="US144" s="4"/>
      <c r="UT144" s="4"/>
      <c r="UU144" s="4"/>
      <c r="UV144" s="4"/>
      <c r="UW144" s="5"/>
      <c r="UX144" s="6"/>
      <c r="UY144" s="4"/>
      <c r="UZ144" s="4"/>
      <c r="VA144" s="4"/>
      <c r="VB144" s="4"/>
      <c r="VC144" s="4"/>
      <c r="VD144" s="5"/>
      <c r="VE144" s="6"/>
      <c r="VF144" s="4"/>
      <c r="VG144" s="4"/>
      <c r="VH144" s="4"/>
      <c r="VI144" s="4"/>
      <c r="VJ144" s="4"/>
      <c r="VK144" s="5"/>
      <c r="VL144" s="6"/>
      <c r="VM144" s="4"/>
      <c r="VN144" s="4"/>
      <c r="VO144" s="4"/>
      <c r="VP144" s="4"/>
      <c r="VQ144" s="4"/>
      <c r="VR144" s="5"/>
      <c r="VS144" s="6"/>
      <c r="VT144" s="4"/>
      <c r="VU144" s="4"/>
      <c r="VV144" s="4"/>
      <c r="VW144" s="4"/>
      <c r="VX144" s="4"/>
      <c r="VY144" s="5"/>
      <c r="VZ144" s="6"/>
      <c r="WA144" s="4"/>
      <c r="WB144" s="4"/>
      <c r="WC144" s="4"/>
      <c r="WD144" s="4"/>
      <c r="WE144" s="4"/>
      <c r="WF144" s="5"/>
      <c r="WG144" s="6"/>
      <c r="WH144" s="4"/>
      <c r="WI144" s="4"/>
      <c r="WJ144" s="4"/>
      <c r="WK144" s="4"/>
      <c r="WL144" s="4"/>
      <c r="WM144" s="5"/>
      <c r="WN144" s="6"/>
      <c r="WO144" s="4"/>
      <c r="WP144" s="4"/>
      <c r="WQ144" s="4"/>
      <c r="WR144" s="4"/>
      <c r="WS144" s="4"/>
      <c r="WT144" s="5"/>
      <c r="WU144" s="6"/>
      <c r="WV144" s="4"/>
      <c r="WW144" s="4"/>
      <c r="WX144" s="4"/>
      <c r="WY144" s="4"/>
      <c r="WZ144" s="4"/>
      <c r="XA144" s="5"/>
      <c r="XB144" s="6"/>
      <c r="XC144" s="4"/>
      <c r="XD144" s="4"/>
      <c r="XE144" s="4"/>
      <c r="XF144" s="4"/>
      <c r="XG144" s="4"/>
      <c r="XH144" s="5"/>
      <c r="XI144" s="6"/>
      <c r="XJ144" s="4"/>
      <c r="XK144" s="4"/>
      <c r="XL144" s="4"/>
      <c r="XM144" s="4"/>
      <c r="XN144" s="4"/>
      <c r="XO144" s="5"/>
      <c r="XP144" s="6"/>
      <c r="XQ144" s="4"/>
      <c r="XR144" s="4"/>
      <c r="XS144" s="4"/>
      <c r="XT144" s="4"/>
      <c r="XU144" s="4"/>
      <c r="XV144" s="5"/>
      <c r="XW144" s="6"/>
      <c r="XX144" s="4"/>
      <c r="XY144" s="4"/>
      <c r="XZ144" s="4"/>
      <c r="YA144" s="4"/>
      <c r="YB144" s="4"/>
      <c r="YC144" s="5"/>
      <c r="YD144" s="6"/>
      <c r="YE144" s="4"/>
      <c r="YF144" s="4"/>
      <c r="YG144" s="4"/>
      <c r="YH144" s="4"/>
      <c r="YI144" s="4"/>
      <c r="YJ144" s="5"/>
      <c r="YK144" s="6" t="s">
        <v>1966</v>
      </c>
      <c r="YL144" s="7" t="s">
        <v>1966</v>
      </c>
      <c r="YM144" s="4"/>
      <c r="YN144" s="4"/>
      <c r="YO144" s="4"/>
      <c r="YP144" s="4"/>
      <c r="YQ144" s="5"/>
      <c r="YR144" s="6"/>
      <c r="YS144" s="4"/>
      <c r="YT144" s="4"/>
      <c r="YU144" s="4"/>
      <c r="YV144" s="4"/>
      <c r="YW144" s="4"/>
      <c r="YX144" s="5"/>
      <c r="YY144" s="6"/>
      <c r="YZ144" s="4"/>
      <c r="ZA144" s="4"/>
      <c r="ZB144" s="4"/>
      <c r="ZC144" s="4"/>
      <c r="ZD144" s="4"/>
      <c r="ZE144" s="5"/>
      <c r="ZF144" s="6"/>
      <c r="ZG144" s="4"/>
      <c r="ZH144" s="4"/>
      <c r="ZI144" s="4"/>
      <c r="ZJ144" s="4"/>
      <c r="ZK144" s="4"/>
      <c r="ZL144" s="5"/>
      <c r="ZM144" s="6"/>
      <c r="ZN144" s="4"/>
      <c r="ZO144" s="4"/>
      <c r="ZP144" s="4"/>
      <c r="ZQ144" s="4"/>
      <c r="ZR144" s="4"/>
      <c r="ZS144" s="5"/>
      <c r="ZT144" s="6"/>
      <c r="ZU144" s="4"/>
      <c r="ZV144" s="4"/>
      <c r="ZW144" s="4"/>
      <c r="ZX144" s="4"/>
      <c r="ZY144" s="4"/>
      <c r="ZZ144" s="5"/>
      <c r="AAA144" s="6"/>
      <c r="AAB144" s="4"/>
      <c r="AAC144" s="4"/>
      <c r="AAD144" s="4"/>
      <c r="AAE144" s="4"/>
      <c r="AAF144" s="4"/>
      <c r="AAG144" s="5"/>
      <c r="AAH144" s="6"/>
      <c r="AAI144" s="4"/>
      <c r="AAJ144" s="4"/>
      <c r="AAK144" s="4"/>
      <c r="AAL144" s="4"/>
      <c r="AAM144" s="4"/>
      <c r="AAN144" s="5"/>
      <c r="AAO144" s="6"/>
      <c r="AAP144" s="4"/>
      <c r="AAQ144" s="4"/>
      <c r="AAR144" s="4"/>
      <c r="AAS144" s="4"/>
      <c r="AAT144" s="4"/>
      <c r="AAU144" s="5"/>
      <c r="AAV144" s="6"/>
      <c r="AAW144" s="4"/>
      <c r="AAX144" s="4"/>
      <c r="AAY144" s="4"/>
      <c r="AAZ144" s="4"/>
      <c r="ABA144" s="4"/>
      <c r="ABB144" s="5"/>
      <c r="ABC144" s="6"/>
      <c r="ABD144" s="4"/>
      <c r="ABE144" s="4"/>
      <c r="ABF144" s="4"/>
      <c r="ABG144" s="4"/>
      <c r="ABH144" s="4"/>
      <c r="ABI144" s="5"/>
      <c r="ABJ144" s="6"/>
      <c r="ABK144" s="4"/>
      <c r="ABL144" s="4"/>
      <c r="ABM144" s="4"/>
      <c r="ABN144" s="4"/>
      <c r="ABO144" s="4"/>
      <c r="ABP144" s="5"/>
      <c r="ABQ144" s="6"/>
      <c r="ABR144" s="4"/>
      <c r="ABS144" s="4"/>
      <c r="ABT144" s="4"/>
      <c r="ABU144" s="4"/>
      <c r="ABV144" s="4"/>
      <c r="ABW144" s="5"/>
      <c r="ABX144" s="6"/>
      <c r="ABY144" s="4"/>
      <c r="ABZ144" s="4"/>
      <c r="ACA144" s="4"/>
      <c r="ACB144" s="4"/>
      <c r="ACC144" s="4"/>
      <c r="ACD144" s="5"/>
      <c r="ACE144" s="6"/>
      <c r="ACF144" s="4"/>
      <c r="ACG144" s="4"/>
      <c r="ACH144" s="4"/>
      <c r="ACI144" s="4"/>
      <c r="ACJ144" s="4"/>
      <c r="ACK144" s="5"/>
      <c r="ACL144" s="6"/>
      <c r="ACM144" s="4"/>
      <c r="ACN144" s="4"/>
      <c r="ACO144" s="4"/>
      <c r="ACP144" s="4"/>
      <c r="ACQ144" s="4"/>
      <c r="ACR144" s="5"/>
      <c r="ACS144" s="6"/>
      <c r="ACT144" s="4"/>
      <c r="ACU144" s="4"/>
      <c r="ACV144" s="4"/>
      <c r="ACW144" s="4"/>
      <c r="ACX144" s="4"/>
      <c r="ACY144" s="5"/>
    </row>
    <row r="145" spans="2:779" x14ac:dyDescent="0.25">
      <c r="B145" s="29">
        <v>97001411</v>
      </c>
      <c r="C145">
        <v>51</v>
      </c>
      <c r="D145" t="s">
        <v>3731</v>
      </c>
      <c r="F145" s="23" t="s">
        <v>1630</v>
      </c>
      <c r="I145">
        <v>1</v>
      </c>
      <c r="J145" s="19">
        <v>34803</v>
      </c>
      <c r="K145" s="19"/>
      <c r="L145" s="19"/>
      <c r="IL145">
        <v>1</v>
      </c>
      <c r="LL145" s="6"/>
      <c r="LM145" s="4"/>
      <c r="LN145" s="4"/>
      <c r="LO145" s="4"/>
      <c r="LP145" s="4"/>
      <c r="LQ145" s="4"/>
      <c r="LR145" s="5"/>
      <c r="LS145" s="6"/>
      <c r="LT145" s="4"/>
      <c r="LU145" s="4"/>
      <c r="LV145" s="4"/>
      <c r="LW145" s="4"/>
      <c r="LX145" s="4"/>
      <c r="LY145" s="5"/>
      <c r="LZ145" s="6" t="s">
        <v>2248</v>
      </c>
      <c r="MA145" s="7" t="s">
        <v>2257</v>
      </c>
      <c r="MB145" s="4"/>
      <c r="MC145" s="4"/>
      <c r="MD145" s="8"/>
      <c r="ME145" s="4"/>
      <c r="MF145" s="4"/>
      <c r="MG145" s="5"/>
      <c r="MH145" s="6"/>
      <c r="MI145" s="4"/>
      <c r="MJ145" s="4"/>
      <c r="MK145" s="4"/>
      <c r="ML145" s="4"/>
      <c r="MM145" s="4"/>
      <c r="MN145" s="5"/>
      <c r="MO145" s="6"/>
      <c r="MP145" s="4"/>
      <c r="MQ145" s="4"/>
      <c r="MR145" s="4"/>
      <c r="MS145" s="4"/>
      <c r="MT145" s="4"/>
      <c r="MU145" s="5"/>
      <c r="MV145" s="6"/>
      <c r="MW145" s="4"/>
      <c r="MX145" s="4"/>
      <c r="MY145" s="4"/>
      <c r="MZ145" s="4"/>
      <c r="NA145" s="4"/>
      <c r="NB145" s="5"/>
      <c r="NC145" s="6"/>
      <c r="ND145" s="4"/>
      <c r="NE145" s="4"/>
      <c r="NF145" s="4"/>
      <c r="NG145" s="4"/>
      <c r="NH145" s="4"/>
      <c r="NI145" s="5"/>
      <c r="NJ145" s="6"/>
      <c r="NK145" s="4"/>
      <c r="NL145" s="4"/>
      <c r="NM145" s="4"/>
      <c r="NN145" s="4"/>
      <c r="NO145" s="4"/>
      <c r="NP145" s="5"/>
      <c r="NQ145" s="6"/>
      <c r="NR145" s="4"/>
      <c r="NS145" s="4"/>
      <c r="NT145" s="4"/>
      <c r="NU145" s="4"/>
      <c r="NV145" s="4"/>
      <c r="NW145" s="5"/>
      <c r="NX145" s="6"/>
      <c r="NY145" s="4"/>
      <c r="NZ145" s="4"/>
      <c r="OA145" s="4"/>
      <c r="OB145" s="4"/>
      <c r="OC145" s="4"/>
      <c r="OD145" s="5"/>
      <c r="OE145" s="6"/>
      <c r="OF145" s="4"/>
      <c r="OG145" s="4"/>
      <c r="OH145" s="4"/>
      <c r="OI145" s="4"/>
      <c r="OJ145" s="4"/>
      <c r="OK145" s="5"/>
      <c r="OL145" s="6"/>
      <c r="OM145" s="4"/>
      <c r="ON145" s="4"/>
      <c r="OO145" s="4"/>
      <c r="OP145" s="4"/>
      <c r="OQ145" s="4"/>
      <c r="OR145" s="5"/>
      <c r="OS145" s="6"/>
      <c r="OT145" s="4"/>
      <c r="OU145" s="4"/>
      <c r="OV145" s="4"/>
      <c r="OW145" s="4"/>
      <c r="OX145" s="4"/>
      <c r="OY145" s="5"/>
      <c r="OZ145" s="6"/>
      <c r="PA145" s="4"/>
      <c r="PB145" s="4"/>
      <c r="PC145" s="4"/>
      <c r="PD145" s="4"/>
      <c r="PE145" s="4"/>
      <c r="PF145" s="5"/>
      <c r="PG145" s="6"/>
      <c r="PH145" s="4"/>
      <c r="PI145" s="4"/>
      <c r="PJ145" s="4"/>
      <c r="PK145" s="4"/>
      <c r="PL145" s="4"/>
      <c r="PM145" s="5"/>
      <c r="PN145" s="6"/>
      <c r="PO145" s="4"/>
      <c r="PP145" s="4"/>
      <c r="PQ145" s="4"/>
      <c r="PR145" s="4"/>
      <c r="PS145" s="4"/>
      <c r="PT145" s="5"/>
      <c r="PU145" s="6"/>
      <c r="PV145" s="4"/>
      <c r="PW145" s="4"/>
      <c r="PX145" s="4"/>
      <c r="PY145" s="4"/>
      <c r="PZ145" s="4"/>
      <c r="QA145" s="5"/>
      <c r="QB145" s="6"/>
      <c r="QC145" s="4"/>
      <c r="QD145" s="4"/>
      <c r="QE145" s="4"/>
      <c r="QF145" s="4"/>
      <c r="QG145" s="4"/>
      <c r="QH145" s="5"/>
      <c r="QI145" s="6"/>
      <c r="QJ145" s="4"/>
      <c r="QK145" s="4"/>
      <c r="QL145" s="4"/>
      <c r="QM145" s="4"/>
      <c r="QN145" s="4"/>
      <c r="QO145" s="5"/>
      <c r="QP145" s="6"/>
      <c r="QQ145" s="4"/>
      <c r="QR145" s="4"/>
      <c r="QS145" s="4"/>
      <c r="QT145" s="4"/>
      <c r="QU145" s="4"/>
      <c r="QV145" s="5"/>
      <c r="QW145" s="6"/>
      <c r="QX145" s="4"/>
      <c r="QY145" s="4"/>
      <c r="QZ145" s="4"/>
      <c r="RA145" s="4"/>
      <c r="RB145" s="4"/>
      <c r="RC145" s="5"/>
      <c r="RD145" s="6"/>
      <c r="RE145" s="4"/>
      <c r="RF145" s="4"/>
      <c r="RG145" s="4"/>
      <c r="RH145" s="4"/>
      <c r="RI145" s="4"/>
      <c r="RJ145" s="5"/>
      <c r="RK145" s="6" t="s">
        <v>2246</v>
      </c>
      <c r="RL145" s="4" t="s">
        <v>2247</v>
      </c>
      <c r="RM145" s="4"/>
      <c r="RN145" s="4"/>
      <c r="RO145" s="4"/>
      <c r="RP145" s="4"/>
      <c r="RQ145" s="5"/>
      <c r="RR145" s="6"/>
      <c r="RS145" s="4"/>
      <c r="RT145" s="4"/>
      <c r="RU145" s="4"/>
      <c r="RV145" s="4"/>
      <c r="RW145" s="4"/>
      <c r="RX145" s="5"/>
      <c r="RY145" s="6"/>
      <c r="RZ145" s="4"/>
      <c r="SA145" s="4"/>
      <c r="SB145" s="4"/>
      <c r="SC145" s="4"/>
      <c r="SD145" s="4"/>
      <c r="SE145" s="5"/>
      <c r="SF145" s="6"/>
      <c r="SG145" s="4"/>
      <c r="SH145" s="4"/>
      <c r="SI145" s="4"/>
      <c r="SJ145" s="4"/>
      <c r="SK145" s="4"/>
      <c r="SL145" s="5"/>
      <c r="SM145" s="6"/>
      <c r="SN145" s="4"/>
      <c r="SO145" s="4"/>
      <c r="SP145" s="4"/>
      <c r="SQ145" s="4"/>
      <c r="SR145" s="4"/>
      <c r="SS145" s="5"/>
      <c r="ST145" s="6"/>
      <c r="SU145" s="4"/>
      <c r="SV145" s="4"/>
      <c r="SW145" s="4"/>
      <c r="SX145" s="4"/>
      <c r="SY145" s="4"/>
      <c r="SZ145" s="5"/>
      <c r="TA145" s="6"/>
      <c r="TB145" s="4"/>
      <c r="TC145" s="4"/>
      <c r="TD145" s="4"/>
      <c r="TE145" s="4"/>
      <c r="TF145" s="4"/>
      <c r="TG145" s="5"/>
      <c r="TH145" s="6"/>
      <c r="TI145" s="4"/>
      <c r="TJ145" s="4"/>
      <c r="TK145" s="4"/>
      <c r="TL145" s="4"/>
      <c r="TM145" s="4"/>
      <c r="TN145" s="5"/>
      <c r="TO145" s="6"/>
      <c r="TP145" s="4"/>
      <c r="TQ145" s="4"/>
      <c r="TR145" s="4"/>
      <c r="TS145" s="4"/>
      <c r="TT145" s="4"/>
      <c r="TU145" s="5"/>
      <c r="TV145" s="6"/>
      <c r="TW145" s="4"/>
      <c r="TX145" s="4"/>
      <c r="TY145" s="4"/>
      <c r="TZ145" s="4"/>
      <c r="UA145" s="4"/>
      <c r="UB145" s="5"/>
      <c r="UC145" s="6"/>
      <c r="UD145" s="4"/>
      <c r="UE145" s="4"/>
      <c r="UF145" s="4"/>
      <c r="UG145" s="4"/>
      <c r="UH145" s="4"/>
      <c r="UI145" s="5"/>
      <c r="UJ145" s="6"/>
      <c r="UK145" s="4"/>
      <c r="UL145" s="4"/>
      <c r="UM145" s="4"/>
      <c r="UN145" s="4"/>
      <c r="UO145" s="4"/>
      <c r="UP145" s="5"/>
      <c r="UQ145" s="6"/>
      <c r="UR145" s="4"/>
      <c r="US145" s="4"/>
      <c r="UT145" s="4"/>
      <c r="UU145" s="4"/>
      <c r="UV145" s="4"/>
      <c r="UW145" s="5"/>
      <c r="UX145" s="6"/>
      <c r="UY145" s="4"/>
      <c r="UZ145" s="4"/>
      <c r="VA145" s="4"/>
      <c r="VB145" s="4"/>
      <c r="VC145" s="4"/>
      <c r="VD145" s="5"/>
      <c r="VE145" s="6"/>
      <c r="VF145" s="4"/>
      <c r="VG145" s="4"/>
      <c r="VH145" s="4"/>
      <c r="VI145" s="4"/>
      <c r="VJ145" s="4"/>
      <c r="VK145" s="5"/>
      <c r="VL145" s="6" t="s">
        <v>1916</v>
      </c>
      <c r="VM145" s="4" t="s">
        <v>1917</v>
      </c>
      <c r="VN145" s="4"/>
      <c r="VO145" s="4"/>
      <c r="VP145" s="4"/>
      <c r="VQ145" s="4"/>
      <c r="VR145" s="5"/>
      <c r="VS145" s="6"/>
      <c r="VT145" s="4"/>
      <c r="VU145" s="4"/>
      <c r="VV145" s="4"/>
      <c r="VW145" s="4"/>
      <c r="VX145" s="4"/>
      <c r="VY145" s="5"/>
      <c r="VZ145" s="6"/>
      <c r="WA145" s="4"/>
      <c r="WB145" s="4"/>
      <c r="WC145" s="4"/>
      <c r="WD145" s="4"/>
      <c r="WE145" s="4"/>
      <c r="WF145" s="5"/>
      <c r="WG145" s="6"/>
      <c r="WH145" s="4"/>
      <c r="WI145" s="4"/>
      <c r="WJ145" s="4"/>
      <c r="WK145" s="4"/>
      <c r="WL145" s="4"/>
      <c r="WM145" s="5"/>
      <c r="WN145" s="6"/>
      <c r="WO145" s="4"/>
      <c r="WP145" s="4"/>
      <c r="WQ145" s="4"/>
      <c r="WR145" s="4"/>
      <c r="WS145" s="4"/>
      <c r="WT145" s="5"/>
      <c r="WU145" s="6"/>
      <c r="WV145" s="4"/>
      <c r="WW145" s="4"/>
      <c r="WX145" s="4"/>
      <c r="WY145" s="4"/>
      <c r="WZ145" s="4"/>
      <c r="XA145" s="5"/>
      <c r="XB145" s="6"/>
      <c r="XC145" s="4"/>
      <c r="XD145" s="4"/>
      <c r="XE145" s="4"/>
      <c r="XF145" s="4"/>
      <c r="XG145" s="4"/>
      <c r="XH145" s="5"/>
      <c r="XI145" s="6"/>
      <c r="XJ145" s="4"/>
      <c r="XK145" s="4"/>
      <c r="XL145" s="4"/>
      <c r="XM145" s="4"/>
      <c r="XN145" s="4"/>
      <c r="XO145" s="5"/>
      <c r="XP145" s="6" t="s">
        <v>1956</v>
      </c>
      <c r="XQ145" s="4" t="s">
        <v>1884</v>
      </c>
      <c r="XR145" s="4"/>
      <c r="XS145" s="4"/>
      <c r="XT145" s="4"/>
      <c r="XU145" s="4"/>
      <c r="XV145" s="5"/>
      <c r="XW145" s="6"/>
      <c r="XX145" s="4"/>
      <c r="XY145" s="4"/>
      <c r="XZ145" s="4"/>
      <c r="YA145" s="4"/>
      <c r="YB145" s="4"/>
      <c r="YC145" s="5"/>
      <c r="YD145" s="6"/>
      <c r="YE145" s="4"/>
      <c r="YF145" s="4"/>
      <c r="YG145" s="4"/>
      <c r="YH145" s="4"/>
      <c r="YI145" s="4"/>
      <c r="YJ145" s="5"/>
      <c r="YK145" s="6" t="s">
        <v>2076</v>
      </c>
      <c r="YL145" s="4" t="s">
        <v>2077</v>
      </c>
      <c r="YM145" s="4"/>
      <c r="YN145" s="4"/>
      <c r="YO145" s="4"/>
      <c r="YP145" s="4"/>
      <c r="YQ145" s="5"/>
      <c r="YR145" s="6"/>
      <c r="YS145" s="4"/>
      <c r="YT145" s="4"/>
      <c r="YU145" s="4"/>
      <c r="YV145" s="4"/>
      <c r="YW145" s="4"/>
      <c r="YX145" s="5"/>
      <c r="YY145" s="6"/>
      <c r="YZ145" s="4"/>
      <c r="ZA145" s="4"/>
      <c r="ZB145" s="4"/>
      <c r="ZC145" s="4"/>
      <c r="ZD145" s="4"/>
      <c r="ZE145" s="5"/>
      <c r="ZF145" s="6"/>
      <c r="ZG145" s="4"/>
      <c r="ZH145" s="4"/>
      <c r="ZI145" s="4"/>
      <c r="ZJ145" s="4"/>
      <c r="ZK145" s="4"/>
      <c r="ZL145" s="5"/>
      <c r="ZM145" s="6"/>
      <c r="ZN145" s="4"/>
      <c r="ZO145" s="4"/>
      <c r="ZP145" s="4"/>
      <c r="ZQ145" s="4"/>
      <c r="ZR145" s="4"/>
      <c r="ZS145" s="5"/>
      <c r="ZT145" s="6"/>
      <c r="ZU145" s="4"/>
      <c r="ZV145" s="4"/>
      <c r="ZW145" s="4"/>
      <c r="ZX145" s="4"/>
      <c r="ZY145" s="4"/>
      <c r="ZZ145" s="5"/>
      <c r="AAA145" s="6"/>
      <c r="AAB145" s="4"/>
      <c r="AAC145" s="4"/>
      <c r="AAD145" s="4"/>
      <c r="AAE145" s="4"/>
      <c r="AAF145" s="4"/>
      <c r="AAG145" s="5"/>
      <c r="AAH145" s="6"/>
      <c r="AAI145" s="4"/>
      <c r="AAJ145" s="4"/>
      <c r="AAK145" s="4"/>
      <c r="AAL145" s="4"/>
      <c r="AAM145" s="4"/>
      <c r="AAN145" s="5"/>
      <c r="AAO145" s="6"/>
      <c r="AAP145" s="4"/>
      <c r="AAQ145" s="4"/>
      <c r="AAR145" s="4"/>
      <c r="AAS145" s="4"/>
      <c r="AAT145" s="4"/>
      <c r="AAU145" s="5"/>
      <c r="AAV145" s="6"/>
      <c r="AAW145" s="4"/>
      <c r="AAX145" s="4"/>
      <c r="AAY145" s="4"/>
      <c r="AAZ145" s="4"/>
      <c r="ABA145" s="4"/>
      <c r="ABB145" s="5"/>
      <c r="ABC145" s="6"/>
      <c r="ABD145" s="4"/>
      <c r="ABE145" s="4"/>
      <c r="ABF145" s="4"/>
      <c r="ABG145" s="4"/>
      <c r="ABH145" s="4"/>
      <c r="ABI145" s="5"/>
      <c r="ABJ145" s="6"/>
      <c r="ABK145" s="4"/>
      <c r="ABL145" s="4"/>
      <c r="ABM145" s="4"/>
      <c r="ABN145" s="4"/>
      <c r="ABO145" s="4"/>
      <c r="ABP145" s="5"/>
      <c r="ABQ145" s="6"/>
      <c r="ABR145" s="4"/>
      <c r="ABS145" s="4"/>
      <c r="ABT145" s="4"/>
      <c r="ABU145" s="4"/>
      <c r="ABV145" s="4"/>
      <c r="ABW145" s="5"/>
      <c r="ABX145" s="6"/>
      <c r="ABY145" s="4"/>
      <c r="ABZ145" s="4"/>
      <c r="ACA145" s="4"/>
      <c r="ACB145" s="4"/>
      <c r="ACC145" s="4"/>
      <c r="ACD145" s="5"/>
      <c r="ACE145" s="6"/>
      <c r="ACF145" s="4"/>
      <c r="ACG145" s="4"/>
      <c r="ACH145" s="4"/>
      <c r="ACI145" s="4"/>
      <c r="ACJ145" s="4"/>
      <c r="ACK145" s="5"/>
      <c r="ACL145" s="6"/>
      <c r="ACM145" s="4"/>
      <c r="ACN145" s="4"/>
      <c r="ACO145" s="4"/>
      <c r="ACP145" s="4"/>
      <c r="ACQ145" s="4"/>
      <c r="ACR145" s="5"/>
      <c r="ACS145" s="6"/>
      <c r="ACT145" s="4"/>
      <c r="ACU145" s="4"/>
      <c r="ACV145" s="4"/>
      <c r="ACW145" s="4"/>
      <c r="ACX145" s="4"/>
      <c r="ACY145" s="5"/>
    </row>
    <row r="146" spans="2:779" x14ac:dyDescent="0.25">
      <c r="B146" s="30"/>
      <c r="J146" s="12"/>
      <c r="K146" s="12"/>
      <c r="L146" s="12"/>
      <c r="LL146" s="6"/>
      <c r="LM146" s="4"/>
      <c r="LN146" s="4"/>
      <c r="LO146" s="4"/>
      <c r="LP146" s="4"/>
      <c r="LQ146" s="4"/>
      <c r="LR146" s="5"/>
      <c r="LS146" s="6"/>
      <c r="LT146" s="4"/>
      <c r="LU146" s="4"/>
      <c r="LV146" s="4"/>
      <c r="LW146" s="4"/>
      <c r="LX146" s="4"/>
      <c r="LY146" s="5"/>
      <c r="LZ146" s="6" t="s">
        <v>2258</v>
      </c>
      <c r="MA146" s="7" t="s">
        <v>2395</v>
      </c>
      <c r="MB146" s="4"/>
      <c r="MC146" s="4"/>
      <c r="MD146" s="8"/>
      <c r="ME146" s="4"/>
      <c r="MF146" s="4"/>
      <c r="MG146" s="5"/>
      <c r="MH146" s="6"/>
      <c r="MI146" s="4"/>
      <c r="MJ146" s="4"/>
      <c r="MK146" s="4"/>
      <c r="ML146" s="4"/>
      <c r="MM146" s="4"/>
      <c r="MN146" s="5"/>
      <c r="MO146" s="6"/>
      <c r="MP146" s="4"/>
      <c r="MQ146" s="4"/>
      <c r="MR146" s="4"/>
      <c r="MS146" s="4"/>
      <c r="MT146" s="4"/>
      <c r="MU146" s="5"/>
      <c r="MV146" s="6"/>
      <c r="MW146" s="4"/>
      <c r="MX146" s="4"/>
      <c r="MY146" s="4"/>
      <c r="MZ146" s="4"/>
      <c r="NA146" s="4"/>
      <c r="NB146" s="5"/>
      <c r="NC146" s="6"/>
      <c r="ND146" s="4"/>
      <c r="NE146" s="4"/>
      <c r="NF146" s="4"/>
      <c r="NG146" s="4"/>
      <c r="NH146" s="4"/>
      <c r="NI146" s="5"/>
      <c r="NJ146" s="6"/>
      <c r="NK146" s="4"/>
      <c r="NL146" s="4"/>
      <c r="NM146" s="4"/>
      <c r="NN146" s="4"/>
      <c r="NO146" s="4"/>
      <c r="NP146" s="5"/>
      <c r="NQ146" s="6"/>
      <c r="NR146" s="4"/>
      <c r="NS146" s="4"/>
      <c r="NT146" s="4"/>
      <c r="NU146" s="4"/>
      <c r="NV146" s="4"/>
      <c r="NW146" s="5"/>
      <c r="NX146" s="6"/>
      <c r="NY146" s="4"/>
      <c r="NZ146" s="4"/>
      <c r="OA146" s="4"/>
      <c r="OB146" s="4"/>
      <c r="OC146" s="4"/>
      <c r="OD146" s="5"/>
      <c r="OE146" s="6"/>
      <c r="OF146" s="4"/>
      <c r="OG146" s="4"/>
      <c r="OH146" s="4"/>
      <c r="OI146" s="4"/>
      <c r="OJ146" s="4"/>
      <c r="OK146" s="5"/>
      <c r="OL146" s="6"/>
      <c r="OM146" s="4"/>
      <c r="ON146" s="4"/>
      <c r="OO146" s="4"/>
      <c r="OP146" s="4"/>
      <c r="OQ146" s="4"/>
      <c r="OR146" s="5"/>
      <c r="OS146" s="6"/>
      <c r="OT146" s="4"/>
      <c r="OU146" s="4"/>
      <c r="OV146" s="4"/>
      <c r="OW146" s="4"/>
      <c r="OX146" s="4"/>
      <c r="OY146" s="5"/>
      <c r="OZ146" s="6"/>
      <c r="PA146" s="4"/>
      <c r="PB146" s="4"/>
      <c r="PC146" s="4"/>
      <c r="PD146" s="4"/>
      <c r="PE146" s="4"/>
      <c r="PF146" s="5"/>
      <c r="PG146" s="6"/>
      <c r="PH146" s="4"/>
      <c r="PI146" s="4"/>
      <c r="PJ146" s="4"/>
      <c r="PK146" s="4"/>
      <c r="PL146" s="4"/>
      <c r="PM146" s="5"/>
      <c r="PN146" s="6"/>
      <c r="PO146" s="4"/>
      <c r="PP146" s="4"/>
      <c r="PQ146" s="4"/>
      <c r="PR146" s="4"/>
      <c r="PS146" s="4"/>
      <c r="PT146" s="5"/>
      <c r="PU146" s="6"/>
      <c r="PV146" s="4"/>
      <c r="PW146" s="4"/>
      <c r="PX146" s="4"/>
      <c r="PY146" s="4"/>
      <c r="PZ146" s="4"/>
      <c r="QA146" s="5"/>
      <c r="QB146" s="6"/>
      <c r="QC146" s="4"/>
      <c r="QD146" s="4"/>
      <c r="QE146" s="4"/>
      <c r="QF146" s="4"/>
      <c r="QG146" s="4"/>
      <c r="QH146" s="5"/>
      <c r="QI146" s="6"/>
      <c r="QJ146" s="4"/>
      <c r="QK146" s="4"/>
      <c r="QL146" s="4"/>
      <c r="QM146" s="4"/>
      <c r="QN146" s="4"/>
      <c r="QO146" s="5"/>
      <c r="QP146" s="6"/>
      <c r="QQ146" s="4"/>
      <c r="QR146" s="4"/>
      <c r="QS146" s="4"/>
      <c r="QT146" s="4"/>
      <c r="QU146" s="4"/>
      <c r="QV146" s="5"/>
      <c r="QW146" s="6"/>
      <c r="QX146" s="4"/>
      <c r="QY146" s="4"/>
      <c r="QZ146" s="4"/>
      <c r="RA146" s="4"/>
      <c r="RB146" s="4"/>
      <c r="RC146" s="5"/>
      <c r="RD146" s="6"/>
      <c r="RE146" s="4"/>
      <c r="RF146" s="4"/>
      <c r="RG146" s="4"/>
      <c r="RH146" s="4"/>
      <c r="RI146" s="4"/>
      <c r="RJ146" s="5"/>
      <c r="RK146" s="6"/>
      <c r="RL146" s="4"/>
      <c r="RM146" s="4"/>
      <c r="RN146" s="4"/>
      <c r="RO146" s="4"/>
      <c r="RP146" s="4"/>
      <c r="RQ146" s="5"/>
      <c r="RR146" s="6"/>
      <c r="RS146" s="4"/>
      <c r="RT146" s="4"/>
      <c r="RU146" s="4"/>
      <c r="RV146" s="4"/>
      <c r="RW146" s="4"/>
      <c r="RX146" s="5"/>
      <c r="RY146" s="6"/>
      <c r="RZ146" s="4"/>
      <c r="SA146" s="4"/>
      <c r="SB146" s="4"/>
      <c r="SC146" s="4"/>
      <c r="SD146" s="4"/>
      <c r="SE146" s="5"/>
      <c r="SF146" s="6"/>
      <c r="SG146" s="4"/>
      <c r="SH146" s="4"/>
      <c r="SI146" s="4"/>
      <c r="SJ146" s="4"/>
      <c r="SK146" s="4"/>
      <c r="SL146" s="5"/>
      <c r="SM146" s="6"/>
      <c r="SN146" s="4"/>
      <c r="SO146" s="4"/>
      <c r="SP146" s="4"/>
      <c r="SQ146" s="4"/>
      <c r="SR146" s="4"/>
      <c r="SS146" s="5"/>
      <c r="ST146" s="6"/>
      <c r="SU146" s="4"/>
      <c r="SV146" s="4"/>
      <c r="SW146" s="4"/>
      <c r="SX146" s="4"/>
      <c r="SY146" s="4"/>
      <c r="SZ146" s="5"/>
      <c r="TA146" s="6"/>
      <c r="TB146" s="4"/>
      <c r="TC146" s="4"/>
      <c r="TD146" s="4"/>
      <c r="TE146" s="4"/>
      <c r="TF146" s="4"/>
      <c r="TG146" s="5"/>
      <c r="TH146" s="6"/>
      <c r="TI146" s="4"/>
      <c r="TJ146" s="4"/>
      <c r="TK146" s="4"/>
      <c r="TL146" s="4"/>
      <c r="TM146" s="4"/>
      <c r="TN146" s="5"/>
      <c r="TO146" s="6"/>
      <c r="TP146" s="4"/>
      <c r="TQ146" s="4"/>
      <c r="TR146" s="4"/>
      <c r="TS146" s="4"/>
      <c r="TT146" s="4"/>
      <c r="TU146" s="5"/>
      <c r="TV146" s="6"/>
      <c r="TW146" s="4"/>
      <c r="TX146" s="4"/>
      <c r="TY146" s="4"/>
      <c r="TZ146" s="4"/>
      <c r="UA146" s="4"/>
      <c r="UB146" s="5"/>
      <c r="UC146" s="6"/>
      <c r="UD146" s="4"/>
      <c r="UE146" s="4"/>
      <c r="UF146" s="4"/>
      <c r="UG146" s="4"/>
      <c r="UH146" s="4"/>
      <c r="UI146" s="5"/>
      <c r="UJ146" s="6"/>
      <c r="UK146" s="4"/>
      <c r="UL146" s="4"/>
      <c r="UM146" s="4"/>
      <c r="UN146" s="4"/>
      <c r="UO146" s="4"/>
      <c r="UP146" s="5"/>
      <c r="UQ146" s="6"/>
      <c r="UR146" s="4"/>
      <c r="US146" s="4"/>
      <c r="UT146" s="4"/>
      <c r="UU146" s="4"/>
      <c r="UV146" s="4"/>
      <c r="UW146" s="5"/>
      <c r="UX146" s="6"/>
      <c r="UY146" s="4"/>
      <c r="UZ146" s="4"/>
      <c r="VA146" s="4"/>
      <c r="VB146" s="4"/>
      <c r="VC146" s="4"/>
      <c r="VD146" s="5"/>
      <c r="VE146" s="6"/>
      <c r="VF146" s="4"/>
      <c r="VG146" s="4"/>
      <c r="VH146" s="4"/>
      <c r="VI146" s="4"/>
      <c r="VJ146" s="4"/>
      <c r="VK146" s="5"/>
      <c r="VL146" s="6"/>
      <c r="VM146" s="4"/>
      <c r="VN146" s="4"/>
      <c r="VO146" s="4"/>
      <c r="VP146" s="4"/>
      <c r="VQ146" s="4"/>
      <c r="VR146" s="5"/>
      <c r="VS146" s="6"/>
      <c r="VT146" s="4"/>
      <c r="VU146" s="4"/>
      <c r="VV146" s="4"/>
      <c r="VW146" s="4"/>
      <c r="VX146" s="4"/>
      <c r="VY146" s="5"/>
      <c r="VZ146" s="6"/>
      <c r="WA146" s="4"/>
      <c r="WB146" s="4"/>
      <c r="WC146" s="4"/>
      <c r="WD146" s="4"/>
      <c r="WE146" s="4"/>
      <c r="WF146" s="5"/>
      <c r="WG146" s="6"/>
      <c r="WH146" s="4"/>
      <c r="WI146" s="4"/>
      <c r="WJ146" s="4"/>
      <c r="WK146" s="4"/>
      <c r="WL146" s="4"/>
      <c r="WM146" s="5"/>
      <c r="WN146" s="6"/>
      <c r="WO146" s="4"/>
      <c r="WP146" s="4"/>
      <c r="WQ146" s="4"/>
      <c r="WR146" s="4"/>
      <c r="WS146" s="4"/>
      <c r="WT146" s="5"/>
      <c r="WU146" s="6"/>
      <c r="WV146" s="4"/>
      <c r="WW146" s="4"/>
      <c r="WX146" s="4"/>
      <c r="WY146" s="4"/>
      <c r="WZ146" s="4"/>
      <c r="XA146" s="5"/>
      <c r="XB146" s="6"/>
      <c r="XC146" s="4"/>
      <c r="XD146" s="4"/>
      <c r="XE146" s="4"/>
      <c r="XF146" s="4"/>
      <c r="XG146" s="4"/>
      <c r="XH146" s="5"/>
      <c r="XI146" s="6"/>
      <c r="XJ146" s="4"/>
      <c r="XK146" s="4"/>
      <c r="XL146" s="4"/>
      <c r="XM146" s="4"/>
      <c r="XN146" s="4"/>
      <c r="XO146" s="5"/>
      <c r="XP146" s="6"/>
      <c r="XQ146" s="4"/>
      <c r="XR146" s="4"/>
      <c r="XS146" s="4"/>
      <c r="XT146" s="4"/>
      <c r="XU146" s="4"/>
      <c r="XV146" s="5"/>
      <c r="XW146" s="6"/>
      <c r="XX146" s="4"/>
      <c r="XY146" s="4"/>
      <c r="XZ146" s="4"/>
      <c r="YA146" s="4"/>
      <c r="YB146" s="4"/>
      <c r="YC146" s="5"/>
      <c r="YD146" s="6"/>
      <c r="YE146" s="4"/>
      <c r="YF146" s="4"/>
      <c r="YG146" s="4"/>
      <c r="YH146" s="4"/>
      <c r="YI146" s="4"/>
      <c r="YJ146" s="5"/>
      <c r="YK146" s="6"/>
      <c r="YL146" s="4"/>
      <c r="YM146" s="4"/>
      <c r="YN146" s="4"/>
      <c r="YO146" s="4"/>
      <c r="YP146" s="4"/>
      <c r="YQ146" s="5"/>
      <c r="YR146" s="6"/>
      <c r="YS146" s="4"/>
      <c r="YT146" s="4"/>
      <c r="YU146" s="4"/>
      <c r="YV146" s="4"/>
      <c r="YW146" s="4"/>
      <c r="YX146" s="5"/>
      <c r="YY146" s="6"/>
      <c r="YZ146" s="4"/>
      <c r="ZA146" s="4"/>
      <c r="ZB146" s="4"/>
      <c r="ZC146" s="4"/>
      <c r="ZD146" s="4"/>
      <c r="ZE146" s="5"/>
      <c r="ZF146" s="6"/>
      <c r="ZG146" s="4"/>
      <c r="ZH146" s="4"/>
      <c r="ZI146" s="4"/>
      <c r="ZJ146" s="4"/>
      <c r="ZK146" s="4"/>
      <c r="ZL146" s="5"/>
      <c r="ZM146" s="6"/>
      <c r="ZN146" s="4"/>
      <c r="ZO146" s="4"/>
      <c r="ZP146" s="4"/>
      <c r="ZQ146" s="4"/>
      <c r="ZR146" s="4"/>
      <c r="ZS146" s="5"/>
      <c r="ZT146" s="6"/>
      <c r="ZU146" s="4"/>
      <c r="ZV146" s="4"/>
      <c r="ZW146" s="4"/>
      <c r="ZX146" s="4"/>
      <c r="ZY146" s="4"/>
      <c r="ZZ146" s="5"/>
      <c r="AAA146" s="6"/>
      <c r="AAB146" s="4"/>
      <c r="AAC146" s="4"/>
      <c r="AAD146" s="4"/>
      <c r="AAE146" s="4"/>
      <c r="AAF146" s="4"/>
      <c r="AAG146" s="5"/>
      <c r="AAH146" s="6"/>
      <c r="AAI146" s="4"/>
      <c r="AAJ146" s="4"/>
      <c r="AAK146" s="4"/>
      <c r="AAL146" s="4"/>
      <c r="AAM146" s="4"/>
      <c r="AAN146" s="5"/>
      <c r="AAO146" s="6"/>
      <c r="AAP146" s="4"/>
      <c r="AAQ146" s="4"/>
      <c r="AAR146" s="4"/>
      <c r="AAS146" s="4"/>
      <c r="AAT146" s="4"/>
      <c r="AAU146" s="5"/>
      <c r="AAV146" s="6"/>
      <c r="AAW146" s="4"/>
      <c r="AAX146" s="4"/>
      <c r="AAY146" s="4"/>
      <c r="AAZ146" s="4"/>
      <c r="ABA146" s="4"/>
      <c r="ABB146" s="5"/>
      <c r="ABC146" s="6"/>
      <c r="ABD146" s="4"/>
      <c r="ABE146" s="4"/>
      <c r="ABF146" s="4"/>
      <c r="ABG146" s="4"/>
      <c r="ABH146" s="4"/>
      <c r="ABI146" s="5"/>
      <c r="ABJ146" s="6"/>
      <c r="ABK146" s="4"/>
      <c r="ABL146" s="4"/>
      <c r="ABM146" s="4"/>
      <c r="ABN146" s="4"/>
      <c r="ABO146" s="4"/>
      <c r="ABP146" s="5"/>
      <c r="ABQ146" s="6"/>
      <c r="ABR146" s="4"/>
      <c r="ABS146" s="4"/>
      <c r="ABT146" s="4"/>
      <c r="ABU146" s="4"/>
      <c r="ABV146" s="4"/>
      <c r="ABW146" s="5"/>
      <c r="ABX146" s="6"/>
      <c r="ABY146" s="4"/>
      <c r="ABZ146" s="4"/>
      <c r="ACA146" s="4"/>
      <c r="ACB146" s="4"/>
      <c r="ACC146" s="4"/>
      <c r="ACD146" s="5"/>
      <c r="ACE146" s="6"/>
      <c r="ACF146" s="4"/>
      <c r="ACG146" s="4"/>
      <c r="ACH146" s="4"/>
      <c r="ACI146" s="4"/>
      <c r="ACJ146" s="4"/>
      <c r="ACK146" s="5"/>
      <c r="ACL146" s="6"/>
      <c r="ACM146" s="4"/>
      <c r="ACN146" s="4"/>
      <c r="ACO146" s="4"/>
      <c r="ACP146" s="4"/>
      <c r="ACQ146" s="4"/>
      <c r="ACR146" s="5"/>
      <c r="ACS146" s="6"/>
      <c r="ACT146" s="4"/>
      <c r="ACU146" s="4"/>
      <c r="ACV146" s="4"/>
      <c r="ACW146" s="4"/>
      <c r="ACX146" s="4"/>
      <c r="ACY146" s="5"/>
    </row>
    <row r="147" spans="2:779" x14ac:dyDescent="0.25">
      <c r="B147" s="29">
        <v>97002136</v>
      </c>
      <c r="C147">
        <v>71</v>
      </c>
      <c r="D147" t="s">
        <v>3730</v>
      </c>
      <c r="F147" s="23" t="s">
        <v>1781</v>
      </c>
      <c r="I147">
        <v>1</v>
      </c>
      <c r="J147" s="19">
        <v>35271</v>
      </c>
      <c r="K147" s="19"/>
      <c r="L147" s="19"/>
      <c r="Y147">
        <v>1</v>
      </c>
      <c r="BU147">
        <v>1</v>
      </c>
      <c r="LL147" s="6"/>
      <c r="LM147" s="4"/>
      <c r="LN147" s="4"/>
      <c r="LO147" s="4"/>
      <c r="LP147" s="4"/>
      <c r="LQ147" s="4"/>
      <c r="LR147" s="5"/>
      <c r="LS147" s="6"/>
      <c r="LT147" s="4"/>
      <c r="LU147" s="4"/>
      <c r="LV147" s="4"/>
      <c r="LW147" s="4"/>
      <c r="LX147" s="4"/>
      <c r="LY147" s="5"/>
      <c r="LZ147" s="6" t="s">
        <v>2259</v>
      </c>
      <c r="MA147" s="7" t="s">
        <v>2254</v>
      </c>
      <c r="MB147" s="4"/>
      <c r="MC147" s="4"/>
      <c r="MD147" s="8"/>
      <c r="ME147" s="4"/>
      <c r="MF147" s="4"/>
      <c r="MG147" s="5"/>
      <c r="MH147" s="6"/>
      <c r="MI147" s="4"/>
      <c r="MJ147" s="4"/>
      <c r="MK147" s="4"/>
      <c r="ML147" s="4"/>
      <c r="MM147" s="4"/>
      <c r="MN147" s="5"/>
      <c r="MO147" s="6"/>
      <c r="MP147" s="4"/>
      <c r="MQ147" s="4"/>
      <c r="MR147" s="4"/>
      <c r="MS147" s="4"/>
      <c r="MT147" s="4"/>
      <c r="MU147" s="5"/>
      <c r="MV147" s="6"/>
      <c r="MW147" s="4"/>
      <c r="MX147" s="4"/>
      <c r="MY147" s="4"/>
      <c r="MZ147" s="4"/>
      <c r="NA147" s="4"/>
      <c r="NB147" s="5"/>
      <c r="NC147" s="6"/>
      <c r="ND147" s="4"/>
      <c r="NE147" s="4"/>
      <c r="NF147" s="4"/>
      <c r="NG147" s="4"/>
      <c r="NH147" s="4"/>
      <c r="NI147" s="5"/>
      <c r="NJ147" s="6"/>
      <c r="NK147" s="4"/>
      <c r="NL147" s="4"/>
      <c r="NM147" s="4"/>
      <c r="NN147" s="4"/>
      <c r="NO147" s="4"/>
      <c r="NP147" s="5"/>
      <c r="NQ147" s="6"/>
      <c r="NR147" s="4"/>
      <c r="NS147" s="4"/>
      <c r="NT147" s="4"/>
      <c r="NU147" s="4"/>
      <c r="NV147" s="4"/>
      <c r="NW147" s="5"/>
      <c r="NX147" s="6"/>
      <c r="NY147" s="4"/>
      <c r="NZ147" s="4"/>
      <c r="OA147" s="4"/>
      <c r="OB147" s="4"/>
      <c r="OC147" s="4"/>
      <c r="OD147" s="5"/>
      <c r="OE147" s="6"/>
      <c r="OF147" s="4"/>
      <c r="OG147" s="4"/>
      <c r="OH147" s="4"/>
      <c r="OI147" s="4"/>
      <c r="OJ147" s="4"/>
      <c r="OK147" s="5"/>
      <c r="OL147" s="6"/>
      <c r="OM147" s="4"/>
      <c r="ON147" s="4"/>
      <c r="OO147" s="4"/>
      <c r="OP147" s="4"/>
      <c r="OQ147" s="4"/>
      <c r="OR147" s="5"/>
      <c r="OS147" s="6"/>
      <c r="OT147" s="4"/>
      <c r="OU147" s="4"/>
      <c r="OV147" s="4"/>
      <c r="OW147" s="4"/>
      <c r="OX147" s="4"/>
      <c r="OY147" s="5"/>
      <c r="OZ147" s="6"/>
      <c r="PA147" s="4"/>
      <c r="PB147" s="4"/>
      <c r="PC147" s="4"/>
      <c r="PD147" s="4"/>
      <c r="PE147" s="4"/>
      <c r="PF147" s="5"/>
      <c r="PG147" s="6"/>
      <c r="PH147" s="4"/>
      <c r="PI147" s="4"/>
      <c r="PJ147" s="4"/>
      <c r="PK147" s="4"/>
      <c r="PL147" s="4"/>
      <c r="PM147" s="5"/>
      <c r="PN147" s="6"/>
      <c r="PO147" s="4"/>
      <c r="PP147" s="4"/>
      <c r="PQ147" s="4"/>
      <c r="PR147" s="4"/>
      <c r="PS147" s="4"/>
      <c r="PT147" s="5"/>
      <c r="PU147" s="6"/>
      <c r="PV147" s="4"/>
      <c r="PW147" s="4"/>
      <c r="PX147" s="4"/>
      <c r="PY147" s="4"/>
      <c r="PZ147" s="4"/>
      <c r="QA147" s="5"/>
      <c r="QB147" s="6"/>
      <c r="QC147" s="4"/>
      <c r="QD147" s="4"/>
      <c r="QE147" s="4"/>
      <c r="QF147" s="4"/>
      <c r="QG147" s="4"/>
      <c r="QH147" s="5"/>
      <c r="QI147" s="6"/>
      <c r="QJ147" s="4"/>
      <c r="QK147" s="4"/>
      <c r="QL147" s="4"/>
      <c r="QM147" s="4"/>
      <c r="QN147" s="4"/>
      <c r="QO147" s="5"/>
      <c r="QP147" s="6"/>
      <c r="QQ147" s="4"/>
      <c r="QR147" s="4"/>
      <c r="QS147" s="4"/>
      <c r="QT147" s="4"/>
      <c r="QU147" s="4"/>
      <c r="QV147" s="5"/>
      <c r="QW147" s="6"/>
      <c r="QX147" s="4"/>
      <c r="QY147" s="4"/>
      <c r="QZ147" s="4"/>
      <c r="RA147" s="4"/>
      <c r="RB147" s="4"/>
      <c r="RC147" s="5"/>
      <c r="RD147" s="6"/>
      <c r="RE147" s="4"/>
      <c r="RF147" s="4"/>
      <c r="RG147" s="4"/>
      <c r="RH147" s="4"/>
      <c r="RI147" s="4"/>
      <c r="RJ147" s="5"/>
      <c r="RK147" s="6"/>
      <c r="RL147" s="4"/>
      <c r="RM147" s="4"/>
      <c r="RN147" s="4"/>
      <c r="RO147" s="4"/>
      <c r="RP147" s="4"/>
      <c r="RQ147" s="5"/>
      <c r="RR147" s="6"/>
      <c r="RS147" s="4"/>
      <c r="RT147" s="4"/>
      <c r="RU147" s="4"/>
      <c r="RV147" s="4"/>
      <c r="RW147" s="4"/>
      <c r="RX147" s="5"/>
      <c r="RY147" s="6"/>
      <c r="RZ147" s="4"/>
      <c r="SA147" s="4"/>
      <c r="SB147" s="4"/>
      <c r="SC147" s="4"/>
      <c r="SD147" s="4"/>
      <c r="SE147" s="5"/>
      <c r="SF147" s="6"/>
      <c r="SG147" s="4"/>
      <c r="SH147" s="4"/>
      <c r="SI147" s="4"/>
      <c r="SJ147" s="4"/>
      <c r="SK147" s="4"/>
      <c r="SL147" s="5"/>
      <c r="SM147" s="6"/>
      <c r="SN147" s="4"/>
      <c r="SO147" s="4"/>
      <c r="SP147" s="4"/>
      <c r="SQ147" s="4"/>
      <c r="SR147" s="4"/>
      <c r="SS147" s="5"/>
      <c r="ST147" s="6"/>
      <c r="SU147" s="4"/>
      <c r="SV147" s="4"/>
      <c r="SW147" s="4"/>
      <c r="SX147" s="4"/>
      <c r="SY147" s="4"/>
      <c r="SZ147" s="5"/>
      <c r="TA147" s="6"/>
      <c r="TB147" s="4"/>
      <c r="TC147" s="4"/>
      <c r="TD147" s="4"/>
      <c r="TE147" s="4"/>
      <c r="TF147" s="4"/>
      <c r="TG147" s="5"/>
      <c r="TH147" s="6"/>
      <c r="TI147" s="4"/>
      <c r="TJ147" s="4"/>
      <c r="TK147" s="4"/>
      <c r="TL147" s="4"/>
      <c r="TM147" s="4"/>
      <c r="TN147" s="5"/>
      <c r="TO147" s="6"/>
      <c r="TP147" s="4"/>
      <c r="TQ147" s="4"/>
      <c r="TR147" s="4"/>
      <c r="TS147" s="4"/>
      <c r="TT147" s="4"/>
      <c r="TU147" s="5"/>
      <c r="TV147" s="6"/>
      <c r="TW147" s="4"/>
      <c r="TX147" s="4"/>
      <c r="TY147" s="4"/>
      <c r="TZ147" s="4"/>
      <c r="UA147" s="4"/>
      <c r="UB147" s="5"/>
      <c r="UC147" s="6"/>
      <c r="UD147" s="4"/>
      <c r="UE147" s="4"/>
      <c r="UF147" s="4"/>
      <c r="UG147" s="4"/>
      <c r="UH147" s="4"/>
      <c r="UI147" s="5"/>
      <c r="UJ147" s="6"/>
      <c r="UK147" s="4"/>
      <c r="UL147" s="4"/>
      <c r="UM147" s="4"/>
      <c r="UN147" s="4"/>
      <c r="UO147" s="4"/>
      <c r="UP147" s="5"/>
      <c r="UQ147" s="6"/>
      <c r="UR147" s="4"/>
      <c r="US147" s="4"/>
      <c r="UT147" s="4"/>
      <c r="UU147" s="4"/>
      <c r="UV147" s="4"/>
      <c r="UW147" s="5"/>
      <c r="UX147" s="6" t="s">
        <v>2255</v>
      </c>
      <c r="UY147" s="4" t="s">
        <v>2086</v>
      </c>
      <c r="UZ147" s="4"/>
      <c r="VA147" s="4"/>
      <c r="VB147" s="4"/>
      <c r="VC147" s="4"/>
      <c r="VD147" s="5" t="s">
        <v>2087</v>
      </c>
      <c r="VE147" s="6"/>
      <c r="VF147" s="4"/>
      <c r="VG147" s="4"/>
      <c r="VH147" s="4"/>
      <c r="VI147" s="4"/>
      <c r="VJ147" s="4"/>
      <c r="VK147" s="5"/>
      <c r="VL147" s="6"/>
      <c r="VM147" s="4"/>
      <c r="VN147" s="4"/>
      <c r="VO147" s="4"/>
      <c r="VP147" s="4"/>
      <c r="VQ147" s="4"/>
      <c r="VR147" s="5"/>
      <c r="VS147" s="6"/>
      <c r="VT147" s="4"/>
      <c r="VU147" s="4"/>
      <c r="VV147" s="4"/>
      <c r="VW147" s="4"/>
      <c r="VX147" s="4"/>
      <c r="VY147" s="5"/>
      <c r="VZ147" s="6"/>
      <c r="WA147" s="4"/>
      <c r="WB147" s="4"/>
      <c r="WC147" s="4"/>
      <c r="WD147" s="4"/>
      <c r="WE147" s="4"/>
      <c r="WF147" s="5"/>
      <c r="WG147" s="6"/>
      <c r="WH147" s="4"/>
      <c r="WI147" s="4"/>
      <c r="WJ147" s="4"/>
      <c r="WK147" s="4"/>
      <c r="WL147" s="4"/>
      <c r="WM147" s="5"/>
      <c r="WN147" s="6"/>
      <c r="WO147" s="4"/>
      <c r="WP147" s="4"/>
      <c r="WQ147" s="4"/>
      <c r="WR147" s="4"/>
      <c r="WS147" s="4"/>
      <c r="WT147" s="5"/>
      <c r="WU147" s="6"/>
      <c r="WV147" s="4"/>
      <c r="WW147" s="4"/>
      <c r="WX147" s="4"/>
      <c r="WY147" s="4"/>
      <c r="WZ147" s="4"/>
      <c r="XA147" s="5"/>
      <c r="XB147" s="6"/>
      <c r="XC147" s="4"/>
      <c r="XD147" s="4"/>
      <c r="XE147" s="4"/>
      <c r="XF147" s="4"/>
      <c r="XG147" s="4"/>
      <c r="XH147" s="5"/>
      <c r="XI147" s="6"/>
      <c r="XJ147" s="4"/>
      <c r="XK147" s="4"/>
      <c r="XL147" s="4"/>
      <c r="XM147" s="4"/>
      <c r="XN147" s="4"/>
      <c r="XO147" s="5"/>
      <c r="XP147" s="6"/>
      <c r="XQ147" s="4"/>
      <c r="XR147" s="4"/>
      <c r="XS147" s="4"/>
      <c r="XT147" s="4"/>
      <c r="XU147" s="4"/>
      <c r="XV147" s="5"/>
      <c r="XW147" s="6"/>
      <c r="XX147" s="4"/>
      <c r="XY147" s="4"/>
      <c r="XZ147" s="4"/>
      <c r="YA147" s="4"/>
      <c r="YB147" s="4"/>
      <c r="YC147" s="5"/>
      <c r="YD147" s="6"/>
      <c r="YE147" s="4"/>
      <c r="YF147" s="4"/>
      <c r="YG147" s="4"/>
      <c r="YH147" s="4"/>
      <c r="YI147" s="4"/>
      <c r="YJ147" s="5"/>
      <c r="YK147" s="6"/>
      <c r="YL147" s="4"/>
      <c r="YM147" s="4"/>
      <c r="YN147" s="4"/>
      <c r="YO147" s="4"/>
      <c r="YP147" s="4"/>
      <c r="YQ147" s="5"/>
      <c r="YR147" s="6"/>
      <c r="YS147" s="4"/>
      <c r="YT147" s="4"/>
      <c r="YU147" s="4"/>
      <c r="YV147" s="4"/>
      <c r="YW147" s="4"/>
      <c r="YX147" s="5"/>
      <c r="YY147" s="6"/>
      <c r="YZ147" s="4"/>
      <c r="ZA147" s="4"/>
      <c r="ZB147" s="4"/>
      <c r="ZC147" s="4"/>
      <c r="ZD147" s="4"/>
      <c r="ZE147" s="5"/>
      <c r="ZF147" s="6"/>
      <c r="ZG147" s="4"/>
      <c r="ZH147" s="4"/>
      <c r="ZI147" s="4"/>
      <c r="ZJ147" s="4"/>
      <c r="ZK147" s="4"/>
      <c r="ZL147" s="5"/>
      <c r="ZM147" s="6"/>
      <c r="ZN147" s="4"/>
      <c r="ZO147" s="4"/>
      <c r="ZP147" s="4"/>
      <c r="ZQ147" s="4"/>
      <c r="ZR147" s="4"/>
      <c r="ZS147" s="5"/>
      <c r="ZT147" s="6"/>
      <c r="ZU147" s="4"/>
      <c r="ZV147" s="4"/>
      <c r="ZW147" s="4"/>
      <c r="ZX147" s="4"/>
      <c r="ZY147" s="4"/>
      <c r="ZZ147" s="5"/>
      <c r="AAA147" s="6"/>
      <c r="AAB147" s="4"/>
      <c r="AAC147" s="4"/>
      <c r="AAD147" s="4"/>
      <c r="AAE147" s="4"/>
      <c r="AAF147" s="4"/>
      <c r="AAG147" s="5"/>
      <c r="AAH147" s="6"/>
      <c r="AAI147" s="4"/>
      <c r="AAJ147" s="4"/>
      <c r="AAK147" s="4"/>
      <c r="AAL147" s="4"/>
      <c r="AAM147" s="4"/>
      <c r="AAN147" s="5"/>
      <c r="AAO147" s="6"/>
      <c r="AAP147" s="4"/>
      <c r="AAQ147" s="4"/>
      <c r="AAR147" s="4"/>
      <c r="AAS147" s="4"/>
      <c r="AAT147" s="4"/>
      <c r="AAU147" s="5"/>
      <c r="AAV147" s="6"/>
      <c r="AAW147" s="4"/>
      <c r="AAX147" s="4"/>
      <c r="AAY147" s="4"/>
      <c r="AAZ147" s="4"/>
      <c r="ABA147" s="4"/>
      <c r="ABB147" s="5"/>
      <c r="ABC147" s="6"/>
      <c r="ABD147" s="4"/>
      <c r="ABE147" s="4"/>
      <c r="ABF147" s="4"/>
      <c r="ABG147" s="4"/>
      <c r="ABH147" s="4"/>
      <c r="ABI147" s="5"/>
      <c r="ABJ147" s="6"/>
      <c r="ABK147" s="4"/>
      <c r="ABL147" s="4"/>
      <c r="ABM147" s="4"/>
      <c r="ABN147" s="4"/>
      <c r="ABO147" s="4"/>
      <c r="ABP147" s="5"/>
      <c r="ABQ147" s="6"/>
      <c r="ABR147" s="4"/>
      <c r="ABS147" s="4"/>
      <c r="ABT147" s="4"/>
      <c r="ABU147" s="4"/>
      <c r="ABV147" s="4"/>
      <c r="ABW147" s="5"/>
      <c r="ABX147" s="6"/>
      <c r="ABY147" s="4"/>
      <c r="ABZ147" s="4"/>
      <c r="ACA147" s="4"/>
      <c r="ACB147" s="4"/>
      <c r="ACC147" s="4"/>
      <c r="ACD147" s="5"/>
      <c r="ACE147" s="6"/>
      <c r="ACF147" s="4"/>
      <c r="ACG147" s="4"/>
      <c r="ACH147" s="4"/>
      <c r="ACI147" s="4"/>
      <c r="ACJ147" s="4"/>
      <c r="ACK147" s="5"/>
      <c r="ACL147" s="6"/>
      <c r="ACM147" s="4"/>
      <c r="ACN147" s="4"/>
      <c r="ACO147" s="4"/>
      <c r="ACP147" s="4"/>
      <c r="ACQ147" s="4"/>
      <c r="ACR147" s="5"/>
      <c r="ACS147" s="6"/>
      <c r="ACT147" s="4"/>
      <c r="ACU147" s="4"/>
      <c r="ACV147" s="4"/>
      <c r="ACW147" s="4"/>
      <c r="ACX147" s="4"/>
      <c r="ACY147" s="5"/>
    </row>
    <row r="148" spans="2:779" x14ac:dyDescent="0.25">
      <c r="B148" s="29">
        <v>97006279</v>
      </c>
      <c r="C148">
        <v>83</v>
      </c>
      <c r="D148" t="s">
        <v>3729</v>
      </c>
      <c r="F148" s="23" t="s">
        <v>1784</v>
      </c>
      <c r="I148">
        <v>1</v>
      </c>
      <c r="J148" s="19">
        <v>34966</v>
      </c>
      <c r="K148" s="19"/>
      <c r="L148" s="19"/>
      <c r="M148">
        <v>1</v>
      </c>
      <c r="N148" s="17">
        <v>34966</v>
      </c>
      <c r="X148">
        <v>1</v>
      </c>
      <c r="AJ148">
        <v>1</v>
      </c>
      <c r="LL148" s="6"/>
      <c r="LM148" s="4"/>
      <c r="LN148" s="4"/>
      <c r="LO148" s="4"/>
      <c r="LP148" s="4"/>
      <c r="LQ148" s="4"/>
      <c r="LR148" s="5"/>
      <c r="LS148" s="6"/>
      <c r="LT148" s="4"/>
      <c r="LU148" s="4"/>
      <c r="LV148" s="4"/>
      <c r="LW148" s="4"/>
      <c r="LX148" s="4"/>
      <c r="LY148" s="5"/>
      <c r="LZ148" s="6" t="s">
        <v>2332</v>
      </c>
      <c r="MA148" s="7" t="s">
        <v>2159</v>
      </c>
      <c r="MB148" s="4"/>
      <c r="MC148" s="4"/>
      <c r="MD148" s="8"/>
      <c r="ME148" s="4"/>
      <c r="MF148" s="4"/>
      <c r="MG148" s="5"/>
      <c r="MH148" s="6"/>
      <c r="MI148" s="4"/>
      <c r="MJ148" s="4"/>
      <c r="MK148" s="4"/>
      <c r="ML148" s="4"/>
      <c r="MM148" s="4"/>
      <c r="MN148" s="5"/>
      <c r="MO148" s="6"/>
      <c r="MP148" s="4"/>
      <c r="MQ148" s="4"/>
      <c r="MR148" s="4"/>
      <c r="MS148" s="4"/>
      <c r="MT148" s="4"/>
      <c r="MU148" s="5"/>
      <c r="MV148" s="6"/>
      <c r="MW148" s="4"/>
      <c r="MX148" s="4"/>
      <c r="MY148" s="4"/>
      <c r="MZ148" s="4"/>
      <c r="NA148" s="4"/>
      <c r="NB148" s="5"/>
      <c r="NC148" s="6"/>
      <c r="ND148" s="4"/>
      <c r="NE148" s="4"/>
      <c r="NF148" s="4"/>
      <c r="NG148" s="4"/>
      <c r="NH148" s="4"/>
      <c r="NI148" s="5"/>
      <c r="NJ148" s="6"/>
      <c r="NK148" s="4"/>
      <c r="NL148" s="4"/>
      <c r="NM148" s="4"/>
      <c r="NN148" s="4"/>
      <c r="NO148" s="4"/>
      <c r="NP148" s="5"/>
      <c r="NQ148" s="6"/>
      <c r="NR148" s="4"/>
      <c r="NS148" s="4"/>
      <c r="NT148" s="4"/>
      <c r="NU148" s="4"/>
      <c r="NV148" s="4"/>
      <c r="NW148" s="5"/>
      <c r="NX148" s="6"/>
      <c r="NY148" s="4"/>
      <c r="NZ148" s="4"/>
      <c r="OA148" s="4"/>
      <c r="OB148" s="4"/>
      <c r="OC148" s="4"/>
      <c r="OD148" s="5"/>
      <c r="OE148" s="6"/>
      <c r="OF148" s="4"/>
      <c r="OG148" s="4"/>
      <c r="OH148" s="4"/>
      <c r="OI148" s="4"/>
      <c r="OJ148" s="4"/>
      <c r="OK148" s="5"/>
      <c r="OL148" s="6"/>
      <c r="OM148" s="4"/>
      <c r="ON148" s="4"/>
      <c r="OO148" s="4"/>
      <c r="OP148" s="4"/>
      <c r="OQ148" s="4"/>
      <c r="OR148" s="5"/>
      <c r="OS148" s="6"/>
      <c r="OT148" s="4"/>
      <c r="OU148" s="4"/>
      <c r="OV148" s="4"/>
      <c r="OW148" s="4"/>
      <c r="OX148" s="4"/>
      <c r="OY148" s="5"/>
      <c r="OZ148" s="6"/>
      <c r="PA148" s="4"/>
      <c r="PB148" s="4"/>
      <c r="PC148" s="4"/>
      <c r="PD148" s="4"/>
      <c r="PE148" s="4"/>
      <c r="PF148" s="5"/>
      <c r="PG148" s="6"/>
      <c r="PH148" s="4"/>
      <c r="PI148" s="4"/>
      <c r="PJ148" s="4"/>
      <c r="PK148" s="4"/>
      <c r="PL148" s="4"/>
      <c r="PM148" s="5"/>
      <c r="PN148" s="6"/>
      <c r="PO148" s="4"/>
      <c r="PP148" s="4"/>
      <c r="PQ148" s="4"/>
      <c r="PR148" s="4"/>
      <c r="PS148" s="4"/>
      <c r="PT148" s="5"/>
      <c r="PU148" s="6"/>
      <c r="PV148" s="4"/>
      <c r="PW148" s="4"/>
      <c r="PX148" s="4"/>
      <c r="PY148" s="4"/>
      <c r="PZ148" s="4"/>
      <c r="QA148" s="5"/>
      <c r="QB148" s="6" t="s">
        <v>2318</v>
      </c>
      <c r="QC148" s="4" t="s">
        <v>2476</v>
      </c>
      <c r="QD148" s="4"/>
      <c r="QE148" s="4"/>
      <c r="QF148" s="4"/>
      <c r="QG148" s="4"/>
      <c r="QH148" s="5"/>
      <c r="QI148" s="6"/>
      <c r="QJ148" s="4"/>
      <c r="QK148" s="4"/>
      <c r="QL148" s="4"/>
      <c r="QM148" s="4"/>
      <c r="QN148" s="4"/>
      <c r="QO148" s="5"/>
      <c r="QP148" s="6"/>
      <c r="QQ148" s="4"/>
      <c r="QR148" s="4"/>
      <c r="QS148" s="4"/>
      <c r="QT148" s="4"/>
      <c r="QU148" s="4"/>
      <c r="QV148" s="5"/>
      <c r="QW148" s="6"/>
      <c r="QX148" s="4"/>
      <c r="QY148" s="4"/>
      <c r="QZ148" s="4"/>
      <c r="RA148" s="4"/>
      <c r="RB148" s="4"/>
      <c r="RC148" s="5"/>
      <c r="RD148" s="6"/>
      <c r="RE148" s="4"/>
      <c r="RF148" s="4"/>
      <c r="RG148" s="4"/>
      <c r="RH148" s="4"/>
      <c r="RI148" s="4"/>
      <c r="RJ148" s="5"/>
      <c r="RK148" s="6"/>
      <c r="RL148" s="4"/>
      <c r="RM148" s="4"/>
      <c r="RN148" s="4"/>
      <c r="RO148" s="4"/>
      <c r="RP148" s="4"/>
      <c r="RQ148" s="5"/>
      <c r="RR148" s="6"/>
      <c r="RS148" s="4"/>
      <c r="RT148" s="4"/>
      <c r="RU148" s="4"/>
      <c r="RV148" s="4"/>
      <c r="RW148" s="4"/>
      <c r="RX148" s="5"/>
      <c r="RY148" s="6"/>
      <c r="RZ148" s="4"/>
      <c r="SA148" s="4"/>
      <c r="SB148" s="4"/>
      <c r="SC148" s="4"/>
      <c r="SD148" s="4"/>
      <c r="SE148" s="5"/>
      <c r="SF148" s="6"/>
      <c r="SG148" s="4"/>
      <c r="SH148" s="4"/>
      <c r="SI148" s="4"/>
      <c r="SJ148" s="4"/>
      <c r="SK148" s="4"/>
      <c r="SL148" s="5"/>
      <c r="SM148" s="6"/>
      <c r="SN148" s="4"/>
      <c r="SO148" s="4"/>
      <c r="SP148" s="4"/>
      <c r="SQ148" s="4"/>
      <c r="SR148" s="4"/>
      <c r="SS148" s="5"/>
      <c r="ST148" s="6"/>
      <c r="SU148" s="4"/>
      <c r="SV148" s="4"/>
      <c r="SW148" s="4"/>
      <c r="SX148" s="4"/>
      <c r="SY148" s="4"/>
      <c r="SZ148" s="5"/>
      <c r="TA148" s="6"/>
      <c r="TB148" s="4"/>
      <c r="TC148" s="4"/>
      <c r="TD148" s="4"/>
      <c r="TE148" s="4"/>
      <c r="TF148" s="4"/>
      <c r="TG148" s="5"/>
      <c r="TH148" s="6"/>
      <c r="TI148" s="4"/>
      <c r="TJ148" s="4"/>
      <c r="TK148" s="4"/>
      <c r="TL148" s="4"/>
      <c r="TM148" s="4"/>
      <c r="TN148" s="5"/>
      <c r="TO148" s="6"/>
      <c r="TP148" s="4"/>
      <c r="TQ148" s="4"/>
      <c r="TR148" s="4"/>
      <c r="TS148" s="4"/>
      <c r="TT148" s="4"/>
      <c r="TU148" s="5"/>
      <c r="TV148" s="6" t="s">
        <v>2160</v>
      </c>
      <c r="TW148" s="4" t="s">
        <v>2363</v>
      </c>
      <c r="TX148" s="4"/>
      <c r="TY148" s="4"/>
      <c r="TZ148" s="4"/>
      <c r="UA148" s="4"/>
      <c r="UB148" s="5"/>
      <c r="UC148" s="6"/>
      <c r="UD148" s="4"/>
      <c r="UE148" s="4"/>
      <c r="UF148" s="4"/>
      <c r="UG148" s="4"/>
      <c r="UH148" s="4"/>
      <c r="UI148" s="5"/>
      <c r="UJ148" s="6"/>
      <c r="UK148" s="4"/>
      <c r="UL148" s="4"/>
      <c r="UM148" s="4"/>
      <c r="UN148" s="4"/>
      <c r="UO148" s="4"/>
      <c r="UP148" s="5"/>
      <c r="UQ148" s="6"/>
      <c r="UR148" s="4"/>
      <c r="US148" s="4"/>
      <c r="UT148" s="4"/>
      <c r="UU148" s="4"/>
      <c r="UV148" s="4"/>
      <c r="UW148" s="5"/>
      <c r="UX148" s="6"/>
      <c r="UY148" s="4"/>
      <c r="UZ148" s="4"/>
      <c r="VA148" s="4"/>
      <c r="VB148" s="4"/>
      <c r="VC148" s="4"/>
      <c r="VD148" s="5"/>
      <c r="VE148" s="6"/>
      <c r="VF148" s="4"/>
      <c r="VG148" s="4"/>
      <c r="VH148" s="4"/>
      <c r="VI148" s="4"/>
      <c r="VJ148" s="4"/>
      <c r="VK148" s="5"/>
      <c r="VL148" s="6"/>
      <c r="VM148" s="4"/>
      <c r="VN148" s="4"/>
      <c r="VO148" s="4"/>
      <c r="VP148" s="4"/>
      <c r="VQ148" s="4"/>
      <c r="VR148" s="5"/>
      <c r="VS148" s="6"/>
      <c r="VT148" s="4"/>
      <c r="VU148" s="4"/>
      <c r="VV148" s="4"/>
      <c r="VW148" s="4"/>
      <c r="VX148" s="4"/>
      <c r="VY148" s="5"/>
      <c r="VZ148" s="6"/>
      <c r="WA148" s="4"/>
      <c r="WB148" s="4"/>
      <c r="WC148" s="4"/>
      <c r="WD148" s="4"/>
      <c r="WE148" s="4"/>
      <c r="WF148" s="5"/>
      <c r="WG148" s="6"/>
      <c r="WH148" s="4"/>
      <c r="WI148" s="4"/>
      <c r="WJ148" s="4"/>
      <c r="WK148" s="4"/>
      <c r="WL148" s="4"/>
      <c r="WM148" s="5"/>
      <c r="WN148" s="6"/>
      <c r="WO148" s="4"/>
      <c r="WP148" s="4"/>
      <c r="WQ148" s="4"/>
      <c r="WR148" s="4"/>
      <c r="WS148" s="4"/>
      <c r="WT148" s="5"/>
      <c r="WU148" s="6"/>
      <c r="WV148" s="4"/>
      <c r="WW148" s="4"/>
      <c r="WX148" s="4"/>
      <c r="WY148" s="4"/>
      <c r="WZ148" s="4"/>
      <c r="XA148" s="5"/>
      <c r="XB148" s="6"/>
      <c r="XC148" s="4"/>
      <c r="XD148" s="4"/>
      <c r="XE148" s="4"/>
      <c r="XF148" s="4"/>
      <c r="XG148" s="4"/>
      <c r="XH148" s="5"/>
      <c r="XI148" s="6"/>
      <c r="XJ148" s="4"/>
      <c r="XK148" s="4"/>
      <c r="XL148" s="4"/>
      <c r="XM148" s="4"/>
      <c r="XN148" s="4"/>
      <c r="XO148" s="5"/>
      <c r="XP148" s="6"/>
      <c r="XQ148" s="4"/>
      <c r="XR148" s="4"/>
      <c r="XS148" s="4"/>
      <c r="XT148" s="4"/>
      <c r="XU148" s="4"/>
      <c r="XV148" s="5"/>
      <c r="XW148" s="6"/>
      <c r="XX148" s="4"/>
      <c r="XY148" s="4"/>
      <c r="XZ148" s="4"/>
      <c r="YA148" s="4"/>
      <c r="YB148" s="4"/>
      <c r="YC148" s="5"/>
      <c r="YD148" s="6"/>
      <c r="YE148" s="4"/>
      <c r="YF148" s="4"/>
      <c r="YG148" s="4"/>
      <c r="YH148" s="4"/>
      <c r="YI148" s="4"/>
      <c r="YJ148" s="5"/>
      <c r="YK148" s="6"/>
      <c r="YL148" s="4"/>
      <c r="YM148" s="4"/>
      <c r="YN148" s="4"/>
      <c r="YO148" s="4"/>
      <c r="YP148" s="4"/>
      <c r="YQ148" s="5"/>
      <c r="YR148" s="6"/>
      <c r="YS148" s="4"/>
      <c r="YT148" s="4"/>
      <c r="YU148" s="4"/>
      <c r="YV148" s="4"/>
      <c r="YW148" s="4"/>
      <c r="YX148" s="5"/>
      <c r="YY148" s="6"/>
      <c r="YZ148" s="4"/>
      <c r="ZA148" s="4"/>
      <c r="ZB148" s="4"/>
      <c r="ZC148" s="4"/>
      <c r="ZD148" s="4"/>
      <c r="ZE148" s="5"/>
      <c r="ZF148" s="6"/>
      <c r="ZG148" s="4"/>
      <c r="ZH148" s="4"/>
      <c r="ZI148" s="4"/>
      <c r="ZJ148" s="4"/>
      <c r="ZK148" s="4"/>
      <c r="ZL148" s="5"/>
      <c r="ZM148" s="6"/>
      <c r="ZN148" s="4"/>
      <c r="ZO148" s="4"/>
      <c r="ZP148" s="4"/>
      <c r="ZQ148" s="4"/>
      <c r="ZR148" s="4"/>
      <c r="ZS148" s="5"/>
      <c r="ZT148" s="6"/>
      <c r="ZU148" s="4"/>
      <c r="ZV148" s="4"/>
      <c r="ZW148" s="4"/>
      <c r="ZX148" s="4"/>
      <c r="ZY148" s="4"/>
      <c r="ZZ148" s="5"/>
      <c r="AAA148" s="6"/>
      <c r="AAB148" s="4"/>
      <c r="AAC148" s="4"/>
      <c r="AAD148" s="4"/>
      <c r="AAE148" s="4"/>
      <c r="AAF148" s="4"/>
      <c r="AAG148" s="5"/>
      <c r="AAH148" s="6"/>
      <c r="AAI148" s="4"/>
      <c r="AAJ148" s="4"/>
      <c r="AAK148" s="4"/>
      <c r="AAL148" s="4"/>
      <c r="AAM148" s="4"/>
      <c r="AAN148" s="5"/>
      <c r="AAO148" s="6"/>
      <c r="AAP148" s="4"/>
      <c r="AAQ148" s="4"/>
      <c r="AAR148" s="4"/>
      <c r="AAS148" s="4"/>
      <c r="AAT148" s="4"/>
      <c r="AAU148" s="5"/>
      <c r="AAV148" s="6"/>
      <c r="AAW148" s="4"/>
      <c r="AAX148" s="4"/>
      <c r="AAY148" s="4"/>
      <c r="AAZ148" s="4"/>
      <c r="ABA148" s="4"/>
      <c r="ABB148" s="5"/>
      <c r="ABC148" s="6"/>
      <c r="ABD148" s="4"/>
      <c r="ABE148" s="4"/>
      <c r="ABF148" s="4"/>
      <c r="ABG148" s="4"/>
      <c r="ABH148" s="4"/>
      <c r="ABI148" s="5"/>
      <c r="ABJ148" s="6"/>
      <c r="ABK148" s="4"/>
      <c r="ABL148" s="4"/>
      <c r="ABM148" s="4"/>
      <c r="ABN148" s="4"/>
      <c r="ABO148" s="4"/>
      <c r="ABP148" s="5"/>
      <c r="ABQ148" s="6"/>
      <c r="ABR148" s="4"/>
      <c r="ABS148" s="4"/>
      <c r="ABT148" s="4"/>
      <c r="ABU148" s="4"/>
      <c r="ABV148" s="4"/>
      <c r="ABW148" s="5"/>
      <c r="ABX148" s="6"/>
      <c r="ABY148" s="4"/>
      <c r="ABZ148" s="4"/>
      <c r="ACA148" s="4"/>
      <c r="ACB148" s="4"/>
      <c r="ACC148" s="4"/>
      <c r="ACD148" s="5"/>
      <c r="ACE148" s="6"/>
      <c r="ACF148" s="4"/>
      <c r="ACG148" s="4"/>
      <c r="ACH148" s="4"/>
      <c r="ACI148" s="4"/>
      <c r="ACJ148" s="4"/>
      <c r="ACK148" s="5"/>
      <c r="ACL148" s="6" t="s">
        <v>2161</v>
      </c>
      <c r="ACM148" s="4" t="s">
        <v>2317</v>
      </c>
      <c r="ACN148" s="4"/>
      <c r="ACO148" s="4"/>
      <c r="ACP148" s="4"/>
      <c r="ACQ148" s="4"/>
      <c r="ACR148" s="5"/>
      <c r="ACS148" s="6"/>
      <c r="ACT148" s="4"/>
      <c r="ACU148" s="4"/>
      <c r="ACV148" s="4"/>
      <c r="ACW148" s="4"/>
      <c r="ACX148" s="4"/>
      <c r="ACY148" s="5"/>
    </row>
    <row r="149" spans="2:779" x14ac:dyDescent="0.25">
      <c r="B149" s="49">
        <v>97006350</v>
      </c>
      <c r="C149">
        <v>26</v>
      </c>
      <c r="D149" t="s">
        <v>455</v>
      </c>
      <c r="F149" s="23" t="s">
        <v>1781</v>
      </c>
      <c r="J149" s="12"/>
      <c r="K149" s="12"/>
      <c r="L149" s="12"/>
      <c r="M149">
        <v>1</v>
      </c>
      <c r="N149" s="17">
        <v>34974</v>
      </c>
      <c r="LL149" s="6"/>
      <c r="LM149" s="4"/>
      <c r="LN149" s="4"/>
      <c r="LO149" s="4"/>
      <c r="LP149" s="4"/>
      <c r="LQ149" s="4"/>
      <c r="LR149" s="5"/>
      <c r="LS149" s="6"/>
      <c r="LT149" s="4"/>
      <c r="LU149" s="4"/>
      <c r="LV149" s="4"/>
      <c r="LW149" s="4"/>
      <c r="LX149" s="4"/>
      <c r="LY149" s="5"/>
      <c r="LZ149" s="6" t="s">
        <v>3194</v>
      </c>
      <c r="MA149" s="7" t="s">
        <v>2375</v>
      </c>
      <c r="MB149" s="4"/>
      <c r="MC149" s="4"/>
      <c r="MD149" s="8"/>
      <c r="ME149" s="4"/>
      <c r="MF149" s="4" t="s">
        <v>456</v>
      </c>
      <c r="MG149" s="5"/>
      <c r="MH149" s="6"/>
      <c r="MI149" s="4"/>
      <c r="MJ149" s="4"/>
      <c r="MK149" s="4"/>
      <c r="ML149" s="4"/>
      <c r="MM149" s="4"/>
      <c r="MN149" s="5"/>
      <c r="MO149" s="6"/>
      <c r="MP149" s="4"/>
      <c r="MQ149" s="4"/>
      <c r="MR149" s="4"/>
      <c r="MS149" s="4"/>
      <c r="MT149" s="4"/>
      <c r="MU149" s="5"/>
      <c r="MV149" s="6"/>
      <c r="MW149" s="4"/>
      <c r="MX149" s="4"/>
      <c r="MY149" s="4"/>
      <c r="MZ149" s="4"/>
      <c r="NA149" s="4"/>
      <c r="NB149" s="5"/>
      <c r="NC149" s="6"/>
      <c r="ND149" s="4"/>
      <c r="NE149" s="4"/>
      <c r="NF149" s="4"/>
      <c r="NG149" s="4"/>
      <c r="NH149" s="4"/>
      <c r="NI149" s="5"/>
      <c r="NJ149" s="6"/>
      <c r="NK149" s="4"/>
      <c r="NL149" s="4"/>
      <c r="NM149" s="4"/>
      <c r="NN149" s="4"/>
      <c r="NO149" s="4"/>
      <c r="NP149" s="5"/>
      <c r="NQ149" s="6"/>
      <c r="NR149" s="4"/>
      <c r="NS149" s="4"/>
      <c r="NT149" s="4"/>
      <c r="NU149" s="4"/>
      <c r="NV149" s="4"/>
      <c r="NW149" s="5"/>
      <c r="NX149" s="6"/>
      <c r="NY149" s="4"/>
      <c r="NZ149" s="4"/>
      <c r="OA149" s="4"/>
      <c r="OB149" s="4"/>
      <c r="OC149" s="4"/>
      <c r="OD149" s="5"/>
      <c r="OE149" s="6"/>
      <c r="OF149" s="4"/>
      <c r="OG149" s="4"/>
      <c r="OH149" s="4"/>
      <c r="OI149" s="4"/>
      <c r="OJ149" s="4"/>
      <c r="OK149" s="5"/>
      <c r="OL149" s="6"/>
      <c r="OM149" s="4"/>
      <c r="ON149" s="4"/>
      <c r="OO149" s="4"/>
      <c r="OP149" s="4"/>
      <c r="OQ149" s="4"/>
      <c r="OR149" s="5"/>
      <c r="OS149" s="6"/>
      <c r="OT149" s="4"/>
      <c r="OU149" s="4"/>
      <c r="OV149" s="4"/>
      <c r="OW149" s="4"/>
      <c r="OX149" s="4"/>
      <c r="OY149" s="5"/>
      <c r="OZ149" s="6" t="s">
        <v>2171</v>
      </c>
      <c r="PA149" s="4" t="s">
        <v>2171</v>
      </c>
      <c r="PB149" s="4"/>
      <c r="PC149" s="4"/>
      <c r="PD149" s="4"/>
      <c r="PE149" s="4"/>
      <c r="PF149" s="5"/>
      <c r="PG149" s="6"/>
      <c r="PH149" s="4"/>
      <c r="PI149" s="4"/>
      <c r="PJ149" s="4"/>
      <c r="PK149" s="4"/>
      <c r="PL149" s="4"/>
      <c r="PM149" s="5"/>
      <c r="PN149" s="6"/>
      <c r="PO149" s="4"/>
      <c r="PP149" s="4"/>
      <c r="PQ149" s="4"/>
      <c r="PR149" s="4"/>
      <c r="PS149" s="4"/>
      <c r="PT149" s="5"/>
      <c r="PU149" s="6"/>
      <c r="PV149" s="4"/>
      <c r="PW149" s="4"/>
      <c r="PX149" s="4"/>
      <c r="PY149" s="4"/>
      <c r="PZ149" s="4"/>
      <c r="QA149" s="5"/>
      <c r="QB149" s="6"/>
      <c r="QC149" s="4"/>
      <c r="QD149" s="4"/>
      <c r="QE149" s="4"/>
      <c r="QF149" s="4"/>
      <c r="QG149" s="4"/>
      <c r="QH149" s="5"/>
      <c r="QI149" s="6"/>
      <c r="QJ149" s="4"/>
      <c r="QK149" s="4"/>
      <c r="QL149" s="4"/>
      <c r="QM149" s="4"/>
      <c r="QN149" s="4"/>
      <c r="QO149" s="5"/>
      <c r="QP149" s="6"/>
      <c r="QQ149" s="4"/>
      <c r="QR149" s="4"/>
      <c r="QS149" s="4"/>
      <c r="QT149" s="4"/>
      <c r="QU149" s="4"/>
      <c r="QV149" s="5"/>
      <c r="QW149" s="6"/>
      <c r="QX149" s="4"/>
      <c r="QY149" s="4"/>
      <c r="QZ149" s="4"/>
      <c r="RA149" s="4"/>
      <c r="RB149" s="4"/>
      <c r="RC149" s="5"/>
      <c r="RD149" s="6"/>
      <c r="RE149" s="4"/>
      <c r="RF149" s="4"/>
      <c r="RG149" s="4"/>
      <c r="RH149" s="4"/>
      <c r="RI149" s="4"/>
      <c r="RJ149" s="5"/>
      <c r="RK149" s="6"/>
      <c r="RL149" s="4"/>
      <c r="RM149" s="4"/>
      <c r="RN149" s="4"/>
      <c r="RO149" s="4"/>
      <c r="RP149" s="4"/>
      <c r="RQ149" s="5"/>
      <c r="RR149" s="6"/>
      <c r="RS149" s="4"/>
      <c r="RT149" s="4"/>
      <c r="RU149" s="4"/>
      <c r="RV149" s="4"/>
      <c r="RW149" s="4"/>
      <c r="RX149" s="5"/>
      <c r="RY149" s="6"/>
      <c r="RZ149" s="4"/>
      <c r="SA149" s="4"/>
      <c r="SB149" s="4"/>
      <c r="SC149" s="4"/>
      <c r="SD149" s="4"/>
      <c r="SE149" s="5"/>
      <c r="SF149" s="6"/>
      <c r="SG149" s="4"/>
      <c r="SH149" s="4"/>
      <c r="SI149" s="4"/>
      <c r="SJ149" s="4"/>
      <c r="SK149" s="4"/>
      <c r="SL149" s="5"/>
      <c r="SM149" s="6"/>
      <c r="SN149" s="4"/>
      <c r="SO149" s="4"/>
      <c r="SP149" s="4"/>
      <c r="SQ149" s="4"/>
      <c r="SR149" s="4"/>
      <c r="SS149" s="5"/>
      <c r="ST149" s="6" t="s">
        <v>947</v>
      </c>
      <c r="SU149" s="4" t="s">
        <v>948</v>
      </c>
      <c r="SV149" s="4"/>
      <c r="SW149" s="4"/>
      <c r="SX149" s="4"/>
      <c r="SY149" s="4"/>
      <c r="SZ149" s="5"/>
      <c r="TA149" s="6"/>
      <c r="TB149" s="4"/>
      <c r="TC149" s="4"/>
      <c r="TD149" s="4"/>
      <c r="TE149" s="4"/>
      <c r="TF149" s="4"/>
      <c r="TG149" s="5"/>
      <c r="TH149" s="6"/>
      <c r="TI149" s="4"/>
      <c r="TJ149" s="4"/>
      <c r="TK149" s="4"/>
      <c r="TL149" s="4"/>
      <c r="TM149" s="4"/>
      <c r="TN149" s="5"/>
      <c r="TO149" s="6"/>
      <c r="TP149" s="4"/>
      <c r="TQ149" s="4"/>
      <c r="TR149" s="4"/>
      <c r="TS149" s="4"/>
      <c r="TT149" s="4"/>
      <c r="TU149" s="5"/>
      <c r="TV149" s="6"/>
      <c r="TW149" s="4"/>
      <c r="TX149" s="4"/>
      <c r="TY149" s="4"/>
      <c r="TZ149" s="4"/>
      <c r="UA149" s="4"/>
      <c r="UB149" s="5"/>
      <c r="UC149" s="6"/>
      <c r="UD149" s="4"/>
      <c r="UE149" s="4"/>
      <c r="UF149" s="4"/>
      <c r="UG149" s="4"/>
      <c r="UH149" s="4"/>
      <c r="UI149" s="5"/>
      <c r="UJ149" s="6"/>
      <c r="UK149" s="4"/>
      <c r="UL149" s="4"/>
      <c r="UM149" s="4"/>
      <c r="UN149" s="4"/>
      <c r="UO149" s="4"/>
      <c r="UP149" s="5"/>
      <c r="UQ149" s="6"/>
      <c r="UR149" s="4"/>
      <c r="US149" s="4"/>
      <c r="UT149" s="4"/>
      <c r="UU149" s="4"/>
      <c r="UV149" s="4"/>
      <c r="UW149" s="5"/>
      <c r="UX149" s="6"/>
      <c r="UY149" s="4"/>
      <c r="UZ149" s="4"/>
      <c r="VA149" s="4"/>
      <c r="VB149" s="4"/>
      <c r="VC149" s="4"/>
      <c r="VD149" s="5"/>
      <c r="VE149" s="6"/>
      <c r="VF149" s="4"/>
      <c r="VG149" s="4"/>
      <c r="VH149" s="4"/>
      <c r="VI149" s="4"/>
      <c r="VJ149" s="4"/>
      <c r="VK149" s="5"/>
      <c r="VL149" s="6"/>
      <c r="VM149" s="4"/>
      <c r="VN149" s="4"/>
      <c r="VO149" s="4"/>
      <c r="VP149" s="4"/>
      <c r="VQ149" s="4"/>
      <c r="VR149" s="5"/>
      <c r="VS149" s="6"/>
      <c r="VT149" s="4"/>
      <c r="VU149" s="4"/>
      <c r="VV149" s="4"/>
      <c r="VW149" s="4"/>
      <c r="VX149" s="4"/>
      <c r="VY149" s="5"/>
      <c r="VZ149" s="6"/>
      <c r="WA149" s="4"/>
      <c r="WB149" s="4"/>
      <c r="WC149" s="4"/>
      <c r="WD149" s="4"/>
      <c r="WE149" s="4"/>
      <c r="WF149" s="5"/>
      <c r="WG149" s="6"/>
      <c r="WH149" s="4"/>
      <c r="WI149" s="4"/>
      <c r="WJ149" s="4"/>
      <c r="WK149" s="4"/>
      <c r="WL149" s="4"/>
      <c r="WM149" s="5"/>
      <c r="WN149" s="6"/>
      <c r="WO149" s="4"/>
      <c r="WP149" s="4"/>
      <c r="WQ149" s="4"/>
      <c r="WR149" s="4"/>
      <c r="WS149" s="4"/>
      <c r="WT149" s="5"/>
      <c r="WU149" s="6"/>
      <c r="WV149" s="4"/>
      <c r="WW149" s="4"/>
      <c r="WX149" s="4"/>
      <c r="WY149" s="4"/>
      <c r="WZ149" s="4"/>
      <c r="XA149" s="5"/>
      <c r="XB149" s="6"/>
      <c r="XC149" s="4"/>
      <c r="XD149" s="4"/>
      <c r="XE149" s="4"/>
      <c r="XF149" s="4"/>
      <c r="XG149" s="4"/>
      <c r="XH149" s="5"/>
      <c r="XI149" s="6"/>
      <c r="XJ149" s="4"/>
      <c r="XK149" s="4"/>
      <c r="XL149" s="4"/>
      <c r="XM149" s="4"/>
      <c r="XN149" s="4"/>
      <c r="XO149" s="5"/>
      <c r="XP149" s="6"/>
      <c r="XQ149" s="4"/>
      <c r="XR149" s="4"/>
      <c r="XS149" s="4"/>
      <c r="XT149" s="4"/>
      <c r="XU149" s="4"/>
      <c r="XV149" s="5"/>
      <c r="XW149" s="6"/>
      <c r="XX149" s="4"/>
      <c r="XY149" s="4"/>
      <c r="XZ149" s="4"/>
      <c r="YA149" s="4"/>
      <c r="YB149" s="4"/>
      <c r="YC149" s="5"/>
      <c r="YD149" s="6"/>
      <c r="YE149" s="4"/>
      <c r="YF149" s="4"/>
      <c r="YG149" s="4"/>
      <c r="YH149" s="4"/>
      <c r="YI149" s="4"/>
      <c r="YJ149" s="5"/>
      <c r="YK149" s="6" t="s">
        <v>949</v>
      </c>
      <c r="YL149" s="4" t="s">
        <v>1086</v>
      </c>
      <c r="YM149" s="4"/>
      <c r="YN149" s="4"/>
      <c r="YO149" s="4"/>
      <c r="YP149" s="4"/>
      <c r="YQ149" s="5"/>
      <c r="YR149" s="6"/>
      <c r="YS149" s="4"/>
      <c r="YT149" s="4"/>
      <c r="YU149" s="4"/>
      <c r="YV149" s="4"/>
      <c r="YW149" s="4"/>
      <c r="YX149" s="5"/>
      <c r="YY149" s="6"/>
      <c r="YZ149" s="4"/>
      <c r="ZA149" s="4"/>
      <c r="ZB149" s="4"/>
      <c r="ZC149" s="4"/>
      <c r="ZD149" s="4"/>
      <c r="ZE149" s="5"/>
      <c r="ZF149" s="6"/>
      <c r="ZG149" s="4"/>
      <c r="ZH149" s="4"/>
      <c r="ZI149" s="4"/>
      <c r="ZJ149" s="4"/>
      <c r="ZK149" s="4"/>
      <c r="ZL149" s="5"/>
      <c r="ZM149" s="6"/>
      <c r="ZN149" s="4"/>
      <c r="ZO149" s="4"/>
      <c r="ZP149" s="4"/>
      <c r="ZQ149" s="4"/>
      <c r="ZR149" s="4"/>
      <c r="ZS149" s="5"/>
      <c r="ZT149" s="6" t="s">
        <v>1894</v>
      </c>
      <c r="ZU149" s="4" t="s">
        <v>2438</v>
      </c>
      <c r="ZV149" s="4"/>
      <c r="ZW149" s="4"/>
      <c r="ZX149" s="4"/>
      <c r="ZY149" s="4"/>
      <c r="ZZ149" s="5"/>
      <c r="AAA149" s="6"/>
      <c r="AAB149" s="4"/>
      <c r="AAC149" s="4"/>
      <c r="AAD149" s="4"/>
      <c r="AAE149" s="4"/>
      <c r="AAF149" s="4"/>
      <c r="AAG149" s="5"/>
      <c r="AAH149" s="6"/>
      <c r="AAI149" s="4"/>
      <c r="AAJ149" s="4"/>
      <c r="AAK149" s="4"/>
      <c r="AAL149" s="4"/>
      <c r="AAM149" s="4"/>
      <c r="AAN149" s="5"/>
      <c r="AAO149" s="6"/>
      <c r="AAP149" s="4"/>
      <c r="AAQ149" s="4"/>
      <c r="AAR149" s="4"/>
      <c r="AAS149" s="4"/>
      <c r="AAT149" s="4"/>
      <c r="AAU149" s="5"/>
      <c r="AAV149" s="6"/>
      <c r="AAW149" s="4"/>
      <c r="AAX149" s="4"/>
      <c r="AAY149" s="4"/>
      <c r="AAZ149" s="4"/>
      <c r="ABA149" s="4"/>
      <c r="ABB149" s="5"/>
      <c r="ABC149" s="6"/>
      <c r="ABD149" s="4"/>
      <c r="ABE149" s="4"/>
      <c r="ABF149" s="4"/>
      <c r="ABG149" s="4"/>
      <c r="ABH149" s="4"/>
      <c r="ABI149" s="5"/>
      <c r="ABJ149" s="6"/>
      <c r="ABK149" s="4"/>
      <c r="ABL149" s="4"/>
      <c r="ABM149" s="4"/>
      <c r="ABN149" s="4"/>
      <c r="ABO149" s="4"/>
      <c r="ABP149" s="5"/>
      <c r="ABQ149" s="6"/>
      <c r="ABR149" s="4"/>
      <c r="ABS149" s="4"/>
      <c r="ABT149" s="4"/>
      <c r="ABU149" s="4"/>
      <c r="ABV149" s="4"/>
      <c r="ABW149" s="5"/>
      <c r="ABX149" s="6"/>
      <c r="ABY149" s="4"/>
      <c r="ABZ149" s="4"/>
      <c r="ACA149" s="4"/>
      <c r="ACB149" s="4"/>
      <c r="ACC149" s="4"/>
      <c r="ACD149" s="5"/>
      <c r="ACE149" s="6"/>
      <c r="ACF149" s="4"/>
      <c r="ACG149" s="4"/>
      <c r="ACH149" s="4"/>
      <c r="ACI149" s="4"/>
      <c r="ACJ149" s="4"/>
      <c r="ACK149" s="5"/>
      <c r="ACL149" s="6"/>
      <c r="ACM149" s="4"/>
      <c r="ACN149" s="4"/>
      <c r="ACO149" s="4"/>
      <c r="ACP149" s="4"/>
      <c r="ACQ149" s="4"/>
      <c r="ACR149" s="5"/>
      <c r="ACS149" s="6"/>
      <c r="ACT149" s="4"/>
      <c r="ACU149" s="4"/>
      <c r="ACV149" s="4"/>
      <c r="ACW149" s="4"/>
      <c r="ACX149" s="4"/>
      <c r="ACY149" s="5"/>
    </row>
    <row r="150" spans="2:779" x14ac:dyDescent="0.25">
      <c r="B150" s="30"/>
      <c r="J150" s="12"/>
      <c r="K150" s="12"/>
      <c r="L150" s="12"/>
      <c r="LL150" s="6"/>
      <c r="LM150" s="4"/>
      <c r="LN150" s="4"/>
      <c r="LO150" s="4"/>
      <c r="LP150" s="4"/>
      <c r="LQ150" s="4"/>
      <c r="LR150" s="5"/>
      <c r="LS150" s="6"/>
      <c r="LT150" s="4"/>
      <c r="LU150" s="4"/>
      <c r="LV150" s="4"/>
      <c r="LW150" s="4"/>
      <c r="LX150" s="4"/>
      <c r="LY150" s="5"/>
      <c r="LZ150" s="6" t="s">
        <v>2477</v>
      </c>
      <c r="MA150" s="7" t="s">
        <v>2477</v>
      </c>
      <c r="MB150" s="4"/>
      <c r="MC150" s="4"/>
      <c r="MD150" s="8"/>
      <c r="ME150" s="4"/>
      <c r="MF150" s="4"/>
      <c r="MG150" s="5" t="s">
        <v>2856</v>
      </c>
      <c r="MH150" s="6"/>
      <c r="MI150" s="4"/>
      <c r="MJ150" s="4"/>
      <c r="MK150" s="4"/>
      <c r="ML150" s="4"/>
      <c r="MM150" s="4"/>
      <c r="MN150" s="5"/>
      <c r="MO150" s="6"/>
      <c r="MP150" s="4"/>
      <c r="MQ150" s="4"/>
      <c r="MR150" s="4"/>
      <c r="MS150" s="4"/>
      <c r="MT150" s="4"/>
      <c r="MU150" s="5"/>
      <c r="MV150" s="6"/>
      <c r="MW150" s="4"/>
      <c r="MX150" s="4"/>
      <c r="MY150" s="4"/>
      <c r="MZ150" s="4"/>
      <c r="NA150" s="4"/>
      <c r="NB150" s="5"/>
      <c r="NC150" s="6"/>
      <c r="ND150" s="4"/>
      <c r="NE150" s="4"/>
      <c r="NF150" s="4"/>
      <c r="NG150" s="4"/>
      <c r="NH150" s="4"/>
      <c r="NI150" s="5"/>
      <c r="NJ150" s="6"/>
      <c r="NK150" s="4"/>
      <c r="NL150" s="4"/>
      <c r="NM150" s="4"/>
      <c r="NN150" s="4"/>
      <c r="NO150" s="4"/>
      <c r="NP150" s="5"/>
      <c r="NQ150" s="6"/>
      <c r="NR150" s="4"/>
      <c r="NS150" s="4"/>
      <c r="NT150" s="4"/>
      <c r="NU150" s="4"/>
      <c r="NV150" s="4"/>
      <c r="NW150" s="5"/>
      <c r="NX150" s="6"/>
      <c r="NY150" s="4"/>
      <c r="NZ150" s="4"/>
      <c r="OA150" s="4"/>
      <c r="OB150" s="4"/>
      <c r="OC150" s="4"/>
      <c r="OD150" s="5"/>
      <c r="OE150" s="6"/>
      <c r="OF150" s="4"/>
      <c r="OG150" s="4"/>
      <c r="OH150" s="4"/>
      <c r="OI150" s="4"/>
      <c r="OJ150" s="4"/>
      <c r="OK150" s="5"/>
      <c r="OL150" s="6"/>
      <c r="OM150" s="4"/>
      <c r="ON150" s="4"/>
      <c r="OO150" s="4"/>
      <c r="OP150" s="4"/>
      <c r="OQ150" s="4"/>
      <c r="OR150" s="5"/>
      <c r="OS150" s="6"/>
      <c r="OT150" s="4"/>
      <c r="OU150" s="4"/>
      <c r="OV150" s="4"/>
      <c r="OW150" s="4"/>
      <c r="OX150" s="4"/>
      <c r="OY150" s="5"/>
      <c r="OZ150" s="6"/>
      <c r="PA150" s="4"/>
      <c r="PB150" s="4"/>
      <c r="PC150" s="4"/>
      <c r="PD150" s="4"/>
      <c r="PE150" s="4"/>
      <c r="PF150" s="5"/>
      <c r="PG150" s="6"/>
      <c r="PH150" s="4"/>
      <c r="PI150" s="4"/>
      <c r="PJ150" s="4"/>
      <c r="PK150" s="4"/>
      <c r="PL150" s="4"/>
      <c r="PM150" s="5"/>
      <c r="PN150" s="6"/>
      <c r="PO150" s="4"/>
      <c r="PP150" s="4"/>
      <c r="PQ150" s="4"/>
      <c r="PR150" s="4"/>
      <c r="PS150" s="4"/>
      <c r="PT150" s="5"/>
      <c r="PU150" s="6"/>
      <c r="PV150" s="4"/>
      <c r="PW150" s="4"/>
      <c r="PX150" s="4"/>
      <c r="PY150" s="4"/>
      <c r="PZ150" s="4"/>
      <c r="QA150" s="5"/>
      <c r="QB150" s="6"/>
      <c r="QC150" s="4"/>
      <c r="QD150" s="4"/>
      <c r="QE150" s="4"/>
      <c r="QF150" s="4"/>
      <c r="QG150" s="4"/>
      <c r="QH150" s="5"/>
      <c r="QI150" s="6"/>
      <c r="QJ150" s="4"/>
      <c r="QK150" s="4"/>
      <c r="QL150" s="4"/>
      <c r="QM150" s="4"/>
      <c r="QN150" s="4"/>
      <c r="QO150" s="5"/>
      <c r="QP150" s="6"/>
      <c r="QQ150" s="4"/>
      <c r="QR150" s="4"/>
      <c r="QS150" s="4"/>
      <c r="QT150" s="4"/>
      <c r="QU150" s="4"/>
      <c r="QV150" s="5"/>
      <c r="QW150" s="6"/>
      <c r="QX150" s="4"/>
      <c r="QY150" s="4"/>
      <c r="QZ150" s="4"/>
      <c r="RA150" s="4"/>
      <c r="RB150" s="4"/>
      <c r="RC150" s="5"/>
      <c r="RD150" s="6"/>
      <c r="RE150" s="4"/>
      <c r="RF150" s="4"/>
      <c r="RG150" s="4"/>
      <c r="RH150" s="4"/>
      <c r="RI150" s="4"/>
      <c r="RJ150" s="5"/>
      <c r="RK150" s="6"/>
      <c r="RL150" s="4"/>
      <c r="RM150" s="4"/>
      <c r="RN150" s="4"/>
      <c r="RO150" s="4"/>
      <c r="RP150" s="4"/>
      <c r="RQ150" s="5"/>
      <c r="RR150" s="6"/>
      <c r="RS150" s="4"/>
      <c r="RT150" s="4"/>
      <c r="RU150" s="4"/>
      <c r="RV150" s="4"/>
      <c r="RW150" s="4"/>
      <c r="RX150" s="5"/>
      <c r="RY150" s="6"/>
      <c r="RZ150" s="4"/>
      <c r="SA150" s="4"/>
      <c r="SB150" s="4"/>
      <c r="SC150" s="4"/>
      <c r="SD150" s="4"/>
      <c r="SE150" s="5"/>
      <c r="SF150" s="6"/>
      <c r="SG150" s="4"/>
      <c r="SH150" s="4"/>
      <c r="SI150" s="4"/>
      <c r="SJ150" s="4"/>
      <c r="SK150" s="4"/>
      <c r="SL150" s="5"/>
      <c r="SM150" s="6"/>
      <c r="SN150" s="4"/>
      <c r="SO150" s="4"/>
      <c r="SP150" s="4"/>
      <c r="SQ150" s="4"/>
      <c r="SR150" s="4"/>
      <c r="SS150" s="5"/>
      <c r="ST150" s="6" t="s">
        <v>1087</v>
      </c>
      <c r="SU150" s="4" t="s">
        <v>2925</v>
      </c>
      <c r="SV150" s="4"/>
      <c r="SW150" s="4"/>
      <c r="SX150" s="4"/>
      <c r="SY150" s="4"/>
      <c r="SZ150" s="5"/>
      <c r="TA150" s="6"/>
      <c r="TB150" s="4"/>
      <c r="TC150" s="4"/>
      <c r="TD150" s="4"/>
      <c r="TE150" s="4"/>
      <c r="TF150" s="4"/>
      <c r="TG150" s="5"/>
      <c r="TH150" s="6"/>
      <c r="TI150" s="4"/>
      <c r="TJ150" s="4"/>
      <c r="TK150" s="4"/>
      <c r="TL150" s="4"/>
      <c r="TM150" s="4"/>
      <c r="TN150" s="5"/>
      <c r="TO150" s="6"/>
      <c r="TP150" s="4"/>
      <c r="TQ150" s="4"/>
      <c r="TR150" s="4"/>
      <c r="TS150" s="4"/>
      <c r="TT150" s="4"/>
      <c r="TU150" s="5"/>
      <c r="TV150" s="6"/>
      <c r="TW150" s="4"/>
      <c r="TX150" s="4"/>
      <c r="TY150" s="4"/>
      <c r="TZ150" s="4"/>
      <c r="UA150" s="4"/>
      <c r="UB150" s="5"/>
      <c r="UC150" s="6"/>
      <c r="UD150" s="4"/>
      <c r="UE150" s="4"/>
      <c r="UF150" s="4"/>
      <c r="UG150" s="4"/>
      <c r="UH150" s="4"/>
      <c r="UI150" s="5"/>
      <c r="UJ150" s="6"/>
      <c r="UK150" s="4"/>
      <c r="UL150" s="4"/>
      <c r="UM150" s="4"/>
      <c r="UN150" s="4"/>
      <c r="UO150" s="4"/>
      <c r="UP150" s="5"/>
      <c r="UQ150" s="6"/>
      <c r="UR150" s="4"/>
      <c r="US150" s="4"/>
      <c r="UT150" s="4"/>
      <c r="UU150" s="4"/>
      <c r="UV150" s="4"/>
      <c r="UW150" s="5"/>
      <c r="UX150" s="6"/>
      <c r="UY150" s="4"/>
      <c r="UZ150" s="4"/>
      <c r="VA150" s="4"/>
      <c r="VB150" s="4"/>
      <c r="VC150" s="4"/>
      <c r="VD150" s="5"/>
      <c r="VE150" s="6"/>
      <c r="VF150" s="4"/>
      <c r="VG150" s="4"/>
      <c r="VH150" s="4"/>
      <c r="VI150" s="4"/>
      <c r="VJ150" s="4"/>
      <c r="VK150" s="5"/>
      <c r="VL150" s="6"/>
      <c r="VM150" s="4"/>
      <c r="VN150" s="4"/>
      <c r="VO150" s="4"/>
      <c r="VP150" s="4"/>
      <c r="VQ150" s="4"/>
      <c r="VR150" s="5"/>
      <c r="VS150" s="6"/>
      <c r="VT150" s="4"/>
      <c r="VU150" s="4"/>
      <c r="VV150" s="4"/>
      <c r="VW150" s="4"/>
      <c r="VX150" s="4"/>
      <c r="VY150" s="5"/>
      <c r="VZ150" s="6"/>
      <c r="WA150" s="4"/>
      <c r="WB150" s="4"/>
      <c r="WC150" s="4"/>
      <c r="WD150" s="4"/>
      <c r="WE150" s="4"/>
      <c r="WF150" s="5"/>
      <c r="WG150" s="6"/>
      <c r="WH150" s="4"/>
      <c r="WI150" s="4"/>
      <c r="WJ150" s="4"/>
      <c r="WK150" s="4"/>
      <c r="WL150" s="4"/>
      <c r="WM150" s="5"/>
      <c r="WN150" s="6"/>
      <c r="WO150" s="4"/>
      <c r="WP150" s="4"/>
      <c r="WQ150" s="4"/>
      <c r="WR150" s="4"/>
      <c r="WS150" s="4"/>
      <c r="WT150" s="5"/>
      <c r="WU150" s="6"/>
      <c r="WV150" s="4"/>
      <c r="WW150" s="4"/>
      <c r="WX150" s="4"/>
      <c r="WY150" s="4"/>
      <c r="WZ150" s="4"/>
      <c r="XA150" s="5"/>
      <c r="XB150" s="6"/>
      <c r="XC150" s="4"/>
      <c r="XD150" s="4"/>
      <c r="XE150" s="4"/>
      <c r="XF150" s="4"/>
      <c r="XG150" s="4"/>
      <c r="XH150" s="5"/>
      <c r="XI150" s="6"/>
      <c r="XJ150" s="4"/>
      <c r="XK150" s="4"/>
      <c r="XL150" s="4"/>
      <c r="XM150" s="4"/>
      <c r="XN150" s="4"/>
      <c r="XO150" s="5"/>
      <c r="XP150" s="6"/>
      <c r="XQ150" s="4"/>
      <c r="XR150" s="4"/>
      <c r="XS150" s="4"/>
      <c r="XT150" s="4"/>
      <c r="XU150" s="4"/>
      <c r="XV150" s="5"/>
      <c r="XW150" s="6"/>
      <c r="XX150" s="4"/>
      <c r="XY150" s="4"/>
      <c r="XZ150" s="4"/>
      <c r="YA150" s="4"/>
      <c r="YB150" s="4"/>
      <c r="YC150" s="5"/>
      <c r="YD150" s="6"/>
      <c r="YE150" s="4"/>
      <c r="YF150" s="4"/>
      <c r="YG150" s="4"/>
      <c r="YH150" s="4"/>
      <c r="YI150" s="4"/>
      <c r="YJ150" s="5"/>
      <c r="YK150" s="6"/>
      <c r="YL150" s="4"/>
      <c r="YM150" s="4"/>
      <c r="YN150" s="4"/>
      <c r="YO150" s="4"/>
      <c r="YP150" s="4"/>
      <c r="YQ150" s="5"/>
      <c r="YR150" s="6"/>
      <c r="YS150" s="4"/>
      <c r="YT150" s="4"/>
      <c r="YU150" s="4"/>
      <c r="YV150" s="4"/>
      <c r="YW150" s="4"/>
      <c r="YX150" s="5"/>
      <c r="YY150" s="6"/>
      <c r="YZ150" s="4"/>
      <c r="ZA150" s="4"/>
      <c r="ZB150" s="4"/>
      <c r="ZC150" s="4"/>
      <c r="ZD150" s="4"/>
      <c r="ZE150" s="5"/>
      <c r="ZF150" s="6"/>
      <c r="ZG150" s="4"/>
      <c r="ZH150" s="4"/>
      <c r="ZI150" s="4"/>
      <c r="ZJ150" s="4"/>
      <c r="ZK150" s="4"/>
      <c r="ZL150" s="5"/>
      <c r="ZM150" s="6"/>
      <c r="ZN150" s="4"/>
      <c r="ZO150" s="4"/>
      <c r="ZP150" s="4"/>
      <c r="ZQ150" s="4"/>
      <c r="ZR150" s="4"/>
      <c r="ZS150" s="5"/>
      <c r="ZT150" s="6"/>
      <c r="ZU150" s="4"/>
      <c r="ZV150" s="4"/>
      <c r="ZW150" s="4"/>
      <c r="ZX150" s="4"/>
      <c r="ZY150" s="4"/>
      <c r="ZZ150" s="5"/>
      <c r="AAA150" s="6"/>
      <c r="AAB150" s="4"/>
      <c r="AAC150" s="4"/>
      <c r="AAD150" s="4"/>
      <c r="AAE150" s="4"/>
      <c r="AAF150" s="4"/>
      <c r="AAG150" s="5"/>
      <c r="AAH150" s="6"/>
      <c r="AAI150" s="4"/>
      <c r="AAJ150" s="4"/>
      <c r="AAK150" s="4"/>
      <c r="AAL150" s="4"/>
      <c r="AAM150" s="4"/>
      <c r="AAN150" s="5"/>
      <c r="AAO150" s="6"/>
      <c r="AAP150" s="4"/>
      <c r="AAQ150" s="4"/>
      <c r="AAR150" s="4"/>
      <c r="AAS150" s="4"/>
      <c r="AAT150" s="4"/>
      <c r="AAU150" s="5"/>
      <c r="AAV150" s="6"/>
      <c r="AAW150" s="4"/>
      <c r="AAX150" s="4"/>
      <c r="AAY150" s="4"/>
      <c r="AAZ150" s="4"/>
      <c r="ABA150" s="4"/>
      <c r="ABB150" s="5"/>
      <c r="ABC150" s="6"/>
      <c r="ABD150" s="4"/>
      <c r="ABE150" s="4"/>
      <c r="ABF150" s="4"/>
      <c r="ABG150" s="4"/>
      <c r="ABH150" s="4"/>
      <c r="ABI150" s="5"/>
      <c r="ABJ150" s="6"/>
      <c r="ABK150" s="4"/>
      <c r="ABL150" s="4"/>
      <c r="ABM150" s="4"/>
      <c r="ABN150" s="4"/>
      <c r="ABO150" s="4"/>
      <c r="ABP150" s="5"/>
      <c r="ABQ150" s="6"/>
      <c r="ABR150" s="4"/>
      <c r="ABS150" s="4"/>
      <c r="ABT150" s="4"/>
      <c r="ABU150" s="4"/>
      <c r="ABV150" s="4"/>
      <c r="ABW150" s="5"/>
      <c r="ABX150" s="6"/>
      <c r="ABY150" s="4"/>
      <c r="ABZ150" s="4"/>
      <c r="ACA150" s="4"/>
      <c r="ACB150" s="4"/>
      <c r="ACC150" s="4"/>
      <c r="ACD150" s="5"/>
      <c r="ACE150" s="6"/>
      <c r="ACF150" s="4"/>
      <c r="ACG150" s="4"/>
      <c r="ACH150" s="4"/>
      <c r="ACI150" s="4"/>
      <c r="ACJ150" s="4"/>
      <c r="ACK150" s="5"/>
      <c r="ACL150" s="6"/>
      <c r="ACM150" s="4"/>
      <c r="ACN150" s="4"/>
      <c r="ACO150" s="4"/>
      <c r="ACP150" s="4"/>
      <c r="ACQ150" s="4"/>
      <c r="ACR150" s="5"/>
      <c r="ACS150" s="6"/>
      <c r="ACT150" s="4"/>
      <c r="ACU150" s="4"/>
      <c r="ACV150" s="4"/>
      <c r="ACW150" s="4"/>
      <c r="ACX150" s="4"/>
      <c r="ACY150" s="5"/>
    </row>
    <row r="151" spans="2:779" x14ac:dyDescent="0.25">
      <c r="B151" s="29">
        <v>97006351</v>
      </c>
      <c r="C151">
        <v>43</v>
      </c>
      <c r="D151" t="s">
        <v>2121</v>
      </c>
      <c r="F151" s="23" t="s">
        <v>1781</v>
      </c>
      <c r="I151">
        <v>1</v>
      </c>
      <c r="J151" s="19">
        <v>35117</v>
      </c>
      <c r="K151" s="19"/>
      <c r="L151" s="19"/>
      <c r="LL151" s="6"/>
      <c r="LM151" s="4"/>
      <c r="LN151" s="4"/>
      <c r="LO151" s="4"/>
      <c r="LP151" s="4"/>
      <c r="LQ151" s="4"/>
      <c r="LR151" s="5"/>
      <c r="LS151" s="6"/>
      <c r="LT151" s="4"/>
      <c r="LU151" s="4"/>
      <c r="LV151" s="4"/>
      <c r="LW151" s="4"/>
      <c r="LX151" s="4"/>
      <c r="LY151" s="5"/>
      <c r="LZ151" s="6" t="s">
        <v>2014</v>
      </c>
      <c r="MA151" s="7" t="s">
        <v>2015</v>
      </c>
      <c r="MB151" s="4"/>
      <c r="MC151" s="4"/>
      <c r="MD151" s="8"/>
      <c r="ME151" s="4"/>
      <c r="MF151" s="4"/>
      <c r="MG151" s="5"/>
      <c r="MH151" s="6"/>
      <c r="MI151" s="4"/>
      <c r="MJ151" s="4"/>
      <c r="MK151" s="4"/>
      <c r="ML151" s="4"/>
      <c r="MM151" s="4"/>
      <c r="MN151" s="5"/>
      <c r="MO151" s="6"/>
      <c r="MP151" s="4"/>
      <c r="MQ151" s="4"/>
      <c r="MR151" s="4"/>
      <c r="MS151" s="4"/>
      <c r="MT151" s="4"/>
      <c r="MU151" s="5"/>
      <c r="MV151" s="6"/>
      <c r="MW151" s="4"/>
      <c r="MX151" s="4"/>
      <c r="MY151" s="4"/>
      <c r="MZ151" s="4"/>
      <c r="NA151" s="4"/>
      <c r="NB151" s="5"/>
      <c r="NC151" s="6"/>
      <c r="ND151" s="4"/>
      <c r="NE151" s="4"/>
      <c r="NF151" s="4"/>
      <c r="NG151" s="4"/>
      <c r="NH151" s="4"/>
      <c r="NI151" s="5"/>
      <c r="NJ151" s="6"/>
      <c r="NK151" s="4"/>
      <c r="NL151" s="4"/>
      <c r="NM151" s="4"/>
      <c r="NN151" s="4"/>
      <c r="NO151" s="4"/>
      <c r="NP151" s="5"/>
      <c r="NQ151" s="6"/>
      <c r="NR151" s="4"/>
      <c r="NS151" s="4"/>
      <c r="NT151" s="4"/>
      <c r="NU151" s="4"/>
      <c r="NV151" s="4"/>
      <c r="NW151" s="5"/>
      <c r="NX151" s="6"/>
      <c r="NY151" s="4"/>
      <c r="NZ151" s="4"/>
      <c r="OA151" s="4"/>
      <c r="OB151" s="4"/>
      <c r="OC151" s="4"/>
      <c r="OD151" s="5"/>
      <c r="OE151" s="6"/>
      <c r="OF151" s="4"/>
      <c r="OG151" s="4"/>
      <c r="OH151" s="4"/>
      <c r="OI151" s="4"/>
      <c r="OJ151" s="4"/>
      <c r="OK151" s="5"/>
      <c r="OL151" s="6"/>
      <c r="OM151" s="4"/>
      <c r="ON151" s="4"/>
      <c r="OO151" s="4"/>
      <c r="OP151" s="4"/>
      <c r="OQ151" s="4"/>
      <c r="OR151" s="5"/>
      <c r="OS151" s="6"/>
      <c r="OT151" s="4"/>
      <c r="OU151" s="4"/>
      <c r="OV151" s="4"/>
      <c r="OW151" s="4"/>
      <c r="OX151" s="4"/>
      <c r="OY151" s="5"/>
      <c r="OZ151" s="6" t="s">
        <v>2016</v>
      </c>
      <c r="PA151" s="4" t="s">
        <v>2017</v>
      </c>
      <c r="PB151" s="4"/>
      <c r="PC151" s="4"/>
      <c r="PD151" s="4"/>
      <c r="PE151" s="4"/>
      <c r="PF151" s="5"/>
      <c r="PG151" s="6"/>
      <c r="PH151" s="4"/>
      <c r="PI151" s="4"/>
      <c r="PJ151" s="4"/>
      <c r="PK151" s="4"/>
      <c r="PL151" s="4"/>
      <c r="PM151" s="5"/>
      <c r="PN151" s="6"/>
      <c r="PO151" s="4"/>
      <c r="PP151" s="4"/>
      <c r="PQ151" s="4"/>
      <c r="PR151" s="4"/>
      <c r="PS151" s="4"/>
      <c r="PT151" s="5"/>
      <c r="PU151" s="6"/>
      <c r="PV151" s="4"/>
      <c r="PW151" s="4"/>
      <c r="PX151" s="4"/>
      <c r="PY151" s="4"/>
      <c r="PZ151" s="4"/>
      <c r="QA151" s="5"/>
      <c r="QB151" s="6" t="s">
        <v>2022</v>
      </c>
      <c r="QC151" s="4" t="s">
        <v>2256</v>
      </c>
      <c r="QD151" s="4"/>
      <c r="QE151" s="4"/>
      <c r="QF151" s="4"/>
      <c r="QG151" s="4"/>
      <c r="QH151" s="5"/>
      <c r="QI151" s="6"/>
      <c r="QJ151" s="4"/>
      <c r="QK151" s="4"/>
      <c r="QL151" s="4"/>
      <c r="QM151" s="4"/>
      <c r="QN151" s="4"/>
      <c r="QO151" s="5"/>
      <c r="QP151" s="6"/>
      <c r="QQ151" s="4"/>
      <c r="QR151" s="4"/>
      <c r="QS151" s="4"/>
      <c r="QT151" s="4"/>
      <c r="QU151" s="4"/>
      <c r="QV151" s="5"/>
      <c r="QW151" s="6"/>
      <c r="QX151" s="4"/>
      <c r="QY151" s="4"/>
      <c r="QZ151" s="4"/>
      <c r="RA151" s="4"/>
      <c r="RB151" s="4"/>
      <c r="RC151" s="5"/>
      <c r="RD151" s="6"/>
      <c r="RE151" s="4"/>
      <c r="RF151" s="4"/>
      <c r="RG151" s="4"/>
      <c r="RH151" s="4"/>
      <c r="RI151" s="4"/>
      <c r="RJ151" s="5"/>
      <c r="RK151" s="6"/>
      <c r="RL151" s="4"/>
      <c r="RM151" s="4"/>
      <c r="RN151" s="4"/>
      <c r="RO151" s="4"/>
      <c r="RP151" s="4"/>
      <c r="RQ151" s="5"/>
      <c r="RR151" s="6"/>
      <c r="RS151" s="4"/>
      <c r="RT151" s="4"/>
      <c r="RU151" s="4"/>
      <c r="RV151" s="4"/>
      <c r="RW151" s="4"/>
      <c r="RX151" s="5"/>
      <c r="RY151" s="6"/>
      <c r="RZ151" s="4"/>
      <c r="SA151" s="4"/>
      <c r="SB151" s="4"/>
      <c r="SC151" s="4"/>
      <c r="SD151" s="4"/>
      <c r="SE151" s="5"/>
      <c r="SF151" s="6"/>
      <c r="SG151" s="4"/>
      <c r="SH151" s="4"/>
      <c r="SI151" s="4"/>
      <c r="SJ151" s="4"/>
      <c r="SK151" s="4"/>
      <c r="SL151" s="5"/>
      <c r="SM151" s="6"/>
      <c r="SN151" s="4"/>
      <c r="SO151" s="4"/>
      <c r="SP151" s="4"/>
      <c r="SQ151" s="4"/>
      <c r="SR151" s="4"/>
      <c r="SS151" s="5"/>
      <c r="ST151" s="6"/>
      <c r="SU151" s="4"/>
      <c r="SV151" s="4"/>
      <c r="SW151" s="4"/>
      <c r="SX151" s="4"/>
      <c r="SY151" s="4"/>
      <c r="SZ151" s="5"/>
      <c r="TA151" s="6"/>
      <c r="TB151" s="4"/>
      <c r="TC151" s="4"/>
      <c r="TD151" s="4"/>
      <c r="TE151" s="4"/>
      <c r="TF151" s="4"/>
      <c r="TG151" s="5"/>
      <c r="TH151" s="6"/>
      <c r="TI151" s="4"/>
      <c r="TJ151" s="4"/>
      <c r="TK151" s="4"/>
      <c r="TL151" s="4"/>
      <c r="TM151" s="4"/>
      <c r="TN151" s="5"/>
      <c r="TO151" s="6"/>
      <c r="TP151" s="4"/>
      <c r="TQ151" s="4"/>
      <c r="TR151" s="4"/>
      <c r="TS151" s="4"/>
      <c r="TT151" s="4"/>
      <c r="TU151" s="5"/>
      <c r="TV151" s="6"/>
      <c r="TW151" s="4"/>
      <c r="TX151" s="4"/>
      <c r="TY151" s="4"/>
      <c r="TZ151" s="4"/>
      <c r="UA151" s="4"/>
      <c r="UB151" s="5"/>
      <c r="UC151" s="6"/>
      <c r="UD151" s="4"/>
      <c r="UE151" s="4"/>
      <c r="UF151" s="4"/>
      <c r="UG151" s="4"/>
      <c r="UH151" s="4"/>
      <c r="UI151" s="5"/>
      <c r="UJ151" s="6"/>
      <c r="UK151" s="4"/>
      <c r="UL151" s="4"/>
      <c r="UM151" s="4"/>
      <c r="UN151" s="4"/>
      <c r="UO151" s="4"/>
      <c r="UP151" s="5"/>
      <c r="UQ151" s="6"/>
      <c r="UR151" s="4"/>
      <c r="US151" s="4"/>
      <c r="UT151" s="4"/>
      <c r="UU151" s="4"/>
      <c r="UV151" s="4"/>
      <c r="UW151" s="5"/>
      <c r="UX151" s="6"/>
      <c r="UY151" s="4"/>
      <c r="UZ151" s="4"/>
      <c r="VA151" s="4"/>
      <c r="VB151" s="4"/>
      <c r="VC151" s="4"/>
      <c r="VD151" s="5"/>
      <c r="VE151" s="6"/>
      <c r="VF151" s="4"/>
      <c r="VG151" s="4"/>
      <c r="VH151" s="4"/>
      <c r="VI151" s="4"/>
      <c r="VJ151" s="4"/>
      <c r="VK151" s="5"/>
      <c r="VL151" s="6"/>
      <c r="VM151" s="4"/>
      <c r="VN151" s="4"/>
      <c r="VO151" s="4"/>
      <c r="VP151" s="4"/>
      <c r="VQ151" s="4"/>
      <c r="VR151" s="5"/>
      <c r="VS151" s="6"/>
      <c r="VT151" s="4"/>
      <c r="VU151" s="4"/>
      <c r="VV151" s="4"/>
      <c r="VW151" s="4"/>
      <c r="VX151" s="4"/>
      <c r="VY151" s="5"/>
      <c r="VZ151" s="6"/>
      <c r="WA151" s="4"/>
      <c r="WB151" s="4"/>
      <c r="WC151" s="4"/>
      <c r="WD151" s="4"/>
      <c r="WE151" s="4"/>
      <c r="WF151" s="5"/>
      <c r="WG151" s="6"/>
      <c r="WH151" s="4"/>
      <c r="WI151" s="4"/>
      <c r="WJ151" s="4"/>
      <c r="WK151" s="4"/>
      <c r="WL151" s="4"/>
      <c r="WM151" s="5"/>
      <c r="WN151" s="6"/>
      <c r="WO151" s="4"/>
      <c r="WP151" s="4"/>
      <c r="WQ151" s="4"/>
      <c r="WR151" s="4"/>
      <c r="WS151" s="4"/>
      <c r="WT151" s="5"/>
      <c r="WU151" s="6"/>
      <c r="WV151" s="4"/>
      <c r="WW151" s="4"/>
      <c r="WX151" s="4"/>
      <c r="WY151" s="4"/>
      <c r="WZ151" s="4"/>
      <c r="XA151" s="5"/>
      <c r="XB151" s="6"/>
      <c r="XC151" s="4"/>
      <c r="XD151" s="4"/>
      <c r="XE151" s="4"/>
      <c r="XF151" s="4"/>
      <c r="XG151" s="4"/>
      <c r="XH151" s="5"/>
      <c r="XI151" s="6"/>
      <c r="XJ151" s="4"/>
      <c r="XK151" s="4"/>
      <c r="XL151" s="4"/>
      <c r="XM151" s="4"/>
      <c r="XN151" s="4"/>
      <c r="XO151" s="5"/>
      <c r="XP151" s="6"/>
      <c r="XQ151" s="4"/>
      <c r="XR151" s="4"/>
      <c r="XS151" s="4"/>
      <c r="XT151" s="4"/>
      <c r="XU151" s="4"/>
      <c r="XV151" s="5"/>
      <c r="XW151" s="6"/>
      <c r="XX151" s="4"/>
      <c r="XY151" s="4"/>
      <c r="XZ151" s="4"/>
      <c r="YA151" s="4"/>
      <c r="YB151" s="4"/>
      <c r="YC151" s="5"/>
      <c r="YD151" s="6"/>
      <c r="YE151" s="4"/>
      <c r="YF151" s="4"/>
      <c r="YG151" s="4"/>
      <c r="YH151" s="4"/>
      <c r="YI151" s="4"/>
      <c r="YJ151" s="5"/>
      <c r="YK151" s="6"/>
      <c r="YL151" s="4"/>
      <c r="YM151" s="4"/>
      <c r="YN151" s="4"/>
      <c r="YO151" s="4"/>
      <c r="YP151" s="4"/>
      <c r="YQ151" s="5"/>
      <c r="YR151" s="6"/>
      <c r="YS151" s="4"/>
      <c r="YT151" s="4"/>
      <c r="YU151" s="4"/>
      <c r="YV151" s="4"/>
      <c r="YW151" s="4"/>
      <c r="YX151" s="5"/>
      <c r="YY151" s="6"/>
      <c r="YZ151" s="4"/>
      <c r="ZA151" s="4"/>
      <c r="ZB151" s="4"/>
      <c r="ZC151" s="4"/>
      <c r="ZD151" s="4"/>
      <c r="ZE151" s="5"/>
      <c r="ZF151" s="6"/>
      <c r="ZG151" s="4"/>
      <c r="ZH151" s="4"/>
      <c r="ZI151" s="4"/>
      <c r="ZJ151" s="4"/>
      <c r="ZK151" s="4"/>
      <c r="ZL151" s="5"/>
      <c r="ZM151" s="6"/>
      <c r="ZN151" s="4"/>
      <c r="ZO151" s="4"/>
      <c r="ZP151" s="4"/>
      <c r="ZQ151" s="4"/>
      <c r="ZR151" s="4"/>
      <c r="ZS151" s="5"/>
      <c r="ZT151" s="6"/>
      <c r="ZU151" s="4"/>
      <c r="ZV151" s="4"/>
      <c r="ZW151" s="4"/>
      <c r="ZX151" s="4"/>
      <c r="ZY151" s="4"/>
      <c r="ZZ151" s="5"/>
      <c r="AAA151" s="6"/>
      <c r="AAB151" s="4"/>
      <c r="AAC151" s="4"/>
      <c r="AAD151" s="4"/>
      <c r="AAE151" s="4"/>
      <c r="AAF151" s="4"/>
      <c r="AAG151" s="5"/>
      <c r="AAH151" s="6" t="s">
        <v>2018</v>
      </c>
      <c r="AAI151" s="4" t="s">
        <v>2019</v>
      </c>
      <c r="AAJ151" s="4"/>
      <c r="AAK151" s="4"/>
      <c r="AAL151" s="4"/>
      <c r="AAM151" s="4"/>
      <c r="AAN151" s="5"/>
      <c r="AAO151" s="6"/>
      <c r="AAP151" s="4"/>
      <c r="AAQ151" s="4"/>
      <c r="AAR151" s="4"/>
      <c r="AAS151" s="4"/>
      <c r="AAT151" s="4"/>
      <c r="AAU151" s="5"/>
      <c r="AAV151" s="6"/>
      <c r="AAW151" s="4"/>
      <c r="AAX151" s="4"/>
      <c r="AAY151" s="4"/>
      <c r="AAZ151" s="4"/>
      <c r="ABA151" s="4"/>
      <c r="ABB151" s="5"/>
      <c r="ABC151" s="6"/>
      <c r="ABD151" s="4"/>
      <c r="ABE151" s="4"/>
      <c r="ABF151" s="4"/>
      <c r="ABG151" s="4"/>
      <c r="ABH151" s="4"/>
      <c r="ABI151" s="5"/>
      <c r="ABJ151" s="6"/>
      <c r="ABK151" s="4"/>
      <c r="ABL151" s="4"/>
      <c r="ABM151" s="4"/>
      <c r="ABN151" s="4"/>
      <c r="ABO151" s="4"/>
      <c r="ABP151" s="5"/>
      <c r="ABQ151" s="6"/>
      <c r="ABR151" s="4"/>
      <c r="ABS151" s="4"/>
      <c r="ABT151" s="4"/>
      <c r="ABU151" s="4"/>
      <c r="ABV151" s="4"/>
      <c r="ABW151" s="5"/>
      <c r="ABX151" s="6"/>
      <c r="ABY151" s="4"/>
      <c r="ABZ151" s="4"/>
      <c r="ACA151" s="4"/>
      <c r="ACB151" s="4"/>
      <c r="ACC151" s="4"/>
      <c r="ACD151" s="5"/>
      <c r="ACE151" s="6"/>
      <c r="ACF151" s="4"/>
      <c r="ACG151" s="4"/>
      <c r="ACH151" s="4"/>
      <c r="ACI151" s="4"/>
      <c r="ACJ151" s="4"/>
      <c r="ACK151" s="5"/>
      <c r="ACL151" s="6"/>
      <c r="ACM151" s="4"/>
      <c r="ACN151" s="4"/>
      <c r="ACO151" s="4"/>
      <c r="ACP151" s="4"/>
      <c r="ACQ151" s="4"/>
      <c r="ACR151" s="5"/>
      <c r="ACS151" s="6"/>
      <c r="ACT151" s="4"/>
      <c r="ACU151" s="4"/>
      <c r="ACV151" s="4"/>
      <c r="ACW151" s="4"/>
      <c r="ACX151" s="4"/>
      <c r="ACY151" s="5"/>
    </row>
    <row r="152" spans="2:779" x14ac:dyDescent="0.25">
      <c r="B152" s="30"/>
      <c r="J152" s="12"/>
      <c r="K152" s="12"/>
      <c r="L152" s="12"/>
      <c r="LL152" s="6"/>
      <c r="LM152" s="4"/>
      <c r="LN152" s="4"/>
      <c r="LO152" s="4"/>
      <c r="LP152" s="4"/>
      <c r="LQ152" s="4"/>
      <c r="LR152" s="5"/>
      <c r="LS152" s="6"/>
      <c r="LT152" s="4"/>
      <c r="LU152" s="4"/>
      <c r="LV152" s="4"/>
      <c r="LW152" s="4"/>
      <c r="LX152" s="4"/>
      <c r="LY152" s="5"/>
      <c r="LZ152" s="6" t="s">
        <v>2260</v>
      </c>
      <c r="MA152" s="7" t="s">
        <v>2261</v>
      </c>
      <c r="MB152" s="4"/>
      <c r="MC152" s="4"/>
      <c r="MD152" s="8"/>
      <c r="ME152" s="4"/>
      <c r="MF152" s="4"/>
      <c r="MG152" s="5"/>
      <c r="MH152" s="6"/>
      <c r="MI152" s="4"/>
      <c r="MJ152" s="4"/>
      <c r="MK152" s="4"/>
      <c r="ML152" s="4"/>
      <c r="MM152" s="4"/>
      <c r="MN152" s="5"/>
      <c r="MO152" s="6"/>
      <c r="MP152" s="4"/>
      <c r="MQ152" s="4"/>
      <c r="MR152" s="4"/>
      <c r="MS152" s="4"/>
      <c r="MT152" s="4"/>
      <c r="MU152" s="5"/>
      <c r="MV152" s="6"/>
      <c r="MW152" s="4"/>
      <c r="MX152" s="4"/>
      <c r="MY152" s="4"/>
      <c r="MZ152" s="4"/>
      <c r="NA152" s="4"/>
      <c r="NB152" s="5"/>
      <c r="NC152" s="6"/>
      <c r="ND152" s="4"/>
      <c r="NE152" s="4"/>
      <c r="NF152" s="4"/>
      <c r="NG152" s="4"/>
      <c r="NH152" s="4"/>
      <c r="NI152" s="5"/>
      <c r="NJ152" s="6"/>
      <c r="NK152" s="4"/>
      <c r="NL152" s="4"/>
      <c r="NM152" s="4"/>
      <c r="NN152" s="4"/>
      <c r="NO152" s="4"/>
      <c r="NP152" s="5"/>
      <c r="NQ152" s="6"/>
      <c r="NR152" s="4"/>
      <c r="NS152" s="4"/>
      <c r="NT152" s="4"/>
      <c r="NU152" s="4"/>
      <c r="NV152" s="4"/>
      <c r="NW152" s="5"/>
      <c r="NX152" s="6"/>
      <c r="NY152" s="4"/>
      <c r="NZ152" s="4"/>
      <c r="OA152" s="4"/>
      <c r="OB152" s="4"/>
      <c r="OC152" s="4"/>
      <c r="OD152" s="5"/>
      <c r="OE152" s="6"/>
      <c r="OF152" s="4"/>
      <c r="OG152" s="4"/>
      <c r="OH152" s="4"/>
      <c r="OI152" s="4"/>
      <c r="OJ152" s="4"/>
      <c r="OK152" s="5"/>
      <c r="OL152" s="6"/>
      <c r="OM152" s="4"/>
      <c r="ON152" s="4"/>
      <c r="OO152" s="4"/>
      <c r="OP152" s="4"/>
      <c r="OQ152" s="4"/>
      <c r="OR152" s="5"/>
      <c r="OS152" s="6"/>
      <c r="OT152" s="4"/>
      <c r="OU152" s="4"/>
      <c r="OV152" s="4"/>
      <c r="OW152" s="4"/>
      <c r="OX152" s="4"/>
      <c r="OY152" s="5"/>
      <c r="OZ152" s="6"/>
      <c r="PA152" s="4"/>
      <c r="PB152" s="4"/>
      <c r="PC152" s="4"/>
      <c r="PD152" s="4"/>
      <c r="PE152" s="4"/>
      <c r="PF152" s="5"/>
      <c r="PG152" s="6"/>
      <c r="PH152" s="4"/>
      <c r="PI152" s="4"/>
      <c r="PJ152" s="4"/>
      <c r="PK152" s="4"/>
      <c r="PL152" s="4"/>
      <c r="PM152" s="5"/>
      <c r="PN152" s="6"/>
      <c r="PO152" s="4"/>
      <c r="PP152" s="4"/>
      <c r="PQ152" s="4"/>
      <c r="PR152" s="4"/>
      <c r="PS152" s="4"/>
      <c r="PT152" s="5"/>
      <c r="PU152" s="6"/>
      <c r="PV152" s="4"/>
      <c r="PW152" s="4"/>
      <c r="PX152" s="4"/>
      <c r="PY152" s="4"/>
      <c r="PZ152" s="4"/>
      <c r="QA152" s="5"/>
      <c r="QB152" s="6"/>
      <c r="QC152" s="4"/>
      <c r="QD152" s="4"/>
      <c r="QE152" s="4"/>
      <c r="QF152" s="4"/>
      <c r="QG152" s="4"/>
      <c r="QH152" s="5"/>
      <c r="QI152" s="6"/>
      <c r="QJ152" s="4"/>
      <c r="QK152" s="4"/>
      <c r="QL152" s="4"/>
      <c r="QM152" s="4"/>
      <c r="QN152" s="4"/>
      <c r="QO152" s="5"/>
      <c r="QP152" s="6"/>
      <c r="QQ152" s="4"/>
      <c r="QR152" s="4"/>
      <c r="QS152" s="4"/>
      <c r="QT152" s="4"/>
      <c r="QU152" s="4"/>
      <c r="QV152" s="5"/>
      <c r="QW152" s="6"/>
      <c r="QX152" s="4"/>
      <c r="QY152" s="4"/>
      <c r="QZ152" s="4"/>
      <c r="RA152" s="4"/>
      <c r="RB152" s="4"/>
      <c r="RC152" s="5"/>
      <c r="RD152" s="6"/>
      <c r="RE152" s="4"/>
      <c r="RF152" s="4"/>
      <c r="RG152" s="4"/>
      <c r="RH152" s="4"/>
      <c r="RI152" s="4"/>
      <c r="RJ152" s="5"/>
      <c r="RK152" s="6"/>
      <c r="RL152" s="4"/>
      <c r="RM152" s="4"/>
      <c r="RN152" s="4"/>
      <c r="RO152" s="4"/>
      <c r="RP152" s="4"/>
      <c r="RQ152" s="5"/>
      <c r="RR152" s="6"/>
      <c r="RS152" s="4"/>
      <c r="RT152" s="4"/>
      <c r="RU152" s="4"/>
      <c r="RV152" s="4"/>
      <c r="RW152" s="4"/>
      <c r="RX152" s="5"/>
      <c r="RY152" s="6"/>
      <c r="RZ152" s="4"/>
      <c r="SA152" s="4"/>
      <c r="SB152" s="4"/>
      <c r="SC152" s="4"/>
      <c r="SD152" s="4"/>
      <c r="SE152" s="5"/>
      <c r="SF152" s="6"/>
      <c r="SG152" s="4"/>
      <c r="SH152" s="4"/>
      <c r="SI152" s="4"/>
      <c r="SJ152" s="4"/>
      <c r="SK152" s="4"/>
      <c r="SL152" s="5"/>
      <c r="SM152" s="6"/>
      <c r="SN152" s="4"/>
      <c r="SO152" s="4"/>
      <c r="SP152" s="4"/>
      <c r="SQ152" s="4"/>
      <c r="SR152" s="4"/>
      <c r="SS152" s="5"/>
      <c r="ST152" s="6"/>
      <c r="SU152" s="4"/>
      <c r="SV152" s="4"/>
      <c r="SW152" s="4"/>
      <c r="SX152" s="4"/>
      <c r="SY152" s="4"/>
      <c r="SZ152" s="5"/>
      <c r="TA152" s="6"/>
      <c r="TB152" s="4"/>
      <c r="TC152" s="4"/>
      <c r="TD152" s="4"/>
      <c r="TE152" s="4"/>
      <c r="TF152" s="4"/>
      <c r="TG152" s="5"/>
      <c r="TH152" s="6"/>
      <c r="TI152" s="4"/>
      <c r="TJ152" s="4"/>
      <c r="TK152" s="4"/>
      <c r="TL152" s="4"/>
      <c r="TM152" s="4"/>
      <c r="TN152" s="5"/>
      <c r="TO152" s="6"/>
      <c r="TP152" s="4"/>
      <c r="TQ152" s="4"/>
      <c r="TR152" s="4"/>
      <c r="TS152" s="4"/>
      <c r="TT152" s="4"/>
      <c r="TU152" s="5"/>
      <c r="TV152" s="6"/>
      <c r="TW152" s="4"/>
      <c r="TX152" s="4"/>
      <c r="TY152" s="4"/>
      <c r="TZ152" s="4"/>
      <c r="UA152" s="4"/>
      <c r="UB152" s="5"/>
      <c r="UC152" s="6"/>
      <c r="UD152" s="4"/>
      <c r="UE152" s="4"/>
      <c r="UF152" s="4"/>
      <c r="UG152" s="4"/>
      <c r="UH152" s="4"/>
      <c r="UI152" s="5"/>
      <c r="UJ152" s="6"/>
      <c r="UK152" s="4"/>
      <c r="UL152" s="4"/>
      <c r="UM152" s="4"/>
      <c r="UN152" s="4"/>
      <c r="UO152" s="4"/>
      <c r="UP152" s="5"/>
      <c r="UQ152" s="6"/>
      <c r="UR152" s="4"/>
      <c r="US152" s="4"/>
      <c r="UT152" s="4"/>
      <c r="UU152" s="4"/>
      <c r="UV152" s="4"/>
      <c r="UW152" s="5"/>
      <c r="UX152" s="6"/>
      <c r="UY152" s="4"/>
      <c r="UZ152" s="4"/>
      <c r="VA152" s="4"/>
      <c r="VB152" s="4"/>
      <c r="VC152" s="4"/>
      <c r="VD152" s="5"/>
      <c r="VE152" s="6"/>
      <c r="VF152" s="4"/>
      <c r="VG152" s="4"/>
      <c r="VH152" s="4"/>
      <c r="VI152" s="4"/>
      <c r="VJ152" s="4"/>
      <c r="VK152" s="5"/>
      <c r="VL152" s="6"/>
      <c r="VM152" s="4"/>
      <c r="VN152" s="4"/>
      <c r="VO152" s="4"/>
      <c r="VP152" s="4"/>
      <c r="VQ152" s="4"/>
      <c r="VR152" s="5"/>
      <c r="VS152" s="6"/>
      <c r="VT152" s="4"/>
      <c r="VU152" s="4"/>
      <c r="VV152" s="4"/>
      <c r="VW152" s="4"/>
      <c r="VX152" s="4"/>
      <c r="VY152" s="5"/>
      <c r="VZ152" s="6"/>
      <c r="WA152" s="4"/>
      <c r="WB152" s="4"/>
      <c r="WC152" s="4"/>
      <c r="WD152" s="4"/>
      <c r="WE152" s="4"/>
      <c r="WF152" s="5"/>
      <c r="WG152" s="6"/>
      <c r="WH152" s="4"/>
      <c r="WI152" s="4"/>
      <c r="WJ152" s="4"/>
      <c r="WK152" s="4"/>
      <c r="WL152" s="4"/>
      <c r="WM152" s="5"/>
      <c r="WN152" s="6"/>
      <c r="WO152" s="4"/>
      <c r="WP152" s="4"/>
      <c r="WQ152" s="4"/>
      <c r="WR152" s="4"/>
      <c r="WS152" s="4"/>
      <c r="WT152" s="5"/>
      <c r="WU152" s="6"/>
      <c r="WV152" s="4"/>
      <c r="WW152" s="4"/>
      <c r="WX152" s="4"/>
      <c r="WY152" s="4"/>
      <c r="WZ152" s="4"/>
      <c r="XA152" s="5"/>
      <c r="XB152" s="6"/>
      <c r="XC152" s="4"/>
      <c r="XD152" s="4"/>
      <c r="XE152" s="4"/>
      <c r="XF152" s="4"/>
      <c r="XG152" s="4"/>
      <c r="XH152" s="5"/>
      <c r="XI152" s="6"/>
      <c r="XJ152" s="4"/>
      <c r="XK152" s="4"/>
      <c r="XL152" s="4"/>
      <c r="XM152" s="4"/>
      <c r="XN152" s="4"/>
      <c r="XO152" s="5"/>
      <c r="XP152" s="6"/>
      <c r="XQ152" s="4"/>
      <c r="XR152" s="4"/>
      <c r="XS152" s="4"/>
      <c r="XT152" s="4"/>
      <c r="XU152" s="4"/>
      <c r="XV152" s="5"/>
      <c r="XW152" s="6"/>
      <c r="XX152" s="4"/>
      <c r="XY152" s="4"/>
      <c r="XZ152" s="4"/>
      <c r="YA152" s="4"/>
      <c r="YB152" s="4"/>
      <c r="YC152" s="5"/>
      <c r="YD152" s="6"/>
      <c r="YE152" s="4"/>
      <c r="YF152" s="4"/>
      <c r="YG152" s="4"/>
      <c r="YH152" s="4"/>
      <c r="YI152" s="4"/>
      <c r="YJ152" s="5"/>
      <c r="YK152" s="6"/>
      <c r="YL152" s="4"/>
      <c r="YM152" s="4"/>
      <c r="YN152" s="4"/>
      <c r="YO152" s="4"/>
      <c r="YP152" s="4"/>
      <c r="YQ152" s="5"/>
      <c r="YR152" s="6"/>
      <c r="YS152" s="4"/>
      <c r="YT152" s="4"/>
      <c r="YU152" s="4"/>
      <c r="YV152" s="4"/>
      <c r="YW152" s="4"/>
      <c r="YX152" s="5"/>
      <c r="YY152" s="6"/>
      <c r="YZ152" s="4"/>
      <c r="ZA152" s="4"/>
      <c r="ZB152" s="4"/>
      <c r="ZC152" s="4"/>
      <c r="ZD152" s="4"/>
      <c r="ZE152" s="5"/>
      <c r="ZF152" s="6"/>
      <c r="ZG152" s="4"/>
      <c r="ZH152" s="4"/>
      <c r="ZI152" s="4"/>
      <c r="ZJ152" s="4"/>
      <c r="ZK152" s="4"/>
      <c r="ZL152" s="5"/>
      <c r="ZM152" s="6"/>
      <c r="ZN152" s="4"/>
      <c r="ZO152" s="4"/>
      <c r="ZP152" s="4"/>
      <c r="ZQ152" s="4"/>
      <c r="ZR152" s="4"/>
      <c r="ZS152" s="5"/>
      <c r="ZT152" s="6"/>
      <c r="ZU152" s="4"/>
      <c r="ZV152" s="4"/>
      <c r="ZW152" s="4"/>
      <c r="ZX152" s="4"/>
      <c r="ZY152" s="4"/>
      <c r="ZZ152" s="5"/>
      <c r="AAA152" s="6"/>
      <c r="AAB152" s="4"/>
      <c r="AAC152" s="4"/>
      <c r="AAD152" s="4"/>
      <c r="AAE152" s="4"/>
      <c r="AAF152" s="4"/>
      <c r="AAG152" s="5"/>
      <c r="AAH152" s="6" t="s">
        <v>2020</v>
      </c>
      <c r="AAI152" s="4" t="s">
        <v>2021</v>
      </c>
      <c r="AAJ152" s="4"/>
      <c r="AAK152" s="4"/>
      <c r="AAL152" s="4"/>
      <c r="AAM152" s="4"/>
      <c r="AAN152" s="5"/>
      <c r="AAO152" s="6"/>
      <c r="AAP152" s="4"/>
      <c r="AAQ152" s="4"/>
      <c r="AAR152" s="4"/>
      <c r="AAS152" s="4"/>
      <c r="AAT152" s="4"/>
      <c r="AAU152" s="5"/>
      <c r="AAV152" s="6"/>
      <c r="AAW152" s="4"/>
      <c r="AAX152" s="4"/>
      <c r="AAY152" s="4"/>
      <c r="AAZ152" s="4"/>
      <c r="ABA152" s="4"/>
      <c r="ABB152" s="5"/>
      <c r="ABC152" s="6"/>
      <c r="ABD152" s="4"/>
      <c r="ABE152" s="4"/>
      <c r="ABF152" s="4"/>
      <c r="ABG152" s="4"/>
      <c r="ABH152" s="4"/>
      <c r="ABI152" s="5"/>
      <c r="ABJ152" s="6"/>
      <c r="ABK152" s="4"/>
      <c r="ABL152" s="4"/>
      <c r="ABM152" s="4"/>
      <c r="ABN152" s="4"/>
      <c r="ABO152" s="4"/>
      <c r="ABP152" s="5"/>
      <c r="ABQ152" s="6"/>
      <c r="ABR152" s="4"/>
      <c r="ABS152" s="4"/>
      <c r="ABT152" s="4"/>
      <c r="ABU152" s="4"/>
      <c r="ABV152" s="4"/>
      <c r="ABW152" s="5"/>
      <c r="ABX152" s="6"/>
      <c r="ABY152" s="4"/>
      <c r="ABZ152" s="4"/>
      <c r="ACA152" s="4"/>
      <c r="ACB152" s="4"/>
      <c r="ACC152" s="4"/>
      <c r="ACD152" s="5"/>
      <c r="ACE152" s="6"/>
      <c r="ACF152" s="4"/>
      <c r="ACG152" s="4"/>
      <c r="ACH152" s="4"/>
      <c r="ACI152" s="4"/>
      <c r="ACJ152" s="4"/>
      <c r="ACK152" s="5"/>
      <c r="ACL152" s="6"/>
      <c r="ACM152" s="4"/>
      <c r="ACN152" s="4"/>
      <c r="ACO152" s="4"/>
      <c r="ACP152" s="4"/>
      <c r="ACQ152" s="4"/>
      <c r="ACR152" s="5"/>
      <c r="ACS152" s="6"/>
      <c r="ACT152" s="4"/>
      <c r="ACU152" s="4"/>
      <c r="ACV152" s="4"/>
      <c r="ACW152" s="4"/>
      <c r="ACX152" s="4"/>
      <c r="ACY152" s="5"/>
    </row>
    <row r="153" spans="2:779" x14ac:dyDescent="0.25">
      <c r="B153" s="30"/>
      <c r="J153" s="12"/>
      <c r="K153" s="12"/>
      <c r="L153" s="12"/>
      <c r="LL153" s="6"/>
      <c r="LM153" s="4"/>
      <c r="LN153" s="4"/>
      <c r="LO153" s="4"/>
      <c r="LP153" s="4"/>
      <c r="LQ153" s="4"/>
      <c r="LR153" s="5"/>
      <c r="LS153" s="6"/>
      <c r="LT153" s="4"/>
      <c r="LU153" s="4"/>
      <c r="LV153" s="4"/>
      <c r="LW153" s="4"/>
      <c r="LX153" s="4"/>
      <c r="LY153" s="5"/>
      <c r="LZ153" s="6" t="s">
        <v>2156</v>
      </c>
      <c r="MA153" s="7" t="s">
        <v>2157</v>
      </c>
      <c r="MB153" s="4"/>
      <c r="MC153" s="4"/>
      <c r="MD153" s="8"/>
      <c r="ME153" s="4"/>
      <c r="MF153" s="4"/>
      <c r="MG153" s="5"/>
      <c r="MH153" s="6"/>
      <c r="MI153" s="4"/>
      <c r="MJ153" s="4"/>
      <c r="MK153" s="4"/>
      <c r="ML153" s="4"/>
      <c r="MM153" s="4"/>
      <c r="MN153" s="5"/>
      <c r="MO153" s="6"/>
      <c r="MP153" s="4"/>
      <c r="MQ153" s="4"/>
      <c r="MR153" s="4"/>
      <c r="MS153" s="4"/>
      <c r="MT153" s="4"/>
      <c r="MU153" s="5"/>
      <c r="MV153" s="6"/>
      <c r="MW153" s="4"/>
      <c r="MX153" s="4"/>
      <c r="MY153" s="4"/>
      <c r="MZ153" s="4"/>
      <c r="NA153" s="4"/>
      <c r="NB153" s="5"/>
      <c r="NC153" s="6"/>
      <c r="ND153" s="4"/>
      <c r="NE153" s="4"/>
      <c r="NF153" s="4"/>
      <c r="NG153" s="4"/>
      <c r="NH153" s="4"/>
      <c r="NI153" s="5"/>
      <c r="NJ153" s="6"/>
      <c r="NK153" s="4"/>
      <c r="NL153" s="4"/>
      <c r="NM153" s="4"/>
      <c r="NN153" s="4"/>
      <c r="NO153" s="4"/>
      <c r="NP153" s="5"/>
      <c r="NQ153" s="6"/>
      <c r="NR153" s="4"/>
      <c r="NS153" s="4"/>
      <c r="NT153" s="4"/>
      <c r="NU153" s="4"/>
      <c r="NV153" s="4"/>
      <c r="NW153" s="5"/>
      <c r="NX153" s="6"/>
      <c r="NY153" s="4"/>
      <c r="NZ153" s="4"/>
      <c r="OA153" s="4"/>
      <c r="OB153" s="4"/>
      <c r="OC153" s="4"/>
      <c r="OD153" s="5"/>
      <c r="OE153" s="6"/>
      <c r="OF153" s="4"/>
      <c r="OG153" s="4"/>
      <c r="OH153" s="4"/>
      <c r="OI153" s="4"/>
      <c r="OJ153" s="4"/>
      <c r="OK153" s="5"/>
      <c r="OL153" s="6"/>
      <c r="OM153" s="4"/>
      <c r="ON153" s="4"/>
      <c r="OO153" s="4"/>
      <c r="OP153" s="4"/>
      <c r="OQ153" s="4"/>
      <c r="OR153" s="5"/>
      <c r="OS153" s="6"/>
      <c r="OT153" s="4"/>
      <c r="OU153" s="4"/>
      <c r="OV153" s="4"/>
      <c r="OW153" s="4"/>
      <c r="OX153" s="4"/>
      <c r="OY153" s="5"/>
      <c r="OZ153" s="6"/>
      <c r="PA153" s="4"/>
      <c r="PB153" s="4"/>
      <c r="PC153" s="4"/>
      <c r="PD153" s="4"/>
      <c r="PE153" s="4"/>
      <c r="PF153" s="5"/>
      <c r="PG153" s="6"/>
      <c r="PH153" s="4"/>
      <c r="PI153" s="4"/>
      <c r="PJ153" s="4"/>
      <c r="PK153" s="4"/>
      <c r="PL153" s="4"/>
      <c r="PM153" s="5"/>
      <c r="PN153" s="6"/>
      <c r="PO153" s="4"/>
      <c r="PP153" s="4"/>
      <c r="PQ153" s="4"/>
      <c r="PR153" s="4"/>
      <c r="PS153" s="4"/>
      <c r="PT153" s="5"/>
      <c r="PU153" s="6"/>
      <c r="PV153" s="4"/>
      <c r="PW153" s="4"/>
      <c r="PX153" s="4"/>
      <c r="PY153" s="4"/>
      <c r="PZ153" s="4"/>
      <c r="QA153" s="5"/>
      <c r="QB153" s="6"/>
      <c r="QC153" s="4"/>
      <c r="QD153" s="4"/>
      <c r="QE153" s="4"/>
      <c r="QF153" s="4"/>
      <c r="QG153" s="4"/>
      <c r="QH153" s="5"/>
      <c r="QI153" s="6"/>
      <c r="QJ153" s="4"/>
      <c r="QK153" s="4"/>
      <c r="QL153" s="4"/>
      <c r="QM153" s="4"/>
      <c r="QN153" s="4"/>
      <c r="QO153" s="5"/>
      <c r="QP153" s="6"/>
      <c r="QQ153" s="4"/>
      <c r="QR153" s="4"/>
      <c r="QS153" s="4"/>
      <c r="QT153" s="4"/>
      <c r="QU153" s="4"/>
      <c r="QV153" s="5"/>
      <c r="QW153" s="6"/>
      <c r="QX153" s="4"/>
      <c r="QY153" s="4"/>
      <c r="QZ153" s="4"/>
      <c r="RA153" s="4"/>
      <c r="RB153" s="4"/>
      <c r="RC153" s="5"/>
      <c r="RD153" s="6"/>
      <c r="RE153" s="4"/>
      <c r="RF153" s="4"/>
      <c r="RG153" s="4"/>
      <c r="RH153" s="4"/>
      <c r="RI153" s="4"/>
      <c r="RJ153" s="5"/>
      <c r="RK153" s="6"/>
      <c r="RL153" s="4"/>
      <c r="RM153" s="4"/>
      <c r="RN153" s="4"/>
      <c r="RO153" s="4"/>
      <c r="RP153" s="4"/>
      <c r="RQ153" s="5"/>
      <c r="RR153" s="6"/>
      <c r="RS153" s="4"/>
      <c r="RT153" s="4"/>
      <c r="RU153" s="4"/>
      <c r="RV153" s="4"/>
      <c r="RW153" s="4"/>
      <c r="RX153" s="5"/>
      <c r="RY153" s="6"/>
      <c r="RZ153" s="4"/>
      <c r="SA153" s="4"/>
      <c r="SB153" s="4"/>
      <c r="SC153" s="4"/>
      <c r="SD153" s="4"/>
      <c r="SE153" s="5"/>
      <c r="SF153" s="6"/>
      <c r="SG153" s="4"/>
      <c r="SH153" s="4"/>
      <c r="SI153" s="4"/>
      <c r="SJ153" s="4"/>
      <c r="SK153" s="4"/>
      <c r="SL153" s="5"/>
      <c r="SM153" s="6"/>
      <c r="SN153" s="4"/>
      <c r="SO153" s="4"/>
      <c r="SP153" s="4"/>
      <c r="SQ153" s="4"/>
      <c r="SR153" s="4"/>
      <c r="SS153" s="5"/>
      <c r="ST153" s="6"/>
      <c r="SU153" s="4"/>
      <c r="SV153" s="4"/>
      <c r="SW153" s="4"/>
      <c r="SX153" s="4"/>
      <c r="SY153" s="4"/>
      <c r="SZ153" s="5"/>
      <c r="TA153" s="6"/>
      <c r="TB153" s="4"/>
      <c r="TC153" s="4"/>
      <c r="TD153" s="4"/>
      <c r="TE153" s="4"/>
      <c r="TF153" s="4"/>
      <c r="TG153" s="5"/>
      <c r="TH153" s="6"/>
      <c r="TI153" s="4"/>
      <c r="TJ153" s="4"/>
      <c r="TK153" s="4"/>
      <c r="TL153" s="4"/>
      <c r="TM153" s="4"/>
      <c r="TN153" s="5"/>
      <c r="TO153" s="6"/>
      <c r="TP153" s="4"/>
      <c r="TQ153" s="4"/>
      <c r="TR153" s="4"/>
      <c r="TS153" s="4"/>
      <c r="TT153" s="4"/>
      <c r="TU153" s="5"/>
      <c r="TV153" s="6"/>
      <c r="TW153" s="4"/>
      <c r="TX153" s="4"/>
      <c r="TY153" s="4"/>
      <c r="TZ153" s="4"/>
      <c r="UA153" s="4"/>
      <c r="UB153" s="5"/>
      <c r="UC153" s="6"/>
      <c r="UD153" s="4"/>
      <c r="UE153" s="4"/>
      <c r="UF153" s="4"/>
      <c r="UG153" s="4"/>
      <c r="UH153" s="4"/>
      <c r="UI153" s="5"/>
      <c r="UJ153" s="6"/>
      <c r="UK153" s="4"/>
      <c r="UL153" s="4"/>
      <c r="UM153" s="4"/>
      <c r="UN153" s="4"/>
      <c r="UO153" s="4"/>
      <c r="UP153" s="5"/>
      <c r="UQ153" s="6"/>
      <c r="UR153" s="4"/>
      <c r="US153" s="4"/>
      <c r="UT153" s="4"/>
      <c r="UU153" s="4"/>
      <c r="UV153" s="4"/>
      <c r="UW153" s="5"/>
      <c r="UX153" s="6"/>
      <c r="UY153" s="4"/>
      <c r="UZ153" s="4"/>
      <c r="VA153" s="4"/>
      <c r="VB153" s="4"/>
      <c r="VC153" s="4"/>
      <c r="VD153" s="5"/>
      <c r="VE153" s="6"/>
      <c r="VF153" s="4"/>
      <c r="VG153" s="4"/>
      <c r="VH153" s="4"/>
      <c r="VI153" s="4"/>
      <c r="VJ153" s="4"/>
      <c r="VK153" s="5"/>
      <c r="VL153" s="6"/>
      <c r="VM153" s="4"/>
      <c r="VN153" s="4"/>
      <c r="VO153" s="4"/>
      <c r="VP153" s="4"/>
      <c r="VQ153" s="4"/>
      <c r="VR153" s="5"/>
      <c r="VS153" s="6"/>
      <c r="VT153" s="4"/>
      <c r="VU153" s="4"/>
      <c r="VV153" s="4"/>
      <c r="VW153" s="4"/>
      <c r="VX153" s="4"/>
      <c r="VY153" s="5"/>
      <c r="VZ153" s="6"/>
      <c r="WA153" s="4"/>
      <c r="WB153" s="4"/>
      <c r="WC153" s="4"/>
      <c r="WD153" s="4"/>
      <c r="WE153" s="4"/>
      <c r="WF153" s="5"/>
      <c r="WG153" s="6"/>
      <c r="WH153" s="4"/>
      <c r="WI153" s="4"/>
      <c r="WJ153" s="4"/>
      <c r="WK153" s="4"/>
      <c r="WL153" s="4"/>
      <c r="WM153" s="5"/>
      <c r="WN153" s="6"/>
      <c r="WO153" s="4"/>
      <c r="WP153" s="4"/>
      <c r="WQ153" s="4"/>
      <c r="WR153" s="4"/>
      <c r="WS153" s="4"/>
      <c r="WT153" s="5"/>
      <c r="WU153" s="6"/>
      <c r="WV153" s="4"/>
      <c r="WW153" s="4"/>
      <c r="WX153" s="4"/>
      <c r="WY153" s="4"/>
      <c r="WZ153" s="4"/>
      <c r="XA153" s="5"/>
      <c r="XB153" s="6"/>
      <c r="XC153" s="4"/>
      <c r="XD153" s="4"/>
      <c r="XE153" s="4"/>
      <c r="XF153" s="4"/>
      <c r="XG153" s="4"/>
      <c r="XH153" s="5"/>
      <c r="XI153" s="6"/>
      <c r="XJ153" s="4"/>
      <c r="XK153" s="4"/>
      <c r="XL153" s="4"/>
      <c r="XM153" s="4"/>
      <c r="XN153" s="4"/>
      <c r="XO153" s="5"/>
      <c r="XP153" s="6"/>
      <c r="XQ153" s="4"/>
      <c r="XR153" s="4"/>
      <c r="XS153" s="4"/>
      <c r="XT153" s="4"/>
      <c r="XU153" s="4"/>
      <c r="XV153" s="5"/>
      <c r="XW153" s="6"/>
      <c r="XX153" s="4"/>
      <c r="XY153" s="4"/>
      <c r="XZ153" s="4"/>
      <c r="YA153" s="4"/>
      <c r="YB153" s="4"/>
      <c r="YC153" s="5"/>
      <c r="YD153" s="6"/>
      <c r="YE153" s="4"/>
      <c r="YF153" s="4"/>
      <c r="YG153" s="4"/>
      <c r="YH153" s="4"/>
      <c r="YI153" s="4"/>
      <c r="YJ153" s="5"/>
      <c r="YK153" s="6"/>
      <c r="YL153" s="4"/>
      <c r="YM153" s="4"/>
      <c r="YN153" s="4"/>
      <c r="YO153" s="4"/>
      <c r="YP153" s="4"/>
      <c r="YQ153" s="5"/>
      <c r="YR153" s="6"/>
      <c r="YS153" s="4"/>
      <c r="YT153" s="4"/>
      <c r="YU153" s="4"/>
      <c r="YV153" s="4"/>
      <c r="YW153" s="4"/>
      <c r="YX153" s="5"/>
      <c r="YY153" s="6"/>
      <c r="YZ153" s="4"/>
      <c r="ZA153" s="4"/>
      <c r="ZB153" s="4"/>
      <c r="ZC153" s="4"/>
      <c r="ZD153" s="4"/>
      <c r="ZE153" s="5"/>
      <c r="ZF153" s="6"/>
      <c r="ZG153" s="4"/>
      <c r="ZH153" s="4"/>
      <c r="ZI153" s="4"/>
      <c r="ZJ153" s="4"/>
      <c r="ZK153" s="4"/>
      <c r="ZL153" s="5"/>
      <c r="ZM153" s="6"/>
      <c r="ZN153" s="4"/>
      <c r="ZO153" s="4"/>
      <c r="ZP153" s="4"/>
      <c r="ZQ153" s="4"/>
      <c r="ZR153" s="4"/>
      <c r="ZS153" s="5"/>
      <c r="ZT153" s="6"/>
      <c r="ZU153" s="4"/>
      <c r="ZV153" s="4"/>
      <c r="ZW153" s="4"/>
      <c r="ZX153" s="4"/>
      <c r="ZY153" s="4"/>
      <c r="ZZ153" s="5"/>
      <c r="AAA153" s="6"/>
      <c r="AAB153" s="4"/>
      <c r="AAC153" s="4"/>
      <c r="AAD153" s="4"/>
      <c r="AAE153" s="4"/>
      <c r="AAF153" s="4"/>
      <c r="AAG153" s="5"/>
      <c r="AAH153" s="6"/>
      <c r="AAI153" s="4"/>
      <c r="AAJ153" s="4"/>
      <c r="AAK153" s="4"/>
      <c r="AAL153" s="4"/>
      <c r="AAM153" s="4"/>
      <c r="AAN153" s="5"/>
      <c r="AAO153" s="6"/>
      <c r="AAP153" s="4"/>
      <c r="AAQ153" s="4"/>
      <c r="AAR153" s="4"/>
      <c r="AAS153" s="4"/>
      <c r="AAT153" s="4"/>
      <c r="AAU153" s="5"/>
      <c r="AAV153" s="6"/>
      <c r="AAW153" s="4"/>
      <c r="AAX153" s="4"/>
      <c r="AAY153" s="4"/>
      <c r="AAZ153" s="4"/>
      <c r="ABA153" s="4"/>
      <c r="ABB153" s="5"/>
      <c r="ABC153" s="6"/>
      <c r="ABD153" s="4"/>
      <c r="ABE153" s="4"/>
      <c r="ABF153" s="4"/>
      <c r="ABG153" s="4"/>
      <c r="ABH153" s="4"/>
      <c r="ABI153" s="5"/>
      <c r="ABJ153" s="6"/>
      <c r="ABK153" s="4"/>
      <c r="ABL153" s="4"/>
      <c r="ABM153" s="4"/>
      <c r="ABN153" s="4"/>
      <c r="ABO153" s="4"/>
      <c r="ABP153" s="5"/>
      <c r="ABQ153" s="6"/>
      <c r="ABR153" s="4"/>
      <c r="ABS153" s="4"/>
      <c r="ABT153" s="4"/>
      <c r="ABU153" s="4"/>
      <c r="ABV153" s="4"/>
      <c r="ABW153" s="5"/>
      <c r="ABX153" s="6"/>
      <c r="ABY153" s="4"/>
      <c r="ABZ153" s="4"/>
      <c r="ACA153" s="4"/>
      <c r="ACB153" s="4"/>
      <c r="ACC153" s="4"/>
      <c r="ACD153" s="5"/>
      <c r="ACE153" s="6"/>
      <c r="ACF153" s="4"/>
      <c r="ACG153" s="4"/>
      <c r="ACH153" s="4"/>
      <c r="ACI153" s="4"/>
      <c r="ACJ153" s="4"/>
      <c r="ACK153" s="5"/>
      <c r="ACL153" s="6"/>
      <c r="ACM153" s="4"/>
      <c r="ACN153" s="4"/>
      <c r="ACO153" s="4"/>
      <c r="ACP153" s="4"/>
      <c r="ACQ153" s="4"/>
      <c r="ACR153" s="5"/>
      <c r="ACS153" s="6"/>
      <c r="ACT153" s="4"/>
      <c r="ACU153" s="4"/>
      <c r="ACV153" s="4"/>
      <c r="ACW153" s="4"/>
      <c r="ACX153" s="4"/>
      <c r="ACY153" s="5"/>
    </row>
    <row r="154" spans="2:779" x14ac:dyDescent="0.25">
      <c r="B154" s="29">
        <v>98000010</v>
      </c>
      <c r="C154">
        <v>66</v>
      </c>
      <c r="D154" t="s">
        <v>3729</v>
      </c>
      <c r="F154" s="23" t="s">
        <v>1781</v>
      </c>
      <c r="I154">
        <v>1</v>
      </c>
      <c r="J154" s="19">
        <v>34832</v>
      </c>
      <c r="K154" s="19"/>
      <c r="L154" s="19"/>
      <c r="LL154" s="6"/>
      <c r="LM154" s="4"/>
      <c r="LN154" s="4"/>
      <c r="LO154" s="4"/>
      <c r="LP154" s="4"/>
      <c r="LQ154" s="4"/>
      <c r="LR154" s="5"/>
      <c r="LS154" s="6"/>
      <c r="LT154" s="4"/>
      <c r="LU154" s="4"/>
      <c r="LV154" s="4"/>
      <c r="LW154" s="4"/>
      <c r="LX154" s="4"/>
      <c r="LY154" s="5"/>
      <c r="LZ154" s="6" t="s">
        <v>1890</v>
      </c>
      <c r="MA154" s="7" t="s">
        <v>2015</v>
      </c>
      <c r="MB154" s="4"/>
      <c r="MC154" s="4"/>
      <c r="MD154" s="8"/>
      <c r="ME154" s="4"/>
      <c r="MF154" s="4"/>
      <c r="MG154" s="5"/>
      <c r="MH154" s="6"/>
      <c r="MI154" s="4"/>
      <c r="MJ154" s="4"/>
      <c r="MK154" s="4"/>
      <c r="ML154" s="4"/>
      <c r="MM154" s="4"/>
      <c r="MN154" s="5"/>
      <c r="MO154" s="6"/>
      <c r="MP154" s="4"/>
      <c r="MQ154" s="4"/>
      <c r="MR154" s="4"/>
      <c r="MS154" s="4"/>
      <c r="MT154" s="4"/>
      <c r="MU154" s="5"/>
      <c r="MV154" s="6"/>
      <c r="MW154" s="4"/>
      <c r="MX154" s="4"/>
      <c r="MY154" s="4"/>
      <c r="MZ154" s="4"/>
      <c r="NA154" s="4"/>
      <c r="NB154" s="5"/>
      <c r="NC154" s="6" t="s">
        <v>2320</v>
      </c>
      <c r="ND154" s="4" t="s">
        <v>2699</v>
      </c>
      <c r="NE154" s="4"/>
      <c r="NF154" s="4"/>
      <c r="NG154" s="4"/>
      <c r="NH154" s="4"/>
      <c r="NI154" s="5"/>
      <c r="NJ154" s="6"/>
      <c r="NK154" s="4"/>
      <c r="NL154" s="4"/>
      <c r="NM154" s="4"/>
      <c r="NN154" s="4"/>
      <c r="NO154" s="4"/>
      <c r="NP154" s="5"/>
      <c r="NQ154" s="6"/>
      <c r="NR154" s="4"/>
      <c r="NS154" s="4"/>
      <c r="NT154" s="4"/>
      <c r="NU154" s="4"/>
      <c r="NV154" s="4"/>
      <c r="NW154" s="5"/>
      <c r="NX154" s="6"/>
      <c r="NY154" s="4"/>
      <c r="NZ154" s="4"/>
      <c r="OA154" s="4"/>
      <c r="OB154" s="4"/>
      <c r="OC154" s="4"/>
      <c r="OD154" s="5"/>
      <c r="OE154" s="6"/>
      <c r="OF154" s="4"/>
      <c r="OG154" s="4"/>
      <c r="OH154" s="4"/>
      <c r="OI154" s="4"/>
      <c r="OJ154" s="4"/>
      <c r="OK154" s="5"/>
      <c r="OL154" s="6"/>
      <c r="OM154" s="4"/>
      <c r="ON154" s="4"/>
      <c r="OO154" s="4"/>
      <c r="OP154" s="4"/>
      <c r="OQ154" s="4"/>
      <c r="OR154" s="5"/>
      <c r="OZ154" s="6"/>
      <c r="PA154" s="4"/>
      <c r="PB154" s="4"/>
      <c r="PC154" s="4"/>
      <c r="PD154" s="4"/>
      <c r="PE154" s="4"/>
      <c r="PF154" s="5"/>
      <c r="PG154" s="6"/>
      <c r="PH154" s="4"/>
      <c r="PI154" s="4"/>
      <c r="PJ154" s="4"/>
      <c r="PK154" s="4"/>
      <c r="PL154" s="4"/>
      <c r="PM154" s="5"/>
      <c r="PN154" s="6"/>
      <c r="PO154" s="4"/>
      <c r="PP154" s="4"/>
      <c r="PQ154" s="4"/>
      <c r="PR154" s="4"/>
      <c r="PS154" s="4"/>
      <c r="PT154" s="5"/>
      <c r="PU154" s="6" t="s">
        <v>2479</v>
      </c>
      <c r="PV154" s="4" t="s">
        <v>1991</v>
      </c>
      <c r="PW154" s="4"/>
      <c r="PX154" s="4"/>
      <c r="PY154" s="4"/>
      <c r="PZ154" s="4"/>
      <c r="QA154" s="5"/>
      <c r="QB154" s="6" t="s">
        <v>1891</v>
      </c>
      <c r="QC154" s="4" t="s">
        <v>1892</v>
      </c>
      <c r="QD154" s="4"/>
      <c r="QE154" s="4"/>
      <c r="QF154" s="4"/>
      <c r="QG154" s="4"/>
      <c r="QH154" s="5"/>
      <c r="QI154" s="6"/>
      <c r="QJ154" s="4"/>
      <c r="QK154" s="4"/>
      <c r="QL154" s="4"/>
      <c r="QM154" s="4"/>
      <c r="QN154" s="4"/>
      <c r="QO154" s="5"/>
      <c r="QP154" s="6"/>
      <c r="QQ154" s="4"/>
      <c r="QR154" s="4"/>
      <c r="QS154" s="4"/>
      <c r="QT154" s="4"/>
      <c r="QU154" s="4"/>
      <c r="QV154" s="5"/>
      <c r="QW154" s="6"/>
      <c r="QX154" s="4"/>
      <c r="QY154" s="4"/>
      <c r="QZ154" s="4"/>
      <c r="RA154" s="4"/>
      <c r="RB154" s="4"/>
      <c r="RC154" s="5"/>
      <c r="RD154" s="6"/>
      <c r="RE154" s="4"/>
      <c r="RF154" s="4"/>
      <c r="RG154" s="4"/>
      <c r="RH154" s="4"/>
      <c r="RI154" s="4"/>
      <c r="RJ154" s="5"/>
      <c r="RK154" s="6" t="s">
        <v>1981</v>
      </c>
      <c r="RL154" s="4" t="s">
        <v>2319</v>
      </c>
      <c r="RM154" s="4"/>
      <c r="RN154" s="4"/>
      <c r="RO154" s="4"/>
      <c r="RP154" s="4"/>
      <c r="RQ154" s="5"/>
      <c r="RR154" s="6"/>
      <c r="RS154" s="4"/>
      <c r="RT154" s="4"/>
      <c r="RU154" s="4"/>
      <c r="RV154" s="4"/>
      <c r="RW154" s="4"/>
      <c r="RX154" s="5"/>
      <c r="RY154" s="6"/>
      <c r="RZ154" s="4"/>
      <c r="SA154" s="4"/>
      <c r="SB154" s="4"/>
      <c r="SC154" s="4"/>
      <c r="SD154" s="4"/>
      <c r="SE154" s="5"/>
      <c r="SF154" s="6"/>
      <c r="SG154" s="4"/>
      <c r="SH154" s="4"/>
      <c r="SI154" s="4"/>
      <c r="SJ154" s="4"/>
      <c r="SK154" s="4"/>
      <c r="SL154" s="5"/>
      <c r="SM154" s="6"/>
      <c r="SN154" s="4"/>
      <c r="SO154" s="4"/>
      <c r="SP154" s="4"/>
      <c r="SQ154" s="4"/>
      <c r="SR154" s="4"/>
      <c r="SS154" s="5"/>
      <c r="ST154" s="6"/>
      <c r="SU154" s="4"/>
      <c r="SV154" s="4"/>
      <c r="SW154" s="4"/>
      <c r="SX154" s="4"/>
      <c r="SY154" s="4"/>
      <c r="SZ154" s="5"/>
      <c r="TA154" s="6"/>
      <c r="TB154" s="4"/>
      <c r="TC154" s="4"/>
      <c r="TD154" s="4"/>
      <c r="TE154" s="4"/>
      <c r="TF154" s="4"/>
      <c r="TG154" s="5"/>
      <c r="TH154" s="6"/>
      <c r="TI154" s="4"/>
      <c r="TJ154" s="4"/>
      <c r="TK154" s="4"/>
      <c r="TL154" s="4"/>
      <c r="TM154" s="4"/>
      <c r="TN154" s="5"/>
      <c r="TO154" s="6"/>
      <c r="TP154" s="4"/>
      <c r="TQ154" s="4"/>
      <c r="TR154" s="4"/>
      <c r="TS154" s="4"/>
      <c r="TT154" s="4"/>
      <c r="TU154" s="5"/>
      <c r="TV154" s="6" t="s">
        <v>1979</v>
      </c>
      <c r="TW154" s="4" t="s">
        <v>1980</v>
      </c>
      <c r="TX154" s="4"/>
      <c r="TY154" s="4"/>
      <c r="TZ154" s="4"/>
      <c r="UA154" s="4"/>
      <c r="UB154" s="5"/>
      <c r="UC154" s="6" t="s">
        <v>1749</v>
      </c>
      <c r="UD154" s="4" t="s">
        <v>1750</v>
      </c>
      <c r="UE154" s="4"/>
      <c r="UF154" s="4"/>
      <c r="UG154" s="4"/>
      <c r="UH154" s="4"/>
      <c r="UI154" s="5"/>
      <c r="UJ154" s="6"/>
      <c r="UK154" s="4"/>
      <c r="UL154" s="4"/>
      <c r="UM154" s="4"/>
      <c r="UN154" s="4"/>
      <c r="UO154" s="4"/>
      <c r="UP154" s="5"/>
      <c r="UQ154" s="6"/>
      <c r="UR154" s="4"/>
      <c r="US154" s="4"/>
      <c r="UT154" s="4"/>
      <c r="UU154" s="4"/>
      <c r="UV154" s="4"/>
      <c r="UW154" s="5"/>
      <c r="UX154" s="6" t="s">
        <v>1830</v>
      </c>
      <c r="UY154" s="4" t="s">
        <v>1831</v>
      </c>
      <c r="UZ154" s="4"/>
      <c r="VA154" s="4"/>
      <c r="VB154" s="4"/>
      <c r="VC154" s="4"/>
      <c r="VD154" s="5"/>
      <c r="VE154" s="6"/>
      <c r="VF154" s="4"/>
      <c r="VG154" s="4"/>
      <c r="VH154" s="4"/>
      <c r="VI154" s="4"/>
      <c r="VJ154" s="4"/>
      <c r="VK154" s="5"/>
      <c r="VL154" s="6"/>
      <c r="VM154" s="4"/>
      <c r="VN154" s="4"/>
      <c r="VO154" s="4"/>
      <c r="VP154" s="4"/>
      <c r="VQ154" s="4"/>
      <c r="VR154" s="5"/>
      <c r="VS154" s="6"/>
      <c r="VT154" s="4"/>
      <c r="VU154" s="4"/>
      <c r="VV154" s="4"/>
      <c r="VW154" s="4"/>
      <c r="VX154" s="4"/>
      <c r="VY154" s="5"/>
      <c r="VZ154" s="6"/>
      <c r="WA154" s="4"/>
      <c r="WB154" s="4"/>
      <c r="WC154" s="4"/>
      <c r="WD154" s="4"/>
      <c r="WE154" s="4"/>
      <c r="WF154" s="5"/>
      <c r="WG154" s="6"/>
      <c r="WH154" s="4"/>
      <c r="WI154" s="4"/>
      <c r="WJ154" s="4"/>
      <c r="WK154" s="4"/>
      <c r="WL154" s="4"/>
      <c r="WM154" s="5"/>
      <c r="WN154" s="6"/>
      <c r="WO154" s="4"/>
      <c r="WP154" s="4"/>
      <c r="WQ154" s="4"/>
      <c r="WR154" s="4"/>
      <c r="WS154" s="4"/>
      <c r="WT154" s="5"/>
      <c r="WU154" s="6"/>
      <c r="WV154" s="4"/>
      <c r="WW154" s="4"/>
      <c r="WX154" s="4"/>
      <c r="WY154" s="4"/>
      <c r="WZ154" s="4"/>
      <c r="XA154" s="5"/>
      <c r="XB154" s="6"/>
      <c r="XC154" s="4"/>
      <c r="XD154" s="4"/>
      <c r="XE154" s="4"/>
      <c r="XF154" s="4"/>
      <c r="XG154" s="4"/>
      <c r="XH154" s="5"/>
      <c r="XI154" s="6"/>
      <c r="XJ154" s="4"/>
      <c r="XK154" s="4"/>
      <c r="XL154" s="4"/>
      <c r="XM154" s="4"/>
      <c r="XN154" s="4"/>
      <c r="XO154" s="5"/>
      <c r="XP154" s="6"/>
      <c r="XQ154" s="4"/>
      <c r="XR154" s="4"/>
      <c r="XS154" s="4"/>
      <c r="XT154" s="4"/>
      <c r="XU154" s="4"/>
      <c r="XV154" s="5"/>
      <c r="XW154" s="6"/>
      <c r="XX154" s="4"/>
      <c r="XY154" s="4"/>
      <c r="XZ154" s="4"/>
      <c r="YA154" s="4"/>
      <c r="YB154" s="4"/>
      <c r="YC154" s="5"/>
      <c r="YD154" s="6"/>
      <c r="YE154" s="4"/>
      <c r="YF154" s="4"/>
      <c r="YG154" s="4"/>
      <c r="YH154" s="4"/>
      <c r="YI154" s="4"/>
      <c r="YJ154" s="5"/>
      <c r="YK154" s="6"/>
      <c r="YL154" s="4"/>
      <c r="YM154" s="4"/>
      <c r="YN154" s="4"/>
      <c r="YO154" s="4"/>
      <c r="YP154" s="4"/>
      <c r="YQ154" s="5"/>
      <c r="YR154" s="6"/>
      <c r="YS154" s="4"/>
      <c r="YT154" s="4"/>
      <c r="YU154" s="4"/>
      <c r="YV154" s="4"/>
      <c r="YW154" s="4"/>
      <c r="YX154" s="5"/>
      <c r="YY154" s="6"/>
      <c r="YZ154" s="4"/>
      <c r="ZA154" s="4"/>
      <c r="ZB154" s="4"/>
      <c r="ZC154" s="4"/>
      <c r="ZD154" s="4"/>
      <c r="ZE154" s="5"/>
      <c r="ZF154" s="6"/>
      <c r="ZG154" s="4"/>
      <c r="ZH154" s="4"/>
      <c r="ZI154" s="4"/>
      <c r="ZJ154" s="4"/>
      <c r="ZK154" s="4"/>
      <c r="ZL154" s="5"/>
      <c r="ZM154" s="6"/>
      <c r="ZN154" s="4"/>
      <c r="ZO154" s="4"/>
      <c r="ZP154" s="4"/>
      <c r="ZQ154" s="4"/>
      <c r="ZR154" s="4"/>
      <c r="ZS154" s="5"/>
      <c r="ZT154" s="6" t="s">
        <v>1894</v>
      </c>
      <c r="ZU154" s="4" t="s">
        <v>1747</v>
      </c>
      <c r="ZV154" s="4"/>
      <c r="ZW154" s="4"/>
      <c r="ZX154" s="4"/>
      <c r="ZY154" s="4"/>
      <c r="ZZ154" s="5"/>
      <c r="AAA154" s="6"/>
      <c r="AAB154" s="4"/>
      <c r="AAC154" s="4"/>
      <c r="AAD154" s="4"/>
      <c r="AAE154" s="4"/>
      <c r="AAF154" s="4"/>
      <c r="AAG154" s="5"/>
      <c r="AAH154" s="6" t="s">
        <v>2895</v>
      </c>
      <c r="AAI154" s="4" t="s">
        <v>2581</v>
      </c>
      <c r="AAJ154" s="4"/>
      <c r="AAK154" s="4"/>
      <c r="AAL154" s="4"/>
      <c r="AAM154" s="4"/>
      <c r="AAN154" s="5"/>
      <c r="AAO154" s="6"/>
      <c r="AAP154" s="4"/>
      <c r="AAQ154" s="4"/>
      <c r="AAR154" s="4"/>
      <c r="AAS154" s="4"/>
      <c r="AAT154" s="4"/>
      <c r="AAU154" s="5"/>
      <c r="AAV154" s="6"/>
      <c r="AAW154" s="4"/>
      <c r="AAX154" s="4"/>
      <c r="AAY154" s="4"/>
      <c r="AAZ154" s="4"/>
      <c r="ABA154" s="4"/>
      <c r="ABB154" s="5"/>
      <c r="ABC154" s="6"/>
      <c r="ABD154" s="4"/>
      <c r="ABE154" s="4"/>
      <c r="ABF154" s="4"/>
      <c r="ABG154" s="4"/>
      <c r="ABH154" s="4"/>
      <c r="ABI154" s="5"/>
      <c r="ABJ154" s="6"/>
      <c r="ABK154" s="4"/>
      <c r="ABL154" s="4"/>
      <c r="ABM154" s="4"/>
      <c r="ABN154" s="4"/>
      <c r="ABO154" s="4"/>
      <c r="ABP154" s="5"/>
      <c r="ABQ154" s="6"/>
      <c r="ABR154" s="4"/>
      <c r="ABS154" s="4"/>
      <c r="ABT154" s="4"/>
      <c r="ABU154" s="4"/>
      <c r="ABV154" s="4"/>
      <c r="ABW154" s="5"/>
      <c r="ABX154" s="6"/>
      <c r="ABY154" s="4"/>
      <c r="ABZ154" s="4"/>
      <c r="ACA154" s="4"/>
      <c r="ACB154" s="4"/>
      <c r="ACC154" s="4"/>
      <c r="ACD154" s="5"/>
      <c r="ACE154" s="6"/>
      <c r="ACF154" s="4"/>
      <c r="ACG154" s="4"/>
      <c r="ACH154" s="4"/>
      <c r="ACI154" s="4"/>
      <c r="ACJ154" s="4"/>
      <c r="ACK154" s="5"/>
      <c r="ACL154" s="6" t="s">
        <v>1900</v>
      </c>
      <c r="ACM154" s="4" t="s">
        <v>1674</v>
      </c>
      <c r="ACN154" s="4"/>
      <c r="ACO154" s="4"/>
      <c r="ACP154" s="4"/>
      <c r="ACQ154" s="4"/>
      <c r="ACR154" s="5"/>
      <c r="ACS154" s="6"/>
      <c r="ACT154" s="4"/>
      <c r="ACU154" s="4"/>
      <c r="ACV154" s="4"/>
      <c r="ACW154" s="4"/>
      <c r="ACX154" s="4"/>
      <c r="ACY154" s="5"/>
    </row>
    <row r="155" spans="2:779" x14ac:dyDescent="0.25">
      <c r="B155" s="30"/>
      <c r="J155" s="12"/>
      <c r="K155" s="12"/>
      <c r="L155" s="12"/>
      <c r="LL155" s="6"/>
      <c r="LM155" s="4"/>
      <c r="LN155" s="4"/>
      <c r="LO155" s="4"/>
      <c r="LP155" s="4"/>
      <c r="LQ155" s="4"/>
      <c r="LR155" s="5"/>
      <c r="LS155" s="6"/>
      <c r="LT155" s="4"/>
      <c r="LU155" s="4"/>
      <c r="LV155" s="4"/>
      <c r="LW155" s="4"/>
      <c r="LX155" s="4"/>
      <c r="LY155" s="5"/>
      <c r="LZ155" s="6" t="s">
        <v>1893</v>
      </c>
      <c r="MA155" s="7" t="s">
        <v>2261</v>
      </c>
      <c r="MB155" s="4"/>
      <c r="MC155" s="4"/>
      <c r="MD155" s="8"/>
      <c r="ME155" s="4"/>
      <c r="MF155" s="4"/>
      <c r="MG155" s="5"/>
      <c r="MH155" s="6"/>
      <c r="MI155" s="4"/>
      <c r="MJ155" s="4"/>
      <c r="MK155" s="4"/>
      <c r="ML155" s="4"/>
      <c r="MM155" s="4"/>
      <c r="MN155" s="5"/>
      <c r="MO155" s="6"/>
      <c r="MP155" s="4"/>
      <c r="MQ155" s="4"/>
      <c r="MR155" s="4"/>
      <c r="MS155" s="4"/>
      <c r="MT155" s="4"/>
      <c r="MU155" s="5"/>
      <c r="MV155" s="6"/>
      <c r="MW155" s="4"/>
      <c r="MX155" s="4"/>
      <c r="MY155" s="4"/>
      <c r="MZ155" s="4"/>
      <c r="NA155" s="4"/>
      <c r="NB155" s="5"/>
      <c r="NC155" s="6"/>
      <c r="ND155" s="4"/>
      <c r="NE155" s="4"/>
      <c r="NF155" s="4"/>
      <c r="NG155" s="4"/>
      <c r="NH155" s="4"/>
      <c r="NI155" s="5"/>
      <c r="NJ155" s="6"/>
      <c r="NK155" s="4"/>
      <c r="NL155" s="4"/>
      <c r="NM155" s="4"/>
      <c r="NN155" s="4"/>
      <c r="NO155" s="4"/>
      <c r="NP155" s="5"/>
      <c r="NQ155" s="6"/>
      <c r="NR155" s="4"/>
      <c r="NS155" s="4"/>
      <c r="NT155" s="4"/>
      <c r="NU155" s="4"/>
      <c r="NV155" s="4"/>
      <c r="NW155" s="5"/>
      <c r="NX155" s="6"/>
      <c r="NY155" s="4"/>
      <c r="NZ155" s="4"/>
      <c r="OA155" s="4"/>
      <c r="OB155" s="4"/>
      <c r="OC155" s="4"/>
      <c r="OD155" s="5"/>
      <c r="OE155" s="6"/>
      <c r="OF155" s="4"/>
      <c r="OG155" s="4"/>
      <c r="OH155" s="4"/>
      <c r="OI155" s="4"/>
      <c r="OJ155" s="4"/>
      <c r="OK155" s="5"/>
      <c r="OL155" s="6"/>
      <c r="OM155" s="4"/>
      <c r="ON155" s="4"/>
      <c r="OO155" s="4"/>
      <c r="OP155" s="4"/>
      <c r="OQ155" s="4"/>
      <c r="OR155" s="5"/>
      <c r="OS155" s="6"/>
      <c r="OT155" s="4"/>
      <c r="OU155" s="4"/>
      <c r="OV155" s="4"/>
      <c r="OW155" s="4"/>
      <c r="OX155" s="4"/>
      <c r="OY155" s="5"/>
      <c r="OZ155" s="6"/>
      <c r="PA155" s="4"/>
      <c r="PB155" s="4"/>
      <c r="PC155" s="4"/>
      <c r="PD155" s="4"/>
      <c r="PE155" s="4"/>
      <c r="PF155" s="5"/>
      <c r="PG155" s="6"/>
      <c r="PH155" s="4"/>
      <c r="PI155" s="4"/>
      <c r="PJ155" s="4"/>
      <c r="PK155" s="4"/>
      <c r="PL155" s="4"/>
      <c r="PM155" s="5"/>
      <c r="PN155" s="6"/>
      <c r="PO155" s="4"/>
      <c r="PP155" s="4"/>
      <c r="PQ155" s="4"/>
      <c r="PR155" s="4"/>
      <c r="PS155" s="4"/>
      <c r="PT155" s="5"/>
      <c r="PU155" s="6"/>
      <c r="PV155" s="4"/>
      <c r="PW155" s="4"/>
      <c r="PX155" s="4"/>
      <c r="PY155" s="4"/>
      <c r="PZ155" s="4"/>
      <c r="QA155" s="5"/>
      <c r="QB155" s="6"/>
      <c r="QC155" s="4"/>
      <c r="QD155" s="4"/>
      <c r="QE155" s="4"/>
      <c r="QF155" s="4"/>
      <c r="QG155" s="4"/>
      <c r="QH155" s="5"/>
      <c r="QI155" s="6"/>
      <c r="QJ155" s="4"/>
      <c r="QK155" s="4"/>
      <c r="QL155" s="4"/>
      <c r="QM155" s="4"/>
      <c r="QN155" s="4"/>
      <c r="QO155" s="5"/>
      <c r="QP155" s="6"/>
      <c r="QQ155" s="4"/>
      <c r="QR155" s="4"/>
      <c r="QS155" s="4"/>
      <c r="QT155" s="4"/>
      <c r="QU155" s="4"/>
      <c r="QV155" s="5"/>
      <c r="QW155" s="6"/>
      <c r="QX155" s="4"/>
      <c r="QY155" s="4"/>
      <c r="QZ155" s="4"/>
      <c r="RA155" s="4"/>
      <c r="RB155" s="4"/>
      <c r="RC155" s="5"/>
      <c r="RD155" s="6"/>
      <c r="RE155" s="4"/>
      <c r="RF155" s="4"/>
      <c r="RG155" s="4"/>
      <c r="RH155" s="4"/>
      <c r="RI155" s="4"/>
      <c r="RJ155" s="5"/>
      <c r="RK155" s="6"/>
      <c r="RL155" s="4"/>
      <c r="RM155" s="4"/>
      <c r="RN155" s="4"/>
      <c r="RO155" s="4"/>
      <c r="RP155" s="4"/>
      <c r="RQ155" s="5"/>
      <c r="RR155" s="6"/>
      <c r="RS155" s="4"/>
      <c r="RT155" s="4"/>
      <c r="RU155" s="4"/>
      <c r="RV155" s="4"/>
      <c r="RW155" s="4"/>
      <c r="RX155" s="5"/>
      <c r="RY155" s="6"/>
      <c r="RZ155" s="4"/>
      <c r="SA155" s="4"/>
      <c r="SB155" s="4"/>
      <c r="SC155" s="4"/>
      <c r="SD155" s="4"/>
      <c r="SE155" s="5"/>
      <c r="SF155" s="6"/>
      <c r="SG155" s="4"/>
      <c r="SH155" s="4"/>
      <c r="SI155" s="4"/>
      <c r="SJ155" s="4"/>
      <c r="SK155" s="4"/>
      <c r="SL155" s="5"/>
      <c r="SM155" s="6"/>
      <c r="SN155" s="4"/>
      <c r="SO155" s="4"/>
      <c r="SP155" s="4"/>
      <c r="SQ155" s="4"/>
      <c r="SR155" s="4"/>
      <c r="SS155" s="5"/>
      <c r="ST155" s="6"/>
      <c r="SU155" s="4"/>
      <c r="SV155" s="4"/>
      <c r="SW155" s="4"/>
      <c r="SX155" s="4"/>
      <c r="SY155" s="4"/>
      <c r="SZ155" s="5"/>
      <c r="TA155" s="6"/>
      <c r="TB155" s="4"/>
      <c r="TC155" s="4"/>
      <c r="TD155" s="4"/>
      <c r="TE155" s="4"/>
      <c r="TF155" s="4"/>
      <c r="TG155" s="5"/>
      <c r="TH155" s="6"/>
      <c r="TI155" s="4"/>
      <c r="TJ155" s="4"/>
      <c r="TK155" s="4"/>
      <c r="TL155" s="4"/>
      <c r="TM155" s="4"/>
      <c r="TN155" s="5"/>
      <c r="TO155" s="6"/>
      <c r="TP155" s="4"/>
      <c r="TQ155" s="4"/>
      <c r="TR155" s="4"/>
      <c r="TS155" s="4"/>
      <c r="TT155" s="4"/>
      <c r="TU155" s="5"/>
      <c r="TV155" s="6"/>
      <c r="TW155" s="4"/>
      <c r="TX155" s="4"/>
      <c r="TY155" s="4"/>
      <c r="TZ155" s="4"/>
      <c r="UA155" s="4"/>
      <c r="UB155" s="5"/>
      <c r="UC155" s="6" t="s">
        <v>2095</v>
      </c>
      <c r="UD155" s="4" t="s">
        <v>2013</v>
      </c>
      <c r="UE155" s="4"/>
      <c r="UF155" s="4"/>
      <c r="UG155" s="4"/>
      <c r="UH155" s="4"/>
      <c r="UI155" s="5"/>
      <c r="UJ155" s="6"/>
      <c r="UK155" s="4"/>
      <c r="UL155" s="4"/>
      <c r="UM155" s="4"/>
      <c r="UN155" s="4"/>
      <c r="UO155" s="4"/>
      <c r="UP155" s="5"/>
      <c r="UQ155" s="6"/>
      <c r="UR155" s="4"/>
      <c r="US155" s="4"/>
      <c r="UT155" s="4"/>
      <c r="UU155" s="4"/>
      <c r="UV155" s="4"/>
      <c r="UW155" s="5"/>
      <c r="UX155" s="6" t="s">
        <v>1832</v>
      </c>
      <c r="UY155" s="4" t="s">
        <v>1826</v>
      </c>
      <c r="UZ155" s="4"/>
      <c r="VA155" s="4"/>
      <c r="VB155" s="4"/>
      <c r="VC155" s="4"/>
      <c r="VD155" s="5"/>
      <c r="VE155" s="6"/>
      <c r="VF155" s="4"/>
      <c r="VG155" s="4"/>
      <c r="VH155" s="4"/>
      <c r="VI155" s="4"/>
      <c r="VJ155" s="4"/>
      <c r="VK155" s="5"/>
      <c r="VL155" s="6"/>
      <c r="VM155" s="4"/>
      <c r="VN155" s="4"/>
      <c r="VO155" s="4"/>
      <c r="VP155" s="4"/>
      <c r="VQ155" s="4"/>
      <c r="VR155" s="5"/>
      <c r="VS155" s="6"/>
      <c r="VT155" s="4"/>
      <c r="VU155" s="4"/>
      <c r="VV155" s="4"/>
      <c r="VW155" s="4"/>
      <c r="VX155" s="4"/>
      <c r="VY155" s="5"/>
      <c r="VZ155" s="6"/>
      <c r="WA155" s="4"/>
      <c r="WB155" s="4"/>
      <c r="WC155" s="4"/>
      <c r="WD155" s="4"/>
      <c r="WE155" s="4"/>
      <c r="WF155" s="5"/>
      <c r="WG155" s="6"/>
      <c r="WH155" s="4"/>
      <c r="WI155" s="4"/>
      <c r="WJ155" s="4"/>
      <c r="WK155" s="4"/>
      <c r="WL155" s="4"/>
      <c r="WM155" s="5"/>
      <c r="WN155" s="6"/>
      <c r="WO155" s="4"/>
      <c r="WP155" s="4"/>
      <c r="WQ155" s="4"/>
      <c r="WR155" s="4"/>
      <c r="WS155" s="4"/>
      <c r="WT155" s="5"/>
      <c r="WU155" s="6"/>
      <c r="WV155" s="4"/>
      <c r="WW155" s="4"/>
      <c r="WX155" s="4"/>
      <c r="WY155" s="4"/>
      <c r="WZ155" s="4"/>
      <c r="XA155" s="5"/>
      <c r="XB155" s="6"/>
      <c r="XC155" s="4"/>
      <c r="XD155" s="4"/>
      <c r="XE155" s="4"/>
      <c r="XF155" s="4"/>
      <c r="XG155" s="4"/>
      <c r="XH155" s="5"/>
      <c r="XI155" s="6"/>
      <c r="XJ155" s="4"/>
      <c r="XK155" s="4"/>
      <c r="XL155" s="4"/>
      <c r="XM155" s="4"/>
      <c r="XN155" s="4"/>
      <c r="XO155" s="5"/>
      <c r="XP155" s="6"/>
      <c r="XQ155" s="4"/>
      <c r="XR155" s="4"/>
      <c r="XS155" s="4"/>
      <c r="XT155" s="4"/>
      <c r="XU155" s="4"/>
      <c r="XV155" s="5"/>
      <c r="XW155" s="6"/>
      <c r="XX155" s="4"/>
      <c r="XY155" s="4"/>
      <c r="XZ155" s="4"/>
      <c r="YA155" s="4"/>
      <c r="YB155" s="4"/>
      <c r="YC155" s="5"/>
      <c r="YD155" s="6"/>
      <c r="YE155" s="4"/>
      <c r="YF155" s="4"/>
      <c r="YG155" s="4"/>
      <c r="YH155" s="4"/>
      <c r="YI155" s="4"/>
      <c r="YJ155" s="5"/>
      <c r="YK155" s="6"/>
      <c r="YL155" s="4"/>
      <c r="YM155" s="4"/>
      <c r="YN155" s="4"/>
      <c r="YO155" s="4"/>
      <c r="YP155" s="4"/>
      <c r="YQ155" s="5"/>
      <c r="YR155" s="6"/>
      <c r="YS155" s="4"/>
      <c r="YT155" s="4"/>
      <c r="YU155" s="4"/>
      <c r="YV155" s="4"/>
      <c r="YW155" s="4"/>
      <c r="YX155" s="5"/>
      <c r="YY155" s="6"/>
      <c r="YZ155" s="4"/>
      <c r="ZA155" s="4"/>
      <c r="ZB155" s="4"/>
      <c r="ZC155" s="4"/>
      <c r="ZD155" s="4"/>
      <c r="ZE155" s="5"/>
      <c r="ZF155" s="6"/>
      <c r="ZG155" s="4"/>
      <c r="ZH155" s="4"/>
      <c r="ZI155" s="4"/>
      <c r="ZJ155" s="4"/>
      <c r="ZK155" s="4"/>
      <c r="ZL155" s="5"/>
      <c r="ZM155" s="6"/>
      <c r="ZN155" s="4"/>
      <c r="ZO155" s="4"/>
      <c r="ZP155" s="4"/>
      <c r="ZQ155" s="4"/>
      <c r="ZR155" s="4"/>
      <c r="ZS155" s="5"/>
      <c r="ZT155" s="6"/>
      <c r="ZU155" s="4"/>
      <c r="ZV155" s="4"/>
      <c r="ZW155" s="4"/>
      <c r="ZX155" s="4"/>
      <c r="ZY155" s="4"/>
      <c r="ZZ155" s="5"/>
      <c r="AAA155" s="6"/>
      <c r="AAB155" s="4"/>
      <c r="AAC155" s="4"/>
      <c r="AAD155" s="4"/>
      <c r="AAE155" s="4"/>
      <c r="AAF155" s="4"/>
      <c r="AAG155" s="5"/>
      <c r="AAH155" s="6"/>
      <c r="AAI155" s="4"/>
      <c r="AAJ155" s="4"/>
      <c r="AAK155" s="4"/>
      <c r="AAL155" s="4"/>
      <c r="AAM155" s="4"/>
      <c r="AAN155" s="5"/>
      <c r="AAO155" s="6"/>
      <c r="AAP155" s="4"/>
      <c r="AAQ155" s="4"/>
      <c r="AAR155" s="4"/>
      <c r="AAS155" s="4"/>
      <c r="AAT155" s="4"/>
      <c r="AAU155" s="5"/>
      <c r="AAV155" s="6"/>
      <c r="AAW155" s="4"/>
      <c r="AAX155" s="4"/>
      <c r="AAY155" s="4"/>
      <c r="AAZ155" s="4"/>
      <c r="ABA155" s="4"/>
      <c r="ABB155" s="5"/>
      <c r="ABC155" s="6"/>
      <c r="ABD155" s="4"/>
      <c r="ABE155" s="4"/>
      <c r="ABF155" s="4"/>
      <c r="ABG155" s="4"/>
      <c r="ABH155" s="4"/>
      <c r="ABI155" s="5"/>
      <c r="ABJ155" s="6"/>
      <c r="ABK155" s="4"/>
      <c r="ABL155" s="4"/>
      <c r="ABM155" s="4"/>
      <c r="ABN155" s="4"/>
      <c r="ABO155" s="4"/>
      <c r="ABP155" s="5"/>
      <c r="ABQ155" s="6"/>
      <c r="ABR155" s="4"/>
      <c r="ABS155" s="4"/>
      <c r="ABT155" s="4"/>
      <c r="ABU155" s="4"/>
      <c r="ABV155" s="4"/>
      <c r="ABW155" s="5"/>
      <c r="ABX155" s="6"/>
      <c r="ABY155" s="4"/>
      <c r="ABZ155" s="4"/>
      <c r="ACA155" s="4"/>
      <c r="ACB155" s="4"/>
      <c r="ACC155" s="4"/>
      <c r="ACD155" s="5"/>
      <c r="ACE155" s="6"/>
      <c r="ACF155" s="4"/>
      <c r="ACG155" s="4"/>
      <c r="ACH155" s="4"/>
      <c r="ACI155" s="4"/>
      <c r="ACJ155" s="4"/>
      <c r="ACK155" s="5"/>
      <c r="ACL155" s="6"/>
      <c r="ACM155" s="4"/>
      <c r="ACN155" s="4"/>
      <c r="ACO155" s="4"/>
      <c r="ACP155" s="4"/>
      <c r="ACQ155" s="4"/>
      <c r="ACR155" s="5"/>
      <c r="ACS155" s="6"/>
      <c r="ACT155" s="4"/>
      <c r="ACU155" s="4"/>
      <c r="ACV155" s="4"/>
      <c r="ACW155" s="4"/>
      <c r="ACX155" s="4"/>
      <c r="ACY155" s="5"/>
    </row>
    <row r="156" spans="2:779" x14ac:dyDescent="0.25">
      <c r="B156" s="30"/>
      <c r="J156" s="12"/>
      <c r="K156" s="12"/>
      <c r="L156" s="12"/>
      <c r="LL156" s="6"/>
      <c r="LM156" s="4"/>
      <c r="LN156" s="4"/>
      <c r="LO156" s="4"/>
      <c r="LP156" s="4"/>
      <c r="LQ156" s="4"/>
      <c r="LR156" s="5"/>
      <c r="LS156" s="6"/>
      <c r="LT156" s="4"/>
      <c r="LU156" s="4"/>
      <c r="LV156" s="4"/>
      <c r="LW156" s="4"/>
      <c r="LX156" s="4"/>
      <c r="LY156" s="5"/>
      <c r="LZ156" s="6" t="s">
        <v>1748</v>
      </c>
      <c r="MA156" s="7" t="s">
        <v>2015</v>
      </c>
      <c r="MB156" s="4"/>
      <c r="MC156" s="4"/>
      <c r="MD156" s="8"/>
      <c r="ME156" s="4"/>
      <c r="MF156" s="4"/>
      <c r="MG156" s="5"/>
      <c r="MH156" s="6"/>
      <c r="MI156" s="4"/>
      <c r="MJ156" s="4"/>
      <c r="MK156" s="4"/>
      <c r="ML156" s="4"/>
      <c r="MM156" s="4"/>
      <c r="MN156" s="5"/>
      <c r="MO156" s="6"/>
      <c r="MP156" s="4"/>
      <c r="MQ156" s="4"/>
      <c r="MR156" s="4"/>
      <c r="MS156" s="4"/>
      <c r="MT156" s="4"/>
      <c r="MU156" s="5"/>
      <c r="MV156" s="6"/>
      <c r="MW156" s="4"/>
      <c r="MX156" s="4"/>
      <c r="MY156" s="4"/>
      <c r="MZ156" s="4"/>
      <c r="NA156" s="4"/>
      <c r="NB156" s="5"/>
      <c r="NC156" s="6"/>
      <c r="ND156" s="4"/>
      <c r="NE156" s="4"/>
      <c r="NF156" s="4"/>
      <c r="NG156" s="4"/>
      <c r="NH156" s="4"/>
      <c r="NI156" s="5"/>
      <c r="NJ156" s="6"/>
      <c r="NK156" s="4"/>
      <c r="NL156" s="4"/>
      <c r="NM156" s="4"/>
      <c r="NN156" s="4"/>
      <c r="NO156" s="4"/>
      <c r="NP156" s="5"/>
      <c r="NQ156" s="6"/>
      <c r="NR156" s="4"/>
      <c r="NS156" s="4"/>
      <c r="NT156" s="4"/>
      <c r="NU156" s="4"/>
      <c r="NV156" s="4"/>
      <c r="NW156" s="5"/>
      <c r="NX156" s="6"/>
      <c r="NY156" s="4"/>
      <c r="NZ156" s="4"/>
      <c r="OA156" s="4"/>
      <c r="OB156" s="4"/>
      <c r="OC156" s="4"/>
      <c r="OD156" s="5"/>
      <c r="OE156" s="6"/>
      <c r="OF156" s="4"/>
      <c r="OG156" s="4"/>
      <c r="OH156" s="4"/>
      <c r="OI156" s="4"/>
      <c r="OJ156" s="4"/>
      <c r="OK156" s="5"/>
      <c r="OL156" s="6"/>
      <c r="OM156" s="4"/>
      <c r="ON156" s="4"/>
      <c r="OO156" s="4"/>
      <c r="OP156" s="4"/>
      <c r="OQ156" s="4"/>
      <c r="OR156" s="5"/>
      <c r="OS156" s="6"/>
      <c r="OT156" s="4"/>
      <c r="OU156" s="4"/>
      <c r="OV156" s="4"/>
      <c r="OW156" s="4"/>
      <c r="OX156" s="4"/>
      <c r="OY156" s="5"/>
      <c r="OZ156" s="6"/>
      <c r="PA156" s="4"/>
      <c r="PB156" s="4"/>
      <c r="PC156" s="4"/>
      <c r="PD156" s="4"/>
      <c r="PE156" s="4"/>
      <c r="PF156" s="5"/>
      <c r="PG156" s="6"/>
      <c r="PH156" s="4"/>
      <c r="PI156" s="4"/>
      <c r="PJ156" s="4"/>
      <c r="PK156" s="4"/>
      <c r="PL156" s="4"/>
      <c r="PM156" s="5"/>
      <c r="PN156" s="6"/>
      <c r="PO156" s="4"/>
      <c r="PP156" s="4"/>
      <c r="PQ156" s="4"/>
      <c r="PR156" s="4"/>
      <c r="PS156" s="4"/>
      <c r="PT156" s="5"/>
      <c r="PU156" s="6"/>
      <c r="PV156" s="4"/>
      <c r="PW156" s="4"/>
      <c r="PX156" s="4"/>
      <c r="PY156" s="4"/>
      <c r="PZ156" s="4"/>
      <c r="QA156" s="5"/>
      <c r="QB156" s="6"/>
      <c r="QC156" s="4"/>
      <c r="QD156" s="4"/>
      <c r="QE156" s="4"/>
      <c r="QF156" s="4"/>
      <c r="QG156" s="4"/>
      <c r="QH156" s="5"/>
      <c r="QI156" s="6"/>
      <c r="QJ156" s="4"/>
      <c r="QK156" s="4"/>
      <c r="QL156" s="4"/>
      <c r="QM156" s="4"/>
      <c r="QN156" s="4"/>
      <c r="QO156" s="5"/>
      <c r="QP156" s="6"/>
      <c r="QQ156" s="4"/>
      <c r="QR156" s="4"/>
      <c r="QS156" s="4"/>
      <c r="QT156" s="4"/>
      <c r="QU156" s="4"/>
      <c r="QV156" s="5"/>
      <c r="QW156" s="6"/>
      <c r="QX156" s="4"/>
      <c r="QY156" s="4"/>
      <c r="QZ156" s="4"/>
      <c r="RA156" s="4"/>
      <c r="RB156" s="4"/>
      <c r="RC156" s="5"/>
      <c r="RD156" s="6"/>
      <c r="RE156" s="4"/>
      <c r="RF156" s="4"/>
      <c r="RG156" s="4"/>
      <c r="RH156" s="4"/>
      <c r="RI156" s="4"/>
      <c r="RJ156" s="5"/>
      <c r="RK156" s="6"/>
      <c r="RL156" s="4"/>
      <c r="RM156" s="4"/>
      <c r="RN156" s="4"/>
      <c r="RO156" s="4"/>
      <c r="RP156" s="4"/>
      <c r="RQ156" s="5"/>
      <c r="RR156" s="6"/>
      <c r="RS156" s="4"/>
      <c r="RT156" s="4"/>
      <c r="RU156" s="4"/>
      <c r="RV156" s="4"/>
      <c r="RW156" s="4"/>
      <c r="RX156" s="5"/>
      <c r="RY156" s="6"/>
      <c r="RZ156" s="4"/>
      <c r="SA156" s="4"/>
      <c r="SB156" s="4"/>
      <c r="SC156" s="4"/>
      <c r="SD156" s="4"/>
      <c r="SE156" s="5"/>
      <c r="SF156" s="6"/>
      <c r="SG156" s="4"/>
      <c r="SH156" s="4"/>
      <c r="SI156" s="4"/>
      <c r="SJ156" s="4"/>
      <c r="SK156" s="4"/>
      <c r="SL156" s="5"/>
      <c r="SM156" s="6"/>
      <c r="SN156" s="4"/>
      <c r="SO156" s="4"/>
      <c r="SP156" s="4"/>
      <c r="SQ156" s="4"/>
      <c r="SR156" s="4"/>
      <c r="SS156" s="5"/>
      <c r="ST156" s="6"/>
      <c r="SU156" s="4"/>
      <c r="SV156" s="4"/>
      <c r="SW156" s="4"/>
      <c r="SX156" s="4"/>
      <c r="SY156" s="4"/>
      <c r="SZ156" s="5"/>
      <c r="TA156" s="6"/>
      <c r="TB156" s="4"/>
      <c r="TC156" s="4"/>
      <c r="TD156" s="4"/>
      <c r="TE156" s="4"/>
      <c r="TF156" s="4"/>
      <c r="TG156" s="5"/>
      <c r="TH156" s="6"/>
      <c r="TI156" s="4"/>
      <c r="TJ156" s="4"/>
      <c r="TK156" s="4"/>
      <c r="TL156" s="4"/>
      <c r="TM156" s="4"/>
      <c r="TN156" s="5"/>
      <c r="TO156" s="6"/>
      <c r="TP156" s="4"/>
      <c r="TQ156" s="4"/>
      <c r="TR156" s="4"/>
      <c r="TS156" s="4"/>
      <c r="TT156" s="4"/>
      <c r="TU156" s="5"/>
      <c r="TV156" s="6"/>
      <c r="TW156" s="4"/>
      <c r="TX156" s="4"/>
      <c r="TY156" s="4"/>
      <c r="TZ156" s="4"/>
      <c r="UA156" s="4"/>
      <c r="UB156" s="5"/>
      <c r="UC156" s="6"/>
      <c r="UD156" s="4"/>
      <c r="UE156" s="4"/>
      <c r="UF156" s="4"/>
      <c r="UG156" s="4"/>
      <c r="UH156" s="4"/>
      <c r="UI156" s="5"/>
      <c r="UJ156" s="6"/>
      <c r="UK156" s="4"/>
      <c r="UL156" s="4"/>
      <c r="UM156" s="4"/>
      <c r="UN156" s="4"/>
      <c r="UO156" s="4"/>
      <c r="UP156" s="5"/>
      <c r="UQ156" s="6"/>
      <c r="UR156" s="4"/>
      <c r="US156" s="4"/>
      <c r="UT156" s="4"/>
      <c r="UU156" s="4"/>
      <c r="UV156" s="4"/>
      <c r="UW156" s="5"/>
      <c r="UX156" s="6"/>
      <c r="UY156" s="4"/>
      <c r="UZ156" s="4"/>
      <c r="VA156" s="4"/>
      <c r="VB156" s="4"/>
      <c r="VC156" s="4"/>
      <c r="VD156" s="5"/>
      <c r="VE156" s="6"/>
      <c r="VF156" s="4"/>
      <c r="VG156" s="4"/>
      <c r="VH156" s="4"/>
      <c r="VI156" s="4"/>
      <c r="VJ156" s="4"/>
      <c r="VK156" s="5"/>
      <c r="VL156" s="6"/>
      <c r="VM156" s="4"/>
      <c r="VN156" s="4"/>
      <c r="VO156" s="4"/>
      <c r="VP156" s="4"/>
      <c r="VQ156" s="4"/>
      <c r="VR156" s="5"/>
      <c r="VS156" s="6"/>
      <c r="VT156" s="4"/>
      <c r="VU156" s="4"/>
      <c r="VV156" s="4"/>
      <c r="VW156" s="4"/>
      <c r="VX156" s="4"/>
      <c r="VY156" s="5"/>
      <c r="VZ156" s="6"/>
      <c r="WA156" s="4"/>
      <c r="WB156" s="4"/>
      <c r="WC156" s="4"/>
      <c r="WD156" s="4"/>
      <c r="WE156" s="4"/>
      <c r="WF156" s="5"/>
      <c r="WG156" s="6"/>
      <c r="WH156" s="4"/>
      <c r="WI156" s="4"/>
      <c r="WJ156" s="4"/>
      <c r="WK156" s="4"/>
      <c r="WL156" s="4"/>
      <c r="WM156" s="5"/>
      <c r="WN156" s="6"/>
      <c r="WO156" s="4"/>
      <c r="WP156" s="4"/>
      <c r="WQ156" s="4"/>
      <c r="WR156" s="4"/>
      <c r="WS156" s="4"/>
      <c r="WT156" s="5"/>
      <c r="WU156" s="6"/>
      <c r="WV156" s="4"/>
      <c r="WW156" s="4"/>
      <c r="WX156" s="4"/>
      <c r="WY156" s="4"/>
      <c r="WZ156" s="4"/>
      <c r="XA156" s="5"/>
      <c r="XB156" s="6"/>
      <c r="XC156" s="4"/>
      <c r="XD156" s="4"/>
      <c r="XE156" s="4"/>
      <c r="XF156" s="4"/>
      <c r="XG156" s="4"/>
      <c r="XH156" s="5"/>
      <c r="XI156" s="6"/>
      <c r="XJ156" s="4"/>
      <c r="XK156" s="4"/>
      <c r="XL156" s="4"/>
      <c r="XM156" s="4"/>
      <c r="XN156" s="4"/>
      <c r="XO156" s="5"/>
      <c r="XP156" s="6"/>
      <c r="XQ156" s="4"/>
      <c r="XR156" s="4"/>
      <c r="XS156" s="4"/>
      <c r="XT156" s="4"/>
      <c r="XU156" s="4"/>
      <c r="XV156" s="5"/>
      <c r="XW156" s="6"/>
      <c r="XX156" s="4"/>
      <c r="XY156" s="4"/>
      <c r="XZ156" s="4"/>
      <c r="YA156" s="4"/>
      <c r="YB156" s="4"/>
      <c r="YC156" s="5"/>
      <c r="YD156" s="6"/>
      <c r="YE156" s="4"/>
      <c r="YF156" s="4"/>
      <c r="YG156" s="4"/>
      <c r="YH156" s="4"/>
      <c r="YI156" s="4"/>
      <c r="YJ156" s="5"/>
      <c r="YK156" s="6"/>
      <c r="YL156" s="4"/>
      <c r="YM156" s="4"/>
      <c r="YN156" s="4"/>
      <c r="YO156" s="4"/>
      <c r="YP156" s="4"/>
      <c r="YQ156" s="5"/>
      <c r="YR156" s="6"/>
      <c r="YS156" s="4"/>
      <c r="YT156" s="4"/>
      <c r="YU156" s="4"/>
      <c r="YV156" s="4"/>
      <c r="YW156" s="4"/>
      <c r="YX156" s="5"/>
      <c r="YY156" s="6"/>
      <c r="YZ156" s="4"/>
      <c r="ZA156" s="4"/>
      <c r="ZB156" s="4"/>
      <c r="ZC156" s="4"/>
      <c r="ZD156" s="4"/>
      <c r="ZE156" s="5"/>
      <c r="ZF156" s="6"/>
      <c r="ZG156" s="4"/>
      <c r="ZH156" s="4"/>
      <c r="ZI156" s="4"/>
      <c r="ZJ156" s="4"/>
      <c r="ZK156" s="4"/>
      <c r="ZL156" s="5"/>
      <c r="ZM156" s="6"/>
      <c r="ZN156" s="4"/>
      <c r="ZO156" s="4"/>
      <c r="ZP156" s="4"/>
      <c r="ZQ156" s="4"/>
      <c r="ZR156" s="4"/>
      <c r="ZS156" s="5"/>
      <c r="ZT156" s="6"/>
      <c r="ZU156" s="4"/>
      <c r="ZV156" s="4"/>
      <c r="ZW156" s="4"/>
      <c r="ZX156" s="4"/>
      <c r="ZY156" s="4"/>
      <c r="ZZ156" s="5"/>
      <c r="AAA156" s="6"/>
      <c r="AAB156" s="4"/>
      <c r="AAC156" s="4"/>
      <c r="AAD156" s="4"/>
      <c r="AAE156" s="4"/>
      <c r="AAF156" s="4"/>
      <c r="AAG156" s="5"/>
      <c r="AAH156" s="6"/>
      <c r="AAI156" s="4"/>
      <c r="AAJ156" s="4"/>
      <c r="AAK156" s="4"/>
      <c r="AAL156" s="4"/>
      <c r="AAM156" s="4"/>
      <c r="AAN156" s="5"/>
      <c r="AAO156" s="6"/>
      <c r="AAP156" s="4"/>
      <c r="AAQ156" s="4"/>
      <c r="AAR156" s="4"/>
      <c r="AAS156" s="4"/>
      <c r="AAT156" s="4"/>
      <c r="AAU156" s="5"/>
      <c r="AAV156" s="6"/>
      <c r="AAW156" s="4"/>
      <c r="AAX156" s="4"/>
      <c r="AAY156" s="4"/>
      <c r="AAZ156" s="4"/>
      <c r="ABA156" s="4"/>
      <c r="ABB156" s="5"/>
      <c r="ABC156" s="6"/>
      <c r="ABD156" s="4"/>
      <c r="ABE156" s="4"/>
      <c r="ABF156" s="4"/>
      <c r="ABG156" s="4"/>
      <c r="ABH156" s="4"/>
      <c r="ABI156" s="5"/>
      <c r="ABJ156" s="6"/>
      <c r="ABK156" s="4"/>
      <c r="ABL156" s="4"/>
      <c r="ABM156" s="4"/>
      <c r="ABN156" s="4"/>
      <c r="ABO156" s="4"/>
      <c r="ABP156" s="5"/>
      <c r="ABQ156" s="6"/>
      <c r="ABR156" s="4"/>
      <c r="ABS156" s="4"/>
      <c r="ABT156" s="4"/>
      <c r="ABU156" s="4"/>
      <c r="ABV156" s="4"/>
      <c r="ABW156" s="5"/>
      <c r="ABX156" s="6"/>
      <c r="ABY156" s="4"/>
      <c r="ABZ156" s="4"/>
      <c r="ACA156" s="4"/>
      <c r="ACB156" s="4"/>
      <c r="ACC156" s="4"/>
      <c r="ACD156" s="5"/>
      <c r="ACE156" s="6"/>
      <c r="ACF156" s="4"/>
      <c r="ACG156" s="4"/>
      <c r="ACH156" s="4"/>
      <c r="ACI156" s="4"/>
      <c r="ACJ156" s="4"/>
      <c r="ACK156" s="5"/>
      <c r="ACL156" s="6"/>
      <c r="ACM156" s="4"/>
      <c r="ACN156" s="4"/>
      <c r="ACO156" s="4"/>
      <c r="ACP156" s="4"/>
      <c r="ACQ156" s="4"/>
      <c r="ACR156" s="5"/>
      <c r="ACS156" s="6"/>
      <c r="ACT156" s="4"/>
      <c r="ACU156" s="4"/>
      <c r="ACV156" s="4"/>
      <c r="ACW156" s="4"/>
      <c r="ACX156" s="4"/>
      <c r="ACY156" s="5"/>
    </row>
    <row r="157" spans="2:779" x14ac:dyDescent="0.25">
      <c r="B157" s="30"/>
      <c r="J157" s="12"/>
      <c r="K157" s="12"/>
      <c r="L157" s="12"/>
      <c r="LL157" s="6"/>
      <c r="LM157" s="4"/>
      <c r="LN157" s="4"/>
      <c r="LO157" s="4"/>
      <c r="LP157" s="4"/>
      <c r="LQ157" s="4"/>
      <c r="LR157" s="5"/>
      <c r="LS157" s="6"/>
      <c r="LT157" s="4"/>
      <c r="LU157" s="4"/>
      <c r="LV157" s="4"/>
      <c r="LW157" s="4"/>
      <c r="LX157" s="4"/>
      <c r="LY157" s="5"/>
      <c r="LZ157" s="6" t="s">
        <v>1827</v>
      </c>
      <c r="MA157" s="7" t="s">
        <v>1828</v>
      </c>
      <c r="MB157" s="4"/>
      <c r="MC157" s="4"/>
      <c r="MD157" s="8"/>
      <c r="ME157" s="4"/>
      <c r="MF157" s="4"/>
      <c r="MG157" s="5"/>
      <c r="MH157" s="6"/>
      <c r="MI157" s="4"/>
      <c r="MJ157" s="4"/>
      <c r="MK157" s="4"/>
      <c r="ML157" s="4"/>
      <c r="MM157" s="4"/>
      <c r="MN157" s="5"/>
      <c r="MO157" s="6"/>
      <c r="MP157" s="4"/>
      <c r="MQ157" s="4"/>
      <c r="MR157" s="4"/>
      <c r="MS157" s="4"/>
      <c r="MT157" s="4"/>
      <c r="MU157" s="5"/>
      <c r="MV157" s="6"/>
      <c r="MW157" s="4"/>
      <c r="MX157" s="4"/>
      <c r="MY157" s="4"/>
      <c r="MZ157" s="4"/>
      <c r="NA157" s="4"/>
      <c r="NB157" s="5"/>
      <c r="NC157" s="6"/>
      <c r="ND157" s="4"/>
      <c r="NE157" s="4"/>
      <c r="NF157" s="4"/>
      <c r="NG157" s="4"/>
      <c r="NH157" s="4"/>
      <c r="NI157" s="5"/>
      <c r="NJ157" s="6"/>
      <c r="NK157" s="4"/>
      <c r="NL157" s="4"/>
      <c r="NM157" s="4"/>
      <c r="NN157" s="4"/>
      <c r="NO157" s="4"/>
      <c r="NP157" s="5"/>
      <c r="NQ157" s="6"/>
      <c r="NR157" s="4"/>
      <c r="NS157" s="4"/>
      <c r="NT157" s="4"/>
      <c r="NU157" s="4"/>
      <c r="NV157" s="4"/>
      <c r="NW157" s="5"/>
      <c r="NX157" s="6"/>
      <c r="NY157" s="4"/>
      <c r="NZ157" s="4"/>
      <c r="OA157" s="4"/>
      <c r="OB157" s="4"/>
      <c r="OC157" s="4"/>
      <c r="OD157" s="5"/>
      <c r="OE157" s="6"/>
      <c r="OF157" s="4"/>
      <c r="OG157" s="4"/>
      <c r="OH157" s="4"/>
      <c r="OI157" s="4"/>
      <c r="OJ157" s="4"/>
      <c r="OK157" s="5"/>
      <c r="OL157" s="6"/>
      <c r="OM157" s="4"/>
      <c r="ON157" s="4"/>
      <c r="OO157" s="4"/>
      <c r="OP157" s="4"/>
      <c r="OQ157" s="4"/>
      <c r="OR157" s="5"/>
      <c r="OS157" s="6"/>
      <c r="OT157" s="4"/>
      <c r="OU157" s="4"/>
      <c r="OV157" s="4"/>
      <c r="OW157" s="4"/>
      <c r="OX157" s="4"/>
      <c r="OY157" s="5"/>
      <c r="OZ157" s="6"/>
      <c r="PA157" s="4"/>
      <c r="PB157" s="4"/>
      <c r="PC157" s="4"/>
      <c r="PD157" s="4"/>
      <c r="PE157" s="4"/>
      <c r="PF157" s="5"/>
      <c r="PG157" s="6"/>
      <c r="PH157" s="4"/>
      <c r="PI157" s="4"/>
      <c r="PJ157" s="4"/>
      <c r="PK157" s="4"/>
      <c r="PL157" s="4"/>
      <c r="PM157" s="5"/>
      <c r="PN157" s="6"/>
      <c r="PO157" s="4"/>
      <c r="PP157" s="4"/>
      <c r="PQ157" s="4"/>
      <c r="PR157" s="4"/>
      <c r="PS157" s="4"/>
      <c r="PT157" s="5"/>
      <c r="PU157" s="6"/>
      <c r="PV157" s="4"/>
      <c r="PW157" s="4"/>
      <c r="PX157" s="4"/>
      <c r="PY157" s="4"/>
      <c r="PZ157" s="4"/>
      <c r="QA157" s="5"/>
      <c r="QB157" s="6"/>
      <c r="QC157" s="4"/>
      <c r="QD157" s="4"/>
      <c r="QE157" s="4"/>
      <c r="QF157" s="4"/>
      <c r="QG157" s="4"/>
      <c r="QH157" s="5"/>
      <c r="QI157" s="6"/>
      <c r="QJ157" s="4"/>
      <c r="QK157" s="4"/>
      <c r="QL157" s="4"/>
      <c r="QM157" s="4"/>
      <c r="QN157" s="4"/>
      <c r="QO157" s="5"/>
      <c r="QP157" s="6"/>
      <c r="QQ157" s="4"/>
      <c r="QR157" s="4"/>
      <c r="QS157" s="4"/>
      <c r="QT157" s="4"/>
      <c r="QU157" s="4"/>
      <c r="QV157" s="5"/>
      <c r="QW157" s="6"/>
      <c r="QX157" s="4"/>
      <c r="QY157" s="4"/>
      <c r="QZ157" s="4"/>
      <c r="RA157" s="4"/>
      <c r="RB157" s="4"/>
      <c r="RC157" s="5"/>
      <c r="RD157" s="6"/>
      <c r="RE157" s="4"/>
      <c r="RF157" s="4"/>
      <c r="RG157" s="4"/>
      <c r="RH157" s="4"/>
      <c r="RI157" s="4"/>
      <c r="RJ157" s="5"/>
      <c r="RK157" s="6"/>
      <c r="RL157" s="4"/>
      <c r="RM157" s="4"/>
      <c r="RN157" s="4"/>
      <c r="RO157" s="4"/>
      <c r="RP157" s="4"/>
      <c r="RQ157" s="5"/>
      <c r="RR157" s="6"/>
      <c r="RS157" s="4"/>
      <c r="RT157" s="4"/>
      <c r="RU157" s="4"/>
      <c r="RV157" s="4"/>
      <c r="RW157" s="4"/>
      <c r="RX157" s="5"/>
      <c r="RY157" s="6"/>
      <c r="RZ157" s="4"/>
      <c r="SA157" s="4"/>
      <c r="SB157" s="4"/>
      <c r="SC157" s="4"/>
      <c r="SD157" s="4"/>
      <c r="SE157" s="5"/>
      <c r="SF157" s="6"/>
      <c r="SG157" s="4"/>
      <c r="SH157" s="4"/>
      <c r="SI157" s="4"/>
      <c r="SJ157" s="4"/>
      <c r="SK157" s="4"/>
      <c r="SL157" s="5"/>
      <c r="SM157" s="6"/>
      <c r="SN157" s="4"/>
      <c r="SO157" s="4"/>
      <c r="SP157" s="4"/>
      <c r="SQ157" s="4"/>
      <c r="SR157" s="4"/>
      <c r="SS157" s="5"/>
      <c r="ST157" s="6"/>
      <c r="SU157" s="4"/>
      <c r="SV157" s="4"/>
      <c r="SW157" s="4"/>
      <c r="SX157" s="4"/>
      <c r="SY157" s="4"/>
      <c r="SZ157" s="5"/>
      <c r="TA157" s="6"/>
      <c r="TB157" s="4"/>
      <c r="TC157" s="4"/>
      <c r="TD157" s="4"/>
      <c r="TE157" s="4"/>
      <c r="TF157" s="4"/>
      <c r="TG157" s="5"/>
      <c r="TH157" s="6"/>
      <c r="TI157" s="4"/>
      <c r="TJ157" s="4"/>
      <c r="TK157" s="4"/>
      <c r="TL157" s="4"/>
      <c r="TM157" s="4"/>
      <c r="TN157" s="5"/>
      <c r="TO157" s="6"/>
      <c r="TP157" s="4"/>
      <c r="TQ157" s="4"/>
      <c r="TR157" s="4"/>
      <c r="TS157" s="4"/>
      <c r="TT157" s="4"/>
      <c r="TU157" s="5"/>
      <c r="TV157" s="6"/>
      <c r="TW157" s="4"/>
      <c r="TX157" s="4"/>
      <c r="TY157" s="4"/>
      <c r="TZ157" s="4"/>
      <c r="UA157" s="4"/>
      <c r="UB157" s="5"/>
      <c r="UC157" s="6"/>
      <c r="UD157" s="4"/>
      <c r="UE157" s="4"/>
      <c r="UF157" s="4"/>
      <c r="UG157" s="4"/>
      <c r="UH157" s="4"/>
      <c r="UI157" s="5"/>
      <c r="UJ157" s="6"/>
      <c r="UK157" s="4"/>
      <c r="UL157" s="4"/>
      <c r="UM157" s="4"/>
      <c r="UN157" s="4"/>
      <c r="UO157" s="4"/>
      <c r="UP157" s="5"/>
      <c r="UQ157" s="6"/>
      <c r="UR157" s="4"/>
      <c r="US157" s="4"/>
      <c r="UT157" s="4"/>
      <c r="UU157" s="4"/>
      <c r="UV157" s="4"/>
      <c r="UW157" s="5"/>
      <c r="UX157" s="6"/>
      <c r="UY157" s="4"/>
      <c r="UZ157" s="4"/>
      <c r="VA157" s="4"/>
      <c r="VB157" s="4"/>
      <c r="VC157" s="4"/>
      <c r="VD157" s="5"/>
      <c r="VE157" s="6"/>
      <c r="VF157" s="4"/>
      <c r="VG157" s="4"/>
      <c r="VH157" s="4"/>
      <c r="VI157" s="4"/>
      <c r="VJ157" s="4"/>
      <c r="VK157" s="5"/>
      <c r="VL157" s="6"/>
      <c r="VM157" s="4"/>
      <c r="VN157" s="4"/>
      <c r="VO157" s="4"/>
      <c r="VP157" s="4"/>
      <c r="VQ157" s="4"/>
      <c r="VR157" s="5"/>
      <c r="VS157" s="6"/>
      <c r="VT157" s="4"/>
      <c r="VU157" s="4"/>
      <c r="VV157" s="4"/>
      <c r="VW157" s="4"/>
      <c r="VX157" s="4"/>
      <c r="VY157" s="5"/>
      <c r="VZ157" s="6"/>
      <c r="WA157" s="4"/>
      <c r="WB157" s="4"/>
      <c r="WC157" s="4"/>
      <c r="WD157" s="4"/>
      <c r="WE157" s="4"/>
      <c r="WF157" s="5"/>
      <c r="WG157" s="6"/>
      <c r="WH157" s="4"/>
      <c r="WI157" s="4"/>
      <c r="WJ157" s="4"/>
      <c r="WK157" s="4"/>
      <c r="WL157" s="4"/>
      <c r="WM157" s="5"/>
      <c r="WN157" s="6"/>
      <c r="WO157" s="4"/>
      <c r="WP157" s="4"/>
      <c r="WQ157" s="4"/>
      <c r="WR157" s="4"/>
      <c r="WS157" s="4"/>
      <c r="WT157" s="5"/>
      <c r="WU157" s="6"/>
      <c r="WV157" s="4"/>
      <c r="WW157" s="4"/>
      <c r="WX157" s="4"/>
      <c r="WY157" s="4"/>
      <c r="WZ157" s="4"/>
      <c r="XA157" s="5"/>
      <c r="XB157" s="6"/>
      <c r="XC157" s="4"/>
      <c r="XD157" s="4"/>
      <c r="XE157" s="4"/>
      <c r="XF157" s="4"/>
      <c r="XG157" s="4"/>
      <c r="XH157" s="5"/>
      <c r="XI157" s="6"/>
      <c r="XJ157" s="4"/>
      <c r="XK157" s="4"/>
      <c r="XL157" s="4"/>
      <c r="XM157" s="4"/>
      <c r="XN157" s="4"/>
      <c r="XO157" s="5"/>
      <c r="XP157" s="6"/>
      <c r="XQ157" s="4"/>
      <c r="XR157" s="4"/>
      <c r="XS157" s="4"/>
      <c r="XT157" s="4"/>
      <c r="XU157" s="4"/>
      <c r="XV157" s="5"/>
      <c r="XW157" s="6"/>
      <c r="XX157" s="4"/>
      <c r="XY157" s="4"/>
      <c r="XZ157" s="4"/>
      <c r="YA157" s="4"/>
      <c r="YB157" s="4"/>
      <c r="YC157" s="5"/>
      <c r="YD157" s="6"/>
      <c r="YE157" s="4"/>
      <c r="YF157" s="4"/>
      <c r="YG157" s="4"/>
      <c r="YH157" s="4"/>
      <c r="YI157" s="4"/>
      <c r="YJ157" s="5"/>
      <c r="YK157" s="6"/>
      <c r="YL157" s="4"/>
      <c r="YM157" s="4"/>
      <c r="YN157" s="4"/>
      <c r="YO157" s="4"/>
      <c r="YP157" s="4"/>
      <c r="YQ157" s="5"/>
      <c r="YR157" s="6"/>
      <c r="YS157" s="4"/>
      <c r="YT157" s="4"/>
      <c r="YU157" s="4"/>
      <c r="YV157" s="4"/>
      <c r="YW157" s="4"/>
      <c r="YX157" s="5"/>
      <c r="YY157" s="6"/>
      <c r="YZ157" s="4"/>
      <c r="ZA157" s="4"/>
      <c r="ZB157" s="4"/>
      <c r="ZC157" s="4"/>
      <c r="ZD157" s="4"/>
      <c r="ZE157" s="5"/>
      <c r="ZF157" s="6"/>
      <c r="ZG157" s="4"/>
      <c r="ZH157" s="4"/>
      <c r="ZI157" s="4"/>
      <c r="ZJ157" s="4"/>
      <c r="ZK157" s="4"/>
      <c r="ZL157" s="5"/>
      <c r="ZM157" s="6"/>
      <c r="ZN157" s="4"/>
      <c r="ZO157" s="4"/>
      <c r="ZP157" s="4"/>
      <c r="ZQ157" s="4"/>
      <c r="ZR157" s="4"/>
      <c r="ZS157" s="5"/>
      <c r="ZT157" s="6"/>
      <c r="ZU157" s="4"/>
      <c r="ZV157" s="4"/>
      <c r="ZW157" s="4"/>
      <c r="ZX157" s="4"/>
      <c r="ZY157" s="4"/>
      <c r="ZZ157" s="5"/>
      <c r="AAA157" s="6"/>
      <c r="AAB157" s="4"/>
      <c r="AAC157" s="4"/>
      <c r="AAD157" s="4"/>
      <c r="AAE157" s="4"/>
      <c r="AAF157" s="4"/>
      <c r="AAG157" s="5"/>
      <c r="AAH157" s="6"/>
      <c r="AAI157" s="4"/>
      <c r="AAJ157" s="4"/>
      <c r="AAK157" s="4"/>
      <c r="AAL157" s="4"/>
      <c r="AAM157" s="4"/>
      <c r="AAN157" s="5"/>
      <c r="AAO157" s="6"/>
      <c r="AAP157" s="4"/>
      <c r="AAQ157" s="4"/>
      <c r="AAR157" s="4"/>
      <c r="AAS157" s="4"/>
      <c r="AAT157" s="4"/>
      <c r="AAU157" s="5"/>
      <c r="AAV157" s="6"/>
      <c r="AAW157" s="4"/>
      <c r="AAX157" s="4"/>
      <c r="AAY157" s="4"/>
      <c r="AAZ157" s="4"/>
      <c r="ABA157" s="4"/>
      <c r="ABB157" s="5"/>
      <c r="ABC157" s="6"/>
      <c r="ABD157" s="4"/>
      <c r="ABE157" s="4"/>
      <c r="ABF157" s="4"/>
      <c r="ABG157" s="4"/>
      <c r="ABH157" s="4"/>
      <c r="ABI157" s="5"/>
      <c r="ABJ157" s="6"/>
      <c r="ABK157" s="4"/>
      <c r="ABL157" s="4"/>
      <c r="ABM157" s="4"/>
      <c r="ABN157" s="4"/>
      <c r="ABO157" s="4"/>
      <c r="ABP157" s="5"/>
      <c r="ABQ157" s="6"/>
      <c r="ABR157" s="4"/>
      <c r="ABS157" s="4"/>
      <c r="ABT157" s="4"/>
      <c r="ABU157" s="4"/>
      <c r="ABV157" s="4"/>
      <c r="ABW157" s="5"/>
      <c r="ABX157" s="6"/>
      <c r="ABY157" s="4"/>
      <c r="ABZ157" s="4"/>
      <c r="ACA157" s="4"/>
      <c r="ACB157" s="4"/>
      <c r="ACC157" s="4"/>
      <c r="ACD157" s="5"/>
      <c r="ACE157" s="6"/>
      <c r="ACF157" s="4"/>
      <c r="ACG157" s="4"/>
      <c r="ACH157" s="4"/>
      <c r="ACI157" s="4"/>
      <c r="ACJ157" s="4"/>
      <c r="ACK157" s="5"/>
      <c r="ACL157" s="6"/>
      <c r="ACM157" s="4"/>
      <c r="ACN157" s="4"/>
      <c r="ACO157" s="4"/>
      <c r="ACP157" s="4"/>
      <c r="ACQ157" s="4"/>
      <c r="ACR157" s="5"/>
      <c r="ACS157" s="6"/>
      <c r="ACT157" s="4"/>
      <c r="ACU157" s="4"/>
      <c r="ACV157" s="4"/>
      <c r="ACW157" s="4"/>
      <c r="ACX157" s="4"/>
      <c r="ACY157" s="5"/>
    </row>
    <row r="158" spans="2:779" x14ac:dyDescent="0.25">
      <c r="B158" s="30"/>
      <c r="J158" s="12"/>
      <c r="K158" s="12"/>
      <c r="L158" s="12"/>
      <c r="LL158" s="6"/>
      <c r="LM158" s="4"/>
      <c r="LN158" s="4"/>
      <c r="LO158" s="4"/>
      <c r="LP158" s="4"/>
      <c r="LQ158" s="4"/>
      <c r="LR158" s="5"/>
      <c r="LS158" s="6"/>
      <c r="LT158" s="4"/>
      <c r="LU158" s="4"/>
      <c r="LV158" s="4"/>
      <c r="LW158" s="4"/>
      <c r="LX158" s="4"/>
      <c r="LY158" s="5"/>
      <c r="LZ158" s="6" t="s">
        <v>2136</v>
      </c>
      <c r="MA158" s="4" t="s">
        <v>2707</v>
      </c>
      <c r="MB158" s="4"/>
      <c r="MC158" s="4"/>
      <c r="MD158" s="4"/>
      <c r="ME158" s="4"/>
      <c r="MF158" s="4"/>
      <c r="MG158" s="5" t="s">
        <v>2294</v>
      </c>
      <c r="MH158" s="6"/>
      <c r="MI158" s="4"/>
      <c r="MJ158" s="4"/>
      <c r="MK158" s="4"/>
      <c r="ML158" s="4"/>
      <c r="MM158" s="4"/>
      <c r="MN158" s="5"/>
      <c r="MO158" s="6"/>
      <c r="MP158" s="4"/>
      <c r="MQ158" s="4"/>
      <c r="MR158" s="4"/>
      <c r="MS158" s="4"/>
      <c r="MT158" s="4"/>
      <c r="MU158" s="5"/>
      <c r="MV158" s="6"/>
      <c r="MW158" s="4"/>
      <c r="MX158" s="4"/>
      <c r="MY158" s="4"/>
      <c r="MZ158" s="4"/>
      <c r="NA158" s="4"/>
      <c r="NB158" s="5"/>
      <c r="NC158" s="6"/>
      <c r="ND158" s="4"/>
      <c r="NE158" s="4"/>
      <c r="NF158" s="4"/>
      <c r="NG158" s="4"/>
      <c r="NH158" s="4"/>
      <c r="NI158" s="5"/>
      <c r="NJ158" s="6"/>
      <c r="NK158" s="4"/>
      <c r="NL158" s="4"/>
      <c r="NM158" s="4"/>
      <c r="NN158" s="4"/>
      <c r="NO158" s="4"/>
      <c r="NP158" s="5"/>
      <c r="NQ158" s="6"/>
      <c r="NR158" s="4"/>
      <c r="NS158" s="4"/>
      <c r="NT158" s="4"/>
      <c r="NU158" s="4"/>
      <c r="NV158" s="4"/>
      <c r="NW158" s="5"/>
      <c r="NX158" s="6"/>
      <c r="NY158" s="4"/>
      <c r="NZ158" s="4"/>
      <c r="OA158" s="4"/>
      <c r="OB158" s="4"/>
      <c r="OC158" s="4"/>
      <c r="OD158" s="5"/>
      <c r="OE158" s="6"/>
      <c r="OF158" s="4"/>
      <c r="OG158" s="4"/>
      <c r="OH158" s="4"/>
      <c r="OI158" s="4"/>
      <c r="OJ158" s="4"/>
      <c r="OK158" s="5"/>
      <c r="OL158" s="6"/>
      <c r="OM158" s="4"/>
      <c r="ON158" s="4"/>
      <c r="OO158" s="4"/>
      <c r="OP158" s="4"/>
      <c r="OQ158" s="4"/>
      <c r="OR158" s="5"/>
      <c r="OS158" s="6"/>
      <c r="OT158" s="4"/>
      <c r="OU158" s="4"/>
      <c r="OV158" s="4"/>
      <c r="OW158" s="4"/>
      <c r="OX158" s="4"/>
      <c r="OY158" s="5"/>
      <c r="OZ158" s="6"/>
      <c r="PA158" s="4"/>
      <c r="PB158" s="4"/>
      <c r="PC158" s="4"/>
      <c r="PD158" s="4"/>
      <c r="PE158" s="4"/>
      <c r="PF158" s="5"/>
      <c r="PG158" s="6"/>
      <c r="PH158" s="4"/>
      <c r="PI158" s="4"/>
      <c r="PJ158" s="4"/>
      <c r="PK158" s="4"/>
      <c r="PL158" s="4"/>
      <c r="PM158" s="5"/>
      <c r="PN158" s="6"/>
      <c r="PO158" s="4"/>
      <c r="PP158" s="4"/>
      <c r="PQ158" s="4"/>
      <c r="PR158" s="4"/>
      <c r="PS158" s="4"/>
      <c r="PT158" s="5"/>
      <c r="PU158" s="6"/>
      <c r="PV158" s="4"/>
      <c r="PW158" s="4"/>
      <c r="PX158" s="4"/>
      <c r="PY158" s="4"/>
      <c r="PZ158" s="4"/>
      <c r="QA158" s="5"/>
      <c r="QB158" s="6"/>
      <c r="QC158" s="4"/>
      <c r="QD158" s="4"/>
      <c r="QE158" s="4"/>
      <c r="QF158" s="4"/>
      <c r="QG158" s="4"/>
      <c r="QH158" s="5"/>
      <c r="QI158" s="6"/>
      <c r="QJ158" s="4"/>
      <c r="QK158" s="4"/>
      <c r="QL158" s="4"/>
      <c r="QM158" s="4"/>
      <c r="QN158" s="4"/>
      <c r="QO158" s="5"/>
      <c r="QP158" s="6"/>
      <c r="QQ158" s="4"/>
      <c r="QR158" s="4"/>
      <c r="QS158" s="4"/>
      <c r="QT158" s="4"/>
      <c r="QU158" s="4"/>
      <c r="QV158" s="5"/>
      <c r="QW158" s="6"/>
      <c r="QX158" s="4"/>
      <c r="QY158" s="4"/>
      <c r="QZ158" s="4"/>
      <c r="RA158" s="4"/>
      <c r="RB158" s="4"/>
      <c r="RC158" s="5"/>
      <c r="RD158" s="6"/>
      <c r="RE158" s="4"/>
      <c r="RF158" s="4"/>
      <c r="RG158" s="4"/>
      <c r="RH158" s="4"/>
      <c r="RI158" s="4"/>
      <c r="RJ158" s="5"/>
      <c r="RK158" s="6"/>
      <c r="RL158" s="4"/>
      <c r="RM158" s="4"/>
      <c r="RN158" s="4"/>
      <c r="RO158" s="4"/>
      <c r="RP158" s="4"/>
      <c r="RQ158" s="5"/>
      <c r="RR158" s="6"/>
      <c r="RS158" s="4"/>
      <c r="RT158" s="4"/>
      <c r="RU158" s="4"/>
      <c r="RV158" s="4"/>
      <c r="RW158" s="4"/>
      <c r="RX158" s="5"/>
      <c r="RY158" s="6"/>
      <c r="RZ158" s="4"/>
      <c r="SA158" s="4"/>
      <c r="SB158" s="4"/>
      <c r="SC158" s="4"/>
      <c r="SD158" s="4"/>
      <c r="SE158" s="5"/>
      <c r="SF158" s="6"/>
      <c r="SG158" s="4"/>
      <c r="SH158" s="4"/>
      <c r="SI158" s="4"/>
      <c r="SJ158" s="4"/>
      <c r="SK158" s="4"/>
      <c r="SL158" s="5"/>
      <c r="SM158" s="6"/>
      <c r="SN158" s="4"/>
      <c r="SO158" s="4"/>
      <c r="SP158" s="4"/>
      <c r="SQ158" s="4"/>
      <c r="SR158" s="4"/>
      <c r="SS158" s="5"/>
      <c r="ST158" s="6"/>
      <c r="SU158" s="4"/>
      <c r="SV158" s="4"/>
      <c r="SW158" s="4"/>
      <c r="SX158" s="4"/>
      <c r="SY158" s="4"/>
      <c r="SZ158" s="5"/>
      <c r="TA158" s="6"/>
      <c r="TB158" s="4"/>
      <c r="TC158" s="4"/>
      <c r="TD158" s="4"/>
      <c r="TE158" s="4"/>
      <c r="TF158" s="4"/>
      <c r="TG158" s="5"/>
      <c r="TH158" s="6"/>
      <c r="TI158" s="4"/>
      <c r="TJ158" s="4"/>
      <c r="TK158" s="4"/>
      <c r="TL158" s="4"/>
      <c r="TM158" s="4"/>
      <c r="TN158" s="5"/>
      <c r="TO158" s="6"/>
      <c r="TP158" s="4"/>
      <c r="TQ158" s="4"/>
      <c r="TR158" s="4"/>
      <c r="TS158" s="4"/>
      <c r="TT158" s="4"/>
      <c r="TU158" s="5"/>
      <c r="TV158" s="6"/>
      <c r="TW158" s="4"/>
      <c r="TX158" s="4"/>
      <c r="TY158" s="4"/>
      <c r="TZ158" s="4"/>
      <c r="UA158" s="4"/>
      <c r="UB158" s="5"/>
      <c r="UC158" s="6"/>
      <c r="UD158" s="4"/>
      <c r="UE158" s="4"/>
      <c r="UF158" s="4"/>
      <c r="UG158" s="4"/>
      <c r="UH158" s="4"/>
      <c r="UI158" s="5"/>
      <c r="UJ158" s="6"/>
      <c r="UK158" s="4"/>
      <c r="UL158" s="4"/>
      <c r="UM158" s="4"/>
      <c r="UN158" s="4"/>
      <c r="UO158" s="4"/>
      <c r="UP158" s="5"/>
      <c r="UQ158" s="6"/>
      <c r="UR158" s="4"/>
      <c r="US158" s="4"/>
      <c r="UT158" s="4"/>
      <c r="UU158" s="4"/>
      <c r="UV158" s="4"/>
      <c r="UW158" s="5"/>
      <c r="UX158" s="6"/>
      <c r="UY158" s="4"/>
      <c r="UZ158" s="4"/>
      <c r="VA158" s="4"/>
      <c r="VB158" s="4"/>
      <c r="VC158" s="4"/>
      <c r="VD158" s="5"/>
      <c r="VE158" s="6"/>
      <c r="VF158" s="4"/>
      <c r="VG158" s="4"/>
      <c r="VH158" s="4"/>
      <c r="VI158" s="4"/>
      <c r="VJ158" s="4"/>
      <c r="VK158" s="5"/>
      <c r="VL158" s="6"/>
      <c r="VM158" s="4"/>
      <c r="VN158" s="4"/>
      <c r="VO158" s="4"/>
      <c r="VP158" s="4"/>
      <c r="VQ158" s="4"/>
      <c r="VR158" s="5"/>
      <c r="VS158" s="6"/>
      <c r="VT158" s="4"/>
      <c r="VU158" s="4"/>
      <c r="VV158" s="4"/>
      <c r="VW158" s="4"/>
      <c r="VX158" s="4"/>
      <c r="VY158" s="5"/>
      <c r="VZ158" s="6"/>
      <c r="WA158" s="4"/>
      <c r="WB158" s="4"/>
      <c r="WC158" s="4"/>
      <c r="WD158" s="4"/>
      <c r="WE158" s="4"/>
      <c r="WF158" s="5"/>
      <c r="WG158" s="6"/>
      <c r="WH158" s="4"/>
      <c r="WI158" s="4"/>
      <c r="WJ158" s="4"/>
      <c r="WK158" s="4"/>
      <c r="WL158" s="4"/>
      <c r="WM158" s="5"/>
      <c r="WN158" s="6"/>
      <c r="WO158" s="4"/>
      <c r="WP158" s="4"/>
      <c r="WQ158" s="4"/>
      <c r="WR158" s="4"/>
      <c r="WS158" s="4"/>
      <c r="WT158" s="5"/>
      <c r="WU158" s="6"/>
      <c r="WV158" s="4"/>
      <c r="WW158" s="4"/>
      <c r="WX158" s="4"/>
      <c r="WY158" s="4"/>
      <c r="WZ158" s="4"/>
      <c r="XA158" s="5"/>
      <c r="XB158" s="6"/>
      <c r="XC158" s="4"/>
      <c r="XD158" s="4"/>
      <c r="XE158" s="4"/>
      <c r="XF158" s="4"/>
      <c r="XG158" s="4"/>
      <c r="XH158" s="5"/>
      <c r="XI158" s="6"/>
      <c r="XJ158" s="4"/>
      <c r="XK158" s="4"/>
      <c r="XL158" s="4"/>
      <c r="XM158" s="4"/>
      <c r="XN158" s="4"/>
      <c r="XO158" s="5"/>
      <c r="XP158" s="6"/>
      <c r="XQ158" s="4"/>
      <c r="XR158" s="4"/>
      <c r="XS158" s="4"/>
      <c r="XT158" s="4"/>
      <c r="XU158" s="4"/>
      <c r="XV158" s="5"/>
      <c r="XW158" s="6"/>
      <c r="XX158" s="4"/>
      <c r="XY158" s="4"/>
      <c r="XZ158" s="4"/>
      <c r="YA158" s="4"/>
      <c r="YB158" s="4"/>
      <c r="YC158" s="5"/>
      <c r="YD158" s="6"/>
      <c r="YE158" s="4"/>
      <c r="YF158" s="4"/>
      <c r="YG158" s="4"/>
      <c r="YH158" s="4"/>
      <c r="YI158" s="4"/>
      <c r="YJ158" s="5"/>
      <c r="YK158" s="6"/>
      <c r="YL158" s="4"/>
      <c r="YM158" s="4"/>
      <c r="YN158" s="4"/>
      <c r="YO158" s="4"/>
      <c r="YP158" s="4"/>
      <c r="YQ158" s="5"/>
      <c r="YR158" s="6"/>
      <c r="YS158" s="4"/>
      <c r="YT158" s="4"/>
      <c r="YU158" s="4"/>
      <c r="YV158" s="4"/>
      <c r="YW158" s="4"/>
      <c r="YX158" s="5"/>
      <c r="YY158" s="6"/>
      <c r="YZ158" s="4"/>
      <c r="ZA158" s="4"/>
      <c r="ZB158" s="4"/>
      <c r="ZC158" s="4"/>
      <c r="ZD158" s="4"/>
      <c r="ZE158" s="5"/>
      <c r="ZF158" s="6"/>
      <c r="ZG158" s="4"/>
      <c r="ZH158" s="4"/>
      <c r="ZI158" s="4"/>
      <c r="ZJ158" s="4"/>
      <c r="ZK158" s="4"/>
      <c r="ZL158" s="5"/>
      <c r="ZM158" s="6"/>
      <c r="ZN158" s="4"/>
      <c r="ZO158" s="4"/>
      <c r="ZP158" s="4"/>
      <c r="ZQ158" s="4"/>
      <c r="ZR158" s="4"/>
      <c r="ZS158" s="5"/>
      <c r="ZT158" s="6"/>
      <c r="ZU158" s="4"/>
      <c r="ZV158" s="4"/>
      <c r="ZW158" s="4"/>
      <c r="ZX158" s="4"/>
      <c r="ZY158" s="4"/>
      <c r="ZZ158" s="5"/>
      <c r="AAA158" s="6"/>
      <c r="AAB158" s="4"/>
      <c r="AAC158" s="4"/>
      <c r="AAD158" s="4"/>
      <c r="AAE158" s="4"/>
      <c r="AAF158" s="4"/>
      <c r="AAG158" s="5"/>
      <c r="AAH158" s="6"/>
      <c r="AAI158" s="4"/>
      <c r="AAJ158" s="4"/>
      <c r="AAK158" s="4"/>
      <c r="AAL158" s="4"/>
      <c r="AAM158" s="4"/>
      <c r="AAN158" s="5"/>
      <c r="AAO158" s="6"/>
      <c r="AAP158" s="4"/>
      <c r="AAQ158" s="4"/>
      <c r="AAR158" s="4"/>
      <c r="AAS158" s="4"/>
      <c r="AAT158" s="4"/>
      <c r="AAU158" s="5"/>
      <c r="AAV158" s="6"/>
      <c r="AAW158" s="4"/>
      <c r="AAX158" s="4"/>
      <c r="AAY158" s="4"/>
      <c r="AAZ158" s="4"/>
      <c r="ABA158" s="4"/>
      <c r="ABB158" s="5"/>
      <c r="ABC158" s="6"/>
      <c r="ABD158" s="4"/>
      <c r="ABE158" s="4"/>
      <c r="ABF158" s="4"/>
      <c r="ABG158" s="4"/>
      <c r="ABH158" s="4"/>
      <c r="ABI158" s="5"/>
      <c r="ABJ158" s="6"/>
      <c r="ABK158" s="4"/>
      <c r="ABL158" s="4"/>
      <c r="ABM158" s="4"/>
      <c r="ABN158" s="4"/>
      <c r="ABO158" s="4"/>
      <c r="ABP158" s="5"/>
      <c r="ABQ158" s="6"/>
      <c r="ABR158" s="4"/>
      <c r="ABS158" s="4"/>
      <c r="ABT158" s="4"/>
      <c r="ABU158" s="4"/>
      <c r="ABV158" s="4"/>
      <c r="ABW158" s="5"/>
      <c r="ABX158" s="6"/>
      <c r="ABY158" s="4"/>
      <c r="ABZ158" s="4"/>
      <c r="ACA158" s="4"/>
      <c r="ACB158" s="4"/>
      <c r="ACC158" s="4"/>
      <c r="ACD158" s="5"/>
      <c r="ACE158" s="6"/>
      <c r="ACF158" s="4"/>
      <c r="ACG158" s="4"/>
      <c r="ACH158" s="4"/>
      <c r="ACI158" s="4"/>
      <c r="ACJ158" s="4"/>
      <c r="ACK158" s="5"/>
      <c r="ACL158" s="6"/>
      <c r="ACM158" s="4"/>
      <c r="ACN158" s="4"/>
      <c r="ACO158" s="4"/>
      <c r="ACP158" s="4"/>
      <c r="ACQ158" s="4"/>
      <c r="ACR158" s="5"/>
      <c r="ACS158" s="6"/>
      <c r="ACT158" s="4"/>
      <c r="ACU158" s="4"/>
      <c r="ACV158" s="4"/>
      <c r="ACW158" s="4"/>
      <c r="ACX158" s="4"/>
      <c r="ACY158" s="5"/>
    </row>
    <row r="159" spans="2:779" x14ac:dyDescent="0.25">
      <c r="B159" s="29">
        <v>98003748</v>
      </c>
      <c r="C159">
        <v>91</v>
      </c>
      <c r="D159" t="s">
        <v>3729</v>
      </c>
      <c r="F159" s="23" t="s">
        <v>1785</v>
      </c>
      <c r="I159">
        <v>1</v>
      </c>
      <c r="J159" s="19">
        <v>35222</v>
      </c>
      <c r="K159" s="19"/>
      <c r="L159" s="19"/>
      <c r="M159">
        <v>1</v>
      </c>
      <c r="N159" s="17">
        <v>35222</v>
      </c>
      <c r="LL159" s="6"/>
      <c r="LM159" s="4"/>
      <c r="LN159" s="4"/>
      <c r="LO159" s="4"/>
      <c r="LP159" s="4"/>
      <c r="LQ159" s="4"/>
      <c r="LR159" s="5"/>
      <c r="LS159" s="6"/>
      <c r="LT159" s="4"/>
      <c r="LU159" s="4"/>
      <c r="LV159" s="4"/>
      <c r="LW159" s="4"/>
      <c r="LX159" s="4"/>
      <c r="LY159" s="5"/>
      <c r="LZ159" s="6" t="s">
        <v>2397</v>
      </c>
      <c r="MA159" s="7" t="s">
        <v>2015</v>
      </c>
      <c r="MB159" s="4"/>
      <c r="MC159" s="4"/>
      <c r="MD159" s="8"/>
      <c r="ME159" s="4"/>
      <c r="MF159" s="4"/>
      <c r="MG159" s="5"/>
      <c r="MH159" s="6"/>
      <c r="MI159" s="4"/>
      <c r="MJ159" s="4"/>
      <c r="MK159" s="4"/>
      <c r="ML159" s="4"/>
      <c r="MM159" s="4"/>
      <c r="MN159" s="5"/>
      <c r="MO159" s="6"/>
      <c r="MP159" s="4"/>
      <c r="MQ159" s="4"/>
      <c r="MR159" s="4"/>
      <c r="MS159" s="4"/>
      <c r="MT159" s="4"/>
      <c r="MU159" s="5"/>
      <c r="MV159" s="6"/>
      <c r="MW159" s="4"/>
      <c r="MX159" s="4"/>
      <c r="MY159" s="4"/>
      <c r="MZ159" s="4"/>
      <c r="NA159" s="4"/>
      <c r="NB159" s="5"/>
      <c r="NC159" s="6"/>
      <c r="ND159" s="4"/>
      <c r="NE159" s="4"/>
      <c r="NF159" s="4"/>
      <c r="NG159" s="4"/>
      <c r="NH159" s="4"/>
      <c r="NI159" s="5"/>
      <c r="NJ159" s="6"/>
      <c r="NK159" s="4"/>
      <c r="NL159" s="4"/>
      <c r="NM159" s="4"/>
      <c r="NN159" s="4"/>
      <c r="NO159" s="4"/>
      <c r="NP159" s="5"/>
      <c r="NQ159" s="6"/>
      <c r="NR159" s="4"/>
      <c r="NS159" s="4"/>
      <c r="NT159" s="4"/>
      <c r="NU159" s="4"/>
      <c r="NV159" s="4"/>
      <c r="NW159" s="5"/>
      <c r="NX159" s="6"/>
      <c r="NY159" s="4"/>
      <c r="NZ159" s="4"/>
      <c r="OA159" s="4"/>
      <c r="OB159" s="4"/>
      <c r="OC159" s="4"/>
      <c r="OD159" s="5"/>
      <c r="OE159" s="6"/>
      <c r="OF159" s="4"/>
      <c r="OG159" s="4"/>
      <c r="OH159" s="4"/>
      <c r="OI159" s="4"/>
      <c r="OJ159" s="4"/>
      <c r="OK159" s="5"/>
      <c r="OL159" s="6"/>
      <c r="OM159" s="4"/>
      <c r="ON159" s="4"/>
      <c r="OO159" s="4"/>
      <c r="OP159" s="4"/>
      <c r="OQ159" s="4"/>
      <c r="OR159" s="5"/>
      <c r="OS159" s="6"/>
      <c r="OT159" s="4"/>
      <c r="OU159" s="4"/>
      <c r="OV159" s="4"/>
      <c r="OW159" s="4"/>
      <c r="OX159" s="4"/>
      <c r="OY159" s="5"/>
      <c r="OZ159" s="6"/>
      <c r="PA159" s="4"/>
      <c r="PB159" s="4"/>
      <c r="PC159" s="4"/>
      <c r="PD159" s="4"/>
      <c r="PE159" s="4"/>
      <c r="PF159" s="5"/>
      <c r="PG159" s="6"/>
      <c r="PH159" s="4"/>
      <c r="PI159" s="4"/>
      <c r="PJ159" s="4"/>
      <c r="PK159" s="4"/>
      <c r="PL159" s="4"/>
      <c r="PM159" s="5"/>
      <c r="PN159" s="6"/>
      <c r="PO159" s="4"/>
      <c r="PP159" s="4"/>
      <c r="PQ159" s="4"/>
      <c r="PR159" s="4"/>
      <c r="PS159" s="4"/>
      <c r="PT159" s="5"/>
      <c r="PU159" s="6"/>
      <c r="PV159" s="4"/>
      <c r="PW159" s="4"/>
      <c r="PX159" s="4"/>
      <c r="PY159" s="4"/>
      <c r="PZ159" s="4"/>
      <c r="QA159" s="5"/>
      <c r="QB159" s="6"/>
      <c r="QC159" s="4"/>
      <c r="QD159" s="4"/>
      <c r="QE159" s="4"/>
      <c r="QF159" s="4"/>
      <c r="QG159" s="4"/>
      <c r="QH159" s="5"/>
      <c r="QI159" s="6"/>
      <c r="QJ159" s="4"/>
      <c r="QK159" s="4"/>
      <c r="QL159" s="4"/>
      <c r="QM159" s="4"/>
      <c r="QN159" s="4"/>
      <c r="QO159" s="5"/>
      <c r="QP159" s="6"/>
      <c r="QQ159" s="4"/>
      <c r="QR159" s="4"/>
      <c r="QS159" s="4"/>
      <c r="QT159" s="4"/>
      <c r="QU159" s="4"/>
      <c r="QV159" s="5"/>
      <c r="QW159" s="6"/>
      <c r="QX159" s="4"/>
      <c r="QY159" s="4"/>
      <c r="QZ159" s="4"/>
      <c r="RA159" s="4"/>
      <c r="RB159" s="4"/>
      <c r="RC159" s="5"/>
      <c r="RD159" s="6"/>
      <c r="RE159" s="4"/>
      <c r="RF159" s="4"/>
      <c r="RG159" s="4"/>
      <c r="RH159" s="4"/>
      <c r="RI159" s="4"/>
      <c r="RJ159" s="5"/>
      <c r="RK159" s="6"/>
      <c r="RL159" s="4"/>
      <c r="RM159" s="4"/>
      <c r="RN159" s="4"/>
      <c r="RO159" s="4"/>
      <c r="RP159" s="4"/>
      <c r="RQ159" s="5"/>
      <c r="RR159" s="6"/>
      <c r="RS159" s="4"/>
      <c r="RT159" s="4"/>
      <c r="RU159" s="4"/>
      <c r="RV159" s="4"/>
      <c r="RW159" s="4"/>
      <c r="RX159" s="5"/>
      <c r="RY159" s="6"/>
      <c r="RZ159" s="4"/>
      <c r="SA159" s="4"/>
      <c r="SB159" s="4"/>
      <c r="SC159" s="4"/>
      <c r="SD159" s="4"/>
      <c r="SE159" s="5"/>
      <c r="SF159" s="6"/>
      <c r="SG159" s="4"/>
      <c r="SH159" s="4"/>
      <c r="SI159" s="4"/>
      <c r="SJ159" s="4"/>
      <c r="SK159" s="4"/>
      <c r="SL159" s="5"/>
      <c r="SM159" s="6"/>
      <c r="SN159" s="4"/>
      <c r="SO159" s="4"/>
      <c r="SP159" s="4"/>
      <c r="SQ159" s="4"/>
      <c r="SR159" s="4"/>
      <c r="SS159" s="5"/>
      <c r="ST159" s="6"/>
      <c r="SU159" s="4"/>
      <c r="SV159" s="4"/>
      <c r="SW159" s="4"/>
      <c r="SX159" s="4"/>
      <c r="SY159" s="4"/>
      <c r="SZ159" s="5"/>
      <c r="TA159" s="6"/>
      <c r="TB159" s="4"/>
      <c r="TC159" s="4"/>
      <c r="TD159" s="4"/>
      <c r="TE159" s="4"/>
      <c r="TF159" s="4"/>
      <c r="TG159" s="5"/>
      <c r="TH159" s="6"/>
      <c r="TI159" s="4"/>
      <c r="TJ159" s="4"/>
      <c r="TK159" s="4"/>
      <c r="TL159" s="4"/>
      <c r="TM159" s="4"/>
      <c r="TN159" s="5"/>
      <c r="TO159" s="6"/>
      <c r="TP159" s="4"/>
      <c r="TQ159" s="4"/>
      <c r="TR159" s="4"/>
      <c r="TS159" s="4"/>
      <c r="TT159" s="4"/>
      <c r="TU159" s="5"/>
      <c r="TV159" s="6"/>
      <c r="TW159" s="4"/>
      <c r="TX159" s="4"/>
      <c r="TY159" s="4"/>
      <c r="TZ159" s="4"/>
      <c r="UA159" s="4"/>
      <c r="UB159" s="5"/>
      <c r="UC159" s="6"/>
      <c r="UD159" s="4"/>
      <c r="UE159" s="4"/>
      <c r="UF159" s="4"/>
      <c r="UG159" s="4"/>
      <c r="UH159" s="4"/>
      <c r="UI159" s="5"/>
      <c r="UJ159" s="6"/>
      <c r="UK159" s="4"/>
      <c r="UL159" s="4"/>
      <c r="UM159" s="4"/>
      <c r="UN159" s="4"/>
      <c r="UO159" s="4"/>
      <c r="UP159" s="5"/>
      <c r="UQ159" s="6"/>
      <c r="UR159" s="4"/>
      <c r="US159" s="4"/>
      <c r="UT159" s="4"/>
      <c r="UU159" s="4"/>
      <c r="UV159" s="4"/>
      <c r="UW159" s="5"/>
      <c r="UX159" s="6"/>
      <c r="UY159" s="4"/>
      <c r="UZ159" s="4"/>
      <c r="VA159" s="4"/>
      <c r="VB159" s="4"/>
      <c r="VC159" s="4"/>
      <c r="VD159" s="5"/>
      <c r="VE159" s="6"/>
      <c r="VF159" s="4"/>
      <c r="VG159" s="4"/>
      <c r="VH159" s="4"/>
      <c r="VI159" s="4"/>
      <c r="VJ159" s="4"/>
      <c r="VK159" s="5"/>
      <c r="VL159" s="6"/>
      <c r="VM159" s="4"/>
      <c r="VN159" s="4"/>
      <c r="VO159" s="4"/>
      <c r="VP159" s="4"/>
      <c r="VQ159" s="4"/>
      <c r="VR159" s="5"/>
      <c r="VS159" s="6"/>
      <c r="VT159" s="4"/>
      <c r="VU159" s="4"/>
      <c r="VV159" s="4"/>
      <c r="VW159" s="4"/>
      <c r="VX159" s="4"/>
      <c r="VY159" s="5"/>
      <c r="VZ159" s="6"/>
      <c r="WA159" s="4"/>
      <c r="WB159" s="4"/>
      <c r="WC159" s="4"/>
      <c r="WD159" s="4"/>
      <c r="WE159" s="4"/>
      <c r="WF159" s="5"/>
      <c r="WG159" s="6"/>
      <c r="WH159" s="4"/>
      <c r="WI159" s="4"/>
      <c r="WJ159" s="4"/>
      <c r="WK159" s="4"/>
      <c r="WL159" s="4"/>
      <c r="WM159" s="5"/>
      <c r="WN159" s="6"/>
      <c r="WO159" s="4"/>
      <c r="WP159" s="4"/>
      <c r="WQ159" s="4"/>
      <c r="WR159" s="4"/>
      <c r="WS159" s="4"/>
      <c r="WT159" s="5"/>
      <c r="WU159" s="6"/>
      <c r="WV159" s="4"/>
      <c r="WW159" s="4"/>
      <c r="WX159" s="4"/>
      <c r="WY159" s="4"/>
      <c r="WZ159" s="4"/>
      <c r="XA159" s="5"/>
      <c r="XB159" s="6"/>
      <c r="XC159" s="4"/>
      <c r="XD159" s="4"/>
      <c r="XE159" s="4"/>
      <c r="XF159" s="4"/>
      <c r="XG159" s="4"/>
      <c r="XH159" s="5"/>
      <c r="XI159" s="6"/>
      <c r="XJ159" s="4"/>
      <c r="XK159" s="4"/>
      <c r="XL159" s="4"/>
      <c r="XM159" s="4"/>
      <c r="XN159" s="4"/>
      <c r="XO159" s="5"/>
      <c r="XP159" s="6"/>
      <c r="XQ159" s="4"/>
      <c r="XR159" s="4"/>
      <c r="XS159" s="4"/>
      <c r="XT159" s="4"/>
      <c r="XU159" s="4"/>
      <c r="XV159" s="5"/>
      <c r="XW159" s="6"/>
      <c r="XX159" s="4"/>
      <c r="XY159" s="4"/>
      <c r="XZ159" s="4"/>
      <c r="YA159" s="4"/>
      <c r="YB159" s="4"/>
      <c r="YC159" s="5"/>
      <c r="YD159" s="6"/>
      <c r="YE159" s="4"/>
      <c r="YF159" s="4"/>
      <c r="YG159" s="4"/>
      <c r="YH159" s="4"/>
      <c r="YI159" s="4"/>
      <c r="YJ159" s="5"/>
      <c r="YK159" s="6"/>
      <c r="YL159" s="4"/>
      <c r="YM159" s="4"/>
      <c r="YN159" s="4"/>
      <c r="YO159" s="4"/>
      <c r="YP159" s="4"/>
      <c r="YQ159" s="5"/>
      <c r="YR159" s="6"/>
      <c r="YS159" s="4"/>
      <c r="YT159" s="4"/>
      <c r="YU159" s="4"/>
      <c r="YV159" s="4"/>
      <c r="YW159" s="4"/>
      <c r="YX159" s="5"/>
      <c r="YY159" s="6"/>
      <c r="YZ159" s="4"/>
      <c r="ZA159" s="4"/>
      <c r="ZB159" s="4"/>
      <c r="ZC159" s="4"/>
      <c r="ZD159" s="4"/>
      <c r="ZE159" s="5"/>
      <c r="ZF159" s="6"/>
      <c r="ZG159" s="4"/>
      <c r="ZH159" s="4"/>
      <c r="ZI159" s="4"/>
      <c r="ZJ159" s="4"/>
      <c r="ZK159" s="4"/>
      <c r="ZL159" s="5"/>
      <c r="ZM159" s="6"/>
      <c r="ZN159" s="4"/>
      <c r="ZO159" s="4"/>
      <c r="ZP159" s="4"/>
      <c r="ZQ159" s="4"/>
      <c r="ZR159" s="4"/>
      <c r="ZS159" s="5"/>
      <c r="ZT159" s="6"/>
      <c r="ZU159" s="4"/>
      <c r="ZV159" s="4"/>
      <c r="ZW159" s="4"/>
      <c r="ZX159" s="4"/>
      <c r="ZY159" s="4"/>
      <c r="ZZ159" s="5"/>
      <c r="AAA159" s="6"/>
      <c r="AAB159" s="4"/>
      <c r="AAC159" s="4"/>
      <c r="AAD159" s="4"/>
      <c r="AAE159" s="4"/>
      <c r="AAF159" s="4"/>
      <c r="AAG159" s="5"/>
      <c r="AAH159" s="6"/>
      <c r="AAI159" s="4"/>
      <c r="AAJ159" s="4"/>
      <c r="AAK159" s="4"/>
      <c r="AAL159" s="4"/>
      <c r="AAM159" s="4"/>
      <c r="AAN159" s="5"/>
      <c r="AAO159" s="6"/>
      <c r="AAP159" s="4"/>
      <c r="AAQ159" s="4"/>
      <c r="AAR159" s="4"/>
      <c r="AAS159" s="4"/>
      <c r="AAT159" s="4"/>
      <c r="AAU159" s="5"/>
      <c r="AAV159" s="6"/>
      <c r="AAW159" s="4"/>
      <c r="AAX159" s="4"/>
      <c r="AAY159" s="4"/>
      <c r="AAZ159" s="4"/>
      <c r="ABA159" s="4"/>
      <c r="ABB159" s="5"/>
      <c r="ABC159" s="6"/>
      <c r="ABD159" s="4"/>
      <c r="ABE159" s="4"/>
      <c r="ABF159" s="4"/>
      <c r="ABG159" s="4"/>
      <c r="ABH159" s="4"/>
      <c r="ABI159" s="5"/>
      <c r="ABJ159" s="6"/>
      <c r="ABK159" s="4"/>
      <c r="ABL159" s="4"/>
      <c r="ABM159" s="4"/>
      <c r="ABN159" s="4"/>
      <c r="ABO159" s="4"/>
      <c r="ABP159" s="5"/>
      <c r="ABQ159" s="6"/>
      <c r="ABR159" s="4"/>
      <c r="ABS159" s="4"/>
      <c r="ABT159" s="4"/>
      <c r="ABU159" s="4"/>
      <c r="ABV159" s="4"/>
      <c r="ABW159" s="5"/>
      <c r="ABX159" s="6"/>
      <c r="ABY159" s="4"/>
      <c r="ABZ159" s="4"/>
      <c r="ACA159" s="4"/>
      <c r="ACB159" s="4"/>
      <c r="ACC159" s="4"/>
      <c r="ACD159" s="5"/>
      <c r="ACE159" s="6"/>
      <c r="ACF159" s="4"/>
      <c r="ACG159" s="4"/>
      <c r="ACH159" s="4"/>
      <c r="ACI159" s="4"/>
      <c r="ACJ159" s="4"/>
      <c r="ACK159" s="5"/>
      <c r="ACL159" s="6"/>
      <c r="ACM159" s="4"/>
      <c r="ACN159" s="4"/>
      <c r="ACO159" s="4"/>
      <c r="ACP159" s="4"/>
      <c r="ACQ159" s="4"/>
      <c r="ACR159" s="5"/>
      <c r="ACS159" s="6"/>
      <c r="ACT159" s="4"/>
      <c r="ACU159" s="4"/>
      <c r="ACV159" s="4"/>
      <c r="ACW159" s="4"/>
      <c r="ACX159" s="4"/>
      <c r="ACY159" s="5"/>
    </row>
    <row r="160" spans="2:779" x14ac:dyDescent="0.25">
      <c r="B160" s="49">
        <v>98900371</v>
      </c>
      <c r="C160">
        <v>67</v>
      </c>
      <c r="D160" t="s">
        <v>2121</v>
      </c>
      <c r="F160" s="23">
        <v>1</v>
      </c>
      <c r="J160" s="12"/>
      <c r="K160" s="12"/>
      <c r="L160" s="12"/>
      <c r="M160">
        <v>1</v>
      </c>
      <c r="N160" s="17">
        <v>35188</v>
      </c>
      <c r="Q160">
        <v>1</v>
      </c>
      <c r="R160">
        <v>1</v>
      </c>
      <c r="S160">
        <v>1</v>
      </c>
      <c r="LL160" s="6"/>
      <c r="LM160" s="4"/>
      <c r="LN160" s="4"/>
      <c r="LO160" s="4"/>
      <c r="LP160" s="4"/>
      <c r="LQ160" s="4"/>
      <c r="LR160" s="5"/>
      <c r="LS160" s="6" t="s">
        <v>1088</v>
      </c>
      <c r="LT160" s="4" t="s">
        <v>1089</v>
      </c>
      <c r="LU160" s="4"/>
      <c r="LV160" s="4"/>
      <c r="LW160" s="4"/>
      <c r="LX160" s="4"/>
      <c r="LY160" s="5"/>
      <c r="LZ160" s="6" t="s">
        <v>2983</v>
      </c>
      <c r="MA160" s="7" t="s">
        <v>2983</v>
      </c>
      <c r="MB160" s="4"/>
      <c r="MC160" s="4"/>
      <c r="MD160" s="8"/>
      <c r="ME160" s="4"/>
      <c r="MF160" s="4" t="s">
        <v>604</v>
      </c>
      <c r="MG160" s="5"/>
      <c r="MH160" s="6"/>
      <c r="MI160" s="4"/>
      <c r="MJ160" s="4"/>
      <c r="MK160" s="4"/>
      <c r="ML160" s="4"/>
      <c r="MM160" s="4"/>
      <c r="MN160" s="5"/>
      <c r="MO160" s="6"/>
      <c r="MP160" s="4"/>
      <c r="MQ160" s="4"/>
      <c r="MR160" s="4"/>
      <c r="MS160" s="4"/>
      <c r="MT160" s="4"/>
      <c r="MU160" s="5"/>
      <c r="MV160" s="6"/>
      <c r="MW160" s="4"/>
      <c r="MX160" s="4"/>
      <c r="MY160" s="4"/>
      <c r="MZ160" s="4"/>
      <c r="NA160" s="4"/>
      <c r="NB160" s="5"/>
      <c r="NC160" s="6" t="s">
        <v>1020</v>
      </c>
      <c r="ND160" s="4" t="s">
        <v>1021</v>
      </c>
      <c r="NE160" s="4"/>
      <c r="NF160" s="4"/>
      <c r="NG160" s="4"/>
      <c r="NH160" s="4"/>
      <c r="NI160" s="5"/>
      <c r="NJ160" s="6"/>
      <c r="NK160" s="4"/>
      <c r="NL160" s="4"/>
      <c r="NM160" s="4"/>
      <c r="NN160" s="4"/>
      <c r="NO160" s="4"/>
      <c r="NP160" s="5"/>
      <c r="NQ160" s="6"/>
      <c r="NR160" s="4"/>
      <c r="NS160" s="4"/>
      <c r="NT160" s="4"/>
      <c r="NU160" s="4"/>
      <c r="NV160" s="4"/>
      <c r="NW160" s="5"/>
      <c r="NX160" s="6"/>
      <c r="NY160" s="4"/>
      <c r="NZ160" s="4"/>
      <c r="OA160" s="4"/>
      <c r="OB160" s="4"/>
      <c r="OC160" s="4"/>
      <c r="OD160" s="5"/>
      <c r="OE160" s="6"/>
      <c r="OF160" s="4"/>
      <c r="OG160" s="4"/>
      <c r="OH160" s="4"/>
      <c r="OI160" s="4"/>
      <c r="OJ160" s="4"/>
      <c r="OK160" s="5"/>
      <c r="OL160" s="6"/>
      <c r="OM160" s="4"/>
      <c r="ON160" s="4"/>
      <c r="OO160" s="4"/>
      <c r="OP160" s="4"/>
      <c r="OQ160" s="4"/>
      <c r="OR160" s="5"/>
      <c r="OS160" s="6"/>
      <c r="OT160" s="4"/>
      <c r="OU160" s="4"/>
      <c r="OV160" s="4"/>
      <c r="OW160" s="4"/>
      <c r="OX160" s="4"/>
      <c r="OY160" s="5"/>
      <c r="OZ160" s="6"/>
      <c r="PA160" s="4"/>
      <c r="PB160" s="4"/>
      <c r="PC160" s="4"/>
      <c r="PD160" s="4"/>
      <c r="PE160" s="4"/>
      <c r="PF160" s="5"/>
      <c r="PG160" s="6"/>
      <c r="PH160" s="4"/>
      <c r="PI160" s="4"/>
      <c r="PJ160" s="4"/>
      <c r="PK160" s="4"/>
      <c r="PL160" s="4"/>
      <c r="PM160" s="5"/>
      <c r="PN160" s="6"/>
      <c r="PO160" s="4"/>
      <c r="PP160" s="4"/>
      <c r="PQ160" s="4"/>
      <c r="PR160" s="4"/>
      <c r="PS160" s="4"/>
      <c r="PT160" s="5"/>
      <c r="PU160" s="6"/>
      <c r="PV160" s="4"/>
      <c r="PW160" s="4"/>
      <c r="PX160" s="4"/>
      <c r="PY160" s="4"/>
      <c r="PZ160" s="4"/>
      <c r="QA160" s="5"/>
      <c r="QB160" s="6"/>
      <c r="QC160" s="4"/>
      <c r="QD160" s="4"/>
      <c r="QE160" s="4"/>
      <c r="QF160" s="4"/>
      <c r="QG160" s="4"/>
      <c r="QH160" s="5"/>
      <c r="QI160" s="6"/>
      <c r="QJ160" s="4"/>
      <c r="QK160" s="4"/>
      <c r="QL160" s="4"/>
      <c r="QM160" s="4"/>
      <c r="QN160" s="4"/>
      <c r="QO160" s="5"/>
      <c r="QP160" s="6"/>
      <c r="QQ160" s="4"/>
      <c r="QR160" s="4"/>
      <c r="QS160" s="4"/>
      <c r="QT160" s="4"/>
      <c r="QU160" s="4"/>
      <c r="QV160" s="5"/>
      <c r="QW160" s="6" t="s">
        <v>1022</v>
      </c>
      <c r="QX160" s="4" t="s">
        <v>1874</v>
      </c>
      <c r="QY160" s="4"/>
      <c r="QZ160" s="4"/>
      <c r="RA160" s="4"/>
      <c r="RB160" s="4"/>
      <c r="RC160" s="5"/>
      <c r="RD160" s="6"/>
      <c r="RE160" s="4"/>
      <c r="RF160" s="4"/>
      <c r="RG160" s="4"/>
      <c r="RH160" s="4"/>
      <c r="RI160" s="4"/>
      <c r="RJ160" s="5"/>
      <c r="RK160" s="6"/>
      <c r="RL160" s="4"/>
      <c r="RM160" s="4"/>
      <c r="RN160" s="4"/>
      <c r="RO160" s="4"/>
      <c r="RP160" s="4"/>
      <c r="RQ160" s="5"/>
      <c r="RR160" s="6"/>
      <c r="RS160" s="4"/>
      <c r="RT160" s="4"/>
      <c r="RU160" s="4"/>
      <c r="RV160" s="4"/>
      <c r="RW160" s="4"/>
      <c r="RX160" s="5"/>
      <c r="RY160" s="6"/>
      <c r="RZ160" s="4"/>
      <c r="SA160" s="4"/>
      <c r="SB160" s="4"/>
      <c r="SC160" s="4"/>
      <c r="SD160" s="4"/>
      <c r="SE160" s="5"/>
      <c r="SF160" s="6"/>
      <c r="SG160" s="4"/>
      <c r="SH160" s="4"/>
      <c r="SI160" s="4"/>
      <c r="SJ160" s="4"/>
      <c r="SK160" s="4"/>
      <c r="SL160" s="5"/>
      <c r="SM160" s="6"/>
      <c r="SN160" s="4"/>
      <c r="SO160" s="4"/>
      <c r="SP160" s="4"/>
      <c r="SQ160" s="4"/>
      <c r="SR160" s="4"/>
      <c r="SS160" s="5"/>
      <c r="ST160" s="6"/>
      <c r="SU160" s="4"/>
      <c r="SV160" s="4"/>
      <c r="SW160" s="4"/>
      <c r="SX160" s="4"/>
      <c r="SY160" s="4"/>
      <c r="SZ160" s="5"/>
      <c r="TA160" s="6"/>
      <c r="TB160" s="4"/>
      <c r="TC160" s="4"/>
      <c r="TD160" s="4"/>
      <c r="TE160" s="4"/>
      <c r="TF160" s="4"/>
      <c r="TG160" s="5"/>
      <c r="TH160" s="6"/>
      <c r="TI160" s="4"/>
      <c r="TJ160" s="4"/>
      <c r="TK160" s="4"/>
      <c r="TL160" s="4"/>
      <c r="TM160" s="4"/>
      <c r="TN160" s="5"/>
      <c r="TO160" s="6"/>
      <c r="TP160" s="4"/>
      <c r="TQ160" s="4"/>
      <c r="TR160" s="4"/>
      <c r="TS160" s="4"/>
      <c r="TT160" s="4"/>
      <c r="TU160" s="5"/>
      <c r="TV160" s="6"/>
      <c r="TW160" s="4"/>
      <c r="TX160" s="4"/>
      <c r="TY160" s="4"/>
      <c r="TZ160" s="4"/>
      <c r="UA160" s="4"/>
      <c r="UB160" s="5"/>
      <c r="UC160" s="6"/>
      <c r="UD160" s="4"/>
      <c r="UE160" s="4"/>
      <c r="UF160" s="4"/>
      <c r="UG160" s="4"/>
      <c r="UH160" s="4"/>
      <c r="UI160" s="5"/>
      <c r="UJ160" s="6"/>
      <c r="UK160" s="4"/>
      <c r="UL160" s="4"/>
      <c r="UM160" s="4"/>
      <c r="UN160" s="4"/>
      <c r="UO160" s="4"/>
      <c r="UP160" s="5"/>
      <c r="UQ160" s="6"/>
      <c r="UR160" s="4"/>
      <c r="US160" s="4"/>
      <c r="UT160" s="4"/>
      <c r="UU160" s="4"/>
      <c r="UV160" s="4"/>
      <c r="UW160" s="5"/>
      <c r="UX160" s="6"/>
      <c r="UY160" s="4"/>
      <c r="UZ160" s="4"/>
      <c r="VA160" s="4"/>
      <c r="VB160" s="4"/>
      <c r="VC160" s="4"/>
      <c r="VD160" s="5"/>
      <c r="VE160" s="6"/>
      <c r="VF160" s="4"/>
      <c r="VG160" s="4"/>
      <c r="VH160" s="4"/>
      <c r="VI160" s="4"/>
      <c r="VJ160" s="4"/>
      <c r="VK160" s="5"/>
      <c r="VL160" s="6" t="s">
        <v>2546</v>
      </c>
      <c r="VM160" s="4" t="s">
        <v>2602</v>
      </c>
      <c r="VN160" s="4"/>
      <c r="VO160" s="4"/>
      <c r="VP160" s="4"/>
      <c r="VQ160" s="4"/>
      <c r="VR160" s="5"/>
      <c r="VS160" s="6"/>
      <c r="VT160" s="4"/>
      <c r="VU160" s="4"/>
      <c r="VV160" s="4"/>
      <c r="VW160" s="4"/>
      <c r="VX160" s="4"/>
      <c r="VY160" s="5"/>
      <c r="VZ160" s="6"/>
      <c r="WA160" s="4"/>
      <c r="WB160" s="4"/>
      <c r="WC160" s="4"/>
      <c r="WD160" s="4"/>
      <c r="WE160" s="4"/>
      <c r="WF160" s="5"/>
      <c r="WG160" s="6"/>
      <c r="WH160" s="4"/>
      <c r="WI160" s="4"/>
      <c r="WJ160" s="4"/>
      <c r="WK160" s="4"/>
      <c r="WL160" s="4"/>
      <c r="WM160" s="5"/>
      <c r="WN160" s="6"/>
      <c r="WO160" s="4"/>
      <c r="WP160" s="4"/>
      <c r="WQ160" s="4"/>
      <c r="WR160" s="4"/>
      <c r="WS160" s="4"/>
      <c r="WT160" s="5"/>
      <c r="WU160" s="6"/>
      <c r="WV160" s="4"/>
      <c r="WW160" s="4"/>
      <c r="WX160" s="4"/>
      <c r="WY160" s="4"/>
      <c r="WZ160" s="4"/>
      <c r="XA160" s="5"/>
      <c r="XB160" s="6"/>
      <c r="XC160" s="4"/>
      <c r="XD160" s="4"/>
      <c r="XE160" s="4"/>
      <c r="XF160" s="4"/>
      <c r="XG160" s="4"/>
      <c r="XH160" s="5"/>
      <c r="XI160" s="6"/>
      <c r="XJ160" s="4"/>
      <c r="XK160" s="4"/>
      <c r="XL160" s="4"/>
      <c r="XM160" s="4"/>
      <c r="XN160" s="4"/>
      <c r="XO160" s="5"/>
      <c r="XP160" s="6"/>
      <c r="XQ160" s="4"/>
      <c r="XR160" s="4"/>
      <c r="XS160" s="4"/>
      <c r="XT160" s="4"/>
      <c r="XU160" s="4"/>
      <c r="XV160" s="5"/>
      <c r="XW160" s="6"/>
      <c r="XX160" s="4"/>
      <c r="XY160" s="4"/>
      <c r="XZ160" s="4"/>
      <c r="YA160" s="4"/>
      <c r="YB160" s="4"/>
      <c r="YC160" s="5"/>
      <c r="YD160" s="6"/>
      <c r="YE160" s="4"/>
      <c r="YF160" s="4"/>
      <c r="YG160" s="4"/>
      <c r="YH160" s="4"/>
      <c r="YI160" s="4"/>
      <c r="YJ160" s="5"/>
      <c r="YK160" s="6"/>
      <c r="YL160" s="4"/>
      <c r="YM160" s="4"/>
      <c r="YN160" s="4"/>
      <c r="YO160" s="4"/>
      <c r="YP160" s="4"/>
      <c r="YQ160" s="5"/>
      <c r="YR160" s="6"/>
      <c r="YS160" s="4"/>
      <c r="YT160" s="4"/>
      <c r="YU160" s="4"/>
      <c r="YV160" s="4"/>
      <c r="YW160" s="4"/>
      <c r="YX160" s="5"/>
      <c r="YY160" s="6"/>
      <c r="YZ160" s="4"/>
      <c r="ZA160" s="4"/>
      <c r="ZB160" s="4"/>
      <c r="ZC160" s="4"/>
      <c r="ZD160" s="4"/>
      <c r="ZE160" s="5"/>
      <c r="ZF160" s="6"/>
      <c r="ZG160" s="4"/>
      <c r="ZH160" s="4"/>
      <c r="ZI160" s="4"/>
      <c r="ZJ160" s="4"/>
      <c r="ZK160" s="4"/>
      <c r="ZL160" s="5"/>
      <c r="ZM160" s="6"/>
      <c r="ZN160" s="4"/>
      <c r="ZO160" s="4"/>
      <c r="ZP160" s="4"/>
      <c r="ZQ160" s="4"/>
      <c r="ZR160" s="4"/>
      <c r="ZS160" s="5"/>
      <c r="ZT160" s="6"/>
      <c r="ZU160" s="4"/>
      <c r="ZV160" s="4"/>
      <c r="ZW160" s="4"/>
      <c r="ZX160" s="4"/>
      <c r="ZY160" s="4"/>
      <c r="ZZ160" s="5"/>
      <c r="AAA160" s="6"/>
      <c r="AAB160" s="4"/>
      <c r="AAC160" s="4"/>
      <c r="AAD160" s="4"/>
      <c r="AAE160" s="4"/>
      <c r="AAF160" s="4"/>
      <c r="AAG160" s="5"/>
      <c r="AAH160" s="6" t="s">
        <v>2730</v>
      </c>
      <c r="AAI160" s="4" t="s">
        <v>2731</v>
      </c>
      <c r="AAJ160" s="4"/>
      <c r="AAK160" s="4"/>
      <c r="AAL160" s="4"/>
      <c r="AAM160" s="4"/>
      <c r="AAN160" s="5"/>
      <c r="AAO160" s="6"/>
      <c r="AAP160" s="4"/>
      <c r="AAQ160" s="4"/>
      <c r="AAR160" s="4"/>
      <c r="AAS160" s="4"/>
      <c r="AAT160" s="4"/>
      <c r="AAU160" s="5"/>
      <c r="AAV160" s="6"/>
      <c r="AAW160" s="4"/>
      <c r="AAX160" s="4"/>
      <c r="AAY160" s="4"/>
      <c r="AAZ160" s="4"/>
      <c r="ABA160" s="4"/>
      <c r="ABB160" s="5"/>
      <c r="ABC160" s="6" t="s">
        <v>1023</v>
      </c>
      <c r="ABD160" s="4" t="s">
        <v>1024</v>
      </c>
      <c r="ABE160" s="4"/>
      <c r="ABF160" s="4"/>
      <c r="ABG160" s="4"/>
      <c r="ABH160" s="4"/>
      <c r="ABI160" s="5" t="s">
        <v>1025</v>
      </c>
      <c r="ABJ160" s="6"/>
      <c r="ABK160" s="4"/>
      <c r="ABL160" s="4"/>
      <c r="ABM160" s="4"/>
      <c r="ABN160" s="4"/>
      <c r="ABO160" s="4"/>
      <c r="ABP160" s="5"/>
      <c r="ABQ160" s="6"/>
      <c r="ABR160" s="4"/>
      <c r="ABS160" s="4"/>
      <c r="ABT160" s="4"/>
      <c r="ABU160" s="4"/>
      <c r="ABV160" s="4"/>
      <c r="ABW160" s="5"/>
      <c r="ABX160" s="6"/>
      <c r="ABY160" s="4"/>
      <c r="ABZ160" s="4"/>
      <c r="ACA160" s="4"/>
      <c r="ACB160" s="4"/>
      <c r="ACC160" s="4"/>
      <c r="ACD160" s="5"/>
      <c r="ACE160" s="6"/>
      <c r="ACF160" s="4"/>
      <c r="ACG160" s="4"/>
      <c r="ACH160" s="4"/>
      <c r="ACI160" s="4"/>
      <c r="ACJ160" s="4"/>
      <c r="ACK160" s="5"/>
      <c r="ACL160" s="6"/>
      <c r="ACM160" s="4"/>
      <c r="ACN160" s="4"/>
      <c r="ACO160" s="4"/>
      <c r="ACP160" s="4"/>
      <c r="ACQ160" s="4"/>
      <c r="ACR160" s="5"/>
      <c r="ACS160" s="6"/>
      <c r="ACT160" s="4"/>
      <c r="ACU160" s="4"/>
      <c r="ACV160" s="4"/>
      <c r="ACW160" s="4"/>
      <c r="ACX160" s="4"/>
      <c r="ACY160" s="5"/>
    </row>
    <row r="161" spans="2:779" x14ac:dyDescent="0.25">
      <c r="B161" s="30"/>
      <c r="J161" s="12"/>
      <c r="K161" s="12"/>
      <c r="L161" s="12"/>
      <c r="LL161" s="6"/>
      <c r="LM161" s="4"/>
      <c r="LN161" s="4"/>
      <c r="LO161" s="4"/>
      <c r="LP161" s="4"/>
      <c r="LQ161" s="4"/>
      <c r="LR161" s="5"/>
      <c r="LS161" s="6"/>
      <c r="LT161" s="4"/>
      <c r="LU161" s="4"/>
      <c r="LV161" s="4"/>
      <c r="LW161" s="4"/>
      <c r="LX161" s="4"/>
      <c r="LY161" s="5"/>
      <c r="LZ161" s="6" t="s">
        <v>2023</v>
      </c>
      <c r="MA161" s="7" t="s">
        <v>2024</v>
      </c>
      <c r="MB161" s="4"/>
      <c r="MC161" s="4"/>
      <c r="MD161" s="8"/>
      <c r="ME161" s="4"/>
      <c r="MF161" s="4"/>
      <c r="MG161" s="5" t="s">
        <v>2856</v>
      </c>
      <c r="MH161" s="6"/>
      <c r="MI161" s="4"/>
      <c r="MJ161" s="4"/>
      <c r="MK161" s="4"/>
      <c r="ML161" s="4"/>
      <c r="MM161" s="4"/>
      <c r="MN161" s="5"/>
      <c r="MO161" s="6"/>
      <c r="MP161" s="4"/>
      <c r="MQ161" s="4"/>
      <c r="MR161" s="4"/>
      <c r="MS161" s="4"/>
      <c r="MT161" s="4"/>
      <c r="MU161" s="5"/>
      <c r="MV161" s="6"/>
      <c r="MW161" s="4"/>
      <c r="MX161" s="4"/>
      <c r="MY161" s="4"/>
      <c r="MZ161" s="4"/>
      <c r="NA161" s="4"/>
      <c r="NB161" s="5"/>
      <c r="NC161" s="6" t="s">
        <v>1026</v>
      </c>
      <c r="ND161" s="4" t="s">
        <v>1027</v>
      </c>
      <c r="NE161" s="4"/>
      <c r="NF161" s="4"/>
      <c r="NG161" s="4"/>
      <c r="NH161" s="4"/>
      <c r="NI161" s="5"/>
      <c r="NJ161" s="6"/>
      <c r="NK161" s="4"/>
      <c r="NL161" s="4"/>
      <c r="NM161" s="4"/>
      <c r="NN161" s="4"/>
      <c r="NO161" s="4"/>
      <c r="NP161" s="5"/>
      <c r="NQ161" s="6"/>
      <c r="NR161" s="4"/>
      <c r="NS161" s="4"/>
      <c r="NT161" s="4"/>
      <c r="NU161" s="4"/>
      <c r="NV161" s="4"/>
      <c r="NW161" s="5"/>
      <c r="NX161" s="6"/>
      <c r="NY161" s="4"/>
      <c r="NZ161" s="4"/>
      <c r="OA161" s="4"/>
      <c r="OB161" s="4"/>
      <c r="OC161" s="4"/>
      <c r="OD161" s="5"/>
      <c r="OE161" s="6"/>
      <c r="OF161" s="4"/>
      <c r="OG161" s="4"/>
      <c r="OH161" s="4"/>
      <c r="OI161" s="4"/>
      <c r="OJ161" s="4"/>
      <c r="OK161" s="5"/>
      <c r="OL161" s="6"/>
      <c r="OM161" s="4"/>
      <c r="ON161" s="4"/>
      <c r="OO161" s="4"/>
      <c r="OP161" s="4"/>
      <c r="OQ161" s="4"/>
      <c r="OR161" s="5"/>
      <c r="OS161" s="6"/>
      <c r="OT161" s="4"/>
      <c r="OU161" s="4"/>
      <c r="OV161" s="4"/>
      <c r="OW161" s="4"/>
      <c r="OX161" s="4"/>
      <c r="OY161" s="5"/>
      <c r="OZ161" s="6"/>
      <c r="PA161" s="4"/>
      <c r="PB161" s="4"/>
      <c r="PC161" s="4"/>
      <c r="PD161" s="4"/>
      <c r="PE161" s="4"/>
      <c r="PF161" s="5"/>
      <c r="PG161" s="6"/>
      <c r="PH161" s="4"/>
      <c r="PI161" s="4"/>
      <c r="PJ161" s="4"/>
      <c r="PK161" s="4"/>
      <c r="PL161" s="4"/>
      <c r="PM161" s="5"/>
      <c r="PN161" s="6"/>
      <c r="PO161" s="4"/>
      <c r="PP161" s="4"/>
      <c r="PQ161" s="4"/>
      <c r="PR161" s="4"/>
      <c r="PS161" s="4"/>
      <c r="PT161" s="5"/>
      <c r="PU161" s="6"/>
      <c r="PV161" s="4"/>
      <c r="PW161" s="4"/>
      <c r="PX161" s="4"/>
      <c r="PY161" s="4"/>
      <c r="PZ161" s="4"/>
      <c r="QA161" s="5"/>
      <c r="QB161" s="6"/>
      <c r="QC161" s="4"/>
      <c r="QD161" s="4"/>
      <c r="QE161" s="4"/>
      <c r="QF161" s="4"/>
      <c r="QG161" s="4"/>
      <c r="QH161" s="5"/>
      <c r="QI161" s="6"/>
      <c r="QJ161" s="4"/>
      <c r="QK161" s="4"/>
      <c r="QL161" s="4"/>
      <c r="QM161" s="4"/>
      <c r="QN161" s="4"/>
      <c r="QO161" s="5"/>
      <c r="QP161" s="6"/>
      <c r="QQ161" s="4"/>
      <c r="QR161" s="4"/>
      <c r="QS161" s="4"/>
      <c r="QT161" s="4"/>
      <c r="QU161" s="4"/>
      <c r="QV161" s="5"/>
      <c r="QW161" s="6"/>
      <c r="QX161" s="4"/>
      <c r="QY161" s="4"/>
      <c r="QZ161" s="4"/>
      <c r="RA161" s="4"/>
      <c r="RB161" s="4"/>
      <c r="RC161" s="5"/>
      <c r="RD161" s="6"/>
      <c r="RE161" s="4"/>
      <c r="RF161" s="4"/>
      <c r="RG161" s="4"/>
      <c r="RH161" s="4"/>
      <c r="RI161" s="4"/>
      <c r="RJ161" s="5"/>
      <c r="RK161" s="6"/>
      <c r="RL161" s="4"/>
      <c r="RM161" s="4"/>
      <c r="RN161" s="4"/>
      <c r="RO161" s="4"/>
      <c r="RP161" s="4"/>
      <c r="RQ161" s="5"/>
      <c r="RR161" s="6"/>
      <c r="RS161" s="4"/>
      <c r="RT161" s="4"/>
      <c r="RU161" s="4"/>
      <c r="RV161" s="4"/>
      <c r="RW161" s="4"/>
      <c r="RX161" s="5"/>
      <c r="RY161" s="6"/>
      <c r="RZ161" s="4"/>
      <c r="SA161" s="4"/>
      <c r="SB161" s="4"/>
      <c r="SC161" s="4"/>
      <c r="SD161" s="4"/>
      <c r="SE161" s="5"/>
      <c r="SF161" s="6"/>
      <c r="SG161" s="4"/>
      <c r="SH161" s="4"/>
      <c r="SI161" s="4"/>
      <c r="SJ161" s="4"/>
      <c r="SK161" s="4"/>
      <c r="SL161" s="5"/>
      <c r="SM161" s="6"/>
      <c r="SN161" s="4"/>
      <c r="SO161" s="4"/>
      <c r="SP161" s="4"/>
      <c r="SQ161" s="4"/>
      <c r="SR161" s="4"/>
      <c r="SS161" s="5"/>
      <c r="ST161" s="6"/>
      <c r="SU161" s="4"/>
      <c r="SV161" s="4"/>
      <c r="SW161" s="4"/>
      <c r="SX161" s="4"/>
      <c r="SY161" s="4"/>
      <c r="SZ161" s="5"/>
      <c r="TA161" s="6"/>
      <c r="TB161" s="4"/>
      <c r="TC161" s="4"/>
      <c r="TD161" s="4"/>
      <c r="TE161" s="4"/>
      <c r="TF161" s="4"/>
      <c r="TG161" s="5"/>
      <c r="TH161" s="6"/>
      <c r="TI161" s="4"/>
      <c r="TJ161" s="4"/>
      <c r="TK161" s="4"/>
      <c r="TL161" s="4"/>
      <c r="TM161" s="4"/>
      <c r="TN161" s="5"/>
      <c r="TO161" s="6"/>
      <c r="TP161" s="4"/>
      <c r="TQ161" s="4"/>
      <c r="TR161" s="4"/>
      <c r="TS161" s="4"/>
      <c r="TT161" s="4"/>
      <c r="TU161" s="5"/>
      <c r="TV161" s="6"/>
      <c r="TW161" s="4"/>
      <c r="TX161" s="4"/>
      <c r="TY161" s="4"/>
      <c r="TZ161" s="4"/>
      <c r="UA161" s="4"/>
      <c r="UB161" s="5"/>
      <c r="UC161" s="6"/>
      <c r="UD161" s="4"/>
      <c r="UE161" s="4"/>
      <c r="UF161" s="4"/>
      <c r="UG161" s="4"/>
      <c r="UH161" s="4"/>
      <c r="UI161" s="5"/>
      <c r="UJ161" s="6"/>
      <c r="UK161" s="4"/>
      <c r="UL161" s="4"/>
      <c r="UM161" s="4"/>
      <c r="UN161" s="4"/>
      <c r="UO161" s="4"/>
      <c r="UP161" s="5"/>
      <c r="UQ161" s="6"/>
      <c r="UR161" s="4"/>
      <c r="US161" s="4"/>
      <c r="UT161" s="4"/>
      <c r="UU161" s="4"/>
      <c r="UV161" s="4"/>
      <c r="UW161" s="5"/>
      <c r="UX161" s="6"/>
      <c r="UY161" s="4"/>
      <c r="UZ161" s="4"/>
      <c r="VA161" s="4"/>
      <c r="VB161" s="4"/>
      <c r="VC161" s="4"/>
      <c r="VD161" s="5"/>
      <c r="VE161" s="6"/>
      <c r="VF161" s="4"/>
      <c r="VG161" s="4"/>
      <c r="VH161" s="4"/>
      <c r="VI161" s="4"/>
      <c r="VJ161" s="4"/>
      <c r="VK161" s="5"/>
      <c r="VL161" s="6" t="s">
        <v>1028</v>
      </c>
      <c r="VM161" s="4" t="s">
        <v>1030</v>
      </c>
      <c r="VN161" s="4"/>
      <c r="VO161" s="4"/>
      <c r="VP161" s="4"/>
      <c r="VQ161" s="4"/>
      <c r="VR161" s="5"/>
      <c r="VS161" s="6"/>
      <c r="VT161" s="4"/>
      <c r="VU161" s="4"/>
      <c r="VV161" s="4"/>
      <c r="VW161" s="4"/>
      <c r="VX161" s="4"/>
      <c r="VY161" s="5"/>
      <c r="VZ161" s="6"/>
      <c r="WA161" s="4"/>
      <c r="WB161" s="4"/>
      <c r="WC161" s="4"/>
      <c r="WD161" s="4"/>
      <c r="WE161" s="4"/>
      <c r="WF161" s="5"/>
      <c r="WG161" s="6"/>
      <c r="WH161" s="4"/>
      <c r="WI161" s="4"/>
      <c r="WJ161" s="4"/>
      <c r="WK161" s="4"/>
      <c r="WL161" s="4"/>
      <c r="WM161" s="5"/>
      <c r="WN161" s="6"/>
      <c r="WO161" s="4"/>
      <c r="WP161" s="4"/>
      <c r="WQ161" s="4"/>
      <c r="WR161" s="4"/>
      <c r="WS161" s="4"/>
      <c r="WT161" s="5"/>
      <c r="WU161" s="6"/>
      <c r="WV161" s="4"/>
      <c r="WW161" s="4"/>
      <c r="WX161" s="4"/>
      <c r="WY161" s="4"/>
      <c r="WZ161" s="4"/>
      <c r="XA161" s="5"/>
      <c r="XB161" s="6"/>
      <c r="XC161" s="4"/>
      <c r="XD161" s="4"/>
      <c r="XE161" s="4"/>
      <c r="XF161" s="4"/>
      <c r="XG161" s="4"/>
      <c r="XH161" s="5"/>
      <c r="XI161" s="6"/>
      <c r="XJ161" s="4"/>
      <c r="XK161" s="4"/>
      <c r="XL161" s="4"/>
      <c r="XM161" s="4"/>
      <c r="XN161" s="4"/>
      <c r="XO161" s="5"/>
      <c r="XP161" s="6"/>
      <c r="XQ161" s="4"/>
      <c r="XR161" s="4"/>
      <c r="XS161" s="4"/>
      <c r="XT161" s="4"/>
      <c r="XU161" s="4"/>
      <c r="XV161" s="5"/>
      <c r="XW161" s="6"/>
      <c r="XX161" s="4"/>
      <c r="XY161" s="4"/>
      <c r="XZ161" s="4"/>
      <c r="YA161" s="4"/>
      <c r="YB161" s="4"/>
      <c r="YC161" s="5"/>
      <c r="YD161" s="6"/>
      <c r="YE161" s="4"/>
      <c r="YF161" s="4"/>
      <c r="YG161" s="4"/>
      <c r="YH161" s="4"/>
      <c r="YI161" s="4"/>
      <c r="YJ161" s="5"/>
      <c r="YK161" s="6"/>
      <c r="YL161" s="4"/>
      <c r="YM161" s="4"/>
      <c r="YN161" s="4"/>
      <c r="YO161" s="4"/>
      <c r="YP161" s="4"/>
      <c r="YQ161" s="5"/>
      <c r="YR161" s="6"/>
      <c r="YS161" s="4"/>
      <c r="YT161" s="4"/>
      <c r="YU161" s="4"/>
      <c r="YV161" s="4"/>
      <c r="YW161" s="4"/>
      <c r="YX161" s="5"/>
      <c r="YY161" s="6"/>
      <c r="YZ161" s="4"/>
      <c r="ZA161" s="4"/>
      <c r="ZB161" s="4"/>
      <c r="ZC161" s="4"/>
      <c r="ZD161" s="4"/>
      <c r="ZE161" s="5"/>
      <c r="ZF161" s="6"/>
      <c r="ZG161" s="4"/>
      <c r="ZH161" s="4"/>
      <c r="ZI161" s="4"/>
      <c r="ZJ161" s="4"/>
      <c r="ZK161" s="4"/>
      <c r="ZL161" s="5"/>
      <c r="ZM161" s="6"/>
      <c r="ZN161" s="4"/>
      <c r="ZO161" s="4"/>
      <c r="ZP161" s="4"/>
      <c r="ZQ161" s="4"/>
      <c r="ZR161" s="4"/>
      <c r="ZS161" s="5"/>
      <c r="ZT161" s="6"/>
      <c r="ZU161" s="4"/>
      <c r="ZV161" s="4"/>
      <c r="ZW161" s="4"/>
      <c r="ZX161" s="4"/>
      <c r="ZY161" s="4"/>
      <c r="ZZ161" s="5"/>
      <c r="AAA161" s="6"/>
      <c r="AAB161" s="4"/>
      <c r="AAC161" s="4"/>
      <c r="AAD161" s="4"/>
      <c r="AAE161" s="4"/>
      <c r="AAF161" s="4"/>
      <c r="AAG161" s="5"/>
      <c r="AAH161" s="6" t="s">
        <v>1032</v>
      </c>
      <c r="AAI161" s="4" t="s">
        <v>1033</v>
      </c>
      <c r="AAJ161" s="4"/>
      <c r="AAK161" s="4"/>
      <c r="AAL161" s="4"/>
      <c r="AAM161" s="4"/>
      <c r="AAN161" s="5"/>
      <c r="AAO161" s="6"/>
      <c r="AAP161" s="4"/>
      <c r="AAQ161" s="4"/>
      <c r="AAR161" s="4"/>
      <c r="AAS161" s="4"/>
      <c r="AAT161" s="4"/>
      <c r="AAU161" s="5"/>
      <c r="AAV161" s="6"/>
      <c r="AAW161" s="4"/>
      <c r="AAX161" s="4"/>
      <c r="AAY161" s="4"/>
      <c r="AAZ161" s="4"/>
      <c r="ABA161" s="4"/>
      <c r="ABB161" s="5"/>
      <c r="ABC161" s="6"/>
      <c r="ABD161" s="4"/>
      <c r="ABE161" s="4"/>
      <c r="ABF161" s="4"/>
      <c r="ABG161" s="4"/>
      <c r="ABH161" s="4"/>
      <c r="ABI161" s="5"/>
      <c r="ABJ161" s="6"/>
      <c r="ABK161" s="4"/>
      <c r="ABL161" s="4"/>
      <c r="ABM161" s="4"/>
      <c r="ABN161" s="4"/>
      <c r="ABO161" s="4"/>
      <c r="ABP161" s="5"/>
      <c r="ABQ161" s="6"/>
      <c r="ABR161" s="4"/>
      <c r="ABS161" s="4"/>
      <c r="ABT161" s="4"/>
      <c r="ABU161" s="4"/>
      <c r="ABV161" s="4"/>
      <c r="ABW161" s="5"/>
      <c r="ABX161" s="6"/>
      <c r="ABY161" s="4"/>
      <c r="ABZ161" s="4"/>
      <c r="ACA161" s="4"/>
      <c r="ACB161" s="4"/>
      <c r="ACC161" s="4"/>
      <c r="ACD161" s="5"/>
      <c r="ACE161" s="6"/>
      <c r="ACF161" s="4"/>
      <c r="ACG161" s="4"/>
      <c r="ACH161" s="4"/>
      <c r="ACI161" s="4"/>
      <c r="ACJ161" s="4"/>
      <c r="ACK161" s="5"/>
      <c r="ACL161" s="6"/>
      <c r="ACM161" s="4"/>
      <c r="ACN161" s="4"/>
      <c r="ACO161" s="4"/>
      <c r="ACP161" s="4"/>
      <c r="ACQ161" s="4"/>
      <c r="ACR161" s="5"/>
      <c r="ACS161" s="6"/>
      <c r="ACT161" s="4"/>
      <c r="ACU161" s="4"/>
      <c r="ACV161" s="4"/>
      <c r="ACW161" s="4"/>
      <c r="ACX161" s="4"/>
      <c r="ACY161" s="5"/>
    </row>
    <row r="162" spans="2:779" x14ac:dyDescent="0.25">
      <c r="B162" s="30"/>
      <c r="J162" s="12"/>
      <c r="K162" s="12"/>
      <c r="L162" s="12"/>
      <c r="LL162" s="6"/>
      <c r="LM162" s="4"/>
      <c r="LN162" s="4"/>
      <c r="LO162" s="4"/>
      <c r="LP162" s="4"/>
      <c r="LQ162" s="4"/>
      <c r="LR162" s="5"/>
      <c r="LS162" s="6"/>
      <c r="LT162" s="4"/>
      <c r="LU162" s="4"/>
      <c r="LV162" s="4"/>
      <c r="LW162" s="4"/>
      <c r="LX162" s="4"/>
      <c r="LY162" s="5"/>
      <c r="LZ162" s="6" t="s">
        <v>1034</v>
      </c>
      <c r="MA162" s="7" t="s">
        <v>908</v>
      </c>
      <c r="MB162" s="4"/>
      <c r="MC162" s="4"/>
      <c r="MD162" s="8"/>
      <c r="ME162" s="4"/>
      <c r="MF162" s="4"/>
      <c r="MG162" s="5"/>
      <c r="MH162" s="6"/>
      <c r="MI162" s="4"/>
      <c r="MJ162" s="4"/>
      <c r="MK162" s="4"/>
      <c r="ML162" s="4"/>
      <c r="MM162" s="4"/>
      <c r="MN162" s="5"/>
      <c r="MO162" s="6"/>
      <c r="MP162" s="4"/>
      <c r="MQ162" s="4"/>
      <c r="MR162" s="4"/>
      <c r="MS162" s="4"/>
      <c r="MT162" s="4"/>
      <c r="MU162" s="5"/>
      <c r="MV162" s="6"/>
      <c r="MW162" s="4"/>
      <c r="MX162" s="4"/>
      <c r="MY162" s="4"/>
      <c r="MZ162" s="4"/>
      <c r="NA162" s="4"/>
      <c r="NB162" s="5"/>
      <c r="NC162" s="6" t="s">
        <v>909</v>
      </c>
      <c r="ND162" s="4" t="s">
        <v>910</v>
      </c>
      <c r="NE162" s="4"/>
      <c r="NF162" s="4"/>
      <c r="NG162" s="4"/>
      <c r="NH162" s="4"/>
      <c r="NI162" s="5"/>
      <c r="NJ162" s="6"/>
      <c r="NK162" s="4"/>
      <c r="NL162" s="4"/>
      <c r="NM162" s="4"/>
      <c r="NN162" s="4"/>
      <c r="NO162" s="4"/>
      <c r="NP162" s="5"/>
      <c r="NQ162" s="6"/>
      <c r="NR162" s="4"/>
      <c r="NS162" s="4"/>
      <c r="NT162" s="4"/>
      <c r="NU162" s="4"/>
      <c r="NV162" s="4"/>
      <c r="NW162" s="5"/>
      <c r="NX162" s="6"/>
      <c r="NY162" s="4"/>
      <c r="NZ162" s="4"/>
      <c r="OA162" s="4"/>
      <c r="OB162" s="4"/>
      <c r="OC162" s="4"/>
      <c r="OD162" s="5"/>
      <c r="OE162" s="6"/>
      <c r="OF162" s="4"/>
      <c r="OG162" s="4"/>
      <c r="OH162" s="4"/>
      <c r="OI162" s="4"/>
      <c r="OJ162" s="4"/>
      <c r="OK162" s="5"/>
      <c r="OL162" s="6"/>
      <c r="OM162" s="4"/>
      <c r="ON162" s="4"/>
      <c r="OO162" s="4"/>
      <c r="OP162" s="4"/>
      <c r="OQ162" s="4"/>
      <c r="OR162" s="5"/>
      <c r="OS162" s="6"/>
      <c r="OT162" s="4"/>
      <c r="OU162" s="4"/>
      <c r="OV162" s="4"/>
      <c r="OW162" s="4"/>
      <c r="OX162" s="4"/>
      <c r="OY162" s="5"/>
      <c r="OZ162" s="6"/>
      <c r="PA162" s="4"/>
      <c r="PB162" s="4"/>
      <c r="PC162" s="4"/>
      <c r="PD162" s="4"/>
      <c r="PE162" s="4"/>
      <c r="PF162" s="5"/>
      <c r="PG162" s="6"/>
      <c r="PH162" s="4"/>
      <c r="PI162" s="4"/>
      <c r="PJ162" s="4"/>
      <c r="PK162" s="4"/>
      <c r="PL162" s="4"/>
      <c r="PM162" s="5"/>
      <c r="PN162" s="6"/>
      <c r="PO162" s="4"/>
      <c r="PP162" s="4"/>
      <c r="PQ162" s="4"/>
      <c r="PR162" s="4"/>
      <c r="PS162" s="4"/>
      <c r="PT162" s="5"/>
      <c r="PU162" s="6"/>
      <c r="PV162" s="4"/>
      <c r="PW162" s="4"/>
      <c r="PX162" s="4"/>
      <c r="PY162" s="4"/>
      <c r="PZ162" s="4"/>
      <c r="QA162" s="5"/>
      <c r="QB162" s="6"/>
      <c r="QC162" s="4"/>
      <c r="QD162" s="4"/>
      <c r="QE162" s="4"/>
      <c r="QF162" s="4"/>
      <c r="QG162" s="4"/>
      <c r="QH162" s="5"/>
      <c r="QI162" s="6"/>
      <c r="QJ162" s="4"/>
      <c r="QK162" s="4"/>
      <c r="QL162" s="4"/>
      <c r="QM162" s="4"/>
      <c r="QN162" s="4"/>
      <c r="QO162" s="5"/>
      <c r="QP162" s="6"/>
      <c r="QQ162" s="4"/>
      <c r="QR162" s="4"/>
      <c r="QS162" s="4"/>
      <c r="QT162" s="4"/>
      <c r="QU162" s="4"/>
      <c r="QV162" s="5"/>
      <c r="QW162" s="6"/>
      <c r="QX162" s="4"/>
      <c r="QY162" s="4"/>
      <c r="QZ162" s="4"/>
      <c r="RA162" s="4"/>
      <c r="RB162" s="4"/>
      <c r="RC162" s="5"/>
      <c r="RD162" s="6"/>
      <c r="RE162" s="4"/>
      <c r="RF162" s="4"/>
      <c r="RG162" s="4"/>
      <c r="RH162" s="4"/>
      <c r="RI162" s="4"/>
      <c r="RJ162" s="5"/>
      <c r="RK162" s="6"/>
      <c r="RL162" s="4"/>
      <c r="RM162" s="4"/>
      <c r="RN162" s="4"/>
      <c r="RO162" s="4"/>
      <c r="RP162" s="4"/>
      <c r="RQ162" s="5"/>
      <c r="RR162" s="6"/>
      <c r="RS162" s="4"/>
      <c r="RT162" s="4"/>
      <c r="RU162" s="4"/>
      <c r="RV162" s="4"/>
      <c r="RW162" s="4"/>
      <c r="RX162" s="5"/>
      <c r="RY162" s="6"/>
      <c r="RZ162" s="4"/>
      <c r="SA162" s="4"/>
      <c r="SB162" s="4"/>
      <c r="SC162" s="4"/>
      <c r="SD162" s="4"/>
      <c r="SE162" s="5"/>
      <c r="SF162" s="6"/>
      <c r="SG162" s="4"/>
      <c r="SH162" s="4"/>
      <c r="SI162" s="4"/>
      <c r="SJ162" s="4"/>
      <c r="SK162" s="4"/>
      <c r="SL162" s="5"/>
      <c r="SM162" s="6"/>
      <c r="SN162" s="4"/>
      <c r="SO162" s="4"/>
      <c r="SP162" s="4"/>
      <c r="SQ162" s="4"/>
      <c r="SR162" s="4"/>
      <c r="SS162" s="5"/>
      <c r="ST162" s="6"/>
      <c r="SU162" s="4"/>
      <c r="SV162" s="4"/>
      <c r="SW162" s="4"/>
      <c r="SX162" s="4"/>
      <c r="SY162" s="4"/>
      <c r="SZ162" s="5"/>
      <c r="TA162" s="6"/>
      <c r="TB162" s="4"/>
      <c r="TC162" s="4"/>
      <c r="TD162" s="4"/>
      <c r="TE162" s="4"/>
      <c r="TF162" s="4"/>
      <c r="TG162" s="5"/>
      <c r="TH162" s="6"/>
      <c r="TI162" s="4"/>
      <c r="TJ162" s="4"/>
      <c r="TK162" s="4"/>
      <c r="TL162" s="4"/>
      <c r="TM162" s="4"/>
      <c r="TN162" s="5"/>
      <c r="TO162" s="6"/>
      <c r="TP162" s="4"/>
      <c r="TQ162" s="4"/>
      <c r="TR162" s="4"/>
      <c r="TS162" s="4"/>
      <c r="TT162" s="4"/>
      <c r="TU162" s="5"/>
      <c r="TV162" s="6"/>
      <c r="TW162" s="4"/>
      <c r="TX162" s="4"/>
      <c r="TY162" s="4"/>
      <c r="TZ162" s="4"/>
      <c r="UA162" s="4"/>
      <c r="UB162" s="5"/>
      <c r="UC162" s="6"/>
      <c r="UD162" s="4"/>
      <c r="UE162" s="4"/>
      <c r="UF162" s="4"/>
      <c r="UG162" s="4"/>
      <c r="UH162" s="4"/>
      <c r="UI162" s="5"/>
      <c r="UJ162" s="6"/>
      <c r="UK162" s="4"/>
      <c r="UL162" s="4"/>
      <c r="UM162" s="4"/>
      <c r="UN162" s="4"/>
      <c r="UO162" s="4"/>
      <c r="UP162" s="5"/>
      <c r="UQ162" s="6"/>
      <c r="UR162" s="4"/>
      <c r="US162" s="4"/>
      <c r="UT162" s="4"/>
      <c r="UU162" s="4"/>
      <c r="UV162" s="4"/>
      <c r="UW162" s="5"/>
      <c r="UX162" s="6"/>
      <c r="UY162" s="4"/>
      <c r="UZ162" s="4"/>
      <c r="VA162" s="4"/>
      <c r="VB162" s="4"/>
      <c r="VC162" s="4"/>
      <c r="VD162" s="5"/>
      <c r="VE162" s="6"/>
      <c r="VF162" s="4"/>
      <c r="VG162" s="4"/>
      <c r="VH162" s="4"/>
      <c r="VI162" s="4"/>
      <c r="VJ162" s="4"/>
      <c r="VK162" s="5"/>
      <c r="VL162" s="6"/>
      <c r="VM162" s="4"/>
      <c r="VN162" s="4"/>
      <c r="VO162" s="4"/>
      <c r="VP162" s="4"/>
      <c r="VQ162" s="4"/>
      <c r="VR162" s="5"/>
      <c r="VS162" s="6"/>
      <c r="VT162" s="4"/>
      <c r="VU162" s="4"/>
      <c r="VV162" s="4"/>
      <c r="VW162" s="4"/>
      <c r="VX162" s="4"/>
      <c r="VY162" s="5"/>
      <c r="VZ162" s="6"/>
      <c r="WA162" s="4"/>
      <c r="WB162" s="4"/>
      <c r="WC162" s="4"/>
      <c r="WD162" s="4"/>
      <c r="WE162" s="4"/>
      <c r="WF162" s="5"/>
      <c r="WG162" s="6"/>
      <c r="WH162" s="4"/>
      <c r="WI162" s="4"/>
      <c r="WJ162" s="4"/>
      <c r="WK162" s="4"/>
      <c r="WL162" s="4"/>
      <c r="WM162" s="5"/>
      <c r="WN162" s="6"/>
      <c r="WO162" s="4"/>
      <c r="WP162" s="4"/>
      <c r="WQ162" s="4"/>
      <c r="WR162" s="4"/>
      <c r="WS162" s="4"/>
      <c r="WT162" s="5"/>
      <c r="WU162" s="6"/>
      <c r="WV162" s="4"/>
      <c r="WW162" s="4"/>
      <c r="WX162" s="4"/>
      <c r="WY162" s="4"/>
      <c r="WZ162" s="4"/>
      <c r="XA162" s="5"/>
      <c r="XB162" s="6"/>
      <c r="XC162" s="4"/>
      <c r="XD162" s="4"/>
      <c r="XE162" s="4"/>
      <c r="XF162" s="4"/>
      <c r="XG162" s="4"/>
      <c r="XH162" s="5"/>
      <c r="XI162" s="6"/>
      <c r="XJ162" s="4"/>
      <c r="XK162" s="4"/>
      <c r="XL162" s="4"/>
      <c r="XM162" s="4"/>
      <c r="XN162" s="4"/>
      <c r="XO162" s="5"/>
      <c r="XP162" s="6"/>
      <c r="XQ162" s="4"/>
      <c r="XR162" s="4"/>
      <c r="XS162" s="4"/>
      <c r="XT162" s="4"/>
      <c r="XU162" s="4"/>
      <c r="XV162" s="5"/>
      <c r="XW162" s="6"/>
      <c r="XX162" s="4"/>
      <c r="XY162" s="4"/>
      <c r="XZ162" s="4"/>
      <c r="YA162" s="4"/>
      <c r="YB162" s="4"/>
      <c r="YC162" s="5"/>
      <c r="YD162" s="6"/>
      <c r="YE162" s="4"/>
      <c r="YF162" s="4"/>
      <c r="YG162" s="4"/>
      <c r="YH162" s="4"/>
      <c r="YI162" s="4"/>
      <c r="YJ162" s="5"/>
      <c r="YK162" s="6"/>
      <c r="YL162" s="4"/>
      <c r="YM162" s="4"/>
      <c r="YN162" s="4"/>
      <c r="YO162" s="4"/>
      <c r="YP162" s="4"/>
      <c r="YQ162" s="5"/>
      <c r="YR162" s="6"/>
      <c r="YS162" s="4"/>
      <c r="YT162" s="4"/>
      <c r="YU162" s="4"/>
      <c r="YV162" s="4"/>
      <c r="YW162" s="4"/>
      <c r="YX162" s="5"/>
      <c r="YY162" s="6"/>
      <c r="YZ162" s="4"/>
      <c r="ZA162" s="4"/>
      <c r="ZB162" s="4"/>
      <c r="ZC162" s="4"/>
      <c r="ZD162" s="4"/>
      <c r="ZE162" s="5"/>
      <c r="ZF162" s="6"/>
      <c r="ZG162" s="4"/>
      <c r="ZH162" s="4"/>
      <c r="ZI162" s="4"/>
      <c r="ZJ162" s="4"/>
      <c r="ZK162" s="4"/>
      <c r="ZL162" s="5"/>
      <c r="ZM162" s="6"/>
      <c r="ZN162" s="4"/>
      <c r="ZO162" s="4"/>
      <c r="ZP162" s="4"/>
      <c r="ZQ162" s="4"/>
      <c r="ZR162" s="4"/>
      <c r="ZS162" s="5"/>
      <c r="ZT162" s="6"/>
      <c r="ZU162" s="4"/>
      <c r="ZV162" s="4"/>
      <c r="ZW162" s="4"/>
      <c r="ZX162" s="4"/>
      <c r="ZY162" s="4"/>
      <c r="ZZ162" s="5"/>
      <c r="AAA162" s="6"/>
      <c r="AAB162" s="4"/>
      <c r="AAC162" s="4"/>
      <c r="AAD162" s="4"/>
      <c r="AAE162" s="4"/>
      <c r="AAF162" s="4"/>
      <c r="AAG162" s="5"/>
      <c r="AAH162" s="6"/>
      <c r="AAI162" s="4"/>
      <c r="AAJ162" s="4"/>
      <c r="AAK162" s="4"/>
      <c r="AAL162" s="4"/>
      <c r="AAM162" s="4"/>
      <c r="AAN162" s="5"/>
      <c r="AAO162" s="6"/>
      <c r="AAP162" s="4"/>
      <c r="AAQ162" s="4"/>
      <c r="AAR162" s="4"/>
      <c r="AAS162" s="4"/>
      <c r="AAT162" s="4"/>
      <c r="AAU162" s="5"/>
      <c r="AAV162" s="6"/>
      <c r="AAW162" s="4"/>
      <c r="AAX162" s="4"/>
      <c r="AAY162" s="4"/>
      <c r="AAZ162" s="4"/>
      <c r="ABA162" s="4"/>
      <c r="ABB162" s="5"/>
      <c r="ABC162" s="6"/>
      <c r="ABD162" s="4"/>
      <c r="ABE162" s="4"/>
      <c r="ABF162" s="4"/>
      <c r="ABG162" s="4"/>
      <c r="ABH162" s="4"/>
      <c r="ABI162" s="5"/>
      <c r="ABJ162" s="6"/>
      <c r="ABK162" s="4"/>
      <c r="ABL162" s="4"/>
      <c r="ABM162" s="4"/>
      <c r="ABN162" s="4"/>
      <c r="ABO162" s="4"/>
      <c r="ABP162" s="5"/>
      <c r="ABQ162" s="6"/>
      <c r="ABR162" s="4"/>
      <c r="ABS162" s="4"/>
      <c r="ABT162" s="4"/>
      <c r="ABU162" s="4"/>
      <c r="ABV162" s="4"/>
      <c r="ABW162" s="5"/>
      <c r="ABX162" s="6"/>
      <c r="ABY162" s="4"/>
      <c r="ABZ162" s="4"/>
      <c r="ACA162" s="4"/>
      <c r="ACB162" s="4"/>
      <c r="ACC162" s="4"/>
      <c r="ACD162" s="5"/>
      <c r="ACE162" s="6"/>
      <c r="ACF162" s="4"/>
      <c r="ACG162" s="4"/>
      <c r="ACH162" s="4"/>
      <c r="ACI162" s="4"/>
      <c r="ACJ162" s="4"/>
      <c r="ACK162" s="5"/>
      <c r="ACL162" s="6"/>
      <c r="ACM162" s="4"/>
      <c r="ACN162" s="4"/>
      <c r="ACO162" s="4"/>
      <c r="ACP162" s="4"/>
      <c r="ACQ162" s="4"/>
      <c r="ACR162" s="5"/>
      <c r="ACS162" s="6"/>
      <c r="ACT162" s="4"/>
      <c r="ACU162" s="4"/>
      <c r="ACV162" s="4"/>
      <c r="ACW162" s="4"/>
      <c r="ACX162" s="4"/>
      <c r="ACY162" s="5"/>
    </row>
    <row r="163" spans="2:779" x14ac:dyDescent="0.25">
      <c r="B163" s="30"/>
      <c r="J163" s="12"/>
      <c r="K163" s="12"/>
      <c r="L163" s="12"/>
      <c r="LL163" s="6"/>
      <c r="LM163" s="4"/>
      <c r="LN163" s="4"/>
      <c r="LO163" s="4"/>
      <c r="LP163" s="4"/>
      <c r="LQ163" s="4"/>
      <c r="LR163" s="5"/>
      <c r="LS163" s="6"/>
      <c r="LT163" s="4"/>
      <c r="LU163" s="4"/>
      <c r="LV163" s="4"/>
      <c r="LW163" s="4"/>
      <c r="LX163" s="4"/>
      <c r="LY163" s="5"/>
      <c r="LZ163" s="6"/>
      <c r="MA163" s="7"/>
      <c r="MB163" s="4"/>
      <c r="MC163" s="4"/>
      <c r="MD163" s="8"/>
      <c r="ME163" s="4"/>
      <c r="MF163" s="4"/>
      <c r="MG163" s="5"/>
      <c r="MH163" s="6"/>
      <c r="MI163" s="4"/>
      <c r="MJ163" s="4"/>
      <c r="MK163" s="4"/>
      <c r="ML163" s="4"/>
      <c r="MM163" s="4"/>
      <c r="MN163" s="5"/>
      <c r="MO163" s="6"/>
      <c r="MP163" s="4"/>
      <c r="MQ163" s="4"/>
      <c r="MR163" s="4"/>
      <c r="MS163" s="4"/>
      <c r="MT163" s="4"/>
      <c r="MU163" s="5"/>
      <c r="MV163" s="6"/>
      <c r="MW163" s="4"/>
      <c r="MX163" s="4"/>
      <c r="MY163" s="4"/>
      <c r="MZ163" s="4"/>
      <c r="NA163" s="4"/>
      <c r="NB163" s="5"/>
      <c r="NC163" s="6" t="s">
        <v>911</v>
      </c>
      <c r="ND163" s="7" t="s">
        <v>912</v>
      </c>
      <c r="NE163" s="4"/>
      <c r="NF163" s="4"/>
      <c r="NG163" s="4"/>
      <c r="NH163" s="4"/>
      <c r="NI163" s="5"/>
      <c r="NJ163" s="6"/>
      <c r="NK163" s="4"/>
      <c r="NL163" s="4"/>
      <c r="NM163" s="4"/>
      <c r="NN163" s="4"/>
      <c r="NO163" s="4"/>
      <c r="NP163" s="5"/>
      <c r="NQ163" s="6"/>
      <c r="NR163" s="4"/>
      <c r="NS163" s="4"/>
      <c r="NT163" s="4"/>
      <c r="NU163" s="4"/>
      <c r="NV163" s="4"/>
      <c r="NW163" s="5"/>
      <c r="NX163" s="6"/>
      <c r="NY163" s="4"/>
      <c r="NZ163" s="4"/>
      <c r="OA163" s="4"/>
      <c r="OB163" s="4"/>
      <c r="OC163" s="4"/>
      <c r="OD163" s="5"/>
      <c r="OE163" s="6"/>
      <c r="OF163" s="4"/>
      <c r="OG163" s="4"/>
      <c r="OH163" s="4"/>
      <c r="OI163" s="4"/>
      <c r="OJ163" s="4"/>
      <c r="OK163" s="5"/>
      <c r="OL163" s="6"/>
      <c r="OM163" s="4"/>
      <c r="ON163" s="4"/>
      <c r="OO163" s="4"/>
      <c r="OP163" s="4"/>
      <c r="OQ163" s="4"/>
      <c r="OR163" s="5"/>
      <c r="OS163" s="6"/>
      <c r="OT163" s="4"/>
      <c r="OU163" s="4"/>
      <c r="OV163" s="4"/>
      <c r="OW163" s="4"/>
      <c r="OX163" s="4"/>
      <c r="OY163" s="5"/>
      <c r="OZ163" s="6"/>
      <c r="PA163" s="4"/>
      <c r="PB163" s="4"/>
      <c r="PC163" s="4"/>
      <c r="PD163" s="4"/>
      <c r="PE163" s="4"/>
      <c r="PF163" s="5"/>
      <c r="PG163" s="6"/>
      <c r="PH163" s="4"/>
      <c r="PI163" s="4"/>
      <c r="PJ163" s="4"/>
      <c r="PK163" s="4"/>
      <c r="PL163" s="4"/>
      <c r="PM163" s="5"/>
      <c r="PN163" s="6"/>
      <c r="PO163" s="4"/>
      <c r="PP163" s="4"/>
      <c r="PQ163" s="4"/>
      <c r="PR163" s="4"/>
      <c r="PS163" s="4"/>
      <c r="PT163" s="5"/>
      <c r="PU163" s="6"/>
      <c r="PV163" s="4"/>
      <c r="PW163" s="4"/>
      <c r="PX163" s="4"/>
      <c r="PY163" s="4"/>
      <c r="PZ163" s="4"/>
      <c r="QA163" s="5"/>
      <c r="QB163" s="6"/>
      <c r="QC163" s="4"/>
      <c r="QD163" s="4"/>
      <c r="QE163" s="4"/>
      <c r="QF163" s="4"/>
      <c r="QG163" s="4"/>
      <c r="QH163" s="5"/>
      <c r="QI163" s="6"/>
      <c r="QJ163" s="4"/>
      <c r="QK163" s="4"/>
      <c r="QL163" s="4"/>
      <c r="QM163" s="4"/>
      <c r="QN163" s="4"/>
      <c r="QO163" s="5"/>
      <c r="QP163" s="6"/>
      <c r="QQ163" s="4"/>
      <c r="QR163" s="4"/>
      <c r="QS163" s="4"/>
      <c r="QT163" s="4"/>
      <c r="QU163" s="4"/>
      <c r="QV163" s="5"/>
      <c r="QW163" s="6"/>
      <c r="QX163" s="4"/>
      <c r="QY163" s="4"/>
      <c r="QZ163" s="4"/>
      <c r="RA163" s="4"/>
      <c r="RB163" s="4"/>
      <c r="RC163" s="5"/>
      <c r="RD163" s="6"/>
      <c r="RE163" s="4"/>
      <c r="RF163" s="4"/>
      <c r="RG163" s="4"/>
      <c r="RH163" s="4"/>
      <c r="RI163" s="4"/>
      <c r="RJ163" s="5"/>
      <c r="RK163" s="6"/>
      <c r="RL163" s="4"/>
      <c r="RM163" s="4"/>
      <c r="RN163" s="4"/>
      <c r="RO163" s="4"/>
      <c r="RP163" s="4"/>
      <c r="RQ163" s="5"/>
      <c r="RR163" s="6"/>
      <c r="RS163" s="4"/>
      <c r="RT163" s="4"/>
      <c r="RU163" s="4"/>
      <c r="RV163" s="4"/>
      <c r="RW163" s="4"/>
      <c r="RX163" s="5"/>
      <c r="RY163" s="6"/>
      <c r="RZ163" s="4"/>
      <c r="SA163" s="4"/>
      <c r="SB163" s="4"/>
      <c r="SC163" s="4"/>
      <c r="SD163" s="4"/>
      <c r="SE163" s="5"/>
      <c r="SF163" s="6"/>
      <c r="SG163" s="4"/>
      <c r="SH163" s="4"/>
      <c r="SI163" s="4"/>
      <c r="SJ163" s="4"/>
      <c r="SK163" s="4"/>
      <c r="SL163" s="5"/>
      <c r="SM163" s="6"/>
      <c r="SN163" s="4"/>
      <c r="SO163" s="4"/>
      <c r="SP163" s="4"/>
      <c r="SQ163" s="4"/>
      <c r="SR163" s="4"/>
      <c r="SS163" s="5"/>
      <c r="ST163" s="6"/>
      <c r="SU163" s="4"/>
      <c r="SV163" s="4"/>
      <c r="SW163" s="4"/>
      <c r="SX163" s="4"/>
      <c r="SY163" s="4"/>
      <c r="SZ163" s="5"/>
      <c r="TA163" s="6"/>
      <c r="TB163" s="4"/>
      <c r="TC163" s="4"/>
      <c r="TD163" s="4"/>
      <c r="TE163" s="4"/>
      <c r="TF163" s="4"/>
      <c r="TG163" s="5"/>
      <c r="TH163" s="6"/>
      <c r="TI163" s="4"/>
      <c r="TJ163" s="4"/>
      <c r="TK163" s="4"/>
      <c r="TL163" s="4"/>
      <c r="TM163" s="4"/>
      <c r="TN163" s="5"/>
      <c r="TO163" s="6"/>
      <c r="TP163" s="4"/>
      <c r="TQ163" s="4"/>
      <c r="TR163" s="4"/>
      <c r="TS163" s="4"/>
      <c r="TT163" s="4"/>
      <c r="TU163" s="5"/>
      <c r="TV163" s="6"/>
      <c r="TW163" s="4"/>
      <c r="TX163" s="4"/>
      <c r="TY163" s="4"/>
      <c r="TZ163" s="4"/>
      <c r="UA163" s="4"/>
      <c r="UB163" s="5"/>
      <c r="UC163" s="6"/>
      <c r="UD163" s="4"/>
      <c r="UE163" s="4"/>
      <c r="UF163" s="4"/>
      <c r="UG163" s="4"/>
      <c r="UH163" s="4"/>
      <c r="UI163" s="5"/>
      <c r="UJ163" s="6"/>
      <c r="UK163" s="4"/>
      <c r="UL163" s="4"/>
      <c r="UM163" s="4"/>
      <c r="UN163" s="4"/>
      <c r="UO163" s="4"/>
      <c r="UP163" s="5"/>
      <c r="UQ163" s="6"/>
      <c r="UR163" s="4"/>
      <c r="US163" s="4"/>
      <c r="UT163" s="4"/>
      <c r="UU163" s="4"/>
      <c r="UV163" s="4"/>
      <c r="UW163" s="5"/>
      <c r="UX163" s="6"/>
      <c r="UY163" s="4"/>
      <c r="UZ163" s="4"/>
      <c r="VA163" s="4"/>
      <c r="VB163" s="4"/>
      <c r="VC163" s="4"/>
      <c r="VD163" s="5"/>
      <c r="VE163" s="6"/>
      <c r="VF163" s="4"/>
      <c r="VG163" s="4"/>
      <c r="VH163" s="4"/>
      <c r="VI163" s="4"/>
      <c r="VJ163" s="4"/>
      <c r="VK163" s="5"/>
      <c r="VL163" s="6"/>
      <c r="VM163" s="4"/>
      <c r="VN163" s="4"/>
      <c r="VO163" s="4"/>
      <c r="VP163" s="4"/>
      <c r="VQ163" s="4"/>
      <c r="VR163" s="5"/>
      <c r="VS163" s="6"/>
      <c r="VT163" s="4"/>
      <c r="VU163" s="4"/>
      <c r="VV163" s="4"/>
      <c r="VW163" s="4"/>
      <c r="VX163" s="4"/>
      <c r="VY163" s="5"/>
      <c r="VZ163" s="6"/>
      <c r="WA163" s="4"/>
      <c r="WB163" s="4"/>
      <c r="WC163" s="4"/>
      <c r="WD163" s="4"/>
      <c r="WE163" s="4"/>
      <c r="WF163" s="5"/>
      <c r="WG163" s="6"/>
      <c r="WH163" s="4"/>
      <c r="WI163" s="4"/>
      <c r="WJ163" s="4"/>
      <c r="WK163" s="4"/>
      <c r="WL163" s="4"/>
      <c r="WM163" s="5"/>
      <c r="WN163" s="6"/>
      <c r="WO163" s="4"/>
      <c r="WP163" s="4"/>
      <c r="WQ163" s="4"/>
      <c r="WR163" s="4"/>
      <c r="WS163" s="4"/>
      <c r="WT163" s="5"/>
      <c r="WU163" s="6"/>
      <c r="WV163" s="4"/>
      <c r="WW163" s="4"/>
      <c r="WX163" s="4"/>
      <c r="WY163" s="4"/>
      <c r="WZ163" s="4"/>
      <c r="XA163" s="5"/>
      <c r="XB163" s="6"/>
      <c r="XC163" s="4"/>
      <c r="XD163" s="4"/>
      <c r="XE163" s="4"/>
      <c r="XF163" s="4"/>
      <c r="XG163" s="4"/>
      <c r="XH163" s="5"/>
      <c r="XI163" s="6"/>
      <c r="XJ163" s="4"/>
      <c r="XK163" s="4"/>
      <c r="XL163" s="4"/>
      <c r="XM163" s="4"/>
      <c r="XN163" s="4"/>
      <c r="XO163" s="5"/>
      <c r="XP163" s="6"/>
      <c r="XQ163" s="4"/>
      <c r="XR163" s="4"/>
      <c r="XS163" s="4"/>
      <c r="XT163" s="4"/>
      <c r="XU163" s="4"/>
      <c r="XV163" s="5"/>
      <c r="XW163" s="6"/>
      <c r="XX163" s="4"/>
      <c r="XY163" s="4"/>
      <c r="XZ163" s="4"/>
      <c r="YA163" s="4"/>
      <c r="YB163" s="4"/>
      <c r="YC163" s="5"/>
      <c r="YD163" s="6"/>
      <c r="YE163" s="4"/>
      <c r="YF163" s="4"/>
      <c r="YG163" s="4"/>
      <c r="YH163" s="4"/>
      <c r="YI163" s="4"/>
      <c r="YJ163" s="5"/>
      <c r="YK163" s="6"/>
      <c r="YL163" s="4"/>
      <c r="YM163" s="4"/>
      <c r="YN163" s="4"/>
      <c r="YO163" s="4"/>
      <c r="YP163" s="4"/>
      <c r="YQ163" s="5"/>
      <c r="YR163" s="6"/>
      <c r="YS163" s="4"/>
      <c r="YT163" s="4"/>
      <c r="YU163" s="4"/>
      <c r="YV163" s="4"/>
      <c r="YW163" s="4"/>
      <c r="YX163" s="5"/>
      <c r="YY163" s="6"/>
      <c r="YZ163" s="4"/>
      <c r="ZA163" s="4"/>
      <c r="ZB163" s="4"/>
      <c r="ZC163" s="4"/>
      <c r="ZD163" s="4"/>
      <c r="ZE163" s="5"/>
      <c r="ZF163" s="6"/>
      <c r="ZG163" s="4"/>
      <c r="ZH163" s="4"/>
      <c r="ZI163" s="4"/>
      <c r="ZJ163" s="4"/>
      <c r="ZK163" s="4"/>
      <c r="ZL163" s="5"/>
      <c r="ZM163" s="6"/>
      <c r="ZN163" s="4"/>
      <c r="ZO163" s="4"/>
      <c r="ZP163" s="4"/>
      <c r="ZQ163" s="4"/>
      <c r="ZR163" s="4"/>
      <c r="ZS163" s="5"/>
      <c r="ZT163" s="6"/>
      <c r="ZU163" s="4"/>
      <c r="ZV163" s="4"/>
      <c r="ZW163" s="4"/>
      <c r="ZX163" s="4"/>
      <c r="ZY163" s="4"/>
      <c r="ZZ163" s="5"/>
      <c r="AAA163" s="6"/>
      <c r="AAB163" s="4"/>
      <c r="AAC163" s="4"/>
      <c r="AAD163" s="4"/>
      <c r="AAE163" s="4"/>
      <c r="AAF163" s="4"/>
      <c r="AAG163" s="5"/>
      <c r="AAH163" s="6"/>
      <c r="AAI163" s="4"/>
      <c r="AAJ163" s="4"/>
      <c r="AAK163" s="4"/>
      <c r="AAL163" s="4"/>
      <c r="AAM163" s="4"/>
      <c r="AAN163" s="5"/>
      <c r="AAO163" s="6"/>
      <c r="AAP163" s="4"/>
      <c r="AAQ163" s="4"/>
      <c r="AAR163" s="4"/>
      <c r="AAS163" s="4"/>
      <c r="AAT163" s="4"/>
      <c r="AAU163" s="5"/>
      <c r="AAV163" s="6"/>
      <c r="AAW163" s="4"/>
      <c r="AAX163" s="4"/>
      <c r="AAY163" s="4"/>
      <c r="AAZ163" s="4"/>
      <c r="ABA163" s="4"/>
      <c r="ABB163" s="5"/>
      <c r="ABC163" s="6"/>
      <c r="ABD163" s="4"/>
      <c r="ABE163" s="4"/>
      <c r="ABF163" s="4"/>
      <c r="ABG163" s="4"/>
      <c r="ABH163" s="4"/>
      <c r="ABI163" s="5"/>
      <c r="ABJ163" s="6"/>
      <c r="ABK163" s="4"/>
      <c r="ABL163" s="4"/>
      <c r="ABM163" s="4"/>
      <c r="ABN163" s="4"/>
      <c r="ABO163" s="4"/>
      <c r="ABP163" s="5"/>
      <c r="ABQ163" s="6"/>
      <c r="ABR163" s="4"/>
      <c r="ABS163" s="4"/>
      <c r="ABT163" s="4"/>
      <c r="ABU163" s="4"/>
      <c r="ABV163" s="4"/>
      <c r="ABW163" s="5"/>
      <c r="ABX163" s="6"/>
      <c r="ABY163" s="4"/>
      <c r="ABZ163" s="4"/>
      <c r="ACA163" s="4"/>
      <c r="ACB163" s="4"/>
      <c r="ACC163" s="4"/>
      <c r="ACD163" s="5"/>
      <c r="ACE163" s="6"/>
      <c r="ACF163" s="4"/>
      <c r="ACG163" s="4"/>
      <c r="ACH163" s="4"/>
      <c r="ACI163" s="4"/>
      <c r="ACJ163" s="4"/>
      <c r="ACK163" s="5"/>
      <c r="ACL163" s="6"/>
      <c r="ACM163" s="4"/>
      <c r="ACN163" s="4"/>
      <c r="ACO163" s="4"/>
      <c r="ACP163" s="4"/>
      <c r="ACQ163" s="4"/>
      <c r="ACR163" s="5"/>
      <c r="ACS163" s="6"/>
      <c r="ACT163" s="4"/>
      <c r="ACU163" s="4"/>
      <c r="ACV163" s="4"/>
      <c r="ACW163" s="4"/>
      <c r="ACX163" s="4"/>
      <c r="ACY163" s="5"/>
    </row>
    <row r="164" spans="2:779" x14ac:dyDescent="0.25">
      <c r="B164" s="30"/>
      <c r="J164" s="12"/>
      <c r="K164" s="12"/>
      <c r="L164" s="12"/>
      <c r="LL164" s="6"/>
      <c r="LM164" s="4"/>
      <c r="LN164" s="4"/>
      <c r="LO164" s="4"/>
      <c r="LP164" s="4"/>
      <c r="LQ164" s="4"/>
      <c r="LR164" s="5"/>
      <c r="LS164" s="6"/>
      <c r="LT164" s="4"/>
      <c r="LU164" s="4"/>
      <c r="LV164" s="4"/>
      <c r="LW164" s="4"/>
      <c r="LX164" s="4"/>
      <c r="LY164" s="5"/>
      <c r="LZ164" s="6"/>
      <c r="MA164" s="7"/>
      <c r="MB164" s="4"/>
      <c r="MC164" s="4"/>
      <c r="MD164" s="8"/>
      <c r="ME164" s="4"/>
      <c r="MF164" s="4"/>
      <c r="MG164" s="5"/>
      <c r="MH164" s="6"/>
      <c r="MI164" s="4"/>
      <c r="MJ164" s="4"/>
      <c r="MK164" s="4"/>
      <c r="ML164" s="4"/>
      <c r="MM164" s="4"/>
      <c r="MN164" s="5"/>
      <c r="MO164" s="6"/>
      <c r="MP164" s="4"/>
      <c r="MQ164" s="4"/>
      <c r="MR164" s="4"/>
      <c r="MS164" s="4"/>
      <c r="MT164" s="4"/>
      <c r="MU164" s="5"/>
      <c r="MV164" s="6"/>
      <c r="MW164" s="4"/>
      <c r="MX164" s="4"/>
      <c r="MY164" s="4"/>
      <c r="MZ164" s="4"/>
      <c r="NA164" s="4"/>
      <c r="NB164" s="5"/>
      <c r="NC164" s="6" t="s">
        <v>913</v>
      </c>
      <c r="ND164" s="4" t="s">
        <v>914</v>
      </c>
      <c r="NE164" s="4"/>
      <c r="NF164" s="4"/>
      <c r="NG164" s="4"/>
      <c r="NH164" s="4"/>
      <c r="NI164" s="5"/>
      <c r="NJ164" s="6"/>
      <c r="NK164" s="4"/>
      <c r="NL164" s="4"/>
      <c r="NM164" s="4"/>
      <c r="NN164" s="4"/>
      <c r="NO164" s="4"/>
      <c r="NP164" s="5"/>
      <c r="NQ164" s="6"/>
      <c r="NR164" s="4"/>
      <c r="NS164" s="4"/>
      <c r="NT164" s="4"/>
      <c r="NU164" s="4"/>
      <c r="NV164" s="4"/>
      <c r="NW164" s="5"/>
      <c r="NX164" s="6"/>
      <c r="NY164" s="4"/>
      <c r="NZ164" s="4"/>
      <c r="OA164" s="4"/>
      <c r="OB164" s="4"/>
      <c r="OC164" s="4"/>
      <c r="OD164" s="5"/>
      <c r="OE164" s="6"/>
      <c r="OF164" s="4"/>
      <c r="OG164" s="4"/>
      <c r="OH164" s="4"/>
      <c r="OI164" s="4"/>
      <c r="OJ164" s="4"/>
      <c r="OK164" s="5"/>
      <c r="OL164" s="6"/>
      <c r="OM164" s="4"/>
      <c r="ON164" s="4"/>
      <c r="OO164" s="4"/>
      <c r="OP164" s="4"/>
      <c r="OQ164" s="4"/>
      <c r="OR164" s="5"/>
      <c r="OS164" s="6"/>
      <c r="OT164" s="4"/>
      <c r="OU164" s="4"/>
      <c r="OV164" s="4"/>
      <c r="OW164" s="4"/>
      <c r="OX164" s="4"/>
      <c r="OY164" s="5"/>
      <c r="OZ164" s="6"/>
      <c r="PA164" s="4"/>
      <c r="PB164" s="4"/>
      <c r="PC164" s="4"/>
      <c r="PD164" s="4"/>
      <c r="PE164" s="4"/>
      <c r="PF164" s="5"/>
      <c r="PG164" s="6"/>
      <c r="PH164" s="4"/>
      <c r="PI164" s="4"/>
      <c r="PJ164" s="4"/>
      <c r="PK164" s="4"/>
      <c r="PL164" s="4"/>
      <c r="PM164" s="5"/>
      <c r="PN164" s="6"/>
      <c r="PO164" s="4"/>
      <c r="PP164" s="4"/>
      <c r="PQ164" s="4"/>
      <c r="PR164" s="4"/>
      <c r="PS164" s="4"/>
      <c r="PT164" s="5"/>
      <c r="PU164" s="6"/>
      <c r="PV164" s="4"/>
      <c r="PW164" s="4"/>
      <c r="PX164" s="4"/>
      <c r="PY164" s="4"/>
      <c r="PZ164" s="4"/>
      <c r="QA164" s="5"/>
      <c r="QB164" s="6"/>
      <c r="QC164" s="4"/>
      <c r="QD164" s="4"/>
      <c r="QE164" s="4"/>
      <c r="QF164" s="4"/>
      <c r="QG164" s="4"/>
      <c r="QH164" s="5"/>
      <c r="QI164" s="6"/>
      <c r="QJ164" s="4"/>
      <c r="QK164" s="4"/>
      <c r="QL164" s="4"/>
      <c r="QM164" s="4"/>
      <c r="QN164" s="4"/>
      <c r="QO164" s="5"/>
      <c r="QP164" s="6"/>
      <c r="QQ164" s="4"/>
      <c r="QR164" s="4"/>
      <c r="QS164" s="4"/>
      <c r="QT164" s="4"/>
      <c r="QU164" s="4"/>
      <c r="QV164" s="5"/>
      <c r="QW164" s="6"/>
      <c r="QX164" s="4"/>
      <c r="QY164" s="4"/>
      <c r="QZ164" s="4"/>
      <c r="RA164" s="4"/>
      <c r="RB164" s="4"/>
      <c r="RC164" s="5"/>
      <c r="RD164" s="6"/>
      <c r="RE164" s="4"/>
      <c r="RF164" s="4"/>
      <c r="RG164" s="4"/>
      <c r="RH164" s="4"/>
      <c r="RI164" s="4"/>
      <c r="RJ164" s="5"/>
      <c r="RK164" s="6"/>
      <c r="RL164" s="4"/>
      <c r="RM164" s="4"/>
      <c r="RN164" s="4"/>
      <c r="RO164" s="4"/>
      <c r="RP164" s="4"/>
      <c r="RQ164" s="5"/>
      <c r="RR164" s="6"/>
      <c r="RS164" s="4"/>
      <c r="RT164" s="4"/>
      <c r="RU164" s="4"/>
      <c r="RV164" s="4"/>
      <c r="RW164" s="4"/>
      <c r="RX164" s="5"/>
      <c r="RY164" s="6"/>
      <c r="RZ164" s="4"/>
      <c r="SA164" s="4"/>
      <c r="SB164" s="4"/>
      <c r="SC164" s="4"/>
      <c r="SD164" s="4"/>
      <c r="SE164" s="5"/>
      <c r="SF164" s="6"/>
      <c r="SG164" s="4"/>
      <c r="SH164" s="4"/>
      <c r="SI164" s="4"/>
      <c r="SJ164" s="4"/>
      <c r="SK164" s="4"/>
      <c r="SL164" s="5"/>
      <c r="SM164" s="6"/>
      <c r="SN164" s="4"/>
      <c r="SO164" s="4"/>
      <c r="SP164" s="4"/>
      <c r="SQ164" s="4"/>
      <c r="SR164" s="4"/>
      <c r="SS164" s="5"/>
      <c r="ST164" s="6"/>
      <c r="SU164" s="4"/>
      <c r="SV164" s="4"/>
      <c r="SW164" s="4"/>
      <c r="SX164" s="4"/>
      <c r="SY164" s="4"/>
      <c r="SZ164" s="5"/>
      <c r="TA164" s="6"/>
      <c r="TB164" s="4"/>
      <c r="TC164" s="4"/>
      <c r="TD164" s="4"/>
      <c r="TE164" s="4"/>
      <c r="TF164" s="4"/>
      <c r="TG164" s="5"/>
      <c r="TH164" s="6"/>
      <c r="TI164" s="4"/>
      <c r="TJ164" s="4"/>
      <c r="TK164" s="4"/>
      <c r="TL164" s="4"/>
      <c r="TM164" s="4"/>
      <c r="TN164" s="5"/>
      <c r="TO164" s="6"/>
      <c r="TP164" s="4"/>
      <c r="TQ164" s="4"/>
      <c r="TR164" s="4"/>
      <c r="TS164" s="4"/>
      <c r="TT164" s="4"/>
      <c r="TU164" s="5"/>
      <c r="TV164" s="6"/>
      <c r="TW164" s="4"/>
      <c r="TX164" s="4"/>
      <c r="TY164" s="4"/>
      <c r="TZ164" s="4"/>
      <c r="UA164" s="4"/>
      <c r="UB164" s="5"/>
      <c r="UC164" s="6"/>
      <c r="UD164" s="4"/>
      <c r="UE164" s="4"/>
      <c r="UF164" s="4"/>
      <c r="UG164" s="4"/>
      <c r="UH164" s="4"/>
      <c r="UI164" s="5"/>
      <c r="UJ164" s="6"/>
      <c r="UK164" s="4"/>
      <c r="UL164" s="4"/>
      <c r="UM164" s="4"/>
      <c r="UN164" s="4"/>
      <c r="UO164" s="4"/>
      <c r="UP164" s="5"/>
      <c r="UQ164" s="6"/>
      <c r="UR164" s="4"/>
      <c r="US164" s="4"/>
      <c r="UT164" s="4"/>
      <c r="UU164" s="4"/>
      <c r="UV164" s="4"/>
      <c r="UW164" s="5"/>
      <c r="UX164" s="6"/>
      <c r="UY164" s="4"/>
      <c r="UZ164" s="4"/>
      <c r="VA164" s="4"/>
      <c r="VB164" s="4"/>
      <c r="VC164" s="4"/>
      <c r="VD164" s="5"/>
      <c r="VE164" s="6"/>
      <c r="VF164" s="4"/>
      <c r="VG164" s="4"/>
      <c r="VH164" s="4"/>
      <c r="VI164" s="4"/>
      <c r="VJ164" s="4"/>
      <c r="VK164" s="5"/>
      <c r="VL164" s="6"/>
      <c r="VM164" s="4"/>
      <c r="VN164" s="4"/>
      <c r="VO164" s="4"/>
      <c r="VP164" s="4"/>
      <c r="VQ164" s="4"/>
      <c r="VR164" s="5"/>
      <c r="VS164" s="6"/>
      <c r="VT164" s="4"/>
      <c r="VU164" s="4"/>
      <c r="VV164" s="4"/>
      <c r="VW164" s="4"/>
      <c r="VX164" s="4"/>
      <c r="VY164" s="5"/>
      <c r="VZ164" s="6"/>
      <c r="WA164" s="4"/>
      <c r="WB164" s="4"/>
      <c r="WC164" s="4"/>
      <c r="WD164" s="4"/>
      <c r="WE164" s="4"/>
      <c r="WF164" s="5"/>
      <c r="WG164" s="6"/>
      <c r="WH164" s="4"/>
      <c r="WI164" s="4"/>
      <c r="WJ164" s="4"/>
      <c r="WK164" s="4"/>
      <c r="WL164" s="4"/>
      <c r="WM164" s="5"/>
      <c r="WN164" s="6"/>
      <c r="WO164" s="4"/>
      <c r="WP164" s="4"/>
      <c r="WQ164" s="4"/>
      <c r="WR164" s="4"/>
      <c r="WS164" s="4"/>
      <c r="WT164" s="5"/>
      <c r="WU164" s="6"/>
      <c r="WV164" s="4"/>
      <c r="WW164" s="4"/>
      <c r="WX164" s="4"/>
      <c r="WY164" s="4"/>
      <c r="WZ164" s="4"/>
      <c r="XA164" s="5"/>
      <c r="XB164" s="6"/>
      <c r="XC164" s="4"/>
      <c r="XD164" s="4"/>
      <c r="XE164" s="4"/>
      <c r="XF164" s="4"/>
      <c r="XG164" s="4"/>
      <c r="XH164" s="5"/>
      <c r="XI164" s="6"/>
      <c r="XJ164" s="4"/>
      <c r="XK164" s="4"/>
      <c r="XL164" s="4"/>
      <c r="XM164" s="4"/>
      <c r="XN164" s="4"/>
      <c r="XO164" s="5"/>
      <c r="XP164" s="6"/>
      <c r="XQ164" s="4"/>
      <c r="XR164" s="4"/>
      <c r="XS164" s="4"/>
      <c r="XT164" s="4"/>
      <c r="XU164" s="4"/>
      <c r="XV164" s="5"/>
      <c r="XW164" s="6"/>
      <c r="XX164" s="4"/>
      <c r="XY164" s="4"/>
      <c r="XZ164" s="4"/>
      <c r="YA164" s="4"/>
      <c r="YB164" s="4"/>
      <c r="YC164" s="5"/>
      <c r="YD164" s="6"/>
      <c r="YE164" s="4"/>
      <c r="YF164" s="4"/>
      <c r="YG164" s="4"/>
      <c r="YH164" s="4"/>
      <c r="YI164" s="4"/>
      <c r="YJ164" s="5"/>
      <c r="YK164" s="6"/>
      <c r="YL164" s="4"/>
      <c r="YM164" s="4"/>
      <c r="YN164" s="4"/>
      <c r="YO164" s="4"/>
      <c r="YP164" s="4"/>
      <c r="YQ164" s="5"/>
      <c r="YR164" s="6"/>
      <c r="YS164" s="4"/>
      <c r="YT164" s="4"/>
      <c r="YU164" s="4"/>
      <c r="YV164" s="4"/>
      <c r="YW164" s="4"/>
      <c r="YX164" s="5"/>
      <c r="YY164" s="6"/>
      <c r="YZ164" s="4"/>
      <c r="ZA164" s="4"/>
      <c r="ZB164" s="4"/>
      <c r="ZC164" s="4"/>
      <c r="ZD164" s="4"/>
      <c r="ZE164" s="5"/>
      <c r="ZF164" s="6"/>
      <c r="ZG164" s="4"/>
      <c r="ZH164" s="4"/>
      <c r="ZI164" s="4"/>
      <c r="ZJ164" s="4"/>
      <c r="ZK164" s="4"/>
      <c r="ZL164" s="5"/>
      <c r="ZM164" s="6"/>
      <c r="ZN164" s="4"/>
      <c r="ZO164" s="4"/>
      <c r="ZP164" s="4"/>
      <c r="ZQ164" s="4"/>
      <c r="ZR164" s="4"/>
      <c r="ZS164" s="5"/>
      <c r="ZT164" s="6"/>
      <c r="ZU164" s="4"/>
      <c r="ZV164" s="4"/>
      <c r="ZW164" s="4"/>
      <c r="ZX164" s="4"/>
      <c r="ZY164" s="4"/>
      <c r="ZZ164" s="5"/>
      <c r="AAA164" s="6"/>
      <c r="AAB164" s="4"/>
      <c r="AAC164" s="4"/>
      <c r="AAD164" s="4"/>
      <c r="AAE164" s="4"/>
      <c r="AAF164" s="4"/>
      <c r="AAG164" s="5"/>
      <c r="AAH164" s="6"/>
      <c r="AAI164" s="4"/>
      <c r="AAJ164" s="4"/>
      <c r="AAK164" s="4"/>
      <c r="AAL164" s="4"/>
      <c r="AAM164" s="4"/>
      <c r="AAN164" s="5"/>
      <c r="AAO164" s="6"/>
      <c r="AAP164" s="4"/>
      <c r="AAQ164" s="4"/>
      <c r="AAR164" s="4"/>
      <c r="AAS164" s="4"/>
      <c r="AAT164" s="4"/>
      <c r="AAU164" s="5"/>
      <c r="AAV164" s="6"/>
      <c r="AAW164" s="4"/>
      <c r="AAX164" s="4"/>
      <c r="AAY164" s="4"/>
      <c r="AAZ164" s="4"/>
      <c r="ABA164" s="4"/>
      <c r="ABB164" s="5"/>
      <c r="ABC164" s="6"/>
      <c r="ABD164" s="4"/>
      <c r="ABE164" s="4"/>
      <c r="ABF164" s="4"/>
      <c r="ABG164" s="4"/>
      <c r="ABH164" s="4"/>
      <c r="ABI164" s="5"/>
      <c r="ABJ164" s="6"/>
      <c r="ABK164" s="4"/>
      <c r="ABL164" s="4"/>
      <c r="ABM164" s="4"/>
      <c r="ABN164" s="4"/>
      <c r="ABO164" s="4"/>
      <c r="ABP164" s="5"/>
      <c r="ABQ164" s="6"/>
      <c r="ABR164" s="4"/>
      <c r="ABS164" s="4"/>
      <c r="ABT164" s="4"/>
      <c r="ABU164" s="4"/>
      <c r="ABV164" s="4"/>
      <c r="ABW164" s="5"/>
      <c r="ABX164" s="6"/>
      <c r="ABY164" s="4"/>
      <c r="ABZ164" s="4"/>
      <c r="ACA164" s="4"/>
      <c r="ACB164" s="4"/>
      <c r="ACC164" s="4"/>
      <c r="ACD164" s="5"/>
      <c r="ACE164" s="6"/>
      <c r="ACF164" s="4"/>
      <c r="ACG164" s="4"/>
      <c r="ACH164" s="4"/>
      <c r="ACI164" s="4"/>
      <c r="ACJ164" s="4"/>
      <c r="ACK164" s="5"/>
      <c r="ACL164" s="6"/>
      <c r="ACM164" s="4"/>
      <c r="ACN164" s="4"/>
      <c r="ACO164" s="4"/>
      <c r="ACP164" s="4"/>
      <c r="ACQ164" s="4"/>
      <c r="ACR164" s="5"/>
      <c r="ACS164" s="6"/>
      <c r="ACT164" s="4"/>
      <c r="ACU164" s="4"/>
      <c r="ACV164" s="4"/>
      <c r="ACW164" s="4"/>
      <c r="ACX164" s="4"/>
      <c r="ACY164" s="5"/>
    </row>
    <row r="165" spans="2:779" x14ac:dyDescent="0.25">
      <c r="B165" s="30"/>
      <c r="J165" s="12"/>
      <c r="K165" s="12"/>
      <c r="L165" s="12"/>
      <c r="LL165" s="6"/>
      <c r="LM165" s="4"/>
      <c r="LN165" s="4"/>
      <c r="LO165" s="4"/>
      <c r="LP165" s="4"/>
      <c r="LQ165" s="4"/>
      <c r="LR165" s="5"/>
      <c r="LS165" s="6"/>
      <c r="LT165" s="4"/>
      <c r="LU165" s="4"/>
      <c r="LV165" s="4"/>
      <c r="LW165" s="4"/>
      <c r="LX165" s="4"/>
      <c r="LY165" s="5"/>
      <c r="LZ165" s="6"/>
      <c r="MA165" s="7"/>
      <c r="MB165" s="4"/>
      <c r="MC165" s="4"/>
      <c r="MD165" s="8"/>
      <c r="ME165" s="4"/>
      <c r="MF165" s="4"/>
      <c r="MG165" s="5"/>
      <c r="MH165" s="6"/>
      <c r="MI165" s="4"/>
      <c r="MJ165" s="4"/>
      <c r="MK165" s="4"/>
      <c r="ML165" s="4"/>
      <c r="MM165" s="4"/>
      <c r="MN165" s="5"/>
      <c r="MO165" s="6"/>
      <c r="MP165" s="4"/>
      <c r="MQ165" s="4"/>
      <c r="MR165" s="4"/>
      <c r="MS165" s="4"/>
      <c r="MT165" s="4"/>
      <c r="MU165" s="5"/>
      <c r="MV165" s="6"/>
      <c r="MW165" s="4"/>
      <c r="MX165" s="4"/>
      <c r="MY165" s="4"/>
      <c r="MZ165" s="4"/>
      <c r="NA165" s="4"/>
      <c r="NB165" s="5"/>
      <c r="NC165" s="6" t="s">
        <v>915</v>
      </c>
      <c r="ND165" s="7" t="s">
        <v>916</v>
      </c>
      <c r="NE165" s="4"/>
      <c r="NF165" s="4"/>
      <c r="NG165" s="4"/>
      <c r="NH165" s="4"/>
      <c r="NI165" s="5"/>
      <c r="NJ165" s="6"/>
      <c r="NK165" s="4"/>
      <c r="NL165" s="4"/>
      <c r="NM165" s="4"/>
      <c r="NN165" s="4"/>
      <c r="NO165" s="4"/>
      <c r="NP165" s="5"/>
      <c r="NQ165" s="6"/>
      <c r="NR165" s="4"/>
      <c r="NS165" s="4"/>
      <c r="NT165" s="4"/>
      <c r="NU165" s="4"/>
      <c r="NV165" s="4"/>
      <c r="NW165" s="5"/>
      <c r="NX165" s="6"/>
      <c r="NY165" s="4"/>
      <c r="NZ165" s="4"/>
      <c r="OA165" s="4"/>
      <c r="OB165" s="4"/>
      <c r="OC165" s="4"/>
      <c r="OD165" s="5"/>
      <c r="OE165" s="6"/>
      <c r="OF165" s="4"/>
      <c r="OG165" s="4"/>
      <c r="OH165" s="4"/>
      <c r="OI165" s="4"/>
      <c r="OJ165" s="4"/>
      <c r="OK165" s="5"/>
      <c r="OL165" s="6"/>
      <c r="OM165" s="4"/>
      <c r="ON165" s="4"/>
      <c r="OO165" s="4"/>
      <c r="OP165" s="4"/>
      <c r="OQ165" s="4"/>
      <c r="OR165" s="5"/>
      <c r="OS165" s="6"/>
      <c r="OT165" s="4"/>
      <c r="OU165" s="4"/>
      <c r="OV165" s="4"/>
      <c r="OW165" s="4"/>
      <c r="OX165" s="4"/>
      <c r="OY165" s="5"/>
      <c r="OZ165" s="6"/>
      <c r="PA165" s="4"/>
      <c r="PB165" s="4"/>
      <c r="PC165" s="4"/>
      <c r="PD165" s="4"/>
      <c r="PE165" s="4"/>
      <c r="PF165" s="5"/>
      <c r="PG165" s="6"/>
      <c r="PH165" s="4"/>
      <c r="PI165" s="4"/>
      <c r="PJ165" s="4"/>
      <c r="PK165" s="4"/>
      <c r="PL165" s="4"/>
      <c r="PM165" s="5"/>
      <c r="PN165" s="6"/>
      <c r="PO165" s="4"/>
      <c r="PP165" s="4"/>
      <c r="PQ165" s="4"/>
      <c r="PR165" s="4"/>
      <c r="PS165" s="4"/>
      <c r="PT165" s="5"/>
      <c r="PU165" s="6"/>
      <c r="PV165" s="4"/>
      <c r="PW165" s="4"/>
      <c r="PX165" s="4"/>
      <c r="PY165" s="4"/>
      <c r="PZ165" s="4"/>
      <c r="QA165" s="5"/>
      <c r="QB165" s="6"/>
      <c r="QC165" s="4"/>
      <c r="QD165" s="4"/>
      <c r="QE165" s="4"/>
      <c r="QF165" s="4"/>
      <c r="QG165" s="4"/>
      <c r="QH165" s="5"/>
      <c r="QI165" s="6"/>
      <c r="QJ165" s="4"/>
      <c r="QK165" s="4"/>
      <c r="QL165" s="4"/>
      <c r="QM165" s="4"/>
      <c r="QN165" s="4"/>
      <c r="QO165" s="5"/>
      <c r="QP165" s="6"/>
      <c r="QQ165" s="4"/>
      <c r="QR165" s="4"/>
      <c r="QS165" s="4"/>
      <c r="QT165" s="4"/>
      <c r="QU165" s="4"/>
      <c r="QV165" s="5"/>
      <c r="QW165" s="6"/>
      <c r="QX165" s="4"/>
      <c r="QY165" s="4"/>
      <c r="QZ165" s="4"/>
      <c r="RA165" s="4"/>
      <c r="RB165" s="4"/>
      <c r="RC165" s="5"/>
      <c r="RD165" s="6"/>
      <c r="RE165" s="4"/>
      <c r="RF165" s="4"/>
      <c r="RG165" s="4"/>
      <c r="RH165" s="4"/>
      <c r="RI165" s="4"/>
      <c r="RJ165" s="5"/>
      <c r="RK165" s="6"/>
      <c r="RL165" s="4"/>
      <c r="RM165" s="4"/>
      <c r="RN165" s="4"/>
      <c r="RO165" s="4"/>
      <c r="RP165" s="4"/>
      <c r="RQ165" s="5"/>
      <c r="RR165" s="6"/>
      <c r="RS165" s="4"/>
      <c r="RT165" s="4"/>
      <c r="RU165" s="4"/>
      <c r="RV165" s="4"/>
      <c r="RW165" s="4"/>
      <c r="RX165" s="5"/>
      <c r="RY165" s="6"/>
      <c r="RZ165" s="4"/>
      <c r="SA165" s="4"/>
      <c r="SB165" s="4"/>
      <c r="SC165" s="4"/>
      <c r="SD165" s="4"/>
      <c r="SE165" s="5"/>
      <c r="SF165" s="6"/>
      <c r="SG165" s="4"/>
      <c r="SH165" s="4"/>
      <c r="SI165" s="4"/>
      <c r="SJ165" s="4"/>
      <c r="SK165" s="4"/>
      <c r="SL165" s="5"/>
      <c r="SM165" s="6"/>
      <c r="SN165" s="4"/>
      <c r="SO165" s="4"/>
      <c r="SP165" s="4"/>
      <c r="SQ165" s="4"/>
      <c r="SR165" s="4"/>
      <c r="SS165" s="5"/>
      <c r="ST165" s="6"/>
      <c r="SU165" s="4"/>
      <c r="SV165" s="4"/>
      <c r="SW165" s="4"/>
      <c r="SX165" s="4"/>
      <c r="SY165" s="4"/>
      <c r="SZ165" s="5"/>
      <c r="TA165" s="6"/>
      <c r="TB165" s="4"/>
      <c r="TC165" s="4"/>
      <c r="TD165" s="4"/>
      <c r="TE165" s="4"/>
      <c r="TF165" s="4"/>
      <c r="TG165" s="5"/>
      <c r="TH165" s="6"/>
      <c r="TI165" s="4"/>
      <c r="TJ165" s="4"/>
      <c r="TK165" s="4"/>
      <c r="TL165" s="4"/>
      <c r="TM165" s="4"/>
      <c r="TN165" s="5"/>
      <c r="TO165" s="6"/>
      <c r="TP165" s="4"/>
      <c r="TQ165" s="4"/>
      <c r="TR165" s="4"/>
      <c r="TS165" s="4"/>
      <c r="TT165" s="4"/>
      <c r="TU165" s="5"/>
      <c r="TV165" s="6"/>
      <c r="TW165" s="4"/>
      <c r="TX165" s="4"/>
      <c r="TY165" s="4"/>
      <c r="TZ165" s="4"/>
      <c r="UA165" s="4"/>
      <c r="UB165" s="5"/>
      <c r="UC165" s="6"/>
      <c r="UD165" s="4"/>
      <c r="UE165" s="4"/>
      <c r="UF165" s="4"/>
      <c r="UG165" s="4"/>
      <c r="UH165" s="4"/>
      <c r="UI165" s="5"/>
      <c r="UJ165" s="6"/>
      <c r="UK165" s="4"/>
      <c r="UL165" s="4"/>
      <c r="UM165" s="4"/>
      <c r="UN165" s="4"/>
      <c r="UO165" s="4"/>
      <c r="UP165" s="5"/>
      <c r="UQ165" s="6"/>
      <c r="UR165" s="4"/>
      <c r="US165" s="4"/>
      <c r="UT165" s="4"/>
      <c r="UU165" s="4"/>
      <c r="UV165" s="4"/>
      <c r="UW165" s="5"/>
      <c r="UX165" s="6"/>
      <c r="UY165" s="4"/>
      <c r="UZ165" s="4"/>
      <c r="VA165" s="4"/>
      <c r="VB165" s="4"/>
      <c r="VC165" s="4"/>
      <c r="VD165" s="5"/>
      <c r="VE165" s="6"/>
      <c r="VF165" s="4"/>
      <c r="VG165" s="4"/>
      <c r="VH165" s="4"/>
      <c r="VI165" s="4"/>
      <c r="VJ165" s="4"/>
      <c r="VK165" s="5"/>
      <c r="VL165" s="6"/>
      <c r="VM165" s="4"/>
      <c r="VN165" s="4"/>
      <c r="VO165" s="4"/>
      <c r="VP165" s="4"/>
      <c r="VQ165" s="4"/>
      <c r="VR165" s="5"/>
      <c r="VS165" s="6"/>
      <c r="VT165" s="4"/>
      <c r="VU165" s="4"/>
      <c r="VV165" s="4"/>
      <c r="VW165" s="4"/>
      <c r="VX165" s="4"/>
      <c r="VY165" s="5"/>
      <c r="VZ165" s="6"/>
      <c r="WA165" s="4"/>
      <c r="WB165" s="4"/>
      <c r="WC165" s="4"/>
      <c r="WD165" s="4"/>
      <c r="WE165" s="4"/>
      <c r="WF165" s="5"/>
      <c r="WG165" s="6"/>
      <c r="WH165" s="4"/>
      <c r="WI165" s="4"/>
      <c r="WJ165" s="4"/>
      <c r="WK165" s="4"/>
      <c r="WL165" s="4"/>
      <c r="WM165" s="5"/>
      <c r="WN165" s="6"/>
      <c r="WO165" s="4"/>
      <c r="WP165" s="4"/>
      <c r="WQ165" s="4"/>
      <c r="WR165" s="4"/>
      <c r="WS165" s="4"/>
      <c r="WT165" s="5"/>
      <c r="WU165" s="6"/>
      <c r="WV165" s="4"/>
      <c r="WW165" s="4"/>
      <c r="WX165" s="4"/>
      <c r="WY165" s="4"/>
      <c r="WZ165" s="4"/>
      <c r="XA165" s="5"/>
      <c r="XB165" s="6"/>
      <c r="XC165" s="4"/>
      <c r="XD165" s="4"/>
      <c r="XE165" s="4"/>
      <c r="XF165" s="4"/>
      <c r="XG165" s="4"/>
      <c r="XH165" s="5"/>
      <c r="XI165" s="6"/>
      <c r="XJ165" s="4"/>
      <c r="XK165" s="4"/>
      <c r="XL165" s="4"/>
      <c r="XM165" s="4"/>
      <c r="XN165" s="4"/>
      <c r="XO165" s="5"/>
      <c r="XP165" s="6"/>
      <c r="XQ165" s="4"/>
      <c r="XR165" s="4"/>
      <c r="XS165" s="4"/>
      <c r="XT165" s="4"/>
      <c r="XU165" s="4"/>
      <c r="XV165" s="5"/>
      <c r="XW165" s="6"/>
      <c r="XX165" s="4"/>
      <c r="XY165" s="4"/>
      <c r="XZ165" s="4"/>
      <c r="YA165" s="4"/>
      <c r="YB165" s="4"/>
      <c r="YC165" s="5"/>
      <c r="YD165" s="6"/>
      <c r="YE165" s="4"/>
      <c r="YF165" s="4"/>
      <c r="YG165" s="4"/>
      <c r="YH165" s="4"/>
      <c r="YI165" s="4"/>
      <c r="YJ165" s="5"/>
      <c r="YK165" s="6"/>
      <c r="YL165" s="4"/>
      <c r="YM165" s="4"/>
      <c r="YN165" s="4"/>
      <c r="YO165" s="4"/>
      <c r="YP165" s="4"/>
      <c r="YQ165" s="5"/>
      <c r="YR165" s="6"/>
      <c r="YS165" s="4"/>
      <c r="YT165" s="4"/>
      <c r="YU165" s="4"/>
      <c r="YV165" s="4"/>
      <c r="YW165" s="4"/>
      <c r="YX165" s="5"/>
      <c r="YY165" s="6"/>
      <c r="YZ165" s="4"/>
      <c r="ZA165" s="4"/>
      <c r="ZB165" s="4"/>
      <c r="ZC165" s="4"/>
      <c r="ZD165" s="4"/>
      <c r="ZE165" s="5"/>
      <c r="ZF165" s="6"/>
      <c r="ZG165" s="4"/>
      <c r="ZH165" s="4"/>
      <c r="ZI165" s="4"/>
      <c r="ZJ165" s="4"/>
      <c r="ZK165" s="4"/>
      <c r="ZL165" s="5"/>
      <c r="ZM165" s="6"/>
      <c r="ZN165" s="4"/>
      <c r="ZO165" s="4"/>
      <c r="ZP165" s="4"/>
      <c r="ZQ165" s="4"/>
      <c r="ZR165" s="4"/>
      <c r="ZS165" s="5"/>
      <c r="ZT165" s="6"/>
      <c r="ZU165" s="4"/>
      <c r="ZV165" s="4"/>
      <c r="ZW165" s="4"/>
      <c r="ZX165" s="4"/>
      <c r="ZY165" s="4"/>
      <c r="ZZ165" s="5"/>
      <c r="AAA165" s="6"/>
      <c r="AAB165" s="4"/>
      <c r="AAC165" s="4"/>
      <c r="AAD165" s="4"/>
      <c r="AAE165" s="4"/>
      <c r="AAF165" s="4"/>
      <c r="AAG165" s="5"/>
      <c r="AAH165" s="6"/>
      <c r="AAI165" s="4"/>
      <c r="AAJ165" s="4"/>
      <c r="AAK165" s="4"/>
      <c r="AAL165" s="4"/>
      <c r="AAM165" s="4"/>
      <c r="AAN165" s="5"/>
      <c r="AAO165" s="6"/>
      <c r="AAP165" s="4"/>
      <c r="AAQ165" s="4"/>
      <c r="AAR165" s="4"/>
      <c r="AAS165" s="4"/>
      <c r="AAT165" s="4"/>
      <c r="AAU165" s="5"/>
      <c r="AAV165" s="6"/>
      <c r="AAW165" s="4"/>
      <c r="AAX165" s="4"/>
      <c r="AAY165" s="4"/>
      <c r="AAZ165" s="4"/>
      <c r="ABA165" s="4"/>
      <c r="ABB165" s="5"/>
      <c r="ABC165" s="6"/>
      <c r="ABD165" s="4"/>
      <c r="ABE165" s="4"/>
      <c r="ABF165" s="4"/>
      <c r="ABG165" s="4"/>
      <c r="ABH165" s="4"/>
      <c r="ABI165" s="5"/>
      <c r="ABJ165" s="6"/>
      <c r="ABK165" s="4"/>
      <c r="ABL165" s="4"/>
      <c r="ABM165" s="4"/>
      <c r="ABN165" s="4"/>
      <c r="ABO165" s="4"/>
      <c r="ABP165" s="5"/>
      <c r="ABQ165" s="6"/>
      <c r="ABR165" s="4"/>
      <c r="ABS165" s="4"/>
      <c r="ABT165" s="4"/>
      <c r="ABU165" s="4"/>
      <c r="ABV165" s="4"/>
      <c r="ABW165" s="5"/>
      <c r="ABX165" s="6"/>
      <c r="ABY165" s="4"/>
      <c r="ABZ165" s="4"/>
      <c r="ACA165" s="4"/>
      <c r="ACB165" s="4"/>
      <c r="ACC165" s="4"/>
      <c r="ACD165" s="5"/>
      <c r="ACE165" s="6"/>
      <c r="ACF165" s="4"/>
      <c r="ACG165" s="4"/>
      <c r="ACH165" s="4"/>
      <c r="ACI165" s="4"/>
      <c r="ACJ165" s="4"/>
      <c r="ACK165" s="5"/>
      <c r="ACL165" s="6"/>
      <c r="ACM165" s="4"/>
      <c r="ACN165" s="4"/>
      <c r="ACO165" s="4"/>
      <c r="ACP165" s="4"/>
      <c r="ACQ165" s="4"/>
      <c r="ACR165" s="5"/>
      <c r="ACS165" s="6"/>
      <c r="ACT165" s="4"/>
      <c r="ACU165" s="4"/>
      <c r="ACV165" s="4"/>
      <c r="ACW165" s="4"/>
      <c r="ACX165" s="4"/>
      <c r="ACY165" s="5"/>
    </row>
    <row r="166" spans="2:779" x14ac:dyDescent="0.25">
      <c r="B166" s="29">
        <v>98005926</v>
      </c>
      <c r="C166">
        <v>37</v>
      </c>
      <c r="D166" t="s">
        <v>2121</v>
      </c>
      <c r="F166" s="23" t="s">
        <v>1781</v>
      </c>
      <c r="I166">
        <v>1</v>
      </c>
      <c r="J166" s="19">
        <v>35568</v>
      </c>
      <c r="K166" s="19"/>
      <c r="L166" s="19"/>
      <c r="M166">
        <v>1</v>
      </c>
      <c r="N166" s="17">
        <v>35568</v>
      </c>
      <c r="BW166">
        <v>1</v>
      </c>
      <c r="IK166">
        <v>1</v>
      </c>
      <c r="KE166">
        <v>1</v>
      </c>
      <c r="LL166" s="6"/>
      <c r="LM166" s="4"/>
      <c r="LN166" s="4"/>
      <c r="LO166" s="4"/>
      <c r="LP166" s="4"/>
      <c r="LQ166" s="4"/>
      <c r="LR166" s="5"/>
      <c r="LS166" s="6"/>
      <c r="LT166" s="4"/>
      <c r="LU166" s="4"/>
      <c r="LV166" s="4"/>
      <c r="LW166" s="4"/>
      <c r="LX166" s="4"/>
      <c r="LY166" s="5"/>
      <c r="LZ166" s="6" t="s">
        <v>1736</v>
      </c>
      <c r="MA166" s="4" t="s">
        <v>2015</v>
      </c>
      <c r="MB166" s="4"/>
      <c r="MC166" s="4"/>
      <c r="MD166" s="8"/>
      <c r="ME166" s="4"/>
      <c r="MF166" s="4"/>
      <c r="MG166" s="5"/>
      <c r="MH166" s="6"/>
      <c r="MI166" s="4"/>
      <c r="MJ166" s="4"/>
      <c r="MK166" s="4"/>
      <c r="ML166" s="4"/>
      <c r="MM166" s="4"/>
      <c r="MN166" s="5"/>
      <c r="MO166" s="6"/>
      <c r="MP166" s="4"/>
      <c r="MQ166" s="4"/>
      <c r="MR166" s="4"/>
      <c r="MS166" s="4"/>
      <c r="MT166" s="4"/>
      <c r="MU166" s="5"/>
      <c r="MV166" s="6"/>
      <c r="MW166" s="4"/>
      <c r="MX166" s="4"/>
      <c r="MY166" s="4"/>
      <c r="MZ166" s="4"/>
      <c r="NA166" s="4"/>
      <c r="NB166" s="5"/>
      <c r="NC166" s="6"/>
      <c r="ND166" s="4"/>
      <c r="NE166" s="4"/>
      <c r="NF166" s="4"/>
      <c r="NG166" s="4"/>
      <c r="NH166" s="4"/>
      <c r="NI166" s="5"/>
      <c r="NJ166" s="6"/>
      <c r="NK166" s="4"/>
      <c r="NL166" s="4"/>
      <c r="NM166" s="4"/>
      <c r="NN166" s="4"/>
      <c r="NO166" s="4"/>
      <c r="NP166" s="5"/>
      <c r="NQ166" s="6"/>
      <c r="NR166" s="4"/>
      <c r="NS166" s="4"/>
      <c r="NT166" s="4"/>
      <c r="NU166" s="4"/>
      <c r="NV166" s="4"/>
      <c r="NW166" s="5"/>
      <c r="NX166" s="6"/>
      <c r="NY166" s="4"/>
      <c r="NZ166" s="4"/>
      <c r="OA166" s="4"/>
      <c r="OB166" s="4"/>
      <c r="OC166" s="4"/>
      <c r="OD166" s="5"/>
      <c r="OE166" s="6"/>
      <c r="OF166" s="4"/>
      <c r="OG166" s="4"/>
      <c r="OH166" s="4"/>
      <c r="OI166" s="4"/>
      <c r="OJ166" s="4"/>
      <c r="OK166" s="5"/>
      <c r="OL166" s="6"/>
      <c r="OM166" s="4"/>
      <c r="ON166" s="4"/>
      <c r="OO166" s="4"/>
      <c r="OP166" s="4"/>
      <c r="OQ166" s="4"/>
      <c r="OR166" s="5"/>
      <c r="OS166" s="6"/>
      <c r="OT166" s="4"/>
      <c r="OU166" s="4"/>
      <c r="OV166" s="4"/>
      <c r="OW166" s="4"/>
      <c r="OX166" s="4"/>
      <c r="OY166" s="5"/>
      <c r="OZ166" s="6"/>
      <c r="PA166" s="4"/>
      <c r="PB166" s="4"/>
      <c r="PC166" s="4"/>
      <c r="PD166" s="4"/>
      <c r="PE166" s="4"/>
      <c r="PF166" s="5"/>
      <c r="PG166" s="6"/>
      <c r="PH166" s="4"/>
      <c r="PI166" s="4"/>
      <c r="PJ166" s="4"/>
      <c r="PK166" s="4"/>
      <c r="PL166" s="4"/>
      <c r="PM166" s="5"/>
      <c r="PN166" s="6"/>
      <c r="PO166" s="4"/>
      <c r="PP166" s="4"/>
      <c r="PQ166" s="4"/>
      <c r="PR166" s="4"/>
      <c r="PS166" s="4"/>
      <c r="PT166" s="5"/>
      <c r="PU166" s="6"/>
      <c r="PV166" s="4"/>
      <c r="PW166" s="4"/>
      <c r="PX166" s="4"/>
      <c r="PY166" s="4"/>
      <c r="PZ166" s="4"/>
      <c r="QA166" s="5"/>
      <c r="QB166" s="6"/>
      <c r="QC166" s="4"/>
      <c r="QD166" s="4"/>
      <c r="QE166" s="4"/>
      <c r="QF166" s="4"/>
      <c r="QG166" s="4"/>
      <c r="QH166" s="5"/>
      <c r="QI166" s="6"/>
      <c r="QJ166" s="4"/>
      <c r="QK166" s="4"/>
      <c r="QL166" s="4"/>
      <c r="QM166" s="4"/>
      <c r="QN166" s="4"/>
      <c r="QO166" s="5"/>
      <c r="QP166" s="6"/>
      <c r="QQ166" s="4"/>
      <c r="QR166" s="4"/>
      <c r="QS166" s="4"/>
      <c r="QT166" s="4"/>
      <c r="QU166" s="4"/>
      <c r="QV166" s="5"/>
      <c r="QW166" s="6"/>
      <c r="QX166" s="4"/>
      <c r="QY166" s="4"/>
      <c r="QZ166" s="4"/>
      <c r="RA166" s="4"/>
      <c r="RB166" s="4"/>
      <c r="RC166" s="5"/>
      <c r="RD166" s="6"/>
      <c r="RE166" s="4"/>
      <c r="RF166" s="4"/>
      <c r="RG166" s="4"/>
      <c r="RH166" s="4"/>
      <c r="RI166" s="4"/>
      <c r="RJ166" s="5"/>
      <c r="RK166" s="6"/>
      <c r="RL166" s="4"/>
      <c r="RM166" s="4"/>
      <c r="RN166" s="4"/>
      <c r="RO166" s="4"/>
      <c r="RP166" s="4"/>
      <c r="RQ166" s="5"/>
      <c r="RR166" s="6"/>
      <c r="RS166" s="4"/>
      <c r="RT166" s="4"/>
      <c r="RU166" s="4"/>
      <c r="RV166" s="4"/>
      <c r="RW166" s="4"/>
      <c r="RX166" s="5"/>
      <c r="RY166" s="6"/>
      <c r="RZ166" s="4"/>
      <c r="SA166" s="4"/>
      <c r="SB166" s="4"/>
      <c r="SC166" s="4"/>
      <c r="SD166" s="4"/>
      <c r="SE166" s="5"/>
      <c r="SF166" s="6"/>
      <c r="SG166" s="4"/>
      <c r="SH166" s="4"/>
      <c r="SI166" s="4"/>
      <c r="SJ166" s="4"/>
      <c r="SK166" s="4"/>
      <c r="SL166" s="5"/>
      <c r="SM166" s="6"/>
      <c r="SN166" s="4"/>
      <c r="SO166" s="4"/>
      <c r="SP166" s="4"/>
      <c r="SQ166" s="4"/>
      <c r="SR166" s="4"/>
      <c r="SS166" s="5"/>
      <c r="ST166" s="6"/>
      <c r="SU166" s="4"/>
      <c r="SV166" s="4"/>
      <c r="SW166" s="4"/>
      <c r="SX166" s="4"/>
      <c r="SY166" s="4"/>
      <c r="SZ166" s="5"/>
      <c r="TA166" s="6"/>
      <c r="TB166" s="4"/>
      <c r="TC166" s="4"/>
      <c r="TD166" s="4"/>
      <c r="TE166" s="4"/>
      <c r="TF166" s="4"/>
      <c r="TG166" s="5"/>
      <c r="TH166" s="6"/>
      <c r="TI166" s="4"/>
      <c r="TJ166" s="4"/>
      <c r="TK166" s="4"/>
      <c r="TL166" s="4"/>
      <c r="TM166" s="4"/>
      <c r="TN166" s="5"/>
      <c r="TO166" s="6"/>
      <c r="TP166" s="4"/>
      <c r="TQ166" s="4"/>
      <c r="TR166" s="4"/>
      <c r="TS166" s="4"/>
      <c r="TT166" s="4"/>
      <c r="TU166" s="5"/>
      <c r="TV166" s="6"/>
      <c r="TW166" s="4"/>
      <c r="TX166" s="4"/>
      <c r="TY166" s="4"/>
      <c r="TZ166" s="4"/>
      <c r="UA166" s="4"/>
      <c r="UB166" s="5"/>
      <c r="UC166" s="6"/>
      <c r="UD166" s="4"/>
      <c r="UE166" s="4"/>
      <c r="UF166" s="4"/>
      <c r="UG166" s="4"/>
      <c r="UH166" s="4"/>
      <c r="UI166" s="5"/>
      <c r="UJ166" s="6"/>
      <c r="UK166" s="4"/>
      <c r="UL166" s="4"/>
      <c r="UM166" s="4"/>
      <c r="UN166" s="4"/>
      <c r="UO166" s="4"/>
      <c r="UP166" s="5"/>
      <c r="UQ166" s="6"/>
      <c r="UR166" s="4"/>
      <c r="US166" s="4"/>
      <c r="UT166" s="4"/>
      <c r="UU166" s="4"/>
      <c r="UV166" s="4"/>
      <c r="UW166" s="5"/>
      <c r="UX166" s="6"/>
      <c r="UY166" s="4"/>
      <c r="UZ166" s="4"/>
      <c r="VA166" s="4"/>
      <c r="VB166" s="4"/>
      <c r="VC166" s="4"/>
      <c r="VD166" s="5"/>
      <c r="VE166" s="6"/>
      <c r="VF166" s="4"/>
      <c r="VG166" s="4"/>
      <c r="VH166" s="4"/>
      <c r="VI166" s="4"/>
      <c r="VJ166" s="4"/>
      <c r="VK166" s="5"/>
      <c r="VL166" s="6"/>
      <c r="VM166" s="4"/>
      <c r="VN166" s="4"/>
      <c r="VO166" s="4"/>
      <c r="VP166" s="4"/>
      <c r="VQ166" s="4"/>
      <c r="VR166" s="5"/>
      <c r="VS166" s="6"/>
      <c r="VT166" s="4"/>
      <c r="VU166" s="4"/>
      <c r="VV166" s="4"/>
      <c r="VW166" s="4"/>
      <c r="VX166" s="4"/>
      <c r="VY166" s="5"/>
      <c r="VZ166" s="6"/>
      <c r="WA166" s="4"/>
      <c r="WB166" s="4"/>
      <c r="WC166" s="4"/>
      <c r="WD166" s="4"/>
      <c r="WE166" s="4"/>
      <c r="WF166" s="5"/>
      <c r="WG166" s="6"/>
      <c r="WH166" s="4"/>
      <c r="WI166" s="4"/>
      <c r="WJ166" s="4"/>
      <c r="WK166" s="4"/>
      <c r="WL166" s="4"/>
      <c r="WM166" s="5"/>
      <c r="WN166" s="6"/>
      <c r="WO166" s="4"/>
      <c r="WP166" s="4"/>
      <c r="WQ166" s="4"/>
      <c r="WR166" s="4"/>
      <c r="WS166" s="4"/>
      <c r="WT166" s="5"/>
      <c r="WU166" s="6"/>
      <c r="WV166" s="4"/>
      <c r="WW166" s="4"/>
      <c r="WX166" s="4"/>
      <c r="WY166" s="4"/>
      <c r="WZ166" s="4"/>
      <c r="XA166" s="5"/>
      <c r="XB166" s="6"/>
      <c r="XC166" s="4"/>
      <c r="XD166" s="4"/>
      <c r="XE166" s="4"/>
      <c r="XF166" s="4"/>
      <c r="XG166" s="4"/>
      <c r="XH166" s="5"/>
      <c r="XI166" s="6"/>
      <c r="XJ166" s="4"/>
      <c r="XK166" s="4"/>
      <c r="XL166" s="4"/>
      <c r="XM166" s="4"/>
      <c r="XN166" s="4"/>
      <c r="XO166" s="5"/>
      <c r="XP166" s="6"/>
      <c r="XQ166" s="4"/>
      <c r="XR166" s="4"/>
      <c r="XS166" s="4"/>
      <c r="XT166" s="4"/>
      <c r="XU166" s="4"/>
      <c r="XV166" s="5"/>
      <c r="XW166" s="6"/>
      <c r="XX166" s="4"/>
      <c r="XY166" s="4"/>
      <c r="XZ166" s="4"/>
      <c r="YA166" s="4"/>
      <c r="YB166" s="4"/>
      <c r="YC166" s="5"/>
      <c r="YD166" s="6"/>
      <c r="YE166" s="4"/>
      <c r="YF166" s="4"/>
      <c r="YG166" s="4"/>
      <c r="YH166" s="4"/>
      <c r="YI166" s="4"/>
      <c r="YJ166" s="5"/>
      <c r="YK166" s="6"/>
      <c r="YL166" s="4"/>
      <c r="YM166" s="4"/>
      <c r="YN166" s="4"/>
      <c r="YO166" s="4"/>
      <c r="YP166" s="4"/>
      <c r="YQ166" s="5"/>
      <c r="YR166" s="6"/>
      <c r="YS166" s="4"/>
      <c r="YT166" s="4"/>
      <c r="YU166" s="4"/>
      <c r="YV166" s="4"/>
      <c r="YW166" s="4"/>
      <c r="YX166" s="5"/>
      <c r="YY166" s="6"/>
      <c r="YZ166" s="4"/>
      <c r="ZA166" s="4"/>
      <c r="ZB166" s="4"/>
      <c r="ZC166" s="4"/>
      <c r="ZD166" s="4"/>
      <c r="ZE166" s="5"/>
      <c r="ZF166" s="6"/>
      <c r="ZG166" s="4"/>
      <c r="ZH166" s="4"/>
      <c r="ZI166" s="4"/>
      <c r="ZJ166" s="4"/>
      <c r="ZK166" s="4"/>
      <c r="ZL166" s="5"/>
      <c r="ZM166" s="6"/>
      <c r="ZN166" s="4"/>
      <c r="ZO166" s="4"/>
      <c r="ZP166" s="4"/>
      <c r="ZQ166" s="4"/>
      <c r="ZR166" s="4"/>
      <c r="ZS166" s="5"/>
      <c r="ZT166" s="6"/>
      <c r="ZU166" s="4"/>
      <c r="ZV166" s="4"/>
      <c r="ZW166" s="4"/>
      <c r="ZX166" s="4"/>
      <c r="ZY166" s="4"/>
      <c r="ZZ166" s="5"/>
      <c r="AAA166" s="6"/>
      <c r="AAB166" s="4"/>
      <c r="AAC166" s="4"/>
      <c r="AAD166" s="4"/>
      <c r="AAE166" s="4"/>
      <c r="AAF166" s="4"/>
      <c r="AAG166" s="5"/>
      <c r="AAH166" s="6"/>
      <c r="AAI166" s="4"/>
      <c r="AAJ166" s="4"/>
      <c r="AAK166" s="4"/>
      <c r="AAL166" s="4"/>
      <c r="AAM166" s="4"/>
      <c r="AAN166" s="5"/>
      <c r="AAO166" s="6"/>
      <c r="AAP166" s="4"/>
      <c r="AAQ166" s="4"/>
      <c r="AAR166" s="4"/>
      <c r="AAS166" s="4"/>
      <c r="AAT166" s="4"/>
      <c r="AAU166" s="5"/>
      <c r="AAV166" s="6"/>
      <c r="AAW166" s="4"/>
      <c r="AAX166" s="4"/>
      <c r="AAY166" s="4"/>
      <c r="AAZ166" s="4"/>
      <c r="ABA166" s="4"/>
      <c r="ABB166" s="5"/>
      <c r="ABC166" s="6"/>
      <c r="ABD166" s="4"/>
      <c r="ABE166" s="4"/>
      <c r="ABF166" s="4"/>
      <c r="ABG166" s="4"/>
      <c r="ABH166" s="4"/>
      <c r="ABI166" s="5"/>
      <c r="ABJ166" s="6"/>
      <c r="ABK166" s="4"/>
      <c r="ABL166" s="4"/>
      <c r="ABM166" s="4"/>
      <c r="ABN166" s="4"/>
      <c r="ABO166" s="4"/>
      <c r="ABP166" s="5"/>
      <c r="ABQ166" s="6"/>
      <c r="ABR166" s="4"/>
      <c r="ABS166" s="4"/>
      <c r="ABT166" s="4"/>
      <c r="ABU166" s="4"/>
      <c r="ABV166" s="4"/>
      <c r="ABW166" s="5"/>
      <c r="ABX166" s="6"/>
      <c r="ABY166" s="4"/>
      <c r="ABZ166" s="4"/>
      <c r="ACA166" s="4"/>
      <c r="ACB166" s="4"/>
      <c r="ACC166" s="4"/>
      <c r="ACD166" s="5"/>
      <c r="ACE166" s="6"/>
      <c r="ACF166" s="4"/>
      <c r="ACG166" s="4"/>
      <c r="ACH166" s="4"/>
      <c r="ACI166" s="4"/>
      <c r="ACJ166" s="4"/>
      <c r="ACK166" s="5"/>
      <c r="ACL166" s="6"/>
      <c r="ACM166" s="4"/>
      <c r="ACN166" s="4"/>
      <c r="ACO166" s="4"/>
      <c r="ACP166" s="4"/>
      <c r="ACQ166" s="4"/>
      <c r="ACR166" s="5"/>
      <c r="ACS166" s="6"/>
      <c r="ACT166" s="4"/>
      <c r="ACU166" s="4"/>
      <c r="ACV166" s="4"/>
      <c r="ACW166" s="4"/>
      <c r="ACX166" s="4"/>
      <c r="ACY166" s="5"/>
    </row>
    <row r="167" spans="2:779" x14ac:dyDescent="0.25">
      <c r="B167" s="30"/>
      <c r="J167" s="12"/>
      <c r="K167" s="12"/>
      <c r="L167" s="12"/>
      <c r="LL167" s="6"/>
      <c r="LM167" s="4"/>
      <c r="LN167" s="4"/>
      <c r="LO167" s="4"/>
      <c r="LP167" s="4"/>
      <c r="LQ167" s="4"/>
      <c r="LR167" s="5"/>
      <c r="LS167" s="6"/>
      <c r="LT167" s="4"/>
      <c r="LU167" s="4"/>
      <c r="LV167" s="4"/>
      <c r="LW167" s="4"/>
      <c r="LX167" s="4"/>
      <c r="LY167" s="5"/>
      <c r="LZ167" s="6" t="s">
        <v>1737</v>
      </c>
      <c r="MA167" s="4" t="s">
        <v>1885</v>
      </c>
      <c r="MB167" s="4"/>
      <c r="MC167" s="4"/>
      <c r="MD167" s="8"/>
      <c r="ME167" s="4"/>
      <c r="MF167" s="4"/>
      <c r="MG167" s="5"/>
      <c r="MH167" s="6"/>
      <c r="MI167" s="4"/>
      <c r="MJ167" s="4"/>
      <c r="MK167" s="4"/>
      <c r="ML167" s="4"/>
      <c r="MM167" s="4"/>
      <c r="MN167" s="5"/>
      <c r="MO167" s="6"/>
      <c r="MP167" s="4"/>
      <c r="MQ167" s="4"/>
      <c r="MR167" s="4"/>
      <c r="MS167" s="4"/>
      <c r="MT167" s="4"/>
      <c r="MU167" s="5"/>
      <c r="MV167" s="6"/>
      <c r="MW167" s="4"/>
      <c r="MX167" s="4"/>
      <c r="MY167" s="4"/>
      <c r="MZ167" s="4"/>
      <c r="NA167" s="4"/>
      <c r="NB167" s="5"/>
      <c r="NC167" s="6"/>
      <c r="ND167" s="4"/>
      <c r="NE167" s="4"/>
      <c r="NF167" s="4"/>
      <c r="NG167" s="4"/>
      <c r="NH167" s="4"/>
      <c r="NI167" s="5"/>
      <c r="NJ167" s="6"/>
      <c r="NK167" s="4"/>
      <c r="NL167" s="4"/>
      <c r="NM167" s="4"/>
      <c r="NN167" s="4"/>
      <c r="NO167" s="4"/>
      <c r="NP167" s="5"/>
      <c r="NQ167" s="6"/>
      <c r="NR167" s="4"/>
      <c r="NS167" s="4"/>
      <c r="NT167" s="4"/>
      <c r="NU167" s="4"/>
      <c r="NV167" s="4"/>
      <c r="NW167" s="5"/>
      <c r="NX167" s="6"/>
      <c r="NY167" s="4"/>
      <c r="NZ167" s="4"/>
      <c r="OA167" s="4"/>
      <c r="OB167" s="4"/>
      <c r="OC167" s="4"/>
      <c r="OD167" s="5"/>
      <c r="OE167" s="6"/>
      <c r="OF167" s="4"/>
      <c r="OG167" s="4"/>
      <c r="OH167" s="4"/>
      <c r="OI167" s="4"/>
      <c r="OJ167" s="4"/>
      <c r="OK167" s="5"/>
      <c r="OL167" s="6"/>
      <c r="OM167" s="4"/>
      <c r="ON167" s="4"/>
      <c r="OO167" s="4"/>
      <c r="OP167" s="4"/>
      <c r="OQ167" s="4"/>
      <c r="OR167" s="5"/>
      <c r="OS167" s="6"/>
      <c r="OT167" s="4"/>
      <c r="OU167" s="4"/>
      <c r="OV167" s="4"/>
      <c r="OW167" s="4"/>
      <c r="OX167" s="4"/>
      <c r="OY167" s="5"/>
      <c r="OZ167" s="6"/>
      <c r="PA167" s="4"/>
      <c r="PB167" s="4"/>
      <c r="PC167" s="4"/>
      <c r="PD167" s="4"/>
      <c r="PE167" s="4"/>
      <c r="PF167" s="5"/>
      <c r="PG167" s="6"/>
      <c r="PH167" s="4"/>
      <c r="PI167" s="4"/>
      <c r="PJ167" s="4"/>
      <c r="PK167" s="4"/>
      <c r="PL167" s="4"/>
      <c r="PM167" s="5"/>
      <c r="PN167" s="6"/>
      <c r="PO167" s="4"/>
      <c r="PP167" s="4"/>
      <c r="PQ167" s="4"/>
      <c r="PR167" s="4"/>
      <c r="PS167" s="4"/>
      <c r="PT167" s="5"/>
      <c r="PU167" s="6"/>
      <c r="PV167" s="4"/>
      <c r="PW167" s="4"/>
      <c r="PX167" s="4"/>
      <c r="PY167" s="4"/>
      <c r="PZ167" s="4"/>
      <c r="QA167" s="5"/>
      <c r="QB167" s="6"/>
      <c r="QC167" s="4"/>
      <c r="QD167" s="4"/>
      <c r="QE167" s="4"/>
      <c r="QF167" s="4"/>
      <c r="QG167" s="4"/>
      <c r="QH167" s="5"/>
      <c r="QI167" s="6"/>
      <c r="QJ167" s="4"/>
      <c r="QK167" s="4"/>
      <c r="QL167" s="4"/>
      <c r="QM167" s="4"/>
      <c r="QN167" s="4"/>
      <c r="QO167" s="5"/>
      <c r="QP167" s="6"/>
      <c r="QQ167" s="4"/>
      <c r="QR167" s="4"/>
      <c r="QS167" s="4"/>
      <c r="QT167" s="4"/>
      <c r="QU167" s="4"/>
      <c r="QV167" s="5"/>
      <c r="QW167" s="6"/>
      <c r="QX167" s="4"/>
      <c r="QY167" s="4"/>
      <c r="QZ167" s="4"/>
      <c r="RA167" s="4"/>
      <c r="RB167" s="4"/>
      <c r="RC167" s="5"/>
      <c r="RD167" s="6"/>
      <c r="RE167" s="4"/>
      <c r="RF167" s="4"/>
      <c r="RG167" s="4"/>
      <c r="RH167" s="4"/>
      <c r="RI167" s="4"/>
      <c r="RJ167" s="5"/>
      <c r="RK167" s="6"/>
      <c r="RL167" s="4"/>
      <c r="RM167" s="4"/>
      <c r="RN167" s="4"/>
      <c r="RO167" s="4"/>
      <c r="RP167" s="4"/>
      <c r="RQ167" s="5"/>
      <c r="RR167" s="6"/>
      <c r="RS167" s="4"/>
      <c r="RT167" s="4"/>
      <c r="RU167" s="4"/>
      <c r="RV167" s="4"/>
      <c r="RW167" s="4"/>
      <c r="RX167" s="5"/>
      <c r="RY167" s="6"/>
      <c r="RZ167" s="4"/>
      <c r="SA167" s="4"/>
      <c r="SB167" s="4"/>
      <c r="SC167" s="4"/>
      <c r="SD167" s="4"/>
      <c r="SE167" s="5"/>
      <c r="SF167" s="6"/>
      <c r="SG167" s="4"/>
      <c r="SH167" s="4"/>
      <c r="SI167" s="4"/>
      <c r="SJ167" s="4"/>
      <c r="SK167" s="4"/>
      <c r="SL167" s="5"/>
      <c r="SM167" s="6"/>
      <c r="SN167" s="4"/>
      <c r="SO167" s="4"/>
      <c r="SP167" s="4"/>
      <c r="SQ167" s="4"/>
      <c r="SR167" s="4"/>
      <c r="SS167" s="5"/>
      <c r="ST167" s="6"/>
      <c r="SU167" s="4"/>
      <c r="SV167" s="4"/>
      <c r="SW167" s="4"/>
      <c r="SX167" s="4"/>
      <c r="SY167" s="4"/>
      <c r="SZ167" s="5"/>
      <c r="TA167" s="6"/>
      <c r="TB167" s="4"/>
      <c r="TC167" s="4"/>
      <c r="TD167" s="4"/>
      <c r="TE167" s="4"/>
      <c r="TF167" s="4"/>
      <c r="TG167" s="5"/>
      <c r="TH167" s="6"/>
      <c r="TI167" s="4"/>
      <c r="TJ167" s="4"/>
      <c r="TK167" s="4"/>
      <c r="TL167" s="4"/>
      <c r="TM167" s="4"/>
      <c r="TN167" s="5"/>
      <c r="TO167" s="6"/>
      <c r="TP167" s="4"/>
      <c r="TQ167" s="4"/>
      <c r="TR167" s="4"/>
      <c r="TS167" s="4"/>
      <c r="TT167" s="4"/>
      <c r="TU167" s="5"/>
      <c r="TV167" s="6"/>
      <c r="TW167" s="4"/>
      <c r="TX167" s="4"/>
      <c r="TY167" s="4"/>
      <c r="TZ167" s="4"/>
      <c r="UA167" s="4"/>
      <c r="UB167" s="5"/>
      <c r="UC167" s="6"/>
      <c r="UD167" s="4"/>
      <c r="UE167" s="4"/>
      <c r="UF167" s="4"/>
      <c r="UG167" s="4"/>
      <c r="UH167" s="4"/>
      <c r="UI167" s="5"/>
      <c r="UJ167" s="6"/>
      <c r="UK167" s="4"/>
      <c r="UL167" s="4"/>
      <c r="UM167" s="4"/>
      <c r="UN167" s="4"/>
      <c r="UO167" s="4"/>
      <c r="UP167" s="5"/>
      <c r="UQ167" s="6"/>
      <c r="UR167" s="4"/>
      <c r="US167" s="4"/>
      <c r="UT167" s="4"/>
      <c r="UU167" s="4"/>
      <c r="UV167" s="4"/>
      <c r="UW167" s="5"/>
      <c r="UX167" s="6"/>
      <c r="UY167" s="4"/>
      <c r="UZ167" s="4"/>
      <c r="VA167" s="4"/>
      <c r="VB167" s="4"/>
      <c r="VC167" s="4"/>
      <c r="VD167" s="5"/>
      <c r="VE167" s="6"/>
      <c r="VF167" s="4"/>
      <c r="VG167" s="4"/>
      <c r="VH167" s="4"/>
      <c r="VI167" s="4"/>
      <c r="VJ167" s="4"/>
      <c r="VK167" s="5"/>
      <c r="VL167" s="6"/>
      <c r="VM167" s="4"/>
      <c r="VN167" s="4"/>
      <c r="VO167" s="4"/>
      <c r="VP167" s="4"/>
      <c r="VQ167" s="4"/>
      <c r="VR167" s="5"/>
      <c r="VS167" s="6"/>
      <c r="VT167" s="4"/>
      <c r="VU167" s="4"/>
      <c r="VV167" s="4"/>
      <c r="VW167" s="4"/>
      <c r="VX167" s="4"/>
      <c r="VY167" s="5"/>
      <c r="VZ167" s="6"/>
      <c r="WA167" s="4"/>
      <c r="WB167" s="4"/>
      <c r="WC167" s="4"/>
      <c r="WD167" s="4"/>
      <c r="WE167" s="4"/>
      <c r="WF167" s="5"/>
      <c r="WG167" s="6"/>
      <c r="WH167" s="4"/>
      <c r="WI167" s="4"/>
      <c r="WJ167" s="4"/>
      <c r="WK167" s="4"/>
      <c r="WL167" s="4"/>
      <c r="WM167" s="5"/>
      <c r="WN167" s="6"/>
      <c r="WO167" s="4"/>
      <c r="WP167" s="4"/>
      <c r="WQ167" s="4"/>
      <c r="WR167" s="4"/>
      <c r="WS167" s="4"/>
      <c r="WT167" s="5"/>
      <c r="WU167" s="6"/>
      <c r="WV167" s="4"/>
      <c r="WW167" s="4"/>
      <c r="WX167" s="4"/>
      <c r="WY167" s="4"/>
      <c r="WZ167" s="4"/>
      <c r="XA167" s="5"/>
      <c r="XB167" s="6"/>
      <c r="XC167" s="4"/>
      <c r="XD167" s="4"/>
      <c r="XE167" s="4"/>
      <c r="XF167" s="4"/>
      <c r="XG167" s="4"/>
      <c r="XH167" s="5"/>
      <c r="XI167" s="6"/>
      <c r="XJ167" s="4"/>
      <c r="XK167" s="4"/>
      <c r="XL167" s="4"/>
      <c r="XM167" s="4"/>
      <c r="XN167" s="4"/>
      <c r="XO167" s="5"/>
      <c r="XP167" s="6"/>
      <c r="XQ167" s="4"/>
      <c r="XR167" s="4"/>
      <c r="XS167" s="4"/>
      <c r="XT167" s="4"/>
      <c r="XU167" s="4"/>
      <c r="XV167" s="5"/>
      <c r="XW167" s="6"/>
      <c r="XX167" s="4"/>
      <c r="XY167" s="4"/>
      <c r="XZ167" s="4"/>
      <c r="YA167" s="4"/>
      <c r="YB167" s="4"/>
      <c r="YC167" s="5"/>
      <c r="YD167" s="6"/>
      <c r="YE167" s="4"/>
      <c r="YF167" s="4"/>
      <c r="YG167" s="4"/>
      <c r="YH167" s="4"/>
      <c r="YI167" s="4"/>
      <c r="YJ167" s="5"/>
      <c r="YK167" s="6"/>
      <c r="YL167" s="4"/>
      <c r="YM167" s="4"/>
      <c r="YN167" s="4"/>
      <c r="YO167" s="4"/>
      <c r="YP167" s="4"/>
      <c r="YQ167" s="5"/>
      <c r="YR167" s="6"/>
      <c r="YS167" s="4"/>
      <c r="YT167" s="4"/>
      <c r="YU167" s="4"/>
      <c r="YV167" s="4"/>
      <c r="YW167" s="4"/>
      <c r="YX167" s="5"/>
      <c r="YY167" s="6"/>
      <c r="YZ167" s="4"/>
      <c r="ZA167" s="4"/>
      <c r="ZB167" s="4"/>
      <c r="ZC167" s="4"/>
      <c r="ZD167" s="4"/>
      <c r="ZE167" s="5"/>
      <c r="ZF167" s="6"/>
      <c r="ZG167" s="4"/>
      <c r="ZH167" s="4"/>
      <c r="ZI167" s="4"/>
      <c r="ZJ167" s="4"/>
      <c r="ZK167" s="4"/>
      <c r="ZL167" s="5"/>
      <c r="ZM167" s="6"/>
      <c r="ZN167" s="4"/>
      <c r="ZO167" s="4"/>
      <c r="ZP167" s="4"/>
      <c r="ZQ167" s="4"/>
      <c r="ZR167" s="4"/>
      <c r="ZS167" s="5"/>
      <c r="ZT167" s="6"/>
      <c r="ZU167" s="4"/>
      <c r="ZV167" s="4"/>
      <c r="ZW167" s="4"/>
      <c r="ZX167" s="4"/>
      <c r="ZY167" s="4"/>
      <c r="ZZ167" s="5"/>
      <c r="AAA167" s="6"/>
      <c r="AAB167" s="4"/>
      <c r="AAC167" s="4"/>
      <c r="AAD167" s="4"/>
      <c r="AAE167" s="4"/>
      <c r="AAF167" s="4"/>
      <c r="AAG167" s="5"/>
      <c r="AAH167" s="6"/>
      <c r="AAI167" s="4"/>
      <c r="AAJ167" s="4"/>
      <c r="AAK167" s="4"/>
      <c r="AAL167" s="4"/>
      <c r="AAM167" s="4"/>
      <c r="AAN167" s="5"/>
      <c r="AAO167" s="6"/>
      <c r="AAP167" s="4"/>
      <c r="AAQ167" s="4"/>
      <c r="AAR167" s="4"/>
      <c r="AAS167" s="4"/>
      <c r="AAT167" s="4"/>
      <c r="AAU167" s="5"/>
      <c r="AAV167" s="6"/>
      <c r="AAW167" s="4"/>
      <c r="AAX167" s="4"/>
      <c r="AAY167" s="4"/>
      <c r="AAZ167" s="4"/>
      <c r="ABA167" s="4"/>
      <c r="ABB167" s="5"/>
      <c r="ABC167" s="6"/>
      <c r="ABD167" s="4"/>
      <c r="ABE167" s="4"/>
      <c r="ABF167" s="4"/>
      <c r="ABG167" s="4"/>
      <c r="ABH167" s="4"/>
      <c r="ABI167" s="5"/>
      <c r="ABJ167" s="6"/>
      <c r="ABK167" s="4"/>
      <c r="ABL167" s="4"/>
      <c r="ABM167" s="4"/>
      <c r="ABN167" s="4"/>
      <c r="ABO167" s="4"/>
      <c r="ABP167" s="5"/>
      <c r="ABQ167" s="6"/>
      <c r="ABR167" s="4"/>
      <c r="ABS167" s="4"/>
      <c r="ABT167" s="4"/>
      <c r="ABU167" s="4"/>
      <c r="ABV167" s="4"/>
      <c r="ABW167" s="5"/>
      <c r="ABX167" s="6"/>
      <c r="ABY167" s="4"/>
      <c r="ABZ167" s="4"/>
      <c r="ACA167" s="4"/>
      <c r="ACB167" s="4"/>
      <c r="ACC167" s="4"/>
      <c r="ACD167" s="5"/>
      <c r="ACE167" s="6"/>
      <c r="ACF167" s="4"/>
      <c r="ACG167" s="4"/>
      <c r="ACH167" s="4"/>
      <c r="ACI167" s="4"/>
      <c r="ACJ167" s="4"/>
      <c r="ACK167" s="5"/>
      <c r="ACL167" s="6"/>
      <c r="ACM167" s="4"/>
      <c r="ACN167" s="4"/>
      <c r="ACO167" s="4"/>
      <c r="ACP167" s="4"/>
      <c r="ACQ167" s="4"/>
      <c r="ACR167" s="5"/>
      <c r="ACS167" s="6"/>
      <c r="ACT167" s="4"/>
      <c r="ACU167" s="4"/>
      <c r="ACV167" s="4"/>
      <c r="ACW167" s="4"/>
      <c r="ACX167" s="4"/>
      <c r="ACY167" s="5"/>
    </row>
    <row r="168" spans="2:779" x14ac:dyDescent="0.25">
      <c r="B168" s="49">
        <v>98006120</v>
      </c>
      <c r="C168">
        <v>72</v>
      </c>
      <c r="D168" t="s">
        <v>681</v>
      </c>
      <c r="F168" s="23" t="s">
        <v>1781</v>
      </c>
      <c r="J168" s="12"/>
      <c r="K168" s="12"/>
      <c r="L168" s="12"/>
      <c r="M168">
        <v>1</v>
      </c>
      <c r="N168" s="17">
        <v>35770</v>
      </c>
      <c r="Q168">
        <v>1</v>
      </c>
      <c r="S168">
        <v>1</v>
      </c>
      <c r="V168">
        <v>1</v>
      </c>
      <c r="BH168">
        <v>1</v>
      </c>
      <c r="LL168" s="6"/>
      <c r="LM168" s="4"/>
      <c r="LN168" s="4"/>
      <c r="LO168" s="4"/>
      <c r="LP168" s="4"/>
      <c r="LQ168" s="4"/>
      <c r="LR168" s="5"/>
      <c r="LS168" s="6" t="s">
        <v>1088</v>
      </c>
      <c r="LT168" s="4" t="s">
        <v>1089</v>
      </c>
      <c r="LU168" s="4"/>
      <c r="LV168" s="4"/>
      <c r="LW168" s="4"/>
      <c r="LX168" s="4"/>
      <c r="LY168" s="5"/>
      <c r="LZ168" s="6" t="s">
        <v>773</v>
      </c>
      <c r="MA168" s="7" t="s">
        <v>772</v>
      </c>
      <c r="MB168" s="4"/>
      <c r="MC168" s="4"/>
      <c r="MD168" s="8"/>
      <c r="ME168" s="4"/>
      <c r="MF168" s="4" t="s">
        <v>611</v>
      </c>
      <c r="MG168" s="5" t="s">
        <v>632</v>
      </c>
      <c r="MH168" s="6"/>
      <c r="MI168" s="4"/>
      <c r="MJ168" s="4"/>
      <c r="MK168" s="4"/>
      <c r="ML168" s="4"/>
      <c r="MM168" s="4"/>
      <c r="MN168" s="5"/>
      <c r="MO168" s="6"/>
      <c r="MP168" s="4"/>
      <c r="MQ168" s="4"/>
      <c r="MR168" s="4"/>
      <c r="MS168" s="4"/>
      <c r="MT168" s="4"/>
      <c r="MU168" s="5"/>
      <c r="MV168" s="6"/>
      <c r="MW168" s="4"/>
      <c r="MX168" s="4"/>
      <c r="MY168" s="4"/>
      <c r="MZ168" s="4"/>
      <c r="NA168" s="4"/>
      <c r="NB168" s="5"/>
      <c r="NC168" s="6"/>
      <c r="ND168" s="4"/>
      <c r="NE168" s="4"/>
      <c r="NF168" s="4"/>
      <c r="NG168" s="4"/>
      <c r="NH168" s="4"/>
      <c r="NI168" s="5"/>
      <c r="NJ168" s="6" t="s">
        <v>2306</v>
      </c>
      <c r="NK168" s="4" t="s">
        <v>2306</v>
      </c>
      <c r="NL168" s="4"/>
      <c r="NM168" s="4"/>
      <c r="NN168" s="4"/>
      <c r="NO168" s="4"/>
      <c r="NP168" s="5"/>
      <c r="NQ168" s="6" t="s">
        <v>633</v>
      </c>
      <c r="NR168" s="4" t="s">
        <v>2172</v>
      </c>
      <c r="NS168" s="4"/>
      <c r="NT168" s="4"/>
      <c r="NU168" s="4"/>
      <c r="NV168" s="4"/>
      <c r="NW168" s="5"/>
      <c r="NX168" s="6"/>
      <c r="NY168" s="4"/>
      <c r="NZ168" s="4"/>
      <c r="OA168" s="4"/>
      <c r="OB168" s="4"/>
      <c r="OC168" s="4"/>
      <c r="OD168" s="5"/>
      <c r="OE168" s="6"/>
      <c r="OF168" s="4"/>
      <c r="OG168" s="4"/>
      <c r="OH168" s="4"/>
      <c r="OI168" s="4"/>
      <c r="OJ168" s="4"/>
      <c r="OK168" s="5"/>
      <c r="OL168" s="6"/>
      <c r="OM168" s="4"/>
      <c r="ON168" s="4"/>
      <c r="OO168" s="4"/>
      <c r="OP168" s="4"/>
      <c r="OQ168" s="4"/>
      <c r="OR168" s="5"/>
      <c r="OS168" s="6"/>
      <c r="OT168" s="4"/>
      <c r="OU168" s="4"/>
      <c r="OV168" s="4"/>
      <c r="OW168" s="4"/>
      <c r="OX168" s="4"/>
      <c r="OY168" s="5"/>
      <c r="OZ168" s="6" t="s">
        <v>634</v>
      </c>
      <c r="PA168" s="4" t="s">
        <v>2171</v>
      </c>
      <c r="PB168" s="4"/>
      <c r="PC168" s="4"/>
      <c r="PD168" s="4"/>
      <c r="PE168" s="4"/>
      <c r="PF168" s="5"/>
      <c r="PG168" s="6"/>
      <c r="PH168" s="4"/>
      <c r="PI168" s="4"/>
      <c r="PJ168" s="4"/>
      <c r="PK168" s="4"/>
      <c r="PL168" s="4"/>
      <c r="PM168" s="5"/>
      <c r="PN168" s="6"/>
      <c r="PO168" s="4"/>
      <c r="PP168" s="4"/>
      <c r="PQ168" s="4"/>
      <c r="PR168" s="4"/>
      <c r="PS168" s="4"/>
      <c r="PT168" s="5"/>
      <c r="PU168" s="6" t="s">
        <v>1825</v>
      </c>
      <c r="PV168" s="4" t="s">
        <v>2155</v>
      </c>
      <c r="PW168" s="4"/>
      <c r="PX168" s="4"/>
      <c r="PY168" s="4"/>
      <c r="PZ168" s="4"/>
      <c r="QA168" s="5"/>
      <c r="QB168" s="6"/>
      <c r="QC168" s="4"/>
      <c r="QD168" s="4"/>
      <c r="QE168" s="4"/>
      <c r="QF168" s="4"/>
      <c r="QG168" s="4"/>
      <c r="QH168" s="5"/>
      <c r="QI168" s="6"/>
      <c r="QJ168" s="4"/>
      <c r="QK168" s="4"/>
      <c r="QL168" s="4"/>
      <c r="QM168" s="4"/>
      <c r="QN168" s="4"/>
      <c r="QO168" s="5"/>
      <c r="QP168" s="6"/>
      <c r="QQ168" s="4"/>
      <c r="QR168" s="4"/>
      <c r="QS168" s="4"/>
      <c r="QT168" s="4"/>
      <c r="QU168" s="4"/>
      <c r="QV168" s="5"/>
      <c r="QW168" s="6"/>
      <c r="QX168" s="4"/>
      <c r="QY168" s="4"/>
      <c r="QZ168" s="4"/>
      <c r="RA168" s="4"/>
      <c r="RB168" s="4"/>
      <c r="RC168" s="5"/>
      <c r="RD168" s="6"/>
      <c r="RE168" s="4"/>
      <c r="RF168" s="4"/>
      <c r="RG168" s="4"/>
      <c r="RH168" s="4"/>
      <c r="RI168" s="4"/>
      <c r="RJ168" s="5"/>
      <c r="RK168" s="6" t="s">
        <v>2246</v>
      </c>
      <c r="RL168" s="4" t="s">
        <v>2247</v>
      </c>
      <c r="RM168" s="4"/>
      <c r="RN168" s="4"/>
      <c r="RO168" s="4"/>
      <c r="RP168" s="4"/>
      <c r="RQ168" s="5"/>
      <c r="RR168" s="6"/>
      <c r="RS168" s="4"/>
      <c r="RT168" s="4"/>
      <c r="RU168" s="4"/>
      <c r="RV168" s="4"/>
      <c r="RW168" s="4"/>
      <c r="RX168" s="5"/>
      <c r="RY168" s="6"/>
      <c r="RZ168" s="4"/>
      <c r="SA168" s="4"/>
      <c r="SB168" s="4"/>
      <c r="SC168" s="4"/>
      <c r="SD168" s="4"/>
      <c r="SE168" s="5"/>
      <c r="SF168" s="6"/>
      <c r="SG168" s="4"/>
      <c r="SH168" s="4"/>
      <c r="SI168" s="4"/>
      <c r="SJ168" s="4"/>
      <c r="SK168" s="4"/>
      <c r="SL168" s="5"/>
      <c r="SM168" s="6"/>
      <c r="SN168" s="4"/>
      <c r="SO168" s="4"/>
      <c r="SP168" s="4"/>
      <c r="SQ168" s="4"/>
      <c r="SR168" s="4"/>
      <c r="SS168" s="5"/>
      <c r="ST168" s="6"/>
      <c r="SU168" s="4"/>
      <c r="SV168" s="4"/>
      <c r="SW168" s="4"/>
      <c r="SX168" s="4"/>
      <c r="SY168" s="4"/>
      <c r="SZ168" s="5"/>
      <c r="TA168" s="6"/>
      <c r="TB168" s="4"/>
      <c r="TC168" s="4"/>
      <c r="TD168" s="4"/>
      <c r="TE168" s="4"/>
      <c r="TF168" s="4"/>
      <c r="TG168" s="5"/>
      <c r="TH168" s="6"/>
      <c r="TI168" s="4"/>
      <c r="TJ168" s="4"/>
      <c r="TK168" s="4"/>
      <c r="TL168" s="4"/>
      <c r="TM168" s="4"/>
      <c r="TN168" s="5"/>
      <c r="TO168" s="6"/>
      <c r="TP168" s="4"/>
      <c r="TQ168" s="4"/>
      <c r="TR168" s="4"/>
      <c r="TS168" s="4"/>
      <c r="TT168" s="4"/>
      <c r="TU168" s="5"/>
      <c r="TV168" s="6"/>
      <c r="TW168" s="4"/>
      <c r="TX168" s="4"/>
      <c r="TY168" s="4"/>
      <c r="TZ168" s="4"/>
      <c r="UA168" s="4"/>
      <c r="UB168" s="5"/>
      <c r="UC168" s="6"/>
      <c r="UD168" s="4"/>
      <c r="UE168" s="4"/>
      <c r="UF168" s="4"/>
      <c r="UG168" s="4"/>
      <c r="UH168" s="4"/>
      <c r="UI168" s="5"/>
      <c r="UJ168" s="6"/>
      <c r="UK168" s="4"/>
      <c r="UL168" s="4"/>
      <c r="UM168" s="4"/>
      <c r="UN168" s="4"/>
      <c r="UO168" s="4"/>
      <c r="UP168" s="5"/>
      <c r="UQ168" s="6"/>
      <c r="UR168" s="4"/>
      <c r="US168" s="4"/>
      <c r="UT168" s="4"/>
      <c r="UU168" s="4"/>
      <c r="UV168" s="4"/>
      <c r="UW168" s="5"/>
      <c r="UX168" s="6" t="s">
        <v>2641</v>
      </c>
      <c r="UY168" s="4" t="s">
        <v>2738</v>
      </c>
      <c r="UZ168" s="4"/>
      <c r="VA168" s="4"/>
      <c r="VB168" s="4"/>
      <c r="VC168" s="4"/>
      <c r="VD168" s="5"/>
      <c r="VE168" s="6" t="s">
        <v>635</v>
      </c>
      <c r="VF168" s="4" t="s">
        <v>2862</v>
      </c>
      <c r="VG168" s="4"/>
      <c r="VH168" s="4"/>
      <c r="VI168" s="4"/>
      <c r="VJ168" s="4"/>
      <c r="VK168" s="5"/>
      <c r="VL168" s="6"/>
      <c r="VM168" s="4"/>
      <c r="VN168" s="4"/>
      <c r="VO168" s="4"/>
      <c r="VP168" s="4"/>
      <c r="VQ168" s="4"/>
      <c r="VR168" s="5"/>
      <c r="VS168" s="6"/>
      <c r="VT168" s="4"/>
      <c r="VU168" s="4"/>
      <c r="VV168" s="4"/>
      <c r="VW168" s="4"/>
      <c r="VX168" s="4"/>
      <c r="VY168" s="5"/>
      <c r="VZ168" s="6"/>
      <c r="WA168" s="4"/>
      <c r="WB168" s="4"/>
      <c r="WC168" s="4"/>
      <c r="WD168" s="4"/>
      <c r="WE168" s="4"/>
      <c r="WF168" s="5"/>
      <c r="WG168" s="6"/>
      <c r="WH168" s="4"/>
      <c r="WI168" s="4"/>
      <c r="WJ168" s="4"/>
      <c r="WK168" s="4"/>
      <c r="WL168" s="4"/>
      <c r="WM168" s="5"/>
      <c r="WN168" s="6"/>
      <c r="WO168" s="4"/>
      <c r="WP168" s="4"/>
      <c r="WQ168" s="4"/>
      <c r="WR168" s="4"/>
      <c r="WS168" s="4"/>
      <c r="WT168" s="5"/>
      <c r="WU168" s="6"/>
      <c r="WV168" s="4"/>
      <c r="WW168" s="4"/>
      <c r="WX168" s="4"/>
      <c r="WY168" s="4"/>
      <c r="WZ168" s="4"/>
      <c r="XA168" s="5"/>
      <c r="XB168" s="6"/>
      <c r="XC168" s="4"/>
      <c r="XD168" s="4"/>
      <c r="XE168" s="4"/>
      <c r="XF168" s="4"/>
      <c r="XG168" s="4"/>
      <c r="XH168" s="5"/>
      <c r="XI168" s="6"/>
      <c r="XJ168" s="4"/>
      <c r="XK168" s="4"/>
      <c r="XL168" s="4"/>
      <c r="XM168" s="4"/>
      <c r="XN168" s="4"/>
      <c r="XO168" s="5"/>
      <c r="XP168" s="6"/>
      <c r="XQ168" s="4"/>
      <c r="XR168" s="4"/>
      <c r="XS168" s="4"/>
      <c r="XT168" s="4"/>
      <c r="XU168" s="4"/>
      <c r="XV168" s="5"/>
      <c r="XW168" s="6" t="s">
        <v>636</v>
      </c>
      <c r="XX168" s="4" t="s">
        <v>637</v>
      </c>
      <c r="XY168" s="4"/>
      <c r="XZ168" s="4"/>
      <c r="YA168" s="4"/>
      <c r="YB168" s="4"/>
      <c r="YC168" s="5"/>
      <c r="YD168" s="6"/>
      <c r="YE168" s="4"/>
      <c r="YF168" s="4"/>
      <c r="YG168" s="4"/>
      <c r="YH168" s="4"/>
      <c r="YI168" s="4"/>
      <c r="YJ168" s="5"/>
      <c r="YK168" s="6"/>
      <c r="YL168" s="4"/>
      <c r="YM168" s="4"/>
      <c r="YN168" s="4"/>
      <c r="YO168" s="4"/>
      <c r="YP168" s="4"/>
      <c r="YQ168" s="5"/>
      <c r="YR168" s="6"/>
      <c r="YS168" s="4"/>
      <c r="YT168" s="4"/>
      <c r="YU168" s="4"/>
      <c r="YV168" s="4"/>
      <c r="YW168" s="4"/>
      <c r="YX168" s="5"/>
      <c r="YY168" s="6"/>
      <c r="YZ168" s="4"/>
      <c r="ZA168" s="4"/>
      <c r="ZB168" s="4"/>
      <c r="ZC168" s="4"/>
      <c r="ZD168" s="4"/>
      <c r="ZE168" s="5"/>
      <c r="ZF168" s="6"/>
      <c r="ZG168" s="4"/>
      <c r="ZH168" s="4"/>
      <c r="ZI168" s="4"/>
      <c r="ZJ168" s="4"/>
      <c r="ZK168" s="4"/>
      <c r="ZL168" s="5"/>
      <c r="ZM168" s="6" t="s">
        <v>1012</v>
      </c>
      <c r="ZN168" s="4" t="s">
        <v>1013</v>
      </c>
      <c r="ZO168" s="4"/>
      <c r="ZP168" s="4"/>
      <c r="ZQ168" s="4"/>
      <c r="ZR168" s="4"/>
      <c r="ZS168" s="5"/>
      <c r="ZT168" s="6"/>
      <c r="ZU168" s="4"/>
      <c r="ZV168" s="4"/>
      <c r="ZW168" s="4"/>
      <c r="ZX168" s="4"/>
      <c r="ZY168" s="4"/>
      <c r="ZZ168" s="5"/>
      <c r="AAA168" s="6"/>
      <c r="AAB168" s="4"/>
      <c r="AAC168" s="4"/>
      <c r="AAD168" s="4"/>
      <c r="AAE168" s="4"/>
      <c r="AAF168" s="4"/>
      <c r="AAG168" s="5"/>
      <c r="AAH168" s="6" t="s">
        <v>2889</v>
      </c>
      <c r="AAI168" s="4" t="s">
        <v>2889</v>
      </c>
      <c r="AAJ168" s="4"/>
      <c r="AAK168" s="4"/>
      <c r="AAL168" s="4"/>
      <c r="AAM168" s="4"/>
      <c r="AAN168" s="5"/>
      <c r="AAO168" s="6"/>
      <c r="AAP168" s="4"/>
      <c r="AAQ168" s="4"/>
      <c r="AAR168" s="4"/>
      <c r="AAS168" s="4"/>
      <c r="AAT168" s="4"/>
      <c r="AAU168" s="5"/>
      <c r="AAV168" s="6"/>
      <c r="AAW168" s="4"/>
      <c r="AAX168" s="4"/>
      <c r="AAY168" s="4"/>
      <c r="AAZ168" s="4"/>
      <c r="ABA168" s="4"/>
      <c r="ABB168" s="5"/>
      <c r="ABC168" s="6"/>
      <c r="ABD168" s="4"/>
      <c r="ABE168" s="4"/>
      <c r="ABF168" s="4"/>
      <c r="ABG168" s="4"/>
      <c r="ABH168" s="4"/>
      <c r="ABI168" s="5"/>
      <c r="ABJ168" s="6"/>
      <c r="ABK168" s="4"/>
      <c r="ABL168" s="4"/>
      <c r="ABM168" s="4"/>
      <c r="ABN168" s="4"/>
      <c r="ABO168" s="4"/>
      <c r="ABP168" s="5"/>
      <c r="ABQ168" s="6"/>
      <c r="ABR168" s="4"/>
      <c r="ABS168" s="4"/>
      <c r="ABT168" s="4"/>
      <c r="ABU168" s="4"/>
      <c r="ABV168" s="4"/>
      <c r="ABW168" s="5"/>
      <c r="ABX168" s="6"/>
      <c r="ABY168" s="4"/>
      <c r="ABZ168" s="4"/>
      <c r="ACA168" s="4"/>
      <c r="ACB168" s="4"/>
      <c r="ACC168" s="4"/>
      <c r="ACD168" s="5"/>
      <c r="ACE168" s="6"/>
      <c r="ACF168" s="4"/>
      <c r="ACG168" s="4"/>
      <c r="ACH168" s="4"/>
      <c r="ACI168" s="4"/>
      <c r="ACJ168" s="4"/>
      <c r="ACK168" s="5"/>
      <c r="ACL168" s="6" t="s">
        <v>638</v>
      </c>
      <c r="ACM168" s="4" t="s">
        <v>2719</v>
      </c>
      <c r="ACN168" s="4"/>
      <c r="ACO168" s="4"/>
      <c r="ACP168" s="4"/>
      <c r="ACQ168" s="4"/>
      <c r="ACR168" s="5"/>
      <c r="ACS168" s="6"/>
      <c r="ACT168" s="4"/>
      <c r="ACU168" s="4"/>
      <c r="ACV168" s="4"/>
      <c r="ACW168" s="4"/>
      <c r="ACX168" s="4"/>
      <c r="ACY168" s="5"/>
    </row>
    <row r="169" spans="2:779" x14ac:dyDescent="0.25">
      <c r="B169" s="30"/>
      <c r="J169" s="12"/>
      <c r="K169" s="12"/>
      <c r="L169" s="12"/>
      <c r="LL169" s="6"/>
      <c r="LM169" s="4"/>
      <c r="LN169" s="4"/>
      <c r="LO169" s="4"/>
      <c r="LP169" s="4"/>
      <c r="LQ169" s="4"/>
      <c r="LR169" s="5"/>
      <c r="LS169" s="6"/>
      <c r="LT169" s="4"/>
      <c r="LU169" s="4"/>
      <c r="LV169" s="4"/>
      <c r="LW169" s="4"/>
      <c r="LX169" s="4"/>
      <c r="LY169" s="5"/>
      <c r="LZ169" s="6" t="s">
        <v>2064</v>
      </c>
      <c r="MA169" s="7" t="s">
        <v>2375</v>
      </c>
      <c r="MB169" s="4"/>
      <c r="MC169" s="4"/>
      <c r="MD169" s="8"/>
      <c r="ME169" s="4"/>
      <c r="MF169" s="4" t="s">
        <v>611</v>
      </c>
      <c r="MG169" s="5"/>
      <c r="MH169" s="6"/>
      <c r="MI169" s="4"/>
      <c r="MJ169" s="4"/>
      <c r="MK169" s="4"/>
      <c r="ML169" s="4"/>
      <c r="MM169" s="4"/>
      <c r="MN169" s="5"/>
      <c r="MO169" s="6"/>
      <c r="MP169" s="4"/>
      <c r="MQ169" s="4"/>
      <c r="MR169" s="4"/>
      <c r="MS169" s="4"/>
      <c r="MT169" s="4"/>
      <c r="MU169" s="5"/>
      <c r="MV169" s="6"/>
      <c r="MW169" s="4"/>
      <c r="MX169" s="4"/>
      <c r="MY169" s="4"/>
      <c r="MZ169" s="4"/>
      <c r="NA169" s="4"/>
      <c r="NB169" s="5"/>
      <c r="NC169" s="6"/>
      <c r="ND169" s="4"/>
      <c r="NE169" s="4"/>
      <c r="NF169" s="4"/>
      <c r="NG169" s="4"/>
      <c r="NH169" s="4"/>
      <c r="NI169" s="5"/>
      <c r="NJ169" s="6"/>
      <c r="NK169" s="4"/>
      <c r="NL169" s="4"/>
      <c r="NM169" s="4"/>
      <c r="NN169" s="4"/>
      <c r="NO169" s="4"/>
      <c r="NP169" s="5"/>
      <c r="NQ169" s="6"/>
      <c r="NR169" s="4"/>
      <c r="NS169" s="4"/>
      <c r="NT169" s="4"/>
      <c r="NU169" s="4"/>
      <c r="NV169" s="4"/>
      <c r="NW169" s="5"/>
      <c r="NX169" s="6"/>
      <c r="NY169" s="4"/>
      <c r="NZ169" s="4"/>
      <c r="OA169" s="4"/>
      <c r="OB169" s="4"/>
      <c r="OC169" s="4"/>
      <c r="OD169" s="5"/>
      <c r="OE169" s="6"/>
      <c r="OF169" s="4"/>
      <c r="OG169" s="4"/>
      <c r="OH169" s="4"/>
      <c r="OI169" s="4"/>
      <c r="OJ169" s="4"/>
      <c r="OK169" s="5"/>
      <c r="OL169" s="6"/>
      <c r="OM169" s="4"/>
      <c r="ON169" s="4"/>
      <c r="OO169" s="4"/>
      <c r="OP169" s="4"/>
      <c r="OQ169" s="4"/>
      <c r="OR169" s="5"/>
      <c r="OS169" s="6"/>
      <c r="OT169" s="4"/>
      <c r="OU169" s="4"/>
      <c r="OV169" s="4"/>
      <c r="OW169" s="4"/>
      <c r="OX169" s="4"/>
      <c r="OY169" s="5"/>
      <c r="OZ169" s="6"/>
      <c r="PA169" s="4"/>
      <c r="PB169" s="4"/>
      <c r="PC169" s="4"/>
      <c r="PD169" s="4"/>
      <c r="PE169" s="4"/>
      <c r="PF169" s="5"/>
      <c r="PG169" s="6"/>
      <c r="PH169" s="4"/>
      <c r="PI169" s="4"/>
      <c r="PJ169" s="4"/>
      <c r="PK169" s="4"/>
      <c r="PL169" s="4"/>
      <c r="PM169" s="5"/>
      <c r="PN169" s="6"/>
      <c r="PO169" s="4"/>
      <c r="PP169" s="4"/>
      <c r="PQ169" s="4"/>
      <c r="PR169" s="4"/>
      <c r="PS169" s="4"/>
      <c r="PT169" s="5"/>
      <c r="PU169" s="6"/>
      <c r="PV169" s="4"/>
      <c r="PW169" s="4"/>
      <c r="PX169" s="4"/>
      <c r="PY169" s="4"/>
      <c r="PZ169" s="4"/>
      <c r="QA169" s="5"/>
      <c r="QB169" s="6"/>
      <c r="QC169" s="4"/>
      <c r="QD169" s="4"/>
      <c r="QE169" s="4"/>
      <c r="QF169" s="4"/>
      <c r="QG169" s="4"/>
      <c r="QH169" s="5"/>
      <c r="QI169" s="6"/>
      <c r="QJ169" s="4"/>
      <c r="QK169" s="4"/>
      <c r="QL169" s="4"/>
      <c r="QM169" s="4"/>
      <c r="QN169" s="4"/>
      <c r="QO169" s="5"/>
      <c r="QP169" s="6"/>
      <c r="QQ169" s="4"/>
      <c r="QR169" s="4"/>
      <c r="QS169" s="4"/>
      <c r="QT169" s="4"/>
      <c r="QU169" s="4"/>
      <c r="QV169" s="5"/>
      <c r="QW169" s="6"/>
      <c r="QX169" s="4"/>
      <c r="QY169" s="4"/>
      <c r="QZ169" s="4"/>
      <c r="RA169" s="4"/>
      <c r="RB169" s="4"/>
      <c r="RC169" s="5"/>
      <c r="RD169" s="6"/>
      <c r="RE169" s="4"/>
      <c r="RF169" s="4"/>
      <c r="RG169" s="4"/>
      <c r="RH169" s="4"/>
      <c r="RI169" s="4"/>
      <c r="RJ169" s="5"/>
      <c r="RK169" s="6" t="s">
        <v>780</v>
      </c>
      <c r="RL169" s="4" t="s">
        <v>781</v>
      </c>
      <c r="RM169" s="4"/>
      <c r="RN169" s="4"/>
      <c r="RO169" s="4"/>
      <c r="RP169" s="4"/>
      <c r="RQ169" s="5"/>
      <c r="RR169" s="6"/>
      <c r="RS169" s="4"/>
      <c r="RT169" s="4"/>
      <c r="RU169" s="4"/>
      <c r="RV169" s="4"/>
      <c r="RW169" s="4"/>
      <c r="RX169" s="5"/>
      <c r="RY169" s="6"/>
      <c r="RZ169" s="4"/>
      <c r="SA169" s="4"/>
      <c r="SB169" s="4"/>
      <c r="SC169" s="4"/>
      <c r="SD169" s="4"/>
      <c r="SE169" s="5"/>
      <c r="SF169" s="6"/>
      <c r="SG169" s="4"/>
      <c r="SH169" s="4"/>
      <c r="SI169" s="4"/>
      <c r="SJ169" s="4"/>
      <c r="SK169" s="4"/>
      <c r="SL169" s="5"/>
      <c r="SM169" s="6"/>
      <c r="SN169" s="4"/>
      <c r="SO169" s="4"/>
      <c r="SP169" s="4"/>
      <c r="SQ169" s="4"/>
      <c r="SR169" s="4"/>
      <c r="SS169" s="5"/>
      <c r="ST169" s="6"/>
      <c r="SU169" s="4"/>
      <c r="SV169" s="4"/>
      <c r="SW169" s="4"/>
      <c r="SX169" s="4"/>
      <c r="SY169" s="4"/>
      <c r="SZ169" s="5"/>
      <c r="TA169" s="6"/>
      <c r="TB169" s="4"/>
      <c r="TC169" s="4"/>
      <c r="TD169" s="4"/>
      <c r="TE169" s="4"/>
      <c r="TF169" s="4"/>
      <c r="TG169" s="5"/>
      <c r="TH169" s="6"/>
      <c r="TI169" s="4"/>
      <c r="TJ169" s="4"/>
      <c r="TK169" s="4"/>
      <c r="TL169" s="4"/>
      <c r="TM169" s="4"/>
      <c r="TN169" s="5"/>
      <c r="TO169" s="6"/>
      <c r="TP169" s="4"/>
      <c r="TQ169" s="4"/>
      <c r="TR169" s="4"/>
      <c r="TS169" s="4"/>
      <c r="TT169" s="4"/>
      <c r="TU169" s="5"/>
      <c r="TV169" s="6"/>
      <c r="TW169" s="4"/>
      <c r="TX169" s="4"/>
      <c r="TY169" s="4"/>
      <c r="TZ169" s="4"/>
      <c r="UA169" s="4"/>
      <c r="UB169" s="5"/>
      <c r="UC169" s="6"/>
      <c r="UD169" s="4"/>
      <c r="UE169" s="4"/>
      <c r="UF169" s="4"/>
      <c r="UG169" s="4"/>
      <c r="UH169" s="4"/>
      <c r="UI169" s="5"/>
      <c r="UJ169" s="6"/>
      <c r="UK169" s="4"/>
      <c r="UL169" s="4"/>
      <c r="UM169" s="4"/>
      <c r="UN169" s="4"/>
      <c r="UO169" s="4"/>
      <c r="UP169" s="5"/>
      <c r="UQ169" s="6"/>
      <c r="UR169" s="4"/>
      <c r="US169" s="4"/>
      <c r="UT169" s="4"/>
      <c r="UU169" s="4"/>
      <c r="UV169" s="4"/>
      <c r="UW169" s="5"/>
      <c r="UX169" s="6" t="s">
        <v>782</v>
      </c>
      <c r="UY169" s="4" t="s">
        <v>783</v>
      </c>
      <c r="UZ169" s="4"/>
      <c r="VA169" s="4"/>
      <c r="VB169" s="4"/>
      <c r="VC169" s="4"/>
      <c r="VD169" s="5"/>
      <c r="VE169" s="6"/>
      <c r="VF169" s="4"/>
      <c r="VG169" s="4"/>
      <c r="VH169" s="4"/>
      <c r="VI169" s="4"/>
      <c r="VJ169" s="4"/>
      <c r="VK169" s="5"/>
      <c r="VL169" s="6"/>
      <c r="VM169" s="4"/>
      <c r="VN169" s="4"/>
      <c r="VO169" s="4"/>
      <c r="VP169" s="4"/>
      <c r="VQ169" s="4"/>
      <c r="VR169" s="5"/>
      <c r="VS169" s="6"/>
      <c r="VT169" s="4"/>
      <c r="VU169" s="4"/>
      <c r="VV169" s="4"/>
      <c r="VW169" s="4"/>
      <c r="VX169" s="4"/>
      <c r="VY169" s="5"/>
      <c r="VZ169" s="6"/>
      <c r="WA169" s="4"/>
      <c r="WB169" s="4"/>
      <c r="WC169" s="4"/>
      <c r="WD169" s="4"/>
      <c r="WE169" s="4"/>
      <c r="WF169" s="5"/>
      <c r="WG169" s="6"/>
      <c r="WH169" s="4"/>
      <c r="WI169" s="4"/>
      <c r="WJ169" s="4"/>
      <c r="WK169" s="4"/>
      <c r="WL169" s="4"/>
      <c r="WM169" s="5"/>
      <c r="WN169" s="6"/>
      <c r="WO169" s="4"/>
      <c r="WP169" s="4"/>
      <c r="WQ169" s="4"/>
      <c r="WR169" s="4"/>
      <c r="WS169" s="4"/>
      <c r="WT169" s="5"/>
      <c r="WU169" s="6"/>
      <c r="WV169" s="4"/>
      <c r="WW169" s="4"/>
      <c r="WX169" s="4"/>
      <c r="WY169" s="4"/>
      <c r="WZ169" s="4"/>
      <c r="XA169" s="5"/>
      <c r="XB169" s="6"/>
      <c r="XC169" s="4"/>
      <c r="XD169" s="4"/>
      <c r="XE169" s="4"/>
      <c r="XF169" s="4"/>
      <c r="XG169" s="4"/>
      <c r="XH169" s="5"/>
      <c r="XI169" s="6"/>
      <c r="XJ169" s="4"/>
      <c r="XK169" s="4"/>
      <c r="XL169" s="4"/>
      <c r="XM169" s="4"/>
      <c r="XN169" s="4"/>
      <c r="XO169" s="5"/>
      <c r="XP169" s="6"/>
      <c r="XQ169" s="4"/>
      <c r="XR169" s="4"/>
      <c r="XS169" s="4"/>
      <c r="XT169" s="4"/>
      <c r="XU169" s="4"/>
      <c r="XV169" s="5"/>
      <c r="XW169" s="6"/>
      <c r="XX169" s="4"/>
      <c r="XY169" s="4"/>
      <c r="XZ169" s="4"/>
      <c r="YA169" s="4"/>
      <c r="YB169" s="4"/>
      <c r="YC169" s="5"/>
      <c r="YD169" s="6"/>
      <c r="YE169" s="4"/>
      <c r="YF169" s="4"/>
      <c r="YG169" s="4"/>
      <c r="YH169" s="4"/>
      <c r="YI169" s="4"/>
      <c r="YJ169" s="5"/>
      <c r="YK169" s="6"/>
      <c r="YL169" s="4"/>
      <c r="YM169" s="4"/>
      <c r="YN169" s="4"/>
      <c r="YO169" s="4"/>
      <c r="YP169" s="4"/>
      <c r="YQ169" s="5"/>
      <c r="YR169" s="6"/>
      <c r="YS169" s="4"/>
      <c r="YT169" s="4"/>
      <c r="YU169" s="4"/>
      <c r="YV169" s="4"/>
      <c r="YW169" s="4"/>
      <c r="YX169" s="5"/>
      <c r="YY169" s="6"/>
      <c r="YZ169" s="4"/>
      <c r="ZA169" s="4"/>
      <c r="ZB169" s="4"/>
      <c r="ZC169" s="4"/>
      <c r="ZD169" s="4"/>
      <c r="ZE169" s="5"/>
      <c r="ZF169" s="6"/>
      <c r="ZG169" s="4"/>
      <c r="ZH169" s="4"/>
      <c r="ZI169" s="4"/>
      <c r="ZJ169" s="4"/>
      <c r="ZK169" s="4"/>
      <c r="ZL169" s="5"/>
      <c r="ZM169" s="6"/>
      <c r="ZN169" s="4"/>
      <c r="ZO169" s="4"/>
      <c r="ZP169" s="4"/>
      <c r="ZQ169" s="4"/>
      <c r="ZR169" s="4"/>
      <c r="ZS169" s="5"/>
      <c r="ZT169" s="6"/>
      <c r="ZU169" s="4"/>
      <c r="ZV169" s="4"/>
      <c r="ZW169" s="4"/>
      <c r="ZX169" s="4"/>
      <c r="ZY169" s="4"/>
      <c r="ZZ169" s="5"/>
      <c r="AAA169" s="6"/>
      <c r="AAB169" s="4"/>
      <c r="AAC169" s="4"/>
      <c r="AAD169" s="4"/>
      <c r="AAE169" s="4"/>
      <c r="AAF169" s="4"/>
      <c r="AAG169" s="5"/>
      <c r="AAH169" s="6" t="s">
        <v>784</v>
      </c>
      <c r="AAI169" s="4" t="s">
        <v>2955</v>
      </c>
      <c r="AAJ169" s="4"/>
      <c r="AAK169" s="4"/>
      <c r="AAL169" s="4"/>
      <c r="AAM169" s="4"/>
      <c r="AAN169" s="5"/>
      <c r="AAO169" s="6"/>
      <c r="AAP169" s="4"/>
      <c r="AAQ169" s="4"/>
      <c r="AAR169" s="4"/>
      <c r="AAS169" s="4"/>
      <c r="AAT169" s="4"/>
      <c r="AAU169" s="5"/>
      <c r="AAV169" s="6"/>
      <c r="AAW169" s="4"/>
      <c r="AAX169" s="4"/>
      <c r="AAY169" s="4"/>
      <c r="AAZ169" s="4"/>
      <c r="ABA169" s="4"/>
      <c r="ABB169" s="5"/>
      <c r="ABC169" s="6"/>
      <c r="ABD169" s="4"/>
      <c r="ABE169" s="4"/>
      <c r="ABF169" s="4"/>
      <c r="ABG169" s="4"/>
      <c r="ABH169" s="4"/>
      <c r="ABI169" s="5"/>
      <c r="ABJ169" s="6"/>
      <c r="ABK169" s="4"/>
      <c r="ABL169" s="4"/>
      <c r="ABM169" s="4"/>
      <c r="ABN169" s="4"/>
      <c r="ABO169" s="4"/>
      <c r="ABP169" s="5"/>
      <c r="ABQ169" s="6"/>
      <c r="ABR169" s="4"/>
      <c r="ABS169" s="4"/>
      <c r="ABT169" s="4"/>
      <c r="ABU169" s="4"/>
      <c r="ABV169" s="4"/>
      <c r="ABW169" s="5"/>
      <c r="ABX169" s="6"/>
      <c r="ABY169" s="4"/>
      <c r="ABZ169" s="4"/>
      <c r="ACA169" s="4"/>
      <c r="ACB169" s="4"/>
      <c r="ACC169" s="4"/>
      <c r="ACD169" s="5"/>
      <c r="ACE169" s="6"/>
      <c r="ACF169" s="4"/>
      <c r="ACG169" s="4"/>
      <c r="ACH169" s="4"/>
      <c r="ACI169" s="4"/>
      <c r="ACJ169" s="4"/>
      <c r="ACK169" s="5"/>
      <c r="ACL169" s="6"/>
      <c r="ACM169" s="4"/>
      <c r="ACN169" s="4"/>
      <c r="ACO169" s="4"/>
      <c r="ACP169" s="4"/>
      <c r="ACQ169" s="4"/>
      <c r="ACR169" s="5"/>
      <c r="ACS169" s="6"/>
      <c r="ACT169" s="4"/>
      <c r="ACU169" s="4"/>
      <c r="ACV169" s="4"/>
      <c r="ACW169" s="4"/>
      <c r="ACX169" s="4"/>
      <c r="ACY169" s="5"/>
    </row>
    <row r="170" spans="2:779" x14ac:dyDescent="0.25">
      <c r="B170" s="30"/>
      <c r="J170" s="12"/>
      <c r="K170" s="12"/>
      <c r="L170" s="12"/>
      <c r="LL170" s="6"/>
      <c r="LM170" s="4"/>
      <c r="LN170" s="4"/>
      <c r="LO170" s="4"/>
      <c r="LP170" s="4"/>
      <c r="LQ170" s="4"/>
      <c r="LR170" s="5"/>
      <c r="LS170" s="6"/>
      <c r="LT170" s="4"/>
      <c r="LU170" s="4"/>
      <c r="LV170" s="4"/>
      <c r="LW170" s="4"/>
      <c r="LX170" s="4"/>
      <c r="LY170" s="5"/>
      <c r="LZ170" s="6" t="s">
        <v>2156</v>
      </c>
      <c r="MA170" s="7" t="s">
        <v>2157</v>
      </c>
      <c r="MB170" s="4"/>
      <c r="MC170" s="4"/>
      <c r="MD170" s="8"/>
      <c r="ME170" s="4"/>
      <c r="MF170" s="4"/>
      <c r="MG170" s="5"/>
      <c r="MH170" s="6"/>
      <c r="MI170" s="4"/>
      <c r="MJ170" s="4"/>
      <c r="MK170" s="4"/>
      <c r="ML170" s="4"/>
      <c r="MM170" s="4"/>
      <c r="MN170" s="5"/>
      <c r="MO170" s="6"/>
      <c r="MP170" s="4"/>
      <c r="MQ170" s="4"/>
      <c r="MR170" s="4"/>
      <c r="MS170" s="4"/>
      <c r="MT170" s="4"/>
      <c r="MU170" s="5"/>
      <c r="MV170" s="6"/>
      <c r="MW170" s="4"/>
      <c r="MX170" s="4"/>
      <c r="MY170" s="4"/>
      <c r="MZ170" s="4"/>
      <c r="NA170" s="4"/>
      <c r="NB170" s="5"/>
      <c r="NC170" s="6"/>
      <c r="ND170" s="4"/>
      <c r="NE170" s="4"/>
      <c r="NF170" s="4"/>
      <c r="NG170" s="4"/>
      <c r="NH170" s="4"/>
      <c r="NI170" s="5"/>
      <c r="NJ170" s="6"/>
      <c r="NK170" s="4"/>
      <c r="NL170" s="4"/>
      <c r="NM170" s="4"/>
      <c r="NN170" s="4"/>
      <c r="NO170" s="4"/>
      <c r="NP170" s="5"/>
      <c r="NQ170" s="6"/>
      <c r="NR170" s="4"/>
      <c r="NS170" s="4"/>
      <c r="NT170" s="4"/>
      <c r="NU170" s="4"/>
      <c r="NV170" s="4"/>
      <c r="NW170" s="5"/>
      <c r="NX170" s="6"/>
      <c r="NY170" s="4"/>
      <c r="NZ170" s="4"/>
      <c r="OA170" s="4"/>
      <c r="OB170" s="4"/>
      <c r="OC170" s="4"/>
      <c r="OD170" s="5"/>
      <c r="OE170" s="6"/>
      <c r="OF170" s="4"/>
      <c r="OG170" s="4"/>
      <c r="OH170" s="4"/>
      <c r="OI170" s="4"/>
      <c r="OJ170" s="4"/>
      <c r="OK170" s="5"/>
      <c r="OL170" s="6"/>
      <c r="OM170" s="4"/>
      <c r="ON170" s="4"/>
      <c r="OO170" s="4"/>
      <c r="OP170" s="4"/>
      <c r="OQ170" s="4"/>
      <c r="OR170" s="5"/>
      <c r="OS170" s="6"/>
      <c r="OT170" s="4"/>
      <c r="OU170" s="4"/>
      <c r="OV170" s="4"/>
      <c r="OW170" s="4"/>
      <c r="OX170" s="4"/>
      <c r="OY170" s="5"/>
      <c r="OZ170" s="6"/>
      <c r="PA170" s="4"/>
      <c r="PB170" s="4"/>
      <c r="PC170" s="4"/>
      <c r="PD170" s="4"/>
      <c r="PE170" s="4"/>
      <c r="PF170" s="5"/>
      <c r="PG170" s="6"/>
      <c r="PH170" s="4"/>
      <c r="PI170" s="4"/>
      <c r="PJ170" s="4"/>
      <c r="PK170" s="4"/>
      <c r="PL170" s="4"/>
      <c r="PM170" s="5"/>
      <c r="PN170" s="6"/>
      <c r="PO170" s="4"/>
      <c r="PP170" s="4"/>
      <c r="PQ170" s="4"/>
      <c r="PR170" s="4"/>
      <c r="PS170" s="4"/>
      <c r="PT170" s="5"/>
      <c r="PU170" s="6"/>
      <c r="PV170" s="4"/>
      <c r="PW170" s="4"/>
      <c r="PX170" s="4"/>
      <c r="PY170" s="4"/>
      <c r="PZ170" s="4"/>
      <c r="QA170" s="5"/>
      <c r="QB170" s="6"/>
      <c r="QC170" s="4"/>
      <c r="QD170" s="4"/>
      <c r="QE170" s="4"/>
      <c r="QF170" s="4"/>
      <c r="QG170" s="4"/>
      <c r="QH170" s="5"/>
      <c r="QI170" s="6"/>
      <c r="QJ170" s="4"/>
      <c r="QK170" s="4"/>
      <c r="QL170" s="4"/>
      <c r="QM170" s="4"/>
      <c r="QN170" s="4"/>
      <c r="QO170" s="5"/>
      <c r="QP170" s="6"/>
      <c r="QQ170" s="4"/>
      <c r="QR170" s="4"/>
      <c r="QS170" s="4"/>
      <c r="QT170" s="4"/>
      <c r="QU170" s="4"/>
      <c r="QV170" s="5"/>
      <c r="QW170" s="6"/>
      <c r="QX170" s="4"/>
      <c r="QY170" s="4"/>
      <c r="QZ170" s="4"/>
      <c r="RA170" s="4"/>
      <c r="RB170" s="4"/>
      <c r="RC170" s="5"/>
      <c r="RD170" s="6"/>
      <c r="RE170" s="4"/>
      <c r="RF170" s="4"/>
      <c r="RG170" s="4"/>
      <c r="RH170" s="4"/>
      <c r="RI170" s="4"/>
      <c r="RJ170" s="5"/>
      <c r="RK170" s="6"/>
      <c r="RL170" s="4"/>
      <c r="RM170" s="4"/>
      <c r="RN170" s="4"/>
      <c r="RO170" s="4"/>
      <c r="RP170" s="4"/>
      <c r="RQ170" s="5"/>
      <c r="RR170" s="6"/>
      <c r="RS170" s="4"/>
      <c r="RT170" s="4"/>
      <c r="RU170" s="4"/>
      <c r="RV170" s="4"/>
      <c r="RW170" s="4"/>
      <c r="RX170" s="5"/>
      <c r="RY170" s="6"/>
      <c r="RZ170" s="4"/>
      <c r="SA170" s="4"/>
      <c r="SB170" s="4"/>
      <c r="SC170" s="4"/>
      <c r="SD170" s="4"/>
      <c r="SE170" s="5"/>
      <c r="SF170" s="6"/>
      <c r="SG170" s="4"/>
      <c r="SH170" s="4"/>
      <c r="SI170" s="4"/>
      <c r="SJ170" s="4"/>
      <c r="SK170" s="4"/>
      <c r="SL170" s="5"/>
      <c r="SM170" s="6"/>
      <c r="SN170" s="4"/>
      <c r="SO170" s="4"/>
      <c r="SP170" s="4"/>
      <c r="SQ170" s="4"/>
      <c r="SR170" s="4"/>
      <c r="SS170" s="5"/>
      <c r="ST170" s="6"/>
      <c r="SU170" s="4"/>
      <c r="SV170" s="4"/>
      <c r="SW170" s="4"/>
      <c r="SX170" s="4"/>
      <c r="SY170" s="4"/>
      <c r="SZ170" s="5"/>
      <c r="TA170" s="6"/>
      <c r="TB170" s="4"/>
      <c r="TC170" s="4"/>
      <c r="TD170" s="4"/>
      <c r="TE170" s="4"/>
      <c r="TF170" s="4"/>
      <c r="TG170" s="5"/>
      <c r="TH170" s="6"/>
      <c r="TI170" s="4"/>
      <c r="TJ170" s="4"/>
      <c r="TK170" s="4"/>
      <c r="TL170" s="4"/>
      <c r="TM170" s="4"/>
      <c r="TN170" s="5"/>
      <c r="TO170" s="6"/>
      <c r="TP170" s="4"/>
      <c r="TQ170" s="4"/>
      <c r="TR170" s="4"/>
      <c r="TS170" s="4"/>
      <c r="TT170" s="4"/>
      <c r="TU170" s="5"/>
      <c r="TV170" s="6"/>
      <c r="TW170" s="4"/>
      <c r="TX170" s="4"/>
      <c r="TY170" s="4"/>
      <c r="TZ170" s="4"/>
      <c r="UA170" s="4"/>
      <c r="UB170" s="5"/>
      <c r="UC170" s="6"/>
      <c r="UD170" s="4"/>
      <c r="UE170" s="4"/>
      <c r="UF170" s="4"/>
      <c r="UG170" s="4"/>
      <c r="UH170" s="4"/>
      <c r="UI170" s="5"/>
      <c r="UJ170" s="6"/>
      <c r="UK170" s="4"/>
      <c r="UL170" s="4"/>
      <c r="UM170" s="4"/>
      <c r="UN170" s="4"/>
      <c r="UO170" s="4"/>
      <c r="UP170" s="5"/>
      <c r="UQ170" s="6"/>
      <c r="UR170" s="4"/>
      <c r="US170" s="4"/>
      <c r="UT170" s="4"/>
      <c r="UU170" s="4"/>
      <c r="UV170" s="4"/>
      <c r="UW170" s="5"/>
      <c r="UX170" s="6"/>
      <c r="UY170" s="4"/>
      <c r="UZ170" s="4"/>
      <c r="VA170" s="4"/>
      <c r="VB170" s="4"/>
      <c r="VC170" s="4"/>
      <c r="VD170" s="5"/>
      <c r="VE170" s="6"/>
      <c r="VF170" s="4"/>
      <c r="VG170" s="4"/>
      <c r="VH170" s="4"/>
      <c r="VI170" s="4"/>
      <c r="VJ170" s="4"/>
      <c r="VK170" s="5"/>
      <c r="VL170" s="6"/>
      <c r="VM170" s="4"/>
      <c r="VN170" s="4"/>
      <c r="VO170" s="4"/>
      <c r="VP170" s="4"/>
      <c r="VQ170" s="4"/>
      <c r="VR170" s="5"/>
      <c r="VS170" s="6"/>
      <c r="VT170" s="4"/>
      <c r="VU170" s="4"/>
      <c r="VV170" s="4"/>
      <c r="VW170" s="4"/>
      <c r="VX170" s="4"/>
      <c r="VY170" s="5"/>
      <c r="VZ170" s="6"/>
      <c r="WA170" s="4"/>
      <c r="WB170" s="4"/>
      <c r="WC170" s="4"/>
      <c r="WD170" s="4"/>
      <c r="WE170" s="4"/>
      <c r="WF170" s="5"/>
      <c r="WG170" s="6"/>
      <c r="WH170" s="4"/>
      <c r="WI170" s="4"/>
      <c r="WJ170" s="4"/>
      <c r="WK170" s="4"/>
      <c r="WL170" s="4"/>
      <c r="WM170" s="5"/>
      <c r="WN170" s="6"/>
      <c r="WO170" s="4"/>
      <c r="WP170" s="4"/>
      <c r="WQ170" s="4"/>
      <c r="WR170" s="4"/>
      <c r="WS170" s="4"/>
      <c r="WT170" s="5"/>
      <c r="WU170" s="6"/>
      <c r="WV170" s="4"/>
      <c r="WW170" s="4"/>
      <c r="WX170" s="4"/>
      <c r="WY170" s="4"/>
      <c r="WZ170" s="4"/>
      <c r="XA170" s="5"/>
      <c r="XB170" s="6"/>
      <c r="XC170" s="4"/>
      <c r="XD170" s="4"/>
      <c r="XE170" s="4"/>
      <c r="XF170" s="4"/>
      <c r="XG170" s="4"/>
      <c r="XH170" s="5"/>
      <c r="XI170" s="6"/>
      <c r="XJ170" s="4"/>
      <c r="XK170" s="4"/>
      <c r="XL170" s="4"/>
      <c r="XM170" s="4"/>
      <c r="XN170" s="4"/>
      <c r="XO170" s="5"/>
      <c r="XP170" s="6"/>
      <c r="XQ170" s="4"/>
      <c r="XR170" s="4"/>
      <c r="XS170" s="4"/>
      <c r="XT170" s="4"/>
      <c r="XU170" s="4"/>
      <c r="XV170" s="5"/>
      <c r="XW170" s="6"/>
      <c r="XX170" s="4"/>
      <c r="XY170" s="4"/>
      <c r="XZ170" s="4"/>
      <c r="YA170" s="4"/>
      <c r="YB170" s="4"/>
      <c r="YC170" s="5"/>
      <c r="YD170" s="6"/>
      <c r="YE170" s="4"/>
      <c r="YF170" s="4"/>
      <c r="YG170" s="4"/>
      <c r="YH170" s="4"/>
      <c r="YI170" s="4"/>
      <c r="YJ170" s="5"/>
      <c r="YK170" s="6"/>
      <c r="YL170" s="4"/>
      <c r="YM170" s="4"/>
      <c r="YN170" s="4"/>
      <c r="YO170" s="4"/>
      <c r="YP170" s="4"/>
      <c r="YQ170" s="5"/>
      <c r="YR170" s="6"/>
      <c r="YS170" s="4"/>
      <c r="YT170" s="4"/>
      <c r="YU170" s="4"/>
      <c r="YV170" s="4"/>
      <c r="YW170" s="4"/>
      <c r="YX170" s="5"/>
      <c r="YY170" s="6"/>
      <c r="YZ170" s="4"/>
      <c r="ZA170" s="4"/>
      <c r="ZB170" s="4"/>
      <c r="ZC170" s="4"/>
      <c r="ZD170" s="4"/>
      <c r="ZE170" s="5"/>
      <c r="ZF170" s="6"/>
      <c r="ZG170" s="4"/>
      <c r="ZH170" s="4"/>
      <c r="ZI170" s="4"/>
      <c r="ZJ170" s="4"/>
      <c r="ZK170" s="4"/>
      <c r="ZL170" s="5"/>
      <c r="ZM170" s="6"/>
      <c r="ZN170" s="4"/>
      <c r="ZO170" s="4"/>
      <c r="ZP170" s="4"/>
      <c r="ZQ170" s="4"/>
      <c r="ZR170" s="4"/>
      <c r="ZS170" s="5"/>
      <c r="ZT170" s="6"/>
      <c r="ZU170" s="4"/>
      <c r="ZV170" s="4"/>
      <c r="ZW170" s="4"/>
      <c r="ZX170" s="4"/>
      <c r="ZY170" s="4"/>
      <c r="ZZ170" s="5"/>
      <c r="AAA170" s="6"/>
      <c r="AAB170" s="4"/>
      <c r="AAC170" s="4"/>
      <c r="AAD170" s="4"/>
      <c r="AAE170" s="4"/>
      <c r="AAF170" s="4"/>
      <c r="AAG170" s="5"/>
      <c r="AAH170" s="6" t="s">
        <v>1031</v>
      </c>
      <c r="AAI170" s="4" t="s">
        <v>785</v>
      </c>
      <c r="AAJ170" s="4"/>
      <c r="AAK170" s="4"/>
      <c r="AAL170" s="4"/>
      <c r="AAM170" s="4"/>
      <c r="AAN170" s="5"/>
      <c r="AAO170" s="6"/>
      <c r="AAP170" s="4"/>
      <c r="AAQ170" s="4"/>
      <c r="AAR170" s="4"/>
      <c r="AAS170" s="4"/>
      <c r="AAT170" s="4"/>
      <c r="AAU170" s="5"/>
      <c r="AAV170" s="6"/>
      <c r="AAW170" s="4"/>
      <c r="AAX170" s="4"/>
      <c r="AAY170" s="4"/>
      <c r="AAZ170" s="4"/>
      <c r="ABA170" s="4"/>
      <c r="ABB170" s="5"/>
      <c r="ABC170" s="6"/>
      <c r="ABD170" s="4"/>
      <c r="ABE170" s="4"/>
      <c r="ABF170" s="4"/>
      <c r="ABG170" s="4"/>
      <c r="ABH170" s="4"/>
      <c r="ABI170" s="5"/>
      <c r="ABJ170" s="6"/>
      <c r="ABK170" s="4"/>
      <c r="ABL170" s="4"/>
      <c r="ABM170" s="4"/>
      <c r="ABN170" s="4"/>
      <c r="ABO170" s="4"/>
      <c r="ABP170" s="5"/>
      <c r="ABQ170" s="6"/>
      <c r="ABR170" s="4"/>
      <c r="ABS170" s="4"/>
      <c r="ABT170" s="4"/>
      <c r="ABU170" s="4"/>
      <c r="ABV170" s="4"/>
      <c r="ABW170" s="5"/>
      <c r="ABX170" s="6"/>
      <c r="ABY170" s="4"/>
      <c r="ABZ170" s="4"/>
      <c r="ACA170" s="4"/>
      <c r="ACB170" s="4"/>
      <c r="ACC170" s="4"/>
      <c r="ACD170" s="5"/>
      <c r="ACE170" s="6"/>
      <c r="ACF170" s="4"/>
      <c r="ACG170" s="4"/>
      <c r="ACH170" s="4"/>
      <c r="ACI170" s="4"/>
      <c r="ACJ170" s="4"/>
      <c r="ACK170" s="5"/>
      <c r="ACL170" s="6"/>
      <c r="ACM170" s="4"/>
      <c r="ACN170" s="4"/>
      <c r="ACO170" s="4"/>
      <c r="ACP170" s="4"/>
      <c r="ACQ170" s="4"/>
      <c r="ACR170" s="5"/>
      <c r="ACS170" s="6"/>
      <c r="ACT170" s="4"/>
      <c r="ACU170" s="4"/>
      <c r="ACV170" s="4"/>
      <c r="ACW170" s="4"/>
      <c r="ACX170" s="4"/>
      <c r="ACY170" s="5"/>
    </row>
    <row r="171" spans="2:779" x14ac:dyDescent="0.25">
      <c r="B171" s="30"/>
      <c r="J171" s="12"/>
      <c r="K171" s="12"/>
      <c r="L171" s="12"/>
      <c r="LL171" s="6"/>
      <c r="LM171" s="4"/>
      <c r="LN171" s="4"/>
      <c r="LO171" s="4"/>
      <c r="LP171" s="4"/>
      <c r="LQ171" s="4"/>
      <c r="LR171" s="5"/>
      <c r="LS171" s="6"/>
      <c r="LT171" s="4"/>
      <c r="LU171" s="4"/>
      <c r="LV171" s="4"/>
      <c r="LW171" s="4"/>
      <c r="LX171" s="4"/>
      <c r="LY171" s="5"/>
      <c r="LZ171" s="6"/>
      <c r="MA171" s="7"/>
      <c r="MB171" s="4"/>
      <c r="MC171" s="4"/>
      <c r="MD171" s="8"/>
      <c r="ME171" s="4"/>
      <c r="MF171" s="4"/>
      <c r="MG171" s="5"/>
      <c r="MH171" s="6"/>
      <c r="MI171" s="4"/>
      <c r="MJ171" s="4"/>
      <c r="MK171" s="4"/>
      <c r="ML171" s="4"/>
      <c r="MM171" s="4"/>
      <c r="MN171" s="5"/>
      <c r="MO171" s="6"/>
      <c r="MP171" s="4"/>
      <c r="MQ171" s="4"/>
      <c r="MR171" s="4"/>
      <c r="MS171" s="4"/>
      <c r="MT171" s="4"/>
      <c r="MU171" s="5"/>
      <c r="MV171" s="6"/>
      <c r="MW171" s="4"/>
      <c r="MX171" s="4"/>
      <c r="MY171" s="4"/>
      <c r="MZ171" s="4"/>
      <c r="NA171" s="4"/>
      <c r="NB171" s="5"/>
      <c r="NC171" s="6"/>
      <c r="ND171" s="4"/>
      <c r="NE171" s="4"/>
      <c r="NF171" s="4"/>
      <c r="NG171" s="4"/>
      <c r="NH171" s="4"/>
      <c r="NI171" s="5"/>
      <c r="NJ171" s="6"/>
      <c r="NK171" s="4"/>
      <c r="NL171" s="4"/>
      <c r="NM171" s="4"/>
      <c r="NN171" s="4"/>
      <c r="NO171" s="4"/>
      <c r="NP171" s="5"/>
      <c r="NQ171" s="6"/>
      <c r="NR171" s="4"/>
      <c r="NS171" s="4"/>
      <c r="NT171" s="4"/>
      <c r="NU171" s="4"/>
      <c r="NV171" s="4"/>
      <c r="NW171" s="5"/>
      <c r="NX171" s="6"/>
      <c r="NY171" s="4"/>
      <c r="NZ171" s="4"/>
      <c r="OA171" s="4"/>
      <c r="OB171" s="4"/>
      <c r="OC171" s="4"/>
      <c r="OD171" s="5"/>
      <c r="OE171" s="6"/>
      <c r="OF171" s="4"/>
      <c r="OG171" s="4"/>
      <c r="OH171" s="4"/>
      <c r="OI171" s="4"/>
      <c r="OJ171" s="4"/>
      <c r="OK171" s="5"/>
      <c r="OL171" s="6"/>
      <c r="OM171" s="4"/>
      <c r="ON171" s="4"/>
      <c r="OO171" s="4"/>
      <c r="OP171" s="4"/>
      <c r="OQ171" s="4"/>
      <c r="OR171" s="5"/>
      <c r="OS171" s="6"/>
      <c r="OT171" s="4"/>
      <c r="OU171" s="4"/>
      <c r="OV171" s="4"/>
      <c r="OW171" s="4"/>
      <c r="OX171" s="4"/>
      <c r="OY171" s="5"/>
      <c r="OZ171" s="6"/>
      <c r="PA171" s="4"/>
      <c r="PB171" s="4"/>
      <c r="PC171" s="4"/>
      <c r="PD171" s="4"/>
      <c r="PE171" s="4"/>
      <c r="PF171" s="5"/>
      <c r="PG171" s="6"/>
      <c r="PH171" s="4"/>
      <c r="PI171" s="4"/>
      <c r="PJ171" s="4"/>
      <c r="PK171" s="4"/>
      <c r="PL171" s="4"/>
      <c r="PM171" s="5"/>
      <c r="PN171" s="6"/>
      <c r="PO171" s="4"/>
      <c r="PP171" s="4"/>
      <c r="PQ171" s="4"/>
      <c r="PR171" s="4"/>
      <c r="PS171" s="4"/>
      <c r="PT171" s="5"/>
      <c r="PU171" s="6"/>
      <c r="PV171" s="4"/>
      <c r="PW171" s="4"/>
      <c r="PX171" s="4"/>
      <c r="PY171" s="4"/>
      <c r="PZ171" s="4"/>
      <c r="QA171" s="5"/>
      <c r="QB171" s="6"/>
      <c r="QC171" s="4"/>
      <c r="QD171" s="4"/>
      <c r="QE171" s="4"/>
      <c r="QF171" s="4"/>
      <c r="QG171" s="4"/>
      <c r="QH171" s="5"/>
      <c r="QI171" s="6"/>
      <c r="QJ171" s="4"/>
      <c r="QK171" s="4"/>
      <c r="QL171" s="4"/>
      <c r="QM171" s="4"/>
      <c r="QN171" s="4"/>
      <c r="QO171" s="5"/>
      <c r="QP171" s="6"/>
      <c r="QQ171" s="4"/>
      <c r="QR171" s="4"/>
      <c r="QS171" s="4"/>
      <c r="QT171" s="4"/>
      <c r="QU171" s="4"/>
      <c r="QV171" s="5"/>
      <c r="QW171" s="6"/>
      <c r="QX171" s="4"/>
      <c r="QY171" s="4"/>
      <c r="QZ171" s="4"/>
      <c r="RA171" s="4"/>
      <c r="RB171" s="4"/>
      <c r="RC171" s="5"/>
      <c r="RD171" s="6"/>
      <c r="RE171" s="4"/>
      <c r="RF171" s="4"/>
      <c r="RG171" s="4"/>
      <c r="RH171" s="4"/>
      <c r="RI171" s="4"/>
      <c r="RJ171" s="5"/>
      <c r="RK171" s="6"/>
      <c r="RL171" s="4"/>
      <c r="RM171" s="4"/>
      <c r="RN171" s="4"/>
      <c r="RO171" s="4"/>
      <c r="RP171" s="4"/>
      <c r="RQ171" s="5"/>
      <c r="RR171" s="6"/>
      <c r="RS171" s="4"/>
      <c r="RT171" s="4"/>
      <c r="RU171" s="4"/>
      <c r="RV171" s="4"/>
      <c r="RW171" s="4"/>
      <c r="RX171" s="5"/>
      <c r="RY171" s="6"/>
      <c r="RZ171" s="4"/>
      <c r="SA171" s="4"/>
      <c r="SB171" s="4"/>
      <c r="SC171" s="4"/>
      <c r="SD171" s="4"/>
      <c r="SE171" s="5"/>
      <c r="SF171" s="6"/>
      <c r="SG171" s="4"/>
      <c r="SH171" s="4"/>
      <c r="SI171" s="4"/>
      <c r="SJ171" s="4"/>
      <c r="SK171" s="4"/>
      <c r="SL171" s="5"/>
      <c r="SM171" s="6"/>
      <c r="SN171" s="4"/>
      <c r="SO171" s="4"/>
      <c r="SP171" s="4"/>
      <c r="SQ171" s="4"/>
      <c r="SR171" s="4"/>
      <c r="SS171" s="5"/>
      <c r="ST171" s="6"/>
      <c r="SU171" s="4"/>
      <c r="SV171" s="4"/>
      <c r="SW171" s="4"/>
      <c r="SX171" s="4"/>
      <c r="SY171" s="4"/>
      <c r="SZ171" s="5"/>
      <c r="TA171" s="6"/>
      <c r="TB171" s="4"/>
      <c r="TC171" s="4"/>
      <c r="TD171" s="4"/>
      <c r="TE171" s="4"/>
      <c r="TF171" s="4"/>
      <c r="TG171" s="5"/>
      <c r="TH171" s="6"/>
      <c r="TI171" s="4"/>
      <c r="TJ171" s="4"/>
      <c r="TK171" s="4"/>
      <c r="TL171" s="4"/>
      <c r="TM171" s="4"/>
      <c r="TN171" s="5"/>
      <c r="TO171" s="6"/>
      <c r="TP171" s="4"/>
      <c r="TQ171" s="4"/>
      <c r="TR171" s="4"/>
      <c r="TS171" s="4"/>
      <c r="TT171" s="4"/>
      <c r="TU171" s="5"/>
      <c r="TV171" s="6"/>
      <c r="TW171" s="4"/>
      <c r="TX171" s="4"/>
      <c r="TY171" s="4"/>
      <c r="TZ171" s="4"/>
      <c r="UA171" s="4"/>
      <c r="UB171" s="5"/>
      <c r="UC171" s="6"/>
      <c r="UD171" s="4"/>
      <c r="UE171" s="4"/>
      <c r="UF171" s="4"/>
      <c r="UG171" s="4"/>
      <c r="UH171" s="4"/>
      <c r="UI171" s="5"/>
      <c r="UJ171" s="6"/>
      <c r="UK171" s="4"/>
      <c r="UL171" s="4"/>
      <c r="UM171" s="4"/>
      <c r="UN171" s="4"/>
      <c r="UO171" s="4"/>
      <c r="UP171" s="5"/>
      <c r="UQ171" s="6"/>
      <c r="UR171" s="4"/>
      <c r="US171" s="4"/>
      <c r="UT171" s="4"/>
      <c r="UU171" s="4"/>
      <c r="UV171" s="4"/>
      <c r="UW171" s="5"/>
      <c r="UX171" s="6"/>
      <c r="UY171" s="4"/>
      <c r="UZ171" s="4"/>
      <c r="VA171" s="4"/>
      <c r="VB171" s="4"/>
      <c r="VC171" s="4"/>
      <c r="VD171" s="5"/>
      <c r="VE171" s="6"/>
      <c r="VF171" s="4"/>
      <c r="VG171" s="4"/>
      <c r="VH171" s="4"/>
      <c r="VI171" s="4"/>
      <c r="VJ171" s="4"/>
      <c r="VK171" s="5"/>
      <c r="VL171" s="6"/>
      <c r="VM171" s="4"/>
      <c r="VN171" s="4"/>
      <c r="VO171" s="4"/>
      <c r="VP171" s="4"/>
      <c r="VQ171" s="4"/>
      <c r="VR171" s="5"/>
      <c r="VS171" s="6"/>
      <c r="VT171" s="4"/>
      <c r="VU171" s="4"/>
      <c r="VV171" s="4"/>
      <c r="VW171" s="4"/>
      <c r="VX171" s="4"/>
      <c r="VY171" s="5"/>
      <c r="VZ171" s="6"/>
      <c r="WA171" s="4"/>
      <c r="WB171" s="4"/>
      <c r="WC171" s="4"/>
      <c r="WD171" s="4"/>
      <c r="WE171" s="4"/>
      <c r="WF171" s="5"/>
      <c r="WG171" s="6"/>
      <c r="WH171" s="4"/>
      <c r="WI171" s="4"/>
      <c r="WJ171" s="4"/>
      <c r="WK171" s="4"/>
      <c r="WL171" s="4"/>
      <c r="WM171" s="5"/>
      <c r="WN171" s="6"/>
      <c r="WO171" s="4"/>
      <c r="WP171" s="4"/>
      <c r="WQ171" s="4"/>
      <c r="WR171" s="4"/>
      <c r="WS171" s="4"/>
      <c r="WT171" s="5"/>
      <c r="WU171" s="6"/>
      <c r="WV171" s="4"/>
      <c r="WW171" s="4"/>
      <c r="WX171" s="4"/>
      <c r="WY171" s="4"/>
      <c r="WZ171" s="4"/>
      <c r="XA171" s="5"/>
      <c r="XB171" s="6"/>
      <c r="XC171" s="4"/>
      <c r="XD171" s="4"/>
      <c r="XE171" s="4"/>
      <c r="XF171" s="4"/>
      <c r="XG171" s="4"/>
      <c r="XH171" s="5"/>
      <c r="XI171" s="6"/>
      <c r="XJ171" s="4"/>
      <c r="XK171" s="4"/>
      <c r="XL171" s="4"/>
      <c r="XM171" s="4"/>
      <c r="XN171" s="4"/>
      <c r="XO171" s="5"/>
      <c r="XP171" s="6"/>
      <c r="XQ171" s="4"/>
      <c r="XR171" s="4"/>
      <c r="XS171" s="4"/>
      <c r="XT171" s="4"/>
      <c r="XU171" s="4"/>
      <c r="XV171" s="5"/>
      <c r="XW171" s="6"/>
      <c r="XX171" s="4"/>
      <c r="XY171" s="4"/>
      <c r="XZ171" s="4"/>
      <c r="YA171" s="4"/>
      <c r="YB171" s="4"/>
      <c r="YC171" s="5"/>
      <c r="YD171" s="6"/>
      <c r="YE171" s="4"/>
      <c r="YF171" s="4"/>
      <c r="YG171" s="4"/>
      <c r="YH171" s="4"/>
      <c r="YI171" s="4"/>
      <c r="YJ171" s="5"/>
      <c r="YK171" s="6"/>
      <c r="YL171" s="4"/>
      <c r="YM171" s="4"/>
      <c r="YN171" s="4"/>
      <c r="YO171" s="4"/>
      <c r="YP171" s="4"/>
      <c r="YQ171" s="5"/>
      <c r="YR171" s="6"/>
      <c r="YS171" s="4"/>
      <c r="YT171" s="4"/>
      <c r="YU171" s="4"/>
      <c r="YV171" s="4"/>
      <c r="YW171" s="4"/>
      <c r="YX171" s="5"/>
      <c r="YY171" s="6"/>
      <c r="YZ171" s="4"/>
      <c r="ZA171" s="4"/>
      <c r="ZB171" s="4"/>
      <c r="ZC171" s="4"/>
      <c r="ZD171" s="4"/>
      <c r="ZE171" s="5"/>
      <c r="ZF171" s="6"/>
      <c r="ZG171" s="4"/>
      <c r="ZH171" s="4"/>
      <c r="ZI171" s="4"/>
      <c r="ZJ171" s="4"/>
      <c r="ZK171" s="4"/>
      <c r="ZL171" s="5"/>
      <c r="ZM171" s="6"/>
      <c r="ZN171" s="4"/>
      <c r="ZO171" s="4"/>
      <c r="ZP171" s="4"/>
      <c r="ZQ171" s="4"/>
      <c r="ZR171" s="4"/>
      <c r="ZS171" s="5"/>
      <c r="ZT171" s="6"/>
      <c r="ZU171" s="4"/>
      <c r="ZV171" s="4"/>
      <c r="ZW171" s="4"/>
      <c r="ZX171" s="4"/>
      <c r="ZY171" s="4"/>
      <c r="ZZ171" s="5"/>
      <c r="AAA171" s="6"/>
      <c r="AAB171" s="4"/>
      <c r="AAC171" s="4"/>
      <c r="AAD171" s="4"/>
      <c r="AAE171" s="4"/>
      <c r="AAF171" s="4"/>
      <c r="AAG171" s="5"/>
      <c r="AAH171" s="6" t="s">
        <v>786</v>
      </c>
      <c r="AAI171" s="4" t="s">
        <v>2937</v>
      </c>
      <c r="AAJ171" s="4"/>
      <c r="AAK171" s="4"/>
      <c r="AAL171" s="4"/>
      <c r="AAM171" s="4"/>
      <c r="AAN171" s="5"/>
      <c r="AAO171" s="6"/>
      <c r="AAP171" s="4"/>
      <c r="AAQ171" s="4"/>
      <c r="AAR171" s="4"/>
      <c r="AAS171" s="4"/>
      <c r="AAT171" s="4"/>
      <c r="AAU171" s="5"/>
      <c r="AAV171" s="6"/>
      <c r="AAW171" s="4"/>
      <c r="AAX171" s="4"/>
      <c r="AAY171" s="4"/>
      <c r="AAZ171" s="4"/>
      <c r="ABA171" s="4"/>
      <c r="ABB171" s="5"/>
      <c r="ABC171" s="6"/>
      <c r="ABD171" s="4"/>
      <c r="ABE171" s="4"/>
      <c r="ABF171" s="4"/>
      <c r="ABG171" s="4"/>
      <c r="ABH171" s="4"/>
      <c r="ABI171" s="5"/>
      <c r="ABJ171" s="6"/>
      <c r="ABK171" s="4"/>
      <c r="ABL171" s="4"/>
      <c r="ABM171" s="4"/>
      <c r="ABN171" s="4"/>
      <c r="ABO171" s="4"/>
      <c r="ABP171" s="5"/>
      <c r="ABQ171" s="6"/>
      <c r="ABR171" s="4"/>
      <c r="ABS171" s="4"/>
      <c r="ABT171" s="4"/>
      <c r="ABU171" s="4"/>
      <c r="ABV171" s="4"/>
      <c r="ABW171" s="5"/>
      <c r="ABX171" s="6"/>
      <c r="ABY171" s="4"/>
      <c r="ABZ171" s="4"/>
      <c r="ACA171" s="4"/>
      <c r="ACB171" s="4"/>
      <c r="ACC171" s="4"/>
      <c r="ACD171" s="5"/>
      <c r="ACE171" s="6"/>
      <c r="ACF171" s="4"/>
      <c r="ACG171" s="4"/>
      <c r="ACH171" s="4"/>
      <c r="ACI171" s="4"/>
      <c r="ACJ171" s="4"/>
      <c r="ACK171" s="5"/>
      <c r="ACL171" s="6"/>
      <c r="ACM171" s="4"/>
      <c r="ACN171" s="4"/>
      <c r="ACO171" s="4"/>
      <c r="ACP171" s="4"/>
      <c r="ACQ171" s="4"/>
      <c r="ACR171" s="5"/>
      <c r="ACS171" s="6"/>
      <c r="ACT171" s="4"/>
      <c r="ACU171" s="4"/>
      <c r="ACV171" s="4"/>
      <c r="ACW171" s="4"/>
      <c r="ACX171" s="4"/>
      <c r="ACY171" s="5"/>
    </row>
    <row r="172" spans="2:779" x14ac:dyDescent="0.25">
      <c r="B172" s="29">
        <v>98006992</v>
      </c>
      <c r="C172">
        <v>35</v>
      </c>
      <c r="D172" t="s">
        <v>2121</v>
      </c>
      <c r="F172" s="23" t="s">
        <v>1781</v>
      </c>
      <c r="I172">
        <v>1</v>
      </c>
      <c r="J172" s="19">
        <v>35478</v>
      </c>
      <c r="K172" s="19"/>
      <c r="L172" s="19"/>
      <c r="LL172" s="6"/>
      <c r="LM172" s="4"/>
      <c r="LN172" s="4"/>
      <c r="LO172" s="4"/>
      <c r="LP172" s="4"/>
      <c r="LQ172" s="4"/>
      <c r="LR172" s="5"/>
      <c r="LS172" s="6"/>
      <c r="LT172" s="4"/>
      <c r="LU172" s="4"/>
      <c r="LV172" s="4"/>
      <c r="LW172" s="4"/>
      <c r="LX172" s="4"/>
      <c r="LY172" s="5"/>
      <c r="LZ172" s="6" t="s">
        <v>1651</v>
      </c>
      <c r="MA172" s="7" t="s">
        <v>2015</v>
      </c>
      <c r="MB172" s="4"/>
      <c r="MC172" s="4"/>
      <c r="MD172" s="8"/>
      <c r="ME172" s="4"/>
      <c r="MF172" s="4"/>
      <c r="MG172" s="5"/>
      <c r="MH172" s="6"/>
      <c r="MI172" s="4"/>
      <c r="MJ172" s="4"/>
      <c r="MK172" s="4"/>
      <c r="ML172" s="4"/>
      <c r="MM172" s="4"/>
      <c r="MN172" s="5"/>
      <c r="MO172" s="6"/>
      <c r="MP172" s="4"/>
      <c r="MQ172" s="4"/>
      <c r="MR172" s="4"/>
      <c r="MS172" s="4"/>
      <c r="MT172" s="4"/>
      <c r="MU172" s="5"/>
      <c r="MV172" s="6"/>
      <c r="MW172" s="4"/>
      <c r="MX172" s="4"/>
      <c r="MY172" s="4"/>
      <c r="MZ172" s="4"/>
      <c r="NA172" s="4"/>
      <c r="NB172" s="5"/>
      <c r="NC172" s="6" t="s">
        <v>1654</v>
      </c>
      <c r="ND172" s="4" t="s">
        <v>1655</v>
      </c>
      <c r="NE172" s="4"/>
      <c r="NF172" s="4"/>
      <c r="NG172" s="4"/>
      <c r="NH172" s="4"/>
      <c r="NI172" s="5"/>
      <c r="NJ172" s="6"/>
      <c r="NK172" s="4"/>
      <c r="NL172" s="4"/>
      <c r="NM172" s="4"/>
      <c r="NN172" s="4"/>
      <c r="NO172" s="4"/>
      <c r="NP172" s="5"/>
      <c r="NQ172" s="6"/>
      <c r="NR172" s="4"/>
      <c r="NS172" s="4"/>
      <c r="NT172" s="4"/>
      <c r="NU172" s="4"/>
      <c r="NV172" s="4"/>
      <c r="NW172" s="5"/>
      <c r="NX172" s="6"/>
      <c r="NY172" s="4"/>
      <c r="NZ172" s="4"/>
      <c r="OA172" s="4"/>
      <c r="OB172" s="4"/>
      <c r="OC172" s="4"/>
      <c r="OD172" s="5"/>
      <c r="OE172" s="6"/>
      <c r="OF172" s="4"/>
      <c r="OG172" s="4"/>
      <c r="OH172" s="4"/>
      <c r="OI172" s="4"/>
      <c r="OJ172" s="4"/>
      <c r="OK172" s="5"/>
      <c r="OL172" s="6"/>
      <c r="OM172" s="4"/>
      <c r="ON172" s="4"/>
      <c r="OO172" s="4"/>
      <c r="OP172" s="4"/>
      <c r="OQ172" s="4"/>
      <c r="OR172" s="5"/>
      <c r="OS172" s="6"/>
      <c r="OT172" s="4"/>
      <c r="OU172" s="4"/>
      <c r="OV172" s="4"/>
      <c r="OW172" s="4"/>
      <c r="OX172" s="4"/>
      <c r="OY172" s="5"/>
      <c r="OZ172" s="6"/>
      <c r="PA172" s="4"/>
      <c r="PB172" s="4"/>
      <c r="PC172" s="4"/>
      <c r="PD172" s="4"/>
      <c r="PE172" s="4"/>
      <c r="PF172" s="5"/>
      <c r="PG172" s="6"/>
      <c r="PH172" s="4"/>
      <c r="PI172" s="4"/>
      <c r="PJ172" s="4"/>
      <c r="PK172" s="4"/>
      <c r="PL172" s="4"/>
      <c r="PM172" s="5"/>
      <c r="PN172" s="6"/>
      <c r="PO172" s="4"/>
      <c r="PP172" s="4"/>
      <c r="PQ172" s="4"/>
      <c r="PR172" s="4"/>
      <c r="PS172" s="4"/>
      <c r="PT172" s="5"/>
      <c r="PU172" s="6"/>
      <c r="PV172" s="4"/>
      <c r="PW172" s="4"/>
      <c r="PX172" s="4"/>
      <c r="PY172" s="4"/>
      <c r="PZ172" s="4"/>
      <c r="QA172" s="5"/>
      <c r="QB172" s="6"/>
      <c r="QC172" s="4"/>
      <c r="QD172" s="4"/>
      <c r="QE172" s="4"/>
      <c r="QF172" s="4"/>
      <c r="QG172" s="4"/>
      <c r="QH172" s="5"/>
      <c r="QI172" s="6"/>
      <c r="QJ172" s="4"/>
      <c r="QK172" s="4"/>
      <c r="QL172" s="4"/>
      <c r="QM172" s="4"/>
      <c r="QN172" s="4"/>
      <c r="QO172" s="5"/>
      <c r="QP172" s="6"/>
      <c r="QQ172" s="4"/>
      <c r="QR172" s="4"/>
      <c r="QS172" s="4"/>
      <c r="QT172" s="4"/>
      <c r="QU172" s="4"/>
      <c r="QV172" s="5"/>
      <c r="QW172" s="6"/>
      <c r="QX172" s="4"/>
      <c r="QY172" s="4"/>
      <c r="QZ172" s="4"/>
      <c r="RA172" s="4"/>
      <c r="RB172" s="4"/>
      <c r="RC172" s="5"/>
      <c r="RD172" s="6"/>
      <c r="RE172" s="4"/>
      <c r="RF172" s="4"/>
      <c r="RG172" s="4"/>
      <c r="RH172" s="4"/>
      <c r="RI172" s="4"/>
      <c r="RJ172" s="5"/>
      <c r="RK172" s="6"/>
      <c r="RL172" s="4"/>
      <c r="RM172" s="4"/>
      <c r="RN172" s="4"/>
      <c r="RO172" s="4"/>
      <c r="RP172" s="4"/>
      <c r="RQ172" s="5"/>
      <c r="RR172" s="6"/>
      <c r="RS172" s="4"/>
      <c r="RT172" s="4"/>
      <c r="RU172" s="4"/>
      <c r="RV172" s="4"/>
      <c r="RW172" s="4"/>
      <c r="RX172" s="5"/>
      <c r="RY172" s="6"/>
      <c r="RZ172" s="4"/>
      <c r="SA172" s="4"/>
      <c r="SB172" s="4"/>
      <c r="SC172" s="4"/>
      <c r="SD172" s="4"/>
      <c r="SE172" s="5"/>
      <c r="SF172" s="6"/>
      <c r="SG172" s="4"/>
      <c r="SH172" s="4"/>
      <c r="SI172" s="4"/>
      <c r="SJ172" s="4"/>
      <c r="SK172" s="4"/>
      <c r="SL172" s="5"/>
      <c r="SM172" s="6"/>
      <c r="SN172" s="4"/>
      <c r="SO172" s="4"/>
      <c r="SP172" s="4"/>
      <c r="SQ172" s="4"/>
      <c r="SR172" s="4"/>
      <c r="SS172" s="5"/>
      <c r="ST172" s="6"/>
      <c r="SU172" s="4"/>
      <c r="SV172" s="4"/>
      <c r="SW172" s="4"/>
      <c r="SX172" s="4"/>
      <c r="SY172" s="4"/>
      <c r="SZ172" s="5"/>
      <c r="TA172" s="6"/>
      <c r="TB172" s="4"/>
      <c r="TC172" s="4"/>
      <c r="TD172" s="4"/>
      <c r="TE172" s="4"/>
      <c r="TF172" s="4"/>
      <c r="TG172" s="5"/>
      <c r="TH172" s="6"/>
      <c r="TI172" s="4"/>
      <c r="TJ172" s="4"/>
      <c r="TK172" s="4"/>
      <c r="TL172" s="4"/>
      <c r="TM172" s="4"/>
      <c r="TN172" s="5"/>
      <c r="TO172" s="6"/>
      <c r="TP172" s="4"/>
      <c r="TQ172" s="4"/>
      <c r="TR172" s="4"/>
      <c r="TS172" s="4"/>
      <c r="TT172" s="4"/>
      <c r="TU172" s="5"/>
      <c r="TV172" s="6"/>
      <c r="TW172" s="4"/>
      <c r="TX172" s="4"/>
      <c r="TY172" s="4"/>
      <c r="TZ172" s="4"/>
      <c r="UA172" s="4"/>
      <c r="UB172" s="5"/>
      <c r="UC172" s="6"/>
      <c r="UD172" s="4"/>
      <c r="UE172" s="4"/>
      <c r="UF172" s="4"/>
      <c r="UG172" s="4"/>
      <c r="UH172" s="4"/>
      <c r="UI172" s="5"/>
      <c r="UJ172" s="6"/>
      <c r="UK172" s="4"/>
      <c r="UL172" s="4"/>
      <c r="UM172" s="4"/>
      <c r="UN172" s="4"/>
      <c r="UO172" s="4"/>
      <c r="UP172" s="5"/>
      <c r="UQ172" s="6"/>
      <c r="UR172" s="4"/>
      <c r="US172" s="4"/>
      <c r="UT172" s="4"/>
      <c r="UU172" s="4"/>
      <c r="UV172" s="4"/>
      <c r="UW172" s="5"/>
      <c r="UX172" s="6"/>
      <c r="UY172" s="4"/>
      <c r="UZ172" s="4"/>
      <c r="VA172" s="4"/>
      <c r="VB172" s="4"/>
      <c r="VC172" s="4"/>
      <c r="VD172" s="5"/>
      <c r="VE172" s="6"/>
      <c r="VF172" s="4"/>
      <c r="VG172" s="4"/>
      <c r="VH172" s="4"/>
      <c r="VI172" s="4"/>
      <c r="VJ172" s="4"/>
      <c r="VK172" s="5"/>
      <c r="VL172" s="6"/>
      <c r="VM172" s="4"/>
      <c r="VN172" s="4"/>
      <c r="VO172" s="4"/>
      <c r="VP172" s="4"/>
      <c r="VQ172" s="4"/>
      <c r="VR172" s="5"/>
      <c r="VS172" s="6"/>
      <c r="VT172" s="4"/>
      <c r="VU172" s="4"/>
      <c r="VV172" s="4"/>
      <c r="VW172" s="4"/>
      <c r="VX172" s="4"/>
      <c r="VY172" s="5"/>
      <c r="VZ172" s="6"/>
      <c r="WA172" s="4"/>
      <c r="WB172" s="4"/>
      <c r="WC172" s="4"/>
      <c r="WD172" s="4"/>
      <c r="WE172" s="4"/>
      <c r="WF172" s="5"/>
      <c r="WG172" s="6"/>
      <c r="WH172" s="4"/>
      <c r="WI172" s="4"/>
      <c r="WJ172" s="4"/>
      <c r="WK172" s="4"/>
      <c r="WL172" s="4"/>
      <c r="WM172" s="5"/>
      <c r="WN172" s="6"/>
      <c r="WO172" s="4"/>
      <c r="WP172" s="4"/>
      <c r="WQ172" s="4"/>
      <c r="WR172" s="4"/>
      <c r="WS172" s="4"/>
      <c r="WT172" s="5"/>
      <c r="WU172" s="6"/>
      <c r="WV172" s="4"/>
      <c r="WW172" s="4"/>
      <c r="WX172" s="4"/>
      <c r="WY172" s="4"/>
      <c r="WZ172" s="4"/>
      <c r="XA172" s="5"/>
      <c r="XB172" s="6"/>
      <c r="XC172" s="4"/>
      <c r="XD172" s="4"/>
      <c r="XE172" s="4"/>
      <c r="XF172" s="4"/>
      <c r="XG172" s="4"/>
      <c r="XH172" s="5"/>
      <c r="XI172" s="6"/>
      <c r="XJ172" s="4"/>
      <c r="XK172" s="4"/>
      <c r="XL172" s="4"/>
      <c r="XM172" s="4"/>
      <c r="XN172" s="4"/>
      <c r="XO172" s="5"/>
      <c r="XP172" s="6"/>
      <c r="XQ172" s="4"/>
      <c r="XR172" s="4"/>
      <c r="XS172" s="4"/>
      <c r="XT172" s="4"/>
      <c r="XU172" s="4"/>
      <c r="XV172" s="5"/>
      <c r="XW172" s="6"/>
      <c r="XX172" s="4"/>
      <c r="XY172" s="4"/>
      <c r="XZ172" s="4"/>
      <c r="YA172" s="4"/>
      <c r="YB172" s="4"/>
      <c r="YC172" s="5"/>
      <c r="YD172" s="6"/>
      <c r="YE172" s="4"/>
      <c r="YF172" s="4"/>
      <c r="YG172" s="4"/>
      <c r="YH172" s="4"/>
      <c r="YI172" s="4"/>
      <c r="YJ172" s="5"/>
      <c r="YK172" s="6"/>
      <c r="YL172" s="4"/>
      <c r="YM172" s="4"/>
      <c r="YN172" s="4"/>
      <c r="YO172" s="4"/>
      <c r="YP172" s="4"/>
      <c r="YQ172" s="5"/>
      <c r="YR172" s="6"/>
      <c r="YS172" s="4"/>
      <c r="YT172" s="4"/>
      <c r="YU172" s="4"/>
      <c r="YV172" s="4"/>
      <c r="YW172" s="4"/>
      <c r="YX172" s="5"/>
      <c r="YY172" s="6"/>
      <c r="YZ172" s="4"/>
      <c r="ZA172" s="4"/>
      <c r="ZB172" s="4"/>
      <c r="ZC172" s="4"/>
      <c r="ZD172" s="4"/>
      <c r="ZE172" s="5"/>
      <c r="ZF172" s="6"/>
      <c r="ZG172" s="4"/>
      <c r="ZH172" s="4"/>
      <c r="ZI172" s="4"/>
      <c r="ZJ172" s="4"/>
      <c r="ZK172" s="4"/>
      <c r="ZL172" s="5"/>
      <c r="ZM172" s="6"/>
      <c r="ZN172" s="4"/>
      <c r="ZO172" s="4"/>
      <c r="ZP172" s="4"/>
      <c r="ZQ172" s="4"/>
      <c r="ZR172" s="4"/>
      <c r="ZS172" s="5"/>
      <c r="ZT172" s="6"/>
      <c r="ZU172" s="4"/>
      <c r="ZV172" s="4"/>
      <c r="ZW172" s="4"/>
      <c r="ZX172" s="4"/>
      <c r="ZY172" s="4"/>
      <c r="ZZ172" s="5"/>
      <c r="AAA172" s="6"/>
      <c r="AAB172" s="4"/>
      <c r="AAC172" s="4"/>
      <c r="AAD172" s="4"/>
      <c r="AAE172" s="4"/>
      <c r="AAF172" s="4"/>
      <c r="AAG172" s="5"/>
      <c r="AAJ172" s="4"/>
      <c r="AAK172" s="4"/>
      <c r="AAL172" s="4"/>
      <c r="AAM172" s="4"/>
      <c r="AAN172" s="5"/>
      <c r="AAO172" s="6"/>
      <c r="AAP172" s="4"/>
      <c r="AAQ172" s="4"/>
      <c r="AAR172" s="4"/>
      <c r="AAS172" s="4"/>
      <c r="AAT172" s="4"/>
      <c r="AAU172" s="5"/>
      <c r="AAV172" s="6"/>
      <c r="AAW172" s="4"/>
      <c r="AAX172" s="4"/>
      <c r="AAY172" s="4"/>
      <c r="AAZ172" s="4"/>
      <c r="ABA172" s="4"/>
      <c r="ABB172" s="5"/>
      <c r="ABC172" s="6"/>
      <c r="ABD172" s="4"/>
      <c r="ABE172" s="4"/>
      <c r="ABF172" s="4"/>
      <c r="ABG172" s="4"/>
      <c r="ABH172" s="4"/>
      <c r="ABI172" s="5"/>
      <c r="ABJ172" s="6"/>
      <c r="ABK172" s="4"/>
      <c r="ABL172" s="4"/>
      <c r="ABM172" s="4"/>
      <c r="ABN172" s="4"/>
      <c r="ABO172" s="4"/>
      <c r="ABP172" s="5"/>
      <c r="ABQ172" s="6"/>
      <c r="ABR172" s="4"/>
      <c r="ABS172" s="4"/>
      <c r="ABT172" s="4"/>
      <c r="ABU172" s="4"/>
      <c r="ABV172" s="4"/>
      <c r="ABW172" s="5"/>
      <c r="ABX172" s="6"/>
      <c r="ABY172" s="4"/>
      <c r="ABZ172" s="4"/>
      <c r="ACA172" s="4"/>
      <c r="ACB172" s="4"/>
      <c r="ACC172" s="4"/>
      <c r="ACD172" s="5"/>
      <c r="ACE172" s="6"/>
      <c r="ACF172" s="4"/>
      <c r="ACG172" s="4"/>
      <c r="ACH172" s="4"/>
      <c r="ACI172" s="4"/>
      <c r="ACJ172" s="4"/>
      <c r="ACK172" s="5"/>
      <c r="ACL172" s="6"/>
      <c r="ACM172" s="4"/>
      <c r="ACN172" s="4"/>
      <c r="ACO172" s="4"/>
      <c r="ACP172" s="4"/>
      <c r="ACQ172" s="4"/>
      <c r="ACR172" s="5"/>
      <c r="ACS172" s="6"/>
      <c r="ACT172" s="4"/>
      <c r="ACU172" s="4"/>
      <c r="ACV172" s="4"/>
      <c r="ACW172" s="4"/>
      <c r="ACX172" s="4"/>
      <c r="ACY172" s="5"/>
    </row>
    <row r="173" spans="2:779" x14ac:dyDescent="0.25">
      <c r="B173" s="30"/>
      <c r="J173" s="12"/>
      <c r="K173" s="12"/>
      <c r="L173" s="12"/>
      <c r="LL173" s="6"/>
      <c r="LM173" s="4"/>
      <c r="LN173" s="4"/>
      <c r="LO173" s="4"/>
      <c r="LP173" s="4"/>
      <c r="LQ173" s="4"/>
      <c r="LR173" s="5"/>
      <c r="LS173" s="6"/>
      <c r="LT173" s="4"/>
      <c r="LU173" s="4"/>
      <c r="LV173" s="4"/>
      <c r="LW173" s="4"/>
      <c r="LX173" s="4"/>
      <c r="LY173" s="5"/>
      <c r="LZ173" s="6" t="s">
        <v>1652</v>
      </c>
      <c r="MA173" s="7" t="s">
        <v>1653</v>
      </c>
      <c r="MB173" s="4"/>
      <c r="MC173" s="4"/>
      <c r="MD173" s="8"/>
      <c r="ME173" s="4"/>
      <c r="MF173" s="4"/>
      <c r="MG173" s="5"/>
      <c r="MH173" s="6"/>
      <c r="MI173" s="4"/>
      <c r="MJ173" s="4"/>
      <c r="MK173" s="4"/>
      <c r="ML173" s="4"/>
      <c r="MM173" s="4"/>
      <c r="MN173" s="5"/>
      <c r="MO173" s="6"/>
      <c r="MP173" s="4"/>
      <c r="MQ173" s="4"/>
      <c r="MR173" s="4"/>
      <c r="MS173" s="4"/>
      <c r="MT173" s="4"/>
      <c r="MU173" s="5"/>
      <c r="MV173" s="6"/>
      <c r="MW173" s="4"/>
      <c r="MX173" s="4"/>
      <c r="MY173" s="4"/>
      <c r="MZ173" s="4"/>
      <c r="NA173" s="4"/>
      <c r="NB173" s="5"/>
      <c r="NC173" s="6"/>
      <c r="ND173" s="4"/>
      <c r="NE173" s="4"/>
      <c r="NF173" s="4"/>
      <c r="NG173" s="4"/>
      <c r="NH173" s="4"/>
      <c r="NI173" s="5"/>
      <c r="NJ173" s="6"/>
      <c r="NK173" s="4"/>
      <c r="NL173" s="4"/>
      <c r="NM173" s="4"/>
      <c r="NN173" s="4"/>
      <c r="NO173" s="4"/>
      <c r="NP173" s="5"/>
      <c r="NQ173" s="6"/>
      <c r="NR173" s="4"/>
      <c r="NS173" s="4"/>
      <c r="NT173" s="4"/>
      <c r="NU173" s="4"/>
      <c r="NV173" s="4"/>
      <c r="NW173" s="5"/>
      <c r="NX173" s="6"/>
      <c r="NY173" s="4"/>
      <c r="NZ173" s="4"/>
      <c r="OA173" s="4"/>
      <c r="OB173" s="4"/>
      <c r="OC173" s="4"/>
      <c r="OD173" s="5"/>
      <c r="OE173" s="6"/>
      <c r="OF173" s="4"/>
      <c r="OG173" s="4"/>
      <c r="OH173" s="4"/>
      <c r="OI173" s="4"/>
      <c r="OJ173" s="4"/>
      <c r="OK173" s="5"/>
      <c r="OL173" s="6"/>
      <c r="OM173" s="4"/>
      <c r="ON173" s="4"/>
      <c r="OO173" s="4"/>
      <c r="OP173" s="4"/>
      <c r="OQ173" s="4"/>
      <c r="OR173" s="5"/>
      <c r="OS173" s="6"/>
      <c r="OT173" s="4"/>
      <c r="OU173" s="4"/>
      <c r="OV173" s="4"/>
      <c r="OW173" s="4"/>
      <c r="OX173" s="4"/>
      <c r="OY173" s="5"/>
      <c r="OZ173" s="6"/>
      <c r="PA173" s="4"/>
      <c r="PB173" s="4"/>
      <c r="PC173" s="4"/>
      <c r="PD173" s="4"/>
      <c r="PE173" s="4"/>
      <c r="PF173" s="5"/>
      <c r="PG173" s="6"/>
      <c r="PH173" s="4"/>
      <c r="PI173" s="4"/>
      <c r="PJ173" s="4"/>
      <c r="PK173" s="4"/>
      <c r="PL173" s="4"/>
      <c r="PM173" s="5"/>
      <c r="PN173" s="6"/>
      <c r="PO173" s="4"/>
      <c r="PP173" s="4"/>
      <c r="PQ173" s="4"/>
      <c r="PR173" s="4"/>
      <c r="PS173" s="4"/>
      <c r="PT173" s="5"/>
      <c r="PU173" s="6"/>
      <c r="PV173" s="4"/>
      <c r="PW173" s="4"/>
      <c r="PX173" s="4"/>
      <c r="PY173" s="4"/>
      <c r="PZ173" s="4"/>
      <c r="QA173" s="5"/>
      <c r="QB173" s="6"/>
      <c r="QC173" s="4"/>
      <c r="QD173" s="4"/>
      <c r="QE173" s="4"/>
      <c r="QF173" s="4"/>
      <c r="QG173" s="4"/>
      <c r="QH173" s="5"/>
      <c r="QI173" s="6"/>
      <c r="QJ173" s="4"/>
      <c r="QK173" s="4"/>
      <c r="QL173" s="4"/>
      <c r="QM173" s="4"/>
      <c r="QN173" s="4"/>
      <c r="QO173" s="5"/>
      <c r="QP173" s="6"/>
      <c r="QQ173" s="4"/>
      <c r="QR173" s="4"/>
      <c r="QS173" s="4"/>
      <c r="QT173" s="4"/>
      <c r="QU173" s="4"/>
      <c r="QV173" s="5"/>
      <c r="QW173" s="6"/>
      <c r="QX173" s="4"/>
      <c r="QY173" s="4"/>
      <c r="QZ173" s="4"/>
      <c r="RA173" s="4"/>
      <c r="RB173" s="4"/>
      <c r="RC173" s="5"/>
      <c r="RD173" s="6"/>
      <c r="RE173" s="4"/>
      <c r="RF173" s="4"/>
      <c r="RG173" s="4"/>
      <c r="RH173" s="4"/>
      <c r="RI173" s="4"/>
      <c r="RJ173" s="5"/>
      <c r="RK173" s="6"/>
      <c r="RL173" s="4"/>
      <c r="RM173" s="4"/>
      <c r="RN173" s="4"/>
      <c r="RO173" s="4"/>
      <c r="RP173" s="4"/>
      <c r="RQ173" s="5"/>
      <c r="RR173" s="6"/>
      <c r="RS173" s="4"/>
      <c r="RT173" s="4"/>
      <c r="RU173" s="4"/>
      <c r="RV173" s="4"/>
      <c r="RW173" s="4"/>
      <c r="RX173" s="5"/>
      <c r="RY173" s="6"/>
      <c r="RZ173" s="4"/>
      <c r="SA173" s="4"/>
      <c r="SB173" s="4"/>
      <c r="SC173" s="4"/>
      <c r="SD173" s="4"/>
      <c r="SE173" s="5"/>
      <c r="SF173" s="6"/>
      <c r="SG173" s="4"/>
      <c r="SH173" s="4"/>
      <c r="SI173" s="4"/>
      <c r="SJ173" s="4"/>
      <c r="SK173" s="4"/>
      <c r="SL173" s="5"/>
      <c r="SM173" s="6"/>
      <c r="SN173" s="4"/>
      <c r="SO173" s="4"/>
      <c r="SP173" s="4"/>
      <c r="SQ173" s="4"/>
      <c r="SR173" s="4"/>
      <c r="SS173" s="5"/>
      <c r="ST173" s="6"/>
      <c r="SU173" s="4"/>
      <c r="SV173" s="4"/>
      <c r="SW173" s="4"/>
      <c r="SX173" s="4"/>
      <c r="SY173" s="4"/>
      <c r="SZ173" s="5"/>
      <c r="TA173" s="6"/>
      <c r="TB173" s="4"/>
      <c r="TC173" s="4"/>
      <c r="TD173" s="4"/>
      <c r="TE173" s="4"/>
      <c r="TF173" s="4"/>
      <c r="TG173" s="5"/>
      <c r="TH173" s="6"/>
      <c r="TI173" s="4"/>
      <c r="TJ173" s="4"/>
      <c r="TK173" s="4"/>
      <c r="TL173" s="4"/>
      <c r="TM173" s="4"/>
      <c r="TN173" s="5"/>
      <c r="TO173" s="6"/>
      <c r="TP173" s="4"/>
      <c r="TQ173" s="4"/>
      <c r="TR173" s="4"/>
      <c r="TS173" s="4"/>
      <c r="TT173" s="4"/>
      <c r="TU173" s="5"/>
      <c r="TV173" s="6"/>
      <c r="TW173" s="4"/>
      <c r="TX173" s="4"/>
      <c r="TY173" s="4"/>
      <c r="TZ173" s="4"/>
      <c r="UA173" s="4"/>
      <c r="UB173" s="5"/>
      <c r="UC173" s="6"/>
      <c r="UD173" s="4"/>
      <c r="UE173" s="4"/>
      <c r="UF173" s="4"/>
      <c r="UG173" s="4"/>
      <c r="UH173" s="4"/>
      <c r="UI173" s="5"/>
      <c r="UJ173" s="6"/>
      <c r="UK173" s="4"/>
      <c r="UL173" s="4"/>
      <c r="UM173" s="4"/>
      <c r="UN173" s="4"/>
      <c r="UO173" s="4"/>
      <c r="UP173" s="5"/>
      <c r="UQ173" s="6"/>
      <c r="UR173" s="4"/>
      <c r="US173" s="4"/>
      <c r="UT173" s="4"/>
      <c r="UU173" s="4"/>
      <c r="UV173" s="4"/>
      <c r="UW173" s="5"/>
      <c r="UX173" s="6"/>
      <c r="UY173" s="4"/>
      <c r="UZ173" s="4"/>
      <c r="VA173" s="4"/>
      <c r="VB173" s="4"/>
      <c r="VC173" s="4"/>
      <c r="VD173" s="5"/>
      <c r="VE173" s="6"/>
      <c r="VF173" s="4"/>
      <c r="VG173" s="4"/>
      <c r="VH173" s="4"/>
      <c r="VI173" s="4"/>
      <c r="VJ173" s="4"/>
      <c r="VK173" s="5"/>
      <c r="VL173" s="6"/>
      <c r="VM173" s="4"/>
      <c r="VN173" s="4"/>
      <c r="VO173" s="4"/>
      <c r="VP173" s="4"/>
      <c r="VQ173" s="4"/>
      <c r="VR173" s="5"/>
      <c r="VS173" s="6"/>
      <c r="VT173" s="4"/>
      <c r="VU173" s="4"/>
      <c r="VV173" s="4"/>
      <c r="VW173" s="4"/>
      <c r="VX173" s="4"/>
      <c r="VY173" s="5"/>
      <c r="VZ173" s="6"/>
      <c r="WA173" s="4"/>
      <c r="WB173" s="4"/>
      <c r="WC173" s="4"/>
      <c r="WD173" s="4"/>
      <c r="WE173" s="4"/>
      <c r="WF173" s="5"/>
      <c r="WG173" s="6"/>
      <c r="WH173" s="4"/>
      <c r="WI173" s="4"/>
      <c r="WJ173" s="4"/>
      <c r="WK173" s="4"/>
      <c r="WL173" s="4"/>
      <c r="WM173" s="5"/>
      <c r="WN173" s="6"/>
      <c r="WO173" s="4"/>
      <c r="WP173" s="4"/>
      <c r="WQ173" s="4"/>
      <c r="WR173" s="4"/>
      <c r="WS173" s="4"/>
      <c r="WT173" s="5"/>
      <c r="WU173" s="6"/>
      <c r="WV173" s="4"/>
      <c r="WW173" s="4"/>
      <c r="WX173" s="4"/>
      <c r="WY173" s="4"/>
      <c r="WZ173" s="4"/>
      <c r="XA173" s="5"/>
      <c r="XB173" s="6"/>
      <c r="XC173" s="4"/>
      <c r="XD173" s="4"/>
      <c r="XE173" s="4"/>
      <c r="XF173" s="4"/>
      <c r="XG173" s="4"/>
      <c r="XH173" s="5"/>
      <c r="XI173" s="6"/>
      <c r="XJ173" s="4"/>
      <c r="XK173" s="4"/>
      <c r="XL173" s="4"/>
      <c r="XM173" s="4"/>
      <c r="XN173" s="4"/>
      <c r="XO173" s="5"/>
      <c r="XP173" s="6"/>
      <c r="XQ173" s="4"/>
      <c r="XR173" s="4"/>
      <c r="XS173" s="4"/>
      <c r="XT173" s="4"/>
      <c r="XU173" s="4"/>
      <c r="XV173" s="5"/>
      <c r="XW173" s="6"/>
      <c r="XX173" s="4"/>
      <c r="XY173" s="4"/>
      <c r="XZ173" s="4"/>
      <c r="YA173" s="4"/>
      <c r="YB173" s="4"/>
      <c r="YC173" s="5"/>
      <c r="YD173" s="6"/>
      <c r="YE173" s="4"/>
      <c r="YF173" s="4"/>
      <c r="YG173" s="4"/>
      <c r="YH173" s="4"/>
      <c r="YI173" s="4"/>
      <c r="YJ173" s="5"/>
      <c r="YK173" s="6"/>
      <c r="YL173" s="4"/>
      <c r="YM173" s="4"/>
      <c r="YN173" s="4"/>
      <c r="YO173" s="4"/>
      <c r="YP173" s="4"/>
      <c r="YQ173" s="5"/>
      <c r="YR173" s="6"/>
      <c r="YS173" s="4"/>
      <c r="YT173" s="4"/>
      <c r="YU173" s="4"/>
      <c r="YV173" s="4"/>
      <c r="YW173" s="4"/>
      <c r="YX173" s="5"/>
      <c r="YY173" s="6"/>
      <c r="YZ173" s="4"/>
      <c r="ZA173" s="4"/>
      <c r="ZB173" s="4"/>
      <c r="ZC173" s="4"/>
      <c r="ZD173" s="4"/>
      <c r="ZE173" s="5"/>
      <c r="ZF173" s="6"/>
      <c r="ZG173" s="4"/>
      <c r="ZH173" s="4"/>
      <c r="ZI173" s="4"/>
      <c r="ZJ173" s="4"/>
      <c r="ZK173" s="4"/>
      <c r="ZL173" s="5"/>
      <c r="ZM173" s="6"/>
      <c r="ZN173" s="4"/>
      <c r="ZO173" s="4"/>
      <c r="ZP173" s="4"/>
      <c r="ZQ173" s="4"/>
      <c r="ZR173" s="4"/>
      <c r="ZS173" s="5"/>
      <c r="ZT173" s="6"/>
      <c r="ZU173" s="4"/>
      <c r="ZV173" s="4"/>
      <c r="ZW173" s="4"/>
      <c r="ZX173" s="4"/>
      <c r="ZY173" s="4"/>
      <c r="ZZ173" s="5"/>
      <c r="AAA173" s="6"/>
      <c r="AAB173" s="4"/>
      <c r="AAC173" s="4"/>
      <c r="AAD173" s="4"/>
      <c r="AAE173" s="4"/>
      <c r="AAF173" s="4"/>
      <c r="AAG173" s="5"/>
      <c r="AAJ173" s="4"/>
      <c r="AAK173" s="4"/>
      <c r="AAL173" s="4"/>
      <c r="AAM173" s="4"/>
      <c r="AAN173" s="5"/>
      <c r="AAO173" s="6"/>
      <c r="AAP173" s="4"/>
      <c r="AAQ173" s="4"/>
      <c r="AAR173" s="4"/>
      <c r="AAS173" s="4"/>
      <c r="AAT173" s="4"/>
      <c r="AAU173" s="5"/>
      <c r="AAV173" s="6"/>
      <c r="AAW173" s="4"/>
      <c r="AAX173" s="4"/>
      <c r="AAY173" s="4"/>
      <c r="AAZ173" s="4"/>
      <c r="ABA173" s="4"/>
      <c r="ABB173" s="5"/>
      <c r="ABC173" s="6"/>
      <c r="ABD173" s="4"/>
      <c r="ABE173" s="4"/>
      <c r="ABF173" s="4"/>
      <c r="ABG173" s="4"/>
      <c r="ABH173" s="4"/>
      <c r="ABI173" s="5"/>
      <c r="ABJ173" s="6"/>
      <c r="ABK173" s="4"/>
      <c r="ABL173" s="4"/>
      <c r="ABM173" s="4"/>
      <c r="ABN173" s="4"/>
      <c r="ABO173" s="4"/>
      <c r="ABP173" s="5"/>
      <c r="ABQ173" s="6"/>
      <c r="ABR173" s="4"/>
      <c r="ABS173" s="4"/>
      <c r="ABT173" s="4"/>
      <c r="ABU173" s="4"/>
      <c r="ABV173" s="4"/>
      <c r="ABW173" s="5"/>
      <c r="ABX173" s="6"/>
      <c r="ABY173" s="4"/>
      <c r="ABZ173" s="4"/>
      <c r="ACA173" s="4"/>
      <c r="ACB173" s="4"/>
      <c r="ACC173" s="4"/>
      <c r="ACD173" s="5"/>
      <c r="ACE173" s="6"/>
      <c r="ACF173" s="4"/>
      <c r="ACG173" s="4"/>
      <c r="ACH173" s="4"/>
      <c r="ACI173" s="4"/>
      <c r="ACJ173" s="4"/>
      <c r="ACK173" s="5"/>
      <c r="ACL173" s="6"/>
      <c r="ACM173" s="4"/>
      <c r="ACN173" s="4"/>
      <c r="ACO173" s="4"/>
      <c r="ACP173" s="4"/>
      <c r="ACQ173" s="4"/>
      <c r="ACR173" s="5"/>
      <c r="ACS173" s="6"/>
      <c r="ACT173" s="4"/>
      <c r="ACU173" s="4"/>
      <c r="ACV173" s="4"/>
      <c r="ACW173" s="4"/>
      <c r="ACX173" s="4"/>
      <c r="ACY173" s="5"/>
    </row>
    <row r="174" spans="2:779" x14ac:dyDescent="0.25">
      <c r="B174" s="29">
        <v>98006993</v>
      </c>
      <c r="C174">
        <v>36</v>
      </c>
      <c r="D174" t="s">
        <v>3587</v>
      </c>
      <c r="F174" s="23" t="s">
        <v>1781</v>
      </c>
      <c r="I174">
        <v>1</v>
      </c>
      <c r="J174" s="19">
        <v>35479</v>
      </c>
      <c r="K174" s="19"/>
      <c r="L174" s="19"/>
      <c r="LL174" s="6"/>
      <c r="LM174" s="4"/>
      <c r="LN174" s="4"/>
      <c r="LO174" s="4"/>
      <c r="LP174" s="4"/>
      <c r="LQ174" s="4"/>
      <c r="LR174" s="5"/>
      <c r="LS174" s="6"/>
      <c r="LT174" s="4"/>
      <c r="LU174" s="4"/>
      <c r="LV174" s="4"/>
      <c r="LW174" s="4"/>
      <c r="LX174" s="4"/>
      <c r="LY174" s="5"/>
      <c r="LZ174" s="6" t="s">
        <v>3173</v>
      </c>
      <c r="MA174" s="7" t="s">
        <v>3174</v>
      </c>
      <c r="MB174" s="4"/>
      <c r="MC174" s="4"/>
      <c r="MD174" s="8"/>
      <c r="ME174" s="4"/>
      <c r="MF174" s="4"/>
      <c r="MG174" s="5" t="s">
        <v>3175</v>
      </c>
      <c r="MH174" s="6"/>
      <c r="MI174" s="4"/>
      <c r="MJ174" s="4"/>
      <c r="MK174" s="4"/>
      <c r="ML174" s="4"/>
      <c r="MM174" s="4"/>
      <c r="MN174" s="5"/>
      <c r="MO174" s="6"/>
      <c r="MP174" s="4"/>
      <c r="MQ174" s="4"/>
      <c r="MR174" s="4"/>
      <c r="MS174" s="4"/>
      <c r="MT174" s="4"/>
      <c r="MU174" s="5"/>
      <c r="MV174" s="6"/>
      <c r="MW174" s="4"/>
      <c r="MX174" s="4"/>
      <c r="MY174" s="4"/>
      <c r="MZ174" s="4"/>
      <c r="NA174" s="4"/>
      <c r="NB174" s="5"/>
      <c r="NC174" s="6"/>
      <c r="ND174" s="4"/>
      <c r="NE174" s="4"/>
      <c r="NF174" s="4"/>
      <c r="NG174" s="4"/>
      <c r="NH174" s="4"/>
      <c r="NI174" s="5"/>
      <c r="NJ174" s="6"/>
      <c r="NK174" s="4"/>
      <c r="NL174" s="4"/>
      <c r="NM174" s="4"/>
      <c r="NN174" s="4"/>
      <c r="NO174" s="4"/>
      <c r="NP174" s="5"/>
      <c r="NQ174" s="6"/>
      <c r="NR174" s="4"/>
      <c r="NS174" s="4"/>
      <c r="NT174" s="4"/>
      <c r="NU174" s="4"/>
      <c r="NV174" s="4"/>
      <c r="NW174" s="5"/>
      <c r="NX174" s="6"/>
      <c r="NY174" s="4"/>
      <c r="NZ174" s="4"/>
      <c r="OA174" s="4"/>
      <c r="OB174" s="4"/>
      <c r="OC174" s="4"/>
      <c r="OD174" s="5"/>
      <c r="OE174" s="6"/>
      <c r="OF174" s="4"/>
      <c r="OG174" s="4"/>
      <c r="OH174" s="4"/>
      <c r="OI174" s="4"/>
      <c r="OJ174" s="4"/>
      <c r="OK174" s="5"/>
      <c r="OL174" s="6"/>
      <c r="OM174" s="4"/>
      <c r="ON174" s="4"/>
      <c r="OO174" s="4"/>
      <c r="OP174" s="4"/>
      <c r="OQ174" s="4"/>
      <c r="OR174" s="5"/>
      <c r="OS174" s="6"/>
      <c r="OT174" s="4"/>
      <c r="OU174" s="4"/>
      <c r="OV174" s="4"/>
      <c r="OW174" s="4"/>
      <c r="OX174" s="4"/>
      <c r="OY174" s="5"/>
      <c r="OZ174" s="6"/>
      <c r="PA174" s="4"/>
      <c r="PB174" s="4"/>
      <c r="PC174" s="4"/>
      <c r="PD174" s="4"/>
      <c r="PE174" s="4"/>
      <c r="PF174" s="5"/>
      <c r="PG174" s="6"/>
      <c r="PH174" s="4"/>
      <c r="PI174" s="4"/>
      <c r="PJ174" s="4"/>
      <c r="PK174" s="4"/>
      <c r="PL174" s="4"/>
      <c r="PM174" s="5"/>
      <c r="PN174" s="6"/>
      <c r="PO174" s="4"/>
      <c r="PP174" s="4"/>
      <c r="PQ174" s="4"/>
      <c r="PR174" s="4"/>
      <c r="PS174" s="4"/>
      <c r="PT174" s="5"/>
      <c r="PU174" s="6"/>
      <c r="PV174" s="4"/>
      <c r="PW174" s="4"/>
      <c r="PX174" s="4"/>
      <c r="PY174" s="4"/>
      <c r="PZ174" s="4"/>
      <c r="QA174" s="5"/>
      <c r="QB174" s="6"/>
      <c r="QC174" s="4"/>
      <c r="QD174" s="4"/>
      <c r="QE174" s="4"/>
      <c r="QF174" s="4"/>
      <c r="QG174" s="4"/>
      <c r="QH174" s="5"/>
      <c r="QI174" s="6"/>
      <c r="QJ174" s="4"/>
      <c r="QK174" s="4"/>
      <c r="QL174" s="4"/>
      <c r="QM174" s="4"/>
      <c r="QN174" s="4"/>
      <c r="QO174" s="5"/>
      <c r="QP174" s="6"/>
      <c r="QQ174" s="4"/>
      <c r="QR174" s="4"/>
      <c r="QS174" s="4"/>
      <c r="QT174" s="4"/>
      <c r="QU174" s="4"/>
      <c r="QV174" s="5"/>
      <c r="QW174" s="6"/>
      <c r="QX174" s="4"/>
      <c r="QY174" s="4"/>
      <c r="QZ174" s="4"/>
      <c r="RA174" s="4"/>
      <c r="RB174" s="4"/>
      <c r="RC174" s="5"/>
      <c r="RD174" s="6"/>
      <c r="RE174" s="4"/>
      <c r="RF174" s="4"/>
      <c r="RG174" s="4"/>
      <c r="RH174" s="4"/>
      <c r="RI174" s="4"/>
      <c r="RJ174" s="5"/>
      <c r="RK174" s="6"/>
      <c r="RL174" s="4"/>
      <c r="RM174" s="4"/>
      <c r="RN174" s="4"/>
      <c r="RO174" s="4"/>
      <c r="RP174" s="4"/>
      <c r="RQ174" s="5"/>
      <c r="RR174" s="6"/>
      <c r="RS174" s="4"/>
      <c r="RT174" s="4"/>
      <c r="RU174" s="4"/>
      <c r="RV174" s="4"/>
      <c r="RW174" s="4"/>
      <c r="RX174" s="5"/>
      <c r="RY174" s="6"/>
      <c r="RZ174" s="4"/>
      <c r="SA174" s="4"/>
      <c r="SB174" s="4"/>
      <c r="SC174" s="4"/>
      <c r="SD174" s="4"/>
      <c r="SE174" s="5"/>
      <c r="SF174" s="6"/>
      <c r="SG174" s="4"/>
      <c r="SH174" s="4"/>
      <c r="SI174" s="4"/>
      <c r="SJ174" s="4"/>
      <c r="SK174" s="4"/>
      <c r="SL174" s="5"/>
      <c r="SM174" s="6"/>
      <c r="SN174" s="4"/>
      <c r="SO174" s="4"/>
      <c r="SP174" s="4"/>
      <c r="SQ174" s="4"/>
      <c r="SR174" s="4"/>
      <c r="SS174" s="5"/>
      <c r="ST174" s="6"/>
      <c r="SU174" s="4"/>
      <c r="SV174" s="4"/>
      <c r="SW174" s="4"/>
      <c r="SX174" s="4"/>
      <c r="SY174" s="4"/>
      <c r="SZ174" s="5"/>
      <c r="TA174" s="6"/>
      <c r="TB174" s="4"/>
      <c r="TC174" s="4"/>
      <c r="TD174" s="4"/>
      <c r="TE174" s="4"/>
      <c r="TF174" s="4"/>
      <c r="TG174" s="5"/>
      <c r="TH174" s="6"/>
      <c r="TI174" s="4"/>
      <c r="TJ174" s="4"/>
      <c r="TK174" s="4"/>
      <c r="TL174" s="4"/>
      <c r="TM174" s="4"/>
      <c r="TN174" s="5"/>
      <c r="TO174" s="6"/>
      <c r="TP174" s="4"/>
      <c r="TQ174" s="4"/>
      <c r="TR174" s="4"/>
      <c r="TS174" s="4"/>
      <c r="TT174" s="4"/>
      <c r="TU174" s="5"/>
      <c r="TV174" s="6"/>
      <c r="TW174" s="4"/>
      <c r="TX174" s="4"/>
      <c r="TY174" s="4"/>
      <c r="TZ174" s="4"/>
      <c r="UA174" s="4"/>
      <c r="UB174" s="5"/>
      <c r="UC174" s="6"/>
      <c r="UD174" s="4"/>
      <c r="UE174" s="4"/>
      <c r="UF174" s="4"/>
      <c r="UG174" s="4"/>
      <c r="UH174" s="4"/>
      <c r="UI174" s="5"/>
      <c r="UJ174" s="6"/>
      <c r="UK174" s="4"/>
      <c r="UL174" s="4"/>
      <c r="UM174" s="4"/>
      <c r="UN174" s="4"/>
      <c r="UO174" s="4"/>
      <c r="UP174" s="5"/>
      <c r="UQ174" s="6"/>
      <c r="UR174" s="4"/>
      <c r="US174" s="4"/>
      <c r="UT174" s="4"/>
      <c r="UU174" s="4"/>
      <c r="UV174" s="4"/>
      <c r="UW174" s="5"/>
      <c r="UX174" s="6"/>
      <c r="UY174" s="4"/>
      <c r="UZ174" s="4"/>
      <c r="VA174" s="4"/>
      <c r="VB174" s="4"/>
      <c r="VC174" s="4"/>
      <c r="VD174" s="5"/>
      <c r="VE174" s="6"/>
      <c r="VF174" s="4"/>
      <c r="VG174" s="4"/>
      <c r="VH174" s="4"/>
      <c r="VI174" s="4"/>
      <c r="VJ174" s="4"/>
      <c r="VK174" s="5"/>
      <c r="VL174" s="6"/>
      <c r="VM174" s="4"/>
      <c r="VN174" s="4"/>
      <c r="VO174" s="4"/>
      <c r="VP174" s="4"/>
      <c r="VQ174" s="4"/>
      <c r="VR174" s="5"/>
      <c r="VS174" s="6"/>
      <c r="VT174" s="4"/>
      <c r="VU174" s="4"/>
      <c r="VV174" s="4"/>
      <c r="VW174" s="4"/>
      <c r="VX174" s="4"/>
      <c r="VY174" s="5"/>
      <c r="VZ174" s="6"/>
      <c r="WA174" s="4"/>
      <c r="WB174" s="4"/>
      <c r="WC174" s="4"/>
      <c r="WD174" s="4"/>
      <c r="WE174" s="4"/>
      <c r="WF174" s="5"/>
      <c r="WG174" s="6"/>
      <c r="WH174" s="4"/>
      <c r="WI174" s="4"/>
      <c r="WJ174" s="4"/>
      <c r="WK174" s="4"/>
      <c r="WL174" s="4"/>
      <c r="WM174" s="5"/>
      <c r="WN174" s="6"/>
      <c r="WO174" s="4"/>
      <c r="WP174" s="4"/>
      <c r="WQ174" s="4"/>
      <c r="WR174" s="4"/>
      <c r="WS174" s="4"/>
      <c r="WT174" s="5"/>
      <c r="WU174" s="6"/>
      <c r="WV174" s="4"/>
      <c r="WW174" s="4"/>
      <c r="WX174" s="4"/>
      <c r="WY174" s="4"/>
      <c r="WZ174" s="4"/>
      <c r="XA174" s="5"/>
      <c r="XB174" s="6"/>
      <c r="XC174" s="4"/>
      <c r="XD174" s="4"/>
      <c r="XE174" s="4"/>
      <c r="XF174" s="4"/>
      <c r="XG174" s="4"/>
      <c r="XH174" s="5"/>
      <c r="XI174" s="6"/>
      <c r="XJ174" s="4"/>
      <c r="XK174" s="4"/>
      <c r="XL174" s="4"/>
      <c r="XM174" s="4"/>
      <c r="XN174" s="4"/>
      <c r="XO174" s="5"/>
      <c r="XP174" s="6"/>
      <c r="XQ174" s="4"/>
      <c r="XR174" s="4"/>
      <c r="XS174" s="4"/>
      <c r="XT174" s="4"/>
      <c r="XU174" s="4"/>
      <c r="XV174" s="5"/>
      <c r="XW174" s="6"/>
      <c r="XX174" s="4"/>
      <c r="XY174" s="4"/>
      <c r="XZ174" s="4"/>
      <c r="YA174" s="4"/>
      <c r="YB174" s="4"/>
      <c r="YC174" s="5"/>
      <c r="YD174" s="6"/>
      <c r="YE174" s="4"/>
      <c r="YF174" s="4"/>
      <c r="YG174" s="4"/>
      <c r="YH174" s="4"/>
      <c r="YI174" s="4"/>
      <c r="YJ174" s="5"/>
      <c r="YK174" s="6"/>
      <c r="YL174" s="4"/>
      <c r="YM174" s="4"/>
      <c r="YN174" s="4"/>
      <c r="YO174" s="4"/>
      <c r="YP174" s="4"/>
      <c r="YQ174" s="5"/>
      <c r="YR174" s="6"/>
      <c r="YS174" s="4"/>
      <c r="YT174" s="4"/>
      <c r="YU174" s="4"/>
      <c r="YV174" s="4"/>
      <c r="YW174" s="4"/>
      <c r="YX174" s="5"/>
      <c r="YY174" s="6"/>
      <c r="YZ174" s="4"/>
      <c r="ZA174" s="4"/>
      <c r="ZB174" s="4"/>
      <c r="ZC174" s="4"/>
      <c r="ZD174" s="4"/>
      <c r="ZE174" s="5"/>
      <c r="ZF174" s="6"/>
      <c r="ZG174" s="4"/>
      <c r="ZH174" s="4"/>
      <c r="ZI174" s="4"/>
      <c r="ZJ174" s="4"/>
      <c r="ZK174" s="4"/>
      <c r="ZL174" s="5"/>
      <c r="ZM174" s="6"/>
      <c r="ZN174" s="4"/>
      <c r="ZO174" s="4"/>
      <c r="ZP174" s="4"/>
      <c r="ZQ174" s="4"/>
      <c r="ZR174" s="4"/>
      <c r="ZS174" s="5"/>
      <c r="ZT174" s="6"/>
      <c r="ZU174" s="4"/>
      <c r="ZV174" s="4"/>
      <c r="ZW174" s="4"/>
      <c r="ZX174" s="4"/>
      <c r="ZY174" s="4"/>
      <c r="ZZ174" s="5"/>
      <c r="AAA174" s="6"/>
      <c r="AAB174" s="4"/>
      <c r="AAC174" s="4"/>
      <c r="AAD174" s="4"/>
      <c r="AAE174" s="4"/>
      <c r="AAF174" s="4"/>
      <c r="AAG174" s="5"/>
      <c r="AAH174" s="6"/>
      <c r="AAI174" s="4"/>
      <c r="AAJ174" s="4"/>
      <c r="AAK174" s="4"/>
      <c r="AAL174" s="4"/>
      <c r="AAM174" s="4"/>
      <c r="AAN174" s="5"/>
      <c r="AAO174" s="6"/>
      <c r="AAP174" s="4"/>
      <c r="AAQ174" s="4"/>
      <c r="AAR174" s="4"/>
      <c r="AAS174" s="4"/>
      <c r="AAT174" s="4"/>
      <c r="AAU174" s="5"/>
      <c r="AAV174" s="6"/>
      <c r="AAW174" s="4"/>
      <c r="AAX174" s="4"/>
      <c r="AAY174" s="4"/>
      <c r="AAZ174" s="4"/>
      <c r="ABA174" s="4"/>
      <c r="ABB174" s="5"/>
      <c r="ABC174" s="6"/>
      <c r="ABD174" s="4"/>
      <c r="ABE174" s="4"/>
      <c r="ABF174" s="4"/>
      <c r="ABG174" s="4"/>
      <c r="ABH174" s="4"/>
      <c r="ABI174" s="5"/>
      <c r="ABJ174" s="6"/>
      <c r="ABK174" s="4"/>
      <c r="ABL174" s="4"/>
      <c r="ABM174" s="4"/>
      <c r="ABN174" s="4"/>
      <c r="ABO174" s="4"/>
      <c r="ABP174" s="5"/>
      <c r="ABQ174" s="6"/>
      <c r="ABR174" s="4"/>
      <c r="ABS174" s="4"/>
      <c r="ABT174" s="4"/>
      <c r="ABU174" s="4"/>
      <c r="ABV174" s="4"/>
      <c r="ABW174" s="5"/>
      <c r="ABX174" s="6"/>
      <c r="ABY174" s="4"/>
      <c r="ABZ174" s="4"/>
      <c r="ACA174" s="4"/>
      <c r="ACB174" s="4"/>
      <c r="ACC174" s="4"/>
      <c r="ACD174" s="5"/>
      <c r="ACE174" s="6"/>
      <c r="ACF174" s="4"/>
      <c r="ACG174" s="4"/>
      <c r="ACH174" s="4"/>
      <c r="ACI174" s="4"/>
      <c r="ACJ174" s="4"/>
      <c r="ACK174" s="5"/>
      <c r="ACL174" s="6"/>
      <c r="ACM174" s="4"/>
      <c r="ACN174" s="4"/>
      <c r="ACO174" s="4"/>
      <c r="ACP174" s="4"/>
      <c r="ACQ174" s="4"/>
      <c r="ACR174" s="5"/>
      <c r="ACS174" s="6"/>
      <c r="ACT174" s="4"/>
      <c r="ACU174" s="4"/>
      <c r="ACV174" s="4"/>
      <c r="ACW174" s="4"/>
      <c r="ACX174" s="4"/>
      <c r="ACY174" s="5"/>
    </row>
    <row r="175" spans="2:779" x14ac:dyDescent="0.25">
      <c r="B175" s="30"/>
      <c r="J175" s="12"/>
      <c r="K175" s="12"/>
      <c r="L175" s="12"/>
      <c r="LL175" s="6"/>
      <c r="LM175" s="4"/>
      <c r="LN175" s="4"/>
      <c r="LO175" s="4"/>
      <c r="LP175" s="4"/>
      <c r="LQ175" s="4"/>
      <c r="LR175" s="5"/>
      <c r="LS175" s="6"/>
      <c r="LT175" s="4"/>
      <c r="LU175" s="4"/>
      <c r="LV175" s="4"/>
      <c r="LW175" s="4"/>
      <c r="LX175" s="4"/>
      <c r="LY175" s="5"/>
      <c r="LZ175" s="6" t="s">
        <v>3316</v>
      </c>
      <c r="MA175" s="7" t="s">
        <v>3317</v>
      </c>
      <c r="MB175" s="4"/>
      <c r="MC175" s="4"/>
      <c r="MD175" s="8"/>
      <c r="ME175" s="4"/>
      <c r="MF175" s="4"/>
      <c r="MG175" s="5"/>
      <c r="MH175" s="6"/>
      <c r="MI175" s="4"/>
      <c r="MJ175" s="4"/>
      <c r="MK175" s="4"/>
      <c r="ML175" s="4"/>
      <c r="MM175" s="4"/>
      <c r="MN175" s="5"/>
      <c r="MO175" s="6"/>
      <c r="MP175" s="4"/>
      <c r="MQ175" s="4"/>
      <c r="MR175" s="4"/>
      <c r="MS175" s="4"/>
      <c r="MT175" s="4"/>
      <c r="MU175" s="5"/>
      <c r="MV175" s="6"/>
      <c r="MW175" s="4"/>
      <c r="MX175" s="4"/>
      <c r="MY175" s="4"/>
      <c r="MZ175" s="4"/>
      <c r="NA175" s="4"/>
      <c r="NB175" s="5"/>
      <c r="NC175" s="6"/>
      <c r="ND175" s="4"/>
      <c r="NE175" s="4"/>
      <c r="NF175" s="4"/>
      <c r="NG175" s="4"/>
      <c r="NH175" s="4"/>
      <c r="NI175" s="5"/>
      <c r="NJ175" s="6"/>
      <c r="NK175" s="4"/>
      <c r="NL175" s="4"/>
      <c r="NM175" s="4"/>
      <c r="NN175" s="4"/>
      <c r="NO175" s="4"/>
      <c r="NP175" s="5"/>
      <c r="NQ175" s="6"/>
      <c r="NR175" s="4"/>
      <c r="NS175" s="4"/>
      <c r="NT175" s="4"/>
      <c r="NU175" s="4"/>
      <c r="NV175" s="4"/>
      <c r="NW175" s="5"/>
      <c r="NX175" s="6"/>
      <c r="NY175" s="4"/>
      <c r="NZ175" s="4"/>
      <c r="OA175" s="4"/>
      <c r="OB175" s="4"/>
      <c r="OC175" s="4"/>
      <c r="OD175" s="5"/>
      <c r="OE175" s="6"/>
      <c r="OF175" s="4"/>
      <c r="OG175" s="4"/>
      <c r="OH175" s="4"/>
      <c r="OI175" s="4"/>
      <c r="OJ175" s="4"/>
      <c r="OK175" s="5"/>
      <c r="OL175" s="6"/>
      <c r="OM175" s="4"/>
      <c r="ON175" s="4"/>
      <c r="OO175" s="4"/>
      <c r="OP175" s="4"/>
      <c r="OQ175" s="4"/>
      <c r="OR175" s="5"/>
      <c r="OS175" s="6"/>
      <c r="OT175" s="4"/>
      <c r="OU175" s="4"/>
      <c r="OV175" s="4"/>
      <c r="OW175" s="4"/>
      <c r="OX175" s="4"/>
      <c r="OY175" s="5"/>
      <c r="OZ175" s="6"/>
      <c r="PA175" s="4"/>
      <c r="PB175" s="4"/>
      <c r="PC175" s="4"/>
      <c r="PD175" s="4"/>
      <c r="PE175" s="4"/>
      <c r="PF175" s="5"/>
      <c r="PG175" s="6"/>
      <c r="PH175" s="4"/>
      <c r="PI175" s="4"/>
      <c r="PJ175" s="4"/>
      <c r="PK175" s="4"/>
      <c r="PL175" s="4"/>
      <c r="PM175" s="5"/>
      <c r="PN175" s="6"/>
      <c r="PO175" s="4"/>
      <c r="PP175" s="4"/>
      <c r="PQ175" s="4"/>
      <c r="PR175" s="4"/>
      <c r="PS175" s="4"/>
      <c r="PT175" s="5"/>
      <c r="PU175" s="6"/>
      <c r="PV175" s="4"/>
      <c r="PW175" s="4"/>
      <c r="PX175" s="4"/>
      <c r="PY175" s="4"/>
      <c r="PZ175" s="4"/>
      <c r="QA175" s="5"/>
      <c r="QB175" s="6"/>
      <c r="QC175" s="4"/>
      <c r="QD175" s="4"/>
      <c r="QE175" s="4"/>
      <c r="QF175" s="4"/>
      <c r="QG175" s="4"/>
      <c r="QH175" s="5"/>
      <c r="QI175" s="6"/>
      <c r="QJ175" s="4"/>
      <c r="QK175" s="4"/>
      <c r="QL175" s="4"/>
      <c r="QM175" s="4"/>
      <c r="QN175" s="4"/>
      <c r="QO175" s="5"/>
      <c r="QP175" s="6"/>
      <c r="QQ175" s="4"/>
      <c r="QR175" s="4"/>
      <c r="QS175" s="4"/>
      <c r="QT175" s="4"/>
      <c r="QU175" s="4"/>
      <c r="QV175" s="5"/>
      <c r="QW175" s="6"/>
      <c r="QX175" s="4"/>
      <c r="QY175" s="4"/>
      <c r="QZ175" s="4"/>
      <c r="RA175" s="4"/>
      <c r="RB175" s="4"/>
      <c r="RC175" s="5"/>
      <c r="RD175" s="6"/>
      <c r="RE175" s="4"/>
      <c r="RF175" s="4"/>
      <c r="RG175" s="4"/>
      <c r="RH175" s="4"/>
      <c r="RI175" s="4"/>
      <c r="RJ175" s="5"/>
      <c r="RK175" s="6"/>
      <c r="RL175" s="4"/>
      <c r="RM175" s="4"/>
      <c r="RN175" s="4"/>
      <c r="RO175" s="4"/>
      <c r="RP175" s="4"/>
      <c r="RQ175" s="5"/>
      <c r="RR175" s="6"/>
      <c r="RS175" s="4"/>
      <c r="RT175" s="4"/>
      <c r="RU175" s="4"/>
      <c r="RV175" s="4"/>
      <c r="RW175" s="4"/>
      <c r="RX175" s="5"/>
      <c r="RY175" s="6"/>
      <c r="RZ175" s="4"/>
      <c r="SA175" s="4"/>
      <c r="SB175" s="4"/>
      <c r="SC175" s="4"/>
      <c r="SD175" s="4"/>
      <c r="SE175" s="5"/>
      <c r="SF175" s="6"/>
      <c r="SG175" s="4"/>
      <c r="SH175" s="4"/>
      <c r="SI175" s="4"/>
      <c r="SJ175" s="4"/>
      <c r="SK175" s="4"/>
      <c r="SL175" s="5"/>
      <c r="SM175" s="6"/>
      <c r="SN175" s="4"/>
      <c r="SO175" s="4"/>
      <c r="SP175" s="4"/>
      <c r="SQ175" s="4"/>
      <c r="SR175" s="4"/>
      <c r="SS175" s="5"/>
      <c r="ST175" s="6"/>
      <c r="SU175" s="4"/>
      <c r="SV175" s="4"/>
      <c r="SW175" s="4"/>
      <c r="SX175" s="4"/>
      <c r="SY175" s="4"/>
      <c r="SZ175" s="5"/>
      <c r="TA175" s="6"/>
      <c r="TB175" s="4"/>
      <c r="TC175" s="4"/>
      <c r="TD175" s="4"/>
      <c r="TE175" s="4"/>
      <c r="TF175" s="4"/>
      <c r="TG175" s="5"/>
      <c r="TH175" s="6"/>
      <c r="TI175" s="4"/>
      <c r="TJ175" s="4"/>
      <c r="TK175" s="4"/>
      <c r="TL175" s="4"/>
      <c r="TM175" s="4"/>
      <c r="TN175" s="5"/>
      <c r="TO175" s="6"/>
      <c r="TP175" s="4"/>
      <c r="TQ175" s="4"/>
      <c r="TR175" s="4"/>
      <c r="TS175" s="4"/>
      <c r="TT175" s="4"/>
      <c r="TU175" s="5"/>
      <c r="TV175" s="6"/>
      <c r="TW175" s="4"/>
      <c r="TX175" s="4"/>
      <c r="TY175" s="4"/>
      <c r="TZ175" s="4"/>
      <c r="UA175" s="4"/>
      <c r="UB175" s="5"/>
      <c r="UC175" s="6"/>
      <c r="UD175" s="4"/>
      <c r="UE175" s="4"/>
      <c r="UF175" s="4"/>
      <c r="UG175" s="4"/>
      <c r="UH175" s="4"/>
      <c r="UI175" s="5"/>
      <c r="UJ175" s="6"/>
      <c r="UK175" s="4"/>
      <c r="UL175" s="4"/>
      <c r="UM175" s="4"/>
      <c r="UN175" s="4"/>
      <c r="UO175" s="4"/>
      <c r="UP175" s="5"/>
      <c r="UQ175" s="6"/>
      <c r="UR175" s="4"/>
      <c r="US175" s="4"/>
      <c r="UT175" s="4"/>
      <c r="UU175" s="4"/>
      <c r="UV175" s="4"/>
      <c r="UW175" s="5"/>
      <c r="UX175" s="6"/>
      <c r="UY175" s="4"/>
      <c r="UZ175" s="4"/>
      <c r="VA175" s="4"/>
      <c r="VB175" s="4"/>
      <c r="VC175" s="4"/>
      <c r="VD175" s="5"/>
      <c r="VE175" s="6"/>
      <c r="VF175" s="4"/>
      <c r="VG175" s="4"/>
      <c r="VH175" s="4"/>
      <c r="VI175" s="4"/>
      <c r="VJ175" s="4"/>
      <c r="VK175" s="5"/>
      <c r="VL175" s="6"/>
      <c r="VM175" s="4"/>
      <c r="VN175" s="4"/>
      <c r="VO175" s="4"/>
      <c r="VP175" s="4"/>
      <c r="VQ175" s="4"/>
      <c r="VR175" s="5"/>
      <c r="VS175" s="6"/>
      <c r="VT175" s="4"/>
      <c r="VU175" s="4"/>
      <c r="VV175" s="4"/>
      <c r="VW175" s="4"/>
      <c r="VX175" s="4"/>
      <c r="VY175" s="5"/>
      <c r="VZ175" s="6"/>
      <c r="WA175" s="4"/>
      <c r="WB175" s="4"/>
      <c r="WC175" s="4"/>
      <c r="WD175" s="4"/>
      <c r="WE175" s="4"/>
      <c r="WF175" s="5"/>
      <c r="WG175" s="6"/>
      <c r="WH175" s="4"/>
      <c r="WI175" s="4"/>
      <c r="WJ175" s="4"/>
      <c r="WK175" s="4"/>
      <c r="WL175" s="4"/>
      <c r="WM175" s="5"/>
      <c r="WN175" s="6"/>
      <c r="WO175" s="4"/>
      <c r="WP175" s="4"/>
      <c r="WQ175" s="4"/>
      <c r="WR175" s="4"/>
      <c r="WS175" s="4"/>
      <c r="WT175" s="5"/>
      <c r="WU175" s="6"/>
      <c r="WV175" s="4"/>
      <c r="WW175" s="4"/>
      <c r="WX175" s="4"/>
      <c r="WY175" s="4"/>
      <c r="WZ175" s="4"/>
      <c r="XA175" s="5"/>
      <c r="XB175" s="6"/>
      <c r="XC175" s="4"/>
      <c r="XD175" s="4"/>
      <c r="XE175" s="4"/>
      <c r="XF175" s="4"/>
      <c r="XG175" s="4"/>
      <c r="XH175" s="5"/>
      <c r="XI175" s="6"/>
      <c r="XJ175" s="4"/>
      <c r="XK175" s="4"/>
      <c r="XL175" s="4"/>
      <c r="XM175" s="4"/>
      <c r="XN175" s="4"/>
      <c r="XO175" s="5"/>
      <c r="XP175" s="6"/>
      <c r="XQ175" s="4"/>
      <c r="XR175" s="4"/>
      <c r="XS175" s="4"/>
      <c r="XT175" s="4"/>
      <c r="XU175" s="4"/>
      <c r="XV175" s="5"/>
      <c r="XW175" s="6"/>
      <c r="XX175" s="4"/>
      <c r="XY175" s="4"/>
      <c r="XZ175" s="4"/>
      <c r="YA175" s="4"/>
      <c r="YB175" s="4"/>
      <c r="YC175" s="5"/>
      <c r="YD175" s="6"/>
      <c r="YE175" s="4"/>
      <c r="YF175" s="4"/>
      <c r="YG175" s="4"/>
      <c r="YH175" s="4"/>
      <c r="YI175" s="4"/>
      <c r="YJ175" s="5"/>
      <c r="YK175" s="6"/>
      <c r="YL175" s="4"/>
      <c r="YM175" s="4"/>
      <c r="YN175" s="4"/>
      <c r="YO175" s="4"/>
      <c r="YP175" s="4"/>
      <c r="YQ175" s="5"/>
      <c r="YR175" s="6"/>
      <c r="YS175" s="4"/>
      <c r="YT175" s="4"/>
      <c r="YU175" s="4"/>
      <c r="YV175" s="4"/>
      <c r="YW175" s="4"/>
      <c r="YX175" s="5"/>
      <c r="YY175" s="6"/>
      <c r="YZ175" s="4"/>
      <c r="ZA175" s="4"/>
      <c r="ZB175" s="4"/>
      <c r="ZC175" s="4"/>
      <c r="ZD175" s="4"/>
      <c r="ZE175" s="5"/>
      <c r="ZF175" s="6"/>
      <c r="ZG175" s="4"/>
      <c r="ZH175" s="4"/>
      <c r="ZI175" s="4"/>
      <c r="ZJ175" s="4"/>
      <c r="ZK175" s="4"/>
      <c r="ZL175" s="5"/>
      <c r="ZM175" s="6"/>
      <c r="ZN175" s="4"/>
      <c r="ZO175" s="4"/>
      <c r="ZP175" s="4"/>
      <c r="ZQ175" s="4"/>
      <c r="ZR175" s="4"/>
      <c r="ZS175" s="5"/>
      <c r="ZT175" s="6"/>
      <c r="ZU175" s="4"/>
      <c r="ZV175" s="4"/>
      <c r="ZW175" s="4"/>
      <c r="ZX175" s="4"/>
      <c r="ZY175" s="4"/>
      <c r="ZZ175" s="5"/>
      <c r="AAA175" s="6"/>
      <c r="AAB175" s="4"/>
      <c r="AAC175" s="4"/>
      <c r="AAD175" s="4"/>
      <c r="AAE175" s="4"/>
      <c r="AAF175" s="4"/>
      <c r="AAG175" s="5"/>
      <c r="AAH175" s="6"/>
      <c r="AAI175" s="4"/>
      <c r="AAJ175" s="4"/>
      <c r="AAK175" s="4"/>
      <c r="AAL175" s="4"/>
      <c r="AAM175" s="4"/>
      <c r="AAN175" s="5"/>
      <c r="AAO175" s="6"/>
      <c r="AAP175" s="4"/>
      <c r="AAQ175" s="4"/>
      <c r="AAR175" s="4"/>
      <c r="AAS175" s="4"/>
      <c r="AAT175" s="4"/>
      <c r="AAU175" s="5"/>
      <c r="AAV175" s="6"/>
      <c r="AAW175" s="4"/>
      <c r="AAX175" s="4"/>
      <c r="AAY175" s="4"/>
      <c r="AAZ175" s="4"/>
      <c r="ABA175" s="4"/>
      <c r="ABB175" s="5"/>
      <c r="ABC175" s="6"/>
      <c r="ABD175" s="4"/>
      <c r="ABE175" s="4"/>
      <c r="ABF175" s="4"/>
      <c r="ABG175" s="4"/>
      <c r="ABH175" s="4"/>
      <c r="ABI175" s="5"/>
      <c r="ABJ175" s="6"/>
      <c r="ABK175" s="4"/>
      <c r="ABL175" s="4"/>
      <c r="ABM175" s="4"/>
      <c r="ABN175" s="4"/>
      <c r="ABO175" s="4"/>
      <c r="ABP175" s="5"/>
      <c r="ABQ175" s="6"/>
      <c r="ABR175" s="4"/>
      <c r="ABS175" s="4"/>
      <c r="ABT175" s="4"/>
      <c r="ABU175" s="4"/>
      <c r="ABV175" s="4"/>
      <c r="ABW175" s="5"/>
      <c r="ABX175" s="6"/>
      <c r="ABY175" s="4"/>
      <c r="ABZ175" s="4"/>
      <c r="ACA175" s="4"/>
      <c r="ACB175" s="4"/>
      <c r="ACC175" s="4"/>
      <c r="ACD175" s="5"/>
      <c r="ACE175" s="6"/>
      <c r="ACF175" s="4"/>
      <c r="ACG175" s="4"/>
      <c r="ACH175" s="4"/>
      <c r="ACI175" s="4"/>
      <c r="ACJ175" s="4"/>
      <c r="ACK175" s="5"/>
      <c r="ACL175" s="6"/>
      <c r="ACM175" s="4"/>
      <c r="ACN175" s="4"/>
      <c r="ACO175" s="4"/>
      <c r="ACP175" s="4"/>
      <c r="ACQ175" s="4"/>
      <c r="ACR175" s="5"/>
      <c r="ACS175" s="6"/>
      <c r="ACT175" s="4"/>
      <c r="ACU175" s="4"/>
      <c r="ACV175" s="4"/>
      <c r="ACW175" s="4"/>
      <c r="ACX175" s="4"/>
      <c r="ACY175" s="5"/>
    </row>
    <row r="176" spans="2:779" x14ac:dyDescent="0.25">
      <c r="B176" s="29">
        <v>98006997</v>
      </c>
      <c r="C176">
        <v>77</v>
      </c>
      <c r="D176" t="s">
        <v>2121</v>
      </c>
      <c r="F176" s="23" t="s">
        <v>1781</v>
      </c>
      <c r="I176">
        <v>1</v>
      </c>
      <c r="J176" s="19">
        <v>35518</v>
      </c>
      <c r="K176" s="19"/>
      <c r="L176" s="19"/>
      <c r="M176">
        <v>1</v>
      </c>
      <c r="N176" s="17">
        <v>35518</v>
      </c>
      <c r="LL176" s="6"/>
      <c r="LM176" s="4"/>
      <c r="LN176" s="4"/>
      <c r="LO176" s="4"/>
      <c r="LP176" s="4"/>
      <c r="LQ176" s="4"/>
      <c r="LR176" s="5"/>
      <c r="LS176" s="6"/>
      <c r="LT176" s="4"/>
      <c r="LU176" s="4"/>
      <c r="LV176" s="4"/>
      <c r="LW176" s="4"/>
      <c r="LX176" s="4"/>
      <c r="LY176" s="5"/>
      <c r="LZ176" s="6" t="s">
        <v>3318</v>
      </c>
      <c r="MA176" s="7" t="s">
        <v>2799</v>
      </c>
      <c r="MB176" s="4"/>
      <c r="MC176" s="4"/>
      <c r="MD176" s="8"/>
      <c r="ME176" s="4"/>
      <c r="MF176" s="4"/>
      <c r="MG176" s="5"/>
      <c r="MH176" s="6"/>
      <c r="MI176" s="4"/>
      <c r="MJ176" s="4"/>
      <c r="MK176" s="4"/>
      <c r="ML176" s="4"/>
      <c r="MM176" s="4"/>
      <c r="MN176" s="5"/>
      <c r="MO176" s="6"/>
      <c r="MP176" s="4"/>
      <c r="MQ176" s="4"/>
      <c r="MR176" s="4"/>
      <c r="MS176" s="4"/>
      <c r="MT176" s="4"/>
      <c r="MU176" s="5"/>
      <c r="MV176" s="6"/>
      <c r="MW176" s="4"/>
      <c r="MX176" s="4"/>
      <c r="MY176" s="4"/>
      <c r="MZ176" s="4"/>
      <c r="NA176" s="4"/>
      <c r="NB176" s="5"/>
      <c r="NC176" s="6"/>
      <c r="ND176" s="4"/>
      <c r="NE176" s="4"/>
      <c r="NF176" s="4"/>
      <c r="NG176" s="4"/>
      <c r="NH176" s="4"/>
      <c r="NI176" s="5"/>
      <c r="NJ176" s="6"/>
      <c r="NK176" s="4"/>
      <c r="NL176" s="4"/>
      <c r="NM176" s="4"/>
      <c r="NN176" s="4"/>
      <c r="NO176" s="4"/>
      <c r="NP176" s="5"/>
      <c r="NQ176" s="6"/>
      <c r="NR176" s="4"/>
      <c r="NS176" s="4"/>
      <c r="NT176" s="4"/>
      <c r="NU176" s="4"/>
      <c r="NV176" s="4"/>
      <c r="NW176" s="5"/>
      <c r="NX176" s="6"/>
      <c r="NY176" s="4"/>
      <c r="NZ176" s="4"/>
      <c r="OA176" s="4"/>
      <c r="OB176" s="4"/>
      <c r="OC176" s="4"/>
      <c r="OD176" s="5"/>
      <c r="OE176" s="6"/>
      <c r="OF176" s="4"/>
      <c r="OG176" s="4"/>
      <c r="OH176" s="4"/>
      <c r="OI176" s="4"/>
      <c r="OJ176" s="4"/>
      <c r="OK176" s="5"/>
      <c r="OL176" s="6"/>
      <c r="OM176" s="4"/>
      <c r="ON176" s="4"/>
      <c r="OO176" s="4"/>
      <c r="OP176" s="4"/>
      <c r="OQ176" s="4"/>
      <c r="OR176" s="5"/>
      <c r="OS176" s="6"/>
      <c r="OT176" s="4"/>
      <c r="OU176" s="4"/>
      <c r="OV176" s="4"/>
      <c r="OW176" s="4"/>
      <c r="OX176" s="4"/>
      <c r="OY176" s="5"/>
      <c r="OZ176" s="6"/>
      <c r="PA176" s="4"/>
      <c r="PB176" s="4"/>
      <c r="PC176" s="4"/>
      <c r="PD176" s="4"/>
      <c r="PE176" s="4"/>
      <c r="PF176" s="5"/>
      <c r="PG176" s="6"/>
      <c r="PH176" s="4"/>
      <c r="PI176" s="4"/>
      <c r="PJ176" s="4"/>
      <c r="PK176" s="4"/>
      <c r="PL176" s="4"/>
      <c r="PM176" s="5"/>
      <c r="PN176" s="6"/>
      <c r="PO176" s="4"/>
      <c r="PP176" s="4"/>
      <c r="PQ176" s="4"/>
      <c r="PR176" s="4"/>
      <c r="PS176" s="4"/>
      <c r="PT176" s="5"/>
      <c r="PU176" s="6"/>
      <c r="PV176" s="4"/>
      <c r="PW176" s="4"/>
      <c r="PX176" s="4"/>
      <c r="PY176" s="4"/>
      <c r="PZ176" s="4"/>
      <c r="QA176" s="5"/>
      <c r="QB176" s="6"/>
      <c r="QC176" s="4"/>
      <c r="QD176" s="4"/>
      <c r="QE176" s="4"/>
      <c r="QF176" s="4"/>
      <c r="QG176" s="4"/>
      <c r="QH176" s="5"/>
      <c r="QI176" s="6"/>
      <c r="QJ176" s="4"/>
      <c r="QK176" s="4"/>
      <c r="QL176" s="4"/>
      <c r="QM176" s="4"/>
      <c r="QN176" s="4"/>
      <c r="QO176" s="5"/>
      <c r="QP176" s="6"/>
      <c r="QQ176" s="4"/>
      <c r="QR176" s="4"/>
      <c r="QS176" s="4"/>
      <c r="QT176" s="4"/>
      <c r="QU176" s="4"/>
      <c r="QV176" s="5"/>
      <c r="QW176" s="6"/>
      <c r="QX176" s="4"/>
      <c r="QY176" s="4"/>
      <c r="QZ176" s="4"/>
      <c r="RA176" s="4"/>
      <c r="RB176" s="4"/>
      <c r="RC176" s="5"/>
      <c r="RD176" s="6"/>
      <c r="RE176" s="4"/>
      <c r="RF176" s="4"/>
      <c r="RG176" s="4"/>
      <c r="RH176" s="4"/>
      <c r="RI176" s="4"/>
      <c r="RJ176" s="5"/>
      <c r="RK176" s="6"/>
      <c r="RL176" s="4"/>
      <c r="RM176" s="4"/>
      <c r="RN176" s="4"/>
      <c r="RO176" s="4"/>
      <c r="RP176" s="4"/>
      <c r="RQ176" s="5"/>
      <c r="RR176" s="6"/>
      <c r="RS176" s="4"/>
      <c r="RT176" s="4"/>
      <c r="RU176" s="4"/>
      <c r="RV176" s="4"/>
      <c r="RW176" s="4"/>
      <c r="RX176" s="5"/>
      <c r="RY176" s="6"/>
      <c r="RZ176" s="4"/>
      <c r="SA176" s="4"/>
      <c r="SB176" s="4"/>
      <c r="SC176" s="4"/>
      <c r="SD176" s="4"/>
      <c r="SE176" s="5"/>
      <c r="SF176" s="6"/>
      <c r="SG176" s="4"/>
      <c r="SH176" s="4"/>
      <c r="SI176" s="4"/>
      <c r="SJ176" s="4"/>
      <c r="SK176" s="4"/>
      <c r="SL176" s="5"/>
      <c r="SM176" s="6"/>
      <c r="SN176" s="4"/>
      <c r="SO176" s="4"/>
      <c r="SP176" s="4"/>
      <c r="SQ176" s="4"/>
      <c r="SR176" s="4"/>
      <c r="SS176" s="5"/>
      <c r="ST176" s="6"/>
      <c r="SU176" s="4"/>
      <c r="SV176" s="4"/>
      <c r="SW176" s="4"/>
      <c r="SX176" s="4"/>
      <c r="SY176" s="4"/>
      <c r="SZ176" s="5"/>
      <c r="TA176" s="6"/>
      <c r="TB176" s="4"/>
      <c r="TC176" s="4"/>
      <c r="TD176" s="4"/>
      <c r="TE176" s="4"/>
      <c r="TF176" s="4"/>
      <c r="TG176" s="5"/>
      <c r="TH176" s="6"/>
      <c r="TI176" s="4"/>
      <c r="TJ176" s="4"/>
      <c r="TK176" s="4"/>
      <c r="TL176" s="4"/>
      <c r="TM176" s="4"/>
      <c r="TN176" s="5"/>
      <c r="TO176" s="6"/>
      <c r="TP176" s="4"/>
      <c r="TQ176" s="4"/>
      <c r="TR176" s="4"/>
      <c r="TS176" s="4"/>
      <c r="TT176" s="4"/>
      <c r="TU176" s="5"/>
      <c r="TV176" s="6"/>
      <c r="TW176" s="4"/>
      <c r="TX176" s="4"/>
      <c r="TY176" s="4"/>
      <c r="TZ176" s="4"/>
      <c r="UA176" s="4"/>
      <c r="UB176" s="5"/>
      <c r="UC176" s="6"/>
      <c r="UD176" s="4"/>
      <c r="UE176" s="4"/>
      <c r="UF176" s="4"/>
      <c r="UG176" s="4"/>
      <c r="UH176" s="4"/>
      <c r="UI176" s="5"/>
      <c r="UJ176" s="6"/>
      <c r="UK176" s="4"/>
      <c r="UL176" s="4"/>
      <c r="UM176" s="4"/>
      <c r="UN176" s="4"/>
      <c r="UO176" s="4"/>
      <c r="UP176" s="5"/>
      <c r="UQ176" s="6"/>
      <c r="UR176" s="4"/>
      <c r="US176" s="4"/>
      <c r="UT176" s="4"/>
      <c r="UU176" s="4"/>
      <c r="UV176" s="4"/>
      <c r="UW176" s="5"/>
      <c r="UX176" s="6" t="s">
        <v>2808</v>
      </c>
      <c r="UY176" s="4" t="s">
        <v>3482</v>
      </c>
      <c r="UZ176" s="4"/>
      <c r="VA176" s="4"/>
      <c r="VB176" s="4"/>
      <c r="VC176" s="4"/>
      <c r="VD176" s="5"/>
      <c r="VE176" s="6"/>
      <c r="VF176" s="4"/>
      <c r="VG176" s="4"/>
      <c r="VH176" s="4"/>
      <c r="VI176" s="4"/>
      <c r="VJ176" s="4"/>
      <c r="VK176" s="5"/>
      <c r="VL176" s="6"/>
      <c r="VM176" s="4"/>
      <c r="VN176" s="4"/>
      <c r="VO176" s="4"/>
      <c r="VP176" s="4"/>
      <c r="VQ176" s="4"/>
      <c r="VR176" s="5"/>
      <c r="VS176" s="6"/>
      <c r="VT176" s="4"/>
      <c r="VU176" s="4"/>
      <c r="VV176" s="4"/>
      <c r="VW176" s="4"/>
      <c r="VX176" s="4"/>
      <c r="VY176" s="5"/>
      <c r="VZ176" s="6"/>
      <c r="WA176" s="4"/>
      <c r="WB176" s="4"/>
      <c r="WC176" s="4"/>
      <c r="WD176" s="4"/>
      <c r="WE176" s="4"/>
      <c r="WF176" s="5"/>
      <c r="WG176" s="6"/>
      <c r="WH176" s="4"/>
      <c r="WI176" s="4"/>
      <c r="WJ176" s="4"/>
      <c r="WK176" s="4"/>
      <c r="WL176" s="4"/>
      <c r="WM176" s="5"/>
      <c r="WN176" s="6"/>
      <c r="WO176" s="4"/>
      <c r="WP176" s="4"/>
      <c r="WQ176" s="4"/>
      <c r="WR176" s="4"/>
      <c r="WS176" s="4"/>
      <c r="WT176" s="5"/>
      <c r="WU176" s="6"/>
      <c r="WV176" s="4"/>
      <c r="WW176" s="4"/>
      <c r="WX176" s="4"/>
      <c r="WY176" s="4"/>
      <c r="WZ176" s="4"/>
      <c r="XA176" s="5"/>
      <c r="XB176" s="6"/>
      <c r="XC176" s="4"/>
      <c r="XD176" s="4"/>
      <c r="XE176" s="4"/>
      <c r="XF176" s="4"/>
      <c r="XG176" s="4"/>
      <c r="XH176" s="5"/>
      <c r="XI176" s="6"/>
      <c r="XJ176" s="4"/>
      <c r="XK176" s="4"/>
      <c r="XL176" s="4"/>
      <c r="XM176" s="4"/>
      <c r="XN176" s="4"/>
      <c r="XO176" s="5"/>
      <c r="XP176" s="6"/>
      <c r="XQ176" s="4"/>
      <c r="XR176" s="4"/>
      <c r="XS176" s="4"/>
      <c r="XT176" s="4"/>
      <c r="XU176" s="4"/>
      <c r="XV176" s="5"/>
      <c r="XW176" s="6"/>
      <c r="XX176" s="4"/>
      <c r="XY176" s="4"/>
      <c r="XZ176" s="4"/>
      <c r="YA176" s="4"/>
      <c r="YB176" s="4"/>
      <c r="YC176" s="5"/>
      <c r="YD176" s="6"/>
      <c r="YE176" s="4"/>
      <c r="YF176" s="4"/>
      <c r="YG176" s="4"/>
      <c r="YH176" s="4"/>
      <c r="YI176" s="4"/>
      <c r="YJ176" s="5"/>
      <c r="YK176" s="6"/>
      <c r="YL176" s="4"/>
      <c r="YM176" s="4"/>
      <c r="YN176" s="4"/>
      <c r="YO176" s="4"/>
      <c r="YP176" s="4"/>
      <c r="YQ176" s="5"/>
      <c r="YR176" s="6"/>
      <c r="YS176" s="4"/>
      <c r="YT176" s="4"/>
      <c r="YU176" s="4"/>
      <c r="YV176" s="4"/>
      <c r="YW176" s="4"/>
      <c r="YX176" s="5"/>
      <c r="YY176" s="6"/>
      <c r="YZ176" s="4"/>
      <c r="ZA176" s="4"/>
      <c r="ZB176" s="4"/>
      <c r="ZC176" s="4"/>
      <c r="ZD176" s="4"/>
      <c r="ZE176" s="5"/>
      <c r="ZF176" s="6"/>
      <c r="ZG176" s="4"/>
      <c r="ZH176" s="4"/>
      <c r="ZI176" s="4"/>
      <c r="ZJ176" s="4"/>
      <c r="ZK176" s="4"/>
      <c r="ZL176" s="5"/>
      <c r="ZM176" s="6"/>
      <c r="ZN176" s="4"/>
      <c r="ZO176" s="4"/>
      <c r="ZP176" s="4"/>
      <c r="ZQ176" s="4"/>
      <c r="ZR176" s="4"/>
      <c r="ZS176" s="5"/>
      <c r="ZT176" s="6"/>
      <c r="ZU176" s="4"/>
      <c r="ZV176" s="4"/>
      <c r="ZW176" s="4"/>
      <c r="ZX176" s="4"/>
      <c r="ZY176" s="4"/>
      <c r="ZZ176" s="5"/>
      <c r="AAA176" s="6"/>
      <c r="AAB176" s="4"/>
      <c r="AAC176" s="4"/>
      <c r="AAD176" s="4"/>
      <c r="AAE176" s="4"/>
      <c r="AAF176" s="4"/>
      <c r="AAG176" s="5"/>
      <c r="AAH176" s="6"/>
      <c r="AAI176" s="4"/>
      <c r="AAJ176" s="4"/>
      <c r="AAK176" s="4"/>
      <c r="AAL176" s="4"/>
      <c r="AAM176" s="4"/>
      <c r="AAN176" s="5"/>
      <c r="AAO176" s="6"/>
      <c r="AAP176" s="4"/>
      <c r="AAQ176" s="4"/>
      <c r="AAR176" s="4"/>
      <c r="AAS176" s="4"/>
      <c r="AAT176" s="4"/>
      <c r="AAU176" s="5"/>
      <c r="AAV176" s="6"/>
      <c r="AAW176" s="4"/>
      <c r="AAX176" s="4"/>
      <c r="AAY176" s="4"/>
      <c r="AAZ176" s="4"/>
      <c r="ABA176" s="4"/>
      <c r="ABB176" s="5"/>
      <c r="ABC176" s="6"/>
      <c r="ABD176" s="4"/>
      <c r="ABE176" s="4"/>
      <c r="ABF176" s="4"/>
      <c r="ABG176" s="4"/>
      <c r="ABH176" s="4"/>
      <c r="ABI176" s="5"/>
      <c r="ABJ176" s="6"/>
      <c r="ABK176" s="4"/>
      <c r="ABL176" s="4"/>
      <c r="ABM176" s="4"/>
      <c r="ABN176" s="4"/>
      <c r="ABO176" s="4"/>
      <c r="ABP176" s="5"/>
      <c r="ABQ176" s="6" t="s">
        <v>2942</v>
      </c>
      <c r="ABR176" s="4" t="s">
        <v>2807</v>
      </c>
      <c r="ABS176" s="4"/>
      <c r="ABT176" s="4"/>
      <c r="ABU176" s="4"/>
      <c r="ABV176" s="4"/>
      <c r="ABW176" s="5"/>
      <c r="ABX176" s="6"/>
      <c r="ABY176" s="4"/>
      <c r="ABZ176" s="4"/>
      <c r="ACA176" s="4"/>
      <c r="ACB176" s="4"/>
      <c r="ACC176" s="4"/>
      <c r="ACD176" s="5"/>
      <c r="ACE176" s="6"/>
      <c r="ACF176" s="4"/>
      <c r="ACG176" s="4"/>
      <c r="ACH176" s="4"/>
      <c r="ACI176" s="4"/>
      <c r="ACJ176" s="4"/>
      <c r="ACK176" s="5"/>
      <c r="ACL176" s="6"/>
      <c r="ACM176" s="4"/>
      <c r="ACN176" s="4"/>
      <c r="ACO176" s="4"/>
      <c r="ACP176" s="4"/>
      <c r="ACQ176" s="4"/>
      <c r="ACR176" s="5"/>
      <c r="ACS176" s="6"/>
      <c r="ACT176" s="4"/>
      <c r="ACU176" s="4"/>
      <c r="ACV176" s="4"/>
      <c r="ACW176" s="4"/>
      <c r="ACX176" s="4"/>
      <c r="ACY176" s="5"/>
    </row>
    <row r="177" spans="2:779" x14ac:dyDescent="0.25">
      <c r="B177" s="30"/>
      <c r="J177" s="12"/>
      <c r="K177" s="12"/>
      <c r="L177" s="12"/>
      <c r="LL177" s="6"/>
      <c r="LM177" s="4"/>
      <c r="LN177" s="4"/>
      <c r="LO177" s="4"/>
      <c r="LP177" s="4"/>
      <c r="LQ177" s="4"/>
      <c r="LR177" s="5"/>
      <c r="LS177" s="6"/>
      <c r="LT177" s="4"/>
      <c r="LU177" s="4"/>
      <c r="LV177" s="4"/>
      <c r="LW177" s="4"/>
      <c r="LX177" s="4"/>
      <c r="LY177" s="5"/>
      <c r="LZ177" s="6" t="s">
        <v>2800</v>
      </c>
      <c r="MA177" s="7" t="s">
        <v>2941</v>
      </c>
      <c r="MB177" s="4"/>
      <c r="MC177" s="4"/>
      <c r="MD177" s="8"/>
      <c r="ME177" s="4"/>
      <c r="MF177" s="4"/>
      <c r="MG177" s="5"/>
      <c r="MH177" s="6"/>
      <c r="MI177" s="4"/>
      <c r="MJ177" s="4"/>
      <c r="MK177" s="4"/>
      <c r="ML177" s="4"/>
      <c r="MM177" s="4"/>
      <c r="MN177" s="5"/>
      <c r="MO177" s="6"/>
      <c r="MP177" s="4"/>
      <c r="MQ177" s="4"/>
      <c r="MR177" s="4"/>
      <c r="MS177" s="4"/>
      <c r="MT177" s="4"/>
      <c r="MU177" s="5"/>
      <c r="MV177" s="6"/>
      <c r="MW177" s="4"/>
      <c r="MX177" s="4"/>
      <c r="MY177" s="4"/>
      <c r="MZ177" s="4"/>
      <c r="NA177" s="4"/>
      <c r="NB177" s="5"/>
      <c r="NC177" s="6"/>
      <c r="ND177" s="4"/>
      <c r="NE177" s="4"/>
      <c r="NF177" s="4"/>
      <c r="NG177" s="4"/>
      <c r="NH177" s="4"/>
      <c r="NI177" s="5"/>
      <c r="NJ177" s="6"/>
      <c r="NK177" s="4"/>
      <c r="NL177" s="4"/>
      <c r="NM177" s="4"/>
      <c r="NN177" s="4"/>
      <c r="NO177" s="4"/>
      <c r="NP177" s="5"/>
      <c r="NQ177" s="6"/>
      <c r="NR177" s="4"/>
      <c r="NS177" s="4"/>
      <c r="NT177" s="4"/>
      <c r="NU177" s="4"/>
      <c r="NV177" s="4"/>
      <c r="NW177" s="5"/>
      <c r="NX177" s="6"/>
      <c r="NY177" s="4"/>
      <c r="NZ177" s="4"/>
      <c r="OA177" s="4"/>
      <c r="OB177" s="4"/>
      <c r="OC177" s="4"/>
      <c r="OD177" s="5"/>
      <c r="OE177" s="6"/>
      <c r="OF177" s="4"/>
      <c r="OG177" s="4"/>
      <c r="OH177" s="4"/>
      <c r="OI177" s="4"/>
      <c r="OJ177" s="4"/>
      <c r="OK177" s="5"/>
      <c r="OL177" s="6"/>
      <c r="OM177" s="4"/>
      <c r="ON177" s="4"/>
      <c r="OO177" s="4"/>
      <c r="OP177" s="4"/>
      <c r="OQ177" s="4"/>
      <c r="OR177" s="5"/>
      <c r="OS177" s="6"/>
      <c r="OT177" s="4"/>
      <c r="OU177" s="4"/>
      <c r="OV177" s="4"/>
      <c r="OW177" s="4"/>
      <c r="OX177" s="4"/>
      <c r="OY177" s="5"/>
      <c r="OZ177" s="6"/>
      <c r="PA177" s="4"/>
      <c r="PB177" s="4"/>
      <c r="PC177" s="4"/>
      <c r="PD177" s="4"/>
      <c r="PE177" s="4"/>
      <c r="PF177" s="5"/>
      <c r="PG177" s="6"/>
      <c r="PH177" s="4"/>
      <c r="PI177" s="4"/>
      <c r="PJ177" s="4"/>
      <c r="PK177" s="4"/>
      <c r="PL177" s="4"/>
      <c r="PM177" s="5"/>
      <c r="PN177" s="6"/>
      <c r="PO177" s="4"/>
      <c r="PP177" s="4"/>
      <c r="PQ177" s="4"/>
      <c r="PR177" s="4"/>
      <c r="PS177" s="4"/>
      <c r="PT177" s="5"/>
      <c r="PU177" s="6"/>
      <c r="PV177" s="4"/>
      <c r="PW177" s="4"/>
      <c r="PX177" s="4"/>
      <c r="PY177" s="4"/>
      <c r="PZ177" s="4"/>
      <c r="QA177" s="5"/>
      <c r="QB177" s="6"/>
      <c r="QC177" s="4"/>
      <c r="QD177" s="4"/>
      <c r="QE177" s="4"/>
      <c r="QF177" s="4"/>
      <c r="QG177" s="4"/>
      <c r="QH177" s="5"/>
      <c r="QI177" s="6"/>
      <c r="QJ177" s="4"/>
      <c r="QK177" s="4"/>
      <c r="QL177" s="4"/>
      <c r="QM177" s="4"/>
      <c r="QN177" s="4"/>
      <c r="QO177" s="5"/>
      <c r="QP177" s="6"/>
      <c r="QQ177" s="4"/>
      <c r="QR177" s="4"/>
      <c r="QS177" s="4"/>
      <c r="QT177" s="4"/>
      <c r="QU177" s="4"/>
      <c r="QV177" s="5"/>
      <c r="QW177" s="6"/>
      <c r="QX177" s="4"/>
      <c r="QY177" s="4"/>
      <c r="QZ177" s="4"/>
      <c r="RA177" s="4"/>
      <c r="RB177" s="4"/>
      <c r="RC177" s="5"/>
      <c r="RD177" s="6"/>
      <c r="RE177" s="4"/>
      <c r="RF177" s="4"/>
      <c r="RG177" s="4"/>
      <c r="RH177" s="4"/>
      <c r="RI177" s="4"/>
      <c r="RJ177" s="5"/>
      <c r="RK177" s="6"/>
      <c r="RL177" s="4"/>
      <c r="RM177" s="4"/>
      <c r="RN177" s="4"/>
      <c r="RO177" s="4"/>
      <c r="RP177" s="4"/>
      <c r="RQ177" s="5"/>
      <c r="RR177" s="6"/>
      <c r="RS177" s="4"/>
      <c r="RT177" s="4"/>
      <c r="RU177" s="4"/>
      <c r="RV177" s="4"/>
      <c r="RW177" s="4"/>
      <c r="RX177" s="5"/>
      <c r="RY177" s="6"/>
      <c r="RZ177" s="4"/>
      <c r="SA177" s="4"/>
      <c r="SB177" s="4"/>
      <c r="SC177" s="4"/>
      <c r="SD177" s="4"/>
      <c r="SE177" s="5"/>
      <c r="SF177" s="6"/>
      <c r="SG177" s="4"/>
      <c r="SH177" s="4"/>
      <c r="SI177" s="4"/>
      <c r="SJ177" s="4"/>
      <c r="SK177" s="4"/>
      <c r="SL177" s="5"/>
      <c r="SM177" s="6"/>
      <c r="SN177" s="4"/>
      <c r="SO177" s="4"/>
      <c r="SP177" s="4"/>
      <c r="SQ177" s="4"/>
      <c r="SR177" s="4"/>
      <c r="SS177" s="5"/>
      <c r="ST177" s="6"/>
      <c r="SU177" s="4"/>
      <c r="SV177" s="4"/>
      <c r="SW177" s="4"/>
      <c r="SX177" s="4"/>
      <c r="SY177" s="4"/>
      <c r="SZ177" s="5"/>
      <c r="TA177" s="6"/>
      <c r="TB177" s="4"/>
      <c r="TC177" s="4"/>
      <c r="TD177" s="4"/>
      <c r="TE177" s="4"/>
      <c r="TF177" s="4"/>
      <c r="TG177" s="5"/>
      <c r="TH177" s="6"/>
      <c r="TI177" s="4"/>
      <c r="TJ177" s="4"/>
      <c r="TK177" s="4"/>
      <c r="TL177" s="4"/>
      <c r="TM177" s="4"/>
      <c r="TN177" s="5"/>
      <c r="TO177" s="6"/>
      <c r="TP177" s="4"/>
      <c r="TQ177" s="4"/>
      <c r="TR177" s="4"/>
      <c r="TS177" s="4"/>
      <c r="TT177" s="4"/>
      <c r="TU177" s="5"/>
      <c r="TV177" s="6"/>
      <c r="TW177" s="4"/>
      <c r="TX177" s="4"/>
      <c r="TY177" s="4"/>
      <c r="TZ177" s="4"/>
      <c r="UA177" s="4"/>
      <c r="UB177" s="5"/>
      <c r="UC177" s="6"/>
      <c r="UD177" s="4"/>
      <c r="UE177" s="4"/>
      <c r="UF177" s="4"/>
      <c r="UG177" s="4"/>
      <c r="UH177" s="4"/>
      <c r="UI177" s="5"/>
      <c r="UJ177" s="6"/>
      <c r="UK177" s="4"/>
      <c r="UL177" s="4"/>
      <c r="UM177" s="4"/>
      <c r="UN177" s="4"/>
      <c r="UO177" s="4"/>
      <c r="UP177" s="5"/>
      <c r="UQ177" s="6"/>
      <c r="UR177" s="4"/>
      <c r="US177" s="4"/>
      <c r="UT177" s="4"/>
      <c r="UU177" s="4"/>
      <c r="UV177" s="4"/>
      <c r="UW177" s="5"/>
      <c r="UX177" s="6"/>
      <c r="UY177" s="4"/>
      <c r="UZ177" s="4"/>
      <c r="VA177" s="4"/>
      <c r="VB177" s="4"/>
      <c r="VC177" s="4"/>
      <c r="VD177" s="5"/>
      <c r="VE177" s="6"/>
      <c r="VF177" s="4"/>
      <c r="VG177" s="4"/>
      <c r="VH177" s="4"/>
      <c r="VI177" s="4"/>
      <c r="VJ177" s="4"/>
      <c r="VK177" s="5"/>
      <c r="VL177" s="6"/>
      <c r="VM177" s="4"/>
      <c r="VN177" s="4"/>
      <c r="VO177" s="4"/>
      <c r="VP177" s="4"/>
      <c r="VQ177" s="4"/>
      <c r="VR177" s="5"/>
      <c r="VS177" s="6"/>
      <c r="VT177" s="4"/>
      <c r="VU177" s="4"/>
      <c r="VV177" s="4"/>
      <c r="VW177" s="4"/>
      <c r="VX177" s="4"/>
      <c r="VY177" s="5"/>
      <c r="VZ177" s="6"/>
      <c r="WA177" s="4"/>
      <c r="WB177" s="4"/>
      <c r="WC177" s="4"/>
      <c r="WD177" s="4"/>
      <c r="WE177" s="4"/>
      <c r="WF177" s="5"/>
      <c r="WG177" s="6"/>
      <c r="WH177" s="4"/>
      <c r="WI177" s="4"/>
      <c r="WJ177" s="4"/>
      <c r="WK177" s="4"/>
      <c r="WL177" s="4"/>
      <c r="WM177" s="5"/>
      <c r="WN177" s="6"/>
      <c r="WO177" s="4"/>
      <c r="WP177" s="4"/>
      <c r="WQ177" s="4"/>
      <c r="WR177" s="4"/>
      <c r="WS177" s="4"/>
      <c r="WT177" s="5"/>
      <c r="WU177" s="6"/>
      <c r="WV177" s="4"/>
      <c r="WW177" s="4"/>
      <c r="WX177" s="4"/>
      <c r="WY177" s="4"/>
      <c r="WZ177" s="4"/>
      <c r="XA177" s="5"/>
      <c r="XB177" s="6"/>
      <c r="XC177" s="4"/>
      <c r="XD177" s="4"/>
      <c r="XE177" s="4"/>
      <c r="XF177" s="4"/>
      <c r="XG177" s="4"/>
      <c r="XH177" s="5"/>
      <c r="XI177" s="6"/>
      <c r="XJ177" s="4"/>
      <c r="XK177" s="4"/>
      <c r="XL177" s="4"/>
      <c r="XM177" s="4"/>
      <c r="XN177" s="4"/>
      <c r="XO177" s="5"/>
      <c r="XP177" s="6"/>
      <c r="XQ177" s="4"/>
      <c r="XR177" s="4"/>
      <c r="XS177" s="4"/>
      <c r="XT177" s="4"/>
      <c r="XU177" s="4"/>
      <c r="XV177" s="5"/>
      <c r="XW177" s="6"/>
      <c r="XX177" s="4"/>
      <c r="XY177" s="4"/>
      <c r="XZ177" s="4"/>
      <c r="YA177" s="4"/>
      <c r="YB177" s="4"/>
      <c r="YC177" s="5"/>
      <c r="YD177" s="6"/>
      <c r="YE177" s="4"/>
      <c r="YF177" s="4"/>
      <c r="YG177" s="4"/>
      <c r="YH177" s="4"/>
      <c r="YI177" s="4"/>
      <c r="YJ177" s="5"/>
      <c r="YK177" s="6"/>
      <c r="YL177" s="4"/>
      <c r="YM177" s="4"/>
      <c r="YN177" s="4"/>
      <c r="YO177" s="4"/>
      <c r="YP177" s="4"/>
      <c r="YQ177" s="5"/>
      <c r="YR177" s="6"/>
      <c r="YS177" s="4"/>
      <c r="YT177" s="4"/>
      <c r="YU177" s="4"/>
      <c r="YV177" s="4"/>
      <c r="YW177" s="4"/>
      <c r="YX177" s="5"/>
      <c r="YY177" s="6"/>
      <c r="YZ177" s="4"/>
      <c r="ZA177" s="4"/>
      <c r="ZB177" s="4"/>
      <c r="ZC177" s="4"/>
      <c r="ZD177" s="4"/>
      <c r="ZE177" s="5"/>
      <c r="ZF177" s="6"/>
      <c r="ZG177" s="4"/>
      <c r="ZH177" s="4"/>
      <c r="ZI177" s="4"/>
      <c r="ZJ177" s="4"/>
      <c r="ZK177" s="4"/>
      <c r="ZL177" s="5"/>
      <c r="ZM177" s="6"/>
      <c r="ZN177" s="4"/>
      <c r="ZO177" s="4"/>
      <c r="ZP177" s="4"/>
      <c r="ZQ177" s="4"/>
      <c r="ZR177" s="4"/>
      <c r="ZS177" s="5"/>
      <c r="ZT177" s="6"/>
      <c r="ZU177" s="4"/>
      <c r="ZV177" s="4"/>
      <c r="ZW177" s="4"/>
      <c r="ZX177" s="4"/>
      <c r="ZY177" s="4"/>
      <c r="ZZ177" s="5"/>
      <c r="AAA177" s="6"/>
      <c r="AAB177" s="4"/>
      <c r="AAC177" s="4"/>
      <c r="AAD177" s="4"/>
      <c r="AAE177" s="4"/>
      <c r="AAF177" s="4"/>
      <c r="AAG177" s="5"/>
      <c r="AAH177" s="6"/>
      <c r="AAI177" s="4"/>
      <c r="AAJ177" s="4"/>
      <c r="AAK177" s="4"/>
      <c r="AAL177" s="4"/>
      <c r="AAM177" s="4"/>
      <c r="AAN177" s="5"/>
      <c r="AAO177" s="6"/>
      <c r="AAP177" s="4"/>
      <c r="AAQ177" s="4"/>
      <c r="AAR177" s="4"/>
      <c r="AAS177" s="4"/>
      <c r="AAT177" s="4"/>
      <c r="AAU177" s="5"/>
      <c r="AAV177" s="6"/>
      <c r="AAW177" s="4"/>
      <c r="AAX177" s="4"/>
      <c r="AAY177" s="4"/>
      <c r="AAZ177" s="4"/>
      <c r="ABA177" s="4"/>
      <c r="ABB177" s="5"/>
      <c r="ABC177" s="6"/>
      <c r="ABD177" s="4"/>
      <c r="ABE177" s="4"/>
      <c r="ABF177" s="4"/>
      <c r="ABG177" s="4"/>
      <c r="ABH177" s="4"/>
      <c r="ABI177" s="5"/>
      <c r="ABJ177" s="6"/>
      <c r="ABK177" s="4"/>
      <c r="ABL177" s="4"/>
      <c r="ABM177" s="4"/>
      <c r="ABN177" s="4"/>
      <c r="ABO177" s="4"/>
      <c r="ABP177" s="5"/>
      <c r="ABQ177" s="6"/>
      <c r="ABR177" s="4"/>
      <c r="ABS177" s="4"/>
      <c r="ABT177" s="4"/>
      <c r="ABU177" s="4"/>
      <c r="ABV177" s="4"/>
      <c r="ABW177" s="5"/>
      <c r="ABX177" s="6"/>
      <c r="ABY177" s="4"/>
      <c r="ABZ177" s="4"/>
      <c r="ACA177" s="4"/>
      <c r="ACB177" s="4"/>
      <c r="ACC177" s="4"/>
      <c r="ACD177" s="5"/>
      <c r="ACE177" s="6"/>
      <c r="ACF177" s="4"/>
      <c r="ACG177" s="4"/>
      <c r="ACH177" s="4"/>
      <c r="ACI177" s="4"/>
      <c r="ACJ177" s="4"/>
      <c r="ACK177" s="5"/>
      <c r="ACL177" s="6"/>
      <c r="ACM177" s="4"/>
      <c r="ACN177" s="4"/>
      <c r="ACO177" s="4"/>
      <c r="ACP177" s="4"/>
      <c r="ACQ177" s="4"/>
      <c r="ACR177" s="5"/>
      <c r="ACS177" s="6"/>
      <c r="ACT177" s="4"/>
      <c r="ACU177" s="4"/>
      <c r="ACV177" s="4"/>
      <c r="ACW177" s="4"/>
      <c r="ACX177" s="4"/>
      <c r="ACY177" s="5"/>
    </row>
    <row r="178" spans="2:779" x14ac:dyDescent="0.25">
      <c r="B178" s="29">
        <v>98007012</v>
      </c>
      <c r="C178">
        <v>59</v>
      </c>
      <c r="D178" t="s">
        <v>3587</v>
      </c>
      <c r="F178" s="23" t="s">
        <v>1781</v>
      </c>
      <c r="I178">
        <v>1</v>
      </c>
      <c r="J178" s="19">
        <v>35783</v>
      </c>
      <c r="K178" s="19"/>
      <c r="L178" s="19"/>
      <c r="Y178">
        <v>1</v>
      </c>
      <c r="AA178">
        <v>1</v>
      </c>
      <c r="BG178">
        <v>1</v>
      </c>
      <c r="LL178" s="6"/>
      <c r="LM178" s="4"/>
      <c r="LN178" s="4"/>
      <c r="LO178" s="4"/>
      <c r="LP178" s="4"/>
      <c r="LQ178" s="4"/>
      <c r="LR178" s="5"/>
      <c r="LS178" s="6"/>
      <c r="LT178" s="4"/>
      <c r="LU178" s="4"/>
      <c r="LV178" s="4"/>
      <c r="LW178" s="4"/>
      <c r="LX178" s="4"/>
      <c r="LY178" s="5"/>
      <c r="LZ178" s="6" t="s">
        <v>3481</v>
      </c>
      <c r="MA178" s="7" t="s">
        <v>3481</v>
      </c>
      <c r="MB178" s="4"/>
      <c r="MC178" s="4"/>
      <c r="MD178" s="8"/>
      <c r="ME178" s="4"/>
      <c r="MF178" s="4"/>
      <c r="MG178" s="5"/>
      <c r="MH178" s="6"/>
      <c r="MI178" s="4"/>
      <c r="MJ178" s="4"/>
      <c r="MK178" s="4"/>
      <c r="ML178" s="4"/>
      <c r="MM178" s="4"/>
      <c r="MN178" s="5"/>
      <c r="MO178" s="6"/>
      <c r="MP178" s="4"/>
      <c r="MQ178" s="4"/>
      <c r="MR178" s="4"/>
      <c r="MS178" s="4"/>
      <c r="MT178" s="4"/>
      <c r="MU178" s="5"/>
      <c r="MV178" s="6"/>
      <c r="MW178" s="4"/>
      <c r="MX178" s="4"/>
      <c r="MY178" s="4"/>
      <c r="MZ178" s="4"/>
      <c r="NA178" s="4"/>
      <c r="NB178" s="5"/>
      <c r="NC178" s="6"/>
      <c r="ND178" s="4"/>
      <c r="NE178" s="4"/>
      <c r="NF178" s="4"/>
      <c r="NG178" s="4"/>
      <c r="NH178" s="4"/>
      <c r="NI178" s="5"/>
      <c r="NJ178" s="6"/>
      <c r="NK178" s="4"/>
      <c r="NL178" s="4"/>
      <c r="NM178" s="4"/>
      <c r="NN178" s="4"/>
      <c r="NO178" s="4"/>
      <c r="NP178" s="5"/>
      <c r="NQ178" s="6"/>
      <c r="NR178" s="4"/>
      <c r="NS178" s="4"/>
      <c r="NT178" s="4"/>
      <c r="NU178" s="4"/>
      <c r="NV178" s="4"/>
      <c r="NW178" s="5"/>
      <c r="NX178" s="6"/>
      <c r="NY178" s="4"/>
      <c r="NZ178" s="4"/>
      <c r="OA178" s="4"/>
      <c r="OB178" s="4"/>
      <c r="OC178" s="4"/>
      <c r="OD178" s="5"/>
      <c r="OE178" s="6"/>
      <c r="OF178" s="4"/>
      <c r="OG178" s="4"/>
      <c r="OH178" s="4"/>
      <c r="OI178" s="4"/>
      <c r="OJ178" s="4"/>
      <c r="OK178" s="5"/>
      <c r="OL178" s="6"/>
      <c r="OM178" s="4"/>
      <c r="ON178" s="4"/>
      <c r="OO178" s="4"/>
      <c r="OP178" s="4"/>
      <c r="OQ178" s="4"/>
      <c r="OR178" s="5"/>
      <c r="OS178" s="6"/>
      <c r="OT178" s="4"/>
      <c r="OU178" s="4"/>
      <c r="OV178" s="4"/>
      <c r="OW178" s="4"/>
      <c r="OX178" s="4"/>
      <c r="OY178" s="5"/>
      <c r="OZ178" s="6"/>
      <c r="PA178" s="4"/>
      <c r="PB178" s="4"/>
      <c r="PC178" s="4"/>
      <c r="PD178" s="4"/>
      <c r="PE178" s="4"/>
      <c r="PF178" s="5"/>
      <c r="PG178" s="6"/>
      <c r="PH178" s="4"/>
      <c r="PI178" s="4"/>
      <c r="PJ178" s="4"/>
      <c r="PK178" s="4"/>
      <c r="PL178" s="4"/>
      <c r="PM178" s="5"/>
      <c r="PN178" s="6"/>
      <c r="PO178" s="4"/>
      <c r="PP178" s="4"/>
      <c r="PQ178" s="4"/>
      <c r="PR178" s="4"/>
      <c r="PS178" s="4"/>
      <c r="PT178" s="5"/>
      <c r="PU178" s="6"/>
      <c r="PV178" s="4"/>
      <c r="PW178" s="4"/>
      <c r="PX178" s="4"/>
      <c r="PY178" s="4"/>
      <c r="PZ178" s="4"/>
      <c r="QA178" s="5"/>
      <c r="QB178" s="6"/>
      <c r="QC178" s="4"/>
      <c r="QD178" s="4"/>
      <c r="QE178" s="4"/>
      <c r="QF178" s="4"/>
      <c r="QG178" s="4"/>
      <c r="QH178" s="5"/>
      <c r="QI178" s="6"/>
      <c r="QJ178" s="4"/>
      <c r="QK178" s="4"/>
      <c r="QL178" s="4"/>
      <c r="QM178" s="4"/>
      <c r="QN178" s="4"/>
      <c r="QO178" s="5"/>
      <c r="QP178" s="6"/>
      <c r="QQ178" s="4"/>
      <c r="QR178" s="4"/>
      <c r="QS178" s="4"/>
      <c r="QT178" s="4"/>
      <c r="QU178" s="4"/>
      <c r="QV178" s="5"/>
      <c r="QW178" s="6"/>
      <c r="QX178" s="4"/>
      <c r="QY178" s="4"/>
      <c r="QZ178" s="4"/>
      <c r="RA178" s="4"/>
      <c r="RB178" s="4"/>
      <c r="RC178" s="5"/>
      <c r="RD178" s="6"/>
      <c r="RE178" s="4"/>
      <c r="RF178" s="4"/>
      <c r="RG178" s="4"/>
      <c r="RH178" s="4"/>
      <c r="RI178" s="4"/>
      <c r="RJ178" s="5"/>
      <c r="RK178" s="6"/>
      <c r="RL178" s="4"/>
      <c r="RM178" s="4"/>
      <c r="RN178" s="4"/>
      <c r="RO178" s="4"/>
      <c r="RP178" s="4"/>
      <c r="RQ178" s="5"/>
      <c r="RR178" s="6"/>
      <c r="RS178" s="4"/>
      <c r="RT178" s="4"/>
      <c r="RU178" s="4"/>
      <c r="RV178" s="4"/>
      <c r="RW178" s="4"/>
      <c r="RX178" s="5"/>
      <c r="RY178" s="6"/>
      <c r="RZ178" s="4"/>
      <c r="SA178" s="4"/>
      <c r="SB178" s="4"/>
      <c r="SC178" s="4"/>
      <c r="SD178" s="4"/>
      <c r="SE178" s="5"/>
      <c r="SF178" s="6"/>
      <c r="SG178" s="4"/>
      <c r="SH178" s="4"/>
      <c r="SI178" s="4"/>
      <c r="SJ178" s="4"/>
      <c r="SK178" s="4"/>
      <c r="SL178" s="5"/>
      <c r="SM178" s="6"/>
      <c r="SN178" s="4"/>
      <c r="SO178" s="4"/>
      <c r="SP178" s="4"/>
      <c r="SQ178" s="4"/>
      <c r="SR178" s="4"/>
      <c r="SS178" s="5"/>
      <c r="ST178" s="6"/>
      <c r="SU178" s="4"/>
      <c r="SV178" s="4"/>
      <c r="SW178" s="4"/>
      <c r="SX178" s="4"/>
      <c r="SY178" s="4"/>
      <c r="SZ178" s="5"/>
      <c r="TA178" s="6"/>
      <c r="TB178" s="4"/>
      <c r="TC178" s="4"/>
      <c r="TD178" s="4"/>
      <c r="TE178" s="4"/>
      <c r="TF178" s="4"/>
      <c r="TG178" s="5"/>
      <c r="TH178" s="6"/>
      <c r="TI178" s="4"/>
      <c r="TJ178" s="4"/>
      <c r="TK178" s="4"/>
      <c r="TL178" s="4"/>
      <c r="TM178" s="4"/>
      <c r="TN178" s="5"/>
      <c r="TO178" s="6"/>
      <c r="TP178" s="4"/>
      <c r="TQ178" s="4"/>
      <c r="TR178" s="4"/>
      <c r="TS178" s="4"/>
      <c r="TT178" s="4"/>
      <c r="TU178" s="5"/>
      <c r="TV178" s="6"/>
      <c r="TW178" s="4"/>
      <c r="TX178" s="4"/>
      <c r="TY178" s="4"/>
      <c r="TZ178" s="4"/>
      <c r="UA178" s="4"/>
      <c r="UB178" s="5"/>
      <c r="UC178" s="6"/>
      <c r="UD178" s="4"/>
      <c r="UE178" s="4"/>
      <c r="UF178" s="4"/>
      <c r="UG178" s="4"/>
      <c r="UH178" s="4"/>
      <c r="UI178" s="5"/>
      <c r="UJ178" s="6"/>
      <c r="UK178" s="4"/>
      <c r="UL178" s="4"/>
      <c r="UM178" s="4"/>
      <c r="UN178" s="4"/>
      <c r="UO178" s="4"/>
      <c r="UP178" s="5"/>
      <c r="UQ178" s="6"/>
      <c r="UR178" s="4"/>
      <c r="US178" s="4"/>
      <c r="UT178" s="4"/>
      <c r="UU178" s="4"/>
      <c r="UV178" s="4"/>
      <c r="UW178" s="5"/>
      <c r="UX178" s="6"/>
      <c r="UY178" s="4"/>
      <c r="UZ178" s="4"/>
      <c r="VA178" s="4"/>
      <c r="VB178" s="4"/>
      <c r="VC178" s="4"/>
      <c r="VD178" s="5"/>
      <c r="VE178" s="6"/>
      <c r="VF178" s="4"/>
      <c r="VG178" s="4"/>
      <c r="VH178" s="4"/>
      <c r="VI178" s="4"/>
      <c r="VJ178" s="4"/>
      <c r="VK178" s="5"/>
      <c r="VL178" s="6"/>
      <c r="VM178" s="4"/>
      <c r="VN178" s="4"/>
      <c r="VO178" s="4"/>
      <c r="VP178" s="4"/>
      <c r="VQ178" s="4"/>
      <c r="VR178" s="5"/>
      <c r="VS178" s="6"/>
      <c r="VT178" s="4"/>
      <c r="VU178" s="4"/>
      <c r="VV178" s="4"/>
      <c r="VW178" s="4"/>
      <c r="VX178" s="4"/>
      <c r="VY178" s="5"/>
      <c r="VZ178" s="6"/>
      <c r="WA178" s="4"/>
      <c r="WB178" s="4"/>
      <c r="WC178" s="4"/>
      <c r="WD178" s="4"/>
      <c r="WE178" s="4"/>
      <c r="WF178" s="5"/>
      <c r="WG178" s="6"/>
      <c r="WH178" s="4"/>
      <c r="WI178" s="4"/>
      <c r="WJ178" s="4"/>
      <c r="WK178" s="4"/>
      <c r="WL178" s="4"/>
      <c r="WM178" s="5"/>
      <c r="WN178" s="6"/>
      <c r="WO178" s="4"/>
      <c r="WP178" s="4"/>
      <c r="WQ178" s="4"/>
      <c r="WR178" s="4"/>
      <c r="WS178" s="4"/>
      <c r="WT178" s="5"/>
      <c r="WU178" s="6"/>
      <c r="WV178" s="4"/>
      <c r="WW178" s="4"/>
      <c r="WX178" s="4"/>
      <c r="WY178" s="4"/>
      <c r="WZ178" s="4"/>
      <c r="XA178" s="5"/>
      <c r="XB178" s="6"/>
      <c r="XC178" s="4"/>
      <c r="XD178" s="4"/>
      <c r="XE178" s="4"/>
      <c r="XF178" s="4"/>
      <c r="XG178" s="4"/>
      <c r="XH178" s="5"/>
      <c r="XI178" s="6"/>
      <c r="XJ178" s="4"/>
      <c r="XK178" s="4"/>
      <c r="XL178" s="4"/>
      <c r="XM178" s="4"/>
      <c r="XN178" s="4"/>
      <c r="XO178" s="5"/>
      <c r="XP178" s="6"/>
      <c r="XQ178" s="4"/>
      <c r="XR178" s="4"/>
      <c r="XS178" s="4"/>
      <c r="XT178" s="4"/>
      <c r="XU178" s="4"/>
      <c r="XV178" s="5"/>
      <c r="XW178" s="6"/>
      <c r="XX178" s="4"/>
      <c r="XY178" s="4"/>
      <c r="XZ178" s="4"/>
      <c r="YA178" s="4"/>
      <c r="YB178" s="4"/>
      <c r="YC178" s="5"/>
      <c r="YD178" s="6"/>
      <c r="YE178" s="4"/>
      <c r="YF178" s="4"/>
      <c r="YG178" s="4"/>
      <c r="YH178" s="4"/>
      <c r="YI178" s="4"/>
      <c r="YJ178" s="5"/>
      <c r="YK178" s="6"/>
      <c r="YL178" s="4"/>
      <c r="YM178" s="4"/>
      <c r="YN178" s="4"/>
      <c r="YO178" s="4"/>
      <c r="YP178" s="4"/>
      <c r="YQ178" s="5"/>
      <c r="YR178" s="6"/>
      <c r="YS178" s="4"/>
      <c r="YT178" s="4"/>
      <c r="YU178" s="4"/>
      <c r="YV178" s="4"/>
      <c r="YW178" s="4"/>
      <c r="YX178" s="5"/>
      <c r="YY178" s="6"/>
      <c r="YZ178" s="4"/>
      <c r="ZA178" s="4"/>
      <c r="ZB178" s="4"/>
      <c r="ZC178" s="4"/>
      <c r="ZD178" s="4"/>
      <c r="ZE178" s="5"/>
      <c r="ZF178" s="6"/>
      <c r="ZG178" s="4"/>
      <c r="ZH178" s="4"/>
      <c r="ZI178" s="4"/>
      <c r="ZJ178" s="4"/>
      <c r="ZK178" s="4"/>
      <c r="ZL178" s="5"/>
      <c r="ZM178" s="6"/>
      <c r="ZN178" s="4"/>
      <c r="ZO178" s="4"/>
      <c r="ZP178" s="4"/>
      <c r="ZQ178" s="4"/>
      <c r="ZR178" s="4"/>
      <c r="ZS178" s="5"/>
      <c r="ZT178" s="6"/>
      <c r="ZU178" s="4"/>
      <c r="ZV178" s="4"/>
      <c r="ZW178" s="4"/>
      <c r="ZX178" s="4"/>
      <c r="ZY178" s="4"/>
      <c r="ZZ178" s="5"/>
      <c r="AAA178" s="6"/>
      <c r="AAB178" s="4"/>
      <c r="AAC178" s="4"/>
      <c r="AAD178" s="4"/>
      <c r="AAE178" s="4"/>
      <c r="AAF178" s="4"/>
      <c r="AAG178" s="5"/>
      <c r="AAH178" s="6"/>
      <c r="AAI178" s="4"/>
      <c r="AAJ178" s="4"/>
      <c r="AAK178" s="4"/>
      <c r="AAL178" s="4"/>
      <c r="AAM178" s="4"/>
      <c r="AAN178" s="5"/>
      <c r="AAO178" s="6"/>
      <c r="AAP178" s="4"/>
      <c r="AAQ178" s="4"/>
      <c r="AAR178" s="4"/>
      <c r="AAS178" s="4"/>
      <c r="AAT178" s="4"/>
      <c r="AAU178" s="5"/>
      <c r="AAV178" s="6"/>
      <c r="AAW178" s="4"/>
      <c r="AAX178" s="4"/>
      <c r="AAY178" s="4"/>
      <c r="AAZ178" s="4"/>
      <c r="ABA178" s="4"/>
      <c r="ABB178" s="5"/>
      <c r="ABC178" s="6"/>
      <c r="ABD178" s="4"/>
      <c r="ABE178" s="4"/>
      <c r="ABF178" s="4"/>
      <c r="ABG178" s="4"/>
      <c r="ABH178" s="4"/>
      <c r="ABI178" s="5"/>
      <c r="ABJ178" s="6"/>
      <c r="ABK178" s="4"/>
      <c r="ABL178" s="4"/>
      <c r="ABM178" s="4"/>
      <c r="ABN178" s="4"/>
      <c r="ABO178" s="4"/>
      <c r="ABP178" s="5"/>
      <c r="ABQ178" s="6"/>
      <c r="ABR178" s="4"/>
      <c r="ABS178" s="4"/>
      <c r="ABT178" s="4"/>
      <c r="ABU178" s="4"/>
      <c r="ABV178" s="4"/>
      <c r="ABW178" s="5"/>
      <c r="ABX178" s="6"/>
      <c r="ABY178" s="4"/>
      <c r="ABZ178" s="4"/>
      <c r="ACA178" s="4"/>
      <c r="ACB178" s="4"/>
      <c r="ACC178" s="4"/>
      <c r="ACD178" s="5"/>
      <c r="ACE178" s="6"/>
      <c r="ACF178" s="4"/>
      <c r="ACG178" s="4"/>
      <c r="ACH178" s="4"/>
      <c r="ACI178" s="4"/>
      <c r="ACJ178" s="4"/>
      <c r="ACK178" s="5"/>
      <c r="ACL178" s="6"/>
      <c r="ACM178" s="4"/>
      <c r="ACN178" s="4"/>
      <c r="ACO178" s="4"/>
      <c r="ACP178" s="4"/>
      <c r="ACQ178" s="4"/>
      <c r="ACR178" s="5"/>
      <c r="ACS178" s="6"/>
      <c r="ACT178" s="4"/>
      <c r="ACU178" s="4"/>
      <c r="ACV178" s="4"/>
      <c r="ACW178" s="4"/>
      <c r="ACX178" s="4"/>
      <c r="ACY178" s="5"/>
    </row>
    <row r="179" spans="2:779" x14ac:dyDescent="0.25">
      <c r="B179" s="29">
        <v>98007396</v>
      </c>
      <c r="C179">
        <v>36</v>
      </c>
      <c r="D179" t="s">
        <v>2121</v>
      </c>
      <c r="F179" s="23" t="s">
        <v>1781</v>
      </c>
      <c r="I179">
        <v>1</v>
      </c>
      <c r="J179" s="19">
        <v>35662</v>
      </c>
      <c r="K179" s="19"/>
      <c r="L179" s="19"/>
      <c r="LL179" s="6"/>
      <c r="LM179" s="4"/>
      <c r="LN179" s="4"/>
      <c r="LO179" s="4"/>
      <c r="LP179" s="4"/>
      <c r="LQ179" s="4"/>
      <c r="LR179" s="5"/>
      <c r="LS179" s="6"/>
      <c r="LT179" s="4"/>
      <c r="LU179" s="4"/>
      <c r="LV179" s="4"/>
      <c r="LW179" s="4"/>
      <c r="LX179" s="4"/>
      <c r="LY179" s="5"/>
      <c r="LZ179" s="6" t="s">
        <v>3162</v>
      </c>
      <c r="MA179" s="7" t="s">
        <v>2799</v>
      </c>
      <c r="MB179" s="4"/>
      <c r="MC179" s="4"/>
      <c r="MD179" s="8"/>
      <c r="ME179" s="4"/>
      <c r="MF179" s="4"/>
      <c r="MG179" s="5"/>
      <c r="MH179" s="6"/>
      <c r="MI179" s="4"/>
      <c r="MJ179" s="4"/>
      <c r="MK179" s="4"/>
      <c r="ML179" s="4"/>
      <c r="MM179" s="4"/>
      <c r="MN179" s="5"/>
      <c r="MO179" s="6"/>
      <c r="MP179" s="4"/>
      <c r="MQ179" s="4"/>
      <c r="MR179" s="4"/>
      <c r="MS179" s="4"/>
      <c r="MT179" s="4"/>
      <c r="MU179" s="5"/>
      <c r="MV179" s="6"/>
      <c r="MW179" s="4"/>
      <c r="MX179" s="4"/>
      <c r="MY179" s="4"/>
      <c r="MZ179" s="4"/>
      <c r="NA179" s="4"/>
      <c r="NB179" s="5"/>
      <c r="NC179" s="6" t="s">
        <v>3243</v>
      </c>
      <c r="ND179" s="4" t="s">
        <v>3244</v>
      </c>
      <c r="NE179" s="4"/>
      <c r="NF179" s="4"/>
      <c r="NG179" s="4"/>
      <c r="NH179" s="4"/>
      <c r="NI179" s="5"/>
      <c r="NJ179" s="6"/>
      <c r="NK179" s="4"/>
      <c r="NL179" s="4"/>
      <c r="NM179" s="4"/>
      <c r="NN179" s="4"/>
      <c r="NO179" s="4"/>
      <c r="NP179" s="5"/>
      <c r="NQ179" s="6"/>
      <c r="NR179" s="4"/>
      <c r="NS179" s="4"/>
      <c r="NT179" s="4"/>
      <c r="NU179" s="4"/>
      <c r="NV179" s="4"/>
      <c r="NW179" s="5"/>
      <c r="NX179" s="6"/>
      <c r="NY179" s="4"/>
      <c r="NZ179" s="4"/>
      <c r="OA179" s="4"/>
      <c r="OB179" s="4"/>
      <c r="OC179" s="4"/>
      <c r="OD179" s="5"/>
      <c r="OE179" s="6"/>
      <c r="OF179" s="4"/>
      <c r="OG179" s="4"/>
      <c r="OH179" s="4"/>
      <c r="OI179" s="4"/>
      <c r="OJ179" s="4"/>
      <c r="OK179" s="5"/>
      <c r="OL179" s="6"/>
      <c r="OM179" s="4"/>
      <c r="ON179" s="4"/>
      <c r="OO179" s="4"/>
      <c r="OP179" s="4"/>
      <c r="OQ179" s="4"/>
      <c r="OR179" s="5"/>
      <c r="OS179" s="6"/>
      <c r="OT179" s="4"/>
      <c r="OU179" s="4"/>
      <c r="OV179" s="4"/>
      <c r="OW179" s="4"/>
      <c r="OX179" s="4"/>
      <c r="OY179" s="5"/>
      <c r="OZ179" s="6"/>
      <c r="PA179" s="4"/>
      <c r="PB179" s="4"/>
      <c r="PC179" s="4"/>
      <c r="PD179" s="4"/>
      <c r="PE179" s="4"/>
      <c r="PF179" s="5"/>
      <c r="PG179" s="6"/>
      <c r="PH179" s="4"/>
      <c r="PI179" s="4"/>
      <c r="PJ179" s="4"/>
      <c r="PK179" s="4"/>
      <c r="PL179" s="4"/>
      <c r="PM179" s="5"/>
      <c r="PN179" s="6"/>
      <c r="PO179" s="4"/>
      <c r="PP179" s="4"/>
      <c r="PQ179" s="4"/>
      <c r="PR179" s="4"/>
      <c r="PS179" s="4"/>
      <c r="PT179" s="5"/>
      <c r="PU179" s="6"/>
      <c r="PV179" s="4"/>
      <c r="PW179" s="4"/>
      <c r="PX179" s="4"/>
      <c r="PY179" s="4"/>
      <c r="PZ179" s="4"/>
      <c r="QA179" s="5"/>
      <c r="QB179" s="6"/>
      <c r="QC179" s="4"/>
      <c r="QD179" s="4"/>
      <c r="QE179" s="4"/>
      <c r="QF179" s="4"/>
      <c r="QG179" s="4"/>
      <c r="QH179" s="5"/>
      <c r="QI179" s="6"/>
      <c r="QJ179" s="4"/>
      <c r="QK179" s="4"/>
      <c r="QL179" s="4"/>
      <c r="QM179" s="4"/>
      <c r="QN179" s="4"/>
      <c r="QO179" s="5"/>
      <c r="QP179" s="6"/>
      <c r="QQ179" s="4"/>
      <c r="QR179" s="4"/>
      <c r="QS179" s="4"/>
      <c r="QT179" s="4"/>
      <c r="QU179" s="4"/>
      <c r="QV179" s="5"/>
      <c r="QW179" s="6"/>
      <c r="QX179" s="4"/>
      <c r="QY179" s="4"/>
      <c r="QZ179" s="4"/>
      <c r="RA179" s="4"/>
      <c r="RB179" s="4"/>
      <c r="RC179" s="5"/>
      <c r="RD179" s="6"/>
      <c r="RE179" s="4"/>
      <c r="RF179" s="4"/>
      <c r="RG179" s="4"/>
      <c r="RH179" s="4"/>
      <c r="RI179" s="4"/>
      <c r="RJ179" s="5"/>
      <c r="RK179" s="6"/>
      <c r="RL179" s="4"/>
      <c r="RM179" s="4"/>
      <c r="RN179" s="4"/>
      <c r="RO179" s="4"/>
      <c r="RP179" s="4"/>
      <c r="RQ179" s="5"/>
      <c r="RR179" s="6"/>
      <c r="RS179" s="4"/>
      <c r="RT179" s="4"/>
      <c r="RU179" s="4"/>
      <c r="RV179" s="4"/>
      <c r="RW179" s="4"/>
      <c r="RX179" s="5"/>
      <c r="RY179" s="6"/>
      <c r="RZ179" s="4"/>
      <c r="SA179" s="4"/>
      <c r="SB179" s="4"/>
      <c r="SC179" s="4"/>
      <c r="SD179" s="4"/>
      <c r="SE179" s="5"/>
      <c r="SF179" s="6"/>
      <c r="SG179" s="4"/>
      <c r="SH179" s="4"/>
      <c r="SI179" s="4"/>
      <c r="SJ179" s="4"/>
      <c r="SK179" s="4"/>
      <c r="SL179" s="5"/>
      <c r="SM179" s="6"/>
      <c r="SN179" s="4"/>
      <c r="SO179" s="4"/>
      <c r="SP179" s="4"/>
      <c r="SQ179" s="4"/>
      <c r="SR179" s="4"/>
      <c r="SS179" s="5"/>
      <c r="ST179" s="6"/>
      <c r="SU179" s="4"/>
      <c r="SV179" s="4"/>
      <c r="SW179" s="4"/>
      <c r="SX179" s="4"/>
      <c r="SY179" s="4"/>
      <c r="SZ179" s="5"/>
      <c r="TA179" s="6"/>
      <c r="TB179" s="4"/>
      <c r="TC179" s="4"/>
      <c r="TD179" s="4"/>
      <c r="TE179" s="4"/>
      <c r="TF179" s="4"/>
      <c r="TG179" s="5"/>
      <c r="TH179" s="6"/>
      <c r="TI179" s="4"/>
      <c r="TJ179" s="4"/>
      <c r="TK179" s="4"/>
      <c r="TL179" s="4"/>
      <c r="TM179" s="4"/>
      <c r="TN179" s="5"/>
      <c r="TO179" s="6"/>
      <c r="TP179" s="4"/>
      <c r="TQ179" s="4"/>
      <c r="TR179" s="4"/>
      <c r="TS179" s="4"/>
      <c r="TT179" s="4"/>
      <c r="TU179" s="5"/>
      <c r="TV179" s="6"/>
      <c r="TW179" s="4"/>
      <c r="TX179" s="4"/>
      <c r="TY179" s="4"/>
      <c r="TZ179" s="4"/>
      <c r="UA179" s="4"/>
      <c r="UB179" s="5"/>
      <c r="UC179" s="6"/>
      <c r="UD179" s="4"/>
      <c r="UE179" s="4"/>
      <c r="UF179" s="4"/>
      <c r="UG179" s="4"/>
      <c r="UH179" s="4"/>
      <c r="UI179" s="5"/>
      <c r="UJ179" s="6"/>
      <c r="UK179" s="4"/>
      <c r="UL179" s="4"/>
      <c r="UM179" s="4"/>
      <c r="UN179" s="4"/>
      <c r="UO179" s="4"/>
      <c r="UP179" s="5"/>
      <c r="UQ179" s="6"/>
      <c r="UR179" s="4"/>
      <c r="US179" s="4"/>
      <c r="UT179" s="4"/>
      <c r="UU179" s="4"/>
      <c r="UV179" s="4"/>
      <c r="UW179" s="5"/>
      <c r="UX179" s="6"/>
      <c r="UY179" s="4"/>
      <c r="UZ179" s="4"/>
      <c r="VA179" s="4"/>
      <c r="VB179" s="4"/>
      <c r="VC179" s="4"/>
      <c r="VD179" s="5"/>
      <c r="VE179" s="6"/>
      <c r="VF179" s="4"/>
      <c r="VG179" s="4"/>
      <c r="VH179" s="4"/>
      <c r="VI179" s="4"/>
      <c r="VJ179" s="4"/>
      <c r="VK179" s="5"/>
      <c r="VL179" s="6"/>
      <c r="VM179" s="4"/>
      <c r="VN179" s="4"/>
      <c r="VO179" s="4"/>
      <c r="VP179" s="4"/>
      <c r="VQ179" s="4"/>
      <c r="VR179" s="5"/>
      <c r="VS179" s="6"/>
      <c r="VT179" s="4"/>
      <c r="VU179" s="4"/>
      <c r="VV179" s="4"/>
      <c r="VW179" s="4"/>
      <c r="VX179" s="4"/>
      <c r="VY179" s="5"/>
      <c r="VZ179" s="6"/>
      <c r="WA179" s="4"/>
      <c r="WB179" s="4"/>
      <c r="WC179" s="4"/>
      <c r="WD179" s="4"/>
      <c r="WE179" s="4"/>
      <c r="WF179" s="5"/>
      <c r="WG179" s="6"/>
      <c r="WH179" s="4"/>
      <c r="WI179" s="4"/>
      <c r="WJ179" s="4"/>
      <c r="WK179" s="4"/>
      <c r="WL179" s="4"/>
      <c r="WM179" s="5"/>
      <c r="WN179" s="6"/>
      <c r="WO179" s="4"/>
      <c r="WP179" s="4"/>
      <c r="WQ179" s="4"/>
      <c r="WR179" s="4"/>
      <c r="WS179" s="4"/>
      <c r="WT179" s="5"/>
      <c r="WU179" s="6"/>
      <c r="WV179" s="4"/>
      <c r="WW179" s="4"/>
      <c r="WX179" s="4"/>
      <c r="WY179" s="4"/>
      <c r="WZ179" s="4"/>
      <c r="XA179" s="5"/>
      <c r="XB179" s="6"/>
      <c r="XC179" s="4"/>
      <c r="XD179" s="4"/>
      <c r="XE179" s="4"/>
      <c r="XF179" s="4"/>
      <c r="XG179" s="4"/>
      <c r="XH179" s="5"/>
      <c r="XI179" s="6"/>
      <c r="XJ179" s="4"/>
      <c r="XK179" s="4"/>
      <c r="XL179" s="4"/>
      <c r="XM179" s="4"/>
      <c r="XN179" s="4"/>
      <c r="XO179" s="5"/>
      <c r="XP179" s="6"/>
      <c r="XQ179" s="4"/>
      <c r="XR179" s="4"/>
      <c r="XS179" s="4"/>
      <c r="XT179" s="4"/>
      <c r="XU179" s="4"/>
      <c r="XV179" s="5"/>
      <c r="XW179" s="6"/>
      <c r="XX179" s="4"/>
      <c r="XY179" s="4"/>
      <c r="XZ179" s="4"/>
      <c r="YA179" s="4"/>
      <c r="YB179" s="4"/>
      <c r="YC179" s="5"/>
      <c r="YD179" s="6"/>
      <c r="YE179" s="4"/>
      <c r="YF179" s="4"/>
      <c r="YG179" s="4"/>
      <c r="YH179" s="4"/>
      <c r="YI179" s="4"/>
      <c r="YJ179" s="5"/>
      <c r="YK179" s="6"/>
      <c r="YL179" s="4"/>
      <c r="YM179" s="4"/>
      <c r="YN179" s="4"/>
      <c r="YO179" s="4"/>
      <c r="YP179" s="4"/>
      <c r="YQ179" s="5"/>
      <c r="YR179" s="6"/>
      <c r="YS179" s="4"/>
      <c r="YT179" s="4"/>
      <c r="YU179" s="4"/>
      <c r="YV179" s="4"/>
      <c r="YW179" s="4"/>
      <c r="YX179" s="5"/>
      <c r="YY179" s="6"/>
      <c r="YZ179" s="4"/>
      <c r="ZA179" s="4"/>
      <c r="ZB179" s="4"/>
      <c r="ZC179" s="4"/>
      <c r="ZD179" s="4"/>
      <c r="ZE179" s="5"/>
      <c r="ZF179" s="6"/>
      <c r="ZG179" s="4"/>
      <c r="ZH179" s="4"/>
      <c r="ZI179" s="4"/>
      <c r="ZJ179" s="4"/>
      <c r="ZK179" s="4"/>
      <c r="ZL179" s="5"/>
      <c r="ZM179" s="6"/>
      <c r="ZN179" s="4"/>
      <c r="ZO179" s="4"/>
      <c r="ZP179" s="4"/>
      <c r="ZQ179" s="4"/>
      <c r="ZR179" s="4"/>
      <c r="ZS179" s="5"/>
      <c r="ZT179" s="6"/>
      <c r="ZU179" s="4"/>
      <c r="ZV179" s="4"/>
      <c r="ZW179" s="4"/>
      <c r="ZX179" s="4"/>
      <c r="ZY179" s="4"/>
      <c r="ZZ179" s="5"/>
      <c r="AAA179" s="6"/>
      <c r="AAB179" s="4"/>
      <c r="AAC179" s="4"/>
      <c r="AAD179" s="4"/>
      <c r="AAE179" s="4"/>
      <c r="AAF179" s="4"/>
      <c r="AAG179" s="5"/>
      <c r="AAH179" s="6"/>
      <c r="AAI179" s="4"/>
      <c r="AAJ179" s="4"/>
      <c r="AAK179" s="4"/>
      <c r="AAL179" s="4"/>
      <c r="AAM179" s="4"/>
      <c r="AAN179" s="5"/>
      <c r="AAO179" s="6"/>
      <c r="AAP179" s="4"/>
      <c r="AAQ179" s="4"/>
      <c r="AAR179" s="4"/>
      <c r="AAS179" s="4"/>
      <c r="AAT179" s="4"/>
      <c r="AAU179" s="5"/>
      <c r="AAV179" s="6"/>
      <c r="AAW179" s="4"/>
      <c r="AAX179" s="4"/>
      <c r="AAY179" s="4"/>
      <c r="AAZ179" s="4"/>
      <c r="ABA179" s="4"/>
      <c r="ABB179" s="5"/>
      <c r="ABC179" s="6"/>
      <c r="ABD179" s="4"/>
      <c r="ABE179" s="4"/>
      <c r="ABF179" s="4"/>
      <c r="ABG179" s="4"/>
      <c r="ABH179" s="4"/>
      <c r="ABI179" s="5"/>
      <c r="ABJ179" s="6"/>
      <c r="ABK179" s="4"/>
      <c r="ABL179" s="4"/>
      <c r="ABM179" s="4"/>
      <c r="ABN179" s="4"/>
      <c r="ABO179" s="4"/>
      <c r="ABP179" s="5"/>
      <c r="ABQ179" s="6" t="s">
        <v>3245</v>
      </c>
      <c r="ABR179" s="4" t="s">
        <v>2807</v>
      </c>
      <c r="ABS179" s="4"/>
      <c r="ABT179" s="4"/>
      <c r="ABU179" s="4"/>
      <c r="ABV179" s="4"/>
      <c r="ABW179" s="5"/>
      <c r="ABX179" s="6"/>
      <c r="ABY179" s="4"/>
      <c r="ABZ179" s="4"/>
      <c r="ACA179" s="4"/>
      <c r="ACB179" s="4"/>
      <c r="ACC179" s="4"/>
      <c r="ACD179" s="5"/>
      <c r="ACE179" s="6"/>
      <c r="ACF179" s="4"/>
      <c r="ACG179" s="4"/>
      <c r="ACH179" s="4"/>
      <c r="ACI179" s="4"/>
      <c r="ACJ179" s="4"/>
      <c r="ACK179" s="5"/>
      <c r="ACL179" s="6"/>
      <c r="ACM179" s="4"/>
      <c r="ACN179" s="4"/>
      <c r="ACO179" s="4"/>
      <c r="ACP179" s="4"/>
      <c r="ACQ179" s="4"/>
      <c r="ACR179" s="5"/>
      <c r="ACS179" s="6"/>
      <c r="ACT179" s="4"/>
      <c r="ACU179" s="4"/>
      <c r="ACV179" s="4"/>
      <c r="ACW179" s="4"/>
      <c r="ACX179" s="4"/>
      <c r="ACY179" s="5"/>
    </row>
    <row r="180" spans="2:779" x14ac:dyDescent="0.25">
      <c r="B180" s="30"/>
      <c r="J180" s="12"/>
      <c r="K180" s="12"/>
      <c r="L180" s="12"/>
      <c r="LL180" s="6"/>
      <c r="LM180" s="4"/>
      <c r="LN180" s="4"/>
      <c r="LO180" s="4"/>
      <c r="LP180" s="4"/>
      <c r="LQ180" s="4"/>
      <c r="LR180" s="5"/>
      <c r="LS180" s="6"/>
      <c r="LT180" s="4"/>
      <c r="LU180" s="4"/>
      <c r="LV180" s="4"/>
      <c r="LW180" s="4"/>
      <c r="LX180" s="4"/>
      <c r="LY180" s="5"/>
      <c r="LZ180" s="6" t="s">
        <v>3163</v>
      </c>
      <c r="MA180" s="7" t="s">
        <v>3164</v>
      </c>
      <c r="MB180" s="4"/>
      <c r="MC180" s="4"/>
      <c r="MD180" s="8"/>
      <c r="ME180" s="4"/>
      <c r="MF180" s="4"/>
      <c r="MG180" s="5" t="s">
        <v>3165</v>
      </c>
      <c r="MH180" s="6"/>
      <c r="MI180" s="4"/>
      <c r="MJ180" s="4"/>
      <c r="MK180" s="4"/>
      <c r="ML180" s="4"/>
      <c r="MM180" s="4"/>
      <c r="MN180" s="5"/>
      <c r="MO180" s="6"/>
      <c r="MP180" s="4"/>
      <c r="MQ180" s="4"/>
      <c r="MR180" s="4"/>
      <c r="MS180" s="4"/>
      <c r="MT180" s="4"/>
      <c r="MU180" s="5"/>
      <c r="MV180" s="6"/>
      <c r="MW180" s="4"/>
      <c r="MX180" s="4"/>
      <c r="MY180" s="4"/>
      <c r="MZ180" s="4"/>
      <c r="NA180" s="4"/>
      <c r="NB180" s="5"/>
      <c r="NC180" s="6"/>
      <c r="ND180" s="4"/>
      <c r="NE180" s="4"/>
      <c r="NF180" s="4"/>
      <c r="NG180" s="4"/>
      <c r="NH180" s="4"/>
      <c r="NI180" s="5"/>
      <c r="NJ180" s="6"/>
      <c r="NK180" s="4"/>
      <c r="NL180" s="4"/>
      <c r="NM180" s="4"/>
      <c r="NN180" s="4"/>
      <c r="NO180" s="4"/>
      <c r="NP180" s="5"/>
      <c r="NQ180" s="6"/>
      <c r="NR180" s="4"/>
      <c r="NS180" s="4"/>
      <c r="NT180" s="4"/>
      <c r="NU180" s="4"/>
      <c r="NV180" s="4"/>
      <c r="NW180" s="5"/>
      <c r="NX180" s="6"/>
      <c r="NY180" s="4"/>
      <c r="NZ180" s="4"/>
      <c r="OA180" s="4"/>
      <c r="OB180" s="4"/>
      <c r="OC180" s="4"/>
      <c r="OD180" s="5"/>
      <c r="OE180" s="6"/>
      <c r="OF180" s="4"/>
      <c r="OG180" s="4"/>
      <c r="OH180" s="4"/>
      <c r="OI180" s="4"/>
      <c r="OJ180" s="4"/>
      <c r="OK180" s="5"/>
      <c r="OL180" s="6"/>
      <c r="OM180" s="4"/>
      <c r="ON180" s="4"/>
      <c r="OO180" s="4"/>
      <c r="OP180" s="4"/>
      <c r="OQ180" s="4"/>
      <c r="OR180" s="5"/>
      <c r="OS180" s="6"/>
      <c r="OT180" s="4"/>
      <c r="OU180" s="4"/>
      <c r="OV180" s="4"/>
      <c r="OW180" s="4"/>
      <c r="OX180" s="4"/>
      <c r="OY180" s="5"/>
      <c r="OZ180" s="6"/>
      <c r="PA180" s="4"/>
      <c r="PB180" s="4"/>
      <c r="PC180" s="4"/>
      <c r="PD180" s="4"/>
      <c r="PE180" s="4"/>
      <c r="PF180" s="5"/>
      <c r="PG180" s="6"/>
      <c r="PH180" s="4"/>
      <c r="PI180" s="4"/>
      <c r="PJ180" s="4"/>
      <c r="PK180" s="4"/>
      <c r="PL180" s="4"/>
      <c r="PM180" s="5"/>
      <c r="PN180" s="6"/>
      <c r="PO180" s="4"/>
      <c r="PP180" s="4"/>
      <c r="PQ180" s="4"/>
      <c r="PR180" s="4"/>
      <c r="PS180" s="4"/>
      <c r="PT180" s="5"/>
      <c r="PU180" s="6"/>
      <c r="PV180" s="4"/>
      <c r="PW180" s="4"/>
      <c r="PX180" s="4"/>
      <c r="PY180" s="4"/>
      <c r="PZ180" s="4"/>
      <c r="QA180" s="5"/>
      <c r="QB180" s="6"/>
      <c r="QC180" s="4"/>
      <c r="QD180" s="4"/>
      <c r="QE180" s="4"/>
      <c r="QF180" s="4"/>
      <c r="QG180" s="4"/>
      <c r="QH180" s="5"/>
      <c r="QI180" s="6"/>
      <c r="QJ180" s="4"/>
      <c r="QK180" s="4"/>
      <c r="QL180" s="4"/>
      <c r="QM180" s="4"/>
      <c r="QN180" s="4"/>
      <c r="QO180" s="5"/>
      <c r="QP180" s="6"/>
      <c r="QQ180" s="4"/>
      <c r="QR180" s="4"/>
      <c r="QS180" s="4"/>
      <c r="QT180" s="4"/>
      <c r="QU180" s="4"/>
      <c r="QV180" s="5"/>
      <c r="QW180" s="6"/>
      <c r="QX180" s="4"/>
      <c r="QY180" s="4"/>
      <c r="QZ180" s="4"/>
      <c r="RA180" s="4"/>
      <c r="RB180" s="4"/>
      <c r="RC180" s="5"/>
      <c r="RD180" s="6"/>
      <c r="RE180" s="4"/>
      <c r="RF180" s="4"/>
      <c r="RG180" s="4"/>
      <c r="RH180" s="4"/>
      <c r="RI180" s="4"/>
      <c r="RJ180" s="5"/>
      <c r="RK180" s="6"/>
      <c r="RL180" s="4"/>
      <c r="RM180" s="4"/>
      <c r="RN180" s="4"/>
      <c r="RO180" s="4"/>
      <c r="RP180" s="4"/>
      <c r="RQ180" s="5"/>
      <c r="RR180" s="6"/>
      <c r="RS180" s="4"/>
      <c r="RT180" s="4"/>
      <c r="RU180" s="4"/>
      <c r="RV180" s="4"/>
      <c r="RW180" s="4"/>
      <c r="RX180" s="5"/>
      <c r="RY180" s="6"/>
      <c r="RZ180" s="4"/>
      <c r="SA180" s="4"/>
      <c r="SB180" s="4"/>
      <c r="SC180" s="4"/>
      <c r="SD180" s="4"/>
      <c r="SE180" s="5"/>
      <c r="SF180" s="6"/>
      <c r="SG180" s="4"/>
      <c r="SH180" s="4"/>
      <c r="SI180" s="4"/>
      <c r="SJ180" s="4"/>
      <c r="SK180" s="4"/>
      <c r="SL180" s="5"/>
      <c r="SM180" s="6"/>
      <c r="SN180" s="4"/>
      <c r="SO180" s="4"/>
      <c r="SP180" s="4"/>
      <c r="SQ180" s="4"/>
      <c r="SR180" s="4"/>
      <c r="SS180" s="5"/>
      <c r="ST180" s="6"/>
      <c r="SU180" s="4"/>
      <c r="SV180" s="4"/>
      <c r="SW180" s="4"/>
      <c r="SX180" s="4"/>
      <c r="SY180" s="4"/>
      <c r="SZ180" s="5"/>
      <c r="TA180" s="6"/>
      <c r="TB180" s="4"/>
      <c r="TC180" s="4"/>
      <c r="TD180" s="4"/>
      <c r="TE180" s="4"/>
      <c r="TF180" s="4"/>
      <c r="TG180" s="5"/>
      <c r="TH180" s="6"/>
      <c r="TI180" s="4"/>
      <c r="TJ180" s="4"/>
      <c r="TK180" s="4"/>
      <c r="TL180" s="4"/>
      <c r="TM180" s="4"/>
      <c r="TN180" s="5"/>
      <c r="TO180" s="6"/>
      <c r="TP180" s="4"/>
      <c r="TQ180" s="4"/>
      <c r="TR180" s="4"/>
      <c r="TS180" s="4"/>
      <c r="TT180" s="4"/>
      <c r="TU180" s="5"/>
      <c r="TV180" s="6"/>
      <c r="TW180" s="4"/>
      <c r="TX180" s="4"/>
      <c r="TY180" s="4"/>
      <c r="TZ180" s="4"/>
      <c r="UA180" s="4"/>
      <c r="UB180" s="5"/>
      <c r="UC180" s="6"/>
      <c r="UD180" s="4"/>
      <c r="UE180" s="4"/>
      <c r="UF180" s="4"/>
      <c r="UG180" s="4"/>
      <c r="UH180" s="4"/>
      <c r="UI180" s="5"/>
      <c r="UJ180" s="6"/>
      <c r="UK180" s="4"/>
      <c r="UL180" s="4"/>
      <c r="UM180" s="4"/>
      <c r="UN180" s="4"/>
      <c r="UO180" s="4"/>
      <c r="UP180" s="5"/>
      <c r="UQ180" s="6"/>
      <c r="UR180" s="4"/>
      <c r="US180" s="4"/>
      <c r="UT180" s="4"/>
      <c r="UU180" s="4"/>
      <c r="UV180" s="4"/>
      <c r="UW180" s="5"/>
      <c r="UX180" s="6"/>
      <c r="UY180" s="4"/>
      <c r="UZ180" s="4"/>
      <c r="VA180" s="4"/>
      <c r="VB180" s="4"/>
      <c r="VC180" s="4"/>
      <c r="VD180" s="5"/>
      <c r="VE180" s="6"/>
      <c r="VF180" s="4"/>
      <c r="VG180" s="4"/>
      <c r="VH180" s="4"/>
      <c r="VI180" s="4"/>
      <c r="VJ180" s="4"/>
      <c r="VK180" s="5"/>
      <c r="VL180" s="6"/>
      <c r="VM180" s="4"/>
      <c r="VN180" s="4"/>
      <c r="VO180" s="4"/>
      <c r="VP180" s="4"/>
      <c r="VQ180" s="4"/>
      <c r="VR180" s="5"/>
      <c r="VS180" s="6"/>
      <c r="VT180" s="4"/>
      <c r="VU180" s="4"/>
      <c r="VV180" s="4"/>
      <c r="VW180" s="4"/>
      <c r="VX180" s="4"/>
      <c r="VY180" s="5"/>
      <c r="VZ180" s="6"/>
      <c r="WA180" s="4"/>
      <c r="WB180" s="4"/>
      <c r="WC180" s="4"/>
      <c r="WD180" s="4"/>
      <c r="WE180" s="4"/>
      <c r="WF180" s="5"/>
      <c r="WG180" s="6"/>
      <c r="WH180" s="4"/>
      <c r="WI180" s="4"/>
      <c r="WJ180" s="4"/>
      <c r="WK180" s="4"/>
      <c r="WL180" s="4"/>
      <c r="WM180" s="5"/>
      <c r="WN180" s="6"/>
      <c r="WO180" s="4"/>
      <c r="WP180" s="4"/>
      <c r="WQ180" s="4"/>
      <c r="WR180" s="4"/>
      <c r="WS180" s="4"/>
      <c r="WT180" s="5"/>
      <c r="WU180" s="6"/>
      <c r="WV180" s="4"/>
      <c r="WW180" s="4"/>
      <c r="WX180" s="4"/>
      <c r="WY180" s="4"/>
      <c r="WZ180" s="4"/>
      <c r="XA180" s="5"/>
      <c r="XB180" s="6"/>
      <c r="XC180" s="4"/>
      <c r="XD180" s="4"/>
      <c r="XE180" s="4"/>
      <c r="XF180" s="4"/>
      <c r="XG180" s="4"/>
      <c r="XH180" s="5"/>
      <c r="XI180" s="6"/>
      <c r="XJ180" s="4"/>
      <c r="XK180" s="4"/>
      <c r="XL180" s="4"/>
      <c r="XM180" s="4"/>
      <c r="XN180" s="4"/>
      <c r="XO180" s="5"/>
      <c r="XP180" s="6"/>
      <c r="XQ180" s="4"/>
      <c r="XR180" s="4"/>
      <c r="XS180" s="4"/>
      <c r="XT180" s="4"/>
      <c r="XU180" s="4"/>
      <c r="XV180" s="5"/>
      <c r="XW180" s="6"/>
      <c r="XX180" s="4"/>
      <c r="XY180" s="4"/>
      <c r="XZ180" s="4"/>
      <c r="YA180" s="4"/>
      <c r="YB180" s="4"/>
      <c r="YC180" s="5"/>
      <c r="YD180" s="6"/>
      <c r="YE180" s="4"/>
      <c r="YF180" s="4"/>
      <c r="YG180" s="4"/>
      <c r="YH180" s="4"/>
      <c r="YI180" s="4"/>
      <c r="YJ180" s="5"/>
      <c r="YK180" s="6"/>
      <c r="YL180" s="4"/>
      <c r="YM180" s="4"/>
      <c r="YN180" s="4"/>
      <c r="YO180" s="4"/>
      <c r="YP180" s="4"/>
      <c r="YQ180" s="5"/>
      <c r="YR180" s="6"/>
      <c r="YS180" s="4"/>
      <c r="YT180" s="4"/>
      <c r="YU180" s="4"/>
      <c r="YV180" s="4"/>
      <c r="YW180" s="4"/>
      <c r="YX180" s="5"/>
      <c r="YY180" s="6"/>
      <c r="YZ180" s="4"/>
      <c r="ZA180" s="4"/>
      <c r="ZB180" s="4"/>
      <c r="ZC180" s="4"/>
      <c r="ZD180" s="4"/>
      <c r="ZE180" s="5"/>
      <c r="ZF180" s="6"/>
      <c r="ZG180" s="4"/>
      <c r="ZH180" s="4"/>
      <c r="ZI180" s="4"/>
      <c r="ZJ180" s="4"/>
      <c r="ZK180" s="4"/>
      <c r="ZL180" s="5"/>
      <c r="ZM180" s="6"/>
      <c r="ZN180" s="4"/>
      <c r="ZO180" s="4"/>
      <c r="ZP180" s="4"/>
      <c r="ZQ180" s="4"/>
      <c r="ZR180" s="4"/>
      <c r="ZS180" s="5"/>
      <c r="ZT180" s="6"/>
      <c r="ZU180" s="4"/>
      <c r="ZV180" s="4"/>
      <c r="ZW180" s="4"/>
      <c r="ZX180" s="4"/>
      <c r="ZY180" s="4"/>
      <c r="ZZ180" s="5"/>
      <c r="AAA180" s="6"/>
      <c r="AAB180" s="4"/>
      <c r="AAC180" s="4"/>
      <c r="AAD180" s="4"/>
      <c r="AAE180" s="4"/>
      <c r="AAF180" s="4"/>
      <c r="AAG180" s="5"/>
      <c r="AAH180" s="6"/>
      <c r="AAI180" s="4"/>
      <c r="AAJ180" s="4"/>
      <c r="AAK180" s="4"/>
      <c r="AAL180" s="4"/>
      <c r="AAM180" s="4"/>
      <c r="AAN180" s="5"/>
      <c r="AAO180" s="6"/>
      <c r="AAP180" s="4"/>
      <c r="AAQ180" s="4"/>
      <c r="AAR180" s="4"/>
      <c r="AAS180" s="4"/>
      <c r="AAT180" s="4"/>
      <c r="AAU180" s="5"/>
      <c r="AAV180" s="6"/>
      <c r="AAW180" s="4"/>
      <c r="AAX180" s="4"/>
      <c r="AAY180" s="4"/>
      <c r="AAZ180" s="4"/>
      <c r="ABA180" s="4"/>
      <c r="ABB180" s="5"/>
      <c r="ABC180" s="6"/>
      <c r="ABD180" s="4"/>
      <c r="ABE180" s="4"/>
      <c r="ABF180" s="4"/>
      <c r="ABG180" s="4"/>
      <c r="ABH180" s="4"/>
      <c r="ABI180" s="5"/>
      <c r="ABJ180" s="6"/>
      <c r="ABK180" s="4"/>
      <c r="ABL180" s="4"/>
      <c r="ABM180" s="4"/>
      <c r="ABN180" s="4"/>
      <c r="ABO180" s="4"/>
      <c r="ABP180" s="5"/>
      <c r="ABQ180" s="6"/>
      <c r="ABR180" s="4"/>
      <c r="ABS180" s="4"/>
      <c r="ABT180" s="4"/>
      <c r="ABU180" s="4"/>
      <c r="ABV180" s="4"/>
      <c r="ABW180" s="5"/>
      <c r="ABX180" s="6"/>
      <c r="ABY180" s="4"/>
      <c r="ABZ180" s="4"/>
      <c r="ACA180" s="4"/>
      <c r="ACB180" s="4"/>
      <c r="ACC180" s="4"/>
      <c r="ACD180" s="5"/>
      <c r="ACE180" s="6"/>
      <c r="ACF180" s="4"/>
      <c r="ACG180" s="4"/>
      <c r="ACH180" s="4"/>
      <c r="ACI180" s="4"/>
      <c r="ACJ180" s="4"/>
      <c r="ACK180" s="5"/>
      <c r="ACL180" s="6"/>
      <c r="ACM180" s="4"/>
      <c r="ACN180" s="4"/>
      <c r="ACO180" s="4"/>
      <c r="ACP180" s="4"/>
      <c r="ACQ180" s="4"/>
      <c r="ACR180" s="5"/>
      <c r="ACS180" s="6"/>
      <c r="ACT180" s="4"/>
      <c r="ACU180" s="4"/>
      <c r="ACV180" s="4"/>
      <c r="ACW180" s="4"/>
      <c r="ACX180" s="4"/>
      <c r="ACY180" s="5"/>
    </row>
    <row r="181" spans="2:779" x14ac:dyDescent="0.25">
      <c r="B181" s="30"/>
      <c r="J181" s="12"/>
      <c r="K181" s="12"/>
      <c r="L181" s="12"/>
      <c r="LL181" s="6"/>
      <c r="LM181" s="4"/>
      <c r="LN181" s="4"/>
      <c r="LO181" s="4"/>
      <c r="LP181" s="4"/>
      <c r="LQ181" s="4"/>
      <c r="LR181" s="5"/>
      <c r="LS181" s="6"/>
      <c r="LT181" s="4"/>
      <c r="LU181" s="4"/>
      <c r="LV181" s="4"/>
      <c r="LW181" s="4"/>
      <c r="LX181" s="4"/>
      <c r="LY181" s="5"/>
      <c r="LZ181" s="6" t="s">
        <v>3166</v>
      </c>
      <c r="MA181" s="7" t="s">
        <v>3241</v>
      </c>
      <c r="MB181" s="4"/>
      <c r="MC181" s="4"/>
      <c r="MD181" s="8"/>
      <c r="ME181" s="4"/>
      <c r="MF181" s="4"/>
      <c r="MG181" s="5" t="s">
        <v>3242</v>
      </c>
      <c r="MH181" s="6"/>
      <c r="MI181" s="4"/>
      <c r="MJ181" s="4"/>
      <c r="MK181" s="4"/>
      <c r="ML181" s="4"/>
      <c r="MM181" s="4"/>
      <c r="MN181" s="5"/>
      <c r="MO181" s="6"/>
      <c r="MP181" s="4"/>
      <c r="MQ181" s="4"/>
      <c r="MR181" s="4"/>
      <c r="MS181" s="4"/>
      <c r="MT181" s="4"/>
      <c r="MU181" s="5"/>
      <c r="MV181" s="6"/>
      <c r="MW181" s="4"/>
      <c r="MX181" s="4"/>
      <c r="MY181" s="4"/>
      <c r="MZ181" s="4"/>
      <c r="NA181" s="4"/>
      <c r="NB181" s="5"/>
      <c r="NC181" s="6"/>
      <c r="ND181" s="4"/>
      <c r="NE181" s="4"/>
      <c r="NF181" s="4"/>
      <c r="NG181" s="4"/>
      <c r="NH181" s="4"/>
      <c r="NI181" s="5"/>
      <c r="NJ181" s="6"/>
      <c r="NK181" s="4"/>
      <c r="NL181" s="4"/>
      <c r="NM181" s="4"/>
      <c r="NN181" s="4"/>
      <c r="NO181" s="4"/>
      <c r="NP181" s="5"/>
      <c r="NQ181" s="6"/>
      <c r="NR181" s="4"/>
      <c r="NS181" s="4"/>
      <c r="NT181" s="4"/>
      <c r="NU181" s="4"/>
      <c r="NV181" s="4"/>
      <c r="NW181" s="5"/>
      <c r="NX181" s="6"/>
      <c r="NY181" s="4"/>
      <c r="NZ181" s="4"/>
      <c r="OA181" s="4"/>
      <c r="OB181" s="4"/>
      <c r="OC181" s="4"/>
      <c r="OD181" s="5"/>
      <c r="OE181" s="6"/>
      <c r="OF181" s="4"/>
      <c r="OG181" s="4"/>
      <c r="OH181" s="4"/>
      <c r="OI181" s="4"/>
      <c r="OJ181" s="4"/>
      <c r="OK181" s="5"/>
      <c r="OL181" s="6"/>
      <c r="OM181" s="4"/>
      <c r="ON181" s="4"/>
      <c r="OO181" s="4"/>
      <c r="OP181" s="4"/>
      <c r="OQ181" s="4"/>
      <c r="OR181" s="5"/>
      <c r="OS181" s="6"/>
      <c r="OT181" s="4"/>
      <c r="OU181" s="4"/>
      <c r="OV181" s="4"/>
      <c r="OW181" s="4"/>
      <c r="OX181" s="4"/>
      <c r="OY181" s="5"/>
      <c r="OZ181" s="6"/>
      <c r="PA181" s="4"/>
      <c r="PB181" s="4"/>
      <c r="PC181" s="4"/>
      <c r="PD181" s="4"/>
      <c r="PE181" s="4"/>
      <c r="PF181" s="5"/>
      <c r="PG181" s="6"/>
      <c r="PH181" s="4"/>
      <c r="PI181" s="4"/>
      <c r="PJ181" s="4"/>
      <c r="PK181" s="4"/>
      <c r="PL181" s="4"/>
      <c r="PM181" s="5"/>
      <c r="PN181" s="6"/>
      <c r="PO181" s="4"/>
      <c r="PP181" s="4"/>
      <c r="PQ181" s="4"/>
      <c r="PR181" s="4"/>
      <c r="PS181" s="4"/>
      <c r="PT181" s="5"/>
      <c r="PU181" s="6"/>
      <c r="PV181" s="4"/>
      <c r="PW181" s="4"/>
      <c r="PX181" s="4"/>
      <c r="PY181" s="4"/>
      <c r="PZ181" s="4"/>
      <c r="QA181" s="5"/>
      <c r="QB181" s="6"/>
      <c r="QC181" s="4"/>
      <c r="QD181" s="4"/>
      <c r="QE181" s="4"/>
      <c r="QF181" s="4"/>
      <c r="QG181" s="4"/>
      <c r="QH181" s="5"/>
      <c r="QI181" s="6"/>
      <c r="QJ181" s="4"/>
      <c r="QK181" s="4"/>
      <c r="QL181" s="4"/>
      <c r="QM181" s="4"/>
      <c r="QN181" s="4"/>
      <c r="QO181" s="5"/>
      <c r="QP181" s="6"/>
      <c r="QQ181" s="4"/>
      <c r="QR181" s="4"/>
      <c r="QS181" s="4"/>
      <c r="QT181" s="4"/>
      <c r="QU181" s="4"/>
      <c r="QV181" s="5"/>
      <c r="QW181" s="6"/>
      <c r="QX181" s="4"/>
      <c r="QY181" s="4"/>
      <c r="QZ181" s="4"/>
      <c r="RA181" s="4"/>
      <c r="RB181" s="4"/>
      <c r="RC181" s="5"/>
      <c r="RD181" s="6"/>
      <c r="RE181" s="4"/>
      <c r="RF181" s="4"/>
      <c r="RG181" s="4"/>
      <c r="RH181" s="4"/>
      <c r="RI181" s="4"/>
      <c r="RJ181" s="5"/>
      <c r="RK181" s="6"/>
      <c r="RL181" s="4"/>
      <c r="RM181" s="4"/>
      <c r="RN181" s="4"/>
      <c r="RO181" s="4"/>
      <c r="RP181" s="4"/>
      <c r="RQ181" s="5"/>
      <c r="RR181" s="6"/>
      <c r="RS181" s="4"/>
      <c r="RT181" s="4"/>
      <c r="RU181" s="4"/>
      <c r="RV181" s="4"/>
      <c r="RW181" s="4"/>
      <c r="RX181" s="5"/>
      <c r="RY181" s="6"/>
      <c r="RZ181" s="4"/>
      <c r="SA181" s="4"/>
      <c r="SB181" s="4"/>
      <c r="SC181" s="4"/>
      <c r="SD181" s="4"/>
      <c r="SE181" s="5"/>
      <c r="SF181" s="6"/>
      <c r="SG181" s="4"/>
      <c r="SH181" s="4"/>
      <c r="SI181" s="4"/>
      <c r="SJ181" s="4"/>
      <c r="SK181" s="4"/>
      <c r="SL181" s="5"/>
      <c r="SM181" s="6"/>
      <c r="SN181" s="4"/>
      <c r="SO181" s="4"/>
      <c r="SP181" s="4"/>
      <c r="SQ181" s="4"/>
      <c r="SR181" s="4"/>
      <c r="SS181" s="5"/>
      <c r="ST181" s="6"/>
      <c r="SU181" s="4"/>
      <c r="SV181" s="4"/>
      <c r="SW181" s="4"/>
      <c r="SX181" s="4"/>
      <c r="SY181" s="4"/>
      <c r="SZ181" s="5"/>
      <c r="TA181" s="6"/>
      <c r="TB181" s="4"/>
      <c r="TC181" s="4"/>
      <c r="TD181" s="4"/>
      <c r="TE181" s="4"/>
      <c r="TF181" s="4"/>
      <c r="TG181" s="5"/>
      <c r="TH181" s="6"/>
      <c r="TI181" s="4"/>
      <c r="TJ181" s="4"/>
      <c r="TK181" s="4"/>
      <c r="TL181" s="4"/>
      <c r="TM181" s="4"/>
      <c r="TN181" s="5"/>
      <c r="TO181" s="6"/>
      <c r="TP181" s="4"/>
      <c r="TQ181" s="4"/>
      <c r="TR181" s="4"/>
      <c r="TS181" s="4"/>
      <c r="TT181" s="4"/>
      <c r="TU181" s="5"/>
      <c r="TV181" s="6"/>
      <c r="TW181" s="4"/>
      <c r="TX181" s="4"/>
      <c r="TY181" s="4"/>
      <c r="TZ181" s="4"/>
      <c r="UA181" s="4"/>
      <c r="UB181" s="5"/>
      <c r="UC181" s="6"/>
      <c r="UD181" s="4"/>
      <c r="UE181" s="4"/>
      <c r="UF181" s="4"/>
      <c r="UG181" s="4"/>
      <c r="UH181" s="4"/>
      <c r="UI181" s="5"/>
      <c r="UJ181" s="6"/>
      <c r="UK181" s="4"/>
      <c r="UL181" s="4"/>
      <c r="UM181" s="4"/>
      <c r="UN181" s="4"/>
      <c r="UO181" s="4"/>
      <c r="UP181" s="5"/>
      <c r="UQ181" s="6"/>
      <c r="UR181" s="4"/>
      <c r="US181" s="4"/>
      <c r="UT181" s="4"/>
      <c r="UU181" s="4"/>
      <c r="UV181" s="4"/>
      <c r="UW181" s="5"/>
      <c r="UX181" s="6"/>
      <c r="UY181" s="4"/>
      <c r="UZ181" s="4"/>
      <c r="VA181" s="4"/>
      <c r="VB181" s="4"/>
      <c r="VC181" s="4"/>
      <c r="VD181" s="5"/>
      <c r="VE181" s="6"/>
      <c r="VF181" s="4"/>
      <c r="VG181" s="4"/>
      <c r="VH181" s="4"/>
      <c r="VI181" s="4"/>
      <c r="VJ181" s="4"/>
      <c r="VK181" s="5"/>
      <c r="VL181" s="6"/>
      <c r="VM181" s="4"/>
      <c r="VN181" s="4"/>
      <c r="VO181" s="4"/>
      <c r="VP181" s="4"/>
      <c r="VQ181" s="4"/>
      <c r="VR181" s="5"/>
      <c r="VS181" s="6"/>
      <c r="VT181" s="4"/>
      <c r="VU181" s="4"/>
      <c r="VV181" s="4"/>
      <c r="VW181" s="4"/>
      <c r="VX181" s="4"/>
      <c r="VY181" s="5"/>
      <c r="VZ181" s="6"/>
      <c r="WA181" s="4"/>
      <c r="WB181" s="4"/>
      <c r="WC181" s="4"/>
      <c r="WD181" s="4"/>
      <c r="WE181" s="4"/>
      <c r="WF181" s="5"/>
      <c r="WG181" s="6"/>
      <c r="WH181" s="4"/>
      <c r="WI181" s="4"/>
      <c r="WJ181" s="4"/>
      <c r="WK181" s="4"/>
      <c r="WL181" s="4"/>
      <c r="WM181" s="5"/>
      <c r="WN181" s="6"/>
      <c r="WO181" s="4"/>
      <c r="WP181" s="4"/>
      <c r="WQ181" s="4"/>
      <c r="WR181" s="4"/>
      <c r="WS181" s="4"/>
      <c r="WT181" s="5"/>
      <c r="WU181" s="6"/>
      <c r="WV181" s="4"/>
      <c r="WW181" s="4"/>
      <c r="WX181" s="4"/>
      <c r="WY181" s="4"/>
      <c r="WZ181" s="4"/>
      <c r="XA181" s="5"/>
      <c r="XB181" s="6"/>
      <c r="XC181" s="4"/>
      <c r="XD181" s="4"/>
      <c r="XE181" s="4"/>
      <c r="XF181" s="4"/>
      <c r="XG181" s="4"/>
      <c r="XH181" s="5"/>
      <c r="XI181" s="6"/>
      <c r="XJ181" s="4"/>
      <c r="XK181" s="4"/>
      <c r="XL181" s="4"/>
      <c r="XM181" s="4"/>
      <c r="XN181" s="4"/>
      <c r="XO181" s="5"/>
      <c r="XP181" s="6"/>
      <c r="XQ181" s="4"/>
      <c r="XR181" s="4"/>
      <c r="XS181" s="4"/>
      <c r="XT181" s="4"/>
      <c r="XU181" s="4"/>
      <c r="XV181" s="5"/>
      <c r="XW181" s="6"/>
      <c r="XX181" s="4"/>
      <c r="XY181" s="4"/>
      <c r="XZ181" s="4"/>
      <c r="YA181" s="4"/>
      <c r="YB181" s="4"/>
      <c r="YC181" s="5"/>
      <c r="YD181" s="6"/>
      <c r="YE181" s="4"/>
      <c r="YF181" s="4"/>
      <c r="YG181" s="4"/>
      <c r="YH181" s="4"/>
      <c r="YI181" s="4"/>
      <c r="YJ181" s="5"/>
      <c r="YK181" s="6"/>
      <c r="YL181" s="4"/>
      <c r="YM181" s="4"/>
      <c r="YN181" s="4"/>
      <c r="YO181" s="4"/>
      <c r="YP181" s="4"/>
      <c r="YQ181" s="5"/>
      <c r="YR181" s="6"/>
      <c r="YS181" s="4"/>
      <c r="YT181" s="4"/>
      <c r="YU181" s="4"/>
      <c r="YV181" s="4"/>
      <c r="YW181" s="4"/>
      <c r="YX181" s="5"/>
      <c r="YY181" s="6"/>
      <c r="YZ181" s="4"/>
      <c r="ZA181" s="4"/>
      <c r="ZB181" s="4"/>
      <c r="ZC181" s="4"/>
      <c r="ZD181" s="4"/>
      <c r="ZE181" s="5"/>
      <c r="ZF181" s="6"/>
      <c r="ZG181" s="4"/>
      <c r="ZH181" s="4"/>
      <c r="ZI181" s="4"/>
      <c r="ZJ181" s="4"/>
      <c r="ZK181" s="4"/>
      <c r="ZL181" s="5"/>
      <c r="ZM181" s="6"/>
      <c r="ZN181" s="4"/>
      <c r="ZO181" s="4"/>
      <c r="ZP181" s="4"/>
      <c r="ZQ181" s="4"/>
      <c r="ZR181" s="4"/>
      <c r="ZS181" s="5"/>
      <c r="ZT181" s="6"/>
      <c r="ZU181" s="4"/>
      <c r="ZV181" s="4"/>
      <c r="ZW181" s="4"/>
      <c r="ZX181" s="4"/>
      <c r="ZY181" s="4"/>
      <c r="ZZ181" s="5"/>
      <c r="AAA181" s="6"/>
      <c r="AAB181" s="4"/>
      <c r="AAC181" s="4"/>
      <c r="AAD181" s="4"/>
      <c r="AAE181" s="4"/>
      <c r="AAF181" s="4"/>
      <c r="AAG181" s="5"/>
      <c r="AAH181" s="6"/>
      <c r="AAI181" s="4"/>
      <c r="AAJ181" s="4"/>
      <c r="AAK181" s="4"/>
      <c r="AAL181" s="4"/>
      <c r="AAM181" s="4"/>
      <c r="AAN181" s="5"/>
      <c r="AAO181" s="6"/>
      <c r="AAP181" s="4"/>
      <c r="AAQ181" s="4"/>
      <c r="AAR181" s="4"/>
      <c r="AAS181" s="4"/>
      <c r="AAT181" s="4"/>
      <c r="AAU181" s="5"/>
      <c r="AAV181" s="6"/>
      <c r="AAW181" s="4"/>
      <c r="AAX181" s="4"/>
      <c r="AAY181" s="4"/>
      <c r="AAZ181" s="4"/>
      <c r="ABA181" s="4"/>
      <c r="ABB181" s="5"/>
      <c r="ABC181" s="6"/>
      <c r="ABD181" s="4"/>
      <c r="ABE181" s="4"/>
      <c r="ABF181" s="4"/>
      <c r="ABG181" s="4"/>
      <c r="ABH181" s="4"/>
      <c r="ABI181" s="5"/>
      <c r="ABJ181" s="6"/>
      <c r="ABK181" s="4"/>
      <c r="ABL181" s="4"/>
      <c r="ABM181" s="4"/>
      <c r="ABN181" s="4"/>
      <c r="ABO181" s="4"/>
      <c r="ABP181" s="5"/>
      <c r="ABQ181" s="6"/>
      <c r="ABR181" s="4"/>
      <c r="ABS181" s="4"/>
      <c r="ABT181" s="4"/>
      <c r="ABU181" s="4"/>
      <c r="ABV181" s="4"/>
      <c r="ABW181" s="5"/>
      <c r="ABX181" s="6"/>
      <c r="ABY181" s="4"/>
      <c r="ABZ181" s="4"/>
      <c r="ACA181" s="4"/>
      <c r="ACB181" s="4"/>
      <c r="ACC181" s="4"/>
      <c r="ACD181" s="5"/>
      <c r="ACE181" s="6"/>
      <c r="ACF181" s="4"/>
      <c r="ACG181" s="4"/>
      <c r="ACH181" s="4"/>
      <c r="ACI181" s="4"/>
      <c r="ACJ181" s="4"/>
      <c r="ACK181" s="5"/>
      <c r="ACL181" s="6"/>
      <c r="ACM181" s="4"/>
      <c r="ACN181" s="4"/>
      <c r="ACO181" s="4"/>
      <c r="ACP181" s="4"/>
      <c r="ACQ181" s="4"/>
      <c r="ACR181" s="5"/>
      <c r="ACS181" s="6"/>
      <c r="ACT181" s="4"/>
      <c r="ACU181" s="4"/>
      <c r="ACV181" s="4"/>
      <c r="ACW181" s="4"/>
      <c r="ACX181" s="4"/>
      <c r="ACY181" s="5"/>
    </row>
    <row r="182" spans="2:779" x14ac:dyDescent="0.25">
      <c r="B182" s="29">
        <v>98008087</v>
      </c>
      <c r="C182">
        <v>71</v>
      </c>
      <c r="D182" t="s">
        <v>3732</v>
      </c>
      <c r="F182" s="23" t="s">
        <v>1781</v>
      </c>
      <c r="I182">
        <v>1</v>
      </c>
      <c r="J182" s="19">
        <v>35265</v>
      </c>
      <c r="K182" s="19"/>
      <c r="L182" s="19"/>
      <c r="M182">
        <v>1</v>
      </c>
      <c r="N182" s="17">
        <v>35265</v>
      </c>
      <c r="Y182">
        <v>1</v>
      </c>
      <c r="LL182" s="6"/>
      <c r="LM182" s="4"/>
      <c r="LN182" s="4"/>
      <c r="LO182" s="4"/>
      <c r="LP182" s="4"/>
      <c r="LQ182" s="4"/>
      <c r="LR182" s="5"/>
      <c r="LS182" s="6"/>
      <c r="LT182" s="4"/>
      <c r="LU182" s="4"/>
      <c r="LV182" s="4"/>
      <c r="LW182" s="4"/>
      <c r="LX182" s="4"/>
      <c r="LY182" s="5"/>
      <c r="LZ182" s="6" t="s">
        <v>3391</v>
      </c>
      <c r="MA182" s="7" t="s">
        <v>2799</v>
      </c>
      <c r="MB182" s="4"/>
      <c r="MC182" s="4"/>
      <c r="MD182" s="10"/>
      <c r="ME182" s="4"/>
      <c r="MF182" s="4"/>
      <c r="MG182" s="5"/>
      <c r="MH182" s="6"/>
      <c r="MI182" s="4"/>
      <c r="MJ182" s="4"/>
      <c r="MK182" s="4"/>
      <c r="ML182" s="4"/>
      <c r="MM182" s="4"/>
      <c r="MN182" s="5"/>
      <c r="MO182" s="6"/>
      <c r="MP182" s="4"/>
      <c r="MQ182" s="4"/>
      <c r="MR182" s="4"/>
      <c r="MS182" s="4"/>
      <c r="MT182" s="4"/>
      <c r="MU182" s="5"/>
      <c r="MV182" s="6"/>
      <c r="MW182" s="4"/>
      <c r="MX182" s="4"/>
      <c r="MY182" s="4"/>
      <c r="MZ182" s="4"/>
      <c r="NA182" s="4"/>
      <c r="NB182" s="5"/>
      <c r="NC182" s="6"/>
      <c r="ND182" s="4"/>
      <c r="NE182" s="4"/>
      <c r="NF182" s="4"/>
      <c r="NG182" s="4"/>
      <c r="NH182" s="4"/>
      <c r="NI182" s="5"/>
      <c r="NJ182" s="6"/>
      <c r="NK182" s="4"/>
      <c r="NL182" s="4"/>
      <c r="NM182" s="4"/>
      <c r="NN182" s="4"/>
      <c r="NO182" s="4"/>
      <c r="NP182" s="5"/>
      <c r="NQ182" s="6"/>
      <c r="NR182" s="4"/>
      <c r="NS182" s="4"/>
      <c r="NT182" s="4"/>
      <c r="NU182" s="4"/>
      <c r="NV182" s="4"/>
      <c r="NW182" s="5"/>
      <c r="NX182" s="6"/>
      <c r="NY182" s="4"/>
      <c r="NZ182" s="4"/>
      <c r="OA182" s="4"/>
      <c r="OB182" s="4"/>
      <c r="OC182" s="4"/>
      <c r="OD182" s="5"/>
      <c r="OE182" s="6"/>
      <c r="OF182" s="4"/>
      <c r="OG182" s="4"/>
      <c r="OH182" s="4"/>
      <c r="OI182" s="4"/>
      <c r="OJ182" s="4"/>
      <c r="OK182" s="5"/>
      <c r="OL182" s="6"/>
      <c r="OM182" s="4"/>
      <c r="ON182" s="4"/>
      <c r="OO182" s="4"/>
      <c r="OP182" s="4"/>
      <c r="OQ182" s="4"/>
      <c r="OR182" s="5"/>
      <c r="OS182" s="6"/>
      <c r="OT182" s="4"/>
      <c r="OU182" s="4"/>
      <c r="OV182" s="4"/>
      <c r="OW182" s="4"/>
      <c r="OX182" s="4"/>
      <c r="OY182" s="5"/>
      <c r="OZ182" s="6"/>
      <c r="PA182" s="4"/>
      <c r="PB182" s="4"/>
      <c r="PC182" s="4"/>
      <c r="PD182" s="4"/>
      <c r="PE182" s="4"/>
      <c r="PF182" s="5"/>
      <c r="PG182" s="6"/>
      <c r="PH182" s="4"/>
      <c r="PI182" s="4"/>
      <c r="PJ182" s="4"/>
      <c r="PK182" s="4"/>
      <c r="PL182" s="4"/>
      <c r="PM182" s="5"/>
      <c r="PN182" s="6"/>
      <c r="PO182" s="4"/>
      <c r="PP182" s="4"/>
      <c r="PQ182" s="4"/>
      <c r="PR182" s="4"/>
      <c r="PS182" s="4"/>
      <c r="PT182" s="5"/>
      <c r="PU182" s="6"/>
      <c r="PV182" s="4"/>
      <c r="PW182" s="4"/>
      <c r="PX182" s="4"/>
      <c r="PY182" s="4"/>
      <c r="PZ182" s="4"/>
      <c r="QA182" s="5"/>
      <c r="QB182" s="6"/>
      <c r="QC182" s="4"/>
      <c r="QD182" s="4"/>
      <c r="QE182" s="4"/>
      <c r="QF182" s="4"/>
      <c r="QG182" s="4"/>
      <c r="QH182" s="5"/>
      <c r="QI182" s="6"/>
      <c r="QJ182" s="4"/>
      <c r="QK182" s="4"/>
      <c r="QL182" s="4"/>
      <c r="QM182" s="4"/>
      <c r="QN182" s="4"/>
      <c r="QO182" s="5"/>
      <c r="QP182" s="6"/>
      <c r="QQ182" s="4"/>
      <c r="QR182" s="4"/>
      <c r="QS182" s="4"/>
      <c r="QT182" s="4"/>
      <c r="QU182" s="4"/>
      <c r="QV182" s="5"/>
      <c r="QW182" s="6"/>
      <c r="QX182" s="4"/>
      <c r="QY182" s="4"/>
      <c r="QZ182" s="4"/>
      <c r="RA182" s="4"/>
      <c r="RB182" s="4"/>
      <c r="RC182" s="5"/>
      <c r="RD182" s="6"/>
      <c r="RE182" s="4"/>
      <c r="RF182" s="4"/>
      <c r="RG182" s="4"/>
      <c r="RH182" s="4"/>
      <c r="RI182" s="4"/>
      <c r="RJ182" s="5"/>
      <c r="RK182" s="6"/>
      <c r="RL182" s="4"/>
      <c r="RM182" s="4"/>
      <c r="RN182" s="4"/>
      <c r="RO182" s="4"/>
      <c r="RP182" s="4"/>
      <c r="RQ182" s="5"/>
      <c r="RR182" s="6"/>
      <c r="RS182" s="4"/>
      <c r="RT182" s="4"/>
      <c r="RU182" s="4"/>
      <c r="RV182" s="4"/>
      <c r="RW182" s="4"/>
      <c r="RX182" s="5"/>
      <c r="RY182" s="6"/>
      <c r="RZ182" s="4"/>
      <c r="SA182" s="4"/>
      <c r="SB182" s="4"/>
      <c r="SC182" s="4"/>
      <c r="SD182" s="4"/>
      <c r="SE182" s="5"/>
      <c r="SF182" s="6"/>
      <c r="SG182" s="4"/>
      <c r="SH182" s="4"/>
      <c r="SI182" s="4"/>
      <c r="SJ182" s="4"/>
      <c r="SK182" s="4"/>
      <c r="SL182" s="5"/>
      <c r="SM182" s="6"/>
      <c r="SN182" s="4"/>
      <c r="SO182" s="4"/>
      <c r="SP182" s="4"/>
      <c r="SQ182" s="4"/>
      <c r="SR182" s="4"/>
      <c r="SS182" s="5"/>
      <c r="ST182" s="6"/>
      <c r="SU182" s="4"/>
      <c r="SV182" s="4"/>
      <c r="SW182" s="4"/>
      <c r="SX182" s="4"/>
      <c r="SY182" s="4"/>
      <c r="SZ182" s="5"/>
      <c r="TA182" s="6"/>
      <c r="TB182" s="4"/>
      <c r="TC182" s="4"/>
      <c r="TD182" s="4"/>
      <c r="TE182" s="4"/>
      <c r="TF182" s="4"/>
      <c r="TG182" s="5"/>
      <c r="TH182" s="6"/>
      <c r="TI182" s="4"/>
      <c r="TJ182" s="4"/>
      <c r="TK182" s="4"/>
      <c r="TL182" s="4"/>
      <c r="TM182" s="4"/>
      <c r="TN182" s="5"/>
      <c r="TO182" s="6"/>
      <c r="TP182" s="4"/>
      <c r="TQ182" s="4"/>
      <c r="TR182" s="4"/>
      <c r="TS182" s="4"/>
      <c r="TT182" s="4"/>
      <c r="TU182" s="5"/>
      <c r="TV182" s="6"/>
      <c r="TW182" s="4"/>
      <c r="TX182" s="4"/>
      <c r="TY182" s="4"/>
      <c r="TZ182" s="4"/>
      <c r="UA182" s="4"/>
      <c r="UB182" s="5"/>
      <c r="UC182" s="6"/>
      <c r="UD182" s="4"/>
      <c r="UE182" s="4"/>
      <c r="UF182" s="4"/>
      <c r="UG182" s="4"/>
      <c r="UH182" s="4"/>
      <c r="UI182" s="5"/>
      <c r="UJ182" s="6"/>
      <c r="UK182" s="4"/>
      <c r="UL182" s="4"/>
      <c r="UM182" s="4"/>
      <c r="UN182" s="4"/>
      <c r="UO182" s="4"/>
      <c r="UP182" s="5"/>
      <c r="UQ182" s="6"/>
      <c r="UR182" s="4"/>
      <c r="US182" s="4"/>
      <c r="UT182" s="4"/>
      <c r="UU182" s="4"/>
      <c r="UV182" s="4"/>
      <c r="UW182" s="5"/>
      <c r="UX182" s="6" t="s">
        <v>2982</v>
      </c>
      <c r="UY182" s="4" t="s">
        <v>1830</v>
      </c>
      <c r="UZ182" s="4"/>
      <c r="VA182" s="4"/>
      <c r="VB182" s="4"/>
      <c r="VC182" s="4"/>
      <c r="VD182" s="5"/>
      <c r="VE182" s="6"/>
      <c r="VF182" s="4"/>
      <c r="VG182" s="4"/>
      <c r="VH182" s="4"/>
      <c r="VI182" s="4"/>
      <c r="VJ182" s="4"/>
      <c r="VK182" s="5"/>
      <c r="VL182" s="6"/>
      <c r="VM182" s="4"/>
      <c r="VN182" s="4"/>
      <c r="VO182" s="4"/>
      <c r="VP182" s="4"/>
      <c r="VQ182" s="4"/>
      <c r="VR182" s="5"/>
      <c r="VS182" s="6"/>
      <c r="VT182" s="4"/>
      <c r="VU182" s="4"/>
      <c r="VV182" s="4"/>
      <c r="VW182" s="4"/>
      <c r="VX182" s="4"/>
      <c r="VY182" s="5"/>
      <c r="VZ182" s="6"/>
      <c r="WA182" s="4"/>
      <c r="WB182" s="4"/>
      <c r="WC182" s="4"/>
      <c r="WD182" s="4"/>
      <c r="WE182" s="4"/>
      <c r="WF182" s="5"/>
      <c r="WG182" s="6"/>
      <c r="WH182" s="4"/>
      <c r="WI182" s="4"/>
      <c r="WJ182" s="4"/>
      <c r="WK182" s="4"/>
      <c r="WL182" s="4"/>
      <c r="WM182" s="5"/>
      <c r="WN182" s="6"/>
      <c r="WO182" s="4"/>
      <c r="WP182" s="4"/>
      <c r="WQ182" s="4"/>
      <c r="WR182" s="4"/>
      <c r="WS182" s="4"/>
      <c r="WT182" s="5"/>
      <c r="WU182" s="6"/>
      <c r="WV182" s="4"/>
      <c r="WW182" s="4"/>
      <c r="WX182" s="4"/>
      <c r="WY182" s="4"/>
      <c r="WZ182" s="4"/>
      <c r="XA182" s="5"/>
      <c r="XB182" s="6"/>
      <c r="XC182" s="4"/>
      <c r="XD182" s="4"/>
      <c r="XE182" s="4"/>
      <c r="XF182" s="4"/>
      <c r="XG182" s="4"/>
      <c r="XH182" s="5"/>
      <c r="XI182" s="6"/>
      <c r="XJ182" s="4"/>
      <c r="XK182" s="4"/>
      <c r="XL182" s="4"/>
      <c r="XM182" s="4"/>
      <c r="XN182" s="4"/>
      <c r="XO182" s="5"/>
      <c r="XP182" s="6"/>
      <c r="XQ182" s="4"/>
      <c r="XR182" s="4"/>
      <c r="XS182" s="4"/>
      <c r="XT182" s="4"/>
      <c r="XU182" s="4"/>
      <c r="XV182" s="5"/>
      <c r="XW182" s="6"/>
      <c r="XX182" s="4"/>
      <c r="XY182" s="4"/>
      <c r="XZ182" s="4"/>
      <c r="YA182" s="4"/>
      <c r="YB182" s="4"/>
      <c r="YC182" s="5"/>
      <c r="YD182" s="6"/>
      <c r="YE182" s="4"/>
      <c r="YF182" s="4"/>
      <c r="YG182" s="4"/>
      <c r="YH182" s="4"/>
      <c r="YI182" s="4"/>
      <c r="YJ182" s="5"/>
      <c r="YK182" s="6"/>
      <c r="YL182" s="4"/>
      <c r="YM182" s="4"/>
      <c r="YN182" s="4"/>
      <c r="YO182" s="4"/>
      <c r="YP182" s="4"/>
      <c r="YQ182" s="5"/>
      <c r="YR182" s="6"/>
      <c r="YS182" s="4"/>
      <c r="YT182" s="4"/>
      <c r="YU182" s="4"/>
      <c r="YV182" s="4"/>
      <c r="YW182" s="4"/>
      <c r="YX182" s="5"/>
      <c r="YY182" s="6"/>
      <c r="YZ182" s="4"/>
      <c r="ZA182" s="4"/>
      <c r="ZB182" s="4"/>
      <c r="ZC182" s="4"/>
      <c r="ZD182" s="4"/>
      <c r="ZE182" s="5"/>
      <c r="ZF182" s="6"/>
      <c r="ZG182" s="4"/>
      <c r="ZH182" s="4"/>
      <c r="ZI182" s="4"/>
      <c r="ZJ182" s="4"/>
      <c r="ZK182" s="4"/>
      <c r="ZL182" s="5"/>
      <c r="ZM182" s="6"/>
      <c r="ZN182" s="4"/>
      <c r="ZO182" s="4"/>
      <c r="ZP182" s="4"/>
      <c r="ZQ182" s="4"/>
      <c r="ZR182" s="4"/>
      <c r="ZS182" s="5"/>
      <c r="ZT182" s="6"/>
      <c r="ZU182" s="4"/>
      <c r="ZV182" s="4"/>
      <c r="ZW182" s="4"/>
      <c r="ZX182" s="4"/>
      <c r="ZY182" s="4"/>
      <c r="ZZ182" s="5"/>
      <c r="AAA182" s="6"/>
      <c r="AAB182" s="4"/>
      <c r="AAC182" s="4"/>
      <c r="AAD182" s="4"/>
      <c r="AAE182" s="4"/>
      <c r="AAF182" s="4"/>
      <c r="AAG182" s="5"/>
      <c r="AAH182" s="6" t="s">
        <v>3273</v>
      </c>
      <c r="AAI182" s="4" t="s">
        <v>3122</v>
      </c>
      <c r="AAJ182" s="4"/>
      <c r="AAK182" s="4"/>
      <c r="AAL182" s="4"/>
      <c r="AAM182" s="4"/>
      <c r="AAN182" s="5"/>
      <c r="AAO182" s="6"/>
      <c r="AAP182" s="4"/>
      <c r="AAQ182" s="4"/>
      <c r="AAR182" s="4"/>
      <c r="AAS182" s="4"/>
      <c r="AAT182" s="4"/>
      <c r="AAU182" s="5"/>
      <c r="AAV182" s="6"/>
      <c r="AAW182" s="4"/>
      <c r="AAX182" s="4"/>
      <c r="AAY182" s="4"/>
      <c r="AAZ182" s="4"/>
      <c r="ABA182" s="4"/>
      <c r="ABB182" s="5"/>
      <c r="ABC182" s="6"/>
      <c r="ABD182" s="4"/>
      <c r="ABE182" s="4"/>
      <c r="ABF182" s="4"/>
      <c r="ABG182" s="4"/>
      <c r="ABH182" s="4"/>
      <c r="ABI182" s="5"/>
      <c r="ABJ182" s="6"/>
      <c r="ABK182" s="4"/>
      <c r="ABL182" s="4"/>
      <c r="ABM182" s="4"/>
      <c r="ABN182" s="4"/>
      <c r="ABO182" s="4"/>
      <c r="ABP182" s="5"/>
      <c r="ABQ182" s="6"/>
      <c r="ABR182" s="4"/>
      <c r="ABS182" s="4"/>
      <c r="ABT182" s="4"/>
      <c r="ABU182" s="4"/>
      <c r="ABV182" s="4"/>
      <c r="ABW182" s="5"/>
      <c r="ABX182" s="6"/>
      <c r="ABY182" s="4"/>
      <c r="ABZ182" s="4"/>
      <c r="ACA182" s="4"/>
      <c r="ACB182" s="4"/>
      <c r="ACC182" s="4"/>
      <c r="ACD182" s="5"/>
      <c r="ACE182" s="6"/>
      <c r="ACF182" s="4"/>
      <c r="ACG182" s="4"/>
      <c r="ACH182" s="4"/>
      <c r="ACI182" s="4"/>
      <c r="ACJ182" s="4"/>
      <c r="ACK182" s="5"/>
      <c r="ACL182" s="6"/>
      <c r="ACM182" s="4"/>
      <c r="ACN182" s="4"/>
      <c r="ACO182" s="4"/>
      <c r="ACP182" s="4"/>
      <c r="ACQ182" s="4"/>
      <c r="ACR182" s="5"/>
      <c r="ACS182" s="6"/>
      <c r="ACT182" s="4"/>
      <c r="ACU182" s="4"/>
      <c r="ACV182" s="4"/>
      <c r="ACW182" s="4"/>
      <c r="ACX182" s="4"/>
      <c r="ACY182" s="5"/>
    </row>
    <row r="183" spans="2:779" x14ac:dyDescent="0.25">
      <c r="B183" s="30"/>
      <c r="J183" s="12"/>
      <c r="K183" s="12"/>
      <c r="L183" s="12"/>
      <c r="LL183" s="6"/>
      <c r="LM183" s="4"/>
      <c r="LN183" s="4"/>
      <c r="LO183" s="4"/>
      <c r="LP183" s="4"/>
      <c r="LQ183" s="4"/>
      <c r="LR183" s="5"/>
      <c r="LS183" s="6"/>
      <c r="LT183" s="4"/>
      <c r="LU183" s="4"/>
      <c r="LV183" s="4"/>
      <c r="LW183" s="4"/>
      <c r="LX183" s="4"/>
      <c r="LY183" s="5"/>
      <c r="LZ183" s="6" t="s">
        <v>3270</v>
      </c>
      <c r="MA183" s="7" t="s">
        <v>3272</v>
      </c>
      <c r="MB183" s="4"/>
      <c r="MC183" s="4"/>
      <c r="MD183" s="10"/>
      <c r="ME183" s="4"/>
      <c r="MF183" s="4"/>
      <c r="MG183" s="5"/>
      <c r="MH183" s="6"/>
      <c r="MI183" s="4"/>
      <c r="MJ183" s="4"/>
      <c r="MK183" s="4"/>
      <c r="ML183" s="4"/>
      <c r="MM183" s="4"/>
      <c r="MN183" s="5"/>
      <c r="MO183" s="6"/>
      <c r="MP183" s="4"/>
      <c r="MQ183" s="4"/>
      <c r="MR183" s="4"/>
      <c r="MS183" s="4"/>
      <c r="MT183" s="4"/>
      <c r="MU183" s="5"/>
      <c r="MV183" s="6"/>
      <c r="MW183" s="4"/>
      <c r="MX183" s="4"/>
      <c r="MY183" s="4"/>
      <c r="MZ183" s="4"/>
      <c r="NA183" s="4"/>
      <c r="NB183" s="5"/>
      <c r="NC183" s="6"/>
      <c r="ND183" s="4"/>
      <c r="NE183" s="4"/>
      <c r="NF183" s="4"/>
      <c r="NG183" s="4"/>
      <c r="NH183" s="4"/>
      <c r="NI183" s="5"/>
      <c r="NJ183" s="6"/>
      <c r="NK183" s="4"/>
      <c r="NL183" s="4"/>
      <c r="NM183" s="4"/>
      <c r="NN183" s="4"/>
      <c r="NO183" s="4"/>
      <c r="NP183" s="5"/>
      <c r="NQ183" s="6"/>
      <c r="NR183" s="4"/>
      <c r="NS183" s="4"/>
      <c r="NT183" s="4"/>
      <c r="NU183" s="4"/>
      <c r="NV183" s="4"/>
      <c r="NW183" s="5"/>
      <c r="NX183" s="6"/>
      <c r="NY183" s="4"/>
      <c r="NZ183" s="4"/>
      <c r="OA183" s="4"/>
      <c r="OB183" s="4"/>
      <c r="OC183" s="4"/>
      <c r="OD183" s="5"/>
      <c r="OE183" s="6"/>
      <c r="OF183" s="4"/>
      <c r="OG183" s="4"/>
      <c r="OH183" s="4"/>
      <c r="OI183" s="4"/>
      <c r="OJ183" s="4"/>
      <c r="OK183" s="5"/>
      <c r="OL183" s="6"/>
      <c r="OM183" s="4"/>
      <c r="ON183" s="4"/>
      <c r="OO183" s="4"/>
      <c r="OP183" s="4"/>
      <c r="OQ183" s="4"/>
      <c r="OR183" s="5"/>
      <c r="OS183" s="6"/>
      <c r="OT183" s="4"/>
      <c r="OU183" s="4"/>
      <c r="OV183" s="4"/>
      <c r="OW183" s="4"/>
      <c r="OX183" s="4"/>
      <c r="OY183" s="5"/>
      <c r="OZ183" s="6"/>
      <c r="PA183" s="4"/>
      <c r="PB183" s="4"/>
      <c r="PC183" s="4"/>
      <c r="PD183" s="4"/>
      <c r="PE183" s="4"/>
      <c r="PF183" s="5"/>
      <c r="PG183" s="6"/>
      <c r="PH183" s="4"/>
      <c r="PI183" s="4"/>
      <c r="PJ183" s="4"/>
      <c r="PK183" s="4"/>
      <c r="PL183" s="4"/>
      <c r="PM183" s="5"/>
      <c r="PN183" s="6"/>
      <c r="PO183" s="4"/>
      <c r="PP183" s="4"/>
      <c r="PQ183" s="4"/>
      <c r="PR183" s="4"/>
      <c r="PS183" s="4"/>
      <c r="PT183" s="5"/>
      <c r="PU183" s="6"/>
      <c r="PV183" s="4"/>
      <c r="PW183" s="4"/>
      <c r="PX183" s="4"/>
      <c r="PY183" s="4"/>
      <c r="PZ183" s="4"/>
      <c r="QA183" s="5"/>
      <c r="QB183" s="6"/>
      <c r="QC183" s="4"/>
      <c r="QD183" s="4"/>
      <c r="QE183" s="4"/>
      <c r="QF183" s="4"/>
      <c r="QG183" s="4"/>
      <c r="QH183" s="5"/>
      <c r="QI183" s="6"/>
      <c r="QJ183" s="4"/>
      <c r="QK183" s="4"/>
      <c r="QL183" s="4"/>
      <c r="QM183" s="4"/>
      <c r="QN183" s="4"/>
      <c r="QO183" s="5"/>
      <c r="QP183" s="6"/>
      <c r="QQ183" s="4"/>
      <c r="QR183" s="4"/>
      <c r="QS183" s="4"/>
      <c r="QT183" s="4"/>
      <c r="QU183" s="4"/>
      <c r="QV183" s="5"/>
      <c r="QW183" s="6"/>
      <c r="QX183" s="4"/>
      <c r="QY183" s="4"/>
      <c r="QZ183" s="4"/>
      <c r="RA183" s="4"/>
      <c r="RB183" s="4"/>
      <c r="RC183" s="5"/>
      <c r="RD183" s="6"/>
      <c r="RE183" s="4"/>
      <c r="RF183" s="4"/>
      <c r="RG183" s="4"/>
      <c r="RH183" s="4"/>
      <c r="RI183" s="4"/>
      <c r="RJ183" s="5"/>
      <c r="RK183" s="6"/>
      <c r="RL183" s="4"/>
      <c r="RM183" s="4"/>
      <c r="RN183" s="4"/>
      <c r="RO183" s="4"/>
      <c r="RP183" s="4"/>
      <c r="RQ183" s="5"/>
      <c r="RR183" s="6"/>
      <c r="RS183" s="4"/>
      <c r="RT183" s="4"/>
      <c r="RU183" s="4"/>
      <c r="RV183" s="4"/>
      <c r="RW183" s="4"/>
      <c r="RX183" s="5"/>
      <c r="RY183" s="6"/>
      <c r="RZ183" s="4"/>
      <c r="SA183" s="4"/>
      <c r="SB183" s="4"/>
      <c r="SC183" s="4"/>
      <c r="SD183" s="4"/>
      <c r="SE183" s="5"/>
      <c r="SF183" s="6"/>
      <c r="SG183" s="4"/>
      <c r="SH183" s="4"/>
      <c r="SI183" s="4"/>
      <c r="SJ183" s="4"/>
      <c r="SK183" s="4"/>
      <c r="SL183" s="5"/>
      <c r="SM183" s="6"/>
      <c r="SN183" s="4"/>
      <c r="SO183" s="4"/>
      <c r="SP183" s="4"/>
      <c r="SQ183" s="4"/>
      <c r="SR183" s="4"/>
      <c r="SS183" s="5"/>
      <c r="ST183" s="6"/>
      <c r="SU183" s="4"/>
      <c r="SV183" s="4"/>
      <c r="SW183" s="4"/>
      <c r="SX183" s="4"/>
      <c r="SY183" s="4"/>
      <c r="SZ183" s="5"/>
      <c r="TA183" s="6"/>
      <c r="TB183" s="4"/>
      <c r="TC183" s="4"/>
      <c r="TD183" s="4"/>
      <c r="TE183" s="4"/>
      <c r="TF183" s="4"/>
      <c r="TG183" s="5"/>
      <c r="TH183" s="6"/>
      <c r="TI183" s="4"/>
      <c r="TJ183" s="4"/>
      <c r="TK183" s="4"/>
      <c r="TL183" s="4"/>
      <c r="TM183" s="4"/>
      <c r="TN183" s="5"/>
      <c r="TO183" s="6"/>
      <c r="TP183" s="4"/>
      <c r="TQ183" s="4"/>
      <c r="TR183" s="4"/>
      <c r="TS183" s="4"/>
      <c r="TT183" s="4"/>
      <c r="TU183" s="5"/>
      <c r="TV183" s="6"/>
      <c r="TW183" s="4"/>
      <c r="TX183" s="4"/>
      <c r="TY183" s="4"/>
      <c r="TZ183" s="4"/>
      <c r="UA183" s="4"/>
      <c r="UB183" s="5"/>
      <c r="UC183" s="6"/>
      <c r="UD183" s="4"/>
      <c r="UE183" s="4"/>
      <c r="UF183" s="4"/>
      <c r="UG183" s="4"/>
      <c r="UH183" s="4"/>
      <c r="UI183" s="5"/>
      <c r="UJ183" s="6"/>
      <c r="UK183" s="4"/>
      <c r="UL183" s="4"/>
      <c r="UM183" s="4"/>
      <c r="UN183" s="4"/>
      <c r="UO183" s="4"/>
      <c r="UP183" s="5"/>
      <c r="UQ183" s="6"/>
      <c r="UR183" s="4"/>
      <c r="US183" s="4"/>
      <c r="UT183" s="4"/>
      <c r="UU183" s="4"/>
      <c r="UV183" s="4"/>
      <c r="UW183" s="5"/>
      <c r="UX183" s="6"/>
      <c r="UY183" s="4"/>
      <c r="UZ183" s="4"/>
      <c r="VA183" s="4"/>
      <c r="VB183" s="4"/>
      <c r="VC183" s="4"/>
      <c r="VD183" s="5"/>
      <c r="VE183" s="6"/>
      <c r="VF183" s="4"/>
      <c r="VG183" s="4"/>
      <c r="VH183" s="4"/>
      <c r="VI183" s="4"/>
      <c r="VJ183" s="4"/>
      <c r="VK183" s="5"/>
      <c r="VL183" s="6"/>
      <c r="VM183" s="4"/>
      <c r="VN183" s="4"/>
      <c r="VO183" s="4"/>
      <c r="VP183" s="4"/>
      <c r="VQ183" s="4"/>
      <c r="VR183" s="5"/>
      <c r="VS183" s="6"/>
      <c r="VT183" s="4"/>
      <c r="VU183" s="4"/>
      <c r="VV183" s="4"/>
      <c r="VW183" s="4"/>
      <c r="VX183" s="4"/>
      <c r="VY183" s="5"/>
      <c r="VZ183" s="6"/>
      <c r="WA183" s="4"/>
      <c r="WB183" s="4"/>
      <c r="WC183" s="4"/>
      <c r="WD183" s="4"/>
      <c r="WE183" s="4"/>
      <c r="WF183" s="5"/>
      <c r="WG183" s="6"/>
      <c r="WH183" s="4"/>
      <c r="WI183" s="4"/>
      <c r="WJ183" s="4"/>
      <c r="WK183" s="4"/>
      <c r="WL183" s="4"/>
      <c r="WM183" s="5"/>
      <c r="WN183" s="6"/>
      <c r="WO183" s="4"/>
      <c r="WP183" s="4"/>
      <c r="WQ183" s="4"/>
      <c r="WR183" s="4"/>
      <c r="WS183" s="4"/>
      <c r="WT183" s="5"/>
      <c r="WU183" s="6"/>
      <c r="WV183" s="4"/>
      <c r="WW183" s="4"/>
      <c r="WX183" s="4"/>
      <c r="WY183" s="4"/>
      <c r="WZ183" s="4"/>
      <c r="XA183" s="5"/>
      <c r="XB183" s="6"/>
      <c r="XC183" s="4"/>
      <c r="XD183" s="4"/>
      <c r="XE183" s="4"/>
      <c r="XF183" s="4"/>
      <c r="XG183" s="4"/>
      <c r="XH183" s="5"/>
      <c r="XI183" s="6"/>
      <c r="XJ183" s="4"/>
      <c r="XK183" s="4"/>
      <c r="XL183" s="4"/>
      <c r="XM183" s="4"/>
      <c r="XN183" s="4"/>
      <c r="XO183" s="5"/>
      <c r="XP183" s="6"/>
      <c r="XQ183" s="4"/>
      <c r="XR183" s="4"/>
      <c r="XS183" s="4"/>
      <c r="XT183" s="4"/>
      <c r="XU183" s="4"/>
      <c r="XV183" s="5"/>
      <c r="XW183" s="6"/>
      <c r="XX183" s="4"/>
      <c r="XY183" s="4"/>
      <c r="XZ183" s="4"/>
      <c r="YA183" s="4"/>
      <c r="YB183" s="4"/>
      <c r="YC183" s="5"/>
      <c r="YD183" s="6"/>
      <c r="YE183" s="4"/>
      <c r="YF183" s="4"/>
      <c r="YG183" s="4"/>
      <c r="YH183" s="4"/>
      <c r="YI183" s="4"/>
      <c r="YJ183" s="5"/>
      <c r="YK183" s="6"/>
      <c r="YL183" s="4"/>
      <c r="YM183" s="4"/>
      <c r="YN183" s="4"/>
      <c r="YO183" s="4"/>
      <c r="YP183" s="4"/>
      <c r="YQ183" s="5"/>
      <c r="YR183" s="6"/>
      <c r="YS183" s="4"/>
      <c r="YT183" s="4"/>
      <c r="YU183" s="4"/>
      <c r="YV183" s="4"/>
      <c r="YW183" s="4"/>
      <c r="YX183" s="5"/>
      <c r="YY183" s="6"/>
      <c r="YZ183" s="4"/>
      <c r="ZA183" s="4"/>
      <c r="ZB183" s="4"/>
      <c r="ZC183" s="4"/>
      <c r="ZD183" s="4"/>
      <c r="ZE183" s="5"/>
      <c r="ZF183" s="6"/>
      <c r="ZG183" s="4"/>
      <c r="ZH183" s="4"/>
      <c r="ZI183" s="4"/>
      <c r="ZJ183" s="4"/>
      <c r="ZK183" s="4"/>
      <c r="ZL183" s="5"/>
      <c r="ZM183" s="6"/>
      <c r="ZN183" s="4"/>
      <c r="ZO183" s="4"/>
      <c r="ZP183" s="4"/>
      <c r="ZQ183" s="4"/>
      <c r="ZR183" s="4"/>
      <c r="ZS183" s="5"/>
      <c r="ZT183" s="6"/>
      <c r="ZU183" s="4"/>
      <c r="ZV183" s="4"/>
      <c r="ZW183" s="4"/>
      <c r="ZX183" s="4"/>
      <c r="ZY183" s="4"/>
      <c r="ZZ183" s="5"/>
      <c r="AAA183" s="6"/>
      <c r="AAB183" s="4"/>
      <c r="AAC183" s="4"/>
      <c r="AAD183" s="4"/>
      <c r="AAE183" s="4"/>
      <c r="AAF183" s="4"/>
      <c r="AAG183" s="5"/>
      <c r="AAH183" s="6"/>
      <c r="AAI183" s="4"/>
      <c r="AAJ183" s="4"/>
      <c r="AAK183" s="4"/>
      <c r="AAL183" s="4"/>
      <c r="AAM183" s="4"/>
      <c r="AAN183" s="5"/>
      <c r="AAO183" s="6"/>
      <c r="AAP183" s="4"/>
      <c r="AAQ183" s="4"/>
      <c r="AAR183" s="4"/>
      <c r="AAS183" s="4"/>
      <c r="AAT183" s="4"/>
      <c r="AAU183" s="5"/>
      <c r="AAV183" s="6"/>
      <c r="AAW183" s="4"/>
      <c r="AAX183" s="4"/>
      <c r="AAY183" s="4"/>
      <c r="AAZ183" s="4"/>
      <c r="ABA183" s="4"/>
      <c r="ABB183" s="5"/>
      <c r="ABC183" s="6"/>
      <c r="ABD183" s="4"/>
      <c r="ABE183" s="4"/>
      <c r="ABF183" s="4"/>
      <c r="ABG183" s="4"/>
      <c r="ABH183" s="4"/>
      <c r="ABI183" s="5"/>
      <c r="ABJ183" s="6"/>
      <c r="ABK183" s="4"/>
      <c r="ABL183" s="4"/>
      <c r="ABM183" s="4"/>
      <c r="ABN183" s="4"/>
      <c r="ABO183" s="4"/>
      <c r="ABP183" s="5"/>
      <c r="ABQ183" s="6"/>
      <c r="ABR183" s="4"/>
      <c r="ABS183" s="4"/>
      <c r="ABT183" s="4"/>
      <c r="ABU183" s="4"/>
      <c r="ABV183" s="4"/>
      <c r="ABW183" s="5"/>
      <c r="ABX183" s="6"/>
      <c r="ABY183" s="4"/>
      <c r="ABZ183" s="4"/>
      <c r="ACA183" s="4"/>
      <c r="ACB183" s="4"/>
      <c r="ACC183" s="4"/>
      <c r="ACD183" s="5"/>
      <c r="ACE183" s="6"/>
      <c r="ACF183" s="4"/>
      <c r="ACG183" s="4"/>
      <c r="ACH183" s="4"/>
      <c r="ACI183" s="4"/>
      <c r="ACJ183" s="4"/>
      <c r="ACK183" s="5"/>
      <c r="ACL183" s="6"/>
      <c r="ACM183" s="4"/>
      <c r="ACN183" s="4"/>
      <c r="ACO183" s="4"/>
      <c r="ACP183" s="4"/>
      <c r="ACQ183" s="4"/>
      <c r="ACR183" s="5"/>
      <c r="ACS183" s="6"/>
      <c r="ACT183" s="4"/>
      <c r="ACU183" s="4"/>
      <c r="ACV183" s="4"/>
      <c r="ACW183" s="4"/>
      <c r="ACX183" s="4"/>
      <c r="ACY183" s="5"/>
    </row>
    <row r="184" spans="2:779" x14ac:dyDescent="0.25">
      <c r="B184" s="29">
        <v>98008314</v>
      </c>
      <c r="C184">
        <v>59</v>
      </c>
      <c r="D184" t="s">
        <v>2121</v>
      </c>
      <c r="F184" s="23" t="s">
        <v>1631</v>
      </c>
      <c r="I184">
        <v>1</v>
      </c>
      <c r="J184" s="19">
        <v>35549</v>
      </c>
      <c r="K184" s="19"/>
      <c r="L184" s="19"/>
      <c r="M184">
        <v>1</v>
      </c>
      <c r="N184" s="17">
        <v>35549</v>
      </c>
      <c r="Q184">
        <v>1</v>
      </c>
      <c r="U184">
        <v>1</v>
      </c>
      <c r="AA184">
        <v>1</v>
      </c>
      <c r="EA184">
        <v>1</v>
      </c>
      <c r="LL184" s="6"/>
      <c r="LM184" s="4"/>
      <c r="LN184" s="4"/>
      <c r="LO184" s="4"/>
      <c r="LP184" s="4"/>
      <c r="LQ184" s="4"/>
      <c r="LR184" s="5"/>
      <c r="LS184" s="6"/>
      <c r="LT184" s="4"/>
      <c r="LU184" s="4"/>
      <c r="LV184" s="4"/>
      <c r="LW184" s="4"/>
      <c r="LX184" s="4"/>
      <c r="LY184" s="5"/>
      <c r="LZ184" s="6" t="s">
        <v>2983</v>
      </c>
      <c r="MA184" s="7" t="s">
        <v>3481</v>
      </c>
      <c r="MB184" s="4"/>
      <c r="MC184" s="4"/>
      <c r="MD184" s="8"/>
      <c r="ME184" s="4"/>
      <c r="MF184" s="4"/>
      <c r="MG184" s="5"/>
      <c r="MH184" s="6"/>
      <c r="MI184" s="4"/>
      <c r="MJ184" s="4"/>
      <c r="MK184" s="4"/>
      <c r="ML184" s="4"/>
      <c r="MM184" s="4"/>
      <c r="MN184" s="5"/>
      <c r="MO184" s="6"/>
      <c r="MP184" s="4"/>
      <c r="MQ184" s="4"/>
      <c r="MR184" s="4"/>
      <c r="MS184" s="4"/>
      <c r="MT184" s="4"/>
      <c r="MU184" s="5"/>
      <c r="MV184" s="6"/>
      <c r="MW184" s="4"/>
      <c r="MX184" s="4"/>
      <c r="MY184" s="4"/>
      <c r="MZ184" s="4"/>
      <c r="NA184" s="4"/>
      <c r="NB184" s="5"/>
      <c r="NC184" s="6"/>
      <c r="ND184" s="4"/>
      <c r="NE184" s="4"/>
      <c r="NF184" s="4"/>
      <c r="NG184" s="4"/>
      <c r="NH184" s="4"/>
      <c r="NI184" s="5"/>
      <c r="NJ184" s="6"/>
      <c r="NK184" s="4"/>
      <c r="NL184" s="4"/>
      <c r="NM184" s="4"/>
      <c r="NN184" s="4"/>
      <c r="NO184" s="4"/>
      <c r="NP184" s="5"/>
      <c r="NQ184" s="6"/>
      <c r="NR184" s="4"/>
      <c r="NS184" s="4"/>
      <c r="NT184" s="4"/>
      <c r="NU184" s="4"/>
      <c r="NV184" s="4"/>
      <c r="NW184" s="5"/>
      <c r="NX184" s="6"/>
      <c r="NY184" s="4"/>
      <c r="NZ184" s="4"/>
      <c r="OA184" s="4"/>
      <c r="OB184" s="4"/>
      <c r="OC184" s="4"/>
      <c r="OD184" s="5"/>
      <c r="OE184" s="6"/>
      <c r="OF184" s="4"/>
      <c r="OG184" s="4"/>
      <c r="OH184" s="4"/>
      <c r="OI184" s="4"/>
      <c r="OJ184" s="4"/>
      <c r="OK184" s="5"/>
      <c r="OL184" s="6"/>
      <c r="OM184" s="4"/>
      <c r="ON184" s="4"/>
      <c r="OO184" s="4"/>
      <c r="OP184" s="4"/>
      <c r="OQ184" s="4"/>
      <c r="OR184" s="5"/>
      <c r="OS184" s="6"/>
      <c r="OT184" s="4"/>
      <c r="OU184" s="4"/>
      <c r="OV184" s="4"/>
      <c r="OW184" s="4"/>
      <c r="OX184" s="4"/>
      <c r="OY184" s="5"/>
      <c r="OZ184" s="6"/>
      <c r="PA184" s="4"/>
      <c r="PB184" s="4"/>
      <c r="PC184" s="4"/>
      <c r="PD184" s="4"/>
      <c r="PE184" s="4"/>
      <c r="PF184" s="5"/>
      <c r="PG184" s="6"/>
      <c r="PH184" s="4"/>
      <c r="PI184" s="4"/>
      <c r="PJ184" s="4"/>
      <c r="PK184" s="4"/>
      <c r="PL184" s="4"/>
      <c r="PM184" s="5"/>
      <c r="PN184" s="6"/>
      <c r="PO184" s="4"/>
      <c r="PP184" s="4"/>
      <c r="PQ184" s="4"/>
      <c r="PR184" s="4"/>
      <c r="PS184" s="4"/>
      <c r="PT184" s="5"/>
      <c r="PU184" s="6"/>
      <c r="PV184" s="4"/>
      <c r="PW184" s="4"/>
      <c r="PX184" s="4"/>
      <c r="PY184" s="4"/>
      <c r="PZ184" s="4"/>
      <c r="QA184" s="5"/>
      <c r="QB184" s="6"/>
      <c r="QC184" s="4"/>
      <c r="QD184" s="4"/>
      <c r="QE184" s="4"/>
      <c r="QF184" s="4"/>
      <c r="QG184" s="4"/>
      <c r="QH184" s="5"/>
      <c r="QI184" s="6"/>
      <c r="QJ184" s="4"/>
      <c r="QK184" s="4"/>
      <c r="QL184" s="4"/>
      <c r="QM184" s="4"/>
      <c r="QN184" s="4"/>
      <c r="QO184" s="5"/>
      <c r="QP184" s="6"/>
      <c r="QQ184" s="4"/>
      <c r="QR184" s="4"/>
      <c r="QS184" s="4"/>
      <c r="QT184" s="4"/>
      <c r="QU184" s="4"/>
      <c r="QV184" s="5"/>
      <c r="QW184" s="6"/>
      <c r="QX184" s="4"/>
      <c r="QY184" s="4"/>
      <c r="QZ184" s="4"/>
      <c r="RA184" s="4"/>
      <c r="RB184" s="4"/>
      <c r="RC184" s="5"/>
      <c r="RD184" s="6"/>
      <c r="RE184" s="4"/>
      <c r="RF184" s="4"/>
      <c r="RG184" s="4"/>
      <c r="RH184" s="4"/>
      <c r="RI184" s="4"/>
      <c r="RJ184" s="5"/>
      <c r="RK184" s="6"/>
      <c r="RL184" s="4"/>
      <c r="RM184" s="4"/>
      <c r="RN184" s="4"/>
      <c r="RO184" s="4"/>
      <c r="RP184" s="4"/>
      <c r="RQ184" s="5"/>
      <c r="RR184" s="6"/>
      <c r="RS184" s="4"/>
      <c r="RT184" s="4"/>
      <c r="RU184" s="4"/>
      <c r="RV184" s="4"/>
      <c r="RW184" s="4"/>
      <c r="RX184" s="5"/>
      <c r="RY184" s="6"/>
      <c r="RZ184" s="4"/>
      <c r="SA184" s="4"/>
      <c r="SB184" s="4"/>
      <c r="SC184" s="4"/>
      <c r="SD184" s="4"/>
      <c r="SE184" s="5"/>
      <c r="SF184" s="6"/>
      <c r="SG184" s="4"/>
      <c r="SH184" s="4"/>
      <c r="SI184" s="4"/>
      <c r="SJ184" s="4"/>
      <c r="SK184" s="4"/>
      <c r="SL184" s="5"/>
      <c r="SM184" s="6"/>
      <c r="SN184" s="4"/>
      <c r="SO184" s="4"/>
      <c r="SP184" s="4"/>
      <c r="SQ184" s="4"/>
      <c r="SR184" s="4"/>
      <c r="SS184" s="5"/>
      <c r="ST184" s="6"/>
      <c r="SU184" s="4"/>
      <c r="SV184" s="4"/>
      <c r="SW184" s="4"/>
      <c r="SX184" s="4"/>
      <c r="SY184" s="4"/>
      <c r="SZ184" s="5"/>
      <c r="TA184" s="6"/>
      <c r="TB184" s="4"/>
      <c r="TC184" s="4"/>
      <c r="TD184" s="4"/>
      <c r="TE184" s="4"/>
      <c r="TF184" s="4"/>
      <c r="TG184" s="5"/>
      <c r="TH184" s="6"/>
      <c r="TI184" s="4"/>
      <c r="TJ184" s="4"/>
      <c r="TK184" s="4"/>
      <c r="TL184" s="4"/>
      <c r="TM184" s="4"/>
      <c r="TN184" s="5"/>
      <c r="TO184" s="6"/>
      <c r="TP184" s="4"/>
      <c r="TQ184" s="4"/>
      <c r="TR184" s="4"/>
      <c r="TS184" s="4"/>
      <c r="TT184" s="4"/>
      <c r="TU184" s="5"/>
      <c r="TV184" s="6"/>
      <c r="TW184" s="4"/>
      <c r="TX184" s="4"/>
      <c r="TY184" s="4"/>
      <c r="TZ184" s="4"/>
      <c r="UA184" s="4"/>
      <c r="UB184" s="5"/>
      <c r="UC184" s="6"/>
      <c r="UD184" s="4"/>
      <c r="UE184" s="4"/>
      <c r="UF184" s="4"/>
      <c r="UG184" s="4"/>
      <c r="UH184" s="4"/>
      <c r="UI184" s="5"/>
      <c r="UJ184" s="6"/>
      <c r="UK184" s="4"/>
      <c r="UL184" s="4"/>
      <c r="UM184" s="4"/>
      <c r="UN184" s="4"/>
      <c r="UO184" s="4"/>
      <c r="UP184" s="5"/>
      <c r="UQ184" s="6"/>
      <c r="UR184" s="4"/>
      <c r="US184" s="4"/>
      <c r="UT184" s="4"/>
      <c r="UU184" s="4"/>
      <c r="UV184" s="4"/>
      <c r="UW184" s="5"/>
      <c r="UX184" s="6"/>
      <c r="UY184" s="4"/>
      <c r="UZ184" s="4"/>
      <c r="VA184" s="4"/>
      <c r="VB184" s="4"/>
      <c r="VC184" s="4"/>
      <c r="VD184" s="5"/>
      <c r="VE184" s="6"/>
      <c r="VF184" s="4"/>
      <c r="VG184" s="4"/>
      <c r="VH184" s="4"/>
      <c r="VI184" s="4"/>
      <c r="VJ184" s="4"/>
      <c r="VK184" s="5"/>
      <c r="VL184" s="6"/>
      <c r="VM184" s="4"/>
      <c r="VN184" s="4"/>
      <c r="VO184" s="4"/>
      <c r="VP184" s="4"/>
      <c r="VQ184" s="4"/>
      <c r="VR184" s="5"/>
      <c r="VS184" s="6"/>
      <c r="VT184" s="4"/>
      <c r="VU184" s="4"/>
      <c r="VV184" s="4"/>
      <c r="VW184" s="4"/>
      <c r="VX184" s="4"/>
      <c r="VY184" s="5"/>
      <c r="VZ184" s="6"/>
      <c r="WA184" s="4"/>
      <c r="WB184" s="4"/>
      <c r="WC184" s="4"/>
      <c r="WD184" s="4"/>
      <c r="WE184" s="4"/>
      <c r="WF184" s="5"/>
      <c r="WG184" s="6"/>
      <c r="WH184" s="4"/>
      <c r="WI184" s="4"/>
      <c r="WJ184" s="4"/>
      <c r="WK184" s="4"/>
      <c r="WL184" s="4"/>
      <c r="WM184" s="5"/>
      <c r="WN184" s="6"/>
      <c r="WO184" s="4"/>
      <c r="WP184" s="4"/>
      <c r="WQ184" s="4"/>
      <c r="WR184" s="4"/>
      <c r="WS184" s="4"/>
      <c r="WT184" s="5"/>
      <c r="WU184" s="6"/>
      <c r="WV184" s="4"/>
      <c r="WW184" s="4"/>
      <c r="WX184" s="4"/>
      <c r="WY184" s="4"/>
      <c r="WZ184" s="4"/>
      <c r="XA184" s="5"/>
      <c r="XB184" s="6"/>
      <c r="XC184" s="4"/>
      <c r="XD184" s="4"/>
      <c r="XE184" s="4"/>
      <c r="XF184" s="4"/>
      <c r="XG184" s="4"/>
      <c r="XH184" s="5"/>
      <c r="XI184" s="6"/>
      <c r="XJ184" s="4"/>
      <c r="XK184" s="4"/>
      <c r="XL184" s="4"/>
      <c r="XM184" s="4"/>
      <c r="XN184" s="4"/>
      <c r="XO184" s="5"/>
      <c r="XP184" s="6"/>
      <c r="XQ184" s="4"/>
      <c r="XR184" s="4"/>
      <c r="XS184" s="4"/>
      <c r="XT184" s="4"/>
      <c r="XU184" s="4"/>
      <c r="XV184" s="5"/>
      <c r="XW184" s="6"/>
      <c r="XX184" s="4"/>
      <c r="XY184" s="4"/>
      <c r="XZ184" s="4"/>
      <c r="YA184" s="4"/>
      <c r="YB184" s="4"/>
      <c r="YC184" s="5"/>
      <c r="YD184" s="6"/>
      <c r="YE184" s="4"/>
      <c r="YF184" s="4"/>
      <c r="YG184" s="4"/>
      <c r="YH184" s="4"/>
      <c r="YI184" s="4"/>
      <c r="YJ184" s="5"/>
      <c r="YK184" s="6" t="s">
        <v>2984</v>
      </c>
      <c r="YL184" s="4" t="s">
        <v>2985</v>
      </c>
      <c r="YM184" s="4"/>
      <c r="YN184" s="4"/>
      <c r="YO184" s="4"/>
      <c r="YP184" s="4"/>
      <c r="YQ184" s="5"/>
      <c r="YR184" s="6"/>
      <c r="YS184" s="4"/>
      <c r="YT184" s="4"/>
      <c r="YU184" s="4"/>
      <c r="YV184" s="4"/>
      <c r="YW184" s="4"/>
      <c r="YX184" s="5"/>
      <c r="YY184" s="6"/>
      <c r="YZ184" s="4"/>
      <c r="ZA184" s="4"/>
      <c r="ZB184" s="4"/>
      <c r="ZC184" s="4"/>
      <c r="ZD184" s="4"/>
      <c r="ZE184" s="5"/>
      <c r="ZF184" s="6"/>
      <c r="ZG184" s="4"/>
      <c r="ZH184" s="4"/>
      <c r="ZI184" s="4"/>
      <c r="ZJ184" s="4"/>
      <c r="ZK184" s="4"/>
      <c r="ZL184" s="5"/>
      <c r="ZM184" s="6"/>
      <c r="ZN184" s="4"/>
      <c r="ZO184" s="4"/>
      <c r="ZP184" s="4"/>
      <c r="ZQ184" s="4"/>
      <c r="ZR184" s="4"/>
      <c r="ZS184" s="5"/>
      <c r="ZT184" s="6"/>
      <c r="ZU184" s="4"/>
      <c r="ZV184" s="4"/>
      <c r="ZW184" s="4"/>
      <c r="ZX184" s="4"/>
      <c r="ZY184" s="4"/>
      <c r="ZZ184" s="5"/>
      <c r="AAA184" s="6"/>
      <c r="AAB184" s="4"/>
      <c r="AAC184" s="4"/>
      <c r="AAD184" s="4"/>
      <c r="AAE184" s="4"/>
      <c r="AAF184" s="4"/>
      <c r="AAG184" s="5"/>
      <c r="AAH184" s="6"/>
      <c r="AAI184" s="4"/>
      <c r="AAJ184" s="4"/>
      <c r="AAK184" s="4"/>
      <c r="AAL184" s="4"/>
      <c r="AAM184" s="4"/>
      <c r="AAN184" s="5"/>
      <c r="AAO184" s="6"/>
      <c r="AAP184" s="4"/>
      <c r="AAQ184" s="4"/>
      <c r="AAR184" s="4"/>
      <c r="AAS184" s="4"/>
      <c r="AAT184" s="4"/>
      <c r="AAU184" s="5"/>
      <c r="AAV184" s="6"/>
      <c r="AAW184" s="4"/>
      <c r="AAX184" s="4"/>
      <c r="AAY184" s="4"/>
      <c r="AAZ184" s="4"/>
      <c r="ABA184" s="4"/>
      <c r="ABB184" s="5"/>
      <c r="ABC184" s="6"/>
      <c r="ABD184" s="4"/>
      <c r="ABE184" s="4"/>
      <c r="ABF184" s="4"/>
      <c r="ABG184" s="4"/>
      <c r="ABH184" s="4"/>
      <c r="ABI184" s="5"/>
      <c r="ABJ184" s="6"/>
      <c r="ABK184" s="4"/>
      <c r="ABL184" s="4"/>
      <c r="ABM184" s="4"/>
      <c r="ABN184" s="4"/>
      <c r="ABO184" s="4"/>
      <c r="ABP184" s="5"/>
      <c r="ABQ184" s="6"/>
      <c r="ABR184" s="4"/>
      <c r="ABS184" s="4"/>
      <c r="ABT184" s="4"/>
      <c r="ABU184" s="4"/>
      <c r="ABV184" s="4"/>
      <c r="ABW184" s="5"/>
      <c r="ABX184" s="6"/>
      <c r="ABY184" s="4"/>
      <c r="ABZ184" s="4"/>
      <c r="ACA184" s="4"/>
      <c r="ACB184" s="4"/>
      <c r="ACC184" s="4"/>
      <c r="ACD184" s="5"/>
      <c r="ACE184" s="6"/>
      <c r="ACF184" s="4"/>
      <c r="ACG184" s="4"/>
      <c r="ACH184" s="4"/>
      <c r="ACI184" s="4"/>
      <c r="ACJ184" s="4"/>
      <c r="ACK184" s="5"/>
      <c r="ACL184" s="6"/>
      <c r="ACM184" s="4"/>
      <c r="ACN184" s="4"/>
      <c r="ACO184" s="4"/>
      <c r="ACP184" s="4"/>
      <c r="ACQ184" s="4"/>
      <c r="ACR184" s="5"/>
      <c r="ACS184" s="6"/>
      <c r="ACT184" s="4"/>
      <c r="ACU184" s="4"/>
      <c r="ACV184" s="4"/>
      <c r="ACW184" s="4"/>
      <c r="ACX184" s="4"/>
      <c r="ACY184" s="5"/>
    </row>
    <row r="185" spans="2:779" x14ac:dyDescent="0.25">
      <c r="B185" s="30"/>
      <c r="J185" s="12"/>
      <c r="K185" s="12"/>
      <c r="L185" s="12"/>
      <c r="LL185" s="6"/>
      <c r="LM185" s="4"/>
      <c r="LN185" s="4"/>
      <c r="LO185" s="4"/>
      <c r="LP185" s="4"/>
      <c r="LQ185" s="4"/>
      <c r="LR185" s="5"/>
      <c r="LS185" s="6"/>
      <c r="LT185" s="4"/>
      <c r="LU185" s="4"/>
      <c r="LV185" s="4"/>
      <c r="LW185" s="4"/>
      <c r="LX185" s="4"/>
      <c r="LY185" s="5"/>
      <c r="LZ185" s="6" t="s">
        <v>3271</v>
      </c>
      <c r="MA185" s="7" t="s">
        <v>3271</v>
      </c>
      <c r="MB185" s="4"/>
      <c r="MC185" s="4"/>
      <c r="MD185" s="8"/>
      <c r="ME185" s="4"/>
      <c r="MF185" s="4"/>
      <c r="MG185" s="5"/>
      <c r="MH185" s="6"/>
      <c r="MI185" s="4"/>
      <c r="MJ185" s="4"/>
      <c r="MK185" s="4"/>
      <c r="ML185" s="4"/>
      <c r="MM185" s="4"/>
      <c r="MN185" s="5"/>
      <c r="MO185" s="6"/>
      <c r="MP185" s="4"/>
      <c r="MQ185" s="4"/>
      <c r="MR185" s="4"/>
      <c r="MS185" s="4"/>
      <c r="MT185" s="4"/>
      <c r="MU185" s="5"/>
      <c r="MV185" s="6"/>
      <c r="MW185" s="4"/>
      <c r="MX185" s="4"/>
      <c r="MY185" s="4"/>
      <c r="MZ185" s="4"/>
      <c r="NA185" s="4"/>
      <c r="NB185" s="5"/>
      <c r="NC185" s="6"/>
      <c r="ND185" s="4"/>
      <c r="NE185" s="4"/>
      <c r="NF185" s="4"/>
      <c r="NG185" s="4"/>
      <c r="NH185" s="4"/>
      <c r="NI185" s="5"/>
      <c r="NJ185" s="6"/>
      <c r="NK185" s="4"/>
      <c r="NL185" s="4"/>
      <c r="NM185" s="4"/>
      <c r="NN185" s="4"/>
      <c r="NO185" s="4"/>
      <c r="NP185" s="5"/>
      <c r="NQ185" s="6"/>
      <c r="NR185" s="4"/>
      <c r="NS185" s="4"/>
      <c r="NT185" s="4"/>
      <c r="NU185" s="4"/>
      <c r="NV185" s="4"/>
      <c r="NW185" s="5"/>
      <c r="NX185" s="6"/>
      <c r="NY185" s="4"/>
      <c r="NZ185" s="4"/>
      <c r="OA185" s="4"/>
      <c r="OB185" s="4"/>
      <c r="OC185" s="4"/>
      <c r="OD185" s="5"/>
      <c r="OE185" s="6"/>
      <c r="OF185" s="4"/>
      <c r="OG185" s="4"/>
      <c r="OH185" s="4"/>
      <c r="OI185" s="4"/>
      <c r="OJ185" s="4"/>
      <c r="OK185" s="5"/>
      <c r="OL185" s="6"/>
      <c r="OM185" s="4"/>
      <c r="ON185" s="4"/>
      <c r="OO185" s="4"/>
      <c r="OP185" s="4"/>
      <c r="OQ185" s="4"/>
      <c r="OR185" s="5"/>
      <c r="OS185" s="6"/>
      <c r="OT185" s="4"/>
      <c r="OU185" s="4"/>
      <c r="OV185" s="4"/>
      <c r="OW185" s="4"/>
      <c r="OX185" s="4"/>
      <c r="OY185" s="5"/>
      <c r="OZ185" s="6"/>
      <c r="PA185" s="4"/>
      <c r="PB185" s="4"/>
      <c r="PC185" s="4"/>
      <c r="PD185" s="4"/>
      <c r="PE185" s="4"/>
      <c r="PF185" s="5"/>
      <c r="PG185" s="6"/>
      <c r="PH185" s="4"/>
      <c r="PI185" s="4"/>
      <c r="PJ185" s="4"/>
      <c r="PK185" s="4"/>
      <c r="PL185" s="4"/>
      <c r="PM185" s="5"/>
      <c r="PN185" s="6"/>
      <c r="PO185" s="4"/>
      <c r="PP185" s="4"/>
      <c r="PQ185" s="4"/>
      <c r="PR185" s="4"/>
      <c r="PS185" s="4"/>
      <c r="PT185" s="5"/>
      <c r="PU185" s="6"/>
      <c r="PV185" s="4"/>
      <c r="PW185" s="4"/>
      <c r="PX185" s="4"/>
      <c r="PY185" s="4"/>
      <c r="PZ185" s="4"/>
      <c r="QA185" s="5"/>
      <c r="QB185" s="6"/>
      <c r="QC185" s="4"/>
      <c r="QD185" s="4"/>
      <c r="QE185" s="4"/>
      <c r="QF185" s="4"/>
      <c r="QG185" s="4"/>
      <c r="QH185" s="5"/>
      <c r="QI185" s="6"/>
      <c r="QJ185" s="4"/>
      <c r="QK185" s="4"/>
      <c r="QL185" s="4"/>
      <c r="QM185" s="4"/>
      <c r="QN185" s="4"/>
      <c r="QO185" s="5"/>
      <c r="QP185" s="6"/>
      <c r="QQ185" s="4"/>
      <c r="QR185" s="4"/>
      <c r="QS185" s="4"/>
      <c r="QT185" s="4"/>
      <c r="QU185" s="4"/>
      <c r="QV185" s="5"/>
      <c r="QW185" s="6"/>
      <c r="QX185" s="4"/>
      <c r="QY185" s="4"/>
      <c r="QZ185" s="4"/>
      <c r="RA185" s="4"/>
      <c r="RB185" s="4"/>
      <c r="RC185" s="5"/>
      <c r="RD185" s="6"/>
      <c r="RE185" s="4"/>
      <c r="RF185" s="4"/>
      <c r="RG185" s="4"/>
      <c r="RH185" s="4"/>
      <c r="RI185" s="4"/>
      <c r="RJ185" s="5"/>
      <c r="RK185" s="6"/>
      <c r="RL185" s="4"/>
      <c r="RM185" s="4"/>
      <c r="RN185" s="4"/>
      <c r="RO185" s="4"/>
      <c r="RP185" s="4"/>
      <c r="RQ185" s="5"/>
      <c r="RR185" s="6"/>
      <c r="RS185" s="4"/>
      <c r="RT185" s="4"/>
      <c r="RU185" s="4"/>
      <c r="RV185" s="4"/>
      <c r="RW185" s="4"/>
      <c r="RX185" s="5"/>
      <c r="RY185" s="6"/>
      <c r="RZ185" s="4"/>
      <c r="SA185" s="4"/>
      <c r="SB185" s="4"/>
      <c r="SC185" s="4"/>
      <c r="SD185" s="4"/>
      <c r="SE185" s="5"/>
      <c r="SF185" s="6"/>
      <c r="SG185" s="4"/>
      <c r="SH185" s="4"/>
      <c r="SI185" s="4"/>
      <c r="SJ185" s="4"/>
      <c r="SK185" s="4"/>
      <c r="SL185" s="5"/>
      <c r="SM185" s="6"/>
      <c r="SN185" s="4"/>
      <c r="SO185" s="4"/>
      <c r="SP185" s="4"/>
      <c r="SQ185" s="4"/>
      <c r="SR185" s="4"/>
      <c r="SS185" s="5"/>
      <c r="ST185" s="6"/>
      <c r="SU185" s="4"/>
      <c r="SV185" s="4"/>
      <c r="SW185" s="4"/>
      <c r="SX185" s="4"/>
      <c r="SY185" s="4"/>
      <c r="SZ185" s="5"/>
      <c r="TA185" s="6"/>
      <c r="TB185" s="4"/>
      <c r="TC185" s="4"/>
      <c r="TD185" s="4"/>
      <c r="TE185" s="4"/>
      <c r="TF185" s="4"/>
      <c r="TG185" s="5"/>
      <c r="TH185" s="6"/>
      <c r="TI185" s="4"/>
      <c r="TJ185" s="4"/>
      <c r="TK185" s="4"/>
      <c r="TL185" s="4"/>
      <c r="TM185" s="4"/>
      <c r="TN185" s="5"/>
      <c r="TO185" s="6"/>
      <c r="TP185" s="4"/>
      <c r="TQ185" s="4"/>
      <c r="TR185" s="4"/>
      <c r="TS185" s="4"/>
      <c r="TT185" s="4"/>
      <c r="TU185" s="5"/>
      <c r="TV185" s="6"/>
      <c r="TW185" s="4"/>
      <c r="TX185" s="4"/>
      <c r="TY185" s="4"/>
      <c r="TZ185" s="4"/>
      <c r="UA185" s="4"/>
      <c r="UB185" s="5"/>
      <c r="UC185" s="6"/>
      <c r="UD185" s="4"/>
      <c r="UE185" s="4"/>
      <c r="UF185" s="4"/>
      <c r="UG185" s="4"/>
      <c r="UH185" s="4"/>
      <c r="UI185" s="5"/>
      <c r="UJ185" s="6"/>
      <c r="UK185" s="4"/>
      <c r="UL185" s="4"/>
      <c r="UM185" s="4"/>
      <c r="UN185" s="4"/>
      <c r="UO185" s="4"/>
      <c r="UP185" s="5"/>
      <c r="UQ185" s="6"/>
      <c r="UR185" s="4"/>
      <c r="US185" s="4"/>
      <c r="UT185" s="4"/>
      <c r="UU185" s="4"/>
      <c r="UV185" s="4"/>
      <c r="UW185" s="5"/>
      <c r="UX185" s="6"/>
      <c r="UY185" s="4"/>
      <c r="UZ185" s="4"/>
      <c r="VA185" s="4"/>
      <c r="VB185" s="4"/>
      <c r="VC185" s="4"/>
      <c r="VD185" s="5"/>
      <c r="VE185" s="6"/>
      <c r="VF185" s="4"/>
      <c r="VG185" s="4"/>
      <c r="VH185" s="4"/>
      <c r="VI185" s="4"/>
      <c r="VJ185" s="4"/>
      <c r="VK185" s="5"/>
      <c r="VL185" s="6"/>
      <c r="VM185" s="4"/>
      <c r="VN185" s="4"/>
      <c r="VO185" s="4"/>
      <c r="VP185" s="4"/>
      <c r="VQ185" s="4"/>
      <c r="VR185" s="5"/>
      <c r="VS185" s="6"/>
      <c r="VT185" s="4"/>
      <c r="VU185" s="4"/>
      <c r="VV185" s="4"/>
      <c r="VW185" s="4"/>
      <c r="VX185" s="4"/>
      <c r="VY185" s="5"/>
      <c r="VZ185" s="6"/>
      <c r="WA185" s="4"/>
      <c r="WB185" s="4"/>
      <c r="WC185" s="4"/>
      <c r="WD185" s="4"/>
      <c r="WE185" s="4"/>
      <c r="WF185" s="5"/>
      <c r="WG185" s="6"/>
      <c r="WH185" s="4"/>
      <c r="WI185" s="4"/>
      <c r="WJ185" s="4"/>
      <c r="WK185" s="4"/>
      <c r="WL185" s="4"/>
      <c r="WM185" s="5"/>
      <c r="WN185" s="6"/>
      <c r="WO185" s="4"/>
      <c r="WP185" s="4"/>
      <c r="WQ185" s="4"/>
      <c r="WR185" s="4"/>
      <c r="WS185" s="4"/>
      <c r="WT185" s="5"/>
      <c r="WU185" s="6"/>
      <c r="WV185" s="4"/>
      <c r="WW185" s="4"/>
      <c r="WX185" s="4"/>
      <c r="WY185" s="4"/>
      <c r="WZ185" s="4"/>
      <c r="XA185" s="5"/>
      <c r="XB185" s="6"/>
      <c r="XC185" s="4"/>
      <c r="XD185" s="4"/>
      <c r="XE185" s="4"/>
      <c r="XF185" s="4"/>
      <c r="XG185" s="4"/>
      <c r="XH185" s="5"/>
      <c r="XI185" s="6"/>
      <c r="XJ185" s="4"/>
      <c r="XK185" s="4"/>
      <c r="XL185" s="4"/>
      <c r="XM185" s="4"/>
      <c r="XN185" s="4"/>
      <c r="XO185" s="5"/>
      <c r="XP185" s="6"/>
      <c r="XQ185" s="4"/>
      <c r="XR185" s="4"/>
      <c r="XS185" s="4"/>
      <c r="XT185" s="4"/>
      <c r="XU185" s="4"/>
      <c r="XV185" s="5"/>
      <c r="XW185" s="6"/>
      <c r="XX185" s="4"/>
      <c r="XY185" s="4"/>
      <c r="XZ185" s="4"/>
      <c r="YA185" s="4"/>
      <c r="YB185" s="4"/>
      <c r="YC185" s="5"/>
      <c r="YD185" s="6"/>
      <c r="YE185" s="4"/>
      <c r="YF185" s="4"/>
      <c r="YG185" s="4"/>
      <c r="YH185" s="4"/>
      <c r="YI185" s="4"/>
      <c r="YJ185" s="5"/>
      <c r="YK185" s="6"/>
      <c r="YL185" s="4"/>
      <c r="YM185" s="4"/>
      <c r="YN185" s="4"/>
      <c r="YO185" s="4"/>
      <c r="YP185" s="4"/>
      <c r="YQ185" s="5"/>
      <c r="YR185" s="6"/>
      <c r="YS185" s="4"/>
      <c r="YT185" s="4"/>
      <c r="YU185" s="4"/>
      <c r="YV185" s="4"/>
      <c r="YW185" s="4"/>
      <c r="YX185" s="5"/>
      <c r="YY185" s="6"/>
      <c r="YZ185" s="4"/>
      <c r="ZA185" s="4"/>
      <c r="ZB185" s="4"/>
      <c r="ZC185" s="4"/>
      <c r="ZD185" s="4"/>
      <c r="ZE185" s="5"/>
      <c r="ZF185" s="6"/>
      <c r="ZG185" s="4"/>
      <c r="ZH185" s="4"/>
      <c r="ZI185" s="4"/>
      <c r="ZJ185" s="4"/>
      <c r="ZK185" s="4"/>
      <c r="ZL185" s="5"/>
      <c r="ZM185" s="6"/>
      <c r="ZN185" s="4"/>
      <c r="ZO185" s="4"/>
      <c r="ZP185" s="4"/>
      <c r="ZQ185" s="4"/>
      <c r="ZR185" s="4"/>
      <c r="ZS185" s="5"/>
      <c r="ZT185" s="6"/>
      <c r="ZU185" s="4"/>
      <c r="ZV185" s="4"/>
      <c r="ZW185" s="4"/>
      <c r="ZX185" s="4"/>
      <c r="ZY185" s="4"/>
      <c r="ZZ185" s="5"/>
      <c r="AAA185" s="6"/>
      <c r="AAB185" s="4"/>
      <c r="AAC185" s="4"/>
      <c r="AAD185" s="4"/>
      <c r="AAE185" s="4"/>
      <c r="AAF185" s="4"/>
      <c r="AAG185" s="5"/>
      <c r="AAH185" s="6"/>
      <c r="AAI185" s="4"/>
      <c r="AAJ185" s="4"/>
      <c r="AAK185" s="4"/>
      <c r="AAL185" s="4"/>
      <c r="AAM185" s="4"/>
      <c r="AAN185" s="5"/>
      <c r="AAO185" s="6"/>
      <c r="AAP185" s="4"/>
      <c r="AAQ185" s="4"/>
      <c r="AAR185" s="4"/>
      <c r="AAS185" s="4"/>
      <c r="AAT185" s="4"/>
      <c r="AAU185" s="5"/>
      <c r="AAV185" s="6"/>
      <c r="AAW185" s="4"/>
      <c r="AAX185" s="4"/>
      <c r="AAY185" s="4"/>
      <c r="AAZ185" s="4"/>
      <c r="ABA185" s="4"/>
      <c r="ABB185" s="5"/>
      <c r="ABC185" s="6"/>
      <c r="ABD185" s="4"/>
      <c r="ABE185" s="4"/>
      <c r="ABF185" s="4"/>
      <c r="ABG185" s="4"/>
      <c r="ABH185" s="4"/>
      <c r="ABI185" s="5"/>
      <c r="ABJ185" s="6"/>
      <c r="ABK185" s="4"/>
      <c r="ABL185" s="4"/>
      <c r="ABM185" s="4"/>
      <c r="ABN185" s="4"/>
      <c r="ABO185" s="4"/>
      <c r="ABP185" s="5"/>
      <c r="ABQ185" s="6"/>
      <c r="ABR185" s="4"/>
      <c r="ABS185" s="4"/>
      <c r="ABT185" s="4"/>
      <c r="ABU185" s="4"/>
      <c r="ABV185" s="4"/>
      <c r="ABW185" s="5"/>
      <c r="ABX185" s="6"/>
      <c r="ABY185" s="4"/>
      <c r="ABZ185" s="4"/>
      <c r="ACA185" s="4"/>
      <c r="ACB185" s="4"/>
      <c r="ACC185" s="4"/>
      <c r="ACD185" s="5"/>
      <c r="ACE185" s="6"/>
      <c r="ACF185" s="4"/>
      <c r="ACG185" s="4"/>
      <c r="ACH185" s="4"/>
      <c r="ACI185" s="4"/>
      <c r="ACJ185" s="4"/>
      <c r="ACK185" s="5"/>
      <c r="ACL185" s="6"/>
      <c r="ACM185" s="4"/>
      <c r="ACN185" s="4"/>
      <c r="ACO185" s="4"/>
      <c r="ACP185" s="4"/>
      <c r="ACQ185" s="4"/>
      <c r="ACR185" s="5"/>
      <c r="ACS185" s="6"/>
      <c r="ACT185" s="4"/>
      <c r="ACU185" s="4"/>
      <c r="ACV185" s="4"/>
      <c r="ACW185" s="4"/>
      <c r="ACX185" s="4"/>
      <c r="ACY185" s="5"/>
    </row>
    <row r="186" spans="2:779" x14ac:dyDescent="0.25">
      <c r="B186" s="30"/>
      <c r="J186" s="12"/>
      <c r="K186" s="12"/>
      <c r="L186" s="12"/>
      <c r="LL186" s="6"/>
      <c r="LM186" s="4"/>
      <c r="LN186" s="4"/>
      <c r="LO186" s="4"/>
      <c r="LP186" s="4"/>
      <c r="LQ186" s="4"/>
      <c r="LR186" s="5"/>
      <c r="LS186" s="6"/>
      <c r="LT186" s="4"/>
      <c r="LU186" s="4"/>
      <c r="LV186" s="4"/>
      <c r="LW186" s="4"/>
      <c r="LX186" s="4"/>
      <c r="LY186" s="5"/>
      <c r="LZ186" s="6" t="s">
        <v>3071</v>
      </c>
      <c r="MA186" s="7" t="s">
        <v>3071</v>
      </c>
      <c r="MB186" s="4"/>
      <c r="MC186" s="4"/>
      <c r="MD186" s="8"/>
      <c r="ME186" s="4"/>
      <c r="MF186" s="4"/>
      <c r="MG186" s="5"/>
      <c r="MH186" s="6"/>
      <c r="MI186" s="4"/>
      <c r="MJ186" s="4"/>
      <c r="MK186" s="4"/>
      <c r="ML186" s="4"/>
      <c r="MM186" s="4"/>
      <c r="MN186" s="5"/>
      <c r="MO186" s="6"/>
      <c r="MP186" s="4"/>
      <c r="MQ186" s="4"/>
      <c r="MR186" s="4"/>
      <c r="MS186" s="4"/>
      <c r="MT186" s="4"/>
      <c r="MU186" s="5"/>
      <c r="MV186" s="6"/>
      <c r="MW186" s="4"/>
      <c r="MX186" s="4"/>
      <c r="MY186" s="4"/>
      <c r="MZ186" s="4"/>
      <c r="NA186" s="4"/>
      <c r="NB186" s="5"/>
      <c r="NC186" s="6"/>
      <c r="ND186" s="4"/>
      <c r="NE186" s="4"/>
      <c r="NF186" s="4"/>
      <c r="NG186" s="4"/>
      <c r="NH186" s="4"/>
      <c r="NI186" s="5"/>
      <c r="NJ186" s="6"/>
      <c r="NK186" s="4"/>
      <c r="NL186" s="4"/>
      <c r="NM186" s="4"/>
      <c r="NN186" s="4"/>
      <c r="NO186" s="4"/>
      <c r="NP186" s="5"/>
      <c r="NQ186" s="6"/>
      <c r="NR186" s="4"/>
      <c r="NS186" s="4"/>
      <c r="NT186" s="4"/>
      <c r="NU186" s="4"/>
      <c r="NV186" s="4"/>
      <c r="NW186" s="5"/>
      <c r="NX186" s="6"/>
      <c r="NY186" s="4"/>
      <c r="NZ186" s="4"/>
      <c r="OA186" s="4"/>
      <c r="OB186" s="4"/>
      <c r="OC186" s="4"/>
      <c r="OD186" s="5"/>
      <c r="OE186" s="6"/>
      <c r="OF186" s="4"/>
      <c r="OG186" s="4"/>
      <c r="OH186" s="4"/>
      <c r="OI186" s="4"/>
      <c r="OJ186" s="4"/>
      <c r="OK186" s="5"/>
      <c r="OL186" s="6"/>
      <c r="OM186" s="4"/>
      <c r="ON186" s="4"/>
      <c r="OO186" s="4"/>
      <c r="OP186" s="4"/>
      <c r="OQ186" s="4"/>
      <c r="OR186" s="5"/>
      <c r="OS186" s="6"/>
      <c r="OT186" s="4"/>
      <c r="OU186" s="4"/>
      <c r="OV186" s="4"/>
      <c r="OW186" s="4"/>
      <c r="OX186" s="4"/>
      <c r="OY186" s="5"/>
      <c r="OZ186" s="6"/>
      <c r="PA186" s="4"/>
      <c r="PB186" s="4"/>
      <c r="PC186" s="4"/>
      <c r="PD186" s="4"/>
      <c r="PE186" s="4"/>
      <c r="PF186" s="5"/>
      <c r="PG186" s="6"/>
      <c r="PH186" s="4"/>
      <c r="PI186" s="4"/>
      <c r="PJ186" s="4"/>
      <c r="PK186" s="4"/>
      <c r="PL186" s="4"/>
      <c r="PM186" s="5"/>
      <c r="PN186" s="6"/>
      <c r="PO186" s="4"/>
      <c r="PP186" s="4"/>
      <c r="PQ186" s="4"/>
      <c r="PR186" s="4"/>
      <c r="PS186" s="4"/>
      <c r="PT186" s="5"/>
      <c r="PU186" s="6"/>
      <c r="PV186" s="4"/>
      <c r="PW186" s="4"/>
      <c r="PX186" s="4"/>
      <c r="PY186" s="4"/>
      <c r="PZ186" s="4"/>
      <c r="QA186" s="5"/>
      <c r="QB186" s="6"/>
      <c r="QC186" s="4"/>
      <c r="QD186" s="4"/>
      <c r="QE186" s="4"/>
      <c r="QF186" s="4"/>
      <c r="QG186" s="4"/>
      <c r="QH186" s="5"/>
      <c r="QI186" s="6"/>
      <c r="QJ186" s="4"/>
      <c r="QK186" s="4"/>
      <c r="QL186" s="4"/>
      <c r="QM186" s="4"/>
      <c r="QN186" s="4"/>
      <c r="QO186" s="5"/>
      <c r="QP186" s="6"/>
      <c r="QQ186" s="4"/>
      <c r="QR186" s="4"/>
      <c r="QS186" s="4"/>
      <c r="QT186" s="4"/>
      <c r="QU186" s="4"/>
      <c r="QV186" s="5"/>
      <c r="QW186" s="6"/>
      <c r="QX186" s="4"/>
      <c r="QY186" s="4"/>
      <c r="QZ186" s="4"/>
      <c r="RA186" s="4"/>
      <c r="RB186" s="4"/>
      <c r="RC186" s="5"/>
      <c r="RD186" s="6"/>
      <c r="RE186" s="4"/>
      <c r="RF186" s="4"/>
      <c r="RG186" s="4"/>
      <c r="RH186" s="4"/>
      <c r="RI186" s="4"/>
      <c r="RJ186" s="5"/>
      <c r="RK186" s="6"/>
      <c r="RL186" s="4"/>
      <c r="RM186" s="4"/>
      <c r="RN186" s="4"/>
      <c r="RO186" s="4"/>
      <c r="RP186" s="4"/>
      <c r="RQ186" s="5"/>
      <c r="RR186" s="6"/>
      <c r="RS186" s="4"/>
      <c r="RT186" s="4"/>
      <c r="RU186" s="4"/>
      <c r="RV186" s="4"/>
      <c r="RW186" s="4"/>
      <c r="RX186" s="5"/>
      <c r="RY186" s="6"/>
      <c r="RZ186" s="4"/>
      <c r="SA186" s="4"/>
      <c r="SB186" s="4"/>
      <c r="SC186" s="4"/>
      <c r="SD186" s="4"/>
      <c r="SE186" s="5"/>
      <c r="SF186" s="6"/>
      <c r="SG186" s="4"/>
      <c r="SH186" s="4"/>
      <c r="SI186" s="4"/>
      <c r="SJ186" s="4"/>
      <c r="SK186" s="4"/>
      <c r="SL186" s="5"/>
      <c r="SM186" s="6"/>
      <c r="SN186" s="4"/>
      <c r="SO186" s="4"/>
      <c r="SP186" s="4"/>
      <c r="SQ186" s="4"/>
      <c r="SR186" s="4"/>
      <c r="SS186" s="5"/>
      <c r="ST186" s="6"/>
      <c r="SU186" s="4"/>
      <c r="SV186" s="4"/>
      <c r="SW186" s="4"/>
      <c r="SX186" s="4"/>
      <c r="SY186" s="4"/>
      <c r="SZ186" s="5"/>
      <c r="TA186" s="6"/>
      <c r="TB186" s="4"/>
      <c r="TC186" s="4"/>
      <c r="TD186" s="4"/>
      <c r="TE186" s="4"/>
      <c r="TF186" s="4"/>
      <c r="TG186" s="5"/>
      <c r="TH186" s="6"/>
      <c r="TI186" s="4"/>
      <c r="TJ186" s="4"/>
      <c r="TK186" s="4"/>
      <c r="TL186" s="4"/>
      <c r="TM186" s="4"/>
      <c r="TN186" s="5"/>
      <c r="TO186" s="6"/>
      <c r="TP186" s="4"/>
      <c r="TQ186" s="4"/>
      <c r="TR186" s="4"/>
      <c r="TS186" s="4"/>
      <c r="TT186" s="4"/>
      <c r="TU186" s="5"/>
      <c r="TV186" s="6"/>
      <c r="TW186" s="4"/>
      <c r="TX186" s="4"/>
      <c r="TY186" s="4"/>
      <c r="TZ186" s="4"/>
      <c r="UA186" s="4"/>
      <c r="UB186" s="5"/>
      <c r="UC186" s="6"/>
      <c r="UD186" s="4"/>
      <c r="UE186" s="4"/>
      <c r="UF186" s="4"/>
      <c r="UG186" s="4"/>
      <c r="UH186" s="4"/>
      <c r="UI186" s="5"/>
      <c r="UJ186" s="6"/>
      <c r="UK186" s="4"/>
      <c r="UL186" s="4"/>
      <c r="UM186" s="4"/>
      <c r="UN186" s="4"/>
      <c r="UO186" s="4"/>
      <c r="UP186" s="5"/>
      <c r="UQ186" s="6"/>
      <c r="UR186" s="4"/>
      <c r="US186" s="4"/>
      <c r="UT186" s="4"/>
      <c r="UU186" s="4"/>
      <c r="UV186" s="4"/>
      <c r="UW186" s="5"/>
      <c r="UX186" s="6"/>
      <c r="UY186" s="4"/>
      <c r="UZ186" s="4"/>
      <c r="VA186" s="4"/>
      <c r="VB186" s="4"/>
      <c r="VC186" s="4"/>
      <c r="VD186" s="5"/>
      <c r="VE186" s="6"/>
      <c r="VF186" s="4"/>
      <c r="VG186" s="4"/>
      <c r="VH186" s="4"/>
      <c r="VI186" s="4"/>
      <c r="VJ186" s="4"/>
      <c r="VK186" s="5"/>
      <c r="VL186" s="6"/>
      <c r="VM186" s="4"/>
      <c r="VN186" s="4"/>
      <c r="VO186" s="4"/>
      <c r="VP186" s="4"/>
      <c r="VQ186" s="4"/>
      <c r="VR186" s="5"/>
      <c r="VS186" s="6"/>
      <c r="VT186" s="4"/>
      <c r="VU186" s="4"/>
      <c r="VV186" s="4"/>
      <c r="VW186" s="4"/>
      <c r="VX186" s="4"/>
      <c r="VY186" s="5"/>
      <c r="VZ186" s="6"/>
      <c r="WA186" s="4"/>
      <c r="WB186" s="4"/>
      <c r="WC186" s="4"/>
      <c r="WD186" s="4"/>
      <c r="WE186" s="4"/>
      <c r="WF186" s="5"/>
      <c r="WG186" s="6"/>
      <c r="WH186" s="4"/>
      <c r="WI186" s="4"/>
      <c r="WJ186" s="4"/>
      <c r="WK186" s="4"/>
      <c r="WL186" s="4"/>
      <c r="WM186" s="5"/>
      <c r="WN186" s="6"/>
      <c r="WO186" s="4"/>
      <c r="WP186" s="4"/>
      <c r="WQ186" s="4"/>
      <c r="WR186" s="4"/>
      <c r="WS186" s="4"/>
      <c r="WT186" s="5"/>
      <c r="WU186" s="6"/>
      <c r="WV186" s="4"/>
      <c r="WW186" s="4"/>
      <c r="WX186" s="4"/>
      <c r="WY186" s="4"/>
      <c r="WZ186" s="4"/>
      <c r="XA186" s="5"/>
      <c r="XB186" s="6"/>
      <c r="XC186" s="4"/>
      <c r="XD186" s="4"/>
      <c r="XE186" s="4"/>
      <c r="XF186" s="4"/>
      <c r="XG186" s="4"/>
      <c r="XH186" s="5"/>
      <c r="XI186" s="6"/>
      <c r="XJ186" s="4"/>
      <c r="XK186" s="4"/>
      <c r="XL186" s="4"/>
      <c r="XM186" s="4"/>
      <c r="XN186" s="4"/>
      <c r="XO186" s="5"/>
      <c r="XP186" s="6"/>
      <c r="XQ186" s="4"/>
      <c r="XR186" s="4"/>
      <c r="XS186" s="4"/>
      <c r="XT186" s="4"/>
      <c r="XU186" s="4"/>
      <c r="XV186" s="5"/>
      <c r="XW186" s="6"/>
      <c r="XX186" s="4"/>
      <c r="XY186" s="4"/>
      <c r="XZ186" s="4"/>
      <c r="YA186" s="4"/>
      <c r="YB186" s="4"/>
      <c r="YC186" s="5"/>
      <c r="YD186" s="6"/>
      <c r="YE186" s="4"/>
      <c r="YF186" s="4"/>
      <c r="YG186" s="4"/>
      <c r="YH186" s="4"/>
      <c r="YI186" s="4"/>
      <c r="YJ186" s="5"/>
      <c r="YK186" s="6"/>
      <c r="YL186" s="4"/>
      <c r="YM186" s="4"/>
      <c r="YN186" s="4"/>
      <c r="YO186" s="4"/>
      <c r="YP186" s="4"/>
      <c r="YQ186" s="5"/>
      <c r="YR186" s="6"/>
      <c r="YS186" s="4"/>
      <c r="YT186" s="4"/>
      <c r="YU186" s="4"/>
      <c r="YV186" s="4"/>
      <c r="YW186" s="4"/>
      <c r="YX186" s="5"/>
      <c r="YY186" s="6"/>
      <c r="YZ186" s="4"/>
      <c r="ZA186" s="4"/>
      <c r="ZB186" s="4"/>
      <c r="ZC186" s="4"/>
      <c r="ZD186" s="4"/>
      <c r="ZE186" s="5"/>
      <c r="ZF186" s="6"/>
      <c r="ZG186" s="4"/>
      <c r="ZH186" s="4"/>
      <c r="ZI186" s="4"/>
      <c r="ZJ186" s="4"/>
      <c r="ZK186" s="4"/>
      <c r="ZL186" s="5"/>
      <c r="ZM186" s="6"/>
      <c r="ZN186" s="4"/>
      <c r="ZO186" s="4"/>
      <c r="ZP186" s="4"/>
      <c r="ZQ186" s="4"/>
      <c r="ZR186" s="4"/>
      <c r="ZS186" s="5"/>
      <c r="ZT186" s="6"/>
      <c r="ZU186" s="4"/>
      <c r="ZV186" s="4"/>
      <c r="ZW186" s="4"/>
      <c r="ZX186" s="4"/>
      <c r="ZY186" s="4"/>
      <c r="ZZ186" s="5"/>
      <c r="AAA186" s="6"/>
      <c r="AAB186" s="4"/>
      <c r="AAC186" s="4"/>
      <c r="AAD186" s="4"/>
      <c r="AAE186" s="4"/>
      <c r="AAF186" s="4"/>
      <c r="AAG186" s="5"/>
      <c r="AAH186" s="6"/>
      <c r="AAI186" s="4"/>
      <c r="AAJ186" s="4"/>
      <c r="AAK186" s="4"/>
      <c r="AAL186" s="4"/>
      <c r="AAM186" s="4"/>
      <c r="AAN186" s="5"/>
      <c r="AAO186" s="6"/>
      <c r="AAP186" s="4"/>
      <c r="AAQ186" s="4"/>
      <c r="AAR186" s="4"/>
      <c r="AAS186" s="4"/>
      <c r="AAT186" s="4"/>
      <c r="AAU186" s="5"/>
      <c r="AAV186" s="6"/>
      <c r="AAW186" s="4"/>
      <c r="AAX186" s="4"/>
      <c r="AAY186" s="4"/>
      <c r="AAZ186" s="4"/>
      <c r="ABA186" s="4"/>
      <c r="ABB186" s="5"/>
      <c r="ABC186" s="6"/>
      <c r="ABD186" s="4"/>
      <c r="ABE186" s="4"/>
      <c r="ABF186" s="4"/>
      <c r="ABG186" s="4"/>
      <c r="ABH186" s="4"/>
      <c r="ABI186" s="5"/>
      <c r="ABJ186" s="6"/>
      <c r="ABK186" s="4"/>
      <c r="ABL186" s="4"/>
      <c r="ABM186" s="4"/>
      <c r="ABN186" s="4"/>
      <c r="ABO186" s="4"/>
      <c r="ABP186" s="5"/>
      <c r="ABQ186" s="6"/>
      <c r="ABR186" s="4"/>
      <c r="ABS186" s="4"/>
      <c r="ABT186" s="4"/>
      <c r="ABU186" s="4"/>
      <c r="ABV186" s="4"/>
      <c r="ABW186" s="5"/>
      <c r="ABX186" s="6"/>
      <c r="ABY186" s="4"/>
      <c r="ABZ186" s="4"/>
      <c r="ACA186" s="4"/>
      <c r="ACB186" s="4"/>
      <c r="ACC186" s="4"/>
      <c r="ACD186" s="5"/>
      <c r="ACE186" s="6"/>
      <c r="ACF186" s="4"/>
      <c r="ACG186" s="4"/>
      <c r="ACH186" s="4"/>
      <c r="ACI186" s="4"/>
      <c r="ACJ186" s="4"/>
      <c r="ACK186" s="5"/>
      <c r="ACL186" s="6"/>
      <c r="ACM186" s="4"/>
      <c r="ACN186" s="4"/>
      <c r="ACO186" s="4"/>
      <c r="ACP186" s="4"/>
      <c r="ACQ186" s="4"/>
      <c r="ACR186" s="5"/>
      <c r="ACS186" s="6"/>
      <c r="ACT186" s="4"/>
      <c r="ACU186" s="4"/>
      <c r="ACV186" s="4"/>
      <c r="ACW186" s="4"/>
      <c r="ACX186" s="4"/>
      <c r="ACY186" s="5"/>
    </row>
    <row r="187" spans="2:779" x14ac:dyDescent="0.25">
      <c r="B187" s="30"/>
      <c r="J187" s="12"/>
      <c r="K187" s="12"/>
      <c r="L187" s="12"/>
      <c r="LL187" s="6"/>
      <c r="LM187" s="4"/>
      <c r="LN187" s="4"/>
      <c r="LO187" s="4"/>
      <c r="LP187" s="4"/>
      <c r="LQ187" s="4"/>
      <c r="LR187" s="5"/>
      <c r="LS187" s="6"/>
      <c r="LT187" s="4"/>
      <c r="LU187" s="4"/>
      <c r="LV187" s="4"/>
      <c r="LW187" s="4"/>
      <c r="LX187" s="4"/>
      <c r="LY187" s="5"/>
      <c r="LZ187" s="6" t="s">
        <v>2931</v>
      </c>
      <c r="MA187" s="7" t="s">
        <v>2932</v>
      </c>
      <c r="MB187" s="4"/>
      <c r="MC187" s="4"/>
      <c r="MD187" s="8"/>
      <c r="ME187" s="4"/>
      <c r="MF187" s="4"/>
      <c r="MG187" s="5"/>
      <c r="MH187" s="6"/>
      <c r="MI187" s="4"/>
      <c r="MJ187" s="4"/>
      <c r="MK187" s="4"/>
      <c r="ML187" s="4"/>
      <c r="MM187" s="4"/>
      <c r="MN187" s="5"/>
      <c r="MO187" s="6"/>
      <c r="MP187" s="4"/>
      <c r="MQ187" s="4"/>
      <c r="MR187" s="4"/>
      <c r="MS187" s="4"/>
      <c r="MT187" s="4"/>
      <c r="MU187" s="5"/>
      <c r="MV187" s="6"/>
      <c r="MW187" s="4"/>
      <c r="MX187" s="4"/>
      <c r="MY187" s="4"/>
      <c r="MZ187" s="4"/>
      <c r="NA187" s="4"/>
      <c r="NB187" s="5"/>
      <c r="NC187" s="6"/>
      <c r="ND187" s="4"/>
      <c r="NE187" s="4"/>
      <c r="NF187" s="4"/>
      <c r="NG187" s="4"/>
      <c r="NH187" s="4"/>
      <c r="NI187" s="5"/>
      <c r="NJ187" s="6"/>
      <c r="NK187" s="4"/>
      <c r="NL187" s="4"/>
      <c r="NM187" s="4"/>
      <c r="NN187" s="4"/>
      <c r="NO187" s="4"/>
      <c r="NP187" s="5"/>
      <c r="NQ187" s="6"/>
      <c r="NR187" s="4"/>
      <c r="NS187" s="4"/>
      <c r="NT187" s="4"/>
      <c r="NU187" s="4"/>
      <c r="NV187" s="4"/>
      <c r="NW187" s="5"/>
      <c r="NX187" s="6"/>
      <c r="NY187" s="4"/>
      <c r="NZ187" s="4"/>
      <c r="OA187" s="4"/>
      <c r="OB187" s="4"/>
      <c r="OC187" s="4"/>
      <c r="OD187" s="5"/>
      <c r="OE187" s="6"/>
      <c r="OF187" s="4"/>
      <c r="OG187" s="4"/>
      <c r="OH187" s="4"/>
      <c r="OI187" s="4"/>
      <c r="OJ187" s="4"/>
      <c r="OK187" s="5"/>
      <c r="OL187" s="6"/>
      <c r="OM187" s="4"/>
      <c r="ON187" s="4"/>
      <c r="OO187" s="4"/>
      <c r="OP187" s="4"/>
      <c r="OQ187" s="4"/>
      <c r="OR187" s="5"/>
      <c r="OS187" s="6"/>
      <c r="OT187" s="4"/>
      <c r="OU187" s="4"/>
      <c r="OV187" s="4"/>
      <c r="OW187" s="4"/>
      <c r="OX187" s="4"/>
      <c r="OY187" s="5"/>
      <c r="OZ187" s="6"/>
      <c r="PA187" s="4"/>
      <c r="PB187" s="4"/>
      <c r="PC187" s="4"/>
      <c r="PD187" s="4"/>
      <c r="PE187" s="4"/>
      <c r="PF187" s="5"/>
      <c r="PG187" s="6"/>
      <c r="PH187" s="4"/>
      <c r="PI187" s="4"/>
      <c r="PJ187" s="4"/>
      <c r="PK187" s="4"/>
      <c r="PL187" s="4"/>
      <c r="PM187" s="5"/>
      <c r="PN187" s="6"/>
      <c r="PO187" s="4"/>
      <c r="PP187" s="4"/>
      <c r="PQ187" s="4"/>
      <c r="PR187" s="4"/>
      <c r="PS187" s="4"/>
      <c r="PT187" s="5"/>
      <c r="PU187" s="6"/>
      <c r="PV187" s="4"/>
      <c r="PW187" s="4"/>
      <c r="PX187" s="4"/>
      <c r="PY187" s="4"/>
      <c r="PZ187" s="4"/>
      <c r="QA187" s="5"/>
      <c r="QB187" s="6"/>
      <c r="QC187" s="4"/>
      <c r="QD187" s="4"/>
      <c r="QE187" s="4"/>
      <c r="QF187" s="4"/>
      <c r="QG187" s="4"/>
      <c r="QH187" s="5"/>
      <c r="QI187" s="6"/>
      <c r="QJ187" s="4"/>
      <c r="QK187" s="4"/>
      <c r="QL187" s="4"/>
      <c r="QM187" s="4"/>
      <c r="QN187" s="4"/>
      <c r="QO187" s="5"/>
      <c r="QP187" s="6"/>
      <c r="QQ187" s="4"/>
      <c r="QR187" s="4"/>
      <c r="QS187" s="4"/>
      <c r="QT187" s="4"/>
      <c r="QU187" s="4"/>
      <c r="QV187" s="5"/>
      <c r="QW187" s="6"/>
      <c r="QX187" s="4"/>
      <c r="QY187" s="4"/>
      <c r="QZ187" s="4"/>
      <c r="RA187" s="4"/>
      <c r="RB187" s="4"/>
      <c r="RC187" s="5"/>
      <c r="RD187" s="6"/>
      <c r="RE187" s="4"/>
      <c r="RF187" s="4"/>
      <c r="RG187" s="4"/>
      <c r="RH187" s="4"/>
      <c r="RI187" s="4"/>
      <c r="RJ187" s="5"/>
      <c r="RK187" s="6"/>
      <c r="RL187" s="4"/>
      <c r="RM187" s="4"/>
      <c r="RN187" s="4"/>
      <c r="RO187" s="4"/>
      <c r="RP187" s="4"/>
      <c r="RQ187" s="5"/>
      <c r="RR187" s="6"/>
      <c r="RS187" s="4"/>
      <c r="RT187" s="4"/>
      <c r="RU187" s="4"/>
      <c r="RV187" s="4"/>
      <c r="RW187" s="4"/>
      <c r="RX187" s="5"/>
      <c r="RY187" s="6"/>
      <c r="RZ187" s="4"/>
      <c r="SA187" s="4"/>
      <c r="SB187" s="4"/>
      <c r="SC187" s="4"/>
      <c r="SD187" s="4"/>
      <c r="SE187" s="5"/>
      <c r="SF187" s="6"/>
      <c r="SG187" s="4"/>
      <c r="SH187" s="4"/>
      <c r="SI187" s="4"/>
      <c r="SJ187" s="4"/>
      <c r="SK187" s="4"/>
      <c r="SL187" s="5"/>
      <c r="SM187" s="6"/>
      <c r="SN187" s="4"/>
      <c r="SO187" s="4"/>
      <c r="SP187" s="4"/>
      <c r="SQ187" s="4"/>
      <c r="SR187" s="4"/>
      <c r="SS187" s="5"/>
      <c r="ST187" s="6"/>
      <c r="SU187" s="4"/>
      <c r="SV187" s="4"/>
      <c r="SW187" s="4"/>
      <c r="SX187" s="4"/>
      <c r="SY187" s="4"/>
      <c r="SZ187" s="5"/>
      <c r="TA187" s="6"/>
      <c r="TB187" s="4"/>
      <c r="TC187" s="4"/>
      <c r="TD187" s="4"/>
      <c r="TE187" s="4"/>
      <c r="TF187" s="4"/>
      <c r="TG187" s="5"/>
      <c r="TH187" s="6"/>
      <c r="TI187" s="4"/>
      <c r="TJ187" s="4"/>
      <c r="TK187" s="4"/>
      <c r="TL187" s="4"/>
      <c r="TM187" s="4"/>
      <c r="TN187" s="5"/>
      <c r="TO187" s="6"/>
      <c r="TP187" s="4"/>
      <c r="TQ187" s="4"/>
      <c r="TR187" s="4"/>
      <c r="TS187" s="4"/>
      <c r="TT187" s="4"/>
      <c r="TU187" s="5"/>
      <c r="TV187" s="6"/>
      <c r="TW187" s="4"/>
      <c r="TX187" s="4"/>
      <c r="TY187" s="4"/>
      <c r="TZ187" s="4"/>
      <c r="UA187" s="4"/>
      <c r="UB187" s="5"/>
      <c r="UC187" s="6"/>
      <c r="UD187" s="4"/>
      <c r="UE187" s="4"/>
      <c r="UF187" s="4"/>
      <c r="UG187" s="4"/>
      <c r="UH187" s="4"/>
      <c r="UI187" s="5"/>
      <c r="UJ187" s="6"/>
      <c r="UK187" s="4"/>
      <c r="UL187" s="4"/>
      <c r="UM187" s="4"/>
      <c r="UN187" s="4"/>
      <c r="UO187" s="4"/>
      <c r="UP187" s="5"/>
      <c r="UQ187" s="6"/>
      <c r="UR187" s="4"/>
      <c r="US187" s="4"/>
      <c r="UT187" s="4"/>
      <c r="UU187" s="4"/>
      <c r="UV187" s="4"/>
      <c r="UW187" s="5"/>
      <c r="UX187" s="6"/>
      <c r="UY187" s="4"/>
      <c r="UZ187" s="4"/>
      <c r="VA187" s="4"/>
      <c r="VB187" s="4"/>
      <c r="VC187" s="4"/>
      <c r="VD187" s="5"/>
      <c r="VE187" s="6"/>
      <c r="VF187" s="4"/>
      <c r="VG187" s="4"/>
      <c r="VH187" s="4"/>
      <c r="VI187" s="4"/>
      <c r="VJ187" s="4"/>
      <c r="VK187" s="5"/>
      <c r="VL187" s="6"/>
      <c r="VM187" s="4"/>
      <c r="VN187" s="4"/>
      <c r="VO187" s="4"/>
      <c r="VP187" s="4"/>
      <c r="VQ187" s="4"/>
      <c r="VR187" s="5"/>
      <c r="VS187" s="6"/>
      <c r="VT187" s="4"/>
      <c r="VU187" s="4"/>
      <c r="VV187" s="4"/>
      <c r="VW187" s="4"/>
      <c r="VX187" s="4"/>
      <c r="VY187" s="5"/>
      <c r="VZ187" s="6"/>
      <c r="WA187" s="4"/>
      <c r="WB187" s="4"/>
      <c r="WC187" s="4"/>
      <c r="WD187" s="4"/>
      <c r="WE187" s="4"/>
      <c r="WF187" s="5"/>
      <c r="WG187" s="6"/>
      <c r="WH187" s="4"/>
      <c r="WI187" s="4"/>
      <c r="WJ187" s="4"/>
      <c r="WK187" s="4"/>
      <c r="WL187" s="4"/>
      <c r="WM187" s="5"/>
      <c r="WN187" s="6"/>
      <c r="WO187" s="4"/>
      <c r="WP187" s="4"/>
      <c r="WQ187" s="4"/>
      <c r="WR187" s="4"/>
      <c r="WS187" s="4"/>
      <c r="WT187" s="5"/>
      <c r="WU187" s="6"/>
      <c r="WV187" s="4"/>
      <c r="WW187" s="4"/>
      <c r="WX187" s="4"/>
      <c r="WY187" s="4"/>
      <c r="WZ187" s="4"/>
      <c r="XA187" s="5"/>
      <c r="XB187" s="6"/>
      <c r="XC187" s="4"/>
      <c r="XD187" s="4"/>
      <c r="XE187" s="4"/>
      <c r="XF187" s="4"/>
      <c r="XG187" s="4"/>
      <c r="XH187" s="5"/>
      <c r="XI187" s="6"/>
      <c r="XJ187" s="4"/>
      <c r="XK187" s="4"/>
      <c r="XL187" s="4"/>
      <c r="XM187" s="4"/>
      <c r="XN187" s="4"/>
      <c r="XO187" s="5"/>
      <c r="XP187" s="6"/>
      <c r="XQ187" s="4"/>
      <c r="XR187" s="4"/>
      <c r="XS187" s="4"/>
      <c r="XT187" s="4"/>
      <c r="XU187" s="4"/>
      <c r="XV187" s="5"/>
      <c r="XW187" s="6"/>
      <c r="XX187" s="4"/>
      <c r="XY187" s="4"/>
      <c r="XZ187" s="4"/>
      <c r="YA187" s="4"/>
      <c r="YB187" s="4"/>
      <c r="YC187" s="5"/>
      <c r="YD187" s="6"/>
      <c r="YE187" s="4"/>
      <c r="YF187" s="4"/>
      <c r="YG187" s="4"/>
      <c r="YH187" s="4"/>
      <c r="YI187" s="4"/>
      <c r="YJ187" s="5"/>
      <c r="YK187" s="6"/>
      <c r="YL187" s="4"/>
      <c r="YM187" s="4"/>
      <c r="YN187" s="4"/>
      <c r="YO187" s="4"/>
      <c r="YP187" s="4"/>
      <c r="YQ187" s="5"/>
      <c r="YR187" s="6"/>
      <c r="YS187" s="4"/>
      <c r="YT187" s="4"/>
      <c r="YU187" s="4"/>
      <c r="YV187" s="4"/>
      <c r="YW187" s="4"/>
      <c r="YX187" s="5"/>
      <c r="YY187" s="6"/>
      <c r="YZ187" s="4"/>
      <c r="ZA187" s="4"/>
      <c r="ZB187" s="4"/>
      <c r="ZC187" s="4"/>
      <c r="ZD187" s="4"/>
      <c r="ZE187" s="5"/>
      <c r="ZF187" s="6"/>
      <c r="ZG187" s="4"/>
      <c r="ZH187" s="4"/>
      <c r="ZI187" s="4"/>
      <c r="ZJ187" s="4"/>
      <c r="ZK187" s="4"/>
      <c r="ZL187" s="5"/>
      <c r="ZM187" s="6"/>
      <c r="ZN187" s="4"/>
      <c r="ZO187" s="4"/>
      <c r="ZP187" s="4"/>
      <c r="ZQ187" s="4"/>
      <c r="ZR187" s="4"/>
      <c r="ZS187" s="5"/>
      <c r="ZT187" s="6"/>
      <c r="ZU187" s="4"/>
      <c r="ZV187" s="4"/>
      <c r="ZW187" s="4"/>
      <c r="ZX187" s="4"/>
      <c r="ZY187" s="4"/>
      <c r="ZZ187" s="5"/>
      <c r="AAA187" s="6"/>
      <c r="AAB187" s="4"/>
      <c r="AAC187" s="4"/>
      <c r="AAD187" s="4"/>
      <c r="AAE187" s="4"/>
      <c r="AAF187" s="4"/>
      <c r="AAG187" s="5"/>
      <c r="AAH187" s="6"/>
      <c r="AAI187" s="4"/>
      <c r="AAJ187" s="4"/>
      <c r="AAK187" s="4"/>
      <c r="AAL187" s="4"/>
      <c r="AAM187" s="4"/>
      <c r="AAN187" s="5"/>
      <c r="AAO187" s="6"/>
      <c r="AAP187" s="4"/>
      <c r="AAQ187" s="4"/>
      <c r="AAR187" s="4"/>
      <c r="AAS187" s="4"/>
      <c r="AAT187" s="4"/>
      <c r="AAU187" s="5"/>
      <c r="AAV187" s="6"/>
      <c r="AAW187" s="4"/>
      <c r="AAX187" s="4"/>
      <c r="AAY187" s="4"/>
      <c r="AAZ187" s="4"/>
      <c r="ABA187" s="4"/>
      <c r="ABB187" s="5"/>
      <c r="ABC187" s="6"/>
      <c r="ABD187" s="4"/>
      <c r="ABE187" s="4"/>
      <c r="ABF187" s="4"/>
      <c r="ABG187" s="4"/>
      <c r="ABH187" s="4"/>
      <c r="ABI187" s="5"/>
      <c r="ABJ187" s="6"/>
      <c r="ABK187" s="4"/>
      <c r="ABL187" s="4"/>
      <c r="ABM187" s="4"/>
      <c r="ABN187" s="4"/>
      <c r="ABO187" s="4"/>
      <c r="ABP187" s="5"/>
      <c r="ABQ187" s="6"/>
      <c r="ABR187" s="4"/>
      <c r="ABS187" s="4"/>
      <c r="ABT187" s="4"/>
      <c r="ABU187" s="4"/>
      <c r="ABV187" s="4"/>
      <c r="ABW187" s="5"/>
      <c r="ABX187" s="6"/>
      <c r="ABY187" s="4"/>
      <c r="ABZ187" s="4"/>
      <c r="ACA187" s="4"/>
      <c r="ACB187" s="4"/>
      <c r="ACC187" s="4"/>
      <c r="ACD187" s="5"/>
      <c r="ACE187" s="6"/>
      <c r="ACF187" s="4"/>
      <c r="ACG187" s="4"/>
      <c r="ACH187" s="4"/>
      <c r="ACI187" s="4"/>
      <c r="ACJ187" s="4"/>
      <c r="ACK187" s="5"/>
      <c r="ACL187" s="6"/>
      <c r="ACM187" s="4"/>
      <c r="ACN187" s="4"/>
      <c r="ACO187" s="4"/>
      <c r="ACP187" s="4"/>
      <c r="ACQ187" s="4"/>
      <c r="ACR187" s="5"/>
      <c r="ACS187" s="6"/>
      <c r="ACT187" s="4"/>
      <c r="ACU187" s="4"/>
      <c r="ACV187" s="4"/>
      <c r="ACW187" s="4"/>
      <c r="ACX187" s="4"/>
      <c r="ACY187" s="5"/>
    </row>
    <row r="188" spans="2:779" x14ac:dyDescent="0.25">
      <c r="B188" s="29">
        <v>98008331</v>
      </c>
      <c r="C188">
        <v>69</v>
      </c>
      <c r="D188" t="s">
        <v>2121</v>
      </c>
      <c r="F188" s="23" t="s">
        <v>1781</v>
      </c>
      <c r="I188">
        <v>1</v>
      </c>
      <c r="J188" s="19">
        <v>35545</v>
      </c>
      <c r="K188" s="19"/>
      <c r="L188" s="19"/>
      <c r="M188">
        <v>1</v>
      </c>
      <c r="N188" s="17">
        <v>35545</v>
      </c>
      <c r="V188">
        <v>1</v>
      </c>
      <c r="Y188">
        <v>1</v>
      </c>
      <c r="LL188" s="6"/>
      <c r="LM188" s="4"/>
      <c r="LN188" s="4"/>
      <c r="LO188" s="4"/>
      <c r="LP188" s="4"/>
      <c r="LQ188" s="4"/>
      <c r="LR188" s="5"/>
      <c r="LS188" s="6"/>
      <c r="LT188" s="4"/>
      <c r="LU188" s="4"/>
      <c r="LV188" s="4"/>
      <c r="LW188" s="4"/>
      <c r="LX188" s="4"/>
      <c r="LY188" s="5"/>
      <c r="LZ188" s="6" t="s">
        <v>3049</v>
      </c>
      <c r="MA188" s="7" t="s">
        <v>3050</v>
      </c>
      <c r="MB188" s="4"/>
      <c r="MC188" s="4"/>
      <c r="MD188" s="8"/>
      <c r="ME188" s="4"/>
      <c r="MF188" s="4"/>
      <c r="MG188" s="5"/>
      <c r="MH188" s="6"/>
      <c r="MI188" s="4"/>
      <c r="MJ188" s="4"/>
      <c r="MK188" s="4"/>
      <c r="ML188" s="4"/>
      <c r="MM188" s="4"/>
      <c r="MN188" s="5"/>
      <c r="MO188" s="6"/>
      <c r="MP188" s="4"/>
      <c r="MQ188" s="4"/>
      <c r="MR188" s="4"/>
      <c r="MS188" s="4"/>
      <c r="MT188" s="4"/>
      <c r="MU188" s="5"/>
      <c r="MV188" s="6"/>
      <c r="MW188" s="4"/>
      <c r="MX188" s="4"/>
      <c r="MY188" s="4"/>
      <c r="MZ188" s="4"/>
      <c r="NA188" s="4"/>
      <c r="NB188" s="5"/>
      <c r="NC188" s="6" t="s">
        <v>2865</v>
      </c>
      <c r="ND188" s="4" t="s">
        <v>2724</v>
      </c>
      <c r="NE188" s="4"/>
      <c r="NF188" s="4"/>
      <c r="NG188" s="4"/>
      <c r="NH188" s="4"/>
      <c r="NI188" s="5"/>
      <c r="NJ188" s="6" t="s">
        <v>3047</v>
      </c>
      <c r="NK188" s="4" t="s">
        <v>2804</v>
      </c>
      <c r="NL188" s="4"/>
      <c r="NM188" s="4"/>
      <c r="NN188" s="4"/>
      <c r="NO188" s="4"/>
      <c r="NP188" s="5"/>
      <c r="NQ188" s="6"/>
      <c r="NR188" s="4"/>
      <c r="NS188" s="4"/>
      <c r="NT188" s="4"/>
      <c r="NU188" s="4"/>
      <c r="NV188" s="4"/>
      <c r="NW188" s="5"/>
      <c r="NX188" s="6" t="s">
        <v>3075</v>
      </c>
      <c r="NY188" s="4" t="s">
        <v>3076</v>
      </c>
      <c r="NZ188" s="4"/>
      <c r="OA188" s="4"/>
      <c r="OB188" s="4"/>
      <c r="OC188" s="4"/>
      <c r="OD188" s="5"/>
      <c r="OE188" s="6"/>
      <c r="OF188" s="4"/>
      <c r="OG188" s="4"/>
      <c r="OH188" s="4"/>
      <c r="OI188" s="4"/>
      <c r="OJ188" s="4"/>
      <c r="OK188" s="5"/>
      <c r="OL188" s="6"/>
      <c r="OM188" s="4"/>
      <c r="ON188" s="4"/>
      <c r="OO188" s="4"/>
      <c r="OP188" s="4"/>
      <c r="OQ188" s="4"/>
      <c r="OR188" s="5"/>
      <c r="OS188" s="6"/>
      <c r="OT188" s="4"/>
      <c r="OU188" s="4"/>
      <c r="OV188" s="4"/>
      <c r="OW188" s="4"/>
      <c r="OX188" s="4"/>
      <c r="OY188" s="5"/>
      <c r="OZ188" s="6" t="s">
        <v>2849</v>
      </c>
      <c r="PA188" s="4" t="s">
        <v>2850</v>
      </c>
      <c r="PB188" s="4"/>
      <c r="PC188" s="4"/>
      <c r="PD188" s="4"/>
      <c r="PE188" s="4"/>
      <c r="PF188" s="5"/>
      <c r="PG188" s="6"/>
      <c r="PH188" s="4"/>
      <c r="PI188" s="4"/>
      <c r="PJ188" s="4"/>
      <c r="PK188" s="4"/>
      <c r="PL188" s="4"/>
      <c r="PM188" s="5"/>
      <c r="PN188" s="6"/>
      <c r="PO188" s="4"/>
      <c r="PP188" s="4"/>
      <c r="PQ188" s="4"/>
      <c r="PR188" s="4"/>
      <c r="PS188" s="4"/>
      <c r="PT188" s="5"/>
      <c r="PU188" s="6" t="s">
        <v>2869</v>
      </c>
      <c r="PV188" s="4" t="s">
        <v>3197</v>
      </c>
      <c r="PW188" s="4"/>
      <c r="PX188" s="4"/>
      <c r="PY188" s="4"/>
      <c r="PZ188" s="4"/>
      <c r="QA188" s="5"/>
      <c r="QB188" s="6" t="s">
        <v>3077</v>
      </c>
      <c r="QC188" s="4" t="s">
        <v>3402</v>
      </c>
      <c r="QD188" s="4"/>
      <c r="QE188" s="4"/>
      <c r="QF188" s="4"/>
      <c r="QG188" s="4"/>
      <c r="QH188" s="5"/>
      <c r="QI188" s="6"/>
      <c r="QJ188" s="4"/>
      <c r="QK188" s="4"/>
      <c r="QL188" s="4"/>
      <c r="QM188" s="4"/>
      <c r="QN188" s="4"/>
      <c r="QO188" s="5"/>
      <c r="QP188" s="6"/>
      <c r="QQ188" s="4"/>
      <c r="QR188" s="4"/>
      <c r="QS188" s="4"/>
      <c r="QT188" s="4"/>
      <c r="QU188" s="4"/>
      <c r="QV188" s="5"/>
      <c r="QW188" s="6"/>
      <c r="QX188" s="4"/>
      <c r="QY188" s="4"/>
      <c r="QZ188" s="4"/>
      <c r="RA188" s="4"/>
      <c r="RB188" s="4"/>
      <c r="RC188" s="5"/>
      <c r="RD188" s="6"/>
      <c r="RE188" s="4"/>
      <c r="RF188" s="4"/>
      <c r="RG188" s="4"/>
      <c r="RH188" s="4"/>
      <c r="RI188" s="4"/>
      <c r="RJ188" s="5"/>
      <c r="RK188" s="6"/>
      <c r="RL188" s="4"/>
      <c r="RM188" s="4"/>
      <c r="RN188" s="4"/>
      <c r="RO188" s="4"/>
      <c r="RP188" s="4"/>
      <c r="RQ188" s="5"/>
      <c r="RR188" s="6"/>
      <c r="RS188" s="4"/>
      <c r="RT188" s="4"/>
      <c r="RU188" s="4"/>
      <c r="RV188" s="4"/>
      <c r="RW188" s="4"/>
      <c r="RX188" s="5"/>
      <c r="RY188" s="6"/>
      <c r="RZ188" s="4"/>
      <c r="SA188" s="4"/>
      <c r="SB188" s="4"/>
      <c r="SC188" s="4"/>
      <c r="SD188" s="4"/>
      <c r="SE188" s="5"/>
      <c r="SF188" s="6"/>
      <c r="SG188" s="4"/>
      <c r="SH188" s="4"/>
      <c r="SI188" s="4"/>
      <c r="SJ188" s="4"/>
      <c r="SK188" s="4"/>
      <c r="SL188" s="5"/>
      <c r="SM188" s="6"/>
      <c r="SN188" s="4"/>
      <c r="SO188" s="4"/>
      <c r="SP188" s="4"/>
      <c r="SQ188" s="4"/>
      <c r="SR188" s="4"/>
      <c r="SS188" s="5"/>
      <c r="ST188" s="6"/>
      <c r="SU188" s="4"/>
      <c r="SV188" s="4"/>
      <c r="SW188" s="4"/>
      <c r="SX188" s="4"/>
      <c r="SY188" s="4"/>
      <c r="SZ188" s="5"/>
      <c r="TA188" s="6"/>
      <c r="TB188" s="4"/>
      <c r="TC188" s="4"/>
      <c r="TD188" s="4"/>
      <c r="TE188" s="4"/>
      <c r="TF188" s="4"/>
      <c r="TG188" s="5"/>
      <c r="TH188" s="6"/>
      <c r="TI188" s="4"/>
      <c r="TJ188" s="4"/>
      <c r="TK188" s="4"/>
      <c r="TL188" s="4"/>
      <c r="TM188" s="4"/>
      <c r="TN188" s="5"/>
      <c r="TO188" s="6"/>
      <c r="TP188" s="4"/>
      <c r="TQ188" s="4"/>
      <c r="TR188" s="4"/>
      <c r="TS188" s="4"/>
      <c r="TT188" s="4"/>
      <c r="TU188" s="5"/>
      <c r="TV188" s="6"/>
      <c r="TW188" s="4"/>
      <c r="TX188" s="4"/>
      <c r="TY188" s="4"/>
      <c r="TZ188" s="4"/>
      <c r="UA188" s="4"/>
      <c r="UB188" s="5"/>
      <c r="UC188" s="6"/>
      <c r="UD188" s="4"/>
      <c r="UE188" s="4"/>
      <c r="UF188" s="4"/>
      <c r="UG188" s="4"/>
      <c r="UH188" s="4"/>
      <c r="UI188" s="5"/>
      <c r="UJ188" s="6"/>
      <c r="UK188" s="4"/>
      <c r="UL188" s="4"/>
      <c r="UM188" s="4"/>
      <c r="UN188" s="4"/>
      <c r="UO188" s="4"/>
      <c r="UP188" s="5"/>
      <c r="UQ188" s="6"/>
      <c r="UR188" s="4"/>
      <c r="US188" s="4"/>
      <c r="UT188" s="4"/>
      <c r="UU188" s="4"/>
      <c r="UV188" s="4"/>
      <c r="UW188" s="5"/>
      <c r="UX188" s="6"/>
      <c r="UY188" s="4"/>
      <c r="UZ188" s="4"/>
      <c r="VA188" s="4"/>
      <c r="VB188" s="4"/>
      <c r="VC188" s="4"/>
      <c r="VD188" s="5"/>
      <c r="VE188" s="6" t="s">
        <v>2861</v>
      </c>
      <c r="VF188" s="4" t="s">
        <v>2862</v>
      </c>
      <c r="VG188" s="4"/>
      <c r="VH188" s="4"/>
      <c r="VI188" s="4"/>
      <c r="VJ188" s="4"/>
      <c r="VK188" s="5"/>
      <c r="VL188" s="6" t="s">
        <v>2993</v>
      </c>
      <c r="VM188" s="4" t="s">
        <v>2994</v>
      </c>
      <c r="VN188" s="4"/>
      <c r="VO188" s="4"/>
      <c r="VP188" s="4"/>
      <c r="VQ188" s="4"/>
      <c r="VR188" s="5"/>
      <c r="VS188" s="6"/>
      <c r="VT188" s="4"/>
      <c r="VU188" s="4"/>
      <c r="VV188" s="4"/>
      <c r="VW188" s="4"/>
      <c r="VX188" s="4"/>
      <c r="VY188" s="5"/>
      <c r="VZ188" s="6"/>
      <c r="WA188" s="4"/>
      <c r="WB188" s="4"/>
      <c r="WC188" s="4"/>
      <c r="WD188" s="4"/>
      <c r="WE188" s="4"/>
      <c r="WF188" s="5"/>
      <c r="WG188" s="6"/>
      <c r="WH188" s="4"/>
      <c r="WI188" s="4"/>
      <c r="WJ188" s="4"/>
      <c r="WK188" s="4"/>
      <c r="WL188" s="4"/>
      <c r="WM188" s="5"/>
      <c r="WN188" s="6"/>
      <c r="WO188" s="4"/>
      <c r="WP188" s="4"/>
      <c r="WQ188" s="4"/>
      <c r="WR188" s="4"/>
      <c r="WS188" s="4"/>
      <c r="WT188" s="5"/>
      <c r="WU188" s="6"/>
      <c r="WV188" s="4"/>
      <c r="WW188" s="4"/>
      <c r="WX188" s="4"/>
      <c r="WY188" s="4"/>
      <c r="WZ188" s="4"/>
      <c r="XA188" s="5"/>
      <c r="XB188" s="6"/>
      <c r="XC188" s="4"/>
      <c r="XD188" s="4"/>
      <c r="XE188" s="4"/>
      <c r="XF188" s="4"/>
      <c r="XG188" s="4"/>
      <c r="XH188" s="5"/>
      <c r="XI188" s="6"/>
      <c r="XJ188" s="4"/>
      <c r="XK188" s="4"/>
      <c r="XL188" s="4"/>
      <c r="XM188" s="4"/>
      <c r="XN188" s="4"/>
      <c r="XO188" s="5"/>
      <c r="XP188" s="6"/>
      <c r="XQ188" s="4"/>
      <c r="XR188" s="4"/>
      <c r="XS188" s="4"/>
      <c r="XT188" s="4"/>
      <c r="XU188" s="4"/>
      <c r="XV188" s="5"/>
      <c r="XW188" s="6"/>
      <c r="XX188" s="4"/>
      <c r="XY188" s="4"/>
      <c r="XZ188" s="4"/>
      <c r="YA188" s="4"/>
      <c r="YB188" s="4"/>
      <c r="YC188" s="5"/>
      <c r="YD188" s="6"/>
      <c r="YE188" s="4"/>
      <c r="YF188" s="4"/>
      <c r="YG188" s="4"/>
      <c r="YH188" s="4"/>
      <c r="YI188" s="4"/>
      <c r="YJ188" s="5"/>
      <c r="YK188" s="6"/>
      <c r="YL188" s="4"/>
      <c r="YM188" s="4"/>
      <c r="YN188" s="4"/>
      <c r="YO188" s="4"/>
      <c r="YP188" s="4"/>
      <c r="YQ188" s="5"/>
      <c r="YR188" s="6"/>
      <c r="YS188" s="4"/>
      <c r="YT188" s="4"/>
      <c r="YU188" s="4"/>
      <c r="YV188" s="4"/>
      <c r="YW188" s="4"/>
      <c r="YX188" s="5"/>
      <c r="YY188" s="6"/>
      <c r="YZ188" s="4"/>
      <c r="ZA188" s="4"/>
      <c r="ZB188" s="4"/>
      <c r="ZC188" s="4"/>
      <c r="ZD188" s="4"/>
      <c r="ZE188" s="5"/>
      <c r="ZF188" s="6"/>
      <c r="ZG188" s="4"/>
      <c r="ZH188" s="4"/>
      <c r="ZI188" s="4"/>
      <c r="ZJ188" s="4"/>
      <c r="ZK188" s="4"/>
      <c r="ZL188" s="5"/>
      <c r="ZM188" s="6"/>
      <c r="ZN188" s="4"/>
      <c r="ZO188" s="4"/>
      <c r="ZP188" s="4"/>
      <c r="ZQ188" s="4"/>
      <c r="ZR188" s="4"/>
      <c r="ZS188" s="5"/>
      <c r="ZT188" s="6"/>
      <c r="ZU188" s="4"/>
      <c r="ZV188" s="4"/>
      <c r="ZW188" s="4"/>
      <c r="ZX188" s="4"/>
      <c r="ZY188" s="4"/>
      <c r="ZZ188" s="5"/>
      <c r="AAA188" s="6"/>
      <c r="AAB188" s="4"/>
      <c r="AAC188" s="4"/>
      <c r="AAD188" s="4"/>
      <c r="AAE188" s="4"/>
      <c r="AAF188" s="4"/>
      <c r="AAG188" s="5"/>
      <c r="AAH188" s="6"/>
      <c r="AAI188" s="4"/>
      <c r="AAJ188" s="4"/>
      <c r="AAK188" s="4"/>
      <c r="AAL188" s="4"/>
      <c r="AAM188" s="4"/>
      <c r="AAN188" s="5"/>
      <c r="AAO188" s="6"/>
      <c r="AAP188" s="4"/>
      <c r="AAQ188" s="4"/>
      <c r="AAR188" s="4"/>
      <c r="AAS188" s="4"/>
      <c r="AAT188" s="4"/>
      <c r="AAU188" s="5"/>
      <c r="AAV188" s="6" t="s">
        <v>2859</v>
      </c>
      <c r="AAW188" s="4" t="s">
        <v>2860</v>
      </c>
      <c r="AAX188" s="4"/>
      <c r="AAY188" s="4"/>
      <c r="AAZ188" s="4"/>
      <c r="ABA188" s="4"/>
      <c r="ABB188" s="5"/>
      <c r="ABC188" s="6"/>
      <c r="ABD188" s="4"/>
      <c r="ABE188" s="4"/>
      <c r="ABF188" s="4"/>
      <c r="ABG188" s="4"/>
      <c r="ABH188" s="4"/>
      <c r="ABI188" s="5"/>
      <c r="ABJ188" s="6"/>
      <c r="ABK188" s="4"/>
      <c r="ABL188" s="4"/>
      <c r="ABM188" s="4"/>
      <c r="ABN188" s="4"/>
      <c r="ABO188" s="4"/>
      <c r="ABP188" s="5"/>
      <c r="ABQ188" s="6"/>
      <c r="ABR188" s="4"/>
      <c r="ABS188" s="4"/>
      <c r="ABT188" s="4"/>
      <c r="ABU188" s="4"/>
      <c r="ABV188" s="4"/>
      <c r="ABW188" s="5"/>
      <c r="ABX188" s="6"/>
      <c r="ABY188" s="4"/>
      <c r="ABZ188" s="4"/>
      <c r="ACA188" s="4"/>
      <c r="ACB188" s="4"/>
      <c r="ACC188" s="4"/>
      <c r="ACD188" s="5"/>
      <c r="ACE188" s="6"/>
      <c r="ACF188" s="4"/>
      <c r="ACG188" s="4"/>
      <c r="ACH188" s="4"/>
      <c r="ACI188" s="4"/>
      <c r="ACJ188" s="4"/>
      <c r="ACK188" s="5"/>
      <c r="ACL188" s="6" t="s">
        <v>2725</v>
      </c>
      <c r="ACM188" s="7" t="s">
        <v>1969</v>
      </c>
      <c r="ACN188" s="4"/>
      <c r="ACO188" s="4"/>
      <c r="ACP188" s="4"/>
      <c r="ACQ188" s="4"/>
      <c r="ACR188" s="5"/>
      <c r="ACS188" s="6"/>
      <c r="ACT188" s="4"/>
      <c r="ACU188" s="4"/>
      <c r="ACV188" s="4"/>
      <c r="ACW188" s="4"/>
      <c r="ACX188" s="4"/>
      <c r="ACY188" s="5"/>
    </row>
    <row r="189" spans="2:779" x14ac:dyDescent="0.25">
      <c r="B189" s="30"/>
      <c r="J189" s="12"/>
      <c r="K189" s="12"/>
      <c r="L189" s="12"/>
      <c r="LL189" s="6"/>
      <c r="LM189" s="4"/>
      <c r="LN189" s="4"/>
      <c r="LO189" s="4"/>
      <c r="LP189" s="4"/>
      <c r="LQ189" s="4"/>
      <c r="LR189" s="5"/>
      <c r="LS189" s="6"/>
      <c r="LT189" s="4"/>
      <c r="LU189" s="4"/>
      <c r="LV189" s="4"/>
      <c r="LW189" s="4"/>
      <c r="LX189" s="4"/>
      <c r="LY189" s="5"/>
      <c r="LZ189" s="6"/>
      <c r="MA189" s="4"/>
      <c r="MB189" s="4"/>
      <c r="MC189" s="4"/>
      <c r="MD189" s="8"/>
      <c r="ME189" s="4"/>
      <c r="MF189" s="4"/>
      <c r="MG189" s="5"/>
      <c r="MH189" s="6"/>
      <c r="MI189" s="4"/>
      <c r="MJ189" s="4"/>
      <c r="MK189" s="4"/>
      <c r="ML189" s="4"/>
      <c r="MM189" s="4"/>
      <c r="MN189" s="5"/>
      <c r="MO189" s="6"/>
      <c r="MP189" s="4"/>
      <c r="MQ189" s="4"/>
      <c r="MR189" s="4"/>
      <c r="MS189" s="4"/>
      <c r="MT189" s="4"/>
      <c r="MU189" s="5"/>
      <c r="MV189" s="6"/>
      <c r="MW189" s="4"/>
      <c r="MX189" s="4"/>
      <c r="MY189" s="4"/>
      <c r="MZ189" s="4"/>
      <c r="NA189" s="4"/>
      <c r="NB189" s="5"/>
      <c r="NC189" s="6" t="s">
        <v>3198</v>
      </c>
      <c r="ND189" s="4" t="s">
        <v>3199</v>
      </c>
      <c r="NE189" s="4"/>
      <c r="NF189" s="4"/>
      <c r="NG189" s="4"/>
      <c r="NH189" s="4"/>
      <c r="NI189" s="5"/>
      <c r="NJ189" s="6"/>
      <c r="NK189" s="4"/>
      <c r="NL189" s="4"/>
      <c r="NM189" s="4"/>
      <c r="NN189" s="4"/>
      <c r="NO189" s="4"/>
      <c r="NP189" s="5"/>
      <c r="NQ189" s="6"/>
      <c r="NR189" s="4"/>
      <c r="NS189" s="4"/>
      <c r="NT189" s="4"/>
      <c r="NU189" s="4"/>
      <c r="NV189" s="4"/>
      <c r="NW189" s="5"/>
      <c r="NX189" s="6"/>
      <c r="NY189" s="4"/>
      <c r="NZ189" s="4"/>
      <c r="OA189" s="4"/>
      <c r="OB189" s="4"/>
      <c r="OC189" s="4"/>
      <c r="OD189" s="5"/>
      <c r="OE189" s="6"/>
      <c r="OF189" s="4"/>
      <c r="OG189" s="4"/>
      <c r="OH189" s="4"/>
      <c r="OI189" s="4"/>
      <c r="OJ189" s="4"/>
      <c r="OK189" s="5"/>
      <c r="OL189" s="6"/>
      <c r="OM189" s="4"/>
      <c r="ON189" s="4"/>
      <c r="OO189" s="4"/>
      <c r="OP189" s="4"/>
      <c r="OQ189" s="4"/>
      <c r="OR189" s="5"/>
      <c r="OS189" s="6"/>
      <c r="OT189" s="4"/>
      <c r="OU189" s="4"/>
      <c r="OV189" s="4"/>
      <c r="OW189" s="4"/>
      <c r="OX189" s="4"/>
      <c r="OY189" s="5"/>
      <c r="OZ189" s="6" t="s">
        <v>3200</v>
      </c>
      <c r="PA189" s="4" t="s">
        <v>2171</v>
      </c>
      <c r="PB189" s="4"/>
      <c r="PC189" s="4"/>
      <c r="PD189" s="4"/>
      <c r="PE189" s="4"/>
      <c r="PF189" s="5"/>
      <c r="PG189" s="6"/>
      <c r="PH189" s="4"/>
      <c r="PI189" s="4"/>
      <c r="PJ189" s="4"/>
      <c r="PK189" s="4"/>
      <c r="PL189" s="4"/>
      <c r="PM189" s="5"/>
      <c r="PN189" s="6"/>
      <c r="PO189" s="4"/>
      <c r="PP189" s="4"/>
      <c r="PQ189" s="4"/>
      <c r="PR189" s="4"/>
      <c r="PS189" s="4"/>
      <c r="PT189" s="5"/>
      <c r="PU189" s="6"/>
      <c r="PV189" s="4"/>
      <c r="PW189" s="4"/>
      <c r="PX189" s="4"/>
      <c r="PY189" s="4"/>
      <c r="PZ189" s="4"/>
      <c r="QA189" s="5"/>
      <c r="QB189" s="6"/>
      <c r="QC189" s="4"/>
      <c r="QD189" s="4"/>
      <c r="QE189" s="4"/>
      <c r="QF189" s="4"/>
      <c r="QG189" s="4"/>
      <c r="QH189" s="5"/>
      <c r="QI189" s="6"/>
      <c r="QJ189" s="4"/>
      <c r="QK189" s="4"/>
      <c r="QL189" s="4"/>
      <c r="QM189" s="4"/>
      <c r="QN189" s="4"/>
      <c r="QO189" s="5"/>
      <c r="QP189" s="6"/>
      <c r="QQ189" s="4"/>
      <c r="QR189" s="4"/>
      <c r="QS189" s="4"/>
      <c r="QT189" s="4"/>
      <c r="QU189" s="4"/>
      <c r="QV189" s="5"/>
      <c r="QW189" s="6"/>
      <c r="QX189" s="4"/>
      <c r="QY189" s="4"/>
      <c r="QZ189" s="4"/>
      <c r="RA189" s="4"/>
      <c r="RB189" s="4"/>
      <c r="RC189" s="5"/>
      <c r="RD189" s="6"/>
      <c r="RE189" s="4"/>
      <c r="RF189" s="4"/>
      <c r="RG189" s="4"/>
      <c r="RH189" s="4"/>
      <c r="RI189" s="4"/>
      <c r="RJ189" s="5"/>
      <c r="RK189" s="6"/>
      <c r="RL189" s="4"/>
      <c r="RM189" s="4"/>
      <c r="RN189" s="4"/>
      <c r="RO189" s="4"/>
      <c r="RP189" s="4"/>
      <c r="RQ189" s="5"/>
      <c r="RR189" s="6"/>
      <c r="RS189" s="4"/>
      <c r="RT189" s="4"/>
      <c r="RU189" s="4"/>
      <c r="RV189" s="4"/>
      <c r="RW189" s="4"/>
      <c r="RX189" s="5"/>
      <c r="RY189" s="6"/>
      <c r="RZ189" s="4"/>
      <c r="SA189" s="4"/>
      <c r="SB189" s="4"/>
      <c r="SC189" s="4"/>
      <c r="SD189" s="4"/>
      <c r="SE189" s="5"/>
      <c r="SF189" s="6"/>
      <c r="SG189" s="4"/>
      <c r="SH189" s="4"/>
      <c r="SI189" s="4"/>
      <c r="SJ189" s="4"/>
      <c r="SK189" s="4"/>
      <c r="SL189" s="5"/>
      <c r="SM189" s="6"/>
      <c r="SN189" s="4"/>
      <c r="SO189" s="4"/>
      <c r="SP189" s="4"/>
      <c r="SQ189" s="4"/>
      <c r="SR189" s="4"/>
      <c r="SS189" s="5"/>
      <c r="ST189" s="6"/>
      <c r="SU189" s="4"/>
      <c r="SV189" s="4"/>
      <c r="SW189" s="4"/>
      <c r="SX189" s="4"/>
      <c r="SY189" s="4"/>
      <c r="SZ189" s="5"/>
      <c r="TA189" s="6"/>
      <c r="TB189" s="4"/>
      <c r="TC189" s="4"/>
      <c r="TD189" s="4"/>
      <c r="TE189" s="4"/>
      <c r="TF189" s="4"/>
      <c r="TG189" s="5"/>
      <c r="TH189" s="6"/>
      <c r="TI189" s="4"/>
      <c r="TJ189" s="4"/>
      <c r="TK189" s="4"/>
      <c r="TL189" s="4"/>
      <c r="TM189" s="4"/>
      <c r="TN189" s="5"/>
      <c r="TO189" s="6"/>
      <c r="TP189" s="4"/>
      <c r="TQ189" s="4"/>
      <c r="TR189" s="4"/>
      <c r="TS189" s="4"/>
      <c r="TT189" s="4"/>
      <c r="TU189" s="5"/>
      <c r="TV189" s="6"/>
      <c r="TW189" s="4"/>
      <c r="TX189" s="4"/>
      <c r="TY189" s="4"/>
      <c r="TZ189" s="4"/>
      <c r="UA189" s="4"/>
      <c r="UB189" s="5"/>
      <c r="UC189" s="6"/>
      <c r="UD189" s="4"/>
      <c r="UE189" s="4"/>
      <c r="UF189" s="4"/>
      <c r="UG189" s="4"/>
      <c r="UH189" s="4"/>
      <c r="UI189" s="5"/>
      <c r="UJ189" s="6"/>
      <c r="UK189" s="4"/>
      <c r="UL189" s="4"/>
      <c r="UM189" s="4"/>
      <c r="UN189" s="4"/>
      <c r="UO189" s="4"/>
      <c r="UP189" s="5"/>
      <c r="UQ189" s="6"/>
      <c r="UR189" s="4"/>
      <c r="US189" s="4"/>
      <c r="UT189" s="4"/>
      <c r="UU189" s="4"/>
      <c r="UV189" s="4"/>
      <c r="UW189" s="5"/>
      <c r="UX189" s="6"/>
      <c r="UY189" s="4"/>
      <c r="UZ189" s="4"/>
      <c r="VA189" s="4"/>
      <c r="VB189" s="4"/>
      <c r="VC189" s="4"/>
      <c r="VD189" s="5"/>
      <c r="VE189" s="6" t="s">
        <v>2868</v>
      </c>
      <c r="VF189" s="4" t="s">
        <v>2862</v>
      </c>
      <c r="VG189" s="4"/>
      <c r="VH189" s="4"/>
      <c r="VI189" s="4"/>
      <c r="VJ189" s="4"/>
      <c r="VK189" s="5"/>
      <c r="VL189" s="6" t="s">
        <v>2863</v>
      </c>
      <c r="VM189" s="4" t="s">
        <v>2864</v>
      </c>
      <c r="VN189" s="4"/>
      <c r="VO189" s="4"/>
      <c r="VP189" s="4"/>
      <c r="VQ189" s="4"/>
      <c r="VR189" s="5"/>
      <c r="VS189" s="6"/>
      <c r="VT189" s="4"/>
      <c r="VU189" s="4"/>
      <c r="VV189" s="4"/>
      <c r="VW189" s="4"/>
      <c r="VX189" s="4"/>
      <c r="VY189" s="5"/>
      <c r="VZ189" s="6"/>
      <c r="WA189" s="4"/>
      <c r="WB189" s="4"/>
      <c r="WC189" s="4"/>
      <c r="WD189" s="4"/>
      <c r="WE189" s="4"/>
      <c r="WF189" s="5"/>
      <c r="WG189" s="6"/>
      <c r="WH189" s="4"/>
      <c r="WI189" s="4"/>
      <c r="WJ189" s="4"/>
      <c r="WK189" s="4"/>
      <c r="WL189" s="4"/>
      <c r="WM189" s="5"/>
      <c r="WN189" s="6"/>
      <c r="WO189" s="4"/>
      <c r="WP189" s="4"/>
      <c r="WQ189" s="4"/>
      <c r="WR189" s="4"/>
      <c r="WS189" s="4"/>
      <c r="WT189" s="5"/>
      <c r="WU189" s="6"/>
      <c r="WV189" s="4"/>
      <c r="WW189" s="4"/>
      <c r="WX189" s="4"/>
      <c r="WY189" s="4"/>
      <c r="WZ189" s="4"/>
      <c r="XA189" s="5"/>
      <c r="XB189" s="6"/>
      <c r="XC189" s="4"/>
      <c r="XD189" s="4"/>
      <c r="XE189" s="4"/>
      <c r="XF189" s="4"/>
      <c r="XG189" s="4"/>
      <c r="XH189" s="5"/>
      <c r="XI189" s="6"/>
      <c r="XJ189" s="4"/>
      <c r="XK189" s="4"/>
      <c r="XL189" s="4"/>
      <c r="XM189" s="4"/>
      <c r="XN189" s="4"/>
      <c r="XO189" s="5"/>
      <c r="XP189" s="6"/>
      <c r="XQ189" s="4"/>
      <c r="XR189" s="4"/>
      <c r="XS189" s="4"/>
      <c r="XT189" s="4"/>
      <c r="XU189" s="4"/>
      <c r="XV189" s="5"/>
      <c r="XW189" s="6"/>
      <c r="XX189" s="4"/>
      <c r="XY189" s="4"/>
      <c r="XZ189" s="4"/>
      <c r="YA189" s="4"/>
      <c r="YB189" s="4"/>
      <c r="YC189" s="5"/>
      <c r="YD189" s="6"/>
      <c r="YE189" s="4"/>
      <c r="YF189" s="4"/>
      <c r="YG189" s="4"/>
      <c r="YH189" s="4"/>
      <c r="YI189" s="4"/>
      <c r="YJ189" s="5"/>
      <c r="YK189" s="6"/>
      <c r="YL189" s="4"/>
      <c r="YM189" s="4"/>
      <c r="YN189" s="4"/>
      <c r="YO189" s="4"/>
      <c r="YP189" s="4"/>
      <c r="YQ189" s="5"/>
      <c r="YR189" s="6"/>
      <c r="YS189" s="4"/>
      <c r="YT189" s="4"/>
      <c r="YU189" s="4"/>
      <c r="YV189" s="4"/>
      <c r="YW189" s="4"/>
      <c r="YX189" s="5"/>
      <c r="YY189" s="6"/>
      <c r="YZ189" s="4"/>
      <c r="ZA189" s="4"/>
      <c r="ZB189" s="4"/>
      <c r="ZC189" s="4"/>
      <c r="ZD189" s="4"/>
      <c r="ZE189" s="5"/>
      <c r="ZF189" s="6"/>
      <c r="ZG189" s="4"/>
      <c r="ZH189" s="4"/>
      <c r="ZI189" s="4"/>
      <c r="ZJ189" s="4"/>
      <c r="ZK189" s="4"/>
      <c r="ZL189" s="5"/>
      <c r="ZM189" s="6"/>
      <c r="ZN189" s="4"/>
      <c r="ZO189" s="4"/>
      <c r="ZP189" s="4"/>
      <c r="ZQ189" s="4"/>
      <c r="ZR189" s="4"/>
      <c r="ZS189" s="5"/>
      <c r="ZT189" s="6"/>
      <c r="ZU189" s="4"/>
      <c r="ZV189" s="4"/>
      <c r="ZW189" s="4"/>
      <c r="ZX189" s="4"/>
      <c r="ZY189" s="4"/>
      <c r="ZZ189" s="5"/>
      <c r="AAA189" s="6"/>
      <c r="AAB189" s="4"/>
      <c r="AAC189" s="4"/>
      <c r="AAD189" s="4"/>
      <c r="AAE189" s="4"/>
      <c r="AAF189" s="4"/>
      <c r="AAG189" s="5"/>
      <c r="AAH189" s="6"/>
      <c r="AAI189" s="4"/>
      <c r="AAJ189" s="4"/>
      <c r="AAK189" s="4"/>
      <c r="AAL189" s="4"/>
      <c r="AAM189" s="4"/>
      <c r="AAN189" s="5"/>
      <c r="AAO189" s="6"/>
      <c r="AAP189" s="4"/>
      <c r="AAQ189" s="4"/>
      <c r="AAR189" s="4"/>
      <c r="AAS189" s="4"/>
      <c r="AAT189" s="4"/>
      <c r="AAU189" s="5"/>
      <c r="AAV189" s="6"/>
      <c r="AAW189" s="4"/>
      <c r="AAX189" s="4"/>
      <c r="AAY189" s="4"/>
      <c r="AAZ189" s="4"/>
      <c r="ABA189" s="4"/>
      <c r="ABB189" s="5"/>
      <c r="ABC189" s="6"/>
      <c r="ABD189" s="4"/>
      <c r="ABE189" s="4"/>
      <c r="ABF189" s="4"/>
      <c r="ABG189" s="4"/>
      <c r="ABH189" s="4"/>
      <c r="ABI189" s="5"/>
      <c r="ABJ189" s="6"/>
      <c r="ABK189" s="4"/>
      <c r="ABL189" s="4"/>
      <c r="ABM189" s="4"/>
      <c r="ABN189" s="4"/>
      <c r="ABO189" s="4"/>
      <c r="ABP189" s="5"/>
      <c r="ABQ189" s="6"/>
      <c r="ABR189" s="4"/>
      <c r="ABS189" s="4"/>
      <c r="ABT189" s="4"/>
      <c r="ABU189" s="4"/>
      <c r="ABV189" s="4"/>
      <c r="ABW189" s="5"/>
      <c r="ABX189" s="6"/>
      <c r="ABY189" s="4"/>
      <c r="ABZ189" s="4"/>
      <c r="ACA189" s="4"/>
      <c r="ACB189" s="4"/>
      <c r="ACC189" s="4"/>
      <c r="ACD189" s="5"/>
      <c r="ACE189" s="6"/>
      <c r="ACF189" s="4"/>
      <c r="ACG189" s="4"/>
      <c r="ACH189" s="4"/>
      <c r="ACI189" s="4"/>
      <c r="ACJ189" s="4"/>
      <c r="ACK189" s="5"/>
      <c r="ACL189" s="6"/>
      <c r="ACM189" s="4"/>
      <c r="ACN189" s="4"/>
      <c r="ACO189" s="4"/>
      <c r="ACP189" s="4"/>
      <c r="ACQ189" s="4"/>
      <c r="ACR189" s="5"/>
      <c r="ACS189" s="6"/>
      <c r="ACT189" s="4"/>
      <c r="ACU189" s="4"/>
      <c r="ACV189" s="4"/>
      <c r="ACW189" s="4"/>
      <c r="ACX189" s="4"/>
      <c r="ACY189" s="5"/>
    </row>
    <row r="190" spans="2:779" x14ac:dyDescent="0.25">
      <c r="B190" s="30"/>
      <c r="J190" s="12"/>
      <c r="K190" s="12"/>
      <c r="L190" s="12"/>
      <c r="LL190" s="6"/>
      <c r="LM190" s="4"/>
      <c r="LN190" s="4"/>
      <c r="LO190" s="4"/>
      <c r="LP190" s="4"/>
      <c r="LQ190" s="4"/>
      <c r="LR190" s="5"/>
      <c r="LS190" s="6"/>
      <c r="LT190" s="4"/>
      <c r="LU190" s="4"/>
      <c r="LV190" s="4"/>
      <c r="LW190" s="4"/>
      <c r="LX190" s="4"/>
      <c r="LY190" s="5"/>
      <c r="LZ190" s="6"/>
      <c r="MA190" s="4"/>
      <c r="MB190" s="4"/>
      <c r="MC190" s="4"/>
      <c r="MD190" s="8"/>
      <c r="ME190" s="4"/>
      <c r="MF190" s="4"/>
      <c r="MG190" s="5"/>
      <c r="MH190" s="6"/>
      <c r="MI190" s="4"/>
      <c r="MJ190" s="4"/>
      <c r="MK190" s="4"/>
      <c r="ML190" s="4"/>
      <c r="MM190" s="4"/>
      <c r="MN190" s="5"/>
      <c r="MO190" s="6"/>
      <c r="MP190" s="4"/>
      <c r="MQ190" s="4"/>
      <c r="MR190" s="4"/>
      <c r="MS190" s="4"/>
      <c r="MT190" s="4"/>
      <c r="MU190" s="5"/>
      <c r="MV190" s="6"/>
      <c r="MW190" s="4"/>
      <c r="MX190" s="4"/>
      <c r="MY190" s="4"/>
      <c r="MZ190" s="4"/>
      <c r="NA190" s="4"/>
      <c r="NB190" s="5"/>
      <c r="NC190" s="6"/>
      <c r="ND190" s="4"/>
      <c r="NE190" s="4"/>
      <c r="NF190" s="4"/>
      <c r="NG190" s="4"/>
      <c r="NH190" s="4"/>
      <c r="NI190" s="5"/>
      <c r="NJ190" s="6"/>
      <c r="NK190" s="4"/>
      <c r="NL190" s="4"/>
      <c r="NM190" s="4"/>
      <c r="NN190" s="4"/>
      <c r="NO190" s="4"/>
      <c r="NP190" s="5"/>
      <c r="NQ190" s="6"/>
      <c r="NR190" s="4"/>
      <c r="NS190" s="4"/>
      <c r="NT190" s="4"/>
      <c r="NU190" s="4"/>
      <c r="NV190" s="4"/>
      <c r="NW190" s="5"/>
      <c r="NX190" s="6"/>
      <c r="NY190" s="4"/>
      <c r="NZ190" s="4"/>
      <c r="OA190" s="4"/>
      <c r="OB190" s="4"/>
      <c r="OC190" s="4"/>
      <c r="OD190" s="5"/>
      <c r="OE190" s="6"/>
      <c r="OF190" s="4"/>
      <c r="OG190" s="4"/>
      <c r="OH190" s="4"/>
      <c r="OI190" s="4"/>
      <c r="OJ190" s="4"/>
      <c r="OK190" s="5"/>
      <c r="OL190" s="6"/>
      <c r="OM190" s="4"/>
      <c r="ON190" s="4"/>
      <c r="OO190" s="4"/>
      <c r="OP190" s="4"/>
      <c r="OQ190" s="4"/>
      <c r="OR190" s="5"/>
      <c r="OS190" s="6"/>
      <c r="OT190" s="4"/>
      <c r="OU190" s="4"/>
      <c r="OV190" s="4"/>
      <c r="OW190" s="4"/>
      <c r="OX190" s="4"/>
      <c r="OY190" s="5"/>
      <c r="OZ190" s="6" t="s">
        <v>3051</v>
      </c>
      <c r="PA190" s="4" t="s">
        <v>3052</v>
      </c>
      <c r="PB190" s="4"/>
      <c r="PC190" s="4"/>
      <c r="PD190" s="4"/>
      <c r="PE190" s="4"/>
      <c r="PF190" s="5"/>
      <c r="PG190" s="6"/>
      <c r="PH190" s="4"/>
      <c r="PI190" s="4"/>
      <c r="PJ190" s="4"/>
      <c r="PK190" s="4"/>
      <c r="PL190" s="4"/>
      <c r="PM190" s="5"/>
      <c r="PN190" s="6"/>
      <c r="PO190" s="4"/>
      <c r="PP190" s="4"/>
      <c r="PQ190" s="4"/>
      <c r="PR190" s="4"/>
      <c r="PS190" s="4"/>
      <c r="PT190" s="5"/>
      <c r="PU190" s="6"/>
      <c r="PV190" s="4"/>
      <c r="PW190" s="4"/>
      <c r="PX190" s="4"/>
      <c r="PY190" s="4"/>
      <c r="PZ190" s="4"/>
      <c r="QA190" s="5"/>
      <c r="QB190" s="6"/>
      <c r="QC190" s="4"/>
      <c r="QD190" s="4"/>
      <c r="QE190" s="4"/>
      <c r="QF190" s="4"/>
      <c r="QG190" s="4"/>
      <c r="QH190" s="5"/>
      <c r="QI190" s="6"/>
      <c r="QJ190" s="4"/>
      <c r="QK190" s="4"/>
      <c r="QL190" s="4"/>
      <c r="QM190" s="4"/>
      <c r="QN190" s="4"/>
      <c r="QO190" s="5"/>
      <c r="QP190" s="6"/>
      <c r="QQ190" s="4"/>
      <c r="QR190" s="4"/>
      <c r="QS190" s="4"/>
      <c r="QT190" s="4"/>
      <c r="QU190" s="4"/>
      <c r="QV190" s="5"/>
      <c r="QW190" s="6"/>
      <c r="QX190" s="4"/>
      <c r="QY190" s="4"/>
      <c r="QZ190" s="4"/>
      <c r="RA190" s="4"/>
      <c r="RB190" s="4"/>
      <c r="RC190" s="5"/>
      <c r="RD190" s="6"/>
      <c r="RE190" s="4"/>
      <c r="RF190" s="4"/>
      <c r="RG190" s="4"/>
      <c r="RH190" s="4"/>
      <c r="RI190" s="4"/>
      <c r="RJ190" s="5"/>
      <c r="RK190" s="6"/>
      <c r="RL190" s="4"/>
      <c r="RM190" s="4"/>
      <c r="RN190" s="4"/>
      <c r="RO190" s="4"/>
      <c r="RP190" s="4"/>
      <c r="RQ190" s="5"/>
      <c r="RR190" s="6"/>
      <c r="RS190" s="4"/>
      <c r="RT190" s="4"/>
      <c r="RU190" s="4"/>
      <c r="RV190" s="4"/>
      <c r="RW190" s="4"/>
      <c r="RX190" s="5"/>
      <c r="RY190" s="6"/>
      <c r="RZ190" s="4"/>
      <c r="SA190" s="4"/>
      <c r="SB190" s="4"/>
      <c r="SC190" s="4"/>
      <c r="SD190" s="4"/>
      <c r="SE190" s="5"/>
      <c r="SF190" s="6"/>
      <c r="SG190" s="4"/>
      <c r="SH190" s="4"/>
      <c r="SI190" s="4"/>
      <c r="SJ190" s="4"/>
      <c r="SK190" s="4"/>
      <c r="SL190" s="5"/>
      <c r="SM190" s="6"/>
      <c r="SN190" s="4"/>
      <c r="SO190" s="4"/>
      <c r="SP190" s="4"/>
      <c r="SQ190" s="4"/>
      <c r="SR190" s="4"/>
      <c r="SS190" s="5"/>
      <c r="ST190" s="6"/>
      <c r="SU190" s="4"/>
      <c r="SV190" s="4"/>
      <c r="SW190" s="4"/>
      <c r="SX190" s="4"/>
      <c r="SY190" s="4"/>
      <c r="SZ190" s="5"/>
      <c r="TA190" s="6"/>
      <c r="TB190" s="4"/>
      <c r="TC190" s="4"/>
      <c r="TD190" s="4"/>
      <c r="TE190" s="4"/>
      <c r="TF190" s="4"/>
      <c r="TG190" s="5"/>
      <c r="TH190" s="6"/>
      <c r="TI190" s="4"/>
      <c r="TJ190" s="4"/>
      <c r="TK190" s="4"/>
      <c r="TL190" s="4"/>
      <c r="TM190" s="4"/>
      <c r="TN190" s="5"/>
      <c r="TO190" s="6"/>
      <c r="TP190" s="4"/>
      <c r="TQ190" s="4"/>
      <c r="TR190" s="4"/>
      <c r="TS190" s="4"/>
      <c r="TT190" s="4"/>
      <c r="TU190" s="5"/>
      <c r="TV190" s="6"/>
      <c r="TW190" s="4"/>
      <c r="TX190" s="4"/>
      <c r="TY190" s="4"/>
      <c r="TZ190" s="4"/>
      <c r="UA190" s="4"/>
      <c r="UB190" s="5"/>
      <c r="UC190" s="6"/>
      <c r="UD190" s="4"/>
      <c r="UE190" s="4"/>
      <c r="UF190" s="4"/>
      <c r="UG190" s="4"/>
      <c r="UH190" s="4"/>
      <c r="UI190" s="5"/>
      <c r="UJ190" s="6"/>
      <c r="UK190" s="4"/>
      <c r="UL190" s="4"/>
      <c r="UM190" s="4"/>
      <c r="UN190" s="4"/>
      <c r="UO190" s="4"/>
      <c r="UP190" s="5"/>
      <c r="UQ190" s="6"/>
      <c r="UR190" s="4"/>
      <c r="US190" s="4"/>
      <c r="UT190" s="4"/>
      <c r="UU190" s="4"/>
      <c r="UV190" s="4"/>
      <c r="UW190" s="5"/>
      <c r="UX190" s="6"/>
      <c r="UY190" s="4"/>
      <c r="UZ190" s="4"/>
      <c r="VA190" s="4"/>
      <c r="VB190" s="4"/>
      <c r="VC190" s="4"/>
      <c r="VD190" s="5"/>
      <c r="VE190" s="6"/>
      <c r="VF190" s="4"/>
      <c r="VG190" s="4"/>
      <c r="VH190" s="4"/>
      <c r="VI190" s="4"/>
      <c r="VJ190" s="4"/>
      <c r="VK190" s="5"/>
      <c r="VL190" s="6"/>
      <c r="VM190" s="4"/>
      <c r="VN190" s="4"/>
      <c r="VO190" s="4"/>
      <c r="VP190" s="4"/>
      <c r="VQ190" s="4"/>
      <c r="VR190" s="5"/>
      <c r="VS190" s="6"/>
      <c r="VT190" s="4"/>
      <c r="VU190" s="4"/>
      <c r="VV190" s="4"/>
      <c r="VW190" s="4"/>
      <c r="VX190" s="4"/>
      <c r="VY190" s="5"/>
      <c r="VZ190" s="6"/>
      <c r="WA190" s="4"/>
      <c r="WB190" s="4"/>
      <c r="WC190" s="4"/>
      <c r="WD190" s="4"/>
      <c r="WE190" s="4"/>
      <c r="WF190" s="5"/>
      <c r="WG190" s="6"/>
      <c r="WH190" s="4"/>
      <c r="WI190" s="4"/>
      <c r="WJ190" s="4"/>
      <c r="WK190" s="4"/>
      <c r="WL190" s="4"/>
      <c r="WM190" s="5"/>
      <c r="WN190" s="6"/>
      <c r="WO190" s="4"/>
      <c r="WP190" s="4"/>
      <c r="WQ190" s="4"/>
      <c r="WR190" s="4"/>
      <c r="WS190" s="4"/>
      <c r="WT190" s="5"/>
      <c r="WU190" s="6"/>
      <c r="WV190" s="4"/>
      <c r="WW190" s="4"/>
      <c r="WX190" s="4"/>
      <c r="WY190" s="4"/>
      <c r="WZ190" s="4"/>
      <c r="XA190" s="5"/>
      <c r="XB190" s="6"/>
      <c r="XC190" s="4"/>
      <c r="XD190" s="4"/>
      <c r="XE190" s="4"/>
      <c r="XF190" s="4"/>
      <c r="XG190" s="4"/>
      <c r="XH190" s="5"/>
      <c r="XI190" s="6"/>
      <c r="XJ190" s="4"/>
      <c r="XK190" s="4"/>
      <c r="XL190" s="4"/>
      <c r="XM190" s="4"/>
      <c r="XN190" s="4"/>
      <c r="XO190" s="5"/>
      <c r="XP190" s="6"/>
      <c r="XQ190" s="4"/>
      <c r="XR190" s="4"/>
      <c r="XS190" s="4"/>
      <c r="XT190" s="4"/>
      <c r="XU190" s="4"/>
      <c r="XV190" s="5"/>
      <c r="XW190" s="6"/>
      <c r="XX190" s="4"/>
      <c r="XY190" s="4"/>
      <c r="XZ190" s="4"/>
      <c r="YA190" s="4"/>
      <c r="YB190" s="4"/>
      <c r="YC190" s="5"/>
      <c r="YD190" s="6"/>
      <c r="YE190" s="4"/>
      <c r="YF190" s="4"/>
      <c r="YG190" s="4"/>
      <c r="YH190" s="4"/>
      <c r="YI190" s="4"/>
      <c r="YJ190" s="5"/>
      <c r="YK190" s="6"/>
      <c r="YL190" s="4"/>
      <c r="YM190" s="4"/>
      <c r="YN190" s="4"/>
      <c r="YO190" s="4"/>
      <c r="YP190" s="4"/>
      <c r="YQ190" s="5"/>
      <c r="YR190" s="6"/>
      <c r="YS190" s="4"/>
      <c r="YT190" s="4"/>
      <c r="YU190" s="4"/>
      <c r="YV190" s="4"/>
      <c r="YW190" s="4"/>
      <c r="YX190" s="5"/>
      <c r="YY190" s="6"/>
      <c r="YZ190" s="4"/>
      <c r="ZA190" s="4"/>
      <c r="ZB190" s="4"/>
      <c r="ZC190" s="4"/>
      <c r="ZD190" s="4"/>
      <c r="ZE190" s="5"/>
      <c r="ZF190" s="6"/>
      <c r="ZG190" s="4"/>
      <c r="ZH190" s="4"/>
      <c r="ZI190" s="4"/>
      <c r="ZJ190" s="4"/>
      <c r="ZK190" s="4"/>
      <c r="ZL190" s="5"/>
      <c r="ZM190" s="6"/>
      <c r="ZN190" s="4"/>
      <c r="ZO190" s="4"/>
      <c r="ZP190" s="4"/>
      <c r="ZQ190" s="4"/>
      <c r="ZR190" s="4"/>
      <c r="ZS190" s="5"/>
      <c r="ZT190" s="6"/>
      <c r="ZU190" s="4"/>
      <c r="ZV190" s="4"/>
      <c r="ZW190" s="4"/>
      <c r="ZX190" s="4"/>
      <c r="ZY190" s="4"/>
      <c r="ZZ190" s="5"/>
      <c r="AAA190" s="6"/>
      <c r="AAB190" s="4"/>
      <c r="AAC190" s="4"/>
      <c r="AAD190" s="4"/>
      <c r="AAE190" s="4"/>
      <c r="AAF190" s="4"/>
      <c r="AAG190" s="5"/>
      <c r="AAH190" s="6"/>
      <c r="AAI190" s="4"/>
      <c r="AAJ190" s="4"/>
      <c r="AAK190" s="4"/>
      <c r="AAL190" s="4"/>
      <c r="AAM190" s="4"/>
      <c r="AAN190" s="5"/>
      <c r="AAO190" s="6"/>
      <c r="AAP190" s="4"/>
      <c r="AAQ190" s="4"/>
      <c r="AAR190" s="4"/>
      <c r="AAS190" s="4"/>
      <c r="AAT190" s="4"/>
      <c r="AAU190" s="5"/>
      <c r="AAV190" s="6"/>
      <c r="AAW190" s="4"/>
      <c r="AAX190" s="4"/>
      <c r="AAY190" s="4"/>
      <c r="AAZ190" s="4"/>
      <c r="ABA190" s="4"/>
      <c r="ABB190" s="5"/>
      <c r="ABC190" s="6"/>
      <c r="ABD190" s="4"/>
      <c r="ABE190" s="4"/>
      <c r="ABF190" s="4"/>
      <c r="ABG190" s="4"/>
      <c r="ABH190" s="4"/>
      <c r="ABI190" s="5"/>
      <c r="ABJ190" s="6"/>
      <c r="ABK190" s="4"/>
      <c r="ABL190" s="4"/>
      <c r="ABM190" s="4"/>
      <c r="ABN190" s="4"/>
      <c r="ABO190" s="4"/>
      <c r="ABP190" s="5"/>
      <c r="ABQ190" s="6"/>
      <c r="ABR190" s="4"/>
      <c r="ABS190" s="4"/>
      <c r="ABT190" s="4"/>
      <c r="ABU190" s="4"/>
      <c r="ABV190" s="4"/>
      <c r="ABW190" s="5"/>
      <c r="ABX190" s="6"/>
      <c r="ABY190" s="4"/>
      <c r="ABZ190" s="4"/>
      <c r="ACA190" s="4"/>
      <c r="ACB190" s="4"/>
      <c r="ACC190" s="4"/>
      <c r="ACD190" s="5"/>
      <c r="ACE190" s="6"/>
      <c r="ACF190" s="4"/>
      <c r="ACG190" s="4"/>
      <c r="ACH190" s="4"/>
      <c r="ACI190" s="4"/>
      <c r="ACJ190" s="4"/>
      <c r="ACK190" s="5"/>
      <c r="ACL190" s="6"/>
      <c r="ACM190" s="4"/>
      <c r="ACN190" s="4"/>
      <c r="ACO190" s="4"/>
      <c r="ACP190" s="4"/>
      <c r="ACQ190" s="4"/>
      <c r="ACR190" s="5"/>
      <c r="ACS190" s="6"/>
      <c r="ACT190" s="4"/>
      <c r="ACU190" s="4"/>
      <c r="ACV190" s="4"/>
      <c r="ACW190" s="4"/>
      <c r="ACX190" s="4"/>
      <c r="ACY190" s="5"/>
    </row>
    <row r="191" spans="2:779" x14ac:dyDescent="0.25">
      <c r="B191" s="49">
        <v>98008653</v>
      </c>
      <c r="C191">
        <v>54</v>
      </c>
      <c r="D191" t="s">
        <v>2121</v>
      </c>
      <c r="F191" s="23" t="s">
        <v>1781</v>
      </c>
      <c r="J191" s="12"/>
      <c r="K191" s="12"/>
      <c r="L191" s="12"/>
      <c r="M191">
        <v>1</v>
      </c>
      <c r="N191" s="17">
        <v>35812</v>
      </c>
      <c r="LL191" s="6"/>
      <c r="LM191" s="4"/>
      <c r="LN191" s="4"/>
      <c r="LO191" s="4"/>
      <c r="LP191" s="4"/>
      <c r="LQ191" s="4"/>
      <c r="LR191" s="5"/>
      <c r="LS191" s="6"/>
      <c r="LT191" s="4"/>
      <c r="LU191" s="4"/>
      <c r="LV191" s="4"/>
      <c r="LW191" s="4"/>
      <c r="LX191" s="4"/>
      <c r="LY191" s="5"/>
      <c r="LZ191" s="6" t="s">
        <v>715</v>
      </c>
      <c r="MA191" s="7" t="s">
        <v>2375</v>
      </c>
      <c r="MB191" s="4"/>
      <c r="MC191" s="4"/>
      <c r="MD191" s="8"/>
      <c r="ME191" s="4"/>
      <c r="MF191" s="4" t="s">
        <v>611</v>
      </c>
      <c r="MG191" s="5"/>
      <c r="MH191" s="6"/>
      <c r="MI191" s="4"/>
      <c r="MJ191" s="4"/>
      <c r="MK191" s="4"/>
      <c r="ML191" s="4"/>
      <c r="MM191" s="4"/>
      <c r="MN191" s="5"/>
      <c r="MO191" s="6"/>
      <c r="MP191" s="4"/>
      <c r="MQ191" s="4"/>
      <c r="MR191" s="4"/>
      <c r="MS191" s="4"/>
      <c r="MT191" s="4"/>
      <c r="MU191" s="5"/>
      <c r="MV191" s="6"/>
      <c r="MW191" s="4"/>
      <c r="MX191" s="4"/>
      <c r="MY191" s="4"/>
      <c r="MZ191" s="4"/>
      <c r="NA191" s="4"/>
      <c r="NB191" s="5"/>
      <c r="NC191" s="6"/>
      <c r="ND191" s="4"/>
      <c r="NE191" s="4"/>
      <c r="NF191" s="4"/>
      <c r="NG191" s="4"/>
      <c r="NH191" s="4"/>
      <c r="NI191" s="5"/>
      <c r="NJ191" s="6"/>
      <c r="NK191" s="4"/>
      <c r="NL191" s="4"/>
      <c r="NM191" s="4"/>
      <c r="NN191" s="4"/>
      <c r="NO191" s="4"/>
      <c r="NP191" s="5"/>
      <c r="NQ191" s="6"/>
      <c r="NR191" s="4"/>
      <c r="NS191" s="4"/>
      <c r="NT191" s="4"/>
      <c r="NU191" s="4"/>
      <c r="NV191" s="4"/>
      <c r="NW191" s="5"/>
      <c r="NX191" s="6"/>
      <c r="NY191" s="4"/>
      <c r="NZ191" s="4"/>
      <c r="OA191" s="4"/>
      <c r="OB191" s="4"/>
      <c r="OC191" s="4"/>
      <c r="OD191" s="5"/>
      <c r="OE191" s="6"/>
      <c r="OF191" s="4"/>
      <c r="OG191" s="4"/>
      <c r="OH191" s="4"/>
      <c r="OI191" s="4"/>
      <c r="OJ191" s="4"/>
      <c r="OK191" s="5"/>
      <c r="OL191" s="6"/>
      <c r="OM191" s="4"/>
      <c r="ON191" s="4"/>
      <c r="OO191" s="4"/>
      <c r="OP191" s="4"/>
      <c r="OQ191" s="4"/>
      <c r="OR191" s="5"/>
      <c r="OS191" s="6"/>
      <c r="OT191" s="4"/>
      <c r="OU191" s="4"/>
      <c r="OV191" s="4"/>
      <c r="OW191" s="4"/>
      <c r="OX191" s="4"/>
      <c r="OY191" s="5"/>
      <c r="OZ191" s="6"/>
      <c r="PA191" s="4"/>
      <c r="PB191" s="4"/>
      <c r="PC191" s="4"/>
      <c r="PD191" s="4"/>
      <c r="PE191" s="4"/>
      <c r="PF191" s="5"/>
      <c r="PG191" s="6"/>
      <c r="PH191" s="4"/>
      <c r="PI191" s="4"/>
      <c r="PJ191" s="4"/>
      <c r="PK191" s="4"/>
      <c r="PL191" s="4"/>
      <c r="PM191" s="5"/>
      <c r="PN191" s="6"/>
      <c r="PO191" s="4"/>
      <c r="PP191" s="4"/>
      <c r="PQ191" s="4"/>
      <c r="PR191" s="4"/>
      <c r="PS191" s="4"/>
      <c r="PT191" s="5"/>
      <c r="PU191" s="6"/>
      <c r="PV191" s="4"/>
      <c r="PW191" s="4"/>
      <c r="PX191" s="4"/>
      <c r="PY191" s="4"/>
      <c r="PZ191" s="4"/>
      <c r="QA191" s="5"/>
      <c r="QB191" s="6"/>
      <c r="QC191" s="4"/>
      <c r="QD191" s="4"/>
      <c r="QE191" s="4"/>
      <c r="QF191" s="4"/>
      <c r="QG191" s="4"/>
      <c r="QH191" s="5"/>
      <c r="QI191" s="6"/>
      <c r="QJ191" s="4"/>
      <c r="QK191" s="4"/>
      <c r="QL191" s="4"/>
      <c r="QM191" s="4"/>
      <c r="QN191" s="4"/>
      <c r="QO191" s="5"/>
      <c r="QP191" s="6"/>
      <c r="QQ191" s="4"/>
      <c r="QR191" s="4"/>
      <c r="QS191" s="4"/>
      <c r="QT191" s="4"/>
      <c r="QU191" s="4"/>
      <c r="QV191" s="5"/>
      <c r="QW191" s="6"/>
      <c r="QX191" s="4"/>
      <c r="QY191" s="4"/>
      <c r="QZ191" s="4"/>
      <c r="RA191" s="4"/>
      <c r="RB191" s="4"/>
      <c r="RC191" s="5"/>
      <c r="RD191" s="6"/>
      <c r="RE191" s="4"/>
      <c r="RF191" s="4"/>
      <c r="RG191" s="4"/>
      <c r="RH191" s="4"/>
      <c r="RI191" s="4"/>
      <c r="RJ191" s="5"/>
      <c r="RK191" s="6"/>
      <c r="RL191" s="4"/>
      <c r="RM191" s="4"/>
      <c r="RN191" s="4"/>
      <c r="RO191" s="4"/>
      <c r="RP191" s="4"/>
      <c r="RQ191" s="5"/>
      <c r="RR191" s="6"/>
      <c r="RS191" s="4"/>
      <c r="RT191" s="4"/>
      <c r="RU191" s="4"/>
      <c r="RV191" s="4"/>
      <c r="RW191" s="4"/>
      <c r="RX191" s="5"/>
      <c r="RY191" s="6"/>
      <c r="RZ191" s="4"/>
      <c r="SA191" s="4"/>
      <c r="SB191" s="4"/>
      <c r="SC191" s="4"/>
      <c r="SD191" s="4"/>
      <c r="SE191" s="5"/>
      <c r="SF191" s="6"/>
      <c r="SG191" s="4"/>
      <c r="SH191" s="4"/>
      <c r="SI191" s="4"/>
      <c r="SJ191" s="4"/>
      <c r="SK191" s="4"/>
      <c r="SL191" s="5"/>
      <c r="SM191" s="6"/>
      <c r="SN191" s="4"/>
      <c r="SO191" s="4"/>
      <c r="SP191" s="4"/>
      <c r="SQ191" s="4"/>
      <c r="SR191" s="4"/>
      <c r="SS191" s="5"/>
      <c r="ST191" s="6"/>
      <c r="SU191" s="4"/>
      <c r="SV191" s="4"/>
      <c r="SW191" s="4"/>
      <c r="SX191" s="4"/>
      <c r="SY191" s="4"/>
      <c r="SZ191" s="5"/>
      <c r="TA191" s="6"/>
      <c r="TB191" s="4"/>
      <c r="TC191" s="4"/>
      <c r="TD191" s="4"/>
      <c r="TE191" s="4"/>
      <c r="TF191" s="4"/>
      <c r="TG191" s="5"/>
      <c r="TH191" s="6"/>
      <c r="TI191" s="4"/>
      <c r="TJ191" s="4"/>
      <c r="TK191" s="4"/>
      <c r="TL191" s="4"/>
      <c r="TM191" s="4"/>
      <c r="TN191" s="5"/>
      <c r="TO191" s="6"/>
      <c r="TP191" s="4"/>
      <c r="TQ191" s="4"/>
      <c r="TR191" s="4"/>
      <c r="TS191" s="4"/>
      <c r="TT191" s="4"/>
      <c r="TU191" s="5"/>
      <c r="TV191" s="6"/>
      <c r="TW191" s="4"/>
      <c r="TX191" s="4"/>
      <c r="TY191" s="4"/>
      <c r="TZ191" s="4"/>
      <c r="UA191" s="4"/>
      <c r="UB191" s="5"/>
      <c r="UC191" s="6"/>
      <c r="UD191" s="4"/>
      <c r="UE191" s="4"/>
      <c r="UF191" s="4"/>
      <c r="UG191" s="4"/>
      <c r="UH191" s="4"/>
      <c r="UI191" s="5"/>
      <c r="UJ191" s="6"/>
      <c r="UK191" s="4"/>
      <c r="UL191" s="4"/>
      <c r="UM191" s="4"/>
      <c r="UN191" s="4"/>
      <c r="UO191" s="4"/>
      <c r="UP191" s="5"/>
      <c r="UQ191" s="6"/>
      <c r="UR191" s="4"/>
      <c r="US191" s="4"/>
      <c r="UT191" s="4"/>
      <c r="UU191" s="4"/>
      <c r="UV191" s="4"/>
      <c r="UW191" s="5"/>
      <c r="UX191" s="6"/>
      <c r="UY191" s="4"/>
      <c r="UZ191" s="4"/>
      <c r="VA191" s="4"/>
      <c r="VB191" s="4"/>
      <c r="VC191" s="4"/>
      <c r="VD191" s="5"/>
      <c r="VE191" s="6"/>
      <c r="VF191" s="4"/>
      <c r="VG191" s="4"/>
      <c r="VH191" s="4"/>
      <c r="VI191" s="4"/>
      <c r="VJ191" s="4"/>
      <c r="VK191" s="5"/>
      <c r="VL191" s="6"/>
      <c r="VM191" s="4"/>
      <c r="VN191" s="4"/>
      <c r="VO191" s="4"/>
      <c r="VP191" s="4"/>
      <c r="VQ191" s="4"/>
      <c r="VR191" s="5"/>
      <c r="VS191" s="6"/>
      <c r="VT191" s="4"/>
      <c r="VU191" s="4"/>
      <c r="VV191" s="4"/>
      <c r="VW191" s="4"/>
      <c r="VX191" s="4"/>
      <c r="VY191" s="5"/>
      <c r="VZ191" s="6"/>
      <c r="WA191" s="4"/>
      <c r="WB191" s="4"/>
      <c r="WC191" s="4"/>
      <c r="WD191" s="4"/>
      <c r="WE191" s="4"/>
      <c r="WF191" s="5"/>
      <c r="WG191" s="6"/>
      <c r="WH191" s="4"/>
      <c r="WI191" s="4"/>
      <c r="WJ191" s="4"/>
      <c r="WK191" s="4"/>
      <c r="WL191" s="4"/>
      <c r="WM191" s="5"/>
      <c r="WN191" s="6"/>
      <c r="WO191" s="4"/>
      <c r="WP191" s="4"/>
      <c r="WQ191" s="4"/>
      <c r="WR191" s="4"/>
      <c r="WS191" s="4"/>
      <c r="WT191" s="5"/>
      <c r="WU191" s="6"/>
      <c r="WV191" s="4"/>
      <c r="WW191" s="4"/>
      <c r="WX191" s="4"/>
      <c r="WY191" s="4"/>
      <c r="WZ191" s="4"/>
      <c r="XA191" s="5"/>
      <c r="XB191" s="6"/>
      <c r="XC191" s="4"/>
      <c r="XD191" s="4"/>
      <c r="XE191" s="4"/>
      <c r="XF191" s="4"/>
      <c r="XG191" s="4"/>
      <c r="XH191" s="5"/>
      <c r="XI191" s="6"/>
      <c r="XJ191" s="4"/>
      <c r="XK191" s="4"/>
      <c r="XL191" s="4"/>
      <c r="XM191" s="4"/>
      <c r="XN191" s="4"/>
      <c r="XO191" s="5"/>
      <c r="XP191" s="6"/>
      <c r="XQ191" s="4"/>
      <c r="XR191" s="4"/>
      <c r="XS191" s="4"/>
      <c r="XT191" s="4"/>
      <c r="XU191" s="4"/>
      <c r="XV191" s="5"/>
      <c r="XW191" s="6"/>
      <c r="XX191" s="4"/>
      <c r="XY191" s="4"/>
      <c r="XZ191" s="4"/>
      <c r="YA191" s="4"/>
      <c r="YB191" s="4"/>
      <c r="YC191" s="5"/>
      <c r="YD191" s="6"/>
      <c r="YE191" s="4"/>
      <c r="YF191" s="4"/>
      <c r="YG191" s="4"/>
      <c r="YH191" s="4"/>
      <c r="YI191" s="4"/>
      <c r="YJ191" s="5"/>
      <c r="YK191" s="6"/>
      <c r="YL191" s="4"/>
      <c r="YM191" s="4"/>
      <c r="YN191" s="4"/>
      <c r="YO191" s="4"/>
      <c r="YP191" s="4"/>
      <c r="YQ191" s="5"/>
      <c r="YR191" s="6"/>
      <c r="YS191" s="4"/>
      <c r="YT191" s="4"/>
      <c r="YU191" s="4"/>
      <c r="YV191" s="4"/>
      <c r="YW191" s="4"/>
      <c r="YX191" s="5"/>
      <c r="YY191" s="6"/>
      <c r="YZ191" s="4"/>
      <c r="ZA191" s="4"/>
      <c r="ZB191" s="4"/>
      <c r="ZC191" s="4"/>
      <c r="ZD191" s="4"/>
      <c r="ZE191" s="5"/>
      <c r="ZF191" s="6"/>
      <c r="ZG191" s="4"/>
      <c r="ZH191" s="4"/>
      <c r="ZI191" s="4"/>
      <c r="ZJ191" s="4"/>
      <c r="ZK191" s="4"/>
      <c r="ZL191" s="5"/>
      <c r="ZM191" s="6"/>
      <c r="ZN191" s="4"/>
      <c r="ZO191" s="4"/>
      <c r="ZP191" s="4"/>
      <c r="ZQ191" s="4"/>
      <c r="ZR191" s="4"/>
      <c r="ZS191" s="5"/>
      <c r="ZT191" s="6"/>
      <c r="ZU191" s="4"/>
      <c r="ZV191" s="4"/>
      <c r="ZW191" s="4"/>
      <c r="ZX191" s="4"/>
      <c r="ZY191" s="4"/>
      <c r="ZZ191" s="5"/>
      <c r="AAA191" s="6"/>
      <c r="AAB191" s="4"/>
      <c r="AAC191" s="4"/>
      <c r="AAD191" s="4"/>
      <c r="AAE191" s="4"/>
      <c r="AAF191" s="4"/>
      <c r="AAG191" s="5"/>
      <c r="AAH191" s="6"/>
      <c r="AAI191" s="4"/>
      <c r="AAJ191" s="4"/>
      <c r="AAK191" s="4"/>
      <c r="AAL191" s="4"/>
      <c r="AAM191" s="4"/>
      <c r="AAN191" s="5"/>
      <c r="AAO191" s="6"/>
      <c r="AAP191" s="4"/>
      <c r="AAQ191" s="4"/>
      <c r="AAR191" s="4"/>
      <c r="AAS191" s="4"/>
      <c r="AAT191" s="4"/>
      <c r="AAU191" s="5"/>
      <c r="AAV191" s="6"/>
      <c r="AAW191" s="4"/>
      <c r="AAX191" s="4"/>
      <c r="AAY191" s="4"/>
      <c r="AAZ191" s="4"/>
      <c r="ABA191" s="4"/>
      <c r="ABB191" s="5"/>
      <c r="ABC191" s="6"/>
      <c r="ABD191" s="4"/>
      <c r="ABE191" s="4"/>
      <c r="ABF191" s="4"/>
      <c r="ABG191" s="4"/>
      <c r="ABH191" s="4"/>
      <c r="ABI191" s="5"/>
      <c r="ABJ191" s="6"/>
      <c r="ABK191" s="4"/>
      <c r="ABL191" s="4"/>
      <c r="ABM191" s="4"/>
      <c r="ABN191" s="4"/>
      <c r="ABO191" s="4"/>
      <c r="ABP191" s="5"/>
      <c r="ABQ191" s="6"/>
      <c r="ABR191" s="4"/>
      <c r="ABS191" s="4"/>
      <c r="ABT191" s="4"/>
      <c r="ABU191" s="4"/>
      <c r="ABV191" s="4"/>
      <c r="ABW191" s="5"/>
      <c r="ABX191" s="6"/>
      <c r="ABY191" s="4"/>
      <c r="ABZ191" s="4"/>
      <c r="ACA191" s="4"/>
      <c r="ACB191" s="4"/>
      <c r="ACC191" s="4"/>
      <c r="ACD191" s="5"/>
      <c r="ACE191" s="6"/>
      <c r="ACF191" s="4"/>
      <c r="ACG191" s="4"/>
      <c r="ACH191" s="4"/>
      <c r="ACI191" s="4"/>
      <c r="ACJ191" s="4"/>
      <c r="ACK191" s="5"/>
      <c r="ACL191" s="6"/>
      <c r="ACM191" s="4"/>
      <c r="ACN191" s="4"/>
      <c r="ACO191" s="4"/>
      <c r="ACP191" s="4"/>
      <c r="ACQ191" s="4"/>
      <c r="ACR191" s="5"/>
      <c r="ACS191" s="6"/>
      <c r="ACT191" s="4"/>
      <c r="ACU191" s="4"/>
      <c r="ACV191" s="4"/>
      <c r="ACW191" s="4"/>
      <c r="ACX191" s="4"/>
      <c r="ACY191" s="5"/>
    </row>
    <row r="192" spans="2:779" x14ac:dyDescent="0.25">
      <c r="B192" s="29">
        <v>98008657</v>
      </c>
      <c r="C192">
        <v>33</v>
      </c>
      <c r="D192" t="s">
        <v>2121</v>
      </c>
      <c r="F192" s="23" t="s">
        <v>1632</v>
      </c>
      <c r="I192">
        <v>1</v>
      </c>
      <c r="J192" s="19">
        <v>35858</v>
      </c>
      <c r="K192" s="19"/>
      <c r="L192" s="19"/>
      <c r="LL192" s="6"/>
      <c r="LM192" s="4"/>
      <c r="LN192" s="4"/>
      <c r="LO192" s="4"/>
      <c r="LP192" s="4"/>
      <c r="LQ192" s="4"/>
      <c r="LR192" s="5"/>
      <c r="LS192" s="6"/>
      <c r="LT192" s="4"/>
      <c r="LU192" s="4"/>
      <c r="LV192" s="4"/>
      <c r="LW192" s="4"/>
      <c r="LX192" s="4"/>
      <c r="LY192" s="5"/>
      <c r="LZ192" s="6" t="s">
        <v>2716</v>
      </c>
      <c r="MA192" s="7" t="s">
        <v>2799</v>
      </c>
      <c r="MB192" s="4"/>
      <c r="MC192" s="4"/>
      <c r="MD192" s="8"/>
      <c r="ME192" s="4"/>
      <c r="MF192" s="4"/>
      <c r="MG192" s="5"/>
      <c r="MH192" s="6"/>
      <c r="MI192" s="4"/>
      <c r="MJ192" s="4"/>
      <c r="MK192" s="4"/>
      <c r="ML192" s="4"/>
      <c r="MM192" s="4"/>
      <c r="MN192" s="5"/>
      <c r="MO192" s="6"/>
      <c r="MP192" s="4"/>
      <c r="MQ192" s="4"/>
      <c r="MR192" s="4"/>
      <c r="MS192" s="4"/>
      <c r="MT192" s="4"/>
      <c r="MU192" s="5"/>
      <c r="MV192" s="6"/>
      <c r="MW192" s="4"/>
      <c r="MX192" s="4"/>
      <c r="MY192" s="4"/>
      <c r="MZ192" s="4"/>
      <c r="NA192" s="4"/>
      <c r="NB192" s="5"/>
      <c r="NC192" s="6"/>
      <c r="ND192" s="4"/>
      <c r="NE192" s="4"/>
      <c r="NF192" s="4"/>
      <c r="NG192" s="4"/>
      <c r="NH192" s="4"/>
      <c r="NI192" s="5"/>
      <c r="NJ192" s="6"/>
      <c r="NK192" s="4"/>
      <c r="NL192" s="4"/>
      <c r="NM192" s="4"/>
      <c r="NN192" s="4"/>
      <c r="NO192" s="4"/>
      <c r="NP192" s="5"/>
      <c r="NQ192" s="6"/>
      <c r="NR192" s="4"/>
      <c r="NS192" s="4"/>
      <c r="NT192" s="4"/>
      <c r="NU192" s="4"/>
      <c r="NV192" s="4"/>
      <c r="NW192" s="5"/>
      <c r="NX192" s="6"/>
      <c r="NY192" s="4"/>
      <c r="NZ192" s="4"/>
      <c r="OA192" s="4"/>
      <c r="OB192" s="4"/>
      <c r="OC192" s="4"/>
      <c r="OD192" s="5"/>
      <c r="OE192" s="6"/>
      <c r="OF192" s="4"/>
      <c r="OG192" s="4"/>
      <c r="OH192" s="4"/>
      <c r="OI192" s="4"/>
      <c r="OJ192" s="4"/>
      <c r="OK192" s="5"/>
      <c r="OL192" s="6"/>
      <c r="OM192" s="4"/>
      <c r="ON192" s="4"/>
      <c r="OO192" s="4"/>
      <c r="OP192" s="4"/>
      <c r="OQ192" s="4"/>
      <c r="OR192" s="5"/>
      <c r="OS192" s="6"/>
      <c r="OT192" s="4"/>
      <c r="OU192" s="4"/>
      <c r="OV192" s="4"/>
      <c r="OW192" s="4"/>
      <c r="OX192" s="4"/>
      <c r="OY192" s="5"/>
      <c r="OZ192" s="6"/>
      <c r="PA192" s="4"/>
      <c r="PB192" s="4"/>
      <c r="PC192" s="4"/>
      <c r="PD192" s="4"/>
      <c r="PE192" s="4"/>
      <c r="PF192" s="5"/>
      <c r="PG192" s="6"/>
      <c r="PH192" s="4"/>
      <c r="PI192" s="4"/>
      <c r="PJ192" s="4"/>
      <c r="PK192" s="4"/>
      <c r="PL192" s="4"/>
      <c r="PM192" s="5"/>
      <c r="PN192" s="6"/>
      <c r="PO192" s="4"/>
      <c r="PP192" s="4"/>
      <c r="PQ192" s="4"/>
      <c r="PR192" s="4"/>
      <c r="PS192" s="4"/>
      <c r="PT192" s="5"/>
      <c r="PU192" s="6"/>
      <c r="PV192" s="4"/>
      <c r="PW192" s="4"/>
      <c r="PX192" s="4"/>
      <c r="PY192" s="4"/>
      <c r="PZ192" s="4"/>
      <c r="QA192" s="5"/>
      <c r="QB192" s="6"/>
      <c r="QC192" s="4"/>
      <c r="QD192" s="4"/>
      <c r="QE192" s="4"/>
      <c r="QF192" s="4"/>
      <c r="QG192" s="4"/>
      <c r="QH192" s="5"/>
      <c r="QI192" s="6"/>
      <c r="QJ192" s="4"/>
      <c r="QK192" s="4"/>
      <c r="QL192" s="4"/>
      <c r="QM192" s="4"/>
      <c r="QN192" s="4"/>
      <c r="QO192" s="5"/>
      <c r="QP192" s="6"/>
      <c r="QQ192" s="4"/>
      <c r="QR192" s="4"/>
      <c r="QS192" s="4"/>
      <c r="QT192" s="4"/>
      <c r="QU192" s="4"/>
      <c r="QV192" s="5"/>
      <c r="QW192" s="6"/>
      <c r="QX192" s="4"/>
      <c r="QY192" s="4"/>
      <c r="QZ192" s="4"/>
      <c r="RA192" s="4"/>
      <c r="RB192" s="4"/>
      <c r="RC192" s="5"/>
      <c r="RD192" s="6"/>
      <c r="RE192" s="4"/>
      <c r="RF192" s="4"/>
      <c r="RG192" s="4"/>
      <c r="RH192" s="4"/>
      <c r="RI192" s="4"/>
      <c r="RJ192" s="5"/>
      <c r="RK192" s="6"/>
      <c r="RL192" s="4"/>
      <c r="RM192" s="4"/>
      <c r="RN192" s="4"/>
      <c r="RO192" s="4"/>
      <c r="RP192" s="4"/>
      <c r="RQ192" s="5"/>
      <c r="RR192" s="6"/>
      <c r="RS192" s="4"/>
      <c r="RT192" s="4"/>
      <c r="RU192" s="4"/>
      <c r="RV192" s="4"/>
      <c r="RW192" s="4"/>
      <c r="RX192" s="5"/>
      <c r="RY192" s="6"/>
      <c r="RZ192" s="4"/>
      <c r="SA192" s="4"/>
      <c r="SB192" s="4"/>
      <c r="SC192" s="4"/>
      <c r="SD192" s="4"/>
      <c r="SE192" s="5"/>
      <c r="SF192" s="6"/>
      <c r="SG192" s="4"/>
      <c r="SH192" s="4"/>
      <c r="SI192" s="4"/>
      <c r="SJ192" s="4"/>
      <c r="SK192" s="4"/>
      <c r="SL192" s="5"/>
      <c r="SM192" s="6"/>
      <c r="SN192" s="4"/>
      <c r="SO192" s="4"/>
      <c r="SP192" s="4"/>
      <c r="SQ192" s="4"/>
      <c r="SR192" s="4"/>
      <c r="SS192" s="5"/>
      <c r="ST192" s="6"/>
      <c r="SU192" s="4"/>
      <c r="SV192" s="4"/>
      <c r="SW192" s="4"/>
      <c r="SX192" s="4"/>
      <c r="SY192" s="4"/>
      <c r="SZ192" s="5"/>
      <c r="TA192" s="6"/>
      <c r="TB192" s="4"/>
      <c r="TC192" s="4"/>
      <c r="TD192" s="4"/>
      <c r="TE192" s="4"/>
      <c r="TF192" s="4"/>
      <c r="TG192" s="5"/>
      <c r="TH192" s="6"/>
      <c r="TI192" s="4"/>
      <c r="TJ192" s="4"/>
      <c r="TK192" s="4"/>
      <c r="TL192" s="4"/>
      <c r="TM192" s="4"/>
      <c r="TN192" s="5"/>
      <c r="TO192" s="6"/>
      <c r="TP192" s="4"/>
      <c r="TQ192" s="4"/>
      <c r="TR192" s="4"/>
      <c r="TS192" s="4"/>
      <c r="TT192" s="4"/>
      <c r="TU192" s="5"/>
      <c r="TV192" s="6"/>
      <c r="TW192" s="4"/>
      <c r="TX192" s="4"/>
      <c r="TY192" s="4"/>
      <c r="TZ192" s="4"/>
      <c r="UA192" s="4"/>
      <c r="UB192" s="5"/>
      <c r="UC192" s="6"/>
      <c r="UD192" s="4"/>
      <c r="UE192" s="4"/>
      <c r="UF192" s="4"/>
      <c r="UG192" s="4"/>
      <c r="UH192" s="4"/>
      <c r="UI192" s="5"/>
      <c r="UJ192" s="6"/>
      <c r="UK192" s="4"/>
      <c r="UL192" s="4"/>
      <c r="UM192" s="4"/>
      <c r="UN192" s="4"/>
      <c r="UO192" s="4"/>
      <c r="UP192" s="5"/>
      <c r="UQ192" s="6"/>
      <c r="UR192" s="4"/>
      <c r="US192" s="4"/>
      <c r="UT192" s="4"/>
      <c r="UU192" s="4"/>
      <c r="UV192" s="4"/>
      <c r="UW192" s="5"/>
      <c r="UX192" s="6"/>
      <c r="UY192" s="4"/>
      <c r="UZ192" s="4"/>
      <c r="VA192" s="4"/>
      <c r="VB192" s="4"/>
      <c r="VC192" s="4"/>
      <c r="VD192" s="5"/>
      <c r="VE192" s="6"/>
      <c r="VF192" s="4"/>
      <c r="VG192" s="4"/>
      <c r="VH192" s="4"/>
      <c r="VI192" s="4"/>
      <c r="VJ192" s="4"/>
      <c r="VK192" s="5"/>
      <c r="VL192" s="6"/>
      <c r="VM192" s="4"/>
      <c r="VN192" s="4"/>
      <c r="VO192" s="4"/>
      <c r="VP192" s="4"/>
      <c r="VQ192" s="4"/>
      <c r="VR192" s="5"/>
      <c r="VS192" s="6"/>
      <c r="VT192" s="4"/>
      <c r="VU192" s="4"/>
      <c r="VV192" s="4"/>
      <c r="VW192" s="4"/>
      <c r="VX192" s="4"/>
      <c r="VY192" s="5"/>
      <c r="VZ192" s="6"/>
      <c r="WA192" s="4"/>
      <c r="WB192" s="4"/>
      <c r="WC192" s="4"/>
      <c r="WD192" s="4"/>
      <c r="WE192" s="4"/>
      <c r="WF192" s="5"/>
      <c r="WG192" s="6"/>
      <c r="WH192" s="4"/>
      <c r="WI192" s="4"/>
      <c r="WJ192" s="4"/>
      <c r="WK192" s="4"/>
      <c r="WL192" s="4"/>
      <c r="WM192" s="5"/>
      <c r="WN192" s="6"/>
      <c r="WO192" s="4"/>
      <c r="WP192" s="4"/>
      <c r="WQ192" s="4"/>
      <c r="WR192" s="4"/>
      <c r="WS192" s="4"/>
      <c r="WT192" s="5"/>
      <c r="WU192" s="6"/>
      <c r="WV192" s="4"/>
      <c r="WW192" s="4"/>
      <c r="WX192" s="4"/>
      <c r="WY192" s="4"/>
      <c r="WZ192" s="4"/>
      <c r="XA192" s="5"/>
      <c r="XB192" s="6"/>
      <c r="XC192" s="4"/>
      <c r="XD192" s="4"/>
      <c r="XE192" s="4"/>
      <c r="XF192" s="4"/>
      <c r="XG192" s="4"/>
      <c r="XH192" s="5"/>
      <c r="XI192" s="6"/>
      <c r="XJ192" s="4"/>
      <c r="XK192" s="4"/>
      <c r="XL192" s="4"/>
      <c r="XM192" s="4"/>
      <c r="XN192" s="4"/>
      <c r="XO192" s="5"/>
      <c r="XP192" s="6"/>
      <c r="XQ192" s="4"/>
      <c r="XR192" s="4"/>
      <c r="XS192" s="4"/>
      <c r="XT192" s="4"/>
      <c r="XU192" s="4"/>
      <c r="XV192" s="5"/>
      <c r="XW192" s="6"/>
      <c r="XX192" s="4"/>
      <c r="XY192" s="4"/>
      <c r="XZ192" s="4"/>
      <c r="YA192" s="4"/>
      <c r="YB192" s="4"/>
      <c r="YC192" s="5"/>
      <c r="YD192" s="6"/>
      <c r="YE192" s="4"/>
      <c r="YF192" s="4"/>
      <c r="YG192" s="4"/>
      <c r="YH192" s="4"/>
      <c r="YI192" s="4"/>
      <c r="YJ192" s="5"/>
      <c r="YK192" s="6"/>
      <c r="YL192" s="4"/>
      <c r="YM192" s="4"/>
      <c r="YN192" s="4"/>
      <c r="YO192" s="4"/>
      <c r="YP192" s="4"/>
      <c r="YQ192" s="5"/>
      <c r="YR192" s="6"/>
      <c r="YS192" s="4"/>
      <c r="YT192" s="4"/>
      <c r="YU192" s="4"/>
      <c r="YV192" s="4"/>
      <c r="YW192" s="4"/>
      <c r="YX192" s="5"/>
      <c r="YY192" s="6"/>
      <c r="YZ192" s="4"/>
      <c r="ZA192" s="4"/>
      <c r="ZB192" s="4"/>
      <c r="ZC192" s="4"/>
      <c r="ZD192" s="4"/>
      <c r="ZE192" s="5"/>
      <c r="ZF192" s="6"/>
      <c r="ZG192" s="4"/>
      <c r="ZH192" s="4"/>
      <c r="ZI192" s="4"/>
      <c r="ZJ192" s="4"/>
      <c r="ZK192" s="4"/>
      <c r="ZL192" s="5"/>
      <c r="ZM192" s="6"/>
      <c r="ZN192" s="4"/>
      <c r="ZO192" s="4"/>
      <c r="ZP192" s="4"/>
      <c r="ZQ192" s="4"/>
      <c r="ZR192" s="4"/>
      <c r="ZS192" s="5"/>
      <c r="ZT192" s="6"/>
      <c r="ZU192" s="4"/>
      <c r="ZV192" s="4"/>
      <c r="ZW192" s="4"/>
      <c r="ZX192" s="4"/>
      <c r="ZY192" s="4"/>
      <c r="ZZ192" s="5"/>
      <c r="AAA192" s="6"/>
      <c r="AAB192" s="4"/>
      <c r="AAC192" s="4"/>
      <c r="AAD192" s="4"/>
      <c r="AAE192" s="4"/>
      <c r="AAF192" s="4"/>
      <c r="AAG192" s="5"/>
      <c r="AAH192" s="6"/>
      <c r="AAI192" s="4"/>
      <c r="AAJ192" s="4"/>
      <c r="AAK192" s="4"/>
      <c r="AAL192" s="4"/>
      <c r="AAM192" s="4"/>
      <c r="AAN192" s="5"/>
      <c r="AAO192" s="6"/>
      <c r="AAP192" s="4"/>
      <c r="AAQ192" s="4"/>
      <c r="AAR192" s="4"/>
      <c r="AAS192" s="4"/>
      <c r="AAT192" s="4"/>
      <c r="AAU192" s="5"/>
      <c r="AAV192" s="6"/>
      <c r="AAW192" s="4"/>
      <c r="AAX192" s="4"/>
      <c r="AAY192" s="4"/>
      <c r="AAZ192" s="4"/>
      <c r="ABA192" s="4"/>
      <c r="ABB192" s="5"/>
      <c r="ABC192" s="6"/>
      <c r="ABD192" s="4"/>
      <c r="ABE192" s="4"/>
      <c r="ABF192" s="4"/>
      <c r="ABG192" s="4"/>
      <c r="ABH192" s="4"/>
      <c r="ABI192" s="5"/>
      <c r="ABJ192" s="6"/>
      <c r="ABK192" s="4"/>
      <c r="ABL192" s="4"/>
      <c r="ABM192" s="4"/>
      <c r="ABN192" s="4"/>
      <c r="ABO192" s="4"/>
      <c r="ABP192" s="5"/>
      <c r="ABQ192" s="6" t="s">
        <v>2717</v>
      </c>
      <c r="ABR192" s="4" t="s">
        <v>2718</v>
      </c>
      <c r="ABS192" s="4"/>
      <c r="ABT192" s="4"/>
      <c r="ABU192" s="4"/>
      <c r="ABV192" s="4"/>
      <c r="ABW192" s="5"/>
      <c r="ABX192" s="6"/>
      <c r="ABY192" s="4"/>
      <c r="ABZ192" s="4"/>
      <c r="ACA192" s="4"/>
      <c r="ACB192" s="4"/>
      <c r="ACC192" s="4"/>
      <c r="ACD192" s="5"/>
      <c r="ACE192" s="6"/>
      <c r="ACF192" s="4"/>
      <c r="ACG192" s="4"/>
      <c r="ACH192" s="4"/>
      <c r="ACI192" s="4"/>
      <c r="ACJ192" s="4"/>
      <c r="ACK192" s="5"/>
      <c r="ACL192" s="6"/>
      <c r="ACM192" s="4"/>
      <c r="ACN192" s="4"/>
      <c r="ACO192" s="4"/>
      <c r="ACP192" s="4"/>
      <c r="ACQ192" s="4"/>
      <c r="ACR192" s="5"/>
      <c r="ACS192" s="6"/>
      <c r="ACT192" s="4"/>
      <c r="ACU192" s="4"/>
      <c r="ACV192" s="4"/>
      <c r="ACW192" s="4"/>
      <c r="ACX192" s="4"/>
      <c r="ACY192" s="5"/>
    </row>
    <row r="193" spans="1:791" x14ac:dyDescent="0.25">
      <c r="B193" s="29">
        <v>99000792</v>
      </c>
      <c r="C193">
        <v>51</v>
      </c>
      <c r="D193" t="s">
        <v>2121</v>
      </c>
      <c r="F193" s="23" t="s">
        <v>1781</v>
      </c>
      <c r="I193">
        <v>1</v>
      </c>
      <c r="J193" s="19">
        <v>36085</v>
      </c>
      <c r="K193" s="19"/>
      <c r="L193" s="19"/>
      <c r="R193">
        <v>1</v>
      </c>
      <c r="V193">
        <v>1</v>
      </c>
      <c r="Y193">
        <v>1</v>
      </c>
      <c r="AA193">
        <v>1</v>
      </c>
      <c r="AY193">
        <v>1</v>
      </c>
      <c r="BW193">
        <v>1</v>
      </c>
      <c r="FW193">
        <v>1</v>
      </c>
      <c r="IQ193">
        <v>1</v>
      </c>
      <c r="LL193" s="6"/>
      <c r="LM193" s="4"/>
      <c r="LN193" s="4"/>
      <c r="LO193" s="4"/>
      <c r="LP193" s="4"/>
      <c r="LQ193" s="4"/>
      <c r="LR193" s="5"/>
      <c r="LS193" s="6"/>
      <c r="LT193" s="4"/>
      <c r="LU193" s="4"/>
      <c r="LV193" s="4"/>
      <c r="LW193" s="4"/>
      <c r="LX193" s="4"/>
      <c r="LY193" s="5"/>
      <c r="LZ193" s="6" t="s">
        <v>2935</v>
      </c>
      <c r="MA193" s="7" t="s">
        <v>2799</v>
      </c>
      <c r="MB193" s="4"/>
      <c r="MC193" s="4"/>
      <c r="MD193" s="8"/>
      <c r="ME193" s="4"/>
      <c r="MF193" s="4"/>
      <c r="MG193" s="5"/>
      <c r="MH193" s="6"/>
      <c r="MI193" s="4"/>
      <c r="MJ193" s="4"/>
      <c r="MK193" s="4"/>
      <c r="ML193" s="4"/>
      <c r="MM193" s="4"/>
      <c r="MN193" s="5"/>
      <c r="MO193" s="6"/>
      <c r="MP193" s="4"/>
      <c r="MQ193" s="4"/>
      <c r="MR193" s="4"/>
      <c r="MS193" s="4"/>
      <c r="MT193" s="4"/>
      <c r="MU193" s="5"/>
      <c r="MV193" s="6"/>
      <c r="MW193" s="4"/>
      <c r="MX193" s="4"/>
      <c r="MY193" s="4"/>
      <c r="MZ193" s="4"/>
      <c r="NA193" s="4"/>
      <c r="NB193" s="5"/>
      <c r="NC193" s="6"/>
      <c r="ND193" s="4"/>
      <c r="NE193" s="4"/>
      <c r="NF193" s="4"/>
      <c r="NG193" s="4"/>
      <c r="NH193" s="4"/>
      <c r="NI193" s="5"/>
      <c r="NJ193" s="6"/>
      <c r="NK193" s="4"/>
      <c r="NL193" s="4"/>
      <c r="NM193" s="4"/>
      <c r="NN193" s="4"/>
      <c r="NO193" s="4"/>
      <c r="NP193" s="5"/>
      <c r="NQ193" s="6" t="s">
        <v>2934</v>
      </c>
      <c r="NR193" s="4" t="s">
        <v>2172</v>
      </c>
      <c r="NS193" s="4"/>
      <c r="NT193" s="4"/>
      <c r="NU193" s="4"/>
      <c r="NV193" s="4"/>
      <c r="NW193" s="5"/>
      <c r="NX193" s="6"/>
      <c r="NY193" s="4"/>
      <c r="NZ193" s="4"/>
      <c r="OA193" s="4"/>
      <c r="OB193" s="4"/>
      <c r="OC193" s="4"/>
      <c r="OD193" s="5"/>
      <c r="OE193" s="6"/>
      <c r="OF193" s="4"/>
      <c r="OG193" s="4"/>
      <c r="OH193" s="4"/>
      <c r="OI193" s="4"/>
      <c r="OJ193" s="4"/>
      <c r="OK193" s="5"/>
      <c r="OL193" s="6"/>
      <c r="OM193" s="4"/>
      <c r="ON193" s="4"/>
      <c r="OO193" s="4"/>
      <c r="OP193" s="4"/>
      <c r="OQ193" s="4"/>
      <c r="OR193" s="5"/>
      <c r="OS193" s="6"/>
      <c r="OT193" s="4"/>
      <c r="OU193" s="4"/>
      <c r="OV193" s="4"/>
      <c r="OW193" s="4"/>
      <c r="OX193" s="4"/>
      <c r="OY193" s="5"/>
      <c r="OZ193" s="6" t="s">
        <v>3051</v>
      </c>
      <c r="PA193" s="4" t="s">
        <v>3052</v>
      </c>
      <c r="PB193" s="4"/>
      <c r="PC193" s="4"/>
      <c r="PD193" s="4"/>
      <c r="PE193" s="4"/>
      <c r="PF193" s="5"/>
      <c r="PG193" s="6"/>
      <c r="PH193" s="4"/>
      <c r="PI193" s="4"/>
      <c r="PJ193" s="4"/>
      <c r="PK193" s="4"/>
      <c r="PL193" s="4"/>
      <c r="PM193" s="5"/>
      <c r="PN193" s="6"/>
      <c r="PO193" s="4"/>
      <c r="PP193" s="4"/>
      <c r="PQ193" s="4"/>
      <c r="PR193" s="4"/>
      <c r="PS193" s="4"/>
      <c r="PT193" s="5"/>
      <c r="PU193" s="6"/>
      <c r="PV193" s="4"/>
      <c r="PW193" s="4"/>
      <c r="PX193" s="4"/>
      <c r="PY193" s="4"/>
      <c r="PZ193" s="4"/>
      <c r="QA193" s="5"/>
      <c r="QB193" s="6"/>
      <c r="QC193" s="4"/>
      <c r="QD193" s="4"/>
      <c r="QE193" s="4"/>
      <c r="QF193" s="4"/>
      <c r="QG193" s="4"/>
      <c r="QH193" s="5"/>
      <c r="QI193" s="6"/>
      <c r="QJ193" s="4"/>
      <c r="QK193" s="4"/>
      <c r="QL193" s="4"/>
      <c r="QM193" s="4"/>
      <c r="QN193" s="4"/>
      <c r="QO193" s="5"/>
      <c r="QP193" s="6"/>
      <c r="QQ193" s="4"/>
      <c r="QR193" s="4"/>
      <c r="QS193" s="4"/>
      <c r="QT193" s="4"/>
      <c r="QU193" s="4"/>
      <c r="QV193" s="5"/>
      <c r="QW193" s="6" t="s">
        <v>2797</v>
      </c>
      <c r="QX193" s="4" t="s">
        <v>2933</v>
      </c>
      <c r="QY193" s="4"/>
      <c r="QZ193" s="4"/>
      <c r="RA193" s="4"/>
      <c r="RB193" s="4"/>
      <c r="RC193" s="5"/>
      <c r="RD193" s="6"/>
      <c r="RE193" s="4"/>
      <c r="RF193" s="4"/>
      <c r="RG193" s="4"/>
      <c r="RH193" s="4"/>
      <c r="RI193" s="4"/>
      <c r="RJ193" s="5"/>
      <c r="RK193" s="6"/>
      <c r="RL193" s="4"/>
      <c r="RM193" s="4"/>
      <c r="RN193" s="4"/>
      <c r="RO193" s="4"/>
      <c r="RP193" s="4"/>
      <c r="RQ193" s="5"/>
      <c r="RR193" s="6"/>
      <c r="RS193" s="4"/>
      <c r="RT193" s="4"/>
      <c r="RU193" s="4"/>
      <c r="RV193" s="4"/>
      <c r="RW193" s="4"/>
      <c r="RX193" s="5"/>
      <c r="RY193" s="6"/>
      <c r="RZ193" s="4"/>
      <c r="SA193" s="4"/>
      <c r="SB193" s="4"/>
      <c r="SC193" s="4"/>
      <c r="SD193" s="4"/>
      <c r="SE193" s="5"/>
      <c r="SF193" s="6"/>
      <c r="SG193" s="4"/>
      <c r="SH193" s="4"/>
      <c r="SI193" s="4"/>
      <c r="SJ193" s="4"/>
      <c r="SK193" s="4"/>
      <c r="SL193" s="5"/>
      <c r="SM193" s="6"/>
      <c r="SN193" s="4"/>
      <c r="SO193" s="4"/>
      <c r="SP193" s="4"/>
      <c r="SQ193" s="4"/>
      <c r="SR193" s="4"/>
      <c r="SS193" s="5"/>
      <c r="ST193" s="6"/>
      <c r="SU193" s="4"/>
      <c r="SV193" s="4"/>
      <c r="SW193" s="4"/>
      <c r="SX193" s="4"/>
      <c r="SY193" s="4"/>
      <c r="SZ193" s="5"/>
      <c r="TA193" s="6"/>
      <c r="TB193" s="4"/>
      <c r="TC193" s="4"/>
      <c r="TD193" s="4"/>
      <c r="TE193" s="4"/>
      <c r="TF193" s="4"/>
      <c r="TG193" s="5"/>
      <c r="TH193" s="6"/>
      <c r="TI193" s="4"/>
      <c r="TJ193" s="4"/>
      <c r="TK193" s="4"/>
      <c r="TL193" s="4"/>
      <c r="TM193" s="4"/>
      <c r="TN193" s="5"/>
      <c r="TO193" s="6"/>
      <c r="TP193" s="4"/>
      <c r="TQ193" s="4"/>
      <c r="TR193" s="4"/>
      <c r="TS193" s="4"/>
      <c r="TT193" s="4"/>
      <c r="TU193" s="5"/>
      <c r="TV193" s="6"/>
      <c r="TW193" s="4"/>
      <c r="TX193" s="4"/>
      <c r="TY193" s="4"/>
      <c r="TZ193" s="4"/>
      <c r="UA193" s="4"/>
      <c r="UB193" s="5"/>
      <c r="UC193" s="6"/>
      <c r="UD193" s="4"/>
      <c r="UE193" s="4"/>
      <c r="UF193" s="4"/>
      <c r="UG193" s="4"/>
      <c r="UH193" s="4"/>
      <c r="UI193" s="5"/>
      <c r="UJ193" s="6"/>
      <c r="UK193" s="4"/>
      <c r="UL193" s="4"/>
      <c r="UM193" s="4"/>
      <c r="UN193" s="4"/>
      <c r="UO193" s="4"/>
      <c r="UP193" s="5"/>
      <c r="UQ193" s="6"/>
      <c r="UR193" s="4"/>
      <c r="US193" s="4"/>
      <c r="UT193" s="4"/>
      <c r="UU193" s="4"/>
      <c r="UV193" s="4"/>
      <c r="UW193" s="5"/>
      <c r="UX193" s="6"/>
      <c r="UY193" s="4"/>
      <c r="UZ193" s="4"/>
      <c r="VA193" s="4"/>
      <c r="VB193" s="4"/>
      <c r="VC193" s="4"/>
      <c r="VD193" s="5"/>
      <c r="VE193" s="6"/>
      <c r="VF193" s="4"/>
      <c r="VG193" s="4"/>
      <c r="VH193" s="4"/>
      <c r="VI193" s="4"/>
      <c r="VJ193" s="4"/>
      <c r="VK193" s="5"/>
      <c r="VL193" s="6"/>
      <c r="VM193" s="4"/>
      <c r="VN193" s="4"/>
      <c r="VO193" s="4"/>
      <c r="VP193" s="4"/>
      <c r="VQ193" s="4"/>
      <c r="VR193" s="5"/>
      <c r="VS193" s="6"/>
      <c r="VT193" s="4"/>
      <c r="VU193" s="4"/>
      <c r="VV193" s="4"/>
      <c r="VW193" s="4"/>
      <c r="VX193" s="4"/>
      <c r="VY193" s="5"/>
      <c r="VZ193" s="6"/>
      <c r="WA193" s="4"/>
      <c r="WB193" s="4"/>
      <c r="WC193" s="4"/>
      <c r="WD193" s="4"/>
      <c r="WE193" s="4"/>
      <c r="WF193" s="5"/>
      <c r="WG193" s="6"/>
      <c r="WH193" s="4"/>
      <c r="WI193" s="4"/>
      <c r="WJ193" s="4"/>
      <c r="WK193" s="4"/>
      <c r="WL193" s="4"/>
      <c r="WM193" s="5"/>
      <c r="WN193" s="6"/>
      <c r="WO193" s="4"/>
      <c r="WP193" s="4"/>
      <c r="WQ193" s="4"/>
      <c r="WR193" s="4"/>
      <c r="WS193" s="4"/>
      <c r="WT193" s="5"/>
      <c r="WU193" s="6"/>
      <c r="WV193" s="4"/>
      <c r="WW193" s="4"/>
      <c r="WX193" s="4"/>
      <c r="WY193" s="4"/>
      <c r="WZ193" s="4"/>
      <c r="XA193" s="5"/>
      <c r="XB193" s="6"/>
      <c r="XC193" s="4"/>
      <c r="XD193" s="4"/>
      <c r="XE193" s="4"/>
      <c r="XF193" s="4"/>
      <c r="XG193" s="4"/>
      <c r="XH193" s="5"/>
      <c r="XI193" s="6"/>
      <c r="XJ193" s="4"/>
      <c r="XK193" s="4"/>
      <c r="XL193" s="4"/>
      <c r="XM193" s="4"/>
      <c r="XN193" s="4"/>
      <c r="XO193" s="5"/>
      <c r="XP193" s="6"/>
      <c r="XQ193" s="4"/>
      <c r="XR193" s="4"/>
      <c r="XS193" s="4"/>
      <c r="XT193" s="4"/>
      <c r="XU193" s="4"/>
      <c r="XV193" s="5"/>
      <c r="XW193" s="6"/>
      <c r="XX193" s="4"/>
      <c r="XY193" s="4"/>
      <c r="XZ193" s="4"/>
      <c r="YA193" s="4"/>
      <c r="YB193" s="4"/>
      <c r="YC193" s="5"/>
      <c r="YD193" s="6"/>
      <c r="YE193" s="4"/>
      <c r="YF193" s="4"/>
      <c r="YG193" s="4"/>
      <c r="YH193" s="4"/>
      <c r="YI193" s="4"/>
      <c r="YJ193" s="5"/>
      <c r="YK193" s="6"/>
      <c r="YL193" s="4"/>
      <c r="YM193" s="4"/>
      <c r="YN193" s="4"/>
      <c r="YO193" s="4"/>
      <c r="YP193" s="4"/>
      <c r="YQ193" s="5"/>
      <c r="YR193" s="6"/>
      <c r="YS193" s="4"/>
      <c r="YT193" s="4"/>
      <c r="YU193" s="4"/>
      <c r="YV193" s="4"/>
      <c r="YW193" s="4"/>
      <c r="YX193" s="5"/>
      <c r="YY193" s="6"/>
      <c r="YZ193" s="4"/>
      <c r="ZA193" s="4"/>
      <c r="ZB193" s="4"/>
      <c r="ZC193" s="4"/>
      <c r="ZD193" s="4"/>
      <c r="ZE193" s="5"/>
      <c r="ZF193" s="6"/>
      <c r="ZG193" s="4"/>
      <c r="ZH193" s="4"/>
      <c r="ZI193" s="4"/>
      <c r="ZJ193" s="4"/>
      <c r="ZK193" s="4"/>
      <c r="ZL193" s="5"/>
      <c r="ZM193" s="6"/>
      <c r="ZN193" s="4"/>
      <c r="ZO193" s="4"/>
      <c r="ZP193" s="4"/>
      <c r="ZQ193" s="4"/>
      <c r="ZR193" s="4"/>
      <c r="ZS193" s="5"/>
      <c r="ZT193" s="6"/>
      <c r="ZU193" s="4"/>
      <c r="ZV193" s="4"/>
      <c r="ZW193" s="4"/>
      <c r="ZX193" s="4"/>
      <c r="ZY193" s="4"/>
      <c r="ZZ193" s="5"/>
      <c r="AAA193" s="6"/>
      <c r="AAB193" s="4"/>
      <c r="AAC193" s="4"/>
      <c r="AAD193" s="4"/>
      <c r="AAE193" s="4"/>
      <c r="AAF193" s="4"/>
      <c r="AAG193" s="5"/>
      <c r="AAH193" s="6" t="s">
        <v>2936</v>
      </c>
      <c r="AAI193" s="4" t="s">
        <v>2937</v>
      </c>
      <c r="AAJ193" s="4"/>
      <c r="AAK193" s="4"/>
      <c r="AAL193" s="4"/>
      <c r="AAM193" s="4"/>
      <c r="AAN193" s="5"/>
      <c r="AAO193" s="6"/>
      <c r="AAP193" s="4"/>
      <c r="AAQ193" s="4"/>
      <c r="AAR193" s="4"/>
      <c r="AAS193" s="4"/>
      <c r="AAT193" s="4"/>
      <c r="AAU193" s="5"/>
      <c r="AAV193" s="6"/>
      <c r="AAW193" s="4"/>
      <c r="AAX193" s="4"/>
      <c r="AAY193" s="4"/>
      <c r="AAZ193" s="4"/>
      <c r="ABA193" s="4"/>
      <c r="ABB193" s="5"/>
      <c r="ABC193" s="6"/>
      <c r="ABD193" s="4"/>
      <c r="ABE193" s="4"/>
      <c r="ABF193" s="4"/>
      <c r="ABG193" s="4"/>
      <c r="ABH193" s="4"/>
      <c r="ABI193" s="5"/>
      <c r="ABJ193" s="6"/>
      <c r="ABK193" s="4"/>
      <c r="ABL193" s="4"/>
      <c r="ABM193" s="4"/>
      <c r="ABN193" s="4"/>
      <c r="ABO193" s="4"/>
      <c r="ABP193" s="5"/>
      <c r="ABQ193" s="6"/>
      <c r="ABR193" s="4"/>
      <c r="ABS193" s="4"/>
      <c r="ABT193" s="4"/>
      <c r="ABU193" s="4"/>
      <c r="ABV193" s="4"/>
      <c r="ABW193" s="5"/>
      <c r="ABX193" s="6"/>
      <c r="ABY193" s="4"/>
      <c r="ABZ193" s="4"/>
      <c r="ACA193" s="4"/>
      <c r="ACB193" s="4"/>
      <c r="ACC193" s="4"/>
      <c r="ACD193" s="5"/>
      <c r="ACE193" s="6"/>
      <c r="ACF193" s="4"/>
      <c r="ACG193" s="4"/>
      <c r="ACH193" s="4"/>
      <c r="ACI193" s="4"/>
      <c r="ACJ193" s="4"/>
      <c r="ACK193" s="5"/>
      <c r="ACL193" s="6"/>
      <c r="ACM193" s="4"/>
      <c r="ACN193" s="4"/>
      <c r="ACO193" s="4"/>
      <c r="ACP193" s="4"/>
      <c r="ACQ193" s="4"/>
      <c r="ACR193" s="5"/>
      <c r="ACS193" s="6"/>
      <c r="ACT193" s="4"/>
      <c r="ACU193" s="4"/>
      <c r="ACV193" s="4"/>
      <c r="ACW193" s="4"/>
      <c r="ACX193" s="4"/>
      <c r="ACY193" s="5"/>
    </row>
    <row r="194" spans="1:791" x14ac:dyDescent="0.25">
      <c r="B194" s="29">
        <v>99000793</v>
      </c>
      <c r="C194">
        <v>70</v>
      </c>
      <c r="D194" t="s">
        <v>3587</v>
      </c>
      <c r="F194" s="23" t="s">
        <v>1781</v>
      </c>
      <c r="I194">
        <v>1</v>
      </c>
      <c r="J194" s="19">
        <v>36045</v>
      </c>
      <c r="K194" s="19"/>
      <c r="L194" s="19"/>
      <c r="LL194" s="6"/>
      <c r="LM194" s="4"/>
      <c r="LN194" s="4"/>
      <c r="LO194" s="4"/>
      <c r="LP194" s="4"/>
      <c r="LQ194" s="4"/>
      <c r="LR194" s="5"/>
      <c r="LS194" s="6"/>
      <c r="LT194" s="4"/>
      <c r="LU194" s="4"/>
      <c r="LV194" s="4"/>
      <c r="LW194" s="4"/>
      <c r="LX194" s="4"/>
      <c r="LY194" s="5"/>
      <c r="LZ194" s="6" t="s">
        <v>2940</v>
      </c>
      <c r="MA194" s="7" t="s">
        <v>2799</v>
      </c>
      <c r="MB194" s="4"/>
      <c r="MC194" s="4"/>
      <c r="MD194" s="8"/>
      <c r="ME194" s="4"/>
      <c r="MF194" s="4"/>
      <c r="MG194" s="5"/>
      <c r="MH194" s="6"/>
      <c r="MI194" s="4"/>
      <c r="MJ194" s="4"/>
      <c r="MK194" s="4"/>
      <c r="ML194" s="4"/>
      <c r="MM194" s="4"/>
      <c r="MN194" s="5"/>
      <c r="MO194" s="6"/>
      <c r="MP194" s="4"/>
      <c r="MQ194" s="4"/>
      <c r="MR194" s="4"/>
      <c r="MS194" s="4"/>
      <c r="MT194" s="4"/>
      <c r="MU194" s="5"/>
      <c r="MV194" s="6"/>
      <c r="MW194" s="4"/>
      <c r="MX194" s="4"/>
      <c r="MY194" s="4"/>
      <c r="MZ194" s="4"/>
      <c r="NA194" s="4"/>
      <c r="NB194" s="5"/>
      <c r="NC194" s="6" t="s">
        <v>2572</v>
      </c>
      <c r="ND194" s="4" t="s">
        <v>2465</v>
      </c>
      <c r="NE194" s="4"/>
      <c r="NF194" s="4"/>
      <c r="NG194" s="4"/>
      <c r="NH194" s="4"/>
      <c r="NI194" s="5"/>
      <c r="NJ194" s="6"/>
      <c r="NK194" s="4"/>
      <c r="NL194" s="4"/>
      <c r="NM194" s="4"/>
      <c r="NN194" s="4"/>
      <c r="NO194" s="4"/>
      <c r="NP194" s="5"/>
      <c r="NQ194" s="6"/>
      <c r="NR194" s="4"/>
      <c r="NS194" s="4"/>
      <c r="NT194" s="4"/>
      <c r="NU194" s="4"/>
      <c r="NV194" s="4"/>
      <c r="NW194" s="5"/>
      <c r="NX194" s="6"/>
      <c r="NY194" s="4"/>
      <c r="NZ194" s="4"/>
      <c r="OA194" s="4"/>
      <c r="OB194" s="4"/>
      <c r="OC194" s="4"/>
      <c r="OD194" s="5"/>
      <c r="OE194" s="6"/>
      <c r="OF194" s="4"/>
      <c r="OG194" s="4"/>
      <c r="OH194" s="4"/>
      <c r="OI194" s="4"/>
      <c r="OJ194" s="4"/>
      <c r="OK194" s="5"/>
      <c r="OL194" s="6"/>
      <c r="OM194" s="4"/>
      <c r="ON194" s="4"/>
      <c r="OO194" s="4"/>
      <c r="OP194" s="4"/>
      <c r="OQ194" s="4"/>
      <c r="OR194" s="5"/>
      <c r="OS194" s="6"/>
      <c r="OT194" s="4"/>
      <c r="OU194" s="4"/>
      <c r="OV194" s="4"/>
      <c r="OW194" s="4"/>
      <c r="OX194" s="4"/>
      <c r="OY194" s="5"/>
      <c r="OZ194" s="6"/>
      <c r="PA194" s="4"/>
      <c r="PB194" s="4"/>
      <c r="PC194" s="4"/>
      <c r="PD194" s="4"/>
      <c r="PE194" s="4"/>
      <c r="PF194" s="5"/>
      <c r="PG194" s="6"/>
      <c r="PH194" s="4"/>
      <c r="PI194" s="4"/>
      <c r="PJ194" s="4"/>
      <c r="PK194" s="4"/>
      <c r="PL194" s="4"/>
      <c r="PM194" s="5"/>
      <c r="PN194" s="6"/>
      <c r="PO194" s="4"/>
      <c r="PP194" s="4"/>
      <c r="PQ194" s="4"/>
      <c r="PR194" s="4"/>
      <c r="PS194" s="4"/>
      <c r="PT194" s="5"/>
      <c r="PU194" s="6"/>
      <c r="PV194" s="4"/>
      <c r="PW194" s="4"/>
      <c r="PX194" s="4"/>
      <c r="PY194" s="4"/>
      <c r="PZ194" s="4"/>
      <c r="QA194" s="5"/>
      <c r="QB194" s="6"/>
      <c r="QC194" s="4"/>
      <c r="QD194" s="4"/>
      <c r="QE194" s="4"/>
      <c r="QF194" s="4"/>
      <c r="QG194" s="4"/>
      <c r="QH194" s="5"/>
      <c r="QI194" s="6"/>
      <c r="QJ194" s="4"/>
      <c r="QK194" s="4"/>
      <c r="QL194" s="4"/>
      <c r="QM194" s="4"/>
      <c r="QN194" s="4"/>
      <c r="QO194" s="5"/>
      <c r="QP194" s="6"/>
      <c r="QQ194" s="4"/>
      <c r="QR194" s="4"/>
      <c r="QS194" s="4"/>
      <c r="QT194" s="4"/>
      <c r="QU194" s="4"/>
      <c r="QV194" s="5"/>
      <c r="QW194" s="6"/>
      <c r="QX194" s="4"/>
      <c r="QY194" s="4"/>
      <c r="QZ194" s="4"/>
      <c r="RA194" s="4"/>
      <c r="RB194" s="4"/>
      <c r="RC194" s="5"/>
      <c r="RD194" s="6"/>
      <c r="RE194" s="4"/>
      <c r="RF194" s="4"/>
      <c r="RG194" s="4"/>
      <c r="RH194" s="4"/>
      <c r="RI194" s="4"/>
      <c r="RJ194" s="5"/>
      <c r="RK194" s="6"/>
      <c r="RL194" s="4"/>
      <c r="RM194" s="4"/>
      <c r="RN194" s="4"/>
      <c r="RO194" s="4"/>
      <c r="RP194" s="4"/>
      <c r="RQ194" s="5"/>
      <c r="RR194" s="6"/>
      <c r="RS194" s="4"/>
      <c r="RT194" s="4"/>
      <c r="RU194" s="4"/>
      <c r="RV194" s="4"/>
      <c r="RW194" s="4"/>
      <c r="RX194" s="5"/>
      <c r="RY194" s="6"/>
      <c r="RZ194" s="4"/>
      <c r="SA194" s="4"/>
      <c r="SB194" s="4"/>
      <c r="SC194" s="4"/>
      <c r="SD194" s="4"/>
      <c r="SE194" s="5"/>
      <c r="SF194" s="6"/>
      <c r="SG194" s="4"/>
      <c r="SH194" s="4"/>
      <c r="SI194" s="4"/>
      <c r="SJ194" s="4"/>
      <c r="SK194" s="4"/>
      <c r="SL194" s="5"/>
      <c r="SM194" s="6"/>
      <c r="SN194" s="4"/>
      <c r="SO194" s="4"/>
      <c r="SP194" s="4"/>
      <c r="SQ194" s="4"/>
      <c r="SR194" s="4"/>
      <c r="SS194" s="5"/>
      <c r="ST194" s="6"/>
      <c r="SU194" s="4"/>
      <c r="SV194" s="4"/>
      <c r="SW194" s="4"/>
      <c r="SX194" s="4"/>
      <c r="SY194" s="4"/>
      <c r="SZ194" s="5"/>
      <c r="TA194" s="6"/>
      <c r="TB194" s="4"/>
      <c r="TC194" s="4"/>
      <c r="TD194" s="4"/>
      <c r="TE194" s="4"/>
      <c r="TF194" s="4"/>
      <c r="TG194" s="5"/>
      <c r="TH194" s="6"/>
      <c r="TI194" s="4"/>
      <c r="TJ194" s="4"/>
      <c r="TK194" s="4"/>
      <c r="TL194" s="4"/>
      <c r="TM194" s="4"/>
      <c r="TN194" s="5"/>
      <c r="TO194" s="6"/>
      <c r="TP194" s="4"/>
      <c r="TQ194" s="4"/>
      <c r="TR194" s="4"/>
      <c r="TS194" s="4"/>
      <c r="TT194" s="4"/>
      <c r="TU194" s="5"/>
      <c r="TV194" s="6"/>
      <c r="TW194" s="4"/>
      <c r="TX194" s="4"/>
      <c r="TY194" s="4"/>
      <c r="TZ194" s="4"/>
      <c r="UA194" s="4"/>
      <c r="UB194" s="5"/>
      <c r="UC194" s="6"/>
      <c r="UD194" s="4"/>
      <c r="UE194" s="4"/>
      <c r="UF194" s="4"/>
      <c r="UG194" s="4"/>
      <c r="UH194" s="4"/>
      <c r="UI194" s="5"/>
      <c r="UJ194" s="6"/>
      <c r="UK194" s="4"/>
      <c r="UL194" s="4"/>
      <c r="UM194" s="4"/>
      <c r="UN194" s="4"/>
      <c r="UO194" s="4"/>
      <c r="UP194" s="5"/>
      <c r="UQ194" s="6"/>
      <c r="UR194" s="4"/>
      <c r="US194" s="4"/>
      <c r="UT194" s="4"/>
      <c r="UU194" s="4"/>
      <c r="UV194" s="4"/>
      <c r="UW194" s="5"/>
      <c r="UX194" s="6"/>
      <c r="UY194" s="4"/>
      <c r="UZ194" s="4"/>
      <c r="VA194" s="4"/>
      <c r="VB194" s="4"/>
      <c r="VC194" s="4"/>
      <c r="VD194" s="5"/>
      <c r="VE194" s="6"/>
      <c r="VF194" s="4"/>
      <c r="VG194" s="4"/>
      <c r="VH194" s="4"/>
      <c r="VI194" s="4"/>
      <c r="VJ194" s="4"/>
      <c r="VK194" s="5"/>
      <c r="VL194" s="6"/>
      <c r="VM194" s="4"/>
      <c r="VN194" s="4"/>
      <c r="VO194" s="4"/>
      <c r="VP194" s="4"/>
      <c r="VQ194" s="4"/>
      <c r="VR194" s="5"/>
      <c r="VS194" s="6"/>
      <c r="VT194" s="4"/>
      <c r="VU194" s="4"/>
      <c r="VV194" s="4"/>
      <c r="VW194" s="4"/>
      <c r="VX194" s="4"/>
      <c r="VY194" s="5"/>
      <c r="VZ194" s="6"/>
      <c r="WA194" s="4"/>
      <c r="WB194" s="4"/>
      <c r="WC194" s="4"/>
      <c r="WD194" s="4"/>
      <c r="WE194" s="4"/>
      <c r="WF194" s="5"/>
      <c r="WG194" s="6"/>
      <c r="WH194" s="4"/>
      <c r="WI194" s="4"/>
      <c r="WJ194" s="4"/>
      <c r="WK194" s="4"/>
      <c r="WL194" s="4"/>
      <c r="WM194" s="5"/>
      <c r="WN194" s="6"/>
      <c r="WO194" s="4"/>
      <c r="WP194" s="4"/>
      <c r="WQ194" s="4"/>
      <c r="WR194" s="4"/>
      <c r="WS194" s="4"/>
      <c r="WT194" s="5"/>
      <c r="WU194" s="6"/>
      <c r="WV194" s="4"/>
      <c r="WW194" s="4"/>
      <c r="WX194" s="4"/>
      <c r="WY194" s="4"/>
      <c r="WZ194" s="4"/>
      <c r="XA194" s="5"/>
      <c r="XB194" s="6"/>
      <c r="XC194" s="4"/>
      <c r="XD194" s="4"/>
      <c r="XE194" s="4"/>
      <c r="XF194" s="4"/>
      <c r="XG194" s="4"/>
      <c r="XH194" s="5"/>
      <c r="XI194" s="6"/>
      <c r="XJ194" s="4"/>
      <c r="XK194" s="4"/>
      <c r="XL194" s="4"/>
      <c r="XM194" s="4"/>
      <c r="XN194" s="4"/>
      <c r="XO194" s="5"/>
      <c r="XP194" s="6"/>
      <c r="XQ194" s="4"/>
      <c r="XR194" s="4"/>
      <c r="XS194" s="4"/>
      <c r="XT194" s="4"/>
      <c r="XU194" s="4"/>
      <c r="XV194" s="5"/>
      <c r="XW194" s="6"/>
      <c r="XX194" s="4"/>
      <c r="XY194" s="4"/>
      <c r="XZ194" s="4"/>
      <c r="YA194" s="4"/>
      <c r="YB194" s="4"/>
      <c r="YC194" s="5"/>
      <c r="YD194" s="6"/>
      <c r="YE194" s="4"/>
      <c r="YF194" s="4"/>
      <c r="YG194" s="4"/>
      <c r="YH194" s="4"/>
      <c r="YI194" s="4"/>
      <c r="YJ194" s="5"/>
      <c r="YK194" s="6"/>
      <c r="YL194" s="4"/>
      <c r="YM194" s="4"/>
      <c r="YN194" s="4"/>
      <c r="YO194" s="4"/>
      <c r="YP194" s="4"/>
      <c r="YQ194" s="5"/>
      <c r="YR194" s="6"/>
      <c r="YS194" s="4"/>
      <c r="YT194" s="4"/>
      <c r="YU194" s="4"/>
      <c r="YV194" s="4"/>
      <c r="YW194" s="4"/>
      <c r="YX194" s="5"/>
      <c r="YY194" s="6"/>
      <c r="YZ194" s="4"/>
      <c r="ZA194" s="4"/>
      <c r="ZB194" s="4"/>
      <c r="ZC194" s="4"/>
      <c r="ZD194" s="4"/>
      <c r="ZE194" s="5"/>
      <c r="ZF194" s="6"/>
      <c r="ZG194" s="4"/>
      <c r="ZH194" s="4"/>
      <c r="ZI194" s="4"/>
      <c r="ZJ194" s="4"/>
      <c r="ZK194" s="4"/>
      <c r="ZL194" s="5"/>
      <c r="ZM194" s="6"/>
      <c r="ZN194" s="4"/>
      <c r="ZO194" s="4"/>
      <c r="ZP194" s="4"/>
      <c r="ZQ194" s="4"/>
      <c r="ZR194" s="4"/>
      <c r="ZS194" s="5"/>
      <c r="ZT194" s="6"/>
      <c r="ZU194" s="4"/>
      <c r="ZV194" s="4"/>
      <c r="ZW194" s="4"/>
      <c r="ZX194" s="4"/>
      <c r="ZY194" s="4"/>
      <c r="ZZ194" s="5"/>
      <c r="AAA194" s="6"/>
      <c r="AAB194" s="4"/>
      <c r="AAC194" s="4"/>
      <c r="AAD194" s="4"/>
      <c r="AAE194" s="4"/>
      <c r="AAF194" s="4"/>
      <c r="AAG194" s="5"/>
      <c r="AAH194" s="6"/>
      <c r="AAI194" s="4"/>
      <c r="AAJ194" s="4"/>
      <c r="AAK194" s="4"/>
      <c r="AAL194" s="4"/>
      <c r="AAM194" s="4"/>
      <c r="AAN194" s="5"/>
      <c r="AAO194" s="6"/>
      <c r="AAP194" s="4"/>
      <c r="AAQ194" s="4"/>
      <c r="AAR194" s="4"/>
      <c r="AAS194" s="4"/>
      <c r="AAT194" s="4"/>
      <c r="AAU194" s="5"/>
      <c r="AAV194" s="6"/>
      <c r="AAW194" s="4"/>
      <c r="AAX194" s="4"/>
      <c r="AAY194" s="4"/>
      <c r="AAZ194" s="4"/>
      <c r="ABA194" s="4"/>
      <c r="ABB194" s="5"/>
      <c r="ABC194" s="6"/>
      <c r="ABD194" s="4"/>
      <c r="ABE194" s="4"/>
      <c r="ABF194" s="4"/>
      <c r="ABG194" s="4"/>
      <c r="ABH194" s="4"/>
      <c r="ABI194" s="5"/>
      <c r="ABJ194" s="6"/>
      <c r="ABK194" s="4"/>
      <c r="ABL194" s="4"/>
      <c r="ABM194" s="4"/>
      <c r="ABN194" s="4"/>
      <c r="ABO194" s="4"/>
      <c r="ABP194" s="5"/>
      <c r="ABQ194" s="6" t="s">
        <v>2938</v>
      </c>
      <c r="ABR194" s="4" t="s">
        <v>2939</v>
      </c>
      <c r="ABS194" s="4"/>
      <c r="ABT194" s="4"/>
      <c r="ABU194" s="4"/>
      <c r="ABV194" s="4"/>
      <c r="ABW194" s="5"/>
      <c r="ABX194" s="6"/>
      <c r="ABY194" s="4"/>
      <c r="ABZ194" s="4"/>
      <c r="ACA194" s="4"/>
      <c r="ACB194" s="4"/>
      <c r="ACC194" s="4"/>
      <c r="ACD194" s="5"/>
      <c r="ACE194" s="6"/>
      <c r="ACF194" s="4"/>
      <c r="ACG194" s="4"/>
      <c r="ACH194" s="4"/>
      <c r="ACI194" s="4"/>
      <c r="ACJ194" s="4"/>
      <c r="ACK194" s="5"/>
      <c r="ACL194" s="6"/>
      <c r="ACM194" s="4"/>
      <c r="ACN194" s="4"/>
      <c r="ACO194" s="4"/>
      <c r="ACP194" s="4"/>
      <c r="ACQ194" s="4"/>
      <c r="ACR194" s="5"/>
      <c r="ACS194" s="6"/>
      <c r="ACT194" s="4"/>
      <c r="ACU194" s="4"/>
      <c r="ACV194" s="4"/>
      <c r="ACW194" s="4"/>
      <c r="ACX194" s="4"/>
      <c r="ACY194" s="5"/>
    </row>
    <row r="195" spans="1:791" x14ac:dyDescent="0.25">
      <c r="A195" t="s">
        <v>4244</v>
      </c>
      <c r="B195" s="29">
        <v>99000802</v>
      </c>
      <c r="C195">
        <v>47</v>
      </c>
      <c r="D195" t="s">
        <v>2121</v>
      </c>
      <c r="F195" s="23" t="s">
        <v>1781</v>
      </c>
      <c r="I195">
        <v>1</v>
      </c>
      <c r="J195" s="19">
        <v>36141</v>
      </c>
      <c r="K195" s="19"/>
      <c r="L195" s="19"/>
      <c r="M195">
        <v>1</v>
      </c>
      <c r="N195" s="17">
        <v>36141</v>
      </c>
      <c r="AQ195">
        <v>1</v>
      </c>
      <c r="AT195">
        <v>1</v>
      </c>
      <c r="LL195" s="6"/>
      <c r="LM195" s="4"/>
      <c r="LN195" s="4"/>
      <c r="LO195" s="4"/>
      <c r="LP195" s="4"/>
      <c r="LQ195" s="4"/>
      <c r="LR195" s="5"/>
      <c r="LS195" s="6"/>
      <c r="LT195" s="4"/>
      <c r="LU195" s="4"/>
      <c r="LV195" s="4"/>
      <c r="LW195" s="4"/>
      <c r="LX195" s="4"/>
      <c r="LY195" s="5"/>
      <c r="LZ195" s="6" t="s">
        <v>3082</v>
      </c>
      <c r="MA195" s="7" t="s">
        <v>2799</v>
      </c>
      <c r="MB195" s="4"/>
      <c r="MC195" s="4"/>
      <c r="MD195" s="8"/>
      <c r="ME195" s="4"/>
      <c r="MF195" s="4"/>
      <c r="MG195" s="5"/>
      <c r="MH195" s="6"/>
      <c r="MI195" s="4"/>
      <c r="MJ195" s="4"/>
      <c r="MK195" s="4"/>
      <c r="ML195" s="4"/>
      <c r="MM195" s="4"/>
      <c r="MN195" s="5"/>
      <c r="MO195" s="6"/>
      <c r="MP195" s="4"/>
      <c r="MQ195" s="4"/>
      <c r="MR195" s="4"/>
      <c r="MS195" s="4"/>
      <c r="MT195" s="4"/>
      <c r="MU195" s="5"/>
      <c r="MV195" s="6"/>
      <c r="MW195" s="4"/>
      <c r="MX195" s="4"/>
      <c r="MY195" s="4"/>
      <c r="MZ195" s="4"/>
      <c r="NA195" s="4"/>
      <c r="NB195" s="5"/>
      <c r="NC195" s="6"/>
      <c r="ND195" s="4"/>
      <c r="NE195" s="4"/>
      <c r="NF195" s="4"/>
      <c r="NG195" s="4"/>
      <c r="NH195" s="4"/>
      <c r="NI195" s="5"/>
      <c r="NJ195" s="6"/>
      <c r="NK195" s="4"/>
      <c r="NL195" s="4"/>
      <c r="NM195" s="4"/>
      <c r="NN195" s="4"/>
      <c r="NO195" s="4"/>
      <c r="NP195" s="5"/>
      <c r="NQ195" s="6"/>
      <c r="NR195" s="4"/>
      <c r="NS195" s="4"/>
      <c r="NT195" s="4"/>
      <c r="NU195" s="4"/>
      <c r="NV195" s="4"/>
      <c r="NW195" s="5"/>
      <c r="NX195" s="6"/>
      <c r="NY195" s="4"/>
      <c r="NZ195" s="4"/>
      <c r="OA195" s="4"/>
      <c r="OB195" s="4"/>
      <c r="OC195" s="4"/>
      <c r="OD195" s="5"/>
      <c r="OE195" s="6"/>
      <c r="OF195" s="4"/>
      <c r="OG195" s="4"/>
      <c r="OH195" s="4"/>
      <c r="OI195" s="4"/>
      <c r="OJ195" s="4"/>
      <c r="OK195" s="5"/>
      <c r="OL195" s="6"/>
      <c r="OM195" s="4"/>
      <c r="ON195" s="4"/>
      <c r="OO195" s="4"/>
      <c r="OP195" s="4"/>
      <c r="OQ195" s="4"/>
      <c r="OR195" s="5"/>
      <c r="OS195" s="6"/>
      <c r="OT195" s="4"/>
      <c r="OU195" s="4"/>
      <c r="OV195" s="4"/>
      <c r="OW195" s="4"/>
      <c r="OX195" s="4"/>
      <c r="OY195" s="5"/>
      <c r="OZ195" s="6"/>
      <c r="PA195" s="4"/>
      <c r="PB195" s="4"/>
      <c r="PC195" s="4"/>
      <c r="PD195" s="4"/>
      <c r="PE195" s="4"/>
      <c r="PF195" s="5"/>
      <c r="PG195" s="6"/>
      <c r="PH195" s="4"/>
      <c r="PI195" s="4"/>
      <c r="PJ195" s="4"/>
      <c r="PK195" s="4"/>
      <c r="PL195" s="4"/>
      <c r="PM195" s="5"/>
      <c r="PN195" s="6"/>
      <c r="PO195" s="4"/>
      <c r="PP195" s="4"/>
      <c r="PQ195" s="4"/>
      <c r="PR195" s="4"/>
      <c r="PS195" s="4"/>
      <c r="PT195" s="5"/>
      <c r="PU195" s="6"/>
      <c r="PV195" s="4"/>
      <c r="PW195" s="4"/>
      <c r="PX195" s="4"/>
      <c r="PY195" s="4"/>
      <c r="PZ195" s="4"/>
      <c r="QA195" s="5"/>
      <c r="QB195" s="6"/>
      <c r="QC195" s="4"/>
      <c r="QD195" s="4"/>
      <c r="QE195" s="4"/>
      <c r="QF195" s="4"/>
      <c r="QG195" s="4"/>
      <c r="QH195" s="5"/>
      <c r="QI195" s="6"/>
      <c r="QJ195" s="4"/>
      <c r="QK195" s="4"/>
      <c r="QL195" s="4"/>
      <c r="QM195" s="4"/>
      <c r="QN195" s="4"/>
      <c r="QO195" s="5"/>
      <c r="QP195" s="6"/>
      <c r="QQ195" s="4"/>
      <c r="QR195" s="4"/>
      <c r="QS195" s="4"/>
      <c r="QT195" s="4"/>
      <c r="QU195" s="4"/>
      <c r="QV195" s="5"/>
      <c r="QW195" s="6"/>
      <c r="QX195" s="4"/>
      <c r="QY195" s="4"/>
      <c r="QZ195" s="4"/>
      <c r="RA195" s="4"/>
      <c r="RB195" s="4"/>
      <c r="RC195" s="5"/>
      <c r="RD195" s="6"/>
      <c r="RE195" s="4"/>
      <c r="RF195" s="4"/>
      <c r="RG195" s="4"/>
      <c r="RH195" s="4"/>
      <c r="RI195" s="4"/>
      <c r="RJ195" s="5"/>
      <c r="RK195" s="6"/>
      <c r="RL195" s="4"/>
      <c r="RM195" s="4"/>
      <c r="RN195" s="4"/>
      <c r="RO195" s="4"/>
      <c r="RP195" s="4"/>
      <c r="RQ195" s="5"/>
      <c r="RR195" s="6"/>
      <c r="RS195" s="4"/>
      <c r="RT195" s="4"/>
      <c r="RU195" s="4"/>
      <c r="RV195" s="4"/>
      <c r="RW195" s="4"/>
      <c r="RX195" s="5"/>
      <c r="RY195" s="6"/>
      <c r="RZ195" s="4"/>
      <c r="SA195" s="4"/>
      <c r="SB195" s="4"/>
      <c r="SC195" s="4"/>
      <c r="SD195" s="4"/>
      <c r="SE195" s="5"/>
      <c r="SF195" s="6"/>
      <c r="SG195" s="4"/>
      <c r="SH195" s="4"/>
      <c r="SI195" s="4"/>
      <c r="SJ195" s="4"/>
      <c r="SK195" s="4"/>
      <c r="SL195" s="5"/>
      <c r="SM195" s="6"/>
      <c r="SN195" s="4"/>
      <c r="SO195" s="4"/>
      <c r="SP195" s="4"/>
      <c r="SQ195" s="4"/>
      <c r="SR195" s="4"/>
      <c r="SS195" s="5"/>
      <c r="ST195" s="6"/>
      <c r="SU195" s="4"/>
      <c r="SV195" s="4"/>
      <c r="SW195" s="4"/>
      <c r="SX195" s="4"/>
      <c r="SY195" s="4"/>
      <c r="SZ195" s="5"/>
      <c r="TA195" s="6"/>
      <c r="TB195" s="4"/>
      <c r="TC195" s="4"/>
      <c r="TD195" s="4"/>
      <c r="TE195" s="4"/>
      <c r="TF195" s="4"/>
      <c r="TG195" s="5"/>
      <c r="TH195" s="6"/>
      <c r="TI195" s="4"/>
      <c r="TJ195" s="4"/>
      <c r="TK195" s="4"/>
      <c r="TL195" s="4"/>
      <c r="TM195" s="4"/>
      <c r="TN195" s="5"/>
      <c r="TO195" s="6"/>
      <c r="TP195" s="4"/>
      <c r="TQ195" s="4"/>
      <c r="TR195" s="4"/>
      <c r="TS195" s="4"/>
      <c r="TT195" s="4"/>
      <c r="TU195" s="5"/>
      <c r="TV195" s="6"/>
      <c r="TW195" s="4"/>
      <c r="TX195" s="4"/>
      <c r="TY195" s="4"/>
      <c r="TZ195" s="4"/>
      <c r="UA195" s="4"/>
      <c r="UB195" s="5"/>
      <c r="UC195" s="6"/>
      <c r="UD195" s="4"/>
      <c r="UE195" s="4"/>
      <c r="UF195" s="4"/>
      <c r="UG195" s="4"/>
      <c r="UH195" s="4"/>
      <c r="UI195" s="5"/>
      <c r="UJ195" s="6"/>
      <c r="UK195" s="4"/>
      <c r="UL195" s="4"/>
      <c r="UM195" s="4"/>
      <c r="UN195" s="4"/>
      <c r="UO195" s="4"/>
      <c r="UP195" s="5"/>
      <c r="UQ195" s="6"/>
      <c r="UR195" s="4"/>
      <c r="US195" s="4"/>
      <c r="UT195" s="4"/>
      <c r="UU195" s="4"/>
      <c r="UV195" s="4"/>
      <c r="UW195" s="5"/>
      <c r="UX195" s="6"/>
      <c r="UY195" s="4"/>
      <c r="UZ195" s="4"/>
      <c r="VA195" s="4"/>
      <c r="VB195" s="4"/>
      <c r="VC195" s="4"/>
      <c r="VD195" s="5"/>
      <c r="VE195" s="6"/>
      <c r="VF195" s="4"/>
      <c r="VG195" s="4"/>
      <c r="VH195" s="4"/>
      <c r="VI195" s="4"/>
      <c r="VJ195" s="4"/>
      <c r="VK195" s="5"/>
      <c r="VL195" s="6"/>
      <c r="VM195" s="4"/>
      <c r="VN195" s="4"/>
      <c r="VO195" s="4"/>
      <c r="VP195" s="4"/>
      <c r="VQ195" s="4"/>
      <c r="VR195" s="5"/>
      <c r="VS195" s="6"/>
      <c r="VT195" s="4"/>
      <c r="VU195" s="4"/>
      <c r="VV195" s="4"/>
      <c r="VW195" s="4"/>
      <c r="VX195" s="4"/>
      <c r="VY195" s="5"/>
      <c r="VZ195" s="6"/>
      <c r="WA195" s="4"/>
      <c r="WB195" s="4"/>
      <c r="WC195" s="4"/>
      <c r="WD195" s="4"/>
      <c r="WE195" s="4"/>
      <c r="WF195" s="5"/>
      <c r="WG195" s="6"/>
      <c r="WH195" s="4"/>
      <c r="WI195" s="4"/>
      <c r="WJ195" s="4"/>
      <c r="WK195" s="4"/>
      <c r="WL195" s="4"/>
      <c r="WM195" s="5"/>
      <c r="WN195" s="6"/>
      <c r="WO195" s="4"/>
      <c r="WP195" s="4"/>
      <c r="WQ195" s="4"/>
      <c r="WR195" s="4"/>
      <c r="WS195" s="4"/>
      <c r="WT195" s="5"/>
      <c r="WU195" s="6"/>
      <c r="WV195" s="4"/>
      <c r="WW195" s="4"/>
      <c r="WX195" s="4"/>
      <c r="WY195" s="4"/>
      <c r="WZ195" s="4"/>
      <c r="XA195" s="5"/>
      <c r="XB195" s="6"/>
      <c r="XC195" s="4"/>
      <c r="XD195" s="4"/>
      <c r="XE195" s="4"/>
      <c r="XF195" s="4"/>
      <c r="XG195" s="4"/>
      <c r="XH195" s="5"/>
      <c r="XI195" s="6"/>
      <c r="XJ195" s="4"/>
      <c r="XK195" s="4"/>
      <c r="XL195" s="4"/>
      <c r="XM195" s="4"/>
      <c r="XN195" s="4"/>
      <c r="XO195" s="5"/>
      <c r="XP195" s="6"/>
      <c r="XQ195" s="4"/>
      <c r="XR195" s="4"/>
      <c r="XS195" s="4"/>
      <c r="XT195" s="4"/>
      <c r="XU195" s="4"/>
      <c r="XV195" s="5"/>
      <c r="XW195" s="6"/>
      <c r="XX195" s="4"/>
      <c r="XY195" s="4"/>
      <c r="XZ195" s="4"/>
      <c r="YA195" s="4"/>
      <c r="YB195" s="4"/>
      <c r="YC195" s="5"/>
      <c r="YD195" s="6"/>
      <c r="YE195" s="4"/>
      <c r="YF195" s="4"/>
      <c r="YG195" s="4"/>
      <c r="YH195" s="4"/>
      <c r="YI195" s="4"/>
      <c r="YJ195" s="5"/>
      <c r="YK195" s="6" t="s">
        <v>2943</v>
      </c>
      <c r="YL195" s="4" t="s">
        <v>2944</v>
      </c>
      <c r="YM195" s="4"/>
      <c r="YN195" s="4"/>
      <c r="YO195" s="4"/>
      <c r="YP195" s="4"/>
      <c r="YQ195" s="5"/>
      <c r="YR195" s="6"/>
      <c r="YS195" s="4"/>
      <c r="YT195" s="4"/>
      <c r="YU195" s="4"/>
      <c r="YV195" s="4"/>
      <c r="YW195" s="4"/>
      <c r="YX195" s="5"/>
      <c r="YY195" s="6"/>
      <c r="YZ195" s="4"/>
      <c r="ZA195" s="4"/>
      <c r="ZB195" s="4"/>
      <c r="ZC195" s="4"/>
      <c r="ZD195" s="4"/>
      <c r="ZE195" s="5"/>
      <c r="ZF195" s="6"/>
      <c r="ZG195" s="4"/>
      <c r="ZH195" s="4"/>
      <c r="ZI195" s="4"/>
      <c r="ZJ195" s="4"/>
      <c r="ZK195" s="4"/>
      <c r="ZL195" s="5"/>
      <c r="ZM195" s="6"/>
      <c r="ZN195" s="4"/>
      <c r="ZO195" s="4"/>
      <c r="ZP195" s="4"/>
      <c r="ZQ195" s="4"/>
      <c r="ZR195" s="4"/>
      <c r="ZS195" s="5"/>
      <c r="ZT195" s="6"/>
      <c r="ZU195" s="4"/>
      <c r="ZV195" s="4"/>
      <c r="ZW195" s="4"/>
      <c r="ZX195" s="4"/>
      <c r="ZY195" s="4"/>
      <c r="ZZ195" s="5"/>
      <c r="AAA195" s="6"/>
      <c r="AAB195" s="4"/>
      <c r="AAC195" s="4"/>
      <c r="AAD195" s="4"/>
      <c r="AAE195" s="4"/>
      <c r="AAF195" s="4"/>
      <c r="AAG195" s="5"/>
      <c r="AAH195" s="6"/>
      <c r="AAI195" s="4"/>
      <c r="AAJ195" s="4"/>
      <c r="AAK195" s="4"/>
      <c r="AAL195" s="4"/>
      <c r="AAM195" s="4"/>
      <c r="AAN195" s="5"/>
      <c r="AAO195" s="6"/>
      <c r="AAP195" s="4"/>
      <c r="AAQ195" s="4"/>
      <c r="AAR195" s="4"/>
      <c r="AAS195" s="4"/>
      <c r="AAT195" s="4"/>
      <c r="AAU195" s="5"/>
      <c r="AAV195" s="6"/>
      <c r="AAW195" s="4"/>
      <c r="AAX195" s="4"/>
      <c r="AAY195" s="4"/>
      <c r="AAZ195" s="4"/>
      <c r="ABA195" s="4"/>
      <c r="ABB195" s="5"/>
      <c r="ABC195" s="6"/>
      <c r="ABD195" s="4"/>
      <c r="ABE195" s="4"/>
      <c r="ABF195" s="4"/>
      <c r="ABG195" s="4"/>
      <c r="ABH195" s="4"/>
      <c r="ABI195" s="5"/>
      <c r="ABJ195" s="6"/>
      <c r="ABK195" s="4"/>
      <c r="ABL195" s="4"/>
      <c r="ABM195" s="4"/>
      <c r="ABN195" s="4"/>
      <c r="ABO195" s="4"/>
      <c r="ABP195" s="5"/>
      <c r="ABQ195" s="6" t="s">
        <v>2945</v>
      </c>
      <c r="ABR195" s="4" t="s">
        <v>2946</v>
      </c>
      <c r="ABS195" s="4"/>
      <c r="ABT195" s="4"/>
      <c r="ABU195" s="4"/>
      <c r="ABV195" s="4"/>
      <c r="ABW195" s="5"/>
      <c r="ABX195" s="6"/>
      <c r="ABY195" s="4"/>
      <c r="ABZ195" s="4"/>
      <c r="ACA195" s="4"/>
      <c r="ACB195" s="4"/>
      <c r="ACC195" s="4"/>
      <c r="ACD195" s="5"/>
      <c r="ACE195" s="6"/>
      <c r="ACF195" s="4"/>
      <c r="ACG195" s="4"/>
      <c r="ACH195" s="4"/>
      <c r="ACI195" s="4"/>
      <c r="ACJ195" s="4"/>
      <c r="ACK195" s="5"/>
      <c r="ACL195" s="6"/>
      <c r="ACM195" s="4"/>
      <c r="ACN195" s="4"/>
      <c r="ACO195" s="4"/>
      <c r="ACP195" s="4"/>
      <c r="ACQ195" s="4"/>
      <c r="ACR195" s="5"/>
      <c r="ACS195" s="6"/>
      <c r="ACT195" s="4"/>
      <c r="ACU195" s="4"/>
      <c r="ACV195" s="4"/>
      <c r="ACW195" s="4"/>
      <c r="ACX195" s="4"/>
      <c r="ACY195" s="5"/>
    </row>
    <row r="196" spans="1:791" x14ac:dyDescent="0.25">
      <c r="B196" s="30"/>
      <c r="J196" s="12"/>
      <c r="K196" s="12"/>
      <c r="L196" s="12"/>
      <c r="LL196" s="6"/>
      <c r="LM196" s="4"/>
      <c r="LN196" s="4"/>
      <c r="LO196" s="4"/>
      <c r="LP196" s="4"/>
      <c r="LQ196" s="4"/>
      <c r="LR196" s="5"/>
      <c r="LS196" s="6"/>
      <c r="LT196" s="4"/>
      <c r="LU196" s="4"/>
      <c r="LV196" s="4"/>
      <c r="LW196" s="4"/>
      <c r="LX196" s="4"/>
      <c r="LY196" s="5"/>
      <c r="LZ196" s="6" t="s">
        <v>3083</v>
      </c>
      <c r="MA196" s="7" t="s">
        <v>3084</v>
      </c>
      <c r="MB196" s="4"/>
      <c r="MC196" s="4"/>
      <c r="MD196" s="8"/>
      <c r="ME196" s="4"/>
      <c r="MF196" s="4"/>
      <c r="MG196" s="5"/>
      <c r="MH196" s="6"/>
      <c r="MI196" s="4"/>
      <c r="MJ196" s="4"/>
      <c r="MK196" s="4"/>
      <c r="ML196" s="4"/>
      <c r="MM196" s="4"/>
      <c r="MN196" s="5"/>
      <c r="MO196" s="6"/>
      <c r="MP196" s="4"/>
      <c r="MQ196" s="4"/>
      <c r="MR196" s="4"/>
      <c r="MS196" s="4"/>
      <c r="MT196" s="4"/>
      <c r="MU196" s="5"/>
      <c r="MV196" s="6"/>
      <c r="MW196" s="4"/>
      <c r="MX196" s="4"/>
      <c r="MY196" s="4"/>
      <c r="MZ196" s="4"/>
      <c r="NA196" s="4"/>
      <c r="NB196" s="5"/>
      <c r="NC196" s="6"/>
      <c r="ND196" s="4"/>
      <c r="NE196" s="4"/>
      <c r="NF196" s="4"/>
      <c r="NG196" s="4"/>
      <c r="NH196" s="4"/>
      <c r="NI196" s="5"/>
      <c r="NJ196" s="6"/>
      <c r="NK196" s="4"/>
      <c r="NL196" s="4"/>
      <c r="NM196" s="4"/>
      <c r="NN196" s="4"/>
      <c r="NO196" s="4"/>
      <c r="NP196" s="5"/>
      <c r="NQ196" s="6"/>
      <c r="NR196" s="4"/>
      <c r="NS196" s="4"/>
      <c r="NT196" s="4"/>
      <c r="NU196" s="4"/>
      <c r="NV196" s="4"/>
      <c r="NW196" s="5"/>
      <c r="NX196" s="6"/>
      <c r="NY196" s="4"/>
      <c r="NZ196" s="4"/>
      <c r="OA196" s="4"/>
      <c r="OB196" s="4"/>
      <c r="OC196" s="4"/>
      <c r="OD196" s="5"/>
      <c r="OE196" s="6"/>
      <c r="OF196" s="4"/>
      <c r="OG196" s="4"/>
      <c r="OH196" s="4"/>
      <c r="OI196" s="4"/>
      <c r="OJ196" s="4"/>
      <c r="OK196" s="5"/>
      <c r="OL196" s="6"/>
      <c r="OM196" s="4"/>
      <c r="ON196" s="4"/>
      <c r="OO196" s="4"/>
      <c r="OP196" s="4"/>
      <c r="OQ196" s="4"/>
      <c r="OR196" s="5"/>
      <c r="OS196" s="6"/>
      <c r="OT196" s="4"/>
      <c r="OU196" s="4"/>
      <c r="OV196" s="4"/>
      <c r="OW196" s="4"/>
      <c r="OX196" s="4"/>
      <c r="OY196" s="5"/>
      <c r="OZ196" s="6"/>
      <c r="PA196" s="4"/>
      <c r="PB196" s="4"/>
      <c r="PC196" s="4"/>
      <c r="PD196" s="4"/>
      <c r="PE196" s="4"/>
      <c r="PF196" s="5"/>
      <c r="PG196" s="6"/>
      <c r="PH196" s="4"/>
      <c r="PI196" s="4"/>
      <c r="PJ196" s="4"/>
      <c r="PK196" s="4"/>
      <c r="PL196" s="4"/>
      <c r="PM196" s="5"/>
      <c r="PN196" s="6"/>
      <c r="PO196" s="4"/>
      <c r="PP196" s="4"/>
      <c r="PQ196" s="4"/>
      <c r="PR196" s="4"/>
      <c r="PS196" s="4"/>
      <c r="PT196" s="5"/>
      <c r="PU196" s="6"/>
      <c r="PV196" s="4"/>
      <c r="PW196" s="4"/>
      <c r="PX196" s="4"/>
      <c r="PY196" s="4"/>
      <c r="PZ196" s="4"/>
      <c r="QA196" s="5"/>
      <c r="QB196" s="6"/>
      <c r="QC196" s="4"/>
      <c r="QD196" s="4"/>
      <c r="QE196" s="4"/>
      <c r="QF196" s="4"/>
      <c r="QG196" s="4"/>
      <c r="QH196" s="5"/>
      <c r="QI196" s="6"/>
      <c r="QJ196" s="4"/>
      <c r="QK196" s="4"/>
      <c r="QL196" s="4"/>
      <c r="QM196" s="4"/>
      <c r="QN196" s="4"/>
      <c r="QO196" s="5"/>
      <c r="QP196" s="6"/>
      <c r="QQ196" s="4"/>
      <c r="QR196" s="4"/>
      <c r="QS196" s="4"/>
      <c r="QT196" s="4"/>
      <c r="QU196" s="4"/>
      <c r="QV196" s="5"/>
      <c r="QW196" s="6"/>
      <c r="QX196" s="4"/>
      <c r="QY196" s="4"/>
      <c r="QZ196" s="4"/>
      <c r="RA196" s="4"/>
      <c r="RB196" s="4"/>
      <c r="RC196" s="5"/>
      <c r="RD196" s="6"/>
      <c r="RE196" s="4"/>
      <c r="RF196" s="4"/>
      <c r="RG196" s="4"/>
      <c r="RH196" s="4"/>
      <c r="RI196" s="4"/>
      <c r="RJ196" s="5"/>
      <c r="RK196" s="6"/>
      <c r="RL196" s="4"/>
      <c r="RM196" s="4"/>
      <c r="RN196" s="4"/>
      <c r="RO196" s="4"/>
      <c r="RP196" s="4"/>
      <c r="RQ196" s="5"/>
      <c r="RR196" s="6"/>
      <c r="RS196" s="4"/>
      <c r="RT196" s="4"/>
      <c r="RU196" s="4"/>
      <c r="RV196" s="4"/>
      <c r="RW196" s="4"/>
      <c r="RX196" s="5"/>
      <c r="RY196" s="6"/>
      <c r="RZ196" s="4"/>
      <c r="SA196" s="4"/>
      <c r="SB196" s="4"/>
      <c r="SC196" s="4"/>
      <c r="SD196" s="4"/>
      <c r="SE196" s="5"/>
      <c r="SF196" s="6"/>
      <c r="SG196" s="4"/>
      <c r="SH196" s="4"/>
      <c r="SI196" s="4"/>
      <c r="SJ196" s="4"/>
      <c r="SK196" s="4"/>
      <c r="SL196" s="5"/>
      <c r="SM196" s="6"/>
      <c r="SN196" s="4"/>
      <c r="SO196" s="4"/>
      <c r="SP196" s="4"/>
      <c r="SQ196" s="4"/>
      <c r="SR196" s="4"/>
      <c r="SS196" s="5"/>
      <c r="ST196" s="6"/>
      <c r="SU196" s="4"/>
      <c r="SV196" s="4"/>
      <c r="SW196" s="4"/>
      <c r="SX196" s="4"/>
      <c r="SY196" s="4"/>
      <c r="SZ196" s="5"/>
      <c r="TA196" s="6"/>
      <c r="TB196" s="4"/>
      <c r="TC196" s="4"/>
      <c r="TD196" s="4"/>
      <c r="TE196" s="4"/>
      <c r="TF196" s="4"/>
      <c r="TG196" s="5"/>
      <c r="TH196" s="6"/>
      <c r="TI196" s="4"/>
      <c r="TJ196" s="4"/>
      <c r="TK196" s="4"/>
      <c r="TL196" s="4"/>
      <c r="TM196" s="4"/>
      <c r="TN196" s="5"/>
      <c r="TO196" s="6"/>
      <c r="TP196" s="4"/>
      <c r="TQ196" s="4"/>
      <c r="TR196" s="4"/>
      <c r="TS196" s="4"/>
      <c r="TT196" s="4"/>
      <c r="TU196" s="5"/>
      <c r="TV196" s="6"/>
      <c r="TW196" s="4"/>
      <c r="TX196" s="4"/>
      <c r="TY196" s="4"/>
      <c r="TZ196" s="4"/>
      <c r="UA196" s="4"/>
      <c r="UB196" s="5"/>
      <c r="UC196" s="6"/>
      <c r="UD196" s="4"/>
      <c r="UE196" s="4"/>
      <c r="UF196" s="4"/>
      <c r="UG196" s="4"/>
      <c r="UH196" s="4"/>
      <c r="UI196" s="5"/>
      <c r="UJ196" s="6"/>
      <c r="UK196" s="4"/>
      <c r="UL196" s="4"/>
      <c r="UM196" s="4"/>
      <c r="UN196" s="4"/>
      <c r="UO196" s="4"/>
      <c r="UP196" s="5"/>
      <c r="UQ196" s="6"/>
      <c r="UR196" s="4"/>
      <c r="US196" s="4"/>
      <c r="UT196" s="4"/>
      <c r="UU196" s="4"/>
      <c r="UV196" s="4"/>
      <c r="UW196" s="5"/>
      <c r="UX196" s="6"/>
      <c r="UY196" s="4"/>
      <c r="UZ196" s="4"/>
      <c r="VA196" s="4"/>
      <c r="VB196" s="4"/>
      <c r="VC196" s="4"/>
      <c r="VD196" s="5"/>
      <c r="VE196" s="6"/>
      <c r="VF196" s="4"/>
      <c r="VG196" s="4"/>
      <c r="VH196" s="4"/>
      <c r="VI196" s="4"/>
      <c r="VJ196" s="4"/>
      <c r="VK196" s="5"/>
      <c r="VL196" s="6"/>
      <c r="VM196" s="4"/>
      <c r="VN196" s="4"/>
      <c r="VO196" s="4"/>
      <c r="VP196" s="4"/>
      <c r="VQ196" s="4"/>
      <c r="VR196" s="5"/>
      <c r="VS196" s="6"/>
      <c r="VT196" s="4"/>
      <c r="VU196" s="4"/>
      <c r="VV196" s="4"/>
      <c r="VW196" s="4"/>
      <c r="VX196" s="4"/>
      <c r="VY196" s="5"/>
      <c r="VZ196" s="6"/>
      <c r="WA196" s="4"/>
      <c r="WB196" s="4"/>
      <c r="WC196" s="4"/>
      <c r="WD196" s="4"/>
      <c r="WE196" s="4"/>
      <c r="WF196" s="5"/>
      <c r="WG196" s="6"/>
      <c r="WH196" s="4"/>
      <c r="WI196" s="4"/>
      <c r="WJ196" s="4"/>
      <c r="WK196" s="4"/>
      <c r="WL196" s="4"/>
      <c r="WM196" s="5"/>
      <c r="WN196" s="6"/>
      <c r="WO196" s="4"/>
      <c r="WP196" s="4"/>
      <c r="WQ196" s="4"/>
      <c r="WR196" s="4"/>
      <c r="WS196" s="4"/>
      <c r="WT196" s="5"/>
      <c r="WU196" s="6"/>
      <c r="WV196" s="4"/>
      <c r="WW196" s="4"/>
      <c r="WX196" s="4"/>
      <c r="WY196" s="4"/>
      <c r="WZ196" s="4"/>
      <c r="XA196" s="5"/>
      <c r="XB196" s="6"/>
      <c r="XC196" s="4"/>
      <c r="XD196" s="4"/>
      <c r="XE196" s="4"/>
      <c r="XF196" s="4"/>
      <c r="XG196" s="4"/>
      <c r="XH196" s="5"/>
      <c r="XI196" s="6"/>
      <c r="XJ196" s="4"/>
      <c r="XK196" s="4"/>
      <c r="XL196" s="4"/>
      <c r="XM196" s="4"/>
      <c r="XN196" s="4"/>
      <c r="XO196" s="5"/>
      <c r="XP196" s="6"/>
      <c r="XQ196" s="4"/>
      <c r="XR196" s="4"/>
      <c r="XS196" s="4"/>
      <c r="XT196" s="4"/>
      <c r="XU196" s="4"/>
      <c r="XV196" s="5"/>
      <c r="XW196" s="6"/>
      <c r="XX196" s="4"/>
      <c r="XY196" s="4"/>
      <c r="XZ196" s="4"/>
      <c r="YA196" s="4"/>
      <c r="YB196" s="4"/>
      <c r="YC196" s="5"/>
      <c r="YD196" s="6"/>
      <c r="YE196" s="4"/>
      <c r="YF196" s="4"/>
      <c r="YG196" s="4"/>
      <c r="YH196" s="4"/>
      <c r="YI196" s="4"/>
      <c r="YJ196" s="5"/>
      <c r="YK196" s="6"/>
      <c r="YL196" s="4"/>
      <c r="YM196" s="4"/>
      <c r="YN196" s="4"/>
      <c r="YO196" s="4"/>
      <c r="YP196" s="4"/>
      <c r="YQ196" s="5"/>
      <c r="YR196" s="6"/>
      <c r="YS196" s="4"/>
      <c r="YT196" s="4"/>
      <c r="YU196" s="4"/>
      <c r="YV196" s="4"/>
      <c r="YW196" s="4"/>
      <c r="YX196" s="5"/>
      <c r="YY196" s="6"/>
      <c r="YZ196" s="4"/>
      <c r="ZA196" s="4"/>
      <c r="ZB196" s="4"/>
      <c r="ZC196" s="4"/>
      <c r="ZD196" s="4"/>
      <c r="ZE196" s="5"/>
      <c r="ZF196" s="6"/>
      <c r="ZG196" s="4"/>
      <c r="ZH196" s="4"/>
      <c r="ZI196" s="4"/>
      <c r="ZJ196" s="4"/>
      <c r="ZK196" s="4"/>
      <c r="ZL196" s="5"/>
      <c r="ZM196" s="6"/>
      <c r="ZN196" s="4"/>
      <c r="ZO196" s="4"/>
      <c r="ZP196" s="4"/>
      <c r="ZQ196" s="4"/>
      <c r="ZR196" s="4"/>
      <c r="ZS196" s="5"/>
      <c r="ZT196" s="6"/>
      <c r="ZU196" s="4"/>
      <c r="ZV196" s="4"/>
      <c r="ZW196" s="4"/>
      <c r="ZX196" s="4"/>
      <c r="ZY196" s="4"/>
      <c r="ZZ196" s="5"/>
      <c r="AAA196" s="6"/>
      <c r="AAB196" s="4"/>
      <c r="AAC196" s="4"/>
      <c r="AAD196" s="4"/>
      <c r="AAE196" s="4"/>
      <c r="AAF196" s="4"/>
      <c r="AAG196" s="5"/>
      <c r="AAH196" s="6"/>
      <c r="AAI196" s="4"/>
      <c r="AAJ196" s="4"/>
      <c r="AAK196" s="4"/>
      <c r="AAL196" s="4"/>
      <c r="AAM196" s="4"/>
      <c r="AAN196" s="5"/>
      <c r="AAO196" s="6"/>
      <c r="AAP196" s="4"/>
      <c r="AAQ196" s="4"/>
      <c r="AAR196" s="4"/>
      <c r="AAS196" s="4"/>
      <c r="AAT196" s="4"/>
      <c r="AAU196" s="5"/>
      <c r="AAV196" s="6"/>
      <c r="AAW196" s="4"/>
      <c r="AAX196" s="4"/>
      <c r="AAY196" s="4"/>
      <c r="AAZ196" s="4"/>
      <c r="ABA196" s="4"/>
      <c r="ABB196" s="5"/>
      <c r="ABC196" s="6"/>
      <c r="ABD196" s="4"/>
      <c r="ABE196" s="4"/>
      <c r="ABF196" s="4"/>
      <c r="ABG196" s="4"/>
      <c r="ABH196" s="4"/>
      <c r="ABI196" s="5"/>
      <c r="ABJ196" s="6"/>
      <c r="ABK196" s="4"/>
      <c r="ABL196" s="4"/>
      <c r="ABM196" s="4"/>
      <c r="ABN196" s="4"/>
      <c r="ABO196" s="4"/>
      <c r="ABP196" s="5"/>
      <c r="ABQ196" s="6"/>
      <c r="ABR196" s="4"/>
      <c r="ABS196" s="4"/>
      <c r="ABT196" s="4"/>
      <c r="ABU196" s="4"/>
      <c r="ABV196" s="4"/>
      <c r="ABW196" s="5"/>
      <c r="ABX196" s="6"/>
      <c r="ABY196" s="4"/>
      <c r="ABZ196" s="4"/>
      <c r="ACA196" s="4"/>
      <c r="ACB196" s="4"/>
      <c r="ACC196" s="4"/>
      <c r="ACD196" s="5"/>
      <c r="ACE196" s="6"/>
      <c r="ACF196" s="4"/>
      <c r="ACG196" s="4"/>
      <c r="ACH196" s="4"/>
      <c r="ACI196" s="4"/>
      <c r="ACJ196" s="4"/>
      <c r="ACK196" s="5"/>
      <c r="ACL196" s="6"/>
      <c r="ACM196" s="4"/>
      <c r="ACN196" s="4"/>
      <c r="ACO196" s="4"/>
      <c r="ACP196" s="4"/>
      <c r="ACQ196" s="4"/>
      <c r="ACR196" s="5"/>
      <c r="ACS196" s="6"/>
      <c r="ACT196" s="4"/>
      <c r="ACU196" s="4"/>
      <c r="ACV196" s="4"/>
      <c r="ACW196" s="4"/>
      <c r="ACX196" s="4"/>
      <c r="ACY196" s="5"/>
    </row>
    <row r="197" spans="1:791" x14ac:dyDescent="0.25">
      <c r="B197" s="30"/>
      <c r="J197" s="12"/>
      <c r="K197" s="12"/>
      <c r="L197" s="12"/>
      <c r="LL197" s="6"/>
      <c r="LM197" s="4"/>
      <c r="LN197" s="4"/>
      <c r="LO197" s="4"/>
      <c r="LP197" s="4"/>
      <c r="LQ197" s="4"/>
      <c r="LR197" s="5"/>
      <c r="LS197" s="6"/>
      <c r="LT197" s="4"/>
      <c r="LU197" s="4"/>
      <c r="LV197" s="4"/>
      <c r="LW197" s="4"/>
      <c r="LX197" s="4"/>
      <c r="LY197" s="5"/>
      <c r="LZ197" s="6" t="s">
        <v>3271</v>
      </c>
      <c r="MA197" s="7" t="s">
        <v>3271</v>
      </c>
      <c r="MB197" s="4"/>
      <c r="MC197" s="4"/>
      <c r="MD197" s="8"/>
      <c r="ME197" s="4"/>
      <c r="MF197" s="4"/>
      <c r="MG197" s="5"/>
      <c r="MH197" s="6"/>
      <c r="MI197" s="4"/>
      <c r="MJ197" s="4"/>
      <c r="MK197" s="4"/>
      <c r="ML197" s="4"/>
      <c r="MM197" s="4"/>
      <c r="MN197" s="5"/>
      <c r="MO197" s="6"/>
      <c r="MP197" s="4"/>
      <c r="MQ197" s="4"/>
      <c r="MR197" s="4"/>
      <c r="MS197" s="4"/>
      <c r="MT197" s="4"/>
      <c r="MU197" s="5"/>
      <c r="MV197" s="6"/>
      <c r="MW197" s="4"/>
      <c r="MX197" s="4"/>
      <c r="MY197" s="4"/>
      <c r="MZ197" s="4"/>
      <c r="NA197" s="4"/>
      <c r="NB197" s="5"/>
      <c r="NC197" s="6"/>
      <c r="ND197" s="4"/>
      <c r="NE197" s="4"/>
      <c r="NF197" s="4"/>
      <c r="NG197" s="4"/>
      <c r="NH197" s="4"/>
      <c r="NI197" s="5"/>
      <c r="NJ197" s="6"/>
      <c r="NK197" s="4"/>
      <c r="NL197" s="4"/>
      <c r="NM197" s="4"/>
      <c r="NN197" s="4"/>
      <c r="NO197" s="4"/>
      <c r="NP197" s="5"/>
      <c r="NQ197" s="6"/>
      <c r="NR197" s="4"/>
      <c r="NS197" s="4"/>
      <c r="NT197" s="4"/>
      <c r="NU197" s="4"/>
      <c r="NV197" s="4"/>
      <c r="NW197" s="5"/>
      <c r="NX197" s="6"/>
      <c r="NY197" s="4"/>
      <c r="NZ197" s="4"/>
      <c r="OA197" s="4"/>
      <c r="OB197" s="4"/>
      <c r="OC197" s="4"/>
      <c r="OD197" s="5"/>
      <c r="OE197" s="6"/>
      <c r="OF197" s="4"/>
      <c r="OG197" s="4"/>
      <c r="OH197" s="4"/>
      <c r="OI197" s="4"/>
      <c r="OJ197" s="4"/>
      <c r="OK197" s="5"/>
      <c r="OL197" s="6"/>
      <c r="OM197" s="4"/>
      <c r="ON197" s="4"/>
      <c r="OO197" s="4"/>
      <c r="OP197" s="4"/>
      <c r="OQ197" s="4"/>
      <c r="OR197" s="5"/>
      <c r="OS197" s="6"/>
      <c r="OT197" s="4"/>
      <c r="OU197" s="4"/>
      <c r="OV197" s="4"/>
      <c r="OW197" s="4"/>
      <c r="OX197" s="4"/>
      <c r="OY197" s="5"/>
      <c r="OZ197" s="6"/>
      <c r="PA197" s="4"/>
      <c r="PB197" s="4"/>
      <c r="PC197" s="4"/>
      <c r="PD197" s="4"/>
      <c r="PE197" s="4"/>
      <c r="PF197" s="5"/>
      <c r="PG197" s="6"/>
      <c r="PH197" s="4"/>
      <c r="PI197" s="4"/>
      <c r="PJ197" s="4"/>
      <c r="PK197" s="4"/>
      <c r="PL197" s="4"/>
      <c r="PM197" s="5"/>
      <c r="PN197" s="6"/>
      <c r="PO197" s="4"/>
      <c r="PP197" s="4"/>
      <c r="PQ197" s="4"/>
      <c r="PR197" s="4"/>
      <c r="PS197" s="4"/>
      <c r="PT197" s="5"/>
      <c r="PU197" s="6"/>
      <c r="PV197" s="4"/>
      <c r="PW197" s="4"/>
      <c r="PX197" s="4"/>
      <c r="PY197" s="4"/>
      <c r="PZ197" s="4"/>
      <c r="QA197" s="5"/>
      <c r="QB197" s="6"/>
      <c r="QC197" s="4"/>
      <c r="QD197" s="4"/>
      <c r="QE197" s="4"/>
      <c r="QF197" s="4"/>
      <c r="QG197" s="4"/>
      <c r="QH197" s="5"/>
      <c r="QI197" s="6"/>
      <c r="QJ197" s="4"/>
      <c r="QK197" s="4"/>
      <c r="QL197" s="4"/>
      <c r="QM197" s="4"/>
      <c r="QN197" s="4"/>
      <c r="QO197" s="5"/>
      <c r="QP197" s="6"/>
      <c r="QQ197" s="4"/>
      <c r="QR197" s="4"/>
      <c r="QS197" s="4"/>
      <c r="QT197" s="4"/>
      <c r="QU197" s="4"/>
      <c r="QV197" s="5"/>
      <c r="QW197" s="6"/>
      <c r="QX197" s="4"/>
      <c r="QY197" s="4"/>
      <c r="QZ197" s="4"/>
      <c r="RA197" s="4"/>
      <c r="RB197" s="4"/>
      <c r="RC197" s="5"/>
      <c r="RD197" s="6"/>
      <c r="RE197" s="4"/>
      <c r="RF197" s="4"/>
      <c r="RG197" s="4"/>
      <c r="RH197" s="4"/>
      <c r="RI197" s="4"/>
      <c r="RJ197" s="5"/>
      <c r="RK197" s="6"/>
      <c r="RL197" s="4"/>
      <c r="RM197" s="4"/>
      <c r="RN197" s="4"/>
      <c r="RO197" s="4"/>
      <c r="RP197" s="4"/>
      <c r="RQ197" s="5"/>
      <c r="RR197" s="6"/>
      <c r="RS197" s="4"/>
      <c r="RT197" s="4"/>
      <c r="RU197" s="4"/>
      <c r="RV197" s="4"/>
      <c r="RW197" s="4"/>
      <c r="RX197" s="5"/>
      <c r="RY197" s="6"/>
      <c r="RZ197" s="4"/>
      <c r="SA197" s="4"/>
      <c r="SB197" s="4"/>
      <c r="SC197" s="4"/>
      <c r="SD197" s="4"/>
      <c r="SE197" s="5"/>
      <c r="SF197" s="6"/>
      <c r="SG197" s="4"/>
      <c r="SH197" s="4"/>
      <c r="SI197" s="4"/>
      <c r="SJ197" s="4"/>
      <c r="SK197" s="4"/>
      <c r="SL197" s="5"/>
      <c r="SM197" s="6"/>
      <c r="SN197" s="4"/>
      <c r="SO197" s="4"/>
      <c r="SP197" s="4"/>
      <c r="SQ197" s="4"/>
      <c r="SR197" s="4"/>
      <c r="SS197" s="5"/>
      <c r="ST197" s="6"/>
      <c r="SU197" s="4"/>
      <c r="SV197" s="4"/>
      <c r="SW197" s="4"/>
      <c r="SX197" s="4"/>
      <c r="SY197" s="4"/>
      <c r="SZ197" s="5"/>
      <c r="TA197" s="6"/>
      <c r="TB197" s="4"/>
      <c r="TC197" s="4"/>
      <c r="TD197" s="4"/>
      <c r="TE197" s="4"/>
      <c r="TF197" s="4"/>
      <c r="TG197" s="5"/>
      <c r="TH197" s="6"/>
      <c r="TI197" s="4"/>
      <c r="TJ197" s="4"/>
      <c r="TK197" s="4"/>
      <c r="TL197" s="4"/>
      <c r="TM197" s="4"/>
      <c r="TN197" s="5"/>
      <c r="TO197" s="6"/>
      <c r="TP197" s="4"/>
      <c r="TQ197" s="4"/>
      <c r="TR197" s="4"/>
      <c r="TS197" s="4"/>
      <c r="TT197" s="4"/>
      <c r="TU197" s="5"/>
      <c r="TV197" s="6"/>
      <c r="TW197" s="4"/>
      <c r="TX197" s="4"/>
      <c r="TY197" s="4"/>
      <c r="TZ197" s="4"/>
      <c r="UA197" s="4"/>
      <c r="UB197" s="5"/>
      <c r="UC197" s="6"/>
      <c r="UD197" s="4"/>
      <c r="UE197" s="4"/>
      <c r="UF197" s="4"/>
      <c r="UG197" s="4"/>
      <c r="UH197" s="4"/>
      <c r="UI197" s="5"/>
      <c r="UJ197" s="6"/>
      <c r="UK197" s="4"/>
      <c r="UL197" s="4"/>
      <c r="UM197" s="4"/>
      <c r="UN197" s="4"/>
      <c r="UO197" s="4"/>
      <c r="UP197" s="5"/>
      <c r="UQ197" s="6"/>
      <c r="UR197" s="4"/>
      <c r="US197" s="4"/>
      <c r="UT197" s="4"/>
      <c r="UU197" s="4"/>
      <c r="UV197" s="4"/>
      <c r="UW197" s="5"/>
      <c r="UX197" s="6"/>
      <c r="UY197" s="4"/>
      <c r="UZ197" s="4"/>
      <c r="VA197" s="4"/>
      <c r="VB197" s="4"/>
      <c r="VC197" s="4"/>
      <c r="VD197" s="5"/>
      <c r="VE197" s="6"/>
      <c r="VF197" s="4"/>
      <c r="VG197" s="4"/>
      <c r="VH197" s="4"/>
      <c r="VI197" s="4"/>
      <c r="VJ197" s="4"/>
      <c r="VK197" s="5"/>
      <c r="VL197" s="6"/>
      <c r="VM197" s="4"/>
      <c r="VN197" s="4"/>
      <c r="VO197" s="4"/>
      <c r="VP197" s="4"/>
      <c r="VQ197" s="4"/>
      <c r="VR197" s="5"/>
      <c r="VS197" s="6"/>
      <c r="VT197" s="4"/>
      <c r="VU197" s="4"/>
      <c r="VV197" s="4"/>
      <c r="VW197" s="4"/>
      <c r="VX197" s="4"/>
      <c r="VY197" s="5"/>
      <c r="VZ197" s="6"/>
      <c r="WA197" s="4"/>
      <c r="WB197" s="4"/>
      <c r="WC197" s="4"/>
      <c r="WD197" s="4"/>
      <c r="WE197" s="4"/>
      <c r="WF197" s="5"/>
      <c r="WG197" s="6"/>
      <c r="WH197" s="4"/>
      <c r="WI197" s="4"/>
      <c r="WJ197" s="4"/>
      <c r="WK197" s="4"/>
      <c r="WL197" s="4"/>
      <c r="WM197" s="5"/>
      <c r="WN197" s="6"/>
      <c r="WO197" s="4"/>
      <c r="WP197" s="4"/>
      <c r="WQ197" s="4"/>
      <c r="WR197" s="4"/>
      <c r="WS197" s="4"/>
      <c r="WT197" s="5"/>
      <c r="WU197" s="6"/>
      <c r="WV197" s="4"/>
      <c r="WW197" s="4"/>
      <c r="WX197" s="4"/>
      <c r="WY197" s="4"/>
      <c r="WZ197" s="4"/>
      <c r="XA197" s="5"/>
      <c r="XB197" s="6"/>
      <c r="XC197" s="4"/>
      <c r="XD197" s="4"/>
      <c r="XE197" s="4"/>
      <c r="XF197" s="4"/>
      <c r="XG197" s="4"/>
      <c r="XH197" s="5"/>
      <c r="XI197" s="6"/>
      <c r="XJ197" s="4"/>
      <c r="XK197" s="4"/>
      <c r="XL197" s="4"/>
      <c r="XM197" s="4"/>
      <c r="XN197" s="4"/>
      <c r="XO197" s="5"/>
      <c r="XP197" s="6"/>
      <c r="XQ197" s="4"/>
      <c r="XR197" s="4"/>
      <c r="XS197" s="4"/>
      <c r="XT197" s="4"/>
      <c r="XU197" s="4"/>
      <c r="XV197" s="5"/>
      <c r="XW197" s="6"/>
      <c r="XX197" s="4"/>
      <c r="XY197" s="4"/>
      <c r="XZ197" s="4"/>
      <c r="YA197" s="4"/>
      <c r="YB197" s="4"/>
      <c r="YC197" s="5"/>
      <c r="YD197" s="6"/>
      <c r="YE197" s="4"/>
      <c r="YF197" s="4"/>
      <c r="YG197" s="4"/>
      <c r="YH197" s="4"/>
      <c r="YI197" s="4"/>
      <c r="YJ197" s="5"/>
      <c r="YK197" s="6"/>
      <c r="YL197" s="4"/>
      <c r="YM197" s="4"/>
      <c r="YN197" s="4"/>
      <c r="YO197" s="4"/>
      <c r="YP197" s="4"/>
      <c r="YQ197" s="5"/>
      <c r="YR197" s="6"/>
      <c r="YS197" s="4"/>
      <c r="YT197" s="4"/>
      <c r="YU197" s="4"/>
      <c r="YV197" s="4"/>
      <c r="YW197" s="4"/>
      <c r="YX197" s="5"/>
      <c r="YY197" s="6"/>
      <c r="YZ197" s="4"/>
      <c r="ZA197" s="4"/>
      <c r="ZB197" s="4"/>
      <c r="ZC197" s="4"/>
      <c r="ZD197" s="4"/>
      <c r="ZE197" s="5"/>
      <c r="ZF197" s="6"/>
      <c r="ZG197" s="4"/>
      <c r="ZH197" s="4"/>
      <c r="ZI197" s="4"/>
      <c r="ZJ197" s="4"/>
      <c r="ZK197" s="4"/>
      <c r="ZL197" s="5"/>
      <c r="ZM197" s="6"/>
      <c r="ZN197" s="4"/>
      <c r="ZO197" s="4"/>
      <c r="ZP197" s="4"/>
      <c r="ZQ197" s="4"/>
      <c r="ZR197" s="4"/>
      <c r="ZS197" s="5"/>
      <c r="ZT197" s="6"/>
      <c r="ZU197" s="4"/>
      <c r="ZV197" s="4"/>
      <c r="ZW197" s="4"/>
      <c r="ZX197" s="4"/>
      <c r="ZY197" s="4"/>
      <c r="ZZ197" s="5"/>
      <c r="AAA197" s="6"/>
      <c r="AAB197" s="4"/>
      <c r="AAC197" s="4"/>
      <c r="AAD197" s="4"/>
      <c r="AAE197" s="4"/>
      <c r="AAF197" s="4"/>
      <c r="AAG197" s="5"/>
      <c r="AAH197" s="6"/>
      <c r="AAI197" s="4"/>
      <c r="AAJ197" s="4"/>
      <c r="AAK197" s="4"/>
      <c r="AAL197" s="4"/>
      <c r="AAM197" s="4"/>
      <c r="AAN197" s="5"/>
      <c r="AAO197" s="6"/>
      <c r="AAP197" s="4"/>
      <c r="AAQ197" s="4"/>
      <c r="AAR197" s="4"/>
      <c r="AAS197" s="4"/>
      <c r="AAT197" s="4"/>
      <c r="AAU197" s="5"/>
      <c r="AAV197" s="6"/>
      <c r="AAW197" s="4"/>
      <c r="AAX197" s="4"/>
      <c r="AAY197" s="4"/>
      <c r="AAZ197" s="4"/>
      <c r="ABA197" s="4"/>
      <c r="ABB197" s="5"/>
      <c r="ABC197" s="6"/>
      <c r="ABD197" s="4"/>
      <c r="ABE197" s="4"/>
      <c r="ABF197" s="4"/>
      <c r="ABG197" s="4"/>
      <c r="ABH197" s="4"/>
      <c r="ABI197" s="5"/>
      <c r="ABJ197" s="6"/>
      <c r="ABK197" s="4"/>
      <c r="ABL197" s="4"/>
      <c r="ABM197" s="4"/>
      <c r="ABN197" s="4"/>
      <c r="ABO197" s="4"/>
      <c r="ABP197" s="5"/>
      <c r="ABQ197" s="6"/>
      <c r="ABR197" s="4"/>
      <c r="ABS197" s="4"/>
      <c r="ABT197" s="4"/>
      <c r="ABU197" s="4"/>
      <c r="ABV197" s="4"/>
      <c r="ABW197" s="5"/>
      <c r="ABX197" s="6"/>
      <c r="ABY197" s="4"/>
      <c r="ABZ197" s="4"/>
      <c r="ACA197" s="4"/>
      <c r="ACB197" s="4"/>
      <c r="ACC197" s="4"/>
      <c r="ACD197" s="5"/>
      <c r="ACE197" s="6"/>
      <c r="ACF197" s="4"/>
      <c r="ACG197" s="4"/>
      <c r="ACH197" s="4"/>
      <c r="ACI197" s="4"/>
      <c r="ACJ197" s="4"/>
      <c r="ACK197" s="5"/>
      <c r="ACL197" s="6"/>
      <c r="ACM197" s="4"/>
      <c r="ACN197" s="4"/>
      <c r="ACO197" s="4"/>
      <c r="ACP197" s="4"/>
      <c r="ACQ197" s="4"/>
      <c r="ACR197" s="5"/>
      <c r="ACS197" s="6"/>
      <c r="ACT197" s="4"/>
      <c r="ACU197" s="4"/>
      <c r="ACV197" s="4"/>
      <c r="ACW197" s="4"/>
      <c r="ACX197" s="4"/>
      <c r="ACY197" s="5"/>
    </row>
    <row r="198" spans="1:791" x14ac:dyDescent="0.25">
      <c r="B198" s="29">
        <v>99001177</v>
      </c>
      <c r="C198">
        <v>75</v>
      </c>
      <c r="D198" t="s">
        <v>3587</v>
      </c>
      <c r="F198" s="23" t="s">
        <v>1781</v>
      </c>
      <c r="I198">
        <v>1</v>
      </c>
      <c r="J198" s="19">
        <v>35006</v>
      </c>
      <c r="K198" s="19"/>
      <c r="L198" s="19"/>
      <c r="U198">
        <v>1</v>
      </c>
      <c r="AT198">
        <v>1</v>
      </c>
      <c r="AX198">
        <v>1</v>
      </c>
      <c r="LL198" s="6"/>
      <c r="LM198" s="4"/>
      <c r="LN198" s="4"/>
      <c r="LO198" s="4"/>
      <c r="LP198" s="4"/>
      <c r="LQ198" s="4"/>
      <c r="LR198" s="5"/>
      <c r="LS198" s="6"/>
      <c r="LT198" s="4"/>
      <c r="LU198" s="4"/>
      <c r="LV198" s="4"/>
      <c r="LW198" s="4"/>
      <c r="LX198" s="4"/>
      <c r="LY198" s="5"/>
      <c r="LZ198" s="6" t="s">
        <v>2947</v>
      </c>
      <c r="MA198" s="7" t="s">
        <v>3481</v>
      </c>
      <c r="MB198" s="4"/>
      <c r="MC198" s="4"/>
      <c r="MD198" s="10"/>
      <c r="ME198" s="4"/>
      <c r="MF198" s="4"/>
      <c r="MG198" s="5"/>
      <c r="MH198" s="6"/>
      <c r="MI198" s="4"/>
      <c r="MJ198" s="4"/>
      <c r="MK198" s="4"/>
      <c r="ML198" s="4"/>
      <c r="MM198" s="4"/>
      <c r="MN198" s="5"/>
      <c r="MO198" s="6"/>
      <c r="MP198" s="4"/>
      <c r="MQ198" s="4"/>
      <c r="MR198" s="4"/>
      <c r="MS198" s="4"/>
      <c r="MT198" s="4"/>
      <c r="MU198" s="5"/>
      <c r="MV198" s="6"/>
      <c r="MW198" s="4"/>
      <c r="MX198" s="4"/>
      <c r="MY198" s="4"/>
      <c r="MZ198" s="4"/>
      <c r="NA198" s="4"/>
      <c r="NB198" s="5"/>
      <c r="NC198" s="6"/>
      <c r="ND198" s="4"/>
      <c r="NE198" s="4"/>
      <c r="NF198" s="4"/>
      <c r="NG198" s="4"/>
      <c r="NH198" s="4"/>
      <c r="NI198" s="5"/>
      <c r="NJ198" s="6"/>
      <c r="NK198" s="4"/>
      <c r="NL198" s="4"/>
      <c r="NM198" s="4"/>
      <c r="NN198" s="4"/>
      <c r="NO198" s="4"/>
      <c r="NP198" s="5"/>
      <c r="NQ198" s="6"/>
      <c r="NR198" s="4"/>
      <c r="NS198" s="4"/>
      <c r="NT198" s="4"/>
      <c r="NU198" s="4"/>
      <c r="NV198" s="4"/>
      <c r="NW198" s="5"/>
      <c r="NX198" s="6"/>
      <c r="NY198" s="4"/>
      <c r="NZ198" s="4"/>
      <c r="OA198" s="4"/>
      <c r="OB198" s="4"/>
      <c r="OC198" s="4"/>
      <c r="OD198" s="5"/>
      <c r="OE198" s="6"/>
      <c r="OF198" s="4"/>
      <c r="OG198" s="4"/>
      <c r="OH198" s="4"/>
      <c r="OI198" s="4"/>
      <c r="OJ198" s="4"/>
      <c r="OK198" s="5"/>
      <c r="OL198" s="6"/>
      <c r="OM198" s="4"/>
      <c r="ON198" s="4"/>
      <c r="OO198" s="4"/>
      <c r="OP198" s="4"/>
      <c r="OQ198" s="4"/>
      <c r="OR198" s="5"/>
      <c r="OS198" s="6"/>
      <c r="OT198" s="4"/>
      <c r="OU198" s="4"/>
      <c r="OV198" s="4"/>
      <c r="OW198" s="4"/>
      <c r="OX198" s="4"/>
      <c r="OY198" s="5"/>
      <c r="OZ198" s="6"/>
      <c r="PA198" s="4"/>
      <c r="PB198" s="4"/>
      <c r="PC198" s="4"/>
      <c r="PD198" s="4"/>
      <c r="PE198" s="4"/>
      <c r="PF198" s="5"/>
      <c r="PG198" s="6"/>
      <c r="PH198" s="4"/>
      <c r="PI198" s="4"/>
      <c r="PJ198" s="4"/>
      <c r="PK198" s="4"/>
      <c r="PL198" s="4"/>
      <c r="PM198" s="5"/>
      <c r="PN198" s="6"/>
      <c r="PO198" s="4"/>
      <c r="PP198" s="4"/>
      <c r="PQ198" s="4"/>
      <c r="PR198" s="4"/>
      <c r="PS198" s="4"/>
      <c r="PT198" s="5"/>
      <c r="PU198" s="6" t="s">
        <v>2906</v>
      </c>
      <c r="PV198" s="4" t="s">
        <v>2907</v>
      </c>
      <c r="PW198" s="4"/>
      <c r="PX198" s="4"/>
      <c r="PY198" s="4"/>
      <c r="PZ198" s="4"/>
      <c r="QA198" s="5"/>
      <c r="QB198" s="6" t="s">
        <v>2995</v>
      </c>
      <c r="QC198" s="4" t="s">
        <v>2996</v>
      </c>
      <c r="QD198" s="4"/>
      <c r="QE198" s="4"/>
      <c r="QF198" s="4"/>
      <c r="QG198" s="4"/>
      <c r="QH198" s="5"/>
      <c r="QI198" s="6"/>
      <c r="QJ198" s="4"/>
      <c r="QK198" s="4"/>
      <c r="QL198" s="4"/>
      <c r="QM198" s="4"/>
      <c r="QN198" s="4"/>
      <c r="QO198" s="5"/>
      <c r="QP198" s="6"/>
      <c r="QQ198" s="4"/>
      <c r="QR198" s="4"/>
      <c r="QS198" s="4"/>
      <c r="QT198" s="4"/>
      <c r="QU198" s="4"/>
      <c r="QV198" s="5"/>
      <c r="QW198" s="6"/>
      <c r="QX198" s="4"/>
      <c r="QY198" s="4"/>
      <c r="QZ198" s="4"/>
      <c r="RA198" s="4"/>
      <c r="RB198" s="4"/>
      <c r="RC198" s="5"/>
      <c r="RD198" s="6"/>
      <c r="RE198" s="4"/>
      <c r="RF198" s="4"/>
      <c r="RG198" s="4"/>
      <c r="RH198" s="4"/>
      <c r="RI198" s="4"/>
      <c r="RJ198" s="5"/>
      <c r="RK198" s="6"/>
      <c r="RL198" s="4"/>
      <c r="RM198" s="4"/>
      <c r="RN198" s="4"/>
      <c r="RO198" s="4"/>
      <c r="RP198" s="4"/>
      <c r="RQ198" s="5"/>
      <c r="RR198" s="6"/>
      <c r="RS198" s="4"/>
      <c r="RT198" s="4"/>
      <c r="RU198" s="4"/>
      <c r="RV198" s="4"/>
      <c r="RW198" s="4"/>
      <c r="RX198" s="5"/>
      <c r="RY198" s="6"/>
      <c r="RZ198" s="4"/>
      <c r="SA198" s="4"/>
      <c r="SB198" s="4"/>
      <c r="SC198" s="4"/>
      <c r="SD198" s="4"/>
      <c r="SE198" s="5"/>
      <c r="SF198" s="6"/>
      <c r="SG198" s="4"/>
      <c r="SH198" s="4"/>
      <c r="SI198" s="4"/>
      <c r="SJ198" s="4"/>
      <c r="SK198" s="4"/>
      <c r="SL198" s="5"/>
      <c r="SM198" s="6"/>
      <c r="SN198" s="4"/>
      <c r="SO198" s="4"/>
      <c r="SP198" s="4"/>
      <c r="SQ198" s="4"/>
      <c r="SR198" s="4"/>
      <c r="SS198" s="5"/>
      <c r="ST198" s="6"/>
      <c r="SU198" s="4"/>
      <c r="SV198" s="4"/>
      <c r="SW198" s="4"/>
      <c r="SX198" s="4"/>
      <c r="SY198" s="4"/>
      <c r="SZ198" s="5"/>
      <c r="TA198" s="6"/>
      <c r="TB198" s="4"/>
      <c r="TC198" s="4"/>
      <c r="TD198" s="4"/>
      <c r="TE198" s="4"/>
      <c r="TF198" s="4"/>
      <c r="TG198" s="5"/>
      <c r="TH198" s="6"/>
      <c r="TI198" s="4"/>
      <c r="TJ198" s="4"/>
      <c r="TK198" s="4"/>
      <c r="TL198" s="4"/>
      <c r="TM198" s="4"/>
      <c r="TN198" s="5"/>
      <c r="TO198" s="6"/>
      <c r="TP198" s="4"/>
      <c r="TQ198" s="4"/>
      <c r="TR198" s="4"/>
      <c r="TS198" s="4"/>
      <c r="TT198" s="4"/>
      <c r="TU198" s="5"/>
      <c r="TV198" s="6"/>
      <c r="TW198" s="4"/>
      <c r="TX198" s="4"/>
      <c r="TY198" s="4"/>
      <c r="TZ198" s="4"/>
      <c r="UA198" s="4"/>
      <c r="UB198" s="5"/>
      <c r="UC198" s="6" t="s">
        <v>2095</v>
      </c>
      <c r="UD198" s="4" t="s">
        <v>2013</v>
      </c>
      <c r="UE198" s="4"/>
      <c r="UF198" s="4"/>
      <c r="UG198" s="4"/>
      <c r="UH198" s="4"/>
      <c r="UI198" s="5"/>
      <c r="UJ198" s="6"/>
      <c r="UK198" s="4"/>
      <c r="UL198" s="4"/>
      <c r="UM198" s="4"/>
      <c r="UN198" s="4"/>
      <c r="UO198" s="4"/>
      <c r="UP198" s="5"/>
      <c r="UQ198" s="6"/>
      <c r="UR198" s="4"/>
      <c r="US198" s="4"/>
      <c r="UT198" s="4"/>
      <c r="UU198" s="4"/>
      <c r="UV198" s="4"/>
      <c r="UW198" s="5"/>
      <c r="UX198" s="6" t="s">
        <v>2948</v>
      </c>
      <c r="UY198" s="4" t="s">
        <v>2949</v>
      </c>
      <c r="UZ198" s="4"/>
      <c r="VA198" s="4"/>
      <c r="VB198" s="4"/>
      <c r="VC198" s="4"/>
      <c r="VD198" s="5"/>
      <c r="VE198" s="6" t="s">
        <v>3240</v>
      </c>
      <c r="VF198" s="4" t="s">
        <v>3134</v>
      </c>
      <c r="VG198" s="4"/>
      <c r="VH198" s="4"/>
      <c r="VI198" s="4"/>
      <c r="VJ198" s="4"/>
      <c r="VK198" s="5"/>
      <c r="VL198" s="6"/>
      <c r="VM198" s="4"/>
      <c r="VN198" s="4"/>
      <c r="VO198" s="4"/>
      <c r="VP198" s="4"/>
      <c r="VQ198" s="4"/>
      <c r="VR198" s="5"/>
      <c r="VS198" s="6"/>
      <c r="VT198" s="4"/>
      <c r="VU198" s="4"/>
      <c r="VV198" s="4"/>
      <c r="VW198" s="4"/>
      <c r="VX198" s="4"/>
      <c r="VY198" s="5"/>
      <c r="VZ198" s="6"/>
      <c r="WA198" s="4"/>
      <c r="WB198" s="4"/>
      <c r="WC198" s="4"/>
      <c r="WD198" s="4"/>
      <c r="WE198" s="4"/>
      <c r="WF198" s="5"/>
      <c r="WG198" s="6"/>
      <c r="WH198" s="4"/>
      <c r="WI198" s="4"/>
      <c r="WJ198" s="4"/>
      <c r="WK198" s="4"/>
      <c r="WL198" s="4"/>
      <c r="WM198" s="5"/>
      <c r="WN198" s="6"/>
      <c r="WO198" s="4"/>
      <c r="WP198" s="4"/>
      <c r="WQ198" s="4"/>
      <c r="WR198" s="4"/>
      <c r="WS198" s="4"/>
      <c r="WT198" s="5"/>
      <c r="WU198" s="6"/>
      <c r="WV198" s="4"/>
      <c r="WW198" s="4"/>
      <c r="WX198" s="4"/>
      <c r="WY198" s="4"/>
      <c r="WZ198" s="4"/>
      <c r="XA198" s="5"/>
      <c r="XB198" s="6"/>
      <c r="XC198" s="4"/>
      <c r="XD198" s="4"/>
      <c r="XE198" s="4"/>
      <c r="XF198" s="4"/>
      <c r="XG198" s="4"/>
      <c r="XH198" s="5"/>
      <c r="XI198" s="6"/>
      <c r="XJ198" s="4"/>
      <c r="XK198" s="4"/>
      <c r="XL198" s="4"/>
      <c r="XM198" s="4"/>
      <c r="XN198" s="4"/>
      <c r="XO198" s="5"/>
      <c r="XP198" s="6"/>
      <c r="XQ198" s="4"/>
      <c r="XR198" s="4"/>
      <c r="XS198" s="4"/>
      <c r="XT198" s="4"/>
      <c r="XU198" s="4"/>
      <c r="XV198" s="5"/>
      <c r="XW198" s="6"/>
      <c r="XX198" s="4"/>
      <c r="XY198" s="4"/>
      <c r="XZ198" s="4"/>
      <c r="YA198" s="4"/>
      <c r="YB198" s="4"/>
      <c r="YC198" s="5"/>
      <c r="YD198" s="6"/>
      <c r="YE198" s="4"/>
      <c r="YF198" s="4"/>
      <c r="YG198" s="4"/>
      <c r="YH198" s="4"/>
      <c r="YI198" s="4"/>
      <c r="YJ198" s="5"/>
      <c r="YK198" s="6"/>
      <c r="YL198" s="4"/>
      <c r="YM198" s="4"/>
      <c r="YN198" s="4"/>
      <c r="YO198" s="4"/>
      <c r="YP198" s="4"/>
      <c r="YQ198" s="5"/>
      <c r="YR198" s="6"/>
      <c r="YS198" s="4"/>
      <c r="YT198" s="4"/>
      <c r="YU198" s="4"/>
      <c r="YV198" s="4"/>
      <c r="YW198" s="4"/>
      <c r="YX198" s="5"/>
      <c r="YY198" s="6"/>
      <c r="YZ198" s="4"/>
      <c r="ZA198" s="4"/>
      <c r="ZB198" s="4"/>
      <c r="ZC198" s="4"/>
      <c r="ZD198" s="4"/>
      <c r="ZE198" s="5"/>
      <c r="ZF198" s="6"/>
      <c r="ZG198" s="4"/>
      <c r="ZH198" s="4"/>
      <c r="ZI198" s="4"/>
      <c r="ZJ198" s="4"/>
      <c r="ZK198" s="4"/>
      <c r="ZL198" s="5"/>
      <c r="ZM198" s="6"/>
      <c r="ZN198" s="4"/>
      <c r="ZO198" s="4"/>
      <c r="ZP198" s="4"/>
      <c r="ZQ198" s="4"/>
      <c r="ZR198" s="4"/>
      <c r="ZS198" s="5"/>
      <c r="ZT198" s="6"/>
      <c r="ZU198" s="4"/>
      <c r="ZV198" s="4"/>
      <c r="ZW198" s="4"/>
      <c r="ZX198" s="4"/>
      <c r="ZY198" s="4"/>
      <c r="ZZ198" s="5"/>
      <c r="AAA198" s="6"/>
      <c r="AAB198" s="4"/>
      <c r="AAC198" s="4"/>
      <c r="AAD198" s="4"/>
      <c r="AAE198" s="4"/>
      <c r="AAF198" s="4"/>
      <c r="AAG198" s="5"/>
      <c r="AAH198" s="6"/>
      <c r="AAI198" s="4"/>
      <c r="AAJ198" s="4"/>
      <c r="AAK198" s="4"/>
      <c r="AAL198" s="4"/>
      <c r="AAM198" s="4"/>
      <c r="AAN198" s="5"/>
      <c r="AAO198" s="6"/>
      <c r="AAP198" s="4"/>
      <c r="AAQ198" s="4"/>
      <c r="AAR198" s="4"/>
      <c r="AAS198" s="4"/>
      <c r="AAT198" s="4"/>
      <c r="AAU198" s="5"/>
      <c r="AAV198" s="6"/>
      <c r="AAW198" s="4"/>
      <c r="AAX198" s="4"/>
      <c r="AAY198" s="4"/>
      <c r="AAZ198" s="4"/>
      <c r="ABA198" s="4"/>
      <c r="ABB198" s="5"/>
      <c r="ABC198" s="6"/>
      <c r="ABD198" s="4"/>
      <c r="ABE198" s="4"/>
      <c r="ABF198" s="4"/>
      <c r="ABG198" s="4"/>
      <c r="ABH198" s="4"/>
      <c r="ABI198" s="5"/>
      <c r="ABJ198" s="6"/>
      <c r="ABK198" s="4"/>
      <c r="ABL198" s="4"/>
      <c r="ABM198" s="4"/>
      <c r="ABN198" s="4"/>
      <c r="ABO198" s="4"/>
      <c r="ABP198" s="5"/>
      <c r="ABQ198" s="6"/>
      <c r="ABR198" s="4"/>
      <c r="ABS198" s="4"/>
      <c r="ABT198" s="4"/>
      <c r="ABU198" s="4"/>
      <c r="ABV198" s="4"/>
      <c r="ABW198" s="5"/>
      <c r="ABX198" s="6"/>
      <c r="ABY198" s="4"/>
      <c r="ABZ198" s="4"/>
      <c r="ACA198" s="4"/>
      <c r="ACB198" s="4"/>
      <c r="ACC198" s="4"/>
      <c r="ACD198" s="5"/>
      <c r="ACE198" s="6"/>
      <c r="ACF198" s="4"/>
      <c r="ACG198" s="4"/>
      <c r="ACH198" s="4"/>
      <c r="ACI198" s="4"/>
      <c r="ACJ198" s="4"/>
      <c r="ACK198" s="5"/>
      <c r="ACL198" s="6"/>
      <c r="ACM198" s="4"/>
      <c r="ACN198" s="4"/>
      <c r="ACO198" s="4"/>
      <c r="ACP198" s="4"/>
      <c r="ACQ198" s="4"/>
      <c r="ACR198" s="5"/>
      <c r="ACS198" s="6"/>
      <c r="ACT198" s="4"/>
      <c r="ACU198" s="4"/>
      <c r="ACV198" s="4"/>
      <c r="ACW198" s="4"/>
      <c r="ACX198" s="4"/>
      <c r="ACY198" s="5"/>
    </row>
    <row r="199" spans="1:791" x14ac:dyDescent="0.25">
      <c r="B199" s="30"/>
      <c r="J199" s="12"/>
      <c r="K199" s="12"/>
      <c r="L199" s="12"/>
      <c r="LL199" s="6"/>
      <c r="LM199" s="4"/>
      <c r="LN199" s="4"/>
      <c r="LO199" s="4"/>
      <c r="LP199" s="4"/>
      <c r="LQ199" s="4"/>
      <c r="LR199" s="5"/>
      <c r="LS199" s="6"/>
      <c r="LT199" s="4"/>
      <c r="LU199" s="4"/>
      <c r="LV199" s="4"/>
      <c r="LW199" s="4"/>
      <c r="LX199" s="4"/>
      <c r="LY199" s="5"/>
      <c r="LZ199" s="6" t="s">
        <v>3239</v>
      </c>
      <c r="MA199" s="4" t="s">
        <v>2707</v>
      </c>
      <c r="MB199" s="4"/>
      <c r="MC199" s="7"/>
      <c r="MD199" s="8"/>
      <c r="ME199" s="8"/>
      <c r="MF199" s="8"/>
      <c r="MG199" s="5" t="s">
        <v>2478</v>
      </c>
      <c r="MH199" s="6"/>
      <c r="MI199" s="4"/>
      <c r="MJ199" s="4"/>
      <c r="MK199" s="4"/>
      <c r="ML199" s="4"/>
      <c r="MM199" s="4"/>
      <c r="MN199" s="5"/>
      <c r="MO199" s="6"/>
      <c r="MP199" s="4"/>
      <c r="MQ199" s="4"/>
      <c r="MR199" s="4"/>
      <c r="MS199" s="4"/>
      <c r="MT199" s="4"/>
      <c r="MU199" s="5"/>
      <c r="MV199" s="6"/>
      <c r="MW199" s="4"/>
      <c r="MX199" s="4"/>
      <c r="MY199" s="4"/>
      <c r="MZ199" s="4"/>
      <c r="NA199" s="4"/>
      <c r="NB199" s="5"/>
      <c r="NC199" s="6"/>
      <c r="ND199" s="4"/>
      <c r="NE199" s="4"/>
      <c r="NF199" s="4"/>
      <c r="NG199" s="4"/>
      <c r="NH199" s="4"/>
      <c r="NI199" s="5"/>
      <c r="NJ199" s="6"/>
      <c r="NK199" s="4"/>
      <c r="NL199" s="4"/>
      <c r="NM199" s="4"/>
      <c r="NN199" s="4"/>
      <c r="NO199" s="4"/>
      <c r="NP199" s="5"/>
      <c r="NQ199" s="6"/>
      <c r="NR199" s="4"/>
      <c r="NS199" s="4"/>
      <c r="NT199" s="4"/>
      <c r="NU199" s="4"/>
      <c r="NV199" s="4"/>
      <c r="NW199" s="5"/>
      <c r="NX199" s="6"/>
      <c r="NY199" s="4"/>
      <c r="NZ199" s="4"/>
      <c r="OA199" s="4"/>
      <c r="OB199" s="4"/>
      <c r="OC199" s="4"/>
      <c r="OD199" s="5"/>
      <c r="OE199" s="6"/>
      <c r="OF199" s="4"/>
      <c r="OG199" s="4"/>
      <c r="OH199" s="4"/>
      <c r="OI199" s="4"/>
      <c r="OJ199" s="4"/>
      <c r="OK199" s="5"/>
      <c r="OL199" s="6"/>
      <c r="OM199" s="4"/>
      <c r="ON199" s="4"/>
      <c r="OO199" s="4"/>
      <c r="OP199" s="4"/>
      <c r="OQ199" s="4"/>
      <c r="OR199" s="5"/>
      <c r="OS199" s="6"/>
      <c r="OT199" s="4"/>
      <c r="OU199" s="4"/>
      <c r="OV199" s="4"/>
      <c r="OW199" s="4"/>
      <c r="OX199" s="4"/>
      <c r="OY199" s="5"/>
      <c r="OZ199" s="6"/>
      <c r="PA199" s="4"/>
      <c r="PB199" s="4"/>
      <c r="PC199" s="4"/>
      <c r="PD199" s="4"/>
      <c r="PE199" s="4"/>
      <c r="PF199" s="5"/>
      <c r="PG199" s="6"/>
      <c r="PH199" s="4"/>
      <c r="PI199" s="4"/>
      <c r="PJ199" s="4"/>
      <c r="PK199" s="4"/>
      <c r="PL199" s="4"/>
      <c r="PM199" s="5"/>
      <c r="PN199" s="6"/>
      <c r="PO199" s="4"/>
      <c r="PP199" s="4"/>
      <c r="PQ199" s="4"/>
      <c r="PR199" s="4"/>
      <c r="PS199" s="4"/>
      <c r="PT199" s="5"/>
      <c r="PU199" s="6"/>
      <c r="PV199" s="4"/>
      <c r="PW199" s="4"/>
      <c r="PX199" s="4"/>
      <c r="PY199" s="4"/>
      <c r="PZ199" s="4"/>
      <c r="QA199" s="5"/>
      <c r="QB199" s="6" t="s">
        <v>2998</v>
      </c>
      <c r="QC199" s="4" t="s">
        <v>2999</v>
      </c>
      <c r="QD199" s="4"/>
      <c r="QE199" s="4"/>
      <c r="QF199" s="4"/>
      <c r="QG199" s="4"/>
      <c r="QH199" s="5" t="s">
        <v>3000</v>
      </c>
      <c r="QI199" s="6"/>
      <c r="QJ199" s="4"/>
      <c r="QK199" s="4"/>
      <c r="QL199" s="4"/>
      <c r="QM199" s="4"/>
      <c r="QN199" s="4"/>
      <c r="QO199" s="5"/>
      <c r="QP199" s="6"/>
      <c r="QQ199" s="4"/>
      <c r="QR199" s="4"/>
      <c r="QS199" s="4"/>
      <c r="QT199" s="4"/>
      <c r="QU199" s="4"/>
      <c r="QV199" s="5"/>
      <c r="QW199" s="6"/>
      <c r="QX199" s="4"/>
      <c r="QY199" s="4"/>
      <c r="QZ199" s="4"/>
      <c r="RA199" s="4"/>
      <c r="RB199" s="4"/>
      <c r="RC199" s="5"/>
      <c r="RD199" s="6"/>
      <c r="RE199" s="4"/>
      <c r="RF199" s="4"/>
      <c r="RG199" s="4"/>
      <c r="RH199" s="4"/>
      <c r="RI199" s="4"/>
      <c r="RJ199" s="5"/>
      <c r="RK199" s="6"/>
      <c r="RL199" s="4"/>
      <c r="RM199" s="4"/>
      <c r="RN199" s="4"/>
      <c r="RO199" s="4"/>
      <c r="RP199" s="4"/>
      <c r="RQ199" s="5"/>
      <c r="RR199" s="6"/>
      <c r="RS199" s="4"/>
      <c r="RT199" s="4"/>
      <c r="RU199" s="4"/>
      <c r="RV199" s="4"/>
      <c r="RW199" s="4"/>
      <c r="RX199" s="5"/>
      <c r="RY199" s="6"/>
      <c r="RZ199" s="4"/>
      <c r="SA199" s="4"/>
      <c r="SB199" s="4"/>
      <c r="SC199" s="4"/>
      <c r="SD199" s="4"/>
      <c r="SE199" s="5"/>
      <c r="SF199" s="6"/>
      <c r="SG199" s="4"/>
      <c r="SH199" s="4"/>
      <c r="SI199" s="4"/>
      <c r="SJ199" s="4"/>
      <c r="SK199" s="4"/>
      <c r="SL199" s="5"/>
      <c r="SM199" s="6"/>
      <c r="SN199" s="4"/>
      <c r="SO199" s="4"/>
      <c r="SP199" s="4"/>
      <c r="SQ199" s="4"/>
      <c r="SR199" s="4"/>
      <c r="SS199" s="5"/>
      <c r="ST199" s="6"/>
      <c r="SU199" s="4"/>
      <c r="SV199" s="4"/>
      <c r="SW199" s="4"/>
      <c r="SX199" s="4"/>
      <c r="SY199" s="4"/>
      <c r="SZ199" s="5"/>
      <c r="TA199" s="6"/>
      <c r="TB199" s="4"/>
      <c r="TC199" s="4"/>
      <c r="TD199" s="4"/>
      <c r="TE199" s="4"/>
      <c r="TF199" s="4"/>
      <c r="TG199" s="5"/>
      <c r="TH199" s="6"/>
      <c r="TI199" s="4"/>
      <c r="TJ199" s="4"/>
      <c r="TK199" s="4"/>
      <c r="TL199" s="4"/>
      <c r="TM199" s="4"/>
      <c r="TN199" s="5"/>
      <c r="TO199" s="6"/>
      <c r="TP199" s="4"/>
      <c r="TQ199" s="4"/>
      <c r="TR199" s="4"/>
      <c r="TS199" s="4"/>
      <c r="TT199" s="4"/>
      <c r="TU199" s="5"/>
      <c r="TV199" s="6"/>
      <c r="TW199" s="4"/>
      <c r="TX199" s="4"/>
      <c r="TY199" s="4"/>
      <c r="TZ199" s="4"/>
      <c r="UA199" s="4"/>
      <c r="UB199" s="5"/>
      <c r="UC199" s="6"/>
      <c r="UD199" s="4"/>
      <c r="UE199" s="4"/>
      <c r="UF199" s="4"/>
      <c r="UG199" s="4"/>
      <c r="UH199" s="4"/>
      <c r="UI199" s="5"/>
      <c r="UJ199" s="6"/>
      <c r="UK199" s="4"/>
      <c r="UL199" s="4"/>
      <c r="UM199" s="4"/>
      <c r="UN199" s="4"/>
      <c r="UO199" s="4"/>
      <c r="UP199" s="5"/>
      <c r="UQ199" s="6"/>
      <c r="UR199" s="4"/>
      <c r="US199" s="4"/>
      <c r="UT199" s="4"/>
      <c r="UU199" s="4"/>
      <c r="UV199" s="4"/>
      <c r="UW199" s="5"/>
      <c r="UX199" s="6" t="s">
        <v>2997</v>
      </c>
      <c r="UY199" s="4" t="s">
        <v>2899</v>
      </c>
      <c r="UZ199" s="4"/>
      <c r="VA199" s="4"/>
      <c r="VB199" s="4"/>
      <c r="VC199" s="4"/>
      <c r="VD199" s="5"/>
      <c r="VE199" s="6"/>
      <c r="VF199" s="4"/>
      <c r="VG199" s="4"/>
      <c r="VH199" s="4"/>
      <c r="VI199" s="4"/>
      <c r="VJ199" s="4"/>
      <c r="VK199" s="5"/>
      <c r="VL199" s="6"/>
      <c r="VM199" s="4"/>
      <c r="VN199" s="4"/>
      <c r="VO199" s="4"/>
      <c r="VP199" s="4"/>
      <c r="VQ199" s="4"/>
      <c r="VR199" s="5"/>
      <c r="VS199" s="6"/>
      <c r="VT199" s="4"/>
      <c r="VU199" s="4"/>
      <c r="VV199" s="4"/>
      <c r="VW199" s="4"/>
      <c r="VX199" s="4"/>
      <c r="VY199" s="5"/>
      <c r="VZ199" s="6"/>
      <c r="WA199" s="4"/>
      <c r="WB199" s="4"/>
      <c r="WC199" s="4"/>
      <c r="WD199" s="4"/>
      <c r="WE199" s="4"/>
      <c r="WF199" s="5"/>
      <c r="WG199" s="6"/>
      <c r="WH199" s="4"/>
      <c r="WI199" s="4"/>
      <c r="WJ199" s="4"/>
      <c r="WK199" s="4"/>
      <c r="WL199" s="4"/>
      <c r="WM199" s="5"/>
      <c r="WN199" s="6"/>
      <c r="WO199" s="4"/>
      <c r="WP199" s="4"/>
      <c r="WQ199" s="4"/>
      <c r="WR199" s="4"/>
      <c r="WS199" s="4"/>
      <c r="WT199" s="5"/>
      <c r="WU199" s="6"/>
      <c r="WV199" s="4"/>
      <c r="WW199" s="4"/>
      <c r="WX199" s="4"/>
      <c r="WY199" s="4"/>
      <c r="WZ199" s="4"/>
      <c r="XA199" s="5"/>
      <c r="XB199" s="6"/>
      <c r="XC199" s="4"/>
      <c r="XD199" s="4"/>
      <c r="XE199" s="4"/>
      <c r="XF199" s="4"/>
      <c r="XG199" s="4"/>
      <c r="XH199" s="5"/>
      <c r="XI199" s="6"/>
      <c r="XJ199" s="4"/>
      <c r="XK199" s="4"/>
      <c r="XL199" s="4"/>
      <c r="XM199" s="4"/>
      <c r="XN199" s="4"/>
      <c r="XO199" s="5"/>
      <c r="XP199" s="6"/>
      <c r="XQ199" s="4"/>
      <c r="XR199" s="4"/>
      <c r="XS199" s="4"/>
      <c r="XT199" s="4"/>
      <c r="XU199" s="4"/>
      <c r="XV199" s="5"/>
      <c r="XW199" s="6"/>
      <c r="XX199" s="4"/>
      <c r="XY199" s="4"/>
      <c r="XZ199" s="4"/>
      <c r="YA199" s="4"/>
      <c r="YB199" s="4"/>
      <c r="YC199" s="5"/>
      <c r="YD199" s="6"/>
      <c r="YE199" s="4"/>
      <c r="YF199" s="4"/>
      <c r="YG199" s="4"/>
      <c r="YH199" s="4"/>
      <c r="YI199" s="4"/>
      <c r="YJ199" s="5"/>
      <c r="YK199" s="6"/>
      <c r="YL199" s="4"/>
      <c r="YM199" s="4"/>
      <c r="YN199" s="4"/>
      <c r="YO199" s="4"/>
      <c r="YP199" s="4"/>
      <c r="YQ199" s="5"/>
      <c r="YR199" s="6"/>
      <c r="YS199" s="4"/>
      <c r="YT199" s="4"/>
      <c r="YU199" s="4"/>
      <c r="YV199" s="4"/>
      <c r="YW199" s="4"/>
      <c r="YX199" s="5"/>
      <c r="YY199" s="6"/>
      <c r="YZ199" s="4"/>
      <c r="ZA199" s="4"/>
      <c r="ZB199" s="4"/>
      <c r="ZC199" s="4"/>
      <c r="ZD199" s="4"/>
      <c r="ZE199" s="5"/>
      <c r="ZF199" s="6"/>
      <c r="ZG199" s="4"/>
      <c r="ZH199" s="4"/>
      <c r="ZI199" s="4"/>
      <c r="ZJ199" s="4"/>
      <c r="ZK199" s="4"/>
      <c r="ZL199" s="5"/>
      <c r="ZM199" s="6"/>
      <c r="ZN199" s="4"/>
      <c r="ZO199" s="4"/>
      <c r="ZP199" s="4"/>
      <c r="ZQ199" s="4"/>
      <c r="ZR199" s="4"/>
      <c r="ZS199" s="5"/>
      <c r="ZT199" s="6"/>
      <c r="ZU199" s="4"/>
      <c r="ZV199" s="4"/>
      <c r="ZW199" s="4"/>
      <c r="ZX199" s="4"/>
      <c r="ZY199" s="4"/>
      <c r="ZZ199" s="5"/>
      <c r="AAA199" s="6"/>
      <c r="AAB199" s="4"/>
      <c r="AAC199" s="4"/>
      <c r="AAD199" s="4"/>
      <c r="AAE199" s="4"/>
      <c r="AAF199" s="4"/>
      <c r="AAG199" s="5"/>
      <c r="AAH199" s="6"/>
      <c r="AAI199" s="4"/>
      <c r="AAJ199" s="4"/>
      <c r="AAK199" s="4"/>
      <c r="AAL199" s="4"/>
      <c r="AAM199" s="4"/>
      <c r="AAN199" s="5"/>
      <c r="AAO199" s="6"/>
      <c r="AAP199" s="4"/>
      <c r="AAQ199" s="4"/>
      <c r="AAR199" s="4"/>
      <c r="AAS199" s="4"/>
      <c r="AAT199" s="4"/>
      <c r="AAU199" s="5"/>
      <c r="AAV199" s="6"/>
      <c r="AAW199" s="4"/>
      <c r="AAX199" s="4"/>
      <c r="AAY199" s="4"/>
      <c r="AAZ199" s="4"/>
      <c r="ABA199" s="4"/>
      <c r="ABB199" s="5"/>
      <c r="ABC199" s="6"/>
      <c r="ABD199" s="4"/>
      <c r="ABE199" s="4"/>
      <c r="ABF199" s="4"/>
      <c r="ABG199" s="4"/>
      <c r="ABH199" s="4"/>
      <c r="ABI199" s="5"/>
      <c r="ABJ199" s="6"/>
      <c r="ABK199" s="4"/>
      <c r="ABL199" s="4"/>
      <c r="ABM199" s="4"/>
      <c r="ABN199" s="4"/>
      <c r="ABO199" s="4"/>
      <c r="ABP199" s="5"/>
      <c r="ABQ199" s="6"/>
      <c r="ABR199" s="4"/>
      <c r="ABS199" s="4"/>
      <c r="ABT199" s="4"/>
      <c r="ABU199" s="4"/>
      <c r="ABV199" s="4"/>
      <c r="ABW199" s="5"/>
      <c r="ABX199" s="6"/>
      <c r="ABY199" s="4"/>
      <c r="ABZ199" s="4"/>
      <c r="ACA199" s="4"/>
      <c r="ACB199" s="4"/>
      <c r="ACC199" s="4"/>
      <c r="ACD199" s="5"/>
      <c r="ACE199" s="6"/>
      <c r="ACF199" s="4"/>
      <c r="ACG199" s="4"/>
      <c r="ACH199" s="4"/>
      <c r="ACI199" s="4"/>
      <c r="ACJ199" s="4"/>
      <c r="ACK199" s="5"/>
      <c r="ACL199" s="6"/>
      <c r="ACM199" s="4"/>
      <c r="ACN199" s="4"/>
      <c r="ACO199" s="4"/>
      <c r="ACP199" s="4"/>
      <c r="ACQ199" s="4"/>
      <c r="ACR199" s="5"/>
      <c r="ACS199" s="6"/>
      <c r="ACT199" s="4"/>
      <c r="ACU199" s="4"/>
      <c r="ACV199" s="4"/>
      <c r="ACW199" s="4"/>
      <c r="ACX199" s="4"/>
      <c r="ACY199" s="5"/>
    </row>
    <row r="200" spans="1:791" x14ac:dyDescent="0.25">
      <c r="B200" s="29">
        <v>99001427</v>
      </c>
      <c r="C200">
        <v>89</v>
      </c>
      <c r="D200" t="s">
        <v>3729</v>
      </c>
      <c r="F200" s="23" t="s">
        <v>1783</v>
      </c>
      <c r="I200">
        <v>1</v>
      </c>
      <c r="J200" s="19">
        <v>36125</v>
      </c>
      <c r="K200" s="19"/>
      <c r="L200" s="19"/>
      <c r="LL200" s="6"/>
      <c r="LM200" s="4"/>
      <c r="LN200" s="4"/>
      <c r="LO200" s="4"/>
      <c r="LP200" s="4"/>
      <c r="LQ200" s="4"/>
      <c r="LR200" s="5"/>
      <c r="LS200" s="6"/>
      <c r="LT200" s="4"/>
      <c r="LU200" s="4"/>
      <c r="LV200" s="4"/>
      <c r="LW200" s="4"/>
      <c r="LX200" s="4"/>
      <c r="LY200" s="5"/>
      <c r="LZ200" s="11" t="s">
        <v>3246</v>
      </c>
      <c r="MA200" s="7" t="s">
        <v>3481</v>
      </c>
      <c r="MH200" s="6"/>
      <c r="MI200" s="4"/>
      <c r="MJ200" s="4"/>
      <c r="MK200" s="4"/>
      <c r="ML200" s="4"/>
      <c r="MM200" s="4"/>
      <c r="MN200" s="5"/>
      <c r="MO200" s="6"/>
      <c r="MP200" s="4"/>
      <c r="MQ200" s="4"/>
      <c r="MR200" s="4"/>
      <c r="MS200" s="4"/>
      <c r="MT200" s="4"/>
      <c r="MU200" s="5"/>
      <c r="MV200" s="6" t="s">
        <v>2503</v>
      </c>
      <c r="MW200" s="4" t="s">
        <v>3408</v>
      </c>
      <c r="MX200" s="4"/>
      <c r="MY200" s="4"/>
      <c r="MZ200" s="4"/>
      <c r="NA200" s="4"/>
      <c r="NB200" s="5"/>
      <c r="NC200" s="6"/>
      <c r="ND200" s="4"/>
      <c r="NE200" s="4"/>
      <c r="NF200" s="4"/>
      <c r="NG200" s="4"/>
      <c r="NH200" s="4"/>
      <c r="NI200" s="5"/>
      <c r="NJ200" s="6"/>
      <c r="NK200" s="4"/>
      <c r="NL200" s="4"/>
      <c r="NM200" s="4"/>
      <c r="NN200" s="4"/>
      <c r="NO200" s="4"/>
      <c r="NP200" s="5"/>
      <c r="NQ200" s="6"/>
      <c r="NR200" s="4"/>
      <c r="NS200" s="4"/>
      <c r="NT200" s="4"/>
      <c r="NU200" s="4"/>
      <c r="NV200" s="4"/>
      <c r="NW200" s="5"/>
      <c r="NX200" s="6"/>
      <c r="NY200" s="4"/>
      <c r="NZ200" s="4"/>
      <c r="OA200" s="4"/>
      <c r="OB200" s="4"/>
      <c r="OC200" s="4"/>
      <c r="OD200" s="5"/>
      <c r="OE200" s="6"/>
      <c r="OF200" s="4"/>
      <c r="OG200" s="4"/>
      <c r="OH200" s="4"/>
      <c r="OI200" s="4"/>
      <c r="OJ200" s="4"/>
      <c r="OK200" s="5"/>
      <c r="OL200" s="6"/>
      <c r="OM200" s="4"/>
      <c r="ON200" s="4"/>
      <c r="OO200" s="4"/>
      <c r="OP200" s="4"/>
      <c r="OQ200" s="4"/>
      <c r="OR200" s="5"/>
      <c r="OS200" s="6"/>
      <c r="OT200" s="4"/>
      <c r="OU200" s="4"/>
      <c r="OV200" s="4"/>
      <c r="OW200" s="4"/>
      <c r="OX200" s="4"/>
      <c r="OY200" s="5"/>
      <c r="OZ200" s="6"/>
      <c r="PA200" s="4"/>
      <c r="PB200" s="4"/>
      <c r="PC200" s="4"/>
      <c r="PD200" s="4"/>
      <c r="PE200" s="4"/>
      <c r="PF200" s="5"/>
      <c r="PG200" s="6"/>
      <c r="PH200" s="4"/>
      <c r="PI200" s="4"/>
      <c r="PJ200" s="4"/>
      <c r="PK200" s="4"/>
      <c r="PL200" s="4"/>
      <c r="PM200" s="5"/>
      <c r="PN200" s="6"/>
      <c r="PO200" s="4"/>
      <c r="PP200" s="4"/>
      <c r="PQ200" s="4"/>
      <c r="PR200" s="4"/>
      <c r="PS200" s="4"/>
      <c r="PT200" s="5"/>
      <c r="PU200" s="6"/>
      <c r="PV200" s="4"/>
      <c r="PW200" s="4"/>
      <c r="PX200" s="4"/>
      <c r="PY200" s="4"/>
      <c r="PZ200" s="4"/>
      <c r="QA200" s="5"/>
      <c r="QB200" s="6"/>
      <c r="QC200" s="4"/>
      <c r="QD200" s="4"/>
      <c r="QE200" s="4"/>
      <c r="QF200" s="4"/>
      <c r="QG200" s="4"/>
      <c r="QH200" s="5"/>
      <c r="QI200" s="6"/>
      <c r="QJ200" s="4"/>
      <c r="QK200" s="4"/>
      <c r="QL200" s="4"/>
      <c r="QM200" s="4"/>
      <c r="QN200" s="4"/>
      <c r="QO200" s="5"/>
      <c r="QP200" s="6"/>
      <c r="QQ200" s="4"/>
      <c r="QR200" s="4"/>
      <c r="QS200" s="4"/>
      <c r="QT200" s="4"/>
      <c r="QU200" s="4"/>
      <c r="QV200" s="5"/>
      <c r="QW200" s="6"/>
      <c r="QX200" s="4"/>
      <c r="QY200" s="4"/>
      <c r="QZ200" s="4"/>
      <c r="RA200" s="4"/>
      <c r="RB200" s="4"/>
      <c r="RC200" s="5"/>
      <c r="RD200" s="6"/>
      <c r="RE200" s="4"/>
      <c r="RF200" s="4"/>
      <c r="RG200" s="4"/>
      <c r="RH200" s="4"/>
      <c r="RI200" s="4"/>
      <c r="RJ200" s="5"/>
      <c r="RK200" s="6"/>
      <c r="RL200" s="4"/>
      <c r="RM200" s="4"/>
      <c r="RN200" s="4"/>
      <c r="RO200" s="4"/>
      <c r="RP200" s="4"/>
      <c r="RQ200" s="5"/>
      <c r="RR200" s="6"/>
      <c r="RS200" s="4"/>
      <c r="RT200" s="4"/>
      <c r="RU200" s="4"/>
      <c r="RV200" s="4"/>
      <c r="RW200" s="4"/>
      <c r="RX200" s="5"/>
      <c r="RY200" s="6"/>
      <c r="RZ200" s="4"/>
      <c r="SA200" s="4"/>
      <c r="SB200" s="4"/>
      <c r="SC200" s="4"/>
      <c r="SD200" s="4"/>
      <c r="SE200" s="5"/>
      <c r="SF200" s="6"/>
      <c r="SG200" s="4"/>
      <c r="SH200" s="4"/>
      <c r="SI200" s="4"/>
      <c r="SJ200" s="4"/>
      <c r="SK200" s="4"/>
      <c r="SL200" s="5"/>
      <c r="SM200" s="6"/>
      <c r="SN200" s="4"/>
      <c r="SO200" s="4"/>
      <c r="SP200" s="4"/>
      <c r="SQ200" s="4"/>
      <c r="SR200" s="4"/>
      <c r="SS200" s="5"/>
      <c r="ST200" s="6"/>
      <c r="SU200" s="4"/>
      <c r="SV200" s="4"/>
      <c r="SW200" s="4"/>
      <c r="SX200" s="4"/>
      <c r="SY200" s="4"/>
      <c r="SZ200" s="5"/>
      <c r="TA200" s="6"/>
      <c r="TB200" s="4"/>
      <c r="TC200" s="4"/>
      <c r="TD200" s="4"/>
      <c r="TE200" s="4"/>
      <c r="TF200" s="4"/>
      <c r="TG200" s="5"/>
      <c r="TH200" s="6"/>
      <c r="TI200" s="4"/>
      <c r="TJ200" s="4"/>
      <c r="TK200" s="4"/>
      <c r="TL200" s="4"/>
      <c r="TM200" s="4"/>
      <c r="TN200" s="5"/>
      <c r="TO200" s="6"/>
      <c r="TP200" s="4"/>
      <c r="TQ200" s="4"/>
      <c r="TR200" s="4"/>
      <c r="TS200" s="4"/>
      <c r="TT200" s="4"/>
      <c r="TU200" s="5"/>
      <c r="TV200" s="6"/>
      <c r="TW200" s="4"/>
      <c r="TX200" s="4"/>
      <c r="TY200" s="4"/>
      <c r="TZ200" s="4"/>
      <c r="UA200" s="4"/>
      <c r="UB200" s="5"/>
      <c r="UC200" s="6"/>
      <c r="UD200" s="4"/>
      <c r="UE200" s="4"/>
      <c r="UF200" s="4"/>
      <c r="UG200" s="4"/>
      <c r="UH200" s="4"/>
      <c r="UI200" s="5"/>
      <c r="UJ200" s="6"/>
      <c r="UK200" s="4"/>
      <c r="UL200" s="4"/>
      <c r="UM200" s="4"/>
      <c r="UN200" s="4"/>
      <c r="UO200" s="4"/>
      <c r="UP200" s="5"/>
      <c r="UQ200" s="6"/>
      <c r="UR200" s="4"/>
      <c r="US200" s="4"/>
      <c r="UT200" s="4"/>
      <c r="UU200" s="4"/>
      <c r="UV200" s="4"/>
      <c r="UW200" s="5"/>
      <c r="UX200" s="6"/>
      <c r="UY200" s="4"/>
      <c r="UZ200" s="4"/>
      <c r="VA200" s="4"/>
      <c r="VB200" s="4"/>
      <c r="VC200" s="4"/>
      <c r="VD200" s="5"/>
      <c r="VE200" s="6"/>
      <c r="VF200" s="4"/>
      <c r="VG200" s="4"/>
      <c r="VH200" s="4"/>
      <c r="VI200" s="4"/>
      <c r="VJ200" s="4"/>
      <c r="VK200" s="5"/>
      <c r="VL200" s="6"/>
      <c r="VM200" s="4"/>
      <c r="VN200" s="4"/>
      <c r="VO200" s="4"/>
      <c r="VP200" s="4"/>
      <c r="VQ200" s="4"/>
      <c r="VR200" s="5"/>
      <c r="VS200" s="6"/>
      <c r="VT200" s="4"/>
      <c r="VU200" s="4"/>
      <c r="VV200" s="4"/>
      <c r="VW200" s="4"/>
      <c r="VX200" s="4"/>
      <c r="VY200" s="5"/>
      <c r="VZ200" s="6"/>
      <c r="WA200" s="4"/>
      <c r="WB200" s="4"/>
      <c r="WC200" s="4"/>
      <c r="WD200" s="4"/>
      <c r="WE200" s="4"/>
      <c r="WF200" s="5"/>
      <c r="WG200" s="6"/>
      <c r="WH200" s="4"/>
      <c r="WI200" s="4"/>
      <c r="WJ200" s="4"/>
      <c r="WK200" s="4"/>
      <c r="WL200" s="4"/>
      <c r="WM200" s="5"/>
      <c r="WN200" s="6"/>
      <c r="WO200" s="4"/>
      <c r="WP200" s="4"/>
      <c r="WQ200" s="4"/>
      <c r="WR200" s="4"/>
      <c r="WS200" s="4"/>
      <c r="WT200" s="5"/>
      <c r="WU200" s="6"/>
      <c r="WV200" s="4"/>
      <c r="WW200" s="4"/>
      <c r="WX200" s="4"/>
      <c r="WY200" s="4"/>
      <c r="WZ200" s="4"/>
      <c r="XA200" s="5"/>
      <c r="XB200" s="6"/>
      <c r="XC200" s="4"/>
      <c r="XD200" s="4"/>
      <c r="XE200" s="4"/>
      <c r="XF200" s="4"/>
      <c r="XG200" s="4"/>
      <c r="XH200" s="5"/>
      <c r="XI200" s="6"/>
      <c r="XJ200" s="4"/>
      <c r="XK200" s="4"/>
      <c r="XL200" s="4"/>
      <c r="XM200" s="4"/>
      <c r="XN200" s="4"/>
      <c r="XO200" s="5"/>
      <c r="XP200" s="6"/>
      <c r="XQ200" s="4"/>
      <c r="XR200" s="4"/>
      <c r="XS200" s="4"/>
      <c r="XT200" s="4"/>
      <c r="XU200" s="4"/>
      <c r="XV200" s="5"/>
      <c r="XW200" s="6"/>
      <c r="XX200" s="4"/>
      <c r="XY200" s="4"/>
      <c r="XZ200" s="4"/>
      <c r="YA200" s="4"/>
      <c r="YB200" s="4"/>
      <c r="YC200" s="5"/>
      <c r="YD200" s="6"/>
      <c r="YE200" s="4"/>
      <c r="YF200" s="4"/>
      <c r="YG200" s="4"/>
      <c r="YH200" s="4"/>
      <c r="YI200" s="4"/>
      <c r="YJ200" s="5"/>
      <c r="YK200" s="6"/>
      <c r="YL200" s="4"/>
      <c r="YM200" s="4"/>
      <c r="YN200" s="4"/>
      <c r="YO200" s="4"/>
      <c r="YP200" s="4"/>
      <c r="YQ200" s="5"/>
      <c r="YR200" s="6"/>
      <c r="YS200" s="4"/>
      <c r="YT200" s="4"/>
      <c r="YU200" s="4"/>
      <c r="YV200" s="4"/>
      <c r="YW200" s="4"/>
      <c r="YX200" s="5"/>
      <c r="YY200" s="6"/>
      <c r="YZ200" s="4"/>
      <c r="ZA200" s="4"/>
      <c r="ZB200" s="4"/>
      <c r="ZC200" s="4"/>
      <c r="ZD200" s="4"/>
      <c r="ZE200" s="5"/>
      <c r="ZF200" s="6"/>
      <c r="ZG200" s="4"/>
      <c r="ZH200" s="4"/>
      <c r="ZI200" s="4"/>
      <c r="ZJ200" s="4"/>
      <c r="ZK200" s="4"/>
      <c r="ZL200" s="5"/>
      <c r="ZM200" s="6"/>
      <c r="ZN200" s="4"/>
      <c r="ZO200" s="4"/>
      <c r="ZP200" s="4"/>
      <c r="ZQ200" s="4"/>
      <c r="ZR200" s="4"/>
      <c r="ZS200" s="5"/>
      <c r="ZT200" s="6"/>
      <c r="ZU200" s="4"/>
      <c r="ZV200" s="4"/>
      <c r="ZW200" s="4"/>
      <c r="ZX200" s="4"/>
      <c r="ZY200" s="4"/>
      <c r="ZZ200" s="5"/>
      <c r="AAA200" s="6"/>
      <c r="AAB200" s="4"/>
      <c r="AAC200" s="4"/>
      <c r="AAD200" s="4"/>
      <c r="AAE200" s="4"/>
      <c r="AAF200" s="4"/>
      <c r="AAG200" s="5"/>
      <c r="AAH200" s="6" t="s">
        <v>3001</v>
      </c>
      <c r="AAI200" s="4" t="s">
        <v>2937</v>
      </c>
      <c r="AAJ200" s="4"/>
      <c r="AAK200" s="4"/>
      <c r="AAL200" s="4"/>
      <c r="AAM200" s="4"/>
      <c r="AAN200" s="5"/>
      <c r="AAO200" s="6"/>
      <c r="AAP200" s="4"/>
      <c r="AAQ200" s="4"/>
      <c r="AAR200" s="4"/>
      <c r="AAS200" s="4"/>
      <c r="AAT200" s="4"/>
      <c r="AAU200" s="5"/>
      <c r="AAV200" s="6"/>
      <c r="AAW200" s="4"/>
      <c r="AAX200" s="4"/>
      <c r="AAY200" s="4"/>
      <c r="AAZ200" s="4"/>
      <c r="ABA200" s="4"/>
      <c r="ABB200" s="5"/>
      <c r="ABC200" s="6"/>
      <c r="ABD200" s="4"/>
      <c r="ABE200" s="4"/>
      <c r="ABF200" s="4"/>
      <c r="ABG200" s="4"/>
      <c r="ABH200" s="4"/>
      <c r="ABI200" s="5"/>
      <c r="ABJ200" s="6"/>
      <c r="ABK200" s="4"/>
      <c r="ABL200" s="4"/>
      <c r="ABM200" s="4"/>
      <c r="ABN200" s="4"/>
      <c r="ABO200" s="4"/>
      <c r="ABP200" s="5"/>
      <c r="ABQ200" s="6"/>
      <c r="ABR200" s="4"/>
      <c r="ABS200" s="4"/>
      <c r="ABT200" s="4"/>
      <c r="ABU200" s="4"/>
      <c r="ABV200" s="4"/>
      <c r="ABW200" s="5"/>
      <c r="ABX200" s="6"/>
      <c r="ABY200" s="4"/>
      <c r="ABZ200" s="4"/>
      <c r="ACA200" s="4"/>
      <c r="ACB200" s="4"/>
      <c r="ACC200" s="4"/>
      <c r="ACD200" s="5"/>
      <c r="ACE200" s="6"/>
      <c r="ACF200" s="4"/>
      <c r="ACG200" s="4"/>
      <c r="ACH200" s="4"/>
      <c r="ACI200" s="4"/>
      <c r="ACJ200" s="4"/>
      <c r="ACK200" s="5"/>
      <c r="ACL200" s="6"/>
      <c r="ACM200" s="4"/>
      <c r="ACN200" s="4"/>
      <c r="ACO200" s="4"/>
      <c r="ACP200" s="4"/>
      <c r="ACQ200" s="4"/>
      <c r="ACR200" s="5"/>
      <c r="ACS200" s="6"/>
      <c r="ACT200" s="4"/>
      <c r="ACU200" s="4"/>
      <c r="ACV200" s="4"/>
      <c r="ACW200" s="4"/>
      <c r="ACX200" s="4"/>
      <c r="ACY200" s="5"/>
    </row>
    <row r="201" spans="1:791" x14ac:dyDescent="0.25">
      <c r="B201" s="49">
        <v>99001473</v>
      </c>
      <c r="C201">
        <v>58</v>
      </c>
      <c r="D201" t="s">
        <v>681</v>
      </c>
      <c r="F201" s="23" t="s">
        <v>1781</v>
      </c>
      <c r="J201" s="12"/>
      <c r="K201" s="12"/>
      <c r="L201" s="12"/>
      <c r="M201">
        <v>1</v>
      </c>
      <c r="N201" s="17">
        <v>36024</v>
      </c>
      <c r="LL201" s="6"/>
      <c r="LM201" s="4"/>
      <c r="LN201" s="4"/>
      <c r="LO201" s="4"/>
      <c r="LP201" s="4"/>
      <c r="LQ201" s="4"/>
      <c r="LR201" s="5"/>
      <c r="LS201" s="6"/>
      <c r="LT201" s="4"/>
      <c r="LU201" s="4"/>
      <c r="LV201" s="4"/>
      <c r="LW201" s="4"/>
      <c r="LX201" s="4"/>
      <c r="LY201" s="5"/>
      <c r="LZ201" s="6" t="s">
        <v>716</v>
      </c>
      <c r="MA201" s="7" t="s">
        <v>2375</v>
      </c>
      <c r="MB201" s="4"/>
      <c r="MC201" s="4"/>
      <c r="MD201" s="8"/>
      <c r="ME201" s="4"/>
      <c r="MF201" s="4" t="s">
        <v>327</v>
      </c>
      <c r="MG201" s="5"/>
      <c r="MH201" s="6"/>
      <c r="MI201" s="4"/>
      <c r="MJ201" s="4"/>
      <c r="MK201" s="4"/>
      <c r="ML201" s="4"/>
      <c r="MM201" s="4"/>
      <c r="MN201" s="5"/>
      <c r="MO201" s="6"/>
      <c r="MP201" s="4"/>
      <c r="MQ201" s="4"/>
      <c r="MR201" s="4"/>
      <c r="MS201" s="4"/>
      <c r="MT201" s="4"/>
      <c r="MU201" s="5"/>
      <c r="MV201" s="6"/>
      <c r="MW201" s="4"/>
      <c r="MX201" s="4"/>
      <c r="MY201" s="4"/>
      <c r="MZ201" s="4"/>
      <c r="NA201" s="4"/>
      <c r="NB201" s="5"/>
      <c r="NC201" s="6" t="s">
        <v>717</v>
      </c>
      <c r="ND201" s="4" t="s">
        <v>2699</v>
      </c>
      <c r="NE201" s="4"/>
      <c r="NF201" s="4"/>
      <c r="NG201" s="4"/>
      <c r="NH201" s="4"/>
      <c r="NI201" s="5"/>
      <c r="NJ201" s="6"/>
      <c r="NK201" s="4"/>
      <c r="NL201" s="4"/>
      <c r="NM201" s="4"/>
      <c r="NN201" s="4"/>
      <c r="NO201" s="4"/>
      <c r="NP201" s="5"/>
      <c r="NQ201" s="6"/>
      <c r="NR201" s="4"/>
      <c r="NS201" s="4"/>
      <c r="NT201" s="4"/>
      <c r="NU201" s="4"/>
      <c r="NV201" s="4"/>
      <c r="NW201" s="5"/>
      <c r="NX201" s="6"/>
      <c r="NY201" s="4"/>
      <c r="NZ201" s="4"/>
      <c r="OA201" s="4"/>
      <c r="OB201" s="4"/>
      <c r="OC201" s="4"/>
      <c r="OD201" s="5"/>
      <c r="OE201" s="6"/>
      <c r="OF201" s="4"/>
      <c r="OG201" s="4"/>
      <c r="OH201" s="4"/>
      <c r="OI201" s="4"/>
      <c r="OJ201" s="4"/>
      <c r="OK201" s="5"/>
      <c r="OL201" s="6"/>
      <c r="OM201" s="4"/>
      <c r="ON201" s="4"/>
      <c r="OO201" s="4"/>
      <c r="OP201" s="4"/>
      <c r="OQ201" s="4"/>
      <c r="OR201" s="5"/>
      <c r="OS201" s="6"/>
      <c r="OT201" s="4"/>
      <c r="OU201" s="4"/>
      <c r="OV201" s="4"/>
      <c r="OW201" s="4"/>
      <c r="OX201" s="4"/>
      <c r="OY201" s="5"/>
      <c r="OZ201" s="6"/>
      <c r="PA201" s="4"/>
      <c r="PB201" s="4"/>
      <c r="PC201" s="4"/>
      <c r="PD201" s="4"/>
      <c r="PE201" s="4"/>
      <c r="PF201" s="5"/>
      <c r="PG201" s="6"/>
      <c r="PH201" s="4"/>
      <c r="PI201" s="4"/>
      <c r="PJ201" s="4"/>
      <c r="PK201" s="4"/>
      <c r="PL201" s="4"/>
      <c r="PM201" s="5"/>
      <c r="PN201" s="6"/>
      <c r="PO201" s="4"/>
      <c r="PP201" s="4"/>
      <c r="PQ201" s="4"/>
      <c r="PR201" s="4"/>
      <c r="PS201" s="4"/>
      <c r="PT201" s="5"/>
      <c r="PU201" s="6"/>
      <c r="PV201" s="4"/>
      <c r="PW201" s="4"/>
      <c r="PX201" s="4"/>
      <c r="PY201" s="4"/>
      <c r="PZ201" s="4"/>
      <c r="QA201" s="5"/>
      <c r="QB201" s="6"/>
      <c r="QC201" s="4"/>
      <c r="QD201" s="4"/>
      <c r="QE201" s="4"/>
      <c r="QF201" s="4"/>
      <c r="QG201" s="4"/>
      <c r="QH201" s="5"/>
      <c r="QI201" s="6"/>
      <c r="QJ201" s="4"/>
      <c r="QK201" s="4"/>
      <c r="QL201" s="4"/>
      <c r="QM201" s="4"/>
      <c r="QN201" s="4"/>
      <c r="QO201" s="5"/>
      <c r="QP201" s="6"/>
      <c r="QQ201" s="4"/>
      <c r="QR201" s="4"/>
      <c r="QS201" s="4"/>
      <c r="QT201" s="4"/>
      <c r="QU201" s="4"/>
      <c r="QV201" s="5"/>
      <c r="QW201" s="6"/>
      <c r="QX201" s="4"/>
      <c r="QY201" s="4"/>
      <c r="QZ201" s="4"/>
      <c r="RA201" s="4"/>
      <c r="RB201" s="4"/>
      <c r="RC201" s="5"/>
      <c r="RD201" s="6"/>
      <c r="RE201" s="4"/>
      <c r="RF201" s="4"/>
      <c r="RG201" s="4"/>
      <c r="RH201" s="4"/>
      <c r="RI201" s="4"/>
      <c r="RJ201" s="5"/>
      <c r="RK201" s="6"/>
      <c r="RL201" s="4"/>
      <c r="RM201" s="4"/>
      <c r="RN201" s="4"/>
      <c r="RO201" s="4"/>
      <c r="RP201" s="4"/>
      <c r="RQ201" s="5"/>
      <c r="RR201" s="6"/>
      <c r="RS201" s="4"/>
      <c r="RT201" s="4"/>
      <c r="RU201" s="4"/>
      <c r="RV201" s="4"/>
      <c r="RW201" s="4"/>
      <c r="RX201" s="5"/>
      <c r="RY201" s="6"/>
      <c r="RZ201" s="4"/>
      <c r="SA201" s="4"/>
      <c r="SB201" s="4"/>
      <c r="SC201" s="4"/>
      <c r="SD201" s="4"/>
      <c r="SE201" s="5"/>
      <c r="SF201" s="6"/>
      <c r="SG201" s="4"/>
      <c r="SH201" s="4"/>
      <c r="SI201" s="4"/>
      <c r="SJ201" s="4"/>
      <c r="SK201" s="4"/>
      <c r="SL201" s="5"/>
      <c r="SM201" s="6"/>
      <c r="SN201" s="4"/>
      <c r="SO201" s="4"/>
      <c r="SP201" s="4"/>
      <c r="SQ201" s="4"/>
      <c r="SR201" s="4"/>
      <c r="SS201" s="5"/>
      <c r="ST201" s="6"/>
      <c r="SU201" s="4"/>
      <c r="SV201" s="4"/>
      <c r="SW201" s="4"/>
      <c r="SX201" s="4"/>
      <c r="SY201" s="4"/>
      <c r="SZ201" s="5"/>
      <c r="TA201" s="6"/>
      <c r="TB201" s="4"/>
      <c r="TC201" s="4"/>
      <c r="TD201" s="4"/>
      <c r="TE201" s="4"/>
      <c r="TF201" s="4"/>
      <c r="TG201" s="5"/>
      <c r="TH201" s="6"/>
      <c r="TI201" s="4"/>
      <c r="TJ201" s="4"/>
      <c r="TK201" s="4"/>
      <c r="TL201" s="4"/>
      <c r="TM201" s="4"/>
      <c r="TN201" s="5"/>
      <c r="TO201" s="6"/>
      <c r="TP201" s="4"/>
      <c r="TQ201" s="4"/>
      <c r="TR201" s="4"/>
      <c r="TS201" s="4"/>
      <c r="TT201" s="4"/>
      <c r="TU201" s="5"/>
      <c r="TV201" s="6"/>
      <c r="TW201" s="4"/>
      <c r="TX201" s="4"/>
      <c r="TY201" s="4"/>
      <c r="TZ201" s="4"/>
      <c r="UA201" s="4"/>
      <c r="UB201" s="5"/>
      <c r="UC201" s="6"/>
      <c r="UD201" s="4"/>
      <c r="UE201" s="4"/>
      <c r="UF201" s="4"/>
      <c r="UG201" s="4"/>
      <c r="UH201" s="4"/>
      <c r="UI201" s="5"/>
      <c r="UJ201" s="6"/>
      <c r="UK201" s="4"/>
      <c r="UL201" s="4"/>
      <c r="UM201" s="4"/>
      <c r="UN201" s="4"/>
      <c r="UO201" s="4"/>
      <c r="UP201" s="5"/>
      <c r="UQ201" s="6"/>
      <c r="UR201" s="4"/>
      <c r="US201" s="4"/>
      <c r="UT201" s="4"/>
      <c r="UU201" s="4"/>
      <c r="UV201" s="4"/>
      <c r="UW201" s="5"/>
      <c r="UX201" s="6"/>
      <c r="UY201" s="4"/>
      <c r="UZ201" s="4"/>
      <c r="VA201" s="4"/>
      <c r="VB201" s="4"/>
      <c r="VC201" s="4"/>
      <c r="VD201" s="5"/>
      <c r="VE201" s="6"/>
      <c r="VF201" s="4"/>
      <c r="VG201" s="4"/>
      <c r="VH201" s="4"/>
      <c r="VI201" s="4"/>
      <c r="VJ201" s="4"/>
      <c r="VK201" s="5"/>
      <c r="VL201" s="6"/>
      <c r="VM201" s="4"/>
      <c r="VN201" s="4"/>
      <c r="VO201" s="4"/>
      <c r="VP201" s="4"/>
      <c r="VQ201" s="4"/>
      <c r="VR201" s="5"/>
      <c r="VS201" s="6"/>
      <c r="VT201" s="4"/>
      <c r="VU201" s="4"/>
      <c r="VV201" s="4"/>
      <c r="VW201" s="4"/>
      <c r="VX201" s="4"/>
      <c r="VY201" s="5"/>
      <c r="VZ201" s="6"/>
      <c r="WA201" s="4"/>
      <c r="WB201" s="4"/>
      <c r="WC201" s="4"/>
      <c r="WD201" s="4"/>
      <c r="WE201" s="4"/>
      <c r="WF201" s="5"/>
      <c r="WG201" s="6"/>
      <c r="WH201" s="4"/>
      <c r="WI201" s="4"/>
      <c r="WJ201" s="4"/>
      <c r="WK201" s="4"/>
      <c r="WL201" s="4"/>
      <c r="WM201" s="5"/>
      <c r="WN201" s="6"/>
      <c r="WO201" s="4"/>
      <c r="WP201" s="4"/>
      <c r="WQ201" s="4"/>
      <c r="WR201" s="4"/>
      <c r="WS201" s="4"/>
      <c r="WT201" s="5"/>
      <c r="WU201" s="6"/>
      <c r="WV201" s="4"/>
      <c r="WW201" s="4"/>
      <c r="WX201" s="4"/>
      <c r="WY201" s="4"/>
      <c r="WZ201" s="4"/>
      <c r="XA201" s="5"/>
      <c r="XB201" s="6"/>
      <c r="XC201" s="4"/>
      <c r="XD201" s="4"/>
      <c r="XE201" s="4"/>
      <c r="XF201" s="4"/>
      <c r="XG201" s="4"/>
      <c r="XH201" s="5"/>
      <c r="XI201" s="6"/>
      <c r="XJ201" s="4"/>
      <c r="XK201" s="4"/>
      <c r="XL201" s="4"/>
      <c r="XM201" s="4"/>
      <c r="XN201" s="4"/>
      <c r="XO201" s="5"/>
      <c r="XP201" s="6"/>
      <c r="XQ201" s="4"/>
      <c r="XR201" s="4"/>
      <c r="XS201" s="4"/>
      <c r="XT201" s="4"/>
      <c r="XU201" s="4"/>
      <c r="XV201" s="5"/>
      <c r="XW201" s="6"/>
      <c r="XX201" s="4"/>
      <c r="XY201" s="4"/>
      <c r="XZ201" s="4"/>
      <c r="YA201" s="4"/>
      <c r="YB201" s="4"/>
      <c r="YC201" s="5"/>
      <c r="YD201" s="6"/>
      <c r="YE201" s="4"/>
      <c r="YF201" s="4"/>
      <c r="YG201" s="4"/>
      <c r="YH201" s="4"/>
      <c r="YI201" s="4"/>
      <c r="YJ201" s="5"/>
      <c r="YK201" s="6"/>
      <c r="YL201" s="4"/>
      <c r="YM201" s="4"/>
      <c r="YN201" s="4"/>
      <c r="YO201" s="4"/>
      <c r="YP201" s="4"/>
      <c r="YQ201" s="5"/>
      <c r="YR201" s="6"/>
      <c r="YS201" s="4"/>
      <c r="YT201" s="4"/>
      <c r="YU201" s="4"/>
      <c r="YV201" s="4"/>
      <c r="YW201" s="4"/>
      <c r="YX201" s="5"/>
      <c r="YY201" s="6"/>
      <c r="YZ201" s="4"/>
      <c r="ZA201" s="4"/>
      <c r="ZB201" s="4"/>
      <c r="ZC201" s="4"/>
      <c r="ZD201" s="4"/>
      <c r="ZE201" s="5"/>
      <c r="ZF201" s="6"/>
      <c r="ZG201" s="4"/>
      <c r="ZH201" s="4"/>
      <c r="ZI201" s="4"/>
      <c r="ZJ201" s="4"/>
      <c r="ZK201" s="4"/>
      <c r="ZL201" s="5"/>
      <c r="ZM201" s="6" t="s">
        <v>718</v>
      </c>
      <c r="ZN201" s="4" t="s">
        <v>1013</v>
      </c>
      <c r="ZO201" s="4"/>
      <c r="ZP201" s="4"/>
      <c r="ZQ201" s="4"/>
      <c r="ZR201" s="4"/>
      <c r="ZS201" s="5"/>
      <c r="ZT201" s="6"/>
      <c r="ZU201" s="4"/>
      <c r="ZV201" s="4"/>
      <c r="ZW201" s="4"/>
      <c r="ZX201" s="4"/>
      <c r="ZY201" s="4"/>
      <c r="ZZ201" s="5"/>
      <c r="AAA201" s="6"/>
      <c r="AAB201" s="4"/>
      <c r="AAC201" s="4"/>
      <c r="AAD201" s="4"/>
      <c r="AAE201" s="4"/>
      <c r="AAF201" s="4"/>
      <c r="AAG201" s="5"/>
      <c r="AAH201" s="6"/>
      <c r="AAI201" s="4"/>
      <c r="AAJ201" s="4"/>
      <c r="AAK201" s="4"/>
      <c r="AAL201" s="4"/>
      <c r="AAM201" s="4"/>
      <c r="AAN201" s="5"/>
      <c r="AAO201" s="6"/>
      <c r="AAP201" s="4"/>
      <c r="AAQ201" s="4"/>
      <c r="AAR201" s="4"/>
      <c r="AAS201" s="4"/>
      <c r="AAT201" s="4"/>
      <c r="AAU201" s="5"/>
      <c r="AAV201" s="6"/>
      <c r="AAW201" s="4"/>
      <c r="AAX201" s="4"/>
      <c r="AAY201" s="4"/>
      <c r="AAZ201" s="4"/>
      <c r="ABA201" s="4"/>
      <c r="ABB201" s="5"/>
      <c r="ABC201" s="6"/>
      <c r="ABD201" s="4"/>
      <c r="ABE201" s="4"/>
      <c r="ABF201" s="4"/>
      <c r="ABG201" s="4"/>
      <c r="ABH201" s="4"/>
      <c r="ABI201" s="5"/>
      <c r="ABJ201" s="6"/>
      <c r="ABK201" s="4"/>
      <c r="ABL201" s="4"/>
      <c r="ABM201" s="4"/>
      <c r="ABN201" s="4"/>
      <c r="ABO201" s="4"/>
      <c r="ABP201" s="5"/>
      <c r="ABQ201" s="6"/>
      <c r="ABR201" s="4"/>
      <c r="ABS201" s="4"/>
      <c r="ABT201" s="4"/>
      <c r="ABU201" s="4"/>
      <c r="ABV201" s="4"/>
      <c r="ABW201" s="5"/>
      <c r="ABX201" s="6"/>
      <c r="ABY201" s="4"/>
      <c r="ABZ201" s="4"/>
      <c r="ACA201" s="4"/>
      <c r="ACB201" s="4"/>
      <c r="ACC201" s="4"/>
      <c r="ACD201" s="5"/>
      <c r="ACE201" s="6"/>
      <c r="ACF201" s="4"/>
      <c r="ACG201" s="4"/>
      <c r="ACH201" s="4"/>
      <c r="ACI201" s="4"/>
      <c r="ACJ201" s="4"/>
      <c r="ACK201" s="5"/>
      <c r="ACL201" s="6"/>
      <c r="ACM201" s="4"/>
      <c r="ACN201" s="4"/>
      <c r="ACO201" s="4"/>
      <c r="ACP201" s="4"/>
      <c r="ACQ201" s="4"/>
      <c r="ACR201" s="5"/>
      <c r="ACS201" s="6"/>
      <c r="ACT201" s="4"/>
      <c r="ACU201" s="4"/>
      <c r="ACV201" s="4"/>
      <c r="ACW201" s="4"/>
      <c r="ACX201" s="4"/>
      <c r="ACY201" s="5"/>
    </row>
    <row r="202" spans="1:791" x14ac:dyDescent="0.25">
      <c r="B202" s="30"/>
      <c r="J202" s="12"/>
      <c r="K202" s="12"/>
      <c r="L202" s="12"/>
      <c r="LL202" s="6"/>
      <c r="LM202" s="4"/>
      <c r="LN202" s="4"/>
      <c r="LO202" s="4"/>
      <c r="LP202" s="4"/>
      <c r="LQ202" s="4"/>
      <c r="LR202" s="5"/>
      <c r="LS202" s="6"/>
      <c r="LT202" s="4"/>
      <c r="LU202" s="4"/>
      <c r="LV202" s="4"/>
      <c r="LW202" s="4"/>
      <c r="LX202" s="4"/>
      <c r="LY202" s="5"/>
      <c r="LZ202" s="6" t="s">
        <v>2259</v>
      </c>
      <c r="MA202" s="7" t="s">
        <v>2254</v>
      </c>
      <c r="MB202" s="4"/>
      <c r="MC202" s="4"/>
      <c r="MD202" s="8"/>
      <c r="ME202" s="4"/>
      <c r="MF202" s="4" t="s">
        <v>328</v>
      </c>
      <c r="MG202" s="5"/>
      <c r="MH202" s="6"/>
      <c r="MI202" s="4"/>
      <c r="MJ202" s="4"/>
      <c r="MK202" s="4"/>
      <c r="ML202" s="4"/>
      <c r="MM202" s="4"/>
      <c r="MN202" s="5"/>
      <c r="MO202" s="6"/>
      <c r="MP202" s="4"/>
      <c r="MQ202" s="4"/>
      <c r="MR202" s="4"/>
      <c r="MS202" s="4"/>
      <c r="MT202" s="4"/>
      <c r="MU202" s="5"/>
      <c r="MV202" s="6"/>
      <c r="MW202" s="4"/>
      <c r="MX202" s="4"/>
      <c r="MY202" s="4"/>
      <c r="MZ202" s="4"/>
      <c r="NA202" s="4"/>
      <c r="NB202" s="5"/>
      <c r="NC202" s="6"/>
      <c r="ND202" s="4"/>
      <c r="NE202" s="4"/>
      <c r="NF202" s="4"/>
      <c r="NG202" s="4"/>
      <c r="NH202" s="4"/>
      <c r="NI202" s="5"/>
      <c r="NJ202" s="6"/>
      <c r="NK202" s="4"/>
      <c r="NL202" s="4"/>
      <c r="NM202" s="4"/>
      <c r="NN202" s="4"/>
      <c r="NO202" s="4"/>
      <c r="NP202" s="5"/>
      <c r="NQ202" s="6"/>
      <c r="NR202" s="4"/>
      <c r="NS202" s="4"/>
      <c r="NT202" s="4"/>
      <c r="NU202" s="4"/>
      <c r="NV202" s="4"/>
      <c r="NW202" s="5"/>
      <c r="NX202" s="6"/>
      <c r="NY202" s="4"/>
      <c r="NZ202" s="4"/>
      <c r="OA202" s="4"/>
      <c r="OB202" s="4"/>
      <c r="OC202" s="4"/>
      <c r="OD202" s="5"/>
      <c r="OE202" s="6"/>
      <c r="OF202" s="4"/>
      <c r="OG202" s="4"/>
      <c r="OH202" s="4"/>
      <c r="OI202" s="4"/>
      <c r="OJ202" s="4"/>
      <c r="OK202" s="5"/>
      <c r="OL202" s="6"/>
      <c r="OM202" s="4"/>
      <c r="ON202" s="4"/>
      <c r="OO202" s="4"/>
      <c r="OP202" s="4"/>
      <c r="OQ202" s="4"/>
      <c r="OR202" s="5"/>
      <c r="OS202" s="6"/>
      <c r="OT202" s="4"/>
      <c r="OU202" s="4"/>
      <c r="OV202" s="4"/>
      <c r="OW202" s="4"/>
      <c r="OX202" s="4"/>
      <c r="OY202" s="5"/>
      <c r="OZ202" s="6"/>
      <c r="PA202" s="4"/>
      <c r="PB202" s="4"/>
      <c r="PC202" s="4"/>
      <c r="PD202" s="4"/>
      <c r="PE202" s="4"/>
      <c r="PF202" s="5"/>
      <c r="PG202" s="6"/>
      <c r="PH202" s="4"/>
      <c r="PI202" s="4"/>
      <c r="PJ202" s="4"/>
      <c r="PK202" s="4"/>
      <c r="PL202" s="4"/>
      <c r="PM202" s="5"/>
      <c r="PN202" s="6"/>
      <c r="PO202" s="4"/>
      <c r="PP202" s="4"/>
      <c r="PQ202" s="4"/>
      <c r="PR202" s="4"/>
      <c r="PS202" s="4"/>
      <c r="PT202" s="5"/>
      <c r="PU202" s="6"/>
      <c r="PV202" s="4"/>
      <c r="PW202" s="4"/>
      <c r="PX202" s="4"/>
      <c r="PY202" s="4"/>
      <c r="PZ202" s="4"/>
      <c r="QA202" s="5"/>
      <c r="QB202" s="6"/>
      <c r="QC202" s="4"/>
      <c r="QD202" s="4"/>
      <c r="QE202" s="4"/>
      <c r="QF202" s="4"/>
      <c r="QG202" s="4"/>
      <c r="QH202" s="5"/>
      <c r="QI202" s="6"/>
      <c r="QJ202" s="4"/>
      <c r="QK202" s="4"/>
      <c r="QL202" s="4"/>
      <c r="QM202" s="4"/>
      <c r="QN202" s="4"/>
      <c r="QO202" s="5"/>
      <c r="QP202" s="6"/>
      <c r="QQ202" s="4"/>
      <c r="QR202" s="4"/>
      <c r="QS202" s="4"/>
      <c r="QT202" s="4"/>
      <c r="QU202" s="4"/>
      <c r="QV202" s="5"/>
      <c r="QW202" s="6"/>
      <c r="QX202" s="4"/>
      <c r="QY202" s="4"/>
      <c r="QZ202" s="4"/>
      <c r="RA202" s="4"/>
      <c r="RB202" s="4"/>
      <c r="RC202" s="5"/>
      <c r="RD202" s="6"/>
      <c r="RE202" s="4"/>
      <c r="RF202" s="4"/>
      <c r="RG202" s="4"/>
      <c r="RH202" s="4"/>
      <c r="RI202" s="4"/>
      <c r="RJ202" s="5"/>
      <c r="RK202" s="6"/>
      <c r="RL202" s="4"/>
      <c r="RM202" s="4"/>
      <c r="RN202" s="4"/>
      <c r="RO202" s="4"/>
      <c r="RP202" s="4"/>
      <c r="RQ202" s="5"/>
      <c r="RR202" s="6"/>
      <c r="RS202" s="4"/>
      <c r="RT202" s="4"/>
      <c r="RU202" s="4"/>
      <c r="RV202" s="4"/>
      <c r="RW202" s="4"/>
      <c r="RX202" s="5"/>
      <c r="RY202" s="6"/>
      <c r="RZ202" s="4"/>
      <c r="SA202" s="4"/>
      <c r="SB202" s="4"/>
      <c r="SC202" s="4"/>
      <c r="SD202" s="4"/>
      <c r="SE202" s="5"/>
      <c r="SF202" s="6"/>
      <c r="SG202" s="4"/>
      <c r="SH202" s="4"/>
      <c r="SI202" s="4"/>
      <c r="SJ202" s="4"/>
      <c r="SK202" s="4"/>
      <c r="SL202" s="5"/>
      <c r="SM202" s="6"/>
      <c r="SN202" s="4"/>
      <c r="SO202" s="4"/>
      <c r="SP202" s="4"/>
      <c r="SQ202" s="4"/>
      <c r="SR202" s="4"/>
      <c r="SS202" s="5"/>
      <c r="ST202" s="6"/>
      <c r="SU202" s="4"/>
      <c r="SV202" s="4"/>
      <c r="SW202" s="4"/>
      <c r="SX202" s="4"/>
      <c r="SY202" s="4"/>
      <c r="SZ202" s="5"/>
      <c r="TA202" s="6"/>
      <c r="TB202" s="4"/>
      <c r="TC202" s="4"/>
      <c r="TD202" s="4"/>
      <c r="TE202" s="4"/>
      <c r="TF202" s="4"/>
      <c r="TG202" s="5"/>
      <c r="TH202" s="6"/>
      <c r="TI202" s="4"/>
      <c r="TJ202" s="4"/>
      <c r="TK202" s="4"/>
      <c r="TL202" s="4"/>
      <c r="TM202" s="4"/>
      <c r="TN202" s="5"/>
      <c r="TO202" s="6"/>
      <c r="TP202" s="4"/>
      <c r="TQ202" s="4"/>
      <c r="TR202" s="4"/>
      <c r="TS202" s="4"/>
      <c r="TT202" s="4"/>
      <c r="TU202" s="5"/>
      <c r="TV202" s="6"/>
      <c r="TW202" s="4"/>
      <c r="TX202" s="4"/>
      <c r="TY202" s="4"/>
      <c r="TZ202" s="4"/>
      <c r="UA202" s="4"/>
      <c r="UB202" s="5"/>
      <c r="UC202" s="6"/>
      <c r="UD202" s="4"/>
      <c r="UE202" s="4"/>
      <c r="UF202" s="4"/>
      <c r="UG202" s="4"/>
      <c r="UH202" s="4"/>
      <c r="UI202" s="5"/>
      <c r="UJ202" s="6"/>
      <c r="UK202" s="4"/>
      <c r="UL202" s="4"/>
      <c r="UM202" s="4"/>
      <c r="UN202" s="4"/>
      <c r="UO202" s="4"/>
      <c r="UP202" s="5"/>
      <c r="UQ202" s="6"/>
      <c r="UR202" s="4"/>
      <c r="US202" s="4"/>
      <c r="UT202" s="4"/>
      <c r="UU202" s="4"/>
      <c r="UV202" s="4"/>
      <c r="UW202" s="5"/>
      <c r="UX202" s="6"/>
      <c r="UY202" s="4"/>
      <c r="UZ202" s="4"/>
      <c r="VA202" s="4"/>
      <c r="VB202" s="4"/>
      <c r="VC202" s="4"/>
      <c r="VD202" s="5"/>
      <c r="VE202" s="6"/>
      <c r="VF202" s="4"/>
      <c r="VG202" s="4"/>
      <c r="VH202" s="4"/>
      <c r="VI202" s="4"/>
      <c r="VJ202" s="4"/>
      <c r="VK202" s="5"/>
      <c r="VL202" s="6"/>
      <c r="VM202" s="4"/>
      <c r="VN202" s="4"/>
      <c r="VO202" s="4"/>
      <c r="VP202" s="4"/>
      <c r="VQ202" s="4"/>
      <c r="VR202" s="5"/>
      <c r="VS202" s="6"/>
      <c r="VT202" s="4"/>
      <c r="VU202" s="4"/>
      <c r="VV202" s="4"/>
      <c r="VW202" s="4"/>
      <c r="VX202" s="4"/>
      <c r="VY202" s="5"/>
      <c r="VZ202" s="6"/>
      <c r="WA202" s="4"/>
      <c r="WB202" s="4"/>
      <c r="WC202" s="4"/>
      <c r="WD202" s="4"/>
      <c r="WE202" s="4"/>
      <c r="WF202" s="5"/>
      <c r="WG202" s="6"/>
      <c r="WH202" s="4"/>
      <c r="WI202" s="4"/>
      <c r="WJ202" s="4"/>
      <c r="WK202" s="4"/>
      <c r="WL202" s="4"/>
      <c r="WM202" s="5"/>
      <c r="WN202" s="6"/>
      <c r="WO202" s="4"/>
      <c r="WP202" s="4"/>
      <c r="WQ202" s="4"/>
      <c r="WR202" s="4"/>
      <c r="WS202" s="4"/>
      <c r="WT202" s="5"/>
      <c r="WU202" s="6"/>
      <c r="WV202" s="4"/>
      <c r="WW202" s="4"/>
      <c r="WX202" s="4"/>
      <c r="WY202" s="4"/>
      <c r="WZ202" s="4"/>
      <c r="XA202" s="5"/>
      <c r="XB202" s="6"/>
      <c r="XC202" s="4"/>
      <c r="XD202" s="4"/>
      <c r="XE202" s="4"/>
      <c r="XF202" s="4"/>
      <c r="XG202" s="4"/>
      <c r="XH202" s="5"/>
      <c r="XI202" s="6"/>
      <c r="XJ202" s="4"/>
      <c r="XK202" s="4"/>
      <c r="XL202" s="4"/>
      <c r="XM202" s="4"/>
      <c r="XN202" s="4"/>
      <c r="XO202" s="5"/>
      <c r="XP202" s="6"/>
      <c r="XQ202" s="4"/>
      <c r="XR202" s="4"/>
      <c r="XS202" s="4"/>
      <c r="XT202" s="4"/>
      <c r="XU202" s="4"/>
      <c r="XV202" s="5"/>
      <c r="XW202" s="6"/>
      <c r="XX202" s="4"/>
      <c r="XY202" s="4"/>
      <c r="XZ202" s="4"/>
      <c r="YA202" s="4"/>
      <c r="YB202" s="4"/>
      <c r="YC202" s="5"/>
      <c r="YD202" s="6"/>
      <c r="YE202" s="4"/>
      <c r="YF202" s="4"/>
      <c r="YG202" s="4"/>
      <c r="YH202" s="4"/>
      <c r="YI202" s="4"/>
      <c r="YJ202" s="5"/>
      <c r="YK202" s="6"/>
      <c r="YR202" s="6"/>
      <c r="YS202" s="4"/>
      <c r="YT202" s="4"/>
      <c r="YU202" s="4"/>
      <c r="YV202" s="4"/>
      <c r="YW202" s="4"/>
      <c r="YX202" s="5"/>
      <c r="YY202" s="6"/>
      <c r="YZ202" s="4"/>
      <c r="ZA202" s="4"/>
      <c r="ZB202" s="4"/>
      <c r="ZC202" s="4"/>
      <c r="ZD202" s="4"/>
      <c r="ZE202" s="5"/>
      <c r="ZF202" s="6"/>
      <c r="ZG202" s="4"/>
      <c r="ZH202" s="4"/>
      <c r="ZI202" s="4"/>
      <c r="ZJ202" s="4"/>
      <c r="ZK202" s="4"/>
      <c r="ZL202" s="5"/>
      <c r="ZM202" s="6"/>
      <c r="ZN202" s="4"/>
      <c r="ZO202" s="4"/>
      <c r="ZP202" s="4"/>
      <c r="ZQ202" s="4"/>
      <c r="ZR202" s="4"/>
      <c r="ZS202" s="5"/>
      <c r="ZT202" s="6"/>
      <c r="ZU202" s="4"/>
      <c r="ZV202" s="4"/>
      <c r="ZW202" s="4"/>
      <c r="ZX202" s="4"/>
      <c r="ZY202" s="4"/>
      <c r="ZZ202" s="5"/>
      <c r="AAA202" s="6"/>
      <c r="AAB202" s="4"/>
      <c r="AAC202" s="4"/>
      <c r="AAD202" s="4"/>
      <c r="AAE202" s="4"/>
      <c r="AAF202" s="4"/>
      <c r="AAG202" s="5"/>
      <c r="AAH202" s="6"/>
      <c r="AAI202" s="4"/>
      <c r="AAJ202" s="4"/>
      <c r="AAK202" s="4"/>
      <c r="AAL202" s="4"/>
      <c r="AAM202" s="4"/>
      <c r="AAN202" s="5"/>
      <c r="AAO202" s="6"/>
      <c r="AAP202" s="4"/>
      <c r="AAQ202" s="4"/>
      <c r="AAR202" s="4"/>
      <c r="AAS202" s="4"/>
      <c r="AAT202" s="4"/>
      <c r="AAU202" s="5"/>
      <c r="AAV202" s="6"/>
      <c r="AAW202" s="4"/>
      <c r="AAX202" s="4"/>
      <c r="AAY202" s="4"/>
      <c r="AAZ202" s="4"/>
      <c r="ABA202" s="4"/>
      <c r="ABB202" s="5"/>
      <c r="ABC202" s="6"/>
      <c r="ABD202" s="4"/>
      <c r="ABE202" s="4"/>
      <c r="ABF202" s="4"/>
      <c r="ABG202" s="4"/>
      <c r="ABH202" s="4"/>
      <c r="ABI202" s="5"/>
      <c r="ABJ202" s="6"/>
      <c r="ABK202" s="4"/>
      <c r="ABL202" s="4"/>
      <c r="ABM202" s="4"/>
      <c r="ABN202" s="4"/>
      <c r="ABO202" s="4"/>
      <c r="ABP202" s="5"/>
      <c r="ABQ202" s="6"/>
      <c r="ABR202" s="4"/>
      <c r="ABS202" s="4"/>
      <c r="ABT202" s="4"/>
      <c r="ABU202" s="4"/>
      <c r="ABV202" s="4"/>
      <c r="ABW202" s="5"/>
      <c r="ABX202" s="6"/>
      <c r="ABY202" s="4"/>
      <c r="ABZ202" s="4"/>
      <c r="ACA202" s="4"/>
      <c r="ACB202" s="4"/>
      <c r="ACC202" s="4"/>
      <c r="ACD202" s="5"/>
      <c r="ACE202" s="6"/>
      <c r="ACF202" s="4"/>
      <c r="ACG202" s="4"/>
      <c r="ACH202" s="4"/>
      <c r="ACI202" s="4"/>
      <c r="ACJ202" s="4"/>
      <c r="ACK202" s="5"/>
      <c r="ACL202" s="6"/>
      <c r="ACM202" s="4"/>
      <c r="ACN202" s="4"/>
      <c r="ACO202" s="4"/>
      <c r="ACP202" s="4"/>
      <c r="ACQ202" s="4"/>
      <c r="ACR202" s="5"/>
      <c r="ACS202" s="6"/>
      <c r="ACT202" s="4"/>
      <c r="ACU202" s="4"/>
      <c r="ACV202" s="4"/>
      <c r="ACW202" s="4"/>
      <c r="ACX202" s="4"/>
      <c r="ACY202" s="5"/>
    </row>
    <row r="203" spans="1:791" x14ac:dyDescent="0.25">
      <c r="A203" t="s">
        <v>4243</v>
      </c>
      <c r="B203" s="29">
        <v>99001898</v>
      </c>
      <c r="C203">
        <v>26</v>
      </c>
      <c r="D203" t="s">
        <v>2121</v>
      </c>
      <c r="F203" s="23">
        <v>1</v>
      </c>
      <c r="G203" s="31">
        <v>34649</v>
      </c>
      <c r="H203" s="23" t="s">
        <v>3738</v>
      </c>
      <c r="I203">
        <v>1</v>
      </c>
      <c r="J203" s="19">
        <v>34639</v>
      </c>
      <c r="K203" s="19"/>
      <c r="L203" s="19"/>
      <c r="Q203">
        <v>1</v>
      </c>
      <c r="U203">
        <v>1</v>
      </c>
      <c r="AA203">
        <v>1</v>
      </c>
      <c r="BA203">
        <v>1</v>
      </c>
      <c r="FZ203">
        <v>1</v>
      </c>
      <c r="LL203" s="6"/>
      <c r="LM203" s="4"/>
      <c r="LN203" s="4"/>
      <c r="LO203" s="4"/>
      <c r="LP203" s="4"/>
      <c r="LQ203" s="4"/>
      <c r="LR203" s="5"/>
      <c r="LS203" s="6"/>
      <c r="LT203" s="4"/>
      <c r="LU203" s="4"/>
      <c r="LV203" s="4"/>
      <c r="LW203" s="4"/>
      <c r="LX203" s="4"/>
      <c r="LY203" s="5"/>
      <c r="LZ203" s="6" t="s">
        <v>3112</v>
      </c>
      <c r="MA203" s="7" t="s">
        <v>3113</v>
      </c>
      <c r="MB203" s="4"/>
      <c r="MC203" s="4"/>
      <c r="MD203" s="8"/>
      <c r="ME203" s="4"/>
      <c r="MF203" s="4"/>
      <c r="MG203" s="5" t="s">
        <v>2867</v>
      </c>
      <c r="MH203" s="6"/>
      <c r="MI203" s="4"/>
      <c r="MJ203" s="4"/>
      <c r="MK203" s="4"/>
      <c r="ML203" s="4"/>
      <c r="MM203" s="4"/>
      <c r="MN203" s="5"/>
      <c r="MO203" s="6"/>
      <c r="MP203" s="4"/>
      <c r="MQ203" s="4"/>
      <c r="MR203" s="4"/>
      <c r="MS203" s="4"/>
      <c r="MT203" s="4"/>
      <c r="MU203" s="5"/>
      <c r="MV203" s="6"/>
      <c r="MW203" s="4"/>
      <c r="MX203" s="4"/>
      <c r="MY203" s="4"/>
      <c r="MZ203" s="4"/>
      <c r="NA203" s="4"/>
      <c r="NB203" s="5"/>
      <c r="NC203" s="6" t="s">
        <v>3415</v>
      </c>
      <c r="ND203" s="4" t="s">
        <v>3416</v>
      </c>
      <c r="NE203" s="4"/>
      <c r="NF203" s="4"/>
      <c r="NG203" s="8">
        <v>34637</v>
      </c>
      <c r="NH203" s="4"/>
      <c r="NI203" s="5" t="s">
        <v>3741</v>
      </c>
      <c r="NJ203" s="6"/>
      <c r="NK203" s="4"/>
      <c r="NL203" s="4"/>
      <c r="NM203" s="4"/>
      <c r="NN203" s="4"/>
      <c r="NO203" s="4"/>
      <c r="NP203" s="5"/>
      <c r="NQ203" s="6"/>
      <c r="NR203" s="4"/>
      <c r="NS203" s="4"/>
      <c r="NT203" s="4"/>
      <c r="NU203" s="4"/>
      <c r="NV203" s="4"/>
      <c r="NW203" s="5"/>
      <c r="NX203" s="6"/>
      <c r="NY203" s="4"/>
      <c r="NZ203" s="4"/>
      <c r="OA203" s="4"/>
      <c r="OB203" s="4"/>
      <c r="OC203" s="4"/>
      <c r="OD203" s="5"/>
      <c r="OE203" s="6"/>
      <c r="OF203" s="4"/>
      <c r="OG203" s="4"/>
      <c r="OH203" s="4"/>
      <c r="OI203" s="4"/>
      <c r="OJ203" s="4"/>
      <c r="OK203" s="5"/>
      <c r="OL203" s="6"/>
      <c r="OM203" s="4"/>
      <c r="ON203" s="4"/>
      <c r="OO203" s="4"/>
      <c r="OP203" s="4"/>
      <c r="OQ203" s="4"/>
      <c r="OR203" s="5"/>
      <c r="OS203" s="6" t="s">
        <v>3277</v>
      </c>
      <c r="OT203" s="4" t="s">
        <v>3013</v>
      </c>
      <c r="OU203" s="4"/>
      <c r="OV203" s="4"/>
      <c r="OW203" s="4"/>
      <c r="OX203" s="4"/>
      <c r="OY203" s="5" t="s">
        <v>3597</v>
      </c>
      <c r="OZ203" s="6"/>
      <c r="PA203" s="4"/>
      <c r="PB203" s="4"/>
      <c r="PC203" s="4"/>
      <c r="PD203" s="4"/>
      <c r="PE203" s="4"/>
      <c r="PF203" s="5"/>
      <c r="PG203" s="6"/>
      <c r="PH203" s="4"/>
      <c r="PI203" s="4"/>
      <c r="PJ203" s="4"/>
      <c r="PK203" s="4"/>
      <c r="PL203" s="4"/>
      <c r="PM203" s="5"/>
      <c r="PN203" s="6"/>
      <c r="PO203" s="4"/>
      <c r="PP203" s="4"/>
      <c r="PQ203" s="4"/>
      <c r="PR203" s="4"/>
      <c r="PS203" s="4"/>
      <c r="PT203" s="5"/>
      <c r="PU203" s="6" t="s">
        <v>1825</v>
      </c>
      <c r="PV203" s="4" t="s">
        <v>2155</v>
      </c>
      <c r="PW203" s="4"/>
      <c r="PX203" s="4" t="s">
        <v>3459</v>
      </c>
      <c r="PY203" s="8">
        <v>34632</v>
      </c>
      <c r="PZ203" s="8">
        <v>34633</v>
      </c>
      <c r="QA203" s="5" t="s">
        <v>3884</v>
      </c>
      <c r="QB203" s="6"/>
      <c r="QC203" s="4"/>
      <c r="QD203" s="4"/>
      <c r="QE203" s="4"/>
      <c r="QF203" s="4"/>
      <c r="QG203" s="4"/>
      <c r="QH203" s="5"/>
      <c r="QI203" s="6" t="s">
        <v>3342</v>
      </c>
      <c r="QJ203" s="4" t="s">
        <v>3201</v>
      </c>
      <c r="QK203" s="4"/>
      <c r="QL203" s="4"/>
      <c r="QM203" s="8">
        <v>34634</v>
      </c>
      <c r="QN203" s="4"/>
      <c r="QO203" s="5" t="s">
        <v>3585</v>
      </c>
      <c r="QP203" s="6"/>
      <c r="QQ203" s="4"/>
      <c r="QR203" s="4"/>
      <c r="QS203" s="4"/>
      <c r="QT203" s="4"/>
      <c r="QU203" s="4"/>
      <c r="QV203" s="5"/>
      <c r="QW203" s="6"/>
      <c r="QX203" s="4"/>
      <c r="QY203" s="4"/>
      <c r="QZ203" s="4"/>
      <c r="RA203" s="4"/>
      <c r="RB203" s="4"/>
      <c r="RC203" s="5"/>
      <c r="RD203" s="6"/>
      <c r="RE203" s="4"/>
      <c r="RF203" s="4"/>
      <c r="RG203" s="4"/>
      <c r="RH203" s="4"/>
      <c r="RI203" s="4"/>
      <c r="RJ203" s="5"/>
      <c r="RK203" s="6"/>
      <c r="RL203" s="4"/>
      <c r="RM203" s="4"/>
      <c r="RN203" s="4"/>
      <c r="RO203" s="4"/>
      <c r="RP203" s="4"/>
      <c r="RQ203" s="5"/>
      <c r="RR203" s="6"/>
      <c r="RS203" s="4"/>
      <c r="RT203" s="4"/>
      <c r="RU203" s="4"/>
      <c r="RV203" s="4"/>
      <c r="RW203" s="4"/>
      <c r="RX203" s="5"/>
      <c r="RY203" s="6"/>
      <c r="RZ203" s="4"/>
      <c r="SA203" s="4"/>
      <c r="SB203" s="4"/>
      <c r="SC203" s="4"/>
      <c r="SD203" s="4"/>
      <c r="SE203" s="5"/>
      <c r="SF203" s="6"/>
      <c r="SG203" s="4"/>
      <c r="SH203" s="4"/>
      <c r="SI203" s="4"/>
      <c r="SJ203" s="4"/>
      <c r="SK203" s="4"/>
      <c r="SL203" s="5"/>
      <c r="SM203" s="6"/>
      <c r="SN203" s="4"/>
      <c r="SO203" s="4"/>
      <c r="SP203" s="4"/>
      <c r="SQ203" s="4"/>
      <c r="SR203" s="4"/>
      <c r="SS203" s="5"/>
      <c r="ST203" s="6"/>
      <c r="SU203" s="4"/>
      <c r="SV203" s="4"/>
      <c r="SW203" s="4"/>
      <c r="SX203" s="4"/>
      <c r="SY203" s="4"/>
      <c r="SZ203" s="5"/>
      <c r="TA203" s="6"/>
      <c r="TB203" s="4"/>
      <c r="TC203" s="4"/>
      <c r="TD203" s="4"/>
      <c r="TE203" s="4"/>
      <c r="TF203" s="4"/>
      <c r="TG203" s="5"/>
      <c r="TH203" s="6"/>
      <c r="TI203" s="4"/>
      <c r="TJ203" s="4"/>
      <c r="TK203" s="4"/>
      <c r="TL203" s="4"/>
      <c r="TM203" s="4"/>
      <c r="TN203" s="5"/>
      <c r="TO203" s="6"/>
      <c r="TP203" s="4"/>
      <c r="TQ203" s="4"/>
      <c r="TR203" s="4"/>
      <c r="TS203" s="4"/>
      <c r="TT203" s="4"/>
      <c r="TU203" s="5"/>
      <c r="TV203" s="6"/>
      <c r="TW203" s="4"/>
      <c r="TX203" s="4"/>
      <c r="TY203" s="4"/>
      <c r="TZ203" s="4"/>
      <c r="UA203" s="4"/>
      <c r="UB203" s="5"/>
      <c r="UC203" s="6"/>
      <c r="UD203" s="4"/>
      <c r="UE203" s="4"/>
      <c r="UF203" s="4"/>
      <c r="UG203" s="4"/>
      <c r="UH203" s="4"/>
      <c r="UI203" s="5"/>
      <c r="UJ203" s="6"/>
      <c r="UK203" s="4"/>
      <c r="UL203" s="4"/>
      <c r="UM203" s="4"/>
      <c r="UN203" s="4"/>
      <c r="UO203" s="4"/>
      <c r="UP203" s="5"/>
      <c r="UQ203" s="6"/>
      <c r="UR203" s="4"/>
      <c r="US203" s="4"/>
      <c r="UT203" s="4"/>
      <c r="UU203" s="4"/>
      <c r="UV203" s="4"/>
      <c r="UW203" s="5"/>
      <c r="UX203" s="6" t="s">
        <v>3401</v>
      </c>
      <c r="UY203" s="4" t="s">
        <v>1830</v>
      </c>
      <c r="UZ203" s="4"/>
      <c r="VA203" s="4" t="s">
        <v>3004</v>
      </c>
      <c r="VB203" s="8">
        <v>34631</v>
      </c>
      <c r="VC203" s="8">
        <v>34638</v>
      </c>
      <c r="VD203" s="5" t="s">
        <v>3885</v>
      </c>
      <c r="VE203" s="6"/>
      <c r="VF203" s="4"/>
      <c r="VG203" s="4"/>
      <c r="VH203" s="4"/>
      <c r="VI203" s="4"/>
      <c r="VJ203" s="4"/>
      <c r="VK203" s="5"/>
      <c r="VL203" s="6"/>
      <c r="VM203" s="4"/>
      <c r="VN203" s="4"/>
      <c r="VO203" s="4"/>
      <c r="VP203" s="4"/>
      <c r="VQ203" s="4"/>
      <c r="VR203" s="5"/>
      <c r="VS203" s="6"/>
      <c r="VT203" s="4"/>
      <c r="VU203" s="4"/>
      <c r="VV203" s="4"/>
      <c r="VW203" s="4"/>
      <c r="VX203" s="4"/>
      <c r="VY203" s="5"/>
      <c r="VZ203" s="6"/>
      <c r="WA203" s="4"/>
      <c r="WB203" s="4"/>
      <c r="WC203" s="4"/>
      <c r="WD203" s="4"/>
      <c r="WE203" s="4"/>
      <c r="WF203" s="5"/>
      <c r="WG203" s="6"/>
      <c r="WH203" s="4"/>
      <c r="WI203" s="4"/>
      <c r="WJ203" s="4"/>
      <c r="WK203" s="4"/>
      <c r="WL203" s="4"/>
      <c r="WM203" s="5"/>
      <c r="WN203" s="6"/>
      <c r="WO203" s="4"/>
      <c r="WP203" s="4"/>
      <c r="WQ203" s="4"/>
      <c r="WR203" s="4"/>
      <c r="WS203" s="4"/>
      <c r="WT203" s="5"/>
      <c r="WU203" s="6"/>
      <c r="WV203" s="4"/>
      <c r="WW203" s="4"/>
      <c r="WX203" s="4"/>
      <c r="WY203" s="4"/>
      <c r="WZ203" s="4"/>
      <c r="XA203" s="5"/>
      <c r="XB203" s="6"/>
      <c r="XC203" s="4"/>
      <c r="XD203" s="4"/>
      <c r="XE203" s="4"/>
      <c r="XF203" s="4"/>
      <c r="XG203" s="4"/>
      <c r="XH203" s="5"/>
      <c r="XI203" s="6" t="s">
        <v>3479</v>
      </c>
      <c r="XJ203" s="4" t="s">
        <v>3480</v>
      </c>
      <c r="XK203" s="4"/>
      <c r="XL203" s="4"/>
      <c r="XM203" s="8">
        <v>34638</v>
      </c>
      <c r="XN203" s="4"/>
      <c r="XO203" s="5" t="s">
        <v>3886</v>
      </c>
      <c r="XP203" s="6"/>
      <c r="XQ203" s="4"/>
      <c r="XR203" s="4"/>
      <c r="XS203" s="4"/>
      <c r="XT203" s="4"/>
      <c r="XU203" s="4"/>
      <c r="XV203" s="5"/>
      <c r="XW203" s="6"/>
      <c r="XX203" s="4"/>
      <c r="XY203" s="4"/>
      <c r="XZ203" s="4"/>
      <c r="YA203" s="4"/>
      <c r="YB203" s="4"/>
      <c r="YC203" s="5"/>
      <c r="YD203" s="6"/>
      <c r="YE203" s="4"/>
      <c r="YF203" s="4"/>
      <c r="YG203" s="4"/>
      <c r="YH203" s="4"/>
      <c r="YI203" s="4"/>
      <c r="YJ203" s="5"/>
      <c r="YK203" s="6" t="s">
        <v>3005</v>
      </c>
      <c r="YL203" s="4" t="s">
        <v>3006</v>
      </c>
      <c r="YM203" s="4"/>
      <c r="YN203" s="4" t="s">
        <v>3319</v>
      </c>
      <c r="YO203" s="8">
        <v>38265</v>
      </c>
      <c r="YP203" s="8">
        <v>34613</v>
      </c>
      <c r="YQ203" s="5" t="s">
        <v>3887</v>
      </c>
      <c r="YR203" s="6"/>
      <c r="YS203" s="4"/>
      <c r="YT203" s="4"/>
      <c r="YU203" s="4"/>
      <c r="YV203" s="4"/>
      <c r="YW203" s="4"/>
      <c r="YX203" s="5"/>
      <c r="YY203" s="6"/>
      <c r="YZ203" s="4"/>
      <c r="ZA203" s="4"/>
      <c r="ZB203" s="4"/>
      <c r="ZC203" s="4"/>
      <c r="ZD203" s="4"/>
      <c r="ZE203" s="5"/>
      <c r="ZF203" s="6"/>
      <c r="ZG203" s="4"/>
      <c r="ZH203" s="4"/>
      <c r="ZI203" s="4"/>
      <c r="ZJ203" s="4"/>
      <c r="ZK203" s="4"/>
      <c r="ZL203" s="5"/>
      <c r="ZM203" s="6"/>
      <c r="ZN203" s="4"/>
      <c r="ZO203" s="4"/>
      <c r="ZP203" s="4"/>
      <c r="ZQ203" s="4"/>
      <c r="ZR203" s="4"/>
      <c r="ZS203" s="5"/>
      <c r="ZT203" s="6"/>
      <c r="ZU203" s="4"/>
      <c r="ZV203" s="4"/>
      <c r="ZW203" s="4"/>
      <c r="ZX203" s="4"/>
      <c r="ZY203" s="4"/>
      <c r="ZZ203" s="5"/>
      <c r="AAA203" s="6"/>
      <c r="AAB203" s="4"/>
      <c r="AAC203" s="4"/>
      <c r="AAD203" s="4"/>
      <c r="AAE203" s="4"/>
      <c r="AAF203" s="4"/>
      <c r="AAG203" s="5"/>
      <c r="AAH203" s="6"/>
      <c r="AAI203" s="4"/>
      <c r="AAJ203" s="4"/>
      <c r="AAK203" s="4"/>
      <c r="AAL203" s="4"/>
      <c r="AAM203" s="4"/>
      <c r="AAN203" s="5"/>
      <c r="AAO203" s="6"/>
      <c r="AAP203" s="4"/>
      <c r="AAQ203" s="4"/>
      <c r="AAR203" s="4"/>
      <c r="AAS203" s="4"/>
      <c r="AAT203" s="4"/>
      <c r="AAU203" s="5"/>
      <c r="AAV203" s="6"/>
      <c r="AAW203" s="4"/>
      <c r="AAX203" s="4"/>
      <c r="AAY203" s="4"/>
      <c r="AAZ203" s="4"/>
      <c r="ABA203" s="4"/>
      <c r="ABB203" s="5"/>
      <c r="ABC203" s="6"/>
      <c r="ABD203" s="4"/>
      <c r="ABE203" s="4"/>
      <c r="ABF203" s="4"/>
      <c r="ABG203" s="4"/>
      <c r="ABH203" s="4"/>
      <c r="ABI203" s="5"/>
      <c r="ABJ203" s="6"/>
      <c r="ABK203" s="4"/>
      <c r="ABL203" s="4"/>
      <c r="ABM203" s="4"/>
      <c r="ABN203" s="4"/>
      <c r="ABO203" s="4"/>
      <c r="ABP203" s="5"/>
      <c r="ABQ203" s="6"/>
      <c r="ABR203" s="4"/>
      <c r="ABS203" s="4"/>
      <c r="ABT203" s="4"/>
      <c r="ABU203" s="4"/>
      <c r="ABV203" s="4"/>
      <c r="ABW203" s="5"/>
      <c r="ABX203" s="6"/>
      <c r="ABY203" s="4"/>
      <c r="ABZ203" s="4"/>
      <c r="ACA203" s="4"/>
      <c r="ACB203" s="4"/>
      <c r="ACC203" s="4"/>
      <c r="ACD203" s="5"/>
      <c r="ACE203" s="6"/>
      <c r="ACF203" s="4"/>
      <c r="ACG203" s="4"/>
      <c r="ACH203" s="4"/>
      <c r="ACI203" s="4"/>
      <c r="ACJ203" s="4"/>
      <c r="ACK203" s="5"/>
      <c r="ACL203" s="6"/>
      <c r="ACM203" s="4"/>
      <c r="ACN203" s="4"/>
      <c r="ACO203" s="4"/>
      <c r="ACP203" s="4"/>
      <c r="ACQ203" s="4"/>
      <c r="ACR203" s="5"/>
      <c r="ACS203" s="6"/>
      <c r="ACT203" s="4"/>
      <c r="ACU203" s="4"/>
      <c r="ACV203" s="4"/>
      <c r="ACW203" s="4"/>
      <c r="ACX203" s="4"/>
      <c r="ACY203" s="5"/>
      <c r="ADK203" t="s">
        <v>3895</v>
      </c>
    </row>
    <row r="204" spans="1:791" x14ac:dyDescent="0.25">
      <c r="B204" s="30"/>
      <c r="J204" s="12"/>
      <c r="K204" s="12"/>
      <c r="L204" s="12"/>
      <c r="LL204" s="6"/>
      <c r="LM204" s="4"/>
      <c r="LN204" s="4"/>
      <c r="LO204" s="4"/>
      <c r="LP204" s="4"/>
      <c r="LQ204" s="4"/>
      <c r="LR204" s="5"/>
      <c r="LS204" s="6"/>
      <c r="LT204" s="4"/>
      <c r="LU204" s="4"/>
      <c r="LV204" s="4"/>
      <c r="LW204" s="4"/>
      <c r="LX204" s="4"/>
      <c r="LY204" s="5"/>
      <c r="LZ204" s="6" t="s">
        <v>3320</v>
      </c>
      <c r="MA204" s="7" t="s">
        <v>3321</v>
      </c>
      <c r="MB204" s="4"/>
      <c r="MC204" s="4" t="s">
        <v>3322</v>
      </c>
      <c r="MD204" s="8">
        <v>34637</v>
      </c>
      <c r="ME204" s="8">
        <v>34637</v>
      </c>
      <c r="MF204" s="8"/>
      <c r="MG204" s="5" t="s">
        <v>3739</v>
      </c>
      <c r="MH204" s="6"/>
      <c r="MI204" s="4"/>
      <c r="MJ204" s="4"/>
      <c r="MK204" s="4"/>
      <c r="ML204" s="4"/>
      <c r="MM204" s="4"/>
      <c r="MN204" s="5"/>
      <c r="MO204" s="6"/>
      <c r="MP204" s="4"/>
      <c r="MQ204" s="4"/>
      <c r="MR204" s="4"/>
      <c r="MS204" s="4"/>
      <c r="MT204" s="4"/>
      <c r="MU204" s="5"/>
      <c r="MV204" s="6"/>
      <c r="MW204" s="4"/>
      <c r="MX204" s="4"/>
      <c r="MY204" s="4"/>
      <c r="MZ204" s="4"/>
      <c r="NA204" s="4"/>
      <c r="NB204" s="5"/>
      <c r="NC204" s="6" t="s">
        <v>3331</v>
      </c>
      <c r="ND204" s="4" t="s">
        <v>3332</v>
      </c>
      <c r="NE204" s="4"/>
      <c r="NF204" s="4" t="s">
        <v>3333</v>
      </c>
      <c r="NG204" s="8">
        <v>34630</v>
      </c>
      <c r="NH204" s="8">
        <v>34638</v>
      </c>
      <c r="NI204" s="5" t="s">
        <v>3742</v>
      </c>
      <c r="NJ204" s="6"/>
      <c r="NK204" s="4"/>
      <c r="NL204" s="4"/>
      <c r="NM204" s="4"/>
      <c r="NN204" s="4"/>
      <c r="NO204" s="4"/>
      <c r="NP204" s="5"/>
      <c r="NQ204" s="6"/>
      <c r="NR204" s="4"/>
      <c r="NS204" s="4"/>
      <c r="NT204" s="4"/>
      <c r="NU204" s="4"/>
      <c r="NV204" s="4"/>
      <c r="NW204" s="5"/>
      <c r="NX204" s="6"/>
      <c r="NY204" s="4"/>
      <c r="NZ204" s="4"/>
      <c r="OA204" s="4"/>
      <c r="OB204" s="4"/>
      <c r="OC204" s="4"/>
      <c r="OD204" s="5"/>
      <c r="OE204" s="6"/>
      <c r="OF204" s="4"/>
      <c r="OG204" s="4"/>
      <c r="OH204" s="4"/>
      <c r="OI204" s="4"/>
      <c r="OJ204" s="4"/>
      <c r="OK204" s="5"/>
      <c r="OL204" s="6"/>
      <c r="OM204" s="4"/>
      <c r="ON204" s="4"/>
      <c r="OO204" s="4"/>
      <c r="OP204" s="4"/>
      <c r="OQ204" s="4"/>
      <c r="OR204" s="5"/>
      <c r="OS204" s="6"/>
      <c r="OT204" s="4"/>
      <c r="OU204" s="4"/>
      <c r="OV204" s="4"/>
      <c r="OW204" s="4"/>
      <c r="OX204" s="4"/>
      <c r="OY204" s="5"/>
      <c r="OZ204" s="6"/>
      <c r="PA204" s="4"/>
      <c r="PB204" s="4"/>
      <c r="PC204" s="4"/>
      <c r="PD204" s="4"/>
      <c r="PE204" s="4"/>
      <c r="PF204" s="5"/>
      <c r="PG204" s="6"/>
      <c r="PH204" s="4"/>
      <c r="PI204" s="4"/>
      <c r="PJ204" s="4"/>
      <c r="PK204" s="4"/>
      <c r="PL204" s="4"/>
      <c r="PM204" s="5"/>
      <c r="PN204" s="6"/>
      <c r="PO204" s="4"/>
      <c r="PP204" s="4"/>
      <c r="PQ204" s="4"/>
      <c r="PR204" s="4"/>
      <c r="PS204" s="4"/>
      <c r="PT204" s="5"/>
      <c r="PU204" s="6"/>
      <c r="PV204" s="4"/>
      <c r="PW204" s="4"/>
      <c r="PX204" s="4"/>
      <c r="PY204" s="4"/>
      <c r="PZ204" s="4"/>
      <c r="QA204" s="5"/>
      <c r="QB204" s="6"/>
      <c r="QC204" s="4"/>
      <c r="QD204" s="4"/>
      <c r="QE204" s="4"/>
      <c r="QF204" s="4"/>
      <c r="QG204" s="4"/>
      <c r="QH204" s="5"/>
      <c r="QI204" s="6"/>
      <c r="QJ204" s="4"/>
      <c r="QK204" s="4"/>
      <c r="QL204" s="4"/>
      <c r="QM204" s="4"/>
      <c r="QN204" s="4"/>
      <c r="QO204" s="5"/>
      <c r="QP204" s="6"/>
      <c r="QQ204" s="4"/>
      <c r="QR204" s="4"/>
      <c r="QS204" s="4"/>
      <c r="QT204" s="4"/>
      <c r="QU204" s="4"/>
      <c r="QV204" s="5"/>
      <c r="QW204" s="6"/>
      <c r="QX204" s="4"/>
      <c r="QY204" s="4"/>
      <c r="QZ204" s="4"/>
      <c r="RA204" s="4"/>
      <c r="RB204" s="4"/>
      <c r="RC204" s="5"/>
      <c r="RD204" s="6"/>
      <c r="RE204" s="4"/>
      <c r="RF204" s="4"/>
      <c r="RG204" s="4"/>
      <c r="RH204" s="4"/>
      <c r="RI204" s="4"/>
      <c r="RJ204" s="5"/>
      <c r="RK204" s="6"/>
      <c r="RL204" s="4"/>
      <c r="RM204" s="4"/>
      <c r="RN204" s="4"/>
      <c r="RO204" s="4"/>
      <c r="RP204" s="4"/>
      <c r="RQ204" s="5"/>
      <c r="RR204" s="6"/>
      <c r="RS204" s="4"/>
      <c r="RT204" s="4"/>
      <c r="RU204" s="4"/>
      <c r="RV204" s="4"/>
      <c r="RW204" s="4"/>
      <c r="RX204" s="5"/>
      <c r="RY204" s="6"/>
      <c r="RZ204" s="4"/>
      <c r="SA204" s="4"/>
      <c r="SB204" s="4"/>
      <c r="SC204" s="4"/>
      <c r="SD204" s="4"/>
      <c r="SE204" s="5"/>
      <c r="SF204" s="6"/>
      <c r="SG204" s="4"/>
      <c r="SH204" s="4"/>
      <c r="SI204" s="4"/>
      <c r="SJ204" s="4"/>
      <c r="SK204" s="4"/>
      <c r="SL204" s="5"/>
      <c r="SM204" s="6"/>
      <c r="SN204" s="4"/>
      <c r="SO204" s="4"/>
      <c r="SP204" s="4"/>
      <c r="SQ204" s="4"/>
      <c r="SR204" s="4"/>
      <c r="SS204" s="5"/>
      <c r="ST204" s="6"/>
      <c r="SU204" s="4"/>
      <c r="SV204" s="4"/>
      <c r="SW204" s="4"/>
      <c r="SX204" s="4"/>
      <c r="SY204" s="4"/>
      <c r="SZ204" s="5"/>
      <c r="TA204" s="6"/>
      <c r="TB204" s="4"/>
      <c r="TC204" s="4"/>
      <c r="TD204" s="4"/>
      <c r="TE204" s="4"/>
      <c r="TF204" s="4"/>
      <c r="TG204" s="5"/>
      <c r="TH204" s="6"/>
      <c r="TI204" s="4"/>
      <c r="TJ204" s="4"/>
      <c r="TK204" s="4"/>
      <c r="TL204" s="4"/>
      <c r="TM204" s="4"/>
      <c r="TN204" s="5"/>
      <c r="TO204" s="6"/>
      <c r="TP204" s="4"/>
      <c r="TQ204" s="4"/>
      <c r="TR204" s="4"/>
      <c r="TS204" s="4"/>
      <c r="TT204" s="4"/>
      <c r="TU204" s="5"/>
      <c r="TV204" s="6"/>
      <c r="TW204" s="4"/>
      <c r="TX204" s="4"/>
      <c r="TY204" s="4"/>
      <c r="TZ204" s="4"/>
      <c r="UA204" s="4"/>
      <c r="UB204" s="5"/>
      <c r="UC204" s="6"/>
      <c r="UD204" s="4"/>
      <c r="UE204" s="4"/>
      <c r="UF204" s="4"/>
      <c r="UG204" s="4"/>
      <c r="UH204" s="4"/>
      <c r="UI204" s="5"/>
      <c r="UJ204" s="6"/>
      <c r="UK204" s="4"/>
      <c r="UL204" s="4"/>
      <c r="UM204" s="4"/>
      <c r="UN204" s="4"/>
      <c r="UO204" s="4"/>
      <c r="UP204" s="5"/>
      <c r="UQ204" s="6"/>
      <c r="UR204" s="4"/>
      <c r="US204" s="4"/>
      <c r="UT204" s="4"/>
      <c r="UU204" s="4"/>
      <c r="UV204" s="4"/>
      <c r="UW204" s="5"/>
      <c r="UX204" s="6" t="s">
        <v>3334</v>
      </c>
      <c r="UY204" s="4" t="s">
        <v>3335</v>
      </c>
      <c r="UZ204" s="4"/>
      <c r="VA204" s="4" t="s">
        <v>3336</v>
      </c>
      <c r="VB204" s="8">
        <v>34635</v>
      </c>
      <c r="VC204" s="8">
        <v>34636</v>
      </c>
      <c r="VD204" s="5" t="s">
        <v>3885</v>
      </c>
      <c r="VE204" s="6"/>
      <c r="VF204" s="4"/>
      <c r="VG204" s="4"/>
      <c r="VH204" s="4"/>
      <c r="VI204" s="4"/>
      <c r="VJ204" s="4"/>
      <c r="VK204" s="5"/>
      <c r="VL204" s="6"/>
      <c r="VM204" s="4"/>
      <c r="VN204" s="4"/>
      <c r="VO204" s="4"/>
      <c r="VP204" s="4"/>
      <c r="VQ204" s="4"/>
      <c r="VR204" s="5"/>
      <c r="VS204" s="6"/>
      <c r="VT204" s="4"/>
      <c r="VU204" s="4"/>
      <c r="VV204" s="4"/>
      <c r="VW204" s="4"/>
      <c r="VX204" s="4"/>
      <c r="VY204" s="5"/>
      <c r="VZ204" s="6"/>
      <c r="WA204" s="4"/>
      <c r="WB204" s="4"/>
      <c r="WC204" s="4"/>
      <c r="WD204" s="4"/>
      <c r="WE204" s="4"/>
      <c r="WF204" s="5"/>
      <c r="WG204" s="6"/>
      <c r="WH204" s="4"/>
      <c r="WI204" s="4"/>
      <c r="WJ204" s="4"/>
      <c r="WK204" s="4"/>
      <c r="WL204" s="4"/>
      <c r="WM204" s="5"/>
      <c r="WN204" s="6"/>
      <c r="WO204" s="4"/>
      <c r="WP204" s="4"/>
      <c r="WQ204" s="4"/>
      <c r="WR204" s="4"/>
      <c r="WS204" s="4"/>
      <c r="WT204" s="5"/>
      <c r="WU204" s="6"/>
      <c r="WV204" s="4"/>
      <c r="WW204" s="4"/>
      <c r="WX204" s="4"/>
      <c r="WY204" s="4"/>
      <c r="WZ204" s="4"/>
      <c r="XA204" s="5"/>
      <c r="XB204" s="6"/>
      <c r="XC204" s="4"/>
      <c r="XD204" s="4"/>
      <c r="XE204" s="4"/>
      <c r="XF204" s="4"/>
      <c r="XG204" s="4"/>
      <c r="XH204" s="5"/>
      <c r="XI204" s="6"/>
      <c r="XJ204" s="4"/>
      <c r="XK204" s="4"/>
      <c r="XL204" s="4"/>
      <c r="XM204" s="4"/>
      <c r="XN204" s="4"/>
      <c r="XO204" s="5"/>
      <c r="XP204" s="6"/>
      <c r="XQ204" s="4"/>
      <c r="XR204" s="4"/>
      <c r="XS204" s="4"/>
      <c r="XT204" s="4"/>
      <c r="XU204" s="4"/>
      <c r="XV204" s="5"/>
      <c r="XW204" s="6"/>
      <c r="XX204" s="4"/>
      <c r="XY204" s="4"/>
      <c r="XZ204" s="4"/>
      <c r="YA204" s="4"/>
      <c r="YB204" s="4"/>
      <c r="YC204" s="5"/>
      <c r="YD204" s="6"/>
      <c r="YE204" s="4"/>
      <c r="YF204" s="4"/>
      <c r="YG204" s="4"/>
      <c r="YH204" s="4"/>
      <c r="YI204" s="4"/>
      <c r="YJ204" s="5"/>
      <c r="YK204" s="6" t="s">
        <v>3202</v>
      </c>
      <c r="YL204" s="4" t="s">
        <v>3612</v>
      </c>
      <c r="YM204" s="4"/>
      <c r="YN204" s="4" t="s">
        <v>3613</v>
      </c>
      <c r="YO204" s="8">
        <v>34630</v>
      </c>
      <c r="YP204" s="8">
        <v>34638</v>
      </c>
      <c r="YQ204" s="5" t="s">
        <v>3894</v>
      </c>
      <c r="YR204" s="6"/>
      <c r="YS204" s="4"/>
      <c r="YT204" s="4"/>
      <c r="YU204" s="4"/>
      <c r="YV204" s="4"/>
      <c r="YW204" s="4"/>
      <c r="YX204" s="5"/>
      <c r="YY204" s="6"/>
      <c r="YZ204" s="4"/>
      <c r="ZA204" s="4"/>
      <c r="ZB204" s="4"/>
      <c r="ZC204" s="4"/>
      <c r="ZD204" s="4"/>
      <c r="ZE204" s="5"/>
      <c r="ZF204" s="6"/>
      <c r="ZG204" s="4"/>
      <c r="ZH204" s="4"/>
      <c r="ZI204" s="4"/>
      <c r="ZJ204" s="4"/>
      <c r="ZK204" s="4"/>
      <c r="ZL204" s="5"/>
      <c r="ZM204" s="6"/>
      <c r="ZN204" s="4"/>
      <c r="ZO204" s="4"/>
      <c r="ZP204" s="4"/>
      <c r="ZQ204" s="4"/>
      <c r="ZR204" s="4"/>
      <c r="ZS204" s="5"/>
      <c r="ZT204" s="6"/>
      <c r="ZU204" s="4"/>
      <c r="ZV204" s="4"/>
      <c r="ZW204" s="4"/>
      <c r="ZX204" s="4"/>
      <c r="ZY204" s="4"/>
      <c r="ZZ204" s="5"/>
      <c r="AAA204" s="6"/>
      <c r="AAB204" s="4"/>
      <c r="AAC204" s="4"/>
      <c r="AAD204" s="4"/>
      <c r="AAE204" s="4"/>
      <c r="AAF204" s="4"/>
      <c r="AAG204" s="5"/>
      <c r="AAH204" s="6"/>
      <c r="AAI204" s="4"/>
      <c r="AAJ204" s="4"/>
      <c r="AAK204" s="4"/>
      <c r="AAL204" s="4"/>
      <c r="AAM204" s="4"/>
      <c r="AAN204" s="5"/>
      <c r="AAO204" s="6"/>
      <c r="AAP204" s="4"/>
      <c r="AAQ204" s="4"/>
      <c r="AAR204" s="4"/>
      <c r="AAS204" s="4"/>
      <c r="AAT204" s="4"/>
      <c r="AAU204" s="5"/>
      <c r="AAV204" s="6"/>
      <c r="AAW204" s="4"/>
      <c r="AAX204" s="4"/>
      <c r="AAY204" s="4"/>
      <c r="AAZ204" s="4"/>
      <c r="ABA204" s="4"/>
      <c r="ABB204" s="5"/>
      <c r="ABC204" s="6"/>
      <c r="ABD204" s="4"/>
      <c r="ABE204" s="4"/>
      <c r="ABF204" s="4"/>
      <c r="ABG204" s="4"/>
      <c r="ABH204" s="4"/>
      <c r="ABI204" s="5"/>
      <c r="ABJ204" s="6"/>
      <c r="ABK204" s="4"/>
      <c r="ABL204" s="4"/>
      <c r="ABM204" s="4"/>
      <c r="ABN204" s="4"/>
      <c r="ABO204" s="4"/>
      <c r="ABP204" s="5"/>
      <c r="ABQ204" s="6"/>
      <c r="ABR204" s="4"/>
      <c r="ABS204" s="4"/>
      <c r="ABT204" s="4"/>
      <c r="ABU204" s="4"/>
      <c r="ABV204" s="4"/>
      <c r="ABW204" s="5"/>
      <c r="ABX204" s="6"/>
      <c r="ABY204" s="4"/>
      <c r="ABZ204" s="4"/>
      <c r="ACA204" s="4"/>
      <c r="ACB204" s="4"/>
      <c r="ACC204" s="4"/>
      <c r="ACD204" s="5"/>
      <c r="ACE204" s="6"/>
      <c r="ACF204" s="4"/>
      <c r="ACG204" s="4"/>
      <c r="ACH204" s="4"/>
      <c r="ACI204" s="4"/>
      <c r="ACJ204" s="4"/>
      <c r="ACK204" s="5"/>
      <c r="ACL204" s="6"/>
      <c r="ACM204" s="4"/>
      <c r="ACN204" s="4"/>
      <c r="ACO204" s="4"/>
      <c r="ACP204" s="4"/>
      <c r="ACQ204" s="4"/>
      <c r="ACR204" s="5"/>
      <c r="ACS204" s="6"/>
      <c r="ACT204" s="4"/>
      <c r="ACU204" s="4"/>
      <c r="ACV204" s="4"/>
      <c r="ACW204" s="4"/>
      <c r="ACX204" s="4"/>
      <c r="ACY204" s="5"/>
    </row>
    <row r="205" spans="1:791" x14ac:dyDescent="0.25">
      <c r="B205" s="30"/>
      <c r="J205" s="12"/>
      <c r="K205" s="12"/>
      <c r="L205" s="12"/>
      <c r="LL205" s="6"/>
      <c r="LM205" s="4"/>
      <c r="LN205" s="4"/>
      <c r="LO205" s="4"/>
      <c r="LP205" s="4"/>
      <c r="LQ205" s="4"/>
      <c r="LR205" s="5"/>
      <c r="LS205" s="6"/>
      <c r="LT205" s="4"/>
      <c r="LU205" s="4"/>
      <c r="LV205" s="4"/>
      <c r="LW205" s="4"/>
      <c r="LX205" s="4"/>
      <c r="LY205" s="5"/>
      <c r="LZ205" s="6" t="s">
        <v>3485</v>
      </c>
      <c r="MA205" s="7" t="s">
        <v>2799</v>
      </c>
      <c r="MB205" s="4"/>
      <c r="MC205" s="4" t="s">
        <v>3330</v>
      </c>
      <c r="MD205" s="8">
        <v>34639</v>
      </c>
      <c r="ME205" s="8">
        <v>34639</v>
      </c>
      <c r="MF205" s="8" t="s">
        <v>3651</v>
      </c>
      <c r="MG205" s="5" t="s">
        <v>3740</v>
      </c>
      <c r="MH205" s="6"/>
      <c r="MI205" s="4"/>
      <c r="MJ205" s="4"/>
      <c r="MK205" s="4"/>
      <c r="ML205" s="4"/>
      <c r="MM205" s="4"/>
      <c r="MN205" s="5"/>
      <c r="MO205" s="6"/>
      <c r="MP205" s="4"/>
      <c r="MQ205" s="4"/>
      <c r="MR205" s="4"/>
      <c r="MS205" s="4"/>
      <c r="MT205" s="4"/>
      <c r="MU205" s="5"/>
      <c r="MV205" s="6"/>
      <c r="MW205" s="4"/>
      <c r="MX205" s="4"/>
      <c r="MY205" s="4"/>
      <c r="MZ205" s="4"/>
      <c r="NA205" s="4"/>
      <c r="NB205" s="5"/>
      <c r="NC205" s="6" t="s">
        <v>2596</v>
      </c>
      <c r="ND205" s="4" t="s">
        <v>2597</v>
      </c>
      <c r="NE205" s="4"/>
      <c r="NF205" s="4" t="s">
        <v>3460</v>
      </c>
      <c r="NG205" s="8">
        <v>34630</v>
      </c>
      <c r="NH205" s="8">
        <v>34636</v>
      </c>
      <c r="NI205" s="5" t="s">
        <v>3741</v>
      </c>
      <c r="NJ205" s="6"/>
      <c r="NK205" s="4"/>
      <c r="NL205" s="4"/>
      <c r="NM205" s="4"/>
      <c r="NN205" s="4"/>
      <c r="NO205" s="4"/>
      <c r="NP205" s="5"/>
      <c r="NQ205" s="6"/>
      <c r="NR205" s="4"/>
      <c r="NS205" s="4"/>
      <c r="NT205" s="4"/>
      <c r="NU205" s="4"/>
      <c r="NV205" s="4"/>
      <c r="NW205" s="5"/>
      <c r="NX205" s="6"/>
      <c r="NY205" s="4"/>
      <c r="NZ205" s="4"/>
      <c r="OA205" s="4"/>
      <c r="OB205" s="4"/>
      <c r="OC205" s="4"/>
      <c r="OD205" s="5"/>
      <c r="OE205" s="6"/>
      <c r="OF205" s="4"/>
      <c r="OG205" s="4"/>
      <c r="OH205" s="4"/>
      <c r="OI205" s="4"/>
      <c r="OJ205" s="4"/>
      <c r="OK205" s="5"/>
      <c r="OL205" s="6"/>
      <c r="OM205" s="4"/>
      <c r="ON205" s="4"/>
      <c r="OO205" s="4"/>
      <c r="OP205" s="4"/>
      <c r="OQ205" s="4"/>
      <c r="OR205" s="5"/>
      <c r="OS205" s="6"/>
      <c r="OT205" s="4"/>
      <c r="OU205" s="4"/>
      <c r="OV205" s="4"/>
      <c r="OW205" s="4"/>
      <c r="OX205" s="4"/>
      <c r="OY205" s="5"/>
      <c r="OZ205" s="6"/>
      <c r="PA205" s="4"/>
      <c r="PB205" s="4"/>
      <c r="PC205" s="4"/>
      <c r="PD205" s="4"/>
      <c r="PE205" s="4"/>
      <c r="PF205" s="5"/>
      <c r="PG205" s="6"/>
      <c r="PH205" s="4"/>
      <c r="PI205" s="4"/>
      <c r="PJ205" s="4"/>
      <c r="PK205" s="4"/>
      <c r="PL205" s="4"/>
      <c r="PM205" s="5"/>
      <c r="PN205" s="6"/>
      <c r="PO205" s="4"/>
      <c r="PP205" s="4"/>
      <c r="PQ205" s="4"/>
      <c r="PR205" s="4"/>
      <c r="PS205" s="4"/>
      <c r="PT205" s="5"/>
      <c r="PU205" s="6"/>
      <c r="PV205" s="4"/>
      <c r="PW205" s="4"/>
      <c r="PX205" s="4"/>
      <c r="PY205" s="4"/>
      <c r="PZ205" s="4"/>
      <c r="QA205" s="5"/>
      <c r="QB205" s="6"/>
      <c r="QC205" s="4"/>
      <c r="QD205" s="4"/>
      <c r="QE205" s="4"/>
      <c r="QF205" s="4"/>
      <c r="QG205" s="4"/>
      <c r="QH205" s="5"/>
      <c r="QI205" s="6"/>
      <c r="QJ205" s="4"/>
      <c r="QK205" s="4"/>
      <c r="QL205" s="4"/>
      <c r="QM205" s="4"/>
      <c r="QN205" s="4"/>
      <c r="QO205" s="5"/>
      <c r="QP205" s="6"/>
      <c r="QQ205" s="4"/>
      <c r="QR205" s="4"/>
      <c r="QS205" s="4"/>
      <c r="QT205" s="4"/>
      <c r="QU205" s="4"/>
      <c r="QV205" s="5"/>
      <c r="QW205" s="6"/>
      <c r="QX205" s="4"/>
      <c r="QY205" s="4"/>
      <c r="QZ205" s="4"/>
      <c r="RA205" s="4"/>
      <c r="RB205" s="4"/>
      <c r="RC205" s="5"/>
      <c r="RD205" s="6"/>
      <c r="RE205" s="4"/>
      <c r="RF205" s="4"/>
      <c r="RG205" s="4"/>
      <c r="RH205" s="4"/>
      <c r="RI205" s="4"/>
      <c r="RJ205" s="5"/>
      <c r="RK205" s="6"/>
      <c r="RL205" s="4"/>
      <c r="RM205" s="4"/>
      <c r="RN205" s="4"/>
      <c r="RO205" s="4"/>
      <c r="RP205" s="4"/>
      <c r="RQ205" s="5"/>
      <c r="RR205" s="6"/>
      <c r="RS205" s="4"/>
      <c r="RT205" s="4"/>
      <c r="RU205" s="4"/>
      <c r="RV205" s="4"/>
      <c r="RW205" s="4"/>
      <c r="RX205" s="5"/>
      <c r="RY205" s="6"/>
      <c r="RZ205" s="4"/>
      <c r="SA205" s="4"/>
      <c r="SB205" s="4"/>
      <c r="SC205" s="4"/>
      <c r="SD205" s="4"/>
      <c r="SE205" s="5"/>
      <c r="SF205" s="6"/>
      <c r="SG205" s="4"/>
      <c r="SH205" s="4"/>
      <c r="SI205" s="4"/>
      <c r="SJ205" s="4"/>
      <c r="SK205" s="4"/>
      <c r="SL205" s="5"/>
      <c r="SM205" s="6"/>
      <c r="SN205" s="4"/>
      <c r="SO205" s="4"/>
      <c r="SP205" s="4"/>
      <c r="SQ205" s="4"/>
      <c r="SR205" s="4"/>
      <c r="SS205" s="5"/>
      <c r="ST205" s="6"/>
      <c r="SU205" s="4"/>
      <c r="SV205" s="4"/>
      <c r="SW205" s="4"/>
      <c r="SX205" s="4"/>
      <c r="SY205" s="4"/>
      <c r="SZ205" s="5"/>
      <c r="TA205" s="6"/>
      <c r="TB205" s="4"/>
      <c r="TC205" s="4"/>
      <c r="TD205" s="4"/>
      <c r="TE205" s="4"/>
      <c r="TF205" s="4"/>
      <c r="TG205" s="5"/>
      <c r="TH205" s="6"/>
      <c r="TI205" s="4"/>
      <c r="TJ205" s="4"/>
      <c r="TK205" s="4"/>
      <c r="TL205" s="4"/>
      <c r="TM205" s="4"/>
      <c r="TN205" s="5"/>
      <c r="TO205" s="6"/>
      <c r="TP205" s="4"/>
      <c r="TQ205" s="4"/>
      <c r="TR205" s="4"/>
      <c r="TS205" s="4"/>
      <c r="TT205" s="4"/>
      <c r="TU205" s="5"/>
      <c r="TV205" s="6"/>
      <c r="TW205" s="4"/>
      <c r="TX205" s="4"/>
      <c r="TY205" s="4"/>
      <c r="TZ205" s="4"/>
      <c r="UA205" s="4"/>
      <c r="UB205" s="5"/>
      <c r="UC205" s="6"/>
      <c r="UD205" s="4"/>
      <c r="UE205" s="4"/>
      <c r="UF205" s="4"/>
      <c r="UG205" s="4"/>
      <c r="UH205" s="4"/>
      <c r="UI205" s="5"/>
      <c r="UJ205" s="6"/>
      <c r="UK205" s="4"/>
      <c r="UL205" s="4"/>
      <c r="UM205" s="4"/>
      <c r="UN205" s="4"/>
      <c r="UO205" s="4"/>
      <c r="UP205" s="5"/>
      <c r="UQ205" s="6"/>
      <c r="UR205" s="4"/>
      <c r="US205" s="4"/>
      <c r="UT205" s="4"/>
      <c r="UU205" s="4"/>
      <c r="UV205" s="4"/>
      <c r="UW205" s="5"/>
      <c r="UX205" s="6"/>
      <c r="UY205" s="4"/>
      <c r="UZ205" s="4"/>
      <c r="VA205" s="4"/>
      <c r="VB205" s="8"/>
      <c r="VC205" s="8"/>
      <c r="VD205" s="5"/>
      <c r="VE205" s="6"/>
      <c r="VF205" s="4"/>
      <c r="VG205" s="4"/>
      <c r="VH205" s="4"/>
      <c r="VI205" s="4"/>
      <c r="VJ205" s="4"/>
      <c r="VK205" s="5"/>
      <c r="VL205" s="6"/>
      <c r="VM205" s="4"/>
      <c r="VN205" s="4"/>
      <c r="VO205" s="4"/>
      <c r="VP205" s="4"/>
      <c r="VQ205" s="4"/>
      <c r="VR205" s="5"/>
      <c r="VS205" s="6"/>
      <c r="VT205" s="4"/>
      <c r="VU205" s="4"/>
      <c r="VV205" s="4"/>
      <c r="VW205" s="4"/>
      <c r="VX205" s="4"/>
      <c r="VY205" s="5"/>
      <c r="VZ205" s="6"/>
      <c r="WA205" s="4"/>
      <c r="WB205" s="4"/>
      <c r="WC205" s="4"/>
      <c r="WD205" s="4"/>
      <c r="WE205" s="4"/>
      <c r="WF205" s="5"/>
      <c r="WG205" s="6"/>
      <c r="WH205" s="4"/>
      <c r="WI205" s="4"/>
      <c r="WJ205" s="4"/>
      <c r="WK205" s="4"/>
      <c r="WL205" s="4"/>
      <c r="WM205" s="5"/>
      <c r="WN205" s="6"/>
      <c r="WO205" s="4"/>
      <c r="WP205" s="4"/>
      <c r="WQ205" s="4"/>
      <c r="WR205" s="4"/>
      <c r="WS205" s="4"/>
      <c r="WT205" s="5"/>
      <c r="WU205" s="6"/>
      <c r="WV205" s="4"/>
      <c r="WW205" s="4"/>
      <c r="WX205" s="4"/>
      <c r="WY205" s="4"/>
      <c r="WZ205" s="4"/>
      <c r="XA205" s="5"/>
      <c r="XB205" s="6"/>
      <c r="XC205" s="4"/>
      <c r="XD205" s="4"/>
      <c r="XE205" s="4"/>
      <c r="XF205" s="4"/>
      <c r="XG205" s="4"/>
      <c r="XH205" s="5"/>
      <c r="XI205" s="6"/>
      <c r="XJ205" s="4"/>
      <c r="XK205" s="4"/>
      <c r="XL205" s="4"/>
      <c r="XM205" s="4"/>
      <c r="XN205" s="4"/>
      <c r="XO205" s="5"/>
      <c r="XP205" s="6"/>
      <c r="XQ205" s="4"/>
      <c r="XR205" s="4"/>
      <c r="XS205" s="4"/>
      <c r="XT205" s="4"/>
      <c r="XU205" s="4"/>
      <c r="XV205" s="5"/>
      <c r="XW205" s="6"/>
      <c r="XX205" s="4"/>
      <c r="XY205" s="4"/>
      <c r="XZ205" s="4"/>
      <c r="YA205" s="4"/>
      <c r="YB205" s="4"/>
      <c r="YC205" s="5"/>
      <c r="YD205" s="6"/>
      <c r="YE205" s="4"/>
      <c r="YF205" s="4"/>
      <c r="YG205" s="4"/>
      <c r="YH205" s="4"/>
      <c r="YI205" s="4"/>
      <c r="YJ205" s="5"/>
      <c r="YK205" s="6"/>
      <c r="YL205" s="4"/>
      <c r="YM205" s="4"/>
      <c r="YN205" s="4"/>
      <c r="YO205" s="8"/>
      <c r="YP205" s="8"/>
      <c r="YQ205" s="5"/>
      <c r="YR205" s="6"/>
      <c r="YS205" s="4"/>
      <c r="YT205" s="4"/>
      <c r="YU205" s="4"/>
      <c r="YV205" s="4"/>
      <c r="YW205" s="4"/>
      <c r="YX205" s="5"/>
      <c r="YY205" s="6"/>
      <c r="YZ205" s="4"/>
      <c r="ZA205" s="4"/>
      <c r="ZB205" s="4"/>
      <c r="ZC205" s="4"/>
      <c r="ZD205" s="4"/>
      <c r="ZE205" s="5"/>
      <c r="ZF205" s="6"/>
      <c r="ZG205" s="4"/>
      <c r="ZH205" s="4"/>
      <c r="ZI205" s="4"/>
      <c r="ZJ205" s="4"/>
      <c r="ZK205" s="4"/>
      <c r="ZL205" s="5"/>
      <c r="ZM205" s="6"/>
      <c r="ZN205" s="4"/>
      <c r="ZO205" s="4"/>
      <c r="ZP205" s="4"/>
      <c r="ZQ205" s="4"/>
      <c r="ZR205" s="4"/>
      <c r="ZS205" s="5"/>
      <c r="ZT205" s="6"/>
      <c r="ZU205" s="4"/>
      <c r="ZV205" s="4"/>
      <c r="ZW205" s="4"/>
      <c r="ZX205" s="4"/>
      <c r="ZY205" s="4"/>
      <c r="ZZ205" s="5"/>
      <c r="AAA205" s="6"/>
      <c r="AAB205" s="4"/>
      <c r="AAC205" s="4"/>
      <c r="AAD205" s="4"/>
      <c r="AAE205" s="4"/>
      <c r="AAF205" s="4"/>
      <c r="AAG205" s="5"/>
      <c r="AAH205" s="6"/>
      <c r="AAI205" s="4"/>
      <c r="AAJ205" s="4"/>
      <c r="AAK205" s="4"/>
      <c r="AAL205" s="4"/>
      <c r="AAM205" s="4"/>
      <c r="AAN205" s="5"/>
      <c r="AAO205" s="6"/>
      <c r="AAP205" s="4"/>
      <c r="AAQ205" s="4"/>
      <c r="AAR205" s="4"/>
      <c r="AAS205" s="4"/>
      <c r="AAT205" s="4"/>
      <c r="AAU205" s="5"/>
      <c r="AAV205" s="6"/>
      <c r="AAW205" s="4"/>
      <c r="AAX205" s="4"/>
      <c r="AAY205" s="4"/>
      <c r="AAZ205" s="4"/>
      <c r="ABA205" s="4"/>
      <c r="ABB205" s="5"/>
      <c r="ABC205" s="6"/>
      <c r="ABD205" s="4"/>
      <c r="ABE205" s="4"/>
      <c r="ABF205" s="4"/>
      <c r="ABG205" s="4"/>
      <c r="ABH205" s="4"/>
      <c r="ABI205" s="5"/>
      <c r="ABJ205" s="6"/>
      <c r="ABK205" s="4"/>
      <c r="ABL205" s="4"/>
      <c r="ABM205" s="4"/>
      <c r="ABN205" s="4"/>
      <c r="ABO205" s="4"/>
      <c r="ABP205" s="5"/>
      <c r="ABQ205" s="6"/>
      <c r="ABR205" s="4"/>
      <c r="ABS205" s="4"/>
      <c r="ABT205" s="4"/>
      <c r="ABU205" s="4"/>
      <c r="ABV205" s="4"/>
      <c r="ABW205" s="5"/>
      <c r="ABX205" s="6"/>
      <c r="ABY205" s="4"/>
      <c r="ABZ205" s="4"/>
      <c r="ACA205" s="4"/>
      <c r="ACB205" s="4"/>
      <c r="ACC205" s="4"/>
      <c r="ACD205" s="5"/>
      <c r="ACE205" s="6"/>
      <c r="ACF205" s="4"/>
      <c r="ACG205" s="4"/>
      <c r="ACH205" s="4"/>
      <c r="ACI205" s="4"/>
      <c r="ACJ205" s="4"/>
      <c r="ACK205" s="5"/>
      <c r="ACL205" s="6"/>
      <c r="ACM205" s="4"/>
      <c r="ACN205" s="4"/>
      <c r="ACO205" s="4"/>
      <c r="ACP205" s="4"/>
      <c r="ACQ205" s="4"/>
      <c r="ACR205" s="5"/>
      <c r="ACS205" s="6"/>
      <c r="ACT205" s="4"/>
      <c r="ACU205" s="4"/>
      <c r="ACV205" s="4"/>
      <c r="ACW205" s="4"/>
      <c r="ACX205" s="4"/>
      <c r="ACY205" s="5"/>
    </row>
    <row r="206" spans="1:791" x14ac:dyDescent="0.25">
      <c r="B206" s="30"/>
      <c r="J206" s="12"/>
      <c r="K206" s="12"/>
      <c r="L206" s="12"/>
      <c r="LL206" s="6"/>
      <c r="LM206" s="4"/>
      <c r="LN206" s="4"/>
      <c r="LO206" s="4"/>
      <c r="LP206" s="4"/>
      <c r="LQ206" s="4"/>
      <c r="LR206" s="5"/>
      <c r="LS206" s="6"/>
      <c r="LT206" s="4"/>
      <c r="LU206" s="4"/>
      <c r="LV206" s="4"/>
      <c r="LW206" s="4"/>
      <c r="LX206" s="4"/>
      <c r="LY206" s="5"/>
      <c r="LZ206" s="6" t="s">
        <v>3457</v>
      </c>
      <c r="MA206" s="7" t="s">
        <v>3271</v>
      </c>
      <c r="MB206" s="4"/>
      <c r="MC206" s="4" t="s">
        <v>3458</v>
      </c>
      <c r="MD206" s="8">
        <v>34628</v>
      </c>
      <c r="ME206" s="8">
        <v>34630</v>
      </c>
      <c r="MF206" s="8"/>
      <c r="MG206" s="5" t="s">
        <v>3739</v>
      </c>
      <c r="MH206" s="6"/>
      <c r="MI206" s="4"/>
      <c r="MJ206" s="4"/>
      <c r="MK206" s="4"/>
      <c r="ML206" s="4"/>
      <c r="MM206" s="4"/>
      <c r="MN206" s="5"/>
      <c r="MO206" s="6"/>
      <c r="MP206" s="4"/>
      <c r="MQ206" s="4"/>
      <c r="MR206" s="4"/>
      <c r="MS206" s="4"/>
      <c r="MT206" s="4"/>
      <c r="MU206" s="5"/>
      <c r="MV206" s="6"/>
      <c r="MW206" s="4"/>
      <c r="MX206" s="4"/>
      <c r="MY206" s="4"/>
      <c r="MZ206" s="4"/>
      <c r="NA206" s="4"/>
      <c r="NB206" s="5"/>
      <c r="NC206" s="6"/>
      <c r="ND206" s="4"/>
      <c r="NE206" s="4"/>
      <c r="NF206" s="4"/>
      <c r="NG206" s="4"/>
      <c r="NH206" s="4"/>
      <c r="NI206" s="5"/>
      <c r="NJ206" s="6"/>
      <c r="NK206" s="4"/>
      <c r="NL206" s="4"/>
      <c r="NM206" s="4"/>
      <c r="NN206" s="4"/>
      <c r="NO206" s="4"/>
      <c r="NP206" s="5"/>
      <c r="NQ206" s="6"/>
      <c r="NR206" s="4"/>
      <c r="NS206" s="4"/>
      <c r="NT206" s="4"/>
      <c r="NU206" s="4"/>
      <c r="NV206" s="4"/>
      <c r="NW206" s="5"/>
      <c r="NX206" s="6"/>
      <c r="NY206" s="4"/>
      <c r="NZ206" s="4"/>
      <c r="OA206" s="4"/>
      <c r="OB206" s="4"/>
      <c r="OC206" s="4"/>
      <c r="OD206" s="5"/>
      <c r="OE206" s="6"/>
      <c r="OF206" s="4"/>
      <c r="OG206" s="4"/>
      <c r="OH206" s="4"/>
      <c r="OI206" s="4"/>
      <c r="OJ206" s="4"/>
      <c r="OK206" s="5"/>
      <c r="OL206" s="6"/>
      <c r="OM206" s="4"/>
      <c r="ON206" s="4"/>
      <c r="OO206" s="4"/>
      <c r="OP206" s="4"/>
      <c r="OQ206" s="4"/>
      <c r="OR206" s="5"/>
      <c r="OS206" s="6"/>
      <c r="OT206" s="4"/>
      <c r="OU206" s="4"/>
      <c r="OV206" s="4"/>
      <c r="OW206" s="4"/>
      <c r="OX206" s="4"/>
      <c r="OY206" s="5"/>
      <c r="OZ206" s="6"/>
      <c r="PA206" s="4"/>
      <c r="PB206" s="4"/>
      <c r="PC206" s="4"/>
      <c r="PD206" s="4"/>
      <c r="PE206" s="4"/>
      <c r="PF206" s="5"/>
      <c r="PG206" s="6"/>
      <c r="PH206" s="4"/>
      <c r="PI206" s="4"/>
      <c r="PJ206" s="4"/>
      <c r="PK206" s="4"/>
      <c r="PL206" s="4"/>
      <c r="PM206" s="5"/>
      <c r="PN206" s="6"/>
      <c r="PO206" s="4"/>
      <c r="PP206" s="4"/>
      <c r="PQ206" s="4"/>
      <c r="PR206" s="4"/>
      <c r="PS206" s="4"/>
      <c r="PT206" s="5"/>
      <c r="PU206" s="6"/>
      <c r="PV206" s="4"/>
      <c r="PW206" s="4"/>
      <c r="PX206" s="4"/>
      <c r="PY206" s="4"/>
      <c r="PZ206" s="4"/>
      <c r="QA206" s="5"/>
      <c r="QB206" s="6"/>
      <c r="QC206" s="4"/>
      <c r="QD206" s="4"/>
      <c r="QE206" s="4"/>
      <c r="QF206" s="4"/>
      <c r="QG206" s="4"/>
      <c r="QH206" s="5"/>
      <c r="QI206" s="6"/>
      <c r="QJ206" s="4"/>
      <c r="QK206" s="4"/>
      <c r="QL206" s="4"/>
      <c r="QM206" s="4"/>
      <c r="QN206" s="4"/>
      <c r="QO206" s="5"/>
      <c r="QP206" s="6"/>
      <c r="QQ206" s="4"/>
      <c r="QR206" s="4"/>
      <c r="QS206" s="4"/>
      <c r="QT206" s="4"/>
      <c r="QU206" s="4"/>
      <c r="QV206" s="5"/>
      <c r="QW206" s="6"/>
      <c r="QX206" s="4"/>
      <c r="QY206" s="4"/>
      <c r="QZ206" s="4"/>
      <c r="RA206" s="4"/>
      <c r="RB206" s="4"/>
      <c r="RC206" s="5"/>
      <c r="RD206" s="6"/>
      <c r="RE206" s="4"/>
      <c r="RF206" s="4"/>
      <c r="RG206" s="4"/>
      <c r="RH206" s="4"/>
      <c r="RI206" s="4"/>
      <c r="RJ206" s="5"/>
      <c r="RK206" s="6"/>
      <c r="RL206" s="4"/>
      <c r="RM206" s="4"/>
      <c r="RN206" s="4"/>
      <c r="RO206" s="4"/>
      <c r="RP206" s="4"/>
      <c r="RQ206" s="5"/>
      <c r="RR206" s="6"/>
      <c r="RS206" s="4"/>
      <c r="RT206" s="4"/>
      <c r="RU206" s="4"/>
      <c r="RV206" s="4"/>
      <c r="RW206" s="4"/>
      <c r="RX206" s="5"/>
      <c r="RY206" s="6"/>
      <c r="RZ206" s="4"/>
      <c r="SA206" s="4"/>
      <c r="SB206" s="4"/>
      <c r="SC206" s="4"/>
      <c r="SD206" s="4"/>
      <c r="SE206" s="5"/>
      <c r="SF206" s="6"/>
      <c r="SG206" s="4"/>
      <c r="SH206" s="4"/>
      <c r="SI206" s="4"/>
      <c r="SJ206" s="4"/>
      <c r="SK206" s="4"/>
      <c r="SL206" s="5"/>
      <c r="SM206" s="6"/>
      <c r="SN206" s="4"/>
      <c r="SO206" s="4"/>
      <c r="SP206" s="4"/>
      <c r="SQ206" s="4"/>
      <c r="SR206" s="4"/>
      <c r="SS206" s="5"/>
      <c r="ST206" s="6"/>
      <c r="SU206" s="4"/>
      <c r="SV206" s="4"/>
      <c r="SW206" s="4"/>
      <c r="SX206" s="4"/>
      <c r="SY206" s="4"/>
      <c r="SZ206" s="5"/>
      <c r="TA206" s="6"/>
      <c r="TB206" s="4"/>
      <c r="TC206" s="4"/>
      <c r="TD206" s="4"/>
      <c r="TE206" s="4"/>
      <c r="TF206" s="4"/>
      <c r="TG206" s="5"/>
      <c r="TH206" s="6"/>
      <c r="TI206" s="4"/>
      <c r="TJ206" s="4"/>
      <c r="TK206" s="4"/>
      <c r="TL206" s="4"/>
      <c r="TM206" s="4"/>
      <c r="TN206" s="5"/>
      <c r="TO206" s="6"/>
      <c r="TP206" s="4"/>
      <c r="TQ206" s="4"/>
      <c r="TR206" s="4"/>
      <c r="TS206" s="4"/>
      <c r="TT206" s="4"/>
      <c r="TU206" s="5"/>
      <c r="TV206" s="6"/>
      <c r="TW206" s="4"/>
      <c r="TX206" s="4"/>
      <c r="TY206" s="4"/>
      <c r="TZ206" s="4"/>
      <c r="UA206" s="4"/>
      <c r="UB206" s="5"/>
      <c r="UC206" s="6"/>
      <c r="UD206" s="4"/>
      <c r="UE206" s="4"/>
      <c r="UF206" s="4"/>
      <c r="UG206" s="4"/>
      <c r="UH206" s="4"/>
      <c r="UI206" s="5"/>
      <c r="UJ206" s="6"/>
      <c r="UK206" s="4"/>
      <c r="UL206" s="4"/>
      <c r="UM206" s="4"/>
      <c r="UN206" s="4"/>
      <c r="UO206" s="4"/>
      <c r="UP206" s="5"/>
      <c r="UQ206" s="6"/>
      <c r="UR206" s="4"/>
      <c r="US206" s="4"/>
      <c r="UT206" s="4"/>
      <c r="UU206" s="4"/>
      <c r="UV206" s="4"/>
      <c r="UW206" s="5"/>
      <c r="UX206" s="6"/>
      <c r="UY206" s="4"/>
      <c r="UZ206" s="4"/>
      <c r="VA206" s="4"/>
      <c r="VB206" s="8"/>
      <c r="VC206" s="8"/>
      <c r="VD206" s="5"/>
      <c r="VE206" s="6"/>
      <c r="VF206" s="4"/>
      <c r="VG206" s="4"/>
      <c r="VH206" s="4"/>
      <c r="VI206" s="4"/>
      <c r="VJ206" s="4"/>
      <c r="VK206" s="5"/>
      <c r="VL206" s="6"/>
      <c r="VM206" s="4"/>
      <c r="VN206" s="4"/>
      <c r="VO206" s="4"/>
      <c r="VP206" s="4"/>
      <c r="VQ206" s="4"/>
      <c r="VR206" s="5"/>
      <c r="VS206" s="6"/>
      <c r="VT206" s="4"/>
      <c r="VU206" s="4"/>
      <c r="VV206" s="4"/>
      <c r="VW206" s="4"/>
      <c r="VX206" s="4"/>
      <c r="VY206" s="5"/>
      <c r="VZ206" s="6"/>
      <c r="WA206" s="4"/>
      <c r="WB206" s="4"/>
      <c r="WC206" s="4"/>
      <c r="WD206" s="4"/>
      <c r="WE206" s="4"/>
      <c r="WF206" s="5"/>
      <c r="WG206" s="6"/>
      <c r="WH206" s="4"/>
      <c r="WI206" s="4"/>
      <c r="WJ206" s="4"/>
      <c r="WK206" s="4"/>
      <c r="WL206" s="4"/>
      <c r="WM206" s="5"/>
      <c r="WN206" s="6"/>
      <c r="WO206" s="4"/>
      <c r="WP206" s="4"/>
      <c r="WQ206" s="4"/>
      <c r="WR206" s="4"/>
      <c r="WS206" s="4"/>
      <c r="WT206" s="5"/>
      <c r="WU206" s="6"/>
      <c r="WV206" s="4"/>
      <c r="WW206" s="4"/>
      <c r="WX206" s="4"/>
      <c r="WY206" s="4"/>
      <c r="WZ206" s="4"/>
      <c r="XA206" s="5"/>
      <c r="XB206" s="6"/>
      <c r="XC206" s="4"/>
      <c r="XD206" s="4"/>
      <c r="XE206" s="4"/>
      <c r="XF206" s="4"/>
      <c r="XG206" s="4"/>
      <c r="XH206" s="5"/>
      <c r="XI206" s="6"/>
      <c r="XJ206" s="4"/>
      <c r="XK206" s="4"/>
      <c r="XL206" s="4"/>
      <c r="XM206" s="4"/>
      <c r="XN206" s="4"/>
      <c r="XO206" s="5"/>
      <c r="XP206" s="6"/>
      <c r="XQ206" s="4"/>
      <c r="XR206" s="4"/>
      <c r="XS206" s="4"/>
      <c r="XT206" s="4"/>
      <c r="XU206" s="4"/>
      <c r="XV206" s="5"/>
      <c r="XW206" s="6"/>
      <c r="XX206" s="4"/>
      <c r="XY206" s="4"/>
      <c r="XZ206" s="4"/>
      <c r="YA206" s="4"/>
      <c r="YB206" s="4"/>
      <c r="YC206" s="5"/>
      <c r="YD206" s="6"/>
      <c r="YE206" s="4"/>
      <c r="YF206" s="4"/>
      <c r="YG206" s="4"/>
      <c r="YH206" s="4"/>
      <c r="YI206" s="4"/>
      <c r="YJ206" s="5"/>
      <c r="YK206" s="6"/>
      <c r="YL206" s="4"/>
      <c r="YM206" s="4"/>
      <c r="YN206" s="4"/>
      <c r="YO206" s="8"/>
      <c r="YP206" s="8"/>
      <c r="YQ206" s="5"/>
      <c r="YR206" s="6"/>
      <c r="YS206" s="4"/>
      <c r="YT206" s="4"/>
      <c r="YU206" s="4"/>
      <c r="YV206" s="4"/>
      <c r="YW206" s="4"/>
      <c r="YX206" s="5"/>
      <c r="YY206" s="6"/>
      <c r="YZ206" s="4"/>
      <c r="ZA206" s="4"/>
      <c r="ZB206" s="4"/>
      <c r="ZC206" s="4"/>
      <c r="ZD206" s="4"/>
      <c r="ZE206" s="5"/>
      <c r="ZF206" s="6"/>
      <c r="ZG206" s="4"/>
      <c r="ZH206" s="4"/>
      <c r="ZI206" s="4"/>
      <c r="ZJ206" s="4"/>
      <c r="ZK206" s="4"/>
      <c r="ZL206" s="5"/>
      <c r="ZM206" s="6"/>
      <c r="ZN206" s="4"/>
      <c r="ZO206" s="4"/>
      <c r="ZP206" s="4"/>
      <c r="ZQ206" s="4"/>
      <c r="ZR206" s="4"/>
      <c r="ZS206" s="5"/>
      <c r="ZT206" s="6"/>
      <c r="ZU206" s="4"/>
      <c r="ZV206" s="4"/>
      <c r="ZW206" s="4"/>
      <c r="ZX206" s="4"/>
      <c r="ZY206" s="4"/>
      <c r="ZZ206" s="5"/>
      <c r="AAA206" s="6"/>
      <c r="AAB206" s="4"/>
      <c r="AAC206" s="4"/>
      <c r="AAD206" s="4"/>
      <c r="AAE206" s="4"/>
      <c r="AAF206" s="4"/>
      <c r="AAG206" s="5"/>
      <c r="AAH206" s="6"/>
      <c r="AAI206" s="4"/>
      <c r="AAJ206" s="4"/>
      <c r="AAK206" s="4"/>
      <c r="AAL206" s="4"/>
      <c r="AAM206" s="4"/>
      <c r="AAN206" s="5"/>
      <c r="AAO206" s="6"/>
      <c r="AAP206" s="4"/>
      <c r="AAQ206" s="4"/>
      <c r="AAR206" s="4"/>
      <c r="AAS206" s="4"/>
      <c r="AAT206" s="4"/>
      <c r="AAU206" s="5"/>
      <c r="AAV206" s="6"/>
      <c r="AAW206" s="4"/>
      <c r="AAX206" s="4"/>
      <c r="AAY206" s="4"/>
      <c r="AAZ206" s="4"/>
      <c r="ABA206" s="4"/>
      <c r="ABB206" s="5"/>
      <c r="ABC206" s="6"/>
      <c r="ABD206" s="4"/>
      <c r="ABE206" s="4"/>
      <c r="ABF206" s="4"/>
      <c r="ABG206" s="4"/>
      <c r="ABH206" s="4"/>
      <c r="ABI206" s="5"/>
      <c r="ABJ206" s="6"/>
      <c r="ABK206" s="4"/>
      <c r="ABL206" s="4"/>
      <c r="ABM206" s="4"/>
      <c r="ABN206" s="4"/>
      <c r="ABO206" s="4"/>
      <c r="ABP206" s="5"/>
      <c r="ABQ206" s="6"/>
      <c r="ABR206" s="4"/>
      <c r="ABS206" s="4"/>
      <c r="ABT206" s="4"/>
      <c r="ABU206" s="4"/>
      <c r="ABV206" s="4"/>
      <c r="ABW206" s="5"/>
      <c r="ABX206" s="6"/>
      <c r="ABY206" s="4"/>
      <c r="ABZ206" s="4"/>
      <c r="ACA206" s="4"/>
      <c r="ACB206" s="4"/>
      <c r="ACC206" s="4"/>
      <c r="ACD206" s="5"/>
      <c r="ACE206" s="6"/>
      <c r="ACF206" s="4"/>
      <c r="ACG206" s="4"/>
      <c r="ACH206" s="4"/>
      <c r="ACI206" s="4"/>
      <c r="ACJ206" s="4"/>
      <c r="ACK206" s="5"/>
      <c r="ACL206" s="6"/>
      <c r="ACM206" s="4"/>
      <c r="ACN206" s="4"/>
      <c r="ACO206" s="4"/>
      <c r="ACP206" s="4"/>
      <c r="ACQ206" s="4"/>
      <c r="ACR206" s="5"/>
      <c r="ACS206" s="6"/>
      <c r="ACT206" s="4"/>
      <c r="ACU206" s="4"/>
      <c r="ACV206" s="4"/>
      <c r="ACW206" s="4"/>
      <c r="ACX206" s="4"/>
      <c r="ACY206" s="5"/>
    </row>
    <row r="207" spans="1:791" x14ac:dyDescent="0.25">
      <c r="B207" s="29">
        <v>99001899</v>
      </c>
      <c r="C207">
        <v>62</v>
      </c>
      <c r="D207" t="s">
        <v>2121</v>
      </c>
      <c r="F207" s="23" t="s">
        <v>1781</v>
      </c>
      <c r="I207">
        <v>1</v>
      </c>
      <c r="J207" s="19">
        <v>34644</v>
      </c>
      <c r="K207" s="19"/>
      <c r="L207" s="19"/>
      <c r="M207">
        <v>1</v>
      </c>
      <c r="N207" s="17">
        <v>34644</v>
      </c>
      <c r="LL207" s="6"/>
      <c r="LM207" s="4"/>
      <c r="LN207" s="4"/>
      <c r="LO207" s="4"/>
      <c r="LP207" s="4"/>
      <c r="LQ207" s="4"/>
      <c r="LR207" s="5"/>
      <c r="LS207" s="6"/>
      <c r="LT207" s="4"/>
      <c r="LU207" s="4"/>
      <c r="LV207" s="4"/>
      <c r="LW207" s="4"/>
      <c r="LX207" s="4"/>
      <c r="LY207" s="5"/>
      <c r="LZ207" s="6" t="s">
        <v>3564</v>
      </c>
      <c r="MA207" s="7" t="s">
        <v>2799</v>
      </c>
      <c r="MB207" s="4"/>
      <c r="MC207" s="4"/>
      <c r="MD207" s="8"/>
      <c r="ME207" s="4"/>
      <c r="MF207" s="4" t="s">
        <v>3787</v>
      </c>
      <c r="MG207" s="5"/>
      <c r="MH207" s="6"/>
      <c r="MI207" s="4"/>
      <c r="MJ207" s="4"/>
      <c r="MK207" s="4"/>
      <c r="ML207" s="4"/>
      <c r="MM207" s="4"/>
      <c r="MN207" s="5"/>
      <c r="MO207" s="6"/>
      <c r="MP207" s="4"/>
      <c r="MQ207" s="4"/>
      <c r="MR207" s="4"/>
      <c r="MS207" s="4"/>
      <c r="MT207" s="4"/>
      <c r="MU207" s="5"/>
      <c r="MV207" s="6"/>
      <c r="MW207" s="4"/>
      <c r="MX207" s="4"/>
      <c r="MY207" s="4"/>
      <c r="MZ207" s="4"/>
      <c r="NA207" s="4"/>
      <c r="NB207" s="5"/>
      <c r="NC207" s="6"/>
      <c r="ND207" s="4"/>
      <c r="NE207" s="4"/>
      <c r="NF207" s="4"/>
      <c r="NG207" s="4"/>
      <c r="NH207" s="4"/>
      <c r="NI207" s="5"/>
      <c r="NJ207" s="6"/>
      <c r="NK207" s="4"/>
      <c r="NL207" s="4"/>
      <c r="NM207" s="4"/>
      <c r="NN207" s="4"/>
      <c r="NO207" s="4"/>
      <c r="NP207" s="5"/>
      <c r="NQ207" s="6"/>
      <c r="NR207" s="4"/>
      <c r="NS207" s="4"/>
      <c r="NT207" s="4"/>
      <c r="NU207" s="4"/>
      <c r="NV207" s="4"/>
      <c r="NW207" s="5"/>
      <c r="NX207" s="6"/>
      <c r="NY207" s="4"/>
      <c r="NZ207" s="4"/>
      <c r="OA207" s="4"/>
      <c r="OB207" s="4"/>
      <c r="OC207" s="4"/>
      <c r="OD207" s="5"/>
      <c r="OE207" s="6"/>
      <c r="OF207" s="4"/>
      <c r="OG207" s="4"/>
      <c r="OH207" s="4"/>
      <c r="OI207" s="4"/>
      <c r="OJ207" s="4"/>
      <c r="OK207" s="5"/>
      <c r="OL207" s="6"/>
      <c r="OM207" s="4"/>
      <c r="ON207" s="4"/>
      <c r="OO207" s="4"/>
      <c r="OP207" s="4"/>
      <c r="OQ207" s="4"/>
      <c r="OR207" s="5"/>
      <c r="OS207" s="6"/>
      <c r="OT207" s="4"/>
      <c r="OU207" s="4"/>
      <c r="OV207" s="4"/>
      <c r="OW207" s="4"/>
      <c r="OX207" s="4"/>
      <c r="OY207" s="5"/>
      <c r="OZ207" s="6"/>
      <c r="PA207" s="4"/>
      <c r="PB207" s="4"/>
      <c r="PC207" s="4"/>
      <c r="PD207" s="4"/>
      <c r="PE207" s="4"/>
      <c r="PF207" s="5"/>
      <c r="PG207" s="6"/>
      <c r="PH207" s="4"/>
      <c r="PI207" s="4"/>
      <c r="PJ207" s="4"/>
      <c r="PK207" s="4"/>
      <c r="PL207" s="4"/>
      <c r="PM207" s="5"/>
      <c r="PN207" s="6"/>
      <c r="PO207" s="4"/>
      <c r="PP207" s="4"/>
      <c r="PQ207" s="4"/>
      <c r="PR207" s="4"/>
      <c r="PS207" s="4"/>
      <c r="PT207" s="5"/>
      <c r="PU207" s="6"/>
      <c r="PV207" s="4"/>
      <c r="PW207" s="4"/>
      <c r="PX207" s="4"/>
      <c r="PY207" s="4"/>
      <c r="PZ207" s="4"/>
      <c r="QA207" s="5"/>
      <c r="QB207" s="6"/>
      <c r="QC207" s="4"/>
      <c r="QD207" s="4"/>
      <c r="QE207" s="4"/>
      <c r="QF207" s="4"/>
      <c r="QG207" s="4"/>
      <c r="QH207" s="5"/>
      <c r="QI207" s="6"/>
      <c r="QJ207" s="4"/>
      <c r="QK207" s="4"/>
      <c r="QL207" s="4"/>
      <c r="QM207" s="4"/>
      <c r="QN207" s="4"/>
      <c r="QO207" s="5"/>
      <c r="QP207" s="6"/>
      <c r="QQ207" s="4"/>
      <c r="QR207" s="4"/>
      <c r="QS207" s="4"/>
      <c r="QT207" s="4"/>
      <c r="QU207" s="4"/>
      <c r="QV207" s="5"/>
      <c r="QW207" s="6"/>
      <c r="QX207" s="4"/>
      <c r="QY207" s="4"/>
      <c r="QZ207" s="4"/>
      <c r="RA207" s="4"/>
      <c r="RB207" s="4"/>
      <c r="RC207" s="5"/>
      <c r="RD207" s="6"/>
      <c r="RE207" s="4"/>
      <c r="RF207" s="4"/>
      <c r="RG207" s="4"/>
      <c r="RH207" s="4"/>
      <c r="RI207" s="4"/>
      <c r="RJ207" s="5"/>
      <c r="RK207" s="6"/>
      <c r="RL207" s="4"/>
      <c r="RM207" s="4"/>
      <c r="RN207" s="4"/>
      <c r="RO207" s="4"/>
      <c r="RP207" s="4"/>
      <c r="RQ207" s="5"/>
      <c r="RR207" s="6"/>
      <c r="RS207" s="4"/>
      <c r="RT207" s="4"/>
      <c r="RU207" s="4"/>
      <c r="RV207" s="4"/>
      <c r="RW207" s="4"/>
      <c r="RX207" s="5"/>
      <c r="RY207" s="6"/>
      <c r="RZ207" s="4"/>
      <c r="SA207" s="4"/>
      <c r="SB207" s="4"/>
      <c r="SC207" s="4"/>
      <c r="SD207" s="4"/>
      <c r="SE207" s="5"/>
      <c r="SF207" s="6"/>
      <c r="SG207" s="4"/>
      <c r="SH207" s="4"/>
      <c r="SI207" s="4"/>
      <c r="SJ207" s="4"/>
      <c r="SK207" s="4"/>
      <c r="SL207" s="5"/>
      <c r="SM207" s="6"/>
      <c r="SN207" s="4"/>
      <c r="SO207" s="4"/>
      <c r="SP207" s="4"/>
      <c r="SQ207" s="4"/>
      <c r="SR207" s="4"/>
      <c r="SS207" s="5"/>
      <c r="ST207" s="6"/>
      <c r="SU207" s="4"/>
      <c r="SV207" s="4"/>
      <c r="SW207" s="4"/>
      <c r="SX207" s="4"/>
      <c r="SY207" s="4"/>
      <c r="SZ207" s="5"/>
      <c r="TA207" s="6"/>
      <c r="TB207" s="4"/>
      <c r="TC207" s="4"/>
      <c r="TD207" s="4"/>
      <c r="TE207" s="4"/>
      <c r="TF207" s="4"/>
      <c r="TG207" s="5"/>
      <c r="TH207" s="6"/>
      <c r="TI207" s="4"/>
      <c r="TJ207" s="4"/>
      <c r="TK207" s="4"/>
      <c r="TL207" s="4"/>
      <c r="TM207" s="4"/>
      <c r="TN207" s="5"/>
      <c r="TO207" s="6"/>
      <c r="TP207" s="4"/>
      <c r="TQ207" s="4"/>
      <c r="TR207" s="4"/>
      <c r="TS207" s="4"/>
      <c r="TT207" s="4"/>
      <c r="TU207" s="5"/>
      <c r="TV207" s="6"/>
      <c r="TW207" s="4"/>
      <c r="TX207" s="4"/>
      <c r="TY207" s="4"/>
      <c r="TZ207" s="4"/>
      <c r="UA207" s="4"/>
      <c r="UB207" s="5"/>
      <c r="UC207" s="6"/>
      <c r="UD207" s="4"/>
      <c r="UE207" s="4"/>
      <c r="UF207" s="4"/>
      <c r="UG207" s="4"/>
      <c r="UH207" s="4"/>
      <c r="UI207" s="5"/>
      <c r="UJ207" s="6"/>
      <c r="UK207" s="4"/>
      <c r="UL207" s="4"/>
      <c r="UM207" s="4"/>
      <c r="UN207" s="4"/>
      <c r="UO207" s="4"/>
      <c r="UP207" s="5"/>
      <c r="UQ207" s="6"/>
      <c r="UR207" s="4"/>
      <c r="US207" s="4"/>
      <c r="UT207" s="4"/>
      <c r="UU207" s="4"/>
      <c r="UV207" s="4"/>
      <c r="UW207" s="5"/>
      <c r="UX207" s="6"/>
      <c r="UY207" s="4"/>
      <c r="UZ207" s="4"/>
      <c r="VA207" s="4"/>
      <c r="VB207" s="4"/>
      <c r="VC207" s="4"/>
      <c r="VD207" s="5"/>
      <c r="VE207" s="6"/>
      <c r="VF207" s="4"/>
      <c r="VG207" s="4"/>
      <c r="VH207" s="4"/>
      <c r="VI207" s="4"/>
      <c r="VJ207" s="4"/>
      <c r="VK207" s="5"/>
      <c r="VL207" s="6"/>
      <c r="VM207" s="4"/>
      <c r="VN207" s="4"/>
      <c r="VO207" s="4"/>
      <c r="VP207" s="4"/>
      <c r="VQ207" s="4"/>
      <c r="VR207" s="5"/>
      <c r="VS207" s="6"/>
      <c r="VT207" s="4"/>
      <c r="VU207" s="4"/>
      <c r="VV207" s="4"/>
      <c r="VW207" s="4"/>
      <c r="VX207" s="4"/>
      <c r="VY207" s="5"/>
      <c r="VZ207" s="6"/>
      <c r="WA207" s="4"/>
      <c r="WB207" s="4"/>
      <c r="WC207" s="4"/>
      <c r="WD207" s="4"/>
      <c r="WE207" s="4"/>
      <c r="WF207" s="5"/>
      <c r="WG207" s="6"/>
      <c r="WH207" s="4"/>
      <c r="WI207" s="4"/>
      <c r="WJ207" s="4"/>
      <c r="WK207" s="4"/>
      <c r="WL207" s="4"/>
      <c r="WM207" s="5"/>
      <c r="WN207" s="6"/>
      <c r="WO207" s="4"/>
      <c r="WP207" s="4"/>
      <c r="WQ207" s="4"/>
      <c r="WR207" s="4"/>
      <c r="WS207" s="4"/>
      <c r="WT207" s="5"/>
      <c r="WU207" s="6"/>
      <c r="WV207" s="4"/>
      <c r="WW207" s="4"/>
      <c r="WX207" s="4"/>
      <c r="WY207" s="4"/>
      <c r="WZ207" s="4"/>
      <c r="XA207" s="5"/>
      <c r="XB207" s="6"/>
      <c r="XC207" s="4"/>
      <c r="XD207" s="4"/>
      <c r="XE207" s="4"/>
      <c r="XF207" s="4"/>
      <c r="XG207" s="4"/>
      <c r="XH207" s="5"/>
      <c r="XI207" s="6"/>
      <c r="XJ207" s="4"/>
      <c r="XK207" s="4"/>
      <c r="XL207" s="4"/>
      <c r="XM207" s="4"/>
      <c r="XN207" s="4"/>
      <c r="XO207" s="5"/>
      <c r="XP207" s="6"/>
      <c r="XQ207" s="4"/>
      <c r="XR207" s="4"/>
      <c r="XS207" s="4"/>
      <c r="XT207" s="4"/>
      <c r="XU207" s="4"/>
      <c r="XV207" s="5"/>
      <c r="XW207" s="6"/>
      <c r="XX207" s="4"/>
      <c r="XY207" s="4"/>
      <c r="XZ207" s="4"/>
      <c r="YA207" s="4"/>
      <c r="YB207" s="4"/>
      <c r="YC207" s="5"/>
      <c r="YD207" s="6"/>
      <c r="YE207" s="4"/>
      <c r="YF207" s="4"/>
      <c r="YG207" s="4"/>
      <c r="YH207" s="4"/>
      <c r="YI207" s="4"/>
      <c r="YJ207" s="5"/>
      <c r="YK207" s="6"/>
      <c r="YL207" s="4"/>
      <c r="YM207" s="4"/>
      <c r="YN207" s="4"/>
      <c r="YO207" s="4"/>
      <c r="YP207" s="4"/>
      <c r="YQ207" s="5"/>
      <c r="YR207" s="6"/>
      <c r="YS207" s="4"/>
      <c r="YT207" s="4"/>
      <c r="YU207" s="4"/>
      <c r="YV207" s="4"/>
      <c r="YW207" s="4"/>
      <c r="YX207" s="5"/>
      <c r="YY207" s="6"/>
      <c r="YZ207" s="4"/>
      <c r="ZA207" s="4"/>
      <c r="ZB207" s="4"/>
      <c r="ZC207" s="4"/>
      <c r="ZD207" s="4"/>
      <c r="ZE207" s="5"/>
      <c r="ZF207" s="6"/>
      <c r="ZG207" s="4"/>
      <c r="ZH207" s="4"/>
      <c r="ZI207" s="4"/>
      <c r="ZJ207" s="4"/>
      <c r="ZK207" s="4"/>
      <c r="ZL207" s="5"/>
      <c r="ZM207" s="6"/>
      <c r="ZN207" s="4"/>
      <c r="ZO207" s="4"/>
      <c r="ZP207" s="4"/>
      <c r="ZQ207" s="4"/>
      <c r="ZR207" s="4"/>
      <c r="ZS207" s="5"/>
      <c r="ZT207" s="6"/>
      <c r="ZU207" s="4"/>
      <c r="ZV207" s="4"/>
      <c r="ZW207" s="4"/>
      <c r="ZX207" s="4"/>
      <c r="ZY207" s="4"/>
      <c r="ZZ207" s="5"/>
      <c r="AAA207" s="6"/>
      <c r="AAB207" s="4"/>
      <c r="AAC207" s="4"/>
      <c r="AAD207" s="4"/>
      <c r="AAE207" s="4"/>
      <c r="AAF207" s="4"/>
      <c r="AAG207" s="5"/>
      <c r="AAH207" s="6"/>
      <c r="AAI207" s="4"/>
      <c r="AAJ207" s="4"/>
      <c r="AAK207" s="4"/>
      <c r="AAL207" s="4"/>
      <c r="AAM207" s="4"/>
      <c r="AAN207" s="5"/>
      <c r="AAO207" s="6"/>
      <c r="AAP207" s="4"/>
      <c r="AAQ207" s="4"/>
      <c r="AAR207" s="4"/>
      <c r="AAS207" s="4"/>
      <c r="AAT207" s="4"/>
      <c r="AAU207" s="5"/>
      <c r="AAV207" s="6"/>
      <c r="AAW207" s="4"/>
      <c r="AAX207" s="4"/>
      <c r="AAY207" s="4"/>
      <c r="AAZ207" s="4"/>
      <c r="ABA207" s="4"/>
      <c r="ABB207" s="5"/>
      <c r="ABC207" s="6"/>
      <c r="ABD207" s="4"/>
      <c r="ABE207" s="4"/>
      <c r="ABF207" s="4"/>
      <c r="ABG207" s="4"/>
      <c r="ABH207" s="4"/>
      <c r="ABI207" s="5"/>
      <c r="ABJ207" s="6"/>
      <c r="ABK207" s="4"/>
      <c r="ABL207" s="4"/>
      <c r="ABM207" s="4"/>
      <c r="ABN207" s="4"/>
      <c r="ABO207" s="4"/>
      <c r="ABP207" s="5"/>
      <c r="ABQ207" s="6"/>
      <c r="ABR207" s="4"/>
      <c r="ABS207" s="4"/>
      <c r="ABT207" s="4"/>
      <c r="ABU207" s="4"/>
      <c r="ABV207" s="4"/>
      <c r="ABW207" s="5"/>
      <c r="ABX207" s="6"/>
      <c r="ABY207" s="4"/>
      <c r="ABZ207" s="4"/>
      <c r="ACA207" s="4"/>
      <c r="ACB207" s="4"/>
      <c r="ACC207" s="4"/>
      <c r="ACD207" s="5"/>
      <c r="ACE207" s="6"/>
      <c r="ACF207" s="4"/>
      <c r="ACG207" s="4"/>
      <c r="ACH207" s="4"/>
      <c r="ACI207" s="4"/>
      <c r="ACJ207" s="4"/>
      <c r="ACK207" s="5"/>
      <c r="ACL207" s="6"/>
      <c r="ACM207" s="4"/>
      <c r="ACN207" s="4"/>
      <c r="ACO207" s="4"/>
      <c r="ACP207" s="4"/>
      <c r="ACQ207" s="4"/>
      <c r="ACR207" s="5"/>
      <c r="ACS207" s="6"/>
      <c r="ACT207" s="4"/>
      <c r="ACU207" s="4"/>
      <c r="ACV207" s="4"/>
      <c r="ACW207" s="4"/>
      <c r="ACX207" s="4"/>
      <c r="ACY207" s="5"/>
    </row>
    <row r="208" spans="1:791" x14ac:dyDescent="0.25">
      <c r="A208" t="s">
        <v>4247</v>
      </c>
      <c r="B208" s="29">
        <v>99001912</v>
      </c>
      <c r="C208">
        <v>37</v>
      </c>
      <c r="D208" t="s">
        <v>3733</v>
      </c>
      <c r="F208" s="23" t="s">
        <v>1781</v>
      </c>
      <c r="I208">
        <v>1</v>
      </c>
      <c r="J208" s="19">
        <v>34542</v>
      </c>
      <c r="K208" s="19"/>
      <c r="L208" s="19"/>
      <c r="AQ208">
        <v>1</v>
      </c>
      <c r="AT208">
        <v>1</v>
      </c>
      <c r="AX208">
        <v>1</v>
      </c>
      <c r="BD208">
        <v>1</v>
      </c>
      <c r="BE208">
        <v>1</v>
      </c>
      <c r="BG208">
        <v>1</v>
      </c>
      <c r="LL208" s="6"/>
      <c r="LM208" s="4"/>
      <c r="LN208" s="4"/>
      <c r="LO208" s="4"/>
      <c r="LP208" s="4"/>
      <c r="LQ208" s="4"/>
      <c r="LR208" s="5"/>
      <c r="LS208" s="6"/>
      <c r="LT208" s="4"/>
      <c r="LU208" s="4"/>
      <c r="LV208" s="4"/>
      <c r="LW208" s="4"/>
      <c r="LX208" s="4"/>
      <c r="LY208" s="5"/>
      <c r="LZ208" s="6" t="s">
        <v>3566</v>
      </c>
      <c r="MA208" s="7" t="s">
        <v>2799</v>
      </c>
      <c r="MB208" s="4"/>
      <c r="MC208" s="4"/>
      <c r="MD208" s="8"/>
      <c r="ME208" s="4"/>
      <c r="MF208" s="4" t="s">
        <v>3650</v>
      </c>
      <c r="MG208" s="5"/>
      <c r="MH208" s="6"/>
      <c r="MI208" s="4"/>
      <c r="MJ208" s="4"/>
      <c r="MK208" s="4"/>
      <c r="ML208" s="4"/>
      <c r="MM208" s="4"/>
      <c r="MN208" s="5"/>
      <c r="MO208" s="6"/>
      <c r="MP208" s="4"/>
      <c r="MQ208" s="4"/>
      <c r="MR208" s="4"/>
      <c r="MS208" s="4"/>
      <c r="MT208" s="4"/>
      <c r="MU208" s="5"/>
      <c r="MV208" s="6"/>
      <c r="MW208" s="4"/>
      <c r="MX208" s="4"/>
      <c r="MY208" s="4"/>
      <c r="MZ208" s="4"/>
      <c r="NA208" s="4"/>
      <c r="NB208" s="5"/>
      <c r="NC208" s="6"/>
      <c r="ND208" s="4"/>
      <c r="NE208" s="4"/>
      <c r="NF208" s="4"/>
      <c r="NG208" s="4"/>
      <c r="NH208" s="4"/>
      <c r="NI208" s="5"/>
      <c r="NJ208" s="6"/>
      <c r="NK208" s="4"/>
      <c r="NL208" s="4"/>
      <c r="NM208" s="4"/>
      <c r="NN208" s="4"/>
      <c r="NO208" s="4"/>
      <c r="NP208" s="5"/>
      <c r="NQ208" s="6"/>
      <c r="NR208" s="4"/>
      <c r="NS208" s="4"/>
      <c r="NT208" s="4"/>
      <c r="NU208" s="4"/>
      <c r="NV208" s="4"/>
      <c r="NW208" s="5"/>
      <c r="NX208" s="6"/>
      <c r="NY208" s="4"/>
      <c r="NZ208" s="4"/>
      <c r="OA208" s="4"/>
      <c r="OB208" s="4"/>
      <c r="OC208" s="4"/>
      <c r="OD208" s="5"/>
      <c r="OE208" s="6"/>
      <c r="OF208" s="4"/>
      <c r="OG208" s="4"/>
      <c r="OH208" s="4"/>
      <c r="OI208" s="4"/>
      <c r="OJ208" s="4"/>
      <c r="OK208" s="5"/>
      <c r="OL208" s="6"/>
      <c r="OM208" s="4"/>
      <c r="ON208" s="4"/>
      <c r="OO208" s="4"/>
      <c r="OP208" s="4"/>
      <c r="OQ208" s="4"/>
      <c r="OR208" s="5"/>
      <c r="OS208" s="6"/>
      <c r="OT208" s="4"/>
      <c r="OU208" s="4"/>
      <c r="OV208" s="4"/>
      <c r="OW208" s="4"/>
      <c r="OX208" s="4"/>
      <c r="OY208" s="5"/>
      <c r="OZ208" s="6"/>
      <c r="PA208" s="4"/>
      <c r="PB208" s="4"/>
      <c r="PC208" s="4"/>
      <c r="PD208" s="4"/>
      <c r="PE208" s="4"/>
      <c r="PF208" s="5"/>
      <c r="PG208" s="6"/>
      <c r="PH208" s="4"/>
      <c r="PI208" s="4"/>
      <c r="PJ208" s="4"/>
      <c r="PK208" s="4"/>
      <c r="PL208" s="4"/>
      <c r="PM208" s="5"/>
      <c r="PN208" s="6"/>
      <c r="PO208" s="4"/>
      <c r="PP208" s="4"/>
      <c r="PQ208" s="4"/>
      <c r="PR208" s="4"/>
      <c r="PS208" s="4"/>
      <c r="PT208" s="5"/>
      <c r="PU208" s="6"/>
      <c r="PV208" s="4"/>
      <c r="PW208" s="4"/>
      <c r="PX208" s="4"/>
      <c r="PY208" s="4"/>
      <c r="PZ208" s="4"/>
      <c r="QA208" s="5"/>
      <c r="QB208" s="6"/>
      <c r="QC208" s="4"/>
      <c r="QD208" s="4"/>
      <c r="QE208" s="4"/>
      <c r="QF208" s="4"/>
      <c r="QG208" s="4"/>
      <c r="QH208" s="5"/>
      <c r="QI208" s="6"/>
      <c r="QJ208" s="4"/>
      <c r="QK208" s="4"/>
      <c r="QL208" s="4"/>
      <c r="QM208" s="4"/>
      <c r="QN208" s="4"/>
      <c r="QO208" s="5"/>
      <c r="QP208" s="6"/>
      <c r="QQ208" s="4"/>
      <c r="QR208" s="4"/>
      <c r="QS208" s="4"/>
      <c r="QT208" s="4"/>
      <c r="QU208" s="4"/>
      <c r="QV208" s="5"/>
      <c r="QW208" s="6"/>
      <c r="QX208" s="4"/>
      <c r="QY208" s="4"/>
      <c r="QZ208" s="4"/>
      <c r="RA208" s="4"/>
      <c r="RB208" s="4"/>
      <c r="RC208" s="5"/>
      <c r="RD208" s="6"/>
      <c r="RE208" s="4"/>
      <c r="RF208" s="4"/>
      <c r="RG208" s="4"/>
      <c r="RH208" s="4"/>
      <c r="RI208" s="4"/>
      <c r="RJ208" s="5"/>
      <c r="RK208" s="6"/>
      <c r="RL208" s="4"/>
      <c r="RM208" s="4"/>
      <c r="RN208" s="4"/>
      <c r="RO208" s="4"/>
      <c r="RP208" s="4"/>
      <c r="RQ208" s="5"/>
      <c r="RR208" s="6"/>
      <c r="RS208" s="4"/>
      <c r="RT208" s="4"/>
      <c r="RU208" s="4"/>
      <c r="RV208" s="4"/>
      <c r="RW208" s="4"/>
      <c r="RX208" s="5"/>
      <c r="RY208" s="6"/>
      <c r="RZ208" s="4"/>
      <c r="SA208" s="4"/>
      <c r="SB208" s="4"/>
      <c r="SC208" s="4"/>
      <c r="SD208" s="4"/>
      <c r="SE208" s="5"/>
      <c r="SF208" s="6"/>
      <c r="SG208" s="4"/>
      <c r="SH208" s="4"/>
      <c r="SI208" s="4"/>
      <c r="SJ208" s="4"/>
      <c r="SK208" s="4"/>
      <c r="SL208" s="5"/>
      <c r="SM208" s="6"/>
      <c r="SN208" s="4"/>
      <c r="SO208" s="4"/>
      <c r="SP208" s="4"/>
      <c r="SQ208" s="4"/>
      <c r="SR208" s="4"/>
      <c r="SS208" s="5"/>
      <c r="ST208" s="6"/>
      <c r="SU208" s="4"/>
      <c r="SV208" s="4"/>
      <c r="SW208" s="4"/>
      <c r="SX208" s="4"/>
      <c r="SY208" s="4"/>
      <c r="SZ208" s="5"/>
      <c r="TA208" s="6"/>
      <c r="TB208" s="4"/>
      <c r="TC208" s="4"/>
      <c r="TD208" s="4"/>
      <c r="TE208" s="4"/>
      <c r="TF208" s="4"/>
      <c r="TG208" s="5"/>
      <c r="TH208" s="6"/>
      <c r="TI208" s="4"/>
      <c r="TJ208" s="4"/>
      <c r="TK208" s="4"/>
      <c r="TL208" s="4"/>
      <c r="TM208" s="4"/>
      <c r="TN208" s="5"/>
      <c r="TO208" s="6"/>
      <c r="TP208" s="4"/>
      <c r="TQ208" s="4"/>
      <c r="TR208" s="4"/>
      <c r="TS208" s="4"/>
      <c r="TT208" s="4"/>
      <c r="TU208" s="5"/>
      <c r="TV208" s="6"/>
      <c r="TW208" s="4"/>
      <c r="TX208" s="4"/>
      <c r="TY208" s="4"/>
      <c r="TZ208" s="4"/>
      <c r="UA208" s="4"/>
      <c r="UB208" s="5"/>
      <c r="UC208" s="6"/>
      <c r="UD208" s="4"/>
      <c r="UE208" s="4"/>
      <c r="UF208" s="4"/>
      <c r="UG208" s="4"/>
      <c r="UH208" s="4"/>
      <c r="UI208" s="5"/>
      <c r="UJ208" s="6"/>
      <c r="UK208" s="4"/>
      <c r="UL208" s="4"/>
      <c r="UM208" s="4"/>
      <c r="UN208" s="4"/>
      <c r="UO208" s="4"/>
      <c r="UP208" s="5"/>
      <c r="UQ208" s="6"/>
      <c r="UR208" s="4"/>
      <c r="US208" s="4"/>
      <c r="UT208" s="4"/>
      <c r="UU208" s="4"/>
      <c r="UV208" s="4"/>
      <c r="UW208" s="5"/>
      <c r="UX208" s="6"/>
      <c r="UY208" s="4"/>
      <c r="UZ208" s="4"/>
      <c r="VA208" s="4"/>
      <c r="VB208" s="4"/>
      <c r="VC208" s="4"/>
      <c r="VD208" s="5"/>
      <c r="VE208" s="6"/>
      <c r="VF208" s="4"/>
      <c r="VG208" s="4"/>
      <c r="VH208" s="4"/>
      <c r="VI208" s="4"/>
      <c r="VJ208" s="4"/>
      <c r="VK208" s="5"/>
      <c r="VL208" s="6"/>
      <c r="VM208" s="4"/>
      <c r="VN208" s="4"/>
      <c r="VO208" s="4"/>
      <c r="VP208" s="4"/>
      <c r="VQ208" s="4"/>
      <c r="VR208" s="5"/>
      <c r="VS208" s="6"/>
      <c r="VT208" s="4"/>
      <c r="VU208" s="4"/>
      <c r="VV208" s="4"/>
      <c r="VW208" s="4"/>
      <c r="VX208" s="4"/>
      <c r="VY208" s="5"/>
      <c r="VZ208" s="6"/>
      <c r="WA208" s="4"/>
      <c r="WB208" s="4"/>
      <c r="WC208" s="4"/>
      <c r="WD208" s="4"/>
      <c r="WE208" s="4"/>
      <c r="WF208" s="5"/>
      <c r="WG208" s="6"/>
      <c r="WH208" s="4"/>
      <c r="WI208" s="4"/>
      <c r="WJ208" s="4"/>
      <c r="WK208" s="4"/>
      <c r="WL208" s="4"/>
      <c r="WM208" s="5"/>
      <c r="WN208" s="6"/>
      <c r="WO208" s="4"/>
      <c r="WP208" s="4"/>
      <c r="WQ208" s="4"/>
      <c r="WR208" s="4"/>
      <c r="WS208" s="4"/>
      <c r="WT208" s="5"/>
      <c r="WU208" s="6"/>
      <c r="WV208" s="4"/>
      <c r="WW208" s="4"/>
      <c r="WX208" s="4"/>
      <c r="WY208" s="4"/>
      <c r="WZ208" s="4"/>
      <c r="XA208" s="5"/>
      <c r="XB208" s="6"/>
      <c r="XC208" s="4"/>
      <c r="XD208" s="4"/>
      <c r="XE208" s="4"/>
      <c r="XF208" s="4"/>
      <c r="XG208" s="4"/>
      <c r="XH208" s="5"/>
      <c r="XI208" s="6"/>
      <c r="XJ208" s="4"/>
      <c r="XK208" s="4"/>
      <c r="XL208" s="4"/>
      <c r="XM208" s="4"/>
      <c r="XN208" s="4"/>
      <c r="XO208" s="5"/>
      <c r="XP208" s="6"/>
      <c r="XQ208" s="4"/>
      <c r="XR208" s="4"/>
      <c r="XS208" s="4"/>
      <c r="XT208" s="4"/>
      <c r="XU208" s="4"/>
      <c r="XV208" s="5"/>
      <c r="XW208" s="6"/>
      <c r="XX208" s="4"/>
      <c r="XY208" s="4"/>
      <c r="XZ208" s="4"/>
      <c r="YA208" s="4"/>
      <c r="YB208" s="4"/>
      <c r="YC208" s="5"/>
      <c r="YD208" s="6"/>
      <c r="YE208" s="4"/>
      <c r="YF208" s="4"/>
      <c r="YG208" s="4"/>
      <c r="YH208" s="4"/>
      <c r="YI208" s="4"/>
      <c r="YJ208" s="5"/>
      <c r="YK208" s="6"/>
      <c r="YL208" s="4"/>
      <c r="YM208" s="4"/>
      <c r="YN208" s="4"/>
      <c r="YO208" s="4"/>
      <c r="YP208" s="4"/>
      <c r="YQ208" s="5"/>
      <c r="YR208" s="6"/>
      <c r="YS208" s="4"/>
      <c r="YT208" s="4"/>
      <c r="YU208" s="4"/>
      <c r="YV208" s="4"/>
      <c r="YW208" s="4"/>
      <c r="YX208" s="5"/>
      <c r="YY208" s="6"/>
      <c r="YZ208" s="4"/>
      <c r="ZA208" s="4"/>
      <c r="ZB208" s="4"/>
      <c r="ZC208" s="4"/>
      <c r="ZD208" s="4"/>
      <c r="ZE208" s="5"/>
      <c r="ZF208" s="6"/>
      <c r="ZG208" s="4"/>
      <c r="ZH208" s="4"/>
      <c r="ZI208" s="4"/>
      <c r="ZJ208" s="4"/>
      <c r="ZK208" s="4"/>
      <c r="ZL208" s="5"/>
      <c r="ZM208" s="6"/>
      <c r="ZN208" s="4"/>
      <c r="ZO208" s="4"/>
      <c r="ZP208" s="4"/>
      <c r="ZQ208" s="4"/>
      <c r="ZR208" s="4"/>
      <c r="ZS208" s="5"/>
      <c r="ZT208" s="6"/>
      <c r="ZU208" s="4"/>
      <c r="ZV208" s="4"/>
      <c r="ZW208" s="4"/>
      <c r="ZX208" s="4"/>
      <c r="ZY208" s="4"/>
      <c r="ZZ208" s="5"/>
      <c r="AAA208" s="6"/>
      <c r="AAB208" s="4"/>
      <c r="AAC208" s="4"/>
      <c r="AAD208" s="4"/>
      <c r="AAE208" s="4"/>
      <c r="AAF208" s="4"/>
      <c r="AAG208" s="5"/>
      <c r="AAH208" s="6"/>
      <c r="AAI208" s="4"/>
      <c r="AAJ208" s="4"/>
      <c r="AAK208" s="4"/>
      <c r="AAL208" s="4"/>
      <c r="AAM208" s="4"/>
      <c r="AAN208" s="5"/>
      <c r="AAO208" s="6"/>
      <c r="AAP208" s="4"/>
      <c r="AAQ208" s="4"/>
      <c r="AAR208" s="4"/>
      <c r="AAS208" s="4"/>
      <c r="AAT208" s="4"/>
      <c r="AAU208" s="5"/>
      <c r="AAV208" s="6"/>
      <c r="AAW208" s="4"/>
      <c r="AAX208" s="4"/>
      <c r="AAY208" s="4"/>
      <c r="AAZ208" s="4"/>
      <c r="ABA208" s="4"/>
      <c r="ABB208" s="5"/>
      <c r="ABC208" s="6"/>
      <c r="ABD208" s="4"/>
      <c r="ABE208" s="4"/>
      <c r="ABF208" s="4"/>
      <c r="ABG208" s="4"/>
      <c r="ABH208" s="4"/>
      <c r="ABI208" s="5"/>
      <c r="ABJ208" s="6"/>
      <c r="ABK208" s="4"/>
      <c r="ABL208" s="4"/>
      <c r="ABM208" s="4"/>
      <c r="ABN208" s="4"/>
      <c r="ABO208" s="4"/>
      <c r="ABP208" s="5"/>
      <c r="ABQ208" s="6"/>
      <c r="ABR208" s="4"/>
      <c r="ABS208" s="4"/>
      <c r="ABT208" s="4"/>
      <c r="ABU208" s="4"/>
      <c r="ABV208" s="4"/>
      <c r="ABW208" s="5"/>
      <c r="ABX208" s="6"/>
      <c r="ABY208" s="4"/>
      <c r="ABZ208" s="4"/>
      <c r="ACA208" s="4"/>
      <c r="ACB208" s="4"/>
      <c r="ACC208" s="4"/>
      <c r="ACD208" s="5"/>
      <c r="ACE208" s="6"/>
      <c r="ACF208" s="4"/>
      <c r="ACG208" s="4"/>
      <c r="ACH208" s="4"/>
      <c r="ACI208" s="4"/>
      <c r="ACJ208" s="4"/>
      <c r="ACK208" s="5"/>
      <c r="ACL208" s="6"/>
      <c r="ACM208" s="4"/>
      <c r="ACN208" s="4"/>
      <c r="ACO208" s="4"/>
      <c r="ACP208" s="4"/>
      <c r="ACQ208" s="4"/>
      <c r="ACR208" s="5"/>
      <c r="ACS208" s="6"/>
      <c r="ACT208" s="4"/>
      <c r="ACU208" s="4"/>
      <c r="ACV208" s="4"/>
      <c r="ACW208" s="4"/>
      <c r="ACX208" s="4"/>
      <c r="ACY208" s="5"/>
    </row>
    <row r="209" spans="1:779" x14ac:dyDescent="0.25">
      <c r="B209" s="30"/>
      <c r="J209" s="12"/>
      <c r="K209" s="12"/>
      <c r="L209" s="12"/>
      <c r="LL209" s="6"/>
      <c r="LM209" s="4"/>
      <c r="LN209" s="4"/>
      <c r="LO209" s="4"/>
      <c r="LP209" s="4"/>
      <c r="LQ209" s="4"/>
      <c r="LR209" s="5"/>
      <c r="LS209" s="6"/>
      <c r="LT209" s="4"/>
      <c r="LU209" s="4"/>
      <c r="LV209" s="4"/>
      <c r="LW209" s="4"/>
      <c r="LX209" s="4"/>
      <c r="LY209" s="5"/>
      <c r="LZ209" s="6" t="s">
        <v>3567</v>
      </c>
      <c r="MA209" s="7" t="s">
        <v>3271</v>
      </c>
      <c r="MB209" s="4"/>
      <c r="MC209" s="4"/>
      <c r="MD209" s="8"/>
      <c r="ME209" s="4"/>
      <c r="MF209" s="4"/>
      <c r="MG209" s="5"/>
      <c r="MH209" s="6"/>
      <c r="MI209" s="4"/>
      <c r="MJ209" s="4"/>
      <c r="MK209" s="4"/>
      <c r="ML209" s="4"/>
      <c r="MM209" s="4"/>
      <c r="MN209" s="5"/>
      <c r="MO209" s="6"/>
      <c r="MP209" s="4"/>
      <c r="MQ209" s="4"/>
      <c r="MR209" s="4"/>
      <c r="MS209" s="4"/>
      <c r="MT209" s="4"/>
      <c r="MU209" s="5"/>
      <c r="MV209" s="6"/>
      <c r="MW209" s="4"/>
      <c r="MX209" s="4"/>
      <c r="MY209" s="4"/>
      <c r="MZ209" s="4"/>
      <c r="NA209" s="4"/>
      <c r="NB209" s="5"/>
      <c r="NC209" s="6" t="s">
        <v>3409</v>
      </c>
      <c r="ND209" s="4" t="s">
        <v>3410</v>
      </c>
      <c r="NE209" s="4"/>
      <c r="NF209" s="4"/>
      <c r="NG209" s="4"/>
      <c r="NH209" s="4"/>
      <c r="NI209" s="5"/>
      <c r="NJ209" s="6"/>
      <c r="NK209" s="4"/>
      <c r="NL209" s="4"/>
      <c r="NM209" s="4"/>
      <c r="NN209" s="4"/>
      <c r="NO209" s="4"/>
      <c r="NP209" s="5"/>
      <c r="NQ209" s="6"/>
      <c r="NR209" s="4"/>
      <c r="NS209" s="4"/>
      <c r="NT209" s="4"/>
      <c r="NU209" s="4"/>
      <c r="NV209" s="4"/>
      <c r="NW209" s="5"/>
      <c r="NX209" s="6"/>
      <c r="NY209" s="4"/>
      <c r="NZ209" s="4"/>
      <c r="OA209" s="4"/>
      <c r="OB209" s="4"/>
      <c r="OC209" s="4"/>
      <c r="OD209" s="5"/>
      <c r="OE209" s="6"/>
      <c r="OF209" s="4"/>
      <c r="OG209" s="4"/>
      <c r="OH209" s="4"/>
      <c r="OI209" s="4"/>
      <c r="OJ209" s="4"/>
      <c r="OK209" s="5"/>
      <c r="OL209" s="6"/>
      <c r="OM209" s="4"/>
      <c r="ON209" s="4"/>
      <c r="OO209" s="4"/>
      <c r="OP209" s="4"/>
      <c r="OQ209" s="4"/>
      <c r="OR209" s="5"/>
      <c r="OS209" s="6"/>
      <c r="OT209" s="4"/>
      <c r="OU209" s="4"/>
      <c r="OV209" s="4"/>
      <c r="OW209" s="4"/>
      <c r="OX209" s="4"/>
      <c r="OY209" s="5"/>
      <c r="OZ209" s="6"/>
      <c r="PA209" s="4"/>
      <c r="PB209" s="4"/>
      <c r="PC209" s="4"/>
      <c r="PD209" s="4"/>
      <c r="PE209" s="4"/>
      <c r="PF209" s="5"/>
      <c r="PG209" s="6"/>
      <c r="PH209" s="4"/>
      <c r="PI209" s="4"/>
      <c r="PJ209" s="4"/>
      <c r="PK209" s="4"/>
      <c r="PL209" s="4"/>
      <c r="PM209" s="5"/>
      <c r="PN209" s="6"/>
      <c r="PO209" s="4"/>
      <c r="PP209" s="4"/>
      <c r="PQ209" s="4"/>
      <c r="PR209" s="4"/>
      <c r="PS209" s="4"/>
      <c r="PT209" s="5"/>
      <c r="PU209" s="6"/>
      <c r="PV209" s="4"/>
      <c r="PW209" s="4"/>
      <c r="PX209" s="4"/>
      <c r="PY209" s="4"/>
      <c r="PZ209" s="4"/>
      <c r="QA209" s="5"/>
      <c r="QB209" s="6"/>
      <c r="QC209" s="4"/>
      <c r="QD209" s="4"/>
      <c r="QE209" s="4"/>
      <c r="QF209" s="4"/>
      <c r="QG209" s="4"/>
      <c r="QH209" s="5"/>
      <c r="QI209" s="6"/>
      <c r="QJ209" s="4"/>
      <c r="QK209" s="4"/>
      <c r="QL209" s="4"/>
      <c r="QM209" s="4"/>
      <c r="QN209" s="4"/>
      <c r="QO209" s="5"/>
      <c r="QP209" s="6"/>
      <c r="QQ209" s="4"/>
      <c r="QR209" s="4"/>
      <c r="QS209" s="4"/>
      <c r="QT209" s="4"/>
      <c r="QU209" s="4"/>
      <c r="QV209" s="5"/>
      <c r="QW209" s="6"/>
      <c r="QX209" s="4"/>
      <c r="QY209" s="4"/>
      <c r="QZ209" s="4"/>
      <c r="RA209" s="4"/>
      <c r="RB209" s="4"/>
      <c r="RC209" s="5"/>
      <c r="RD209" s="6"/>
      <c r="RE209" s="4"/>
      <c r="RF209" s="4"/>
      <c r="RG209" s="4"/>
      <c r="RH209" s="4"/>
      <c r="RI209" s="4"/>
      <c r="RJ209" s="5"/>
      <c r="RK209" s="6"/>
      <c r="RL209" s="4"/>
      <c r="RM209" s="4"/>
      <c r="RN209" s="4"/>
      <c r="RO209" s="4"/>
      <c r="RP209" s="4"/>
      <c r="RQ209" s="5"/>
      <c r="RR209" s="6"/>
      <c r="RS209" s="4"/>
      <c r="RT209" s="4"/>
      <c r="RU209" s="4"/>
      <c r="RV209" s="4"/>
      <c r="RW209" s="4"/>
      <c r="RX209" s="5"/>
      <c r="RY209" s="6"/>
      <c r="RZ209" s="4"/>
      <c r="SA209" s="4"/>
      <c r="SB209" s="4"/>
      <c r="SC209" s="4"/>
      <c r="SD209" s="4"/>
      <c r="SE209" s="5"/>
      <c r="SF209" s="6"/>
      <c r="SG209" s="4"/>
      <c r="SH209" s="4"/>
      <c r="SI209" s="4"/>
      <c r="SJ209" s="4"/>
      <c r="SK209" s="4"/>
      <c r="SL209" s="5"/>
      <c r="SM209" s="6"/>
      <c r="SN209" s="4"/>
      <c r="SO209" s="4"/>
      <c r="SP209" s="4"/>
      <c r="SQ209" s="4"/>
      <c r="SR209" s="4"/>
      <c r="SS209" s="5"/>
      <c r="ST209" s="6"/>
      <c r="SU209" s="4"/>
      <c r="SV209" s="4"/>
      <c r="SW209" s="4"/>
      <c r="SX209" s="4"/>
      <c r="SY209" s="4"/>
      <c r="SZ209" s="5"/>
      <c r="TA209" s="6"/>
      <c r="TB209" s="4"/>
      <c r="TC209" s="4"/>
      <c r="TD209" s="4"/>
      <c r="TE209" s="4"/>
      <c r="TF209" s="4"/>
      <c r="TG209" s="5"/>
      <c r="TH209" s="6"/>
      <c r="TI209" s="4"/>
      <c r="TJ209" s="4"/>
      <c r="TK209" s="4"/>
      <c r="TL209" s="4"/>
      <c r="TM209" s="4"/>
      <c r="TN209" s="5"/>
      <c r="TO209" s="6"/>
      <c r="TP209" s="4"/>
      <c r="TQ209" s="4"/>
      <c r="TR209" s="4"/>
      <c r="TS209" s="4"/>
      <c r="TT209" s="4"/>
      <c r="TU209" s="5"/>
      <c r="TV209" s="6"/>
      <c r="TW209" s="4"/>
      <c r="TX209" s="4"/>
      <c r="TY209" s="4"/>
      <c r="TZ209" s="4"/>
      <c r="UA209" s="4"/>
      <c r="UB209" s="5"/>
      <c r="UC209" s="6"/>
      <c r="UD209" s="4"/>
      <c r="UE209" s="4"/>
      <c r="UF209" s="4"/>
      <c r="UG209" s="4"/>
      <c r="UH209" s="4"/>
      <c r="UI209" s="5"/>
      <c r="UJ209" s="6"/>
      <c r="UK209" s="4"/>
      <c r="UL209" s="4"/>
      <c r="UM209" s="4"/>
      <c r="UN209" s="4"/>
      <c r="UO209" s="4"/>
      <c r="UP209" s="5"/>
      <c r="UQ209" s="6"/>
      <c r="UR209" s="4"/>
      <c r="US209" s="4"/>
      <c r="UT209" s="4"/>
      <c r="UU209" s="4"/>
      <c r="UV209" s="4"/>
      <c r="UW209" s="5"/>
      <c r="UX209" s="6"/>
      <c r="UY209" s="4"/>
      <c r="UZ209" s="4"/>
      <c r="VA209" s="4"/>
      <c r="VB209" s="4"/>
      <c r="VC209" s="4"/>
      <c r="VD209" s="5"/>
      <c r="VE209" s="6"/>
      <c r="VF209" s="4"/>
      <c r="VG209" s="4"/>
      <c r="VH209" s="4"/>
      <c r="VI209" s="4"/>
      <c r="VJ209" s="4"/>
      <c r="VK209" s="5"/>
      <c r="VL209" s="6"/>
      <c r="VM209" s="4"/>
      <c r="VN209" s="4"/>
      <c r="VO209" s="4"/>
      <c r="VP209" s="4"/>
      <c r="VQ209" s="4"/>
      <c r="VR209" s="5"/>
      <c r="VS209" s="6"/>
      <c r="VT209" s="4"/>
      <c r="VU209" s="4"/>
      <c r="VV209" s="4"/>
      <c r="VW209" s="4"/>
      <c r="VX209" s="4"/>
      <c r="VY209" s="5"/>
      <c r="VZ209" s="6"/>
      <c r="WA209" s="4"/>
      <c r="WB209" s="4"/>
      <c r="WC209" s="4"/>
      <c r="WD209" s="4"/>
      <c r="WE209" s="4"/>
      <c r="WF209" s="5"/>
      <c r="WG209" s="6"/>
      <c r="WH209" s="4"/>
      <c r="WI209" s="4"/>
      <c r="WJ209" s="4"/>
      <c r="WK209" s="4"/>
      <c r="WL209" s="4"/>
      <c r="WM209" s="5"/>
      <c r="WN209" s="6"/>
      <c r="WO209" s="4"/>
      <c r="WP209" s="4"/>
      <c r="WQ209" s="4"/>
      <c r="WR209" s="4"/>
      <c r="WS209" s="4"/>
      <c r="WT209" s="5"/>
      <c r="WU209" s="6"/>
      <c r="WV209" s="4"/>
      <c r="WW209" s="4"/>
      <c r="WX209" s="4"/>
      <c r="WY209" s="4"/>
      <c r="WZ209" s="4"/>
      <c r="XA209" s="5"/>
      <c r="XB209" s="6"/>
      <c r="XC209" s="4"/>
      <c r="XD209" s="4"/>
      <c r="XE209" s="4"/>
      <c r="XF209" s="4"/>
      <c r="XG209" s="4"/>
      <c r="XH209" s="5"/>
      <c r="XI209" s="6"/>
      <c r="XJ209" s="4"/>
      <c r="XK209" s="4"/>
      <c r="XL209" s="4"/>
      <c r="XM209" s="4"/>
      <c r="XN209" s="4"/>
      <c r="XO209" s="5"/>
      <c r="XP209" s="6"/>
      <c r="XQ209" s="4"/>
      <c r="XR209" s="4"/>
      <c r="XS209" s="4"/>
      <c r="XT209" s="4"/>
      <c r="XU209" s="4"/>
      <c r="XV209" s="5"/>
      <c r="XW209" s="6"/>
      <c r="XX209" s="4"/>
      <c r="XY209" s="4"/>
      <c r="XZ209" s="4"/>
      <c r="YA209" s="4"/>
      <c r="YB209" s="4"/>
      <c r="YC209" s="5"/>
      <c r="YD209" s="6"/>
      <c r="YE209" s="4"/>
      <c r="YF209" s="4"/>
      <c r="YG209" s="4"/>
      <c r="YH209" s="4"/>
      <c r="YI209" s="4"/>
      <c r="YJ209" s="5"/>
      <c r="YK209" s="6"/>
      <c r="YL209" s="4"/>
      <c r="YM209" s="4"/>
      <c r="YN209" s="4"/>
      <c r="YO209" s="4"/>
      <c r="YP209" s="4"/>
      <c r="YQ209" s="5"/>
      <c r="YR209" s="6"/>
      <c r="YS209" s="4"/>
      <c r="YT209" s="4"/>
      <c r="YU209" s="4"/>
      <c r="YV209" s="4"/>
      <c r="YW209" s="4"/>
      <c r="YX209" s="5"/>
      <c r="YY209" s="6"/>
      <c r="YZ209" s="4"/>
      <c r="ZA209" s="4"/>
      <c r="ZB209" s="4"/>
      <c r="ZC209" s="4"/>
      <c r="ZD209" s="4"/>
      <c r="ZE209" s="5"/>
      <c r="ZF209" s="6"/>
      <c r="ZG209" s="4"/>
      <c r="ZH209" s="4"/>
      <c r="ZI209" s="4"/>
      <c r="ZJ209" s="4"/>
      <c r="ZK209" s="4"/>
      <c r="ZL209" s="5"/>
      <c r="ZM209" s="6"/>
      <c r="ZN209" s="4"/>
      <c r="ZO209" s="4"/>
      <c r="ZP209" s="4"/>
      <c r="ZQ209" s="4"/>
      <c r="ZR209" s="4"/>
      <c r="ZS209" s="5"/>
      <c r="ZT209" s="6"/>
      <c r="ZU209" s="4"/>
      <c r="ZV209" s="4"/>
      <c r="ZW209" s="4"/>
      <c r="ZX209" s="4"/>
      <c r="ZY209" s="4"/>
      <c r="ZZ209" s="5"/>
      <c r="AAA209" s="6"/>
      <c r="AAB209" s="4"/>
      <c r="AAC209" s="4"/>
      <c r="AAD209" s="4"/>
      <c r="AAE209" s="4"/>
      <c r="AAF209" s="4"/>
      <c r="AAG209" s="5"/>
      <c r="AAH209" s="6"/>
      <c r="AAI209" s="4"/>
      <c r="AAJ209" s="4"/>
      <c r="AAK209" s="4"/>
      <c r="AAL209" s="4"/>
      <c r="AAM209" s="4"/>
      <c r="AAN209" s="5"/>
      <c r="AAO209" s="6"/>
      <c r="AAP209" s="4"/>
      <c r="AAQ209" s="4"/>
      <c r="AAR209" s="4"/>
      <c r="AAS209" s="4"/>
      <c r="AAT209" s="4"/>
      <c r="AAU209" s="5"/>
      <c r="AAV209" s="6"/>
      <c r="AAW209" s="4"/>
      <c r="AAX209" s="4"/>
      <c r="AAY209" s="4"/>
      <c r="AAZ209" s="4"/>
      <c r="ABA209" s="4"/>
      <c r="ABB209" s="5"/>
      <c r="ABC209" s="6"/>
      <c r="ABD209" s="4"/>
      <c r="ABE209" s="4"/>
      <c r="ABF209" s="4"/>
      <c r="ABG209" s="4"/>
      <c r="ABH209" s="4"/>
      <c r="ABI209" s="5"/>
      <c r="ABJ209" s="6"/>
      <c r="ABK209" s="4"/>
      <c r="ABL209" s="4"/>
      <c r="ABM209" s="4"/>
      <c r="ABN209" s="4"/>
      <c r="ABO209" s="4"/>
      <c r="ABP209" s="5"/>
      <c r="ABQ209" s="6"/>
      <c r="ABR209" s="4"/>
      <c r="ABS209" s="4"/>
      <c r="ABT209" s="4"/>
      <c r="ABU209" s="4"/>
      <c r="ABV209" s="4"/>
      <c r="ABW209" s="5"/>
      <c r="ABX209" s="6"/>
      <c r="ABY209" s="4"/>
      <c r="ABZ209" s="4"/>
      <c r="ACA209" s="4"/>
      <c r="ACB209" s="4"/>
      <c r="ACC209" s="4"/>
      <c r="ACD209" s="5"/>
      <c r="ACE209" s="6"/>
      <c r="ACF209" s="4"/>
      <c r="ACG209" s="4"/>
      <c r="ACH209" s="4"/>
      <c r="ACI209" s="4"/>
      <c r="ACJ209" s="4"/>
      <c r="ACK209" s="5"/>
      <c r="ACL209" s="6"/>
      <c r="ACM209" s="4"/>
      <c r="ACN209" s="4"/>
      <c r="ACO209" s="4"/>
      <c r="ACP209" s="4"/>
      <c r="ACQ209" s="4"/>
      <c r="ACR209" s="5"/>
      <c r="ACS209" s="6"/>
      <c r="ACT209" s="4"/>
      <c r="ACU209" s="4"/>
      <c r="ACV209" s="4"/>
      <c r="ACW209" s="4"/>
      <c r="ACX209" s="4"/>
      <c r="ACY209" s="5"/>
    </row>
    <row r="210" spans="1:779" x14ac:dyDescent="0.25">
      <c r="B210" s="49">
        <v>99005518</v>
      </c>
      <c r="C210">
        <v>64</v>
      </c>
      <c r="D210" t="s">
        <v>2121</v>
      </c>
      <c r="F210" s="23" t="s">
        <v>1781</v>
      </c>
      <c r="J210" s="12"/>
      <c r="K210" s="12"/>
      <c r="L210" s="12"/>
      <c r="M210">
        <v>1</v>
      </c>
      <c r="N210" s="17">
        <v>36339</v>
      </c>
      <c r="R210">
        <v>1</v>
      </c>
      <c r="V210">
        <v>1</v>
      </c>
      <c r="Y210">
        <v>1</v>
      </c>
      <c r="AJ210">
        <v>1</v>
      </c>
      <c r="BX210">
        <v>1</v>
      </c>
      <c r="LL210" s="6"/>
      <c r="LM210" s="4"/>
      <c r="LN210" s="4"/>
      <c r="LO210" s="4"/>
      <c r="LP210" s="4"/>
      <c r="LQ210" s="4"/>
      <c r="LR210" s="5"/>
      <c r="LS210" s="6"/>
      <c r="LT210" s="4"/>
      <c r="LU210" s="4"/>
      <c r="LV210" s="4"/>
      <c r="LW210" s="4"/>
      <c r="LX210" s="4"/>
      <c r="LY210" s="5"/>
      <c r="LZ210" s="6" t="s">
        <v>719</v>
      </c>
      <c r="MA210" s="7" t="s">
        <v>720</v>
      </c>
      <c r="MB210" s="4"/>
      <c r="MC210" s="4"/>
      <c r="MD210" s="8"/>
      <c r="ME210" s="4"/>
      <c r="MF210" s="4"/>
      <c r="MG210" s="5" t="s">
        <v>580</v>
      </c>
      <c r="MH210" s="6"/>
      <c r="MI210" s="4"/>
      <c r="MJ210" s="4"/>
      <c r="MK210" s="4"/>
      <c r="ML210" s="4"/>
      <c r="MM210" s="4"/>
      <c r="MN210" s="5"/>
      <c r="MO210" s="6"/>
      <c r="MP210" s="4"/>
      <c r="MQ210" s="4"/>
      <c r="MR210" s="4"/>
      <c r="MS210" s="4"/>
      <c r="MT210" s="4"/>
      <c r="MU210" s="5"/>
      <c r="MV210" s="6"/>
      <c r="MW210" s="4"/>
      <c r="MX210" s="4"/>
      <c r="MY210" s="4"/>
      <c r="MZ210" s="4"/>
      <c r="NA210" s="4"/>
      <c r="NB210" s="5"/>
      <c r="NC210" s="6" t="s">
        <v>2870</v>
      </c>
      <c r="ND210" s="4" t="s">
        <v>2871</v>
      </c>
      <c r="NE210" s="4"/>
      <c r="NF210" s="4"/>
      <c r="NG210" s="4"/>
      <c r="NH210" s="4"/>
      <c r="NI210" s="5"/>
      <c r="NJ210" s="6"/>
      <c r="NK210" s="4"/>
      <c r="NL210" s="4"/>
      <c r="NM210" s="4"/>
      <c r="NN210" s="4"/>
      <c r="NO210" s="4"/>
      <c r="NP210" s="5"/>
      <c r="NQ210" s="6"/>
      <c r="NR210" s="4"/>
      <c r="NS210" s="4"/>
      <c r="NT210" s="4"/>
      <c r="NU210" s="4"/>
      <c r="NV210" s="4"/>
      <c r="NW210" s="5"/>
      <c r="NX210" s="6"/>
      <c r="NY210" s="4"/>
      <c r="NZ210" s="4"/>
      <c r="OA210" s="4"/>
      <c r="OB210" s="4"/>
      <c r="OC210" s="4"/>
      <c r="OD210" s="5"/>
      <c r="OE210" s="6"/>
      <c r="OF210" s="4"/>
      <c r="OG210" s="4"/>
      <c r="OH210" s="4"/>
      <c r="OI210" s="4"/>
      <c r="OJ210" s="4"/>
      <c r="OK210" s="5"/>
      <c r="OL210" s="6"/>
      <c r="OM210" s="4"/>
      <c r="ON210" s="4"/>
      <c r="OO210" s="4"/>
      <c r="OP210" s="4"/>
      <c r="OQ210" s="4"/>
      <c r="OR210" s="5"/>
      <c r="OS210" s="6"/>
      <c r="OT210" s="4"/>
      <c r="OU210" s="4"/>
      <c r="OV210" s="4"/>
      <c r="OW210" s="4"/>
      <c r="OX210" s="4"/>
      <c r="OY210" s="5"/>
      <c r="OZ210" s="6"/>
      <c r="PA210" s="4"/>
      <c r="PB210" s="4"/>
      <c r="PC210" s="4"/>
      <c r="PD210" s="4"/>
      <c r="PE210" s="4"/>
      <c r="PF210" s="5"/>
      <c r="PG210" s="6"/>
      <c r="PH210" s="4"/>
      <c r="PI210" s="4"/>
      <c r="PJ210" s="4"/>
      <c r="PK210" s="4"/>
      <c r="PL210" s="4"/>
      <c r="PM210" s="5"/>
      <c r="PN210" s="6"/>
      <c r="PO210" s="4"/>
      <c r="PP210" s="4"/>
      <c r="PQ210" s="4"/>
      <c r="PR210" s="4"/>
      <c r="PS210" s="4"/>
      <c r="PT210" s="5"/>
      <c r="PU210" s="6"/>
      <c r="PV210" s="4"/>
      <c r="PW210" s="4"/>
      <c r="PX210" s="4"/>
      <c r="PY210" s="4"/>
      <c r="PZ210" s="4"/>
      <c r="QA210" s="5"/>
      <c r="QB210" s="6" t="s">
        <v>329</v>
      </c>
      <c r="QC210" s="4" t="s">
        <v>581</v>
      </c>
      <c r="QD210" s="4"/>
      <c r="QE210" s="4"/>
      <c r="QF210" s="4"/>
      <c r="QG210" s="4"/>
      <c r="QH210" s="5"/>
      <c r="QI210" s="6"/>
      <c r="QJ210" s="4"/>
      <c r="QK210" s="4"/>
      <c r="QL210" s="4"/>
      <c r="QM210" s="4"/>
      <c r="QN210" s="4"/>
      <c r="QO210" s="5"/>
      <c r="QP210" s="6"/>
      <c r="QQ210" s="4"/>
      <c r="QR210" s="4"/>
      <c r="QS210" s="4"/>
      <c r="QT210" s="4"/>
      <c r="QU210" s="4"/>
      <c r="QV210" s="5"/>
      <c r="QW210" s="6"/>
      <c r="QX210" s="4"/>
      <c r="QY210" s="4"/>
      <c r="QZ210" s="4"/>
      <c r="RA210" s="4"/>
      <c r="RB210" s="4"/>
      <c r="RC210" s="5"/>
      <c r="RD210" s="6"/>
      <c r="RE210" s="4"/>
      <c r="RF210" s="4"/>
      <c r="RG210" s="4"/>
      <c r="RH210" s="4"/>
      <c r="RI210" s="4"/>
      <c r="RJ210" s="5"/>
      <c r="RK210" s="6"/>
      <c r="RL210" s="4"/>
      <c r="RM210" s="4"/>
      <c r="RN210" s="4"/>
      <c r="RO210" s="4"/>
      <c r="RP210" s="4"/>
      <c r="RQ210" s="5"/>
      <c r="RR210" s="6"/>
      <c r="RS210" s="4"/>
      <c r="RT210" s="4"/>
      <c r="RU210" s="4"/>
      <c r="RV210" s="4"/>
      <c r="RW210" s="4"/>
      <c r="RX210" s="5"/>
      <c r="RY210" s="6"/>
      <c r="RZ210" s="4"/>
      <c r="SA210" s="4"/>
      <c r="SB210" s="4"/>
      <c r="SC210" s="4"/>
      <c r="SD210" s="4"/>
      <c r="SE210" s="5"/>
      <c r="SF210" s="6"/>
      <c r="SG210" s="4"/>
      <c r="SH210" s="4"/>
      <c r="SI210" s="4"/>
      <c r="SJ210" s="4"/>
      <c r="SK210" s="4"/>
      <c r="SL210" s="5"/>
      <c r="SM210" s="6"/>
      <c r="SN210" s="4"/>
      <c r="SO210" s="4"/>
      <c r="SP210" s="4"/>
      <c r="SQ210" s="4"/>
      <c r="SR210" s="4"/>
      <c r="SS210" s="5"/>
      <c r="ST210" s="6"/>
      <c r="SU210" s="4"/>
      <c r="SV210" s="4"/>
      <c r="SW210" s="4"/>
      <c r="SX210" s="4"/>
      <c r="SY210" s="4"/>
      <c r="SZ210" s="5"/>
      <c r="TA210" s="6"/>
      <c r="TB210" s="4"/>
      <c r="TC210" s="4"/>
      <c r="TD210" s="4"/>
      <c r="TE210" s="4"/>
      <c r="TF210" s="4"/>
      <c r="TG210" s="5"/>
      <c r="TH210" s="6"/>
      <c r="TI210" s="4"/>
      <c r="TJ210" s="4"/>
      <c r="TK210" s="4"/>
      <c r="TL210" s="4"/>
      <c r="TM210" s="4"/>
      <c r="TN210" s="5"/>
      <c r="TO210" s="6"/>
      <c r="TP210" s="4"/>
      <c r="TQ210" s="4"/>
      <c r="TR210" s="4"/>
      <c r="TS210" s="4"/>
      <c r="TT210" s="4"/>
      <c r="TU210" s="5"/>
      <c r="TV210" s="6"/>
      <c r="TW210" s="4"/>
      <c r="TX210" s="4"/>
      <c r="TY210" s="4"/>
      <c r="TZ210" s="4"/>
      <c r="UA210" s="4"/>
      <c r="UB210" s="5"/>
      <c r="UC210" s="6"/>
      <c r="UD210" s="4"/>
      <c r="UE210" s="4"/>
      <c r="UF210" s="4"/>
      <c r="UG210" s="4"/>
      <c r="UH210" s="4"/>
      <c r="UI210" s="5"/>
      <c r="UJ210" s="6"/>
      <c r="UK210" s="4"/>
      <c r="UL210" s="4"/>
      <c r="UM210" s="4"/>
      <c r="UN210" s="4"/>
      <c r="UO210" s="4"/>
      <c r="UP210" s="5"/>
      <c r="UQ210" s="6"/>
      <c r="UR210" s="4"/>
      <c r="US210" s="4"/>
      <c r="UT210" s="4"/>
      <c r="UU210" s="4"/>
      <c r="UV210" s="4"/>
      <c r="UW210" s="5"/>
      <c r="UX210" s="6" t="s">
        <v>582</v>
      </c>
      <c r="UY210" s="4" t="s">
        <v>583</v>
      </c>
      <c r="UZ210" s="4"/>
      <c r="VA210" s="4"/>
      <c r="VB210" s="4"/>
      <c r="VC210" s="4"/>
      <c r="VD210" s="5"/>
      <c r="VE210" s="6"/>
      <c r="VF210" s="4"/>
      <c r="VG210" s="4"/>
      <c r="VH210" s="4"/>
      <c r="VI210" s="4"/>
      <c r="VJ210" s="4"/>
      <c r="VK210" s="5"/>
      <c r="VL210" s="6"/>
      <c r="VM210" s="4"/>
      <c r="VN210" s="4"/>
      <c r="VO210" s="4"/>
      <c r="VP210" s="4"/>
      <c r="VQ210" s="4"/>
      <c r="VR210" s="5"/>
      <c r="VS210" s="6"/>
      <c r="VT210" s="4"/>
      <c r="VU210" s="4"/>
      <c r="VV210" s="4"/>
      <c r="VW210" s="4"/>
      <c r="VX210" s="4"/>
      <c r="VY210" s="5"/>
      <c r="VZ210" s="6"/>
      <c r="WA210" s="4"/>
      <c r="WB210" s="4"/>
      <c r="WC210" s="4"/>
      <c r="WD210" s="4"/>
      <c r="WE210" s="4"/>
      <c r="WF210" s="5"/>
      <c r="WG210" s="6"/>
      <c r="WH210" s="4"/>
      <c r="WI210" s="4"/>
      <c r="WJ210" s="4"/>
      <c r="WK210" s="4"/>
      <c r="WL210" s="4"/>
      <c r="WM210" s="5"/>
      <c r="WN210" s="6"/>
      <c r="WO210" s="4"/>
      <c r="WP210" s="4"/>
      <c r="WQ210" s="4"/>
      <c r="WR210" s="4"/>
      <c r="WS210" s="4"/>
      <c r="WT210" s="5"/>
      <c r="WU210" s="6"/>
      <c r="WV210" s="4"/>
      <c r="WW210" s="4"/>
      <c r="WX210" s="4"/>
      <c r="WY210" s="4"/>
      <c r="WZ210" s="4"/>
      <c r="XA210" s="5"/>
      <c r="XB210" s="6"/>
      <c r="XC210" s="4"/>
      <c r="XD210" s="4"/>
      <c r="XE210" s="4"/>
      <c r="XF210" s="4"/>
      <c r="XG210" s="4"/>
      <c r="XH210" s="5"/>
      <c r="XI210" s="6"/>
      <c r="XJ210" s="4"/>
      <c r="XK210" s="4"/>
      <c r="XL210" s="4"/>
      <c r="XM210" s="4"/>
      <c r="XN210" s="4"/>
      <c r="XO210" s="5"/>
      <c r="XP210" s="6"/>
      <c r="XQ210" s="4"/>
      <c r="XR210" s="4"/>
      <c r="XS210" s="4"/>
      <c r="XT210" s="4"/>
      <c r="XU210" s="4"/>
      <c r="XV210" s="5"/>
      <c r="XW210" s="6"/>
      <c r="XX210" s="4"/>
      <c r="XY210" s="4"/>
      <c r="XZ210" s="4"/>
      <c r="YA210" s="4"/>
      <c r="YB210" s="4"/>
      <c r="YC210" s="5"/>
      <c r="YD210" s="6"/>
      <c r="YE210" s="4"/>
      <c r="YF210" s="4"/>
      <c r="YG210" s="4"/>
      <c r="YH210" s="4"/>
      <c r="YI210" s="4"/>
      <c r="YJ210" s="5"/>
      <c r="YK210" s="6"/>
      <c r="YL210" s="4"/>
      <c r="YM210" s="4"/>
      <c r="YN210" s="4"/>
      <c r="YO210" s="4"/>
      <c r="YP210" s="4"/>
      <c r="YQ210" s="5"/>
      <c r="YR210" s="6"/>
      <c r="YS210" s="4"/>
      <c r="YT210" s="4"/>
      <c r="YU210" s="4"/>
      <c r="YV210" s="4"/>
      <c r="YW210" s="4"/>
      <c r="YX210" s="5"/>
      <c r="YY210" s="6"/>
      <c r="YZ210" s="4"/>
      <c r="ZA210" s="4"/>
      <c r="ZB210" s="4"/>
      <c r="ZC210" s="4"/>
      <c r="ZD210" s="4"/>
      <c r="ZE210" s="5"/>
      <c r="ZF210" s="6"/>
      <c r="ZG210" s="4"/>
      <c r="ZH210" s="4"/>
      <c r="ZI210" s="4"/>
      <c r="ZJ210" s="4"/>
      <c r="ZK210" s="4"/>
      <c r="ZL210" s="5"/>
      <c r="ZM210" s="6"/>
      <c r="ZN210" s="4"/>
      <c r="ZO210" s="4"/>
      <c r="ZP210" s="4"/>
      <c r="ZQ210" s="4"/>
      <c r="ZR210" s="4"/>
      <c r="ZS210" s="5"/>
      <c r="ZT210" s="6"/>
      <c r="ZU210" s="4"/>
      <c r="ZV210" s="4"/>
      <c r="ZW210" s="4"/>
      <c r="ZX210" s="4"/>
      <c r="ZY210" s="4"/>
      <c r="ZZ210" s="5"/>
      <c r="AAA210" s="6"/>
      <c r="AAB210" s="4"/>
      <c r="AAC210" s="4"/>
      <c r="AAD210" s="4"/>
      <c r="AAE210" s="4"/>
      <c r="AAF210" s="4"/>
      <c r="AAG210" s="5"/>
      <c r="AAH210" s="6"/>
      <c r="AAI210" s="4"/>
      <c r="AAJ210" s="4"/>
      <c r="AAK210" s="4"/>
      <c r="AAL210" s="4"/>
      <c r="AAM210" s="4"/>
      <c r="AAN210" s="5"/>
      <c r="AAO210" s="6"/>
      <c r="AAP210" s="4"/>
      <c r="AAQ210" s="4"/>
      <c r="AAR210" s="4"/>
      <c r="AAS210" s="4"/>
      <c r="AAT210" s="4"/>
      <c r="AAU210" s="5"/>
      <c r="AAV210" s="6"/>
      <c r="AAW210" s="4"/>
      <c r="AAX210" s="4"/>
      <c r="AAY210" s="4"/>
      <c r="AAZ210" s="4"/>
      <c r="ABA210" s="4"/>
      <c r="ABB210" s="5"/>
      <c r="ABC210" s="6"/>
      <c r="ABD210" s="4"/>
      <c r="ABE210" s="4"/>
      <c r="ABF210" s="4"/>
      <c r="ABG210" s="4"/>
      <c r="ABH210" s="4"/>
      <c r="ABI210" s="5"/>
      <c r="ABJ210" s="6" t="s">
        <v>584</v>
      </c>
      <c r="ABK210" s="4" t="s">
        <v>585</v>
      </c>
      <c r="ABL210" s="4"/>
      <c r="ABM210" s="4"/>
      <c r="ABN210" s="4"/>
      <c r="ABO210" s="4"/>
      <c r="ABP210" s="5"/>
      <c r="ABQ210" s="6" t="s">
        <v>2772</v>
      </c>
      <c r="ABR210" s="4" t="s">
        <v>2939</v>
      </c>
      <c r="ABS210" s="4"/>
      <c r="ABT210" s="4"/>
      <c r="ABU210" s="4"/>
      <c r="ABV210" s="4"/>
      <c r="ABW210" s="5"/>
      <c r="ABX210" s="6"/>
      <c r="ABY210" s="4"/>
      <c r="ABZ210" s="4"/>
      <c r="ACA210" s="4"/>
      <c r="ACB210" s="4"/>
      <c r="ACC210" s="4"/>
      <c r="ACD210" s="5"/>
      <c r="ACE210" s="6"/>
      <c r="ACF210" s="4"/>
      <c r="ACG210" s="4"/>
      <c r="ACH210" s="4"/>
      <c r="ACI210" s="4"/>
      <c r="ACJ210" s="4"/>
      <c r="ACK210" s="5"/>
      <c r="ACL210" s="6"/>
      <c r="ACM210" s="4"/>
      <c r="ACN210" s="4"/>
      <c r="ACO210" s="4"/>
      <c r="ACP210" s="4"/>
      <c r="ACQ210" s="4"/>
      <c r="ACR210" s="5"/>
      <c r="ACS210" s="6"/>
      <c r="ACT210" s="4"/>
      <c r="ACU210" s="4"/>
      <c r="ACV210" s="4"/>
      <c r="ACW210" s="4"/>
      <c r="ACX210" s="4"/>
      <c r="ACY210" s="5"/>
    </row>
    <row r="211" spans="1:779" x14ac:dyDescent="0.25">
      <c r="B211" s="30"/>
      <c r="J211" s="12"/>
      <c r="K211" s="12"/>
      <c r="L211" s="12"/>
      <c r="LL211" s="6"/>
      <c r="LM211" s="4"/>
      <c r="LN211" s="4"/>
      <c r="LO211" s="4"/>
      <c r="LP211" s="4"/>
      <c r="LQ211" s="4"/>
      <c r="LR211" s="5"/>
      <c r="LS211" s="6"/>
      <c r="LT211" s="4"/>
      <c r="LU211" s="4"/>
      <c r="LV211" s="4"/>
      <c r="LW211" s="4"/>
      <c r="LX211" s="4"/>
      <c r="LY211" s="5"/>
      <c r="LZ211" s="6" t="s">
        <v>2983</v>
      </c>
      <c r="MA211" s="7" t="s">
        <v>2983</v>
      </c>
      <c r="MB211" s="4"/>
      <c r="MC211" s="4"/>
      <c r="MD211" s="8"/>
      <c r="ME211" s="4"/>
      <c r="MF211" s="4" t="s">
        <v>611</v>
      </c>
      <c r="MG211" s="5"/>
      <c r="MH211" s="6"/>
      <c r="MI211" s="4"/>
      <c r="MJ211" s="4"/>
      <c r="MK211" s="4"/>
      <c r="ML211" s="4"/>
      <c r="MM211" s="4"/>
      <c r="MN211" s="5"/>
      <c r="MO211" s="6"/>
      <c r="MP211" s="4"/>
      <c r="MQ211" s="4"/>
      <c r="MR211" s="4"/>
      <c r="MS211" s="4"/>
      <c r="MT211" s="4"/>
      <c r="MU211" s="5"/>
      <c r="MV211" s="6"/>
      <c r="MW211" s="4"/>
      <c r="MX211" s="4"/>
      <c r="MY211" s="4"/>
      <c r="MZ211" s="4"/>
      <c r="NA211" s="4"/>
      <c r="NB211" s="5"/>
      <c r="NC211" s="6" t="s">
        <v>586</v>
      </c>
      <c r="ND211" s="4" t="s">
        <v>2517</v>
      </c>
      <c r="NE211" s="4"/>
      <c r="NF211" s="4"/>
      <c r="NG211" s="4"/>
      <c r="NH211" s="4"/>
      <c r="NI211" s="5"/>
      <c r="NJ211" s="6"/>
      <c r="NK211" s="4"/>
      <c r="NL211" s="4"/>
      <c r="NM211" s="4"/>
      <c r="NN211" s="4"/>
      <c r="NO211" s="4"/>
      <c r="NP211" s="5"/>
      <c r="NQ211" s="6"/>
      <c r="NR211" s="4"/>
      <c r="NS211" s="4"/>
      <c r="NT211" s="4"/>
      <c r="NU211" s="4"/>
      <c r="NV211" s="4"/>
      <c r="NW211" s="5"/>
      <c r="NX211" s="6"/>
      <c r="NY211" s="4"/>
      <c r="NZ211" s="4"/>
      <c r="OA211" s="4"/>
      <c r="OB211" s="4"/>
      <c r="OC211" s="4"/>
      <c r="OD211" s="5"/>
      <c r="OE211" s="6"/>
      <c r="OF211" s="4"/>
      <c r="OG211" s="4"/>
      <c r="OH211" s="4"/>
      <c r="OI211" s="4"/>
      <c r="OJ211" s="4"/>
      <c r="OK211" s="5"/>
      <c r="OL211" s="6"/>
      <c r="OM211" s="4"/>
      <c r="ON211" s="4"/>
      <c r="OO211" s="4"/>
      <c r="OP211" s="4"/>
      <c r="OQ211" s="4"/>
      <c r="OR211" s="5"/>
      <c r="OS211" s="6"/>
      <c r="OT211" s="4"/>
      <c r="OU211" s="4"/>
      <c r="OV211" s="4"/>
      <c r="OW211" s="4"/>
      <c r="OX211" s="4"/>
      <c r="OY211" s="5"/>
      <c r="OZ211" s="6"/>
      <c r="PA211" s="4"/>
      <c r="PB211" s="4"/>
      <c r="PC211" s="4"/>
      <c r="PD211" s="4"/>
      <c r="PE211" s="4"/>
      <c r="PF211" s="5"/>
      <c r="PG211" s="6"/>
      <c r="PH211" s="4"/>
      <c r="PI211" s="4"/>
      <c r="PJ211" s="4"/>
      <c r="PK211" s="4"/>
      <c r="PL211" s="4"/>
      <c r="PM211" s="5"/>
      <c r="PN211" s="6"/>
      <c r="PO211" s="4"/>
      <c r="PP211" s="4"/>
      <c r="PQ211" s="4"/>
      <c r="PR211" s="4"/>
      <c r="PS211" s="4"/>
      <c r="PT211" s="5"/>
      <c r="PU211" s="6"/>
      <c r="PV211" s="4"/>
      <c r="PW211" s="4"/>
      <c r="PX211" s="4"/>
      <c r="PY211" s="4"/>
      <c r="PZ211" s="4"/>
      <c r="QA211" s="5"/>
      <c r="QB211" s="6"/>
      <c r="QC211" s="4"/>
      <c r="QD211" s="4"/>
      <c r="QE211" s="4"/>
      <c r="QF211" s="4"/>
      <c r="QG211" s="4"/>
      <c r="QH211" s="5"/>
      <c r="QI211" s="6"/>
      <c r="QJ211" s="4"/>
      <c r="QK211" s="4"/>
      <c r="QL211" s="4"/>
      <c r="QM211" s="4"/>
      <c r="QN211" s="4"/>
      <c r="QO211" s="5"/>
      <c r="QP211" s="6"/>
      <c r="QQ211" s="4"/>
      <c r="QR211" s="4"/>
      <c r="QS211" s="4"/>
      <c r="QT211" s="4"/>
      <c r="QU211" s="4"/>
      <c r="QV211" s="5"/>
      <c r="QW211" s="6"/>
      <c r="QX211" s="4"/>
      <c r="QY211" s="4"/>
      <c r="QZ211" s="4"/>
      <c r="RA211" s="4"/>
      <c r="RB211" s="4"/>
      <c r="RC211" s="5"/>
      <c r="RD211" s="6"/>
      <c r="RE211" s="4"/>
      <c r="RF211" s="4"/>
      <c r="RG211" s="4"/>
      <c r="RH211" s="4"/>
      <c r="RI211" s="4"/>
      <c r="RJ211" s="5"/>
      <c r="RK211" s="6"/>
      <c r="RL211" s="4"/>
      <c r="RM211" s="4"/>
      <c r="RN211" s="4"/>
      <c r="RO211" s="4"/>
      <c r="RP211" s="4"/>
      <c r="RQ211" s="5"/>
      <c r="RR211" s="6"/>
      <c r="RS211" s="4"/>
      <c r="RT211" s="4"/>
      <c r="RU211" s="4"/>
      <c r="RV211" s="4"/>
      <c r="RW211" s="4"/>
      <c r="RX211" s="5"/>
      <c r="RY211" s="6"/>
      <c r="RZ211" s="4"/>
      <c r="SA211" s="4"/>
      <c r="SB211" s="4"/>
      <c r="SC211" s="4"/>
      <c r="SD211" s="4"/>
      <c r="SE211" s="5"/>
      <c r="SF211" s="6"/>
      <c r="SG211" s="4"/>
      <c r="SH211" s="4"/>
      <c r="SI211" s="4"/>
      <c r="SJ211" s="4"/>
      <c r="SK211" s="4"/>
      <c r="SL211" s="5"/>
      <c r="SM211" s="6"/>
      <c r="SN211" s="4"/>
      <c r="SO211" s="4"/>
      <c r="SP211" s="4"/>
      <c r="SQ211" s="4"/>
      <c r="SR211" s="4"/>
      <c r="SS211" s="5"/>
      <c r="ST211" s="6"/>
      <c r="SU211" s="4"/>
      <c r="SV211" s="4"/>
      <c r="SW211" s="4"/>
      <c r="SX211" s="4"/>
      <c r="SY211" s="4"/>
      <c r="SZ211" s="5"/>
      <c r="TA211" s="6"/>
      <c r="TB211" s="4"/>
      <c r="TC211" s="4"/>
      <c r="TD211" s="4"/>
      <c r="TE211" s="4"/>
      <c r="TF211" s="4"/>
      <c r="TG211" s="5"/>
      <c r="TH211" s="6"/>
      <c r="TI211" s="4"/>
      <c r="TJ211" s="4"/>
      <c r="TK211" s="4"/>
      <c r="TL211" s="4"/>
      <c r="TM211" s="4"/>
      <c r="TN211" s="5"/>
      <c r="TO211" s="6"/>
      <c r="TP211" s="4"/>
      <c r="TQ211" s="4"/>
      <c r="TR211" s="4"/>
      <c r="TS211" s="4"/>
      <c r="TT211" s="4"/>
      <c r="TU211" s="5"/>
      <c r="TV211" s="6"/>
      <c r="TW211" s="4"/>
      <c r="TX211" s="4"/>
      <c r="TY211" s="4"/>
      <c r="TZ211" s="4"/>
      <c r="UA211" s="4"/>
      <c r="UB211" s="5"/>
      <c r="UC211" s="6"/>
      <c r="UD211" s="4"/>
      <c r="UE211" s="4"/>
      <c r="UF211" s="4"/>
      <c r="UG211" s="4"/>
      <c r="UH211" s="4"/>
      <c r="UI211" s="5"/>
      <c r="UJ211" s="6"/>
      <c r="UK211" s="4"/>
      <c r="UL211" s="4"/>
      <c r="UM211" s="4"/>
      <c r="UN211" s="4"/>
      <c r="UO211" s="4"/>
      <c r="UP211" s="5"/>
      <c r="UQ211" s="6"/>
      <c r="UR211" s="4"/>
      <c r="US211" s="4"/>
      <c r="UT211" s="4"/>
      <c r="UU211" s="4"/>
      <c r="UV211" s="4"/>
      <c r="UW211" s="5"/>
      <c r="UX211" s="6" t="s">
        <v>875</v>
      </c>
      <c r="UY211" s="4" t="s">
        <v>583</v>
      </c>
      <c r="UZ211" s="4"/>
      <c r="VA211" s="4"/>
      <c r="VB211" s="4"/>
      <c r="VC211" s="4"/>
      <c r="VD211" s="5"/>
      <c r="VE211" s="6"/>
      <c r="VF211" s="4"/>
      <c r="VG211" s="4"/>
      <c r="VH211" s="4"/>
      <c r="VI211" s="4"/>
      <c r="VJ211" s="4"/>
      <c r="VK211" s="5"/>
      <c r="VL211" s="6"/>
      <c r="VM211" s="4"/>
      <c r="VN211" s="4"/>
      <c r="VO211" s="4"/>
      <c r="VP211" s="4"/>
      <c r="VQ211" s="4"/>
      <c r="VR211" s="5"/>
      <c r="VS211" s="6"/>
      <c r="VT211" s="4"/>
      <c r="VU211" s="4"/>
      <c r="VV211" s="4"/>
      <c r="VW211" s="4"/>
      <c r="VX211" s="4"/>
      <c r="VY211" s="5"/>
      <c r="VZ211" s="6"/>
      <c r="WA211" s="4"/>
      <c r="WB211" s="4"/>
      <c r="WC211" s="4"/>
      <c r="WD211" s="4"/>
      <c r="WE211" s="4"/>
      <c r="WF211" s="5"/>
      <c r="WG211" s="6"/>
      <c r="WH211" s="4"/>
      <c r="WI211" s="4"/>
      <c r="WJ211" s="4"/>
      <c r="WK211" s="4"/>
      <c r="WL211" s="4"/>
      <c r="WM211" s="5"/>
      <c r="WN211" s="6"/>
      <c r="WO211" s="4"/>
      <c r="WP211" s="4"/>
      <c r="WQ211" s="4"/>
      <c r="WR211" s="4"/>
      <c r="WS211" s="4"/>
      <c r="WT211" s="5"/>
      <c r="WU211" s="6"/>
      <c r="WV211" s="4"/>
      <c r="WW211" s="4"/>
      <c r="WX211" s="4"/>
      <c r="WY211" s="4"/>
      <c r="WZ211" s="4"/>
      <c r="XA211" s="5"/>
      <c r="XB211" s="6"/>
      <c r="XC211" s="4"/>
      <c r="XD211" s="4"/>
      <c r="XE211" s="4"/>
      <c r="XF211" s="4"/>
      <c r="XG211" s="4"/>
      <c r="XH211" s="5"/>
      <c r="XI211" s="6"/>
      <c r="XJ211" s="4"/>
      <c r="XK211" s="4"/>
      <c r="XL211" s="4"/>
      <c r="XM211" s="4"/>
      <c r="XN211" s="4"/>
      <c r="XO211" s="5"/>
      <c r="XP211" s="6"/>
      <c r="XQ211" s="4"/>
      <c r="XR211" s="4"/>
      <c r="XS211" s="4"/>
      <c r="XT211" s="4"/>
      <c r="XU211" s="4"/>
      <c r="XV211" s="5"/>
      <c r="XW211" s="6"/>
      <c r="XX211" s="4"/>
      <c r="XY211" s="4"/>
      <c r="XZ211" s="4"/>
      <c r="YA211" s="4"/>
      <c r="YB211" s="4"/>
      <c r="YC211" s="5"/>
      <c r="YD211" s="6"/>
      <c r="YE211" s="4"/>
      <c r="YF211" s="4"/>
      <c r="YG211" s="4"/>
      <c r="YH211" s="4"/>
      <c r="YI211" s="4"/>
      <c r="YJ211" s="5"/>
      <c r="YK211" s="6"/>
      <c r="YL211" s="4"/>
      <c r="YM211" s="4"/>
      <c r="YN211" s="4"/>
      <c r="YO211" s="4"/>
      <c r="YP211" s="4"/>
      <c r="YQ211" s="5"/>
      <c r="YR211" s="6"/>
      <c r="YS211" s="4"/>
      <c r="YT211" s="4"/>
      <c r="YU211" s="4"/>
      <c r="YV211" s="4"/>
      <c r="YW211" s="4"/>
      <c r="YX211" s="5"/>
      <c r="YY211" s="6"/>
      <c r="YZ211" s="4"/>
      <c r="ZA211" s="4"/>
      <c r="ZB211" s="4"/>
      <c r="ZC211" s="4"/>
      <c r="ZD211" s="4"/>
      <c r="ZE211" s="5"/>
      <c r="ZF211" s="6"/>
      <c r="ZG211" s="4"/>
      <c r="ZH211" s="4"/>
      <c r="ZI211" s="4"/>
      <c r="ZJ211" s="4"/>
      <c r="ZK211" s="4"/>
      <c r="ZL211" s="5"/>
      <c r="ZM211" s="6"/>
      <c r="ZN211" s="4"/>
      <c r="ZO211" s="4"/>
      <c r="ZP211" s="4"/>
      <c r="ZQ211" s="4"/>
      <c r="ZR211" s="4"/>
      <c r="ZS211" s="5"/>
      <c r="ZT211" s="6"/>
      <c r="ZU211" s="4"/>
      <c r="ZV211" s="4"/>
      <c r="ZW211" s="4"/>
      <c r="ZX211" s="4"/>
      <c r="ZY211" s="4"/>
      <c r="ZZ211" s="5"/>
      <c r="AAA211" s="6"/>
      <c r="AAB211" s="4"/>
      <c r="AAC211" s="4"/>
      <c r="AAD211" s="4"/>
      <c r="AAE211" s="4"/>
      <c r="AAF211" s="4"/>
      <c r="AAG211" s="5"/>
      <c r="AAH211" s="6"/>
      <c r="AAI211" s="4"/>
      <c r="AAJ211" s="4"/>
      <c r="AAK211" s="4"/>
      <c r="AAL211" s="4"/>
      <c r="AAM211" s="4"/>
      <c r="AAN211" s="5"/>
      <c r="AAO211" s="6"/>
      <c r="AAP211" s="4"/>
      <c r="AAQ211" s="4"/>
      <c r="AAR211" s="4"/>
      <c r="AAS211" s="4"/>
      <c r="AAT211" s="4"/>
      <c r="AAU211" s="5"/>
      <c r="AAV211" s="6"/>
      <c r="AAW211" s="4"/>
      <c r="AAX211" s="4"/>
      <c r="AAY211" s="4"/>
      <c r="AAZ211" s="4"/>
      <c r="ABA211" s="4"/>
      <c r="ABB211" s="5"/>
      <c r="ABC211" s="6"/>
      <c r="ABD211" s="4"/>
      <c r="ABE211" s="4"/>
      <c r="ABF211" s="4"/>
      <c r="ABG211" s="4"/>
      <c r="ABH211" s="4"/>
      <c r="ABI211" s="5"/>
      <c r="ABJ211" s="6"/>
      <c r="ABK211" s="4"/>
      <c r="ABL211" s="4"/>
      <c r="ABM211" s="4"/>
      <c r="ABN211" s="4"/>
      <c r="ABO211" s="4"/>
      <c r="ABP211" s="5"/>
      <c r="ABQ211" s="6"/>
      <c r="ABR211" s="4"/>
      <c r="ABS211" s="4"/>
      <c r="ABT211" s="4"/>
      <c r="ABU211" s="4"/>
      <c r="ABV211" s="4"/>
      <c r="ABW211" s="5"/>
      <c r="ABX211" s="6"/>
      <c r="ABY211" s="4"/>
      <c r="ABZ211" s="4"/>
      <c r="ACA211" s="4"/>
      <c r="ACB211" s="4"/>
      <c r="ACC211" s="4"/>
      <c r="ACD211" s="5"/>
      <c r="ACE211" s="6"/>
      <c r="ACF211" s="4"/>
      <c r="ACG211" s="4"/>
      <c r="ACH211" s="4"/>
      <c r="ACI211" s="4"/>
      <c r="ACJ211" s="4"/>
      <c r="ACK211" s="5"/>
      <c r="ACL211" s="6"/>
      <c r="ACM211" s="4"/>
      <c r="ACN211" s="4"/>
      <c r="ACO211" s="4"/>
      <c r="ACP211" s="4"/>
      <c r="ACQ211" s="4"/>
      <c r="ACR211" s="5"/>
      <c r="ACS211" s="6"/>
      <c r="ACT211" s="4"/>
      <c r="ACU211" s="4"/>
      <c r="ACV211" s="4"/>
      <c r="ACW211" s="4"/>
      <c r="ACX211" s="4"/>
      <c r="ACY211" s="5"/>
    </row>
    <row r="212" spans="1:779" x14ac:dyDescent="0.25">
      <c r="B212" s="30"/>
      <c r="J212" s="12"/>
      <c r="K212" s="12"/>
      <c r="L212" s="12"/>
      <c r="LL212" s="6"/>
      <c r="LM212" s="4"/>
      <c r="LN212" s="4"/>
      <c r="LO212" s="4"/>
      <c r="LP212" s="4"/>
      <c r="LQ212" s="4"/>
      <c r="LR212" s="5"/>
      <c r="LS212" s="6"/>
      <c r="LT212" s="4"/>
      <c r="LU212" s="4"/>
      <c r="LV212" s="4"/>
      <c r="LW212" s="4"/>
      <c r="LX212" s="4"/>
      <c r="LY212" s="5"/>
      <c r="LZ212" s="6" t="s">
        <v>876</v>
      </c>
      <c r="MA212" s="7" t="s">
        <v>877</v>
      </c>
      <c r="MB212" s="4"/>
      <c r="MC212" s="4"/>
      <c r="MD212" s="8"/>
      <c r="ME212" s="4"/>
      <c r="MF212" s="4"/>
      <c r="MG212" s="5" t="s">
        <v>878</v>
      </c>
      <c r="MH212" s="6"/>
      <c r="MI212" s="4"/>
      <c r="MJ212" s="4"/>
      <c r="MK212" s="4"/>
      <c r="ML212" s="4"/>
      <c r="MM212" s="4"/>
      <c r="MN212" s="5"/>
      <c r="MO212" s="6"/>
      <c r="MP212" s="4"/>
      <c r="MQ212" s="4"/>
      <c r="MR212" s="4"/>
      <c r="MS212" s="4"/>
      <c r="MT212" s="4"/>
      <c r="MU212" s="5"/>
      <c r="MV212" s="6"/>
      <c r="MW212" s="4"/>
      <c r="MX212" s="4"/>
      <c r="MY212" s="4"/>
      <c r="MZ212" s="4"/>
      <c r="NA212" s="4"/>
      <c r="NB212" s="5"/>
      <c r="NC212" s="6"/>
      <c r="ND212" s="4"/>
      <c r="NE212" s="4"/>
      <c r="NF212" s="4"/>
      <c r="NG212" s="4"/>
      <c r="NH212" s="4"/>
      <c r="NI212" s="5"/>
      <c r="NJ212" s="6"/>
      <c r="NK212" s="4"/>
      <c r="NL212" s="4"/>
      <c r="NM212" s="4"/>
      <c r="NN212" s="4"/>
      <c r="NO212" s="4"/>
      <c r="NP212" s="5"/>
      <c r="NQ212" s="6"/>
      <c r="NR212" s="4"/>
      <c r="NS212" s="4"/>
      <c r="NT212" s="4"/>
      <c r="NU212" s="4"/>
      <c r="NV212" s="4"/>
      <c r="NW212" s="5"/>
      <c r="NX212" s="6"/>
      <c r="NY212" s="4"/>
      <c r="NZ212" s="4"/>
      <c r="OA212" s="4"/>
      <c r="OB212" s="4"/>
      <c r="OC212" s="4"/>
      <c r="OD212" s="5"/>
      <c r="OE212" s="6"/>
      <c r="OF212" s="4"/>
      <c r="OG212" s="4"/>
      <c r="OH212" s="4"/>
      <c r="OI212" s="4"/>
      <c r="OJ212" s="4"/>
      <c r="OK212" s="5"/>
      <c r="OL212" s="6"/>
      <c r="OM212" s="4"/>
      <c r="ON212" s="4"/>
      <c r="OO212" s="4"/>
      <c r="OP212" s="4"/>
      <c r="OQ212" s="4"/>
      <c r="OR212" s="5"/>
      <c r="OS212" s="6"/>
      <c r="OT212" s="4"/>
      <c r="OU212" s="4"/>
      <c r="OV212" s="4"/>
      <c r="OW212" s="4"/>
      <c r="OX212" s="4"/>
      <c r="OY212" s="5"/>
      <c r="OZ212" s="6"/>
      <c r="PA212" s="4"/>
      <c r="PB212" s="4"/>
      <c r="PC212" s="4"/>
      <c r="PD212" s="4"/>
      <c r="PE212" s="4"/>
      <c r="PF212" s="5"/>
      <c r="PG212" s="6"/>
      <c r="PH212" s="4"/>
      <c r="PI212" s="4"/>
      <c r="PJ212" s="4"/>
      <c r="PK212" s="4"/>
      <c r="PL212" s="4"/>
      <c r="PM212" s="5"/>
      <c r="PN212" s="6"/>
      <c r="PO212" s="4"/>
      <c r="PP212" s="4"/>
      <c r="PQ212" s="4"/>
      <c r="PR212" s="4"/>
      <c r="PS212" s="4"/>
      <c r="PT212" s="5"/>
      <c r="PU212" s="6"/>
      <c r="PV212" s="4"/>
      <c r="PW212" s="4"/>
      <c r="PX212" s="4"/>
      <c r="PY212" s="4"/>
      <c r="PZ212" s="4"/>
      <c r="QA212" s="5"/>
      <c r="QB212" s="6"/>
      <c r="QC212" s="4"/>
      <c r="QD212" s="4"/>
      <c r="QE212" s="4"/>
      <c r="QF212" s="4"/>
      <c r="QG212" s="4"/>
      <c r="QH212" s="5"/>
      <c r="QI212" s="6"/>
      <c r="QJ212" s="4"/>
      <c r="QK212" s="4"/>
      <c r="QL212" s="4"/>
      <c r="QM212" s="4"/>
      <c r="QN212" s="4"/>
      <c r="QO212" s="5"/>
      <c r="QP212" s="6"/>
      <c r="QQ212" s="4"/>
      <c r="QR212" s="4"/>
      <c r="QS212" s="4"/>
      <c r="QT212" s="4"/>
      <c r="QU212" s="4"/>
      <c r="QV212" s="5"/>
      <c r="QW212" s="6"/>
      <c r="QX212" s="4"/>
      <c r="QY212" s="4"/>
      <c r="QZ212" s="4"/>
      <c r="RA212" s="4"/>
      <c r="RB212" s="4"/>
      <c r="RC212" s="5"/>
      <c r="RD212" s="6"/>
      <c r="RE212" s="4"/>
      <c r="RF212" s="4"/>
      <c r="RG212" s="4"/>
      <c r="RH212" s="4"/>
      <c r="RI212" s="4"/>
      <c r="RJ212" s="5"/>
      <c r="RK212" s="6"/>
      <c r="RL212" s="4"/>
      <c r="RM212" s="4"/>
      <c r="RN212" s="4"/>
      <c r="RO212" s="4"/>
      <c r="RP212" s="4"/>
      <c r="RQ212" s="5"/>
      <c r="RR212" s="6"/>
      <c r="RS212" s="4"/>
      <c r="RT212" s="4"/>
      <c r="RU212" s="4"/>
      <c r="RV212" s="4"/>
      <c r="RW212" s="4"/>
      <c r="RX212" s="5"/>
      <c r="RY212" s="6"/>
      <c r="RZ212" s="4"/>
      <c r="SA212" s="4"/>
      <c r="SB212" s="4"/>
      <c r="SC212" s="4"/>
      <c r="SD212" s="4"/>
      <c r="SE212" s="5"/>
      <c r="SF212" s="6"/>
      <c r="SG212" s="4"/>
      <c r="SH212" s="4"/>
      <c r="SI212" s="4"/>
      <c r="SJ212" s="4"/>
      <c r="SK212" s="4"/>
      <c r="SL212" s="5"/>
      <c r="SM212" s="6"/>
      <c r="SN212" s="4"/>
      <c r="SO212" s="4"/>
      <c r="SP212" s="4"/>
      <c r="SQ212" s="4"/>
      <c r="SR212" s="4"/>
      <c r="SS212" s="5"/>
      <c r="ST212" s="6"/>
      <c r="SU212" s="4"/>
      <c r="SV212" s="4"/>
      <c r="SW212" s="4"/>
      <c r="SX212" s="4"/>
      <c r="SY212" s="4"/>
      <c r="SZ212" s="5"/>
      <c r="TA212" s="6"/>
      <c r="TB212" s="4"/>
      <c r="TC212" s="4"/>
      <c r="TD212" s="4"/>
      <c r="TE212" s="4"/>
      <c r="TF212" s="4"/>
      <c r="TG212" s="5"/>
      <c r="TH212" s="6"/>
      <c r="TI212" s="4"/>
      <c r="TJ212" s="4"/>
      <c r="TK212" s="4"/>
      <c r="TL212" s="4"/>
      <c r="TM212" s="4"/>
      <c r="TN212" s="5"/>
      <c r="TO212" s="6"/>
      <c r="TP212" s="4"/>
      <c r="TQ212" s="4"/>
      <c r="TR212" s="4"/>
      <c r="TS212" s="4"/>
      <c r="TT212" s="4"/>
      <c r="TU212" s="5"/>
      <c r="TV212" s="6"/>
      <c r="TW212" s="4"/>
      <c r="TX212" s="4"/>
      <c r="TY212" s="4"/>
      <c r="TZ212" s="4"/>
      <c r="UA212" s="4"/>
      <c r="UB212" s="5"/>
      <c r="UC212" s="6"/>
      <c r="UD212" s="4"/>
      <c r="UE212" s="4"/>
      <c r="UF212" s="4"/>
      <c r="UG212" s="4"/>
      <c r="UH212" s="4"/>
      <c r="UI212" s="5"/>
      <c r="UJ212" s="6"/>
      <c r="UK212" s="4"/>
      <c r="UL212" s="4"/>
      <c r="UM212" s="4"/>
      <c r="UN212" s="4"/>
      <c r="UO212" s="4"/>
      <c r="UP212" s="5"/>
      <c r="UQ212" s="6"/>
      <c r="UR212" s="4"/>
      <c r="US212" s="4"/>
      <c r="UT212" s="4"/>
      <c r="UU212" s="4"/>
      <c r="UV212" s="4"/>
      <c r="UW212" s="5"/>
      <c r="UX212" s="6"/>
      <c r="UY212" s="4"/>
      <c r="UZ212" s="4"/>
      <c r="VA212" s="4"/>
      <c r="VB212" s="4"/>
      <c r="VC212" s="4"/>
      <c r="VD212" s="5"/>
      <c r="VE212" s="6"/>
      <c r="VF212" s="4"/>
      <c r="VG212" s="4"/>
      <c r="VH212" s="4"/>
      <c r="VI212" s="4"/>
      <c r="VJ212" s="4"/>
      <c r="VK212" s="5"/>
      <c r="VL212" s="6"/>
      <c r="VM212" s="4"/>
      <c r="VN212" s="4"/>
      <c r="VO212" s="4"/>
      <c r="VP212" s="4"/>
      <c r="VQ212" s="4"/>
      <c r="VR212" s="5"/>
      <c r="VS212" s="6"/>
      <c r="VT212" s="4"/>
      <c r="VU212" s="4"/>
      <c r="VV212" s="4"/>
      <c r="VW212" s="4"/>
      <c r="VX212" s="4"/>
      <c r="VY212" s="5"/>
      <c r="VZ212" s="6"/>
      <c r="WA212" s="4"/>
      <c r="WB212" s="4"/>
      <c r="WC212" s="4"/>
      <c r="WD212" s="4"/>
      <c r="WE212" s="4"/>
      <c r="WF212" s="5"/>
      <c r="WG212" s="6"/>
      <c r="WH212" s="4"/>
      <c r="WI212" s="4"/>
      <c r="WJ212" s="4"/>
      <c r="WK212" s="4"/>
      <c r="WL212" s="4"/>
      <c r="WM212" s="5"/>
      <c r="WN212" s="6"/>
      <c r="WO212" s="4"/>
      <c r="WP212" s="4"/>
      <c r="WQ212" s="4"/>
      <c r="WR212" s="4"/>
      <c r="WS212" s="4"/>
      <c r="WT212" s="5"/>
      <c r="WU212" s="6"/>
      <c r="WV212" s="4"/>
      <c r="WW212" s="4"/>
      <c r="WX212" s="4"/>
      <c r="WY212" s="4"/>
      <c r="WZ212" s="4"/>
      <c r="XA212" s="5"/>
      <c r="XB212" s="6"/>
      <c r="XC212" s="4"/>
      <c r="XD212" s="4"/>
      <c r="XE212" s="4"/>
      <c r="XF212" s="4"/>
      <c r="XG212" s="4"/>
      <c r="XH212" s="5"/>
      <c r="XI212" s="6"/>
      <c r="XJ212" s="4"/>
      <c r="XK212" s="4"/>
      <c r="XL212" s="4"/>
      <c r="XM212" s="4"/>
      <c r="XN212" s="4"/>
      <c r="XO212" s="5"/>
      <c r="XP212" s="6"/>
      <c r="XQ212" s="4"/>
      <c r="XR212" s="4"/>
      <c r="XS212" s="4"/>
      <c r="XT212" s="4"/>
      <c r="XU212" s="4"/>
      <c r="XV212" s="5"/>
      <c r="XW212" s="6"/>
      <c r="XX212" s="4"/>
      <c r="XY212" s="4"/>
      <c r="XZ212" s="4"/>
      <c r="YA212" s="4"/>
      <c r="YB212" s="4"/>
      <c r="YC212" s="5"/>
      <c r="YD212" s="6"/>
      <c r="YE212" s="4"/>
      <c r="YF212" s="4"/>
      <c r="YG212" s="4"/>
      <c r="YH212" s="4"/>
      <c r="YI212" s="4"/>
      <c r="YJ212" s="5"/>
      <c r="YK212" s="6"/>
      <c r="YL212" s="4"/>
      <c r="YM212" s="4"/>
      <c r="YN212" s="4"/>
      <c r="YO212" s="4"/>
      <c r="YP212" s="4"/>
      <c r="YQ212" s="5"/>
      <c r="YR212" s="6"/>
      <c r="YS212" s="4"/>
      <c r="YT212" s="4"/>
      <c r="YU212" s="4"/>
      <c r="YV212" s="4"/>
      <c r="YW212" s="4"/>
      <c r="YX212" s="5"/>
      <c r="YY212" s="6"/>
      <c r="YZ212" s="4"/>
      <c r="ZA212" s="4"/>
      <c r="ZB212" s="4"/>
      <c r="ZC212" s="4"/>
      <c r="ZD212" s="4"/>
      <c r="ZE212" s="5"/>
      <c r="ZF212" s="6"/>
      <c r="ZG212" s="4"/>
      <c r="ZH212" s="4"/>
      <c r="ZI212" s="4"/>
      <c r="ZJ212" s="4"/>
      <c r="ZK212" s="4"/>
      <c r="ZL212" s="5"/>
      <c r="ZM212" s="6"/>
      <c r="ZN212" s="4"/>
      <c r="ZO212" s="4"/>
      <c r="ZP212" s="4"/>
      <c r="ZQ212" s="4"/>
      <c r="ZR212" s="4"/>
      <c r="ZS212" s="5"/>
      <c r="ZT212" s="6"/>
      <c r="ZU212" s="4"/>
      <c r="ZV212" s="4"/>
      <c r="ZW212" s="4"/>
      <c r="ZX212" s="4"/>
      <c r="ZY212" s="4"/>
      <c r="ZZ212" s="5"/>
      <c r="AAA212" s="6"/>
      <c r="AAB212" s="4"/>
      <c r="AAC212" s="4"/>
      <c r="AAD212" s="4"/>
      <c r="AAE212" s="4"/>
      <c r="AAF212" s="4"/>
      <c r="AAG212" s="5"/>
      <c r="AAH212" s="6"/>
      <c r="AAI212" s="4"/>
      <c r="AAJ212" s="4"/>
      <c r="AAK212" s="4"/>
      <c r="AAL212" s="4"/>
      <c r="AAM212" s="4"/>
      <c r="AAN212" s="5"/>
      <c r="AAO212" s="6"/>
      <c r="AAP212" s="4"/>
      <c r="AAQ212" s="4"/>
      <c r="AAR212" s="4"/>
      <c r="AAS212" s="4"/>
      <c r="AAT212" s="4"/>
      <c r="AAU212" s="5"/>
      <c r="AAV212" s="6"/>
      <c r="AAW212" s="4"/>
      <c r="AAX212" s="4"/>
      <c r="AAY212" s="4"/>
      <c r="AAZ212" s="4"/>
      <c r="ABA212" s="4"/>
      <c r="ABB212" s="5"/>
      <c r="ABC212" s="6"/>
      <c r="ABD212" s="4"/>
      <c r="ABE212" s="4"/>
      <c r="ABF212" s="4"/>
      <c r="ABG212" s="4"/>
      <c r="ABH212" s="4"/>
      <c r="ABI212" s="5"/>
      <c r="ABJ212" s="6"/>
      <c r="ABK212" s="4"/>
      <c r="ABL212" s="4"/>
      <c r="ABM212" s="4"/>
      <c r="ABN212" s="4"/>
      <c r="ABO212" s="4"/>
      <c r="ABP212" s="5"/>
      <c r="ABQ212" s="6"/>
      <c r="ABR212" s="4"/>
      <c r="ABS212" s="4"/>
      <c r="ABT212" s="4"/>
      <c r="ABU212" s="4"/>
      <c r="ABV212" s="4"/>
      <c r="ABW212" s="5"/>
      <c r="ABX212" s="6"/>
      <c r="ABY212" s="4"/>
      <c r="ABZ212" s="4"/>
      <c r="ACA212" s="4"/>
      <c r="ACB212" s="4"/>
      <c r="ACC212" s="4"/>
      <c r="ACD212" s="5"/>
      <c r="ACE212" s="6"/>
      <c r="ACF212" s="4"/>
      <c r="ACG212" s="4"/>
      <c r="ACH212" s="4"/>
      <c r="ACI212" s="4"/>
      <c r="ACJ212" s="4"/>
      <c r="ACK212" s="5"/>
      <c r="ACL212" s="6"/>
      <c r="ACM212" s="4"/>
      <c r="ACN212" s="4"/>
      <c r="ACO212" s="4"/>
      <c r="ACP212" s="4"/>
      <c r="ACQ212" s="4"/>
      <c r="ACR212" s="5"/>
      <c r="ACS212" s="6"/>
      <c r="ACT212" s="4"/>
      <c r="ACU212" s="4"/>
      <c r="ACV212" s="4"/>
      <c r="ACW212" s="4"/>
      <c r="ACX212" s="4"/>
      <c r="ACY212" s="5"/>
    </row>
    <row r="213" spans="1:779" x14ac:dyDescent="0.25">
      <c r="B213" s="29">
        <v>99002532</v>
      </c>
      <c r="C213">
        <v>47</v>
      </c>
      <c r="D213" t="s">
        <v>2121</v>
      </c>
      <c r="F213" s="23" t="s">
        <v>1630</v>
      </c>
      <c r="I213">
        <v>1</v>
      </c>
      <c r="J213" s="19">
        <v>36245</v>
      </c>
      <c r="K213" s="19"/>
      <c r="L213" s="19"/>
      <c r="LL213" s="6"/>
      <c r="LM213" s="4"/>
      <c r="LN213" s="4"/>
      <c r="LO213" s="4"/>
      <c r="LP213" s="4"/>
      <c r="LQ213" s="4"/>
      <c r="LR213" s="5"/>
      <c r="LS213" s="6"/>
      <c r="LT213" s="4"/>
      <c r="LU213" s="4"/>
      <c r="LV213" s="4"/>
      <c r="LW213" s="4"/>
      <c r="LX213" s="4"/>
      <c r="LY213" s="5"/>
      <c r="LZ213" s="11" t="s">
        <v>3048</v>
      </c>
      <c r="MA213" s="7" t="s">
        <v>3481</v>
      </c>
      <c r="MF213" t="s">
        <v>3649</v>
      </c>
      <c r="MH213" s="6"/>
      <c r="MI213" s="4"/>
      <c r="MJ213" s="4"/>
      <c r="MK213" s="4"/>
      <c r="ML213" s="4"/>
      <c r="MM213" s="4"/>
      <c r="MN213" s="5"/>
      <c r="MO213" s="6"/>
      <c r="MP213" s="4"/>
      <c r="MQ213" s="4"/>
      <c r="MR213" s="4"/>
      <c r="MS213" s="4"/>
      <c r="MT213" s="4"/>
      <c r="MU213" s="5"/>
      <c r="MV213" s="6"/>
      <c r="MW213" s="4"/>
      <c r="MX213" s="4"/>
      <c r="MY213" s="4"/>
      <c r="MZ213" s="4"/>
      <c r="NA213" s="4"/>
      <c r="NB213" s="5"/>
      <c r="NC213" s="6" t="s">
        <v>2875</v>
      </c>
      <c r="ND213" s="7" t="s">
        <v>3011</v>
      </c>
      <c r="NE213" s="4"/>
      <c r="NF213" s="4"/>
      <c r="NG213" s="4"/>
      <c r="NH213" s="4"/>
      <c r="NI213" s="5"/>
      <c r="NJ213" s="6"/>
      <c r="NK213" s="4"/>
      <c r="NL213" s="4"/>
      <c r="NM213" s="4"/>
      <c r="NN213" s="4"/>
      <c r="NO213" s="4"/>
      <c r="NP213" s="5"/>
      <c r="NQ213" s="6"/>
      <c r="NR213" s="4"/>
      <c r="NS213" s="4"/>
      <c r="NT213" s="4"/>
      <c r="NU213" s="4"/>
      <c r="NV213" s="4"/>
      <c r="NW213" s="5"/>
      <c r="NX213" s="6"/>
      <c r="NY213" s="4"/>
      <c r="NZ213" s="4"/>
      <c r="OA213" s="4"/>
      <c r="OB213" s="4"/>
      <c r="OC213" s="4"/>
      <c r="OD213" s="5"/>
      <c r="OE213" s="6"/>
      <c r="OF213" s="4"/>
      <c r="OG213" s="4"/>
      <c r="OH213" s="4"/>
      <c r="OI213" s="4"/>
      <c r="OJ213" s="4"/>
      <c r="OK213" s="5"/>
      <c r="OL213" s="6"/>
      <c r="OM213" s="4"/>
      <c r="ON213" s="4"/>
      <c r="OO213" s="4"/>
      <c r="OP213" s="4"/>
      <c r="OQ213" s="4"/>
      <c r="OR213" s="5"/>
      <c r="OS213" s="6"/>
      <c r="OT213" s="4"/>
      <c r="OU213" s="4"/>
      <c r="OV213" s="4"/>
      <c r="OW213" s="4"/>
      <c r="OX213" s="4"/>
      <c r="OY213" s="5"/>
      <c r="OZ213" s="6"/>
      <c r="PA213" s="4"/>
      <c r="PB213" s="4"/>
      <c r="PC213" s="4"/>
      <c r="PD213" s="4"/>
      <c r="PE213" s="4"/>
      <c r="PF213" s="5"/>
      <c r="PG213" s="6"/>
      <c r="PH213" s="4"/>
      <c r="PI213" s="4"/>
      <c r="PJ213" s="4"/>
      <c r="PK213" s="4"/>
      <c r="PL213" s="4"/>
      <c r="PM213" s="5"/>
      <c r="PN213" s="6"/>
      <c r="PO213" s="4"/>
      <c r="PP213" s="4"/>
      <c r="PQ213" s="4"/>
      <c r="PR213" s="4"/>
      <c r="PS213" s="4"/>
      <c r="PT213" s="5"/>
      <c r="PU213" s="6"/>
      <c r="PV213" s="4"/>
      <c r="PW213" s="4"/>
      <c r="PX213" s="4"/>
      <c r="PY213" s="4"/>
      <c r="PZ213" s="4"/>
      <c r="QA213" s="5"/>
      <c r="QB213" s="6"/>
      <c r="QC213" s="4"/>
      <c r="QD213" s="4"/>
      <c r="QE213" s="4"/>
      <c r="QF213" s="4"/>
      <c r="QG213" s="4"/>
      <c r="QH213" s="5"/>
      <c r="QI213" s="6"/>
      <c r="QJ213" s="4"/>
      <c r="QK213" s="4"/>
      <c r="QL213" s="4"/>
      <c r="QM213" s="4"/>
      <c r="QN213" s="4"/>
      <c r="QO213" s="5"/>
      <c r="QP213" s="6"/>
      <c r="QQ213" s="4"/>
      <c r="QR213" s="4"/>
      <c r="QS213" s="4"/>
      <c r="QT213" s="4"/>
      <c r="QU213" s="4"/>
      <c r="QV213" s="5"/>
      <c r="QW213" s="6"/>
      <c r="QX213" s="4"/>
      <c r="QY213" s="4"/>
      <c r="QZ213" s="4"/>
      <c r="RA213" s="4"/>
      <c r="RB213" s="4"/>
      <c r="RC213" s="5"/>
      <c r="RD213" s="6"/>
      <c r="RE213" s="4"/>
      <c r="RF213" s="4"/>
      <c r="RG213" s="4"/>
      <c r="RH213" s="4"/>
      <c r="RI213" s="4"/>
      <c r="RJ213" s="5"/>
      <c r="RK213" s="6"/>
      <c r="RL213" s="4"/>
      <c r="RM213" s="4"/>
      <c r="RN213" s="4"/>
      <c r="RO213" s="4"/>
      <c r="RP213" s="4"/>
      <c r="RQ213" s="5"/>
      <c r="RR213" s="6"/>
      <c r="RS213" s="4"/>
      <c r="RT213" s="4"/>
      <c r="RU213" s="4"/>
      <c r="RV213" s="4"/>
      <c r="RW213" s="4"/>
      <c r="RX213" s="5"/>
      <c r="RY213" s="6"/>
      <c r="RZ213" s="4"/>
      <c r="SA213" s="4"/>
      <c r="SB213" s="4"/>
      <c r="SC213" s="4"/>
      <c r="SD213" s="4"/>
      <c r="SE213" s="5"/>
      <c r="SF213" s="6"/>
      <c r="SG213" s="4"/>
      <c r="SH213" s="4"/>
      <c r="SI213" s="4"/>
      <c r="SJ213" s="4"/>
      <c r="SK213" s="4"/>
      <c r="SL213" s="5"/>
      <c r="SM213" s="6"/>
      <c r="SN213" s="4"/>
      <c r="SO213" s="4"/>
      <c r="SP213" s="4"/>
      <c r="SQ213" s="4"/>
      <c r="SR213" s="4"/>
      <c r="SS213" s="5"/>
      <c r="ST213" s="6"/>
      <c r="SU213" s="4"/>
      <c r="SV213" s="4"/>
      <c r="SW213" s="4"/>
      <c r="SX213" s="4"/>
      <c r="SY213" s="4"/>
      <c r="SZ213" s="5"/>
      <c r="TA213" s="6"/>
      <c r="TB213" s="4"/>
      <c r="TC213" s="4"/>
      <c r="TD213" s="4"/>
      <c r="TE213" s="4"/>
      <c r="TF213" s="4"/>
      <c r="TG213" s="5"/>
      <c r="TH213" s="6"/>
      <c r="TI213" s="4"/>
      <c r="TJ213" s="4"/>
      <c r="TK213" s="4"/>
      <c r="TL213" s="4"/>
      <c r="TM213" s="4"/>
      <c r="TN213" s="5"/>
      <c r="TO213" s="6"/>
      <c r="TP213" s="4"/>
      <c r="TQ213" s="4"/>
      <c r="TR213" s="4"/>
      <c r="TS213" s="4"/>
      <c r="TT213" s="4"/>
      <c r="TU213" s="5"/>
      <c r="TV213" s="6"/>
      <c r="TW213" s="4"/>
      <c r="TX213" s="4"/>
      <c r="TY213" s="4"/>
      <c r="TZ213" s="4"/>
      <c r="UA213" s="4"/>
      <c r="UB213" s="5"/>
      <c r="UC213" s="6"/>
      <c r="UD213" s="4"/>
      <c r="UE213" s="4"/>
      <c r="UF213" s="4"/>
      <c r="UG213" s="4"/>
      <c r="UH213" s="4"/>
      <c r="UI213" s="5"/>
      <c r="UJ213" s="6"/>
      <c r="UK213" s="4"/>
      <c r="UL213" s="4"/>
      <c r="UM213" s="4"/>
      <c r="UN213" s="4"/>
      <c r="UO213" s="4"/>
      <c r="UP213" s="5"/>
      <c r="UQ213" s="6"/>
      <c r="UR213" s="4"/>
      <c r="US213" s="4"/>
      <c r="UT213" s="4"/>
      <c r="UU213" s="4"/>
      <c r="UV213" s="4"/>
      <c r="UW213" s="5"/>
      <c r="UX213" s="6"/>
      <c r="UY213" s="4"/>
      <c r="UZ213" s="4"/>
      <c r="VA213" s="4"/>
      <c r="VB213" s="4"/>
      <c r="VC213" s="4"/>
      <c r="VD213" s="5"/>
      <c r="VE213" s="6"/>
      <c r="VF213" s="4"/>
      <c r="VG213" s="4"/>
      <c r="VH213" s="4"/>
      <c r="VI213" s="4"/>
      <c r="VJ213" s="4"/>
      <c r="VK213" s="5"/>
      <c r="VL213" s="6"/>
      <c r="VM213" s="4"/>
      <c r="VN213" s="4"/>
      <c r="VO213" s="4"/>
      <c r="VP213" s="4"/>
      <c r="VQ213" s="4"/>
      <c r="VR213" s="5"/>
      <c r="VS213" s="6"/>
      <c r="VT213" s="4"/>
      <c r="VU213" s="4"/>
      <c r="VV213" s="4"/>
      <c r="VW213" s="4"/>
      <c r="VX213" s="4"/>
      <c r="VY213" s="5"/>
      <c r="VZ213" s="6"/>
      <c r="WA213" s="4"/>
      <c r="WB213" s="4"/>
      <c r="WC213" s="4"/>
      <c r="WD213" s="4"/>
      <c r="WE213" s="4"/>
      <c r="WF213" s="5"/>
      <c r="WG213" s="6"/>
      <c r="WH213" s="4"/>
      <c r="WI213" s="4"/>
      <c r="WJ213" s="4"/>
      <c r="WK213" s="4"/>
      <c r="WL213" s="4"/>
      <c r="WM213" s="5"/>
      <c r="WN213" s="6"/>
      <c r="WO213" s="4"/>
      <c r="WP213" s="4"/>
      <c r="WQ213" s="4"/>
      <c r="WR213" s="4"/>
      <c r="WS213" s="4"/>
      <c r="WT213" s="5"/>
      <c r="WU213" s="6"/>
      <c r="WV213" s="4"/>
      <c r="WW213" s="4"/>
      <c r="WX213" s="4"/>
      <c r="WY213" s="4"/>
      <c r="WZ213" s="4"/>
      <c r="XA213" s="5"/>
      <c r="XB213" s="6"/>
      <c r="XC213" s="4"/>
      <c r="XD213" s="4"/>
      <c r="XE213" s="4"/>
      <c r="XF213" s="4"/>
      <c r="XG213" s="4"/>
      <c r="XH213" s="5"/>
      <c r="XI213" s="6"/>
      <c r="XJ213" s="4"/>
      <c r="XK213" s="4"/>
      <c r="XL213" s="4"/>
      <c r="XM213" s="4"/>
      <c r="XN213" s="4"/>
      <c r="XO213" s="5"/>
      <c r="XP213" s="6"/>
      <c r="XQ213" s="4"/>
      <c r="XR213" s="4"/>
      <c r="XS213" s="4"/>
      <c r="XT213" s="4"/>
      <c r="XU213" s="4"/>
      <c r="XV213" s="5"/>
      <c r="XW213" s="6"/>
      <c r="XX213" s="4"/>
      <c r="XY213" s="4"/>
      <c r="XZ213" s="4"/>
      <c r="YA213" s="4"/>
      <c r="YB213" s="4"/>
      <c r="YC213" s="5"/>
      <c r="YD213" s="6"/>
      <c r="YE213" s="4"/>
      <c r="YF213" s="4"/>
      <c r="YG213" s="4"/>
      <c r="YH213" s="4"/>
      <c r="YI213" s="4"/>
      <c r="YJ213" s="5"/>
      <c r="YK213" s="6"/>
      <c r="YL213" s="4"/>
      <c r="YM213" s="4"/>
      <c r="YN213" s="4"/>
      <c r="YO213" s="4"/>
      <c r="YP213" s="4"/>
      <c r="YQ213" s="5"/>
      <c r="YR213" s="6"/>
      <c r="YS213" s="4"/>
      <c r="YT213" s="4"/>
      <c r="YU213" s="4"/>
      <c r="YV213" s="4"/>
      <c r="YW213" s="4"/>
      <c r="YX213" s="5"/>
      <c r="YY213" s="6"/>
      <c r="YZ213" s="4"/>
      <c r="ZA213" s="4"/>
      <c r="ZB213" s="4"/>
      <c r="ZC213" s="4"/>
      <c r="ZD213" s="4"/>
      <c r="ZE213" s="5"/>
      <c r="ZF213" s="6"/>
      <c r="ZG213" s="4"/>
      <c r="ZH213" s="4"/>
      <c r="ZI213" s="4"/>
      <c r="ZJ213" s="4"/>
      <c r="ZK213" s="4"/>
      <c r="ZL213" s="5"/>
      <c r="ZM213" s="6"/>
      <c r="ZN213" s="4"/>
      <c r="ZO213" s="4"/>
      <c r="ZP213" s="4"/>
      <c r="ZQ213" s="4"/>
      <c r="ZR213" s="4"/>
      <c r="ZS213" s="5"/>
      <c r="ZT213" s="6"/>
      <c r="ZU213" s="4"/>
      <c r="ZV213" s="4"/>
      <c r="ZW213" s="4"/>
      <c r="ZX213" s="4"/>
      <c r="ZY213" s="4"/>
      <c r="ZZ213" s="5"/>
      <c r="AAA213" s="6"/>
      <c r="AAB213" s="4"/>
      <c r="AAC213" s="4"/>
      <c r="AAD213" s="4"/>
      <c r="AAE213" s="4"/>
      <c r="AAF213" s="4"/>
      <c r="AAG213" s="5"/>
      <c r="AAH213" s="6"/>
      <c r="AAI213" s="4"/>
      <c r="AAJ213" s="4"/>
      <c r="AAK213" s="4"/>
      <c r="AAL213" s="4"/>
      <c r="AAM213" s="4"/>
      <c r="AAN213" s="5"/>
      <c r="AAO213" s="6"/>
      <c r="AAP213" s="4"/>
      <c r="AAQ213" s="4"/>
      <c r="AAR213" s="4"/>
      <c r="AAS213" s="4"/>
      <c r="AAT213" s="4"/>
      <c r="AAU213" s="5"/>
      <c r="AAV213" s="6"/>
      <c r="AAW213" s="4"/>
      <c r="AAX213" s="4"/>
      <c r="AAY213" s="4"/>
      <c r="AAZ213" s="4"/>
      <c r="ABA213" s="4"/>
      <c r="ABB213" s="5"/>
      <c r="ABC213" s="6"/>
      <c r="ABD213" s="4"/>
      <c r="ABE213" s="4"/>
      <c r="ABF213" s="4"/>
      <c r="ABG213" s="4"/>
      <c r="ABH213" s="4"/>
      <c r="ABI213" s="5"/>
      <c r="ABJ213" s="6"/>
      <c r="ABK213" s="4"/>
      <c r="ABL213" s="4"/>
      <c r="ABM213" s="4"/>
      <c r="ABN213" s="4"/>
      <c r="ABO213" s="4"/>
      <c r="ABP213" s="5"/>
      <c r="ABQ213" s="6"/>
      <c r="ABR213" s="4"/>
      <c r="ABS213" s="4"/>
      <c r="ABT213" s="4"/>
      <c r="ABU213" s="4"/>
      <c r="ABV213" s="4"/>
      <c r="ABW213" s="5"/>
      <c r="ABX213" s="6"/>
      <c r="ABY213" s="4"/>
      <c r="ABZ213" s="4"/>
      <c r="ACA213" s="4"/>
      <c r="ACB213" s="4"/>
      <c r="ACC213" s="4"/>
      <c r="ACD213" s="5"/>
      <c r="ACE213" s="6"/>
      <c r="ACF213" s="4"/>
      <c r="ACG213" s="4"/>
      <c r="ACH213" s="4"/>
      <c r="ACI213" s="4"/>
      <c r="ACJ213" s="4"/>
      <c r="ACK213" s="5"/>
      <c r="ACL213" s="6"/>
      <c r="ACM213" s="4"/>
      <c r="ACN213" s="4"/>
      <c r="ACO213" s="4"/>
      <c r="ACP213" s="4"/>
      <c r="ACQ213" s="4"/>
      <c r="ACR213" s="5"/>
      <c r="ACS213" s="6"/>
      <c r="ACT213" s="4"/>
      <c r="ACU213" s="4"/>
      <c r="ACV213" s="4"/>
      <c r="ACW213" s="4"/>
      <c r="ACX213" s="4"/>
      <c r="ACY213" s="5"/>
    </row>
    <row r="214" spans="1:779" x14ac:dyDescent="0.25">
      <c r="B214" s="30"/>
      <c r="J214" s="12"/>
      <c r="K214" s="12"/>
      <c r="L214" s="12"/>
      <c r="LL214" s="6"/>
      <c r="LM214" s="4"/>
      <c r="LN214" s="4"/>
      <c r="LO214" s="4"/>
      <c r="LP214" s="4"/>
      <c r="LQ214" s="4"/>
      <c r="LR214" s="5"/>
      <c r="LS214" s="6"/>
      <c r="LT214" s="4"/>
      <c r="LU214" s="4"/>
      <c r="LV214" s="4"/>
      <c r="LW214" s="4"/>
      <c r="LX214" s="4"/>
      <c r="LY214" s="5"/>
      <c r="LZ214" s="11" t="s">
        <v>2874</v>
      </c>
      <c r="MA214" s="7" t="s">
        <v>3084</v>
      </c>
      <c r="MH214" s="6"/>
      <c r="MI214" s="4"/>
      <c r="MJ214" s="4"/>
      <c r="MK214" s="4"/>
      <c r="ML214" s="4"/>
      <c r="MM214" s="4"/>
      <c r="MN214" s="5"/>
      <c r="MO214" s="6"/>
      <c r="MP214" s="4"/>
      <c r="MQ214" s="4"/>
      <c r="MR214" s="4"/>
      <c r="MS214" s="4"/>
      <c r="MT214" s="4"/>
      <c r="MU214" s="5"/>
      <c r="MV214" s="6"/>
      <c r="MW214" s="4"/>
      <c r="MX214" s="4"/>
      <c r="MY214" s="4"/>
      <c r="MZ214" s="4"/>
      <c r="NA214" s="4"/>
      <c r="NB214" s="5"/>
      <c r="NC214" s="6"/>
      <c r="ND214" s="4"/>
      <c r="NE214" s="4"/>
      <c r="NF214" s="4"/>
      <c r="NG214" s="4"/>
      <c r="NH214" s="4"/>
      <c r="NI214" s="5"/>
      <c r="NJ214" s="6"/>
      <c r="NK214" s="4"/>
      <c r="NL214" s="4"/>
      <c r="NM214" s="4"/>
      <c r="NN214" s="4"/>
      <c r="NO214" s="4"/>
      <c r="NP214" s="5"/>
      <c r="NQ214" s="6"/>
      <c r="NR214" s="4"/>
      <c r="NS214" s="4"/>
      <c r="NT214" s="4"/>
      <c r="NU214" s="4"/>
      <c r="NV214" s="4"/>
      <c r="NW214" s="5"/>
      <c r="NX214" s="6"/>
      <c r="NY214" s="4"/>
      <c r="NZ214" s="4"/>
      <c r="OA214" s="4"/>
      <c r="OB214" s="4"/>
      <c r="OC214" s="4"/>
      <c r="OD214" s="5"/>
      <c r="OE214" s="6"/>
      <c r="OF214" s="4"/>
      <c r="OG214" s="4"/>
      <c r="OH214" s="4"/>
      <c r="OI214" s="4"/>
      <c r="OJ214" s="4"/>
      <c r="OK214" s="5"/>
      <c r="OL214" s="6"/>
      <c r="OM214" s="4"/>
      <c r="ON214" s="4"/>
      <c r="OO214" s="4"/>
      <c r="OP214" s="4"/>
      <c r="OQ214" s="4"/>
      <c r="OR214" s="5"/>
      <c r="OS214" s="6"/>
      <c r="OT214" s="4"/>
      <c r="OU214" s="4"/>
      <c r="OV214" s="4"/>
      <c r="OW214" s="4"/>
      <c r="OX214" s="4"/>
      <c r="OY214" s="5"/>
      <c r="OZ214" s="6"/>
      <c r="PA214" s="4"/>
      <c r="PB214" s="4"/>
      <c r="PC214" s="4"/>
      <c r="PD214" s="4"/>
      <c r="PE214" s="4"/>
      <c r="PF214" s="5"/>
      <c r="PG214" s="6"/>
      <c r="PH214" s="4"/>
      <c r="PI214" s="4"/>
      <c r="PJ214" s="4"/>
      <c r="PK214" s="4"/>
      <c r="PL214" s="4"/>
      <c r="PM214" s="5"/>
      <c r="PN214" s="6"/>
      <c r="PO214" s="4"/>
      <c r="PP214" s="4"/>
      <c r="PQ214" s="4"/>
      <c r="PR214" s="4"/>
      <c r="PS214" s="4"/>
      <c r="PT214" s="5"/>
      <c r="PU214" s="6"/>
      <c r="PV214" s="4"/>
      <c r="PW214" s="4"/>
      <c r="PX214" s="4"/>
      <c r="PY214" s="4"/>
      <c r="PZ214" s="4"/>
      <c r="QA214" s="5"/>
      <c r="QB214" s="6"/>
      <c r="QC214" s="4"/>
      <c r="QD214" s="4"/>
      <c r="QE214" s="4"/>
      <c r="QF214" s="4"/>
      <c r="QG214" s="4"/>
      <c r="QH214" s="5"/>
      <c r="QI214" s="6"/>
      <c r="QJ214" s="4"/>
      <c r="QK214" s="4"/>
      <c r="QL214" s="4"/>
      <c r="QM214" s="4"/>
      <c r="QN214" s="4"/>
      <c r="QO214" s="5"/>
      <c r="QP214" s="6"/>
      <c r="QQ214" s="4"/>
      <c r="QR214" s="4"/>
      <c r="QS214" s="4"/>
      <c r="QT214" s="4"/>
      <c r="QU214" s="4"/>
      <c r="QV214" s="5"/>
      <c r="QW214" s="6"/>
      <c r="QX214" s="4"/>
      <c r="QY214" s="4"/>
      <c r="QZ214" s="4"/>
      <c r="RA214" s="4"/>
      <c r="RB214" s="4"/>
      <c r="RC214" s="5"/>
      <c r="RD214" s="6"/>
      <c r="RE214" s="4"/>
      <c r="RF214" s="4"/>
      <c r="RG214" s="4"/>
      <c r="RH214" s="4"/>
      <c r="RI214" s="4"/>
      <c r="RJ214" s="5"/>
      <c r="RK214" s="6"/>
      <c r="RL214" s="4"/>
      <c r="RM214" s="4"/>
      <c r="RN214" s="4"/>
      <c r="RO214" s="4"/>
      <c r="RP214" s="4"/>
      <c r="RQ214" s="5"/>
      <c r="RR214" s="6"/>
      <c r="RS214" s="4"/>
      <c r="RT214" s="4"/>
      <c r="RU214" s="4"/>
      <c r="RV214" s="4"/>
      <c r="RW214" s="4"/>
      <c r="RX214" s="5"/>
      <c r="RY214" s="6"/>
      <c r="RZ214" s="4"/>
      <c r="SA214" s="4"/>
      <c r="SB214" s="4"/>
      <c r="SC214" s="4"/>
      <c r="SD214" s="4"/>
      <c r="SE214" s="5"/>
      <c r="SF214" s="6"/>
      <c r="SG214" s="4"/>
      <c r="SH214" s="4"/>
      <c r="SI214" s="4"/>
      <c r="SJ214" s="4"/>
      <c r="SK214" s="4"/>
      <c r="SL214" s="5"/>
      <c r="SM214" s="6"/>
      <c r="SN214" s="4"/>
      <c r="SO214" s="4"/>
      <c r="SP214" s="4"/>
      <c r="SQ214" s="4"/>
      <c r="SR214" s="4"/>
      <c r="SS214" s="5"/>
      <c r="ST214" s="6"/>
      <c r="SU214" s="4"/>
      <c r="SV214" s="4"/>
      <c r="SW214" s="4"/>
      <c r="SX214" s="4"/>
      <c r="SY214" s="4"/>
      <c r="SZ214" s="5"/>
      <c r="TA214" s="6"/>
      <c r="TB214" s="4"/>
      <c r="TC214" s="4"/>
      <c r="TD214" s="4"/>
      <c r="TE214" s="4"/>
      <c r="TF214" s="4"/>
      <c r="TG214" s="5"/>
      <c r="TH214" s="6"/>
      <c r="TI214" s="4"/>
      <c r="TJ214" s="4"/>
      <c r="TK214" s="4"/>
      <c r="TL214" s="4"/>
      <c r="TM214" s="4"/>
      <c r="TN214" s="5"/>
      <c r="TO214" s="6"/>
      <c r="TP214" s="4"/>
      <c r="TQ214" s="4"/>
      <c r="TR214" s="4"/>
      <c r="TS214" s="4"/>
      <c r="TT214" s="4"/>
      <c r="TU214" s="5"/>
      <c r="TV214" s="6"/>
      <c r="TW214" s="4"/>
      <c r="TX214" s="4"/>
      <c r="TY214" s="4"/>
      <c r="TZ214" s="4"/>
      <c r="UA214" s="4"/>
      <c r="UB214" s="5"/>
      <c r="UC214" s="6"/>
      <c r="UD214" s="4"/>
      <c r="UE214" s="4"/>
      <c r="UF214" s="4"/>
      <c r="UG214" s="4"/>
      <c r="UH214" s="4"/>
      <c r="UI214" s="5"/>
      <c r="UJ214" s="6"/>
      <c r="UK214" s="4"/>
      <c r="UL214" s="4"/>
      <c r="UM214" s="4"/>
      <c r="UN214" s="4"/>
      <c r="UO214" s="4"/>
      <c r="UP214" s="5"/>
      <c r="UQ214" s="6"/>
      <c r="UR214" s="4"/>
      <c r="US214" s="4"/>
      <c r="UT214" s="4"/>
      <c r="UU214" s="4"/>
      <c r="UV214" s="4"/>
      <c r="UW214" s="5"/>
      <c r="UX214" s="6"/>
      <c r="UY214" s="4"/>
      <c r="UZ214" s="4"/>
      <c r="VA214" s="4"/>
      <c r="VB214" s="4"/>
      <c r="VC214" s="4"/>
      <c r="VD214" s="5"/>
      <c r="VE214" s="6"/>
      <c r="VF214" s="4"/>
      <c r="VG214" s="4"/>
      <c r="VH214" s="4"/>
      <c r="VI214" s="4"/>
      <c r="VJ214" s="4"/>
      <c r="VK214" s="5"/>
      <c r="VL214" s="6"/>
      <c r="VM214" s="4"/>
      <c r="VN214" s="4"/>
      <c r="VO214" s="4"/>
      <c r="VP214" s="4"/>
      <c r="VQ214" s="4"/>
      <c r="VR214" s="5"/>
      <c r="VS214" s="6"/>
      <c r="VT214" s="4"/>
      <c r="VU214" s="4"/>
      <c r="VV214" s="4"/>
      <c r="VW214" s="4"/>
      <c r="VX214" s="4"/>
      <c r="VY214" s="5"/>
      <c r="VZ214" s="6"/>
      <c r="WA214" s="4"/>
      <c r="WB214" s="4"/>
      <c r="WC214" s="4"/>
      <c r="WD214" s="4"/>
      <c r="WE214" s="4"/>
      <c r="WF214" s="5"/>
      <c r="WG214" s="6"/>
      <c r="WH214" s="4"/>
      <c r="WI214" s="4"/>
      <c r="WJ214" s="4"/>
      <c r="WK214" s="4"/>
      <c r="WL214" s="4"/>
      <c r="WM214" s="5"/>
      <c r="WN214" s="6"/>
      <c r="WO214" s="4"/>
      <c r="WP214" s="4"/>
      <c r="WQ214" s="4"/>
      <c r="WR214" s="4"/>
      <c r="WS214" s="4"/>
      <c r="WT214" s="5"/>
      <c r="WU214" s="6"/>
      <c r="WV214" s="4"/>
      <c r="WW214" s="4"/>
      <c r="WX214" s="4"/>
      <c r="WY214" s="4"/>
      <c r="WZ214" s="4"/>
      <c r="XA214" s="5"/>
      <c r="XB214" s="6"/>
      <c r="XC214" s="4"/>
      <c r="XD214" s="4"/>
      <c r="XE214" s="4"/>
      <c r="XF214" s="4"/>
      <c r="XG214" s="4"/>
      <c r="XH214" s="5"/>
      <c r="XI214" s="6"/>
      <c r="XJ214" s="4"/>
      <c r="XK214" s="4"/>
      <c r="XL214" s="4"/>
      <c r="XM214" s="4"/>
      <c r="XN214" s="4"/>
      <c r="XO214" s="5"/>
      <c r="XP214" s="6"/>
      <c r="XQ214" s="4"/>
      <c r="XR214" s="4"/>
      <c r="XS214" s="4"/>
      <c r="XT214" s="4"/>
      <c r="XU214" s="4"/>
      <c r="XV214" s="5"/>
      <c r="XW214" s="6"/>
      <c r="XX214" s="4"/>
      <c r="XY214" s="4"/>
      <c r="XZ214" s="4"/>
      <c r="YA214" s="4"/>
      <c r="YB214" s="4"/>
      <c r="YC214" s="5"/>
      <c r="YD214" s="6"/>
      <c r="YE214" s="4"/>
      <c r="YF214" s="4"/>
      <c r="YG214" s="4"/>
      <c r="YH214" s="4"/>
      <c r="YI214" s="4"/>
      <c r="YJ214" s="5"/>
      <c r="YK214" s="6"/>
      <c r="YL214" s="4"/>
      <c r="YM214" s="4"/>
      <c r="YN214" s="4"/>
      <c r="YO214" s="4"/>
      <c r="YP214" s="4"/>
      <c r="YQ214" s="5"/>
      <c r="YR214" s="6"/>
      <c r="YS214" s="4"/>
      <c r="YT214" s="4"/>
      <c r="YU214" s="4"/>
      <c r="YV214" s="4"/>
      <c r="YW214" s="4"/>
      <c r="YX214" s="5"/>
      <c r="YY214" s="6"/>
      <c r="YZ214" s="4"/>
      <c r="ZA214" s="4"/>
      <c r="ZB214" s="4"/>
      <c r="ZC214" s="4"/>
      <c r="ZD214" s="4"/>
      <c r="ZE214" s="5"/>
      <c r="ZF214" s="6"/>
      <c r="ZG214" s="4"/>
      <c r="ZH214" s="4"/>
      <c r="ZI214" s="4"/>
      <c r="ZJ214" s="4"/>
      <c r="ZK214" s="4"/>
      <c r="ZL214" s="5"/>
      <c r="ZM214" s="6"/>
      <c r="ZN214" s="4"/>
      <c r="ZO214" s="4"/>
      <c r="ZP214" s="4"/>
      <c r="ZQ214" s="4"/>
      <c r="ZR214" s="4"/>
      <c r="ZS214" s="5"/>
      <c r="ZT214" s="6"/>
      <c r="ZU214" s="4"/>
      <c r="ZV214" s="4"/>
      <c r="ZW214" s="4"/>
      <c r="ZX214" s="4"/>
      <c r="ZY214" s="4"/>
      <c r="ZZ214" s="5"/>
      <c r="AAA214" s="6"/>
      <c r="AAB214" s="4"/>
      <c r="AAC214" s="4"/>
      <c r="AAD214" s="4"/>
      <c r="AAE214" s="4"/>
      <c r="AAF214" s="4"/>
      <c r="AAG214" s="5"/>
      <c r="AAH214" s="6"/>
      <c r="AAI214" s="4"/>
      <c r="AAJ214" s="4"/>
      <c r="AAK214" s="4"/>
      <c r="AAL214" s="4"/>
      <c r="AAM214" s="4"/>
      <c r="AAN214" s="5"/>
      <c r="AAO214" s="6"/>
      <c r="AAP214" s="4"/>
      <c r="AAQ214" s="4"/>
      <c r="AAR214" s="4"/>
      <c r="AAS214" s="4"/>
      <c r="AAT214" s="4"/>
      <c r="AAU214" s="5"/>
      <c r="AAV214" s="6"/>
      <c r="AAW214" s="4"/>
      <c r="AAX214" s="4"/>
      <c r="AAY214" s="4"/>
      <c r="AAZ214" s="4"/>
      <c r="ABA214" s="4"/>
      <c r="ABB214" s="5"/>
      <c r="ABC214" s="6"/>
      <c r="ABD214" s="4"/>
      <c r="ABE214" s="4"/>
      <c r="ABF214" s="4"/>
      <c r="ABG214" s="4"/>
      <c r="ABH214" s="4"/>
      <c r="ABI214" s="5"/>
      <c r="ABJ214" s="6"/>
      <c r="ABK214" s="4"/>
      <c r="ABL214" s="4"/>
      <c r="ABM214" s="4"/>
      <c r="ABN214" s="4"/>
      <c r="ABO214" s="4"/>
      <c r="ABP214" s="5"/>
      <c r="ABQ214" s="6"/>
      <c r="ABR214" s="4"/>
      <c r="ABS214" s="4"/>
      <c r="ABT214" s="4"/>
      <c r="ABU214" s="4"/>
      <c r="ABV214" s="4"/>
      <c r="ABW214" s="5"/>
      <c r="ABX214" s="6"/>
      <c r="ABY214" s="4"/>
      <c r="ABZ214" s="4"/>
      <c r="ACA214" s="4"/>
      <c r="ACB214" s="4"/>
      <c r="ACC214" s="4"/>
      <c r="ACD214" s="5"/>
      <c r="ACE214" s="6"/>
      <c r="ACF214" s="4"/>
      <c r="ACG214" s="4"/>
      <c r="ACH214" s="4"/>
      <c r="ACI214" s="4"/>
      <c r="ACJ214" s="4"/>
      <c r="ACK214" s="5"/>
      <c r="ACL214" s="6"/>
      <c r="ACM214" s="4"/>
      <c r="ACN214" s="4"/>
      <c r="ACO214" s="4"/>
      <c r="ACP214" s="4"/>
      <c r="ACQ214" s="4"/>
      <c r="ACR214" s="5"/>
      <c r="ACS214" s="6"/>
      <c r="ACT214" s="4"/>
      <c r="ACU214" s="4"/>
      <c r="ACV214" s="4"/>
      <c r="ACW214" s="4"/>
      <c r="ACX214" s="4"/>
      <c r="ACY214" s="5"/>
    </row>
    <row r="215" spans="1:779" x14ac:dyDescent="0.25">
      <c r="B215" s="30"/>
      <c r="J215" s="12"/>
      <c r="K215" s="12"/>
      <c r="L215" s="12"/>
      <c r="LL215" s="6"/>
      <c r="LM215" s="4"/>
      <c r="LN215" s="4"/>
      <c r="LO215" s="4"/>
      <c r="LP215" s="4"/>
      <c r="LQ215" s="4"/>
      <c r="LR215" s="5"/>
      <c r="LS215" s="6"/>
      <c r="LT215" s="4"/>
      <c r="LU215" s="4"/>
      <c r="LV215" s="4"/>
      <c r="LW215" s="4"/>
      <c r="LX215" s="4"/>
      <c r="LY215" s="5"/>
      <c r="LZ215" s="11" t="s">
        <v>2879</v>
      </c>
      <c r="MA215" s="7" t="s">
        <v>3129</v>
      </c>
      <c r="MG215" t="s">
        <v>3130</v>
      </c>
      <c r="MH215" s="6"/>
      <c r="MI215" s="4"/>
      <c r="MJ215" s="4"/>
      <c r="MK215" s="4"/>
      <c r="ML215" s="4"/>
      <c r="MM215" s="4"/>
      <c r="MN215" s="5"/>
      <c r="MO215" s="6"/>
      <c r="MP215" s="4"/>
      <c r="MQ215" s="4"/>
      <c r="MR215" s="4"/>
      <c r="MS215" s="4"/>
      <c r="MT215" s="4"/>
      <c r="MU215" s="5"/>
      <c r="MV215" s="6"/>
      <c r="MW215" s="4"/>
      <c r="MX215" s="4"/>
      <c r="MY215" s="4"/>
      <c r="MZ215" s="4"/>
      <c r="NA215" s="4"/>
      <c r="NB215" s="5"/>
      <c r="NC215" s="6"/>
      <c r="ND215" s="4"/>
      <c r="NE215" s="4"/>
      <c r="NF215" s="4"/>
      <c r="NG215" s="4"/>
      <c r="NH215" s="4"/>
      <c r="NI215" s="5"/>
      <c r="NJ215" s="6"/>
      <c r="NK215" s="4"/>
      <c r="NL215" s="4"/>
      <c r="NM215" s="4"/>
      <c r="NN215" s="4"/>
      <c r="NO215" s="4"/>
      <c r="NP215" s="5"/>
      <c r="NQ215" s="6"/>
      <c r="NR215" s="4"/>
      <c r="NS215" s="4"/>
      <c r="NT215" s="4"/>
      <c r="NU215" s="4"/>
      <c r="NV215" s="4"/>
      <c r="NW215" s="5"/>
      <c r="NX215" s="6"/>
      <c r="NY215" s="4"/>
      <c r="NZ215" s="4"/>
      <c r="OA215" s="4"/>
      <c r="OB215" s="4"/>
      <c r="OC215" s="4"/>
      <c r="OD215" s="5"/>
      <c r="OE215" s="6"/>
      <c r="OF215" s="4"/>
      <c r="OG215" s="4"/>
      <c r="OH215" s="4"/>
      <c r="OI215" s="4"/>
      <c r="OJ215" s="4"/>
      <c r="OK215" s="5"/>
      <c r="OL215" s="6"/>
      <c r="OM215" s="4"/>
      <c r="ON215" s="4"/>
      <c r="OO215" s="4"/>
      <c r="OP215" s="4"/>
      <c r="OQ215" s="4"/>
      <c r="OR215" s="5"/>
      <c r="OS215" s="6"/>
      <c r="OT215" s="4"/>
      <c r="OU215" s="4"/>
      <c r="OV215" s="4"/>
      <c r="OW215" s="4"/>
      <c r="OX215" s="4"/>
      <c r="OY215" s="5"/>
      <c r="OZ215" s="6"/>
      <c r="PA215" s="4"/>
      <c r="PB215" s="4"/>
      <c r="PC215" s="4"/>
      <c r="PD215" s="4"/>
      <c r="PE215" s="4"/>
      <c r="PF215" s="5"/>
      <c r="PG215" s="6"/>
      <c r="PH215" s="4"/>
      <c r="PI215" s="4"/>
      <c r="PJ215" s="4"/>
      <c r="PK215" s="4"/>
      <c r="PL215" s="4"/>
      <c r="PM215" s="5"/>
      <c r="PN215" s="6"/>
      <c r="PO215" s="4"/>
      <c r="PP215" s="4"/>
      <c r="PQ215" s="4"/>
      <c r="PR215" s="4"/>
      <c r="PS215" s="4"/>
      <c r="PT215" s="5"/>
      <c r="PU215" s="6"/>
      <c r="PV215" s="4"/>
      <c r="PW215" s="4"/>
      <c r="PX215" s="4"/>
      <c r="PY215" s="4"/>
      <c r="PZ215" s="4"/>
      <c r="QA215" s="5"/>
      <c r="QB215" s="6"/>
      <c r="QC215" s="4"/>
      <c r="QD215" s="4"/>
      <c r="QE215" s="4"/>
      <c r="QF215" s="4"/>
      <c r="QG215" s="4"/>
      <c r="QH215" s="5"/>
      <c r="QI215" s="6"/>
      <c r="QJ215" s="4"/>
      <c r="QK215" s="4"/>
      <c r="QL215" s="4"/>
      <c r="QM215" s="4"/>
      <c r="QN215" s="4"/>
      <c r="QO215" s="5"/>
      <c r="QP215" s="6"/>
      <c r="QQ215" s="4"/>
      <c r="QR215" s="4"/>
      <c r="QS215" s="4"/>
      <c r="QT215" s="4"/>
      <c r="QU215" s="4"/>
      <c r="QV215" s="5"/>
      <c r="QW215" s="6"/>
      <c r="QX215" s="4"/>
      <c r="QY215" s="4"/>
      <c r="QZ215" s="4"/>
      <c r="RA215" s="4"/>
      <c r="RB215" s="4"/>
      <c r="RC215" s="5"/>
      <c r="RD215" s="6"/>
      <c r="RE215" s="4"/>
      <c r="RF215" s="4"/>
      <c r="RG215" s="4"/>
      <c r="RH215" s="4"/>
      <c r="RI215" s="4"/>
      <c r="RJ215" s="5"/>
      <c r="RK215" s="6"/>
      <c r="RL215" s="4"/>
      <c r="RM215" s="4"/>
      <c r="RN215" s="4"/>
      <c r="RO215" s="4"/>
      <c r="RP215" s="4"/>
      <c r="RQ215" s="5"/>
      <c r="RR215" s="6"/>
      <c r="RS215" s="4"/>
      <c r="RT215" s="4"/>
      <c r="RU215" s="4"/>
      <c r="RV215" s="4"/>
      <c r="RW215" s="4"/>
      <c r="RX215" s="5"/>
      <c r="RY215" s="6"/>
      <c r="RZ215" s="4"/>
      <c r="SA215" s="4"/>
      <c r="SB215" s="4"/>
      <c r="SC215" s="4"/>
      <c r="SD215" s="4"/>
      <c r="SE215" s="5"/>
      <c r="SF215" s="6"/>
      <c r="SG215" s="4"/>
      <c r="SH215" s="4"/>
      <c r="SI215" s="4"/>
      <c r="SJ215" s="4"/>
      <c r="SK215" s="4"/>
      <c r="SL215" s="5"/>
      <c r="SM215" s="6"/>
      <c r="SN215" s="4"/>
      <c r="SO215" s="4"/>
      <c r="SP215" s="4"/>
      <c r="SQ215" s="4"/>
      <c r="SR215" s="4"/>
      <c r="SS215" s="5"/>
      <c r="ST215" s="6"/>
      <c r="SU215" s="4"/>
      <c r="SV215" s="4"/>
      <c r="SW215" s="4"/>
      <c r="SX215" s="4"/>
      <c r="SY215" s="4"/>
      <c r="SZ215" s="5"/>
      <c r="TA215" s="6"/>
      <c r="TB215" s="4"/>
      <c r="TC215" s="4"/>
      <c r="TD215" s="4"/>
      <c r="TE215" s="4"/>
      <c r="TF215" s="4"/>
      <c r="TG215" s="5"/>
      <c r="TH215" s="6"/>
      <c r="TI215" s="4"/>
      <c r="TJ215" s="4"/>
      <c r="TK215" s="4"/>
      <c r="TL215" s="4"/>
      <c r="TM215" s="4"/>
      <c r="TN215" s="5"/>
      <c r="TO215" s="6"/>
      <c r="TP215" s="4"/>
      <c r="TQ215" s="4"/>
      <c r="TR215" s="4"/>
      <c r="TS215" s="4"/>
      <c r="TT215" s="4"/>
      <c r="TU215" s="5"/>
      <c r="TV215" s="6"/>
      <c r="TW215" s="4"/>
      <c r="TX215" s="4"/>
      <c r="TY215" s="4"/>
      <c r="TZ215" s="4"/>
      <c r="UA215" s="4"/>
      <c r="UB215" s="5"/>
      <c r="UC215" s="6"/>
      <c r="UD215" s="4"/>
      <c r="UE215" s="4"/>
      <c r="UF215" s="4"/>
      <c r="UG215" s="4"/>
      <c r="UH215" s="4"/>
      <c r="UI215" s="5"/>
      <c r="UJ215" s="6"/>
      <c r="UK215" s="4"/>
      <c r="UL215" s="4"/>
      <c r="UM215" s="4"/>
      <c r="UN215" s="4"/>
      <c r="UO215" s="4"/>
      <c r="UP215" s="5"/>
      <c r="UQ215" s="6"/>
      <c r="UR215" s="4"/>
      <c r="US215" s="4"/>
      <c r="UT215" s="4"/>
      <c r="UU215" s="4"/>
      <c r="UV215" s="4"/>
      <c r="UW215" s="5"/>
      <c r="UX215" s="6"/>
      <c r="UY215" s="4"/>
      <c r="UZ215" s="4"/>
      <c r="VA215" s="4"/>
      <c r="VB215" s="4"/>
      <c r="VC215" s="4"/>
      <c r="VD215" s="5"/>
      <c r="VE215" s="6"/>
      <c r="VF215" s="4"/>
      <c r="VG215" s="4"/>
      <c r="VH215" s="4"/>
      <c r="VI215" s="4"/>
      <c r="VJ215" s="4"/>
      <c r="VK215" s="5"/>
      <c r="VL215" s="6"/>
      <c r="VM215" s="4"/>
      <c r="VN215" s="4"/>
      <c r="VO215" s="4"/>
      <c r="VP215" s="4"/>
      <c r="VQ215" s="4"/>
      <c r="VR215" s="5"/>
      <c r="VS215" s="6"/>
      <c r="VT215" s="4"/>
      <c r="VU215" s="4"/>
      <c r="VV215" s="4"/>
      <c r="VW215" s="4"/>
      <c r="VX215" s="4"/>
      <c r="VY215" s="5"/>
      <c r="VZ215" s="6"/>
      <c r="WA215" s="4"/>
      <c r="WB215" s="4"/>
      <c r="WC215" s="4"/>
      <c r="WD215" s="4"/>
      <c r="WE215" s="4"/>
      <c r="WF215" s="5"/>
      <c r="WG215" s="6"/>
      <c r="WH215" s="4"/>
      <c r="WI215" s="4"/>
      <c r="WJ215" s="4"/>
      <c r="WK215" s="4"/>
      <c r="WL215" s="4"/>
      <c r="WM215" s="5"/>
      <c r="WN215" s="6"/>
      <c r="WO215" s="4"/>
      <c r="WP215" s="4"/>
      <c r="WQ215" s="4"/>
      <c r="WR215" s="4"/>
      <c r="WS215" s="4"/>
      <c r="WT215" s="5"/>
      <c r="WU215" s="6"/>
      <c r="WV215" s="4"/>
      <c r="WW215" s="4"/>
      <c r="WX215" s="4"/>
      <c r="WY215" s="4"/>
      <c r="WZ215" s="4"/>
      <c r="XA215" s="5"/>
      <c r="XB215" s="6"/>
      <c r="XC215" s="4"/>
      <c r="XD215" s="4"/>
      <c r="XE215" s="4"/>
      <c r="XF215" s="4"/>
      <c r="XG215" s="4"/>
      <c r="XH215" s="5"/>
      <c r="XI215" s="6"/>
      <c r="XJ215" s="4"/>
      <c r="XK215" s="4"/>
      <c r="XL215" s="4"/>
      <c r="XM215" s="4"/>
      <c r="XN215" s="4"/>
      <c r="XO215" s="5"/>
      <c r="XP215" s="6"/>
      <c r="XQ215" s="4"/>
      <c r="XR215" s="4"/>
      <c r="XS215" s="4"/>
      <c r="XT215" s="4"/>
      <c r="XU215" s="4"/>
      <c r="XV215" s="5"/>
      <c r="XW215" s="6"/>
      <c r="XX215" s="4"/>
      <c r="XY215" s="4"/>
      <c r="XZ215" s="4"/>
      <c r="YA215" s="4"/>
      <c r="YB215" s="4"/>
      <c r="YC215" s="5"/>
      <c r="YD215" s="6"/>
      <c r="YE215" s="4"/>
      <c r="YF215" s="4"/>
      <c r="YG215" s="4"/>
      <c r="YH215" s="4"/>
      <c r="YI215" s="4"/>
      <c r="YJ215" s="5"/>
      <c r="YK215" s="6"/>
      <c r="YL215" s="4"/>
      <c r="YM215" s="4"/>
      <c r="YN215" s="4"/>
      <c r="YO215" s="4"/>
      <c r="YP215" s="4"/>
      <c r="YQ215" s="5"/>
      <c r="YR215" s="6"/>
      <c r="YS215" s="4"/>
      <c r="YT215" s="4"/>
      <c r="YU215" s="4"/>
      <c r="YV215" s="4"/>
      <c r="YW215" s="4"/>
      <c r="YX215" s="5"/>
      <c r="YY215" s="6"/>
      <c r="YZ215" s="4"/>
      <c r="ZA215" s="4"/>
      <c r="ZB215" s="4"/>
      <c r="ZC215" s="4"/>
      <c r="ZD215" s="4"/>
      <c r="ZE215" s="5"/>
      <c r="ZF215" s="6"/>
      <c r="ZG215" s="4"/>
      <c r="ZH215" s="4"/>
      <c r="ZI215" s="4"/>
      <c r="ZJ215" s="4"/>
      <c r="ZK215" s="4"/>
      <c r="ZL215" s="5"/>
      <c r="ZM215" s="6"/>
      <c r="ZN215" s="4"/>
      <c r="ZO215" s="4"/>
      <c r="ZP215" s="4"/>
      <c r="ZQ215" s="4"/>
      <c r="ZR215" s="4"/>
      <c r="ZS215" s="5"/>
      <c r="ZT215" s="6"/>
      <c r="ZU215" s="4"/>
      <c r="ZV215" s="4"/>
      <c r="ZW215" s="4"/>
      <c r="ZX215" s="4"/>
      <c r="ZY215" s="4"/>
      <c r="ZZ215" s="5"/>
      <c r="AAA215" s="6"/>
      <c r="AAB215" s="4"/>
      <c r="AAC215" s="4"/>
      <c r="AAD215" s="4"/>
      <c r="AAE215" s="4"/>
      <c r="AAF215" s="4"/>
      <c r="AAG215" s="5"/>
      <c r="AAH215" s="6"/>
      <c r="AAI215" s="4"/>
      <c r="AAJ215" s="4"/>
      <c r="AAK215" s="4"/>
      <c r="AAL215" s="4"/>
      <c r="AAM215" s="4"/>
      <c r="AAN215" s="5"/>
      <c r="AAO215" s="6"/>
      <c r="AAP215" s="4"/>
      <c r="AAQ215" s="4"/>
      <c r="AAR215" s="4"/>
      <c r="AAS215" s="4"/>
      <c r="AAT215" s="4"/>
      <c r="AAU215" s="5"/>
      <c r="AAV215" s="6"/>
      <c r="AAW215" s="4"/>
      <c r="AAX215" s="4"/>
      <c r="AAY215" s="4"/>
      <c r="AAZ215" s="4"/>
      <c r="ABA215" s="4"/>
      <c r="ABB215" s="5"/>
      <c r="ABC215" s="6"/>
      <c r="ABD215" s="4"/>
      <c r="ABE215" s="4"/>
      <c r="ABF215" s="4"/>
      <c r="ABG215" s="4"/>
      <c r="ABH215" s="4"/>
      <c r="ABI215" s="5"/>
      <c r="ABJ215" s="6"/>
      <c r="ABK215" s="4"/>
      <c r="ABL215" s="4"/>
      <c r="ABM215" s="4"/>
      <c r="ABN215" s="4"/>
      <c r="ABO215" s="4"/>
      <c r="ABP215" s="5"/>
      <c r="ABQ215" s="6"/>
      <c r="ABR215" s="4"/>
      <c r="ABS215" s="4"/>
      <c r="ABT215" s="4"/>
      <c r="ABU215" s="4"/>
      <c r="ABV215" s="4"/>
      <c r="ABW215" s="5"/>
      <c r="ABX215" s="6"/>
      <c r="ABY215" s="4"/>
      <c r="ABZ215" s="4"/>
      <c r="ACA215" s="4"/>
      <c r="ACB215" s="4"/>
      <c r="ACC215" s="4"/>
      <c r="ACD215" s="5"/>
      <c r="ACE215" s="6"/>
      <c r="ACF215" s="4"/>
      <c r="ACG215" s="4"/>
      <c r="ACH215" s="4"/>
      <c r="ACI215" s="4"/>
      <c r="ACJ215" s="4"/>
      <c r="ACK215" s="5"/>
      <c r="ACL215" s="6"/>
      <c r="ACM215" s="4"/>
      <c r="ACN215" s="4"/>
      <c r="ACO215" s="4"/>
      <c r="ACP215" s="4"/>
      <c r="ACQ215" s="4"/>
      <c r="ACR215" s="5"/>
      <c r="ACS215" s="6"/>
      <c r="ACT215" s="4"/>
      <c r="ACU215" s="4"/>
      <c r="ACV215" s="4"/>
      <c r="ACW215" s="4"/>
      <c r="ACX215" s="4"/>
      <c r="ACY215" s="5"/>
    </row>
    <row r="216" spans="1:779" x14ac:dyDescent="0.25">
      <c r="B216" s="49">
        <v>99002548</v>
      </c>
      <c r="C216">
        <v>77</v>
      </c>
      <c r="D216" t="s">
        <v>681</v>
      </c>
      <c r="F216" s="23">
        <v>1</v>
      </c>
      <c r="J216" s="12"/>
      <c r="K216" s="12"/>
      <c r="L216" s="12"/>
      <c r="M216">
        <v>1</v>
      </c>
      <c r="BG216">
        <v>1</v>
      </c>
      <c r="LL216" s="6"/>
      <c r="LM216" s="4"/>
      <c r="LN216" s="4"/>
      <c r="LO216" s="4"/>
      <c r="LP216" s="4"/>
      <c r="LQ216" s="4"/>
      <c r="LR216" s="5"/>
      <c r="LS216" s="6"/>
      <c r="LT216" s="4"/>
      <c r="LU216" s="4"/>
      <c r="LV216" s="4"/>
      <c r="LW216" s="4"/>
      <c r="LX216" s="4"/>
      <c r="LY216" s="5"/>
      <c r="LZ216" s="6" t="s">
        <v>2451</v>
      </c>
      <c r="MA216" s="7" t="s">
        <v>2451</v>
      </c>
      <c r="MB216" s="4"/>
      <c r="MC216" s="4"/>
      <c r="MD216" s="8"/>
      <c r="ME216" s="4"/>
      <c r="MF216" s="4"/>
      <c r="MG216" s="5"/>
      <c r="MH216" s="6"/>
      <c r="MI216" s="4"/>
      <c r="MJ216" s="4"/>
      <c r="MK216" s="4"/>
      <c r="ML216" s="4"/>
      <c r="MM216" s="4"/>
      <c r="MN216" s="5"/>
      <c r="MO216" s="6"/>
      <c r="MP216" s="4"/>
      <c r="MQ216" s="4"/>
      <c r="MR216" s="4"/>
      <c r="MS216" s="4"/>
      <c r="MT216" s="4"/>
      <c r="MU216" s="5"/>
      <c r="MV216" s="6"/>
      <c r="MW216" s="4"/>
      <c r="MX216" s="4"/>
      <c r="MY216" s="4"/>
      <c r="MZ216" s="4"/>
      <c r="NA216" s="4"/>
      <c r="NB216" s="5"/>
      <c r="NC216" s="6"/>
      <c r="ND216" s="4"/>
      <c r="NE216" s="4"/>
      <c r="NF216" s="4"/>
      <c r="NG216" s="4"/>
      <c r="NH216" s="4"/>
      <c r="NI216" s="5"/>
      <c r="NJ216" s="6"/>
      <c r="NK216" s="4"/>
      <c r="NL216" s="4"/>
      <c r="NM216" s="4"/>
      <c r="NN216" s="4"/>
      <c r="NO216" s="4"/>
      <c r="NP216" s="5"/>
      <c r="NQ216" s="6"/>
      <c r="NR216" s="4"/>
      <c r="NS216" s="4"/>
      <c r="NT216" s="4"/>
      <c r="NU216" s="4"/>
      <c r="NV216" s="4"/>
      <c r="NW216" s="5"/>
      <c r="NX216" s="6"/>
      <c r="NY216" s="4"/>
      <c r="NZ216" s="4"/>
      <c r="OA216" s="4"/>
      <c r="OB216" s="4"/>
      <c r="OC216" s="4"/>
      <c r="OD216" s="5"/>
      <c r="OE216" s="6"/>
      <c r="OF216" s="4"/>
      <c r="OG216" s="4"/>
      <c r="OH216" s="4"/>
      <c r="OI216" s="4"/>
      <c r="OJ216" s="4"/>
      <c r="OK216" s="5"/>
      <c r="OL216" s="6"/>
      <c r="OM216" s="4"/>
      <c r="ON216" s="4"/>
      <c r="OO216" s="4"/>
      <c r="OP216" s="4"/>
      <c r="OQ216" s="4"/>
      <c r="OR216" s="5"/>
      <c r="OS216" s="6"/>
      <c r="OT216" s="4"/>
      <c r="OU216" s="4"/>
      <c r="OV216" s="4"/>
      <c r="OW216" s="4"/>
      <c r="OX216" s="4"/>
      <c r="OY216" s="5"/>
      <c r="OZ216" s="6"/>
      <c r="PA216" s="4"/>
      <c r="PB216" s="4"/>
      <c r="PC216" s="4"/>
      <c r="PD216" s="4"/>
      <c r="PE216" s="4"/>
      <c r="PF216" s="5"/>
      <c r="PG216" s="6"/>
      <c r="PH216" s="4"/>
      <c r="PI216" s="4"/>
      <c r="PJ216" s="4"/>
      <c r="PK216" s="4"/>
      <c r="PL216" s="4"/>
      <c r="PM216" s="5"/>
      <c r="PN216" s="6"/>
      <c r="PO216" s="4"/>
      <c r="PP216" s="4"/>
      <c r="PQ216" s="4"/>
      <c r="PR216" s="4"/>
      <c r="PS216" s="4"/>
      <c r="PT216" s="5"/>
      <c r="PU216" s="6"/>
      <c r="PV216" s="4"/>
      <c r="PW216" s="4"/>
      <c r="PX216" s="4"/>
      <c r="PY216" s="4"/>
      <c r="PZ216" s="4"/>
      <c r="QA216" s="5"/>
      <c r="QB216" s="6"/>
      <c r="QC216" s="4"/>
      <c r="QD216" s="4"/>
      <c r="QE216" s="4"/>
      <c r="QF216" s="4"/>
      <c r="QG216" s="4"/>
      <c r="QH216" s="5"/>
      <c r="QI216" s="6"/>
      <c r="QJ216" s="4"/>
      <c r="QK216" s="4"/>
      <c r="QL216" s="4"/>
      <c r="QM216" s="4"/>
      <c r="QN216" s="4"/>
      <c r="QO216" s="5"/>
      <c r="QP216" s="6"/>
      <c r="QQ216" s="4"/>
      <c r="QR216" s="4"/>
      <c r="QS216" s="4"/>
      <c r="QT216" s="4"/>
      <c r="QU216" s="4"/>
      <c r="QV216" s="5"/>
      <c r="QW216" s="6"/>
      <c r="QX216" s="4"/>
      <c r="QY216" s="4"/>
      <c r="QZ216" s="4"/>
      <c r="RA216" s="4"/>
      <c r="RB216" s="4"/>
      <c r="RC216" s="5"/>
      <c r="RD216" s="6"/>
      <c r="RE216" s="4"/>
      <c r="RF216" s="4"/>
      <c r="RG216" s="4"/>
      <c r="RH216" s="4"/>
      <c r="RI216" s="4"/>
      <c r="RJ216" s="5"/>
      <c r="RK216" s="6"/>
      <c r="RL216" s="4"/>
      <c r="RM216" s="4"/>
      <c r="RN216" s="4"/>
      <c r="RO216" s="4"/>
      <c r="RP216" s="4"/>
      <c r="RQ216" s="5"/>
      <c r="RR216" s="6"/>
      <c r="RS216" s="4"/>
      <c r="RT216" s="4"/>
      <c r="RU216" s="4"/>
      <c r="RV216" s="4"/>
      <c r="RW216" s="4"/>
      <c r="RX216" s="5"/>
      <c r="RY216" s="6"/>
      <c r="RZ216" s="4"/>
      <c r="SA216" s="4"/>
      <c r="SB216" s="4"/>
      <c r="SC216" s="4"/>
      <c r="SD216" s="4"/>
      <c r="SE216" s="5"/>
      <c r="SF216" s="6"/>
      <c r="SG216" s="4"/>
      <c r="SH216" s="4"/>
      <c r="SI216" s="4"/>
      <c r="SJ216" s="4"/>
      <c r="SK216" s="4"/>
      <c r="SL216" s="5"/>
      <c r="SM216" s="6"/>
      <c r="SN216" s="4"/>
      <c r="SO216" s="4"/>
      <c r="SP216" s="4"/>
      <c r="SQ216" s="4"/>
      <c r="SR216" s="4"/>
      <c r="SS216" s="5"/>
      <c r="ST216" s="6"/>
      <c r="SU216" s="4"/>
      <c r="SV216" s="4"/>
      <c r="SW216" s="4"/>
      <c r="SX216" s="4"/>
      <c r="SY216" s="4"/>
      <c r="SZ216" s="5"/>
      <c r="TA216" s="6"/>
      <c r="TB216" s="4"/>
      <c r="TC216" s="4"/>
      <c r="TD216" s="4"/>
      <c r="TE216" s="4"/>
      <c r="TF216" s="4"/>
      <c r="TG216" s="5"/>
      <c r="TH216" s="6"/>
      <c r="TI216" s="4"/>
      <c r="TJ216" s="4"/>
      <c r="TK216" s="4"/>
      <c r="TL216" s="4"/>
      <c r="TM216" s="4"/>
      <c r="TN216" s="5"/>
      <c r="TO216" s="6"/>
      <c r="TP216" s="4"/>
      <c r="TQ216" s="4"/>
      <c r="TR216" s="4"/>
      <c r="TS216" s="4"/>
      <c r="TT216" s="4"/>
      <c r="TU216" s="5"/>
      <c r="TV216" s="6"/>
      <c r="TW216" s="4"/>
      <c r="TX216" s="4"/>
      <c r="TY216" s="4"/>
      <c r="TZ216" s="4"/>
      <c r="UA216" s="4"/>
      <c r="UB216" s="5"/>
      <c r="UC216" s="6"/>
      <c r="UD216" s="4"/>
      <c r="UE216" s="4"/>
      <c r="UF216" s="4"/>
      <c r="UG216" s="4"/>
      <c r="UH216" s="4"/>
      <c r="UI216" s="5"/>
      <c r="UJ216" s="6"/>
      <c r="UK216" s="4"/>
      <c r="UL216" s="4"/>
      <c r="UM216" s="4"/>
      <c r="UN216" s="4"/>
      <c r="UO216" s="4"/>
      <c r="UP216" s="5"/>
      <c r="UQ216" s="6"/>
      <c r="UR216" s="4"/>
      <c r="US216" s="4"/>
      <c r="UT216" s="4"/>
      <c r="UU216" s="4"/>
      <c r="UV216" s="4"/>
      <c r="UW216" s="5"/>
      <c r="UX216" s="6" t="s">
        <v>2738</v>
      </c>
      <c r="UY216" s="4" t="s">
        <v>2738</v>
      </c>
      <c r="UZ216" s="4"/>
      <c r="VA216" s="4"/>
      <c r="VB216" s="4"/>
      <c r="VC216" s="4"/>
      <c r="VD216" s="5"/>
      <c r="VE216" s="6"/>
      <c r="VF216" s="4"/>
      <c r="VG216" s="4"/>
      <c r="VH216" s="4"/>
      <c r="VI216" s="4"/>
      <c r="VJ216" s="4"/>
      <c r="VK216" s="5"/>
      <c r="VL216" s="6"/>
      <c r="VM216" s="4"/>
      <c r="VN216" s="4"/>
      <c r="VO216" s="4"/>
      <c r="VP216" s="4"/>
      <c r="VQ216" s="4"/>
      <c r="VR216" s="5"/>
      <c r="VS216" s="6"/>
      <c r="VT216" s="4"/>
      <c r="VU216" s="4"/>
      <c r="VV216" s="4"/>
      <c r="VW216" s="4"/>
      <c r="VX216" s="4"/>
      <c r="VY216" s="5"/>
      <c r="VZ216" s="6"/>
      <c r="WA216" s="4"/>
      <c r="WB216" s="4"/>
      <c r="WC216" s="4"/>
      <c r="WD216" s="4"/>
      <c r="WE216" s="4"/>
      <c r="WF216" s="5"/>
      <c r="WG216" s="6"/>
      <c r="WH216" s="4"/>
      <c r="WI216" s="4"/>
      <c r="WJ216" s="4"/>
      <c r="WK216" s="4"/>
      <c r="WL216" s="4"/>
      <c r="WM216" s="5"/>
      <c r="WN216" s="6"/>
      <c r="WO216" s="4"/>
      <c r="WP216" s="4"/>
      <c r="WQ216" s="4"/>
      <c r="WR216" s="4"/>
      <c r="WS216" s="4"/>
      <c r="WT216" s="5"/>
      <c r="WU216" s="6"/>
      <c r="WV216" s="4"/>
      <c r="WW216" s="4"/>
      <c r="WX216" s="4"/>
      <c r="WY216" s="4"/>
      <c r="WZ216" s="4"/>
      <c r="XA216" s="5"/>
      <c r="XB216" s="6"/>
      <c r="XC216" s="4"/>
      <c r="XD216" s="4"/>
      <c r="XE216" s="4"/>
      <c r="XF216" s="4"/>
      <c r="XG216" s="4"/>
      <c r="XH216" s="5"/>
      <c r="XI216" s="6"/>
      <c r="XJ216" s="4"/>
      <c r="XK216" s="4"/>
      <c r="XL216" s="4"/>
      <c r="XM216" s="4"/>
      <c r="XN216" s="4"/>
      <c r="XO216" s="5"/>
      <c r="XP216" s="6"/>
      <c r="XQ216" s="4"/>
      <c r="XR216" s="4"/>
      <c r="XS216" s="4"/>
      <c r="XT216" s="4"/>
      <c r="XU216" s="4"/>
      <c r="XV216" s="5"/>
      <c r="XW216" s="6"/>
      <c r="XX216" s="4"/>
      <c r="XY216" s="4"/>
      <c r="XZ216" s="4"/>
      <c r="YA216" s="4"/>
      <c r="YB216" s="4"/>
      <c r="YC216" s="5"/>
      <c r="YD216" s="6"/>
      <c r="YE216" s="4"/>
      <c r="YF216" s="4"/>
      <c r="YG216" s="4"/>
      <c r="YH216" s="4"/>
      <c r="YI216" s="4"/>
      <c r="YJ216" s="5"/>
      <c r="YK216" s="6"/>
      <c r="YL216" s="4"/>
      <c r="YM216" s="4"/>
      <c r="YN216" s="4"/>
      <c r="YO216" s="4"/>
      <c r="YP216" s="4"/>
      <c r="YQ216" s="5"/>
      <c r="YR216" s="6"/>
      <c r="YS216" s="4"/>
      <c r="YT216" s="4"/>
      <c r="YU216" s="4"/>
      <c r="YV216" s="4"/>
      <c r="YW216" s="4"/>
      <c r="YX216" s="5"/>
      <c r="YY216" s="6"/>
      <c r="YZ216" s="4"/>
      <c r="ZA216" s="4"/>
      <c r="ZB216" s="4"/>
      <c r="ZC216" s="4"/>
      <c r="ZD216" s="4"/>
      <c r="ZE216" s="5"/>
      <c r="ZF216" s="6"/>
      <c r="ZG216" s="4"/>
      <c r="ZH216" s="4"/>
      <c r="ZI216" s="4"/>
      <c r="ZJ216" s="4"/>
      <c r="ZK216" s="4"/>
      <c r="ZL216" s="5"/>
      <c r="ZM216" s="6"/>
      <c r="ZN216" s="4"/>
      <c r="ZO216" s="4"/>
      <c r="ZP216" s="4"/>
      <c r="ZQ216" s="4"/>
      <c r="ZR216" s="4"/>
      <c r="ZS216" s="5"/>
      <c r="ZT216" s="6"/>
      <c r="ZU216" s="4"/>
      <c r="ZV216" s="4"/>
      <c r="ZW216" s="4"/>
      <c r="ZX216" s="4"/>
      <c r="ZY216" s="4"/>
      <c r="ZZ216" s="5"/>
      <c r="AAA216" s="6"/>
      <c r="AAB216" s="4"/>
      <c r="AAC216" s="4"/>
      <c r="AAD216" s="4"/>
      <c r="AAE216" s="4"/>
      <c r="AAF216" s="4"/>
      <c r="AAG216" s="5"/>
      <c r="AAH216" s="6"/>
      <c r="AAI216" s="4"/>
      <c r="AAJ216" s="4"/>
      <c r="AAK216" s="4"/>
      <c r="AAL216" s="4"/>
      <c r="AAM216" s="4"/>
      <c r="AAN216" s="5"/>
      <c r="AAO216" s="6"/>
      <c r="AAP216" s="4"/>
      <c r="AAQ216" s="4"/>
      <c r="AAR216" s="4"/>
      <c r="AAS216" s="4"/>
      <c r="AAT216" s="4"/>
      <c r="AAU216" s="5"/>
      <c r="AAV216" s="6"/>
      <c r="AAW216" s="4"/>
      <c r="AAX216" s="4"/>
      <c r="AAY216" s="4"/>
      <c r="AAZ216" s="4"/>
      <c r="ABA216" s="4"/>
      <c r="ABB216" s="5"/>
      <c r="ABC216" s="6"/>
      <c r="ABD216" s="4"/>
      <c r="ABE216" s="4"/>
      <c r="ABF216" s="4"/>
      <c r="ABG216" s="4"/>
      <c r="ABH216" s="4"/>
      <c r="ABI216" s="5"/>
      <c r="ABJ216" s="6"/>
      <c r="ABK216" s="4"/>
      <c r="ABL216" s="4"/>
      <c r="ABM216" s="4"/>
      <c r="ABN216" s="4"/>
      <c r="ABO216" s="4"/>
      <c r="ABP216" s="5"/>
      <c r="ABQ216" s="6" t="s">
        <v>2939</v>
      </c>
      <c r="ABR216" s="4" t="s">
        <v>2939</v>
      </c>
      <c r="ABS216" s="4"/>
      <c r="ABT216" s="4"/>
      <c r="ABU216" s="4"/>
      <c r="ABV216" s="4"/>
      <c r="ABW216" s="5"/>
      <c r="ABX216" s="6"/>
      <c r="ABY216" s="4"/>
      <c r="ABZ216" s="4"/>
      <c r="ACA216" s="4"/>
      <c r="ACB216" s="4"/>
      <c r="ACC216" s="4"/>
      <c r="ACD216" s="5"/>
      <c r="ACE216" s="6"/>
      <c r="ACF216" s="4"/>
      <c r="ACG216" s="4"/>
      <c r="ACH216" s="4"/>
      <c r="ACI216" s="4"/>
      <c r="ACJ216" s="4"/>
      <c r="ACK216" s="5"/>
      <c r="ACL216" s="6"/>
      <c r="ACM216" s="4"/>
      <c r="ACN216" s="4"/>
      <c r="ACO216" s="4"/>
      <c r="ACP216" s="4"/>
      <c r="ACQ216" s="4"/>
      <c r="ACR216" s="5"/>
      <c r="ACS216" s="6"/>
      <c r="ACT216" s="4"/>
      <c r="ACU216" s="4"/>
      <c r="ACV216" s="4"/>
      <c r="ACW216" s="4"/>
      <c r="ACX216" s="4"/>
      <c r="ACY216" s="5"/>
    </row>
    <row r="217" spans="1:779" x14ac:dyDescent="0.25">
      <c r="B217" s="30"/>
      <c r="J217" s="12"/>
      <c r="K217" s="12"/>
      <c r="L217" s="12"/>
      <c r="LL217" s="6"/>
      <c r="LM217" s="4"/>
      <c r="LN217" s="4"/>
      <c r="LO217" s="4"/>
      <c r="LP217" s="4"/>
      <c r="LQ217" s="4"/>
      <c r="LR217" s="5"/>
      <c r="LS217" s="6"/>
      <c r="LT217" s="4"/>
      <c r="LU217" s="4"/>
      <c r="LV217" s="4"/>
      <c r="LW217" s="4"/>
      <c r="LX217" s="4"/>
      <c r="LY217" s="5"/>
      <c r="LZ217" s="6" t="s">
        <v>879</v>
      </c>
      <c r="MA217" s="7" t="s">
        <v>2375</v>
      </c>
      <c r="MB217" s="4"/>
      <c r="MC217" s="4"/>
      <c r="MD217" s="8"/>
      <c r="ME217" s="4"/>
      <c r="MF217" s="4" t="s">
        <v>611</v>
      </c>
      <c r="MG217" s="5"/>
      <c r="MH217" s="6"/>
      <c r="MI217" s="4"/>
      <c r="MJ217" s="4"/>
      <c r="MK217" s="4"/>
      <c r="ML217" s="4"/>
      <c r="MM217" s="4"/>
      <c r="MN217" s="5"/>
      <c r="MO217" s="6"/>
      <c r="MP217" s="4"/>
      <c r="MQ217" s="4"/>
      <c r="MR217" s="4"/>
      <c r="MS217" s="4"/>
      <c r="MT217" s="4"/>
      <c r="MU217" s="5"/>
      <c r="MV217" s="6"/>
      <c r="MW217" s="4"/>
      <c r="MX217" s="4"/>
      <c r="MY217" s="4"/>
      <c r="MZ217" s="4"/>
      <c r="NA217" s="4"/>
      <c r="NB217" s="5"/>
      <c r="NC217" s="6"/>
      <c r="ND217" s="4"/>
      <c r="NE217" s="4"/>
      <c r="NF217" s="4"/>
      <c r="NG217" s="4"/>
      <c r="NH217" s="4"/>
      <c r="NI217" s="5"/>
      <c r="NJ217" s="6"/>
      <c r="NK217" s="4"/>
      <c r="NL217" s="4"/>
      <c r="NM217" s="4"/>
      <c r="NN217" s="4"/>
      <c r="NO217" s="4"/>
      <c r="NP217" s="5"/>
      <c r="NQ217" s="6"/>
      <c r="NR217" s="4"/>
      <c r="NS217" s="4"/>
      <c r="NT217" s="4"/>
      <c r="NU217" s="4"/>
      <c r="NV217" s="4"/>
      <c r="NW217" s="5"/>
      <c r="NX217" s="6"/>
      <c r="NY217" s="4"/>
      <c r="NZ217" s="4"/>
      <c r="OA217" s="4"/>
      <c r="OB217" s="4"/>
      <c r="OC217" s="4"/>
      <c r="OD217" s="5"/>
      <c r="OE217" s="6"/>
      <c r="OF217" s="4"/>
      <c r="OG217" s="4"/>
      <c r="OH217" s="4"/>
      <c r="OI217" s="4"/>
      <c r="OJ217" s="4"/>
      <c r="OK217" s="5"/>
      <c r="OL217" s="6"/>
      <c r="OM217" s="4"/>
      <c r="ON217" s="4"/>
      <c r="OO217" s="4"/>
      <c r="OP217" s="4"/>
      <c r="OQ217" s="4"/>
      <c r="OR217" s="5"/>
      <c r="OS217" s="6"/>
      <c r="OT217" s="4"/>
      <c r="OU217" s="4"/>
      <c r="OV217" s="4"/>
      <c r="OW217" s="4"/>
      <c r="OX217" s="4"/>
      <c r="OY217" s="5"/>
      <c r="OZ217" s="6"/>
      <c r="PA217" s="4"/>
      <c r="PB217" s="4"/>
      <c r="PC217" s="4"/>
      <c r="PD217" s="4"/>
      <c r="PE217" s="4"/>
      <c r="PF217" s="5"/>
      <c r="PG217" s="6"/>
      <c r="PH217" s="4"/>
      <c r="PI217" s="4"/>
      <c r="PJ217" s="4"/>
      <c r="PK217" s="4"/>
      <c r="PL217" s="4"/>
      <c r="PM217" s="5"/>
      <c r="PN217" s="6"/>
      <c r="PO217" s="4"/>
      <c r="PP217" s="4"/>
      <c r="PQ217" s="4"/>
      <c r="PR217" s="4"/>
      <c r="PS217" s="4"/>
      <c r="PT217" s="5"/>
      <c r="PU217" s="6"/>
      <c r="PV217" s="4"/>
      <c r="PW217" s="4"/>
      <c r="PX217" s="4"/>
      <c r="PY217" s="4"/>
      <c r="PZ217" s="4"/>
      <c r="QA217" s="5"/>
      <c r="QB217" s="6"/>
      <c r="QC217" s="4"/>
      <c r="QD217" s="4"/>
      <c r="QE217" s="4"/>
      <c r="QF217" s="4"/>
      <c r="QG217" s="4"/>
      <c r="QH217" s="5"/>
      <c r="QI217" s="6"/>
      <c r="QJ217" s="4"/>
      <c r="QK217" s="4"/>
      <c r="QL217" s="4"/>
      <c r="QM217" s="4"/>
      <c r="QN217" s="4"/>
      <c r="QO217" s="5"/>
      <c r="QP217" s="6"/>
      <c r="QQ217" s="4"/>
      <c r="QR217" s="4"/>
      <c r="QS217" s="4"/>
      <c r="QT217" s="4"/>
      <c r="QU217" s="4"/>
      <c r="QV217" s="5"/>
      <c r="QW217" s="6"/>
      <c r="QX217" s="4"/>
      <c r="QY217" s="4"/>
      <c r="QZ217" s="4"/>
      <c r="RA217" s="4"/>
      <c r="RB217" s="4"/>
      <c r="RC217" s="5"/>
      <c r="RD217" s="6"/>
      <c r="RE217" s="4"/>
      <c r="RF217" s="4"/>
      <c r="RG217" s="4"/>
      <c r="RH217" s="4"/>
      <c r="RI217" s="4"/>
      <c r="RJ217" s="5"/>
      <c r="RK217" s="6"/>
      <c r="RL217" s="4"/>
      <c r="RM217" s="4"/>
      <c r="RN217" s="4"/>
      <c r="RO217" s="4"/>
      <c r="RP217" s="4"/>
      <c r="RQ217" s="5"/>
      <c r="RR217" s="6"/>
      <c r="RS217" s="4"/>
      <c r="RT217" s="4"/>
      <c r="RU217" s="4"/>
      <c r="RV217" s="4"/>
      <c r="RW217" s="4"/>
      <c r="RX217" s="5"/>
      <c r="RY217" s="6"/>
      <c r="RZ217" s="4"/>
      <c r="SA217" s="4"/>
      <c r="SB217" s="4"/>
      <c r="SC217" s="4"/>
      <c r="SD217" s="4"/>
      <c r="SE217" s="5"/>
      <c r="SF217" s="6"/>
      <c r="SG217" s="4"/>
      <c r="SH217" s="4"/>
      <c r="SI217" s="4"/>
      <c r="SJ217" s="4"/>
      <c r="SK217" s="4"/>
      <c r="SL217" s="5"/>
      <c r="SM217" s="6"/>
      <c r="SN217" s="4"/>
      <c r="SO217" s="4"/>
      <c r="SP217" s="4"/>
      <c r="SQ217" s="4"/>
      <c r="SR217" s="4"/>
      <c r="SS217" s="5"/>
      <c r="ST217" s="6"/>
      <c r="SU217" s="4"/>
      <c r="SV217" s="4"/>
      <c r="SW217" s="4"/>
      <c r="SX217" s="4"/>
      <c r="SY217" s="4"/>
      <c r="SZ217" s="5"/>
      <c r="TA217" s="6"/>
      <c r="TB217" s="4"/>
      <c r="TC217" s="4"/>
      <c r="TD217" s="4"/>
      <c r="TE217" s="4"/>
      <c r="TF217" s="4"/>
      <c r="TG217" s="5"/>
      <c r="TH217" s="6"/>
      <c r="TI217" s="4"/>
      <c r="TJ217" s="4"/>
      <c r="TK217" s="4"/>
      <c r="TL217" s="4"/>
      <c r="TM217" s="4"/>
      <c r="TN217" s="5"/>
      <c r="TO217" s="6"/>
      <c r="TP217" s="4"/>
      <c r="TQ217" s="4"/>
      <c r="TR217" s="4"/>
      <c r="TS217" s="4"/>
      <c r="TT217" s="4"/>
      <c r="TU217" s="5"/>
      <c r="TV217" s="6"/>
      <c r="TW217" s="4"/>
      <c r="TX217" s="4"/>
      <c r="TY217" s="4"/>
      <c r="TZ217" s="4"/>
      <c r="UA217" s="4"/>
      <c r="UB217" s="5"/>
      <c r="UC217" s="6"/>
      <c r="UD217" s="4"/>
      <c r="UE217" s="4"/>
      <c r="UF217" s="4"/>
      <c r="UG217" s="4"/>
      <c r="UH217" s="4"/>
      <c r="UI217" s="5"/>
      <c r="UJ217" s="6"/>
      <c r="UK217" s="4"/>
      <c r="UL217" s="4"/>
      <c r="UM217" s="4"/>
      <c r="UN217" s="4"/>
      <c r="UO217" s="4"/>
      <c r="UP217" s="5"/>
      <c r="UQ217" s="6"/>
      <c r="UR217" s="4"/>
      <c r="US217" s="4"/>
      <c r="UT217" s="4"/>
      <c r="UU217" s="4"/>
      <c r="UV217" s="4"/>
      <c r="UW217" s="5"/>
      <c r="UX217" s="6" t="s">
        <v>880</v>
      </c>
      <c r="UY217" s="4" t="s">
        <v>881</v>
      </c>
      <c r="UZ217" s="4"/>
      <c r="VA217" s="4"/>
      <c r="VB217" s="4"/>
      <c r="VC217" s="4"/>
      <c r="VD217" s="5"/>
      <c r="VE217" s="6"/>
      <c r="VF217" s="4"/>
      <c r="VG217" s="4"/>
      <c r="VH217" s="4"/>
      <c r="VI217" s="4"/>
      <c r="VJ217" s="4"/>
      <c r="VK217" s="5"/>
      <c r="VL217" s="6"/>
      <c r="VM217" s="4"/>
      <c r="VN217" s="4"/>
      <c r="VO217" s="4"/>
      <c r="VP217" s="4"/>
      <c r="VQ217" s="4"/>
      <c r="VR217" s="5"/>
      <c r="VS217" s="6"/>
      <c r="VT217" s="4"/>
      <c r="VU217" s="4"/>
      <c r="VV217" s="4"/>
      <c r="VW217" s="4"/>
      <c r="VX217" s="4"/>
      <c r="VY217" s="5"/>
      <c r="VZ217" s="6"/>
      <c r="WA217" s="4"/>
      <c r="WB217" s="4"/>
      <c r="WC217" s="4"/>
      <c r="WD217" s="4"/>
      <c r="WE217" s="4"/>
      <c r="WF217" s="5"/>
      <c r="WG217" s="6"/>
      <c r="WH217" s="4"/>
      <c r="WI217" s="4"/>
      <c r="WJ217" s="4"/>
      <c r="WK217" s="4"/>
      <c r="WL217" s="4"/>
      <c r="WM217" s="5"/>
      <c r="WN217" s="6"/>
      <c r="WO217" s="4"/>
      <c r="WP217" s="4"/>
      <c r="WQ217" s="4"/>
      <c r="WR217" s="4"/>
      <c r="WS217" s="4"/>
      <c r="WT217" s="5"/>
      <c r="WU217" s="6"/>
      <c r="WV217" s="4"/>
      <c r="WW217" s="4"/>
      <c r="WX217" s="4"/>
      <c r="WY217" s="4"/>
      <c r="WZ217" s="4"/>
      <c r="XA217" s="5"/>
      <c r="XB217" s="6"/>
      <c r="XC217" s="4"/>
      <c r="XD217" s="4"/>
      <c r="XE217" s="4"/>
      <c r="XF217" s="4"/>
      <c r="XG217" s="4"/>
      <c r="XH217" s="5"/>
      <c r="XI217" s="6"/>
      <c r="XJ217" s="4"/>
      <c r="XK217" s="4"/>
      <c r="XL217" s="4"/>
      <c r="XM217" s="4"/>
      <c r="XN217" s="4"/>
      <c r="XO217" s="5"/>
      <c r="XP217" s="6"/>
      <c r="XQ217" s="4"/>
      <c r="XR217" s="4"/>
      <c r="XS217" s="4"/>
      <c r="XT217" s="4"/>
      <c r="XU217" s="4"/>
      <c r="XV217" s="5"/>
      <c r="XW217" s="6"/>
      <c r="XX217" s="4"/>
      <c r="XY217" s="4"/>
      <c r="XZ217" s="4"/>
      <c r="YA217" s="4"/>
      <c r="YB217" s="4"/>
      <c r="YC217" s="5"/>
      <c r="YD217" s="6"/>
      <c r="YE217" s="4"/>
      <c r="YF217" s="4"/>
      <c r="YG217" s="4"/>
      <c r="YH217" s="4"/>
      <c r="YI217" s="4"/>
      <c r="YJ217" s="5"/>
      <c r="YK217" s="6"/>
      <c r="YL217" s="4"/>
      <c r="YM217" s="4"/>
      <c r="YN217" s="4"/>
      <c r="YO217" s="4"/>
      <c r="YP217" s="4"/>
      <c r="YQ217" s="5"/>
      <c r="YR217" s="6"/>
      <c r="YS217" s="4"/>
      <c r="YT217" s="4"/>
      <c r="YU217" s="4"/>
      <c r="YV217" s="4"/>
      <c r="YW217" s="4"/>
      <c r="YX217" s="5"/>
      <c r="YY217" s="6"/>
      <c r="YZ217" s="4"/>
      <c r="ZA217" s="4"/>
      <c r="ZB217" s="4"/>
      <c r="ZC217" s="4"/>
      <c r="ZD217" s="4"/>
      <c r="ZE217" s="5"/>
      <c r="ZF217" s="6"/>
      <c r="ZG217" s="4"/>
      <c r="ZH217" s="4"/>
      <c r="ZI217" s="4"/>
      <c r="ZJ217" s="4"/>
      <c r="ZK217" s="4"/>
      <c r="ZL217" s="5"/>
      <c r="ZM217" s="6"/>
      <c r="ZN217" s="4"/>
      <c r="ZO217" s="4"/>
      <c r="ZP217" s="4"/>
      <c r="ZQ217" s="4"/>
      <c r="ZR217" s="4"/>
      <c r="ZS217" s="5"/>
      <c r="ZT217" s="6"/>
      <c r="ZU217" s="4"/>
      <c r="ZV217" s="4"/>
      <c r="ZW217" s="4"/>
      <c r="ZX217" s="4"/>
      <c r="ZY217" s="4"/>
      <c r="ZZ217" s="5"/>
      <c r="AAA217" s="6"/>
      <c r="AAB217" s="4"/>
      <c r="AAC217" s="4"/>
      <c r="AAD217" s="4"/>
      <c r="AAE217" s="4"/>
      <c r="AAF217" s="4"/>
      <c r="AAG217" s="5"/>
      <c r="AAH217" s="6"/>
      <c r="AAI217" s="4"/>
      <c r="AAJ217" s="4"/>
      <c r="AAK217" s="4"/>
      <c r="AAL217" s="4"/>
      <c r="AAM217" s="4"/>
      <c r="AAN217" s="5"/>
      <c r="AAO217" s="6"/>
      <c r="AAP217" s="4"/>
      <c r="AAQ217" s="4"/>
      <c r="AAR217" s="4"/>
      <c r="AAS217" s="4"/>
      <c r="AAT217" s="4"/>
      <c r="AAU217" s="5"/>
      <c r="AAV217" s="6"/>
      <c r="AAW217" s="4"/>
      <c r="AAX217" s="4"/>
      <c r="AAY217" s="4"/>
      <c r="AAZ217" s="4"/>
      <c r="ABA217" s="4"/>
      <c r="ABB217" s="5"/>
      <c r="ABC217" s="6"/>
      <c r="ABD217" s="4"/>
      <c r="ABE217" s="4"/>
      <c r="ABF217" s="4"/>
      <c r="ABG217" s="4"/>
      <c r="ABH217" s="4"/>
      <c r="ABI217" s="5"/>
      <c r="ABJ217" s="6"/>
      <c r="ABK217" s="4"/>
      <c r="ABL217" s="4"/>
      <c r="ABM217" s="4"/>
      <c r="ABN217" s="4"/>
      <c r="ABO217" s="4"/>
      <c r="ABP217" s="5"/>
      <c r="ABQ217" s="6"/>
      <c r="ABR217" s="4"/>
      <c r="ABS217" s="4"/>
      <c r="ABT217" s="4"/>
      <c r="ABU217" s="4"/>
      <c r="ABV217" s="4"/>
      <c r="ABW217" s="5"/>
      <c r="ABX217" s="6"/>
      <c r="ABY217" s="4"/>
      <c r="ABZ217" s="4"/>
      <c r="ACA217" s="4"/>
      <c r="ACB217" s="4"/>
      <c r="ACC217" s="4"/>
      <c r="ACD217" s="5"/>
      <c r="ACE217" s="6"/>
      <c r="ACF217" s="4"/>
      <c r="ACG217" s="4"/>
      <c r="ACH217" s="4"/>
      <c r="ACI217" s="4"/>
      <c r="ACJ217" s="4"/>
      <c r="ACK217" s="5"/>
      <c r="ACL217" s="6"/>
      <c r="ACM217" s="4"/>
      <c r="ACN217" s="4"/>
      <c r="ACO217" s="4"/>
      <c r="ACP217" s="4"/>
      <c r="ACQ217" s="4"/>
      <c r="ACR217" s="5"/>
      <c r="ACS217" s="6"/>
      <c r="ACT217" s="4"/>
      <c r="ACU217" s="4"/>
      <c r="ACV217" s="4"/>
      <c r="ACW217" s="4"/>
      <c r="ACX217" s="4"/>
      <c r="ACY217" s="5"/>
    </row>
    <row r="218" spans="1:779" x14ac:dyDescent="0.25">
      <c r="B218" s="49">
        <v>99006185</v>
      </c>
      <c r="D218" t="s">
        <v>2121</v>
      </c>
      <c r="F218" s="23" t="s">
        <v>1781</v>
      </c>
      <c r="J218" s="12"/>
      <c r="K218" s="12"/>
      <c r="L218" s="12"/>
      <c r="M218">
        <v>1</v>
      </c>
      <c r="V218">
        <v>1</v>
      </c>
      <c r="X218">
        <v>1</v>
      </c>
      <c r="LL218" s="6"/>
      <c r="LM218" s="4"/>
      <c r="LN218" s="4"/>
      <c r="LO218" s="4"/>
      <c r="LP218" s="4"/>
      <c r="LQ218" s="4"/>
      <c r="LR218" s="5"/>
      <c r="LS218" s="6"/>
      <c r="LT218" s="4"/>
      <c r="LU218" s="4"/>
      <c r="LV218" s="4"/>
      <c r="LW218" s="4"/>
      <c r="LX218" s="4"/>
      <c r="LY218" s="5"/>
      <c r="LZ218" s="6" t="s">
        <v>2872</v>
      </c>
      <c r="MA218" s="7" t="s">
        <v>882</v>
      </c>
      <c r="MB218" s="4"/>
      <c r="MC218" s="4"/>
      <c r="MD218" s="20"/>
      <c r="ME218" s="4"/>
      <c r="MF218" s="4" t="s">
        <v>611</v>
      </c>
      <c r="MG218" s="5"/>
      <c r="MH218" s="6"/>
      <c r="MI218" s="4"/>
      <c r="MJ218" s="4"/>
      <c r="MK218" s="4"/>
      <c r="ML218" s="4"/>
      <c r="MM218" s="4"/>
      <c r="MN218" s="5"/>
      <c r="MO218" s="6"/>
      <c r="MP218" s="4"/>
      <c r="MQ218" s="4"/>
      <c r="MR218" s="4"/>
      <c r="MS218" s="4"/>
      <c r="MT218" s="4"/>
      <c r="MU218" s="5"/>
      <c r="MV218" s="6"/>
      <c r="MW218" s="4"/>
      <c r="MX218" s="4"/>
      <c r="MY218" s="4"/>
      <c r="MZ218" s="4"/>
      <c r="NA218" s="4"/>
      <c r="NB218" s="5"/>
      <c r="NC218" s="6"/>
      <c r="ND218" s="4"/>
      <c r="NE218" s="4"/>
      <c r="NF218" s="4"/>
      <c r="NG218" s="4"/>
      <c r="NH218" s="4"/>
      <c r="NI218" s="5"/>
      <c r="NJ218" s="6"/>
      <c r="NK218" s="4"/>
      <c r="NL218" s="4"/>
      <c r="NM218" s="4"/>
      <c r="NN218" s="4"/>
      <c r="NO218" s="4"/>
      <c r="NP218" s="5"/>
      <c r="NQ218" s="6"/>
      <c r="NR218" s="4"/>
      <c r="NS218" s="4"/>
      <c r="NT218" s="4"/>
      <c r="NU218" s="4"/>
      <c r="NV218" s="4"/>
      <c r="NW218" s="5"/>
      <c r="NX218" s="6"/>
      <c r="NY218" s="4"/>
      <c r="NZ218" s="4"/>
      <c r="OA218" s="4"/>
      <c r="OB218" s="4"/>
      <c r="OC218" s="4"/>
      <c r="OD218" s="5"/>
      <c r="OE218" s="6"/>
      <c r="OF218" s="4"/>
      <c r="OG218" s="4"/>
      <c r="OH218" s="4"/>
      <c r="OI218" s="4"/>
      <c r="OJ218" s="4"/>
      <c r="OK218" s="5"/>
      <c r="OL218" s="6"/>
      <c r="OM218" s="4"/>
      <c r="ON218" s="4"/>
      <c r="OO218" s="4"/>
      <c r="OP218" s="4"/>
      <c r="OQ218" s="4"/>
      <c r="OR218" s="5"/>
      <c r="OS218" s="6"/>
      <c r="OT218" s="4"/>
      <c r="OU218" s="4"/>
      <c r="OV218" s="4"/>
      <c r="OW218" s="4"/>
      <c r="OX218" s="4"/>
      <c r="OY218" s="5"/>
      <c r="OZ218" s="6"/>
      <c r="PA218" s="4"/>
      <c r="PB218" s="4"/>
      <c r="PC218" s="4"/>
      <c r="PD218" s="4"/>
      <c r="PE218" s="4"/>
      <c r="PF218" s="5"/>
      <c r="PG218" s="6"/>
      <c r="PH218" s="4"/>
      <c r="PI218" s="4"/>
      <c r="PJ218" s="4"/>
      <c r="PK218" s="4"/>
      <c r="PL218" s="4"/>
      <c r="PM218" s="5"/>
      <c r="PN218" s="6"/>
      <c r="PO218" s="4"/>
      <c r="PP218" s="4"/>
      <c r="PQ218" s="4"/>
      <c r="PR218" s="4"/>
      <c r="PS218" s="4"/>
      <c r="PT218" s="5"/>
      <c r="PU218" s="6"/>
      <c r="PV218" s="4"/>
      <c r="PW218" s="4"/>
      <c r="PX218" s="4"/>
      <c r="PY218" s="4"/>
      <c r="PZ218" s="4"/>
      <c r="QA218" s="5"/>
      <c r="QB218" s="6"/>
      <c r="QC218" s="4"/>
      <c r="QD218" s="4"/>
      <c r="QE218" s="4"/>
      <c r="QF218" s="4"/>
      <c r="QG218" s="4"/>
      <c r="QH218" s="5"/>
      <c r="QI218" s="6"/>
      <c r="QJ218" s="4"/>
      <c r="QK218" s="4"/>
      <c r="QL218" s="4"/>
      <c r="QM218" s="4"/>
      <c r="QN218" s="4"/>
      <c r="QO218" s="5"/>
      <c r="QP218" s="6"/>
      <c r="QQ218" s="4"/>
      <c r="QR218" s="4"/>
      <c r="QS218" s="4"/>
      <c r="QT218" s="4"/>
      <c r="QU218" s="4"/>
      <c r="QV218" s="5"/>
      <c r="QW218" s="6"/>
      <c r="QX218" s="4"/>
      <c r="QY218" s="4"/>
      <c r="QZ218" s="4"/>
      <c r="RA218" s="4"/>
      <c r="RB218" s="4"/>
      <c r="RC218" s="5"/>
      <c r="RD218" s="6"/>
      <c r="RE218" s="4"/>
      <c r="RF218" s="4"/>
      <c r="RG218" s="4"/>
      <c r="RH218" s="4"/>
      <c r="RI218" s="4"/>
      <c r="RJ218" s="5"/>
      <c r="RK218" s="6"/>
      <c r="RL218" s="4"/>
      <c r="RM218" s="4"/>
      <c r="RN218" s="4"/>
      <c r="RO218" s="4"/>
      <c r="RP218" s="4"/>
      <c r="RQ218" s="5"/>
      <c r="RR218" s="6"/>
      <c r="RS218" s="4"/>
      <c r="RT218" s="4"/>
      <c r="RU218" s="4"/>
      <c r="RV218" s="4"/>
      <c r="RW218" s="4"/>
      <c r="RX218" s="5"/>
      <c r="RY218" s="6"/>
      <c r="RZ218" s="4"/>
      <c r="SA218" s="4"/>
      <c r="SB218" s="4"/>
      <c r="SC218" s="4"/>
      <c r="SD218" s="4"/>
      <c r="SE218" s="5"/>
      <c r="SF218" s="6"/>
      <c r="SG218" s="4"/>
      <c r="SH218" s="4"/>
      <c r="SI218" s="4"/>
      <c r="SJ218" s="4"/>
      <c r="SK218" s="4"/>
      <c r="SL218" s="5"/>
      <c r="SM218" s="6"/>
      <c r="SN218" s="4"/>
      <c r="SO218" s="4"/>
      <c r="SP218" s="4"/>
      <c r="SQ218" s="4"/>
      <c r="SR218" s="4"/>
      <c r="SS218" s="5"/>
      <c r="ST218" s="6"/>
      <c r="SU218" s="4"/>
      <c r="SV218" s="4"/>
      <c r="SW218" s="4"/>
      <c r="SX218" s="4"/>
      <c r="SY218" s="4"/>
      <c r="SZ218" s="5"/>
      <c r="TA218" s="6"/>
      <c r="TB218" s="4"/>
      <c r="TC218" s="4"/>
      <c r="TD218" s="4"/>
      <c r="TE218" s="4"/>
      <c r="TF218" s="4"/>
      <c r="TG218" s="5"/>
      <c r="TH218" s="6"/>
      <c r="TI218" s="4"/>
      <c r="TJ218" s="4"/>
      <c r="TK218" s="4"/>
      <c r="TL218" s="4"/>
      <c r="TM218" s="4"/>
      <c r="TN218" s="5"/>
      <c r="TO218" s="6"/>
      <c r="TP218" s="4"/>
      <c r="TQ218" s="4"/>
      <c r="TR218" s="4"/>
      <c r="TS218" s="4"/>
      <c r="TT218" s="4"/>
      <c r="TU218" s="5"/>
      <c r="TV218" s="6"/>
      <c r="TW218" s="4"/>
      <c r="TX218" s="4"/>
      <c r="TY218" s="4"/>
      <c r="TZ218" s="4"/>
      <c r="UA218" s="4"/>
      <c r="UB218" s="5"/>
      <c r="UC218" s="6"/>
      <c r="UD218" s="4"/>
      <c r="UE218" s="4"/>
      <c r="UF218" s="4"/>
      <c r="UG218" s="4"/>
      <c r="UH218" s="4"/>
      <c r="UI218" s="5"/>
      <c r="UJ218" s="6"/>
      <c r="UK218" s="4"/>
      <c r="UL218" s="4"/>
      <c r="UM218" s="4"/>
      <c r="UN218" s="4"/>
      <c r="UO218" s="4"/>
      <c r="UP218" s="5"/>
      <c r="UQ218" s="6"/>
      <c r="UR218" s="4"/>
      <c r="US218" s="4"/>
      <c r="UT218" s="4"/>
      <c r="UU218" s="4"/>
      <c r="UV218" s="4"/>
      <c r="UW218" s="5"/>
      <c r="UX218" s="6"/>
      <c r="UY218" s="4"/>
      <c r="UZ218" s="4"/>
      <c r="VA218" s="4"/>
      <c r="VB218" s="4"/>
      <c r="VC218" s="4"/>
      <c r="VD218" s="5"/>
      <c r="VE218" s="6"/>
      <c r="VF218" s="4"/>
      <c r="VG218" s="4"/>
      <c r="VH218" s="4"/>
      <c r="VI218" s="4"/>
      <c r="VJ218" s="4"/>
      <c r="VK218" s="5"/>
      <c r="VL218" s="6"/>
      <c r="VM218" s="4"/>
      <c r="VN218" s="4"/>
      <c r="VO218" s="4"/>
      <c r="VP218" s="4"/>
      <c r="VQ218" s="4"/>
      <c r="VR218" s="5"/>
      <c r="VS218" s="6"/>
      <c r="VT218" s="4"/>
      <c r="VU218" s="4"/>
      <c r="VV218" s="4"/>
      <c r="VW218" s="4"/>
      <c r="VX218" s="4"/>
      <c r="VY218" s="5"/>
      <c r="VZ218" s="6"/>
      <c r="WA218" s="4"/>
      <c r="WB218" s="4"/>
      <c r="WC218" s="4"/>
      <c r="WD218" s="4"/>
      <c r="WE218" s="4"/>
      <c r="WF218" s="5"/>
      <c r="WG218" s="6"/>
      <c r="WH218" s="4"/>
      <c r="WI218" s="4"/>
      <c r="WJ218" s="4"/>
      <c r="WK218" s="4"/>
      <c r="WL218" s="4"/>
      <c r="WM218" s="5"/>
      <c r="WN218" s="6"/>
      <c r="WO218" s="4"/>
      <c r="WP218" s="4"/>
      <c r="WQ218" s="4"/>
      <c r="WR218" s="4"/>
      <c r="WS218" s="4"/>
      <c r="WT218" s="5"/>
      <c r="WU218" s="6"/>
      <c r="WV218" s="4"/>
      <c r="WW218" s="4"/>
      <c r="WX218" s="4"/>
      <c r="WY218" s="4"/>
      <c r="WZ218" s="4"/>
      <c r="XA218" s="5"/>
      <c r="XB218" s="6"/>
      <c r="XC218" s="4"/>
      <c r="XD218" s="4"/>
      <c r="XE218" s="4"/>
      <c r="XF218" s="4"/>
      <c r="XG218" s="4"/>
      <c r="XH218" s="5"/>
      <c r="XI218" s="6"/>
      <c r="XJ218" s="4"/>
      <c r="XK218" s="4"/>
      <c r="XL218" s="4"/>
      <c r="XM218" s="4"/>
      <c r="XN218" s="4"/>
      <c r="XO218" s="5"/>
      <c r="XP218" s="6"/>
      <c r="XQ218" s="4"/>
      <c r="XR218" s="4"/>
      <c r="XS218" s="4"/>
      <c r="XT218" s="4"/>
      <c r="XU218" s="4"/>
      <c r="XV218" s="5"/>
      <c r="XW218" s="6"/>
      <c r="XX218" s="4"/>
      <c r="XY218" s="4"/>
      <c r="XZ218" s="4"/>
      <c r="YA218" s="4"/>
      <c r="YB218" s="4"/>
      <c r="YC218" s="5"/>
      <c r="YD218" s="6"/>
      <c r="YE218" s="4"/>
      <c r="YF218" s="4"/>
      <c r="YG218" s="4"/>
      <c r="YH218" s="4"/>
      <c r="YI218" s="4"/>
      <c r="YJ218" s="5"/>
      <c r="YK218" s="6"/>
      <c r="YL218" s="4"/>
      <c r="YM218" s="4"/>
      <c r="YN218" s="4"/>
      <c r="YO218" s="4"/>
      <c r="YP218" s="4"/>
      <c r="YQ218" s="5"/>
      <c r="YR218" s="6"/>
      <c r="YS218" s="4"/>
      <c r="YT218" s="4"/>
      <c r="YU218" s="4"/>
      <c r="YV218" s="4"/>
      <c r="YW218" s="4"/>
      <c r="YX218" s="5"/>
      <c r="YY218" s="6"/>
      <c r="YZ218" s="4"/>
      <c r="ZA218" s="4"/>
      <c r="ZB218" s="4"/>
      <c r="ZC218" s="4"/>
      <c r="ZD218" s="4"/>
      <c r="ZE218" s="5"/>
      <c r="ZF218" s="6"/>
      <c r="ZG218" s="4"/>
      <c r="ZH218" s="4"/>
      <c r="ZI218" s="4"/>
      <c r="ZJ218" s="4"/>
      <c r="ZK218" s="4"/>
      <c r="ZL218" s="5"/>
      <c r="ZM218" s="6"/>
      <c r="ZN218" s="4"/>
      <c r="ZO218" s="4"/>
      <c r="ZP218" s="4"/>
      <c r="ZQ218" s="4"/>
      <c r="ZR218" s="4"/>
      <c r="ZS218" s="5"/>
      <c r="ZT218" s="6"/>
      <c r="ZU218" s="4"/>
      <c r="ZV218" s="4"/>
      <c r="ZW218" s="4"/>
      <c r="ZX218" s="4"/>
      <c r="ZY218" s="4"/>
      <c r="ZZ218" s="5"/>
      <c r="AAA218" s="6"/>
      <c r="AAB218" s="4"/>
      <c r="AAC218" s="4"/>
      <c r="AAD218" s="4"/>
      <c r="AAE218" s="4"/>
      <c r="AAF218" s="4"/>
      <c r="AAG218" s="5"/>
      <c r="AAH218" s="6"/>
      <c r="AAI218" s="4"/>
      <c r="AAJ218" s="4"/>
      <c r="AAK218" s="4"/>
      <c r="AAL218" s="4"/>
      <c r="AAM218" s="4"/>
      <c r="AAN218" s="5"/>
      <c r="AAO218" s="6"/>
      <c r="AAP218" s="4"/>
      <c r="AAQ218" s="4"/>
      <c r="AAR218" s="4"/>
      <c r="AAS218" s="4"/>
      <c r="AAT218" s="4"/>
      <c r="AAU218" s="5"/>
      <c r="AAV218" s="6"/>
      <c r="AAW218" s="4"/>
      <c r="AAX218" s="4"/>
      <c r="AAY218" s="4"/>
      <c r="AAZ218" s="4"/>
      <c r="ABA218" s="4"/>
      <c r="ABB218" s="5"/>
      <c r="ABC218" s="6"/>
      <c r="ABD218" s="4"/>
      <c r="ABE218" s="4"/>
      <c r="ABF218" s="4"/>
      <c r="ABG218" s="4"/>
      <c r="ABH218" s="4"/>
      <c r="ABI218" s="5"/>
      <c r="ABJ218" s="6"/>
      <c r="ABK218" s="4"/>
      <c r="ABL218" s="4"/>
      <c r="ABM218" s="4"/>
      <c r="ABN218" s="4"/>
      <c r="ABO218" s="4"/>
      <c r="ABP218" s="5"/>
      <c r="ABQ218" s="6"/>
      <c r="ABR218" s="4"/>
      <c r="ABS218" s="4"/>
      <c r="ABT218" s="4"/>
      <c r="ABU218" s="4"/>
      <c r="ABV218" s="4"/>
      <c r="ABW218" s="5"/>
      <c r="ABX218" s="6"/>
      <c r="ABY218" s="4"/>
      <c r="ABZ218" s="4"/>
      <c r="ACA218" s="4"/>
      <c r="ACB218" s="4"/>
      <c r="ACC218" s="4"/>
      <c r="ACD218" s="5"/>
      <c r="ACE218" s="6"/>
      <c r="ACF218" s="4"/>
      <c r="ACG218" s="4"/>
      <c r="ACH218" s="4"/>
      <c r="ACI218" s="4"/>
      <c r="ACJ218" s="4"/>
      <c r="ACK218" s="5"/>
      <c r="ACL218" s="6"/>
      <c r="ACM218" s="4"/>
      <c r="ACN218" s="4"/>
      <c r="ACO218" s="4"/>
      <c r="ACP218" s="4"/>
      <c r="ACQ218" s="4"/>
      <c r="ACR218" s="5"/>
      <c r="ACS218" s="6"/>
      <c r="ACT218" s="4"/>
      <c r="ACU218" s="4"/>
      <c r="ACV218" s="4"/>
      <c r="ACW218" s="4"/>
      <c r="ACX218" s="4"/>
      <c r="ACY218" s="5"/>
    </row>
    <row r="219" spans="1:779" x14ac:dyDescent="0.25">
      <c r="B219" s="29">
        <v>99003584</v>
      </c>
      <c r="C219">
        <v>71</v>
      </c>
      <c r="D219" t="s">
        <v>3587</v>
      </c>
      <c r="F219" s="23" t="s">
        <v>1781</v>
      </c>
      <c r="I219">
        <v>1</v>
      </c>
      <c r="J219" s="19">
        <v>36396</v>
      </c>
      <c r="K219" s="19"/>
      <c r="L219" s="19"/>
      <c r="LL219" s="6"/>
      <c r="LM219" s="4"/>
      <c r="LN219" s="4"/>
      <c r="LO219" s="4"/>
      <c r="LP219" s="4"/>
      <c r="LQ219" s="4"/>
      <c r="LR219" s="5"/>
      <c r="LS219" s="6" t="s">
        <v>3133</v>
      </c>
      <c r="LT219" s="4" t="s">
        <v>3093</v>
      </c>
      <c r="LU219" s="4"/>
      <c r="LV219" s="4"/>
      <c r="LW219" s="4"/>
      <c r="LX219" s="4"/>
      <c r="LY219" s="5"/>
      <c r="LZ219" s="6" t="s">
        <v>3132</v>
      </c>
      <c r="MA219" s="7" t="s">
        <v>3481</v>
      </c>
      <c r="MB219" s="4"/>
      <c r="MC219" s="4"/>
      <c r="MD219" s="8"/>
      <c r="ME219" s="4"/>
      <c r="MF219" s="4" t="s">
        <v>3648</v>
      </c>
      <c r="MG219" s="5"/>
      <c r="MH219" s="6"/>
      <c r="MI219" s="4"/>
      <c r="MJ219" s="4"/>
      <c r="MK219" s="4"/>
      <c r="ML219" s="4"/>
      <c r="MM219" s="4"/>
      <c r="MN219" s="5"/>
      <c r="MO219" s="6"/>
      <c r="MP219" s="4"/>
      <c r="MQ219" s="4"/>
      <c r="MR219" s="4"/>
      <c r="MS219" s="4"/>
      <c r="MT219" s="4"/>
      <c r="MU219" s="5"/>
      <c r="MV219" s="6"/>
      <c r="MW219" s="4"/>
      <c r="MX219" s="4"/>
      <c r="MY219" s="4"/>
      <c r="MZ219" s="4"/>
      <c r="NA219" s="4"/>
      <c r="NB219" s="5"/>
      <c r="NC219" s="6"/>
      <c r="ND219" s="4"/>
      <c r="NE219" s="4"/>
      <c r="NF219" s="4"/>
      <c r="NG219" s="4"/>
      <c r="NH219" s="4"/>
      <c r="NI219" s="5"/>
      <c r="NJ219" s="6"/>
      <c r="NK219" s="4"/>
      <c r="NL219" s="4"/>
      <c r="NM219" s="4"/>
      <c r="NN219" s="4"/>
      <c r="NO219" s="4"/>
      <c r="NP219" s="5"/>
      <c r="NQ219" s="6"/>
      <c r="NR219" s="4"/>
      <c r="NS219" s="4"/>
      <c r="NT219" s="4"/>
      <c r="NU219" s="4"/>
      <c r="NV219" s="4"/>
      <c r="NW219" s="5"/>
      <c r="NX219" s="6"/>
      <c r="NY219" s="4"/>
      <c r="NZ219" s="4"/>
      <c r="OA219" s="4"/>
      <c r="OB219" s="4"/>
      <c r="OC219" s="4"/>
      <c r="OD219" s="5"/>
      <c r="OE219" s="6"/>
      <c r="OF219" s="4"/>
      <c r="OG219" s="4"/>
      <c r="OH219" s="4"/>
      <c r="OI219" s="4"/>
      <c r="OJ219" s="4"/>
      <c r="OK219" s="5"/>
      <c r="OL219" s="6"/>
      <c r="OM219" s="4"/>
      <c r="ON219" s="4"/>
      <c r="OO219" s="4"/>
      <c r="OP219" s="4"/>
      <c r="OQ219" s="4"/>
      <c r="OR219" s="5"/>
      <c r="OS219" s="6"/>
      <c r="OT219" s="4"/>
      <c r="OU219" s="4"/>
      <c r="OV219" s="4"/>
      <c r="OW219" s="4"/>
      <c r="OX219" s="4"/>
      <c r="OY219" s="5"/>
      <c r="OZ219" s="6"/>
      <c r="PA219" s="4"/>
      <c r="PB219" s="4"/>
      <c r="PC219" s="4"/>
      <c r="PD219" s="4"/>
      <c r="PE219" s="4"/>
      <c r="PF219" s="5"/>
      <c r="PG219" s="6"/>
      <c r="PH219" s="4"/>
      <c r="PI219" s="4"/>
      <c r="PJ219" s="4"/>
      <c r="PK219" s="4"/>
      <c r="PL219" s="4"/>
      <c r="PM219" s="5"/>
      <c r="PN219" s="6"/>
      <c r="PO219" s="4"/>
      <c r="PP219" s="4"/>
      <c r="PQ219" s="4"/>
      <c r="PR219" s="4"/>
      <c r="PS219" s="4"/>
      <c r="PT219" s="5"/>
      <c r="PU219" s="6"/>
      <c r="PV219" s="4"/>
      <c r="PW219" s="4"/>
      <c r="PX219" s="4"/>
      <c r="PY219" s="4"/>
      <c r="PZ219" s="4"/>
      <c r="QA219" s="5"/>
      <c r="QB219" s="6"/>
      <c r="QC219" s="4"/>
      <c r="QD219" s="4"/>
      <c r="QE219" s="4"/>
      <c r="QF219" s="4"/>
      <c r="QG219" s="4"/>
      <c r="QH219" s="5"/>
      <c r="QI219" s="6"/>
      <c r="QJ219" s="4"/>
      <c r="QK219" s="4"/>
      <c r="QL219" s="4"/>
      <c r="QM219" s="4"/>
      <c r="QN219" s="4"/>
      <c r="QO219" s="5"/>
      <c r="QP219" s="6"/>
      <c r="QQ219" s="4"/>
      <c r="QR219" s="4"/>
      <c r="QS219" s="4"/>
      <c r="QT219" s="4"/>
      <c r="QU219" s="4"/>
      <c r="QV219" s="5"/>
      <c r="QW219" s="6"/>
      <c r="QX219" s="4"/>
      <c r="QY219" s="4"/>
      <c r="QZ219" s="4"/>
      <c r="RA219" s="4"/>
      <c r="RB219" s="4"/>
      <c r="RC219" s="5"/>
      <c r="RD219" s="6"/>
      <c r="RE219" s="4"/>
      <c r="RF219" s="4"/>
      <c r="RG219" s="4"/>
      <c r="RH219" s="4"/>
      <c r="RI219" s="4"/>
      <c r="RJ219" s="5"/>
      <c r="RK219" s="6"/>
      <c r="RL219" s="4"/>
      <c r="RM219" s="4"/>
      <c r="RN219" s="4"/>
      <c r="RO219" s="4"/>
      <c r="RP219" s="4"/>
      <c r="RQ219" s="5"/>
      <c r="RR219" s="6"/>
      <c r="RS219" s="4"/>
      <c r="RT219" s="4"/>
      <c r="RU219" s="4"/>
      <c r="RV219" s="4"/>
      <c r="RW219" s="4"/>
      <c r="RX219" s="5"/>
      <c r="RY219" s="6"/>
      <c r="RZ219" s="4"/>
      <c r="SA219" s="4"/>
      <c r="SB219" s="4"/>
      <c r="SC219" s="4"/>
      <c r="SD219" s="4"/>
      <c r="SE219" s="5"/>
      <c r="SF219" s="6"/>
      <c r="SG219" s="4"/>
      <c r="SH219" s="4"/>
      <c r="SI219" s="4"/>
      <c r="SJ219" s="4"/>
      <c r="SK219" s="4"/>
      <c r="SL219" s="5"/>
      <c r="SM219" s="6"/>
      <c r="SN219" s="4"/>
      <c r="SO219" s="4"/>
      <c r="SP219" s="4"/>
      <c r="SQ219" s="4"/>
      <c r="SR219" s="4"/>
      <c r="SS219" s="5"/>
      <c r="ST219" s="6"/>
      <c r="SU219" s="4"/>
      <c r="SV219" s="4"/>
      <c r="SW219" s="4"/>
      <c r="SX219" s="4"/>
      <c r="SY219" s="4"/>
      <c r="SZ219" s="5"/>
      <c r="TA219" s="6"/>
      <c r="TB219" s="4"/>
      <c r="TC219" s="4"/>
      <c r="TD219" s="4"/>
      <c r="TE219" s="4"/>
      <c r="TF219" s="4"/>
      <c r="TG219" s="5"/>
      <c r="TH219" s="6"/>
      <c r="TI219" s="4"/>
      <c r="TJ219" s="4"/>
      <c r="TK219" s="4"/>
      <c r="TL219" s="4"/>
      <c r="TM219" s="4"/>
      <c r="TN219" s="5"/>
      <c r="TO219" s="6"/>
      <c r="TP219" s="4"/>
      <c r="TQ219" s="4"/>
      <c r="TR219" s="4"/>
      <c r="TS219" s="4"/>
      <c r="TT219" s="4"/>
      <c r="TU219" s="5"/>
      <c r="TV219" s="6"/>
      <c r="TW219" s="4"/>
      <c r="TX219" s="4"/>
      <c r="TY219" s="4"/>
      <c r="TZ219" s="4"/>
      <c r="UA219" s="4"/>
      <c r="UB219" s="5"/>
      <c r="UC219" s="6"/>
      <c r="UD219" s="4"/>
      <c r="UE219" s="4"/>
      <c r="UF219" s="4"/>
      <c r="UG219" s="4"/>
      <c r="UH219" s="4"/>
      <c r="UI219" s="5"/>
      <c r="UJ219" s="6"/>
      <c r="UK219" s="4"/>
      <c r="UL219" s="4"/>
      <c r="UM219" s="4"/>
      <c r="UN219" s="4"/>
      <c r="UO219" s="4"/>
      <c r="UP219" s="5"/>
      <c r="UQ219" s="6"/>
      <c r="UR219" s="4"/>
      <c r="US219" s="4"/>
      <c r="UT219" s="4"/>
      <c r="UU219" s="4"/>
      <c r="UV219" s="4"/>
      <c r="UW219" s="5"/>
      <c r="UX219" s="6"/>
      <c r="UY219" s="4"/>
      <c r="UZ219" s="4"/>
      <c r="VA219" s="4"/>
      <c r="VB219" s="4"/>
      <c r="VC219" s="4"/>
      <c r="VD219" s="5"/>
      <c r="VE219" s="6"/>
      <c r="VF219" s="4"/>
      <c r="VG219" s="4"/>
      <c r="VH219" s="4"/>
      <c r="VI219" s="4"/>
      <c r="VJ219" s="4"/>
      <c r="VK219" s="5"/>
      <c r="VL219" s="6"/>
      <c r="VM219" s="4"/>
      <c r="VN219" s="4"/>
      <c r="VO219" s="4"/>
      <c r="VP219" s="4"/>
      <c r="VQ219" s="4"/>
      <c r="VR219" s="5"/>
      <c r="VS219" s="6"/>
      <c r="VT219" s="4"/>
      <c r="VU219" s="4"/>
      <c r="VV219" s="4"/>
      <c r="VW219" s="4"/>
      <c r="VX219" s="4"/>
      <c r="VY219" s="5"/>
      <c r="VZ219" s="6"/>
      <c r="WA219" s="4"/>
      <c r="WB219" s="4"/>
      <c r="WC219" s="4"/>
      <c r="WD219" s="4"/>
      <c r="WE219" s="4"/>
      <c r="WF219" s="5"/>
      <c r="WG219" s="6"/>
      <c r="WH219" s="4"/>
      <c r="WI219" s="4"/>
      <c r="WJ219" s="4"/>
      <c r="WK219" s="4"/>
      <c r="WL219" s="4"/>
      <c r="WM219" s="5"/>
      <c r="WN219" s="6"/>
      <c r="WO219" s="4"/>
      <c r="WP219" s="4"/>
      <c r="WQ219" s="4"/>
      <c r="WR219" s="4"/>
      <c r="WS219" s="4"/>
      <c r="WT219" s="5"/>
      <c r="WU219" s="6"/>
      <c r="WV219" s="4"/>
      <c r="WW219" s="4"/>
      <c r="WX219" s="4"/>
      <c r="WY219" s="4"/>
      <c r="WZ219" s="4"/>
      <c r="XA219" s="5"/>
      <c r="XB219" s="6"/>
      <c r="XC219" s="4"/>
      <c r="XD219" s="4"/>
      <c r="XE219" s="4"/>
      <c r="XF219" s="4"/>
      <c r="XG219" s="4"/>
      <c r="XH219" s="5"/>
      <c r="XI219" s="6"/>
      <c r="XJ219" s="4"/>
      <c r="XK219" s="4"/>
      <c r="XL219" s="4"/>
      <c r="XM219" s="4"/>
      <c r="XN219" s="4"/>
      <c r="XO219" s="5"/>
      <c r="XP219" s="6"/>
      <c r="XQ219" s="4"/>
      <c r="XR219" s="4"/>
      <c r="XS219" s="4"/>
      <c r="XT219" s="4"/>
      <c r="XU219" s="4"/>
      <c r="XV219" s="5"/>
      <c r="XW219" s="6"/>
      <c r="XX219" s="4"/>
      <c r="XY219" s="4"/>
      <c r="XZ219" s="4"/>
      <c r="YA219" s="4"/>
      <c r="YB219" s="4"/>
      <c r="YC219" s="5"/>
      <c r="YD219" s="6"/>
      <c r="YE219" s="4"/>
      <c r="YF219" s="4"/>
      <c r="YG219" s="4"/>
      <c r="YH219" s="4"/>
      <c r="YI219" s="4"/>
      <c r="YJ219" s="5"/>
      <c r="YK219" s="6"/>
      <c r="YL219" s="4"/>
      <c r="YM219" s="4"/>
      <c r="YN219" s="4"/>
      <c r="YO219" s="4"/>
      <c r="YP219" s="4"/>
      <c r="YQ219" s="5"/>
      <c r="YR219" s="6"/>
      <c r="YS219" s="4"/>
      <c r="YT219" s="4"/>
      <c r="YU219" s="4"/>
      <c r="YV219" s="4"/>
      <c r="YW219" s="4"/>
      <c r="YX219" s="5"/>
      <c r="YY219" s="6"/>
      <c r="YZ219" s="4"/>
      <c r="ZA219" s="4"/>
      <c r="ZB219" s="4"/>
      <c r="ZC219" s="4"/>
      <c r="ZD219" s="4"/>
      <c r="ZE219" s="5"/>
      <c r="ZF219" s="6"/>
      <c r="ZG219" s="4"/>
      <c r="ZH219" s="4"/>
      <c r="ZI219" s="4"/>
      <c r="ZJ219" s="4"/>
      <c r="ZK219" s="4"/>
      <c r="ZL219" s="5"/>
      <c r="ZM219" s="6"/>
      <c r="ZN219" s="4"/>
      <c r="ZO219" s="4"/>
      <c r="ZP219" s="4"/>
      <c r="ZQ219" s="4"/>
      <c r="ZR219" s="4"/>
      <c r="ZS219" s="5"/>
      <c r="ZT219" s="6"/>
      <c r="ZU219" s="4"/>
      <c r="ZV219" s="4"/>
      <c r="ZW219" s="4"/>
      <c r="ZX219" s="4"/>
      <c r="ZY219" s="4"/>
      <c r="ZZ219" s="5"/>
      <c r="AAA219" s="6"/>
      <c r="AAB219" s="4"/>
      <c r="AAC219" s="4"/>
      <c r="AAD219" s="4"/>
      <c r="AAE219" s="4"/>
      <c r="AAF219" s="4"/>
      <c r="AAG219" s="5"/>
      <c r="AAH219" s="6"/>
      <c r="AAI219" s="4"/>
      <c r="AAJ219" s="4"/>
      <c r="AAK219" s="4"/>
      <c r="AAL219" s="4"/>
      <c r="AAM219" s="4"/>
      <c r="AAN219" s="5"/>
      <c r="AAO219" s="6"/>
      <c r="AAP219" s="4"/>
      <c r="AAQ219" s="4"/>
      <c r="AAR219" s="4"/>
      <c r="AAS219" s="4"/>
      <c r="AAT219" s="4"/>
      <c r="AAU219" s="5"/>
      <c r="AAV219" s="6"/>
      <c r="AAW219" s="4"/>
      <c r="AAX219" s="4"/>
      <c r="AAY219" s="4"/>
      <c r="AAZ219" s="4"/>
      <c r="ABA219" s="4"/>
      <c r="ABB219" s="5"/>
      <c r="ABC219" s="6"/>
      <c r="ABD219" s="4"/>
      <c r="ABE219" s="4"/>
      <c r="ABF219" s="4"/>
      <c r="ABG219" s="4"/>
      <c r="ABH219" s="4"/>
      <c r="ABI219" s="5"/>
      <c r="ABJ219" s="6"/>
      <c r="ABK219" s="4"/>
      <c r="ABL219" s="4"/>
      <c r="ABM219" s="4"/>
      <c r="ABN219" s="4"/>
      <c r="ABO219" s="4"/>
      <c r="ABP219" s="5"/>
      <c r="ABQ219" s="6"/>
      <c r="ABR219" s="4"/>
      <c r="ABS219" s="4"/>
      <c r="ABT219" s="4"/>
      <c r="ABU219" s="4"/>
      <c r="ABV219" s="4"/>
      <c r="ABW219" s="5"/>
      <c r="ABX219" s="6"/>
      <c r="ABY219" s="4"/>
      <c r="ABZ219" s="4"/>
      <c r="ACA219" s="4"/>
      <c r="ACB219" s="4"/>
      <c r="ACC219" s="4"/>
      <c r="ACD219" s="5"/>
      <c r="ACE219" s="6"/>
      <c r="ACF219" s="4"/>
      <c r="ACG219" s="4"/>
      <c r="ACH219" s="4"/>
      <c r="ACI219" s="4"/>
      <c r="ACJ219" s="4"/>
      <c r="ACK219" s="5"/>
      <c r="ACL219" s="6"/>
      <c r="ACM219" s="4"/>
      <c r="ACN219" s="4"/>
      <c r="ACO219" s="4"/>
      <c r="ACP219" s="4"/>
      <c r="ACQ219" s="4"/>
      <c r="ACR219" s="5"/>
      <c r="ACS219" s="6"/>
      <c r="ACT219" s="4"/>
      <c r="ACU219" s="4"/>
      <c r="ACV219" s="4"/>
      <c r="ACW219" s="4"/>
      <c r="ACX219" s="4"/>
      <c r="ACY219" s="5"/>
    </row>
    <row r="220" spans="1:779" x14ac:dyDescent="0.25">
      <c r="B220" s="29">
        <v>99004052</v>
      </c>
      <c r="C220">
        <v>70</v>
      </c>
      <c r="D220" t="s">
        <v>3729</v>
      </c>
      <c r="F220" s="23" t="s">
        <v>1781</v>
      </c>
      <c r="I220">
        <v>1</v>
      </c>
      <c r="J220" s="19">
        <v>35636</v>
      </c>
      <c r="K220" s="19"/>
      <c r="L220" s="19"/>
      <c r="M220">
        <v>1</v>
      </c>
      <c r="N220" s="17">
        <v>35636</v>
      </c>
      <c r="LL220" s="6"/>
      <c r="LM220" s="4"/>
      <c r="LN220" s="4"/>
      <c r="LO220" s="4"/>
      <c r="LP220" s="4"/>
      <c r="LQ220" s="4"/>
      <c r="LR220" s="5"/>
      <c r="LS220" s="6"/>
      <c r="LT220" s="4"/>
      <c r="LU220" s="4"/>
      <c r="LV220" s="4"/>
      <c r="LW220" s="4"/>
      <c r="LX220" s="4"/>
      <c r="LY220" s="5"/>
      <c r="LZ220" s="6" t="s">
        <v>2928</v>
      </c>
      <c r="MA220" s="7" t="s">
        <v>2799</v>
      </c>
      <c r="MB220" s="4"/>
      <c r="MC220" s="4"/>
      <c r="MD220" s="8"/>
      <c r="ME220" s="4"/>
      <c r="MF220" s="4" t="s">
        <v>3647</v>
      </c>
      <c r="MG220" s="5"/>
      <c r="MH220" s="6"/>
      <c r="MI220" s="4"/>
      <c r="MJ220" s="4"/>
      <c r="MK220" s="4"/>
      <c r="ML220" s="4"/>
      <c r="MM220" s="4"/>
      <c r="MN220" s="5"/>
      <c r="MO220" s="6"/>
      <c r="MP220" s="4"/>
      <c r="MQ220" s="4"/>
      <c r="MR220" s="4"/>
      <c r="MS220" s="4"/>
      <c r="MT220" s="4"/>
      <c r="MU220" s="5"/>
      <c r="MV220" s="6"/>
      <c r="MW220" s="4"/>
      <c r="MX220" s="4"/>
      <c r="MY220" s="4"/>
      <c r="MZ220" s="4"/>
      <c r="NA220" s="4"/>
      <c r="NB220" s="5"/>
      <c r="NC220" s="6"/>
      <c r="ND220" s="4"/>
      <c r="NE220" s="4"/>
      <c r="NF220" s="4"/>
      <c r="NG220" s="4"/>
      <c r="NH220" s="4"/>
      <c r="NI220" s="5"/>
      <c r="NJ220" s="6"/>
      <c r="NK220" s="4"/>
      <c r="NL220" s="4"/>
      <c r="NM220" s="4"/>
      <c r="NN220" s="4"/>
      <c r="NO220" s="4"/>
      <c r="NP220" s="5"/>
      <c r="NQ220" s="6"/>
      <c r="NR220" s="4"/>
      <c r="NS220" s="4"/>
      <c r="NT220" s="4"/>
      <c r="NU220" s="4"/>
      <c r="NV220" s="4"/>
      <c r="NW220" s="5"/>
      <c r="NX220" s="6"/>
      <c r="NY220" s="4"/>
      <c r="NZ220" s="4"/>
      <c r="OA220" s="4"/>
      <c r="OB220" s="4"/>
      <c r="OC220" s="4"/>
      <c r="OD220" s="5"/>
      <c r="OE220" s="6"/>
      <c r="OF220" s="4"/>
      <c r="OG220" s="4"/>
      <c r="OH220" s="4"/>
      <c r="OI220" s="4"/>
      <c r="OJ220" s="4"/>
      <c r="OK220" s="5"/>
      <c r="OL220" s="6"/>
      <c r="OM220" s="4"/>
      <c r="ON220" s="4"/>
      <c r="OO220" s="4"/>
      <c r="OP220" s="4"/>
      <c r="OQ220" s="4"/>
      <c r="OR220" s="5"/>
      <c r="OS220" s="6"/>
      <c r="OT220" s="4"/>
      <c r="OU220" s="4"/>
      <c r="OV220" s="4"/>
      <c r="OW220" s="4"/>
      <c r="OX220" s="4"/>
      <c r="OY220" s="5"/>
      <c r="OZ220" s="6"/>
      <c r="PA220" s="4"/>
      <c r="PB220" s="4"/>
      <c r="PC220" s="4"/>
      <c r="PD220" s="4"/>
      <c r="PE220" s="4"/>
      <c r="PF220" s="5"/>
      <c r="PG220" s="6"/>
      <c r="PH220" s="4"/>
      <c r="PI220" s="4"/>
      <c r="PJ220" s="4"/>
      <c r="PK220" s="4"/>
      <c r="PL220" s="4"/>
      <c r="PM220" s="5"/>
      <c r="PN220" s="6"/>
      <c r="PO220" s="4"/>
      <c r="PP220" s="4"/>
      <c r="PQ220" s="4"/>
      <c r="PR220" s="4"/>
      <c r="PS220" s="4"/>
      <c r="PT220" s="5"/>
      <c r="PU220" s="6"/>
      <c r="PV220" s="4"/>
      <c r="PW220" s="4"/>
      <c r="PX220" s="4"/>
      <c r="PY220" s="4"/>
      <c r="PZ220" s="4"/>
      <c r="QA220" s="5"/>
      <c r="QB220" s="6"/>
      <c r="QC220" s="4"/>
      <c r="QD220" s="4"/>
      <c r="QE220" s="4"/>
      <c r="QF220" s="4"/>
      <c r="QG220" s="4"/>
      <c r="QH220" s="5"/>
      <c r="QI220" s="6"/>
      <c r="QJ220" s="4"/>
      <c r="QK220" s="4"/>
      <c r="QL220" s="4"/>
      <c r="QM220" s="4"/>
      <c r="QN220" s="4"/>
      <c r="QO220" s="5"/>
      <c r="QP220" s="6"/>
      <c r="QQ220" s="4"/>
      <c r="QR220" s="4"/>
      <c r="QS220" s="4"/>
      <c r="QT220" s="4"/>
      <c r="QU220" s="4"/>
      <c r="QV220" s="5"/>
      <c r="QW220" s="6"/>
      <c r="QX220" s="4"/>
      <c r="QY220" s="4"/>
      <c r="QZ220" s="4"/>
      <c r="RA220" s="4"/>
      <c r="RB220" s="4"/>
      <c r="RC220" s="5"/>
      <c r="RD220" s="6"/>
      <c r="RE220" s="4"/>
      <c r="RF220" s="4"/>
      <c r="RG220" s="4"/>
      <c r="RH220" s="4"/>
      <c r="RI220" s="4"/>
      <c r="RJ220" s="5"/>
      <c r="RK220" s="6"/>
      <c r="RL220" s="4"/>
      <c r="RM220" s="4"/>
      <c r="RN220" s="4"/>
      <c r="RO220" s="4"/>
      <c r="RP220" s="4"/>
      <c r="RQ220" s="5"/>
      <c r="RR220" s="6"/>
      <c r="RS220" s="4"/>
      <c r="RT220" s="4"/>
      <c r="RU220" s="4"/>
      <c r="RV220" s="4"/>
      <c r="RW220" s="4"/>
      <c r="RX220" s="5"/>
      <c r="RY220" s="6"/>
      <c r="RZ220" s="4"/>
      <c r="SA220" s="4"/>
      <c r="SB220" s="4"/>
      <c r="SC220" s="4"/>
      <c r="SD220" s="4"/>
      <c r="SE220" s="5"/>
      <c r="SF220" s="6"/>
      <c r="SG220" s="4"/>
      <c r="SH220" s="4"/>
      <c r="SI220" s="4"/>
      <c r="SJ220" s="4"/>
      <c r="SK220" s="4"/>
      <c r="SL220" s="5"/>
      <c r="SM220" s="6"/>
      <c r="SN220" s="4"/>
      <c r="SO220" s="4"/>
      <c r="SP220" s="4"/>
      <c r="SQ220" s="4"/>
      <c r="SR220" s="4"/>
      <c r="SS220" s="5"/>
      <c r="ST220" s="6"/>
      <c r="SU220" s="4"/>
      <c r="SV220" s="4"/>
      <c r="SW220" s="4"/>
      <c r="SX220" s="4"/>
      <c r="SY220" s="4"/>
      <c r="SZ220" s="5"/>
      <c r="TA220" s="6"/>
      <c r="TB220" s="4"/>
      <c r="TC220" s="4"/>
      <c r="TD220" s="4"/>
      <c r="TE220" s="4"/>
      <c r="TF220" s="4"/>
      <c r="TG220" s="5"/>
      <c r="TH220" s="6"/>
      <c r="TI220" s="4"/>
      <c r="TJ220" s="4"/>
      <c r="TK220" s="4"/>
      <c r="TL220" s="4"/>
      <c r="TM220" s="4"/>
      <c r="TN220" s="5"/>
      <c r="TO220" s="6"/>
      <c r="TP220" s="4"/>
      <c r="TQ220" s="4"/>
      <c r="TR220" s="4"/>
      <c r="TS220" s="4"/>
      <c r="TT220" s="4"/>
      <c r="TU220" s="5"/>
      <c r="TV220" s="6"/>
      <c r="TW220" s="4"/>
      <c r="TX220" s="4"/>
      <c r="TY220" s="4"/>
      <c r="TZ220" s="4"/>
      <c r="UA220" s="4"/>
      <c r="UB220" s="5"/>
      <c r="UC220" s="6"/>
      <c r="UD220" s="4"/>
      <c r="UE220" s="4"/>
      <c r="UF220" s="4"/>
      <c r="UG220" s="4"/>
      <c r="UH220" s="4"/>
      <c r="UI220" s="5"/>
      <c r="UJ220" s="6"/>
      <c r="UK220" s="4"/>
      <c r="UL220" s="4"/>
      <c r="UM220" s="4"/>
      <c r="UN220" s="4"/>
      <c r="UO220" s="4"/>
      <c r="UP220" s="5"/>
      <c r="UQ220" s="6"/>
      <c r="UR220" s="4"/>
      <c r="US220" s="4"/>
      <c r="UT220" s="4"/>
      <c r="UU220" s="4"/>
      <c r="UV220" s="4"/>
      <c r="UW220" s="5"/>
      <c r="UX220" s="6"/>
      <c r="UY220" s="4"/>
      <c r="UZ220" s="4"/>
      <c r="VA220" s="4"/>
      <c r="VB220" s="4"/>
      <c r="VC220" s="4"/>
      <c r="VD220" s="5"/>
      <c r="VE220" s="6"/>
      <c r="VF220" s="4"/>
      <c r="VG220" s="4"/>
      <c r="VH220" s="4"/>
      <c r="VI220" s="4"/>
      <c r="VJ220" s="4"/>
      <c r="VK220" s="5"/>
      <c r="VL220" s="6"/>
      <c r="VM220" s="4"/>
      <c r="VN220" s="4"/>
      <c r="VO220" s="4"/>
      <c r="VP220" s="4"/>
      <c r="VQ220" s="4"/>
      <c r="VR220" s="5"/>
      <c r="VS220" s="6"/>
      <c r="VT220" s="4"/>
      <c r="VU220" s="4"/>
      <c r="VV220" s="4"/>
      <c r="VW220" s="4"/>
      <c r="VX220" s="4"/>
      <c r="VY220" s="5"/>
      <c r="VZ220" s="6"/>
      <c r="WA220" s="4"/>
      <c r="WB220" s="4"/>
      <c r="WC220" s="4"/>
      <c r="WD220" s="4"/>
      <c r="WE220" s="4"/>
      <c r="WF220" s="5"/>
      <c r="WG220" s="6"/>
      <c r="WH220" s="4"/>
      <c r="WI220" s="4"/>
      <c r="WJ220" s="4"/>
      <c r="WK220" s="4"/>
      <c r="WL220" s="4"/>
      <c r="WM220" s="5"/>
      <c r="WN220" s="6"/>
      <c r="WO220" s="4"/>
      <c r="WP220" s="4"/>
      <c r="WQ220" s="4"/>
      <c r="WR220" s="4"/>
      <c r="WS220" s="4"/>
      <c r="WT220" s="5"/>
      <c r="WU220" s="6"/>
      <c r="WV220" s="4"/>
      <c r="WW220" s="4"/>
      <c r="WX220" s="4"/>
      <c r="WY220" s="4"/>
      <c r="WZ220" s="4"/>
      <c r="XA220" s="5"/>
      <c r="XB220" s="6"/>
      <c r="XC220" s="4"/>
      <c r="XD220" s="4"/>
      <c r="XE220" s="4"/>
      <c r="XF220" s="4"/>
      <c r="XG220" s="4"/>
      <c r="XH220" s="5"/>
      <c r="XI220" s="6"/>
      <c r="XJ220" s="4"/>
      <c r="XK220" s="4"/>
      <c r="XL220" s="4"/>
      <c r="XM220" s="4"/>
      <c r="XN220" s="4"/>
      <c r="XO220" s="5"/>
      <c r="XP220" s="6"/>
      <c r="XQ220" s="4"/>
      <c r="XR220" s="4"/>
      <c r="XS220" s="4"/>
      <c r="XT220" s="4"/>
      <c r="XU220" s="4"/>
      <c r="XV220" s="5"/>
      <c r="XW220" s="6"/>
      <c r="XX220" s="4"/>
      <c r="XY220" s="4"/>
      <c r="XZ220" s="4"/>
      <c r="YA220" s="4"/>
      <c r="YB220" s="4"/>
      <c r="YC220" s="5"/>
      <c r="YD220" s="6"/>
      <c r="YE220" s="4"/>
      <c r="YF220" s="4"/>
      <c r="YG220" s="4"/>
      <c r="YH220" s="4"/>
      <c r="YI220" s="4"/>
      <c r="YJ220" s="5"/>
      <c r="YK220" s="6"/>
      <c r="YL220" s="4"/>
      <c r="YM220" s="4"/>
      <c r="YN220" s="4"/>
      <c r="YO220" s="4"/>
      <c r="YP220" s="4"/>
      <c r="YQ220" s="5"/>
      <c r="YR220" s="6"/>
      <c r="YS220" s="4"/>
      <c r="YT220" s="4"/>
      <c r="YU220" s="4"/>
      <c r="YV220" s="4"/>
      <c r="YW220" s="4"/>
      <c r="YX220" s="5"/>
      <c r="YY220" s="6"/>
      <c r="YZ220" s="4"/>
      <c r="ZA220" s="4"/>
      <c r="ZB220" s="4"/>
      <c r="ZC220" s="4"/>
      <c r="ZD220" s="4"/>
      <c r="ZE220" s="5"/>
      <c r="ZF220" s="6"/>
      <c r="ZG220" s="4"/>
      <c r="ZH220" s="4"/>
      <c r="ZI220" s="4"/>
      <c r="ZJ220" s="4"/>
      <c r="ZK220" s="4"/>
      <c r="ZL220" s="5"/>
      <c r="ZM220" s="6"/>
      <c r="ZN220" s="4"/>
      <c r="ZO220" s="4"/>
      <c r="ZP220" s="4"/>
      <c r="ZQ220" s="4"/>
      <c r="ZR220" s="4"/>
      <c r="ZS220" s="5"/>
      <c r="ZT220" s="6"/>
      <c r="ZU220" s="4"/>
      <c r="ZV220" s="4"/>
      <c r="ZW220" s="4"/>
      <c r="ZX220" s="4"/>
      <c r="ZY220" s="4"/>
      <c r="ZZ220" s="5"/>
      <c r="AAA220" s="6"/>
      <c r="AAB220" s="4"/>
      <c r="AAC220" s="4"/>
      <c r="AAD220" s="4"/>
      <c r="AAE220" s="4"/>
      <c r="AAF220" s="4"/>
      <c r="AAG220" s="5"/>
      <c r="AAH220" s="6"/>
      <c r="AAI220" s="4"/>
      <c r="AAJ220" s="4"/>
      <c r="AAK220" s="4"/>
      <c r="AAL220" s="4"/>
      <c r="AAM220" s="4"/>
      <c r="AAN220" s="5"/>
      <c r="AAO220" s="6"/>
      <c r="AAP220" s="4"/>
      <c r="AAQ220" s="4"/>
      <c r="AAR220" s="4"/>
      <c r="AAS220" s="4"/>
      <c r="AAT220" s="4"/>
      <c r="AAU220" s="5"/>
      <c r="AAV220" s="6"/>
      <c r="AAW220" s="4"/>
      <c r="AAX220" s="4"/>
      <c r="AAY220" s="4"/>
      <c r="AAZ220" s="4"/>
      <c r="ABA220" s="4"/>
      <c r="ABB220" s="5"/>
      <c r="ABC220" s="6"/>
      <c r="ABD220" s="4"/>
      <c r="ABE220" s="4"/>
      <c r="ABF220" s="4"/>
      <c r="ABG220" s="4"/>
      <c r="ABH220" s="4"/>
      <c r="ABI220" s="5"/>
      <c r="ABJ220" s="6"/>
      <c r="ABK220" s="4"/>
      <c r="ABL220" s="4"/>
      <c r="ABM220" s="4"/>
      <c r="ABN220" s="4"/>
      <c r="ABO220" s="4"/>
      <c r="ABP220" s="5"/>
      <c r="ABQ220" s="6"/>
      <c r="ABR220" s="4"/>
      <c r="ABS220" s="4"/>
      <c r="ABT220" s="4"/>
      <c r="ABU220" s="4"/>
      <c r="ABV220" s="4"/>
      <c r="ABW220" s="5"/>
      <c r="ABX220" s="6"/>
      <c r="ABY220" s="4"/>
      <c r="ABZ220" s="4"/>
      <c r="ACA220" s="4"/>
      <c r="ACB220" s="4"/>
      <c r="ACC220" s="4"/>
      <c r="ACD220" s="5"/>
      <c r="ACE220" s="6"/>
      <c r="ACF220" s="4"/>
      <c r="ACG220" s="4"/>
      <c r="ACH220" s="4"/>
      <c r="ACI220" s="4"/>
      <c r="ACJ220" s="4"/>
      <c r="ACK220" s="5"/>
      <c r="ACL220" s="6"/>
      <c r="ACM220" s="4"/>
      <c r="ACN220" s="4"/>
      <c r="ACO220" s="4"/>
      <c r="ACP220" s="4"/>
      <c r="ACQ220" s="4"/>
      <c r="ACR220" s="5"/>
      <c r="ACS220" s="6"/>
      <c r="ACT220" s="4"/>
      <c r="ACU220" s="4"/>
      <c r="ACV220" s="4"/>
      <c r="ACW220" s="4"/>
      <c r="ACX220" s="4"/>
      <c r="ACY220" s="5"/>
    </row>
    <row r="221" spans="1:779" x14ac:dyDescent="0.25">
      <c r="A221" t="s">
        <v>4246</v>
      </c>
      <c r="B221" s="29">
        <v>99004067</v>
      </c>
      <c r="C221">
        <v>68</v>
      </c>
      <c r="D221" t="s">
        <v>3587</v>
      </c>
      <c r="F221" s="23" t="s">
        <v>1781</v>
      </c>
      <c r="I221">
        <v>1</v>
      </c>
      <c r="J221" s="19">
        <v>36218</v>
      </c>
      <c r="K221" s="19"/>
      <c r="L221" s="19"/>
      <c r="BP221">
        <v>1</v>
      </c>
      <c r="BU221">
        <v>1</v>
      </c>
      <c r="DY221">
        <v>1</v>
      </c>
      <c r="LL221" s="6"/>
      <c r="LM221" s="4"/>
      <c r="LN221" s="4"/>
      <c r="LO221" s="4"/>
      <c r="LP221" s="4"/>
      <c r="LQ221" s="4"/>
      <c r="LR221" s="5"/>
      <c r="LS221" s="6"/>
      <c r="LT221" s="4"/>
      <c r="LU221" s="4"/>
      <c r="LV221" s="4"/>
      <c r="LW221" s="4"/>
      <c r="LX221" s="4"/>
      <c r="LY221" s="5"/>
      <c r="LZ221" s="6" t="s">
        <v>3338</v>
      </c>
      <c r="MA221" s="7" t="s">
        <v>3084</v>
      </c>
      <c r="MB221" s="4"/>
      <c r="MC221" s="4"/>
      <c r="MD221" s="8"/>
      <c r="ME221" s="4"/>
      <c r="MF221" s="4"/>
      <c r="MG221" s="5"/>
      <c r="MH221" s="6"/>
      <c r="MI221" s="4"/>
      <c r="MJ221" s="4"/>
      <c r="MK221" s="4"/>
      <c r="ML221" s="4"/>
      <c r="MM221" s="4"/>
      <c r="MN221" s="5"/>
      <c r="MO221" s="6"/>
      <c r="MP221" s="4"/>
      <c r="MQ221" s="4"/>
      <c r="MR221" s="4"/>
      <c r="MS221" s="4"/>
      <c r="MT221" s="4"/>
      <c r="MU221" s="5"/>
      <c r="MV221" s="6"/>
      <c r="MW221" s="4"/>
      <c r="MX221" s="4"/>
      <c r="MY221" s="4"/>
      <c r="MZ221" s="4"/>
      <c r="NA221" s="4"/>
      <c r="NB221" s="5"/>
      <c r="NC221" s="6" t="s">
        <v>3488</v>
      </c>
      <c r="ND221" s="4" t="s">
        <v>3337</v>
      </c>
      <c r="NE221" s="4"/>
      <c r="NF221" s="4"/>
      <c r="NG221" s="4"/>
      <c r="NH221" s="4"/>
      <c r="NI221" s="5"/>
      <c r="NJ221" s="6"/>
      <c r="NK221" s="4"/>
      <c r="NL221" s="4"/>
      <c r="NM221" s="4"/>
      <c r="NN221" s="4"/>
      <c r="NO221" s="4"/>
      <c r="NP221" s="5"/>
      <c r="NQ221" s="6"/>
      <c r="NR221" s="4"/>
      <c r="NS221" s="4"/>
      <c r="NT221" s="4"/>
      <c r="NU221" s="4"/>
      <c r="NV221" s="4"/>
      <c r="NW221" s="5"/>
      <c r="NX221" s="6"/>
      <c r="NY221" s="4"/>
      <c r="NZ221" s="4"/>
      <c r="OA221" s="4"/>
      <c r="OB221" s="4"/>
      <c r="OC221" s="4"/>
      <c r="OD221" s="5"/>
      <c r="OE221" s="6"/>
      <c r="OF221" s="4"/>
      <c r="OG221" s="4"/>
      <c r="OH221" s="4"/>
      <c r="OI221" s="4"/>
      <c r="OJ221" s="4"/>
      <c r="OK221" s="5"/>
      <c r="OL221" s="6"/>
      <c r="OM221" s="4"/>
      <c r="ON221" s="4"/>
      <c r="OO221" s="4"/>
      <c r="OP221" s="4"/>
      <c r="OQ221" s="4"/>
      <c r="OR221" s="5"/>
      <c r="OS221" s="6"/>
      <c r="OT221" s="4"/>
      <c r="OU221" s="4"/>
      <c r="OV221" s="4"/>
      <c r="OW221" s="4"/>
      <c r="OX221" s="4"/>
      <c r="OY221" s="5"/>
      <c r="OZ221" s="6"/>
      <c r="PA221" s="4"/>
      <c r="PB221" s="4"/>
      <c r="PC221" s="4"/>
      <c r="PD221" s="4"/>
      <c r="PE221" s="4"/>
      <c r="PF221" s="5"/>
      <c r="PG221" s="6"/>
      <c r="PH221" s="4"/>
      <c r="PI221" s="4"/>
      <c r="PJ221" s="4"/>
      <c r="PK221" s="4"/>
      <c r="PL221" s="4"/>
      <c r="PM221" s="5"/>
      <c r="PN221" s="6"/>
      <c r="PO221" s="4"/>
      <c r="PP221" s="4"/>
      <c r="PQ221" s="4"/>
      <c r="PR221" s="4"/>
      <c r="PS221" s="4"/>
      <c r="PT221" s="5"/>
      <c r="PU221" s="6"/>
      <c r="PV221" s="4"/>
      <c r="PW221" s="4"/>
      <c r="PX221" s="4"/>
      <c r="PY221" s="4"/>
      <c r="PZ221" s="4"/>
      <c r="QA221" s="5"/>
      <c r="QB221" s="6"/>
      <c r="QC221" s="4"/>
      <c r="QD221" s="4"/>
      <c r="QE221" s="4"/>
      <c r="QF221" s="4"/>
      <c r="QG221" s="4"/>
      <c r="QH221" s="5"/>
      <c r="QI221" s="6"/>
      <c r="QJ221" s="4"/>
      <c r="QK221" s="4"/>
      <c r="QL221" s="4"/>
      <c r="QM221" s="4"/>
      <c r="QN221" s="4"/>
      <c r="QO221" s="5"/>
      <c r="QP221" s="6"/>
      <c r="QQ221" s="4"/>
      <c r="QR221" s="4"/>
      <c r="QS221" s="4"/>
      <c r="QT221" s="4"/>
      <c r="QU221" s="4"/>
      <c r="QV221" s="5"/>
      <c r="QW221" s="6"/>
      <c r="QX221" s="4"/>
      <c r="QY221" s="4"/>
      <c r="QZ221" s="4"/>
      <c r="RA221" s="4"/>
      <c r="RB221" s="4"/>
      <c r="RC221" s="5"/>
      <c r="RD221" s="6"/>
      <c r="RE221" s="4"/>
      <c r="RF221" s="4"/>
      <c r="RG221" s="4"/>
      <c r="RH221" s="4"/>
      <c r="RI221" s="4"/>
      <c r="RJ221" s="5"/>
      <c r="RK221" s="6"/>
      <c r="RL221" s="4"/>
      <c r="RM221" s="4"/>
      <c r="RN221" s="4"/>
      <c r="RO221" s="4"/>
      <c r="RP221" s="4"/>
      <c r="RQ221" s="5"/>
      <c r="RR221" s="6"/>
      <c r="RS221" s="4"/>
      <c r="RT221" s="4"/>
      <c r="RU221" s="4"/>
      <c r="RV221" s="4"/>
      <c r="RW221" s="4"/>
      <c r="RX221" s="5"/>
      <c r="RY221" s="6"/>
      <c r="RZ221" s="4"/>
      <c r="SA221" s="4"/>
      <c r="SB221" s="4"/>
      <c r="SC221" s="4"/>
      <c r="SD221" s="4"/>
      <c r="SE221" s="5"/>
      <c r="SF221" s="6"/>
      <c r="SG221" s="4"/>
      <c r="SH221" s="4"/>
      <c r="SI221" s="4"/>
      <c r="SJ221" s="4"/>
      <c r="SK221" s="4"/>
      <c r="SL221" s="5"/>
      <c r="SM221" s="6"/>
      <c r="SN221" s="4"/>
      <c r="SO221" s="4"/>
      <c r="SP221" s="4"/>
      <c r="SQ221" s="4"/>
      <c r="SR221" s="4"/>
      <c r="SS221" s="5"/>
      <c r="ST221" s="6"/>
      <c r="SU221" s="4"/>
      <c r="SV221" s="4"/>
      <c r="SW221" s="4"/>
      <c r="SX221" s="4"/>
      <c r="SY221" s="4"/>
      <c r="SZ221" s="5"/>
      <c r="TA221" s="6"/>
      <c r="TB221" s="4"/>
      <c r="TC221" s="4"/>
      <c r="TD221" s="4"/>
      <c r="TE221" s="4"/>
      <c r="TF221" s="4"/>
      <c r="TG221" s="5"/>
      <c r="TH221" s="6"/>
      <c r="TI221" s="4"/>
      <c r="TJ221" s="4"/>
      <c r="TK221" s="4"/>
      <c r="TL221" s="4"/>
      <c r="TM221" s="4"/>
      <c r="TN221" s="5"/>
      <c r="TO221" s="6"/>
      <c r="TP221" s="4"/>
      <c r="TQ221" s="4"/>
      <c r="TR221" s="4"/>
      <c r="TS221" s="4"/>
      <c r="TT221" s="4"/>
      <c r="TU221" s="5"/>
      <c r="TV221" s="6" t="s">
        <v>3340</v>
      </c>
      <c r="TW221" s="4" t="s">
        <v>3341</v>
      </c>
      <c r="TX221" s="4"/>
      <c r="TY221" s="4"/>
      <c r="TZ221" s="4"/>
      <c r="UA221" s="4"/>
      <c r="UB221" s="5" t="s">
        <v>3494</v>
      </c>
      <c r="UC221" s="6"/>
      <c r="UD221" s="4"/>
      <c r="UE221" s="4"/>
      <c r="UF221" s="4"/>
      <c r="UG221" s="4"/>
      <c r="UH221" s="4"/>
      <c r="UI221" s="5"/>
      <c r="UJ221" s="6"/>
      <c r="UK221" s="4"/>
      <c r="UL221" s="4"/>
      <c r="UM221" s="4"/>
      <c r="UN221" s="4"/>
      <c r="UO221" s="4"/>
      <c r="UP221" s="5"/>
      <c r="UQ221" s="6"/>
      <c r="UR221" s="4"/>
      <c r="US221" s="4"/>
      <c r="UT221" s="4"/>
      <c r="UU221" s="4"/>
      <c r="UV221" s="4"/>
      <c r="UW221" s="5"/>
      <c r="UX221" s="6" t="s">
        <v>2929</v>
      </c>
      <c r="UY221" s="4" t="s">
        <v>3335</v>
      </c>
      <c r="UZ221" s="4"/>
      <c r="VA221" s="4"/>
      <c r="VB221" s="4"/>
      <c r="VC221" s="4"/>
      <c r="VD221" s="5"/>
      <c r="VE221" s="6" t="s">
        <v>3486</v>
      </c>
      <c r="VF221" s="4" t="s">
        <v>3487</v>
      </c>
      <c r="VG221" s="4"/>
      <c r="VH221" s="4"/>
      <c r="VI221" s="4"/>
      <c r="VJ221" s="4"/>
      <c r="VK221" s="5"/>
      <c r="VL221" s="6"/>
      <c r="VM221" s="4"/>
      <c r="VN221" s="4"/>
      <c r="VO221" s="4"/>
      <c r="VP221" s="4"/>
      <c r="VQ221" s="4"/>
      <c r="VR221" s="5"/>
      <c r="VS221" s="6"/>
      <c r="VT221" s="4"/>
      <c r="VU221" s="4"/>
      <c r="VV221" s="4"/>
      <c r="VW221" s="4"/>
      <c r="VX221" s="4"/>
      <c r="VY221" s="5"/>
      <c r="VZ221" s="6"/>
      <c r="WA221" s="4"/>
      <c r="WB221" s="4"/>
      <c r="WC221" s="4"/>
      <c r="WD221" s="4"/>
      <c r="WE221" s="4"/>
      <c r="WF221" s="5"/>
      <c r="WG221" s="6"/>
      <c r="WH221" s="4"/>
      <c r="WI221" s="4"/>
      <c r="WJ221" s="4"/>
      <c r="WK221" s="4"/>
      <c r="WL221" s="4"/>
      <c r="WM221" s="5"/>
      <c r="WN221" s="6"/>
      <c r="WO221" s="4"/>
      <c r="WP221" s="4"/>
      <c r="WQ221" s="4"/>
      <c r="WR221" s="4"/>
      <c r="WS221" s="4"/>
      <c r="WT221" s="5"/>
      <c r="WU221" s="6"/>
      <c r="WV221" s="4"/>
      <c r="WW221" s="4"/>
      <c r="WX221" s="4"/>
      <c r="WY221" s="4"/>
      <c r="WZ221" s="4"/>
      <c r="XA221" s="5"/>
      <c r="XB221" s="6"/>
      <c r="XC221" s="4"/>
      <c r="XD221" s="4"/>
      <c r="XE221" s="4"/>
      <c r="XF221" s="4"/>
      <c r="XG221" s="4"/>
      <c r="XH221" s="5"/>
      <c r="XI221" s="6"/>
      <c r="XJ221" s="4"/>
      <c r="XK221" s="4"/>
      <c r="XL221" s="4"/>
      <c r="XM221" s="4"/>
      <c r="XN221" s="4"/>
      <c r="XO221" s="5"/>
      <c r="XP221" s="6"/>
      <c r="XQ221" s="4"/>
      <c r="XR221" s="4"/>
      <c r="XS221" s="4"/>
      <c r="XT221" s="4"/>
      <c r="XU221" s="4"/>
      <c r="XV221" s="5"/>
      <c r="XW221" s="6"/>
      <c r="XX221" s="4"/>
      <c r="XY221" s="4"/>
      <c r="XZ221" s="4"/>
      <c r="YA221" s="4"/>
      <c r="YB221" s="4"/>
      <c r="YC221" s="5"/>
      <c r="YD221" s="6"/>
      <c r="YE221" s="4"/>
      <c r="YF221" s="4"/>
      <c r="YG221" s="4"/>
      <c r="YH221" s="4"/>
      <c r="YI221" s="4"/>
      <c r="YJ221" s="5"/>
      <c r="YK221" s="6" t="s">
        <v>2930</v>
      </c>
      <c r="YL221" s="4" t="s">
        <v>2796</v>
      </c>
      <c r="YM221" s="4"/>
      <c r="YN221" s="4"/>
      <c r="YO221" s="4"/>
      <c r="YP221" s="4"/>
      <c r="YQ221" s="5"/>
      <c r="YR221" s="6"/>
      <c r="YS221" s="4"/>
      <c r="YT221" s="4"/>
      <c r="YU221" s="4"/>
      <c r="YV221" s="4"/>
      <c r="YW221" s="4"/>
      <c r="YX221" s="5"/>
      <c r="YY221" s="6"/>
      <c r="YZ221" s="4"/>
      <c r="ZA221" s="4"/>
      <c r="ZB221" s="4"/>
      <c r="ZC221" s="4"/>
      <c r="ZD221" s="4"/>
      <c r="ZE221" s="5"/>
      <c r="ZF221" s="6"/>
      <c r="ZG221" s="4"/>
      <c r="ZH221" s="4"/>
      <c r="ZI221" s="4"/>
      <c r="ZJ221" s="4"/>
      <c r="ZK221" s="4"/>
      <c r="ZL221" s="5"/>
      <c r="ZM221" s="6" t="s">
        <v>2679</v>
      </c>
      <c r="ZN221" s="4" t="s">
        <v>2680</v>
      </c>
      <c r="ZO221" s="4"/>
      <c r="ZP221" s="4"/>
      <c r="ZQ221" s="4"/>
      <c r="ZR221" s="4"/>
      <c r="ZS221" s="5"/>
      <c r="ZT221" s="6"/>
      <c r="ZU221" s="4"/>
      <c r="ZV221" s="4"/>
      <c r="ZW221" s="4"/>
      <c r="ZX221" s="4"/>
      <c r="ZY221" s="4"/>
      <c r="ZZ221" s="5"/>
      <c r="AAA221" s="6"/>
      <c r="AAB221" s="4"/>
      <c r="AAC221" s="4"/>
      <c r="AAD221" s="4"/>
      <c r="AAE221" s="4"/>
      <c r="AAF221" s="4"/>
      <c r="AAG221" s="5"/>
      <c r="AAH221" s="6" t="s">
        <v>3192</v>
      </c>
      <c r="AAI221" s="4" t="s">
        <v>3193</v>
      </c>
      <c r="AAJ221" s="4"/>
      <c r="AAK221" s="4"/>
      <c r="AAL221" s="4"/>
      <c r="AAM221" s="4"/>
      <c r="AAN221" s="5"/>
      <c r="AAO221" s="6"/>
      <c r="AAP221" s="4"/>
      <c r="AAQ221" s="4"/>
      <c r="AAR221" s="4"/>
      <c r="AAS221" s="4"/>
      <c r="AAT221" s="4"/>
      <c r="AAU221" s="5"/>
      <c r="AAV221" s="6"/>
      <c r="AAW221" s="4"/>
      <c r="AAX221" s="4"/>
      <c r="AAY221" s="4"/>
      <c r="AAZ221" s="4"/>
      <c r="ABA221" s="4"/>
      <c r="ABB221" s="5"/>
      <c r="ABC221" s="6"/>
      <c r="ABD221" s="4"/>
      <c r="ABE221" s="4"/>
      <c r="ABF221" s="4"/>
      <c r="ABG221" s="4"/>
      <c r="ABH221" s="4"/>
      <c r="ABI221" s="5"/>
      <c r="ABJ221" s="6"/>
      <c r="ABK221" s="4"/>
      <c r="ABL221" s="4"/>
      <c r="ABM221" s="4"/>
      <c r="ABN221" s="4"/>
      <c r="ABO221" s="4"/>
      <c r="ABP221" s="5"/>
      <c r="ABQ221" s="6"/>
      <c r="ABR221" s="4"/>
      <c r="ABS221" s="4"/>
      <c r="ABT221" s="4"/>
      <c r="ABU221" s="4"/>
      <c r="ABV221" s="4"/>
      <c r="ABW221" s="5"/>
      <c r="ABX221" s="6"/>
      <c r="ABY221" s="4"/>
      <c r="ABZ221" s="4"/>
      <c r="ACA221" s="4"/>
      <c r="ACB221" s="4"/>
      <c r="ACC221" s="4"/>
      <c r="ACD221" s="5"/>
      <c r="ACE221" s="6"/>
      <c r="ACF221" s="4"/>
      <c r="ACG221" s="4"/>
      <c r="ACH221" s="4"/>
      <c r="ACI221" s="4"/>
      <c r="ACJ221" s="4"/>
      <c r="ACK221" s="5"/>
      <c r="ACL221" s="6"/>
      <c r="ACM221" s="4"/>
      <c r="ACN221" s="4"/>
      <c r="ACO221" s="4"/>
      <c r="ACP221" s="4"/>
      <c r="ACQ221" s="4"/>
      <c r="ACR221" s="5"/>
      <c r="ACS221" s="6"/>
      <c r="ACT221" s="4"/>
      <c r="ACU221" s="4"/>
      <c r="ACV221" s="4"/>
      <c r="ACW221" s="4"/>
      <c r="ACX221" s="4"/>
      <c r="ACY221" s="5"/>
    </row>
    <row r="222" spans="1:779" x14ac:dyDescent="0.25">
      <c r="B222" s="30"/>
      <c r="J222" s="12"/>
      <c r="K222" s="12"/>
      <c r="L222" s="12"/>
      <c r="LL222" s="6"/>
      <c r="LM222" s="4"/>
      <c r="LN222" s="4"/>
      <c r="LO222" s="4"/>
      <c r="LP222" s="4"/>
      <c r="LQ222" s="4"/>
      <c r="LR222" s="5"/>
      <c r="LS222" s="6"/>
      <c r="LT222" s="4"/>
      <c r="LU222" s="4"/>
      <c r="LV222" s="4"/>
      <c r="LW222" s="4"/>
      <c r="LX222" s="4"/>
      <c r="LY222" s="5"/>
      <c r="LZ222" s="6" t="s">
        <v>3339</v>
      </c>
      <c r="MA222" s="7" t="s">
        <v>2799</v>
      </c>
      <c r="MB222" s="4"/>
      <c r="MC222" s="4"/>
      <c r="MD222" s="8"/>
      <c r="ME222" s="4"/>
      <c r="MF222" s="4" t="s">
        <v>3787</v>
      </c>
      <c r="MG222" s="5"/>
      <c r="MH222" s="6"/>
      <c r="MI222" s="4"/>
      <c r="MJ222" s="4"/>
      <c r="MK222" s="4"/>
      <c r="ML222" s="4"/>
      <c r="MM222" s="4"/>
      <c r="MN222" s="5"/>
      <c r="MO222" s="6"/>
      <c r="MP222" s="4"/>
      <c r="MQ222" s="4"/>
      <c r="MR222" s="4"/>
      <c r="MS222" s="4"/>
      <c r="MT222" s="4"/>
      <c r="MU222" s="5"/>
      <c r="MV222" s="6"/>
      <c r="MW222" s="4"/>
      <c r="MX222" s="4"/>
      <c r="MY222" s="4"/>
      <c r="MZ222" s="4"/>
      <c r="NA222" s="4"/>
      <c r="NB222" s="5"/>
      <c r="NC222" s="6"/>
      <c r="ND222" s="4"/>
      <c r="NE222" s="4"/>
      <c r="NF222" s="4"/>
      <c r="NG222" s="4"/>
      <c r="NH222" s="4"/>
      <c r="NI222" s="5"/>
      <c r="NJ222" s="6"/>
      <c r="NK222" s="4"/>
      <c r="NL222" s="4"/>
      <c r="NM222" s="4"/>
      <c r="NN222" s="4"/>
      <c r="NO222" s="4"/>
      <c r="NP222" s="5"/>
      <c r="NQ222" s="6"/>
      <c r="NR222" s="4"/>
      <c r="NS222" s="4"/>
      <c r="NT222" s="4"/>
      <c r="NU222" s="4"/>
      <c r="NV222" s="4"/>
      <c r="NW222" s="5"/>
      <c r="NX222" s="6"/>
      <c r="NY222" s="4"/>
      <c r="NZ222" s="4"/>
      <c r="OA222" s="4"/>
      <c r="OB222" s="4"/>
      <c r="OC222" s="4"/>
      <c r="OD222" s="5"/>
      <c r="OE222" s="6"/>
      <c r="OF222" s="4"/>
      <c r="OG222" s="4"/>
      <c r="OH222" s="4"/>
      <c r="OI222" s="4"/>
      <c r="OJ222" s="4"/>
      <c r="OK222" s="5"/>
      <c r="OL222" s="6"/>
      <c r="OM222" s="4"/>
      <c r="ON222" s="4"/>
      <c r="OO222" s="4"/>
      <c r="OP222" s="4"/>
      <c r="OQ222" s="4"/>
      <c r="OR222" s="5"/>
      <c r="OS222" s="6"/>
      <c r="OT222" s="4"/>
      <c r="OU222" s="4"/>
      <c r="OV222" s="4"/>
      <c r="OW222" s="4"/>
      <c r="OX222" s="4"/>
      <c r="OY222" s="5"/>
      <c r="OZ222" s="6"/>
      <c r="PA222" s="4"/>
      <c r="PB222" s="4"/>
      <c r="PC222" s="4"/>
      <c r="PD222" s="4"/>
      <c r="PE222" s="4"/>
      <c r="PF222" s="5"/>
      <c r="PG222" s="6"/>
      <c r="PH222" s="4"/>
      <c r="PI222" s="4"/>
      <c r="PJ222" s="4"/>
      <c r="PK222" s="4"/>
      <c r="PL222" s="4"/>
      <c r="PM222" s="5"/>
      <c r="PN222" s="6"/>
      <c r="PO222" s="4"/>
      <c r="PP222" s="4"/>
      <c r="PQ222" s="4"/>
      <c r="PR222" s="4"/>
      <c r="PS222" s="4"/>
      <c r="PT222" s="5"/>
      <c r="PU222" s="6"/>
      <c r="PV222" s="4"/>
      <c r="PW222" s="4"/>
      <c r="PX222" s="4"/>
      <c r="PY222" s="4"/>
      <c r="PZ222" s="4"/>
      <c r="QA222" s="5"/>
      <c r="QB222" s="6"/>
      <c r="QC222" s="4"/>
      <c r="QD222" s="4"/>
      <c r="QE222" s="4"/>
      <c r="QF222" s="4"/>
      <c r="QG222" s="4"/>
      <c r="QH222" s="5"/>
      <c r="QI222" s="6"/>
      <c r="QJ222" s="4"/>
      <c r="QK222" s="4"/>
      <c r="QL222" s="4"/>
      <c r="QM222" s="4"/>
      <c r="QN222" s="4"/>
      <c r="QO222" s="5"/>
      <c r="QP222" s="6"/>
      <c r="QQ222" s="4"/>
      <c r="QR222" s="4"/>
      <c r="QS222" s="4"/>
      <c r="QT222" s="4"/>
      <c r="QU222" s="4"/>
      <c r="QV222" s="5"/>
      <c r="QW222" s="6"/>
      <c r="QX222" s="4"/>
      <c r="QY222" s="4"/>
      <c r="QZ222" s="4"/>
      <c r="RA222" s="4"/>
      <c r="RB222" s="4"/>
      <c r="RC222" s="5"/>
      <c r="RD222" s="6"/>
      <c r="RE222" s="4"/>
      <c r="RF222" s="4"/>
      <c r="RG222" s="4"/>
      <c r="RH222" s="4"/>
      <c r="RI222" s="4"/>
      <c r="RJ222" s="5"/>
      <c r="RK222" s="6"/>
      <c r="RL222" s="4"/>
      <c r="RM222" s="4"/>
      <c r="RN222" s="4"/>
      <c r="RO222" s="4"/>
      <c r="RP222" s="4"/>
      <c r="RQ222" s="5"/>
      <c r="RR222" s="6"/>
      <c r="RS222" s="4"/>
      <c r="RT222" s="4"/>
      <c r="RU222" s="4"/>
      <c r="RV222" s="4"/>
      <c r="RW222" s="4"/>
      <c r="RX222" s="5"/>
      <c r="RY222" s="6"/>
      <c r="RZ222" s="4"/>
      <c r="SA222" s="4"/>
      <c r="SB222" s="4"/>
      <c r="SC222" s="4"/>
      <c r="SD222" s="4"/>
      <c r="SE222" s="5"/>
      <c r="SF222" s="6"/>
      <c r="SG222" s="4"/>
      <c r="SH222" s="4"/>
      <c r="SI222" s="4"/>
      <c r="SJ222" s="4"/>
      <c r="SK222" s="4"/>
      <c r="SL222" s="5"/>
      <c r="SM222" s="6"/>
      <c r="SN222" s="4"/>
      <c r="SO222" s="4"/>
      <c r="SP222" s="4"/>
      <c r="SQ222" s="4"/>
      <c r="SR222" s="4"/>
      <c r="SS222" s="5"/>
      <c r="ST222" s="6"/>
      <c r="SU222" s="4"/>
      <c r="SV222" s="4"/>
      <c r="SW222" s="4"/>
      <c r="SX222" s="4"/>
      <c r="SY222" s="4"/>
      <c r="SZ222" s="5"/>
      <c r="TA222" s="6"/>
      <c r="TB222" s="4"/>
      <c r="TC222" s="4"/>
      <c r="TD222" s="4"/>
      <c r="TE222" s="4"/>
      <c r="TF222" s="4"/>
      <c r="TG222" s="5"/>
      <c r="TH222" s="6"/>
      <c r="TI222" s="4"/>
      <c r="TJ222" s="4"/>
      <c r="TK222" s="4"/>
      <c r="TL222" s="4"/>
      <c r="TM222" s="4"/>
      <c r="TN222" s="5"/>
      <c r="TO222" s="6"/>
      <c r="TP222" s="4"/>
      <c r="TQ222" s="4"/>
      <c r="TR222" s="4"/>
      <c r="TS222" s="4"/>
      <c r="TT222" s="4"/>
      <c r="TU222" s="5"/>
      <c r="TV222" s="6"/>
      <c r="TW222" s="4"/>
      <c r="TX222" s="4"/>
      <c r="TY222" s="4"/>
      <c r="TZ222" s="4"/>
      <c r="UA222" s="4"/>
      <c r="UB222" s="5"/>
      <c r="UC222" s="6"/>
      <c r="UD222" s="4"/>
      <c r="UE222" s="4"/>
      <c r="UF222" s="4"/>
      <c r="UG222" s="4"/>
      <c r="UH222" s="4"/>
      <c r="UI222" s="5"/>
      <c r="UJ222" s="6"/>
      <c r="UK222" s="4"/>
      <c r="UL222" s="4"/>
      <c r="UM222" s="4"/>
      <c r="UN222" s="4"/>
      <c r="UO222" s="4"/>
      <c r="UP222" s="5"/>
      <c r="UQ222" s="6"/>
      <c r="UR222" s="4"/>
      <c r="US222" s="4"/>
      <c r="UT222" s="4"/>
      <c r="UU222" s="4"/>
      <c r="UV222" s="4"/>
      <c r="UW222" s="5"/>
      <c r="UX222" s="6"/>
      <c r="UY222" s="4"/>
      <c r="UZ222" s="4"/>
      <c r="VA222" s="4"/>
      <c r="VB222" s="4"/>
      <c r="VC222" s="4"/>
      <c r="VD222" s="5"/>
      <c r="VE222" s="6"/>
      <c r="VF222" s="4"/>
      <c r="VG222" s="4"/>
      <c r="VH222" s="4"/>
      <c r="VI222" s="4"/>
      <c r="VJ222" s="4"/>
      <c r="VK222" s="5"/>
      <c r="VL222" s="6"/>
      <c r="VM222" s="4"/>
      <c r="VN222" s="4"/>
      <c r="VO222" s="4"/>
      <c r="VP222" s="4"/>
      <c r="VQ222" s="4"/>
      <c r="VR222" s="5"/>
      <c r="VS222" s="6"/>
      <c r="VT222" s="4"/>
      <c r="VU222" s="4"/>
      <c r="VV222" s="4"/>
      <c r="VW222" s="4"/>
      <c r="VX222" s="4"/>
      <c r="VY222" s="5"/>
      <c r="VZ222" s="6"/>
      <c r="WA222" s="4"/>
      <c r="WB222" s="4"/>
      <c r="WC222" s="4"/>
      <c r="WD222" s="4"/>
      <c r="WE222" s="4"/>
      <c r="WF222" s="5"/>
      <c r="WG222" s="6"/>
      <c r="WH222" s="4"/>
      <c r="WI222" s="4"/>
      <c r="WJ222" s="4"/>
      <c r="WK222" s="4"/>
      <c r="WL222" s="4"/>
      <c r="WM222" s="5"/>
      <c r="WN222" s="6"/>
      <c r="WO222" s="4"/>
      <c r="WP222" s="4"/>
      <c r="WQ222" s="4"/>
      <c r="WR222" s="4"/>
      <c r="WS222" s="4"/>
      <c r="WT222" s="5"/>
      <c r="WU222" s="6"/>
      <c r="WV222" s="4"/>
      <c r="WW222" s="4"/>
      <c r="WX222" s="4"/>
      <c r="WY222" s="4"/>
      <c r="WZ222" s="4"/>
      <c r="XA222" s="5"/>
      <c r="XB222" s="6"/>
      <c r="XC222" s="4"/>
      <c r="XD222" s="4"/>
      <c r="XE222" s="4"/>
      <c r="XF222" s="4"/>
      <c r="XG222" s="4"/>
      <c r="XH222" s="5"/>
      <c r="XI222" s="6"/>
      <c r="XJ222" s="4"/>
      <c r="XK222" s="4"/>
      <c r="XL222" s="4"/>
      <c r="XM222" s="4"/>
      <c r="XN222" s="4"/>
      <c r="XO222" s="5"/>
      <c r="XP222" s="6"/>
      <c r="XQ222" s="4"/>
      <c r="XR222" s="4"/>
      <c r="XS222" s="4"/>
      <c r="XT222" s="4"/>
      <c r="XU222" s="4"/>
      <c r="XV222" s="5"/>
      <c r="XW222" s="6"/>
      <c r="XX222" s="4"/>
      <c r="XY222" s="4"/>
      <c r="XZ222" s="4"/>
      <c r="YA222" s="4"/>
      <c r="YB222" s="4"/>
      <c r="YC222" s="5"/>
      <c r="YD222" s="6"/>
      <c r="YE222" s="4"/>
      <c r="YF222" s="4"/>
      <c r="YG222" s="4"/>
      <c r="YH222" s="4"/>
      <c r="YI222" s="4"/>
      <c r="YJ222" s="5"/>
      <c r="YK222" s="6"/>
      <c r="YL222" s="4"/>
      <c r="YM222" s="4"/>
      <c r="YN222" s="4"/>
      <c r="YO222" s="4"/>
      <c r="YP222" s="4"/>
      <c r="YQ222" s="5"/>
      <c r="YR222" s="6"/>
      <c r="YS222" s="4"/>
      <c r="YT222" s="4"/>
      <c r="YU222" s="4"/>
      <c r="YV222" s="4"/>
      <c r="YW222" s="4"/>
      <c r="YX222" s="5"/>
      <c r="YY222" s="6"/>
      <c r="YZ222" s="4"/>
      <c r="ZA222" s="4"/>
      <c r="ZB222" s="4"/>
      <c r="ZC222" s="4"/>
      <c r="ZD222" s="4"/>
      <c r="ZE222" s="5"/>
      <c r="ZF222" s="6"/>
      <c r="ZG222" s="4"/>
      <c r="ZH222" s="4"/>
      <c r="ZI222" s="4"/>
      <c r="ZJ222" s="4"/>
      <c r="ZK222" s="4"/>
      <c r="ZL222" s="5"/>
      <c r="ZM222" s="6"/>
      <c r="ZN222" s="4"/>
      <c r="ZO222" s="4"/>
      <c r="ZP222" s="4"/>
      <c r="ZQ222" s="4"/>
      <c r="ZR222" s="4"/>
      <c r="ZS222" s="5"/>
      <c r="ZT222" s="6"/>
      <c r="ZU222" s="4"/>
      <c r="ZV222" s="4"/>
      <c r="ZW222" s="4"/>
      <c r="ZX222" s="4"/>
      <c r="ZY222" s="4"/>
      <c r="ZZ222" s="5"/>
      <c r="AAA222" s="6"/>
      <c r="AAB222" s="4"/>
      <c r="AAC222" s="4"/>
      <c r="AAD222" s="4"/>
      <c r="AAE222" s="4"/>
      <c r="AAF222" s="4"/>
      <c r="AAG222" s="5"/>
      <c r="AAH222" s="6"/>
      <c r="AAI222" s="4"/>
      <c r="AAJ222" s="4"/>
      <c r="AAK222" s="4"/>
      <c r="AAL222" s="4"/>
      <c r="AAM222" s="4"/>
      <c r="AAN222" s="5"/>
      <c r="AAO222" s="6"/>
      <c r="AAP222" s="4"/>
      <c r="AAQ222" s="4"/>
      <c r="AAR222" s="4"/>
      <c r="AAS222" s="4"/>
      <c r="AAT222" s="4"/>
      <c r="AAU222" s="5"/>
      <c r="AAV222" s="6"/>
      <c r="AAW222" s="4"/>
      <c r="AAX222" s="4"/>
      <c r="AAY222" s="4"/>
      <c r="AAZ222" s="4"/>
      <c r="ABA222" s="4"/>
      <c r="ABB222" s="5"/>
      <c r="ABC222" s="6"/>
      <c r="ABD222" s="4"/>
      <c r="ABE222" s="4"/>
      <c r="ABF222" s="4"/>
      <c r="ABG222" s="4"/>
      <c r="ABH222" s="4"/>
      <c r="ABI222" s="5"/>
      <c r="ABJ222" s="6"/>
      <c r="ABK222" s="4"/>
      <c r="ABL222" s="4"/>
      <c r="ABM222" s="4"/>
      <c r="ABN222" s="4"/>
      <c r="ABO222" s="4"/>
      <c r="ABP222" s="5"/>
      <c r="ABQ222" s="6"/>
      <c r="ABR222" s="4"/>
      <c r="ABS222" s="4"/>
      <c r="ABT222" s="4"/>
      <c r="ABU222" s="4"/>
      <c r="ABV222" s="4"/>
      <c r="ABW222" s="5"/>
      <c r="ABX222" s="6"/>
      <c r="ABY222" s="4"/>
      <c r="ABZ222" s="4"/>
      <c r="ACA222" s="4"/>
      <c r="ACB222" s="4"/>
      <c r="ACC222" s="4"/>
      <c r="ACD222" s="5"/>
      <c r="ACE222" s="6"/>
      <c r="ACF222" s="4"/>
      <c r="ACG222" s="4"/>
      <c r="ACH222" s="4"/>
      <c r="ACI222" s="4"/>
      <c r="ACJ222" s="4"/>
      <c r="ACK222" s="5"/>
      <c r="ACL222" s="6"/>
      <c r="ACM222" s="4"/>
      <c r="ACN222" s="4"/>
      <c r="ACO222" s="4"/>
      <c r="ACP222" s="4"/>
      <c r="ACQ222" s="4"/>
      <c r="ACR222" s="5"/>
      <c r="ACS222" s="6"/>
      <c r="ACT222" s="4"/>
      <c r="ACU222" s="4"/>
      <c r="ACV222" s="4"/>
      <c r="ACW222" s="4"/>
      <c r="ACX222" s="4"/>
      <c r="ACY222" s="5"/>
    </row>
    <row r="223" spans="1:779" x14ac:dyDescent="0.25">
      <c r="B223" s="49">
        <v>500119</v>
      </c>
      <c r="D223" t="s">
        <v>4152</v>
      </c>
      <c r="F223" s="23">
        <v>1</v>
      </c>
      <c r="J223" s="12"/>
      <c r="K223" s="12"/>
      <c r="L223" s="12"/>
      <c r="M223">
        <v>1</v>
      </c>
      <c r="LL223" s="6"/>
      <c r="LM223" s="4"/>
      <c r="LN223" s="4"/>
      <c r="LO223" s="4"/>
      <c r="LP223" s="4"/>
      <c r="LQ223" s="4"/>
      <c r="LR223" s="5"/>
      <c r="LS223" s="6"/>
      <c r="LT223" s="4"/>
      <c r="LU223" s="4"/>
      <c r="LV223" s="4"/>
      <c r="LW223" s="4"/>
      <c r="LX223" s="4"/>
      <c r="LY223" s="5"/>
      <c r="LZ223" s="6" t="s">
        <v>2983</v>
      </c>
      <c r="MA223" s="7" t="s">
        <v>2983</v>
      </c>
      <c r="MB223" s="4"/>
      <c r="MC223" s="4"/>
      <c r="MD223" s="8"/>
      <c r="ME223" s="4"/>
      <c r="MF223" s="7" t="s">
        <v>611</v>
      </c>
      <c r="MG223" s="5"/>
      <c r="MH223" s="6"/>
      <c r="MI223" s="4"/>
      <c r="MJ223" s="4"/>
      <c r="MK223" s="4"/>
      <c r="ML223" s="4"/>
      <c r="MM223" s="4"/>
      <c r="MN223" s="5"/>
      <c r="MO223" s="6"/>
      <c r="MP223" s="4"/>
      <c r="MQ223" s="4"/>
      <c r="MR223" s="4"/>
      <c r="MS223" s="4"/>
      <c r="MT223" s="4"/>
      <c r="MU223" s="5"/>
      <c r="MV223" s="6"/>
      <c r="MW223" s="4"/>
      <c r="MX223" s="4"/>
      <c r="MY223" s="4"/>
      <c r="MZ223" s="4"/>
      <c r="NA223" s="4"/>
      <c r="NB223" s="5"/>
      <c r="NC223" s="6"/>
      <c r="ND223" s="4"/>
      <c r="NE223" s="4"/>
      <c r="NF223" s="4"/>
      <c r="NG223" s="4"/>
      <c r="NH223" s="4"/>
      <c r="NI223" s="5"/>
      <c r="NJ223" s="6"/>
      <c r="NK223" s="4"/>
      <c r="NL223" s="4"/>
      <c r="NM223" s="4"/>
      <c r="NN223" s="4"/>
      <c r="NO223" s="4"/>
      <c r="NP223" s="5"/>
      <c r="NQ223" s="6"/>
      <c r="NR223" s="4"/>
      <c r="NS223" s="4"/>
      <c r="NT223" s="4"/>
      <c r="NU223" s="4"/>
      <c r="NV223" s="4"/>
      <c r="NW223" s="5"/>
      <c r="NX223" s="6"/>
      <c r="NY223" s="4"/>
      <c r="NZ223" s="4"/>
      <c r="OA223" s="4"/>
      <c r="OB223" s="4"/>
      <c r="OC223" s="4"/>
      <c r="OD223" s="5"/>
      <c r="OE223" s="6"/>
      <c r="OF223" s="4"/>
      <c r="OG223" s="4"/>
      <c r="OH223" s="4"/>
      <c r="OI223" s="4"/>
      <c r="OJ223" s="4"/>
      <c r="OK223" s="5"/>
      <c r="OL223" s="6"/>
      <c r="OM223" s="4"/>
      <c r="ON223" s="4"/>
      <c r="OO223" s="4"/>
      <c r="OP223" s="4"/>
      <c r="OQ223" s="4"/>
      <c r="OR223" s="5"/>
      <c r="OS223" s="6"/>
      <c r="OT223" s="4"/>
      <c r="OU223" s="4"/>
      <c r="OV223" s="4"/>
      <c r="OW223" s="4"/>
      <c r="OX223" s="4"/>
      <c r="OY223" s="5"/>
      <c r="OZ223" s="6"/>
      <c r="PA223" s="4"/>
      <c r="PB223" s="4"/>
      <c r="PC223" s="4"/>
      <c r="PD223" s="4"/>
      <c r="PE223" s="4"/>
      <c r="PF223" s="5"/>
      <c r="PG223" s="6"/>
      <c r="PH223" s="4"/>
      <c r="PI223" s="4"/>
      <c r="PJ223" s="4"/>
      <c r="PK223" s="4"/>
      <c r="PL223" s="4"/>
      <c r="PM223" s="5"/>
      <c r="PN223" s="6"/>
      <c r="PO223" s="4"/>
      <c r="PP223" s="4"/>
      <c r="PQ223" s="4"/>
      <c r="PR223" s="4"/>
      <c r="PS223" s="4"/>
      <c r="PT223" s="5"/>
      <c r="PU223" s="6"/>
      <c r="PV223" s="4"/>
      <c r="PW223" s="4"/>
      <c r="PX223" s="4"/>
      <c r="PY223" s="4"/>
      <c r="PZ223" s="4"/>
      <c r="QA223" s="5"/>
      <c r="QB223" s="6"/>
      <c r="QC223" s="4"/>
      <c r="QD223" s="4"/>
      <c r="QE223" s="4"/>
      <c r="QF223" s="4"/>
      <c r="QG223" s="4"/>
      <c r="QH223" s="5"/>
      <c r="QI223" s="6"/>
      <c r="QJ223" s="4"/>
      <c r="QK223" s="4"/>
      <c r="QL223" s="4"/>
      <c r="QM223" s="4"/>
      <c r="QN223" s="4"/>
      <c r="QO223" s="5"/>
      <c r="QP223" s="6"/>
      <c r="QQ223" s="4"/>
      <c r="QR223" s="4"/>
      <c r="QS223" s="4"/>
      <c r="QT223" s="4"/>
      <c r="QU223" s="4"/>
      <c r="QV223" s="5"/>
      <c r="QW223" s="6"/>
      <c r="QX223" s="4"/>
      <c r="QY223" s="4"/>
      <c r="QZ223" s="4"/>
      <c r="RA223" s="4"/>
      <c r="RB223" s="4"/>
      <c r="RC223" s="5"/>
      <c r="RD223" s="6"/>
      <c r="RE223" s="4"/>
      <c r="RF223" s="4"/>
      <c r="RG223" s="4"/>
      <c r="RH223" s="4"/>
      <c r="RI223" s="4"/>
      <c r="RJ223" s="5"/>
      <c r="RK223" s="6"/>
      <c r="RL223" s="4"/>
      <c r="RM223" s="4"/>
      <c r="RN223" s="4"/>
      <c r="RO223" s="4"/>
      <c r="RP223" s="4"/>
      <c r="RQ223" s="5"/>
      <c r="RR223" s="6"/>
      <c r="RS223" s="4"/>
      <c r="RT223" s="4"/>
      <c r="RU223" s="4"/>
      <c r="RV223" s="4"/>
      <c r="RW223" s="4"/>
      <c r="RX223" s="5"/>
      <c r="RY223" s="6"/>
      <c r="RZ223" s="4"/>
      <c r="SA223" s="4"/>
      <c r="SB223" s="4"/>
      <c r="SC223" s="4"/>
      <c r="SD223" s="4"/>
      <c r="SE223" s="5"/>
      <c r="SF223" s="6"/>
      <c r="SG223" s="4"/>
      <c r="SH223" s="4"/>
      <c r="SI223" s="4"/>
      <c r="SJ223" s="4"/>
      <c r="SK223" s="4"/>
      <c r="SL223" s="5"/>
      <c r="SM223" s="6"/>
      <c r="SN223" s="4"/>
      <c r="SO223" s="4"/>
      <c r="SP223" s="4"/>
      <c r="SQ223" s="4"/>
      <c r="SR223" s="4"/>
      <c r="SS223" s="5"/>
      <c r="ST223" s="6"/>
      <c r="SU223" s="4"/>
      <c r="SV223" s="4"/>
      <c r="SW223" s="4"/>
      <c r="SX223" s="4"/>
      <c r="SY223" s="4"/>
      <c r="SZ223" s="5"/>
      <c r="TA223" s="6"/>
      <c r="TB223" s="4"/>
      <c r="TC223" s="4"/>
      <c r="TD223" s="4"/>
      <c r="TE223" s="4"/>
      <c r="TF223" s="4"/>
      <c r="TG223" s="5"/>
      <c r="TH223" s="6"/>
      <c r="TI223" s="4"/>
      <c r="TJ223" s="4"/>
      <c r="TK223" s="4"/>
      <c r="TL223" s="4"/>
      <c r="TM223" s="4"/>
      <c r="TN223" s="5"/>
      <c r="TO223" s="6"/>
      <c r="TP223" s="4"/>
      <c r="TQ223" s="4"/>
      <c r="TR223" s="4"/>
      <c r="TS223" s="4"/>
      <c r="TT223" s="4"/>
      <c r="TU223" s="5"/>
      <c r="TV223" s="6"/>
      <c r="TW223" s="4"/>
      <c r="TX223" s="4"/>
      <c r="TY223" s="4"/>
      <c r="TZ223" s="4"/>
      <c r="UA223" s="4"/>
      <c r="UB223" s="5"/>
      <c r="UC223" s="6"/>
      <c r="UD223" s="4"/>
      <c r="UE223" s="4"/>
      <c r="UF223" s="4"/>
      <c r="UG223" s="4"/>
      <c r="UH223" s="4"/>
      <c r="UI223" s="5"/>
      <c r="UJ223" s="6"/>
      <c r="UK223" s="4"/>
      <c r="UL223" s="4"/>
      <c r="UM223" s="4"/>
      <c r="UN223" s="4"/>
      <c r="UO223" s="4"/>
      <c r="UP223" s="5"/>
      <c r="UQ223" s="6"/>
      <c r="UR223" s="4"/>
      <c r="US223" s="4"/>
      <c r="UT223" s="4"/>
      <c r="UU223" s="4"/>
      <c r="UV223" s="4"/>
      <c r="UW223" s="5"/>
      <c r="UX223" s="6" t="s">
        <v>883</v>
      </c>
      <c r="UY223" s="4" t="s">
        <v>2738</v>
      </c>
      <c r="UZ223" s="4"/>
      <c r="VA223" s="4"/>
      <c r="VB223" s="4"/>
      <c r="VC223" s="4"/>
      <c r="VD223" s="5"/>
      <c r="VE223" s="6"/>
      <c r="VF223" s="4"/>
      <c r="VG223" s="4"/>
      <c r="VH223" s="4"/>
      <c r="VI223" s="4"/>
      <c r="VJ223" s="4"/>
      <c r="VK223" s="5"/>
      <c r="VL223" s="6"/>
      <c r="VM223" s="4"/>
      <c r="VN223" s="4"/>
      <c r="VO223" s="4"/>
      <c r="VP223" s="4"/>
      <c r="VQ223" s="4"/>
      <c r="VR223" s="5"/>
      <c r="VS223" s="6"/>
      <c r="VT223" s="4"/>
      <c r="VU223" s="4"/>
      <c r="VV223" s="4"/>
      <c r="VW223" s="4"/>
      <c r="VX223" s="4"/>
      <c r="VY223" s="5"/>
      <c r="VZ223" s="6"/>
      <c r="WA223" s="4"/>
      <c r="WB223" s="4"/>
      <c r="WC223" s="4"/>
      <c r="WD223" s="4"/>
      <c r="WE223" s="4"/>
      <c r="WF223" s="5"/>
      <c r="WG223" s="6"/>
      <c r="WH223" s="4"/>
      <c r="WI223" s="4"/>
      <c r="WJ223" s="4"/>
      <c r="WK223" s="4"/>
      <c r="WL223" s="4"/>
      <c r="WM223" s="5"/>
      <c r="WN223" s="6"/>
      <c r="WO223" s="4"/>
      <c r="WP223" s="4"/>
      <c r="WQ223" s="4"/>
      <c r="WR223" s="4"/>
      <c r="WS223" s="4"/>
      <c r="WT223" s="5"/>
      <c r="WU223" s="6"/>
      <c r="WV223" s="4"/>
      <c r="WW223" s="4"/>
      <c r="WX223" s="4"/>
      <c r="WY223" s="4"/>
      <c r="WZ223" s="4"/>
      <c r="XA223" s="5"/>
      <c r="XB223" s="6"/>
      <c r="XC223" s="4"/>
      <c r="XD223" s="4"/>
      <c r="XE223" s="4"/>
      <c r="XF223" s="4"/>
      <c r="XG223" s="4"/>
      <c r="XH223" s="5"/>
      <c r="XI223" s="6"/>
      <c r="XJ223" s="4"/>
      <c r="XK223" s="4"/>
      <c r="XL223" s="4"/>
      <c r="XM223" s="4"/>
      <c r="XN223" s="4"/>
      <c r="XO223" s="5"/>
      <c r="XP223" s="6" t="s">
        <v>1956</v>
      </c>
      <c r="XQ223" s="4" t="s">
        <v>1884</v>
      </c>
      <c r="XR223" s="4"/>
      <c r="XS223" s="4"/>
      <c r="XT223" s="4"/>
      <c r="XU223" s="4"/>
      <c r="XV223" s="5"/>
      <c r="XW223" s="6"/>
      <c r="XX223" s="4"/>
      <c r="XY223" s="4"/>
      <c r="XZ223" s="4"/>
      <c r="YA223" s="4"/>
      <c r="YB223" s="4"/>
      <c r="YC223" s="5"/>
      <c r="YD223" s="6"/>
      <c r="YE223" s="4"/>
      <c r="YF223" s="4"/>
      <c r="YG223" s="4"/>
      <c r="YH223" s="4"/>
      <c r="YI223" s="4"/>
      <c r="YJ223" s="5"/>
      <c r="YK223" s="6"/>
      <c r="YL223" s="4"/>
      <c r="YM223" s="4"/>
      <c r="YN223" s="4"/>
      <c r="YO223" s="4"/>
      <c r="YP223" s="4"/>
      <c r="YQ223" s="5"/>
      <c r="YR223" s="6"/>
      <c r="YS223" s="4"/>
      <c r="YT223" s="4"/>
      <c r="YU223" s="4"/>
      <c r="YV223" s="4"/>
      <c r="YW223" s="4"/>
      <c r="YX223" s="5"/>
      <c r="YY223" s="6"/>
      <c r="YZ223" s="4"/>
      <c r="ZA223" s="4"/>
      <c r="ZB223" s="4"/>
      <c r="ZC223" s="4"/>
      <c r="ZD223" s="4"/>
      <c r="ZE223" s="5"/>
      <c r="ZF223" s="6"/>
      <c r="ZG223" s="4"/>
      <c r="ZH223" s="4"/>
      <c r="ZI223" s="4"/>
      <c r="ZJ223" s="4"/>
      <c r="ZK223" s="4"/>
      <c r="ZL223" s="5"/>
      <c r="ZM223" s="6"/>
      <c r="ZN223" s="4"/>
      <c r="ZO223" s="4"/>
      <c r="ZP223" s="4"/>
      <c r="ZQ223" s="4"/>
      <c r="ZR223" s="4"/>
      <c r="ZS223" s="5"/>
      <c r="ZT223" s="6"/>
      <c r="ZU223" s="4"/>
      <c r="ZV223" s="4"/>
      <c r="ZW223" s="4"/>
      <c r="ZX223" s="4"/>
      <c r="ZY223" s="4"/>
      <c r="ZZ223" s="5"/>
      <c r="AAA223" s="6"/>
      <c r="AAB223" s="4"/>
      <c r="AAC223" s="4"/>
      <c r="AAD223" s="4"/>
      <c r="AAE223" s="4"/>
      <c r="AAF223" s="4"/>
      <c r="AAG223" s="5"/>
      <c r="AAH223" s="6"/>
      <c r="AAI223" s="4"/>
      <c r="AAJ223" s="4"/>
      <c r="AAK223" s="4"/>
      <c r="AAL223" s="4"/>
      <c r="AAM223" s="4"/>
      <c r="AAN223" s="5"/>
      <c r="AAO223" s="6"/>
      <c r="AAP223" s="4"/>
      <c r="AAQ223" s="4"/>
      <c r="AAR223" s="4"/>
      <c r="AAS223" s="4"/>
      <c r="AAT223" s="4"/>
      <c r="AAU223" s="5"/>
      <c r="AAV223" s="6"/>
      <c r="AAW223" s="4"/>
      <c r="AAX223" s="4"/>
      <c r="AAY223" s="4"/>
      <c r="AAZ223" s="4"/>
      <c r="ABA223" s="4"/>
      <c r="ABB223" s="5"/>
      <c r="ABC223" s="6"/>
      <c r="ABD223" s="4"/>
      <c r="ABE223" s="4"/>
      <c r="ABF223" s="4"/>
      <c r="ABG223" s="4"/>
      <c r="ABH223" s="4"/>
      <c r="ABI223" s="5"/>
      <c r="ABJ223" s="6"/>
      <c r="ABK223" s="4"/>
      <c r="ABL223" s="4"/>
      <c r="ABM223" s="4"/>
      <c r="ABN223" s="4"/>
      <c r="ABO223" s="4"/>
      <c r="ABP223" s="5"/>
      <c r="ABQ223" s="6"/>
      <c r="ABR223" s="4"/>
      <c r="ABS223" s="4"/>
      <c r="ABT223" s="4"/>
      <c r="ABU223" s="4"/>
      <c r="ABV223" s="4"/>
      <c r="ABW223" s="5"/>
      <c r="ABX223" s="6"/>
      <c r="ABY223" s="4"/>
      <c r="ABZ223" s="4"/>
      <c r="ACA223" s="4"/>
      <c r="ACB223" s="4"/>
      <c r="ACC223" s="4"/>
      <c r="ACD223" s="5"/>
      <c r="ACE223" s="6"/>
      <c r="ACF223" s="4"/>
      <c r="ACG223" s="4"/>
      <c r="ACH223" s="4"/>
      <c r="ACI223" s="4"/>
      <c r="ACJ223" s="4"/>
      <c r="ACK223" s="5"/>
      <c r="ACL223" s="6"/>
      <c r="ACM223" s="4"/>
      <c r="ACN223" s="4"/>
      <c r="ACO223" s="4"/>
      <c r="ACP223" s="4"/>
      <c r="ACQ223" s="4"/>
      <c r="ACR223" s="5"/>
      <c r="ACS223" s="6"/>
      <c r="ACT223" s="4"/>
      <c r="ACU223" s="4"/>
      <c r="ACV223" s="4"/>
      <c r="ACW223" s="4"/>
      <c r="ACX223" s="4"/>
      <c r="ACY223" s="5"/>
    </row>
    <row r="224" spans="1:779" x14ac:dyDescent="0.25">
      <c r="B224" s="29">
        <v>1502</v>
      </c>
      <c r="C224">
        <v>79</v>
      </c>
      <c r="D224" t="s">
        <v>3729</v>
      </c>
      <c r="F224" s="23" t="s">
        <v>1781</v>
      </c>
      <c r="I224">
        <v>1</v>
      </c>
      <c r="J224" s="19">
        <v>36468</v>
      </c>
      <c r="K224" s="19"/>
      <c r="L224" s="19"/>
      <c r="M224">
        <v>1</v>
      </c>
      <c r="N224" s="17">
        <v>36468</v>
      </c>
      <c r="Q224">
        <v>1</v>
      </c>
      <c r="V224">
        <v>1</v>
      </c>
      <c r="Y224">
        <v>1</v>
      </c>
      <c r="AQ224">
        <v>1</v>
      </c>
      <c r="AT224">
        <v>1</v>
      </c>
      <c r="BD224">
        <v>1</v>
      </c>
      <c r="BE224">
        <v>1</v>
      </c>
      <c r="IG224">
        <v>1</v>
      </c>
      <c r="LL224" s="6"/>
      <c r="LM224" s="4"/>
      <c r="LN224" s="4"/>
      <c r="LO224" s="4"/>
      <c r="LP224" s="4"/>
      <c r="LQ224" s="4"/>
      <c r="LR224" s="5"/>
      <c r="LS224" s="6" t="s">
        <v>3210</v>
      </c>
      <c r="LT224" s="4" t="s">
        <v>3211</v>
      </c>
      <c r="LU224" s="4"/>
      <c r="LV224" s="4"/>
      <c r="LW224" s="4"/>
      <c r="LX224" s="4"/>
      <c r="LY224" s="5"/>
      <c r="LZ224" s="6" t="s">
        <v>3206</v>
      </c>
      <c r="MA224" s="7" t="s">
        <v>2506</v>
      </c>
      <c r="MB224" s="7"/>
      <c r="MC224" s="4"/>
      <c r="MD224" s="8"/>
      <c r="ME224" s="8"/>
      <c r="MF224" s="8"/>
      <c r="MG224" s="5" t="s">
        <v>2025</v>
      </c>
      <c r="MH224" s="6"/>
      <c r="MI224" s="4"/>
      <c r="MJ224" s="4"/>
      <c r="MK224" s="4"/>
      <c r="ML224" s="4"/>
      <c r="MM224" s="4"/>
      <c r="MN224" s="5"/>
      <c r="MO224" s="6"/>
      <c r="MP224" s="4"/>
      <c r="MQ224" s="4"/>
      <c r="MR224" s="4"/>
      <c r="MS224" s="4"/>
      <c r="MT224" s="4"/>
      <c r="MU224" s="5"/>
      <c r="MV224" s="6"/>
      <c r="MW224" s="4"/>
      <c r="MX224" s="4"/>
      <c r="MY224" s="4"/>
      <c r="MZ224" s="4"/>
      <c r="NA224" s="4"/>
      <c r="NB224" s="5"/>
      <c r="NC224" s="6" t="s">
        <v>3204</v>
      </c>
      <c r="ND224" s="4" t="s">
        <v>3205</v>
      </c>
      <c r="NE224" s="4"/>
      <c r="NF224" s="4"/>
      <c r="NG224" s="4"/>
      <c r="NH224" s="4"/>
      <c r="NI224" s="5"/>
      <c r="NJ224" s="6"/>
      <c r="NK224" s="4"/>
      <c r="NL224" s="4"/>
      <c r="NM224" s="4"/>
      <c r="NN224" s="4"/>
      <c r="NO224" s="4"/>
      <c r="NP224" s="5"/>
      <c r="NQ224" s="6"/>
      <c r="NR224" s="4"/>
      <c r="NS224" s="4"/>
      <c r="NT224" s="4"/>
      <c r="NU224" s="4"/>
      <c r="NV224" s="4"/>
      <c r="NW224" s="5"/>
      <c r="NX224" s="6"/>
      <c r="NY224" s="4"/>
      <c r="NZ224" s="4"/>
      <c r="OA224" s="4"/>
      <c r="OB224" s="4"/>
      <c r="OC224" s="4"/>
      <c r="OD224" s="5"/>
      <c r="OE224" s="6"/>
      <c r="OF224" s="4"/>
      <c r="OG224" s="4"/>
      <c r="OH224" s="4"/>
      <c r="OI224" s="4"/>
      <c r="OJ224" s="4"/>
      <c r="OK224" s="5"/>
      <c r="OL224" s="6"/>
      <c r="OM224" s="4"/>
      <c r="ON224" s="4"/>
      <c r="OO224" s="4"/>
      <c r="OP224" s="4"/>
      <c r="OQ224" s="4"/>
      <c r="OR224" s="5"/>
      <c r="OS224" s="6"/>
      <c r="OT224" s="4"/>
      <c r="OU224" s="4"/>
      <c r="OV224" s="4"/>
      <c r="OW224" s="4"/>
      <c r="OX224" s="4"/>
      <c r="OY224" s="5"/>
      <c r="OZ224" s="6" t="s">
        <v>3393</v>
      </c>
      <c r="PA224" s="4" t="s">
        <v>2171</v>
      </c>
      <c r="PB224" s="4"/>
      <c r="PC224" s="4"/>
      <c r="PD224" s="4"/>
      <c r="PE224" s="4"/>
      <c r="PF224" s="5"/>
      <c r="PG224" s="6"/>
      <c r="PH224" s="4"/>
      <c r="PI224" s="4"/>
      <c r="PJ224" s="4"/>
      <c r="PK224" s="4"/>
      <c r="PL224" s="4"/>
      <c r="PM224" s="5"/>
      <c r="PN224" s="6"/>
      <c r="PO224" s="4"/>
      <c r="PP224" s="4"/>
      <c r="PQ224" s="4"/>
      <c r="PR224" s="4"/>
      <c r="PS224" s="4"/>
      <c r="PT224" s="5"/>
      <c r="PU224" s="6"/>
      <c r="PV224" s="4"/>
      <c r="PW224" s="4"/>
      <c r="PX224" s="4"/>
      <c r="PY224" s="4"/>
      <c r="PZ224" s="4"/>
      <c r="QA224" s="5"/>
      <c r="QB224" s="6" t="s">
        <v>3212</v>
      </c>
      <c r="QC224" s="4" t="s">
        <v>3060</v>
      </c>
      <c r="QD224" s="4"/>
      <c r="QE224" s="4"/>
      <c r="QF224" s="4"/>
      <c r="QG224" s="4"/>
      <c r="QH224" s="5" t="s">
        <v>3392</v>
      </c>
      <c r="QI224" s="6"/>
      <c r="QJ224" s="4"/>
      <c r="QK224" s="4"/>
      <c r="QL224" s="4"/>
      <c r="QM224" s="4"/>
      <c r="QN224" s="4"/>
      <c r="QO224" s="5"/>
      <c r="QP224" s="6"/>
      <c r="QQ224" s="4"/>
      <c r="QR224" s="4"/>
      <c r="QS224" s="4"/>
      <c r="QT224" s="4"/>
      <c r="QU224" s="4"/>
      <c r="QV224" s="5"/>
      <c r="QW224" s="6"/>
      <c r="QX224" s="4"/>
      <c r="QY224" s="4"/>
      <c r="QZ224" s="4"/>
      <c r="RA224" s="4"/>
      <c r="RB224" s="4"/>
      <c r="RC224" s="5"/>
      <c r="RD224" s="6"/>
      <c r="RE224" s="4"/>
      <c r="RF224" s="4"/>
      <c r="RG224" s="4"/>
      <c r="RH224" s="4"/>
      <c r="RI224" s="4"/>
      <c r="RJ224" s="5"/>
      <c r="RK224" s="6"/>
      <c r="RL224" s="4"/>
      <c r="RM224" s="4"/>
      <c r="RN224" s="4"/>
      <c r="RO224" s="4"/>
      <c r="RP224" s="4"/>
      <c r="RQ224" s="5"/>
      <c r="RR224" s="6"/>
      <c r="RS224" s="4"/>
      <c r="RT224" s="4"/>
      <c r="RU224" s="4"/>
      <c r="RV224" s="4"/>
      <c r="RW224" s="4"/>
      <c r="RX224" s="5"/>
      <c r="RY224" s="6"/>
      <c r="RZ224" s="4"/>
      <c r="SA224" s="4"/>
      <c r="SB224" s="4"/>
      <c r="SC224" s="4"/>
      <c r="SD224" s="4"/>
      <c r="SE224" s="5"/>
      <c r="SF224" s="6"/>
      <c r="SG224" s="4"/>
      <c r="SH224" s="4"/>
      <c r="SI224" s="4"/>
      <c r="SJ224" s="4"/>
      <c r="SK224" s="4"/>
      <c r="SL224" s="5"/>
      <c r="SM224" s="6"/>
      <c r="SN224" s="4"/>
      <c r="SO224" s="4"/>
      <c r="SP224" s="4"/>
      <c r="SQ224" s="4"/>
      <c r="SR224" s="4"/>
      <c r="SS224" s="5"/>
      <c r="ST224" s="6" t="s">
        <v>3496</v>
      </c>
      <c r="SU224" s="4" t="s">
        <v>3203</v>
      </c>
      <c r="SV224" s="4"/>
      <c r="SW224" s="4"/>
      <c r="SX224" s="4"/>
      <c r="SY224" s="4"/>
      <c r="SZ224" s="5"/>
      <c r="TA224" s="6"/>
      <c r="TB224" s="4"/>
      <c r="TC224" s="4"/>
      <c r="TD224" s="4"/>
      <c r="TE224" s="4"/>
      <c r="TF224" s="4"/>
      <c r="TG224" s="5"/>
      <c r="TH224" s="6"/>
      <c r="TI224" s="4"/>
      <c r="TJ224" s="4"/>
      <c r="TK224" s="4"/>
      <c r="TL224" s="4"/>
      <c r="TM224" s="4"/>
      <c r="TN224" s="5"/>
      <c r="TO224" s="6"/>
      <c r="TP224" s="4"/>
      <c r="TQ224" s="4"/>
      <c r="TR224" s="4"/>
      <c r="TS224" s="4"/>
      <c r="TT224" s="4"/>
      <c r="TU224" s="5"/>
      <c r="TV224" s="6"/>
      <c r="TW224" s="4"/>
      <c r="TX224" s="4"/>
      <c r="TY224" s="4"/>
      <c r="TZ224" s="4"/>
      <c r="UA224" s="4"/>
      <c r="UB224" s="5"/>
      <c r="UC224" s="6"/>
      <c r="UD224" s="4"/>
      <c r="UE224" s="4"/>
      <c r="UF224" s="4"/>
      <c r="UG224" s="4"/>
      <c r="UH224" s="4"/>
      <c r="UI224" s="5"/>
      <c r="UJ224" s="6"/>
      <c r="UK224" s="4"/>
      <c r="UL224" s="4"/>
      <c r="UM224" s="4"/>
      <c r="UN224" s="4"/>
      <c r="UO224" s="4"/>
      <c r="UP224" s="5"/>
      <c r="UQ224" s="6"/>
      <c r="UR224" s="4"/>
      <c r="US224" s="4"/>
      <c r="UT224" s="4"/>
      <c r="UU224" s="4"/>
      <c r="UV224" s="4"/>
      <c r="UW224" s="5"/>
      <c r="UX224" s="6" t="s">
        <v>3207</v>
      </c>
      <c r="UY224" s="4" t="s">
        <v>2651</v>
      </c>
      <c r="UZ224" s="4"/>
      <c r="VA224" s="4"/>
      <c r="VB224" s="4"/>
      <c r="VC224" s="4"/>
      <c r="VD224" s="5"/>
      <c r="VE224" s="6"/>
      <c r="VF224" s="4"/>
      <c r="VG224" s="4"/>
      <c r="VH224" s="4"/>
      <c r="VI224" s="4"/>
      <c r="VJ224" s="4"/>
      <c r="VK224" s="5"/>
      <c r="VL224" s="6"/>
      <c r="VM224" s="4"/>
      <c r="VN224" s="4"/>
      <c r="VO224" s="4"/>
      <c r="VP224" s="4"/>
      <c r="VQ224" s="4"/>
      <c r="VR224" s="5"/>
      <c r="VS224" s="6"/>
      <c r="VT224" s="4"/>
      <c r="VU224" s="4"/>
      <c r="VV224" s="4"/>
      <c r="VW224" s="4"/>
      <c r="VX224" s="4"/>
      <c r="VY224" s="5"/>
      <c r="VZ224" s="6"/>
      <c r="WA224" s="4"/>
      <c r="WB224" s="4"/>
      <c r="WC224" s="4"/>
      <c r="WD224" s="4"/>
      <c r="WE224" s="4"/>
      <c r="WF224" s="5"/>
      <c r="WG224" s="6"/>
      <c r="WH224" s="4"/>
      <c r="WI224" s="4"/>
      <c r="WJ224" s="4"/>
      <c r="WK224" s="4"/>
      <c r="WL224" s="4"/>
      <c r="WM224" s="5"/>
      <c r="WN224" s="6"/>
      <c r="WO224" s="4"/>
      <c r="WP224" s="4"/>
      <c r="WQ224" s="4"/>
      <c r="WR224" s="4"/>
      <c r="WS224" s="4"/>
      <c r="WT224" s="5"/>
      <c r="WU224" s="6"/>
      <c r="WV224" s="4"/>
      <c r="WW224" s="4"/>
      <c r="WX224" s="4"/>
      <c r="WY224" s="4"/>
      <c r="WZ224" s="4"/>
      <c r="XA224" s="5"/>
      <c r="XB224" s="6"/>
      <c r="XC224" s="4"/>
      <c r="XD224" s="4"/>
      <c r="XE224" s="4"/>
      <c r="XF224" s="4"/>
      <c r="XG224" s="4"/>
      <c r="XH224" s="5"/>
      <c r="XI224" s="6"/>
      <c r="XJ224" s="4"/>
      <c r="XK224" s="4"/>
      <c r="XL224" s="4"/>
      <c r="XM224" s="4"/>
      <c r="XN224" s="4"/>
      <c r="XO224" s="5"/>
      <c r="XP224" s="6"/>
      <c r="XQ224" s="4"/>
      <c r="XR224" s="4"/>
      <c r="XS224" s="4"/>
      <c r="XT224" s="4"/>
      <c r="XU224" s="4"/>
      <c r="XV224" s="5"/>
      <c r="XW224" s="6"/>
      <c r="XX224" s="4"/>
      <c r="XY224" s="4"/>
      <c r="XZ224" s="4"/>
      <c r="YA224" s="4"/>
      <c r="YB224" s="4"/>
      <c r="YC224" s="5"/>
      <c r="YD224" s="6"/>
      <c r="YE224" s="4"/>
      <c r="YF224" s="4"/>
      <c r="YG224" s="4"/>
      <c r="YH224" s="4"/>
      <c r="YI224" s="4"/>
      <c r="YJ224" s="5"/>
      <c r="YK224" s="6"/>
      <c r="YL224" s="4"/>
      <c r="YM224" s="4"/>
      <c r="YN224" s="4"/>
      <c r="YO224" s="4"/>
      <c r="YP224" s="4"/>
      <c r="YQ224" s="5"/>
      <c r="YR224" s="6"/>
      <c r="YS224" s="4"/>
      <c r="YT224" s="4"/>
      <c r="YU224" s="4"/>
      <c r="YV224" s="4"/>
      <c r="YW224" s="4"/>
      <c r="YX224" s="5"/>
      <c r="YY224" s="6"/>
      <c r="YZ224" s="4"/>
      <c r="ZA224" s="4"/>
      <c r="ZB224" s="4"/>
      <c r="ZC224" s="4"/>
      <c r="ZD224" s="4"/>
      <c r="ZE224" s="5"/>
      <c r="ZF224" s="6"/>
      <c r="ZG224" s="4"/>
      <c r="ZH224" s="4"/>
      <c r="ZI224" s="4"/>
      <c r="ZJ224" s="4"/>
      <c r="ZK224" s="4"/>
      <c r="ZL224" s="5"/>
      <c r="ZM224" s="6"/>
      <c r="ZN224" s="4"/>
      <c r="ZO224" s="4"/>
      <c r="ZP224" s="4"/>
      <c r="ZQ224" s="4"/>
      <c r="ZR224" s="4"/>
      <c r="ZS224" s="5"/>
      <c r="ZT224" s="6"/>
      <c r="ZU224" s="4"/>
      <c r="ZV224" s="4"/>
      <c r="ZW224" s="4"/>
      <c r="ZX224" s="4"/>
      <c r="ZY224" s="4"/>
      <c r="ZZ224" s="5"/>
      <c r="AAA224" s="6"/>
      <c r="AAB224" s="4"/>
      <c r="AAC224" s="4"/>
      <c r="AAD224" s="4"/>
      <c r="AAE224" s="4"/>
      <c r="AAF224" s="4"/>
      <c r="AAG224" s="5"/>
      <c r="AAH224" s="6"/>
      <c r="AAI224" s="4"/>
      <c r="AAJ224" s="4"/>
      <c r="AAK224" s="4"/>
      <c r="AAL224" s="4"/>
      <c r="AAM224" s="4"/>
      <c r="AAN224" s="5"/>
      <c r="AAO224" s="6"/>
      <c r="AAP224" s="4"/>
      <c r="AAQ224" s="4"/>
      <c r="AAR224" s="4"/>
      <c r="AAS224" s="4"/>
      <c r="AAT224" s="4"/>
      <c r="AAU224" s="5"/>
      <c r="AAV224" s="6"/>
      <c r="AAW224" s="4"/>
      <c r="AAX224" s="4"/>
      <c r="AAY224" s="4"/>
      <c r="AAZ224" s="4"/>
      <c r="ABA224" s="4"/>
      <c r="ABB224" s="5"/>
      <c r="ABC224" s="6"/>
      <c r="ABD224" s="4"/>
      <c r="ABE224" s="4"/>
      <c r="ABF224" s="4"/>
      <c r="ABG224" s="4"/>
      <c r="ABH224" s="4"/>
      <c r="ABI224" s="5"/>
      <c r="ABJ224" s="6"/>
      <c r="ABK224" s="4"/>
      <c r="ABL224" s="4"/>
      <c r="ABM224" s="4"/>
      <c r="ABN224" s="4"/>
      <c r="ABO224" s="4"/>
      <c r="ABP224" s="5"/>
      <c r="ABQ224" s="6"/>
      <c r="ABR224" s="4"/>
      <c r="ABS224" s="4"/>
      <c r="ABT224" s="4"/>
      <c r="ABU224" s="4"/>
      <c r="ABV224" s="4"/>
      <c r="ABW224" s="5"/>
      <c r="ABX224" s="6"/>
      <c r="ABY224" s="4"/>
      <c r="ABZ224" s="4"/>
      <c r="ACA224" s="4"/>
      <c r="ACB224" s="4"/>
      <c r="ACC224" s="4"/>
      <c r="ACD224" s="5"/>
      <c r="ACE224" s="6"/>
      <c r="ACF224" s="4"/>
      <c r="ACG224" s="4"/>
      <c r="ACH224" s="4"/>
      <c r="ACI224" s="4"/>
      <c r="ACJ224" s="4"/>
      <c r="ACK224" s="5"/>
      <c r="ACL224" s="6"/>
      <c r="ACM224" s="4"/>
      <c r="ACN224" s="4"/>
      <c r="ACO224" s="4"/>
      <c r="ACP224" s="4"/>
      <c r="ACQ224" s="4"/>
      <c r="ACR224" s="5"/>
      <c r="ACS224" s="6"/>
      <c r="ACT224" s="4"/>
      <c r="ACU224" s="4"/>
      <c r="ACV224" s="4"/>
      <c r="ACW224" s="4"/>
      <c r="ACX224" s="4"/>
      <c r="ACY224" s="5"/>
    </row>
    <row r="225" spans="2:805" x14ac:dyDescent="0.25">
      <c r="B225" s="30"/>
      <c r="J225" s="12"/>
      <c r="K225" s="12"/>
      <c r="L225" s="12"/>
      <c r="LL225" s="6"/>
      <c r="LM225" s="4"/>
      <c r="LN225" s="4"/>
      <c r="LO225" s="4"/>
      <c r="LP225" s="4"/>
      <c r="LQ225" s="4"/>
      <c r="LR225" s="5"/>
      <c r="LS225" s="6"/>
      <c r="LT225" s="4"/>
      <c r="LU225" s="4"/>
      <c r="LV225" s="4"/>
      <c r="LW225" s="4"/>
      <c r="LX225" s="4"/>
      <c r="LY225" s="5"/>
      <c r="LZ225" s="6" t="s">
        <v>3394</v>
      </c>
      <c r="MA225" s="7" t="s">
        <v>3050</v>
      </c>
      <c r="MB225" s="7"/>
      <c r="MC225" s="4"/>
      <c r="MD225" s="8"/>
      <c r="ME225" s="8"/>
      <c r="MF225" s="8" t="s">
        <v>3788</v>
      </c>
      <c r="MG225" s="5"/>
      <c r="MH225" s="6"/>
      <c r="MI225" s="4"/>
      <c r="MJ225" s="4"/>
      <c r="MK225" s="4"/>
      <c r="ML225" s="4"/>
      <c r="MM225" s="4"/>
      <c r="MN225" s="5"/>
      <c r="MO225" s="6"/>
      <c r="MP225" s="4"/>
      <c r="MQ225" s="4"/>
      <c r="MR225" s="4"/>
      <c r="MS225" s="4"/>
      <c r="MT225" s="4"/>
      <c r="MU225" s="5"/>
      <c r="MV225" s="6"/>
      <c r="MW225" s="4"/>
      <c r="MX225" s="4"/>
      <c r="MY225" s="4"/>
      <c r="MZ225" s="4"/>
      <c r="NA225" s="4"/>
      <c r="NB225" s="5"/>
      <c r="NC225" s="6" t="s">
        <v>3208</v>
      </c>
      <c r="ND225" s="4" t="s">
        <v>3209</v>
      </c>
      <c r="NE225" s="4"/>
      <c r="NF225" s="4"/>
      <c r="NG225" s="4"/>
      <c r="NH225" s="4"/>
      <c r="NI225" s="5"/>
      <c r="NJ225" s="6"/>
      <c r="NK225" s="4"/>
      <c r="NL225" s="4"/>
      <c r="NM225" s="4"/>
      <c r="NN225" s="4"/>
      <c r="NO225" s="4"/>
      <c r="NP225" s="5"/>
      <c r="NQ225" s="6"/>
      <c r="NR225" s="4"/>
      <c r="NS225" s="4"/>
      <c r="NT225" s="4"/>
      <c r="NU225" s="4"/>
      <c r="NV225" s="4"/>
      <c r="NW225" s="5"/>
      <c r="NX225" s="6"/>
      <c r="NY225" s="4"/>
      <c r="NZ225" s="4"/>
      <c r="OA225" s="4"/>
      <c r="OB225" s="4"/>
      <c r="OC225" s="4"/>
      <c r="OD225" s="5"/>
      <c r="OE225" s="6"/>
      <c r="OF225" s="4"/>
      <c r="OG225" s="4"/>
      <c r="OH225" s="4"/>
      <c r="OI225" s="4"/>
      <c r="OJ225" s="4"/>
      <c r="OK225" s="5"/>
      <c r="OL225" s="6"/>
      <c r="OM225" s="4"/>
      <c r="ON225" s="4"/>
      <c r="OO225" s="4"/>
      <c r="OP225" s="4"/>
      <c r="OQ225" s="4"/>
      <c r="OR225" s="5"/>
      <c r="OS225" s="6"/>
      <c r="OT225" s="4"/>
      <c r="OU225" s="4"/>
      <c r="OV225" s="4"/>
      <c r="OW225" s="4"/>
      <c r="OX225" s="4"/>
      <c r="OY225" s="5"/>
      <c r="OZ225" s="6"/>
      <c r="PA225" s="4"/>
      <c r="PB225" s="4"/>
      <c r="PC225" s="4"/>
      <c r="PD225" s="4"/>
      <c r="PE225" s="4"/>
      <c r="PF225" s="5"/>
      <c r="PG225" s="6"/>
      <c r="PH225" s="4"/>
      <c r="PI225" s="4"/>
      <c r="PJ225" s="4"/>
      <c r="PK225" s="4"/>
      <c r="PL225" s="4"/>
      <c r="PM225" s="5"/>
      <c r="PN225" s="6"/>
      <c r="PO225" s="4"/>
      <c r="PP225" s="4"/>
      <c r="PQ225" s="4"/>
      <c r="PR225" s="4"/>
      <c r="PS225" s="4"/>
      <c r="PT225" s="5"/>
      <c r="PU225" s="6"/>
      <c r="PV225" s="4"/>
      <c r="PW225" s="4"/>
      <c r="PX225" s="4"/>
      <c r="PY225" s="4"/>
      <c r="PZ225" s="4"/>
      <c r="QA225" s="5"/>
      <c r="QB225" s="6"/>
      <c r="QC225" s="4"/>
      <c r="QD225" s="4"/>
      <c r="QE225" s="4"/>
      <c r="QF225" s="4"/>
      <c r="QG225" s="4"/>
      <c r="QH225" s="5"/>
      <c r="QI225" s="6"/>
      <c r="QJ225" s="4"/>
      <c r="QK225" s="4"/>
      <c r="QL225" s="4"/>
      <c r="QM225" s="4"/>
      <c r="QN225" s="4"/>
      <c r="QO225" s="5"/>
      <c r="QP225" s="6"/>
      <c r="QQ225" s="4"/>
      <c r="QR225" s="4"/>
      <c r="QS225" s="4"/>
      <c r="QT225" s="4"/>
      <c r="QU225" s="4"/>
      <c r="QV225" s="5"/>
      <c r="QW225" s="6"/>
      <c r="QX225" s="4"/>
      <c r="QY225" s="4"/>
      <c r="QZ225" s="4"/>
      <c r="RA225" s="4"/>
      <c r="RB225" s="4"/>
      <c r="RC225" s="5"/>
      <c r="RD225" s="6"/>
      <c r="RE225" s="4"/>
      <c r="RF225" s="4"/>
      <c r="RG225" s="4"/>
      <c r="RH225" s="4"/>
      <c r="RI225" s="4"/>
      <c r="RJ225" s="5"/>
      <c r="RK225" s="6"/>
      <c r="RL225" s="4"/>
      <c r="RM225" s="4"/>
      <c r="RN225" s="4"/>
      <c r="RO225" s="4"/>
      <c r="RP225" s="4"/>
      <c r="RQ225" s="5"/>
      <c r="RR225" s="6"/>
      <c r="RS225" s="4"/>
      <c r="RT225" s="4"/>
      <c r="RU225" s="4"/>
      <c r="RV225" s="4"/>
      <c r="RW225" s="4"/>
      <c r="RX225" s="5"/>
      <c r="RY225" s="6"/>
      <c r="RZ225" s="4"/>
      <c r="SA225" s="4"/>
      <c r="SB225" s="4"/>
      <c r="SC225" s="4"/>
      <c r="SD225" s="4"/>
      <c r="SE225" s="5"/>
      <c r="SF225" s="6"/>
      <c r="SG225" s="4"/>
      <c r="SH225" s="4"/>
      <c r="SI225" s="4"/>
      <c r="SJ225" s="4"/>
      <c r="SK225" s="4"/>
      <c r="SL225" s="5"/>
      <c r="SM225" s="6"/>
      <c r="SN225" s="4"/>
      <c r="SO225" s="4"/>
      <c r="SP225" s="4"/>
      <c r="SQ225" s="4"/>
      <c r="SR225" s="4"/>
      <c r="SS225" s="5"/>
      <c r="ST225" s="6"/>
      <c r="SU225" s="4"/>
      <c r="SV225" s="4"/>
      <c r="SW225" s="4"/>
      <c r="SX225" s="4"/>
      <c r="SY225" s="4"/>
      <c r="SZ225" s="5"/>
      <c r="TA225" s="6"/>
      <c r="TB225" s="4"/>
      <c r="TC225" s="4"/>
      <c r="TD225" s="4"/>
      <c r="TE225" s="4"/>
      <c r="TF225" s="4"/>
      <c r="TG225" s="5"/>
      <c r="TH225" s="6"/>
      <c r="TI225" s="4"/>
      <c r="TJ225" s="4"/>
      <c r="TK225" s="4"/>
      <c r="TL225" s="4"/>
      <c r="TM225" s="4"/>
      <c r="TN225" s="5"/>
      <c r="TO225" s="6"/>
      <c r="TP225" s="4"/>
      <c r="TQ225" s="4"/>
      <c r="TR225" s="4"/>
      <c r="TS225" s="4"/>
      <c r="TT225" s="4"/>
      <c r="TU225" s="5"/>
      <c r="TV225" s="6"/>
      <c r="TW225" s="4"/>
      <c r="TX225" s="4"/>
      <c r="TY225" s="4"/>
      <c r="TZ225" s="4"/>
      <c r="UA225" s="4"/>
      <c r="UB225" s="5"/>
      <c r="UC225" s="6"/>
      <c r="UD225" s="4"/>
      <c r="UE225" s="4"/>
      <c r="UF225" s="4"/>
      <c r="UG225" s="4"/>
      <c r="UH225" s="4"/>
      <c r="UI225" s="5"/>
      <c r="UJ225" s="6"/>
      <c r="UK225" s="4"/>
      <c r="UL225" s="4"/>
      <c r="UM225" s="4"/>
      <c r="UN225" s="4"/>
      <c r="UO225" s="4"/>
      <c r="UP225" s="5"/>
      <c r="UQ225" s="6"/>
      <c r="UR225" s="4"/>
      <c r="US225" s="4"/>
      <c r="UT225" s="4"/>
      <c r="UU225" s="4"/>
      <c r="UV225" s="4"/>
      <c r="UW225" s="5"/>
      <c r="UX225" s="6"/>
      <c r="UY225" s="4"/>
      <c r="UZ225" s="4"/>
      <c r="VA225" s="4"/>
      <c r="VB225" s="4"/>
      <c r="VC225" s="4"/>
      <c r="VD225" s="5"/>
      <c r="VE225" s="6"/>
      <c r="VF225" s="4"/>
      <c r="VG225" s="4"/>
      <c r="VH225" s="4"/>
      <c r="VI225" s="4"/>
      <c r="VJ225" s="4"/>
      <c r="VK225" s="5"/>
      <c r="VL225" s="6"/>
      <c r="VM225" s="4"/>
      <c r="VN225" s="4"/>
      <c r="VO225" s="4"/>
      <c r="VP225" s="4"/>
      <c r="VQ225" s="4"/>
      <c r="VR225" s="5"/>
      <c r="VS225" s="6"/>
      <c r="VT225" s="4"/>
      <c r="VU225" s="4"/>
      <c r="VV225" s="4"/>
      <c r="VW225" s="4"/>
      <c r="VX225" s="4"/>
      <c r="VY225" s="5"/>
      <c r="VZ225" s="6"/>
      <c r="WA225" s="4"/>
      <c r="WB225" s="4"/>
      <c r="WC225" s="4"/>
      <c r="WD225" s="4"/>
      <c r="WE225" s="4"/>
      <c r="WF225" s="5"/>
      <c r="WG225" s="6"/>
      <c r="WH225" s="4"/>
      <c r="WI225" s="4"/>
      <c r="WJ225" s="4"/>
      <c r="WK225" s="4"/>
      <c r="WL225" s="4"/>
      <c r="WM225" s="5"/>
      <c r="WN225" s="6"/>
      <c r="WO225" s="4"/>
      <c r="WP225" s="4"/>
      <c r="WQ225" s="4"/>
      <c r="WR225" s="4"/>
      <c r="WS225" s="4"/>
      <c r="WT225" s="5"/>
      <c r="WU225" s="6"/>
      <c r="WV225" s="4"/>
      <c r="WW225" s="4"/>
      <c r="WX225" s="4"/>
      <c r="WY225" s="4"/>
      <c r="WZ225" s="4"/>
      <c r="XA225" s="5"/>
      <c r="XB225" s="6"/>
      <c r="XC225" s="4"/>
      <c r="XD225" s="4"/>
      <c r="XE225" s="4"/>
      <c r="XF225" s="4"/>
      <c r="XG225" s="4"/>
      <c r="XH225" s="5"/>
      <c r="XI225" s="6"/>
      <c r="XJ225" s="4"/>
      <c r="XK225" s="4"/>
      <c r="XL225" s="4"/>
      <c r="XM225" s="4"/>
      <c r="XN225" s="4"/>
      <c r="XO225" s="5"/>
      <c r="XP225" s="6"/>
      <c r="XQ225" s="4"/>
      <c r="XR225" s="4"/>
      <c r="XS225" s="4"/>
      <c r="XT225" s="4"/>
      <c r="XU225" s="4"/>
      <c r="XV225" s="5"/>
      <c r="XW225" s="6"/>
      <c r="XX225" s="4"/>
      <c r="XY225" s="4"/>
      <c r="XZ225" s="4"/>
      <c r="YA225" s="4"/>
      <c r="YB225" s="4"/>
      <c r="YC225" s="5"/>
      <c r="YD225" s="6"/>
      <c r="YE225" s="4"/>
      <c r="YF225" s="4"/>
      <c r="YG225" s="4"/>
      <c r="YH225" s="4"/>
      <c r="YI225" s="4"/>
      <c r="YJ225" s="5"/>
      <c r="YK225" s="6"/>
      <c r="YL225" s="4"/>
      <c r="YM225" s="4"/>
      <c r="YN225" s="4"/>
      <c r="YO225" s="4"/>
      <c r="YP225" s="4"/>
      <c r="YQ225" s="5"/>
      <c r="YR225" s="6"/>
      <c r="YS225" s="4"/>
      <c r="YT225" s="4"/>
      <c r="YU225" s="4"/>
      <c r="YV225" s="4"/>
      <c r="YW225" s="4"/>
      <c r="YX225" s="5"/>
      <c r="YY225" s="6"/>
      <c r="YZ225" s="4"/>
      <c r="ZA225" s="4"/>
      <c r="ZB225" s="4"/>
      <c r="ZC225" s="4"/>
      <c r="ZD225" s="4"/>
      <c r="ZE225" s="5"/>
      <c r="ZF225" s="6"/>
      <c r="ZG225" s="4"/>
      <c r="ZH225" s="4"/>
      <c r="ZI225" s="4"/>
      <c r="ZJ225" s="4"/>
      <c r="ZK225" s="4"/>
      <c r="ZL225" s="5"/>
      <c r="ZM225" s="6"/>
      <c r="ZN225" s="4"/>
      <c r="ZO225" s="4"/>
      <c r="ZP225" s="4"/>
      <c r="ZQ225" s="4"/>
      <c r="ZR225" s="4"/>
      <c r="ZS225" s="5"/>
      <c r="ZT225" s="6"/>
      <c r="ZU225" s="4"/>
      <c r="ZV225" s="4"/>
      <c r="ZW225" s="4"/>
      <c r="ZX225" s="4"/>
      <c r="ZY225" s="4"/>
      <c r="ZZ225" s="5"/>
      <c r="AAA225" s="6"/>
      <c r="AAB225" s="4"/>
      <c r="AAC225" s="4"/>
      <c r="AAD225" s="4"/>
      <c r="AAE225" s="4"/>
      <c r="AAF225" s="4"/>
      <c r="AAG225" s="5"/>
      <c r="AAH225" s="6"/>
      <c r="AAI225" s="4"/>
      <c r="AAJ225" s="4"/>
      <c r="AAK225" s="4"/>
      <c r="AAL225" s="4"/>
      <c r="AAM225" s="4"/>
      <c r="AAN225" s="5"/>
      <c r="AAO225" s="6"/>
      <c r="AAP225" s="4"/>
      <c r="AAQ225" s="4"/>
      <c r="AAR225" s="4"/>
      <c r="AAS225" s="4"/>
      <c r="AAT225" s="4"/>
      <c r="AAU225" s="5"/>
      <c r="AAV225" s="6"/>
      <c r="AAW225" s="4"/>
      <c r="AAX225" s="4"/>
      <c r="AAY225" s="4"/>
      <c r="AAZ225" s="4"/>
      <c r="ABA225" s="4"/>
      <c r="ABB225" s="5"/>
      <c r="ABC225" s="6"/>
      <c r="ABD225" s="4"/>
      <c r="ABE225" s="4"/>
      <c r="ABF225" s="4"/>
      <c r="ABG225" s="4"/>
      <c r="ABH225" s="4"/>
      <c r="ABI225" s="5"/>
      <c r="ABJ225" s="6"/>
      <c r="ABK225" s="4"/>
      <c r="ABL225" s="4"/>
      <c r="ABM225" s="4"/>
      <c r="ABN225" s="4"/>
      <c r="ABO225" s="4"/>
      <c r="ABP225" s="5"/>
      <c r="ABQ225" s="6"/>
      <c r="ABR225" s="4"/>
      <c r="ABS225" s="4"/>
      <c r="ABT225" s="4"/>
      <c r="ABU225" s="4"/>
      <c r="ABV225" s="4"/>
      <c r="ABW225" s="5"/>
      <c r="ABX225" s="6"/>
      <c r="ABY225" s="4"/>
      <c r="ABZ225" s="4"/>
      <c r="ACA225" s="4"/>
      <c r="ACB225" s="4"/>
      <c r="ACC225" s="4"/>
      <c r="ACD225" s="5"/>
      <c r="ACE225" s="6"/>
      <c r="ACF225" s="4"/>
      <c r="ACG225" s="4"/>
      <c r="ACH225" s="4"/>
      <c r="ACI225" s="4"/>
      <c r="ACJ225" s="4"/>
      <c r="ACK225" s="5"/>
      <c r="ACL225" s="6"/>
      <c r="ACM225" s="4"/>
      <c r="ACN225" s="4"/>
      <c r="ACO225" s="4"/>
      <c r="ACP225" s="4"/>
      <c r="ACQ225" s="4"/>
      <c r="ACR225" s="5"/>
      <c r="ACS225" s="6"/>
      <c r="ACT225" s="4"/>
      <c r="ACU225" s="4"/>
      <c r="ACV225" s="4"/>
      <c r="ACW225" s="4"/>
      <c r="ACX225" s="4"/>
      <c r="ACY225" s="5"/>
    </row>
    <row r="226" spans="2:805" x14ac:dyDescent="0.25">
      <c r="B226" s="30"/>
      <c r="J226" s="12"/>
      <c r="K226" s="12"/>
      <c r="L226" s="12"/>
      <c r="LL226" s="6"/>
      <c r="LM226" s="4"/>
      <c r="LN226" s="4"/>
      <c r="LO226" s="4"/>
      <c r="LP226" s="4"/>
      <c r="LQ226" s="4"/>
      <c r="LR226" s="5"/>
      <c r="LS226" s="6"/>
      <c r="LT226" s="4"/>
      <c r="LU226" s="4"/>
      <c r="LV226" s="4"/>
      <c r="LW226" s="4"/>
      <c r="LX226" s="4"/>
      <c r="LY226" s="5"/>
      <c r="LZ226" s="6" t="s">
        <v>2698</v>
      </c>
      <c r="MA226" s="7" t="s">
        <v>2525</v>
      </c>
      <c r="MB226" s="7"/>
      <c r="MC226" s="4"/>
      <c r="MD226" s="8"/>
      <c r="ME226" s="8"/>
      <c r="MF226" s="8"/>
      <c r="MG226" s="5"/>
      <c r="MH226" s="6"/>
      <c r="MI226" s="4"/>
      <c r="MJ226" s="4"/>
      <c r="MK226" s="4"/>
      <c r="ML226" s="4"/>
      <c r="MM226" s="4"/>
      <c r="MN226" s="5"/>
      <c r="MO226" s="6"/>
      <c r="MP226" s="4"/>
      <c r="MQ226" s="4"/>
      <c r="MR226" s="4"/>
      <c r="MS226" s="4"/>
      <c r="MT226" s="4"/>
      <c r="MU226" s="5"/>
      <c r="MV226" s="6"/>
      <c r="MW226" s="4"/>
      <c r="MX226" s="4"/>
      <c r="MY226" s="4"/>
      <c r="MZ226" s="4"/>
      <c r="NA226" s="4"/>
      <c r="NB226" s="5"/>
      <c r="NC226" s="6"/>
      <c r="ND226" s="4"/>
      <c r="NE226" s="4"/>
      <c r="NF226" s="4"/>
      <c r="NG226" s="4"/>
      <c r="NH226" s="4"/>
      <c r="NI226" s="5"/>
      <c r="NJ226" s="6"/>
      <c r="NK226" s="4"/>
      <c r="NL226" s="4"/>
      <c r="NM226" s="4"/>
      <c r="NN226" s="4"/>
      <c r="NO226" s="4"/>
      <c r="NP226" s="5"/>
      <c r="NQ226" s="6"/>
      <c r="NR226" s="4"/>
      <c r="NS226" s="4"/>
      <c r="NT226" s="4"/>
      <c r="NU226" s="4"/>
      <c r="NV226" s="4"/>
      <c r="NW226" s="5"/>
      <c r="NX226" s="6"/>
      <c r="NY226" s="4"/>
      <c r="NZ226" s="4"/>
      <c r="OA226" s="4"/>
      <c r="OB226" s="4"/>
      <c r="OC226" s="4"/>
      <c r="OD226" s="5"/>
      <c r="OE226" s="6"/>
      <c r="OF226" s="4"/>
      <c r="OG226" s="4"/>
      <c r="OH226" s="4"/>
      <c r="OI226" s="4"/>
      <c r="OJ226" s="4"/>
      <c r="OK226" s="5"/>
      <c r="OL226" s="6"/>
      <c r="OM226" s="4"/>
      <c r="ON226" s="4"/>
      <c r="OO226" s="4"/>
      <c r="OP226" s="4"/>
      <c r="OQ226" s="4"/>
      <c r="OR226" s="5"/>
      <c r="OS226" s="6"/>
      <c r="OT226" s="4"/>
      <c r="OU226" s="4"/>
      <c r="OV226" s="4"/>
      <c r="OW226" s="4"/>
      <c r="OX226" s="4"/>
      <c r="OY226" s="5"/>
      <c r="OZ226" s="6"/>
      <c r="PA226" s="4"/>
      <c r="PB226" s="4"/>
      <c r="PC226" s="4"/>
      <c r="PD226" s="4"/>
      <c r="PE226" s="4"/>
      <c r="PF226" s="5"/>
      <c r="PG226" s="6"/>
      <c r="PH226" s="4"/>
      <c r="PI226" s="4"/>
      <c r="PJ226" s="4"/>
      <c r="PK226" s="4"/>
      <c r="PL226" s="4"/>
      <c r="PM226" s="5"/>
      <c r="PN226" s="6"/>
      <c r="PO226" s="4"/>
      <c r="PP226" s="4"/>
      <c r="PQ226" s="4"/>
      <c r="PR226" s="4"/>
      <c r="PS226" s="4"/>
      <c r="PT226" s="5"/>
      <c r="PU226" s="6"/>
      <c r="PV226" s="4"/>
      <c r="PW226" s="4"/>
      <c r="PX226" s="4"/>
      <c r="PY226" s="4"/>
      <c r="PZ226" s="4"/>
      <c r="QA226" s="5"/>
      <c r="QB226" s="6"/>
      <c r="QC226" s="4"/>
      <c r="QD226" s="4"/>
      <c r="QE226" s="4"/>
      <c r="QF226" s="4"/>
      <c r="QG226" s="4"/>
      <c r="QH226" s="5"/>
      <c r="QI226" s="6"/>
      <c r="QJ226" s="4"/>
      <c r="QK226" s="4"/>
      <c r="QL226" s="4"/>
      <c r="QM226" s="4"/>
      <c r="QN226" s="4"/>
      <c r="QO226" s="5"/>
      <c r="QP226" s="6"/>
      <c r="QQ226" s="4"/>
      <c r="QR226" s="4"/>
      <c r="QS226" s="4"/>
      <c r="QT226" s="4"/>
      <c r="QU226" s="4"/>
      <c r="QV226" s="5"/>
      <c r="QW226" s="6"/>
      <c r="QX226" s="4"/>
      <c r="QY226" s="4"/>
      <c r="QZ226" s="4"/>
      <c r="RA226" s="4"/>
      <c r="RB226" s="4"/>
      <c r="RC226" s="5"/>
      <c r="RD226" s="6"/>
      <c r="RE226" s="4"/>
      <c r="RF226" s="4"/>
      <c r="RG226" s="4"/>
      <c r="RH226" s="4"/>
      <c r="RI226" s="4"/>
      <c r="RJ226" s="5"/>
      <c r="RK226" s="6"/>
      <c r="RL226" s="4"/>
      <c r="RM226" s="4"/>
      <c r="RN226" s="4"/>
      <c r="RO226" s="4"/>
      <c r="RP226" s="4"/>
      <c r="RQ226" s="5"/>
      <c r="RR226" s="6"/>
      <c r="RS226" s="4"/>
      <c r="RT226" s="4"/>
      <c r="RU226" s="4"/>
      <c r="RV226" s="4"/>
      <c r="RW226" s="4"/>
      <c r="RX226" s="5"/>
      <c r="RY226" s="6"/>
      <c r="RZ226" s="4"/>
      <c r="SA226" s="4"/>
      <c r="SB226" s="4"/>
      <c r="SC226" s="4"/>
      <c r="SD226" s="4"/>
      <c r="SE226" s="5"/>
      <c r="SF226" s="6"/>
      <c r="SG226" s="4"/>
      <c r="SH226" s="4"/>
      <c r="SI226" s="4"/>
      <c r="SJ226" s="4"/>
      <c r="SK226" s="4"/>
      <c r="SL226" s="5"/>
      <c r="SM226" s="6"/>
      <c r="SN226" s="4"/>
      <c r="SO226" s="4"/>
      <c r="SP226" s="4"/>
      <c r="SQ226" s="4"/>
      <c r="SR226" s="4"/>
      <c r="SS226" s="5"/>
      <c r="ST226" s="6"/>
      <c r="SU226" s="4"/>
      <c r="SV226" s="4"/>
      <c r="SW226" s="4"/>
      <c r="SX226" s="4"/>
      <c r="SY226" s="4"/>
      <c r="SZ226" s="5"/>
      <c r="TA226" s="6"/>
      <c r="TB226" s="4"/>
      <c r="TC226" s="4"/>
      <c r="TD226" s="4"/>
      <c r="TE226" s="4"/>
      <c r="TF226" s="4"/>
      <c r="TG226" s="5"/>
      <c r="TH226" s="6"/>
      <c r="TI226" s="4"/>
      <c r="TJ226" s="4"/>
      <c r="TK226" s="4"/>
      <c r="TL226" s="4"/>
      <c r="TM226" s="4"/>
      <c r="TN226" s="5"/>
      <c r="TO226" s="6"/>
      <c r="TP226" s="4"/>
      <c r="TQ226" s="4"/>
      <c r="TR226" s="4"/>
      <c r="TS226" s="4"/>
      <c r="TT226" s="4"/>
      <c r="TU226" s="5"/>
      <c r="TV226" s="6"/>
      <c r="TW226" s="4"/>
      <c r="TX226" s="4"/>
      <c r="TY226" s="4"/>
      <c r="TZ226" s="4"/>
      <c r="UA226" s="4"/>
      <c r="UB226" s="5"/>
      <c r="UC226" s="6"/>
      <c r="UD226" s="4"/>
      <c r="UE226" s="4"/>
      <c r="UF226" s="4"/>
      <c r="UG226" s="4"/>
      <c r="UH226" s="4"/>
      <c r="UI226" s="5"/>
      <c r="UJ226" s="6"/>
      <c r="UK226" s="4"/>
      <c r="UL226" s="4"/>
      <c r="UM226" s="4"/>
      <c r="UN226" s="4"/>
      <c r="UO226" s="4"/>
      <c r="UP226" s="5"/>
      <c r="UQ226" s="6"/>
      <c r="UR226" s="4"/>
      <c r="US226" s="4"/>
      <c r="UT226" s="4"/>
      <c r="UU226" s="4"/>
      <c r="UV226" s="4"/>
      <c r="UW226" s="5"/>
      <c r="UX226" s="6"/>
      <c r="UY226" s="4"/>
      <c r="UZ226" s="4"/>
      <c r="VA226" s="4"/>
      <c r="VB226" s="4"/>
      <c r="VC226" s="4"/>
      <c r="VD226" s="5"/>
      <c r="VE226" s="6"/>
      <c r="VF226" s="4"/>
      <c r="VG226" s="4"/>
      <c r="VH226" s="4"/>
      <c r="VI226" s="4"/>
      <c r="VJ226" s="4"/>
      <c r="VK226" s="5"/>
      <c r="VL226" s="6"/>
      <c r="VM226" s="4"/>
      <c r="VN226" s="4"/>
      <c r="VO226" s="4"/>
      <c r="VP226" s="4"/>
      <c r="VQ226" s="4"/>
      <c r="VR226" s="5"/>
      <c r="VS226" s="6"/>
      <c r="VT226" s="4"/>
      <c r="VU226" s="4"/>
      <c r="VV226" s="4"/>
      <c r="VW226" s="4"/>
      <c r="VX226" s="4"/>
      <c r="VY226" s="5"/>
      <c r="VZ226" s="6"/>
      <c r="WA226" s="4"/>
      <c r="WB226" s="4"/>
      <c r="WC226" s="4"/>
      <c r="WD226" s="4"/>
      <c r="WE226" s="4"/>
      <c r="WF226" s="5"/>
      <c r="WG226" s="6"/>
      <c r="WH226" s="4"/>
      <c r="WI226" s="4"/>
      <c r="WJ226" s="4"/>
      <c r="WK226" s="4"/>
      <c r="WL226" s="4"/>
      <c r="WM226" s="5"/>
      <c r="WN226" s="6"/>
      <c r="WO226" s="4"/>
      <c r="WP226" s="4"/>
      <c r="WQ226" s="4"/>
      <c r="WR226" s="4"/>
      <c r="WS226" s="4"/>
      <c r="WT226" s="5"/>
      <c r="WU226" s="6"/>
      <c r="WV226" s="4"/>
      <c r="WW226" s="4"/>
      <c r="WX226" s="4"/>
      <c r="WY226" s="4"/>
      <c r="WZ226" s="4"/>
      <c r="XA226" s="5"/>
      <c r="XB226" s="6"/>
      <c r="XC226" s="4"/>
      <c r="XD226" s="4"/>
      <c r="XE226" s="4"/>
      <c r="XF226" s="4"/>
      <c r="XG226" s="4"/>
      <c r="XH226" s="5"/>
      <c r="XI226" s="6"/>
      <c r="XJ226" s="4"/>
      <c r="XK226" s="4"/>
      <c r="XL226" s="4"/>
      <c r="XM226" s="4"/>
      <c r="XN226" s="4"/>
      <c r="XO226" s="5"/>
      <c r="XP226" s="6"/>
      <c r="XQ226" s="4"/>
      <c r="XR226" s="4"/>
      <c r="XS226" s="4"/>
      <c r="XT226" s="4"/>
      <c r="XU226" s="4"/>
      <c r="XV226" s="5"/>
      <c r="XW226" s="6"/>
      <c r="XX226" s="4"/>
      <c r="XY226" s="4"/>
      <c r="XZ226" s="4"/>
      <c r="YA226" s="4"/>
      <c r="YB226" s="4"/>
      <c r="YC226" s="5"/>
      <c r="YD226" s="6"/>
      <c r="YE226" s="4"/>
      <c r="YF226" s="4"/>
      <c r="YG226" s="4"/>
      <c r="YH226" s="4"/>
      <c r="YI226" s="4"/>
      <c r="YJ226" s="5"/>
      <c r="YK226" s="6"/>
      <c r="YL226" s="4"/>
      <c r="YM226" s="4"/>
      <c r="YN226" s="4"/>
      <c r="YO226" s="4"/>
      <c r="YP226" s="4"/>
      <c r="YQ226" s="5"/>
      <c r="YR226" s="6"/>
      <c r="YS226" s="4"/>
      <c r="YT226" s="4"/>
      <c r="YU226" s="4"/>
      <c r="YV226" s="4"/>
      <c r="YW226" s="4"/>
      <c r="YX226" s="5"/>
      <c r="YY226" s="6"/>
      <c r="YZ226" s="4"/>
      <c r="ZA226" s="4"/>
      <c r="ZB226" s="4"/>
      <c r="ZC226" s="4"/>
      <c r="ZD226" s="4"/>
      <c r="ZE226" s="5"/>
      <c r="ZF226" s="6"/>
      <c r="ZG226" s="4"/>
      <c r="ZH226" s="4"/>
      <c r="ZI226" s="4"/>
      <c r="ZJ226" s="4"/>
      <c r="ZK226" s="4"/>
      <c r="ZL226" s="5"/>
      <c r="ZM226" s="6"/>
      <c r="ZN226" s="4"/>
      <c r="ZO226" s="4"/>
      <c r="ZP226" s="4"/>
      <c r="ZQ226" s="4"/>
      <c r="ZR226" s="4"/>
      <c r="ZS226" s="5"/>
      <c r="ZT226" s="6"/>
      <c r="ZU226" s="4"/>
      <c r="ZV226" s="4"/>
      <c r="ZW226" s="4"/>
      <c r="ZX226" s="4"/>
      <c r="ZY226" s="4"/>
      <c r="ZZ226" s="5"/>
      <c r="AAA226" s="6"/>
      <c r="AAB226" s="4"/>
      <c r="AAC226" s="4"/>
      <c r="AAD226" s="4"/>
      <c r="AAE226" s="4"/>
      <c r="AAF226" s="4"/>
      <c r="AAG226" s="5"/>
      <c r="AAH226" s="6"/>
      <c r="AAI226" s="4"/>
      <c r="AAJ226" s="4"/>
      <c r="AAK226" s="4"/>
      <c r="AAL226" s="4"/>
      <c r="AAM226" s="4"/>
      <c r="AAN226" s="5"/>
      <c r="AAO226" s="6"/>
      <c r="AAP226" s="4"/>
      <c r="AAQ226" s="4"/>
      <c r="AAR226" s="4"/>
      <c r="AAS226" s="4"/>
      <c r="AAT226" s="4"/>
      <c r="AAU226" s="5"/>
      <c r="AAV226" s="6"/>
      <c r="AAW226" s="4"/>
      <c r="AAX226" s="4"/>
      <c r="AAY226" s="4"/>
      <c r="AAZ226" s="4"/>
      <c r="ABA226" s="4"/>
      <c r="ABB226" s="5"/>
      <c r="ABC226" s="6"/>
      <c r="ABD226" s="4"/>
      <c r="ABE226" s="4"/>
      <c r="ABF226" s="4"/>
      <c r="ABG226" s="4"/>
      <c r="ABH226" s="4"/>
      <c r="ABI226" s="5"/>
      <c r="ABJ226" s="6"/>
      <c r="ABK226" s="4"/>
      <c r="ABL226" s="4"/>
      <c r="ABM226" s="4"/>
      <c r="ABN226" s="4"/>
      <c r="ABO226" s="4"/>
      <c r="ABP226" s="5"/>
      <c r="ABQ226" s="6"/>
      <c r="ABR226" s="4"/>
      <c r="ABS226" s="4"/>
      <c r="ABT226" s="4"/>
      <c r="ABU226" s="4"/>
      <c r="ABV226" s="4"/>
      <c r="ABW226" s="5"/>
      <c r="ABX226" s="6"/>
      <c r="ABY226" s="4"/>
      <c r="ABZ226" s="4"/>
      <c r="ACA226" s="4"/>
      <c r="ACB226" s="4"/>
      <c r="ACC226" s="4"/>
      <c r="ACD226" s="5"/>
      <c r="ACE226" s="6"/>
      <c r="ACF226" s="4"/>
      <c r="ACG226" s="4"/>
      <c r="ACH226" s="4"/>
      <c r="ACI226" s="4"/>
      <c r="ACJ226" s="4"/>
      <c r="ACK226" s="5"/>
      <c r="ACL226" s="6"/>
      <c r="ACM226" s="4"/>
      <c r="ACN226" s="4"/>
      <c r="ACO226" s="4"/>
      <c r="ACP226" s="4"/>
      <c r="ACQ226" s="4"/>
      <c r="ACR226" s="5"/>
      <c r="ACS226" s="6"/>
      <c r="ACT226" s="4"/>
      <c r="ACU226" s="4"/>
      <c r="ACV226" s="4"/>
      <c r="ACW226" s="4"/>
      <c r="ACX226" s="4"/>
      <c r="ACY226" s="5"/>
    </row>
    <row r="227" spans="2:805" x14ac:dyDescent="0.25">
      <c r="B227" s="29">
        <v>200088</v>
      </c>
      <c r="C227">
        <v>88</v>
      </c>
      <c r="D227" t="s">
        <v>3729</v>
      </c>
      <c r="F227" s="23">
        <v>0</v>
      </c>
      <c r="I227">
        <v>1</v>
      </c>
      <c r="J227" s="19">
        <v>36367</v>
      </c>
      <c r="K227" s="19"/>
      <c r="L227" s="19"/>
      <c r="Q227">
        <v>1</v>
      </c>
      <c r="U227">
        <v>1</v>
      </c>
      <c r="AA227">
        <v>1</v>
      </c>
      <c r="DW227">
        <v>1</v>
      </c>
      <c r="LL227" s="6"/>
      <c r="LM227" s="4"/>
      <c r="LN227" s="4"/>
      <c r="LO227" s="4"/>
      <c r="LP227" s="4"/>
      <c r="LQ227" s="4"/>
      <c r="LR227" s="5"/>
      <c r="LS227" s="6"/>
      <c r="LT227" s="4"/>
      <c r="LU227" s="4"/>
      <c r="LV227" s="4"/>
      <c r="LW227" s="4"/>
      <c r="LX227" s="4"/>
      <c r="LY227" s="5"/>
      <c r="LZ227" s="6" t="s">
        <v>3702</v>
      </c>
      <c r="MA227" s="7" t="s">
        <v>2774</v>
      </c>
      <c r="MB227" s="4" t="s">
        <v>3703</v>
      </c>
      <c r="MC227" s="4"/>
      <c r="MD227" s="8">
        <v>36367</v>
      </c>
      <c r="ME227" s="8"/>
      <c r="MF227" s="8"/>
      <c r="MG227" s="5" t="s">
        <v>3766</v>
      </c>
      <c r="MH227" s="6"/>
      <c r="MI227" s="4"/>
      <c r="MJ227" s="4"/>
      <c r="MK227" s="4"/>
      <c r="ML227" s="4"/>
      <c r="MM227" s="4"/>
      <c r="MN227" s="5"/>
      <c r="MO227" s="6"/>
      <c r="MP227" s="4"/>
      <c r="MQ227" s="4"/>
      <c r="MR227" s="4"/>
      <c r="MS227" s="4"/>
      <c r="MT227" s="4"/>
      <c r="MU227" s="5"/>
      <c r="MV227" s="6"/>
      <c r="MW227" s="4"/>
      <c r="MX227" s="4"/>
      <c r="MY227" s="4"/>
      <c r="MZ227" s="4"/>
      <c r="NA227" s="4"/>
      <c r="NB227" s="5"/>
      <c r="NC227" s="6"/>
      <c r="ND227" s="4"/>
      <c r="NE227" s="4"/>
      <c r="NF227" s="4"/>
      <c r="NG227" s="4"/>
      <c r="NH227" s="4"/>
      <c r="NI227" s="5"/>
      <c r="NJ227" s="6" t="s">
        <v>3467</v>
      </c>
      <c r="NK227" s="4" t="s">
        <v>3468</v>
      </c>
      <c r="NL227" s="4" t="s">
        <v>3469</v>
      </c>
      <c r="NM227" s="4"/>
      <c r="NN227" s="4"/>
      <c r="NO227" s="8">
        <v>36349</v>
      </c>
      <c r="NP227" s="5" t="s">
        <v>3961</v>
      </c>
      <c r="NQ227" s="6"/>
      <c r="NR227" s="4"/>
      <c r="NS227" s="4"/>
      <c r="NT227" s="4"/>
      <c r="NU227" s="4"/>
      <c r="NV227" s="4"/>
      <c r="NW227" s="5"/>
      <c r="NX227" s="6"/>
      <c r="NY227" s="4"/>
      <c r="NZ227" s="4"/>
      <c r="OA227" s="4"/>
      <c r="OB227" s="4"/>
      <c r="OC227" s="4"/>
      <c r="OD227" s="5"/>
      <c r="OE227" s="6"/>
      <c r="OF227" s="4"/>
      <c r="OG227" s="4"/>
      <c r="OH227" s="4"/>
      <c r="OI227" s="4"/>
      <c r="OJ227" s="4"/>
      <c r="OK227" s="5"/>
      <c r="OL227" s="6"/>
      <c r="OM227" s="4"/>
      <c r="ON227" s="4"/>
      <c r="OO227" s="4"/>
      <c r="OP227" s="4"/>
      <c r="OQ227" s="4"/>
      <c r="OR227" s="5"/>
      <c r="OS227" s="6"/>
      <c r="OT227" s="4"/>
      <c r="OU227" s="4"/>
      <c r="OV227" s="4"/>
      <c r="OW227" s="4"/>
      <c r="OX227" s="4"/>
      <c r="OY227" s="5"/>
      <c r="OZ227" s="6"/>
      <c r="PA227" s="4"/>
      <c r="PB227" s="4"/>
      <c r="PC227" s="4"/>
      <c r="PD227" s="4"/>
      <c r="PE227" s="4"/>
      <c r="PF227" s="5"/>
      <c r="PG227" s="6"/>
      <c r="PH227" s="4"/>
      <c r="PI227" s="4"/>
      <c r="PJ227" s="4"/>
      <c r="PK227" s="4"/>
      <c r="PL227" s="4"/>
      <c r="PM227" s="5"/>
      <c r="PN227" s="6"/>
      <c r="PO227" s="4"/>
      <c r="PP227" s="4"/>
      <c r="PQ227" s="4"/>
      <c r="PR227" s="4"/>
      <c r="PS227" s="4"/>
      <c r="PT227" s="5"/>
      <c r="PU227" s="6" t="s">
        <v>2906</v>
      </c>
      <c r="PV227" s="4" t="s">
        <v>2907</v>
      </c>
      <c r="PW227" s="4" t="s">
        <v>3009</v>
      </c>
      <c r="PX227" s="7" t="s">
        <v>3070</v>
      </c>
      <c r="PY227" s="8">
        <v>36341</v>
      </c>
      <c r="PZ227" s="8">
        <v>36341</v>
      </c>
      <c r="QA227" s="5" t="s">
        <v>3831</v>
      </c>
      <c r="QB227" s="6" t="s">
        <v>3563</v>
      </c>
      <c r="QC227" s="4" t="s">
        <v>3558</v>
      </c>
      <c r="QD227" s="4" t="s">
        <v>3559</v>
      </c>
      <c r="QE227" s="4"/>
      <c r="QF227" s="4"/>
      <c r="QG227" s="8">
        <v>36355</v>
      </c>
      <c r="QH227" s="5" t="s">
        <v>3833</v>
      </c>
      <c r="QI227" s="6"/>
      <c r="QJ227" s="4"/>
      <c r="QK227" s="4"/>
      <c r="QL227" s="4"/>
      <c r="QM227" s="4"/>
      <c r="QN227" s="4"/>
      <c r="QO227" s="5"/>
      <c r="QP227" s="6"/>
      <c r="QQ227" s="4"/>
      <c r="QR227" s="4"/>
      <c r="QS227" s="4"/>
      <c r="QT227" s="4"/>
      <c r="QU227" s="4"/>
      <c r="QV227" s="5"/>
      <c r="QW227" s="6"/>
      <c r="QX227" s="4"/>
      <c r="QY227" s="4"/>
      <c r="QZ227" s="4"/>
      <c r="RA227" s="4"/>
      <c r="RB227" s="4"/>
      <c r="RC227" s="5"/>
      <c r="RD227" s="6"/>
      <c r="RE227" s="4"/>
      <c r="RF227" s="4"/>
      <c r="RG227" s="4"/>
      <c r="RH227" s="4"/>
      <c r="RI227" s="4"/>
      <c r="RJ227" s="5"/>
      <c r="RK227" s="6"/>
      <c r="RL227" s="4"/>
      <c r="RM227" s="4"/>
      <c r="RN227" s="4"/>
      <c r="RO227" s="4"/>
      <c r="RP227" s="4"/>
      <c r="RQ227" s="5"/>
      <c r="RR227" s="6"/>
      <c r="RS227" s="4"/>
      <c r="RT227" s="4"/>
      <c r="RU227" s="4"/>
      <c r="RV227" s="4"/>
      <c r="RW227" s="4"/>
      <c r="RX227" s="5"/>
      <c r="RY227" s="6"/>
      <c r="RZ227" s="4"/>
      <c r="SA227" s="4"/>
      <c r="SB227" s="4"/>
      <c r="SC227" s="4"/>
      <c r="SD227" s="4"/>
      <c r="SE227" s="5"/>
      <c r="SF227" s="6"/>
      <c r="SG227" s="4"/>
      <c r="SH227" s="4"/>
      <c r="SI227" s="4"/>
      <c r="SJ227" s="4"/>
      <c r="SK227" s="4"/>
      <c r="SL227" s="5"/>
      <c r="SM227" s="6"/>
      <c r="SN227" s="4"/>
      <c r="SO227" s="4"/>
      <c r="SP227" s="4"/>
      <c r="SQ227" s="4"/>
      <c r="SR227" s="4"/>
      <c r="SS227" s="5"/>
      <c r="ST227" s="6"/>
      <c r="SU227" s="4"/>
      <c r="SV227" s="4"/>
      <c r="SW227" s="4"/>
      <c r="SX227" s="4"/>
      <c r="SY227" s="4"/>
      <c r="SZ227" s="5"/>
      <c r="TA227" s="6"/>
      <c r="TB227" s="4"/>
      <c r="TC227" s="4"/>
      <c r="TD227" s="4"/>
      <c r="TE227" s="4"/>
      <c r="TF227" s="4"/>
      <c r="TG227" s="5"/>
      <c r="TH227" s="6"/>
      <c r="TI227" s="4"/>
      <c r="TJ227" s="4"/>
      <c r="TK227" s="4"/>
      <c r="TL227" s="4"/>
      <c r="TM227" s="4"/>
      <c r="TN227" s="5"/>
      <c r="TO227" s="6"/>
      <c r="TP227" s="4"/>
      <c r="TQ227" s="4"/>
      <c r="TR227" s="4"/>
      <c r="TS227" s="4"/>
      <c r="TT227" s="4"/>
      <c r="TU227" s="5"/>
      <c r="TV227" s="6"/>
      <c r="TW227" s="4"/>
      <c r="TX227" s="4"/>
      <c r="TY227" s="4"/>
      <c r="TZ227" s="4"/>
      <c r="UA227" s="4"/>
      <c r="UB227" s="5"/>
      <c r="UC227" s="6" t="s">
        <v>2095</v>
      </c>
      <c r="UD227" s="4" t="s">
        <v>2013</v>
      </c>
      <c r="UE227" s="4" t="s">
        <v>3397</v>
      </c>
      <c r="UF227" s="4"/>
      <c r="UG227" s="4"/>
      <c r="UH227" s="8">
        <v>36355</v>
      </c>
      <c r="UI227" s="5" t="s">
        <v>3834</v>
      </c>
      <c r="UJ227" s="6"/>
      <c r="UK227" s="4"/>
      <c r="UL227" s="4"/>
      <c r="UM227" s="4"/>
      <c r="UN227" s="4"/>
      <c r="UO227" s="4"/>
      <c r="UP227" s="5"/>
      <c r="UQ227" s="6"/>
      <c r="UR227" s="4"/>
      <c r="US227" s="4"/>
      <c r="UT227" s="4"/>
      <c r="UU227" s="4"/>
      <c r="UV227" s="4"/>
      <c r="UW227" s="5"/>
      <c r="UX227" s="6" t="s">
        <v>3278</v>
      </c>
      <c r="UY227" s="4" t="s">
        <v>3169</v>
      </c>
      <c r="UZ227" s="4" t="s">
        <v>3308</v>
      </c>
      <c r="VA227" s="7" t="s">
        <v>3281</v>
      </c>
      <c r="VB227" s="8">
        <v>36356</v>
      </c>
      <c r="VC227" s="8">
        <v>36368</v>
      </c>
      <c r="VD227" s="5" t="s">
        <v>3834</v>
      </c>
      <c r="VE227" s="6"/>
      <c r="VF227" s="4"/>
      <c r="VG227" s="4"/>
      <c r="VH227" s="4"/>
      <c r="VI227" s="4"/>
      <c r="VJ227" s="4"/>
      <c r="VK227" s="5"/>
      <c r="VL227" s="6"/>
      <c r="VM227" s="4"/>
      <c r="VN227" s="4"/>
      <c r="VO227" s="4"/>
      <c r="VP227" s="4"/>
      <c r="VQ227" s="4"/>
      <c r="VR227" s="5"/>
      <c r="VS227" s="6"/>
      <c r="VT227" s="4"/>
      <c r="VU227" s="4"/>
      <c r="VV227" s="4"/>
      <c r="VW227" s="4"/>
      <c r="VX227" s="4"/>
      <c r="VY227" s="5"/>
      <c r="VZ227" s="6"/>
      <c r="WA227" s="4"/>
      <c r="WB227" s="4"/>
      <c r="WC227" s="4"/>
      <c r="WD227" s="4"/>
      <c r="WE227" s="4"/>
      <c r="WF227" s="5"/>
      <c r="WG227" s="6" t="s">
        <v>3091</v>
      </c>
      <c r="WH227" s="4" t="s">
        <v>3092</v>
      </c>
      <c r="WI227" s="4" t="s">
        <v>3462</v>
      </c>
      <c r="WJ227" s="4"/>
      <c r="WK227" s="8">
        <v>36356</v>
      </c>
      <c r="WL227" s="4"/>
      <c r="WM227" s="5" t="s">
        <v>3836</v>
      </c>
      <c r="WN227" s="6"/>
      <c r="WO227" s="4"/>
      <c r="WP227" s="4"/>
      <c r="WQ227" s="4"/>
      <c r="WR227" s="4"/>
      <c r="WS227" s="4"/>
      <c r="WT227" s="5"/>
      <c r="WU227" s="6"/>
      <c r="WV227" s="4"/>
      <c r="WW227" s="4"/>
      <c r="WX227" s="4"/>
      <c r="WY227" s="4"/>
      <c r="WZ227" s="4"/>
      <c r="XA227" s="5"/>
      <c r="XB227" s="6"/>
      <c r="XC227" s="4"/>
      <c r="XD227" s="4"/>
      <c r="XE227" s="4"/>
      <c r="XF227" s="4"/>
      <c r="XG227" s="4"/>
      <c r="XH227" s="5"/>
      <c r="XI227" s="6"/>
      <c r="XJ227" s="4"/>
      <c r="XK227" s="4"/>
      <c r="XL227" s="4"/>
      <c r="XM227" s="4"/>
      <c r="XN227" s="4"/>
      <c r="XO227" s="5"/>
      <c r="XP227" s="6"/>
      <c r="XQ227" s="4"/>
      <c r="XR227" s="4"/>
      <c r="XS227" s="4"/>
      <c r="XT227" s="4"/>
      <c r="XU227" s="4"/>
      <c r="XV227" s="5"/>
      <c r="XW227" s="6"/>
      <c r="XX227" s="4"/>
      <c r="XY227" s="4"/>
      <c r="XZ227" s="4"/>
      <c r="YA227" s="4"/>
      <c r="YB227" s="4"/>
      <c r="YC227" s="5"/>
      <c r="YD227" s="6"/>
      <c r="YE227" s="4"/>
      <c r="YF227" s="4"/>
      <c r="YG227" s="4"/>
      <c r="YH227" s="4"/>
      <c r="YI227" s="4"/>
      <c r="YJ227" s="5"/>
      <c r="YK227" s="6" t="s">
        <v>3395</v>
      </c>
      <c r="YL227" s="4"/>
      <c r="YM227" s="4" t="s">
        <v>3396</v>
      </c>
      <c r="YN227" s="4"/>
      <c r="YO227" s="8">
        <v>36353</v>
      </c>
      <c r="YP227" s="4"/>
      <c r="YQ227" s="5" t="s">
        <v>3970</v>
      </c>
      <c r="YR227" s="6"/>
      <c r="YS227" s="4"/>
      <c r="YT227" s="4"/>
      <c r="YU227" s="4"/>
      <c r="YV227" s="4"/>
      <c r="YW227" s="4"/>
      <c r="YX227" s="5"/>
      <c r="YY227" s="6"/>
      <c r="YZ227" s="4"/>
      <c r="ZA227" s="4"/>
      <c r="ZB227" s="4"/>
      <c r="ZC227" s="4"/>
      <c r="ZD227" s="4"/>
      <c r="ZE227" s="5"/>
      <c r="ZF227" s="6"/>
      <c r="ZG227" s="4"/>
      <c r="ZH227" s="4"/>
      <c r="ZI227" s="4"/>
      <c r="ZJ227" s="4"/>
      <c r="ZK227" s="4"/>
      <c r="ZL227" s="5"/>
      <c r="ZM227" s="6" t="s">
        <v>2979</v>
      </c>
      <c r="ZN227" s="4" t="s">
        <v>2706</v>
      </c>
      <c r="ZO227" s="4"/>
      <c r="ZP227" s="4" t="s">
        <v>3070</v>
      </c>
      <c r="ZQ227" s="8">
        <v>36344</v>
      </c>
      <c r="ZR227" s="8">
        <v>36344</v>
      </c>
      <c r="ZS227" s="5" t="s">
        <v>3977</v>
      </c>
      <c r="ZT227" s="6"/>
      <c r="ZU227" s="4"/>
      <c r="ZV227" s="4"/>
      <c r="ZW227" s="4"/>
      <c r="ZX227" s="4"/>
      <c r="ZY227" s="4"/>
      <c r="ZZ227" s="5"/>
      <c r="AAA227" s="6"/>
      <c r="AAB227" s="4"/>
      <c r="AAC227" s="4"/>
      <c r="AAD227" s="4"/>
      <c r="AAE227" s="4"/>
      <c r="AAF227" s="4"/>
      <c r="AAG227" s="5"/>
      <c r="AAH227" s="6" t="s">
        <v>3398</v>
      </c>
      <c r="AAI227" s="4" t="s">
        <v>2937</v>
      </c>
      <c r="AAJ227" s="4" t="s">
        <v>3560</v>
      </c>
      <c r="AAK227" s="4"/>
      <c r="AAL227" s="4"/>
      <c r="AAM227" s="8">
        <v>36353</v>
      </c>
      <c r="AAN227" s="5" t="s">
        <v>3836</v>
      </c>
      <c r="AAO227" s="6"/>
      <c r="AAP227" s="4"/>
      <c r="AAQ227" s="4"/>
      <c r="AAR227" s="4"/>
      <c r="AAS227" s="4"/>
      <c r="AAT227" s="4"/>
      <c r="AAU227" s="5"/>
      <c r="AAV227" s="6"/>
      <c r="AAW227" s="4"/>
      <c r="AAX227" s="4"/>
      <c r="AAY227" s="4"/>
      <c r="AAZ227" s="4"/>
      <c r="ABA227" s="4"/>
      <c r="ABB227" s="5"/>
      <c r="ABC227" s="6"/>
      <c r="ABD227" s="4"/>
      <c r="ABE227" s="4"/>
      <c r="ABF227" s="4"/>
      <c r="ABG227" s="4"/>
      <c r="ABH227" s="4"/>
      <c r="ABI227" s="5"/>
      <c r="ABJ227" s="6" t="s">
        <v>3080</v>
      </c>
      <c r="ABK227" s="4" t="s">
        <v>3081</v>
      </c>
      <c r="ABL227" s="4" t="s">
        <v>3315</v>
      </c>
      <c r="ABM227" s="4"/>
      <c r="ABN227" s="8">
        <v>36348</v>
      </c>
      <c r="ABO227" s="4"/>
      <c r="ABP227" s="5" t="s">
        <v>3978</v>
      </c>
      <c r="ABQ227" s="6" t="s">
        <v>3314</v>
      </c>
      <c r="ABR227" s="4" t="s">
        <v>3315</v>
      </c>
      <c r="ABS227" s="4"/>
      <c r="ABT227" s="4"/>
      <c r="ABU227" s="8">
        <v>36369</v>
      </c>
      <c r="ABV227" s="4"/>
      <c r="ABW227" s="5" t="s">
        <v>3979</v>
      </c>
      <c r="ABX227" s="6"/>
      <c r="ABY227" s="4"/>
      <c r="ABZ227" s="4"/>
      <c r="ACA227" s="4"/>
      <c r="ACB227" s="4"/>
      <c r="ACC227" s="4"/>
      <c r="ACD227" s="5"/>
      <c r="ACE227" s="6"/>
      <c r="ACF227" s="4"/>
      <c r="ACG227" s="4"/>
      <c r="ACH227" s="4"/>
      <c r="ACI227" s="4"/>
      <c r="ACJ227" s="4"/>
      <c r="ACK227" s="5"/>
      <c r="ACL227" s="6" t="s">
        <v>3470</v>
      </c>
      <c r="ACM227" s="7" t="s">
        <v>1969</v>
      </c>
      <c r="ACN227" s="4" t="s">
        <v>3471</v>
      </c>
      <c r="ACO227" s="4"/>
      <c r="ACP227" s="4"/>
      <c r="ACQ227" s="8">
        <v>36355</v>
      </c>
      <c r="ACR227" s="5" t="s">
        <v>3980</v>
      </c>
      <c r="ACS227" s="6"/>
      <c r="ACT227" s="4"/>
      <c r="ACU227" s="4"/>
      <c r="ACV227" s="4"/>
      <c r="ACW227" s="4"/>
      <c r="ACX227" s="4"/>
      <c r="ACY227" s="5"/>
      <c r="ADN227" t="s">
        <v>3981</v>
      </c>
    </row>
    <row r="228" spans="2:805" x14ac:dyDescent="0.25">
      <c r="B228" s="30"/>
      <c r="J228" s="12"/>
      <c r="K228" s="12"/>
      <c r="L228" s="12"/>
      <c r="LL228" s="6"/>
      <c r="LM228" s="4"/>
      <c r="LN228" s="4"/>
      <c r="LO228" s="4"/>
      <c r="LP228" s="4"/>
      <c r="LQ228" s="4"/>
      <c r="LR228" s="5"/>
      <c r="LS228" s="6"/>
      <c r="LT228" s="4"/>
      <c r="LU228" s="4"/>
      <c r="LV228" s="4"/>
      <c r="LW228" s="4"/>
      <c r="LX228" s="4"/>
      <c r="LY228" s="5"/>
      <c r="LZ228" s="6" t="s">
        <v>3010</v>
      </c>
      <c r="MA228" s="7" t="s">
        <v>2302</v>
      </c>
      <c r="MB228" s="4" t="s">
        <v>3158</v>
      </c>
      <c r="MC228" s="7" t="s">
        <v>3159</v>
      </c>
      <c r="MD228" s="8">
        <v>36342</v>
      </c>
      <c r="ME228" s="8">
        <v>36353</v>
      </c>
      <c r="MF228" s="8"/>
      <c r="MG228" s="5" t="s">
        <v>3767</v>
      </c>
      <c r="MH228" s="6"/>
      <c r="MI228" s="4"/>
      <c r="MJ228" s="4"/>
      <c r="MK228" s="4"/>
      <c r="ML228" s="4"/>
      <c r="MM228" s="4"/>
      <c r="MN228" s="5"/>
      <c r="MO228" s="6"/>
      <c r="MP228" s="4"/>
      <c r="MQ228" s="4"/>
      <c r="MR228" s="4"/>
      <c r="MS228" s="4"/>
      <c r="MT228" s="4"/>
      <c r="MU228" s="5"/>
      <c r="MV228" s="6"/>
      <c r="MW228" s="4"/>
      <c r="MX228" s="4"/>
      <c r="MY228" s="4"/>
      <c r="MZ228" s="4"/>
      <c r="NA228" s="4"/>
      <c r="NB228" s="5"/>
      <c r="NC228" s="6"/>
      <c r="ND228" s="4"/>
      <c r="NE228" s="4"/>
      <c r="NF228" s="4"/>
      <c r="NG228" s="4"/>
      <c r="NH228" s="4"/>
      <c r="NI228" s="5"/>
      <c r="NJ228" s="6" t="s">
        <v>3473</v>
      </c>
      <c r="NK228" s="4" t="s">
        <v>3053</v>
      </c>
      <c r="NL228" s="4"/>
      <c r="NM228" s="4"/>
      <c r="NN228" s="8">
        <v>36356</v>
      </c>
      <c r="NO228" s="4"/>
      <c r="NP228" s="5" t="s">
        <v>3962</v>
      </c>
      <c r="NQ228" s="6"/>
      <c r="NR228" s="4"/>
      <c r="NS228" s="4"/>
      <c r="NT228" s="4"/>
      <c r="NU228" s="4"/>
      <c r="NV228" s="4"/>
      <c r="NW228" s="5"/>
      <c r="NX228" s="6"/>
      <c r="NY228" s="4"/>
      <c r="NZ228" s="4"/>
      <c r="OA228" s="4"/>
      <c r="OB228" s="4"/>
      <c r="OC228" s="4"/>
      <c r="OD228" s="5"/>
      <c r="OE228" s="6"/>
      <c r="OF228" s="4"/>
      <c r="OG228" s="4"/>
      <c r="OH228" s="4"/>
      <c r="OI228" s="4"/>
      <c r="OJ228" s="4"/>
      <c r="OK228" s="5"/>
      <c r="OL228" s="6"/>
      <c r="OM228" s="4"/>
      <c r="ON228" s="4"/>
      <c r="OO228" s="4"/>
      <c r="OP228" s="4"/>
      <c r="OQ228" s="4"/>
      <c r="OR228" s="5"/>
      <c r="OS228" s="6"/>
      <c r="OT228" s="4"/>
      <c r="OU228" s="4"/>
      <c r="OV228" s="4"/>
      <c r="OW228" s="4"/>
      <c r="OX228" s="4"/>
      <c r="OY228" s="5"/>
      <c r="OZ228" s="6"/>
      <c r="PA228" s="4"/>
      <c r="PB228" s="4"/>
      <c r="PC228" s="4"/>
      <c r="PD228" s="4"/>
      <c r="PE228" s="4"/>
      <c r="PF228" s="5"/>
      <c r="PG228" s="6"/>
      <c r="PH228" s="4"/>
      <c r="PI228" s="4"/>
      <c r="PJ228" s="4"/>
      <c r="PK228" s="4"/>
      <c r="PL228" s="4"/>
      <c r="PM228" s="5"/>
      <c r="PN228" s="6"/>
      <c r="PO228" s="4"/>
      <c r="PP228" s="4"/>
      <c r="PQ228" s="4"/>
      <c r="PR228" s="4"/>
      <c r="PS228" s="4"/>
      <c r="PT228" s="5"/>
      <c r="PU228" s="6" t="s">
        <v>1825</v>
      </c>
      <c r="PV228" s="4" t="s">
        <v>2155</v>
      </c>
      <c r="PW228" s="4"/>
      <c r="PX228" s="4" t="s">
        <v>3070</v>
      </c>
      <c r="PY228" s="8">
        <v>36366</v>
      </c>
      <c r="PZ228" s="8">
        <v>36366</v>
      </c>
      <c r="QA228" s="5" t="s">
        <v>3832</v>
      </c>
      <c r="QB228" s="6"/>
      <c r="QC228" s="4"/>
      <c r="QD228" s="4"/>
      <c r="QE228" s="4"/>
      <c r="QF228" s="4"/>
      <c r="QG228" s="8"/>
      <c r="QH228" s="5"/>
      <c r="QI228" s="6"/>
      <c r="QJ228" s="4"/>
      <c r="QK228" s="4"/>
      <c r="QL228" s="4"/>
      <c r="QM228" s="4"/>
      <c r="QN228" s="4"/>
      <c r="QO228" s="5"/>
      <c r="QP228" s="6"/>
      <c r="QQ228" s="4"/>
      <c r="QR228" s="4"/>
      <c r="QS228" s="4"/>
      <c r="QT228" s="4"/>
      <c r="QU228" s="4"/>
      <c r="QV228" s="5"/>
      <c r="QW228" s="6"/>
      <c r="QX228" s="4"/>
      <c r="QY228" s="4"/>
      <c r="QZ228" s="4"/>
      <c r="RA228" s="4"/>
      <c r="RB228" s="4"/>
      <c r="RC228" s="5"/>
      <c r="RD228" s="6"/>
      <c r="RE228" s="4"/>
      <c r="RF228" s="4"/>
      <c r="RG228" s="4"/>
      <c r="RH228" s="4"/>
      <c r="RI228" s="4"/>
      <c r="RJ228" s="5"/>
      <c r="RK228" s="6"/>
      <c r="RL228" s="4"/>
      <c r="RM228" s="4"/>
      <c r="RN228" s="4"/>
      <c r="RO228" s="4"/>
      <c r="RP228" s="4"/>
      <c r="RQ228" s="5"/>
      <c r="RR228" s="6"/>
      <c r="RS228" s="4"/>
      <c r="RT228" s="4"/>
      <c r="RU228" s="4"/>
      <c r="RV228" s="4"/>
      <c r="RW228" s="4"/>
      <c r="RX228" s="5"/>
      <c r="RY228" s="6"/>
      <c r="RZ228" s="4"/>
      <c r="SA228" s="4"/>
      <c r="SB228" s="4"/>
      <c r="SC228" s="4"/>
      <c r="SD228" s="4"/>
      <c r="SE228" s="5"/>
      <c r="SF228" s="6"/>
      <c r="SG228" s="4"/>
      <c r="SH228" s="4"/>
      <c r="SI228" s="4"/>
      <c r="SJ228" s="4"/>
      <c r="SK228" s="4"/>
      <c r="SL228" s="5"/>
      <c r="SM228" s="6"/>
      <c r="SN228" s="4"/>
      <c r="SO228" s="4"/>
      <c r="SP228" s="4"/>
      <c r="SQ228" s="4"/>
      <c r="SR228" s="4"/>
      <c r="SS228" s="5"/>
      <c r="ST228" s="6"/>
      <c r="SU228" s="4"/>
      <c r="SV228" s="4"/>
      <c r="SW228" s="4"/>
      <c r="SX228" s="4"/>
      <c r="SY228" s="4"/>
      <c r="SZ228" s="5"/>
      <c r="TA228" s="6"/>
      <c r="TB228" s="4"/>
      <c r="TC228" s="4"/>
      <c r="TD228" s="4"/>
      <c r="TE228" s="4"/>
      <c r="TF228" s="4"/>
      <c r="TG228" s="5"/>
      <c r="TH228" s="6"/>
      <c r="TI228" s="4"/>
      <c r="TJ228" s="4"/>
      <c r="TK228" s="4"/>
      <c r="TL228" s="4"/>
      <c r="TM228" s="4"/>
      <c r="TN228" s="5"/>
      <c r="TO228" s="6"/>
      <c r="TP228" s="4"/>
      <c r="TQ228" s="4"/>
      <c r="TR228" s="4"/>
      <c r="TS228" s="4"/>
      <c r="TT228" s="4"/>
      <c r="TU228" s="5"/>
      <c r="TV228" s="6"/>
      <c r="TW228" s="4"/>
      <c r="TX228" s="4"/>
      <c r="TY228" s="4"/>
      <c r="TZ228" s="4"/>
      <c r="UA228" s="4"/>
      <c r="UB228" s="5"/>
      <c r="UC228" s="6" t="s">
        <v>1971</v>
      </c>
      <c r="UD228" s="7" t="s">
        <v>1972</v>
      </c>
      <c r="UE228" s="4" t="s">
        <v>3315</v>
      </c>
      <c r="UF228" s="4"/>
      <c r="UG228" s="8">
        <v>36356</v>
      </c>
      <c r="UH228" s="8"/>
      <c r="UI228" s="5" t="s">
        <v>3835</v>
      </c>
      <c r="UJ228" s="6"/>
      <c r="UK228" s="4"/>
      <c r="UL228" s="4"/>
      <c r="UM228" s="4"/>
      <c r="UN228" s="4"/>
      <c r="UO228" s="4"/>
      <c r="UP228" s="5"/>
      <c r="UQ228" s="6"/>
      <c r="UR228" s="4"/>
      <c r="US228" s="4"/>
      <c r="UT228" s="4"/>
      <c r="UU228" s="4"/>
      <c r="UV228" s="4"/>
      <c r="UW228" s="5"/>
      <c r="UX228" s="6" t="s">
        <v>2929</v>
      </c>
      <c r="UY228" s="4" t="s">
        <v>3335</v>
      </c>
      <c r="UZ228" s="4" t="s">
        <v>3472</v>
      </c>
      <c r="VA228" s="4"/>
      <c r="VB228" s="4"/>
      <c r="VC228" s="8">
        <v>36355</v>
      </c>
      <c r="VD228" s="5" t="s">
        <v>3834</v>
      </c>
      <c r="VE228" s="6"/>
      <c r="VF228" s="4"/>
      <c r="VG228" s="4"/>
      <c r="VH228" s="4"/>
      <c r="VI228" s="4"/>
      <c r="VJ228" s="4"/>
      <c r="VK228" s="5"/>
      <c r="VL228" s="6"/>
      <c r="VM228" s="4"/>
      <c r="VN228" s="4"/>
      <c r="VO228" s="4"/>
      <c r="VP228" s="4"/>
      <c r="VQ228" s="4"/>
      <c r="VR228" s="5"/>
      <c r="VS228" s="6"/>
      <c r="VT228" s="4"/>
      <c r="VU228" s="4"/>
      <c r="VV228" s="4"/>
      <c r="VW228" s="4"/>
      <c r="VX228" s="4"/>
      <c r="VY228" s="5"/>
      <c r="VZ228" s="6"/>
      <c r="WA228" s="4"/>
      <c r="WB228" s="4"/>
      <c r="WC228" s="4"/>
      <c r="WD228" s="4"/>
      <c r="WE228" s="4"/>
      <c r="WF228" s="5"/>
      <c r="WG228" s="6"/>
      <c r="WH228" s="4"/>
      <c r="WI228" s="4"/>
      <c r="WJ228" s="4"/>
      <c r="WK228" s="4"/>
      <c r="WL228" s="4"/>
      <c r="WM228" s="5"/>
      <c r="WN228" s="6"/>
      <c r="WO228" s="4"/>
      <c r="WP228" s="4"/>
      <c r="WQ228" s="4"/>
      <c r="WR228" s="4"/>
      <c r="WS228" s="4"/>
      <c r="WT228" s="5"/>
      <c r="WU228" s="6"/>
      <c r="WV228" s="4"/>
      <c r="WW228" s="4"/>
      <c r="WX228" s="4"/>
      <c r="WY228" s="4"/>
      <c r="WZ228" s="4"/>
      <c r="XA228" s="5"/>
      <c r="XB228" s="6"/>
      <c r="XC228" s="4"/>
      <c r="XD228" s="4"/>
      <c r="XE228" s="4"/>
      <c r="XF228" s="4"/>
      <c r="XG228" s="4"/>
      <c r="XH228" s="5"/>
      <c r="XI228" s="6"/>
      <c r="XJ228" s="4"/>
      <c r="XK228" s="4"/>
      <c r="XL228" s="4"/>
      <c r="XM228" s="4"/>
      <c r="XN228" s="4"/>
      <c r="XO228" s="5"/>
      <c r="XP228" s="6"/>
      <c r="XQ228" s="4"/>
      <c r="XR228" s="4"/>
      <c r="XS228" s="4"/>
      <c r="XT228" s="4"/>
      <c r="XU228" s="4"/>
      <c r="XV228" s="5"/>
      <c r="XW228" s="6"/>
      <c r="XX228" s="4"/>
      <c r="XY228" s="4"/>
      <c r="XZ228" s="4"/>
      <c r="YA228" s="4"/>
      <c r="YB228" s="4"/>
      <c r="YC228" s="5"/>
      <c r="YD228" s="6"/>
      <c r="YE228" s="4"/>
      <c r="YF228" s="4"/>
      <c r="YG228" s="4"/>
      <c r="YH228" s="4"/>
      <c r="YI228" s="4"/>
      <c r="YJ228" s="5"/>
      <c r="YK228" s="6" t="s">
        <v>3704</v>
      </c>
      <c r="YL228" s="4" t="s">
        <v>3007</v>
      </c>
      <c r="YM228" s="4"/>
      <c r="YN228" s="4" t="s">
        <v>3008</v>
      </c>
      <c r="YO228" s="8">
        <v>36364</v>
      </c>
      <c r="YP228" s="8">
        <v>36367</v>
      </c>
      <c r="YQ228" s="5" t="s">
        <v>4085</v>
      </c>
      <c r="YR228" s="6"/>
      <c r="YS228" s="4"/>
      <c r="YT228" s="4"/>
      <c r="YU228" s="4"/>
      <c r="YV228" s="4"/>
      <c r="YW228" s="4"/>
      <c r="YX228" s="5"/>
      <c r="YY228" s="6"/>
      <c r="YZ228" s="4"/>
      <c r="ZA228" s="4"/>
      <c r="ZB228" s="4"/>
      <c r="ZC228" s="4"/>
      <c r="ZD228" s="4"/>
      <c r="ZE228" s="5"/>
      <c r="ZF228" s="6"/>
      <c r="ZG228" s="4"/>
      <c r="ZH228" s="4"/>
      <c r="ZI228" s="4"/>
      <c r="ZJ228" s="4"/>
      <c r="ZK228" s="4"/>
      <c r="ZL228" s="5"/>
      <c r="ZM228" s="6"/>
      <c r="ZN228" s="4"/>
      <c r="ZO228" s="4"/>
      <c r="ZP228" s="4"/>
      <c r="ZQ228" s="8"/>
      <c r="ZR228" s="8"/>
      <c r="ZS228" s="5"/>
      <c r="ZT228" s="6"/>
      <c r="ZU228" s="4"/>
      <c r="ZV228" s="4"/>
      <c r="ZW228" s="4"/>
      <c r="ZX228" s="4"/>
      <c r="ZY228" s="4"/>
      <c r="ZZ228" s="5"/>
      <c r="AAA228" s="6"/>
      <c r="AAB228" s="4"/>
      <c r="AAC228" s="4"/>
      <c r="AAD228" s="4"/>
      <c r="AAE228" s="4"/>
      <c r="AAF228" s="4"/>
      <c r="AAG228" s="5"/>
      <c r="AAH228" s="6"/>
      <c r="AAI228" s="4"/>
      <c r="AAJ228" s="4"/>
      <c r="AAK228" s="4"/>
      <c r="AAL228" s="4"/>
      <c r="AAM228" s="8"/>
      <c r="AAN228" s="5"/>
      <c r="AAO228" s="6"/>
      <c r="AAP228" s="4"/>
      <c r="AAQ228" s="4"/>
      <c r="AAR228" s="4"/>
      <c r="AAS228" s="4"/>
      <c r="AAT228" s="4"/>
      <c r="AAU228" s="5"/>
      <c r="AAV228" s="6"/>
      <c r="AAW228" s="4"/>
      <c r="AAX228" s="4"/>
      <c r="AAY228" s="4"/>
      <c r="AAZ228" s="4"/>
      <c r="ABA228" s="4"/>
      <c r="ABB228" s="5"/>
      <c r="ABC228" s="6"/>
      <c r="ABD228" s="4"/>
      <c r="ABE228" s="4"/>
      <c r="ABF228" s="4"/>
      <c r="ABG228" s="4"/>
      <c r="ABH228" s="4"/>
      <c r="ABI228" s="5"/>
      <c r="ABJ228" s="6"/>
      <c r="ABK228" s="4"/>
      <c r="ABL228" s="4"/>
      <c r="ABM228" s="4"/>
      <c r="ABN228" s="4"/>
      <c r="ABO228" s="4"/>
      <c r="ABP228" s="5"/>
      <c r="ABQ228" s="6"/>
      <c r="ABR228" s="4"/>
      <c r="ABS228" s="4"/>
      <c r="ABT228" s="4"/>
      <c r="ABU228" s="4"/>
      <c r="ABV228" s="4"/>
      <c r="ABW228" s="5"/>
      <c r="ABX228" s="6"/>
      <c r="ABY228" s="4"/>
      <c r="ABZ228" s="4"/>
      <c r="ACA228" s="4"/>
      <c r="ACB228" s="4"/>
      <c r="ACC228" s="4"/>
      <c r="ACD228" s="5"/>
      <c r="ACE228" s="6"/>
      <c r="ACF228" s="4"/>
      <c r="ACG228" s="4"/>
      <c r="ACH228" s="4"/>
      <c r="ACI228" s="4"/>
      <c r="ACJ228" s="4"/>
      <c r="ACK228" s="5"/>
      <c r="ACL228" s="6" t="s">
        <v>3055</v>
      </c>
      <c r="ACM228" s="4" t="s">
        <v>3056</v>
      </c>
      <c r="ACN228" s="4" t="s">
        <v>3315</v>
      </c>
      <c r="ACO228" s="7" t="s">
        <v>3371</v>
      </c>
      <c r="ACP228" s="8">
        <v>36354</v>
      </c>
      <c r="ACQ228" s="8">
        <v>36355</v>
      </c>
      <c r="ACR228" s="5" t="s">
        <v>3980</v>
      </c>
      <c r="ACS228" s="6"/>
      <c r="ACT228" s="4"/>
      <c r="ACU228" s="4"/>
      <c r="ACV228" s="4"/>
      <c r="ACW228" s="4"/>
      <c r="ACX228" s="4"/>
      <c r="ACY228" s="5"/>
    </row>
    <row r="229" spans="2:805" x14ac:dyDescent="0.25">
      <c r="B229" s="30"/>
      <c r="J229" s="12"/>
      <c r="K229" s="12"/>
      <c r="L229" s="12"/>
      <c r="LL229" s="6"/>
      <c r="LM229" s="4"/>
      <c r="LN229" s="4"/>
      <c r="LO229" s="4"/>
      <c r="LP229" s="4"/>
      <c r="LQ229" s="4"/>
      <c r="LR229" s="5"/>
      <c r="LS229" s="6"/>
      <c r="LT229" s="4"/>
      <c r="LU229" s="4"/>
      <c r="LV229" s="4"/>
      <c r="LW229" s="4"/>
      <c r="LX229" s="4"/>
      <c r="LY229" s="5"/>
      <c r="LZ229" s="6" t="s">
        <v>3160</v>
      </c>
      <c r="MA229" s="7" t="s">
        <v>3228</v>
      </c>
      <c r="MB229" s="4"/>
      <c r="MC229" s="7" t="s">
        <v>3159</v>
      </c>
      <c r="MD229" s="8">
        <v>36356</v>
      </c>
      <c r="ME229" s="8">
        <v>36367</v>
      </c>
      <c r="MF229" s="8"/>
      <c r="MG229" s="5" t="s">
        <v>3768</v>
      </c>
      <c r="MH229" s="6"/>
      <c r="MI229" s="4"/>
      <c r="MJ229" s="4"/>
      <c r="MK229" s="4"/>
      <c r="ML229" s="4"/>
      <c r="MM229" s="4"/>
      <c r="MN229" s="5"/>
      <c r="MO229" s="6"/>
      <c r="MP229" s="4"/>
      <c r="MQ229" s="4"/>
      <c r="MR229" s="4"/>
      <c r="MS229" s="4"/>
      <c r="MT229" s="4"/>
      <c r="MU229" s="5"/>
      <c r="MV229" s="6"/>
      <c r="MW229" s="4"/>
      <c r="MX229" s="4"/>
      <c r="MY229" s="4"/>
      <c r="MZ229" s="4"/>
      <c r="NA229" s="4"/>
      <c r="NB229" s="5"/>
      <c r="NC229" s="6"/>
      <c r="ND229" s="4"/>
      <c r="NE229" s="4"/>
      <c r="NF229" s="4"/>
      <c r="NG229" s="4"/>
      <c r="NH229" s="4"/>
      <c r="NI229" s="5"/>
      <c r="NJ229" s="6" t="s">
        <v>3059</v>
      </c>
      <c r="NK229" s="4" t="s">
        <v>3254</v>
      </c>
      <c r="NL229" s="4"/>
      <c r="NM229" s="4" t="s">
        <v>2923</v>
      </c>
      <c r="NN229" s="8">
        <v>36349</v>
      </c>
      <c r="NO229" s="8">
        <v>36355</v>
      </c>
      <c r="NP229" s="5" t="s">
        <v>3963</v>
      </c>
      <c r="NQ229" s="6"/>
      <c r="NR229" s="4"/>
      <c r="NS229" s="4"/>
      <c r="NT229" s="4"/>
      <c r="NU229" s="4"/>
      <c r="NV229" s="4"/>
      <c r="NW229" s="5"/>
      <c r="NX229" s="6"/>
      <c r="NY229" s="4"/>
      <c r="NZ229" s="4"/>
      <c r="OA229" s="4"/>
      <c r="OB229" s="4"/>
      <c r="OC229" s="4"/>
      <c r="OD229" s="5"/>
      <c r="OE229" s="6"/>
      <c r="OF229" s="4"/>
      <c r="OG229" s="4"/>
      <c r="OH229" s="4"/>
      <c r="OI229" s="4"/>
      <c r="OJ229" s="4"/>
      <c r="OK229" s="5"/>
      <c r="OL229" s="6"/>
      <c r="OM229" s="4"/>
      <c r="ON229" s="4"/>
      <c r="OO229" s="4"/>
      <c r="OP229" s="4"/>
      <c r="OQ229" s="4"/>
      <c r="OR229" s="5"/>
      <c r="OS229" s="6"/>
      <c r="OT229" s="4"/>
      <c r="OU229" s="4"/>
      <c r="OV229" s="4"/>
      <c r="OW229" s="4"/>
      <c r="OX229" s="4"/>
      <c r="OY229" s="5"/>
      <c r="OZ229" s="6"/>
      <c r="PA229" s="4"/>
      <c r="PB229" s="4"/>
      <c r="PC229" s="4"/>
      <c r="PD229" s="4"/>
      <c r="PE229" s="4"/>
      <c r="PF229" s="5"/>
      <c r="PG229" s="6"/>
      <c r="PH229" s="4"/>
      <c r="PI229" s="4"/>
      <c r="PJ229" s="4"/>
      <c r="PK229" s="4"/>
      <c r="PL229" s="4"/>
      <c r="PM229" s="5"/>
      <c r="PN229" s="6"/>
      <c r="PO229" s="4"/>
      <c r="PP229" s="4"/>
      <c r="PQ229" s="4"/>
      <c r="PR229" s="4"/>
      <c r="PS229" s="4"/>
      <c r="PT229" s="5"/>
      <c r="PU229" s="6"/>
      <c r="PV229" s="4"/>
      <c r="PW229" s="4"/>
      <c r="PX229" s="4"/>
      <c r="PY229" s="4"/>
      <c r="PZ229" s="4"/>
      <c r="QA229" s="5"/>
      <c r="QB229" s="6"/>
      <c r="QC229" s="4"/>
      <c r="QD229" s="4"/>
      <c r="QE229" s="4"/>
      <c r="QF229" s="4"/>
      <c r="QG229" s="8"/>
      <c r="QH229" s="5"/>
      <c r="QI229" s="6"/>
      <c r="QJ229" s="4"/>
      <c r="QK229" s="4"/>
      <c r="QL229" s="4"/>
      <c r="QM229" s="4"/>
      <c r="QN229" s="4"/>
      <c r="QO229" s="5"/>
      <c r="QP229" s="6"/>
      <c r="QQ229" s="4"/>
      <c r="QR229" s="4"/>
      <c r="QS229" s="4"/>
      <c r="QT229" s="4"/>
      <c r="QU229" s="4"/>
      <c r="QV229" s="5"/>
      <c r="QW229" s="6"/>
      <c r="QX229" s="4"/>
      <c r="QY229" s="4"/>
      <c r="QZ229" s="4"/>
      <c r="RA229" s="4"/>
      <c r="RB229" s="4"/>
      <c r="RC229" s="5"/>
      <c r="RD229" s="6"/>
      <c r="RE229" s="4"/>
      <c r="RF229" s="4"/>
      <c r="RG229" s="4"/>
      <c r="RH229" s="4"/>
      <c r="RI229" s="4"/>
      <c r="RJ229" s="5"/>
      <c r="RK229" s="6"/>
      <c r="RL229" s="4"/>
      <c r="RM229" s="4"/>
      <c r="RN229" s="4"/>
      <c r="RO229" s="4"/>
      <c r="RP229" s="4"/>
      <c r="RQ229" s="5"/>
      <c r="RR229" s="6"/>
      <c r="RS229" s="4"/>
      <c r="RT229" s="4"/>
      <c r="RU229" s="4"/>
      <c r="RV229" s="4"/>
      <c r="RW229" s="4"/>
      <c r="RX229" s="5"/>
      <c r="RY229" s="6"/>
      <c r="RZ229" s="4"/>
      <c r="SA229" s="4"/>
      <c r="SB229" s="4"/>
      <c r="SC229" s="4"/>
      <c r="SD229" s="4"/>
      <c r="SE229" s="5"/>
      <c r="SF229" s="6"/>
      <c r="SG229" s="4"/>
      <c r="SH229" s="4"/>
      <c r="SI229" s="4"/>
      <c r="SJ229" s="4"/>
      <c r="SK229" s="4"/>
      <c r="SL229" s="5"/>
      <c r="SM229" s="6"/>
      <c r="SN229" s="4"/>
      <c r="SO229" s="4"/>
      <c r="SP229" s="4"/>
      <c r="SQ229" s="4"/>
      <c r="SR229" s="4"/>
      <c r="SS229" s="5"/>
      <c r="ST229" s="6"/>
      <c r="SU229" s="4"/>
      <c r="SV229" s="4"/>
      <c r="SW229" s="4"/>
      <c r="SX229" s="4"/>
      <c r="SY229" s="4"/>
      <c r="SZ229" s="5"/>
      <c r="TA229" s="6"/>
      <c r="TB229" s="4"/>
      <c r="TC229" s="4"/>
      <c r="TD229" s="4"/>
      <c r="TE229" s="4"/>
      <c r="TF229" s="4"/>
      <c r="TG229" s="5"/>
      <c r="TH229" s="6"/>
      <c r="TI229" s="4"/>
      <c r="TJ229" s="4"/>
      <c r="TK229" s="4"/>
      <c r="TL229" s="4"/>
      <c r="TM229" s="4"/>
      <c r="TN229" s="5"/>
      <c r="TO229" s="6"/>
      <c r="TP229" s="4"/>
      <c r="TQ229" s="4"/>
      <c r="TR229" s="4"/>
      <c r="TS229" s="4"/>
      <c r="TT229" s="4"/>
      <c r="TU229" s="5"/>
      <c r="TV229" s="6"/>
      <c r="TW229" s="4"/>
      <c r="TX229" s="4"/>
      <c r="TY229" s="4"/>
      <c r="TZ229" s="4"/>
      <c r="UA229" s="4"/>
      <c r="UB229" s="5"/>
      <c r="UC229" s="6"/>
      <c r="UD229" s="4"/>
      <c r="UE229" s="4"/>
      <c r="UF229" s="4"/>
      <c r="UG229" s="4"/>
      <c r="UH229" s="8"/>
      <c r="UI229" s="5"/>
      <c r="UJ229" s="6"/>
      <c r="UK229" s="4"/>
      <c r="UL229" s="4"/>
      <c r="UM229" s="4"/>
      <c r="UN229" s="4"/>
      <c r="UO229" s="4"/>
      <c r="UP229" s="5"/>
      <c r="UQ229" s="6"/>
      <c r="UR229" s="4"/>
      <c r="US229" s="4"/>
      <c r="UT229" s="4"/>
      <c r="UU229" s="4"/>
      <c r="UV229" s="4"/>
      <c r="UW229" s="5"/>
      <c r="UX229" s="6"/>
      <c r="UY229" s="4"/>
      <c r="UZ229" s="4"/>
      <c r="VA229" s="4"/>
      <c r="VB229" s="4"/>
      <c r="VC229" s="4"/>
      <c r="VD229" s="5"/>
      <c r="VE229" s="6"/>
      <c r="VF229" s="4"/>
      <c r="VG229" s="4"/>
      <c r="VH229" s="4"/>
      <c r="VI229" s="4"/>
      <c r="VJ229" s="4"/>
      <c r="VK229" s="5"/>
      <c r="VL229" s="6"/>
      <c r="VM229" s="4"/>
      <c r="VN229" s="4"/>
      <c r="VO229" s="4"/>
      <c r="VP229" s="4"/>
      <c r="VQ229" s="4"/>
      <c r="VR229" s="5"/>
      <c r="VS229" s="6"/>
      <c r="VT229" s="4"/>
      <c r="VU229" s="4"/>
      <c r="VV229" s="4"/>
      <c r="VW229" s="4"/>
      <c r="VX229" s="4"/>
      <c r="VY229" s="5"/>
      <c r="VZ229" s="6"/>
      <c r="WA229" s="4"/>
      <c r="WB229" s="4"/>
      <c r="WC229" s="4"/>
      <c r="WD229" s="4"/>
      <c r="WE229" s="4"/>
      <c r="WF229" s="5"/>
      <c r="WG229" s="6"/>
      <c r="WH229" s="4"/>
      <c r="WI229" s="4"/>
      <c r="WJ229" s="4"/>
      <c r="WK229" s="4"/>
      <c r="WL229" s="4"/>
      <c r="WM229" s="5"/>
      <c r="WN229" s="6"/>
      <c r="WO229" s="4"/>
      <c r="WP229" s="4"/>
      <c r="WQ229" s="4"/>
      <c r="WR229" s="4"/>
      <c r="WS229" s="4"/>
      <c r="WT229" s="5"/>
      <c r="WU229" s="6"/>
      <c r="WV229" s="4"/>
      <c r="WW229" s="4"/>
      <c r="WX229" s="4"/>
      <c r="WY229" s="4"/>
      <c r="WZ229" s="4"/>
      <c r="XA229" s="5"/>
      <c r="XB229" s="6"/>
      <c r="XC229" s="4"/>
      <c r="XD229" s="4"/>
      <c r="XE229" s="4"/>
      <c r="XF229" s="4"/>
      <c r="XG229" s="4"/>
      <c r="XH229" s="5"/>
      <c r="XI229" s="6"/>
      <c r="XJ229" s="4"/>
      <c r="XK229" s="4"/>
      <c r="XL229" s="4"/>
      <c r="XM229" s="4"/>
      <c r="XN229" s="4"/>
      <c r="XO229" s="5"/>
      <c r="XP229" s="6"/>
      <c r="XQ229" s="4"/>
      <c r="XR229" s="4"/>
      <c r="XS229" s="4"/>
      <c r="XT229" s="4"/>
      <c r="XU229" s="4"/>
      <c r="XV229" s="5"/>
      <c r="XW229" s="6"/>
      <c r="XX229" s="4"/>
      <c r="XY229" s="4"/>
      <c r="XZ229" s="4"/>
      <c r="YA229" s="4"/>
      <c r="YB229" s="4"/>
      <c r="YC229" s="5"/>
      <c r="YD229" s="6"/>
      <c r="YE229" s="4"/>
      <c r="YF229" s="4"/>
      <c r="YG229" s="4"/>
      <c r="YH229" s="4"/>
      <c r="YI229" s="4"/>
      <c r="YJ229" s="5"/>
      <c r="YK229" s="6" t="s">
        <v>3368</v>
      </c>
      <c r="YL229" s="4" t="s">
        <v>3225</v>
      </c>
      <c r="YM229" s="4"/>
      <c r="YN229" s="4" t="s">
        <v>3372</v>
      </c>
      <c r="YO229" s="8">
        <v>36341</v>
      </c>
      <c r="YP229" s="8">
        <v>36341</v>
      </c>
      <c r="YQ229" s="5" t="s">
        <v>4086</v>
      </c>
      <c r="YR229" s="6"/>
      <c r="YS229" s="4"/>
      <c r="YT229" s="4"/>
      <c r="YU229" s="4"/>
      <c r="YV229" s="4"/>
      <c r="YW229" s="4"/>
      <c r="YX229" s="5"/>
      <c r="YY229" s="6"/>
      <c r="YZ229" s="4"/>
      <c r="ZA229" s="4"/>
      <c r="ZB229" s="4"/>
      <c r="ZC229" s="4"/>
      <c r="ZD229" s="4"/>
      <c r="ZE229" s="5"/>
      <c r="ZF229" s="6"/>
      <c r="ZG229" s="4"/>
      <c r="ZH229" s="4"/>
      <c r="ZI229" s="4"/>
      <c r="ZJ229" s="4"/>
      <c r="ZK229" s="4"/>
      <c r="ZL229" s="5"/>
      <c r="ZM229" s="6"/>
      <c r="ZN229" s="4"/>
      <c r="ZO229" s="4"/>
      <c r="ZP229" s="4"/>
      <c r="ZQ229" s="8"/>
      <c r="ZR229" s="8"/>
      <c r="ZS229" s="5"/>
      <c r="ZT229" s="6"/>
      <c r="ZU229" s="4"/>
      <c r="ZV229" s="4"/>
      <c r="ZW229" s="4"/>
      <c r="ZX229" s="4"/>
      <c r="ZY229" s="4"/>
      <c r="ZZ229" s="5"/>
      <c r="AAA229" s="6"/>
      <c r="AAB229" s="4"/>
      <c r="AAC229" s="4"/>
      <c r="AAD229" s="4"/>
      <c r="AAE229" s="4"/>
      <c r="AAF229" s="4"/>
      <c r="AAG229" s="5"/>
      <c r="AAH229" s="6"/>
      <c r="AAI229" s="4"/>
      <c r="AAJ229" s="4"/>
      <c r="AAK229" s="4"/>
      <c r="AAL229" s="4"/>
      <c r="AAM229" s="8"/>
      <c r="AAN229" s="5"/>
      <c r="AAO229" s="6"/>
      <c r="AAP229" s="4"/>
      <c r="AAQ229" s="4"/>
      <c r="AAR229" s="4"/>
      <c r="AAS229" s="4"/>
      <c r="AAT229" s="4"/>
      <c r="AAU229" s="5"/>
      <c r="AAV229" s="6"/>
      <c r="AAW229" s="4"/>
      <c r="AAX229" s="4"/>
      <c r="AAY229" s="4"/>
      <c r="AAZ229" s="4"/>
      <c r="ABA229" s="4"/>
      <c r="ABB229" s="5"/>
      <c r="ABC229" s="6"/>
      <c r="ABD229" s="4"/>
      <c r="ABE229" s="4"/>
      <c r="ABF229" s="4"/>
      <c r="ABG229" s="4"/>
      <c r="ABH229" s="4"/>
      <c r="ABI229" s="5"/>
      <c r="ABJ229" s="6"/>
      <c r="ABK229" s="4"/>
      <c r="ABL229" s="4"/>
      <c r="ABM229" s="4"/>
      <c r="ABN229" s="4"/>
      <c r="ABO229" s="4"/>
      <c r="ABP229" s="5"/>
      <c r="ABQ229" s="6"/>
      <c r="ABR229" s="4"/>
      <c r="ABS229" s="4"/>
      <c r="ABT229" s="4"/>
      <c r="ABU229" s="4"/>
      <c r="ABV229" s="4"/>
      <c r="ABW229" s="5"/>
      <c r="ABX229" s="6"/>
      <c r="ABY229" s="4"/>
      <c r="ABZ229" s="4"/>
      <c r="ACA229" s="4"/>
      <c r="ACB229" s="4"/>
      <c r="ACC229" s="4"/>
      <c r="ACD229" s="5"/>
      <c r="ACE229" s="6"/>
      <c r="ACF229" s="4"/>
      <c r="ACG229" s="4"/>
      <c r="ACH229" s="4"/>
      <c r="ACI229" s="4"/>
      <c r="ACJ229" s="4"/>
      <c r="ACK229" s="5"/>
      <c r="ACL229" s="6" t="s">
        <v>3057</v>
      </c>
      <c r="ACM229" s="4" t="s">
        <v>3058</v>
      </c>
      <c r="ACN229" s="4" t="s">
        <v>3315</v>
      </c>
      <c r="ACO229" s="4"/>
      <c r="ACP229" s="8">
        <v>36356</v>
      </c>
      <c r="ACQ229" s="4"/>
      <c r="ACR229" s="5" t="s">
        <v>3980</v>
      </c>
      <c r="ACS229" s="6"/>
      <c r="ACT229" s="4"/>
      <c r="ACU229" s="4"/>
      <c r="ACV229" s="4"/>
      <c r="ACW229" s="4"/>
      <c r="ACX229" s="4"/>
      <c r="ACY229" s="5"/>
    </row>
    <row r="230" spans="2:805" x14ac:dyDescent="0.25">
      <c r="B230" s="30"/>
      <c r="J230" s="12"/>
      <c r="K230" s="12"/>
      <c r="L230" s="12"/>
      <c r="LL230" s="6"/>
      <c r="LM230" s="4"/>
      <c r="LN230" s="4"/>
      <c r="LO230" s="4"/>
      <c r="LP230" s="4"/>
      <c r="LQ230" s="4"/>
      <c r="LR230" s="5"/>
      <c r="LS230" s="6"/>
      <c r="LT230" s="4"/>
      <c r="LU230" s="4"/>
      <c r="LV230" s="4"/>
      <c r="LW230" s="4"/>
      <c r="LX230" s="4"/>
      <c r="LY230" s="5"/>
      <c r="LZ230" s="6" t="s">
        <v>3309</v>
      </c>
      <c r="MA230" s="7" t="s">
        <v>3050</v>
      </c>
      <c r="MB230" s="4" t="s">
        <v>3310</v>
      </c>
      <c r="MC230" s="7" t="s">
        <v>3311</v>
      </c>
      <c r="MD230" s="8">
        <v>36360</v>
      </c>
      <c r="ME230" s="8">
        <v>36367</v>
      </c>
      <c r="MF230" s="8" t="s">
        <v>3787</v>
      </c>
      <c r="MG230" s="5" t="s">
        <v>3960</v>
      </c>
      <c r="MH230" s="6"/>
      <c r="MI230" s="4"/>
      <c r="MJ230" s="4"/>
      <c r="MK230" s="4"/>
      <c r="ML230" s="4"/>
      <c r="MM230" s="4"/>
      <c r="MN230" s="5"/>
      <c r="MO230" s="6"/>
      <c r="MP230" s="4"/>
      <c r="MQ230" s="4"/>
      <c r="MR230" s="4"/>
      <c r="MS230" s="4"/>
      <c r="MT230" s="4"/>
      <c r="MU230" s="5"/>
      <c r="MV230" s="6"/>
      <c r="MW230" s="4"/>
      <c r="MX230" s="4"/>
      <c r="MY230" s="4"/>
      <c r="MZ230" s="4"/>
      <c r="NA230" s="4"/>
      <c r="NB230" s="5"/>
      <c r="NC230" s="6"/>
      <c r="ND230" s="4"/>
      <c r="NE230" s="4"/>
      <c r="NF230" s="4"/>
      <c r="NG230" s="4"/>
      <c r="NH230" s="4"/>
      <c r="NI230" s="5"/>
      <c r="NJ230" s="6"/>
      <c r="NK230" s="4"/>
      <c r="NL230" s="4"/>
      <c r="NM230" s="4"/>
      <c r="NN230" s="4"/>
      <c r="NO230" s="4"/>
      <c r="NP230" s="5"/>
      <c r="NQ230" s="6"/>
      <c r="NR230" s="4"/>
      <c r="NS230" s="4"/>
      <c r="NT230" s="4"/>
      <c r="NU230" s="4"/>
      <c r="NV230" s="4"/>
      <c r="NW230" s="5"/>
      <c r="NX230" s="6"/>
      <c r="NY230" s="4"/>
      <c r="NZ230" s="4"/>
      <c r="OA230" s="4"/>
      <c r="OB230" s="4"/>
      <c r="OC230" s="4"/>
      <c r="OD230" s="5"/>
      <c r="OE230" s="6"/>
      <c r="OF230" s="4"/>
      <c r="OG230" s="4"/>
      <c r="OH230" s="4"/>
      <c r="OI230" s="4"/>
      <c r="OJ230" s="4"/>
      <c r="OK230" s="5"/>
      <c r="OL230" s="6"/>
      <c r="OM230" s="4"/>
      <c r="ON230" s="4"/>
      <c r="OO230" s="4"/>
      <c r="OP230" s="4"/>
      <c r="OQ230" s="4"/>
      <c r="OR230" s="5"/>
      <c r="OS230" s="6"/>
      <c r="OT230" s="4"/>
      <c r="OU230" s="4"/>
      <c r="OV230" s="4"/>
      <c r="OW230" s="4"/>
      <c r="OX230" s="4"/>
      <c r="OY230" s="5"/>
      <c r="OZ230" s="6"/>
      <c r="PA230" s="4"/>
      <c r="PB230" s="4"/>
      <c r="PC230" s="4"/>
      <c r="PD230" s="4"/>
      <c r="PE230" s="4"/>
      <c r="PF230" s="5"/>
      <c r="PG230" s="6"/>
      <c r="PH230" s="4"/>
      <c r="PI230" s="4"/>
      <c r="PJ230" s="4"/>
      <c r="PK230" s="4"/>
      <c r="PL230" s="4"/>
      <c r="PM230" s="5"/>
      <c r="PN230" s="6"/>
      <c r="PO230" s="4"/>
      <c r="PP230" s="4"/>
      <c r="PQ230" s="4"/>
      <c r="PR230" s="4"/>
      <c r="PS230" s="4"/>
      <c r="PT230" s="5"/>
      <c r="PU230" s="6"/>
      <c r="PV230" s="4"/>
      <c r="PW230" s="4"/>
      <c r="PX230" s="4"/>
      <c r="PY230" s="4"/>
      <c r="PZ230" s="4"/>
      <c r="QA230" s="5"/>
      <c r="QB230" s="6"/>
      <c r="QC230" s="4"/>
      <c r="QD230" s="4"/>
      <c r="QE230" s="4"/>
      <c r="QF230" s="4"/>
      <c r="QG230" s="8"/>
      <c r="QH230" s="5"/>
      <c r="QI230" s="6"/>
      <c r="QJ230" s="4"/>
      <c r="QK230" s="4"/>
      <c r="QL230" s="4"/>
      <c r="QM230" s="4"/>
      <c r="QN230" s="4"/>
      <c r="QO230" s="5"/>
      <c r="QP230" s="6"/>
      <c r="QQ230" s="4"/>
      <c r="QR230" s="4"/>
      <c r="QS230" s="4"/>
      <c r="QT230" s="4"/>
      <c r="QU230" s="4"/>
      <c r="QV230" s="5"/>
      <c r="QW230" s="6"/>
      <c r="QX230" s="4"/>
      <c r="QY230" s="4"/>
      <c r="QZ230" s="4"/>
      <c r="RA230" s="4"/>
      <c r="RB230" s="4"/>
      <c r="RC230" s="5"/>
      <c r="RD230" s="6"/>
      <c r="RE230" s="4"/>
      <c r="RF230" s="4"/>
      <c r="RG230" s="4"/>
      <c r="RH230" s="4"/>
      <c r="RI230" s="4"/>
      <c r="RJ230" s="5"/>
      <c r="RK230" s="6"/>
      <c r="RL230" s="4"/>
      <c r="RM230" s="4"/>
      <c r="RN230" s="4"/>
      <c r="RO230" s="4"/>
      <c r="RP230" s="4"/>
      <c r="RQ230" s="5"/>
      <c r="RR230" s="6"/>
      <c r="RS230" s="4"/>
      <c r="RT230" s="4"/>
      <c r="RU230" s="4"/>
      <c r="RV230" s="4"/>
      <c r="RW230" s="4"/>
      <c r="RX230" s="5"/>
      <c r="RY230" s="6"/>
      <c r="RZ230" s="4"/>
      <c r="SA230" s="4"/>
      <c r="SB230" s="4"/>
      <c r="SC230" s="4"/>
      <c r="SD230" s="4"/>
      <c r="SE230" s="5"/>
      <c r="SF230" s="6"/>
      <c r="SG230" s="4"/>
      <c r="SH230" s="4"/>
      <c r="SI230" s="4"/>
      <c r="SJ230" s="4"/>
      <c r="SK230" s="4"/>
      <c r="SL230" s="5"/>
      <c r="SM230" s="6"/>
      <c r="SN230" s="4"/>
      <c r="SO230" s="4"/>
      <c r="SP230" s="4"/>
      <c r="SQ230" s="4"/>
      <c r="SR230" s="4"/>
      <c r="SS230" s="5"/>
      <c r="ST230" s="6"/>
      <c r="SU230" s="4"/>
      <c r="SV230" s="4"/>
      <c r="SW230" s="4"/>
      <c r="SX230" s="4"/>
      <c r="SY230" s="4"/>
      <c r="SZ230" s="5"/>
      <c r="TA230" s="6"/>
      <c r="TB230" s="4"/>
      <c r="TC230" s="4"/>
      <c r="TD230" s="4"/>
      <c r="TE230" s="4"/>
      <c r="TF230" s="4"/>
      <c r="TG230" s="5"/>
      <c r="TH230" s="6"/>
      <c r="TI230" s="4"/>
      <c r="TJ230" s="4"/>
      <c r="TK230" s="4"/>
      <c r="TL230" s="4"/>
      <c r="TM230" s="4"/>
      <c r="TN230" s="5"/>
      <c r="TO230" s="6"/>
      <c r="TP230" s="4"/>
      <c r="TQ230" s="4"/>
      <c r="TR230" s="4"/>
      <c r="TS230" s="4"/>
      <c r="TT230" s="4"/>
      <c r="TU230" s="5"/>
      <c r="TV230" s="6"/>
      <c r="TW230" s="4"/>
      <c r="TX230" s="4"/>
      <c r="TY230" s="4"/>
      <c r="TZ230" s="4"/>
      <c r="UA230" s="4"/>
      <c r="UB230" s="5"/>
      <c r="UC230" s="6"/>
      <c r="UD230" s="4"/>
      <c r="UE230" s="4"/>
      <c r="UF230" s="4"/>
      <c r="UG230" s="4"/>
      <c r="UH230" s="8"/>
      <c r="UI230" s="5"/>
      <c r="UJ230" s="6"/>
      <c r="UK230" s="4"/>
      <c r="UL230" s="4"/>
      <c r="UM230" s="4"/>
      <c r="UN230" s="4"/>
      <c r="UO230" s="4"/>
      <c r="UP230" s="5"/>
      <c r="UQ230" s="6"/>
      <c r="UR230" s="4"/>
      <c r="US230" s="4"/>
      <c r="UT230" s="4"/>
      <c r="UU230" s="4"/>
      <c r="UV230" s="4"/>
      <c r="UW230" s="5"/>
      <c r="UX230" s="6"/>
      <c r="UY230" s="4"/>
      <c r="UZ230" s="4"/>
      <c r="VA230" s="4"/>
      <c r="VB230" s="4"/>
      <c r="VC230" s="4"/>
      <c r="VD230" s="5"/>
      <c r="VE230" s="6"/>
      <c r="VF230" s="4"/>
      <c r="VG230" s="4"/>
      <c r="VH230" s="4"/>
      <c r="VI230" s="4"/>
      <c r="VJ230" s="4"/>
      <c r="VK230" s="5"/>
      <c r="VL230" s="6"/>
      <c r="VM230" s="4"/>
      <c r="VN230" s="4"/>
      <c r="VO230" s="4"/>
      <c r="VP230" s="4"/>
      <c r="VQ230" s="4"/>
      <c r="VR230" s="5"/>
      <c r="VS230" s="6"/>
      <c r="VT230" s="4"/>
      <c r="VU230" s="4"/>
      <c r="VV230" s="4"/>
      <c r="VW230" s="4"/>
      <c r="VX230" s="4"/>
      <c r="VY230" s="5"/>
      <c r="VZ230" s="6"/>
      <c r="WA230" s="4"/>
      <c r="WB230" s="4"/>
      <c r="WC230" s="4"/>
      <c r="WD230" s="4"/>
      <c r="WE230" s="4"/>
      <c r="WF230" s="5"/>
      <c r="WG230" s="6"/>
      <c r="WH230" s="4"/>
      <c r="WI230" s="4"/>
      <c r="WJ230" s="4"/>
      <c r="WK230" s="4"/>
      <c r="WL230" s="4"/>
      <c r="WM230" s="5"/>
      <c r="WN230" s="6"/>
      <c r="WO230" s="4"/>
      <c r="WP230" s="4"/>
      <c r="WQ230" s="4"/>
      <c r="WR230" s="4"/>
      <c r="WS230" s="4"/>
      <c r="WT230" s="5"/>
      <c r="WU230" s="6"/>
      <c r="WV230" s="4"/>
      <c r="WW230" s="4"/>
      <c r="WX230" s="4"/>
      <c r="WY230" s="4"/>
      <c r="WZ230" s="4"/>
      <c r="XA230" s="5"/>
      <c r="XB230" s="6"/>
      <c r="XC230" s="4"/>
      <c r="XD230" s="4"/>
      <c r="XE230" s="4"/>
      <c r="XF230" s="4"/>
      <c r="XG230" s="4"/>
      <c r="XH230" s="5"/>
      <c r="XI230" s="6"/>
      <c r="XJ230" s="4"/>
      <c r="XK230" s="4"/>
      <c r="XL230" s="4"/>
      <c r="XM230" s="4"/>
      <c r="XN230" s="4"/>
      <c r="XO230" s="5"/>
      <c r="XP230" s="6"/>
      <c r="XQ230" s="4"/>
      <c r="XR230" s="4"/>
      <c r="XS230" s="4"/>
      <c r="XT230" s="4"/>
      <c r="XU230" s="4"/>
      <c r="XV230" s="5"/>
      <c r="XW230" s="6"/>
      <c r="XX230" s="4"/>
      <c r="XY230" s="4"/>
      <c r="XZ230" s="4"/>
      <c r="YA230" s="4"/>
      <c r="YB230" s="4"/>
      <c r="YC230" s="5"/>
      <c r="YD230" s="6"/>
      <c r="YE230" s="4"/>
      <c r="YF230" s="4"/>
      <c r="YG230" s="4"/>
      <c r="YH230" s="4"/>
      <c r="YI230" s="4"/>
      <c r="YJ230" s="5"/>
      <c r="YK230" s="6" t="s">
        <v>3312</v>
      </c>
      <c r="YL230" s="4" t="s">
        <v>3313</v>
      </c>
      <c r="YM230" s="4"/>
      <c r="YN230" s="4" t="s">
        <v>3070</v>
      </c>
      <c r="YO230" s="8">
        <v>36348</v>
      </c>
      <c r="YP230" s="8">
        <v>36348</v>
      </c>
      <c r="YQ230" s="5" t="s">
        <v>4087</v>
      </c>
      <c r="YR230" s="6"/>
      <c r="YS230" s="4"/>
      <c r="YT230" s="4"/>
      <c r="YU230" s="4"/>
      <c r="YV230" s="4"/>
      <c r="YW230" s="4"/>
      <c r="YX230" s="5"/>
      <c r="YY230" s="6"/>
      <c r="YZ230" s="4"/>
      <c r="ZA230" s="4"/>
      <c r="ZB230" s="4"/>
      <c r="ZC230" s="4"/>
      <c r="ZD230" s="4"/>
      <c r="ZE230" s="5"/>
      <c r="ZF230" s="6"/>
      <c r="ZG230" s="4"/>
      <c r="ZH230" s="4"/>
      <c r="ZI230" s="4"/>
      <c r="ZJ230" s="4"/>
      <c r="ZK230" s="4"/>
      <c r="ZL230" s="5"/>
      <c r="ZM230" s="6"/>
      <c r="ZN230" s="4"/>
      <c r="ZO230" s="4"/>
      <c r="ZP230" s="4"/>
      <c r="ZQ230" s="8"/>
      <c r="ZR230" s="8"/>
      <c r="ZS230" s="5"/>
      <c r="ZT230" s="6"/>
      <c r="ZU230" s="4"/>
      <c r="ZV230" s="4"/>
      <c r="ZW230" s="4"/>
      <c r="ZX230" s="4"/>
      <c r="ZY230" s="4"/>
      <c r="ZZ230" s="5"/>
      <c r="AAA230" s="6"/>
      <c r="AAB230" s="4"/>
      <c r="AAC230" s="4"/>
      <c r="AAD230" s="4"/>
      <c r="AAE230" s="4"/>
      <c r="AAF230" s="4"/>
      <c r="AAG230" s="5"/>
      <c r="AAH230" s="6"/>
      <c r="AAI230" s="4"/>
      <c r="AAJ230" s="4"/>
      <c r="AAK230" s="4"/>
      <c r="AAL230" s="4"/>
      <c r="AAM230" s="8"/>
      <c r="AAN230" s="5"/>
      <c r="AAO230" s="6"/>
      <c r="AAP230" s="4"/>
      <c r="AAQ230" s="4"/>
      <c r="AAR230" s="4"/>
      <c r="AAS230" s="4"/>
      <c r="AAT230" s="4"/>
      <c r="AAU230" s="5"/>
      <c r="AAV230" s="6"/>
      <c r="AAW230" s="4"/>
      <c r="AAX230" s="4"/>
      <c r="AAY230" s="4"/>
      <c r="AAZ230" s="4"/>
      <c r="ABA230" s="4"/>
      <c r="ABB230" s="5"/>
      <c r="ABC230" s="6"/>
      <c r="ABD230" s="4"/>
      <c r="ABE230" s="4"/>
      <c r="ABF230" s="4"/>
      <c r="ABG230" s="4"/>
      <c r="ABH230" s="4"/>
      <c r="ABI230" s="5"/>
      <c r="ABJ230" s="6"/>
      <c r="ABK230" s="4"/>
      <c r="ABL230" s="4"/>
      <c r="ABM230" s="4"/>
      <c r="ABN230" s="4"/>
      <c r="ABO230" s="4"/>
      <c r="ABP230" s="5"/>
      <c r="ABQ230" s="6"/>
      <c r="ABR230" s="4"/>
      <c r="ABS230" s="4"/>
      <c r="ABT230" s="4"/>
      <c r="ABU230" s="4"/>
      <c r="ABV230" s="4"/>
      <c r="ABW230" s="5"/>
      <c r="ABX230" s="6"/>
      <c r="ABY230" s="4"/>
      <c r="ABZ230" s="4"/>
      <c r="ACA230" s="4"/>
      <c r="ACB230" s="4"/>
      <c r="ACC230" s="4"/>
      <c r="ACD230" s="5"/>
      <c r="ACE230" s="6"/>
      <c r="ACF230" s="4"/>
      <c r="ACG230" s="4"/>
      <c r="ACH230" s="4"/>
      <c r="ACI230" s="4"/>
      <c r="ACJ230" s="4"/>
      <c r="ACK230" s="5"/>
      <c r="ACL230" s="6"/>
      <c r="ACM230" s="4"/>
      <c r="ACN230" s="4"/>
      <c r="ACO230" s="4"/>
      <c r="ACP230" s="4"/>
      <c r="ACQ230" s="4"/>
      <c r="ACR230" s="5"/>
      <c r="ACS230" s="6"/>
      <c r="ACT230" s="4"/>
      <c r="ACU230" s="4"/>
      <c r="ACV230" s="4"/>
      <c r="ACW230" s="4"/>
      <c r="ACX230" s="4"/>
      <c r="ACY230" s="5"/>
    </row>
    <row r="231" spans="2:805" x14ac:dyDescent="0.25">
      <c r="B231" s="30"/>
      <c r="J231" s="12"/>
      <c r="K231" s="12"/>
      <c r="L231" s="12"/>
      <c r="LL231" s="6"/>
      <c r="LM231" s="4"/>
      <c r="LN231" s="4"/>
      <c r="LO231" s="4"/>
      <c r="LP231" s="4"/>
      <c r="LQ231" s="4"/>
      <c r="LR231" s="5"/>
      <c r="LS231" s="6"/>
      <c r="LT231" s="4"/>
      <c r="LU231" s="4"/>
      <c r="LV231" s="4"/>
      <c r="LW231" s="4"/>
      <c r="LX231" s="4"/>
      <c r="LY231" s="5"/>
      <c r="LZ231" s="6"/>
      <c r="MA231" s="7"/>
      <c r="MB231" s="4"/>
      <c r="MC231" s="7"/>
      <c r="MD231" s="8"/>
      <c r="ME231" s="8"/>
      <c r="MF231" s="8"/>
      <c r="MG231" s="5"/>
      <c r="MH231" s="6"/>
      <c r="MI231" s="4"/>
      <c r="MJ231" s="4"/>
      <c r="MK231" s="4"/>
      <c r="ML231" s="4"/>
      <c r="MM231" s="4"/>
      <c r="MN231" s="5"/>
      <c r="MO231" s="6"/>
      <c r="MP231" s="4"/>
      <c r="MQ231" s="4"/>
      <c r="MR231" s="4"/>
      <c r="MS231" s="4"/>
      <c r="MT231" s="4"/>
      <c r="MU231" s="5"/>
      <c r="MV231" s="6"/>
      <c r="MW231" s="4"/>
      <c r="MX231" s="4"/>
      <c r="MY231" s="4"/>
      <c r="MZ231" s="4"/>
      <c r="NA231" s="4"/>
      <c r="NB231" s="5"/>
      <c r="NC231" s="6"/>
      <c r="ND231" s="4"/>
      <c r="NE231" s="4"/>
      <c r="NF231" s="4"/>
      <c r="NG231" s="4"/>
      <c r="NH231" s="4"/>
      <c r="NI231" s="5"/>
      <c r="NJ231" s="6"/>
      <c r="NK231" s="4"/>
      <c r="NL231" s="4"/>
      <c r="NM231" s="4"/>
      <c r="NN231" s="4"/>
      <c r="NO231" s="4"/>
      <c r="NP231" s="5"/>
      <c r="NQ231" s="6"/>
      <c r="NR231" s="4"/>
      <c r="NS231" s="4"/>
      <c r="NT231" s="4"/>
      <c r="NU231" s="4"/>
      <c r="NV231" s="4"/>
      <c r="NW231" s="5"/>
      <c r="NX231" s="6"/>
      <c r="NY231" s="4"/>
      <c r="NZ231" s="4"/>
      <c r="OA231" s="4"/>
      <c r="OB231" s="4"/>
      <c r="OC231" s="4"/>
      <c r="OD231" s="5"/>
      <c r="OE231" s="6"/>
      <c r="OF231" s="4"/>
      <c r="OG231" s="4"/>
      <c r="OH231" s="4"/>
      <c r="OI231" s="4"/>
      <c r="OJ231" s="4"/>
      <c r="OK231" s="5"/>
      <c r="OL231" s="6"/>
      <c r="OM231" s="4"/>
      <c r="ON231" s="4"/>
      <c r="OO231" s="4"/>
      <c r="OP231" s="4"/>
      <c r="OQ231" s="4"/>
      <c r="OR231" s="5"/>
      <c r="OS231" s="6"/>
      <c r="OT231" s="4"/>
      <c r="OU231" s="4"/>
      <c r="OV231" s="4"/>
      <c r="OW231" s="4"/>
      <c r="OX231" s="4"/>
      <c r="OY231" s="5"/>
      <c r="OZ231" s="6"/>
      <c r="PA231" s="4"/>
      <c r="PB231" s="4"/>
      <c r="PC231" s="4"/>
      <c r="PD231" s="4"/>
      <c r="PE231" s="4"/>
      <c r="PF231" s="5"/>
      <c r="PG231" s="6"/>
      <c r="PH231" s="4"/>
      <c r="PI231" s="4"/>
      <c r="PJ231" s="4"/>
      <c r="PK231" s="4"/>
      <c r="PL231" s="4"/>
      <c r="PM231" s="5"/>
      <c r="PN231" s="6"/>
      <c r="PO231" s="4"/>
      <c r="PP231" s="4"/>
      <c r="PQ231" s="4"/>
      <c r="PR231" s="4"/>
      <c r="PS231" s="4"/>
      <c r="PT231" s="5"/>
      <c r="PU231" s="6"/>
      <c r="PV231" s="4"/>
      <c r="PW231" s="4"/>
      <c r="PX231" s="4"/>
      <c r="PY231" s="4"/>
      <c r="PZ231" s="4"/>
      <c r="QA231" s="5"/>
      <c r="QB231" s="6"/>
      <c r="QC231" s="4"/>
      <c r="QD231" s="4"/>
      <c r="QE231" s="4"/>
      <c r="QF231" s="4"/>
      <c r="QG231" s="8"/>
      <c r="QH231" s="5"/>
      <c r="QI231" s="6"/>
      <c r="QJ231" s="4"/>
      <c r="QK231" s="4"/>
      <c r="QL231" s="4"/>
      <c r="QM231" s="4"/>
      <c r="QN231" s="4"/>
      <c r="QO231" s="5"/>
      <c r="QP231" s="6"/>
      <c r="QQ231" s="4"/>
      <c r="QR231" s="4"/>
      <c r="QS231" s="4"/>
      <c r="QT231" s="4"/>
      <c r="QU231" s="4"/>
      <c r="QV231" s="5"/>
      <c r="QW231" s="6"/>
      <c r="QX231" s="4"/>
      <c r="QY231" s="4"/>
      <c r="QZ231" s="4"/>
      <c r="RA231" s="4"/>
      <c r="RB231" s="4"/>
      <c r="RC231" s="5"/>
      <c r="RD231" s="6"/>
      <c r="RE231" s="4"/>
      <c r="RF231" s="4"/>
      <c r="RG231" s="4"/>
      <c r="RH231" s="4"/>
      <c r="RI231" s="4"/>
      <c r="RJ231" s="5"/>
      <c r="RK231" s="6"/>
      <c r="RL231" s="4"/>
      <c r="RM231" s="4"/>
      <c r="RN231" s="4"/>
      <c r="RO231" s="4"/>
      <c r="RP231" s="4"/>
      <c r="RQ231" s="5"/>
      <c r="RR231" s="6"/>
      <c r="RS231" s="4"/>
      <c r="RT231" s="4"/>
      <c r="RU231" s="4"/>
      <c r="RV231" s="4"/>
      <c r="RW231" s="4"/>
      <c r="RX231" s="5"/>
      <c r="RY231" s="6"/>
      <c r="RZ231" s="4"/>
      <c r="SA231" s="4"/>
      <c r="SB231" s="4"/>
      <c r="SC231" s="4"/>
      <c r="SD231" s="4"/>
      <c r="SE231" s="5"/>
      <c r="SF231" s="6"/>
      <c r="SG231" s="4"/>
      <c r="SH231" s="4"/>
      <c r="SI231" s="4"/>
      <c r="SJ231" s="4"/>
      <c r="SK231" s="4"/>
      <c r="SL231" s="5"/>
      <c r="SM231" s="6"/>
      <c r="SN231" s="4"/>
      <c r="SO231" s="4"/>
      <c r="SP231" s="4"/>
      <c r="SQ231" s="4"/>
      <c r="SR231" s="4"/>
      <c r="SS231" s="5"/>
      <c r="ST231" s="6"/>
      <c r="SU231" s="4"/>
      <c r="SV231" s="4"/>
      <c r="SW231" s="4"/>
      <c r="SX231" s="4"/>
      <c r="SY231" s="4"/>
      <c r="SZ231" s="5"/>
      <c r="TA231" s="6"/>
      <c r="TB231" s="4"/>
      <c r="TC231" s="4"/>
      <c r="TD231" s="4"/>
      <c r="TE231" s="4"/>
      <c r="TF231" s="4"/>
      <c r="TG231" s="5"/>
      <c r="TH231" s="6"/>
      <c r="TI231" s="4"/>
      <c r="TJ231" s="4"/>
      <c r="TK231" s="4"/>
      <c r="TL231" s="4"/>
      <c r="TM231" s="4"/>
      <c r="TN231" s="5"/>
      <c r="TO231" s="6"/>
      <c r="TP231" s="4"/>
      <c r="TQ231" s="4"/>
      <c r="TR231" s="4"/>
      <c r="TS231" s="4"/>
      <c r="TT231" s="4"/>
      <c r="TU231" s="5"/>
      <c r="TV231" s="6"/>
      <c r="TW231" s="4"/>
      <c r="TX231" s="4"/>
      <c r="TY231" s="4"/>
      <c r="TZ231" s="4"/>
      <c r="UA231" s="4"/>
      <c r="UB231" s="5"/>
      <c r="UC231" s="6"/>
      <c r="UD231" s="4"/>
      <c r="UE231" s="4"/>
      <c r="UF231" s="4"/>
      <c r="UG231" s="4"/>
      <c r="UH231" s="8"/>
      <c r="UI231" s="5"/>
      <c r="UJ231" s="6"/>
      <c r="UK231" s="4"/>
      <c r="UL231" s="4"/>
      <c r="UM231" s="4"/>
      <c r="UN231" s="4"/>
      <c r="UO231" s="4"/>
      <c r="UP231" s="5"/>
      <c r="UQ231" s="6"/>
      <c r="UR231" s="4"/>
      <c r="US231" s="4"/>
      <c r="UT231" s="4"/>
      <c r="UU231" s="4"/>
      <c r="UV231" s="4"/>
      <c r="UW231" s="5"/>
      <c r="UX231" s="6"/>
      <c r="UY231" s="4"/>
      <c r="UZ231" s="4"/>
      <c r="VA231" s="4"/>
      <c r="VB231" s="4"/>
      <c r="VC231" s="4"/>
      <c r="VD231" s="5"/>
      <c r="VE231" s="6"/>
      <c r="VF231" s="4"/>
      <c r="VG231" s="4"/>
      <c r="VH231" s="4"/>
      <c r="VI231" s="4"/>
      <c r="VJ231" s="4"/>
      <c r="VK231" s="5"/>
      <c r="VL231" s="6"/>
      <c r="VM231" s="4"/>
      <c r="VN231" s="4"/>
      <c r="VO231" s="4"/>
      <c r="VP231" s="4"/>
      <c r="VQ231" s="4"/>
      <c r="VR231" s="5"/>
      <c r="VS231" s="6"/>
      <c r="VT231" s="4"/>
      <c r="VU231" s="4"/>
      <c r="VV231" s="4"/>
      <c r="VW231" s="4"/>
      <c r="VX231" s="4"/>
      <c r="VY231" s="5"/>
      <c r="VZ231" s="6"/>
      <c r="WA231" s="4"/>
      <c r="WB231" s="4"/>
      <c r="WC231" s="4"/>
      <c r="WD231" s="4"/>
      <c r="WE231" s="4"/>
      <c r="WF231" s="5"/>
      <c r="WG231" s="6"/>
      <c r="WH231" s="4"/>
      <c r="WI231" s="4"/>
      <c r="WJ231" s="4"/>
      <c r="WK231" s="4"/>
      <c r="WL231" s="4"/>
      <c r="WM231" s="5"/>
      <c r="WN231" s="6"/>
      <c r="WO231" s="4"/>
      <c r="WP231" s="4"/>
      <c r="WQ231" s="4"/>
      <c r="WR231" s="4"/>
      <c r="WS231" s="4"/>
      <c r="WT231" s="5"/>
      <c r="WU231" s="6"/>
      <c r="WV231" s="4"/>
      <c r="WW231" s="4"/>
      <c r="WX231" s="4"/>
      <c r="WY231" s="4"/>
      <c r="WZ231" s="4"/>
      <c r="XA231" s="5"/>
      <c r="XB231" s="6"/>
      <c r="XC231" s="4"/>
      <c r="XD231" s="4"/>
      <c r="XE231" s="4"/>
      <c r="XF231" s="4"/>
      <c r="XG231" s="4"/>
      <c r="XH231" s="5"/>
      <c r="XI231" s="6"/>
      <c r="XJ231" s="4"/>
      <c r="XK231" s="4"/>
      <c r="XL231" s="4"/>
      <c r="XM231" s="4"/>
      <c r="XN231" s="4"/>
      <c r="XO231" s="5"/>
      <c r="XP231" s="6"/>
      <c r="XQ231" s="4"/>
      <c r="XR231" s="4"/>
      <c r="XS231" s="4"/>
      <c r="XT231" s="4"/>
      <c r="XU231" s="4"/>
      <c r="XV231" s="5"/>
      <c r="XW231" s="6"/>
      <c r="XX231" s="4"/>
      <c r="XY231" s="4"/>
      <c r="XZ231" s="4"/>
      <c r="YA231" s="4"/>
      <c r="YB231" s="4"/>
      <c r="YC231" s="5"/>
      <c r="YD231" s="6"/>
      <c r="YE231" s="4"/>
      <c r="YF231" s="4"/>
      <c r="YG231" s="4"/>
      <c r="YH231" s="4"/>
      <c r="YI231" s="4"/>
      <c r="YJ231" s="5"/>
      <c r="YK231" s="6" t="s">
        <v>2839</v>
      </c>
      <c r="YL231" s="7" t="s">
        <v>2840</v>
      </c>
      <c r="YM231" s="4" t="s">
        <v>3054</v>
      </c>
      <c r="YN231" s="7" t="s">
        <v>3070</v>
      </c>
      <c r="YO231" s="8">
        <v>36348</v>
      </c>
      <c r="YP231" s="8">
        <v>36348</v>
      </c>
      <c r="YQ231" s="5" t="s">
        <v>4087</v>
      </c>
      <c r="YR231" s="6"/>
      <c r="YS231" s="4"/>
      <c r="YT231" s="4"/>
      <c r="YU231" s="4"/>
      <c r="YV231" s="4"/>
      <c r="YW231" s="4"/>
      <c r="YX231" s="5"/>
      <c r="YY231" s="6"/>
      <c r="YZ231" s="4"/>
      <c r="ZA231" s="4"/>
      <c r="ZB231" s="4"/>
      <c r="ZC231" s="4"/>
      <c r="ZD231" s="4"/>
      <c r="ZE231" s="5"/>
      <c r="ZF231" s="6"/>
      <c r="ZG231" s="4"/>
      <c r="ZH231" s="4"/>
      <c r="ZI231" s="4"/>
      <c r="ZJ231" s="4"/>
      <c r="ZK231" s="4"/>
      <c r="ZL231" s="5"/>
      <c r="ZM231" s="6"/>
      <c r="ZN231" s="4"/>
      <c r="ZO231" s="4"/>
      <c r="ZP231" s="4"/>
      <c r="ZQ231" s="8"/>
      <c r="ZR231" s="8"/>
      <c r="ZS231" s="5"/>
      <c r="ZT231" s="6"/>
      <c r="ZU231" s="4"/>
      <c r="ZV231" s="4"/>
      <c r="ZW231" s="4"/>
      <c r="ZX231" s="4"/>
      <c r="ZY231" s="4"/>
      <c r="ZZ231" s="5"/>
      <c r="AAA231" s="6"/>
      <c r="AAB231" s="4"/>
      <c r="AAC231" s="4"/>
      <c r="AAD231" s="4"/>
      <c r="AAE231" s="4"/>
      <c r="AAF231" s="4"/>
      <c r="AAG231" s="5"/>
      <c r="AAH231" s="6"/>
      <c r="AAI231" s="4"/>
      <c r="AAJ231" s="4"/>
      <c r="AAK231" s="4"/>
      <c r="AAL231" s="4"/>
      <c r="AAM231" s="8"/>
      <c r="AAN231" s="5"/>
      <c r="AAO231" s="6"/>
      <c r="AAP231" s="4"/>
      <c r="AAQ231" s="4"/>
      <c r="AAR231" s="4"/>
      <c r="AAS231" s="4"/>
      <c r="AAT231" s="4"/>
      <c r="AAU231" s="5"/>
      <c r="AAV231" s="6"/>
      <c r="AAW231" s="4"/>
      <c r="AAX231" s="4"/>
      <c r="AAY231" s="4"/>
      <c r="AAZ231" s="4"/>
      <c r="ABA231" s="4"/>
      <c r="ABB231" s="5"/>
      <c r="ABC231" s="6"/>
      <c r="ABD231" s="4"/>
      <c r="ABE231" s="4"/>
      <c r="ABF231" s="4"/>
      <c r="ABG231" s="4"/>
      <c r="ABH231" s="4"/>
      <c r="ABI231" s="5"/>
      <c r="ABJ231" s="6"/>
      <c r="ABK231" s="4"/>
      <c r="ABL231" s="4"/>
      <c r="ABM231" s="4"/>
      <c r="ABN231" s="4"/>
      <c r="ABO231" s="4"/>
      <c r="ABP231" s="5"/>
      <c r="ABQ231" s="6"/>
      <c r="ABR231" s="4"/>
      <c r="ABS231" s="4"/>
      <c r="ABT231" s="4"/>
      <c r="ABU231" s="4"/>
      <c r="ABV231" s="4"/>
      <c r="ABW231" s="5"/>
      <c r="ABX231" s="6"/>
      <c r="ABY231" s="4"/>
      <c r="ABZ231" s="4"/>
      <c r="ACA231" s="4"/>
      <c r="ACB231" s="4"/>
      <c r="ACC231" s="4"/>
      <c r="ACD231" s="5"/>
      <c r="ACE231" s="6"/>
      <c r="ACF231" s="4"/>
      <c r="ACG231" s="4"/>
      <c r="ACH231" s="4"/>
      <c r="ACI231" s="4"/>
      <c r="ACJ231" s="4"/>
      <c r="ACK231" s="5"/>
      <c r="ACL231" s="6"/>
      <c r="ACM231" s="4"/>
      <c r="ACN231" s="4"/>
      <c r="ACO231" s="4"/>
      <c r="ACP231" s="4"/>
      <c r="ACQ231" s="4"/>
      <c r="ACR231" s="5"/>
      <c r="ACS231" s="6"/>
      <c r="ACT231" s="4"/>
      <c r="ACU231" s="4"/>
      <c r="ACV231" s="4"/>
      <c r="ACW231" s="4"/>
      <c r="ACX231" s="4"/>
      <c r="ACY231" s="5"/>
    </row>
    <row r="232" spans="2:805" x14ac:dyDescent="0.25">
      <c r="B232" s="30"/>
      <c r="J232" s="12"/>
      <c r="K232" s="12"/>
      <c r="L232" s="12"/>
      <c r="LL232" s="6"/>
      <c r="LM232" s="4"/>
      <c r="LN232" s="4"/>
      <c r="LO232" s="4"/>
      <c r="LP232" s="4"/>
      <c r="LQ232" s="4"/>
      <c r="LR232" s="5"/>
      <c r="LS232" s="6"/>
      <c r="LT232" s="4"/>
      <c r="LU232" s="4"/>
      <c r="LV232" s="4"/>
      <c r="LW232" s="4"/>
      <c r="LX232" s="4"/>
      <c r="LY232" s="5"/>
      <c r="LZ232" s="6"/>
      <c r="MA232" s="7"/>
      <c r="MB232" s="4"/>
      <c r="MC232" s="7"/>
      <c r="MD232" s="8"/>
      <c r="ME232" s="8"/>
      <c r="MF232" s="8"/>
      <c r="MG232" s="5"/>
      <c r="MH232" s="6"/>
      <c r="MI232" s="4"/>
      <c r="MJ232" s="4"/>
      <c r="MK232" s="4"/>
      <c r="ML232" s="4"/>
      <c r="MM232" s="4"/>
      <c r="MN232" s="5"/>
      <c r="MO232" s="6"/>
      <c r="MP232" s="4"/>
      <c r="MQ232" s="4"/>
      <c r="MR232" s="4"/>
      <c r="MS232" s="4"/>
      <c r="MT232" s="4"/>
      <c r="MU232" s="5"/>
      <c r="MV232" s="6"/>
      <c r="MW232" s="4"/>
      <c r="MX232" s="4"/>
      <c r="MY232" s="4"/>
      <c r="MZ232" s="4"/>
      <c r="NA232" s="4"/>
      <c r="NB232" s="5"/>
      <c r="NC232" s="6"/>
      <c r="ND232" s="4"/>
      <c r="NE232" s="4"/>
      <c r="NF232" s="4"/>
      <c r="NG232" s="4"/>
      <c r="NH232" s="4"/>
      <c r="NI232" s="5"/>
      <c r="NJ232" s="6"/>
      <c r="NK232" s="4"/>
      <c r="NL232" s="4"/>
      <c r="NM232" s="4"/>
      <c r="NN232" s="4"/>
      <c r="NO232" s="4"/>
      <c r="NP232" s="5"/>
      <c r="NQ232" s="6"/>
      <c r="NR232" s="4"/>
      <c r="NS232" s="4"/>
      <c r="NT232" s="4"/>
      <c r="NU232" s="4"/>
      <c r="NV232" s="4"/>
      <c r="NW232" s="5"/>
      <c r="NX232" s="6"/>
      <c r="NY232" s="4"/>
      <c r="NZ232" s="4"/>
      <c r="OA232" s="4"/>
      <c r="OB232" s="4"/>
      <c r="OC232" s="4"/>
      <c r="OD232" s="5"/>
      <c r="OE232" s="6"/>
      <c r="OF232" s="4"/>
      <c r="OG232" s="4"/>
      <c r="OH232" s="4"/>
      <c r="OI232" s="4"/>
      <c r="OJ232" s="4"/>
      <c r="OK232" s="5"/>
      <c r="OL232" s="6"/>
      <c r="OM232" s="4"/>
      <c r="ON232" s="4"/>
      <c r="OO232" s="4"/>
      <c r="OP232" s="4"/>
      <c r="OQ232" s="4"/>
      <c r="OR232" s="5"/>
      <c r="OS232" s="6"/>
      <c r="OT232" s="4"/>
      <c r="OU232" s="4"/>
      <c r="OV232" s="4"/>
      <c r="OW232" s="4"/>
      <c r="OX232" s="4"/>
      <c r="OY232" s="5"/>
      <c r="OZ232" s="6"/>
      <c r="PA232" s="4"/>
      <c r="PB232" s="4"/>
      <c r="PC232" s="4"/>
      <c r="PD232" s="4"/>
      <c r="PE232" s="4"/>
      <c r="PF232" s="5"/>
      <c r="PG232" s="6"/>
      <c r="PH232" s="4"/>
      <c r="PI232" s="4"/>
      <c r="PJ232" s="4"/>
      <c r="PK232" s="4"/>
      <c r="PL232" s="4"/>
      <c r="PM232" s="5"/>
      <c r="PN232" s="6"/>
      <c r="PO232" s="4"/>
      <c r="PP232" s="4"/>
      <c r="PQ232" s="4"/>
      <c r="PR232" s="4"/>
      <c r="PS232" s="4"/>
      <c r="PT232" s="5"/>
      <c r="PU232" s="6"/>
      <c r="PV232" s="4"/>
      <c r="PW232" s="4"/>
      <c r="PX232" s="4"/>
      <c r="PY232" s="4"/>
      <c r="PZ232" s="4"/>
      <c r="QA232" s="5"/>
      <c r="QB232" s="6"/>
      <c r="QC232" s="4"/>
      <c r="QD232" s="4"/>
      <c r="QE232" s="4"/>
      <c r="QF232" s="4"/>
      <c r="QG232" s="8"/>
      <c r="QH232" s="5"/>
      <c r="QI232" s="6"/>
      <c r="QJ232" s="4"/>
      <c r="QK232" s="4"/>
      <c r="QL232" s="4"/>
      <c r="QM232" s="4"/>
      <c r="QN232" s="4"/>
      <c r="QO232" s="5"/>
      <c r="QP232" s="6"/>
      <c r="QQ232" s="4"/>
      <c r="QR232" s="4"/>
      <c r="QS232" s="4"/>
      <c r="QT232" s="4"/>
      <c r="QU232" s="4"/>
      <c r="QV232" s="5"/>
      <c r="QW232" s="6"/>
      <c r="QX232" s="4"/>
      <c r="QY232" s="4"/>
      <c r="QZ232" s="4"/>
      <c r="RA232" s="4"/>
      <c r="RB232" s="4"/>
      <c r="RC232" s="5"/>
      <c r="RD232" s="6"/>
      <c r="RE232" s="4"/>
      <c r="RF232" s="4"/>
      <c r="RG232" s="4"/>
      <c r="RH232" s="4"/>
      <c r="RI232" s="4"/>
      <c r="RJ232" s="5"/>
      <c r="RK232" s="6"/>
      <c r="RL232" s="4"/>
      <c r="RM232" s="4"/>
      <c r="RN232" s="4"/>
      <c r="RO232" s="4"/>
      <c r="RP232" s="4"/>
      <c r="RQ232" s="5"/>
      <c r="RR232" s="6"/>
      <c r="RS232" s="4"/>
      <c r="RT232" s="4"/>
      <c r="RU232" s="4"/>
      <c r="RV232" s="4"/>
      <c r="RW232" s="4"/>
      <c r="RX232" s="5"/>
      <c r="RY232" s="6"/>
      <c r="RZ232" s="4"/>
      <c r="SA232" s="4"/>
      <c r="SB232" s="4"/>
      <c r="SC232" s="4"/>
      <c r="SD232" s="4"/>
      <c r="SE232" s="5"/>
      <c r="SF232" s="6"/>
      <c r="SG232" s="4"/>
      <c r="SH232" s="4"/>
      <c r="SI232" s="4"/>
      <c r="SJ232" s="4"/>
      <c r="SK232" s="4"/>
      <c r="SL232" s="5"/>
      <c r="SM232" s="6"/>
      <c r="SN232" s="4"/>
      <c r="SO232" s="4"/>
      <c r="SP232" s="4"/>
      <c r="SQ232" s="4"/>
      <c r="SR232" s="4"/>
      <c r="SS232" s="5"/>
      <c r="ST232" s="6"/>
      <c r="SU232" s="4"/>
      <c r="SV232" s="4"/>
      <c r="SW232" s="4"/>
      <c r="SX232" s="4"/>
      <c r="SY232" s="4"/>
      <c r="SZ232" s="5"/>
      <c r="TA232" s="6"/>
      <c r="TB232" s="4"/>
      <c r="TC232" s="4"/>
      <c r="TD232" s="4"/>
      <c r="TE232" s="4"/>
      <c r="TF232" s="4"/>
      <c r="TG232" s="5"/>
      <c r="TH232" s="6"/>
      <c r="TI232" s="4"/>
      <c r="TJ232" s="4"/>
      <c r="TK232" s="4"/>
      <c r="TL232" s="4"/>
      <c r="TM232" s="4"/>
      <c r="TN232" s="5"/>
      <c r="TO232" s="6"/>
      <c r="TP232" s="4"/>
      <c r="TQ232" s="4"/>
      <c r="TR232" s="4"/>
      <c r="TS232" s="4"/>
      <c r="TT232" s="4"/>
      <c r="TU232" s="5"/>
      <c r="TV232" s="6"/>
      <c r="TW232" s="4"/>
      <c r="TX232" s="4"/>
      <c r="TY232" s="4"/>
      <c r="TZ232" s="4"/>
      <c r="UA232" s="4"/>
      <c r="UB232" s="5"/>
      <c r="UC232" s="6"/>
      <c r="UD232" s="4"/>
      <c r="UE232" s="4"/>
      <c r="UF232" s="4"/>
      <c r="UG232" s="4"/>
      <c r="UH232" s="8"/>
      <c r="UI232" s="5"/>
      <c r="UJ232" s="6"/>
      <c r="UK232" s="4"/>
      <c r="UL232" s="4"/>
      <c r="UM232" s="4"/>
      <c r="UN232" s="4"/>
      <c r="UO232" s="4"/>
      <c r="UP232" s="5"/>
      <c r="UQ232" s="6"/>
      <c r="UR232" s="4"/>
      <c r="US232" s="4"/>
      <c r="UT232" s="4"/>
      <c r="UU232" s="4"/>
      <c r="UV232" s="4"/>
      <c r="UW232" s="5"/>
      <c r="UX232" s="6"/>
      <c r="UY232" s="4"/>
      <c r="UZ232" s="4"/>
      <c r="VA232" s="4"/>
      <c r="VB232" s="4"/>
      <c r="VC232" s="4"/>
      <c r="VD232" s="5"/>
      <c r="VE232" s="6"/>
      <c r="VF232" s="4"/>
      <c r="VG232" s="4"/>
      <c r="VH232" s="4"/>
      <c r="VI232" s="4"/>
      <c r="VJ232" s="4"/>
      <c r="VK232" s="5"/>
      <c r="VL232" s="6"/>
      <c r="VM232" s="4"/>
      <c r="VN232" s="4"/>
      <c r="VO232" s="4"/>
      <c r="VP232" s="4"/>
      <c r="VQ232" s="4"/>
      <c r="VR232" s="5"/>
      <c r="VS232" s="6"/>
      <c r="VT232" s="4"/>
      <c r="VU232" s="4"/>
      <c r="VV232" s="4"/>
      <c r="VW232" s="4"/>
      <c r="VX232" s="4"/>
      <c r="VY232" s="5"/>
      <c r="VZ232" s="6"/>
      <c r="WA232" s="4"/>
      <c r="WB232" s="4"/>
      <c r="WC232" s="4"/>
      <c r="WD232" s="4"/>
      <c r="WE232" s="4"/>
      <c r="WF232" s="5"/>
      <c r="WG232" s="6"/>
      <c r="WH232" s="4"/>
      <c r="WI232" s="4"/>
      <c r="WJ232" s="4"/>
      <c r="WK232" s="4"/>
      <c r="WL232" s="4"/>
      <c r="WM232" s="5"/>
      <c r="WN232" s="6"/>
      <c r="WO232" s="4"/>
      <c r="WP232" s="4"/>
      <c r="WQ232" s="4"/>
      <c r="WR232" s="4"/>
      <c r="WS232" s="4"/>
      <c r="WT232" s="5"/>
      <c r="WU232" s="6"/>
      <c r="WV232" s="4"/>
      <c r="WW232" s="4"/>
      <c r="WX232" s="4"/>
      <c r="WY232" s="4"/>
      <c r="WZ232" s="4"/>
      <c r="XA232" s="5"/>
      <c r="XB232" s="6"/>
      <c r="XC232" s="4"/>
      <c r="XD232" s="4"/>
      <c r="XE232" s="4"/>
      <c r="XF232" s="4"/>
      <c r="XG232" s="4"/>
      <c r="XH232" s="5"/>
      <c r="XI232" s="6"/>
      <c r="XJ232" s="4"/>
      <c r="XK232" s="4"/>
      <c r="XL232" s="4"/>
      <c r="XM232" s="4"/>
      <c r="XN232" s="4"/>
      <c r="XO232" s="5"/>
      <c r="XP232" s="6"/>
      <c r="XQ232" s="4"/>
      <c r="XR232" s="4"/>
      <c r="XS232" s="4"/>
      <c r="XT232" s="4"/>
      <c r="XU232" s="4"/>
      <c r="XV232" s="5"/>
      <c r="XW232" s="6"/>
      <c r="XX232" s="4"/>
      <c r="XY232" s="4"/>
      <c r="XZ232" s="4"/>
      <c r="YA232" s="4"/>
      <c r="YB232" s="4"/>
      <c r="YC232" s="5"/>
      <c r="YD232" s="6"/>
      <c r="YE232" s="4"/>
      <c r="YF232" s="4"/>
      <c r="YG232" s="4"/>
      <c r="YH232" s="4"/>
      <c r="YI232" s="4"/>
      <c r="YJ232" s="5"/>
      <c r="YK232" s="6" t="s">
        <v>2795</v>
      </c>
      <c r="YL232" s="4" t="s">
        <v>2361</v>
      </c>
      <c r="YM232" s="4" t="s">
        <v>3078</v>
      </c>
      <c r="YN232" s="7" t="s">
        <v>3079</v>
      </c>
      <c r="YO232" s="8">
        <v>36342</v>
      </c>
      <c r="YP232" s="8">
        <v>36362</v>
      </c>
      <c r="YQ232" s="5" t="s">
        <v>4088</v>
      </c>
      <c r="YR232" s="6"/>
      <c r="YS232" s="4"/>
      <c r="YT232" s="4"/>
      <c r="YU232" s="4"/>
      <c r="YV232" s="4"/>
      <c r="YW232" s="4"/>
      <c r="YX232" s="5"/>
      <c r="YY232" s="6"/>
      <c r="YZ232" s="4"/>
      <c r="ZA232" s="4"/>
      <c r="ZB232" s="4"/>
      <c r="ZC232" s="4"/>
      <c r="ZD232" s="4"/>
      <c r="ZE232" s="5"/>
      <c r="ZF232" s="6"/>
      <c r="ZG232" s="4"/>
      <c r="ZH232" s="4"/>
      <c r="ZI232" s="4"/>
      <c r="ZJ232" s="4"/>
      <c r="ZK232" s="4"/>
      <c r="ZL232" s="5"/>
      <c r="ZM232" s="6"/>
      <c r="ZN232" s="4"/>
      <c r="ZO232" s="4"/>
      <c r="ZP232" s="4"/>
      <c r="ZQ232" s="8"/>
      <c r="ZR232" s="8"/>
      <c r="ZS232" s="5"/>
      <c r="ZT232" s="6"/>
      <c r="ZU232" s="4"/>
      <c r="ZV232" s="4"/>
      <c r="ZW232" s="4"/>
      <c r="ZX232" s="4"/>
      <c r="ZY232" s="4"/>
      <c r="ZZ232" s="5"/>
      <c r="AAA232" s="6"/>
      <c r="AAB232" s="4"/>
      <c r="AAC232" s="4"/>
      <c r="AAD232" s="4"/>
      <c r="AAE232" s="4"/>
      <c r="AAF232" s="4"/>
      <c r="AAG232" s="5"/>
      <c r="AAH232" s="6"/>
      <c r="AAI232" s="4"/>
      <c r="AAJ232" s="4"/>
      <c r="AAK232" s="4"/>
      <c r="AAL232" s="4"/>
      <c r="AAM232" s="8"/>
      <c r="AAN232" s="5"/>
      <c r="AAO232" s="6"/>
      <c r="AAP232" s="4"/>
      <c r="AAQ232" s="4"/>
      <c r="AAR232" s="4"/>
      <c r="AAS232" s="4"/>
      <c r="AAT232" s="4"/>
      <c r="AAU232" s="5"/>
      <c r="AAV232" s="6"/>
      <c r="AAW232" s="4"/>
      <c r="AAX232" s="4"/>
      <c r="AAY232" s="4"/>
      <c r="AAZ232" s="4"/>
      <c r="ABA232" s="4"/>
      <c r="ABB232" s="5"/>
      <c r="ABC232" s="6"/>
      <c r="ABD232" s="4"/>
      <c r="ABE232" s="4"/>
      <c r="ABF232" s="4"/>
      <c r="ABG232" s="4"/>
      <c r="ABH232" s="4"/>
      <c r="ABI232" s="5"/>
      <c r="ABJ232" s="6"/>
      <c r="ABK232" s="4"/>
      <c r="ABL232" s="4"/>
      <c r="ABM232" s="4"/>
      <c r="ABN232" s="4"/>
      <c r="ABO232" s="4"/>
      <c r="ABP232" s="5"/>
      <c r="ABQ232" s="6"/>
      <c r="ABR232" s="4"/>
      <c r="ABS232" s="4"/>
      <c r="ABT232" s="4"/>
      <c r="ABU232" s="4"/>
      <c r="ABV232" s="4"/>
      <c r="ABW232" s="5"/>
      <c r="ABX232" s="6"/>
      <c r="ABY232" s="4"/>
      <c r="ABZ232" s="4"/>
      <c r="ACA232" s="4"/>
      <c r="ACB232" s="4"/>
      <c r="ACC232" s="4"/>
      <c r="ACD232" s="5"/>
      <c r="ACE232" s="6"/>
      <c r="ACF232" s="4"/>
      <c r="ACG232" s="4"/>
      <c r="ACH232" s="4"/>
      <c r="ACI232" s="4"/>
      <c r="ACJ232" s="4"/>
      <c r="ACK232" s="5"/>
      <c r="ACL232" s="6"/>
      <c r="ACM232" s="4"/>
      <c r="ACN232" s="4"/>
      <c r="ACO232" s="4"/>
      <c r="ACP232" s="4"/>
      <c r="ACQ232" s="4"/>
      <c r="ACR232" s="5"/>
      <c r="ACS232" s="6"/>
      <c r="ACT232" s="4"/>
      <c r="ACU232" s="4"/>
      <c r="ACV232" s="4"/>
      <c r="ACW232" s="4"/>
      <c r="ACX232" s="4"/>
      <c r="ACY232" s="5"/>
    </row>
    <row r="233" spans="2:805" x14ac:dyDescent="0.25">
      <c r="B233" s="49">
        <v>1677</v>
      </c>
      <c r="C233">
        <v>78</v>
      </c>
      <c r="D233" t="s">
        <v>681</v>
      </c>
      <c r="F233" s="23">
        <v>1</v>
      </c>
      <c r="H233" s="23" t="s">
        <v>330</v>
      </c>
      <c r="J233" s="12"/>
      <c r="K233" s="12"/>
      <c r="L233" s="12"/>
      <c r="M233">
        <v>1</v>
      </c>
      <c r="N233" s="17">
        <v>36566</v>
      </c>
      <c r="V233">
        <v>1</v>
      </c>
      <c r="BA233">
        <v>1</v>
      </c>
      <c r="GG233">
        <v>1</v>
      </c>
      <c r="JG233">
        <v>1</v>
      </c>
      <c r="LL233" s="6"/>
      <c r="LM233" s="4"/>
      <c r="LN233" s="4"/>
      <c r="LO233" s="4"/>
      <c r="LP233" s="4"/>
      <c r="LQ233" s="4"/>
      <c r="LR233" s="5"/>
      <c r="LS233" s="6"/>
      <c r="LT233" s="4"/>
      <c r="LU233" s="4"/>
      <c r="LV233" s="4"/>
      <c r="LW233" s="4"/>
      <c r="LX233" s="4"/>
      <c r="LY233" s="5"/>
      <c r="LZ233" s="6" t="s">
        <v>2983</v>
      </c>
      <c r="MA233" s="7" t="s">
        <v>2983</v>
      </c>
      <c r="MB233" s="4"/>
      <c r="MC233" s="4"/>
      <c r="MD233" s="8"/>
      <c r="ME233" s="4"/>
      <c r="MF233" s="4" t="s">
        <v>617</v>
      </c>
      <c r="MG233" s="5" t="s">
        <v>379</v>
      </c>
      <c r="MH233" s="6"/>
      <c r="MI233" s="4"/>
      <c r="MJ233" s="4"/>
      <c r="MK233" s="4"/>
      <c r="ML233" s="4"/>
      <c r="MM233" s="4"/>
      <c r="MN233" s="5"/>
      <c r="MO233" s="6"/>
      <c r="MP233" s="4"/>
      <c r="MQ233" s="4"/>
      <c r="MR233" s="4"/>
      <c r="MS233" s="4"/>
      <c r="MT233" s="4"/>
      <c r="MU233" s="5"/>
      <c r="MV233" s="6"/>
      <c r="MW233" s="4"/>
      <c r="MX233" s="4"/>
      <c r="MY233" s="4"/>
      <c r="MZ233" s="4"/>
      <c r="NA233" s="4"/>
      <c r="NB233" s="5"/>
      <c r="NC233" s="6" t="s">
        <v>884</v>
      </c>
      <c r="ND233" s="4" t="s">
        <v>884</v>
      </c>
      <c r="NE233" s="4"/>
      <c r="NF233" s="4"/>
      <c r="NG233" s="4"/>
      <c r="NH233" s="4"/>
      <c r="NI233" s="5" t="s">
        <v>332</v>
      </c>
      <c r="NJ233" s="6"/>
      <c r="NK233" s="4"/>
      <c r="NL233" s="4"/>
      <c r="NM233" s="4"/>
      <c r="NN233" s="4"/>
      <c r="NO233" s="4"/>
      <c r="NP233" s="5"/>
      <c r="NQ233" s="6"/>
      <c r="NR233" s="4"/>
      <c r="NS233" s="4"/>
      <c r="NT233" s="4"/>
      <c r="NU233" s="4"/>
      <c r="NV233" s="4"/>
      <c r="NW233" s="5"/>
      <c r="NX233" s="6"/>
      <c r="NY233" s="4"/>
      <c r="NZ233" s="4"/>
      <c r="OA233" s="4"/>
      <c r="OB233" s="4"/>
      <c r="OC233" s="4"/>
      <c r="OD233" s="5"/>
      <c r="OE233" s="6"/>
      <c r="OF233" s="4"/>
      <c r="OG233" s="4"/>
      <c r="OH233" s="4"/>
      <c r="OI233" s="4"/>
      <c r="OJ233" s="4"/>
      <c r="OK233" s="5"/>
      <c r="OL233" s="6"/>
      <c r="OM233" s="4"/>
      <c r="ON233" s="4"/>
      <c r="OO233" s="4"/>
      <c r="OP233" s="4"/>
      <c r="OQ233" s="4"/>
      <c r="OR233" s="5"/>
      <c r="OS233" s="6"/>
      <c r="OT233" s="4"/>
      <c r="OU233" s="4"/>
      <c r="OV233" s="4"/>
      <c r="OW233" s="4"/>
      <c r="OX233" s="4"/>
      <c r="OY233" s="5"/>
      <c r="OZ233" s="6"/>
      <c r="PA233" s="4"/>
      <c r="PB233" s="4"/>
      <c r="PC233" s="4"/>
      <c r="PD233" s="4"/>
      <c r="PE233" s="4"/>
      <c r="PF233" s="5"/>
      <c r="PG233" s="6"/>
      <c r="PH233" s="4"/>
      <c r="PI233" s="4"/>
      <c r="PJ233" s="4"/>
      <c r="PK233" s="4"/>
      <c r="PL233" s="4"/>
      <c r="PM233" s="5"/>
      <c r="PN233" s="6"/>
      <c r="PO233" s="4"/>
      <c r="PP233" s="4"/>
      <c r="PQ233" s="4"/>
      <c r="PR233" s="4"/>
      <c r="PS233" s="4"/>
      <c r="PT233" s="5"/>
      <c r="PU233" s="6"/>
      <c r="PV233" s="4"/>
      <c r="PW233" s="4"/>
      <c r="PX233" s="4"/>
      <c r="PY233" s="4"/>
      <c r="PZ233" s="4"/>
      <c r="QA233" s="5"/>
      <c r="QB233" s="6"/>
      <c r="QC233" s="4"/>
      <c r="QD233" s="4"/>
      <c r="QE233" s="4"/>
      <c r="QF233" s="4"/>
      <c r="QG233" s="4"/>
      <c r="QH233" s="5"/>
      <c r="QI233" s="6"/>
      <c r="QJ233" s="4"/>
      <c r="QK233" s="4"/>
      <c r="QL233" s="4"/>
      <c r="QM233" s="4"/>
      <c r="QN233" s="4"/>
      <c r="QO233" s="5"/>
      <c r="QP233" s="6"/>
      <c r="QQ233" s="4"/>
      <c r="QR233" s="4"/>
      <c r="QS233" s="4"/>
      <c r="QT233" s="4"/>
      <c r="QU233" s="4"/>
      <c r="QV233" s="5"/>
      <c r="QW233" s="6"/>
      <c r="QX233" s="4"/>
      <c r="QY233" s="4"/>
      <c r="QZ233" s="4"/>
      <c r="RA233" s="4"/>
      <c r="RB233" s="4"/>
      <c r="RC233" s="5"/>
      <c r="RD233" s="6"/>
      <c r="RE233" s="4"/>
      <c r="RF233" s="4"/>
      <c r="RG233" s="4"/>
      <c r="RH233" s="4"/>
      <c r="RI233" s="4"/>
      <c r="RJ233" s="5"/>
      <c r="RK233" s="6"/>
      <c r="RL233" s="4"/>
      <c r="RM233" s="4"/>
      <c r="RN233" s="4"/>
      <c r="RO233" s="4"/>
      <c r="RP233" s="4"/>
      <c r="RQ233" s="5"/>
      <c r="RR233" s="6"/>
      <c r="RS233" s="4"/>
      <c r="RT233" s="4"/>
      <c r="RU233" s="4"/>
      <c r="RV233" s="4"/>
      <c r="RW233" s="4"/>
      <c r="RX233" s="5"/>
      <c r="RY233" s="6"/>
      <c r="RZ233" s="4"/>
      <c r="SA233" s="4"/>
      <c r="SB233" s="4"/>
      <c r="SC233" s="4"/>
      <c r="SD233" s="4"/>
      <c r="SE233" s="5"/>
      <c r="SF233" s="6"/>
      <c r="SG233" s="4"/>
      <c r="SH233" s="4"/>
      <c r="SI233" s="4"/>
      <c r="SJ233" s="4"/>
      <c r="SK233" s="4"/>
      <c r="SL233" s="5"/>
      <c r="SM233" s="6"/>
      <c r="SN233" s="4"/>
      <c r="SO233" s="4"/>
      <c r="SP233" s="4"/>
      <c r="SQ233" s="4"/>
      <c r="SR233" s="4"/>
      <c r="SS233" s="5"/>
      <c r="ST233" s="6"/>
      <c r="SU233" s="4"/>
      <c r="SV233" s="4"/>
      <c r="SW233" s="4"/>
      <c r="SX233" s="4"/>
      <c r="SY233" s="4"/>
      <c r="SZ233" s="5"/>
      <c r="TA233" s="6"/>
      <c r="TB233" s="4"/>
      <c r="TC233" s="4"/>
      <c r="TD233" s="4"/>
      <c r="TE233" s="4"/>
      <c r="TF233" s="4"/>
      <c r="TG233" s="5"/>
      <c r="TH233" s="6"/>
      <c r="TI233" s="4"/>
      <c r="TJ233" s="4"/>
      <c r="TK233" s="4"/>
      <c r="TL233" s="4"/>
      <c r="TM233" s="4"/>
      <c r="TN233" s="5"/>
      <c r="TO233" s="6"/>
      <c r="TP233" s="4"/>
      <c r="TQ233" s="4"/>
      <c r="TR233" s="4"/>
      <c r="TS233" s="4"/>
      <c r="TT233" s="4"/>
      <c r="TU233" s="5"/>
      <c r="TV233" s="6"/>
      <c r="TW233" s="4"/>
      <c r="TX233" s="4"/>
      <c r="TY233" s="4"/>
      <c r="TZ233" s="4"/>
      <c r="UA233" s="4"/>
      <c r="UB233" s="5"/>
      <c r="UC233" s="6"/>
      <c r="UD233" s="4"/>
      <c r="UE233" s="4"/>
      <c r="UF233" s="4"/>
      <c r="UG233" s="4"/>
      <c r="UH233" s="4"/>
      <c r="UI233" s="5"/>
      <c r="UJ233" s="6"/>
      <c r="UK233" s="4"/>
      <c r="UL233" s="4"/>
      <c r="UM233" s="4"/>
      <c r="UN233" s="4"/>
      <c r="UO233" s="4"/>
      <c r="UP233" s="5"/>
      <c r="UQ233" s="6"/>
      <c r="UR233" s="4"/>
      <c r="US233" s="4"/>
      <c r="UT233" s="4"/>
      <c r="UU233" s="4"/>
      <c r="UV233" s="4"/>
      <c r="UW233" s="5"/>
      <c r="UX233" s="6"/>
      <c r="UY233" s="4"/>
      <c r="UZ233" s="4"/>
      <c r="VA233" s="4"/>
      <c r="VB233" s="4"/>
      <c r="VC233" s="4"/>
      <c r="VD233" s="5"/>
      <c r="VE233" s="6"/>
      <c r="VF233" s="4"/>
      <c r="VG233" s="4"/>
      <c r="VH233" s="4"/>
      <c r="VI233" s="4"/>
      <c r="VJ233" s="4"/>
      <c r="VK233" s="5"/>
      <c r="VL233" s="6"/>
      <c r="VM233" s="4"/>
      <c r="VN233" s="4"/>
      <c r="VO233" s="4"/>
      <c r="VP233" s="4"/>
      <c r="VQ233" s="4"/>
      <c r="VR233" s="5"/>
      <c r="VS233" s="6"/>
      <c r="VT233" s="4"/>
      <c r="VU233" s="4"/>
      <c r="VV233" s="4"/>
      <c r="VW233" s="4"/>
      <c r="VX233" s="4"/>
      <c r="VY233" s="5"/>
      <c r="VZ233" s="6"/>
      <c r="WA233" s="4"/>
      <c r="WB233" s="4"/>
      <c r="WC233" s="4"/>
      <c r="WD233" s="4"/>
      <c r="WE233" s="4"/>
      <c r="WF233" s="5"/>
      <c r="WG233" s="6"/>
      <c r="WH233" s="4"/>
      <c r="WI233" s="4"/>
      <c r="WJ233" s="4"/>
      <c r="WK233" s="4"/>
      <c r="WL233" s="4"/>
      <c r="WM233" s="5"/>
      <c r="WN233" s="6"/>
      <c r="WO233" s="4"/>
      <c r="WP233" s="4"/>
      <c r="WQ233" s="4"/>
      <c r="WR233" s="4"/>
      <c r="WS233" s="4"/>
      <c r="WT233" s="5"/>
      <c r="WU233" s="6"/>
      <c r="WV233" s="4"/>
      <c r="WW233" s="4"/>
      <c r="WX233" s="4"/>
      <c r="WY233" s="4"/>
      <c r="WZ233" s="4"/>
      <c r="XA233" s="5"/>
      <c r="XB233" s="6"/>
      <c r="XC233" s="4"/>
      <c r="XD233" s="4"/>
      <c r="XE233" s="4"/>
      <c r="XF233" s="4"/>
      <c r="XG233" s="4"/>
      <c r="XH233" s="5"/>
      <c r="XI233" s="6"/>
      <c r="XJ233" s="4"/>
      <c r="XK233" s="4"/>
      <c r="XL233" s="4"/>
      <c r="XM233" s="4"/>
      <c r="XN233" s="4"/>
      <c r="XO233" s="5"/>
      <c r="XP233" s="6"/>
      <c r="XQ233" s="4"/>
      <c r="XR233" s="4"/>
      <c r="XS233" s="4"/>
      <c r="XT233" s="4"/>
      <c r="XU233" s="4"/>
      <c r="XV233" s="5"/>
      <c r="XW233" s="6"/>
      <c r="XX233" s="4"/>
      <c r="XY233" s="4"/>
      <c r="XZ233" s="4"/>
      <c r="YA233" s="4"/>
      <c r="YB233" s="4"/>
      <c r="YC233" s="5"/>
      <c r="YD233" s="6"/>
      <c r="YE233" s="4"/>
      <c r="YF233" s="4"/>
      <c r="YG233" s="4"/>
      <c r="YH233" s="4"/>
      <c r="YI233" s="4"/>
      <c r="YJ233" s="5"/>
      <c r="YK233" s="6"/>
      <c r="YR233" s="6"/>
      <c r="YS233" s="4"/>
      <c r="YT233" s="4"/>
      <c r="YU233" s="4"/>
      <c r="YV233" s="4"/>
      <c r="YW233" s="4"/>
      <c r="YX233" s="5"/>
      <c r="YY233" s="6"/>
      <c r="YZ233" s="4"/>
      <c r="ZA233" s="4"/>
      <c r="ZB233" s="4"/>
      <c r="ZC233" s="4"/>
      <c r="ZD233" s="4"/>
      <c r="ZE233" s="5"/>
      <c r="ZF233" s="6"/>
      <c r="ZG233" s="4"/>
      <c r="ZH233" s="4"/>
      <c r="ZI233" s="4"/>
      <c r="ZJ233" s="4"/>
      <c r="ZK233" s="4"/>
      <c r="ZL233" s="5"/>
      <c r="ZM233" s="6"/>
      <c r="ZN233" s="4"/>
      <c r="ZO233" s="4"/>
      <c r="ZP233" s="4"/>
      <c r="ZQ233" s="4"/>
      <c r="ZR233" s="4"/>
      <c r="ZS233" s="5"/>
      <c r="ZT233" s="6"/>
      <c r="ZU233" s="4"/>
      <c r="ZV233" s="4"/>
      <c r="ZW233" s="4"/>
      <c r="ZX233" s="4"/>
      <c r="ZY233" s="4"/>
      <c r="ZZ233" s="5"/>
      <c r="AAA233" s="6"/>
      <c r="AAB233" s="4"/>
      <c r="AAC233" s="4"/>
      <c r="AAD233" s="4"/>
      <c r="AAE233" s="4"/>
      <c r="AAF233" s="4"/>
      <c r="AAG233" s="5"/>
      <c r="AAH233" s="6"/>
      <c r="AAI233" s="4"/>
      <c r="AAJ233" s="4"/>
      <c r="AAK233" s="4"/>
      <c r="AAL233" s="4"/>
      <c r="AAM233" s="4"/>
      <c r="AAN233" s="5"/>
      <c r="AAO233" s="6"/>
      <c r="AAP233" s="4"/>
      <c r="AAQ233" s="4"/>
      <c r="AAR233" s="4"/>
      <c r="AAS233" s="4"/>
      <c r="AAT233" s="4"/>
      <c r="AAU233" s="5"/>
      <c r="AAV233" s="6"/>
      <c r="AAW233" s="4"/>
      <c r="AAX233" s="4"/>
      <c r="AAY233" s="4"/>
      <c r="AAZ233" s="4"/>
      <c r="ABA233" s="4"/>
      <c r="ABB233" s="5"/>
      <c r="ABC233" s="6"/>
      <c r="ABD233" s="4"/>
      <c r="ABE233" s="4"/>
      <c r="ABF233" s="4"/>
      <c r="ABG233" s="4"/>
      <c r="ABH233" s="4"/>
      <c r="ABI233" s="5"/>
      <c r="ABJ233" s="6"/>
      <c r="ABK233" s="4"/>
      <c r="ABL233" s="4"/>
      <c r="ABM233" s="4"/>
      <c r="ABN233" s="4"/>
      <c r="ABO233" s="4"/>
      <c r="ABP233" s="5"/>
      <c r="ABQ233" s="6" t="s">
        <v>2772</v>
      </c>
      <c r="ABR233" s="4" t="s">
        <v>2939</v>
      </c>
      <c r="ABS233" s="4"/>
      <c r="ABT233" s="4"/>
      <c r="ABU233" s="4"/>
      <c r="ABV233" s="4"/>
      <c r="ABW233" s="5" t="s">
        <v>333</v>
      </c>
      <c r="ABX233" s="6"/>
      <c r="ABY233" s="4"/>
      <c r="ABZ233" s="4"/>
      <c r="ACA233" s="4"/>
      <c r="ACB233" s="4"/>
      <c r="ACC233" s="4"/>
      <c r="ACD233" s="5"/>
      <c r="ACE233" s="6"/>
      <c r="ACF233" s="4"/>
      <c r="ACG233" s="4"/>
      <c r="ACH233" s="4"/>
      <c r="ACI233" s="4"/>
      <c r="ACJ233" s="4"/>
      <c r="ACK233" s="5"/>
      <c r="ACL233" s="6"/>
      <c r="ACM233" s="4"/>
      <c r="ACN233" s="4"/>
      <c r="ACO233" s="4"/>
      <c r="ACP233" s="4"/>
      <c r="ACQ233" s="4"/>
      <c r="ACR233" s="5"/>
      <c r="ACS233" s="6"/>
      <c r="ACT233" s="4"/>
      <c r="ACU233" s="4"/>
      <c r="ACV233" s="4"/>
      <c r="ACW233" s="4"/>
      <c r="ACX233" s="4"/>
      <c r="ACY233" s="5"/>
      <c r="ADJ233" t="s">
        <v>467</v>
      </c>
    </row>
    <row r="234" spans="2:805" x14ac:dyDescent="0.25">
      <c r="B234" s="30"/>
      <c r="J234" s="12"/>
      <c r="K234" s="12"/>
      <c r="L234" s="12"/>
      <c r="LL234" s="6"/>
      <c r="LM234" s="4"/>
      <c r="LN234" s="4"/>
      <c r="LO234" s="4"/>
      <c r="LP234" s="4"/>
      <c r="LQ234" s="4"/>
      <c r="LR234" s="5"/>
      <c r="LS234" s="6"/>
      <c r="LT234" s="4"/>
      <c r="LU234" s="4"/>
      <c r="LV234" s="4"/>
      <c r="LW234" s="4"/>
      <c r="LX234" s="4"/>
      <c r="LY234" s="5"/>
      <c r="LZ234" s="6" t="s">
        <v>885</v>
      </c>
      <c r="MA234" s="7" t="s">
        <v>2656</v>
      </c>
      <c r="MB234" s="4"/>
      <c r="MC234" s="4"/>
      <c r="MD234" s="8"/>
      <c r="ME234" s="4"/>
      <c r="MF234" s="4"/>
      <c r="MG234" s="5" t="s">
        <v>331</v>
      </c>
      <c r="MH234" s="6"/>
      <c r="MI234" s="4"/>
      <c r="MJ234" s="4"/>
      <c r="MK234" s="4"/>
      <c r="ML234" s="4"/>
      <c r="MM234" s="4"/>
      <c r="MN234" s="5"/>
      <c r="MO234" s="6"/>
      <c r="MP234" s="4"/>
      <c r="MQ234" s="4"/>
      <c r="MR234" s="4"/>
      <c r="MS234" s="4"/>
      <c r="MT234" s="4"/>
      <c r="MU234" s="5"/>
      <c r="MV234" s="6"/>
      <c r="MW234" s="4"/>
      <c r="MX234" s="4"/>
      <c r="MY234" s="4"/>
      <c r="MZ234" s="4"/>
      <c r="NA234" s="4"/>
      <c r="NB234" s="5"/>
      <c r="NC234" s="6" t="s">
        <v>2777</v>
      </c>
      <c r="ND234" s="4" t="s">
        <v>2777</v>
      </c>
      <c r="NE234" s="4"/>
      <c r="NF234" s="4"/>
      <c r="NG234" s="4"/>
      <c r="NH234" s="4"/>
      <c r="NI234" s="5" t="s">
        <v>335</v>
      </c>
      <c r="NJ234" s="6"/>
      <c r="NK234" s="4"/>
      <c r="NL234" s="4"/>
      <c r="NM234" s="4"/>
      <c r="NN234" s="4"/>
      <c r="NO234" s="4"/>
      <c r="NP234" s="5"/>
      <c r="NQ234" s="6"/>
      <c r="NR234" s="4"/>
      <c r="NS234" s="4"/>
      <c r="NT234" s="4"/>
      <c r="NU234" s="4"/>
      <c r="NV234" s="4"/>
      <c r="NW234" s="5"/>
      <c r="NX234" s="6"/>
      <c r="NY234" s="4"/>
      <c r="NZ234" s="4"/>
      <c r="OA234" s="4"/>
      <c r="OB234" s="4"/>
      <c r="OC234" s="4"/>
      <c r="OD234" s="5"/>
      <c r="OE234" s="6"/>
      <c r="OF234" s="4"/>
      <c r="OG234" s="4"/>
      <c r="OH234" s="4"/>
      <c r="OI234" s="4"/>
      <c r="OJ234" s="4"/>
      <c r="OK234" s="5"/>
      <c r="OL234" s="6"/>
      <c r="OM234" s="4"/>
      <c r="ON234" s="4"/>
      <c r="OO234" s="4"/>
      <c r="OP234" s="4"/>
      <c r="OQ234" s="4"/>
      <c r="OR234" s="5"/>
      <c r="OS234" s="6"/>
      <c r="OT234" s="4"/>
      <c r="OU234" s="4"/>
      <c r="OV234" s="4"/>
      <c r="OW234" s="4"/>
      <c r="OX234" s="4"/>
      <c r="OY234" s="5"/>
      <c r="OZ234" s="6"/>
      <c r="PA234" s="4"/>
      <c r="PB234" s="4"/>
      <c r="PC234" s="4"/>
      <c r="PD234" s="4"/>
      <c r="PE234" s="4"/>
      <c r="PF234" s="5"/>
      <c r="PG234" s="6"/>
      <c r="PH234" s="4"/>
      <c r="PI234" s="4"/>
      <c r="PJ234" s="4"/>
      <c r="PK234" s="4"/>
      <c r="PL234" s="4"/>
      <c r="PM234" s="5"/>
      <c r="PN234" s="6"/>
      <c r="PO234" s="4"/>
      <c r="PP234" s="4"/>
      <c r="PQ234" s="4"/>
      <c r="PR234" s="4"/>
      <c r="PS234" s="4"/>
      <c r="PT234" s="5"/>
      <c r="PU234" s="6"/>
      <c r="PV234" s="4"/>
      <c r="PW234" s="4"/>
      <c r="PX234" s="4"/>
      <c r="PY234" s="4"/>
      <c r="PZ234" s="4"/>
      <c r="QA234" s="5"/>
      <c r="QB234" s="6"/>
      <c r="QC234" s="4"/>
      <c r="QD234" s="4"/>
      <c r="QE234" s="4"/>
      <c r="QF234" s="4"/>
      <c r="QG234" s="4"/>
      <c r="QH234" s="5"/>
      <c r="QI234" s="6"/>
      <c r="QJ234" s="4"/>
      <c r="QK234" s="4"/>
      <c r="QL234" s="4"/>
      <c r="QM234" s="4"/>
      <c r="QN234" s="4"/>
      <c r="QO234" s="5"/>
      <c r="QP234" s="6"/>
      <c r="QQ234" s="4"/>
      <c r="QR234" s="4"/>
      <c r="QS234" s="4"/>
      <c r="QT234" s="4"/>
      <c r="QU234" s="4"/>
      <c r="QV234" s="5"/>
      <c r="QW234" s="6"/>
      <c r="QX234" s="4"/>
      <c r="QY234" s="4"/>
      <c r="QZ234" s="4"/>
      <c r="RA234" s="4"/>
      <c r="RB234" s="4"/>
      <c r="RC234" s="5"/>
      <c r="RD234" s="6"/>
      <c r="RE234" s="4"/>
      <c r="RF234" s="4"/>
      <c r="RG234" s="4"/>
      <c r="RH234" s="4"/>
      <c r="RI234" s="4"/>
      <c r="RJ234" s="5"/>
      <c r="RK234" s="6"/>
      <c r="RL234" s="4"/>
      <c r="RM234" s="4"/>
      <c r="RN234" s="4"/>
      <c r="RO234" s="4"/>
      <c r="RP234" s="4"/>
      <c r="RQ234" s="5"/>
      <c r="RR234" s="6"/>
      <c r="RS234" s="4"/>
      <c r="RT234" s="4"/>
      <c r="RU234" s="4"/>
      <c r="RV234" s="4"/>
      <c r="RW234" s="4"/>
      <c r="RX234" s="5"/>
      <c r="RY234" s="6"/>
      <c r="RZ234" s="4"/>
      <c r="SA234" s="4"/>
      <c r="SB234" s="4"/>
      <c r="SC234" s="4"/>
      <c r="SD234" s="4"/>
      <c r="SE234" s="5"/>
      <c r="SF234" s="6"/>
      <c r="SG234" s="4"/>
      <c r="SH234" s="4"/>
      <c r="SI234" s="4"/>
      <c r="SJ234" s="4"/>
      <c r="SK234" s="4"/>
      <c r="SL234" s="5"/>
      <c r="SM234" s="6"/>
      <c r="SN234" s="4"/>
      <c r="SO234" s="4"/>
      <c r="SP234" s="4"/>
      <c r="SQ234" s="4"/>
      <c r="SR234" s="4"/>
      <c r="SS234" s="5"/>
      <c r="ST234" s="6"/>
      <c r="SU234" s="4"/>
      <c r="SV234" s="4"/>
      <c r="SW234" s="4"/>
      <c r="SX234" s="4"/>
      <c r="SY234" s="4"/>
      <c r="SZ234" s="5"/>
      <c r="TA234" s="6"/>
      <c r="TB234" s="4"/>
      <c r="TC234" s="4"/>
      <c r="TD234" s="4"/>
      <c r="TE234" s="4"/>
      <c r="TF234" s="4"/>
      <c r="TG234" s="5"/>
      <c r="TH234" s="6"/>
      <c r="TI234" s="4"/>
      <c r="TJ234" s="4"/>
      <c r="TK234" s="4"/>
      <c r="TL234" s="4"/>
      <c r="TM234" s="4"/>
      <c r="TN234" s="5"/>
      <c r="TO234" s="6"/>
      <c r="TP234" s="4"/>
      <c r="TQ234" s="4"/>
      <c r="TR234" s="4"/>
      <c r="TS234" s="4"/>
      <c r="TT234" s="4"/>
      <c r="TU234" s="5"/>
      <c r="TV234" s="6"/>
      <c r="TW234" s="4"/>
      <c r="TX234" s="4"/>
      <c r="TY234" s="4"/>
      <c r="TZ234" s="4"/>
      <c r="UA234" s="4"/>
      <c r="UB234" s="5"/>
      <c r="UC234" s="6"/>
      <c r="UD234" s="4"/>
      <c r="UE234" s="4"/>
      <c r="UF234" s="4"/>
      <c r="UG234" s="4"/>
      <c r="UH234" s="4"/>
      <c r="UI234" s="5"/>
      <c r="UJ234" s="6"/>
      <c r="UK234" s="4"/>
      <c r="UL234" s="4"/>
      <c r="UM234" s="4"/>
      <c r="UN234" s="4"/>
      <c r="UO234" s="4"/>
      <c r="UP234" s="5"/>
      <c r="UQ234" s="6"/>
      <c r="UR234" s="4"/>
      <c r="US234" s="4"/>
      <c r="UT234" s="4"/>
      <c r="UU234" s="4"/>
      <c r="UV234" s="4"/>
      <c r="UW234" s="5"/>
      <c r="UX234" s="6"/>
      <c r="UY234" s="4"/>
      <c r="UZ234" s="4"/>
      <c r="VA234" s="4"/>
      <c r="VB234" s="4"/>
      <c r="VC234" s="4"/>
      <c r="VD234" s="5"/>
      <c r="VE234" s="6"/>
      <c r="VF234" s="4"/>
      <c r="VG234" s="4"/>
      <c r="VH234" s="4"/>
      <c r="VI234" s="4"/>
      <c r="VJ234" s="4"/>
      <c r="VK234" s="5"/>
      <c r="VL234" s="6"/>
      <c r="VM234" s="4"/>
      <c r="VN234" s="4"/>
      <c r="VO234" s="4"/>
      <c r="VP234" s="4"/>
      <c r="VQ234" s="4"/>
      <c r="VR234" s="5"/>
      <c r="VS234" s="6"/>
      <c r="VT234" s="4"/>
      <c r="VU234" s="4"/>
      <c r="VV234" s="4"/>
      <c r="VW234" s="4"/>
      <c r="VX234" s="4"/>
      <c r="VY234" s="5"/>
      <c r="VZ234" s="6"/>
      <c r="WA234" s="4"/>
      <c r="WB234" s="4"/>
      <c r="WC234" s="4"/>
      <c r="WD234" s="4"/>
      <c r="WE234" s="4"/>
      <c r="WF234" s="5"/>
      <c r="WG234" s="6"/>
      <c r="WH234" s="4"/>
      <c r="WI234" s="4"/>
      <c r="WJ234" s="4"/>
      <c r="WK234" s="4"/>
      <c r="WL234" s="4"/>
      <c r="WM234" s="5"/>
      <c r="WN234" s="6"/>
      <c r="WO234" s="4"/>
      <c r="WP234" s="4"/>
      <c r="WQ234" s="4"/>
      <c r="WR234" s="4"/>
      <c r="WS234" s="4"/>
      <c r="WT234" s="5"/>
      <c r="WU234" s="6"/>
      <c r="WV234" s="4"/>
      <c r="WW234" s="4"/>
      <c r="WX234" s="4"/>
      <c r="WY234" s="4"/>
      <c r="WZ234" s="4"/>
      <c r="XA234" s="5"/>
      <c r="XB234" s="6"/>
      <c r="XC234" s="4"/>
      <c r="XD234" s="4"/>
      <c r="XE234" s="4"/>
      <c r="XF234" s="4"/>
      <c r="XG234" s="4"/>
      <c r="XH234" s="5"/>
      <c r="XI234" s="6"/>
      <c r="XJ234" s="4"/>
      <c r="XK234" s="4"/>
      <c r="XL234" s="4"/>
      <c r="XM234" s="4"/>
      <c r="XN234" s="4"/>
      <c r="XO234" s="5"/>
      <c r="XP234" s="6"/>
      <c r="XQ234" s="4"/>
      <c r="XR234" s="4"/>
      <c r="XS234" s="4"/>
      <c r="XT234" s="4"/>
      <c r="XU234" s="4"/>
      <c r="XV234" s="5"/>
      <c r="XW234" s="6"/>
      <c r="XX234" s="4"/>
      <c r="XY234" s="4"/>
      <c r="XZ234" s="4"/>
      <c r="YA234" s="4"/>
      <c r="YB234" s="4"/>
      <c r="YC234" s="5"/>
      <c r="YD234" s="6"/>
      <c r="YE234" s="4"/>
      <c r="YF234" s="4"/>
      <c r="YG234" s="4"/>
      <c r="YH234" s="4"/>
      <c r="YI234" s="4"/>
      <c r="YJ234" s="5"/>
      <c r="YK234" s="6"/>
      <c r="YR234" s="6"/>
      <c r="YS234" s="4"/>
      <c r="YT234" s="4"/>
      <c r="YU234" s="4"/>
      <c r="YV234" s="4"/>
      <c r="YW234" s="4"/>
      <c r="YX234" s="5"/>
      <c r="YY234" s="6"/>
      <c r="YZ234" s="4"/>
      <c r="ZA234" s="4"/>
      <c r="ZB234" s="4"/>
      <c r="ZC234" s="4"/>
      <c r="ZD234" s="4"/>
      <c r="ZE234" s="5"/>
      <c r="ZF234" s="6"/>
      <c r="ZG234" s="4"/>
      <c r="ZH234" s="4"/>
      <c r="ZI234" s="4"/>
      <c r="ZJ234" s="4"/>
      <c r="ZK234" s="4"/>
      <c r="ZL234" s="5"/>
      <c r="ZM234" s="6"/>
      <c r="ZN234" s="4"/>
      <c r="ZO234" s="4"/>
      <c r="ZP234" s="4"/>
      <c r="ZQ234" s="4"/>
      <c r="ZR234" s="4"/>
      <c r="ZS234" s="5"/>
      <c r="ZT234" s="6"/>
      <c r="ZU234" s="4"/>
      <c r="ZV234" s="4"/>
      <c r="ZW234" s="4"/>
      <c r="ZX234" s="4"/>
      <c r="ZY234" s="4"/>
      <c r="ZZ234" s="5"/>
      <c r="AAA234" s="6"/>
      <c r="AAB234" s="4"/>
      <c r="AAC234" s="4"/>
      <c r="AAD234" s="4"/>
      <c r="AAE234" s="4"/>
      <c r="AAF234" s="4"/>
      <c r="AAG234" s="5"/>
      <c r="AAH234" s="6"/>
      <c r="AAI234" s="4"/>
      <c r="AAJ234" s="4"/>
      <c r="AAK234" s="4"/>
      <c r="AAL234" s="4"/>
      <c r="AAM234" s="4"/>
      <c r="AAN234" s="5"/>
      <c r="AAO234" s="6"/>
      <c r="AAP234" s="4"/>
      <c r="AAQ234" s="4"/>
      <c r="AAR234" s="4"/>
      <c r="AAS234" s="4"/>
      <c r="AAT234" s="4"/>
      <c r="AAU234" s="5"/>
      <c r="AAV234" s="6"/>
      <c r="AAW234" s="4"/>
      <c r="AAX234" s="4"/>
      <c r="AAY234" s="4"/>
      <c r="AAZ234" s="4"/>
      <c r="ABA234" s="4"/>
      <c r="ABB234" s="5"/>
      <c r="ABC234" s="6"/>
      <c r="ABD234" s="4"/>
      <c r="ABE234" s="4"/>
      <c r="ABF234" s="4"/>
      <c r="ABG234" s="4"/>
      <c r="ABH234" s="4"/>
      <c r="ABI234" s="5"/>
      <c r="ABJ234" s="6"/>
      <c r="ABK234" s="4"/>
      <c r="ABL234" s="4"/>
      <c r="ABM234" s="4"/>
      <c r="ABN234" s="4"/>
      <c r="ABO234" s="4"/>
      <c r="ABP234" s="5"/>
      <c r="ABQ234" s="6" t="s">
        <v>2939</v>
      </c>
      <c r="ABR234" s="4" t="s">
        <v>2939</v>
      </c>
      <c r="ABS234" s="4"/>
      <c r="ABT234" s="4"/>
      <c r="ABU234" s="4"/>
      <c r="ABV234" s="4"/>
      <c r="ABW234" s="5" t="s">
        <v>334</v>
      </c>
      <c r="ABX234" s="6"/>
      <c r="ABY234" s="4"/>
      <c r="ABZ234" s="4"/>
      <c r="ACA234" s="4"/>
      <c r="ACB234" s="4"/>
      <c r="ACC234" s="4"/>
      <c r="ACD234" s="5"/>
      <c r="ACE234" s="6"/>
      <c r="ACF234" s="4"/>
      <c r="ACG234" s="4"/>
      <c r="ACH234" s="4"/>
      <c r="ACI234" s="4"/>
      <c r="ACJ234" s="4"/>
      <c r="ACK234" s="5"/>
      <c r="ACL234" s="6"/>
      <c r="ACM234" s="4"/>
      <c r="ACN234" s="4"/>
      <c r="ACO234" s="4"/>
      <c r="ACP234" s="4"/>
      <c r="ACQ234" s="4"/>
      <c r="ACR234" s="5"/>
      <c r="ACS234" s="6"/>
      <c r="ACT234" s="4"/>
      <c r="ACU234" s="4"/>
      <c r="ACV234" s="4"/>
      <c r="ACW234" s="4"/>
      <c r="ACX234" s="4"/>
      <c r="ACY234" s="5"/>
    </row>
    <row r="235" spans="2:805" x14ac:dyDescent="0.25">
      <c r="B235" s="30"/>
      <c r="J235" s="12"/>
      <c r="K235" s="12"/>
      <c r="L235" s="12"/>
      <c r="LL235" s="6"/>
      <c r="LM235" s="4"/>
      <c r="LN235" s="4"/>
      <c r="LO235" s="4"/>
      <c r="LP235" s="4"/>
      <c r="LQ235" s="4"/>
      <c r="LR235" s="5"/>
      <c r="LS235" s="6"/>
      <c r="LT235" s="4"/>
      <c r="LU235" s="4"/>
      <c r="LV235" s="4"/>
      <c r="LW235" s="4"/>
      <c r="LX235" s="4"/>
      <c r="LY235" s="5"/>
      <c r="LZ235" s="6" t="s">
        <v>2872</v>
      </c>
      <c r="MA235" s="7" t="s">
        <v>2250</v>
      </c>
      <c r="MB235" s="4"/>
      <c r="MC235" s="4"/>
      <c r="MD235" s="8"/>
      <c r="ME235" s="4"/>
      <c r="MF235" s="4" t="s">
        <v>611</v>
      </c>
      <c r="MG235" s="5" t="s">
        <v>379</v>
      </c>
      <c r="MH235" s="6"/>
      <c r="MI235" s="4"/>
      <c r="MJ235" s="4"/>
      <c r="MK235" s="4"/>
      <c r="ML235" s="4"/>
      <c r="MM235" s="4"/>
      <c r="MN235" s="5"/>
      <c r="MO235" s="6"/>
      <c r="MP235" s="4"/>
      <c r="MQ235" s="4"/>
      <c r="MR235" s="4"/>
      <c r="MS235" s="4"/>
      <c r="MT235" s="4"/>
      <c r="MU235" s="5"/>
      <c r="MV235" s="6"/>
      <c r="MW235" s="4"/>
      <c r="MX235" s="4"/>
      <c r="MY235" s="4"/>
      <c r="MZ235" s="4"/>
      <c r="NA235" s="4"/>
      <c r="NB235" s="5"/>
      <c r="NC235" s="6"/>
      <c r="ND235" s="4"/>
      <c r="NE235" s="4"/>
      <c r="NF235" s="4"/>
      <c r="NG235" s="4"/>
      <c r="NH235" s="4"/>
      <c r="NI235" s="5"/>
      <c r="NJ235" s="6"/>
      <c r="NK235" s="4"/>
      <c r="NL235" s="4"/>
      <c r="NM235" s="4"/>
      <c r="NN235" s="4"/>
      <c r="NO235" s="4"/>
      <c r="NP235" s="5"/>
      <c r="NQ235" s="6"/>
      <c r="NR235" s="4"/>
      <c r="NS235" s="4"/>
      <c r="NT235" s="4"/>
      <c r="NU235" s="4"/>
      <c r="NV235" s="4"/>
      <c r="NW235" s="5"/>
      <c r="NX235" s="6"/>
      <c r="NY235" s="4"/>
      <c r="NZ235" s="4"/>
      <c r="OA235" s="4"/>
      <c r="OB235" s="4"/>
      <c r="OC235" s="4"/>
      <c r="OD235" s="5"/>
      <c r="OE235" s="6"/>
      <c r="OF235" s="4"/>
      <c r="OG235" s="4"/>
      <c r="OH235" s="4"/>
      <c r="OI235" s="4"/>
      <c r="OJ235" s="4"/>
      <c r="OK235" s="5"/>
      <c r="OL235" s="6"/>
      <c r="OM235" s="4"/>
      <c r="ON235" s="4"/>
      <c r="OO235" s="4"/>
      <c r="OP235" s="4"/>
      <c r="OQ235" s="4"/>
      <c r="OR235" s="5"/>
      <c r="OS235" s="6"/>
      <c r="OT235" s="4"/>
      <c r="OU235" s="4"/>
      <c r="OV235" s="4"/>
      <c r="OW235" s="4"/>
      <c r="OX235" s="4"/>
      <c r="OY235" s="5"/>
      <c r="OZ235" s="6"/>
      <c r="PA235" s="4"/>
      <c r="PB235" s="4"/>
      <c r="PC235" s="4"/>
      <c r="PD235" s="4"/>
      <c r="PE235" s="4"/>
      <c r="PF235" s="5"/>
      <c r="PG235" s="6"/>
      <c r="PH235" s="4"/>
      <c r="PI235" s="4"/>
      <c r="PJ235" s="4"/>
      <c r="PK235" s="4"/>
      <c r="PL235" s="4"/>
      <c r="PM235" s="5"/>
      <c r="PN235" s="6"/>
      <c r="PO235" s="4"/>
      <c r="PP235" s="4"/>
      <c r="PQ235" s="4"/>
      <c r="PR235" s="4"/>
      <c r="PS235" s="4"/>
      <c r="PT235" s="5"/>
      <c r="PU235" s="6"/>
      <c r="PV235" s="4"/>
      <c r="PW235" s="4"/>
      <c r="PX235" s="4"/>
      <c r="PY235" s="4"/>
      <c r="PZ235" s="4"/>
      <c r="QA235" s="5"/>
      <c r="QB235" s="6"/>
      <c r="QC235" s="4"/>
      <c r="QD235" s="4"/>
      <c r="QE235" s="4"/>
      <c r="QF235" s="4"/>
      <c r="QG235" s="4"/>
      <c r="QH235" s="5"/>
      <c r="QI235" s="6"/>
      <c r="QJ235" s="4"/>
      <c r="QK235" s="4"/>
      <c r="QL235" s="4"/>
      <c r="QM235" s="4"/>
      <c r="QN235" s="4"/>
      <c r="QO235" s="5"/>
      <c r="QP235" s="6"/>
      <c r="QQ235" s="4"/>
      <c r="QR235" s="4"/>
      <c r="QS235" s="4"/>
      <c r="QT235" s="4"/>
      <c r="QU235" s="4"/>
      <c r="QV235" s="5"/>
      <c r="QW235" s="6"/>
      <c r="QX235" s="4"/>
      <c r="QY235" s="4"/>
      <c r="QZ235" s="4"/>
      <c r="RA235" s="4"/>
      <c r="RB235" s="4"/>
      <c r="RC235" s="5"/>
      <c r="RD235" s="6"/>
      <c r="RE235" s="4"/>
      <c r="RF235" s="4"/>
      <c r="RG235" s="4"/>
      <c r="RH235" s="4"/>
      <c r="RI235" s="4"/>
      <c r="RJ235" s="5"/>
      <c r="RK235" s="6"/>
      <c r="RL235" s="4"/>
      <c r="RM235" s="4"/>
      <c r="RN235" s="4"/>
      <c r="RO235" s="4"/>
      <c r="RP235" s="4"/>
      <c r="RQ235" s="5"/>
      <c r="RR235" s="6"/>
      <c r="RS235" s="4"/>
      <c r="RT235" s="4"/>
      <c r="RU235" s="4"/>
      <c r="RV235" s="4"/>
      <c r="RW235" s="4"/>
      <c r="RX235" s="5"/>
      <c r="RY235" s="6"/>
      <c r="RZ235" s="4"/>
      <c r="SA235" s="4"/>
      <c r="SB235" s="4"/>
      <c r="SC235" s="4"/>
      <c r="SD235" s="4"/>
      <c r="SE235" s="5"/>
      <c r="SF235" s="6"/>
      <c r="SG235" s="4"/>
      <c r="SH235" s="4"/>
      <c r="SI235" s="4"/>
      <c r="SJ235" s="4"/>
      <c r="SK235" s="4"/>
      <c r="SL235" s="5"/>
      <c r="SM235" s="6"/>
      <c r="SN235" s="4"/>
      <c r="SO235" s="4"/>
      <c r="SP235" s="4"/>
      <c r="SQ235" s="4"/>
      <c r="SR235" s="4"/>
      <c r="SS235" s="5"/>
      <c r="ST235" s="6"/>
      <c r="SU235" s="4"/>
      <c r="SV235" s="4"/>
      <c r="SW235" s="4"/>
      <c r="SX235" s="4"/>
      <c r="SY235" s="4"/>
      <c r="SZ235" s="5"/>
      <c r="TA235" s="6"/>
      <c r="TB235" s="4"/>
      <c r="TC235" s="4"/>
      <c r="TD235" s="4"/>
      <c r="TE235" s="4"/>
      <c r="TF235" s="4"/>
      <c r="TG235" s="5"/>
      <c r="TH235" s="6"/>
      <c r="TI235" s="4"/>
      <c r="TJ235" s="4"/>
      <c r="TK235" s="4"/>
      <c r="TL235" s="4"/>
      <c r="TM235" s="4"/>
      <c r="TN235" s="5"/>
      <c r="TO235" s="6"/>
      <c r="TP235" s="4"/>
      <c r="TQ235" s="4"/>
      <c r="TR235" s="4"/>
      <c r="TS235" s="4"/>
      <c r="TT235" s="4"/>
      <c r="TU235" s="5"/>
      <c r="TV235" s="6"/>
      <c r="TW235" s="4"/>
      <c r="TX235" s="4"/>
      <c r="TY235" s="4"/>
      <c r="TZ235" s="4"/>
      <c r="UA235" s="4"/>
      <c r="UB235" s="5"/>
      <c r="UC235" s="6"/>
      <c r="UD235" s="4"/>
      <c r="UE235" s="4"/>
      <c r="UF235" s="4"/>
      <c r="UG235" s="4"/>
      <c r="UH235" s="4"/>
      <c r="UI235" s="5"/>
      <c r="UJ235" s="6"/>
      <c r="UK235" s="4"/>
      <c r="UL235" s="4"/>
      <c r="UM235" s="4"/>
      <c r="UN235" s="4"/>
      <c r="UO235" s="4"/>
      <c r="UP235" s="5"/>
      <c r="UQ235" s="6"/>
      <c r="UR235" s="4"/>
      <c r="US235" s="4"/>
      <c r="UT235" s="4"/>
      <c r="UU235" s="4"/>
      <c r="UV235" s="4"/>
      <c r="UW235" s="5"/>
      <c r="UX235" s="6"/>
      <c r="UY235" s="4"/>
      <c r="UZ235" s="4"/>
      <c r="VA235" s="4"/>
      <c r="VB235" s="4"/>
      <c r="VC235" s="4"/>
      <c r="VD235" s="5"/>
      <c r="VE235" s="6"/>
      <c r="VF235" s="4"/>
      <c r="VG235" s="4"/>
      <c r="VH235" s="4"/>
      <c r="VI235" s="4"/>
      <c r="VJ235" s="4"/>
      <c r="VK235" s="5"/>
      <c r="VL235" s="6"/>
      <c r="VM235" s="4"/>
      <c r="VN235" s="4"/>
      <c r="VO235" s="4"/>
      <c r="VP235" s="4"/>
      <c r="VQ235" s="4"/>
      <c r="VR235" s="5"/>
      <c r="VS235" s="6"/>
      <c r="VT235" s="4"/>
      <c r="VU235" s="4"/>
      <c r="VV235" s="4"/>
      <c r="VW235" s="4"/>
      <c r="VX235" s="4"/>
      <c r="VY235" s="5"/>
      <c r="VZ235" s="6"/>
      <c r="WA235" s="4"/>
      <c r="WB235" s="4"/>
      <c r="WC235" s="4"/>
      <c r="WD235" s="4"/>
      <c r="WE235" s="4"/>
      <c r="WF235" s="5"/>
      <c r="WG235" s="6"/>
      <c r="WH235" s="4"/>
      <c r="WI235" s="4"/>
      <c r="WJ235" s="4"/>
      <c r="WK235" s="4"/>
      <c r="WL235" s="4"/>
      <c r="WM235" s="5"/>
      <c r="WN235" s="6"/>
      <c r="WO235" s="4"/>
      <c r="WP235" s="4"/>
      <c r="WQ235" s="4"/>
      <c r="WR235" s="4"/>
      <c r="WS235" s="4"/>
      <c r="WT235" s="5"/>
      <c r="WU235" s="6"/>
      <c r="WV235" s="4"/>
      <c r="WW235" s="4"/>
      <c r="WX235" s="4"/>
      <c r="WY235" s="4"/>
      <c r="WZ235" s="4"/>
      <c r="XA235" s="5"/>
      <c r="XB235" s="6"/>
      <c r="XC235" s="4"/>
      <c r="XD235" s="4"/>
      <c r="XE235" s="4"/>
      <c r="XF235" s="4"/>
      <c r="XG235" s="4"/>
      <c r="XH235" s="5"/>
      <c r="XI235" s="6"/>
      <c r="XJ235" s="4"/>
      <c r="XK235" s="4"/>
      <c r="XL235" s="4"/>
      <c r="XM235" s="4"/>
      <c r="XN235" s="4"/>
      <c r="XO235" s="5"/>
      <c r="XP235" s="6"/>
      <c r="XQ235" s="4"/>
      <c r="XR235" s="4"/>
      <c r="XS235" s="4"/>
      <c r="XT235" s="4"/>
      <c r="XU235" s="4"/>
      <c r="XV235" s="5"/>
      <c r="XW235" s="6"/>
      <c r="XX235" s="4"/>
      <c r="XY235" s="4"/>
      <c r="XZ235" s="4"/>
      <c r="YA235" s="4"/>
      <c r="YB235" s="4"/>
      <c r="YC235" s="5"/>
      <c r="YD235" s="6"/>
      <c r="YE235" s="4"/>
      <c r="YF235" s="4"/>
      <c r="YG235" s="4"/>
      <c r="YH235" s="4"/>
      <c r="YI235" s="4"/>
      <c r="YJ235" s="5"/>
      <c r="YK235" s="6"/>
      <c r="YR235" s="6"/>
      <c r="YS235" s="4"/>
      <c r="YT235" s="4"/>
      <c r="YU235" s="4"/>
      <c r="YV235" s="4"/>
      <c r="YW235" s="4"/>
      <c r="YX235" s="5"/>
      <c r="YY235" s="6"/>
      <c r="YZ235" s="4"/>
      <c r="ZA235" s="4"/>
      <c r="ZB235" s="4"/>
      <c r="ZC235" s="4"/>
      <c r="ZD235" s="4"/>
      <c r="ZE235" s="5"/>
      <c r="ZF235" s="6"/>
      <c r="ZG235" s="4"/>
      <c r="ZH235" s="4"/>
      <c r="ZI235" s="4"/>
      <c r="ZJ235" s="4"/>
      <c r="ZK235" s="4"/>
      <c r="ZL235" s="5"/>
      <c r="ZM235" s="6"/>
      <c r="ZN235" s="4"/>
      <c r="ZO235" s="4"/>
      <c r="ZP235" s="4"/>
      <c r="ZQ235" s="4"/>
      <c r="ZR235" s="4"/>
      <c r="ZS235" s="5"/>
      <c r="ZT235" s="6"/>
      <c r="ZU235" s="4"/>
      <c r="ZV235" s="4"/>
      <c r="ZW235" s="4"/>
      <c r="ZX235" s="4"/>
      <c r="ZY235" s="4"/>
      <c r="ZZ235" s="5"/>
      <c r="AAA235" s="6"/>
      <c r="AAB235" s="4"/>
      <c r="AAC235" s="4"/>
      <c r="AAD235" s="4"/>
      <c r="AAE235" s="4"/>
      <c r="AAF235" s="4"/>
      <c r="AAG235" s="5"/>
      <c r="AAH235" s="6"/>
      <c r="AAI235" s="4"/>
      <c r="AAJ235" s="4"/>
      <c r="AAK235" s="4"/>
      <c r="AAL235" s="4"/>
      <c r="AAM235" s="4"/>
      <c r="AAN235" s="5"/>
      <c r="AAO235" s="6"/>
      <c r="AAP235" s="4"/>
      <c r="AAQ235" s="4"/>
      <c r="AAR235" s="4"/>
      <c r="AAS235" s="4"/>
      <c r="AAT235" s="4"/>
      <c r="AAU235" s="5"/>
      <c r="AAV235" s="6"/>
      <c r="AAW235" s="4"/>
      <c r="AAX235" s="4"/>
      <c r="AAY235" s="4"/>
      <c r="AAZ235" s="4"/>
      <c r="ABA235" s="4"/>
      <c r="ABB235" s="5"/>
      <c r="ABC235" s="6"/>
      <c r="ABD235" s="4"/>
      <c r="ABE235" s="4"/>
      <c r="ABF235" s="4"/>
      <c r="ABG235" s="4"/>
      <c r="ABH235" s="4"/>
      <c r="ABI235" s="5"/>
      <c r="ABJ235" s="6"/>
      <c r="ABK235" s="4"/>
      <c r="ABL235" s="4"/>
      <c r="ABM235" s="4"/>
      <c r="ABN235" s="4"/>
      <c r="ABO235" s="4"/>
      <c r="ABP235" s="5"/>
      <c r="ABQ235" s="6"/>
      <c r="ABR235" s="4"/>
      <c r="ABS235" s="4"/>
      <c r="ABT235" s="4"/>
      <c r="ABU235" s="4"/>
      <c r="ABV235" s="4"/>
      <c r="ABW235" s="5"/>
      <c r="ABX235" s="6"/>
      <c r="ABY235" s="4"/>
      <c r="ABZ235" s="4"/>
      <c r="ACA235" s="4"/>
      <c r="ACB235" s="4"/>
      <c r="ACC235" s="4"/>
      <c r="ACD235" s="5"/>
      <c r="ACE235" s="6"/>
      <c r="ACF235" s="4"/>
      <c r="ACG235" s="4"/>
      <c r="ACH235" s="4"/>
      <c r="ACI235" s="4"/>
      <c r="ACJ235" s="4"/>
      <c r="ACK235" s="5"/>
      <c r="ACL235" s="6"/>
      <c r="ACM235" s="4"/>
      <c r="ACN235" s="4"/>
      <c r="ACO235" s="4"/>
      <c r="ACP235" s="4"/>
      <c r="ACQ235" s="4"/>
      <c r="ACR235" s="5"/>
      <c r="ACS235" s="6"/>
      <c r="ACT235" s="4"/>
      <c r="ACU235" s="4"/>
      <c r="ACV235" s="4"/>
      <c r="ACW235" s="4"/>
      <c r="ACX235" s="4"/>
      <c r="ACY235" s="5"/>
    </row>
    <row r="236" spans="2:805" x14ac:dyDescent="0.25">
      <c r="B236" s="29">
        <v>1000203</v>
      </c>
      <c r="C236">
        <v>33</v>
      </c>
      <c r="D236" t="s">
        <v>2121</v>
      </c>
      <c r="F236" s="23">
        <v>0</v>
      </c>
      <c r="I236">
        <v>1</v>
      </c>
      <c r="J236" s="19">
        <v>36574</v>
      </c>
      <c r="K236" s="19" t="s">
        <v>3847</v>
      </c>
      <c r="L236" s="19"/>
      <c r="LL236" s="6"/>
      <c r="LM236" s="4"/>
      <c r="LN236" s="4"/>
      <c r="LO236" s="4"/>
      <c r="LP236" s="4"/>
      <c r="LQ236" s="4"/>
      <c r="LR236" s="5"/>
      <c r="LS236" s="6"/>
      <c r="LT236" s="4"/>
      <c r="LU236" s="4"/>
      <c r="LV236" s="4"/>
      <c r="LW236" s="4"/>
      <c r="LX236" s="4"/>
      <c r="LY236" s="5"/>
      <c r="LZ236" s="6" t="s">
        <v>2872</v>
      </c>
      <c r="MA236" s="7" t="s">
        <v>3050</v>
      </c>
      <c r="MB236" s="4" t="s">
        <v>2873</v>
      </c>
      <c r="MC236" s="7" t="s">
        <v>3126</v>
      </c>
      <c r="MD236" s="8">
        <v>36564</v>
      </c>
      <c r="ME236" s="8">
        <v>36574</v>
      </c>
      <c r="MF236" s="8" t="s">
        <v>3787</v>
      </c>
      <c r="MG236" s="5" t="s">
        <v>3848</v>
      </c>
      <c r="MH236" s="6"/>
      <c r="MI236" s="4"/>
      <c r="MJ236" s="4"/>
      <c r="MK236" s="4"/>
      <c r="ML236" s="4"/>
      <c r="MM236" s="4"/>
      <c r="MN236" s="5"/>
      <c r="MO236" s="6"/>
      <c r="MP236" s="4"/>
      <c r="MQ236" s="4"/>
      <c r="MR236" s="4"/>
      <c r="MS236" s="4"/>
      <c r="MT236" s="4"/>
      <c r="MU236" s="5"/>
      <c r="MV236" s="6"/>
      <c r="MW236" s="4"/>
      <c r="MX236" s="4"/>
      <c r="MY236" s="4"/>
      <c r="MZ236" s="4"/>
      <c r="NA236" s="4"/>
      <c r="NB236" s="5"/>
      <c r="NC236" s="6"/>
      <c r="ND236" s="4"/>
      <c r="NE236" s="4"/>
      <c r="NF236" s="4"/>
      <c r="NG236" s="4"/>
      <c r="NH236" s="4"/>
      <c r="NI236" s="5"/>
      <c r="NJ236" s="6"/>
      <c r="NK236" s="4"/>
      <c r="NL236" s="4"/>
      <c r="NM236" s="4"/>
      <c r="NN236" s="4"/>
      <c r="NO236" s="4"/>
      <c r="NP236" s="5"/>
      <c r="NQ236" s="6"/>
      <c r="NR236" s="4"/>
      <c r="NS236" s="4"/>
      <c r="NT236" s="4"/>
      <c r="NU236" s="4"/>
      <c r="NV236" s="4"/>
      <c r="NW236" s="5"/>
      <c r="NX236" s="6"/>
      <c r="NY236" s="4"/>
      <c r="NZ236" s="4"/>
      <c r="OA236" s="4"/>
      <c r="OB236" s="4"/>
      <c r="OC236" s="4"/>
      <c r="OD236" s="5"/>
      <c r="OE236" s="6"/>
      <c r="OF236" s="4"/>
      <c r="OG236" s="4"/>
      <c r="OH236" s="4"/>
      <c r="OI236" s="4"/>
      <c r="OJ236" s="4"/>
      <c r="OK236" s="5"/>
      <c r="OL236" s="6"/>
      <c r="OM236" s="4"/>
      <c r="ON236" s="4"/>
      <c r="OO236" s="4"/>
      <c r="OP236" s="4"/>
      <c r="OQ236" s="4"/>
      <c r="OR236" s="5"/>
      <c r="OS236" s="6"/>
      <c r="OT236" s="4"/>
      <c r="OU236" s="4"/>
      <c r="OV236" s="4"/>
      <c r="OW236" s="4"/>
      <c r="OX236" s="4"/>
      <c r="OY236" s="5"/>
      <c r="OZ236" s="6"/>
      <c r="PA236" s="4"/>
      <c r="PB236" s="4"/>
      <c r="PC236" s="4"/>
      <c r="PD236" s="4"/>
      <c r="PE236" s="4"/>
      <c r="PF236" s="5"/>
      <c r="PG236" s="6"/>
      <c r="PH236" s="4"/>
      <c r="PI236" s="4"/>
      <c r="PJ236" s="4"/>
      <c r="PK236" s="4"/>
      <c r="PL236" s="4"/>
      <c r="PM236" s="5"/>
      <c r="PN236" s="6"/>
      <c r="PO236" s="4"/>
      <c r="PP236" s="4"/>
      <c r="PQ236" s="4"/>
      <c r="PR236" s="4"/>
      <c r="PS236" s="4"/>
      <c r="PT236" s="5"/>
      <c r="PU236" s="6"/>
      <c r="PV236" s="4"/>
      <c r="PW236" s="4"/>
      <c r="PX236" s="4"/>
      <c r="PY236" s="4"/>
      <c r="PZ236" s="4"/>
      <c r="QA236" s="5"/>
      <c r="QB236" s="6"/>
      <c r="QC236" s="4"/>
      <c r="QD236" s="4"/>
      <c r="QE236" s="4"/>
      <c r="QF236" s="4"/>
      <c r="QG236" s="4"/>
      <c r="QH236" s="5"/>
      <c r="QI236" s="6"/>
      <c r="QJ236" s="4"/>
      <c r="QK236" s="4"/>
      <c r="QL236" s="4"/>
      <c r="QM236" s="4"/>
      <c r="QN236" s="4"/>
      <c r="QO236" s="5"/>
      <c r="QP236" s="6"/>
      <c r="QQ236" s="4"/>
      <c r="QR236" s="4"/>
      <c r="QS236" s="4"/>
      <c r="QT236" s="4"/>
      <c r="QU236" s="4"/>
      <c r="QV236" s="5"/>
      <c r="QW236" s="6"/>
      <c r="QX236" s="4"/>
      <c r="QY236" s="4"/>
      <c r="QZ236" s="4"/>
      <c r="RA236" s="4"/>
      <c r="RB236" s="4"/>
      <c r="RC236" s="5"/>
      <c r="RD236" s="6"/>
      <c r="RE236" s="4"/>
      <c r="RF236" s="4"/>
      <c r="RG236" s="4"/>
      <c r="RH236" s="4"/>
      <c r="RI236" s="4"/>
      <c r="RJ236" s="5"/>
      <c r="RK236" s="6"/>
      <c r="RL236" s="4"/>
      <c r="RM236" s="4"/>
      <c r="RN236" s="4"/>
      <c r="RO236" s="4"/>
      <c r="RP236" s="4"/>
      <c r="RQ236" s="5"/>
      <c r="RR236" s="6"/>
      <c r="RS236" s="4"/>
      <c r="RT236" s="4"/>
      <c r="RU236" s="4"/>
      <c r="RV236" s="4"/>
      <c r="RW236" s="4"/>
      <c r="RX236" s="5"/>
      <c r="RY236" s="6"/>
      <c r="RZ236" s="4"/>
      <c r="SA236" s="4"/>
      <c r="SB236" s="4"/>
      <c r="SC236" s="4"/>
      <c r="SD236" s="4"/>
      <c r="SE236" s="5"/>
      <c r="SF236" s="6"/>
      <c r="SG236" s="4"/>
      <c r="SH236" s="4"/>
      <c r="SI236" s="4"/>
      <c r="SJ236" s="4"/>
      <c r="SK236" s="4"/>
      <c r="SL236" s="5"/>
      <c r="SM236" s="6"/>
      <c r="SN236" s="4"/>
      <c r="SO236" s="4"/>
      <c r="SP236" s="4"/>
      <c r="SQ236" s="4"/>
      <c r="SR236" s="4"/>
      <c r="SS236" s="5"/>
      <c r="ST236" s="6"/>
      <c r="SU236" s="4"/>
      <c r="SV236" s="4"/>
      <c r="SW236" s="4"/>
      <c r="SX236" s="4"/>
      <c r="SY236" s="4"/>
      <c r="SZ236" s="5"/>
      <c r="TA236" s="6"/>
      <c r="TB236" s="4"/>
      <c r="TC236" s="4"/>
      <c r="TD236" s="4"/>
      <c r="TE236" s="4"/>
      <c r="TF236" s="4"/>
      <c r="TG236" s="5"/>
      <c r="TH236" s="6"/>
      <c r="TI236" s="4"/>
      <c r="TJ236" s="4"/>
      <c r="TK236" s="4"/>
      <c r="TL236" s="4"/>
      <c r="TM236" s="4"/>
      <c r="TN236" s="5"/>
      <c r="TO236" s="6"/>
      <c r="TP236" s="4"/>
      <c r="TQ236" s="4"/>
      <c r="TR236" s="4"/>
      <c r="TS236" s="4"/>
      <c r="TT236" s="4"/>
      <c r="TU236" s="5"/>
      <c r="TV236" s="6"/>
      <c r="TW236" s="4"/>
      <c r="TX236" s="4"/>
      <c r="TY236" s="4"/>
      <c r="TZ236" s="4"/>
      <c r="UA236" s="4"/>
      <c r="UB236" s="5"/>
      <c r="UC236" s="6"/>
      <c r="UD236" s="4"/>
      <c r="UE236" s="4"/>
      <c r="UF236" s="4"/>
      <c r="UG236" s="4"/>
      <c r="UH236" s="4"/>
      <c r="UI236" s="5"/>
      <c r="UJ236" s="6"/>
      <c r="UK236" s="4"/>
      <c r="UL236" s="4"/>
      <c r="UM236" s="4"/>
      <c r="UN236" s="4"/>
      <c r="UO236" s="4"/>
      <c r="UP236" s="5"/>
      <c r="UQ236" s="6"/>
      <c r="UR236" s="4"/>
      <c r="US236" s="4"/>
      <c r="UT236" s="4"/>
      <c r="UU236" s="4"/>
      <c r="UV236" s="4"/>
      <c r="UW236" s="5"/>
      <c r="UX236" s="6"/>
      <c r="UY236" s="4"/>
      <c r="UZ236" s="4"/>
      <c r="VA236" s="4"/>
      <c r="VB236" s="4"/>
      <c r="VC236" s="4"/>
      <c r="VD236" s="5"/>
      <c r="VE236" s="6"/>
      <c r="VF236" s="4"/>
      <c r="VG236" s="4"/>
      <c r="VH236" s="4"/>
      <c r="VI236" s="4"/>
      <c r="VJ236" s="4"/>
      <c r="VK236" s="5"/>
      <c r="VL236" s="6"/>
      <c r="VM236" s="4"/>
      <c r="VN236" s="4"/>
      <c r="VO236" s="4"/>
      <c r="VP236" s="4"/>
      <c r="VQ236" s="4"/>
      <c r="VR236" s="5"/>
      <c r="VS236" s="6"/>
      <c r="VT236" s="4"/>
      <c r="VU236" s="4"/>
      <c r="VV236" s="4"/>
      <c r="VW236" s="4"/>
      <c r="VX236" s="4"/>
      <c r="VY236" s="5"/>
      <c r="VZ236" s="6"/>
      <c r="WA236" s="4"/>
      <c r="WB236" s="4"/>
      <c r="WC236" s="4"/>
      <c r="WD236" s="4"/>
      <c r="WE236" s="4"/>
      <c r="WF236" s="5"/>
      <c r="WG236" s="6"/>
      <c r="WH236" s="4"/>
      <c r="WI236" s="4"/>
      <c r="WJ236" s="4"/>
      <c r="WK236" s="4"/>
      <c r="WL236" s="4"/>
      <c r="WM236" s="5"/>
      <c r="WN236" s="6"/>
      <c r="WO236" s="4"/>
      <c r="WP236" s="4"/>
      <c r="WQ236" s="4"/>
      <c r="WR236" s="4"/>
      <c r="WS236" s="4"/>
      <c r="WT236" s="5"/>
      <c r="WU236" s="6"/>
      <c r="WV236" s="4"/>
      <c r="WW236" s="4"/>
      <c r="WX236" s="4"/>
      <c r="WY236" s="4"/>
      <c r="WZ236" s="4"/>
      <c r="XA236" s="5"/>
      <c r="XB236" s="6"/>
      <c r="XC236" s="4"/>
      <c r="XD236" s="4"/>
      <c r="XE236" s="4"/>
      <c r="XF236" s="4"/>
      <c r="XG236" s="4"/>
      <c r="XH236" s="5"/>
      <c r="XI236" s="6"/>
      <c r="XJ236" s="4"/>
      <c r="XK236" s="4"/>
      <c r="XL236" s="4"/>
      <c r="XM236" s="4"/>
      <c r="XN236" s="4"/>
      <c r="XO236" s="5"/>
      <c r="XP236" s="6"/>
      <c r="XQ236" s="4"/>
      <c r="XR236" s="4"/>
      <c r="XS236" s="4"/>
      <c r="XT236" s="4"/>
      <c r="XU236" s="4"/>
      <c r="XV236" s="5"/>
      <c r="XW236" s="6"/>
      <c r="XX236" s="4"/>
      <c r="XY236" s="4"/>
      <c r="XZ236" s="4"/>
      <c r="YA236" s="4"/>
      <c r="YB236" s="4"/>
      <c r="YC236" s="5"/>
      <c r="YD236" s="6"/>
      <c r="YE236" s="4"/>
      <c r="YF236" s="4"/>
      <c r="YG236" s="4"/>
      <c r="YH236" s="4"/>
      <c r="YI236" s="4"/>
      <c r="YJ236" s="5"/>
      <c r="YK236" s="6" t="s">
        <v>3269</v>
      </c>
      <c r="YL236" t="s">
        <v>3274</v>
      </c>
      <c r="YM236" s="4" t="s">
        <v>3315</v>
      </c>
      <c r="YN236" s="7" t="s">
        <v>3127</v>
      </c>
      <c r="YO236" s="8">
        <v>36557</v>
      </c>
      <c r="YP236" s="8">
        <v>36564</v>
      </c>
      <c r="YQ236" s="5" t="s">
        <v>3849</v>
      </c>
      <c r="YR236" s="6"/>
      <c r="YS236" s="4"/>
      <c r="YT236" s="4"/>
      <c r="YU236" s="4"/>
      <c r="YV236" s="4"/>
      <c r="YW236" s="4"/>
      <c r="YX236" s="5"/>
      <c r="YY236" s="6"/>
      <c r="YZ236" s="4"/>
      <c r="ZA236" s="4"/>
      <c r="ZB236" s="4"/>
      <c r="ZC236" s="4"/>
      <c r="ZD236" s="4"/>
      <c r="ZE236" s="5"/>
      <c r="ZF236" s="6"/>
      <c r="ZG236" s="4"/>
      <c r="ZH236" s="4"/>
      <c r="ZI236" s="4"/>
      <c r="ZJ236" s="4"/>
      <c r="ZK236" s="4"/>
      <c r="ZL236" s="5"/>
      <c r="ZM236" s="6"/>
      <c r="ZN236" s="4"/>
      <c r="ZO236" s="4"/>
      <c r="ZP236" s="4"/>
      <c r="ZQ236" s="4"/>
      <c r="ZR236" s="4"/>
      <c r="ZS236" s="5"/>
      <c r="ZT236" s="6"/>
      <c r="ZU236" s="4"/>
      <c r="ZV236" s="4"/>
      <c r="ZW236" s="4"/>
      <c r="ZX236" s="4"/>
      <c r="ZY236" s="4"/>
      <c r="ZZ236" s="5"/>
      <c r="AAA236" s="6"/>
      <c r="AAB236" s="4"/>
      <c r="AAC236" s="4"/>
      <c r="AAD236" s="4"/>
      <c r="AAE236" s="4"/>
      <c r="AAF236" s="4"/>
      <c r="AAG236" s="5"/>
      <c r="AAH236" s="6"/>
      <c r="AAI236" s="4"/>
      <c r="AAJ236" s="4"/>
      <c r="AAK236" s="4"/>
      <c r="AAL236" s="4"/>
      <c r="AAM236" s="4"/>
      <c r="AAN236" s="5"/>
      <c r="AAO236" s="6"/>
      <c r="AAP236" s="4"/>
      <c r="AAQ236" s="4"/>
      <c r="AAR236" s="4"/>
      <c r="AAS236" s="4"/>
      <c r="AAT236" s="4"/>
      <c r="AAU236" s="5"/>
      <c r="AAV236" s="6"/>
      <c r="AAW236" s="4"/>
      <c r="AAX236" s="4"/>
      <c r="AAY236" s="4"/>
      <c r="AAZ236" s="4"/>
      <c r="ABA236" s="4"/>
      <c r="ABB236" s="5"/>
      <c r="ABC236" s="6"/>
      <c r="ABD236" s="4"/>
      <c r="ABE236" s="4"/>
      <c r="ABF236" s="4"/>
      <c r="ABG236" s="4"/>
      <c r="ABH236" s="4"/>
      <c r="ABI236" s="5"/>
      <c r="ABJ236" s="6"/>
      <c r="ABK236" s="4"/>
      <c r="ABL236" s="4"/>
      <c r="ABM236" s="4"/>
      <c r="ABN236" s="4"/>
      <c r="ABO236" s="4"/>
      <c r="ABP236" s="5"/>
      <c r="ABQ236" s="6" t="s">
        <v>2807</v>
      </c>
      <c r="ABR236" s="4" t="s">
        <v>3412</v>
      </c>
      <c r="ABS236" s="4" t="s">
        <v>3266</v>
      </c>
      <c r="ABT236" s="7" t="s">
        <v>3268</v>
      </c>
      <c r="ABU236" s="8">
        <v>36564</v>
      </c>
      <c r="ABV236" s="8">
        <v>36574</v>
      </c>
      <c r="ABW236" s="5" t="s">
        <v>3850</v>
      </c>
      <c r="ABX236" s="6"/>
      <c r="ABY236" s="4"/>
      <c r="ABZ236" s="4"/>
      <c r="ACA236" s="4"/>
      <c r="ACB236" s="4"/>
      <c r="ACC236" s="4"/>
      <c r="ACD236" s="5"/>
      <c r="ACE236" s="6"/>
      <c r="ACF236" s="4"/>
      <c r="ACG236" s="4"/>
      <c r="ACH236" s="4"/>
      <c r="ACI236" s="4"/>
      <c r="ACJ236" s="4"/>
      <c r="ACK236" s="5"/>
      <c r="ACL236" s="6"/>
      <c r="ACM236" s="4"/>
      <c r="ACN236" s="4"/>
      <c r="ACO236" s="4"/>
      <c r="ACP236" s="4"/>
      <c r="ACQ236" s="4"/>
      <c r="ACR236" s="5"/>
      <c r="ACS236" s="6"/>
      <c r="ACT236" s="4"/>
      <c r="ACU236" s="4"/>
      <c r="ACV236" s="4"/>
      <c r="ACW236" s="4"/>
      <c r="ACX236" s="4"/>
      <c r="ACY236" s="5"/>
    </row>
    <row r="237" spans="2:805" x14ac:dyDescent="0.25">
      <c r="B237" s="49">
        <v>1000218</v>
      </c>
      <c r="C237">
        <v>45</v>
      </c>
      <c r="D237" t="s">
        <v>468</v>
      </c>
      <c r="E237" t="s">
        <v>412</v>
      </c>
      <c r="F237" s="23">
        <v>1</v>
      </c>
      <c r="H237" s="23" t="s">
        <v>330</v>
      </c>
      <c r="J237" s="12"/>
      <c r="K237" s="12"/>
      <c r="L237" s="12"/>
      <c r="M237">
        <v>1</v>
      </c>
      <c r="N237" s="17">
        <v>36172</v>
      </c>
      <c r="O237" t="s">
        <v>469</v>
      </c>
      <c r="AA237">
        <v>1</v>
      </c>
      <c r="BG237">
        <v>1</v>
      </c>
      <c r="LL237" s="6"/>
      <c r="LM237" s="4"/>
      <c r="LN237" s="4"/>
      <c r="LO237" s="4"/>
      <c r="LP237" s="4"/>
      <c r="LQ237" s="4"/>
      <c r="LR237" s="5"/>
      <c r="LS237" s="6"/>
      <c r="LT237" s="4"/>
      <c r="LU237" s="4"/>
      <c r="LV237" s="4"/>
      <c r="LW237" s="4"/>
      <c r="LX237" s="4"/>
      <c r="LY237" s="5"/>
      <c r="LZ237" s="6" t="s">
        <v>2983</v>
      </c>
      <c r="MA237" s="7" t="s">
        <v>2983</v>
      </c>
      <c r="MB237" s="4" t="s">
        <v>2660</v>
      </c>
      <c r="MC237" s="7" t="s">
        <v>2300</v>
      </c>
      <c r="MD237" s="8">
        <v>36163</v>
      </c>
      <c r="ME237" s="8">
        <v>36172</v>
      </c>
      <c r="MF237" s="8" t="s">
        <v>611</v>
      </c>
      <c r="MG237" s="5" t="s">
        <v>466</v>
      </c>
      <c r="MH237" s="6"/>
      <c r="MI237" s="4"/>
      <c r="MJ237" s="4"/>
      <c r="MK237" s="4"/>
      <c r="ML237" s="4"/>
      <c r="MM237" s="4"/>
      <c r="MN237" s="5"/>
      <c r="MO237" s="6"/>
      <c r="MP237" s="4"/>
      <c r="MQ237" s="4"/>
      <c r="MR237" s="4"/>
      <c r="MS237" s="4"/>
      <c r="MT237" s="4"/>
      <c r="MU237" s="5"/>
      <c r="MV237" s="6"/>
      <c r="MW237" s="4"/>
      <c r="MX237" s="4"/>
      <c r="MY237" s="4"/>
      <c r="MZ237" s="4"/>
      <c r="NA237" s="4"/>
      <c r="NB237" s="5"/>
      <c r="NC237" s="6" t="s">
        <v>2777</v>
      </c>
      <c r="ND237" s="4" t="s">
        <v>2777</v>
      </c>
      <c r="NE237" s="4" t="s">
        <v>2660</v>
      </c>
      <c r="NF237" s="7" t="s">
        <v>3901</v>
      </c>
      <c r="NG237" s="8">
        <v>36163</v>
      </c>
      <c r="NH237" s="8">
        <v>36170</v>
      </c>
      <c r="NI237" s="5" t="s">
        <v>474</v>
      </c>
      <c r="NJ237" s="6"/>
      <c r="NK237" s="4"/>
      <c r="NL237" s="4"/>
      <c r="NM237" s="4"/>
      <c r="NN237" s="4"/>
      <c r="NO237" s="4"/>
      <c r="NP237" s="5"/>
      <c r="NQ237" s="6"/>
      <c r="NR237" s="4"/>
      <c r="NS237" s="4"/>
      <c r="NT237" s="4"/>
      <c r="NU237" s="4"/>
      <c r="NV237" s="4"/>
      <c r="NW237" s="5"/>
      <c r="NX237" s="6"/>
      <c r="NY237" s="4"/>
      <c r="NZ237" s="4"/>
      <c r="OA237" s="4"/>
      <c r="OB237" s="4"/>
      <c r="OC237" s="4"/>
      <c r="OD237" s="5"/>
      <c r="OE237" s="6"/>
      <c r="OF237" s="4"/>
      <c r="OG237" s="4"/>
      <c r="OH237" s="4"/>
      <c r="OI237" s="4"/>
      <c r="OJ237" s="4"/>
      <c r="OK237" s="5"/>
      <c r="OL237" s="6"/>
      <c r="OM237" s="4"/>
      <c r="ON237" s="4"/>
      <c r="OO237" s="4"/>
      <c r="OP237" s="4"/>
      <c r="OQ237" s="4"/>
      <c r="OR237" s="5"/>
      <c r="OS237" s="6"/>
      <c r="OT237" s="4"/>
      <c r="OU237" s="4"/>
      <c r="OV237" s="4"/>
      <c r="OW237" s="4"/>
      <c r="OX237" s="4"/>
      <c r="OY237" s="5"/>
      <c r="OZ237" s="6"/>
      <c r="PA237" s="4"/>
      <c r="PB237" s="4"/>
      <c r="PC237" s="4"/>
      <c r="PD237" s="4"/>
      <c r="PE237" s="4"/>
      <c r="PF237" s="5"/>
      <c r="PG237" s="6"/>
      <c r="PH237" s="4"/>
      <c r="PI237" s="4"/>
      <c r="PJ237" s="4"/>
      <c r="PK237" s="4"/>
      <c r="PL237" s="4"/>
      <c r="PM237" s="5"/>
      <c r="PN237" s="6"/>
      <c r="PO237" s="4"/>
      <c r="PP237" s="4"/>
      <c r="PQ237" s="4"/>
      <c r="PR237" s="4"/>
      <c r="PS237" s="4"/>
      <c r="PT237" s="5"/>
      <c r="PU237" s="6"/>
      <c r="PV237" s="4"/>
      <c r="PW237" s="4"/>
      <c r="PX237" s="4"/>
      <c r="PY237" s="4"/>
      <c r="PZ237" s="4"/>
      <c r="QA237" s="5"/>
      <c r="QB237" s="6"/>
      <c r="QC237" s="4"/>
      <c r="QD237" s="4"/>
      <c r="QE237" s="4"/>
      <c r="QF237" s="4"/>
      <c r="QG237" s="4"/>
      <c r="QH237" s="5"/>
      <c r="QI237" s="6"/>
      <c r="QJ237" s="4"/>
      <c r="QK237" s="4"/>
      <c r="QL237" s="4"/>
      <c r="QM237" s="4"/>
      <c r="QN237" s="4"/>
      <c r="QO237" s="5"/>
      <c r="QP237" s="6"/>
      <c r="QQ237" s="4"/>
      <c r="QR237" s="4"/>
      <c r="QS237" s="4"/>
      <c r="QT237" s="4"/>
      <c r="QU237" s="4"/>
      <c r="QV237" s="5"/>
      <c r="QW237" s="6"/>
      <c r="QX237" s="4"/>
      <c r="QY237" s="4"/>
      <c r="QZ237" s="4"/>
      <c r="RA237" s="4"/>
      <c r="RB237" s="4"/>
      <c r="RC237" s="5"/>
      <c r="RD237" s="6"/>
      <c r="RE237" s="4"/>
      <c r="RF237" s="4"/>
      <c r="RG237" s="4"/>
      <c r="RH237" s="4"/>
      <c r="RI237" s="4"/>
      <c r="RJ237" s="5"/>
      <c r="RK237" s="6"/>
      <c r="RL237" s="4"/>
      <c r="RM237" s="4"/>
      <c r="RN237" s="4"/>
      <c r="RO237" s="4"/>
      <c r="RP237" s="4"/>
      <c r="RQ237" s="5"/>
      <c r="RR237" s="6"/>
      <c r="RS237" s="4"/>
      <c r="RT237" s="4"/>
      <c r="RU237" s="4"/>
      <c r="RV237" s="4"/>
      <c r="RW237" s="4"/>
      <c r="RX237" s="5"/>
      <c r="RY237" s="6"/>
      <c r="RZ237" s="4"/>
      <c r="SA237" s="4"/>
      <c r="SB237" s="4"/>
      <c r="SC237" s="4"/>
      <c r="SD237" s="4"/>
      <c r="SE237" s="5"/>
      <c r="SF237" s="6"/>
      <c r="SG237" s="4"/>
      <c r="SH237" s="4"/>
      <c r="SI237" s="4"/>
      <c r="SJ237" s="4"/>
      <c r="SK237" s="4"/>
      <c r="SL237" s="5"/>
      <c r="SM237" s="6"/>
      <c r="SN237" s="4"/>
      <c r="SO237" s="4"/>
      <c r="SP237" s="4"/>
      <c r="SQ237" s="4"/>
      <c r="SR237" s="4"/>
      <c r="SS237" s="5"/>
      <c r="ST237" s="6"/>
      <c r="SU237" s="4"/>
      <c r="SV237" s="4"/>
      <c r="SW237" s="4"/>
      <c r="SX237" s="4"/>
      <c r="SY237" s="4"/>
      <c r="SZ237" s="5"/>
      <c r="TA237" s="6"/>
      <c r="TB237" s="4"/>
      <c r="TC237" s="4"/>
      <c r="TD237" s="4"/>
      <c r="TE237" s="4"/>
      <c r="TF237" s="4"/>
      <c r="TG237" s="5"/>
      <c r="TH237" s="6"/>
      <c r="TI237" s="4"/>
      <c r="TJ237" s="4"/>
      <c r="TK237" s="4"/>
      <c r="TL237" s="4"/>
      <c r="TM237" s="4"/>
      <c r="TN237" s="5"/>
      <c r="TO237" s="6"/>
      <c r="TP237" s="4"/>
      <c r="TQ237" s="4"/>
      <c r="TR237" s="4"/>
      <c r="TS237" s="4"/>
      <c r="TT237" s="4"/>
      <c r="TU237" s="5"/>
      <c r="TV237" s="6"/>
      <c r="TW237" s="4"/>
      <c r="TX237" s="4"/>
      <c r="TY237" s="4"/>
      <c r="TZ237" s="4"/>
      <c r="UA237" s="4"/>
      <c r="UB237" s="5"/>
      <c r="UC237" s="6"/>
      <c r="UD237" s="4"/>
      <c r="UE237" s="4"/>
      <c r="UF237" s="4"/>
      <c r="UG237" s="4"/>
      <c r="UH237" s="4"/>
      <c r="UI237" s="5"/>
      <c r="UJ237" s="6"/>
      <c r="UK237" s="4"/>
      <c r="UL237" s="4"/>
      <c r="UM237" s="4"/>
      <c r="UN237" s="4"/>
      <c r="UO237" s="4"/>
      <c r="UP237" s="5"/>
      <c r="UQ237" s="6"/>
      <c r="UR237" s="4"/>
      <c r="US237" s="4"/>
      <c r="UT237" s="4"/>
      <c r="UU237" s="4"/>
      <c r="UV237" s="4"/>
      <c r="UW237" s="5"/>
      <c r="UX237" s="6"/>
      <c r="UY237" s="4"/>
      <c r="UZ237" s="4"/>
      <c r="VA237" s="4"/>
      <c r="VB237" s="4"/>
      <c r="VC237" s="4"/>
      <c r="VD237" s="5"/>
      <c r="VE237" s="6"/>
      <c r="VF237" s="4"/>
      <c r="VG237" s="4"/>
      <c r="VH237" s="4"/>
      <c r="VI237" s="4"/>
      <c r="VJ237" s="4"/>
      <c r="VK237" s="5"/>
      <c r="VL237" s="6"/>
      <c r="VM237" s="4"/>
      <c r="VN237" s="4"/>
      <c r="VO237" s="4"/>
      <c r="VP237" s="4"/>
      <c r="VQ237" s="4"/>
      <c r="VR237" s="5"/>
      <c r="VS237" s="6"/>
      <c r="VT237" s="4"/>
      <c r="VU237" s="4"/>
      <c r="VV237" s="4"/>
      <c r="VW237" s="4"/>
      <c r="VX237" s="4"/>
      <c r="VY237" s="5"/>
      <c r="VZ237" s="6"/>
      <c r="WA237" s="4"/>
      <c r="WB237" s="4"/>
      <c r="WC237" s="4"/>
      <c r="WD237" s="4"/>
      <c r="WE237" s="4"/>
      <c r="WF237" s="5"/>
      <c r="WG237" s="6"/>
      <c r="WH237" s="4"/>
      <c r="WI237" s="4"/>
      <c r="WJ237" s="4"/>
      <c r="WK237" s="4"/>
      <c r="WL237" s="4"/>
      <c r="WM237" s="5"/>
      <c r="WN237" s="6"/>
      <c r="WO237" s="4"/>
      <c r="WP237" s="4"/>
      <c r="WQ237" s="4"/>
      <c r="WR237" s="4"/>
      <c r="WS237" s="4"/>
      <c r="WT237" s="5"/>
      <c r="WU237" s="6"/>
      <c r="WV237" s="4"/>
      <c r="WW237" s="4"/>
      <c r="WX237" s="4"/>
      <c r="WY237" s="4"/>
      <c r="WZ237" s="4"/>
      <c r="XA237" s="5"/>
      <c r="XB237" s="6"/>
      <c r="XC237" s="4"/>
      <c r="XD237" s="4"/>
      <c r="XE237" s="4"/>
      <c r="XF237" s="4"/>
      <c r="XG237" s="4"/>
      <c r="XH237" s="5"/>
      <c r="XI237" s="6"/>
      <c r="XJ237" s="4"/>
      <c r="XK237" s="4"/>
      <c r="XL237" s="4"/>
      <c r="XM237" s="4"/>
      <c r="XN237" s="4"/>
      <c r="XO237" s="5"/>
      <c r="XP237" s="6"/>
      <c r="XQ237" s="4"/>
      <c r="XR237" s="4"/>
      <c r="XS237" s="4"/>
      <c r="XT237" s="4"/>
      <c r="XU237" s="4"/>
      <c r="XV237" s="5"/>
      <c r="XW237" s="6"/>
      <c r="XX237" s="4"/>
      <c r="XY237" s="4"/>
      <c r="XZ237" s="4"/>
      <c r="YA237" s="4"/>
      <c r="YB237" s="4"/>
      <c r="YC237" s="5"/>
      <c r="YD237" s="6"/>
      <c r="YE237" s="4"/>
      <c r="YF237" s="4"/>
      <c r="YG237" s="4"/>
      <c r="YH237" s="4"/>
      <c r="YI237" s="4"/>
      <c r="YJ237" s="5"/>
      <c r="YK237" s="6"/>
      <c r="YL237" s="4"/>
      <c r="YM237" s="4"/>
      <c r="YN237" s="4"/>
      <c r="YO237" s="4"/>
      <c r="YP237" s="4"/>
      <c r="YQ237" s="5"/>
      <c r="YR237" s="6"/>
      <c r="YS237" s="4"/>
      <c r="YT237" s="4"/>
      <c r="YU237" s="4"/>
      <c r="YV237" s="4"/>
      <c r="YW237" s="4"/>
      <c r="YX237" s="5"/>
      <c r="YY237" s="6"/>
      <c r="YZ237" s="4"/>
      <c r="ZA237" s="4"/>
      <c r="ZB237" s="4"/>
      <c r="ZC237" s="4"/>
      <c r="ZD237" s="4"/>
      <c r="ZE237" s="5"/>
      <c r="ZF237" s="6"/>
      <c r="ZG237" s="4"/>
      <c r="ZH237" s="4"/>
      <c r="ZI237" s="4"/>
      <c r="ZJ237" s="4"/>
      <c r="ZK237" s="4"/>
      <c r="ZL237" s="5"/>
      <c r="ZM237" s="6"/>
      <c r="ZN237" s="4"/>
      <c r="ZO237" s="4"/>
      <c r="ZP237" s="4"/>
      <c r="ZQ237" s="4"/>
      <c r="ZR237" s="4"/>
      <c r="ZS237" s="5"/>
      <c r="ZT237" s="6"/>
      <c r="ZU237" s="4"/>
      <c r="ZV237" s="4"/>
      <c r="ZW237" s="4"/>
      <c r="ZX237" s="4"/>
      <c r="ZY237" s="4"/>
      <c r="ZZ237" s="5"/>
      <c r="AAA237" s="6"/>
      <c r="AAB237" s="4"/>
      <c r="AAC237" s="4"/>
      <c r="AAD237" s="4"/>
      <c r="AAE237" s="4"/>
      <c r="AAF237" s="4"/>
      <c r="AAG237" s="5"/>
      <c r="AAH237" s="6"/>
      <c r="AAI237" s="4"/>
      <c r="AAJ237" s="4"/>
      <c r="AAK237" s="4"/>
      <c r="AAL237" s="4"/>
      <c r="AAM237" s="4"/>
      <c r="AAN237" s="5"/>
      <c r="AAO237" s="6"/>
      <c r="AAP237" s="4"/>
      <c r="AAQ237" s="4"/>
      <c r="AAR237" s="4"/>
      <c r="AAS237" s="4"/>
      <c r="AAT237" s="4"/>
      <c r="AAU237" s="5"/>
      <c r="AAV237" s="6"/>
      <c r="AAW237" s="4"/>
      <c r="AAX237" s="4"/>
      <c r="AAY237" s="4"/>
      <c r="AAZ237" s="4"/>
      <c r="ABA237" s="4"/>
      <c r="ABB237" s="5"/>
      <c r="ABC237" s="6"/>
      <c r="ABD237" s="4"/>
      <c r="ABE237" s="4"/>
      <c r="ABF237" s="4"/>
      <c r="ABG237" s="4"/>
      <c r="ABH237" s="4"/>
      <c r="ABI237" s="5"/>
      <c r="ABJ237" s="6" t="s">
        <v>886</v>
      </c>
      <c r="ABK237" s="4" t="s">
        <v>1018</v>
      </c>
      <c r="ABL237" s="4" t="s">
        <v>2660</v>
      </c>
      <c r="ABM237" s="7" t="s">
        <v>2300</v>
      </c>
      <c r="ABN237" s="8">
        <v>36163</v>
      </c>
      <c r="ABO237" s="8">
        <v>36172</v>
      </c>
      <c r="ABP237" s="5" t="s">
        <v>476</v>
      </c>
      <c r="ABQ237" s="6"/>
      <c r="ABR237" s="4"/>
      <c r="ABS237" s="4"/>
      <c r="ABT237" s="4"/>
      <c r="ABU237" s="4"/>
      <c r="ABV237" s="4"/>
      <c r="ABW237" s="5"/>
      <c r="ABX237" s="6"/>
      <c r="ABY237" s="4"/>
      <c r="ABZ237" s="4"/>
      <c r="ACA237" s="4"/>
      <c r="ACB237" s="4"/>
      <c r="ACC237" s="4"/>
      <c r="ACD237" s="5"/>
      <c r="ACE237" s="6"/>
      <c r="ACF237" s="4"/>
      <c r="ACG237" s="4"/>
      <c r="ACH237" s="4"/>
      <c r="ACI237" s="4"/>
      <c r="ACJ237" s="4"/>
      <c r="ACK237" s="5"/>
      <c r="ACL237" s="6"/>
      <c r="ACM237" s="4"/>
      <c r="ACN237" s="4"/>
      <c r="ACO237" s="4"/>
      <c r="ACP237" s="4"/>
      <c r="ACQ237" s="4"/>
      <c r="ACR237" s="5"/>
      <c r="ACS237" s="6"/>
      <c r="ACT237" s="4"/>
      <c r="ACU237" s="4"/>
      <c r="ACV237" s="4"/>
      <c r="ACW237" s="4"/>
      <c r="ACX237" s="4"/>
      <c r="ACY237" s="5"/>
      <c r="ADG237" t="s">
        <v>478</v>
      </c>
      <c r="ADM237" t="s">
        <v>479</v>
      </c>
      <c r="ADV237" t="s">
        <v>477</v>
      </c>
    </row>
    <row r="238" spans="2:805" x14ac:dyDescent="0.25">
      <c r="B238" s="30"/>
      <c r="J238" s="12"/>
      <c r="K238" s="12"/>
      <c r="L238" s="12"/>
      <c r="LL238" s="6"/>
      <c r="LM238" s="4"/>
      <c r="LN238" s="4"/>
      <c r="LO238" s="4"/>
      <c r="LP238" s="4"/>
      <c r="LQ238" s="4"/>
      <c r="LR238" s="5"/>
      <c r="LS238" s="6"/>
      <c r="LT238" s="4"/>
      <c r="LU238" s="4"/>
      <c r="LV238" s="4"/>
      <c r="LW238" s="4"/>
      <c r="LX238" s="4"/>
      <c r="LY238" s="5"/>
      <c r="LZ238" s="6"/>
      <c r="MA238" s="7"/>
      <c r="MB238" s="4"/>
      <c r="MC238" s="7"/>
      <c r="MD238" s="8"/>
      <c r="ME238" s="8"/>
      <c r="MF238" s="8"/>
      <c r="MG238" s="5"/>
      <c r="MH238" s="6"/>
      <c r="MI238" s="4"/>
      <c r="MJ238" s="4"/>
      <c r="MK238" s="4"/>
      <c r="ML238" s="4"/>
      <c r="MM238" s="4"/>
      <c r="MN238" s="5"/>
      <c r="MO238" s="6"/>
      <c r="MP238" s="4"/>
      <c r="MQ238" s="4"/>
      <c r="MR238" s="4"/>
      <c r="MS238" s="4"/>
      <c r="MT238" s="4"/>
      <c r="MU238" s="5"/>
      <c r="MV238" s="6"/>
      <c r="MW238" s="4"/>
      <c r="MX238" s="4"/>
      <c r="MY238" s="4"/>
      <c r="MZ238" s="4"/>
      <c r="NA238" s="4"/>
      <c r="NB238" s="5"/>
      <c r="NC238" s="6" t="s">
        <v>1019</v>
      </c>
      <c r="ND238" s="7" t="s">
        <v>1019</v>
      </c>
      <c r="NE238" s="4" t="s">
        <v>2660</v>
      </c>
      <c r="NF238" s="7" t="s">
        <v>2661</v>
      </c>
      <c r="NG238" s="8">
        <v>36151</v>
      </c>
      <c r="NH238" s="8">
        <v>36164</v>
      </c>
      <c r="NI238" s="5" t="s">
        <v>475</v>
      </c>
      <c r="NJ238" s="6"/>
      <c r="NK238" s="4"/>
      <c r="NL238" s="4"/>
      <c r="NM238" s="4"/>
      <c r="NN238" s="4"/>
      <c r="NO238" s="4"/>
      <c r="NP238" s="5"/>
      <c r="NQ238" s="6"/>
      <c r="NR238" s="4"/>
      <c r="NS238" s="4"/>
      <c r="NT238" s="4"/>
      <c r="NU238" s="4"/>
      <c r="NV238" s="4"/>
      <c r="NW238" s="5"/>
      <c r="NX238" s="6"/>
      <c r="NY238" s="4"/>
      <c r="NZ238" s="4"/>
      <c r="OA238" s="4"/>
      <c r="OB238" s="4"/>
      <c r="OC238" s="4"/>
      <c r="OD238" s="5"/>
      <c r="OE238" s="6"/>
      <c r="OF238" s="4"/>
      <c r="OG238" s="4"/>
      <c r="OH238" s="4"/>
      <c r="OI238" s="4"/>
      <c r="OJ238" s="4"/>
      <c r="OK238" s="5"/>
      <c r="OL238" s="6"/>
      <c r="OM238" s="4"/>
      <c r="ON238" s="4"/>
      <c r="OO238" s="4"/>
      <c r="OP238" s="4"/>
      <c r="OQ238" s="4"/>
      <c r="OR238" s="5"/>
      <c r="OS238" s="6"/>
      <c r="OT238" s="4"/>
      <c r="OU238" s="4"/>
      <c r="OV238" s="4"/>
      <c r="OW238" s="4"/>
      <c r="OX238" s="4"/>
      <c r="OY238" s="5"/>
      <c r="OZ238" s="6"/>
      <c r="PA238" s="4"/>
      <c r="PB238" s="4"/>
      <c r="PC238" s="4"/>
      <c r="PD238" s="4"/>
      <c r="PE238" s="4"/>
      <c r="PF238" s="5"/>
      <c r="PG238" s="6"/>
      <c r="PH238" s="4"/>
      <c r="PI238" s="4"/>
      <c r="PJ238" s="4"/>
      <c r="PK238" s="4"/>
      <c r="PL238" s="4"/>
      <c r="PM238" s="5"/>
      <c r="PN238" s="6"/>
      <c r="PO238" s="4"/>
      <c r="PP238" s="4"/>
      <c r="PQ238" s="4"/>
      <c r="PR238" s="4"/>
      <c r="PS238" s="4"/>
      <c r="PT238" s="5"/>
      <c r="PU238" s="6"/>
      <c r="PV238" s="4"/>
      <c r="PW238" s="4"/>
      <c r="PX238" s="4"/>
      <c r="PY238" s="4"/>
      <c r="PZ238" s="4"/>
      <c r="QA238" s="5"/>
      <c r="QB238" s="6"/>
      <c r="QC238" s="4"/>
      <c r="QD238" s="4"/>
      <c r="QE238" s="4"/>
      <c r="QF238" s="4"/>
      <c r="QG238" s="4"/>
      <c r="QH238" s="5"/>
      <c r="QI238" s="6"/>
      <c r="QJ238" s="4"/>
      <c r="QK238" s="4"/>
      <c r="QL238" s="4"/>
      <c r="QM238" s="4"/>
      <c r="QN238" s="4"/>
      <c r="QO238" s="5"/>
      <c r="QP238" s="6"/>
      <c r="QQ238" s="4"/>
      <c r="QR238" s="4"/>
      <c r="QS238" s="4"/>
      <c r="QT238" s="4"/>
      <c r="QU238" s="4"/>
      <c r="QV238" s="5"/>
      <c r="QW238" s="6"/>
      <c r="QX238" s="4"/>
      <c r="QY238" s="4"/>
      <c r="QZ238" s="4"/>
      <c r="RA238" s="4"/>
      <c r="RB238" s="4"/>
      <c r="RC238" s="5"/>
      <c r="RD238" s="6"/>
      <c r="RE238" s="4"/>
      <c r="RF238" s="4"/>
      <c r="RG238" s="4"/>
      <c r="RH238" s="4"/>
      <c r="RI238" s="4"/>
      <c r="RJ238" s="5"/>
      <c r="RK238" s="6"/>
      <c r="RL238" s="4"/>
      <c r="RM238" s="4"/>
      <c r="RN238" s="4"/>
      <c r="RO238" s="4"/>
      <c r="RP238" s="4"/>
      <c r="RQ238" s="5"/>
      <c r="RR238" s="6"/>
      <c r="RS238" s="4"/>
      <c r="RT238" s="4"/>
      <c r="RU238" s="4"/>
      <c r="RV238" s="4"/>
      <c r="RW238" s="4"/>
      <c r="RX238" s="5"/>
      <c r="RY238" s="6"/>
      <c r="RZ238" s="4"/>
      <c r="SA238" s="4"/>
      <c r="SB238" s="4"/>
      <c r="SC238" s="4"/>
      <c r="SD238" s="4"/>
      <c r="SE238" s="5"/>
      <c r="SF238" s="6"/>
      <c r="SG238" s="4"/>
      <c r="SH238" s="4"/>
      <c r="SI238" s="4"/>
      <c r="SJ238" s="4"/>
      <c r="SK238" s="4"/>
      <c r="SL238" s="5"/>
      <c r="SM238" s="6"/>
      <c r="SN238" s="4"/>
      <c r="SO238" s="4"/>
      <c r="SP238" s="4"/>
      <c r="SQ238" s="4"/>
      <c r="SR238" s="4"/>
      <c r="SS238" s="5"/>
      <c r="ST238" s="6"/>
      <c r="SU238" s="4"/>
      <c r="SV238" s="4"/>
      <c r="SW238" s="4"/>
      <c r="SX238" s="4"/>
      <c r="SY238" s="4"/>
      <c r="SZ238" s="5"/>
      <c r="TA238" s="6"/>
      <c r="TB238" s="4"/>
      <c r="TC238" s="4"/>
      <c r="TD238" s="4"/>
      <c r="TE238" s="4"/>
      <c r="TF238" s="4"/>
      <c r="TG238" s="5"/>
      <c r="TH238" s="6"/>
      <c r="TI238" s="4"/>
      <c r="TJ238" s="4"/>
      <c r="TK238" s="4"/>
      <c r="TL238" s="4"/>
      <c r="TM238" s="4"/>
      <c r="TN238" s="5"/>
      <c r="TO238" s="6"/>
      <c r="TP238" s="4"/>
      <c r="TQ238" s="4"/>
      <c r="TR238" s="4"/>
      <c r="TS238" s="4"/>
      <c r="TT238" s="4"/>
      <c r="TU238" s="5"/>
      <c r="TV238" s="6"/>
      <c r="TW238" s="4"/>
      <c r="TX238" s="4"/>
      <c r="TY238" s="4"/>
      <c r="TZ238" s="4"/>
      <c r="UA238" s="4"/>
      <c r="UB238" s="5"/>
      <c r="UC238" s="6"/>
      <c r="UD238" s="4"/>
      <c r="UE238" s="4"/>
      <c r="UF238" s="4"/>
      <c r="UG238" s="4"/>
      <c r="UH238" s="4"/>
      <c r="UI238" s="5"/>
      <c r="UJ238" s="6"/>
      <c r="UK238" s="4"/>
      <c r="UL238" s="4"/>
      <c r="UM238" s="4"/>
      <c r="UN238" s="4"/>
      <c r="UO238" s="4"/>
      <c r="UP238" s="5"/>
      <c r="UQ238" s="6"/>
      <c r="UR238" s="4"/>
      <c r="US238" s="4"/>
      <c r="UT238" s="4"/>
      <c r="UU238" s="4"/>
      <c r="UV238" s="4"/>
      <c r="UW238" s="5"/>
      <c r="UX238" s="6"/>
      <c r="UY238" s="4"/>
      <c r="UZ238" s="4"/>
      <c r="VA238" s="4"/>
      <c r="VB238" s="4"/>
      <c r="VC238" s="4"/>
      <c r="VD238" s="5"/>
      <c r="VE238" s="6"/>
      <c r="VF238" s="4"/>
      <c r="VG238" s="4"/>
      <c r="VH238" s="4"/>
      <c r="VI238" s="4"/>
      <c r="VJ238" s="4"/>
      <c r="VK238" s="5"/>
      <c r="VL238" s="6"/>
      <c r="VM238" s="4"/>
      <c r="VN238" s="4"/>
      <c r="VO238" s="4"/>
      <c r="VP238" s="4"/>
      <c r="VQ238" s="4"/>
      <c r="VR238" s="5"/>
      <c r="VS238" s="6"/>
      <c r="VT238" s="4"/>
      <c r="VU238" s="4"/>
      <c r="VV238" s="4"/>
      <c r="VW238" s="4"/>
      <c r="VX238" s="4"/>
      <c r="VY238" s="5"/>
      <c r="VZ238" s="6"/>
      <c r="WA238" s="4"/>
      <c r="WB238" s="4"/>
      <c r="WC238" s="4"/>
      <c r="WD238" s="4"/>
      <c r="WE238" s="4"/>
      <c r="WF238" s="5"/>
      <c r="WG238" s="6"/>
      <c r="WH238" s="4"/>
      <c r="WI238" s="4"/>
      <c r="WJ238" s="4"/>
      <c r="WK238" s="4"/>
      <c r="WL238" s="4"/>
      <c r="WM238" s="5"/>
      <c r="WN238" s="6"/>
      <c r="WO238" s="4"/>
      <c r="WP238" s="4"/>
      <c r="WQ238" s="4"/>
      <c r="WR238" s="4"/>
      <c r="WS238" s="4"/>
      <c r="WT238" s="5"/>
      <c r="WU238" s="6"/>
      <c r="WV238" s="4"/>
      <c r="WW238" s="4"/>
      <c r="WX238" s="4"/>
      <c r="WY238" s="4"/>
      <c r="WZ238" s="4"/>
      <c r="XA238" s="5"/>
      <c r="XB238" s="6"/>
      <c r="XC238" s="4"/>
      <c r="XD238" s="4"/>
      <c r="XE238" s="4"/>
      <c r="XF238" s="4"/>
      <c r="XG238" s="4"/>
      <c r="XH238" s="5"/>
      <c r="XI238" s="6"/>
      <c r="XJ238" s="4"/>
      <c r="XK238" s="4"/>
      <c r="XL238" s="4"/>
      <c r="XM238" s="4"/>
      <c r="XN238" s="4"/>
      <c r="XO238" s="5"/>
      <c r="XP238" s="6"/>
      <c r="XQ238" s="4"/>
      <c r="XR238" s="4"/>
      <c r="XS238" s="4"/>
      <c r="XT238" s="4"/>
      <c r="XU238" s="4"/>
      <c r="XV238" s="5"/>
      <c r="XW238" s="6"/>
      <c r="XX238" s="4"/>
      <c r="XY238" s="4"/>
      <c r="XZ238" s="4"/>
      <c r="YA238" s="4"/>
      <c r="YB238" s="4"/>
      <c r="YC238" s="5"/>
      <c r="YD238" s="6"/>
      <c r="YE238" s="4"/>
      <c r="YF238" s="4"/>
      <c r="YG238" s="4"/>
      <c r="YH238" s="4"/>
      <c r="YI238" s="4"/>
      <c r="YJ238" s="5"/>
      <c r="YK238" s="6"/>
      <c r="YL238" s="4"/>
      <c r="YM238" s="4"/>
      <c r="YN238" s="4"/>
      <c r="YO238" s="4"/>
      <c r="YP238" s="4"/>
      <c r="YQ238" s="5"/>
      <c r="YR238" s="6"/>
      <c r="YS238" s="4"/>
      <c r="YT238" s="4"/>
      <c r="YU238" s="4"/>
      <c r="YV238" s="4"/>
      <c r="YW238" s="4"/>
      <c r="YX238" s="5"/>
      <c r="YY238" s="6"/>
      <c r="YZ238" s="4"/>
      <c r="ZA238" s="4"/>
      <c r="ZB238" s="4"/>
      <c r="ZC238" s="4"/>
      <c r="ZD238" s="4"/>
      <c r="ZE238" s="5"/>
      <c r="ZF238" s="6"/>
      <c r="ZG238" s="4"/>
      <c r="ZH238" s="4"/>
      <c r="ZI238" s="4"/>
      <c r="ZJ238" s="4"/>
      <c r="ZK238" s="4"/>
      <c r="ZL238" s="5"/>
      <c r="ZM238" s="6"/>
      <c r="ZN238" s="4"/>
      <c r="ZO238" s="4"/>
      <c r="ZP238" s="4"/>
      <c r="ZQ238" s="4"/>
      <c r="ZR238" s="4"/>
      <c r="ZS238" s="5"/>
      <c r="ZT238" s="6"/>
      <c r="ZU238" s="4"/>
      <c r="ZV238" s="4"/>
      <c r="ZW238" s="4"/>
      <c r="ZX238" s="4"/>
      <c r="ZY238" s="4"/>
      <c r="ZZ238" s="5"/>
      <c r="AAA238" s="6"/>
      <c r="AAB238" s="4"/>
      <c r="AAC238" s="4"/>
      <c r="AAD238" s="4"/>
      <c r="AAE238" s="4"/>
      <c r="AAF238" s="4"/>
      <c r="AAG238" s="5"/>
      <c r="AAH238" s="6"/>
      <c r="AAI238" s="4"/>
      <c r="AAJ238" s="4"/>
      <c r="AAK238" s="4"/>
      <c r="AAL238" s="4"/>
      <c r="AAM238" s="4"/>
      <c r="AAN238" s="5"/>
      <c r="AAO238" s="6"/>
      <c r="AAP238" s="4"/>
      <c r="AAQ238" s="4"/>
      <c r="AAR238" s="4"/>
      <c r="AAS238" s="4"/>
      <c r="AAT238" s="4"/>
      <c r="AAU238" s="5"/>
      <c r="AAV238" s="6"/>
      <c r="AAW238" s="4"/>
      <c r="AAX238" s="4"/>
      <c r="AAY238" s="4"/>
      <c r="AAZ238" s="4"/>
      <c r="ABA238" s="4"/>
      <c r="ABB238" s="5"/>
      <c r="ABC238" s="6"/>
      <c r="ABD238" s="4"/>
      <c r="ABE238" s="4"/>
      <c r="ABF238" s="4"/>
      <c r="ABG238" s="4"/>
      <c r="ABH238" s="4"/>
      <c r="ABI238" s="5"/>
      <c r="ABJ238" s="6"/>
      <c r="ABK238" s="4"/>
      <c r="ABL238" s="4"/>
      <c r="ABM238" s="4"/>
      <c r="ABN238" s="4"/>
      <c r="ABO238" s="4"/>
      <c r="ABP238" s="5"/>
      <c r="ABQ238" s="6"/>
      <c r="ABR238" s="4"/>
      <c r="ABS238" s="4"/>
      <c r="ABT238" s="4"/>
      <c r="ABU238" s="4"/>
      <c r="ABV238" s="4"/>
      <c r="ABW238" s="5"/>
      <c r="ABX238" s="6"/>
      <c r="ABY238" s="4"/>
      <c r="ABZ238" s="4"/>
      <c r="ACA238" s="4"/>
      <c r="ACB238" s="4"/>
      <c r="ACC238" s="4"/>
      <c r="ACD238" s="5"/>
      <c r="ACE238" s="6"/>
      <c r="ACF238" s="4"/>
      <c r="ACG238" s="4"/>
      <c r="ACH238" s="4"/>
      <c r="ACI238" s="4"/>
      <c r="ACJ238" s="4"/>
      <c r="ACK238" s="5"/>
      <c r="ACL238" s="6"/>
      <c r="ACM238" s="4"/>
      <c r="ACN238" s="4"/>
      <c r="ACO238" s="4"/>
      <c r="ACP238" s="4"/>
      <c r="ACQ238" s="4"/>
      <c r="ACR238" s="5"/>
      <c r="ACS238" s="6"/>
      <c r="ACT238" s="4"/>
      <c r="ACU238" s="4"/>
      <c r="ACV238" s="4"/>
      <c r="ACW238" s="4"/>
      <c r="ACX238" s="4"/>
      <c r="ACY238" s="5"/>
    </row>
    <row r="239" spans="2:805" x14ac:dyDescent="0.25">
      <c r="B239" s="29">
        <v>1004540</v>
      </c>
      <c r="C239">
        <v>33</v>
      </c>
      <c r="D239" t="s">
        <v>2121</v>
      </c>
      <c r="F239" s="23">
        <v>0</v>
      </c>
      <c r="I239">
        <v>1</v>
      </c>
      <c r="J239" s="28">
        <v>36586</v>
      </c>
      <c r="K239" s="28"/>
      <c r="L239" s="28"/>
      <c r="LL239" s="6"/>
      <c r="LM239" s="4"/>
      <c r="LN239" s="4"/>
      <c r="LO239" s="4"/>
      <c r="LP239" s="4"/>
      <c r="LQ239" s="4"/>
      <c r="LR239" s="5"/>
      <c r="LS239" s="6"/>
      <c r="LT239" s="4"/>
      <c r="LU239" s="4"/>
      <c r="LV239" s="4"/>
      <c r="LW239" s="4"/>
      <c r="LX239" s="4"/>
      <c r="LY239" s="5"/>
      <c r="LZ239" s="6" t="s">
        <v>3385</v>
      </c>
      <c r="MA239" s="7" t="s">
        <v>3050</v>
      </c>
      <c r="MB239" s="4"/>
      <c r="MC239" s="4"/>
      <c r="MD239" s="8"/>
      <c r="ME239" s="4"/>
      <c r="MF239" s="4" t="s">
        <v>3787</v>
      </c>
      <c r="MG239" s="5" t="s">
        <v>3851</v>
      </c>
      <c r="MH239" s="6"/>
      <c r="MI239" s="4"/>
      <c r="MJ239" s="4"/>
      <c r="MK239" s="4"/>
      <c r="ML239" s="4"/>
      <c r="MM239" s="4"/>
      <c r="MN239" s="5"/>
      <c r="MO239" s="6"/>
      <c r="MP239" s="4"/>
      <c r="MQ239" s="4"/>
      <c r="MR239" s="4"/>
      <c r="MS239" s="4"/>
      <c r="MT239" s="4"/>
      <c r="MU239" s="5"/>
      <c r="MV239" s="6"/>
      <c r="MW239" s="4"/>
      <c r="MX239" s="4"/>
      <c r="MY239" s="4"/>
      <c r="MZ239" s="4"/>
      <c r="NA239" s="4"/>
      <c r="NB239" s="5"/>
      <c r="NC239" s="6"/>
      <c r="ND239" s="4"/>
      <c r="NE239" s="4"/>
      <c r="NF239" s="4"/>
      <c r="NG239" s="4"/>
      <c r="NH239" s="4"/>
      <c r="NI239" s="5"/>
      <c r="NJ239" s="6"/>
      <c r="NK239" s="4"/>
      <c r="NL239" s="4"/>
      <c r="NM239" s="4"/>
      <c r="NN239" s="4"/>
      <c r="NO239" s="4"/>
      <c r="NP239" s="5"/>
      <c r="NQ239" s="6"/>
      <c r="NR239" s="4"/>
      <c r="NS239" s="4"/>
      <c r="NT239" s="4"/>
      <c r="NU239" s="4"/>
      <c r="NV239" s="4"/>
      <c r="NW239" s="5"/>
      <c r="NX239" s="6"/>
      <c r="NY239" s="4"/>
      <c r="NZ239" s="4"/>
      <c r="OA239" s="4"/>
      <c r="OB239" s="4"/>
      <c r="OC239" s="4"/>
      <c r="OD239" s="5"/>
      <c r="OE239" s="6"/>
      <c r="OF239" s="4"/>
      <c r="OG239" s="4"/>
      <c r="OH239" s="4"/>
      <c r="OI239" s="4"/>
      <c r="OJ239" s="4"/>
      <c r="OK239" s="5"/>
      <c r="OL239" s="6"/>
      <c r="OM239" s="4"/>
      <c r="ON239" s="4"/>
      <c r="OO239" s="4"/>
      <c r="OP239" s="4"/>
      <c r="OQ239" s="4"/>
      <c r="OR239" s="5"/>
      <c r="OS239" s="6"/>
      <c r="OT239" s="4"/>
      <c r="OU239" s="4"/>
      <c r="OV239" s="4"/>
      <c r="OW239" s="4"/>
      <c r="OX239" s="4"/>
      <c r="OY239" s="5"/>
      <c r="OZ239" s="6"/>
      <c r="PA239" s="4"/>
      <c r="PB239" s="4"/>
      <c r="PC239" s="4"/>
      <c r="PD239" s="4"/>
      <c r="PE239" s="4"/>
      <c r="PF239" s="5"/>
      <c r="PG239" s="6"/>
      <c r="PH239" s="4"/>
      <c r="PI239" s="4"/>
      <c r="PJ239" s="4"/>
      <c r="PK239" s="4"/>
      <c r="PL239" s="4"/>
      <c r="PM239" s="5"/>
      <c r="PN239" s="6"/>
      <c r="PO239" s="4"/>
      <c r="PP239" s="4"/>
      <c r="PQ239" s="4"/>
      <c r="PR239" s="4"/>
      <c r="PS239" s="4"/>
      <c r="PT239" s="5"/>
      <c r="PU239" s="6"/>
      <c r="PV239" s="4"/>
      <c r="PW239" s="4"/>
      <c r="PX239" s="4"/>
      <c r="PY239" s="4"/>
      <c r="PZ239" s="4"/>
      <c r="QA239" s="5"/>
      <c r="QB239" s="6"/>
      <c r="QC239" s="4"/>
      <c r="QD239" s="4"/>
      <c r="QE239" s="4"/>
      <c r="QF239" s="4"/>
      <c r="QG239" s="4"/>
      <c r="QH239" s="5"/>
      <c r="QI239" s="6"/>
      <c r="QJ239" s="4"/>
      <c r="QK239" s="4"/>
      <c r="QL239" s="4"/>
      <c r="QM239" s="4"/>
      <c r="QN239" s="4"/>
      <c r="QO239" s="5"/>
      <c r="QP239" s="6"/>
      <c r="QQ239" s="4"/>
      <c r="QR239" s="4"/>
      <c r="QS239" s="4"/>
      <c r="QT239" s="4"/>
      <c r="QU239" s="4"/>
      <c r="QV239" s="5"/>
      <c r="QW239" s="6"/>
      <c r="QX239" s="4"/>
      <c r="QY239" s="4"/>
      <c r="QZ239" s="4"/>
      <c r="RA239" s="4"/>
      <c r="RB239" s="4"/>
      <c r="RC239" s="5"/>
      <c r="RD239" s="6"/>
      <c r="RE239" s="4"/>
      <c r="RF239" s="4"/>
      <c r="RG239" s="4"/>
      <c r="RH239" s="4"/>
      <c r="RI239" s="4"/>
      <c r="RJ239" s="5"/>
      <c r="RK239" s="6"/>
      <c r="RL239" s="4"/>
      <c r="RM239" s="4"/>
      <c r="RN239" s="4"/>
      <c r="RO239" s="4"/>
      <c r="RP239" s="4"/>
      <c r="RQ239" s="5"/>
      <c r="RR239" s="6"/>
      <c r="RS239" s="4"/>
      <c r="RT239" s="4"/>
      <c r="RU239" s="4"/>
      <c r="RV239" s="4"/>
      <c r="RW239" s="4"/>
      <c r="RX239" s="5"/>
      <c r="RY239" s="6"/>
      <c r="RZ239" s="4"/>
      <c r="SA239" s="4"/>
      <c r="SB239" s="4"/>
      <c r="SC239" s="4"/>
      <c r="SD239" s="4"/>
      <c r="SE239" s="5"/>
      <c r="SF239" s="6"/>
      <c r="SG239" s="4"/>
      <c r="SH239" s="4"/>
      <c r="SI239" s="4"/>
      <c r="SJ239" s="4"/>
      <c r="SK239" s="4"/>
      <c r="SL239" s="5"/>
      <c r="SM239" s="6"/>
      <c r="SN239" s="4"/>
      <c r="SO239" s="4"/>
      <c r="SP239" s="4"/>
      <c r="SQ239" s="4"/>
      <c r="SR239" s="4"/>
      <c r="SS239" s="5"/>
      <c r="ST239" s="6"/>
      <c r="SU239" s="4"/>
      <c r="SV239" s="4"/>
      <c r="SW239" s="4"/>
      <c r="SX239" s="4"/>
      <c r="SY239" s="4"/>
      <c r="SZ239" s="5"/>
      <c r="TA239" s="6"/>
      <c r="TB239" s="4"/>
      <c r="TC239" s="4"/>
      <c r="TD239" s="4"/>
      <c r="TE239" s="4"/>
      <c r="TF239" s="4"/>
      <c r="TG239" s="5"/>
      <c r="TH239" s="6"/>
      <c r="TI239" s="4"/>
      <c r="TJ239" s="4"/>
      <c r="TK239" s="4"/>
      <c r="TL239" s="4"/>
      <c r="TM239" s="4"/>
      <c r="TN239" s="5"/>
      <c r="TO239" s="6"/>
      <c r="TP239" s="4"/>
      <c r="TQ239" s="4"/>
      <c r="TR239" s="4"/>
      <c r="TS239" s="4"/>
      <c r="TT239" s="4"/>
      <c r="TU239" s="5"/>
      <c r="TV239" s="6"/>
      <c r="TW239" s="4"/>
      <c r="TX239" s="4"/>
      <c r="TY239" s="4"/>
      <c r="TZ239" s="4"/>
      <c r="UA239" s="4"/>
      <c r="UB239" s="5"/>
      <c r="UC239" s="6"/>
      <c r="UD239" s="4"/>
      <c r="UE239" s="4"/>
      <c r="UF239" s="4"/>
      <c r="UG239" s="4"/>
      <c r="UH239" s="4"/>
      <c r="UI239" s="5"/>
      <c r="UJ239" s="6"/>
      <c r="UK239" s="4"/>
      <c r="UL239" s="4"/>
      <c r="UM239" s="4"/>
      <c r="UN239" s="4"/>
      <c r="UO239" s="4"/>
      <c r="UP239" s="5"/>
      <c r="UQ239" s="6"/>
      <c r="UR239" s="4"/>
      <c r="US239" s="4"/>
      <c r="UT239" s="4"/>
      <c r="UU239" s="4"/>
      <c r="UV239" s="4"/>
      <c r="UW239" s="5"/>
      <c r="UX239" s="6"/>
      <c r="UY239" s="4"/>
      <c r="UZ239" s="4"/>
      <c r="VA239" s="4"/>
      <c r="VB239" s="4"/>
      <c r="VC239" s="4"/>
      <c r="VD239" s="5"/>
      <c r="VE239" s="6"/>
      <c r="VF239" s="4"/>
      <c r="VG239" s="4"/>
      <c r="VH239" s="4"/>
      <c r="VI239" s="4"/>
      <c r="VJ239" s="4"/>
      <c r="VK239" s="5"/>
      <c r="VL239" s="6"/>
      <c r="VM239" s="4"/>
      <c r="VN239" s="4"/>
      <c r="VO239" s="4"/>
      <c r="VP239" s="4"/>
      <c r="VQ239" s="4"/>
      <c r="VR239" s="5"/>
      <c r="VS239" s="6"/>
      <c r="VT239" s="4"/>
      <c r="VU239" s="4"/>
      <c r="VV239" s="4"/>
      <c r="VW239" s="4"/>
      <c r="VX239" s="4"/>
      <c r="VY239" s="5"/>
      <c r="VZ239" s="6"/>
      <c r="WA239" s="4"/>
      <c r="WB239" s="4"/>
      <c r="WC239" s="4"/>
      <c r="WD239" s="4"/>
      <c r="WE239" s="4"/>
      <c r="WF239" s="5"/>
      <c r="WG239" s="6"/>
      <c r="WH239" s="4"/>
      <c r="WI239" s="4"/>
      <c r="WJ239" s="4"/>
      <c r="WK239" s="4"/>
      <c r="WL239" s="4"/>
      <c r="WM239" s="5"/>
      <c r="WN239" s="6"/>
      <c r="WO239" s="4"/>
      <c r="WP239" s="4"/>
      <c r="WQ239" s="4"/>
      <c r="WR239" s="4"/>
      <c r="WS239" s="4"/>
      <c r="WT239" s="5"/>
      <c r="WU239" s="6"/>
      <c r="WV239" s="4"/>
      <c r="WW239" s="4"/>
      <c r="WX239" s="4"/>
      <c r="WY239" s="4"/>
      <c r="WZ239" s="4"/>
      <c r="XA239" s="5"/>
      <c r="XB239" s="6"/>
      <c r="XC239" s="4"/>
      <c r="XD239" s="4"/>
      <c r="XE239" s="4"/>
      <c r="XF239" s="4"/>
      <c r="XG239" s="4"/>
      <c r="XH239" s="5"/>
      <c r="XI239" s="6"/>
      <c r="XJ239" s="4"/>
      <c r="XK239" s="4"/>
      <c r="XL239" s="4"/>
      <c r="XM239" s="4"/>
      <c r="XN239" s="4"/>
      <c r="XO239" s="5"/>
      <c r="XP239" s="6"/>
      <c r="XQ239" s="4"/>
      <c r="XR239" s="4"/>
      <c r="XS239" s="4"/>
      <c r="XT239" s="4"/>
      <c r="XU239" s="4"/>
      <c r="XV239" s="5"/>
      <c r="XW239" s="6"/>
      <c r="XX239" s="4"/>
      <c r="XY239" s="4"/>
      <c r="XZ239" s="4"/>
      <c r="YA239" s="4"/>
      <c r="YB239" s="4"/>
      <c r="YC239" s="5"/>
      <c r="YD239" s="6"/>
      <c r="YE239" s="4"/>
      <c r="YF239" s="4"/>
      <c r="YG239" s="4"/>
      <c r="YH239" s="4"/>
      <c r="YI239" s="4"/>
      <c r="YJ239" s="5"/>
      <c r="YK239" s="6"/>
      <c r="YL239" s="4"/>
      <c r="YM239" s="4"/>
      <c r="YN239" s="4"/>
      <c r="YO239" s="4"/>
      <c r="YP239" s="4"/>
      <c r="YQ239" s="5"/>
      <c r="YR239" s="6"/>
      <c r="YS239" s="4"/>
      <c r="YT239" s="4"/>
      <c r="YU239" s="4"/>
      <c r="YV239" s="4"/>
      <c r="YW239" s="4"/>
      <c r="YX239" s="5"/>
      <c r="YY239" s="6"/>
      <c r="YZ239" s="4"/>
      <c r="ZA239" s="4"/>
      <c r="ZB239" s="4"/>
      <c r="ZC239" s="4"/>
      <c r="ZD239" s="4"/>
      <c r="ZE239" s="5"/>
      <c r="ZF239" s="6"/>
      <c r="ZG239" s="4"/>
      <c r="ZH239" s="4"/>
      <c r="ZI239" s="4"/>
      <c r="ZJ239" s="4"/>
      <c r="ZK239" s="4"/>
      <c r="ZL239" s="5"/>
      <c r="ZM239" s="6"/>
      <c r="ZN239" s="4"/>
      <c r="ZO239" s="4"/>
      <c r="ZP239" s="4"/>
      <c r="ZQ239" s="4"/>
      <c r="ZR239" s="4"/>
      <c r="ZS239" s="5"/>
      <c r="ZT239" s="6"/>
      <c r="ZU239" s="4"/>
      <c r="ZV239" s="4"/>
      <c r="ZW239" s="4"/>
      <c r="ZX239" s="4"/>
      <c r="ZY239" s="4"/>
      <c r="ZZ239" s="5"/>
      <c r="AAA239" s="6"/>
      <c r="AAB239" s="4"/>
      <c r="AAC239" s="4"/>
      <c r="AAD239" s="4"/>
      <c r="AAE239" s="4"/>
      <c r="AAF239" s="4"/>
      <c r="AAG239" s="5"/>
      <c r="AAH239" s="6"/>
      <c r="AAI239" s="4"/>
      <c r="AAJ239" s="4"/>
      <c r="AAK239" s="4"/>
      <c r="AAL239" s="4"/>
      <c r="AAM239" s="4"/>
      <c r="AAN239" s="5"/>
      <c r="AAO239" s="6"/>
      <c r="AAP239" s="4"/>
      <c r="AAQ239" s="4"/>
      <c r="AAR239" s="4"/>
      <c r="AAS239" s="4"/>
      <c r="AAT239" s="4"/>
      <c r="AAU239" s="5"/>
      <c r="AAV239" s="6"/>
      <c r="AAW239" s="4"/>
      <c r="AAX239" s="4"/>
      <c r="AAY239" s="4"/>
      <c r="AAZ239" s="4"/>
      <c r="ABA239" s="4"/>
      <c r="ABB239" s="5"/>
      <c r="ABC239" s="6"/>
      <c r="ABD239" s="4"/>
      <c r="ABE239" s="4"/>
      <c r="ABF239" s="4"/>
      <c r="ABG239" s="4"/>
      <c r="ABH239" s="4"/>
      <c r="ABI239" s="5"/>
      <c r="ABJ239" s="6"/>
      <c r="ABK239" s="4"/>
      <c r="ABL239" s="4"/>
      <c r="ABM239" s="4"/>
      <c r="ABN239" s="4"/>
      <c r="ABO239" s="4"/>
      <c r="ABP239" s="5"/>
      <c r="ABQ239" s="6" t="s">
        <v>3386</v>
      </c>
      <c r="ABR239" s="4" t="s">
        <v>2718</v>
      </c>
      <c r="ABS239" s="4"/>
      <c r="ABT239" s="4"/>
      <c r="ABU239" s="4"/>
      <c r="ABV239" s="4"/>
      <c r="ABW239" s="5" t="s">
        <v>3852</v>
      </c>
      <c r="ABX239" s="6"/>
      <c r="ABY239" s="4"/>
      <c r="ABZ239" s="4"/>
      <c r="ACA239" s="4"/>
      <c r="ACB239" s="4"/>
      <c r="ACC239" s="4"/>
      <c r="ACD239" s="5"/>
      <c r="ACE239" s="6"/>
      <c r="ACF239" s="4"/>
      <c r="ACG239" s="4"/>
      <c r="ACH239" s="4"/>
      <c r="ACI239" s="4"/>
      <c r="ACJ239" s="4"/>
      <c r="ACK239" s="5"/>
      <c r="ACL239" s="6"/>
      <c r="ACM239" s="4"/>
      <c r="ACN239" s="4"/>
      <c r="ACO239" s="4"/>
      <c r="ACP239" s="4"/>
      <c r="ACQ239" s="4"/>
      <c r="ACR239" s="5"/>
      <c r="ACS239" s="6"/>
      <c r="ACT239" s="4"/>
      <c r="ACU239" s="4"/>
      <c r="ACV239" s="4"/>
      <c r="ACW239" s="4"/>
      <c r="ACX239" s="4"/>
      <c r="ACY239" s="5"/>
      <c r="ADU239" t="s">
        <v>3853</v>
      </c>
      <c r="ADY239" t="s">
        <v>3854</v>
      </c>
    </row>
    <row r="240" spans="2:805" x14ac:dyDescent="0.25">
      <c r="B240" s="29">
        <v>1008523</v>
      </c>
      <c r="C240">
        <v>27</v>
      </c>
      <c r="D240" t="s">
        <v>2121</v>
      </c>
      <c r="F240" s="23">
        <v>0</v>
      </c>
      <c r="I240">
        <v>1</v>
      </c>
      <c r="J240" s="19">
        <v>36685</v>
      </c>
      <c r="K240" s="19" t="s">
        <v>3855</v>
      </c>
      <c r="L240" s="19"/>
      <c r="LL240" s="6"/>
      <c r="LM240" s="4"/>
      <c r="LN240" s="4"/>
      <c r="LO240" s="4"/>
      <c r="LP240" s="4"/>
      <c r="LQ240" s="4"/>
      <c r="LR240" s="5"/>
      <c r="LS240" s="6"/>
      <c r="LT240" s="4"/>
      <c r="LU240" s="4"/>
      <c r="LV240" s="4"/>
      <c r="LW240" s="4"/>
      <c r="LX240" s="4"/>
      <c r="LY240" s="5"/>
      <c r="LZ240" s="6" t="s">
        <v>3553</v>
      </c>
      <c r="MA240" s="7" t="s">
        <v>3481</v>
      </c>
      <c r="MB240" s="4"/>
      <c r="MC240" s="4"/>
      <c r="MD240" s="8">
        <v>36666</v>
      </c>
      <c r="ME240" s="4"/>
      <c r="MF240" s="4" t="s">
        <v>3787</v>
      </c>
      <c r="MG240" s="5" t="s">
        <v>3577</v>
      </c>
      <c r="MH240" s="6"/>
      <c r="MI240" s="4"/>
      <c r="MJ240" s="4"/>
      <c r="MK240" s="4"/>
      <c r="ML240" s="4"/>
      <c r="MM240" s="4"/>
      <c r="MN240" s="5"/>
      <c r="MO240" s="6"/>
      <c r="MP240" s="4"/>
      <c r="MQ240" s="4"/>
      <c r="MR240" s="4"/>
      <c r="MS240" s="4"/>
      <c r="MT240" s="4"/>
      <c r="MU240" s="5"/>
      <c r="MV240" s="6" t="s">
        <v>3554</v>
      </c>
      <c r="MW240" s="4" t="s">
        <v>3555</v>
      </c>
      <c r="MX240" s="4"/>
      <c r="MY240" s="4"/>
      <c r="MZ240" s="8">
        <v>36659</v>
      </c>
      <c r="NA240" s="4"/>
      <c r="NB240" s="5"/>
      <c r="NC240" s="6"/>
      <c r="ND240" s="4"/>
      <c r="NE240" s="4"/>
      <c r="NF240" s="4"/>
      <c r="NG240" s="4"/>
      <c r="NH240" s="4"/>
      <c r="NI240" s="5"/>
      <c r="NJ240" s="6"/>
      <c r="NK240" s="4"/>
      <c r="NL240" s="4"/>
      <c r="NM240" s="4"/>
      <c r="NN240" s="4"/>
      <c r="NO240" s="4"/>
      <c r="NP240" s="5"/>
      <c r="NQ240" s="6"/>
      <c r="NR240" s="4"/>
      <c r="NS240" s="4"/>
      <c r="NT240" s="4"/>
      <c r="NU240" s="4"/>
      <c r="NV240" s="4"/>
      <c r="NW240" s="5"/>
      <c r="NX240" s="6"/>
      <c r="NY240" s="4"/>
      <c r="NZ240" s="4"/>
      <c r="OA240" s="4"/>
      <c r="OB240" s="4"/>
      <c r="OC240" s="4"/>
      <c r="OD240" s="5"/>
      <c r="OE240" s="6"/>
      <c r="OF240" s="4"/>
      <c r="OG240" s="4"/>
      <c r="OH240" s="4"/>
      <c r="OI240" s="4"/>
      <c r="OJ240" s="4"/>
      <c r="OK240" s="5"/>
      <c r="OL240" s="6"/>
      <c r="OM240" s="4"/>
      <c r="ON240" s="4"/>
      <c r="OO240" s="4"/>
      <c r="OP240" s="4"/>
      <c r="OQ240" s="4"/>
      <c r="OR240" s="5"/>
      <c r="OS240" s="6"/>
      <c r="OT240" s="4"/>
      <c r="OU240" s="4"/>
      <c r="OV240" s="4"/>
      <c r="OW240" s="4"/>
      <c r="OX240" s="4"/>
      <c r="OY240" s="5"/>
      <c r="OZ240" s="6"/>
      <c r="PA240" s="4"/>
      <c r="PB240" s="4"/>
      <c r="PC240" s="4"/>
      <c r="PD240" s="4"/>
      <c r="PE240" s="4"/>
      <c r="PF240" s="5"/>
      <c r="PG240" s="6"/>
      <c r="PH240" s="4"/>
      <c r="PI240" s="4"/>
      <c r="PJ240" s="4"/>
      <c r="PK240" s="4"/>
      <c r="PL240" s="4"/>
      <c r="PM240" s="5"/>
      <c r="PN240" s="6"/>
      <c r="PO240" s="4"/>
      <c r="PP240" s="4"/>
      <c r="PQ240" s="4"/>
      <c r="PR240" s="4"/>
      <c r="PS240" s="4"/>
      <c r="PT240" s="5"/>
      <c r="PU240" s="6" t="s">
        <v>3389</v>
      </c>
      <c r="PV240" s="4" t="s">
        <v>3390</v>
      </c>
      <c r="PW240" s="4"/>
      <c r="PX240" s="4"/>
      <c r="PY240" s="8">
        <v>36659</v>
      </c>
      <c r="PZ240" s="4"/>
      <c r="QA240" s="5" t="s">
        <v>3578</v>
      </c>
      <c r="QB240" s="6"/>
      <c r="QC240" s="4"/>
      <c r="QD240" s="4"/>
      <c r="QE240" s="4"/>
      <c r="QF240" s="4"/>
      <c r="QG240" s="4"/>
      <c r="QH240" s="5"/>
      <c r="QI240" s="6"/>
      <c r="QJ240" s="4"/>
      <c r="QK240" s="4"/>
      <c r="QL240" s="4"/>
      <c r="QM240" s="4"/>
      <c r="QN240" s="4"/>
      <c r="QO240" s="5"/>
      <c r="QP240" s="6"/>
      <c r="QQ240" s="4"/>
      <c r="QR240" s="4"/>
      <c r="QS240" s="4"/>
      <c r="QT240" s="4"/>
      <c r="QU240" s="4"/>
      <c r="QV240" s="5"/>
      <c r="QW240" s="6"/>
      <c r="QX240" s="4"/>
      <c r="QY240" s="4"/>
      <c r="QZ240" s="4"/>
      <c r="RA240" s="4"/>
      <c r="RB240" s="4"/>
      <c r="RC240" s="5"/>
      <c r="RD240" s="6"/>
      <c r="RE240" s="4"/>
      <c r="RF240" s="4"/>
      <c r="RG240" s="4"/>
      <c r="RH240" s="4"/>
      <c r="RI240" s="4"/>
      <c r="RJ240" s="5"/>
      <c r="RK240" s="6"/>
      <c r="RL240" s="4"/>
      <c r="RM240" s="4"/>
      <c r="RN240" s="4"/>
      <c r="RO240" s="4"/>
      <c r="RP240" s="4"/>
      <c r="RQ240" s="5"/>
      <c r="RR240" s="6"/>
      <c r="RS240" s="4"/>
      <c r="RT240" s="4"/>
      <c r="RU240" s="4"/>
      <c r="RV240" s="4"/>
      <c r="RW240" s="4"/>
      <c r="RX240" s="5"/>
      <c r="RY240" s="6"/>
      <c r="RZ240" s="4"/>
      <c r="SA240" s="4"/>
      <c r="SB240" s="4"/>
      <c r="SC240" s="4"/>
      <c r="SD240" s="4"/>
      <c r="SE240" s="5"/>
      <c r="SF240" s="6"/>
      <c r="SG240" s="4"/>
      <c r="SH240" s="4"/>
      <c r="SI240" s="4"/>
      <c r="SJ240" s="4"/>
      <c r="SK240" s="4"/>
      <c r="SL240" s="5"/>
      <c r="SM240" s="6"/>
      <c r="SN240" s="4"/>
      <c r="SO240" s="4"/>
      <c r="SP240" s="4"/>
      <c r="SQ240" s="4"/>
      <c r="SR240" s="4"/>
      <c r="SS240" s="5"/>
      <c r="ST240" s="6"/>
      <c r="SU240" s="4"/>
      <c r="SV240" s="4"/>
      <c r="SW240" s="4"/>
      <c r="SX240" s="4"/>
      <c r="SY240" s="4"/>
      <c r="SZ240" s="5"/>
      <c r="TA240" s="6"/>
      <c r="TB240" s="4"/>
      <c r="TC240" s="4"/>
      <c r="TD240" s="4"/>
      <c r="TE240" s="4"/>
      <c r="TF240" s="4"/>
      <c r="TG240" s="5"/>
      <c r="TH240" s="6"/>
      <c r="TI240" s="4"/>
      <c r="TJ240" s="4"/>
      <c r="TK240" s="4"/>
      <c r="TL240" s="4"/>
      <c r="TM240" s="4"/>
      <c r="TN240" s="5"/>
      <c r="TO240" s="6"/>
      <c r="TP240" s="4"/>
      <c r="TQ240" s="4"/>
      <c r="TR240" s="4"/>
      <c r="TS240" s="4"/>
      <c r="TT240" s="4"/>
      <c r="TU240" s="5"/>
      <c r="TV240" s="6"/>
      <c r="TW240" s="4"/>
      <c r="TX240" s="4"/>
      <c r="TY240" s="4"/>
      <c r="TZ240" s="4"/>
      <c r="UA240" s="4"/>
      <c r="UB240" s="5"/>
      <c r="UC240" s="6"/>
      <c r="UD240" s="4"/>
      <c r="UE240" s="4"/>
      <c r="UF240" s="4"/>
      <c r="UG240" s="4"/>
      <c r="UH240" s="4"/>
      <c r="UI240" s="5"/>
      <c r="UJ240" s="6"/>
      <c r="UK240" s="4"/>
      <c r="UL240" s="4"/>
      <c r="UM240" s="4"/>
      <c r="UN240" s="4"/>
      <c r="UO240" s="4"/>
      <c r="UP240" s="5"/>
      <c r="UQ240" s="6"/>
      <c r="UR240" s="4"/>
      <c r="US240" s="4"/>
      <c r="UT240" s="4"/>
      <c r="UU240" s="4"/>
      <c r="UV240" s="4"/>
      <c r="UW240" s="5"/>
      <c r="UX240" s="6"/>
      <c r="UY240" s="4"/>
      <c r="UZ240" s="4"/>
      <c r="VA240" s="4"/>
      <c r="VB240" s="4"/>
      <c r="VC240" s="4"/>
      <c r="VD240" s="5"/>
      <c r="VE240" s="6"/>
      <c r="VF240" s="4"/>
      <c r="VG240" s="4"/>
      <c r="VH240" s="4"/>
      <c r="VI240" s="4"/>
      <c r="VJ240" s="4"/>
      <c r="VK240" s="5"/>
      <c r="VL240" s="6"/>
      <c r="VM240" s="4"/>
      <c r="VN240" s="4"/>
      <c r="VO240" s="4"/>
      <c r="VP240" s="4"/>
      <c r="VQ240" s="4"/>
      <c r="VR240" s="5"/>
      <c r="VS240" s="6"/>
      <c r="VT240" s="4"/>
      <c r="VU240" s="4"/>
      <c r="VV240" s="4"/>
      <c r="VW240" s="4"/>
      <c r="VX240" s="4"/>
      <c r="VY240" s="5"/>
      <c r="VZ240" s="6"/>
      <c r="WA240" s="4"/>
      <c r="WB240" s="4"/>
      <c r="WC240" s="4"/>
      <c r="WD240" s="4"/>
      <c r="WE240" s="4"/>
      <c r="WF240" s="5"/>
      <c r="WG240" s="6"/>
      <c r="WH240" s="4"/>
      <c r="WI240" s="4"/>
      <c r="WJ240" s="4"/>
      <c r="WK240" s="4"/>
      <c r="WL240" s="4"/>
      <c r="WM240" s="5"/>
      <c r="WN240" s="6"/>
      <c r="WO240" s="4"/>
      <c r="WP240" s="4"/>
      <c r="WQ240" s="4"/>
      <c r="WR240" s="4"/>
      <c r="WS240" s="4"/>
      <c r="WT240" s="5"/>
      <c r="WU240" s="6"/>
      <c r="WV240" s="4"/>
      <c r="WW240" s="4"/>
      <c r="WX240" s="4"/>
      <c r="WY240" s="4"/>
      <c r="WZ240" s="4"/>
      <c r="XA240" s="5"/>
      <c r="XB240" s="6"/>
      <c r="XC240" s="4"/>
      <c r="XD240" s="4"/>
      <c r="XE240" s="4"/>
      <c r="XF240" s="4"/>
      <c r="XG240" s="4"/>
      <c r="XH240" s="5"/>
      <c r="XI240" s="6"/>
      <c r="XJ240" s="4"/>
      <c r="XK240" s="4"/>
      <c r="XL240" s="4"/>
      <c r="XM240" s="4"/>
      <c r="XN240" s="4"/>
      <c r="XO240" s="5"/>
      <c r="XP240" s="6"/>
      <c r="XQ240" s="4"/>
      <c r="XR240" s="4"/>
      <c r="XS240" s="4"/>
      <c r="XT240" s="4"/>
      <c r="XU240" s="4"/>
      <c r="XV240" s="5"/>
      <c r="XW240" s="6"/>
      <c r="XX240" s="4"/>
      <c r="XY240" s="4"/>
      <c r="XZ240" s="4"/>
      <c r="YA240" s="4"/>
      <c r="YB240" s="4"/>
      <c r="YC240" s="5"/>
      <c r="YD240" s="6"/>
      <c r="YE240" s="4"/>
      <c r="YF240" s="4"/>
      <c r="YG240" s="4"/>
      <c r="YH240" s="4"/>
      <c r="YI240" s="4"/>
      <c r="YJ240" s="5"/>
      <c r="YK240" s="6"/>
      <c r="YL240" s="4"/>
      <c r="YM240" s="4"/>
      <c r="YN240" s="4"/>
      <c r="YO240" s="4"/>
      <c r="YP240" s="4"/>
      <c r="YQ240" s="5"/>
      <c r="YR240" s="6"/>
      <c r="YS240" s="4"/>
      <c r="YT240" s="4"/>
      <c r="YU240" s="4"/>
      <c r="YV240" s="4"/>
      <c r="YW240" s="4"/>
      <c r="YX240" s="5"/>
      <c r="YY240" s="6"/>
      <c r="YZ240" s="4"/>
      <c r="ZA240" s="4"/>
      <c r="ZB240" s="4"/>
      <c r="ZC240" s="4"/>
      <c r="ZD240" s="4"/>
      <c r="ZE240" s="5"/>
      <c r="ZF240" s="6"/>
      <c r="ZG240" s="4"/>
      <c r="ZH240" s="4"/>
      <c r="ZI240" s="4"/>
      <c r="ZJ240" s="4"/>
      <c r="ZK240" s="4"/>
      <c r="ZL240" s="5"/>
      <c r="ZM240" s="6"/>
      <c r="ZN240" s="4"/>
      <c r="ZO240" s="4"/>
      <c r="ZP240" s="4"/>
      <c r="ZQ240" s="4"/>
      <c r="ZR240" s="4"/>
      <c r="ZS240" s="5"/>
      <c r="ZT240" s="6"/>
      <c r="ZU240" s="4"/>
      <c r="ZV240" s="4"/>
      <c r="ZW240" s="4"/>
      <c r="ZX240" s="4"/>
      <c r="ZY240" s="4"/>
      <c r="ZZ240" s="5"/>
      <c r="AAA240" s="6"/>
      <c r="AAB240" s="4"/>
      <c r="AAC240" s="4"/>
      <c r="AAD240" s="4"/>
      <c r="AAE240" s="4"/>
      <c r="AAF240" s="4"/>
      <c r="AAG240" s="5"/>
      <c r="AAH240" s="6"/>
      <c r="AAI240" s="4"/>
      <c r="AAJ240" s="4"/>
      <c r="AAK240" s="4"/>
      <c r="AAL240" s="4"/>
      <c r="AAM240" s="4"/>
      <c r="AAN240" s="5"/>
      <c r="AAO240" s="6"/>
      <c r="AAP240" s="4"/>
      <c r="AAQ240" s="4"/>
      <c r="AAR240" s="4"/>
      <c r="AAS240" s="4"/>
      <c r="AAT240" s="4"/>
      <c r="AAU240" s="5"/>
      <c r="AAV240" s="6"/>
      <c r="AAW240" s="4"/>
      <c r="AAX240" s="4"/>
      <c r="AAY240" s="4"/>
      <c r="AAZ240" s="4"/>
      <c r="ABA240" s="4"/>
      <c r="ABB240" s="5"/>
      <c r="ABC240" s="6"/>
      <c r="ABD240" s="4"/>
      <c r="ABE240" s="4"/>
      <c r="ABF240" s="4"/>
      <c r="ABG240" s="4"/>
      <c r="ABH240" s="4"/>
      <c r="ABI240" s="5"/>
      <c r="ABJ240" s="6" t="s">
        <v>3387</v>
      </c>
      <c r="ABK240" s="4" t="s">
        <v>3388</v>
      </c>
      <c r="ABL240" s="4"/>
      <c r="ABM240" s="4"/>
      <c r="ABN240" s="8">
        <v>36659</v>
      </c>
      <c r="ABO240" s="4"/>
      <c r="ABP240" s="5" t="s">
        <v>3579</v>
      </c>
      <c r="ABQ240" s="6" t="s">
        <v>2807</v>
      </c>
      <c r="ABR240" s="4" t="s">
        <v>2807</v>
      </c>
      <c r="ABS240" s="8">
        <v>36666</v>
      </c>
      <c r="ABT240" s="4"/>
      <c r="ABU240" s="4"/>
      <c r="ABV240" s="4"/>
      <c r="ABW240" s="5" t="s">
        <v>3580</v>
      </c>
      <c r="ABX240" s="6"/>
      <c r="ABY240" s="4"/>
      <c r="ABZ240" s="4"/>
      <c r="ACA240" s="4"/>
      <c r="ACB240" s="4"/>
      <c r="ACC240" s="4"/>
      <c r="ACD240" s="5"/>
      <c r="ACE240" s="6"/>
      <c r="ACF240" s="4"/>
      <c r="ACG240" s="4"/>
      <c r="ACH240" s="4"/>
      <c r="ACI240" s="4"/>
      <c r="ACJ240" s="4"/>
      <c r="ACK240" s="5"/>
      <c r="ACL240" s="6"/>
      <c r="ACM240" s="4"/>
      <c r="ACN240" s="4"/>
      <c r="ACO240" s="4"/>
      <c r="ACP240" s="4"/>
      <c r="ACQ240" s="4"/>
      <c r="ACR240" s="5"/>
      <c r="ACS240" s="6"/>
      <c r="ACT240" s="4"/>
      <c r="ACU240" s="4"/>
      <c r="ACV240" s="4"/>
      <c r="ACW240" s="4"/>
      <c r="ACX240" s="4"/>
      <c r="ACY240" s="5"/>
      <c r="ADG240" t="s">
        <v>4038</v>
      </c>
      <c r="ADU240" t="s">
        <v>3581</v>
      </c>
      <c r="ADV240" t="s">
        <v>3917</v>
      </c>
    </row>
    <row r="241" spans="2:805" x14ac:dyDescent="0.25">
      <c r="B241" s="49">
        <v>2001075</v>
      </c>
      <c r="C241">
        <v>31</v>
      </c>
      <c r="D241" t="s">
        <v>681</v>
      </c>
      <c r="F241" s="23">
        <v>0</v>
      </c>
      <c r="J241" s="12"/>
      <c r="K241" s="12"/>
      <c r="L241" s="12"/>
      <c r="M241">
        <v>1</v>
      </c>
      <c r="N241" s="17">
        <v>37171</v>
      </c>
      <c r="LL241" s="6"/>
      <c r="LM241" s="4"/>
      <c r="LN241" s="4"/>
      <c r="LO241" s="4"/>
      <c r="LP241" s="4"/>
      <c r="LQ241" s="4"/>
      <c r="LR241" s="5"/>
      <c r="LS241" s="6"/>
      <c r="LT241" s="4"/>
      <c r="LU241" s="4"/>
      <c r="LV241" s="4"/>
      <c r="LW241" s="4"/>
      <c r="LX241" s="4"/>
      <c r="LY241" s="5"/>
      <c r="LZ241" s="6" t="s">
        <v>2983</v>
      </c>
      <c r="MA241" s="7" t="s">
        <v>2983</v>
      </c>
      <c r="MB241" s="4" t="s">
        <v>2012</v>
      </c>
      <c r="MC241" s="7" t="s">
        <v>1595</v>
      </c>
      <c r="MD241" s="8">
        <v>37165</v>
      </c>
      <c r="ME241" s="8">
        <v>37170</v>
      </c>
      <c r="MF241" s="8" t="s">
        <v>456</v>
      </c>
      <c r="MG241" s="5" t="s">
        <v>379</v>
      </c>
      <c r="MH241" s="6"/>
      <c r="MI241" s="4"/>
      <c r="MJ241" s="4"/>
      <c r="MK241" s="4"/>
      <c r="ML241" s="4"/>
      <c r="MM241" s="4"/>
      <c r="MN241" s="5"/>
      <c r="MO241" s="6"/>
      <c r="MP241" s="4"/>
      <c r="MQ241" s="4"/>
      <c r="MR241" s="4"/>
      <c r="MS241" s="4"/>
      <c r="MT241" s="4"/>
      <c r="MU241" s="5"/>
      <c r="MV241" s="6"/>
      <c r="MW241" s="4"/>
      <c r="MX241" s="4"/>
      <c r="MY241" s="4"/>
      <c r="MZ241" s="4"/>
      <c r="NA241" s="4"/>
      <c r="NB241" s="5"/>
      <c r="NC241" s="6"/>
      <c r="ND241" s="4"/>
      <c r="NE241" s="4"/>
      <c r="NF241" s="4"/>
      <c r="NG241" s="4"/>
      <c r="NH241" s="4"/>
      <c r="NI241" s="5"/>
      <c r="NJ241" s="6"/>
      <c r="NK241" s="4"/>
      <c r="NL241" s="4"/>
      <c r="NM241" s="4"/>
      <c r="NN241" s="4"/>
      <c r="NO241" s="4"/>
      <c r="NP241" s="5"/>
      <c r="NQ241" s="6"/>
      <c r="NR241" s="4"/>
      <c r="NS241" s="4"/>
      <c r="NT241" s="4"/>
      <c r="NU241" s="4"/>
      <c r="NV241" s="4"/>
      <c r="NW241" s="5"/>
      <c r="NX241" s="6"/>
      <c r="NY241" s="4"/>
      <c r="NZ241" s="4"/>
      <c r="OA241" s="4"/>
      <c r="OB241" s="4"/>
      <c r="OC241" s="4"/>
      <c r="OD241" s="5"/>
      <c r="OE241" s="6"/>
      <c r="OF241" s="4"/>
      <c r="OG241" s="4"/>
      <c r="OH241" s="4"/>
      <c r="OI241" s="4"/>
      <c r="OJ241" s="4"/>
      <c r="OK241" s="5"/>
      <c r="OL241" s="6"/>
      <c r="OM241" s="4"/>
      <c r="ON241" s="4"/>
      <c r="OO241" s="4"/>
      <c r="OP241" s="4"/>
      <c r="OQ241" s="4"/>
      <c r="OR241" s="5"/>
      <c r="OS241" s="6"/>
      <c r="OT241" s="4"/>
      <c r="OU241" s="4"/>
      <c r="OV241" s="4"/>
      <c r="OW241" s="4"/>
      <c r="OX241" s="4"/>
      <c r="OY241" s="5"/>
      <c r="OZ241" s="6"/>
      <c r="PA241" s="4"/>
      <c r="PB241" s="4"/>
      <c r="PC241" s="4"/>
      <c r="PD241" s="4"/>
      <c r="PE241" s="4"/>
      <c r="PF241" s="5"/>
      <c r="PG241" s="6"/>
      <c r="PH241" s="4"/>
      <c r="PI241" s="4"/>
      <c r="PJ241" s="4"/>
      <c r="PK241" s="4"/>
      <c r="PL241" s="4"/>
      <c r="PM241" s="5"/>
      <c r="PN241" s="6"/>
      <c r="PO241" s="4"/>
      <c r="PP241" s="4"/>
      <c r="PQ241" s="4"/>
      <c r="PR241" s="4"/>
      <c r="PS241" s="4"/>
      <c r="PT241" s="5"/>
      <c r="PU241" s="6"/>
      <c r="PV241" s="4"/>
      <c r="PW241" s="4"/>
      <c r="PX241" s="4"/>
      <c r="PY241" s="4"/>
      <c r="PZ241" s="4"/>
      <c r="QA241" s="5"/>
      <c r="QB241" s="6"/>
      <c r="QC241" s="4"/>
      <c r="QD241" s="4"/>
      <c r="QE241" s="4"/>
      <c r="QF241" s="4"/>
      <c r="QG241" s="4"/>
      <c r="QH241" s="5"/>
      <c r="QI241" s="6"/>
      <c r="QJ241" s="4"/>
      <c r="QK241" s="4"/>
      <c r="QL241" s="4"/>
      <c r="QM241" s="4"/>
      <c r="QN241" s="4"/>
      <c r="QO241" s="5"/>
      <c r="QP241" s="6"/>
      <c r="QQ241" s="4"/>
      <c r="QR241" s="4"/>
      <c r="QS241" s="4"/>
      <c r="QT241" s="4"/>
      <c r="QU241" s="4"/>
      <c r="QV241" s="5"/>
      <c r="QW241" s="6"/>
      <c r="QX241" s="4"/>
      <c r="QY241" s="4"/>
      <c r="QZ241" s="4"/>
      <c r="RA241" s="4"/>
      <c r="RB241" s="4"/>
      <c r="RC241" s="5"/>
      <c r="RD241" s="6"/>
      <c r="RE241" s="4"/>
      <c r="RF241" s="4"/>
      <c r="RG241" s="4"/>
      <c r="RH241" s="4"/>
      <c r="RI241" s="4"/>
      <c r="RJ241" s="5"/>
      <c r="RK241" s="6"/>
      <c r="RL241" s="4"/>
      <c r="RM241" s="4"/>
      <c r="RN241" s="4"/>
      <c r="RO241" s="4"/>
      <c r="RP241" s="4"/>
      <c r="RQ241" s="5"/>
      <c r="RR241" s="6"/>
      <c r="RS241" s="4"/>
      <c r="RT241" s="4"/>
      <c r="RU241" s="4"/>
      <c r="RV241" s="4"/>
      <c r="RW241" s="4"/>
      <c r="RX241" s="5"/>
      <c r="RY241" s="6"/>
      <c r="RZ241" s="4"/>
      <c r="SA241" s="4"/>
      <c r="SB241" s="4"/>
      <c r="SC241" s="4"/>
      <c r="SD241" s="4"/>
      <c r="SE241" s="5"/>
      <c r="SF241" s="6"/>
      <c r="SG241" s="4"/>
      <c r="SH241" s="4"/>
      <c r="SI241" s="4"/>
      <c r="SJ241" s="4"/>
      <c r="SK241" s="4"/>
      <c r="SL241" s="5"/>
      <c r="SM241" s="6"/>
      <c r="SN241" s="4"/>
      <c r="SO241" s="4"/>
      <c r="SP241" s="4"/>
      <c r="SQ241" s="4"/>
      <c r="SR241" s="4"/>
      <c r="SS241" s="5"/>
      <c r="ST241" s="6"/>
      <c r="SU241" s="4"/>
      <c r="SV241" s="4"/>
      <c r="SW241" s="4"/>
      <c r="SX241" s="4"/>
      <c r="SY241" s="4"/>
      <c r="SZ241" s="5"/>
      <c r="TA241" s="6"/>
      <c r="TB241" s="4"/>
      <c r="TC241" s="4"/>
      <c r="TD241" s="4"/>
      <c r="TE241" s="4"/>
      <c r="TF241" s="4"/>
      <c r="TG241" s="5"/>
      <c r="TH241" s="6"/>
      <c r="TI241" s="4"/>
      <c r="TJ241" s="4"/>
      <c r="TK241" s="4"/>
      <c r="TL241" s="4"/>
      <c r="TM241" s="4"/>
      <c r="TN241" s="5"/>
      <c r="TO241" s="6"/>
      <c r="TP241" s="4"/>
      <c r="TQ241" s="4"/>
      <c r="TR241" s="4"/>
      <c r="TS241" s="4"/>
      <c r="TT241" s="4"/>
      <c r="TU241" s="5"/>
      <c r="TV241" s="6"/>
      <c r="TW241" s="4"/>
      <c r="TX241" s="4"/>
      <c r="TY241" s="4"/>
      <c r="TZ241" s="4"/>
      <c r="UA241" s="4"/>
      <c r="UB241" s="5"/>
      <c r="UC241" s="6"/>
      <c r="UD241" s="4"/>
      <c r="UE241" s="4"/>
      <c r="UF241" s="4"/>
      <c r="UG241" s="4"/>
      <c r="UH241" s="4"/>
      <c r="UI241" s="5"/>
      <c r="UJ241" s="6"/>
      <c r="UK241" s="4"/>
      <c r="UL241" s="4"/>
      <c r="UM241" s="4"/>
      <c r="UN241" s="4"/>
      <c r="UO241" s="4"/>
      <c r="UP241" s="5"/>
      <c r="UQ241" s="6"/>
      <c r="UR241" s="4"/>
      <c r="US241" s="4"/>
      <c r="UT241" s="4"/>
      <c r="UU241" s="4"/>
      <c r="UV241" s="4"/>
      <c r="UW241" s="5"/>
      <c r="UX241" s="6"/>
      <c r="UY241" s="4"/>
      <c r="UZ241" s="4"/>
      <c r="VA241" s="4"/>
      <c r="VB241" s="4"/>
      <c r="VC241" s="4"/>
      <c r="VD241" s="5"/>
      <c r="VE241" s="6"/>
      <c r="VF241" s="4"/>
      <c r="VG241" s="4"/>
      <c r="VH241" s="4"/>
      <c r="VI241" s="4"/>
      <c r="VJ241" s="4"/>
      <c r="VK241" s="5"/>
      <c r="VL241" s="6"/>
      <c r="VM241" s="4"/>
      <c r="VN241" s="4"/>
      <c r="VO241" s="4"/>
      <c r="VP241" s="4"/>
      <c r="VQ241" s="4"/>
      <c r="VR241" s="5"/>
      <c r="VS241" s="6" t="s">
        <v>964</v>
      </c>
      <c r="VT241" s="4" t="s">
        <v>965</v>
      </c>
      <c r="VU241" s="4" t="s">
        <v>2470</v>
      </c>
      <c r="VV241" s="7" t="s">
        <v>966</v>
      </c>
      <c r="VW241" s="8">
        <v>37140</v>
      </c>
      <c r="VX241" s="8">
        <v>37173</v>
      </c>
      <c r="VY241" s="5" t="s">
        <v>413</v>
      </c>
      <c r="VZ241" s="6"/>
      <c r="WA241" s="4"/>
      <c r="WB241" s="4"/>
      <c r="WC241" s="4"/>
      <c r="WD241" s="4"/>
      <c r="WE241" s="4"/>
      <c r="WF241" s="5"/>
      <c r="WG241" s="6"/>
      <c r="WH241" s="4"/>
      <c r="WI241" s="4"/>
      <c r="WJ241" s="4"/>
      <c r="WK241" s="4"/>
      <c r="WL241" s="4"/>
      <c r="WM241" s="5"/>
      <c r="WN241" s="6"/>
      <c r="WO241" s="4"/>
      <c r="WP241" s="4"/>
      <c r="WQ241" s="4"/>
      <c r="WR241" s="4"/>
      <c r="WS241" s="4"/>
      <c r="WT241" s="5"/>
      <c r="WU241" s="6"/>
      <c r="WV241" s="4"/>
      <c r="WW241" s="4"/>
      <c r="WX241" s="4"/>
      <c r="WY241" s="4"/>
      <c r="WZ241" s="4"/>
      <c r="XA241" s="5"/>
      <c r="XB241" s="6"/>
      <c r="XC241" s="4"/>
      <c r="XD241" s="4"/>
      <c r="XE241" s="4"/>
      <c r="XF241" s="4"/>
      <c r="XG241" s="4"/>
      <c r="XH241" s="5"/>
      <c r="XI241" s="6"/>
      <c r="XJ241" s="4"/>
      <c r="XK241" s="4"/>
      <c r="XL241" s="4"/>
      <c r="XM241" s="4"/>
      <c r="XN241" s="4"/>
      <c r="XO241" s="5"/>
      <c r="XP241" s="6"/>
      <c r="XQ241" s="4"/>
      <c r="XR241" s="4"/>
      <c r="XS241" s="4"/>
      <c r="XT241" s="4"/>
      <c r="XU241" s="4"/>
      <c r="XV241" s="5"/>
      <c r="XW241" s="6"/>
      <c r="XX241" s="4"/>
      <c r="XY241" s="4"/>
      <c r="XZ241" s="4"/>
      <c r="YA241" s="4"/>
      <c r="YB241" s="4"/>
      <c r="YC241" s="5"/>
      <c r="YD241" s="6"/>
      <c r="YE241" s="4"/>
      <c r="YF241" s="4"/>
      <c r="YG241" s="4"/>
      <c r="YH241" s="4"/>
      <c r="YI241" s="4"/>
      <c r="YJ241" s="5"/>
      <c r="YK241" s="6"/>
      <c r="YL241" s="4"/>
      <c r="YM241" s="4"/>
      <c r="YN241" s="4"/>
      <c r="YO241" s="4"/>
      <c r="YP241" s="4"/>
      <c r="YQ241" s="5"/>
      <c r="YR241" s="6"/>
      <c r="YS241" s="4"/>
      <c r="YT241" s="4"/>
      <c r="YU241" s="4"/>
      <c r="YV241" s="4"/>
      <c r="YW241" s="4"/>
      <c r="YX241" s="5"/>
      <c r="YY241" s="6"/>
      <c r="YZ241" s="4"/>
      <c r="ZA241" s="4"/>
      <c r="ZB241" s="4"/>
      <c r="ZC241" s="4"/>
      <c r="ZD241" s="4"/>
      <c r="ZE241" s="5"/>
      <c r="ZF241" s="6"/>
      <c r="ZG241" s="4"/>
      <c r="ZH241" s="4"/>
      <c r="ZI241" s="4"/>
      <c r="ZJ241" s="4"/>
      <c r="ZK241" s="4"/>
      <c r="ZL241" s="5"/>
      <c r="ZM241" s="6"/>
      <c r="ZN241" s="4"/>
      <c r="ZO241" s="4"/>
      <c r="ZP241" s="4"/>
      <c r="ZQ241" s="4"/>
      <c r="ZR241" s="4"/>
      <c r="ZS241" s="5"/>
      <c r="ZT241" s="6"/>
      <c r="ZU241" s="4"/>
      <c r="ZV241" s="4"/>
      <c r="ZW241" s="4"/>
      <c r="ZX241" s="4"/>
      <c r="ZY241" s="4"/>
      <c r="ZZ241" s="5"/>
      <c r="AAA241" s="6"/>
      <c r="AAB241" s="4"/>
      <c r="AAC241" s="4"/>
      <c r="AAD241" s="4"/>
      <c r="AAE241" s="4"/>
      <c r="AAF241" s="4"/>
      <c r="AAG241" s="5"/>
      <c r="AAH241" s="6"/>
      <c r="AAI241" s="4"/>
      <c r="AAJ241" s="4"/>
      <c r="AAK241" s="4"/>
      <c r="AAL241" s="4"/>
      <c r="AAM241" s="4"/>
      <c r="AAN241" s="5"/>
      <c r="AAO241" s="6"/>
      <c r="AAP241" s="4"/>
      <c r="AAQ241" s="4"/>
      <c r="AAR241" s="4"/>
      <c r="AAS241" s="4"/>
      <c r="AAT241" s="4"/>
      <c r="AAU241" s="5"/>
      <c r="AAV241" s="6"/>
      <c r="AAW241" s="4"/>
      <c r="AAX241" s="4"/>
      <c r="AAY241" s="4"/>
      <c r="AAZ241" s="4"/>
      <c r="ABA241" s="4"/>
      <c r="ABB241" s="5"/>
      <c r="ABC241" s="6"/>
      <c r="ABD241" s="4"/>
      <c r="ABE241" s="4"/>
      <c r="ABF241" s="4"/>
      <c r="ABG241" s="4"/>
      <c r="ABH241" s="4"/>
      <c r="ABI241" s="5"/>
      <c r="ABJ241" s="6"/>
      <c r="ABK241" s="4"/>
      <c r="ABL241" s="4"/>
      <c r="ABM241" s="4"/>
      <c r="ABN241" s="4"/>
      <c r="ABO241" s="4"/>
      <c r="ABP241" s="5"/>
      <c r="ABQ241" s="6"/>
      <c r="ABR241" s="4"/>
      <c r="ABS241" s="4"/>
      <c r="ABT241" s="4"/>
      <c r="ABU241" s="4"/>
      <c r="ABV241" s="4"/>
      <c r="ABW241" s="5"/>
      <c r="ABX241" s="6"/>
      <c r="ABY241" s="4"/>
      <c r="ABZ241" s="4"/>
      <c r="ACA241" s="4"/>
      <c r="ACB241" s="4"/>
      <c r="ACC241" s="4"/>
      <c r="ACD241" s="5"/>
      <c r="ACE241" s="6"/>
      <c r="ACF241" s="4"/>
      <c r="ACG241" s="4"/>
      <c r="ACH241" s="4"/>
      <c r="ACI241" s="4"/>
      <c r="ACJ241" s="4"/>
      <c r="ACK241" s="5"/>
      <c r="ACL241" s="6"/>
      <c r="ACM241" s="4"/>
      <c r="ACN241" s="4"/>
      <c r="ACO241" s="4"/>
      <c r="ACP241" s="4"/>
      <c r="ACQ241" s="4"/>
      <c r="ACR241" s="5"/>
      <c r="ACS241" s="6"/>
      <c r="ACT241" s="4"/>
      <c r="ACU241" s="4"/>
      <c r="ACV241" s="4"/>
      <c r="ACW241" s="4"/>
      <c r="ACX241" s="4"/>
      <c r="ACY241" s="5"/>
      <c r="ADJ241" s="12" t="s">
        <v>336</v>
      </c>
      <c r="ADN241" t="s">
        <v>415</v>
      </c>
      <c r="ADY241" t="s">
        <v>414</v>
      </c>
    </row>
    <row r="242" spans="2:805" x14ac:dyDescent="0.25">
      <c r="B242" s="30"/>
      <c r="J242" s="12"/>
      <c r="K242" s="12"/>
      <c r="L242" s="12"/>
      <c r="LL242" s="6"/>
      <c r="LM242" s="4"/>
      <c r="LN242" s="4"/>
      <c r="LO242" s="4"/>
      <c r="LP242" s="4"/>
      <c r="LQ242" s="4"/>
      <c r="LR242" s="5"/>
      <c r="LS242" s="6"/>
      <c r="LT242" s="4"/>
      <c r="LU242" s="4"/>
      <c r="LV242" s="4"/>
      <c r="LW242" s="4"/>
      <c r="LX242" s="4"/>
      <c r="LY242" s="5"/>
      <c r="LZ242" s="6"/>
      <c r="MA242" s="7"/>
      <c r="MB242" s="4"/>
      <c r="MC242" s="7"/>
      <c r="MD242" s="8"/>
      <c r="ME242" s="8"/>
      <c r="MF242" s="8"/>
      <c r="MG242" s="5"/>
      <c r="MH242" s="6"/>
      <c r="MI242" s="4"/>
      <c r="MJ242" s="4"/>
      <c r="MK242" s="4"/>
      <c r="ML242" s="4"/>
      <c r="MM242" s="4"/>
      <c r="MN242" s="5"/>
      <c r="MO242" s="6"/>
      <c r="MP242" s="4"/>
      <c r="MQ242" s="4"/>
      <c r="MR242" s="4"/>
      <c r="MS242" s="4"/>
      <c r="MT242" s="4"/>
      <c r="MU242" s="5"/>
      <c r="MV242" s="6"/>
      <c r="MW242" s="4"/>
      <c r="MX242" s="4"/>
      <c r="MY242" s="4"/>
      <c r="MZ242" s="4"/>
      <c r="NA242" s="4"/>
      <c r="NB242" s="5"/>
      <c r="NC242" s="6"/>
      <c r="ND242" s="4"/>
      <c r="NE242" s="4"/>
      <c r="NF242" s="4"/>
      <c r="NG242" s="4"/>
      <c r="NH242" s="4"/>
      <c r="NI242" s="5"/>
      <c r="NJ242" s="6"/>
      <c r="NK242" s="4"/>
      <c r="NL242" s="4"/>
      <c r="NM242" s="4"/>
      <c r="NN242" s="4"/>
      <c r="NO242" s="4"/>
      <c r="NP242" s="5"/>
      <c r="NQ242" s="6"/>
      <c r="NR242" s="4"/>
      <c r="NS242" s="4"/>
      <c r="NT242" s="4"/>
      <c r="NU242" s="4"/>
      <c r="NV242" s="4"/>
      <c r="NW242" s="5"/>
      <c r="NX242" s="6"/>
      <c r="NY242" s="4"/>
      <c r="NZ242" s="4"/>
      <c r="OA242" s="4"/>
      <c r="OB242" s="4"/>
      <c r="OC242" s="4"/>
      <c r="OD242" s="5"/>
      <c r="OE242" s="6"/>
      <c r="OF242" s="4"/>
      <c r="OG242" s="4"/>
      <c r="OH242" s="4"/>
      <c r="OI242" s="4"/>
      <c r="OJ242" s="4"/>
      <c r="OK242" s="5"/>
      <c r="OL242" s="6"/>
      <c r="OM242" s="4"/>
      <c r="ON242" s="4"/>
      <c r="OO242" s="4"/>
      <c r="OP242" s="4"/>
      <c r="OQ242" s="4"/>
      <c r="OR242" s="5"/>
      <c r="OS242" s="6"/>
      <c r="OT242" s="4"/>
      <c r="OU242" s="4"/>
      <c r="OV242" s="4"/>
      <c r="OW242" s="4"/>
      <c r="OX242" s="4"/>
      <c r="OY242" s="5"/>
      <c r="OZ242" s="6"/>
      <c r="PA242" s="4"/>
      <c r="PB242" s="4"/>
      <c r="PC242" s="4"/>
      <c r="PD242" s="4"/>
      <c r="PE242" s="4"/>
      <c r="PF242" s="5"/>
      <c r="PG242" s="6"/>
      <c r="PH242" s="4"/>
      <c r="PI242" s="4"/>
      <c r="PJ242" s="4"/>
      <c r="PK242" s="4"/>
      <c r="PL242" s="4"/>
      <c r="PM242" s="5"/>
      <c r="PN242" s="6"/>
      <c r="PO242" s="4"/>
      <c r="PP242" s="4"/>
      <c r="PQ242" s="4"/>
      <c r="PR242" s="4"/>
      <c r="PS242" s="4"/>
      <c r="PT242" s="5"/>
      <c r="PU242" s="6"/>
      <c r="PV242" s="4"/>
      <c r="PW242" s="4"/>
      <c r="PX242" s="4"/>
      <c r="PY242" s="4"/>
      <c r="PZ242" s="4"/>
      <c r="QA242" s="5"/>
      <c r="QB242" s="6"/>
      <c r="QC242" s="4"/>
      <c r="QD242" s="4"/>
      <c r="QE242" s="4"/>
      <c r="QF242" s="4"/>
      <c r="QG242" s="4"/>
      <c r="QH242" s="5"/>
      <c r="QI242" s="6"/>
      <c r="QJ242" s="4"/>
      <c r="QK242" s="4"/>
      <c r="QL242" s="4"/>
      <c r="QM242" s="4"/>
      <c r="QN242" s="4"/>
      <c r="QO242" s="5"/>
      <c r="QP242" s="6"/>
      <c r="QQ242" s="4"/>
      <c r="QR242" s="4"/>
      <c r="QS242" s="4"/>
      <c r="QT242" s="4"/>
      <c r="QU242" s="4"/>
      <c r="QV242" s="5"/>
      <c r="QW242" s="6"/>
      <c r="QX242" s="4"/>
      <c r="QY242" s="4"/>
      <c r="QZ242" s="4"/>
      <c r="RA242" s="4"/>
      <c r="RB242" s="4"/>
      <c r="RC242" s="5"/>
      <c r="RD242" s="6"/>
      <c r="RE242" s="4"/>
      <c r="RF242" s="4"/>
      <c r="RG242" s="4"/>
      <c r="RH242" s="4"/>
      <c r="RI242" s="4"/>
      <c r="RJ242" s="5"/>
      <c r="RK242" s="6"/>
      <c r="RL242" s="4"/>
      <c r="RM242" s="4"/>
      <c r="RN242" s="4"/>
      <c r="RO242" s="4"/>
      <c r="RP242" s="4"/>
      <c r="RQ242" s="5"/>
      <c r="RR242" s="6"/>
      <c r="RS242" s="4"/>
      <c r="RT242" s="4"/>
      <c r="RU242" s="4"/>
      <c r="RV242" s="4"/>
      <c r="RW242" s="4"/>
      <c r="RX242" s="5"/>
      <c r="RY242" s="6"/>
      <c r="RZ242" s="4"/>
      <c r="SA242" s="4"/>
      <c r="SB242" s="4"/>
      <c r="SC242" s="4"/>
      <c r="SD242" s="4"/>
      <c r="SE242" s="5"/>
      <c r="SF242" s="6"/>
      <c r="SG242" s="4"/>
      <c r="SH242" s="4"/>
      <c r="SI242" s="4"/>
      <c r="SJ242" s="4"/>
      <c r="SK242" s="4"/>
      <c r="SL242" s="5"/>
      <c r="SM242" s="6"/>
      <c r="SN242" s="4"/>
      <c r="SO242" s="4"/>
      <c r="SP242" s="4"/>
      <c r="SQ242" s="4"/>
      <c r="SR242" s="4"/>
      <c r="SS242" s="5"/>
      <c r="ST242" s="6"/>
      <c r="SU242" s="4"/>
      <c r="SV242" s="4"/>
      <c r="SW242" s="4"/>
      <c r="SX242" s="4"/>
      <c r="SY242" s="4"/>
      <c r="SZ242" s="5"/>
      <c r="TA242" s="6"/>
      <c r="TB242" s="4"/>
      <c r="TC242" s="4"/>
      <c r="TD242" s="4"/>
      <c r="TE242" s="4"/>
      <c r="TF242" s="4"/>
      <c r="TG242" s="5"/>
      <c r="TH242" s="6"/>
      <c r="TI242" s="4"/>
      <c r="TJ242" s="4"/>
      <c r="TK242" s="4"/>
      <c r="TL242" s="4"/>
      <c r="TM242" s="4"/>
      <c r="TN242" s="5"/>
      <c r="TO242" s="6"/>
      <c r="TP242" s="4"/>
      <c r="TQ242" s="4"/>
      <c r="TR242" s="4"/>
      <c r="TS242" s="4"/>
      <c r="TT242" s="4"/>
      <c r="TU242" s="5"/>
      <c r="TV242" s="6"/>
      <c r="TW242" s="4"/>
      <c r="TX242" s="4"/>
      <c r="TY242" s="4"/>
      <c r="TZ242" s="4"/>
      <c r="UA242" s="4"/>
      <c r="UB242" s="5"/>
      <c r="UC242" s="6"/>
      <c r="UD242" s="4"/>
      <c r="UE242" s="4"/>
      <c r="UF242" s="4"/>
      <c r="UG242" s="4"/>
      <c r="UH242" s="4"/>
      <c r="UI242" s="5"/>
      <c r="UJ242" s="6"/>
      <c r="UK242" s="4"/>
      <c r="UL242" s="4"/>
      <c r="UM242" s="4"/>
      <c r="UN242" s="4"/>
      <c r="UO242" s="4"/>
      <c r="UP242" s="5"/>
      <c r="UQ242" s="6"/>
      <c r="UR242" s="4"/>
      <c r="US242" s="4"/>
      <c r="UT242" s="4"/>
      <c r="UU242" s="4"/>
      <c r="UV242" s="4"/>
      <c r="UW242" s="5"/>
      <c r="UX242" s="6"/>
      <c r="UY242" s="4"/>
      <c r="UZ242" s="4"/>
      <c r="VA242" s="4"/>
      <c r="VB242" s="4"/>
      <c r="VC242" s="4"/>
      <c r="VD242" s="5"/>
      <c r="VE242" s="6"/>
      <c r="VF242" s="4"/>
      <c r="VG242" s="4"/>
      <c r="VH242" s="4"/>
      <c r="VI242" s="4"/>
      <c r="VJ242" s="4"/>
      <c r="VK242" s="5"/>
      <c r="VL242" s="6"/>
      <c r="VM242" s="4"/>
      <c r="VN242" s="4"/>
      <c r="VO242" s="4"/>
      <c r="VP242" s="4"/>
      <c r="VQ242" s="4"/>
      <c r="VR242" s="5"/>
      <c r="VS242" s="6" t="s">
        <v>967</v>
      </c>
      <c r="VT242" s="4" t="s">
        <v>830</v>
      </c>
      <c r="VU242" s="4" t="s">
        <v>1809</v>
      </c>
      <c r="VV242" s="7" t="s">
        <v>1771</v>
      </c>
      <c r="VW242" s="8">
        <v>37157</v>
      </c>
      <c r="VX242" s="8">
        <v>37173</v>
      </c>
      <c r="VY242" s="5" t="s">
        <v>413</v>
      </c>
      <c r="VZ242" s="6"/>
      <c r="WA242" s="4"/>
      <c r="WB242" s="4"/>
      <c r="WC242" s="4"/>
      <c r="WD242" s="4"/>
      <c r="WE242" s="4"/>
      <c r="WF242" s="5"/>
      <c r="WG242" s="6"/>
      <c r="WH242" s="4"/>
      <c r="WI242" s="4"/>
      <c r="WJ242" s="4"/>
      <c r="WK242" s="4"/>
      <c r="WL242" s="4"/>
      <c r="WM242" s="5"/>
      <c r="WN242" s="6"/>
      <c r="WO242" s="4"/>
      <c r="WP242" s="4"/>
      <c r="WQ242" s="4"/>
      <c r="WR242" s="4"/>
      <c r="WS242" s="4"/>
      <c r="WT242" s="5"/>
      <c r="WU242" s="6"/>
      <c r="WV242" s="4"/>
      <c r="WW242" s="4"/>
      <c r="WX242" s="4"/>
      <c r="WY242" s="4"/>
      <c r="WZ242" s="4"/>
      <c r="XA242" s="5"/>
      <c r="XB242" s="6"/>
      <c r="XC242" s="4"/>
      <c r="XD242" s="4"/>
      <c r="XE242" s="4"/>
      <c r="XF242" s="4"/>
      <c r="XG242" s="4"/>
      <c r="XH242" s="5"/>
      <c r="XI242" s="6"/>
      <c r="XJ242" s="4"/>
      <c r="XK242" s="4"/>
      <c r="XL242" s="4"/>
      <c r="XM242" s="4"/>
      <c r="XN242" s="4"/>
      <c r="XO242" s="5"/>
      <c r="XP242" s="6"/>
      <c r="XQ242" s="4"/>
      <c r="XR242" s="4"/>
      <c r="XS242" s="4"/>
      <c r="XT242" s="4"/>
      <c r="XU242" s="4"/>
      <c r="XV242" s="5"/>
      <c r="XW242" s="6"/>
      <c r="XX242" s="4"/>
      <c r="XY242" s="4"/>
      <c r="XZ242" s="4"/>
      <c r="YA242" s="4"/>
      <c r="YB242" s="4"/>
      <c r="YC242" s="5"/>
      <c r="YD242" s="6"/>
      <c r="YE242" s="4"/>
      <c r="YF242" s="4"/>
      <c r="YG242" s="4"/>
      <c r="YH242" s="4"/>
      <c r="YI242" s="4"/>
      <c r="YJ242" s="5"/>
      <c r="YK242" s="6"/>
      <c r="YL242" s="4"/>
      <c r="YM242" s="4"/>
      <c r="YN242" s="4"/>
      <c r="YO242" s="4"/>
      <c r="YP242" s="4"/>
      <c r="YQ242" s="5"/>
      <c r="YR242" s="6"/>
      <c r="YS242" s="4"/>
      <c r="YT242" s="4"/>
      <c r="YU242" s="4"/>
      <c r="YV242" s="4"/>
      <c r="YW242" s="4"/>
      <c r="YX242" s="5"/>
      <c r="YY242" s="6"/>
      <c r="YZ242" s="4"/>
      <c r="ZA242" s="4"/>
      <c r="ZB242" s="4"/>
      <c r="ZC242" s="4"/>
      <c r="ZD242" s="4"/>
      <c r="ZE242" s="5"/>
      <c r="ZF242" s="6"/>
      <c r="ZG242" s="4"/>
      <c r="ZH242" s="4"/>
      <c r="ZI242" s="4"/>
      <c r="ZJ242" s="4"/>
      <c r="ZK242" s="4"/>
      <c r="ZL242" s="5"/>
      <c r="ZM242" s="6"/>
      <c r="ZN242" s="4"/>
      <c r="ZO242" s="4"/>
      <c r="ZP242" s="4"/>
      <c r="ZQ242" s="4"/>
      <c r="ZR242" s="4"/>
      <c r="ZS242" s="5"/>
      <c r="ZT242" s="6"/>
      <c r="ZU242" s="4"/>
      <c r="ZV242" s="4"/>
      <c r="ZW242" s="4"/>
      <c r="ZX242" s="4"/>
      <c r="ZY242" s="4"/>
      <c r="ZZ242" s="5"/>
      <c r="AAA242" s="6"/>
      <c r="AAB242" s="4"/>
      <c r="AAC242" s="4"/>
      <c r="AAD242" s="4"/>
      <c r="AAE242" s="4"/>
      <c r="AAF242" s="4"/>
      <c r="AAG242" s="5"/>
      <c r="AAH242" s="6"/>
      <c r="AAI242" s="4"/>
      <c r="AAJ242" s="4"/>
      <c r="AAK242" s="4"/>
      <c r="AAL242" s="4"/>
      <c r="AAM242" s="4"/>
      <c r="AAN242" s="5"/>
      <c r="AAO242" s="6"/>
      <c r="AAP242" s="4"/>
      <c r="AAQ242" s="4"/>
      <c r="AAR242" s="4"/>
      <c r="AAS242" s="4"/>
      <c r="AAT242" s="4"/>
      <c r="AAU242" s="5"/>
      <c r="AAV242" s="6"/>
      <c r="AAW242" s="4"/>
      <c r="AAX242" s="4"/>
      <c r="AAY242" s="4"/>
      <c r="AAZ242" s="4"/>
      <c r="ABA242" s="4"/>
      <c r="ABB242" s="5"/>
      <c r="ABC242" s="6"/>
      <c r="ABD242" s="4"/>
      <c r="ABE242" s="4"/>
      <c r="ABF242" s="4"/>
      <c r="ABG242" s="4"/>
      <c r="ABH242" s="4"/>
      <c r="ABI242" s="5"/>
      <c r="ABJ242" s="6"/>
      <c r="ABK242" s="4"/>
      <c r="ABL242" s="4"/>
      <c r="ABM242" s="4"/>
      <c r="ABN242" s="4"/>
      <c r="ABO242" s="4"/>
      <c r="ABP242" s="5"/>
      <c r="ABQ242" s="6"/>
      <c r="ABR242" s="4"/>
      <c r="ABS242" s="4"/>
      <c r="ABT242" s="4"/>
      <c r="ABU242" s="4"/>
      <c r="ABV242" s="4"/>
      <c r="ABW242" s="5"/>
      <c r="ABX242" s="6"/>
      <c r="ABY242" s="4"/>
      <c r="ABZ242" s="4"/>
      <c r="ACA242" s="4"/>
      <c r="ACB242" s="4"/>
      <c r="ACC242" s="4"/>
      <c r="ACD242" s="5"/>
      <c r="ACE242" s="6"/>
      <c r="ACF242" s="4"/>
      <c r="ACG242" s="4"/>
      <c r="ACH242" s="4"/>
      <c r="ACI242" s="4"/>
      <c r="ACJ242" s="4"/>
      <c r="ACK242" s="5"/>
      <c r="ACL242" s="6"/>
      <c r="ACM242" s="4"/>
      <c r="ACN242" s="4"/>
      <c r="ACO242" s="4"/>
      <c r="ACP242" s="4"/>
      <c r="ACQ242" s="4"/>
      <c r="ACR242" s="5"/>
      <c r="ACS242" s="6"/>
      <c r="ACT242" s="4"/>
      <c r="ACU242" s="4"/>
      <c r="ACV242" s="4"/>
      <c r="ACW242" s="4"/>
      <c r="ACX242" s="4"/>
      <c r="ACY242" s="5"/>
    </row>
    <row r="243" spans="2:805" x14ac:dyDescent="0.25">
      <c r="B243" s="29">
        <v>2005472</v>
      </c>
      <c r="C243">
        <v>41</v>
      </c>
      <c r="D243" t="s">
        <v>2121</v>
      </c>
      <c r="F243" s="23">
        <v>0</v>
      </c>
      <c r="I243">
        <v>1</v>
      </c>
      <c r="J243" s="19">
        <v>36690</v>
      </c>
      <c r="K243" s="19"/>
      <c r="L243" s="19"/>
      <c r="LL243" s="6"/>
      <c r="LM243" s="4"/>
      <c r="LN243" s="4"/>
      <c r="LO243" s="4"/>
      <c r="LP243" s="4"/>
      <c r="LQ243" s="4"/>
      <c r="LR243" s="5"/>
      <c r="LS243" s="6"/>
      <c r="LT243" s="4"/>
      <c r="LU243" s="4"/>
      <c r="LV243" s="4"/>
      <c r="LW243" s="4"/>
      <c r="LX243" s="4"/>
      <c r="LY243" s="5"/>
      <c r="LZ243" s="6" t="s">
        <v>3481</v>
      </c>
      <c r="MA243" s="7" t="s">
        <v>3481</v>
      </c>
      <c r="MB243" s="4"/>
      <c r="MC243" s="4"/>
      <c r="MD243" s="8"/>
      <c r="ME243" s="4"/>
      <c r="MF243" s="4" t="s">
        <v>3920</v>
      </c>
      <c r="MG243" s="5" t="s">
        <v>3918</v>
      </c>
      <c r="MH243" s="6"/>
      <c r="MI243" s="4"/>
      <c r="MJ243" s="4"/>
      <c r="MK243" s="4"/>
      <c r="ML243" s="4"/>
      <c r="MM243" s="4"/>
      <c r="MN243" s="5"/>
      <c r="MO243" s="6"/>
      <c r="MP243" s="4"/>
      <c r="MQ243" s="4"/>
      <c r="MR243" s="4"/>
      <c r="MS243" s="4"/>
      <c r="MT243" s="4"/>
      <c r="MU243" s="5"/>
      <c r="MV243" s="6"/>
      <c r="MW243" s="4"/>
      <c r="MX243" s="4"/>
      <c r="MY243" s="4"/>
      <c r="MZ243" s="4"/>
      <c r="NA243" s="4"/>
      <c r="NB243" s="5"/>
      <c r="NC243" s="6"/>
      <c r="ND243" s="4"/>
      <c r="NE243" s="4"/>
      <c r="NF243" s="4"/>
      <c r="NG243" s="4"/>
      <c r="NH243" s="4"/>
      <c r="NI243" s="5"/>
      <c r="NJ243" s="6"/>
      <c r="NK243" s="4"/>
      <c r="NL243" s="4"/>
      <c r="NM243" s="4"/>
      <c r="NN243" s="4"/>
      <c r="NO243" s="4"/>
      <c r="NP243" s="5"/>
      <c r="NQ243" s="6"/>
      <c r="NR243" s="4"/>
      <c r="NS243" s="4"/>
      <c r="NT243" s="4"/>
      <c r="NU243" s="4"/>
      <c r="NV243" s="4"/>
      <c r="NW243" s="5"/>
      <c r="NX243" s="6"/>
      <c r="NY243" s="4"/>
      <c r="NZ243" s="4"/>
      <c r="OA243" s="4"/>
      <c r="OB243" s="4"/>
      <c r="OC243" s="4"/>
      <c r="OD243" s="5"/>
      <c r="OE243" s="6"/>
      <c r="OF243" s="4"/>
      <c r="OG243" s="4"/>
      <c r="OH243" s="4"/>
      <c r="OI243" s="4"/>
      <c r="OJ243" s="4"/>
      <c r="OK243" s="5"/>
      <c r="OL243" s="6"/>
      <c r="OM243" s="4"/>
      <c r="ON243" s="4"/>
      <c r="OO243" s="4"/>
      <c r="OP243" s="4"/>
      <c r="OQ243" s="4"/>
      <c r="OR243" s="5"/>
      <c r="OS243" s="6"/>
      <c r="OT243" s="4"/>
      <c r="OU243" s="4"/>
      <c r="OV243" s="4"/>
      <c r="OW243" s="4"/>
      <c r="OX243" s="4"/>
      <c r="OY243" s="5"/>
      <c r="OZ243" s="6"/>
      <c r="PA243" s="4"/>
      <c r="PB243" s="4"/>
      <c r="PC243" s="4"/>
      <c r="PD243" s="4"/>
      <c r="PE243" s="4"/>
      <c r="PF243" s="5"/>
      <c r="PG243" s="6"/>
      <c r="PH243" s="4"/>
      <c r="PI243" s="4"/>
      <c r="PJ243" s="4"/>
      <c r="PK243" s="4"/>
      <c r="PL243" s="4"/>
      <c r="PM243" s="5"/>
      <c r="PN243" s="6"/>
      <c r="PO243" s="4"/>
      <c r="PP243" s="4"/>
      <c r="PQ243" s="4"/>
      <c r="PR243" s="4"/>
      <c r="PS243" s="4"/>
      <c r="PT243" s="5"/>
      <c r="PU243" s="6"/>
      <c r="PV243" s="4"/>
      <c r="PW243" s="4"/>
      <c r="PX243" s="4"/>
      <c r="PY243" s="4"/>
      <c r="PZ243" s="4"/>
      <c r="QA243" s="5"/>
      <c r="QB243" s="6"/>
      <c r="QC243" s="4"/>
      <c r="QD243" s="4"/>
      <c r="QE243" s="4"/>
      <c r="QF243" s="4"/>
      <c r="QG243" s="4"/>
      <c r="QH243" s="5"/>
      <c r="QI243" s="6"/>
      <c r="QJ243" s="4"/>
      <c r="QK243" s="4"/>
      <c r="QL243" s="4"/>
      <c r="QM243" s="4"/>
      <c r="QN243" s="4"/>
      <c r="QO243" s="5"/>
      <c r="QP243" s="6"/>
      <c r="QQ243" s="4"/>
      <c r="QR243" s="4"/>
      <c r="QS243" s="4"/>
      <c r="QT243" s="4"/>
      <c r="QU243" s="4"/>
      <c r="QV243" s="5"/>
      <c r="QW243" s="6"/>
      <c r="QX243" s="4"/>
      <c r="QY243" s="4"/>
      <c r="QZ243" s="4"/>
      <c r="RA243" s="4"/>
      <c r="RB243" s="4"/>
      <c r="RC243" s="5"/>
      <c r="RD243" s="6"/>
      <c r="RE243" s="4"/>
      <c r="RF243" s="4"/>
      <c r="RG243" s="4"/>
      <c r="RH243" s="4"/>
      <c r="RI243" s="4"/>
      <c r="RJ243" s="5"/>
      <c r="RK243" s="6"/>
      <c r="RL243" s="4"/>
      <c r="RM243" s="4"/>
      <c r="RN243" s="4"/>
      <c r="RO243" s="4"/>
      <c r="RP243" s="4"/>
      <c r="RQ243" s="5"/>
      <c r="RR243" s="6"/>
      <c r="RS243" s="4"/>
      <c r="RT243" s="4"/>
      <c r="RU243" s="4"/>
      <c r="RV243" s="4"/>
      <c r="RW243" s="4"/>
      <c r="RX243" s="5"/>
      <c r="RY243" s="6"/>
      <c r="RZ243" s="4"/>
      <c r="SA243" s="4"/>
      <c r="SB243" s="4"/>
      <c r="SC243" s="4"/>
      <c r="SD243" s="4"/>
      <c r="SE243" s="5"/>
      <c r="SF243" s="6"/>
      <c r="SG243" s="4"/>
      <c r="SH243" s="4"/>
      <c r="SI243" s="4"/>
      <c r="SJ243" s="4"/>
      <c r="SK243" s="4"/>
      <c r="SL243" s="5"/>
      <c r="SM243" s="6"/>
      <c r="SN243" s="4"/>
      <c r="SO243" s="4"/>
      <c r="SP243" s="4"/>
      <c r="SQ243" s="4"/>
      <c r="SR243" s="4"/>
      <c r="SS243" s="5"/>
      <c r="ST243" s="6"/>
      <c r="SU243" s="4"/>
      <c r="SV243" s="4"/>
      <c r="SW243" s="4"/>
      <c r="SX243" s="4"/>
      <c r="SY243" s="4"/>
      <c r="SZ243" s="5"/>
      <c r="TA243" s="6"/>
      <c r="TB243" s="4"/>
      <c r="TC243" s="4"/>
      <c r="TD243" s="4"/>
      <c r="TE243" s="4"/>
      <c r="TF243" s="4"/>
      <c r="TG243" s="5"/>
      <c r="TH243" s="6"/>
      <c r="TI243" s="4"/>
      <c r="TJ243" s="4"/>
      <c r="TK243" s="4"/>
      <c r="TL243" s="4"/>
      <c r="TM243" s="4"/>
      <c r="TN243" s="5"/>
      <c r="TO243" s="6"/>
      <c r="TP243" s="4"/>
      <c r="TQ243" s="4"/>
      <c r="TR243" s="4"/>
      <c r="TS243" s="4"/>
      <c r="TT243" s="4"/>
      <c r="TU243" s="5"/>
      <c r="TV243" s="6"/>
      <c r="TW243" s="4"/>
      <c r="TX243" s="4"/>
      <c r="TY243" s="4"/>
      <c r="TZ243" s="4"/>
      <c r="UA243" s="4"/>
      <c r="UB243" s="5"/>
      <c r="UC243" s="6"/>
      <c r="UD243" s="4"/>
      <c r="UE243" s="4"/>
      <c r="UF243" s="4"/>
      <c r="UG243" s="4"/>
      <c r="UH243" s="4"/>
      <c r="UI243" s="5"/>
      <c r="UJ243" s="6"/>
      <c r="UK243" s="4"/>
      <c r="UL243" s="4"/>
      <c r="UM243" s="4"/>
      <c r="UN243" s="4"/>
      <c r="UO243" s="4"/>
      <c r="UP243" s="5"/>
      <c r="UQ243" s="6"/>
      <c r="UR243" s="4"/>
      <c r="US243" s="4"/>
      <c r="UT243" s="4"/>
      <c r="UU243" s="4"/>
      <c r="UV243" s="4"/>
      <c r="UW243" s="5"/>
      <c r="UX243" s="6"/>
      <c r="UY243" s="4"/>
      <c r="UZ243" s="4"/>
      <c r="VA243" s="4"/>
      <c r="VB243" s="4"/>
      <c r="VC243" s="4"/>
      <c r="VD243" s="5"/>
      <c r="VE243" s="6"/>
      <c r="VF243" s="4"/>
      <c r="VG243" s="4"/>
      <c r="VH243" s="4"/>
      <c r="VI243" s="4"/>
      <c r="VJ243" s="4"/>
      <c r="VK243" s="5"/>
      <c r="VL243" s="6"/>
      <c r="VM243" s="4"/>
      <c r="VN243" s="4"/>
      <c r="VO243" s="4"/>
      <c r="VP243" s="4"/>
      <c r="VQ243" s="4"/>
      <c r="VR243" s="5"/>
      <c r="VS243" s="6"/>
      <c r="VT243" s="4"/>
      <c r="VU243" s="4"/>
      <c r="VV243" s="4"/>
      <c r="VW243" s="4"/>
      <c r="VX243" s="4"/>
      <c r="VY243" s="5"/>
      <c r="VZ243" s="6"/>
      <c r="WA243" s="4"/>
      <c r="WB243" s="4"/>
      <c r="WC243" s="4"/>
      <c r="WD243" s="4"/>
      <c r="WE243" s="4"/>
      <c r="WF243" s="5"/>
      <c r="WG243" s="6"/>
      <c r="WH243" s="4"/>
      <c r="WI243" s="4"/>
      <c r="WJ243" s="4"/>
      <c r="WK243" s="4"/>
      <c r="WL243" s="4"/>
      <c r="WM243" s="5"/>
      <c r="WN243" s="6"/>
      <c r="WO243" s="4"/>
      <c r="WP243" s="4"/>
      <c r="WQ243" s="4"/>
      <c r="WR243" s="4"/>
      <c r="WS243" s="4"/>
      <c r="WT243" s="5"/>
      <c r="WU243" s="6"/>
      <c r="WV243" s="4"/>
      <c r="WW243" s="4"/>
      <c r="WX243" s="4"/>
      <c r="WY243" s="4"/>
      <c r="WZ243" s="4"/>
      <c r="XA243" s="5"/>
      <c r="XB243" s="6"/>
      <c r="XC243" s="4"/>
      <c r="XD243" s="4"/>
      <c r="XE243" s="4"/>
      <c r="XF243" s="4"/>
      <c r="XG243" s="4"/>
      <c r="XH243" s="5"/>
      <c r="XI243" s="6"/>
      <c r="XJ243" s="4"/>
      <c r="XK243" s="4"/>
      <c r="XL243" s="4"/>
      <c r="XM243" s="4"/>
      <c r="XN243" s="4"/>
      <c r="XO243" s="5"/>
      <c r="XP243" s="6"/>
      <c r="XQ243" s="4"/>
      <c r="XR243" s="4"/>
      <c r="XS243" s="4"/>
      <c r="XT243" s="4"/>
      <c r="XU243" s="4"/>
      <c r="XV243" s="5"/>
      <c r="XW243" s="6"/>
      <c r="XX243" s="4"/>
      <c r="XY243" s="4"/>
      <c r="XZ243" s="4"/>
      <c r="YA243" s="4"/>
      <c r="YB243" s="4"/>
      <c r="YC243" s="5"/>
      <c r="YD243" s="6"/>
      <c r="YE243" s="4"/>
      <c r="YF243" s="4"/>
      <c r="YG243" s="4"/>
      <c r="YH243" s="4"/>
      <c r="YI243" s="4"/>
      <c r="YJ243" s="5"/>
      <c r="YK243" s="6"/>
      <c r="YL243" s="4"/>
      <c r="YM243" s="4"/>
      <c r="YN243" s="4"/>
      <c r="YO243" s="4"/>
      <c r="YP243" s="4"/>
      <c r="YQ243" s="5"/>
      <c r="YR243" s="6"/>
      <c r="YS243" s="4"/>
      <c r="YT243" s="4"/>
      <c r="YU243" s="4"/>
      <c r="YV243" s="4"/>
      <c r="YW243" s="4"/>
      <c r="YX243" s="5"/>
      <c r="YY243" s="6"/>
      <c r="YZ243" s="4"/>
      <c r="ZA243" s="4"/>
      <c r="ZB243" s="4"/>
      <c r="ZC243" s="4"/>
      <c r="ZD243" s="4"/>
      <c r="ZE243" s="5"/>
      <c r="ZF243" s="6"/>
      <c r="ZG243" s="4"/>
      <c r="ZH243" s="4"/>
      <c r="ZI243" s="4"/>
      <c r="ZJ243" s="4"/>
      <c r="ZK243" s="4"/>
      <c r="ZL243" s="5"/>
      <c r="ZM243" s="6"/>
      <c r="ZN243" s="4"/>
      <c r="ZO243" s="4"/>
      <c r="ZP243" s="4"/>
      <c r="ZQ243" s="4"/>
      <c r="ZR243" s="4"/>
      <c r="ZS243" s="5"/>
      <c r="ZT243" s="6"/>
      <c r="ZU243" s="4"/>
      <c r="ZV243" s="4"/>
      <c r="ZW243" s="4"/>
      <c r="ZX243" s="4"/>
      <c r="ZY243" s="4"/>
      <c r="ZZ243" s="5"/>
      <c r="AAA243" s="6"/>
      <c r="AAB243" s="4"/>
      <c r="AAC243" s="4"/>
      <c r="AAD243" s="4"/>
      <c r="AAE243" s="4"/>
      <c r="AAF243" s="4"/>
      <c r="AAG243" s="5"/>
      <c r="AAH243" s="6"/>
      <c r="AAI243" s="4"/>
      <c r="AAJ243" s="4"/>
      <c r="AAK243" s="4"/>
      <c r="AAL243" s="4"/>
      <c r="AAM243" s="4"/>
      <c r="AAN243" s="5"/>
      <c r="AAO243" s="6"/>
      <c r="AAP243" s="4"/>
      <c r="AAQ243" s="4"/>
      <c r="AAR243" s="4"/>
      <c r="AAS243" s="4"/>
      <c r="AAT243" s="4"/>
      <c r="AAU243" s="5"/>
      <c r="AAV243" s="6"/>
      <c r="AAW243" s="4"/>
      <c r="AAX243" s="4"/>
      <c r="AAY243" s="4"/>
      <c r="AAZ243" s="4"/>
      <c r="ABA243" s="4"/>
      <c r="ABB243" s="5"/>
      <c r="ABC243" s="6"/>
      <c r="ABD243" s="4"/>
      <c r="ABE243" s="4"/>
      <c r="ABF243" s="4"/>
      <c r="ABG243" s="4"/>
      <c r="ABH243" s="4"/>
      <c r="ABI243" s="5"/>
      <c r="ABJ243" s="6" t="s">
        <v>3303</v>
      </c>
      <c r="ABK243" s="4" t="s">
        <v>3167</v>
      </c>
      <c r="ABL243" s="4"/>
      <c r="ABM243" s="4"/>
      <c r="ABN243" s="4"/>
      <c r="ABO243" s="4"/>
      <c r="ABP243" s="5"/>
      <c r="ABQ243" s="6"/>
      <c r="ABR243" s="4"/>
      <c r="ABS243" s="4"/>
      <c r="ABT243" s="4"/>
      <c r="ABU243" s="4"/>
      <c r="ABV243" s="4"/>
      <c r="ABW243" s="5"/>
      <c r="ABX243" s="6"/>
      <c r="ABY243" s="4"/>
      <c r="ABZ243" s="4"/>
      <c r="ACA243" s="4"/>
      <c r="ACB243" s="4"/>
      <c r="ACC243" s="4"/>
      <c r="ACD243" s="5"/>
      <c r="ACE243" s="6"/>
      <c r="ACF243" s="4"/>
      <c r="ACG243" s="4"/>
      <c r="ACH243" s="4"/>
      <c r="ACI243" s="4"/>
      <c r="ACJ243" s="4"/>
      <c r="ACK243" s="5"/>
      <c r="ACL243" s="6"/>
      <c r="ACM243" s="4"/>
      <c r="ACN243" s="4"/>
      <c r="ACO243" s="4"/>
      <c r="ACP243" s="4"/>
      <c r="ACQ243" s="4"/>
      <c r="ACR243" s="5"/>
      <c r="ACS243" s="6"/>
      <c r="ACT243" s="4"/>
      <c r="ACU243" s="4"/>
      <c r="ACV243" s="4"/>
      <c r="ACW243" s="4"/>
      <c r="ACX243" s="4"/>
      <c r="ACY243" s="5"/>
      <c r="ADH243" t="s">
        <v>3790</v>
      </c>
      <c r="ADK243" t="s">
        <v>3789</v>
      </c>
    </row>
    <row r="244" spans="2:805" x14ac:dyDescent="0.25">
      <c r="B244" s="30"/>
      <c r="J244" s="12"/>
      <c r="K244" s="12"/>
      <c r="L244" s="12"/>
      <c r="LL244" s="6"/>
      <c r="LM244" s="4"/>
      <c r="LN244" s="4"/>
      <c r="LO244" s="4"/>
      <c r="LP244" s="4"/>
      <c r="LQ244" s="4"/>
      <c r="LR244" s="5"/>
      <c r="LS244" s="6"/>
      <c r="LT244" s="4"/>
      <c r="LU244" s="4"/>
      <c r="LV244" s="4"/>
      <c r="LW244" s="4"/>
      <c r="LX244" s="4"/>
      <c r="LY244" s="5"/>
      <c r="LZ244" s="6" t="s">
        <v>3271</v>
      </c>
      <c r="MA244" s="7" t="s">
        <v>3302</v>
      </c>
      <c r="MB244" s="4"/>
      <c r="MC244" s="4"/>
      <c r="MD244" s="8"/>
      <c r="ME244" s="4"/>
      <c r="MF244" s="4"/>
      <c r="MG244" s="5"/>
      <c r="MH244" s="6"/>
      <c r="MI244" s="4"/>
      <c r="MJ244" s="4"/>
      <c r="MK244" s="4"/>
      <c r="ML244" s="4"/>
      <c r="MM244" s="4"/>
      <c r="MN244" s="5"/>
      <c r="MO244" s="6"/>
      <c r="MP244" s="4"/>
      <c r="MQ244" s="4"/>
      <c r="MR244" s="4"/>
      <c r="MS244" s="4"/>
      <c r="MT244" s="4"/>
      <c r="MU244" s="5"/>
      <c r="MV244" s="6"/>
      <c r="MW244" s="4"/>
      <c r="MX244" s="4"/>
      <c r="MY244" s="4"/>
      <c r="MZ244" s="4"/>
      <c r="NA244" s="4"/>
      <c r="NB244" s="5"/>
      <c r="NC244" s="6"/>
      <c r="ND244" s="4"/>
      <c r="NE244" s="4"/>
      <c r="NF244" s="4"/>
      <c r="NG244" s="4"/>
      <c r="NH244" s="4"/>
      <c r="NI244" s="5"/>
      <c r="NJ244" s="6"/>
      <c r="NK244" s="4"/>
      <c r="NL244" s="4"/>
      <c r="NM244" s="4"/>
      <c r="NN244" s="4"/>
      <c r="NO244" s="4"/>
      <c r="NP244" s="5"/>
      <c r="NQ244" s="6"/>
      <c r="NR244" s="4"/>
      <c r="NS244" s="4"/>
      <c r="NT244" s="4"/>
      <c r="NU244" s="4"/>
      <c r="NV244" s="4"/>
      <c r="NW244" s="5"/>
      <c r="NX244" s="6"/>
      <c r="NY244" s="4"/>
      <c r="NZ244" s="4"/>
      <c r="OA244" s="4"/>
      <c r="OB244" s="4"/>
      <c r="OC244" s="4"/>
      <c r="OD244" s="5"/>
      <c r="OE244" s="6"/>
      <c r="OF244" s="4"/>
      <c r="OG244" s="4"/>
      <c r="OH244" s="4"/>
      <c r="OI244" s="4"/>
      <c r="OJ244" s="4"/>
      <c r="OK244" s="5"/>
      <c r="OL244" s="6"/>
      <c r="OM244" s="4"/>
      <c r="ON244" s="4"/>
      <c r="OO244" s="4"/>
      <c r="OP244" s="4"/>
      <c r="OQ244" s="4"/>
      <c r="OR244" s="5"/>
      <c r="OS244" s="6"/>
      <c r="OT244" s="4"/>
      <c r="OU244" s="4"/>
      <c r="OV244" s="4"/>
      <c r="OW244" s="4"/>
      <c r="OX244" s="4"/>
      <c r="OY244" s="5"/>
      <c r="OZ244" s="6"/>
      <c r="PA244" s="4"/>
      <c r="PB244" s="4"/>
      <c r="PC244" s="4"/>
      <c r="PD244" s="4"/>
      <c r="PE244" s="4"/>
      <c r="PF244" s="5"/>
      <c r="PG244" s="6"/>
      <c r="PH244" s="4"/>
      <c r="PI244" s="4"/>
      <c r="PJ244" s="4"/>
      <c r="PK244" s="4"/>
      <c r="PL244" s="4"/>
      <c r="PM244" s="5"/>
      <c r="PN244" s="6"/>
      <c r="PO244" s="4"/>
      <c r="PP244" s="4"/>
      <c r="PQ244" s="4"/>
      <c r="PR244" s="4"/>
      <c r="PS244" s="4"/>
      <c r="PT244" s="5"/>
      <c r="PU244" s="6"/>
      <c r="PV244" s="4"/>
      <c r="PW244" s="4"/>
      <c r="PX244" s="4"/>
      <c r="PY244" s="4"/>
      <c r="PZ244" s="4"/>
      <c r="QA244" s="5"/>
      <c r="QB244" s="6"/>
      <c r="QC244" s="4"/>
      <c r="QD244" s="4"/>
      <c r="QE244" s="4"/>
      <c r="QF244" s="4"/>
      <c r="QG244" s="4"/>
      <c r="QH244" s="5"/>
      <c r="QI244" s="6"/>
      <c r="QJ244" s="4"/>
      <c r="QK244" s="4"/>
      <c r="QL244" s="4"/>
      <c r="QM244" s="4"/>
      <c r="QN244" s="4"/>
      <c r="QO244" s="5"/>
      <c r="QP244" s="6"/>
      <c r="QQ244" s="4"/>
      <c r="QR244" s="4"/>
      <c r="QS244" s="4"/>
      <c r="QT244" s="4"/>
      <c r="QU244" s="4"/>
      <c r="QV244" s="5"/>
      <c r="QW244" s="6"/>
      <c r="QX244" s="4"/>
      <c r="QY244" s="4"/>
      <c r="QZ244" s="4"/>
      <c r="RA244" s="4"/>
      <c r="RB244" s="4"/>
      <c r="RC244" s="5"/>
      <c r="RD244" s="6"/>
      <c r="RE244" s="4"/>
      <c r="RF244" s="4"/>
      <c r="RG244" s="4"/>
      <c r="RH244" s="4"/>
      <c r="RI244" s="4"/>
      <c r="RJ244" s="5"/>
      <c r="RK244" s="6"/>
      <c r="RL244" s="4"/>
      <c r="RM244" s="4"/>
      <c r="RN244" s="4"/>
      <c r="RO244" s="4"/>
      <c r="RP244" s="4"/>
      <c r="RQ244" s="5"/>
      <c r="RR244" s="6"/>
      <c r="RS244" s="4"/>
      <c r="RT244" s="4"/>
      <c r="RU244" s="4"/>
      <c r="RV244" s="4"/>
      <c r="RW244" s="4"/>
      <c r="RX244" s="5"/>
      <c r="RY244" s="6"/>
      <c r="RZ244" s="4"/>
      <c r="SA244" s="4"/>
      <c r="SB244" s="4"/>
      <c r="SC244" s="4"/>
      <c r="SD244" s="4"/>
      <c r="SE244" s="5"/>
      <c r="SF244" s="6"/>
      <c r="SG244" s="4"/>
      <c r="SH244" s="4"/>
      <c r="SI244" s="4"/>
      <c r="SJ244" s="4"/>
      <c r="SK244" s="4"/>
      <c r="SL244" s="5"/>
      <c r="SM244" s="6"/>
      <c r="SN244" s="4"/>
      <c r="SO244" s="4"/>
      <c r="SP244" s="4"/>
      <c r="SQ244" s="4"/>
      <c r="SR244" s="4"/>
      <c r="SS244" s="5"/>
      <c r="ST244" s="6"/>
      <c r="SU244" s="4"/>
      <c r="SV244" s="4"/>
      <c r="SW244" s="4"/>
      <c r="SX244" s="4"/>
      <c r="SY244" s="4"/>
      <c r="SZ244" s="5"/>
      <c r="TA244" s="6"/>
      <c r="TB244" s="4"/>
      <c r="TC244" s="4"/>
      <c r="TD244" s="4"/>
      <c r="TE244" s="4"/>
      <c r="TF244" s="4"/>
      <c r="TG244" s="5"/>
      <c r="TH244" s="6"/>
      <c r="TI244" s="4"/>
      <c r="TJ244" s="4"/>
      <c r="TK244" s="4"/>
      <c r="TL244" s="4"/>
      <c r="TM244" s="4"/>
      <c r="TN244" s="5"/>
      <c r="TO244" s="6"/>
      <c r="TP244" s="4"/>
      <c r="TQ244" s="4"/>
      <c r="TR244" s="4"/>
      <c r="TS244" s="4"/>
      <c r="TT244" s="4"/>
      <c r="TU244" s="5"/>
      <c r="TV244" s="6"/>
      <c r="TW244" s="4"/>
      <c r="TX244" s="4"/>
      <c r="TY244" s="4"/>
      <c r="TZ244" s="4"/>
      <c r="UA244" s="4"/>
      <c r="UB244" s="5"/>
      <c r="UC244" s="6"/>
      <c r="UD244" s="4"/>
      <c r="UE244" s="4"/>
      <c r="UF244" s="4"/>
      <c r="UG244" s="4"/>
      <c r="UH244" s="4"/>
      <c r="UI244" s="5"/>
      <c r="UJ244" s="6"/>
      <c r="UK244" s="4"/>
      <c r="UL244" s="4"/>
      <c r="UM244" s="4"/>
      <c r="UN244" s="4"/>
      <c r="UO244" s="4"/>
      <c r="UP244" s="5"/>
      <c r="UQ244" s="6"/>
      <c r="UR244" s="4"/>
      <c r="US244" s="4"/>
      <c r="UT244" s="4"/>
      <c r="UU244" s="4"/>
      <c r="UV244" s="4"/>
      <c r="UW244" s="5"/>
      <c r="UX244" s="6"/>
      <c r="UY244" s="4"/>
      <c r="UZ244" s="4"/>
      <c r="VA244" s="4"/>
      <c r="VB244" s="4"/>
      <c r="VC244" s="4"/>
      <c r="VD244" s="5"/>
      <c r="VE244" s="6"/>
      <c r="VF244" s="4"/>
      <c r="VG244" s="4"/>
      <c r="VH244" s="4"/>
      <c r="VI244" s="4"/>
      <c r="VJ244" s="4"/>
      <c r="VK244" s="5"/>
      <c r="VL244" s="6"/>
      <c r="VM244" s="4"/>
      <c r="VN244" s="4"/>
      <c r="VO244" s="4"/>
      <c r="VP244" s="4"/>
      <c r="VQ244" s="4"/>
      <c r="VR244" s="5"/>
      <c r="VS244" s="6"/>
      <c r="VT244" s="4"/>
      <c r="VU244" s="4"/>
      <c r="VV244" s="4"/>
      <c r="VW244" s="4"/>
      <c r="VX244" s="4"/>
      <c r="VY244" s="5"/>
      <c r="VZ244" s="6"/>
      <c r="WA244" s="4"/>
      <c r="WB244" s="4"/>
      <c r="WC244" s="4"/>
      <c r="WD244" s="4"/>
      <c r="WE244" s="4"/>
      <c r="WF244" s="5"/>
      <c r="WG244" s="6"/>
      <c r="WH244" s="4"/>
      <c r="WI244" s="4"/>
      <c r="WJ244" s="4"/>
      <c r="WK244" s="4"/>
      <c r="WL244" s="4"/>
      <c r="WM244" s="5"/>
      <c r="WN244" s="6"/>
      <c r="WO244" s="4"/>
      <c r="WP244" s="4"/>
      <c r="WQ244" s="4"/>
      <c r="WR244" s="4"/>
      <c r="WS244" s="4"/>
      <c r="WT244" s="5"/>
      <c r="WU244" s="6"/>
      <c r="WV244" s="4"/>
      <c r="WW244" s="4"/>
      <c r="WX244" s="4"/>
      <c r="WY244" s="4"/>
      <c r="WZ244" s="4"/>
      <c r="XA244" s="5"/>
      <c r="XB244" s="6"/>
      <c r="XC244" s="4"/>
      <c r="XD244" s="4"/>
      <c r="XE244" s="4"/>
      <c r="XF244" s="4"/>
      <c r="XG244" s="4"/>
      <c r="XH244" s="5"/>
      <c r="XI244" s="6"/>
      <c r="XJ244" s="4"/>
      <c r="XK244" s="4"/>
      <c r="XL244" s="4"/>
      <c r="XM244" s="4"/>
      <c r="XN244" s="4"/>
      <c r="XO244" s="5"/>
      <c r="XP244" s="6"/>
      <c r="XQ244" s="4"/>
      <c r="XR244" s="4"/>
      <c r="XS244" s="4"/>
      <c r="XT244" s="4"/>
      <c r="XU244" s="4"/>
      <c r="XV244" s="5"/>
      <c r="XW244" s="6"/>
      <c r="XX244" s="4"/>
      <c r="XY244" s="4"/>
      <c r="XZ244" s="4"/>
      <c r="YA244" s="4"/>
      <c r="YB244" s="4"/>
      <c r="YC244" s="5"/>
      <c r="YD244" s="6"/>
      <c r="YE244" s="4"/>
      <c r="YF244" s="4"/>
      <c r="YG244" s="4"/>
      <c r="YH244" s="4"/>
      <c r="YI244" s="4"/>
      <c r="YJ244" s="5"/>
      <c r="YK244" s="6"/>
      <c r="YL244" s="4"/>
      <c r="YM244" s="4"/>
      <c r="YN244" s="4"/>
      <c r="YO244" s="4"/>
      <c r="YP244" s="4"/>
      <c r="YQ244" s="5"/>
      <c r="YR244" s="6"/>
      <c r="YS244" s="4"/>
      <c r="YT244" s="4"/>
      <c r="YU244" s="4"/>
      <c r="YV244" s="4"/>
      <c r="YW244" s="4"/>
      <c r="YX244" s="5"/>
      <c r="YY244" s="6"/>
      <c r="YZ244" s="4"/>
      <c r="ZA244" s="4"/>
      <c r="ZB244" s="4"/>
      <c r="ZC244" s="4"/>
      <c r="ZD244" s="4"/>
      <c r="ZE244" s="5"/>
      <c r="ZF244" s="6"/>
      <c r="ZG244" s="4"/>
      <c r="ZH244" s="4"/>
      <c r="ZI244" s="4"/>
      <c r="ZJ244" s="4"/>
      <c r="ZK244" s="4"/>
      <c r="ZL244" s="5"/>
      <c r="ZM244" s="6"/>
      <c r="ZN244" s="4"/>
      <c r="ZO244" s="4"/>
      <c r="ZP244" s="4"/>
      <c r="ZQ244" s="4"/>
      <c r="ZR244" s="4"/>
      <c r="ZS244" s="5"/>
      <c r="ZT244" s="6"/>
      <c r="ZU244" s="4"/>
      <c r="ZV244" s="4"/>
      <c r="ZW244" s="4"/>
      <c r="ZX244" s="4"/>
      <c r="ZY244" s="4"/>
      <c r="ZZ244" s="5"/>
      <c r="AAA244" s="6"/>
      <c r="AAB244" s="4"/>
      <c r="AAC244" s="4"/>
      <c r="AAD244" s="4"/>
      <c r="AAE244" s="4"/>
      <c r="AAF244" s="4"/>
      <c r="AAG244" s="5"/>
      <c r="AAH244" s="6"/>
      <c r="AAI244" s="4"/>
      <c r="AAJ244" s="4"/>
      <c r="AAK244" s="4"/>
      <c r="AAL244" s="4"/>
      <c r="AAM244" s="4"/>
      <c r="AAN244" s="5"/>
      <c r="AAO244" s="6"/>
      <c r="AAP244" s="4"/>
      <c r="AAQ244" s="4"/>
      <c r="AAR244" s="4"/>
      <c r="AAS244" s="4"/>
      <c r="AAT244" s="4"/>
      <c r="AAU244" s="5"/>
      <c r="AAV244" s="6"/>
      <c r="AAW244" s="4"/>
      <c r="AAX244" s="4"/>
      <c r="AAY244" s="4"/>
      <c r="AAZ244" s="4"/>
      <c r="ABA244" s="4"/>
      <c r="ABB244" s="5"/>
      <c r="ABC244" s="6"/>
      <c r="ABD244" s="4"/>
      <c r="ABE244" s="4"/>
      <c r="ABF244" s="4"/>
      <c r="ABG244" s="4"/>
      <c r="ABH244" s="4"/>
      <c r="ABI244" s="5"/>
      <c r="ABJ244" s="6"/>
      <c r="ABK244" s="4"/>
      <c r="ABL244" s="4"/>
      <c r="ABM244" s="4"/>
      <c r="ABN244" s="4"/>
      <c r="ABO244" s="4"/>
      <c r="ABP244" s="5"/>
      <c r="ABQ244" s="6"/>
      <c r="ABR244" s="4"/>
      <c r="ABS244" s="4"/>
      <c r="ABT244" s="4"/>
      <c r="ABU244" s="4"/>
      <c r="ABV244" s="4"/>
      <c r="ABW244" s="5"/>
      <c r="ABX244" s="6"/>
      <c r="ABY244" s="4"/>
      <c r="ABZ244" s="4"/>
      <c r="ACA244" s="4"/>
      <c r="ACB244" s="4"/>
      <c r="ACC244" s="4"/>
      <c r="ACD244" s="5"/>
      <c r="ACE244" s="6"/>
      <c r="ACF244" s="4"/>
      <c r="ACG244" s="4"/>
      <c r="ACH244" s="4"/>
      <c r="ACI244" s="4"/>
      <c r="ACJ244" s="4"/>
      <c r="ACK244" s="5"/>
      <c r="ACL244" s="6"/>
      <c r="ACM244" s="4"/>
      <c r="ACN244" s="4"/>
      <c r="ACO244" s="4"/>
      <c r="ACP244" s="4"/>
      <c r="ACQ244" s="4"/>
      <c r="ACR244" s="5"/>
      <c r="ACS244" s="6"/>
      <c r="ACT244" s="4"/>
      <c r="ACU244" s="4"/>
      <c r="ACV244" s="4"/>
      <c r="ACW244" s="4"/>
      <c r="ACX244" s="4"/>
      <c r="ACY244" s="5"/>
    </row>
    <row r="245" spans="2:805" x14ac:dyDescent="0.25">
      <c r="B245" s="29">
        <v>2005507</v>
      </c>
      <c r="C245">
        <v>61</v>
      </c>
      <c r="D245" t="s">
        <v>2121</v>
      </c>
      <c r="F245" s="23">
        <v>0</v>
      </c>
      <c r="I245">
        <v>1</v>
      </c>
      <c r="J245" s="19">
        <v>36930</v>
      </c>
      <c r="K245" s="19" t="s">
        <v>3652</v>
      </c>
      <c r="L245" s="19"/>
      <c r="LL245" s="6"/>
      <c r="LM245" s="4"/>
      <c r="LN245" s="4"/>
      <c r="LO245" s="4"/>
      <c r="LP245" s="4"/>
      <c r="LQ245" s="4"/>
      <c r="LR245" s="5"/>
      <c r="LS245" s="6"/>
      <c r="LT245" s="4"/>
      <c r="LU245" s="4"/>
      <c r="LV245" s="4"/>
      <c r="LW245" s="4"/>
      <c r="LX245" s="4"/>
      <c r="LY245" s="5"/>
      <c r="LZ245" s="6" t="s">
        <v>3168</v>
      </c>
      <c r="MA245" s="7" t="s">
        <v>2801</v>
      </c>
      <c r="MB245" s="4"/>
      <c r="MC245" s="4"/>
      <c r="MD245" s="8"/>
      <c r="ME245" s="4"/>
      <c r="MF245" s="4"/>
      <c r="MG245" s="5" t="s">
        <v>3654</v>
      </c>
      <c r="MH245" s="6"/>
      <c r="MI245" s="4"/>
      <c r="MJ245" s="4"/>
      <c r="MK245" s="4"/>
      <c r="ML245" s="4"/>
      <c r="MM245" s="4"/>
      <c r="MN245" s="5"/>
      <c r="MO245" s="6"/>
      <c r="MP245" s="4"/>
      <c r="MQ245" s="4"/>
      <c r="MR245" s="4"/>
      <c r="MS245" s="4"/>
      <c r="MT245" s="4"/>
      <c r="MU245" s="5"/>
      <c r="MV245" s="6"/>
      <c r="MW245" s="4"/>
      <c r="MX245" s="4"/>
      <c r="MY245" s="4"/>
      <c r="MZ245" s="4"/>
      <c r="NA245" s="4"/>
      <c r="NB245" s="5"/>
      <c r="NC245" s="6"/>
      <c r="ND245" s="4"/>
      <c r="NE245" s="4"/>
      <c r="NF245" s="4"/>
      <c r="NG245" s="4"/>
      <c r="NH245" s="4"/>
      <c r="NI245" s="5"/>
      <c r="NJ245" s="6"/>
      <c r="NK245" s="4"/>
      <c r="NL245" s="4"/>
      <c r="NM245" s="4"/>
      <c r="NN245" s="4"/>
      <c r="NO245" s="4"/>
      <c r="NP245" s="5"/>
      <c r="NQ245" s="6"/>
      <c r="NR245" s="4"/>
      <c r="NS245" s="4"/>
      <c r="NT245" s="4"/>
      <c r="NU245" s="4"/>
      <c r="NV245" s="4"/>
      <c r="NW245" s="5"/>
      <c r="NX245" s="6"/>
      <c r="NY245" s="4"/>
      <c r="NZ245" s="4"/>
      <c r="OA245" s="4"/>
      <c r="OB245" s="4"/>
      <c r="OC245" s="4"/>
      <c r="OD245" s="5"/>
      <c r="OE245" s="6"/>
      <c r="OF245" s="4"/>
      <c r="OG245" s="4"/>
      <c r="OH245" s="4"/>
      <c r="OI245" s="4"/>
      <c r="OJ245" s="4"/>
      <c r="OK245" s="5"/>
      <c r="OL245" s="6"/>
      <c r="OM245" s="4"/>
      <c r="ON245" s="4"/>
      <c r="OO245" s="4"/>
      <c r="OP245" s="4"/>
      <c r="OQ245" s="4"/>
      <c r="OR245" s="5"/>
      <c r="OS245" s="6"/>
      <c r="OT245" s="4"/>
      <c r="OU245" s="4"/>
      <c r="OV245" s="4"/>
      <c r="OW245" s="4"/>
      <c r="OX245" s="4"/>
      <c r="OY245" s="5"/>
      <c r="OZ245" s="6"/>
      <c r="PA245" s="4"/>
      <c r="PB245" s="4"/>
      <c r="PC245" s="4"/>
      <c r="PD245" s="4"/>
      <c r="PE245" s="4"/>
      <c r="PF245" s="5"/>
      <c r="PG245" s="6"/>
      <c r="PH245" s="4"/>
      <c r="PI245" s="4"/>
      <c r="PJ245" s="4"/>
      <c r="PK245" s="4"/>
      <c r="PL245" s="4"/>
      <c r="PM245" s="5"/>
      <c r="PN245" s="6"/>
      <c r="PO245" s="4"/>
      <c r="PP245" s="4"/>
      <c r="PQ245" s="4"/>
      <c r="PR245" s="4"/>
      <c r="PS245" s="4"/>
      <c r="PT245" s="5"/>
      <c r="PU245" s="6"/>
      <c r="PV245" s="4"/>
      <c r="PW245" s="4"/>
      <c r="PX245" s="4"/>
      <c r="PY245" s="4"/>
      <c r="PZ245" s="4"/>
      <c r="QA245" s="5"/>
      <c r="QB245" s="6" t="s">
        <v>3455</v>
      </c>
      <c r="QC245" s="4" t="s">
        <v>3454</v>
      </c>
      <c r="QD245" s="4"/>
      <c r="QE245" s="4"/>
      <c r="QF245" s="4"/>
      <c r="QG245" s="4"/>
      <c r="QH245" s="5" t="s">
        <v>3655</v>
      </c>
      <c r="QI245" s="6"/>
      <c r="QJ245" s="4"/>
      <c r="QK245" s="4"/>
      <c r="QL245" s="4"/>
      <c r="QM245" s="4"/>
      <c r="QN245" s="4"/>
      <c r="QO245" s="5"/>
      <c r="QP245" s="6"/>
      <c r="QQ245" s="4"/>
      <c r="QR245" s="4"/>
      <c r="QS245" s="4"/>
      <c r="QT245" s="4"/>
      <c r="QU245" s="4"/>
      <c r="QV245" s="5"/>
      <c r="QW245" s="6"/>
      <c r="QX245" s="4"/>
      <c r="QY245" s="4"/>
      <c r="QZ245" s="4"/>
      <c r="RA245" s="4"/>
      <c r="RB245" s="4"/>
      <c r="RC245" s="5"/>
      <c r="RD245" s="6"/>
      <c r="RE245" s="4"/>
      <c r="RF245" s="4"/>
      <c r="RG245" s="4"/>
      <c r="RH245" s="4"/>
      <c r="RI245" s="4"/>
      <c r="RJ245" s="5"/>
      <c r="RK245" s="6"/>
      <c r="RL245" s="4"/>
      <c r="RM245" s="4"/>
      <c r="RN245" s="4"/>
      <c r="RO245" s="4"/>
      <c r="RP245" s="4"/>
      <c r="RQ245" s="5"/>
      <c r="RR245" s="6"/>
      <c r="RS245" s="4"/>
      <c r="RT245" s="4"/>
      <c r="RU245" s="4"/>
      <c r="RV245" s="4"/>
      <c r="RW245" s="4"/>
      <c r="RX245" s="5"/>
      <c r="RY245" s="6"/>
      <c r="RZ245" s="4"/>
      <c r="SA245" s="4"/>
      <c r="SB245" s="4"/>
      <c r="SC245" s="4"/>
      <c r="SD245" s="4"/>
      <c r="SE245" s="5"/>
      <c r="SF245" s="6"/>
      <c r="SG245" s="4"/>
      <c r="SH245" s="4"/>
      <c r="SI245" s="4"/>
      <c r="SJ245" s="4"/>
      <c r="SK245" s="4"/>
      <c r="SL245" s="5"/>
      <c r="SM245" s="6"/>
      <c r="SN245" s="4"/>
      <c r="SO245" s="4"/>
      <c r="SP245" s="4"/>
      <c r="SQ245" s="4"/>
      <c r="SR245" s="4"/>
      <c r="SS245" s="5"/>
      <c r="ST245" s="6"/>
      <c r="SU245" s="4"/>
      <c r="SV245" s="4"/>
      <c r="SW245" s="4"/>
      <c r="SX245" s="4"/>
      <c r="SY245" s="4"/>
      <c r="SZ245" s="5"/>
      <c r="TA245" s="6"/>
      <c r="TB245" s="4"/>
      <c r="TC245" s="4"/>
      <c r="TD245" s="4"/>
      <c r="TE245" s="4"/>
      <c r="TF245" s="4"/>
      <c r="TG245" s="5"/>
      <c r="TH245" s="6"/>
      <c r="TI245" s="4"/>
      <c r="TJ245" s="4"/>
      <c r="TK245" s="4"/>
      <c r="TL245" s="4"/>
      <c r="TM245" s="4"/>
      <c r="TN245" s="5"/>
      <c r="TO245" s="6"/>
      <c r="TP245" s="4"/>
      <c r="TQ245" s="4"/>
      <c r="TR245" s="4"/>
      <c r="TS245" s="4"/>
      <c r="TT245" s="4"/>
      <c r="TU245" s="5"/>
      <c r="TV245" s="6"/>
      <c r="TW245" s="4"/>
      <c r="TX245" s="4"/>
      <c r="TY245" s="4"/>
      <c r="TZ245" s="4"/>
      <c r="UA245" s="4"/>
      <c r="UB245" s="5"/>
      <c r="UC245" s="6"/>
      <c r="UD245" s="4"/>
      <c r="UE245" s="4"/>
      <c r="UF245" s="4"/>
      <c r="UG245" s="4"/>
      <c r="UH245" s="4"/>
      <c r="UI245" s="5"/>
      <c r="UJ245" s="6"/>
      <c r="UK245" s="4"/>
      <c r="UL245" s="4"/>
      <c r="UM245" s="4"/>
      <c r="UN245" s="4"/>
      <c r="UO245" s="4"/>
      <c r="UP245" s="5"/>
      <c r="UQ245" s="6"/>
      <c r="UR245" s="4"/>
      <c r="US245" s="4"/>
      <c r="UT245" s="4"/>
      <c r="UU245" s="4"/>
      <c r="UV245" s="4"/>
      <c r="UW245" s="5"/>
      <c r="UX245" s="6"/>
      <c r="UY245" s="4"/>
      <c r="UZ245" s="4"/>
      <c r="VA245" s="4"/>
      <c r="VB245" s="4"/>
      <c r="VC245" s="4"/>
      <c r="VD245" s="5"/>
      <c r="VE245" s="6"/>
      <c r="VF245" s="4"/>
      <c r="VG245" s="4"/>
      <c r="VH245" s="4"/>
      <c r="VI245" s="4"/>
      <c r="VJ245" s="4"/>
      <c r="VK245" s="5"/>
      <c r="VL245" s="6"/>
      <c r="VM245" s="4"/>
      <c r="VN245" s="4"/>
      <c r="VO245" s="4"/>
      <c r="VP245" s="4"/>
      <c r="VQ245" s="4"/>
      <c r="VR245" s="5"/>
      <c r="VS245" s="6"/>
      <c r="VT245" s="4"/>
      <c r="VU245" s="4"/>
      <c r="VV245" s="4"/>
      <c r="VW245" s="4"/>
      <c r="VX245" s="4"/>
      <c r="VY245" s="5"/>
      <c r="VZ245" s="6"/>
      <c r="WA245" s="4"/>
      <c r="WB245" s="4"/>
      <c r="WC245" s="4"/>
      <c r="WD245" s="4"/>
      <c r="WE245" s="4"/>
      <c r="WF245" s="5"/>
      <c r="WG245" s="6"/>
      <c r="WH245" s="4"/>
      <c r="WI245" s="4"/>
      <c r="WJ245" s="4"/>
      <c r="WK245" s="4"/>
      <c r="WL245" s="4"/>
      <c r="WM245" s="5"/>
      <c r="WN245" s="6"/>
      <c r="WO245" s="4"/>
      <c r="WP245" s="4"/>
      <c r="WQ245" s="4"/>
      <c r="WR245" s="4"/>
      <c r="WS245" s="4"/>
      <c r="WT245" s="5"/>
      <c r="WU245" s="6"/>
      <c r="WV245" s="4"/>
      <c r="WW245" s="4"/>
      <c r="WX245" s="4"/>
      <c r="WY245" s="4"/>
      <c r="WZ245" s="4"/>
      <c r="XA245" s="5"/>
      <c r="XB245" s="6"/>
      <c r="XC245" s="4"/>
      <c r="XD245" s="4"/>
      <c r="XE245" s="4"/>
      <c r="XF245" s="4"/>
      <c r="XG245" s="4"/>
      <c r="XH245" s="5"/>
      <c r="XI245" s="6"/>
      <c r="XJ245" s="4"/>
      <c r="XK245" s="4"/>
      <c r="XL245" s="4"/>
      <c r="XM245" s="4"/>
      <c r="XN245" s="4"/>
      <c r="XO245" s="5"/>
      <c r="XP245" s="6"/>
      <c r="XQ245" s="4"/>
      <c r="XR245" s="4"/>
      <c r="XS245" s="4"/>
      <c r="XT245" s="4"/>
      <c r="XU245" s="4"/>
      <c r="XV245" s="5"/>
      <c r="XW245" s="6"/>
      <c r="XX245" s="4"/>
      <c r="XY245" s="4"/>
      <c r="XZ245" s="4"/>
      <c r="YA245" s="4"/>
      <c r="YB245" s="4"/>
      <c r="YC245" s="5"/>
      <c r="YD245" s="6"/>
      <c r="YE245" s="4"/>
      <c r="YF245" s="4"/>
      <c r="YG245" s="4"/>
      <c r="YH245" s="4"/>
      <c r="YI245" s="4"/>
      <c r="YJ245" s="5"/>
      <c r="YK245" s="6"/>
      <c r="YL245" s="4"/>
      <c r="YM245" s="4"/>
      <c r="YN245" s="4"/>
      <c r="YO245" s="4"/>
      <c r="YP245" s="4"/>
      <c r="YQ245" s="5"/>
      <c r="YR245" s="6"/>
      <c r="YS245" s="4"/>
      <c r="YT245" s="4"/>
      <c r="YU245" s="4"/>
      <c r="YV245" s="4"/>
      <c r="YW245" s="4"/>
      <c r="YX245" s="5"/>
      <c r="YY245" s="6"/>
      <c r="YZ245" s="4"/>
      <c r="ZA245" s="4"/>
      <c r="ZB245" s="4"/>
      <c r="ZC245" s="4"/>
      <c r="ZD245" s="4"/>
      <c r="ZE245" s="5"/>
      <c r="ZF245" s="6"/>
      <c r="ZG245" s="4"/>
      <c r="ZH245" s="4"/>
      <c r="ZI245" s="4"/>
      <c r="ZJ245" s="4"/>
      <c r="ZK245" s="4"/>
      <c r="ZL245" s="5"/>
      <c r="ZM245" s="6"/>
      <c r="ZN245" s="4"/>
      <c r="ZO245" s="4"/>
      <c r="ZP245" s="4"/>
      <c r="ZQ245" s="4"/>
      <c r="ZR245" s="4"/>
      <c r="ZS245" s="5"/>
      <c r="ZT245" s="6"/>
      <c r="ZU245" s="4"/>
      <c r="ZV245" s="4"/>
      <c r="ZW245" s="4"/>
      <c r="ZX245" s="4"/>
      <c r="ZY245" s="4"/>
      <c r="ZZ245" s="5"/>
      <c r="AAA245" s="6"/>
      <c r="AAB245" s="4"/>
      <c r="AAC245" s="4"/>
      <c r="AAD245" s="4"/>
      <c r="AAE245" s="4"/>
      <c r="AAF245" s="4"/>
      <c r="AAG245" s="5"/>
      <c r="AAH245" s="6" t="s">
        <v>3453</v>
      </c>
      <c r="AAI245" s="4"/>
      <c r="AAJ245" s="4"/>
      <c r="AAK245" s="4"/>
      <c r="AAL245" s="4"/>
      <c r="AAM245" s="4"/>
      <c r="AAN245" s="5" t="s">
        <v>3797</v>
      </c>
      <c r="AAO245" s="6"/>
      <c r="AAP245" s="4"/>
      <c r="AAQ245" s="4"/>
      <c r="AAR245" s="4"/>
      <c r="AAS245" s="4"/>
      <c r="AAT245" s="4"/>
      <c r="AAU245" s="5"/>
      <c r="AAV245" s="6" t="s">
        <v>3306</v>
      </c>
      <c r="AAW245" s="4" t="s">
        <v>3307</v>
      </c>
      <c r="AAX245" s="4"/>
      <c r="AAY245" s="4"/>
      <c r="AAZ245" s="4"/>
      <c r="ABA245" s="4"/>
      <c r="ABB245" s="5" t="s">
        <v>3798</v>
      </c>
      <c r="ABC245" s="6"/>
      <c r="ABD245" s="4"/>
      <c r="ABE245" s="4"/>
      <c r="ABF245" s="4"/>
      <c r="ABG245" s="4"/>
      <c r="ABH245" s="4"/>
      <c r="ABI245" s="5"/>
      <c r="ABJ245" s="6" t="s">
        <v>3304</v>
      </c>
      <c r="ABK245" s="4" t="s">
        <v>3305</v>
      </c>
      <c r="ABL245" s="4"/>
      <c r="ABM245" s="4"/>
      <c r="ABN245" s="4"/>
      <c r="ABO245" s="4"/>
      <c r="ABP245" s="5" t="s">
        <v>3799</v>
      </c>
      <c r="ABQ245" s="6"/>
      <c r="ABR245" s="4"/>
      <c r="ABS245" s="4"/>
      <c r="ABT245" s="4"/>
      <c r="ABU245" s="4"/>
      <c r="ABV245" s="4"/>
      <c r="ABW245" s="5"/>
      <c r="ABX245" s="6"/>
      <c r="ABY245" s="4"/>
      <c r="ABZ245" s="4"/>
      <c r="ACA245" s="4"/>
      <c r="ACB245" s="4"/>
      <c r="ACC245" s="4"/>
      <c r="ACD245" s="5"/>
      <c r="ACE245" s="6"/>
      <c r="ACF245" s="4"/>
      <c r="ACG245" s="4"/>
      <c r="ACH245" s="4"/>
      <c r="ACI245" s="4"/>
      <c r="ACJ245" s="4"/>
      <c r="ACK245" s="5"/>
      <c r="ACL245" s="6"/>
      <c r="ACM245" s="4"/>
      <c r="ACN245" s="4"/>
      <c r="ACO245" s="4"/>
      <c r="ACP245" s="4"/>
      <c r="ACQ245" s="4"/>
      <c r="ACR245" s="5"/>
      <c r="ACS245" s="6"/>
      <c r="ACT245" s="4"/>
      <c r="ACU245" s="4"/>
      <c r="ACV245" s="4"/>
      <c r="ACW245" s="4"/>
      <c r="ACX245" s="4"/>
      <c r="ACY245" s="5"/>
    </row>
    <row r="246" spans="2:805" x14ac:dyDescent="0.25">
      <c r="B246" s="30"/>
      <c r="J246" s="12"/>
      <c r="K246" s="12"/>
      <c r="L246" s="12"/>
      <c r="LL246" s="6"/>
      <c r="LM246" s="4"/>
      <c r="LN246" s="4"/>
      <c r="LO246" s="4"/>
      <c r="LP246" s="4"/>
      <c r="LQ246" s="4"/>
      <c r="LR246" s="5"/>
      <c r="LS246" s="6"/>
      <c r="LT246" s="4"/>
      <c r="LU246" s="4"/>
      <c r="LV246" s="4"/>
      <c r="LW246" s="4"/>
      <c r="LX246" s="4"/>
      <c r="LY246" s="5"/>
      <c r="LZ246" s="6" t="s">
        <v>3449</v>
      </c>
      <c r="MA246" s="7" t="s">
        <v>3481</v>
      </c>
      <c r="MB246" s="4"/>
      <c r="MC246" s="4"/>
      <c r="MD246" s="8"/>
      <c r="ME246" s="4"/>
      <c r="MF246" s="7" t="s">
        <v>3649</v>
      </c>
      <c r="MG246" s="5" t="s">
        <v>3960</v>
      </c>
      <c r="MH246" s="6"/>
      <c r="MI246" s="4"/>
      <c r="MJ246" s="4"/>
      <c r="MK246" s="4"/>
      <c r="ML246" s="4"/>
      <c r="MM246" s="4"/>
      <c r="MN246" s="5"/>
      <c r="MO246" s="6"/>
      <c r="MP246" s="4"/>
      <c r="MQ246" s="4"/>
      <c r="MR246" s="4"/>
      <c r="MS246" s="4"/>
      <c r="MT246" s="4"/>
      <c r="MU246" s="5"/>
      <c r="MV246" s="6"/>
      <c r="MW246" s="4"/>
      <c r="MX246" s="4"/>
      <c r="MY246" s="4"/>
      <c r="MZ246" s="4"/>
      <c r="NA246" s="4"/>
      <c r="NB246" s="5"/>
      <c r="NC246" s="6"/>
      <c r="ND246" s="4"/>
      <c r="NE246" s="4"/>
      <c r="NF246" s="4"/>
      <c r="NG246" s="4"/>
      <c r="NH246" s="4"/>
      <c r="NI246" s="5"/>
      <c r="NJ246" s="6"/>
      <c r="NK246" s="4"/>
      <c r="NL246" s="4"/>
      <c r="NM246" s="4"/>
      <c r="NN246" s="4"/>
      <c r="NO246" s="4"/>
      <c r="NP246" s="5"/>
      <c r="NQ246" s="6"/>
      <c r="NR246" s="4"/>
      <c r="NS246" s="4"/>
      <c r="NT246" s="4"/>
      <c r="NU246" s="4"/>
      <c r="NV246" s="4"/>
      <c r="NW246" s="5"/>
      <c r="NX246" s="6"/>
      <c r="NY246" s="4"/>
      <c r="NZ246" s="4"/>
      <c r="OA246" s="4"/>
      <c r="OB246" s="4"/>
      <c r="OC246" s="4"/>
      <c r="OD246" s="5"/>
      <c r="OE246" s="6"/>
      <c r="OF246" s="4"/>
      <c r="OG246" s="4"/>
      <c r="OH246" s="4"/>
      <c r="OI246" s="4"/>
      <c r="OJ246" s="4"/>
      <c r="OK246" s="5"/>
      <c r="OL246" s="6"/>
      <c r="OM246" s="4"/>
      <c r="ON246" s="4"/>
      <c r="OO246" s="4"/>
      <c r="OP246" s="4"/>
      <c r="OQ246" s="4"/>
      <c r="OR246" s="5"/>
      <c r="OS246" s="6"/>
      <c r="OT246" s="4"/>
      <c r="OU246" s="4"/>
      <c r="OV246" s="4"/>
      <c r="OW246" s="4"/>
      <c r="OX246" s="4"/>
      <c r="OY246" s="5"/>
      <c r="OZ246" s="6"/>
      <c r="PA246" s="4"/>
      <c r="PB246" s="4"/>
      <c r="PC246" s="4"/>
      <c r="PD246" s="4"/>
      <c r="PE246" s="4"/>
      <c r="PF246" s="5"/>
      <c r="PG246" s="6"/>
      <c r="PH246" s="4"/>
      <c r="PI246" s="4"/>
      <c r="PJ246" s="4"/>
      <c r="PK246" s="4"/>
      <c r="PL246" s="4"/>
      <c r="PM246" s="5"/>
      <c r="PN246" s="6"/>
      <c r="PO246" s="4"/>
      <c r="PP246" s="4"/>
      <c r="PQ246" s="4"/>
      <c r="PR246" s="4"/>
      <c r="PS246" s="4"/>
      <c r="PT246" s="5"/>
      <c r="PU246" s="6"/>
      <c r="PV246" s="4"/>
      <c r="PW246" s="4"/>
      <c r="PX246" s="4"/>
      <c r="PY246" s="4"/>
      <c r="PZ246" s="4"/>
      <c r="QA246" s="5"/>
      <c r="QB246" s="6"/>
      <c r="QC246" s="4"/>
      <c r="QD246" s="4"/>
      <c r="QE246" s="4"/>
      <c r="QF246" s="4"/>
      <c r="QG246" s="4"/>
      <c r="QH246" s="5"/>
      <c r="QI246" s="6"/>
      <c r="QJ246" s="4"/>
      <c r="QK246" s="4"/>
      <c r="QL246" s="4"/>
      <c r="QM246" s="4"/>
      <c r="QN246" s="4"/>
      <c r="QO246" s="5"/>
      <c r="QP246" s="6"/>
      <c r="QQ246" s="4"/>
      <c r="QR246" s="4"/>
      <c r="QS246" s="4"/>
      <c r="QT246" s="4"/>
      <c r="QU246" s="4"/>
      <c r="QV246" s="5"/>
      <c r="QW246" s="6"/>
      <c r="QX246" s="4"/>
      <c r="QY246" s="4"/>
      <c r="QZ246" s="4"/>
      <c r="RA246" s="4"/>
      <c r="RB246" s="4"/>
      <c r="RC246" s="5"/>
      <c r="RD246" s="6"/>
      <c r="RE246" s="4"/>
      <c r="RF246" s="4"/>
      <c r="RG246" s="4"/>
      <c r="RH246" s="4"/>
      <c r="RI246" s="4"/>
      <c r="RJ246" s="5"/>
      <c r="RK246" s="6"/>
      <c r="RL246" s="4"/>
      <c r="RM246" s="4"/>
      <c r="RN246" s="4"/>
      <c r="RO246" s="4"/>
      <c r="RP246" s="4"/>
      <c r="RQ246" s="5"/>
      <c r="RR246" s="6"/>
      <c r="RS246" s="4"/>
      <c r="RT246" s="4"/>
      <c r="RU246" s="4"/>
      <c r="RV246" s="4"/>
      <c r="RW246" s="4"/>
      <c r="RX246" s="5"/>
      <c r="RY246" s="6"/>
      <c r="RZ246" s="4"/>
      <c r="SA246" s="4"/>
      <c r="SB246" s="4"/>
      <c r="SC246" s="4"/>
      <c r="SD246" s="4"/>
      <c r="SE246" s="5"/>
      <c r="SF246" s="6"/>
      <c r="SG246" s="4"/>
      <c r="SH246" s="4"/>
      <c r="SI246" s="4"/>
      <c r="SJ246" s="4"/>
      <c r="SK246" s="4"/>
      <c r="SL246" s="5"/>
      <c r="SM246" s="6"/>
      <c r="SN246" s="4"/>
      <c r="SO246" s="4"/>
      <c r="SP246" s="4"/>
      <c r="SQ246" s="4"/>
      <c r="SR246" s="4"/>
      <c r="SS246" s="5"/>
      <c r="ST246" s="6"/>
      <c r="SU246" s="4"/>
      <c r="SV246" s="4"/>
      <c r="SW246" s="4"/>
      <c r="SX246" s="4"/>
      <c r="SY246" s="4"/>
      <c r="SZ246" s="5"/>
      <c r="TA246" s="6"/>
      <c r="TB246" s="4"/>
      <c r="TC246" s="4"/>
      <c r="TD246" s="4"/>
      <c r="TE246" s="4"/>
      <c r="TF246" s="4"/>
      <c r="TG246" s="5"/>
      <c r="TH246" s="6"/>
      <c r="TI246" s="4"/>
      <c r="TJ246" s="4"/>
      <c r="TK246" s="4"/>
      <c r="TL246" s="4"/>
      <c r="TM246" s="4"/>
      <c r="TN246" s="5"/>
      <c r="TO246" s="6"/>
      <c r="TP246" s="4"/>
      <c r="TQ246" s="4"/>
      <c r="TR246" s="4"/>
      <c r="TS246" s="4"/>
      <c r="TT246" s="4"/>
      <c r="TU246" s="5"/>
      <c r="TV246" s="6"/>
      <c r="TW246" s="4"/>
      <c r="TX246" s="4"/>
      <c r="TY246" s="4"/>
      <c r="TZ246" s="4"/>
      <c r="UA246" s="4"/>
      <c r="UB246" s="5"/>
      <c r="UC246" s="6"/>
      <c r="UD246" s="4"/>
      <c r="UE246" s="4"/>
      <c r="UF246" s="4"/>
      <c r="UG246" s="4"/>
      <c r="UH246" s="4"/>
      <c r="UI246" s="5"/>
      <c r="UJ246" s="6"/>
      <c r="UK246" s="4"/>
      <c r="UL246" s="4"/>
      <c r="UM246" s="4"/>
      <c r="UN246" s="4"/>
      <c r="UO246" s="4"/>
      <c r="UP246" s="5"/>
      <c r="UQ246" s="6"/>
      <c r="UR246" s="4"/>
      <c r="US246" s="4"/>
      <c r="UT246" s="4"/>
      <c r="UU246" s="4"/>
      <c r="UV246" s="4"/>
      <c r="UW246" s="5"/>
      <c r="UX246" s="6"/>
      <c r="UY246" s="4"/>
      <c r="UZ246" s="4"/>
      <c r="VA246" s="4"/>
      <c r="VB246" s="4"/>
      <c r="VC246" s="4"/>
      <c r="VD246" s="5"/>
      <c r="VE246" s="6"/>
      <c r="VF246" s="4"/>
      <c r="VG246" s="4"/>
      <c r="VH246" s="4"/>
      <c r="VI246" s="4"/>
      <c r="VJ246" s="4"/>
      <c r="VK246" s="5"/>
      <c r="VL246" s="6"/>
      <c r="VM246" s="4"/>
      <c r="VN246" s="4"/>
      <c r="VO246" s="4"/>
      <c r="VP246" s="4"/>
      <c r="VQ246" s="4"/>
      <c r="VR246" s="5"/>
      <c r="VS246" s="6"/>
      <c r="VT246" s="4"/>
      <c r="VU246" s="4"/>
      <c r="VV246" s="4"/>
      <c r="VW246" s="4"/>
      <c r="VX246" s="4"/>
      <c r="VY246" s="5"/>
      <c r="VZ246" s="6"/>
      <c r="WA246" s="4"/>
      <c r="WB246" s="4"/>
      <c r="WC246" s="4"/>
      <c r="WD246" s="4"/>
      <c r="WE246" s="4"/>
      <c r="WF246" s="5"/>
      <c r="WG246" s="6"/>
      <c r="WH246" s="4"/>
      <c r="WI246" s="4"/>
      <c r="WJ246" s="4"/>
      <c r="WK246" s="4"/>
      <c r="WL246" s="4"/>
      <c r="WM246" s="5"/>
      <c r="WN246" s="6"/>
      <c r="WO246" s="4"/>
      <c r="WP246" s="4"/>
      <c r="WQ246" s="4"/>
      <c r="WR246" s="4"/>
      <c r="WS246" s="4"/>
      <c r="WT246" s="5"/>
      <c r="WU246" s="6"/>
      <c r="WV246" s="4"/>
      <c r="WW246" s="4"/>
      <c r="WX246" s="4"/>
      <c r="WY246" s="4"/>
      <c r="WZ246" s="4"/>
      <c r="XA246" s="5"/>
      <c r="XB246" s="6"/>
      <c r="XC246" s="4"/>
      <c r="XD246" s="4"/>
      <c r="XE246" s="4"/>
      <c r="XF246" s="4"/>
      <c r="XG246" s="4"/>
      <c r="XH246" s="5"/>
      <c r="XI246" s="6"/>
      <c r="XJ246" s="4"/>
      <c r="XK246" s="4"/>
      <c r="XL246" s="4"/>
      <c r="XM246" s="4"/>
      <c r="XN246" s="4"/>
      <c r="XO246" s="5"/>
      <c r="XP246" s="6"/>
      <c r="XQ246" s="4"/>
      <c r="XR246" s="4"/>
      <c r="XS246" s="4"/>
      <c r="XT246" s="4"/>
      <c r="XU246" s="4"/>
      <c r="XV246" s="5"/>
      <c r="XW246" s="6"/>
      <c r="XX246" s="4"/>
      <c r="XY246" s="4"/>
      <c r="XZ246" s="4"/>
      <c r="YA246" s="4"/>
      <c r="YB246" s="4"/>
      <c r="YC246" s="5"/>
      <c r="YD246" s="6"/>
      <c r="YE246" s="4"/>
      <c r="YF246" s="4"/>
      <c r="YG246" s="4"/>
      <c r="YH246" s="4"/>
      <c r="YI246" s="4"/>
      <c r="YJ246" s="5"/>
      <c r="YK246" s="6"/>
      <c r="YL246" s="4"/>
      <c r="YM246" s="4"/>
      <c r="YN246" s="4"/>
      <c r="YO246" s="4"/>
      <c r="YP246" s="4"/>
      <c r="YQ246" s="5"/>
      <c r="YR246" s="6"/>
      <c r="YS246" s="4"/>
      <c r="YT246" s="4"/>
      <c r="YU246" s="4"/>
      <c r="YV246" s="4"/>
      <c r="YW246" s="4"/>
      <c r="YX246" s="5"/>
      <c r="YY246" s="6"/>
      <c r="YZ246" s="4"/>
      <c r="ZA246" s="4"/>
      <c r="ZB246" s="4"/>
      <c r="ZC246" s="4"/>
      <c r="ZD246" s="4"/>
      <c r="ZE246" s="5"/>
      <c r="ZF246" s="6"/>
      <c r="ZG246" s="4"/>
      <c r="ZH246" s="4"/>
      <c r="ZI246" s="4"/>
      <c r="ZJ246" s="4"/>
      <c r="ZK246" s="4"/>
      <c r="ZL246" s="5"/>
      <c r="ZM246" s="6"/>
      <c r="ZN246" s="4"/>
      <c r="ZO246" s="4"/>
      <c r="ZP246" s="4"/>
      <c r="ZQ246" s="4"/>
      <c r="ZR246" s="4"/>
      <c r="ZS246" s="5"/>
      <c r="ZT246" s="6"/>
      <c r="ZU246" s="4"/>
      <c r="ZV246" s="4"/>
      <c r="ZW246" s="4"/>
      <c r="ZX246" s="4"/>
      <c r="ZY246" s="4"/>
      <c r="ZZ246" s="5"/>
      <c r="AAA246" s="6"/>
      <c r="AAB246" s="4"/>
      <c r="AAC246" s="4"/>
      <c r="AAD246" s="4"/>
      <c r="AAE246" s="4"/>
      <c r="AAF246" s="4"/>
      <c r="AAG246" s="5"/>
      <c r="AAH246" s="6"/>
      <c r="AAI246" s="4"/>
      <c r="AAJ246" s="4"/>
      <c r="AAK246" s="4"/>
      <c r="AAL246" s="4"/>
      <c r="AAM246" s="4"/>
      <c r="AAN246" s="5"/>
      <c r="AAO246" s="6"/>
      <c r="AAP246" s="4"/>
      <c r="AAQ246" s="4"/>
      <c r="AAR246" s="4"/>
      <c r="AAS246" s="4"/>
      <c r="AAT246" s="4"/>
      <c r="AAU246" s="5"/>
      <c r="AAV246" s="6"/>
      <c r="AAW246" s="4"/>
      <c r="AAX246" s="4"/>
      <c r="AAY246" s="4"/>
      <c r="AAZ246" s="4"/>
      <c r="ABA246" s="4"/>
      <c r="ABB246" s="5"/>
      <c r="ABC246" s="6"/>
      <c r="ABD246" s="4"/>
      <c r="ABE246" s="4"/>
      <c r="ABF246" s="4"/>
      <c r="ABG246" s="4"/>
      <c r="ABH246" s="4"/>
      <c r="ABI246" s="5"/>
      <c r="ABJ246" s="6"/>
      <c r="ABK246" s="4"/>
      <c r="ABL246" s="4"/>
      <c r="ABM246" s="4"/>
      <c r="ABN246" s="4"/>
      <c r="ABO246" s="4"/>
      <c r="ABP246" s="5"/>
      <c r="ABQ246" s="6"/>
      <c r="ABR246" s="4"/>
      <c r="ABS246" s="4"/>
      <c r="ABT246" s="4"/>
      <c r="ABU246" s="4"/>
      <c r="ABV246" s="4"/>
      <c r="ABW246" s="5"/>
      <c r="ABX246" s="6"/>
      <c r="ABY246" s="4"/>
      <c r="ABZ246" s="4"/>
      <c r="ACA246" s="4"/>
      <c r="ACB246" s="4"/>
      <c r="ACC246" s="4"/>
      <c r="ACD246" s="5"/>
      <c r="ACE246" s="6"/>
      <c r="ACF246" s="4"/>
      <c r="ACG246" s="4"/>
      <c r="ACH246" s="4"/>
      <c r="ACI246" s="4"/>
      <c r="ACJ246" s="4"/>
      <c r="ACK246" s="5"/>
      <c r="ACL246" s="6"/>
      <c r="ACM246" s="4"/>
      <c r="ACN246" s="4"/>
      <c r="ACO246" s="4"/>
      <c r="ACP246" s="4"/>
      <c r="ACQ246" s="4"/>
      <c r="ACR246" s="5"/>
      <c r="ACS246" s="6"/>
      <c r="ACT246" s="4"/>
      <c r="ACU246" s="4"/>
      <c r="ACV246" s="4"/>
      <c r="ACW246" s="4"/>
      <c r="ACX246" s="4"/>
      <c r="ACY246" s="5"/>
    </row>
    <row r="247" spans="2:805" x14ac:dyDescent="0.25">
      <c r="B247" s="30"/>
      <c r="J247" s="12"/>
      <c r="K247" s="12"/>
      <c r="L247" s="12"/>
      <c r="LL247" s="6"/>
      <c r="LM247" s="4"/>
      <c r="LN247" s="4"/>
      <c r="LO247" s="4"/>
      <c r="LP247" s="4"/>
      <c r="LQ247" s="4"/>
      <c r="LR247" s="5"/>
      <c r="LS247" s="6"/>
      <c r="LT247" s="4"/>
      <c r="LU247" s="4"/>
      <c r="LV247" s="4"/>
      <c r="LW247" s="4"/>
      <c r="LX247" s="4"/>
      <c r="LY247" s="5"/>
      <c r="LZ247" s="6" t="s">
        <v>3450</v>
      </c>
      <c r="MA247" s="7" t="s">
        <v>2941</v>
      </c>
      <c r="MB247" s="4"/>
      <c r="MC247" s="4"/>
      <c r="MD247" s="8"/>
      <c r="ME247" s="4"/>
      <c r="MF247" s="4"/>
      <c r="MG247" s="5" t="s">
        <v>3653</v>
      </c>
      <c r="MH247" s="6"/>
      <c r="MI247" s="4"/>
      <c r="MJ247" s="4"/>
      <c r="MK247" s="4"/>
      <c r="ML247" s="4"/>
      <c r="MM247" s="4"/>
      <c r="MN247" s="5"/>
      <c r="MO247" s="6"/>
      <c r="MP247" s="4"/>
      <c r="MQ247" s="4"/>
      <c r="MR247" s="4"/>
      <c r="MS247" s="4"/>
      <c r="MT247" s="4"/>
      <c r="MU247" s="5"/>
      <c r="MV247" s="6"/>
      <c r="MW247" s="4"/>
      <c r="MX247" s="4"/>
      <c r="MY247" s="4"/>
      <c r="MZ247" s="4"/>
      <c r="NA247" s="4"/>
      <c r="NB247" s="5"/>
      <c r="NC247" s="6"/>
      <c r="ND247" s="4"/>
      <c r="NE247" s="4"/>
      <c r="NF247" s="4"/>
      <c r="NG247" s="4"/>
      <c r="NH247" s="4"/>
      <c r="NI247" s="5"/>
      <c r="NJ247" s="6"/>
      <c r="NK247" s="4"/>
      <c r="NL247" s="4"/>
      <c r="NM247" s="4"/>
      <c r="NN247" s="4"/>
      <c r="NO247" s="4"/>
      <c r="NP247" s="5"/>
      <c r="NQ247" s="6"/>
      <c r="NR247" s="4"/>
      <c r="NS247" s="4"/>
      <c r="NT247" s="4"/>
      <c r="NU247" s="4"/>
      <c r="NV247" s="4"/>
      <c r="NW247" s="5"/>
      <c r="NX247" s="6"/>
      <c r="NY247" s="4"/>
      <c r="NZ247" s="4"/>
      <c r="OA247" s="4"/>
      <c r="OB247" s="4"/>
      <c r="OC247" s="4"/>
      <c r="OD247" s="5"/>
      <c r="OE247" s="6"/>
      <c r="OF247" s="4"/>
      <c r="OG247" s="4"/>
      <c r="OH247" s="4"/>
      <c r="OI247" s="4"/>
      <c r="OJ247" s="4"/>
      <c r="OK247" s="5"/>
      <c r="OL247" s="6"/>
      <c r="OM247" s="4"/>
      <c r="ON247" s="4"/>
      <c r="OO247" s="4"/>
      <c r="OP247" s="4"/>
      <c r="OQ247" s="4"/>
      <c r="OR247" s="5"/>
      <c r="OS247" s="6"/>
      <c r="OT247" s="4"/>
      <c r="OU247" s="4"/>
      <c r="OV247" s="4"/>
      <c r="OW247" s="4"/>
      <c r="OX247" s="4"/>
      <c r="OY247" s="5"/>
      <c r="OZ247" s="6"/>
      <c r="PA247" s="4"/>
      <c r="PB247" s="4"/>
      <c r="PC247" s="4"/>
      <c r="PD247" s="4"/>
      <c r="PE247" s="4"/>
      <c r="PF247" s="5"/>
      <c r="PG247" s="6"/>
      <c r="PH247" s="4"/>
      <c r="PI247" s="4"/>
      <c r="PJ247" s="4"/>
      <c r="PK247" s="4"/>
      <c r="PL247" s="4"/>
      <c r="PM247" s="5"/>
      <c r="PN247" s="6"/>
      <c r="PO247" s="4"/>
      <c r="PP247" s="4"/>
      <c r="PQ247" s="4"/>
      <c r="PR247" s="4"/>
      <c r="PS247" s="4"/>
      <c r="PT247" s="5"/>
      <c r="PU247" s="6"/>
      <c r="PV247" s="4"/>
      <c r="PW247" s="4"/>
      <c r="PX247" s="4"/>
      <c r="PY247" s="4"/>
      <c r="PZ247" s="4"/>
      <c r="QA247" s="5"/>
      <c r="QB247" s="6"/>
      <c r="QC247" s="4"/>
      <c r="QD247" s="4"/>
      <c r="QE247" s="4"/>
      <c r="QF247" s="4"/>
      <c r="QG247" s="4"/>
      <c r="QH247" s="5"/>
      <c r="QI247" s="6"/>
      <c r="QJ247" s="4"/>
      <c r="QK247" s="4"/>
      <c r="QL247" s="4"/>
      <c r="QM247" s="4"/>
      <c r="QN247" s="4"/>
      <c r="QO247" s="5"/>
      <c r="QP247" s="6"/>
      <c r="QQ247" s="4"/>
      <c r="QR247" s="4"/>
      <c r="QS247" s="4"/>
      <c r="QT247" s="4"/>
      <c r="QU247" s="4"/>
      <c r="QV247" s="5"/>
      <c r="QW247" s="6"/>
      <c r="QX247" s="4"/>
      <c r="QY247" s="4"/>
      <c r="QZ247" s="4"/>
      <c r="RA247" s="4"/>
      <c r="RB247" s="4"/>
      <c r="RC247" s="5"/>
      <c r="RD247" s="6"/>
      <c r="RE247" s="4"/>
      <c r="RF247" s="4"/>
      <c r="RG247" s="4"/>
      <c r="RH247" s="4"/>
      <c r="RI247" s="4"/>
      <c r="RJ247" s="5"/>
      <c r="RK247" s="6"/>
      <c r="RL247" s="4"/>
      <c r="RM247" s="4"/>
      <c r="RN247" s="4"/>
      <c r="RO247" s="4"/>
      <c r="RP247" s="4"/>
      <c r="RQ247" s="5"/>
      <c r="RR247" s="6"/>
      <c r="RS247" s="4"/>
      <c r="RT247" s="4"/>
      <c r="RU247" s="4"/>
      <c r="RV247" s="4"/>
      <c r="RW247" s="4"/>
      <c r="RX247" s="5"/>
      <c r="RY247" s="6"/>
      <c r="RZ247" s="4"/>
      <c r="SA247" s="4"/>
      <c r="SB247" s="4"/>
      <c r="SC247" s="4"/>
      <c r="SD247" s="4"/>
      <c r="SE247" s="5"/>
      <c r="SF247" s="6"/>
      <c r="SG247" s="4"/>
      <c r="SH247" s="4"/>
      <c r="SI247" s="4"/>
      <c r="SJ247" s="4"/>
      <c r="SK247" s="4"/>
      <c r="SL247" s="5"/>
      <c r="SM247" s="6"/>
      <c r="SN247" s="4"/>
      <c r="SO247" s="4"/>
      <c r="SP247" s="4"/>
      <c r="SQ247" s="4"/>
      <c r="SR247" s="4"/>
      <c r="SS247" s="5"/>
      <c r="ST247" s="6"/>
      <c r="SU247" s="4"/>
      <c r="SV247" s="4"/>
      <c r="SW247" s="4"/>
      <c r="SX247" s="4"/>
      <c r="SY247" s="4"/>
      <c r="SZ247" s="5"/>
      <c r="TA247" s="6"/>
      <c r="TB247" s="4"/>
      <c r="TC247" s="4"/>
      <c r="TD247" s="4"/>
      <c r="TE247" s="4"/>
      <c r="TF247" s="4"/>
      <c r="TG247" s="5"/>
      <c r="TH247" s="6"/>
      <c r="TI247" s="4"/>
      <c r="TJ247" s="4"/>
      <c r="TK247" s="4"/>
      <c r="TL247" s="4"/>
      <c r="TM247" s="4"/>
      <c r="TN247" s="5"/>
      <c r="TO247" s="6"/>
      <c r="TP247" s="4"/>
      <c r="TQ247" s="4"/>
      <c r="TR247" s="4"/>
      <c r="TS247" s="4"/>
      <c r="TT247" s="4"/>
      <c r="TU247" s="5"/>
      <c r="TV247" s="6"/>
      <c r="TW247" s="4"/>
      <c r="TX247" s="4"/>
      <c r="TY247" s="4"/>
      <c r="TZ247" s="4"/>
      <c r="UA247" s="4"/>
      <c r="UB247" s="5"/>
      <c r="UC247" s="6"/>
      <c r="UD247" s="4"/>
      <c r="UE247" s="4"/>
      <c r="UF247" s="4"/>
      <c r="UG247" s="4"/>
      <c r="UH247" s="4"/>
      <c r="UI247" s="5"/>
      <c r="UJ247" s="6"/>
      <c r="UK247" s="4"/>
      <c r="UL247" s="4"/>
      <c r="UM247" s="4"/>
      <c r="UN247" s="4"/>
      <c r="UO247" s="4"/>
      <c r="UP247" s="5"/>
      <c r="UQ247" s="6"/>
      <c r="UR247" s="4"/>
      <c r="US247" s="4"/>
      <c r="UT247" s="4"/>
      <c r="UU247" s="4"/>
      <c r="UV247" s="4"/>
      <c r="UW247" s="5"/>
      <c r="UX247" s="6"/>
      <c r="UY247" s="4"/>
      <c r="UZ247" s="4"/>
      <c r="VA247" s="4"/>
      <c r="VB247" s="4"/>
      <c r="VC247" s="4"/>
      <c r="VD247" s="5"/>
      <c r="VE247" s="6"/>
      <c r="VF247" s="4"/>
      <c r="VG247" s="4"/>
      <c r="VH247" s="4"/>
      <c r="VI247" s="4"/>
      <c r="VJ247" s="4"/>
      <c r="VK247" s="5"/>
      <c r="VL247" s="6"/>
      <c r="VM247" s="4"/>
      <c r="VN247" s="4"/>
      <c r="VO247" s="4"/>
      <c r="VP247" s="4"/>
      <c r="VQ247" s="4"/>
      <c r="VR247" s="5"/>
      <c r="VS247" s="6"/>
      <c r="VT247" s="4"/>
      <c r="VU247" s="4"/>
      <c r="VV247" s="4"/>
      <c r="VW247" s="4"/>
      <c r="VX247" s="4"/>
      <c r="VY247" s="5"/>
      <c r="VZ247" s="6"/>
      <c r="WA247" s="4"/>
      <c r="WB247" s="4"/>
      <c r="WC247" s="4"/>
      <c r="WD247" s="4"/>
      <c r="WE247" s="4"/>
      <c r="WF247" s="5"/>
      <c r="WG247" s="6"/>
      <c r="WH247" s="4"/>
      <c r="WI247" s="4"/>
      <c r="WJ247" s="4"/>
      <c r="WK247" s="4"/>
      <c r="WL247" s="4"/>
      <c r="WM247" s="5"/>
      <c r="WN247" s="6"/>
      <c r="WO247" s="4"/>
      <c r="WP247" s="4"/>
      <c r="WQ247" s="4"/>
      <c r="WR247" s="4"/>
      <c r="WS247" s="4"/>
      <c r="WT247" s="5"/>
      <c r="WU247" s="6"/>
      <c r="WV247" s="4"/>
      <c r="WW247" s="4"/>
      <c r="WX247" s="4"/>
      <c r="WY247" s="4"/>
      <c r="WZ247" s="7"/>
      <c r="XA247" s="5"/>
      <c r="XB247" s="6"/>
      <c r="XC247" s="4"/>
      <c r="XD247" s="4"/>
      <c r="XE247" s="4"/>
      <c r="XF247" s="4"/>
      <c r="XG247" s="4"/>
      <c r="XH247" s="5"/>
      <c r="XI247" s="6"/>
      <c r="XJ247" s="4"/>
      <c r="XK247" s="4"/>
      <c r="XL247" s="4"/>
      <c r="XM247" s="4"/>
      <c r="XN247" s="4"/>
      <c r="XO247" s="5"/>
      <c r="XP247" s="6"/>
      <c r="XQ247" s="4"/>
      <c r="XR247" s="4"/>
      <c r="XS247" s="4"/>
      <c r="XT247" s="4"/>
      <c r="XU247" s="4"/>
      <c r="XV247" s="5"/>
      <c r="XW247" s="6"/>
      <c r="XX247" s="4"/>
      <c r="XY247" s="4"/>
      <c r="XZ247" s="4"/>
      <c r="YA247" s="4"/>
      <c r="YB247" s="4"/>
      <c r="YC247" s="5"/>
      <c r="YD247" s="6"/>
      <c r="YE247" s="4"/>
      <c r="YF247" s="4"/>
      <c r="YG247" s="4"/>
      <c r="YH247" s="4"/>
      <c r="YI247" s="4"/>
      <c r="YJ247" s="5"/>
      <c r="YK247" s="6"/>
      <c r="YL247" s="4"/>
      <c r="YM247" s="4"/>
      <c r="YN247" s="4"/>
      <c r="YO247" s="4"/>
      <c r="YP247" s="4"/>
      <c r="YQ247" s="5"/>
      <c r="YR247" s="6"/>
      <c r="YS247" s="4"/>
      <c r="YT247" s="4"/>
      <c r="YU247" s="4"/>
      <c r="YV247" s="4"/>
      <c r="YW247" s="4"/>
      <c r="YX247" s="5"/>
      <c r="YY247" s="6"/>
      <c r="YZ247" s="4"/>
      <c r="ZA247" s="4"/>
      <c r="ZB247" s="4"/>
      <c r="ZC247" s="4"/>
      <c r="ZD247" s="4"/>
      <c r="ZE247" s="5"/>
      <c r="ZF247" s="6"/>
      <c r="ZG247" s="4"/>
      <c r="ZH247" s="4"/>
      <c r="ZI247" s="4"/>
      <c r="ZJ247" s="4"/>
      <c r="ZK247" s="4"/>
      <c r="ZL247" s="5"/>
      <c r="ZM247" s="6"/>
      <c r="ZN247" s="4"/>
      <c r="ZO247" s="4"/>
      <c r="ZP247" s="4"/>
      <c r="ZQ247" s="4"/>
      <c r="ZR247" s="4"/>
      <c r="ZS247" s="5"/>
      <c r="ZT247" s="6"/>
      <c r="ZU247" s="4"/>
      <c r="ZV247" s="4"/>
      <c r="ZW247" s="4"/>
      <c r="ZX247" s="4"/>
      <c r="ZY247" s="4"/>
      <c r="ZZ247" s="5"/>
      <c r="AAA247" s="6"/>
      <c r="AAB247" s="4"/>
      <c r="AAC247" s="4"/>
      <c r="AAD247" s="4"/>
      <c r="AAE247" s="4"/>
      <c r="AAF247" s="4"/>
      <c r="AAG247" s="5"/>
      <c r="AAH247" s="6"/>
      <c r="AAI247" s="4"/>
      <c r="AAJ247" s="4"/>
      <c r="AAK247" s="4"/>
      <c r="AAL247" s="4"/>
      <c r="AAM247" s="4"/>
      <c r="AAN247" s="5"/>
      <c r="AAO247" s="6"/>
      <c r="AAP247" s="4"/>
      <c r="AAQ247" s="4"/>
      <c r="AAR247" s="4"/>
      <c r="AAS247" s="4"/>
      <c r="AAT247" s="4"/>
      <c r="AAU247" s="5"/>
      <c r="AAV247" s="6"/>
      <c r="AAW247" s="4"/>
      <c r="AAX247" s="4"/>
      <c r="AAY247" s="4"/>
      <c r="AAZ247" s="4"/>
      <c r="ABA247" s="4"/>
      <c r="ABB247" s="5"/>
      <c r="ABC247" s="6"/>
      <c r="ABD247" s="4"/>
      <c r="ABE247" s="4"/>
      <c r="ABF247" s="4"/>
      <c r="ABG247" s="4"/>
      <c r="ABH247" s="4"/>
      <c r="ABI247" s="5"/>
      <c r="ABJ247" s="6"/>
      <c r="ABK247" s="4"/>
      <c r="ABL247" s="4"/>
      <c r="ABM247" s="4"/>
      <c r="ABN247" s="4"/>
      <c r="ABO247" s="4"/>
      <c r="ABP247" s="5"/>
      <c r="ABQ247" s="6"/>
      <c r="ABR247" s="4"/>
      <c r="ABS247" s="4"/>
      <c r="ABT247" s="4"/>
      <c r="ABU247" s="4"/>
      <c r="ABV247" s="4"/>
      <c r="ABW247" s="5"/>
      <c r="ABX247" s="6"/>
      <c r="ABY247" s="4"/>
      <c r="ABZ247" s="4"/>
      <c r="ACA247" s="4"/>
      <c r="ACB247" s="4"/>
      <c r="ACC247" s="4"/>
      <c r="ACD247" s="5"/>
      <c r="ACE247" s="6"/>
      <c r="ACF247" s="4"/>
      <c r="ACG247" s="4"/>
      <c r="ACH247" s="4"/>
      <c r="ACI247" s="4"/>
      <c r="ACJ247" s="4"/>
      <c r="ACK247" s="5"/>
      <c r="ACL247" s="6"/>
      <c r="ACM247" s="4"/>
      <c r="ACN247" s="4"/>
      <c r="ACO247" s="4"/>
      <c r="ACP247" s="4"/>
      <c r="ACQ247" s="4"/>
      <c r="ACR247" s="5"/>
      <c r="ACS247" s="6"/>
      <c r="ACT247" s="4"/>
      <c r="ACU247" s="4"/>
      <c r="ACV247" s="4"/>
      <c r="ACW247" s="4"/>
      <c r="ACX247" s="4"/>
      <c r="ACY247" s="5"/>
    </row>
    <row r="248" spans="2:805" x14ac:dyDescent="0.25">
      <c r="B248" s="29">
        <v>2005417</v>
      </c>
      <c r="C248">
        <v>31</v>
      </c>
      <c r="D248" t="s">
        <v>3729</v>
      </c>
      <c r="F248" s="23">
        <v>0</v>
      </c>
      <c r="I248">
        <v>1</v>
      </c>
      <c r="J248" s="19">
        <v>36702</v>
      </c>
      <c r="K248" s="19" t="s">
        <v>3800</v>
      </c>
      <c r="L248" s="19"/>
      <c r="M248">
        <v>1</v>
      </c>
      <c r="N248" s="17">
        <v>36702</v>
      </c>
      <c r="O248" t="s">
        <v>621</v>
      </c>
      <c r="X248">
        <v>1</v>
      </c>
      <c r="AM248">
        <v>1</v>
      </c>
      <c r="LL248" s="6"/>
      <c r="LM248" s="4"/>
      <c r="LN248" s="4"/>
      <c r="LO248" s="4"/>
      <c r="LP248" s="4"/>
      <c r="LQ248" s="4"/>
      <c r="LR248" s="5"/>
      <c r="LS248" s="6"/>
      <c r="LT248" s="4"/>
      <c r="LU248" s="4"/>
      <c r="LV248" s="4"/>
      <c r="LW248" s="4"/>
      <c r="LX248" s="4"/>
      <c r="LY248" s="5"/>
      <c r="LZ248" s="6" t="s">
        <v>3131</v>
      </c>
      <c r="MA248" s="7" t="s">
        <v>2799</v>
      </c>
      <c r="MB248" s="4" t="s">
        <v>3472</v>
      </c>
      <c r="MC248" s="7" t="s">
        <v>3610</v>
      </c>
      <c r="MD248" s="8">
        <v>36685</v>
      </c>
      <c r="ME248" s="8">
        <v>36695</v>
      </c>
      <c r="MF248" s="8" t="s">
        <v>3787</v>
      </c>
      <c r="MG248" s="5" t="s">
        <v>3801</v>
      </c>
      <c r="MH248" s="6"/>
      <c r="MI248" s="4"/>
      <c r="MJ248" s="4"/>
      <c r="MK248" s="4"/>
      <c r="ML248" s="4"/>
      <c r="MM248" s="4"/>
      <c r="MN248" s="5"/>
      <c r="MO248" s="6"/>
      <c r="MP248" s="4"/>
      <c r="MQ248" s="4"/>
      <c r="MR248" s="4"/>
      <c r="MS248" s="4"/>
      <c r="MT248" s="4"/>
      <c r="MU248" s="5"/>
      <c r="MV248" s="6"/>
      <c r="MW248" s="4"/>
      <c r="MX248" s="4"/>
      <c r="MY248" s="4"/>
      <c r="MZ248" s="4"/>
      <c r="NA248" s="4"/>
      <c r="NB248" s="5"/>
      <c r="NC248" s="6"/>
      <c r="ND248" s="4"/>
      <c r="NE248" s="4"/>
      <c r="NF248" s="4"/>
      <c r="NG248" s="4"/>
      <c r="NH248" s="4"/>
      <c r="NI248" s="5"/>
      <c r="NJ248" s="6"/>
      <c r="NK248" s="4"/>
      <c r="NL248" s="4"/>
      <c r="NM248" s="4"/>
      <c r="NN248" s="4"/>
      <c r="NO248" s="4"/>
      <c r="NP248" s="5"/>
      <c r="NQ248" s="6"/>
      <c r="NR248" s="4"/>
      <c r="NS248" s="4"/>
      <c r="NT248" s="4"/>
      <c r="NU248" s="4"/>
      <c r="NV248" s="4"/>
      <c r="NW248" s="5"/>
      <c r="NX248" s="6"/>
      <c r="NY248" s="4"/>
      <c r="NZ248" s="4"/>
      <c r="OA248" s="4"/>
      <c r="OB248" s="4"/>
      <c r="OC248" s="4"/>
      <c r="OD248" s="5"/>
      <c r="OE248" s="6"/>
      <c r="OF248" s="4"/>
      <c r="OG248" s="4"/>
      <c r="OH248" s="4"/>
      <c r="OI248" s="4"/>
      <c r="OJ248" s="4"/>
      <c r="OK248" s="5"/>
      <c r="OL248" s="6"/>
      <c r="OM248" s="4"/>
      <c r="ON248" s="4"/>
      <c r="OO248" s="4"/>
      <c r="OP248" s="4"/>
      <c r="OQ248" s="4"/>
      <c r="OR248" s="5"/>
      <c r="OS248" s="6"/>
      <c r="OT248" s="4"/>
      <c r="OU248" s="4"/>
      <c r="OV248" s="4"/>
      <c r="OW248" s="4"/>
      <c r="OX248" s="4"/>
      <c r="OY248" s="5"/>
      <c r="OZ248" s="6"/>
      <c r="PA248" s="4"/>
      <c r="PB248" s="4"/>
      <c r="PC248" s="4"/>
      <c r="PD248" s="4"/>
      <c r="PE248" s="4"/>
      <c r="PF248" s="5"/>
      <c r="PG248" s="6"/>
      <c r="PH248" s="4"/>
      <c r="PI248" s="4"/>
      <c r="PJ248" s="4"/>
      <c r="PK248" s="4"/>
      <c r="PL248" s="4"/>
      <c r="PM248" s="5"/>
      <c r="PN248" s="6"/>
      <c r="PO248" s="4"/>
      <c r="PP248" s="4"/>
      <c r="PQ248" s="4"/>
      <c r="PR248" s="4"/>
      <c r="PS248" s="4"/>
      <c r="PT248" s="5"/>
      <c r="PU248" s="6"/>
      <c r="PV248" s="4"/>
      <c r="PW248" s="4"/>
      <c r="PX248" s="4"/>
      <c r="PY248" s="4"/>
      <c r="PZ248" s="4"/>
      <c r="QA248" s="5"/>
      <c r="QB248" s="6"/>
      <c r="QC248" s="4"/>
      <c r="QD248" s="4"/>
      <c r="QE248" s="4"/>
      <c r="QF248" s="4"/>
      <c r="QG248" s="4"/>
      <c r="QH248" s="5"/>
      <c r="QI248" s="6"/>
      <c r="QJ248" s="4"/>
      <c r="QK248" s="4"/>
      <c r="QL248" s="4"/>
      <c r="QM248" s="4"/>
      <c r="QN248" s="4"/>
      <c r="QO248" s="5"/>
      <c r="QP248" s="6"/>
      <c r="QQ248" s="4"/>
      <c r="QR248" s="4"/>
      <c r="QS248" s="4"/>
      <c r="QT248" s="4"/>
      <c r="QU248" s="4"/>
      <c r="QV248" s="5"/>
      <c r="QW248" s="6"/>
      <c r="QX248" s="4"/>
      <c r="QY248" s="4"/>
      <c r="QZ248" s="4"/>
      <c r="RA248" s="4"/>
      <c r="RB248" s="4"/>
      <c r="RC248" s="5"/>
      <c r="RD248" s="6"/>
      <c r="RE248" s="4"/>
      <c r="RF248" s="4"/>
      <c r="RG248" s="4"/>
      <c r="RH248" s="4"/>
      <c r="RI248" s="4"/>
      <c r="RJ248" s="5"/>
      <c r="RK248" s="6"/>
      <c r="RL248" s="4"/>
      <c r="RM248" s="4"/>
      <c r="RN248" s="4"/>
      <c r="RO248" s="4"/>
      <c r="RP248" s="4"/>
      <c r="RQ248" s="5"/>
      <c r="RR248" s="6"/>
      <c r="RS248" s="4"/>
      <c r="RT248" s="4"/>
      <c r="RU248" s="4"/>
      <c r="RV248" s="4"/>
      <c r="RW248" s="4"/>
      <c r="RX248" s="5"/>
      <c r="RY248" s="6"/>
      <c r="RZ248" s="4"/>
      <c r="SA248" s="4"/>
      <c r="SB248" s="4"/>
      <c r="SC248" s="4"/>
      <c r="SD248" s="4"/>
      <c r="SE248" s="5"/>
      <c r="SF248" s="6"/>
      <c r="SG248" s="4"/>
      <c r="SH248" s="4"/>
      <c r="SI248" s="4"/>
      <c r="SJ248" s="4"/>
      <c r="SK248" s="4"/>
      <c r="SL248" s="5"/>
      <c r="SM248" s="6"/>
      <c r="SN248" s="4"/>
      <c r="SO248" s="4"/>
      <c r="SP248" s="4"/>
      <c r="SQ248" s="4"/>
      <c r="SR248" s="4"/>
      <c r="SS248" s="5"/>
      <c r="ST248" s="6"/>
      <c r="SU248" s="4"/>
      <c r="SV248" s="4"/>
      <c r="SW248" s="4"/>
      <c r="SX248" s="4"/>
      <c r="SY248" s="4"/>
      <c r="SZ248" s="5"/>
      <c r="TA248" s="6"/>
      <c r="TB248" s="4"/>
      <c r="TC248" s="4"/>
      <c r="TD248" s="4"/>
      <c r="TE248" s="4"/>
      <c r="TF248" s="4"/>
      <c r="TG248" s="5"/>
      <c r="TH248" s="6"/>
      <c r="TI248" s="4"/>
      <c r="TJ248" s="4"/>
      <c r="TK248" s="4"/>
      <c r="TL248" s="4"/>
      <c r="TM248" s="4"/>
      <c r="TN248" s="5"/>
      <c r="TO248" s="6"/>
      <c r="TP248" s="4"/>
      <c r="TQ248" s="4"/>
      <c r="TR248" s="4"/>
      <c r="TS248" s="4"/>
      <c r="TT248" s="4"/>
      <c r="TU248" s="5"/>
      <c r="TV248" s="6"/>
      <c r="TW248" s="4"/>
      <c r="TX248" s="4"/>
      <c r="TY248" s="4"/>
      <c r="TZ248" s="4"/>
      <c r="UA248" s="4"/>
      <c r="UB248" s="5"/>
      <c r="UC248" s="6"/>
      <c r="UD248" s="4"/>
      <c r="UE248" s="4"/>
      <c r="UF248" s="4"/>
      <c r="UG248" s="4"/>
      <c r="UH248" s="4"/>
      <c r="UI248" s="5"/>
      <c r="UJ248" s="6"/>
      <c r="UK248" s="4"/>
      <c r="UL248" s="4"/>
      <c r="UM248" s="4"/>
      <c r="UN248" s="4"/>
      <c r="UO248" s="4"/>
      <c r="UP248" s="5"/>
      <c r="UQ248" s="6"/>
      <c r="UR248" s="4"/>
      <c r="US248" s="4"/>
      <c r="UT248" s="4"/>
      <c r="UU248" s="4"/>
      <c r="UV248" s="4"/>
      <c r="UW248" s="5"/>
      <c r="UX248" s="6" t="s">
        <v>2929</v>
      </c>
      <c r="UY248" s="4" t="s">
        <v>3335</v>
      </c>
      <c r="UZ248" s="4" t="s">
        <v>3068</v>
      </c>
      <c r="VA248" s="7" t="s">
        <v>3267</v>
      </c>
      <c r="VB248" s="8">
        <v>36695</v>
      </c>
      <c r="VC248" s="8">
        <v>36695</v>
      </c>
      <c r="VD248" s="5" t="s">
        <v>3803</v>
      </c>
      <c r="VE248" s="6"/>
      <c r="VF248" s="4"/>
      <c r="VG248" s="4"/>
      <c r="VH248" s="4"/>
      <c r="VI248" s="4"/>
      <c r="VJ248" s="4"/>
      <c r="VK248" s="5"/>
      <c r="VL248" s="6" t="s">
        <v>3061</v>
      </c>
      <c r="VM248" s="4" t="s">
        <v>3062</v>
      </c>
      <c r="VN248" s="4" t="s">
        <v>3063</v>
      </c>
      <c r="VO248" s="7" t="s">
        <v>3458</v>
      </c>
      <c r="VP248" s="8">
        <v>36698</v>
      </c>
      <c r="VQ248" s="8">
        <v>36700</v>
      </c>
      <c r="VR248" s="5" t="s">
        <v>3804</v>
      </c>
      <c r="VS248" s="6"/>
      <c r="VT248" s="4"/>
      <c r="VU248" s="4"/>
      <c r="VV248" s="4"/>
      <c r="VW248" s="4"/>
      <c r="VX248" s="4"/>
      <c r="VY248" s="5"/>
      <c r="VZ248" s="6"/>
      <c r="WA248" s="4"/>
      <c r="WB248" s="4"/>
      <c r="WC248" s="4"/>
      <c r="WD248" s="4"/>
      <c r="WE248" s="4"/>
      <c r="WF248" s="5"/>
      <c r="WG248" s="6"/>
      <c r="WH248" s="4"/>
      <c r="WI248" s="4"/>
      <c r="WJ248" s="4"/>
      <c r="WK248" s="4"/>
      <c r="WL248" s="4"/>
      <c r="WM248" s="5"/>
      <c r="WN248" s="6"/>
      <c r="WO248" s="4"/>
      <c r="WP248" s="4"/>
      <c r="WQ248" s="4"/>
      <c r="WR248" s="4"/>
      <c r="WS248" s="4"/>
      <c r="WT248" s="5"/>
      <c r="WU248" s="6" t="s">
        <v>3451</v>
      </c>
      <c r="WV248" s="4" t="s">
        <v>3452</v>
      </c>
      <c r="WW248" s="4" t="s">
        <v>3609</v>
      </c>
      <c r="WX248" s="4" t="s">
        <v>3079</v>
      </c>
      <c r="WY248" s="9">
        <v>36676</v>
      </c>
      <c r="WZ248" s="9">
        <v>36696</v>
      </c>
      <c r="XA248" s="5" t="s">
        <v>3670</v>
      </c>
      <c r="XB248" s="6"/>
      <c r="XC248" s="4"/>
      <c r="XD248" s="4"/>
      <c r="XE248" s="4"/>
      <c r="XF248" s="4"/>
      <c r="XG248" s="4"/>
      <c r="XH248" s="5"/>
      <c r="XI248" s="6"/>
      <c r="XJ248" s="4"/>
      <c r="XK248" s="4"/>
      <c r="XL248" s="4"/>
      <c r="XM248" s="4"/>
      <c r="XN248" s="4"/>
      <c r="XO248" s="5"/>
      <c r="XP248" s="6"/>
      <c r="XQ248" s="4"/>
      <c r="XR248" s="4"/>
      <c r="XS248" s="4"/>
      <c r="XT248" s="4"/>
      <c r="XU248" s="4"/>
      <c r="XV248" s="5"/>
      <c r="XW248" s="6"/>
      <c r="XX248" s="4"/>
      <c r="XY248" s="4"/>
      <c r="XZ248" s="4"/>
      <c r="YA248" s="4"/>
      <c r="YB248" s="4"/>
      <c r="YC248" s="5"/>
      <c r="YD248" s="6"/>
      <c r="YE248" s="4"/>
      <c r="YF248" s="4"/>
      <c r="YG248" s="4"/>
      <c r="YH248" s="4"/>
      <c r="YI248" s="4"/>
      <c r="YJ248" s="5"/>
      <c r="YK248" s="6" t="s">
        <v>3069</v>
      </c>
      <c r="YL248" s="4" t="s">
        <v>3284</v>
      </c>
      <c r="YM248" s="4" t="s">
        <v>3461</v>
      </c>
      <c r="YN248" s="4"/>
      <c r="YO248" s="8">
        <v>36700</v>
      </c>
      <c r="YP248" s="4"/>
      <c r="YQ248" s="5"/>
      <c r="YR248" s="6"/>
      <c r="YS248" s="4"/>
      <c r="YT248" s="4"/>
      <c r="YU248" s="4"/>
      <c r="YV248" s="4"/>
      <c r="YW248" s="4"/>
      <c r="YX248" s="5"/>
      <c r="YY248" s="6"/>
      <c r="YZ248" s="4"/>
      <c r="ZA248" s="4"/>
      <c r="ZB248" s="4"/>
      <c r="ZC248" s="4"/>
      <c r="ZD248" s="4"/>
      <c r="ZE248" s="5"/>
      <c r="ZF248" s="6"/>
      <c r="ZG248" s="4"/>
      <c r="ZH248" s="4"/>
      <c r="ZI248" s="4"/>
      <c r="ZJ248" s="4"/>
      <c r="ZK248" s="4"/>
      <c r="ZL248" s="5"/>
      <c r="ZM248" s="6"/>
      <c r="ZN248" s="4"/>
      <c r="ZO248" s="4"/>
      <c r="ZP248" s="4"/>
      <c r="ZQ248" s="4"/>
      <c r="ZR248" s="4"/>
      <c r="ZS248" s="5"/>
      <c r="ZT248" s="6"/>
      <c r="ZU248" s="4"/>
      <c r="ZV248" s="4"/>
      <c r="ZW248" s="4"/>
      <c r="ZX248" s="4"/>
      <c r="ZY248" s="4"/>
      <c r="ZZ248" s="5"/>
      <c r="AAA248" s="6"/>
      <c r="AAB248" s="4"/>
      <c r="AAC248" s="4"/>
      <c r="AAD248" s="4"/>
      <c r="AAE248" s="4"/>
      <c r="AAF248" s="4"/>
      <c r="AAG248" s="5"/>
      <c r="AAH248" s="6"/>
      <c r="AAI248" s="4"/>
      <c r="AAJ248" s="4"/>
      <c r="AAK248" s="4"/>
      <c r="AAL248" s="4"/>
      <c r="AAM248" s="4"/>
      <c r="AAN248" s="5"/>
      <c r="AAO248" s="6"/>
      <c r="AAP248" s="4"/>
      <c r="AAQ248" s="4"/>
      <c r="AAR248" s="4"/>
      <c r="AAS248" s="4"/>
      <c r="AAT248" s="4"/>
      <c r="AAU248" s="5"/>
      <c r="AAV248" s="6"/>
      <c r="AAW248" s="4"/>
      <c r="AAX248" s="4"/>
      <c r="AAY248" s="4"/>
      <c r="AAZ248" s="4"/>
      <c r="ABA248" s="4"/>
      <c r="ABB248" s="5"/>
      <c r="ABC248" s="6"/>
      <c r="ABD248" s="4"/>
      <c r="ABE248" s="4"/>
      <c r="ABF248" s="4"/>
      <c r="ABG248" s="4"/>
      <c r="ABH248" s="4"/>
      <c r="ABI248" s="5"/>
      <c r="ABJ248" s="6"/>
      <c r="ABK248" s="4"/>
      <c r="ABL248" s="4"/>
      <c r="ABM248" s="4"/>
      <c r="ABN248" s="4"/>
      <c r="ABO248" s="4"/>
      <c r="ABP248" s="5"/>
      <c r="ABQ248" s="6"/>
      <c r="ABR248" s="4"/>
      <c r="ABS248" s="4"/>
      <c r="ABT248" s="4"/>
      <c r="ABU248" s="4"/>
      <c r="ABV248" s="4"/>
      <c r="ABW248" s="5"/>
      <c r="ABX248" s="6"/>
      <c r="ABY248" s="4"/>
      <c r="ABZ248" s="4"/>
      <c r="ACA248" s="4"/>
      <c r="ACB248" s="4"/>
      <c r="ACC248" s="4"/>
      <c r="ACD248" s="5"/>
      <c r="ACE248" s="6"/>
      <c r="ACF248" s="4"/>
      <c r="ACG248" s="4"/>
      <c r="ACH248" s="4"/>
      <c r="ACI248" s="4"/>
      <c r="ACJ248" s="4"/>
      <c r="ACK248" s="5"/>
      <c r="ACL248" s="6"/>
      <c r="ACM248" s="4"/>
      <c r="ACN248" s="4"/>
      <c r="ACO248" s="4"/>
      <c r="ACP248" s="4"/>
      <c r="ACQ248" s="4"/>
      <c r="ACR248" s="5"/>
      <c r="ACS248" s="6"/>
      <c r="ACT248" s="4"/>
      <c r="ACU248" s="4"/>
      <c r="ACV248" s="4"/>
      <c r="ACW248" s="4"/>
      <c r="ACX248" s="4"/>
      <c r="ACY248" s="5"/>
      <c r="ADV248" t="s">
        <v>3671</v>
      </c>
    </row>
    <row r="249" spans="2:805" x14ac:dyDescent="0.25">
      <c r="J249" s="12"/>
      <c r="K249" s="12"/>
      <c r="L249" s="12"/>
      <c r="LL249" s="6"/>
      <c r="LM249" s="4"/>
      <c r="LN249" s="4"/>
      <c r="LO249" s="4"/>
      <c r="LP249" s="4"/>
      <c r="LQ249" s="4"/>
      <c r="LR249" s="5"/>
      <c r="LS249" s="6"/>
      <c r="LT249" s="4"/>
      <c r="LU249" s="4"/>
      <c r="LV249" s="4"/>
      <c r="LW249" s="4"/>
      <c r="LX249" s="4"/>
      <c r="LY249" s="5"/>
      <c r="LZ249" s="6" t="s">
        <v>3064</v>
      </c>
      <c r="MA249" s="7" t="s">
        <v>3065</v>
      </c>
      <c r="MB249" s="4" t="s">
        <v>3066</v>
      </c>
      <c r="MC249" s="7" t="s">
        <v>3067</v>
      </c>
      <c r="MD249" s="8">
        <v>36696</v>
      </c>
      <c r="ME249" s="8">
        <v>36700</v>
      </c>
      <c r="MF249" s="8"/>
      <c r="MG249" s="5" t="s">
        <v>3802</v>
      </c>
      <c r="MH249" s="6"/>
      <c r="MI249" s="4"/>
      <c r="MJ249" s="4"/>
      <c r="MK249" s="4"/>
      <c r="ML249" s="4"/>
      <c r="MM249" s="4"/>
      <c r="MN249" s="5"/>
      <c r="MO249" s="6"/>
      <c r="MP249" s="4"/>
      <c r="MQ249" s="4"/>
      <c r="MR249" s="4"/>
      <c r="MS249" s="4"/>
      <c r="MT249" s="4"/>
      <c r="MU249" s="5"/>
      <c r="MV249" s="6"/>
      <c r="MW249" s="4"/>
      <c r="MX249" s="4"/>
      <c r="MY249" s="4"/>
      <c r="MZ249" s="4"/>
      <c r="NA249" s="4"/>
      <c r="NB249" s="5"/>
      <c r="NC249" s="6"/>
      <c r="ND249" s="4"/>
      <c r="NE249" s="4"/>
      <c r="NF249" s="4"/>
      <c r="NG249" s="4"/>
      <c r="NH249" s="4"/>
      <c r="NI249" s="5"/>
      <c r="NJ249" s="6"/>
      <c r="NK249" s="4"/>
      <c r="NL249" s="4"/>
      <c r="NM249" s="4"/>
      <c r="NN249" s="4"/>
      <c r="NO249" s="4"/>
      <c r="NP249" s="5"/>
      <c r="NQ249" s="6"/>
      <c r="NR249" s="4"/>
      <c r="NS249" s="4"/>
      <c r="NT249" s="4"/>
      <c r="NU249" s="4"/>
      <c r="NV249" s="4"/>
      <c r="NW249" s="5"/>
      <c r="NX249" s="6"/>
      <c r="NY249" s="4"/>
      <c r="NZ249" s="4"/>
      <c r="OA249" s="4"/>
      <c r="OB249" s="4"/>
      <c r="OC249" s="4"/>
      <c r="OD249" s="5"/>
      <c r="OE249" s="6"/>
      <c r="OF249" s="4"/>
      <c r="OG249" s="4"/>
      <c r="OH249" s="4"/>
      <c r="OI249" s="4"/>
      <c r="OJ249" s="4"/>
      <c r="OK249" s="5"/>
      <c r="OL249" s="6"/>
      <c r="OM249" s="4"/>
      <c r="ON249" s="4"/>
      <c r="OO249" s="4"/>
      <c r="OP249" s="4"/>
      <c r="OQ249" s="4"/>
      <c r="OR249" s="5"/>
      <c r="OS249" s="6"/>
      <c r="OT249" s="4"/>
      <c r="OU249" s="4"/>
      <c r="OV249" s="4"/>
      <c r="OW249" s="4"/>
      <c r="OX249" s="4"/>
      <c r="OY249" s="5"/>
      <c r="OZ249" s="6"/>
      <c r="PA249" s="4"/>
      <c r="PB249" s="4"/>
      <c r="PC249" s="4"/>
      <c r="PD249" s="4"/>
      <c r="PE249" s="4"/>
      <c r="PF249" s="5"/>
      <c r="PG249" s="6"/>
      <c r="PH249" s="4"/>
      <c r="PI249" s="4"/>
      <c r="PJ249" s="4"/>
      <c r="PK249" s="4"/>
      <c r="PL249" s="4"/>
      <c r="PM249" s="5"/>
      <c r="PN249" s="6"/>
      <c r="PO249" s="4"/>
      <c r="PP249" s="4"/>
      <c r="PQ249" s="4"/>
      <c r="PR249" s="4"/>
      <c r="PS249" s="4"/>
      <c r="PT249" s="5"/>
      <c r="PU249" s="6"/>
      <c r="PV249" s="4"/>
      <c r="PW249" s="4"/>
      <c r="PX249" s="4"/>
      <c r="PY249" s="4"/>
      <c r="PZ249" s="4"/>
      <c r="QA249" s="5"/>
      <c r="QB249" s="6"/>
      <c r="QC249" s="4"/>
      <c r="QD249" s="4"/>
      <c r="QE249" s="4"/>
      <c r="QF249" s="4"/>
      <c r="QG249" s="4"/>
      <c r="QH249" s="5"/>
      <c r="QI249" s="6"/>
      <c r="QJ249" s="4"/>
      <c r="QK249" s="4"/>
      <c r="QL249" s="4"/>
      <c r="QM249" s="4"/>
      <c r="QN249" s="4"/>
      <c r="QO249" s="5"/>
      <c r="QP249" s="6"/>
      <c r="QQ249" s="4"/>
      <c r="QR249" s="4"/>
      <c r="QS249" s="4"/>
      <c r="QT249" s="4"/>
      <c r="QU249" s="4"/>
      <c r="QV249" s="5"/>
      <c r="QW249" s="6"/>
      <c r="QX249" s="4"/>
      <c r="QY249" s="4"/>
      <c r="QZ249" s="4"/>
      <c r="RA249" s="4"/>
      <c r="RB249" s="4"/>
      <c r="RC249" s="5"/>
      <c r="RD249" s="6"/>
      <c r="RE249" s="4"/>
      <c r="RF249" s="4"/>
      <c r="RG249" s="4"/>
      <c r="RH249" s="4"/>
      <c r="RI249" s="4"/>
      <c r="RJ249" s="5"/>
      <c r="RK249" s="6"/>
      <c r="RL249" s="4"/>
      <c r="RM249" s="4"/>
      <c r="RN249" s="4"/>
      <c r="RO249" s="4"/>
      <c r="RP249" s="4"/>
      <c r="RQ249" s="5"/>
      <c r="RR249" s="6"/>
      <c r="RS249" s="4"/>
      <c r="RT249" s="4"/>
      <c r="RU249" s="4"/>
      <c r="RV249" s="4"/>
      <c r="RW249" s="4"/>
      <c r="RX249" s="5"/>
      <c r="RY249" s="6"/>
      <c r="RZ249" s="4"/>
      <c r="SA249" s="4"/>
      <c r="SB249" s="4"/>
      <c r="SC249" s="4"/>
      <c r="SD249" s="4"/>
      <c r="SE249" s="5"/>
      <c r="SF249" s="6"/>
      <c r="SG249" s="4"/>
      <c r="SH249" s="4"/>
      <c r="SI249" s="4"/>
      <c r="SJ249" s="4"/>
      <c r="SK249" s="4"/>
      <c r="SL249" s="5"/>
      <c r="SM249" s="6"/>
      <c r="SN249" s="4"/>
      <c r="SO249" s="4"/>
      <c r="SP249" s="4"/>
      <c r="SQ249" s="4"/>
      <c r="SR249" s="4"/>
      <c r="SS249" s="5"/>
      <c r="ST249" s="6"/>
      <c r="SU249" s="4"/>
      <c r="SV249" s="4"/>
      <c r="SW249" s="4"/>
      <c r="SX249" s="4"/>
      <c r="SY249" s="4"/>
      <c r="SZ249" s="5"/>
      <c r="TA249" s="6"/>
      <c r="TB249" s="4"/>
      <c r="TC249" s="4"/>
      <c r="TD249" s="4"/>
      <c r="TE249" s="4"/>
      <c r="TF249" s="4"/>
      <c r="TG249" s="5"/>
      <c r="TH249" s="6"/>
      <c r="TI249" s="4"/>
      <c r="TJ249" s="4"/>
      <c r="TK249" s="4"/>
      <c r="TL249" s="4"/>
      <c r="TM249" s="4"/>
      <c r="TN249" s="5"/>
      <c r="TO249" s="6"/>
      <c r="TP249" s="4"/>
      <c r="TQ249" s="4"/>
      <c r="TR249" s="4"/>
      <c r="TS249" s="4"/>
      <c r="TT249" s="4"/>
      <c r="TU249" s="5"/>
      <c r="TV249" s="6"/>
      <c r="TW249" s="4"/>
      <c r="TX249" s="4"/>
      <c r="TY249" s="4"/>
      <c r="TZ249" s="4"/>
      <c r="UA249" s="4"/>
      <c r="UB249" s="5"/>
      <c r="UC249" s="6"/>
      <c r="UD249" s="4"/>
      <c r="UE249" s="4"/>
      <c r="UF249" s="4"/>
      <c r="UG249" s="4"/>
      <c r="UH249" s="4"/>
      <c r="UI249" s="5"/>
      <c r="UJ249" s="6"/>
      <c r="UK249" s="4"/>
      <c r="UL249" s="4"/>
      <c r="UM249" s="4"/>
      <c r="UN249" s="4"/>
      <c r="UO249" s="4"/>
      <c r="UP249" s="5"/>
      <c r="UQ249" s="6"/>
      <c r="UR249" s="4"/>
      <c r="US249" s="4"/>
      <c r="UT249" s="4"/>
      <c r="UU249" s="4"/>
      <c r="UV249" s="4"/>
      <c r="UW249" s="5"/>
      <c r="UX249" s="6"/>
      <c r="UY249" s="4"/>
      <c r="UZ249" s="4"/>
      <c r="VA249" s="4"/>
      <c r="VB249" s="4"/>
      <c r="VC249" s="4"/>
      <c r="VD249" s="5"/>
      <c r="VE249" s="6"/>
      <c r="VF249" s="4"/>
      <c r="VG249" s="4"/>
      <c r="VH249" s="4"/>
      <c r="VI249" s="4"/>
      <c r="VJ249" s="4"/>
      <c r="VK249" s="5"/>
      <c r="VL249" s="6"/>
      <c r="VM249" s="4"/>
      <c r="VN249" s="4"/>
      <c r="VO249" s="7"/>
      <c r="VP249" s="8"/>
      <c r="VQ249" s="8"/>
      <c r="VR249" s="5"/>
      <c r="VS249" s="6"/>
      <c r="VT249" s="4"/>
      <c r="VU249" s="4"/>
      <c r="VV249" s="4"/>
      <c r="VW249" s="4"/>
      <c r="VX249" s="4"/>
      <c r="VY249" s="5"/>
      <c r="VZ249" s="6"/>
      <c r="WA249" s="4"/>
      <c r="WB249" s="4"/>
      <c r="WC249" s="4"/>
      <c r="WD249" s="4"/>
      <c r="WE249" s="4"/>
      <c r="WF249" s="5"/>
      <c r="WG249" s="6"/>
      <c r="WH249" s="4"/>
      <c r="WI249" s="4"/>
      <c r="WJ249" s="4"/>
      <c r="WK249" s="4"/>
      <c r="WL249" s="4"/>
      <c r="WM249" s="5"/>
      <c r="WN249" s="6"/>
      <c r="WO249" s="4"/>
      <c r="WP249" s="4"/>
      <c r="WQ249" s="4"/>
      <c r="WR249" s="4"/>
      <c r="WS249" s="4"/>
      <c r="WT249" s="5"/>
      <c r="WU249" s="6"/>
      <c r="WV249" s="4"/>
      <c r="WW249" s="4"/>
      <c r="WX249" s="4"/>
      <c r="WY249" s="9"/>
      <c r="WZ249" s="9"/>
      <c r="XA249" s="5"/>
      <c r="XB249" s="6"/>
      <c r="XC249" s="4"/>
      <c r="XD249" s="4"/>
      <c r="XE249" s="4"/>
      <c r="XF249" s="4"/>
      <c r="XG249" s="4"/>
      <c r="XH249" s="5"/>
      <c r="XI249" s="6"/>
      <c r="XJ249" s="4"/>
      <c r="XK249" s="4"/>
      <c r="XL249" s="4"/>
      <c r="XM249" s="4"/>
      <c r="XN249" s="4"/>
      <c r="XO249" s="5"/>
      <c r="XP249" s="6"/>
      <c r="XQ249" s="4"/>
      <c r="XR249" s="4"/>
      <c r="XS249" s="4"/>
      <c r="XT249" s="4"/>
      <c r="XU249" s="4"/>
      <c r="XV249" s="5"/>
      <c r="XW249" s="6"/>
      <c r="XX249" s="4"/>
      <c r="XY249" s="4"/>
      <c r="XZ249" s="4"/>
      <c r="YA249" s="4"/>
      <c r="YB249" s="4"/>
      <c r="YC249" s="5"/>
      <c r="YD249" s="6"/>
      <c r="YE249" s="4"/>
      <c r="YF249" s="4"/>
      <c r="YG249" s="4"/>
      <c r="YH249" s="4"/>
      <c r="YI249" s="4"/>
      <c r="YJ249" s="5"/>
      <c r="YK249" s="6"/>
      <c r="YL249" s="4"/>
      <c r="YM249" s="4"/>
      <c r="YN249" s="4"/>
      <c r="YO249" s="4"/>
      <c r="YP249" s="4"/>
      <c r="YQ249" s="5"/>
      <c r="YR249" s="6"/>
      <c r="YS249" s="4"/>
      <c r="YT249" s="4"/>
      <c r="YU249" s="4"/>
      <c r="YV249" s="4"/>
      <c r="YW249" s="4"/>
      <c r="YX249" s="5"/>
      <c r="YY249" s="6"/>
      <c r="YZ249" s="4"/>
      <c r="ZA249" s="4"/>
      <c r="ZB249" s="4"/>
      <c r="ZC249" s="4"/>
      <c r="ZD249" s="4"/>
      <c r="ZE249" s="5"/>
      <c r="ZF249" s="6"/>
      <c r="ZG249" s="4"/>
      <c r="ZH249" s="4"/>
      <c r="ZI249" s="4"/>
      <c r="ZJ249" s="4"/>
      <c r="ZK249" s="4"/>
      <c r="ZL249" s="5"/>
      <c r="ZM249" s="6"/>
      <c r="ZN249" s="4"/>
      <c r="ZO249" s="4"/>
      <c r="ZP249" s="4"/>
      <c r="ZQ249" s="4"/>
      <c r="ZR249" s="4"/>
      <c r="ZS249" s="5"/>
      <c r="ZT249" s="6"/>
      <c r="ZU249" s="4"/>
      <c r="ZV249" s="4"/>
      <c r="ZW249" s="4"/>
      <c r="ZX249" s="4"/>
      <c r="ZY249" s="4"/>
      <c r="ZZ249" s="5"/>
      <c r="AAA249" s="6"/>
      <c r="AAB249" s="4"/>
      <c r="AAC249" s="4"/>
      <c r="AAD249" s="4"/>
      <c r="AAE249" s="4"/>
      <c r="AAF249" s="4"/>
      <c r="AAG249" s="5"/>
      <c r="AAH249" s="6"/>
      <c r="AAI249" s="4"/>
      <c r="AAJ249" s="4"/>
      <c r="AAK249" s="4"/>
      <c r="AAL249" s="4"/>
      <c r="AAM249" s="4"/>
      <c r="AAN249" s="5"/>
      <c r="AAO249" s="6"/>
      <c r="AAP249" s="4"/>
      <c r="AAQ249" s="4"/>
      <c r="AAR249" s="4"/>
      <c r="AAS249" s="4"/>
      <c r="AAT249" s="4"/>
      <c r="AAU249" s="5"/>
      <c r="AAV249" s="6"/>
      <c r="AAW249" s="4"/>
      <c r="AAX249" s="4"/>
      <c r="AAY249" s="4"/>
      <c r="AAZ249" s="4"/>
      <c r="ABA249" s="4"/>
      <c r="ABB249" s="5"/>
      <c r="ABC249" s="6"/>
      <c r="ABD249" s="4"/>
      <c r="ABE249" s="4"/>
      <c r="ABF249" s="4"/>
      <c r="ABG249" s="4"/>
      <c r="ABH249" s="4"/>
      <c r="ABI249" s="5"/>
      <c r="ABJ249" s="6"/>
      <c r="ABK249" s="4"/>
      <c r="ABL249" s="4"/>
      <c r="ABM249" s="4"/>
      <c r="ABN249" s="4"/>
      <c r="ABO249" s="4"/>
      <c r="ABP249" s="5"/>
      <c r="ABQ249" s="6"/>
      <c r="ABR249" s="4"/>
      <c r="ABS249" s="4"/>
      <c r="ABT249" s="4"/>
      <c r="ABU249" s="4"/>
      <c r="ABV249" s="4"/>
      <c r="ABW249" s="5"/>
      <c r="ABX249" s="6"/>
      <c r="ABY249" s="4"/>
      <c r="ABZ249" s="4"/>
      <c r="ACA249" s="4"/>
      <c r="ACB249" s="4"/>
      <c r="ACC249" s="4"/>
      <c r="ACD249" s="5"/>
      <c r="ACE249" s="6"/>
      <c r="ACF249" s="4"/>
      <c r="ACG249" s="4"/>
      <c r="ACH249" s="4"/>
      <c r="ACI249" s="4"/>
      <c r="ACJ249" s="4"/>
      <c r="ACK249" s="5"/>
      <c r="ACL249" s="6"/>
      <c r="ACM249" s="4"/>
      <c r="ACN249" s="4"/>
      <c r="ACO249" s="4"/>
      <c r="ACP249" s="4"/>
      <c r="ACQ249" s="4"/>
      <c r="ACR249" s="5"/>
      <c r="ACS249" s="6"/>
      <c r="ACT249" s="4"/>
      <c r="ACU249" s="4"/>
      <c r="ACV249" s="4"/>
      <c r="ACW249" s="4"/>
      <c r="ACX249" s="4"/>
      <c r="ACY249" s="5"/>
    </row>
    <row r="250" spans="2:805" x14ac:dyDescent="0.25">
      <c r="B250" s="29">
        <v>3014760</v>
      </c>
      <c r="C250">
        <v>20</v>
      </c>
      <c r="D250" t="s">
        <v>2121</v>
      </c>
      <c r="F250" s="23" t="s">
        <v>1781</v>
      </c>
      <c r="I250">
        <v>1</v>
      </c>
      <c r="J250" s="19">
        <v>37148</v>
      </c>
      <c r="K250" s="19" t="s">
        <v>3672</v>
      </c>
      <c r="L250" s="19"/>
      <c r="LL250" s="6"/>
      <c r="LM250" s="4"/>
      <c r="LN250" s="4"/>
      <c r="LO250" s="4"/>
      <c r="LP250" s="4"/>
      <c r="LQ250" s="4"/>
      <c r="LR250" s="5"/>
      <c r="LS250" s="6"/>
      <c r="LT250" s="4"/>
      <c r="LU250" s="4"/>
      <c r="LV250" s="4"/>
      <c r="LW250" s="4"/>
      <c r="LX250" s="4"/>
      <c r="LY250" s="5"/>
      <c r="LZ250" s="6" t="s">
        <v>3384</v>
      </c>
      <c r="MA250" s="7" t="s">
        <v>3413</v>
      </c>
      <c r="MB250" s="4"/>
      <c r="MC250" s="4"/>
      <c r="MD250" s="8"/>
      <c r="ME250" s="4"/>
      <c r="MF250" s="4" t="s">
        <v>3787</v>
      </c>
      <c r="MG250" s="5" t="s">
        <v>3952</v>
      </c>
      <c r="MH250" s="6"/>
      <c r="MI250" s="4"/>
      <c r="MJ250" s="4"/>
      <c r="MK250" s="4"/>
      <c r="ML250" s="4"/>
      <c r="MM250" s="4"/>
      <c r="MN250" s="5"/>
      <c r="MO250" s="6"/>
      <c r="MP250" s="4"/>
      <c r="MQ250" s="4"/>
      <c r="MR250" s="4"/>
      <c r="MS250" s="4"/>
      <c r="MT250" s="4"/>
      <c r="MU250" s="5"/>
      <c r="MV250" s="6"/>
      <c r="MW250" s="4"/>
      <c r="MX250" s="4"/>
      <c r="MY250" s="4"/>
      <c r="MZ250" s="4"/>
      <c r="NA250" s="4"/>
      <c r="NB250" s="5"/>
      <c r="NC250" s="6" t="s">
        <v>3619</v>
      </c>
      <c r="ND250" s="4" t="s">
        <v>3626</v>
      </c>
      <c r="NE250" s="4" t="s">
        <v>3373</v>
      </c>
      <c r="NF250" s="4"/>
      <c r="NG250" s="4"/>
      <c r="NH250" s="4"/>
      <c r="NI250" s="5" t="s">
        <v>3953</v>
      </c>
      <c r="NJ250" s="6"/>
      <c r="NK250" s="4"/>
      <c r="NL250" s="4"/>
      <c r="NM250" s="4"/>
      <c r="NN250" s="4"/>
      <c r="NO250" s="4"/>
      <c r="NP250" s="5"/>
      <c r="NQ250" s="6"/>
      <c r="NR250" s="4"/>
      <c r="NS250" s="4"/>
      <c r="NT250" s="4"/>
      <c r="NU250" s="4"/>
      <c r="NV250" s="4"/>
      <c r="NW250" s="5"/>
      <c r="NX250" s="6"/>
      <c r="NY250" s="4"/>
      <c r="NZ250" s="4"/>
      <c r="OA250" s="4"/>
      <c r="OB250" s="4"/>
      <c r="OC250" s="4"/>
      <c r="OD250" s="5"/>
      <c r="OE250" s="6"/>
      <c r="OF250" s="4"/>
      <c r="OG250" s="4"/>
      <c r="OH250" s="4"/>
      <c r="OI250" s="4"/>
      <c r="OJ250" s="4"/>
      <c r="OK250" s="5"/>
      <c r="OL250" s="6"/>
      <c r="OM250" s="4"/>
      <c r="ON250" s="4"/>
      <c r="OO250" s="4"/>
      <c r="OP250" s="4"/>
      <c r="OQ250" s="4"/>
      <c r="OR250" s="5"/>
      <c r="OS250" s="6"/>
      <c r="OT250" s="4"/>
      <c r="OU250" s="4"/>
      <c r="OV250" s="4"/>
      <c r="OW250" s="4"/>
      <c r="OX250" s="4"/>
      <c r="OY250" s="5"/>
      <c r="OZ250" s="6"/>
      <c r="PA250" s="4"/>
      <c r="PB250" s="4"/>
      <c r="PC250" s="4"/>
      <c r="PD250" s="4"/>
      <c r="PE250" s="4"/>
      <c r="PF250" s="5"/>
      <c r="PG250" s="6"/>
      <c r="PH250" s="4"/>
      <c r="PI250" s="4"/>
      <c r="PJ250" s="4"/>
      <c r="PK250" s="4"/>
      <c r="PL250" s="4"/>
      <c r="PM250" s="5"/>
      <c r="PN250" s="6"/>
      <c r="PO250" s="4"/>
      <c r="PP250" s="4"/>
      <c r="PQ250" s="4"/>
      <c r="PR250" s="4"/>
      <c r="PS250" s="4"/>
      <c r="PT250" s="5"/>
      <c r="PU250" s="6"/>
      <c r="PV250" s="4"/>
      <c r="PW250" s="4"/>
      <c r="PX250" s="4"/>
      <c r="PY250" s="4"/>
      <c r="PZ250" s="4"/>
      <c r="QA250" s="5"/>
      <c r="QB250" s="6"/>
      <c r="QC250" s="4"/>
      <c r="QD250" s="4"/>
      <c r="QE250" s="4"/>
      <c r="QF250" s="4"/>
      <c r="QG250" s="4"/>
      <c r="QH250" s="5"/>
      <c r="QI250" s="6"/>
      <c r="QJ250" s="4"/>
      <c r="QK250" s="4"/>
      <c r="QL250" s="4"/>
      <c r="QM250" s="4"/>
      <c r="QN250" s="4"/>
      <c r="QO250" s="5"/>
      <c r="QP250" s="6"/>
      <c r="QQ250" s="4"/>
      <c r="QR250" s="4"/>
      <c r="QS250" s="4"/>
      <c r="QT250" s="4"/>
      <c r="QU250" s="4"/>
      <c r="QV250" s="5"/>
      <c r="QW250" s="6"/>
      <c r="QX250" s="4"/>
      <c r="QY250" s="4"/>
      <c r="QZ250" s="4"/>
      <c r="RA250" s="4"/>
      <c r="RB250" s="4"/>
      <c r="RC250" s="5"/>
      <c r="RD250" s="6"/>
      <c r="RE250" s="4"/>
      <c r="RF250" s="4"/>
      <c r="RG250" s="4"/>
      <c r="RH250" s="4"/>
      <c r="RI250" s="4"/>
      <c r="RJ250" s="5"/>
      <c r="RK250" s="6"/>
      <c r="RL250" s="4"/>
      <c r="RM250" s="4"/>
      <c r="RN250" s="4"/>
      <c r="RO250" s="4"/>
      <c r="RP250" s="4"/>
      <c r="RQ250" s="5"/>
      <c r="RR250" s="6"/>
      <c r="RS250" s="4"/>
      <c r="RT250" s="4"/>
      <c r="RU250" s="4"/>
      <c r="RV250" s="4"/>
      <c r="RW250" s="4"/>
      <c r="RX250" s="5"/>
      <c r="RY250" s="6"/>
      <c r="RZ250" s="4"/>
      <c r="SA250" s="4"/>
      <c r="SB250" s="4"/>
      <c r="SC250" s="4"/>
      <c r="SD250" s="4"/>
      <c r="SE250" s="5"/>
      <c r="SF250" s="6"/>
      <c r="SG250" s="4"/>
      <c r="SH250" s="4"/>
      <c r="SI250" s="4"/>
      <c r="SJ250" s="4"/>
      <c r="SK250" s="4"/>
      <c r="SL250" s="5"/>
      <c r="SM250" s="6"/>
      <c r="SN250" s="4"/>
      <c r="SO250" s="4"/>
      <c r="SP250" s="4"/>
      <c r="SQ250" s="4"/>
      <c r="SR250" s="4"/>
      <c r="SS250" s="5"/>
      <c r="ST250" s="6"/>
      <c r="SU250" s="4"/>
      <c r="SV250" s="4"/>
      <c r="SW250" s="4"/>
      <c r="SX250" s="4"/>
      <c r="SY250" s="4"/>
      <c r="SZ250" s="5"/>
      <c r="TA250" s="6"/>
      <c r="TB250" s="4"/>
      <c r="TC250" s="4"/>
      <c r="TD250" s="4"/>
      <c r="TE250" s="4"/>
      <c r="TF250" s="4"/>
      <c r="TG250" s="5"/>
      <c r="TH250" s="6"/>
      <c r="TI250" s="4"/>
      <c r="TJ250" s="4"/>
      <c r="TK250" s="4"/>
      <c r="TL250" s="4"/>
      <c r="TM250" s="4"/>
      <c r="TN250" s="5"/>
      <c r="TO250" s="6"/>
      <c r="TP250" s="4"/>
      <c r="TQ250" s="4"/>
      <c r="TR250" s="4"/>
      <c r="TS250" s="4"/>
      <c r="TT250" s="4"/>
      <c r="TU250" s="5"/>
      <c r="TV250" s="6"/>
      <c r="TW250" s="4"/>
      <c r="TX250" s="4"/>
      <c r="TY250" s="4"/>
      <c r="TZ250" s="4"/>
      <c r="UA250" s="4"/>
      <c r="UB250" s="5"/>
      <c r="UC250" s="6"/>
      <c r="UD250" s="4"/>
      <c r="UE250" s="4"/>
      <c r="UF250" s="4"/>
      <c r="UG250" s="4"/>
      <c r="UH250" s="4"/>
      <c r="UI250" s="5"/>
      <c r="UJ250" s="6"/>
      <c r="UK250" s="4"/>
      <c r="UL250" s="4"/>
      <c r="UM250" s="4"/>
      <c r="UN250" s="4"/>
      <c r="UO250" s="4"/>
      <c r="UP250" s="5"/>
      <c r="UQ250" s="6"/>
      <c r="UR250" s="4"/>
      <c r="US250" s="4"/>
      <c r="UT250" s="4"/>
      <c r="UU250" s="4"/>
      <c r="UV250" s="4"/>
      <c r="UW250" s="5"/>
      <c r="UX250" s="6"/>
      <c r="UY250" s="4"/>
      <c r="UZ250" s="4"/>
      <c r="VA250" s="4"/>
      <c r="VB250" s="4"/>
      <c r="VC250" s="4"/>
      <c r="VD250" s="5"/>
      <c r="VE250" s="6"/>
      <c r="VF250" s="4"/>
      <c r="VG250" s="4"/>
      <c r="VH250" s="4"/>
      <c r="VI250" s="4"/>
      <c r="VJ250" s="4"/>
      <c r="VK250" s="5"/>
      <c r="VL250" s="6"/>
      <c r="VM250" s="4"/>
      <c r="VN250" s="4"/>
      <c r="VO250" s="4"/>
      <c r="VP250" s="4"/>
      <c r="VQ250" s="4"/>
      <c r="VR250" s="5"/>
      <c r="VS250" s="6"/>
      <c r="VT250" s="4"/>
      <c r="VU250" s="4"/>
      <c r="VV250" s="4"/>
      <c r="VW250" s="4"/>
      <c r="VX250" s="4"/>
      <c r="VY250" s="5"/>
      <c r="VZ250" s="6"/>
      <c r="WA250" s="4"/>
      <c r="WB250" s="4"/>
      <c r="WC250" s="4"/>
      <c r="WD250" s="4"/>
      <c r="WE250" s="4"/>
      <c r="WF250" s="5"/>
      <c r="WG250" s="6"/>
      <c r="WH250" s="4"/>
      <c r="WI250" s="4"/>
      <c r="WJ250" s="4"/>
      <c r="WK250" s="4"/>
      <c r="WL250" s="4"/>
      <c r="WM250" s="5"/>
      <c r="WN250" s="6"/>
      <c r="WO250" s="4"/>
      <c r="WP250" s="4"/>
      <c r="WQ250" s="4"/>
      <c r="WR250" s="4"/>
      <c r="WS250" s="4"/>
      <c r="WT250" s="5"/>
      <c r="WU250" s="6"/>
      <c r="WV250" s="4"/>
      <c r="WW250" s="4"/>
      <c r="WX250" s="4"/>
      <c r="WY250" s="4"/>
      <c r="WZ250" s="4"/>
      <c r="XA250" s="5"/>
      <c r="XB250" s="6"/>
      <c r="XC250" s="4"/>
      <c r="XD250" s="4"/>
      <c r="XE250" s="4"/>
      <c r="XF250" s="4"/>
      <c r="XG250" s="4"/>
      <c r="XH250" s="5"/>
      <c r="XI250" s="6"/>
      <c r="XJ250" s="4"/>
      <c r="XK250" s="4"/>
      <c r="XL250" s="4"/>
      <c r="XM250" s="4"/>
      <c r="XN250" s="4"/>
      <c r="XO250" s="5"/>
      <c r="XP250" s="6"/>
      <c r="XQ250" s="4"/>
      <c r="XR250" s="4"/>
      <c r="XS250" s="4"/>
      <c r="XT250" s="4"/>
      <c r="XU250" s="4"/>
      <c r="XV250" s="5"/>
      <c r="XW250" s="6"/>
      <c r="XX250" s="4"/>
      <c r="XY250" s="4"/>
      <c r="XZ250" s="4"/>
      <c r="YA250" s="4"/>
      <c r="YB250" s="4"/>
      <c r="YC250" s="5"/>
      <c r="YD250" s="6"/>
      <c r="YE250" s="4"/>
      <c r="YF250" s="4"/>
      <c r="YG250" s="4"/>
      <c r="YH250" s="4"/>
      <c r="YI250" s="4"/>
      <c r="YJ250" s="5"/>
      <c r="YK250" s="6"/>
      <c r="YL250" s="4"/>
      <c r="YM250" s="4"/>
      <c r="YN250" s="4"/>
      <c r="YO250" s="4"/>
      <c r="YP250" s="4"/>
      <c r="YQ250" s="5"/>
      <c r="YR250" s="6"/>
      <c r="YS250" s="4"/>
      <c r="YT250" s="4"/>
      <c r="YU250" s="4"/>
      <c r="YV250" s="4"/>
      <c r="YW250" s="4"/>
      <c r="YX250" s="5"/>
      <c r="YY250" s="6"/>
      <c r="YZ250" s="4"/>
      <c r="ZA250" s="4"/>
      <c r="ZB250" s="4"/>
      <c r="ZC250" s="4"/>
      <c r="ZD250" s="4"/>
      <c r="ZE250" s="5"/>
      <c r="ZF250" s="6"/>
      <c r="ZG250" s="4"/>
      <c r="ZH250" s="4"/>
      <c r="ZI250" s="4"/>
      <c r="ZJ250" s="4"/>
      <c r="ZK250" s="4"/>
      <c r="ZL250" s="5"/>
      <c r="ZM250" s="6"/>
      <c r="ZN250" s="4"/>
      <c r="ZO250" s="4"/>
      <c r="ZP250" s="4"/>
      <c r="ZQ250" s="4"/>
      <c r="ZR250" s="4"/>
      <c r="ZS250" s="5"/>
      <c r="ZT250" s="6"/>
      <c r="ZU250" s="4"/>
      <c r="ZV250" s="4"/>
      <c r="ZW250" s="4"/>
      <c r="ZX250" s="4"/>
      <c r="ZY250" s="4"/>
      <c r="ZZ250" s="5"/>
      <c r="AAA250" s="6"/>
      <c r="AAB250" s="4"/>
      <c r="AAC250" s="4"/>
      <c r="AAD250" s="4"/>
      <c r="AAE250" s="4"/>
      <c r="AAF250" s="4"/>
      <c r="AAG250" s="5"/>
      <c r="AAH250" s="6"/>
      <c r="AAI250" s="4"/>
      <c r="AAJ250" s="4"/>
      <c r="AAK250" s="4"/>
      <c r="AAL250" s="4"/>
      <c r="AAM250" s="4"/>
      <c r="AAN250" s="5"/>
      <c r="AAO250" s="6"/>
      <c r="AAP250" s="4"/>
      <c r="AAQ250" s="4"/>
      <c r="AAR250" s="4"/>
      <c r="AAS250" s="4"/>
      <c r="AAT250" s="4"/>
      <c r="AAU250" s="5"/>
      <c r="AAV250" s="6"/>
      <c r="AAW250" s="4"/>
      <c r="AAX250" s="4"/>
      <c r="AAY250" s="4"/>
      <c r="AAZ250" s="4"/>
      <c r="ABA250" s="4"/>
      <c r="ABB250" s="5"/>
      <c r="ABC250" s="6"/>
      <c r="ABD250" s="4"/>
      <c r="ABE250" s="4"/>
      <c r="ABF250" s="4"/>
      <c r="ABG250" s="4"/>
      <c r="ABH250" s="4"/>
      <c r="ABI250" s="5"/>
      <c r="ABJ250" s="6"/>
      <c r="ABK250" s="4"/>
      <c r="ABL250" s="4"/>
      <c r="ABM250" s="4"/>
      <c r="ABN250" s="4"/>
      <c r="ABO250" s="4"/>
      <c r="ABP250" s="5"/>
      <c r="ABQ250" s="6"/>
      <c r="ABR250" s="4"/>
      <c r="ABS250" s="4"/>
      <c r="ABT250" s="4"/>
      <c r="ABU250" s="4"/>
      <c r="ABV250" s="4"/>
      <c r="ABW250" s="5"/>
      <c r="ABX250" s="6"/>
      <c r="ABY250" s="4"/>
      <c r="ABZ250" s="4"/>
      <c r="ACA250" s="4"/>
      <c r="ACB250" s="4"/>
      <c r="ACC250" s="4"/>
      <c r="ACD250" s="5"/>
      <c r="ACE250" s="6"/>
      <c r="ACF250" s="4"/>
      <c r="ACG250" s="4"/>
      <c r="ACH250" s="4"/>
      <c r="ACI250" s="4"/>
      <c r="ACJ250" s="4"/>
      <c r="ACK250" s="5"/>
      <c r="ACL250" s="6"/>
      <c r="ACM250" s="4"/>
      <c r="ACN250" s="4"/>
      <c r="ACO250" s="4"/>
      <c r="ACP250" s="4"/>
      <c r="ACQ250" s="4"/>
      <c r="ACR250" s="5"/>
      <c r="ACS250" s="6"/>
      <c r="ACT250" s="4"/>
      <c r="ACU250" s="4"/>
      <c r="ACV250" s="4"/>
      <c r="ACW250" s="4"/>
      <c r="ACX250" s="4"/>
      <c r="ACY250" s="5"/>
    </row>
    <row r="251" spans="2:805" x14ac:dyDescent="0.25">
      <c r="B251" s="29">
        <v>3015398</v>
      </c>
      <c r="C251">
        <v>16</v>
      </c>
      <c r="D251" t="s">
        <v>3729</v>
      </c>
      <c r="F251" s="23">
        <v>0</v>
      </c>
      <c r="I251">
        <v>1</v>
      </c>
      <c r="J251" s="19">
        <v>36989</v>
      </c>
      <c r="K251" s="19" t="s">
        <v>3954</v>
      </c>
      <c r="L251" s="19"/>
      <c r="CK251">
        <v>1</v>
      </c>
      <c r="LL251" s="6"/>
      <c r="LM251" s="4"/>
      <c r="LN251" s="4"/>
      <c r="LO251" s="4"/>
      <c r="LP251" s="4"/>
      <c r="LQ251" s="4"/>
      <c r="LR251" s="5"/>
      <c r="LS251" s="6"/>
      <c r="LT251" s="4"/>
      <c r="LU251" s="4"/>
      <c r="LV251" s="4"/>
      <c r="LW251" s="4"/>
      <c r="LX251" s="4"/>
      <c r="LY251" s="5"/>
      <c r="LZ251" s="6" t="s">
        <v>2927</v>
      </c>
      <c r="MA251" s="7" t="s">
        <v>3634</v>
      </c>
      <c r="MB251" s="7" t="s">
        <v>3635</v>
      </c>
      <c r="MC251" s="7" t="s">
        <v>3267</v>
      </c>
      <c r="MD251" s="8">
        <v>36970</v>
      </c>
      <c r="ME251" s="8">
        <v>36970</v>
      </c>
      <c r="MF251" s="8"/>
      <c r="MG251" s="5" t="s">
        <v>3955</v>
      </c>
      <c r="MH251" s="6"/>
      <c r="MI251" s="4"/>
      <c r="MJ251" s="4"/>
      <c r="MK251" s="4"/>
      <c r="ML251" s="4"/>
      <c r="MM251" s="4"/>
      <c r="MN251" s="5"/>
      <c r="MO251" s="6"/>
      <c r="MP251" s="4"/>
      <c r="MQ251" s="4"/>
      <c r="MR251" s="4"/>
      <c r="MS251" s="4"/>
      <c r="MT251" s="4"/>
      <c r="MU251" s="5"/>
      <c r="MV251" s="6"/>
      <c r="MW251" s="4"/>
      <c r="MX251" s="4"/>
      <c r="MY251" s="4"/>
      <c r="MZ251" s="4"/>
      <c r="NA251" s="4"/>
      <c r="NB251" s="5"/>
      <c r="NC251" s="6"/>
      <c r="ND251" s="4"/>
      <c r="NE251" s="4"/>
      <c r="NF251" s="4"/>
      <c r="NG251" s="4"/>
      <c r="NH251" s="4"/>
      <c r="NI251" s="5"/>
      <c r="NJ251" s="6" t="s">
        <v>3638</v>
      </c>
      <c r="NK251" s="4" t="s">
        <v>3638</v>
      </c>
      <c r="NL251" s="4" t="s">
        <v>3639</v>
      </c>
      <c r="NM251" s="7" t="s">
        <v>3070</v>
      </c>
      <c r="NN251" s="8">
        <v>36971</v>
      </c>
      <c r="NO251" s="8">
        <v>36971</v>
      </c>
      <c r="NP251" s="5" t="s">
        <v>3883</v>
      </c>
      <c r="NQ251" s="6"/>
      <c r="NR251" s="4"/>
      <c r="NS251" s="4"/>
      <c r="NT251" s="4"/>
      <c r="NU251" s="4"/>
      <c r="NV251" s="4"/>
      <c r="NW251" s="5"/>
      <c r="NX251" s="6"/>
      <c r="NY251" s="4"/>
      <c r="NZ251" s="4"/>
      <c r="OA251" s="4"/>
      <c r="OB251" s="4"/>
      <c r="OC251" s="4"/>
      <c r="OD251" s="5"/>
      <c r="OE251" s="6"/>
      <c r="OF251" s="4"/>
      <c r="OG251" s="4"/>
      <c r="OH251" s="4"/>
      <c r="OI251" s="4"/>
      <c r="OJ251" s="4"/>
      <c r="OK251" s="5"/>
      <c r="OL251" s="6"/>
      <c r="OM251" s="4"/>
      <c r="ON251" s="4"/>
      <c r="OO251" s="4"/>
      <c r="OP251" s="4"/>
      <c r="OQ251" s="4"/>
      <c r="OR251" s="5"/>
      <c r="OS251" s="6"/>
      <c r="OT251" s="4"/>
      <c r="OU251" s="4"/>
      <c r="OV251" s="4"/>
      <c r="OW251" s="4"/>
      <c r="OX251" s="4"/>
      <c r="OY251" s="5"/>
      <c r="OZ251" s="6" t="s">
        <v>3279</v>
      </c>
      <c r="PA251" s="4" t="s">
        <v>3052</v>
      </c>
      <c r="PB251" s="4"/>
      <c r="PC251" s="4" t="s">
        <v>3458</v>
      </c>
      <c r="PD251" s="8">
        <v>36976</v>
      </c>
      <c r="PE251" s="8">
        <v>36978</v>
      </c>
      <c r="PF251" s="5" t="s">
        <v>4009</v>
      </c>
      <c r="PG251" s="6"/>
      <c r="PH251" s="4"/>
      <c r="PI251" s="4"/>
      <c r="PJ251" s="4"/>
      <c r="PK251" s="4"/>
      <c r="PL251" s="4"/>
      <c r="PM251" s="5"/>
      <c r="PN251" s="6"/>
      <c r="PO251" s="4"/>
      <c r="PP251" s="4"/>
      <c r="PQ251" s="4"/>
      <c r="PR251" s="4"/>
      <c r="PS251" s="4"/>
      <c r="PT251" s="5"/>
      <c r="PU251" s="6" t="s">
        <v>3630</v>
      </c>
      <c r="PV251" s="4" t="s">
        <v>3477</v>
      </c>
      <c r="PW251" s="4" t="s">
        <v>3478</v>
      </c>
      <c r="PX251" s="7" t="s">
        <v>3633</v>
      </c>
      <c r="PY251" s="8">
        <v>36989</v>
      </c>
      <c r="PZ251" s="8">
        <v>36989</v>
      </c>
      <c r="QA251" s="5" t="s">
        <v>4021</v>
      </c>
      <c r="QB251" s="6"/>
      <c r="QC251" s="4"/>
      <c r="QD251" s="4"/>
      <c r="QE251" s="4"/>
      <c r="QF251" s="4"/>
      <c r="QG251" s="4"/>
      <c r="QH251" s="5"/>
      <c r="QI251" s="6"/>
      <c r="QJ251" s="4"/>
      <c r="QK251" s="4"/>
      <c r="QL251" s="4"/>
      <c r="QM251" s="4"/>
      <c r="QN251" s="4"/>
      <c r="QO251" s="5"/>
      <c r="QP251" s="6"/>
      <c r="QQ251" s="4"/>
      <c r="QR251" s="4"/>
      <c r="QS251" s="4"/>
      <c r="QT251" s="4"/>
      <c r="QU251" s="4"/>
      <c r="QV251" s="5"/>
      <c r="QW251" s="6"/>
      <c r="QX251" s="4"/>
      <c r="QY251" s="4"/>
      <c r="QZ251" s="4"/>
      <c r="RA251" s="4"/>
      <c r="RB251" s="4"/>
      <c r="RC251" s="5"/>
      <c r="RD251" s="6"/>
      <c r="RE251" s="4"/>
      <c r="RF251" s="4"/>
      <c r="RG251" s="4"/>
      <c r="RH251" s="4"/>
      <c r="RI251" s="4"/>
      <c r="RJ251" s="5"/>
      <c r="RK251" s="6"/>
      <c r="RL251" s="4"/>
      <c r="RM251" s="4"/>
      <c r="RN251" s="4"/>
      <c r="RO251" s="4"/>
      <c r="RP251" s="4"/>
      <c r="RQ251" s="5"/>
      <c r="RR251" s="6"/>
      <c r="RS251" s="4"/>
      <c r="RT251" s="4"/>
      <c r="RU251" s="4"/>
      <c r="RV251" s="4"/>
      <c r="RW251" s="4"/>
      <c r="RX251" s="5"/>
      <c r="RY251" s="6"/>
      <c r="RZ251" s="4"/>
      <c r="SA251" s="4"/>
      <c r="SB251" s="4"/>
      <c r="SC251" s="4"/>
      <c r="SD251" s="4"/>
      <c r="SE251" s="5"/>
      <c r="SF251" s="6"/>
      <c r="SG251" s="4"/>
      <c r="SH251" s="4"/>
      <c r="SI251" s="4"/>
      <c r="SJ251" s="4"/>
      <c r="SK251" s="4"/>
      <c r="SL251" s="5"/>
      <c r="SM251" s="6"/>
      <c r="SN251" s="4"/>
      <c r="SO251" s="4"/>
      <c r="SP251" s="4"/>
      <c r="SQ251" s="4"/>
      <c r="SR251" s="4"/>
      <c r="SS251" s="5"/>
      <c r="ST251" s="6" t="s">
        <v>2924</v>
      </c>
      <c r="SU251" s="4" t="s">
        <v>2925</v>
      </c>
      <c r="SV251" s="4" t="s">
        <v>2926</v>
      </c>
      <c r="SW251" s="7" t="s">
        <v>3067</v>
      </c>
      <c r="SX251" s="8">
        <v>36970</v>
      </c>
      <c r="SY251" s="8">
        <v>36974</v>
      </c>
      <c r="SZ251" s="5" t="s">
        <v>4022</v>
      </c>
      <c r="TA251" s="6"/>
      <c r="TB251" s="4"/>
      <c r="TC251" s="4"/>
      <c r="TD251" s="4"/>
      <c r="TE251" s="4"/>
      <c r="TF251" s="4"/>
      <c r="TG251" s="5"/>
      <c r="TH251" s="6"/>
      <c r="TI251" s="4"/>
      <c r="TJ251" s="4"/>
      <c r="TK251" s="4"/>
      <c r="TL251" s="4"/>
      <c r="TM251" s="4"/>
      <c r="TN251" s="5"/>
      <c r="TO251" s="6"/>
      <c r="TP251" s="4"/>
      <c r="TQ251" s="4"/>
      <c r="TR251" s="4"/>
      <c r="TS251" s="4"/>
      <c r="TT251" s="4"/>
      <c r="TU251" s="5"/>
      <c r="TV251" s="6"/>
      <c r="TW251" s="4"/>
      <c r="TX251" s="4"/>
      <c r="TY251" s="4"/>
      <c r="TZ251" s="4"/>
      <c r="UA251" s="4"/>
      <c r="UB251" s="5"/>
      <c r="UC251" s="6"/>
      <c r="UD251" s="4"/>
      <c r="UE251" s="4"/>
      <c r="UF251" s="4"/>
      <c r="UG251" s="4"/>
      <c r="UH251" s="4"/>
      <c r="UI251" s="5"/>
      <c r="UJ251" s="6"/>
      <c r="UK251" s="4"/>
      <c r="UL251" s="4"/>
      <c r="UM251" s="4"/>
      <c r="UN251" s="4"/>
      <c r="UO251" s="4"/>
      <c r="UP251" s="5"/>
      <c r="UQ251" s="6"/>
      <c r="UR251" s="4"/>
      <c r="US251" s="4"/>
      <c r="UT251" s="4"/>
      <c r="UU251" s="4"/>
      <c r="UV251" s="4"/>
      <c r="UW251" s="5"/>
      <c r="UX251" s="6"/>
      <c r="UY251" s="4"/>
      <c r="UZ251" s="4"/>
      <c r="VA251" s="4"/>
      <c r="VB251" s="4"/>
      <c r="VC251" s="4"/>
      <c r="VD251" s="5"/>
      <c r="VE251" s="6"/>
      <c r="VF251" s="4"/>
      <c r="VG251" s="4"/>
      <c r="VH251" s="4"/>
      <c r="VI251" s="4"/>
      <c r="VJ251" s="4"/>
      <c r="VK251" s="5"/>
      <c r="VL251" s="6" t="s">
        <v>2546</v>
      </c>
      <c r="VM251" s="4" t="s">
        <v>2547</v>
      </c>
      <c r="VN251" s="4" t="s">
        <v>3472</v>
      </c>
      <c r="VO251" s="7" t="s">
        <v>3070</v>
      </c>
      <c r="VP251" s="8">
        <v>36989</v>
      </c>
      <c r="VQ251" s="8">
        <v>36989</v>
      </c>
      <c r="VR251" s="5" t="s">
        <v>4023</v>
      </c>
      <c r="VS251" s="6"/>
      <c r="VT251" s="4"/>
      <c r="VU251" s="4"/>
      <c r="VV251" s="4"/>
      <c r="VW251" s="4"/>
      <c r="VX251" s="4"/>
      <c r="VY251" s="5"/>
      <c r="VZ251" s="6"/>
      <c r="WA251" s="4"/>
      <c r="WB251" s="4"/>
      <c r="WC251" s="4"/>
      <c r="WD251" s="4"/>
      <c r="WE251" s="4"/>
      <c r="WF251" s="5"/>
      <c r="WG251" s="6" t="s">
        <v>3157</v>
      </c>
      <c r="WH251" s="4" t="s">
        <v>3299</v>
      </c>
      <c r="WI251" s="4" t="s">
        <v>3300</v>
      </c>
      <c r="WJ251" s="7" t="s">
        <v>3161</v>
      </c>
      <c r="WK251" s="8">
        <v>36977</v>
      </c>
      <c r="WL251" s="8">
        <v>36977</v>
      </c>
      <c r="WM251" s="5" t="s">
        <v>3898</v>
      </c>
      <c r="WN251" s="6"/>
      <c r="WO251" s="4"/>
      <c r="WP251" s="4"/>
      <c r="WQ251" s="4"/>
      <c r="WR251" s="4"/>
      <c r="WS251" s="4"/>
      <c r="WT251" s="5"/>
      <c r="WU251" s="6"/>
      <c r="WV251" s="4"/>
      <c r="WW251" s="4"/>
      <c r="WX251" s="4"/>
      <c r="WY251" s="4"/>
      <c r="WZ251" s="4"/>
      <c r="XA251" s="5"/>
      <c r="XB251" s="6"/>
      <c r="XC251" s="4"/>
      <c r="XD251" s="4"/>
      <c r="XE251" s="4"/>
      <c r="XF251" s="4"/>
      <c r="XG251" s="4"/>
      <c r="XH251" s="5"/>
      <c r="XI251" s="6"/>
      <c r="XJ251" s="4"/>
      <c r="XK251" s="4"/>
      <c r="XL251" s="4"/>
      <c r="XM251" s="4"/>
      <c r="XN251" s="4"/>
      <c r="XO251" s="5"/>
      <c r="XP251" s="6"/>
      <c r="XQ251" s="4"/>
      <c r="XR251" s="4"/>
      <c r="XS251" s="4"/>
      <c r="XT251" s="4"/>
      <c r="XU251" s="4"/>
      <c r="XV251" s="5"/>
      <c r="XW251" s="6"/>
      <c r="XX251" s="4"/>
      <c r="XY251" s="4"/>
      <c r="XZ251" s="4"/>
      <c r="YA251" s="4"/>
      <c r="YB251" s="4"/>
      <c r="YC251" s="5"/>
      <c r="YD251" s="6"/>
      <c r="YE251" s="4"/>
      <c r="YF251" s="4"/>
      <c r="YG251" s="4"/>
      <c r="YH251" s="4"/>
      <c r="YI251" s="4"/>
      <c r="YJ251" s="5"/>
      <c r="YK251" s="6" t="s">
        <v>3280</v>
      </c>
      <c r="YL251" s="4" t="s">
        <v>3282</v>
      </c>
      <c r="YM251" s="4" t="s">
        <v>3136</v>
      </c>
      <c r="YN251" s="7" t="s">
        <v>3371</v>
      </c>
      <c r="YO251" s="8">
        <v>36973</v>
      </c>
      <c r="YP251" s="8">
        <v>36974</v>
      </c>
      <c r="YQ251" s="5"/>
      <c r="YR251" s="6"/>
      <c r="YS251" s="4"/>
      <c r="YT251" s="4"/>
      <c r="YU251" s="4"/>
      <c r="YV251" s="4"/>
      <c r="YW251" s="4"/>
      <c r="YX251" s="5"/>
      <c r="YY251" s="6"/>
      <c r="YZ251" s="4"/>
      <c r="ZA251" s="4"/>
      <c r="ZB251" s="4"/>
      <c r="ZC251" s="4"/>
      <c r="ZD251" s="4"/>
      <c r="ZE251" s="5"/>
      <c r="ZF251" s="6"/>
      <c r="ZG251" s="4"/>
      <c r="ZH251" s="4"/>
      <c r="ZI251" s="4"/>
      <c r="ZJ251" s="4"/>
      <c r="ZK251" s="4"/>
      <c r="ZL251" s="5"/>
      <c r="ZM251" s="6"/>
      <c r="ZN251" s="4"/>
      <c r="ZO251" s="4"/>
      <c r="ZP251" s="4"/>
      <c r="ZQ251" s="4"/>
      <c r="ZR251" s="4"/>
      <c r="ZS251" s="5"/>
      <c r="ZT251" s="6"/>
      <c r="ZU251" s="4"/>
      <c r="ZV251" s="4"/>
      <c r="ZW251" s="4"/>
      <c r="ZX251" s="4"/>
      <c r="ZY251" s="4"/>
      <c r="ZZ251" s="5"/>
      <c r="AAA251" s="6"/>
      <c r="AAB251" s="4"/>
      <c r="AAC251" s="4"/>
      <c r="AAD251" s="4"/>
      <c r="AAE251" s="4"/>
      <c r="AAF251" s="4"/>
      <c r="AAG251" s="5"/>
      <c r="AAH251" s="6" t="s">
        <v>3283</v>
      </c>
      <c r="AAI251" s="4" t="s">
        <v>3135</v>
      </c>
      <c r="AAJ251" s="4" t="s">
        <v>3559</v>
      </c>
      <c r="AAK251" s="7" t="s">
        <v>3070</v>
      </c>
      <c r="AAL251" s="8">
        <v>36977</v>
      </c>
      <c r="AAM251" s="8">
        <v>36977</v>
      </c>
      <c r="AAN251" s="5" t="s">
        <v>4009</v>
      </c>
      <c r="AAO251" s="6"/>
      <c r="AAP251" s="4"/>
      <c r="AAQ251" s="4"/>
      <c r="AAR251" s="4"/>
      <c r="AAS251" s="4"/>
      <c r="AAT251" s="4"/>
      <c r="AAU251" s="5"/>
      <c r="AAV251" s="6"/>
      <c r="AAW251" s="4"/>
      <c r="AAX251" s="4"/>
      <c r="AAY251" s="4"/>
      <c r="AAZ251" s="4"/>
      <c r="ABA251" s="4"/>
      <c r="ABB251" s="5"/>
      <c r="ABC251" s="6"/>
      <c r="ABD251" s="4"/>
      <c r="ABE251" s="4"/>
      <c r="ABF251" s="4"/>
      <c r="ABG251" s="4"/>
      <c r="ABH251" s="4"/>
      <c r="ABI251" s="5"/>
      <c r="ABJ251" s="6"/>
      <c r="ABK251" s="4"/>
      <c r="ABL251" s="4"/>
      <c r="ABM251" s="4"/>
      <c r="ABN251" s="4"/>
      <c r="ABO251" s="4"/>
      <c r="ABP251" s="5"/>
      <c r="ABQ251" s="6"/>
      <c r="ABR251" s="4"/>
      <c r="ABS251" s="4"/>
      <c r="ABT251" s="4"/>
      <c r="ABU251" s="4"/>
      <c r="ABV251" s="4"/>
      <c r="ABW251" s="5"/>
      <c r="ABX251" s="6"/>
      <c r="ABY251" s="4"/>
      <c r="ABZ251" s="4"/>
      <c r="ACA251" s="4"/>
      <c r="ACB251" s="4"/>
      <c r="ACC251" s="4"/>
      <c r="ACD251" s="5"/>
      <c r="ACE251" s="6"/>
      <c r="ACF251" s="4"/>
      <c r="ACG251" s="4"/>
      <c r="ACH251" s="4"/>
      <c r="ACI251" s="4"/>
      <c r="ACJ251" s="4"/>
      <c r="ACK251" s="5"/>
      <c r="ACL251" s="6"/>
      <c r="ACM251" s="4"/>
      <c r="ACN251" s="4"/>
      <c r="ACO251" s="4"/>
      <c r="ACP251" s="4"/>
      <c r="ACQ251" s="4"/>
      <c r="ACR251" s="5"/>
      <c r="ACS251" s="6"/>
      <c r="ACT251" s="4"/>
      <c r="ACU251" s="4"/>
      <c r="ACV251" s="4"/>
      <c r="ACW251" s="4"/>
      <c r="ACX251" s="4"/>
      <c r="ACY251" s="5"/>
      <c r="ADG251" t="s">
        <v>4158</v>
      </c>
      <c r="ADU251" t="s">
        <v>4159</v>
      </c>
    </row>
    <row r="252" spans="2:805" x14ac:dyDescent="0.25">
      <c r="J252" s="12"/>
      <c r="K252" s="12"/>
      <c r="L252" s="12"/>
      <c r="LL252" s="6"/>
      <c r="LM252" s="4"/>
      <c r="LN252" s="4"/>
      <c r="LO252" s="4"/>
      <c r="LP252" s="4"/>
      <c r="LQ252" s="4"/>
      <c r="LR252" s="5"/>
      <c r="LS252" s="6"/>
      <c r="LT252" s="4"/>
      <c r="LU252" s="4"/>
      <c r="LV252" s="4"/>
      <c r="LW252" s="4"/>
      <c r="LX252" s="4"/>
      <c r="LY252" s="5"/>
      <c r="LZ252" s="6" t="s">
        <v>3636</v>
      </c>
      <c r="MA252" s="7" t="s">
        <v>3271</v>
      </c>
      <c r="MB252" s="7" t="s">
        <v>3635</v>
      </c>
      <c r="MC252" s="7" t="s">
        <v>3128</v>
      </c>
      <c r="MD252" s="8">
        <v>36971</v>
      </c>
      <c r="ME252" s="8">
        <v>36978</v>
      </c>
      <c r="MF252" s="8"/>
      <c r="MG252" s="5"/>
      <c r="MH252" s="6"/>
      <c r="MI252" s="4"/>
      <c r="MJ252" s="4"/>
      <c r="MK252" s="4"/>
      <c r="ML252" s="4"/>
      <c r="MM252" s="4"/>
      <c r="MN252" s="5"/>
      <c r="MO252" s="6"/>
      <c r="MP252" s="4"/>
      <c r="MQ252" s="4"/>
      <c r="MR252" s="4"/>
      <c r="MS252" s="4"/>
      <c r="MT252" s="4"/>
      <c r="MU252" s="5"/>
      <c r="MV252" s="6"/>
      <c r="MW252" s="4"/>
      <c r="MX252" s="4"/>
      <c r="MY252" s="4"/>
      <c r="MZ252" s="4"/>
      <c r="NA252" s="4"/>
      <c r="NB252" s="5"/>
      <c r="NC252" s="6"/>
      <c r="ND252" s="4"/>
      <c r="NE252" s="4"/>
      <c r="NF252" s="4"/>
      <c r="NG252" s="4"/>
      <c r="NH252" s="4"/>
      <c r="NI252" s="5"/>
      <c r="NJ252" s="6" t="s">
        <v>3638</v>
      </c>
      <c r="NK252" s="4" t="s">
        <v>3638</v>
      </c>
      <c r="NL252" s="4" t="s">
        <v>3140</v>
      </c>
      <c r="NM252" s="7" t="s">
        <v>3067</v>
      </c>
      <c r="NN252" s="8">
        <v>36976</v>
      </c>
      <c r="NO252" s="8">
        <v>36980</v>
      </c>
      <c r="NP252" s="5"/>
      <c r="NQ252" s="6"/>
      <c r="NR252" s="4"/>
      <c r="NS252" s="4"/>
      <c r="NT252" s="4"/>
      <c r="NU252" s="4"/>
      <c r="NV252" s="4"/>
      <c r="NW252" s="5"/>
      <c r="NX252" s="6"/>
      <c r="NY252" s="4"/>
      <c r="NZ252" s="4"/>
      <c r="OA252" s="4"/>
      <c r="OB252" s="4"/>
      <c r="OC252" s="4"/>
      <c r="OD252" s="5"/>
      <c r="OE252" s="6"/>
      <c r="OF252" s="4"/>
      <c r="OG252" s="4"/>
      <c r="OH252" s="4"/>
      <c r="OI252" s="4"/>
      <c r="OJ252" s="4"/>
      <c r="OK252" s="5"/>
      <c r="OL252" s="6"/>
      <c r="OM252" s="4"/>
      <c r="ON252" s="4"/>
      <c r="OO252" s="4"/>
      <c r="OP252" s="4"/>
      <c r="OQ252" s="4"/>
      <c r="OR252" s="5"/>
      <c r="OS252" s="6"/>
      <c r="OT252" s="4"/>
      <c r="OU252" s="4"/>
      <c r="OV252" s="4"/>
      <c r="OW252" s="4"/>
      <c r="OX252" s="4"/>
      <c r="OY252" s="5"/>
      <c r="OZ252" s="6" t="s">
        <v>3141</v>
      </c>
      <c r="PA252" s="4" t="s">
        <v>3142</v>
      </c>
      <c r="PB252" s="4" t="s">
        <v>3143</v>
      </c>
      <c r="PC252" s="7" t="s">
        <v>3301</v>
      </c>
      <c r="PD252" s="8">
        <v>36973</v>
      </c>
      <c r="PE252" s="8">
        <v>36990</v>
      </c>
      <c r="PF252" s="5" t="s">
        <v>4010</v>
      </c>
      <c r="PG252" s="6"/>
      <c r="PH252" s="4"/>
      <c r="PI252" s="4"/>
      <c r="PJ252" s="4"/>
      <c r="PK252" s="4"/>
      <c r="PL252" s="4"/>
      <c r="PM252" s="5"/>
      <c r="PN252" s="6"/>
      <c r="PO252" s="4"/>
      <c r="PP252" s="4"/>
      <c r="PQ252" s="4"/>
      <c r="PR252" s="4"/>
      <c r="PS252" s="4"/>
      <c r="PT252" s="5"/>
      <c r="PU252" s="6"/>
      <c r="PV252" s="4"/>
      <c r="PW252" s="4"/>
      <c r="PX252" s="4"/>
      <c r="PY252" s="4"/>
      <c r="PZ252" s="4"/>
      <c r="QA252" s="5"/>
      <c r="QB252" s="6"/>
      <c r="QC252" s="4"/>
      <c r="QD252" s="4"/>
      <c r="QE252" s="4"/>
      <c r="QF252" s="4"/>
      <c r="QG252" s="4"/>
      <c r="QH252" s="5"/>
      <c r="QI252" s="6"/>
      <c r="QJ252" s="4"/>
      <c r="QK252" s="4"/>
      <c r="QL252" s="4"/>
      <c r="QM252" s="4"/>
      <c r="QN252" s="4"/>
      <c r="QO252" s="5"/>
      <c r="QP252" s="6"/>
      <c r="QQ252" s="4"/>
      <c r="QR252" s="4"/>
      <c r="QS252" s="4"/>
      <c r="QT252" s="4"/>
      <c r="QU252" s="4"/>
      <c r="QV252" s="5"/>
      <c r="QW252" s="6"/>
      <c r="QX252" s="4"/>
      <c r="QY252" s="4"/>
      <c r="QZ252" s="4"/>
      <c r="RA252" s="4"/>
      <c r="RB252" s="4"/>
      <c r="RC252" s="5"/>
      <c r="RD252" s="6"/>
      <c r="RE252" s="4"/>
      <c r="RF252" s="4"/>
      <c r="RG252" s="4"/>
      <c r="RH252" s="4"/>
      <c r="RI252" s="4"/>
      <c r="RJ252" s="5"/>
      <c r="RK252" s="6"/>
      <c r="RL252" s="4"/>
      <c r="RM252" s="4"/>
      <c r="RN252" s="4"/>
      <c r="RO252" s="4"/>
      <c r="RP252" s="4"/>
      <c r="RQ252" s="5"/>
      <c r="RR252" s="6"/>
      <c r="RS252" s="4"/>
      <c r="RT252" s="4"/>
      <c r="RU252" s="4"/>
      <c r="RV252" s="4"/>
      <c r="RW252" s="4"/>
      <c r="RX252" s="5"/>
      <c r="RY252" s="6"/>
      <c r="RZ252" s="4"/>
      <c r="SA252" s="4"/>
      <c r="SB252" s="4"/>
      <c r="SC252" s="4"/>
      <c r="SD252" s="4"/>
      <c r="SE252" s="5"/>
      <c r="SF252" s="6"/>
      <c r="SG252" s="4"/>
      <c r="SH252" s="4"/>
      <c r="SI252" s="4"/>
      <c r="SJ252" s="4"/>
      <c r="SK252" s="4"/>
      <c r="SL252" s="5"/>
      <c r="SM252" s="6"/>
      <c r="SN252" s="4"/>
      <c r="SO252" s="4"/>
      <c r="SP252" s="4"/>
      <c r="SQ252" s="4"/>
      <c r="SR252" s="4"/>
      <c r="SS252" s="5"/>
      <c r="ST252" s="6"/>
      <c r="SU252" s="4"/>
      <c r="SV252" s="4"/>
      <c r="SW252" s="4"/>
      <c r="SX252" s="4"/>
      <c r="SY252" s="4"/>
      <c r="SZ252" s="5"/>
      <c r="TA252" s="6"/>
      <c r="TB252" s="4"/>
      <c r="TC252" s="4"/>
      <c r="TD252" s="4"/>
      <c r="TE252" s="4"/>
      <c r="TF252" s="4"/>
      <c r="TG252" s="5"/>
      <c r="TH252" s="6"/>
      <c r="TI252" s="4"/>
      <c r="TJ252" s="4"/>
      <c r="TK252" s="4"/>
      <c r="TL252" s="4"/>
      <c r="TM252" s="4"/>
      <c r="TN252" s="5"/>
      <c r="TO252" s="6"/>
      <c r="TP252" s="4"/>
      <c r="TQ252" s="4"/>
      <c r="TR252" s="4"/>
      <c r="TS252" s="4"/>
      <c r="TT252" s="4"/>
      <c r="TU252" s="5"/>
      <c r="TV252" s="6"/>
      <c r="TW252" s="4"/>
      <c r="TX252" s="4"/>
      <c r="TY252" s="4"/>
      <c r="TZ252" s="4"/>
      <c r="UA252" s="4"/>
      <c r="UB252" s="5"/>
      <c r="UC252" s="6"/>
      <c r="UD252" s="4"/>
      <c r="UE252" s="4"/>
      <c r="UF252" s="4"/>
      <c r="UG252" s="4"/>
      <c r="UH252" s="4"/>
      <c r="UI252" s="5"/>
      <c r="UJ252" s="6"/>
      <c r="UK252" s="4"/>
      <c r="UL252" s="4"/>
      <c r="UM252" s="4"/>
      <c r="UN252" s="4"/>
      <c r="UO252" s="4"/>
      <c r="UP252" s="5"/>
      <c r="UQ252" s="6"/>
      <c r="UR252" s="4"/>
      <c r="US252" s="4"/>
      <c r="UT252" s="4"/>
      <c r="UU252" s="4"/>
      <c r="UV252" s="4"/>
      <c r="UW252" s="5"/>
      <c r="UX252" s="6"/>
      <c r="UY252" s="4"/>
      <c r="UZ252" s="4"/>
      <c r="VA252" s="4"/>
      <c r="VB252" s="4"/>
      <c r="VC252" s="4"/>
      <c r="VD252" s="5"/>
      <c r="VE252" s="6"/>
      <c r="VF252" s="4"/>
      <c r="VG252" s="4"/>
      <c r="VH252" s="4"/>
      <c r="VI252" s="4"/>
      <c r="VJ252" s="4"/>
      <c r="VK252" s="5"/>
      <c r="VL252" s="6"/>
      <c r="VM252" s="4"/>
      <c r="VN252" s="4"/>
      <c r="VO252" s="4"/>
      <c r="VP252" s="4"/>
      <c r="VQ252" s="4"/>
      <c r="VR252" s="5"/>
      <c r="VS252" s="6"/>
      <c r="VT252" s="4"/>
      <c r="VU252" s="4"/>
      <c r="VV252" s="4"/>
      <c r="VW252" s="4"/>
      <c r="VX252" s="4"/>
      <c r="VY252" s="5"/>
      <c r="VZ252" s="6"/>
      <c r="WA252" s="4"/>
      <c r="WB252" s="4"/>
      <c r="WC252" s="4"/>
      <c r="WD252" s="4"/>
      <c r="WE252" s="4"/>
      <c r="WF252" s="5"/>
      <c r="WG252" s="6" t="s">
        <v>3632</v>
      </c>
      <c r="WH252" s="4" t="s">
        <v>3092</v>
      </c>
      <c r="WI252" s="4"/>
      <c r="WJ252" s="4" t="s">
        <v>3008</v>
      </c>
      <c r="WK252" s="8">
        <v>36977</v>
      </c>
      <c r="WL252" s="8">
        <v>36980</v>
      </c>
      <c r="WM252" s="5"/>
      <c r="WN252" s="6"/>
      <c r="WO252" s="4"/>
      <c r="WP252" s="4"/>
      <c r="WQ252" s="4"/>
      <c r="WR252" s="4"/>
      <c r="WS252" s="4"/>
      <c r="WT252" s="5"/>
      <c r="WU252" s="6"/>
      <c r="WV252" s="4"/>
      <c r="WW252" s="4"/>
      <c r="WX252" s="4"/>
      <c r="WY252" s="4"/>
      <c r="WZ252" s="4"/>
      <c r="XA252" s="5"/>
      <c r="XB252" s="6"/>
      <c r="XC252" s="4"/>
      <c r="XD252" s="4"/>
      <c r="XE252" s="4"/>
      <c r="XF252" s="4"/>
      <c r="XG252" s="4"/>
      <c r="XH252" s="5"/>
      <c r="XI252" s="6"/>
      <c r="XJ252" s="4"/>
      <c r="XK252" s="4"/>
      <c r="XL252" s="4"/>
      <c r="XM252" s="4"/>
      <c r="XN252" s="4"/>
      <c r="XO252" s="5"/>
      <c r="XP252" s="6"/>
      <c r="XQ252" s="4"/>
      <c r="XR252" s="4"/>
      <c r="XS252" s="4"/>
      <c r="XT252" s="4"/>
      <c r="XU252" s="4"/>
      <c r="XV252" s="5"/>
      <c r="XW252" s="6"/>
      <c r="XX252" s="4"/>
      <c r="XY252" s="4"/>
      <c r="XZ252" s="4"/>
      <c r="YA252" s="4"/>
      <c r="YB252" s="4"/>
      <c r="YC252" s="5"/>
      <c r="YD252" s="6"/>
      <c r="YE252" s="4"/>
      <c r="YF252" s="4"/>
      <c r="YG252" s="4"/>
      <c r="YH252" s="4"/>
      <c r="YI252" s="4"/>
      <c r="YJ252" s="5"/>
      <c r="YK252" s="6" t="s">
        <v>3640</v>
      </c>
      <c r="YL252" s="4" t="s">
        <v>3489</v>
      </c>
      <c r="YM252" s="4" t="s">
        <v>3490</v>
      </c>
      <c r="YN252" s="7" t="s">
        <v>3333</v>
      </c>
      <c r="YO252" s="8">
        <v>36962</v>
      </c>
      <c r="YP252" s="8">
        <v>36970</v>
      </c>
      <c r="YQ252" s="5" t="s">
        <v>3899</v>
      </c>
      <c r="YR252" s="6"/>
      <c r="YS252" s="4"/>
      <c r="YT252" s="4"/>
      <c r="YU252" s="4"/>
      <c r="YV252" s="4"/>
      <c r="YW252" s="4"/>
      <c r="YX252" s="5"/>
      <c r="YY252" s="6"/>
      <c r="YZ252" s="4"/>
      <c r="ZA252" s="4"/>
      <c r="ZB252" s="4"/>
      <c r="ZC252" s="4"/>
      <c r="ZD252" s="4"/>
      <c r="ZE252" s="5"/>
      <c r="ZF252" s="6"/>
      <c r="ZG252" s="4"/>
      <c r="ZH252" s="4"/>
      <c r="ZI252" s="4"/>
      <c r="ZJ252" s="4"/>
      <c r="ZK252" s="4"/>
      <c r="ZL252" s="5"/>
      <c r="ZM252" s="6"/>
      <c r="ZN252" s="4"/>
      <c r="ZO252" s="4"/>
      <c r="ZP252" s="4"/>
      <c r="ZQ252" s="4"/>
      <c r="ZR252" s="4"/>
      <c r="ZS252" s="5"/>
      <c r="ZT252" s="6"/>
      <c r="ZU252" s="4"/>
      <c r="ZV252" s="4"/>
      <c r="ZW252" s="4"/>
      <c r="ZX252" s="4"/>
      <c r="ZY252" s="4"/>
      <c r="ZZ252" s="5"/>
      <c r="AAA252" s="6"/>
      <c r="AAB252" s="4"/>
      <c r="AAC252" s="4"/>
      <c r="AAD252" s="4"/>
      <c r="AAE252" s="4"/>
      <c r="AAF252" s="4"/>
      <c r="AAG252" s="5"/>
      <c r="AAH252" s="6" t="s">
        <v>3137</v>
      </c>
      <c r="AAI252" s="4" t="s">
        <v>3138</v>
      </c>
      <c r="AAJ252" s="4" t="s">
        <v>3140</v>
      </c>
      <c r="AAK252" s="7" t="s">
        <v>3070</v>
      </c>
      <c r="AAL252" s="8">
        <v>36972</v>
      </c>
      <c r="AAM252" s="8">
        <v>36972</v>
      </c>
      <c r="AAN252" s="5" t="s">
        <v>4009</v>
      </c>
      <c r="AAO252" s="6"/>
      <c r="AAP252" s="4"/>
      <c r="AAQ252" s="4"/>
      <c r="AAR252" s="4"/>
      <c r="AAS252" s="4"/>
      <c r="AAT252" s="4"/>
      <c r="AAU252" s="5"/>
      <c r="AAV252" s="6"/>
      <c r="AAW252" s="4"/>
      <c r="AAX252" s="4"/>
      <c r="AAY252" s="4"/>
      <c r="AAZ252" s="4"/>
      <c r="ABA252" s="4"/>
      <c r="ABB252" s="5"/>
      <c r="ABC252" s="6"/>
      <c r="ABD252" s="4"/>
      <c r="ABE252" s="4"/>
      <c r="ABF252" s="4"/>
      <c r="ABG252" s="4"/>
      <c r="ABH252" s="4"/>
      <c r="ABI252" s="5"/>
      <c r="ABJ252" s="6"/>
      <c r="ABK252" s="4"/>
      <c r="ABL252" s="4"/>
      <c r="ABM252" s="4"/>
      <c r="ABN252" s="4"/>
      <c r="ABO252" s="4"/>
      <c r="ABP252" s="5"/>
      <c r="ABQ252" s="6"/>
      <c r="ABR252" s="4"/>
      <c r="ABS252" s="4"/>
      <c r="ABT252" s="4"/>
      <c r="ABU252" s="4"/>
      <c r="ABV252" s="4"/>
      <c r="ABW252" s="5"/>
      <c r="ABX252" s="6"/>
      <c r="ABY252" s="4"/>
      <c r="ABZ252" s="4"/>
      <c r="ACA252" s="4"/>
      <c r="ACB252" s="4"/>
      <c r="ACC252" s="4"/>
      <c r="ACD252" s="5"/>
      <c r="ACE252" s="6"/>
      <c r="ACF252" s="4"/>
      <c r="ACG252" s="4"/>
      <c r="ACH252" s="4"/>
      <c r="ACI252" s="4"/>
      <c r="ACJ252" s="4"/>
      <c r="ACK252" s="5"/>
      <c r="ACL252" s="6"/>
      <c r="ACM252" s="4"/>
      <c r="ACN252" s="4"/>
      <c r="ACO252" s="4"/>
      <c r="ACP252" s="4"/>
      <c r="ACQ252" s="4"/>
      <c r="ACR252" s="5"/>
      <c r="ACS252" s="6"/>
      <c r="ACT252" s="4"/>
      <c r="ACU252" s="4"/>
      <c r="ACV252" s="4"/>
      <c r="ACW252" s="4"/>
      <c r="ACX252" s="4"/>
      <c r="ACY252" s="5"/>
    </row>
    <row r="253" spans="2:805" x14ac:dyDescent="0.25">
      <c r="J253" s="12"/>
      <c r="K253" s="12"/>
      <c r="L253" s="12"/>
      <c r="LL253" s="6"/>
      <c r="LM253" s="4"/>
      <c r="LN253" s="4"/>
      <c r="LO253" s="4"/>
      <c r="LP253" s="4"/>
      <c r="LQ253" s="4"/>
      <c r="LR253" s="5"/>
      <c r="LS253" s="6"/>
      <c r="LT253" s="4"/>
      <c r="LU253" s="4"/>
      <c r="LV253" s="4"/>
      <c r="LW253" s="4"/>
      <c r="LX253" s="4"/>
      <c r="LY253" s="5"/>
      <c r="LZ253" s="6" t="s">
        <v>2927</v>
      </c>
      <c r="MA253" s="7" t="s">
        <v>3271</v>
      </c>
      <c r="MB253" s="7" t="s">
        <v>3637</v>
      </c>
      <c r="MC253" s="7" t="s">
        <v>3070</v>
      </c>
      <c r="MD253" s="8">
        <v>36981</v>
      </c>
      <c r="ME253" s="8">
        <v>36981</v>
      </c>
      <c r="MF253" s="8"/>
      <c r="MG253" s="5"/>
      <c r="MH253" s="6"/>
      <c r="MI253" s="4"/>
      <c r="MJ253" s="4"/>
      <c r="MK253" s="4"/>
      <c r="ML253" s="4"/>
      <c r="MM253" s="4"/>
      <c r="MN253" s="5"/>
      <c r="MO253" s="6"/>
      <c r="MP253" s="4"/>
      <c r="MQ253" s="4"/>
      <c r="MR253" s="4"/>
      <c r="MS253" s="4"/>
      <c r="MT253" s="4"/>
      <c r="MU253" s="5"/>
      <c r="MV253" s="6"/>
      <c r="MW253" s="4"/>
      <c r="MX253" s="4"/>
      <c r="MY253" s="4"/>
      <c r="MZ253" s="4"/>
      <c r="NA253" s="4"/>
      <c r="NB253" s="5"/>
      <c r="NC253" s="6"/>
      <c r="ND253" s="4"/>
      <c r="NE253" s="4"/>
      <c r="NF253" s="4"/>
      <c r="NG253" s="4"/>
      <c r="NH253" s="4"/>
      <c r="NI253" s="5"/>
      <c r="NJ253" s="6"/>
      <c r="NK253" s="4"/>
      <c r="NL253" s="4"/>
      <c r="NM253" s="4"/>
      <c r="NN253" s="4"/>
      <c r="NO253" s="4"/>
      <c r="NP253" s="5"/>
      <c r="NQ253" s="6"/>
      <c r="NR253" s="4"/>
      <c r="NS253" s="4"/>
      <c r="NT253" s="4"/>
      <c r="NU253" s="4"/>
      <c r="NV253" s="4"/>
      <c r="NW253" s="5"/>
      <c r="NX253" s="6"/>
      <c r="NY253" s="4"/>
      <c r="NZ253" s="4"/>
      <c r="OA253" s="4"/>
      <c r="OB253" s="4"/>
      <c r="OC253" s="4"/>
      <c r="OD253" s="5"/>
      <c r="OE253" s="6"/>
      <c r="OF253" s="4"/>
      <c r="OG253" s="4"/>
      <c r="OH253" s="4"/>
      <c r="OI253" s="4"/>
      <c r="OJ253" s="4"/>
      <c r="OK253" s="5"/>
      <c r="OL253" s="6"/>
      <c r="OM253" s="4"/>
      <c r="ON253" s="4"/>
      <c r="OO253" s="4"/>
      <c r="OP253" s="4"/>
      <c r="OQ253" s="4"/>
      <c r="OR253" s="5"/>
      <c r="OS253" s="6"/>
      <c r="OT253" s="4"/>
      <c r="OU253" s="4"/>
      <c r="OV253" s="4"/>
      <c r="OW253" s="4"/>
      <c r="OX253" s="4"/>
      <c r="OY253" s="5"/>
      <c r="OZ253" s="6" t="s">
        <v>3476</v>
      </c>
      <c r="PA253" s="4" t="s">
        <v>3629</v>
      </c>
      <c r="PB253" s="4"/>
      <c r="PC253" s="4" t="s">
        <v>3383</v>
      </c>
      <c r="PD253" s="8">
        <v>36979</v>
      </c>
      <c r="PE253" s="8">
        <v>36989</v>
      </c>
      <c r="PF253" s="5" t="s">
        <v>4011</v>
      </c>
      <c r="PG253" s="6"/>
      <c r="PH253" s="4"/>
      <c r="PI253" s="4"/>
      <c r="PJ253" s="4"/>
      <c r="PK253" s="4"/>
      <c r="PL253" s="4"/>
      <c r="PM253" s="5"/>
      <c r="PN253" s="6"/>
      <c r="PO253" s="4"/>
      <c r="PP253" s="4"/>
      <c r="PQ253" s="4"/>
      <c r="PR253" s="4"/>
      <c r="PS253" s="4"/>
      <c r="PT253" s="5"/>
      <c r="PU253" s="6"/>
      <c r="PV253" s="4"/>
      <c r="PW253" s="4"/>
      <c r="PX253" s="4"/>
      <c r="PY253" s="4"/>
      <c r="PZ253" s="4"/>
      <c r="QA253" s="5"/>
      <c r="QB253" s="6"/>
      <c r="QC253" s="4"/>
      <c r="QD253" s="4"/>
      <c r="QE253" s="4"/>
      <c r="QF253" s="4"/>
      <c r="QG253" s="4"/>
      <c r="QH253" s="5"/>
      <c r="QI253" s="6"/>
      <c r="QJ253" s="4"/>
      <c r="QK253" s="4"/>
      <c r="QL253" s="4"/>
      <c r="QM253" s="4"/>
      <c r="QN253" s="4"/>
      <c r="QO253" s="5"/>
      <c r="QP253" s="6"/>
      <c r="QQ253" s="4"/>
      <c r="QR253" s="4"/>
      <c r="QS253" s="4"/>
      <c r="QT253" s="4"/>
      <c r="QU253" s="4"/>
      <c r="QV253" s="5"/>
      <c r="QW253" s="6"/>
      <c r="QX253" s="4"/>
      <c r="QY253" s="4"/>
      <c r="QZ253" s="4"/>
      <c r="RA253" s="4"/>
      <c r="RB253" s="4"/>
      <c r="RC253" s="5"/>
      <c r="RD253" s="6"/>
      <c r="RE253" s="4"/>
      <c r="RF253" s="4"/>
      <c r="RG253" s="4"/>
      <c r="RH253" s="4"/>
      <c r="RI253" s="4"/>
      <c r="RJ253" s="5"/>
      <c r="RK253" s="6"/>
      <c r="RL253" s="4"/>
      <c r="RM253" s="4"/>
      <c r="RN253" s="4"/>
      <c r="RO253" s="4"/>
      <c r="RP253" s="4"/>
      <c r="RQ253" s="5"/>
      <c r="RR253" s="6"/>
      <c r="RS253" s="4"/>
      <c r="RT253" s="4"/>
      <c r="RU253" s="4"/>
      <c r="RV253" s="4"/>
      <c r="RW253" s="4"/>
      <c r="RX253" s="5"/>
      <c r="RY253" s="6"/>
      <c r="RZ253" s="4"/>
      <c r="SA253" s="4"/>
      <c r="SB253" s="4"/>
      <c r="SC253" s="4"/>
      <c r="SD253" s="4"/>
      <c r="SE253" s="5"/>
      <c r="SF253" s="6"/>
      <c r="SG253" s="4"/>
      <c r="SH253" s="4"/>
      <c r="SI253" s="4"/>
      <c r="SJ253" s="4"/>
      <c r="SK253" s="4"/>
      <c r="SL253" s="5"/>
      <c r="SM253" s="6"/>
      <c r="SN253" s="4"/>
      <c r="SO253" s="4"/>
      <c r="SP253" s="4"/>
      <c r="SQ253" s="4"/>
      <c r="SR253" s="4"/>
      <c r="SS253" s="5"/>
      <c r="ST253" s="6"/>
      <c r="SU253" s="4"/>
      <c r="SV253" s="4"/>
      <c r="SW253" s="4"/>
      <c r="SX253" s="4"/>
      <c r="SY253" s="4"/>
      <c r="SZ253" s="5"/>
      <c r="TA253" s="6"/>
      <c r="TB253" s="4"/>
      <c r="TC253" s="4"/>
      <c r="TD253" s="4"/>
      <c r="TE253" s="4"/>
      <c r="TF253" s="4"/>
      <c r="TG253" s="5"/>
      <c r="TH253" s="6"/>
      <c r="TI253" s="4"/>
      <c r="TJ253" s="4"/>
      <c r="TK253" s="4"/>
      <c r="TL253" s="4"/>
      <c r="TM253" s="4"/>
      <c r="TN253" s="5"/>
      <c r="TO253" s="6"/>
      <c r="TP253" s="4"/>
      <c r="TQ253" s="4"/>
      <c r="TR253" s="4"/>
      <c r="TS253" s="4"/>
      <c r="TT253" s="4"/>
      <c r="TU253" s="5"/>
      <c r="TV253" s="6"/>
      <c r="TW253" s="4"/>
      <c r="TX253" s="4"/>
      <c r="TY253" s="4"/>
      <c r="TZ253" s="4"/>
      <c r="UA253" s="4"/>
      <c r="UB253" s="5"/>
      <c r="UC253" s="6"/>
      <c r="UD253" s="4"/>
      <c r="UE253" s="4"/>
      <c r="UF253" s="4"/>
      <c r="UG253" s="4"/>
      <c r="UH253" s="4"/>
      <c r="UI253" s="5"/>
      <c r="UJ253" s="6"/>
      <c r="UK253" s="4"/>
      <c r="UL253" s="4"/>
      <c r="UM253" s="4"/>
      <c r="UN253" s="4"/>
      <c r="UO253" s="4"/>
      <c r="UP253" s="5"/>
      <c r="UQ253" s="6"/>
      <c r="UR253" s="4"/>
      <c r="US253" s="4"/>
      <c r="UT253" s="4"/>
      <c r="UU253" s="4"/>
      <c r="UV253" s="4"/>
      <c r="UW253" s="5"/>
      <c r="UX253" s="6"/>
      <c r="UY253" s="4"/>
      <c r="UZ253" s="4"/>
      <c r="VA253" s="4"/>
      <c r="VB253" s="4"/>
      <c r="VC253" s="4"/>
      <c r="VD253" s="5"/>
      <c r="VE253" s="6"/>
      <c r="VF253" s="4"/>
      <c r="VG253" s="4"/>
      <c r="VH253" s="4"/>
      <c r="VI253" s="4"/>
      <c r="VJ253" s="4"/>
      <c r="VK253" s="5"/>
      <c r="VL253" s="6"/>
      <c r="VM253" s="4"/>
      <c r="VN253" s="4"/>
      <c r="VO253" s="4"/>
      <c r="VP253" s="4"/>
      <c r="VQ253" s="4"/>
      <c r="VR253" s="5"/>
      <c r="VS253" s="6"/>
      <c r="VT253" s="4"/>
      <c r="VU253" s="4"/>
      <c r="VV253" s="4"/>
      <c r="VW253" s="4"/>
      <c r="VX253" s="4"/>
      <c r="VY253" s="5"/>
      <c r="VZ253" s="6"/>
      <c r="WA253" s="4"/>
      <c r="WB253" s="4"/>
      <c r="WC253" s="4"/>
      <c r="WD253" s="4"/>
      <c r="WE253" s="4"/>
      <c r="WF253" s="5"/>
      <c r="WG253" s="6"/>
      <c r="WH253" s="4"/>
      <c r="WI253" s="4"/>
      <c r="WJ253" s="4"/>
      <c r="WK253" s="4"/>
      <c r="WL253" s="4"/>
      <c r="WM253" s="5"/>
      <c r="WN253" s="6"/>
      <c r="WO253" s="4"/>
      <c r="WP253" s="4"/>
      <c r="WQ253" s="4"/>
      <c r="WR253" s="4"/>
      <c r="WS253" s="4"/>
      <c r="WT253" s="5"/>
      <c r="WU253" s="6"/>
      <c r="WV253" s="4"/>
      <c r="WW253" s="4"/>
      <c r="WX253" s="4"/>
      <c r="WY253" s="4"/>
      <c r="WZ253" s="4"/>
      <c r="XA253" s="5"/>
      <c r="XB253" s="6"/>
      <c r="XC253" s="4"/>
      <c r="XD253" s="4"/>
      <c r="XE253" s="4"/>
      <c r="XF253" s="4"/>
      <c r="XG253" s="4"/>
      <c r="XH253" s="5"/>
      <c r="XI253" s="6"/>
      <c r="XJ253" s="4"/>
      <c r="XK253" s="4"/>
      <c r="XL253" s="4"/>
      <c r="XM253" s="4"/>
      <c r="XN253" s="4"/>
      <c r="XO253" s="5"/>
      <c r="XP253" s="6"/>
      <c r="XQ253" s="4"/>
      <c r="XR253" s="4"/>
      <c r="XS253" s="4"/>
      <c r="XT253" s="4"/>
      <c r="XU253" s="4"/>
      <c r="XV253" s="5"/>
      <c r="XW253" s="6"/>
      <c r="XX253" s="4"/>
      <c r="XY253" s="4"/>
      <c r="XZ253" s="4"/>
      <c r="YA253" s="4"/>
      <c r="YB253" s="4"/>
      <c r="YC253" s="5"/>
      <c r="YD253" s="6"/>
      <c r="YE253" s="4"/>
      <c r="YF253" s="4"/>
      <c r="YG253" s="4"/>
      <c r="YH253" s="4"/>
      <c r="YI253" s="4"/>
      <c r="YJ253" s="5"/>
      <c r="YK253" s="6" t="s">
        <v>3215</v>
      </c>
      <c r="YL253" s="4" t="s">
        <v>3216</v>
      </c>
      <c r="YM253" s="4" t="s">
        <v>3493</v>
      </c>
      <c r="YN253" s="7" t="s">
        <v>3008</v>
      </c>
      <c r="YO253" s="8">
        <v>36970</v>
      </c>
      <c r="YP253" s="8">
        <v>36973</v>
      </c>
      <c r="YQ253" s="5"/>
      <c r="YR253" s="6"/>
      <c r="YS253" s="4"/>
      <c r="YT253" s="4"/>
      <c r="YU253" s="4"/>
      <c r="YV253" s="4"/>
      <c r="YW253" s="4"/>
      <c r="YX253" s="5"/>
      <c r="YY253" s="6"/>
      <c r="YZ253" s="4"/>
      <c r="ZA253" s="4"/>
      <c r="ZB253" s="4"/>
      <c r="ZC253" s="4"/>
      <c r="ZD253" s="4"/>
      <c r="ZE253" s="5"/>
      <c r="ZF253" s="6"/>
      <c r="ZG253" s="4"/>
      <c r="ZH253" s="4"/>
      <c r="ZI253" s="4"/>
      <c r="ZJ253" s="4"/>
      <c r="ZK253" s="4"/>
      <c r="ZL253" s="5"/>
      <c r="ZM253" s="6"/>
      <c r="ZN253" s="4"/>
      <c r="ZO253" s="4"/>
      <c r="ZP253" s="4"/>
      <c r="ZQ253" s="4"/>
      <c r="ZR253" s="4"/>
      <c r="ZS253" s="5"/>
      <c r="ZT253" s="6"/>
      <c r="ZU253" s="4"/>
      <c r="ZV253" s="4"/>
      <c r="ZW253" s="4"/>
      <c r="ZX253" s="4"/>
      <c r="ZY253" s="4"/>
      <c r="ZZ253" s="5"/>
      <c r="AAA253" s="6"/>
      <c r="AAB253" s="4"/>
      <c r="AAC253" s="4"/>
      <c r="AAD253" s="4"/>
      <c r="AAE253" s="4"/>
      <c r="AAF253" s="4"/>
      <c r="AAG253" s="5"/>
      <c r="AAH253" s="6" t="s">
        <v>3139</v>
      </c>
      <c r="AAI253" s="4" t="s">
        <v>3138</v>
      </c>
      <c r="AAJ253" s="4" t="s">
        <v>3140</v>
      </c>
      <c r="AAK253" s="7" t="s">
        <v>3070</v>
      </c>
      <c r="AAL253" s="8">
        <v>36989</v>
      </c>
      <c r="AAM253" s="8">
        <v>36989</v>
      </c>
      <c r="AAN253" s="5"/>
      <c r="AAO253" s="6"/>
      <c r="AAP253" s="4"/>
      <c r="AAQ253" s="4"/>
      <c r="AAR253" s="4"/>
      <c r="AAS253" s="4"/>
      <c r="AAT253" s="4"/>
      <c r="AAU253" s="5"/>
      <c r="AAV253" s="6"/>
      <c r="AAW253" s="4"/>
      <c r="AAX253" s="4"/>
      <c r="AAY253" s="4"/>
      <c r="AAZ253" s="4"/>
      <c r="ABA253" s="4"/>
      <c r="ABB253" s="5"/>
      <c r="ABC253" s="6"/>
      <c r="ABD253" s="4"/>
      <c r="ABE253" s="4"/>
      <c r="ABF253" s="4"/>
      <c r="ABG253" s="4"/>
      <c r="ABH253" s="4"/>
      <c r="ABI253" s="5"/>
      <c r="ABJ253" s="6"/>
      <c r="ABK253" s="4"/>
      <c r="ABL253" s="4"/>
      <c r="ABM253" s="4"/>
      <c r="ABN253" s="4"/>
      <c r="ABO253" s="4"/>
      <c r="ABP253" s="5"/>
      <c r="ABQ253" s="6"/>
      <c r="ABR253" s="4"/>
      <c r="ABS253" s="4"/>
      <c r="ABT253" s="4"/>
      <c r="ABU253" s="4"/>
      <c r="ABV253" s="4"/>
      <c r="ABW253" s="5"/>
      <c r="ABX253" s="6"/>
      <c r="ABY253" s="4"/>
      <c r="ABZ253" s="4"/>
      <c r="ACA253" s="4"/>
      <c r="ACB253" s="4"/>
      <c r="ACC253" s="4"/>
      <c r="ACD253" s="5"/>
      <c r="ACE253" s="6"/>
      <c r="ACF253" s="4"/>
      <c r="ACG253" s="4"/>
      <c r="ACH253" s="4"/>
      <c r="ACI253" s="4"/>
      <c r="ACJ253" s="4"/>
      <c r="ACK253" s="5"/>
      <c r="ACL253" s="6"/>
      <c r="ACM253" s="4"/>
      <c r="ACN253" s="4"/>
      <c r="ACO253" s="4"/>
      <c r="ACP253" s="4"/>
      <c r="ACQ253" s="4"/>
      <c r="ACR253" s="5"/>
      <c r="ACS253" s="6"/>
      <c r="ACT253" s="4"/>
      <c r="ACU253" s="4"/>
      <c r="ACV253" s="4"/>
      <c r="ACW253" s="4"/>
      <c r="ACX253" s="4"/>
      <c r="ACY253" s="5"/>
    </row>
    <row r="254" spans="2:805" x14ac:dyDescent="0.25">
      <c r="J254" s="12"/>
      <c r="K254" s="12"/>
      <c r="L254" s="12"/>
      <c r="LL254" s="6"/>
      <c r="LM254" s="4"/>
      <c r="LN254" s="4"/>
      <c r="LO254" s="4"/>
      <c r="LP254" s="4"/>
      <c r="LQ254" s="4"/>
      <c r="LR254" s="5"/>
      <c r="LS254" s="6"/>
      <c r="LT254" s="4"/>
      <c r="LU254" s="4"/>
      <c r="LV254" s="4"/>
      <c r="LW254" s="4"/>
      <c r="LX254" s="4"/>
      <c r="LY254" s="5"/>
      <c r="LZ254" s="6" t="s">
        <v>3156</v>
      </c>
      <c r="MA254" s="7" t="s">
        <v>3271</v>
      </c>
      <c r="MB254" s="7" t="s">
        <v>3637</v>
      </c>
      <c r="MC254" s="7" t="s">
        <v>3070</v>
      </c>
      <c r="MD254" s="8">
        <v>36989</v>
      </c>
      <c r="ME254" s="8">
        <v>36989</v>
      </c>
      <c r="MF254" s="8"/>
      <c r="MG254" s="5"/>
      <c r="MH254" s="6"/>
      <c r="MI254" s="4"/>
      <c r="MJ254" s="4"/>
      <c r="MK254" s="4"/>
      <c r="ML254" s="4"/>
      <c r="MM254" s="4"/>
      <c r="MN254" s="5"/>
      <c r="MO254" s="6"/>
      <c r="MP254" s="4"/>
      <c r="MQ254" s="4"/>
      <c r="MR254" s="4"/>
      <c r="MS254" s="4"/>
      <c r="MT254" s="4"/>
      <c r="MU254" s="5"/>
      <c r="MV254" s="6"/>
      <c r="MW254" s="4"/>
      <c r="MX254" s="4"/>
      <c r="MY254" s="4"/>
      <c r="MZ254" s="4"/>
      <c r="NA254" s="4"/>
      <c r="NB254" s="5"/>
      <c r="NC254" s="6"/>
      <c r="ND254" s="4"/>
      <c r="NE254" s="4"/>
      <c r="NF254" s="4"/>
      <c r="NG254" s="4"/>
      <c r="NH254" s="4"/>
      <c r="NI254" s="5"/>
      <c r="NJ254" s="6"/>
      <c r="NK254" s="4"/>
      <c r="NL254" s="4"/>
      <c r="NM254" s="4"/>
      <c r="NN254" s="4"/>
      <c r="NO254" s="4"/>
      <c r="NP254" s="5"/>
      <c r="NQ254" s="6"/>
      <c r="NR254" s="4"/>
      <c r="NS254" s="4"/>
      <c r="NT254" s="4"/>
      <c r="NU254" s="4"/>
      <c r="NV254" s="4"/>
      <c r="NW254" s="5"/>
      <c r="NX254" s="6"/>
      <c r="NY254" s="4"/>
      <c r="NZ254" s="4"/>
      <c r="OA254" s="4"/>
      <c r="OB254" s="4"/>
      <c r="OC254" s="4"/>
      <c r="OD254" s="5"/>
      <c r="OE254" s="6"/>
      <c r="OF254" s="4"/>
      <c r="OG254" s="4"/>
      <c r="OH254" s="4"/>
      <c r="OI254" s="4"/>
      <c r="OJ254" s="4"/>
      <c r="OK254" s="5"/>
      <c r="OL254" s="6"/>
      <c r="OM254" s="4"/>
      <c r="ON254" s="4"/>
      <c r="OO254" s="4"/>
      <c r="OP254" s="4"/>
      <c r="OQ254" s="4"/>
      <c r="OR254" s="5"/>
      <c r="OS254" s="6"/>
      <c r="OT254" s="4"/>
      <c r="OU254" s="4"/>
      <c r="OV254" s="4"/>
      <c r="OW254" s="4"/>
      <c r="OX254" s="4"/>
      <c r="OY254" s="5"/>
      <c r="OZ254" s="6" t="s">
        <v>3463</v>
      </c>
      <c r="PA254" s="7" t="s">
        <v>3231</v>
      </c>
      <c r="PB254" s="4"/>
      <c r="PC254" s="7" t="s">
        <v>3232</v>
      </c>
      <c r="PD254" s="8">
        <v>36978</v>
      </c>
      <c r="PE254" s="8">
        <v>36990</v>
      </c>
      <c r="PF254" s="5" t="s">
        <v>4011</v>
      </c>
      <c r="PG254" s="6"/>
      <c r="PH254" s="4"/>
      <c r="PI254" s="4"/>
      <c r="PJ254" s="4"/>
      <c r="PK254" s="4"/>
      <c r="PL254" s="4"/>
      <c r="PM254" s="5"/>
      <c r="PN254" s="6"/>
      <c r="PO254" s="4"/>
      <c r="PP254" s="4"/>
      <c r="PQ254" s="4"/>
      <c r="PR254" s="4"/>
      <c r="PS254" s="4"/>
      <c r="PT254" s="5"/>
      <c r="PU254" s="6"/>
      <c r="PV254" s="4"/>
      <c r="PW254" s="4"/>
      <c r="PX254" s="4"/>
      <c r="PY254" s="4"/>
      <c r="PZ254" s="4"/>
      <c r="QA254" s="5"/>
      <c r="QB254" s="6"/>
      <c r="QC254" s="4"/>
      <c r="QD254" s="4"/>
      <c r="QE254" s="4"/>
      <c r="QF254" s="4"/>
      <c r="QG254" s="4"/>
      <c r="QH254" s="5"/>
      <c r="QI254" s="6"/>
      <c r="QJ254" s="4"/>
      <c r="QK254" s="4"/>
      <c r="QL254" s="4"/>
      <c r="QM254" s="4"/>
      <c r="QN254" s="4"/>
      <c r="QO254" s="5"/>
      <c r="QP254" s="6"/>
      <c r="QQ254" s="4"/>
      <c r="QR254" s="4"/>
      <c r="QS254" s="4"/>
      <c r="QT254" s="4"/>
      <c r="QU254" s="4"/>
      <c r="QV254" s="5"/>
      <c r="QW254" s="6"/>
      <c r="QX254" s="4"/>
      <c r="QY254" s="4"/>
      <c r="QZ254" s="4"/>
      <c r="RA254" s="4"/>
      <c r="RB254" s="4"/>
      <c r="RC254" s="5"/>
      <c r="RD254" s="6"/>
      <c r="RE254" s="4"/>
      <c r="RF254" s="4"/>
      <c r="RG254" s="4"/>
      <c r="RH254" s="4"/>
      <c r="RI254" s="4"/>
      <c r="RJ254" s="5"/>
      <c r="RK254" s="6"/>
      <c r="RL254" s="4"/>
      <c r="RM254" s="4"/>
      <c r="RN254" s="4"/>
      <c r="RO254" s="4"/>
      <c r="RP254" s="4"/>
      <c r="RQ254" s="5"/>
      <c r="RR254" s="6"/>
      <c r="RS254" s="4"/>
      <c r="RT254" s="4"/>
      <c r="RU254" s="4"/>
      <c r="RV254" s="4"/>
      <c r="RW254" s="4"/>
      <c r="RX254" s="5"/>
      <c r="RY254" s="6"/>
      <c r="RZ254" s="4"/>
      <c r="SA254" s="4"/>
      <c r="SB254" s="4"/>
      <c r="SC254" s="4"/>
      <c r="SD254" s="4"/>
      <c r="SE254" s="5"/>
      <c r="SF254" s="6"/>
      <c r="SG254" s="4"/>
      <c r="SH254" s="4"/>
      <c r="SI254" s="4"/>
      <c r="SJ254" s="4"/>
      <c r="SK254" s="4"/>
      <c r="SL254" s="5"/>
      <c r="SM254" s="6"/>
      <c r="SN254" s="4"/>
      <c r="SO254" s="4"/>
      <c r="SP254" s="4"/>
      <c r="SQ254" s="4"/>
      <c r="SR254" s="4"/>
      <c r="SS254" s="5"/>
      <c r="ST254" s="6"/>
      <c r="SU254" s="4"/>
      <c r="SV254" s="4"/>
      <c r="SW254" s="4"/>
      <c r="SX254" s="4"/>
      <c r="SY254" s="4"/>
      <c r="SZ254" s="5"/>
      <c r="TA254" s="6"/>
      <c r="TB254" s="4"/>
      <c r="TC254" s="4"/>
      <c r="TD254" s="4"/>
      <c r="TE254" s="4"/>
      <c r="TF254" s="4"/>
      <c r="TG254" s="5"/>
      <c r="TH254" s="6"/>
      <c r="TI254" s="4"/>
      <c r="TJ254" s="4"/>
      <c r="TK254" s="4"/>
      <c r="TL254" s="4"/>
      <c r="TM254" s="4"/>
      <c r="TN254" s="5"/>
      <c r="TO254" s="6"/>
      <c r="TP254" s="4"/>
      <c r="TQ254" s="4"/>
      <c r="TR254" s="4"/>
      <c r="TS254" s="4"/>
      <c r="TT254" s="4"/>
      <c r="TU254" s="5"/>
      <c r="TV254" s="6"/>
      <c r="TW254" s="4"/>
      <c r="TX254" s="4"/>
      <c r="TY254" s="4"/>
      <c r="TZ254" s="4"/>
      <c r="UA254" s="4"/>
      <c r="UB254" s="5"/>
      <c r="UC254" s="6"/>
      <c r="UD254" s="4"/>
      <c r="UE254" s="4"/>
      <c r="UF254" s="4"/>
      <c r="UG254" s="4"/>
      <c r="UH254" s="4"/>
      <c r="UI254" s="5"/>
      <c r="UJ254" s="6"/>
      <c r="UK254" s="4"/>
      <c r="UL254" s="4"/>
      <c r="UM254" s="4"/>
      <c r="UN254" s="4"/>
      <c r="UO254" s="4"/>
      <c r="UP254" s="5"/>
      <c r="UQ254" s="6"/>
      <c r="UR254" s="4"/>
      <c r="US254" s="4"/>
      <c r="UT254" s="4"/>
      <c r="UU254" s="4"/>
      <c r="UV254" s="4"/>
      <c r="UW254" s="5"/>
      <c r="UX254" s="6"/>
      <c r="UY254" s="4"/>
      <c r="UZ254" s="4"/>
      <c r="VA254" s="4"/>
      <c r="VB254" s="4"/>
      <c r="VC254" s="4"/>
      <c r="VD254" s="5"/>
      <c r="VE254" s="6"/>
      <c r="VF254" s="4"/>
      <c r="VG254" s="4"/>
      <c r="VH254" s="4"/>
      <c r="VI254" s="4"/>
      <c r="VJ254" s="4"/>
      <c r="VK254" s="5"/>
      <c r="VL254" s="6"/>
      <c r="VM254" s="4"/>
      <c r="VN254" s="4"/>
      <c r="VO254" s="4"/>
      <c r="VP254" s="4"/>
      <c r="VQ254" s="4"/>
      <c r="VR254" s="5"/>
      <c r="VS254" s="6"/>
      <c r="VT254" s="4"/>
      <c r="VU254" s="4"/>
      <c r="VV254" s="4"/>
      <c r="VW254" s="4"/>
      <c r="VX254" s="4"/>
      <c r="VY254" s="5"/>
      <c r="VZ254" s="6"/>
      <c r="WA254" s="4"/>
      <c r="WB254" s="4"/>
      <c r="WC254" s="4"/>
      <c r="WD254" s="4"/>
      <c r="WE254" s="4"/>
      <c r="WF254" s="5"/>
      <c r="WG254" s="6"/>
      <c r="WH254" s="4"/>
      <c r="WI254" s="4"/>
      <c r="WJ254" s="4"/>
      <c r="WK254" s="4"/>
      <c r="WL254" s="4"/>
      <c r="WM254" s="5"/>
      <c r="WN254" s="6"/>
      <c r="WO254" s="4"/>
      <c r="WP254" s="4"/>
      <c r="WQ254" s="4"/>
      <c r="WR254" s="4"/>
      <c r="WS254" s="4"/>
      <c r="WT254" s="5"/>
      <c r="WU254" s="6"/>
      <c r="WV254" s="4"/>
      <c r="WW254" s="4"/>
      <c r="WX254" s="4"/>
      <c r="WY254" s="4"/>
      <c r="WZ254" s="4"/>
      <c r="XA254" s="5"/>
      <c r="XB254" s="6"/>
      <c r="XC254" s="4"/>
      <c r="XD254" s="4"/>
      <c r="XE254" s="4"/>
      <c r="XF254" s="4"/>
      <c r="XG254" s="4"/>
      <c r="XH254" s="5"/>
      <c r="XI254" s="6"/>
      <c r="XJ254" s="4"/>
      <c r="XK254" s="4"/>
      <c r="XL254" s="4"/>
      <c r="XM254" s="4"/>
      <c r="XN254" s="4"/>
      <c r="XO254" s="5"/>
      <c r="XP254" s="6"/>
      <c r="XQ254" s="4"/>
      <c r="XR254" s="4"/>
      <c r="XS254" s="4"/>
      <c r="XT254" s="4"/>
      <c r="XU254" s="4"/>
      <c r="XV254" s="5"/>
      <c r="XW254" s="6"/>
      <c r="XX254" s="4"/>
      <c r="XY254" s="4"/>
      <c r="XZ254" s="4"/>
      <c r="YA254" s="4"/>
      <c r="YB254" s="4"/>
      <c r="YC254" s="5"/>
      <c r="YD254" s="6"/>
      <c r="YE254" s="4"/>
      <c r="YF254" s="4"/>
      <c r="YG254" s="4"/>
      <c r="YH254" s="4"/>
      <c r="YI254" s="4"/>
      <c r="YJ254" s="5"/>
      <c r="YK254" s="6"/>
      <c r="YL254" s="4"/>
      <c r="YM254" s="4"/>
      <c r="YN254" s="7"/>
      <c r="YO254" s="8"/>
      <c r="YP254" s="8"/>
      <c r="YQ254" s="5"/>
      <c r="YR254" s="6"/>
      <c r="YS254" s="4"/>
      <c r="YT254" s="4"/>
      <c r="YU254" s="4"/>
      <c r="YV254" s="4"/>
      <c r="YW254" s="4"/>
      <c r="YX254" s="5"/>
      <c r="YY254" s="6"/>
      <c r="YZ254" s="4"/>
      <c r="ZA254" s="4"/>
      <c r="ZB254" s="4"/>
      <c r="ZC254" s="4"/>
      <c r="ZD254" s="4"/>
      <c r="ZE254" s="5"/>
      <c r="ZF254" s="6"/>
      <c r="ZG254" s="4"/>
      <c r="ZH254" s="4"/>
      <c r="ZI254" s="4"/>
      <c r="ZJ254" s="4"/>
      <c r="ZK254" s="4"/>
      <c r="ZL254" s="5"/>
      <c r="ZM254" s="6"/>
      <c r="ZN254" s="4"/>
      <c r="ZO254" s="4"/>
      <c r="ZP254" s="4"/>
      <c r="ZQ254" s="4"/>
      <c r="ZR254" s="4"/>
      <c r="ZS254" s="5"/>
      <c r="ZT254" s="6"/>
      <c r="ZU254" s="4"/>
      <c r="ZV254" s="4"/>
      <c r="ZW254" s="4"/>
      <c r="ZX254" s="4"/>
      <c r="ZY254" s="4"/>
      <c r="ZZ254" s="5"/>
      <c r="AAA254" s="6"/>
      <c r="AAB254" s="4"/>
      <c r="AAC254" s="4"/>
      <c r="AAD254" s="4"/>
      <c r="AAE254" s="4"/>
      <c r="AAF254" s="4"/>
      <c r="AAG254" s="5"/>
      <c r="AAH254" s="6" t="s">
        <v>3144</v>
      </c>
      <c r="AAI254" s="7" t="s">
        <v>3474</v>
      </c>
      <c r="AAJ254" s="7" t="s">
        <v>3475</v>
      </c>
      <c r="AAK254" s="7" t="s">
        <v>3371</v>
      </c>
      <c r="AAL254" s="8">
        <v>36989</v>
      </c>
      <c r="AAM254" s="8">
        <v>36990</v>
      </c>
      <c r="AAN254" s="5" t="s">
        <v>3900</v>
      </c>
      <c r="AAO254" s="6"/>
      <c r="AAP254" s="4"/>
      <c r="AAQ254" s="4"/>
      <c r="AAR254" s="4"/>
      <c r="AAS254" s="4"/>
      <c r="AAT254" s="4"/>
      <c r="AAU254" s="5"/>
      <c r="AAV254" s="6"/>
      <c r="AAW254" s="4"/>
      <c r="AAX254" s="4"/>
      <c r="AAY254" s="4"/>
      <c r="AAZ254" s="4"/>
      <c r="ABA254" s="4"/>
      <c r="ABB254" s="5"/>
      <c r="ABC254" s="6"/>
      <c r="ABD254" s="4"/>
      <c r="ABE254" s="4"/>
      <c r="ABF254" s="4"/>
      <c r="ABG254" s="4"/>
      <c r="ABH254" s="4"/>
      <c r="ABI254" s="5"/>
      <c r="ABJ254" s="6"/>
      <c r="ABK254" s="4"/>
      <c r="ABL254" s="4"/>
      <c r="ABM254" s="4"/>
      <c r="ABN254" s="4"/>
      <c r="ABO254" s="4"/>
      <c r="ABP254" s="5"/>
      <c r="ABQ254" s="6"/>
      <c r="ABR254" s="4"/>
      <c r="ABS254" s="4"/>
      <c r="ABT254" s="4"/>
      <c r="ABU254" s="4"/>
      <c r="ABV254" s="4"/>
      <c r="ABW254" s="5"/>
      <c r="ABX254" s="6"/>
      <c r="ABY254" s="4"/>
      <c r="ABZ254" s="4"/>
      <c r="ACA254" s="4"/>
      <c r="ACB254" s="4"/>
      <c r="ACC254" s="4"/>
      <c r="ACD254" s="5"/>
      <c r="ACE254" s="6"/>
      <c r="ACF254" s="4"/>
      <c r="ACG254" s="4"/>
      <c r="ACH254" s="4"/>
      <c r="ACI254" s="4"/>
      <c r="ACJ254" s="4"/>
      <c r="ACK254" s="5"/>
      <c r="ACL254" s="6"/>
      <c r="ACM254" s="4"/>
      <c r="ACN254" s="4"/>
      <c r="ACO254" s="4"/>
      <c r="ACP254" s="4"/>
      <c r="ACQ254" s="4"/>
      <c r="ACR254" s="5"/>
      <c r="ACS254" s="6"/>
      <c r="ACT254" s="4"/>
      <c r="ACU254" s="4"/>
      <c r="ACV254" s="4"/>
      <c r="ACW254" s="4"/>
      <c r="ACX254" s="4"/>
      <c r="ACY254" s="5"/>
    </row>
    <row r="255" spans="2:805" x14ac:dyDescent="0.25">
      <c r="J255" s="12"/>
      <c r="K255" s="12"/>
      <c r="L255" s="12"/>
      <c r="LL255" s="6"/>
      <c r="LM255" s="4"/>
      <c r="LN255" s="4"/>
      <c r="LO255" s="4"/>
      <c r="LP255" s="4"/>
      <c r="LQ255" s="4"/>
      <c r="LR255" s="5"/>
      <c r="LS255" s="6"/>
      <c r="LT255" s="4"/>
      <c r="LU255" s="4"/>
      <c r="LV255" s="4"/>
      <c r="LW255" s="4"/>
      <c r="LX255" s="4"/>
      <c r="LY255" s="5"/>
      <c r="LZ255" s="6" t="s">
        <v>3233</v>
      </c>
      <c r="MA255" s="7" t="s">
        <v>3233</v>
      </c>
      <c r="MB255" s="7" t="s">
        <v>3556</v>
      </c>
      <c r="MC255" s="7" t="s">
        <v>3008</v>
      </c>
      <c r="MD255" s="8">
        <v>36973</v>
      </c>
      <c r="ME255" s="8">
        <v>36976</v>
      </c>
      <c r="MF255" s="8" t="s">
        <v>3787</v>
      </c>
      <c r="MG255" s="5" t="s">
        <v>3960</v>
      </c>
      <c r="MH255" s="6"/>
      <c r="MI255" s="4"/>
      <c r="MJ255" s="4"/>
      <c r="MK255" s="4"/>
      <c r="ML255" s="4"/>
      <c r="MM255" s="4"/>
      <c r="MN255" s="5"/>
      <c r="MO255" s="6"/>
      <c r="MP255" s="4"/>
      <c r="MQ255" s="4"/>
      <c r="MR255" s="4"/>
      <c r="MS255" s="4"/>
      <c r="MT255" s="4"/>
      <c r="MU255" s="5"/>
      <c r="MV255" s="6"/>
      <c r="MW255" s="4"/>
      <c r="MX255" s="4"/>
      <c r="MY255" s="4"/>
      <c r="MZ255" s="4"/>
      <c r="NA255" s="4"/>
      <c r="NB255" s="5"/>
      <c r="NC255" s="6"/>
      <c r="ND255" s="4"/>
      <c r="NE255" s="4"/>
      <c r="NF255" s="4"/>
      <c r="NG255" s="4"/>
      <c r="NH255" s="4"/>
      <c r="NI255" s="5"/>
      <c r="NJ255" s="6"/>
      <c r="NK255" s="4"/>
      <c r="NL255" s="4"/>
      <c r="NM255" s="4"/>
      <c r="NN255" s="4"/>
      <c r="NO255" s="4"/>
      <c r="NP255" s="5"/>
      <c r="NQ255" s="6"/>
      <c r="NR255" s="4"/>
      <c r="NS255" s="4"/>
      <c r="NT255" s="4"/>
      <c r="NU255" s="4"/>
      <c r="NV255" s="4"/>
      <c r="NW255" s="5"/>
      <c r="NX255" s="6"/>
      <c r="NY255" s="4"/>
      <c r="NZ255" s="4"/>
      <c r="OA255" s="4"/>
      <c r="OB255" s="4"/>
      <c r="OC255" s="4"/>
      <c r="OD255" s="5"/>
      <c r="OE255" s="6"/>
      <c r="OF255" s="4"/>
      <c r="OG255" s="4"/>
      <c r="OH255" s="4"/>
      <c r="OI255" s="4"/>
      <c r="OJ255" s="4"/>
      <c r="OK255" s="5"/>
      <c r="OL255" s="6"/>
      <c r="OM255" s="4"/>
      <c r="ON255" s="4"/>
      <c r="OO255" s="4"/>
      <c r="OP255" s="4"/>
      <c r="OQ255" s="4"/>
      <c r="OR255" s="5"/>
      <c r="OS255" s="6"/>
      <c r="OT255" s="4"/>
      <c r="OU255" s="4"/>
      <c r="OV255" s="4"/>
      <c r="OW255" s="4"/>
      <c r="OX255" s="4"/>
      <c r="OY255" s="5"/>
      <c r="OZ255" s="6" t="s">
        <v>3237</v>
      </c>
      <c r="PA255" s="7" t="s">
        <v>3275</v>
      </c>
      <c r="PB255" s="4" t="s">
        <v>3123</v>
      </c>
      <c r="PC255" s="7" t="s">
        <v>3070</v>
      </c>
      <c r="PD255" s="8">
        <v>36977</v>
      </c>
      <c r="PE255" s="8">
        <v>36977</v>
      </c>
      <c r="PF255" s="5" t="s">
        <v>4009</v>
      </c>
      <c r="PG255" s="6"/>
      <c r="PH255" s="4"/>
      <c r="PI255" s="4"/>
      <c r="PJ255" s="4"/>
      <c r="PK255" s="4"/>
      <c r="PL255" s="4"/>
      <c r="PM255" s="5"/>
      <c r="PN255" s="6"/>
      <c r="PO255" s="4"/>
      <c r="PP255" s="4"/>
      <c r="PQ255" s="4"/>
      <c r="PR255" s="4"/>
      <c r="PS255" s="4"/>
      <c r="PT255" s="5"/>
      <c r="PU255" s="6"/>
      <c r="PV255" s="4"/>
      <c r="PW255" s="4"/>
      <c r="PX255" s="4"/>
      <c r="PY255" s="4"/>
      <c r="PZ255" s="4"/>
      <c r="QA255" s="5"/>
      <c r="QB255" s="6"/>
      <c r="QC255" s="4"/>
      <c r="QD255" s="4"/>
      <c r="QE255" s="4"/>
      <c r="QF255" s="4"/>
      <c r="QG255" s="4"/>
      <c r="QH255" s="5"/>
      <c r="QI255" s="6"/>
      <c r="QJ255" s="4"/>
      <c r="QK255" s="4"/>
      <c r="QL255" s="4"/>
      <c r="QM255" s="4"/>
      <c r="QN255" s="4"/>
      <c r="QO255" s="5"/>
      <c r="QP255" s="6"/>
      <c r="QQ255" s="4"/>
      <c r="QR255" s="4"/>
      <c r="QS255" s="4"/>
      <c r="QT255" s="4"/>
      <c r="QU255" s="4"/>
      <c r="QV255" s="5"/>
      <c r="QW255" s="6"/>
      <c r="QX255" s="4"/>
      <c r="QY255" s="4"/>
      <c r="QZ255" s="4"/>
      <c r="RA255" s="4"/>
      <c r="RB255" s="4"/>
      <c r="RC255" s="5"/>
      <c r="RD255" s="6"/>
      <c r="RE255" s="4"/>
      <c r="RF255" s="4"/>
      <c r="RG255" s="4"/>
      <c r="RH255" s="4"/>
      <c r="RI255" s="4"/>
      <c r="RJ255" s="5"/>
      <c r="RK255" s="6"/>
      <c r="RL255" s="4"/>
      <c r="RM255" s="4"/>
      <c r="RN255" s="4"/>
      <c r="RO255" s="4"/>
      <c r="RP255" s="4"/>
      <c r="RQ255" s="5"/>
      <c r="RR255" s="6"/>
      <c r="RS255" s="4"/>
      <c r="RT255" s="4"/>
      <c r="RU255" s="4"/>
      <c r="RV255" s="4"/>
      <c r="RW255" s="4"/>
      <c r="RX255" s="5"/>
      <c r="RY255" s="6"/>
      <c r="RZ255" s="4"/>
      <c r="SA255" s="4"/>
      <c r="SB255" s="4"/>
      <c r="SC255" s="4"/>
      <c r="SD255" s="4"/>
      <c r="SE255" s="5"/>
      <c r="SF255" s="6"/>
      <c r="SG255" s="4"/>
      <c r="SH255" s="4"/>
      <c r="SI255" s="4"/>
      <c r="SJ255" s="4"/>
      <c r="SK255" s="4"/>
      <c r="SL255" s="5"/>
      <c r="SM255" s="6"/>
      <c r="SN255" s="4"/>
      <c r="SO255" s="4"/>
      <c r="SP255" s="4"/>
      <c r="SQ255" s="4"/>
      <c r="SR255" s="4"/>
      <c r="SS255" s="5"/>
      <c r="ST255" s="6"/>
      <c r="SU255" s="4"/>
      <c r="SV255" s="4"/>
      <c r="SW255" s="4"/>
      <c r="SX255" s="4"/>
      <c r="SY255" s="4"/>
      <c r="SZ255" s="5"/>
      <c r="TA255" s="6"/>
      <c r="TB255" s="4"/>
      <c r="TC255" s="4"/>
      <c r="TD255" s="4"/>
      <c r="TE255" s="4"/>
      <c r="TF255" s="4"/>
      <c r="TG255" s="5"/>
      <c r="TH255" s="6"/>
      <c r="TI255" s="4"/>
      <c r="TJ255" s="4"/>
      <c r="TK255" s="4"/>
      <c r="TL255" s="4"/>
      <c r="TM255" s="4"/>
      <c r="TN255" s="5"/>
      <c r="TO255" s="6"/>
      <c r="TP255" s="4"/>
      <c r="TQ255" s="4"/>
      <c r="TR255" s="4"/>
      <c r="TS255" s="4"/>
      <c r="TT255" s="4"/>
      <c r="TU255" s="5"/>
      <c r="TV255" s="6"/>
      <c r="TW255" s="4"/>
      <c r="TX255" s="4"/>
      <c r="TY255" s="4"/>
      <c r="TZ255" s="4"/>
      <c r="UA255" s="4"/>
      <c r="UB255" s="5"/>
      <c r="UC255" s="6"/>
      <c r="UD255" s="4"/>
      <c r="UE255" s="4"/>
      <c r="UF255" s="4"/>
      <c r="UG255" s="4"/>
      <c r="UH255" s="4"/>
      <c r="UI255" s="5"/>
      <c r="UJ255" s="6"/>
      <c r="UK255" s="4"/>
      <c r="UL255" s="4"/>
      <c r="UM255" s="4"/>
      <c r="UN255" s="4"/>
      <c r="UO255" s="4"/>
      <c r="UP255" s="5"/>
      <c r="UQ255" s="6"/>
      <c r="UR255" s="4"/>
      <c r="US255" s="4"/>
      <c r="UT255" s="4"/>
      <c r="UU255" s="4"/>
      <c r="UV255" s="4"/>
      <c r="UW255" s="5"/>
      <c r="UX255" s="6"/>
      <c r="UY255" s="4"/>
      <c r="UZ255" s="4"/>
      <c r="VA255" s="4"/>
      <c r="VB255" s="4"/>
      <c r="VC255" s="4"/>
      <c r="VD255" s="5"/>
      <c r="VE255" s="6"/>
      <c r="VF255" s="4"/>
      <c r="VG255" s="4"/>
      <c r="VH255" s="4"/>
      <c r="VI255" s="4"/>
      <c r="VJ255" s="4"/>
      <c r="VK255" s="5"/>
      <c r="VL255" s="6"/>
      <c r="VM255" s="4"/>
      <c r="VN255" s="4"/>
      <c r="VO255" s="4"/>
      <c r="VP255" s="4"/>
      <c r="VQ255" s="4"/>
      <c r="VR255" s="5"/>
      <c r="VS255" s="6"/>
      <c r="VT255" s="4"/>
      <c r="VU255" s="4"/>
      <c r="VV255" s="4"/>
      <c r="VW255" s="4"/>
      <c r="VX255" s="4"/>
      <c r="VY255" s="5"/>
      <c r="VZ255" s="6"/>
      <c r="WA255" s="4"/>
      <c r="WB255" s="4"/>
      <c r="WC255" s="4"/>
      <c r="WD255" s="4"/>
      <c r="WE255" s="4"/>
      <c r="WF255" s="5"/>
      <c r="WG255" s="6"/>
      <c r="WH255" s="4"/>
      <c r="WI255" s="4"/>
      <c r="WJ255" s="4"/>
      <c r="WK255" s="4"/>
      <c r="WL255" s="4"/>
      <c r="WM255" s="5"/>
      <c r="WN255" s="6"/>
      <c r="WO255" s="4"/>
      <c r="WP255" s="4"/>
      <c r="WQ255" s="4"/>
      <c r="WR255" s="4"/>
      <c r="WS255" s="4"/>
      <c r="WT255" s="5"/>
      <c r="WU255" s="6"/>
      <c r="WV255" s="4"/>
      <c r="WW255" s="4"/>
      <c r="WX255" s="4"/>
      <c r="WY255" s="4"/>
      <c r="WZ255" s="4"/>
      <c r="XA255" s="5"/>
      <c r="XB255" s="6"/>
      <c r="XC255" s="4"/>
      <c r="XD255" s="4"/>
      <c r="XE255" s="4"/>
      <c r="XF255" s="4"/>
      <c r="XG255" s="4"/>
      <c r="XH255" s="5"/>
      <c r="XI255" s="6"/>
      <c r="XJ255" s="4"/>
      <c r="XK255" s="4"/>
      <c r="XL255" s="4"/>
      <c r="XM255" s="4"/>
      <c r="XN255" s="4"/>
      <c r="XO255" s="5"/>
      <c r="XP255" s="6"/>
      <c r="XQ255" s="4"/>
      <c r="XR255" s="4"/>
      <c r="XS255" s="4"/>
      <c r="XT255" s="4"/>
      <c r="XU255" s="4"/>
      <c r="XV255" s="5"/>
      <c r="XW255" s="6"/>
      <c r="XX255" s="4"/>
      <c r="XY255" s="4"/>
      <c r="XZ255" s="4"/>
      <c r="YA255" s="4"/>
      <c r="YB255" s="4"/>
      <c r="YC255" s="5"/>
      <c r="YD255" s="6"/>
      <c r="YE255" s="4"/>
      <c r="YF255" s="4"/>
      <c r="YG255" s="4"/>
      <c r="YH255" s="4"/>
      <c r="YI255" s="4"/>
      <c r="YJ255" s="5"/>
      <c r="YK255" s="6"/>
      <c r="YL255" s="4"/>
      <c r="YM255" s="4"/>
      <c r="YN255" s="7"/>
      <c r="YO255" s="8"/>
      <c r="YP255" s="8"/>
      <c r="YQ255" s="5"/>
      <c r="YR255" s="6"/>
      <c r="YS255" s="4"/>
      <c r="YT255" s="4"/>
      <c r="YU255" s="4"/>
      <c r="YV255" s="4"/>
      <c r="YW255" s="4"/>
      <c r="YX255" s="5"/>
      <c r="YY255" s="6"/>
      <c r="YZ255" s="4"/>
      <c r="ZA255" s="4"/>
      <c r="ZB255" s="4"/>
      <c r="ZC255" s="4"/>
      <c r="ZD255" s="4"/>
      <c r="ZE255" s="5"/>
      <c r="ZF255" s="6"/>
      <c r="ZG255" s="4"/>
      <c r="ZH255" s="4"/>
      <c r="ZI255" s="4"/>
      <c r="ZJ255" s="4"/>
      <c r="ZK255" s="4"/>
      <c r="ZL255" s="5"/>
      <c r="ZM255" s="6"/>
      <c r="ZN255" s="4"/>
      <c r="ZO255" s="4"/>
      <c r="ZP255" s="4"/>
      <c r="ZQ255" s="4"/>
      <c r="ZR255" s="4"/>
      <c r="ZS255" s="5"/>
      <c r="ZT255" s="6"/>
      <c r="ZU255" s="4"/>
      <c r="ZV255" s="4"/>
      <c r="ZW255" s="4"/>
      <c r="ZX255" s="4"/>
      <c r="ZY255" s="4"/>
      <c r="ZZ255" s="5"/>
      <c r="AAA255" s="6"/>
      <c r="AAB255" s="4"/>
      <c r="AAC255" s="4"/>
      <c r="AAD255" s="4"/>
      <c r="AAE255" s="4"/>
      <c r="AAF255" s="4"/>
      <c r="AAG255" s="5"/>
      <c r="AAH255" s="6" t="s">
        <v>3542</v>
      </c>
      <c r="AAI255" s="7" t="s">
        <v>3543</v>
      </c>
      <c r="AAJ255" s="7" t="s">
        <v>3478</v>
      </c>
      <c r="AAK255" s="7" t="s">
        <v>3382</v>
      </c>
      <c r="AAL255" s="8">
        <v>36977</v>
      </c>
      <c r="AAM255" s="8">
        <v>36978</v>
      </c>
      <c r="AAN255" s="5" t="s">
        <v>3898</v>
      </c>
      <c r="AAO255" s="6"/>
      <c r="AAP255" s="4"/>
      <c r="AAQ255" s="4"/>
      <c r="AAR255" s="4"/>
      <c r="AAS255" s="4"/>
      <c r="AAT255" s="4"/>
      <c r="AAU255" s="5"/>
      <c r="AAV255" s="6"/>
      <c r="AAW255" s="4"/>
      <c r="AAX255" s="4"/>
      <c r="AAY255" s="4"/>
      <c r="AAZ255" s="4"/>
      <c r="ABA255" s="4"/>
      <c r="ABB255" s="5"/>
      <c r="ABC255" s="6"/>
      <c r="ABD255" s="4"/>
      <c r="ABE255" s="4"/>
      <c r="ABF255" s="4"/>
      <c r="ABG255" s="4"/>
      <c r="ABH255" s="4"/>
      <c r="ABI255" s="5"/>
      <c r="ABJ255" s="6"/>
      <c r="ABK255" s="4"/>
      <c r="ABL255" s="4"/>
      <c r="ABM255" s="4"/>
      <c r="ABN255" s="4"/>
      <c r="ABO255" s="4"/>
      <c r="ABP255" s="5"/>
      <c r="ABQ255" s="6"/>
      <c r="ABR255" s="4"/>
      <c r="ABS255" s="4"/>
      <c r="ABT255" s="4"/>
      <c r="ABU255" s="4"/>
      <c r="ABV255" s="4"/>
      <c r="ABW255" s="5"/>
      <c r="ABX255" s="6"/>
      <c r="ABY255" s="4"/>
      <c r="ABZ255" s="4"/>
      <c r="ACA255" s="4"/>
      <c r="ACB255" s="4"/>
      <c r="ACC255" s="4"/>
      <c r="ACD255" s="5"/>
      <c r="ACE255" s="6"/>
      <c r="ACF255" s="4"/>
      <c r="ACG255" s="4"/>
      <c r="ACH255" s="4"/>
      <c r="ACI255" s="4"/>
      <c r="ACJ255" s="4"/>
      <c r="ACK255" s="5"/>
      <c r="ACL255" s="6"/>
      <c r="ACM255" s="4"/>
      <c r="ACN255" s="4"/>
      <c r="ACO255" s="4"/>
      <c r="ACP255" s="4"/>
      <c r="ACQ255" s="4"/>
      <c r="ACR255" s="5"/>
      <c r="ACS255" s="6"/>
      <c r="ACT255" s="4"/>
      <c r="ACU255" s="4"/>
      <c r="ACV255" s="4"/>
      <c r="ACW255" s="4"/>
      <c r="ACX255" s="4"/>
      <c r="ACY255" s="5"/>
    </row>
    <row r="256" spans="2:805" x14ac:dyDescent="0.25">
      <c r="J256" s="12"/>
      <c r="K256" s="12"/>
      <c r="L256" s="12"/>
      <c r="LL256" s="6"/>
      <c r="LM256" s="4"/>
      <c r="LN256" s="4"/>
      <c r="LO256" s="4"/>
      <c r="LP256" s="4"/>
      <c r="LQ256" s="4"/>
      <c r="LR256" s="5"/>
      <c r="LS256" s="6"/>
      <c r="LT256" s="4"/>
      <c r="LU256" s="4"/>
      <c r="LV256" s="4"/>
      <c r="LW256" s="4"/>
      <c r="LX256" s="4"/>
      <c r="LY256" s="5"/>
      <c r="LZ256" s="6" t="s">
        <v>3234</v>
      </c>
      <c r="MA256" s="7" t="s">
        <v>3235</v>
      </c>
      <c r="MB256" s="7" t="s">
        <v>3085</v>
      </c>
      <c r="MC256" s="7" t="s">
        <v>3070</v>
      </c>
      <c r="MD256" s="8">
        <v>36973</v>
      </c>
      <c r="ME256" s="8">
        <v>36973</v>
      </c>
      <c r="MF256" s="8"/>
      <c r="MG256" s="5" t="s">
        <v>3959</v>
      </c>
      <c r="MH256" s="6"/>
      <c r="MI256" s="4"/>
      <c r="MJ256" s="4"/>
      <c r="MK256" s="4"/>
      <c r="ML256" s="4"/>
      <c r="MM256" s="4"/>
      <c r="MN256" s="5"/>
      <c r="MO256" s="6"/>
      <c r="MP256" s="4"/>
      <c r="MQ256" s="4"/>
      <c r="MR256" s="4"/>
      <c r="MS256" s="4"/>
      <c r="MT256" s="4"/>
      <c r="MU256" s="5"/>
      <c r="MV256" s="6"/>
      <c r="MW256" s="4"/>
      <c r="MX256" s="4"/>
      <c r="MY256" s="4"/>
      <c r="MZ256" s="4"/>
      <c r="NA256" s="4"/>
      <c r="NB256" s="5"/>
      <c r="NC256" s="6"/>
      <c r="ND256" s="4"/>
      <c r="NE256" s="4"/>
      <c r="NF256" s="4"/>
      <c r="NG256" s="4"/>
      <c r="NH256" s="4"/>
      <c r="NI256" s="5"/>
      <c r="NJ256" s="6"/>
      <c r="NK256" s="4"/>
      <c r="NL256" s="4"/>
      <c r="NM256" s="4"/>
      <c r="NN256" s="4"/>
      <c r="NO256" s="4"/>
      <c r="NP256" s="5"/>
      <c r="NQ256" s="6"/>
      <c r="NR256" s="4"/>
      <c r="NS256" s="4"/>
      <c r="NT256" s="4"/>
      <c r="NU256" s="4"/>
      <c r="NV256" s="4"/>
      <c r="NW256" s="5"/>
      <c r="NX256" s="6"/>
      <c r="NY256" s="4"/>
      <c r="NZ256" s="4"/>
      <c r="OA256" s="4"/>
      <c r="OB256" s="4"/>
      <c r="OC256" s="4"/>
      <c r="OD256" s="5"/>
      <c r="OE256" s="6"/>
      <c r="OF256" s="4"/>
      <c r="OG256" s="4"/>
      <c r="OH256" s="4"/>
      <c r="OI256" s="4"/>
      <c r="OJ256" s="4"/>
      <c r="OK256" s="5"/>
      <c r="OL256" s="6"/>
      <c r="OM256" s="4"/>
      <c r="ON256" s="4"/>
      <c r="OO256" s="4"/>
      <c r="OP256" s="4"/>
      <c r="OQ256" s="4"/>
      <c r="OR256" s="5"/>
      <c r="OS256" s="6"/>
      <c r="OT256" s="4"/>
      <c r="OU256" s="4"/>
      <c r="OV256" s="4"/>
      <c r="OW256" s="4"/>
      <c r="OX256" s="4"/>
      <c r="OY256" s="5"/>
      <c r="OZ256" s="6" t="s">
        <v>3124</v>
      </c>
      <c r="PA256" s="7" t="s">
        <v>3275</v>
      </c>
      <c r="PB256" s="4" t="s">
        <v>3125</v>
      </c>
      <c r="PC256" s="7" t="s">
        <v>3070</v>
      </c>
      <c r="PD256" s="8">
        <v>36979</v>
      </c>
      <c r="PE256" s="8">
        <v>36979</v>
      </c>
      <c r="PF256" s="5"/>
      <c r="PG256" s="6"/>
      <c r="PH256" s="4"/>
      <c r="PI256" s="4"/>
      <c r="PJ256" s="4"/>
      <c r="PK256" s="4"/>
      <c r="PL256" s="4"/>
      <c r="PM256" s="5"/>
      <c r="PN256" s="6"/>
      <c r="PO256" s="4"/>
      <c r="PP256" s="4"/>
      <c r="PQ256" s="4"/>
      <c r="PR256" s="4"/>
      <c r="PS256" s="4"/>
      <c r="PT256" s="5"/>
      <c r="PU256" s="6"/>
      <c r="PV256" s="4"/>
      <c r="PW256" s="4"/>
      <c r="PX256" s="4"/>
      <c r="PY256" s="4"/>
      <c r="PZ256" s="4"/>
      <c r="QA256" s="5"/>
      <c r="QB256" s="6"/>
      <c r="QC256" s="4"/>
      <c r="QD256" s="4"/>
      <c r="QE256" s="4"/>
      <c r="QF256" s="4"/>
      <c r="QG256" s="4"/>
      <c r="QH256" s="5"/>
      <c r="QI256" s="6"/>
      <c r="QJ256" s="4"/>
      <c r="QK256" s="4"/>
      <c r="QL256" s="4"/>
      <c r="QM256" s="4"/>
      <c r="QN256" s="4"/>
      <c r="QO256" s="5"/>
      <c r="QP256" s="6"/>
      <c r="QQ256" s="4"/>
      <c r="QR256" s="4"/>
      <c r="QS256" s="4"/>
      <c r="QT256" s="4"/>
      <c r="QU256" s="4"/>
      <c r="QV256" s="5"/>
      <c r="QW256" s="6"/>
      <c r="QX256" s="4"/>
      <c r="QY256" s="4"/>
      <c r="QZ256" s="4"/>
      <c r="RA256" s="4"/>
      <c r="RB256" s="4"/>
      <c r="RC256" s="5"/>
      <c r="RD256" s="6"/>
      <c r="RE256" s="4"/>
      <c r="RF256" s="4"/>
      <c r="RG256" s="4"/>
      <c r="RH256" s="4"/>
      <c r="RI256" s="4"/>
      <c r="RJ256" s="5"/>
      <c r="RK256" s="6"/>
      <c r="RL256" s="4"/>
      <c r="RM256" s="4"/>
      <c r="RN256" s="4"/>
      <c r="RO256" s="4"/>
      <c r="RP256" s="4"/>
      <c r="RQ256" s="5"/>
      <c r="RR256" s="6"/>
      <c r="RS256" s="4"/>
      <c r="RT256" s="4"/>
      <c r="RU256" s="4"/>
      <c r="RV256" s="4"/>
      <c r="RW256" s="4"/>
      <c r="RX256" s="5"/>
      <c r="RY256" s="6"/>
      <c r="RZ256" s="4"/>
      <c r="SA256" s="4"/>
      <c r="SB256" s="4"/>
      <c r="SC256" s="4"/>
      <c r="SD256" s="4"/>
      <c r="SE256" s="5"/>
      <c r="SF256" s="6"/>
      <c r="SG256" s="4"/>
      <c r="SH256" s="4"/>
      <c r="SI256" s="4"/>
      <c r="SJ256" s="4"/>
      <c r="SK256" s="4"/>
      <c r="SL256" s="5"/>
      <c r="SM256" s="6"/>
      <c r="SN256" s="4"/>
      <c r="SO256" s="4"/>
      <c r="SP256" s="4"/>
      <c r="SQ256" s="4"/>
      <c r="SR256" s="4"/>
      <c r="SS256" s="5"/>
      <c r="ST256" s="6"/>
      <c r="SU256" s="4"/>
      <c r="SV256" s="4"/>
      <c r="SW256" s="4"/>
      <c r="SX256" s="4"/>
      <c r="SY256" s="4"/>
      <c r="SZ256" s="5"/>
      <c r="TA256" s="6"/>
      <c r="TB256" s="4"/>
      <c r="TC256" s="4"/>
      <c r="TD256" s="4"/>
      <c r="TE256" s="4"/>
      <c r="TF256" s="4"/>
      <c r="TG256" s="5"/>
      <c r="TH256" s="6"/>
      <c r="TI256" s="4"/>
      <c r="TJ256" s="4"/>
      <c r="TK256" s="4"/>
      <c r="TL256" s="4"/>
      <c r="TM256" s="4"/>
      <c r="TN256" s="5"/>
      <c r="TO256" s="6"/>
      <c r="TP256" s="4"/>
      <c r="TQ256" s="4"/>
      <c r="TR256" s="4"/>
      <c r="TS256" s="4"/>
      <c r="TT256" s="4"/>
      <c r="TU256" s="5"/>
      <c r="TV256" s="6"/>
      <c r="TW256" s="4"/>
      <c r="TX256" s="4"/>
      <c r="TY256" s="4"/>
      <c r="TZ256" s="4"/>
      <c r="UA256" s="4"/>
      <c r="UB256" s="5"/>
      <c r="UC256" s="6"/>
      <c r="UD256" s="4"/>
      <c r="UE256" s="4"/>
      <c r="UF256" s="4"/>
      <c r="UG256" s="4"/>
      <c r="UH256" s="4"/>
      <c r="UI256" s="5"/>
      <c r="UJ256" s="6"/>
      <c r="UK256" s="4"/>
      <c r="UL256" s="4"/>
      <c r="UM256" s="4"/>
      <c r="UN256" s="4"/>
      <c r="UO256" s="4"/>
      <c r="UP256" s="5"/>
      <c r="UQ256" s="6"/>
      <c r="UR256" s="4"/>
      <c r="US256" s="4"/>
      <c r="UT256" s="4"/>
      <c r="UU256" s="4"/>
      <c r="UV256" s="4"/>
      <c r="UW256" s="5"/>
      <c r="UX256" s="6"/>
      <c r="UY256" s="4"/>
      <c r="UZ256" s="4"/>
      <c r="VA256" s="4"/>
      <c r="VB256" s="4"/>
      <c r="VC256" s="4"/>
      <c r="VD256" s="5"/>
      <c r="VE256" s="6"/>
      <c r="VF256" s="4"/>
      <c r="VG256" s="4"/>
      <c r="VH256" s="4"/>
      <c r="VI256" s="4"/>
      <c r="VJ256" s="4"/>
      <c r="VK256" s="5"/>
      <c r="VL256" s="6"/>
      <c r="VM256" s="4"/>
      <c r="VN256" s="4"/>
      <c r="VO256" s="4"/>
      <c r="VP256" s="4"/>
      <c r="VQ256" s="4"/>
      <c r="VR256" s="5"/>
      <c r="VS256" s="6"/>
      <c r="VT256" s="4"/>
      <c r="VU256" s="4"/>
      <c r="VV256" s="4"/>
      <c r="VW256" s="4"/>
      <c r="VX256" s="4"/>
      <c r="VY256" s="5"/>
      <c r="VZ256" s="6"/>
      <c r="WA256" s="4"/>
      <c r="WB256" s="4"/>
      <c r="WC256" s="4"/>
      <c r="WD256" s="4"/>
      <c r="WE256" s="4"/>
      <c r="WF256" s="5"/>
      <c r="WG256" s="6"/>
      <c r="WH256" s="4"/>
      <c r="WI256" s="4"/>
      <c r="WJ256" s="4"/>
      <c r="WK256" s="4"/>
      <c r="WL256" s="4"/>
      <c r="WM256" s="5"/>
      <c r="WN256" s="6"/>
      <c r="WO256" s="4"/>
      <c r="WP256" s="4"/>
      <c r="WQ256" s="4"/>
      <c r="WR256" s="4"/>
      <c r="WS256" s="4"/>
      <c r="WT256" s="5"/>
      <c r="WU256" s="6"/>
      <c r="WV256" s="4"/>
      <c r="WW256" s="4"/>
      <c r="WX256" s="4"/>
      <c r="WY256" s="4"/>
      <c r="WZ256" s="4"/>
      <c r="XA256" s="5"/>
      <c r="XB256" s="6"/>
      <c r="XC256" s="4"/>
      <c r="XD256" s="4"/>
      <c r="XE256" s="4"/>
      <c r="XF256" s="4"/>
      <c r="XG256" s="4"/>
      <c r="XH256" s="5"/>
      <c r="XI256" s="6"/>
      <c r="XJ256" s="4"/>
      <c r="XK256" s="4"/>
      <c r="XL256" s="4"/>
      <c r="XM256" s="4"/>
      <c r="XN256" s="4"/>
      <c r="XO256" s="5"/>
      <c r="XP256" s="6"/>
      <c r="XQ256" s="4"/>
      <c r="XR256" s="4"/>
      <c r="XS256" s="4"/>
      <c r="XT256" s="4"/>
      <c r="XU256" s="4"/>
      <c r="XV256" s="5"/>
      <c r="XW256" s="6"/>
      <c r="XX256" s="4"/>
      <c r="XY256" s="4"/>
      <c r="XZ256" s="4"/>
      <c r="YA256" s="4"/>
      <c r="YB256" s="4"/>
      <c r="YC256" s="5"/>
      <c r="YD256" s="6"/>
      <c r="YE256" s="4"/>
      <c r="YF256" s="4"/>
      <c r="YG256" s="4"/>
      <c r="YH256" s="4"/>
      <c r="YI256" s="4"/>
      <c r="YJ256" s="5"/>
      <c r="YK256" s="6"/>
      <c r="YL256" s="4"/>
      <c r="YM256" s="4"/>
      <c r="YN256" s="7"/>
      <c r="YO256" s="8"/>
      <c r="YP256" s="8"/>
      <c r="YQ256" s="5"/>
      <c r="YR256" s="6"/>
      <c r="YS256" s="4"/>
      <c r="YT256" s="4"/>
      <c r="YU256" s="4"/>
      <c r="YV256" s="4"/>
      <c r="YW256" s="4"/>
      <c r="YX256" s="5"/>
      <c r="YY256" s="6"/>
      <c r="YZ256" s="4"/>
      <c r="ZA256" s="4"/>
      <c r="ZB256" s="4"/>
      <c r="ZC256" s="4"/>
      <c r="ZD256" s="4"/>
      <c r="ZE256" s="5"/>
      <c r="ZF256" s="6"/>
      <c r="ZG256" s="4"/>
      <c r="ZH256" s="4"/>
      <c r="ZI256" s="4"/>
      <c r="ZJ256" s="4"/>
      <c r="ZK256" s="4"/>
      <c r="ZL256" s="5"/>
      <c r="ZM256" s="6"/>
      <c r="ZN256" s="4"/>
      <c r="ZO256" s="4"/>
      <c r="ZP256" s="4"/>
      <c r="ZQ256" s="4"/>
      <c r="ZR256" s="4"/>
      <c r="ZS256" s="5"/>
      <c r="ZT256" s="6"/>
      <c r="ZU256" s="4"/>
      <c r="ZV256" s="4"/>
      <c r="ZW256" s="4"/>
      <c r="ZX256" s="4"/>
      <c r="ZY256" s="4"/>
      <c r="ZZ256" s="5"/>
      <c r="AAA256" s="6"/>
      <c r="AAB256" s="4"/>
      <c r="AAC256" s="4"/>
      <c r="AAD256" s="4"/>
      <c r="AAE256" s="4"/>
      <c r="AAF256" s="4"/>
      <c r="AAG256" s="5"/>
      <c r="AAH256" s="6"/>
      <c r="AAI256" s="7"/>
      <c r="AAJ256" s="7"/>
      <c r="AAK256" s="7"/>
      <c r="AAL256" s="8"/>
      <c r="AAM256" s="8"/>
      <c r="AAN256" s="5"/>
      <c r="AAO256" s="6"/>
      <c r="AAP256" s="4"/>
      <c r="AAQ256" s="4"/>
      <c r="AAR256" s="4"/>
      <c r="AAS256" s="4"/>
      <c r="AAT256" s="4"/>
      <c r="AAU256" s="5"/>
      <c r="AAV256" s="6"/>
      <c r="AAW256" s="4"/>
      <c r="AAX256" s="4"/>
      <c r="AAY256" s="4"/>
      <c r="AAZ256" s="4"/>
      <c r="ABA256" s="4"/>
      <c r="ABB256" s="5"/>
      <c r="ABC256" s="6"/>
      <c r="ABD256" s="4"/>
      <c r="ABE256" s="4"/>
      <c r="ABF256" s="4"/>
      <c r="ABG256" s="4"/>
      <c r="ABH256" s="4"/>
      <c r="ABI256" s="5"/>
      <c r="ABJ256" s="6"/>
      <c r="ABK256" s="4"/>
      <c r="ABL256" s="4"/>
      <c r="ABM256" s="4"/>
      <c r="ABN256" s="4"/>
      <c r="ABO256" s="4"/>
      <c r="ABP256" s="5"/>
      <c r="ABQ256" s="6"/>
      <c r="ABR256" s="4"/>
      <c r="ABS256" s="4"/>
      <c r="ABT256" s="4"/>
      <c r="ABU256" s="4"/>
      <c r="ABV256" s="4"/>
      <c r="ABW256" s="5"/>
      <c r="ABX256" s="6"/>
      <c r="ABY256" s="4"/>
      <c r="ABZ256" s="4"/>
      <c r="ACA256" s="4"/>
      <c r="ACB256" s="4"/>
      <c r="ACC256" s="4"/>
      <c r="ACD256" s="5"/>
      <c r="ACE256" s="6"/>
      <c r="ACF256" s="4"/>
      <c r="ACG256" s="4"/>
      <c r="ACH256" s="4"/>
      <c r="ACI256" s="4"/>
      <c r="ACJ256" s="4"/>
      <c r="ACK256" s="5"/>
      <c r="ACL256" s="6"/>
      <c r="ACM256" s="4"/>
      <c r="ACN256" s="4"/>
      <c r="ACO256" s="4"/>
      <c r="ACP256" s="4"/>
      <c r="ACQ256" s="4"/>
      <c r="ACR256" s="5"/>
      <c r="ACS256" s="6"/>
      <c r="ACT256" s="4"/>
      <c r="ACU256" s="4"/>
      <c r="ACV256" s="4"/>
      <c r="ACW256" s="4"/>
      <c r="ACX256" s="4"/>
      <c r="ACY256" s="5"/>
    </row>
    <row r="257" spans="1:805" x14ac:dyDescent="0.25">
      <c r="J257" s="12"/>
      <c r="K257" s="12"/>
      <c r="L257" s="12"/>
      <c r="LL257" s="6"/>
      <c r="LM257" s="4"/>
      <c r="LN257" s="4"/>
      <c r="LO257" s="4"/>
      <c r="LP257" s="4"/>
      <c r="LQ257" s="4"/>
      <c r="LR257" s="5"/>
      <c r="LS257" s="6"/>
      <c r="LT257" s="4"/>
      <c r="LU257" s="4"/>
      <c r="LV257" s="4"/>
      <c r="LW257" s="4"/>
      <c r="LX257" s="4"/>
      <c r="LY257" s="5"/>
      <c r="LZ257" s="6" t="s">
        <v>3086</v>
      </c>
      <c r="MA257" s="7" t="s">
        <v>3235</v>
      </c>
      <c r="MB257" s="7" t="s">
        <v>3087</v>
      </c>
      <c r="MC257" s="7" t="s">
        <v>3070</v>
      </c>
      <c r="MD257" s="8">
        <v>36989</v>
      </c>
      <c r="ME257" s="8">
        <v>36989</v>
      </c>
      <c r="MF257" s="8"/>
      <c r="MG257" s="5" t="s">
        <v>3367</v>
      </c>
      <c r="MH257" s="6"/>
      <c r="MI257" s="4"/>
      <c r="MJ257" s="4"/>
      <c r="MK257" s="4"/>
      <c r="ML257" s="4"/>
      <c r="MM257" s="4"/>
      <c r="MN257" s="5"/>
      <c r="MO257" s="6"/>
      <c r="MP257" s="4"/>
      <c r="MQ257" s="4"/>
      <c r="MR257" s="4"/>
      <c r="MS257" s="4"/>
      <c r="MT257" s="4"/>
      <c r="MU257" s="5"/>
      <c r="MV257" s="6"/>
      <c r="MW257" s="4"/>
      <c r="MX257" s="4"/>
      <c r="MY257" s="4"/>
      <c r="MZ257" s="4"/>
      <c r="NA257" s="4"/>
      <c r="NB257" s="5"/>
      <c r="NC257" s="6"/>
      <c r="ND257" s="4"/>
      <c r="NE257" s="4"/>
      <c r="NF257" s="4"/>
      <c r="NG257" s="4"/>
      <c r="NH257" s="4"/>
      <c r="NI257" s="5"/>
      <c r="NJ257" s="6"/>
      <c r="NK257" s="4"/>
      <c r="NL257" s="4"/>
      <c r="NM257" s="4"/>
      <c r="NN257" s="4"/>
      <c r="NO257" s="4"/>
      <c r="NP257" s="5"/>
      <c r="NQ257" s="6"/>
      <c r="NR257" s="4"/>
      <c r="NS257" s="4"/>
      <c r="NT257" s="4"/>
      <c r="NU257" s="4"/>
      <c r="NV257" s="4"/>
      <c r="NW257" s="5"/>
      <c r="NX257" s="6"/>
      <c r="NY257" s="4"/>
      <c r="NZ257" s="4"/>
      <c r="OA257" s="4"/>
      <c r="OB257" s="4"/>
      <c r="OC257" s="4"/>
      <c r="OD257" s="5"/>
      <c r="OE257" s="6"/>
      <c r="OF257" s="4"/>
      <c r="OG257" s="4"/>
      <c r="OH257" s="4"/>
      <c r="OI257" s="4"/>
      <c r="OJ257" s="4"/>
      <c r="OK257" s="5"/>
      <c r="OL257" s="6"/>
      <c r="OM257" s="4"/>
      <c r="ON257" s="4"/>
      <c r="OO257" s="4"/>
      <c r="OP257" s="4"/>
      <c r="OQ257" s="4"/>
      <c r="OR257" s="5"/>
      <c r="OS257" s="6"/>
      <c r="OT257" s="4"/>
      <c r="OU257" s="4"/>
      <c r="OV257" s="4"/>
      <c r="OW257" s="4"/>
      <c r="OX257" s="4"/>
      <c r="OY257" s="5"/>
      <c r="OZ257" s="6" t="s">
        <v>3491</v>
      </c>
      <c r="PA257" s="7" t="s">
        <v>3492</v>
      </c>
      <c r="PB257" s="7" t="s">
        <v>3493</v>
      </c>
      <c r="PC257" s="7" t="s">
        <v>3070</v>
      </c>
      <c r="PD257" s="8">
        <v>36970</v>
      </c>
      <c r="PE257" s="8">
        <v>36970</v>
      </c>
      <c r="PF257" s="5" t="s">
        <v>4009</v>
      </c>
      <c r="PG257" s="6"/>
      <c r="PH257" s="4"/>
      <c r="PI257" s="4"/>
      <c r="PJ257" s="4"/>
      <c r="PK257" s="4"/>
      <c r="PL257" s="4"/>
      <c r="PM257" s="5"/>
      <c r="PN257" s="6"/>
      <c r="PO257" s="4"/>
      <c r="PP257" s="4"/>
      <c r="PQ257" s="4"/>
      <c r="PR257" s="4"/>
      <c r="PS257" s="4"/>
      <c r="PT257" s="5"/>
      <c r="PU257" s="6"/>
      <c r="PV257" s="4"/>
      <c r="PW257" s="4"/>
      <c r="PX257" s="4"/>
      <c r="PY257" s="4"/>
      <c r="PZ257" s="4"/>
      <c r="QA257" s="5"/>
      <c r="QB257" s="6"/>
      <c r="QC257" s="4"/>
      <c r="QD257" s="4"/>
      <c r="QE257" s="4"/>
      <c r="QF257" s="4"/>
      <c r="QG257" s="4"/>
      <c r="QH257" s="5"/>
      <c r="QI257" s="6"/>
      <c r="QJ257" s="4"/>
      <c r="QK257" s="4"/>
      <c r="QL257" s="4"/>
      <c r="QM257" s="4"/>
      <c r="QN257" s="4"/>
      <c r="QO257" s="5"/>
      <c r="QP257" s="6"/>
      <c r="QQ257" s="4"/>
      <c r="QR257" s="4"/>
      <c r="QS257" s="4"/>
      <c r="QT257" s="4"/>
      <c r="QU257" s="4"/>
      <c r="QV257" s="5"/>
      <c r="QW257" s="6"/>
      <c r="QX257" s="4"/>
      <c r="QY257" s="4"/>
      <c r="QZ257" s="4"/>
      <c r="RA257" s="4"/>
      <c r="RB257" s="4"/>
      <c r="RC257" s="5"/>
      <c r="RD257" s="6"/>
      <c r="RE257" s="4"/>
      <c r="RF257" s="4"/>
      <c r="RG257" s="4"/>
      <c r="RH257" s="4"/>
      <c r="RI257" s="4"/>
      <c r="RJ257" s="5"/>
      <c r="RK257" s="6"/>
      <c r="RL257" s="4"/>
      <c r="RM257" s="4"/>
      <c r="RN257" s="4"/>
      <c r="RO257" s="4"/>
      <c r="RP257" s="4"/>
      <c r="RQ257" s="5"/>
      <c r="RR257" s="6"/>
      <c r="RS257" s="4"/>
      <c r="RT257" s="4"/>
      <c r="RU257" s="4"/>
      <c r="RV257" s="4"/>
      <c r="RW257" s="4"/>
      <c r="RX257" s="5"/>
      <c r="RY257" s="6"/>
      <c r="RZ257" s="4"/>
      <c r="SA257" s="4"/>
      <c r="SB257" s="4"/>
      <c r="SC257" s="4"/>
      <c r="SD257" s="4"/>
      <c r="SE257" s="5"/>
      <c r="SF257" s="6"/>
      <c r="SG257" s="4"/>
      <c r="SH257" s="4"/>
      <c r="SI257" s="4"/>
      <c r="SJ257" s="4"/>
      <c r="SK257" s="4"/>
      <c r="SL257" s="5"/>
      <c r="SM257" s="6"/>
      <c r="SN257" s="4"/>
      <c r="SO257" s="4"/>
      <c r="SP257" s="4"/>
      <c r="SQ257" s="4"/>
      <c r="SR257" s="4"/>
      <c r="SS257" s="5"/>
      <c r="ST257" s="6"/>
      <c r="SU257" s="4"/>
      <c r="SV257" s="4"/>
      <c r="SW257" s="4"/>
      <c r="SX257" s="4"/>
      <c r="SY257" s="4"/>
      <c r="SZ257" s="5"/>
      <c r="TA257" s="6"/>
      <c r="TB257" s="4"/>
      <c r="TC257" s="4"/>
      <c r="TD257" s="4"/>
      <c r="TE257" s="4"/>
      <c r="TF257" s="4"/>
      <c r="TG257" s="5"/>
      <c r="TH257" s="6"/>
      <c r="TI257" s="4"/>
      <c r="TJ257" s="4"/>
      <c r="TK257" s="4"/>
      <c r="TL257" s="4"/>
      <c r="TM257" s="4"/>
      <c r="TN257" s="5"/>
      <c r="TO257" s="6"/>
      <c r="TP257" s="4"/>
      <c r="TQ257" s="4"/>
      <c r="TR257" s="4"/>
      <c r="TS257" s="4"/>
      <c r="TT257" s="4"/>
      <c r="TU257" s="5"/>
      <c r="TV257" s="6"/>
      <c r="TW257" s="4"/>
      <c r="TX257" s="4"/>
      <c r="TY257" s="4"/>
      <c r="TZ257" s="4"/>
      <c r="UA257" s="4"/>
      <c r="UB257" s="5"/>
      <c r="UC257" s="6"/>
      <c r="UD257" s="4"/>
      <c r="UE257" s="4"/>
      <c r="UF257" s="4"/>
      <c r="UG257" s="4"/>
      <c r="UH257" s="4"/>
      <c r="UI257" s="5"/>
      <c r="UJ257" s="6"/>
      <c r="UK257" s="4"/>
      <c r="UL257" s="4"/>
      <c r="UM257" s="4"/>
      <c r="UN257" s="4"/>
      <c r="UO257" s="4"/>
      <c r="UP257" s="5"/>
      <c r="UQ257" s="6"/>
      <c r="UR257" s="4"/>
      <c r="US257" s="4"/>
      <c r="UT257" s="4"/>
      <c r="UU257" s="4"/>
      <c r="UV257" s="4"/>
      <c r="UW257" s="5"/>
      <c r="UX257" s="6"/>
      <c r="UY257" s="4"/>
      <c r="UZ257" s="4"/>
      <c r="VA257" s="4"/>
      <c r="VB257" s="4"/>
      <c r="VC257" s="4"/>
      <c r="VD257" s="5"/>
      <c r="VE257" s="6"/>
      <c r="VF257" s="4"/>
      <c r="VG257" s="4"/>
      <c r="VH257" s="4"/>
      <c r="VI257" s="4"/>
      <c r="VJ257" s="4"/>
      <c r="VK257" s="5"/>
      <c r="VL257" s="6"/>
      <c r="VM257" s="4"/>
      <c r="VN257" s="4"/>
      <c r="VO257" s="4"/>
      <c r="VP257" s="4"/>
      <c r="VQ257" s="4"/>
      <c r="VR257" s="5"/>
      <c r="VS257" s="6"/>
      <c r="VT257" s="4"/>
      <c r="VU257" s="4"/>
      <c r="VV257" s="4"/>
      <c r="VW257" s="4"/>
      <c r="VX257" s="4"/>
      <c r="VY257" s="5"/>
      <c r="VZ257" s="6"/>
      <c r="WA257" s="4"/>
      <c r="WB257" s="4"/>
      <c r="WC257" s="4"/>
      <c r="WD257" s="4"/>
      <c r="WE257" s="4"/>
      <c r="WF257" s="5"/>
      <c r="WG257" s="6"/>
      <c r="WH257" s="4"/>
      <c r="WI257" s="4"/>
      <c r="WJ257" s="4"/>
      <c r="WK257" s="4"/>
      <c r="WL257" s="4"/>
      <c r="WM257" s="5"/>
      <c r="WN257" s="6"/>
      <c r="WO257" s="4"/>
      <c r="WP257" s="4"/>
      <c r="WQ257" s="4"/>
      <c r="WR257" s="4"/>
      <c r="WS257" s="4"/>
      <c r="WT257" s="5"/>
      <c r="WU257" s="6"/>
      <c r="WV257" s="4"/>
      <c r="WW257" s="4"/>
      <c r="WX257" s="4"/>
      <c r="WY257" s="4"/>
      <c r="WZ257" s="4"/>
      <c r="XA257" s="5"/>
      <c r="XB257" s="6"/>
      <c r="XC257" s="4"/>
      <c r="XD257" s="4"/>
      <c r="XE257" s="4"/>
      <c r="XF257" s="4"/>
      <c r="XG257" s="4"/>
      <c r="XH257" s="5"/>
      <c r="XI257" s="6"/>
      <c r="XJ257" s="4"/>
      <c r="XK257" s="4"/>
      <c r="XL257" s="4"/>
      <c r="XM257" s="4"/>
      <c r="XN257" s="4"/>
      <c r="XO257" s="5"/>
      <c r="XP257" s="6"/>
      <c r="XQ257" s="4"/>
      <c r="XR257" s="4"/>
      <c r="XS257" s="4"/>
      <c r="XT257" s="4"/>
      <c r="XU257" s="4"/>
      <c r="XV257" s="5"/>
      <c r="XW257" s="6"/>
      <c r="XX257" s="4"/>
      <c r="XY257" s="4"/>
      <c r="XZ257" s="4"/>
      <c r="YA257" s="4"/>
      <c r="YB257" s="4"/>
      <c r="YC257" s="5"/>
      <c r="YD257" s="6"/>
      <c r="YE257" s="4"/>
      <c r="YF257" s="4"/>
      <c r="YG257" s="4"/>
      <c r="YH257" s="4"/>
      <c r="YI257" s="4"/>
      <c r="YJ257" s="5"/>
      <c r="YK257" s="6"/>
      <c r="YL257" s="4"/>
      <c r="YM257" s="4"/>
      <c r="YN257" s="7"/>
      <c r="YO257" s="8"/>
      <c r="YP257" s="8"/>
      <c r="YQ257" s="5"/>
      <c r="YR257" s="6"/>
      <c r="YS257" s="4"/>
      <c r="YT257" s="4"/>
      <c r="YU257" s="4"/>
      <c r="YV257" s="4"/>
      <c r="YW257" s="4"/>
      <c r="YX257" s="5"/>
      <c r="YY257" s="6"/>
      <c r="YZ257" s="4"/>
      <c r="ZA257" s="4"/>
      <c r="ZB257" s="4"/>
      <c r="ZC257" s="4"/>
      <c r="ZD257" s="4"/>
      <c r="ZE257" s="5"/>
      <c r="ZF257" s="6"/>
      <c r="ZG257" s="4"/>
      <c r="ZH257" s="4"/>
      <c r="ZI257" s="4"/>
      <c r="ZJ257" s="4"/>
      <c r="ZK257" s="4"/>
      <c r="ZL257" s="5"/>
      <c r="ZM257" s="6"/>
      <c r="ZN257" s="4"/>
      <c r="ZO257" s="4"/>
      <c r="ZP257" s="4"/>
      <c r="ZQ257" s="4"/>
      <c r="ZR257" s="4"/>
      <c r="ZS257" s="5"/>
      <c r="ZT257" s="6"/>
      <c r="ZU257" s="4"/>
      <c r="ZV257" s="4"/>
      <c r="ZW257" s="4"/>
      <c r="ZX257" s="4"/>
      <c r="ZY257" s="4"/>
      <c r="ZZ257" s="5"/>
      <c r="AAA257" s="6"/>
      <c r="AAB257" s="4"/>
      <c r="AAC257" s="4"/>
      <c r="AAD257" s="4"/>
      <c r="AAE257" s="4"/>
      <c r="AAF257" s="4"/>
      <c r="AAG257" s="5"/>
      <c r="AAH257" s="6"/>
      <c r="AAI257" s="7"/>
      <c r="AAJ257" s="7"/>
      <c r="AAK257" s="7"/>
      <c r="AAL257" s="8"/>
      <c r="AAM257" s="8"/>
      <c r="AAN257" s="5"/>
      <c r="AAO257" s="6"/>
      <c r="AAP257" s="4"/>
      <c r="AAQ257" s="4"/>
      <c r="AAR257" s="4"/>
      <c r="AAS257" s="4"/>
      <c r="AAT257" s="4"/>
      <c r="AAU257" s="5"/>
      <c r="AAV257" s="6"/>
      <c r="AAW257" s="4"/>
      <c r="AAX257" s="4"/>
      <c r="AAY257" s="4"/>
      <c r="AAZ257" s="4"/>
      <c r="ABA257" s="4"/>
      <c r="ABB257" s="5"/>
      <c r="ABC257" s="6"/>
      <c r="ABD257" s="4"/>
      <c r="ABE257" s="4"/>
      <c r="ABF257" s="4"/>
      <c r="ABG257" s="4"/>
      <c r="ABH257" s="4"/>
      <c r="ABI257" s="5"/>
      <c r="ABJ257" s="6"/>
      <c r="ABK257" s="4"/>
      <c r="ABL257" s="4"/>
      <c r="ABM257" s="4"/>
      <c r="ABN257" s="4"/>
      <c r="ABO257" s="4"/>
      <c r="ABP257" s="5"/>
      <c r="ABQ257" s="6"/>
      <c r="ABR257" s="4"/>
      <c r="ABS257" s="4"/>
      <c r="ABT257" s="4"/>
      <c r="ABU257" s="4"/>
      <c r="ABV257" s="4"/>
      <c r="ABW257" s="5"/>
      <c r="ABX257" s="6"/>
      <c r="ABY257" s="4"/>
      <c r="ABZ257" s="4"/>
      <c r="ACA257" s="4"/>
      <c r="ACB257" s="4"/>
      <c r="ACC257" s="4"/>
      <c r="ACD257" s="5"/>
      <c r="ACE257" s="6"/>
      <c r="ACF257" s="4"/>
      <c r="ACG257" s="4"/>
      <c r="ACH257" s="4"/>
      <c r="ACI257" s="4"/>
      <c r="ACJ257" s="4"/>
      <c r="ACK257" s="5"/>
      <c r="ACL257" s="6"/>
      <c r="ACM257" s="4"/>
      <c r="ACN257" s="4"/>
      <c r="ACO257" s="4"/>
      <c r="ACP257" s="4"/>
      <c r="ACQ257" s="4"/>
      <c r="ACR257" s="5"/>
      <c r="ACS257" s="6"/>
      <c r="ACT257" s="4"/>
      <c r="ACU257" s="4"/>
      <c r="ACV257" s="4"/>
      <c r="ACW257" s="4"/>
      <c r="ACX257" s="4"/>
      <c r="ACY257" s="5"/>
    </row>
    <row r="258" spans="1:805" x14ac:dyDescent="0.25">
      <c r="J258" s="12"/>
      <c r="K258" s="12"/>
      <c r="L258" s="12"/>
      <c r="LL258" s="6"/>
      <c r="LM258" s="4"/>
      <c r="LN258" s="4"/>
      <c r="LO258" s="4"/>
      <c r="LP258" s="4"/>
      <c r="LQ258" s="4"/>
      <c r="LR258" s="5"/>
      <c r="LS258" s="6"/>
      <c r="LT258" s="4"/>
      <c r="LU258" s="4"/>
      <c r="LV258" s="4"/>
      <c r="LW258" s="4"/>
      <c r="LX258" s="4"/>
      <c r="LY258" s="5"/>
      <c r="LZ258" s="6" t="s">
        <v>3213</v>
      </c>
      <c r="MA258" s="7" t="s">
        <v>3321</v>
      </c>
      <c r="MB258" s="7" t="s">
        <v>3635</v>
      </c>
      <c r="MC258" s="7" t="s">
        <v>3070</v>
      </c>
      <c r="MD258" s="8">
        <v>36971</v>
      </c>
      <c r="ME258" s="8">
        <v>36971</v>
      </c>
      <c r="MF258" s="8"/>
      <c r="MG258" s="5" t="s">
        <v>3960</v>
      </c>
      <c r="MH258" s="6"/>
      <c r="MI258" s="4"/>
      <c r="MJ258" s="4"/>
      <c r="MK258" s="4"/>
      <c r="ML258" s="4"/>
      <c r="MM258" s="4"/>
      <c r="MN258" s="5"/>
      <c r="MO258" s="6"/>
      <c r="MP258" s="4"/>
      <c r="MQ258" s="4"/>
      <c r="MR258" s="4"/>
      <c r="MS258" s="4"/>
      <c r="MT258" s="4"/>
      <c r="MU258" s="5"/>
      <c r="MV258" s="6"/>
      <c r="MW258" s="4"/>
      <c r="MX258" s="4"/>
      <c r="MY258" s="4"/>
      <c r="MZ258" s="4"/>
      <c r="NA258" s="4"/>
      <c r="NB258" s="5"/>
      <c r="NC258" s="6"/>
      <c r="ND258" s="4"/>
      <c r="NE258" s="4"/>
      <c r="NF258" s="4"/>
      <c r="NG258" s="4"/>
      <c r="NH258" s="4"/>
      <c r="NI258" s="5"/>
      <c r="NJ258" s="6"/>
      <c r="NK258" s="4"/>
      <c r="NL258" s="4"/>
      <c r="NM258" s="4"/>
      <c r="NN258" s="4"/>
      <c r="NO258" s="4"/>
      <c r="NP258" s="5"/>
      <c r="NQ258" s="6"/>
      <c r="NR258" s="4"/>
      <c r="NS258" s="4"/>
      <c r="NT258" s="4"/>
      <c r="NU258" s="4"/>
      <c r="NV258" s="4"/>
      <c r="NW258" s="5"/>
      <c r="NX258" s="6"/>
      <c r="NY258" s="4"/>
      <c r="NZ258" s="4"/>
      <c r="OA258" s="4"/>
      <c r="OB258" s="4"/>
      <c r="OC258" s="4"/>
      <c r="OD258" s="5"/>
      <c r="OE258" s="6"/>
      <c r="OF258" s="4"/>
      <c r="OG258" s="4"/>
      <c r="OH258" s="4"/>
      <c r="OI258" s="4"/>
      <c r="OJ258" s="4"/>
      <c r="OK258" s="5"/>
      <c r="OL258" s="6"/>
      <c r="OM258" s="4"/>
      <c r="ON258" s="4"/>
      <c r="OO258" s="4"/>
      <c r="OP258" s="4"/>
      <c r="OQ258" s="4"/>
      <c r="OR258" s="5"/>
      <c r="OS258" s="6"/>
      <c r="OT258" s="4"/>
      <c r="OU258" s="4"/>
      <c r="OV258" s="4"/>
      <c r="OW258" s="4"/>
      <c r="OX258" s="4"/>
      <c r="OY258" s="5"/>
      <c r="OZ258" s="6" t="s">
        <v>3279</v>
      </c>
      <c r="PA258" s="7" t="s">
        <v>3052</v>
      </c>
      <c r="PB258" s="7"/>
      <c r="PC258" s="7" t="s">
        <v>3214</v>
      </c>
      <c r="PD258" s="8">
        <v>36970</v>
      </c>
      <c r="PE258" s="8">
        <v>36972</v>
      </c>
      <c r="PF258" s="5" t="s">
        <v>4009</v>
      </c>
      <c r="PG258" s="6"/>
      <c r="PH258" s="4"/>
      <c r="PI258" s="4"/>
      <c r="PJ258" s="4"/>
      <c r="PK258" s="4"/>
      <c r="PL258" s="4"/>
      <c r="PM258" s="5"/>
      <c r="PN258" s="6"/>
      <c r="PO258" s="4"/>
      <c r="PP258" s="4"/>
      <c r="PQ258" s="4"/>
      <c r="PR258" s="4"/>
      <c r="PS258" s="4"/>
      <c r="PT258" s="5"/>
      <c r="PU258" s="6"/>
      <c r="PV258" s="4"/>
      <c r="PW258" s="4"/>
      <c r="PX258" s="4"/>
      <c r="PY258" s="4"/>
      <c r="PZ258" s="4"/>
      <c r="QA258" s="5"/>
      <c r="QB258" s="6"/>
      <c r="QC258" s="4"/>
      <c r="QD258" s="4"/>
      <c r="QE258" s="4"/>
      <c r="QF258" s="4"/>
      <c r="QG258" s="4"/>
      <c r="QH258" s="5"/>
      <c r="QI258" s="6"/>
      <c r="QJ258" s="4"/>
      <c r="QK258" s="4"/>
      <c r="QL258" s="4"/>
      <c r="QM258" s="4"/>
      <c r="QN258" s="4"/>
      <c r="QO258" s="5"/>
      <c r="QP258" s="6"/>
      <c r="QQ258" s="4"/>
      <c r="QR258" s="4"/>
      <c r="QS258" s="4"/>
      <c r="QT258" s="4"/>
      <c r="QU258" s="4"/>
      <c r="QV258" s="5"/>
      <c r="QW258" s="6"/>
      <c r="QX258" s="4"/>
      <c r="QY258" s="4"/>
      <c r="QZ258" s="4"/>
      <c r="RA258" s="4"/>
      <c r="RB258" s="4"/>
      <c r="RC258" s="5"/>
      <c r="RD258" s="6"/>
      <c r="RE258" s="4"/>
      <c r="RF258" s="4"/>
      <c r="RG258" s="4"/>
      <c r="RH258" s="4"/>
      <c r="RI258" s="4"/>
      <c r="RJ258" s="5"/>
      <c r="RK258" s="6"/>
      <c r="RL258" s="4"/>
      <c r="RM258" s="4"/>
      <c r="RN258" s="4"/>
      <c r="RO258" s="4"/>
      <c r="RP258" s="4"/>
      <c r="RQ258" s="5"/>
      <c r="RR258" s="6"/>
      <c r="RS258" s="4"/>
      <c r="RT258" s="4"/>
      <c r="RU258" s="4"/>
      <c r="RV258" s="4"/>
      <c r="RW258" s="4"/>
      <c r="RX258" s="5"/>
      <c r="RY258" s="6"/>
      <c r="RZ258" s="4"/>
      <c r="SA258" s="4"/>
      <c r="SB258" s="4"/>
      <c r="SC258" s="4"/>
      <c r="SD258" s="4"/>
      <c r="SE258" s="5"/>
      <c r="SF258" s="6"/>
      <c r="SG258" s="4"/>
      <c r="SH258" s="4"/>
      <c r="SI258" s="4"/>
      <c r="SJ258" s="4"/>
      <c r="SK258" s="4"/>
      <c r="SL258" s="5"/>
      <c r="SM258" s="6"/>
      <c r="SN258" s="4"/>
      <c r="SO258" s="4"/>
      <c r="SP258" s="4"/>
      <c r="SQ258" s="4"/>
      <c r="SR258" s="4"/>
      <c r="SS258" s="5"/>
      <c r="ST258" s="6"/>
      <c r="SU258" s="4"/>
      <c r="SV258" s="4"/>
      <c r="SW258" s="4"/>
      <c r="SX258" s="4"/>
      <c r="SY258" s="4"/>
      <c r="SZ258" s="5"/>
      <c r="TA258" s="6"/>
      <c r="TB258" s="4"/>
      <c r="TC258" s="4"/>
      <c r="TD258" s="4"/>
      <c r="TE258" s="4"/>
      <c r="TF258" s="4"/>
      <c r="TG258" s="5"/>
      <c r="TH258" s="6"/>
      <c r="TI258" s="4"/>
      <c r="TJ258" s="4"/>
      <c r="TK258" s="4"/>
      <c r="TL258" s="4"/>
      <c r="TM258" s="4"/>
      <c r="TN258" s="5"/>
      <c r="TO258" s="6"/>
      <c r="TP258" s="4"/>
      <c r="TQ258" s="4"/>
      <c r="TR258" s="4"/>
      <c r="TS258" s="4"/>
      <c r="TT258" s="4"/>
      <c r="TU258" s="5"/>
      <c r="TV258" s="6"/>
      <c r="TW258" s="4"/>
      <c r="TX258" s="4"/>
      <c r="TY258" s="4"/>
      <c r="TZ258" s="4"/>
      <c r="UA258" s="4"/>
      <c r="UB258" s="5"/>
      <c r="UC258" s="6"/>
      <c r="UD258" s="4"/>
      <c r="UE258" s="4"/>
      <c r="UF258" s="4"/>
      <c r="UG258" s="4"/>
      <c r="UH258" s="4"/>
      <c r="UI258" s="5"/>
      <c r="UJ258" s="6"/>
      <c r="UK258" s="4"/>
      <c r="UL258" s="4"/>
      <c r="UM258" s="4"/>
      <c r="UN258" s="4"/>
      <c r="UO258" s="4"/>
      <c r="UP258" s="5"/>
      <c r="UQ258" s="6"/>
      <c r="UR258" s="4"/>
      <c r="US258" s="4"/>
      <c r="UT258" s="4"/>
      <c r="UU258" s="4"/>
      <c r="UV258" s="4"/>
      <c r="UW258" s="5"/>
      <c r="UX258" s="6"/>
      <c r="UY258" s="4"/>
      <c r="UZ258" s="4"/>
      <c r="VA258" s="4"/>
      <c r="VB258" s="4"/>
      <c r="VC258" s="4"/>
      <c r="VD258" s="5"/>
      <c r="VE258" s="6"/>
      <c r="VF258" s="4"/>
      <c r="VG258" s="4"/>
      <c r="VH258" s="4"/>
      <c r="VI258" s="4"/>
      <c r="VJ258" s="4"/>
      <c r="VK258" s="5"/>
      <c r="VL258" s="6"/>
      <c r="VM258" s="4"/>
      <c r="VN258" s="4"/>
      <c r="VO258" s="4"/>
      <c r="VP258" s="4"/>
      <c r="VQ258" s="4"/>
      <c r="VR258" s="5"/>
      <c r="VS258" s="6"/>
      <c r="VT258" s="4"/>
      <c r="VU258" s="4"/>
      <c r="VV258" s="4"/>
      <c r="VW258" s="4"/>
      <c r="VX258" s="4"/>
      <c r="VY258" s="5"/>
      <c r="VZ258" s="6"/>
      <c r="WA258" s="4"/>
      <c r="WB258" s="4"/>
      <c r="WC258" s="4"/>
      <c r="WD258" s="4"/>
      <c r="WE258" s="4"/>
      <c r="WF258" s="5"/>
      <c r="WG258" s="6"/>
      <c r="WH258" s="4"/>
      <c r="WI258" s="4"/>
      <c r="WJ258" s="4"/>
      <c r="WK258" s="4"/>
      <c r="WL258" s="4"/>
      <c r="WM258" s="5"/>
      <c r="WN258" s="6"/>
      <c r="WO258" s="4"/>
      <c r="WP258" s="4"/>
      <c r="WQ258" s="4"/>
      <c r="WR258" s="4"/>
      <c r="WS258" s="4"/>
      <c r="WT258" s="5"/>
      <c r="WU258" s="6"/>
      <c r="WV258" s="4"/>
      <c r="WW258" s="4"/>
      <c r="WX258" s="4"/>
      <c r="WY258" s="4"/>
      <c r="WZ258" s="4"/>
      <c r="XA258" s="5"/>
      <c r="XB258" s="6"/>
      <c r="XC258" s="4"/>
      <c r="XD258" s="4"/>
      <c r="XE258" s="4"/>
      <c r="XF258" s="4"/>
      <c r="XG258" s="4"/>
      <c r="XH258" s="5"/>
      <c r="XI258" s="6"/>
      <c r="XJ258" s="4"/>
      <c r="XK258" s="4"/>
      <c r="XL258" s="4"/>
      <c r="XM258" s="4"/>
      <c r="XN258" s="4"/>
      <c r="XO258" s="5"/>
      <c r="XP258" s="6"/>
      <c r="XQ258" s="4"/>
      <c r="XR258" s="4"/>
      <c r="XS258" s="4"/>
      <c r="XT258" s="4"/>
      <c r="XU258" s="4"/>
      <c r="XV258" s="5"/>
      <c r="XW258" s="6"/>
      <c r="XX258" s="4"/>
      <c r="XY258" s="4"/>
      <c r="XZ258" s="4"/>
      <c r="YA258" s="4"/>
      <c r="YB258" s="4"/>
      <c r="YC258" s="5"/>
      <c r="YD258" s="6"/>
      <c r="YE258" s="4"/>
      <c r="YF258" s="4"/>
      <c r="YG258" s="4"/>
      <c r="YH258" s="4"/>
      <c r="YI258" s="4"/>
      <c r="YJ258" s="5"/>
      <c r="YK258" s="6"/>
      <c r="YL258" s="4"/>
      <c r="YM258" s="4"/>
      <c r="YN258" s="7"/>
      <c r="YO258" s="8"/>
      <c r="YP258" s="8"/>
      <c r="YQ258" s="5"/>
      <c r="YR258" s="6"/>
      <c r="YS258" s="4"/>
      <c r="YT258" s="4"/>
      <c r="YU258" s="4"/>
      <c r="YV258" s="4"/>
      <c r="YW258" s="4"/>
      <c r="YX258" s="5"/>
      <c r="YY258" s="6"/>
      <c r="YZ258" s="4"/>
      <c r="ZA258" s="4"/>
      <c r="ZB258" s="4"/>
      <c r="ZC258" s="4"/>
      <c r="ZD258" s="4"/>
      <c r="ZE258" s="5"/>
      <c r="ZF258" s="6"/>
      <c r="ZG258" s="4"/>
      <c r="ZH258" s="4"/>
      <c r="ZI258" s="4"/>
      <c r="ZJ258" s="4"/>
      <c r="ZK258" s="4"/>
      <c r="ZL258" s="5"/>
      <c r="ZM258" s="6"/>
      <c r="ZN258" s="4"/>
      <c r="ZO258" s="4"/>
      <c r="ZP258" s="4"/>
      <c r="ZQ258" s="4"/>
      <c r="ZR258" s="4"/>
      <c r="ZS258" s="5"/>
      <c r="ZT258" s="6"/>
      <c r="ZU258" s="4"/>
      <c r="ZV258" s="4"/>
      <c r="ZW258" s="4"/>
      <c r="ZX258" s="4"/>
      <c r="ZY258" s="4"/>
      <c r="ZZ258" s="5"/>
      <c r="AAA258" s="6"/>
      <c r="AAB258" s="4"/>
      <c r="AAC258" s="4"/>
      <c r="AAD258" s="4"/>
      <c r="AAE258" s="4"/>
      <c r="AAF258" s="4"/>
      <c r="AAG258" s="5"/>
      <c r="AAH258" s="6"/>
      <c r="AAI258" s="7"/>
      <c r="AAJ258" s="7"/>
      <c r="AAK258" s="7"/>
      <c r="AAL258" s="8"/>
      <c r="AAM258" s="8"/>
      <c r="AAN258" s="5"/>
      <c r="AAO258" s="6"/>
      <c r="AAP258" s="4"/>
      <c r="AAQ258" s="4"/>
      <c r="AAR258" s="4"/>
      <c r="AAS258" s="4"/>
      <c r="AAT258" s="4"/>
      <c r="AAU258" s="5"/>
      <c r="AAV258" s="6"/>
      <c r="AAW258" s="4"/>
      <c r="AAX258" s="4"/>
      <c r="AAY258" s="4"/>
      <c r="AAZ258" s="4"/>
      <c r="ABA258" s="4"/>
      <c r="ABB258" s="5"/>
      <c r="ABC258" s="6"/>
      <c r="ABD258" s="4"/>
      <c r="ABE258" s="4"/>
      <c r="ABF258" s="4"/>
      <c r="ABG258" s="4"/>
      <c r="ABH258" s="4"/>
      <c r="ABI258" s="5"/>
      <c r="ABJ258" s="6"/>
      <c r="ABK258" s="4"/>
      <c r="ABL258" s="4"/>
      <c r="ABM258" s="4"/>
      <c r="ABN258" s="4"/>
      <c r="ABO258" s="4"/>
      <c r="ABP258" s="5"/>
      <c r="ABQ258" s="6"/>
      <c r="ABR258" s="4"/>
      <c r="ABS258" s="4"/>
      <c r="ABT258" s="4"/>
      <c r="ABU258" s="4"/>
      <c r="ABV258" s="4"/>
      <c r="ABW258" s="5"/>
      <c r="ABX258" s="6"/>
      <c r="ABY258" s="4"/>
      <c r="ABZ258" s="4"/>
      <c r="ACA258" s="4"/>
      <c r="ACB258" s="4"/>
      <c r="ACC258" s="4"/>
      <c r="ACD258" s="5"/>
      <c r="ACE258" s="6"/>
      <c r="ACF258" s="4"/>
      <c r="ACG258" s="4"/>
      <c r="ACH258" s="4"/>
      <c r="ACI258" s="4"/>
      <c r="ACJ258" s="4"/>
      <c r="ACK258" s="5"/>
      <c r="ACL258" s="6"/>
      <c r="ACM258" s="4"/>
      <c r="ACN258" s="4"/>
      <c r="ACO258" s="4"/>
      <c r="ACP258" s="4"/>
      <c r="ACQ258" s="4"/>
      <c r="ACR258" s="5"/>
      <c r="ACS258" s="6"/>
      <c r="ACT258" s="4"/>
      <c r="ACU258" s="4"/>
      <c r="ACV258" s="4"/>
      <c r="ACW258" s="4"/>
      <c r="ACX258" s="4"/>
      <c r="ACY258" s="5"/>
    </row>
    <row r="259" spans="1:805" x14ac:dyDescent="0.25">
      <c r="J259" s="12"/>
      <c r="K259" s="12"/>
      <c r="L259" s="12"/>
      <c r="LL259" s="6"/>
      <c r="LM259" s="4"/>
      <c r="LN259" s="4"/>
      <c r="LO259" s="4"/>
      <c r="LP259" s="4"/>
      <c r="LQ259" s="4"/>
      <c r="LR259" s="5"/>
      <c r="LS259" s="6"/>
      <c r="LT259" s="4"/>
      <c r="LU259" s="4"/>
      <c r="LV259" s="4"/>
      <c r="LW259" s="4"/>
      <c r="LX259" s="4"/>
      <c r="LY259" s="5"/>
      <c r="LZ259" s="6" t="s">
        <v>3213</v>
      </c>
      <c r="MA259" s="7" t="s">
        <v>3321</v>
      </c>
      <c r="MB259" s="7" t="s">
        <v>3635</v>
      </c>
      <c r="MC259" s="7" t="s">
        <v>3070</v>
      </c>
      <c r="MD259" s="8">
        <v>36974</v>
      </c>
      <c r="ME259" s="8">
        <v>36915</v>
      </c>
      <c r="MF259" s="8"/>
      <c r="MG259" s="5"/>
      <c r="MH259" s="6"/>
      <c r="MI259" s="4"/>
      <c r="MJ259" s="4"/>
      <c r="MK259" s="4"/>
      <c r="ML259" s="4"/>
      <c r="MM259" s="4"/>
      <c r="MN259" s="5"/>
      <c r="MO259" s="6"/>
      <c r="MP259" s="4"/>
      <c r="MQ259" s="4"/>
      <c r="MR259" s="4"/>
      <c r="MS259" s="4"/>
      <c r="MT259" s="4"/>
      <c r="MU259" s="5"/>
      <c r="MV259" s="6"/>
      <c r="MW259" s="4"/>
      <c r="MX259" s="4"/>
      <c r="MY259" s="4"/>
      <c r="MZ259" s="4"/>
      <c r="NA259" s="4"/>
      <c r="NB259" s="5"/>
      <c r="NC259" s="6"/>
      <c r="ND259" s="4"/>
      <c r="NE259" s="4"/>
      <c r="NF259" s="4"/>
      <c r="NG259" s="4"/>
      <c r="NH259" s="4"/>
      <c r="NI259" s="5"/>
      <c r="NJ259" s="6"/>
      <c r="NK259" s="4"/>
      <c r="NL259" s="4"/>
      <c r="NM259" s="4"/>
      <c r="NN259" s="4"/>
      <c r="NO259" s="4"/>
      <c r="NP259" s="5"/>
      <c r="NQ259" s="6"/>
      <c r="NR259" s="4"/>
      <c r="NS259" s="4"/>
      <c r="NT259" s="4"/>
      <c r="NU259" s="4"/>
      <c r="NV259" s="4"/>
      <c r="NW259" s="5"/>
      <c r="NX259" s="6"/>
      <c r="NY259" s="4"/>
      <c r="NZ259" s="4"/>
      <c r="OA259" s="4"/>
      <c r="OB259" s="4"/>
      <c r="OC259" s="4"/>
      <c r="OD259" s="5"/>
      <c r="OE259" s="6"/>
      <c r="OF259" s="4"/>
      <c r="OG259" s="4"/>
      <c r="OH259" s="4"/>
      <c r="OI259" s="4"/>
      <c r="OJ259" s="4"/>
      <c r="OK259" s="5"/>
      <c r="OL259" s="6"/>
      <c r="OM259" s="4"/>
      <c r="ON259" s="4"/>
      <c r="OO259" s="4"/>
      <c r="OP259" s="4"/>
      <c r="OQ259" s="4"/>
      <c r="OR259" s="5"/>
      <c r="OS259" s="6"/>
      <c r="OT259" s="4"/>
      <c r="OU259" s="4"/>
      <c r="OV259" s="4"/>
      <c r="OW259" s="4"/>
      <c r="OX259" s="4"/>
      <c r="OY259" s="5"/>
      <c r="OZ259" s="6" t="s">
        <v>3892</v>
      </c>
      <c r="PA259" s="7" t="s">
        <v>3891</v>
      </c>
      <c r="PB259" s="7"/>
      <c r="PC259" s="7" t="s">
        <v>3757</v>
      </c>
      <c r="PD259" s="8">
        <v>36976</v>
      </c>
      <c r="PE259" s="8">
        <v>36978</v>
      </c>
      <c r="PF259" s="5"/>
      <c r="PG259" s="6"/>
      <c r="PH259" s="4"/>
      <c r="PI259" s="4"/>
      <c r="PJ259" s="4"/>
      <c r="PK259" s="4"/>
      <c r="PL259" s="4"/>
      <c r="PM259" s="5"/>
      <c r="PN259" s="6"/>
      <c r="PO259" s="4"/>
      <c r="PP259" s="4"/>
      <c r="PQ259" s="4"/>
      <c r="PR259" s="4"/>
      <c r="PS259" s="4"/>
      <c r="PT259" s="5"/>
      <c r="PU259" s="6"/>
      <c r="PV259" s="4"/>
      <c r="PW259" s="4"/>
      <c r="PX259" s="4"/>
      <c r="PY259" s="4"/>
      <c r="PZ259" s="4"/>
      <c r="QA259" s="5"/>
      <c r="QB259" s="6"/>
      <c r="QC259" s="4"/>
      <c r="QD259" s="4"/>
      <c r="QE259" s="4"/>
      <c r="QF259" s="4"/>
      <c r="QG259" s="4"/>
      <c r="QH259" s="5"/>
      <c r="QI259" s="6"/>
      <c r="QJ259" s="4"/>
      <c r="QK259" s="4"/>
      <c r="QL259" s="4"/>
      <c r="QM259" s="4"/>
      <c r="QN259" s="4"/>
      <c r="QO259" s="5"/>
      <c r="QP259" s="6"/>
      <c r="QQ259" s="4"/>
      <c r="QR259" s="4"/>
      <c r="QS259" s="4"/>
      <c r="QT259" s="4"/>
      <c r="QU259" s="4"/>
      <c r="QV259" s="5"/>
      <c r="QW259" s="6"/>
      <c r="QX259" s="4"/>
      <c r="QY259" s="4"/>
      <c r="QZ259" s="4"/>
      <c r="RA259" s="4"/>
      <c r="RB259" s="4"/>
      <c r="RC259" s="5"/>
      <c r="RD259" s="6"/>
      <c r="RE259" s="4"/>
      <c r="RF259" s="4"/>
      <c r="RG259" s="4"/>
      <c r="RH259" s="4"/>
      <c r="RI259" s="4"/>
      <c r="RJ259" s="5"/>
      <c r="RK259" s="6"/>
      <c r="RL259" s="4"/>
      <c r="RM259" s="4"/>
      <c r="RN259" s="4"/>
      <c r="RO259" s="4"/>
      <c r="RP259" s="4"/>
      <c r="RQ259" s="5"/>
      <c r="RR259" s="6"/>
      <c r="RS259" s="4"/>
      <c r="RT259" s="4"/>
      <c r="RU259" s="4"/>
      <c r="RV259" s="4"/>
      <c r="RW259" s="4"/>
      <c r="RX259" s="5"/>
      <c r="RY259" s="6"/>
      <c r="RZ259" s="4"/>
      <c r="SA259" s="4"/>
      <c r="SB259" s="4"/>
      <c r="SC259" s="4"/>
      <c r="SD259" s="4"/>
      <c r="SE259" s="5"/>
      <c r="SF259" s="6"/>
      <c r="SG259" s="4"/>
      <c r="SH259" s="4"/>
      <c r="SI259" s="4"/>
      <c r="SJ259" s="4"/>
      <c r="SK259" s="4"/>
      <c r="SL259" s="5"/>
      <c r="SM259" s="6"/>
      <c r="SN259" s="4"/>
      <c r="SO259" s="4"/>
      <c r="SP259" s="4"/>
      <c r="SQ259" s="4"/>
      <c r="SR259" s="4"/>
      <c r="SS259" s="5"/>
      <c r="ST259" s="6"/>
      <c r="SU259" s="4"/>
      <c r="SV259" s="4"/>
      <c r="SW259" s="4"/>
      <c r="SX259" s="4"/>
      <c r="SY259" s="4"/>
      <c r="SZ259" s="5"/>
      <c r="TA259" s="6"/>
      <c r="TB259" s="4"/>
      <c r="TC259" s="4"/>
      <c r="TD259" s="4"/>
      <c r="TE259" s="4"/>
      <c r="TF259" s="4"/>
      <c r="TG259" s="5"/>
      <c r="TH259" s="6"/>
      <c r="TI259" s="4"/>
      <c r="TJ259" s="4"/>
      <c r="TK259" s="4"/>
      <c r="TL259" s="4"/>
      <c r="TM259" s="4"/>
      <c r="TN259" s="5"/>
      <c r="TO259" s="6"/>
      <c r="TP259" s="4"/>
      <c r="TQ259" s="4"/>
      <c r="TR259" s="4"/>
      <c r="TS259" s="4"/>
      <c r="TT259" s="4"/>
      <c r="TU259" s="5"/>
      <c r="TV259" s="6"/>
      <c r="TW259" s="4"/>
      <c r="TX259" s="4"/>
      <c r="TY259" s="4"/>
      <c r="TZ259" s="4"/>
      <c r="UA259" s="4"/>
      <c r="UB259" s="5"/>
      <c r="UC259" s="6"/>
      <c r="UD259" s="4"/>
      <c r="UE259" s="4"/>
      <c r="UF259" s="4"/>
      <c r="UG259" s="4"/>
      <c r="UH259" s="4"/>
      <c r="UI259" s="5"/>
      <c r="UJ259" s="6"/>
      <c r="UK259" s="4"/>
      <c r="UL259" s="4"/>
      <c r="UM259" s="4"/>
      <c r="UN259" s="4"/>
      <c r="UO259" s="4"/>
      <c r="UP259" s="5"/>
      <c r="UQ259" s="6"/>
      <c r="UR259" s="4"/>
      <c r="US259" s="4"/>
      <c r="UT259" s="4"/>
      <c r="UU259" s="4"/>
      <c r="UV259" s="4"/>
      <c r="UW259" s="5"/>
      <c r="UX259" s="6"/>
      <c r="UY259" s="4"/>
      <c r="UZ259" s="4"/>
      <c r="VA259" s="4"/>
      <c r="VB259" s="4"/>
      <c r="VC259" s="4"/>
      <c r="VD259" s="5"/>
      <c r="VE259" s="6"/>
      <c r="VF259" s="4"/>
      <c r="VG259" s="4"/>
      <c r="VH259" s="4"/>
      <c r="VI259" s="4"/>
      <c r="VJ259" s="4"/>
      <c r="VK259" s="5"/>
      <c r="VL259" s="6"/>
      <c r="VM259" s="4"/>
      <c r="VN259" s="4"/>
      <c r="VO259" s="4"/>
      <c r="VP259" s="4"/>
      <c r="VQ259" s="4"/>
      <c r="VR259" s="5"/>
      <c r="VS259" s="6"/>
      <c r="VT259" s="4"/>
      <c r="VU259" s="4"/>
      <c r="VV259" s="4"/>
      <c r="VW259" s="4"/>
      <c r="VX259" s="4"/>
      <c r="VY259" s="5"/>
      <c r="VZ259" s="6"/>
      <c r="WA259" s="4"/>
      <c r="WB259" s="4"/>
      <c r="WC259" s="4"/>
      <c r="WD259" s="4"/>
      <c r="WE259" s="4"/>
      <c r="WF259" s="5"/>
      <c r="WG259" s="6"/>
      <c r="WH259" s="4"/>
      <c r="WI259" s="4"/>
      <c r="WJ259" s="4"/>
      <c r="WK259" s="4"/>
      <c r="WL259" s="4"/>
      <c r="WM259" s="5"/>
      <c r="WN259" s="6"/>
      <c r="WO259" s="4"/>
      <c r="WP259" s="4"/>
      <c r="WQ259" s="4"/>
      <c r="WR259" s="4"/>
      <c r="WS259" s="4"/>
      <c r="WT259" s="5"/>
      <c r="WU259" s="6"/>
      <c r="WV259" s="4"/>
      <c r="WW259" s="4"/>
      <c r="WX259" s="4"/>
      <c r="WY259" s="4"/>
      <c r="WZ259" s="4"/>
      <c r="XA259" s="5"/>
      <c r="XB259" s="6"/>
      <c r="XC259" s="4"/>
      <c r="XD259" s="4"/>
      <c r="XE259" s="4"/>
      <c r="XF259" s="4"/>
      <c r="XG259" s="4"/>
      <c r="XH259" s="5"/>
      <c r="XI259" s="6"/>
      <c r="XJ259" s="4"/>
      <c r="XK259" s="4"/>
      <c r="XL259" s="4"/>
      <c r="XM259" s="4"/>
      <c r="XN259" s="4"/>
      <c r="XO259" s="5"/>
      <c r="XP259" s="6"/>
      <c r="XQ259" s="4"/>
      <c r="XR259" s="4"/>
      <c r="XS259" s="4"/>
      <c r="XT259" s="4"/>
      <c r="XU259" s="4"/>
      <c r="XV259" s="5"/>
      <c r="XW259" s="6"/>
      <c r="XX259" s="4"/>
      <c r="XY259" s="4"/>
      <c r="XZ259" s="4"/>
      <c r="YA259" s="4"/>
      <c r="YB259" s="4"/>
      <c r="YC259" s="5"/>
      <c r="YD259" s="6"/>
      <c r="YE259" s="4"/>
      <c r="YF259" s="4"/>
      <c r="YG259" s="4"/>
      <c r="YH259" s="4"/>
      <c r="YI259" s="4"/>
      <c r="YJ259" s="5"/>
      <c r="YK259" s="6"/>
      <c r="YL259" s="4"/>
      <c r="YM259" s="4"/>
      <c r="YN259" s="7"/>
      <c r="YO259" s="8"/>
      <c r="YP259" s="8"/>
      <c r="YQ259" s="5"/>
      <c r="YR259" s="6"/>
      <c r="YS259" s="4"/>
      <c r="YT259" s="4"/>
      <c r="YU259" s="4"/>
      <c r="YV259" s="4"/>
      <c r="YW259" s="4"/>
      <c r="YX259" s="5"/>
      <c r="YY259" s="6"/>
      <c r="YZ259" s="4"/>
      <c r="ZA259" s="4"/>
      <c r="ZB259" s="4"/>
      <c r="ZC259" s="4"/>
      <c r="ZD259" s="4"/>
      <c r="ZE259" s="5"/>
      <c r="ZF259" s="6"/>
      <c r="ZG259" s="4"/>
      <c r="ZH259" s="4"/>
      <c r="ZI259" s="4"/>
      <c r="ZJ259" s="4"/>
      <c r="ZK259" s="4"/>
      <c r="ZL259" s="5"/>
      <c r="ZM259" s="6"/>
      <c r="ZN259" s="4"/>
      <c r="ZO259" s="4"/>
      <c r="ZP259" s="4"/>
      <c r="ZQ259" s="4"/>
      <c r="ZR259" s="4"/>
      <c r="ZS259" s="5"/>
      <c r="ZT259" s="6"/>
      <c r="ZU259" s="4"/>
      <c r="ZV259" s="4"/>
      <c r="ZW259" s="4"/>
      <c r="ZX259" s="4"/>
      <c r="ZY259" s="4"/>
      <c r="ZZ259" s="5"/>
      <c r="AAA259" s="6"/>
      <c r="AAB259" s="4"/>
      <c r="AAC259" s="4"/>
      <c r="AAD259" s="4"/>
      <c r="AAE259" s="4"/>
      <c r="AAF259" s="4"/>
      <c r="AAG259" s="5"/>
      <c r="AAH259" s="6"/>
      <c r="AAI259" s="7"/>
      <c r="AAJ259" s="7"/>
      <c r="AAK259" s="7"/>
      <c r="AAL259" s="8"/>
      <c r="AAM259" s="8"/>
      <c r="AAN259" s="5"/>
      <c r="AAO259" s="6"/>
      <c r="AAP259" s="4"/>
      <c r="AAQ259" s="4"/>
      <c r="AAR259" s="4"/>
      <c r="AAS259" s="4"/>
      <c r="AAT259" s="4"/>
      <c r="AAU259" s="5"/>
      <c r="AAV259" s="6"/>
      <c r="AAW259" s="4"/>
      <c r="AAX259" s="4"/>
      <c r="AAY259" s="4"/>
      <c r="AAZ259" s="4"/>
      <c r="ABA259" s="4"/>
      <c r="ABB259" s="5"/>
      <c r="ABC259" s="6"/>
      <c r="ABD259" s="4"/>
      <c r="ABE259" s="4"/>
      <c r="ABF259" s="4"/>
      <c r="ABG259" s="4"/>
      <c r="ABH259" s="4"/>
      <c r="ABI259" s="5"/>
      <c r="ABJ259" s="6"/>
      <c r="ABK259" s="4"/>
      <c r="ABL259" s="4"/>
      <c r="ABM259" s="4"/>
      <c r="ABN259" s="4"/>
      <c r="ABO259" s="4"/>
      <c r="ABP259" s="5"/>
      <c r="ABQ259" s="6"/>
      <c r="ABR259" s="4"/>
      <c r="ABS259" s="4"/>
      <c r="ABT259" s="4"/>
      <c r="ABU259" s="4"/>
      <c r="ABV259" s="4"/>
      <c r="ABW259" s="5"/>
      <c r="ABX259" s="6"/>
      <c r="ABY259" s="4"/>
      <c r="ABZ259" s="4"/>
      <c r="ACA259" s="4"/>
      <c r="ACB259" s="4"/>
      <c r="ACC259" s="4"/>
      <c r="ACD259" s="5"/>
      <c r="ACE259" s="6"/>
      <c r="ACF259" s="4"/>
      <c r="ACG259" s="4"/>
      <c r="ACH259" s="4"/>
      <c r="ACI259" s="4"/>
      <c r="ACJ259" s="4"/>
      <c r="ACK259" s="5"/>
      <c r="ACL259" s="6"/>
      <c r="ACM259" s="4"/>
      <c r="ACN259" s="4"/>
      <c r="ACO259" s="4"/>
      <c r="ACP259" s="4"/>
      <c r="ACQ259" s="4"/>
      <c r="ACR259" s="5"/>
      <c r="ACS259" s="6"/>
      <c r="ACT259" s="4"/>
      <c r="ACU259" s="4"/>
      <c r="ACV259" s="4"/>
      <c r="ACW259" s="4"/>
      <c r="ACX259" s="4"/>
      <c r="ACY259" s="5"/>
    </row>
    <row r="260" spans="1:805" x14ac:dyDescent="0.25">
      <c r="B260" s="29">
        <v>4000341</v>
      </c>
      <c r="C260">
        <v>30</v>
      </c>
      <c r="D260" t="s">
        <v>2121</v>
      </c>
      <c r="E260" s="23"/>
      <c r="F260" s="23">
        <v>0</v>
      </c>
      <c r="I260">
        <v>1</v>
      </c>
      <c r="J260" s="19">
        <v>37284</v>
      </c>
      <c r="K260" s="19" t="s">
        <v>4160</v>
      </c>
      <c r="L260" s="19"/>
      <c r="LL260" s="6"/>
      <c r="LM260" s="4"/>
      <c r="LN260" s="4"/>
      <c r="LO260" s="4"/>
      <c r="LP260" s="4"/>
      <c r="LQ260" s="4"/>
      <c r="LR260" s="5"/>
      <c r="LS260" s="6"/>
      <c r="LT260" s="4"/>
      <c r="LU260" s="4"/>
      <c r="LV260" s="4"/>
      <c r="LW260" s="4"/>
      <c r="LX260" s="4"/>
      <c r="LY260" s="5"/>
      <c r="LZ260" s="6" t="s">
        <v>1889</v>
      </c>
      <c r="MA260" s="7" t="s">
        <v>3218</v>
      </c>
      <c r="MB260" s="4"/>
      <c r="MC260" s="4"/>
      <c r="MD260" s="8"/>
      <c r="ME260" s="4"/>
      <c r="MF260" s="4"/>
      <c r="MG260" s="5" t="s">
        <v>3959</v>
      </c>
      <c r="MH260" s="6"/>
      <c r="MI260" s="4"/>
      <c r="MJ260" s="4"/>
      <c r="MK260" s="4"/>
      <c r="ML260" s="4"/>
      <c r="MM260" s="4"/>
      <c r="MN260" s="5"/>
      <c r="MO260" s="6"/>
      <c r="MP260" s="4"/>
      <c r="MQ260" s="4"/>
      <c r="MR260" s="4"/>
      <c r="MS260" s="4"/>
      <c r="MT260" s="4"/>
      <c r="MU260" s="5"/>
      <c r="MV260" s="6"/>
      <c r="MW260" s="4"/>
      <c r="MX260" s="4"/>
      <c r="MY260" s="4"/>
      <c r="MZ260" s="4"/>
      <c r="NA260" s="4"/>
      <c r="NB260" s="5"/>
      <c r="NC260" s="6"/>
      <c r="ND260" s="4"/>
      <c r="NE260" s="4"/>
      <c r="NF260" s="4"/>
      <c r="NG260" s="4"/>
      <c r="NH260" s="4"/>
      <c r="NI260" s="5"/>
      <c r="NJ260" s="6"/>
      <c r="NK260" s="4"/>
      <c r="NL260" s="4"/>
      <c r="NM260" s="4"/>
      <c r="NN260" s="4"/>
      <c r="NO260" s="4"/>
      <c r="NP260" s="5"/>
      <c r="NQ260" s="6"/>
      <c r="NR260" s="4"/>
      <c r="NS260" s="4"/>
      <c r="NT260" s="4"/>
      <c r="NU260" s="4"/>
      <c r="NV260" s="4"/>
      <c r="NW260" s="5"/>
      <c r="NX260" s="6"/>
      <c r="NY260" s="4"/>
      <c r="NZ260" s="4"/>
      <c r="OA260" s="4"/>
      <c r="OB260" s="4"/>
      <c r="OC260" s="4"/>
      <c r="OD260" s="5"/>
      <c r="OE260" s="6"/>
      <c r="OF260" s="4"/>
      <c r="OG260" s="4"/>
      <c r="OH260" s="4"/>
      <c r="OI260" s="4"/>
      <c r="OJ260" s="4"/>
      <c r="OK260" s="5"/>
      <c r="OL260" s="6"/>
      <c r="OM260" s="4"/>
      <c r="ON260" s="4"/>
      <c r="OO260" s="4"/>
      <c r="OP260" s="4"/>
      <c r="OQ260" s="4"/>
      <c r="OR260" s="5"/>
      <c r="OS260" s="6"/>
      <c r="OT260" s="4"/>
      <c r="OU260" s="4"/>
      <c r="OV260" s="4"/>
      <c r="OW260" s="4"/>
      <c r="OX260" s="4"/>
      <c r="OY260" s="5"/>
      <c r="OZ260" s="6"/>
      <c r="PA260" s="4"/>
      <c r="PB260" s="4"/>
      <c r="PC260" s="4"/>
      <c r="PD260" s="4"/>
      <c r="PE260" s="4"/>
      <c r="PF260" s="5"/>
      <c r="PG260" s="6"/>
      <c r="PH260" s="4"/>
      <c r="PI260" s="4"/>
      <c r="PJ260" s="4"/>
      <c r="PK260" s="4"/>
      <c r="PL260" s="4"/>
      <c r="PM260" s="5"/>
      <c r="PN260" s="6"/>
      <c r="PO260" s="4"/>
      <c r="PP260" s="4"/>
      <c r="PQ260" s="4"/>
      <c r="PR260" s="4"/>
      <c r="PS260" s="4"/>
      <c r="PT260" s="5"/>
      <c r="PU260" s="6"/>
      <c r="PV260" s="4"/>
      <c r="PW260" s="4"/>
      <c r="PX260" s="4"/>
      <c r="PY260" s="4"/>
      <c r="PZ260" s="4"/>
      <c r="QA260" s="5"/>
      <c r="QB260" s="6"/>
      <c r="QC260" s="4"/>
      <c r="QD260" s="4"/>
      <c r="QE260" s="4"/>
      <c r="QF260" s="4"/>
      <c r="QG260" s="4"/>
      <c r="QH260" s="5"/>
      <c r="QI260" s="6"/>
      <c r="QJ260" s="4"/>
      <c r="QK260" s="4"/>
      <c r="QL260" s="4"/>
      <c r="QM260" s="4"/>
      <c r="QN260" s="4"/>
      <c r="QO260" s="5"/>
      <c r="QP260" s="6"/>
      <c r="QQ260" s="4"/>
      <c r="QR260" s="4"/>
      <c r="QS260" s="4"/>
      <c r="QT260" s="4"/>
      <c r="QU260" s="4"/>
      <c r="QV260" s="5"/>
      <c r="QW260" s="6"/>
      <c r="QX260" s="4"/>
      <c r="QY260" s="4"/>
      <c r="QZ260" s="4"/>
      <c r="RA260" s="4"/>
      <c r="RB260" s="4"/>
      <c r="RC260" s="5"/>
      <c r="RD260" s="6"/>
      <c r="RE260" s="4"/>
      <c r="RF260" s="4"/>
      <c r="RG260" s="4"/>
      <c r="RH260" s="4"/>
      <c r="RI260" s="4"/>
      <c r="RJ260" s="5"/>
      <c r="RK260" s="6"/>
      <c r="RL260" s="4"/>
      <c r="RM260" s="4"/>
      <c r="RN260" s="4"/>
      <c r="RO260" s="4"/>
      <c r="RP260" s="4"/>
      <c r="RQ260" s="5"/>
      <c r="RR260" s="6"/>
      <c r="RS260" s="4"/>
      <c r="RT260" s="4"/>
      <c r="RU260" s="4"/>
      <c r="RV260" s="4"/>
      <c r="RW260" s="4"/>
      <c r="RX260" s="5"/>
      <c r="RY260" s="6"/>
      <c r="RZ260" s="4"/>
      <c r="SA260" s="4"/>
      <c r="SB260" s="4"/>
      <c r="SC260" s="4"/>
      <c r="SD260" s="4"/>
      <c r="SE260" s="5"/>
      <c r="SF260" s="6"/>
      <c r="SG260" s="4"/>
      <c r="SH260" s="4"/>
      <c r="SI260" s="4"/>
      <c r="SJ260" s="4"/>
      <c r="SK260" s="4"/>
      <c r="SL260" s="5"/>
      <c r="SM260" s="6"/>
      <c r="SN260" s="4"/>
      <c r="SO260" s="4"/>
      <c r="SP260" s="4"/>
      <c r="SQ260" s="4"/>
      <c r="SR260" s="4"/>
      <c r="SS260" s="5"/>
      <c r="ST260" s="6"/>
      <c r="SU260" s="4"/>
      <c r="SV260" s="4"/>
      <c r="SW260" s="4"/>
      <c r="SX260" s="4"/>
      <c r="SY260" s="4"/>
      <c r="SZ260" s="5"/>
      <c r="TA260" s="6"/>
      <c r="TB260" s="4"/>
      <c r="TC260" s="4"/>
      <c r="TD260" s="4"/>
      <c r="TE260" s="4"/>
      <c r="TF260" s="4"/>
      <c r="TG260" s="5"/>
      <c r="TH260" s="6"/>
      <c r="TI260" s="4"/>
      <c r="TJ260" s="4"/>
      <c r="TK260" s="4"/>
      <c r="TL260" s="4"/>
      <c r="TM260" s="4"/>
      <c r="TN260" s="5"/>
      <c r="TO260" s="6"/>
      <c r="TP260" s="4"/>
      <c r="TQ260" s="4"/>
      <c r="TR260" s="4"/>
      <c r="TS260" s="4"/>
      <c r="TT260" s="4"/>
      <c r="TU260" s="5"/>
      <c r="TV260" s="6"/>
      <c r="TW260" s="4"/>
      <c r="TX260" s="4"/>
      <c r="TY260" s="4"/>
      <c r="TZ260" s="4"/>
      <c r="UA260" s="4"/>
      <c r="UB260" s="5"/>
      <c r="UC260" s="6"/>
      <c r="UD260" s="4"/>
      <c r="UE260" s="4"/>
      <c r="UF260" s="4"/>
      <c r="UG260" s="4"/>
      <c r="UH260" s="4"/>
      <c r="UI260" s="5"/>
      <c r="UJ260" s="6"/>
      <c r="UK260" s="4"/>
      <c r="UL260" s="4"/>
      <c r="UM260" s="4"/>
      <c r="UN260" s="4"/>
      <c r="UO260" s="4"/>
      <c r="UP260" s="5"/>
      <c r="UQ260" s="6"/>
      <c r="UR260" s="4"/>
      <c r="US260" s="4"/>
      <c r="UT260" s="4"/>
      <c r="UU260" s="4"/>
      <c r="UV260" s="4"/>
      <c r="UW260" s="5"/>
      <c r="UX260" s="6"/>
      <c r="UY260" s="4"/>
      <c r="UZ260" s="4"/>
      <c r="VA260" s="4"/>
      <c r="VB260" s="4"/>
      <c r="VC260" s="4"/>
      <c r="VD260" s="5"/>
      <c r="VE260" s="6" t="s">
        <v>3557</v>
      </c>
      <c r="VF260" s="4" t="s">
        <v>3708</v>
      </c>
      <c r="VG260" s="4"/>
      <c r="VH260" s="4"/>
      <c r="VI260" s="4"/>
      <c r="VJ260" s="4"/>
      <c r="VK260" s="5" t="s">
        <v>4161</v>
      </c>
      <c r="VL260" s="6"/>
      <c r="VM260" s="4"/>
      <c r="VN260" s="4"/>
      <c r="VO260" s="4"/>
      <c r="VP260" s="4"/>
      <c r="VQ260" s="4"/>
      <c r="VR260" s="5"/>
      <c r="VS260" s="6"/>
      <c r="VT260" s="4"/>
      <c r="VU260" s="4"/>
      <c r="VV260" s="4"/>
      <c r="VW260" s="4"/>
      <c r="VX260" s="4"/>
      <c r="VY260" s="5"/>
      <c r="VZ260" s="6"/>
      <c r="WA260" s="4"/>
      <c r="WB260" s="4"/>
      <c r="WC260" s="4"/>
      <c r="WD260" s="4"/>
      <c r="WE260" s="4"/>
      <c r="WF260" s="5"/>
      <c r="WG260" s="6"/>
      <c r="WH260" s="4"/>
      <c r="WI260" s="4"/>
      <c r="WJ260" s="4"/>
      <c r="WK260" s="4"/>
      <c r="WL260" s="4"/>
      <c r="WM260" s="5"/>
      <c r="WN260" s="6"/>
      <c r="WO260" s="4"/>
      <c r="WP260" s="4"/>
      <c r="WQ260" s="4"/>
      <c r="WR260" s="4"/>
      <c r="WS260" s="4"/>
      <c r="WT260" s="5"/>
      <c r="WU260" s="6"/>
      <c r="WV260" s="4"/>
      <c r="WW260" s="4"/>
      <c r="WX260" s="4"/>
      <c r="WY260" s="4"/>
      <c r="WZ260" s="4"/>
      <c r="XA260" s="5"/>
      <c r="XB260" s="6"/>
      <c r="XC260" s="4"/>
      <c r="XD260" s="4"/>
      <c r="XE260" s="4"/>
      <c r="XF260" s="4"/>
      <c r="XG260" s="4"/>
      <c r="XH260" s="5"/>
      <c r="XI260" s="6"/>
      <c r="XJ260" s="4"/>
      <c r="XK260" s="4"/>
      <c r="XL260" s="4"/>
      <c r="XM260" s="4"/>
      <c r="XN260" s="4"/>
      <c r="XO260" s="5"/>
      <c r="XP260" s="6"/>
      <c r="XQ260" s="4"/>
      <c r="XR260" s="4"/>
      <c r="XS260" s="4"/>
      <c r="XT260" s="4"/>
      <c r="XU260" s="4"/>
      <c r="XV260" s="5"/>
      <c r="XW260" s="6"/>
      <c r="XX260" s="4"/>
      <c r="XY260" s="4"/>
      <c r="XZ260" s="4"/>
      <c r="YA260" s="4"/>
      <c r="YB260" s="4"/>
      <c r="YC260" s="5"/>
      <c r="YD260" s="6"/>
      <c r="YE260" s="4"/>
      <c r="YF260" s="4"/>
      <c r="YG260" s="4"/>
      <c r="YH260" s="4"/>
      <c r="YI260" s="4"/>
      <c r="YJ260" s="5"/>
      <c r="YK260" s="6"/>
      <c r="YL260" s="4"/>
      <c r="YM260" s="4"/>
      <c r="YN260" s="4"/>
      <c r="YO260" s="4"/>
      <c r="YP260" s="4"/>
      <c r="YQ260" s="5"/>
      <c r="YR260" s="6"/>
      <c r="YS260" s="4"/>
      <c r="YT260" s="4"/>
      <c r="YU260" s="4"/>
      <c r="YV260" s="4"/>
      <c r="YW260" s="4"/>
      <c r="YX260" s="5"/>
      <c r="YY260" s="6"/>
      <c r="YZ260" s="4"/>
      <c r="ZA260" s="4"/>
      <c r="ZB260" s="4"/>
      <c r="ZC260" s="4"/>
      <c r="ZD260" s="4"/>
      <c r="ZE260" s="5"/>
      <c r="ZF260" s="6"/>
      <c r="ZG260" s="4"/>
      <c r="ZH260" s="4"/>
      <c r="ZI260" s="4"/>
      <c r="ZJ260" s="4"/>
      <c r="ZK260" s="4"/>
      <c r="ZL260" s="5"/>
      <c r="ZM260" s="6"/>
      <c r="ZN260" s="4"/>
      <c r="ZO260" s="4"/>
      <c r="ZP260" s="4"/>
      <c r="ZQ260" s="4"/>
      <c r="ZR260" s="4"/>
      <c r="ZS260" s="5"/>
      <c r="ZT260" s="6"/>
      <c r="ZU260" s="4"/>
      <c r="ZV260" s="4"/>
      <c r="ZW260" s="4"/>
      <c r="ZX260" s="4"/>
      <c r="ZY260" s="4"/>
      <c r="ZZ260" s="5"/>
      <c r="AAA260" s="6"/>
      <c r="AAB260" s="4"/>
      <c r="AAC260" s="4"/>
      <c r="AAD260" s="4"/>
      <c r="AAE260" s="4"/>
      <c r="AAF260" s="4"/>
      <c r="AAG260" s="5"/>
      <c r="AAH260" s="6"/>
      <c r="AAI260" s="4"/>
      <c r="AAJ260" s="4"/>
      <c r="AAK260" s="4"/>
      <c r="AAL260" s="4"/>
      <c r="AAM260" s="4"/>
      <c r="AAN260" s="5"/>
      <c r="AAO260" s="6"/>
      <c r="AAP260" s="4"/>
      <c r="AAQ260" s="4"/>
      <c r="AAR260" s="4"/>
      <c r="AAS260" s="4"/>
      <c r="AAT260" s="4"/>
      <c r="AAU260" s="5"/>
      <c r="AAV260" s="6"/>
      <c r="AAW260" s="4"/>
      <c r="AAX260" s="4"/>
      <c r="AAY260" s="4"/>
      <c r="AAZ260" s="4"/>
      <c r="ABA260" s="4"/>
      <c r="ABB260" s="5"/>
      <c r="ABC260" s="6"/>
      <c r="ABD260" s="4"/>
      <c r="ABE260" s="4"/>
      <c r="ABF260" s="4"/>
      <c r="ABG260" s="4"/>
      <c r="ABH260" s="4"/>
      <c r="ABI260" s="5"/>
      <c r="ABJ260" s="6"/>
      <c r="ABK260" s="4"/>
      <c r="ABL260" s="4"/>
      <c r="ABM260" s="4"/>
      <c r="ABN260" s="4"/>
      <c r="ABO260" s="4"/>
      <c r="ABP260" s="5"/>
      <c r="ABQ260" s="6"/>
      <c r="ABR260" s="4"/>
      <c r="ABS260" s="4"/>
      <c r="ABT260" s="4"/>
      <c r="ABU260" s="4"/>
      <c r="ABV260" s="4"/>
      <c r="ABW260" s="5"/>
      <c r="ABX260" s="6"/>
      <c r="ABY260" s="4"/>
      <c r="ABZ260" s="4"/>
      <c r="ACA260" s="4"/>
      <c r="ACB260" s="4"/>
      <c r="ACC260" s="4"/>
      <c r="ACD260" s="5"/>
      <c r="ACE260" s="6"/>
      <c r="ACF260" s="4"/>
      <c r="ACG260" s="4"/>
      <c r="ACH260" s="4"/>
      <c r="ACI260" s="4"/>
      <c r="ACJ260" s="4"/>
      <c r="ACK260" s="5"/>
      <c r="ACL260" s="6"/>
      <c r="ACM260" s="4"/>
      <c r="ACN260" s="4"/>
      <c r="ACO260" s="4"/>
      <c r="ACP260" s="4"/>
      <c r="ACQ260" s="4"/>
      <c r="ACR260" s="5"/>
      <c r="ACS260" s="6"/>
      <c r="ACT260" s="4"/>
      <c r="ACU260" s="4"/>
      <c r="ACV260" s="4"/>
      <c r="ACW260" s="4"/>
      <c r="ACX260" s="4"/>
      <c r="ACY260" s="5"/>
    </row>
    <row r="261" spans="1:805" x14ac:dyDescent="0.25">
      <c r="E261" s="23"/>
      <c r="J261" s="12"/>
      <c r="K261" s="12"/>
      <c r="L261" s="12"/>
      <c r="LL261" s="6"/>
      <c r="LM261" s="4"/>
      <c r="LN261" s="4"/>
      <c r="LO261" s="4"/>
      <c r="LP261" s="4"/>
      <c r="LQ261" s="4"/>
      <c r="LR261" s="5"/>
      <c r="LS261" s="6"/>
      <c r="LT261" s="4"/>
      <c r="LU261" s="4"/>
      <c r="LV261" s="4"/>
      <c r="LW261" s="4"/>
      <c r="LX261" s="4"/>
      <c r="LY261" s="5"/>
      <c r="LZ261" s="6" t="s">
        <v>3481</v>
      </c>
      <c r="MA261" s="7" t="s">
        <v>3481</v>
      </c>
      <c r="MB261" s="4"/>
      <c r="MC261" s="4"/>
      <c r="MD261" s="8"/>
      <c r="ME261" s="4"/>
      <c r="MF261" s="4" t="s">
        <v>3787</v>
      </c>
      <c r="MG261" s="5" t="s">
        <v>3960</v>
      </c>
      <c r="MH261" s="6"/>
      <c r="MI261" s="4"/>
      <c r="MJ261" s="4"/>
      <c r="MK261" s="4"/>
      <c r="ML261" s="4"/>
      <c r="MM261" s="4"/>
      <c r="MN261" s="5"/>
      <c r="MO261" s="6"/>
      <c r="MP261" s="4"/>
      <c r="MQ261" s="4"/>
      <c r="MR261" s="4"/>
      <c r="MS261" s="4"/>
      <c r="MT261" s="4"/>
      <c r="MU261" s="5"/>
      <c r="MV261" s="6"/>
      <c r="MW261" s="4"/>
      <c r="MX261" s="4"/>
      <c r="MY261" s="4"/>
      <c r="MZ261" s="4"/>
      <c r="NA261" s="4"/>
      <c r="NB261" s="5"/>
      <c r="NC261" s="6"/>
      <c r="ND261" s="4"/>
      <c r="NE261" s="4"/>
      <c r="NF261" s="4"/>
      <c r="NG261" s="4"/>
      <c r="NH261" s="4"/>
      <c r="NI261" s="5"/>
      <c r="NJ261" s="6"/>
      <c r="NK261" s="4"/>
      <c r="NL261" s="4"/>
      <c r="NM261" s="4"/>
      <c r="NN261" s="4"/>
      <c r="NO261" s="4"/>
      <c r="NP261" s="5"/>
      <c r="NQ261" s="6"/>
      <c r="NR261" s="4"/>
      <c r="NS261" s="4"/>
      <c r="NT261" s="4"/>
      <c r="NU261" s="4"/>
      <c r="NV261" s="4"/>
      <c r="NW261" s="5"/>
      <c r="NX261" s="6"/>
      <c r="NY261" s="4"/>
      <c r="NZ261" s="4"/>
      <c r="OA261" s="4"/>
      <c r="OB261" s="4"/>
      <c r="OC261" s="4"/>
      <c r="OD261" s="5"/>
      <c r="OE261" s="6"/>
      <c r="OF261" s="4"/>
      <c r="OG261" s="4"/>
      <c r="OH261" s="4"/>
      <c r="OI261" s="4"/>
      <c r="OJ261" s="4"/>
      <c r="OK261" s="5"/>
      <c r="OL261" s="6"/>
      <c r="OM261" s="4"/>
      <c r="ON261" s="4"/>
      <c r="OO261" s="4"/>
      <c r="OP261" s="4"/>
      <c r="OQ261" s="4"/>
      <c r="OR261" s="5"/>
      <c r="OS261" s="6"/>
      <c r="OT261" s="4"/>
      <c r="OU261" s="4"/>
      <c r="OV261" s="4"/>
      <c r="OW261" s="4"/>
      <c r="OX261" s="4"/>
      <c r="OY261" s="5"/>
      <c r="OZ261" s="6"/>
      <c r="PA261" s="4"/>
      <c r="PB261" s="4"/>
      <c r="PC261" s="4"/>
      <c r="PD261" s="4"/>
      <c r="PE261" s="4"/>
      <c r="PF261" s="5"/>
      <c r="PG261" s="6"/>
      <c r="PH261" s="4"/>
      <c r="PI261" s="4"/>
      <c r="PJ261" s="4"/>
      <c r="PK261" s="4"/>
      <c r="PL261" s="4"/>
      <c r="PM261" s="5"/>
      <c r="PN261" s="6"/>
      <c r="PO261" s="4"/>
      <c r="PP261" s="4"/>
      <c r="PQ261" s="4"/>
      <c r="PR261" s="4"/>
      <c r="PS261" s="4"/>
      <c r="PT261" s="5"/>
      <c r="PU261" s="6"/>
      <c r="PV261" s="4"/>
      <c r="PW261" s="4"/>
      <c r="PX261" s="4"/>
      <c r="PY261" s="4"/>
      <c r="PZ261" s="4"/>
      <c r="QA261" s="5"/>
      <c r="QB261" s="6"/>
      <c r="QC261" s="4"/>
      <c r="QD261" s="4"/>
      <c r="QE261" s="4"/>
      <c r="QF261" s="4"/>
      <c r="QG261" s="4"/>
      <c r="QH261" s="5"/>
      <c r="QI261" s="6"/>
      <c r="QJ261" s="4"/>
      <c r="QK261" s="4"/>
      <c r="QL261" s="4"/>
      <c r="QM261" s="4"/>
      <c r="QN261" s="4"/>
      <c r="QO261" s="5"/>
      <c r="QP261" s="6"/>
      <c r="QQ261" s="4"/>
      <c r="QR261" s="4"/>
      <c r="QS261" s="4"/>
      <c r="QT261" s="4"/>
      <c r="QU261" s="4"/>
      <c r="QV261" s="5"/>
      <c r="QW261" s="6"/>
      <c r="QX261" s="4"/>
      <c r="QY261" s="4"/>
      <c r="QZ261" s="4"/>
      <c r="RA261" s="4"/>
      <c r="RB261" s="4"/>
      <c r="RC261" s="5"/>
      <c r="RD261" s="6"/>
      <c r="RE261" s="4"/>
      <c r="RF261" s="4"/>
      <c r="RG261" s="4"/>
      <c r="RH261" s="4"/>
      <c r="RI261" s="4"/>
      <c r="RJ261" s="5"/>
      <c r="RK261" s="6"/>
      <c r="RL261" s="4"/>
      <c r="RM261" s="4"/>
      <c r="RN261" s="4"/>
      <c r="RO261" s="4"/>
      <c r="RP261" s="4"/>
      <c r="RQ261" s="5"/>
      <c r="RR261" s="6"/>
      <c r="RS261" s="4"/>
      <c r="RT261" s="4"/>
      <c r="RU261" s="4"/>
      <c r="RV261" s="4"/>
      <c r="RW261" s="4"/>
      <c r="RX261" s="5"/>
      <c r="RY261" s="6"/>
      <c r="RZ261" s="4"/>
      <c r="SA261" s="4"/>
      <c r="SB261" s="4"/>
      <c r="SC261" s="4"/>
      <c r="SD261" s="4"/>
      <c r="SE261" s="5"/>
      <c r="SF261" s="6"/>
      <c r="SG261" s="4"/>
      <c r="SH261" s="4"/>
      <c r="SI261" s="4"/>
      <c r="SJ261" s="4"/>
      <c r="SK261" s="4"/>
      <c r="SL261" s="5"/>
      <c r="SM261" s="6"/>
      <c r="SN261" s="4"/>
      <c r="SO261" s="4"/>
      <c r="SP261" s="4"/>
      <c r="SQ261" s="4"/>
      <c r="SR261" s="4"/>
      <c r="SS261" s="5"/>
      <c r="ST261" s="6"/>
      <c r="SU261" s="4"/>
      <c r="SV261" s="4"/>
      <c r="SW261" s="4"/>
      <c r="SX261" s="4"/>
      <c r="SY261" s="4"/>
      <c r="SZ261" s="5"/>
      <c r="TA261" s="6"/>
      <c r="TB261" s="4"/>
      <c r="TC261" s="4"/>
      <c r="TD261" s="4"/>
      <c r="TE261" s="4"/>
      <c r="TF261" s="4"/>
      <c r="TG261" s="5"/>
      <c r="TH261" s="6"/>
      <c r="TI261" s="4"/>
      <c r="TJ261" s="4"/>
      <c r="TK261" s="4"/>
      <c r="TL261" s="4"/>
      <c r="TM261" s="4"/>
      <c r="TN261" s="5"/>
      <c r="TO261" s="6"/>
      <c r="TP261" s="4"/>
      <c r="TQ261" s="4"/>
      <c r="TR261" s="4"/>
      <c r="TS261" s="4"/>
      <c r="TT261" s="4"/>
      <c r="TU261" s="5"/>
      <c r="TV261" s="6"/>
      <c r="TW261" s="4"/>
      <c r="TX261" s="4"/>
      <c r="TY261" s="4"/>
      <c r="TZ261" s="4"/>
      <c r="UA261" s="4"/>
      <c r="UB261" s="5"/>
      <c r="UC261" s="6"/>
      <c r="UD261" s="4"/>
      <c r="UE261" s="4"/>
      <c r="UF261" s="4"/>
      <c r="UG261" s="4"/>
      <c r="UH261" s="4"/>
      <c r="UI261" s="5"/>
      <c r="UJ261" s="6"/>
      <c r="UK261" s="4"/>
      <c r="UL261" s="4"/>
      <c r="UM261" s="4"/>
      <c r="UN261" s="4"/>
      <c r="UO261" s="4"/>
      <c r="UP261" s="5"/>
      <c r="UQ261" s="6"/>
      <c r="UR261" s="4"/>
      <c r="US261" s="4"/>
      <c r="UT261" s="4"/>
      <c r="UU261" s="4"/>
      <c r="UV261" s="4"/>
      <c r="UW261" s="5"/>
      <c r="UX261" s="6"/>
      <c r="UY261" s="4"/>
      <c r="UZ261" s="4"/>
      <c r="VA261" s="4"/>
      <c r="VB261" s="4"/>
      <c r="VC261" s="4"/>
      <c r="VD261" s="5"/>
      <c r="VE261" s="6"/>
      <c r="VF261" s="4"/>
      <c r="VG261" s="4"/>
      <c r="VH261" s="4"/>
      <c r="VI261" s="4"/>
      <c r="VJ261" s="4"/>
      <c r="VK261" s="5"/>
      <c r="VL261" s="6"/>
      <c r="VM261" s="4"/>
      <c r="VN261" s="4"/>
      <c r="VO261" s="4"/>
      <c r="VP261" s="4"/>
      <c r="VQ261" s="4"/>
      <c r="VR261" s="5"/>
      <c r="VS261" s="6"/>
      <c r="VT261" s="4"/>
      <c r="VU261" s="4"/>
      <c r="VV261" s="4"/>
      <c r="VW261" s="4"/>
      <c r="VX261" s="4"/>
      <c r="VY261" s="5"/>
      <c r="VZ261" s="6"/>
      <c r="WA261" s="4"/>
      <c r="WB261" s="4"/>
      <c r="WC261" s="4"/>
      <c r="WD261" s="4"/>
      <c r="WE261" s="4"/>
      <c r="WF261" s="5"/>
      <c r="WG261" s="6"/>
      <c r="WH261" s="4"/>
      <c r="WI261" s="4"/>
      <c r="WJ261" s="4"/>
      <c r="WK261" s="4"/>
      <c r="WL261" s="4"/>
      <c r="WM261" s="5"/>
      <c r="WN261" s="6"/>
      <c r="WO261" s="4"/>
      <c r="WP261" s="4"/>
      <c r="WQ261" s="4"/>
      <c r="WR261" s="4"/>
      <c r="WS261" s="4"/>
      <c r="WT261" s="5"/>
      <c r="WU261" s="6"/>
      <c r="WV261" s="4"/>
      <c r="WW261" s="4"/>
      <c r="WX261" s="4"/>
      <c r="WY261" s="4"/>
      <c r="WZ261" s="4"/>
      <c r="XA261" s="5"/>
      <c r="XB261" s="6"/>
      <c r="XC261" s="4"/>
      <c r="XD261" s="4"/>
      <c r="XE261" s="4"/>
      <c r="XF261" s="4"/>
      <c r="XG261" s="4"/>
      <c r="XH261" s="5"/>
      <c r="XI261" s="6"/>
      <c r="XJ261" s="4"/>
      <c r="XK261" s="4"/>
      <c r="XL261" s="4"/>
      <c r="XM261" s="4"/>
      <c r="XN261" s="4"/>
      <c r="XO261" s="5"/>
      <c r="XP261" s="6"/>
      <c r="XQ261" s="4"/>
      <c r="XR261" s="4"/>
      <c r="XS261" s="4"/>
      <c r="XT261" s="4"/>
      <c r="XU261" s="4"/>
      <c r="XV261" s="5"/>
      <c r="XW261" s="6"/>
      <c r="XX261" s="4"/>
      <c r="XY261" s="4"/>
      <c r="XZ261" s="4"/>
      <c r="YA261" s="4"/>
      <c r="YB261" s="4"/>
      <c r="YC261" s="5"/>
      <c r="YD261" s="6"/>
      <c r="YE261" s="4"/>
      <c r="YF261" s="4"/>
      <c r="YG261" s="4"/>
      <c r="YH261" s="4"/>
      <c r="YI261" s="4"/>
      <c r="YJ261" s="5"/>
      <c r="YK261" s="6"/>
      <c r="YL261" s="4"/>
      <c r="YM261" s="4"/>
      <c r="YN261" s="4"/>
      <c r="YO261" s="4"/>
      <c r="YP261" s="4"/>
      <c r="YQ261" s="5"/>
      <c r="YR261" s="6"/>
      <c r="YS261" s="4"/>
      <c r="YT261" s="4"/>
      <c r="YU261" s="4"/>
      <c r="YV261" s="4"/>
      <c r="YW261" s="4"/>
      <c r="YX261" s="5"/>
      <c r="YY261" s="6"/>
      <c r="YZ261" s="4"/>
      <c r="ZA261" s="4"/>
      <c r="ZB261" s="4"/>
      <c r="ZC261" s="4"/>
      <c r="ZD261" s="4"/>
      <c r="ZE261" s="5"/>
      <c r="ZF261" s="6"/>
      <c r="ZG261" s="4"/>
      <c r="ZH261" s="4"/>
      <c r="ZI261" s="4"/>
      <c r="ZJ261" s="4"/>
      <c r="ZK261" s="4"/>
      <c r="ZL261" s="5"/>
      <c r="ZM261" s="6"/>
      <c r="ZN261" s="4"/>
      <c r="ZO261" s="4"/>
      <c r="ZP261" s="4"/>
      <c r="ZQ261" s="4"/>
      <c r="ZR261" s="4"/>
      <c r="ZS261" s="5"/>
      <c r="ZT261" s="6"/>
      <c r="ZU261" s="4"/>
      <c r="ZV261" s="4"/>
      <c r="ZW261" s="4"/>
      <c r="ZX261" s="4"/>
      <c r="ZY261" s="4"/>
      <c r="ZZ261" s="5"/>
      <c r="AAA261" s="6"/>
      <c r="AAB261" s="4"/>
      <c r="AAC261" s="4"/>
      <c r="AAD261" s="4"/>
      <c r="AAE261" s="4"/>
      <c r="AAF261" s="4"/>
      <c r="AAG261" s="5"/>
      <c r="AAH261" s="6"/>
      <c r="AAI261" s="4"/>
      <c r="AAJ261" s="4"/>
      <c r="AAK261" s="4"/>
      <c r="AAL261" s="4"/>
      <c r="AAM261" s="4"/>
      <c r="AAN261" s="5"/>
      <c r="AAO261" s="6"/>
      <c r="AAP261" s="4"/>
      <c r="AAQ261" s="4"/>
      <c r="AAR261" s="4"/>
      <c r="AAS261" s="4"/>
      <c r="AAT261" s="4"/>
      <c r="AAU261" s="5"/>
      <c r="AAV261" s="6"/>
      <c r="AAW261" s="4"/>
      <c r="AAX261" s="4"/>
      <c r="AAY261" s="4"/>
      <c r="AAZ261" s="4"/>
      <c r="ABA261" s="4"/>
      <c r="ABB261" s="5"/>
      <c r="ABC261" s="6"/>
      <c r="ABD261" s="4"/>
      <c r="ABE261" s="4"/>
      <c r="ABF261" s="4"/>
      <c r="ABG261" s="4"/>
      <c r="ABH261" s="4"/>
      <c r="ABI261" s="5"/>
      <c r="ABJ261" s="6"/>
      <c r="ABK261" s="4"/>
      <c r="ABL261" s="4"/>
      <c r="ABM261" s="4"/>
      <c r="ABN261" s="4"/>
      <c r="ABO261" s="4"/>
      <c r="ABP261" s="5"/>
      <c r="ABQ261" s="6"/>
      <c r="ABR261" s="4"/>
      <c r="ABS261" s="4"/>
      <c r="ABT261" s="4"/>
      <c r="ABU261" s="4"/>
      <c r="ABV261" s="4"/>
      <c r="ABW261" s="5"/>
      <c r="ABX261" s="6"/>
      <c r="ABY261" s="4"/>
      <c r="ABZ261" s="4"/>
      <c r="ACA261" s="4"/>
      <c r="ACB261" s="4"/>
      <c r="ACC261" s="4"/>
      <c r="ACD261" s="5"/>
      <c r="ACE261" s="6"/>
      <c r="ACF261" s="4"/>
      <c r="ACG261" s="4"/>
      <c r="ACH261" s="4"/>
      <c r="ACI261" s="4"/>
      <c r="ACJ261" s="4"/>
      <c r="ACK261" s="5"/>
      <c r="ACL261" s="6"/>
      <c r="ACM261" s="4"/>
      <c r="ACN261" s="4"/>
      <c r="ACO261" s="4"/>
      <c r="ACP261" s="4"/>
      <c r="ACQ261" s="4"/>
      <c r="ACR261" s="5"/>
      <c r="ACS261" s="6"/>
      <c r="ACT261" s="4"/>
      <c r="ACU261" s="4"/>
      <c r="ACV261" s="4"/>
      <c r="ACW261" s="4"/>
      <c r="ACX261" s="4"/>
      <c r="ACY261" s="5"/>
    </row>
    <row r="262" spans="1:805" x14ac:dyDescent="0.25">
      <c r="B262" s="49">
        <v>4001156</v>
      </c>
      <c r="C262">
        <v>51</v>
      </c>
      <c r="D262" t="s">
        <v>416</v>
      </c>
      <c r="F262" s="23" t="s">
        <v>1781</v>
      </c>
      <c r="J262" s="12"/>
      <c r="K262" s="12"/>
      <c r="L262" s="12"/>
      <c r="M262">
        <v>1</v>
      </c>
      <c r="N262" s="17">
        <v>38010</v>
      </c>
      <c r="S262">
        <v>1</v>
      </c>
      <c r="U262">
        <v>1</v>
      </c>
      <c r="LL262" s="6"/>
      <c r="LM262" s="4"/>
      <c r="LN262" s="4"/>
      <c r="LO262" s="4"/>
      <c r="LP262" s="4"/>
      <c r="LQ262" s="4"/>
      <c r="LR262" s="5"/>
      <c r="LS262" s="6"/>
      <c r="LT262" s="4"/>
      <c r="LU262" s="4"/>
      <c r="LV262" s="4"/>
      <c r="LW262" s="4"/>
      <c r="LX262" s="4"/>
      <c r="LY262" s="5"/>
      <c r="LZ262" s="6" t="s">
        <v>2983</v>
      </c>
      <c r="MA262" s="7" t="s">
        <v>2983</v>
      </c>
      <c r="MB262" s="4"/>
      <c r="MC262" s="4"/>
      <c r="MD262" s="8"/>
      <c r="ME262" s="4"/>
      <c r="MF262" s="4" t="s">
        <v>417</v>
      </c>
      <c r="MG262" s="5" t="s">
        <v>418</v>
      </c>
      <c r="MH262" s="6"/>
      <c r="MI262" s="4"/>
      <c r="MJ262" s="4"/>
      <c r="MK262" s="4"/>
      <c r="ML262" s="4"/>
      <c r="MM262" s="4"/>
      <c r="MN262" s="5"/>
      <c r="MO262" s="6"/>
      <c r="MP262" s="4"/>
      <c r="MQ262" s="4"/>
      <c r="MR262" s="4"/>
      <c r="MS262" s="4"/>
      <c r="MT262" s="4"/>
      <c r="MU262" s="5"/>
      <c r="MV262" s="6"/>
      <c r="MW262" s="4"/>
      <c r="MX262" s="4"/>
      <c r="MY262" s="4"/>
      <c r="MZ262" s="4"/>
      <c r="NA262" s="4"/>
      <c r="NB262" s="5"/>
      <c r="NC262" s="6"/>
      <c r="ND262" s="4"/>
      <c r="NE262" s="4"/>
      <c r="NF262" s="4"/>
      <c r="NG262" s="4"/>
      <c r="NH262" s="4"/>
      <c r="NI262" s="5"/>
      <c r="NJ262" s="6"/>
      <c r="NK262" s="4"/>
      <c r="NL262" s="4"/>
      <c r="NM262" s="4"/>
      <c r="NN262" s="4"/>
      <c r="NO262" s="4"/>
      <c r="NP262" s="5"/>
      <c r="NQ262" s="6" t="s">
        <v>831</v>
      </c>
      <c r="NR262" s="4" t="s">
        <v>832</v>
      </c>
      <c r="NS262" s="4" t="s">
        <v>2012</v>
      </c>
      <c r="NT262" s="4"/>
      <c r="NU262" s="8">
        <v>37979</v>
      </c>
      <c r="NV262" s="4"/>
      <c r="NW262" s="5"/>
      <c r="NX262" s="6"/>
      <c r="NY262" s="4"/>
      <c r="NZ262" s="4"/>
      <c r="OA262" s="4"/>
      <c r="OB262" s="4"/>
      <c r="OC262" s="4"/>
      <c r="OD262" s="5"/>
      <c r="OE262" s="6"/>
      <c r="OF262" s="4"/>
      <c r="OG262" s="4"/>
      <c r="OH262" s="4"/>
      <c r="OI262" s="4"/>
      <c r="OJ262" s="4"/>
      <c r="OK262" s="5"/>
      <c r="OL262" s="6"/>
      <c r="OM262" s="4"/>
      <c r="ON262" s="4"/>
      <c r="OO262" s="4"/>
      <c r="OP262" s="4"/>
      <c r="OQ262" s="4"/>
      <c r="OR262" s="5"/>
      <c r="OS262" s="6"/>
      <c r="OT262" s="4"/>
      <c r="OU262" s="4"/>
      <c r="OV262" s="4"/>
      <c r="OW262" s="4"/>
      <c r="OX262" s="4"/>
      <c r="OY262" s="5"/>
      <c r="OZ262" s="6" t="s">
        <v>833</v>
      </c>
      <c r="PA262" t="s">
        <v>834</v>
      </c>
      <c r="PB262" s="4" t="s">
        <v>2904</v>
      </c>
      <c r="PC262" s="4" t="s">
        <v>1595</v>
      </c>
      <c r="PD262" s="8">
        <v>37998</v>
      </c>
      <c r="PE262" s="8">
        <v>38008</v>
      </c>
      <c r="PF262" s="5" t="s">
        <v>419</v>
      </c>
      <c r="PG262" s="6"/>
      <c r="PH262" s="4"/>
      <c r="PI262" s="4"/>
      <c r="PJ262" s="4"/>
      <c r="PK262" s="4"/>
      <c r="PL262" s="4"/>
      <c r="PM262" s="5"/>
      <c r="PN262" s="6"/>
      <c r="PO262" s="4"/>
      <c r="PP262" s="4"/>
      <c r="PQ262" s="4"/>
      <c r="PR262" s="4"/>
      <c r="PS262" s="4"/>
      <c r="PT262" s="5"/>
      <c r="PU262" s="6"/>
      <c r="PV262" s="4"/>
      <c r="PW262" s="4"/>
      <c r="PX262" s="4"/>
      <c r="PY262" s="4"/>
      <c r="PZ262" s="4"/>
      <c r="QA262" s="5"/>
      <c r="QB262" s="6"/>
      <c r="QC262" s="4"/>
      <c r="QD262" s="4"/>
      <c r="QE262" s="4"/>
      <c r="QF262" s="4"/>
      <c r="QG262" s="4"/>
      <c r="QH262" s="5"/>
      <c r="QI262" s="6"/>
      <c r="QJ262" s="4"/>
      <c r="QK262" s="4"/>
      <c r="QL262" s="4"/>
      <c r="QM262" s="4"/>
      <c r="QN262" s="4"/>
      <c r="QO262" s="5"/>
      <c r="QP262" s="6"/>
      <c r="QQ262" s="4"/>
      <c r="QR262" s="4"/>
      <c r="QS262" s="4"/>
      <c r="QT262" s="4"/>
      <c r="QU262" s="4"/>
      <c r="QV262" s="5"/>
      <c r="QW262" s="6"/>
      <c r="QX262" s="4"/>
      <c r="QY262" s="4"/>
      <c r="QZ262" s="4"/>
      <c r="RA262" s="4"/>
      <c r="RB262" s="4"/>
      <c r="RC262" s="5"/>
      <c r="RD262" s="6"/>
      <c r="RE262" s="4"/>
      <c r="RF262" s="4"/>
      <c r="RG262" s="4"/>
      <c r="RH262" s="4"/>
      <c r="RI262" s="4"/>
      <c r="RJ262" s="5"/>
      <c r="RK262" s="6"/>
      <c r="RL262" s="4"/>
      <c r="RM262" s="4"/>
      <c r="RN262" s="4"/>
      <c r="RO262" s="4"/>
      <c r="RP262" s="4"/>
      <c r="RQ262" s="5"/>
      <c r="RR262" s="6"/>
      <c r="RS262" s="4"/>
      <c r="RT262" s="4"/>
      <c r="RU262" s="4"/>
      <c r="RV262" s="4"/>
      <c r="RW262" s="4"/>
      <c r="RX262" s="5"/>
      <c r="RY262" s="6"/>
      <c r="RZ262" s="4"/>
      <c r="SA262" s="4"/>
      <c r="SB262" s="4"/>
      <c r="SC262" s="4"/>
      <c r="SD262" s="4"/>
      <c r="SE262" s="5"/>
      <c r="SF262" s="6"/>
      <c r="SG262" s="4"/>
      <c r="SH262" s="4"/>
      <c r="SI262" s="4"/>
      <c r="SJ262" s="4"/>
      <c r="SK262" s="4"/>
      <c r="SL262" s="5"/>
      <c r="SM262" s="6"/>
      <c r="SN262" s="4"/>
      <c r="SO262" s="4"/>
      <c r="SP262" s="4"/>
      <c r="SQ262" s="4"/>
      <c r="SR262" s="4"/>
      <c r="SS262" s="5"/>
      <c r="ST262" s="6"/>
      <c r="SU262" s="4"/>
      <c r="SV262" s="4"/>
      <c r="SW262" s="4"/>
      <c r="SX262" s="4"/>
      <c r="SY262" s="4"/>
      <c r="SZ262" s="5"/>
      <c r="TA262" s="6"/>
      <c r="TB262" s="4"/>
      <c r="TC262" s="4"/>
      <c r="TD262" s="4"/>
      <c r="TE262" s="4"/>
      <c r="TF262" s="4"/>
      <c r="TG262" s="5"/>
      <c r="TH262" s="6"/>
      <c r="TI262" s="4"/>
      <c r="TJ262" s="4"/>
      <c r="TK262" s="4"/>
      <c r="TL262" s="4"/>
      <c r="TM262" s="4"/>
      <c r="TN262" s="5"/>
      <c r="TO262" s="6"/>
      <c r="TP262" s="4"/>
      <c r="TQ262" s="4"/>
      <c r="TR262" s="4"/>
      <c r="TS262" s="4"/>
      <c r="TT262" s="4"/>
      <c r="TU262" s="5"/>
      <c r="TV262" s="6"/>
      <c r="TW262" s="4"/>
      <c r="TX262" s="4"/>
      <c r="TY262" s="4"/>
      <c r="TZ262" s="4"/>
      <c r="UA262" s="4"/>
      <c r="UB262" s="5"/>
      <c r="UC262" s="6"/>
      <c r="UD262" s="4"/>
      <c r="UE262" s="4"/>
      <c r="UF262" s="4"/>
      <c r="UG262" s="4"/>
      <c r="UH262" s="4"/>
      <c r="UI262" s="5"/>
      <c r="UJ262" s="6"/>
      <c r="UK262" s="4"/>
      <c r="UL262" s="4"/>
      <c r="UM262" s="4"/>
      <c r="UN262" s="4"/>
      <c r="UO262" s="4"/>
      <c r="UP262" s="5"/>
      <c r="UQ262" s="6"/>
      <c r="UR262" s="4"/>
      <c r="US262" s="4"/>
      <c r="UT262" s="4"/>
      <c r="UU262" s="4"/>
      <c r="UV262" s="4"/>
      <c r="UW262" s="5"/>
      <c r="UX262" s="6"/>
      <c r="UY262" s="4"/>
      <c r="UZ262" s="4"/>
      <c r="VA262" s="4"/>
      <c r="VB262" s="4"/>
      <c r="VC262" s="4"/>
      <c r="VD262" s="5"/>
      <c r="VE262" s="6"/>
      <c r="VF262" s="4"/>
      <c r="VG262" s="4"/>
      <c r="VH262" s="4"/>
      <c r="VI262" s="4"/>
      <c r="VJ262" s="4"/>
      <c r="VK262" s="5"/>
      <c r="VL262" s="6"/>
      <c r="VM262" s="4"/>
      <c r="VN262" s="4"/>
      <c r="VO262" s="4"/>
      <c r="VP262" s="4"/>
      <c r="VQ262" s="4"/>
      <c r="VR262" s="5"/>
      <c r="VS262" s="6"/>
      <c r="VT262" s="4"/>
      <c r="VU262" s="4"/>
      <c r="VV262" s="4"/>
      <c r="VW262" s="4"/>
      <c r="VX262" s="4"/>
      <c r="VY262" s="5"/>
      <c r="VZ262" s="6" t="s">
        <v>835</v>
      </c>
      <c r="WA262" s="4" t="s">
        <v>836</v>
      </c>
      <c r="WB262" s="4" t="s">
        <v>1035</v>
      </c>
      <c r="WC262" s="4"/>
      <c r="WD262" s="8">
        <v>37966</v>
      </c>
      <c r="WE262" s="4"/>
      <c r="WF262" s="5"/>
      <c r="WG262" s="6"/>
      <c r="WH262" s="4"/>
      <c r="WI262" s="4"/>
      <c r="WJ262" s="4"/>
      <c r="WK262" s="4"/>
      <c r="WL262" s="4"/>
      <c r="WM262" s="5"/>
      <c r="WN262" s="6"/>
      <c r="WO262" s="4"/>
      <c r="WP262" s="4"/>
      <c r="WQ262" s="4"/>
      <c r="WR262" s="4"/>
      <c r="WS262" s="4"/>
      <c r="WT262" s="5"/>
      <c r="WU262" s="6"/>
      <c r="WV262" s="4"/>
      <c r="WW262" s="4"/>
      <c r="WX262" s="4"/>
      <c r="WY262" s="4"/>
      <c r="WZ262" s="4"/>
      <c r="XA262" s="5"/>
      <c r="XB262" s="6"/>
      <c r="XC262" s="4"/>
      <c r="XD262" s="4"/>
      <c r="XE262" s="4"/>
      <c r="XF262" s="4"/>
      <c r="XG262" s="4"/>
      <c r="XH262" s="5"/>
      <c r="XI262" s="6"/>
      <c r="XJ262" s="4"/>
      <c r="XK262" s="4"/>
      <c r="XL262" s="4"/>
      <c r="XM262" s="4"/>
      <c r="XN262" s="4"/>
      <c r="XO262" s="5"/>
      <c r="XP262" s="6"/>
      <c r="XQ262" s="4"/>
      <c r="XR262" s="4"/>
      <c r="XS262" s="4"/>
      <c r="XT262" s="4"/>
      <c r="XU262" s="4"/>
      <c r="XV262" s="5"/>
      <c r="XW262" s="6"/>
      <c r="XX262" s="4"/>
      <c r="XY262" s="4"/>
      <c r="XZ262" s="4"/>
      <c r="YA262" s="4"/>
      <c r="YB262" s="4"/>
      <c r="YC262" s="5"/>
      <c r="YD262" s="6"/>
      <c r="YE262" s="4"/>
      <c r="YF262" s="4"/>
      <c r="YG262" s="4"/>
      <c r="YH262" s="4"/>
      <c r="YI262" s="4"/>
      <c r="YJ262" s="5"/>
      <c r="YK262" s="6"/>
      <c r="YL262" s="4"/>
      <c r="YM262" s="4"/>
      <c r="YN262" s="4"/>
      <c r="YO262" s="4"/>
      <c r="YP262" s="4"/>
      <c r="YQ262" s="5"/>
      <c r="YR262" s="6"/>
      <c r="YS262" s="4"/>
      <c r="YT262" s="4"/>
      <c r="YU262" s="4"/>
      <c r="YV262" s="4"/>
      <c r="YW262" s="4"/>
      <c r="YX262" s="5"/>
      <c r="YY262" s="6"/>
      <c r="YZ262" s="4"/>
      <c r="ZA262" s="4"/>
      <c r="ZB262" s="4"/>
      <c r="ZC262" s="4"/>
      <c r="ZD262" s="4"/>
      <c r="ZE262" s="5"/>
      <c r="ZF262" s="6"/>
      <c r="ZG262" s="4"/>
      <c r="ZH262" s="4"/>
      <c r="ZI262" s="4"/>
      <c r="ZJ262" s="4"/>
      <c r="ZK262" s="4"/>
      <c r="ZL262" s="5"/>
      <c r="ZM262" s="6"/>
      <c r="ZN262" s="4"/>
      <c r="ZO262" s="4"/>
      <c r="ZP262" s="4"/>
      <c r="ZQ262" s="4"/>
      <c r="ZR262" s="4"/>
      <c r="ZS262" s="5"/>
      <c r="ZT262" s="6"/>
      <c r="ZU262" s="4"/>
      <c r="ZV262" s="4"/>
      <c r="ZW262" s="4"/>
      <c r="ZX262" s="4"/>
      <c r="ZY262" s="4"/>
      <c r="ZZ262" s="5"/>
      <c r="AAA262" s="6"/>
      <c r="AAB262" s="4"/>
      <c r="AAC262" s="4"/>
      <c r="AAD262" s="4"/>
      <c r="AAE262" s="4"/>
      <c r="AAF262" s="4"/>
      <c r="AAG262" s="5"/>
      <c r="AAH262" s="6"/>
      <c r="AAI262" s="4"/>
      <c r="AAJ262" s="4"/>
      <c r="AAK262" s="4"/>
      <c r="AAL262" s="4"/>
      <c r="AAM262" s="4"/>
      <c r="AAN262" s="5"/>
      <c r="AAO262" s="6"/>
      <c r="AAP262" s="4"/>
      <c r="AAQ262" s="4"/>
      <c r="AAR262" s="4"/>
      <c r="AAS262" s="4"/>
      <c r="AAT262" s="4"/>
      <c r="AAU262" s="5"/>
      <c r="AAV262" s="6"/>
      <c r="AAW262" s="4"/>
      <c r="AAX262" s="4"/>
      <c r="AAY262" s="4"/>
      <c r="AAZ262" s="4"/>
      <c r="ABA262" s="4"/>
      <c r="ABB262" s="5"/>
      <c r="ABC262" s="6"/>
      <c r="ABD262" s="4"/>
      <c r="ABE262" s="4"/>
      <c r="ABF262" s="4"/>
      <c r="ABG262" s="4"/>
      <c r="ABH262" s="4"/>
      <c r="ABI262" s="5"/>
      <c r="ABJ262" s="6"/>
      <c r="ABK262" s="4"/>
      <c r="ABL262" s="4"/>
      <c r="ABM262" s="4"/>
      <c r="ABN262" s="4"/>
      <c r="ABO262" s="4"/>
      <c r="ABP262" s="5"/>
      <c r="ABQ262" s="6"/>
      <c r="ABR262" s="4"/>
      <c r="ABS262" s="4"/>
      <c r="ABT262" s="4"/>
      <c r="ABU262" s="4"/>
      <c r="ABV262" s="4"/>
      <c r="ABW262" s="5"/>
      <c r="ABX262" s="6"/>
      <c r="ABY262" s="4"/>
      <c r="ABZ262" s="4"/>
      <c r="ACA262" s="4"/>
      <c r="ACB262" s="4"/>
      <c r="ACC262" s="4"/>
      <c r="ACD262" s="5"/>
      <c r="ACE262" s="6"/>
      <c r="ACF262" s="4"/>
      <c r="ACG262" s="4"/>
      <c r="ACH262" s="4"/>
      <c r="ACI262" s="4"/>
      <c r="ACJ262" s="4"/>
      <c r="ACK262" s="5"/>
      <c r="ACL262" s="6"/>
      <c r="ACM262" s="4"/>
      <c r="ACN262" s="4"/>
      <c r="ACO262" s="4"/>
      <c r="ACP262" s="4"/>
      <c r="ACQ262" s="4"/>
      <c r="ACR262" s="5"/>
      <c r="ACS262" s="6"/>
      <c r="ACT262" s="4"/>
      <c r="ACU262" s="4"/>
      <c r="ACV262" s="4"/>
      <c r="ACW262" s="4"/>
      <c r="ACX262" s="4"/>
      <c r="ACY262" s="5"/>
    </row>
    <row r="263" spans="1:805" x14ac:dyDescent="0.25">
      <c r="B263" s="30"/>
      <c r="J263" s="12"/>
      <c r="K263" s="12"/>
      <c r="L263" s="12"/>
      <c r="LL263" s="6"/>
      <c r="LM263" s="4"/>
      <c r="LN263" s="4"/>
      <c r="LO263" s="4"/>
      <c r="LP263" s="4"/>
      <c r="LQ263" s="4"/>
      <c r="LR263" s="5"/>
      <c r="LS263" s="6"/>
      <c r="LT263" s="4"/>
      <c r="LU263" s="4"/>
      <c r="LV263" s="4"/>
      <c r="LW263" s="4"/>
      <c r="LX263" s="4"/>
      <c r="LY263" s="5"/>
      <c r="LZ263" s="6"/>
      <c r="MA263" s="7"/>
      <c r="MB263" s="4"/>
      <c r="MC263" s="4"/>
      <c r="MD263" s="8"/>
      <c r="ME263" s="4"/>
      <c r="MF263" s="4"/>
      <c r="MG263" s="5"/>
      <c r="MH263" s="6"/>
      <c r="MI263" s="4"/>
      <c r="MJ263" s="4"/>
      <c r="MK263" s="4"/>
      <c r="ML263" s="4"/>
      <c r="MM263" s="4"/>
      <c r="MN263" s="5"/>
      <c r="MO263" s="6"/>
      <c r="MP263" s="4"/>
      <c r="MQ263" s="4"/>
      <c r="MR263" s="4"/>
      <c r="MS263" s="4"/>
      <c r="MT263" s="4"/>
      <c r="MU263" s="5"/>
      <c r="MV263" s="6"/>
      <c r="MW263" s="4"/>
      <c r="MX263" s="4"/>
      <c r="MY263" s="4"/>
      <c r="MZ263" s="4"/>
      <c r="NA263" s="4"/>
      <c r="NB263" s="5"/>
      <c r="NC263" s="6"/>
      <c r="ND263" s="4"/>
      <c r="NE263" s="4"/>
      <c r="NF263" s="4"/>
      <c r="NG263" s="4"/>
      <c r="NH263" s="4"/>
      <c r="NI263" s="5"/>
      <c r="NJ263" s="6"/>
      <c r="NK263" s="4"/>
      <c r="NL263" s="4"/>
      <c r="NM263" s="4"/>
      <c r="NN263" s="4"/>
      <c r="NO263" s="4"/>
      <c r="NP263" s="5"/>
      <c r="NQ263" s="6"/>
      <c r="NR263" s="4"/>
      <c r="NS263" s="4"/>
      <c r="NT263" s="4"/>
      <c r="NU263" s="8"/>
      <c r="NV263" s="4"/>
      <c r="NW263" s="5"/>
      <c r="NX263" s="6"/>
      <c r="NY263" s="4"/>
      <c r="NZ263" s="4"/>
      <c r="OA263" s="4"/>
      <c r="OB263" s="4"/>
      <c r="OC263" s="4"/>
      <c r="OD263" s="5"/>
      <c r="OE263" s="6"/>
      <c r="OF263" s="4"/>
      <c r="OG263" s="4"/>
      <c r="OH263" s="4"/>
      <c r="OI263" s="4"/>
      <c r="OJ263" s="4"/>
      <c r="OK263" s="5"/>
      <c r="OL263" s="6"/>
      <c r="OM263" s="4"/>
      <c r="ON263" s="4"/>
      <c r="OO263" s="4"/>
      <c r="OP263" s="4"/>
      <c r="OQ263" s="4"/>
      <c r="OR263" s="5"/>
      <c r="OS263" s="6"/>
      <c r="OT263" s="4"/>
      <c r="OU263" s="4"/>
      <c r="OV263" s="4"/>
      <c r="OW263" s="4"/>
      <c r="OX263" s="4"/>
      <c r="OY263" s="5"/>
      <c r="OZ263" s="6" t="s">
        <v>837</v>
      </c>
      <c r="PA263" t="s">
        <v>838</v>
      </c>
      <c r="PB263" s="4" t="s">
        <v>1227</v>
      </c>
      <c r="PC263" s="4"/>
      <c r="PD263" s="8">
        <v>38009</v>
      </c>
      <c r="PE263" s="8"/>
      <c r="PF263" s="5" t="s">
        <v>419</v>
      </c>
      <c r="PG263" s="6"/>
      <c r="PH263" s="4"/>
      <c r="PI263" s="4"/>
      <c r="PJ263" s="4"/>
      <c r="PK263" s="4"/>
      <c r="PL263" s="4"/>
      <c r="PM263" s="5"/>
      <c r="PN263" s="6"/>
      <c r="PO263" s="4"/>
      <c r="PP263" s="4"/>
      <c r="PQ263" s="4"/>
      <c r="PR263" s="4"/>
      <c r="PS263" s="4"/>
      <c r="PT263" s="5"/>
      <c r="PU263" s="6"/>
      <c r="PV263" s="4"/>
      <c r="PW263" s="4"/>
      <c r="PX263" s="4"/>
      <c r="PY263" s="4"/>
      <c r="PZ263" s="4"/>
      <c r="QA263" s="5"/>
      <c r="QB263" s="6"/>
      <c r="QC263" s="4"/>
      <c r="QD263" s="4"/>
      <c r="QE263" s="4"/>
      <c r="QF263" s="4"/>
      <c r="QG263" s="4"/>
      <c r="QH263" s="5"/>
      <c r="QI263" s="6"/>
      <c r="QJ263" s="4"/>
      <c r="QK263" s="4"/>
      <c r="QL263" s="4"/>
      <c r="QM263" s="4"/>
      <c r="QN263" s="4"/>
      <c r="QO263" s="5"/>
      <c r="QP263" s="6"/>
      <c r="QQ263" s="4"/>
      <c r="QR263" s="4"/>
      <c r="QS263" s="4"/>
      <c r="QT263" s="4"/>
      <c r="QU263" s="4"/>
      <c r="QV263" s="5"/>
      <c r="QW263" s="6"/>
      <c r="QX263" s="4"/>
      <c r="QY263" s="4"/>
      <c r="QZ263" s="4"/>
      <c r="RA263" s="4"/>
      <c r="RB263" s="4"/>
      <c r="RC263" s="5"/>
      <c r="RD263" s="6"/>
      <c r="RE263" s="4"/>
      <c r="RF263" s="4"/>
      <c r="RG263" s="4"/>
      <c r="RH263" s="4"/>
      <c r="RI263" s="4"/>
      <c r="RJ263" s="5"/>
      <c r="RK263" s="6"/>
      <c r="RL263" s="4"/>
      <c r="RM263" s="4"/>
      <c r="RN263" s="4"/>
      <c r="RO263" s="4"/>
      <c r="RP263" s="4"/>
      <c r="RQ263" s="5"/>
      <c r="RR263" s="6"/>
      <c r="RS263" s="4"/>
      <c r="RT263" s="4"/>
      <c r="RU263" s="4"/>
      <c r="RV263" s="4"/>
      <c r="RW263" s="4"/>
      <c r="RX263" s="5"/>
      <c r="RY263" s="6"/>
      <c r="RZ263" s="4"/>
      <c r="SA263" s="4"/>
      <c r="SB263" s="4"/>
      <c r="SC263" s="4"/>
      <c r="SD263" s="4"/>
      <c r="SE263" s="5"/>
      <c r="SF263" s="6"/>
      <c r="SG263" s="4"/>
      <c r="SH263" s="4"/>
      <c r="SI263" s="4"/>
      <c r="SJ263" s="4"/>
      <c r="SK263" s="4"/>
      <c r="SL263" s="5"/>
      <c r="SM263" s="6"/>
      <c r="SN263" s="4"/>
      <c r="SO263" s="4"/>
      <c r="SP263" s="4"/>
      <c r="SQ263" s="4"/>
      <c r="SR263" s="4"/>
      <c r="SS263" s="5"/>
      <c r="ST263" s="6"/>
      <c r="SU263" s="4"/>
      <c r="SV263" s="4"/>
      <c r="SW263" s="4"/>
      <c r="SX263" s="4"/>
      <c r="SY263" s="4"/>
      <c r="SZ263" s="5"/>
      <c r="TA263" s="6"/>
      <c r="TB263" s="4"/>
      <c r="TC263" s="4"/>
      <c r="TD263" s="4"/>
      <c r="TE263" s="4"/>
      <c r="TF263" s="4"/>
      <c r="TG263" s="5"/>
      <c r="TH263" s="6"/>
      <c r="TI263" s="4"/>
      <c r="TJ263" s="4"/>
      <c r="TK263" s="4"/>
      <c r="TL263" s="4"/>
      <c r="TM263" s="4"/>
      <c r="TN263" s="5"/>
      <c r="TO263" s="6"/>
      <c r="TP263" s="4"/>
      <c r="TQ263" s="4"/>
      <c r="TR263" s="4"/>
      <c r="TS263" s="4"/>
      <c r="TT263" s="4"/>
      <c r="TU263" s="5"/>
      <c r="TV263" s="6"/>
      <c r="TW263" s="4"/>
      <c r="TX263" s="4"/>
      <c r="TY263" s="4"/>
      <c r="TZ263" s="4"/>
      <c r="UA263" s="4"/>
      <c r="UB263" s="5"/>
      <c r="UC263" s="6"/>
      <c r="UD263" s="4"/>
      <c r="UE263" s="4"/>
      <c r="UF263" s="4"/>
      <c r="UG263" s="4"/>
      <c r="UH263" s="4"/>
      <c r="UI263" s="5"/>
      <c r="UJ263" s="6"/>
      <c r="UK263" s="4"/>
      <c r="UL263" s="4"/>
      <c r="UM263" s="4"/>
      <c r="UN263" s="4"/>
      <c r="UO263" s="4"/>
      <c r="UP263" s="5"/>
      <c r="UQ263" s="6"/>
      <c r="UR263" s="4"/>
      <c r="US263" s="4"/>
      <c r="UT263" s="4"/>
      <c r="UU263" s="4"/>
      <c r="UV263" s="4"/>
      <c r="UW263" s="5"/>
      <c r="UX263" s="6"/>
      <c r="UY263" s="4"/>
      <c r="UZ263" s="4"/>
      <c r="VA263" s="4"/>
      <c r="VB263" s="4"/>
      <c r="VC263" s="4"/>
      <c r="VD263" s="5"/>
      <c r="VE263" s="6"/>
      <c r="VF263" s="4"/>
      <c r="VG263" s="4"/>
      <c r="VH263" s="4"/>
      <c r="VI263" s="4"/>
      <c r="VJ263" s="4"/>
      <c r="VK263" s="5"/>
      <c r="VL263" s="6"/>
      <c r="VM263" s="4"/>
      <c r="VN263" s="4"/>
      <c r="VO263" s="4"/>
      <c r="VP263" s="4"/>
      <c r="VQ263" s="4"/>
      <c r="VR263" s="5"/>
      <c r="VS263" s="6"/>
      <c r="VT263" s="4"/>
      <c r="VU263" s="4"/>
      <c r="VV263" s="4"/>
      <c r="VW263" s="4"/>
      <c r="VX263" s="4"/>
      <c r="VY263" s="5"/>
      <c r="VZ263" s="6"/>
      <c r="WA263" s="4"/>
      <c r="WB263" s="4"/>
      <c r="WC263" s="4"/>
      <c r="WD263" s="8"/>
      <c r="WE263" s="4"/>
      <c r="WF263" s="5"/>
      <c r="WG263" s="6"/>
      <c r="WH263" s="4"/>
      <c r="WI263" s="4"/>
      <c r="WJ263" s="4"/>
      <c r="WK263" s="4"/>
      <c r="WL263" s="4"/>
      <c r="WM263" s="5"/>
      <c r="WN263" s="6"/>
      <c r="WO263" s="4"/>
      <c r="WP263" s="4"/>
      <c r="WQ263" s="4"/>
      <c r="WR263" s="4"/>
      <c r="WS263" s="4"/>
      <c r="WT263" s="5"/>
      <c r="WU263" s="6"/>
      <c r="WV263" s="4"/>
      <c r="WW263" s="4"/>
      <c r="WX263" s="4"/>
      <c r="WY263" s="4"/>
      <c r="WZ263" s="4"/>
      <c r="XA263" s="5"/>
      <c r="XB263" s="6"/>
      <c r="XC263" s="4"/>
      <c r="XD263" s="4"/>
      <c r="XE263" s="4"/>
      <c r="XF263" s="4"/>
      <c r="XG263" s="4"/>
      <c r="XH263" s="5"/>
      <c r="XI263" s="6"/>
      <c r="XJ263" s="4"/>
      <c r="XK263" s="4"/>
      <c r="XL263" s="4"/>
      <c r="XM263" s="4"/>
      <c r="XN263" s="4"/>
      <c r="XO263" s="5"/>
      <c r="XP263" s="6"/>
      <c r="XQ263" s="4"/>
      <c r="XR263" s="4"/>
      <c r="XS263" s="4"/>
      <c r="XT263" s="4"/>
      <c r="XU263" s="4"/>
      <c r="XV263" s="5"/>
      <c r="XW263" s="6"/>
      <c r="XX263" s="4"/>
      <c r="XY263" s="4"/>
      <c r="XZ263" s="4"/>
      <c r="YA263" s="4"/>
      <c r="YB263" s="4"/>
      <c r="YC263" s="5"/>
      <c r="YD263" s="6"/>
      <c r="YE263" s="4"/>
      <c r="YF263" s="4"/>
      <c r="YG263" s="4"/>
      <c r="YH263" s="4"/>
      <c r="YI263" s="4"/>
      <c r="YJ263" s="5"/>
      <c r="YK263" s="6"/>
      <c r="YL263" s="4"/>
      <c r="YM263" s="4"/>
      <c r="YN263" s="4"/>
      <c r="YO263" s="4"/>
      <c r="YP263" s="4"/>
      <c r="YQ263" s="5"/>
      <c r="YR263" s="6"/>
      <c r="YS263" s="4"/>
      <c r="YT263" s="4"/>
      <c r="YU263" s="4"/>
      <c r="YV263" s="4"/>
      <c r="YW263" s="4"/>
      <c r="YX263" s="5"/>
      <c r="YY263" s="6"/>
      <c r="YZ263" s="4"/>
      <c r="ZA263" s="4"/>
      <c r="ZB263" s="4"/>
      <c r="ZC263" s="4"/>
      <c r="ZD263" s="4"/>
      <c r="ZE263" s="5"/>
      <c r="ZF263" s="6"/>
      <c r="ZG263" s="4"/>
      <c r="ZH263" s="4"/>
      <c r="ZI263" s="4"/>
      <c r="ZJ263" s="4"/>
      <c r="ZK263" s="4"/>
      <c r="ZL263" s="5"/>
      <c r="ZM263" s="6"/>
      <c r="ZN263" s="4"/>
      <c r="ZO263" s="4"/>
      <c r="ZP263" s="4"/>
      <c r="ZQ263" s="4"/>
      <c r="ZR263" s="4"/>
      <c r="ZS263" s="5"/>
      <c r="ZT263" s="6"/>
      <c r="ZU263" s="4"/>
      <c r="ZV263" s="4"/>
      <c r="ZW263" s="4"/>
      <c r="ZX263" s="4"/>
      <c r="ZY263" s="4"/>
      <c r="ZZ263" s="5"/>
      <c r="AAA263" s="6"/>
      <c r="AAB263" s="4"/>
      <c r="AAC263" s="4"/>
      <c r="AAD263" s="4"/>
      <c r="AAE263" s="4"/>
      <c r="AAF263" s="4"/>
      <c r="AAG263" s="5"/>
      <c r="AAH263" s="6"/>
      <c r="AAI263" s="4"/>
      <c r="AAJ263" s="4"/>
      <c r="AAK263" s="4"/>
      <c r="AAL263" s="4"/>
      <c r="AAM263" s="4"/>
      <c r="AAN263" s="5"/>
      <c r="AAO263" s="6"/>
      <c r="AAP263" s="4"/>
      <c r="AAQ263" s="4"/>
      <c r="AAR263" s="4"/>
      <c r="AAS263" s="4"/>
      <c r="AAT263" s="4"/>
      <c r="AAU263" s="5"/>
      <c r="AAV263" s="6"/>
      <c r="AAW263" s="4"/>
      <c r="AAX263" s="4"/>
      <c r="AAY263" s="4"/>
      <c r="AAZ263" s="4"/>
      <c r="ABA263" s="4"/>
      <c r="ABB263" s="5"/>
      <c r="ABC263" s="6"/>
      <c r="ABD263" s="4"/>
      <c r="ABE263" s="4"/>
      <c r="ABF263" s="4"/>
      <c r="ABG263" s="4"/>
      <c r="ABH263" s="4"/>
      <c r="ABI263" s="5"/>
      <c r="ABJ263" s="6"/>
      <c r="ABK263" s="4"/>
      <c r="ABL263" s="4"/>
      <c r="ABM263" s="4"/>
      <c r="ABN263" s="4"/>
      <c r="ABO263" s="4"/>
      <c r="ABP263" s="5"/>
      <c r="ABQ263" s="6"/>
      <c r="ABR263" s="4"/>
      <c r="ABS263" s="4"/>
      <c r="ABT263" s="4"/>
      <c r="ABU263" s="4"/>
      <c r="ABV263" s="4"/>
      <c r="ABW263" s="5"/>
      <c r="ABX263" s="6"/>
      <c r="ABY263" s="4"/>
      <c r="ABZ263" s="4"/>
      <c r="ACA263" s="4"/>
      <c r="ACB263" s="4"/>
      <c r="ACC263" s="4"/>
      <c r="ACD263" s="5"/>
      <c r="ACE263" s="6"/>
      <c r="ACF263" s="4"/>
      <c r="ACG263" s="4"/>
      <c r="ACH263" s="4"/>
      <c r="ACI263" s="4"/>
      <c r="ACJ263" s="4"/>
      <c r="ACK263" s="5"/>
      <c r="ACL263" s="6"/>
      <c r="ACM263" s="4"/>
      <c r="ACN263" s="4"/>
      <c r="ACO263" s="4"/>
      <c r="ACP263" s="4"/>
      <c r="ACQ263" s="4"/>
      <c r="ACR263" s="5"/>
      <c r="ACS263" s="6"/>
      <c r="ACT263" s="4"/>
      <c r="ACU263" s="4"/>
      <c r="ACV263" s="4"/>
      <c r="ACW263" s="4"/>
      <c r="ACX263" s="4"/>
      <c r="ACY263" s="5"/>
    </row>
    <row r="264" spans="1:805" x14ac:dyDescent="0.25">
      <c r="A264" t="s">
        <v>4246</v>
      </c>
      <c r="B264" s="29">
        <v>4003543</v>
      </c>
      <c r="C264">
        <v>62</v>
      </c>
      <c r="D264" t="s">
        <v>3729</v>
      </c>
      <c r="E264" s="34" t="s">
        <v>3744</v>
      </c>
      <c r="F264" s="23">
        <v>0</v>
      </c>
      <c r="I264">
        <v>1</v>
      </c>
      <c r="J264" s="19">
        <v>38038</v>
      </c>
      <c r="K264" s="19" t="s">
        <v>4095</v>
      </c>
      <c r="L264" s="19"/>
      <c r="Q264">
        <v>1</v>
      </c>
      <c r="S264">
        <v>1</v>
      </c>
      <c r="V264">
        <v>1</v>
      </c>
      <c r="Y264">
        <v>1</v>
      </c>
      <c r="AI264">
        <v>1</v>
      </c>
      <c r="AJ264">
        <v>1</v>
      </c>
      <c r="AN264">
        <v>1</v>
      </c>
      <c r="AQ264">
        <v>1</v>
      </c>
      <c r="AS264">
        <v>1</v>
      </c>
      <c r="AU264">
        <v>1</v>
      </c>
      <c r="AY264">
        <v>1</v>
      </c>
      <c r="BD264">
        <v>1</v>
      </c>
      <c r="BP264">
        <v>1</v>
      </c>
      <c r="BQ264">
        <v>1</v>
      </c>
      <c r="BS264">
        <v>1</v>
      </c>
      <c r="BW264">
        <v>1</v>
      </c>
      <c r="GM264">
        <v>1</v>
      </c>
      <c r="IA264">
        <v>1</v>
      </c>
      <c r="JY264">
        <v>1</v>
      </c>
      <c r="LL264" s="6"/>
      <c r="LM264" s="4"/>
      <c r="LN264" s="4"/>
      <c r="LO264" s="4"/>
      <c r="LP264" s="4"/>
      <c r="LQ264" s="4"/>
      <c r="LR264" s="5"/>
      <c r="LS264" s="6"/>
      <c r="LT264" s="4"/>
      <c r="LU264" s="4"/>
      <c r="LV264" s="4"/>
      <c r="LW264" s="4"/>
      <c r="LX264" s="4"/>
      <c r="LY264" s="5"/>
      <c r="LZ264" s="6" t="s">
        <v>1821</v>
      </c>
      <c r="MA264" s="7" t="s">
        <v>1821</v>
      </c>
      <c r="MB264" s="4"/>
      <c r="MC264" s="4" t="s">
        <v>1671</v>
      </c>
      <c r="MD264" s="8">
        <v>38033</v>
      </c>
      <c r="ME264" s="8">
        <v>38035</v>
      </c>
      <c r="MF264" s="8"/>
      <c r="MG264" s="5" t="s">
        <v>4162</v>
      </c>
      <c r="MH264" s="6"/>
      <c r="MI264" s="4"/>
      <c r="MJ264" s="4"/>
      <c r="MK264" s="4"/>
      <c r="ML264" s="4"/>
      <c r="MM264" s="4"/>
      <c r="MN264" s="5"/>
      <c r="MO264" s="6"/>
      <c r="MP264" s="4"/>
      <c r="MQ264" s="4"/>
      <c r="MR264" s="4"/>
      <c r="MS264" s="4"/>
      <c r="MT264" s="4"/>
      <c r="MU264" s="5"/>
      <c r="MV264" s="6"/>
      <c r="MW264" s="4"/>
      <c r="MX264" s="4"/>
      <c r="MY264" s="4"/>
      <c r="MZ264" s="4"/>
      <c r="NA264" s="4"/>
      <c r="NB264" s="5"/>
      <c r="NC264" s="6" t="s">
        <v>2002</v>
      </c>
      <c r="ND264" s="4" t="s">
        <v>2164</v>
      </c>
      <c r="NE264" s="4" t="s">
        <v>2165</v>
      </c>
      <c r="NF264" s="7" t="s">
        <v>2166</v>
      </c>
      <c r="NG264" s="8">
        <v>38041</v>
      </c>
      <c r="NH264" s="8">
        <v>38041</v>
      </c>
      <c r="NI264" s="5" t="s">
        <v>4032</v>
      </c>
      <c r="NJ264" s="6"/>
      <c r="NK264" s="4"/>
      <c r="NL264" s="4"/>
      <c r="NM264" s="4"/>
      <c r="NN264" s="4"/>
      <c r="NO264" s="4"/>
      <c r="NP264" s="5"/>
      <c r="NQ264" s="6"/>
      <c r="NR264" s="4"/>
      <c r="NS264" s="4"/>
      <c r="NT264" s="4"/>
      <c r="NU264" s="4"/>
      <c r="NV264" s="4"/>
      <c r="NW264" s="5"/>
      <c r="NX264" s="6"/>
      <c r="NY264" s="4"/>
      <c r="NZ264" s="4"/>
      <c r="OA264" s="4"/>
      <c r="OB264" s="4"/>
      <c r="OC264" s="4"/>
      <c r="OD264" s="5"/>
      <c r="OE264" s="6"/>
      <c r="OF264" s="4"/>
      <c r="OG264" s="4"/>
      <c r="OH264" s="4"/>
      <c r="OI264" s="4"/>
      <c r="OJ264" s="4"/>
      <c r="OK264" s="5"/>
      <c r="OL264" s="6"/>
      <c r="OM264" s="4"/>
      <c r="ON264" s="4"/>
      <c r="OO264" s="4"/>
      <c r="OP264" s="4"/>
      <c r="OQ264" s="4"/>
      <c r="OR264" s="5"/>
      <c r="OS264" s="6"/>
      <c r="OT264" s="4"/>
      <c r="OU264" s="4"/>
      <c r="OV264" s="4"/>
      <c r="OW264" s="4"/>
      <c r="OX264" s="4"/>
      <c r="OY264" s="5"/>
      <c r="OZ264" s="6"/>
      <c r="PA264" s="4"/>
      <c r="PB264" s="4"/>
      <c r="PC264" s="4"/>
      <c r="PD264" s="4"/>
      <c r="PE264" s="4"/>
      <c r="PF264" s="5"/>
      <c r="PG264" s="6"/>
      <c r="PH264" s="4"/>
      <c r="PI264" s="4"/>
      <c r="PJ264" s="4"/>
      <c r="PK264" s="4"/>
      <c r="PL264" s="4"/>
      <c r="PM264" s="5"/>
      <c r="PN264" s="6"/>
      <c r="PO264" s="4"/>
      <c r="PP264" s="4"/>
      <c r="PQ264" s="4"/>
      <c r="PR264" s="4"/>
      <c r="PS264" s="4"/>
      <c r="PT264" s="5"/>
      <c r="PU264" s="6" t="s">
        <v>1999</v>
      </c>
      <c r="PV264" s="4" t="s">
        <v>2000</v>
      </c>
      <c r="PW264" s="4" t="s">
        <v>2001</v>
      </c>
      <c r="PX264" s="7" t="s">
        <v>1672</v>
      </c>
      <c r="PY264" s="8">
        <v>38033</v>
      </c>
      <c r="PZ264" s="8">
        <v>38033</v>
      </c>
      <c r="QA264" s="5" t="s">
        <v>4033</v>
      </c>
      <c r="QB264" s="6"/>
      <c r="QC264" s="4"/>
      <c r="QD264" s="4"/>
      <c r="QE264" s="4"/>
      <c r="QF264" s="4"/>
      <c r="QG264" s="4"/>
      <c r="QH264" s="5"/>
      <c r="QI264" s="6"/>
      <c r="QJ264" s="4"/>
      <c r="QK264" s="4"/>
      <c r="QL264" s="4"/>
      <c r="QM264" s="4"/>
      <c r="QN264" s="4"/>
      <c r="QO264" s="5"/>
      <c r="QP264" s="6"/>
      <c r="QQ264" s="4"/>
      <c r="QR264" s="4"/>
      <c r="QS264" s="4"/>
      <c r="QT264" s="4"/>
      <c r="QU264" s="4"/>
      <c r="QV264" s="5"/>
      <c r="QW264" s="6"/>
      <c r="QX264" s="4"/>
      <c r="QY264" s="4"/>
      <c r="QZ264" s="4"/>
      <c r="RA264" s="4"/>
      <c r="RB264" s="4"/>
      <c r="RC264" s="5"/>
      <c r="RD264" s="6"/>
      <c r="RE264" s="4"/>
      <c r="RF264" s="4"/>
      <c r="RG264" s="4"/>
      <c r="RH264" s="4"/>
      <c r="RI264" s="4"/>
      <c r="RJ264" s="5"/>
      <c r="RK264" s="6"/>
      <c r="RL264" s="4"/>
      <c r="RM264" s="4"/>
      <c r="RN264" s="4"/>
      <c r="RO264" s="4"/>
      <c r="RP264" s="4"/>
      <c r="RQ264" s="5"/>
      <c r="RR264" s="6"/>
      <c r="RS264" s="4"/>
      <c r="RT264" s="4"/>
      <c r="RU264" s="4"/>
      <c r="RV264" s="4"/>
      <c r="RW264" s="4"/>
      <c r="RX264" s="5"/>
      <c r="RY264" s="6"/>
      <c r="RZ264" s="4"/>
      <c r="SA264" s="4"/>
      <c r="SB264" s="4"/>
      <c r="SC264" s="4"/>
      <c r="SD264" s="4"/>
      <c r="SE264" s="5"/>
      <c r="SF264" s="6"/>
      <c r="SG264" s="4"/>
      <c r="SH264" s="4"/>
      <c r="SI264" s="4"/>
      <c r="SJ264" s="4"/>
      <c r="SK264" s="4"/>
      <c r="SL264" s="5"/>
      <c r="SM264" s="6"/>
      <c r="SN264" s="4"/>
      <c r="SO264" s="4"/>
      <c r="SP264" s="4"/>
      <c r="SQ264" s="4"/>
      <c r="SR264" s="4"/>
      <c r="SS264" s="5"/>
      <c r="ST264" s="6"/>
      <c r="SU264" s="4"/>
      <c r="SV264" s="4"/>
      <c r="SW264" s="4"/>
      <c r="SX264" s="4"/>
      <c r="SY264" s="4"/>
      <c r="SZ264" s="5"/>
      <c r="TA264" s="6"/>
      <c r="TB264" s="4"/>
      <c r="TC264" s="4"/>
      <c r="TD264" s="4"/>
      <c r="TE264" s="4"/>
      <c r="TF264" s="4"/>
      <c r="TG264" s="5"/>
      <c r="TH264" s="6"/>
      <c r="TI264" s="4"/>
      <c r="TJ264" s="4"/>
      <c r="TK264" s="4"/>
      <c r="TL264" s="4"/>
      <c r="TM264" s="4"/>
      <c r="TN264" s="5"/>
      <c r="TO264" s="6"/>
      <c r="TP264" s="4"/>
      <c r="TQ264" s="4"/>
      <c r="TR264" s="4"/>
      <c r="TS264" s="4"/>
      <c r="TT264" s="4"/>
      <c r="TU264" s="5"/>
      <c r="TV264" s="6"/>
      <c r="TW264" s="4"/>
      <c r="TX264" s="4"/>
      <c r="TY264" s="4"/>
      <c r="TZ264" s="4"/>
      <c r="UA264" s="4"/>
      <c r="UB264" s="5"/>
      <c r="UC264" s="6"/>
      <c r="UD264" s="4"/>
      <c r="UE264" s="4"/>
      <c r="UF264" s="4"/>
      <c r="UG264" s="4"/>
      <c r="UH264" s="4"/>
      <c r="UI264" s="5"/>
      <c r="UJ264" s="6"/>
      <c r="UK264" s="4"/>
      <c r="UL264" s="4"/>
      <c r="UM264" s="4"/>
      <c r="UN264" s="4"/>
      <c r="UO264" s="4"/>
      <c r="UP264" s="5"/>
      <c r="UQ264" s="6"/>
      <c r="UR264" s="4"/>
      <c r="US264" s="4"/>
      <c r="UT264" s="4"/>
      <c r="UU264" s="4"/>
      <c r="UV264" s="4"/>
      <c r="UW264" s="5"/>
      <c r="UX264" s="6" t="s">
        <v>1996</v>
      </c>
      <c r="UY264" s="4" t="s">
        <v>1997</v>
      </c>
      <c r="UZ264" s="4"/>
      <c r="VA264" s="4"/>
      <c r="VB264" s="4"/>
      <c r="VC264" s="4"/>
      <c r="VD264" s="5" t="s">
        <v>4034</v>
      </c>
      <c r="VE264" s="6"/>
      <c r="VF264" s="4"/>
      <c r="VG264" s="4"/>
      <c r="VH264" s="4"/>
      <c r="VI264" s="4"/>
      <c r="VJ264" s="4"/>
      <c r="VK264" s="5"/>
      <c r="VL264" s="6" t="s">
        <v>2285</v>
      </c>
      <c r="VM264" s="4" t="s">
        <v>2286</v>
      </c>
      <c r="VN264" s="4"/>
      <c r="VO264" s="4" t="s">
        <v>1847</v>
      </c>
      <c r="VP264" s="8">
        <v>38033</v>
      </c>
      <c r="VQ264" s="8">
        <v>38044</v>
      </c>
      <c r="VR264" s="5" t="s">
        <v>4035</v>
      </c>
      <c r="VS264" s="6"/>
      <c r="VT264" s="4"/>
      <c r="VU264" s="4"/>
      <c r="VV264" s="4"/>
      <c r="VW264" s="4"/>
      <c r="VX264" s="4"/>
      <c r="VY264" s="5"/>
      <c r="VZ264" s="6"/>
      <c r="WA264" s="4"/>
      <c r="WB264" s="4"/>
      <c r="WC264" s="4"/>
      <c r="WD264" s="4"/>
      <c r="WE264" s="4"/>
      <c r="WF264" s="5"/>
      <c r="WG264" s="6"/>
      <c r="WH264" s="4"/>
      <c r="WI264" s="4"/>
      <c r="WJ264" s="4"/>
      <c r="WK264" s="4"/>
      <c r="WL264" s="4"/>
      <c r="WM264" s="5"/>
      <c r="WN264" s="6"/>
      <c r="WO264" s="4"/>
      <c r="WP264" s="4"/>
      <c r="WQ264" s="4"/>
      <c r="WR264" s="4"/>
      <c r="WS264" s="4"/>
      <c r="WT264" s="5"/>
      <c r="WU264" s="6"/>
      <c r="WV264" s="4"/>
      <c r="WW264" s="4"/>
      <c r="WX264" s="4"/>
      <c r="WY264" s="4"/>
      <c r="WZ264" s="4"/>
      <c r="XA264" s="5"/>
      <c r="XB264" s="6"/>
      <c r="XC264" s="4"/>
      <c r="XD264" s="4"/>
      <c r="XE264" s="4"/>
      <c r="XF264" s="4"/>
      <c r="XG264" s="4"/>
      <c r="XH264" s="5"/>
      <c r="XI264" s="6"/>
      <c r="XJ264" s="4"/>
      <c r="XK264" s="4"/>
      <c r="XL264" s="4"/>
      <c r="XM264" s="4"/>
      <c r="XN264" s="4"/>
      <c r="XO264" s="5"/>
      <c r="XP264" s="6"/>
      <c r="XQ264" s="4"/>
      <c r="XR264" s="4"/>
      <c r="XS264" s="4"/>
      <c r="XT264" s="4"/>
      <c r="XU264" s="4"/>
      <c r="XV264" s="5"/>
      <c r="XW264" s="6"/>
      <c r="XX264" s="4"/>
      <c r="XY264" s="4"/>
      <c r="XZ264" s="4"/>
      <c r="YA264" s="4"/>
      <c r="YB264" s="4"/>
      <c r="YC264" s="5"/>
      <c r="YD264" s="6"/>
      <c r="YE264" s="4"/>
      <c r="YF264" s="4"/>
      <c r="YG264" s="4"/>
      <c r="YH264" s="4"/>
      <c r="YI264" s="4"/>
      <c r="YJ264" s="5"/>
      <c r="YK264" s="6"/>
      <c r="YL264" s="4"/>
      <c r="YM264" s="4"/>
      <c r="YN264" s="4"/>
      <c r="YO264" s="4"/>
      <c r="YP264" s="4"/>
      <c r="YQ264" s="5"/>
      <c r="YR264" s="6"/>
      <c r="YS264" s="4"/>
      <c r="YT264" s="4"/>
      <c r="YU264" s="4"/>
      <c r="YV264" s="4"/>
      <c r="YW264" s="4"/>
      <c r="YX264" s="5"/>
      <c r="YY264" s="6"/>
      <c r="YZ264" s="4"/>
      <c r="ZA264" s="4"/>
      <c r="ZB264" s="4"/>
      <c r="ZC264" s="4"/>
      <c r="ZD264" s="4"/>
      <c r="ZE264" s="5"/>
      <c r="ZF264" s="6"/>
      <c r="ZG264" s="4"/>
      <c r="ZH264" s="4"/>
      <c r="ZI264" s="4"/>
      <c r="ZJ264" s="4"/>
      <c r="ZK264" s="4"/>
      <c r="ZL264" s="5"/>
      <c r="ZM264" s="6"/>
      <c r="ZN264" s="4"/>
      <c r="ZO264" s="4"/>
      <c r="ZP264" s="4"/>
      <c r="ZQ264" s="4"/>
      <c r="ZR264" s="4"/>
      <c r="ZS264" s="5"/>
      <c r="ZT264" s="6"/>
      <c r="ZU264" s="4"/>
      <c r="ZV264" s="4"/>
      <c r="ZW264" s="4"/>
      <c r="ZX264" s="4"/>
      <c r="ZY264" s="4"/>
      <c r="ZZ264" s="5"/>
      <c r="AAA264" s="6"/>
      <c r="AAB264" s="4"/>
      <c r="AAC264" s="4"/>
      <c r="AAD264" s="4"/>
      <c r="AAE264" s="4"/>
      <c r="AAF264" s="4"/>
      <c r="AAG264" s="5"/>
      <c r="AAH264" s="6"/>
      <c r="AAI264" s="4"/>
      <c r="AAJ264" s="4"/>
      <c r="AAK264" s="4"/>
      <c r="AAL264" s="4"/>
      <c r="AAM264" s="4"/>
      <c r="AAN264" s="5"/>
      <c r="AAO264" s="6"/>
      <c r="AAP264" s="4"/>
      <c r="AAQ264" s="4"/>
      <c r="AAR264" s="4"/>
      <c r="AAS264" s="4"/>
      <c r="AAT264" s="4"/>
      <c r="AAU264" s="5"/>
      <c r="AAV264" s="6"/>
      <c r="AAW264" s="4"/>
      <c r="AAX264" s="4"/>
      <c r="AAY264" s="4"/>
      <c r="AAZ264" s="4"/>
      <c r="ABA264" s="4"/>
      <c r="ABB264" s="5"/>
      <c r="ABC264" s="6"/>
      <c r="ABD264" s="4"/>
      <c r="ABE264" s="4"/>
      <c r="ABF264" s="4"/>
      <c r="ABG264" s="4"/>
      <c r="ABH264" s="4"/>
      <c r="ABI264" s="5"/>
      <c r="ABJ264" s="6"/>
      <c r="ABK264" s="4"/>
      <c r="ABL264" s="4"/>
      <c r="ABM264" s="4"/>
      <c r="ABN264" s="4"/>
      <c r="ABO264" s="4"/>
      <c r="ABP264" s="5"/>
      <c r="ABQ264" s="6"/>
      <c r="ABR264" s="4"/>
      <c r="ABS264" s="4"/>
      <c r="ABT264" s="4"/>
      <c r="ABU264" s="4"/>
      <c r="ABV264" s="4"/>
      <c r="ABW264" s="5"/>
      <c r="ABX264" s="6"/>
      <c r="ABY264" s="4"/>
      <c r="ABZ264" s="4"/>
      <c r="ACA264" s="4"/>
      <c r="ACB264" s="4"/>
      <c r="ACC264" s="4"/>
      <c r="ACD264" s="5"/>
      <c r="ACE264" s="6"/>
      <c r="ACF264" s="4"/>
      <c r="ACG264" s="4"/>
      <c r="ACH264" s="4"/>
      <c r="ACI264" s="4"/>
      <c r="ACJ264" s="4"/>
      <c r="ACK264" s="5"/>
      <c r="ACL264" s="6"/>
      <c r="ACM264" s="4"/>
      <c r="ACN264" s="4"/>
      <c r="ACO264" s="4"/>
      <c r="ACP264" s="4"/>
      <c r="ACQ264" s="4"/>
      <c r="ACR264" s="5"/>
      <c r="ACS264" s="6"/>
      <c r="ACT264" s="4"/>
      <c r="ACU264" s="4"/>
      <c r="ACV264" s="4"/>
      <c r="ACW264" s="4"/>
      <c r="ACX264" s="4"/>
      <c r="ACY264" s="5"/>
      <c r="ADU264" t="s">
        <v>4094</v>
      </c>
      <c r="ADV264" t="s">
        <v>4037</v>
      </c>
      <c r="ADY264" t="s">
        <v>3722</v>
      </c>
    </row>
    <row r="265" spans="1:805" x14ac:dyDescent="0.25">
      <c r="E265" s="23"/>
      <c r="J265" s="12"/>
      <c r="K265" s="12"/>
      <c r="L265" s="12"/>
      <c r="LL265" s="6"/>
      <c r="LM265" s="4"/>
      <c r="LN265" s="4"/>
      <c r="LO265" s="4"/>
      <c r="LP265" s="4"/>
      <c r="LQ265" s="4"/>
      <c r="LR265" s="5"/>
      <c r="LS265" s="6"/>
      <c r="LT265" s="4"/>
      <c r="LU265" s="4"/>
      <c r="LV265" s="4"/>
      <c r="LW265" s="4"/>
      <c r="LX265" s="4"/>
      <c r="LY265" s="5"/>
      <c r="LZ265" s="6" t="s">
        <v>1821</v>
      </c>
      <c r="MA265" s="7" t="s">
        <v>1670</v>
      </c>
      <c r="MB265" s="4"/>
      <c r="MC265" s="4" t="s">
        <v>1672</v>
      </c>
      <c r="MD265" s="8">
        <v>38029</v>
      </c>
      <c r="ME265" s="8">
        <v>38029</v>
      </c>
      <c r="MF265" s="8"/>
      <c r="MG265" s="5" t="s">
        <v>4031</v>
      </c>
      <c r="MH265" s="6"/>
      <c r="MI265" s="4"/>
      <c r="MJ265" s="4"/>
      <c r="MK265" s="4"/>
      <c r="ML265" s="4"/>
      <c r="MM265" s="4"/>
      <c r="MN265" s="5"/>
      <c r="MO265" s="6"/>
      <c r="MP265" s="4"/>
      <c r="MQ265" s="4"/>
      <c r="MR265" s="4"/>
      <c r="MS265" s="4"/>
      <c r="MT265" s="4"/>
      <c r="MU265" s="5"/>
      <c r="MV265" s="6"/>
      <c r="MW265" s="4"/>
      <c r="MX265" s="4"/>
      <c r="MY265" s="4"/>
      <c r="MZ265" s="4"/>
      <c r="NA265" s="4"/>
      <c r="NB265" s="5"/>
      <c r="NC265" s="6"/>
      <c r="ND265" s="4"/>
      <c r="NE265" s="4"/>
      <c r="NF265" s="4"/>
      <c r="NG265" s="4"/>
      <c r="NH265" s="4"/>
      <c r="NI265" s="5"/>
      <c r="NJ265" s="6"/>
      <c r="NK265" s="4"/>
      <c r="NL265" s="4"/>
      <c r="NM265" s="4"/>
      <c r="NN265" s="4"/>
      <c r="NO265" s="4"/>
      <c r="NP265" s="5"/>
      <c r="NQ265" s="6"/>
      <c r="NR265" s="4"/>
      <c r="NS265" s="4"/>
      <c r="NT265" s="4"/>
      <c r="NU265" s="4"/>
      <c r="NV265" s="4"/>
      <c r="NW265" s="5"/>
      <c r="NX265" s="6"/>
      <c r="NY265" s="4"/>
      <c r="NZ265" s="4"/>
      <c r="OA265" s="4"/>
      <c r="OB265" s="4"/>
      <c r="OC265" s="4"/>
      <c r="OD265" s="5"/>
      <c r="OE265" s="6"/>
      <c r="OF265" s="4"/>
      <c r="OG265" s="4"/>
      <c r="OH265" s="4"/>
      <c r="OI265" s="4"/>
      <c r="OJ265" s="4"/>
      <c r="OK265" s="5"/>
      <c r="OL265" s="6"/>
      <c r="OM265" s="4"/>
      <c r="ON265" s="4"/>
      <c r="OO265" s="4"/>
      <c r="OP265" s="4"/>
      <c r="OQ265" s="4"/>
      <c r="OR265" s="5"/>
      <c r="OS265" s="6"/>
      <c r="OT265" s="4"/>
      <c r="OU265" s="4"/>
      <c r="OV265" s="4"/>
      <c r="OW265" s="4"/>
      <c r="OX265" s="4"/>
      <c r="OY265" s="5"/>
      <c r="OZ265" s="6"/>
      <c r="PA265" s="4"/>
      <c r="PB265" s="4"/>
      <c r="PC265" s="4"/>
      <c r="PD265" s="4"/>
      <c r="PE265" s="4"/>
      <c r="PF265" s="5"/>
      <c r="PG265" s="6"/>
      <c r="PH265" s="4"/>
      <c r="PI265" s="4"/>
      <c r="PJ265" s="4"/>
      <c r="PK265" s="4"/>
      <c r="PL265" s="4"/>
      <c r="PM265" s="5"/>
      <c r="PN265" s="6"/>
      <c r="PO265" s="4"/>
      <c r="PP265" s="4"/>
      <c r="PQ265" s="4"/>
      <c r="PR265" s="4"/>
      <c r="PS265" s="4"/>
      <c r="PT265" s="5"/>
      <c r="PU265" s="6"/>
      <c r="PV265" s="4"/>
      <c r="PW265" s="4"/>
      <c r="PX265" s="4"/>
      <c r="PY265" s="4"/>
      <c r="PZ265" s="4"/>
      <c r="QA265" s="5"/>
      <c r="QB265" s="6"/>
      <c r="QC265" s="4"/>
      <c r="QD265" s="4"/>
      <c r="QE265" s="4"/>
      <c r="QF265" s="4"/>
      <c r="QG265" s="4"/>
      <c r="QH265" s="5"/>
      <c r="QI265" s="6"/>
      <c r="QJ265" s="4"/>
      <c r="QK265" s="4"/>
      <c r="QL265" s="4"/>
      <c r="QM265" s="4"/>
      <c r="QN265" s="4"/>
      <c r="QO265" s="5"/>
      <c r="QP265" s="6"/>
      <c r="QQ265" s="4"/>
      <c r="QR265" s="4"/>
      <c r="QS265" s="4"/>
      <c r="QT265" s="4"/>
      <c r="QU265" s="4"/>
      <c r="QV265" s="5"/>
      <c r="QW265" s="6"/>
      <c r="QX265" s="4"/>
      <c r="QY265" s="4"/>
      <c r="QZ265" s="4"/>
      <c r="RA265" s="4"/>
      <c r="RB265" s="4"/>
      <c r="RC265" s="5"/>
      <c r="RD265" s="6"/>
      <c r="RE265" s="4"/>
      <c r="RF265" s="4"/>
      <c r="RG265" s="4"/>
      <c r="RH265" s="4"/>
      <c r="RI265" s="4"/>
      <c r="RJ265" s="5"/>
      <c r="RK265" s="6"/>
      <c r="RL265" s="4"/>
      <c r="RM265" s="4"/>
      <c r="RN265" s="4"/>
      <c r="RO265" s="4"/>
      <c r="RP265" s="4"/>
      <c r="RQ265" s="5"/>
      <c r="RR265" s="6"/>
      <c r="RS265" s="4"/>
      <c r="RT265" s="4"/>
      <c r="RU265" s="4"/>
      <c r="RV265" s="4"/>
      <c r="RW265" s="4"/>
      <c r="RX265" s="5"/>
      <c r="RY265" s="6"/>
      <c r="RZ265" s="4"/>
      <c r="SA265" s="4"/>
      <c r="SB265" s="4"/>
      <c r="SC265" s="4"/>
      <c r="SD265" s="4"/>
      <c r="SE265" s="5"/>
      <c r="SF265" s="6"/>
      <c r="SG265" s="4"/>
      <c r="SH265" s="4"/>
      <c r="SI265" s="4"/>
      <c r="SJ265" s="4"/>
      <c r="SK265" s="4"/>
      <c r="SL265" s="5"/>
      <c r="SM265" s="6"/>
      <c r="SN265" s="4"/>
      <c r="SO265" s="4"/>
      <c r="SP265" s="4"/>
      <c r="SQ265" s="4"/>
      <c r="SR265" s="4"/>
      <c r="SS265" s="5"/>
      <c r="ST265" s="6"/>
      <c r="SU265" s="4"/>
      <c r="SV265" s="4"/>
      <c r="SW265" s="4"/>
      <c r="SX265" s="4"/>
      <c r="SY265" s="4"/>
      <c r="SZ265" s="5"/>
      <c r="TA265" s="6"/>
      <c r="TB265" s="4"/>
      <c r="TC265" s="4"/>
      <c r="TD265" s="4"/>
      <c r="TE265" s="4"/>
      <c r="TF265" s="4"/>
      <c r="TG265" s="5"/>
      <c r="TH265" s="6"/>
      <c r="TI265" s="4"/>
      <c r="TJ265" s="4"/>
      <c r="TK265" s="4"/>
      <c r="TL265" s="4"/>
      <c r="TM265" s="4"/>
      <c r="TN265" s="5"/>
      <c r="TO265" s="6"/>
      <c r="TP265" s="4"/>
      <c r="TQ265" s="4"/>
      <c r="TR265" s="4"/>
      <c r="TS265" s="4"/>
      <c r="TT265" s="4"/>
      <c r="TU265" s="5"/>
      <c r="TV265" s="6"/>
      <c r="TW265" s="4"/>
      <c r="TX265" s="4"/>
      <c r="TY265" s="4"/>
      <c r="TZ265" s="4"/>
      <c r="UA265" s="4"/>
      <c r="UB265" s="5"/>
      <c r="UC265" s="6"/>
      <c r="UD265" s="4"/>
      <c r="UE265" s="4"/>
      <c r="UF265" s="4"/>
      <c r="UG265" s="4"/>
      <c r="UH265" s="4"/>
      <c r="UI265" s="5"/>
      <c r="UJ265" s="6"/>
      <c r="UK265" s="4"/>
      <c r="UL265" s="4"/>
      <c r="UM265" s="4"/>
      <c r="UN265" s="4"/>
      <c r="UO265" s="4"/>
      <c r="UP265" s="5"/>
      <c r="UQ265" s="6"/>
      <c r="UR265" s="4"/>
      <c r="US265" s="4"/>
      <c r="UT265" s="4"/>
      <c r="UU265" s="4"/>
      <c r="UV265" s="4"/>
      <c r="UW265" s="5"/>
      <c r="UX265" s="6"/>
      <c r="UY265" s="4"/>
      <c r="UZ265" s="4"/>
      <c r="VA265" s="4"/>
      <c r="VB265" s="4"/>
      <c r="VC265" s="4"/>
      <c r="VD265" s="5"/>
      <c r="VE265" s="6"/>
      <c r="VF265" s="4"/>
      <c r="VG265" s="4"/>
      <c r="VH265" s="4"/>
      <c r="VI265" s="4"/>
      <c r="VJ265" s="4"/>
      <c r="VK265" s="5"/>
      <c r="VL265" s="6" t="s">
        <v>2762</v>
      </c>
      <c r="VM265" s="4" t="s">
        <v>2798</v>
      </c>
      <c r="VN265" s="4" t="s">
        <v>1994</v>
      </c>
      <c r="VO265" s="7" t="s">
        <v>1672</v>
      </c>
      <c r="VP265" s="9">
        <v>38033</v>
      </c>
      <c r="VQ265" s="8">
        <v>38033</v>
      </c>
      <c r="VR265" s="5" t="s">
        <v>4036</v>
      </c>
      <c r="VS265" s="6"/>
      <c r="VT265" s="4"/>
      <c r="VU265" s="4"/>
      <c r="VV265" s="4"/>
      <c r="VW265" s="4"/>
      <c r="VX265" s="4"/>
      <c r="VY265" s="5"/>
      <c r="VZ265" s="6"/>
      <c r="WA265" s="4"/>
      <c r="WB265" s="4"/>
      <c r="WC265" s="4"/>
      <c r="WD265" s="4"/>
      <c r="WE265" s="4"/>
      <c r="WF265" s="5"/>
      <c r="WG265" s="6"/>
      <c r="WH265" s="4"/>
      <c r="WI265" s="4"/>
      <c r="WJ265" s="4"/>
      <c r="WK265" s="4"/>
      <c r="WL265" s="4"/>
      <c r="WM265" s="5"/>
      <c r="WN265" s="6"/>
      <c r="WO265" s="4"/>
      <c r="WP265" s="4"/>
      <c r="WQ265" s="4"/>
      <c r="WR265" s="4"/>
      <c r="WS265" s="4"/>
      <c r="WT265" s="5"/>
      <c r="WU265" s="6"/>
      <c r="WV265" s="4"/>
      <c r="WW265" s="4"/>
      <c r="WX265" s="4"/>
      <c r="WY265" s="4"/>
      <c r="WZ265" s="4"/>
      <c r="XA265" s="5"/>
      <c r="XB265" s="6"/>
      <c r="XC265" s="4"/>
      <c r="XD265" s="4"/>
      <c r="XE265" s="4"/>
      <c r="XF265" s="4"/>
      <c r="XG265" s="4"/>
      <c r="XH265" s="5"/>
      <c r="XI265" s="6"/>
      <c r="XJ265" s="4"/>
      <c r="XK265" s="4"/>
      <c r="XL265" s="4"/>
      <c r="XM265" s="4"/>
      <c r="XN265" s="4"/>
      <c r="XO265" s="5"/>
      <c r="XP265" s="6"/>
      <c r="XQ265" s="4"/>
      <c r="XR265" s="4"/>
      <c r="XS265" s="4"/>
      <c r="XT265" s="4"/>
      <c r="XU265" s="4"/>
      <c r="XV265" s="5"/>
      <c r="XW265" s="6"/>
      <c r="XX265" s="4"/>
      <c r="XY265" s="4"/>
      <c r="XZ265" s="4"/>
      <c r="YA265" s="4"/>
      <c r="YB265" s="4"/>
      <c r="YC265" s="5"/>
      <c r="YD265" s="6"/>
      <c r="YE265" s="4"/>
      <c r="YF265" s="4"/>
      <c r="YG265" s="4"/>
      <c r="YH265" s="4"/>
      <c r="YI265" s="4"/>
      <c r="YJ265" s="5"/>
      <c r="YK265" s="6"/>
      <c r="YL265" s="4"/>
      <c r="YM265" s="4"/>
      <c r="YN265" s="4"/>
      <c r="YO265" s="4"/>
      <c r="YP265" s="4"/>
      <c r="YQ265" s="5"/>
      <c r="YR265" s="6"/>
      <c r="YS265" s="4"/>
      <c r="YT265" s="4"/>
      <c r="YU265" s="4"/>
      <c r="YV265" s="4"/>
      <c r="YW265" s="4"/>
      <c r="YX265" s="5"/>
      <c r="YY265" s="6"/>
      <c r="YZ265" s="4"/>
      <c r="ZA265" s="4"/>
      <c r="ZB265" s="4"/>
      <c r="ZC265" s="4"/>
      <c r="ZD265" s="4"/>
      <c r="ZE265" s="5"/>
      <c r="ZF265" s="6"/>
      <c r="ZG265" s="4"/>
      <c r="ZH265" s="4"/>
      <c r="ZI265" s="4"/>
      <c r="ZJ265" s="4"/>
      <c r="ZK265" s="4"/>
      <c r="ZL265" s="5"/>
      <c r="ZM265" s="6"/>
      <c r="ZN265" s="4"/>
      <c r="ZO265" s="4"/>
      <c r="ZP265" s="4"/>
      <c r="ZQ265" s="4"/>
      <c r="ZR265" s="4"/>
      <c r="ZS265" s="5"/>
      <c r="ZT265" s="6"/>
      <c r="ZU265" s="4"/>
      <c r="ZV265" s="4"/>
      <c r="ZW265" s="4"/>
      <c r="ZX265" s="4"/>
      <c r="ZY265" s="4"/>
      <c r="ZZ265" s="5"/>
      <c r="AAA265" s="6"/>
      <c r="AAB265" s="4"/>
      <c r="AAC265" s="4"/>
      <c r="AAD265" s="4"/>
      <c r="AAE265" s="4"/>
      <c r="AAF265" s="4"/>
      <c r="AAG265" s="5"/>
      <c r="AAH265" s="6"/>
      <c r="AAI265" s="4"/>
      <c r="AAJ265" s="4"/>
      <c r="AAK265" s="4"/>
      <c r="AAL265" s="4"/>
      <c r="AAM265" s="4"/>
      <c r="AAN265" s="5"/>
      <c r="AAO265" s="6"/>
      <c r="AAP265" s="4"/>
      <c r="AAQ265" s="4"/>
      <c r="AAR265" s="4"/>
      <c r="AAS265" s="4"/>
      <c r="AAT265" s="4"/>
      <c r="AAU265" s="5"/>
      <c r="AAV265" s="6"/>
      <c r="AAW265" s="4"/>
      <c r="AAX265" s="4"/>
      <c r="AAY265" s="4"/>
      <c r="AAZ265" s="4"/>
      <c r="ABA265" s="4"/>
      <c r="ABB265" s="5"/>
      <c r="ABC265" s="6"/>
      <c r="ABD265" s="4"/>
      <c r="ABE265" s="4"/>
      <c r="ABF265" s="4"/>
      <c r="ABG265" s="4"/>
      <c r="ABH265" s="4"/>
      <c r="ABI265" s="5"/>
      <c r="ABJ265" s="6"/>
      <c r="ABK265" s="4"/>
      <c r="ABL265" s="4"/>
      <c r="ABM265" s="4"/>
      <c r="ABN265" s="4"/>
      <c r="ABO265" s="4"/>
      <c r="ABP265" s="5"/>
      <c r="ABQ265" s="6"/>
      <c r="ABR265" s="4"/>
      <c r="ABS265" s="4"/>
      <c r="ABT265" s="4"/>
      <c r="ABU265" s="4"/>
      <c r="ABV265" s="4"/>
      <c r="ABW265" s="5"/>
      <c r="ABX265" s="6"/>
      <c r="ABY265" s="4"/>
      <c r="ABZ265" s="4"/>
      <c r="ACA265" s="4"/>
      <c r="ACB265" s="4"/>
      <c r="ACC265" s="4"/>
      <c r="ACD265" s="5"/>
      <c r="ACE265" s="6"/>
      <c r="ACF265" s="4"/>
      <c r="ACG265" s="4"/>
      <c r="ACH265" s="4"/>
      <c r="ACI265" s="4"/>
      <c r="ACJ265" s="4"/>
      <c r="ACK265" s="5"/>
      <c r="ACL265" s="6"/>
      <c r="ACM265" s="4"/>
      <c r="ACN265" s="4"/>
      <c r="ACO265" s="4"/>
      <c r="ACP265" s="4"/>
      <c r="ACQ265" s="4"/>
      <c r="ACR265" s="5"/>
      <c r="ACS265" s="6"/>
      <c r="ACT265" s="4"/>
      <c r="ACU265" s="4"/>
      <c r="ACV265" s="4"/>
      <c r="ACW265" s="4"/>
      <c r="ACX265" s="4"/>
      <c r="ACY265" s="5"/>
    </row>
    <row r="266" spans="1:805" x14ac:dyDescent="0.25">
      <c r="E266" s="23"/>
      <c r="J266" s="12"/>
      <c r="K266" s="12"/>
      <c r="L266" s="12"/>
      <c r="LL266" s="6"/>
      <c r="LM266" s="4"/>
      <c r="LN266" s="4"/>
      <c r="LO266" s="4"/>
      <c r="LP266" s="4"/>
      <c r="LQ266" s="4"/>
      <c r="LR266" s="5"/>
      <c r="LS266" s="6"/>
      <c r="LT266" s="4"/>
      <c r="LU266" s="4"/>
      <c r="LV266" s="4"/>
      <c r="LW266" s="4"/>
      <c r="LX266" s="4"/>
      <c r="LY266" s="5"/>
      <c r="LZ266" s="6" t="s">
        <v>1673</v>
      </c>
      <c r="MA266" s="7" t="s">
        <v>1992</v>
      </c>
      <c r="MB266" s="4" t="s">
        <v>1993</v>
      </c>
      <c r="MC266" s="7" t="s">
        <v>1672</v>
      </c>
      <c r="MD266" s="8">
        <v>38030</v>
      </c>
      <c r="ME266" s="8">
        <v>38030</v>
      </c>
      <c r="MF266" s="8" t="s">
        <v>3787</v>
      </c>
      <c r="MG266" s="5" t="s">
        <v>4162</v>
      </c>
      <c r="MH266" s="6"/>
      <c r="MI266" s="4"/>
      <c r="MJ266" s="4"/>
      <c r="MK266" s="4"/>
      <c r="ML266" s="4"/>
      <c r="MM266" s="4"/>
      <c r="MN266" s="5"/>
      <c r="MO266" s="6"/>
      <c r="MP266" s="4"/>
      <c r="MQ266" s="4"/>
      <c r="MR266" s="4"/>
      <c r="MS266" s="4"/>
      <c r="MT266" s="4"/>
      <c r="MU266" s="5"/>
      <c r="MV266" s="6"/>
      <c r="MW266" s="4"/>
      <c r="MX266" s="4"/>
      <c r="MY266" s="4"/>
      <c r="MZ266" s="4"/>
      <c r="NA266" s="4"/>
      <c r="NB266" s="5"/>
      <c r="NC266" s="6"/>
      <c r="ND266" s="4"/>
      <c r="NE266" s="4"/>
      <c r="NF266" s="4"/>
      <c r="NG266" s="4"/>
      <c r="NH266" s="4"/>
      <c r="NI266" s="5"/>
      <c r="NJ266" s="6"/>
      <c r="NK266" s="4"/>
      <c r="NL266" s="4"/>
      <c r="NM266" s="4"/>
      <c r="NN266" s="4"/>
      <c r="NO266" s="4"/>
      <c r="NP266" s="5"/>
      <c r="NQ266" s="6"/>
      <c r="NR266" s="4"/>
      <c r="NS266" s="4"/>
      <c r="NT266" s="4"/>
      <c r="NU266" s="4"/>
      <c r="NV266" s="4"/>
      <c r="NW266" s="5"/>
      <c r="NX266" s="6"/>
      <c r="NY266" s="4"/>
      <c r="NZ266" s="4"/>
      <c r="OA266" s="4"/>
      <c r="OB266" s="4"/>
      <c r="OC266" s="4"/>
      <c r="OD266" s="5"/>
      <c r="OE266" s="6"/>
      <c r="OF266" s="4"/>
      <c r="OG266" s="4"/>
      <c r="OH266" s="4"/>
      <c r="OI266" s="4"/>
      <c r="OJ266" s="4"/>
      <c r="OK266" s="5"/>
      <c r="OL266" s="6"/>
      <c r="OM266" s="4"/>
      <c r="ON266" s="4"/>
      <c r="OO266" s="4"/>
      <c r="OP266" s="4"/>
      <c r="OQ266" s="4"/>
      <c r="OR266" s="5"/>
      <c r="OS266" s="6"/>
      <c r="OT266" s="4"/>
      <c r="OU266" s="4"/>
      <c r="OV266" s="4"/>
      <c r="OW266" s="4"/>
      <c r="OX266" s="4"/>
      <c r="OY266" s="5"/>
      <c r="OZ266" s="6"/>
      <c r="PA266" s="4"/>
      <c r="PB266" s="4"/>
      <c r="PC266" s="4"/>
      <c r="PD266" s="4"/>
      <c r="PE266" s="4"/>
      <c r="PF266" s="5"/>
      <c r="PG266" s="6"/>
      <c r="PH266" s="4"/>
      <c r="PI266" s="4"/>
      <c r="PJ266" s="4"/>
      <c r="PK266" s="4"/>
      <c r="PL266" s="4"/>
      <c r="PM266" s="5"/>
      <c r="PN266" s="6"/>
      <c r="PO266" s="4"/>
      <c r="PP266" s="4"/>
      <c r="PQ266" s="4"/>
      <c r="PR266" s="4"/>
      <c r="PS266" s="4"/>
      <c r="PT266" s="5"/>
      <c r="PU266" s="6"/>
      <c r="PV266" s="4"/>
      <c r="PW266" s="4"/>
      <c r="PX266" s="4"/>
      <c r="PY266" s="4"/>
      <c r="PZ266" s="4"/>
      <c r="QA266" s="5"/>
      <c r="QB266" s="6"/>
      <c r="QC266" s="4"/>
      <c r="QD266" s="4"/>
      <c r="QE266" s="4"/>
      <c r="QF266" s="4"/>
      <c r="QG266" s="4"/>
      <c r="QH266" s="5"/>
      <c r="QI266" s="6"/>
      <c r="QJ266" s="4"/>
      <c r="QK266" s="4"/>
      <c r="QL266" s="4"/>
      <c r="QM266" s="4"/>
      <c r="QN266" s="4"/>
      <c r="QO266" s="5"/>
      <c r="QP266" s="6"/>
      <c r="QQ266" s="4"/>
      <c r="QR266" s="4"/>
      <c r="QS266" s="4"/>
      <c r="QT266" s="4"/>
      <c r="QU266" s="4"/>
      <c r="QV266" s="5"/>
      <c r="QW266" s="6"/>
      <c r="QX266" s="4"/>
      <c r="QY266" s="4"/>
      <c r="QZ266" s="4"/>
      <c r="RA266" s="4"/>
      <c r="RB266" s="4"/>
      <c r="RC266" s="5"/>
      <c r="RD266" s="6"/>
      <c r="RE266" s="4"/>
      <c r="RF266" s="4"/>
      <c r="RG266" s="4"/>
      <c r="RH266" s="4"/>
      <c r="RI266" s="4"/>
      <c r="RJ266" s="5"/>
      <c r="RK266" s="6"/>
      <c r="RL266" s="4"/>
      <c r="RM266" s="4"/>
      <c r="RN266" s="4"/>
      <c r="RO266" s="4"/>
      <c r="RP266" s="4"/>
      <c r="RQ266" s="5"/>
      <c r="RR266" s="6"/>
      <c r="RS266" s="4"/>
      <c r="RT266" s="4"/>
      <c r="RU266" s="4"/>
      <c r="RV266" s="4"/>
      <c r="RW266" s="4"/>
      <c r="RX266" s="5"/>
      <c r="RY266" s="6"/>
      <c r="RZ266" s="4"/>
      <c r="SA266" s="4"/>
      <c r="SB266" s="4"/>
      <c r="SC266" s="4"/>
      <c r="SD266" s="4"/>
      <c r="SE266" s="5"/>
      <c r="SF266" s="6"/>
      <c r="SG266" s="4"/>
      <c r="SH266" s="4"/>
      <c r="SI266" s="4"/>
      <c r="SJ266" s="4"/>
      <c r="SK266" s="4"/>
      <c r="SL266" s="5"/>
      <c r="SM266" s="6"/>
      <c r="SN266" s="4"/>
      <c r="SO266" s="4"/>
      <c r="SP266" s="4"/>
      <c r="SQ266" s="4"/>
      <c r="SR266" s="4"/>
      <c r="SS266" s="5"/>
      <c r="ST266" s="6"/>
      <c r="SU266" s="4"/>
      <c r="SV266" s="4"/>
      <c r="SW266" s="4"/>
      <c r="SX266" s="4"/>
      <c r="SY266" s="4"/>
      <c r="SZ266" s="5"/>
      <c r="TA266" s="6"/>
      <c r="TB266" s="4"/>
      <c r="TC266" s="4"/>
      <c r="TD266" s="4"/>
      <c r="TE266" s="4"/>
      <c r="TF266" s="4"/>
      <c r="TG266" s="5"/>
      <c r="TH266" s="6"/>
      <c r="TI266" s="4"/>
      <c r="TJ266" s="4"/>
      <c r="TK266" s="4"/>
      <c r="TL266" s="4"/>
      <c r="TM266" s="4"/>
      <c r="TN266" s="5"/>
      <c r="TO266" s="6"/>
      <c r="TP266" s="4"/>
      <c r="TQ266" s="4"/>
      <c r="TR266" s="4"/>
      <c r="TS266" s="4"/>
      <c r="TT266" s="4"/>
      <c r="TU266" s="5"/>
      <c r="TV266" s="6"/>
      <c r="TW266" s="4"/>
      <c r="TX266" s="4"/>
      <c r="TY266" s="4"/>
      <c r="TZ266" s="4"/>
      <c r="UA266" s="4"/>
      <c r="UB266" s="5"/>
      <c r="UC266" s="6"/>
      <c r="UD266" s="4"/>
      <c r="UE266" s="4"/>
      <c r="UF266" s="4"/>
      <c r="UG266" s="4"/>
      <c r="UH266" s="4"/>
      <c r="UI266" s="5"/>
      <c r="UJ266" s="6"/>
      <c r="UK266" s="4"/>
      <c r="UL266" s="4"/>
      <c r="UM266" s="4"/>
      <c r="UN266" s="4"/>
      <c r="UO266" s="4"/>
      <c r="UP266" s="5"/>
      <c r="UQ266" s="6"/>
      <c r="UR266" s="4"/>
      <c r="US266" s="4"/>
      <c r="UT266" s="4"/>
      <c r="UU266" s="4"/>
      <c r="UV266" s="4"/>
      <c r="UW266" s="5"/>
      <c r="UX266" s="6"/>
      <c r="UY266" s="4"/>
      <c r="UZ266" s="4"/>
      <c r="VA266" s="4"/>
      <c r="VB266" s="4"/>
      <c r="VC266" s="4"/>
      <c r="VD266" s="5"/>
      <c r="VE266" s="6"/>
      <c r="VF266" s="4"/>
      <c r="VG266" s="4"/>
      <c r="VH266" s="4"/>
      <c r="VI266" s="4"/>
      <c r="VJ266" s="4"/>
      <c r="VK266" s="5"/>
      <c r="VL266" s="6"/>
      <c r="VM266" s="4"/>
      <c r="VN266" s="4"/>
      <c r="VO266" s="4"/>
      <c r="VP266" s="4"/>
      <c r="VQ266" s="4"/>
      <c r="VR266" s="5"/>
      <c r="VS266" s="6"/>
      <c r="VT266" s="4"/>
      <c r="VU266" s="4"/>
      <c r="VV266" s="4"/>
      <c r="VW266" s="4"/>
      <c r="VX266" s="4"/>
      <c r="VY266" s="5"/>
      <c r="VZ266" s="6"/>
      <c r="WA266" s="4"/>
      <c r="WB266" s="4"/>
      <c r="WC266" s="4"/>
      <c r="WD266" s="4"/>
      <c r="WE266" s="4"/>
      <c r="WF266" s="5"/>
      <c r="WG266" s="6"/>
      <c r="WH266" s="4"/>
      <c r="WI266" s="4"/>
      <c r="WJ266" s="4"/>
      <c r="WK266" s="4"/>
      <c r="WL266" s="4"/>
      <c r="WM266" s="5"/>
      <c r="WN266" s="6"/>
      <c r="WO266" s="4"/>
      <c r="WP266" s="4"/>
      <c r="WQ266" s="4"/>
      <c r="WR266" s="4"/>
      <c r="WS266" s="4"/>
      <c r="WT266" s="5"/>
      <c r="WU266" s="6"/>
      <c r="WV266" s="4"/>
      <c r="WW266" s="4"/>
      <c r="WX266" s="4"/>
      <c r="WY266" s="4"/>
      <c r="WZ266" s="4"/>
      <c r="XA266" s="5"/>
      <c r="XB266" s="6"/>
      <c r="XC266" s="4"/>
      <c r="XD266" s="4"/>
      <c r="XE266" s="4"/>
      <c r="XF266" s="4"/>
      <c r="XG266" s="4"/>
      <c r="XH266" s="5"/>
      <c r="XI266" s="6"/>
      <c r="XJ266" s="4"/>
      <c r="XK266" s="4"/>
      <c r="XL266" s="4"/>
      <c r="XM266" s="4"/>
      <c r="XN266" s="4"/>
      <c r="XO266" s="5"/>
      <c r="XP266" s="6"/>
      <c r="XQ266" s="4"/>
      <c r="XR266" s="4"/>
      <c r="XS266" s="4"/>
      <c r="XT266" s="4"/>
      <c r="XU266" s="4"/>
      <c r="XV266" s="5"/>
      <c r="XW266" s="6"/>
      <c r="XX266" s="4"/>
      <c r="XY266" s="4"/>
      <c r="XZ266" s="4"/>
      <c r="YA266" s="4"/>
      <c r="YB266" s="4"/>
      <c r="YC266" s="5"/>
      <c r="YD266" s="6"/>
      <c r="YE266" s="4"/>
      <c r="YF266" s="4"/>
      <c r="YG266" s="4"/>
      <c r="YH266" s="4"/>
      <c r="YI266" s="4"/>
      <c r="YJ266" s="5"/>
      <c r="YK266" s="6"/>
      <c r="YL266" s="4"/>
      <c r="YM266" s="4"/>
      <c r="YN266" s="4"/>
      <c r="YO266" s="4"/>
      <c r="YP266" s="4"/>
      <c r="YQ266" s="5"/>
      <c r="YR266" s="6"/>
      <c r="YS266" s="4"/>
      <c r="YT266" s="4"/>
      <c r="YU266" s="4"/>
      <c r="YV266" s="4"/>
      <c r="YW266" s="4"/>
      <c r="YX266" s="5"/>
      <c r="YY266" s="6"/>
      <c r="YZ266" s="4"/>
      <c r="ZA266" s="4"/>
      <c r="ZB266" s="4"/>
      <c r="ZC266" s="4"/>
      <c r="ZD266" s="4"/>
      <c r="ZE266" s="5"/>
      <c r="ZF266" s="6"/>
      <c r="ZG266" s="4"/>
      <c r="ZH266" s="4"/>
      <c r="ZI266" s="4"/>
      <c r="ZJ266" s="4"/>
      <c r="ZK266" s="4"/>
      <c r="ZL266" s="5"/>
      <c r="ZM266" s="6"/>
      <c r="ZN266" s="4"/>
      <c r="ZO266" s="4"/>
      <c r="ZP266" s="4"/>
      <c r="ZQ266" s="4"/>
      <c r="ZR266" s="4"/>
      <c r="ZS266" s="5"/>
      <c r="ZT266" s="6"/>
      <c r="ZU266" s="4"/>
      <c r="ZV266" s="4"/>
      <c r="ZW266" s="4"/>
      <c r="ZX266" s="4"/>
      <c r="ZY266" s="4"/>
      <c r="ZZ266" s="5"/>
      <c r="AAA266" s="6"/>
      <c r="AAB266" s="4"/>
      <c r="AAC266" s="4"/>
      <c r="AAD266" s="4"/>
      <c r="AAE266" s="4"/>
      <c r="AAF266" s="4"/>
      <c r="AAG266" s="5"/>
      <c r="AAH266" s="6"/>
      <c r="AAI266" s="4"/>
      <c r="AAJ266" s="4"/>
      <c r="AAK266" s="4"/>
      <c r="AAL266" s="4"/>
      <c r="AAM266" s="4"/>
      <c r="AAN266" s="5"/>
      <c r="AAO266" s="6"/>
      <c r="AAP266" s="4"/>
      <c r="AAQ266" s="4"/>
      <c r="AAR266" s="4"/>
      <c r="AAS266" s="4"/>
      <c r="AAT266" s="4"/>
      <c r="AAU266" s="5"/>
      <c r="AAV266" s="6"/>
      <c r="AAW266" s="4"/>
      <c r="AAX266" s="4"/>
      <c r="AAY266" s="4"/>
      <c r="AAZ266" s="4"/>
      <c r="ABA266" s="4"/>
      <c r="ABB266" s="5"/>
      <c r="ABC266" s="6"/>
      <c r="ABD266" s="4"/>
      <c r="ABE266" s="4"/>
      <c r="ABF266" s="4"/>
      <c r="ABG266" s="4"/>
      <c r="ABH266" s="4"/>
      <c r="ABI266" s="5"/>
      <c r="ABJ266" s="6"/>
      <c r="ABK266" s="4"/>
      <c r="ABL266" s="4"/>
      <c r="ABM266" s="4"/>
      <c r="ABN266" s="4"/>
      <c r="ABO266" s="4"/>
      <c r="ABP266" s="5"/>
      <c r="ABQ266" s="6"/>
      <c r="ABR266" s="4"/>
      <c r="ABS266" s="4"/>
      <c r="ABT266" s="4"/>
      <c r="ABU266" s="4"/>
      <c r="ABV266" s="4"/>
      <c r="ABW266" s="5"/>
      <c r="ABX266" s="6"/>
      <c r="ABY266" s="4"/>
      <c r="ABZ266" s="4"/>
      <c r="ACA266" s="4"/>
      <c r="ACB266" s="4"/>
      <c r="ACC266" s="4"/>
      <c r="ACD266" s="5"/>
      <c r="ACE266" s="6"/>
      <c r="ACF266" s="4"/>
      <c r="ACG266" s="4"/>
      <c r="ACH266" s="4"/>
      <c r="ACI266" s="4"/>
      <c r="ACJ266" s="4"/>
      <c r="ACK266" s="5"/>
      <c r="ACL266" s="6"/>
      <c r="ACM266" s="4"/>
      <c r="ACN266" s="4"/>
      <c r="ACO266" s="4"/>
      <c r="ACP266" s="4"/>
      <c r="ACQ266" s="4"/>
      <c r="ACR266" s="5"/>
      <c r="ACS266" s="6"/>
      <c r="ACT266" s="4"/>
      <c r="ACU266" s="4"/>
      <c r="ACV266" s="4"/>
      <c r="ACW266" s="4"/>
      <c r="ACX266" s="4"/>
      <c r="ACY266" s="5"/>
    </row>
    <row r="267" spans="1:805" x14ac:dyDescent="0.25">
      <c r="B267" s="49">
        <v>4900261</v>
      </c>
      <c r="C267">
        <v>77</v>
      </c>
      <c r="D267" t="s">
        <v>2121</v>
      </c>
      <c r="F267" s="23">
        <v>0</v>
      </c>
      <c r="J267" s="12"/>
      <c r="K267" s="12"/>
      <c r="L267" s="12"/>
      <c r="M267">
        <v>1</v>
      </c>
      <c r="N267" s="17">
        <v>38082</v>
      </c>
      <c r="Q267">
        <v>1</v>
      </c>
      <c r="AT267">
        <v>1</v>
      </c>
      <c r="BD267">
        <v>1</v>
      </c>
      <c r="CH267">
        <v>1</v>
      </c>
      <c r="CN267">
        <v>1</v>
      </c>
      <c r="DA267">
        <v>1</v>
      </c>
      <c r="DR267">
        <v>1</v>
      </c>
      <c r="ED267">
        <v>1</v>
      </c>
      <c r="FN267">
        <v>1</v>
      </c>
      <c r="GB267">
        <v>1</v>
      </c>
      <c r="LL267" s="6"/>
      <c r="LM267" s="4"/>
      <c r="LN267" s="4"/>
      <c r="LO267" s="4"/>
      <c r="LP267" s="4"/>
      <c r="LQ267" s="4"/>
      <c r="LR267" s="5"/>
      <c r="LS267" s="6"/>
      <c r="LT267" s="4"/>
      <c r="LU267" s="4"/>
      <c r="LV267" s="4"/>
      <c r="LW267" s="4"/>
      <c r="LX267" s="4"/>
      <c r="LY267" s="5"/>
      <c r="LZ267" s="6" t="s">
        <v>1760</v>
      </c>
      <c r="MA267" s="7" t="s">
        <v>2656</v>
      </c>
      <c r="MB267" s="4" t="s">
        <v>4013</v>
      </c>
      <c r="MC267" s="4"/>
      <c r="MD267" s="8"/>
      <c r="ME267" s="4"/>
      <c r="MF267" s="4"/>
      <c r="MG267" s="5"/>
      <c r="MH267" s="6"/>
      <c r="MI267" s="4"/>
      <c r="MJ267" s="4"/>
      <c r="MK267" s="4"/>
      <c r="ML267" s="4"/>
      <c r="MM267" s="4"/>
      <c r="MN267" s="5"/>
      <c r="MO267" s="6"/>
      <c r="MP267" s="4"/>
      <c r="MQ267" s="4"/>
      <c r="MR267" s="4"/>
      <c r="MS267" s="4"/>
      <c r="MT267" s="4"/>
      <c r="MU267" s="5"/>
      <c r="MV267" s="6"/>
      <c r="MW267" s="4"/>
      <c r="MX267" s="4"/>
      <c r="MY267" s="4"/>
      <c r="MZ267" s="4"/>
      <c r="NA267" s="4"/>
      <c r="NB267" s="5"/>
      <c r="NC267" s="6"/>
      <c r="ND267" s="4"/>
      <c r="NE267" s="4"/>
      <c r="NF267" s="4"/>
      <c r="NG267" s="4"/>
      <c r="NH267" s="4"/>
      <c r="NI267" s="5"/>
      <c r="NJ267" s="6"/>
      <c r="NK267" s="4"/>
      <c r="NL267" s="4"/>
      <c r="NM267" s="4"/>
      <c r="NN267" s="4"/>
      <c r="NO267" s="4"/>
      <c r="NP267" s="5"/>
      <c r="NQ267" s="6"/>
      <c r="NR267" s="4"/>
      <c r="NS267" s="4"/>
      <c r="NT267" s="4"/>
      <c r="NU267" s="4"/>
      <c r="NV267" s="4"/>
      <c r="NW267" s="5"/>
      <c r="NX267" s="6"/>
      <c r="NY267" s="4"/>
      <c r="NZ267" s="4"/>
      <c r="OA267" s="4"/>
      <c r="OB267" s="4"/>
      <c r="OC267" s="4"/>
      <c r="OD267" s="5"/>
      <c r="OE267" s="6"/>
      <c r="OF267" s="4"/>
      <c r="OG267" s="4"/>
      <c r="OH267" s="4"/>
      <c r="OI267" s="4"/>
      <c r="OJ267" s="4"/>
      <c r="OK267" s="5"/>
      <c r="OL267" s="6"/>
      <c r="OM267" s="4"/>
      <c r="ON267" s="4"/>
      <c r="OO267" s="4"/>
      <c r="OP267" s="4"/>
      <c r="OQ267" s="4"/>
      <c r="OR267" s="5"/>
      <c r="OS267" s="6"/>
      <c r="OT267" s="4"/>
      <c r="OU267" s="4"/>
      <c r="OV267" s="4"/>
      <c r="OW267" s="4"/>
      <c r="OX267" s="4"/>
      <c r="OY267" s="5"/>
      <c r="OZ267" s="6"/>
      <c r="PA267" s="4"/>
      <c r="PB267" s="4"/>
      <c r="PC267" s="4"/>
      <c r="PD267" s="4"/>
      <c r="PE267" s="4"/>
      <c r="PF267" s="5"/>
      <c r="PG267" s="6"/>
      <c r="PH267" s="4"/>
      <c r="PI267" s="4"/>
      <c r="PJ267" s="4"/>
      <c r="PK267" s="4"/>
      <c r="PL267" s="4"/>
      <c r="PM267" s="5"/>
      <c r="PN267" s="6"/>
      <c r="PO267" s="4"/>
      <c r="PP267" s="4"/>
      <c r="PQ267" s="4"/>
      <c r="PR267" s="4"/>
      <c r="PS267" s="4"/>
      <c r="PT267" s="5"/>
      <c r="PU267" s="6"/>
      <c r="PV267" s="4"/>
      <c r="PW267" s="4"/>
      <c r="PX267" s="4"/>
      <c r="PY267" s="4"/>
      <c r="PZ267" s="4"/>
      <c r="QA267" s="5"/>
      <c r="QB267" s="6"/>
      <c r="QC267" s="4"/>
      <c r="QD267" s="4"/>
      <c r="QE267" s="4"/>
      <c r="QF267" s="4"/>
      <c r="QG267" s="4"/>
      <c r="QH267" s="5"/>
      <c r="QI267" s="6"/>
      <c r="QJ267" s="4"/>
      <c r="QK267" s="4"/>
      <c r="QL267" s="4"/>
      <c r="QM267" s="4"/>
      <c r="QN267" s="4"/>
      <c r="QO267" s="5"/>
      <c r="QP267" s="6"/>
      <c r="QQ267" s="4"/>
      <c r="QR267" s="4"/>
      <c r="QS267" s="4"/>
      <c r="QT267" s="4"/>
      <c r="QU267" s="4"/>
      <c r="QV267" s="5"/>
      <c r="QW267" s="6"/>
      <c r="QX267" s="4"/>
      <c r="QY267" s="4"/>
      <c r="QZ267" s="4"/>
      <c r="RA267" s="4"/>
      <c r="RB267" s="4"/>
      <c r="RC267" s="5"/>
      <c r="RD267" s="6"/>
      <c r="RE267" s="4"/>
      <c r="RF267" s="4"/>
      <c r="RG267" s="4"/>
      <c r="RH267" s="4"/>
      <c r="RI267" s="4"/>
      <c r="RJ267" s="5"/>
      <c r="RK267" s="6"/>
      <c r="RL267" s="4"/>
      <c r="RM267" s="4"/>
      <c r="RN267" s="4"/>
      <c r="RO267" s="4"/>
      <c r="RP267" s="4"/>
      <c r="RQ267" s="5"/>
      <c r="RR267" s="6"/>
      <c r="RS267" s="4"/>
      <c r="RT267" s="4"/>
      <c r="RU267" s="4"/>
      <c r="RV267" s="4"/>
      <c r="RW267" s="4"/>
      <c r="RX267" s="5"/>
      <c r="RY267" s="6"/>
      <c r="RZ267" s="4"/>
      <c r="SA267" s="4"/>
      <c r="SB267" s="4"/>
      <c r="SC267" s="4"/>
      <c r="SD267" s="4"/>
      <c r="SE267" s="5"/>
      <c r="SF267" s="6"/>
      <c r="SG267" s="4"/>
      <c r="SH267" s="4"/>
      <c r="SI267" s="4"/>
      <c r="SJ267" s="4"/>
      <c r="SK267" s="4"/>
      <c r="SL267" s="5"/>
      <c r="SM267" s="6"/>
      <c r="SN267" s="4"/>
      <c r="SO267" s="4"/>
      <c r="SP267" s="4"/>
      <c r="SQ267" s="4"/>
      <c r="SR267" s="4"/>
      <c r="SS267" s="5"/>
      <c r="ST267" s="6"/>
      <c r="SU267" s="4"/>
      <c r="SV267" s="4"/>
      <c r="SW267" s="4"/>
      <c r="SX267" s="4"/>
      <c r="SY267" s="4"/>
      <c r="SZ267" s="5"/>
      <c r="TA267" s="6"/>
      <c r="TB267" s="4"/>
      <c r="TC267" s="4"/>
      <c r="TD267" s="4"/>
      <c r="TE267" s="4"/>
      <c r="TF267" s="4"/>
      <c r="TG267" s="5"/>
      <c r="TH267" s="6" t="s">
        <v>839</v>
      </c>
      <c r="TI267" s="4" t="s">
        <v>705</v>
      </c>
      <c r="TJ267" s="4"/>
      <c r="TK267" s="4"/>
      <c r="TL267" s="4"/>
      <c r="TM267" s="4"/>
      <c r="TN267" s="5"/>
      <c r="TO267" s="6"/>
      <c r="TP267" s="4"/>
      <c r="TQ267" s="4"/>
      <c r="TR267" s="4"/>
      <c r="TS267" s="4"/>
      <c r="TT267" s="4"/>
      <c r="TU267" s="5"/>
      <c r="TV267" s="6"/>
      <c r="TW267" s="4"/>
      <c r="TX267" s="4"/>
      <c r="TY267" s="4"/>
      <c r="TZ267" s="4"/>
      <c r="UA267" s="4"/>
      <c r="UB267" s="5"/>
      <c r="UC267" s="6"/>
      <c r="UD267" s="4"/>
      <c r="UE267" s="4"/>
      <c r="UF267" s="4"/>
      <c r="UG267" s="4"/>
      <c r="UH267" s="4"/>
      <c r="UI267" s="5"/>
      <c r="UJ267" s="6"/>
      <c r="UK267" s="4"/>
      <c r="UL267" s="4"/>
      <c r="UM267" s="4"/>
      <c r="UN267" s="4"/>
      <c r="UO267" s="4"/>
      <c r="UP267" s="5"/>
      <c r="UQ267" s="6"/>
      <c r="UR267" s="4"/>
      <c r="US267" s="4"/>
      <c r="UT267" s="4"/>
      <c r="UU267" s="4"/>
      <c r="UV267" s="4"/>
      <c r="UW267" s="5"/>
      <c r="UX267" s="6"/>
      <c r="UY267" s="4"/>
      <c r="UZ267" s="4"/>
      <c r="VA267" s="4"/>
      <c r="VB267" s="4"/>
      <c r="VC267" s="4"/>
      <c r="VD267" s="5"/>
      <c r="VE267" s="6"/>
      <c r="VF267" s="4"/>
      <c r="VG267" s="4"/>
      <c r="VH267" s="4"/>
      <c r="VI267" s="4"/>
      <c r="VJ267" s="4"/>
      <c r="VK267" s="5"/>
      <c r="VL267" s="6"/>
      <c r="VM267" s="4"/>
      <c r="VN267" s="4"/>
      <c r="VO267" s="4"/>
      <c r="VP267" s="4"/>
      <c r="VQ267" s="4"/>
      <c r="VR267" s="5"/>
      <c r="VS267" s="6"/>
      <c r="VT267" s="4"/>
      <c r="VU267" s="4"/>
      <c r="VV267" s="4"/>
      <c r="VW267" s="4"/>
      <c r="VX267" s="4"/>
      <c r="VY267" s="5"/>
      <c r="VZ267" s="6"/>
      <c r="WA267" s="4"/>
      <c r="WB267" s="4"/>
      <c r="WC267" s="4"/>
      <c r="WD267" s="4"/>
      <c r="WE267" s="4"/>
      <c r="WF267" s="5"/>
      <c r="WG267" s="6"/>
      <c r="WH267" s="4"/>
      <c r="WI267" s="4"/>
      <c r="WJ267" s="4"/>
      <c r="WK267" s="4"/>
      <c r="WL267" s="4"/>
      <c r="WM267" s="5"/>
      <c r="WN267" s="6"/>
      <c r="WO267" s="4"/>
      <c r="WP267" s="4"/>
      <c r="WQ267" s="4"/>
      <c r="WR267" s="4"/>
      <c r="WS267" s="4"/>
      <c r="WT267" s="5"/>
      <c r="WU267" s="6"/>
      <c r="WV267" s="4"/>
      <c r="WW267" s="4"/>
      <c r="WX267" s="4"/>
      <c r="WY267" s="4"/>
      <c r="WZ267" s="4"/>
      <c r="XA267" s="5"/>
      <c r="XB267" s="6"/>
      <c r="XC267" s="4"/>
      <c r="XD267" s="4"/>
      <c r="XE267" s="4"/>
      <c r="XF267" s="4"/>
      <c r="XG267" s="4"/>
      <c r="XH267" s="5"/>
      <c r="XI267" s="6"/>
      <c r="XJ267" s="4"/>
      <c r="XK267" s="4"/>
      <c r="XL267" s="4"/>
      <c r="XM267" s="4"/>
      <c r="XN267" s="4"/>
      <c r="XO267" s="5"/>
      <c r="XP267" s="6"/>
      <c r="XQ267" s="4"/>
      <c r="XR267" s="4"/>
      <c r="XS267" s="4"/>
      <c r="XT267" s="4"/>
      <c r="XU267" s="4"/>
      <c r="XV267" s="5"/>
      <c r="XW267" s="6"/>
      <c r="XX267" s="4"/>
      <c r="XY267" s="4"/>
      <c r="XZ267" s="4"/>
      <c r="YA267" s="4"/>
      <c r="YB267" s="4"/>
      <c r="YC267" s="5"/>
      <c r="YD267" s="6"/>
      <c r="YE267" s="4"/>
      <c r="YF267" s="4"/>
      <c r="YG267" s="4"/>
      <c r="YH267" s="4"/>
      <c r="YI267" s="4"/>
      <c r="YJ267" s="5"/>
      <c r="YK267" s="6" t="s">
        <v>548</v>
      </c>
      <c r="YL267" s="4" t="s">
        <v>549</v>
      </c>
      <c r="YM267" s="4"/>
      <c r="YN267" s="4"/>
      <c r="YO267" s="4"/>
      <c r="YP267" s="4"/>
      <c r="YQ267" s="5"/>
      <c r="YR267" s="6"/>
      <c r="YS267" s="4"/>
      <c r="YT267" s="4"/>
      <c r="YU267" s="4"/>
      <c r="YV267" s="4"/>
      <c r="YW267" s="4"/>
      <c r="YX267" s="5"/>
      <c r="YY267" s="6"/>
      <c r="YZ267" s="4"/>
      <c r="ZA267" s="4"/>
      <c r="ZB267" s="4"/>
      <c r="ZC267" s="4"/>
      <c r="ZD267" s="4"/>
      <c r="ZE267" s="5"/>
      <c r="ZF267" s="6"/>
      <c r="ZG267" s="4"/>
      <c r="ZH267" s="4"/>
      <c r="ZI267" s="4"/>
      <c r="ZJ267" s="4"/>
      <c r="ZK267" s="4"/>
      <c r="ZL267" s="5"/>
      <c r="ZM267" s="6"/>
      <c r="ZN267" s="4"/>
      <c r="ZO267" s="4"/>
      <c r="ZP267" s="4"/>
      <c r="ZQ267" s="4"/>
      <c r="ZR267" s="4"/>
      <c r="ZS267" s="5"/>
      <c r="ZT267" s="6"/>
      <c r="ZU267" s="4"/>
      <c r="ZV267" s="4"/>
      <c r="ZW267" s="4"/>
      <c r="ZX267" s="4"/>
      <c r="ZY267" s="4"/>
      <c r="ZZ267" s="5"/>
      <c r="AAA267" s="6"/>
      <c r="AAB267" s="4"/>
      <c r="AAC267" s="4"/>
      <c r="AAD267" s="4"/>
      <c r="AAE267" s="4"/>
      <c r="AAF267" s="4"/>
      <c r="AAG267" s="5"/>
      <c r="AAH267" s="6"/>
      <c r="AAI267" s="4"/>
      <c r="AAJ267" s="4"/>
      <c r="AAK267" s="4"/>
      <c r="AAL267" s="4"/>
      <c r="AAM267" s="4"/>
      <c r="AAN267" s="5"/>
      <c r="AAO267" s="6"/>
      <c r="AAP267" s="4"/>
      <c r="AAQ267" s="4"/>
      <c r="AAR267" s="4"/>
      <c r="AAS267" s="4"/>
      <c r="AAT267" s="4"/>
      <c r="AAU267" s="5"/>
      <c r="AAV267" s="6"/>
      <c r="AAW267" s="4"/>
      <c r="AAX267" s="4"/>
      <c r="AAY267" s="4"/>
      <c r="AAZ267" s="4"/>
      <c r="ABA267" s="4"/>
      <c r="ABB267" s="5"/>
      <c r="ABC267" s="6"/>
      <c r="ABD267" s="4"/>
      <c r="ABE267" s="4"/>
      <c r="ABF267" s="4"/>
      <c r="ABG267" s="4"/>
      <c r="ABH267" s="4"/>
      <c r="ABI267" s="5"/>
      <c r="ABJ267" s="6"/>
      <c r="ABK267" s="4"/>
      <c r="ABL267" s="4"/>
      <c r="ABM267" s="4"/>
      <c r="ABN267" s="4"/>
      <c r="ABO267" s="4"/>
      <c r="ABP267" s="5"/>
      <c r="ABQ267" s="6"/>
      <c r="ABR267" s="4"/>
      <c r="ABS267" s="4"/>
      <c r="ABT267" s="4"/>
      <c r="ABU267" s="4"/>
      <c r="ABV267" s="4"/>
      <c r="ABW267" s="5"/>
      <c r="ABX267" s="6"/>
      <c r="ABY267" s="4"/>
      <c r="ABZ267" s="4"/>
      <c r="ACA267" s="4"/>
      <c r="ACB267" s="4"/>
      <c r="ACC267" s="4"/>
      <c r="ACD267" s="5"/>
      <c r="ACE267" s="6"/>
      <c r="ACF267" s="4"/>
      <c r="ACG267" s="4"/>
      <c r="ACH267" s="4"/>
      <c r="ACI267" s="4"/>
      <c r="ACJ267" s="4"/>
      <c r="ACK267" s="5"/>
      <c r="ACL267" s="6"/>
      <c r="ACM267" s="4"/>
      <c r="ACN267" s="4"/>
      <c r="ACO267" s="4"/>
      <c r="ACP267" s="4"/>
      <c r="ACQ267" s="4"/>
      <c r="ACR267" s="5"/>
      <c r="ACS267" s="6"/>
      <c r="ACT267" s="4"/>
      <c r="ACU267" s="4"/>
      <c r="ACV267" s="4"/>
      <c r="ACW267" s="4"/>
      <c r="ACX267" s="4"/>
      <c r="ACY267" s="5"/>
      <c r="ADG267" t="s">
        <v>550</v>
      </c>
      <c r="ADN267" t="s">
        <v>551</v>
      </c>
      <c r="ADY267" t="s">
        <v>3722</v>
      </c>
    </row>
    <row r="268" spans="1:805" x14ac:dyDescent="0.25">
      <c r="B268" s="30"/>
      <c r="J268" s="12"/>
      <c r="K268" s="12"/>
      <c r="L268" s="12"/>
      <c r="LL268" s="6"/>
      <c r="LM268" s="4"/>
      <c r="LN268" s="4"/>
      <c r="LO268" s="4"/>
      <c r="LP268" s="4"/>
      <c r="LQ268" s="4"/>
      <c r="LR268" s="5"/>
      <c r="LS268" s="6"/>
      <c r="LT268" s="4"/>
      <c r="LU268" s="4"/>
      <c r="LV268" s="4"/>
      <c r="LW268" s="4"/>
      <c r="LX268" s="4"/>
      <c r="LY268" s="5"/>
      <c r="LZ268" s="6" t="s">
        <v>1154</v>
      </c>
      <c r="MA268" s="7" t="s">
        <v>2525</v>
      </c>
      <c r="MB268" s="4"/>
      <c r="MC268" s="4"/>
      <c r="MD268" s="8"/>
      <c r="ME268" s="8">
        <v>38093</v>
      </c>
      <c r="MF268" s="8"/>
      <c r="MG268" s="5" t="s">
        <v>546</v>
      </c>
      <c r="MH268" s="6"/>
      <c r="MI268" s="4"/>
      <c r="MJ268" s="4"/>
      <c r="MK268" s="4"/>
      <c r="ML268" s="4"/>
      <c r="MM268" s="4"/>
      <c r="MN268" s="5"/>
      <c r="MO268" s="6"/>
      <c r="MP268" s="4"/>
      <c r="MQ268" s="4"/>
      <c r="MR268" s="4"/>
      <c r="MS268" s="4"/>
      <c r="MT268" s="4"/>
      <c r="MU268" s="5"/>
      <c r="MV268" s="6"/>
      <c r="MW268" s="4"/>
      <c r="MX268" s="4"/>
      <c r="MY268" s="4"/>
      <c r="MZ268" s="4"/>
      <c r="NA268" s="4"/>
      <c r="NB268" s="5"/>
      <c r="NC268" s="6"/>
      <c r="ND268" s="4"/>
      <c r="NE268" s="4"/>
      <c r="NF268" s="4"/>
      <c r="NG268" s="4"/>
      <c r="NH268" s="4"/>
      <c r="NI268" s="5"/>
      <c r="NJ268" s="6"/>
      <c r="NK268" s="4"/>
      <c r="NL268" s="4"/>
      <c r="NM268" s="4"/>
      <c r="NN268" s="4"/>
      <c r="NO268" s="4"/>
      <c r="NP268" s="5"/>
      <c r="NQ268" s="6"/>
      <c r="NR268" s="4"/>
      <c r="NS268" s="4"/>
      <c r="NT268" s="4"/>
      <c r="NU268" s="4"/>
      <c r="NV268" s="4"/>
      <c r="NW268" s="5"/>
      <c r="NX268" s="6"/>
      <c r="NY268" s="4"/>
      <c r="NZ268" s="4"/>
      <c r="OA268" s="4"/>
      <c r="OB268" s="4"/>
      <c r="OC268" s="4"/>
      <c r="OD268" s="5"/>
      <c r="OE268" s="6"/>
      <c r="OF268" s="4"/>
      <c r="OG268" s="4"/>
      <c r="OH268" s="4"/>
      <c r="OI268" s="4"/>
      <c r="OJ268" s="4"/>
      <c r="OK268" s="5"/>
      <c r="OL268" s="6"/>
      <c r="OM268" s="4"/>
      <c r="ON268" s="4"/>
      <c r="OO268" s="4"/>
      <c r="OP268" s="4"/>
      <c r="OQ268" s="4"/>
      <c r="OR268" s="5"/>
      <c r="OS268" s="6"/>
      <c r="OT268" s="4"/>
      <c r="OU268" s="4"/>
      <c r="OV268" s="4"/>
      <c r="OW268" s="4"/>
      <c r="OX268" s="4"/>
      <c r="OY268" s="5"/>
      <c r="OZ268" s="6"/>
      <c r="PA268" s="4"/>
      <c r="PB268" s="4"/>
      <c r="PC268" s="4"/>
      <c r="PD268" s="4"/>
      <c r="PE268" s="4"/>
      <c r="PF268" s="5"/>
      <c r="PG268" s="6"/>
      <c r="PH268" s="4"/>
      <c r="PI268" s="4"/>
      <c r="PJ268" s="4"/>
      <c r="PK268" s="4"/>
      <c r="PL268" s="4"/>
      <c r="PM268" s="5"/>
      <c r="PN268" s="6"/>
      <c r="PO268" s="4"/>
      <c r="PP268" s="4"/>
      <c r="PQ268" s="4"/>
      <c r="PR268" s="4"/>
      <c r="PS268" s="4"/>
      <c r="PT268" s="5"/>
      <c r="PU268" s="6"/>
      <c r="PV268" s="4"/>
      <c r="PW268" s="4"/>
      <c r="PX268" s="4"/>
      <c r="PY268" s="4"/>
      <c r="PZ268" s="4"/>
      <c r="QA268" s="5"/>
      <c r="QB268" s="6"/>
      <c r="QC268" s="4"/>
      <c r="QD268" s="4"/>
      <c r="QE268" s="4"/>
      <c r="QF268" s="4"/>
      <c r="QG268" s="4"/>
      <c r="QH268" s="5"/>
      <c r="QI268" s="6"/>
      <c r="QJ268" s="4"/>
      <c r="QK268" s="4"/>
      <c r="QL268" s="4"/>
      <c r="QM268" s="4"/>
      <c r="QN268" s="4"/>
      <c r="QO268" s="5"/>
      <c r="QP268" s="6"/>
      <c r="QQ268" s="4"/>
      <c r="QR268" s="4"/>
      <c r="QS268" s="4"/>
      <c r="QT268" s="4"/>
      <c r="QU268" s="4"/>
      <c r="QV268" s="5"/>
      <c r="QW268" s="6"/>
      <c r="QX268" s="4"/>
      <c r="QY268" s="4"/>
      <c r="QZ268" s="4"/>
      <c r="RA268" s="4"/>
      <c r="RB268" s="4"/>
      <c r="RC268" s="5"/>
      <c r="RD268" s="6"/>
      <c r="RE268" s="4"/>
      <c r="RF268" s="4"/>
      <c r="RG268" s="4"/>
      <c r="RH268" s="4"/>
      <c r="RI268" s="4"/>
      <c r="RJ268" s="5"/>
      <c r="RK268" s="6"/>
      <c r="RL268" s="4"/>
      <c r="RM268" s="4"/>
      <c r="RN268" s="4"/>
      <c r="RO268" s="4"/>
      <c r="RP268" s="4"/>
      <c r="RQ268" s="5"/>
      <c r="RR268" s="6"/>
      <c r="RS268" s="4"/>
      <c r="RT268" s="4"/>
      <c r="RU268" s="4"/>
      <c r="RV268" s="4"/>
      <c r="RW268" s="4"/>
      <c r="RX268" s="5"/>
      <c r="RY268" s="6"/>
      <c r="RZ268" s="4"/>
      <c r="SA268" s="4"/>
      <c r="SB268" s="4"/>
      <c r="SC268" s="4"/>
      <c r="SD268" s="4"/>
      <c r="SE268" s="5"/>
      <c r="SF268" s="6"/>
      <c r="SG268" s="4"/>
      <c r="SH268" s="4"/>
      <c r="SI268" s="4"/>
      <c r="SJ268" s="4"/>
      <c r="SK268" s="4"/>
      <c r="SL268" s="5"/>
      <c r="SM268" s="6"/>
      <c r="SN268" s="4"/>
      <c r="SO268" s="4"/>
      <c r="SP268" s="4"/>
      <c r="SQ268" s="4"/>
      <c r="SR268" s="4"/>
      <c r="SS268" s="5"/>
      <c r="ST268" s="6"/>
      <c r="SU268" s="4"/>
      <c r="SV268" s="4"/>
      <c r="SW268" s="4"/>
      <c r="SX268" s="4"/>
      <c r="SY268" s="4"/>
      <c r="SZ268" s="5"/>
      <c r="TA268" s="6"/>
      <c r="TB268" s="4"/>
      <c r="TC268" s="4"/>
      <c r="TD268" s="4"/>
      <c r="TE268" s="4"/>
      <c r="TF268" s="4"/>
      <c r="TG268" s="5"/>
      <c r="TH268" s="6"/>
      <c r="TI268" s="4"/>
      <c r="TJ268" s="4"/>
      <c r="TK268" s="4"/>
      <c r="TL268" s="4"/>
      <c r="TM268" s="4"/>
      <c r="TN268" s="5"/>
      <c r="TO268" s="6"/>
      <c r="TP268" s="4"/>
      <c r="TQ268" s="4"/>
      <c r="TR268" s="4"/>
      <c r="TS268" s="4"/>
      <c r="TT268" s="4"/>
      <c r="TU268" s="5"/>
      <c r="TV268" s="6"/>
      <c r="TW268" s="4"/>
      <c r="TX268" s="4"/>
      <c r="TY268" s="4"/>
      <c r="TZ268" s="4"/>
      <c r="UA268" s="4"/>
      <c r="UB268" s="5"/>
      <c r="UC268" s="6"/>
      <c r="UD268" s="4"/>
      <c r="UE268" s="4"/>
      <c r="UF268" s="4"/>
      <c r="UG268" s="4"/>
      <c r="UH268" s="4"/>
      <c r="UI268" s="5"/>
      <c r="UJ268" s="6"/>
      <c r="UK268" s="4"/>
      <c r="UL268" s="4"/>
      <c r="UM268" s="4"/>
      <c r="UN268" s="4"/>
      <c r="UO268" s="4"/>
      <c r="UP268" s="5"/>
      <c r="UQ268" s="6"/>
      <c r="UR268" s="4"/>
      <c r="US268" s="4"/>
      <c r="UT268" s="4"/>
      <c r="UU268" s="4"/>
      <c r="UV268" s="4"/>
      <c r="UW268" s="5"/>
      <c r="UX268" s="6"/>
      <c r="UY268" s="4"/>
      <c r="UZ268" s="4"/>
      <c r="VA268" s="4"/>
      <c r="VB268" s="4"/>
      <c r="VC268" s="4"/>
      <c r="VD268" s="5"/>
      <c r="VE268" s="6"/>
      <c r="VF268" s="4"/>
      <c r="VG268" s="4"/>
      <c r="VH268" s="4"/>
      <c r="VI268" s="4"/>
      <c r="VJ268" s="4"/>
      <c r="VK268" s="5"/>
      <c r="VL268" s="6"/>
      <c r="VM268" s="4"/>
      <c r="VN268" s="4"/>
      <c r="VO268" s="4"/>
      <c r="VP268" s="4"/>
      <c r="VQ268" s="4"/>
      <c r="VR268" s="5"/>
      <c r="VS268" s="6"/>
      <c r="VT268" s="4"/>
      <c r="VU268" s="4"/>
      <c r="VV268" s="4"/>
      <c r="VW268" s="4"/>
      <c r="VX268" s="4"/>
      <c r="VY268" s="5"/>
      <c r="VZ268" s="6"/>
      <c r="WA268" s="4"/>
      <c r="WB268" s="4"/>
      <c r="WC268" s="4"/>
      <c r="WD268" s="4"/>
      <c r="WE268" s="4"/>
      <c r="WF268" s="5"/>
      <c r="WG268" s="6"/>
      <c r="WH268" s="4"/>
      <c r="WI268" s="4"/>
      <c r="WJ268" s="4"/>
      <c r="WK268" s="4"/>
      <c r="WL268" s="4"/>
      <c r="WM268" s="5"/>
      <c r="WN268" s="6"/>
      <c r="WO268" s="4"/>
      <c r="WP268" s="4"/>
      <c r="WQ268" s="4"/>
      <c r="WR268" s="4"/>
      <c r="WS268" s="4"/>
      <c r="WT268" s="5"/>
      <c r="WU268" s="6"/>
      <c r="WV268" s="4"/>
      <c r="WW268" s="4"/>
      <c r="WX268" s="4"/>
      <c r="WY268" s="4"/>
      <c r="WZ268" s="4"/>
      <c r="XA268" s="5"/>
      <c r="XB268" s="6"/>
      <c r="XC268" s="4"/>
      <c r="XD268" s="4"/>
      <c r="XE268" s="4"/>
      <c r="XF268" s="4"/>
      <c r="XG268" s="4"/>
      <c r="XH268" s="5"/>
      <c r="XI268" s="6"/>
      <c r="XJ268" s="4"/>
      <c r="XK268" s="4"/>
      <c r="XL268" s="4"/>
      <c r="XM268" s="4"/>
      <c r="XN268" s="4"/>
      <c r="XO268" s="5"/>
      <c r="XP268" s="6"/>
      <c r="XQ268" s="4"/>
      <c r="XR268" s="4"/>
      <c r="XS268" s="4"/>
      <c r="XT268" s="4"/>
      <c r="XU268" s="4"/>
      <c r="XV268" s="5"/>
      <c r="XW268" s="6"/>
      <c r="XX268" s="4"/>
      <c r="XY268" s="4"/>
      <c r="XZ268" s="4"/>
      <c r="YA268" s="4"/>
      <c r="YB268" s="4"/>
      <c r="YC268" s="5"/>
      <c r="YD268" s="6"/>
      <c r="YE268" s="4"/>
      <c r="YF268" s="4"/>
      <c r="YG268" s="4"/>
      <c r="YH268" s="4"/>
      <c r="YI268" s="4"/>
      <c r="YJ268" s="5"/>
      <c r="YK268" s="6"/>
      <c r="YL268" s="4"/>
      <c r="YM268" s="4"/>
      <c r="YN268" s="4"/>
      <c r="YO268" s="4"/>
      <c r="YP268" s="4"/>
      <c r="YQ268" s="5"/>
      <c r="YR268" s="6"/>
      <c r="YS268" s="4"/>
      <c r="YT268" s="4"/>
      <c r="YU268" s="4"/>
      <c r="YV268" s="4"/>
      <c r="YW268" s="4"/>
      <c r="YX268" s="5"/>
      <c r="YY268" s="6"/>
      <c r="YZ268" s="4"/>
      <c r="ZA268" s="4"/>
      <c r="ZB268" s="4"/>
      <c r="ZC268" s="4"/>
      <c r="ZD268" s="4"/>
      <c r="ZE268" s="5"/>
      <c r="ZF268" s="6"/>
      <c r="ZG268" s="4"/>
      <c r="ZH268" s="4"/>
      <c r="ZI268" s="4"/>
      <c r="ZJ268" s="4"/>
      <c r="ZK268" s="4"/>
      <c r="ZL268" s="5"/>
      <c r="ZM268" s="6"/>
      <c r="ZN268" s="4"/>
      <c r="ZO268" s="4"/>
      <c r="ZP268" s="4"/>
      <c r="ZQ268" s="4"/>
      <c r="ZR268" s="4"/>
      <c r="ZS268" s="5"/>
      <c r="ZT268" s="6"/>
      <c r="ZU268" s="4"/>
      <c r="ZV268" s="4"/>
      <c r="ZW268" s="4"/>
      <c r="ZX268" s="4"/>
      <c r="ZY268" s="4"/>
      <c r="ZZ268" s="5"/>
      <c r="AAA268" s="6"/>
      <c r="AAB268" s="4"/>
      <c r="AAC268" s="4"/>
      <c r="AAD268" s="4"/>
      <c r="AAE268" s="4"/>
      <c r="AAF268" s="4"/>
      <c r="AAG268" s="5"/>
      <c r="AAH268" s="6"/>
      <c r="AAI268" s="4"/>
      <c r="AAJ268" s="4"/>
      <c r="AAK268" s="4"/>
      <c r="AAL268" s="4"/>
      <c r="AAM268" s="4"/>
      <c r="AAN268" s="5"/>
      <c r="AAO268" s="6"/>
      <c r="AAP268" s="4"/>
      <c r="AAQ268" s="4"/>
      <c r="AAR268" s="4"/>
      <c r="AAS268" s="4"/>
      <c r="AAT268" s="4"/>
      <c r="AAU268" s="5"/>
      <c r="AAV268" s="6"/>
      <c r="AAW268" s="4"/>
      <c r="AAX268" s="4"/>
      <c r="AAY268" s="4"/>
      <c r="AAZ268" s="4"/>
      <c r="ABA268" s="4"/>
      <c r="ABB268" s="5"/>
      <c r="ABC268" s="6"/>
      <c r="ABD268" s="4"/>
      <c r="ABE268" s="4"/>
      <c r="ABF268" s="4"/>
      <c r="ABG268" s="4"/>
      <c r="ABH268" s="4"/>
      <c r="ABI268" s="5"/>
      <c r="ABJ268" s="6"/>
      <c r="ABK268" s="4"/>
      <c r="ABL268" s="4"/>
      <c r="ABM268" s="4"/>
      <c r="ABN268" s="4"/>
      <c r="ABO268" s="4"/>
      <c r="ABP268" s="5"/>
      <c r="ABQ268" s="6"/>
      <c r="ABR268" s="4"/>
      <c r="ABS268" s="4"/>
      <c r="ABT268" s="4"/>
      <c r="ABU268" s="4"/>
      <c r="ABV268" s="4"/>
      <c r="ABW268" s="5"/>
      <c r="ABX268" s="6"/>
      <c r="ABY268" s="4"/>
      <c r="ABZ268" s="4"/>
      <c r="ACA268" s="4"/>
      <c r="ACB268" s="4"/>
      <c r="ACC268" s="4"/>
      <c r="ACD268" s="5"/>
      <c r="ACE268" s="6"/>
      <c r="ACF268" s="4"/>
      <c r="ACG268" s="4"/>
      <c r="ACH268" s="4"/>
      <c r="ACI268" s="4"/>
      <c r="ACJ268" s="4"/>
      <c r="ACK268" s="5"/>
      <c r="ACL268" s="6"/>
      <c r="ACM268" s="4"/>
      <c r="ACN268" s="4"/>
      <c r="ACO268" s="4"/>
      <c r="ACP268" s="4"/>
      <c r="ACQ268" s="4"/>
      <c r="ACR268" s="5"/>
      <c r="ACS268" s="6"/>
      <c r="ACT268" s="4"/>
      <c r="ACU268" s="4"/>
      <c r="ACV268" s="4"/>
      <c r="ACW268" s="4"/>
      <c r="ACX268" s="4"/>
      <c r="ACY268" s="5"/>
    </row>
    <row r="269" spans="1:805" x14ac:dyDescent="0.25">
      <c r="B269" s="30"/>
      <c r="J269" s="12"/>
      <c r="K269" s="12"/>
      <c r="L269" s="12"/>
      <c r="LL269" s="6"/>
      <c r="LM269" s="4"/>
      <c r="LN269" s="4"/>
      <c r="LO269" s="4"/>
      <c r="LP269" s="4"/>
      <c r="LQ269" s="4"/>
      <c r="LR269" s="5"/>
      <c r="LS269" s="6"/>
      <c r="LT269" s="4"/>
      <c r="LU269" s="4"/>
      <c r="LV269" s="4"/>
      <c r="LW269" s="4"/>
      <c r="LX269" s="4"/>
      <c r="LY269" s="5"/>
      <c r="LZ269" s="6" t="s">
        <v>3102</v>
      </c>
      <c r="MA269" s="7" t="s">
        <v>3103</v>
      </c>
      <c r="MB269" s="4" t="s">
        <v>1809</v>
      </c>
      <c r="MC269" s="7" t="s">
        <v>2702</v>
      </c>
      <c r="MD269" s="8">
        <v>38106</v>
      </c>
      <c r="ME269" s="8">
        <v>38107</v>
      </c>
      <c r="MF269" s="8"/>
      <c r="MG269" s="5" t="s">
        <v>547</v>
      </c>
      <c r="MH269" s="6"/>
      <c r="MI269" s="4"/>
      <c r="MJ269" s="4"/>
      <c r="MK269" s="4"/>
      <c r="ML269" s="4"/>
      <c r="MM269" s="4"/>
      <c r="MN269" s="5"/>
      <c r="MO269" s="6"/>
      <c r="MP269" s="4"/>
      <c r="MQ269" s="4"/>
      <c r="MR269" s="4"/>
      <c r="MS269" s="4"/>
      <c r="MT269" s="4"/>
      <c r="MU269" s="5"/>
      <c r="MV269" s="6"/>
      <c r="MW269" s="4"/>
      <c r="MX269" s="4"/>
      <c r="MY269" s="4"/>
      <c r="MZ269" s="4"/>
      <c r="NA269" s="4"/>
      <c r="NB269" s="5"/>
      <c r="NC269" s="6"/>
      <c r="ND269" s="4"/>
      <c r="NE269" s="4"/>
      <c r="NF269" s="4"/>
      <c r="NG269" s="4"/>
      <c r="NH269" s="4"/>
      <c r="NI269" s="5"/>
      <c r="NJ269" s="6"/>
      <c r="NK269" s="4"/>
      <c r="NL269" s="4"/>
      <c r="NM269" s="4"/>
      <c r="NN269" s="4"/>
      <c r="NO269" s="4"/>
      <c r="NP269" s="5"/>
      <c r="NQ269" s="6"/>
      <c r="NR269" s="4"/>
      <c r="NS269" s="4"/>
      <c r="NT269" s="4"/>
      <c r="NU269" s="4"/>
      <c r="NV269" s="4"/>
      <c r="NW269" s="5"/>
      <c r="NX269" s="6"/>
      <c r="NY269" s="4"/>
      <c r="NZ269" s="4"/>
      <c r="OA269" s="4"/>
      <c r="OB269" s="4"/>
      <c r="OC269" s="4"/>
      <c r="OD269" s="5"/>
      <c r="OE269" s="6"/>
      <c r="OF269" s="4"/>
      <c r="OG269" s="4"/>
      <c r="OH269" s="4"/>
      <c r="OI269" s="4"/>
      <c r="OJ269" s="4"/>
      <c r="OK269" s="5"/>
      <c r="OL269" s="6"/>
      <c r="OM269" s="4"/>
      <c r="ON269" s="4"/>
      <c r="OO269" s="4"/>
      <c r="OP269" s="4"/>
      <c r="OQ269" s="4"/>
      <c r="OR269" s="5"/>
      <c r="OS269" s="6"/>
      <c r="OT269" s="4"/>
      <c r="OU269" s="4"/>
      <c r="OV269" s="4"/>
      <c r="OW269" s="4"/>
      <c r="OX269" s="4"/>
      <c r="OY269" s="5"/>
      <c r="OZ269" s="6"/>
      <c r="PA269" s="4"/>
      <c r="PB269" s="4"/>
      <c r="PC269" s="4"/>
      <c r="PD269" s="4"/>
      <c r="PE269" s="4"/>
      <c r="PF269" s="5"/>
      <c r="PG269" s="6"/>
      <c r="PH269" s="4"/>
      <c r="PI269" s="4"/>
      <c r="PJ269" s="4"/>
      <c r="PK269" s="4"/>
      <c r="PL269" s="4"/>
      <c r="PM269" s="5"/>
      <c r="PN269" s="6"/>
      <c r="PO269" s="4"/>
      <c r="PP269" s="4"/>
      <c r="PQ269" s="4"/>
      <c r="PR269" s="4"/>
      <c r="PS269" s="4"/>
      <c r="PT269" s="5"/>
      <c r="PU269" s="6"/>
      <c r="PV269" s="4"/>
      <c r="PW269" s="4"/>
      <c r="PX269" s="4"/>
      <c r="PY269" s="4"/>
      <c r="PZ269" s="4"/>
      <c r="QA269" s="5"/>
      <c r="QB269" s="6"/>
      <c r="QC269" s="4"/>
      <c r="QD269" s="4"/>
      <c r="QE269" s="4"/>
      <c r="QF269" s="4"/>
      <c r="QG269" s="4"/>
      <c r="QH269" s="5"/>
      <c r="QI269" s="6"/>
      <c r="QJ269" s="4"/>
      <c r="QK269" s="4"/>
      <c r="QL269" s="4"/>
      <c r="QM269" s="4"/>
      <c r="QN269" s="4"/>
      <c r="QO269" s="5"/>
      <c r="QP269" s="6"/>
      <c r="QQ269" s="4"/>
      <c r="QR269" s="4"/>
      <c r="QS269" s="4"/>
      <c r="QT269" s="4"/>
      <c r="QU269" s="4"/>
      <c r="QV269" s="5"/>
      <c r="QW269" s="6"/>
      <c r="QX269" s="4"/>
      <c r="QY269" s="4"/>
      <c r="QZ269" s="4"/>
      <c r="RA269" s="4"/>
      <c r="RB269" s="4"/>
      <c r="RC269" s="5"/>
      <c r="RD269" s="6"/>
      <c r="RE269" s="4"/>
      <c r="RF269" s="4"/>
      <c r="RG269" s="4"/>
      <c r="RH269" s="4"/>
      <c r="RI269" s="4"/>
      <c r="RJ269" s="5"/>
      <c r="RK269" s="6"/>
      <c r="RL269" s="4"/>
      <c r="RM269" s="4"/>
      <c r="RN269" s="4"/>
      <c r="RO269" s="4"/>
      <c r="RP269" s="4"/>
      <c r="RQ269" s="5"/>
      <c r="RR269" s="6"/>
      <c r="RS269" s="4"/>
      <c r="RT269" s="4"/>
      <c r="RU269" s="4"/>
      <c r="RV269" s="4"/>
      <c r="RW269" s="4"/>
      <c r="RX269" s="5"/>
      <c r="RY269" s="6"/>
      <c r="RZ269" s="4"/>
      <c r="SA269" s="4"/>
      <c r="SB269" s="4"/>
      <c r="SC269" s="4"/>
      <c r="SD269" s="4"/>
      <c r="SE269" s="5"/>
      <c r="SF269" s="6"/>
      <c r="SG269" s="4"/>
      <c r="SH269" s="4"/>
      <c r="SI269" s="4"/>
      <c r="SJ269" s="4"/>
      <c r="SK269" s="4"/>
      <c r="SL269" s="5"/>
      <c r="SM269" s="6"/>
      <c r="SN269" s="4"/>
      <c r="SO269" s="4"/>
      <c r="SP269" s="4"/>
      <c r="SQ269" s="4"/>
      <c r="SR269" s="4"/>
      <c r="SS269" s="5"/>
      <c r="ST269" s="6"/>
      <c r="SU269" s="4"/>
      <c r="SV269" s="4"/>
      <c r="SW269" s="4"/>
      <c r="SX269" s="4"/>
      <c r="SY269" s="4"/>
      <c r="SZ269" s="5"/>
      <c r="TA269" s="6"/>
      <c r="TB269" s="4"/>
      <c r="TC269" s="4"/>
      <c r="TD269" s="4"/>
      <c r="TE269" s="4"/>
      <c r="TF269" s="4"/>
      <c r="TG269" s="5"/>
      <c r="TH269" s="6"/>
      <c r="TI269" s="4"/>
      <c r="TJ269" s="4"/>
      <c r="TK269" s="4"/>
      <c r="TL269" s="4"/>
      <c r="TM269" s="4"/>
      <c r="TN269" s="5"/>
      <c r="TO269" s="6"/>
      <c r="TP269" s="4"/>
      <c r="TQ269" s="4"/>
      <c r="TR269" s="4"/>
      <c r="TS269" s="4"/>
      <c r="TT269" s="4"/>
      <c r="TU269" s="5"/>
      <c r="TV269" s="6"/>
      <c r="TW269" s="4"/>
      <c r="TX269" s="4"/>
      <c r="TY269" s="4"/>
      <c r="TZ269" s="4"/>
      <c r="UA269" s="4"/>
      <c r="UB269" s="5"/>
      <c r="UC269" s="6"/>
      <c r="UD269" s="4"/>
      <c r="UE269" s="4"/>
      <c r="UF269" s="4"/>
      <c r="UG269" s="4"/>
      <c r="UH269" s="4"/>
      <c r="UI269" s="5"/>
      <c r="UJ269" s="6"/>
      <c r="UK269" s="4"/>
      <c r="UL269" s="4"/>
      <c r="UM269" s="4"/>
      <c r="UN269" s="4"/>
      <c r="UO269" s="4"/>
      <c r="UP269" s="5"/>
      <c r="UQ269" s="6"/>
      <c r="UR269" s="4"/>
      <c r="US269" s="4"/>
      <c r="UT269" s="4"/>
      <c r="UU269" s="4"/>
      <c r="UV269" s="4"/>
      <c r="UW269" s="5"/>
      <c r="UX269" s="6"/>
      <c r="UY269" s="4"/>
      <c r="UZ269" s="4"/>
      <c r="VA269" s="4"/>
      <c r="VB269" s="4"/>
      <c r="VC269" s="4"/>
      <c r="VD269" s="5"/>
      <c r="VE269" s="6"/>
      <c r="VF269" s="4"/>
      <c r="VG269" s="4"/>
      <c r="VH269" s="4"/>
      <c r="VI269" s="4"/>
      <c r="VJ269" s="4"/>
      <c r="VK269" s="5"/>
      <c r="VL269" s="6"/>
      <c r="VM269" s="4"/>
      <c r="VN269" s="4"/>
      <c r="VO269" s="4"/>
      <c r="VP269" s="4"/>
      <c r="VQ269" s="4"/>
      <c r="VR269" s="5"/>
      <c r="VS269" s="6"/>
      <c r="VT269" s="4"/>
      <c r="VU269" s="4"/>
      <c r="VV269" s="4"/>
      <c r="VW269" s="4"/>
      <c r="VX269" s="4"/>
      <c r="VY269" s="5"/>
      <c r="VZ269" s="6"/>
      <c r="WA269" s="4"/>
      <c r="WB269" s="4"/>
      <c r="WC269" s="4"/>
      <c r="WD269" s="4"/>
      <c r="WE269" s="4"/>
      <c r="WF269" s="5"/>
      <c r="WG269" s="6"/>
      <c r="WH269" s="4"/>
      <c r="WI269" s="4"/>
      <c r="WJ269" s="4"/>
      <c r="WK269" s="4"/>
      <c r="WL269" s="4"/>
      <c r="WM269" s="5"/>
      <c r="WN269" s="6"/>
      <c r="WO269" s="4"/>
      <c r="WP269" s="4"/>
      <c r="WQ269" s="4"/>
      <c r="WR269" s="4"/>
      <c r="WS269" s="4"/>
      <c r="WT269" s="5"/>
      <c r="WU269" s="6"/>
      <c r="WV269" s="4"/>
      <c r="WW269" s="4"/>
      <c r="WX269" s="4"/>
      <c r="WY269" s="4"/>
      <c r="WZ269" s="4"/>
      <c r="XA269" s="5"/>
      <c r="XB269" s="6"/>
      <c r="XC269" s="4"/>
      <c r="XD269" s="4"/>
      <c r="XE269" s="4"/>
      <c r="XF269" s="4"/>
      <c r="XG269" s="4"/>
      <c r="XH269" s="5"/>
      <c r="XI269" s="6"/>
      <c r="XJ269" s="4"/>
      <c r="XK269" s="4"/>
      <c r="XL269" s="4"/>
      <c r="XM269" s="4"/>
      <c r="XN269" s="4"/>
      <c r="XO269" s="5"/>
      <c r="XP269" s="6"/>
      <c r="XQ269" s="4"/>
      <c r="XR269" s="4"/>
      <c r="XS269" s="4"/>
      <c r="XT269" s="4"/>
      <c r="XU269" s="4"/>
      <c r="XV269" s="5"/>
      <c r="XW269" s="6"/>
      <c r="XX269" s="4"/>
      <c r="XY269" s="4"/>
      <c r="XZ269" s="4"/>
      <c r="YA269" s="4"/>
      <c r="YB269" s="4"/>
      <c r="YC269" s="5"/>
      <c r="YD269" s="6"/>
      <c r="YE269" s="4"/>
      <c r="YF269" s="4"/>
      <c r="YG269" s="4"/>
      <c r="YH269" s="4"/>
      <c r="YI269" s="4"/>
      <c r="YJ269" s="5"/>
      <c r="YK269" s="6"/>
      <c r="YL269" s="4"/>
      <c r="YM269" s="4"/>
      <c r="YN269" s="4"/>
      <c r="YO269" s="4"/>
      <c r="YP269" s="4"/>
      <c r="YQ269" s="5"/>
      <c r="YR269" s="6"/>
      <c r="YS269" s="4"/>
      <c r="YT269" s="4"/>
      <c r="YU269" s="4"/>
      <c r="YV269" s="4"/>
      <c r="YW269" s="4"/>
      <c r="YX269" s="5"/>
      <c r="YY269" s="6"/>
      <c r="YZ269" s="4"/>
      <c r="ZA269" s="4"/>
      <c r="ZB269" s="4"/>
      <c r="ZC269" s="4"/>
      <c r="ZD269" s="4"/>
      <c r="ZE269" s="5"/>
      <c r="ZF269" s="6"/>
      <c r="ZG269" s="4"/>
      <c r="ZH269" s="4"/>
      <c r="ZI269" s="4"/>
      <c r="ZJ269" s="4"/>
      <c r="ZK269" s="4"/>
      <c r="ZL269" s="5"/>
      <c r="ZM269" s="6"/>
      <c r="ZN269" s="4"/>
      <c r="ZO269" s="4"/>
      <c r="ZP269" s="4"/>
      <c r="ZQ269" s="4"/>
      <c r="ZR269" s="4"/>
      <c r="ZS269" s="5"/>
      <c r="ZT269" s="6"/>
      <c r="ZU269" s="4"/>
      <c r="ZV269" s="4"/>
      <c r="ZW269" s="4"/>
      <c r="ZX269" s="4"/>
      <c r="ZY269" s="4"/>
      <c r="ZZ269" s="5"/>
      <c r="AAA269" s="6"/>
      <c r="AAB269" s="4"/>
      <c r="AAC269" s="4"/>
      <c r="AAD269" s="4"/>
      <c r="AAE269" s="4"/>
      <c r="AAF269" s="4"/>
      <c r="AAG269" s="5"/>
      <c r="AAH269" s="6"/>
      <c r="AAI269" s="4"/>
      <c r="AAJ269" s="4"/>
      <c r="AAK269" s="4"/>
      <c r="AAL269" s="4"/>
      <c r="AAM269" s="4"/>
      <c r="AAN269" s="5"/>
      <c r="AAO269" s="6"/>
      <c r="AAP269" s="4"/>
      <c r="AAQ269" s="4"/>
      <c r="AAR269" s="4"/>
      <c r="AAS269" s="4"/>
      <c r="AAT269" s="4"/>
      <c r="AAU269" s="5"/>
      <c r="AAV269" s="6"/>
      <c r="AAW269" s="4"/>
      <c r="AAX269" s="4"/>
      <c r="AAY269" s="4"/>
      <c r="AAZ269" s="4"/>
      <c r="ABA269" s="4"/>
      <c r="ABB269" s="5"/>
      <c r="ABC269" s="6"/>
      <c r="ABD269" s="4"/>
      <c r="ABE269" s="4"/>
      <c r="ABF269" s="4"/>
      <c r="ABG269" s="4"/>
      <c r="ABH269" s="4"/>
      <c r="ABI269" s="5"/>
      <c r="ABJ269" s="6"/>
      <c r="ABK269" s="4"/>
      <c r="ABL269" s="4"/>
      <c r="ABM269" s="4"/>
      <c r="ABN269" s="4"/>
      <c r="ABO269" s="4"/>
      <c r="ABP269" s="5"/>
      <c r="ABQ269" s="6"/>
      <c r="ABR269" s="4"/>
      <c r="ABS269" s="4"/>
      <c r="ABT269" s="4"/>
      <c r="ABU269" s="4"/>
      <c r="ABV269" s="4"/>
      <c r="ABW269" s="5"/>
      <c r="ABX269" s="6"/>
      <c r="ABY269" s="4"/>
      <c r="ABZ269" s="4"/>
      <c r="ACA269" s="4"/>
      <c r="ACB269" s="4"/>
      <c r="ACC269" s="4"/>
      <c r="ACD269" s="5"/>
      <c r="ACE269" s="6"/>
      <c r="ACF269" s="4"/>
      <c r="ACG269" s="4"/>
      <c r="ACH269" s="4"/>
      <c r="ACI269" s="4"/>
      <c r="ACJ269" s="4"/>
      <c r="ACK269" s="5"/>
      <c r="ACL269" s="6"/>
      <c r="ACM269" s="4"/>
      <c r="ACN269" s="4"/>
      <c r="ACO269" s="4"/>
      <c r="ACP269" s="4"/>
      <c r="ACQ269" s="4"/>
      <c r="ACR269" s="5"/>
      <c r="ACS269" s="6"/>
      <c r="ACT269" s="4"/>
      <c r="ACU269" s="4"/>
      <c r="ACV269" s="4"/>
      <c r="ACW269" s="4"/>
      <c r="ACX269" s="4"/>
      <c r="ACY269" s="5"/>
    </row>
    <row r="270" spans="1:805" x14ac:dyDescent="0.25">
      <c r="B270" s="30"/>
      <c r="J270" s="12"/>
      <c r="K270" s="12"/>
      <c r="L270" s="12"/>
      <c r="LL270" s="6"/>
      <c r="LM270" s="4"/>
      <c r="LN270" s="4"/>
      <c r="LO270" s="4"/>
      <c r="LP270" s="4"/>
      <c r="LQ270" s="4"/>
      <c r="LR270" s="5"/>
      <c r="LS270" s="6"/>
      <c r="LT270" s="4"/>
      <c r="LU270" s="4"/>
      <c r="LV270" s="4"/>
      <c r="LW270" s="4"/>
      <c r="LX270" s="4"/>
      <c r="LY270" s="5"/>
      <c r="LZ270" s="6" t="s">
        <v>2872</v>
      </c>
      <c r="MA270" s="7" t="s">
        <v>1992</v>
      </c>
      <c r="MB270" s="4"/>
      <c r="MC270" s="4"/>
      <c r="MD270" s="8"/>
      <c r="ME270" s="8">
        <v>38077</v>
      </c>
      <c r="MF270" s="8" t="s">
        <v>611</v>
      </c>
      <c r="MG270" s="5" t="s">
        <v>379</v>
      </c>
      <c r="MH270" s="6"/>
      <c r="MI270" s="4"/>
      <c r="MJ270" s="4"/>
      <c r="MK270" s="4"/>
      <c r="ML270" s="4"/>
      <c r="MM270" s="4"/>
      <c r="MN270" s="5"/>
      <c r="MO270" s="6"/>
      <c r="MP270" s="4"/>
      <c r="MQ270" s="4"/>
      <c r="MR270" s="4"/>
      <c r="MS270" s="4"/>
      <c r="MT270" s="4"/>
      <c r="MU270" s="5"/>
      <c r="MV270" s="6"/>
      <c r="MW270" s="4"/>
      <c r="MX270" s="4"/>
      <c r="MY270" s="4"/>
      <c r="MZ270" s="4"/>
      <c r="NA270" s="4"/>
      <c r="NB270" s="5"/>
      <c r="NC270" s="6"/>
      <c r="ND270" s="4"/>
      <c r="NE270" s="4"/>
      <c r="NF270" s="4"/>
      <c r="NG270" s="4"/>
      <c r="NH270" s="4"/>
      <c r="NI270" s="5"/>
      <c r="NJ270" s="6"/>
      <c r="NK270" s="4"/>
      <c r="NL270" s="4"/>
      <c r="NM270" s="4"/>
      <c r="NN270" s="4"/>
      <c r="NO270" s="4"/>
      <c r="NP270" s="5"/>
      <c r="NQ270" s="6"/>
      <c r="NR270" s="4"/>
      <c r="NS270" s="4"/>
      <c r="NT270" s="4"/>
      <c r="NU270" s="4"/>
      <c r="NV270" s="4"/>
      <c r="NW270" s="5"/>
      <c r="NX270" s="6"/>
      <c r="NY270" s="4"/>
      <c r="NZ270" s="4"/>
      <c r="OA270" s="4"/>
      <c r="OB270" s="4"/>
      <c r="OC270" s="4"/>
      <c r="OD270" s="5"/>
      <c r="OE270" s="6"/>
      <c r="OF270" s="4"/>
      <c r="OG270" s="4"/>
      <c r="OH270" s="4"/>
      <c r="OI270" s="4"/>
      <c r="OJ270" s="4"/>
      <c r="OK270" s="5"/>
      <c r="OL270" s="6"/>
      <c r="OM270" s="4"/>
      <c r="ON270" s="4"/>
      <c r="OO270" s="4"/>
      <c r="OP270" s="4"/>
      <c r="OQ270" s="4"/>
      <c r="OR270" s="5"/>
      <c r="OS270" s="6"/>
      <c r="OT270" s="4"/>
      <c r="OU270" s="4"/>
      <c r="OV270" s="4"/>
      <c r="OW270" s="4"/>
      <c r="OX270" s="4"/>
      <c r="OY270" s="5"/>
      <c r="OZ270" s="6"/>
      <c r="PA270" s="4"/>
      <c r="PB270" s="4"/>
      <c r="PC270" s="4"/>
      <c r="PD270" s="4"/>
      <c r="PE270" s="4"/>
      <c r="PF270" s="5"/>
      <c r="PG270" s="6"/>
      <c r="PH270" s="4"/>
      <c r="PI270" s="4"/>
      <c r="PJ270" s="4"/>
      <c r="PK270" s="4"/>
      <c r="PL270" s="4"/>
      <c r="PM270" s="5"/>
      <c r="PN270" s="6"/>
      <c r="PO270" s="4"/>
      <c r="PP270" s="4"/>
      <c r="PQ270" s="4"/>
      <c r="PR270" s="4"/>
      <c r="PS270" s="4"/>
      <c r="PT270" s="5"/>
      <c r="PU270" s="6"/>
      <c r="PV270" s="4"/>
      <c r="PW270" s="4"/>
      <c r="PX270" s="4"/>
      <c r="PY270" s="4"/>
      <c r="PZ270" s="4"/>
      <c r="QA270" s="5"/>
      <c r="QB270" s="6"/>
      <c r="QC270" s="4"/>
      <c r="QD270" s="4"/>
      <c r="QE270" s="4"/>
      <c r="QF270" s="4"/>
      <c r="QG270" s="4"/>
      <c r="QH270" s="5"/>
      <c r="QI270" s="6"/>
      <c r="QJ270" s="4"/>
      <c r="QK270" s="4"/>
      <c r="QL270" s="4"/>
      <c r="QM270" s="4"/>
      <c r="QN270" s="4"/>
      <c r="QO270" s="5"/>
      <c r="QP270" s="6"/>
      <c r="QQ270" s="4"/>
      <c r="QR270" s="4"/>
      <c r="QS270" s="4"/>
      <c r="QT270" s="4"/>
      <c r="QU270" s="4"/>
      <c r="QV270" s="5"/>
      <c r="QW270" s="6"/>
      <c r="QX270" s="4"/>
      <c r="QY270" s="4"/>
      <c r="QZ270" s="4"/>
      <c r="RA270" s="4"/>
      <c r="RB270" s="4"/>
      <c r="RC270" s="5"/>
      <c r="RD270" s="6"/>
      <c r="RE270" s="4"/>
      <c r="RF270" s="4"/>
      <c r="RG270" s="4"/>
      <c r="RH270" s="4"/>
      <c r="RI270" s="4"/>
      <c r="RJ270" s="5"/>
      <c r="RK270" s="6"/>
      <c r="RL270" s="4"/>
      <c r="RM270" s="4"/>
      <c r="RN270" s="4"/>
      <c r="RO270" s="4"/>
      <c r="RP270" s="4"/>
      <c r="RQ270" s="5"/>
      <c r="RR270" s="6"/>
      <c r="RS270" s="4"/>
      <c r="RT270" s="4"/>
      <c r="RU270" s="4"/>
      <c r="RV270" s="4"/>
      <c r="RW270" s="4"/>
      <c r="RX270" s="5"/>
      <c r="RY270" s="6"/>
      <c r="RZ270" s="4"/>
      <c r="SA270" s="4"/>
      <c r="SB270" s="4"/>
      <c r="SC270" s="4"/>
      <c r="SD270" s="4"/>
      <c r="SE270" s="5"/>
      <c r="SF270" s="6"/>
      <c r="SG270" s="4"/>
      <c r="SH270" s="4"/>
      <c r="SI270" s="4"/>
      <c r="SJ270" s="4"/>
      <c r="SK270" s="4"/>
      <c r="SL270" s="5"/>
      <c r="SM270" s="6"/>
      <c r="SN270" s="4"/>
      <c r="SO270" s="4"/>
      <c r="SP270" s="4"/>
      <c r="SQ270" s="4"/>
      <c r="SR270" s="4"/>
      <c r="SS270" s="5"/>
      <c r="ST270" s="6"/>
      <c r="SU270" s="4"/>
      <c r="SV270" s="4"/>
      <c r="SW270" s="4"/>
      <c r="SX270" s="4"/>
      <c r="SY270" s="4"/>
      <c r="SZ270" s="5"/>
      <c r="TA270" s="6"/>
      <c r="TB270" s="4"/>
      <c r="TC270" s="4"/>
      <c r="TD270" s="4"/>
      <c r="TE270" s="4"/>
      <c r="TF270" s="4"/>
      <c r="TG270" s="5"/>
      <c r="TH270" s="6"/>
      <c r="TI270" s="4"/>
      <c r="TJ270" s="4"/>
      <c r="TK270" s="4"/>
      <c r="TL270" s="4"/>
      <c r="TM270" s="4"/>
      <c r="TN270" s="5"/>
      <c r="TO270" s="6"/>
      <c r="TP270" s="4"/>
      <c r="TQ270" s="4"/>
      <c r="TR270" s="4"/>
      <c r="TS270" s="4"/>
      <c r="TT270" s="4"/>
      <c r="TU270" s="5"/>
      <c r="TV270" s="6"/>
      <c r="TW270" s="4"/>
      <c r="TX270" s="4"/>
      <c r="TY270" s="4"/>
      <c r="TZ270" s="4"/>
      <c r="UA270" s="4"/>
      <c r="UB270" s="5"/>
      <c r="UC270" s="6"/>
      <c r="UD270" s="4"/>
      <c r="UE270" s="4"/>
      <c r="UF270" s="4"/>
      <c r="UG270" s="4"/>
      <c r="UH270" s="4"/>
      <c r="UI270" s="5"/>
      <c r="UJ270" s="6"/>
      <c r="UK270" s="4"/>
      <c r="UL270" s="4"/>
      <c r="UM270" s="4"/>
      <c r="UN270" s="4"/>
      <c r="UO270" s="4"/>
      <c r="UP270" s="5"/>
      <c r="UQ270" s="6"/>
      <c r="UR270" s="4"/>
      <c r="US270" s="4"/>
      <c r="UT270" s="4"/>
      <c r="UU270" s="4"/>
      <c r="UV270" s="4"/>
      <c r="UW270" s="5"/>
      <c r="UX270" s="6"/>
      <c r="UY270" s="4"/>
      <c r="UZ270" s="4"/>
      <c r="VA270" s="4"/>
      <c r="VB270" s="4"/>
      <c r="VC270" s="4"/>
      <c r="VD270" s="5"/>
      <c r="VE270" s="6"/>
      <c r="VF270" s="4"/>
      <c r="VG270" s="4"/>
      <c r="VH270" s="4"/>
      <c r="VI270" s="4"/>
      <c r="VJ270" s="4"/>
      <c r="VK270" s="5"/>
      <c r="VL270" s="6"/>
      <c r="VM270" s="4"/>
      <c r="VN270" s="4"/>
      <c r="VO270" s="4"/>
      <c r="VP270" s="4"/>
      <c r="VQ270" s="4"/>
      <c r="VR270" s="5"/>
      <c r="VS270" s="6"/>
      <c r="VT270" s="4"/>
      <c r="VU270" s="4"/>
      <c r="VV270" s="4"/>
      <c r="VW270" s="4"/>
      <c r="VX270" s="4"/>
      <c r="VY270" s="5"/>
      <c r="VZ270" s="6"/>
      <c r="WA270" s="4"/>
      <c r="WB270" s="4"/>
      <c r="WC270" s="4"/>
      <c r="WD270" s="4"/>
      <c r="WE270" s="4"/>
      <c r="WF270" s="5"/>
      <c r="WG270" s="6"/>
      <c r="WH270" s="4"/>
      <c r="WI270" s="4"/>
      <c r="WJ270" s="4"/>
      <c r="WK270" s="4"/>
      <c r="WL270" s="4"/>
      <c r="WM270" s="5"/>
      <c r="WN270" s="6"/>
      <c r="WO270" s="4"/>
      <c r="WP270" s="4"/>
      <c r="WQ270" s="4"/>
      <c r="WR270" s="4"/>
      <c r="WS270" s="4"/>
      <c r="WT270" s="5"/>
      <c r="WU270" s="6"/>
      <c r="WV270" s="4"/>
      <c r="WW270" s="4"/>
      <c r="WX270" s="4"/>
      <c r="WY270" s="4"/>
      <c r="WZ270" s="4"/>
      <c r="XA270" s="5"/>
      <c r="XB270" s="6"/>
      <c r="XC270" s="4"/>
      <c r="XD270" s="4"/>
      <c r="XE270" s="4"/>
      <c r="XF270" s="4"/>
      <c r="XG270" s="4"/>
      <c r="XH270" s="5"/>
      <c r="XI270" s="6"/>
      <c r="XJ270" s="4"/>
      <c r="XK270" s="4"/>
      <c r="XL270" s="4"/>
      <c r="XM270" s="4"/>
      <c r="XN270" s="4"/>
      <c r="XO270" s="5"/>
      <c r="XP270" s="6"/>
      <c r="XQ270" s="4"/>
      <c r="XR270" s="4"/>
      <c r="XS270" s="4"/>
      <c r="XT270" s="4"/>
      <c r="XU270" s="4"/>
      <c r="XV270" s="5"/>
      <c r="XW270" s="6"/>
      <c r="XX270" s="4"/>
      <c r="XY270" s="4"/>
      <c r="XZ270" s="4"/>
      <c r="YA270" s="4"/>
      <c r="YB270" s="4"/>
      <c r="YC270" s="5"/>
      <c r="YD270" s="6"/>
      <c r="YE270" s="4"/>
      <c r="YF270" s="4"/>
      <c r="YG270" s="4"/>
      <c r="YH270" s="4"/>
      <c r="YI270" s="4"/>
      <c r="YJ270" s="5"/>
      <c r="YK270" s="6"/>
      <c r="YL270" s="4"/>
      <c r="YM270" s="4"/>
      <c r="YN270" s="4"/>
      <c r="YO270" s="4"/>
      <c r="YP270" s="4"/>
      <c r="YQ270" s="5"/>
      <c r="YR270" s="6"/>
      <c r="YS270" s="4"/>
      <c r="YT270" s="4"/>
      <c r="YU270" s="4"/>
      <c r="YV270" s="4"/>
      <c r="YW270" s="4"/>
      <c r="YX270" s="5"/>
      <c r="YY270" s="6"/>
      <c r="YZ270" s="4"/>
      <c r="ZA270" s="4"/>
      <c r="ZB270" s="4"/>
      <c r="ZC270" s="4"/>
      <c r="ZD270" s="4"/>
      <c r="ZE270" s="5"/>
      <c r="ZF270" s="6"/>
      <c r="ZG270" s="4"/>
      <c r="ZH270" s="4"/>
      <c r="ZI270" s="4"/>
      <c r="ZJ270" s="4"/>
      <c r="ZK270" s="4"/>
      <c r="ZL270" s="5"/>
      <c r="ZM270" s="6"/>
      <c r="ZN270" s="4"/>
      <c r="ZO270" s="4"/>
      <c r="ZP270" s="4"/>
      <c r="ZQ270" s="4"/>
      <c r="ZR270" s="4"/>
      <c r="ZS270" s="5"/>
      <c r="ZT270" s="6"/>
      <c r="ZU270" s="4"/>
      <c r="ZV270" s="4"/>
      <c r="ZW270" s="4"/>
      <c r="ZX270" s="4"/>
      <c r="ZY270" s="4"/>
      <c r="ZZ270" s="5"/>
      <c r="AAA270" s="6"/>
      <c r="AAB270" s="4"/>
      <c r="AAC270" s="4"/>
      <c r="AAD270" s="4"/>
      <c r="AAE270" s="4"/>
      <c r="AAF270" s="4"/>
      <c r="AAG270" s="5"/>
      <c r="AAH270" s="6"/>
      <c r="AAI270" s="4"/>
      <c r="AAJ270" s="4"/>
      <c r="AAK270" s="4"/>
      <c r="AAL270" s="4"/>
      <c r="AAM270" s="4"/>
      <c r="AAN270" s="5"/>
      <c r="AAO270" s="6"/>
      <c r="AAP270" s="4"/>
      <c r="AAQ270" s="4"/>
      <c r="AAR270" s="4"/>
      <c r="AAS270" s="4"/>
      <c r="AAT270" s="4"/>
      <c r="AAU270" s="5"/>
      <c r="AAV270" s="6"/>
      <c r="AAW270" s="4"/>
      <c r="AAX270" s="4"/>
      <c r="AAY270" s="4"/>
      <c r="AAZ270" s="4"/>
      <c r="ABA270" s="4"/>
      <c r="ABB270" s="5"/>
      <c r="ABC270" s="6"/>
      <c r="ABD270" s="4"/>
      <c r="ABE270" s="4"/>
      <c r="ABF270" s="4"/>
      <c r="ABG270" s="4"/>
      <c r="ABH270" s="4"/>
      <c r="ABI270" s="5"/>
      <c r="ABJ270" s="6"/>
      <c r="ABK270" s="4"/>
      <c r="ABL270" s="4"/>
      <c r="ABM270" s="4"/>
      <c r="ABN270" s="4"/>
      <c r="ABO270" s="4"/>
      <c r="ABP270" s="5"/>
      <c r="ABQ270" s="6"/>
      <c r="ABR270" s="4"/>
      <c r="ABS270" s="4"/>
      <c r="ABT270" s="4"/>
      <c r="ABU270" s="4"/>
      <c r="ABV270" s="4"/>
      <c r="ABW270" s="5"/>
      <c r="ABX270" s="6"/>
      <c r="ABY270" s="4"/>
      <c r="ABZ270" s="4"/>
      <c r="ACA270" s="4"/>
      <c r="ACB270" s="4"/>
      <c r="ACC270" s="4"/>
      <c r="ACD270" s="5"/>
      <c r="ACE270" s="6"/>
      <c r="ACF270" s="4"/>
      <c r="ACG270" s="4"/>
      <c r="ACH270" s="4"/>
      <c r="ACI270" s="4"/>
      <c r="ACJ270" s="4"/>
      <c r="ACK270" s="5"/>
      <c r="ACL270" s="6"/>
      <c r="ACM270" s="4"/>
      <c r="ACN270" s="4"/>
      <c r="ACO270" s="4"/>
      <c r="ACP270" s="4"/>
      <c r="ACQ270" s="4"/>
      <c r="ACR270" s="5"/>
      <c r="ACS270" s="6"/>
      <c r="ACT270" s="4"/>
      <c r="ACU270" s="4"/>
      <c r="ACV270" s="4"/>
      <c r="ACW270" s="4"/>
      <c r="ACX270" s="4"/>
      <c r="ACY270" s="5"/>
    </row>
    <row r="271" spans="1:805" x14ac:dyDescent="0.25">
      <c r="B271" s="30"/>
      <c r="J271" s="12"/>
      <c r="K271" s="12"/>
      <c r="L271" s="12"/>
      <c r="LL271" s="6"/>
      <c r="LM271" s="4"/>
      <c r="LN271" s="4"/>
      <c r="LO271" s="4"/>
      <c r="LP271" s="4"/>
      <c r="LQ271" s="4"/>
      <c r="LR271" s="5"/>
      <c r="LS271" s="6"/>
      <c r="LT271" s="4"/>
      <c r="LU271" s="4"/>
      <c r="LV271" s="4"/>
      <c r="LW271" s="4"/>
      <c r="LX271" s="4"/>
      <c r="LY271" s="5"/>
      <c r="LZ271" s="6" t="s">
        <v>2336</v>
      </c>
      <c r="MA271" s="7" t="s">
        <v>2336</v>
      </c>
      <c r="MB271" s="7" t="s">
        <v>2904</v>
      </c>
      <c r="MC271" s="4"/>
      <c r="MD271" s="8">
        <v>38093</v>
      </c>
      <c r="ME271" s="8"/>
      <c r="MF271" s="8"/>
      <c r="MG271" s="5" t="s">
        <v>379</v>
      </c>
      <c r="MH271" s="6"/>
      <c r="MI271" s="4"/>
      <c r="MJ271" s="4"/>
      <c r="MK271" s="4"/>
      <c r="ML271" s="4"/>
      <c r="MM271" s="4"/>
      <c r="MN271" s="5"/>
      <c r="MO271" s="6"/>
      <c r="MP271" s="4"/>
      <c r="MQ271" s="4"/>
      <c r="MR271" s="4"/>
      <c r="MS271" s="4"/>
      <c r="MT271" s="4"/>
      <c r="MU271" s="5"/>
      <c r="MV271" s="6"/>
      <c r="MW271" s="4"/>
      <c r="MX271" s="4"/>
      <c r="MY271" s="4"/>
      <c r="MZ271" s="4"/>
      <c r="NA271" s="4"/>
      <c r="NB271" s="5"/>
      <c r="NC271" s="6"/>
      <c r="ND271" s="4"/>
      <c r="NE271" s="4"/>
      <c r="NF271" s="4"/>
      <c r="NG271" s="4"/>
      <c r="NH271" s="4"/>
      <c r="NI271" s="5"/>
      <c r="NJ271" s="6"/>
      <c r="NK271" s="4"/>
      <c r="NL271" s="4"/>
      <c r="NM271" s="4"/>
      <c r="NN271" s="4"/>
      <c r="NO271" s="4"/>
      <c r="NP271" s="5"/>
      <c r="NQ271" s="6"/>
      <c r="NR271" s="4"/>
      <c r="NS271" s="4"/>
      <c r="NT271" s="4"/>
      <c r="NU271" s="4"/>
      <c r="NV271" s="4"/>
      <c r="NW271" s="5"/>
      <c r="NX271" s="6"/>
      <c r="NY271" s="4"/>
      <c r="NZ271" s="4"/>
      <c r="OA271" s="4"/>
      <c r="OB271" s="4"/>
      <c r="OC271" s="4"/>
      <c r="OD271" s="5"/>
      <c r="OE271" s="6"/>
      <c r="OF271" s="4"/>
      <c r="OG271" s="4"/>
      <c r="OH271" s="4"/>
      <c r="OI271" s="4"/>
      <c r="OJ271" s="4"/>
      <c r="OK271" s="5"/>
      <c r="OL271" s="6"/>
      <c r="OM271" s="4"/>
      <c r="ON271" s="4"/>
      <c r="OO271" s="4"/>
      <c r="OP271" s="4"/>
      <c r="OQ271" s="4"/>
      <c r="OR271" s="5"/>
      <c r="OS271" s="6"/>
      <c r="OT271" s="4"/>
      <c r="OU271" s="4"/>
      <c r="OV271" s="4"/>
      <c r="OW271" s="4"/>
      <c r="OX271" s="4"/>
      <c r="OY271" s="5"/>
      <c r="OZ271" s="6"/>
      <c r="PA271" s="4"/>
      <c r="PB271" s="4"/>
      <c r="PC271" s="4"/>
      <c r="PD271" s="4"/>
      <c r="PE271" s="4"/>
      <c r="PF271" s="5"/>
      <c r="PG271" s="6"/>
      <c r="PH271" s="4"/>
      <c r="PI271" s="4"/>
      <c r="PJ271" s="4"/>
      <c r="PK271" s="4"/>
      <c r="PL271" s="4"/>
      <c r="PM271" s="5"/>
      <c r="PN271" s="6"/>
      <c r="PO271" s="4"/>
      <c r="PP271" s="4"/>
      <c r="PQ271" s="4"/>
      <c r="PR271" s="4"/>
      <c r="PS271" s="4"/>
      <c r="PT271" s="5"/>
      <c r="PU271" s="6"/>
      <c r="PV271" s="4"/>
      <c r="PW271" s="4"/>
      <c r="PX271" s="4"/>
      <c r="PY271" s="4"/>
      <c r="PZ271" s="4"/>
      <c r="QA271" s="5"/>
      <c r="QB271" s="6"/>
      <c r="QC271" s="4"/>
      <c r="QD271" s="4"/>
      <c r="QE271" s="4"/>
      <c r="QF271" s="4"/>
      <c r="QG271" s="4"/>
      <c r="QH271" s="5"/>
      <c r="QI271" s="6"/>
      <c r="QJ271" s="4"/>
      <c r="QK271" s="4"/>
      <c r="QL271" s="4"/>
      <c r="QM271" s="4"/>
      <c r="QN271" s="4"/>
      <c r="QO271" s="5"/>
      <c r="QP271" s="6"/>
      <c r="QQ271" s="4"/>
      <c r="QR271" s="4"/>
      <c r="QS271" s="4"/>
      <c r="QT271" s="4"/>
      <c r="QU271" s="4"/>
      <c r="QV271" s="5"/>
      <c r="QW271" s="6"/>
      <c r="QX271" s="4"/>
      <c r="QY271" s="4"/>
      <c r="QZ271" s="4"/>
      <c r="RA271" s="4"/>
      <c r="RB271" s="4"/>
      <c r="RC271" s="5"/>
      <c r="RD271" s="6"/>
      <c r="RE271" s="4"/>
      <c r="RF271" s="4"/>
      <c r="RG271" s="4"/>
      <c r="RH271" s="4"/>
      <c r="RI271" s="4"/>
      <c r="RJ271" s="5"/>
      <c r="RK271" s="6"/>
      <c r="RL271" s="4"/>
      <c r="RM271" s="4"/>
      <c r="RN271" s="4"/>
      <c r="RO271" s="4"/>
      <c r="RP271" s="4"/>
      <c r="RQ271" s="5"/>
      <c r="RR271" s="6"/>
      <c r="RS271" s="4"/>
      <c r="RT271" s="4"/>
      <c r="RU271" s="4"/>
      <c r="RV271" s="4"/>
      <c r="RW271" s="4"/>
      <c r="RX271" s="5"/>
      <c r="RY271" s="6"/>
      <c r="RZ271" s="4"/>
      <c r="SA271" s="4"/>
      <c r="SB271" s="4"/>
      <c r="SC271" s="4"/>
      <c r="SD271" s="4"/>
      <c r="SE271" s="5"/>
      <c r="SF271" s="6"/>
      <c r="SG271" s="4"/>
      <c r="SH271" s="4"/>
      <c r="SI271" s="4"/>
      <c r="SJ271" s="4"/>
      <c r="SK271" s="4"/>
      <c r="SL271" s="5"/>
      <c r="SM271" s="6"/>
      <c r="SN271" s="4"/>
      <c r="SO271" s="4"/>
      <c r="SP271" s="4"/>
      <c r="SQ271" s="4"/>
      <c r="SR271" s="4"/>
      <c r="SS271" s="5"/>
      <c r="ST271" s="6"/>
      <c r="SU271" s="4"/>
      <c r="SV271" s="4"/>
      <c r="SW271" s="4"/>
      <c r="SX271" s="4"/>
      <c r="SY271" s="4"/>
      <c r="SZ271" s="5"/>
      <c r="TA271" s="6"/>
      <c r="TB271" s="4"/>
      <c r="TC271" s="4"/>
      <c r="TD271" s="4"/>
      <c r="TE271" s="4"/>
      <c r="TF271" s="4"/>
      <c r="TG271" s="5"/>
      <c r="TH271" s="6"/>
      <c r="TI271" s="4"/>
      <c r="TJ271" s="4"/>
      <c r="TK271" s="4"/>
      <c r="TL271" s="4"/>
      <c r="TM271" s="4"/>
      <c r="TN271" s="5"/>
      <c r="TO271" s="6"/>
      <c r="TP271" s="4"/>
      <c r="TQ271" s="4"/>
      <c r="TR271" s="4"/>
      <c r="TS271" s="4"/>
      <c r="TT271" s="4"/>
      <c r="TU271" s="5"/>
      <c r="TV271" s="6"/>
      <c r="TW271" s="4"/>
      <c r="TX271" s="4"/>
      <c r="TY271" s="4"/>
      <c r="TZ271" s="4"/>
      <c r="UA271" s="4"/>
      <c r="UB271" s="5"/>
      <c r="UC271" s="6"/>
      <c r="UD271" s="4"/>
      <c r="UE271" s="4"/>
      <c r="UF271" s="4"/>
      <c r="UG271" s="4"/>
      <c r="UH271" s="4"/>
      <c r="UI271" s="5"/>
      <c r="UJ271" s="6"/>
      <c r="UK271" s="4"/>
      <c r="UL271" s="4"/>
      <c r="UM271" s="4"/>
      <c r="UN271" s="4"/>
      <c r="UO271" s="4"/>
      <c r="UP271" s="5"/>
      <c r="UQ271" s="6"/>
      <c r="UR271" s="4"/>
      <c r="US271" s="4"/>
      <c r="UT271" s="4"/>
      <c r="UU271" s="4"/>
      <c r="UV271" s="4"/>
      <c r="UW271" s="5"/>
      <c r="UX271" s="6"/>
      <c r="UY271" s="4"/>
      <c r="UZ271" s="4"/>
      <c r="VA271" s="4"/>
      <c r="VB271" s="4"/>
      <c r="VC271" s="4"/>
      <c r="VD271" s="5"/>
      <c r="VE271" s="6"/>
      <c r="VF271" s="4"/>
      <c r="VG271" s="4"/>
      <c r="VH271" s="4"/>
      <c r="VI271" s="4"/>
      <c r="VJ271" s="4"/>
      <c r="VK271" s="5"/>
      <c r="VL271" s="6"/>
      <c r="VM271" s="4"/>
      <c r="VN271" s="4"/>
      <c r="VO271" s="4"/>
      <c r="VP271" s="4"/>
      <c r="VQ271" s="4"/>
      <c r="VR271" s="5"/>
      <c r="VS271" s="6"/>
      <c r="VT271" s="4"/>
      <c r="VU271" s="4"/>
      <c r="VV271" s="4"/>
      <c r="VW271" s="4"/>
      <c r="VX271" s="4"/>
      <c r="VY271" s="5"/>
      <c r="VZ271" s="6"/>
      <c r="WA271" s="4"/>
      <c r="WB271" s="4"/>
      <c r="WC271" s="4"/>
      <c r="WD271" s="4"/>
      <c r="WE271" s="4"/>
      <c r="WF271" s="5"/>
      <c r="WG271" s="6"/>
      <c r="WH271" s="4"/>
      <c r="WI271" s="4"/>
      <c r="WJ271" s="4"/>
      <c r="WK271" s="4"/>
      <c r="WL271" s="4"/>
      <c r="WM271" s="5"/>
      <c r="WN271" s="6"/>
      <c r="WO271" s="4"/>
      <c r="WP271" s="4"/>
      <c r="WQ271" s="4"/>
      <c r="WR271" s="4"/>
      <c r="WS271" s="4"/>
      <c r="WT271" s="5"/>
      <c r="WU271" s="6"/>
      <c r="WV271" s="4"/>
      <c r="WW271" s="4"/>
      <c r="WX271" s="4"/>
      <c r="WY271" s="4"/>
      <c r="WZ271" s="4"/>
      <c r="XA271" s="5"/>
      <c r="XB271" s="6"/>
      <c r="XC271" s="4"/>
      <c r="XD271" s="4"/>
      <c r="XE271" s="4"/>
      <c r="XF271" s="4"/>
      <c r="XG271" s="4"/>
      <c r="XH271" s="5"/>
      <c r="XI271" s="6"/>
      <c r="XJ271" s="4"/>
      <c r="XK271" s="4"/>
      <c r="XL271" s="4"/>
      <c r="XM271" s="4"/>
      <c r="XN271" s="4"/>
      <c r="XO271" s="5"/>
      <c r="XP271" s="6"/>
      <c r="XQ271" s="4"/>
      <c r="XR271" s="4"/>
      <c r="XS271" s="4"/>
      <c r="XT271" s="4"/>
      <c r="XU271" s="4"/>
      <c r="XV271" s="5"/>
      <c r="XW271" s="6"/>
      <c r="XX271" s="4"/>
      <c r="XY271" s="4"/>
      <c r="XZ271" s="4"/>
      <c r="YA271" s="4"/>
      <c r="YB271" s="4"/>
      <c r="YC271" s="5"/>
      <c r="YD271" s="6"/>
      <c r="YE271" s="4"/>
      <c r="YF271" s="4"/>
      <c r="YG271" s="4"/>
      <c r="YH271" s="4"/>
      <c r="YI271" s="4"/>
      <c r="YJ271" s="5"/>
      <c r="YK271" s="6"/>
      <c r="YL271" s="4"/>
      <c r="YM271" s="4"/>
      <c r="YN271" s="4"/>
      <c r="YO271" s="4"/>
      <c r="YP271" s="4"/>
      <c r="YQ271" s="5"/>
      <c r="YR271" s="6"/>
      <c r="YS271" s="4"/>
      <c r="YT271" s="4"/>
      <c r="YU271" s="4"/>
      <c r="YV271" s="4"/>
      <c r="YW271" s="4"/>
      <c r="YX271" s="5"/>
      <c r="YY271" s="6"/>
      <c r="YZ271" s="4"/>
      <c r="ZA271" s="4"/>
      <c r="ZB271" s="4"/>
      <c r="ZC271" s="4"/>
      <c r="ZD271" s="4"/>
      <c r="ZE271" s="5"/>
      <c r="ZF271" s="6"/>
      <c r="ZG271" s="4"/>
      <c r="ZH271" s="4"/>
      <c r="ZI271" s="4"/>
      <c r="ZJ271" s="4"/>
      <c r="ZK271" s="4"/>
      <c r="ZL271" s="5"/>
      <c r="ZM271" s="6"/>
      <c r="ZN271" s="4"/>
      <c r="ZO271" s="4"/>
      <c r="ZP271" s="4"/>
      <c r="ZQ271" s="4"/>
      <c r="ZR271" s="4"/>
      <c r="ZS271" s="5"/>
      <c r="ZT271" s="6"/>
      <c r="ZU271" s="4"/>
      <c r="ZV271" s="4"/>
      <c r="ZW271" s="4"/>
      <c r="ZX271" s="4"/>
      <c r="ZY271" s="4"/>
      <c r="ZZ271" s="5"/>
      <c r="AAA271" s="6"/>
      <c r="AAB271" s="4"/>
      <c r="AAC271" s="4"/>
      <c r="AAD271" s="4"/>
      <c r="AAE271" s="4"/>
      <c r="AAF271" s="4"/>
      <c r="AAG271" s="5"/>
      <c r="AAH271" s="6"/>
      <c r="AAI271" s="4"/>
      <c r="AAJ271" s="4"/>
      <c r="AAK271" s="4"/>
      <c r="AAL271" s="4"/>
      <c r="AAM271" s="4"/>
      <c r="AAN271" s="5"/>
      <c r="AAO271" s="6"/>
      <c r="AAP271" s="4"/>
      <c r="AAQ271" s="4"/>
      <c r="AAR271" s="4"/>
      <c r="AAS271" s="4"/>
      <c r="AAT271" s="4"/>
      <c r="AAU271" s="5"/>
      <c r="AAV271" s="6"/>
      <c r="AAW271" s="4"/>
      <c r="AAX271" s="4"/>
      <c r="AAY271" s="4"/>
      <c r="AAZ271" s="4"/>
      <c r="ABA271" s="4"/>
      <c r="ABB271" s="5"/>
      <c r="ABC271" s="6"/>
      <c r="ABD271" s="4"/>
      <c r="ABE271" s="4"/>
      <c r="ABF271" s="4"/>
      <c r="ABG271" s="4"/>
      <c r="ABH271" s="4"/>
      <c r="ABI271" s="5"/>
      <c r="ABJ271" s="6"/>
      <c r="ABK271" s="4"/>
      <c r="ABL271" s="4"/>
      <c r="ABM271" s="4"/>
      <c r="ABN271" s="4"/>
      <c r="ABO271" s="4"/>
      <c r="ABP271" s="5"/>
      <c r="ABQ271" s="6"/>
      <c r="ABR271" s="4"/>
      <c r="ABS271" s="4"/>
      <c r="ABT271" s="4"/>
      <c r="ABU271" s="4"/>
      <c r="ABV271" s="4"/>
      <c r="ABW271" s="5"/>
      <c r="ABX271" s="6"/>
      <c r="ABY271" s="4"/>
      <c r="ABZ271" s="4"/>
      <c r="ACA271" s="4"/>
      <c r="ACB271" s="4"/>
      <c r="ACC271" s="4"/>
      <c r="ACD271" s="5"/>
      <c r="ACE271" s="6"/>
      <c r="ACF271" s="4"/>
      <c r="ACG271" s="4"/>
      <c r="ACH271" s="4"/>
      <c r="ACI271" s="4"/>
      <c r="ACJ271" s="4"/>
      <c r="ACK271" s="5"/>
      <c r="ACL271" s="6"/>
      <c r="ACM271" s="4"/>
      <c r="ACN271" s="4"/>
      <c r="ACO271" s="4"/>
      <c r="ACP271" s="4"/>
      <c r="ACQ271" s="4"/>
      <c r="ACR271" s="5"/>
      <c r="ACS271" s="6"/>
      <c r="ACT271" s="4"/>
      <c r="ACU271" s="4"/>
      <c r="ACV271" s="4"/>
      <c r="ACW271" s="4"/>
      <c r="ACX271" s="4"/>
      <c r="ACY271" s="5"/>
    </row>
    <row r="272" spans="1:805" x14ac:dyDescent="0.25">
      <c r="B272" s="49">
        <v>5005285</v>
      </c>
      <c r="C272">
        <v>68</v>
      </c>
      <c r="D272" t="s">
        <v>468</v>
      </c>
      <c r="E272" t="s">
        <v>160</v>
      </c>
      <c r="F272" s="23">
        <v>1</v>
      </c>
      <c r="H272" s="23" t="s">
        <v>552</v>
      </c>
      <c r="J272" s="12"/>
      <c r="K272" s="12"/>
      <c r="L272" s="12"/>
      <c r="M272">
        <v>1</v>
      </c>
      <c r="BA272">
        <v>1</v>
      </c>
      <c r="LL272" s="6"/>
      <c r="LM272" s="4"/>
      <c r="LN272" s="4"/>
      <c r="LO272" s="4"/>
      <c r="LP272" s="4"/>
      <c r="LQ272" s="4"/>
      <c r="LR272" s="5"/>
      <c r="LS272" s="6"/>
      <c r="LT272" s="4"/>
      <c r="LU272" s="4"/>
      <c r="LV272" s="4"/>
      <c r="LW272" s="4"/>
      <c r="LX272" s="4"/>
      <c r="LY272" s="5"/>
      <c r="LZ272" s="6" t="s">
        <v>2983</v>
      </c>
      <c r="MA272" s="7" t="s">
        <v>2983</v>
      </c>
      <c r="MB272" s="4"/>
      <c r="MC272" s="4"/>
      <c r="MD272" s="8"/>
      <c r="ME272" s="4"/>
      <c r="MF272" s="4" t="s">
        <v>611</v>
      </c>
      <c r="MG272" s="5" t="s">
        <v>553</v>
      </c>
      <c r="MH272" s="6"/>
      <c r="MI272" s="4"/>
      <c r="MJ272" s="4"/>
      <c r="MK272" s="4"/>
      <c r="ML272" s="4"/>
      <c r="MM272" s="4"/>
      <c r="MN272" s="5"/>
      <c r="MO272" s="6"/>
      <c r="MP272" s="4"/>
      <c r="MQ272" s="4"/>
      <c r="MR272" s="4"/>
      <c r="MS272" s="4"/>
      <c r="MT272" s="4"/>
      <c r="MU272" s="5"/>
      <c r="MV272" s="6"/>
      <c r="MW272" s="4"/>
      <c r="MX272" s="4"/>
      <c r="MY272" s="4"/>
      <c r="MZ272" s="4"/>
      <c r="NA272" s="4"/>
      <c r="NB272" s="5"/>
      <c r="NC272" s="6"/>
      <c r="ND272" s="4"/>
      <c r="NE272" s="4"/>
      <c r="NF272" s="4"/>
      <c r="NG272" s="4"/>
      <c r="NH272" s="4"/>
      <c r="NI272" s="5"/>
      <c r="NJ272" s="6"/>
      <c r="NK272" s="4"/>
      <c r="NL272" s="4"/>
      <c r="NM272" s="4"/>
      <c r="NN272" s="4"/>
      <c r="NO272" s="4"/>
      <c r="NP272" s="5"/>
      <c r="NQ272" s="6"/>
      <c r="NR272" s="4"/>
      <c r="NS272" s="4"/>
      <c r="NT272" s="4"/>
      <c r="NU272" s="4"/>
      <c r="NV272" s="4"/>
      <c r="NW272" s="5"/>
      <c r="NX272" s="6"/>
      <c r="NY272" s="4"/>
      <c r="NZ272" s="4"/>
      <c r="OA272" s="4"/>
      <c r="OB272" s="4"/>
      <c r="OC272" s="4"/>
      <c r="OD272" s="5"/>
      <c r="OE272" s="6"/>
      <c r="OF272" s="4"/>
      <c r="OG272" s="4"/>
      <c r="OH272" s="4"/>
      <c r="OI272" s="4"/>
      <c r="OJ272" s="4"/>
      <c r="OK272" s="5"/>
      <c r="OL272" s="6"/>
      <c r="OM272" s="4"/>
      <c r="ON272" s="4"/>
      <c r="OO272" s="4"/>
      <c r="OP272" s="4"/>
      <c r="OQ272" s="4"/>
      <c r="OR272" s="5"/>
      <c r="OS272" s="6"/>
      <c r="OT272" s="4"/>
      <c r="OU272" s="4"/>
      <c r="OV272" s="4"/>
      <c r="OW272" s="4"/>
      <c r="OX272" s="4"/>
      <c r="OY272" s="5"/>
      <c r="OZ272" s="6"/>
      <c r="PA272" s="4"/>
      <c r="PB272" s="4"/>
      <c r="PC272" s="4"/>
      <c r="PD272" s="4"/>
      <c r="PE272" s="4"/>
      <c r="PF272" s="5"/>
      <c r="PG272" s="6"/>
      <c r="PH272" s="4"/>
      <c r="PI272" s="4"/>
      <c r="PJ272" s="4"/>
      <c r="PK272" s="4"/>
      <c r="PL272" s="4"/>
      <c r="PM272" s="5"/>
      <c r="PN272" s="6"/>
      <c r="PO272" s="4"/>
      <c r="PP272" s="4"/>
      <c r="PQ272" s="4"/>
      <c r="PR272" s="4"/>
      <c r="PS272" s="4"/>
      <c r="PT272" s="5"/>
      <c r="PU272" s="6"/>
      <c r="PV272" s="4"/>
      <c r="PW272" s="4"/>
      <c r="PX272" s="4"/>
      <c r="PY272" s="4"/>
      <c r="PZ272" s="4"/>
      <c r="QA272" s="5"/>
      <c r="QB272" s="6"/>
      <c r="QC272" s="4"/>
      <c r="QD272" s="4"/>
      <c r="QE272" s="4"/>
      <c r="QF272" s="4"/>
      <c r="QG272" s="4"/>
      <c r="QH272" s="5"/>
      <c r="QI272" s="6"/>
      <c r="QJ272" s="4"/>
      <c r="QK272" s="4"/>
      <c r="QL272" s="4"/>
      <c r="QM272" s="4"/>
      <c r="QN272" s="4"/>
      <c r="QO272" s="5"/>
      <c r="QP272" s="6"/>
      <c r="QQ272" s="4"/>
      <c r="QR272" s="4"/>
      <c r="QS272" s="4"/>
      <c r="QT272" s="4"/>
      <c r="QU272" s="4"/>
      <c r="QV272" s="5"/>
      <c r="QW272" s="6"/>
      <c r="QX272" s="4"/>
      <c r="QY272" s="4"/>
      <c r="QZ272" s="4"/>
      <c r="RA272" s="4"/>
      <c r="RB272" s="4"/>
      <c r="RC272" s="5"/>
      <c r="RD272" s="6"/>
      <c r="RE272" s="4"/>
      <c r="RF272" s="4"/>
      <c r="RG272" s="4"/>
      <c r="RH272" s="4"/>
      <c r="RI272" s="4"/>
      <c r="RJ272" s="5"/>
      <c r="RK272" s="6"/>
      <c r="RL272" s="4"/>
      <c r="RM272" s="4"/>
      <c r="RN272" s="4"/>
      <c r="RO272" s="4"/>
      <c r="RP272" s="4"/>
      <c r="RQ272" s="5"/>
      <c r="RR272" s="6"/>
      <c r="RS272" s="4"/>
      <c r="RT272" s="4"/>
      <c r="RU272" s="4"/>
      <c r="RV272" s="4"/>
      <c r="RW272" s="4"/>
      <c r="RX272" s="5"/>
      <c r="RY272" s="6"/>
      <c r="RZ272" s="4"/>
      <c r="SA272" s="4"/>
      <c r="SB272" s="4"/>
      <c r="SC272" s="4"/>
      <c r="SD272" s="4"/>
      <c r="SE272" s="5"/>
      <c r="SF272" s="6"/>
      <c r="SG272" s="4"/>
      <c r="SH272" s="4"/>
      <c r="SI272" s="4"/>
      <c r="SJ272" s="4"/>
      <c r="SK272" s="4"/>
      <c r="SL272" s="5"/>
      <c r="SM272" s="6"/>
      <c r="SN272" s="4"/>
      <c r="SO272" s="4"/>
      <c r="SP272" s="4"/>
      <c r="SQ272" s="4"/>
      <c r="SR272" s="4"/>
      <c r="SS272" s="5"/>
      <c r="ST272" s="6"/>
      <c r="SU272" s="4"/>
      <c r="SV272" s="4"/>
      <c r="SW272" s="4"/>
      <c r="SX272" s="4"/>
      <c r="SY272" s="4"/>
      <c r="SZ272" s="5"/>
      <c r="TA272" s="6"/>
      <c r="TB272" s="4"/>
      <c r="TC272" s="4"/>
      <c r="TD272" s="4"/>
      <c r="TE272" s="4"/>
      <c r="TF272" s="4"/>
      <c r="TG272" s="5"/>
      <c r="TH272" s="6"/>
      <c r="TI272" s="4"/>
      <c r="TJ272" s="4"/>
      <c r="TK272" s="4"/>
      <c r="TL272" s="4"/>
      <c r="TM272" s="4"/>
      <c r="TN272" s="5"/>
      <c r="TO272" s="6"/>
      <c r="TP272" s="4"/>
      <c r="TQ272" s="4"/>
      <c r="TR272" s="4"/>
      <c r="TS272" s="4"/>
      <c r="TT272" s="4"/>
      <c r="TU272" s="5"/>
      <c r="TV272" s="6"/>
      <c r="TW272" s="4"/>
      <c r="TX272" s="4"/>
      <c r="TY272" s="4"/>
      <c r="TZ272" s="4"/>
      <c r="UA272" s="4"/>
      <c r="UB272" s="5"/>
      <c r="UC272" s="6"/>
      <c r="UD272" s="4"/>
      <c r="UE272" s="4"/>
      <c r="UF272" s="4"/>
      <c r="UG272" s="4"/>
      <c r="UH272" s="4"/>
      <c r="UI272" s="5"/>
      <c r="UJ272" s="6"/>
      <c r="UK272" s="4"/>
      <c r="UL272" s="4"/>
      <c r="UM272" s="4"/>
      <c r="UN272" s="4"/>
      <c r="UO272" s="4"/>
      <c r="UP272" s="5"/>
      <c r="UQ272" s="6"/>
      <c r="UR272" s="4"/>
      <c r="US272" s="4"/>
      <c r="UT272" s="4"/>
      <c r="UU272" s="4"/>
      <c r="UV272" s="4"/>
      <c r="UW272" s="5"/>
      <c r="UX272" s="6"/>
      <c r="UY272" s="4"/>
      <c r="UZ272" s="4"/>
      <c r="VA272" s="4"/>
      <c r="VB272" s="4"/>
      <c r="VC272" s="4"/>
      <c r="VD272" s="5"/>
      <c r="VE272" s="6"/>
      <c r="VF272" s="4"/>
      <c r="VG272" s="4"/>
      <c r="VH272" s="4"/>
      <c r="VI272" s="4"/>
      <c r="VJ272" s="4"/>
      <c r="VK272" s="5"/>
      <c r="VL272" s="6"/>
      <c r="VM272" s="4"/>
      <c r="VN272" s="4"/>
      <c r="VO272" s="4"/>
      <c r="VP272" s="4"/>
      <c r="VQ272" s="4"/>
      <c r="VR272" s="5"/>
      <c r="VS272" s="6"/>
      <c r="VT272" s="4"/>
      <c r="VU272" s="4"/>
      <c r="VV272" s="4"/>
      <c r="VW272" s="4"/>
      <c r="VX272" s="4"/>
      <c r="VY272" s="5"/>
      <c r="VZ272" s="6"/>
      <c r="WA272" s="4"/>
      <c r="WB272" s="4"/>
      <c r="WC272" s="4"/>
      <c r="WD272" s="4"/>
      <c r="WE272" s="4"/>
      <c r="WF272" s="5"/>
      <c r="WG272" s="6"/>
      <c r="WH272" s="4"/>
      <c r="WI272" s="4"/>
      <c r="WJ272" s="4"/>
      <c r="WK272" s="4"/>
      <c r="WL272" s="4"/>
      <c r="WM272" s="5"/>
      <c r="WN272" s="6"/>
      <c r="WO272" s="4"/>
      <c r="WP272" s="4"/>
      <c r="WQ272" s="4"/>
      <c r="WR272" s="4"/>
      <c r="WS272" s="4"/>
      <c r="WT272" s="5"/>
      <c r="WU272" s="6"/>
      <c r="WV272" s="4"/>
      <c r="WW272" s="4"/>
      <c r="WX272" s="4"/>
      <c r="WY272" s="4"/>
      <c r="WZ272" s="4"/>
      <c r="XA272" s="5"/>
      <c r="XB272" s="6"/>
      <c r="XC272" s="4"/>
      <c r="XD272" s="4"/>
      <c r="XE272" s="4"/>
      <c r="XF272" s="4"/>
      <c r="XG272" s="4"/>
      <c r="XH272" s="5"/>
      <c r="XI272" s="6"/>
      <c r="XJ272" s="4"/>
      <c r="XK272" s="4"/>
      <c r="XL272" s="4"/>
      <c r="XM272" s="4"/>
      <c r="XN272" s="4"/>
      <c r="XO272" s="5"/>
      <c r="XP272" s="6"/>
      <c r="XQ272" s="4"/>
      <c r="XR272" s="4"/>
      <c r="XS272" s="4"/>
      <c r="XT272" s="4"/>
      <c r="XU272" s="4"/>
      <c r="XV272" s="5"/>
      <c r="XW272" s="6"/>
      <c r="XX272" s="4"/>
      <c r="XY272" s="4"/>
      <c r="XZ272" s="4"/>
      <c r="YA272" s="4"/>
      <c r="YB272" s="4"/>
      <c r="YC272" s="5"/>
      <c r="YD272" s="6"/>
      <c r="YE272" s="4"/>
      <c r="YF272" s="4"/>
      <c r="YG272" s="4"/>
      <c r="YH272" s="4"/>
      <c r="YI272" s="4"/>
      <c r="YJ272" s="5"/>
      <c r="YK272" s="6"/>
      <c r="YL272" s="4"/>
      <c r="YM272" s="4"/>
      <c r="YN272" s="4"/>
      <c r="YO272" s="4"/>
      <c r="YP272" s="4"/>
      <c r="YQ272" s="5"/>
      <c r="YR272" s="6"/>
      <c r="YS272" s="4"/>
      <c r="YT272" s="4"/>
      <c r="YU272" s="4"/>
      <c r="YV272" s="4"/>
      <c r="YW272" s="4"/>
      <c r="YX272" s="5"/>
      <c r="YY272" s="6"/>
      <c r="YZ272" s="4"/>
      <c r="ZA272" s="4"/>
      <c r="ZB272" s="4"/>
      <c r="ZC272" s="4"/>
      <c r="ZD272" s="4"/>
      <c r="ZE272" s="5"/>
      <c r="ZF272" s="6"/>
      <c r="ZG272" s="4"/>
      <c r="ZH272" s="4"/>
      <c r="ZI272" s="4"/>
      <c r="ZJ272" s="4"/>
      <c r="ZK272" s="4"/>
      <c r="ZL272" s="5"/>
      <c r="ZM272" s="6"/>
      <c r="ZN272" s="4"/>
      <c r="ZO272" s="4"/>
      <c r="ZP272" s="4"/>
      <c r="ZQ272" s="4"/>
      <c r="ZR272" s="4"/>
      <c r="ZS272" s="5"/>
      <c r="ZT272" s="6"/>
      <c r="ZU272" s="4"/>
      <c r="ZV272" s="4"/>
      <c r="ZW272" s="4"/>
      <c r="ZX272" s="4"/>
      <c r="ZY272" s="4"/>
      <c r="ZZ272" s="5"/>
      <c r="AAA272" s="6"/>
      <c r="AAB272" s="4"/>
      <c r="AAC272" s="4"/>
      <c r="AAD272" s="4"/>
      <c r="AAE272" s="4"/>
      <c r="AAF272" s="4"/>
      <c r="AAG272" s="5"/>
      <c r="AAH272" s="6"/>
      <c r="AAI272" s="4"/>
      <c r="AAJ272" s="4"/>
      <c r="AAK272" s="4"/>
      <c r="AAL272" s="4"/>
      <c r="AAM272" s="4"/>
      <c r="AAN272" s="5"/>
      <c r="AAO272" s="6"/>
      <c r="AAP272" s="4"/>
      <c r="AAQ272" s="4"/>
      <c r="AAR272" s="4"/>
      <c r="AAS272" s="4"/>
      <c r="AAT272" s="4"/>
      <c r="AAU272" s="5"/>
      <c r="AAV272" s="6"/>
      <c r="AAW272" s="4"/>
      <c r="AAX272" s="4"/>
      <c r="AAY272" s="4"/>
      <c r="AAZ272" s="4"/>
      <c r="ABA272" s="4"/>
      <c r="ABB272" s="5"/>
      <c r="ABC272" s="6"/>
      <c r="ABD272" s="4"/>
      <c r="ABE272" s="4"/>
      <c r="ABF272" s="4"/>
      <c r="ABG272" s="4"/>
      <c r="ABH272" s="4"/>
      <c r="ABI272" s="5"/>
      <c r="ABJ272" s="6"/>
      <c r="ABK272" s="4"/>
      <c r="ABL272" s="4"/>
      <c r="ABM272" s="4"/>
      <c r="ABN272" s="4"/>
      <c r="ABO272" s="4"/>
      <c r="ABP272" s="5"/>
      <c r="ABQ272" s="6"/>
      <c r="ABR272" s="4"/>
      <c r="ABS272" s="4"/>
      <c r="ABT272" s="4"/>
      <c r="ABU272" s="4"/>
      <c r="ABV272" s="4"/>
      <c r="ABW272" s="5"/>
      <c r="ABX272" s="6"/>
      <c r="ABY272" s="4"/>
      <c r="ABZ272" s="4"/>
      <c r="ACA272" s="4"/>
      <c r="ACB272" s="4"/>
      <c r="ACC272" s="4"/>
      <c r="ACD272" s="5"/>
      <c r="ACE272" s="6"/>
      <c r="ACF272" s="4"/>
      <c r="ACG272" s="4"/>
      <c r="ACH272" s="4"/>
      <c r="ACI272" s="4"/>
      <c r="ACJ272" s="4"/>
      <c r="ACK272" s="5"/>
      <c r="ACL272" s="6"/>
      <c r="ACM272" s="4"/>
      <c r="ACN272" s="4"/>
      <c r="ACO272" s="4"/>
      <c r="ACP272" s="4"/>
      <c r="ACQ272" s="4"/>
      <c r="ACR272" s="5"/>
      <c r="ACS272" s="6"/>
      <c r="ACT272" s="4"/>
      <c r="ACU272" s="4"/>
      <c r="ACV272" s="4"/>
      <c r="ACW272" s="4"/>
      <c r="ACX272" s="4"/>
      <c r="ACY272" s="5"/>
    </row>
    <row r="273" spans="1:833" x14ac:dyDescent="0.25">
      <c r="B273" s="49">
        <v>6023982</v>
      </c>
      <c r="C273" s="57">
        <v>68</v>
      </c>
      <c r="D273" t="s">
        <v>681</v>
      </c>
      <c r="E273" s="56" t="s">
        <v>159</v>
      </c>
      <c r="F273" s="45">
        <v>1</v>
      </c>
      <c r="H273" s="23" t="s">
        <v>134</v>
      </c>
      <c r="J273" s="12"/>
      <c r="K273" s="12"/>
      <c r="L273" s="12"/>
      <c r="M273">
        <v>1</v>
      </c>
      <c r="CD273">
        <v>1</v>
      </c>
      <c r="EB273">
        <v>1</v>
      </c>
      <c r="EU273">
        <v>1</v>
      </c>
      <c r="KG273">
        <v>1</v>
      </c>
      <c r="LA273">
        <v>1</v>
      </c>
      <c r="LL273" s="6"/>
      <c r="LM273" s="4"/>
      <c r="LN273" s="4"/>
      <c r="LO273" s="4"/>
      <c r="LP273" s="4"/>
      <c r="LQ273" s="4"/>
      <c r="LR273" s="5"/>
      <c r="LS273" s="6"/>
      <c r="LT273" s="4"/>
      <c r="LU273" s="4"/>
      <c r="LV273" s="4"/>
      <c r="LW273" s="4"/>
      <c r="LX273" s="4"/>
      <c r="LY273" s="5"/>
      <c r="LZ273" s="6" t="s">
        <v>2983</v>
      </c>
      <c r="MA273" s="7" t="s">
        <v>2983</v>
      </c>
      <c r="MB273" s="4"/>
      <c r="MC273" s="4"/>
      <c r="MD273" s="8"/>
      <c r="ME273" s="4"/>
      <c r="MF273" s="4" t="s">
        <v>456</v>
      </c>
      <c r="MG273" s="5" t="s">
        <v>626</v>
      </c>
      <c r="MH273" s="6"/>
      <c r="MI273" s="4"/>
      <c r="MJ273" s="4"/>
      <c r="MK273" s="4"/>
      <c r="ML273" s="4"/>
      <c r="MM273" s="4"/>
      <c r="MN273" s="5"/>
      <c r="MO273" s="6"/>
      <c r="MP273" s="4"/>
      <c r="MQ273" s="4"/>
      <c r="MR273" s="4"/>
      <c r="MS273" s="4"/>
      <c r="MT273" s="4"/>
      <c r="MU273" s="5"/>
      <c r="MV273" s="6"/>
      <c r="MW273" s="4"/>
      <c r="MX273" s="4"/>
      <c r="MY273" s="4"/>
      <c r="MZ273" s="4"/>
      <c r="NA273" s="4"/>
      <c r="NB273" s="5"/>
      <c r="NC273" s="6"/>
      <c r="ND273" s="4"/>
      <c r="NE273" s="4"/>
      <c r="NF273" s="4"/>
      <c r="NG273" s="4"/>
      <c r="NH273" s="4"/>
      <c r="NI273" s="5"/>
      <c r="NJ273" s="6"/>
      <c r="NK273" s="4"/>
      <c r="NL273" s="4"/>
      <c r="NM273" s="4"/>
      <c r="NN273" s="4"/>
      <c r="NO273" s="4"/>
      <c r="NP273" s="5"/>
      <c r="NQ273" s="6"/>
      <c r="NR273" s="4"/>
      <c r="NS273" s="4"/>
      <c r="NT273" s="4"/>
      <c r="NU273" s="4"/>
      <c r="NV273" s="4"/>
      <c r="NW273" s="5"/>
      <c r="NX273" s="6"/>
      <c r="NY273" s="4"/>
      <c r="NZ273" s="4"/>
      <c r="OA273" s="4"/>
      <c r="OB273" s="4"/>
      <c r="OC273" s="4"/>
      <c r="OD273" s="5"/>
      <c r="OE273" s="6"/>
      <c r="OF273" s="4"/>
      <c r="OG273" s="4"/>
      <c r="OH273" s="4"/>
      <c r="OI273" s="4"/>
      <c r="OJ273" s="4"/>
      <c r="OK273" s="5"/>
      <c r="OL273" s="6"/>
      <c r="OM273" s="4"/>
      <c r="ON273" s="4"/>
      <c r="OO273" s="4"/>
      <c r="OP273" s="4"/>
      <c r="OQ273" s="4"/>
      <c r="OR273" s="5"/>
      <c r="OS273" s="6"/>
      <c r="OT273" s="4"/>
      <c r="OU273" s="4"/>
      <c r="OV273" s="4"/>
      <c r="OW273" s="4"/>
      <c r="OX273" s="4"/>
      <c r="OY273" s="5"/>
      <c r="OZ273" s="6"/>
      <c r="PA273" s="4"/>
      <c r="PB273" s="4"/>
      <c r="PC273" s="4"/>
      <c r="PD273" s="4"/>
      <c r="PE273" s="4"/>
      <c r="PF273" s="5"/>
      <c r="PG273" s="6"/>
      <c r="PH273" s="4"/>
      <c r="PI273" s="4"/>
      <c r="PJ273" s="4"/>
      <c r="PK273" s="4"/>
      <c r="PL273" s="4"/>
      <c r="PM273" s="5"/>
      <c r="PN273" s="6"/>
      <c r="PO273" s="4"/>
      <c r="PP273" s="4"/>
      <c r="PQ273" s="4"/>
      <c r="PR273" s="4"/>
      <c r="PS273" s="4"/>
      <c r="PT273" s="5"/>
      <c r="PU273" s="6"/>
      <c r="PV273" s="4"/>
      <c r="PW273" s="4"/>
      <c r="PX273" s="4"/>
      <c r="PY273" s="4"/>
      <c r="PZ273" s="4"/>
      <c r="QA273" s="5"/>
      <c r="QB273" s="6"/>
      <c r="QC273" s="4"/>
      <c r="QD273" s="4"/>
      <c r="QE273" s="4"/>
      <c r="QF273" s="4"/>
      <c r="QG273" s="4"/>
      <c r="QH273" s="5"/>
      <c r="QI273" s="6"/>
      <c r="QJ273" s="4"/>
      <c r="QK273" s="4"/>
      <c r="QL273" s="4"/>
      <c r="QM273" s="4"/>
      <c r="QN273" s="4"/>
      <c r="QO273" s="5"/>
      <c r="QP273" s="6"/>
      <c r="QQ273" s="4"/>
      <c r="QR273" s="4"/>
      <c r="QS273" s="4"/>
      <c r="QT273" s="4"/>
      <c r="QU273" s="4"/>
      <c r="QV273" s="5"/>
      <c r="QW273" s="6"/>
      <c r="QX273" s="4"/>
      <c r="QY273" s="4"/>
      <c r="QZ273" s="4"/>
      <c r="RA273" s="4"/>
      <c r="RB273" s="4"/>
      <c r="RC273" s="5"/>
      <c r="RD273" s="6"/>
      <c r="RE273" s="4"/>
      <c r="RF273" s="4"/>
      <c r="RG273" s="4"/>
      <c r="RH273" s="4"/>
      <c r="RI273" s="4"/>
      <c r="RJ273" s="5"/>
      <c r="RK273" s="6"/>
      <c r="RL273" s="4"/>
      <c r="RM273" s="4"/>
      <c r="RN273" s="4"/>
      <c r="RO273" s="4"/>
      <c r="RP273" s="4"/>
      <c r="RQ273" s="5"/>
      <c r="RR273" s="6"/>
      <c r="RS273" s="4"/>
      <c r="RT273" s="4"/>
      <c r="RU273" s="4"/>
      <c r="RV273" s="4"/>
      <c r="RW273" s="4"/>
      <c r="RX273" s="5"/>
      <c r="RY273" s="6"/>
      <c r="RZ273" s="4"/>
      <c r="SA273" s="4"/>
      <c r="SB273" s="4"/>
      <c r="SC273" s="4"/>
      <c r="SD273" s="4"/>
      <c r="SE273" s="5"/>
      <c r="SF273" s="6"/>
      <c r="SG273" s="4"/>
      <c r="SH273" s="4"/>
      <c r="SI273" s="4"/>
      <c r="SJ273" s="4"/>
      <c r="SK273" s="4"/>
      <c r="SL273" s="5"/>
      <c r="SM273" s="6"/>
      <c r="SN273" s="4"/>
      <c r="SO273" s="4"/>
      <c r="SP273" s="4"/>
      <c r="SQ273" s="4"/>
      <c r="SR273" s="4"/>
      <c r="SS273" s="5"/>
      <c r="ST273" s="6"/>
      <c r="SU273" s="4"/>
      <c r="SV273" s="4"/>
      <c r="SW273" s="4"/>
      <c r="SX273" s="4"/>
      <c r="SY273" s="4"/>
      <c r="SZ273" s="5"/>
      <c r="TA273" s="6"/>
      <c r="TB273" s="4"/>
      <c r="TC273" s="4"/>
      <c r="TD273" s="4"/>
      <c r="TE273" s="4"/>
      <c r="TF273" s="4"/>
      <c r="TG273" s="5"/>
      <c r="TH273" s="6"/>
      <c r="TI273" s="4"/>
      <c r="TJ273" s="4"/>
      <c r="TK273" s="4"/>
      <c r="TL273" s="4"/>
      <c r="TM273" s="4"/>
      <c r="TN273" s="5"/>
      <c r="TO273" s="6"/>
      <c r="TP273" s="4"/>
      <c r="TQ273" s="4"/>
      <c r="TR273" s="4"/>
      <c r="TS273" s="4"/>
      <c r="TT273" s="4"/>
      <c r="TU273" s="5"/>
      <c r="TV273" s="6"/>
      <c r="TW273" s="4"/>
      <c r="TX273" s="4"/>
      <c r="TY273" s="4"/>
      <c r="TZ273" s="4"/>
      <c r="UA273" s="4"/>
      <c r="UB273" s="5"/>
      <c r="UC273" s="6"/>
      <c r="UD273" s="4"/>
      <c r="UE273" s="4"/>
      <c r="UF273" s="4"/>
      <c r="UG273" s="4"/>
      <c r="UH273" s="4"/>
      <c r="UI273" s="5"/>
      <c r="UJ273" s="6"/>
      <c r="UK273" s="4"/>
      <c r="UL273" s="4"/>
      <c r="UM273" s="4"/>
      <c r="UN273" s="4"/>
      <c r="UO273" s="4"/>
      <c r="UP273" s="5"/>
      <c r="UQ273" s="6"/>
      <c r="UR273" s="4"/>
      <c r="US273" s="4"/>
      <c r="UT273" s="4"/>
      <c r="UU273" s="4"/>
      <c r="UV273" s="4"/>
      <c r="UW273" s="5"/>
      <c r="UX273" s="6"/>
      <c r="UY273" s="4"/>
      <c r="UZ273" s="4"/>
      <c r="VA273" s="4"/>
      <c r="VB273" s="4"/>
      <c r="VC273" s="4"/>
      <c r="VD273" s="5"/>
      <c r="VE273" s="6"/>
      <c r="VF273" s="4"/>
      <c r="VG273" s="4"/>
      <c r="VH273" s="4"/>
      <c r="VI273" s="4"/>
      <c r="VJ273" s="4"/>
      <c r="VK273" s="5"/>
      <c r="VL273" s="6"/>
      <c r="VM273" s="4"/>
      <c r="VN273" s="4"/>
      <c r="VO273" s="4"/>
      <c r="VP273" s="4"/>
      <c r="VQ273" s="4"/>
      <c r="VR273" s="5"/>
      <c r="VS273" s="6"/>
      <c r="VT273" s="4"/>
      <c r="VU273" s="4"/>
      <c r="VV273" s="4"/>
      <c r="VW273" s="4"/>
      <c r="VX273" s="4"/>
      <c r="VY273" s="5"/>
      <c r="VZ273" s="6"/>
      <c r="WA273" s="4"/>
      <c r="WB273" s="4"/>
      <c r="WC273" s="4"/>
      <c r="WD273" s="4"/>
      <c r="WE273" s="4"/>
      <c r="WF273" s="5"/>
      <c r="WG273" s="6"/>
      <c r="WH273" s="4"/>
      <c r="WI273" s="4"/>
      <c r="WJ273" s="4"/>
      <c r="WK273" s="4"/>
      <c r="WL273" s="4"/>
      <c r="WM273" s="5"/>
      <c r="WN273" s="6"/>
      <c r="WO273" s="4"/>
      <c r="WP273" s="4"/>
      <c r="WQ273" s="4"/>
      <c r="WR273" s="4"/>
      <c r="WS273" s="4"/>
      <c r="WT273" s="5"/>
      <c r="WU273" s="6"/>
      <c r="WV273" s="4"/>
      <c r="WW273" s="4"/>
      <c r="WX273" s="4"/>
      <c r="WY273" s="4"/>
      <c r="WZ273" s="4"/>
      <c r="XA273" s="5"/>
      <c r="XB273" s="6"/>
      <c r="XC273" s="4"/>
      <c r="XD273" s="4"/>
      <c r="XE273" s="4"/>
      <c r="XF273" s="4"/>
      <c r="XG273" s="4"/>
      <c r="XH273" s="5"/>
      <c r="XI273" s="6"/>
      <c r="XJ273" s="4"/>
      <c r="XK273" s="4"/>
      <c r="XL273" s="4"/>
      <c r="XM273" s="4"/>
      <c r="XN273" s="4"/>
      <c r="XO273" s="5"/>
      <c r="XP273" s="6"/>
      <c r="XQ273" s="4"/>
      <c r="XR273" s="4"/>
      <c r="XS273" s="4"/>
      <c r="XT273" s="4"/>
      <c r="XU273" s="4"/>
      <c r="XV273" s="5"/>
      <c r="XW273" s="6"/>
      <c r="XX273" s="4"/>
      <c r="XY273" s="4"/>
      <c r="XZ273" s="4"/>
      <c r="YA273" s="4"/>
      <c r="YB273" s="4"/>
      <c r="YC273" s="5"/>
      <c r="YD273" s="6"/>
      <c r="YE273" s="4"/>
      <c r="YF273" s="4"/>
      <c r="YG273" s="4"/>
      <c r="YH273" s="4"/>
      <c r="YI273" s="4"/>
      <c r="YJ273" s="5"/>
      <c r="YK273" s="6"/>
      <c r="YL273" s="4"/>
      <c r="YM273" s="4"/>
      <c r="YN273" s="4"/>
      <c r="YO273" s="4"/>
      <c r="YP273" s="4"/>
      <c r="YQ273" s="5"/>
      <c r="YR273" s="6"/>
      <c r="YS273" s="4"/>
      <c r="YT273" s="4"/>
      <c r="YU273" s="4"/>
      <c r="YV273" s="4"/>
      <c r="YW273" s="4"/>
      <c r="YX273" s="5"/>
      <c r="YY273" s="6"/>
      <c r="YZ273" s="4"/>
      <c r="ZA273" s="4"/>
      <c r="ZB273" s="4"/>
      <c r="ZC273" s="4"/>
      <c r="ZD273" s="4"/>
      <c r="ZE273" s="5"/>
      <c r="ZF273" s="6"/>
      <c r="ZG273" s="4"/>
      <c r="ZH273" s="4"/>
      <c r="ZI273" s="4"/>
      <c r="ZJ273" s="4"/>
      <c r="ZK273" s="4"/>
      <c r="ZL273" s="5"/>
      <c r="ZM273" s="6"/>
      <c r="ZN273" s="4"/>
      <c r="ZO273" s="4"/>
      <c r="ZP273" s="4"/>
      <c r="ZQ273" s="4"/>
      <c r="ZR273" s="4"/>
      <c r="ZS273" s="5"/>
      <c r="ZT273" s="6"/>
      <c r="ZU273" s="4"/>
      <c r="ZV273" s="4"/>
      <c r="ZW273" s="4"/>
      <c r="ZX273" s="4"/>
      <c r="ZY273" s="4"/>
      <c r="ZZ273" s="5"/>
      <c r="AAA273" s="6"/>
      <c r="AAB273" s="4"/>
      <c r="AAC273" s="4"/>
      <c r="AAD273" s="4"/>
      <c r="AAE273" s="4"/>
      <c r="AAF273" s="4"/>
      <c r="AAG273" s="5"/>
      <c r="AAH273" s="6"/>
      <c r="AAI273" s="4"/>
      <c r="AAJ273" s="4"/>
      <c r="AAK273" s="4"/>
      <c r="AAL273" s="4"/>
      <c r="AAM273" s="4"/>
      <c r="AAN273" s="5"/>
      <c r="AAO273" s="6"/>
      <c r="AAP273" s="4"/>
      <c r="AAQ273" s="4"/>
      <c r="AAR273" s="4"/>
      <c r="AAS273" s="4"/>
      <c r="AAT273" s="4"/>
      <c r="AAU273" s="5"/>
      <c r="AAV273" s="6"/>
      <c r="AAW273" s="4"/>
      <c r="AAX273" s="4"/>
      <c r="AAY273" s="4"/>
      <c r="AAZ273" s="4"/>
      <c r="ABA273" s="4"/>
      <c r="ABB273" s="5"/>
      <c r="ABC273" s="6"/>
      <c r="ABD273" s="4"/>
      <c r="ABE273" s="4"/>
      <c r="ABF273" s="4"/>
      <c r="ABG273" s="4"/>
      <c r="ABH273" s="4"/>
      <c r="ABI273" s="5"/>
      <c r="ABJ273" s="6"/>
      <c r="ABK273" s="4"/>
      <c r="ABL273" s="4"/>
      <c r="ABM273" s="4"/>
      <c r="ABN273" s="4"/>
      <c r="ABO273" s="4"/>
      <c r="ABP273" s="5"/>
      <c r="ABQ273" s="6"/>
      <c r="ABR273" s="4"/>
      <c r="ABS273" s="4"/>
      <c r="ABT273" s="4"/>
      <c r="ABU273" s="4"/>
      <c r="ABV273" s="4"/>
      <c r="ABW273" s="5"/>
      <c r="ABX273" s="6"/>
      <c r="ABY273" s="4"/>
      <c r="ABZ273" s="4"/>
      <c r="ACA273" s="4"/>
      <c r="ACB273" s="4"/>
      <c r="ACC273" s="4"/>
      <c r="ACD273" s="5"/>
      <c r="ACE273" s="6"/>
      <c r="ACF273" s="4"/>
      <c r="ACG273" s="4"/>
      <c r="ACH273" s="4"/>
      <c r="ACI273" s="4"/>
      <c r="ACJ273" s="4"/>
      <c r="ACK273" s="5"/>
      <c r="ACL273" s="6"/>
      <c r="ACM273" s="4"/>
      <c r="ACN273" s="4"/>
      <c r="ACO273" s="4"/>
      <c r="ACP273" s="4"/>
      <c r="ACQ273" s="4"/>
      <c r="ACR273" s="5"/>
      <c r="ACS273" s="6"/>
      <c r="ACT273" s="4"/>
      <c r="ACU273" s="4"/>
      <c r="ACV273" s="4"/>
      <c r="ACW273" s="4"/>
      <c r="ACX273" s="4"/>
      <c r="ACY273" s="5"/>
      <c r="ADZ273" s="6" t="s">
        <v>554</v>
      </c>
    </row>
    <row r="274" spans="1:833" x14ac:dyDescent="0.25">
      <c r="B274" s="29">
        <v>6060394</v>
      </c>
      <c r="C274" s="57">
        <v>53</v>
      </c>
      <c r="D274" t="s">
        <v>3729</v>
      </c>
      <c r="E274" s="23" t="s">
        <v>167</v>
      </c>
      <c r="F274" s="23">
        <v>0</v>
      </c>
      <c r="I274">
        <v>1</v>
      </c>
      <c r="J274" s="19">
        <v>37450</v>
      </c>
      <c r="K274" s="19"/>
      <c r="L274" s="19"/>
      <c r="M274">
        <v>1</v>
      </c>
      <c r="N274" s="17">
        <v>37450</v>
      </c>
      <c r="U274">
        <v>1</v>
      </c>
      <c r="Z274">
        <v>1</v>
      </c>
      <c r="AG274">
        <v>1</v>
      </c>
      <c r="BC274">
        <v>1</v>
      </c>
      <c r="BF274">
        <v>1</v>
      </c>
      <c r="BL274">
        <v>1</v>
      </c>
      <c r="BN274">
        <v>1</v>
      </c>
      <c r="BS274">
        <v>1</v>
      </c>
      <c r="BT274">
        <v>1</v>
      </c>
      <c r="CA274">
        <v>1</v>
      </c>
      <c r="CB274">
        <v>1</v>
      </c>
      <c r="CU274">
        <v>1</v>
      </c>
      <c r="DL274">
        <v>1</v>
      </c>
      <c r="DO274">
        <v>1</v>
      </c>
      <c r="DV274">
        <v>1</v>
      </c>
      <c r="EZ274">
        <v>1</v>
      </c>
      <c r="FL274">
        <v>1</v>
      </c>
      <c r="GD274">
        <v>1</v>
      </c>
      <c r="GJ274">
        <v>1</v>
      </c>
      <c r="HL274">
        <v>1</v>
      </c>
      <c r="HO274">
        <v>1</v>
      </c>
      <c r="HW274">
        <v>1</v>
      </c>
      <c r="IB274">
        <v>1</v>
      </c>
      <c r="ID274">
        <v>1</v>
      </c>
      <c r="JB274">
        <v>1</v>
      </c>
      <c r="JO274">
        <v>1</v>
      </c>
      <c r="KJ274">
        <v>1</v>
      </c>
      <c r="KK274">
        <v>1</v>
      </c>
      <c r="KV274">
        <v>1</v>
      </c>
      <c r="KY274">
        <v>1</v>
      </c>
      <c r="KZ274">
        <v>1</v>
      </c>
      <c r="LL274" s="6"/>
      <c r="LM274" s="4"/>
      <c r="LN274" s="4"/>
      <c r="LO274" s="4"/>
      <c r="LP274" s="4"/>
      <c r="LQ274" s="4"/>
      <c r="LR274" s="5"/>
      <c r="LS274" s="6"/>
      <c r="LT274" s="4"/>
      <c r="LU274" s="4"/>
      <c r="LV274" s="4"/>
      <c r="LW274" s="4"/>
      <c r="LX274" s="4"/>
      <c r="LY274" s="5"/>
      <c r="LZ274" s="6" t="s">
        <v>1802</v>
      </c>
      <c r="MA274" s="7" t="s">
        <v>1802</v>
      </c>
      <c r="MB274" s="4"/>
      <c r="MC274" s="4"/>
      <c r="MD274" s="8">
        <v>2003</v>
      </c>
      <c r="ME274" s="4"/>
      <c r="MF274" s="9" t="s">
        <v>163</v>
      </c>
      <c r="MG274" s="5" t="s">
        <v>3985</v>
      </c>
      <c r="MH274" s="6"/>
      <c r="MI274" s="4"/>
      <c r="MJ274" s="4"/>
      <c r="MK274" s="4"/>
      <c r="ML274" s="4"/>
      <c r="MM274" s="4"/>
      <c r="MN274" s="5"/>
      <c r="MO274" s="6"/>
      <c r="MP274" s="4"/>
      <c r="MQ274" s="4"/>
      <c r="MR274" s="4"/>
      <c r="MS274" s="4"/>
      <c r="MT274" s="4"/>
      <c r="MU274" s="5"/>
      <c r="MV274" s="6"/>
      <c r="MW274" s="4"/>
      <c r="MX274" s="4"/>
      <c r="MY274" s="4"/>
      <c r="MZ274" s="4"/>
      <c r="NA274" s="4"/>
      <c r="NB274" s="5"/>
      <c r="NC274" s="6"/>
      <c r="ND274" s="4"/>
      <c r="NE274" s="4"/>
      <c r="NF274" s="4"/>
      <c r="NG274" s="4"/>
      <c r="NH274" s="4"/>
      <c r="NI274" s="5"/>
      <c r="NJ274" s="6"/>
      <c r="NK274" s="4"/>
      <c r="NL274" s="4"/>
      <c r="NM274" s="4"/>
      <c r="NN274" s="4"/>
      <c r="NO274" s="4"/>
      <c r="NP274" s="5"/>
      <c r="NQ274" s="6"/>
      <c r="NR274" s="4"/>
      <c r="NS274" s="4"/>
      <c r="NT274" s="4"/>
      <c r="NU274" s="4"/>
      <c r="NV274" s="4"/>
      <c r="NW274" s="5"/>
      <c r="NX274" s="6"/>
      <c r="NY274" s="4"/>
      <c r="NZ274" s="4"/>
      <c r="OA274" s="4"/>
      <c r="OB274" s="4"/>
      <c r="OC274" s="4"/>
      <c r="OD274" s="5"/>
      <c r="OE274" s="6"/>
      <c r="OF274" s="4"/>
      <c r="OG274" s="4"/>
      <c r="OH274" s="4"/>
      <c r="OI274" s="4"/>
      <c r="OJ274" s="4"/>
      <c r="OK274" s="5"/>
      <c r="OL274" s="6"/>
      <c r="OM274" s="4"/>
      <c r="ON274" s="4"/>
      <c r="OO274" s="4"/>
      <c r="OP274" s="4"/>
      <c r="OQ274" s="4"/>
      <c r="OR274" s="5"/>
      <c r="OS274" s="6"/>
      <c r="OT274" s="4"/>
      <c r="OU274" s="4"/>
      <c r="OV274" s="4"/>
      <c r="OW274" s="4"/>
      <c r="OX274" s="4"/>
      <c r="OY274" s="5"/>
      <c r="OZ274" s="6"/>
      <c r="PA274" s="4"/>
      <c r="PB274" s="4"/>
      <c r="PC274" s="4"/>
      <c r="PD274" s="4"/>
      <c r="PE274" s="4"/>
      <c r="PF274" s="5"/>
      <c r="PG274" s="6"/>
      <c r="PH274" s="4"/>
      <c r="PI274" s="4"/>
      <c r="PJ274" s="4"/>
      <c r="PK274" s="4"/>
      <c r="PL274" s="4"/>
      <c r="PM274" s="5"/>
      <c r="PN274" s="6"/>
      <c r="PO274" s="4"/>
      <c r="PP274" s="4"/>
      <c r="PQ274" s="4"/>
      <c r="PR274" s="4"/>
      <c r="PS274" s="4"/>
      <c r="PT274" s="5"/>
      <c r="PU274" s="6"/>
      <c r="PV274" s="4"/>
      <c r="PW274" s="4"/>
      <c r="PX274" s="4"/>
      <c r="PY274" s="4"/>
      <c r="PZ274" s="4"/>
      <c r="QA274" s="5"/>
      <c r="QB274" s="6" t="s">
        <v>1927</v>
      </c>
      <c r="QC274" s="4" t="s">
        <v>2078</v>
      </c>
      <c r="QD274" s="4" t="s">
        <v>2079</v>
      </c>
      <c r="QE274" s="7"/>
      <c r="QF274" s="8">
        <v>39391</v>
      </c>
      <c r="QG274" s="13">
        <v>39387</v>
      </c>
      <c r="QH274" s="5" t="s">
        <v>3857</v>
      </c>
      <c r="QI274" s="6"/>
      <c r="QJ274" s="4"/>
      <c r="QK274" s="4"/>
      <c r="QL274" s="4"/>
      <c r="QM274" s="4"/>
      <c r="QN274" s="4"/>
      <c r="QO274" s="5"/>
      <c r="QP274" s="6"/>
      <c r="QQ274" s="4"/>
      <c r="QR274" s="4"/>
      <c r="QS274" s="4"/>
      <c r="QT274" s="4"/>
      <c r="QU274" s="4"/>
      <c r="QV274" s="5"/>
      <c r="QW274" s="6"/>
      <c r="QX274" s="4"/>
      <c r="QY274" s="4"/>
      <c r="QZ274" s="4"/>
      <c r="RA274" s="4"/>
      <c r="RB274" s="4"/>
      <c r="RC274" s="5"/>
      <c r="RD274" s="6"/>
      <c r="RE274" s="4"/>
      <c r="RF274" s="4"/>
      <c r="RG274" s="4"/>
      <c r="RH274" s="4"/>
      <c r="RI274" s="4"/>
      <c r="RJ274" s="5"/>
      <c r="RK274" s="6"/>
      <c r="RL274" s="4"/>
      <c r="RM274" s="4"/>
      <c r="RN274" s="4"/>
      <c r="RO274" s="4"/>
      <c r="RP274" s="4"/>
      <c r="RQ274" s="5"/>
      <c r="RR274" s="6"/>
      <c r="RS274" s="4"/>
      <c r="RT274" s="4"/>
      <c r="RU274" s="4"/>
      <c r="RV274" s="4"/>
      <c r="RW274" s="4"/>
      <c r="RX274" s="5"/>
      <c r="RY274" s="6"/>
      <c r="RZ274" s="4"/>
      <c r="SA274" s="4"/>
      <c r="SB274" s="4"/>
      <c r="SC274" s="4"/>
      <c r="SD274" s="4"/>
      <c r="SE274" s="5"/>
      <c r="SF274" s="6"/>
      <c r="SG274" s="4"/>
      <c r="SH274" s="4"/>
      <c r="SI274" s="4"/>
      <c r="SJ274" s="4"/>
      <c r="SK274" s="4"/>
      <c r="SL274" s="5"/>
      <c r="SM274" s="6"/>
      <c r="SN274" s="4"/>
      <c r="SO274" s="4"/>
      <c r="SP274" s="4"/>
      <c r="SQ274" s="4"/>
      <c r="SR274" s="4"/>
      <c r="SS274" s="5"/>
      <c r="ST274" s="6"/>
      <c r="SU274" s="4"/>
      <c r="SV274" s="4"/>
      <c r="SW274" s="4"/>
      <c r="SX274" s="4"/>
      <c r="SY274" s="4"/>
      <c r="SZ274" s="5"/>
      <c r="TA274" s="6"/>
      <c r="TB274" s="4"/>
      <c r="TC274" s="4"/>
      <c r="TD274" s="4"/>
      <c r="TE274" s="4"/>
      <c r="TF274" s="4"/>
      <c r="TG274" s="5"/>
      <c r="TH274" s="6"/>
      <c r="TI274" s="4"/>
      <c r="TJ274" s="4"/>
      <c r="TK274" s="4"/>
      <c r="TL274" s="4"/>
      <c r="TM274" s="4"/>
      <c r="TN274" s="5"/>
      <c r="TO274" s="6"/>
      <c r="TP274" s="4"/>
      <c r="TQ274" s="4"/>
      <c r="TR274" s="4"/>
      <c r="TS274" s="4"/>
      <c r="TT274" s="4"/>
      <c r="TU274" s="5"/>
      <c r="TV274" s="6"/>
      <c r="TW274" s="4"/>
      <c r="TX274" s="4"/>
      <c r="TY274" s="4"/>
      <c r="TZ274" s="4"/>
      <c r="UA274" s="4"/>
      <c r="UB274" s="5"/>
      <c r="UC274" s="6"/>
      <c r="UD274" s="4"/>
      <c r="UE274" s="4"/>
      <c r="UF274" s="4"/>
      <c r="UG274" s="4"/>
      <c r="UH274" s="4"/>
      <c r="UI274" s="5"/>
      <c r="UJ274" s="6"/>
      <c r="UK274" s="4"/>
      <c r="UL274" s="4"/>
      <c r="UM274" s="4"/>
      <c r="UN274" s="4"/>
      <c r="UO274" s="4"/>
      <c r="UP274" s="5"/>
      <c r="UQ274" s="6"/>
      <c r="UR274" s="4"/>
      <c r="US274" s="4"/>
      <c r="UT274" s="4"/>
      <c r="UU274" s="4"/>
      <c r="UV274" s="4"/>
      <c r="UW274" s="5"/>
      <c r="UX274" s="6"/>
      <c r="UY274" s="4"/>
      <c r="UZ274" s="4"/>
      <c r="VA274" s="4"/>
      <c r="VB274" s="4"/>
      <c r="VC274" s="4"/>
      <c r="VD274" s="5"/>
      <c r="VE274" s="6"/>
      <c r="VF274" s="4"/>
      <c r="VG274" s="4"/>
      <c r="VH274" s="4"/>
      <c r="VI274" s="4"/>
      <c r="VJ274" s="4"/>
      <c r="VK274" s="5"/>
      <c r="VL274" s="6"/>
      <c r="VM274" s="4"/>
      <c r="VN274" s="4"/>
      <c r="VO274" s="4"/>
      <c r="VP274" s="4"/>
      <c r="VQ274" s="4"/>
      <c r="VR274" s="5"/>
      <c r="VS274" s="6"/>
      <c r="VT274" s="4"/>
      <c r="VU274" s="4"/>
      <c r="VV274" s="4"/>
      <c r="VW274" s="4"/>
      <c r="VX274" s="4"/>
      <c r="VY274" s="5"/>
      <c r="VZ274" s="6"/>
      <c r="WA274" s="4"/>
      <c r="WB274" s="4"/>
      <c r="WC274" s="4"/>
      <c r="WD274" s="4"/>
      <c r="WE274" s="4"/>
      <c r="WF274" s="5"/>
      <c r="WG274" s="6"/>
      <c r="WH274" s="4"/>
      <c r="WI274" s="4"/>
      <c r="WJ274" s="4"/>
      <c r="WK274" s="4"/>
      <c r="WL274" s="4"/>
      <c r="WM274" s="5"/>
      <c r="WN274" s="6"/>
      <c r="WO274" s="4"/>
      <c r="WP274" s="4"/>
      <c r="WQ274" s="4"/>
      <c r="WR274" s="4"/>
      <c r="WS274" s="4"/>
      <c r="WT274" s="5"/>
      <c r="WU274" s="6"/>
      <c r="WV274" s="4"/>
      <c r="WW274" s="4"/>
      <c r="WX274" s="4"/>
      <c r="WY274" s="4"/>
      <c r="WZ274" s="4"/>
      <c r="XA274" s="5"/>
      <c r="XB274" s="6"/>
      <c r="XC274" s="4"/>
      <c r="XD274" s="4"/>
      <c r="XE274" s="4"/>
      <c r="XF274" s="4"/>
      <c r="XG274" s="4"/>
      <c r="XH274" s="5"/>
      <c r="XI274" s="6"/>
      <c r="XJ274" s="4"/>
      <c r="XK274" s="4"/>
      <c r="XL274" s="4"/>
      <c r="XM274" s="4"/>
      <c r="XN274" s="4"/>
      <c r="XO274" s="5"/>
      <c r="XP274" s="6"/>
      <c r="XQ274" s="4"/>
      <c r="XR274" s="4"/>
      <c r="XS274" s="4"/>
      <c r="XT274" s="4"/>
      <c r="XU274" s="4"/>
      <c r="XV274" s="5"/>
      <c r="XW274" s="6"/>
      <c r="XX274" s="4"/>
      <c r="XY274" s="4"/>
      <c r="XZ274" s="4"/>
      <c r="YA274" s="4"/>
      <c r="YB274" s="4"/>
      <c r="YC274" s="5"/>
      <c r="YD274" s="6"/>
      <c r="YE274" s="4"/>
      <c r="YF274" s="4"/>
      <c r="YG274" s="4"/>
      <c r="YH274" s="4"/>
      <c r="YI274" s="4"/>
      <c r="YJ274" s="5"/>
      <c r="YK274" s="6"/>
      <c r="YL274" s="4"/>
      <c r="YM274" s="4"/>
      <c r="YN274" s="4"/>
      <c r="YO274" s="4"/>
      <c r="YP274" s="4"/>
      <c r="YQ274" s="5"/>
      <c r="YR274" s="6"/>
      <c r="YS274" s="4"/>
      <c r="YT274" s="4"/>
      <c r="YU274" s="4"/>
      <c r="YV274" s="4"/>
      <c r="YW274" s="4"/>
      <c r="YX274" s="5"/>
      <c r="YY274" s="6"/>
      <c r="YZ274" s="4"/>
      <c r="ZA274" s="4"/>
      <c r="ZB274" s="4"/>
      <c r="ZC274" s="4"/>
      <c r="ZD274" s="4"/>
      <c r="ZE274" s="5"/>
      <c r="ZF274" s="6"/>
      <c r="ZG274" s="4"/>
      <c r="ZH274" s="4"/>
      <c r="ZI274" s="4"/>
      <c r="ZJ274" s="4"/>
      <c r="ZK274" s="4"/>
      <c r="ZL274" s="5"/>
      <c r="ZM274" s="6"/>
      <c r="ZN274" s="4"/>
      <c r="ZO274" s="4"/>
      <c r="ZP274" s="4"/>
      <c r="ZQ274" s="4"/>
      <c r="ZR274" s="4"/>
      <c r="ZS274" s="5"/>
      <c r="ZT274" s="6"/>
      <c r="ZU274" s="4"/>
      <c r="ZV274" s="4"/>
      <c r="ZW274" s="4"/>
      <c r="ZX274" s="4"/>
      <c r="ZY274" s="4"/>
      <c r="ZZ274" s="5"/>
      <c r="AAA274" s="6"/>
      <c r="AAB274" s="4"/>
      <c r="AAC274" s="4"/>
      <c r="AAD274" s="4"/>
      <c r="AAE274" s="4"/>
      <c r="AAF274" s="4"/>
      <c r="AAG274" s="5"/>
      <c r="AAH274" s="6"/>
      <c r="AAI274" s="4"/>
      <c r="AAJ274" s="4"/>
      <c r="AAK274" s="4"/>
      <c r="AAL274" s="4"/>
      <c r="AAM274" s="4"/>
      <c r="AAN274" s="5"/>
      <c r="AAO274" s="6"/>
      <c r="AAP274" s="4"/>
      <c r="AAQ274" s="4"/>
      <c r="AAR274" s="4"/>
      <c r="AAS274" s="4"/>
      <c r="AAT274" s="4"/>
      <c r="AAU274" s="5"/>
      <c r="AAV274" s="6"/>
      <c r="AAW274" s="4"/>
      <c r="AAX274" s="4"/>
      <c r="AAY274" s="4"/>
      <c r="AAZ274" s="4"/>
      <c r="ABA274" s="4"/>
      <c r="ABB274" s="5"/>
      <c r="ABC274" s="6"/>
      <c r="ABD274" s="4"/>
      <c r="ABE274" s="4"/>
      <c r="ABF274" s="4"/>
      <c r="ABG274" s="4"/>
      <c r="ABH274" s="4"/>
      <c r="ABI274" s="5"/>
      <c r="ABJ274" s="6"/>
      <c r="ABK274" s="4"/>
      <c r="ABL274" s="4"/>
      <c r="ABM274" s="4"/>
      <c r="ABN274" s="4"/>
      <c r="ABO274" s="4"/>
      <c r="ABP274" s="5"/>
      <c r="ABQ274" s="6"/>
      <c r="ABR274" s="4"/>
      <c r="ABS274" s="4"/>
      <c r="ABT274" s="4"/>
      <c r="ABU274" s="4"/>
      <c r="ABV274" s="4"/>
      <c r="ABW274" s="5"/>
      <c r="ABX274" s="6"/>
      <c r="ABY274" s="4"/>
      <c r="ABZ274" s="4"/>
      <c r="ACA274" s="4"/>
      <c r="ACB274" s="4"/>
      <c r="ACC274" s="4"/>
      <c r="ACD274" s="5"/>
      <c r="ACE274" s="6"/>
      <c r="ACF274" s="4"/>
      <c r="ACG274" s="4"/>
      <c r="ACH274" s="4"/>
      <c r="ACI274" s="4"/>
      <c r="ACJ274" s="4"/>
      <c r="ACK274" s="5"/>
      <c r="ACL274" s="6"/>
      <c r="ACM274" s="4"/>
      <c r="ACN274" s="4"/>
      <c r="ACO274" s="4"/>
      <c r="ACP274" s="4"/>
      <c r="ACQ274" s="4"/>
      <c r="ACR274" s="5"/>
      <c r="ACS274" s="6"/>
      <c r="ACT274" s="4"/>
      <c r="ACU274" s="4"/>
      <c r="ACV274" s="4"/>
      <c r="ACW274" s="4"/>
      <c r="ACX274" s="4"/>
      <c r="ACY274" s="5"/>
      <c r="ADA274" t="s">
        <v>3728</v>
      </c>
      <c r="ADB274" t="s">
        <v>3725</v>
      </c>
      <c r="ADG274" t="s">
        <v>3859</v>
      </c>
      <c r="ADI274" t="s">
        <v>3856</v>
      </c>
      <c r="ADM274" t="s">
        <v>3721</v>
      </c>
      <c r="ADN274" t="s">
        <v>3726</v>
      </c>
      <c r="ADT274" t="s">
        <v>3724</v>
      </c>
      <c r="ADU274" t="s">
        <v>3858</v>
      </c>
      <c r="ADV274" t="s">
        <v>3727</v>
      </c>
      <c r="ADY274" t="s">
        <v>3723</v>
      </c>
      <c r="ADZ274" s="6" t="s">
        <v>166</v>
      </c>
      <c r="AEC274" s="8">
        <v>37419</v>
      </c>
      <c r="AED274" s="8"/>
      <c r="AEE274" s="8"/>
      <c r="AEF274" s="8"/>
      <c r="AEG274" s="8"/>
      <c r="AEH274" s="8"/>
      <c r="AEI274" s="8"/>
      <c r="AEJ274" s="8"/>
    </row>
    <row r="275" spans="1:833" x14ac:dyDescent="0.25">
      <c r="E275" s="23"/>
      <c r="J275" s="12"/>
      <c r="K275" s="12"/>
      <c r="L275" s="12"/>
      <c r="LL275" s="6"/>
      <c r="LM275" s="4"/>
      <c r="LN275" s="4"/>
      <c r="LO275" s="4"/>
      <c r="LP275" s="4"/>
      <c r="LQ275" s="4"/>
      <c r="LR275" s="5"/>
      <c r="LS275" s="6"/>
      <c r="LT275" s="4"/>
      <c r="LU275" s="4"/>
      <c r="LV275" s="4"/>
      <c r="LW275" s="4"/>
      <c r="LX275" s="4"/>
      <c r="LY275" s="5"/>
      <c r="LZ275" s="6" t="s">
        <v>3064</v>
      </c>
      <c r="MA275" s="7" t="s">
        <v>3065</v>
      </c>
      <c r="MB275" s="4" t="s">
        <v>1801</v>
      </c>
      <c r="MC275" s="4"/>
      <c r="MD275" s="14">
        <v>37347</v>
      </c>
      <c r="ME275" s="14">
        <v>37347</v>
      </c>
      <c r="MF275" s="20"/>
      <c r="MG275" s="5" t="s">
        <v>3983</v>
      </c>
      <c r="MH275" s="6"/>
      <c r="MI275" s="4"/>
      <c r="MJ275" s="4"/>
      <c r="MK275" s="4"/>
      <c r="ML275" s="4"/>
      <c r="MM275" s="4"/>
      <c r="MN275" s="5"/>
      <c r="MO275" s="6"/>
      <c r="MP275" s="4"/>
      <c r="MQ275" s="4"/>
      <c r="MR275" s="4"/>
      <c r="MS275" s="4"/>
      <c r="MT275" s="4"/>
      <c r="MU275" s="5"/>
      <c r="MV275" s="6"/>
      <c r="MW275" s="4"/>
      <c r="MX275" s="4"/>
      <c r="MY275" s="4"/>
      <c r="MZ275" s="4"/>
      <c r="NA275" s="4"/>
      <c r="NB275" s="5"/>
      <c r="NC275" s="6"/>
      <c r="ND275" s="4"/>
      <c r="NE275" s="4"/>
      <c r="NF275" s="4"/>
      <c r="NG275" s="4"/>
      <c r="NH275" s="4"/>
      <c r="NI275" s="5"/>
      <c r="NJ275" s="6"/>
      <c r="NK275" s="4"/>
      <c r="NL275" s="4"/>
      <c r="NM275" s="4"/>
      <c r="NN275" s="4"/>
      <c r="NO275" s="4"/>
      <c r="NP275" s="5"/>
      <c r="NQ275" s="6"/>
      <c r="NR275" s="4"/>
      <c r="NS275" s="4"/>
      <c r="NT275" s="4"/>
      <c r="NU275" s="4"/>
      <c r="NV275" s="4"/>
      <c r="NW275" s="5"/>
      <c r="NX275" s="6"/>
      <c r="NY275" s="4"/>
      <c r="NZ275" s="4"/>
      <c r="OA275" s="4"/>
      <c r="OB275" s="4"/>
      <c r="OC275" s="4"/>
      <c r="OD275" s="5"/>
      <c r="OE275" s="6"/>
      <c r="OF275" s="4"/>
      <c r="OG275" s="4"/>
      <c r="OH275" s="4"/>
      <c r="OI275" s="4"/>
      <c r="OJ275" s="4"/>
      <c r="OK275" s="5"/>
      <c r="OL275" s="6"/>
      <c r="OM275" s="4"/>
      <c r="ON275" s="4"/>
      <c r="OO275" s="4"/>
      <c r="OP275" s="4"/>
      <c r="OQ275" s="4"/>
      <c r="OR275" s="5"/>
      <c r="OS275" s="6"/>
      <c r="OT275" s="4"/>
      <c r="OU275" s="4"/>
      <c r="OV275" s="4"/>
      <c r="OW275" s="4"/>
      <c r="OX275" s="4"/>
      <c r="OY275" s="5"/>
      <c r="OZ275" s="6"/>
      <c r="PA275" s="4"/>
      <c r="PB275" s="4"/>
      <c r="PC275" s="4"/>
      <c r="PD275" s="4"/>
      <c r="PE275" s="4"/>
      <c r="PF275" s="5"/>
      <c r="PG275" s="6"/>
      <c r="PH275" s="4"/>
      <c r="PI275" s="4"/>
      <c r="PJ275" s="4"/>
      <c r="PK275" s="4"/>
      <c r="PL275" s="4"/>
      <c r="PM275" s="5"/>
      <c r="PN275" s="6"/>
      <c r="PO275" s="4"/>
      <c r="PP275" s="4"/>
      <c r="PQ275" s="4"/>
      <c r="PR275" s="4"/>
      <c r="PS275" s="4"/>
      <c r="PT275" s="5"/>
      <c r="PU275" s="6"/>
      <c r="PV275" s="4"/>
      <c r="PW275" s="4"/>
      <c r="PX275" s="4"/>
      <c r="PY275" s="4"/>
      <c r="PZ275" s="4"/>
      <c r="QA275" s="5"/>
      <c r="QB275" s="6"/>
      <c r="QC275" s="4"/>
      <c r="QD275" s="4"/>
      <c r="QE275" s="7"/>
      <c r="QF275" s="8"/>
      <c r="QG275" s="13"/>
      <c r="QH275" s="5"/>
      <c r="QI275" s="6"/>
      <c r="QJ275" s="4"/>
      <c r="QK275" s="4"/>
      <c r="QL275" s="4"/>
      <c r="QM275" s="4"/>
      <c r="QN275" s="4"/>
      <c r="QO275" s="5"/>
      <c r="QP275" s="6"/>
      <c r="QQ275" s="4"/>
      <c r="QR275" s="4"/>
      <c r="QS275" s="4"/>
      <c r="QT275" s="4"/>
      <c r="QU275" s="4"/>
      <c r="QV275" s="5"/>
      <c r="QW275" s="6"/>
      <c r="QX275" s="4"/>
      <c r="QY275" s="4"/>
      <c r="QZ275" s="4"/>
      <c r="RA275" s="4"/>
      <c r="RB275" s="4"/>
      <c r="RC275" s="5"/>
      <c r="RD275" s="6"/>
      <c r="RE275" s="4"/>
      <c r="RF275" s="4"/>
      <c r="RG275" s="4"/>
      <c r="RH275" s="4"/>
      <c r="RI275" s="4"/>
      <c r="RJ275" s="5"/>
      <c r="RK275" s="6"/>
      <c r="RL275" s="4"/>
      <c r="RM275" s="4"/>
      <c r="RN275" s="4"/>
      <c r="RO275" s="4"/>
      <c r="RP275" s="4"/>
      <c r="RQ275" s="5"/>
      <c r="RR275" s="6"/>
      <c r="RS275" s="4"/>
      <c r="RT275" s="4"/>
      <c r="RU275" s="4"/>
      <c r="RV275" s="4"/>
      <c r="RW275" s="4"/>
      <c r="RX275" s="5"/>
      <c r="RY275" s="6"/>
      <c r="RZ275" s="4"/>
      <c r="SA275" s="4"/>
      <c r="SB275" s="4"/>
      <c r="SC275" s="4"/>
      <c r="SD275" s="4"/>
      <c r="SE275" s="5"/>
      <c r="SF275" s="6"/>
      <c r="SG275" s="4"/>
      <c r="SH275" s="4"/>
      <c r="SI275" s="4"/>
      <c r="SJ275" s="4"/>
      <c r="SK275" s="4"/>
      <c r="SL275" s="5"/>
      <c r="SM275" s="6"/>
      <c r="SN275" s="4"/>
      <c r="SO275" s="4"/>
      <c r="SP275" s="4"/>
      <c r="SQ275" s="4"/>
      <c r="SR275" s="4"/>
      <c r="SS275" s="5"/>
      <c r="ST275" s="6"/>
      <c r="SU275" s="4"/>
      <c r="SV275" s="4"/>
      <c r="SW275" s="4"/>
      <c r="SX275" s="4"/>
      <c r="SY275" s="4"/>
      <c r="SZ275" s="5"/>
      <c r="TA275" s="6"/>
      <c r="TB275" s="4"/>
      <c r="TC275" s="4"/>
      <c r="TD275" s="4"/>
      <c r="TE275" s="4"/>
      <c r="TF275" s="4"/>
      <c r="TG275" s="5"/>
      <c r="TH275" s="6"/>
      <c r="TI275" s="4"/>
      <c r="TJ275" s="4"/>
      <c r="TK275" s="4"/>
      <c r="TL275" s="4"/>
      <c r="TM275" s="4"/>
      <c r="TN275" s="5"/>
      <c r="TO275" s="6"/>
      <c r="TP275" s="4"/>
      <c r="TQ275" s="4"/>
      <c r="TR275" s="4"/>
      <c r="TS275" s="4"/>
      <c r="TT275" s="4"/>
      <c r="TU275" s="5"/>
      <c r="TV275" s="6"/>
      <c r="TW275" s="4"/>
      <c r="TX275" s="4"/>
      <c r="TY275" s="4"/>
      <c r="TZ275" s="4"/>
      <c r="UA275" s="4"/>
      <c r="UB275" s="5"/>
      <c r="UC275" s="6"/>
      <c r="UD275" s="4"/>
      <c r="UE275" s="4"/>
      <c r="UF275" s="4"/>
      <c r="UG275" s="4"/>
      <c r="UH275" s="4"/>
      <c r="UI275" s="5"/>
      <c r="UJ275" s="6"/>
      <c r="UK275" s="4"/>
      <c r="UL275" s="4"/>
      <c r="UM275" s="4"/>
      <c r="UN275" s="4"/>
      <c r="UO275" s="4"/>
      <c r="UP275" s="5"/>
      <c r="UQ275" s="6"/>
      <c r="UR275" s="4"/>
      <c r="US275" s="4"/>
      <c r="UT275" s="4"/>
      <c r="UU275" s="4"/>
      <c r="UV275" s="4"/>
      <c r="UW275" s="5"/>
      <c r="UX275" s="6"/>
      <c r="UY275" s="4"/>
      <c r="UZ275" s="4"/>
      <c r="VA275" s="4"/>
      <c r="VB275" s="4"/>
      <c r="VC275" s="4"/>
      <c r="VD275" s="5"/>
      <c r="VE275" s="6"/>
      <c r="VF275" s="4"/>
      <c r="VG275" s="4"/>
      <c r="VH275" s="4"/>
      <c r="VI275" s="4"/>
      <c r="VJ275" s="4"/>
      <c r="VK275" s="5"/>
      <c r="VL275" s="6"/>
      <c r="VM275" s="4"/>
      <c r="VN275" s="4"/>
      <c r="VO275" s="4"/>
      <c r="VP275" s="4"/>
      <c r="VQ275" s="4"/>
      <c r="VR275" s="5"/>
      <c r="VS275" s="6"/>
      <c r="VT275" s="4"/>
      <c r="VU275" s="4"/>
      <c r="VV275" s="4"/>
      <c r="VW275" s="4"/>
      <c r="VX275" s="4"/>
      <c r="VY275" s="5"/>
      <c r="VZ275" s="6"/>
      <c r="WA275" s="4"/>
      <c r="WB275" s="4"/>
      <c r="WC275" s="4"/>
      <c r="WD275" s="4"/>
      <c r="WE275" s="4"/>
      <c r="WF275" s="5"/>
      <c r="WG275" s="6"/>
      <c r="WH275" s="4"/>
      <c r="WI275" s="4"/>
      <c r="WJ275" s="4"/>
      <c r="WK275" s="4"/>
      <c r="WL275" s="4"/>
      <c r="WM275" s="5"/>
      <c r="WN275" s="6"/>
      <c r="WO275" s="4"/>
      <c r="WP275" s="4"/>
      <c r="WQ275" s="4"/>
      <c r="WR275" s="4"/>
      <c r="WS275" s="4"/>
      <c r="WT275" s="5"/>
      <c r="WU275" s="6"/>
      <c r="WV275" s="4"/>
      <c r="WW275" s="4"/>
      <c r="WX275" s="4"/>
      <c r="WY275" s="4"/>
      <c r="WZ275" s="4"/>
      <c r="XA275" s="5"/>
      <c r="XB275" s="6"/>
      <c r="XC275" s="4"/>
      <c r="XD275" s="4"/>
      <c r="XE275" s="4"/>
      <c r="XF275" s="4"/>
      <c r="XG275" s="4"/>
      <c r="XH275" s="5"/>
      <c r="XI275" s="6"/>
      <c r="XJ275" s="4"/>
      <c r="XK275" s="4"/>
      <c r="XL275" s="4"/>
      <c r="XM275" s="4"/>
      <c r="XN275" s="4"/>
      <c r="XO275" s="5"/>
      <c r="XP275" s="6"/>
      <c r="XQ275" s="4"/>
      <c r="XR275" s="4"/>
      <c r="XS275" s="4"/>
      <c r="XT275" s="4"/>
      <c r="XU275" s="4"/>
      <c r="XV275" s="5"/>
      <c r="XW275" s="6"/>
      <c r="XX275" s="4"/>
      <c r="XY275" s="4"/>
      <c r="XZ275" s="4"/>
      <c r="YA275" s="4"/>
      <c r="YB275" s="4"/>
      <c r="YC275" s="5"/>
      <c r="YD275" s="6"/>
      <c r="YE275" s="4"/>
      <c r="YF275" s="4"/>
      <c r="YG275" s="4"/>
      <c r="YH275" s="4"/>
      <c r="YI275" s="4"/>
      <c r="YJ275" s="5"/>
      <c r="YK275" s="6"/>
      <c r="YL275" s="4"/>
      <c r="YM275" s="4"/>
      <c r="YN275" s="4"/>
      <c r="YO275" s="4"/>
      <c r="YP275" s="4"/>
      <c r="YQ275" s="5"/>
      <c r="YR275" s="6"/>
      <c r="YS275" s="4"/>
      <c r="YT275" s="4"/>
      <c r="YU275" s="4"/>
      <c r="YV275" s="4"/>
      <c r="YW275" s="4"/>
      <c r="YX275" s="5"/>
      <c r="YY275" s="6"/>
      <c r="YZ275" s="4"/>
      <c r="ZA275" s="4"/>
      <c r="ZB275" s="4"/>
      <c r="ZC275" s="4"/>
      <c r="ZD275" s="4"/>
      <c r="ZE275" s="5"/>
      <c r="ZF275" s="6"/>
      <c r="ZG275" s="4"/>
      <c r="ZH275" s="4"/>
      <c r="ZI275" s="4"/>
      <c r="ZJ275" s="4"/>
      <c r="ZK275" s="4"/>
      <c r="ZL275" s="5"/>
      <c r="ZM275" s="6"/>
      <c r="ZN275" s="4"/>
      <c r="ZO275" s="4"/>
      <c r="ZP275" s="4"/>
      <c r="ZQ275" s="4"/>
      <c r="ZR275" s="4"/>
      <c r="ZS275" s="5"/>
      <c r="ZT275" s="6"/>
      <c r="ZU275" s="4"/>
      <c r="ZV275" s="4"/>
      <c r="ZW275" s="4"/>
      <c r="ZX275" s="4"/>
      <c r="ZY275" s="4"/>
      <c r="ZZ275" s="5"/>
      <c r="AAA275" s="6"/>
      <c r="AAB275" s="4"/>
      <c r="AAC275" s="4"/>
      <c r="AAD275" s="4"/>
      <c r="AAE275" s="4"/>
      <c r="AAF275" s="4"/>
      <c r="AAG275" s="5"/>
      <c r="AAH275" s="6"/>
      <c r="AAI275" s="4"/>
      <c r="AAJ275" s="4"/>
      <c r="AAK275" s="4"/>
      <c r="AAL275" s="4"/>
      <c r="AAM275" s="4"/>
      <c r="AAN275" s="5"/>
      <c r="AAO275" s="6"/>
      <c r="AAP275" s="4"/>
      <c r="AAQ275" s="4"/>
      <c r="AAR275" s="4"/>
      <c r="AAS275" s="4"/>
      <c r="AAT275" s="4"/>
      <c r="AAU275" s="5"/>
      <c r="AAV275" s="6"/>
      <c r="AAW275" s="4"/>
      <c r="AAX275" s="4"/>
      <c r="AAY275" s="4"/>
      <c r="AAZ275" s="4"/>
      <c r="ABA275" s="4"/>
      <c r="ABB275" s="5"/>
      <c r="ABC275" s="6"/>
      <c r="ABD275" s="4"/>
      <c r="ABE275" s="4"/>
      <c r="ABF275" s="4"/>
      <c r="ABG275" s="4"/>
      <c r="ABH275" s="4"/>
      <c r="ABI275" s="5"/>
      <c r="ABJ275" s="6"/>
      <c r="ABK275" s="4"/>
      <c r="ABL275" s="4"/>
      <c r="ABM275" s="4"/>
      <c r="ABN275" s="4"/>
      <c r="ABO275" s="4"/>
      <c r="ABP275" s="5"/>
      <c r="ABQ275" s="6"/>
      <c r="ABR275" s="4"/>
      <c r="ABS275" s="4"/>
      <c r="ABT275" s="4"/>
      <c r="ABU275" s="4"/>
      <c r="ABV275" s="4"/>
      <c r="ABW275" s="5"/>
      <c r="ABX275" s="6"/>
      <c r="ABY275" s="4"/>
      <c r="ABZ275" s="4"/>
      <c r="ACA275" s="4"/>
      <c r="ACB275" s="4"/>
      <c r="ACC275" s="4"/>
      <c r="ACD275" s="5"/>
      <c r="ACE275" s="6"/>
      <c r="ACF275" s="4"/>
      <c r="ACG275" s="4"/>
      <c r="ACH275" s="4"/>
      <c r="ACI275" s="4"/>
      <c r="ACJ275" s="4"/>
      <c r="ACK275" s="5"/>
      <c r="ACL275" s="6"/>
      <c r="ACM275" s="4"/>
      <c r="ACN275" s="4"/>
      <c r="ACO275" s="4"/>
      <c r="ACP275" s="4"/>
      <c r="ACQ275" s="4"/>
      <c r="ACR275" s="5"/>
      <c r="ACS275" s="6"/>
      <c r="ACT275" s="4"/>
      <c r="ACU275" s="4"/>
      <c r="ACV275" s="4"/>
      <c r="ACW275" s="4"/>
      <c r="ACX275" s="4"/>
      <c r="ACY275" s="5"/>
    </row>
    <row r="276" spans="1:833" x14ac:dyDescent="0.25">
      <c r="E276" s="23"/>
      <c r="J276" s="12"/>
      <c r="K276" s="12"/>
      <c r="L276" s="12"/>
      <c r="LL276" s="6"/>
      <c r="LM276" s="4"/>
      <c r="LN276" s="4"/>
      <c r="LO276" s="4"/>
      <c r="LP276" s="4"/>
      <c r="LQ276" s="4"/>
      <c r="LR276" s="5"/>
      <c r="LS276" s="6"/>
      <c r="LT276" s="4"/>
      <c r="LU276" s="4"/>
      <c r="LV276" s="4"/>
      <c r="LW276" s="4"/>
      <c r="LX276" s="4"/>
      <c r="LY276" s="5"/>
      <c r="LZ276" s="6" t="s">
        <v>2080</v>
      </c>
      <c r="MA276" s="7" t="s">
        <v>2336</v>
      </c>
      <c r="MB276" s="7" t="s">
        <v>1801</v>
      </c>
      <c r="MC276" s="4"/>
      <c r="MD276" s="14">
        <v>37438</v>
      </c>
      <c r="ME276" s="8">
        <v>37455</v>
      </c>
      <c r="MF276" s="8"/>
      <c r="MG276" s="5" t="s">
        <v>3984</v>
      </c>
      <c r="MH276" s="6"/>
      <c r="MI276" s="4"/>
      <c r="MJ276" s="4"/>
      <c r="MK276" s="4"/>
      <c r="ML276" s="4"/>
      <c r="MM276" s="4"/>
      <c r="MN276" s="5"/>
      <c r="MO276" s="6"/>
      <c r="MP276" s="4"/>
      <c r="MQ276" s="4"/>
      <c r="MR276" s="4"/>
      <c r="MS276" s="4"/>
      <c r="MT276" s="4"/>
      <c r="MU276" s="5"/>
      <c r="MV276" s="6"/>
      <c r="MW276" s="4"/>
      <c r="MX276" s="4"/>
      <c r="MY276" s="4"/>
      <c r="MZ276" s="4"/>
      <c r="NA276" s="4"/>
      <c r="NB276" s="5"/>
      <c r="NC276" s="6"/>
      <c r="ND276" s="4"/>
      <c r="NE276" s="4"/>
      <c r="NF276" s="4"/>
      <c r="NG276" s="4"/>
      <c r="NH276" s="4"/>
      <c r="NI276" s="5"/>
      <c r="NJ276" s="6"/>
      <c r="NK276" s="4"/>
      <c r="NL276" s="4"/>
      <c r="NM276" s="4"/>
      <c r="NN276" s="4"/>
      <c r="NO276" s="4"/>
      <c r="NP276" s="5"/>
      <c r="NQ276" s="6"/>
      <c r="NR276" s="4"/>
      <c r="NS276" s="4"/>
      <c r="NT276" s="4"/>
      <c r="NU276" s="4"/>
      <c r="NV276" s="4"/>
      <c r="NW276" s="5"/>
      <c r="NX276" s="6"/>
      <c r="NY276" s="4"/>
      <c r="NZ276" s="4"/>
      <c r="OA276" s="4"/>
      <c r="OB276" s="4"/>
      <c r="OC276" s="4"/>
      <c r="OD276" s="5"/>
      <c r="OE276" s="6"/>
      <c r="OF276" s="4"/>
      <c r="OG276" s="4"/>
      <c r="OH276" s="4"/>
      <c r="OI276" s="4"/>
      <c r="OJ276" s="4"/>
      <c r="OK276" s="5"/>
      <c r="OL276" s="6"/>
      <c r="OM276" s="4"/>
      <c r="ON276" s="4"/>
      <c r="OO276" s="4"/>
      <c r="OP276" s="4"/>
      <c r="OQ276" s="4"/>
      <c r="OR276" s="5"/>
      <c r="OS276" s="6"/>
      <c r="OT276" s="4"/>
      <c r="OU276" s="4"/>
      <c r="OV276" s="4"/>
      <c r="OW276" s="4"/>
      <c r="OX276" s="4"/>
      <c r="OY276" s="5"/>
      <c r="OZ276" s="6"/>
      <c r="PA276" s="4"/>
      <c r="PB276" s="4"/>
      <c r="PC276" s="4"/>
      <c r="PD276" s="4"/>
      <c r="PE276" s="4"/>
      <c r="PF276" s="5"/>
      <c r="PG276" s="6"/>
      <c r="PH276" s="4"/>
      <c r="PI276" s="4"/>
      <c r="PJ276" s="4"/>
      <c r="PK276" s="4"/>
      <c r="PL276" s="4"/>
      <c r="PM276" s="5"/>
      <c r="PN276" s="6"/>
      <c r="PO276" s="4"/>
      <c r="PP276" s="4"/>
      <c r="PQ276" s="4"/>
      <c r="PR276" s="4"/>
      <c r="PS276" s="4"/>
      <c r="PT276" s="5"/>
      <c r="PU276" s="6"/>
      <c r="PV276" s="4"/>
      <c r="PW276" s="4"/>
      <c r="PX276" s="4"/>
      <c r="PY276" s="4"/>
      <c r="PZ276" s="4"/>
      <c r="QA276" s="5"/>
      <c r="QB276" s="6"/>
      <c r="QC276" s="4"/>
      <c r="QD276" s="4"/>
      <c r="QE276" s="7"/>
      <c r="QF276" s="8"/>
      <c r="QG276" s="13"/>
      <c r="QH276" s="5"/>
      <c r="QI276" s="6"/>
      <c r="QJ276" s="4"/>
      <c r="QK276" s="4"/>
      <c r="QL276" s="4"/>
      <c r="QM276" s="4"/>
      <c r="QN276" s="4"/>
      <c r="QO276" s="5"/>
      <c r="QP276" s="6"/>
      <c r="QQ276" s="4"/>
      <c r="QR276" s="4"/>
      <c r="QS276" s="4"/>
      <c r="QT276" s="4"/>
      <c r="QU276" s="4"/>
      <c r="QV276" s="5"/>
      <c r="QW276" s="6"/>
      <c r="QX276" s="4"/>
      <c r="QY276" s="4"/>
      <c r="QZ276" s="4"/>
      <c r="RA276" s="4"/>
      <c r="RB276" s="4"/>
      <c r="RC276" s="5"/>
      <c r="RD276" s="6"/>
      <c r="RE276" s="4"/>
      <c r="RF276" s="4"/>
      <c r="RG276" s="4"/>
      <c r="RH276" s="4"/>
      <c r="RI276" s="4"/>
      <c r="RJ276" s="5"/>
      <c r="RK276" s="6"/>
      <c r="RL276" s="4"/>
      <c r="RM276" s="4"/>
      <c r="RN276" s="4"/>
      <c r="RO276" s="4"/>
      <c r="RP276" s="4"/>
      <c r="RQ276" s="5"/>
      <c r="RR276" s="6"/>
      <c r="RS276" s="4"/>
      <c r="RT276" s="4"/>
      <c r="RU276" s="4"/>
      <c r="RV276" s="4"/>
      <c r="RW276" s="4"/>
      <c r="RX276" s="5"/>
      <c r="RY276" s="6"/>
      <c r="RZ276" s="4"/>
      <c r="SA276" s="4"/>
      <c r="SB276" s="4"/>
      <c r="SC276" s="4"/>
      <c r="SD276" s="4"/>
      <c r="SE276" s="5"/>
      <c r="SF276" s="6"/>
      <c r="SG276" s="4"/>
      <c r="SH276" s="4"/>
      <c r="SI276" s="4"/>
      <c r="SJ276" s="4"/>
      <c r="SK276" s="4"/>
      <c r="SL276" s="5"/>
      <c r="SM276" s="6"/>
      <c r="SN276" s="4"/>
      <c r="SO276" s="4"/>
      <c r="SP276" s="4"/>
      <c r="SQ276" s="4"/>
      <c r="SR276" s="4"/>
      <c r="SS276" s="5"/>
      <c r="ST276" s="6"/>
      <c r="SU276" s="4"/>
      <c r="SV276" s="4"/>
      <c r="SW276" s="4"/>
      <c r="SX276" s="4"/>
      <c r="SY276" s="4"/>
      <c r="SZ276" s="5"/>
      <c r="TA276" s="6"/>
      <c r="TB276" s="4"/>
      <c r="TC276" s="4"/>
      <c r="TD276" s="4"/>
      <c r="TE276" s="4"/>
      <c r="TF276" s="4"/>
      <c r="TG276" s="5"/>
      <c r="TH276" s="6"/>
      <c r="TI276" s="4"/>
      <c r="TJ276" s="4"/>
      <c r="TK276" s="4"/>
      <c r="TL276" s="4"/>
      <c r="TM276" s="4"/>
      <c r="TN276" s="5"/>
      <c r="TO276" s="6"/>
      <c r="TP276" s="4"/>
      <c r="TQ276" s="4"/>
      <c r="TR276" s="4"/>
      <c r="TS276" s="4"/>
      <c r="TT276" s="4"/>
      <c r="TU276" s="5"/>
      <c r="TV276" s="6"/>
      <c r="TW276" s="4"/>
      <c r="TX276" s="4"/>
      <c r="TY276" s="4"/>
      <c r="TZ276" s="4"/>
      <c r="UA276" s="4"/>
      <c r="UB276" s="5"/>
      <c r="UC276" s="6"/>
      <c r="UD276" s="4"/>
      <c r="UE276" s="4"/>
      <c r="UF276" s="4"/>
      <c r="UG276" s="4"/>
      <c r="UH276" s="4"/>
      <c r="UI276" s="5"/>
      <c r="UJ276" s="6"/>
      <c r="UK276" s="4"/>
      <c r="UL276" s="4"/>
      <c r="UM276" s="4"/>
      <c r="UN276" s="4"/>
      <c r="UO276" s="4"/>
      <c r="UP276" s="5"/>
      <c r="UQ276" s="6"/>
      <c r="UR276" s="4"/>
      <c r="US276" s="4"/>
      <c r="UT276" s="4"/>
      <c r="UU276" s="4"/>
      <c r="UV276" s="4"/>
      <c r="UW276" s="5"/>
      <c r="UX276" s="6"/>
      <c r="UY276" s="4"/>
      <c r="UZ276" s="4"/>
      <c r="VA276" s="4"/>
      <c r="VB276" s="4"/>
      <c r="VC276" s="4"/>
      <c r="VD276" s="5"/>
      <c r="VE276" s="6"/>
      <c r="VF276" s="4"/>
      <c r="VG276" s="4"/>
      <c r="VH276" s="4"/>
      <c r="VI276" s="4"/>
      <c r="VJ276" s="4"/>
      <c r="VK276" s="5"/>
      <c r="VL276" s="6"/>
      <c r="VM276" s="4"/>
      <c r="VN276" s="4"/>
      <c r="VO276" s="4"/>
      <c r="VP276" s="4"/>
      <c r="VQ276" s="4"/>
      <c r="VR276" s="5"/>
      <c r="VS276" s="6"/>
      <c r="VT276" s="4"/>
      <c r="VU276" s="4"/>
      <c r="VV276" s="4"/>
      <c r="VW276" s="4"/>
      <c r="VX276" s="4"/>
      <c r="VY276" s="5"/>
      <c r="VZ276" s="6"/>
      <c r="WA276" s="4"/>
      <c r="WB276" s="4"/>
      <c r="WC276" s="4"/>
      <c r="WD276" s="4"/>
      <c r="WE276" s="4"/>
      <c r="WF276" s="5"/>
      <c r="WG276" s="6"/>
      <c r="WH276" s="4"/>
      <c r="WI276" s="4"/>
      <c r="WJ276" s="4"/>
      <c r="WK276" s="4"/>
      <c r="WL276" s="4"/>
      <c r="WM276" s="5"/>
      <c r="WN276" s="6"/>
      <c r="WO276" s="4"/>
      <c r="WP276" s="4"/>
      <c r="WQ276" s="4"/>
      <c r="WR276" s="4"/>
      <c r="WS276" s="4"/>
      <c r="WT276" s="5"/>
      <c r="WU276" s="6"/>
      <c r="WV276" s="4"/>
      <c r="WW276" s="4"/>
      <c r="WX276" s="4"/>
      <c r="WY276" s="4"/>
      <c r="WZ276" s="4"/>
      <c r="XA276" s="5"/>
      <c r="XB276" s="6"/>
      <c r="XC276" s="4"/>
      <c r="XD276" s="4"/>
      <c r="XE276" s="4"/>
      <c r="XF276" s="4"/>
      <c r="XG276" s="4"/>
      <c r="XH276" s="5"/>
      <c r="XI276" s="6"/>
      <c r="XJ276" s="4"/>
      <c r="XK276" s="4"/>
      <c r="XL276" s="4"/>
      <c r="XM276" s="4"/>
      <c r="XN276" s="4"/>
      <c r="XO276" s="5"/>
      <c r="XP276" s="6"/>
      <c r="XQ276" s="4"/>
      <c r="XR276" s="4"/>
      <c r="XS276" s="4"/>
      <c r="XT276" s="4"/>
      <c r="XU276" s="4"/>
      <c r="XV276" s="5"/>
      <c r="XW276" s="6"/>
      <c r="XX276" s="4"/>
      <c r="XY276" s="4"/>
      <c r="XZ276" s="4"/>
      <c r="YA276" s="4"/>
      <c r="YB276" s="4"/>
      <c r="YC276" s="5"/>
      <c r="YD276" s="6"/>
      <c r="YE276" s="4"/>
      <c r="YF276" s="4"/>
      <c r="YG276" s="4"/>
      <c r="YH276" s="4"/>
      <c r="YI276" s="4"/>
      <c r="YJ276" s="5"/>
      <c r="YK276" s="6"/>
      <c r="YL276" s="4"/>
      <c r="YM276" s="4"/>
      <c r="YN276" s="4"/>
      <c r="YO276" s="4"/>
      <c r="YP276" s="4"/>
      <c r="YQ276" s="5"/>
      <c r="YR276" s="6"/>
      <c r="YS276" s="4"/>
      <c r="YT276" s="4"/>
      <c r="YU276" s="4"/>
      <c r="YV276" s="4"/>
      <c r="YW276" s="4"/>
      <c r="YX276" s="5"/>
      <c r="YY276" s="6"/>
      <c r="YZ276" s="4"/>
      <c r="ZA276" s="4"/>
      <c r="ZB276" s="4"/>
      <c r="ZC276" s="4"/>
      <c r="ZD276" s="4"/>
      <c r="ZE276" s="5"/>
      <c r="ZF276" s="6"/>
      <c r="ZG276" s="4"/>
      <c r="ZH276" s="4"/>
      <c r="ZI276" s="4"/>
      <c r="ZJ276" s="4"/>
      <c r="ZK276" s="4"/>
      <c r="ZL276" s="5"/>
      <c r="ZM276" s="6"/>
      <c r="ZN276" s="4"/>
      <c r="ZO276" s="4"/>
      <c r="ZP276" s="4"/>
      <c r="ZQ276" s="4"/>
      <c r="ZR276" s="4"/>
      <c r="ZS276" s="5"/>
      <c r="ZT276" s="6"/>
      <c r="ZU276" s="4"/>
      <c r="ZV276" s="4"/>
      <c r="ZW276" s="4"/>
      <c r="ZX276" s="4"/>
      <c r="ZY276" s="4"/>
      <c r="ZZ276" s="5"/>
      <c r="AAA276" s="6"/>
      <c r="AAB276" s="4"/>
      <c r="AAC276" s="4"/>
      <c r="AAD276" s="4"/>
      <c r="AAE276" s="4"/>
      <c r="AAF276" s="4"/>
      <c r="AAG276" s="5"/>
      <c r="AAH276" s="6"/>
      <c r="AAI276" s="4"/>
      <c r="AAJ276" s="4"/>
      <c r="AAK276" s="4"/>
      <c r="AAL276" s="4"/>
      <c r="AAM276" s="4"/>
      <c r="AAN276" s="5"/>
      <c r="AAO276" s="6"/>
      <c r="AAP276" s="4"/>
      <c r="AAQ276" s="4"/>
      <c r="AAR276" s="4"/>
      <c r="AAS276" s="4"/>
      <c r="AAT276" s="4"/>
      <c r="AAU276" s="5"/>
      <c r="AAV276" s="6"/>
      <c r="AAW276" s="4"/>
      <c r="AAX276" s="4"/>
      <c r="AAY276" s="4"/>
      <c r="AAZ276" s="4"/>
      <c r="ABA276" s="4"/>
      <c r="ABB276" s="5"/>
      <c r="ABC276" s="6"/>
      <c r="ABD276" s="4"/>
      <c r="ABE276" s="4"/>
      <c r="ABF276" s="4"/>
      <c r="ABG276" s="4"/>
      <c r="ABH276" s="4"/>
      <c r="ABI276" s="5"/>
      <c r="ABJ276" s="6"/>
      <c r="ABK276" s="4"/>
      <c r="ABL276" s="4"/>
      <c r="ABM276" s="4"/>
      <c r="ABN276" s="4"/>
      <c r="ABO276" s="4"/>
      <c r="ABP276" s="5"/>
      <c r="ABQ276" s="6"/>
      <c r="ABR276" s="4"/>
      <c r="ABS276" s="4"/>
      <c r="ABT276" s="4"/>
      <c r="ABU276" s="4"/>
      <c r="ABV276" s="4"/>
      <c r="ABW276" s="5"/>
      <c r="ABX276" s="6"/>
      <c r="ABY276" s="4"/>
      <c r="ABZ276" s="4"/>
      <c r="ACA276" s="4"/>
      <c r="ACB276" s="4"/>
      <c r="ACC276" s="4"/>
      <c r="ACD276" s="5"/>
      <c r="ACE276" s="6"/>
      <c r="ACF276" s="4"/>
      <c r="ACG276" s="4"/>
      <c r="ACH276" s="4"/>
      <c r="ACI276" s="4"/>
      <c r="ACJ276" s="4"/>
      <c r="ACK276" s="5"/>
      <c r="ACL276" s="6"/>
      <c r="ACM276" s="4"/>
      <c r="ACN276" s="4"/>
      <c r="ACO276" s="4"/>
      <c r="ACP276" s="4"/>
      <c r="ACQ276" s="4"/>
      <c r="ACR276" s="5"/>
      <c r="ACS276" s="6"/>
      <c r="ACT276" s="4"/>
      <c r="ACU276" s="4"/>
      <c r="ACV276" s="4"/>
      <c r="ACW276" s="4"/>
      <c r="ACX276" s="4"/>
      <c r="ACY276" s="5"/>
    </row>
    <row r="277" spans="1:833" x14ac:dyDescent="0.25">
      <c r="B277" s="29">
        <v>7008436</v>
      </c>
      <c r="C277" s="57">
        <v>48</v>
      </c>
      <c r="D277" t="s">
        <v>2121</v>
      </c>
      <c r="E277" s="23"/>
      <c r="F277" s="23">
        <v>0</v>
      </c>
      <c r="I277">
        <v>1</v>
      </c>
      <c r="J277" s="28">
        <v>39114</v>
      </c>
      <c r="K277" s="28"/>
      <c r="L277" s="28"/>
      <c r="LL277" s="6"/>
      <c r="LM277" s="4"/>
      <c r="LN277" s="4"/>
      <c r="LO277" s="4"/>
      <c r="LP277" s="4"/>
      <c r="LQ277" s="4"/>
      <c r="LR277" s="5"/>
      <c r="LS277" s="6"/>
      <c r="LT277" s="4"/>
      <c r="LU277" s="4"/>
      <c r="LV277" s="4"/>
      <c r="LW277" s="4"/>
      <c r="LX277" s="4"/>
      <c r="LY277" s="5"/>
      <c r="LZ277" s="6" t="s">
        <v>1582</v>
      </c>
      <c r="MA277" s="7" t="s">
        <v>1583</v>
      </c>
      <c r="MB277" s="4"/>
      <c r="MC277" s="4" t="s">
        <v>168</v>
      </c>
      <c r="MD277" s="13">
        <v>39114</v>
      </c>
      <c r="ME277" s="4"/>
      <c r="MF277" s="4" t="s">
        <v>163</v>
      </c>
      <c r="MG277" s="5"/>
      <c r="MH277" s="6"/>
      <c r="MI277" s="4"/>
      <c r="MJ277" s="4"/>
      <c r="MK277" s="4"/>
      <c r="ML277" s="4"/>
      <c r="MM277" s="4"/>
      <c r="MN277" s="5"/>
      <c r="MO277" s="6"/>
      <c r="MP277" s="4"/>
      <c r="MQ277" s="4"/>
      <c r="MR277" s="4"/>
      <c r="MS277" s="4"/>
      <c r="MT277" s="4"/>
      <c r="MU277" s="5"/>
      <c r="MV277" s="6"/>
      <c r="MW277" s="4"/>
      <c r="MX277" s="4"/>
      <c r="MY277" s="4"/>
      <c r="MZ277" s="4"/>
      <c r="NA277" s="4"/>
      <c r="NB277" s="5"/>
      <c r="NC277" s="6"/>
      <c r="ND277" s="4"/>
      <c r="NE277" s="4"/>
      <c r="NF277" s="4"/>
      <c r="NG277" s="4"/>
      <c r="NH277" s="4"/>
      <c r="NI277" s="5"/>
      <c r="NJ277" s="6"/>
      <c r="NK277" s="4"/>
      <c r="NL277" s="4"/>
      <c r="NM277" s="4"/>
      <c r="NN277" s="4"/>
      <c r="NO277" s="4"/>
      <c r="NP277" s="5"/>
      <c r="NQ277" s="6"/>
      <c r="NR277" s="4"/>
      <c r="NS277" s="4"/>
      <c r="NT277" s="4"/>
      <c r="NU277" s="4"/>
      <c r="NV277" s="4"/>
      <c r="NW277" s="5"/>
      <c r="NX277" s="6"/>
      <c r="NY277" s="4"/>
      <c r="NZ277" s="4"/>
      <c r="OA277" s="4"/>
      <c r="OB277" s="4"/>
      <c r="OC277" s="4"/>
      <c r="OD277" s="5"/>
      <c r="OE277" s="6"/>
      <c r="OF277" s="4"/>
      <c r="OG277" s="4"/>
      <c r="OH277" s="4"/>
      <c r="OI277" s="4"/>
      <c r="OJ277" s="4"/>
      <c r="OK277" s="5"/>
      <c r="OL277" s="6"/>
      <c r="OM277" s="4"/>
      <c r="ON277" s="4"/>
      <c r="OO277" s="4"/>
      <c r="OP277" s="4"/>
      <c r="OQ277" s="4"/>
      <c r="OR277" s="5"/>
      <c r="OS277" s="6"/>
      <c r="OT277" s="4"/>
      <c r="OU277" s="4"/>
      <c r="OV277" s="4"/>
      <c r="OW277" s="4"/>
      <c r="OX277" s="4"/>
      <c r="OY277" s="5"/>
      <c r="OZ277" s="6"/>
      <c r="PA277" s="4"/>
      <c r="PB277" s="4"/>
      <c r="PC277" s="4"/>
      <c r="PD277" s="4"/>
      <c r="PE277" s="4"/>
      <c r="PF277" s="5"/>
      <c r="PG277" s="6"/>
      <c r="PH277" s="4"/>
      <c r="PI277" s="4"/>
      <c r="PJ277" s="4"/>
      <c r="PK277" s="4"/>
      <c r="PL277" s="4"/>
      <c r="PM277" s="5"/>
      <c r="PN277" s="6"/>
      <c r="PO277" s="4"/>
      <c r="PP277" s="4"/>
      <c r="PQ277" s="4"/>
      <c r="PR277" s="4"/>
      <c r="PS277" s="4"/>
      <c r="PT277" s="5"/>
      <c r="PU277" s="6"/>
      <c r="PV277" s="4"/>
      <c r="PW277" s="4"/>
      <c r="PX277" s="4"/>
      <c r="PY277" s="4"/>
      <c r="PZ277" s="4"/>
      <c r="QA277" s="5"/>
      <c r="QB277" s="6"/>
      <c r="QC277" s="4"/>
      <c r="QD277" s="4"/>
      <c r="QE277" s="4"/>
      <c r="QF277" s="4"/>
      <c r="QG277" s="4"/>
      <c r="QH277" s="5"/>
      <c r="QI277" s="6"/>
      <c r="QJ277" s="4"/>
      <c r="QK277" s="4"/>
      <c r="QL277" s="4"/>
      <c r="QM277" s="4"/>
      <c r="QN277" s="4"/>
      <c r="QO277" s="5"/>
      <c r="QP277" s="6"/>
      <c r="QQ277" s="4"/>
      <c r="QR277" s="4"/>
      <c r="QS277" s="4"/>
      <c r="QT277" s="4"/>
      <c r="QU277" s="4"/>
      <c r="QV277" s="5"/>
      <c r="QW277" s="6"/>
      <c r="QX277" s="4"/>
      <c r="QY277" s="4"/>
      <c r="QZ277" s="4"/>
      <c r="RA277" s="4"/>
      <c r="RB277" s="4"/>
      <c r="RC277" s="5"/>
      <c r="RD277" s="6"/>
      <c r="RE277" s="4"/>
      <c r="RF277" s="4"/>
      <c r="RG277" s="4"/>
      <c r="RH277" s="4"/>
      <c r="RI277" s="4"/>
      <c r="RJ277" s="5"/>
      <c r="RK277" s="6"/>
      <c r="RL277" s="4"/>
      <c r="RM277" s="4"/>
      <c r="RN277" s="4"/>
      <c r="RO277" s="4"/>
      <c r="RP277" s="4"/>
      <c r="RQ277" s="5"/>
      <c r="RR277" s="6"/>
      <c r="RS277" s="4"/>
      <c r="RT277" s="4"/>
      <c r="RU277" s="4"/>
      <c r="RV277" s="4"/>
      <c r="RW277" s="4"/>
      <c r="RX277" s="5"/>
      <c r="RY277" s="6"/>
      <c r="RZ277" s="4"/>
      <c r="SA277" s="4"/>
      <c r="SB277" s="4"/>
      <c r="SC277" s="4"/>
      <c r="SD277" s="4"/>
      <c r="SE277" s="5"/>
      <c r="SF277" s="6"/>
      <c r="SG277" s="4"/>
      <c r="SH277" s="4"/>
      <c r="SI277" s="4"/>
      <c r="SJ277" s="4"/>
      <c r="SK277" s="4"/>
      <c r="SL277" s="5"/>
      <c r="SM277" s="6"/>
      <c r="SN277" s="4"/>
      <c r="SO277" s="4"/>
      <c r="SP277" s="4"/>
      <c r="SQ277" s="4"/>
      <c r="SR277" s="4"/>
      <c r="SS277" s="5"/>
      <c r="ST277" s="6"/>
      <c r="SU277" s="4"/>
      <c r="SV277" s="4"/>
      <c r="SW277" s="4"/>
      <c r="SX277" s="4"/>
      <c r="SY277" s="4"/>
      <c r="SZ277" s="5"/>
      <c r="TA277" s="6"/>
      <c r="TB277" s="4"/>
      <c r="TC277" s="4"/>
      <c r="TD277" s="4"/>
      <c r="TE277" s="4"/>
      <c r="TF277" s="4"/>
      <c r="TG277" s="5"/>
      <c r="TH277" s="6"/>
      <c r="TI277" s="4"/>
      <c r="TJ277" s="4"/>
      <c r="TK277" s="4"/>
      <c r="TL277" s="4"/>
      <c r="TM277" s="4"/>
      <c r="TN277" s="5"/>
      <c r="TO277" s="6"/>
      <c r="TP277" s="4"/>
      <c r="TQ277" s="4"/>
      <c r="TR277" s="4"/>
      <c r="TS277" s="4"/>
      <c r="TT277" s="4"/>
      <c r="TU277" s="5"/>
      <c r="TV277" s="6"/>
      <c r="TW277" s="4"/>
      <c r="TX277" s="4"/>
      <c r="TY277" s="4"/>
      <c r="TZ277" s="4"/>
      <c r="UA277" s="4"/>
      <c r="UB277" s="5"/>
      <c r="UC277" s="6"/>
      <c r="UD277" s="4"/>
      <c r="UE277" s="4"/>
      <c r="UF277" s="4"/>
      <c r="UG277" s="4"/>
      <c r="UH277" s="4"/>
      <c r="UI277" s="5"/>
      <c r="UJ277" s="6"/>
      <c r="UK277" s="4"/>
      <c r="UL277" s="4"/>
      <c r="UM277" s="4"/>
      <c r="UN277" s="4"/>
      <c r="UO277" s="4"/>
      <c r="UP277" s="5"/>
      <c r="UQ277" s="6"/>
      <c r="UR277" s="4"/>
      <c r="US277" s="4"/>
      <c r="UT277" s="4"/>
      <c r="UU277" s="4"/>
      <c r="UV277" s="4"/>
      <c r="UW277" s="5"/>
      <c r="UX277" s="6"/>
      <c r="UY277" s="4"/>
      <c r="UZ277" s="4"/>
      <c r="VA277" s="4"/>
      <c r="VB277" s="4"/>
      <c r="VC277" s="4"/>
      <c r="VD277" s="5"/>
      <c r="VE277" s="6"/>
      <c r="VF277" s="4"/>
      <c r="VG277" s="4"/>
      <c r="VH277" s="4"/>
      <c r="VI277" s="4"/>
      <c r="VJ277" s="4"/>
      <c r="VK277" s="5"/>
      <c r="VL277" s="6"/>
      <c r="VM277" s="4"/>
      <c r="VN277" s="4"/>
      <c r="VO277" s="4"/>
      <c r="VP277" s="4"/>
      <c r="VQ277" s="4"/>
      <c r="VR277" s="5"/>
      <c r="VS277" s="6"/>
      <c r="VT277" s="4"/>
      <c r="VU277" s="4"/>
      <c r="VV277" s="4"/>
      <c r="VW277" s="4"/>
      <c r="VX277" s="4"/>
      <c r="VY277" s="5"/>
      <c r="VZ277" s="6"/>
      <c r="WA277" s="4"/>
      <c r="WB277" s="4"/>
      <c r="WC277" s="4"/>
      <c r="WD277" s="4"/>
      <c r="WE277" s="4"/>
      <c r="WF277" s="5"/>
      <c r="WG277" s="6"/>
      <c r="WH277" s="4"/>
      <c r="WI277" s="4"/>
      <c r="WJ277" s="4"/>
      <c r="WK277" s="4"/>
      <c r="WL277" s="4"/>
      <c r="WM277" s="5"/>
      <c r="WN277" s="6"/>
      <c r="WO277" s="4"/>
      <c r="WP277" s="4"/>
      <c r="WQ277" s="4"/>
      <c r="WR277" s="4"/>
      <c r="WS277" s="4"/>
      <c r="WT277" s="5"/>
      <c r="WU277" s="6"/>
      <c r="WV277" s="4"/>
      <c r="WW277" s="4"/>
      <c r="WX277" s="4"/>
      <c r="WY277" s="4"/>
      <c r="WZ277" s="4"/>
      <c r="XA277" s="5"/>
      <c r="XB277" s="6"/>
      <c r="XC277" s="4"/>
      <c r="XD277" s="4"/>
      <c r="XE277" s="4"/>
      <c r="XF277" s="4"/>
      <c r="XG277" s="4"/>
      <c r="XH277" s="5"/>
      <c r="XI277" s="6"/>
      <c r="XJ277" s="4"/>
      <c r="XK277" s="4"/>
      <c r="XL277" s="4"/>
      <c r="XM277" s="4"/>
      <c r="XN277" s="4"/>
      <c r="XO277" s="5"/>
      <c r="XP277" s="6"/>
      <c r="XQ277" s="4"/>
      <c r="XR277" s="4"/>
      <c r="XS277" s="4"/>
      <c r="XT277" s="4"/>
      <c r="XU277" s="4"/>
      <c r="XV277" s="5"/>
      <c r="XW277" s="6"/>
      <c r="XX277" s="4"/>
      <c r="XY277" s="4"/>
      <c r="XZ277" s="4"/>
      <c r="YA277" s="4"/>
      <c r="YB277" s="4"/>
      <c r="YC277" s="5"/>
      <c r="YD277" s="6"/>
      <c r="YE277" s="4"/>
      <c r="YF277" s="4"/>
      <c r="YG277" s="4"/>
      <c r="YH277" s="4"/>
      <c r="YI277" s="4"/>
      <c r="YJ277" s="5"/>
      <c r="YK277" s="6"/>
      <c r="YL277" s="4"/>
      <c r="YM277" s="4"/>
      <c r="YN277" s="4"/>
      <c r="YO277" s="4"/>
      <c r="YP277" s="4"/>
      <c r="YQ277" s="5"/>
      <c r="YR277" s="6"/>
      <c r="YS277" s="4"/>
      <c r="YT277" s="4"/>
      <c r="YU277" s="4"/>
      <c r="YV277" s="4"/>
      <c r="YW277" s="4"/>
      <c r="YX277" s="5"/>
      <c r="YY277" s="6"/>
      <c r="YZ277" s="4"/>
      <c r="ZA277" s="4"/>
      <c r="ZB277" s="4"/>
      <c r="ZC277" s="4"/>
      <c r="ZD277" s="4"/>
      <c r="ZE277" s="5"/>
      <c r="ZF277" s="6"/>
      <c r="ZG277" s="4"/>
      <c r="ZH277" s="4"/>
      <c r="ZI277" s="4"/>
      <c r="ZJ277" s="4"/>
      <c r="ZK277" s="4"/>
      <c r="ZL277" s="5"/>
      <c r="ZM277" s="6"/>
      <c r="ZN277" s="4"/>
      <c r="ZO277" s="4"/>
      <c r="ZP277" s="4"/>
      <c r="ZQ277" s="4"/>
      <c r="ZR277" s="4"/>
      <c r="ZS277" s="5"/>
      <c r="ZT277" s="6"/>
      <c r="ZU277" s="4"/>
      <c r="ZV277" s="4"/>
      <c r="ZW277" s="4"/>
      <c r="ZX277" s="4"/>
      <c r="ZY277" s="4"/>
      <c r="ZZ277" s="5"/>
      <c r="AAA277" s="6"/>
      <c r="AAB277" s="4"/>
      <c r="AAC277" s="4"/>
      <c r="AAD277" s="4"/>
      <c r="AAE277" s="4"/>
      <c r="AAF277" s="4"/>
      <c r="AAG277" s="5"/>
      <c r="AAH277" s="6"/>
      <c r="AAI277" s="4"/>
      <c r="AAJ277" s="4"/>
      <c r="AAK277" s="4"/>
      <c r="AAL277" s="4"/>
      <c r="AAM277" s="4"/>
      <c r="AAN277" s="5"/>
      <c r="AAO277" s="6"/>
      <c r="AAP277" s="4"/>
      <c r="AAQ277" s="4"/>
      <c r="AAR277" s="4"/>
      <c r="AAS277" s="4"/>
      <c r="AAT277" s="4"/>
      <c r="AAU277" s="5"/>
      <c r="AAV277" s="6"/>
      <c r="AAW277" s="4"/>
      <c r="AAX277" s="4"/>
      <c r="AAY277" s="4"/>
      <c r="AAZ277" s="4"/>
      <c r="ABA277" s="4"/>
      <c r="ABB277" s="5"/>
      <c r="ABC277" s="6"/>
      <c r="ABD277" s="4"/>
      <c r="ABE277" s="4"/>
      <c r="ABF277" s="4"/>
      <c r="ABG277" s="4"/>
      <c r="ABH277" s="4"/>
      <c r="ABI277" s="5"/>
      <c r="ABJ277" s="6"/>
      <c r="ABK277" s="4"/>
      <c r="ABL277" s="4"/>
      <c r="ABM277" s="4"/>
      <c r="ABN277" s="4"/>
      <c r="ABO277" s="4"/>
      <c r="ABP277" s="5"/>
      <c r="ABQ277" s="6"/>
      <c r="ABR277" s="4"/>
      <c r="ABS277" s="4"/>
      <c r="ABT277" s="4"/>
      <c r="ABU277" s="4"/>
      <c r="ABV277" s="4"/>
      <c r="ABW277" s="5"/>
      <c r="ABX277" s="6"/>
      <c r="ABY277" s="4"/>
      <c r="ABZ277" s="4"/>
      <c r="ACA277" s="4"/>
      <c r="ACB277" s="4"/>
      <c r="ACC277" s="4"/>
      <c r="ACD277" s="5"/>
      <c r="ACE277" s="6"/>
      <c r="ACF277" s="4"/>
      <c r="ACG277" s="4"/>
      <c r="ACH277" s="4"/>
      <c r="ACI277" s="4"/>
      <c r="ACJ277" s="4"/>
      <c r="ACK277" s="5"/>
      <c r="ACL277" s="6"/>
      <c r="ACM277" s="4"/>
      <c r="ACN277" s="4"/>
      <c r="ACO277" s="4"/>
      <c r="ACP277" s="4"/>
      <c r="ACQ277" s="4"/>
      <c r="ACR277" s="5"/>
      <c r="ACS277" s="6"/>
      <c r="ACT277" s="4"/>
      <c r="ACU277" s="4"/>
      <c r="ACV277" s="4"/>
      <c r="ACW277" s="4"/>
      <c r="ACX277" s="4"/>
      <c r="ACY277" s="5"/>
      <c r="ADK277" t="s">
        <v>3871</v>
      </c>
    </row>
    <row r="278" spans="1:833" x14ac:dyDescent="0.25">
      <c r="A278" t="s">
        <v>4258</v>
      </c>
      <c r="B278" s="29">
        <v>7072184</v>
      </c>
      <c r="C278" s="57">
        <v>39</v>
      </c>
      <c r="D278" t="s">
        <v>2121</v>
      </c>
      <c r="E278" s="23" t="s">
        <v>238</v>
      </c>
      <c r="F278" s="23">
        <v>1</v>
      </c>
      <c r="H278" s="23" t="s">
        <v>237</v>
      </c>
      <c r="I278">
        <v>1</v>
      </c>
      <c r="J278" s="12"/>
      <c r="K278" s="12"/>
      <c r="L278" s="12"/>
      <c r="AO278">
        <v>1</v>
      </c>
      <c r="DA278">
        <v>1</v>
      </c>
      <c r="EB278">
        <v>1</v>
      </c>
      <c r="EN278">
        <v>1</v>
      </c>
      <c r="GI278">
        <v>1</v>
      </c>
      <c r="JT278">
        <v>1</v>
      </c>
      <c r="LL278" s="6"/>
      <c r="LM278" s="4"/>
      <c r="LN278" s="4"/>
      <c r="LO278" s="4"/>
      <c r="LP278" s="4"/>
      <c r="LQ278" s="4"/>
      <c r="LR278" s="5"/>
      <c r="LS278" s="6"/>
      <c r="LT278" s="4"/>
      <c r="LU278" s="4"/>
      <c r="LV278" s="4"/>
      <c r="LW278" s="4"/>
      <c r="LX278" s="4"/>
      <c r="LY278" s="5"/>
      <c r="LZ278" s="6" t="s">
        <v>1802</v>
      </c>
      <c r="MA278" s="7" t="s">
        <v>1802</v>
      </c>
      <c r="MB278" s="4" t="s">
        <v>1738</v>
      </c>
      <c r="MC278" s="4"/>
      <c r="MD278" s="4"/>
      <c r="ME278" s="4"/>
      <c r="MF278" s="4" t="s">
        <v>3872</v>
      </c>
      <c r="MG278" s="5" t="s">
        <v>3873</v>
      </c>
      <c r="MH278" s="6"/>
      <c r="MI278" s="4"/>
      <c r="MJ278" s="4"/>
      <c r="MK278" s="4"/>
      <c r="ML278" s="4"/>
      <c r="MM278" s="4"/>
      <c r="MN278" s="5"/>
      <c r="MO278" s="6"/>
      <c r="MP278" s="4"/>
      <c r="MQ278" s="4"/>
      <c r="MR278" s="4"/>
      <c r="MS278" s="4"/>
      <c r="MT278" s="4"/>
      <c r="MU278" s="5"/>
      <c r="MV278" s="6"/>
      <c r="MW278" s="4"/>
      <c r="MX278" s="4"/>
      <c r="MY278" s="4"/>
      <c r="MZ278" s="4"/>
      <c r="NA278" s="4"/>
      <c r="NB278" s="5"/>
      <c r="NC278" s="6"/>
      <c r="ND278" s="4"/>
      <c r="NE278" s="4"/>
      <c r="NF278" s="4"/>
      <c r="NG278" s="4"/>
      <c r="NH278" s="4"/>
      <c r="NI278" s="5"/>
      <c r="NJ278" s="6"/>
      <c r="NK278" s="4"/>
      <c r="NL278" s="4"/>
      <c r="NM278" s="4"/>
      <c r="NN278" s="4"/>
      <c r="NO278" s="4"/>
      <c r="NP278" s="5"/>
      <c r="NQ278" s="6"/>
      <c r="NR278" s="4"/>
      <c r="NS278" s="4"/>
      <c r="NT278" s="4"/>
      <c r="NU278" s="4"/>
      <c r="NV278" s="4"/>
      <c r="NW278" s="5"/>
      <c r="NX278" s="6"/>
      <c r="NY278" s="4"/>
      <c r="NZ278" s="4"/>
      <c r="OA278" s="4"/>
      <c r="OB278" s="4"/>
      <c r="OC278" s="4"/>
      <c r="OD278" s="5"/>
      <c r="OE278" s="6"/>
      <c r="OF278" s="4"/>
      <c r="OG278" s="4"/>
      <c r="OH278" s="4"/>
      <c r="OI278" s="4"/>
      <c r="OJ278" s="4"/>
      <c r="OK278" s="5"/>
      <c r="OL278" s="6"/>
      <c r="OM278" s="4"/>
      <c r="ON278" s="4"/>
      <c r="OO278" s="4"/>
      <c r="OP278" s="4"/>
      <c r="OQ278" s="4"/>
      <c r="OR278" s="5"/>
      <c r="OS278" s="6"/>
      <c r="OT278" s="4"/>
      <c r="OU278" s="4"/>
      <c r="OV278" s="4"/>
      <c r="OW278" s="4"/>
      <c r="OX278" s="4"/>
      <c r="OY278" s="5"/>
      <c r="OZ278" s="6"/>
      <c r="PA278" s="4"/>
      <c r="PB278" s="4"/>
      <c r="PC278" s="4"/>
      <c r="PD278" s="4"/>
      <c r="PE278" s="4"/>
      <c r="PF278" s="5"/>
      <c r="PG278" s="6"/>
      <c r="PH278" s="4"/>
      <c r="PI278" s="4"/>
      <c r="PJ278" s="4"/>
      <c r="PK278" s="4"/>
      <c r="PL278" s="4"/>
      <c r="PM278" s="5"/>
      <c r="PN278" s="6"/>
      <c r="PO278" s="4"/>
      <c r="PP278" s="4"/>
      <c r="PQ278" s="4"/>
      <c r="PR278" s="4"/>
      <c r="PS278" s="4"/>
      <c r="PT278" s="5"/>
      <c r="PU278" s="6"/>
      <c r="PV278" s="4"/>
      <c r="PW278" s="4"/>
      <c r="PX278" s="4"/>
      <c r="PY278" s="4"/>
      <c r="PZ278" s="4"/>
      <c r="QA278" s="5"/>
      <c r="QB278" s="6"/>
      <c r="QC278" s="4"/>
      <c r="QD278" s="4"/>
      <c r="QE278" s="4"/>
      <c r="QF278" s="4"/>
      <c r="QG278" s="4"/>
      <c r="QH278" s="5"/>
      <c r="QI278" s="6"/>
      <c r="QJ278" s="4"/>
      <c r="QK278" s="4"/>
      <c r="QL278" s="4"/>
      <c r="QM278" s="4"/>
      <c r="QN278" s="4"/>
      <c r="QO278" s="5"/>
      <c r="QP278" s="6"/>
      <c r="QQ278" s="4"/>
      <c r="QR278" s="4"/>
      <c r="QS278" s="4"/>
      <c r="QT278" s="4"/>
      <c r="QU278" s="4"/>
      <c r="QV278" s="5"/>
      <c r="QW278" s="6"/>
      <c r="QX278" s="4"/>
      <c r="QY278" s="4"/>
      <c r="QZ278" s="4"/>
      <c r="RA278" s="4"/>
      <c r="RB278" s="4"/>
      <c r="RC278" s="5"/>
      <c r="RD278" s="6"/>
      <c r="RE278" s="4"/>
      <c r="RF278" s="4"/>
      <c r="RG278" s="4"/>
      <c r="RH278" s="4"/>
      <c r="RI278" s="4"/>
      <c r="RJ278" s="5"/>
      <c r="RK278" s="6"/>
      <c r="RL278" s="4"/>
      <c r="RM278" s="4"/>
      <c r="RN278" s="4"/>
      <c r="RO278" s="4"/>
      <c r="RP278" s="4"/>
      <c r="RQ278" s="5"/>
      <c r="RR278" s="6"/>
      <c r="RS278" s="4"/>
      <c r="RT278" s="4"/>
      <c r="RU278" s="4"/>
      <c r="RV278" s="4"/>
      <c r="RW278" s="4"/>
      <c r="RX278" s="5"/>
      <c r="RY278" s="6"/>
      <c r="RZ278" s="4"/>
      <c r="SA278" s="4"/>
      <c r="SB278" s="4"/>
      <c r="SC278" s="4"/>
      <c r="SD278" s="4"/>
      <c r="SE278" s="5"/>
      <c r="SF278" s="6"/>
      <c r="SG278" s="4"/>
      <c r="SH278" s="4"/>
      <c r="SI278" s="4"/>
      <c r="SJ278" s="4"/>
      <c r="SK278" s="4"/>
      <c r="SL278" s="5"/>
      <c r="SM278" s="6"/>
      <c r="SN278" s="4"/>
      <c r="SO278" s="4"/>
      <c r="SP278" s="4"/>
      <c r="SQ278" s="4"/>
      <c r="SR278" s="4"/>
      <c r="SS278" s="5"/>
      <c r="ST278" s="6"/>
      <c r="SU278" s="4"/>
      <c r="SV278" s="4"/>
      <c r="SW278" s="4"/>
      <c r="SX278" s="4"/>
      <c r="SY278" s="4"/>
      <c r="SZ278" s="5"/>
      <c r="TA278" s="6"/>
      <c r="TB278" s="4"/>
      <c r="TC278" s="4"/>
      <c r="TD278" s="4"/>
      <c r="TE278" s="4"/>
      <c r="TF278" s="4"/>
      <c r="TG278" s="5"/>
      <c r="TH278" s="6"/>
      <c r="TI278" s="4"/>
      <c r="TJ278" s="4"/>
      <c r="TK278" s="4"/>
      <c r="TL278" s="4"/>
      <c r="TM278" s="4"/>
      <c r="TN278" s="5"/>
      <c r="TO278" s="6"/>
      <c r="TP278" s="4"/>
      <c r="TQ278" s="4"/>
      <c r="TR278" s="4"/>
      <c r="TS278" s="4"/>
      <c r="TT278" s="4"/>
      <c r="TU278" s="5"/>
      <c r="TV278" s="6"/>
      <c r="TW278" s="4"/>
      <c r="TX278" s="4"/>
      <c r="TY278" s="4"/>
      <c r="TZ278" s="4"/>
      <c r="UA278" s="4"/>
      <c r="UB278" s="5"/>
      <c r="UC278" s="6"/>
      <c r="UD278" s="4"/>
      <c r="UE278" s="4"/>
      <c r="UF278" s="4"/>
      <c r="UG278" s="4"/>
      <c r="UH278" s="4"/>
      <c r="UI278" s="5"/>
      <c r="UJ278" s="6"/>
      <c r="UK278" s="4"/>
      <c r="UL278" s="4"/>
      <c r="UM278" s="4"/>
      <c r="UN278" s="4"/>
      <c r="UO278" s="4"/>
      <c r="UP278" s="5"/>
      <c r="UQ278" s="6"/>
      <c r="UR278" s="4"/>
      <c r="US278" s="4"/>
      <c r="UT278" s="4"/>
      <c r="UU278" s="4"/>
      <c r="UV278" s="4"/>
      <c r="UW278" s="5"/>
      <c r="UX278" s="6"/>
      <c r="UY278" s="4"/>
      <c r="UZ278" s="4"/>
      <c r="VA278" s="4"/>
      <c r="VB278" s="4"/>
      <c r="VC278" s="4"/>
      <c r="VD278" s="5"/>
      <c r="VE278" s="6"/>
      <c r="VF278" s="4"/>
      <c r="VG278" s="4"/>
      <c r="VH278" s="4"/>
      <c r="VI278" s="4"/>
      <c r="VJ278" s="4"/>
      <c r="VK278" s="5"/>
      <c r="VL278" s="6"/>
      <c r="VM278" s="4"/>
      <c r="VN278" s="4"/>
      <c r="VO278" s="4"/>
      <c r="VP278" s="4"/>
      <c r="VQ278" s="4"/>
      <c r="VR278" s="5"/>
      <c r="VS278" s="6"/>
      <c r="VT278" s="4"/>
      <c r="VU278" s="4"/>
      <c r="VV278" s="4"/>
      <c r="VW278" s="4"/>
      <c r="VX278" s="4"/>
      <c r="VY278" s="5"/>
      <c r="VZ278" s="6"/>
      <c r="WA278" s="4"/>
      <c r="WB278" s="4"/>
      <c r="WC278" s="4"/>
      <c r="WD278" s="4"/>
      <c r="WE278" s="4"/>
      <c r="WF278" s="5"/>
      <c r="WG278" s="6"/>
      <c r="WH278" s="4"/>
      <c r="WI278" s="4"/>
      <c r="WJ278" s="4"/>
      <c r="WK278" s="4"/>
      <c r="WL278" s="4"/>
      <c r="WM278" s="5"/>
      <c r="WN278" s="6"/>
      <c r="WO278" s="4"/>
      <c r="WP278" s="4"/>
      <c r="WQ278" s="4"/>
      <c r="WR278" s="4"/>
      <c r="WS278" s="4"/>
      <c r="WT278" s="5"/>
      <c r="WU278" s="6"/>
      <c r="WV278" s="4"/>
      <c r="WW278" s="4"/>
      <c r="WX278" s="4"/>
      <c r="WY278" s="4"/>
      <c r="WZ278" s="4"/>
      <c r="XA278" s="5"/>
      <c r="XB278" s="6"/>
      <c r="XC278" s="4"/>
      <c r="XD278" s="4"/>
      <c r="XE278" s="4"/>
      <c r="XF278" s="4"/>
      <c r="XG278" s="4"/>
      <c r="XH278" s="5"/>
      <c r="XI278" s="6"/>
      <c r="XJ278" s="4"/>
      <c r="XK278" s="4"/>
      <c r="XL278" s="4"/>
      <c r="XM278" s="4"/>
      <c r="XN278" s="4"/>
      <c r="XO278" s="5"/>
      <c r="XP278" s="6"/>
      <c r="XQ278" s="4"/>
      <c r="XR278" s="4"/>
      <c r="XS278" s="4"/>
      <c r="XT278" s="4"/>
      <c r="XU278" s="4"/>
      <c r="XV278" s="5"/>
      <c r="XW278" s="6"/>
      <c r="XX278" s="4"/>
      <c r="XY278" s="4"/>
      <c r="XZ278" s="4"/>
      <c r="YA278" s="4"/>
      <c r="YB278" s="4"/>
      <c r="YC278" s="5"/>
      <c r="YD278" s="6"/>
      <c r="YE278" s="4"/>
      <c r="YF278" s="4"/>
      <c r="YG278" s="4"/>
      <c r="YH278" s="4"/>
      <c r="YI278" s="4"/>
      <c r="YJ278" s="5"/>
      <c r="YK278" s="6"/>
      <c r="YL278" s="4"/>
      <c r="YM278" s="4"/>
      <c r="YN278" s="4"/>
      <c r="YO278" s="4"/>
      <c r="YP278" s="4"/>
      <c r="YQ278" s="5"/>
      <c r="YR278" s="6"/>
      <c r="YS278" s="4"/>
      <c r="YT278" s="4"/>
      <c r="YU278" s="4"/>
      <c r="YV278" s="4"/>
      <c r="YW278" s="4"/>
      <c r="YX278" s="5"/>
      <c r="YY278" s="6"/>
      <c r="YZ278" s="4"/>
      <c r="ZA278" s="4"/>
      <c r="ZB278" s="4"/>
      <c r="ZC278" s="4"/>
      <c r="ZD278" s="4"/>
      <c r="ZE278" s="5"/>
      <c r="ZF278" s="6"/>
      <c r="ZG278" s="4"/>
      <c r="ZH278" s="4"/>
      <c r="ZI278" s="4"/>
      <c r="ZJ278" s="4"/>
      <c r="ZK278" s="4"/>
      <c r="ZL278" s="5"/>
      <c r="ZM278" s="6"/>
      <c r="ZN278" s="4"/>
      <c r="ZO278" s="4"/>
      <c r="ZP278" s="4"/>
      <c r="ZQ278" s="4"/>
      <c r="ZR278" s="4"/>
      <c r="ZS278" s="5"/>
      <c r="ZT278" s="6"/>
      <c r="ZU278" s="4"/>
      <c r="ZV278" s="4"/>
      <c r="ZW278" s="4"/>
      <c r="ZX278" s="4"/>
      <c r="ZY278" s="4"/>
      <c r="ZZ278" s="5"/>
      <c r="AAA278" s="6"/>
      <c r="AAB278" s="4"/>
      <c r="AAC278" s="4"/>
      <c r="AAD278" s="4"/>
      <c r="AAE278" s="4"/>
      <c r="AAF278" s="4"/>
      <c r="AAG278" s="5"/>
      <c r="AAH278" s="6"/>
      <c r="AAI278" s="4"/>
      <c r="AAJ278" s="4"/>
      <c r="AAK278" s="4"/>
      <c r="AAL278" s="4"/>
      <c r="AAM278" s="4"/>
      <c r="AAN278" s="5"/>
      <c r="AAO278" s="6"/>
      <c r="AAP278" s="4"/>
      <c r="AAQ278" s="4"/>
      <c r="AAR278" s="4"/>
      <c r="AAS278" s="4"/>
      <c r="AAT278" s="4"/>
      <c r="AAU278" s="5"/>
      <c r="AAV278" s="6"/>
      <c r="AAW278" s="4"/>
      <c r="AAX278" s="4"/>
      <c r="AAY278" s="4"/>
      <c r="AAZ278" s="4"/>
      <c r="ABA278" s="4"/>
      <c r="ABB278" s="5"/>
      <c r="ABC278" s="6"/>
      <c r="ABD278" s="4"/>
      <c r="ABE278" s="4"/>
      <c r="ABF278" s="4"/>
      <c r="ABG278" s="4"/>
      <c r="ABH278" s="4"/>
      <c r="ABI278" s="5"/>
      <c r="ABJ278" s="6"/>
      <c r="ABK278" s="4"/>
      <c r="ABL278" s="4"/>
      <c r="ABM278" s="4"/>
      <c r="ABN278" s="4"/>
      <c r="ABO278" s="4"/>
      <c r="ABP278" s="5"/>
      <c r="ABQ278" s="6"/>
      <c r="ABR278" s="4"/>
      <c r="ABS278" s="4"/>
      <c r="ABT278" s="4"/>
      <c r="ABU278" s="4"/>
      <c r="ABV278" s="4"/>
      <c r="ABW278" s="5"/>
      <c r="ABX278" s="6"/>
      <c r="ABY278" s="4"/>
      <c r="ABZ278" s="4"/>
      <c r="ACA278" s="4"/>
      <c r="ACB278" s="4"/>
      <c r="ACC278" s="4"/>
      <c r="ACD278" s="5"/>
      <c r="ACE278" s="6"/>
      <c r="ACF278" s="4"/>
      <c r="ACG278" s="4"/>
      <c r="ACH278" s="4"/>
      <c r="ACI278" s="4"/>
      <c r="ACJ278" s="4"/>
      <c r="ACK278" s="5"/>
      <c r="ACL278" s="6"/>
      <c r="ACM278" s="4"/>
      <c r="ACN278" s="4"/>
      <c r="ACO278" s="4"/>
      <c r="ACP278" s="4"/>
      <c r="ACQ278" s="4"/>
      <c r="ACR278" s="5"/>
      <c r="ACS278" s="6"/>
      <c r="ACT278" s="4"/>
      <c r="ACU278" s="4"/>
      <c r="ACV278" s="4"/>
      <c r="ACW278" s="4"/>
      <c r="ACX278" s="4"/>
      <c r="ACY278" s="5"/>
      <c r="ADJ278" t="s">
        <v>3874</v>
      </c>
      <c r="ADZ278" s="6" t="s">
        <v>236</v>
      </c>
      <c r="AEA278" s="4" t="s">
        <v>235</v>
      </c>
      <c r="AED278" s="41">
        <v>0.69</v>
      </c>
      <c r="AEE278" s="59" t="s">
        <v>241</v>
      </c>
      <c r="AEF278" s="59" t="s">
        <v>242</v>
      </c>
      <c r="AEG278" s="59" t="s">
        <v>178</v>
      </c>
      <c r="AEH278" s="4" t="s">
        <v>232</v>
      </c>
      <c r="AEI278" s="4" t="s">
        <v>283</v>
      </c>
      <c r="AEJ278" s="4" t="s">
        <v>179</v>
      </c>
      <c r="AEK278" t="s">
        <v>176</v>
      </c>
      <c r="AEL278" s="63" t="s">
        <v>230</v>
      </c>
      <c r="AEM278" t="s">
        <v>234</v>
      </c>
      <c r="AEN278" t="s">
        <v>278</v>
      </c>
      <c r="AEO278" t="s">
        <v>280</v>
      </c>
      <c r="AEP278" s="63" t="s">
        <v>173</v>
      </c>
      <c r="AEQ278" t="s">
        <v>282</v>
      </c>
      <c r="AER278" s="27" t="s">
        <v>169</v>
      </c>
      <c r="AES278" s="58">
        <v>0.11</v>
      </c>
      <c r="AET278" s="63" t="s">
        <v>4257</v>
      </c>
      <c r="AEU278" s="64" t="s">
        <v>229</v>
      </c>
      <c r="AEV278" s="58">
        <v>0.8</v>
      </c>
      <c r="AEW278" t="s">
        <v>175</v>
      </c>
      <c r="AEX278" s="58">
        <v>0.18</v>
      </c>
      <c r="AEY278" s="58" t="s">
        <v>228</v>
      </c>
      <c r="AEZ278" t="s">
        <v>178</v>
      </c>
      <c r="AFA278" t="s">
        <v>225</v>
      </c>
    </row>
    <row r="279" spans="1:833" x14ac:dyDescent="0.25">
      <c r="B279" s="49">
        <v>7079887</v>
      </c>
      <c r="C279" s="57">
        <v>68</v>
      </c>
      <c r="D279" t="s">
        <v>555</v>
      </c>
      <c r="E279" t="s">
        <v>501</v>
      </c>
      <c r="F279" s="23">
        <v>0</v>
      </c>
      <c r="J279" s="12"/>
      <c r="K279" s="12"/>
      <c r="L279" s="12"/>
      <c r="M279">
        <v>1</v>
      </c>
      <c r="P279" t="s">
        <v>556</v>
      </c>
      <c r="Q279">
        <v>1</v>
      </c>
      <c r="T279">
        <v>1</v>
      </c>
      <c r="EC279">
        <v>1</v>
      </c>
      <c r="KP279">
        <v>1</v>
      </c>
      <c r="LL279" s="6"/>
      <c r="LM279" s="4"/>
      <c r="LN279" s="4"/>
      <c r="LO279" s="4"/>
      <c r="LP279" s="4"/>
      <c r="LQ279" s="4"/>
      <c r="LR279" s="5"/>
      <c r="LS279" s="6"/>
      <c r="LT279" s="4"/>
      <c r="LU279" s="4"/>
      <c r="LV279" s="4"/>
      <c r="LW279" s="4"/>
      <c r="LX279" s="4"/>
      <c r="LY279" s="5"/>
      <c r="LZ279" s="6" t="s">
        <v>701</v>
      </c>
      <c r="MA279" s="7" t="s">
        <v>2983</v>
      </c>
      <c r="MB279" s="4" t="s">
        <v>1931</v>
      </c>
      <c r="MC279" s="7" t="s">
        <v>168</v>
      </c>
      <c r="MD279" s="4"/>
      <c r="ME279" s="4"/>
      <c r="MF279" s="4" t="s">
        <v>557</v>
      </c>
      <c r="MG279" s="5" t="s">
        <v>558</v>
      </c>
      <c r="MH279" s="6"/>
      <c r="MI279" s="4"/>
      <c r="MJ279" s="4"/>
      <c r="MK279" s="4"/>
      <c r="ML279" s="4"/>
      <c r="MM279" s="4"/>
      <c r="MN279" s="5"/>
      <c r="MO279" s="6"/>
      <c r="MP279" s="4"/>
      <c r="MQ279" s="4"/>
      <c r="MR279" s="4"/>
      <c r="MS279" s="4"/>
      <c r="MT279" s="4"/>
      <c r="MU279" s="5"/>
      <c r="MV279" s="6"/>
      <c r="MW279" s="4"/>
      <c r="MX279" s="4"/>
      <c r="MY279" s="4"/>
      <c r="MZ279" s="4"/>
      <c r="NA279" s="4"/>
      <c r="NB279" s="5"/>
      <c r="NC279" s="6"/>
      <c r="ND279" s="4"/>
      <c r="NE279" s="4"/>
      <c r="NF279" s="4"/>
      <c r="NG279" s="4"/>
      <c r="NH279" s="4"/>
      <c r="NI279" s="5"/>
      <c r="NJ279" s="6"/>
      <c r="NK279" s="4"/>
      <c r="NL279" s="4"/>
      <c r="NM279" s="4"/>
      <c r="NN279" s="4"/>
      <c r="NO279" s="4"/>
      <c r="NP279" s="5"/>
      <c r="NQ279" s="6"/>
      <c r="NR279" s="4"/>
      <c r="NS279" s="4"/>
      <c r="NT279" s="4"/>
      <c r="NU279" s="4"/>
      <c r="NV279" s="4"/>
      <c r="NW279" s="5"/>
      <c r="NX279" s="6"/>
      <c r="NY279" s="4"/>
      <c r="NZ279" s="4"/>
      <c r="OA279" s="4"/>
      <c r="OB279" s="4"/>
      <c r="OC279" s="4"/>
      <c r="OD279" s="5"/>
      <c r="OE279" s="6"/>
      <c r="OF279" s="4"/>
      <c r="OG279" s="4"/>
      <c r="OH279" s="4"/>
      <c r="OI279" s="4"/>
      <c r="OJ279" s="4"/>
      <c r="OK279" s="5"/>
      <c r="OL279" s="6"/>
      <c r="OM279" s="4"/>
      <c r="ON279" s="4"/>
      <c r="OO279" s="4"/>
      <c r="OP279" s="4"/>
      <c r="OQ279" s="4"/>
      <c r="OR279" s="5"/>
      <c r="OS279" s="6" t="s">
        <v>702</v>
      </c>
      <c r="OT279" s="4" t="s">
        <v>703</v>
      </c>
      <c r="OU279" s="4"/>
      <c r="OV279" s="4"/>
      <c r="OW279" s="4"/>
      <c r="OX279" s="4"/>
      <c r="OY279" s="5"/>
      <c r="OZ279" s="6"/>
      <c r="PA279" s="4"/>
      <c r="PB279" s="4"/>
      <c r="PC279" s="4"/>
      <c r="PD279" s="4"/>
      <c r="PE279" s="4"/>
      <c r="PF279" s="5"/>
      <c r="PG279" s="6"/>
      <c r="PH279" s="4"/>
      <c r="PI279" s="4"/>
      <c r="PJ279" s="4"/>
      <c r="PK279" s="4"/>
      <c r="PL279" s="4"/>
      <c r="PM279" s="5"/>
      <c r="PN279" s="6"/>
      <c r="PO279" s="4"/>
      <c r="PP279" s="4"/>
      <c r="PQ279" s="4"/>
      <c r="PR279" s="4"/>
      <c r="PS279" s="4"/>
      <c r="PT279" s="5"/>
      <c r="PU279" s="6"/>
      <c r="PV279" s="4"/>
      <c r="PW279" s="4"/>
      <c r="PX279" s="4"/>
      <c r="PY279" s="4"/>
      <c r="PZ279" s="4"/>
      <c r="QA279" s="5"/>
      <c r="QB279" s="6" t="s">
        <v>1740</v>
      </c>
      <c r="QC279" s="4" t="s">
        <v>704</v>
      </c>
      <c r="QD279" s="4"/>
      <c r="QE279" s="4"/>
      <c r="QF279" s="4"/>
      <c r="QG279" s="4"/>
      <c r="QH279" s="5"/>
      <c r="QI279" s="6"/>
      <c r="QJ279" s="4"/>
      <c r="QK279" s="4"/>
      <c r="QL279" s="4"/>
      <c r="QM279" s="4"/>
      <c r="QN279" s="4"/>
      <c r="QO279" s="5"/>
      <c r="QP279" s="6"/>
      <c r="QQ279" s="4"/>
      <c r="QR279" s="4"/>
      <c r="QS279" s="4"/>
      <c r="QT279" s="4"/>
      <c r="QU279" s="4"/>
      <c r="QV279" s="5"/>
      <c r="QW279" s="6"/>
      <c r="QX279" s="4"/>
      <c r="QY279" s="4"/>
      <c r="QZ279" s="4"/>
      <c r="RA279" s="4"/>
      <c r="RB279" s="4"/>
      <c r="RC279" s="5"/>
      <c r="RD279" s="6"/>
      <c r="RE279" s="4"/>
      <c r="RF279" s="4"/>
      <c r="RG279" s="4"/>
      <c r="RH279" s="4"/>
      <c r="RI279" s="4"/>
      <c r="RJ279" s="5"/>
      <c r="RK279" s="6"/>
      <c r="RL279" s="4"/>
      <c r="RM279" s="4"/>
      <c r="RN279" s="4"/>
      <c r="RO279" s="4"/>
      <c r="RP279" s="4"/>
      <c r="RQ279" s="5"/>
      <c r="RR279" s="6"/>
      <c r="RS279" s="4"/>
      <c r="RT279" s="4"/>
      <c r="RU279" s="4"/>
      <c r="RV279" s="4"/>
      <c r="RW279" s="4"/>
      <c r="RX279" s="5"/>
      <c r="RY279" s="6"/>
      <c r="RZ279" s="4"/>
      <c r="SA279" s="4"/>
      <c r="SB279" s="4"/>
      <c r="SC279" s="4"/>
      <c r="SD279" s="4"/>
      <c r="SE279" s="5"/>
      <c r="SF279" s="6"/>
      <c r="SG279" s="4"/>
      <c r="SH279" s="4"/>
      <c r="SI279" s="4"/>
      <c r="SJ279" s="4"/>
      <c r="SK279" s="4"/>
      <c r="SL279" s="5"/>
      <c r="SM279" s="6"/>
      <c r="SN279" s="4"/>
      <c r="SO279" s="4"/>
      <c r="SP279" s="4"/>
      <c r="SQ279" s="4"/>
      <c r="SR279" s="4"/>
      <c r="SS279" s="5"/>
      <c r="ST279" s="6"/>
      <c r="SU279" s="4"/>
      <c r="SV279" s="4"/>
      <c r="SW279" s="4"/>
      <c r="SX279" s="4"/>
      <c r="SY279" s="4"/>
      <c r="SZ279" s="5"/>
      <c r="TA279" s="6"/>
      <c r="TB279" s="4"/>
      <c r="TC279" s="4"/>
      <c r="TD279" s="4"/>
      <c r="TE279" s="4"/>
      <c r="TF279" s="4"/>
      <c r="TG279" s="5"/>
      <c r="TH279" s="6"/>
      <c r="TI279" s="4"/>
      <c r="TJ279" s="4"/>
      <c r="TK279" s="4"/>
      <c r="TL279" s="4"/>
      <c r="TM279" s="4"/>
      <c r="TN279" s="5"/>
      <c r="TO279" s="6"/>
      <c r="TP279" s="4"/>
      <c r="TQ279" s="4"/>
      <c r="TR279" s="4"/>
      <c r="TS279" s="4"/>
      <c r="TT279" s="4"/>
      <c r="TU279" s="5"/>
      <c r="TV279" s="6"/>
      <c r="TW279" s="4"/>
      <c r="TX279" s="4"/>
      <c r="TY279" s="4"/>
      <c r="TZ279" s="4"/>
      <c r="UA279" s="4"/>
      <c r="UB279" s="5"/>
      <c r="UC279" s="6"/>
      <c r="UD279" s="4"/>
      <c r="UE279" s="4"/>
      <c r="UF279" s="4"/>
      <c r="UG279" s="4"/>
      <c r="UH279" s="4"/>
      <c r="UI279" s="5"/>
      <c r="UJ279" s="6"/>
      <c r="UK279" s="4"/>
      <c r="UL279" s="4"/>
      <c r="UM279" s="4"/>
      <c r="UN279" s="4"/>
      <c r="UO279" s="4"/>
      <c r="UP279" s="5"/>
      <c r="UQ279" s="6"/>
      <c r="UR279" s="4"/>
      <c r="US279" s="4"/>
      <c r="UT279" s="4"/>
      <c r="UU279" s="4"/>
      <c r="UV279" s="4"/>
      <c r="UW279" s="5"/>
      <c r="UX279" s="6"/>
      <c r="UY279" s="4"/>
      <c r="UZ279" s="4"/>
      <c r="VA279" s="4"/>
      <c r="VB279" s="4"/>
      <c r="VC279" s="4"/>
      <c r="VD279" s="5"/>
      <c r="VE279" s="6"/>
      <c r="VF279" s="4"/>
      <c r="VG279" s="4"/>
      <c r="VH279" s="4"/>
      <c r="VI279" s="4"/>
      <c r="VJ279" s="4"/>
      <c r="VK279" s="5"/>
      <c r="VL279" s="6"/>
      <c r="VM279" s="4"/>
      <c r="VN279" s="4"/>
      <c r="VO279" s="4"/>
      <c r="VP279" s="4"/>
      <c r="VQ279" s="4"/>
      <c r="VR279" s="5"/>
      <c r="VS279" s="6"/>
      <c r="VT279" s="4"/>
      <c r="VU279" s="4"/>
      <c r="VV279" s="4"/>
      <c r="VW279" s="4"/>
      <c r="VX279" s="4"/>
      <c r="VY279" s="5"/>
      <c r="VZ279" s="6" t="s">
        <v>568</v>
      </c>
      <c r="WA279" s="4" t="s">
        <v>569</v>
      </c>
      <c r="WB279" s="4"/>
      <c r="WC279" s="4"/>
      <c r="WD279" s="4"/>
      <c r="WE279" s="4"/>
      <c r="WF279" s="5"/>
      <c r="WG279" s="6"/>
      <c r="WH279" s="4"/>
      <c r="WI279" s="4"/>
      <c r="WJ279" s="4"/>
      <c r="WK279" s="4"/>
      <c r="WL279" s="4"/>
      <c r="WM279" s="5"/>
      <c r="WN279" s="6"/>
      <c r="WO279" s="4"/>
      <c r="WP279" s="4"/>
      <c r="WQ279" s="4"/>
      <c r="WR279" s="4"/>
      <c r="WS279" s="4"/>
      <c r="WT279" s="5"/>
      <c r="WU279" s="6"/>
      <c r="WV279" s="4"/>
      <c r="WW279" s="4"/>
      <c r="WX279" s="4"/>
      <c r="WY279" s="4"/>
      <c r="WZ279" s="4"/>
      <c r="XA279" s="5"/>
      <c r="XB279" s="6"/>
      <c r="XC279" s="4"/>
      <c r="XD279" s="4"/>
      <c r="XE279" s="4"/>
      <c r="XF279" s="4"/>
      <c r="XG279" s="4"/>
      <c r="XH279" s="5"/>
      <c r="XI279" s="6"/>
      <c r="XJ279" s="4"/>
      <c r="XK279" s="4"/>
      <c r="XL279" s="4"/>
      <c r="XM279" s="4"/>
      <c r="XN279" s="4"/>
      <c r="XO279" s="5"/>
      <c r="XP279" s="6"/>
      <c r="XQ279" s="4"/>
      <c r="XR279" s="4"/>
      <c r="XS279" s="4"/>
      <c r="XT279" s="4"/>
      <c r="XU279" s="4"/>
      <c r="XV279" s="5"/>
      <c r="XW279" s="6"/>
      <c r="XX279" s="4"/>
      <c r="XY279" s="4"/>
      <c r="XZ279" s="4"/>
      <c r="YA279" s="4"/>
      <c r="YB279" s="4"/>
      <c r="YC279" s="5"/>
      <c r="YD279" s="6"/>
      <c r="YE279" s="4"/>
      <c r="YF279" s="4"/>
      <c r="YG279" s="4"/>
      <c r="YH279" s="4"/>
      <c r="YI279" s="4"/>
      <c r="YJ279" s="5"/>
      <c r="YK279" s="6"/>
      <c r="YL279" s="4"/>
      <c r="YM279" s="4"/>
      <c r="YN279" s="4"/>
      <c r="YO279" s="4"/>
      <c r="YP279" s="4"/>
      <c r="YQ279" s="5"/>
      <c r="YR279" s="6"/>
      <c r="YS279" s="4"/>
      <c r="YT279" s="4"/>
      <c r="YU279" s="4"/>
      <c r="YV279" s="4"/>
      <c r="YW279" s="4"/>
      <c r="YX279" s="5"/>
      <c r="YY279" s="6"/>
      <c r="YZ279" s="4"/>
      <c r="ZA279" s="4"/>
      <c r="ZB279" s="4"/>
      <c r="ZC279" s="4"/>
      <c r="ZD279" s="4"/>
      <c r="ZE279" s="5"/>
      <c r="ZF279" s="6"/>
      <c r="ZG279" s="4"/>
      <c r="ZH279" s="4"/>
      <c r="ZI279" s="4"/>
      <c r="ZJ279" s="4"/>
      <c r="ZK279" s="4"/>
      <c r="ZL279" s="5"/>
      <c r="ZM279" s="6"/>
      <c r="ZN279" s="4"/>
      <c r="ZO279" s="4"/>
      <c r="ZP279" s="4"/>
      <c r="ZQ279" s="4"/>
      <c r="ZR279" s="4"/>
      <c r="ZS279" s="5"/>
      <c r="ZT279" s="6"/>
      <c r="ZU279" s="4"/>
      <c r="ZV279" s="4"/>
      <c r="ZW279" s="4"/>
      <c r="ZX279" s="4"/>
      <c r="ZY279" s="4"/>
      <c r="ZZ279" s="5"/>
      <c r="AAA279" s="6"/>
      <c r="AAB279" s="4"/>
      <c r="AAC279" s="4"/>
      <c r="AAD279" s="4"/>
      <c r="AAE279" s="4"/>
      <c r="AAF279" s="4"/>
      <c r="AAG279" s="5"/>
      <c r="AAH279" s="6"/>
      <c r="AAI279" s="4"/>
      <c r="AAJ279" s="4"/>
      <c r="AAK279" s="4"/>
      <c r="AAL279" s="4"/>
      <c r="AAM279" s="4"/>
      <c r="AAN279" s="5"/>
      <c r="AAO279" s="6"/>
      <c r="AAP279" s="4"/>
      <c r="AAQ279" s="4"/>
      <c r="AAR279" s="4"/>
      <c r="AAS279" s="4"/>
      <c r="AAT279" s="4"/>
      <c r="AAU279" s="5"/>
      <c r="AAV279" s="6"/>
      <c r="AAW279" s="4"/>
      <c r="AAX279" s="4"/>
      <c r="AAY279" s="4"/>
      <c r="AAZ279" s="4"/>
      <c r="ABA279" s="4"/>
      <c r="ABB279" s="5"/>
      <c r="ABC279" s="6"/>
      <c r="ABD279" s="4"/>
      <c r="ABE279" s="4"/>
      <c r="ABF279" s="4"/>
      <c r="ABG279" s="4"/>
      <c r="ABH279" s="4"/>
      <c r="ABI279" s="5"/>
      <c r="ABJ279" s="6"/>
      <c r="ABK279" s="4"/>
      <c r="ABL279" s="4"/>
      <c r="ABM279" s="4"/>
      <c r="ABN279" s="4"/>
      <c r="ABO279" s="4"/>
      <c r="ABP279" s="5"/>
      <c r="ABQ279" s="6"/>
      <c r="ABR279" s="4"/>
      <c r="ABS279" s="4"/>
      <c r="ABT279" s="4"/>
      <c r="ABU279" s="4"/>
      <c r="ABV279" s="4"/>
      <c r="ABW279" s="5"/>
      <c r="ABX279" s="6"/>
      <c r="ABY279" s="4"/>
      <c r="ABZ279" s="4"/>
      <c r="ACA279" s="4"/>
      <c r="ACB279" s="4"/>
      <c r="ACC279" s="4"/>
      <c r="ACD279" s="5"/>
      <c r="ACE279" s="6"/>
      <c r="ACF279" s="4"/>
      <c r="ACG279" s="4"/>
      <c r="ACH279" s="4"/>
      <c r="ACI279" s="4"/>
      <c r="ACJ279" s="4"/>
      <c r="ACK279" s="5"/>
      <c r="ACL279" s="6"/>
      <c r="ACM279" s="4"/>
      <c r="ACN279" s="4"/>
      <c r="ACO279" s="4"/>
      <c r="ACP279" s="4"/>
      <c r="ACQ279" s="4"/>
      <c r="ACR279" s="5"/>
      <c r="ACS279" s="6"/>
      <c r="ACT279" s="4"/>
      <c r="ACU279" s="4"/>
      <c r="ACV279" s="4"/>
      <c r="ACW279" s="4"/>
      <c r="ACX279" s="4"/>
      <c r="ACY279" s="5"/>
      <c r="ADN279" t="s">
        <v>560</v>
      </c>
    </row>
    <row r="280" spans="1:833" x14ac:dyDescent="0.25">
      <c r="B280" s="30"/>
      <c r="J280" s="12"/>
      <c r="K280" s="12"/>
      <c r="L280" s="12"/>
      <c r="LL280" s="6"/>
      <c r="LM280" s="4"/>
      <c r="LN280" s="4"/>
      <c r="LO280" s="4"/>
      <c r="LP280" s="4"/>
      <c r="LQ280" s="4"/>
      <c r="LR280" s="5"/>
      <c r="LS280" s="6"/>
      <c r="LT280" s="4"/>
      <c r="LU280" s="4"/>
      <c r="LV280" s="4"/>
      <c r="LW280" s="4"/>
      <c r="LX280" s="4"/>
      <c r="LY280" s="5"/>
      <c r="LZ280" s="6" t="s">
        <v>570</v>
      </c>
      <c r="MA280" s="7" t="s">
        <v>2983</v>
      </c>
      <c r="MB280" s="7" t="s">
        <v>1739</v>
      </c>
      <c r="MC280" s="4"/>
      <c r="MD280" s="4">
        <v>2004</v>
      </c>
      <c r="ME280" s="4"/>
      <c r="MF280" s="4" t="s">
        <v>611</v>
      </c>
      <c r="MG280" s="5" t="s">
        <v>559</v>
      </c>
      <c r="MH280" s="6"/>
      <c r="MI280" s="4"/>
      <c r="MJ280" s="4"/>
      <c r="MK280" s="4"/>
      <c r="ML280" s="4"/>
      <c r="MM280" s="4"/>
      <c r="MN280" s="5"/>
      <c r="MO280" s="6"/>
      <c r="MP280" s="4"/>
      <c r="MQ280" s="4"/>
      <c r="MR280" s="4"/>
      <c r="MS280" s="4"/>
      <c r="MT280" s="4"/>
      <c r="MU280" s="5"/>
      <c r="MV280" s="6"/>
      <c r="MW280" s="4"/>
      <c r="MX280" s="4"/>
      <c r="MY280" s="4"/>
      <c r="MZ280" s="4"/>
      <c r="NA280" s="4"/>
      <c r="NB280" s="5"/>
      <c r="NC280" s="6"/>
      <c r="ND280" s="4"/>
      <c r="NE280" s="4"/>
      <c r="NF280" s="4"/>
      <c r="NG280" s="4"/>
      <c r="NH280" s="4"/>
      <c r="NI280" s="5"/>
      <c r="NJ280" s="6"/>
      <c r="NK280" s="4"/>
      <c r="NL280" s="4"/>
      <c r="NM280" s="4"/>
      <c r="NN280" s="4"/>
      <c r="NO280" s="4"/>
      <c r="NP280" s="5"/>
      <c r="NQ280" s="6"/>
      <c r="NR280" s="4"/>
      <c r="NS280" s="4"/>
      <c r="NT280" s="4"/>
      <c r="NU280" s="4"/>
      <c r="NV280" s="4"/>
      <c r="NW280" s="5"/>
      <c r="NX280" s="6"/>
      <c r="NY280" s="4"/>
      <c r="NZ280" s="4"/>
      <c r="OA280" s="4"/>
      <c r="OB280" s="4"/>
      <c r="OC280" s="4"/>
      <c r="OD280" s="5"/>
      <c r="OE280" s="6"/>
      <c r="OF280" s="4"/>
      <c r="OG280" s="4"/>
      <c r="OH280" s="4"/>
      <c r="OI280" s="4"/>
      <c r="OJ280" s="4"/>
      <c r="OK280" s="5"/>
      <c r="OL280" s="6"/>
      <c r="OM280" s="4"/>
      <c r="ON280" s="4"/>
      <c r="OO280" s="4"/>
      <c r="OP280" s="4"/>
      <c r="OQ280" s="4"/>
      <c r="OR280" s="5"/>
      <c r="OS280" s="6"/>
      <c r="OT280" s="4"/>
      <c r="OU280" s="4"/>
      <c r="OV280" s="4"/>
      <c r="OW280" s="4"/>
      <c r="OX280" s="4"/>
      <c r="OY280" s="5"/>
      <c r="OZ280" s="6"/>
      <c r="PA280" s="4"/>
      <c r="PB280" s="4"/>
      <c r="PC280" s="4"/>
      <c r="PD280" s="4"/>
      <c r="PE280" s="4"/>
      <c r="PF280" s="5"/>
      <c r="PG280" s="6"/>
      <c r="PH280" s="4"/>
      <c r="PI280" s="4"/>
      <c r="PJ280" s="4"/>
      <c r="PK280" s="4"/>
      <c r="PL280" s="4"/>
      <c r="PM280" s="5"/>
      <c r="PN280" s="6"/>
      <c r="PO280" s="4"/>
      <c r="PP280" s="4"/>
      <c r="PQ280" s="4"/>
      <c r="PR280" s="4"/>
      <c r="PS280" s="4"/>
      <c r="PT280" s="5"/>
      <c r="PU280" s="6"/>
      <c r="PV280" s="4"/>
      <c r="PW280" s="4"/>
      <c r="PX280" s="4"/>
      <c r="PY280" s="4"/>
      <c r="PZ280" s="4"/>
      <c r="QA280" s="5"/>
      <c r="QB280" s="6"/>
      <c r="QC280" s="4"/>
      <c r="QD280" s="4"/>
      <c r="QE280" s="4"/>
      <c r="QF280" s="4"/>
      <c r="QG280" s="4"/>
      <c r="QH280" s="5"/>
      <c r="QI280" s="6"/>
      <c r="QJ280" s="4"/>
      <c r="QK280" s="4"/>
      <c r="QL280" s="4"/>
      <c r="QM280" s="4"/>
      <c r="QN280" s="4"/>
      <c r="QO280" s="5"/>
      <c r="QP280" s="6"/>
      <c r="QQ280" s="4"/>
      <c r="QR280" s="4"/>
      <c r="QS280" s="4"/>
      <c r="QT280" s="4"/>
      <c r="QU280" s="4"/>
      <c r="QV280" s="5"/>
      <c r="QW280" s="6"/>
      <c r="QX280" s="4"/>
      <c r="QY280" s="4"/>
      <c r="QZ280" s="4"/>
      <c r="RA280" s="4"/>
      <c r="RB280" s="4"/>
      <c r="RC280" s="5"/>
      <c r="RD280" s="6"/>
      <c r="RE280" s="4"/>
      <c r="RF280" s="4"/>
      <c r="RG280" s="4"/>
      <c r="RH280" s="4"/>
      <c r="RI280" s="4"/>
      <c r="RJ280" s="5"/>
      <c r="RK280" s="6"/>
      <c r="RL280" s="4"/>
      <c r="RM280" s="4"/>
      <c r="RN280" s="4"/>
      <c r="RO280" s="4"/>
      <c r="RP280" s="4"/>
      <c r="RQ280" s="5"/>
      <c r="RR280" s="6"/>
      <c r="RS280" s="4"/>
      <c r="RT280" s="4"/>
      <c r="RU280" s="4"/>
      <c r="RV280" s="4"/>
      <c r="RW280" s="4"/>
      <c r="RX280" s="5"/>
      <c r="RY280" s="6"/>
      <c r="RZ280" s="4"/>
      <c r="SA280" s="4"/>
      <c r="SB280" s="4"/>
      <c r="SC280" s="4"/>
      <c r="SD280" s="4"/>
      <c r="SE280" s="5"/>
      <c r="SF280" s="6"/>
      <c r="SG280" s="4"/>
      <c r="SH280" s="4"/>
      <c r="SI280" s="4"/>
      <c r="SJ280" s="4"/>
      <c r="SK280" s="4"/>
      <c r="SL280" s="5"/>
      <c r="SM280" s="6"/>
      <c r="SN280" s="4"/>
      <c r="SO280" s="4"/>
      <c r="SP280" s="4"/>
      <c r="SQ280" s="4"/>
      <c r="SR280" s="4"/>
      <c r="SS280" s="5"/>
      <c r="ST280" s="6"/>
      <c r="SU280" s="4"/>
      <c r="SV280" s="4"/>
      <c r="SW280" s="4"/>
      <c r="SX280" s="4"/>
      <c r="SY280" s="4"/>
      <c r="SZ280" s="5"/>
      <c r="TA280" s="6"/>
      <c r="TB280" s="4"/>
      <c r="TC280" s="4"/>
      <c r="TD280" s="4"/>
      <c r="TE280" s="4"/>
      <c r="TF280" s="4"/>
      <c r="TG280" s="5"/>
      <c r="TH280" s="6"/>
      <c r="TI280" s="4"/>
      <c r="TJ280" s="4"/>
      <c r="TK280" s="4"/>
      <c r="TL280" s="4"/>
      <c r="TM280" s="4"/>
      <c r="TN280" s="5"/>
      <c r="TO280" s="6"/>
      <c r="TP280" s="4"/>
      <c r="TQ280" s="4"/>
      <c r="TR280" s="4"/>
      <c r="TS280" s="4"/>
      <c r="TT280" s="4"/>
      <c r="TU280" s="5"/>
      <c r="TV280" s="6"/>
      <c r="TW280" s="4"/>
      <c r="TX280" s="4"/>
      <c r="TY280" s="4"/>
      <c r="TZ280" s="4"/>
      <c r="UA280" s="4"/>
      <c r="UB280" s="5"/>
      <c r="UC280" s="6"/>
      <c r="UD280" s="4"/>
      <c r="UE280" s="4"/>
      <c r="UF280" s="4"/>
      <c r="UG280" s="4"/>
      <c r="UH280" s="4"/>
      <c r="UI280" s="5"/>
      <c r="UJ280" s="6"/>
      <c r="UK280" s="4"/>
      <c r="UL280" s="4"/>
      <c r="UM280" s="4"/>
      <c r="UN280" s="4"/>
      <c r="UO280" s="4"/>
      <c r="UP280" s="5"/>
      <c r="UQ280" s="6"/>
      <c r="UR280" s="4"/>
      <c r="US280" s="4"/>
      <c r="UT280" s="4"/>
      <c r="UU280" s="4"/>
      <c r="UV280" s="4"/>
      <c r="UW280" s="5"/>
      <c r="UX280" s="6"/>
      <c r="UY280" s="4"/>
      <c r="UZ280" s="4"/>
      <c r="VA280" s="4"/>
      <c r="VB280" s="4"/>
      <c r="VC280" s="4"/>
      <c r="VD280" s="5"/>
      <c r="VE280" s="6"/>
      <c r="VF280" s="4"/>
      <c r="VG280" s="4"/>
      <c r="VH280" s="4"/>
      <c r="VI280" s="4"/>
      <c r="VJ280" s="4"/>
      <c r="VK280" s="5"/>
      <c r="VL280" s="6"/>
      <c r="VM280" s="4"/>
      <c r="VN280" s="4"/>
      <c r="VO280" s="4"/>
      <c r="VP280" s="4"/>
      <c r="VQ280" s="4"/>
      <c r="VR280" s="5"/>
      <c r="VS280" s="6"/>
      <c r="VT280" s="4"/>
      <c r="VU280" s="4"/>
      <c r="VV280" s="4"/>
      <c r="VW280" s="4"/>
      <c r="VX280" s="4"/>
      <c r="VY280" s="5"/>
      <c r="VZ280" s="6"/>
      <c r="WA280" s="4"/>
      <c r="WB280" s="4"/>
      <c r="WC280" s="4"/>
      <c r="WD280" s="4"/>
      <c r="WE280" s="4"/>
      <c r="WF280" s="5"/>
      <c r="WG280" s="6"/>
      <c r="WH280" s="4"/>
      <c r="WI280" s="4"/>
      <c r="WJ280" s="4"/>
      <c r="WK280" s="4"/>
      <c r="WL280" s="4"/>
      <c r="WM280" s="5"/>
      <c r="WN280" s="6"/>
      <c r="WO280" s="4"/>
      <c r="WP280" s="4"/>
      <c r="WQ280" s="4"/>
      <c r="WR280" s="4"/>
      <c r="WS280" s="4"/>
      <c r="WT280" s="5"/>
      <c r="WU280" s="6"/>
      <c r="WV280" s="4"/>
      <c r="WW280" s="4"/>
      <c r="WX280" s="4"/>
      <c r="WY280" s="4"/>
      <c r="WZ280" s="4"/>
      <c r="XA280" s="5"/>
      <c r="XB280" s="6"/>
      <c r="XC280" s="4"/>
      <c r="XD280" s="4"/>
      <c r="XE280" s="4"/>
      <c r="XF280" s="4"/>
      <c r="XG280" s="4"/>
      <c r="XH280" s="5"/>
      <c r="XI280" s="6"/>
      <c r="XJ280" s="4"/>
      <c r="XK280" s="4"/>
      <c r="XL280" s="4"/>
      <c r="XM280" s="4"/>
      <c r="XN280" s="4"/>
      <c r="XO280" s="5"/>
      <c r="XP280" s="6"/>
      <c r="XQ280" s="4"/>
      <c r="XR280" s="4"/>
      <c r="XS280" s="4"/>
      <c r="XT280" s="4"/>
      <c r="XU280" s="4"/>
      <c r="XV280" s="5"/>
      <c r="XW280" s="6"/>
      <c r="XX280" s="4"/>
      <c r="XY280" s="4"/>
      <c r="XZ280" s="4"/>
      <c r="YA280" s="4"/>
      <c r="YB280" s="4"/>
      <c r="YC280" s="5"/>
      <c r="YD280" s="6"/>
      <c r="YE280" s="4"/>
      <c r="YF280" s="4"/>
      <c r="YG280" s="4"/>
      <c r="YH280" s="4"/>
      <c r="YI280" s="4"/>
      <c r="YJ280" s="5"/>
      <c r="YK280" s="6"/>
      <c r="YL280" s="4"/>
      <c r="YM280" s="4"/>
      <c r="YN280" s="4"/>
      <c r="YO280" s="4"/>
      <c r="YP280" s="4"/>
      <c r="YQ280" s="5"/>
      <c r="YR280" s="6"/>
      <c r="YS280" s="4"/>
      <c r="YT280" s="4"/>
      <c r="YU280" s="4"/>
      <c r="YV280" s="4"/>
      <c r="YW280" s="4"/>
      <c r="YX280" s="5"/>
      <c r="YY280" s="6"/>
      <c r="YZ280" s="4"/>
      <c r="ZA280" s="4"/>
      <c r="ZB280" s="4"/>
      <c r="ZC280" s="4"/>
      <c r="ZD280" s="4"/>
      <c r="ZE280" s="5"/>
      <c r="ZF280" s="6"/>
      <c r="ZG280" s="4"/>
      <c r="ZH280" s="4"/>
      <c r="ZI280" s="4"/>
      <c r="ZJ280" s="4"/>
      <c r="ZK280" s="4"/>
      <c r="ZL280" s="5"/>
      <c r="ZM280" s="6"/>
      <c r="ZN280" s="4"/>
      <c r="ZO280" s="4"/>
      <c r="ZP280" s="4"/>
      <c r="ZQ280" s="4"/>
      <c r="ZR280" s="4"/>
      <c r="ZS280" s="5"/>
      <c r="ZT280" s="6"/>
      <c r="ZU280" s="4"/>
      <c r="ZV280" s="4"/>
      <c r="ZW280" s="4"/>
      <c r="ZX280" s="4"/>
      <c r="ZY280" s="4"/>
      <c r="ZZ280" s="5"/>
      <c r="AAA280" s="6"/>
      <c r="AAB280" s="4"/>
      <c r="AAC280" s="4"/>
      <c r="AAD280" s="4"/>
      <c r="AAE280" s="4"/>
      <c r="AAF280" s="4"/>
      <c r="AAG280" s="5"/>
      <c r="AAH280" s="6"/>
      <c r="AAI280" s="4"/>
      <c r="AAJ280" s="4"/>
      <c r="AAK280" s="4"/>
      <c r="AAL280" s="4"/>
      <c r="AAM280" s="4"/>
      <c r="AAN280" s="5"/>
      <c r="AAO280" s="6"/>
      <c r="AAP280" s="4"/>
      <c r="AAQ280" s="4"/>
      <c r="AAR280" s="4"/>
      <c r="AAS280" s="4"/>
      <c r="AAT280" s="4"/>
      <c r="AAU280" s="5"/>
      <c r="AAV280" s="6"/>
      <c r="AAW280" s="4"/>
      <c r="AAX280" s="4"/>
      <c r="AAY280" s="4"/>
      <c r="AAZ280" s="4"/>
      <c r="ABA280" s="4"/>
      <c r="ABB280" s="5"/>
      <c r="ABC280" s="6"/>
      <c r="ABD280" s="4"/>
      <c r="ABE280" s="4"/>
      <c r="ABF280" s="4"/>
      <c r="ABG280" s="4"/>
      <c r="ABH280" s="4"/>
      <c r="ABI280" s="5"/>
      <c r="ABJ280" s="6"/>
      <c r="ABK280" s="4"/>
      <c r="ABL280" s="4"/>
      <c r="ABM280" s="4"/>
      <c r="ABN280" s="4"/>
      <c r="ABO280" s="4"/>
      <c r="ABP280" s="5"/>
      <c r="ABQ280" s="6"/>
      <c r="ABR280" s="4"/>
      <c r="ABS280" s="4"/>
      <c r="ABT280" s="4"/>
      <c r="ABU280" s="4"/>
      <c r="ABV280" s="4"/>
      <c r="ABW280" s="5"/>
      <c r="ABX280" s="6"/>
      <c r="ABY280" s="4"/>
      <c r="ABZ280" s="4"/>
      <c r="ACA280" s="4"/>
      <c r="ACB280" s="4"/>
      <c r="ACC280" s="4"/>
      <c r="ACD280" s="5"/>
      <c r="ACE280" s="6"/>
      <c r="ACF280" s="4"/>
      <c r="ACG280" s="4"/>
      <c r="ACH280" s="4"/>
      <c r="ACI280" s="4"/>
      <c r="ACJ280" s="4"/>
      <c r="ACK280" s="5"/>
      <c r="ACL280" s="6"/>
      <c r="ACM280" s="4"/>
      <c r="ACN280" s="4"/>
      <c r="ACO280" s="4"/>
      <c r="ACP280" s="4"/>
      <c r="ACQ280" s="4"/>
      <c r="ACR280" s="5"/>
      <c r="ACS280" s="6"/>
      <c r="ACT280" s="4"/>
      <c r="ACU280" s="4"/>
      <c r="ACV280" s="4"/>
      <c r="ACW280" s="4"/>
      <c r="ACX280" s="4"/>
      <c r="ACY280" s="5"/>
    </row>
    <row r="281" spans="1:833" x14ac:dyDescent="0.25">
      <c r="B281" s="49">
        <v>7093725</v>
      </c>
      <c r="C281" s="57">
        <v>44</v>
      </c>
      <c r="D281" t="s">
        <v>2121</v>
      </c>
      <c r="E281" t="s">
        <v>501</v>
      </c>
      <c r="F281" s="23">
        <v>0</v>
      </c>
      <c r="J281" s="12"/>
      <c r="K281" s="12"/>
      <c r="L281" s="12"/>
      <c r="M281">
        <v>1</v>
      </c>
      <c r="N281" s="17">
        <v>39345</v>
      </c>
      <c r="O281" t="s">
        <v>496</v>
      </c>
      <c r="P281" t="s">
        <v>497</v>
      </c>
      <c r="AQ281">
        <v>1</v>
      </c>
      <c r="BD281">
        <v>1</v>
      </c>
      <c r="FN281">
        <v>1</v>
      </c>
      <c r="LL281" s="6"/>
      <c r="LM281" s="4"/>
      <c r="LN281" s="4"/>
      <c r="LO281" s="4"/>
      <c r="LP281" s="4"/>
      <c r="LQ281" s="4"/>
      <c r="LR281" s="5"/>
      <c r="LS281" s="6"/>
      <c r="LT281" s="4"/>
      <c r="LU281" s="4"/>
      <c r="LV281" s="4"/>
      <c r="LW281" s="4"/>
      <c r="LX281" s="4"/>
      <c r="LY281" s="5"/>
      <c r="LZ281" s="6" t="s">
        <v>2983</v>
      </c>
      <c r="MA281" s="7" t="s">
        <v>2983</v>
      </c>
      <c r="MB281" s="7" t="s">
        <v>2012</v>
      </c>
      <c r="MC281" s="7" t="s">
        <v>2702</v>
      </c>
      <c r="MD281" s="8">
        <v>39341</v>
      </c>
      <c r="ME281" s="8">
        <v>39342</v>
      </c>
      <c r="MF281" s="8" t="s">
        <v>611</v>
      </c>
      <c r="MG281" s="5" t="s">
        <v>498</v>
      </c>
      <c r="MH281" s="6"/>
      <c r="MI281" s="4"/>
      <c r="MJ281" s="4"/>
      <c r="MK281" s="4"/>
      <c r="ML281" s="4"/>
      <c r="MM281" s="4"/>
      <c r="MN281" s="5"/>
      <c r="MO281" s="6"/>
      <c r="MP281" s="4"/>
      <c r="MQ281" s="4"/>
      <c r="MR281" s="4"/>
      <c r="MS281" s="4"/>
      <c r="MT281" s="4"/>
      <c r="MU281" s="5"/>
      <c r="MV281" s="6"/>
      <c r="MW281" s="4"/>
      <c r="MX281" s="4"/>
      <c r="MY281" s="4"/>
      <c r="MZ281" s="4"/>
      <c r="NA281" s="4"/>
      <c r="NB281" s="5"/>
      <c r="NC281" s="6"/>
      <c r="ND281" s="4"/>
      <c r="NE281" s="4"/>
      <c r="NF281" s="4"/>
      <c r="NG281" s="4"/>
      <c r="NH281" s="4"/>
      <c r="NI281" s="5"/>
      <c r="NJ281" s="6"/>
      <c r="NK281" s="4"/>
      <c r="NL281" s="4"/>
      <c r="NM281" s="4"/>
      <c r="NN281" s="4"/>
      <c r="NO281" s="4"/>
      <c r="NP281" s="5"/>
      <c r="NQ281" s="6"/>
      <c r="NR281" s="4"/>
      <c r="NS281" s="4"/>
      <c r="NT281" s="4"/>
      <c r="NU281" s="4"/>
      <c r="NV281" s="4"/>
      <c r="NW281" s="5"/>
      <c r="NX281" s="6"/>
      <c r="NY281" s="4"/>
      <c r="NZ281" s="4"/>
      <c r="OA281" s="4"/>
      <c r="OB281" s="4"/>
      <c r="OC281" s="4"/>
      <c r="OD281" s="5"/>
      <c r="OE281" s="6"/>
      <c r="OF281" s="4"/>
      <c r="OG281" s="4"/>
      <c r="OH281" s="4"/>
      <c r="OI281" s="4"/>
      <c r="OJ281" s="4"/>
      <c r="OK281" s="5"/>
      <c r="OL281" s="6"/>
      <c r="OM281" s="4"/>
      <c r="ON281" s="4"/>
      <c r="OO281" s="4"/>
      <c r="OP281" s="4"/>
      <c r="OQ281" s="4"/>
      <c r="OR281" s="5"/>
      <c r="OS281" s="6"/>
      <c r="OT281" s="4"/>
      <c r="OU281" s="4"/>
      <c r="OV281" s="4"/>
      <c r="OW281" s="4"/>
      <c r="OX281" s="4"/>
      <c r="OY281" s="5"/>
      <c r="OZ281" s="6" t="s">
        <v>571</v>
      </c>
      <c r="PA281" s="4" t="s">
        <v>572</v>
      </c>
      <c r="PB281" s="4" t="s">
        <v>573</v>
      </c>
      <c r="PC281" s="7" t="s">
        <v>2771</v>
      </c>
      <c r="PD281" s="8">
        <v>39344</v>
      </c>
      <c r="PE281" s="8">
        <v>39347</v>
      </c>
      <c r="PF281" s="5" t="s">
        <v>499</v>
      </c>
      <c r="PG281" s="6"/>
      <c r="PH281" s="4"/>
      <c r="PI281" s="4"/>
      <c r="PJ281" s="4"/>
      <c r="PK281" s="4"/>
      <c r="PL281" s="4"/>
      <c r="PM281" s="5"/>
      <c r="PN281" s="6"/>
      <c r="PO281" s="4"/>
      <c r="PP281" s="4"/>
      <c r="PQ281" s="4"/>
      <c r="PR281" s="4"/>
      <c r="PS281" s="4"/>
      <c r="PT281" s="5"/>
      <c r="PU281" s="6"/>
      <c r="PV281" s="4"/>
      <c r="PW281" s="4"/>
      <c r="PX281" s="4"/>
      <c r="PY281" s="4"/>
      <c r="PZ281" s="4"/>
      <c r="QA281" s="5"/>
      <c r="QB281" s="6"/>
      <c r="QC281" s="4"/>
      <c r="QD281" s="4"/>
      <c r="QE281" s="4"/>
      <c r="QF281" s="4"/>
      <c r="QG281" s="4"/>
      <c r="QH281" s="5"/>
      <c r="QI281" s="6"/>
      <c r="QJ281" s="4"/>
      <c r="QK281" s="4"/>
      <c r="QL281" s="4"/>
      <c r="QM281" s="4"/>
      <c r="QN281" s="4"/>
      <c r="QO281" s="5"/>
      <c r="QP281" s="6"/>
      <c r="QQ281" s="4"/>
      <c r="QR281" s="4"/>
      <c r="QS281" s="4"/>
      <c r="QT281" s="4"/>
      <c r="QU281" s="4"/>
      <c r="QV281" s="5"/>
      <c r="QW281" s="6"/>
      <c r="QX281" s="4"/>
      <c r="QY281" s="4"/>
      <c r="QZ281" s="4"/>
      <c r="RA281" s="4"/>
      <c r="RB281" s="4"/>
      <c r="RC281" s="5"/>
      <c r="RD281" s="6"/>
      <c r="RE281" s="4"/>
      <c r="RF281" s="4"/>
      <c r="RG281" s="4"/>
      <c r="RH281" s="4"/>
      <c r="RI281" s="4"/>
      <c r="RJ281" s="5"/>
      <c r="RK281" s="6"/>
      <c r="RL281" s="4"/>
      <c r="RM281" s="4"/>
      <c r="RN281" s="4"/>
      <c r="RO281" s="4"/>
      <c r="RP281" s="4"/>
      <c r="RQ281" s="5"/>
      <c r="RR281" s="6"/>
      <c r="RS281" s="4"/>
      <c r="RT281" s="4"/>
      <c r="RU281" s="4"/>
      <c r="RV281" s="4"/>
      <c r="RW281" s="4"/>
      <c r="RX281" s="5"/>
      <c r="RY281" s="6"/>
      <c r="RZ281" s="4"/>
      <c r="SA281" s="4"/>
      <c r="SB281" s="4"/>
      <c r="SC281" s="4"/>
      <c r="SD281" s="4"/>
      <c r="SE281" s="5"/>
      <c r="SF281" s="6"/>
      <c r="SG281" s="4"/>
      <c r="SH281" s="4"/>
      <c r="SI281" s="4"/>
      <c r="SJ281" s="4"/>
      <c r="SK281" s="4"/>
      <c r="SL281" s="5"/>
      <c r="SM281" s="6"/>
      <c r="SN281" s="4"/>
      <c r="SO281" s="4"/>
      <c r="SP281" s="4"/>
      <c r="SQ281" s="4"/>
      <c r="SR281" s="4"/>
      <c r="SS281" s="5"/>
      <c r="ST281" s="6"/>
      <c r="SU281" s="4"/>
      <c r="SV281" s="4"/>
      <c r="SW281" s="4"/>
      <c r="SX281" s="4"/>
      <c r="SY281" s="4"/>
      <c r="SZ281" s="5"/>
      <c r="TA281" s="6"/>
      <c r="TB281" s="4"/>
      <c r="TC281" s="4"/>
      <c r="TD281" s="4"/>
      <c r="TE281" s="4"/>
      <c r="TF281" s="4"/>
      <c r="TG281" s="5"/>
      <c r="TH281" s="6"/>
      <c r="TI281" s="4"/>
      <c r="TJ281" s="4"/>
      <c r="TK281" s="4"/>
      <c r="TL281" s="4"/>
      <c r="TM281" s="4"/>
      <c r="TN281" s="5"/>
      <c r="TO281" s="6"/>
      <c r="TP281" s="4"/>
      <c r="TQ281" s="4"/>
      <c r="TR281" s="4"/>
      <c r="TS281" s="4"/>
      <c r="TT281" s="4"/>
      <c r="TU281" s="5"/>
      <c r="TV281" s="6"/>
      <c r="TW281" s="4"/>
      <c r="TX281" s="4"/>
      <c r="TY281" s="4"/>
      <c r="TZ281" s="4"/>
      <c r="UA281" s="4"/>
      <c r="UB281" s="5"/>
      <c r="UC281" s="6"/>
      <c r="UD281" s="4"/>
      <c r="UE281" s="4"/>
      <c r="UF281" s="4"/>
      <c r="UG281" s="4"/>
      <c r="UH281" s="4"/>
      <c r="UI281" s="5"/>
      <c r="UJ281" s="6"/>
      <c r="UK281" s="4"/>
      <c r="UL281" s="4"/>
      <c r="UM281" s="4"/>
      <c r="UN281" s="4"/>
      <c r="UO281" s="4"/>
      <c r="UP281" s="5"/>
      <c r="UQ281" s="6"/>
      <c r="UR281" s="4"/>
      <c r="US281" s="4"/>
      <c r="UT281" s="4"/>
      <c r="UU281" s="4"/>
      <c r="UV281" s="4"/>
      <c r="UW281" s="5"/>
      <c r="UX281" s="6"/>
      <c r="UY281" s="4"/>
      <c r="UZ281" s="4"/>
      <c r="VA281" s="4"/>
      <c r="VB281" s="4"/>
      <c r="VC281" s="4"/>
      <c r="VD281" s="5"/>
      <c r="VE281" s="6"/>
      <c r="VF281" s="4"/>
      <c r="VG281" s="4"/>
      <c r="VH281" s="4"/>
      <c r="VI281" s="4"/>
      <c r="VJ281" s="4"/>
      <c r="VK281" s="5"/>
      <c r="VL281" s="6"/>
      <c r="VM281" s="4"/>
      <c r="VN281" s="4"/>
      <c r="VO281" s="4"/>
      <c r="VP281" s="4"/>
      <c r="VQ281" s="4"/>
      <c r="VR281" s="5"/>
      <c r="VS281" s="6"/>
      <c r="VT281" s="4"/>
      <c r="VU281" s="4"/>
      <c r="VV281" s="4"/>
      <c r="VW281" s="4"/>
      <c r="VX281" s="4"/>
      <c r="VY281" s="5"/>
      <c r="VZ281" s="6"/>
      <c r="WA281" s="4"/>
      <c r="WB281" s="4"/>
      <c r="WC281" s="4"/>
      <c r="WD281" s="4"/>
      <c r="WE281" s="4"/>
      <c r="WF281" s="5"/>
      <c r="WG281" s="6"/>
      <c r="WH281" s="4"/>
      <c r="WI281" s="4"/>
      <c r="WJ281" s="4"/>
      <c r="WK281" s="4"/>
      <c r="WL281" s="4"/>
      <c r="WM281" s="5"/>
      <c r="WN281" s="6"/>
      <c r="WO281" s="4"/>
      <c r="WP281" s="4"/>
      <c r="WQ281" s="4"/>
      <c r="WR281" s="4"/>
      <c r="WS281" s="4"/>
      <c r="WT281" s="5"/>
      <c r="WU281" s="6"/>
      <c r="WV281" s="4"/>
      <c r="WW281" s="4"/>
      <c r="WX281" s="4"/>
      <c r="WY281" s="4"/>
      <c r="WZ281" s="4"/>
      <c r="XA281" s="5"/>
      <c r="XB281" s="6"/>
      <c r="XC281" s="4"/>
      <c r="XD281" s="4"/>
      <c r="XE281" s="4"/>
      <c r="XF281" s="4"/>
      <c r="XG281" s="4"/>
      <c r="XH281" s="5"/>
      <c r="XI281" s="6"/>
      <c r="XJ281" s="4"/>
      <c r="XK281" s="4"/>
      <c r="XL281" s="4"/>
      <c r="XM281" s="4"/>
      <c r="XN281" s="4"/>
      <c r="XO281" s="5"/>
      <c r="XP281" s="6"/>
      <c r="XQ281" s="4"/>
      <c r="XR281" s="4"/>
      <c r="XS281" s="4"/>
      <c r="XT281" s="4"/>
      <c r="XU281" s="4"/>
      <c r="XV281" s="5"/>
      <c r="XW281" s="6"/>
      <c r="XX281" s="4"/>
      <c r="XY281" s="4"/>
      <c r="XZ281" s="4"/>
      <c r="YA281" s="4"/>
      <c r="YB281" s="4"/>
      <c r="YC281" s="5"/>
      <c r="YD281" s="6"/>
      <c r="YE281" s="4"/>
      <c r="YF281" s="4"/>
      <c r="YG281" s="4"/>
      <c r="YH281" s="4"/>
      <c r="YI281" s="4"/>
      <c r="YJ281" s="5"/>
      <c r="YK281" s="6"/>
      <c r="YL281" s="4"/>
      <c r="YM281" s="4"/>
      <c r="YN281" s="4"/>
      <c r="YO281" s="4"/>
      <c r="YP281" s="4"/>
      <c r="YQ281" s="5"/>
      <c r="YR281" s="6"/>
      <c r="YS281" s="4"/>
      <c r="YT281" s="4"/>
      <c r="YU281" s="4"/>
      <c r="YV281" s="4"/>
      <c r="YW281" s="4"/>
      <c r="YX281" s="5"/>
      <c r="YY281" s="6"/>
      <c r="YZ281" s="4"/>
      <c r="ZA281" s="4"/>
      <c r="ZB281" s="4"/>
      <c r="ZC281" s="4"/>
      <c r="ZD281" s="4"/>
      <c r="ZE281" s="5"/>
      <c r="ZF281" s="6"/>
      <c r="ZG281" s="4"/>
      <c r="ZH281" s="4"/>
      <c r="ZI281" s="4"/>
      <c r="ZJ281" s="4"/>
      <c r="ZK281" s="4"/>
      <c r="ZL281" s="5"/>
      <c r="ZM281" s="6"/>
      <c r="ZN281" s="4"/>
      <c r="ZO281" s="4"/>
      <c r="ZP281" s="4"/>
      <c r="ZQ281" s="4"/>
      <c r="ZR281" s="4"/>
      <c r="ZS281" s="5"/>
      <c r="ZT281" s="6"/>
      <c r="ZU281" s="4"/>
      <c r="ZV281" s="4"/>
      <c r="ZW281" s="4"/>
      <c r="ZX281" s="4"/>
      <c r="ZY281" s="4"/>
      <c r="ZZ281" s="5"/>
      <c r="AAA281" s="6"/>
      <c r="AAB281" s="4"/>
      <c r="AAC281" s="4"/>
      <c r="AAD281" s="4"/>
      <c r="AAE281" s="4"/>
      <c r="AAF281" s="4"/>
      <c r="AAG281" s="5"/>
      <c r="AAH281" s="6"/>
      <c r="AAI281" s="4"/>
      <c r="AAJ281" s="4"/>
      <c r="AAK281" s="4"/>
      <c r="AAL281" s="4"/>
      <c r="AAM281" s="4"/>
      <c r="AAN281" s="5"/>
      <c r="AAO281" s="6"/>
      <c r="AAP281" s="4"/>
      <c r="AAQ281" s="4"/>
      <c r="AAR281" s="4"/>
      <c r="AAS281" s="4"/>
      <c r="AAT281" s="4"/>
      <c r="AAU281" s="5"/>
      <c r="AAV281" s="6"/>
      <c r="AAW281" s="4"/>
      <c r="AAX281" s="4"/>
      <c r="AAY281" s="4"/>
      <c r="AAZ281" s="4"/>
      <c r="ABA281" s="4"/>
      <c r="ABB281" s="5"/>
      <c r="ABC281" s="6"/>
      <c r="ABD281" s="4"/>
      <c r="ABE281" s="4"/>
      <c r="ABF281" s="4"/>
      <c r="ABG281" s="4"/>
      <c r="ABH281" s="4"/>
      <c r="ABI281" s="5"/>
      <c r="ABJ281" s="6"/>
      <c r="ABK281" s="4"/>
      <c r="ABL281" s="4"/>
      <c r="ABM281" s="4"/>
      <c r="ABN281" s="4"/>
      <c r="ABO281" s="4"/>
      <c r="ABP281" s="5"/>
      <c r="ABQ281" s="6"/>
      <c r="ABR281" s="4"/>
      <c r="ABS281" s="4"/>
      <c r="ABT281" s="4"/>
      <c r="ABU281" s="4"/>
      <c r="ABV281" s="4"/>
      <c r="ABW281" s="5"/>
      <c r="ABX281" s="6"/>
      <c r="ABY281" s="4"/>
      <c r="ABZ281" s="4"/>
      <c r="ACA281" s="4"/>
      <c r="ACB281" s="4"/>
      <c r="ACC281" s="4"/>
      <c r="ACD281" s="5"/>
      <c r="ACE281" s="6"/>
      <c r="ACF281" s="4"/>
      <c r="ACG281" s="4"/>
      <c r="ACH281" s="4"/>
      <c r="ACI281" s="4"/>
      <c r="ACJ281" s="4"/>
      <c r="ACK281" s="5"/>
      <c r="ACL281" s="6"/>
      <c r="ACM281" s="4"/>
      <c r="ACN281" s="4"/>
      <c r="ACO281" s="4"/>
      <c r="ACP281" s="4"/>
      <c r="ACQ281" s="4"/>
      <c r="ACR281" s="5"/>
      <c r="ACS281" s="6"/>
      <c r="ACT281" s="4"/>
      <c r="ACU281" s="4"/>
      <c r="ACV281" s="4"/>
      <c r="ACW281" s="4"/>
      <c r="ACX281" s="4"/>
      <c r="ACY281" s="5"/>
      <c r="ADP281" t="s">
        <v>500</v>
      </c>
      <c r="ADZ281" s="6" t="s">
        <v>254</v>
      </c>
    </row>
    <row r="282" spans="1:833" x14ac:dyDescent="0.25">
      <c r="B282" s="49">
        <v>7126992</v>
      </c>
      <c r="C282" s="57">
        <v>68</v>
      </c>
      <c r="D282" t="s">
        <v>3729</v>
      </c>
      <c r="E282" s="39" t="s">
        <v>257</v>
      </c>
      <c r="F282" s="23">
        <v>1</v>
      </c>
      <c r="H282" s="23" t="s">
        <v>256</v>
      </c>
      <c r="J282" s="12"/>
      <c r="K282" s="12"/>
      <c r="L282" s="12"/>
      <c r="M282">
        <v>1</v>
      </c>
      <c r="LL282" s="6"/>
      <c r="LM282" s="4"/>
      <c r="LN282" s="4"/>
      <c r="LO282" s="4"/>
      <c r="LP282" s="4"/>
      <c r="LQ282" s="4"/>
      <c r="LR282" s="5"/>
      <c r="LS282" s="6"/>
      <c r="LT282" s="4"/>
      <c r="LU282" s="4"/>
      <c r="LV282" s="4"/>
      <c r="LW282" s="4"/>
      <c r="LX282" s="4"/>
      <c r="LY282" s="5"/>
      <c r="LZ282" s="6" t="s">
        <v>574</v>
      </c>
      <c r="MA282" s="7" t="s">
        <v>2375</v>
      </c>
      <c r="MB282" s="4"/>
      <c r="MC282" s="4"/>
      <c r="MD282" s="4"/>
      <c r="ME282" s="4"/>
      <c r="MF282" s="7" t="s">
        <v>611</v>
      </c>
      <c r="MG282" s="5" t="s">
        <v>255</v>
      </c>
      <c r="MH282" s="6"/>
      <c r="MI282" s="4"/>
      <c r="MJ282" s="4"/>
      <c r="MK282" s="4"/>
      <c r="ML282" s="4"/>
      <c r="MM282" s="4"/>
      <c r="MN282" s="5"/>
      <c r="MO282" s="6"/>
      <c r="MP282" s="4"/>
      <c r="MQ282" s="4"/>
      <c r="MR282" s="4"/>
      <c r="MS282" s="4"/>
      <c r="MT282" s="4"/>
      <c r="MU282" s="5"/>
      <c r="MV282" s="6"/>
      <c r="MW282" s="4"/>
      <c r="MX282" s="4"/>
      <c r="MY282" s="4"/>
      <c r="MZ282" s="4"/>
      <c r="NA282" s="4"/>
      <c r="NB282" s="5"/>
      <c r="NC282" s="6"/>
      <c r="ND282" s="4"/>
      <c r="NE282" s="4"/>
      <c r="NF282" s="4"/>
      <c r="NG282" s="4"/>
      <c r="NH282" s="4"/>
      <c r="NI282" s="5"/>
      <c r="NJ282" s="6"/>
      <c r="NK282" s="4"/>
      <c r="NL282" s="4"/>
      <c r="NM282" s="4"/>
      <c r="NN282" s="4"/>
      <c r="NO282" s="4"/>
      <c r="NP282" s="5"/>
      <c r="NQ282" s="6"/>
      <c r="NR282" s="4"/>
      <c r="NS282" s="4"/>
      <c r="NT282" s="4"/>
      <c r="NU282" s="4"/>
      <c r="NV282" s="4"/>
      <c r="NW282" s="5"/>
      <c r="NX282" s="6"/>
      <c r="NY282" s="4"/>
      <c r="NZ282" s="4"/>
      <c r="OA282" s="4"/>
      <c r="OB282" s="4"/>
      <c r="OC282" s="4"/>
      <c r="OD282" s="5"/>
      <c r="OE282" s="6"/>
      <c r="OF282" s="4"/>
      <c r="OG282" s="4"/>
      <c r="OH282" s="4"/>
      <c r="OI282" s="4"/>
      <c r="OJ282" s="4"/>
      <c r="OK282" s="5"/>
      <c r="OL282" s="6"/>
      <c r="OM282" s="4"/>
      <c r="ON282" s="4"/>
      <c r="OO282" s="4"/>
      <c r="OP282" s="4"/>
      <c r="OQ282" s="4"/>
      <c r="OR282" s="5"/>
      <c r="OS282" s="6"/>
      <c r="OT282" s="4"/>
      <c r="OU282" s="4"/>
      <c r="OV282" s="4"/>
      <c r="OW282" s="4"/>
      <c r="OX282" s="4"/>
      <c r="OY282" s="5"/>
      <c r="OZ282" s="6"/>
      <c r="PA282" s="4"/>
      <c r="PB282" s="4"/>
      <c r="PC282" s="4"/>
      <c r="PD282" s="4"/>
      <c r="PE282" s="4"/>
      <c r="PF282" s="5"/>
      <c r="PG282" s="6"/>
      <c r="PH282" s="4"/>
      <c r="PI282" s="4"/>
      <c r="PJ282" s="4"/>
      <c r="PK282" s="4"/>
      <c r="PL282" s="4"/>
      <c r="PM282" s="5"/>
      <c r="PN282" s="6"/>
      <c r="PO282" s="4"/>
      <c r="PP282" s="4"/>
      <c r="PQ282" s="4"/>
      <c r="PR282" s="4"/>
      <c r="PS282" s="4"/>
      <c r="PT282" s="5"/>
      <c r="PU282" s="6"/>
      <c r="PV282" s="4"/>
      <c r="PW282" s="4"/>
      <c r="PX282" s="4"/>
      <c r="PY282" s="4"/>
      <c r="PZ282" s="4"/>
      <c r="QA282" s="5"/>
      <c r="QB282" s="6"/>
      <c r="QC282" s="4"/>
      <c r="QD282" s="4"/>
      <c r="QE282" s="4"/>
      <c r="QF282" s="4"/>
      <c r="QG282" s="4"/>
      <c r="QH282" s="5"/>
      <c r="QI282" s="6"/>
      <c r="QJ282" s="4"/>
      <c r="QK282" s="4"/>
      <c r="QL282" s="4"/>
      <c r="QM282" s="4"/>
      <c r="QN282" s="4"/>
      <c r="QO282" s="5"/>
      <c r="QP282" s="6"/>
      <c r="QQ282" s="4"/>
      <c r="QR282" s="4"/>
      <c r="QS282" s="4"/>
      <c r="QT282" s="4"/>
      <c r="QU282" s="4"/>
      <c r="QV282" s="5"/>
      <c r="QW282" s="6"/>
      <c r="QX282" s="4"/>
      <c r="QY282" s="4"/>
      <c r="QZ282" s="4"/>
      <c r="RA282" s="4"/>
      <c r="RB282" s="4"/>
      <c r="RC282" s="5"/>
      <c r="RD282" s="6"/>
      <c r="RE282" s="4"/>
      <c r="RF282" s="4"/>
      <c r="RG282" s="4"/>
      <c r="RH282" s="4"/>
      <c r="RI282" s="4"/>
      <c r="RJ282" s="5"/>
      <c r="RK282" s="6"/>
      <c r="RL282" s="4"/>
      <c r="RM282" s="4"/>
      <c r="RN282" s="4"/>
      <c r="RO282" s="4"/>
      <c r="RP282" s="4"/>
      <c r="RQ282" s="5"/>
      <c r="RR282" s="6"/>
      <c r="RS282" s="4"/>
      <c r="RT282" s="4"/>
      <c r="RU282" s="4"/>
      <c r="RV282" s="4"/>
      <c r="RW282" s="4"/>
      <c r="RX282" s="5"/>
      <c r="RY282" s="6"/>
      <c r="RZ282" s="4"/>
      <c r="SA282" s="4"/>
      <c r="SB282" s="4"/>
      <c r="SC282" s="4"/>
      <c r="SD282" s="4"/>
      <c r="SE282" s="5"/>
      <c r="SF282" s="6"/>
      <c r="SG282" s="4"/>
      <c r="SH282" s="4"/>
      <c r="SI282" s="4"/>
      <c r="SJ282" s="4"/>
      <c r="SK282" s="4"/>
      <c r="SL282" s="5"/>
      <c r="SM282" s="6"/>
      <c r="SN282" s="4"/>
      <c r="SO282" s="4"/>
      <c r="SP282" s="4"/>
      <c r="SQ282" s="4"/>
      <c r="SR282" s="4"/>
      <c r="SS282" s="5"/>
      <c r="ST282" s="6"/>
      <c r="SU282" s="4"/>
      <c r="SV282" s="4"/>
      <c r="SW282" s="4"/>
      <c r="SX282" s="4"/>
      <c r="SY282" s="4"/>
      <c r="SZ282" s="5"/>
      <c r="TA282" s="6"/>
      <c r="TB282" s="4"/>
      <c r="TC282" s="4"/>
      <c r="TD282" s="4"/>
      <c r="TE282" s="4"/>
      <c r="TF282" s="4"/>
      <c r="TG282" s="5"/>
      <c r="TH282" s="6"/>
      <c r="TI282" s="4"/>
      <c r="TJ282" s="4"/>
      <c r="TK282" s="4"/>
      <c r="TL282" s="4"/>
      <c r="TM282" s="4"/>
      <c r="TN282" s="5"/>
      <c r="TO282" s="6"/>
      <c r="TP282" s="4"/>
      <c r="TQ282" s="4"/>
      <c r="TR282" s="4"/>
      <c r="TS282" s="4"/>
      <c r="TT282" s="4"/>
      <c r="TU282" s="5"/>
      <c r="TV282" s="6"/>
      <c r="TW282" s="4"/>
      <c r="TX282" s="4"/>
      <c r="TY282" s="4"/>
      <c r="TZ282" s="4"/>
      <c r="UA282" s="4"/>
      <c r="UB282" s="5"/>
      <c r="UC282" s="6"/>
      <c r="UD282" s="4"/>
      <c r="UE282" s="4"/>
      <c r="UF282" s="4"/>
      <c r="UG282" s="4"/>
      <c r="UH282" s="4"/>
      <c r="UI282" s="5"/>
      <c r="UJ282" s="6"/>
      <c r="UK282" s="4"/>
      <c r="UL282" s="4"/>
      <c r="UM282" s="4"/>
      <c r="UN282" s="4"/>
      <c r="UO282" s="4"/>
      <c r="UP282" s="5"/>
      <c r="UQ282" s="6"/>
      <c r="UR282" s="4"/>
      <c r="US282" s="4"/>
      <c r="UT282" s="4"/>
      <c r="UU282" s="4"/>
      <c r="UV282" s="4"/>
      <c r="UW282" s="5"/>
      <c r="UX282" s="6"/>
      <c r="UY282" s="4"/>
      <c r="UZ282" s="4"/>
      <c r="VA282" s="4"/>
      <c r="VB282" s="4"/>
      <c r="VC282" s="4"/>
      <c r="VD282" s="5"/>
      <c r="VE282" s="6"/>
      <c r="VF282" s="4"/>
      <c r="VG282" s="4"/>
      <c r="VH282" s="4"/>
      <c r="VI282" s="4"/>
      <c r="VJ282" s="4"/>
      <c r="VK282" s="5"/>
      <c r="VL282" s="6"/>
      <c r="VM282" s="4"/>
      <c r="VN282" s="4"/>
      <c r="VO282" s="4"/>
      <c r="VP282" s="4"/>
      <c r="VQ282" s="4"/>
      <c r="VR282" s="5"/>
      <c r="VS282" s="6"/>
      <c r="VT282" s="4"/>
      <c r="VU282" s="4"/>
      <c r="VV282" s="4"/>
      <c r="VW282" s="4"/>
      <c r="VX282" s="4"/>
      <c r="VY282" s="5"/>
      <c r="VZ282" s="6"/>
      <c r="WA282" s="4"/>
      <c r="WB282" s="4"/>
      <c r="WC282" s="4"/>
      <c r="WD282" s="4"/>
      <c r="WE282" s="4"/>
      <c r="WF282" s="5"/>
      <c r="WG282" s="6"/>
      <c r="WH282" s="4"/>
      <c r="WI282" s="4"/>
      <c r="WJ282" s="4"/>
      <c r="WK282" s="4"/>
      <c r="WL282" s="4"/>
      <c r="WM282" s="5"/>
      <c r="WN282" s="6"/>
      <c r="WO282" s="4"/>
      <c r="WP282" s="4"/>
      <c r="WQ282" s="4"/>
      <c r="WR282" s="4"/>
      <c r="WS282" s="4"/>
      <c r="WT282" s="5"/>
      <c r="WU282" s="6"/>
      <c r="WV282" s="4"/>
      <c r="WW282" s="4"/>
      <c r="WX282" s="4"/>
      <c r="WY282" s="4"/>
      <c r="WZ282" s="4"/>
      <c r="XA282" s="5"/>
      <c r="XB282" s="6"/>
      <c r="XC282" s="4"/>
      <c r="XD282" s="4"/>
      <c r="XE282" s="4"/>
      <c r="XF282" s="4"/>
      <c r="XG282" s="4"/>
      <c r="XH282" s="5"/>
      <c r="XI282" s="6"/>
      <c r="XJ282" s="4"/>
      <c r="XK282" s="4"/>
      <c r="XL282" s="4"/>
      <c r="XM282" s="4"/>
      <c r="XN282" s="4"/>
      <c r="XO282" s="5"/>
      <c r="XP282" s="6"/>
      <c r="XQ282" s="4"/>
      <c r="XR282" s="4"/>
      <c r="XS282" s="4"/>
      <c r="XT282" s="4"/>
      <c r="XU282" s="4"/>
      <c r="XV282" s="5"/>
      <c r="XW282" s="6"/>
      <c r="XX282" s="4"/>
      <c r="XY282" s="4"/>
      <c r="XZ282" s="4"/>
      <c r="YA282" s="4"/>
      <c r="YB282" s="4"/>
      <c r="YC282" s="5"/>
      <c r="YD282" s="6"/>
      <c r="YE282" s="4"/>
      <c r="YF282" s="4"/>
      <c r="YG282" s="4"/>
      <c r="YH282" s="4"/>
      <c r="YI282" s="4"/>
      <c r="YJ282" s="5"/>
      <c r="YK282" s="6"/>
      <c r="YL282" s="4"/>
      <c r="YM282" s="4"/>
      <c r="YN282" s="4"/>
      <c r="YO282" s="4"/>
      <c r="YP282" s="4"/>
      <c r="YQ282" s="5"/>
      <c r="YR282" s="6"/>
      <c r="YS282" s="4"/>
      <c r="YT282" s="4"/>
      <c r="YU282" s="4"/>
      <c r="YV282" s="4"/>
      <c r="YW282" s="4"/>
      <c r="YX282" s="5"/>
      <c r="YY282" s="6"/>
      <c r="YZ282" s="4"/>
      <c r="ZA282" s="4"/>
      <c r="ZB282" s="4"/>
      <c r="ZC282" s="4"/>
      <c r="ZD282" s="4"/>
      <c r="ZE282" s="5"/>
      <c r="ZF282" s="6"/>
      <c r="ZG282" s="4"/>
      <c r="ZH282" s="4"/>
      <c r="ZI282" s="4"/>
      <c r="ZJ282" s="4"/>
      <c r="ZK282" s="4"/>
      <c r="ZL282" s="5"/>
      <c r="ZM282" s="6"/>
      <c r="ZN282" s="4"/>
      <c r="ZO282" s="4"/>
      <c r="ZP282" s="4"/>
      <c r="ZQ282" s="4"/>
      <c r="ZR282" s="4"/>
      <c r="ZS282" s="5"/>
      <c r="ZT282" s="6"/>
      <c r="ZU282" s="4"/>
      <c r="ZV282" s="4"/>
      <c r="ZW282" s="4"/>
      <c r="ZX282" s="4"/>
      <c r="ZY282" s="4"/>
      <c r="ZZ282" s="5"/>
      <c r="AAA282" s="6"/>
      <c r="AAB282" s="4"/>
      <c r="AAC282" s="4"/>
      <c r="AAD282" s="4"/>
      <c r="AAE282" s="4"/>
      <c r="AAF282" s="4"/>
      <c r="AAG282" s="5"/>
      <c r="AAH282" s="6"/>
      <c r="AAI282" s="4"/>
      <c r="AAJ282" s="4"/>
      <c r="AAK282" s="4"/>
      <c r="AAL282" s="4"/>
      <c r="AAM282" s="4"/>
      <c r="AAN282" s="5"/>
      <c r="AAO282" s="6"/>
      <c r="AAP282" s="4"/>
      <c r="AAQ282" s="4"/>
      <c r="AAR282" s="4"/>
      <c r="AAS282" s="4"/>
      <c r="AAT282" s="4"/>
      <c r="AAU282" s="5"/>
      <c r="AAV282" s="6"/>
      <c r="AAW282" s="4"/>
      <c r="AAX282" s="4"/>
      <c r="AAY282" s="4"/>
      <c r="AAZ282" s="4"/>
      <c r="ABA282" s="4"/>
      <c r="ABB282" s="5"/>
      <c r="ABC282" s="6"/>
      <c r="ABD282" s="4"/>
      <c r="ABE282" s="4"/>
      <c r="ABF282" s="4"/>
      <c r="ABG282" s="4"/>
      <c r="ABH282" s="4"/>
      <c r="ABI282" s="5"/>
      <c r="ABJ282" s="6"/>
      <c r="ABK282" s="4"/>
      <c r="ABL282" s="4"/>
      <c r="ABM282" s="4"/>
      <c r="ABN282" s="4"/>
      <c r="ABO282" s="4"/>
      <c r="ABP282" s="5"/>
      <c r="ABQ282" s="6"/>
      <c r="ABR282" s="4"/>
      <c r="ABS282" s="4"/>
      <c r="ABT282" s="4"/>
      <c r="ABU282" s="4"/>
      <c r="ABV282" s="4"/>
      <c r="ABW282" s="5"/>
      <c r="ABX282" s="6"/>
      <c r="ABY282" s="4"/>
      <c r="ABZ282" s="4"/>
      <c r="ACA282" s="4"/>
      <c r="ACB282" s="4"/>
      <c r="ACC282" s="4"/>
      <c r="ACD282" s="5"/>
      <c r="ACE282" s="6"/>
      <c r="ACF282" s="4"/>
      <c r="ACG282" s="4"/>
      <c r="ACH282" s="4"/>
      <c r="ACI282" s="4"/>
      <c r="ACJ282" s="4"/>
      <c r="ACK282" s="5"/>
      <c r="ACL282" s="6"/>
      <c r="ACM282" s="4"/>
      <c r="ACN282" s="4"/>
      <c r="ACO282" s="4"/>
      <c r="ACP282" s="4"/>
      <c r="ACQ282" s="4"/>
      <c r="ACR282" s="5"/>
      <c r="ACS282" s="6"/>
      <c r="ACT282" s="4"/>
      <c r="ACU282" s="4"/>
      <c r="ACV282" s="4"/>
      <c r="ACW282" s="4"/>
      <c r="ACX282" s="4"/>
      <c r="ACY282" s="5"/>
      <c r="ADZ282" s="6" t="s">
        <v>244</v>
      </c>
    </row>
    <row r="283" spans="1:833" x14ac:dyDescent="0.25">
      <c r="B283" s="49">
        <v>8008088</v>
      </c>
      <c r="C283" s="57">
        <v>66</v>
      </c>
      <c r="D283" t="s">
        <v>681</v>
      </c>
      <c r="E283" t="s">
        <v>245</v>
      </c>
      <c r="F283" s="23">
        <v>1</v>
      </c>
      <c r="G283" s="31">
        <v>37653</v>
      </c>
      <c r="H283" s="23" t="s">
        <v>381</v>
      </c>
      <c r="J283" s="12"/>
      <c r="K283" s="12"/>
      <c r="L283" s="12"/>
      <c r="M283">
        <v>1</v>
      </c>
      <c r="N283" s="17">
        <v>37626</v>
      </c>
      <c r="P283" t="s">
        <v>382</v>
      </c>
      <c r="Q283">
        <v>1</v>
      </c>
      <c r="U283">
        <v>1</v>
      </c>
      <c r="V283">
        <v>1</v>
      </c>
      <c r="AB283">
        <v>1</v>
      </c>
      <c r="AG283">
        <v>1</v>
      </c>
      <c r="AI283">
        <v>1</v>
      </c>
      <c r="AL283">
        <v>1</v>
      </c>
      <c r="AM283">
        <v>1</v>
      </c>
      <c r="AN283">
        <v>1</v>
      </c>
      <c r="AO283">
        <v>1</v>
      </c>
      <c r="AW283">
        <v>1</v>
      </c>
      <c r="BA283">
        <v>1</v>
      </c>
      <c r="BF283">
        <v>1</v>
      </c>
      <c r="BH283">
        <v>1</v>
      </c>
      <c r="CA283">
        <v>1</v>
      </c>
      <c r="CP283">
        <v>1</v>
      </c>
      <c r="CV283">
        <v>1</v>
      </c>
      <c r="DM283">
        <v>1</v>
      </c>
      <c r="HR283">
        <v>1</v>
      </c>
      <c r="LL283" s="6"/>
      <c r="LM283" s="4"/>
      <c r="LN283" s="4"/>
      <c r="LO283" s="4"/>
      <c r="LP283" s="4"/>
      <c r="LQ283" s="4"/>
      <c r="LR283" s="5"/>
      <c r="LS283" s="6"/>
      <c r="LT283" s="4"/>
      <c r="LU283" s="4"/>
      <c r="LV283" s="4"/>
      <c r="LW283" s="4"/>
      <c r="LX283" s="4"/>
      <c r="LY283" s="5"/>
      <c r="LZ283" s="6" t="s">
        <v>1154</v>
      </c>
      <c r="MA283" s="7" t="s">
        <v>2525</v>
      </c>
      <c r="MB283" s="7" t="s">
        <v>712</v>
      </c>
      <c r="MC283" s="7" t="s">
        <v>2149</v>
      </c>
      <c r="MD283" s="8">
        <v>37620</v>
      </c>
      <c r="ME283" s="8">
        <v>37622</v>
      </c>
      <c r="MF283" s="8"/>
      <c r="MG283" s="5" t="s">
        <v>383</v>
      </c>
      <c r="MH283" s="6"/>
      <c r="MI283" s="4"/>
      <c r="MJ283" s="4"/>
      <c r="MK283" s="4"/>
      <c r="ML283" s="4"/>
      <c r="MM283" s="4"/>
      <c r="MN283" s="5"/>
      <c r="MO283" s="6" t="s">
        <v>713</v>
      </c>
      <c r="MP283" s="4" t="s">
        <v>714</v>
      </c>
      <c r="MQ283" s="4"/>
      <c r="MR283" s="4" t="s">
        <v>3027</v>
      </c>
      <c r="MS283" s="8">
        <v>37608</v>
      </c>
      <c r="MT283" s="8">
        <v>37608</v>
      </c>
      <c r="MU283" s="5" t="s">
        <v>390</v>
      </c>
      <c r="MV283" s="6"/>
      <c r="MW283" s="4"/>
      <c r="MX283" s="4"/>
      <c r="MY283" s="4"/>
      <c r="MZ283" s="4"/>
      <c r="NA283" s="4"/>
      <c r="NB283" s="5"/>
      <c r="NC283" s="6" t="s">
        <v>2729</v>
      </c>
      <c r="ND283" s="4" t="s">
        <v>2729</v>
      </c>
      <c r="NE283" s="4" t="s">
        <v>523</v>
      </c>
      <c r="NF283" s="7" t="s">
        <v>2771</v>
      </c>
      <c r="NG283" s="8">
        <v>37610</v>
      </c>
      <c r="NH283" s="8">
        <v>37613</v>
      </c>
      <c r="NI283" s="5" t="s">
        <v>265</v>
      </c>
      <c r="NJ283" s="6" t="s">
        <v>2306</v>
      </c>
      <c r="NK283" s="4" t="s">
        <v>2306</v>
      </c>
      <c r="NL283" s="4"/>
      <c r="NM283" s="4" t="s">
        <v>3027</v>
      </c>
      <c r="NN283" s="8">
        <v>33967</v>
      </c>
      <c r="NO283" s="8">
        <v>33967</v>
      </c>
      <c r="NP283" s="5" t="s">
        <v>267</v>
      </c>
      <c r="NQ283" s="6" t="s">
        <v>524</v>
      </c>
      <c r="NR283" s="4" t="s">
        <v>2172</v>
      </c>
      <c r="NS283" s="4"/>
      <c r="NT283" s="4" t="s">
        <v>2702</v>
      </c>
      <c r="NU283" s="8">
        <v>37604</v>
      </c>
      <c r="NV283" s="8">
        <v>37605</v>
      </c>
      <c r="NW283" s="5" t="s">
        <v>269</v>
      </c>
      <c r="NX283" s="6" t="s">
        <v>525</v>
      </c>
      <c r="NY283" s="4" t="s">
        <v>525</v>
      </c>
      <c r="NZ283" s="4"/>
      <c r="OA283" s="4" t="s">
        <v>3027</v>
      </c>
      <c r="OB283" s="8">
        <v>37602</v>
      </c>
      <c r="OC283" s="8">
        <v>37602</v>
      </c>
      <c r="OD283" s="5" t="s">
        <v>270</v>
      </c>
      <c r="OE283" s="6"/>
      <c r="OF283" s="4"/>
      <c r="OG283" s="4"/>
      <c r="OH283" s="4"/>
      <c r="OI283" s="4"/>
      <c r="OJ283" s="4"/>
      <c r="OK283" s="5"/>
      <c r="OL283" s="6"/>
      <c r="OM283" s="4"/>
      <c r="ON283" s="4"/>
      <c r="OO283" s="4"/>
      <c r="OP283" s="4"/>
      <c r="OQ283" s="4"/>
      <c r="OR283" s="5"/>
      <c r="OS283" s="6" t="s">
        <v>657</v>
      </c>
      <c r="OT283" s="4" t="s">
        <v>799</v>
      </c>
      <c r="OU283" s="4"/>
      <c r="OV283" s="4" t="s">
        <v>2702</v>
      </c>
      <c r="OW283" s="8">
        <v>37606</v>
      </c>
      <c r="OX283" s="8">
        <v>37607</v>
      </c>
      <c r="OY283" s="5" t="s">
        <v>271</v>
      </c>
      <c r="OZ283" s="6"/>
      <c r="PA283" s="4"/>
      <c r="PB283" s="4"/>
      <c r="PC283" s="4"/>
      <c r="PD283" s="4"/>
      <c r="PE283" s="4"/>
      <c r="PF283" s="5"/>
      <c r="PG283" s="6"/>
      <c r="PH283" s="4"/>
      <c r="PI283" s="4"/>
      <c r="PJ283" s="4"/>
      <c r="PK283" s="4"/>
      <c r="PL283" s="4"/>
      <c r="PM283" s="5"/>
      <c r="PN283" s="6" t="s">
        <v>800</v>
      </c>
      <c r="PO283" s="4" t="s">
        <v>801</v>
      </c>
      <c r="PP283" s="4"/>
      <c r="PQ283" s="4" t="s">
        <v>2134</v>
      </c>
      <c r="PR283" s="8">
        <v>37606</v>
      </c>
      <c r="PS283" s="8">
        <v>37640</v>
      </c>
      <c r="PT283" s="5" t="s">
        <v>272</v>
      </c>
      <c r="PU283" s="6" t="s">
        <v>802</v>
      </c>
      <c r="PV283" s="4" t="s">
        <v>803</v>
      </c>
      <c r="PW283" s="4"/>
      <c r="PX283" s="4" t="s">
        <v>2771</v>
      </c>
      <c r="PY283" s="8">
        <v>37627</v>
      </c>
      <c r="PZ283" s="8">
        <v>37630</v>
      </c>
      <c r="QA283" s="5" t="s">
        <v>273</v>
      </c>
      <c r="QB283" s="6" t="s">
        <v>2399</v>
      </c>
      <c r="QC283" s="4" t="s">
        <v>804</v>
      </c>
      <c r="QD283" s="4"/>
      <c r="QE283" s="4" t="s">
        <v>805</v>
      </c>
      <c r="QF283" s="8">
        <v>37530</v>
      </c>
      <c r="QG283" s="8">
        <v>37604</v>
      </c>
      <c r="QH283" s="5" t="s">
        <v>274</v>
      </c>
      <c r="QI283" s="6"/>
      <c r="QJ283" s="4"/>
      <c r="QK283" s="4"/>
      <c r="QL283" s="4"/>
      <c r="QM283" s="4"/>
      <c r="QN283" s="4"/>
      <c r="QO283" s="5"/>
      <c r="QP283" s="6"/>
      <c r="QQ283" s="4"/>
      <c r="QR283" s="4"/>
      <c r="QS283" s="4"/>
      <c r="QT283" s="4"/>
      <c r="QU283" s="4"/>
      <c r="QV283" s="5"/>
      <c r="QW283" s="6"/>
      <c r="QX283" s="4"/>
      <c r="QY283" s="4"/>
      <c r="QZ283" s="4"/>
      <c r="RA283" s="4"/>
      <c r="RB283" s="4"/>
      <c r="RC283" s="5"/>
      <c r="RD283" s="6"/>
      <c r="RE283" s="4"/>
      <c r="RF283" s="4"/>
      <c r="RG283" s="4"/>
      <c r="RH283" s="4"/>
      <c r="RI283" s="4"/>
      <c r="RJ283" s="5"/>
      <c r="RK283" s="6"/>
      <c r="RL283" s="4"/>
      <c r="RM283" s="4"/>
      <c r="RN283" s="4"/>
      <c r="RO283" s="4"/>
      <c r="RP283" s="4"/>
      <c r="RQ283" s="5"/>
      <c r="RR283" s="6"/>
      <c r="RS283" s="4"/>
      <c r="RT283" s="4"/>
      <c r="RU283" s="4"/>
      <c r="RV283" s="4"/>
      <c r="RW283" s="4"/>
      <c r="RX283" s="5"/>
      <c r="RY283" s="6"/>
      <c r="RZ283" s="4"/>
      <c r="SA283" s="4"/>
      <c r="SB283" s="4"/>
      <c r="SC283" s="4"/>
      <c r="SD283" s="4"/>
      <c r="SE283" s="5"/>
      <c r="SF283" s="6" t="s">
        <v>806</v>
      </c>
      <c r="SG283" s="4" t="s">
        <v>807</v>
      </c>
      <c r="SH283" s="4"/>
      <c r="SI283" s="4" t="s">
        <v>2149</v>
      </c>
      <c r="SJ283" s="8">
        <v>37622</v>
      </c>
      <c r="SK283" s="8">
        <v>37624</v>
      </c>
      <c r="SL283" s="5" t="s">
        <v>402</v>
      </c>
      <c r="SM283" s="6"/>
      <c r="SN283" s="4"/>
      <c r="SO283" s="4"/>
      <c r="SP283" s="4"/>
      <c r="SQ283" s="4"/>
      <c r="SR283" s="4"/>
      <c r="SS283" s="5"/>
      <c r="ST283" s="6"/>
      <c r="SU283" s="4"/>
      <c r="SV283" s="4"/>
      <c r="SW283" s="4"/>
      <c r="SX283" s="4"/>
      <c r="SY283" s="4"/>
      <c r="SZ283" s="5"/>
      <c r="TA283" s="6"/>
      <c r="TB283" s="4"/>
      <c r="TC283" s="4"/>
      <c r="TD283" s="4"/>
      <c r="TE283" s="4"/>
      <c r="TF283" s="4"/>
      <c r="TG283" s="5"/>
      <c r="TH283" s="6"/>
      <c r="TI283" s="4"/>
      <c r="TJ283" s="4"/>
      <c r="TK283" s="4"/>
      <c r="TL283" s="4"/>
      <c r="TM283" s="4"/>
      <c r="TN283" s="5"/>
      <c r="TO283" s="6"/>
      <c r="TP283" s="4"/>
      <c r="TQ283" s="4"/>
      <c r="TR283" s="4"/>
      <c r="TS283" s="4"/>
      <c r="TT283" s="4"/>
      <c r="TU283" s="5"/>
      <c r="TV283" s="6"/>
      <c r="TW283" s="4"/>
      <c r="TX283" s="4"/>
      <c r="TY283" s="4"/>
      <c r="TZ283" s="4"/>
      <c r="UA283" s="4"/>
      <c r="UB283" s="5"/>
      <c r="UC283" s="6"/>
      <c r="UD283" s="4"/>
      <c r="UE283" s="4"/>
      <c r="UF283" s="4"/>
      <c r="UG283" s="4"/>
      <c r="UH283" s="4"/>
      <c r="UI283" s="5"/>
      <c r="UJ283" s="6" t="s">
        <v>808</v>
      </c>
      <c r="UK283" s="4"/>
      <c r="UL283" s="4"/>
      <c r="UM283" s="4" t="s">
        <v>2149</v>
      </c>
      <c r="UN283" s="8">
        <v>37620</v>
      </c>
      <c r="UO283" s="8">
        <v>37622</v>
      </c>
      <c r="UP283" s="5"/>
      <c r="UQ283" s="6"/>
      <c r="UR283" s="4"/>
      <c r="US283" s="4"/>
      <c r="UT283" s="4"/>
      <c r="UU283" s="4"/>
      <c r="UV283" s="4"/>
      <c r="UW283" s="5"/>
      <c r="UX283" s="6" t="s">
        <v>2641</v>
      </c>
      <c r="UY283" s="4" t="s">
        <v>2738</v>
      </c>
      <c r="UZ283" s="4" t="s">
        <v>2252</v>
      </c>
      <c r="VA283" s="7" t="s">
        <v>3027</v>
      </c>
      <c r="VB283" s="8">
        <v>37611</v>
      </c>
      <c r="VC283" s="8">
        <v>37611</v>
      </c>
      <c r="VD283" s="5" t="s">
        <v>403</v>
      </c>
      <c r="VE283" s="6"/>
      <c r="VF283" s="4"/>
      <c r="VG283" s="4"/>
      <c r="VH283" s="4"/>
      <c r="VI283" s="4"/>
      <c r="VJ283" s="4"/>
      <c r="VK283" s="5"/>
      <c r="VL283" s="6" t="s">
        <v>1912</v>
      </c>
      <c r="VM283" s="4" t="s">
        <v>2602</v>
      </c>
      <c r="VN283" s="4"/>
      <c r="VO283" s="4" t="s">
        <v>809</v>
      </c>
      <c r="VP283" s="8">
        <v>37550</v>
      </c>
      <c r="VQ283" s="8">
        <v>37603</v>
      </c>
      <c r="VR283" s="5" t="s">
        <v>532</v>
      </c>
      <c r="VS283" s="6"/>
      <c r="VT283" s="4"/>
      <c r="VU283" s="4"/>
      <c r="VV283" s="4"/>
      <c r="VW283" s="4"/>
      <c r="VX283" s="4"/>
      <c r="VY283" s="5"/>
      <c r="VZ283" s="6"/>
      <c r="WA283" s="4"/>
      <c r="WB283" s="4"/>
      <c r="WC283" s="4"/>
      <c r="WD283" s="4"/>
      <c r="WE283" s="4"/>
      <c r="WF283" s="5"/>
      <c r="WG283" s="6"/>
      <c r="WH283" s="4"/>
      <c r="WI283" s="4"/>
      <c r="WJ283" s="4"/>
      <c r="WK283" s="4"/>
      <c r="WL283" s="4"/>
      <c r="WM283" s="5"/>
      <c r="WN283" s="6"/>
      <c r="WO283" s="4"/>
      <c r="WP283" s="4"/>
      <c r="WQ283" s="4"/>
      <c r="WR283" s="4"/>
      <c r="WS283" s="4"/>
      <c r="WT283" s="5"/>
      <c r="WU283" s="6"/>
      <c r="WV283" s="4"/>
      <c r="WW283" s="4"/>
      <c r="WX283" s="4"/>
      <c r="WY283" s="4"/>
      <c r="WZ283" s="4"/>
      <c r="XA283" s="5"/>
      <c r="XB283" s="6"/>
      <c r="XC283" s="4"/>
      <c r="XD283" s="4"/>
      <c r="XE283" s="4"/>
      <c r="XF283" s="4"/>
      <c r="XG283" s="4"/>
      <c r="XH283" s="5"/>
      <c r="XI283" s="6"/>
      <c r="XJ283" s="4"/>
      <c r="XK283" s="4"/>
      <c r="XL283" s="4"/>
      <c r="XM283" s="4"/>
      <c r="XN283" s="4"/>
      <c r="XO283" s="5"/>
      <c r="XP283" s="6"/>
      <c r="XQ283" s="4"/>
      <c r="XR283" s="4"/>
      <c r="XS283" s="4"/>
      <c r="XT283" s="4"/>
      <c r="XU283" s="4"/>
      <c r="XV283" s="5"/>
      <c r="XW283" s="6"/>
      <c r="XX283" s="4"/>
      <c r="XY283" s="4"/>
      <c r="XZ283" s="4"/>
      <c r="YA283" s="4"/>
      <c r="YB283" s="4"/>
      <c r="YC283" s="5"/>
      <c r="YD283" s="6"/>
      <c r="YE283" s="4"/>
      <c r="YF283" s="4"/>
      <c r="YG283" s="4"/>
      <c r="YH283" s="4"/>
      <c r="YI283" s="4"/>
      <c r="YJ283" s="5"/>
      <c r="YK283" s="6" t="s">
        <v>2251</v>
      </c>
      <c r="YL283" s="4" t="s">
        <v>950</v>
      </c>
      <c r="YM283" s="4" t="s">
        <v>951</v>
      </c>
      <c r="YN283" s="7" t="s">
        <v>3027</v>
      </c>
      <c r="YO283" s="8">
        <v>37608</v>
      </c>
      <c r="YP283" s="8">
        <v>37608</v>
      </c>
      <c r="YQ283" s="5" t="s">
        <v>347</v>
      </c>
      <c r="YR283" s="6"/>
      <c r="YS283" s="4"/>
      <c r="YT283" s="4"/>
      <c r="YU283" s="4"/>
      <c r="YV283" s="4"/>
      <c r="YW283" s="4"/>
      <c r="YX283" s="5"/>
      <c r="YY283" s="6"/>
      <c r="YZ283" s="4"/>
      <c r="ZA283" s="4"/>
      <c r="ZB283" s="4"/>
      <c r="ZC283" s="4"/>
      <c r="ZD283" s="4"/>
      <c r="ZE283" s="5"/>
      <c r="ZF283" s="6"/>
      <c r="ZG283" s="4"/>
      <c r="ZH283" s="4"/>
      <c r="ZI283" s="4"/>
      <c r="ZJ283" s="4"/>
      <c r="ZK283" s="4"/>
      <c r="ZL283" s="5"/>
      <c r="ZM283" s="6"/>
      <c r="ZN283" s="4"/>
      <c r="ZO283" s="4"/>
      <c r="ZP283" s="4"/>
      <c r="ZQ283" s="4"/>
      <c r="ZR283" s="4"/>
      <c r="ZS283" s="5"/>
      <c r="ZT283" s="6"/>
      <c r="ZU283" s="4"/>
      <c r="ZV283" s="4"/>
      <c r="ZW283" s="4"/>
      <c r="ZX283" s="4"/>
      <c r="ZY283" s="4"/>
      <c r="ZZ283" s="5"/>
      <c r="AAA283" s="6"/>
      <c r="AAB283" s="4"/>
      <c r="AAC283" s="4"/>
      <c r="AAD283" s="4"/>
      <c r="AAE283" s="4"/>
      <c r="AAF283" s="4"/>
      <c r="AAG283" s="5"/>
      <c r="AAH283" s="6" t="s">
        <v>2889</v>
      </c>
      <c r="AAI283" s="4" t="s">
        <v>2889</v>
      </c>
      <c r="AAJ283" s="4" t="s">
        <v>952</v>
      </c>
      <c r="AAK283" s="7" t="s">
        <v>3027</v>
      </c>
      <c r="AAL283" s="8">
        <v>37602</v>
      </c>
      <c r="AAM283" s="8">
        <v>37602</v>
      </c>
      <c r="AAN283" s="5" t="s">
        <v>348</v>
      </c>
      <c r="AAO283" s="6"/>
      <c r="AAP283" s="4"/>
      <c r="AAQ283" s="4"/>
      <c r="AAR283" s="4"/>
      <c r="AAS283" s="4"/>
      <c r="AAT283" s="4"/>
      <c r="AAU283" s="5"/>
      <c r="AAV283" s="6"/>
      <c r="AAW283" s="4"/>
      <c r="AAX283" s="4"/>
      <c r="AAY283" s="4"/>
      <c r="AAZ283" s="4"/>
      <c r="ABA283" s="4"/>
      <c r="ABB283" s="5"/>
      <c r="ABC283" s="6"/>
      <c r="ABD283" s="4"/>
      <c r="ABE283" s="4"/>
      <c r="ABF283" s="4"/>
      <c r="ABG283" s="4"/>
      <c r="ABH283" s="4"/>
      <c r="ABI283" s="5"/>
      <c r="ABJ283" s="6" t="s">
        <v>953</v>
      </c>
      <c r="ABK283" s="4" t="s">
        <v>1946</v>
      </c>
      <c r="ABL283" s="4" t="s">
        <v>954</v>
      </c>
      <c r="ABM283" s="4"/>
      <c r="ABN283" s="8">
        <v>37609</v>
      </c>
      <c r="ABO283" s="4"/>
      <c r="ABP283" s="5" t="s">
        <v>349</v>
      </c>
      <c r="ABQ283" s="6"/>
      <c r="ABR283" s="4"/>
      <c r="ABS283" s="4"/>
      <c r="ABT283" s="4"/>
      <c r="ABU283" s="4"/>
      <c r="ABV283" s="4"/>
      <c r="ABW283" s="5"/>
      <c r="ABX283" s="6"/>
      <c r="ABY283" s="4"/>
      <c r="ABZ283" s="4"/>
      <c r="ACA283" s="4"/>
      <c r="ACB283" s="4"/>
      <c r="ACC283" s="4"/>
      <c r="ACD283" s="5"/>
      <c r="ACE283" s="6"/>
      <c r="ACF283" s="4"/>
      <c r="ACG283" s="4"/>
      <c r="ACH283" s="4"/>
      <c r="ACI283" s="4"/>
      <c r="ACJ283" s="4"/>
      <c r="ACK283" s="5"/>
      <c r="ACL283" s="6" t="s">
        <v>955</v>
      </c>
      <c r="ACM283" s="4" t="s">
        <v>2398</v>
      </c>
      <c r="ACN283" s="4"/>
      <c r="ACO283" s="4" t="s">
        <v>3027</v>
      </c>
      <c r="ACP283" s="8">
        <v>37604</v>
      </c>
      <c r="ACQ283" s="8">
        <v>37604</v>
      </c>
      <c r="ACR283" s="5" t="s">
        <v>483</v>
      </c>
      <c r="ACS283" s="6"/>
      <c r="ACT283" s="4"/>
      <c r="ACU283" s="4"/>
      <c r="ACV283" s="4"/>
      <c r="ACW283" s="4"/>
      <c r="ACX283" s="4"/>
      <c r="ACY283" s="5"/>
      <c r="ADA283" t="s">
        <v>485</v>
      </c>
      <c r="ADE283" t="s">
        <v>487</v>
      </c>
      <c r="ADF283" t="s">
        <v>492</v>
      </c>
      <c r="ADG283" t="s">
        <v>493</v>
      </c>
      <c r="ADI283" t="s">
        <v>486</v>
      </c>
      <c r="ADJ283" t="s">
        <v>494</v>
      </c>
      <c r="ADM283" t="s">
        <v>270</v>
      </c>
      <c r="ADN283" t="s">
        <v>495</v>
      </c>
      <c r="ADR283" t="s">
        <v>489</v>
      </c>
      <c r="ADU283" t="s">
        <v>402</v>
      </c>
      <c r="ADV283" t="s">
        <v>490</v>
      </c>
      <c r="ADY283" t="s">
        <v>491</v>
      </c>
      <c r="ADZ283" s="6" t="s">
        <v>434</v>
      </c>
    </row>
    <row r="284" spans="1:833" x14ac:dyDescent="0.25">
      <c r="B284" s="30"/>
      <c r="J284" s="12"/>
      <c r="K284" s="12"/>
      <c r="L284" s="12"/>
      <c r="LL284" s="6"/>
      <c r="LM284" s="4"/>
      <c r="LN284" s="4"/>
      <c r="LO284" s="4"/>
      <c r="LP284" s="4"/>
      <c r="LQ284" s="4"/>
      <c r="LR284" s="5"/>
      <c r="LS284" s="6"/>
      <c r="LT284" s="4"/>
      <c r="LU284" s="4"/>
      <c r="LV284" s="4"/>
      <c r="LW284" s="4"/>
      <c r="LX284" s="4"/>
      <c r="LY284" s="5"/>
      <c r="LZ284" s="15" t="s">
        <v>956</v>
      </c>
      <c r="MA284" s="12" t="s">
        <v>957</v>
      </c>
      <c r="MB284" s="4"/>
      <c r="MC284" s="7" t="s">
        <v>2149</v>
      </c>
      <c r="MD284" s="8">
        <v>37628</v>
      </c>
      <c r="ME284" s="8">
        <v>37630</v>
      </c>
      <c r="MF284" s="8"/>
      <c r="MG284" s="5" t="s">
        <v>383</v>
      </c>
      <c r="MH284" s="6"/>
      <c r="MI284" s="4"/>
      <c r="MJ284" s="4"/>
      <c r="MK284" s="4"/>
      <c r="ML284" s="4"/>
      <c r="MM284" s="4"/>
      <c r="MN284" s="5"/>
      <c r="MO284" s="6"/>
      <c r="MP284" s="4"/>
      <c r="MQ284" s="4"/>
      <c r="MR284" s="4"/>
      <c r="MS284" s="4"/>
      <c r="MT284" s="4"/>
      <c r="MU284" s="5"/>
      <c r="MV284" s="6"/>
      <c r="MW284" s="4"/>
      <c r="MX284" s="4"/>
      <c r="MY284" s="4"/>
      <c r="MZ284" s="4"/>
      <c r="NA284" s="4"/>
      <c r="NB284" s="5"/>
      <c r="NC284" s="6" t="s">
        <v>2596</v>
      </c>
      <c r="ND284" s="4" t="s">
        <v>958</v>
      </c>
      <c r="NE284" s="4" t="s">
        <v>959</v>
      </c>
      <c r="NF284" s="7" t="s">
        <v>2771</v>
      </c>
      <c r="NG284" s="8">
        <v>37603</v>
      </c>
      <c r="NH284" s="8">
        <v>37606</v>
      </c>
      <c r="NI284" s="5" t="s">
        <v>266</v>
      </c>
      <c r="NJ284" s="6" t="s">
        <v>1706</v>
      </c>
      <c r="NK284" s="4" t="s">
        <v>960</v>
      </c>
      <c r="NL284" s="4"/>
      <c r="NM284" s="4"/>
      <c r="NN284" s="8">
        <v>37608</v>
      </c>
      <c r="NO284" s="8"/>
      <c r="NP284" s="5" t="s">
        <v>268</v>
      </c>
      <c r="NQ284" s="6"/>
      <c r="NR284" s="4"/>
      <c r="NS284" s="4"/>
      <c r="NT284" s="4"/>
      <c r="NU284" s="8"/>
      <c r="NV284" s="8"/>
      <c r="NW284" s="5"/>
      <c r="NX284" s="6" t="s">
        <v>525</v>
      </c>
      <c r="NY284" s="4" t="s">
        <v>525</v>
      </c>
      <c r="NZ284" s="4"/>
      <c r="OA284" s="4" t="s">
        <v>2350</v>
      </c>
      <c r="OB284" s="8">
        <v>37610</v>
      </c>
      <c r="OC284" s="8">
        <v>37622</v>
      </c>
      <c r="OD284" s="5" t="s">
        <v>270</v>
      </c>
      <c r="OE284" s="6"/>
      <c r="OF284" s="4"/>
      <c r="OG284" s="4"/>
      <c r="OH284" s="4"/>
      <c r="OI284" s="4"/>
      <c r="OJ284" s="4"/>
      <c r="OK284" s="5"/>
      <c r="OL284" s="6"/>
      <c r="OM284" s="4"/>
      <c r="ON284" s="4"/>
      <c r="OO284" s="4"/>
      <c r="OP284" s="4"/>
      <c r="OQ284" s="4"/>
      <c r="OR284" s="5"/>
      <c r="OS284" s="6"/>
      <c r="OT284" s="4"/>
      <c r="OU284" s="4"/>
      <c r="OV284" s="4"/>
      <c r="OW284" s="4"/>
      <c r="OX284" s="4"/>
      <c r="OY284" s="5"/>
      <c r="OZ284" s="6"/>
      <c r="PA284" s="4"/>
      <c r="PB284" s="4"/>
      <c r="PC284" s="4"/>
      <c r="PD284" s="4"/>
      <c r="PE284" s="4"/>
      <c r="PF284" s="5"/>
      <c r="PG284" s="6"/>
      <c r="PH284" s="4"/>
      <c r="PI284" s="4"/>
      <c r="PJ284" s="4"/>
      <c r="PK284" s="4"/>
      <c r="PL284" s="4"/>
      <c r="PM284" s="5"/>
      <c r="PN284" s="6"/>
      <c r="PO284" s="4"/>
      <c r="PP284" s="4"/>
      <c r="PQ284" s="4"/>
      <c r="PR284" s="4"/>
      <c r="PS284" s="4"/>
      <c r="PT284" s="5"/>
      <c r="PU284" s="6"/>
      <c r="PV284" s="4"/>
      <c r="PW284" s="4"/>
      <c r="PX284" s="4"/>
      <c r="PY284" s="4"/>
      <c r="PZ284" s="4"/>
      <c r="QA284" s="5"/>
      <c r="QB284" s="6" t="s">
        <v>961</v>
      </c>
      <c r="QC284" s="4" t="s">
        <v>962</v>
      </c>
      <c r="QD284" s="4"/>
      <c r="QE284" s="4" t="s">
        <v>3027</v>
      </c>
      <c r="QF284" s="8">
        <v>37609</v>
      </c>
      <c r="QG284" s="8">
        <v>37609</v>
      </c>
      <c r="QH284" s="5" t="s">
        <v>275</v>
      </c>
      <c r="QI284" s="6"/>
      <c r="QJ284" s="4"/>
      <c r="QK284" s="4"/>
      <c r="QL284" s="4"/>
      <c r="QM284" s="4"/>
      <c r="QN284" s="4"/>
      <c r="QO284" s="5"/>
      <c r="QP284" s="6"/>
      <c r="QQ284" s="4"/>
      <c r="QR284" s="4"/>
      <c r="QS284" s="4"/>
      <c r="QT284" s="4"/>
      <c r="QU284" s="4"/>
      <c r="QV284" s="5"/>
      <c r="QW284" s="6"/>
      <c r="QX284" s="4"/>
      <c r="QY284" s="4"/>
      <c r="QZ284" s="4"/>
      <c r="RA284" s="4"/>
      <c r="RB284" s="4"/>
      <c r="RC284" s="5"/>
      <c r="RD284" s="6"/>
      <c r="RE284" s="4"/>
      <c r="RF284" s="4"/>
      <c r="RG284" s="4"/>
      <c r="RH284" s="4"/>
      <c r="RI284" s="4"/>
      <c r="RJ284" s="5"/>
      <c r="RK284" s="6"/>
      <c r="RL284" s="4"/>
      <c r="RM284" s="4"/>
      <c r="RN284" s="4"/>
      <c r="RO284" s="4"/>
      <c r="RP284" s="4"/>
      <c r="RQ284" s="5"/>
      <c r="RR284" s="6"/>
      <c r="RS284" s="4"/>
      <c r="RT284" s="4"/>
      <c r="RU284" s="4"/>
      <c r="RV284" s="4"/>
      <c r="RW284" s="4"/>
      <c r="RX284" s="5"/>
      <c r="RY284" s="6"/>
      <c r="RZ284" s="4"/>
      <c r="SA284" s="4"/>
      <c r="SB284" s="4"/>
      <c r="SC284" s="4"/>
      <c r="SD284" s="4"/>
      <c r="SE284" s="5"/>
      <c r="SF284" s="6"/>
      <c r="SG284" s="4"/>
      <c r="SH284" s="4"/>
      <c r="SI284" s="4"/>
      <c r="SJ284" s="4"/>
      <c r="SK284" s="4"/>
      <c r="SL284" s="5"/>
      <c r="SM284" s="6"/>
      <c r="SN284" s="4"/>
      <c r="SO284" s="4"/>
      <c r="SP284" s="4"/>
      <c r="SQ284" s="4"/>
      <c r="SR284" s="4"/>
      <c r="SS284" s="5"/>
      <c r="ST284" s="6"/>
      <c r="SU284" s="4"/>
      <c r="SV284" s="4"/>
      <c r="SW284" s="4"/>
      <c r="SX284" s="4"/>
      <c r="SY284" s="4"/>
      <c r="SZ284" s="5"/>
      <c r="TA284" s="6"/>
      <c r="TB284" s="4"/>
      <c r="TC284" s="4"/>
      <c r="TD284" s="4"/>
      <c r="TE284" s="4"/>
      <c r="TF284" s="4"/>
      <c r="TG284" s="5"/>
      <c r="TH284" s="6"/>
      <c r="TI284" s="4"/>
      <c r="TJ284" s="4"/>
      <c r="TK284" s="4"/>
      <c r="TL284" s="4"/>
      <c r="TM284" s="4"/>
      <c r="TN284" s="5"/>
      <c r="TO284" s="6"/>
      <c r="TP284" s="4"/>
      <c r="TQ284" s="4"/>
      <c r="TR284" s="4"/>
      <c r="TS284" s="4"/>
      <c r="TT284" s="4"/>
      <c r="TU284" s="5"/>
      <c r="TV284" s="6"/>
      <c r="TW284" s="4"/>
      <c r="TX284" s="4"/>
      <c r="TY284" s="4"/>
      <c r="TZ284" s="4"/>
      <c r="UA284" s="4"/>
      <c r="UB284" s="5"/>
      <c r="UC284" s="6"/>
      <c r="UD284" s="4"/>
      <c r="UE284" s="4"/>
      <c r="UF284" s="4"/>
      <c r="UG284" s="4"/>
      <c r="UH284" s="4"/>
      <c r="UI284" s="5"/>
      <c r="UJ284" s="6" t="s">
        <v>808</v>
      </c>
      <c r="UK284" s="4"/>
      <c r="UL284" s="4"/>
      <c r="UM284" s="4" t="s">
        <v>2149</v>
      </c>
      <c r="UN284" s="8">
        <v>37628</v>
      </c>
      <c r="UO284" s="8">
        <v>37630</v>
      </c>
      <c r="UP284" s="5"/>
      <c r="UQ284" s="6"/>
      <c r="UR284" s="4"/>
      <c r="US284" s="4"/>
      <c r="UT284" s="4"/>
      <c r="UU284" s="4"/>
      <c r="UV284" s="4"/>
      <c r="UW284" s="5"/>
      <c r="UX284" s="6" t="s">
        <v>963</v>
      </c>
      <c r="UY284" s="4" t="s">
        <v>630</v>
      </c>
      <c r="UZ284" s="4"/>
      <c r="VA284" s="4" t="s">
        <v>3901</v>
      </c>
      <c r="VB284" s="8">
        <v>37623</v>
      </c>
      <c r="VC284" s="8">
        <v>37630</v>
      </c>
      <c r="VD284" s="5" t="s">
        <v>531</v>
      </c>
      <c r="VE284" s="6"/>
      <c r="VF284" s="4"/>
      <c r="VG284" s="4"/>
      <c r="VH284" s="4"/>
      <c r="VI284" s="4"/>
      <c r="VJ284" s="4"/>
      <c r="VK284" s="5"/>
      <c r="VL284" s="6"/>
      <c r="VM284" s="4"/>
      <c r="VN284" s="4"/>
      <c r="VO284" s="4"/>
      <c r="VP284" s="4"/>
      <c r="VQ284" s="4"/>
      <c r="VR284" s="5"/>
      <c r="VS284" s="6"/>
      <c r="VT284" s="4"/>
      <c r="VU284" s="4"/>
      <c r="VV284" s="4"/>
      <c r="VW284" s="4"/>
      <c r="VX284" s="4"/>
      <c r="VY284" s="5"/>
      <c r="VZ284" s="6"/>
      <c r="WA284" s="4"/>
      <c r="WB284" s="4"/>
      <c r="WC284" s="4"/>
      <c r="WD284" s="4"/>
      <c r="WE284" s="4"/>
      <c r="WF284" s="5"/>
      <c r="WG284" s="6"/>
      <c r="WH284" s="4"/>
      <c r="WI284" s="4"/>
      <c r="WJ284" s="4"/>
      <c r="WK284" s="4"/>
      <c r="WL284" s="4"/>
      <c r="WM284" s="5"/>
      <c r="WN284" s="6"/>
      <c r="WO284" s="4"/>
      <c r="WP284" s="4"/>
      <c r="WQ284" s="4"/>
      <c r="WR284" s="4"/>
      <c r="WS284" s="4"/>
      <c r="WT284" s="5"/>
      <c r="WU284" s="6"/>
      <c r="WV284" s="4"/>
      <c r="WW284" s="4"/>
      <c r="WX284" s="4"/>
      <c r="WY284" s="4"/>
      <c r="WZ284" s="4"/>
      <c r="XA284" s="5"/>
      <c r="XB284" s="6"/>
      <c r="XC284" s="4"/>
      <c r="XD284" s="4"/>
      <c r="XE284" s="4"/>
      <c r="XF284" s="4"/>
      <c r="XG284" s="4"/>
      <c r="XH284" s="5"/>
      <c r="XI284" s="6"/>
      <c r="XJ284" s="4"/>
      <c r="XK284" s="4"/>
      <c r="XL284" s="4"/>
      <c r="XM284" s="4"/>
      <c r="XN284" s="4"/>
      <c r="XO284" s="5"/>
      <c r="XP284" s="6"/>
      <c r="XQ284" s="4"/>
      <c r="XR284" s="4"/>
      <c r="XS284" s="4"/>
      <c r="XT284" s="4"/>
      <c r="XU284" s="4"/>
      <c r="XV284" s="5"/>
      <c r="XW284" s="6"/>
      <c r="XX284" s="4"/>
      <c r="XY284" s="4"/>
      <c r="XZ284" s="4"/>
      <c r="YA284" s="4"/>
      <c r="YB284" s="4"/>
      <c r="YC284" s="5"/>
      <c r="YD284" s="6"/>
      <c r="YE284" s="4"/>
      <c r="YF284" s="4"/>
      <c r="YG284" s="4"/>
      <c r="YH284" s="4"/>
      <c r="YI284" s="4"/>
      <c r="YJ284" s="5"/>
      <c r="YK284" s="6" t="s">
        <v>631</v>
      </c>
      <c r="YL284" s="4" t="s">
        <v>2307</v>
      </c>
      <c r="YM284" s="4" t="s">
        <v>502</v>
      </c>
      <c r="YN284" s="7" t="s">
        <v>503</v>
      </c>
      <c r="YO284" s="8">
        <v>37545</v>
      </c>
      <c r="YP284" s="8">
        <v>37604</v>
      </c>
      <c r="YQ284" s="5" t="s">
        <v>533</v>
      </c>
      <c r="YR284" s="6"/>
      <c r="YS284" s="4"/>
      <c r="YT284" s="4"/>
      <c r="YU284" s="4"/>
      <c r="YV284" s="4"/>
      <c r="YW284" s="4"/>
      <c r="YX284" s="5"/>
      <c r="YY284" s="6"/>
      <c r="YZ284" s="4"/>
      <c r="ZA284" s="4"/>
      <c r="ZB284" s="4"/>
      <c r="ZC284" s="4"/>
      <c r="ZD284" s="4"/>
      <c r="ZE284" s="5"/>
      <c r="ZF284" s="6"/>
      <c r="ZG284" s="4"/>
      <c r="ZH284" s="4"/>
      <c r="ZI284" s="4"/>
      <c r="ZJ284" s="4"/>
      <c r="ZK284" s="4"/>
      <c r="ZL284" s="5"/>
      <c r="ZM284" s="6"/>
      <c r="ZN284" s="4"/>
      <c r="ZO284" s="4"/>
      <c r="ZP284" s="4"/>
      <c r="ZQ284" s="4"/>
      <c r="ZR284" s="4"/>
      <c r="ZS284" s="5"/>
      <c r="ZT284" s="6"/>
      <c r="ZU284" s="4"/>
      <c r="ZV284" s="4"/>
      <c r="ZW284" s="4"/>
      <c r="ZX284" s="4"/>
      <c r="ZY284" s="4"/>
      <c r="ZZ284" s="5"/>
      <c r="AAA284" s="6"/>
      <c r="AAB284" s="4"/>
      <c r="AAC284" s="4"/>
      <c r="AAD284" s="4"/>
      <c r="AAE284" s="4"/>
      <c r="AAF284" s="4"/>
      <c r="AAG284" s="5"/>
      <c r="AAH284" s="6"/>
      <c r="AAI284" s="4"/>
      <c r="AAJ284" s="4"/>
      <c r="AAK284" s="7"/>
      <c r="AAL284" s="8"/>
      <c r="AAM284" s="8"/>
      <c r="AAN284" s="5"/>
      <c r="AAO284" s="6"/>
      <c r="AAP284" s="4"/>
      <c r="AAQ284" s="4"/>
      <c r="AAR284" s="4"/>
      <c r="AAS284" s="4"/>
      <c r="AAT284" s="4"/>
      <c r="AAU284" s="5"/>
      <c r="AAV284" s="6"/>
      <c r="AAW284" s="4"/>
      <c r="AAX284" s="4"/>
      <c r="AAY284" s="4"/>
      <c r="AAZ284" s="4"/>
      <c r="ABA284" s="4"/>
      <c r="ABB284" s="5"/>
      <c r="ABC284" s="6"/>
      <c r="ABD284" s="4"/>
      <c r="ABE284" s="4"/>
      <c r="ABF284" s="4"/>
      <c r="ABG284" s="4"/>
      <c r="ABH284" s="4"/>
      <c r="ABI284" s="5"/>
      <c r="ABJ284" s="6" t="s">
        <v>504</v>
      </c>
      <c r="ABK284" s="4" t="s">
        <v>505</v>
      </c>
      <c r="ABL284" s="4"/>
      <c r="ABM284" s="4" t="s">
        <v>503</v>
      </c>
      <c r="ABN284" s="8">
        <v>37545</v>
      </c>
      <c r="ABO284" s="8">
        <v>37604</v>
      </c>
      <c r="ABP284" s="5" t="s">
        <v>349</v>
      </c>
      <c r="ABQ284" s="6"/>
      <c r="ABR284" s="4"/>
      <c r="ABS284" s="4"/>
      <c r="ABT284" s="4"/>
      <c r="ABU284" s="4"/>
      <c r="ABV284" s="4"/>
      <c r="ABW284" s="5"/>
      <c r="ABX284" s="6"/>
      <c r="ABY284" s="4"/>
      <c r="ABZ284" s="4"/>
      <c r="ACA284" s="4"/>
      <c r="ACB284" s="4"/>
      <c r="ACC284" s="4"/>
      <c r="ACD284" s="5"/>
      <c r="ACE284" s="6"/>
      <c r="ACF284" s="4"/>
      <c r="ACG284" s="4"/>
      <c r="ACH284" s="4"/>
      <c r="ACI284" s="4"/>
      <c r="ACJ284" s="4"/>
      <c r="ACK284" s="5"/>
      <c r="ACL284" s="6" t="s">
        <v>955</v>
      </c>
      <c r="ACM284" s="4" t="s">
        <v>2398</v>
      </c>
      <c r="ACN284" s="4"/>
      <c r="ACO284" s="4" t="s">
        <v>3027</v>
      </c>
      <c r="ACP284" s="8">
        <v>37609</v>
      </c>
      <c r="ACQ284" s="8">
        <v>37609</v>
      </c>
      <c r="ACR284" s="5" t="s">
        <v>484</v>
      </c>
      <c r="ACS284" s="6"/>
      <c r="ACT284" s="4"/>
      <c r="ACU284" s="4"/>
      <c r="ACV284" s="4"/>
      <c r="ACW284" s="4"/>
      <c r="ACX284" s="4"/>
      <c r="ACY284" s="5"/>
    </row>
    <row r="285" spans="1:833" x14ac:dyDescent="0.25">
      <c r="B285" s="30"/>
      <c r="J285" s="12"/>
      <c r="K285" s="12"/>
      <c r="L285" s="12"/>
      <c r="LL285" s="6"/>
      <c r="LM285" s="4"/>
      <c r="LN285" s="4"/>
      <c r="LO285" s="4"/>
      <c r="LP285" s="4"/>
      <c r="LQ285" s="4"/>
      <c r="LR285" s="5"/>
      <c r="LS285" s="6"/>
      <c r="LT285" s="4"/>
      <c r="LU285" s="4"/>
      <c r="LV285" s="4"/>
      <c r="LW285" s="4"/>
      <c r="LX285" s="4"/>
      <c r="LY285" s="5"/>
      <c r="LZ285" s="15" t="s">
        <v>2451</v>
      </c>
      <c r="MA285" s="12" t="s">
        <v>2451</v>
      </c>
      <c r="MB285" s="4" t="s">
        <v>3110</v>
      </c>
      <c r="MC285" s="7" t="s">
        <v>2702</v>
      </c>
      <c r="MD285" s="8">
        <v>37604</v>
      </c>
      <c r="ME285" s="8">
        <v>37605</v>
      </c>
      <c r="MF285" s="8"/>
      <c r="MG285" s="5" t="s">
        <v>384</v>
      </c>
      <c r="MH285" s="6"/>
      <c r="MI285" s="4"/>
      <c r="MJ285" s="4"/>
      <c r="MK285" s="4"/>
      <c r="ML285" s="4"/>
      <c r="MM285" s="4"/>
      <c r="MN285" s="5"/>
      <c r="MO285" s="6"/>
      <c r="MP285" s="4"/>
      <c r="MQ285" s="4"/>
      <c r="MR285" s="4"/>
      <c r="MS285" s="4"/>
      <c r="MT285" s="4"/>
      <c r="MU285" s="5"/>
      <c r="MV285" s="6"/>
      <c r="MW285" s="4"/>
      <c r="MX285" s="4"/>
      <c r="MY285" s="4"/>
      <c r="MZ285" s="4"/>
      <c r="NA285" s="4"/>
      <c r="NB285" s="5"/>
      <c r="NC285" s="6" t="s">
        <v>1640</v>
      </c>
      <c r="ND285" s="7" t="s">
        <v>1734</v>
      </c>
      <c r="NE285" s="4" t="s">
        <v>506</v>
      </c>
      <c r="NF285" s="7" t="s">
        <v>2661</v>
      </c>
      <c r="NG285" s="8">
        <v>37606</v>
      </c>
      <c r="NH285" s="8">
        <v>37620</v>
      </c>
      <c r="NI285" s="5" t="s">
        <v>266</v>
      </c>
      <c r="NJ285" s="6"/>
      <c r="NK285" s="4"/>
      <c r="NL285" s="4"/>
      <c r="NM285" s="4"/>
      <c r="NN285" s="8"/>
      <c r="NO285" s="8"/>
      <c r="NP285" s="5"/>
      <c r="NQ285" s="6"/>
      <c r="NR285" s="4"/>
      <c r="NS285" s="4"/>
      <c r="NT285" s="4"/>
      <c r="NU285" s="8"/>
      <c r="NV285" s="8"/>
      <c r="NW285" s="5"/>
      <c r="NX285" s="6" t="s">
        <v>507</v>
      </c>
      <c r="NY285" s="4" t="s">
        <v>507</v>
      </c>
      <c r="NZ285" s="4" t="s">
        <v>508</v>
      </c>
      <c r="OA285" s="7" t="s">
        <v>3027</v>
      </c>
      <c r="OB285" s="8">
        <v>37609</v>
      </c>
      <c r="OC285" s="8">
        <v>37609</v>
      </c>
      <c r="OD285" s="5" t="s">
        <v>270</v>
      </c>
      <c r="OE285" s="6"/>
      <c r="OF285" s="4"/>
      <c r="OG285" s="4"/>
      <c r="OH285" s="4"/>
      <c r="OI285" s="4"/>
      <c r="OJ285" s="4"/>
      <c r="OK285" s="5"/>
      <c r="OL285" s="6"/>
      <c r="OM285" s="4"/>
      <c r="ON285" s="4"/>
      <c r="OO285" s="4"/>
      <c r="OP285" s="4"/>
      <c r="OQ285" s="4"/>
      <c r="OR285" s="5"/>
      <c r="OS285" s="6"/>
      <c r="OT285" s="4"/>
      <c r="OU285" s="4"/>
      <c r="OV285" s="4"/>
      <c r="OW285" s="4"/>
      <c r="OX285" s="4"/>
      <c r="OY285" s="5"/>
      <c r="OZ285" s="6"/>
      <c r="PA285" s="4"/>
      <c r="PB285" s="4"/>
      <c r="PC285" s="4"/>
      <c r="PD285" s="4"/>
      <c r="PE285" s="4"/>
      <c r="PF285" s="5"/>
      <c r="PG285" s="6"/>
      <c r="PH285" s="4"/>
      <c r="PI285" s="4"/>
      <c r="PJ285" s="4"/>
      <c r="PK285" s="4"/>
      <c r="PL285" s="4"/>
      <c r="PM285" s="5"/>
      <c r="PN285" s="6"/>
      <c r="PO285" s="4"/>
      <c r="PP285" s="4"/>
      <c r="PQ285" s="4"/>
      <c r="PR285" s="4"/>
      <c r="PS285" s="4"/>
      <c r="PT285" s="5"/>
      <c r="PU285" s="6"/>
      <c r="PV285" s="4"/>
      <c r="PW285" s="4"/>
      <c r="PX285" s="4"/>
      <c r="PY285" s="4"/>
      <c r="PZ285" s="4"/>
      <c r="QA285" s="5"/>
      <c r="QB285" s="6" t="s">
        <v>961</v>
      </c>
      <c r="QC285" s="4" t="s">
        <v>962</v>
      </c>
      <c r="QD285" s="4"/>
      <c r="QE285" s="4" t="s">
        <v>2702</v>
      </c>
      <c r="QF285" s="8">
        <v>37619</v>
      </c>
      <c r="QG285" s="8">
        <v>37620</v>
      </c>
      <c r="QH285" s="5" t="s">
        <v>275</v>
      </c>
      <c r="QI285" s="6"/>
      <c r="QJ285" s="4"/>
      <c r="QK285" s="4"/>
      <c r="QL285" s="4"/>
      <c r="QM285" s="4"/>
      <c r="QN285" s="4"/>
      <c r="QO285" s="5"/>
      <c r="QP285" s="6"/>
      <c r="QQ285" s="4"/>
      <c r="QR285" s="4"/>
      <c r="QS285" s="4"/>
      <c r="QT285" s="4"/>
      <c r="QU285" s="4"/>
      <c r="QV285" s="5"/>
      <c r="QW285" s="6"/>
      <c r="QX285" s="4"/>
      <c r="QY285" s="4"/>
      <c r="QZ285" s="4"/>
      <c r="RA285" s="4"/>
      <c r="RB285" s="4"/>
      <c r="RC285" s="5"/>
      <c r="RD285" s="6"/>
      <c r="RE285" s="4"/>
      <c r="RF285" s="4"/>
      <c r="RG285" s="4"/>
      <c r="RH285" s="4"/>
      <c r="RI285" s="4"/>
      <c r="RJ285" s="5"/>
      <c r="RK285" s="6"/>
      <c r="RL285" s="4"/>
      <c r="RM285" s="4"/>
      <c r="RN285" s="4"/>
      <c r="RO285" s="4"/>
      <c r="RP285" s="4"/>
      <c r="RQ285" s="5"/>
      <c r="RR285" s="6"/>
      <c r="RS285" s="4"/>
      <c r="RT285" s="4"/>
      <c r="RU285" s="4"/>
      <c r="RV285" s="4"/>
      <c r="RW285" s="4"/>
      <c r="RX285" s="5"/>
      <c r="RY285" s="6"/>
      <c r="RZ285" s="4"/>
      <c r="SA285" s="4"/>
      <c r="SB285" s="4"/>
      <c r="SC285" s="4"/>
      <c r="SD285" s="4"/>
      <c r="SE285" s="5"/>
      <c r="SF285" s="6"/>
      <c r="SG285" s="4"/>
      <c r="SH285" s="4"/>
      <c r="SI285" s="4"/>
      <c r="SJ285" s="4"/>
      <c r="SK285" s="4"/>
      <c r="SL285" s="5"/>
      <c r="SM285" s="6"/>
      <c r="SN285" s="4"/>
      <c r="SO285" s="4"/>
      <c r="SP285" s="4"/>
      <c r="SQ285" s="4"/>
      <c r="SR285" s="4"/>
      <c r="SS285" s="5"/>
      <c r="ST285" s="6"/>
      <c r="SU285" s="4"/>
      <c r="SV285" s="4"/>
      <c r="SW285" s="4"/>
      <c r="SX285" s="4"/>
      <c r="SY285" s="4"/>
      <c r="SZ285" s="5"/>
      <c r="TA285" s="6"/>
      <c r="TB285" s="4"/>
      <c r="TC285" s="4"/>
      <c r="TD285" s="4"/>
      <c r="TE285" s="4"/>
      <c r="TF285" s="4"/>
      <c r="TG285" s="5"/>
      <c r="TH285" s="6"/>
      <c r="TI285" s="4"/>
      <c r="TJ285" s="4"/>
      <c r="TK285" s="4"/>
      <c r="TL285" s="4"/>
      <c r="TM285" s="4"/>
      <c r="TN285" s="5"/>
      <c r="TO285" s="6"/>
      <c r="TP285" s="4"/>
      <c r="TQ285" s="4"/>
      <c r="TR285" s="4"/>
      <c r="TS285" s="4"/>
      <c r="TT285" s="4"/>
      <c r="TU285" s="5"/>
      <c r="TV285" s="6"/>
      <c r="TW285" s="4"/>
      <c r="TX285" s="4"/>
      <c r="TY285" s="4"/>
      <c r="TZ285" s="4"/>
      <c r="UA285" s="4"/>
      <c r="UB285" s="5"/>
      <c r="UC285" s="6"/>
      <c r="UD285" s="4"/>
      <c r="UE285" s="4"/>
      <c r="UF285" s="4"/>
      <c r="UG285" s="4"/>
      <c r="UH285" s="4"/>
      <c r="UI285" s="5"/>
      <c r="UJ285" s="6"/>
      <c r="UK285" s="4"/>
      <c r="UL285" s="4"/>
      <c r="UM285" s="4"/>
      <c r="UN285" s="4"/>
      <c r="UO285" s="4"/>
      <c r="UP285" s="5"/>
      <c r="UQ285" s="6"/>
      <c r="UR285" s="4"/>
      <c r="US285" s="4"/>
      <c r="UT285" s="4"/>
      <c r="UU285" s="4"/>
      <c r="UV285" s="4"/>
      <c r="UW285" s="5"/>
      <c r="UX285" s="6"/>
      <c r="UY285" s="4"/>
      <c r="UZ285" s="4"/>
      <c r="VA285" s="4"/>
      <c r="VB285" s="4"/>
      <c r="VC285" s="4"/>
      <c r="VD285" s="5"/>
      <c r="VE285" s="6"/>
      <c r="VF285" s="4"/>
      <c r="VG285" s="4"/>
      <c r="VH285" s="4"/>
      <c r="VI285" s="4"/>
      <c r="VJ285" s="4"/>
      <c r="VK285" s="5"/>
      <c r="VL285" s="6"/>
      <c r="VM285" s="4"/>
      <c r="VN285" s="4"/>
      <c r="VO285" s="4"/>
      <c r="VP285" s="4"/>
      <c r="VQ285" s="4"/>
      <c r="VR285" s="5"/>
      <c r="VS285" s="6"/>
      <c r="VT285" s="4"/>
      <c r="VU285" s="4"/>
      <c r="VV285" s="4"/>
      <c r="VW285" s="4"/>
      <c r="VX285" s="4"/>
      <c r="VY285" s="5"/>
      <c r="VZ285" s="6"/>
      <c r="WA285" s="4"/>
      <c r="WB285" s="4"/>
      <c r="WC285" s="4"/>
      <c r="WD285" s="4"/>
      <c r="WE285" s="4"/>
      <c r="WF285" s="5"/>
      <c r="WG285" s="6"/>
      <c r="WH285" s="4"/>
      <c r="WI285" s="4"/>
      <c r="WJ285" s="4"/>
      <c r="WK285" s="4"/>
      <c r="WL285" s="4"/>
      <c r="WM285" s="5"/>
      <c r="WN285" s="6"/>
      <c r="WO285" s="4"/>
      <c r="WP285" s="4"/>
      <c r="WQ285" s="4"/>
      <c r="WR285" s="4"/>
      <c r="WS285" s="4"/>
      <c r="WT285" s="5"/>
      <c r="WU285" s="6"/>
      <c r="WV285" s="4"/>
      <c r="WW285" s="4"/>
      <c r="WX285" s="4"/>
      <c r="WY285" s="4"/>
      <c r="WZ285" s="4"/>
      <c r="XA285" s="5"/>
      <c r="XB285" s="6"/>
      <c r="XC285" s="4"/>
      <c r="XD285" s="4"/>
      <c r="XE285" s="4"/>
      <c r="XF285" s="4"/>
      <c r="XG285" s="4"/>
      <c r="XH285" s="5"/>
      <c r="XI285" s="6"/>
      <c r="XJ285" s="4"/>
      <c r="XK285" s="4"/>
      <c r="XL285" s="4"/>
      <c r="XM285" s="4"/>
      <c r="XN285" s="4"/>
      <c r="XO285" s="5"/>
      <c r="XP285" s="6"/>
      <c r="XQ285" s="4"/>
      <c r="XR285" s="4"/>
      <c r="XS285" s="4"/>
      <c r="XT285" s="4"/>
      <c r="XU285" s="4"/>
      <c r="XV285" s="5"/>
      <c r="XW285" s="6"/>
      <c r="XX285" s="4"/>
      <c r="XY285" s="4"/>
      <c r="XZ285" s="4"/>
      <c r="YA285" s="4"/>
      <c r="YB285" s="4"/>
      <c r="YC285" s="5"/>
      <c r="YD285" s="6"/>
      <c r="YE285" s="4"/>
      <c r="YF285" s="4"/>
      <c r="YG285" s="4"/>
      <c r="YH285" s="4"/>
      <c r="YI285" s="4"/>
      <c r="YJ285" s="5"/>
      <c r="YK285" s="6" t="s">
        <v>2253</v>
      </c>
      <c r="YL285" s="4" t="s">
        <v>639</v>
      </c>
      <c r="YM285" s="4" t="s">
        <v>640</v>
      </c>
      <c r="YN285" s="7" t="s">
        <v>3027</v>
      </c>
      <c r="YO285" s="8">
        <v>37606</v>
      </c>
      <c r="YP285" s="8">
        <v>37606</v>
      </c>
      <c r="YQ285" s="5" t="s">
        <v>341</v>
      </c>
      <c r="YR285" s="6"/>
      <c r="YS285" s="4"/>
      <c r="YT285" s="4"/>
      <c r="YU285" s="4"/>
      <c r="YV285" s="4"/>
      <c r="YW285" s="4"/>
      <c r="YX285" s="5"/>
      <c r="YY285" s="6"/>
      <c r="YZ285" s="4"/>
      <c r="ZA285" s="4"/>
      <c r="ZB285" s="4"/>
      <c r="ZC285" s="4"/>
      <c r="ZD285" s="4"/>
      <c r="ZE285" s="5"/>
      <c r="ZF285" s="6"/>
      <c r="ZG285" s="4"/>
      <c r="ZH285" s="4"/>
      <c r="ZI285" s="4"/>
      <c r="ZJ285" s="4"/>
      <c r="ZK285" s="4"/>
      <c r="ZL285" s="5"/>
      <c r="ZM285" s="6"/>
      <c r="ZN285" s="4"/>
      <c r="ZO285" s="4"/>
      <c r="ZP285" s="4"/>
      <c r="ZQ285" s="4"/>
      <c r="ZR285" s="4"/>
      <c r="ZS285" s="5"/>
      <c r="ZT285" s="6"/>
      <c r="ZU285" s="4"/>
      <c r="ZV285" s="4"/>
      <c r="ZW285" s="4"/>
      <c r="ZX285" s="4"/>
      <c r="ZY285" s="4"/>
      <c r="ZZ285" s="5"/>
      <c r="AAA285" s="6"/>
      <c r="AAB285" s="4"/>
      <c r="AAC285" s="4"/>
      <c r="AAD285" s="4"/>
      <c r="AAE285" s="4"/>
      <c r="AAF285" s="4"/>
      <c r="AAG285" s="5"/>
      <c r="AAH285" s="6"/>
      <c r="AAI285" s="4"/>
      <c r="AAJ285" s="4"/>
      <c r="AAK285" s="7"/>
      <c r="AAL285" s="8"/>
      <c r="AAM285" s="8"/>
      <c r="AAN285" s="5"/>
      <c r="AAO285" s="6"/>
      <c r="AAP285" s="4"/>
      <c r="AAQ285" s="4"/>
      <c r="AAR285" s="4"/>
      <c r="AAS285" s="4"/>
      <c r="AAT285" s="4"/>
      <c r="AAU285" s="5"/>
      <c r="AAV285" s="6"/>
      <c r="AAW285" s="4"/>
      <c r="AAX285" s="4"/>
      <c r="AAY285" s="4"/>
      <c r="AAZ285" s="4"/>
      <c r="ABA285" s="4"/>
      <c r="ABB285" s="5"/>
      <c r="ABC285" s="6"/>
      <c r="ABD285" s="4"/>
      <c r="ABE285" s="4"/>
      <c r="ABF285" s="4"/>
      <c r="ABG285" s="4"/>
      <c r="ABH285" s="4"/>
      <c r="ABI285" s="5"/>
      <c r="ABJ285" s="6" t="s">
        <v>886</v>
      </c>
      <c r="ABK285" s="4" t="s">
        <v>1018</v>
      </c>
      <c r="ABL285" s="4"/>
      <c r="ABM285" s="4" t="s">
        <v>1595</v>
      </c>
      <c r="ABN285" s="8">
        <v>37604</v>
      </c>
      <c r="ABO285" s="8">
        <v>37609</v>
      </c>
      <c r="ABP285" s="5" t="s">
        <v>349</v>
      </c>
      <c r="ABQ285" s="6"/>
      <c r="ABR285" s="4"/>
      <c r="ABS285" s="4"/>
      <c r="ABT285" s="4"/>
      <c r="ABU285" s="4"/>
      <c r="ABV285" s="4"/>
      <c r="ABW285" s="5"/>
      <c r="ABX285" s="6"/>
      <c r="ABY285" s="4"/>
      <c r="ABZ285" s="4"/>
      <c r="ACA285" s="4"/>
      <c r="ACB285" s="4"/>
      <c r="ACC285" s="4"/>
      <c r="ACD285" s="5"/>
      <c r="ACE285" s="6"/>
      <c r="ACF285" s="4"/>
      <c r="ACG285" s="4"/>
      <c r="ACH285" s="4"/>
      <c r="ACI285" s="4"/>
      <c r="ACJ285" s="4"/>
      <c r="ACK285" s="5"/>
      <c r="ACL285" s="6" t="s">
        <v>955</v>
      </c>
      <c r="ACM285" s="4" t="s">
        <v>2398</v>
      </c>
      <c r="ACN285" s="4"/>
      <c r="ACO285" s="4" t="s">
        <v>3027</v>
      </c>
      <c r="ACP285" s="8">
        <v>37620</v>
      </c>
      <c r="ACQ285" s="8">
        <v>37620</v>
      </c>
      <c r="ACR285" s="5" t="s">
        <v>275</v>
      </c>
      <c r="ACS285" s="6"/>
      <c r="ACT285" s="4"/>
      <c r="ACU285" s="4"/>
      <c r="ACV285" s="4"/>
      <c r="ACW285" s="4"/>
      <c r="ACX285" s="4"/>
      <c r="ACY285" s="5"/>
    </row>
    <row r="286" spans="1:833" x14ac:dyDescent="0.25">
      <c r="B286" s="30"/>
      <c r="J286" s="12"/>
      <c r="K286" s="12"/>
      <c r="L286" s="12"/>
      <c r="LL286" s="6"/>
      <c r="LM286" s="4"/>
      <c r="LN286" s="4"/>
      <c r="LO286" s="4"/>
      <c r="LP286" s="4"/>
      <c r="LQ286" s="4"/>
      <c r="LR286" s="5"/>
      <c r="LS286" s="6"/>
      <c r="LT286" s="4"/>
      <c r="LU286" s="4"/>
      <c r="LV286" s="4"/>
      <c r="LW286" s="4"/>
      <c r="LX286" s="4"/>
      <c r="LY286" s="5"/>
      <c r="LZ286" s="6" t="s">
        <v>641</v>
      </c>
      <c r="MA286" s="47" t="s">
        <v>2451</v>
      </c>
      <c r="MB286" s="4" t="s">
        <v>3110</v>
      </c>
      <c r="MC286" s="7" t="s">
        <v>3027</v>
      </c>
      <c r="MD286" s="8">
        <v>37609</v>
      </c>
      <c r="ME286" s="8">
        <v>37609</v>
      </c>
      <c r="MF286" s="8"/>
      <c r="MG286" s="5" t="s">
        <v>385</v>
      </c>
      <c r="MH286" s="6"/>
      <c r="MI286" s="4"/>
      <c r="MJ286" s="4"/>
      <c r="MK286" s="4"/>
      <c r="ML286" s="4"/>
      <c r="MM286" s="4"/>
      <c r="MN286" s="5"/>
      <c r="MO286" s="6"/>
      <c r="MP286" s="4"/>
      <c r="MQ286" s="4"/>
      <c r="MR286" s="4"/>
      <c r="MS286" s="4"/>
      <c r="MT286" s="4"/>
      <c r="MU286" s="5"/>
      <c r="MV286" s="6"/>
      <c r="MW286" s="4"/>
      <c r="MX286" s="4"/>
      <c r="MY286" s="4"/>
      <c r="MZ286" s="4"/>
      <c r="NA286" s="4"/>
      <c r="NB286" s="5"/>
      <c r="NC286" s="15" t="s">
        <v>642</v>
      </c>
      <c r="ND286" s="12" t="s">
        <v>643</v>
      </c>
      <c r="NE286" s="4"/>
      <c r="NF286" s="7" t="s">
        <v>2661</v>
      </c>
      <c r="NG286" s="8">
        <v>37606</v>
      </c>
      <c r="NH286" s="8">
        <v>37620</v>
      </c>
      <c r="NI286" s="5" t="s">
        <v>266</v>
      </c>
      <c r="NJ286" s="6"/>
      <c r="NK286" s="4"/>
      <c r="NL286" s="4"/>
      <c r="NM286" s="4"/>
      <c r="NN286" s="8"/>
      <c r="NO286" s="8"/>
      <c r="NP286" s="5"/>
      <c r="NQ286" s="6"/>
      <c r="NR286" s="4"/>
      <c r="NS286" s="4"/>
      <c r="NT286" s="4"/>
      <c r="NU286" s="8"/>
      <c r="NV286" s="8"/>
      <c r="NW286" s="5"/>
      <c r="NX286" s="6" t="s">
        <v>644</v>
      </c>
      <c r="NY286" s="7" t="s">
        <v>507</v>
      </c>
      <c r="NZ286" s="4"/>
      <c r="OA286" s="7" t="s">
        <v>3027</v>
      </c>
      <c r="OB286" s="8">
        <v>37607</v>
      </c>
      <c r="OC286" s="8">
        <v>37607</v>
      </c>
      <c r="OD286" s="5" t="s">
        <v>270</v>
      </c>
      <c r="OE286" s="6"/>
      <c r="OF286" s="4"/>
      <c r="OG286" s="4"/>
      <c r="OH286" s="4"/>
      <c r="OI286" s="4"/>
      <c r="OJ286" s="4"/>
      <c r="OK286" s="5"/>
      <c r="OL286" s="6"/>
      <c r="OM286" s="4"/>
      <c r="ON286" s="4"/>
      <c r="OO286" s="4"/>
      <c r="OP286" s="4"/>
      <c r="OQ286" s="4"/>
      <c r="OR286" s="5"/>
      <c r="OS286" s="6"/>
      <c r="OT286" s="4"/>
      <c r="OU286" s="4"/>
      <c r="OV286" s="4"/>
      <c r="OW286" s="4"/>
      <c r="OX286" s="4"/>
      <c r="OY286" s="5"/>
      <c r="OZ286" s="6"/>
      <c r="PA286" s="4"/>
      <c r="PB286" s="4"/>
      <c r="PC286" s="4"/>
      <c r="PD286" s="4"/>
      <c r="PE286" s="4"/>
      <c r="PF286" s="5"/>
      <c r="PG286" s="6"/>
      <c r="PH286" s="4"/>
      <c r="PI286" s="4"/>
      <c r="PJ286" s="4"/>
      <c r="PK286" s="4"/>
      <c r="PL286" s="4"/>
      <c r="PM286" s="5"/>
      <c r="PN286" s="6"/>
      <c r="PO286" s="4"/>
      <c r="PP286" s="4"/>
      <c r="PQ286" s="4"/>
      <c r="PR286" s="4"/>
      <c r="PS286" s="4"/>
      <c r="PT286" s="5"/>
      <c r="PU286" s="6"/>
      <c r="PV286" s="4"/>
      <c r="PW286" s="4"/>
      <c r="PX286" s="4"/>
      <c r="PY286" s="4"/>
      <c r="PZ286" s="4"/>
      <c r="QA286" s="5"/>
      <c r="QB286" s="6" t="s">
        <v>961</v>
      </c>
      <c r="QC286" s="7" t="s">
        <v>962</v>
      </c>
      <c r="QD286" s="4"/>
      <c r="QE286" s="7" t="s">
        <v>3027</v>
      </c>
      <c r="QF286" s="8">
        <v>37624</v>
      </c>
      <c r="QG286" s="8">
        <v>37624</v>
      </c>
      <c r="QH286" s="5" t="s">
        <v>275</v>
      </c>
      <c r="QI286" s="6"/>
      <c r="QJ286" s="4"/>
      <c r="QK286" s="4"/>
      <c r="QL286" s="4"/>
      <c r="QM286" s="4"/>
      <c r="QN286" s="4"/>
      <c r="QO286" s="5"/>
      <c r="QP286" s="6"/>
      <c r="QQ286" s="4"/>
      <c r="QR286" s="4"/>
      <c r="QS286" s="4"/>
      <c r="QT286" s="4"/>
      <c r="QU286" s="4"/>
      <c r="QV286" s="5"/>
      <c r="QW286" s="6"/>
      <c r="QX286" s="4"/>
      <c r="QY286" s="4"/>
      <c r="QZ286" s="4"/>
      <c r="RA286" s="4"/>
      <c r="RB286" s="4"/>
      <c r="RC286" s="5"/>
      <c r="RD286" s="6"/>
      <c r="RE286" s="4"/>
      <c r="RF286" s="4"/>
      <c r="RG286" s="4"/>
      <c r="RH286" s="4"/>
      <c r="RI286" s="4"/>
      <c r="RJ286" s="5"/>
      <c r="RK286" s="6"/>
      <c r="RL286" s="4"/>
      <c r="RM286" s="4"/>
      <c r="RN286" s="4"/>
      <c r="RO286" s="4"/>
      <c r="RP286" s="4"/>
      <c r="RQ286" s="5"/>
      <c r="RR286" s="6"/>
      <c r="RS286" s="4"/>
      <c r="RT286" s="4"/>
      <c r="RU286" s="4"/>
      <c r="RV286" s="4"/>
      <c r="RW286" s="4"/>
      <c r="RX286" s="5"/>
      <c r="RY286" s="6"/>
      <c r="RZ286" s="4"/>
      <c r="SA286" s="4"/>
      <c r="SB286" s="4"/>
      <c r="SC286" s="4"/>
      <c r="SD286" s="4"/>
      <c r="SE286" s="5"/>
      <c r="SF286" s="6"/>
      <c r="SG286" s="4"/>
      <c r="SH286" s="4"/>
      <c r="SI286" s="4"/>
      <c r="SJ286" s="4"/>
      <c r="SK286" s="4"/>
      <c r="SL286" s="5"/>
      <c r="SM286" s="6"/>
      <c r="SN286" s="4"/>
      <c r="SO286" s="4"/>
      <c r="SP286" s="4"/>
      <c r="SQ286" s="4"/>
      <c r="SR286" s="4"/>
      <c r="SS286" s="5"/>
      <c r="ST286" s="6"/>
      <c r="SU286" s="4"/>
      <c r="SV286" s="4"/>
      <c r="SW286" s="4"/>
      <c r="SX286" s="4"/>
      <c r="SY286" s="4"/>
      <c r="SZ286" s="5"/>
      <c r="TA286" s="6"/>
      <c r="TB286" s="4"/>
      <c r="TC286" s="4"/>
      <c r="TD286" s="4"/>
      <c r="TE286" s="4"/>
      <c r="TF286" s="4"/>
      <c r="TG286" s="5"/>
      <c r="TH286" s="6"/>
      <c r="TI286" s="4"/>
      <c r="TJ286" s="4"/>
      <c r="TK286" s="4"/>
      <c r="TL286" s="4"/>
      <c r="TM286" s="4"/>
      <c r="TN286" s="5"/>
      <c r="TO286" s="6"/>
      <c r="TP286" s="4"/>
      <c r="TQ286" s="4"/>
      <c r="TR286" s="4"/>
      <c r="TS286" s="4"/>
      <c r="TT286" s="4"/>
      <c r="TU286" s="5"/>
      <c r="TV286" s="6"/>
      <c r="TW286" s="4"/>
      <c r="TX286" s="4"/>
      <c r="TY286" s="4"/>
      <c r="TZ286" s="4"/>
      <c r="UA286" s="4"/>
      <c r="UB286" s="5"/>
      <c r="UC286" s="6"/>
      <c r="UD286" s="4"/>
      <c r="UE286" s="4"/>
      <c r="UF286" s="4"/>
      <c r="UG286" s="4"/>
      <c r="UH286" s="4"/>
      <c r="UI286" s="5"/>
      <c r="UJ286" s="6"/>
      <c r="UK286" s="4"/>
      <c r="UL286" s="4"/>
      <c r="UM286" s="4"/>
      <c r="UN286" s="4"/>
      <c r="UO286" s="4"/>
      <c r="UP286" s="5"/>
      <c r="UQ286" s="6"/>
      <c r="UR286" s="4"/>
      <c r="US286" s="4"/>
      <c r="UT286" s="4"/>
      <c r="UU286" s="4"/>
      <c r="UV286" s="4"/>
      <c r="UW286" s="5"/>
      <c r="UX286" s="6"/>
      <c r="UY286" s="4"/>
      <c r="UZ286" s="4"/>
      <c r="VA286" s="4"/>
      <c r="VB286" s="4"/>
      <c r="VC286" s="4"/>
      <c r="VD286" s="5"/>
      <c r="VE286" s="6"/>
      <c r="VF286" s="4"/>
      <c r="VG286" s="4"/>
      <c r="VH286" s="4"/>
      <c r="VI286" s="4"/>
      <c r="VJ286" s="4"/>
      <c r="VK286" s="5"/>
      <c r="VL286" s="6"/>
      <c r="VM286" s="4"/>
      <c r="VN286" s="4"/>
      <c r="VO286" s="4"/>
      <c r="VP286" s="4"/>
      <c r="VQ286" s="4"/>
      <c r="VR286" s="5"/>
      <c r="VS286" s="6"/>
      <c r="VT286" s="4"/>
      <c r="VU286" s="4"/>
      <c r="VV286" s="4"/>
      <c r="VW286" s="4"/>
      <c r="VX286" s="4"/>
      <c r="VY286" s="5"/>
      <c r="VZ286" s="6"/>
      <c r="WA286" s="4"/>
      <c r="WB286" s="4"/>
      <c r="WC286" s="4"/>
      <c r="WD286" s="4"/>
      <c r="WE286" s="4"/>
      <c r="WF286" s="5"/>
      <c r="WG286" s="6"/>
      <c r="WH286" s="4"/>
      <c r="WI286" s="4"/>
      <c r="WJ286" s="4"/>
      <c r="WK286" s="4"/>
      <c r="WL286" s="4"/>
      <c r="WM286" s="5"/>
      <c r="WN286" s="6"/>
      <c r="WO286" s="4"/>
      <c r="WP286" s="4"/>
      <c r="WQ286" s="4"/>
      <c r="WR286" s="4"/>
      <c r="WS286" s="4"/>
      <c r="WT286" s="5"/>
      <c r="WU286" s="6"/>
      <c r="WV286" s="4"/>
      <c r="WW286" s="4"/>
      <c r="WX286" s="4"/>
      <c r="WY286" s="4"/>
      <c r="WZ286" s="4"/>
      <c r="XA286" s="5"/>
      <c r="XB286" s="6"/>
      <c r="XC286" s="4"/>
      <c r="XD286" s="4"/>
      <c r="XE286" s="4"/>
      <c r="XF286" s="4"/>
      <c r="XG286" s="4"/>
      <c r="XH286" s="5"/>
      <c r="XI286" s="6"/>
      <c r="XJ286" s="4"/>
      <c r="XK286" s="4"/>
      <c r="XL286" s="4"/>
      <c r="XM286" s="4"/>
      <c r="XN286" s="4"/>
      <c r="XO286" s="5"/>
      <c r="XP286" s="6"/>
      <c r="XQ286" s="4"/>
      <c r="XR286" s="4"/>
      <c r="XS286" s="4"/>
      <c r="XT286" s="4"/>
      <c r="XU286" s="4"/>
      <c r="XV286" s="5"/>
      <c r="XW286" s="6"/>
      <c r="XX286" s="4"/>
      <c r="XY286" s="4"/>
      <c r="XZ286" s="4"/>
      <c r="YA286" s="4"/>
      <c r="YB286" s="4"/>
      <c r="YC286" s="5"/>
      <c r="YD286" s="6"/>
      <c r="YE286" s="4"/>
      <c r="YF286" s="4"/>
      <c r="YG286" s="4"/>
      <c r="YH286" s="4"/>
      <c r="YI286" s="4"/>
      <c r="YJ286" s="5"/>
      <c r="YK286" s="6" t="s">
        <v>645</v>
      </c>
      <c r="YL286" s="4"/>
      <c r="YM286" s="4"/>
      <c r="YN286" s="7" t="s">
        <v>1771</v>
      </c>
      <c r="YO286" s="8">
        <v>37604</v>
      </c>
      <c r="YP286" s="8">
        <v>37622</v>
      </c>
      <c r="YQ286" s="5" t="s">
        <v>342</v>
      </c>
      <c r="YR286" s="6"/>
      <c r="YS286" s="4"/>
      <c r="YT286" s="4"/>
      <c r="YU286" s="4"/>
      <c r="YV286" s="4"/>
      <c r="YW286" s="4"/>
      <c r="YX286" s="5"/>
      <c r="YY286" s="6"/>
      <c r="YZ286" s="4"/>
      <c r="ZA286" s="4"/>
      <c r="ZB286" s="4"/>
      <c r="ZC286" s="4"/>
      <c r="ZD286" s="4"/>
      <c r="ZE286" s="5"/>
      <c r="ZF286" s="6"/>
      <c r="ZG286" s="4"/>
      <c r="ZH286" s="4"/>
      <c r="ZI286" s="4"/>
      <c r="ZJ286" s="4"/>
      <c r="ZK286" s="4"/>
      <c r="ZL286" s="5"/>
      <c r="ZM286" s="6"/>
      <c r="ZN286" s="4"/>
      <c r="ZO286" s="4"/>
      <c r="ZP286" s="4"/>
      <c r="ZQ286" s="4"/>
      <c r="ZR286" s="4"/>
      <c r="ZS286" s="5"/>
      <c r="ZT286" s="6"/>
      <c r="ZU286" s="4"/>
      <c r="ZV286" s="4"/>
      <c r="ZW286" s="4"/>
      <c r="ZX286" s="4"/>
      <c r="ZY286" s="4"/>
      <c r="ZZ286" s="5"/>
      <c r="AAA286" s="6"/>
      <c r="AAB286" s="4"/>
      <c r="AAC286" s="4"/>
      <c r="AAD286" s="4"/>
      <c r="AAE286" s="4"/>
      <c r="AAF286" s="4"/>
      <c r="AAG286" s="5"/>
      <c r="AAH286" s="6"/>
      <c r="AAI286" s="4"/>
      <c r="AAJ286" s="4"/>
      <c r="AAK286" s="7"/>
      <c r="AAL286" s="8"/>
      <c r="AAM286" s="8"/>
      <c r="AAN286" s="5"/>
      <c r="AAO286" s="6"/>
      <c r="AAP286" s="4"/>
      <c r="AAQ286" s="4"/>
      <c r="AAR286" s="4"/>
      <c r="AAS286" s="4"/>
      <c r="AAT286" s="4"/>
      <c r="AAU286" s="5"/>
      <c r="AAV286" s="6"/>
      <c r="AAW286" s="4"/>
      <c r="AAX286" s="4"/>
      <c r="AAY286" s="4"/>
      <c r="AAZ286" s="4"/>
      <c r="ABA286" s="4"/>
      <c r="ABB286" s="5"/>
      <c r="ABC286" s="6"/>
      <c r="ABD286" s="4"/>
      <c r="ABE286" s="4"/>
      <c r="ABF286" s="4"/>
      <c r="ABG286" s="4"/>
      <c r="ABH286" s="4"/>
      <c r="ABI286" s="5"/>
      <c r="ABJ286" s="6"/>
      <c r="ABK286" s="4"/>
      <c r="ABL286" s="4"/>
      <c r="ABM286" s="4"/>
      <c r="ABN286" s="4"/>
      <c r="ABO286" s="4"/>
      <c r="ABP286" s="5"/>
      <c r="ABQ286" s="6"/>
      <c r="ABR286" s="4"/>
      <c r="ABS286" s="4"/>
      <c r="ABT286" s="4"/>
      <c r="ABU286" s="4"/>
      <c r="ABV286" s="4"/>
      <c r="ABW286" s="5"/>
      <c r="ABX286" s="6"/>
      <c r="ABY286" s="4"/>
      <c r="ABZ286" s="4"/>
      <c r="ACA286" s="4"/>
      <c r="ACB286" s="4"/>
      <c r="ACC286" s="4"/>
      <c r="ACD286" s="5"/>
      <c r="ACE286" s="6"/>
      <c r="ACF286" s="4"/>
      <c r="ACG286" s="4"/>
      <c r="ACH286" s="4"/>
      <c r="ACI286" s="4"/>
      <c r="ACJ286" s="4"/>
      <c r="ACK286" s="5"/>
      <c r="ACL286" s="6"/>
      <c r="ACM286" s="4"/>
      <c r="ACN286" s="4"/>
      <c r="ACO286" s="4"/>
      <c r="ACP286" s="4"/>
      <c r="ACQ286" s="4"/>
      <c r="ACR286" s="5"/>
      <c r="ACS286" s="6"/>
      <c r="ACT286" s="4"/>
      <c r="ACU286" s="4"/>
      <c r="ACV286" s="4"/>
      <c r="ACW286" s="4"/>
      <c r="ACX286" s="4"/>
      <c r="ACY286" s="5"/>
    </row>
    <row r="287" spans="1:833" x14ac:dyDescent="0.25">
      <c r="B287" s="30"/>
      <c r="J287" s="12"/>
      <c r="K287" s="12"/>
      <c r="L287" s="12"/>
      <c r="LL287" s="6"/>
      <c r="LM287" s="4"/>
      <c r="LN287" s="4"/>
      <c r="LO287" s="4"/>
      <c r="LP287" s="4"/>
      <c r="LQ287" s="4"/>
      <c r="LR287" s="5"/>
      <c r="LS287" s="6"/>
      <c r="LT287" s="4"/>
      <c r="LU287" s="4"/>
      <c r="LV287" s="4"/>
      <c r="LW287" s="4"/>
      <c r="LX287" s="4"/>
      <c r="LY287" s="5"/>
      <c r="LZ287" s="6" t="s">
        <v>1911</v>
      </c>
      <c r="MA287" s="16" t="s">
        <v>2451</v>
      </c>
      <c r="MB287" s="7" t="s">
        <v>646</v>
      </c>
      <c r="MC287" s="7" t="s">
        <v>3027</v>
      </c>
      <c r="MD287" s="8">
        <v>37606</v>
      </c>
      <c r="ME287" s="8">
        <v>37606</v>
      </c>
      <c r="MF287" s="8"/>
      <c r="MG287" s="5" t="s">
        <v>385</v>
      </c>
      <c r="MH287" s="6"/>
      <c r="MI287" s="4"/>
      <c r="MJ287" s="4"/>
      <c r="MK287" s="4"/>
      <c r="ML287" s="4"/>
      <c r="MM287" s="4"/>
      <c r="MN287" s="5"/>
      <c r="MO287" s="6"/>
      <c r="MP287" s="4"/>
      <c r="MQ287" s="4"/>
      <c r="MR287" s="4"/>
      <c r="MS287" s="4"/>
      <c r="MT287" s="4"/>
      <c r="MU287" s="5"/>
      <c r="MV287" s="6"/>
      <c r="MW287" s="4"/>
      <c r="MX287" s="4"/>
      <c r="MY287" s="4"/>
      <c r="MZ287" s="4"/>
      <c r="NA287" s="4"/>
      <c r="NB287" s="5"/>
      <c r="NC287" s="6"/>
      <c r="ND287" s="4"/>
      <c r="NE287" s="4"/>
      <c r="NF287" s="7"/>
      <c r="NG287" s="8"/>
      <c r="NH287" s="8"/>
      <c r="NI287" s="5"/>
      <c r="NJ287" s="6"/>
      <c r="NK287" s="4"/>
      <c r="NL287" s="4"/>
      <c r="NM287" s="4"/>
      <c r="NN287" s="8"/>
      <c r="NO287" s="8"/>
      <c r="NP287" s="5"/>
      <c r="NQ287" s="6"/>
      <c r="NR287" s="4"/>
      <c r="NS287" s="4"/>
      <c r="NT287" s="4"/>
      <c r="NU287" s="8"/>
      <c r="NV287" s="8"/>
      <c r="NW287" s="5"/>
      <c r="NX287" s="6" t="s">
        <v>644</v>
      </c>
      <c r="NY287" s="7" t="s">
        <v>518</v>
      </c>
      <c r="NZ287" s="4"/>
      <c r="OA287" s="7" t="s">
        <v>3027</v>
      </c>
      <c r="OB287" s="8">
        <v>37607</v>
      </c>
      <c r="OC287" s="8">
        <v>37607</v>
      </c>
      <c r="OD287" s="5" t="s">
        <v>270</v>
      </c>
      <c r="OE287" s="6"/>
      <c r="OF287" s="4"/>
      <c r="OG287" s="4"/>
      <c r="OH287" s="4"/>
      <c r="OI287" s="4"/>
      <c r="OJ287" s="4"/>
      <c r="OK287" s="5"/>
      <c r="OL287" s="6"/>
      <c r="OM287" s="4"/>
      <c r="ON287" s="4"/>
      <c r="OO287" s="4"/>
      <c r="OP287" s="4"/>
      <c r="OQ287" s="4"/>
      <c r="OR287" s="5"/>
      <c r="OS287" s="6"/>
      <c r="OT287" s="4"/>
      <c r="OU287" s="4"/>
      <c r="OV287" s="4"/>
      <c r="OW287" s="4"/>
      <c r="OX287" s="4"/>
      <c r="OY287" s="5"/>
      <c r="OZ287" s="6"/>
      <c r="PA287" s="4"/>
      <c r="PB287" s="4"/>
      <c r="PC287" s="4"/>
      <c r="PD287" s="4"/>
      <c r="PE287" s="4"/>
      <c r="PF287" s="5"/>
      <c r="PG287" s="6"/>
      <c r="PH287" s="4"/>
      <c r="PI287" s="4"/>
      <c r="PJ287" s="4"/>
      <c r="PK287" s="4"/>
      <c r="PL287" s="4"/>
      <c r="PM287" s="5"/>
      <c r="PN287" s="6"/>
      <c r="PO287" s="4"/>
      <c r="PP287" s="4"/>
      <c r="PQ287" s="4"/>
      <c r="PR287" s="4"/>
      <c r="PS287" s="4"/>
      <c r="PT287" s="5"/>
      <c r="PU287" s="6"/>
      <c r="PV287" s="4"/>
      <c r="PW287" s="4"/>
      <c r="PX287" s="4"/>
      <c r="PY287" s="4"/>
      <c r="PZ287" s="4"/>
      <c r="QA287" s="5"/>
      <c r="QB287" s="6" t="s">
        <v>519</v>
      </c>
      <c r="QC287" s="7" t="s">
        <v>962</v>
      </c>
      <c r="QD287" s="4" t="s">
        <v>520</v>
      </c>
      <c r="QE287" s="7" t="s">
        <v>3027</v>
      </c>
      <c r="QF287" s="8">
        <v>37609</v>
      </c>
      <c r="QG287" s="8">
        <v>37609</v>
      </c>
      <c r="QH287" s="5" t="s">
        <v>400</v>
      </c>
      <c r="QI287" s="6"/>
      <c r="QJ287" s="4"/>
      <c r="QK287" s="4"/>
      <c r="QL287" s="4"/>
      <c r="QM287" s="4"/>
      <c r="QN287" s="4"/>
      <c r="QO287" s="5"/>
      <c r="QP287" s="6"/>
      <c r="QQ287" s="4"/>
      <c r="QR287" s="4"/>
      <c r="QS287" s="4"/>
      <c r="QT287" s="4"/>
      <c r="QU287" s="4"/>
      <c r="QV287" s="5"/>
      <c r="QW287" s="6"/>
      <c r="QX287" s="4"/>
      <c r="QY287" s="4"/>
      <c r="QZ287" s="4"/>
      <c r="RA287" s="4"/>
      <c r="RB287" s="4"/>
      <c r="RC287" s="5"/>
      <c r="RD287" s="6"/>
      <c r="RE287" s="4"/>
      <c r="RF287" s="4"/>
      <c r="RG287" s="4"/>
      <c r="RH287" s="4"/>
      <c r="RI287" s="4"/>
      <c r="RJ287" s="5"/>
      <c r="RK287" s="6"/>
      <c r="RL287" s="4"/>
      <c r="RM287" s="4"/>
      <c r="RN287" s="4"/>
      <c r="RO287" s="4"/>
      <c r="RP287" s="4"/>
      <c r="RQ287" s="5"/>
      <c r="RR287" s="6"/>
      <c r="RS287" s="4"/>
      <c r="RT287" s="4"/>
      <c r="RU287" s="4"/>
      <c r="RV287" s="4"/>
      <c r="RW287" s="4"/>
      <c r="RX287" s="5"/>
      <c r="RY287" s="6"/>
      <c r="RZ287" s="4"/>
      <c r="SA287" s="4"/>
      <c r="SB287" s="4"/>
      <c r="SC287" s="4"/>
      <c r="SD287" s="4"/>
      <c r="SE287" s="5"/>
      <c r="SF287" s="6"/>
      <c r="SG287" s="4"/>
      <c r="SH287" s="4"/>
      <c r="SI287" s="4"/>
      <c r="SJ287" s="4"/>
      <c r="SK287" s="4"/>
      <c r="SL287" s="5"/>
      <c r="SM287" s="6"/>
      <c r="SN287" s="4"/>
      <c r="SO287" s="4"/>
      <c r="SP287" s="4"/>
      <c r="SQ287" s="4"/>
      <c r="SR287" s="4"/>
      <c r="SS287" s="5"/>
      <c r="ST287" s="6"/>
      <c r="SU287" s="4"/>
      <c r="SV287" s="4"/>
      <c r="SW287" s="4"/>
      <c r="SX287" s="4"/>
      <c r="SY287" s="4"/>
      <c r="SZ287" s="5"/>
      <c r="TA287" s="6"/>
      <c r="TB287" s="4"/>
      <c r="TC287" s="4"/>
      <c r="TD287" s="4"/>
      <c r="TE287" s="4"/>
      <c r="TF287" s="4"/>
      <c r="TG287" s="5"/>
      <c r="TH287" s="6"/>
      <c r="TI287" s="4"/>
      <c r="TJ287" s="4"/>
      <c r="TK287" s="4"/>
      <c r="TL287" s="4"/>
      <c r="TM287" s="4"/>
      <c r="TN287" s="5"/>
      <c r="TO287" s="6"/>
      <c r="TP287" s="4"/>
      <c r="TQ287" s="4"/>
      <c r="TR287" s="4"/>
      <c r="TS287" s="4"/>
      <c r="TT287" s="4"/>
      <c r="TU287" s="5"/>
      <c r="TV287" s="6"/>
      <c r="TW287" s="4"/>
      <c r="TX287" s="4"/>
      <c r="TY287" s="4"/>
      <c r="TZ287" s="4"/>
      <c r="UA287" s="4"/>
      <c r="UB287" s="5"/>
      <c r="UC287" s="6"/>
      <c r="UD287" s="4"/>
      <c r="UE287" s="4"/>
      <c r="UF287" s="4"/>
      <c r="UG287" s="4"/>
      <c r="UH287" s="4"/>
      <c r="UI287" s="5"/>
      <c r="UJ287" s="6"/>
      <c r="UK287" s="4"/>
      <c r="UL287" s="4"/>
      <c r="UM287" s="4"/>
      <c r="UN287" s="4"/>
      <c r="UO287" s="4"/>
      <c r="UP287" s="5"/>
      <c r="UQ287" s="6"/>
      <c r="UR287" s="4"/>
      <c r="US287" s="4"/>
      <c r="UT287" s="4"/>
      <c r="UU287" s="4"/>
      <c r="UV287" s="4"/>
      <c r="UW287" s="5"/>
      <c r="UX287" s="6"/>
      <c r="UY287" s="4"/>
      <c r="UZ287" s="4"/>
      <c r="VA287" s="4"/>
      <c r="VB287" s="4"/>
      <c r="VC287" s="4"/>
      <c r="VD287" s="5"/>
      <c r="VE287" s="6"/>
      <c r="VF287" s="4"/>
      <c r="VG287" s="4"/>
      <c r="VH287" s="4"/>
      <c r="VI287" s="4"/>
      <c r="VJ287" s="4"/>
      <c r="VK287" s="5"/>
      <c r="VL287" s="6"/>
      <c r="VM287" s="4"/>
      <c r="VN287" s="4"/>
      <c r="VO287" s="4"/>
      <c r="VP287" s="4"/>
      <c r="VQ287" s="4"/>
      <c r="VR287" s="5"/>
      <c r="VS287" s="6"/>
      <c r="VT287" s="4"/>
      <c r="VU287" s="4"/>
      <c r="VV287" s="4"/>
      <c r="VW287" s="4"/>
      <c r="VX287" s="4"/>
      <c r="VY287" s="5"/>
      <c r="VZ287" s="6"/>
      <c r="WA287" s="4"/>
      <c r="WB287" s="4"/>
      <c r="WC287" s="4"/>
      <c r="WD287" s="4"/>
      <c r="WE287" s="4"/>
      <c r="WF287" s="5"/>
      <c r="WG287" s="6"/>
      <c r="WH287" s="4"/>
      <c r="WI287" s="4"/>
      <c r="WJ287" s="4"/>
      <c r="WK287" s="4"/>
      <c r="WL287" s="4"/>
      <c r="WM287" s="5"/>
      <c r="WN287" s="6"/>
      <c r="WO287" s="4"/>
      <c r="WP287" s="4"/>
      <c r="WQ287" s="4"/>
      <c r="WR287" s="4"/>
      <c r="WS287" s="4"/>
      <c r="WT287" s="5"/>
      <c r="WU287" s="6"/>
      <c r="WV287" s="4"/>
      <c r="WW287" s="4"/>
      <c r="WX287" s="4"/>
      <c r="WY287" s="4"/>
      <c r="WZ287" s="4"/>
      <c r="XA287" s="5"/>
      <c r="XB287" s="6"/>
      <c r="XC287" s="4"/>
      <c r="XD287" s="4"/>
      <c r="XE287" s="4"/>
      <c r="XF287" s="4"/>
      <c r="XG287" s="4"/>
      <c r="XH287" s="5"/>
      <c r="XI287" s="6"/>
      <c r="XJ287" s="4"/>
      <c r="XK287" s="4"/>
      <c r="XL287" s="4"/>
      <c r="XM287" s="4"/>
      <c r="XN287" s="4"/>
      <c r="XO287" s="5"/>
      <c r="XP287" s="6"/>
      <c r="XQ287" s="4"/>
      <c r="XR287" s="4"/>
      <c r="XS287" s="4"/>
      <c r="XT287" s="4"/>
      <c r="XU287" s="4"/>
      <c r="XV287" s="5"/>
      <c r="XW287" s="6"/>
      <c r="XX287" s="4"/>
      <c r="XY287" s="4"/>
      <c r="XZ287" s="4"/>
      <c r="YA287" s="4"/>
      <c r="YB287" s="4"/>
      <c r="YC287" s="5"/>
      <c r="YD287" s="6"/>
      <c r="YE287" s="4"/>
      <c r="YF287" s="4"/>
      <c r="YG287" s="4"/>
      <c r="YH287" s="4"/>
      <c r="YI287" s="4"/>
      <c r="YJ287" s="5"/>
      <c r="YK287" s="6" t="s">
        <v>1432</v>
      </c>
      <c r="YL287" s="7" t="s">
        <v>1636</v>
      </c>
      <c r="YM287" s="7" t="s">
        <v>1945</v>
      </c>
      <c r="YN287" s="7" t="s">
        <v>2771</v>
      </c>
      <c r="YO287" s="8">
        <v>37610</v>
      </c>
      <c r="YP287" s="48">
        <v>37613</v>
      </c>
      <c r="YQ287" s="40" t="s">
        <v>343</v>
      </c>
      <c r="YR287" s="6"/>
      <c r="YS287" s="4"/>
      <c r="YT287" s="4"/>
      <c r="YU287" s="4"/>
      <c r="YV287" s="4"/>
      <c r="YW287" s="4"/>
      <c r="YX287" s="5"/>
      <c r="YY287" s="6"/>
      <c r="YZ287" s="4"/>
      <c r="ZA287" s="4"/>
      <c r="ZB287" s="4"/>
      <c r="ZC287" s="4"/>
      <c r="ZD287" s="4"/>
      <c r="ZE287" s="5"/>
      <c r="ZF287" s="6"/>
      <c r="ZG287" s="4"/>
      <c r="ZH287" s="4"/>
      <c r="ZI287" s="4"/>
      <c r="ZJ287" s="4"/>
      <c r="ZK287" s="4"/>
      <c r="ZL287" s="5"/>
      <c r="ZM287" s="6"/>
      <c r="ZN287" s="4"/>
      <c r="ZO287" s="4"/>
      <c r="ZP287" s="4"/>
      <c r="ZQ287" s="4"/>
      <c r="ZR287" s="4"/>
      <c r="ZS287" s="5"/>
      <c r="ZT287" s="6"/>
      <c r="ZU287" s="4"/>
      <c r="ZV287" s="4"/>
      <c r="ZW287" s="4"/>
      <c r="ZX287" s="4"/>
      <c r="ZY287" s="4"/>
      <c r="ZZ287" s="5"/>
      <c r="AAA287" s="6"/>
      <c r="AAB287" s="4"/>
      <c r="AAC287" s="4"/>
      <c r="AAD287" s="4"/>
      <c r="AAE287" s="4"/>
      <c r="AAF287" s="4"/>
      <c r="AAG287" s="5"/>
      <c r="AAH287" s="6"/>
      <c r="AAI287" s="4"/>
      <c r="AAJ287" s="4"/>
      <c r="AAK287" s="7"/>
      <c r="AAL287" s="8"/>
      <c r="AAM287" s="8"/>
      <c r="AAN287" s="5"/>
      <c r="AAO287" s="6"/>
      <c r="AAP287" s="4"/>
      <c r="AAQ287" s="4"/>
      <c r="AAR287" s="4"/>
      <c r="AAS287" s="4"/>
      <c r="AAT287" s="4"/>
      <c r="AAU287" s="5"/>
      <c r="AAV287" s="6"/>
      <c r="AAW287" s="4"/>
      <c r="AAX287" s="4"/>
      <c r="AAY287" s="4"/>
      <c r="AAZ287" s="4"/>
      <c r="ABA287" s="4"/>
      <c r="ABB287" s="5"/>
      <c r="ABC287" s="6"/>
      <c r="ABD287" s="4"/>
      <c r="ABE287" s="4"/>
      <c r="ABF287" s="4"/>
      <c r="ABG287" s="4"/>
      <c r="ABH287" s="4"/>
      <c r="ABI287" s="5"/>
      <c r="ABJ287" s="6"/>
      <c r="ABK287" s="4"/>
      <c r="ABL287" s="4"/>
      <c r="ABM287" s="4"/>
      <c r="ABN287" s="4"/>
      <c r="ABO287" s="4"/>
      <c r="ABP287" s="5"/>
      <c r="ABQ287" s="6"/>
      <c r="ABR287" s="4"/>
      <c r="ABS287" s="4"/>
      <c r="ABT287" s="4"/>
      <c r="ABU287" s="4"/>
      <c r="ABV287" s="4"/>
      <c r="ABW287" s="5"/>
      <c r="ABX287" s="6"/>
      <c r="ABY287" s="4"/>
      <c r="ABZ287" s="4"/>
      <c r="ACA287" s="4"/>
      <c r="ACB287" s="4"/>
      <c r="ACC287" s="4"/>
      <c r="ACD287" s="5"/>
      <c r="ACE287" s="6"/>
      <c r="ACF287" s="4"/>
      <c r="ACG287" s="4"/>
      <c r="ACH287" s="4"/>
      <c r="ACI287" s="4"/>
      <c r="ACJ287" s="4"/>
      <c r="ACK287" s="5"/>
      <c r="ACL287" s="6"/>
      <c r="ACM287" s="4"/>
      <c r="ACN287" s="4"/>
      <c r="ACO287" s="4"/>
      <c r="ACP287" s="4"/>
      <c r="ACQ287" s="4"/>
      <c r="ACR287" s="5"/>
      <c r="ACS287" s="6"/>
      <c r="ACT287" s="4"/>
      <c r="ACU287" s="4"/>
      <c r="ACV287" s="4"/>
      <c r="ACW287" s="4"/>
      <c r="ACX287" s="4"/>
      <c r="ACY287" s="5"/>
    </row>
    <row r="288" spans="1:833" x14ac:dyDescent="0.25">
      <c r="B288" s="30"/>
      <c r="J288" s="12"/>
      <c r="K288" s="12"/>
      <c r="L288" s="12"/>
      <c r="LL288" s="6"/>
      <c r="LM288" s="4"/>
      <c r="LN288" s="4"/>
      <c r="LO288" s="4"/>
      <c r="LP288" s="4"/>
      <c r="LQ288" s="4"/>
      <c r="LR288" s="5"/>
      <c r="LS288" s="6"/>
      <c r="LT288" s="4"/>
      <c r="LU288" s="4"/>
      <c r="LV288" s="4"/>
      <c r="LW288" s="4"/>
      <c r="LX288" s="4"/>
      <c r="LY288" s="5"/>
      <c r="LZ288" s="6" t="s">
        <v>3102</v>
      </c>
      <c r="MA288" s="7" t="s">
        <v>3103</v>
      </c>
      <c r="MB288" s="4"/>
      <c r="MC288" s="7" t="s">
        <v>3027</v>
      </c>
      <c r="MD288" s="8">
        <v>37603</v>
      </c>
      <c r="ME288" s="8">
        <v>37603</v>
      </c>
      <c r="MF288" s="8"/>
      <c r="MG288" s="5" t="s">
        <v>386</v>
      </c>
      <c r="MH288" s="6"/>
      <c r="MI288" s="4"/>
      <c r="MJ288" s="4"/>
      <c r="MK288" s="4"/>
      <c r="ML288" s="4"/>
      <c r="MM288" s="4"/>
      <c r="MN288" s="5"/>
      <c r="MO288" s="6"/>
      <c r="MP288" s="4"/>
      <c r="MQ288" s="4"/>
      <c r="MR288" s="4"/>
      <c r="MS288" s="4"/>
      <c r="MT288" s="4"/>
      <c r="MU288" s="5"/>
      <c r="MV288" s="6"/>
      <c r="MW288" s="4"/>
      <c r="MX288" s="4"/>
      <c r="MY288" s="4"/>
      <c r="MZ288" s="4"/>
      <c r="NA288" s="4"/>
      <c r="NB288" s="5"/>
      <c r="NC288" s="6"/>
      <c r="ND288" s="4"/>
      <c r="NE288" s="4"/>
      <c r="NF288" s="7"/>
      <c r="NG288" s="8"/>
      <c r="NH288" s="8"/>
      <c r="NI288" s="5"/>
      <c r="NJ288" s="6"/>
      <c r="NK288" s="4"/>
      <c r="NL288" s="4"/>
      <c r="NM288" s="4"/>
      <c r="NN288" s="8"/>
      <c r="NO288" s="8"/>
      <c r="NP288" s="5"/>
      <c r="NQ288" s="6"/>
      <c r="NR288" s="4"/>
      <c r="NS288" s="4"/>
      <c r="NT288" s="4"/>
      <c r="NU288" s="8"/>
      <c r="NV288" s="8"/>
      <c r="NW288" s="5"/>
      <c r="NX288" s="6" t="s">
        <v>644</v>
      </c>
      <c r="NY288" s="7" t="s">
        <v>518</v>
      </c>
      <c r="NZ288" s="4"/>
      <c r="OA288" s="7" t="s">
        <v>2149</v>
      </c>
      <c r="OB288" s="8">
        <v>37616</v>
      </c>
      <c r="OC288" s="8">
        <v>37618</v>
      </c>
      <c r="OD288" s="5" t="s">
        <v>270</v>
      </c>
      <c r="OE288" s="6"/>
      <c r="OF288" s="4"/>
      <c r="OG288" s="4"/>
      <c r="OH288" s="4"/>
      <c r="OI288" s="4"/>
      <c r="OJ288" s="4"/>
      <c r="OK288" s="5"/>
      <c r="OL288" s="6"/>
      <c r="OM288" s="4"/>
      <c r="ON288" s="4"/>
      <c r="OO288" s="4"/>
      <c r="OP288" s="4"/>
      <c r="OQ288" s="4"/>
      <c r="OR288" s="5"/>
      <c r="OS288" s="6"/>
      <c r="OT288" s="4"/>
      <c r="OU288" s="4"/>
      <c r="OV288" s="4"/>
      <c r="OW288" s="4"/>
      <c r="OX288" s="4"/>
      <c r="OY288" s="5"/>
      <c r="OZ288" s="6"/>
      <c r="PA288" s="4"/>
      <c r="PB288" s="4"/>
      <c r="PC288" s="4"/>
      <c r="PD288" s="4"/>
      <c r="PE288" s="4"/>
      <c r="PF288" s="5"/>
      <c r="PG288" s="6"/>
      <c r="PH288" s="4"/>
      <c r="PI288" s="4"/>
      <c r="PJ288" s="4"/>
      <c r="PK288" s="4"/>
      <c r="PL288" s="4"/>
      <c r="PM288" s="5"/>
      <c r="PN288" s="6"/>
      <c r="PO288" s="4"/>
      <c r="PP288" s="4"/>
      <c r="PQ288" s="4"/>
      <c r="PR288" s="4"/>
      <c r="PS288" s="4"/>
      <c r="PT288" s="5"/>
      <c r="PU288" s="6"/>
      <c r="PV288" s="4"/>
      <c r="PW288" s="4"/>
      <c r="PX288" s="4"/>
      <c r="PY288" s="4"/>
      <c r="PZ288" s="4"/>
      <c r="QA288" s="5"/>
      <c r="QB288" s="6" t="s">
        <v>1844</v>
      </c>
      <c r="QC288" s="4" t="s">
        <v>521</v>
      </c>
      <c r="QD288" s="4"/>
      <c r="QE288" s="7" t="s">
        <v>1702</v>
      </c>
      <c r="QF288" s="8">
        <v>37608</v>
      </c>
      <c r="QG288" s="8">
        <v>37630</v>
      </c>
      <c r="QH288" s="5" t="s">
        <v>275</v>
      </c>
      <c r="QI288" s="6"/>
      <c r="QJ288" s="4"/>
      <c r="QK288" s="4"/>
      <c r="QL288" s="4"/>
      <c r="QM288" s="4"/>
      <c r="QN288" s="4"/>
      <c r="QO288" s="5"/>
      <c r="QP288" s="6"/>
      <c r="QQ288" s="4"/>
      <c r="QR288" s="4"/>
      <c r="QS288" s="4"/>
      <c r="QT288" s="4"/>
      <c r="QU288" s="4"/>
      <c r="QV288" s="5"/>
      <c r="QW288" s="6"/>
      <c r="QX288" s="4"/>
      <c r="QY288" s="4"/>
      <c r="QZ288" s="4"/>
      <c r="RA288" s="4"/>
      <c r="RB288" s="4"/>
      <c r="RC288" s="5"/>
      <c r="RD288" s="6"/>
      <c r="RE288" s="4"/>
      <c r="RF288" s="4"/>
      <c r="RG288" s="4"/>
      <c r="RH288" s="4"/>
      <c r="RI288" s="4"/>
      <c r="RJ288" s="5"/>
      <c r="RK288" s="6"/>
      <c r="RL288" s="4"/>
      <c r="RM288" s="4"/>
      <c r="RN288" s="4"/>
      <c r="RO288" s="4"/>
      <c r="RP288" s="4"/>
      <c r="RQ288" s="5"/>
      <c r="RR288" s="6"/>
      <c r="RS288" s="4"/>
      <c r="RT288" s="4"/>
      <c r="RU288" s="4"/>
      <c r="RV288" s="4"/>
      <c r="RW288" s="4"/>
      <c r="RX288" s="5"/>
      <c r="RY288" s="6"/>
      <c r="RZ288" s="4"/>
      <c r="SA288" s="4"/>
      <c r="SB288" s="4"/>
      <c r="SC288" s="4"/>
      <c r="SD288" s="4"/>
      <c r="SE288" s="5"/>
      <c r="SF288" s="6"/>
      <c r="SG288" s="4"/>
      <c r="SH288" s="4"/>
      <c r="SI288" s="4"/>
      <c r="SJ288" s="4"/>
      <c r="SK288" s="4"/>
      <c r="SL288" s="5"/>
      <c r="SM288" s="6"/>
      <c r="SN288" s="4"/>
      <c r="SO288" s="4"/>
      <c r="SP288" s="4"/>
      <c r="SQ288" s="4"/>
      <c r="SR288" s="4"/>
      <c r="SS288" s="5"/>
      <c r="ST288" s="6"/>
      <c r="SU288" s="4"/>
      <c r="SV288" s="4"/>
      <c r="SW288" s="4"/>
      <c r="SX288" s="4"/>
      <c r="SY288" s="4"/>
      <c r="SZ288" s="5"/>
      <c r="TA288" s="6"/>
      <c r="TB288" s="4"/>
      <c r="TC288" s="4"/>
      <c r="TD288" s="4"/>
      <c r="TE288" s="4"/>
      <c r="TF288" s="4"/>
      <c r="TG288" s="5"/>
      <c r="TH288" s="6"/>
      <c r="TI288" s="4"/>
      <c r="TJ288" s="4"/>
      <c r="TK288" s="4"/>
      <c r="TL288" s="4"/>
      <c r="TM288" s="4"/>
      <c r="TN288" s="5"/>
      <c r="TO288" s="6"/>
      <c r="TP288" s="4"/>
      <c r="TQ288" s="4"/>
      <c r="TR288" s="4"/>
      <c r="TS288" s="4"/>
      <c r="TT288" s="4"/>
      <c r="TU288" s="5"/>
      <c r="TV288" s="6"/>
      <c r="TW288" s="4"/>
      <c r="TX288" s="4"/>
      <c r="TY288" s="4"/>
      <c r="TZ288" s="4"/>
      <c r="UA288" s="4"/>
      <c r="UB288" s="5"/>
      <c r="UC288" s="6"/>
      <c r="UD288" s="4"/>
      <c r="UE288" s="4"/>
      <c r="UF288" s="4"/>
      <c r="UG288" s="4"/>
      <c r="UH288" s="4"/>
      <c r="UI288" s="5"/>
      <c r="UJ288" s="6"/>
      <c r="UK288" s="4"/>
      <c r="UL288" s="4"/>
      <c r="UM288" s="4"/>
      <c r="UN288" s="4"/>
      <c r="UO288" s="4"/>
      <c r="UP288" s="5"/>
      <c r="UQ288" s="6"/>
      <c r="UR288" s="4"/>
      <c r="US288" s="4"/>
      <c r="UT288" s="4"/>
      <c r="UU288" s="4"/>
      <c r="UV288" s="4"/>
      <c r="UW288" s="5"/>
      <c r="UX288" s="6"/>
      <c r="UY288" s="4"/>
      <c r="UZ288" s="4"/>
      <c r="VA288" s="4"/>
      <c r="VB288" s="4"/>
      <c r="VC288" s="4"/>
      <c r="VD288" s="5"/>
      <c r="VE288" s="6"/>
      <c r="VF288" s="4"/>
      <c r="VG288" s="4"/>
      <c r="VH288" s="4"/>
      <c r="VI288" s="4"/>
      <c r="VJ288" s="4"/>
      <c r="VK288" s="5"/>
      <c r="VL288" s="6"/>
      <c r="VM288" s="4"/>
      <c r="VN288" s="4"/>
      <c r="VO288" s="4"/>
      <c r="VP288" s="4"/>
      <c r="VQ288" s="4"/>
      <c r="VR288" s="5"/>
      <c r="VS288" s="6"/>
      <c r="VT288" s="4"/>
      <c r="VU288" s="4"/>
      <c r="VV288" s="4"/>
      <c r="VW288" s="4"/>
      <c r="VX288" s="4"/>
      <c r="VY288" s="5"/>
      <c r="VZ288" s="6"/>
      <c r="WA288" s="4"/>
      <c r="WB288" s="4"/>
      <c r="WC288" s="4"/>
      <c r="WD288" s="4"/>
      <c r="WE288" s="4"/>
      <c r="WF288" s="5"/>
      <c r="WG288" s="6"/>
      <c r="WH288" s="4"/>
      <c r="WI288" s="4"/>
      <c r="WJ288" s="4"/>
      <c r="WK288" s="4"/>
      <c r="WL288" s="4"/>
      <c r="WM288" s="5"/>
      <c r="WN288" s="6"/>
      <c r="WO288" s="4"/>
      <c r="WP288" s="4"/>
      <c r="WQ288" s="4"/>
      <c r="WR288" s="4"/>
      <c r="WS288" s="4"/>
      <c r="WT288" s="5"/>
      <c r="WU288" s="6"/>
      <c r="WV288" s="4"/>
      <c r="WW288" s="4"/>
      <c r="WX288" s="4"/>
      <c r="WY288" s="4"/>
      <c r="WZ288" s="4"/>
      <c r="XA288" s="5"/>
      <c r="XB288" s="6"/>
      <c r="XC288" s="4"/>
      <c r="XD288" s="4"/>
      <c r="XE288" s="4"/>
      <c r="XF288" s="4"/>
      <c r="XG288" s="4"/>
      <c r="XH288" s="5"/>
      <c r="XI288" s="6"/>
      <c r="XJ288" s="4"/>
      <c r="XK288" s="4"/>
      <c r="XL288" s="4"/>
      <c r="XM288" s="4"/>
      <c r="XN288" s="4"/>
      <c r="XO288" s="5"/>
      <c r="XP288" s="6"/>
      <c r="XQ288" s="4"/>
      <c r="XR288" s="4"/>
      <c r="XS288" s="4"/>
      <c r="XT288" s="4"/>
      <c r="XU288" s="4"/>
      <c r="XV288" s="5"/>
      <c r="XW288" s="6"/>
      <c r="XX288" s="4"/>
      <c r="XY288" s="4"/>
      <c r="XZ288" s="4"/>
      <c r="YA288" s="4"/>
      <c r="YB288" s="4"/>
      <c r="YC288" s="5"/>
      <c r="YD288" s="6"/>
      <c r="YE288" s="4"/>
      <c r="YF288" s="4"/>
      <c r="YG288" s="4"/>
      <c r="YH288" s="4"/>
      <c r="YI288" s="4"/>
      <c r="YJ288" s="5"/>
      <c r="YK288" s="6" t="s">
        <v>522</v>
      </c>
      <c r="YL288" s="7" t="s">
        <v>522</v>
      </c>
      <c r="YM288" s="4"/>
      <c r="YN288" s="7" t="s">
        <v>2607</v>
      </c>
      <c r="YO288" s="8">
        <v>37600</v>
      </c>
      <c r="YP288" s="8">
        <v>37604</v>
      </c>
      <c r="YQ288" s="5" t="s">
        <v>344</v>
      </c>
      <c r="YR288" s="6"/>
      <c r="YS288" s="4"/>
      <c r="YT288" s="4"/>
      <c r="YU288" s="4"/>
      <c r="YV288" s="4"/>
      <c r="YW288" s="4"/>
      <c r="YX288" s="5"/>
      <c r="YY288" s="6"/>
      <c r="YZ288" s="4"/>
      <c r="ZA288" s="4"/>
      <c r="ZB288" s="4"/>
      <c r="ZC288" s="4"/>
      <c r="ZD288" s="4"/>
      <c r="ZE288" s="5"/>
      <c r="ZF288" s="6"/>
      <c r="ZG288" s="4"/>
      <c r="ZH288" s="4"/>
      <c r="ZI288" s="4"/>
      <c r="ZJ288" s="4"/>
      <c r="ZK288" s="4"/>
      <c r="ZL288" s="5"/>
      <c r="ZM288" s="6"/>
      <c r="ZN288" s="4"/>
      <c r="ZO288" s="4"/>
      <c r="ZP288" s="4"/>
      <c r="ZQ288" s="4"/>
      <c r="ZR288" s="4"/>
      <c r="ZS288" s="5"/>
      <c r="ZT288" s="6"/>
      <c r="ZU288" s="4"/>
      <c r="ZV288" s="4"/>
      <c r="ZW288" s="4"/>
      <c r="ZX288" s="4"/>
      <c r="ZY288" s="4"/>
      <c r="ZZ288" s="5"/>
      <c r="AAA288" s="6"/>
      <c r="AAB288" s="4"/>
      <c r="AAC288" s="4"/>
      <c r="AAD288" s="4"/>
      <c r="AAE288" s="4"/>
      <c r="AAF288" s="4"/>
      <c r="AAG288" s="5"/>
      <c r="AAH288" s="6"/>
      <c r="AAI288" s="4"/>
      <c r="AAJ288" s="4"/>
      <c r="AAK288" s="7"/>
      <c r="AAL288" s="8"/>
      <c r="AAM288" s="8"/>
      <c r="AAN288" s="5"/>
      <c r="AAO288" s="6"/>
      <c r="AAP288" s="4"/>
      <c r="AAQ288" s="4"/>
      <c r="AAR288" s="4"/>
      <c r="AAS288" s="4"/>
      <c r="AAT288" s="4"/>
      <c r="AAU288" s="5"/>
      <c r="AAV288" s="6"/>
      <c r="AAW288" s="4"/>
      <c r="AAX288" s="4"/>
      <c r="AAY288" s="4"/>
      <c r="AAZ288" s="4"/>
      <c r="ABA288" s="4"/>
      <c r="ABB288" s="5"/>
      <c r="ABC288" s="6"/>
      <c r="ABD288" s="4"/>
      <c r="ABE288" s="4"/>
      <c r="ABF288" s="4"/>
      <c r="ABG288" s="4"/>
      <c r="ABH288" s="4"/>
      <c r="ABI288" s="5"/>
      <c r="ABJ288" s="6"/>
      <c r="ABK288" s="4"/>
      <c r="ABL288" s="4"/>
      <c r="ABM288" s="4"/>
      <c r="ABN288" s="4"/>
      <c r="ABO288" s="4"/>
      <c r="ABP288" s="5"/>
      <c r="ABQ288" s="6"/>
      <c r="ABR288" s="4"/>
      <c r="ABS288" s="4"/>
      <c r="ABT288" s="4"/>
      <c r="ABU288" s="4"/>
      <c r="ABV288" s="4"/>
      <c r="ABW288" s="5"/>
      <c r="ABX288" s="6"/>
      <c r="ABY288" s="4"/>
      <c r="ABZ288" s="4"/>
      <c r="ACA288" s="4"/>
      <c r="ACB288" s="4"/>
      <c r="ACC288" s="4"/>
      <c r="ACD288" s="5"/>
      <c r="ACE288" s="6"/>
      <c r="ACF288" s="4"/>
      <c r="ACG288" s="4"/>
      <c r="ACH288" s="4"/>
      <c r="ACI288" s="4"/>
      <c r="ACJ288" s="4"/>
      <c r="ACK288" s="5"/>
      <c r="ACL288" s="6"/>
      <c r="ACM288" s="4"/>
      <c r="ACN288" s="4"/>
      <c r="ACO288" s="4"/>
      <c r="ACP288" s="4"/>
      <c r="ACQ288" s="4"/>
      <c r="ACR288" s="5"/>
      <c r="ACS288" s="6"/>
      <c r="ACT288" s="4"/>
      <c r="ACU288" s="4"/>
      <c r="ACV288" s="4"/>
      <c r="ACW288" s="4"/>
      <c r="ACX288" s="4"/>
      <c r="ACY288" s="5"/>
    </row>
    <row r="289" spans="2:805" x14ac:dyDescent="0.25">
      <c r="B289" s="30"/>
      <c r="J289" s="12"/>
      <c r="K289" s="12"/>
      <c r="L289" s="12"/>
      <c r="LL289" s="6"/>
      <c r="LM289" s="4"/>
      <c r="LN289" s="4"/>
      <c r="LO289" s="4"/>
      <c r="LP289" s="4"/>
      <c r="LQ289" s="4"/>
      <c r="LR289" s="5"/>
      <c r="LS289" s="6"/>
      <c r="LT289" s="4"/>
      <c r="LU289" s="4"/>
      <c r="LV289" s="4"/>
      <c r="LW289" s="4"/>
      <c r="LX289" s="4"/>
      <c r="LY289" s="5"/>
      <c r="LZ289" s="6" t="s">
        <v>2064</v>
      </c>
      <c r="MA289" s="7" t="s">
        <v>2375</v>
      </c>
      <c r="MB289" s="4"/>
      <c r="MC289" s="7" t="s">
        <v>2702</v>
      </c>
      <c r="MD289" s="8">
        <v>37604</v>
      </c>
      <c r="ME289" s="8">
        <v>37605</v>
      </c>
      <c r="MF289" s="8"/>
      <c r="MG289" s="5" t="s">
        <v>387</v>
      </c>
      <c r="MH289" s="6"/>
      <c r="MI289" s="4"/>
      <c r="MJ289" s="4"/>
      <c r="MK289" s="4"/>
      <c r="ML289" s="4"/>
      <c r="MM289" s="4"/>
      <c r="MN289" s="5"/>
      <c r="MO289" s="6"/>
      <c r="MP289" s="4"/>
      <c r="MQ289" s="4"/>
      <c r="MR289" s="4"/>
      <c r="MS289" s="4"/>
      <c r="MT289" s="4"/>
      <c r="MU289" s="5"/>
      <c r="MV289" s="6"/>
      <c r="MW289" s="4"/>
      <c r="MX289" s="4"/>
      <c r="MY289" s="4"/>
      <c r="MZ289" s="4"/>
      <c r="NA289" s="4"/>
      <c r="NB289" s="5"/>
      <c r="NC289" s="6"/>
      <c r="ND289" s="4"/>
      <c r="NE289" s="4"/>
      <c r="NF289" s="7"/>
      <c r="NG289" s="8"/>
      <c r="NH289" s="8"/>
      <c r="NI289" s="5"/>
      <c r="NJ289" s="6"/>
      <c r="NK289" s="4"/>
      <c r="NL289" s="4"/>
      <c r="NM289" s="4"/>
      <c r="NN289" s="8"/>
      <c r="NO289" s="8"/>
      <c r="NP289" s="5"/>
      <c r="NQ289" s="6"/>
      <c r="NR289" s="4"/>
      <c r="NS289" s="4"/>
      <c r="NT289" s="4"/>
      <c r="NU289" s="8"/>
      <c r="NV289" s="8"/>
      <c r="NW289" s="5"/>
      <c r="NX289" s="6" t="s">
        <v>644</v>
      </c>
      <c r="NY289" s="7" t="s">
        <v>518</v>
      </c>
      <c r="NZ289" s="4"/>
      <c r="OA289" s="7" t="s">
        <v>3027</v>
      </c>
      <c r="OB289" s="8">
        <v>37620</v>
      </c>
      <c r="OC289" s="8">
        <v>37620</v>
      </c>
      <c r="OD289" s="5" t="s">
        <v>270</v>
      </c>
      <c r="OE289" s="6"/>
      <c r="OF289" s="4"/>
      <c r="OG289" s="4"/>
      <c r="OH289" s="4"/>
      <c r="OI289" s="4"/>
      <c r="OJ289" s="4"/>
      <c r="OK289" s="5"/>
      <c r="OL289" s="6"/>
      <c r="OM289" s="4"/>
      <c r="ON289" s="4"/>
      <c r="OO289" s="4"/>
      <c r="OP289" s="4"/>
      <c r="OQ289" s="4"/>
      <c r="OR289" s="5"/>
      <c r="OS289" s="6"/>
      <c r="OT289" s="4"/>
      <c r="OU289" s="4"/>
      <c r="OV289" s="4"/>
      <c r="OW289" s="4"/>
      <c r="OX289" s="4"/>
      <c r="OY289" s="5"/>
      <c r="OZ289" s="6"/>
      <c r="PA289" s="4"/>
      <c r="PB289" s="4"/>
      <c r="PC289" s="4"/>
      <c r="PD289" s="4"/>
      <c r="PE289" s="4"/>
      <c r="PF289" s="5"/>
      <c r="PG289" s="6"/>
      <c r="PH289" s="4"/>
      <c r="PI289" s="4"/>
      <c r="PJ289" s="4"/>
      <c r="PK289" s="4"/>
      <c r="PL289" s="4"/>
      <c r="PM289" s="5"/>
      <c r="PN289" s="6"/>
      <c r="PO289" s="4"/>
      <c r="PP289" s="4"/>
      <c r="PQ289" s="4"/>
      <c r="PR289" s="4"/>
      <c r="PS289" s="4"/>
      <c r="PT289" s="5"/>
      <c r="PU289" s="6"/>
      <c r="PV289" s="4"/>
      <c r="PW289" s="4"/>
      <c r="PX289" s="4"/>
      <c r="PY289" s="4"/>
      <c r="PZ289" s="4"/>
      <c r="QA289" s="5"/>
      <c r="QB289" s="6" t="s">
        <v>1843</v>
      </c>
      <c r="QC289" s="7" t="s">
        <v>1799</v>
      </c>
      <c r="QD289" s="4" t="s">
        <v>1664</v>
      </c>
      <c r="QE289" s="7" t="s">
        <v>3027</v>
      </c>
      <c r="QF289" s="8">
        <v>37607</v>
      </c>
      <c r="QG289" s="8">
        <v>37607</v>
      </c>
      <c r="QH289" s="5" t="s">
        <v>401</v>
      </c>
      <c r="QI289" s="6"/>
      <c r="QJ289" s="4"/>
      <c r="QK289" s="4"/>
      <c r="QL289" s="4"/>
      <c r="QM289" s="4"/>
      <c r="QN289" s="4"/>
      <c r="QO289" s="5"/>
      <c r="QP289" s="6"/>
      <c r="QQ289" s="4"/>
      <c r="QR289" s="4"/>
      <c r="QS289" s="4"/>
      <c r="QT289" s="4"/>
      <c r="QU289" s="4"/>
      <c r="QV289" s="5"/>
      <c r="QW289" s="6"/>
      <c r="QX289" s="4"/>
      <c r="QY289" s="4"/>
      <c r="QZ289" s="4"/>
      <c r="RA289" s="4"/>
      <c r="RB289" s="4"/>
      <c r="RC289" s="5"/>
      <c r="RD289" s="6"/>
      <c r="RE289" s="4"/>
      <c r="RF289" s="4"/>
      <c r="RG289" s="4"/>
      <c r="RH289" s="4"/>
      <c r="RI289" s="4"/>
      <c r="RJ289" s="5"/>
      <c r="RK289" s="6"/>
      <c r="RL289" s="4"/>
      <c r="RM289" s="4"/>
      <c r="RN289" s="4"/>
      <c r="RO289" s="4"/>
      <c r="RP289" s="4"/>
      <c r="RQ289" s="5"/>
      <c r="RR289" s="6"/>
      <c r="RS289" s="4"/>
      <c r="RT289" s="4"/>
      <c r="RU289" s="4"/>
      <c r="RV289" s="4"/>
      <c r="RW289" s="4"/>
      <c r="RX289" s="5"/>
      <c r="RY289" s="6"/>
      <c r="RZ289" s="4"/>
      <c r="SA289" s="4"/>
      <c r="SB289" s="4"/>
      <c r="SC289" s="4"/>
      <c r="SD289" s="4"/>
      <c r="SE289" s="5"/>
      <c r="SF289" s="6"/>
      <c r="SG289" s="4"/>
      <c r="SH289" s="4"/>
      <c r="SI289" s="4"/>
      <c r="SJ289" s="4"/>
      <c r="SK289" s="4"/>
      <c r="SL289" s="5"/>
      <c r="SM289" s="6"/>
      <c r="SN289" s="4"/>
      <c r="SO289" s="4"/>
      <c r="SP289" s="4"/>
      <c r="SQ289" s="4"/>
      <c r="SR289" s="4"/>
      <c r="SS289" s="5"/>
      <c r="ST289" s="6"/>
      <c r="SU289" s="4"/>
      <c r="SV289" s="4"/>
      <c r="SW289" s="4"/>
      <c r="SX289" s="4"/>
      <c r="SY289" s="4"/>
      <c r="SZ289" s="5"/>
      <c r="TA289" s="6"/>
      <c r="TB289" s="4"/>
      <c r="TC289" s="4"/>
      <c r="TD289" s="4"/>
      <c r="TE289" s="4"/>
      <c r="TF289" s="4"/>
      <c r="TG289" s="5"/>
      <c r="TH289" s="6"/>
      <c r="TI289" s="4"/>
      <c r="TJ289" s="4"/>
      <c r="TK289" s="4"/>
      <c r="TL289" s="4"/>
      <c r="TM289" s="4"/>
      <c r="TN289" s="5"/>
      <c r="TO289" s="6"/>
      <c r="TP289" s="4"/>
      <c r="TQ289" s="4"/>
      <c r="TR289" s="4"/>
      <c r="TS289" s="4"/>
      <c r="TT289" s="4"/>
      <c r="TU289" s="5"/>
      <c r="TV289" s="6"/>
      <c r="TW289" s="4"/>
      <c r="TX289" s="4"/>
      <c r="TY289" s="4"/>
      <c r="TZ289" s="4"/>
      <c r="UA289" s="4"/>
      <c r="UB289" s="5"/>
      <c r="UC289" s="6"/>
      <c r="UD289" s="4"/>
      <c r="UE289" s="4"/>
      <c r="UF289" s="4"/>
      <c r="UG289" s="4"/>
      <c r="UH289" s="4"/>
      <c r="UI289" s="5"/>
      <c r="UJ289" s="6"/>
      <c r="UK289" s="4"/>
      <c r="UL289" s="4"/>
      <c r="UM289" s="4"/>
      <c r="UN289" s="4"/>
      <c r="UO289" s="4"/>
      <c r="UP289" s="5"/>
      <c r="UQ289" s="6"/>
      <c r="UR289" s="4"/>
      <c r="US289" s="4"/>
      <c r="UT289" s="4"/>
      <c r="UU289" s="4"/>
      <c r="UV289" s="4"/>
      <c r="UW289" s="5"/>
      <c r="UX289" s="6"/>
      <c r="UY289" s="4"/>
      <c r="UZ289" s="4"/>
      <c r="VA289" s="4"/>
      <c r="VB289" s="4"/>
      <c r="VC289" s="4"/>
      <c r="VD289" s="5"/>
      <c r="VE289" s="6"/>
      <c r="VF289" s="4"/>
      <c r="VG289" s="4"/>
      <c r="VH289" s="4"/>
      <c r="VI289" s="4"/>
      <c r="VJ289" s="4"/>
      <c r="VK289" s="5"/>
      <c r="VL289" s="6"/>
      <c r="VM289" s="4"/>
      <c r="VN289" s="4"/>
      <c r="VO289" s="4"/>
      <c r="VP289" s="4"/>
      <c r="VQ289" s="4"/>
      <c r="VR289" s="5"/>
      <c r="VS289" s="6"/>
      <c r="VT289" s="4"/>
      <c r="VU289" s="4"/>
      <c r="VV289" s="4"/>
      <c r="VW289" s="4"/>
      <c r="VX289" s="4"/>
      <c r="VY289" s="5"/>
      <c r="VZ289" s="6"/>
      <c r="WA289" s="4"/>
      <c r="WB289" s="4"/>
      <c r="WC289" s="4"/>
      <c r="WD289" s="4"/>
      <c r="WE289" s="4"/>
      <c r="WF289" s="5"/>
      <c r="WG289" s="6"/>
      <c r="WH289" s="4"/>
      <c r="WI289" s="4"/>
      <c r="WJ289" s="4"/>
      <c r="WK289" s="4"/>
      <c r="WL289" s="4"/>
      <c r="WM289" s="5"/>
      <c r="WN289" s="6"/>
      <c r="WO289" s="4"/>
      <c r="WP289" s="4"/>
      <c r="WQ289" s="4"/>
      <c r="WR289" s="4"/>
      <c r="WS289" s="4"/>
      <c r="WT289" s="5"/>
      <c r="WU289" s="6"/>
      <c r="WV289" s="4"/>
      <c r="WW289" s="4"/>
      <c r="WX289" s="4"/>
      <c r="WY289" s="4"/>
      <c r="WZ289" s="4"/>
      <c r="XA289" s="5"/>
      <c r="XB289" s="6"/>
      <c r="XC289" s="4"/>
      <c r="XD289" s="4"/>
      <c r="XE289" s="4"/>
      <c r="XF289" s="4"/>
      <c r="XG289" s="4"/>
      <c r="XH289" s="5"/>
      <c r="XI289" s="6"/>
      <c r="XJ289" s="4"/>
      <c r="XK289" s="4"/>
      <c r="XL289" s="4"/>
      <c r="XM289" s="4"/>
      <c r="XN289" s="4"/>
      <c r="XO289" s="5"/>
      <c r="XP289" s="6"/>
      <c r="XQ289" s="4"/>
      <c r="XR289" s="4"/>
      <c r="XS289" s="4"/>
      <c r="XT289" s="4"/>
      <c r="XU289" s="4"/>
      <c r="XV289" s="5"/>
      <c r="XW289" s="6"/>
      <c r="XX289" s="4"/>
      <c r="XY289" s="4"/>
      <c r="XZ289" s="4"/>
      <c r="YA289" s="4"/>
      <c r="YB289" s="4"/>
      <c r="YC289" s="5"/>
      <c r="YD289" s="6"/>
      <c r="YE289" s="4"/>
      <c r="YF289" s="4"/>
      <c r="YG289" s="4"/>
      <c r="YH289" s="4"/>
      <c r="YI289" s="4"/>
      <c r="YJ289" s="5"/>
      <c r="YK289" s="6" t="s">
        <v>3023</v>
      </c>
      <c r="YL289" s="7" t="s">
        <v>2722</v>
      </c>
      <c r="YM289" s="4"/>
      <c r="YN289" s="7" t="s">
        <v>1847</v>
      </c>
      <c r="YO289" s="8">
        <v>37609</v>
      </c>
      <c r="YP289" s="8">
        <v>37620</v>
      </c>
      <c r="YQ289" s="5" t="s">
        <v>345</v>
      </c>
      <c r="YR289" s="6"/>
      <c r="YS289" s="4"/>
      <c r="YT289" s="4"/>
      <c r="YU289" s="4"/>
      <c r="YV289" s="4"/>
      <c r="YW289" s="4"/>
      <c r="YX289" s="5"/>
      <c r="YY289" s="6"/>
      <c r="YZ289" s="4"/>
      <c r="ZA289" s="4"/>
      <c r="ZB289" s="4"/>
      <c r="ZC289" s="4"/>
      <c r="ZD289" s="4"/>
      <c r="ZE289" s="5"/>
      <c r="ZF289" s="6"/>
      <c r="ZG289" s="4"/>
      <c r="ZH289" s="4"/>
      <c r="ZI289" s="4"/>
      <c r="ZJ289" s="4"/>
      <c r="ZK289" s="4"/>
      <c r="ZL289" s="5"/>
      <c r="ZM289" s="6"/>
      <c r="ZN289" s="4"/>
      <c r="ZO289" s="4"/>
      <c r="ZP289" s="4"/>
      <c r="ZQ289" s="4"/>
      <c r="ZR289" s="4"/>
      <c r="ZS289" s="5"/>
      <c r="ZT289" s="6"/>
      <c r="ZU289" s="4"/>
      <c r="ZV289" s="4"/>
      <c r="ZW289" s="4"/>
      <c r="ZX289" s="4"/>
      <c r="ZY289" s="4"/>
      <c r="ZZ289" s="5"/>
      <c r="AAA289" s="6"/>
      <c r="AAB289" s="4"/>
      <c r="AAC289" s="4"/>
      <c r="AAD289" s="4"/>
      <c r="AAE289" s="4"/>
      <c r="AAF289" s="4"/>
      <c r="AAG289" s="5"/>
      <c r="AAH289" s="6"/>
      <c r="AAI289" s="4"/>
      <c r="AAJ289" s="4"/>
      <c r="AAK289" s="7"/>
      <c r="AAL289" s="8"/>
      <c r="AAM289" s="8"/>
      <c r="AAN289" s="5"/>
      <c r="AAO289" s="6"/>
      <c r="AAP289" s="4"/>
      <c r="AAQ289" s="4"/>
      <c r="AAR289" s="4"/>
      <c r="AAS289" s="4"/>
      <c r="AAT289" s="4"/>
      <c r="AAU289" s="5"/>
      <c r="AAV289" s="6"/>
      <c r="AAW289" s="4"/>
      <c r="AAX289" s="4"/>
      <c r="AAY289" s="4"/>
      <c r="AAZ289" s="4"/>
      <c r="ABA289" s="4"/>
      <c r="ABB289" s="5"/>
      <c r="ABC289" s="6"/>
      <c r="ABD289" s="4"/>
      <c r="ABE289" s="4"/>
      <c r="ABF289" s="4"/>
      <c r="ABG289" s="4"/>
      <c r="ABH289" s="4"/>
      <c r="ABI289" s="5"/>
      <c r="ABJ289" s="6"/>
      <c r="ABK289" s="4"/>
      <c r="ABL289" s="4"/>
      <c r="ABM289" s="4"/>
      <c r="ABN289" s="4"/>
      <c r="ABO289" s="4"/>
      <c r="ABP289" s="5"/>
      <c r="ABQ289" s="6"/>
      <c r="ABR289" s="4"/>
      <c r="ABS289" s="4"/>
      <c r="ABT289" s="4"/>
      <c r="ABU289" s="4"/>
      <c r="ABV289" s="4"/>
      <c r="ABW289" s="5"/>
      <c r="ABX289" s="6"/>
      <c r="ABY289" s="4"/>
      <c r="ABZ289" s="4"/>
      <c r="ACA289" s="4"/>
      <c r="ACB289" s="4"/>
      <c r="ACC289" s="4"/>
      <c r="ACD289" s="5"/>
      <c r="ACE289" s="6"/>
      <c r="ACF289" s="4"/>
      <c r="ACG289" s="4"/>
      <c r="ACH289" s="4"/>
      <c r="ACI289" s="4"/>
      <c r="ACJ289" s="4"/>
      <c r="ACK289" s="5"/>
      <c r="ACL289" s="6"/>
      <c r="ACM289" s="4"/>
      <c r="ACN289" s="4"/>
      <c r="ACO289" s="4"/>
      <c r="ACP289" s="4"/>
      <c r="ACQ289" s="4"/>
      <c r="ACR289" s="5"/>
      <c r="ACS289" s="6"/>
      <c r="ACT289" s="4"/>
      <c r="ACU289" s="4"/>
      <c r="ACV289" s="4"/>
      <c r="ACW289" s="4"/>
      <c r="ACX289" s="4"/>
      <c r="ACY289" s="5"/>
    </row>
    <row r="290" spans="2:805" x14ac:dyDescent="0.25">
      <c r="B290" s="30"/>
      <c r="J290" s="12"/>
      <c r="K290" s="12"/>
      <c r="L290" s="12"/>
      <c r="LL290" s="6"/>
      <c r="LM290" s="4"/>
      <c r="LN290" s="4"/>
      <c r="LO290" s="4"/>
      <c r="LP290" s="4"/>
      <c r="LQ290" s="4"/>
      <c r="LR290" s="5"/>
      <c r="LS290" s="6"/>
      <c r="LT290" s="4"/>
      <c r="LU290" s="4"/>
      <c r="LV290" s="4"/>
      <c r="LW290" s="4"/>
      <c r="LX290" s="4"/>
      <c r="LY290" s="5"/>
      <c r="LZ290" s="6" t="s">
        <v>2064</v>
      </c>
      <c r="MA290" s="7" t="s">
        <v>2375</v>
      </c>
      <c r="MB290" s="4"/>
      <c r="MC290" s="4"/>
      <c r="MD290" s="8">
        <v>37607</v>
      </c>
      <c r="ME290" s="4"/>
      <c r="MF290" s="4"/>
      <c r="MG290" s="5" t="s">
        <v>388</v>
      </c>
      <c r="MH290" s="6"/>
      <c r="MI290" s="4"/>
      <c r="MJ290" s="4"/>
      <c r="MK290" s="4"/>
      <c r="ML290" s="4"/>
      <c r="MM290" s="4"/>
      <c r="MN290" s="5"/>
      <c r="MO290" s="6"/>
      <c r="MP290" s="4"/>
      <c r="MQ290" s="4"/>
      <c r="MR290" s="4"/>
      <c r="MS290" s="4"/>
      <c r="MT290" s="4"/>
      <c r="MU290" s="5"/>
      <c r="MV290" s="6"/>
      <c r="MW290" s="4"/>
      <c r="MX290" s="4"/>
      <c r="MY290" s="4"/>
      <c r="MZ290" s="4"/>
      <c r="NA290" s="4"/>
      <c r="NB290" s="5"/>
      <c r="NC290" s="6"/>
      <c r="ND290" s="4"/>
      <c r="NE290" s="4"/>
      <c r="NF290" s="7"/>
      <c r="NG290" s="8"/>
      <c r="NH290" s="8"/>
      <c r="NI290" s="5"/>
      <c r="NJ290" s="6"/>
      <c r="NK290" s="4"/>
      <c r="NL290" s="4"/>
      <c r="NM290" s="4"/>
      <c r="NN290" s="8"/>
      <c r="NO290" s="8"/>
      <c r="NP290" s="5"/>
      <c r="NQ290" s="6"/>
      <c r="NR290" s="4"/>
      <c r="NS290" s="4"/>
      <c r="NT290" s="4"/>
      <c r="NU290" s="8"/>
      <c r="NV290" s="8"/>
      <c r="NW290" s="5"/>
      <c r="NX290" s="6" t="s">
        <v>888</v>
      </c>
      <c r="NY290" s="7" t="s">
        <v>1304</v>
      </c>
      <c r="NZ290" s="4"/>
      <c r="OA290" s="7"/>
      <c r="OB290" s="8">
        <v>37609</v>
      </c>
      <c r="OC290" s="8"/>
      <c r="OD290" s="5" t="s">
        <v>270</v>
      </c>
      <c r="OE290" s="6"/>
      <c r="OF290" s="4"/>
      <c r="OG290" s="4"/>
      <c r="OH290" s="4"/>
      <c r="OI290" s="4"/>
      <c r="OJ290" s="4"/>
      <c r="OK290" s="5"/>
      <c r="OL290" s="6"/>
      <c r="OM290" s="4"/>
      <c r="ON290" s="4"/>
      <c r="OO290" s="4"/>
      <c r="OP290" s="4"/>
      <c r="OQ290" s="4"/>
      <c r="OR290" s="5"/>
      <c r="OS290" s="6"/>
      <c r="OT290" s="4"/>
      <c r="OU290" s="4"/>
      <c r="OV290" s="4"/>
      <c r="OW290" s="4"/>
      <c r="OX290" s="4"/>
      <c r="OY290" s="5"/>
      <c r="OZ290" s="6"/>
      <c r="PA290" s="4"/>
      <c r="PB290" s="4"/>
      <c r="PC290" s="4"/>
      <c r="PD290" s="4"/>
      <c r="PE290" s="4"/>
      <c r="PF290" s="5"/>
      <c r="PG290" s="6"/>
      <c r="PH290" s="4"/>
      <c r="PI290" s="4"/>
      <c r="PJ290" s="4"/>
      <c r="PK290" s="4"/>
      <c r="PL290" s="4"/>
      <c r="PM290" s="5"/>
      <c r="PN290" s="6"/>
      <c r="PO290" s="4"/>
      <c r="PP290" s="4"/>
      <c r="PQ290" s="4"/>
      <c r="PR290" s="4"/>
      <c r="PS290" s="4"/>
      <c r="PT290" s="5"/>
      <c r="PU290" s="6"/>
      <c r="PV290" s="4"/>
      <c r="PW290" s="4"/>
      <c r="PX290" s="4"/>
      <c r="PY290" s="4"/>
      <c r="PZ290" s="4"/>
      <c r="QA290" s="5"/>
      <c r="QB290" s="6"/>
      <c r="QC290" s="4"/>
      <c r="QD290" s="4"/>
      <c r="QE290" s="4"/>
      <c r="QF290" s="4"/>
      <c r="QG290" s="4"/>
      <c r="QH290" s="5"/>
      <c r="QI290" s="6"/>
      <c r="QJ290" s="4"/>
      <c r="QK290" s="4"/>
      <c r="QL290" s="4"/>
      <c r="QM290" s="4"/>
      <c r="QN290" s="4"/>
      <c r="QO290" s="5"/>
      <c r="QP290" s="6"/>
      <c r="QQ290" s="4"/>
      <c r="QR290" s="4"/>
      <c r="QS290" s="4"/>
      <c r="QT290" s="4"/>
      <c r="QU290" s="4"/>
      <c r="QV290" s="5"/>
      <c r="QW290" s="6"/>
      <c r="QX290" s="4"/>
      <c r="QY290" s="4"/>
      <c r="QZ290" s="4"/>
      <c r="RA290" s="4"/>
      <c r="RB290" s="4"/>
      <c r="RC290" s="5"/>
      <c r="RD290" s="6"/>
      <c r="RE290" s="4"/>
      <c r="RF290" s="4"/>
      <c r="RG290" s="4"/>
      <c r="RH290" s="4"/>
      <c r="RI290" s="4"/>
      <c r="RJ290" s="5"/>
      <c r="RK290" s="6"/>
      <c r="RL290" s="4"/>
      <c r="RM290" s="4"/>
      <c r="RN290" s="4"/>
      <c r="RO290" s="4"/>
      <c r="RP290" s="4"/>
      <c r="RQ290" s="5"/>
      <c r="RR290" s="6"/>
      <c r="RS290" s="4"/>
      <c r="RT290" s="4"/>
      <c r="RU290" s="4"/>
      <c r="RV290" s="4"/>
      <c r="RW290" s="4"/>
      <c r="RX290" s="5"/>
      <c r="RY290" s="6"/>
      <c r="RZ290" s="4"/>
      <c r="SA290" s="4"/>
      <c r="SB290" s="4"/>
      <c r="SC290" s="4"/>
      <c r="SD290" s="4"/>
      <c r="SE290" s="5"/>
      <c r="SF290" s="6"/>
      <c r="SG290" s="4"/>
      <c r="SH290" s="4"/>
      <c r="SI290" s="4"/>
      <c r="SJ290" s="4"/>
      <c r="SK290" s="4"/>
      <c r="SL290" s="5"/>
      <c r="SM290" s="6"/>
      <c r="SN290" s="4"/>
      <c r="SO290" s="4"/>
      <c r="SP290" s="4"/>
      <c r="SQ290" s="4"/>
      <c r="SR290" s="4"/>
      <c r="SS290" s="5"/>
      <c r="ST290" s="6"/>
      <c r="SU290" s="4"/>
      <c r="SV290" s="4"/>
      <c r="SW290" s="4"/>
      <c r="SX290" s="4"/>
      <c r="SY290" s="4"/>
      <c r="SZ290" s="5"/>
      <c r="TA290" s="6"/>
      <c r="TB290" s="4"/>
      <c r="TC290" s="4"/>
      <c r="TD290" s="4"/>
      <c r="TE290" s="4"/>
      <c r="TF290" s="4"/>
      <c r="TG290" s="5"/>
      <c r="TH290" s="6"/>
      <c r="TI290" s="4"/>
      <c r="TJ290" s="4"/>
      <c r="TK290" s="4"/>
      <c r="TL290" s="4"/>
      <c r="TM290" s="4"/>
      <c r="TN290" s="5"/>
      <c r="TO290" s="6"/>
      <c r="TP290" s="4"/>
      <c r="TQ290" s="4"/>
      <c r="TR290" s="4"/>
      <c r="TS290" s="4"/>
      <c r="TT290" s="4"/>
      <c r="TU290" s="5"/>
      <c r="TV290" s="6"/>
      <c r="TW290" s="4"/>
      <c r="TX290" s="4"/>
      <c r="TY290" s="4"/>
      <c r="TZ290" s="4"/>
      <c r="UA290" s="4"/>
      <c r="UB290" s="5"/>
      <c r="UC290" s="6"/>
      <c r="UD290" s="4"/>
      <c r="UE290" s="4"/>
      <c r="UF290" s="4"/>
      <c r="UG290" s="4"/>
      <c r="UH290" s="4"/>
      <c r="UI290" s="5"/>
      <c r="UJ290" s="6"/>
      <c r="UK290" s="4"/>
      <c r="UL290" s="4"/>
      <c r="UM290" s="4"/>
      <c r="UN290" s="4"/>
      <c r="UO290" s="4"/>
      <c r="UP290" s="5"/>
      <c r="UQ290" s="6"/>
      <c r="UR290" s="4"/>
      <c r="US290" s="4"/>
      <c r="UT290" s="4"/>
      <c r="UU290" s="4"/>
      <c r="UV290" s="4"/>
      <c r="UW290" s="5"/>
      <c r="UX290" s="6"/>
      <c r="UY290" s="4"/>
      <c r="UZ290" s="4"/>
      <c r="VA290" s="4"/>
      <c r="VB290" s="4"/>
      <c r="VC290" s="4"/>
      <c r="VD290" s="5"/>
      <c r="VE290" s="6"/>
      <c r="VF290" s="4"/>
      <c r="VG290" s="4"/>
      <c r="VH290" s="4"/>
      <c r="VI290" s="4"/>
      <c r="VJ290" s="4"/>
      <c r="VK290" s="5"/>
      <c r="VL290" s="6"/>
      <c r="VM290" s="4"/>
      <c r="VN290" s="4"/>
      <c r="VO290" s="4"/>
      <c r="VP290" s="4"/>
      <c r="VQ290" s="4"/>
      <c r="VR290" s="5"/>
      <c r="VS290" s="6"/>
      <c r="VT290" s="4"/>
      <c r="VU290" s="4"/>
      <c r="VV290" s="4"/>
      <c r="VW290" s="4"/>
      <c r="VX290" s="4"/>
      <c r="VY290" s="5"/>
      <c r="VZ290" s="6"/>
      <c r="WA290" s="4"/>
      <c r="WB290" s="4"/>
      <c r="WC290" s="4"/>
      <c r="WD290" s="4"/>
      <c r="WE290" s="4"/>
      <c r="WF290" s="5"/>
      <c r="WG290" s="6"/>
      <c r="WH290" s="4"/>
      <c r="WI290" s="4"/>
      <c r="WJ290" s="4"/>
      <c r="WK290" s="4"/>
      <c r="WL290" s="4"/>
      <c r="WM290" s="5"/>
      <c r="WN290" s="6"/>
      <c r="WO290" s="4"/>
      <c r="WP290" s="4"/>
      <c r="WQ290" s="4"/>
      <c r="WR290" s="4"/>
      <c r="WS290" s="4"/>
      <c r="WT290" s="5"/>
      <c r="WU290" s="6"/>
      <c r="WV290" s="4"/>
      <c r="WW290" s="4"/>
      <c r="WX290" s="4"/>
      <c r="WY290" s="4"/>
      <c r="WZ290" s="4"/>
      <c r="XA290" s="5"/>
      <c r="XB290" s="6"/>
      <c r="XC290" s="4"/>
      <c r="XD290" s="4"/>
      <c r="XE290" s="4"/>
      <c r="XF290" s="4"/>
      <c r="XG290" s="4"/>
      <c r="XH290" s="5"/>
      <c r="XI290" s="6"/>
      <c r="XJ290" s="4"/>
      <c r="XK290" s="4"/>
      <c r="XL290" s="4"/>
      <c r="XM290" s="4"/>
      <c r="XN290" s="4"/>
      <c r="XO290" s="5"/>
      <c r="XP290" s="6"/>
      <c r="XQ290" s="4"/>
      <c r="XR290" s="4"/>
      <c r="XS290" s="4"/>
      <c r="XT290" s="4"/>
      <c r="XU290" s="4"/>
      <c r="XV290" s="5"/>
      <c r="XW290" s="6"/>
      <c r="XX290" s="4"/>
      <c r="XY290" s="4"/>
      <c r="XZ290" s="4"/>
      <c r="YA290" s="4"/>
      <c r="YB290" s="4"/>
      <c r="YC290" s="5"/>
      <c r="YD290" s="6"/>
      <c r="YE290" s="4"/>
      <c r="YF290" s="4"/>
      <c r="YG290" s="4"/>
      <c r="YH290" s="4"/>
      <c r="YI290" s="4"/>
      <c r="YJ290" s="5"/>
      <c r="YK290" s="6" t="s">
        <v>889</v>
      </c>
      <c r="YL290" s="4" t="s">
        <v>2361</v>
      </c>
      <c r="YM290" s="4"/>
      <c r="YN290" s="7" t="s">
        <v>3027</v>
      </c>
      <c r="YO290" s="8">
        <v>37625</v>
      </c>
      <c r="YP290" s="8">
        <v>37625</v>
      </c>
      <c r="YQ290" s="5" t="s">
        <v>346</v>
      </c>
      <c r="YR290" s="6"/>
      <c r="YS290" s="4"/>
      <c r="YT290" s="4"/>
      <c r="YU290" s="4"/>
      <c r="YV290" s="4"/>
      <c r="YW290" s="4"/>
      <c r="YX290" s="5"/>
      <c r="YY290" s="6"/>
      <c r="YZ290" s="4"/>
      <c r="ZA290" s="4"/>
      <c r="ZB290" s="4"/>
      <c r="ZC290" s="4"/>
      <c r="ZD290" s="4"/>
      <c r="ZE290" s="5"/>
      <c r="ZF290" s="6"/>
      <c r="ZG290" s="4"/>
      <c r="ZH290" s="4"/>
      <c r="ZI290" s="4"/>
      <c r="ZJ290" s="4"/>
      <c r="ZK290" s="4"/>
      <c r="ZL290" s="5"/>
      <c r="ZM290" s="6"/>
      <c r="ZN290" s="4"/>
      <c r="ZO290" s="4"/>
      <c r="ZP290" s="4"/>
      <c r="ZQ290" s="4"/>
      <c r="ZR290" s="4"/>
      <c r="ZS290" s="5"/>
      <c r="ZT290" s="6"/>
      <c r="ZU290" s="4"/>
      <c r="ZV290" s="4"/>
      <c r="ZW290" s="4"/>
      <c r="ZX290" s="4"/>
      <c r="ZY290" s="4"/>
      <c r="ZZ290" s="5"/>
      <c r="AAA290" s="6"/>
      <c r="AAB290" s="4"/>
      <c r="AAC290" s="4"/>
      <c r="AAD290" s="4"/>
      <c r="AAE290" s="4"/>
      <c r="AAF290" s="4"/>
      <c r="AAG290" s="5"/>
      <c r="AAH290" s="6"/>
      <c r="AAI290" s="4"/>
      <c r="AAJ290" s="4"/>
      <c r="AAK290" s="7"/>
      <c r="AAL290" s="8"/>
      <c r="AAM290" s="8"/>
      <c r="AAN290" s="5"/>
      <c r="AAO290" s="6"/>
      <c r="AAP290" s="4"/>
      <c r="AAQ290" s="4"/>
      <c r="AAR290" s="4"/>
      <c r="AAS290" s="4"/>
      <c r="AAT290" s="4"/>
      <c r="AAU290" s="5"/>
      <c r="AAV290" s="6"/>
      <c r="AAW290" s="4"/>
      <c r="AAX290" s="4"/>
      <c r="AAY290" s="4"/>
      <c r="AAZ290" s="4"/>
      <c r="ABA290" s="4"/>
      <c r="ABB290" s="5"/>
      <c r="ABC290" s="6"/>
      <c r="ABD290" s="4"/>
      <c r="ABE290" s="4"/>
      <c r="ABF290" s="4"/>
      <c r="ABG290" s="4"/>
      <c r="ABH290" s="4"/>
      <c r="ABI290" s="5"/>
      <c r="ABJ290" s="6"/>
      <c r="ABK290" s="4"/>
      <c r="ABL290" s="4"/>
      <c r="ABM290" s="4"/>
      <c r="ABN290" s="4"/>
      <c r="ABO290" s="4"/>
      <c r="ABP290" s="5"/>
      <c r="ABQ290" s="6"/>
      <c r="ABR290" s="4"/>
      <c r="ABS290" s="4"/>
      <c r="ABT290" s="4"/>
      <c r="ABU290" s="4"/>
      <c r="ABV290" s="4"/>
      <c r="ABW290" s="5"/>
      <c r="ABX290" s="6"/>
      <c r="ABY290" s="4"/>
      <c r="ABZ290" s="4"/>
      <c r="ACA290" s="4"/>
      <c r="ACB290" s="4"/>
      <c r="ACC290" s="4"/>
      <c r="ACD290" s="5"/>
      <c r="ACE290" s="6"/>
      <c r="ACF290" s="4"/>
      <c r="ACG290" s="4"/>
      <c r="ACH290" s="4"/>
      <c r="ACI290" s="4"/>
      <c r="ACJ290" s="4"/>
      <c r="ACK290" s="5"/>
      <c r="ACL290" s="6"/>
      <c r="ACM290" s="4"/>
      <c r="ACN290" s="4"/>
      <c r="ACO290" s="4"/>
      <c r="ACP290" s="4"/>
      <c r="ACQ290" s="4"/>
      <c r="ACR290" s="5"/>
      <c r="ACS290" s="6"/>
      <c r="ACT290" s="4"/>
      <c r="ACU290" s="4"/>
      <c r="ACV290" s="4"/>
      <c r="ACW290" s="4"/>
      <c r="ACX290" s="4"/>
      <c r="ACY290" s="5"/>
    </row>
    <row r="291" spans="2:805" x14ac:dyDescent="0.25">
      <c r="B291" s="30"/>
      <c r="J291" s="12"/>
      <c r="K291" s="12"/>
      <c r="L291" s="12"/>
      <c r="LL291" s="6"/>
      <c r="LM291" s="4"/>
      <c r="LN291" s="4"/>
      <c r="LO291" s="4"/>
      <c r="LP291" s="4"/>
      <c r="LQ291" s="4"/>
      <c r="LR291" s="5"/>
      <c r="LS291" s="6"/>
      <c r="LT291" s="4"/>
      <c r="LU291" s="4"/>
      <c r="LV291" s="4"/>
      <c r="LW291" s="4"/>
      <c r="LX291" s="4"/>
      <c r="LY291" s="5"/>
      <c r="LZ291" s="6" t="s">
        <v>1893</v>
      </c>
      <c r="MA291" s="7" t="s">
        <v>2451</v>
      </c>
      <c r="MB291" s="4"/>
      <c r="MC291" s="7" t="s">
        <v>3027</v>
      </c>
      <c r="MD291" s="8">
        <v>37604</v>
      </c>
      <c r="ME291" s="8">
        <v>37604</v>
      </c>
      <c r="MF291" s="8"/>
      <c r="MG291" s="5" t="s">
        <v>389</v>
      </c>
      <c r="MH291" s="6"/>
      <c r="MI291" s="4"/>
      <c r="MJ291" s="4"/>
      <c r="MK291" s="4"/>
      <c r="ML291" s="4"/>
      <c r="MM291" s="4"/>
      <c r="MN291" s="5"/>
      <c r="MO291" s="6"/>
      <c r="MP291" s="4"/>
      <c r="MQ291" s="4"/>
      <c r="MR291" s="4"/>
      <c r="MS291" s="4"/>
      <c r="MT291" s="4"/>
      <c r="MU291" s="5"/>
      <c r="MV291" s="6"/>
      <c r="MW291" s="4"/>
      <c r="MX291" s="4"/>
      <c r="MY291" s="4"/>
      <c r="MZ291" s="4"/>
      <c r="NA291" s="4"/>
      <c r="NB291" s="5"/>
      <c r="NC291" s="6"/>
      <c r="ND291" s="4"/>
      <c r="NE291" s="4"/>
      <c r="NF291" s="7"/>
      <c r="NG291" s="8"/>
      <c r="NH291" s="8"/>
      <c r="NI291" s="5"/>
      <c r="NJ291" s="6"/>
      <c r="NK291" s="4"/>
      <c r="NL291" s="4"/>
      <c r="NM291" s="4"/>
      <c r="NN291" s="8"/>
      <c r="NO291" s="8"/>
      <c r="NP291" s="5"/>
      <c r="NQ291" s="6"/>
      <c r="NR291" s="4"/>
      <c r="NS291" s="4"/>
      <c r="NT291" s="4"/>
      <c r="NU291" s="8"/>
      <c r="NV291" s="8"/>
      <c r="NW291" s="5"/>
      <c r="NX291" s="6" t="s">
        <v>890</v>
      </c>
      <c r="NY291" s="7" t="s">
        <v>525</v>
      </c>
      <c r="NZ291" s="4" t="s">
        <v>891</v>
      </c>
      <c r="OA291" s="7" t="s">
        <v>1847</v>
      </c>
      <c r="OB291" s="8">
        <v>37610</v>
      </c>
      <c r="OC291" s="8">
        <v>10103</v>
      </c>
      <c r="OD291" s="5" t="s">
        <v>270</v>
      </c>
      <c r="OE291" s="6"/>
      <c r="OF291" s="4"/>
      <c r="OG291" s="4"/>
      <c r="OH291" s="4"/>
      <c r="OI291" s="4"/>
      <c r="OJ291" s="4"/>
      <c r="OK291" s="5"/>
      <c r="OL291" s="6"/>
      <c r="OM291" s="4"/>
      <c r="ON291" s="4"/>
      <c r="OO291" s="4"/>
      <c r="OP291" s="4"/>
      <c r="OQ291" s="4"/>
      <c r="OR291" s="5"/>
      <c r="OS291" s="6"/>
      <c r="OT291" s="4"/>
      <c r="OU291" s="4"/>
      <c r="OV291" s="4"/>
      <c r="OW291" s="4"/>
      <c r="OX291" s="4"/>
      <c r="OY291" s="5"/>
      <c r="OZ291" s="6"/>
      <c r="PA291" s="4"/>
      <c r="PB291" s="4"/>
      <c r="PC291" s="4"/>
      <c r="PD291" s="4"/>
      <c r="PE291" s="4"/>
      <c r="PF291" s="5"/>
      <c r="PG291" s="6"/>
      <c r="PH291" s="4"/>
      <c r="PI291" s="4"/>
      <c r="PJ291" s="4"/>
      <c r="PK291" s="4"/>
      <c r="PL291" s="4"/>
      <c r="PM291" s="5"/>
      <c r="PN291" s="6"/>
      <c r="PO291" s="4"/>
      <c r="PP291" s="4"/>
      <c r="PQ291" s="4"/>
      <c r="PR291" s="4"/>
      <c r="PS291" s="4"/>
      <c r="PT291" s="5"/>
      <c r="PU291" s="6"/>
      <c r="PV291" s="4"/>
      <c r="PW291" s="4"/>
      <c r="PX291" s="4"/>
      <c r="PY291" s="4"/>
      <c r="PZ291" s="4"/>
      <c r="QA291" s="5"/>
      <c r="QB291" s="6"/>
      <c r="QC291" s="4"/>
      <c r="QD291" s="4"/>
      <c r="QE291" s="4"/>
      <c r="QF291" s="4"/>
      <c r="QG291" s="4"/>
      <c r="QH291" s="5"/>
      <c r="QI291" s="6"/>
      <c r="QJ291" s="4"/>
      <c r="QK291" s="4"/>
      <c r="QL291" s="4"/>
      <c r="QM291" s="4"/>
      <c r="QN291" s="4"/>
      <c r="QO291" s="5"/>
      <c r="QP291" s="6"/>
      <c r="QQ291" s="4"/>
      <c r="QR291" s="4"/>
      <c r="QS291" s="4"/>
      <c r="QT291" s="4"/>
      <c r="QU291" s="4"/>
      <c r="QV291" s="5"/>
      <c r="QW291" s="6"/>
      <c r="QX291" s="4"/>
      <c r="QY291" s="4"/>
      <c r="QZ291" s="4"/>
      <c r="RA291" s="4"/>
      <c r="RB291" s="4"/>
      <c r="RC291" s="5"/>
      <c r="RD291" s="6"/>
      <c r="RE291" s="4"/>
      <c r="RF291" s="4"/>
      <c r="RG291" s="4"/>
      <c r="RH291" s="4"/>
      <c r="RI291" s="4"/>
      <c r="RJ291" s="5"/>
      <c r="RK291" s="6"/>
      <c r="RL291" s="4"/>
      <c r="RM291" s="4"/>
      <c r="RN291" s="4"/>
      <c r="RO291" s="4"/>
      <c r="RP291" s="4"/>
      <c r="RQ291" s="5"/>
      <c r="RR291" s="6"/>
      <c r="RS291" s="4"/>
      <c r="RT291" s="4"/>
      <c r="RU291" s="4"/>
      <c r="RV291" s="4"/>
      <c r="RW291" s="4"/>
      <c r="RX291" s="5"/>
      <c r="RY291" s="6"/>
      <c r="RZ291" s="4"/>
      <c r="SA291" s="4"/>
      <c r="SB291" s="4"/>
      <c r="SC291" s="4"/>
      <c r="SD291" s="4"/>
      <c r="SE291" s="5"/>
      <c r="SF291" s="6"/>
      <c r="SG291" s="4"/>
      <c r="SH291" s="4"/>
      <c r="SI291" s="4"/>
      <c r="SJ291" s="4"/>
      <c r="SK291" s="4"/>
      <c r="SL291" s="5"/>
      <c r="SM291" s="6"/>
      <c r="SN291" s="4"/>
      <c r="SO291" s="4"/>
      <c r="SP291" s="4"/>
      <c r="SQ291" s="4"/>
      <c r="SR291" s="4"/>
      <c r="SS291" s="5"/>
      <c r="ST291" s="6"/>
      <c r="SU291" s="4"/>
      <c r="SV291" s="4"/>
      <c r="SW291" s="4"/>
      <c r="SX291" s="4"/>
      <c r="SY291" s="4"/>
      <c r="SZ291" s="5"/>
      <c r="TA291" s="6"/>
      <c r="TB291" s="4"/>
      <c r="TC291" s="4"/>
      <c r="TD291" s="4"/>
      <c r="TE291" s="4"/>
      <c r="TF291" s="4"/>
      <c r="TG291" s="5"/>
      <c r="TH291" s="6"/>
      <c r="TI291" s="4"/>
      <c r="TJ291" s="4"/>
      <c r="TK291" s="4"/>
      <c r="TL291" s="4"/>
      <c r="TM291" s="4"/>
      <c r="TN291" s="5"/>
      <c r="TO291" s="6"/>
      <c r="TP291" s="4"/>
      <c r="TQ291" s="4"/>
      <c r="TR291" s="4"/>
      <c r="TS291" s="4"/>
      <c r="TT291" s="4"/>
      <c r="TU291" s="5"/>
      <c r="TV291" s="6"/>
      <c r="TW291" s="4"/>
      <c r="TX291" s="4"/>
      <c r="TY291" s="4"/>
      <c r="TZ291" s="4"/>
      <c r="UA291" s="4"/>
      <c r="UB291" s="5"/>
      <c r="UC291" s="6"/>
      <c r="UD291" s="4"/>
      <c r="UE291" s="4"/>
      <c r="UF291" s="4"/>
      <c r="UG291" s="4"/>
      <c r="UH291" s="4"/>
      <c r="UI291" s="5"/>
      <c r="UJ291" s="6"/>
      <c r="UK291" s="4"/>
      <c r="UL291" s="4"/>
      <c r="UM291" s="4"/>
      <c r="UN291" s="4"/>
      <c r="UO291" s="4"/>
      <c r="UP291" s="5"/>
      <c r="UQ291" s="6"/>
      <c r="UR291" s="4"/>
      <c r="US291" s="4"/>
      <c r="UT291" s="4"/>
      <c r="UU291" s="4"/>
      <c r="UV291" s="4"/>
      <c r="UW291" s="5"/>
      <c r="UX291" s="6"/>
      <c r="UY291" s="4"/>
      <c r="UZ291" s="4"/>
      <c r="VA291" s="4"/>
      <c r="VB291" s="4"/>
      <c r="VC291" s="4"/>
      <c r="VD291" s="5"/>
      <c r="VE291" s="6"/>
      <c r="VF291" s="4"/>
      <c r="VG291" s="4"/>
      <c r="VH291" s="4"/>
      <c r="VI291" s="4"/>
      <c r="VJ291" s="4"/>
      <c r="VK291" s="5"/>
      <c r="VL291" s="6"/>
      <c r="VM291" s="4"/>
      <c r="VN291" s="4"/>
      <c r="VO291" s="4"/>
      <c r="VP291" s="4"/>
      <c r="VQ291" s="4"/>
      <c r="VR291" s="5"/>
      <c r="VS291" s="6"/>
      <c r="VT291" s="4"/>
      <c r="VU291" s="4"/>
      <c r="VV291" s="4"/>
      <c r="VW291" s="4"/>
      <c r="VX291" s="4"/>
      <c r="VY291" s="5"/>
      <c r="VZ291" s="6"/>
      <c r="WA291" s="4"/>
      <c r="WB291" s="4"/>
      <c r="WC291" s="4"/>
      <c r="WD291" s="4"/>
      <c r="WE291" s="4"/>
      <c r="WF291" s="5"/>
      <c r="WG291" s="6"/>
      <c r="WH291" s="4"/>
      <c r="WI291" s="4"/>
      <c r="WJ291" s="4"/>
      <c r="WK291" s="4"/>
      <c r="WL291" s="4"/>
      <c r="WM291" s="5"/>
      <c r="WN291" s="6"/>
      <c r="WO291" s="4"/>
      <c r="WP291" s="4"/>
      <c r="WQ291" s="4"/>
      <c r="WR291" s="4"/>
      <c r="WS291" s="4"/>
      <c r="WT291" s="5"/>
      <c r="WU291" s="6"/>
      <c r="WV291" s="4"/>
      <c r="WW291" s="4"/>
      <c r="WX291" s="4"/>
      <c r="WY291" s="4"/>
      <c r="WZ291" s="4"/>
      <c r="XA291" s="5"/>
      <c r="XB291" s="6"/>
      <c r="XC291" s="4"/>
      <c r="XD291" s="4"/>
      <c r="XE291" s="4"/>
      <c r="XF291" s="4"/>
      <c r="XG291" s="4"/>
      <c r="XH291" s="5"/>
      <c r="XI291" s="6"/>
      <c r="XJ291" s="4"/>
      <c r="XK291" s="4"/>
      <c r="XL291" s="4"/>
      <c r="XM291" s="4"/>
      <c r="XN291" s="4"/>
      <c r="XO291" s="5"/>
      <c r="XP291" s="6"/>
      <c r="XQ291" s="4"/>
      <c r="XR291" s="4"/>
      <c r="XS291" s="4"/>
      <c r="XT291" s="4"/>
      <c r="XU291" s="4"/>
      <c r="XV291" s="5"/>
      <c r="XW291" s="6"/>
      <c r="XX291" s="4"/>
      <c r="XY291" s="4"/>
      <c r="XZ291" s="4"/>
      <c r="YA291" s="4"/>
      <c r="YB291" s="4"/>
      <c r="YC291" s="5"/>
      <c r="YD291" s="6"/>
      <c r="YE291" s="4"/>
      <c r="YF291" s="4"/>
      <c r="YG291" s="4"/>
      <c r="YH291" s="4"/>
      <c r="YI291" s="4"/>
      <c r="YJ291" s="5"/>
      <c r="YK291" s="6"/>
      <c r="YL291" s="4"/>
      <c r="YM291" s="4"/>
      <c r="YN291" s="4"/>
      <c r="YO291" s="4"/>
      <c r="YP291" s="4"/>
      <c r="YQ291" s="5"/>
      <c r="YR291" s="6"/>
      <c r="YS291" s="4"/>
      <c r="YT291" s="4"/>
      <c r="YU291" s="4"/>
      <c r="YV291" s="4"/>
      <c r="YW291" s="4"/>
      <c r="YX291" s="5"/>
      <c r="YY291" s="6"/>
      <c r="YZ291" s="4"/>
      <c r="ZA291" s="4"/>
      <c r="ZB291" s="4"/>
      <c r="ZC291" s="4"/>
      <c r="ZD291" s="4"/>
      <c r="ZE291" s="5"/>
      <c r="ZF291" s="6"/>
      <c r="ZG291" s="4"/>
      <c r="ZH291" s="4"/>
      <c r="ZI291" s="4"/>
      <c r="ZJ291" s="4"/>
      <c r="ZK291" s="4"/>
      <c r="ZL291" s="5"/>
      <c r="ZM291" s="6"/>
      <c r="ZN291" s="4"/>
      <c r="ZO291" s="4"/>
      <c r="ZP291" s="4"/>
      <c r="ZQ291" s="4"/>
      <c r="ZR291" s="4"/>
      <c r="ZS291" s="5"/>
      <c r="ZT291" s="6"/>
      <c r="ZU291" s="4"/>
      <c r="ZV291" s="4"/>
      <c r="ZW291" s="4"/>
      <c r="ZX291" s="4"/>
      <c r="ZY291" s="4"/>
      <c r="ZZ291" s="5"/>
      <c r="AAA291" s="6"/>
      <c r="AAB291" s="4"/>
      <c r="AAC291" s="4"/>
      <c r="AAD291" s="4"/>
      <c r="AAE291" s="4"/>
      <c r="AAF291" s="4"/>
      <c r="AAG291" s="5"/>
      <c r="AAH291" s="6"/>
      <c r="AAI291" s="4"/>
      <c r="AAJ291" s="4"/>
      <c r="AAK291" s="7"/>
      <c r="AAL291" s="8"/>
      <c r="AAM291" s="8"/>
      <c r="AAN291" s="5"/>
      <c r="AAO291" s="6"/>
      <c r="AAP291" s="4"/>
      <c r="AAQ291" s="4"/>
      <c r="AAR291" s="4"/>
      <c r="AAS291" s="4"/>
      <c r="AAT291" s="4"/>
      <c r="AAU291" s="5"/>
      <c r="AAV291" s="6"/>
      <c r="AAW291" s="4"/>
      <c r="AAX291" s="4"/>
      <c r="AAY291" s="4"/>
      <c r="AAZ291" s="4"/>
      <c r="ABA291" s="4"/>
      <c r="ABB291" s="5"/>
      <c r="ABC291" s="6"/>
      <c r="ABD291" s="4"/>
      <c r="ABE291" s="4"/>
      <c r="ABF291" s="4"/>
      <c r="ABG291" s="4"/>
      <c r="ABH291" s="4"/>
      <c r="ABI291" s="5"/>
      <c r="ABJ291" s="6"/>
      <c r="ABK291" s="4"/>
      <c r="ABL291" s="4"/>
      <c r="ABM291" s="4"/>
      <c r="ABN291" s="4"/>
      <c r="ABO291" s="4"/>
      <c r="ABP291" s="5"/>
      <c r="ABQ291" s="6"/>
      <c r="ABR291" s="4"/>
      <c r="ABS291" s="4"/>
      <c r="ABT291" s="4"/>
      <c r="ABU291" s="4"/>
      <c r="ABV291" s="4"/>
      <c r="ABW291" s="5"/>
      <c r="ABX291" s="6"/>
      <c r="ABY291" s="4"/>
      <c r="ABZ291" s="4"/>
      <c r="ACA291" s="4"/>
      <c r="ACB291" s="4"/>
      <c r="ACC291" s="4"/>
      <c r="ACD291" s="5"/>
      <c r="ACE291" s="6"/>
      <c r="ACF291" s="4"/>
      <c r="ACG291" s="4"/>
      <c r="ACH291" s="4"/>
      <c r="ACI291" s="4"/>
      <c r="ACJ291" s="4"/>
      <c r="ACK291" s="5"/>
      <c r="ACL291" s="6"/>
      <c r="ACM291" s="4"/>
      <c r="ACN291" s="4"/>
      <c r="ACO291" s="4"/>
      <c r="ACP291" s="4"/>
      <c r="ACQ291" s="4"/>
      <c r="ACR291" s="5"/>
      <c r="ACS291" s="6"/>
      <c r="ACT291" s="4"/>
      <c r="ACU291" s="4"/>
      <c r="ACV291" s="4"/>
      <c r="ACW291" s="4"/>
      <c r="ACX291" s="4"/>
      <c r="ACY291" s="5"/>
    </row>
    <row r="292" spans="2:805" x14ac:dyDescent="0.25">
      <c r="B292" s="29">
        <v>8008191</v>
      </c>
      <c r="C292" s="57">
        <v>80</v>
      </c>
      <c r="D292" t="s">
        <v>3729</v>
      </c>
      <c r="E292" s="38" t="s">
        <v>4183</v>
      </c>
      <c r="F292" s="23">
        <v>0</v>
      </c>
      <c r="I292">
        <v>1</v>
      </c>
      <c r="J292" s="19">
        <v>37935</v>
      </c>
      <c r="K292" s="19" t="s">
        <v>3875</v>
      </c>
      <c r="L292" s="19"/>
      <c r="LL292" s="6"/>
      <c r="LM292" s="4"/>
      <c r="LN292" s="4"/>
      <c r="LO292" s="4"/>
      <c r="LP292" s="4"/>
      <c r="LQ292" s="4"/>
      <c r="LR292" s="5"/>
      <c r="LS292" s="6"/>
      <c r="LT292" s="4"/>
      <c r="LU292" s="4"/>
      <c r="LV292" s="4"/>
      <c r="LW292" s="4"/>
      <c r="LX292" s="4"/>
      <c r="LY292" s="5"/>
      <c r="LZ292" s="6" t="s">
        <v>1827</v>
      </c>
      <c r="MA292" s="7" t="s">
        <v>1828</v>
      </c>
      <c r="MB292" s="4" t="s">
        <v>1804</v>
      </c>
      <c r="MC292" s="4"/>
      <c r="MD292" s="4"/>
      <c r="ME292" s="4"/>
      <c r="MF292" s="4"/>
      <c r="MG292" s="5"/>
      <c r="MH292" s="6"/>
      <c r="MI292" s="4"/>
      <c r="MJ292" s="4"/>
      <c r="MK292" s="4"/>
      <c r="ML292" s="4"/>
      <c r="MM292" s="4"/>
      <c r="MN292" s="5"/>
      <c r="MO292" s="6"/>
      <c r="MP292" s="4"/>
      <c r="MQ292" s="4"/>
      <c r="MR292" s="4"/>
      <c r="MS292" s="4"/>
      <c r="MT292" s="4"/>
      <c r="MU292" s="5"/>
      <c r="MV292" s="6"/>
      <c r="MW292" s="4"/>
      <c r="MX292" s="4"/>
      <c r="MY292" s="4"/>
      <c r="MZ292" s="4"/>
      <c r="NA292" s="4"/>
      <c r="NB292" s="5"/>
      <c r="NC292" s="6"/>
      <c r="ND292" s="4"/>
      <c r="NE292" s="4"/>
      <c r="NF292" s="4"/>
      <c r="NG292" s="4"/>
      <c r="NH292" s="4"/>
      <c r="NI292" s="5"/>
      <c r="NJ292" s="6"/>
      <c r="NK292" s="4"/>
      <c r="NL292" s="4"/>
      <c r="NM292" s="4"/>
      <c r="NN292" s="4"/>
      <c r="NO292" s="4"/>
      <c r="NP292" s="5"/>
      <c r="NQ292" s="6"/>
      <c r="NR292" s="4"/>
      <c r="NS292" s="4"/>
      <c r="NT292" s="4"/>
      <c r="NU292" s="4"/>
      <c r="NV292" s="4"/>
      <c r="NW292" s="5"/>
      <c r="NX292" s="6"/>
      <c r="NY292" s="4"/>
      <c r="NZ292" s="4"/>
      <c r="OA292" s="4"/>
      <c r="OB292" s="4"/>
      <c r="OC292" s="4"/>
      <c r="OD292" s="5"/>
      <c r="OE292" s="6"/>
      <c r="OF292" s="4"/>
      <c r="OG292" s="4"/>
      <c r="OH292" s="4"/>
      <c r="OI292" s="4"/>
      <c r="OJ292" s="4"/>
      <c r="OK292" s="5"/>
      <c r="OL292" s="6"/>
      <c r="OM292" s="4"/>
      <c r="ON292" s="4"/>
      <c r="OO292" s="4"/>
      <c r="OP292" s="4"/>
      <c r="OQ292" s="4"/>
      <c r="OR292" s="5"/>
      <c r="OS292" s="6"/>
      <c r="OT292" s="4"/>
      <c r="OU292" s="4"/>
      <c r="OV292" s="4"/>
      <c r="OW292" s="4"/>
      <c r="OX292" s="4"/>
      <c r="OY292" s="5"/>
      <c r="OZ292" s="4" t="s">
        <v>3052</v>
      </c>
      <c r="PA292" s="4" t="s">
        <v>3052</v>
      </c>
      <c r="PB292" s="4" t="s">
        <v>1645</v>
      </c>
      <c r="PC292" s="4"/>
      <c r="PD292" s="4"/>
      <c r="PE292" s="4"/>
      <c r="PF292" s="5"/>
      <c r="PG292" s="6"/>
      <c r="PH292" s="4"/>
      <c r="PI292" s="4"/>
      <c r="PJ292" s="4"/>
      <c r="PK292" s="4"/>
      <c r="PL292" s="4"/>
      <c r="PM292" s="5"/>
      <c r="PN292" s="6"/>
      <c r="PO292" s="4"/>
      <c r="PP292" s="4"/>
      <c r="PQ292" s="4"/>
      <c r="PR292" s="4"/>
      <c r="PS292" s="4"/>
      <c r="PT292" s="5"/>
      <c r="PU292" s="6" t="s">
        <v>1643</v>
      </c>
      <c r="PV292" s="4" t="s">
        <v>2622</v>
      </c>
      <c r="PW292" s="4"/>
      <c r="PX292" s="4"/>
      <c r="PY292" s="8">
        <v>37900</v>
      </c>
      <c r="PZ292" s="4"/>
      <c r="QA292" s="5"/>
      <c r="QB292" s="6"/>
      <c r="QC292" s="4"/>
      <c r="QD292" s="4"/>
      <c r="QE292" s="4"/>
      <c r="QF292" s="4"/>
      <c r="QG292" s="4"/>
      <c r="QH292" s="5"/>
      <c r="QI292" s="6"/>
      <c r="QJ292" s="4"/>
      <c r="QK292" s="4"/>
      <c r="QL292" s="4"/>
      <c r="QM292" s="4"/>
      <c r="QN292" s="4"/>
      <c r="QO292" s="5"/>
      <c r="QP292" s="6"/>
      <c r="QQ292" s="4"/>
      <c r="QR292" s="4"/>
      <c r="QS292" s="4"/>
      <c r="QT292" s="4"/>
      <c r="QU292" s="4"/>
      <c r="QV292" s="5"/>
      <c r="QW292" s="6"/>
      <c r="QX292" s="4"/>
      <c r="QY292" s="4"/>
      <c r="QZ292" s="4"/>
      <c r="RA292" s="4"/>
      <c r="RB292" s="4"/>
      <c r="RC292" s="5"/>
      <c r="RD292" s="6"/>
      <c r="RE292" s="4"/>
      <c r="RF292" s="4"/>
      <c r="RG292" s="4"/>
      <c r="RH292" s="4"/>
      <c r="RI292" s="4"/>
      <c r="RJ292" s="5"/>
      <c r="RK292" s="6"/>
      <c r="RL292" s="4"/>
      <c r="RM292" s="4"/>
      <c r="RN292" s="4"/>
      <c r="RO292" s="4"/>
      <c r="RP292" s="4"/>
      <c r="RQ292" s="5"/>
      <c r="RR292" s="6"/>
      <c r="RS292" s="4"/>
      <c r="RT292" s="4"/>
      <c r="RU292" s="4"/>
      <c r="RV292" s="4"/>
      <c r="RW292" s="4"/>
      <c r="RX292" s="5"/>
      <c r="RY292" s="6"/>
      <c r="RZ292" s="4"/>
      <c r="SA292" s="4"/>
      <c r="SB292" s="4"/>
      <c r="SC292" s="4"/>
      <c r="SD292" s="4"/>
      <c r="SE292" s="5"/>
      <c r="SF292" s="6"/>
      <c r="SG292" s="4"/>
      <c r="SH292" s="4"/>
      <c r="SI292" s="4"/>
      <c r="SJ292" s="4"/>
      <c r="SK292" s="4"/>
      <c r="SL292" s="5"/>
      <c r="SM292" s="6"/>
      <c r="SN292" s="4"/>
      <c r="SO292" s="4"/>
      <c r="SP292" s="4"/>
      <c r="SQ292" s="4"/>
      <c r="SR292" s="4"/>
      <c r="SS292" s="5"/>
      <c r="ST292" s="6"/>
      <c r="SU292" s="4"/>
      <c r="SV292" s="4"/>
      <c r="SW292" s="4"/>
      <c r="SX292" s="4"/>
      <c r="SY292" s="4"/>
      <c r="SZ292" s="5"/>
      <c r="TA292" s="6"/>
      <c r="TB292" s="4"/>
      <c r="TC292" s="4"/>
      <c r="TD292" s="4"/>
      <c r="TE292" s="4"/>
      <c r="TF292" s="4"/>
      <c r="TG292" s="5"/>
      <c r="TH292" s="6"/>
      <c r="TI292" s="4"/>
      <c r="TJ292" s="4"/>
      <c r="TK292" s="4"/>
      <c r="TL292" s="4"/>
      <c r="TM292" s="4"/>
      <c r="TN292" s="5"/>
      <c r="TO292" s="6"/>
      <c r="TP292" s="4"/>
      <c r="TQ292" s="4"/>
      <c r="TR292" s="4"/>
      <c r="TS292" s="4"/>
      <c r="TT292" s="4"/>
      <c r="TU292" s="5"/>
      <c r="TV292" s="6"/>
      <c r="TW292" s="4"/>
      <c r="TX292" s="4"/>
      <c r="TY292" s="4"/>
      <c r="TZ292" s="4"/>
      <c r="UA292" s="4"/>
      <c r="UB292" s="5"/>
      <c r="UC292" s="6"/>
      <c r="UD292" s="4"/>
      <c r="UE292" s="4"/>
      <c r="UF292" s="4"/>
      <c r="UG292" s="4"/>
      <c r="UH292" s="4"/>
      <c r="UI292" s="5"/>
      <c r="UJ292" s="6"/>
      <c r="UK292" s="4"/>
      <c r="UL292" s="4"/>
      <c r="UM292" s="4"/>
      <c r="UN292" s="4"/>
      <c r="UO292" s="4"/>
      <c r="UP292" s="5"/>
      <c r="UQ292" s="6"/>
      <c r="UR292" s="4"/>
      <c r="US292" s="4"/>
      <c r="UT292" s="4"/>
      <c r="UU292" s="4"/>
      <c r="UV292" s="4"/>
      <c r="UW292" s="5"/>
      <c r="UX292" s="6" t="s">
        <v>2738</v>
      </c>
      <c r="UY292" s="4" t="s">
        <v>2738</v>
      </c>
      <c r="UZ292" s="4" t="s">
        <v>1581</v>
      </c>
      <c r="VA292" s="4"/>
      <c r="VB292" s="8">
        <v>37908</v>
      </c>
      <c r="VC292" s="4"/>
      <c r="VD292" s="5"/>
      <c r="VE292" s="6"/>
      <c r="VF292" s="4"/>
      <c r="VG292" s="4"/>
      <c r="VH292" s="4"/>
      <c r="VI292" s="4"/>
      <c r="VJ292" s="4"/>
      <c r="VK292" s="5"/>
      <c r="VL292" s="6"/>
      <c r="VM292" s="4"/>
      <c r="VN292" s="4"/>
      <c r="VO292" s="4"/>
      <c r="VP292" s="4"/>
      <c r="VQ292" s="4"/>
      <c r="VR292" s="5"/>
      <c r="VS292" s="6"/>
      <c r="VT292" s="4"/>
      <c r="VU292" s="4"/>
      <c r="VV292" s="4"/>
      <c r="VW292" s="4"/>
      <c r="VX292" s="4"/>
      <c r="VY292" s="5"/>
      <c r="VZ292" s="6"/>
      <c r="WA292" s="4"/>
      <c r="WB292" s="4"/>
      <c r="WC292" s="4"/>
      <c r="WD292" s="4"/>
      <c r="WE292" s="4"/>
      <c r="WF292" s="5"/>
      <c r="WG292" s="6"/>
      <c r="WH292" s="4"/>
      <c r="WI292" s="4"/>
      <c r="WJ292" s="4"/>
      <c r="WK292" s="4"/>
      <c r="WL292" s="4"/>
      <c r="WM292" s="5"/>
      <c r="WN292" s="6"/>
      <c r="WO292" s="4"/>
      <c r="WP292" s="4"/>
      <c r="WQ292" s="4"/>
      <c r="WR292" s="4"/>
      <c r="WS292" s="4"/>
      <c r="WT292" s="5"/>
      <c r="WU292" s="6"/>
      <c r="WV292" s="4"/>
      <c r="WW292" s="4"/>
      <c r="WX292" s="4"/>
      <c r="WY292" s="4"/>
      <c r="WZ292" s="4"/>
      <c r="XA292" s="5"/>
      <c r="XB292" s="6"/>
      <c r="XC292" s="4"/>
      <c r="XD292" s="4"/>
      <c r="XE292" s="4"/>
      <c r="XF292" s="4"/>
      <c r="XG292" s="4"/>
      <c r="XH292" s="5"/>
      <c r="XI292" s="6"/>
      <c r="XJ292" s="4"/>
      <c r="XK292" s="4"/>
      <c r="XL292" s="4"/>
      <c r="XM292" s="4"/>
      <c r="XN292" s="4"/>
      <c r="XO292" s="5"/>
      <c r="XP292" s="6"/>
      <c r="XQ292" s="4"/>
      <c r="XR292" s="4"/>
      <c r="XS292" s="4"/>
      <c r="XT292" s="4"/>
      <c r="XU292" s="4"/>
      <c r="XV292" s="5"/>
      <c r="XW292" s="6"/>
      <c r="XX292" s="4"/>
      <c r="XY292" s="4"/>
      <c r="XZ292" s="4"/>
      <c r="YA292" s="4"/>
      <c r="YB292" s="4"/>
      <c r="YC292" s="5"/>
      <c r="YD292" s="6"/>
      <c r="YE292" s="4"/>
      <c r="YF292" s="4"/>
      <c r="YG292" s="4"/>
      <c r="YH292" s="4"/>
      <c r="YI292" s="4"/>
      <c r="YJ292" s="5"/>
      <c r="YK292" s="6"/>
      <c r="YL292" s="4"/>
      <c r="YM292" s="4"/>
      <c r="YN292" s="4"/>
      <c r="YO292" s="4"/>
      <c r="YP292" s="4"/>
      <c r="YQ292" s="5"/>
      <c r="YR292" s="6"/>
      <c r="YS292" s="4"/>
      <c r="YT292" s="4"/>
      <c r="YU292" s="4"/>
      <c r="YV292" s="4"/>
      <c r="YW292" s="4"/>
      <c r="YX292" s="5"/>
      <c r="YY292" s="6"/>
      <c r="YZ292" s="4"/>
      <c r="ZA292" s="4"/>
      <c r="ZB292" s="4"/>
      <c r="ZC292" s="4"/>
      <c r="ZD292" s="4"/>
      <c r="ZE292" s="5"/>
      <c r="ZF292" s="6"/>
      <c r="ZG292" s="4"/>
      <c r="ZH292" s="4"/>
      <c r="ZI292" s="4"/>
      <c r="ZJ292" s="4"/>
      <c r="ZK292" s="4"/>
      <c r="ZL292" s="5"/>
      <c r="ZM292" s="6"/>
      <c r="ZN292" s="4"/>
      <c r="ZO292" s="4"/>
      <c r="ZP292" s="4"/>
      <c r="ZQ292" s="4"/>
      <c r="ZR292" s="4"/>
      <c r="ZS292" s="5"/>
      <c r="ZT292" s="6"/>
      <c r="ZU292" s="4"/>
      <c r="ZV292" s="4"/>
      <c r="ZW292" s="4"/>
      <c r="ZX292" s="4"/>
      <c r="ZY292" s="4"/>
      <c r="ZZ292" s="5"/>
      <c r="AAA292" s="6"/>
      <c r="AAB292" s="4"/>
      <c r="AAC292" s="4"/>
      <c r="AAD292" s="4"/>
      <c r="AAE292" s="4"/>
      <c r="AAF292" s="4"/>
      <c r="AAG292" s="5"/>
      <c r="AAH292" s="6"/>
      <c r="AAI292" s="4"/>
      <c r="AAJ292" s="4"/>
      <c r="AAK292" s="4"/>
      <c r="AAL292" s="4"/>
      <c r="AAM292" s="4"/>
      <c r="AAN292" s="5"/>
      <c r="AAO292" s="6"/>
      <c r="AAP292" s="4"/>
      <c r="AAQ292" s="4"/>
      <c r="AAR292" s="4"/>
      <c r="AAS292" s="4"/>
      <c r="AAT292" s="4"/>
      <c r="AAU292" s="5"/>
      <c r="AAV292" s="6"/>
      <c r="AAW292" s="4"/>
      <c r="AAX292" s="4"/>
      <c r="AAY292" s="4"/>
      <c r="AAZ292" s="4"/>
      <c r="ABA292" s="4"/>
      <c r="ABB292" s="5"/>
      <c r="ABC292" s="6"/>
      <c r="ABD292" s="4"/>
      <c r="ABE292" s="4"/>
      <c r="ABF292" s="4"/>
      <c r="ABG292" s="4"/>
      <c r="ABH292" s="4"/>
      <c r="ABI292" s="5"/>
      <c r="ABJ292" s="6"/>
      <c r="ABK292" s="4"/>
      <c r="ABL292" s="4"/>
      <c r="ABM292" s="4"/>
      <c r="ABN292" s="4"/>
      <c r="ABO292" s="4"/>
      <c r="ABP292" s="5"/>
      <c r="ABQ292" s="6"/>
      <c r="ABR292" s="4"/>
      <c r="ABS292" s="4"/>
      <c r="ABT292" s="4"/>
      <c r="ABU292" s="4"/>
      <c r="ABV292" s="4"/>
      <c r="ABW292" s="5"/>
      <c r="ABX292" s="6"/>
      <c r="ABY292" s="4"/>
      <c r="ABZ292" s="4"/>
      <c r="ACA292" s="4"/>
      <c r="ACB292" s="4"/>
      <c r="ACC292" s="4"/>
      <c r="ACD292" s="5"/>
      <c r="ACE292" s="6"/>
      <c r="ACF292" s="4"/>
      <c r="ACG292" s="4"/>
      <c r="ACH292" s="4"/>
      <c r="ACI292" s="4"/>
      <c r="ACJ292" s="4"/>
      <c r="ACK292" s="5"/>
      <c r="ACL292" s="6"/>
      <c r="ACM292" s="4"/>
      <c r="ACN292" s="4"/>
      <c r="ACO292" s="4"/>
      <c r="ACP292" s="4"/>
      <c r="ACQ292" s="4"/>
      <c r="ACR292" s="5"/>
      <c r="ACS292" s="6"/>
      <c r="ACT292" s="4"/>
      <c r="ACU292" s="4"/>
      <c r="ACV292" s="4"/>
      <c r="ACW292" s="4"/>
      <c r="ACX292" s="4"/>
      <c r="ACY292" s="5"/>
    </row>
    <row r="293" spans="2:805" x14ac:dyDescent="0.25">
      <c r="E293" s="23"/>
      <c r="J293" s="12"/>
      <c r="K293" s="12"/>
      <c r="L293" s="12"/>
      <c r="LL293" s="6"/>
      <c r="LM293" s="4"/>
      <c r="LN293" s="4"/>
      <c r="LO293" s="4"/>
      <c r="LP293" s="4"/>
      <c r="LQ293" s="4"/>
      <c r="LR293" s="5"/>
      <c r="LS293" s="6"/>
      <c r="LT293" s="4"/>
      <c r="LU293" s="4"/>
      <c r="LV293" s="4"/>
      <c r="LW293" s="4"/>
      <c r="LX293" s="4"/>
      <c r="LY293" s="5"/>
      <c r="LZ293" s="6" t="s">
        <v>1821</v>
      </c>
      <c r="MA293" s="7" t="s">
        <v>1821</v>
      </c>
      <c r="MB293" s="4" t="s">
        <v>1644</v>
      </c>
      <c r="MC293" s="4"/>
      <c r="MD293" s="4"/>
      <c r="ME293" s="4"/>
      <c r="MF293" s="4"/>
      <c r="MG293" s="5"/>
      <c r="MH293" s="6"/>
      <c r="MI293" s="4"/>
      <c r="MJ293" s="4"/>
      <c r="MK293" s="4"/>
      <c r="ML293" s="4"/>
      <c r="MM293" s="4"/>
      <c r="MN293" s="5"/>
      <c r="MO293" s="6"/>
      <c r="MP293" s="4"/>
      <c r="MQ293" s="4"/>
      <c r="MR293" s="4"/>
      <c r="MS293" s="4"/>
      <c r="MT293" s="4"/>
      <c r="MU293" s="5"/>
      <c r="MV293" s="6"/>
      <c r="MW293" s="4"/>
      <c r="MX293" s="4"/>
      <c r="MY293" s="4"/>
      <c r="MZ293" s="4"/>
      <c r="NA293" s="4"/>
      <c r="NB293" s="5"/>
      <c r="NC293" s="6"/>
      <c r="ND293" s="4"/>
      <c r="NE293" s="4"/>
      <c r="NF293" s="4"/>
      <c r="NG293" s="4"/>
      <c r="NH293" s="4"/>
      <c r="NI293" s="5"/>
      <c r="NJ293" s="6"/>
      <c r="NK293" s="4"/>
      <c r="NL293" s="4"/>
      <c r="NM293" s="4"/>
      <c r="NN293" s="4"/>
      <c r="NO293" s="4"/>
      <c r="NP293" s="5"/>
      <c r="NQ293" s="6"/>
      <c r="NR293" s="4"/>
      <c r="NS293" s="4"/>
      <c r="NT293" s="4"/>
      <c r="NU293" s="4"/>
      <c r="NV293" s="4"/>
      <c r="NW293" s="5"/>
      <c r="NX293" s="6"/>
      <c r="NY293" s="4"/>
      <c r="NZ293" s="4"/>
      <c r="OA293" s="4"/>
      <c r="OB293" s="4"/>
      <c r="OC293" s="4"/>
      <c r="OD293" s="5"/>
      <c r="OE293" s="6"/>
      <c r="OF293" s="4"/>
      <c r="OG293" s="4"/>
      <c r="OH293" s="4"/>
      <c r="OI293" s="4"/>
      <c r="OJ293" s="4"/>
      <c r="OK293" s="5"/>
      <c r="OL293" s="6"/>
      <c r="OM293" s="4"/>
      <c r="ON293" s="4"/>
      <c r="OO293" s="4"/>
      <c r="OP293" s="4"/>
      <c r="OQ293" s="4"/>
      <c r="OR293" s="5"/>
      <c r="OS293" s="6"/>
      <c r="OT293" s="4"/>
      <c r="OU293" s="4"/>
      <c r="OV293" s="4"/>
      <c r="OW293" s="4"/>
      <c r="OX293" s="4"/>
      <c r="OY293" s="5"/>
      <c r="OZ293" s="6"/>
      <c r="PA293" s="4"/>
      <c r="PB293" s="4"/>
      <c r="PC293" s="4"/>
      <c r="PD293" s="4"/>
      <c r="PE293" s="4"/>
      <c r="PF293" s="5"/>
      <c r="PG293" s="6"/>
      <c r="PH293" s="4"/>
      <c r="PI293" s="4"/>
      <c r="PJ293" s="4"/>
      <c r="PK293" s="4"/>
      <c r="PL293" s="4"/>
      <c r="PM293" s="5"/>
      <c r="PN293" s="6"/>
      <c r="PO293" s="4"/>
      <c r="PP293" s="4"/>
      <c r="PQ293" s="4"/>
      <c r="PR293" s="4"/>
      <c r="PS293" s="4"/>
      <c r="PT293" s="5"/>
      <c r="PU293" s="6" t="s">
        <v>1646</v>
      </c>
      <c r="PV293" s="4" t="s">
        <v>1646</v>
      </c>
      <c r="PW293" s="4" t="s">
        <v>1647</v>
      </c>
      <c r="PX293" s="4"/>
      <c r="PY293" s="8">
        <v>37908</v>
      </c>
      <c r="PZ293" s="4"/>
      <c r="QA293" s="5"/>
      <c r="QB293" s="6"/>
      <c r="QC293" s="4"/>
      <c r="QD293" s="4"/>
      <c r="QE293" s="4"/>
      <c r="QF293" s="4"/>
      <c r="QG293" s="4"/>
      <c r="QH293" s="5"/>
      <c r="QI293" s="6"/>
      <c r="QJ293" s="4"/>
      <c r="QK293" s="4"/>
      <c r="QL293" s="4"/>
      <c r="QM293" s="4"/>
      <c r="QN293" s="4"/>
      <c r="QO293" s="5"/>
      <c r="QP293" s="6"/>
      <c r="QQ293" s="4"/>
      <c r="QR293" s="4"/>
      <c r="QS293" s="4"/>
      <c r="QT293" s="4"/>
      <c r="QU293" s="4"/>
      <c r="QV293" s="5"/>
      <c r="QW293" s="6"/>
      <c r="QX293" s="4"/>
      <c r="QY293" s="4"/>
      <c r="QZ293" s="4"/>
      <c r="RA293" s="4"/>
      <c r="RB293" s="4"/>
      <c r="RC293" s="5"/>
      <c r="RD293" s="6"/>
      <c r="RE293" s="4"/>
      <c r="RF293" s="4"/>
      <c r="RG293" s="4"/>
      <c r="RH293" s="4"/>
      <c r="RI293" s="4"/>
      <c r="RJ293" s="5"/>
      <c r="RK293" s="6"/>
      <c r="RL293" s="4"/>
      <c r="RM293" s="4"/>
      <c r="RN293" s="4"/>
      <c r="RO293" s="4"/>
      <c r="RP293" s="4"/>
      <c r="RQ293" s="5"/>
      <c r="RR293" s="6"/>
      <c r="RS293" s="4"/>
      <c r="RT293" s="4"/>
      <c r="RU293" s="4"/>
      <c r="RV293" s="4"/>
      <c r="RW293" s="4"/>
      <c r="RX293" s="5"/>
      <c r="RY293" s="6"/>
      <c r="RZ293" s="4"/>
      <c r="SA293" s="4"/>
      <c r="SB293" s="4"/>
      <c r="SC293" s="4"/>
      <c r="SD293" s="4"/>
      <c r="SE293" s="5"/>
      <c r="SF293" s="6"/>
      <c r="SG293" s="4"/>
      <c r="SH293" s="4"/>
      <c r="SI293" s="4"/>
      <c r="SJ293" s="4"/>
      <c r="SK293" s="4"/>
      <c r="SL293" s="5"/>
      <c r="SM293" s="6"/>
      <c r="SN293" s="4"/>
      <c r="SO293" s="4"/>
      <c r="SP293" s="4"/>
      <c r="SQ293" s="4"/>
      <c r="SR293" s="4"/>
      <c r="SS293" s="5"/>
      <c r="ST293" s="6"/>
      <c r="SU293" s="4"/>
      <c r="SV293" s="4"/>
      <c r="SW293" s="4"/>
      <c r="SX293" s="4"/>
      <c r="SY293" s="4"/>
      <c r="SZ293" s="5"/>
      <c r="TA293" s="6"/>
      <c r="TB293" s="4"/>
      <c r="TC293" s="4"/>
      <c r="TD293" s="4"/>
      <c r="TE293" s="4"/>
      <c r="TF293" s="4"/>
      <c r="TG293" s="5"/>
      <c r="TH293" s="6"/>
      <c r="TI293" s="4"/>
      <c r="TJ293" s="4"/>
      <c r="TK293" s="4"/>
      <c r="TL293" s="4"/>
      <c r="TM293" s="4"/>
      <c r="TN293" s="5"/>
      <c r="TO293" s="6"/>
      <c r="TP293" s="4"/>
      <c r="TQ293" s="4"/>
      <c r="TR293" s="4"/>
      <c r="TS293" s="4"/>
      <c r="TT293" s="4"/>
      <c r="TU293" s="5"/>
      <c r="TV293" s="6"/>
      <c r="TW293" s="4"/>
      <c r="TX293" s="4"/>
      <c r="TY293" s="4"/>
      <c r="TZ293" s="4"/>
      <c r="UA293" s="4"/>
      <c r="UB293" s="5"/>
      <c r="UC293" s="6"/>
      <c r="UD293" s="4"/>
      <c r="UE293" s="4"/>
      <c r="UF293" s="4"/>
      <c r="UG293" s="4"/>
      <c r="UH293" s="4"/>
      <c r="UI293" s="5"/>
      <c r="UJ293" s="6"/>
      <c r="UK293" s="4"/>
      <c r="UL293" s="4"/>
      <c r="UM293" s="4"/>
      <c r="UN293" s="4"/>
      <c r="UO293" s="4"/>
      <c r="UP293" s="5"/>
      <c r="UQ293" s="6"/>
      <c r="UR293" s="4"/>
      <c r="US293" s="4"/>
      <c r="UT293" s="4"/>
      <c r="UU293" s="4"/>
      <c r="UV293" s="4"/>
      <c r="UW293" s="5"/>
      <c r="UX293" s="6"/>
      <c r="UY293" s="4"/>
      <c r="UZ293" s="4"/>
      <c r="VA293" s="4"/>
      <c r="VB293" s="8"/>
      <c r="VC293" s="4"/>
      <c r="VD293" s="5"/>
      <c r="VE293" s="6"/>
      <c r="VF293" s="4"/>
      <c r="VG293" s="4"/>
      <c r="VH293" s="4"/>
      <c r="VI293" s="4"/>
      <c r="VJ293" s="4"/>
      <c r="VK293" s="5"/>
      <c r="VL293" s="6"/>
      <c r="VM293" s="4"/>
      <c r="VN293" s="4"/>
      <c r="VO293" s="4"/>
      <c r="VP293" s="4"/>
      <c r="VQ293" s="4"/>
      <c r="VR293" s="5"/>
      <c r="VS293" s="6"/>
      <c r="VT293" s="4"/>
      <c r="VU293" s="4"/>
      <c r="VV293" s="4"/>
      <c r="VW293" s="4"/>
      <c r="VX293" s="4"/>
      <c r="VY293" s="5"/>
      <c r="VZ293" s="6"/>
      <c r="WA293" s="4"/>
      <c r="WB293" s="4"/>
      <c r="WC293" s="4"/>
      <c r="WD293" s="4"/>
      <c r="WE293" s="4"/>
      <c r="WF293" s="5"/>
      <c r="WG293" s="6"/>
      <c r="WH293" s="4"/>
      <c r="WI293" s="4"/>
      <c r="WJ293" s="4"/>
      <c r="WK293" s="4"/>
      <c r="WL293" s="4"/>
      <c r="WM293" s="5"/>
      <c r="WN293" s="6"/>
      <c r="WO293" s="4"/>
      <c r="WP293" s="4"/>
      <c r="WQ293" s="4"/>
      <c r="WR293" s="4"/>
      <c r="WS293" s="4"/>
      <c r="WT293" s="5"/>
      <c r="WU293" s="6"/>
      <c r="WV293" s="4"/>
      <c r="WW293" s="4"/>
      <c r="WX293" s="4"/>
      <c r="WY293" s="4"/>
      <c r="WZ293" s="4"/>
      <c r="XA293" s="5"/>
      <c r="XB293" s="6"/>
      <c r="XC293" s="4"/>
      <c r="XD293" s="4"/>
      <c r="XE293" s="4"/>
      <c r="XF293" s="4"/>
      <c r="XG293" s="4"/>
      <c r="XH293" s="5"/>
      <c r="XI293" s="6"/>
      <c r="XJ293" s="4"/>
      <c r="XK293" s="4"/>
      <c r="XL293" s="4"/>
      <c r="XM293" s="4"/>
      <c r="XN293" s="4"/>
      <c r="XO293" s="5"/>
      <c r="XP293" s="6"/>
      <c r="XQ293" s="4"/>
      <c r="XR293" s="4"/>
      <c r="XS293" s="4"/>
      <c r="XT293" s="4"/>
      <c r="XU293" s="4"/>
      <c r="XV293" s="5"/>
      <c r="XW293" s="6"/>
      <c r="XX293" s="4"/>
      <c r="XY293" s="4"/>
      <c r="XZ293" s="4"/>
      <c r="YA293" s="4"/>
      <c r="YB293" s="4"/>
      <c r="YC293" s="5"/>
      <c r="YD293" s="6"/>
      <c r="YE293" s="4"/>
      <c r="YF293" s="4"/>
      <c r="YG293" s="4"/>
      <c r="YH293" s="4"/>
      <c r="YI293" s="4"/>
      <c r="YJ293" s="5"/>
      <c r="YK293" s="6"/>
      <c r="YL293" s="4"/>
      <c r="YM293" s="4"/>
      <c r="YN293" s="4"/>
      <c r="YO293" s="4"/>
      <c r="YP293" s="4"/>
      <c r="YQ293" s="5"/>
      <c r="YR293" s="6"/>
      <c r="YS293" s="4"/>
      <c r="YT293" s="4"/>
      <c r="YU293" s="4"/>
      <c r="YV293" s="4"/>
      <c r="YW293" s="4"/>
      <c r="YX293" s="5"/>
      <c r="YY293" s="6"/>
      <c r="YZ293" s="4"/>
      <c r="ZA293" s="4"/>
      <c r="ZB293" s="4"/>
      <c r="ZC293" s="4"/>
      <c r="ZD293" s="4"/>
      <c r="ZE293" s="5"/>
      <c r="ZF293" s="6"/>
      <c r="ZG293" s="4"/>
      <c r="ZH293" s="4"/>
      <c r="ZI293" s="4"/>
      <c r="ZJ293" s="4"/>
      <c r="ZK293" s="4"/>
      <c r="ZL293" s="5"/>
      <c r="ZM293" s="6"/>
      <c r="ZN293" s="4"/>
      <c r="ZO293" s="4"/>
      <c r="ZP293" s="4"/>
      <c r="ZQ293" s="4"/>
      <c r="ZR293" s="4"/>
      <c r="ZS293" s="5"/>
      <c r="ZT293" s="6"/>
      <c r="ZU293" s="4"/>
      <c r="ZV293" s="4"/>
      <c r="ZW293" s="4"/>
      <c r="ZX293" s="4"/>
      <c r="ZY293" s="4"/>
      <c r="ZZ293" s="5"/>
      <c r="AAA293" s="6"/>
      <c r="AAB293" s="4"/>
      <c r="AAC293" s="4"/>
      <c r="AAD293" s="4"/>
      <c r="AAE293" s="4"/>
      <c r="AAF293" s="4"/>
      <c r="AAG293" s="5"/>
      <c r="AAH293" s="6"/>
      <c r="AAI293" s="4"/>
      <c r="AAJ293" s="4"/>
      <c r="AAK293" s="4"/>
      <c r="AAL293" s="4"/>
      <c r="AAM293" s="4"/>
      <c r="AAN293" s="5"/>
      <c r="AAO293" s="6"/>
      <c r="AAP293" s="4"/>
      <c r="AAQ293" s="4"/>
      <c r="AAR293" s="4"/>
      <c r="AAS293" s="4"/>
      <c r="AAT293" s="4"/>
      <c r="AAU293" s="5"/>
      <c r="AAV293" s="6"/>
      <c r="AAW293" s="4"/>
      <c r="AAX293" s="4"/>
      <c r="AAY293" s="4"/>
      <c r="AAZ293" s="4"/>
      <c r="ABA293" s="4"/>
      <c r="ABB293" s="5"/>
      <c r="ABC293" s="6"/>
      <c r="ABD293" s="4"/>
      <c r="ABE293" s="4"/>
      <c r="ABF293" s="4"/>
      <c r="ABG293" s="4"/>
      <c r="ABH293" s="4"/>
      <c r="ABI293" s="5"/>
      <c r="ABJ293" s="6"/>
      <c r="ABK293" s="4"/>
      <c r="ABL293" s="4"/>
      <c r="ABM293" s="4"/>
      <c r="ABN293" s="4"/>
      <c r="ABO293" s="4"/>
      <c r="ABP293" s="5"/>
      <c r="ABQ293" s="6"/>
      <c r="ABR293" s="4"/>
      <c r="ABS293" s="4"/>
      <c r="ABT293" s="4"/>
      <c r="ABU293" s="4"/>
      <c r="ABV293" s="4"/>
      <c r="ABW293" s="5"/>
      <c r="ABX293" s="6"/>
      <c r="ABY293" s="4"/>
      <c r="ABZ293" s="4"/>
      <c r="ACA293" s="4"/>
      <c r="ACB293" s="4"/>
      <c r="ACC293" s="4"/>
      <c r="ACD293" s="5"/>
      <c r="ACE293" s="6"/>
      <c r="ACF293" s="4"/>
      <c r="ACG293" s="4"/>
      <c r="ACH293" s="4"/>
      <c r="ACI293" s="4"/>
      <c r="ACJ293" s="4"/>
      <c r="ACK293" s="5"/>
      <c r="ACL293" s="6"/>
      <c r="ACM293" s="4"/>
      <c r="ACN293" s="4"/>
      <c r="ACO293" s="4"/>
      <c r="ACP293" s="4"/>
      <c r="ACQ293" s="4"/>
      <c r="ACR293" s="5"/>
      <c r="ACS293" s="6"/>
      <c r="ACT293" s="4"/>
      <c r="ACU293" s="4"/>
      <c r="ACV293" s="4"/>
      <c r="ACW293" s="4"/>
      <c r="ACX293" s="4"/>
      <c r="ACY293" s="5"/>
    </row>
    <row r="294" spans="2:805" x14ac:dyDescent="0.25">
      <c r="J294" s="12"/>
      <c r="K294" s="12"/>
      <c r="L294" s="12"/>
      <c r="LL294" s="6"/>
      <c r="LM294" s="4"/>
      <c r="LN294" s="4"/>
      <c r="LO294" s="4"/>
      <c r="LP294" s="4"/>
      <c r="LQ294" s="4"/>
      <c r="LR294" s="5"/>
      <c r="LS294" s="6"/>
      <c r="LT294" s="4"/>
      <c r="LU294" s="4"/>
      <c r="LV294" s="4"/>
      <c r="LW294" s="4"/>
      <c r="LX294" s="4"/>
      <c r="LY294" s="5"/>
      <c r="LZ294" s="6" t="s">
        <v>1803</v>
      </c>
      <c r="MA294" s="7" t="s">
        <v>1583</v>
      </c>
      <c r="MB294" s="4" t="s">
        <v>1804</v>
      </c>
      <c r="MC294" s="4"/>
      <c r="MD294" s="4"/>
      <c r="ME294" s="4"/>
      <c r="MF294" s="4" t="s">
        <v>3743</v>
      </c>
      <c r="MG294" s="5"/>
      <c r="MH294" s="6"/>
      <c r="MI294" s="4"/>
      <c r="MJ294" s="4"/>
      <c r="MK294" s="4"/>
      <c r="ML294" s="4"/>
      <c r="MM294" s="4"/>
      <c r="MN294" s="5"/>
      <c r="MO294" s="6"/>
      <c r="MP294" s="4"/>
      <c r="MQ294" s="4"/>
      <c r="MR294" s="4"/>
      <c r="MS294" s="4"/>
      <c r="MT294" s="4"/>
      <c r="MU294" s="5"/>
      <c r="MV294" s="6"/>
      <c r="MW294" s="4"/>
      <c r="MX294" s="4"/>
      <c r="MY294" s="4"/>
      <c r="MZ294" s="4"/>
      <c r="NA294" s="4"/>
      <c r="NB294" s="5"/>
      <c r="NC294" s="6"/>
      <c r="ND294" s="4"/>
      <c r="NE294" s="4"/>
      <c r="NF294" s="4"/>
      <c r="NG294" s="4"/>
      <c r="NH294" s="4"/>
      <c r="NI294" s="5"/>
      <c r="NJ294" s="6"/>
      <c r="NK294" s="4"/>
      <c r="NL294" s="4"/>
      <c r="NM294" s="4"/>
      <c r="NN294" s="4"/>
      <c r="NO294" s="4"/>
      <c r="NP294" s="5"/>
      <c r="NQ294" s="6"/>
      <c r="NR294" s="4"/>
      <c r="NS294" s="4"/>
      <c r="NT294" s="4"/>
      <c r="NU294" s="4"/>
      <c r="NV294" s="4"/>
      <c r="NW294" s="5"/>
      <c r="NX294" s="6"/>
      <c r="NY294" s="4"/>
      <c r="NZ294" s="4"/>
      <c r="OA294" s="4"/>
      <c r="OB294" s="4"/>
      <c r="OC294" s="4"/>
      <c r="OD294" s="5"/>
      <c r="OE294" s="6"/>
      <c r="OF294" s="4"/>
      <c r="OG294" s="4"/>
      <c r="OH294" s="4"/>
      <c r="OI294" s="4"/>
      <c r="OJ294" s="4"/>
      <c r="OK294" s="5"/>
      <c r="OL294" s="6"/>
      <c r="OM294" s="4"/>
      <c r="ON294" s="4"/>
      <c r="OO294" s="4"/>
      <c r="OP294" s="4"/>
      <c r="OQ294" s="4"/>
      <c r="OR294" s="5"/>
      <c r="OS294" s="6"/>
      <c r="OT294" s="4"/>
      <c r="OU294" s="4"/>
      <c r="OV294" s="4"/>
      <c r="OW294" s="4"/>
      <c r="OX294" s="4"/>
      <c r="OY294" s="5"/>
      <c r="OZ294" s="6"/>
      <c r="PA294" s="4"/>
      <c r="PB294" s="4"/>
      <c r="PC294" s="4"/>
      <c r="PD294" s="4"/>
      <c r="PE294" s="4"/>
      <c r="PF294" s="5"/>
      <c r="PG294" s="6"/>
      <c r="PH294" s="4"/>
      <c r="PI294" s="4"/>
      <c r="PJ294" s="4"/>
      <c r="PK294" s="4"/>
      <c r="PL294" s="4"/>
      <c r="PM294" s="5"/>
      <c r="PN294" s="6"/>
      <c r="PO294" s="4"/>
      <c r="PP294" s="4"/>
      <c r="PQ294" s="4"/>
      <c r="PR294" s="4"/>
      <c r="PS294" s="4"/>
      <c r="PT294" s="5"/>
      <c r="PU294" s="6"/>
      <c r="PV294" s="4"/>
      <c r="PW294" s="4"/>
      <c r="PX294" s="4"/>
      <c r="PY294" s="8"/>
      <c r="PZ294" s="4"/>
      <c r="QA294" s="5"/>
      <c r="QB294" s="6"/>
      <c r="QC294" s="4"/>
      <c r="QD294" s="4"/>
      <c r="QE294" s="4"/>
      <c r="QF294" s="4"/>
      <c r="QG294" s="4"/>
      <c r="QH294" s="5"/>
      <c r="QI294" s="6"/>
      <c r="QJ294" s="4"/>
      <c r="QK294" s="4"/>
      <c r="QL294" s="4"/>
      <c r="QM294" s="4"/>
      <c r="QN294" s="4"/>
      <c r="QO294" s="5"/>
      <c r="QP294" s="6"/>
      <c r="QQ294" s="4"/>
      <c r="QR294" s="4"/>
      <c r="QS294" s="4"/>
      <c r="QT294" s="4"/>
      <c r="QU294" s="4"/>
      <c r="QV294" s="5"/>
      <c r="QW294" s="6"/>
      <c r="QX294" s="4"/>
      <c r="QY294" s="4"/>
      <c r="QZ294" s="4"/>
      <c r="RA294" s="4"/>
      <c r="RB294" s="4"/>
      <c r="RC294" s="5"/>
      <c r="RD294" s="6"/>
      <c r="RE294" s="4"/>
      <c r="RF294" s="4"/>
      <c r="RG294" s="4"/>
      <c r="RH294" s="4"/>
      <c r="RI294" s="4"/>
      <c r="RJ294" s="5"/>
      <c r="RK294" s="6"/>
      <c r="RL294" s="4"/>
      <c r="RM294" s="4"/>
      <c r="RN294" s="4"/>
      <c r="RO294" s="4"/>
      <c r="RP294" s="4"/>
      <c r="RQ294" s="5"/>
      <c r="RR294" s="6"/>
      <c r="RS294" s="4"/>
      <c r="RT294" s="4"/>
      <c r="RU294" s="4"/>
      <c r="RV294" s="4"/>
      <c r="RW294" s="4"/>
      <c r="RX294" s="5"/>
      <c r="RY294" s="6"/>
      <c r="RZ294" s="4"/>
      <c r="SA294" s="4"/>
      <c r="SB294" s="4"/>
      <c r="SC294" s="4"/>
      <c r="SD294" s="4"/>
      <c r="SE294" s="5"/>
      <c r="SF294" s="6"/>
      <c r="SG294" s="4"/>
      <c r="SH294" s="4"/>
      <c r="SI294" s="4"/>
      <c r="SJ294" s="4"/>
      <c r="SK294" s="4"/>
      <c r="SL294" s="5"/>
      <c r="SM294" s="6"/>
      <c r="SN294" s="4"/>
      <c r="SO294" s="4"/>
      <c r="SP294" s="4"/>
      <c r="SQ294" s="4"/>
      <c r="SR294" s="4"/>
      <c r="SS294" s="5"/>
      <c r="ST294" s="6"/>
      <c r="SU294" s="4"/>
      <c r="SV294" s="4"/>
      <c r="SW294" s="4"/>
      <c r="SX294" s="4"/>
      <c r="SY294" s="4"/>
      <c r="SZ294" s="5"/>
      <c r="TA294" s="6"/>
      <c r="TB294" s="4"/>
      <c r="TC294" s="4"/>
      <c r="TD294" s="4"/>
      <c r="TE294" s="4"/>
      <c r="TF294" s="4"/>
      <c r="TG294" s="5"/>
      <c r="TH294" s="6"/>
      <c r="TI294" s="4"/>
      <c r="TJ294" s="4"/>
      <c r="TK294" s="4"/>
      <c r="TL294" s="4"/>
      <c r="TM294" s="4"/>
      <c r="TN294" s="5"/>
      <c r="TO294" s="6"/>
      <c r="TP294" s="4"/>
      <c r="TQ294" s="4"/>
      <c r="TR294" s="4"/>
      <c r="TS294" s="4"/>
      <c r="TT294" s="4"/>
      <c r="TU294" s="5"/>
      <c r="TV294" s="6"/>
      <c r="TW294" s="4"/>
      <c r="TX294" s="4"/>
      <c r="TY294" s="4"/>
      <c r="TZ294" s="4"/>
      <c r="UA294" s="4"/>
      <c r="UB294" s="5"/>
      <c r="UC294" s="6"/>
      <c r="UD294" s="4"/>
      <c r="UE294" s="4"/>
      <c r="UF294" s="4"/>
      <c r="UG294" s="4"/>
      <c r="UH294" s="4"/>
      <c r="UI294" s="5"/>
      <c r="UJ294" s="6"/>
      <c r="UK294" s="4"/>
      <c r="UL294" s="4"/>
      <c r="UM294" s="4"/>
      <c r="UN294" s="4"/>
      <c r="UO294" s="4"/>
      <c r="UP294" s="5"/>
      <c r="UQ294" s="6"/>
      <c r="UR294" s="4"/>
      <c r="US294" s="4"/>
      <c r="UT294" s="4"/>
      <c r="UU294" s="4"/>
      <c r="UV294" s="4"/>
      <c r="UW294" s="5"/>
      <c r="UX294" s="6"/>
      <c r="UY294" s="4"/>
      <c r="UZ294" s="4"/>
      <c r="VA294" s="4"/>
      <c r="VB294" s="8"/>
      <c r="VC294" s="4"/>
      <c r="VD294" s="5"/>
      <c r="VE294" s="6"/>
      <c r="VF294" s="4"/>
      <c r="VG294" s="4"/>
      <c r="VH294" s="4"/>
      <c r="VI294" s="4"/>
      <c r="VJ294" s="4"/>
      <c r="VK294" s="5"/>
      <c r="VL294" s="6"/>
      <c r="VM294" s="4"/>
      <c r="VN294" s="4"/>
      <c r="VO294" s="4"/>
      <c r="VP294" s="4"/>
      <c r="VQ294" s="4"/>
      <c r="VR294" s="5"/>
      <c r="VS294" s="6"/>
      <c r="VT294" s="4"/>
      <c r="VU294" s="4"/>
      <c r="VV294" s="4"/>
      <c r="VW294" s="4"/>
      <c r="VX294" s="4"/>
      <c r="VY294" s="5"/>
      <c r="VZ294" s="6"/>
      <c r="WA294" s="4"/>
      <c r="WB294" s="4"/>
      <c r="WC294" s="4"/>
      <c r="WD294" s="4"/>
      <c r="WE294" s="4"/>
      <c r="WF294" s="5"/>
      <c r="WG294" s="6"/>
      <c r="WH294" s="4"/>
      <c r="WI294" s="4"/>
      <c r="WJ294" s="4"/>
      <c r="WK294" s="4"/>
      <c r="WL294" s="4"/>
      <c r="WM294" s="5"/>
      <c r="WN294" s="6"/>
      <c r="WO294" s="4"/>
      <c r="WP294" s="4"/>
      <c r="WQ294" s="4"/>
      <c r="WR294" s="4"/>
      <c r="WS294" s="4"/>
      <c r="WT294" s="5"/>
      <c r="WU294" s="6"/>
      <c r="WV294" s="4"/>
      <c r="WW294" s="4"/>
      <c r="WX294" s="4"/>
      <c r="WY294" s="4"/>
      <c r="WZ294" s="4"/>
      <c r="XA294" s="5"/>
      <c r="XB294" s="6"/>
      <c r="XC294" s="4"/>
      <c r="XD294" s="4"/>
      <c r="XE294" s="4"/>
      <c r="XF294" s="4"/>
      <c r="XG294" s="4"/>
      <c r="XH294" s="5"/>
      <c r="XI294" s="6"/>
      <c r="XJ294" s="4"/>
      <c r="XK294" s="4"/>
      <c r="XL294" s="4"/>
      <c r="XM294" s="4"/>
      <c r="XN294" s="4"/>
      <c r="XO294" s="5"/>
      <c r="XP294" s="6"/>
      <c r="XQ294" s="4"/>
      <c r="XR294" s="4"/>
      <c r="XS294" s="4"/>
      <c r="XT294" s="4"/>
      <c r="XU294" s="4"/>
      <c r="XV294" s="5"/>
      <c r="XW294" s="6"/>
      <c r="XX294" s="4"/>
      <c r="XY294" s="4"/>
      <c r="XZ294" s="4"/>
      <c r="YA294" s="4"/>
      <c r="YB294" s="4"/>
      <c r="YC294" s="5"/>
      <c r="YD294" s="6"/>
      <c r="YE294" s="4"/>
      <c r="YF294" s="4"/>
      <c r="YG294" s="4"/>
      <c r="YH294" s="4"/>
      <c r="YI294" s="4"/>
      <c r="YJ294" s="5"/>
      <c r="YK294" s="6"/>
      <c r="YL294" s="4"/>
      <c r="YM294" s="4"/>
      <c r="YN294" s="4"/>
      <c r="YO294" s="4"/>
      <c r="YP294" s="4"/>
      <c r="YQ294" s="5"/>
      <c r="YR294" s="6"/>
      <c r="YS294" s="4"/>
      <c r="YT294" s="4"/>
      <c r="YU294" s="4"/>
      <c r="YV294" s="4"/>
      <c r="YW294" s="4"/>
      <c r="YX294" s="5"/>
      <c r="YY294" s="6"/>
      <c r="YZ294" s="4"/>
      <c r="ZA294" s="4"/>
      <c r="ZB294" s="4"/>
      <c r="ZC294" s="4"/>
      <c r="ZD294" s="4"/>
      <c r="ZE294" s="5"/>
      <c r="ZF294" s="6"/>
      <c r="ZG294" s="4"/>
      <c r="ZH294" s="4"/>
      <c r="ZI294" s="4"/>
      <c r="ZJ294" s="4"/>
      <c r="ZK294" s="4"/>
      <c r="ZL294" s="5"/>
      <c r="ZM294" s="6"/>
      <c r="ZN294" s="4"/>
      <c r="ZO294" s="4"/>
      <c r="ZP294" s="4"/>
      <c r="ZQ294" s="4"/>
      <c r="ZR294" s="4"/>
      <c r="ZS294" s="5"/>
      <c r="ZT294" s="6"/>
      <c r="ZU294" s="4"/>
      <c r="ZV294" s="4"/>
      <c r="ZW294" s="4"/>
      <c r="ZX294" s="4"/>
      <c r="ZY294" s="4"/>
      <c r="ZZ294" s="5"/>
      <c r="AAA294" s="6"/>
      <c r="AAB294" s="4"/>
      <c r="AAC294" s="4"/>
      <c r="AAD294" s="4"/>
      <c r="AAE294" s="4"/>
      <c r="AAF294" s="4"/>
      <c r="AAG294" s="5"/>
      <c r="AAH294" s="6"/>
      <c r="AAI294" s="4"/>
      <c r="AAJ294" s="4"/>
      <c r="AAK294" s="4"/>
      <c r="AAL294" s="4"/>
      <c r="AAM294" s="4"/>
      <c r="AAN294" s="5"/>
      <c r="AAO294" s="6"/>
      <c r="AAP294" s="4"/>
      <c r="AAQ294" s="4"/>
      <c r="AAR294" s="4"/>
      <c r="AAS294" s="4"/>
      <c r="AAT294" s="4"/>
      <c r="AAU294" s="5"/>
      <c r="AAV294" s="6"/>
      <c r="AAW294" s="4"/>
      <c r="AAX294" s="4"/>
      <c r="AAY294" s="4"/>
      <c r="AAZ294" s="4"/>
      <c r="ABA294" s="4"/>
      <c r="ABB294" s="5"/>
      <c r="ABC294" s="6"/>
      <c r="ABD294" s="4"/>
      <c r="ABE294" s="4"/>
      <c r="ABF294" s="4"/>
      <c r="ABG294" s="4"/>
      <c r="ABH294" s="4"/>
      <c r="ABI294" s="5"/>
      <c r="ABJ294" s="6"/>
      <c r="ABK294" s="4"/>
      <c r="ABL294" s="4"/>
      <c r="ABM294" s="4"/>
      <c r="ABN294" s="4"/>
      <c r="ABO294" s="4"/>
      <c r="ABP294" s="5"/>
      <c r="ABQ294" s="6"/>
      <c r="ABR294" s="4"/>
      <c r="ABS294" s="4"/>
      <c r="ABT294" s="4"/>
      <c r="ABU294" s="4"/>
      <c r="ABV294" s="4"/>
      <c r="ABW294" s="5"/>
      <c r="ABX294" s="6"/>
      <c r="ABY294" s="4"/>
      <c r="ABZ294" s="4"/>
      <c r="ACA294" s="4"/>
      <c r="ACB294" s="4"/>
      <c r="ACC294" s="4"/>
      <c r="ACD294" s="5"/>
      <c r="ACE294" s="6"/>
      <c r="ACF294" s="4"/>
      <c r="ACG294" s="4"/>
      <c r="ACH294" s="4"/>
      <c r="ACI294" s="4"/>
      <c r="ACJ294" s="4"/>
      <c r="ACK294" s="5"/>
      <c r="ACL294" s="6"/>
      <c r="ACM294" s="4"/>
      <c r="ACN294" s="4"/>
      <c r="ACO294" s="4"/>
      <c r="ACP294" s="4"/>
      <c r="ACQ294" s="4"/>
      <c r="ACR294" s="5"/>
      <c r="ACS294" s="6"/>
      <c r="ACT294" s="4"/>
      <c r="ACU294" s="4"/>
      <c r="ACV294" s="4"/>
      <c r="ACW294" s="4"/>
      <c r="ACX294" s="4"/>
      <c r="ACY294" s="5"/>
    </row>
    <row r="295" spans="2:805" x14ac:dyDescent="0.25">
      <c r="B295" s="29">
        <v>8008772</v>
      </c>
      <c r="C295" s="57">
        <v>66</v>
      </c>
      <c r="D295" t="s">
        <v>3729</v>
      </c>
      <c r="E295" s="38" t="s">
        <v>4183</v>
      </c>
      <c r="F295" s="23">
        <v>0</v>
      </c>
      <c r="I295">
        <v>1</v>
      </c>
      <c r="J295" s="19">
        <v>37711</v>
      </c>
      <c r="K295" s="19" t="s">
        <v>3945</v>
      </c>
      <c r="L295" s="19"/>
      <c r="S295">
        <v>1</v>
      </c>
      <c r="AF295">
        <v>1</v>
      </c>
      <c r="AJ295">
        <v>1</v>
      </c>
      <c r="BQ295">
        <v>1</v>
      </c>
      <c r="DP295">
        <v>1</v>
      </c>
      <c r="EP295">
        <v>1</v>
      </c>
      <c r="GC295">
        <v>1</v>
      </c>
      <c r="HM295">
        <v>1</v>
      </c>
      <c r="LL295" s="6"/>
      <c r="LM295" s="4"/>
      <c r="LN295" s="4"/>
      <c r="LO295" s="4"/>
      <c r="LP295" s="4"/>
      <c r="LQ295" s="4"/>
      <c r="LR295" s="5"/>
      <c r="LS295" s="6"/>
      <c r="LT295" s="4"/>
      <c r="LU295" s="4"/>
      <c r="LV295" s="4"/>
      <c r="LW295" s="4"/>
      <c r="LX295" s="4"/>
      <c r="LY295" s="5"/>
      <c r="LZ295" s="6" t="s">
        <v>1648</v>
      </c>
      <c r="MA295" s="7" t="s">
        <v>2090</v>
      </c>
      <c r="MB295" s="7" t="s">
        <v>1887</v>
      </c>
      <c r="MC295" s="4"/>
      <c r="MD295" s="8">
        <v>35796</v>
      </c>
      <c r="ME295" s="4"/>
      <c r="MF295" s="4"/>
      <c r="MG295" s="5" t="s">
        <v>3946</v>
      </c>
      <c r="MH295" s="6"/>
      <c r="MI295" s="4"/>
      <c r="MJ295" s="4"/>
      <c r="MK295" s="4"/>
      <c r="ML295" s="4"/>
      <c r="MM295" s="4"/>
      <c r="MN295" s="5"/>
      <c r="MO295" s="6"/>
      <c r="MP295" s="4"/>
      <c r="MQ295" s="4"/>
      <c r="MR295" s="4"/>
      <c r="MS295" s="4"/>
      <c r="MT295" s="4"/>
      <c r="MU295" s="5"/>
      <c r="MV295" s="6"/>
      <c r="MW295" s="4"/>
      <c r="MX295" s="4"/>
      <c r="MY295" s="4"/>
      <c r="MZ295" s="4"/>
      <c r="NA295" s="4"/>
      <c r="NB295" s="5"/>
      <c r="NC295" s="6" t="s">
        <v>1746</v>
      </c>
      <c r="ND295" s="12" t="s">
        <v>1745</v>
      </c>
      <c r="NE295" s="4"/>
      <c r="NF295" s="4" t="s">
        <v>2082</v>
      </c>
      <c r="NG295" s="8">
        <v>37704</v>
      </c>
      <c r="NH295" s="8">
        <v>37709</v>
      </c>
      <c r="NI295" s="5" t="s">
        <v>3950</v>
      </c>
      <c r="NJ295" s="6"/>
      <c r="NK295" s="4"/>
      <c r="NL295" s="4"/>
      <c r="NM295" s="4"/>
      <c r="NN295" s="4"/>
      <c r="NO295" s="4"/>
      <c r="NP295" s="5"/>
      <c r="NQ295" s="6"/>
      <c r="NR295" s="4"/>
      <c r="NS295" s="4"/>
      <c r="NT295" s="4"/>
      <c r="NU295" s="4"/>
      <c r="NV295" s="4"/>
      <c r="NW295" s="5"/>
      <c r="NX295" s="6"/>
      <c r="NY295" s="4"/>
      <c r="NZ295" s="4"/>
      <c r="OA295" s="4"/>
      <c r="OB295" s="4"/>
      <c r="OC295" s="4"/>
      <c r="OD295" s="5"/>
      <c r="OE295" s="6"/>
      <c r="OF295" s="4"/>
      <c r="OG295" s="4"/>
      <c r="OH295" s="4"/>
      <c r="OI295" s="4"/>
      <c r="OJ295" s="4"/>
      <c r="OK295" s="5"/>
      <c r="OL295" s="6"/>
      <c r="OM295" s="4"/>
      <c r="ON295" s="4"/>
      <c r="OO295" s="4"/>
      <c r="OP295" s="4"/>
      <c r="OQ295" s="4"/>
      <c r="OR295" s="5"/>
      <c r="OS295" s="6"/>
      <c r="OT295" s="4"/>
      <c r="OU295" s="4"/>
      <c r="OV295" s="4"/>
      <c r="OW295" s="4"/>
      <c r="OX295" s="4"/>
      <c r="OY295" s="5"/>
      <c r="OZ295" s="6"/>
      <c r="PA295" s="4"/>
      <c r="PB295" s="4"/>
      <c r="PC295" s="4"/>
      <c r="PD295" s="4"/>
      <c r="PE295" s="4"/>
      <c r="PF295" s="5"/>
      <c r="PG295" s="6"/>
      <c r="PH295" s="4"/>
      <c r="PI295" s="4"/>
      <c r="PJ295" s="4"/>
      <c r="PK295" s="4"/>
      <c r="PL295" s="4"/>
      <c r="PM295" s="5"/>
      <c r="PN295" s="6"/>
      <c r="PO295" s="4"/>
      <c r="PP295" s="4"/>
      <c r="PQ295" s="4"/>
      <c r="PR295" s="4"/>
      <c r="PS295" s="4"/>
      <c r="PT295" s="5"/>
      <c r="PU295" s="6"/>
      <c r="PV295" s="4"/>
      <c r="PW295" s="4"/>
      <c r="PX295" s="4"/>
      <c r="PY295" s="4"/>
      <c r="PZ295" s="4"/>
      <c r="QA295" s="5"/>
      <c r="QB295" s="6"/>
      <c r="QC295" s="4"/>
      <c r="QD295" s="4"/>
      <c r="QE295" s="4"/>
      <c r="QF295" s="4"/>
      <c r="QG295" s="4"/>
      <c r="QH295" s="5"/>
      <c r="QI295" s="6"/>
      <c r="QJ295" s="4"/>
      <c r="QK295" s="4"/>
      <c r="QL295" s="4"/>
      <c r="QM295" s="4"/>
      <c r="QN295" s="4"/>
      <c r="QO295" s="5"/>
      <c r="QP295" s="6"/>
      <c r="QQ295" s="4"/>
      <c r="QR295" s="4"/>
      <c r="QS295" s="4"/>
      <c r="QT295" s="4"/>
      <c r="QU295" s="4"/>
      <c r="QV295" s="5"/>
      <c r="QW295" s="6"/>
      <c r="QX295" s="4"/>
      <c r="QY295" s="4"/>
      <c r="QZ295" s="4"/>
      <c r="RA295" s="4"/>
      <c r="RB295" s="4"/>
      <c r="RC295" s="5"/>
      <c r="RD295" s="6"/>
      <c r="RE295" s="4"/>
      <c r="RF295" s="4"/>
      <c r="RG295" s="4"/>
      <c r="RH295" s="4"/>
      <c r="RI295" s="4"/>
      <c r="RJ295" s="5"/>
      <c r="RK295" s="6"/>
      <c r="RL295" s="4"/>
      <c r="RM295" s="4"/>
      <c r="RN295" s="4"/>
      <c r="RO295" s="4"/>
      <c r="RP295" s="4"/>
      <c r="RQ295" s="5"/>
      <c r="RR295" s="6"/>
      <c r="RS295" s="4"/>
      <c r="RT295" s="4"/>
      <c r="RU295" s="4"/>
      <c r="RV295" s="4"/>
      <c r="RW295" s="4"/>
      <c r="RX295" s="5"/>
      <c r="RY295" s="6"/>
      <c r="RZ295" s="4"/>
      <c r="SA295" s="4"/>
      <c r="SB295" s="4"/>
      <c r="SC295" s="4"/>
      <c r="SD295" s="4"/>
      <c r="SE295" s="5"/>
      <c r="SF295" s="6"/>
      <c r="SG295" s="4"/>
      <c r="SH295" s="4"/>
      <c r="SI295" s="4"/>
      <c r="SJ295" s="4"/>
      <c r="SK295" s="4"/>
      <c r="SL295" s="5"/>
      <c r="SM295" s="6"/>
      <c r="SN295" s="4"/>
      <c r="SO295" s="4"/>
      <c r="SP295" s="4"/>
      <c r="SQ295" s="4"/>
      <c r="SR295" s="4"/>
      <c r="SS295" s="5"/>
      <c r="ST295" s="6"/>
      <c r="SU295" s="4"/>
      <c r="SV295" s="4"/>
      <c r="SW295" s="4"/>
      <c r="SX295" s="4"/>
      <c r="SY295" s="4"/>
      <c r="SZ295" s="5"/>
      <c r="TA295" s="6"/>
      <c r="TB295" s="4"/>
      <c r="TC295" s="4"/>
      <c r="TD295" s="4"/>
      <c r="TE295" s="4"/>
      <c r="TF295" s="4"/>
      <c r="TG295" s="5"/>
      <c r="TH295" s="6"/>
      <c r="TI295" s="4"/>
      <c r="TJ295" s="4"/>
      <c r="TK295" s="4"/>
      <c r="TL295" s="4"/>
      <c r="TM295" s="4"/>
      <c r="TN295" s="5"/>
      <c r="TO295" s="6"/>
      <c r="TP295" s="4"/>
      <c r="TQ295" s="4"/>
      <c r="TR295" s="4"/>
      <c r="TS295" s="4"/>
      <c r="TT295" s="4"/>
      <c r="TU295" s="5"/>
      <c r="TV295" s="6"/>
      <c r="TW295" s="4"/>
      <c r="TX295" s="4"/>
      <c r="TY295" s="4"/>
      <c r="TZ295" s="4"/>
      <c r="UA295" s="4"/>
      <c r="UB295" s="5"/>
      <c r="UC295" s="6"/>
      <c r="UD295" s="4"/>
      <c r="UE295" s="4"/>
      <c r="UF295" s="4"/>
      <c r="UG295" s="4"/>
      <c r="UH295" s="4"/>
      <c r="UI295" s="5"/>
      <c r="UJ295" s="6"/>
      <c r="UK295" s="4"/>
      <c r="UL295" s="4"/>
      <c r="UM295" s="4"/>
      <c r="UN295" s="4"/>
      <c r="UO295" s="4"/>
      <c r="UP295" s="5"/>
      <c r="UQ295" s="6"/>
      <c r="UR295" s="4"/>
      <c r="US295" s="4"/>
      <c r="UT295" s="4"/>
      <c r="UU295" s="4"/>
      <c r="UV295" s="4"/>
      <c r="UW295" s="5"/>
      <c r="UX295" s="6"/>
      <c r="UY295" s="4"/>
      <c r="UZ295" s="4"/>
      <c r="VA295" s="4"/>
      <c r="VB295" s="4"/>
      <c r="VC295" s="4"/>
      <c r="VD295" s="5"/>
      <c r="VE295" s="6"/>
      <c r="VF295" s="4"/>
      <c r="VG295" s="4"/>
      <c r="VH295" s="4"/>
      <c r="VI295" s="4"/>
      <c r="VJ295" s="4"/>
      <c r="VK295" s="5"/>
      <c r="VL295" s="6"/>
      <c r="VM295" s="4"/>
      <c r="VN295" s="4"/>
      <c r="VO295" s="4"/>
      <c r="VP295" s="4"/>
      <c r="VQ295" s="4"/>
      <c r="VR295" s="5"/>
      <c r="VS295" s="6"/>
      <c r="VT295" s="4"/>
      <c r="VU295" s="4"/>
      <c r="VV295" s="4"/>
      <c r="VW295" s="4"/>
      <c r="VX295" s="4"/>
      <c r="VY295" s="5"/>
      <c r="VZ295" s="6"/>
      <c r="WA295" s="4"/>
      <c r="WB295" s="4"/>
      <c r="WC295" s="4"/>
      <c r="WD295" s="4"/>
      <c r="WE295" s="4"/>
      <c r="WF295" s="5"/>
      <c r="WG295" s="6"/>
      <c r="WH295" s="4"/>
      <c r="WI295" s="4"/>
      <c r="WJ295" s="4"/>
      <c r="WK295" s="4"/>
      <c r="WL295" s="4"/>
      <c r="WM295" s="5"/>
      <c r="WN295" s="6"/>
      <c r="WO295" s="4"/>
      <c r="WP295" s="4"/>
      <c r="WQ295" s="4"/>
      <c r="WR295" s="4"/>
      <c r="WS295" s="4"/>
      <c r="WT295" s="5"/>
      <c r="WU295" s="6"/>
      <c r="WV295" s="4"/>
      <c r="WW295" s="4"/>
      <c r="WX295" s="4"/>
      <c r="WY295" s="4"/>
      <c r="WZ295" s="4"/>
      <c r="XA295" s="5"/>
      <c r="XB295" s="6"/>
      <c r="XC295" s="4"/>
      <c r="XD295" s="4"/>
      <c r="XE295" s="4"/>
      <c r="XF295" s="4"/>
      <c r="XG295" s="4"/>
      <c r="XH295" s="5"/>
      <c r="XI295" s="6"/>
      <c r="XJ295" s="4"/>
      <c r="XK295" s="4"/>
      <c r="XL295" s="4"/>
      <c r="XM295" s="4"/>
      <c r="XN295" s="4"/>
      <c r="XO295" s="5"/>
      <c r="XP295" s="6"/>
      <c r="XQ295" s="4"/>
      <c r="XR295" s="4"/>
      <c r="XS295" s="4"/>
      <c r="XT295" s="4"/>
      <c r="XU295" s="4"/>
      <c r="XV295" s="5"/>
      <c r="XW295" s="6"/>
      <c r="XX295" s="4"/>
      <c r="XY295" s="4"/>
      <c r="XZ295" s="4"/>
      <c r="YA295" s="4"/>
      <c r="YB295" s="4"/>
      <c r="YC295" s="5"/>
      <c r="YD295" s="6"/>
      <c r="YE295" s="4"/>
      <c r="YF295" s="4"/>
      <c r="YG295" s="4"/>
      <c r="YH295" s="4"/>
      <c r="YI295" s="4"/>
      <c r="YJ295" s="5"/>
      <c r="YK295" s="6"/>
      <c r="YL295" s="4"/>
      <c r="YM295" s="4"/>
      <c r="YN295" s="4"/>
      <c r="YO295" s="4"/>
      <c r="YP295" s="4"/>
      <c r="YQ295" s="5"/>
      <c r="YR295" s="6"/>
      <c r="YS295" s="4"/>
      <c r="YT295" s="4"/>
      <c r="YU295" s="4"/>
      <c r="YV295" s="4"/>
      <c r="YW295" s="4"/>
      <c r="YX295" s="5"/>
      <c r="YY295" s="6"/>
      <c r="YZ295" s="4"/>
      <c r="ZA295" s="4"/>
      <c r="ZB295" s="4"/>
      <c r="ZC295" s="4"/>
      <c r="ZD295" s="4"/>
      <c r="ZE295" s="5"/>
      <c r="ZF295" s="6"/>
      <c r="ZG295" s="4"/>
      <c r="ZH295" s="4"/>
      <c r="ZI295" s="4"/>
      <c r="ZJ295" s="4"/>
      <c r="ZK295" s="4"/>
      <c r="ZL295" s="5"/>
      <c r="ZM295" s="6"/>
      <c r="ZN295" s="4"/>
      <c r="ZO295" s="4"/>
      <c r="ZP295" s="4"/>
      <c r="ZQ295" s="4"/>
      <c r="ZR295" s="4"/>
      <c r="ZS295" s="5"/>
      <c r="ZT295" s="6"/>
      <c r="ZU295" s="4"/>
      <c r="ZV295" s="4"/>
      <c r="ZW295" s="4"/>
      <c r="ZX295" s="4"/>
      <c r="ZY295" s="4"/>
      <c r="ZZ295" s="5"/>
      <c r="AAA295" s="6"/>
      <c r="AAB295" s="4"/>
      <c r="AAC295" s="4"/>
      <c r="AAD295" s="4"/>
      <c r="AAE295" s="4"/>
      <c r="AAF295" s="4"/>
      <c r="AAG295" s="5"/>
      <c r="AAH295" s="6"/>
      <c r="AAI295" s="4"/>
      <c r="AAJ295" s="4"/>
      <c r="AAK295" s="4"/>
      <c r="AAL295" s="4"/>
      <c r="AAM295" s="4"/>
      <c r="AAN295" s="5"/>
      <c r="AAO295" s="6"/>
      <c r="AAP295" s="4"/>
      <c r="AAQ295" s="4"/>
      <c r="AAR295" s="4"/>
      <c r="AAS295" s="4"/>
      <c r="AAT295" s="4"/>
      <c r="AAU295" s="5"/>
      <c r="AAV295" s="6"/>
      <c r="AAW295" s="4"/>
      <c r="AAX295" s="4"/>
      <c r="AAY295" s="4"/>
      <c r="AAZ295" s="4"/>
      <c r="ABA295" s="4"/>
      <c r="ABB295" s="5"/>
      <c r="ABC295" s="6"/>
      <c r="ABD295" s="4"/>
      <c r="ABE295" s="4"/>
      <c r="ABF295" s="4"/>
      <c r="ABG295" s="4"/>
      <c r="ABH295" s="4"/>
      <c r="ABI295" s="5"/>
      <c r="ABJ295" s="6"/>
      <c r="ABK295" s="4"/>
      <c r="ABL295" s="4"/>
      <c r="ABM295" s="4"/>
      <c r="ABN295" s="4"/>
      <c r="ABO295" s="4"/>
      <c r="ABP295" s="5"/>
      <c r="ABQ295" s="6"/>
      <c r="ABR295" s="4"/>
      <c r="ABS295" s="4"/>
      <c r="ABT295" s="4"/>
      <c r="ABU295" s="4"/>
      <c r="ABV295" s="4"/>
      <c r="ABW295" s="5"/>
      <c r="ABX295" s="6"/>
      <c r="ABY295" s="4"/>
      <c r="ABZ295" s="4"/>
      <c r="ACA295" s="4"/>
      <c r="ACB295" s="4"/>
      <c r="ACC295" s="4"/>
      <c r="ACD295" s="5"/>
      <c r="ACE295" s="6"/>
      <c r="ACF295" s="4"/>
      <c r="ACG295" s="4"/>
      <c r="ACH295" s="4"/>
      <c r="ACI295" s="4"/>
      <c r="ACJ295" s="4"/>
      <c r="ACK295" s="5"/>
      <c r="ACL295" s="6"/>
      <c r="ACM295" s="4"/>
      <c r="ACN295" s="4"/>
      <c r="ACO295" s="4"/>
      <c r="ACP295" s="4"/>
      <c r="ACQ295" s="4"/>
      <c r="ACR295" s="5"/>
      <c r="ACS295" s="6"/>
      <c r="ACT295" s="4"/>
      <c r="ACU295" s="4"/>
      <c r="ACV295" s="4"/>
      <c r="ACW295" s="4"/>
      <c r="ACX295" s="4"/>
      <c r="ACY295" s="5"/>
      <c r="ADG295" t="s">
        <v>4185</v>
      </c>
      <c r="ADP295" t="s">
        <v>4073</v>
      </c>
      <c r="ADU295" t="s">
        <v>4074</v>
      </c>
    </row>
    <row r="296" spans="2:805" x14ac:dyDescent="0.25">
      <c r="J296" s="12"/>
      <c r="K296" s="12"/>
      <c r="L296" s="12"/>
      <c r="LL296" s="6"/>
      <c r="LM296" s="4"/>
      <c r="LN296" s="4"/>
      <c r="LO296" s="4"/>
      <c r="LP296" s="4"/>
      <c r="LQ296" s="4"/>
      <c r="LR296" s="5"/>
      <c r="LS296" s="6"/>
      <c r="LT296" s="4"/>
      <c r="LU296" s="4"/>
      <c r="LV296" s="4"/>
      <c r="LW296" s="4"/>
      <c r="LX296" s="4"/>
      <c r="LY296" s="5"/>
      <c r="LZ296" s="6" t="s">
        <v>1743</v>
      </c>
      <c r="MA296" s="7" t="s">
        <v>1743</v>
      </c>
      <c r="MB296" s="7"/>
      <c r="MC296" s="4"/>
      <c r="MD296" s="8">
        <v>36526</v>
      </c>
      <c r="ME296" s="4"/>
      <c r="MF296" s="4"/>
      <c r="MG296" s="5" t="s">
        <v>3947</v>
      </c>
      <c r="MH296" s="6"/>
      <c r="MI296" s="4"/>
      <c r="MJ296" s="4"/>
      <c r="MK296" s="4"/>
      <c r="ML296" s="4"/>
      <c r="MM296" s="4"/>
      <c r="MN296" s="5"/>
      <c r="MO296" s="6"/>
      <c r="MP296" s="4"/>
      <c r="MQ296" s="4"/>
      <c r="MR296" s="4"/>
      <c r="MS296" s="4"/>
      <c r="MT296" s="4"/>
      <c r="MU296" s="5"/>
      <c r="MV296" s="6"/>
      <c r="MW296" s="4"/>
      <c r="MX296" s="4"/>
      <c r="MY296" s="4"/>
      <c r="MZ296" s="4"/>
      <c r="NA296" s="4"/>
      <c r="NB296" s="5"/>
      <c r="NC296" s="6" t="s">
        <v>1593</v>
      </c>
      <c r="ND296" s="12" t="s">
        <v>1594</v>
      </c>
      <c r="NE296" s="4" t="s">
        <v>2091</v>
      </c>
      <c r="NF296" s="7" t="s">
        <v>1595</v>
      </c>
      <c r="NG296" s="8">
        <v>37697</v>
      </c>
      <c r="NH296" s="8">
        <v>37702</v>
      </c>
      <c r="NI296" s="5" t="s">
        <v>3951</v>
      </c>
      <c r="NJ296" s="6"/>
      <c r="NK296" s="4"/>
      <c r="NL296" s="4"/>
      <c r="NM296" s="4"/>
      <c r="NN296" s="4"/>
      <c r="NO296" s="4"/>
      <c r="NP296" s="5"/>
      <c r="NQ296" s="6"/>
      <c r="NR296" s="4"/>
      <c r="NS296" s="4"/>
      <c r="NT296" s="4"/>
      <c r="NU296" s="4"/>
      <c r="NV296" s="4"/>
      <c r="NW296" s="5"/>
      <c r="NX296" s="6"/>
      <c r="NY296" s="4"/>
      <c r="NZ296" s="4"/>
      <c r="OA296" s="4"/>
      <c r="OB296" s="4"/>
      <c r="OC296" s="4"/>
      <c r="OD296" s="5"/>
      <c r="OE296" s="6"/>
      <c r="OF296" s="4"/>
      <c r="OG296" s="4"/>
      <c r="OH296" s="4"/>
      <c r="OI296" s="4"/>
      <c r="OJ296" s="4"/>
      <c r="OK296" s="5"/>
      <c r="OL296" s="6"/>
      <c r="OM296" s="4"/>
      <c r="ON296" s="4"/>
      <c r="OO296" s="4"/>
      <c r="OP296" s="4"/>
      <c r="OQ296" s="4"/>
      <c r="OR296" s="5"/>
      <c r="OS296" s="6"/>
      <c r="OT296" s="4"/>
      <c r="OU296" s="4"/>
      <c r="OV296" s="4"/>
      <c r="OW296" s="4"/>
      <c r="OX296" s="4"/>
      <c r="OY296" s="5"/>
      <c r="OZ296" s="6"/>
      <c r="PA296" s="4"/>
      <c r="PB296" s="4"/>
      <c r="PC296" s="4"/>
      <c r="PD296" s="4"/>
      <c r="PE296" s="4"/>
      <c r="PF296" s="5"/>
      <c r="PG296" s="6"/>
      <c r="PH296" s="4"/>
      <c r="PI296" s="4"/>
      <c r="PJ296" s="4"/>
      <c r="PK296" s="4"/>
      <c r="PL296" s="4"/>
      <c r="PM296" s="5"/>
      <c r="PN296" s="6"/>
      <c r="PO296" s="4"/>
      <c r="PP296" s="4"/>
      <c r="PQ296" s="4"/>
      <c r="PR296" s="4"/>
      <c r="PS296" s="4"/>
      <c r="PT296" s="5"/>
      <c r="PU296" s="6"/>
      <c r="PV296" s="4"/>
      <c r="PW296" s="4"/>
      <c r="PX296" s="4"/>
      <c r="PY296" s="4"/>
      <c r="PZ296" s="4"/>
      <c r="QA296" s="5"/>
      <c r="QB296" s="6"/>
      <c r="QC296" s="4"/>
      <c r="QD296" s="4"/>
      <c r="QE296" s="4"/>
      <c r="QF296" s="4"/>
      <c r="QG296" s="4"/>
      <c r="QH296" s="5"/>
      <c r="QI296" s="6"/>
      <c r="QJ296" s="4"/>
      <c r="QK296" s="4"/>
      <c r="QL296" s="4"/>
      <c r="QM296" s="4"/>
      <c r="QN296" s="4"/>
      <c r="QO296" s="5"/>
      <c r="QP296" s="6"/>
      <c r="QQ296" s="4"/>
      <c r="QR296" s="4"/>
      <c r="QS296" s="4"/>
      <c r="QT296" s="4"/>
      <c r="QU296" s="4"/>
      <c r="QV296" s="5"/>
      <c r="QW296" s="6"/>
      <c r="QX296" s="4"/>
      <c r="QY296" s="4"/>
      <c r="QZ296" s="4"/>
      <c r="RA296" s="4"/>
      <c r="RB296" s="4"/>
      <c r="RC296" s="5"/>
      <c r="RD296" s="6"/>
      <c r="RE296" s="4"/>
      <c r="RF296" s="4"/>
      <c r="RG296" s="4"/>
      <c r="RH296" s="4"/>
      <c r="RI296" s="4"/>
      <c r="RJ296" s="5"/>
      <c r="RK296" s="6"/>
      <c r="RL296" s="4"/>
      <c r="RM296" s="4"/>
      <c r="RN296" s="4"/>
      <c r="RO296" s="4"/>
      <c r="RP296" s="4"/>
      <c r="RQ296" s="5"/>
      <c r="RR296" s="6"/>
      <c r="RS296" s="4"/>
      <c r="RT296" s="4"/>
      <c r="RU296" s="4"/>
      <c r="RV296" s="4"/>
      <c r="RW296" s="4"/>
      <c r="RX296" s="5"/>
      <c r="RY296" s="6"/>
      <c r="RZ296" s="4"/>
      <c r="SA296" s="4"/>
      <c r="SB296" s="4"/>
      <c r="SC296" s="4"/>
      <c r="SD296" s="4"/>
      <c r="SE296" s="5"/>
      <c r="SF296" s="6"/>
      <c r="SG296" s="4"/>
      <c r="SH296" s="4"/>
      <c r="SI296" s="4"/>
      <c r="SJ296" s="4"/>
      <c r="SK296" s="4"/>
      <c r="SL296" s="5"/>
      <c r="SM296" s="6"/>
      <c r="SN296" s="4"/>
      <c r="SO296" s="4"/>
      <c r="SP296" s="4"/>
      <c r="SQ296" s="4"/>
      <c r="SR296" s="4"/>
      <c r="SS296" s="5"/>
      <c r="ST296" s="6"/>
      <c r="SU296" s="4"/>
      <c r="SV296" s="4"/>
      <c r="SW296" s="4"/>
      <c r="SX296" s="4"/>
      <c r="SY296" s="4"/>
      <c r="SZ296" s="5"/>
      <c r="TA296" s="6"/>
      <c r="TB296" s="4"/>
      <c r="TC296" s="4"/>
      <c r="TD296" s="4"/>
      <c r="TE296" s="4"/>
      <c r="TF296" s="4"/>
      <c r="TG296" s="5"/>
      <c r="TH296" s="6"/>
      <c r="TI296" s="4"/>
      <c r="TJ296" s="4"/>
      <c r="TK296" s="4"/>
      <c r="TL296" s="4"/>
      <c r="TM296" s="4"/>
      <c r="TN296" s="5"/>
      <c r="TO296" s="6"/>
      <c r="TP296" s="4"/>
      <c r="TQ296" s="4"/>
      <c r="TR296" s="4"/>
      <c r="TS296" s="4"/>
      <c r="TT296" s="4"/>
      <c r="TU296" s="5"/>
      <c r="TV296" s="6"/>
      <c r="TW296" s="4"/>
      <c r="TX296" s="4"/>
      <c r="TY296" s="4"/>
      <c r="TZ296" s="4"/>
      <c r="UA296" s="4"/>
      <c r="UB296" s="5"/>
      <c r="UC296" s="6"/>
      <c r="UD296" s="4"/>
      <c r="UE296" s="4"/>
      <c r="UF296" s="4"/>
      <c r="UG296" s="4"/>
      <c r="UH296" s="4"/>
      <c r="UI296" s="5"/>
      <c r="UJ296" s="6"/>
      <c r="UK296" s="4"/>
      <c r="UL296" s="4"/>
      <c r="UM296" s="4"/>
      <c r="UN296" s="4"/>
      <c r="UO296" s="4"/>
      <c r="UP296" s="5"/>
      <c r="UQ296" s="6"/>
      <c r="UR296" s="4"/>
      <c r="US296" s="4"/>
      <c r="UT296" s="4"/>
      <c r="UU296" s="4"/>
      <c r="UV296" s="4"/>
      <c r="UW296" s="5"/>
      <c r="UX296" s="6"/>
      <c r="UY296" s="4"/>
      <c r="UZ296" s="4"/>
      <c r="VA296" s="4"/>
      <c r="VB296" s="4"/>
      <c r="VC296" s="4"/>
      <c r="VD296" s="5"/>
      <c r="VE296" s="6"/>
      <c r="VF296" s="4"/>
      <c r="VG296" s="4"/>
      <c r="VH296" s="4"/>
      <c r="VI296" s="4"/>
      <c r="VJ296" s="4"/>
      <c r="VK296" s="5"/>
      <c r="VL296" s="6"/>
      <c r="VM296" s="4"/>
      <c r="VN296" s="4"/>
      <c r="VO296" s="4"/>
      <c r="VP296" s="4"/>
      <c r="VQ296" s="4"/>
      <c r="VR296" s="5"/>
      <c r="VS296" s="6"/>
      <c r="VT296" s="4"/>
      <c r="VU296" s="4"/>
      <c r="VV296" s="4"/>
      <c r="VW296" s="4"/>
      <c r="VX296" s="4"/>
      <c r="VY296" s="5"/>
      <c r="VZ296" s="6"/>
      <c r="WA296" s="4"/>
      <c r="WB296" s="4"/>
      <c r="WC296" s="4"/>
      <c r="WD296" s="4"/>
      <c r="WE296" s="4"/>
      <c r="WF296" s="5"/>
      <c r="WG296" s="6"/>
      <c r="WH296" s="4"/>
      <c r="WI296" s="4"/>
      <c r="WJ296" s="4"/>
      <c r="WK296" s="4"/>
      <c r="WL296" s="4"/>
      <c r="WM296" s="5"/>
      <c r="WN296" s="6"/>
      <c r="WO296" s="4"/>
      <c r="WP296" s="4"/>
      <c r="WQ296" s="4"/>
      <c r="WR296" s="4"/>
      <c r="WS296" s="4"/>
      <c r="WT296" s="5"/>
      <c r="WU296" s="6"/>
      <c r="WV296" s="4"/>
      <c r="WW296" s="4"/>
      <c r="WX296" s="4"/>
      <c r="WY296" s="4"/>
      <c r="WZ296" s="4"/>
      <c r="XA296" s="5"/>
      <c r="XB296" s="6"/>
      <c r="XC296" s="4"/>
      <c r="XD296" s="4"/>
      <c r="XE296" s="4"/>
      <c r="XF296" s="4"/>
      <c r="XG296" s="4"/>
      <c r="XH296" s="5"/>
      <c r="XI296" s="6"/>
      <c r="XJ296" s="4"/>
      <c r="XK296" s="4"/>
      <c r="XL296" s="4"/>
      <c r="XM296" s="4"/>
      <c r="XN296" s="4"/>
      <c r="XO296" s="5"/>
      <c r="XP296" s="6"/>
      <c r="XQ296" s="4"/>
      <c r="XR296" s="4"/>
      <c r="XS296" s="4"/>
      <c r="XT296" s="4"/>
      <c r="XU296" s="4"/>
      <c r="XV296" s="5"/>
      <c r="XW296" s="6"/>
      <c r="XX296" s="4"/>
      <c r="XY296" s="4"/>
      <c r="XZ296" s="4"/>
      <c r="YA296" s="4"/>
      <c r="YB296" s="4"/>
      <c r="YC296" s="5"/>
      <c r="YD296" s="6"/>
      <c r="YE296" s="4"/>
      <c r="YF296" s="4"/>
      <c r="YG296" s="4"/>
      <c r="YH296" s="4"/>
      <c r="YI296" s="4"/>
      <c r="YJ296" s="5"/>
      <c r="YK296" s="6"/>
      <c r="YL296" s="4"/>
      <c r="YM296" s="4"/>
      <c r="YN296" s="4"/>
      <c r="YO296" s="4"/>
      <c r="YP296" s="4"/>
      <c r="YQ296" s="5"/>
      <c r="YR296" s="6"/>
      <c r="YS296" s="4"/>
      <c r="YT296" s="4"/>
      <c r="YU296" s="4"/>
      <c r="YV296" s="4"/>
      <c r="YW296" s="4"/>
      <c r="YX296" s="5"/>
      <c r="YY296" s="6"/>
      <c r="YZ296" s="4"/>
      <c r="ZA296" s="4"/>
      <c r="ZB296" s="4"/>
      <c r="ZC296" s="4"/>
      <c r="ZD296" s="4"/>
      <c r="ZE296" s="5"/>
      <c r="ZF296" s="6"/>
      <c r="ZG296" s="4"/>
      <c r="ZH296" s="4"/>
      <c r="ZI296" s="4"/>
      <c r="ZJ296" s="4"/>
      <c r="ZK296" s="4"/>
      <c r="ZL296" s="5"/>
      <c r="ZM296" s="6"/>
      <c r="ZN296" s="4"/>
      <c r="ZO296" s="4"/>
      <c r="ZP296" s="4"/>
      <c r="ZQ296" s="4"/>
      <c r="ZR296" s="4"/>
      <c r="ZS296" s="5"/>
      <c r="ZT296" s="6"/>
      <c r="ZU296" s="4"/>
      <c r="ZV296" s="4"/>
      <c r="ZW296" s="4"/>
      <c r="ZX296" s="4"/>
      <c r="ZY296" s="4"/>
      <c r="ZZ296" s="5"/>
      <c r="AAA296" s="6"/>
      <c r="AAB296" s="4"/>
      <c r="AAC296" s="4"/>
      <c r="AAD296" s="4"/>
      <c r="AAE296" s="4"/>
      <c r="AAF296" s="4"/>
      <c r="AAG296" s="5"/>
      <c r="AAH296" s="6"/>
      <c r="AAI296" s="4"/>
      <c r="AAJ296" s="4"/>
      <c r="AAK296" s="4"/>
      <c r="AAL296" s="4"/>
      <c r="AAM296" s="4"/>
      <c r="AAN296" s="5"/>
      <c r="AAO296" s="6"/>
      <c r="AAP296" s="4"/>
      <c r="AAQ296" s="4"/>
      <c r="AAR296" s="4"/>
      <c r="AAS296" s="4"/>
      <c r="AAT296" s="4"/>
      <c r="AAU296" s="5"/>
      <c r="AAV296" s="6"/>
      <c r="AAW296" s="4"/>
      <c r="AAX296" s="4"/>
      <c r="AAY296" s="4"/>
      <c r="AAZ296" s="4"/>
      <c r="ABA296" s="4"/>
      <c r="ABB296" s="5"/>
      <c r="ABC296" s="6"/>
      <c r="ABD296" s="4"/>
      <c r="ABE296" s="4"/>
      <c r="ABF296" s="4"/>
      <c r="ABG296" s="4"/>
      <c r="ABH296" s="4"/>
      <c r="ABI296" s="5"/>
      <c r="ABJ296" s="6"/>
      <c r="ABK296" s="4"/>
      <c r="ABL296" s="4"/>
      <c r="ABM296" s="4"/>
      <c r="ABN296" s="4"/>
      <c r="ABO296" s="4"/>
      <c r="ABP296" s="5"/>
      <c r="ABQ296" s="6"/>
      <c r="ABR296" s="4"/>
      <c r="ABS296" s="4"/>
      <c r="ABT296" s="4"/>
      <c r="ABU296" s="4"/>
      <c r="ABV296" s="4"/>
      <c r="ABW296" s="5"/>
      <c r="ABX296" s="6"/>
      <c r="ABY296" s="4"/>
      <c r="ABZ296" s="4"/>
      <c r="ACA296" s="4"/>
      <c r="ACB296" s="4"/>
      <c r="ACC296" s="4"/>
      <c r="ACD296" s="5"/>
      <c r="ACE296" s="6"/>
      <c r="ACF296" s="4"/>
      <c r="ACG296" s="4"/>
      <c r="ACH296" s="4"/>
      <c r="ACI296" s="4"/>
      <c r="ACJ296" s="4"/>
      <c r="ACK296" s="5"/>
      <c r="ACL296" s="6"/>
      <c r="ACM296" s="4"/>
      <c r="ACN296" s="4"/>
      <c r="ACO296" s="4"/>
      <c r="ACP296" s="4"/>
      <c r="ACQ296" s="4"/>
      <c r="ACR296" s="5"/>
      <c r="ACS296" s="6"/>
      <c r="ACT296" s="4"/>
      <c r="ACU296" s="4"/>
      <c r="ACV296" s="4"/>
      <c r="ACW296" s="4"/>
      <c r="ACX296" s="4"/>
      <c r="ACY296" s="5"/>
    </row>
    <row r="297" spans="2:805" x14ac:dyDescent="0.25">
      <c r="J297" s="12"/>
      <c r="K297" s="12"/>
      <c r="L297" s="12"/>
      <c r="LL297" s="6"/>
      <c r="LM297" s="4"/>
      <c r="LN297" s="4"/>
      <c r="LO297" s="4"/>
      <c r="LP297" s="4"/>
      <c r="LQ297" s="4"/>
      <c r="LR297" s="5"/>
      <c r="LS297" s="6"/>
      <c r="LT297" s="4"/>
      <c r="LU297" s="4"/>
      <c r="LV297" s="4"/>
      <c r="LW297" s="4"/>
      <c r="LX297" s="4"/>
      <c r="LY297" s="5"/>
      <c r="LZ297" s="6" t="s">
        <v>1744</v>
      </c>
      <c r="MA297" s="7" t="s">
        <v>1820</v>
      </c>
      <c r="MB297" s="7"/>
      <c r="MC297" s="4"/>
      <c r="MD297" s="8">
        <v>37691</v>
      </c>
      <c r="ME297" s="4"/>
      <c r="MF297" s="4" t="s">
        <v>3948</v>
      </c>
      <c r="MG297" s="5" t="s">
        <v>3949</v>
      </c>
      <c r="MH297" s="6"/>
      <c r="MI297" s="4"/>
      <c r="MJ297" s="4"/>
      <c r="MK297" s="4"/>
      <c r="ML297" s="4"/>
      <c r="MM297" s="4"/>
      <c r="MN297" s="5"/>
      <c r="MO297" s="6"/>
      <c r="MP297" s="4"/>
      <c r="MQ297" s="4"/>
      <c r="MR297" s="4"/>
      <c r="MS297" s="4"/>
      <c r="MT297" s="4"/>
      <c r="MU297" s="5"/>
      <c r="MV297" s="6"/>
      <c r="MW297" s="4"/>
      <c r="MX297" s="4"/>
      <c r="MY297" s="4"/>
      <c r="MZ297" s="4"/>
      <c r="NA297" s="4"/>
      <c r="NB297" s="5"/>
      <c r="NC297" s="6"/>
      <c r="ND297" s="4"/>
      <c r="NE297" s="4"/>
      <c r="NF297" s="4"/>
      <c r="NG297" s="4"/>
      <c r="NH297" s="4"/>
      <c r="NI297" s="5"/>
      <c r="NJ297" s="6"/>
      <c r="NK297" s="4"/>
      <c r="NL297" s="4"/>
      <c r="NM297" s="4"/>
      <c r="NN297" s="4"/>
      <c r="NO297" s="4"/>
      <c r="NP297" s="5"/>
      <c r="NQ297" s="6"/>
      <c r="NR297" s="4"/>
      <c r="NS297" s="4"/>
      <c r="NT297" s="4"/>
      <c r="NU297" s="4"/>
      <c r="NV297" s="4"/>
      <c r="NW297" s="5"/>
      <c r="NX297" s="6"/>
      <c r="NY297" s="4"/>
      <c r="NZ297" s="4"/>
      <c r="OA297" s="4"/>
      <c r="OB297" s="4"/>
      <c r="OC297" s="4"/>
      <c r="OD297" s="5"/>
      <c r="OE297" s="6"/>
      <c r="OF297" s="4"/>
      <c r="OG297" s="4"/>
      <c r="OH297" s="4"/>
      <c r="OI297" s="4"/>
      <c r="OJ297" s="4"/>
      <c r="OK297" s="5"/>
      <c r="OL297" s="6"/>
      <c r="OM297" s="4"/>
      <c r="ON297" s="4"/>
      <c r="OO297" s="4"/>
      <c r="OP297" s="4"/>
      <c r="OQ297" s="4"/>
      <c r="OR297" s="5"/>
      <c r="OS297" s="6"/>
      <c r="OT297" s="4"/>
      <c r="OU297" s="4"/>
      <c r="OV297" s="4"/>
      <c r="OW297" s="4"/>
      <c r="OX297" s="4"/>
      <c r="OY297" s="5"/>
      <c r="OZ297" s="6"/>
      <c r="PA297" s="4"/>
      <c r="PB297" s="4"/>
      <c r="PC297" s="4"/>
      <c r="PD297" s="4"/>
      <c r="PE297" s="4"/>
      <c r="PF297" s="5"/>
      <c r="PG297" s="6"/>
      <c r="PH297" s="4"/>
      <c r="PI297" s="4"/>
      <c r="PJ297" s="4"/>
      <c r="PK297" s="4"/>
      <c r="PL297" s="4"/>
      <c r="PM297" s="5"/>
      <c r="PN297" s="6"/>
      <c r="PO297" s="4"/>
      <c r="PP297" s="4"/>
      <c r="PQ297" s="4"/>
      <c r="PR297" s="4"/>
      <c r="PS297" s="4"/>
      <c r="PT297" s="5"/>
      <c r="PU297" s="6"/>
      <c r="PV297" s="4"/>
      <c r="PW297" s="4"/>
      <c r="PX297" s="4"/>
      <c r="PY297" s="4"/>
      <c r="PZ297" s="4"/>
      <c r="QA297" s="5"/>
      <c r="QB297" s="6"/>
      <c r="QC297" s="4"/>
      <c r="QD297" s="4"/>
      <c r="QE297" s="4"/>
      <c r="QF297" s="4"/>
      <c r="QG297" s="4"/>
      <c r="QH297" s="5"/>
      <c r="QI297" s="6"/>
      <c r="QJ297" s="4"/>
      <c r="QK297" s="4"/>
      <c r="QL297" s="4"/>
      <c r="QM297" s="4"/>
      <c r="QN297" s="4"/>
      <c r="QO297" s="5"/>
      <c r="QP297" s="6"/>
      <c r="QQ297" s="4"/>
      <c r="QR297" s="4"/>
      <c r="QS297" s="4"/>
      <c r="QT297" s="4"/>
      <c r="QU297" s="4"/>
      <c r="QV297" s="5"/>
      <c r="QW297" s="6"/>
      <c r="QX297" s="4"/>
      <c r="QY297" s="4"/>
      <c r="QZ297" s="4"/>
      <c r="RA297" s="4"/>
      <c r="RB297" s="4"/>
      <c r="RC297" s="5"/>
      <c r="RD297" s="6"/>
      <c r="RE297" s="4"/>
      <c r="RF297" s="4"/>
      <c r="RG297" s="4"/>
      <c r="RH297" s="4"/>
      <c r="RI297" s="4"/>
      <c r="RJ297" s="5"/>
      <c r="RK297" s="6"/>
      <c r="RL297" s="4"/>
      <c r="RM297" s="4"/>
      <c r="RN297" s="4"/>
      <c r="RO297" s="4"/>
      <c r="RP297" s="4"/>
      <c r="RQ297" s="5"/>
      <c r="RR297" s="6"/>
      <c r="RS297" s="4"/>
      <c r="RT297" s="4"/>
      <c r="RU297" s="4"/>
      <c r="RV297" s="4"/>
      <c r="RW297" s="4"/>
      <c r="RX297" s="5"/>
      <c r="RY297" s="6"/>
      <c r="RZ297" s="4"/>
      <c r="SA297" s="4"/>
      <c r="SB297" s="4"/>
      <c r="SC297" s="4"/>
      <c r="SD297" s="4"/>
      <c r="SE297" s="5"/>
      <c r="SF297" s="6"/>
      <c r="SG297" s="4"/>
      <c r="SH297" s="4"/>
      <c r="SI297" s="4"/>
      <c r="SJ297" s="4"/>
      <c r="SK297" s="4"/>
      <c r="SL297" s="5"/>
      <c r="SM297" s="6"/>
      <c r="SN297" s="4"/>
      <c r="SO297" s="4"/>
      <c r="SP297" s="4"/>
      <c r="SQ297" s="4"/>
      <c r="SR297" s="4"/>
      <c r="SS297" s="5"/>
      <c r="ST297" s="6"/>
      <c r="SU297" s="4"/>
      <c r="SV297" s="4"/>
      <c r="SW297" s="4"/>
      <c r="SX297" s="4"/>
      <c r="SY297" s="4"/>
      <c r="SZ297" s="5"/>
      <c r="TA297" s="6"/>
      <c r="TB297" s="4"/>
      <c r="TC297" s="4"/>
      <c r="TD297" s="4"/>
      <c r="TE297" s="4"/>
      <c r="TF297" s="4"/>
      <c r="TG297" s="5"/>
      <c r="TH297" s="6"/>
      <c r="TI297" s="4"/>
      <c r="TJ297" s="4"/>
      <c r="TK297" s="4"/>
      <c r="TL297" s="4"/>
      <c r="TM297" s="4"/>
      <c r="TN297" s="5"/>
      <c r="TO297" s="6"/>
      <c r="TP297" s="4"/>
      <c r="TQ297" s="4"/>
      <c r="TR297" s="4"/>
      <c r="TS297" s="4"/>
      <c r="TT297" s="4"/>
      <c r="TU297" s="5"/>
      <c r="TV297" s="6"/>
      <c r="TW297" s="4"/>
      <c r="TX297" s="4"/>
      <c r="TY297" s="4"/>
      <c r="TZ297" s="4"/>
      <c r="UA297" s="4"/>
      <c r="UB297" s="5"/>
      <c r="UC297" s="6"/>
      <c r="UD297" s="4"/>
      <c r="UE297" s="4"/>
      <c r="UF297" s="4"/>
      <c r="UG297" s="4"/>
      <c r="UH297" s="4"/>
      <c r="UI297" s="5"/>
      <c r="UJ297" s="6"/>
      <c r="UK297" s="4"/>
      <c r="UL297" s="4"/>
      <c r="UM297" s="4"/>
      <c r="UN297" s="4"/>
      <c r="UO297" s="4"/>
      <c r="UP297" s="5"/>
      <c r="UQ297" s="6"/>
      <c r="UR297" s="4"/>
      <c r="US297" s="4"/>
      <c r="UT297" s="4"/>
      <c r="UU297" s="4"/>
      <c r="UV297" s="4"/>
      <c r="UW297" s="5"/>
      <c r="UX297" s="6"/>
      <c r="UY297" s="4"/>
      <c r="UZ297" s="4"/>
      <c r="VA297" s="4"/>
      <c r="VB297" s="4"/>
      <c r="VC297" s="4"/>
      <c r="VD297" s="5"/>
      <c r="VE297" s="6"/>
      <c r="VF297" s="4"/>
      <c r="VG297" s="4"/>
      <c r="VH297" s="4"/>
      <c r="VI297" s="4"/>
      <c r="VJ297" s="4"/>
      <c r="VK297" s="5"/>
      <c r="VL297" s="6"/>
      <c r="VM297" s="4"/>
      <c r="VN297" s="4"/>
      <c r="VO297" s="4"/>
      <c r="VP297" s="4"/>
      <c r="VQ297" s="4"/>
      <c r="VR297" s="5"/>
      <c r="VS297" s="6"/>
      <c r="VT297" s="4"/>
      <c r="VU297" s="4"/>
      <c r="VV297" s="4"/>
      <c r="VW297" s="4"/>
      <c r="VX297" s="4"/>
      <c r="VY297" s="5"/>
      <c r="VZ297" s="6"/>
      <c r="WA297" s="4"/>
      <c r="WB297" s="4"/>
      <c r="WC297" s="4"/>
      <c r="WD297" s="4"/>
      <c r="WE297" s="4"/>
      <c r="WF297" s="5"/>
      <c r="WG297" s="6"/>
      <c r="WH297" s="4"/>
      <c r="WI297" s="4"/>
      <c r="WJ297" s="4"/>
      <c r="WK297" s="4"/>
      <c r="WL297" s="4"/>
      <c r="WM297" s="5"/>
      <c r="WN297" s="6"/>
      <c r="WO297" s="4"/>
      <c r="WP297" s="4"/>
      <c r="WQ297" s="4"/>
      <c r="WR297" s="4"/>
      <c r="WS297" s="4"/>
      <c r="WT297" s="5"/>
      <c r="WU297" s="6"/>
      <c r="WV297" s="4"/>
      <c r="WW297" s="4"/>
      <c r="WX297" s="4"/>
      <c r="WY297" s="4"/>
      <c r="WZ297" s="4"/>
      <c r="XA297" s="5"/>
      <c r="XB297" s="6"/>
      <c r="XC297" s="4"/>
      <c r="XD297" s="4"/>
      <c r="XE297" s="4"/>
      <c r="XF297" s="4"/>
      <c r="XG297" s="4"/>
      <c r="XH297" s="5"/>
      <c r="XI297" s="6"/>
      <c r="XJ297" s="4"/>
      <c r="XK297" s="4"/>
      <c r="XL297" s="4"/>
      <c r="XM297" s="4"/>
      <c r="XN297" s="4"/>
      <c r="XO297" s="5"/>
      <c r="XP297" s="6"/>
      <c r="XQ297" s="4"/>
      <c r="XR297" s="4"/>
      <c r="XS297" s="4"/>
      <c r="XT297" s="4"/>
      <c r="XU297" s="4"/>
      <c r="XV297" s="5"/>
      <c r="XW297" s="6"/>
      <c r="XX297" s="4"/>
      <c r="XY297" s="4"/>
      <c r="XZ297" s="4"/>
      <c r="YA297" s="4"/>
      <c r="YB297" s="4"/>
      <c r="YC297" s="5"/>
      <c r="YD297" s="6"/>
      <c r="YE297" s="4"/>
      <c r="YF297" s="4"/>
      <c r="YG297" s="4"/>
      <c r="YH297" s="4"/>
      <c r="YI297" s="4"/>
      <c r="YJ297" s="5"/>
      <c r="YK297" s="6"/>
      <c r="YL297" s="4"/>
      <c r="YM297" s="4"/>
      <c r="YN297" s="4"/>
      <c r="YO297" s="4"/>
      <c r="YP297" s="4"/>
      <c r="YQ297" s="5"/>
      <c r="YR297" s="6"/>
      <c r="YS297" s="4"/>
      <c r="YT297" s="4"/>
      <c r="YU297" s="4"/>
      <c r="YV297" s="4"/>
      <c r="YW297" s="4"/>
      <c r="YX297" s="5"/>
      <c r="YY297" s="6"/>
      <c r="YZ297" s="4"/>
      <c r="ZA297" s="4"/>
      <c r="ZB297" s="4"/>
      <c r="ZC297" s="4"/>
      <c r="ZD297" s="4"/>
      <c r="ZE297" s="5"/>
      <c r="ZF297" s="6"/>
      <c r="ZG297" s="4"/>
      <c r="ZH297" s="4"/>
      <c r="ZI297" s="4"/>
      <c r="ZJ297" s="4"/>
      <c r="ZK297" s="4"/>
      <c r="ZL297" s="5"/>
      <c r="ZM297" s="6"/>
      <c r="ZN297" s="4"/>
      <c r="ZO297" s="4"/>
      <c r="ZP297" s="4"/>
      <c r="ZQ297" s="4"/>
      <c r="ZR297" s="4"/>
      <c r="ZS297" s="5"/>
      <c r="ZT297" s="6"/>
      <c r="ZU297" s="4"/>
      <c r="ZV297" s="4"/>
      <c r="ZW297" s="4"/>
      <c r="ZX297" s="4"/>
      <c r="ZY297" s="4"/>
      <c r="ZZ297" s="5"/>
      <c r="AAA297" s="6"/>
      <c r="AAB297" s="4"/>
      <c r="AAC297" s="4"/>
      <c r="AAD297" s="4"/>
      <c r="AAE297" s="4"/>
      <c r="AAF297" s="4"/>
      <c r="AAG297" s="5"/>
      <c r="AAH297" s="6"/>
      <c r="AAI297" s="4"/>
      <c r="AAJ297" s="4"/>
      <c r="AAK297" s="4"/>
      <c r="AAL297" s="4"/>
      <c r="AAM297" s="4"/>
      <c r="AAN297" s="5"/>
      <c r="AAO297" s="6"/>
      <c r="AAP297" s="4"/>
      <c r="AAQ297" s="4"/>
      <c r="AAR297" s="4"/>
      <c r="AAS297" s="4"/>
      <c r="AAT297" s="4"/>
      <c r="AAU297" s="5"/>
      <c r="AAV297" s="6"/>
      <c r="AAW297" s="4"/>
      <c r="AAX297" s="4"/>
      <c r="AAY297" s="4"/>
      <c r="AAZ297" s="4"/>
      <c r="ABA297" s="4"/>
      <c r="ABB297" s="5"/>
      <c r="ABC297" s="6"/>
      <c r="ABD297" s="4"/>
      <c r="ABE297" s="4"/>
      <c r="ABF297" s="4"/>
      <c r="ABG297" s="4"/>
      <c r="ABH297" s="4"/>
      <c r="ABI297" s="5"/>
      <c r="ABJ297" s="6"/>
      <c r="ABK297" s="4"/>
      <c r="ABL297" s="4"/>
      <c r="ABM297" s="4"/>
      <c r="ABN297" s="4"/>
      <c r="ABO297" s="4"/>
      <c r="ABP297" s="5"/>
      <c r="ABQ297" s="6"/>
      <c r="ABR297" s="4"/>
      <c r="ABS297" s="4"/>
      <c r="ABT297" s="4"/>
      <c r="ABU297" s="4"/>
      <c r="ABV297" s="4"/>
      <c r="ABW297" s="5"/>
      <c r="ABX297" s="6"/>
      <c r="ABY297" s="4"/>
      <c r="ABZ297" s="4"/>
      <c r="ACA297" s="4"/>
      <c r="ACB297" s="4"/>
      <c r="ACC297" s="4"/>
      <c r="ACD297" s="5"/>
      <c r="ACE297" s="6"/>
      <c r="ACF297" s="4"/>
      <c r="ACG297" s="4"/>
      <c r="ACH297" s="4"/>
      <c r="ACI297" s="4"/>
      <c r="ACJ297" s="4"/>
      <c r="ACK297" s="5"/>
      <c r="ACL297" s="6"/>
      <c r="ACM297" s="4"/>
      <c r="ACN297" s="4"/>
      <c r="ACO297" s="4"/>
      <c r="ACP297" s="4"/>
      <c r="ACQ297" s="4"/>
      <c r="ACR297" s="5"/>
      <c r="ACS297" s="6"/>
      <c r="ACT297" s="4"/>
      <c r="ACU297" s="4"/>
      <c r="ACV297" s="4"/>
      <c r="ACW297" s="4"/>
      <c r="ACX297" s="4"/>
      <c r="ACY297" s="5"/>
    </row>
    <row r="298" spans="2:805" x14ac:dyDescent="0.25">
      <c r="B298" s="29">
        <v>8007532</v>
      </c>
      <c r="C298" s="57">
        <v>58</v>
      </c>
      <c r="D298" t="s">
        <v>2121</v>
      </c>
      <c r="E298" s="39" t="s">
        <v>4186</v>
      </c>
      <c r="F298" s="23">
        <v>1</v>
      </c>
      <c r="G298" s="31">
        <v>37949</v>
      </c>
      <c r="H298" s="23" t="s">
        <v>3824</v>
      </c>
      <c r="I298">
        <v>1</v>
      </c>
      <c r="J298" s="19">
        <v>37925</v>
      </c>
      <c r="K298" s="19"/>
      <c r="L298" s="19"/>
      <c r="Q298">
        <v>1</v>
      </c>
      <c r="R298">
        <v>1</v>
      </c>
      <c r="V298">
        <v>1</v>
      </c>
      <c r="AF298">
        <v>1</v>
      </c>
      <c r="AN298">
        <v>1</v>
      </c>
      <c r="CJ298">
        <v>1</v>
      </c>
      <c r="LL298" s="6" t="s">
        <v>1904</v>
      </c>
      <c r="LM298" s="4" t="s">
        <v>1904</v>
      </c>
      <c r="LN298" s="4"/>
      <c r="LO298" s="4"/>
      <c r="LP298" s="4"/>
      <c r="LQ298" s="4"/>
      <c r="LR298" s="5"/>
      <c r="LS298" s="6" t="s">
        <v>1952</v>
      </c>
      <c r="LT298" s="4" t="s">
        <v>1800</v>
      </c>
      <c r="LU298" s="4"/>
      <c r="LV298" s="4"/>
      <c r="LW298" s="8">
        <v>37897</v>
      </c>
      <c r="LX298" s="4"/>
      <c r="LY298" s="5" t="s">
        <v>3957</v>
      </c>
      <c r="LZ298" s="6" t="s">
        <v>1949</v>
      </c>
      <c r="MA298" s="7" t="s">
        <v>1802</v>
      </c>
      <c r="MB298" s="4"/>
      <c r="MC298" s="4"/>
      <c r="MD298" s="4"/>
      <c r="ME298" s="4"/>
      <c r="MF298" s="4" t="s">
        <v>3787</v>
      </c>
      <c r="MG298" s="5" t="s">
        <v>3949</v>
      </c>
      <c r="MH298" s="6"/>
      <c r="MI298" s="4"/>
      <c r="MJ298" s="4"/>
      <c r="MK298" s="4"/>
      <c r="ML298" s="4"/>
      <c r="MM298" s="4"/>
      <c r="MN298" s="5"/>
      <c r="MO298" s="6" t="s">
        <v>1574</v>
      </c>
      <c r="MP298" s="4" t="s">
        <v>1575</v>
      </c>
      <c r="MQ298" s="4" t="s">
        <v>1641</v>
      </c>
      <c r="MR298" s="4"/>
      <c r="MS298" s="8">
        <v>37897</v>
      </c>
      <c r="MT298" s="4"/>
      <c r="MU298" s="5" t="s">
        <v>4107</v>
      </c>
      <c r="MV298" s="6"/>
      <c r="MW298" s="4"/>
      <c r="MX298" s="4"/>
      <c r="MY298" s="4"/>
      <c r="MZ298" s="4"/>
      <c r="NA298" s="4"/>
      <c r="NB298" s="5"/>
      <c r="NC298" s="6" t="s">
        <v>1871</v>
      </c>
      <c r="ND298" s="4" t="s">
        <v>1871</v>
      </c>
      <c r="NE298" s="4" t="s">
        <v>1872</v>
      </c>
      <c r="NF298" s="4"/>
      <c r="NG298" s="4"/>
      <c r="NH298" s="4"/>
      <c r="NI298" s="5"/>
      <c r="NJ298" s="6" t="s">
        <v>1448</v>
      </c>
      <c r="NK298" s="4" t="s">
        <v>1816</v>
      </c>
      <c r="NL298" s="4"/>
      <c r="NM298" s="4"/>
      <c r="NN298" s="8">
        <v>37897</v>
      </c>
      <c r="NO298" s="4"/>
      <c r="NP298" s="5" t="s">
        <v>4147</v>
      </c>
      <c r="NQ298" s="6"/>
      <c r="NR298" s="4"/>
      <c r="NS298" s="4"/>
      <c r="NT298" s="4"/>
      <c r="NU298" s="4"/>
      <c r="NV298" s="4"/>
      <c r="NW298" s="5"/>
      <c r="NX298" s="6" t="s">
        <v>3219</v>
      </c>
      <c r="NY298" s="4" t="s">
        <v>3219</v>
      </c>
      <c r="NZ298" s="4"/>
      <c r="OA298" s="4"/>
      <c r="OB298" s="8">
        <v>37897</v>
      </c>
      <c r="OC298" s="4"/>
      <c r="OD298" s="5" t="s">
        <v>4148</v>
      </c>
      <c r="OE298" s="6"/>
      <c r="OF298" s="4"/>
      <c r="OG298" s="4"/>
      <c r="OH298" s="4"/>
      <c r="OI298" s="4"/>
      <c r="OJ298" s="4"/>
      <c r="OK298" s="5"/>
      <c r="OL298" s="6"/>
      <c r="OM298" s="4"/>
      <c r="ON298" s="4"/>
      <c r="OO298" s="4"/>
      <c r="OP298" s="4"/>
      <c r="OQ298" s="4"/>
      <c r="OR298" s="5"/>
      <c r="OS298" s="6" t="s">
        <v>1725</v>
      </c>
      <c r="OT298" s="4" t="s">
        <v>1726</v>
      </c>
      <c r="OU298" s="4" t="s">
        <v>1727</v>
      </c>
      <c r="OV298" s="4"/>
      <c r="OW298" s="4"/>
      <c r="OX298" s="4"/>
      <c r="OY298" s="5"/>
      <c r="OZ298" s="6"/>
      <c r="PA298" s="4"/>
      <c r="PB298" s="4"/>
      <c r="PC298" s="4"/>
      <c r="PD298" s="4"/>
      <c r="PE298" s="4"/>
      <c r="PF298" s="5"/>
      <c r="PG298" s="6"/>
      <c r="PH298" s="4"/>
      <c r="PI298" s="4"/>
      <c r="PJ298" s="4"/>
      <c r="PK298" s="4"/>
      <c r="PL298" s="4"/>
      <c r="PM298" s="5"/>
      <c r="PN298" s="6"/>
      <c r="PO298" s="4"/>
      <c r="PP298" s="4"/>
      <c r="PQ298" s="4"/>
      <c r="PR298" s="4"/>
      <c r="PS298" s="4"/>
      <c r="PT298" s="5"/>
      <c r="PU298" s="6"/>
      <c r="PV298" s="4"/>
      <c r="PW298" s="4"/>
      <c r="PX298" s="4"/>
      <c r="PY298" s="4"/>
      <c r="PZ298" s="4"/>
      <c r="QA298" s="5"/>
      <c r="QB298" s="6" t="s">
        <v>1728</v>
      </c>
      <c r="QC298" s="4" t="s">
        <v>1728</v>
      </c>
      <c r="QD298" s="4"/>
      <c r="QE298" s="4"/>
      <c r="QF298" s="4"/>
      <c r="QG298" s="4"/>
      <c r="QH298" s="5" t="s">
        <v>4149</v>
      </c>
      <c r="QI298" s="6" t="s">
        <v>2830</v>
      </c>
      <c r="QJ298" s="4" t="s">
        <v>2831</v>
      </c>
      <c r="QK298" s="4"/>
      <c r="QL298" s="4"/>
      <c r="QM298" s="4"/>
      <c r="QN298" s="4"/>
      <c r="QO298" s="5" t="s">
        <v>4150</v>
      </c>
      <c r="QP298" s="6"/>
      <c r="QQ298" s="4"/>
      <c r="QR298" s="4"/>
      <c r="QS298" s="4"/>
      <c r="QT298" s="4"/>
      <c r="QU298" s="4"/>
      <c r="QV298" s="5"/>
      <c r="QW298" s="6" t="s">
        <v>1869</v>
      </c>
      <c r="QX298" s="4" t="s">
        <v>1869</v>
      </c>
      <c r="QY298" s="4" t="s">
        <v>1870</v>
      </c>
      <c r="QZ298" s="4"/>
      <c r="RA298" s="4"/>
      <c r="RB298" s="4"/>
      <c r="RC298" s="5" t="s">
        <v>4151</v>
      </c>
      <c r="RD298" s="6"/>
      <c r="RE298" s="4"/>
      <c r="RF298" s="4"/>
      <c r="RG298" s="4"/>
      <c r="RH298" s="4"/>
      <c r="RI298" s="4"/>
      <c r="RJ298" s="5"/>
      <c r="RK298" s="6" t="s">
        <v>1797</v>
      </c>
      <c r="RL298" s="4" t="s">
        <v>1741</v>
      </c>
      <c r="RM298" s="4"/>
      <c r="RN298" s="4"/>
      <c r="RO298" s="4"/>
      <c r="RP298" s="4"/>
      <c r="RQ298" s="5" t="s">
        <v>4096</v>
      </c>
      <c r="RR298" s="6"/>
      <c r="RS298" s="4"/>
      <c r="RT298" s="4"/>
      <c r="RU298" s="4"/>
      <c r="RV298" s="4"/>
      <c r="RW298" s="4"/>
      <c r="RX298" s="5"/>
      <c r="RY298" s="6"/>
      <c r="RZ298" s="4"/>
      <c r="SA298" s="4"/>
      <c r="SB298" s="4"/>
      <c r="SC298" s="4"/>
      <c r="SD298" s="4"/>
      <c r="SE298" s="5"/>
      <c r="SF298" s="6"/>
      <c r="SG298" s="4"/>
      <c r="SH298" s="4"/>
      <c r="SI298" s="4"/>
      <c r="SJ298" s="4"/>
      <c r="SK298" s="4"/>
      <c r="SL298" s="5"/>
      <c r="SM298" s="6"/>
      <c r="SN298" s="4"/>
      <c r="SO298" s="4"/>
      <c r="SP298" s="4"/>
      <c r="SQ298" s="4"/>
      <c r="SR298" s="4"/>
      <c r="SS298" s="5"/>
      <c r="ST298" s="6" t="s">
        <v>3496</v>
      </c>
      <c r="SU298" s="4" t="s">
        <v>3203</v>
      </c>
      <c r="SV298" s="4" t="s">
        <v>1591</v>
      </c>
      <c r="SW298" s="4"/>
      <c r="SX298" s="4"/>
      <c r="SY298" s="4"/>
      <c r="SZ298" s="5" t="s">
        <v>4097</v>
      </c>
      <c r="TA298" s="6"/>
      <c r="TB298" s="4"/>
      <c r="TC298" s="4"/>
      <c r="TD298" s="4"/>
      <c r="TE298" s="4"/>
      <c r="TF298" s="4"/>
      <c r="TG298" s="5"/>
      <c r="TH298" s="6"/>
      <c r="TI298" s="4"/>
      <c r="TJ298" s="4"/>
      <c r="TK298" s="4"/>
      <c r="TL298" s="4"/>
      <c r="TM298" s="4"/>
      <c r="TN298" s="5"/>
      <c r="TO298" s="6"/>
      <c r="TP298" s="4"/>
      <c r="TQ298" s="4"/>
      <c r="TR298" s="4"/>
      <c r="TS298" s="4"/>
      <c r="TT298" s="4"/>
      <c r="TU298" s="5"/>
      <c r="TV298" s="6"/>
      <c r="TW298" s="4"/>
      <c r="TX298" s="4"/>
      <c r="TY298" s="4"/>
      <c r="TZ298" s="4"/>
      <c r="UA298" s="4"/>
      <c r="UB298" s="5"/>
      <c r="UC298" s="6"/>
      <c r="UD298" s="4"/>
      <c r="UE298" s="4"/>
      <c r="UF298" s="4"/>
      <c r="UG298" s="4"/>
      <c r="UH298" s="4"/>
      <c r="UI298" s="5"/>
      <c r="UJ298" s="6"/>
      <c r="UK298" s="4"/>
      <c r="UL298" s="4"/>
      <c r="UM298" s="4"/>
      <c r="UN298" s="4"/>
      <c r="UO298" s="4"/>
      <c r="UP298" s="5"/>
      <c r="UQ298" s="6"/>
      <c r="UR298" s="4"/>
      <c r="US298" s="4"/>
      <c r="UT298" s="4"/>
      <c r="UU298" s="4"/>
      <c r="UV298" s="4"/>
      <c r="UW298" s="5"/>
      <c r="UX298" s="6"/>
      <c r="UY298" s="4"/>
      <c r="UZ298" s="4"/>
      <c r="VA298" s="4"/>
      <c r="VB298" s="4"/>
      <c r="VC298" s="4"/>
      <c r="VD298" s="5"/>
      <c r="VE298" s="6" t="s">
        <v>2245</v>
      </c>
      <c r="VF298" s="4" t="s">
        <v>1867</v>
      </c>
      <c r="VG298" s="4" t="s">
        <v>1868</v>
      </c>
      <c r="VH298" s="4"/>
      <c r="VI298" s="4"/>
      <c r="VJ298" s="4"/>
      <c r="VK298" s="5" t="s">
        <v>4089</v>
      </c>
      <c r="VL298" s="6" t="s">
        <v>2762</v>
      </c>
      <c r="VM298" s="4" t="s">
        <v>2798</v>
      </c>
      <c r="VN298" s="7" t="s">
        <v>2252</v>
      </c>
      <c r="VO298" s="4"/>
      <c r="VP298" s="4"/>
      <c r="VQ298" s="4"/>
      <c r="VR298" s="5"/>
      <c r="VS298" s="6"/>
      <c r="VT298" s="4"/>
      <c r="VU298" s="4"/>
      <c r="VV298" s="4"/>
      <c r="VW298" s="4"/>
      <c r="VX298" s="4"/>
      <c r="VY298" s="5"/>
      <c r="VZ298" s="6"/>
      <c r="WA298" s="4"/>
      <c r="WB298" s="4"/>
      <c r="WC298" s="4"/>
      <c r="WD298" s="4"/>
      <c r="WE298" s="4"/>
      <c r="WF298" s="5"/>
      <c r="WG298" s="6"/>
      <c r="WH298" s="4"/>
      <c r="WI298" s="4"/>
      <c r="WJ298" s="4"/>
      <c r="WK298" s="4"/>
      <c r="WL298" s="4"/>
      <c r="WM298" s="5"/>
      <c r="WN298" s="6"/>
      <c r="WO298" s="4"/>
      <c r="WP298" s="4"/>
      <c r="WQ298" s="4"/>
      <c r="WR298" s="4"/>
      <c r="WS298" s="4"/>
      <c r="WT298" s="5"/>
      <c r="WU298" s="6"/>
      <c r="WV298" s="4"/>
      <c r="WW298" s="4"/>
      <c r="WX298" s="4"/>
      <c r="WY298" s="4"/>
      <c r="WZ298" s="4"/>
      <c r="XA298" s="5"/>
      <c r="XB298" s="6"/>
      <c r="XC298" s="4"/>
      <c r="XD298" s="4"/>
      <c r="XE298" s="4"/>
      <c r="XF298" s="4"/>
      <c r="XG298" s="4"/>
      <c r="XH298" s="5"/>
      <c r="XI298" s="6"/>
      <c r="XJ298" s="4"/>
      <c r="XK298" s="4"/>
      <c r="XL298" s="4"/>
      <c r="XM298" s="4"/>
      <c r="XN298" s="4"/>
      <c r="XO298" s="5"/>
      <c r="XP298" s="6" t="s">
        <v>1935</v>
      </c>
      <c r="XQ298" s="4" t="s">
        <v>1936</v>
      </c>
      <c r="XR298" s="4" t="s">
        <v>4092</v>
      </c>
      <c r="XS298" s="8">
        <v>37897</v>
      </c>
      <c r="XT298" s="4"/>
      <c r="XU298" s="4"/>
      <c r="XV298" s="5"/>
      <c r="XW298" s="6"/>
      <c r="XX298" s="4"/>
      <c r="XY298" s="4"/>
      <c r="XZ298" s="4"/>
      <c r="YA298" s="4"/>
      <c r="YB298" s="4"/>
      <c r="YC298" s="5"/>
      <c r="YD298" s="6"/>
      <c r="YE298" s="4"/>
      <c r="YF298" s="4"/>
      <c r="YG298" s="4"/>
      <c r="YH298" s="4"/>
      <c r="YI298" s="4"/>
      <c r="YJ298" s="5"/>
      <c r="YK298" s="6" t="s">
        <v>1596</v>
      </c>
      <c r="YL298" s="4" t="s">
        <v>1751</v>
      </c>
      <c r="YM298" s="4"/>
      <c r="YN298" s="4"/>
      <c r="YO298" s="8"/>
      <c r="YP298" s="4"/>
      <c r="YQ298" s="5"/>
      <c r="YR298" s="6"/>
      <c r="YS298" s="4"/>
      <c r="YT298" s="4"/>
      <c r="YU298" s="4"/>
      <c r="YV298" s="4"/>
      <c r="YW298" s="4"/>
      <c r="YX298" s="5"/>
      <c r="YY298" s="6" t="s">
        <v>1754</v>
      </c>
      <c r="YZ298" s="4" t="s">
        <v>1755</v>
      </c>
      <c r="ZA298" s="4"/>
      <c r="ZB298" s="4"/>
      <c r="ZC298" s="8"/>
      <c r="ZD298" s="4"/>
      <c r="ZE298" s="5"/>
      <c r="ZF298" s="6" t="s">
        <v>1947</v>
      </c>
      <c r="ZG298" s="4" t="s">
        <v>1948</v>
      </c>
      <c r="ZH298" s="4"/>
      <c r="ZI298" s="4"/>
      <c r="ZJ298" s="8">
        <v>37897</v>
      </c>
      <c r="ZK298" s="4"/>
      <c r="ZL298" s="5" t="s">
        <v>3921</v>
      </c>
      <c r="ZM298" s="6" t="s">
        <v>2979</v>
      </c>
      <c r="ZN298" s="4" t="s">
        <v>2706</v>
      </c>
      <c r="ZO298" s="4" t="s">
        <v>1590</v>
      </c>
      <c r="ZP298" s="4"/>
      <c r="ZQ298" s="4"/>
      <c r="ZR298" s="4"/>
      <c r="ZS298" s="5"/>
      <c r="ZT298" s="6"/>
      <c r="ZU298" s="4"/>
      <c r="ZV298" s="4"/>
      <c r="ZW298" s="4"/>
      <c r="ZX298" s="4"/>
      <c r="ZY298" s="4"/>
      <c r="ZZ298" s="5"/>
      <c r="AAA298" s="6"/>
      <c r="AAB298" s="4"/>
      <c r="AAC298" s="4"/>
      <c r="AAD298" s="4"/>
      <c r="AAE298" s="4"/>
      <c r="AAF298" s="4"/>
      <c r="AAG298" s="5"/>
      <c r="AAH298" s="6" t="s">
        <v>3137</v>
      </c>
      <c r="AAI298" s="4" t="s">
        <v>3138</v>
      </c>
      <c r="AAJ298" s="4" t="s">
        <v>2004</v>
      </c>
      <c r="AAK298" s="4"/>
      <c r="AAL298" s="4"/>
      <c r="AAM298" s="4"/>
      <c r="AAN298" s="5" t="s">
        <v>3922</v>
      </c>
      <c r="AAO298" s="6"/>
      <c r="AAP298" s="4"/>
      <c r="AAQ298" s="4"/>
      <c r="AAR298" s="4"/>
      <c r="AAS298" s="4"/>
      <c r="AAT298" s="4"/>
      <c r="AAU298" s="5"/>
      <c r="AAV298" s="6"/>
      <c r="AAW298" s="4"/>
      <c r="AAX298" s="4"/>
      <c r="AAY298" s="4"/>
      <c r="AAZ298" s="4"/>
      <c r="ABA298" s="4"/>
      <c r="ABB298" s="5"/>
      <c r="ABC298" s="6" t="s">
        <v>1752</v>
      </c>
      <c r="ABD298" s="4" t="s">
        <v>1588</v>
      </c>
      <c r="ABE298" s="4"/>
      <c r="ABF298" s="4"/>
      <c r="ABG298" s="8">
        <v>37897</v>
      </c>
      <c r="ABH298" s="4"/>
      <c r="ABI298" s="5"/>
      <c r="ABJ298" s="6" t="s">
        <v>3387</v>
      </c>
      <c r="ABK298" s="4" t="s">
        <v>3388</v>
      </c>
      <c r="ABL298" s="4" t="s">
        <v>1589</v>
      </c>
      <c r="ABM298" s="4"/>
      <c r="ABN298" s="8">
        <v>37897</v>
      </c>
      <c r="ABO298" s="4"/>
      <c r="ABP298" s="5" t="s">
        <v>3965</v>
      </c>
      <c r="ABQ298" s="6"/>
      <c r="ABR298" s="4"/>
      <c r="ABS298" s="4"/>
      <c r="ABT298" s="4"/>
      <c r="ABU298" s="4"/>
      <c r="ABV298" s="4"/>
      <c r="ABW298" s="5"/>
      <c r="ABX298" s="6"/>
      <c r="ABY298" s="4"/>
      <c r="ABZ298" s="4"/>
      <c r="ACA298" s="4"/>
      <c r="ACB298" s="4"/>
      <c r="ACC298" s="4"/>
      <c r="ACD298" s="5"/>
      <c r="ACE298" s="6"/>
      <c r="ACF298" s="4"/>
      <c r="ACG298" s="4"/>
      <c r="ACH298" s="4"/>
      <c r="ACI298" s="4"/>
      <c r="ACJ298" s="4"/>
      <c r="ACK298" s="5"/>
      <c r="ACL298" s="6" t="s">
        <v>1585</v>
      </c>
      <c r="ACM298" s="4" t="s">
        <v>2398</v>
      </c>
      <c r="ACN298" s="4"/>
      <c r="ACO298" s="4"/>
      <c r="ACP298" s="8">
        <v>37896</v>
      </c>
      <c r="ACQ298" s="4"/>
      <c r="ACR298" s="5" t="s">
        <v>3923</v>
      </c>
      <c r="ACS298" s="6"/>
      <c r="ACT298" s="4"/>
      <c r="ACU298" s="4"/>
      <c r="ACV298" s="4"/>
      <c r="ACW298" s="4"/>
      <c r="ACX298" s="4"/>
      <c r="ACY298" s="5"/>
      <c r="ADA298" t="s">
        <v>3791</v>
      </c>
      <c r="ADG298" t="s">
        <v>3926</v>
      </c>
      <c r="ADH298" t="s">
        <v>3924</v>
      </c>
      <c r="ADJ298" t="s">
        <v>3966</v>
      </c>
      <c r="ADM298" t="s">
        <v>4148</v>
      </c>
      <c r="ADX298" t="s">
        <v>3925</v>
      </c>
      <c r="ADY298" t="s">
        <v>4147</v>
      </c>
    </row>
    <row r="299" spans="2:805" x14ac:dyDescent="0.25">
      <c r="J299" s="12"/>
      <c r="K299" s="12"/>
      <c r="L299" s="12"/>
      <c r="LL299" s="6" t="s">
        <v>1571</v>
      </c>
      <c r="LM299" s="4" t="s">
        <v>1904</v>
      </c>
      <c r="LN299" s="4" t="s">
        <v>1572</v>
      </c>
      <c r="LO299" s="4"/>
      <c r="LP299" s="4"/>
      <c r="LQ299" s="4"/>
      <c r="LR299" s="5" t="s">
        <v>3956</v>
      </c>
      <c r="LS299" s="6"/>
      <c r="LT299" s="4"/>
      <c r="LU299" s="4"/>
      <c r="LV299" s="4"/>
      <c r="LW299" s="4"/>
      <c r="LX299" s="4"/>
      <c r="LY299" s="5"/>
      <c r="LZ299" s="6" t="s">
        <v>1950</v>
      </c>
      <c r="MA299" s="7" t="s">
        <v>1951</v>
      </c>
      <c r="MB299" s="4"/>
      <c r="MC299" s="4"/>
      <c r="MD299" s="8">
        <v>37923</v>
      </c>
      <c r="ME299" s="4"/>
      <c r="MF299" s="4"/>
      <c r="MG299" s="5" t="s">
        <v>3949</v>
      </c>
      <c r="MH299" s="6"/>
      <c r="MI299" s="4"/>
      <c r="MJ299" s="4"/>
      <c r="MK299" s="4"/>
      <c r="ML299" s="4"/>
      <c r="MM299" s="4"/>
      <c r="MN299" s="5"/>
      <c r="MO299" s="6"/>
      <c r="MP299" s="4"/>
      <c r="MQ299" s="4"/>
      <c r="MR299" s="4"/>
      <c r="MS299" s="4"/>
      <c r="MT299" s="4"/>
      <c r="MU299" s="5"/>
      <c r="MV299" s="6"/>
      <c r="MW299" s="4"/>
      <c r="MX299" s="4"/>
      <c r="MY299" s="4"/>
      <c r="MZ299" s="4"/>
      <c r="NA299" s="4"/>
      <c r="NB299" s="5"/>
      <c r="NC299" s="6" t="s">
        <v>1640</v>
      </c>
      <c r="ND299" s="7" t="s">
        <v>1734</v>
      </c>
      <c r="NE299" s="4" t="s">
        <v>1729</v>
      </c>
      <c r="NF299" s="7" t="s">
        <v>1730</v>
      </c>
      <c r="NG299" s="8">
        <v>37920</v>
      </c>
      <c r="NH299" s="8">
        <v>37922</v>
      </c>
      <c r="NI299" s="5" t="s">
        <v>4108</v>
      </c>
      <c r="NJ299" s="6"/>
      <c r="NK299" s="4"/>
      <c r="NL299" s="4"/>
      <c r="NM299" s="4"/>
      <c r="NN299" s="4"/>
      <c r="NO299" s="4"/>
      <c r="NP299" s="5"/>
      <c r="NQ299" s="6"/>
      <c r="NR299" s="4"/>
      <c r="NS299" s="4"/>
      <c r="NT299" s="4"/>
      <c r="NU299" s="4"/>
      <c r="NV299" s="4"/>
      <c r="NW299" s="5"/>
      <c r="NX299" s="6"/>
      <c r="NY299" s="4"/>
      <c r="NZ299" s="4"/>
      <c r="OA299" s="4"/>
      <c r="OB299" s="4"/>
      <c r="OC299" s="4"/>
      <c r="OD299" s="5"/>
      <c r="OE299" s="6"/>
      <c r="OF299" s="4"/>
      <c r="OG299" s="4"/>
      <c r="OH299" s="4"/>
      <c r="OI299" s="4"/>
      <c r="OJ299" s="4"/>
      <c r="OK299" s="5"/>
      <c r="OL299" s="6"/>
      <c r="OM299" s="4"/>
      <c r="ON299" s="4"/>
      <c r="OO299" s="4"/>
      <c r="OP299" s="4"/>
      <c r="OQ299" s="4"/>
      <c r="OR299" s="5"/>
      <c r="OS299" s="6" t="s">
        <v>1756</v>
      </c>
      <c r="OT299" s="4" t="s">
        <v>1909</v>
      </c>
      <c r="OU299" s="4" t="s">
        <v>1910</v>
      </c>
      <c r="OV299" s="4"/>
      <c r="OW299" s="8">
        <v>37897</v>
      </c>
      <c r="OX299" s="4"/>
      <c r="OY299" s="5"/>
      <c r="OZ299" s="6"/>
      <c r="PA299" s="4"/>
      <c r="PB299" s="4"/>
      <c r="PC299" s="4"/>
      <c r="PD299" s="4"/>
      <c r="PE299" s="4"/>
      <c r="PF299" s="5"/>
      <c r="PG299" s="6"/>
      <c r="PH299" s="4"/>
      <c r="PI299" s="4"/>
      <c r="PJ299" s="4"/>
      <c r="PK299" s="4"/>
      <c r="PL299" s="4"/>
      <c r="PM299" s="5"/>
      <c r="PN299" s="6"/>
      <c r="PO299" s="4"/>
      <c r="PP299" s="4"/>
      <c r="PQ299" s="4"/>
      <c r="PR299" s="4"/>
      <c r="PS299" s="4"/>
      <c r="PT299" s="5"/>
      <c r="PU299" s="6"/>
      <c r="PV299" s="4"/>
      <c r="PW299" s="4"/>
      <c r="PX299" s="4"/>
      <c r="PY299" s="4"/>
      <c r="PZ299" s="4"/>
      <c r="QA299" s="5"/>
      <c r="QB299" s="6"/>
      <c r="QC299" s="4"/>
      <c r="QD299" s="4"/>
      <c r="QE299" s="4"/>
      <c r="QF299" s="4"/>
      <c r="QG299" s="4"/>
      <c r="QH299" s="5"/>
      <c r="QI299" s="6"/>
      <c r="QJ299" s="4"/>
      <c r="QK299" s="4"/>
      <c r="QL299" s="4"/>
      <c r="QM299" s="4"/>
      <c r="QN299" s="4"/>
      <c r="QO299" s="5"/>
      <c r="QP299" s="6"/>
      <c r="QQ299" s="4"/>
      <c r="QR299" s="4"/>
      <c r="QS299" s="4"/>
      <c r="QT299" s="4"/>
      <c r="QU299" s="4"/>
      <c r="QV299" s="5"/>
      <c r="QW299" s="6"/>
      <c r="QX299" s="4"/>
      <c r="QY299" s="4"/>
      <c r="QZ299" s="4"/>
      <c r="RA299" s="4"/>
      <c r="RB299" s="4"/>
      <c r="RC299" s="5"/>
      <c r="RD299" s="6"/>
      <c r="RE299" s="4"/>
      <c r="RF299" s="4"/>
      <c r="RG299" s="4"/>
      <c r="RH299" s="4"/>
      <c r="RI299" s="4"/>
      <c r="RJ299" s="5"/>
      <c r="RK299" s="6"/>
      <c r="RL299" s="4"/>
      <c r="RM299" s="4"/>
      <c r="RN299" s="4"/>
      <c r="RO299" s="4"/>
      <c r="RP299" s="4"/>
      <c r="RQ299" s="5"/>
      <c r="RR299" s="6"/>
      <c r="RS299" s="4"/>
      <c r="RT299" s="4"/>
      <c r="RU299" s="4"/>
      <c r="RV299" s="4"/>
      <c r="RW299" s="4"/>
      <c r="RX299" s="5"/>
      <c r="RY299" s="6"/>
      <c r="RZ299" s="4"/>
      <c r="SA299" s="4"/>
      <c r="SB299" s="4"/>
      <c r="SC299" s="4"/>
      <c r="SD299" s="4"/>
      <c r="SE299" s="5"/>
      <c r="SF299" s="6"/>
      <c r="SG299" s="4"/>
      <c r="SH299" s="4"/>
      <c r="SI299" s="4"/>
      <c r="SJ299" s="4"/>
      <c r="SK299" s="4"/>
      <c r="SL299" s="5"/>
      <c r="SM299" s="6"/>
      <c r="SN299" s="4"/>
      <c r="SO299" s="4"/>
      <c r="SP299" s="4"/>
      <c r="SQ299" s="4"/>
      <c r="SR299" s="4"/>
      <c r="SS299" s="5"/>
      <c r="ST299" s="6"/>
      <c r="SU299" s="4"/>
      <c r="SV299" s="4"/>
      <c r="SW299" s="4"/>
      <c r="SX299" s="4"/>
      <c r="SY299" s="4"/>
      <c r="SZ299" s="5"/>
      <c r="TA299" s="6"/>
      <c r="TB299" s="4"/>
      <c r="TC299" s="4"/>
      <c r="TD299" s="4"/>
      <c r="TE299" s="4"/>
      <c r="TF299" s="4"/>
      <c r="TG299" s="5"/>
      <c r="TH299" s="6"/>
      <c r="TI299" s="4"/>
      <c r="TJ299" s="4"/>
      <c r="TK299" s="4"/>
      <c r="TL299" s="4"/>
      <c r="TM299" s="4"/>
      <c r="TN299" s="5"/>
      <c r="TO299" s="6"/>
      <c r="TP299" s="4"/>
      <c r="TQ299" s="4"/>
      <c r="TR299" s="4"/>
      <c r="TS299" s="4"/>
      <c r="TT299" s="4"/>
      <c r="TU299" s="5"/>
      <c r="TV299" s="6"/>
      <c r="TW299" s="4"/>
      <c r="TX299" s="4"/>
      <c r="TY299" s="4"/>
      <c r="TZ299" s="4"/>
      <c r="UA299" s="4"/>
      <c r="UB299" s="5"/>
      <c r="UC299" s="6"/>
      <c r="UD299" s="4"/>
      <c r="UE299" s="4"/>
      <c r="UF299" s="4"/>
      <c r="UG299" s="4"/>
      <c r="UH299" s="4"/>
      <c r="UI299" s="5"/>
      <c r="UJ299" s="6"/>
      <c r="UK299" s="4"/>
      <c r="UL299" s="4"/>
      <c r="UM299" s="4"/>
      <c r="UN299" s="4"/>
      <c r="UO299" s="4"/>
      <c r="UP299" s="5"/>
      <c r="UQ299" s="6"/>
      <c r="UR299" s="4"/>
      <c r="US299" s="4"/>
      <c r="UT299" s="4"/>
      <c r="UU299" s="4"/>
      <c r="UV299" s="4"/>
      <c r="UW299" s="5"/>
      <c r="UX299" s="6"/>
      <c r="UY299" s="4"/>
      <c r="UZ299" s="4"/>
      <c r="VA299" s="4"/>
      <c r="VB299" s="4"/>
      <c r="VC299" s="4"/>
      <c r="VD299" s="5"/>
      <c r="VE299" s="6" t="s">
        <v>2861</v>
      </c>
      <c r="VF299" s="4" t="s">
        <v>2862</v>
      </c>
      <c r="VG299" s="4" t="s">
        <v>1937</v>
      </c>
      <c r="VH299" s="4"/>
      <c r="VI299" s="8">
        <v>37896</v>
      </c>
      <c r="VJ299" s="4"/>
      <c r="VK299" s="5" t="s">
        <v>4090</v>
      </c>
      <c r="VL299" s="6"/>
      <c r="VM299" s="4"/>
      <c r="VN299" s="4"/>
      <c r="VO299" s="4"/>
      <c r="VP299" s="4"/>
      <c r="VQ299" s="4"/>
      <c r="VR299" s="5"/>
      <c r="VS299" s="6"/>
      <c r="VT299" s="4"/>
      <c r="VU299" s="4"/>
      <c r="VV299" s="4"/>
      <c r="VW299" s="4"/>
      <c r="VX299" s="4"/>
      <c r="VY299" s="5"/>
      <c r="VZ299" s="6"/>
      <c r="WA299" s="4"/>
      <c r="WB299" s="4"/>
      <c r="WC299" s="4"/>
      <c r="WD299" s="4"/>
      <c r="WE299" s="4"/>
      <c r="WF299" s="5"/>
      <c r="WG299" s="6"/>
      <c r="WH299" s="4"/>
      <c r="WI299" s="4"/>
      <c r="WJ299" s="4"/>
      <c r="WK299" s="4"/>
      <c r="WL299" s="4"/>
      <c r="WM299" s="5"/>
      <c r="WN299" s="6"/>
      <c r="WO299" s="4"/>
      <c r="WP299" s="4"/>
      <c r="WQ299" s="4"/>
      <c r="WR299" s="4"/>
      <c r="WS299" s="4"/>
      <c r="WT299" s="5"/>
      <c r="WU299" s="6"/>
      <c r="WV299" s="4"/>
      <c r="WW299" s="4"/>
      <c r="WX299" s="4"/>
      <c r="WY299" s="4"/>
      <c r="WZ299" s="4"/>
      <c r="XA299" s="5"/>
      <c r="XB299" s="6"/>
      <c r="XC299" s="4"/>
      <c r="XD299" s="4"/>
      <c r="XE299" s="4"/>
      <c r="XF299" s="4"/>
      <c r="XG299" s="4"/>
      <c r="XH299" s="5"/>
      <c r="XI299" s="6"/>
      <c r="XJ299" s="4"/>
      <c r="XK299" s="4"/>
      <c r="XL299" s="4"/>
      <c r="XM299" s="4"/>
      <c r="XN299" s="4"/>
      <c r="XO299" s="5"/>
      <c r="XP299" s="6"/>
      <c r="XQ299" s="4"/>
      <c r="XR299" s="4"/>
      <c r="XS299" s="4"/>
      <c r="XT299" s="4"/>
      <c r="XU299" s="4"/>
      <c r="XV299" s="5"/>
      <c r="XW299" s="6"/>
      <c r="XX299" s="4"/>
      <c r="XY299" s="4"/>
      <c r="XZ299" s="4"/>
      <c r="YA299" s="4"/>
      <c r="YB299" s="4"/>
      <c r="YC299" s="5"/>
      <c r="YD299" s="6"/>
      <c r="YE299" s="4"/>
      <c r="YF299" s="4"/>
      <c r="YG299" s="4"/>
      <c r="YH299" s="4"/>
      <c r="YI299" s="4"/>
      <c r="YJ299" s="5"/>
      <c r="YK299" s="6" t="s">
        <v>1905</v>
      </c>
      <c r="YL299" s="4" t="s">
        <v>2244</v>
      </c>
      <c r="YM299" s="4"/>
      <c r="YN299" s="4"/>
      <c r="YO299" s="8"/>
      <c r="YP299" s="4"/>
      <c r="YQ299" s="5"/>
      <c r="YR299" s="6"/>
      <c r="YS299" s="4"/>
      <c r="YT299" s="4"/>
      <c r="YU299" s="4"/>
      <c r="YV299" s="4"/>
      <c r="YW299" s="4"/>
      <c r="YX299" s="5"/>
      <c r="YY299" s="6"/>
      <c r="YZ299" s="4"/>
      <c r="ZA299" s="4"/>
      <c r="ZB299" s="4"/>
      <c r="ZC299" s="4"/>
      <c r="ZD299" s="4"/>
      <c r="ZE299" s="5"/>
      <c r="ZF299" s="6"/>
      <c r="ZG299" s="4"/>
      <c r="ZH299" s="4"/>
      <c r="ZI299" s="4"/>
      <c r="ZJ299" s="4"/>
      <c r="ZK299" s="4"/>
      <c r="ZL299" s="5"/>
      <c r="ZM299" s="6"/>
      <c r="ZN299" s="4"/>
      <c r="ZO299" s="4"/>
      <c r="ZP299" s="4"/>
      <c r="ZQ299" s="4"/>
      <c r="ZR299" s="4"/>
      <c r="ZS299" s="5"/>
      <c r="ZT299" s="6"/>
      <c r="ZU299" s="4"/>
      <c r="ZV299" s="4"/>
      <c r="ZW299" s="4"/>
      <c r="ZX299" s="4"/>
      <c r="ZY299" s="4"/>
      <c r="ZZ299" s="5"/>
      <c r="AAA299" s="6"/>
      <c r="AAB299" s="4"/>
      <c r="AAC299" s="4"/>
      <c r="AAD299" s="4"/>
      <c r="AAE299" s="4"/>
      <c r="AAF299" s="4"/>
      <c r="AAG299" s="5"/>
      <c r="AAH299" s="6"/>
      <c r="AAI299" s="4"/>
      <c r="AAJ299" s="4"/>
      <c r="AAK299" s="4"/>
      <c r="AAL299" s="4"/>
      <c r="AAM299" s="4"/>
      <c r="AAN299" s="5"/>
      <c r="AAO299" s="6"/>
      <c r="AAP299" s="4"/>
      <c r="AAQ299" s="4"/>
      <c r="AAR299" s="4"/>
      <c r="AAS299" s="4"/>
      <c r="AAT299" s="4"/>
      <c r="AAU299" s="5"/>
      <c r="AAV299" s="6"/>
      <c r="AAW299" s="4"/>
      <c r="AAX299" s="4"/>
      <c r="AAY299" s="4"/>
      <c r="AAZ299" s="4"/>
      <c r="ABA299" s="4"/>
      <c r="ABB299" s="5"/>
      <c r="ABC299" s="6" t="s">
        <v>1586</v>
      </c>
      <c r="ABD299" s="4" t="s">
        <v>1587</v>
      </c>
      <c r="ABE299" s="4"/>
      <c r="ABF299" s="4"/>
      <c r="ABG299" s="8">
        <v>37905</v>
      </c>
      <c r="ABH299" s="4"/>
      <c r="ABI299" s="5"/>
      <c r="ABJ299" s="6" t="s">
        <v>2009</v>
      </c>
      <c r="ABK299" s="4" t="s">
        <v>2010</v>
      </c>
      <c r="ABL299" s="4"/>
      <c r="ABM299" s="4"/>
      <c r="ABN299" s="8">
        <v>37896</v>
      </c>
      <c r="ABO299" s="4"/>
      <c r="ABP299" s="5"/>
      <c r="ABQ299" s="6"/>
      <c r="ABR299" s="4"/>
      <c r="ABS299" s="4"/>
      <c r="ABT299" s="4"/>
      <c r="ABU299" s="4"/>
      <c r="ABV299" s="4"/>
      <c r="ABW299" s="5"/>
      <c r="ABX299" s="6"/>
      <c r="ABY299" s="4"/>
      <c r="ABZ299" s="4"/>
      <c r="ACA299" s="4"/>
      <c r="ACB299" s="4"/>
      <c r="ACC299" s="4"/>
      <c r="ACD299" s="5"/>
      <c r="ACE299" s="6"/>
      <c r="ACF299" s="4"/>
      <c r="ACG299" s="4"/>
      <c r="ACH299" s="4"/>
      <c r="ACI299" s="4"/>
      <c r="ACJ299" s="4"/>
      <c r="ACK299" s="5"/>
      <c r="ACL299" s="6"/>
      <c r="ACM299" s="4"/>
      <c r="ACN299" s="4"/>
      <c r="ACO299" s="4"/>
      <c r="ACP299" s="4"/>
      <c r="ACQ299" s="4"/>
      <c r="ACR299" s="5"/>
      <c r="ACS299" s="6"/>
      <c r="ACT299" s="4"/>
      <c r="ACU299" s="4"/>
      <c r="ACV299" s="4"/>
      <c r="ACW299" s="4"/>
      <c r="ACX299" s="4"/>
      <c r="ACY299" s="5"/>
    </row>
    <row r="300" spans="2:805" x14ac:dyDescent="0.25">
      <c r="J300" s="12"/>
      <c r="K300" s="12"/>
      <c r="L300" s="12"/>
      <c r="LL300" s="6"/>
      <c r="LM300" s="4"/>
      <c r="LN300" s="4"/>
      <c r="LO300" s="4"/>
      <c r="LP300" s="4"/>
      <c r="LQ300" s="4"/>
      <c r="LR300" s="5"/>
      <c r="LS300" s="6"/>
      <c r="LT300" s="4"/>
      <c r="LU300" s="4"/>
      <c r="LV300" s="4"/>
      <c r="LW300" s="4"/>
      <c r="LX300" s="4"/>
      <c r="LY300" s="5"/>
      <c r="LZ300" s="6" t="s">
        <v>3064</v>
      </c>
      <c r="MA300" s="7" t="s">
        <v>3065</v>
      </c>
      <c r="MB300" s="4" t="s">
        <v>3958</v>
      </c>
      <c r="MC300" s="4"/>
      <c r="MD300" s="4"/>
      <c r="ME300" s="4"/>
      <c r="MF300" s="4"/>
      <c r="MG300" s="5" t="s">
        <v>3949</v>
      </c>
      <c r="MH300" s="6"/>
      <c r="MI300" s="4"/>
      <c r="MJ300" s="4"/>
      <c r="MK300" s="4"/>
      <c r="ML300" s="4"/>
      <c r="MM300" s="4"/>
      <c r="MN300" s="5"/>
      <c r="MO300" s="6"/>
      <c r="MP300" s="4"/>
      <c r="MQ300" s="4"/>
      <c r="MR300" s="4"/>
      <c r="MS300" s="4"/>
      <c r="MT300" s="4"/>
      <c r="MU300" s="5"/>
      <c r="MV300" s="6"/>
      <c r="MW300" s="4"/>
      <c r="MX300" s="4"/>
      <c r="MY300" s="4"/>
      <c r="MZ300" s="4"/>
      <c r="NA300" s="4"/>
      <c r="NB300" s="5"/>
      <c r="NC300" s="6" t="s">
        <v>1640</v>
      </c>
      <c r="ND300" s="7" t="s">
        <v>1734</v>
      </c>
      <c r="NE300" s="7" t="s">
        <v>1731</v>
      </c>
      <c r="NF300" s="4"/>
      <c r="NG300" s="4"/>
      <c r="NH300" s="4"/>
      <c r="NI300" s="5" t="s">
        <v>4109</v>
      </c>
      <c r="NJ300" s="6"/>
      <c r="NK300" s="4"/>
      <c r="NL300" s="4"/>
      <c r="NM300" s="4"/>
      <c r="NN300" s="4"/>
      <c r="NO300" s="4"/>
      <c r="NP300" s="5"/>
      <c r="NQ300" s="6"/>
      <c r="NR300" s="4"/>
      <c r="NS300" s="4"/>
      <c r="NT300" s="4"/>
      <c r="NU300" s="4"/>
      <c r="NV300" s="4"/>
      <c r="NW300" s="5"/>
      <c r="NX300" s="6"/>
      <c r="NY300" s="4"/>
      <c r="NZ300" s="4"/>
      <c r="OA300" s="4"/>
      <c r="OB300" s="4"/>
      <c r="OC300" s="4"/>
      <c r="OD300" s="5"/>
      <c r="OE300" s="6"/>
      <c r="OF300" s="4"/>
      <c r="OG300" s="4"/>
      <c r="OH300" s="4"/>
      <c r="OI300" s="4"/>
      <c r="OJ300" s="4"/>
      <c r="OK300" s="5"/>
      <c r="OL300" s="6"/>
      <c r="OM300" s="4"/>
      <c r="ON300" s="4"/>
      <c r="OO300" s="4"/>
      <c r="OP300" s="4"/>
      <c r="OQ300" s="4"/>
      <c r="OR300" s="5"/>
      <c r="OS300" s="6"/>
      <c r="OT300" s="4"/>
      <c r="OU300" s="4"/>
      <c r="OV300" s="4"/>
      <c r="OW300" s="4"/>
      <c r="OX300" s="4"/>
      <c r="OY300" s="5"/>
      <c r="OZ300" s="6"/>
      <c r="PA300" s="4"/>
      <c r="PB300" s="4"/>
      <c r="PC300" s="4"/>
      <c r="PD300" s="4"/>
      <c r="PE300" s="4"/>
      <c r="PF300" s="5"/>
      <c r="PG300" s="6"/>
      <c r="PH300" s="4"/>
      <c r="PI300" s="4"/>
      <c r="PJ300" s="4"/>
      <c r="PK300" s="4"/>
      <c r="PL300" s="4"/>
      <c r="PM300" s="5"/>
      <c r="PN300" s="6"/>
      <c r="PO300" s="4"/>
      <c r="PP300" s="4"/>
      <c r="PQ300" s="4"/>
      <c r="PR300" s="4"/>
      <c r="PS300" s="4"/>
      <c r="PT300" s="5"/>
      <c r="PU300" s="6"/>
      <c r="PV300" s="4"/>
      <c r="PW300" s="4"/>
      <c r="PX300" s="4"/>
      <c r="PY300" s="4"/>
      <c r="PZ300" s="4"/>
      <c r="QA300" s="5"/>
      <c r="QB300" s="6"/>
      <c r="QC300" s="4"/>
      <c r="QD300" s="4"/>
      <c r="QE300" s="4"/>
      <c r="QF300" s="4"/>
      <c r="QG300" s="4"/>
      <c r="QH300" s="5"/>
      <c r="QI300" s="6"/>
      <c r="QJ300" s="4"/>
      <c r="QK300" s="4"/>
      <c r="QL300" s="4"/>
      <c r="QM300" s="4"/>
      <c r="QN300" s="4"/>
      <c r="QO300" s="5"/>
      <c r="QP300" s="6"/>
      <c r="QQ300" s="4"/>
      <c r="QR300" s="4"/>
      <c r="QS300" s="4"/>
      <c r="QT300" s="4"/>
      <c r="QU300" s="4"/>
      <c r="QV300" s="5"/>
      <c r="QW300" s="6"/>
      <c r="QX300" s="4"/>
      <c r="QY300" s="4"/>
      <c r="QZ300" s="4"/>
      <c r="RA300" s="4"/>
      <c r="RB300" s="4"/>
      <c r="RC300" s="5"/>
      <c r="RD300" s="6"/>
      <c r="RE300" s="4"/>
      <c r="RF300" s="4"/>
      <c r="RG300" s="4"/>
      <c r="RH300" s="4"/>
      <c r="RI300" s="4"/>
      <c r="RJ300" s="5"/>
      <c r="RK300" s="6"/>
      <c r="RL300" s="4"/>
      <c r="RM300" s="4"/>
      <c r="RN300" s="4"/>
      <c r="RO300" s="4"/>
      <c r="RP300" s="4"/>
      <c r="RQ300" s="5"/>
      <c r="RR300" s="6"/>
      <c r="RS300" s="4"/>
      <c r="RT300" s="4"/>
      <c r="RU300" s="4"/>
      <c r="RV300" s="4"/>
      <c r="RW300" s="4"/>
      <c r="RX300" s="5"/>
      <c r="RY300" s="6"/>
      <c r="RZ300" s="4"/>
      <c r="SA300" s="4"/>
      <c r="SB300" s="4"/>
      <c r="SC300" s="4"/>
      <c r="SD300" s="4"/>
      <c r="SE300" s="5"/>
      <c r="SF300" s="6"/>
      <c r="SG300" s="4"/>
      <c r="SH300" s="4"/>
      <c r="SI300" s="4"/>
      <c r="SJ300" s="4"/>
      <c r="SK300" s="4"/>
      <c r="SL300" s="5"/>
      <c r="SM300" s="6"/>
      <c r="SN300" s="4"/>
      <c r="SO300" s="4"/>
      <c r="SP300" s="4"/>
      <c r="SQ300" s="4"/>
      <c r="SR300" s="4"/>
      <c r="SS300" s="5"/>
      <c r="ST300" s="6"/>
      <c r="SU300" s="4"/>
      <c r="SV300" s="4"/>
      <c r="SW300" s="4"/>
      <c r="SX300" s="4"/>
      <c r="SY300" s="4"/>
      <c r="SZ300" s="5"/>
      <c r="TA300" s="6"/>
      <c r="TB300" s="4"/>
      <c r="TC300" s="4"/>
      <c r="TD300" s="4"/>
      <c r="TE300" s="4"/>
      <c r="TF300" s="4"/>
      <c r="TG300" s="5"/>
      <c r="TH300" s="6"/>
      <c r="TI300" s="4"/>
      <c r="TJ300" s="4"/>
      <c r="TK300" s="4"/>
      <c r="TL300" s="4"/>
      <c r="TM300" s="4"/>
      <c r="TN300" s="5"/>
      <c r="TO300" s="6"/>
      <c r="TP300" s="4"/>
      <c r="TQ300" s="4"/>
      <c r="TR300" s="4"/>
      <c r="TS300" s="4"/>
      <c r="TT300" s="4"/>
      <c r="TU300" s="5"/>
      <c r="TV300" s="6"/>
      <c r="TW300" s="4"/>
      <c r="TX300" s="4"/>
      <c r="TY300" s="4"/>
      <c r="TZ300" s="4"/>
      <c r="UA300" s="4"/>
      <c r="UB300" s="5"/>
      <c r="UC300" s="6"/>
      <c r="UD300" s="4"/>
      <c r="UE300" s="4"/>
      <c r="UF300" s="4"/>
      <c r="UG300" s="4"/>
      <c r="UH300" s="4"/>
      <c r="UI300" s="5"/>
      <c r="UJ300" s="6"/>
      <c r="UK300" s="4"/>
      <c r="UL300" s="4"/>
      <c r="UM300" s="4"/>
      <c r="UN300" s="4"/>
      <c r="UO300" s="4"/>
      <c r="UP300" s="5"/>
      <c r="UQ300" s="6"/>
      <c r="UR300" s="4"/>
      <c r="US300" s="4"/>
      <c r="UT300" s="4"/>
      <c r="UU300" s="4"/>
      <c r="UV300" s="4"/>
      <c r="UW300" s="5"/>
      <c r="UX300" s="6"/>
      <c r="UY300" s="4"/>
      <c r="UZ300" s="4"/>
      <c r="VA300" s="4"/>
      <c r="VB300" s="4"/>
      <c r="VC300" s="4"/>
      <c r="VD300" s="5"/>
      <c r="VE300" s="6" t="s">
        <v>2861</v>
      </c>
      <c r="VF300" s="4" t="s">
        <v>2862</v>
      </c>
      <c r="VG300" s="4" t="s">
        <v>1739</v>
      </c>
      <c r="VH300" s="4"/>
      <c r="VI300" s="4"/>
      <c r="VJ300" s="4"/>
      <c r="VK300" s="5" t="s">
        <v>4091</v>
      </c>
      <c r="VL300" s="6"/>
      <c r="VM300" s="4"/>
      <c r="VN300" s="4"/>
      <c r="VO300" s="4"/>
      <c r="VP300" s="4"/>
      <c r="VQ300" s="4"/>
      <c r="VR300" s="5"/>
      <c r="VS300" s="6"/>
      <c r="VT300" s="4"/>
      <c r="VU300" s="4"/>
      <c r="VV300" s="4"/>
      <c r="VW300" s="4"/>
      <c r="VX300" s="4"/>
      <c r="VY300" s="5"/>
      <c r="VZ300" s="6"/>
      <c r="WA300" s="4"/>
      <c r="WB300" s="4"/>
      <c r="WC300" s="4"/>
      <c r="WD300" s="4"/>
      <c r="WE300" s="4"/>
      <c r="WF300" s="5"/>
      <c r="WG300" s="6"/>
      <c r="WH300" s="4"/>
      <c r="WI300" s="4"/>
      <c r="WJ300" s="4"/>
      <c r="WK300" s="4"/>
      <c r="WL300" s="4"/>
      <c r="WM300" s="5"/>
      <c r="WN300" s="6"/>
      <c r="WO300" s="4"/>
      <c r="WP300" s="4"/>
      <c r="WQ300" s="4"/>
      <c r="WR300" s="4"/>
      <c r="WS300" s="4"/>
      <c r="WT300" s="5"/>
      <c r="WU300" s="6"/>
      <c r="WV300" s="4"/>
      <c r="WW300" s="4"/>
      <c r="WX300" s="4"/>
      <c r="WY300" s="4"/>
      <c r="WZ300" s="4"/>
      <c r="XA300" s="5"/>
      <c r="XB300" s="6"/>
      <c r="XC300" s="4"/>
      <c r="XD300" s="4"/>
      <c r="XE300" s="4"/>
      <c r="XF300" s="4"/>
      <c r="XG300" s="4"/>
      <c r="XH300" s="5"/>
      <c r="XI300" s="6"/>
      <c r="XJ300" s="4"/>
      <c r="XK300" s="4"/>
      <c r="XL300" s="4"/>
      <c r="XM300" s="4"/>
      <c r="XN300" s="4"/>
      <c r="XO300" s="5"/>
      <c r="XP300" s="6"/>
      <c r="XQ300" s="4"/>
      <c r="XR300" s="4"/>
      <c r="XS300" s="4"/>
      <c r="XT300" s="4"/>
      <c r="XU300" s="4"/>
      <c r="XV300" s="5"/>
      <c r="XW300" s="6"/>
      <c r="XX300" s="4"/>
      <c r="XY300" s="4"/>
      <c r="XZ300" s="4"/>
      <c r="YA300" s="4"/>
      <c r="YB300" s="4"/>
      <c r="YC300" s="5"/>
      <c r="YD300" s="6"/>
      <c r="YE300" s="4"/>
      <c r="YF300" s="4"/>
      <c r="YG300" s="4"/>
      <c r="YH300" s="4"/>
      <c r="YI300" s="4"/>
      <c r="YJ300" s="5"/>
      <c r="YK300" s="6" t="s">
        <v>2930</v>
      </c>
      <c r="YL300" s="4" t="s">
        <v>2796</v>
      </c>
      <c r="YM300" s="4"/>
      <c r="YN300" s="4"/>
      <c r="YO300" s="8"/>
      <c r="YP300" s="4"/>
      <c r="YQ300" s="5" t="s">
        <v>4093</v>
      </c>
      <c r="YR300" s="6"/>
      <c r="YS300" s="4"/>
      <c r="YT300" s="4"/>
      <c r="YU300" s="4"/>
      <c r="YV300" s="4"/>
      <c r="YW300" s="4"/>
      <c r="YX300" s="5"/>
      <c r="YY300" s="6"/>
      <c r="YZ300" s="4"/>
      <c r="ZA300" s="4"/>
      <c r="ZB300" s="4"/>
      <c r="ZC300" s="4"/>
      <c r="ZD300" s="4"/>
      <c r="ZE300" s="5"/>
      <c r="ZF300" s="6"/>
      <c r="ZG300" s="4"/>
      <c r="ZH300" s="4"/>
      <c r="ZI300" s="4"/>
      <c r="ZJ300" s="4"/>
      <c r="ZK300" s="4"/>
      <c r="ZL300" s="5"/>
      <c r="ZM300" s="6"/>
      <c r="ZN300" s="4"/>
      <c r="ZO300" s="4"/>
      <c r="ZP300" s="4"/>
      <c r="ZQ300" s="4"/>
      <c r="ZR300" s="4"/>
      <c r="ZS300" s="5"/>
      <c r="ZT300" s="6"/>
      <c r="ZU300" s="4"/>
      <c r="ZV300" s="4"/>
      <c r="ZW300" s="4"/>
      <c r="ZX300" s="4"/>
      <c r="ZY300" s="4"/>
      <c r="ZZ300" s="5"/>
      <c r="AAA300" s="6"/>
      <c r="AAB300" s="4"/>
      <c r="AAC300" s="4"/>
      <c r="AAD300" s="4"/>
      <c r="AAE300" s="4"/>
      <c r="AAF300" s="4"/>
      <c r="AAG300" s="5"/>
      <c r="AAH300" s="6"/>
      <c r="AAI300" s="4"/>
      <c r="AAJ300" s="4"/>
      <c r="AAK300" s="4"/>
      <c r="AAL300" s="4"/>
      <c r="AAM300" s="4"/>
      <c r="AAN300" s="5"/>
      <c r="AAO300" s="6"/>
      <c r="AAP300" s="4"/>
      <c r="AAQ300" s="4"/>
      <c r="AAR300" s="4"/>
      <c r="AAS300" s="4"/>
      <c r="AAT300" s="4"/>
      <c r="AAU300" s="5"/>
      <c r="AAV300" s="6"/>
      <c r="AAW300" s="4"/>
      <c r="AAX300" s="4"/>
      <c r="AAY300" s="4"/>
      <c r="AAZ300" s="4"/>
      <c r="ABA300" s="4"/>
      <c r="ABB300" s="5"/>
      <c r="ABC300" s="6"/>
      <c r="ABD300" s="4"/>
      <c r="ABE300" s="4"/>
      <c r="ABF300" s="4"/>
      <c r="ABG300" s="8"/>
      <c r="ABH300" s="4"/>
      <c r="ABI300" s="5"/>
      <c r="ABJ300" s="6"/>
      <c r="ABK300" s="4"/>
      <c r="ABL300" s="4"/>
      <c r="ABM300" s="4"/>
      <c r="ABN300" s="4"/>
      <c r="ABO300" s="4"/>
      <c r="ABP300" s="5"/>
      <c r="ABQ300" s="6"/>
      <c r="ABR300" s="4"/>
      <c r="ABS300" s="4"/>
      <c r="ABT300" s="4"/>
      <c r="ABU300" s="4"/>
      <c r="ABV300" s="4"/>
      <c r="ABW300" s="5"/>
      <c r="ABX300" s="6"/>
      <c r="ABY300" s="4"/>
      <c r="ABZ300" s="4"/>
      <c r="ACA300" s="4"/>
      <c r="ACB300" s="4"/>
      <c r="ACC300" s="4"/>
      <c r="ACD300" s="5"/>
      <c r="ACE300" s="6"/>
      <c r="ACF300" s="4"/>
      <c r="ACG300" s="4"/>
      <c r="ACH300" s="4"/>
      <c r="ACI300" s="4"/>
      <c r="ACJ300" s="4"/>
      <c r="ACK300" s="5"/>
      <c r="ACL300" s="6"/>
      <c r="ACM300" s="4"/>
      <c r="ACN300" s="4"/>
      <c r="ACO300" s="4"/>
      <c r="ACP300" s="4"/>
      <c r="ACQ300" s="4"/>
      <c r="ACR300" s="5"/>
      <c r="ACS300" s="6"/>
      <c r="ACT300" s="4"/>
      <c r="ACU300" s="4"/>
      <c r="ACV300" s="4"/>
      <c r="ACW300" s="4"/>
      <c r="ACX300" s="4"/>
      <c r="ACY300" s="5"/>
    </row>
    <row r="301" spans="2:805" x14ac:dyDescent="0.25">
      <c r="J301" s="12"/>
      <c r="K301" s="12"/>
      <c r="L301" s="12"/>
      <c r="LL301" s="6"/>
      <c r="LM301" s="4"/>
      <c r="LN301" s="4"/>
      <c r="LO301" s="4"/>
      <c r="LP301" s="4"/>
      <c r="LQ301" s="4"/>
      <c r="LR301" s="5"/>
      <c r="LS301" s="6"/>
      <c r="LT301" s="4"/>
      <c r="LU301" s="4"/>
      <c r="LV301" s="4"/>
      <c r="LW301" s="4"/>
      <c r="LX301" s="4"/>
      <c r="LY301" s="5"/>
      <c r="LZ301" s="6"/>
      <c r="MA301" s="4"/>
      <c r="MB301" s="4"/>
      <c r="MC301" s="4"/>
      <c r="MD301" s="4"/>
      <c r="ME301" s="4"/>
      <c r="MF301" s="4"/>
      <c r="MG301" s="5"/>
      <c r="MH301" s="6"/>
      <c r="MI301" s="4"/>
      <c r="MJ301" s="4"/>
      <c r="MK301" s="4"/>
      <c r="ML301" s="4"/>
      <c r="MM301" s="4"/>
      <c r="MN301" s="5"/>
      <c r="MO301" s="6"/>
      <c r="MP301" s="4"/>
      <c r="MQ301" s="4"/>
      <c r="MR301" s="4"/>
      <c r="MS301" s="4"/>
      <c r="MT301" s="4"/>
      <c r="MU301" s="5"/>
      <c r="MV301" s="6"/>
      <c r="MW301" s="4"/>
      <c r="MX301" s="4"/>
      <c r="MY301" s="4"/>
      <c r="MZ301" s="4"/>
      <c r="NA301" s="4"/>
      <c r="NB301" s="5"/>
      <c r="NC301" s="6" t="s">
        <v>2870</v>
      </c>
      <c r="ND301" s="4" t="s">
        <v>2871</v>
      </c>
      <c r="NE301" s="7" t="s">
        <v>3964</v>
      </c>
      <c r="NF301" s="4"/>
      <c r="NG301" s="4"/>
      <c r="NH301" s="4"/>
      <c r="NI301" s="5" t="s">
        <v>4109</v>
      </c>
      <c r="NJ301" s="6"/>
      <c r="NK301" s="4"/>
      <c r="NL301" s="4"/>
      <c r="NM301" s="4"/>
      <c r="NN301" s="4"/>
      <c r="NO301" s="4"/>
      <c r="NP301" s="5"/>
      <c r="NQ301" s="6"/>
      <c r="NR301" s="4"/>
      <c r="NS301" s="4"/>
      <c r="NT301" s="4"/>
      <c r="NU301" s="4"/>
      <c r="NV301" s="4"/>
      <c r="NW301" s="5"/>
      <c r="NX301" s="6"/>
      <c r="NY301" s="4"/>
      <c r="NZ301" s="4"/>
      <c r="OA301" s="4"/>
      <c r="OB301" s="4"/>
      <c r="OC301" s="4"/>
      <c r="OD301" s="5"/>
      <c r="OE301" s="6"/>
      <c r="OF301" s="4"/>
      <c r="OG301" s="4"/>
      <c r="OH301" s="4"/>
      <c r="OI301" s="4"/>
      <c r="OJ301" s="4"/>
      <c r="OK301" s="5"/>
      <c r="OL301" s="6"/>
      <c r="OM301" s="4"/>
      <c r="ON301" s="4"/>
      <c r="OO301" s="4"/>
      <c r="OP301" s="4"/>
      <c r="OQ301" s="4"/>
      <c r="OR301" s="5"/>
      <c r="OS301" s="6"/>
      <c r="OT301" s="4"/>
      <c r="OU301" s="4"/>
      <c r="OV301" s="4"/>
      <c r="OW301" s="4"/>
      <c r="OX301" s="4"/>
      <c r="OY301" s="5"/>
      <c r="OZ301" s="6"/>
      <c r="PA301" s="4"/>
      <c r="PB301" s="4"/>
      <c r="PC301" s="4"/>
      <c r="PD301" s="4"/>
      <c r="PE301" s="4"/>
      <c r="PF301" s="5"/>
      <c r="PG301" s="6"/>
      <c r="PH301" s="4"/>
      <c r="PI301" s="4"/>
      <c r="PJ301" s="4"/>
      <c r="PK301" s="4"/>
      <c r="PL301" s="4"/>
      <c r="PM301" s="5"/>
      <c r="PN301" s="6"/>
      <c r="PO301" s="4"/>
      <c r="PP301" s="4"/>
      <c r="PQ301" s="4"/>
      <c r="PR301" s="4"/>
      <c r="PS301" s="4"/>
      <c r="PT301" s="5"/>
      <c r="PU301" s="6"/>
      <c r="PV301" s="4"/>
      <c r="PW301" s="4"/>
      <c r="PX301" s="4"/>
      <c r="PY301" s="4"/>
      <c r="PZ301" s="4"/>
      <c r="QA301" s="5"/>
      <c r="QB301" s="6"/>
      <c r="QC301" s="4"/>
      <c r="QD301" s="4"/>
      <c r="QE301" s="4"/>
      <c r="QF301" s="4"/>
      <c r="QG301" s="4"/>
      <c r="QH301" s="5"/>
      <c r="QI301" s="6"/>
      <c r="QJ301" s="4"/>
      <c r="QK301" s="4"/>
      <c r="QL301" s="4"/>
      <c r="QM301" s="4"/>
      <c r="QN301" s="4"/>
      <c r="QO301" s="5"/>
      <c r="QP301" s="6"/>
      <c r="QQ301" s="4"/>
      <c r="QR301" s="4"/>
      <c r="QS301" s="4"/>
      <c r="QT301" s="4"/>
      <c r="QU301" s="4"/>
      <c r="QV301" s="5"/>
      <c r="QW301" s="6"/>
      <c r="QX301" s="4"/>
      <c r="QY301" s="4"/>
      <c r="QZ301" s="4"/>
      <c r="RA301" s="4"/>
      <c r="RB301" s="4"/>
      <c r="RC301" s="5"/>
      <c r="RD301" s="6"/>
      <c r="RE301" s="4"/>
      <c r="RF301" s="4"/>
      <c r="RG301" s="4"/>
      <c r="RH301" s="4"/>
      <c r="RI301" s="4"/>
      <c r="RJ301" s="5"/>
      <c r="RK301" s="6"/>
      <c r="RL301" s="4"/>
      <c r="RM301" s="4"/>
      <c r="RN301" s="4"/>
      <c r="RO301" s="4"/>
      <c r="RP301" s="4"/>
      <c r="RQ301" s="5"/>
      <c r="RR301" s="6"/>
      <c r="RS301" s="4"/>
      <c r="RT301" s="4"/>
      <c r="RU301" s="4"/>
      <c r="RV301" s="4"/>
      <c r="RW301" s="4"/>
      <c r="RX301" s="5"/>
      <c r="RY301" s="6"/>
      <c r="RZ301" s="4"/>
      <c r="SA301" s="4"/>
      <c r="SB301" s="4"/>
      <c r="SC301" s="4"/>
      <c r="SD301" s="4"/>
      <c r="SE301" s="5"/>
      <c r="SF301" s="6"/>
      <c r="SG301" s="4"/>
      <c r="SH301" s="4"/>
      <c r="SI301" s="4"/>
      <c r="SJ301" s="4"/>
      <c r="SK301" s="4"/>
      <c r="SL301" s="5"/>
      <c r="SM301" s="6"/>
      <c r="SN301" s="4"/>
      <c r="SO301" s="4"/>
      <c r="SP301" s="4"/>
      <c r="SQ301" s="4"/>
      <c r="SR301" s="4"/>
      <c r="SS301" s="5"/>
      <c r="ST301" s="6"/>
      <c r="SU301" s="4"/>
      <c r="SV301" s="4"/>
      <c r="SW301" s="4"/>
      <c r="SX301" s="4"/>
      <c r="SY301" s="4"/>
      <c r="SZ301" s="5"/>
      <c r="TA301" s="6"/>
      <c r="TB301" s="4"/>
      <c r="TC301" s="4"/>
      <c r="TD301" s="4"/>
      <c r="TE301" s="4"/>
      <c r="TF301" s="4"/>
      <c r="TG301" s="5"/>
      <c r="TH301" s="6"/>
      <c r="TI301" s="4"/>
      <c r="TJ301" s="4"/>
      <c r="TK301" s="4"/>
      <c r="TL301" s="4"/>
      <c r="TM301" s="4"/>
      <c r="TN301" s="5"/>
      <c r="TO301" s="6"/>
      <c r="TP301" s="4"/>
      <c r="TQ301" s="4"/>
      <c r="TR301" s="4"/>
      <c r="TS301" s="4"/>
      <c r="TT301" s="4"/>
      <c r="TU301" s="5"/>
      <c r="TV301" s="6"/>
      <c r="TW301" s="4"/>
      <c r="TX301" s="4"/>
      <c r="TY301" s="4"/>
      <c r="TZ301" s="4"/>
      <c r="UA301" s="4"/>
      <c r="UB301" s="5"/>
      <c r="UC301" s="6"/>
      <c r="UD301" s="4"/>
      <c r="UE301" s="4"/>
      <c r="UF301" s="4"/>
      <c r="UG301" s="4"/>
      <c r="UH301" s="4"/>
      <c r="UI301" s="5"/>
      <c r="UJ301" s="6"/>
      <c r="UK301" s="4"/>
      <c r="UL301" s="4"/>
      <c r="UM301" s="4"/>
      <c r="UN301" s="4"/>
      <c r="UO301" s="4"/>
      <c r="UP301" s="5"/>
      <c r="UQ301" s="6"/>
      <c r="UR301" s="4"/>
      <c r="US301" s="4"/>
      <c r="UT301" s="4"/>
      <c r="UU301" s="4"/>
      <c r="UV301" s="4"/>
      <c r="UW301" s="5"/>
      <c r="UX301" s="6"/>
      <c r="UY301" s="4"/>
      <c r="UZ301" s="4"/>
      <c r="VA301" s="4"/>
      <c r="VB301" s="4"/>
      <c r="VC301" s="4"/>
      <c r="VD301" s="5"/>
      <c r="VE301" s="6"/>
      <c r="VF301" s="4"/>
      <c r="VG301" s="4"/>
      <c r="VH301" s="4"/>
      <c r="VI301" s="4"/>
      <c r="VJ301" s="4"/>
      <c r="VK301" s="5"/>
      <c r="VL301" s="6"/>
      <c r="VM301" s="4"/>
      <c r="VN301" s="4"/>
      <c r="VO301" s="4"/>
      <c r="VP301" s="4"/>
      <c r="VQ301" s="4"/>
      <c r="VR301" s="5"/>
      <c r="VS301" s="6"/>
      <c r="VT301" s="4"/>
      <c r="VU301" s="4"/>
      <c r="VV301" s="4"/>
      <c r="VW301" s="4"/>
      <c r="VX301" s="4"/>
      <c r="VY301" s="5"/>
      <c r="VZ301" s="6"/>
      <c r="WA301" s="4"/>
      <c r="WB301" s="4"/>
      <c r="WC301" s="4"/>
      <c r="WD301" s="4"/>
      <c r="WE301" s="4"/>
      <c r="WF301" s="5"/>
      <c r="WG301" s="6"/>
      <c r="WH301" s="4"/>
      <c r="WI301" s="4"/>
      <c r="WJ301" s="4"/>
      <c r="WK301" s="4"/>
      <c r="WL301" s="4"/>
      <c r="WM301" s="5"/>
      <c r="WN301" s="6"/>
      <c r="WO301" s="4"/>
      <c r="WP301" s="4"/>
      <c r="WQ301" s="4"/>
      <c r="WR301" s="4"/>
      <c r="WS301" s="4"/>
      <c r="WT301" s="5"/>
      <c r="WU301" s="6"/>
      <c r="WV301" s="4"/>
      <c r="WW301" s="4"/>
      <c r="WX301" s="4"/>
      <c r="WY301" s="4"/>
      <c r="WZ301" s="4"/>
      <c r="XA301" s="5"/>
      <c r="XB301" s="6"/>
      <c r="XC301" s="4"/>
      <c r="XD301" s="4"/>
      <c r="XE301" s="4"/>
      <c r="XF301" s="4"/>
      <c r="XG301" s="4"/>
      <c r="XH301" s="5"/>
      <c r="XI301" s="6"/>
      <c r="XJ301" s="4"/>
      <c r="XK301" s="4"/>
      <c r="XL301" s="4"/>
      <c r="XM301" s="4"/>
      <c r="XN301" s="4"/>
      <c r="XO301" s="5"/>
      <c r="XP301" s="6"/>
      <c r="XQ301" s="4"/>
      <c r="XR301" s="4"/>
      <c r="XS301" s="4"/>
      <c r="XT301" s="4"/>
      <c r="XU301" s="4"/>
      <c r="XV301" s="5"/>
      <c r="XW301" s="6"/>
      <c r="XX301" s="4"/>
      <c r="XY301" s="4"/>
      <c r="XZ301" s="4"/>
      <c r="YA301" s="4"/>
      <c r="YB301" s="4"/>
      <c r="YC301" s="5"/>
      <c r="YD301" s="6"/>
      <c r="YE301" s="4"/>
      <c r="YF301" s="4"/>
      <c r="YG301" s="4"/>
      <c r="YH301" s="4"/>
      <c r="YI301" s="4"/>
      <c r="YJ301" s="5"/>
      <c r="YK301" s="6" t="s">
        <v>2580</v>
      </c>
      <c r="YL301" s="4" t="s">
        <v>2580</v>
      </c>
      <c r="YM301" s="4" t="s">
        <v>1573</v>
      </c>
      <c r="YN301" s="4"/>
      <c r="YO301" s="8"/>
      <c r="YP301" s="4"/>
      <c r="YQ301" s="5" t="s">
        <v>4163</v>
      </c>
      <c r="YR301" s="6"/>
      <c r="YS301" s="4"/>
      <c r="YT301" s="4"/>
      <c r="YU301" s="4"/>
      <c r="YV301" s="4"/>
      <c r="YW301" s="4"/>
      <c r="YX301" s="5"/>
      <c r="YY301" s="6"/>
      <c r="YZ301" s="4"/>
      <c r="ZA301" s="4"/>
      <c r="ZB301" s="4"/>
      <c r="ZC301" s="4"/>
      <c r="ZD301" s="4"/>
      <c r="ZE301" s="5"/>
      <c r="ZF301" s="6"/>
      <c r="ZG301" s="4"/>
      <c r="ZH301" s="4"/>
      <c r="ZI301" s="4"/>
      <c r="ZJ301" s="4"/>
      <c r="ZK301" s="4"/>
      <c r="ZL301" s="5"/>
      <c r="ZM301" s="6"/>
      <c r="ZN301" s="4"/>
      <c r="ZO301" s="4"/>
      <c r="ZP301" s="4"/>
      <c r="ZQ301" s="4"/>
      <c r="ZR301" s="4"/>
      <c r="ZS301" s="5"/>
      <c r="ZT301" s="6"/>
      <c r="ZU301" s="4"/>
      <c r="ZV301" s="4"/>
      <c r="ZW301" s="4"/>
      <c r="ZX301" s="4"/>
      <c r="ZY301" s="4"/>
      <c r="ZZ301" s="5"/>
      <c r="AAA301" s="6"/>
      <c r="AAB301" s="4"/>
      <c r="AAC301" s="4"/>
      <c r="AAD301" s="4"/>
      <c r="AAE301" s="4"/>
      <c r="AAF301" s="4"/>
      <c r="AAG301" s="5"/>
      <c r="AAH301" s="6"/>
      <c r="AAI301" s="4"/>
      <c r="AAJ301" s="4"/>
      <c r="AAK301" s="4"/>
      <c r="AAL301" s="4"/>
      <c r="AAM301" s="4"/>
      <c r="AAN301" s="5"/>
      <c r="AAO301" s="6"/>
      <c r="AAP301" s="4"/>
      <c r="AAQ301" s="4"/>
      <c r="AAR301" s="4"/>
      <c r="AAS301" s="4"/>
      <c r="AAT301" s="4"/>
      <c r="AAU301" s="5"/>
      <c r="AAV301" s="6"/>
      <c r="AAW301" s="4"/>
      <c r="AAX301" s="4"/>
      <c r="AAY301" s="4"/>
      <c r="AAZ301" s="4"/>
      <c r="ABA301" s="4"/>
      <c r="ABB301" s="5"/>
      <c r="ABC301" s="6"/>
      <c r="ABD301" s="4"/>
      <c r="ABE301" s="4"/>
      <c r="ABF301" s="4"/>
      <c r="ABG301" s="8"/>
      <c r="ABH301" s="4"/>
      <c r="ABI301" s="5"/>
      <c r="ABJ301" s="6"/>
      <c r="ABK301" s="4"/>
      <c r="ABL301" s="4"/>
      <c r="ABM301" s="4"/>
      <c r="ABN301" s="4"/>
      <c r="ABO301" s="4"/>
      <c r="ABP301" s="5"/>
      <c r="ABQ301" s="6"/>
      <c r="ABR301" s="4"/>
      <c r="ABS301" s="4"/>
      <c r="ABT301" s="4"/>
      <c r="ABU301" s="4"/>
      <c r="ABV301" s="4"/>
      <c r="ABW301" s="5"/>
      <c r="ABX301" s="6"/>
      <c r="ABY301" s="4"/>
      <c r="ABZ301" s="4"/>
      <c r="ACA301" s="4"/>
      <c r="ACB301" s="4"/>
      <c r="ACC301" s="4"/>
      <c r="ACD301" s="5"/>
      <c r="ACE301" s="6"/>
      <c r="ACF301" s="4"/>
      <c r="ACG301" s="4"/>
      <c r="ACH301" s="4"/>
      <c r="ACI301" s="4"/>
      <c r="ACJ301" s="4"/>
      <c r="ACK301" s="5"/>
      <c r="ACL301" s="6"/>
      <c r="ACM301" s="4"/>
      <c r="ACN301" s="4"/>
      <c r="ACO301" s="4"/>
      <c r="ACP301" s="4"/>
      <c r="ACQ301" s="4"/>
      <c r="ACR301" s="5"/>
      <c r="ACS301" s="6"/>
      <c r="ACT301" s="4"/>
      <c r="ACU301" s="4"/>
      <c r="ACV301" s="4"/>
      <c r="ACW301" s="4"/>
      <c r="ACX301" s="4"/>
      <c r="ACY301" s="5"/>
    </row>
    <row r="302" spans="2:805" x14ac:dyDescent="0.25">
      <c r="J302" s="12"/>
      <c r="K302" s="12"/>
      <c r="L302" s="12"/>
      <c r="LL302" s="6"/>
      <c r="LM302" s="4"/>
      <c r="LN302" s="4"/>
      <c r="LO302" s="4"/>
      <c r="LP302" s="4"/>
      <c r="LQ302" s="4"/>
      <c r="LR302" s="5"/>
      <c r="LS302" s="6"/>
      <c r="LT302" s="4"/>
      <c r="LU302" s="4"/>
      <c r="LV302" s="4"/>
      <c r="LW302" s="4"/>
      <c r="LX302" s="4"/>
      <c r="LY302" s="5"/>
      <c r="LZ302" s="6"/>
      <c r="MA302" s="4"/>
      <c r="MB302" s="4"/>
      <c r="MC302" s="4"/>
      <c r="MD302" s="4"/>
      <c r="ME302" s="4"/>
      <c r="MF302" s="4"/>
      <c r="MG302" s="5"/>
      <c r="MH302" s="6"/>
      <c r="MI302" s="4"/>
      <c r="MJ302" s="4"/>
      <c r="MK302" s="4"/>
      <c r="ML302" s="4"/>
      <c r="MM302" s="4"/>
      <c r="MN302" s="5"/>
      <c r="MO302" s="6"/>
      <c r="MP302" s="4"/>
      <c r="MQ302" s="4"/>
      <c r="MR302" s="4"/>
      <c r="MS302" s="4"/>
      <c r="MT302" s="4"/>
      <c r="MU302" s="5"/>
      <c r="MV302" s="6"/>
      <c r="MW302" s="4"/>
      <c r="MX302" s="4"/>
      <c r="MY302" s="4"/>
      <c r="MZ302" s="4"/>
      <c r="NA302" s="4"/>
      <c r="NB302" s="5"/>
      <c r="NC302" s="11" t="s">
        <v>1580</v>
      </c>
      <c r="ND302" s="4" t="s">
        <v>1873</v>
      </c>
      <c r="NE302" s="7" t="s">
        <v>1934</v>
      </c>
      <c r="NF302" s="4"/>
      <c r="NG302" s="8">
        <v>37896</v>
      </c>
      <c r="NH302" s="4"/>
      <c r="NI302" s="5" t="s">
        <v>3965</v>
      </c>
      <c r="NJ302" s="6"/>
      <c r="NK302" s="4"/>
      <c r="NL302" s="4"/>
      <c r="NM302" s="4"/>
      <c r="NN302" s="4"/>
      <c r="NO302" s="4"/>
      <c r="NP302" s="5"/>
      <c r="NQ302" s="6"/>
      <c r="NR302" s="4"/>
      <c r="NS302" s="4"/>
      <c r="NT302" s="4"/>
      <c r="NU302" s="4"/>
      <c r="NV302" s="4"/>
      <c r="NW302" s="5"/>
      <c r="NX302" s="6"/>
      <c r="NY302" s="4"/>
      <c r="NZ302" s="4"/>
      <c r="OA302" s="4"/>
      <c r="OB302" s="4"/>
      <c r="OC302" s="4"/>
      <c r="OD302" s="5"/>
      <c r="OE302" s="6"/>
      <c r="OF302" s="4"/>
      <c r="OG302" s="4"/>
      <c r="OH302" s="4"/>
      <c r="OI302" s="4"/>
      <c r="OJ302" s="4"/>
      <c r="OK302" s="5"/>
      <c r="OL302" s="6"/>
      <c r="OM302" s="4"/>
      <c r="ON302" s="4"/>
      <c r="OO302" s="4"/>
      <c r="OP302" s="4"/>
      <c r="OQ302" s="4"/>
      <c r="OR302" s="5"/>
      <c r="OS302" s="6"/>
      <c r="OT302" s="4"/>
      <c r="OU302" s="4"/>
      <c r="OV302" s="4"/>
      <c r="OW302" s="4"/>
      <c r="OX302" s="4"/>
      <c r="OY302" s="5"/>
      <c r="OZ302" s="6"/>
      <c r="PA302" s="4"/>
      <c r="PB302" s="4"/>
      <c r="PC302" s="4"/>
      <c r="PD302" s="4"/>
      <c r="PE302" s="4"/>
      <c r="PF302" s="5"/>
      <c r="PG302" s="6"/>
      <c r="PH302" s="4"/>
      <c r="PI302" s="4"/>
      <c r="PJ302" s="4"/>
      <c r="PK302" s="4"/>
      <c r="PL302" s="4"/>
      <c r="PM302" s="5"/>
      <c r="PN302" s="6"/>
      <c r="PO302" s="4"/>
      <c r="PP302" s="4"/>
      <c r="PQ302" s="4"/>
      <c r="PR302" s="4"/>
      <c r="PS302" s="4"/>
      <c r="PT302" s="5"/>
      <c r="PU302" s="6"/>
      <c r="PV302" s="4"/>
      <c r="PW302" s="4"/>
      <c r="PX302" s="4"/>
      <c r="PY302" s="4"/>
      <c r="PZ302" s="4"/>
      <c r="QA302" s="5"/>
      <c r="QB302" s="6"/>
      <c r="QC302" s="4"/>
      <c r="QD302" s="4"/>
      <c r="QE302" s="4"/>
      <c r="QF302" s="4"/>
      <c r="QG302" s="4"/>
      <c r="QH302" s="5"/>
      <c r="QI302" s="6"/>
      <c r="QJ302" s="4"/>
      <c r="QK302" s="4"/>
      <c r="QL302" s="4"/>
      <c r="QM302" s="4"/>
      <c r="QN302" s="4"/>
      <c r="QO302" s="5"/>
      <c r="QP302" s="6"/>
      <c r="QQ302" s="4"/>
      <c r="QR302" s="4"/>
      <c r="QS302" s="4"/>
      <c r="QT302" s="4"/>
      <c r="QU302" s="4"/>
      <c r="QV302" s="5"/>
      <c r="QW302" s="6"/>
      <c r="QX302" s="4"/>
      <c r="QY302" s="4"/>
      <c r="QZ302" s="4"/>
      <c r="RA302" s="4"/>
      <c r="RB302" s="4"/>
      <c r="RC302" s="5"/>
      <c r="RD302" s="6"/>
      <c r="RE302" s="4"/>
      <c r="RF302" s="4"/>
      <c r="RG302" s="4"/>
      <c r="RH302" s="4"/>
      <c r="RI302" s="4"/>
      <c r="RJ302" s="5"/>
      <c r="RK302" s="6"/>
      <c r="RL302" s="4"/>
      <c r="RM302" s="4"/>
      <c r="RN302" s="4"/>
      <c r="RO302" s="4"/>
      <c r="RP302" s="4"/>
      <c r="RQ302" s="5"/>
      <c r="RR302" s="6"/>
      <c r="RS302" s="4"/>
      <c r="RT302" s="4"/>
      <c r="RU302" s="4"/>
      <c r="RV302" s="4"/>
      <c r="RW302" s="4"/>
      <c r="RX302" s="5"/>
      <c r="RY302" s="6"/>
      <c r="RZ302" s="4"/>
      <c r="SA302" s="4"/>
      <c r="SB302" s="4"/>
      <c r="SC302" s="4"/>
      <c r="SD302" s="4"/>
      <c r="SE302" s="5"/>
      <c r="SF302" s="6"/>
      <c r="SG302" s="4"/>
      <c r="SH302" s="4"/>
      <c r="SI302" s="4"/>
      <c r="SJ302" s="4"/>
      <c r="SK302" s="4"/>
      <c r="SL302" s="5"/>
      <c r="SM302" s="6"/>
      <c r="SN302" s="4"/>
      <c r="SO302" s="4"/>
      <c r="SP302" s="4"/>
      <c r="SQ302" s="4"/>
      <c r="SR302" s="4"/>
      <c r="SS302" s="5"/>
      <c r="ST302" s="6"/>
      <c r="SU302" s="4"/>
      <c r="SV302" s="4"/>
      <c r="SW302" s="4"/>
      <c r="SX302" s="4"/>
      <c r="SY302" s="4"/>
      <c r="SZ302" s="5"/>
      <c r="TA302" s="6"/>
      <c r="TB302" s="4"/>
      <c r="TC302" s="4"/>
      <c r="TD302" s="4"/>
      <c r="TE302" s="4"/>
      <c r="TF302" s="4"/>
      <c r="TG302" s="5"/>
      <c r="TH302" s="6"/>
      <c r="TI302" s="4"/>
      <c r="TJ302" s="4"/>
      <c r="TK302" s="4"/>
      <c r="TL302" s="4"/>
      <c r="TM302" s="4"/>
      <c r="TN302" s="5"/>
      <c r="TO302" s="6"/>
      <c r="TP302" s="4"/>
      <c r="TQ302" s="4"/>
      <c r="TR302" s="4"/>
      <c r="TS302" s="4"/>
      <c r="TT302" s="4"/>
      <c r="TU302" s="5"/>
      <c r="TV302" s="6"/>
      <c r="TW302" s="4"/>
      <c r="TX302" s="4"/>
      <c r="TY302" s="4"/>
      <c r="TZ302" s="4"/>
      <c r="UA302" s="4"/>
      <c r="UB302" s="5"/>
      <c r="UC302" s="6"/>
      <c r="UD302" s="4"/>
      <c r="UE302" s="4"/>
      <c r="UF302" s="4"/>
      <c r="UG302" s="4"/>
      <c r="UH302" s="4"/>
      <c r="UI302" s="5"/>
      <c r="UJ302" s="6"/>
      <c r="UK302" s="4"/>
      <c r="UL302" s="4"/>
      <c r="UM302" s="4"/>
      <c r="UN302" s="4"/>
      <c r="UO302" s="4"/>
      <c r="UP302" s="5"/>
      <c r="UQ302" s="6"/>
      <c r="UR302" s="4"/>
      <c r="US302" s="4"/>
      <c r="UT302" s="4"/>
      <c r="UU302" s="4"/>
      <c r="UV302" s="4"/>
      <c r="UW302" s="5"/>
      <c r="UX302" s="6"/>
      <c r="UY302" s="4"/>
      <c r="UZ302" s="4"/>
      <c r="VA302" s="4"/>
      <c r="VB302" s="4"/>
      <c r="VC302" s="4"/>
      <c r="VD302" s="5"/>
      <c r="VE302" s="6"/>
      <c r="VF302" s="4"/>
      <c r="VG302" s="4"/>
      <c r="VH302" s="4"/>
      <c r="VI302" s="4"/>
      <c r="VJ302" s="4"/>
      <c r="VK302" s="5"/>
      <c r="VL302" s="6"/>
      <c r="VM302" s="4"/>
      <c r="VN302" s="4"/>
      <c r="VO302" s="4"/>
      <c r="VP302" s="4"/>
      <c r="VQ302" s="4"/>
      <c r="VR302" s="5"/>
      <c r="VS302" s="6"/>
      <c r="VT302" s="4"/>
      <c r="VU302" s="4"/>
      <c r="VV302" s="4"/>
      <c r="VW302" s="4"/>
      <c r="VX302" s="4"/>
      <c r="VY302" s="5"/>
      <c r="VZ302" s="6"/>
      <c r="WA302" s="4"/>
      <c r="WB302" s="4"/>
      <c r="WC302" s="4"/>
      <c r="WD302" s="4"/>
      <c r="WE302" s="4"/>
      <c r="WF302" s="5"/>
      <c r="WG302" s="6"/>
      <c r="WH302" s="4"/>
      <c r="WI302" s="4"/>
      <c r="WJ302" s="4"/>
      <c r="WK302" s="4"/>
      <c r="WL302" s="4"/>
      <c r="WM302" s="5"/>
      <c r="WN302" s="6"/>
      <c r="WO302" s="4"/>
      <c r="WP302" s="4"/>
      <c r="WQ302" s="4"/>
      <c r="WR302" s="4"/>
      <c r="WS302" s="4"/>
      <c r="WT302" s="5"/>
      <c r="WU302" s="6"/>
      <c r="WV302" s="4"/>
      <c r="WW302" s="4"/>
      <c r="WX302" s="4"/>
      <c r="WY302" s="4"/>
      <c r="WZ302" s="4"/>
      <c r="XA302" s="5"/>
      <c r="XB302" s="6"/>
      <c r="XC302" s="4"/>
      <c r="XD302" s="4"/>
      <c r="XE302" s="4"/>
      <c r="XF302" s="4"/>
      <c r="XG302" s="4"/>
      <c r="XH302" s="5"/>
      <c r="XI302" s="6"/>
      <c r="XJ302" s="4"/>
      <c r="XK302" s="4"/>
      <c r="XL302" s="4"/>
      <c r="XM302" s="4"/>
      <c r="XN302" s="4"/>
      <c r="XO302" s="5"/>
      <c r="XP302" s="6"/>
      <c r="XQ302" s="4"/>
      <c r="XR302" s="4"/>
      <c r="XS302" s="4"/>
      <c r="XT302" s="4"/>
      <c r="XU302" s="4"/>
      <c r="XV302" s="5"/>
      <c r="XW302" s="6"/>
      <c r="XX302" s="4"/>
      <c r="XY302" s="4"/>
      <c r="XZ302" s="4"/>
      <c r="YA302" s="4"/>
      <c r="YB302" s="4"/>
      <c r="YC302" s="5"/>
      <c r="YD302" s="6"/>
      <c r="YE302" s="4"/>
      <c r="YF302" s="4"/>
      <c r="YG302" s="4"/>
      <c r="YH302" s="4"/>
      <c r="YI302" s="4"/>
      <c r="YJ302" s="5"/>
      <c r="YK302" s="11" t="s">
        <v>1576</v>
      </c>
      <c r="YL302" s="4" t="s">
        <v>2796</v>
      </c>
      <c r="YM302" s="4"/>
      <c r="YN302" s="4"/>
      <c r="YO302" s="8"/>
      <c r="YP302" s="4"/>
      <c r="YQ302" s="5"/>
      <c r="YR302" s="6"/>
      <c r="YS302" s="4"/>
      <c r="YT302" s="4"/>
      <c r="YU302" s="4"/>
      <c r="YV302" s="4"/>
      <c r="YW302" s="4"/>
      <c r="YX302" s="5"/>
      <c r="YY302" s="6"/>
      <c r="YZ302" s="4"/>
      <c r="ZA302" s="4"/>
      <c r="ZB302" s="4"/>
      <c r="ZC302" s="4"/>
      <c r="ZD302" s="4"/>
      <c r="ZE302" s="5"/>
      <c r="ZF302" s="6"/>
      <c r="ZG302" s="4"/>
      <c r="ZH302" s="4"/>
      <c r="ZI302" s="4"/>
      <c r="ZJ302" s="4"/>
      <c r="ZK302" s="4"/>
      <c r="ZL302" s="5"/>
      <c r="ZM302" s="6"/>
      <c r="ZN302" s="4"/>
      <c r="ZO302" s="4"/>
      <c r="ZP302" s="4"/>
      <c r="ZQ302" s="4"/>
      <c r="ZR302" s="4"/>
      <c r="ZS302" s="5"/>
      <c r="ZT302" s="6"/>
      <c r="ZU302" s="4"/>
      <c r="ZV302" s="4"/>
      <c r="ZW302" s="4"/>
      <c r="ZX302" s="4"/>
      <c r="ZY302" s="4"/>
      <c r="ZZ302" s="5"/>
      <c r="AAA302" s="6"/>
      <c r="AAB302" s="4"/>
      <c r="AAC302" s="4"/>
      <c r="AAD302" s="4"/>
      <c r="AAE302" s="4"/>
      <c r="AAF302" s="4"/>
      <c r="AAG302" s="5"/>
      <c r="AAH302" s="6"/>
      <c r="AAI302" s="4"/>
      <c r="AAJ302" s="4"/>
      <c r="AAK302" s="4"/>
      <c r="AAL302" s="4"/>
      <c r="AAM302" s="4"/>
      <c r="AAN302" s="5"/>
      <c r="AAO302" s="6"/>
      <c r="AAP302" s="4"/>
      <c r="AAQ302" s="4"/>
      <c r="AAR302" s="4"/>
      <c r="AAS302" s="4"/>
      <c r="AAT302" s="4"/>
      <c r="AAU302" s="5"/>
      <c r="AAV302" s="6"/>
      <c r="AAW302" s="4"/>
      <c r="AAX302" s="4"/>
      <c r="AAY302" s="4"/>
      <c r="AAZ302" s="4"/>
      <c r="ABA302" s="4"/>
      <c r="ABB302" s="5"/>
      <c r="ABC302" s="6"/>
      <c r="ABD302" s="4"/>
      <c r="ABE302" s="4"/>
      <c r="ABF302" s="4"/>
      <c r="ABG302" s="8"/>
      <c r="ABH302" s="4"/>
      <c r="ABI302" s="5"/>
      <c r="ABJ302" s="6"/>
      <c r="ABK302" s="4"/>
      <c r="ABL302" s="4"/>
      <c r="ABM302" s="4"/>
      <c r="ABN302" s="4"/>
      <c r="ABO302" s="4"/>
      <c r="ABP302" s="5"/>
      <c r="ABQ302" s="6"/>
      <c r="ABR302" s="4"/>
      <c r="ABS302" s="4"/>
      <c r="ABT302" s="4"/>
      <c r="ABU302" s="4"/>
      <c r="ABV302" s="4"/>
      <c r="ABW302" s="5"/>
      <c r="ABX302" s="6"/>
      <c r="ABY302" s="4"/>
      <c r="ABZ302" s="4"/>
      <c r="ACA302" s="4"/>
      <c r="ACB302" s="4"/>
      <c r="ACC302" s="4"/>
      <c r="ACD302" s="5"/>
      <c r="ACE302" s="6"/>
      <c r="ACF302" s="4"/>
      <c r="ACG302" s="4"/>
      <c r="ACH302" s="4"/>
      <c r="ACI302" s="4"/>
      <c r="ACJ302" s="4"/>
      <c r="ACK302" s="5"/>
      <c r="ACL302" s="6"/>
      <c r="ACM302" s="4"/>
      <c r="ACN302" s="4"/>
      <c r="ACO302" s="4"/>
      <c r="ACP302" s="4"/>
      <c r="ACQ302" s="4"/>
      <c r="ACR302" s="5"/>
      <c r="ACS302" s="6"/>
      <c r="ACT302" s="4"/>
      <c r="ACU302" s="4"/>
      <c r="ACV302" s="4"/>
      <c r="ACW302" s="4"/>
      <c r="ACX302" s="4"/>
      <c r="ACY302" s="5"/>
    </row>
    <row r="303" spans="2:805" x14ac:dyDescent="0.25">
      <c r="J303" s="12"/>
      <c r="K303" s="12"/>
      <c r="L303" s="12"/>
      <c r="LL303" s="6"/>
      <c r="LM303" s="4"/>
      <c r="LN303" s="4"/>
      <c r="LO303" s="4"/>
      <c r="LP303" s="4"/>
      <c r="LQ303" s="4"/>
      <c r="LR303" s="5"/>
      <c r="LS303" s="6"/>
      <c r="LT303" s="4"/>
      <c r="LU303" s="4"/>
      <c r="LV303" s="4"/>
      <c r="LW303" s="4"/>
      <c r="LX303" s="4"/>
      <c r="LY303" s="5"/>
      <c r="LZ303" s="6"/>
      <c r="MA303" s="4"/>
      <c r="MB303" s="4"/>
      <c r="MC303" s="4"/>
      <c r="MD303" s="4"/>
      <c r="ME303" s="4"/>
      <c r="MF303" s="4"/>
      <c r="MG303" s="5"/>
      <c r="MH303" s="6"/>
      <c r="MI303" s="4"/>
      <c r="MJ303" s="4"/>
      <c r="MK303" s="4"/>
      <c r="ML303" s="4"/>
      <c r="MM303" s="4"/>
      <c r="MN303" s="5"/>
      <c r="MO303" s="6"/>
      <c r="MP303" s="4"/>
      <c r="MQ303" s="4"/>
      <c r="MR303" s="4"/>
      <c r="MS303" s="4"/>
      <c r="MT303" s="4"/>
      <c r="MU303" s="5"/>
      <c r="MV303" s="6"/>
      <c r="MW303" s="4"/>
      <c r="MX303" s="4"/>
      <c r="MY303" s="4"/>
      <c r="MZ303" s="4"/>
      <c r="NA303" s="4"/>
      <c r="NB303" s="5"/>
      <c r="NC303" s="6" t="s">
        <v>1443</v>
      </c>
      <c r="ND303" s="4" t="s">
        <v>2517</v>
      </c>
      <c r="NE303" s="7" t="s">
        <v>1444</v>
      </c>
      <c r="NF303" s="4"/>
      <c r="NG303" s="8">
        <v>37909</v>
      </c>
      <c r="NH303" s="4"/>
      <c r="NI303" s="5" t="s">
        <v>3966</v>
      </c>
      <c r="NJ303" s="6"/>
      <c r="NK303" s="4"/>
      <c r="NL303" s="4"/>
      <c r="NM303" s="4"/>
      <c r="NN303" s="4"/>
      <c r="NO303" s="4"/>
      <c r="NP303" s="5"/>
      <c r="NQ303" s="6"/>
      <c r="NR303" s="4"/>
      <c r="NS303" s="4"/>
      <c r="NT303" s="4"/>
      <c r="NU303" s="4"/>
      <c r="NV303" s="4"/>
      <c r="NW303" s="5"/>
      <c r="NX303" s="6"/>
      <c r="NY303" s="4"/>
      <c r="NZ303" s="4"/>
      <c r="OA303" s="4"/>
      <c r="OB303" s="4"/>
      <c r="OC303" s="4"/>
      <c r="OD303" s="5"/>
      <c r="OE303" s="6"/>
      <c r="OF303" s="4"/>
      <c r="OG303" s="4"/>
      <c r="OH303" s="4"/>
      <c r="OI303" s="4"/>
      <c r="OJ303" s="4"/>
      <c r="OK303" s="5"/>
      <c r="OL303" s="6"/>
      <c r="OM303" s="4"/>
      <c r="ON303" s="4"/>
      <c r="OO303" s="4"/>
      <c r="OP303" s="4"/>
      <c r="OQ303" s="4"/>
      <c r="OR303" s="5"/>
      <c r="OS303" s="6"/>
      <c r="OT303" s="4"/>
      <c r="OU303" s="4"/>
      <c r="OV303" s="4"/>
      <c r="OW303" s="4"/>
      <c r="OX303" s="4"/>
      <c r="OY303" s="5"/>
      <c r="OZ303" s="6"/>
      <c r="PA303" s="4"/>
      <c r="PB303" s="4"/>
      <c r="PC303" s="4"/>
      <c r="PD303" s="4"/>
      <c r="PE303" s="4"/>
      <c r="PF303" s="5"/>
      <c r="PG303" s="6"/>
      <c r="PH303" s="4"/>
      <c r="PI303" s="4"/>
      <c r="PJ303" s="4"/>
      <c r="PK303" s="4"/>
      <c r="PL303" s="4"/>
      <c r="PM303" s="5"/>
      <c r="PN303" s="6"/>
      <c r="PO303" s="4"/>
      <c r="PP303" s="4"/>
      <c r="PQ303" s="4"/>
      <c r="PR303" s="4"/>
      <c r="PS303" s="4"/>
      <c r="PT303" s="5"/>
      <c r="PU303" s="6"/>
      <c r="PV303" s="4"/>
      <c r="PW303" s="4"/>
      <c r="PX303" s="4"/>
      <c r="PY303" s="4"/>
      <c r="PZ303" s="4"/>
      <c r="QA303" s="5"/>
      <c r="QB303" s="6"/>
      <c r="QC303" s="4"/>
      <c r="QD303" s="4"/>
      <c r="QE303" s="4"/>
      <c r="QF303" s="4"/>
      <c r="QG303" s="4"/>
      <c r="QH303" s="5"/>
      <c r="QI303" s="6"/>
      <c r="QJ303" s="4"/>
      <c r="QK303" s="4"/>
      <c r="QL303" s="4"/>
      <c r="QM303" s="4"/>
      <c r="QN303" s="4"/>
      <c r="QO303" s="5"/>
      <c r="QP303" s="6"/>
      <c r="QQ303" s="4"/>
      <c r="QR303" s="4"/>
      <c r="QS303" s="4"/>
      <c r="QT303" s="4"/>
      <c r="QU303" s="4"/>
      <c r="QV303" s="5"/>
      <c r="QW303" s="6"/>
      <c r="QX303" s="4"/>
      <c r="QY303" s="4"/>
      <c r="QZ303" s="4"/>
      <c r="RA303" s="4"/>
      <c r="RB303" s="4"/>
      <c r="RC303" s="5"/>
      <c r="RD303" s="6"/>
      <c r="RE303" s="4"/>
      <c r="RF303" s="4"/>
      <c r="RG303" s="4"/>
      <c r="RH303" s="4"/>
      <c r="RI303" s="4"/>
      <c r="RJ303" s="5"/>
      <c r="RK303" s="6"/>
      <c r="RL303" s="4"/>
      <c r="RM303" s="4"/>
      <c r="RN303" s="4"/>
      <c r="RO303" s="4"/>
      <c r="RP303" s="4"/>
      <c r="RQ303" s="5"/>
      <c r="RR303" s="6"/>
      <c r="RS303" s="4"/>
      <c r="RT303" s="4"/>
      <c r="RU303" s="4"/>
      <c r="RV303" s="4"/>
      <c r="RW303" s="4"/>
      <c r="RX303" s="5"/>
      <c r="RY303" s="6"/>
      <c r="RZ303" s="4"/>
      <c r="SA303" s="4"/>
      <c r="SB303" s="4"/>
      <c r="SC303" s="4"/>
      <c r="SD303" s="4"/>
      <c r="SE303" s="5"/>
      <c r="SF303" s="6"/>
      <c r="SG303" s="4"/>
      <c r="SH303" s="4"/>
      <c r="SI303" s="4"/>
      <c r="SJ303" s="4"/>
      <c r="SK303" s="4"/>
      <c r="SL303" s="5"/>
      <c r="SM303" s="6"/>
      <c r="SN303" s="4"/>
      <c r="SO303" s="4"/>
      <c r="SP303" s="4"/>
      <c r="SQ303" s="4"/>
      <c r="SR303" s="4"/>
      <c r="SS303" s="5"/>
      <c r="ST303" s="6"/>
      <c r="SU303" s="4"/>
      <c r="SV303" s="4"/>
      <c r="SW303" s="4"/>
      <c r="SX303" s="4"/>
      <c r="SY303" s="4"/>
      <c r="SZ303" s="5"/>
      <c r="TA303" s="6"/>
      <c r="TB303" s="4"/>
      <c r="TC303" s="4"/>
      <c r="TD303" s="4"/>
      <c r="TE303" s="4"/>
      <c r="TF303" s="4"/>
      <c r="TG303" s="5"/>
      <c r="TH303" s="6"/>
      <c r="TI303" s="4"/>
      <c r="TJ303" s="4"/>
      <c r="TK303" s="4"/>
      <c r="TL303" s="4"/>
      <c r="TM303" s="4"/>
      <c r="TN303" s="5"/>
      <c r="TO303" s="6"/>
      <c r="TP303" s="4"/>
      <c r="TQ303" s="4"/>
      <c r="TR303" s="4"/>
      <c r="TS303" s="4"/>
      <c r="TT303" s="4"/>
      <c r="TU303" s="5"/>
      <c r="TV303" s="6"/>
      <c r="TW303" s="4"/>
      <c r="TX303" s="4"/>
      <c r="TY303" s="4"/>
      <c r="TZ303" s="4"/>
      <c r="UA303" s="4"/>
      <c r="UB303" s="5"/>
      <c r="UC303" s="6"/>
      <c r="UD303" s="4"/>
      <c r="UE303" s="4"/>
      <c r="UF303" s="4"/>
      <c r="UG303" s="4"/>
      <c r="UH303" s="4"/>
      <c r="UI303" s="5"/>
      <c r="UJ303" s="6"/>
      <c r="UK303" s="4"/>
      <c r="UL303" s="4"/>
      <c r="UM303" s="4"/>
      <c r="UN303" s="4"/>
      <c r="UO303" s="4"/>
      <c r="UP303" s="5"/>
      <c r="UQ303" s="6"/>
      <c r="UR303" s="4"/>
      <c r="US303" s="4"/>
      <c r="UT303" s="4"/>
      <c r="UU303" s="4"/>
      <c r="UV303" s="4"/>
      <c r="UW303" s="5"/>
      <c r="UX303" s="6"/>
      <c r="UY303" s="4"/>
      <c r="UZ303" s="4"/>
      <c r="VA303" s="4"/>
      <c r="VB303" s="4"/>
      <c r="VC303" s="4"/>
      <c r="VD303" s="5"/>
      <c r="VE303" s="6"/>
      <c r="VF303" s="4"/>
      <c r="VG303" s="4"/>
      <c r="VH303" s="4"/>
      <c r="VI303" s="4"/>
      <c r="VJ303" s="4"/>
      <c r="VK303" s="5"/>
      <c r="VL303" s="6"/>
      <c r="VM303" s="4"/>
      <c r="VN303" s="4"/>
      <c r="VO303" s="4"/>
      <c r="VP303" s="4"/>
      <c r="VQ303" s="4"/>
      <c r="VR303" s="5"/>
      <c r="VS303" s="6"/>
      <c r="VT303" s="4"/>
      <c r="VU303" s="4"/>
      <c r="VV303" s="4"/>
      <c r="VW303" s="4"/>
      <c r="VX303" s="4"/>
      <c r="VY303" s="5"/>
      <c r="VZ303" s="6"/>
      <c r="WA303" s="4"/>
      <c r="WB303" s="4"/>
      <c r="WC303" s="4"/>
      <c r="WD303" s="4"/>
      <c r="WE303" s="4"/>
      <c r="WF303" s="5"/>
      <c r="WG303" s="6"/>
      <c r="WH303" s="4"/>
      <c r="WI303" s="4"/>
      <c r="WJ303" s="4"/>
      <c r="WK303" s="4"/>
      <c r="WL303" s="4"/>
      <c r="WM303" s="5"/>
      <c r="WN303" s="6"/>
      <c r="WO303" s="4"/>
      <c r="WP303" s="4"/>
      <c r="WQ303" s="4"/>
      <c r="WR303" s="4"/>
      <c r="WS303" s="4"/>
      <c r="WT303" s="5"/>
      <c r="WU303" s="6"/>
      <c r="WV303" s="4"/>
      <c r="WW303" s="4"/>
      <c r="WX303" s="4"/>
      <c r="WY303" s="4"/>
      <c r="WZ303" s="4"/>
      <c r="XA303" s="5"/>
      <c r="XB303" s="6"/>
      <c r="XC303" s="4"/>
      <c r="XD303" s="4"/>
      <c r="XE303" s="4"/>
      <c r="XF303" s="4"/>
      <c r="XG303" s="4"/>
      <c r="XH303" s="5"/>
      <c r="XI303" s="6"/>
      <c r="XJ303" s="4"/>
      <c r="XK303" s="4"/>
      <c r="XL303" s="4"/>
      <c r="XM303" s="4"/>
      <c r="XN303" s="4"/>
      <c r="XO303" s="5"/>
      <c r="XP303" s="6"/>
      <c r="XQ303" s="4"/>
      <c r="XR303" s="4"/>
      <c r="XS303" s="4"/>
      <c r="XT303" s="4"/>
      <c r="XU303" s="4"/>
      <c r="XV303" s="5"/>
      <c r="XW303" s="6"/>
      <c r="XX303" s="4"/>
      <c r="XY303" s="4"/>
      <c r="XZ303" s="4"/>
      <c r="YA303" s="4"/>
      <c r="YB303" s="4"/>
      <c r="YC303" s="5"/>
      <c r="YD303" s="6"/>
      <c r="YE303" s="4"/>
      <c r="YF303" s="4"/>
      <c r="YG303" s="4"/>
      <c r="YH303" s="4"/>
      <c r="YI303" s="4"/>
      <c r="YJ303" s="5"/>
      <c r="YK303" s="6" t="s">
        <v>2796</v>
      </c>
      <c r="YL303" s="4" t="s">
        <v>2796</v>
      </c>
      <c r="YM303" s="4"/>
      <c r="YN303" s="4"/>
      <c r="YO303" s="8"/>
      <c r="YP303" s="4"/>
      <c r="YQ303" s="5"/>
      <c r="YR303" s="6"/>
      <c r="YS303" s="4"/>
      <c r="YT303" s="4"/>
      <c r="YU303" s="4"/>
      <c r="YV303" s="4"/>
      <c r="YW303" s="4"/>
      <c r="YX303" s="5"/>
      <c r="YY303" s="6"/>
      <c r="YZ303" s="4"/>
      <c r="ZA303" s="4"/>
      <c r="ZB303" s="4"/>
      <c r="ZC303" s="4"/>
      <c r="ZD303" s="4"/>
      <c r="ZE303" s="5"/>
      <c r="ZF303" s="6"/>
      <c r="ZG303" s="4"/>
      <c r="ZH303" s="4"/>
      <c r="ZI303" s="4"/>
      <c r="ZJ303" s="4"/>
      <c r="ZK303" s="4"/>
      <c r="ZL303" s="5"/>
      <c r="ZM303" s="6"/>
      <c r="ZN303" s="4"/>
      <c r="ZO303" s="4"/>
      <c r="ZP303" s="4"/>
      <c r="ZQ303" s="4"/>
      <c r="ZR303" s="4"/>
      <c r="ZS303" s="5"/>
      <c r="ZT303" s="6"/>
      <c r="ZU303" s="4"/>
      <c r="ZV303" s="4"/>
      <c r="ZW303" s="4"/>
      <c r="ZX303" s="4"/>
      <c r="ZY303" s="4"/>
      <c r="ZZ303" s="5"/>
      <c r="AAA303" s="6"/>
      <c r="AAB303" s="4"/>
      <c r="AAC303" s="4"/>
      <c r="AAD303" s="4"/>
      <c r="AAE303" s="4"/>
      <c r="AAF303" s="4"/>
      <c r="AAG303" s="5"/>
      <c r="AAH303" s="6"/>
      <c r="AAI303" s="4"/>
      <c r="AAJ303" s="4"/>
      <c r="AAK303" s="4"/>
      <c r="AAL303" s="4"/>
      <c r="AAM303" s="4"/>
      <c r="AAN303" s="5"/>
      <c r="AAO303" s="6"/>
      <c r="AAP303" s="4"/>
      <c r="AAQ303" s="4"/>
      <c r="AAR303" s="4"/>
      <c r="AAS303" s="4"/>
      <c r="AAT303" s="4"/>
      <c r="AAU303" s="5"/>
      <c r="AAV303" s="6"/>
      <c r="AAW303" s="4"/>
      <c r="AAX303" s="4"/>
      <c r="AAY303" s="4"/>
      <c r="AAZ303" s="4"/>
      <c r="ABA303" s="4"/>
      <c r="ABB303" s="5"/>
      <c r="ABC303" s="6"/>
      <c r="ABD303" s="4"/>
      <c r="ABE303" s="4"/>
      <c r="ABF303" s="4"/>
      <c r="ABG303" s="8"/>
      <c r="ABH303" s="4"/>
      <c r="ABI303" s="5"/>
      <c r="ABJ303" s="6"/>
      <c r="ABK303" s="4"/>
      <c r="ABL303" s="4"/>
      <c r="ABM303" s="4"/>
      <c r="ABN303" s="4"/>
      <c r="ABO303" s="4"/>
      <c r="ABP303" s="5"/>
      <c r="ABQ303" s="6"/>
      <c r="ABR303" s="4"/>
      <c r="ABS303" s="4"/>
      <c r="ABT303" s="4"/>
      <c r="ABU303" s="4"/>
      <c r="ABV303" s="4"/>
      <c r="ABW303" s="5"/>
      <c r="ABX303" s="6"/>
      <c r="ABY303" s="4"/>
      <c r="ABZ303" s="4"/>
      <c r="ACA303" s="4"/>
      <c r="ACB303" s="4"/>
      <c r="ACC303" s="4"/>
      <c r="ACD303" s="5"/>
      <c r="ACE303" s="6"/>
      <c r="ACF303" s="4"/>
      <c r="ACG303" s="4"/>
      <c r="ACH303" s="4"/>
      <c r="ACI303" s="4"/>
      <c r="ACJ303" s="4"/>
      <c r="ACK303" s="5"/>
      <c r="ACL303" s="6"/>
      <c r="ACM303" s="4"/>
      <c r="ACN303" s="4"/>
      <c r="ACO303" s="4"/>
      <c r="ACP303" s="4"/>
      <c r="ACQ303" s="4"/>
      <c r="ACR303" s="5"/>
      <c r="ACS303" s="6"/>
      <c r="ACT303" s="4"/>
      <c r="ACU303" s="4"/>
      <c r="ACV303" s="4"/>
      <c r="ACW303" s="4"/>
      <c r="ACX303" s="4"/>
      <c r="ACY303" s="5"/>
    </row>
    <row r="304" spans="2:805" x14ac:dyDescent="0.25">
      <c r="J304" s="12"/>
      <c r="K304" s="12"/>
      <c r="L304" s="12"/>
      <c r="LL304" s="6"/>
      <c r="LM304" s="4"/>
      <c r="LN304" s="4"/>
      <c r="LO304" s="4"/>
      <c r="LP304" s="4"/>
      <c r="LQ304" s="4"/>
      <c r="LR304" s="5"/>
      <c r="LS304" s="6"/>
      <c r="LT304" s="4"/>
      <c r="LU304" s="4"/>
      <c r="LV304" s="4"/>
      <c r="LW304" s="4"/>
      <c r="LX304" s="4"/>
      <c r="LY304" s="5"/>
      <c r="LZ304" s="6"/>
      <c r="MA304" s="4"/>
      <c r="MB304" s="4"/>
      <c r="MC304" s="4"/>
      <c r="MD304" s="4"/>
      <c r="ME304" s="4"/>
      <c r="MF304" s="4"/>
      <c r="MG304" s="5"/>
      <c r="MH304" s="6"/>
      <c r="MI304" s="4"/>
      <c r="MJ304" s="4"/>
      <c r="MK304" s="4"/>
      <c r="ML304" s="4"/>
      <c r="MM304" s="4"/>
      <c r="MN304" s="5"/>
      <c r="MO304" s="6"/>
      <c r="MP304" s="4"/>
      <c r="MQ304" s="4"/>
      <c r="MR304" s="4"/>
      <c r="MS304" s="4"/>
      <c r="MT304" s="4"/>
      <c r="MU304" s="5"/>
      <c r="MV304" s="6"/>
      <c r="MW304" s="4"/>
      <c r="MX304" s="4"/>
      <c r="MY304" s="4"/>
      <c r="MZ304" s="4"/>
      <c r="NA304" s="4"/>
      <c r="NB304" s="5"/>
      <c r="NC304" s="6" t="s">
        <v>1732</v>
      </c>
      <c r="ND304" s="4" t="s">
        <v>1733</v>
      </c>
      <c r="NE304" s="7"/>
      <c r="NF304" s="4"/>
      <c r="NG304" s="4"/>
      <c r="NH304" s="4"/>
      <c r="NI304" s="5" t="s">
        <v>3967</v>
      </c>
      <c r="NJ304" s="6"/>
      <c r="NK304" s="4"/>
      <c r="NL304" s="4"/>
      <c r="NM304" s="4"/>
      <c r="NN304" s="4"/>
      <c r="NO304" s="4"/>
      <c r="NP304" s="5"/>
      <c r="NQ304" s="6"/>
      <c r="NR304" s="4"/>
      <c r="NS304" s="4"/>
      <c r="NT304" s="4"/>
      <c r="NU304" s="4"/>
      <c r="NV304" s="4"/>
      <c r="NW304" s="5"/>
      <c r="NX304" s="6"/>
      <c r="NY304" s="4"/>
      <c r="NZ304" s="4"/>
      <c r="OA304" s="4"/>
      <c r="OB304" s="4"/>
      <c r="OC304" s="4"/>
      <c r="OD304" s="5"/>
      <c r="OE304" s="6"/>
      <c r="OF304" s="4"/>
      <c r="OG304" s="4"/>
      <c r="OH304" s="4"/>
      <c r="OI304" s="4"/>
      <c r="OJ304" s="4"/>
      <c r="OK304" s="5"/>
      <c r="OL304" s="6"/>
      <c r="OM304" s="4"/>
      <c r="ON304" s="4"/>
      <c r="OO304" s="4"/>
      <c r="OP304" s="4"/>
      <c r="OQ304" s="4"/>
      <c r="OR304" s="5"/>
      <c r="OS304" s="6"/>
      <c r="OT304" s="4"/>
      <c r="OU304" s="4"/>
      <c r="OV304" s="4"/>
      <c r="OW304" s="4"/>
      <c r="OX304" s="4"/>
      <c r="OY304" s="5"/>
      <c r="OZ304" s="6"/>
      <c r="PA304" s="4"/>
      <c r="PB304" s="4"/>
      <c r="PC304" s="4"/>
      <c r="PD304" s="4"/>
      <c r="PE304" s="4"/>
      <c r="PF304" s="5"/>
      <c r="PG304" s="6"/>
      <c r="PH304" s="4"/>
      <c r="PI304" s="4"/>
      <c r="PJ304" s="4"/>
      <c r="PK304" s="4"/>
      <c r="PL304" s="4"/>
      <c r="PM304" s="5"/>
      <c r="PN304" s="6"/>
      <c r="PO304" s="4"/>
      <c r="PP304" s="4"/>
      <c r="PQ304" s="4"/>
      <c r="PR304" s="4"/>
      <c r="PS304" s="4"/>
      <c r="PT304" s="5"/>
      <c r="PU304" s="6"/>
      <c r="PV304" s="4"/>
      <c r="PW304" s="4"/>
      <c r="PX304" s="4"/>
      <c r="PY304" s="4"/>
      <c r="PZ304" s="4"/>
      <c r="QA304" s="5"/>
      <c r="QB304" s="6"/>
      <c r="QC304" s="4"/>
      <c r="QD304" s="4"/>
      <c r="QE304" s="4"/>
      <c r="QF304" s="4"/>
      <c r="QG304" s="4"/>
      <c r="QH304" s="5"/>
      <c r="QI304" s="6"/>
      <c r="QJ304" s="4"/>
      <c r="QK304" s="4"/>
      <c r="QL304" s="4"/>
      <c r="QM304" s="4"/>
      <c r="QN304" s="4"/>
      <c r="QO304" s="5"/>
      <c r="QP304" s="6"/>
      <c r="QQ304" s="4"/>
      <c r="QR304" s="4"/>
      <c r="QS304" s="4"/>
      <c r="QT304" s="4"/>
      <c r="QU304" s="4"/>
      <c r="QV304" s="5"/>
      <c r="QW304" s="6"/>
      <c r="QX304" s="4"/>
      <c r="QY304" s="4"/>
      <c r="QZ304" s="4"/>
      <c r="RA304" s="4"/>
      <c r="RB304" s="4"/>
      <c r="RC304" s="5"/>
      <c r="RD304" s="6"/>
      <c r="RE304" s="4"/>
      <c r="RF304" s="4"/>
      <c r="RG304" s="4"/>
      <c r="RH304" s="4"/>
      <c r="RI304" s="4"/>
      <c r="RJ304" s="5"/>
      <c r="RK304" s="6"/>
      <c r="RL304" s="4"/>
      <c r="RM304" s="4"/>
      <c r="RN304" s="4"/>
      <c r="RO304" s="4"/>
      <c r="RP304" s="4"/>
      <c r="RQ304" s="5"/>
      <c r="RR304" s="6"/>
      <c r="RS304" s="4"/>
      <c r="RT304" s="4"/>
      <c r="RU304" s="4"/>
      <c r="RV304" s="4"/>
      <c r="RW304" s="4"/>
      <c r="RX304" s="5"/>
      <c r="RY304" s="6"/>
      <c r="RZ304" s="4"/>
      <c r="SA304" s="4"/>
      <c r="SB304" s="4"/>
      <c r="SC304" s="4"/>
      <c r="SD304" s="4"/>
      <c r="SE304" s="5"/>
      <c r="SF304" s="6"/>
      <c r="SG304" s="4"/>
      <c r="SH304" s="4"/>
      <c r="SI304" s="4"/>
      <c r="SJ304" s="4"/>
      <c r="SK304" s="4"/>
      <c r="SL304" s="5"/>
      <c r="SM304" s="6"/>
      <c r="SN304" s="4"/>
      <c r="SO304" s="4"/>
      <c r="SP304" s="4"/>
      <c r="SQ304" s="4"/>
      <c r="SR304" s="4"/>
      <c r="SS304" s="5"/>
      <c r="ST304" s="6"/>
      <c r="SU304" s="4"/>
      <c r="SV304" s="4"/>
      <c r="SW304" s="4"/>
      <c r="SX304" s="4"/>
      <c r="SY304" s="4"/>
      <c r="SZ304" s="5"/>
      <c r="TA304" s="6"/>
      <c r="TB304" s="4"/>
      <c r="TC304" s="4"/>
      <c r="TD304" s="4"/>
      <c r="TE304" s="4"/>
      <c r="TF304" s="4"/>
      <c r="TG304" s="5"/>
      <c r="TH304" s="6"/>
      <c r="TI304" s="4"/>
      <c r="TJ304" s="4"/>
      <c r="TK304" s="4"/>
      <c r="TL304" s="4"/>
      <c r="TM304" s="4"/>
      <c r="TN304" s="5"/>
      <c r="TO304" s="6"/>
      <c r="TP304" s="4"/>
      <c r="TQ304" s="4"/>
      <c r="TR304" s="4"/>
      <c r="TS304" s="4"/>
      <c r="TT304" s="4"/>
      <c r="TU304" s="5"/>
      <c r="TV304" s="6"/>
      <c r="TW304" s="4"/>
      <c r="TX304" s="4"/>
      <c r="TY304" s="4"/>
      <c r="TZ304" s="4"/>
      <c r="UA304" s="4"/>
      <c r="UB304" s="5"/>
      <c r="UC304" s="6"/>
      <c r="UD304" s="4"/>
      <c r="UE304" s="4"/>
      <c r="UF304" s="4"/>
      <c r="UG304" s="4"/>
      <c r="UH304" s="4"/>
      <c r="UI304" s="5"/>
      <c r="UJ304" s="6"/>
      <c r="UK304" s="4"/>
      <c r="UL304" s="4"/>
      <c r="UM304" s="4"/>
      <c r="UN304" s="4"/>
      <c r="UO304" s="4"/>
      <c r="UP304" s="5"/>
      <c r="UQ304" s="6"/>
      <c r="UR304" s="4"/>
      <c r="US304" s="4"/>
      <c r="UT304" s="4"/>
      <c r="UU304" s="4"/>
      <c r="UV304" s="4"/>
      <c r="UW304" s="5"/>
      <c r="UX304" s="6"/>
      <c r="UY304" s="4"/>
      <c r="UZ304" s="4"/>
      <c r="VA304" s="4"/>
      <c r="VB304" s="4"/>
      <c r="VC304" s="4"/>
      <c r="VD304" s="5"/>
      <c r="VE304" s="6"/>
      <c r="VF304" s="4"/>
      <c r="VG304" s="4"/>
      <c r="VH304" s="4"/>
      <c r="VI304" s="4"/>
      <c r="VJ304" s="4"/>
      <c r="VK304" s="5"/>
      <c r="VL304" s="6"/>
      <c r="VM304" s="4"/>
      <c r="VN304" s="4"/>
      <c r="VO304" s="4"/>
      <c r="VP304" s="4"/>
      <c r="VQ304" s="4"/>
      <c r="VR304" s="5"/>
      <c r="VS304" s="6"/>
      <c r="VT304" s="4"/>
      <c r="VU304" s="4"/>
      <c r="VV304" s="4"/>
      <c r="VW304" s="4"/>
      <c r="VX304" s="4"/>
      <c r="VY304" s="5"/>
      <c r="VZ304" s="6"/>
      <c r="WA304" s="4"/>
      <c r="WB304" s="4"/>
      <c r="WC304" s="4"/>
      <c r="WD304" s="4"/>
      <c r="WE304" s="4"/>
      <c r="WF304" s="5"/>
      <c r="WG304" s="6"/>
      <c r="WH304" s="4"/>
      <c r="WI304" s="4"/>
      <c r="WJ304" s="4"/>
      <c r="WK304" s="4"/>
      <c r="WL304" s="4"/>
      <c r="WM304" s="5"/>
      <c r="WN304" s="6"/>
      <c r="WO304" s="4"/>
      <c r="WP304" s="4"/>
      <c r="WQ304" s="4"/>
      <c r="WR304" s="4"/>
      <c r="WS304" s="4"/>
      <c r="WT304" s="5"/>
      <c r="WU304" s="6"/>
      <c r="WV304" s="4"/>
      <c r="WW304" s="4"/>
      <c r="WX304" s="4"/>
      <c r="WY304" s="4"/>
      <c r="WZ304" s="4"/>
      <c r="XA304" s="5"/>
      <c r="XB304" s="6"/>
      <c r="XC304" s="4"/>
      <c r="XD304" s="4"/>
      <c r="XE304" s="4"/>
      <c r="XF304" s="4"/>
      <c r="XG304" s="4"/>
      <c r="XH304" s="5"/>
      <c r="XI304" s="6"/>
      <c r="XJ304" s="4"/>
      <c r="XK304" s="4"/>
      <c r="XL304" s="4"/>
      <c r="XM304" s="4"/>
      <c r="XN304" s="4"/>
      <c r="XO304" s="5"/>
      <c r="XP304" s="6"/>
      <c r="XQ304" s="4"/>
      <c r="XR304" s="4"/>
      <c r="XS304" s="4"/>
      <c r="XT304" s="4"/>
      <c r="XU304" s="4"/>
      <c r="XV304" s="5"/>
      <c r="XW304" s="6"/>
      <c r="XX304" s="4"/>
      <c r="XY304" s="4"/>
      <c r="XZ304" s="4"/>
      <c r="YA304" s="4"/>
      <c r="YB304" s="4"/>
      <c r="YC304" s="5"/>
      <c r="YD304" s="6"/>
      <c r="YE304" s="4"/>
      <c r="YF304" s="4"/>
      <c r="YG304" s="4"/>
      <c r="YH304" s="4"/>
      <c r="YI304" s="4"/>
      <c r="YJ304" s="5"/>
      <c r="YK304" s="11" t="s">
        <v>2084</v>
      </c>
      <c r="YL304" s="7" t="s">
        <v>2085</v>
      </c>
      <c r="YM304" s="4"/>
      <c r="YN304" s="4"/>
      <c r="YO304" s="8"/>
      <c r="YP304" s="4"/>
      <c r="YQ304" s="5" t="s">
        <v>4040</v>
      </c>
      <c r="YR304" s="6"/>
      <c r="YS304" s="4"/>
      <c r="YT304" s="4"/>
      <c r="YU304" s="4"/>
      <c r="YV304" s="4"/>
      <c r="YW304" s="4"/>
      <c r="YX304" s="5"/>
      <c r="YY304" s="6"/>
      <c r="YZ304" s="4"/>
      <c r="ZA304" s="4"/>
      <c r="ZB304" s="4"/>
      <c r="ZC304" s="4"/>
      <c r="ZD304" s="4"/>
      <c r="ZE304" s="5"/>
      <c r="ZF304" s="6"/>
      <c r="ZG304" s="4"/>
      <c r="ZH304" s="4"/>
      <c r="ZI304" s="4"/>
      <c r="ZJ304" s="4"/>
      <c r="ZK304" s="4"/>
      <c r="ZL304" s="5"/>
      <c r="ZM304" s="6"/>
      <c r="ZN304" s="4"/>
      <c r="ZO304" s="4"/>
      <c r="ZP304" s="4"/>
      <c r="ZQ304" s="4"/>
      <c r="ZR304" s="4"/>
      <c r="ZS304" s="5"/>
      <c r="ZT304" s="6"/>
      <c r="ZU304" s="4"/>
      <c r="ZV304" s="4"/>
      <c r="ZW304" s="4"/>
      <c r="ZX304" s="4"/>
      <c r="ZY304" s="4"/>
      <c r="ZZ304" s="5"/>
      <c r="AAA304" s="6"/>
      <c r="AAB304" s="4"/>
      <c r="AAC304" s="4"/>
      <c r="AAD304" s="4"/>
      <c r="AAE304" s="4"/>
      <c r="AAF304" s="4"/>
      <c r="AAG304" s="5"/>
      <c r="AAH304" s="6"/>
      <c r="AAI304" s="4"/>
      <c r="AAJ304" s="4"/>
      <c r="AAK304" s="4"/>
      <c r="AAL304" s="4"/>
      <c r="AAM304" s="4"/>
      <c r="AAN304" s="5"/>
      <c r="AAO304" s="6"/>
      <c r="AAP304" s="4"/>
      <c r="AAQ304" s="4"/>
      <c r="AAR304" s="4"/>
      <c r="AAS304" s="4"/>
      <c r="AAT304" s="4"/>
      <c r="AAU304" s="5"/>
      <c r="AAV304" s="6"/>
      <c r="AAW304" s="4"/>
      <c r="AAX304" s="4"/>
      <c r="AAY304" s="4"/>
      <c r="AAZ304" s="4"/>
      <c r="ABA304" s="4"/>
      <c r="ABB304" s="5"/>
      <c r="ABC304" s="6"/>
      <c r="ABD304" s="4"/>
      <c r="ABE304" s="4"/>
      <c r="ABF304" s="4"/>
      <c r="ABG304" s="8"/>
      <c r="ABH304" s="4"/>
      <c r="ABI304" s="5"/>
      <c r="ABJ304" s="6"/>
      <c r="ABK304" s="4"/>
      <c r="ABL304" s="4"/>
      <c r="ABM304" s="4"/>
      <c r="ABN304" s="4"/>
      <c r="ABO304" s="4"/>
      <c r="ABP304" s="5"/>
      <c r="ABQ304" s="6"/>
      <c r="ABR304" s="4"/>
      <c r="ABS304" s="4"/>
      <c r="ABT304" s="4"/>
      <c r="ABU304" s="4"/>
      <c r="ABV304" s="4"/>
      <c r="ABW304" s="5"/>
      <c r="ABX304" s="6"/>
      <c r="ABY304" s="4"/>
      <c r="ABZ304" s="4"/>
      <c r="ACA304" s="4"/>
      <c r="ACB304" s="4"/>
      <c r="ACC304" s="4"/>
      <c r="ACD304" s="5"/>
      <c r="ACE304" s="6"/>
      <c r="ACF304" s="4"/>
      <c r="ACG304" s="4"/>
      <c r="ACH304" s="4"/>
      <c r="ACI304" s="4"/>
      <c r="ACJ304" s="4"/>
      <c r="ACK304" s="5"/>
      <c r="ACL304" s="6"/>
      <c r="ACM304" s="4"/>
      <c r="ACN304" s="4"/>
      <c r="ACO304" s="4"/>
      <c r="ACP304" s="4"/>
      <c r="ACQ304" s="4"/>
      <c r="ACR304" s="5"/>
      <c r="ACS304" s="6"/>
      <c r="ACT304" s="4"/>
      <c r="ACU304" s="4"/>
      <c r="ACV304" s="4"/>
      <c r="ACW304" s="4"/>
      <c r="ACX304" s="4"/>
      <c r="ACY304" s="5"/>
    </row>
    <row r="305" spans="2:805" x14ac:dyDescent="0.25">
      <c r="J305" s="12"/>
      <c r="K305" s="12"/>
      <c r="L305" s="12"/>
      <c r="LL305" s="6"/>
      <c r="LM305" s="4"/>
      <c r="LN305" s="4"/>
      <c r="LO305" s="4"/>
      <c r="LP305" s="4"/>
      <c r="LQ305" s="4"/>
      <c r="LR305" s="5"/>
      <c r="LS305" s="6"/>
      <c r="LT305" s="4"/>
      <c r="LU305" s="4"/>
      <c r="LV305" s="4"/>
      <c r="LW305" s="4"/>
      <c r="LX305" s="4"/>
      <c r="LY305" s="5"/>
      <c r="LZ305" s="6"/>
      <c r="MA305" s="4"/>
      <c r="MB305" s="4"/>
      <c r="MC305" s="4"/>
      <c r="MD305" s="4"/>
      <c r="ME305" s="4"/>
      <c r="MF305" s="4"/>
      <c r="MG305" s="5"/>
      <c r="MH305" s="6"/>
      <c r="MI305" s="4"/>
      <c r="MJ305" s="4"/>
      <c r="MK305" s="4"/>
      <c r="ML305" s="4"/>
      <c r="MM305" s="4"/>
      <c r="MN305" s="5"/>
      <c r="MO305" s="6"/>
      <c r="MP305" s="4"/>
      <c r="MQ305" s="4"/>
      <c r="MR305" s="4"/>
      <c r="MS305" s="4"/>
      <c r="MT305" s="4"/>
      <c r="MU305" s="5"/>
      <c r="MV305" s="6"/>
      <c r="MW305" s="4"/>
      <c r="MX305" s="4"/>
      <c r="MY305" s="4"/>
      <c r="MZ305" s="4"/>
      <c r="NA305" s="4"/>
      <c r="NB305" s="5"/>
      <c r="NC305" s="6" t="s">
        <v>2005</v>
      </c>
      <c r="ND305" s="7" t="s">
        <v>2006</v>
      </c>
      <c r="NE305" s="7" t="s">
        <v>2007</v>
      </c>
      <c r="NF305" s="4"/>
      <c r="NG305" s="4"/>
      <c r="NH305" s="4"/>
      <c r="NI305" s="5" t="s">
        <v>3968</v>
      </c>
      <c r="NJ305" s="6"/>
      <c r="NK305" s="4"/>
      <c r="NL305" s="4"/>
      <c r="NM305" s="4"/>
      <c r="NN305" s="4"/>
      <c r="NO305" s="4"/>
      <c r="NP305" s="5"/>
      <c r="NQ305" s="6"/>
      <c r="NR305" s="4"/>
      <c r="NS305" s="4"/>
      <c r="NT305" s="4"/>
      <c r="NU305" s="4"/>
      <c r="NV305" s="4"/>
      <c r="NW305" s="5"/>
      <c r="NX305" s="6"/>
      <c r="NY305" s="4"/>
      <c r="NZ305" s="4"/>
      <c r="OA305" s="4"/>
      <c r="OB305" s="4"/>
      <c r="OC305" s="4"/>
      <c r="OD305" s="5"/>
      <c r="OE305" s="6"/>
      <c r="OF305" s="4"/>
      <c r="OG305" s="4"/>
      <c r="OH305" s="4"/>
      <c r="OI305" s="4"/>
      <c r="OJ305" s="4"/>
      <c r="OK305" s="5"/>
      <c r="OL305" s="6"/>
      <c r="OM305" s="4"/>
      <c r="ON305" s="4"/>
      <c r="OO305" s="4"/>
      <c r="OP305" s="4"/>
      <c r="OQ305" s="4"/>
      <c r="OR305" s="5"/>
      <c r="OS305" s="6"/>
      <c r="OT305" s="4"/>
      <c r="OU305" s="4"/>
      <c r="OV305" s="4"/>
      <c r="OW305" s="4"/>
      <c r="OX305" s="4"/>
      <c r="OY305" s="5"/>
      <c r="OZ305" s="6"/>
      <c r="PA305" s="4"/>
      <c r="PB305" s="4"/>
      <c r="PC305" s="4"/>
      <c r="PD305" s="4"/>
      <c r="PE305" s="4"/>
      <c r="PF305" s="5"/>
      <c r="PG305" s="6"/>
      <c r="PH305" s="4"/>
      <c r="PI305" s="4"/>
      <c r="PJ305" s="4"/>
      <c r="PK305" s="4"/>
      <c r="PL305" s="4"/>
      <c r="PM305" s="5"/>
      <c r="PN305" s="6"/>
      <c r="PO305" s="4"/>
      <c r="PP305" s="4"/>
      <c r="PQ305" s="4"/>
      <c r="PR305" s="4"/>
      <c r="PS305" s="4"/>
      <c r="PT305" s="5"/>
      <c r="PU305" s="6"/>
      <c r="PV305" s="4"/>
      <c r="PW305" s="4"/>
      <c r="PX305" s="4"/>
      <c r="PY305" s="4"/>
      <c r="PZ305" s="4"/>
      <c r="QA305" s="5"/>
      <c r="QB305" s="6"/>
      <c r="QC305" s="4"/>
      <c r="QD305" s="4"/>
      <c r="QE305" s="4"/>
      <c r="QF305" s="4"/>
      <c r="QG305" s="4"/>
      <c r="QH305" s="5"/>
      <c r="QI305" s="6"/>
      <c r="QJ305" s="4"/>
      <c r="QK305" s="4"/>
      <c r="QL305" s="4"/>
      <c r="QM305" s="4"/>
      <c r="QN305" s="4"/>
      <c r="QO305" s="5"/>
      <c r="QP305" s="6"/>
      <c r="QQ305" s="4"/>
      <c r="QR305" s="4"/>
      <c r="QS305" s="4"/>
      <c r="QT305" s="4"/>
      <c r="QU305" s="4"/>
      <c r="QV305" s="5"/>
      <c r="QW305" s="6"/>
      <c r="QX305" s="4"/>
      <c r="QY305" s="4"/>
      <c r="QZ305" s="4"/>
      <c r="RA305" s="4"/>
      <c r="RB305" s="4"/>
      <c r="RC305" s="5"/>
      <c r="RD305" s="6"/>
      <c r="RE305" s="4"/>
      <c r="RF305" s="4"/>
      <c r="RG305" s="4"/>
      <c r="RH305" s="4"/>
      <c r="RI305" s="4"/>
      <c r="RJ305" s="5"/>
      <c r="RK305" s="6"/>
      <c r="RL305" s="4"/>
      <c r="RM305" s="4"/>
      <c r="RN305" s="4"/>
      <c r="RO305" s="4"/>
      <c r="RP305" s="4"/>
      <c r="RQ305" s="5"/>
      <c r="RR305" s="6"/>
      <c r="RS305" s="4"/>
      <c r="RT305" s="4"/>
      <c r="RU305" s="4"/>
      <c r="RV305" s="4"/>
      <c r="RW305" s="4"/>
      <c r="RX305" s="5"/>
      <c r="RY305" s="6"/>
      <c r="RZ305" s="4"/>
      <c r="SA305" s="4"/>
      <c r="SB305" s="4"/>
      <c r="SC305" s="4"/>
      <c r="SD305" s="4"/>
      <c r="SE305" s="5"/>
      <c r="SF305" s="6"/>
      <c r="SG305" s="4"/>
      <c r="SH305" s="4"/>
      <c r="SI305" s="4"/>
      <c r="SJ305" s="4"/>
      <c r="SK305" s="4"/>
      <c r="SL305" s="5"/>
      <c r="SM305" s="6"/>
      <c r="SN305" s="4"/>
      <c r="SO305" s="4"/>
      <c r="SP305" s="4"/>
      <c r="SQ305" s="4"/>
      <c r="SR305" s="4"/>
      <c r="SS305" s="5"/>
      <c r="ST305" s="6"/>
      <c r="SU305" s="4"/>
      <c r="SV305" s="4"/>
      <c r="SW305" s="4"/>
      <c r="SX305" s="4"/>
      <c r="SY305" s="4"/>
      <c r="SZ305" s="5"/>
      <c r="TA305" s="6"/>
      <c r="TB305" s="4"/>
      <c r="TC305" s="4"/>
      <c r="TD305" s="4"/>
      <c r="TE305" s="4"/>
      <c r="TF305" s="4"/>
      <c r="TG305" s="5"/>
      <c r="TH305" s="6"/>
      <c r="TI305" s="4"/>
      <c r="TJ305" s="4"/>
      <c r="TK305" s="4"/>
      <c r="TL305" s="4"/>
      <c r="TM305" s="4"/>
      <c r="TN305" s="5"/>
      <c r="TO305" s="6"/>
      <c r="TP305" s="4"/>
      <c r="TQ305" s="4"/>
      <c r="TR305" s="4"/>
      <c r="TS305" s="4"/>
      <c r="TT305" s="4"/>
      <c r="TU305" s="5"/>
      <c r="TV305" s="6"/>
      <c r="TW305" s="4"/>
      <c r="TX305" s="4"/>
      <c r="TY305" s="4"/>
      <c r="TZ305" s="4"/>
      <c r="UA305" s="4"/>
      <c r="UB305" s="5"/>
      <c r="UC305" s="6"/>
      <c r="UD305" s="4"/>
      <c r="UE305" s="4"/>
      <c r="UF305" s="4"/>
      <c r="UG305" s="4"/>
      <c r="UH305" s="4"/>
      <c r="UI305" s="5"/>
      <c r="UJ305" s="6"/>
      <c r="UK305" s="4"/>
      <c r="UL305" s="4"/>
      <c r="UM305" s="4"/>
      <c r="UN305" s="4"/>
      <c r="UO305" s="4"/>
      <c r="UP305" s="5"/>
      <c r="UQ305" s="6"/>
      <c r="UR305" s="4"/>
      <c r="US305" s="4"/>
      <c r="UT305" s="4"/>
      <c r="UU305" s="4"/>
      <c r="UV305" s="4"/>
      <c r="UW305" s="5"/>
      <c r="UX305" s="6"/>
      <c r="UY305" s="4"/>
      <c r="UZ305" s="4"/>
      <c r="VA305" s="4"/>
      <c r="VB305" s="4"/>
      <c r="VC305" s="4"/>
      <c r="VD305" s="5"/>
      <c r="VE305" s="6"/>
      <c r="VF305" s="4"/>
      <c r="VG305" s="4"/>
      <c r="VH305" s="4"/>
      <c r="VI305" s="4"/>
      <c r="VJ305" s="4"/>
      <c r="VK305" s="5"/>
      <c r="VL305" s="6"/>
      <c r="VM305" s="4"/>
      <c r="VN305" s="4"/>
      <c r="VO305" s="4"/>
      <c r="VP305" s="4"/>
      <c r="VQ305" s="4"/>
      <c r="VR305" s="5"/>
      <c r="VS305" s="6"/>
      <c r="VT305" s="4"/>
      <c r="VU305" s="4"/>
      <c r="VV305" s="4"/>
      <c r="VW305" s="4"/>
      <c r="VX305" s="4"/>
      <c r="VY305" s="5"/>
      <c r="VZ305" s="6"/>
      <c r="WA305" s="4"/>
      <c r="WB305" s="4"/>
      <c r="WC305" s="4"/>
      <c r="WD305" s="4"/>
      <c r="WE305" s="4"/>
      <c r="WF305" s="5"/>
      <c r="WG305" s="6"/>
      <c r="WH305" s="4"/>
      <c r="WI305" s="4"/>
      <c r="WJ305" s="4"/>
      <c r="WK305" s="4"/>
      <c r="WL305" s="4"/>
      <c r="WM305" s="5"/>
      <c r="WN305" s="6"/>
      <c r="WO305" s="4"/>
      <c r="WP305" s="4"/>
      <c r="WQ305" s="4"/>
      <c r="WR305" s="4"/>
      <c r="WS305" s="4"/>
      <c r="WT305" s="5"/>
      <c r="WU305" s="6"/>
      <c r="WV305" s="4"/>
      <c r="WW305" s="4"/>
      <c r="WX305" s="4"/>
      <c r="WY305" s="4"/>
      <c r="WZ305" s="4"/>
      <c r="XA305" s="5"/>
      <c r="XB305" s="6"/>
      <c r="XC305" s="4"/>
      <c r="XD305" s="4"/>
      <c r="XE305" s="4"/>
      <c r="XF305" s="4"/>
      <c r="XG305" s="4"/>
      <c r="XH305" s="5"/>
      <c r="XI305" s="6"/>
      <c r="XJ305" s="4"/>
      <c r="XK305" s="4"/>
      <c r="XL305" s="4"/>
      <c r="XM305" s="4"/>
      <c r="XN305" s="4"/>
      <c r="XO305" s="5"/>
      <c r="XP305" s="6"/>
      <c r="XQ305" s="4"/>
      <c r="XR305" s="4"/>
      <c r="XS305" s="4"/>
      <c r="XT305" s="4"/>
      <c r="XU305" s="4"/>
      <c r="XV305" s="5"/>
      <c r="XW305" s="6"/>
      <c r="XX305" s="4"/>
      <c r="XY305" s="4"/>
      <c r="XZ305" s="4"/>
      <c r="YA305" s="4"/>
      <c r="YB305" s="4"/>
      <c r="YC305" s="5"/>
      <c r="YD305" s="6"/>
      <c r="YE305" s="4"/>
      <c r="YF305" s="4"/>
      <c r="YG305" s="4"/>
      <c r="YH305" s="4"/>
      <c r="YI305" s="4"/>
      <c r="YJ305" s="5"/>
      <c r="YK305" s="11" t="s">
        <v>1943</v>
      </c>
      <c r="YL305" s="7" t="s">
        <v>1793</v>
      </c>
      <c r="YM305" s="4" t="s">
        <v>1794</v>
      </c>
      <c r="YN305" s="4"/>
      <c r="YO305" s="8"/>
      <c r="YP305" s="4"/>
      <c r="YQ305" s="5"/>
      <c r="YR305" s="6"/>
      <c r="YS305" s="4"/>
      <c r="YT305" s="4"/>
      <c r="YU305" s="4"/>
      <c r="YV305" s="4"/>
      <c r="YW305" s="4"/>
      <c r="YX305" s="5"/>
      <c r="YY305" s="6"/>
      <c r="YZ305" s="4"/>
      <c r="ZA305" s="4"/>
      <c r="ZB305" s="4"/>
      <c r="ZC305" s="4"/>
      <c r="ZD305" s="4"/>
      <c r="ZE305" s="5"/>
      <c r="ZF305" s="6"/>
      <c r="ZG305" s="4"/>
      <c r="ZH305" s="4"/>
      <c r="ZI305" s="4"/>
      <c r="ZJ305" s="4"/>
      <c r="ZK305" s="4"/>
      <c r="ZL305" s="5"/>
      <c r="ZM305" s="6"/>
      <c r="ZN305" s="4"/>
      <c r="ZO305" s="4"/>
      <c r="ZP305" s="4"/>
      <c r="ZQ305" s="4"/>
      <c r="ZR305" s="4"/>
      <c r="ZS305" s="5"/>
      <c r="ZT305" s="6"/>
      <c r="ZU305" s="4"/>
      <c r="ZV305" s="4"/>
      <c r="ZW305" s="4"/>
      <c r="ZX305" s="4"/>
      <c r="ZY305" s="4"/>
      <c r="ZZ305" s="5"/>
      <c r="AAA305" s="6"/>
      <c r="AAB305" s="4"/>
      <c r="AAC305" s="4"/>
      <c r="AAD305" s="4"/>
      <c r="AAE305" s="4"/>
      <c r="AAF305" s="4"/>
      <c r="AAG305" s="5"/>
      <c r="AAH305" s="6"/>
      <c r="AAI305" s="4"/>
      <c r="AAJ305" s="4"/>
      <c r="AAK305" s="4"/>
      <c r="AAL305" s="4"/>
      <c r="AAM305" s="4"/>
      <c r="AAN305" s="5"/>
      <c r="AAO305" s="6"/>
      <c r="AAP305" s="4"/>
      <c r="AAQ305" s="4"/>
      <c r="AAR305" s="4"/>
      <c r="AAS305" s="4"/>
      <c r="AAT305" s="4"/>
      <c r="AAU305" s="5"/>
      <c r="AAV305" s="6"/>
      <c r="AAW305" s="4"/>
      <c r="AAX305" s="4"/>
      <c r="AAY305" s="4"/>
      <c r="AAZ305" s="4"/>
      <c r="ABA305" s="4"/>
      <c r="ABB305" s="5"/>
      <c r="ABC305" s="6"/>
      <c r="ABD305" s="4"/>
      <c r="ABE305" s="4"/>
      <c r="ABF305" s="4"/>
      <c r="ABG305" s="8"/>
      <c r="ABH305" s="4"/>
      <c r="ABI305" s="5"/>
      <c r="ABJ305" s="6"/>
      <c r="ABK305" s="4"/>
      <c r="ABL305" s="4"/>
      <c r="ABM305" s="4"/>
      <c r="ABN305" s="4"/>
      <c r="ABO305" s="4"/>
      <c r="ABP305" s="5"/>
      <c r="ABQ305" s="6"/>
      <c r="ABR305" s="4"/>
      <c r="ABS305" s="4"/>
      <c r="ABT305" s="4"/>
      <c r="ABU305" s="4"/>
      <c r="ABV305" s="4"/>
      <c r="ABW305" s="5"/>
      <c r="ABX305" s="6"/>
      <c r="ABY305" s="4"/>
      <c r="ABZ305" s="4"/>
      <c r="ACA305" s="4"/>
      <c r="ACB305" s="4"/>
      <c r="ACC305" s="4"/>
      <c r="ACD305" s="5"/>
      <c r="ACE305" s="6"/>
      <c r="ACF305" s="4"/>
      <c r="ACG305" s="4"/>
      <c r="ACH305" s="4"/>
      <c r="ACI305" s="4"/>
      <c r="ACJ305" s="4"/>
      <c r="ACK305" s="5"/>
      <c r="ACL305" s="6"/>
      <c r="ACM305" s="4"/>
      <c r="ACN305" s="4"/>
      <c r="ACO305" s="4"/>
      <c r="ACP305" s="4"/>
      <c r="ACQ305" s="4"/>
      <c r="ACR305" s="5"/>
      <c r="ACS305" s="6"/>
      <c r="ACT305" s="4"/>
      <c r="ACU305" s="4"/>
      <c r="ACV305" s="4"/>
      <c r="ACW305" s="4"/>
      <c r="ACX305" s="4"/>
      <c r="ACY305" s="5"/>
    </row>
    <row r="306" spans="2:805" x14ac:dyDescent="0.25">
      <c r="J306" s="12"/>
      <c r="K306" s="12"/>
      <c r="L306" s="12"/>
      <c r="LL306" s="6"/>
      <c r="LM306" s="4"/>
      <c r="LN306" s="4"/>
      <c r="LO306" s="4"/>
      <c r="LP306" s="4"/>
      <c r="LQ306" s="4"/>
      <c r="LR306" s="5"/>
      <c r="LS306" s="6"/>
      <c r="LT306" s="4"/>
      <c r="LU306" s="4"/>
      <c r="LV306" s="4"/>
      <c r="LW306" s="4"/>
      <c r="LX306" s="4"/>
      <c r="LY306" s="5"/>
      <c r="LZ306" s="6"/>
      <c r="MA306" s="4"/>
      <c r="MB306" s="4"/>
      <c r="MC306" s="4"/>
      <c r="MD306" s="4"/>
      <c r="ME306" s="4"/>
      <c r="MF306" s="4"/>
      <c r="MG306" s="5"/>
      <c r="MH306" s="6"/>
      <c r="MI306" s="4"/>
      <c r="MJ306" s="4"/>
      <c r="MK306" s="4"/>
      <c r="ML306" s="4"/>
      <c r="MM306" s="4"/>
      <c r="MN306" s="5"/>
      <c r="MO306" s="6"/>
      <c r="MP306" s="4"/>
      <c r="MQ306" s="4"/>
      <c r="MR306" s="4"/>
      <c r="MS306" s="4"/>
      <c r="MT306" s="4"/>
      <c r="MU306" s="5"/>
      <c r="MV306" s="6"/>
      <c r="MW306" s="4"/>
      <c r="MX306" s="4"/>
      <c r="MY306" s="4"/>
      <c r="MZ306" s="4"/>
      <c r="NA306" s="4"/>
      <c r="NB306" s="5"/>
      <c r="NC306" s="6" t="s">
        <v>2167</v>
      </c>
      <c r="ND306" s="7" t="s">
        <v>2167</v>
      </c>
      <c r="NE306" s="7" t="s">
        <v>2168</v>
      </c>
      <c r="NF306" s="4"/>
      <c r="NG306" s="4"/>
      <c r="NH306" s="4"/>
      <c r="NI306" s="5" t="s">
        <v>3969</v>
      </c>
      <c r="NJ306" s="6"/>
      <c r="NK306" s="4"/>
      <c r="NL306" s="4"/>
      <c r="NM306" s="4"/>
      <c r="NN306" s="4"/>
      <c r="NO306" s="4"/>
      <c r="NP306" s="5"/>
      <c r="NQ306" s="6"/>
      <c r="NR306" s="4"/>
      <c r="NS306" s="4"/>
      <c r="NT306" s="4"/>
      <c r="NU306" s="4"/>
      <c r="NV306" s="4"/>
      <c r="NW306" s="5"/>
      <c r="NX306" s="6"/>
      <c r="NY306" s="4"/>
      <c r="NZ306" s="4"/>
      <c r="OA306" s="4"/>
      <c r="OB306" s="4"/>
      <c r="OC306" s="4"/>
      <c r="OD306" s="5"/>
      <c r="OE306" s="6"/>
      <c r="OF306" s="4"/>
      <c r="OG306" s="4"/>
      <c r="OH306" s="4"/>
      <c r="OI306" s="4"/>
      <c r="OJ306" s="4"/>
      <c r="OK306" s="5"/>
      <c r="OL306" s="6"/>
      <c r="OM306" s="4"/>
      <c r="ON306" s="4"/>
      <c r="OO306" s="4"/>
      <c r="OP306" s="4"/>
      <c r="OQ306" s="4"/>
      <c r="OR306" s="5"/>
      <c r="OS306" s="6"/>
      <c r="OT306" s="4"/>
      <c r="OU306" s="4"/>
      <c r="OV306" s="4"/>
      <c r="OW306" s="4"/>
      <c r="OX306" s="4"/>
      <c r="OY306" s="5"/>
      <c r="OZ306" s="6"/>
      <c r="PA306" s="4"/>
      <c r="PB306" s="4"/>
      <c r="PC306" s="4"/>
      <c r="PD306" s="4"/>
      <c r="PE306" s="4"/>
      <c r="PF306" s="5"/>
      <c r="PG306" s="6"/>
      <c r="PH306" s="4"/>
      <c r="PI306" s="4"/>
      <c r="PJ306" s="4"/>
      <c r="PK306" s="4"/>
      <c r="PL306" s="4"/>
      <c r="PM306" s="5"/>
      <c r="PN306" s="6"/>
      <c r="PO306" s="4"/>
      <c r="PP306" s="4"/>
      <c r="PQ306" s="4"/>
      <c r="PR306" s="4"/>
      <c r="PS306" s="4"/>
      <c r="PT306" s="5"/>
      <c r="PU306" s="6"/>
      <c r="PV306" s="4"/>
      <c r="PW306" s="4"/>
      <c r="PX306" s="4"/>
      <c r="PY306" s="4"/>
      <c r="PZ306" s="4"/>
      <c r="QA306" s="5"/>
      <c r="QB306" s="6"/>
      <c r="QC306" s="4"/>
      <c r="QD306" s="4"/>
      <c r="QE306" s="4"/>
      <c r="QF306" s="4"/>
      <c r="QG306" s="4"/>
      <c r="QH306" s="5"/>
      <c r="QI306" s="6"/>
      <c r="QJ306" s="4"/>
      <c r="QK306" s="4"/>
      <c r="QL306" s="4"/>
      <c r="QM306" s="4"/>
      <c r="QN306" s="4"/>
      <c r="QO306" s="5"/>
      <c r="QP306" s="6"/>
      <c r="QQ306" s="4"/>
      <c r="QR306" s="4"/>
      <c r="QS306" s="4"/>
      <c r="QT306" s="4"/>
      <c r="QU306" s="4"/>
      <c r="QV306" s="5"/>
      <c r="QW306" s="6"/>
      <c r="QX306" s="4"/>
      <c r="QY306" s="4"/>
      <c r="QZ306" s="4"/>
      <c r="RA306" s="4"/>
      <c r="RB306" s="4"/>
      <c r="RC306" s="5"/>
      <c r="RD306" s="6"/>
      <c r="RE306" s="4"/>
      <c r="RF306" s="4"/>
      <c r="RG306" s="4"/>
      <c r="RH306" s="4"/>
      <c r="RI306" s="4"/>
      <c r="RJ306" s="5"/>
      <c r="RK306" s="6"/>
      <c r="RL306" s="4"/>
      <c r="RM306" s="4"/>
      <c r="RN306" s="4"/>
      <c r="RO306" s="4"/>
      <c r="RP306" s="4"/>
      <c r="RQ306" s="5"/>
      <c r="RR306" s="6"/>
      <c r="RS306" s="4"/>
      <c r="RT306" s="4"/>
      <c r="RU306" s="4"/>
      <c r="RV306" s="4"/>
      <c r="RW306" s="4"/>
      <c r="RX306" s="5"/>
      <c r="RY306" s="6"/>
      <c r="RZ306" s="4"/>
      <c r="SA306" s="4"/>
      <c r="SB306" s="4"/>
      <c r="SC306" s="4"/>
      <c r="SD306" s="4"/>
      <c r="SE306" s="5"/>
      <c r="SF306" s="6"/>
      <c r="SG306" s="4"/>
      <c r="SH306" s="4"/>
      <c r="SI306" s="4"/>
      <c r="SJ306" s="4"/>
      <c r="SK306" s="4"/>
      <c r="SL306" s="5"/>
      <c r="SM306" s="6"/>
      <c r="SN306" s="4"/>
      <c r="SO306" s="4"/>
      <c r="SP306" s="4"/>
      <c r="SQ306" s="4"/>
      <c r="SR306" s="4"/>
      <c r="SS306" s="5"/>
      <c r="ST306" s="6"/>
      <c r="SU306" s="4"/>
      <c r="SV306" s="4"/>
      <c r="SW306" s="4"/>
      <c r="SX306" s="4"/>
      <c r="SY306" s="4"/>
      <c r="SZ306" s="5"/>
      <c r="TA306" s="6"/>
      <c r="TB306" s="4"/>
      <c r="TC306" s="4"/>
      <c r="TD306" s="4"/>
      <c r="TE306" s="4"/>
      <c r="TF306" s="4"/>
      <c r="TG306" s="5"/>
      <c r="TH306" s="6"/>
      <c r="TI306" s="4"/>
      <c r="TJ306" s="4"/>
      <c r="TK306" s="4"/>
      <c r="TL306" s="4"/>
      <c r="TM306" s="4"/>
      <c r="TN306" s="5"/>
      <c r="TO306" s="6"/>
      <c r="TP306" s="4"/>
      <c r="TQ306" s="4"/>
      <c r="TR306" s="4"/>
      <c r="TS306" s="4"/>
      <c r="TT306" s="4"/>
      <c r="TU306" s="5"/>
      <c r="TV306" s="6"/>
      <c r="TW306" s="4"/>
      <c r="TX306" s="4"/>
      <c r="TY306" s="4"/>
      <c r="TZ306" s="4"/>
      <c r="UA306" s="4"/>
      <c r="UB306" s="5"/>
      <c r="UC306" s="6"/>
      <c r="UD306" s="4"/>
      <c r="UE306" s="4"/>
      <c r="UF306" s="4"/>
      <c r="UG306" s="4"/>
      <c r="UH306" s="4"/>
      <c r="UI306" s="5"/>
      <c r="UJ306" s="6"/>
      <c r="UK306" s="4"/>
      <c r="UL306" s="4"/>
      <c r="UM306" s="4"/>
      <c r="UN306" s="4"/>
      <c r="UO306" s="4"/>
      <c r="UP306" s="5"/>
      <c r="UQ306" s="6"/>
      <c r="UR306" s="4"/>
      <c r="US306" s="4"/>
      <c r="UT306" s="4"/>
      <c r="UU306" s="4"/>
      <c r="UV306" s="4"/>
      <c r="UW306" s="5"/>
      <c r="UX306" s="6"/>
      <c r="UY306" s="4"/>
      <c r="UZ306" s="4"/>
      <c r="VA306" s="4"/>
      <c r="VB306" s="4"/>
      <c r="VC306" s="4"/>
      <c r="VD306" s="5"/>
      <c r="VE306" s="6"/>
      <c r="VF306" s="4"/>
      <c r="VG306" s="4"/>
      <c r="VH306" s="4"/>
      <c r="VI306" s="4"/>
      <c r="VJ306" s="4"/>
      <c r="VK306" s="5"/>
      <c r="VL306" s="6"/>
      <c r="VM306" s="4"/>
      <c r="VN306" s="4"/>
      <c r="VO306" s="4"/>
      <c r="VP306" s="4"/>
      <c r="VQ306" s="4"/>
      <c r="VR306" s="5"/>
      <c r="VS306" s="6"/>
      <c r="VT306" s="4"/>
      <c r="VU306" s="4"/>
      <c r="VV306" s="4"/>
      <c r="VW306" s="4"/>
      <c r="VX306" s="4"/>
      <c r="VY306" s="5"/>
      <c r="VZ306" s="6"/>
      <c r="WA306" s="4"/>
      <c r="WB306" s="4"/>
      <c r="WC306" s="4"/>
      <c r="WD306" s="4"/>
      <c r="WE306" s="4"/>
      <c r="WF306" s="5"/>
      <c r="WG306" s="6"/>
      <c r="WH306" s="4"/>
      <c r="WI306" s="4"/>
      <c r="WJ306" s="4"/>
      <c r="WK306" s="4"/>
      <c r="WL306" s="4"/>
      <c r="WM306" s="5"/>
      <c r="WN306" s="6"/>
      <c r="WO306" s="4"/>
      <c r="WP306" s="4"/>
      <c r="WQ306" s="4"/>
      <c r="WR306" s="4"/>
      <c r="WS306" s="4"/>
      <c r="WT306" s="5"/>
      <c r="WU306" s="6"/>
      <c r="WV306" s="4"/>
      <c r="WW306" s="4"/>
      <c r="WX306" s="4"/>
      <c r="WY306" s="4"/>
      <c r="WZ306" s="4"/>
      <c r="XA306" s="5"/>
      <c r="XB306" s="6"/>
      <c r="XC306" s="4"/>
      <c r="XD306" s="4"/>
      <c r="XE306" s="4"/>
      <c r="XF306" s="4"/>
      <c r="XG306" s="4"/>
      <c r="XH306" s="5"/>
      <c r="XI306" s="6"/>
      <c r="XJ306" s="4"/>
      <c r="XK306" s="4"/>
      <c r="XL306" s="4"/>
      <c r="XM306" s="4"/>
      <c r="XN306" s="4"/>
      <c r="XO306" s="5"/>
      <c r="XP306" s="6"/>
      <c r="XQ306" s="4"/>
      <c r="XR306" s="4"/>
      <c r="XS306" s="4"/>
      <c r="XT306" s="4"/>
      <c r="XU306" s="4"/>
      <c r="XV306" s="5"/>
      <c r="XW306" s="6"/>
      <c r="XX306" s="4"/>
      <c r="XY306" s="4"/>
      <c r="XZ306" s="4"/>
      <c r="YA306" s="4"/>
      <c r="YB306" s="4"/>
      <c r="YC306" s="5"/>
      <c r="YD306" s="6"/>
      <c r="YE306" s="4"/>
      <c r="YF306" s="4"/>
      <c r="YG306" s="4"/>
      <c r="YH306" s="4"/>
      <c r="YI306" s="4"/>
      <c r="YJ306" s="5"/>
      <c r="YK306" s="11" t="s">
        <v>1795</v>
      </c>
      <c r="YL306" s="7" t="s">
        <v>1795</v>
      </c>
      <c r="YM306" s="4"/>
      <c r="YN306" s="4"/>
      <c r="YO306" s="8">
        <v>37920</v>
      </c>
      <c r="YP306" s="4"/>
      <c r="YQ306" s="5"/>
      <c r="YR306" s="6"/>
      <c r="YS306" s="4"/>
      <c r="YT306" s="4"/>
      <c r="YU306" s="4"/>
      <c r="YV306" s="4"/>
      <c r="YW306" s="4"/>
      <c r="YX306" s="5"/>
      <c r="YY306" s="6"/>
      <c r="YZ306" s="4"/>
      <c r="ZA306" s="4"/>
      <c r="ZB306" s="4"/>
      <c r="ZC306" s="4"/>
      <c r="ZD306" s="4"/>
      <c r="ZE306" s="5"/>
      <c r="ZF306" s="6"/>
      <c r="ZG306" s="4"/>
      <c r="ZH306" s="4"/>
      <c r="ZI306" s="4"/>
      <c r="ZJ306" s="4"/>
      <c r="ZK306" s="4"/>
      <c r="ZL306" s="5"/>
      <c r="ZM306" s="6"/>
      <c r="ZN306" s="4"/>
      <c r="ZO306" s="4"/>
      <c r="ZP306" s="4"/>
      <c r="ZQ306" s="4"/>
      <c r="ZR306" s="4"/>
      <c r="ZS306" s="5"/>
      <c r="ZT306" s="6"/>
      <c r="ZU306" s="4"/>
      <c r="ZV306" s="4"/>
      <c r="ZW306" s="4"/>
      <c r="ZX306" s="4"/>
      <c r="ZY306" s="4"/>
      <c r="ZZ306" s="5"/>
      <c r="AAA306" s="6"/>
      <c r="AAB306" s="4"/>
      <c r="AAC306" s="4"/>
      <c r="AAD306" s="4"/>
      <c r="AAE306" s="4"/>
      <c r="AAF306" s="4"/>
      <c r="AAG306" s="5"/>
      <c r="AAH306" s="6"/>
      <c r="AAI306" s="4"/>
      <c r="AAJ306" s="4"/>
      <c r="AAK306" s="4"/>
      <c r="AAL306" s="4"/>
      <c r="AAM306" s="4"/>
      <c r="AAN306" s="5"/>
      <c r="AAO306" s="6"/>
      <c r="AAP306" s="4"/>
      <c r="AAQ306" s="4"/>
      <c r="AAR306" s="4"/>
      <c r="AAS306" s="4"/>
      <c r="AAT306" s="4"/>
      <c r="AAU306" s="5"/>
      <c r="AAV306" s="6"/>
      <c r="AAW306" s="4"/>
      <c r="AAX306" s="4"/>
      <c r="AAY306" s="4"/>
      <c r="AAZ306" s="4"/>
      <c r="ABA306" s="4"/>
      <c r="ABB306" s="5"/>
      <c r="ABC306" s="6"/>
      <c r="ABD306" s="4"/>
      <c r="ABE306" s="4"/>
      <c r="ABF306" s="4"/>
      <c r="ABG306" s="8"/>
      <c r="ABH306" s="4"/>
      <c r="ABI306" s="5"/>
      <c r="ABJ306" s="6"/>
      <c r="ABK306" s="4"/>
      <c r="ABL306" s="4"/>
      <c r="ABM306" s="4"/>
      <c r="ABN306" s="4"/>
      <c r="ABO306" s="4"/>
      <c r="ABP306" s="5"/>
      <c r="ABQ306" s="6"/>
      <c r="ABR306" s="4"/>
      <c r="ABS306" s="4"/>
      <c r="ABT306" s="4"/>
      <c r="ABU306" s="4"/>
      <c r="ABV306" s="4"/>
      <c r="ABW306" s="5"/>
      <c r="ABX306" s="6"/>
      <c r="ABY306" s="4"/>
      <c r="ABZ306" s="4"/>
      <c r="ACA306" s="4"/>
      <c r="ACB306" s="4"/>
      <c r="ACC306" s="4"/>
      <c r="ACD306" s="5"/>
      <c r="ACE306" s="6"/>
      <c r="ACF306" s="4"/>
      <c r="ACG306" s="4"/>
      <c r="ACH306" s="4"/>
      <c r="ACI306" s="4"/>
      <c r="ACJ306" s="4"/>
      <c r="ACK306" s="5"/>
      <c r="ACL306" s="6"/>
      <c r="ACM306" s="4"/>
      <c r="ACN306" s="4"/>
      <c r="ACO306" s="4"/>
      <c r="ACP306" s="4"/>
      <c r="ACQ306" s="4"/>
      <c r="ACR306" s="5"/>
      <c r="ACS306" s="6"/>
      <c r="ACT306" s="4"/>
      <c r="ACU306" s="4"/>
      <c r="ACV306" s="4"/>
      <c r="ACW306" s="4"/>
      <c r="ACX306" s="4"/>
      <c r="ACY306" s="5"/>
    </row>
    <row r="307" spans="2:805" x14ac:dyDescent="0.25">
      <c r="J307" s="12"/>
      <c r="K307" s="12"/>
      <c r="L307" s="12"/>
      <c r="LL307" s="6"/>
      <c r="LM307" s="4"/>
      <c r="LN307" s="4"/>
      <c r="LO307" s="4"/>
      <c r="LP307" s="4"/>
      <c r="LQ307" s="4"/>
      <c r="LR307" s="5"/>
      <c r="LS307" s="6"/>
      <c r="LT307" s="4"/>
      <c r="LU307" s="4"/>
      <c r="LV307" s="4"/>
      <c r="LW307" s="4"/>
      <c r="LX307" s="4"/>
      <c r="LY307" s="5"/>
      <c r="LZ307" s="6"/>
      <c r="MA307" s="4"/>
      <c r="MB307" s="4"/>
      <c r="MC307" s="4"/>
      <c r="MD307" s="4"/>
      <c r="ME307" s="4"/>
      <c r="MF307" s="4"/>
      <c r="MG307" s="5"/>
      <c r="MH307" s="6"/>
      <c r="MI307" s="4"/>
      <c r="MJ307" s="4"/>
      <c r="MK307" s="4"/>
      <c r="ML307" s="4"/>
      <c r="MM307" s="4"/>
      <c r="MN307" s="5"/>
      <c r="MO307" s="6"/>
      <c r="MP307" s="4"/>
      <c r="MQ307" s="4"/>
      <c r="MR307" s="4"/>
      <c r="MS307" s="4"/>
      <c r="MT307" s="4"/>
      <c r="MU307" s="5"/>
      <c r="MV307" s="6"/>
      <c r="MW307" s="4"/>
      <c r="MX307" s="4"/>
      <c r="MY307" s="4"/>
      <c r="MZ307" s="4"/>
      <c r="NA307" s="4"/>
      <c r="NB307" s="5"/>
      <c r="NC307" s="6" t="s">
        <v>2169</v>
      </c>
      <c r="ND307" s="7" t="s">
        <v>2170</v>
      </c>
      <c r="NE307" s="7" t="s">
        <v>1503</v>
      </c>
      <c r="NF307" s="4"/>
      <c r="NG307" s="4"/>
      <c r="NH307" s="4"/>
      <c r="NI307" s="5"/>
      <c r="NJ307" s="6"/>
      <c r="NK307" s="4"/>
      <c r="NL307" s="4"/>
      <c r="NM307" s="4"/>
      <c r="NN307" s="4"/>
      <c r="NO307" s="4"/>
      <c r="NP307" s="5"/>
      <c r="NQ307" s="6"/>
      <c r="NR307" s="4"/>
      <c r="NS307" s="4"/>
      <c r="NT307" s="4"/>
      <c r="NU307" s="4"/>
      <c r="NV307" s="4"/>
      <c r="NW307" s="5"/>
      <c r="NX307" s="6"/>
      <c r="NY307" s="4"/>
      <c r="NZ307" s="4"/>
      <c r="OA307" s="4"/>
      <c r="OB307" s="4"/>
      <c r="OC307" s="4"/>
      <c r="OD307" s="5"/>
      <c r="OE307" s="6"/>
      <c r="OF307" s="4"/>
      <c r="OG307" s="4"/>
      <c r="OH307" s="4"/>
      <c r="OI307" s="4"/>
      <c r="OJ307" s="4"/>
      <c r="OK307" s="5"/>
      <c r="OL307" s="6"/>
      <c r="OM307" s="4"/>
      <c r="ON307" s="4"/>
      <c r="OO307" s="4"/>
      <c r="OP307" s="4"/>
      <c r="OQ307" s="4"/>
      <c r="OR307" s="5"/>
      <c r="OS307" s="6"/>
      <c r="OT307" s="4"/>
      <c r="OU307" s="4"/>
      <c r="OV307" s="4"/>
      <c r="OW307" s="4"/>
      <c r="OX307" s="4"/>
      <c r="OY307" s="5"/>
      <c r="OZ307" s="6"/>
      <c r="PA307" s="4"/>
      <c r="PB307" s="4"/>
      <c r="PC307" s="4"/>
      <c r="PD307" s="4"/>
      <c r="PE307" s="4"/>
      <c r="PF307" s="5"/>
      <c r="PG307" s="6"/>
      <c r="PH307" s="4"/>
      <c r="PI307" s="4"/>
      <c r="PJ307" s="4"/>
      <c r="PK307" s="4"/>
      <c r="PL307" s="4"/>
      <c r="PM307" s="5"/>
      <c r="PN307" s="6"/>
      <c r="PO307" s="4"/>
      <c r="PP307" s="4"/>
      <c r="PQ307" s="4"/>
      <c r="PR307" s="4"/>
      <c r="PS307" s="4"/>
      <c r="PT307" s="5"/>
      <c r="PU307" s="6"/>
      <c r="PV307" s="4"/>
      <c r="PW307" s="4"/>
      <c r="PX307" s="4"/>
      <c r="PY307" s="4"/>
      <c r="PZ307" s="4"/>
      <c r="QA307" s="5"/>
      <c r="QB307" s="6"/>
      <c r="QC307" s="4"/>
      <c r="QD307" s="4"/>
      <c r="QE307" s="4"/>
      <c r="QF307" s="4"/>
      <c r="QG307" s="4"/>
      <c r="QH307" s="5"/>
      <c r="QI307" s="6"/>
      <c r="QJ307" s="4"/>
      <c r="QK307" s="4"/>
      <c r="QL307" s="4"/>
      <c r="QM307" s="4"/>
      <c r="QN307" s="4"/>
      <c r="QO307" s="5"/>
      <c r="QP307" s="6"/>
      <c r="QQ307" s="4"/>
      <c r="QR307" s="4"/>
      <c r="QS307" s="4"/>
      <c r="QT307" s="4"/>
      <c r="QU307" s="4"/>
      <c r="QV307" s="5"/>
      <c r="QW307" s="6"/>
      <c r="QX307" s="4"/>
      <c r="QY307" s="4"/>
      <c r="QZ307" s="4"/>
      <c r="RA307" s="4"/>
      <c r="RB307" s="4"/>
      <c r="RC307" s="5"/>
      <c r="RD307" s="6"/>
      <c r="RE307" s="4"/>
      <c r="RF307" s="4"/>
      <c r="RG307" s="4"/>
      <c r="RH307" s="4"/>
      <c r="RI307" s="4"/>
      <c r="RJ307" s="5"/>
      <c r="RK307" s="6"/>
      <c r="RL307" s="4"/>
      <c r="RM307" s="4"/>
      <c r="RN307" s="4"/>
      <c r="RO307" s="4"/>
      <c r="RP307" s="4"/>
      <c r="RQ307" s="5"/>
      <c r="RR307" s="6"/>
      <c r="RS307" s="4"/>
      <c r="RT307" s="4"/>
      <c r="RU307" s="4"/>
      <c r="RV307" s="4"/>
      <c r="RW307" s="4"/>
      <c r="RX307" s="5"/>
      <c r="RY307" s="6"/>
      <c r="RZ307" s="4"/>
      <c r="SA307" s="4"/>
      <c r="SB307" s="4"/>
      <c r="SC307" s="4"/>
      <c r="SD307" s="4"/>
      <c r="SE307" s="5"/>
      <c r="SF307" s="6"/>
      <c r="SG307" s="4"/>
      <c r="SH307" s="4"/>
      <c r="SI307" s="4"/>
      <c r="SJ307" s="4"/>
      <c r="SK307" s="4"/>
      <c r="SL307" s="5"/>
      <c r="SM307" s="6"/>
      <c r="SN307" s="4"/>
      <c r="SO307" s="4"/>
      <c r="SP307" s="4"/>
      <c r="SQ307" s="4"/>
      <c r="SR307" s="4"/>
      <c r="SS307" s="5"/>
      <c r="ST307" s="6"/>
      <c r="SU307" s="4"/>
      <c r="SV307" s="4"/>
      <c r="SW307" s="4"/>
      <c r="SX307" s="4"/>
      <c r="SY307" s="4"/>
      <c r="SZ307" s="5"/>
      <c r="TA307" s="6"/>
      <c r="TB307" s="4"/>
      <c r="TC307" s="4"/>
      <c r="TD307" s="4"/>
      <c r="TE307" s="4"/>
      <c r="TF307" s="4"/>
      <c r="TG307" s="5"/>
      <c r="TH307" s="6"/>
      <c r="TI307" s="4"/>
      <c r="TJ307" s="4"/>
      <c r="TK307" s="4"/>
      <c r="TL307" s="4"/>
      <c r="TM307" s="4"/>
      <c r="TN307" s="5"/>
      <c r="TO307" s="6"/>
      <c r="TP307" s="4"/>
      <c r="TQ307" s="4"/>
      <c r="TR307" s="4"/>
      <c r="TS307" s="4"/>
      <c r="TT307" s="4"/>
      <c r="TU307" s="5"/>
      <c r="TV307" s="6"/>
      <c r="TW307" s="4"/>
      <c r="TX307" s="4"/>
      <c r="TY307" s="4"/>
      <c r="TZ307" s="4"/>
      <c r="UA307" s="4"/>
      <c r="UB307" s="5"/>
      <c r="UC307" s="6"/>
      <c r="UD307" s="4"/>
      <c r="UE307" s="4"/>
      <c r="UF307" s="4"/>
      <c r="UG307" s="4"/>
      <c r="UH307" s="4"/>
      <c r="UI307" s="5"/>
      <c r="UJ307" s="6"/>
      <c r="UK307" s="4"/>
      <c r="UL307" s="4"/>
      <c r="UM307" s="4"/>
      <c r="UN307" s="4"/>
      <c r="UO307" s="4"/>
      <c r="UP307" s="5"/>
      <c r="UQ307" s="6"/>
      <c r="UR307" s="4"/>
      <c r="US307" s="4"/>
      <c r="UT307" s="4"/>
      <c r="UU307" s="4"/>
      <c r="UV307" s="4"/>
      <c r="UW307" s="5"/>
      <c r="UX307" s="6"/>
      <c r="UY307" s="4"/>
      <c r="UZ307" s="4"/>
      <c r="VA307" s="4"/>
      <c r="VB307" s="4"/>
      <c r="VC307" s="4"/>
      <c r="VD307" s="5"/>
      <c r="VE307" s="6"/>
      <c r="VF307" s="4"/>
      <c r="VG307" s="4"/>
      <c r="VH307" s="4"/>
      <c r="VI307" s="4"/>
      <c r="VJ307" s="4"/>
      <c r="VK307" s="5"/>
      <c r="VL307" s="6"/>
      <c r="VM307" s="4"/>
      <c r="VN307" s="4"/>
      <c r="VO307" s="4"/>
      <c r="VP307" s="4"/>
      <c r="VQ307" s="4"/>
      <c r="VR307" s="5"/>
      <c r="VS307" s="6"/>
      <c r="VT307" s="4"/>
      <c r="VU307" s="4"/>
      <c r="VV307" s="4"/>
      <c r="VW307" s="4"/>
      <c r="VX307" s="4"/>
      <c r="VY307" s="5"/>
      <c r="VZ307" s="6"/>
      <c r="WA307" s="4"/>
      <c r="WB307" s="4"/>
      <c r="WC307" s="4"/>
      <c r="WD307" s="4"/>
      <c r="WE307" s="4"/>
      <c r="WF307" s="5"/>
      <c r="WG307" s="6"/>
      <c r="WH307" s="4"/>
      <c r="WI307" s="4"/>
      <c r="WJ307" s="4"/>
      <c r="WK307" s="4"/>
      <c r="WL307" s="4"/>
      <c r="WM307" s="5"/>
      <c r="WN307" s="6"/>
      <c r="WO307" s="4"/>
      <c r="WP307" s="4"/>
      <c r="WQ307" s="4"/>
      <c r="WR307" s="4"/>
      <c r="WS307" s="4"/>
      <c r="WT307" s="5"/>
      <c r="WU307" s="6"/>
      <c r="WV307" s="4"/>
      <c r="WW307" s="4"/>
      <c r="WX307" s="4"/>
      <c r="WY307" s="4"/>
      <c r="WZ307" s="4"/>
      <c r="XA307" s="5"/>
      <c r="XB307" s="6"/>
      <c r="XC307" s="4"/>
      <c r="XD307" s="4"/>
      <c r="XE307" s="4"/>
      <c r="XF307" s="4"/>
      <c r="XG307" s="4"/>
      <c r="XH307" s="5"/>
      <c r="XI307" s="6"/>
      <c r="XJ307" s="4"/>
      <c r="XK307" s="4"/>
      <c r="XL307" s="4"/>
      <c r="XM307" s="4"/>
      <c r="XN307" s="4"/>
      <c r="XO307" s="5"/>
      <c r="XP307" s="6"/>
      <c r="XQ307" s="4"/>
      <c r="XR307" s="4"/>
      <c r="XS307" s="4"/>
      <c r="XT307" s="4"/>
      <c r="XU307" s="4"/>
      <c r="XV307" s="5"/>
      <c r="XW307" s="6"/>
      <c r="XX307" s="4"/>
      <c r="XY307" s="4"/>
      <c r="XZ307" s="4"/>
      <c r="YA307" s="4"/>
      <c r="YB307" s="4"/>
      <c r="YC307" s="5"/>
      <c r="YD307" s="6"/>
      <c r="YE307" s="4"/>
      <c r="YF307" s="4"/>
      <c r="YG307" s="4"/>
      <c r="YH307" s="4"/>
      <c r="YI307" s="4"/>
      <c r="YJ307" s="5"/>
      <c r="YK307" s="6" t="s">
        <v>1796</v>
      </c>
      <c r="YL307" s="7" t="s">
        <v>2601</v>
      </c>
      <c r="YM307" s="4" t="s">
        <v>1794</v>
      </c>
      <c r="YN307" s="4"/>
      <c r="YO307" s="8"/>
      <c r="YP307" s="4"/>
      <c r="YQ307" s="5"/>
      <c r="YR307" s="6"/>
      <c r="YS307" s="4"/>
      <c r="YT307" s="4"/>
      <c r="YU307" s="4"/>
      <c r="YV307" s="4"/>
      <c r="YW307" s="4"/>
      <c r="YX307" s="5"/>
      <c r="YY307" s="6"/>
      <c r="YZ307" s="4"/>
      <c r="ZA307" s="4"/>
      <c r="ZB307" s="4"/>
      <c r="ZC307" s="4"/>
      <c r="ZD307" s="4"/>
      <c r="ZE307" s="5"/>
      <c r="ZF307" s="6"/>
      <c r="ZG307" s="4"/>
      <c r="ZH307" s="4"/>
      <c r="ZI307" s="4"/>
      <c r="ZJ307" s="4"/>
      <c r="ZK307" s="4"/>
      <c r="ZL307" s="5"/>
      <c r="ZM307" s="6"/>
      <c r="ZN307" s="4"/>
      <c r="ZO307" s="4"/>
      <c r="ZP307" s="4"/>
      <c r="ZQ307" s="4"/>
      <c r="ZR307" s="4"/>
      <c r="ZS307" s="5"/>
      <c r="ZT307" s="6"/>
      <c r="ZU307" s="4"/>
      <c r="ZV307" s="4"/>
      <c r="ZW307" s="4"/>
      <c r="ZX307" s="4"/>
      <c r="ZY307" s="4"/>
      <c r="ZZ307" s="5"/>
      <c r="AAA307" s="6"/>
      <c r="AAB307" s="4"/>
      <c r="AAC307" s="4"/>
      <c r="AAD307" s="4"/>
      <c r="AAE307" s="4"/>
      <c r="AAF307" s="4"/>
      <c r="AAG307" s="5"/>
      <c r="AAH307" s="6"/>
      <c r="AAI307" s="4"/>
      <c r="AAJ307" s="4"/>
      <c r="AAK307" s="4"/>
      <c r="AAL307" s="4"/>
      <c r="AAM307" s="4"/>
      <c r="AAN307" s="5"/>
      <c r="AAO307" s="6"/>
      <c r="AAP307" s="4"/>
      <c r="AAQ307" s="4"/>
      <c r="AAR307" s="4"/>
      <c r="AAS307" s="4"/>
      <c r="AAT307" s="4"/>
      <c r="AAU307" s="5"/>
      <c r="AAV307" s="6"/>
      <c r="AAW307" s="4"/>
      <c r="AAX307" s="4"/>
      <c r="AAY307" s="4"/>
      <c r="AAZ307" s="4"/>
      <c r="ABA307" s="4"/>
      <c r="ABB307" s="5"/>
      <c r="ABC307" s="6"/>
      <c r="ABD307" s="4"/>
      <c r="ABE307" s="4"/>
      <c r="ABF307" s="4"/>
      <c r="ABG307" s="8"/>
      <c r="ABH307" s="4"/>
      <c r="ABI307" s="5"/>
      <c r="ABJ307" s="6"/>
      <c r="ABK307" s="4"/>
      <c r="ABL307" s="4"/>
      <c r="ABM307" s="4"/>
      <c r="ABN307" s="4"/>
      <c r="ABO307" s="4"/>
      <c r="ABP307" s="5"/>
      <c r="ABQ307" s="6"/>
      <c r="ABR307" s="4"/>
      <c r="ABS307" s="4"/>
      <c r="ABT307" s="4"/>
      <c r="ABU307" s="4"/>
      <c r="ABV307" s="4"/>
      <c r="ABW307" s="5"/>
      <c r="ABX307" s="6"/>
      <c r="ABY307" s="4"/>
      <c r="ABZ307" s="4"/>
      <c r="ACA307" s="4"/>
      <c r="ACB307" s="4"/>
      <c r="ACC307" s="4"/>
      <c r="ACD307" s="5"/>
      <c r="ACE307" s="6"/>
      <c r="ACF307" s="4"/>
      <c r="ACG307" s="4"/>
      <c r="ACH307" s="4"/>
      <c r="ACI307" s="4"/>
      <c r="ACJ307" s="4"/>
      <c r="ACK307" s="5"/>
      <c r="ACL307" s="6"/>
      <c r="ACM307" s="4"/>
      <c r="ACN307" s="4"/>
      <c r="ACO307" s="4"/>
      <c r="ACP307" s="4"/>
      <c r="ACQ307" s="4"/>
      <c r="ACR307" s="5"/>
      <c r="ACS307" s="6"/>
      <c r="ACT307" s="4"/>
      <c r="ACU307" s="4"/>
      <c r="ACV307" s="4"/>
      <c r="ACW307" s="4"/>
      <c r="ACX307" s="4"/>
      <c r="ACY307" s="5"/>
    </row>
    <row r="308" spans="2:805" x14ac:dyDescent="0.25">
      <c r="J308" s="12"/>
      <c r="K308" s="12"/>
      <c r="L308" s="12"/>
      <c r="LL308" s="6"/>
      <c r="LM308" s="4"/>
      <c r="LN308" s="4"/>
      <c r="LO308" s="4"/>
      <c r="LP308" s="4"/>
      <c r="LQ308" s="4"/>
      <c r="LR308" s="5"/>
      <c r="LS308" s="6"/>
      <c r="LT308" s="4"/>
      <c r="LU308" s="4"/>
      <c r="LV308" s="4"/>
      <c r="LW308" s="4"/>
      <c r="LX308" s="4"/>
      <c r="LY308" s="5"/>
      <c r="LZ308" s="6"/>
      <c r="MA308" s="4"/>
      <c r="MB308" s="4"/>
      <c r="MC308" s="4"/>
      <c r="MD308" s="4"/>
      <c r="ME308" s="4"/>
      <c r="MF308" s="4"/>
      <c r="MG308" s="5"/>
      <c r="MH308" s="6"/>
      <c r="MI308" s="4"/>
      <c r="MJ308" s="4"/>
      <c r="MK308" s="4"/>
      <c r="ML308" s="4"/>
      <c r="MM308" s="4"/>
      <c r="MN308" s="5"/>
      <c r="MO308" s="6"/>
      <c r="MP308" s="4"/>
      <c r="MQ308" s="4"/>
      <c r="MR308" s="4"/>
      <c r="MS308" s="4"/>
      <c r="MT308" s="4"/>
      <c r="MU308" s="5"/>
      <c r="MV308" s="6"/>
      <c r="MW308" s="4"/>
      <c r="MX308" s="4"/>
      <c r="MY308" s="4"/>
      <c r="MZ308" s="4"/>
      <c r="NA308" s="4"/>
      <c r="NB308" s="5"/>
      <c r="NC308" s="6"/>
      <c r="ND308" s="4"/>
      <c r="NE308" s="7"/>
      <c r="NF308" s="4"/>
      <c r="NG308" s="4"/>
      <c r="NH308" s="4"/>
      <c r="NI308" s="5"/>
      <c r="NJ308" s="6"/>
      <c r="NK308" s="4"/>
      <c r="NL308" s="4"/>
      <c r="NM308" s="4"/>
      <c r="NN308" s="4"/>
      <c r="NO308" s="4"/>
      <c r="NP308" s="5"/>
      <c r="NQ308" s="6"/>
      <c r="NR308" s="4"/>
      <c r="NS308" s="4"/>
      <c r="NT308" s="4"/>
      <c r="NU308" s="4"/>
      <c r="NV308" s="4"/>
      <c r="NW308" s="5"/>
      <c r="NX308" s="6"/>
      <c r="NY308" s="4"/>
      <c r="NZ308" s="4"/>
      <c r="OA308" s="4"/>
      <c r="OB308" s="4"/>
      <c r="OC308" s="4"/>
      <c r="OD308" s="5"/>
      <c r="OE308" s="6"/>
      <c r="OF308" s="4"/>
      <c r="OG308" s="4"/>
      <c r="OH308" s="4"/>
      <c r="OI308" s="4"/>
      <c r="OJ308" s="4"/>
      <c r="OK308" s="5"/>
      <c r="OL308" s="6"/>
      <c r="OM308" s="4"/>
      <c r="ON308" s="4"/>
      <c r="OO308" s="4"/>
      <c r="OP308" s="4"/>
      <c r="OQ308" s="4"/>
      <c r="OR308" s="5"/>
      <c r="OS308" s="6"/>
      <c r="OT308" s="4"/>
      <c r="OU308" s="4"/>
      <c r="OV308" s="4"/>
      <c r="OW308" s="4"/>
      <c r="OX308" s="4"/>
      <c r="OY308" s="5"/>
      <c r="OZ308" s="6"/>
      <c r="PA308" s="4"/>
      <c r="PB308" s="4"/>
      <c r="PC308" s="4"/>
      <c r="PD308" s="4"/>
      <c r="PE308" s="4"/>
      <c r="PF308" s="5"/>
      <c r="PG308" s="6"/>
      <c r="PH308" s="4"/>
      <c r="PI308" s="4"/>
      <c r="PJ308" s="4"/>
      <c r="PK308" s="4"/>
      <c r="PL308" s="4"/>
      <c r="PM308" s="5"/>
      <c r="PN308" s="6"/>
      <c r="PO308" s="4"/>
      <c r="PP308" s="4"/>
      <c r="PQ308" s="4"/>
      <c r="PR308" s="4"/>
      <c r="PS308" s="4"/>
      <c r="PT308" s="5"/>
      <c r="PU308" s="6"/>
      <c r="PV308" s="4"/>
      <c r="PW308" s="4"/>
      <c r="PX308" s="4"/>
      <c r="PY308" s="4"/>
      <c r="PZ308" s="4"/>
      <c r="QA308" s="5"/>
      <c r="QB308" s="6"/>
      <c r="QC308" s="4"/>
      <c r="QD308" s="4"/>
      <c r="QE308" s="4"/>
      <c r="QF308" s="4"/>
      <c r="QG308" s="4"/>
      <c r="QH308" s="5"/>
      <c r="QI308" s="6"/>
      <c r="QJ308" s="4"/>
      <c r="QK308" s="4"/>
      <c r="QL308" s="4"/>
      <c r="QM308" s="4"/>
      <c r="QN308" s="4"/>
      <c r="QO308" s="5"/>
      <c r="QP308" s="6"/>
      <c r="QQ308" s="4"/>
      <c r="QR308" s="4"/>
      <c r="QS308" s="4"/>
      <c r="QT308" s="4"/>
      <c r="QU308" s="4"/>
      <c r="QV308" s="5"/>
      <c r="QW308" s="6"/>
      <c r="QX308" s="4"/>
      <c r="QY308" s="4"/>
      <c r="QZ308" s="4"/>
      <c r="RA308" s="4"/>
      <c r="RB308" s="4"/>
      <c r="RC308" s="5"/>
      <c r="RD308" s="6"/>
      <c r="RE308" s="4"/>
      <c r="RF308" s="4"/>
      <c r="RG308" s="4"/>
      <c r="RH308" s="4"/>
      <c r="RI308" s="4"/>
      <c r="RJ308" s="5"/>
      <c r="RK308" s="6"/>
      <c r="RL308" s="4"/>
      <c r="RM308" s="4"/>
      <c r="RN308" s="4"/>
      <c r="RO308" s="4"/>
      <c r="RP308" s="4"/>
      <c r="RQ308" s="5"/>
      <c r="RR308" s="6"/>
      <c r="RS308" s="4"/>
      <c r="RT308" s="4"/>
      <c r="RU308" s="4"/>
      <c r="RV308" s="4"/>
      <c r="RW308" s="4"/>
      <c r="RX308" s="5"/>
      <c r="RY308" s="6"/>
      <c r="RZ308" s="4"/>
      <c r="SA308" s="4"/>
      <c r="SB308" s="4"/>
      <c r="SC308" s="4"/>
      <c r="SD308" s="4"/>
      <c r="SE308" s="5"/>
      <c r="SF308" s="6"/>
      <c r="SG308" s="4"/>
      <c r="SH308" s="4"/>
      <c r="SI308" s="4"/>
      <c r="SJ308" s="4"/>
      <c r="SK308" s="4"/>
      <c r="SL308" s="5"/>
      <c r="SM308" s="6"/>
      <c r="SN308" s="4"/>
      <c r="SO308" s="4"/>
      <c r="SP308" s="4"/>
      <c r="SQ308" s="4"/>
      <c r="SR308" s="4"/>
      <c r="SS308" s="5"/>
      <c r="ST308" s="6"/>
      <c r="SU308" s="4"/>
      <c r="SV308" s="4"/>
      <c r="SW308" s="4"/>
      <c r="SX308" s="4"/>
      <c r="SY308" s="4"/>
      <c r="SZ308" s="5"/>
      <c r="TA308" s="6"/>
      <c r="TB308" s="4"/>
      <c r="TC308" s="4"/>
      <c r="TD308" s="4"/>
      <c r="TE308" s="4"/>
      <c r="TF308" s="4"/>
      <c r="TG308" s="5"/>
      <c r="TH308" s="6"/>
      <c r="TI308" s="4"/>
      <c r="TJ308" s="4"/>
      <c r="TK308" s="4"/>
      <c r="TL308" s="4"/>
      <c r="TM308" s="4"/>
      <c r="TN308" s="5"/>
      <c r="TO308" s="6"/>
      <c r="TP308" s="4"/>
      <c r="TQ308" s="4"/>
      <c r="TR308" s="4"/>
      <c r="TS308" s="4"/>
      <c r="TT308" s="4"/>
      <c r="TU308" s="5"/>
      <c r="TV308" s="6"/>
      <c r="TW308" s="4"/>
      <c r="TX308" s="4"/>
      <c r="TY308" s="4"/>
      <c r="TZ308" s="4"/>
      <c r="UA308" s="4"/>
      <c r="UB308" s="5"/>
      <c r="UC308" s="6"/>
      <c r="UD308" s="4"/>
      <c r="UE308" s="4"/>
      <c r="UF308" s="4"/>
      <c r="UG308" s="4"/>
      <c r="UH308" s="4"/>
      <c r="UI308" s="5"/>
      <c r="UJ308" s="6"/>
      <c r="UK308" s="4"/>
      <c r="UL308" s="4"/>
      <c r="UM308" s="4"/>
      <c r="UN308" s="4"/>
      <c r="UO308" s="4"/>
      <c r="UP308" s="5"/>
      <c r="UQ308" s="6"/>
      <c r="UR308" s="4"/>
      <c r="US308" s="4"/>
      <c r="UT308" s="4"/>
      <c r="UU308" s="4"/>
      <c r="UV308" s="4"/>
      <c r="UW308" s="5"/>
      <c r="UX308" s="6"/>
      <c r="UY308" s="4"/>
      <c r="UZ308" s="4"/>
      <c r="VA308" s="4"/>
      <c r="VB308" s="4"/>
      <c r="VC308" s="4"/>
      <c r="VD308" s="5"/>
      <c r="VE308" s="6"/>
      <c r="VF308" s="4"/>
      <c r="VG308" s="4"/>
      <c r="VH308" s="4"/>
      <c r="VI308" s="4"/>
      <c r="VJ308" s="4"/>
      <c r="VK308" s="5"/>
      <c r="VL308" s="6"/>
      <c r="VM308" s="4"/>
      <c r="VN308" s="4"/>
      <c r="VO308" s="4"/>
      <c r="VP308" s="4"/>
      <c r="VQ308" s="4"/>
      <c r="VR308" s="5"/>
      <c r="VS308" s="6"/>
      <c r="VT308" s="4"/>
      <c r="VU308" s="4"/>
      <c r="VV308" s="4"/>
      <c r="VW308" s="4"/>
      <c r="VX308" s="4"/>
      <c r="VY308" s="5"/>
      <c r="VZ308" s="6"/>
      <c r="WA308" s="4"/>
      <c r="WB308" s="4"/>
      <c r="WC308" s="4"/>
      <c r="WD308" s="4"/>
      <c r="WE308" s="4"/>
      <c r="WF308" s="5"/>
      <c r="WG308" s="6"/>
      <c r="WH308" s="4"/>
      <c r="WI308" s="4"/>
      <c r="WJ308" s="4"/>
      <c r="WK308" s="4"/>
      <c r="WL308" s="4"/>
      <c r="WM308" s="5"/>
      <c r="WN308" s="6"/>
      <c r="WO308" s="4"/>
      <c r="WP308" s="4"/>
      <c r="WQ308" s="4"/>
      <c r="WR308" s="4"/>
      <c r="WS308" s="4"/>
      <c r="WT308" s="5"/>
      <c r="WU308" s="6"/>
      <c r="WV308" s="4"/>
      <c r="WW308" s="4"/>
      <c r="WX308" s="4"/>
      <c r="WY308" s="4"/>
      <c r="WZ308" s="4"/>
      <c r="XA308" s="5"/>
      <c r="XB308" s="6"/>
      <c r="XC308" s="4"/>
      <c r="XD308" s="4"/>
      <c r="XE308" s="4"/>
      <c r="XF308" s="4"/>
      <c r="XG308" s="4"/>
      <c r="XH308" s="5"/>
      <c r="XI308" s="6"/>
      <c r="XJ308" s="4"/>
      <c r="XK308" s="4"/>
      <c r="XL308" s="4"/>
      <c r="XM308" s="4"/>
      <c r="XN308" s="4"/>
      <c r="XO308" s="5"/>
      <c r="XP308" s="6"/>
      <c r="XQ308" s="4"/>
      <c r="XR308" s="4"/>
      <c r="XS308" s="4"/>
      <c r="XT308" s="4"/>
      <c r="XU308" s="4"/>
      <c r="XV308" s="5"/>
      <c r="XW308" s="6"/>
      <c r="XX308" s="4"/>
      <c r="XY308" s="4"/>
      <c r="XZ308" s="4"/>
      <c r="YA308" s="4"/>
      <c r="YB308" s="4"/>
      <c r="YC308" s="5"/>
      <c r="YD308" s="6"/>
      <c r="YE308" s="4"/>
      <c r="YF308" s="4"/>
      <c r="YG308" s="4"/>
      <c r="YH308" s="4"/>
      <c r="YI308" s="4"/>
      <c r="YJ308" s="5"/>
      <c r="YK308" s="11" t="s">
        <v>1440</v>
      </c>
      <c r="YL308" s="7" t="s">
        <v>1441</v>
      </c>
      <c r="YM308" s="4" t="s">
        <v>1442</v>
      </c>
      <c r="YO308" s="8"/>
      <c r="YP308" s="4"/>
      <c r="YQ308" s="5"/>
      <c r="YR308" s="6"/>
      <c r="YS308" s="4"/>
      <c r="YT308" s="4"/>
      <c r="YU308" s="4"/>
      <c r="YV308" s="4"/>
      <c r="YW308" s="4"/>
      <c r="YX308" s="5"/>
      <c r="YY308" s="6"/>
      <c r="YZ308" s="4"/>
      <c r="ZA308" s="4"/>
      <c r="ZB308" s="4"/>
      <c r="ZC308" s="4"/>
      <c r="ZD308" s="4"/>
      <c r="ZE308" s="5"/>
      <c r="ZF308" s="6"/>
      <c r="ZG308" s="4"/>
      <c r="ZH308" s="4"/>
      <c r="ZI308" s="4"/>
      <c r="ZJ308" s="4"/>
      <c r="ZK308" s="4"/>
      <c r="ZL308" s="5"/>
      <c r="ZM308" s="6"/>
      <c r="ZN308" s="4"/>
      <c r="ZO308" s="4"/>
      <c r="ZP308" s="4"/>
      <c r="ZQ308" s="4"/>
      <c r="ZR308" s="4"/>
      <c r="ZS308" s="5"/>
      <c r="ZT308" s="6"/>
      <c r="ZU308" s="4"/>
      <c r="ZV308" s="4"/>
      <c r="ZW308" s="4"/>
      <c r="ZX308" s="4"/>
      <c r="ZY308" s="4"/>
      <c r="ZZ308" s="5"/>
      <c r="AAA308" s="6"/>
      <c r="AAB308" s="4"/>
      <c r="AAC308" s="4"/>
      <c r="AAD308" s="4"/>
      <c r="AAE308" s="4"/>
      <c r="AAF308" s="4"/>
      <c r="AAG308" s="5"/>
      <c r="AAH308" s="6"/>
      <c r="AAI308" s="4"/>
      <c r="AAJ308" s="4"/>
      <c r="AAK308" s="4"/>
      <c r="AAL308" s="4"/>
      <c r="AAM308" s="4"/>
      <c r="AAN308" s="5"/>
      <c r="AAO308" s="6"/>
      <c r="AAP308" s="4"/>
      <c r="AAQ308" s="4"/>
      <c r="AAR308" s="4"/>
      <c r="AAS308" s="4"/>
      <c r="AAT308" s="4"/>
      <c r="AAU308" s="5"/>
      <c r="AAV308" s="6"/>
      <c r="AAW308" s="4"/>
      <c r="AAX308" s="4"/>
      <c r="AAY308" s="4"/>
      <c r="AAZ308" s="4"/>
      <c r="ABA308" s="4"/>
      <c r="ABB308" s="5"/>
      <c r="ABC308" s="6"/>
      <c r="ABD308" s="4"/>
      <c r="ABE308" s="4"/>
      <c r="ABF308" s="4"/>
      <c r="ABG308" s="8"/>
      <c r="ABH308" s="4"/>
      <c r="ABI308" s="5"/>
      <c r="ABJ308" s="6"/>
      <c r="ABK308" s="4"/>
      <c r="ABL308" s="4"/>
      <c r="ABM308" s="4"/>
      <c r="ABN308" s="4"/>
      <c r="ABO308" s="4"/>
      <c r="ABP308" s="5"/>
      <c r="ABQ308" s="6"/>
      <c r="ABR308" s="4"/>
      <c r="ABS308" s="4"/>
      <c r="ABT308" s="4"/>
      <c r="ABU308" s="4"/>
      <c r="ABV308" s="4"/>
      <c r="ABW308" s="5"/>
      <c r="ABX308" s="6"/>
      <c r="ABY308" s="4"/>
      <c r="ABZ308" s="4"/>
      <c r="ACA308" s="4"/>
      <c r="ACB308" s="4"/>
      <c r="ACC308" s="4"/>
      <c r="ACD308" s="5"/>
      <c r="ACE308" s="6"/>
      <c r="ACF308" s="4"/>
      <c r="ACG308" s="4"/>
      <c r="ACH308" s="4"/>
      <c r="ACI308" s="4"/>
      <c r="ACJ308" s="4"/>
      <c r="ACK308" s="5"/>
      <c r="ACL308" s="6"/>
      <c r="ACM308" s="4"/>
      <c r="ACN308" s="4"/>
      <c r="ACO308" s="4"/>
      <c r="ACP308" s="4"/>
      <c r="ACQ308" s="4"/>
      <c r="ACR308" s="5"/>
      <c r="ACS308" s="6"/>
      <c r="ACT308" s="4"/>
      <c r="ACU308" s="4"/>
      <c r="ACV308" s="4"/>
      <c r="ACW308" s="4"/>
      <c r="ACX308" s="4"/>
      <c r="ACY308" s="5"/>
    </row>
    <row r="309" spans="2:805" x14ac:dyDescent="0.25">
      <c r="J309" s="12"/>
      <c r="K309" s="12"/>
      <c r="L309" s="12"/>
      <c r="LL309" s="6"/>
      <c r="LM309" s="4"/>
      <c r="LN309" s="4"/>
      <c r="LO309" s="4"/>
      <c r="LP309" s="4"/>
      <c r="LQ309" s="4"/>
      <c r="LR309" s="5"/>
      <c r="LS309" s="6"/>
      <c r="LT309" s="4"/>
      <c r="LU309" s="4"/>
      <c r="LV309" s="4"/>
      <c r="LW309" s="4"/>
      <c r="LX309" s="4"/>
      <c r="LY309" s="5"/>
      <c r="LZ309" s="6"/>
      <c r="MA309" s="4"/>
      <c r="MB309" s="4"/>
      <c r="MC309" s="4"/>
      <c r="MD309" s="4"/>
      <c r="ME309" s="4"/>
      <c r="MF309" s="4"/>
      <c r="MG309" s="5"/>
      <c r="MH309" s="6"/>
      <c r="MI309" s="4"/>
      <c r="MJ309" s="4"/>
      <c r="MK309" s="4"/>
      <c r="ML309" s="4"/>
      <c r="MM309" s="4"/>
      <c r="MN309" s="5"/>
      <c r="MO309" s="6"/>
      <c r="MP309" s="4"/>
      <c r="MQ309" s="4"/>
      <c r="MR309" s="4"/>
      <c r="MS309" s="4"/>
      <c r="MT309" s="4"/>
      <c r="MU309" s="5"/>
      <c r="MV309" s="6"/>
      <c r="MW309" s="4"/>
      <c r="MX309" s="4"/>
      <c r="MY309" s="4"/>
      <c r="MZ309" s="4"/>
      <c r="NA309" s="4"/>
      <c r="NB309" s="5"/>
      <c r="NC309" s="6"/>
      <c r="ND309" s="4"/>
      <c r="NE309" s="7"/>
      <c r="NF309" s="4"/>
      <c r="NG309" s="4"/>
      <c r="NH309" s="4"/>
      <c r="NI309" s="5"/>
      <c r="NJ309" s="6"/>
      <c r="NK309" s="4"/>
      <c r="NL309" s="4"/>
      <c r="NM309" s="4"/>
      <c r="NN309" s="4"/>
      <c r="NO309" s="4"/>
      <c r="NP309" s="5"/>
      <c r="NQ309" s="6"/>
      <c r="NR309" s="4"/>
      <c r="NS309" s="4"/>
      <c r="NT309" s="4"/>
      <c r="NU309" s="4"/>
      <c r="NV309" s="4"/>
      <c r="NW309" s="5"/>
      <c r="NX309" s="6"/>
      <c r="NY309" s="4"/>
      <c r="NZ309" s="4"/>
      <c r="OA309" s="4"/>
      <c r="OB309" s="4"/>
      <c r="OC309" s="4"/>
      <c r="OD309" s="5"/>
      <c r="OE309" s="6"/>
      <c r="OF309" s="4"/>
      <c r="OG309" s="4"/>
      <c r="OH309" s="4"/>
      <c r="OI309" s="4"/>
      <c r="OJ309" s="4"/>
      <c r="OK309" s="5"/>
      <c r="OL309" s="6"/>
      <c r="OM309" s="4"/>
      <c r="ON309" s="4"/>
      <c r="OO309" s="4"/>
      <c r="OP309" s="4"/>
      <c r="OQ309" s="4"/>
      <c r="OR309" s="5"/>
      <c r="OS309" s="6"/>
      <c r="OT309" s="4"/>
      <c r="OU309" s="4"/>
      <c r="OV309" s="4"/>
      <c r="OW309" s="4"/>
      <c r="OX309" s="4"/>
      <c r="OY309" s="5"/>
      <c r="OZ309" s="6"/>
      <c r="PA309" s="4"/>
      <c r="PB309" s="4"/>
      <c r="PC309" s="4"/>
      <c r="PD309" s="4"/>
      <c r="PE309" s="4"/>
      <c r="PF309" s="5"/>
      <c r="PG309" s="6"/>
      <c r="PH309" s="4"/>
      <c r="PI309" s="4"/>
      <c r="PJ309" s="4"/>
      <c r="PK309" s="4"/>
      <c r="PL309" s="4"/>
      <c r="PM309" s="5"/>
      <c r="PN309" s="6"/>
      <c r="PO309" s="4"/>
      <c r="PP309" s="4"/>
      <c r="PQ309" s="4"/>
      <c r="PR309" s="4"/>
      <c r="PS309" s="4"/>
      <c r="PT309" s="5"/>
      <c r="PU309" s="6"/>
      <c r="PV309" s="4"/>
      <c r="PW309" s="4"/>
      <c r="PX309" s="4"/>
      <c r="PY309" s="4"/>
      <c r="PZ309" s="4"/>
      <c r="QA309" s="5"/>
      <c r="QB309" s="6"/>
      <c r="QC309" s="4"/>
      <c r="QD309" s="4"/>
      <c r="QE309" s="4"/>
      <c r="QF309" s="4"/>
      <c r="QG309" s="4"/>
      <c r="QH309" s="5"/>
      <c r="QI309" s="6"/>
      <c r="QJ309" s="4"/>
      <c r="QK309" s="4"/>
      <c r="QL309" s="4"/>
      <c r="QM309" s="4"/>
      <c r="QN309" s="4"/>
      <c r="QO309" s="5"/>
      <c r="QP309" s="6"/>
      <c r="QQ309" s="4"/>
      <c r="QR309" s="4"/>
      <c r="QS309" s="4"/>
      <c r="QT309" s="4"/>
      <c r="QU309" s="4"/>
      <c r="QV309" s="5"/>
      <c r="QW309" s="6"/>
      <c r="QX309" s="4"/>
      <c r="QY309" s="4"/>
      <c r="QZ309" s="4"/>
      <c r="RA309" s="4"/>
      <c r="RB309" s="4"/>
      <c r="RC309" s="5"/>
      <c r="RD309" s="6"/>
      <c r="RE309" s="4"/>
      <c r="RF309" s="4"/>
      <c r="RG309" s="4"/>
      <c r="RH309" s="4"/>
      <c r="RI309" s="4"/>
      <c r="RJ309" s="5"/>
      <c r="RK309" s="6"/>
      <c r="RL309" s="4"/>
      <c r="RM309" s="4"/>
      <c r="RN309" s="4"/>
      <c r="RO309" s="4"/>
      <c r="RP309" s="4"/>
      <c r="RQ309" s="5"/>
      <c r="RR309" s="6"/>
      <c r="RS309" s="4"/>
      <c r="RT309" s="4"/>
      <c r="RU309" s="4"/>
      <c r="RV309" s="4"/>
      <c r="RW309" s="4"/>
      <c r="RX309" s="5"/>
      <c r="RY309" s="6"/>
      <c r="RZ309" s="4"/>
      <c r="SA309" s="4"/>
      <c r="SB309" s="4"/>
      <c r="SC309" s="4"/>
      <c r="SD309" s="4"/>
      <c r="SE309" s="5"/>
      <c r="SF309" s="6"/>
      <c r="SG309" s="4"/>
      <c r="SH309" s="4"/>
      <c r="SI309" s="4"/>
      <c r="SJ309" s="4"/>
      <c r="SK309" s="4"/>
      <c r="SL309" s="5"/>
      <c r="SM309" s="6"/>
      <c r="SN309" s="4"/>
      <c r="SO309" s="4"/>
      <c r="SP309" s="4"/>
      <c r="SQ309" s="4"/>
      <c r="SR309" s="4"/>
      <c r="SS309" s="5"/>
      <c r="ST309" s="6"/>
      <c r="SU309" s="4"/>
      <c r="SV309" s="4"/>
      <c r="SW309" s="4"/>
      <c r="SX309" s="4"/>
      <c r="SY309" s="4"/>
      <c r="SZ309" s="5"/>
      <c r="TA309" s="6"/>
      <c r="TB309" s="4"/>
      <c r="TC309" s="4"/>
      <c r="TD309" s="4"/>
      <c r="TE309" s="4"/>
      <c r="TF309" s="4"/>
      <c r="TG309" s="5"/>
      <c r="TH309" s="6"/>
      <c r="TI309" s="4"/>
      <c r="TJ309" s="4"/>
      <c r="TK309" s="4"/>
      <c r="TL309" s="4"/>
      <c r="TM309" s="4"/>
      <c r="TN309" s="5"/>
      <c r="TO309" s="6"/>
      <c r="TP309" s="4"/>
      <c r="TQ309" s="4"/>
      <c r="TR309" s="4"/>
      <c r="TS309" s="4"/>
      <c r="TT309" s="4"/>
      <c r="TU309" s="5"/>
      <c r="TV309" s="6"/>
      <c r="TW309" s="4"/>
      <c r="TX309" s="4"/>
      <c r="TY309" s="4"/>
      <c r="TZ309" s="4"/>
      <c r="UA309" s="4"/>
      <c r="UB309" s="5"/>
      <c r="UC309" s="6"/>
      <c r="UD309" s="4"/>
      <c r="UE309" s="4"/>
      <c r="UF309" s="4"/>
      <c r="UG309" s="4"/>
      <c r="UH309" s="4"/>
      <c r="UI309" s="5"/>
      <c r="UJ309" s="6"/>
      <c r="UK309" s="4"/>
      <c r="UL309" s="4"/>
      <c r="UM309" s="4"/>
      <c r="UN309" s="4"/>
      <c r="UO309" s="4"/>
      <c r="UP309" s="5"/>
      <c r="UQ309" s="6"/>
      <c r="UR309" s="4"/>
      <c r="US309" s="4"/>
      <c r="UT309" s="4"/>
      <c r="UU309" s="4"/>
      <c r="UV309" s="4"/>
      <c r="UW309" s="5"/>
      <c r="UX309" s="6"/>
      <c r="UY309" s="4"/>
      <c r="UZ309" s="4"/>
      <c r="VA309" s="4"/>
      <c r="VB309" s="4"/>
      <c r="VC309" s="4"/>
      <c r="VD309" s="5"/>
      <c r="VE309" s="6"/>
      <c r="VF309" s="4"/>
      <c r="VG309" s="4"/>
      <c r="VH309" s="4"/>
      <c r="VI309" s="4"/>
      <c r="VJ309" s="4"/>
      <c r="VK309" s="5"/>
      <c r="VL309" s="6"/>
      <c r="VM309" s="4"/>
      <c r="VN309" s="4"/>
      <c r="VO309" s="4"/>
      <c r="VP309" s="4"/>
      <c r="VQ309" s="4"/>
      <c r="VR309" s="5"/>
      <c r="VS309" s="6"/>
      <c r="VT309" s="4"/>
      <c r="VU309" s="4"/>
      <c r="VV309" s="4"/>
      <c r="VW309" s="4"/>
      <c r="VX309" s="4"/>
      <c r="VY309" s="5"/>
      <c r="VZ309" s="6"/>
      <c r="WA309" s="4"/>
      <c r="WB309" s="4"/>
      <c r="WC309" s="4"/>
      <c r="WD309" s="4"/>
      <c r="WE309" s="4"/>
      <c r="WF309" s="5"/>
      <c r="WG309" s="6"/>
      <c r="WH309" s="4"/>
      <c r="WI309" s="4"/>
      <c r="WJ309" s="4"/>
      <c r="WK309" s="4"/>
      <c r="WL309" s="4"/>
      <c r="WM309" s="5"/>
      <c r="WN309" s="6"/>
      <c r="WO309" s="4"/>
      <c r="WP309" s="4"/>
      <c r="WQ309" s="4"/>
      <c r="WR309" s="4"/>
      <c r="WS309" s="4"/>
      <c r="WT309" s="5"/>
      <c r="WU309" s="6"/>
      <c r="WV309" s="4"/>
      <c r="WW309" s="4"/>
      <c r="WX309" s="4"/>
      <c r="WY309" s="4"/>
      <c r="WZ309" s="4"/>
      <c r="XA309" s="5"/>
      <c r="XB309" s="6"/>
      <c r="XC309" s="4"/>
      <c r="XD309" s="4"/>
      <c r="XE309" s="4"/>
      <c r="XF309" s="4"/>
      <c r="XG309" s="4"/>
      <c r="XH309" s="5"/>
      <c r="XI309" s="6"/>
      <c r="XJ309" s="4"/>
      <c r="XK309" s="4"/>
      <c r="XL309" s="4"/>
      <c r="XM309" s="4"/>
      <c r="XN309" s="4"/>
      <c r="XO309" s="5"/>
      <c r="XP309" s="6"/>
      <c r="XQ309" s="4"/>
      <c r="XR309" s="4"/>
      <c r="XS309" s="4"/>
      <c r="XT309" s="4"/>
      <c r="XU309" s="4"/>
      <c r="XV309" s="5"/>
      <c r="XW309" s="6"/>
      <c r="XX309" s="4"/>
      <c r="XY309" s="4"/>
      <c r="XZ309" s="4"/>
      <c r="YA309" s="4"/>
      <c r="YB309" s="4"/>
      <c r="YC309" s="5"/>
      <c r="YD309" s="6"/>
      <c r="YE309" s="4"/>
      <c r="YF309" s="4"/>
      <c r="YG309" s="4"/>
      <c r="YH309" s="4"/>
      <c r="YI309" s="4"/>
      <c r="YJ309" s="5"/>
      <c r="YK309" s="6" t="s">
        <v>2361</v>
      </c>
      <c r="YL309" s="7" t="s">
        <v>2361</v>
      </c>
      <c r="YM309" s="4" t="s">
        <v>1445</v>
      </c>
      <c r="YN309" s="4"/>
      <c r="YO309" s="4"/>
      <c r="YP309" s="4"/>
      <c r="YQ309" s="5" t="s">
        <v>4041</v>
      </c>
      <c r="YR309" s="6"/>
      <c r="YS309" s="4"/>
      <c r="YT309" s="4"/>
      <c r="YU309" s="4"/>
      <c r="YV309" s="4"/>
      <c r="YW309" s="4"/>
      <c r="YX309" s="5"/>
      <c r="YY309" s="6"/>
      <c r="YZ309" s="4"/>
      <c r="ZA309" s="4"/>
      <c r="ZB309" s="4"/>
      <c r="ZC309" s="4"/>
      <c r="ZD309" s="4"/>
      <c r="ZE309" s="5"/>
      <c r="ZF309" s="6"/>
      <c r="ZG309" s="4"/>
      <c r="ZH309" s="4"/>
      <c r="ZI309" s="4"/>
      <c r="ZJ309" s="4"/>
      <c r="ZK309" s="4"/>
      <c r="ZL309" s="5"/>
      <c r="ZM309" s="6"/>
      <c r="ZN309" s="4"/>
      <c r="ZO309" s="4"/>
      <c r="ZP309" s="4"/>
      <c r="ZQ309" s="4"/>
      <c r="ZR309" s="4"/>
      <c r="ZS309" s="5"/>
      <c r="ZT309" s="6"/>
      <c r="ZU309" s="4"/>
      <c r="ZV309" s="4"/>
      <c r="ZW309" s="4"/>
      <c r="ZX309" s="4"/>
      <c r="ZY309" s="4"/>
      <c r="ZZ309" s="5"/>
      <c r="AAA309" s="6"/>
      <c r="AAB309" s="4"/>
      <c r="AAC309" s="4"/>
      <c r="AAD309" s="4"/>
      <c r="AAE309" s="4"/>
      <c r="AAF309" s="4"/>
      <c r="AAG309" s="5"/>
      <c r="AAH309" s="6"/>
      <c r="AAI309" s="4"/>
      <c r="AAJ309" s="4"/>
      <c r="AAK309" s="4"/>
      <c r="AAL309" s="4"/>
      <c r="AAM309" s="4"/>
      <c r="AAN309" s="5"/>
      <c r="AAO309" s="6"/>
      <c r="AAP309" s="4"/>
      <c r="AAQ309" s="4"/>
      <c r="AAR309" s="4"/>
      <c r="AAS309" s="4"/>
      <c r="AAT309" s="4"/>
      <c r="AAU309" s="5"/>
      <c r="AAV309" s="6"/>
      <c r="AAW309" s="4"/>
      <c r="AAX309" s="4"/>
      <c r="AAY309" s="4"/>
      <c r="AAZ309" s="4"/>
      <c r="ABA309" s="4"/>
      <c r="ABB309" s="5"/>
      <c r="ABC309" s="6"/>
      <c r="ABD309" s="4"/>
      <c r="ABE309" s="4"/>
      <c r="ABF309" s="4"/>
      <c r="ABG309" s="8"/>
      <c r="ABH309" s="4"/>
      <c r="ABI309" s="5"/>
      <c r="ABJ309" s="6"/>
      <c r="ABK309" s="4"/>
      <c r="ABL309" s="4"/>
      <c r="ABM309" s="4"/>
      <c r="ABN309" s="4"/>
      <c r="ABO309" s="4"/>
      <c r="ABP309" s="5"/>
      <c r="ABQ309" s="6"/>
      <c r="ABR309" s="4"/>
      <c r="ABS309" s="4"/>
      <c r="ABT309" s="4"/>
      <c r="ABU309" s="4"/>
      <c r="ABV309" s="4"/>
      <c r="ABW309" s="5"/>
      <c r="ABX309" s="6"/>
      <c r="ABY309" s="4"/>
      <c r="ABZ309" s="4"/>
      <c r="ACA309" s="4"/>
      <c r="ACB309" s="4"/>
      <c r="ACC309" s="4"/>
      <c r="ACD309" s="5"/>
      <c r="ACE309" s="6"/>
      <c r="ACF309" s="4"/>
      <c r="ACG309" s="4"/>
      <c r="ACH309" s="4"/>
      <c r="ACI309" s="4"/>
      <c r="ACJ309" s="4"/>
      <c r="ACK309" s="5"/>
      <c r="ACL309" s="6"/>
      <c r="ACM309" s="4"/>
      <c r="ACN309" s="4"/>
      <c r="ACO309" s="4"/>
      <c r="ACP309" s="4"/>
      <c r="ACQ309" s="4"/>
      <c r="ACR309" s="5"/>
      <c r="ACS309" s="6"/>
      <c r="ACT309" s="4"/>
      <c r="ACU309" s="4"/>
      <c r="ACV309" s="4"/>
      <c r="ACW309" s="4"/>
      <c r="ACX309" s="4"/>
      <c r="ACY309" s="5"/>
    </row>
    <row r="310" spans="2:805" x14ac:dyDescent="0.25">
      <c r="J310" s="12"/>
      <c r="K310" s="12"/>
      <c r="L310" s="12"/>
      <c r="LL310" s="6"/>
      <c r="LM310" s="4"/>
      <c r="LN310" s="4"/>
      <c r="LO310" s="4"/>
      <c r="LP310" s="4"/>
      <c r="LQ310" s="4"/>
      <c r="LR310" s="5"/>
      <c r="LS310" s="6"/>
      <c r="LT310" s="4"/>
      <c r="LU310" s="4"/>
      <c r="LV310" s="4"/>
      <c r="LW310" s="4"/>
      <c r="LX310" s="4"/>
      <c r="LY310" s="5"/>
      <c r="LZ310" s="6"/>
      <c r="MA310" s="4"/>
      <c r="MB310" s="4"/>
      <c r="MC310" s="4"/>
      <c r="MD310" s="4"/>
      <c r="ME310" s="4"/>
      <c r="MF310" s="4"/>
      <c r="MG310" s="5"/>
      <c r="MH310" s="6"/>
      <c r="MI310" s="4"/>
      <c r="MJ310" s="4"/>
      <c r="MK310" s="4"/>
      <c r="ML310" s="4"/>
      <c r="MM310" s="4"/>
      <c r="MN310" s="5"/>
      <c r="MO310" s="6"/>
      <c r="MP310" s="4"/>
      <c r="MQ310" s="4"/>
      <c r="MR310" s="4"/>
      <c r="MS310" s="4"/>
      <c r="MT310" s="4"/>
      <c r="MU310" s="5"/>
      <c r="MV310" s="6"/>
      <c r="MW310" s="4"/>
      <c r="MX310" s="4"/>
      <c r="MY310" s="4"/>
      <c r="MZ310" s="4"/>
      <c r="NA310" s="4"/>
      <c r="NB310" s="5"/>
      <c r="NC310" s="6"/>
      <c r="ND310" s="4"/>
      <c r="NE310" s="7"/>
      <c r="NF310" s="4"/>
      <c r="NG310" s="4"/>
      <c r="NH310" s="4"/>
      <c r="NI310" s="5"/>
      <c r="NJ310" s="6"/>
      <c r="NK310" s="4"/>
      <c r="NL310" s="4"/>
      <c r="NM310" s="4"/>
      <c r="NN310" s="4"/>
      <c r="NO310" s="4"/>
      <c r="NP310" s="5"/>
      <c r="NQ310" s="6"/>
      <c r="NR310" s="4"/>
      <c r="NS310" s="4"/>
      <c r="NT310" s="4"/>
      <c r="NU310" s="4"/>
      <c r="NV310" s="4"/>
      <c r="NW310" s="5"/>
      <c r="NX310" s="6"/>
      <c r="NY310" s="4"/>
      <c r="NZ310" s="4"/>
      <c r="OA310" s="4"/>
      <c r="OB310" s="4"/>
      <c r="OC310" s="4"/>
      <c r="OD310" s="5"/>
      <c r="OE310" s="6"/>
      <c r="OF310" s="4"/>
      <c r="OG310" s="4"/>
      <c r="OH310" s="4"/>
      <c r="OI310" s="4"/>
      <c r="OJ310" s="4"/>
      <c r="OK310" s="5"/>
      <c r="OL310" s="6"/>
      <c r="OM310" s="4"/>
      <c r="ON310" s="4"/>
      <c r="OO310" s="4"/>
      <c r="OP310" s="4"/>
      <c r="OQ310" s="4"/>
      <c r="OR310" s="5"/>
      <c r="OS310" s="6"/>
      <c r="OT310" s="4"/>
      <c r="OU310" s="4"/>
      <c r="OV310" s="4"/>
      <c r="OW310" s="4"/>
      <c r="OX310" s="4"/>
      <c r="OY310" s="5"/>
      <c r="OZ310" s="6"/>
      <c r="PA310" s="4"/>
      <c r="PB310" s="4"/>
      <c r="PC310" s="4"/>
      <c r="PD310" s="4"/>
      <c r="PE310" s="4"/>
      <c r="PF310" s="5"/>
      <c r="PG310" s="6"/>
      <c r="PH310" s="4"/>
      <c r="PI310" s="4"/>
      <c r="PJ310" s="4"/>
      <c r="PK310" s="4"/>
      <c r="PL310" s="4"/>
      <c r="PM310" s="5"/>
      <c r="PN310" s="6"/>
      <c r="PO310" s="4"/>
      <c r="PP310" s="4"/>
      <c r="PQ310" s="4"/>
      <c r="PR310" s="4"/>
      <c r="PS310" s="4"/>
      <c r="PT310" s="5"/>
      <c r="PU310" s="6"/>
      <c r="PV310" s="4"/>
      <c r="PW310" s="4"/>
      <c r="PX310" s="4"/>
      <c r="PY310" s="4"/>
      <c r="PZ310" s="4"/>
      <c r="QA310" s="5"/>
      <c r="QB310" s="6"/>
      <c r="QC310" s="4"/>
      <c r="QD310" s="4"/>
      <c r="QE310" s="4"/>
      <c r="QF310" s="4"/>
      <c r="QG310" s="4"/>
      <c r="QH310" s="5"/>
      <c r="QI310" s="6"/>
      <c r="QJ310" s="4"/>
      <c r="QK310" s="4"/>
      <c r="QL310" s="4"/>
      <c r="QM310" s="4"/>
      <c r="QN310" s="4"/>
      <c r="QO310" s="5"/>
      <c r="QP310" s="6"/>
      <c r="QQ310" s="4"/>
      <c r="QR310" s="4"/>
      <c r="QS310" s="4"/>
      <c r="QT310" s="4"/>
      <c r="QU310" s="4"/>
      <c r="QV310" s="5"/>
      <c r="QW310" s="6"/>
      <c r="QX310" s="4"/>
      <c r="QY310" s="4"/>
      <c r="QZ310" s="4"/>
      <c r="RA310" s="4"/>
      <c r="RB310" s="4"/>
      <c r="RC310" s="5"/>
      <c r="RD310" s="6"/>
      <c r="RE310" s="4"/>
      <c r="RF310" s="4"/>
      <c r="RG310" s="4"/>
      <c r="RH310" s="4"/>
      <c r="RI310" s="4"/>
      <c r="RJ310" s="5"/>
      <c r="RK310" s="6"/>
      <c r="RL310" s="4"/>
      <c r="RM310" s="4"/>
      <c r="RN310" s="4"/>
      <c r="RO310" s="4"/>
      <c r="RP310" s="4"/>
      <c r="RQ310" s="5"/>
      <c r="RR310" s="6"/>
      <c r="RS310" s="4"/>
      <c r="RT310" s="4"/>
      <c r="RU310" s="4"/>
      <c r="RV310" s="4"/>
      <c r="RW310" s="4"/>
      <c r="RX310" s="5"/>
      <c r="RY310" s="6"/>
      <c r="RZ310" s="4"/>
      <c r="SA310" s="4"/>
      <c r="SB310" s="4"/>
      <c r="SC310" s="4"/>
      <c r="SD310" s="4"/>
      <c r="SE310" s="5"/>
      <c r="SF310" s="6"/>
      <c r="SG310" s="4"/>
      <c r="SH310" s="4"/>
      <c r="SI310" s="4"/>
      <c r="SJ310" s="4"/>
      <c r="SK310" s="4"/>
      <c r="SL310" s="5"/>
      <c r="SM310" s="6"/>
      <c r="SN310" s="4"/>
      <c r="SO310" s="4"/>
      <c r="SP310" s="4"/>
      <c r="SQ310" s="4"/>
      <c r="SR310" s="4"/>
      <c r="SS310" s="5"/>
      <c r="ST310" s="6"/>
      <c r="SU310" s="4"/>
      <c r="SV310" s="4"/>
      <c r="SW310" s="4"/>
      <c r="SX310" s="4"/>
      <c r="SY310" s="4"/>
      <c r="SZ310" s="5"/>
      <c r="TA310" s="6"/>
      <c r="TB310" s="4"/>
      <c r="TC310" s="4"/>
      <c r="TD310" s="4"/>
      <c r="TE310" s="4"/>
      <c r="TF310" s="4"/>
      <c r="TG310" s="5"/>
      <c r="TH310" s="6"/>
      <c r="TI310" s="4"/>
      <c r="TJ310" s="4"/>
      <c r="TK310" s="4"/>
      <c r="TL310" s="4"/>
      <c r="TM310" s="4"/>
      <c r="TN310" s="5"/>
      <c r="TO310" s="6"/>
      <c r="TP310" s="4"/>
      <c r="TQ310" s="4"/>
      <c r="TR310" s="4"/>
      <c r="TS310" s="4"/>
      <c r="TT310" s="4"/>
      <c r="TU310" s="5"/>
      <c r="TV310" s="6"/>
      <c r="TW310" s="4"/>
      <c r="TX310" s="4"/>
      <c r="TY310" s="4"/>
      <c r="TZ310" s="4"/>
      <c r="UA310" s="4"/>
      <c r="UB310" s="5"/>
      <c r="UC310" s="6"/>
      <c r="UD310" s="4"/>
      <c r="UE310" s="4"/>
      <c r="UF310" s="4"/>
      <c r="UG310" s="4"/>
      <c r="UH310" s="4"/>
      <c r="UI310" s="5"/>
      <c r="UJ310" s="6"/>
      <c r="UK310" s="4"/>
      <c r="UL310" s="4"/>
      <c r="UM310" s="4"/>
      <c r="UN310" s="4"/>
      <c r="UO310" s="4"/>
      <c r="UP310" s="5"/>
      <c r="UQ310" s="6"/>
      <c r="UR310" s="4"/>
      <c r="US310" s="4"/>
      <c r="UT310" s="4"/>
      <c r="UU310" s="4"/>
      <c r="UV310" s="4"/>
      <c r="UW310" s="5"/>
      <c r="UX310" s="6"/>
      <c r="UY310" s="4"/>
      <c r="UZ310" s="4"/>
      <c r="VA310" s="4"/>
      <c r="VB310" s="4"/>
      <c r="VC310" s="4"/>
      <c r="VD310" s="5"/>
      <c r="VE310" s="6"/>
      <c r="VF310" s="4"/>
      <c r="VG310" s="4"/>
      <c r="VH310" s="4"/>
      <c r="VI310" s="4"/>
      <c r="VJ310" s="4"/>
      <c r="VK310" s="5"/>
      <c r="VL310" s="6"/>
      <c r="VM310" s="4"/>
      <c r="VN310" s="4"/>
      <c r="VO310" s="4"/>
      <c r="VP310" s="4"/>
      <c r="VQ310" s="4"/>
      <c r="VR310" s="5"/>
      <c r="VS310" s="6"/>
      <c r="VT310" s="4"/>
      <c r="VU310" s="4"/>
      <c r="VV310" s="4"/>
      <c r="VW310" s="4"/>
      <c r="VX310" s="4"/>
      <c r="VY310" s="5"/>
      <c r="VZ310" s="6"/>
      <c r="WA310" s="4"/>
      <c r="WB310" s="4"/>
      <c r="WC310" s="4"/>
      <c r="WD310" s="4"/>
      <c r="WE310" s="4"/>
      <c r="WF310" s="5"/>
      <c r="WG310" s="6"/>
      <c r="WH310" s="4"/>
      <c r="WI310" s="4"/>
      <c r="WJ310" s="4"/>
      <c r="WK310" s="4"/>
      <c r="WL310" s="4"/>
      <c r="WM310" s="5"/>
      <c r="WN310" s="6"/>
      <c r="WO310" s="4"/>
      <c r="WP310" s="4"/>
      <c r="WQ310" s="4"/>
      <c r="WR310" s="4"/>
      <c r="WS310" s="4"/>
      <c r="WT310" s="5"/>
      <c r="WU310" s="6"/>
      <c r="WV310" s="4"/>
      <c r="WW310" s="4"/>
      <c r="WX310" s="4"/>
      <c r="WY310" s="4"/>
      <c r="WZ310" s="4"/>
      <c r="XA310" s="5"/>
      <c r="XB310" s="6"/>
      <c r="XC310" s="4"/>
      <c r="XD310" s="4"/>
      <c r="XE310" s="4"/>
      <c r="XF310" s="4"/>
      <c r="XG310" s="4"/>
      <c r="XH310" s="5"/>
      <c r="XI310" s="6"/>
      <c r="XJ310" s="4"/>
      <c r="XK310" s="4"/>
      <c r="XL310" s="4"/>
      <c r="XM310" s="4"/>
      <c r="XN310" s="4"/>
      <c r="XO310" s="5"/>
      <c r="XP310" s="6"/>
      <c r="XQ310" s="4"/>
      <c r="XR310" s="4"/>
      <c r="XS310" s="4"/>
      <c r="XT310" s="4"/>
      <c r="XU310" s="4"/>
      <c r="XV310" s="5"/>
      <c r="XW310" s="6"/>
      <c r="XX310" s="4"/>
      <c r="XY310" s="4"/>
      <c r="XZ310" s="4"/>
      <c r="YA310" s="4"/>
      <c r="YB310" s="4"/>
      <c r="YC310" s="5"/>
      <c r="YD310" s="6"/>
      <c r="YE310" s="4"/>
      <c r="YF310" s="4"/>
      <c r="YG310" s="4"/>
      <c r="YH310" s="4"/>
      <c r="YI310" s="4"/>
      <c r="YJ310" s="5"/>
      <c r="YK310" s="6" t="s">
        <v>1446</v>
      </c>
      <c r="YL310" s="7" t="s">
        <v>1447</v>
      </c>
      <c r="YM310" s="7" t="s">
        <v>1945</v>
      </c>
      <c r="YN310" s="4"/>
      <c r="YO310" s="4"/>
      <c r="YP310" s="4"/>
      <c r="YQ310" s="4" t="s">
        <v>4042</v>
      </c>
      <c r="YR310" s="6"/>
      <c r="YS310" s="4"/>
      <c r="YT310" s="4"/>
      <c r="YU310" s="4"/>
      <c r="YV310" s="4"/>
      <c r="YW310" s="4"/>
      <c r="YX310" s="5"/>
      <c r="YY310" s="6"/>
      <c r="YZ310" s="4"/>
      <c r="ZA310" s="4"/>
      <c r="ZB310" s="4"/>
      <c r="ZC310" s="4"/>
      <c r="ZD310" s="4"/>
      <c r="ZE310" s="5"/>
      <c r="ZF310" s="6"/>
      <c r="ZG310" s="4"/>
      <c r="ZH310" s="4"/>
      <c r="ZI310" s="4"/>
      <c r="ZJ310" s="4"/>
      <c r="ZK310" s="4"/>
      <c r="ZL310" s="5"/>
      <c r="ZM310" s="6"/>
      <c r="ZN310" s="4"/>
      <c r="ZO310" s="4"/>
      <c r="ZP310" s="4"/>
      <c r="ZQ310" s="4"/>
      <c r="ZR310" s="4"/>
      <c r="ZS310" s="5"/>
      <c r="ZT310" s="6"/>
      <c r="ZU310" s="4"/>
      <c r="ZV310" s="4"/>
      <c r="ZW310" s="4"/>
      <c r="ZX310" s="4"/>
      <c r="ZY310" s="4"/>
      <c r="ZZ310" s="5"/>
      <c r="AAA310" s="6"/>
      <c r="AAB310" s="4"/>
      <c r="AAC310" s="4"/>
      <c r="AAD310" s="4"/>
      <c r="AAE310" s="4"/>
      <c r="AAF310" s="4"/>
      <c r="AAG310" s="5"/>
      <c r="AAH310" s="6"/>
      <c r="AAI310" s="4"/>
      <c r="AAJ310" s="4"/>
      <c r="AAK310" s="4"/>
      <c r="AAL310" s="4"/>
      <c r="AAM310" s="4"/>
      <c r="AAN310" s="5"/>
      <c r="AAO310" s="6"/>
      <c r="AAP310" s="4"/>
      <c r="AAQ310" s="4"/>
      <c r="AAR310" s="4"/>
      <c r="AAS310" s="4"/>
      <c r="AAT310" s="4"/>
      <c r="AAU310" s="5"/>
      <c r="AAV310" s="6"/>
      <c r="AAW310" s="4"/>
      <c r="AAX310" s="4"/>
      <c r="AAY310" s="4"/>
      <c r="AAZ310" s="4"/>
      <c r="ABA310" s="4"/>
      <c r="ABB310" s="5"/>
      <c r="ABC310" s="6"/>
      <c r="ABD310" s="4"/>
      <c r="ABE310" s="4"/>
      <c r="ABF310" s="4"/>
      <c r="ABG310" s="8"/>
      <c r="ABH310" s="4"/>
      <c r="ABI310" s="5"/>
      <c r="ABJ310" s="6"/>
      <c r="ABK310" s="4"/>
      <c r="ABL310" s="4"/>
      <c r="ABM310" s="4"/>
      <c r="ABN310" s="4"/>
      <c r="ABO310" s="4"/>
      <c r="ABP310" s="5"/>
      <c r="ABQ310" s="6"/>
      <c r="ABR310" s="4"/>
      <c r="ABS310" s="4"/>
      <c r="ABT310" s="4"/>
      <c r="ABU310" s="4"/>
      <c r="ABV310" s="4"/>
      <c r="ABW310" s="5"/>
      <c r="ABX310" s="6"/>
      <c r="ABY310" s="4"/>
      <c r="ABZ310" s="4"/>
      <c r="ACA310" s="4"/>
      <c r="ACB310" s="4"/>
      <c r="ACC310" s="4"/>
      <c r="ACD310" s="5"/>
      <c r="ACE310" s="6"/>
      <c r="ACF310" s="4"/>
      <c r="ACG310" s="4"/>
      <c r="ACH310" s="4"/>
      <c r="ACI310" s="4"/>
      <c r="ACJ310" s="4"/>
      <c r="ACK310" s="5"/>
      <c r="ACL310" s="6"/>
      <c r="ACM310" s="4"/>
      <c r="ACN310" s="4"/>
      <c r="ACO310" s="4"/>
      <c r="ACP310" s="4"/>
      <c r="ACQ310" s="4"/>
      <c r="ACR310" s="5"/>
      <c r="ACS310" s="6"/>
      <c r="ACT310" s="4"/>
      <c r="ACU310" s="4"/>
      <c r="ACV310" s="4"/>
      <c r="ACW310" s="4"/>
      <c r="ACX310" s="4"/>
      <c r="ACY310" s="5"/>
    </row>
    <row r="311" spans="2:805" x14ac:dyDescent="0.25">
      <c r="J311" s="12"/>
      <c r="K311" s="12"/>
      <c r="L311" s="12"/>
      <c r="LL311" s="6"/>
      <c r="LM311" s="4"/>
      <c r="LN311" s="4"/>
      <c r="LO311" s="4"/>
      <c r="LP311" s="4"/>
      <c r="LQ311" s="4"/>
      <c r="LR311" s="5"/>
      <c r="LS311" s="6"/>
      <c r="LT311" s="4"/>
      <c r="LU311" s="4"/>
      <c r="LV311" s="4"/>
      <c r="LW311" s="4"/>
      <c r="LX311" s="4"/>
      <c r="LY311" s="5"/>
      <c r="LZ311" s="6"/>
      <c r="MA311" s="4"/>
      <c r="MB311" s="4"/>
      <c r="MC311" s="4"/>
      <c r="MD311" s="4"/>
      <c r="ME311" s="4"/>
      <c r="MF311" s="4"/>
      <c r="MG311" s="5"/>
      <c r="MH311" s="6"/>
      <c r="MI311" s="4"/>
      <c r="MJ311" s="4"/>
      <c r="MK311" s="4"/>
      <c r="ML311" s="4"/>
      <c r="MM311" s="4"/>
      <c r="MN311" s="5"/>
      <c r="MO311" s="6"/>
      <c r="MP311" s="4"/>
      <c r="MQ311" s="4"/>
      <c r="MR311" s="4"/>
      <c r="MS311" s="4"/>
      <c r="MT311" s="4"/>
      <c r="MU311" s="5"/>
      <c r="MV311" s="6"/>
      <c r="MW311" s="4"/>
      <c r="MX311" s="4"/>
      <c r="MY311" s="4"/>
      <c r="MZ311" s="4"/>
      <c r="NA311" s="4"/>
      <c r="NB311" s="5"/>
      <c r="NC311" s="6"/>
      <c r="ND311" s="4"/>
      <c r="NE311" s="7"/>
      <c r="NF311" s="4"/>
      <c r="NG311" s="4"/>
      <c r="NH311" s="4"/>
      <c r="NI311" s="5"/>
      <c r="NJ311" s="6"/>
      <c r="NK311" s="4"/>
      <c r="NL311" s="4"/>
      <c r="NM311" s="4"/>
      <c r="NN311" s="4"/>
      <c r="NO311" s="4"/>
      <c r="NP311" s="5"/>
      <c r="NQ311" s="6"/>
      <c r="NR311" s="4"/>
      <c r="NS311" s="4"/>
      <c r="NT311" s="4"/>
      <c r="NU311" s="4"/>
      <c r="NV311" s="4"/>
      <c r="NW311" s="5"/>
      <c r="NX311" s="6"/>
      <c r="NY311" s="4"/>
      <c r="NZ311" s="4"/>
      <c r="OA311" s="4"/>
      <c r="OB311" s="4"/>
      <c r="OC311" s="4"/>
      <c r="OD311" s="5"/>
      <c r="OE311" s="6"/>
      <c r="OF311" s="4"/>
      <c r="OG311" s="4"/>
      <c r="OH311" s="4"/>
      <c r="OI311" s="4"/>
      <c r="OJ311" s="4"/>
      <c r="OK311" s="5"/>
      <c r="OL311" s="6"/>
      <c r="OM311" s="4"/>
      <c r="ON311" s="4"/>
      <c r="OO311" s="4"/>
      <c r="OP311" s="4"/>
      <c r="OQ311" s="4"/>
      <c r="OR311" s="5"/>
      <c r="OS311" s="6"/>
      <c r="OT311" s="4"/>
      <c r="OU311" s="4"/>
      <c r="OV311" s="4"/>
      <c r="OW311" s="4"/>
      <c r="OX311" s="4"/>
      <c r="OY311" s="5"/>
      <c r="OZ311" s="6"/>
      <c r="PA311" s="4"/>
      <c r="PB311" s="4"/>
      <c r="PC311" s="4"/>
      <c r="PD311" s="4"/>
      <c r="PE311" s="4"/>
      <c r="PF311" s="5"/>
      <c r="PG311" s="6"/>
      <c r="PH311" s="4"/>
      <c r="PI311" s="4"/>
      <c r="PJ311" s="4"/>
      <c r="PK311" s="4"/>
      <c r="PL311" s="4"/>
      <c r="PM311" s="5"/>
      <c r="PN311" s="6"/>
      <c r="PO311" s="4"/>
      <c r="PP311" s="4"/>
      <c r="PQ311" s="4"/>
      <c r="PR311" s="4"/>
      <c r="PS311" s="4"/>
      <c r="PT311" s="5"/>
      <c r="PU311" s="6"/>
      <c r="PV311" s="4"/>
      <c r="PW311" s="4"/>
      <c r="PX311" s="4"/>
      <c r="PY311" s="4"/>
      <c r="PZ311" s="4"/>
      <c r="QA311" s="5"/>
      <c r="QB311" s="6"/>
      <c r="QC311" s="4"/>
      <c r="QD311" s="4"/>
      <c r="QE311" s="4"/>
      <c r="QF311" s="4"/>
      <c r="QG311" s="4"/>
      <c r="QH311" s="5"/>
      <c r="QI311" s="6"/>
      <c r="QJ311" s="4"/>
      <c r="QK311" s="4"/>
      <c r="QL311" s="4"/>
      <c r="QM311" s="4"/>
      <c r="QN311" s="4"/>
      <c r="QO311" s="5"/>
      <c r="QP311" s="6"/>
      <c r="QQ311" s="4"/>
      <c r="QR311" s="4"/>
      <c r="QS311" s="4"/>
      <c r="QT311" s="4"/>
      <c r="QU311" s="4"/>
      <c r="QV311" s="5"/>
      <c r="QW311" s="6"/>
      <c r="QX311" s="4"/>
      <c r="QY311" s="4"/>
      <c r="QZ311" s="4"/>
      <c r="RA311" s="4"/>
      <c r="RB311" s="4"/>
      <c r="RC311" s="5"/>
      <c r="RD311" s="6"/>
      <c r="RE311" s="4"/>
      <c r="RF311" s="4"/>
      <c r="RG311" s="4"/>
      <c r="RH311" s="4"/>
      <c r="RI311" s="4"/>
      <c r="RJ311" s="5"/>
      <c r="RK311" s="6"/>
      <c r="RL311" s="4"/>
      <c r="RM311" s="4"/>
      <c r="RN311" s="4"/>
      <c r="RO311" s="4"/>
      <c r="RP311" s="4"/>
      <c r="RQ311" s="5"/>
      <c r="RR311" s="6"/>
      <c r="RS311" s="4"/>
      <c r="RT311" s="4"/>
      <c r="RU311" s="4"/>
      <c r="RV311" s="4"/>
      <c r="RW311" s="4"/>
      <c r="RX311" s="5"/>
      <c r="RY311" s="6"/>
      <c r="RZ311" s="4"/>
      <c r="SA311" s="4"/>
      <c r="SB311" s="4"/>
      <c r="SC311" s="4"/>
      <c r="SD311" s="4"/>
      <c r="SE311" s="5"/>
      <c r="SF311" s="6"/>
      <c r="SG311" s="4"/>
      <c r="SH311" s="4"/>
      <c r="SI311" s="4"/>
      <c r="SJ311" s="4"/>
      <c r="SK311" s="4"/>
      <c r="SL311" s="5"/>
      <c r="SM311" s="6"/>
      <c r="SN311" s="4"/>
      <c r="SO311" s="4"/>
      <c r="SP311" s="4"/>
      <c r="SQ311" s="4"/>
      <c r="SR311" s="4"/>
      <c r="SS311" s="5"/>
      <c r="ST311" s="6"/>
      <c r="SU311" s="4"/>
      <c r="SV311" s="4"/>
      <c r="SW311" s="4"/>
      <c r="SX311" s="4"/>
      <c r="SY311" s="4"/>
      <c r="SZ311" s="5"/>
      <c r="TA311" s="6"/>
      <c r="TB311" s="4"/>
      <c r="TC311" s="4"/>
      <c r="TD311" s="4"/>
      <c r="TE311" s="4"/>
      <c r="TF311" s="4"/>
      <c r="TG311" s="5"/>
      <c r="TH311" s="6"/>
      <c r="TI311" s="4"/>
      <c r="TJ311" s="4"/>
      <c r="TK311" s="4"/>
      <c r="TL311" s="4"/>
      <c r="TM311" s="4"/>
      <c r="TN311" s="5"/>
      <c r="TO311" s="6"/>
      <c r="TP311" s="4"/>
      <c r="TQ311" s="4"/>
      <c r="TR311" s="4"/>
      <c r="TS311" s="4"/>
      <c r="TT311" s="4"/>
      <c r="TU311" s="5"/>
      <c r="TV311" s="6"/>
      <c r="TW311" s="4"/>
      <c r="TX311" s="4"/>
      <c r="TY311" s="4"/>
      <c r="TZ311" s="4"/>
      <c r="UA311" s="4"/>
      <c r="UB311" s="5"/>
      <c r="UC311" s="6"/>
      <c r="UD311" s="4"/>
      <c r="UE311" s="4"/>
      <c r="UF311" s="4"/>
      <c r="UG311" s="4"/>
      <c r="UH311" s="4"/>
      <c r="UI311" s="5"/>
      <c r="UJ311" s="6"/>
      <c r="UK311" s="4"/>
      <c r="UL311" s="4"/>
      <c r="UM311" s="4"/>
      <c r="UN311" s="4"/>
      <c r="UO311" s="4"/>
      <c r="UP311" s="5"/>
      <c r="UQ311" s="6"/>
      <c r="UR311" s="4"/>
      <c r="US311" s="4"/>
      <c r="UT311" s="4"/>
      <c r="UU311" s="4"/>
      <c r="UV311" s="4"/>
      <c r="UW311" s="5"/>
      <c r="UX311" s="6"/>
      <c r="UY311" s="4"/>
      <c r="UZ311" s="4"/>
      <c r="VA311" s="4"/>
      <c r="VB311" s="4"/>
      <c r="VC311" s="4"/>
      <c r="VD311" s="5"/>
      <c r="VE311" s="6"/>
      <c r="VF311" s="4"/>
      <c r="VG311" s="4"/>
      <c r="VH311" s="4"/>
      <c r="VI311" s="4"/>
      <c r="VJ311" s="4"/>
      <c r="VK311" s="5"/>
      <c r="VL311" s="6"/>
      <c r="VM311" s="4"/>
      <c r="VN311" s="4"/>
      <c r="VO311" s="4"/>
      <c r="VP311" s="4"/>
      <c r="VQ311" s="4"/>
      <c r="VR311" s="5"/>
      <c r="VS311" s="6"/>
      <c r="VT311" s="4"/>
      <c r="VU311" s="4"/>
      <c r="VV311" s="4"/>
      <c r="VW311" s="4"/>
      <c r="VX311" s="4"/>
      <c r="VY311" s="5"/>
      <c r="VZ311" s="6"/>
      <c r="WA311" s="4"/>
      <c r="WB311" s="4"/>
      <c r="WC311" s="4"/>
      <c r="WD311" s="4"/>
      <c r="WE311" s="4"/>
      <c r="WF311" s="5"/>
      <c r="WG311" s="6"/>
      <c r="WH311" s="4"/>
      <c r="WI311" s="4"/>
      <c r="WJ311" s="4"/>
      <c r="WK311" s="4"/>
      <c r="WL311" s="4"/>
      <c r="WM311" s="5"/>
      <c r="WN311" s="6"/>
      <c r="WO311" s="4"/>
      <c r="WP311" s="4"/>
      <c r="WQ311" s="4"/>
      <c r="WR311" s="4"/>
      <c r="WS311" s="4"/>
      <c r="WT311" s="5"/>
      <c r="WU311" s="6"/>
      <c r="WV311" s="4"/>
      <c r="WW311" s="4"/>
      <c r="WX311" s="4"/>
      <c r="WY311" s="4"/>
      <c r="WZ311" s="4"/>
      <c r="XA311" s="5"/>
      <c r="XB311" s="6"/>
      <c r="XC311" s="4"/>
      <c r="XD311" s="4"/>
      <c r="XE311" s="4"/>
      <c r="XF311" s="4"/>
      <c r="XG311" s="4"/>
      <c r="XH311" s="5"/>
      <c r="XI311" s="6"/>
      <c r="XJ311" s="4"/>
      <c r="XK311" s="4"/>
      <c r="XL311" s="4"/>
      <c r="XM311" s="4"/>
      <c r="XN311" s="4"/>
      <c r="XO311" s="5"/>
      <c r="XP311" s="6"/>
      <c r="XQ311" s="4"/>
      <c r="XR311" s="4"/>
      <c r="XS311" s="4"/>
      <c r="XT311" s="4"/>
      <c r="XU311" s="4"/>
      <c r="XV311" s="5"/>
      <c r="XW311" s="6"/>
      <c r="XX311" s="4"/>
      <c r="XY311" s="4"/>
      <c r="XZ311" s="4"/>
      <c r="YA311" s="4"/>
      <c r="YB311" s="4"/>
      <c r="YC311" s="5"/>
      <c r="YD311" s="6"/>
      <c r="YE311" s="4"/>
      <c r="YF311" s="4"/>
      <c r="YG311" s="4"/>
      <c r="YH311" s="4"/>
      <c r="YI311" s="4"/>
      <c r="YJ311" s="5"/>
      <c r="YK311" s="6" t="s">
        <v>1449</v>
      </c>
      <c r="YL311" s="4" t="s">
        <v>1449</v>
      </c>
      <c r="YM311" s="7" t="s">
        <v>1842</v>
      </c>
      <c r="YN311" s="4"/>
      <c r="YO311" s="8">
        <v>37896</v>
      </c>
      <c r="YP311" s="4"/>
      <c r="YQ311" s="4" t="s">
        <v>1584</v>
      </c>
      <c r="YR311" s="6"/>
      <c r="YS311" s="4"/>
      <c r="YT311" s="4"/>
      <c r="YU311" s="4"/>
      <c r="YV311" s="4"/>
      <c r="YW311" s="4"/>
      <c r="YX311" s="5"/>
      <c r="YY311" s="6"/>
      <c r="YZ311" s="4"/>
      <c r="ZA311" s="4"/>
      <c r="ZB311" s="4"/>
      <c r="ZC311" s="4"/>
      <c r="ZD311" s="4"/>
      <c r="ZE311" s="5"/>
      <c r="ZF311" s="6"/>
      <c r="ZG311" s="4"/>
      <c r="ZH311" s="4"/>
      <c r="ZI311" s="4"/>
      <c r="ZJ311" s="4"/>
      <c r="ZK311" s="4"/>
      <c r="ZL311" s="5"/>
      <c r="ZM311" s="6"/>
      <c r="ZN311" s="4"/>
      <c r="ZO311" s="4"/>
      <c r="ZP311" s="4"/>
      <c r="ZQ311" s="4"/>
      <c r="ZR311" s="4"/>
      <c r="ZS311" s="5"/>
      <c r="ZT311" s="6"/>
      <c r="ZU311" s="4"/>
      <c r="ZV311" s="4"/>
      <c r="ZW311" s="4"/>
      <c r="ZX311" s="4"/>
      <c r="ZY311" s="4"/>
      <c r="ZZ311" s="5"/>
      <c r="AAA311" s="6"/>
      <c r="AAB311" s="4"/>
      <c r="AAC311" s="4"/>
      <c r="AAD311" s="4"/>
      <c r="AAE311" s="4"/>
      <c r="AAF311" s="4"/>
      <c r="AAG311" s="5"/>
      <c r="AAH311" s="6"/>
      <c r="AAI311" s="4"/>
      <c r="AAJ311" s="4"/>
      <c r="AAK311" s="4"/>
      <c r="AAL311" s="4"/>
      <c r="AAM311" s="4"/>
      <c r="AAN311" s="5"/>
      <c r="AAO311" s="6"/>
      <c r="AAP311" s="4"/>
      <c r="AAQ311" s="4"/>
      <c r="AAR311" s="4"/>
      <c r="AAS311" s="4"/>
      <c r="AAT311" s="4"/>
      <c r="AAU311" s="5"/>
      <c r="AAV311" s="6"/>
      <c r="AAW311" s="4"/>
      <c r="AAX311" s="4"/>
      <c r="AAY311" s="4"/>
      <c r="AAZ311" s="4"/>
      <c r="ABA311" s="4"/>
      <c r="ABB311" s="5"/>
      <c r="ABC311" s="6"/>
      <c r="ABD311" s="4"/>
      <c r="ABE311" s="4"/>
      <c r="ABF311" s="4"/>
      <c r="ABG311" s="8"/>
      <c r="ABH311" s="4"/>
      <c r="ABI311" s="5"/>
      <c r="ABJ311" s="6"/>
      <c r="ABK311" s="4"/>
      <c r="ABL311" s="4"/>
      <c r="ABM311" s="4"/>
      <c r="ABN311" s="4"/>
      <c r="ABO311" s="4"/>
      <c r="ABP311" s="5"/>
      <c r="ABQ311" s="6"/>
      <c r="ABR311" s="4"/>
      <c r="ABS311" s="4"/>
      <c r="ABT311" s="4"/>
      <c r="ABU311" s="4"/>
      <c r="ABV311" s="4"/>
      <c r="ABW311" s="5"/>
      <c r="ABX311" s="6"/>
      <c r="ABY311" s="4"/>
      <c r="ABZ311" s="4"/>
      <c r="ACA311" s="4"/>
      <c r="ACB311" s="4"/>
      <c r="ACC311" s="4"/>
      <c r="ACD311" s="5"/>
      <c r="ACE311" s="6"/>
      <c r="ACF311" s="4"/>
      <c r="ACG311" s="4"/>
      <c r="ACH311" s="4"/>
      <c r="ACI311" s="4"/>
      <c r="ACJ311" s="4"/>
      <c r="ACK311" s="5"/>
      <c r="ACL311" s="6"/>
      <c r="ACM311" s="4"/>
      <c r="ACN311" s="4"/>
      <c r="ACO311" s="4"/>
      <c r="ACP311" s="4"/>
      <c r="ACQ311" s="4"/>
      <c r="ACR311" s="5"/>
      <c r="ACS311" s="6"/>
      <c r="ACT311" s="4"/>
      <c r="ACU311" s="4"/>
      <c r="ACV311" s="4"/>
      <c r="ACW311" s="4"/>
      <c r="ACX311" s="4"/>
      <c r="ACY311" s="5"/>
    </row>
    <row r="312" spans="2:805" x14ac:dyDescent="0.25">
      <c r="J312" s="12"/>
      <c r="K312" s="12"/>
      <c r="L312" s="12"/>
      <c r="LL312" s="6"/>
      <c r="LM312" s="4"/>
      <c r="LN312" s="4"/>
      <c r="LO312" s="4"/>
      <c r="LP312" s="4"/>
      <c r="LQ312" s="4"/>
      <c r="LR312" s="5"/>
      <c r="LS312" s="6"/>
      <c r="LT312" s="4"/>
      <c r="LU312" s="4"/>
      <c r="LV312" s="4"/>
      <c r="LW312" s="4"/>
      <c r="LX312" s="4"/>
      <c r="LY312" s="5"/>
      <c r="LZ312" s="6"/>
      <c r="MA312" s="4"/>
      <c r="MB312" s="4"/>
      <c r="MC312" s="4"/>
      <c r="MD312" s="4"/>
      <c r="ME312" s="4"/>
      <c r="MF312" s="4"/>
      <c r="MG312" s="5"/>
      <c r="MH312" s="6"/>
      <c r="MI312" s="4"/>
      <c r="MJ312" s="4"/>
      <c r="MK312" s="4"/>
      <c r="ML312" s="4"/>
      <c r="MM312" s="4"/>
      <c r="MN312" s="5"/>
      <c r="MO312" s="6"/>
      <c r="MP312" s="4"/>
      <c r="MQ312" s="4"/>
      <c r="MR312" s="4"/>
      <c r="MS312" s="4"/>
      <c r="MT312" s="4"/>
      <c r="MU312" s="5"/>
      <c r="MV312" s="6"/>
      <c r="MW312" s="4"/>
      <c r="MX312" s="4"/>
      <c r="MY312" s="4"/>
      <c r="MZ312" s="4"/>
      <c r="NA312" s="4"/>
      <c r="NB312" s="5"/>
      <c r="NC312" s="6"/>
      <c r="ND312" s="4"/>
      <c r="NE312" s="7"/>
      <c r="NF312" s="4"/>
      <c r="NG312" s="4"/>
      <c r="NH312" s="4"/>
      <c r="NI312" s="5"/>
      <c r="NJ312" s="6"/>
      <c r="NK312" s="4"/>
      <c r="NL312" s="4"/>
      <c r="NM312" s="4"/>
      <c r="NN312" s="4"/>
      <c r="NO312" s="4"/>
      <c r="NP312" s="5"/>
      <c r="NQ312" s="6"/>
      <c r="NR312" s="4"/>
      <c r="NS312" s="4"/>
      <c r="NT312" s="4"/>
      <c r="NU312" s="4"/>
      <c r="NV312" s="4"/>
      <c r="NW312" s="5"/>
      <c r="NX312" s="6"/>
      <c r="NY312" s="4"/>
      <c r="NZ312" s="4"/>
      <c r="OA312" s="4"/>
      <c r="OB312" s="4"/>
      <c r="OC312" s="4"/>
      <c r="OD312" s="5"/>
      <c r="OE312" s="6"/>
      <c r="OF312" s="4"/>
      <c r="OG312" s="4"/>
      <c r="OH312" s="4"/>
      <c r="OI312" s="4"/>
      <c r="OJ312" s="4"/>
      <c r="OK312" s="5"/>
      <c r="OL312" s="6"/>
      <c r="OM312" s="4"/>
      <c r="ON312" s="4"/>
      <c r="OO312" s="4"/>
      <c r="OP312" s="4"/>
      <c r="OQ312" s="4"/>
      <c r="OR312" s="5"/>
      <c r="OS312" s="6"/>
      <c r="OT312" s="4"/>
      <c r="OU312" s="4"/>
      <c r="OV312" s="4"/>
      <c r="OW312" s="4"/>
      <c r="OX312" s="4"/>
      <c r="OY312" s="5"/>
      <c r="OZ312" s="6"/>
      <c r="PA312" s="4"/>
      <c r="PB312" s="4"/>
      <c r="PC312" s="4"/>
      <c r="PD312" s="4"/>
      <c r="PE312" s="4"/>
      <c r="PF312" s="5"/>
      <c r="PG312" s="6"/>
      <c r="PH312" s="4"/>
      <c r="PI312" s="4"/>
      <c r="PJ312" s="4"/>
      <c r="PK312" s="4"/>
      <c r="PL312" s="4"/>
      <c r="PM312" s="5"/>
      <c r="PN312" s="6"/>
      <c r="PO312" s="4"/>
      <c r="PP312" s="4"/>
      <c r="PQ312" s="4"/>
      <c r="PR312" s="4"/>
      <c r="PS312" s="4"/>
      <c r="PT312" s="5"/>
      <c r="PU312" s="6"/>
      <c r="PV312" s="4"/>
      <c r="PW312" s="4"/>
      <c r="PX312" s="4"/>
      <c r="PY312" s="4"/>
      <c r="PZ312" s="4"/>
      <c r="QA312" s="5"/>
      <c r="QB312" s="6"/>
      <c r="QC312" s="4"/>
      <c r="QD312" s="4"/>
      <c r="QE312" s="4"/>
      <c r="QF312" s="4"/>
      <c r="QG312" s="4"/>
      <c r="QH312" s="5"/>
      <c r="QI312" s="6"/>
      <c r="QJ312" s="4"/>
      <c r="QK312" s="4"/>
      <c r="QL312" s="4"/>
      <c r="QM312" s="4"/>
      <c r="QN312" s="4"/>
      <c r="QO312" s="5"/>
      <c r="QP312" s="6"/>
      <c r="QQ312" s="4"/>
      <c r="QR312" s="4"/>
      <c r="QS312" s="4"/>
      <c r="QT312" s="4"/>
      <c r="QU312" s="4"/>
      <c r="QV312" s="5"/>
      <c r="QW312" s="6"/>
      <c r="QX312" s="4"/>
      <c r="QY312" s="4"/>
      <c r="QZ312" s="4"/>
      <c r="RA312" s="4"/>
      <c r="RB312" s="4"/>
      <c r="RC312" s="5"/>
      <c r="RD312" s="6"/>
      <c r="RE312" s="4"/>
      <c r="RF312" s="4"/>
      <c r="RG312" s="4"/>
      <c r="RH312" s="4"/>
      <c r="RI312" s="4"/>
      <c r="RJ312" s="5"/>
      <c r="RK312" s="6"/>
      <c r="RL312" s="4"/>
      <c r="RM312" s="4"/>
      <c r="RN312" s="4"/>
      <c r="RO312" s="4"/>
      <c r="RP312" s="4"/>
      <c r="RQ312" s="5"/>
      <c r="RR312" s="6"/>
      <c r="RS312" s="4"/>
      <c r="RT312" s="4"/>
      <c r="RU312" s="4"/>
      <c r="RV312" s="4"/>
      <c r="RW312" s="4"/>
      <c r="RX312" s="5"/>
      <c r="RY312" s="6"/>
      <c r="RZ312" s="4"/>
      <c r="SA312" s="4"/>
      <c r="SB312" s="4"/>
      <c r="SC312" s="4"/>
      <c r="SD312" s="4"/>
      <c r="SE312" s="5"/>
      <c r="SF312" s="6"/>
      <c r="SG312" s="4"/>
      <c r="SH312" s="4"/>
      <c r="SI312" s="4"/>
      <c r="SJ312" s="4"/>
      <c r="SK312" s="4"/>
      <c r="SL312" s="5"/>
      <c r="SM312" s="6"/>
      <c r="SN312" s="4"/>
      <c r="SO312" s="4"/>
      <c r="SP312" s="4"/>
      <c r="SQ312" s="4"/>
      <c r="SR312" s="4"/>
      <c r="SS312" s="5"/>
      <c r="ST312" s="6"/>
      <c r="SU312" s="4"/>
      <c r="SV312" s="4"/>
      <c r="SW312" s="4"/>
      <c r="SX312" s="4"/>
      <c r="SY312" s="4"/>
      <c r="SZ312" s="5"/>
      <c r="TA312" s="6"/>
      <c r="TB312" s="4"/>
      <c r="TC312" s="4"/>
      <c r="TD312" s="4"/>
      <c r="TE312" s="4"/>
      <c r="TF312" s="4"/>
      <c r="TG312" s="5"/>
      <c r="TH312" s="6"/>
      <c r="TI312" s="4"/>
      <c r="TJ312" s="4"/>
      <c r="TK312" s="4"/>
      <c r="TL312" s="4"/>
      <c r="TM312" s="4"/>
      <c r="TN312" s="5"/>
      <c r="TO312" s="6"/>
      <c r="TP312" s="4"/>
      <c r="TQ312" s="4"/>
      <c r="TR312" s="4"/>
      <c r="TS312" s="4"/>
      <c r="TT312" s="4"/>
      <c r="TU312" s="5"/>
      <c r="TV312" s="6"/>
      <c r="TW312" s="4"/>
      <c r="TX312" s="4"/>
      <c r="TY312" s="4"/>
      <c r="TZ312" s="4"/>
      <c r="UA312" s="4"/>
      <c r="UB312" s="5"/>
      <c r="UC312" s="6"/>
      <c r="UD312" s="4"/>
      <c r="UE312" s="4"/>
      <c r="UF312" s="4"/>
      <c r="UG312" s="4"/>
      <c r="UH312" s="4"/>
      <c r="UI312" s="5"/>
      <c r="UJ312" s="6"/>
      <c r="UK312" s="4"/>
      <c r="UL312" s="4"/>
      <c r="UM312" s="4"/>
      <c r="UN312" s="4"/>
      <c r="UO312" s="4"/>
      <c r="UP312" s="5"/>
      <c r="UQ312" s="6"/>
      <c r="UR312" s="4"/>
      <c r="US312" s="4"/>
      <c r="UT312" s="4"/>
      <c r="UU312" s="4"/>
      <c r="UV312" s="4"/>
      <c r="UW312" s="5"/>
      <c r="UX312" s="6"/>
      <c r="UY312" s="4"/>
      <c r="UZ312" s="4"/>
      <c r="VA312" s="4"/>
      <c r="VB312" s="4"/>
      <c r="VC312" s="4"/>
      <c r="VD312" s="5"/>
      <c r="VE312" s="6"/>
      <c r="VF312" s="4"/>
      <c r="VG312" s="4"/>
      <c r="VH312" s="4"/>
      <c r="VI312" s="4"/>
      <c r="VJ312" s="4"/>
      <c r="VK312" s="5"/>
      <c r="VL312" s="6"/>
      <c r="VM312" s="4"/>
      <c r="VN312" s="4"/>
      <c r="VO312" s="4"/>
      <c r="VP312" s="4"/>
      <c r="VQ312" s="4"/>
      <c r="VR312" s="5"/>
      <c r="VS312" s="6"/>
      <c r="VT312" s="4"/>
      <c r="VU312" s="4"/>
      <c r="VV312" s="4"/>
      <c r="VW312" s="4"/>
      <c r="VX312" s="4"/>
      <c r="VY312" s="5"/>
      <c r="VZ312" s="6"/>
      <c r="WA312" s="4"/>
      <c r="WB312" s="4"/>
      <c r="WC312" s="4"/>
      <c r="WD312" s="4"/>
      <c r="WE312" s="4"/>
      <c r="WF312" s="5"/>
      <c r="WG312" s="6"/>
      <c r="WH312" s="4"/>
      <c r="WI312" s="4"/>
      <c r="WJ312" s="4"/>
      <c r="WK312" s="4"/>
      <c r="WL312" s="4"/>
      <c r="WM312" s="5"/>
      <c r="WN312" s="6"/>
      <c r="WO312" s="4"/>
      <c r="WP312" s="4"/>
      <c r="WQ312" s="4"/>
      <c r="WR312" s="4"/>
      <c r="WS312" s="4"/>
      <c r="WT312" s="5"/>
      <c r="WU312" s="6"/>
      <c r="WV312" s="4"/>
      <c r="WW312" s="4"/>
      <c r="WX312" s="4"/>
      <c r="WY312" s="4"/>
      <c r="WZ312" s="4"/>
      <c r="XA312" s="5"/>
      <c r="XB312" s="6"/>
      <c r="XC312" s="4"/>
      <c r="XD312" s="4"/>
      <c r="XE312" s="4"/>
      <c r="XF312" s="4"/>
      <c r="XG312" s="4"/>
      <c r="XH312" s="5"/>
      <c r="XI312" s="6"/>
      <c r="XJ312" s="4"/>
      <c r="XK312" s="4"/>
      <c r="XL312" s="4"/>
      <c r="XM312" s="4"/>
      <c r="XN312" s="4"/>
      <c r="XO312" s="5"/>
      <c r="XP312" s="6"/>
      <c r="XQ312" s="4"/>
      <c r="XR312" s="4"/>
      <c r="XS312" s="4"/>
      <c r="XT312" s="4"/>
      <c r="XU312" s="4"/>
      <c r="XV312" s="5"/>
      <c r="XW312" s="6"/>
      <c r="XX312" s="4"/>
      <c r="XY312" s="4"/>
      <c r="XZ312" s="4"/>
      <c r="YA312" s="4"/>
      <c r="YB312" s="4"/>
      <c r="YC312" s="5"/>
      <c r="YD312" s="6"/>
      <c r="YE312" s="4"/>
      <c r="YF312" s="4"/>
      <c r="YG312" s="4"/>
      <c r="YH312" s="4"/>
      <c r="YI312" s="4"/>
      <c r="YJ312" s="5"/>
      <c r="YK312" s="6" t="s">
        <v>1592</v>
      </c>
      <c r="YL312" s="7" t="s">
        <v>1450</v>
      </c>
      <c r="YM312" s="7" t="s">
        <v>1753</v>
      </c>
      <c r="YN312" s="4"/>
      <c r="YO312" s="8">
        <v>37897</v>
      </c>
      <c r="YP312" s="4"/>
      <c r="YQ312" s="7" t="s">
        <v>4043</v>
      </c>
      <c r="YR312" s="6"/>
      <c r="YS312" s="4"/>
      <c r="YT312" s="4"/>
      <c r="YU312" s="4"/>
      <c r="YV312" s="4"/>
      <c r="YW312" s="4"/>
      <c r="YX312" s="5"/>
      <c r="YY312" s="6"/>
      <c r="YZ312" s="4"/>
      <c r="ZA312" s="4"/>
      <c r="ZB312" s="4"/>
      <c r="ZC312" s="4"/>
      <c r="ZD312" s="4"/>
      <c r="ZE312" s="5"/>
      <c r="ZF312" s="6"/>
      <c r="ZG312" s="4"/>
      <c r="ZH312" s="4"/>
      <c r="ZI312" s="4"/>
      <c r="ZJ312" s="4"/>
      <c r="ZK312" s="4"/>
      <c r="ZL312" s="5"/>
      <c r="ZM312" s="6"/>
      <c r="ZN312" s="4"/>
      <c r="ZO312" s="4"/>
      <c r="ZP312" s="4"/>
      <c r="ZQ312" s="4"/>
      <c r="ZR312" s="4"/>
      <c r="ZS312" s="5"/>
      <c r="ZT312" s="6"/>
      <c r="ZU312" s="4"/>
      <c r="ZV312" s="4"/>
      <c r="ZW312" s="4"/>
      <c r="ZX312" s="4"/>
      <c r="ZY312" s="4"/>
      <c r="ZZ312" s="5"/>
      <c r="AAA312" s="6"/>
      <c r="AAB312" s="4"/>
      <c r="AAC312" s="4"/>
      <c r="AAD312" s="4"/>
      <c r="AAE312" s="4"/>
      <c r="AAF312" s="4"/>
      <c r="AAG312" s="5"/>
      <c r="AAH312" s="6"/>
      <c r="AAI312" s="4"/>
      <c r="AAJ312" s="4"/>
      <c r="AAK312" s="4"/>
      <c r="AAL312" s="4"/>
      <c r="AAM312" s="4"/>
      <c r="AAN312" s="5"/>
      <c r="AAO312" s="6"/>
      <c r="AAP312" s="4"/>
      <c r="AAQ312" s="4"/>
      <c r="AAR312" s="4"/>
      <c r="AAS312" s="4"/>
      <c r="AAT312" s="4"/>
      <c r="AAU312" s="5"/>
      <c r="AAV312" s="6"/>
      <c r="AAW312" s="4"/>
      <c r="AAX312" s="4"/>
      <c r="AAY312" s="4"/>
      <c r="AAZ312" s="4"/>
      <c r="ABA312" s="4"/>
      <c r="ABB312" s="5"/>
      <c r="ABC312" s="6"/>
      <c r="ABD312" s="4"/>
      <c r="ABE312" s="4"/>
      <c r="ABF312" s="4"/>
      <c r="ABG312" s="8"/>
      <c r="ABH312" s="4"/>
      <c r="ABI312" s="5"/>
      <c r="ABJ312" s="6"/>
      <c r="ABK312" s="4"/>
      <c r="ABL312" s="4"/>
      <c r="ABM312" s="4"/>
      <c r="ABN312" s="4"/>
      <c r="ABO312" s="4"/>
      <c r="ABP312" s="5"/>
      <c r="ABQ312" s="6"/>
      <c r="ABR312" s="4"/>
      <c r="ABS312" s="4"/>
      <c r="ABT312" s="4"/>
      <c r="ABU312" s="4"/>
      <c r="ABV312" s="4"/>
      <c r="ABW312" s="5"/>
      <c r="ABX312" s="6"/>
      <c r="ABY312" s="4"/>
      <c r="ABZ312" s="4"/>
      <c r="ACA312" s="4"/>
      <c r="ACB312" s="4"/>
      <c r="ACC312" s="4"/>
      <c r="ACD312" s="5"/>
      <c r="ACE312" s="6"/>
      <c r="ACF312" s="4"/>
      <c r="ACG312" s="4"/>
      <c r="ACH312" s="4"/>
      <c r="ACI312" s="4"/>
      <c r="ACJ312" s="4"/>
      <c r="ACK312" s="5"/>
      <c r="ACL312" s="6"/>
      <c r="ACM312" s="4"/>
      <c r="ACN312" s="4"/>
      <c r="ACO312" s="4"/>
      <c r="ACP312" s="4"/>
      <c r="ACQ312" s="4"/>
      <c r="ACR312" s="5"/>
      <c r="ACS312" s="6"/>
      <c r="ACT312" s="4"/>
      <c r="ACU312" s="4"/>
      <c r="ACV312" s="4"/>
      <c r="ACW312" s="4"/>
      <c r="ACX312" s="4"/>
      <c r="ACY312" s="5"/>
    </row>
    <row r="313" spans="2:805" x14ac:dyDescent="0.25">
      <c r="J313" s="12"/>
      <c r="K313" s="12"/>
      <c r="L313" s="12"/>
      <c r="LL313" s="6"/>
      <c r="LM313" s="4"/>
      <c r="LN313" s="4"/>
      <c r="LO313" s="4"/>
      <c r="LP313" s="4"/>
      <c r="LQ313" s="4"/>
      <c r="LR313" s="5"/>
      <c r="LS313" s="6"/>
      <c r="LT313" s="4"/>
      <c r="LU313" s="4"/>
      <c r="LV313" s="4"/>
      <c r="LW313" s="4"/>
      <c r="LX313" s="4"/>
      <c r="LY313" s="5"/>
      <c r="LZ313" s="6"/>
      <c r="MA313" s="4"/>
      <c r="MB313" s="4"/>
      <c r="MC313" s="4"/>
      <c r="MD313" s="4"/>
      <c r="ME313" s="4"/>
      <c r="MF313" s="4"/>
      <c r="MG313" s="5"/>
      <c r="MH313" s="6"/>
      <c r="MI313" s="4"/>
      <c r="MJ313" s="4"/>
      <c r="MK313" s="4"/>
      <c r="ML313" s="4"/>
      <c r="MM313" s="4"/>
      <c r="MN313" s="5"/>
      <c r="MO313" s="6"/>
      <c r="MP313" s="4"/>
      <c r="MQ313" s="4"/>
      <c r="MR313" s="4"/>
      <c r="MS313" s="4"/>
      <c r="MT313" s="4"/>
      <c r="MU313" s="5"/>
      <c r="MV313" s="6"/>
      <c r="MW313" s="4"/>
      <c r="MX313" s="4"/>
      <c r="MY313" s="4"/>
      <c r="MZ313" s="4"/>
      <c r="NA313" s="4"/>
      <c r="NB313" s="5"/>
      <c r="NC313" s="6"/>
      <c r="ND313" s="4"/>
      <c r="NE313" s="7"/>
      <c r="NF313" s="4"/>
      <c r="NG313" s="4"/>
      <c r="NH313" s="4"/>
      <c r="NI313" s="5"/>
      <c r="NJ313" s="6"/>
      <c r="NK313" s="4"/>
      <c r="NL313" s="4"/>
      <c r="NM313" s="4"/>
      <c r="NN313" s="4"/>
      <c r="NO313" s="4"/>
      <c r="NP313" s="5"/>
      <c r="NQ313" s="6"/>
      <c r="NR313" s="4"/>
      <c r="NS313" s="4"/>
      <c r="NT313" s="4"/>
      <c r="NU313" s="4"/>
      <c r="NV313" s="4"/>
      <c r="NW313" s="5"/>
      <c r="NX313" s="6"/>
      <c r="NY313" s="4"/>
      <c r="NZ313" s="4"/>
      <c r="OA313" s="4"/>
      <c r="OB313" s="4"/>
      <c r="OC313" s="4"/>
      <c r="OD313" s="5"/>
      <c r="OE313" s="6"/>
      <c r="OF313" s="4"/>
      <c r="OG313" s="4"/>
      <c r="OH313" s="4"/>
      <c r="OI313" s="4"/>
      <c r="OJ313" s="4"/>
      <c r="OK313" s="5"/>
      <c r="OL313" s="6"/>
      <c r="OM313" s="4"/>
      <c r="ON313" s="4"/>
      <c r="OO313" s="4"/>
      <c r="OP313" s="4"/>
      <c r="OQ313" s="4"/>
      <c r="OR313" s="5"/>
      <c r="OS313" s="6"/>
      <c r="OT313" s="4"/>
      <c r="OU313" s="4"/>
      <c r="OV313" s="4"/>
      <c r="OW313" s="4"/>
      <c r="OX313" s="4"/>
      <c r="OY313" s="5"/>
      <c r="OZ313" s="6"/>
      <c r="PA313" s="4"/>
      <c r="PB313" s="4"/>
      <c r="PC313" s="4"/>
      <c r="PD313" s="4"/>
      <c r="PE313" s="4"/>
      <c r="PF313" s="5"/>
      <c r="PG313" s="6"/>
      <c r="PH313" s="4"/>
      <c r="PI313" s="4"/>
      <c r="PJ313" s="4"/>
      <c r="PK313" s="4"/>
      <c r="PL313" s="4"/>
      <c r="PM313" s="5"/>
      <c r="PN313" s="6"/>
      <c r="PO313" s="4"/>
      <c r="PP313" s="4"/>
      <c r="PQ313" s="4"/>
      <c r="PR313" s="4"/>
      <c r="PS313" s="4"/>
      <c r="PT313" s="5"/>
      <c r="PU313" s="6"/>
      <c r="PV313" s="4"/>
      <c r="PW313" s="4"/>
      <c r="PX313" s="4"/>
      <c r="PY313" s="4"/>
      <c r="PZ313" s="4"/>
      <c r="QA313" s="5"/>
      <c r="QB313" s="6"/>
      <c r="QC313" s="4"/>
      <c r="QD313" s="4"/>
      <c r="QE313" s="4"/>
      <c r="QF313" s="4"/>
      <c r="QG313" s="4"/>
      <c r="QH313" s="5"/>
      <c r="QI313" s="6"/>
      <c r="QJ313" s="4"/>
      <c r="QK313" s="4"/>
      <c r="QL313" s="4"/>
      <c r="QM313" s="4"/>
      <c r="QN313" s="4"/>
      <c r="QO313" s="5"/>
      <c r="QP313" s="6"/>
      <c r="QQ313" s="4"/>
      <c r="QR313" s="4"/>
      <c r="QS313" s="4"/>
      <c r="QT313" s="4"/>
      <c r="QU313" s="4"/>
      <c r="QV313" s="5"/>
      <c r="QW313" s="6"/>
      <c r="QX313" s="4"/>
      <c r="QY313" s="4"/>
      <c r="QZ313" s="4"/>
      <c r="RA313" s="4"/>
      <c r="RB313" s="4"/>
      <c r="RC313" s="5"/>
      <c r="RD313" s="6"/>
      <c r="RE313" s="4"/>
      <c r="RF313" s="4"/>
      <c r="RG313" s="4"/>
      <c r="RH313" s="4"/>
      <c r="RI313" s="4"/>
      <c r="RJ313" s="5"/>
      <c r="RK313" s="6"/>
      <c r="RL313" s="4"/>
      <c r="RM313" s="4"/>
      <c r="RN313" s="4"/>
      <c r="RO313" s="4"/>
      <c r="RP313" s="4"/>
      <c r="RQ313" s="5"/>
      <c r="RR313" s="6"/>
      <c r="RS313" s="4"/>
      <c r="RT313" s="4"/>
      <c r="RU313" s="4"/>
      <c r="RV313" s="4"/>
      <c r="RW313" s="4"/>
      <c r="RX313" s="5"/>
      <c r="RY313" s="6"/>
      <c r="RZ313" s="4"/>
      <c r="SA313" s="4"/>
      <c r="SB313" s="4"/>
      <c r="SC313" s="4"/>
      <c r="SD313" s="4"/>
      <c r="SE313" s="5"/>
      <c r="SF313" s="6"/>
      <c r="SG313" s="4"/>
      <c r="SH313" s="4"/>
      <c r="SI313" s="4"/>
      <c r="SJ313" s="4"/>
      <c r="SK313" s="4"/>
      <c r="SL313" s="5"/>
      <c r="SM313" s="6"/>
      <c r="SN313" s="4"/>
      <c r="SO313" s="4"/>
      <c r="SP313" s="4"/>
      <c r="SQ313" s="4"/>
      <c r="SR313" s="4"/>
      <c r="SS313" s="5"/>
      <c r="ST313" s="6"/>
      <c r="SU313" s="4"/>
      <c r="SV313" s="4"/>
      <c r="SW313" s="4"/>
      <c r="SX313" s="4"/>
      <c r="SY313" s="4"/>
      <c r="SZ313" s="5"/>
      <c r="TA313" s="6"/>
      <c r="TB313" s="4"/>
      <c r="TC313" s="4"/>
      <c r="TD313" s="4"/>
      <c r="TE313" s="4"/>
      <c r="TF313" s="4"/>
      <c r="TG313" s="5"/>
      <c r="TH313" s="6"/>
      <c r="TI313" s="4"/>
      <c r="TJ313" s="4"/>
      <c r="TK313" s="4"/>
      <c r="TL313" s="4"/>
      <c r="TM313" s="4"/>
      <c r="TN313" s="5"/>
      <c r="TO313" s="6"/>
      <c r="TP313" s="4"/>
      <c r="TQ313" s="4"/>
      <c r="TR313" s="4"/>
      <c r="TS313" s="4"/>
      <c r="TT313" s="4"/>
      <c r="TU313" s="5"/>
      <c r="TV313" s="6"/>
      <c r="TW313" s="4"/>
      <c r="TX313" s="4"/>
      <c r="TY313" s="4"/>
      <c r="TZ313" s="4"/>
      <c r="UA313" s="4"/>
      <c r="UB313" s="5"/>
      <c r="UC313" s="6"/>
      <c r="UD313" s="4"/>
      <c r="UE313" s="4"/>
      <c r="UF313" s="4"/>
      <c r="UG313" s="4"/>
      <c r="UH313" s="4"/>
      <c r="UI313" s="5"/>
      <c r="UJ313" s="6"/>
      <c r="UK313" s="4"/>
      <c r="UL313" s="4"/>
      <c r="UM313" s="4"/>
      <c r="UN313" s="4"/>
      <c r="UO313" s="4"/>
      <c r="UP313" s="5"/>
      <c r="UQ313" s="6"/>
      <c r="UR313" s="4"/>
      <c r="US313" s="4"/>
      <c r="UT313" s="4"/>
      <c r="UU313" s="4"/>
      <c r="UV313" s="4"/>
      <c r="UW313" s="5"/>
      <c r="UX313" s="6"/>
      <c r="UY313" s="4"/>
      <c r="UZ313" s="4"/>
      <c r="VA313" s="4"/>
      <c r="VB313" s="4"/>
      <c r="VC313" s="4"/>
      <c r="VD313" s="5"/>
      <c r="VE313" s="6"/>
      <c r="VF313" s="4"/>
      <c r="VG313" s="4"/>
      <c r="VH313" s="4"/>
      <c r="VI313" s="4"/>
      <c r="VJ313" s="4"/>
      <c r="VK313" s="5"/>
      <c r="VL313" s="6"/>
      <c r="VM313" s="4"/>
      <c r="VN313" s="4"/>
      <c r="VO313" s="4"/>
      <c r="VP313" s="4"/>
      <c r="VQ313" s="4"/>
      <c r="VR313" s="5"/>
      <c r="VS313" s="6"/>
      <c r="VT313" s="4"/>
      <c r="VU313" s="4"/>
      <c r="VV313" s="4"/>
      <c r="VW313" s="4"/>
      <c r="VX313" s="4"/>
      <c r="VY313" s="5"/>
      <c r="VZ313" s="6"/>
      <c r="WA313" s="4"/>
      <c r="WB313" s="4"/>
      <c r="WC313" s="4"/>
      <c r="WD313" s="4"/>
      <c r="WE313" s="4"/>
      <c r="WF313" s="5"/>
      <c r="WG313" s="6"/>
      <c r="WH313" s="4"/>
      <c r="WI313" s="4"/>
      <c r="WJ313" s="4"/>
      <c r="WK313" s="4"/>
      <c r="WL313" s="4"/>
      <c r="WM313" s="5"/>
      <c r="WN313" s="6"/>
      <c r="WO313" s="4"/>
      <c r="WP313" s="4"/>
      <c r="WQ313" s="4"/>
      <c r="WR313" s="4"/>
      <c r="WS313" s="4"/>
      <c r="WT313" s="5"/>
      <c r="WU313" s="6"/>
      <c r="WV313" s="4"/>
      <c r="WW313" s="4"/>
      <c r="WX313" s="4"/>
      <c r="WY313" s="4"/>
      <c r="WZ313" s="4"/>
      <c r="XA313" s="5"/>
      <c r="XB313" s="6"/>
      <c r="XC313" s="4"/>
      <c r="XD313" s="4"/>
      <c r="XE313" s="4"/>
      <c r="XF313" s="4"/>
      <c r="XG313" s="4"/>
      <c r="XH313" s="5"/>
      <c r="XI313" s="6"/>
      <c r="XJ313" s="4"/>
      <c r="XK313" s="4"/>
      <c r="XL313" s="4"/>
      <c r="XM313" s="4"/>
      <c r="XN313" s="4"/>
      <c r="XO313" s="5"/>
      <c r="XP313" s="6"/>
      <c r="XQ313" s="4"/>
      <c r="XR313" s="4"/>
      <c r="XS313" s="4"/>
      <c r="XT313" s="4"/>
      <c r="XU313" s="4"/>
      <c r="XV313" s="5"/>
      <c r="XW313" s="6"/>
      <c r="XX313" s="4"/>
      <c r="XY313" s="4"/>
      <c r="XZ313" s="4"/>
      <c r="YA313" s="4"/>
      <c r="YB313" s="4"/>
      <c r="YC313" s="5"/>
      <c r="YD313" s="6"/>
      <c r="YE313" s="4"/>
      <c r="YF313" s="4"/>
      <c r="YG313" s="4"/>
      <c r="YH313" s="4"/>
      <c r="YI313" s="4"/>
      <c r="YJ313" s="5"/>
      <c r="YK313" s="6" t="s">
        <v>1845</v>
      </c>
      <c r="YL313" s="7" t="s">
        <v>1846</v>
      </c>
      <c r="YM313" s="7" t="s">
        <v>1445</v>
      </c>
      <c r="YN313" s="4"/>
      <c r="YO313" s="4"/>
      <c r="YP313" s="4"/>
      <c r="YQ313" s="7" t="s">
        <v>1852</v>
      </c>
      <c r="YR313" s="6"/>
      <c r="YS313" s="4"/>
      <c r="YT313" s="4"/>
      <c r="YU313" s="4"/>
      <c r="YV313" s="4"/>
      <c r="YW313" s="4"/>
      <c r="YX313" s="5"/>
      <c r="YY313" s="6"/>
      <c r="YZ313" s="4"/>
      <c r="ZA313" s="4"/>
      <c r="ZB313" s="4"/>
      <c r="ZC313" s="4"/>
      <c r="ZD313" s="4"/>
      <c r="ZE313" s="5"/>
      <c r="ZF313" s="6"/>
      <c r="ZG313" s="4"/>
      <c r="ZH313" s="4"/>
      <c r="ZI313" s="4"/>
      <c r="ZJ313" s="4"/>
      <c r="ZK313" s="4"/>
      <c r="ZL313" s="5"/>
      <c r="ZM313" s="6"/>
      <c r="ZN313" s="4"/>
      <c r="ZO313" s="4"/>
      <c r="ZP313" s="4"/>
      <c r="ZQ313" s="4"/>
      <c r="ZR313" s="4"/>
      <c r="ZS313" s="5"/>
      <c r="ZT313" s="6"/>
      <c r="ZU313" s="4"/>
      <c r="ZV313" s="4"/>
      <c r="ZW313" s="4"/>
      <c r="ZX313" s="4"/>
      <c r="ZY313" s="4"/>
      <c r="ZZ313" s="5"/>
      <c r="AAA313" s="6"/>
      <c r="AAB313" s="4"/>
      <c r="AAC313" s="4"/>
      <c r="AAD313" s="4"/>
      <c r="AAE313" s="4"/>
      <c r="AAF313" s="4"/>
      <c r="AAG313" s="5"/>
      <c r="AAH313" s="6"/>
      <c r="AAI313" s="4"/>
      <c r="AAJ313" s="4"/>
      <c r="AAK313" s="4"/>
      <c r="AAL313" s="4"/>
      <c r="AAM313" s="4"/>
      <c r="AAN313" s="5"/>
      <c r="AAO313" s="6"/>
      <c r="AAP313" s="4"/>
      <c r="AAQ313" s="4"/>
      <c r="AAR313" s="4"/>
      <c r="AAS313" s="4"/>
      <c r="AAT313" s="4"/>
      <c r="AAU313" s="5"/>
      <c r="AAV313" s="6"/>
      <c r="AAW313" s="4"/>
      <c r="AAX313" s="4"/>
      <c r="AAY313" s="4"/>
      <c r="AAZ313" s="4"/>
      <c r="ABA313" s="4"/>
      <c r="ABB313" s="5"/>
      <c r="ABC313" s="6"/>
      <c r="ABD313" s="4"/>
      <c r="ABE313" s="4"/>
      <c r="ABF313" s="4"/>
      <c r="ABG313" s="8"/>
      <c r="ABH313" s="4"/>
      <c r="ABI313" s="5"/>
      <c r="ABJ313" s="6"/>
      <c r="ABK313" s="4"/>
      <c r="ABL313" s="4"/>
      <c r="ABM313" s="4"/>
      <c r="ABN313" s="4"/>
      <c r="ABO313" s="4"/>
      <c r="ABP313" s="5"/>
      <c r="ABQ313" s="6"/>
      <c r="ABR313" s="4"/>
      <c r="ABS313" s="4"/>
      <c r="ABT313" s="4"/>
      <c r="ABU313" s="4"/>
      <c r="ABV313" s="4"/>
      <c r="ABW313" s="5"/>
      <c r="ABX313" s="6"/>
      <c r="ABY313" s="4"/>
      <c r="ABZ313" s="4"/>
      <c r="ACA313" s="4"/>
      <c r="ACB313" s="4"/>
      <c r="ACC313" s="4"/>
      <c r="ACD313" s="5"/>
      <c r="ACE313" s="6"/>
      <c r="ACF313" s="4"/>
      <c r="ACG313" s="4"/>
      <c r="ACH313" s="4"/>
      <c r="ACI313" s="4"/>
      <c r="ACJ313" s="4"/>
      <c r="ACK313" s="5"/>
      <c r="ACL313" s="6"/>
      <c r="ACM313" s="4"/>
      <c r="ACN313" s="4"/>
      <c r="ACO313" s="4"/>
      <c r="ACP313" s="4"/>
      <c r="ACQ313" s="4"/>
      <c r="ACR313" s="5"/>
      <c r="ACS313" s="6"/>
      <c r="ACT313" s="4"/>
      <c r="ACU313" s="4"/>
      <c r="ACV313" s="4"/>
      <c r="ACW313" s="4"/>
      <c r="ACX313" s="4"/>
      <c r="ACY313" s="5"/>
    </row>
    <row r="314" spans="2:805" x14ac:dyDescent="0.25">
      <c r="J314" s="12"/>
      <c r="K314" s="12"/>
      <c r="L314" s="12"/>
      <c r="LL314" s="6"/>
      <c r="LM314" s="4"/>
      <c r="LN314" s="4"/>
      <c r="LO314" s="4"/>
      <c r="LP314" s="4"/>
      <c r="LQ314" s="4"/>
      <c r="LR314" s="5"/>
      <c r="LS314" s="6"/>
      <c r="LT314" s="4"/>
      <c r="LU314" s="4"/>
      <c r="LV314" s="4"/>
      <c r="LW314" s="4"/>
      <c r="LX314" s="4"/>
      <c r="LY314" s="5"/>
      <c r="LZ314" s="6"/>
      <c r="MA314" s="4"/>
      <c r="MB314" s="4"/>
      <c r="MC314" s="4"/>
      <c r="MD314" s="4"/>
      <c r="ME314" s="4"/>
      <c r="MF314" s="4"/>
      <c r="MG314" s="5"/>
      <c r="MH314" s="6"/>
      <c r="MI314" s="4"/>
      <c r="MJ314" s="4"/>
      <c r="MK314" s="4"/>
      <c r="ML314" s="4"/>
      <c r="MM314" s="4"/>
      <c r="MN314" s="5"/>
      <c r="MO314" s="6"/>
      <c r="MP314" s="4"/>
      <c r="MQ314" s="4"/>
      <c r="MR314" s="4"/>
      <c r="MS314" s="4"/>
      <c r="MT314" s="4"/>
      <c r="MU314" s="5"/>
      <c r="MV314" s="6"/>
      <c r="MW314" s="4"/>
      <c r="MX314" s="4"/>
      <c r="MY314" s="4"/>
      <c r="MZ314" s="4"/>
      <c r="NA314" s="4"/>
      <c r="NB314" s="5"/>
      <c r="NC314" s="6"/>
      <c r="ND314" s="4"/>
      <c r="NE314" s="7"/>
      <c r="NF314" s="4"/>
      <c r="NG314" s="4"/>
      <c r="NH314" s="4"/>
      <c r="NI314" s="5"/>
      <c r="NJ314" s="6"/>
      <c r="NK314" s="4"/>
      <c r="NL314" s="4"/>
      <c r="NM314" s="4"/>
      <c r="NN314" s="4"/>
      <c r="NO314" s="4"/>
      <c r="NP314" s="5"/>
      <c r="NQ314" s="6"/>
      <c r="NR314" s="4"/>
      <c r="NS314" s="4"/>
      <c r="NT314" s="4"/>
      <c r="NU314" s="4"/>
      <c r="NV314" s="4"/>
      <c r="NW314" s="5"/>
      <c r="NX314" s="6"/>
      <c r="NY314" s="4"/>
      <c r="NZ314" s="4"/>
      <c r="OA314" s="4"/>
      <c r="OB314" s="4"/>
      <c r="OC314" s="4"/>
      <c r="OD314" s="5"/>
      <c r="OE314" s="6"/>
      <c r="OF314" s="4"/>
      <c r="OG314" s="4"/>
      <c r="OH314" s="4"/>
      <c r="OI314" s="4"/>
      <c r="OJ314" s="4"/>
      <c r="OK314" s="5"/>
      <c r="OL314" s="6"/>
      <c r="OM314" s="4"/>
      <c r="ON314" s="4"/>
      <c r="OO314" s="4"/>
      <c r="OP314" s="4"/>
      <c r="OQ314" s="4"/>
      <c r="OR314" s="5"/>
      <c r="OS314" s="6"/>
      <c r="OT314" s="4"/>
      <c r="OU314" s="4"/>
      <c r="OV314" s="4"/>
      <c r="OW314" s="4"/>
      <c r="OX314" s="4"/>
      <c r="OY314" s="5"/>
      <c r="OZ314" s="6"/>
      <c r="PA314" s="4"/>
      <c r="PB314" s="4"/>
      <c r="PC314" s="4"/>
      <c r="PD314" s="4"/>
      <c r="PE314" s="4"/>
      <c r="PF314" s="5"/>
      <c r="PG314" s="6"/>
      <c r="PH314" s="4"/>
      <c r="PI314" s="4"/>
      <c r="PJ314" s="4"/>
      <c r="PK314" s="4"/>
      <c r="PL314" s="4"/>
      <c r="PM314" s="5"/>
      <c r="PN314" s="6"/>
      <c r="PO314" s="4"/>
      <c r="PP314" s="4"/>
      <c r="PQ314" s="4"/>
      <c r="PR314" s="4"/>
      <c r="PS314" s="4"/>
      <c r="PT314" s="5"/>
      <c r="PU314" s="6"/>
      <c r="PV314" s="4"/>
      <c r="PW314" s="4"/>
      <c r="PX314" s="4"/>
      <c r="PY314" s="4"/>
      <c r="PZ314" s="4"/>
      <c r="QA314" s="5"/>
      <c r="QB314" s="6"/>
      <c r="QC314" s="4"/>
      <c r="QD314" s="4"/>
      <c r="QE314" s="4"/>
      <c r="QF314" s="4"/>
      <c r="QG314" s="4"/>
      <c r="QH314" s="5"/>
      <c r="QI314" s="6"/>
      <c r="QJ314" s="4"/>
      <c r="QK314" s="4"/>
      <c r="QL314" s="4"/>
      <c r="QM314" s="4"/>
      <c r="QN314" s="4"/>
      <c r="QO314" s="5"/>
      <c r="QP314" s="6"/>
      <c r="QQ314" s="4"/>
      <c r="QR314" s="4"/>
      <c r="QS314" s="4"/>
      <c r="QT314" s="4"/>
      <c r="QU314" s="4"/>
      <c r="QV314" s="5"/>
      <c r="QW314" s="6"/>
      <c r="QX314" s="4"/>
      <c r="QY314" s="4"/>
      <c r="QZ314" s="4"/>
      <c r="RA314" s="4"/>
      <c r="RB314" s="4"/>
      <c r="RC314" s="5"/>
      <c r="RD314" s="6"/>
      <c r="RE314" s="4"/>
      <c r="RF314" s="4"/>
      <c r="RG314" s="4"/>
      <c r="RH314" s="4"/>
      <c r="RI314" s="4"/>
      <c r="RJ314" s="5"/>
      <c r="RK314" s="6"/>
      <c r="RL314" s="4"/>
      <c r="RM314" s="4"/>
      <c r="RN314" s="4"/>
      <c r="RO314" s="4"/>
      <c r="RP314" s="4"/>
      <c r="RQ314" s="5"/>
      <c r="RR314" s="6"/>
      <c r="RS314" s="4"/>
      <c r="RT314" s="4"/>
      <c r="RU314" s="4"/>
      <c r="RV314" s="4"/>
      <c r="RW314" s="4"/>
      <c r="RX314" s="5"/>
      <c r="RY314" s="6"/>
      <c r="RZ314" s="4"/>
      <c r="SA314" s="4"/>
      <c r="SB314" s="4"/>
      <c r="SC314" s="4"/>
      <c r="SD314" s="4"/>
      <c r="SE314" s="5"/>
      <c r="SF314" s="6"/>
      <c r="SG314" s="4"/>
      <c r="SH314" s="4"/>
      <c r="SI314" s="4"/>
      <c r="SJ314" s="4"/>
      <c r="SK314" s="4"/>
      <c r="SL314" s="5"/>
      <c r="SM314" s="6"/>
      <c r="SN314" s="4"/>
      <c r="SO314" s="4"/>
      <c r="SP314" s="4"/>
      <c r="SQ314" s="4"/>
      <c r="SR314" s="4"/>
      <c r="SS314" s="5"/>
      <c r="ST314" s="6"/>
      <c r="SU314" s="4"/>
      <c r="SV314" s="4"/>
      <c r="SW314" s="4"/>
      <c r="SX314" s="4"/>
      <c r="SY314" s="4"/>
      <c r="SZ314" s="5"/>
      <c r="TA314" s="6"/>
      <c r="TB314" s="4"/>
      <c r="TC314" s="4"/>
      <c r="TD314" s="4"/>
      <c r="TE314" s="4"/>
      <c r="TF314" s="4"/>
      <c r="TG314" s="5"/>
      <c r="TH314" s="6"/>
      <c r="TI314" s="4"/>
      <c r="TJ314" s="4"/>
      <c r="TK314" s="4"/>
      <c r="TL314" s="4"/>
      <c r="TM314" s="4"/>
      <c r="TN314" s="5"/>
      <c r="TO314" s="6"/>
      <c r="TP314" s="4"/>
      <c r="TQ314" s="4"/>
      <c r="TR314" s="4"/>
      <c r="TS314" s="4"/>
      <c r="TT314" s="4"/>
      <c r="TU314" s="5"/>
      <c r="TV314" s="6"/>
      <c r="TW314" s="4"/>
      <c r="TX314" s="4"/>
      <c r="TY314" s="4"/>
      <c r="TZ314" s="4"/>
      <c r="UA314" s="4"/>
      <c r="UB314" s="5"/>
      <c r="UC314" s="6"/>
      <c r="UD314" s="4"/>
      <c r="UE314" s="4"/>
      <c r="UF314" s="4"/>
      <c r="UG314" s="4"/>
      <c r="UH314" s="4"/>
      <c r="UI314" s="5"/>
      <c r="UJ314" s="6"/>
      <c r="UK314" s="4"/>
      <c r="UL314" s="4"/>
      <c r="UM314" s="4"/>
      <c r="UN314" s="4"/>
      <c r="UO314" s="4"/>
      <c r="UP314" s="5"/>
      <c r="UQ314" s="6"/>
      <c r="UR314" s="4"/>
      <c r="US314" s="4"/>
      <c r="UT314" s="4"/>
      <c r="UU314" s="4"/>
      <c r="UV314" s="4"/>
      <c r="UW314" s="5"/>
      <c r="UX314" s="6"/>
      <c r="UY314" s="4"/>
      <c r="UZ314" s="4"/>
      <c r="VA314" s="4"/>
      <c r="VB314" s="4"/>
      <c r="VC314" s="4"/>
      <c r="VD314" s="5"/>
      <c r="VE314" s="6"/>
      <c r="VF314" s="4"/>
      <c r="VG314" s="4"/>
      <c r="VH314" s="4"/>
      <c r="VI314" s="4"/>
      <c r="VJ314" s="4"/>
      <c r="VK314" s="5"/>
      <c r="VL314" s="6"/>
      <c r="VM314" s="4"/>
      <c r="VN314" s="4"/>
      <c r="VO314" s="4"/>
      <c r="VP314" s="4"/>
      <c r="VQ314" s="4"/>
      <c r="VR314" s="5"/>
      <c r="VS314" s="6"/>
      <c r="VT314" s="4"/>
      <c r="VU314" s="4"/>
      <c r="VV314" s="4"/>
      <c r="VW314" s="4"/>
      <c r="VX314" s="4"/>
      <c r="VY314" s="5"/>
      <c r="VZ314" s="6"/>
      <c r="WA314" s="4"/>
      <c r="WB314" s="4"/>
      <c r="WC314" s="4"/>
      <c r="WD314" s="4"/>
      <c r="WE314" s="4"/>
      <c r="WF314" s="5"/>
      <c r="WG314" s="6"/>
      <c r="WH314" s="4"/>
      <c r="WI314" s="4"/>
      <c r="WJ314" s="4"/>
      <c r="WK314" s="4"/>
      <c r="WL314" s="4"/>
      <c r="WM314" s="5"/>
      <c r="WN314" s="6"/>
      <c r="WO314" s="4"/>
      <c r="WP314" s="4"/>
      <c r="WQ314" s="4"/>
      <c r="WR314" s="4"/>
      <c r="WS314" s="4"/>
      <c r="WT314" s="5"/>
      <c r="WU314" s="6"/>
      <c r="WV314" s="4"/>
      <c r="WW314" s="4"/>
      <c r="WX314" s="4"/>
      <c r="WY314" s="4"/>
      <c r="WZ314" s="4"/>
      <c r="XA314" s="5"/>
      <c r="XB314" s="6"/>
      <c r="XC314" s="4"/>
      <c r="XD314" s="4"/>
      <c r="XE314" s="4"/>
      <c r="XF314" s="4"/>
      <c r="XG314" s="4"/>
      <c r="XH314" s="5"/>
      <c r="XI314" s="6"/>
      <c r="XJ314" s="4"/>
      <c r="XK314" s="4"/>
      <c r="XL314" s="4"/>
      <c r="XM314" s="4"/>
      <c r="XN314" s="4"/>
      <c r="XO314" s="5"/>
      <c r="XP314" s="6"/>
      <c r="XQ314" s="4"/>
      <c r="XR314" s="4"/>
      <c r="XS314" s="4"/>
      <c r="XT314" s="4"/>
      <c r="XU314" s="4"/>
      <c r="XV314" s="5"/>
      <c r="XW314" s="6"/>
      <c r="XX314" s="4"/>
      <c r="XY314" s="4"/>
      <c r="XZ314" s="4"/>
      <c r="YA314" s="4"/>
      <c r="YB314" s="4"/>
      <c r="YC314" s="5"/>
      <c r="YD314" s="6"/>
      <c r="YE314" s="4"/>
      <c r="YF314" s="4"/>
      <c r="YG314" s="4"/>
      <c r="YH314" s="4"/>
      <c r="YI314" s="4"/>
      <c r="YJ314" s="5"/>
      <c r="YK314" s="6" t="s">
        <v>2003</v>
      </c>
      <c r="YL314" s="7" t="s">
        <v>1841</v>
      </c>
      <c r="YM314" s="7"/>
      <c r="YN314" s="4"/>
      <c r="YO314" s="4"/>
      <c r="YP314" s="4"/>
      <c r="YQ314" s="7"/>
      <c r="YR314" s="6"/>
      <c r="YS314" s="4"/>
      <c r="YT314" s="4"/>
      <c r="YU314" s="4"/>
      <c r="YV314" s="4"/>
      <c r="YW314" s="4"/>
      <c r="YX314" s="5"/>
      <c r="YY314" s="6"/>
      <c r="YZ314" s="4"/>
      <c r="ZA314" s="4"/>
      <c r="ZB314" s="4"/>
      <c r="ZC314" s="4"/>
      <c r="ZD314" s="4"/>
      <c r="ZE314" s="5"/>
      <c r="ZF314" s="6"/>
      <c r="ZG314" s="4"/>
      <c r="ZH314" s="4"/>
      <c r="ZI314" s="4"/>
      <c r="ZJ314" s="4"/>
      <c r="ZK314" s="4"/>
      <c r="ZL314" s="5"/>
      <c r="ZM314" s="6"/>
      <c r="ZN314" s="4"/>
      <c r="ZO314" s="4"/>
      <c r="ZP314" s="4"/>
      <c r="ZQ314" s="4"/>
      <c r="ZR314" s="4"/>
      <c r="ZS314" s="5"/>
      <c r="ZT314" s="6"/>
      <c r="ZU314" s="4"/>
      <c r="ZV314" s="4"/>
      <c r="ZW314" s="4"/>
      <c r="ZX314" s="4"/>
      <c r="ZY314" s="4"/>
      <c r="ZZ314" s="5"/>
      <c r="AAA314" s="6"/>
      <c r="AAB314" s="4"/>
      <c r="AAC314" s="4"/>
      <c r="AAD314" s="4"/>
      <c r="AAE314" s="4"/>
      <c r="AAF314" s="4"/>
      <c r="AAG314" s="5"/>
      <c r="AAH314" s="6"/>
      <c r="AAI314" s="4"/>
      <c r="AAJ314" s="4"/>
      <c r="AAK314" s="4"/>
      <c r="AAL314" s="4"/>
      <c r="AAM314" s="4"/>
      <c r="AAN314" s="5"/>
      <c r="AAO314" s="6"/>
      <c r="AAP314" s="4"/>
      <c r="AAQ314" s="4"/>
      <c r="AAR314" s="4"/>
      <c r="AAS314" s="4"/>
      <c r="AAT314" s="4"/>
      <c r="AAU314" s="5"/>
      <c r="AAV314" s="6"/>
      <c r="AAW314" s="4"/>
      <c r="AAX314" s="4"/>
      <c r="AAY314" s="4"/>
      <c r="AAZ314" s="4"/>
      <c r="ABA314" s="4"/>
      <c r="ABB314" s="5"/>
      <c r="ABC314" s="6"/>
      <c r="ABD314" s="4"/>
      <c r="ABE314" s="4"/>
      <c r="ABF314" s="4"/>
      <c r="ABG314" s="8"/>
      <c r="ABH314" s="4"/>
      <c r="ABI314" s="5"/>
      <c r="ABJ314" s="6"/>
      <c r="ABK314" s="4"/>
      <c r="ABL314" s="4"/>
      <c r="ABM314" s="4"/>
      <c r="ABN314" s="4"/>
      <c r="ABO314" s="4"/>
      <c r="ABP314" s="5"/>
      <c r="ABQ314" s="6"/>
      <c r="ABR314" s="4"/>
      <c r="ABS314" s="4"/>
      <c r="ABT314" s="4"/>
      <c r="ABU314" s="4"/>
      <c r="ABV314" s="4"/>
      <c r="ABW314" s="5"/>
      <c r="ABX314" s="6"/>
      <c r="ABY314" s="4"/>
      <c r="ABZ314" s="4"/>
      <c r="ACA314" s="4"/>
      <c r="ACB314" s="4"/>
      <c r="ACC314" s="4"/>
      <c r="ACD314" s="5"/>
      <c r="ACE314" s="6"/>
      <c r="ACF314" s="4"/>
      <c r="ACG314" s="4"/>
      <c r="ACH314" s="4"/>
      <c r="ACI314" s="4"/>
      <c r="ACJ314" s="4"/>
      <c r="ACK314" s="5"/>
      <c r="ACL314" s="6"/>
      <c r="ACM314" s="4"/>
      <c r="ACN314" s="4"/>
      <c r="ACO314" s="4"/>
      <c r="ACP314" s="4"/>
      <c r="ACQ314" s="4"/>
      <c r="ACR314" s="5"/>
      <c r="ACS314" s="6"/>
      <c r="ACT314" s="4"/>
      <c r="ACU314" s="4"/>
      <c r="ACV314" s="4"/>
      <c r="ACW314" s="4"/>
      <c r="ACX314" s="4"/>
      <c r="ACY314" s="5"/>
    </row>
    <row r="315" spans="2:805" x14ac:dyDescent="0.25">
      <c r="J315" s="12"/>
      <c r="K315" s="12"/>
      <c r="L315" s="12"/>
      <c r="LL315" s="6"/>
      <c r="LM315" s="4"/>
      <c r="LN315" s="4"/>
      <c r="LO315" s="4"/>
      <c r="LP315" s="4"/>
      <c r="LQ315" s="4"/>
      <c r="LR315" s="5"/>
      <c r="LS315" s="6"/>
      <c r="LT315" s="4"/>
      <c r="LU315" s="4"/>
      <c r="LV315" s="4"/>
      <c r="LW315" s="4"/>
      <c r="LX315" s="4"/>
      <c r="LY315" s="5"/>
      <c r="LZ315" s="6"/>
      <c r="MA315" s="4"/>
      <c r="MB315" s="4"/>
      <c r="MC315" s="4"/>
      <c r="MD315" s="4"/>
      <c r="ME315" s="4"/>
      <c r="MF315" s="4"/>
      <c r="MG315" s="5"/>
      <c r="MH315" s="6"/>
      <c r="MI315" s="4"/>
      <c r="MJ315" s="4"/>
      <c r="MK315" s="4"/>
      <c r="ML315" s="4"/>
      <c r="MM315" s="4"/>
      <c r="MN315" s="5"/>
      <c r="MO315" s="6"/>
      <c r="MP315" s="4"/>
      <c r="MQ315" s="4"/>
      <c r="MR315" s="4"/>
      <c r="MS315" s="4"/>
      <c r="MT315" s="4"/>
      <c r="MU315" s="5"/>
      <c r="MV315" s="6"/>
      <c r="MW315" s="4"/>
      <c r="MX315" s="4"/>
      <c r="MY315" s="4"/>
      <c r="MZ315" s="4"/>
      <c r="NA315" s="4"/>
      <c r="NB315" s="5"/>
      <c r="NC315" s="6"/>
      <c r="ND315" s="4"/>
      <c r="NE315" s="7"/>
      <c r="NF315" s="4"/>
      <c r="NG315" s="4"/>
      <c r="NH315" s="4"/>
      <c r="NI315" s="5"/>
      <c r="NJ315" s="6"/>
      <c r="NK315" s="4"/>
      <c r="NL315" s="4"/>
      <c r="NM315" s="4"/>
      <c r="NN315" s="4"/>
      <c r="NO315" s="4"/>
      <c r="NP315" s="5"/>
      <c r="NQ315" s="6"/>
      <c r="NR315" s="4"/>
      <c r="NS315" s="4"/>
      <c r="NT315" s="4"/>
      <c r="NU315" s="4"/>
      <c r="NV315" s="4"/>
      <c r="NW315" s="5"/>
      <c r="NX315" s="6"/>
      <c r="NY315" s="4"/>
      <c r="NZ315" s="4"/>
      <c r="OA315" s="4"/>
      <c r="OB315" s="4"/>
      <c r="OC315" s="4"/>
      <c r="OD315" s="5"/>
      <c r="OE315" s="6"/>
      <c r="OF315" s="4"/>
      <c r="OG315" s="4"/>
      <c r="OH315" s="4"/>
      <c r="OI315" s="4"/>
      <c r="OJ315" s="4"/>
      <c r="OK315" s="5"/>
      <c r="OL315" s="6"/>
      <c r="OM315" s="4"/>
      <c r="ON315" s="4"/>
      <c r="OO315" s="4"/>
      <c r="OP315" s="4"/>
      <c r="OQ315" s="4"/>
      <c r="OR315" s="5"/>
      <c r="OS315" s="6"/>
      <c r="OT315" s="4"/>
      <c r="OU315" s="4"/>
      <c r="OV315" s="4"/>
      <c r="OW315" s="4"/>
      <c r="OX315" s="4"/>
      <c r="OY315" s="5"/>
      <c r="OZ315" s="6"/>
      <c r="PA315" s="4"/>
      <c r="PB315" s="4"/>
      <c r="PC315" s="4"/>
      <c r="PD315" s="4"/>
      <c r="PE315" s="4"/>
      <c r="PF315" s="5"/>
      <c r="PG315" s="6"/>
      <c r="PH315" s="4"/>
      <c r="PI315" s="4"/>
      <c r="PJ315" s="4"/>
      <c r="PK315" s="4"/>
      <c r="PL315" s="4"/>
      <c r="PM315" s="5"/>
      <c r="PN315" s="6"/>
      <c r="PO315" s="4"/>
      <c r="PP315" s="4"/>
      <c r="PQ315" s="4"/>
      <c r="PR315" s="4"/>
      <c r="PS315" s="4"/>
      <c r="PT315" s="5"/>
      <c r="PU315" s="6"/>
      <c r="PV315" s="4"/>
      <c r="PW315" s="4"/>
      <c r="PX315" s="4"/>
      <c r="PY315" s="4"/>
      <c r="PZ315" s="4"/>
      <c r="QA315" s="5"/>
      <c r="QB315" s="6"/>
      <c r="QC315" s="4"/>
      <c r="QD315" s="4"/>
      <c r="QE315" s="4"/>
      <c r="QF315" s="4"/>
      <c r="QG315" s="4"/>
      <c r="QH315" s="5"/>
      <c r="QI315" s="6"/>
      <c r="QJ315" s="4"/>
      <c r="QK315" s="4"/>
      <c r="QL315" s="4"/>
      <c r="QM315" s="4"/>
      <c r="QN315" s="4"/>
      <c r="QO315" s="5"/>
      <c r="QP315" s="6"/>
      <c r="QQ315" s="4"/>
      <c r="QR315" s="4"/>
      <c r="QS315" s="4"/>
      <c r="QT315" s="4"/>
      <c r="QU315" s="4"/>
      <c r="QV315" s="5"/>
      <c r="QW315" s="6"/>
      <c r="QX315" s="4"/>
      <c r="QY315" s="4"/>
      <c r="QZ315" s="4"/>
      <c r="RA315" s="4"/>
      <c r="RB315" s="4"/>
      <c r="RC315" s="5"/>
      <c r="RD315" s="6"/>
      <c r="RE315" s="4"/>
      <c r="RF315" s="4"/>
      <c r="RG315" s="4"/>
      <c r="RH315" s="4"/>
      <c r="RI315" s="4"/>
      <c r="RJ315" s="5"/>
      <c r="RK315" s="6"/>
      <c r="RL315" s="4"/>
      <c r="RM315" s="4"/>
      <c r="RN315" s="4"/>
      <c r="RO315" s="4"/>
      <c r="RP315" s="4"/>
      <c r="RQ315" s="5"/>
      <c r="RR315" s="6"/>
      <c r="RS315" s="4"/>
      <c r="RT315" s="4"/>
      <c r="RU315" s="4"/>
      <c r="RV315" s="4"/>
      <c r="RW315" s="4"/>
      <c r="RX315" s="5"/>
      <c r="RY315" s="6"/>
      <c r="RZ315" s="4"/>
      <c r="SA315" s="4"/>
      <c r="SB315" s="4"/>
      <c r="SC315" s="4"/>
      <c r="SD315" s="4"/>
      <c r="SE315" s="5"/>
      <c r="SF315" s="6"/>
      <c r="SG315" s="4"/>
      <c r="SH315" s="4"/>
      <c r="SI315" s="4"/>
      <c r="SJ315" s="4"/>
      <c r="SK315" s="4"/>
      <c r="SL315" s="5"/>
      <c r="SM315" s="6"/>
      <c r="SN315" s="4"/>
      <c r="SO315" s="4"/>
      <c r="SP315" s="4"/>
      <c r="SQ315" s="4"/>
      <c r="SR315" s="4"/>
      <c r="SS315" s="5"/>
      <c r="ST315" s="6"/>
      <c r="SU315" s="4"/>
      <c r="SV315" s="4"/>
      <c r="SW315" s="4"/>
      <c r="SX315" s="4"/>
      <c r="SY315" s="4"/>
      <c r="SZ315" s="5"/>
      <c r="TA315" s="6"/>
      <c r="TB315" s="4"/>
      <c r="TC315" s="4"/>
      <c r="TD315" s="4"/>
      <c r="TE315" s="4"/>
      <c r="TF315" s="4"/>
      <c r="TG315" s="5"/>
      <c r="TH315" s="6"/>
      <c r="TI315" s="4"/>
      <c r="TJ315" s="4"/>
      <c r="TK315" s="4"/>
      <c r="TL315" s="4"/>
      <c r="TM315" s="4"/>
      <c r="TN315" s="5"/>
      <c r="TO315" s="6"/>
      <c r="TP315" s="4"/>
      <c r="TQ315" s="4"/>
      <c r="TR315" s="4"/>
      <c r="TS315" s="4"/>
      <c r="TT315" s="4"/>
      <c r="TU315" s="5"/>
      <c r="TV315" s="6"/>
      <c r="TW315" s="4"/>
      <c r="TX315" s="4"/>
      <c r="TY315" s="4"/>
      <c r="TZ315" s="4"/>
      <c r="UA315" s="4"/>
      <c r="UB315" s="5"/>
      <c r="UC315" s="6"/>
      <c r="UD315" s="4"/>
      <c r="UE315" s="4"/>
      <c r="UF315" s="4"/>
      <c r="UG315" s="4"/>
      <c r="UH315" s="4"/>
      <c r="UI315" s="5"/>
      <c r="UJ315" s="6"/>
      <c r="UK315" s="4"/>
      <c r="UL315" s="4"/>
      <c r="UM315" s="4"/>
      <c r="UN315" s="4"/>
      <c r="UO315" s="4"/>
      <c r="UP315" s="5"/>
      <c r="UQ315" s="6"/>
      <c r="UR315" s="4"/>
      <c r="US315" s="4"/>
      <c r="UT315" s="4"/>
      <c r="UU315" s="4"/>
      <c r="UV315" s="4"/>
      <c r="UW315" s="5"/>
      <c r="UX315" s="6"/>
      <c r="UY315" s="4"/>
      <c r="UZ315" s="4"/>
      <c r="VA315" s="4"/>
      <c r="VB315" s="4"/>
      <c r="VC315" s="4"/>
      <c r="VD315" s="5"/>
      <c r="VE315" s="6"/>
      <c r="VF315" s="4"/>
      <c r="VG315" s="4"/>
      <c r="VH315" s="4"/>
      <c r="VI315" s="4"/>
      <c r="VJ315" s="4"/>
      <c r="VK315" s="5"/>
      <c r="VL315" s="6"/>
      <c r="VM315" s="4"/>
      <c r="VN315" s="4"/>
      <c r="VO315" s="4"/>
      <c r="VP315" s="4"/>
      <c r="VQ315" s="4"/>
      <c r="VR315" s="5"/>
      <c r="VS315" s="6"/>
      <c r="VT315" s="4"/>
      <c r="VU315" s="4"/>
      <c r="VV315" s="4"/>
      <c r="VW315" s="4"/>
      <c r="VX315" s="4"/>
      <c r="VY315" s="5"/>
      <c r="VZ315" s="6"/>
      <c r="WA315" s="4"/>
      <c r="WB315" s="4"/>
      <c r="WC315" s="4"/>
      <c r="WD315" s="4"/>
      <c r="WE315" s="4"/>
      <c r="WF315" s="5"/>
      <c r="WG315" s="6"/>
      <c r="WH315" s="4"/>
      <c r="WI315" s="4"/>
      <c r="WJ315" s="4"/>
      <c r="WK315" s="4"/>
      <c r="WL315" s="4"/>
      <c r="WM315" s="5"/>
      <c r="WN315" s="6"/>
      <c r="WO315" s="4"/>
      <c r="WP315" s="4"/>
      <c r="WQ315" s="4"/>
      <c r="WR315" s="4"/>
      <c r="WS315" s="4"/>
      <c r="WT315" s="5"/>
      <c r="WU315" s="6"/>
      <c r="WV315" s="4"/>
      <c r="WW315" s="4"/>
      <c r="WX315" s="4"/>
      <c r="WY315" s="4"/>
      <c r="WZ315" s="4"/>
      <c r="XA315" s="5"/>
      <c r="XB315" s="6"/>
      <c r="XC315" s="4"/>
      <c r="XD315" s="4"/>
      <c r="XE315" s="4"/>
      <c r="XF315" s="4"/>
      <c r="XG315" s="4"/>
      <c r="XH315" s="5"/>
      <c r="XI315" s="6"/>
      <c r="XJ315" s="4"/>
      <c r="XK315" s="4"/>
      <c r="XL315" s="4"/>
      <c r="XM315" s="4"/>
      <c r="XN315" s="4"/>
      <c r="XO315" s="5"/>
      <c r="XP315" s="6"/>
      <c r="XQ315" s="4"/>
      <c r="XR315" s="4"/>
      <c r="XS315" s="4"/>
      <c r="XT315" s="4"/>
      <c r="XU315" s="4"/>
      <c r="XV315" s="5"/>
      <c r="XW315" s="6"/>
      <c r="XX315" s="4"/>
      <c r="XY315" s="4"/>
      <c r="XZ315" s="4"/>
      <c r="YA315" s="4"/>
      <c r="YB315" s="4"/>
      <c r="YC315" s="5"/>
      <c r="YD315" s="6"/>
      <c r="YE315" s="4"/>
      <c r="YF315" s="4"/>
      <c r="YG315" s="4"/>
      <c r="YH315" s="4"/>
      <c r="YI315" s="4"/>
      <c r="YJ315" s="5"/>
      <c r="YK315" s="6" t="s">
        <v>2008</v>
      </c>
      <c r="YL315" s="7" t="s">
        <v>2008</v>
      </c>
      <c r="YM315" s="7"/>
      <c r="YN315" s="4"/>
      <c r="YO315" s="4"/>
      <c r="YP315" s="4"/>
      <c r="YQ315" s="7" t="s">
        <v>4044</v>
      </c>
      <c r="YR315" s="6"/>
      <c r="YS315" s="4"/>
      <c r="YT315" s="4"/>
      <c r="YU315" s="4"/>
      <c r="YV315" s="4"/>
      <c r="YW315" s="4"/>
      <c r="YX315" s="5"/>
      <c r="YY315" s="6"/>
      <c r="YZ315" s="4"/>
      <c r="ZA315" s="4"/>
      <c r="ZB315" s="4"/>
      <c r="ZC315" s="4"/>
      <c r="ZD315" s="4"/>
      <c r="ZE315" s="5"/>
      <c r="ZF315" s="6"/>
      <c r="ZG315" s="4"/>
      <c r="ZH315" s="4"/>
      <c r="ZI315" s="4"/>
      <c r="ZJ315" s="4"/>
      <c r="ZK315" s="4"/>
      <c r="ZL315" s="5"/>
      <c r="ZM315" s="6"/>
      <c r="ZN315" s="4"/>
      <c r="ZO315" s="4"/>
      <c r="ZP315" s="4"/>
      <c r="ZQ315" s="4"/>
      <c r="ZR315" s="4"/>
      <c r="ZS315" s="5"/>
      <c r="ZT315" s="6"/>
      <c r="ZU315" s="4"/>
      <c r="ZV315" s="4"/>
      <c r="ZW315" s="4"/>
      <c r="ZX315" s="4"/>
      <c r="ZY315" s="4"/>
      <c r="ZZ315" s="5"/>
      <c r="AAA315" s="6"/>
      <c r="AAB315" s="4"/>
      <c r="AAC315" s="4"/>
      <c r="AAD315" s="4"/>
      <c r="AAE315" s="4"/>
      <c r="AAF315" s="4"/>
      <c r="AAG315" s="5"/>
      <c r="AAH315" s="6"/>
      <c r="AAI315" s="4"/>
      <c r="AAJ315" s="4"/>
      <c r="AAK315" s="4"/>
      <c r="AAL315" s="4"/>
      <c r="AAM315" s="4"/>
      <c r="AAN315" s="5"/>
      <c r="AAO315" s="6"/>
      <c r="AAP315" s="4"/>
      <c r="AAQ315" s="4"/>
      <c r="AAR315" s="4"/>
      <c r="AAS315" s="4"/>
      <c r="AAT315" s="4"/>
      <c r="AAU315" s="5"/>
      <c r="AAV315" s="6"/>
      <c r="AAW315" s="4"/>
      <c r="AAX315" s="4"/>
      <c r="AAY315" s="4"/>
      <c r="AAZ315" s="4"/>
      <c r="ABA315" s="4"/>
      <c r="ABB315" s="5"/>
      <c r="ABC315" s="6"/>
      <c r="ABD315" s="4"/>
      <c r="ABE315" s="4"/>
      <c r="ABF315" s="4"/>
      <c r="ABG315" s="8"/>
      <c r="ABH315" s="4"/>
      <c r="ABI315" s="5"/>
      <c r="ABJ315" s="6"/>
      <c r="ABK315" s="4"/>
      <c r="ABL315" s="4"/>
      <c r="ABM315" s="4"/>
      <c r="ABN315" s="4"/>
      <c r="ABO315" s="4"/>
      <c r="ABP315" s="5"/>
      <c r="ABQ315" s="6"/>
      <c r="ABR315" s="4"/>
      <c r="ABS315" s="4"/>
      <c r="ABT315" s="4"/>
      <c r="ABU315" s="4"/>
      <c r="ABV315" s="4"/>
      <c r="ABW315" s="5"/>
      <c r="ABX315" s="6"/>
      <c r="ABY315" s="4"/>
      <c r="ABZ315" s="4"/>
      <c r="ACA315" s="4"/>
      <c r="ACB315" s="4"/>
      <c r="ACC315" s="4"/>
      <c r="ACD315" s="5"/>
      <c r="ACE315" s="6"/>
      <c r="ACF315" s="4"/>
      <c r="ACG315" s="4"/>
      <c r="ACH315" s="4"/>
      <c r="ACI315" s="4"/>
      <c r="ACJ315" s="4"/>
      <c r="ACK315" s="5"/>
      <c r="ACL315" s="6"/>
      <c r="ACM315" s="4"/>
      <c r="ACN315" s="4"/>
      <c r="ACO315" s="4"/>
      <c r="ACP315" s="4"/>
      <c r="ACQ315" s="4"/>
      <c r="ACR315" s="5"/>
      <c r="ACS315" s="6"/>
      <c r="ACT315" s="4"/>
      <c r="ACU315" s="4"/>
      <c r="ACV315" s="4"/>
      <c r="ACW315" s="4"/>
      <c r="ACX315" s="4"/>
      <c r="ACY315" s="5"/>
    </row>
    <row r="316" spans="2:805" x14ac:dyDescent="0.25">
      <c r="J316" s="12"/>
      <c r="K316" s="12"/>
      <c r="L316" s="12"/>
      <c r="LL316" s="6"/>
      <c r="LM316" s="4"/>
      <c r="LN316" s="4"/>
      <c r="LO316" s="4"/>
      <c r="LP316" s="4"/>
      <c r="LQ316" s="4"/>
      <c r="LR316" s="5"/>
      <c r="LS316" s="6"/>
      <c r="LT316" s="4"/>
      <c r="LU316" s="4"/>
      <c r="LV316" s="4"/>
      <c r="LW316" s="4"/>
      <c r="LX316" s="4"/>
      <c r="LY316" s="5"/>
      <c r="LZ316" s="6"/>
      <c r="MB316" s="4"/>
      <c r="MC316" s="4"/>
      <c r="MD316" s="4"/>
      <c r="ME316" s="4"/>
      <c r="MF316" s="4"/>
      <c r="MG316" s="5"/>
      <c r="MH316" s="6"/>
      <c r="MI316" s="4"/>
      <c r="MJ316" s="4"/>
      <c r="MK316" s="4"/>
      <c r="ML316" s="4"/>
      <c r="MM316" s="4"/>
      <c r="MN316" s="5"/>
      <c r="MO316" s="6"/>
      <c r="MP316" s="4"/>
      <c r="MQ316" s="4"/>
      <c r="MR316" s="4"/>
      <c r="MS316" s="4"/>
      <c r="MT316" s="4"/>
      <c r="MU316" s="5"/>
      <c r="MV316" s="6"/>
      <c r="MW316" s="4"/>
      <c r="MX316" s="4"/>
      <c r="MY316" s="4"/>
      <c r="MZ316" s="4"/>
      <c r="NA316" s="4"/>
      <c r="NB316" s="5"/>
      <c r="NC316" s="6"/>
      <c r="ND316" s="4"/>
      <c r="NE316" s="7"/>
      <c r="NF316" s="4"/>
      <c r="NG316" s="4"/>
      <c r="NH316" s="4"/>
      <c r="NI316" s="5"/>
      <c r="NJ316" s="6"/>
      <c r="NK316" s="4"/>
      <c r="NL316" s="4"/>
      <c r="NM316" s="4"/>
      <c r="NN316" s="4"/>
      <c r="NO316" s="4"/>
      <c r="NP316" s="5"/>
      <c r="NQ316" s="6"/>
      <c r="NR316" s="4"/>
      <c r="NS316" s="4"/>
      <c r="NT316" s="4"/>
      <c r="NU316" s="4"/>
      <c r="NV316" s="4"/>
      <c r="NW316" s="5"/>
      <c r="NX316" s="6"/>
      <c r="NY316" s="4"/>
      <c r="NZ316" s="4"/>
      <c r="OA316" s="4"/>
      <c r="OB316" s="4"/>
      <c r="OC316" s="4"/>
      <c r="OD316" s="5"/>
      <c r="OE316" s="6"/>
      <c r="OF316" s="4"/>
      <c r="OG316" s="4"/>
      <c r="OH316" s="4"/>
      <c r="OI316" s="4"/>
      <c r="OJ316" s="4"/>
      <c r="OK316" s="5"/>
      <c r="OL316" s="6"/>
      <c r="OM316" s="4"/>
      <c r="ON316" s="4"/>
      <c r="OO316" s="4"/>
      <c r="OP316" s="4"/>
      <c r="OQ316" s="4"/>
      <c r="OR316" s="5"/>
      <c r="OS316" s="6"/>
      <c r="OT316" s="4"/>
      <c r="OU316" s="4"/>
      <c r="OV316" s="4"/>
      <c r="OW316" s="4"/>
      <c r="OX316" s="4"/>
      <c r="OY316" s="5"/>
      <c r="OZ316" s="6"/>
      <c r="PA316" s="4"/>
      <c r="PB316" s="4"/>
      <c r="PC316" s="4"/>
      <c r="PD316" s="4"/>
      <c r="PE316" s="4"/>
      <c r="PF316" s="5"/>
      <c r="PG316" s="6"/>
      <c r="PH316" s="4"/>
      <c r="PI316" s="4"/>
      <c r="PJ316" s="4"/>
      <c r="PK316" s="4"/>
      <c r="PL316" s="4"/>
      <c r="PM316" s="5"/>
      <c r="PN316" s="6"/>
      <c r="PO316" s="4"/>
      <c r="PP316" s="4"/>
      <c r="PQ316" s="4"/>
      <c r="PR316" s="4"/>
      <c r="PS316" s="4"/>
      <c r="PT316" s="5"/>
      <c r="PU316" s="6"/>
      <c r="PV316" s="4"/>
      <c r="PW316" s="4"/>
      <c r="PX316" s="4"/>
      <c r="PY316" s="4"/>
      <c r="PZ316" s="4"/>
      <c r="QA316" s="5"/>
      <c r="QB316" s="6"/>
      <c r="QC316" s="4"/>
      <c r="QD316" s="4"/>
      <c r="QE316" s="4"/>
      <c r="QF316" s="4"/>
      <c r="QG316" s="4"/>
      <c r="QH316" s="5"/>
      <c r="QI316" s="6"/>
      <c r="QJ316" s="4"/>
      <c r="QK316" s="4"/>
      <c r="QL316" s="4"/>
      <c r="QM316" s="4"/>
      <c r="QN316" s="4"/>
      <c r="QO316" s="5"/>
      <c r="QP316" s="6"/>
      <c r="QQ316" s="4"/>
      <c r="QR316" s="4"/>
      <c r="QS316" s="4"/>
      <c r="QT316" s="4"/>
      <c r="QU316" s="4"/>
      <c r="QV316" s="5"/>
      <c r="QW316" s="6"/>
      <c r="QX316" s="4"/>
      <c r="QY316" s="4"/>
      <c r="QZ316" s="4"/>
      <c r="RA316" s="4"/>
      <c r="RB316" s="4"/>
      <c r="RC316" s="5"/>
      <c r="RD316" s="6"/>
      <c r="RE316" s="4"/>
      <c r="RF316" s="4"/>
      <c r="RG316" s="4"/>
      <c r="RH316" s="4"/>
      <c r="RI316" s="4"/>
      <c r="RJ316" s="5"/>
      <c r="RK316" s="6"/>
      <c r="RL316" s="4"/>
      <c r="RM316" s="4"/>
      <c r="RN316" s="4"/>
      <c r="RO316" s="4"/>
      <c r="RP316" s="4"/>
      <c r="RQ316" s="5"/>
      <c r="RR316" s="6"/>
      <c r="RS316" s="4"/>
      <c r="RT316" s="4"/>
      <c r="RU316" s="4"/>
      <c r="RV316" s="4"/>
      <c r="RW316" s="4"/>
      <c r="RX316" s="5"/>
      <c r="RY316" s="6"/>
      <c r="RZ316" s="4"/>
      <c r="SA316" s="4"/>
      <c r="SB316" s="4"/>
      <c r="SC316" s="4"/>
      <c r="SD316" s="4"/>
      <c r="SE316" s="5"/>
      <c r="SF316" s="6"/>
      <c r="SG316" s="4"/>
      <c r="SH316" s="4"/>
      <c r="SI316" s="4"/>
      <c r="SJ316" s="4"/>
      <c r="SK316" s="4"/>
      <c r="SL316" s="5"/>
      <c r="SM316" s="6"/>
      <c r="SN316" s="4"/>
      <c r="SO316" s="4"/>
      <c r="SP316" s="4"/>
      <c r="SQ316" s="4"/>
      <c r="SR316" s="4"/>
      <c r="SS316" s="5"/>
      <c r="ST316" s="6"/>
      <c r="SU316" s="4"/>
      <c r="SV316" s="4"/>
      <c r="SW316" s="4"/>
      <c r="SX316" s="4"/>
      <c r="SY316" s="4"/>
      <c r="SZ316" s="5"/>
      <c r="TA316" s="6"/>
      <c r="TB316" s="4"/>
      <c r="TC316" s="4"/>
      <c r="TD316" s="4"/>
      <c r="TE316" s="4"/>
      <c r="TF316" s="4"/>
      <c r="TG316" s="5"/>
      <c r="TH316" s="6"/>
      <c r="TI316" s="4"/>
      <c r="TJ316" s="4"/>
      <c r="TK316" s="4"/>
      <c r="TL316" s="4"/>
      <c r="TM316" s="4"/>
      <c r="TN316" s="5"/>
      <c r="TO316" s="6"/>
      <c r="TP316" s="4"/>
      <c r="TQ316" s="4"/>
      <c r="TR316" s="4"/>
      <c r="TS316" s="4"/>
      <c r="TT316" s="4"/>
      <c r="TU316" s="5"/>
      <c r="TV316" s="6"/>
      <c r="TW316" s="4"/>
      <c r="TX316" s="4"/>
      <c r="TY316" s="4"/>
      <c r="TZ316" s="4"/>
      <c r="UA316" s="4"/>
      <c r="UB316" s="5"/>
      <c r="UC316" s="6"/>
      <c r="UD316" s="4"/>
      <c r="UE316" s="4"/>
      <c r="UF316" s="4"/>
      <c r="UG316" s="4"/>
      <c r="UH316" s="4"/>
      <c r="UI316" s="5"/>
      <c r="UJ316" s="6"/>
      <c r="UK316" s="4"/>
      <c r="UL316" s="4"/>
      <c r="UM316" s="4"/>
      <c r="UN316" s="4"/>
      <c r="UO316" s="4"/>
      <c r="UP316" s="5"/>
      <c r="UQ316" s="6"/>
      <c r="UR316" s="4"/>
      <c r="US316" s="4"/>
      <c r="UT316" s="4"/>
      <c r="UU316" s="4"/>
      <c r="UV316" s="4"/>
      <c r="UW316" s="5"/>
      <c r="UX316" s="6"/>
      <c r="UY316" s="4"/>
      <c r="UZ316" s="4"/>
      <c r="VA316" s="4"/>
      <c r="VB316" s="4"/>
      <c r="VC316" s="4"/>
      <c r="VD316" s="5"/>
      <c r="VE316" s="6"/>
      <c r="VF316" s="4"/>
      <c r="VG316" s="4"/>
      <c r="VH316" s="4"/>
      <c r="VI316" s="4"/>
      <c r="VJ316" s="4"/>
      <c r="VK316" s="5"/>
      <c r="VL316" s="6"/>
      <c r="VM316" s="4"/>
      <c r="VN316" s="4"/>
      <c r="VO316" s="4"/>
      <c r="VP316" s="4"/>
      <c r="VQ316" s="4"/>
      <c r="VR316" s="5"/>
      <c r="VS316" s="6"/>
      <c r="VT316" s="4"/>
      <c r="VU316" s="4"/>
      <c r="VV316" s="4"/>
      <c r="VW316" s="4"/>
      <c r="VX316" s="4"/>
      <c r="VY316" s="5"/>
      <c r="VZ316" s="6"/>
      <c r="WA316" s="4"/>
      <c r="WB316" s="4"/>
      <c r="WC316" s="4"/>
      <c r="WD316" s="4"/>
      <c r="WE316" s="4"/>
      <c r="WF316" s="5"/>
      <c r="WG316" s="6"/>
      <c r="WH316" s="4"/>
      <c r="WI316" s="4"/>
      <c r="WJ316" s="4"/>
      <c r="WK316" s="4"/>
      <c r="WL316" s="4"/>
      <c r="WM316" s="5"/>
      <c r="WN316" s="6"/>
      <c r="WO316" s="4"/>
      <c r="WP316" s="4"/>
      <c r="WQ316" s="4"/>
      <c r="WR316" s="4"/>
      <c r="WS316" s="4"/>
      <c r="WT316" s="5"/>
      <c r="WU316" s="6"/>
      <c r="WV316" s="4"/>
      <c r="WW316" s="4"/>
      <c r="WX316" s="4"/>
      <c r="WY316" s="4"/>
      <c r="WZ316" s="4"/>
      <c r="XA316" s="5"/>
      <c r="XB316" s="6"/>
      <c r="XC316" s="4"/>
      <c r="XD316" s="4"/>
      <c r="XE316" s="4"/>
      <c r="XF316" s="4"/>
      <c r="XG316" s="4"/>
      <c r="XH316" s="5"/>
      <c r="XI316" s="6"/>
      <c r="XJ316" s="4"/>
      <c r="XK316" s="4"/>
      <c r="XL316" s="4"/>
      <c r="XM316" s="4"/>
      <c r="XN316" s="4"/>
      <c r="XO316" s="5"/>
      <c r="XP316" s="6"/>
      <c r="XQ316" s="4"/>
      <c r="XR316" s="4"/>
      <c r="XS316" s="4"/>
      <c r="XT316" s="4"/>
      <c r="XU316" s="4"/>
      <c r="XV316" s="5"/>
      <c r="XW316" s="6"/>
      <c r="XX316" s="4"/>
      <c r="XY316" s="4"/>
      <c r="XZ316" s="4"/>
      <c r="YA316" s="4"/>
      <c r="YB316" s="4"/>
      <c r="YC316" s="5"/>
      <c r="YD316" s="6"/>
      <c r="YE316" s="4"/>
      <c r="YF316" s="4"/>
      <c r="YG316" s="4"/>
      <c r="YH316" s="4"/>
      <c r="YI316" s="4"/>
      <c r="YJ316" s="5"/>
      <c r="YK316" s="6" t="s">
        <v>1504</v>
      </c>
      <c r="YL316" s="7" t="s">
        <v>1841</v>
      </c>
      <c r="YM316" s="7"/>
      <c r="YN316" s="4"/>
      <c r="YO316" s="4"/>
      <c r="YP316" s="4"/>
      <c r="YQ316" s="7" t="s">
        <v>4039</v>
      </c>
      <c r="YR316" s="6"/>
      <c r="YS316" s="4"/>
      <c r="YT316" s="4"/>
      <c r="YU316" s="4"/>
      <c r="YV316" s="4"/>
      <c r="YW316" s="4"/>
      <c r="YX316" s="5"/>
      <c r="YY316" s="6"/>
      <c r="YZ316" s="4"/>
      <c r="ZA316" s="4"/>
      <c r="ZB316" s="4"/>
      <c r="ZC316" s="4"/>
      <c r="ZD316" s="4"/>
      <c r="ZE316" s="5"/>
      <c r="ZF316" s="6"/>
      <c r="ZG316" s="4"/>
      <c r="ZH316" s="4"/>
      <c r="ZI316" s="4"/>
      <c r="ZJ316" s="4"/>
      <c r="ZK316" s="4"/>
      <c r="ZL316" s="5"/>
      <c r="ZM316" s="6"/>
      <c r="ZN316" s="4"/>
      <c r="ZO316" s="4"/>
      <c r="ZP316" s="4"/>
      <c r="ZQ316" s="4"/>
      <c r="ZR316" s="4"/>
      <c r="ZS316" s="5"/>
      <c r="ZT316" s="6"/>
      <c r="ZU316" s="4"/>
      <c r="ZV316" s="4"/>
      <c r="ZW316" s="4"/>
      <c r="ZX316" s="4"/>
      <c r="ZY316" s="4"/>
      <c r="ZZ316" s="5"/>
      <c r="AAA316" s="6"/>
      <c r="AAB316" s="4"/>
      <c r="AAC316" s="4"/>
      <c r="AAD316" s="4"/>
      <c r="AAE316" s="4"/>
      <c r="AAF316" s="4"/>
      <c r="AAG316" s="5"/>
      <c r="AAH316" s="6"/>
      <c r="AAI316" s="4"/>
      <c r="AAJ316" s="4"/>
      <c r="AAK316" s="4"/>
      <c r="AAL316" s="4"/>
      <c r="AAM316" s="4"/>
      <c r="AAN316" s="5"/>
      <c r="AAO316" s="6"/>
      <c r="AAP316" s="4"/>
      <c r="AAQ316" s="4"/>
      <c r="AAR316" s="4"/>
      <c r="AAS316" s="4"/>
      <c r="AAT316" s="4"/>
      <c r="AAU316" s="5"/>
      <c r="AAV316" s="6"/>
      <c r="AAW316" s="4"/>
      <c r="AAX316" s="4"/>
      <c r="AAY316" s="4"/>
      <c r="AAZ316" s="4"/>
      <c r="ABA316" s="4"/>
      <c r="ABB316" s="5"/>
      <c r="ABC316" s="6"/>
      <c r="ABD316" s="4"/>
      <c r="ABE316" s="4"/>
      <c r="ABF316" s="4"/>
      <c r="ABG316" s="8"/>
      <c r="ABH316" s="4"/>
      <c r="ABI316" s="5"/>
      <c r="ABJ316" s="6"/>
      <c r="ABK316" s="4"/>
      <c r="ABL316" s="4"/>
      <c r="ABM316" s="4"/>
      <c r="ABN316" s="4"/>
      <c r="ABO316" s="4"/>
      <c r="ABP316" s="5"/>
      <c r="ABQ316" s="6"/>
      <c r="ABR316" s="4"/>
      <c r="ABS316" s="4"/>
      <c r="ABT316" s="4"/>
      <c r="ABU316" s="4"/>
      <c r="ABV316" s="4"/>
      <c r="ABW316" s="5"/>
      <c r="ABX316" s="6"/>
      <c r="ABY316" s="4"/>
      <c r="ABZ316" s="4"/>
      <c r="ACA316" s="4"/>
      <c r="ACB316" s="4"/>
      <c r="ACC316" s="4"/>
      <c r="ACD316" s="5"/>
      <c r="ACE316" s="6"/>
      <c r="ACF316" s="4"/>
      <c r="ACG316" s="4"/>
      <c r="ACH316" s="4"/>
      <c r="ACI316" s="4"/>
      <c r="ACJ316" s="4"/>
      <c r="ACK316" s="5"/>
      <c r="ACL316" s="6"/>
      <c r="ACM316" s="4"/>
      <c r="ACN316" s="4"/>
      <c r="ACO316" s="4"/>
      <c r="ACP316" s="4"/>
      <c r="ACQ316" s="4"/>
      <c r="ACR316" s="5"/>
      <c r="ACS316" s="6"/>
      <c r="ACT316" s="4"/>
      <c r="ACU316" s="4"/>
      <c r="ACV316" s="4"/>
      <c r="ACW316" s="4"/>
      <c r="ACX316" s="4"/>
      <c r="ACY316" s="5"/>
    </row>
    <row r="317" spans="2:805" x14ac:dyDescent="0.25">
      <c r="B317" s="36">
        <v>8007496</v>
      </c>
      <c r="C317" s="57">
        <v>81</v>
      </c>
      <c r="D317" t="s">
        <v>3734</v>
      </c>
      <c r="E317" s="39" t="s">
        <v>4188</v>
      </c>
      <c r="F317" s="23">
        <v>0</v>
      </c>
      <c r="I317">
        <v>1</v>
      </c>
      <c r="J317" s="19">
        <v>38434</v>
      </c>
      <c r="K317" s="19" t="s">
        <v>3793</v>
      </c>
      <c r="L317" s="19" t="s">
        <v>3794</v>
      </c>
      <c r="ES317">
        <v>1</v>
      </c>
      <c r="LL317" s="6"/>
      <c r="LM317" s="4"/>
      <c r="LN317" s="4"/>
      <c r="LO317" s="4"/>
      <c r="LP317" s="4"/>
      <c r="LQ317" s="4"/>
      <c r="LR317" s="5"/>
      <c r="LS317" s="6"/>
      <c r="LT317" s="4"/>
      <c r="LU317" s="4"/>
      <c r="LV317" s="4"/>
      <c r="LW317" s="4"/>
      <c r="LX317" s="4"/>
      <c r="LY317" s="5"/>
      <c r="LZ317" s="11" t="s">
        <v>1511</v>
      </c>
      <c r="MA317" s="12" t="s">
        <v>1510</v>
      </c>
      <c r="MB317" s="4" t="s">
        <v>1512</v>
      </c>
      <c r="MC317" s="7" t="s">
        <v>1672</v>
      </c>
      <c r="MD317" s="8">
        <v>38432</v>
      </c>
      <c r="ME317" s="8">
        <v>38432</v>
      </c>
      <c r="MF317" s="8"/>
      <c r="MG317" s="5" t="s">
        <v>3949</v>
      </c>
      <c r="MH317" s="6"/>
      <c r="MI317" s="4"/>
      <c r="MJ317" s="4"/>
      <c r="MK317" s="4"/>
      <c r="ML317" s="4"/>
      <c r="MM317" s="4"/>
      <c r="MN317" s="5"/>
      <c r="MO317" s="6"/>
      <c r="MP317" s="4"/>
      <c r="MQ317" s="4"/>
      <c r="MR317" s="4"/>
      <c r="MS317" s="4"/>
      <c r="MT317" s="4"/>
      <c r="MU317" s="5"/>
      <c r="MV317" s="6"/>
      <c r="MW317" s="4"/>
      <c r="MX317" s="4"/>
      <c r="MY317" s="4"/>
      <c r="MZ317" s="4"/>
      <c r="NA317" s="4"/>
      <c r="NB317" s="5"/>
      <c r="NC317" s="6" t="s">
        <v>2788</v>
      </c>
      <c r="ND317" s="4" t="s">
        <v>2817</v>
      </c>
      <c r="NE317" s="4" t="s">
        <v>1514</v>
      </c>
      <c r="NF317" s="7" t="s">
        <v>1515</v>
      </c>
      <c r="NG317" s="8">
        <v>38432</v>
      </c>
      <c r="NH317" s="8">
        <v>38436</v>
      </c>
      <c r="NI317" s="5" t="s">
        <v>3796</v>
      </c>
      <c r="NJ317" s="6" t="s">
        <v>1516</v>
      </c>
      <c r="NK317" s="4"/>
      <c r="NL317" s="4"/>
      <c r="NM317" s="4" t="s">
        <v>1656</v>
      </c>
      <c r="NN317" s="8">
        <v>38434</v>
      </c>
      <c r="NO317" s="8">
        <v>38438</v>
      </c>
      <c r="NP317" s="5" t="s">
        <v>3795</v>
      </c>
      <c r="NQ317" s="6"/>
      <c r="NR317" s="4"/>
      <c r="NS317" s="4"/>
      <c r="NT317" s="4"/>
      <c r="NU317" s="4"/>
      <c r="NV317" s="4"/>
      <c r="NW317" s="5"/>
      <c r="NX317" s="6"/>
      <c r="NY317" s="4"/>
      <c r="NZ317" s="4"/>
      <c r="OA317" s="4"/>
      <c r="OB317" s="4"/>
      <c r="OC317" s="4"/>
      <c r="OD317" s="5"/>
      <c r="OE317" s="6"/>
      <c r="OF317" s="4"/>
      <c r="OG317" s="4"/>
      <c r="OH317" s="4"/>
      <c r="OI317" s="4"/>
      <c r="OJ317" s="4"/>
      <c r="OK317" s="5"/>
      <c r="OL317" s="6"/>
      <c r="OM317" s="4"/>
      <c r="ON317" s="4"/>
      <c r="OO317" s="4"/>
      <c r="OP317" s="4"/>
      <c r="OQ317" s="4"/>
      <c r="OR317" s="5"/>
      <c r="OS317" s="6"/>
      <c r="OT317" s="4"/>
      <c r="OU317" s="4"/>
      <c r="OV317" s="4"/>
      <c r="OW317" s="4"/>
      <c r="OX317" s="4"/>
      <c r="OY317" s="5"/>
      <c r="OZ317" s="6"/>
      <c r="PA317" s="4"/>
      <c r="PB317" s="4"/>
      <c r="PC317" s="4"/>
      <c r="PD317" s="4"/>
      <c r="PE317" s="4"/>
      <c r="PF317" s="5"/>
      <c r="PG317" s="6"/>
      <c r="PH317" s="4"/>
      <c r="PI317" s="4"/>
      <c r="PJ317" s="4"/>
      <c r="PK317" s="4"/>
      <c r="PL317" s="4"/>
      <c r="PM317" s="5"/>
      <c r="PN317" s="6"/>
      <c r="PO317" s="4"/>
      <c r="PP317" s="4"/>
      <c r="PQ317" s="4"/>
      <c r="PR317" s="4"/>
      <c r="PS317" s="4"/>
      <c r="PT317" s="5"/>
      <c r="PU317" s="6" t="s">
        <v>1663</v>
      </c>
      <c r="PV317" s="4" t="s">
        <v>2876</v>
      </c>
      <c r="PW317" s="4" t="s">
        <v>1804</v>
      </c>
      <c r="PX317" s="7" t="s">
        <v>1672</v>
      </c>
      <c r="PY317" s="8">
        <v>38424</v>
      </c>
      <c r="PZ317" s="8">
        <v>38424</v>
      </c>
      <c r="QA317" s="5" t="s">
        <v>3935</v>
      </c>
      <c r="QB317" s="6" t="s">
        <v>1927</v>
      </c>
      <c r="QC317" s="4" t="s">
        <v>2078</v>
      </c>
      <c r="QD317" s="4" t="s">
        <v>1667</v>
      </c>
      <c r="QE317" s="7" t="s">
        <v>1668</v>
      </c>
      <c r="QF317" s="8">
        <v>38417</v>
      </c>
      <c r="QG317" s="8">
        <v>38437</v>
      </c>
      <c r="QH317" s="5" t="s">
        <v>3805</v>
      </c>
      <c r="QI317" s="6"/>
      <c r="QJ317" s="4"/>
      <c r="QK317" s="4"/>
      <c r="QL317" s="4"/>
      <c r="QM317" s="4"/>
      <c r="QN317" s="4"/>
      <c r="QO317" s="5"/>
      <c r="QP317" s="6"/>
      <c r="QQ317" s="4"/>
      <c r="QR317" s="4"/>
      <c r="QS317" s="4"/>
      <c r="QT317" s="4"/>
      <c r="QU317" s="4"/>
      <c r="QV317" s="5"/>
      <c r="QW317" s="6"/>
      <c r="QX317" s="4"/>
      <c r="QY317" s="4"/>
      <c r="QZ317" s="4"/>
      <c r="RA317" s="4"/>
      <c r="RB317" s="4"/>
      <c r="RC317" s="5"/>
      <c r="RD317" s="6"/>
      <c r="RE317" s="4"/>
      <c r="RF317" s="4"/>
      <c r="RG317" s="4"/>
      <c r="RH317" s="4"/>
      <c r="RI317" s="4"/>
      <c r="RJ317" s="5"/>
      <c r="RK317" s="6"/>
      <c r="RL317" s="4"/>
      <c r="RM317" s="4"/>
      <c r="RN317" s="4"/>
      <c r="RO317" s="4"/>
      <c r="RP317" s="4"/>
      <c r="RQ317" s="5"/>
      <c r="RR317" s="6"/>
      <c r="RS317" s="4"/>
      <c r="RT317" s="4"/>
      <c r="RU317" s="4"/>
      <c r="RV317" s="4"/>
      <c r="RW317" s="4"/>
      <c r="RX317" s="5"/>
      <c r="RY317" s="6"/>
      <c r="RZ317" s="4"/>
      <c r="SA317" s="4"/>
      <c r="SB317" s="4"/>
      <c r="SC317" s="4"/>
      <c r="SD317" s="4"/>
      <c r="SE317" s="5"/>
      <c r="SF317" s="6"/>
      <c r="SG317" s="4"/>
      <c r="SH317" s="4"/>
      <c r="SI317" s="4"/>
      <c r="SJ317" s="4"/>
      <c r="SK317" s="4"/>
      <c r="SL317" s="5"/>
      <c r="SM317" s="6"/>
      <c r="SN317" s="4"/>
      <c r="SO317" s="4"/>
      <c r="SP317" s="4"/>
      <c r="SQ317" s="4"/>
      <c r="SR317" s="4"/>
      <c r="SS317" s="5"/>
      <c r="ST317" s="6"/>
      <c r="SU317" s="4"/>
      <c r="SV317" s="4"/>
      <c r="SW317" s="4"/>
      <c r="SX317" s="4"/>
      <c r="SY317" s="4"/>
      <c r="SZ317" s="5"/>
      <c r="TA317" s="6"/>
      <c r="TB317" s="4"/>
      <c r="TC317" s="4"/>
      <c r="TD317" s="4"/>
      <c r="TE317" s="4"/>
      <c r="TF317" s="4"/>
      <c r="TG317" s="5"/>
      <c r="TH317" s="6" t="s">
        <v>1925</v>
      </c>
      <c r="TI317" s="4" t="s">
        <v>1888</v>
      </c>
      <c r="TJ317" s="4" t="s">
        <v>1840</v>
      </c>
      <c r="TK317" s="7" t="s">
        <v>1438</v>
      </c>
      <c r="TL317" s="8">
        <v>38417</v>
      </c>
      <c r="TM317" s="8">
        <v>38437</v>
      </c>
      <c r="TN317" s="5" t="s">
        <v>3806</v>
      </c>
      <c r="TO317" s="6"/>
      <c r="TP317" s="4"/>
      <c r="TQ317" s="4"/>
      <c r="TR317" s="4"/>
      <c r="TS317" s="4"/>
      <c r="TT317" s="4"/>
      <c r="TU317" s="5"/>
      <c r="TV317" s="6"/>
      <c r="TW317" s="4"/>
      <c r="TX317" s="4"/>
      <c r="TY317" s="4"/>
      <c r="TZ317" s="4"/>
      <c r="UA317" s="4"/>
      <c r="UB317" s="5"/>
      <c r="UC317" s="6"/>
      <c r="UD317" s="4"/>
      <c r="UE317" s="4"/>
      <c r="UF317" s="4"/>
      <c r="UG317" s="4"/>
      <c r="UH317" s="4"/>
      <c r="UI317" s="5"/>
      <c r="UJ317" s="6"/>
      <c r="UK317" s="4"/>
      <c r="UL317" s="4"/>
      <c r="UM317" s="4"/>
      <c r="UN317" s="4"/>
      <c r="UO317" s="4"/>
      <c r="UP317" s="5"/>
      <c r="UQ317" s="6"/>
      <c r="UR317" s="4"/>
      <c r="US317" s="4"/>
      <c r="UT317" s="4"/>
      <c r="UU317" s="4"/>
      <c r="UV317" s="4"/>
      <c r="UW317" s="5"/>
      <c r="UX317" s="6" t="s">
        <v>1833</v>
      </c>
      <c r="UY317" s="4" t="s">
        <v>1675</v>
      </c>
      <c r="UZ317" s="4" t="s">
        <v>1834</v>
      </c>
      <c r="VA317" s="7" t="s">
        <v>1835</v>
      </c>
      <c r="VB317" s="8">
        <v>38411</v>
      </c>
      <c r="VC317" s="8">
        <v>38418</v>
      </c>
      <c r="VD317" s="5" t="s">
        <v>3807</v>
      </c>
      <c r="VE317" s="6"/>
      <c r="VF317" s="4"/>
      <c r="VG317" s="4"/>
      <c r="VH317" s="4"/>
      <c r="VI317" s="4"/>
      <c r="VJ317" s="4"/>
      <c r="VK317" s="5"/>
      <c r="VL317" s="6" t="s">
        <v>1505</v>
      </c>
      <c r="VM317" s="4" t="s">
        <v>1506</v>
      </c>
      <c r="VN317" s="4" t="s">
        <v>1507</v>
      </c>
      <c r="VO317" s="7" t="s">
        <v>1672</v>
      </c>
      <c r="VP317" s="8">
        <v>38417</v>
      </c>
      <c r="VQ317" s="8">
        <v>38417</v>
      </c>
      <c r="VR317" s="5" t="s">
        <v>3808</v>
      </c>
      <c r="VS317" s="6"/>
      <c r="VT317" s="4"/>
      <c r="VU317" s="4"/>
      <c r="VV317" s="4"/>
      <c r="VW317" s="4"/>
      <c r="VX317" s="4"/>
      <c r="VY317" s="5"/>
      <c r="VZ317" s="6"/>
      <c r="WA317" s="4"/>
      <c r="WB317" s="4"/>
      <c r="WC317" s="4"/>
      <c r="WD317" s="4"/>
      <c r="WE317" s="4"/>
      <c r="WF317" s="5"/>
      <c r="WG317" s="6" t="s">
        <v>1700</v>
      </c>
      <c r="WH317" s="4" t="s">
        <v>1851</v>
      </c>
      <c r="WI317" s="4" t="s">
        <v>1804</v>
      </c>
      <c r="WJ317" s="7" t="s">
        <v>1502</v>
      </c>
      <c r="WK317" s="8">
        <v>38417</v>
      </c>
      <c r="WL317" s="8">
        <v>38433</v>
      </c>
      <c r="WM317" s="5" t="s">
        <v>3940</v>
      </c>
      <c r="WN317" s="6"/>
      <c r="WO317" s="4"/>
      <c r="WP317" s="4"/>
      <c r="WQ317" s="4"/>
      <c r="WR317" s="4"/>
      <c r="WS317" s="4"/>
      <c r="WT317" s="5"/>
      <c r="WU317" s="6"/>
      <c r="WV317" s="4"/>
      <c r="WW317" s="4"/>
      <c r="WX317" s="4"/>
      <c r="WY317" s="4"/>
      <c r="WZ317" s="4"/>
      <c r="XA317" s="5"/>
      <c r="XB317" s="6"/>
      <c r="XC317" s="4"/>
      <c r="XD317" s="4"/>
      <c r="XE317" s="4"/>
      <c r="XF317" s="4"/>
      <c r="XG317" s="4"/>
      <c r="XH317" s="5"/>
      <c r="XI317" s="6"/>
      <c r="XJ317" s="4"/>
      <c r="XK317" s="4"/>
      <c r="XL317" s="4"/>
      <c r="XM317" s="4"/>
      <c r="XN317" s="4"/>
      <c r="XO317" s="5"/>
      <c r="XP317" s="6" t="s">
        <v>1956</v>
      </c>
      <c r="XQ317" s="4" t="s">
        <v>1884</v>
      </c>
      <c r="XR317" s="4" t="s">
        <v>1984</v>
      </c>
      <c r="XS317" s="7" t="s">
        <v>1662</v>
      </c>
      <c r="XT317" s="8">
        <v>38417</v>
      </c>
      <c r="XU317" s="8">
        <v>38424</v>
      </c>
      <c r="XV317" s="5" t="s">
        <v>3957</v>
      </c>
      <c r="XW317" s="6"/>
      <c r="XX317" s="4"/>
      <c r="XY317" s="4"/>
      <c r="XZ317" s="4"/>
      <c r="YA317" s="4"/>
      <c r="YB317" s="4"/>
      <c r="YC317" s="5"/>
      <c r="YD317" s="6"/>
      <c r="YE317" s="4"/>
      <c r="YF317" s="4"/>
      <c r="YG317" s="4"/>
      <c r="YH317" s="4"/>
      <c r="YI317" s="4"/>
      <c r="YJ317" s="5"/>
      <c r="YK317" s="6" t="s">
        <v>2795</v>
      </c>
      <c r="YL317" s="4" t="s">
        <v>2361</v>
      </c>
      <c r="YN317" t="s">
        <v>1669</v>
      </c>
      <c r="YO317" s="17">
        <v>38428</v>
      </c>
      <c r="YP317" s="17">
        <v>38428</v>
      </c>
      <c r="YQ317" t="s">
        <v>3941</v>
      </c>
      <c r="YR317" s="6"/>
      <c r="YS317" s="4"/>
      <c r="YT317" s="4"/>
      <c r="YU317" s="4"/>
      <c r="YV317" s="4"/>
      <c r="YW317" s="4"/>
      <c r="YX317" s="5"/>
      <c r="YY317" s="6"/>
      <c r="YZ317" s="4"/>
      <c r="ZA317" s="4"/>
      <c r="ZB317" s="4"/>
      <c r="ZC317" s="4"/>
      <c r="ZD317" s="4"/>
      <c r="ZE317" s="5"/>
      <c r="ZF317" s="6"/>
      <c r="ZG317" s="4"/>
      <c r="ZH317" s="4"/>
      <c r="ZI317" s="4"/>
      <c r="ZJ317" s="4"/>
      <c r="ZK317" s="4"/>
      <c r="ZL317" s="5"/>
      <c r="ZM317" s="6" t="s">
        <v>2979</v>
      </c>
      <c r="ZN317" s="4" t="s">
        <v>2706</v>
      </c>
      <c r="ZO317" s="4" t="s">
        <v>1848</v>
      </c>
      <c r="ZP317" s="7" t="s">
        <v>1819</v>
      </c>
      <c r="ZQ317" s="8">
        <v>38429</v>
      </c>
      <c r="ZR317" s="8">
        <v>38432</v>
      </c>
      <c r="ZS317" s="5" t="s">
        <v>3935</v>
      </c>
      <c r="ZT317" s="6"/>
      <c r="ZU317" s="4"/>
      <c r="ZV317" s="4"/>
      <c r="ZW317" s="4"/>
      <c r="ZX317" s="4"/>
      <c r="ZY317" s="4"/>
      <c r="ZZ317" s="5"/>
      <c r="AAA317" s="6"/>
      <c r="AAB317" s="4"/>
      <c r="AAC317" s="4"/>
      <c r="AAD317" s="4"/>
      <c r="AAE317" s="4"/>
      <c r="AAF317" s="4"/>
      <c r="AAG317" s="5"/>
      <c r="AAH317" s="6" t="s">
        <v>3192</v>
      </c>
      <c r="AAI317" s="4" t="s">
        <v>3193</v>
      </c>
      <c r="AAJ317" s="4" t="s">
        <v>1664</v>
      </c>
      <c r="AAK317" s="7" t="s">
        <v>1672</v>
      </c>
      <c r="AAL317" s="8">
        <v>38420</v>
      </c>
      <c r="AAM317" s="8">
        <v>38420</v>
      </c>
      <c r="AAN317" s="5" t="s">
        <v>3957</v>
      </c>
      <c r="AAO317" s="6"/>
      <c r="AAP317" s="4"/>
      <c r="AAQ317" s="4"/>
      <c r="AAR317" s="4"/>
      <c r="AAS317" s="4"/>
      <c r="AAT317" s="4"/>
      <c r="AAU317" s="5"/>
      <c r="AAV317" s="6"/>
      <c r="AAW317" s="4"/>
      <c r="AAX317" s="4"/>
      <c r="AAY317" s="4"/>
      <c r="AAZ317" s="4"/>
      <c r="ABA317" s="4"/>
      <c r="ABB317" s="5"/>
      <c r="ABC317" s="6"/>
      <c r="ABD317" s="4"/>
      <c r="ABE317" s="4"/>
      <c r="ABF317" s="4"/>
      <c r="ABG317" s="4"/>
      <c r="ABH317" s="4"/>
      <c r="ABI317" s="5"/>
      <c r="ABJ317" s="6" t="s">
        <v>3003</v>
      </c>
      <c r="ABK317" s="4" t="s">
        <v>1946</v>
      </c>
      <c r="ABL317" s="4"/>
      <c r="ABM317" s="4" t="s">
        <v>1672</v>
      </c>
      <c r="ABN317" s="8">
        <v>38434</v>
      </c>
      <c r="ABO317" s="8">
        <v>38434</v>
      </c>
      <c r="ABP317" s="5" t="s">
        <v>4062</v>
      </c>
      <c r="ABQ317" s="6"/>
      <c r="ABR317" s="4"/>
      <c r="ABS317" s="4"/>
      <c r="ABT317" s="4"/>
      <c r="ABU317" s="4"/>
      <c r="ABV317" s="4"/>
      <c r="ABW317" s="5"/>
      <c r="ABX317" s="6"/>
      <c r="ABY317" s="4"/>
      <c r="ABZ317" s="4"/>
      <c r="ACA317" s="4"/>
      <c r="ACB317" s="4"/>
      <c r="ACC317" s="4"/>
      <c r="ACD317" s="5"/>
      <c r="ACE317" s="6"/>
      <c r="ACF317" s="4"/>
      <c r="ACG317" s="4"/>
      <c r="ACH317" s="4"/>
      <c r="ACI317" s="4"/>
      <c r="ACJ317" s="4"/>
      <c r="ACK317" s="5"/>
      <c r="ACL317" s="6"/>
      <c r="ACM317" s="4"/>
      <c r="ACN317" s="4"/>
      <c r="ACO317" s="4"/>
      <c r="ACP317" s="4"/>
      <c r="ACQ317" s="4"/>
      <c r="ACR317" s="5"/>
      <c r="ACS317" s="6"/>
      <c r="ACT317" s="4"/>
      <c r="ACU317" s="4"/>
      <c r="ACV317" s="4"/>
      <c r="ACW317" s="4"/>
      <c r="ACX317" s="4"/>
      <c r="ACY317" s="5"/>
      <c r="ADF317" t="s">
        <v>4087</v>
      </c>
      <c r="ADG317" t="s">
        <v>4065</v>
      </c>
      <c r="ADV317" t="s">
        <v>4066</v>
      </c>
      <c r="ADX317" t="s">
        <v>4067</v>
      </c>
      <c r="ADY317" t="s">
        <v>4064</v>
      </c>
    </row>
    <row r="318" spans="2:805" x14ac:dyDescent="0.25">
      <c r="J318" s="12"/>
      <c r="K318" s="12"/>
      <c r="L318" s="12"/>
      <c r="LL318" s="6"/>
      <c r="LM318" s="4"/>
      <c r="LN318" s="4"/>
      <c r="LO318" s="4"/>
      <c r="LP318" s="4"/>
      <c r="LQ318" s="4"/>
      <c r="LR318" s="5"/>
      <c r="LS318" s="6"/>
      <c r="LT318" s="4"/>
      <c r="LU318" s="4"/>
      <c r="LV318" s="4"/>
      <c r="LW318" s="4"/>
      <c r="LX318" s="4"/>
      <c r="LY318" s="5"/>
      <c r="LZ318" s="11" t="s">
        <v>1511</v>
      </c>
      <c r="MA318" s="12" t="s">
        <v>1510</v>
      </c>
      <c r="MB318" s="4" t="s">
        <v>1513</v>
      </c>
      <c r="MC318" s="7" t="s">
        <v>1819</v>
      </c>
      <c r="MD318" s="8">
        <v>38427</v>
      </c>
      <c r="ME318" s="8">
        <v>38430</v>
      </c>
      <c r="MF318" s="8"/>
      <c r="MG318" s="5" t="s">
        <v>3949</v>
      </c>
      <c r="MH318" s="6"/>
      <c r="MI318" s="4"/>
      <c r="MJ318" s="4"/>
      <c r="MK318" s="4"/>
      <c r="ML318" s="4"/>
      <c r="MM318" s="4"/>
      <c r="MN318" s="5"/>
      <c r="MO318" s="6"/>
      <c r="MP318" s="4"/>
      <c r="MQ318" s="4"/>
      <c r="MR318" s="4"/>
      <c r="MS318" s="4"/>
      <c r="MT318" s="4"/>
      <c r="MU318" s="5"/>
      <c r="MV318" s="6"/>
      <c r="MW318" s="4"/>
      <c r="MX318" s="4"/>
      <c r="MY318" s="4"/>
      <c r="MZ318" s="4"/>
      <c r="NA318" s="4"/>
      <c r="NB318" s="5"/>
      <c r="NC318" s="6" t="s">
        <v>2147</v>
      </c>
      <c r="ND318" t="s">
        <v>2147</v>
      </c>
      <c r="NE318" s="4" t="s">
        <v>2070</v>
      </c>
      <c r="NF318" s="7" t="s">
        <v>1672</v>
      </c>
      <c r="NG318" s="8">
        <v>38419</v>
      </c>
      <c r="NH318" s="8">
        <v>38419</v>
      </c>
      <c r="NI318" s="5" t="s">
        <v>3933</v>
      </c>
      <c r="NJ318" s="6" t="s">
        <v>1439</v>
      </c>
      <c r="NK318" s="4" t="s">
        <v>1798</v>
      </c>
      <c r="NL318" s="4" t="s">
        <v>1691</v>
      </c>
      <c r="NM318" s="7" t="s">
        <v>1437</v>
      </c>
      <c r="NN318" s="8">
        <v>38418</v>
      </c>
      <c r="NO318" s="8">
        <v>38433</v>
      </c>
      <c r="NP318" s="5" t="s">
        <v>3795</v>
      </c>
      <c r="NQ318" s="6"/>
      <c r="NR318" s="4"/>
      <c r="NS318" s="4"/>
      <c r="NT318" s="4"/>
      <c r="NU318" s="4"/>
      <c r="NV318" s="4"/>
      <c r="NW318" s="5"/>
      <c r="NX318" s="6"/>
      <c r="NY318" s="4"/>
      <c r="NZ318" s="4"/>
      <c r="OA318" s="4"/>
      <c r="OB318" s="4"/>
      <c r="OC318" s="4"/>
      <c r="OD318" s="5"/>
      <c r="OE318" s="6"/>
      <c r="OF318" s="4"/>
      <c r="OG318" s="4"/>
      <c r="OH318" s="4"/>
      <c r="OI318" s="4"/>
      <c r="OJ318" s="4"/>
      <c r="OK318" s="5"/>
      <c r="OL318" s="6"/>
      <c r="OM318" s="4"/>
      <c r="ON318" s="4"/>
      <c r="OO318" s="4"/>
      <c r="OP318" s="4"/>
      <c r="OQ318" s="4"/>
      <c r="OR318" s="5"/>
      <c r="OS318" s="6"/>
      <c r="OT318" s="4"/>
      <c r="OU318" s="4"/>
      <c r="OV318" s="4"/>
      <c r="OW318" s="4"/>
      <c r="OX318" s="4"/>
      <c r="OY318" s="5"/>
      <c r="OZ318" s="6"/>
      <c r="PA318" s="4"/>
      <c r="PB318" s="4"/>
      <c r="PC318" s="4"/>
      <c r="PD318" s="4"/>
      <c r="PE318" s="4"/>
      <c r="PF318" s="5"/>
      <c r="PG318" s="6"/>
      <c r="PH318" s="4"/>
      <c r="PI318" s="4"/>
      <c r="PJ318" s="4"/>
      <c r="PK318" s="4"/>
      <c r="PL318" s="4"/>
      <c r="PM318" s="5"/>
      <c r="PN318" s="6"/>
      <c r="PO318" s="4"/>
      <c r="PP318" s="4"/>
      <c r="PQ318" s="4"/>
      <c r="PR318" s="4"/>
      <c r="PS318" s="4"/>
      <c r="PT318" s="5"/>
      <c r="PU318" s="6" t="s">
        <v>2072</v>
      </c>
      <c r="PV318" s="4" t="s">
        <v>2071</v>
      </c>
      <c r="PW318" s="4" t="s">
        <v>1804</v>
      </c>
      <c r="PX318" s="7" t="s">
        <v>1672</v>
      </c>
      <c r="PY318" s="8">
        <v>38813</v>
      </c>
      <c r="PZ318" s="8">
        <v>38813</v>
      </c>
      <c r="QA318" s="5" t="s">
        <v>3936</v>
      </c>
      <c r="QB318" s="6" t="s">
        <v>1519</v>
      </c>
      <c r="QC318" s="4" t="s">
        <v>2078</v>
      </c>
      <c r="QD318" s="4" t="s">
        <v>1667</v>
      </c>
      <c r="QE318" s="7" t="s">
        <v>1520</v>
      </c>
      <c r="QF318" s="8">
        <v>38438</v>
      </c>
      <c r="QG318" s="8">
        <v>38438</v>
      </c>
      <c r="QH318" s="5" t="s">
        <v>3805</v>
      </c>
      <c r="QI318" s="6"/>
      <c r="QJ318" s="4"/>
      <c r="QK318" s="4"/>
      <c r="QL318" s="4"/>
      <c r="QM318" s="4"/>
      <c r="QN318" s="4"/>
      <c r="QO318" s="5"/>
      <c r="QP318" s="6"/>
      <c r="QQ318" s="4"/>
      <c r="QR318" s="4"/>
      <c r="QS318" s="4"/>
      <c r="QT318" s="4"/>
      <c r="QU318" s="4"/>
      <c r="QV318" s="5"/>
      <c r="QW318" s="6"/>
      <c r="QX318" s="4"/>
      <c r="QY318" s="4"/>
      <c r="QZ318" s="4"/>
      <c r="RA318" s="4"/>
      <c r="RB318" s="4"/>
      <c r="RC318" s="5"/>
      <c r="RD318" s="6"/>
      <c r="RE318" s="4"/>
      <c r="RF318" s="4"/>
      <c r="RG318" s="4"/>
      <c r="RH318" s="4"/>
      <c r="RI318" s="4"/>
      <c r="RJ318" s="5"/>
      <c r="RK318" s="6"/>
      <c r="RL318" s="4"/>
      <c r="RM318" s="4"/>
      <c r="RN318" s="4"/>
      <c r="RO318" s="4"/>
      <c r="RP318" s="4"/>
      <c r="RQ318" s="5"/>
      <c r="RR318" s="6"/>
      <c r="RS318" s="4"/>
      <c r="RT318" s="4"/>
      <c r="RU318" s="4"/>
      <c r="RV318" s="4"/>
      <c r="RW318" s="4"/>
      <c r="RX318" s="5"/>
      <c r="RY318" s="6"/>
      <c r="RZ318" s="4"/>
      <c r="SA318" s="4"/>
      <c r="SB318" s="4"/>
      <c r="SC318" s="4"/>
      <c r="SD318" s="4"/>
      <c r="SE318" s="5"/>
      <c r="SF318" s="6"/>
      <c r="SG318" s="4"/>
      <c r="SH318" s="4"/>
      <c r="SI318" s="4"/>
      <c r="SJ318" s="4"/>
      <c r="SK318" s="4"/>
      <c r="SL318" s="5"/>
      <c r="SM318" s="6"/>
      <c r="SN318" s="4"/>
      <c r="SO318" s="4"/>
      <c r="SP318" s="4"/>
      <c r="SQ318" s="4"/>
      <c r="SR318" s="4"/>
      <c r="SS318" s="5"/>
      <c r="ST318" s="6"/>
      <c r="SU318" s="4"/>
      <c r="SV318" s="4"/>
      <c r="SW318" s="4"/>
      <c r="SX318" s="4"/>
      <c r="SY318" s="4"/>
      <c r="SZ318" s="5"/>
      <c r="TA318" s="6"/>
      <c r="TB318" s="4"/>
      <c r="TC318" s="4"/>
      <c r="TD318" s="4"/>
      <c r="TE318" s="4"/>
      <c r="TF318" s="4"/>
      <c r="TG318" s="5"/>
      <c r="TH318" s="6"/>
      <c r="TI318" s="4"/>
      <c r="TJ318" s="4"/>
      <c r="TK318" s="4"/>
      <c r="TL318" s="4"/>
      <c r="TM318" s="4"/>
      <c r="TN318" s="5"/>
      <c r="TO318" s="6"/>
      <c r="TP318" s="4"/>
      <c r="TQ318" s="4"/>
      <c r="TR318" s="4"/>
      <c r="TS318" s="4"/>
      <c r="TT318" s="4"/>
      <c r="TU318" s="5"/>
      <c r="TV318" s="6"/>
      <c r="TW318" s="4"/>
      <c r="TX318" s="4"/>
      <c r="TY318" s="4"/>
      <c r="TZ318" s="4"/>
      <c r="UA318" s="4"/>
      <c r="UB318" s="5"/>
      <c r="UC318" s="6"/>
      <c r="UD318" s="4"/>
      <c r="UE318" s="4"/>
      <c r="UF318" s="4"/>
      <c r="UG318" s="4"/>
      <c r="UH318" s="4"/>
      <c r="UI318" s="5"/>
      <c r="UJ318" s="6"/>
      <c r="UK318" s="4"/>
      <c r="UL318" s="4"/>
      <c r="UM318" s="4"/>
      <c r="UN318" s="4"/>
      <c r="UO318" s="4"/>
      <c r="UP318" s="5"/>
      <c r="UQ318" s="6"/>
      <c r="UR318" s="4"/>
      <c r="US318" s="4"/>
      <c r="UT318" s="4"/>
      <c r="UU318" s="4"/>
      <c r="UV318" s="4"/>
      <c r="UW318" s="5"/>
      <c r="UX318" s="6"/>
      <c r="UY318" s="4"/>
      <c r="UZ318" s="4"/>
      <c r="VA318" s="4"/>
      <c r="VB318" s="4"/>
      <c r="VC318" s="4"/>
      <c r="VD318" s="5"/>
      <c r="VE318" s="6"/>
      <c r="VF318" s="4"/>
      <c r="VG318" s="4"/>
      <c r="VH318" s="4"/>
      <c r="VI318" s="4"/>
      <c r="VJ318" s="4"/>
      <c r="VK318" s="5"/>
      <c r="VL318" s="6" t="s">
        <v>1508</v>
      </c>
      <c r="VM318" s="4" t="s">
        <v>1642</v>
      </c>
      <c r="VN318" s="4" t="s">
        <v>1926</v>
      </c>
      <c r="VO318" s="7" t="s">
        <v>1509</v>
      </c>
      <c r="VP318" s="8">
        <v>38411</v>
      </c>
      <c r="VQ318" s="8">
        <v>38418</v>
      </c>
      <c r="VR318" s="5" t="s">
        <v>3949</v>
      </c>
      <c r="VS318" s="6"/>
      <c r="VT318" s="4"/>
      <c r="VU318" s="4"/>
      <c r="VV318" s="4"/>
      <c r="VW318" s="4"/>
      <c r="VX318" s="4"/>
      <c r="VY318" s="5"/>
      <c r="VZ318" s="6"/>
      <c r="WA318" s="4"/>
      <c r="WB318" s="4"/>
      <c r="WC318" s="4"/>
      <c r="WD318" s="4"/>
      <c r="WE318" s="4"/>
      <c r="WF318" s="5"/>
      <c r="WG318" s="6"/>
      <c r="WH318" s="4"/>
      <c r="WI318" s="4"/>
      <c r="WJ318" s="4"/>
      <c r="WK318" s="4"/>
      <c r="WL318" s="4"/>
      <c r="WM318" s="5"/>
      <c r="WN318" s="6"/>
      <c r="WO318" s="4"/>
      <c r="WP318" s="4"/>
      <c r="WQ318" s="4"/>
      <c r="WR318" s="4"/>
      <c r="WS318" s="4"/>
      <c r="WT318" s="5"/>
      <c r="WU318" s="6"/>
      <c r="WV318" s="4"/>
      <c r="WW318" s="4"/>
      <c r="WX318" s="4"/>
      <c r="WY318" s="4"/>
      <c r="WZ318" s="4"/>
      <c r="XA318" s="5"/>
      <c r="XB318" s="6"/>
      <c r="XC318" s="4"/>
      <c r="XD318" s="4"/>
      <c r="XE318" s="4"/>
      <c r="XF318" s="4"/>
      <c r="XG318" s="4"/>
      <c r="XH318" s="5"/>
      <c r="XI318" s="6"/>
      <c r="XJ318" s="4"/>
      <c r="XK318" s="4"/>
      <c r="XL318" s="4"/>
      <c r="XM318" s="4"/>
      <c r="XN318" s="4"/>
      <c r="XO318" s="5"/>
      <c r="XP318" s="6"/>
      <c r="XQ318" s="4"/>
      <c r="XR318" s="4"/>
      <c r="XS318" s="4"/>
      <c r="XT318" s="4"/>
      <c r="XU318" s="4"/>
      <c r="XV318" s="5"/>
      <c r="XW318" s="6"/>
      <c r="XX318" s="4"/>
      <c r="XY318" s="4"/>
      <c r="XZ318" s="4"/>
      <c r="YA318" s="4"/>
      <c r="YB318" s="4"/>
      <c r="YC318" s="5"/>
      <c r="YD318" s="6"/>
      <c r="YE318" s="4"/>
      <c r="YF318" s="4"/>
      <c r="YG318" s="4"/>
      <c r="YH318" s="4"/>
      <c r="YI318" s="4"/>
      <c r="YJ318" s="5"/>
      <c r="YK318" s="6" t="s">
        <v>1836</v>
      </c>
      <c r="YL318" s="7" t="s">
        <v>1982</v>
      </c>
      <c r="YM318" t="s">
        <v>1804</v>
      </c>
      <c r="YN318" t="s">
        <v>1983</v>
      </c>
      <c r="YO318" s="17">
        <v>38322</v>
      </c>
      <c r="YP318" s="17">
        <v>38418</v>
      </c>
      <c r="YQ318" t="s">
        <v>3806</v>
      </c>
      <c r="YR318" s="6"/>
      <c r="YS318" s="4"/>
      <c r="YT318" s="4"/>
      <c r="YU318" s="4"/>
      <c r="YV318" s="4"/>
      <c r="YW318" s="4"/>
      <c r="YX318" s="5"/>
      <c r="YY318" s="6"/>
      <c r="YZ318" s="4"/>
      <c r="ZA318" s="4"/>
      <c r="ZB318" s="4"/>
      <c r="ZC318" s="4"/>
      <c r="ZD318" s="4"/>
      <c r="ZE318" s="5"/>
      <c r="ZF318" s="6"/>
      <c r="ZG318" s="4"/>
      <c r="ZH318" s="4"/>
      <c r="ZI318" s="4"/>
      <c r="ZJ318" s="4"/>
      <c r="ZK318" s="4"/>
      <c r="ZL318" s="5"/>
      <c r="ZM318" s="6" t="s">
        <v>2979</v>
      </c>
      <c r="ZN318" s="4" t="s">
        <v>2706</v>
      </c>
      <c r="ZO318" s="4" t="s">
        <v>1848</v>
      </c>
      <c r="ZP318" s="7" t="s">
        <v>2092</v>
      </c>
      <c r="ZQ318" s="8">
        <v>38423</v>
      </c>
      <c r="ZR318" s="8">
        <v>38424</v>
      </c>
      <c r="ZS318" s="5" t="s">
        <v>3935</v>
      </c>
      <c r="ZT318" s="6"/>
      <c r="ZU318" s="4"/>
      <c r="ZV318" s="4"/>
      <c r="ZW318" s="4"/>
      <c r="ZX318" s="4"/>
      <c r="ZY318" s="4"/>
      <c r="ZZ318" s="5"/>
      <c r="AAA318" s="6"/>
      <c r="AAB318" s="4"/>
      <c r="AAC318" s="4"/>
      <c r="AAD318" s="4"/>
      <c r="AAE318" s="4"/>
      <c r="AAF318" s="4"/>
      <c r="AAG318" s="5"/>
      <c r="AAH318" s="6" t="s">
        <v>3192</v>
      </c>
      <c r="AAI318" s="4" t="s">
        <v>3193</v>
      </c>
      <c r="AAJ318" s="4" t="s">
        <v>1664</v>
      </c>
      <c r="AAK318" s="7" t="s">
        <v>1672</v>
      </c>
      <c r="AAL318" s="8">
        <v>38433</v>
      </c>
      <c r="AAM318" s="8">
        <v>38433</v>
      </c>
      <c r="AAN318" s="5" t="s">
        <v>3957</v>
      </c>
      <c r="AAO318" s="6"/>
      <c r="AAP318" s="4"/>
      <c r="AAQ318" s="4"/>
      <c r="AAR318" s="4"/>
      <c r="AAS318" s="4"/>
      <c r="AAT318" s="4"/>
      <c r="AAU318" s="5"/>
      <c r="AAV318" s="6"/>
      <c r="AAW318" s="4"/>
      <c r="AAX318" s="4"/>
      <c r="AAY318" s="4"/>
      <c r="AAZ318" s="4"/>
      <c r="ABA318" s="4"/>
      <c r="ABB318" s="5"/>
      <c r="ABC318" s="6"/>
      <c r="ABD318" s="4"/>
      <c r="ABE318" s="4"/>
      <c r="ABF318" s="4"/>
      <c r="ABG318" s="4"/>
      <c r="ABH318" s="4"/>
      <c r="ABI318" s="5"/>
      <c r="ABJ318" s="6" t="s">
        <v>3003</v>
      </c>
      <c r="ABK318" s="4" t="s">
        <v>1946</v>
      </c>
      <c r="ABL318" s="4"/>
      <c r="ABM318" s="4" t="s">
        <v>1819</v>
      </c>
      <c r="ABN318" s="8">
        <v>38420</v>
      </c>
      <c r="ABO318" s="8">
        <v>38423</v>
      </c>
      <c r="ABP318" s="5" t="s">
        <v>4062</v>
      </c>
      <c r="ABQ318" s="6"/>
      <c r="ABR318" s="4"/>
      <c r="ABS318" s="4"/>
      <c r="ABT318" s="4"/>
      <c r="ABU318" s="4"/>
      <c r="ABV318" s="4"/>
      <c r="ABW318" s="5"/>
      <c r="ABX318" s="6"/>
      <c r="ABY318" s="4"/>
      <c r="ABZ318" s="4"/>
      <c r="ACA318" s="4"/>
      <c r="ACB318" s="4"/>
      <c r="ACC318" s="4"/>
      <c r="ACD318" s="5"/>
      <c r="ACE318" s="6"/>
      <c r="ACF318" s="4"/>
      <c r="ACG318" s="4"/>
      <c r="ACH318" s="4"/>
      <c r="ACI318" s="4"/>
      <c r="ACJ318" s="4"/>
      <c r="ACK318" s="5"/>
      <c r="ACL318" s="6"/>
      <c r="ACM318" s="4"/>
      <c r="ACN318" s="4"/>
      <c r="ACO318" s="4"/>
      <c r="ACP318" s="4"/>
      <c r="ACQ318" s="4"/>
      <c r="ACR318" s="5"/>
      <c r="ACS318" s="6"/>
      <c r="ACT318" s="4"/>
      <c r="ACU318" s="4"/>
      <c r="ACV318" s="4"/>
      <c r="ACW318" s="4"/>
      <c r="ACX318" s="4"/>
      <c r="ACY318" s="5"/>
    </row>
    <row r="319" spans="2:805" x14ac:dyDescent="0.25">
      <c r="J319" s="12"/>
      <c r="K319" s="12"/>
      <c r="L319" s="12"/>
      <c r="LL319" s="6"/>
      <c r="LM319" s="4"/>
      <c r="LN319" s="4"/>
      <c r="LO319" s="4"/>
      <c r="LP319" s="4"/>
      <c r="LQ319" s="4"/>
      <c r="LR319" s="5"/>
      <c r="LS319" s="6"/>
      <c r="LT319" s="4"/>
      <c r="LU319" s="4"/>
      <c r="LV319" s="4"/>
      <c r="LW319" s="4"/>
      <c r="LX319" s="4"/>
      <c r="LY319" s="5"/>
      <c r="LZ319" s="6" t="s">
        <v>1657</v>
      </c>
      <c r="MA319" s="4" t="s">
        <v>2707</v>
      </c>
      <c r="MB319" s="4" t="s">
        <v>1658</v>
      </c>
      <c r="MC319" s="7" t="s">
        <v>2082</v>
      </c>
      <c r="MD319" s="8">
        <v>38417</v>
      </c>
      <c r="ME319" s="8">
        <v>38422</v>
      </c>
      <c r="MF319" s="8"/>
      <c r="MG319" s="5" t="s">
        <v>3949</v>
      </c>
      <c r="MH319" s="6"/>
      <c r="MI319" s="4"/>
      <c r="MJ319" s="4"/>
      <c r="MK319" s="4"/>
      <c r="ML319" s="4"/>
      <c r="MM319" s="4"/>
      <c r="MN319" s="5"/>
      <c r="MO319" s="6"/>
      <c r="MP319" s="4"/>
      <c r="MQ319" s="4"/>
      <c r="MR319" s="4"/>
      <c r="MS319" s="4"/>
      <c r="MT319" s="4"/>
      <c r="MU319" s="5"/>
      <c r="MV319" s="6"/>
      <c r="MW319" s="4"/>
      <c r="MX319" s="4"/>
      <c r="MY319" s="4"/>
      <c r="MZ319" s="4"/>
      <c r="NA319" s="4"/>
      <c r="NB319" s="5"/>
      <c r="NC319" s="6" t="s">
        <v>1987</v>
      </c>
      <c r="ND319" t="s">
        <v>1986</v>
      </c>
      <c r="NE319" s="4" t="s">
        <v>1993</v>
      </c>
      <c r="NF319" s="7" t="s">
        <v>1988</v>
      </c>
      <c r="NG319" s="8">
        <v>38435</v>
      </c>
      <c r="NH319" s="8">
        <v>38438</v>
      </c>
      <c r="NI319" s="5" t="s">
        <v>3934</v>
      </c>
      <c r="NJ319" s="6"/>
      <c r="NK319" s="4"/>
      <c r="NL319" s="4"/>
      <c r="NM319" s="4"/>
      <c r="NN319" s="4"/>
      <c r="NO319" s="4"/>
      <c r="NP319" s="5"/>
      <c r="NQ319" s="6"/>
      <c r="NR319" s="4"/>
      <c r="NS319" s="4"/>
      <c r="NT319" s="4"/>
      <c r="NU319" s="4"/>
      <c r="NV319" s="4"/>
      <c r="NW319" s="5"/>
      <c r="NX319" s="6"/>
      <c r="NY319" s="4"/>
      <c r="NZ319" s="4"/>
      <c r="OA319" s="4"/>
      <c r="OB319" s="4"/>
      <c r="OC319" s="4"/>
      <c r="OD319" s="5"/>
      <c r="OE319" s="6"/>
      <c r="OF319" s="4"/>
      <c r="OG319" s="4"/>
      <c r="OH319" s="4"/>
      <c r="OI319" s="4"/>
      <c r="OJ319" s="4"/>
      <c r="OK319" s="5"/>
      <c r="OL319" s="6"/>
      <c r="OM319" s="4"/>
      <c r="ON319" s="4"/>
      <c r="OO319" s="4"/>
      <c r="OP319" s="4"/>
      <c r="OQ319" s="4"/>
      <c r="OR319" s="5"/>
      <c r="OS319" s="6"/>
      <c r="OT319" s="4"/>
      <c r="OU319" s="4"/>
      <c r="OV319" s="4"/>
      <c r="OW319" s="4"/>
      <c r="OX319" s="4"/>
      <c r="OY319" s="5"/>
      <c r="OZ319" s="6"/>
      <c r="PA319" s="4"/>
      <c r="PB319" s="4"/>
      <c r="PC319" s="4"/>
      <c r="PD319" s="4"/>
      <c r="PE319" s="4"/>
      <c r="PF319" s="5"/>
      <c r="PG319" s="6"/>
      <c r="PH319" s="4"/>
      <c r="PI319" s="4"/>
      <c r="PJ319" s="4"/>
      <c r="PK319" s="4"/>
      <c r="PL319" s="4"/>
      <c r="PM319" s="5"/>
      <c r="PN319" s="6"/>
      <c r="PO319" s="4"/>
      <c r="PP319" s="4"/>
      <c r="PQ319" s="4"/>
      <c r="PR319" s="4"/>
      <c r="PS319" s="4"/>
      <c r="PT319" s="5"/>
      <c r="PU319" s="6" t="s">
        <v>1924</v>
      </c>
      <c r="PV319" s="4" t="s">
        <v>2000</v>
      </c>
      <c r="PW319" s="4" t="s">
        <v>1804</v>
      </c>
      <c r="PX319" s="7" t="s">
        <v>1672</v>
      </c>
      <c r="PY319" s="8">
        <v>38432</v>
      </c>
      <c r="PZ319" s="8">
        <v>38432</v>
      </c>
      <c r="QA319" s="5" t="s">
        <v>3937</v>
      </c>
      <c r="QB319" s="6" t="s">
        <v>1519</v>
      </c>
      <c r="QC319" s="4" t="s">
        <v>2078</v>
      </c>
      <c r="QD319" s="4" t="s">
        <v>1667</v>
      </c>
      <c r="QE319" s="7" t="s">
        <v>1672</v>
      </c>
      <c r="QF319" s="8">
        <v>38417</v>
      </c>
      <c r="QG319" s="8">
        <v>38417</v>
      </c>
      <c r="QH319" s="5" t="s">
        <v>3805</v>
      </c>
      <c r="QI319" s="6"/>
      <c r="QJ319" s="4"/>
      <c r="QK319" s="4"/>
      <c r="QL319" s="4"/>
      <c r="QM319" s="4"/>
      <c r="QN319" s="4"/>
      <c r="QO319" s="5"/>
      <c r="QP319" s="6"/>
      <c r="QQ319" s="4"/>
      <c r="QR319" s="4"/>
      <c r="QS319" s="4"/>
      <c r="QT319" s="4"/>
      <c r="QU319" s="4"/>
      <c r="QV319" s="5"/>
      <c r="QW319" s="6"/>
      <c r="QX319" s="4"/>
      <c r="QY319" s="4"/>
      <c r="QZ319" s="4"/>
      <c r="RA319" s="4"/>
      <c r="RB319" s="4"/>
      <c r="RC319" s="5"/>
      <c r="RD319" s="6"/>
      <c r="RE319" s="4"/>
      <c r="RF319" s="4"/>
      <c r="RG319" s="4"/>
      <c r="RH319" s="4"/>
      <c r="RI319" s="4"/>
      <c r="RJ319" s="5"/>
      <c r="RK319" s="6"/>
      <c r="RL319" s="4"/>
      <c r="RM319" s="4"/>
      <c r="RN319" s="4"/>
      <c r="RO319" s="4"/>
      <c r="RP319" s="4"/>
      <c r="RQ319" s="5"/>
      <c r="RR319" s="6"/>
      <c r="RS319" s="4"/>
      <c r="RT319" s="4"/>
      <c r="RU319" s="4"/>
      <c r="RV319" s="4"/>
      <c r="RW319" s="4"/>
      <c r="RX319" s="5"/>
      <c r="RY319" s="6"/>
      <c r="RZ319" s="4"/>
      <c r="SA319" s="4"/>
      <c r="SB319" s="4"/>
      <c r="SC319" s="4"/>
      <c r="SD319" s="4"/>
      <c r="SE319" s="5"/>
      <c r="SF319" s="6"/>
      <c r="SG319" s="4"/>
      <c r="SH319" s="4"/>
      <c r="SI319" s="4"/>
      <c r="SJ319" s="4"/>
      <c r="SK319" s="4"/>
      <c r="SL319" s="5"/>
      <c r="SM319" s="6"/>
      <c r="SN319" s="4"/>
      <c r="SO319" s="4"/>
      <c r="SP319" s="4"/>
      <c r="SQ319" s="4"/>
      <c r="SR319" s="4"/>
      <c r="SS319" s="5"/>
      <c r="ST319" s="6"/>
      <c r="SU319" s="4"/>
      <c r="SV319" s="4"/>
      <c r="SW319" s="4"/>
      <c r="SX319" s="4"/>
      <c r="SY319" s="4"/>
      <c r="SZ319" s="5"/>
      <c r="TA319" s="6"/>
      <c r="TB319" s="4"/>
      <c r="TC319" s="4"/>
      <c r="TD319" s="4"/>
      <c r="TE319" s="4"/>
      <c r="TF319" s="4"/>
      <c r="TG319" s="5"/>
      <c r="TH319" s="6"/>
      <c r="TI319" s="4"/>
      <c r="TJ319" s="4"/>
      <c r="TK319" s="4"/>
      <c r="TL319" s="4"/>
      <c r="TM319" s="4"/>
      <c r="TN319" s="5"/>
      <c r="TO319" s="6"/>
      <c r="TP319" s="4"/>
      <c r="TQ319" s="4"/>
      <c r="TR319" s="4"/>
      <c r="TS319" s="4"/>
      <c r="TT319" s="4"/>
      <c r="TU319" s="5"/>
      <c r="TV319" s="6"/>
      <c r="TW319" s="4"/>
      <c r="TX319" s="4"/>
      <c r="TY319" s="4"/>
      <c r="TZ319" s="4"/>
      <c r="UA319" s="4"/>
      <c r="UB319" s="5"/>
      <c r="UC319" s="6"/>
      <c r="UD319" s="4"/>
      <c r="UE319" s="4"/>
      <c r="UF319" s="4"/>
      <c r="UG319" s="4"/>
      <c r="UH319" s="4"/>
      <c r="UI319" s="5"/>
      <c r="UJ319" s="6"/>
      <c r="UK319" s="4"/>
      <c r="UL319" s="4"/>
      <c r="UM319" s="4"/>
      <c r="UN319" s="4"/>
      <c r="UO319" s="4"/>
      <c r="UP319" s="5"/>
      <c r="UQ319" s="6"/>
      <c r="UR319" s="4"/>
      <c r="US319" s="4"/>
      <c r="UT319" s="4"/>
      <c r="UU319" s="4"/>
      <c r="UV319" s="4"/>
      <c r="UW319" s="5"/>
      <c r="UX319" s="6"/>
      <c r="UY319" s="4"/>
      <c r="UZ319" s="4"/>
      <c r="VA319" s="4"/>
      <c r="VB319" s="4"/>
      <c r="VC319" s="4"/>
      <c r="VD319" s="5"/>
      <c r="VE319" s="6"/>
      <c r="VF319" s="4"/>
      <c r="VG319" s="4"/>
      <c r="VH319" s="4"/>
      <c r="VI319" s="4"/>
      <c r="VJ319" s="4"/>
      <c r="VK319" s="5"/>
      <c r="VL319" s="6" t="s">
        <v>1912</v>
      </c>
      <c r="VM319" s="4" t="s">
        <v>1913</v>
      </c>
      <c r="VN319" s="4" t="s">
        <v>2081</v>
      </c>
      <c r="VO319" s="7" t="s">
        <v>2166</v>
      </c>
      <c r="VP319" s="8">
        <v>38420</v>
      </c>
      <c r="VQ319" s="8">
        <v>38420</v>
      </c>
      <c r="VR319" s="5" t="s">
        <v>3949</v>
      </c>
      <c r="VS319" s="6"/>
      <c r="VT319" s="4"/>
      <c r="VU319" s="4"/>
      <c r="VV319" s="4"/>
      <c r="VW319" s="4"/>
      <c r="VX319" s="4"/>
      <c r="VY319" s="5"/>
      <c r="VZ319" s="6"/>
      <c r="WA319" s="4"/>
      <c r="WB319" s="4"/>
      <c r="WC319" s="4"/>
      <c r="WD319" s="4"/>
      <c r="WE319" s="4"/>
      <c r="WF319" s="5"/>
      <c r="WG319" s="6"/>
      <c r="WH319" s="4"/>
      <c r="WI319" s="4"/>
      <c r="WJ319" s="4"/>
      <c r="WK319" s="4"/>
      <c r="WL319" s="4"/>
      <c r="WM319" s="5"/>
      <c r="WN319" s="6"/>
      <c r="WO319" s="4"/>
      <c r="WP319" s="4"/>
      <c r="WQ319" s="4"/>
      <c r="WR319" s="4"/>
      <c r="WS319" s="4"/>
      <c r="WT319" s="5"/>
      <c r="WU319" s="6"/>
      <c r="WV319" s="4"/>
      <c r="WW319" s="4"/>
      <c r="WX319" s="4"/>
      <c r="WY319" s="4"/>
      <c r="WZ319" s="4"/>
      <c r="XA319" s="5"/>
      <c r="XB319" s="6"/>
      <c r="XC319" s="4"/>
      <c r="XD319" s="4"/>
      <c r="XE319" s="4"/>
      <c r="XF319" s="4"/>
      <c r="XG319" s="4"/>
      <c r="XH319" s="5"/>
      <c r="XI319" s="6"/>
      <c r="XJ319" s="4"/>
      <c r="XK319" s="4"/>
      <c r="XL319" s="4"/>
      <c r="XM319" s="4"/>
      <c r="XN319" s="4"/>
      <c r="XO319" s="5"/>
      <c r="XP319" s="6"/>
      <c r="XQ319" s="4"/>
      <c r="XR319" s="4"/>
      <c r="XS319" s="4"/>
      <c r="XT319" s="4"/>
      <c r="XU319" s="4"/>
      <c r="XV319" s="5"/>
      <c r="XW319" s="6"/>
      <c r="XX319" s="4"/>
      <c r="XY319" s="4"/>
      <c r="XZ319" s="4"/>
      <c r="YA319" s="4"/>
      <c r="YB319" s="4"/>
      <c r="YC319" s="5"/>
      <c r="YD319" s="6"/>
      <c r="YE319" s="4"/>
      <c r="YF319" s="4"/>
      <c r="YG319" s="4"/>
      <c r="YH319" s="4"/>
      <c r="YI319" s="4"/>
      <c r="YJ319" s="5"/>
      <c r="YK319" s="6" t="s">
        <v>2146</v>
      </c>
      <c r="YL319" s="7" t="s">
        <v>1982</v>
      </c>
      <c r="YM319" t="s">
        <v>1804</v>
      </c>
      <c r="YN319" t="s">
        <v>1437</v>
      </c>
      <c r="YO319" s="17">
        <v>38418</v>
      </c>
      <c r="YP319" s="17">
        <v>38433</v>
      </c>
      <c r="YQ319" t="s">
        <v>3806</v>
      </c>
      <c r="YR319" s="6"/>
      <c r="YS319" s="4"/>
      <c r="YT319" s="4"/>
      <c r="YU319" s="4"/>
      <c r="YV319" s="4"/>
      <c r="YW319" s="4"/>
      <c r="YX319" s="5"/>
      <c r="YY319" s="6"/>
      <c r="YZ319" s="4"/>
      <c r="ZA319" s="4"/>
      <c r="ZB319" s="4"/>
      <c r="ZC319" s="4"/>
      <c r="ZD319" s="4"/>
      <c r="ZE319" s="5"/>
      <c r="ZF319" s="6"/>
      <c r="ZG319" s="4"/>
      <c r="ZH319" s="4"/>
      <c r="ZI319" s="4"/>
      <c r="ZJ319" s="4"/>
      <c r="ZK319" s="4"/>
      <c r="ZL319" s="5"/>
      <c r="ZM319" s="6"/>
      <c r="ZN319" s="4"/>
      <c r="ZO319" s="4"/>
      <c r="ZP319" s="4"/>
      <c r="ZQ319" s="4"/>
      <c r="ZR319" s="4"/>
      <c r="ZS319" s="5"/>
      <c r="ZT319" s="6"/>
      <c r="ZU319" s="4"/>
      <c r="ZV319" s="4"/>
      <c r="ZW319" s="4"/>
      <c r="ZX319" s="4"/>
      <c r="ZY319" s="4"/>
      <c r="ZZ319" s="5"/>
      <c r="AAA319" s="6"/>
      <c r="AAB319" s="4"/>
      <c r="AAC319" s="4"/>
      <c r="AAD319" s="4"/>
      <c r="AAE319" s="4"/>
      <c r="AAF319" s="4"/>
      <c r="AAG319" s="5"/>
      <c r="AAH319" s="6"/>
      <c r="AAI319" s="4"/>
      <c r="AAJ319" s="4"/>
      <c r="AAK319" s="4"/>
      <c r="AAL319" s="4"/>
      <c r="AAM319" s="4"/>
      <c r="AAN319" s="5"/>
      <c r="AAO319" s="6"/>
      <c r="AAP319" s="4"/>
      <c r="AAQ319" s="4"/>
      <c r="AAR319" s="4"/>
      <c r="AAS319" s="4"/>
      <c r="AAT319" s="4"/>
      <c r="AAU319" s="5"/>
      <c r="AAV319" s="6"/>
      <c r="AAW319" s="4"/>
      <c r="AAX319" s="4"/>
      <c r="AAY319" s="4"/>
      <c r="AAZ319" s="4"/>
      <c r="ABA319" s="4"/>
      <c r="ABB319" s="5"/>
      <c r="ABC319" s="6"/>
      <c r="ABD319" s="4"/>
      <c r="ABE319" s="4"/>
      <c r="ABF319" s="4"/>
      <c r="ABG319" s="4"/>
      <c r="ABH319" s="4"/>
      <c r="ABI319" s="5"/>
      <c r="ABJ319" s="6" t="s">
        <v>3003</v>
      </c>
      <c r="ABK319" s="4" t="s">
        <v>1946</v>
      </c>
      <c r="ABL319" s="4"/>
      <c r="ABM319" s="4" t="s">
        <v>2092</v>
      </c>
      <c r="ABN319" s="8">
        <v>38417</v>
      </c>
      <c r="ABO319" s="8">
        <v>38418</v>
      </c>
      <c r="ABP319" s="5" t="s">
        <v>4062</v>
      </c>
      <c r="ABQ319" s="6"/>
      <c r="ABR319" s="4"/>
      <c r="ABS319" s="4"/>
      <c r="ABT319" s="4"/>
      <c r="ABU319" s="4"/>
      <c r="ABV319" s="4"/>
      <c r="ABW319" s="5"/>
      <c r="ABX319" s="6"/>
      <c r="ABY319" s="4"/>
      <c r="ABZ319" s="4"/>
      <c r="ACA319" s="4"/>
      <c r="ACB319" s="4"/>
      <c r="ACC319" s="4"/>
      <c r="ACD319" s="5"/>
      <c r="ACE319" s="6"/>
      <c r="ACF319" s="4"/>
      <c r="ACG319" s="4"/>
      <c r="ACH319" s="4"/>
      <c r="ACI319" s="4"/>
      <c r="ACJ319" s="4"/>
      <c r="ACK319" s="5"/>
      <c r="ACL319" s="6"/>
      <c r="ACM319" s="4"/>
      <c r="ACN319" s="4"/>
      <c r="ACO319" s="4"/>
      <c r="ACP319" s="4"/>
      <c r="ACQ319" s="4"/>
      <c r="ACR319" s="5"/>
      <c r="ACS319" s="6"/>
      <c r="ACT319" s="4"/>
      <c r="ACU319" s="4"/>
      <c r="ACV319" s="4"/>
      <c r="ACW319" s="4"/>
      <c r="ACX319" s="4"/>
      <c r="ACY319" s="5"/>
    </row>
    <row r="320" spans="2:805" x14ac:dyDescent="0.25">
      <c r="J320" s="12"/>
      <c r="K320" s="12"/>
      <c r="L320" s="12"/>
      <c r="LL320" s="6"/>
      <c r="LM320" s="4"/>
      <c r="LN320" s="4"/>
      <c r="LO320" s="4"/>
      <c r="LP320" s="4"/>
      <c r="LQ320" s="4"/>
      <c r="LR320" s="5"/>
      <c r="LS320" s="6"/>
      <c r="LT320" s="4"/>
      <c r="LU320" s="4"/>
      <c r="LV320" s="4"/>
      <c r="LW320" s="4"/>
      <c r="LX320" s="4"/>
      <c r="LY320" s="5"/>
      <c r="LZ320" s="11" t="s">
        <v>1673</v>
      </c>
      <c r="MA320" s="7" t="s">
        <v>2250</v>
      </c>
      <c r="MB320" s="7" t="s">
        <v>1659</v>
      </c>
      <c r="MC320" s="7" t="s">
        <v>1672</v>
      </c>
      <c r="MD320" s="8">
        <v>38417</v>
      </c>
      <c r="ME320" s="8">
        <v>38417</v>
      </c>
      <c r="MF320" s="8" t="s">
        <v>3787</v>
      </c>
      <c r="MG320" s="5" t="s">
        <v>3949</v>
      </c>
      <c r="MH320" s="6"/>
      <c r="MI320" s="4"/>
      <c r="MJ320" s="4"/>
      <c r="MK320" s="4"/>
      <c r="ML320" s="4"/>
      <c r="MM320" s="4"/>
      <c r="MN320" s="5"/>
      <c r="MO320" s="6"/>
      <c r="MP320" s="4"/>
      <c r="MQ320" s="4"/>
      <c r="MR320" s="4"/>
      <c r="MS320" s="4"/>
      <c r="MT320" s="4"/>
      <c r="MU320" s="5"/>
      <c r="MV320" s="6"/>
      <c r="MW320" s="4"/>
      <c r="MX320" s="4"/>
      <c r="MY320" s="4"/>
      <c r="MZ320" s="4"/>
      <c r="NA320" s="4"/>
      <c r="NB320" s="5"/>
      <c r="NC320" s="6"/>
      <c r="NE320" s="4"/>
      <c r="NF320" s="4"/>
      <c r="NG320" s="4"/>
      <c r="NH320" s="4"/>
      <c r="NI320" s="5"/>
      <c r="NJ320" s="6"/>
      <c r="NK320" s="4"/>
      <c r="NL320" s="4"/>
      <c r="NM320" s="4"/>
      <c r="NN320" s="4"/>
      <c r="NO320" s="4"/>
      <c r="NP320" s="5"/>
      <c r="NQ320" s="6"/>
      <c r="NR320" s="4"/>
      <c r="NS320" s="4"/>
      <c r="NT320" s="4"/>
      <c r="NU320" s="4"/>
      <c r="NV320" s="4"/>
      <c r="NW320" s="5"/>
      <c r="NX320" s="6"/>
      <c r="NY320" s="4"/>
      <c r="NZ320" s="4"/>
      <c r="OA320" s="4"/>
      <c r="OB320" s="4"/>
      <c r="OC320" s="4"/>
      <c r="OD320" s="5"/>
      <c r="OE320" s="6"/>
      <c r="OF320" s="4"/>
      <c r="OG320" s="4"/>
      <c r="OH320" s="4"/>
      <c r="OI320" s="4"/>
      <c r="OJ320" s="4"/>
      <c r="OK320" s="5"/>
      <c r="OL320" s="6"/>
      <c r="OM320" s="4"/>
      <c r="ON320" s="4"/>
      <c r="OO320" s="4"/>
      <c r="OP320" s="4"/>
      <c r="OQ320" s="4"/>
      <c r="OR320" s="5"/>
      <c r="OS320" s="6"/>
      <c r="OT320" s="4"/>
      <c r="OU320" s="4"/>
      <c r="OV320" s="4"/>
      <c r="OW320" s="4"/>
      <c r="OX320" s="4"/>
      <c r="OY320" s="5"/>
      <c r="OZ320" s="6"/>
      <c r="PA320" s="4"/>
      <c r="PB320" s="4"/>
      <c r="PC320" s="4"/>
      <c r="PD320" s="4"/>
      <c r="PE320" s="4"/>
      <c r="PF320" s="5"/>
      <c r="PG320" s="6"/>
      <c r="PH320" s="4"/>
      <c r="PI320" s="4"/>
      <c r="PJ320" s="4"/>
      <c r="PK320" s="4"/>
      <c r="PL320" s="4"/>
      <c r="PM320" s="5"/>
      <c r="PN320" s="6"/>
      <c r="PO320" s="4"/>
      <c r="PP320" s="4"/>
      <c r="PQ320" s="4"/>
      <c r="PR320" s="4"/>
      <c r="PS320" s="4"/>
      <c r="PT320" s="5"/>
      <c r="PU320" s="6"/>
      <c r="PV320" s="4"/>
      <c r="PW320" s="4"/>
      <c r="PX320" s="4"/>
      <c r="PY320" s="4"/>
      <c r="PZ320" s="4"/>
      <c r="QA320" s="5"/>
      <c r="QB320" s="6"/>
      <c r="QC320" s="4"/>
      <c r="QD320" s="4"/>
      <c r="QE320" s="4"/>
      <c r="QF320" s="4"/>
      <c r="QG320" s="4"/>
      <c r="QH320" s="5"/>
      <c r="QI320" s="6"/>
      <c r="QJ320" s="4"/>
      <c r="QK320" s="4"/>
      <c r="QL320" s="4"/>
      <c r="QM320" s="4"/>
      <c r="QN320" s="4"/>
      <c r="QO320" s="5"/>
      <c r="QP320" s="6"/>
      <c r="QQ320" s="4"/>
      <c r="QR320" s="4"/>
      <c r="QS320" s="4"/>
      <c r="QT320" s="4"/>
      <c r="QU320" s="4"/>
      <c r="QV320" s="5"/>
      <c r="QW320" s="6"/>
      <c r="QX320" s="4"/>
      <c r="QY320" s="4"/>
      <c r="QZ320" s="4"/>
      <c r="RA320" s="4"/>
      <c r="RB320" s="4"/>
      <c r="RC320" s="5"/>
      <c r="RD320" s="6"/>
      <c r="RE320" s="4"/>
      <c r="RF320" s="4"/>
      <c r="RG320" s="4"/>
      <c r="RH320" s="4"/>
      <c r="RI320" s="4"/>
      <c r="RJ320" s="5"/>
      <c r="RK320" s="6"/>
      <c r="RL320" s="4"/>
      <c r="RM320" s="4"/>
      <c r="RN320" s="4"/>
      <c r="RO320" s="4"/>
      <c r="RP320" s="4"/>
      <c r="RQ320" s="5"/>
      <c r="RR320" s="6"/>
      <c r="RS320" s="4"/>
      <c r="RT320" s="4"/>
      <c r="RU320" s="4"/>
      <c r="RV320" s="4"/>
      <c r="RW320" s="4"/>
      <c r="RX320" s="5"/>
      <c r="RY320" s="6"/>
      <c r="RZ320" s="4"/>
      <c r="SA320" s="4"/>
      <c r="SB320" s="4"/>
      <c r="SC320" s="4"/>
      <c r="SD320" s="4"/>
      <c r="SE320" s="5"/>
      <c r="SF320" s="6"/>
      <c r="SG320" s="4"/>
      <c r="SH320" s="4"/>
      <c r="SI320" s="4"/>
      <c r="SJ320" s="4"/>
      <c r="SK320" s="4"/>
      <c r="SL320" s="5"/>
      <c r="SM320" s="6"/>
      <c r="SN320" s="4"/>
      <c r="SO320" s="4"/>
      <c r="SP320" s="4"/>
      <c r="SQ320" s="4"/>
      <c r="SR320" s="4"/>
      <c r="SS320" s="5"/>
      <c r="ST320" s="6"/>
      <c r="SU320" s="4"/>
      <c r="SV320" s="4"/>
      <c r="SW320" s="4"/>
      <c r="SX320" s="4"/>
      <c r="SY320" s="4"/>
      <c r="SZ320" s="5"/>
      <c r="TA320" s="6"/>
      <c r="TB320" s="4"/>
      <c r="TC320" s="4"/>
      <c r="TD320" s="4"/>
      <c r="TE320" s="4"/>
      <c r="TF320" s="4"/>
      <c r="TG320" s="5"/>
      <c r="TH320" s="6"/>
      <c r="TI320" s="4"/>
      <c r="TJ320" s="4"/>
      <c r="TK320" s="4"/>
      <c r="TL320" s="4"/>
      <c r="TM320" s="4"/>
      <c r="TN320" s="5"/>
      <c r="TO320" s="6"/>
      <c r="TP320" s="4"/>
      <c r="TQ320" s="4"/>
      <c r="TR320" s="4"/>
      <c r="TS320" s="4"/>
      <c r="TT320" s="4"/>
      <c r="TU320" s="5"/>
      <c r="TV320" s="6"/>
      <c r="TW320" s="4"/>
      <c r="TX320" s="4"/>
      <c r="TY320" s="4"/>
      <c r="TZ320" s="4"/>
      <c r="UA320" s="4"/>
      <c r="UB320" s="5"/>
      <c r="UC320" s="6"/>
      <c r="UD320" s="4"/>
      <c r="UE320" s="4"/>
      <c r="UF320" s="4"/>
      <c r="UG320" s="4"/>
      <c r="UH320" s="4"/>
      <c r="UI320" s="5"/>
      <c r="UJ320" s="6"/>
      <c r="UK320" s="4"/>
      <c r="UL320" s="4"/>
      <c r="UM320" s="4"/>
      <c r="UN320" s="4"/>
      <c r="UO320" s="4"/>
      <c r="UP320" s="5"/>
      <c r="UQ320" s="6"/>
      <c r="UR320" s="4"/>
      <c r="US320" s="4"/>
      <c r="UT320" s="4"/>
      <c r="UU320" s="4"/>
      <c r="UV320" s="4"/>
      <c r="UW320" s="5"/>
      <c r="UX320" s="6"/>
      <c r="UY320" s="4"/>
      <c r="UZ320" s="4"/>
      <c r="VA320" s="4"/>
      <c r="VB320" s="4"/>
      <c r="VC320" s="4"/>
      <c r="VD320" s="5"/>
      <c r="VE320" s="6"/>
      <c r="VF320" s="4"/>
      <c r="VG320" s="4"/>
      <c r="VH320" s="4"/>
      <c r="VI320" s="4"/>
      <c r="VJ320" s="4"/>
      <c r="VK320" s="5"/>
      <c r="VL320" s="6" t="s">
        <v>1912</v>
      </c>
      <c r="VM320" s="4" t="s">
        <v>1913</v>
      </c>
      <c r="VN320" s="4" t="s">
        <v>2081</v>
      </c>
      <c r="VO320" s="7" t="s">
        <v>1672</v>
      </c>
      <c r="VP320" s="8">
        <v>38418</v>
      </c>
      <c r="VQ320" s="8">
        <v>38418</v>
      </c>
      <c r="VR320" s="5" t="s">
        <v>3806</v>
      </c>
      <c r="VS320" s="6"/>
      <c r="VT320" s="4"/>
      <c r="VU320" s="4"/>
      <c r="VV320" s="4"/>
      <c r="VW320" s="4"/>
      <c r="VX320" s="4"/>
      <c r="VY320" s="5"/>
      <c r="VZ320" s="6"/>
      <c r="WA320" s="4"/>
      <c r="WB320" s="4"/>
      <c r="WC320" s="4"/>
      <c r="WD320" s="4"/>
      <c r="WE320" s="4"/>
      <c r="WF320" s="5"/>
      <c r="WG320" s="6"/>
      <c r="WH320" s="4"/>
      <c r="WI320" s="4"/>
      <c r="WJ320" s="4"/>
      <c r="WK320" s="4"/>
      <c r="WL320" s="4"/>
      <c r="WM320" s="5"/>
      <c r="WN320" s="6"/>
      <c r="WO320" s="4"/>
      <c r="WP320" s="4"/>
      <c r="WQ320" s="4"/>
      <c r="WR320" s="4"/>
      <c r="WS320" s="4"/>
      <c r="WT320" s="5"/>
      <c r="WU320" s="6"/>
      <c r="WV320" s="4"/>
      <c r="WW320" s="4"/>
      <c r="WX320" s="4"/>
      <c r="WY320" s="4"/>
      <c r="WZ320" s="4"/>
      <c r="XA320" s="5"/>
      <c r="XB320" s="6"/>
      <c r="XC320" s="4"/>
      <c r="XD320" s="4"/>
      <c r="XE320" s="4"/>
      <c r="XF320" s="4"/>
      <c r="XG320" s="4"/>
      <c r="XH320" s="5"/>
      <c r="XI320" s="6"/>
      <c r="XJ320" s="4"/>
      <c r="XK320" s="4"/>
      <c r="XL320" s="4"/>
      <c r="XM320" s="4"/>
      <c r="XN320" s="4"/>
      <c r="XO320" s="5"/>
      <c r="XP320" s="6"/>
      <c r="XQ320" s="4"/>
      <c r="XR320" s="4"/>
      <c r="XS320" s="4"/>
      <c r="XT320" s="4"/>
      <c r="XU320" s="4"/>
      <c r="XV320" s="5"/>
      <c r="XW320" s="6"/>
      <c r="XX320" s="4"/>
      <c r="XY320" s="4"/>
      <c r="XZ320" s="4"/>
      <c r="YA320" s="4"/>
      <c r="YB320" s="4"/>
      <c r="YC320" s="5"/>
      <c r="YD320" s="6"/>
      <c r="YE320" s="4"/>
      <c r="YF320" s="4"/>
      <c r="YG320" s="4"/>
      <c r="YH320" s="4"/>
      <c r="YI320" s="4"/>
      <c r="YJ320" s="5"/>
      <c r="YK320" s="6" t="s">
        <v>1849</v>
      </c>
      <c r="YL320" s="7" t="s">
        <v>1850</v>
      </c>
      <c r="YN320" t="s">
        <v>1672</v>
      </c>
      <c r="YO320" s="17">
        <v>38429</v>
      </c>
      <c r="YP320" s="17">
        <v>38429</v>
      </c>
      <c r="YQ320" t="s">
        <v>3942</v>
      </c>
      <c r="YR320" s="6"/>
      <c r="YS320" s="4"/>
      <c r="YT320" s="4"/>
      <c r="YU320" s="4"/>
      <c r="YV320" s="4"/>
      <c r="YW320" s="4"/>
      <c r="YX320" s="5"/>
      <c r="YY320" s="6"/>
      <c r="YZ320" s="4"/>
      <c r="ZA320" s="4"/>
      <c r="ZB320" s="4"/>
      <c r="ZC320" s="4"/>
      <c r="ZD320" s="4"/>
      <c r="ZE320" s="5"/>
      <c r="ZF320" s="6"/>
      <c r="ZG320" s="4"/>
      <c r="ZH320" s="4"/>
      <c r="ZI320" s="4"/>
      <c r="ZJ320" s="4"/>
      <c r="ZK320" s="4"/>
      <c r="ZL320" s="5"/>
      <c r="ZM320" s="6"/>
      <c r="ZN320" s="4"/>
      <c r="ZO320" s="4"/>
      <c r="ZP320" s="4"/>
      <c r="ZQ320" s="4"/>
      <c r="ZR320" s="4"/>
      <c r="ZS320" s="5"/>
      <c r="ZT320" s="6"/>
      <c r="ZU320" s="4"/>
      <c r="ZV320" s="4"/>
      <c r="ZW320" s="4"/>
      <c r="ZX320" s="4"/>
      <c r="ZY320" s="4"/>
      <c r="ZZ320" s="5"/>
      <c r="AAA320" s="6"/>
      <c r="AAB320" s="4"/>
      <c r="AAC320" s="4"/>
      <c r="AAD320" s="4"/>
      <c r="AAE320" s="4"/>
      <c r="AAF320" s="4"/>
      <c r="AAG320" s="5"/>
      <c r="AAH320" s="6"/>
      <c r="AAI320" s="4"/>
      <c r="AAJ320" s="4"/>
      <c r="AAK320" s="4"/>
      <c r="AAL320" s="4"/>
      <c r="AAM320" s="4"/>
      <c r="AAN320" s="5"/>
      <c r="AAO320" s="6"/>
      <c r="AAP320" s="4"/>
      <c r="AAQ320" s="4"/>
      <c r="AAR320" s="4"/>
      <c r="AAS320" s="4"/>
      <c r="AAT320" s="4"/>
      <c r="AAU320" s="5"/>
      <c r="AAV320" s="6"/>
      <c r="AAW320" s="4"/>
      <c r="AAX320" s="4"/>
      <c r="AAY320" s="4"/>
      <c r="AAZ320" s="4"/>
      <c r="ABA320" s="4"/>
      <c r="ABB320" s="5"/>
      <c r="ABC320" s="6"/>
      <c r="ABD320" s="4"/>
      <c r="ABE320" s="4"/>
      <c r="ABF320" s="4"/>
      <c r="ABG320" s="4"/>
      <c r="ABH320" s="4"/>
      <c r="ABI320" s="5"/>
      <c r="ABJ320" s="6" t="s">
        <v>1695</v>
      </c>
      <c r="ABK320" s="4" t="s">
        <v>1838</v>
      </c>
      <c r="ABL320" s="4" t="s">
        <v>1696</v>
      </c>
      <c r="ABM320" s="7" t="s">
        <v>1672</v>
      </c>
      <c r="ABN320" s="8">
        <v>38417</v>
      </c>
      <c r="ABO320" s="8">
        <v>38417</v>
      </c>
      <c r="ABP320" s="5" t="s">
        <v>4063</v>
      </c>
      <c r="ABQ320" s="6"/>
      <c r="ABR320" s="4"/>
      <c r="ABS320" s="4"/>
      <c r="ABT320" s="4"/>
      <c r="ABU320" s="4"/>
      <c r="ABV320" s="4"/>
      <c r="ABW320" s="5"/>
      <c r="ABX320" s="6"/>
      <c r="ABY320" s="4"/>
      <c r="ABZ320" s="4"/>
      <c r="ACA320" s="4"/>
      <c r="ACB320" s="4"/>
      <c r="ACC320" s="4"/>
      <c r="ACD320" s="5"/>
      <c r="ACE320" s="6"/>
      <c r="ACF320" s="4"/>
      <c r="ACG320" s="4"/>
      <c r="ACH320" s="4"/>
      <c r="ACI320" s="4"/>
      <c r="ACJ320" s="4"/>
      <c r="ACK320" s="5"/>
      <c r="ACL320" s="6"/>
      <c r="ACM320" s="4"/>
      <c r="ACN320" s="4"/>
      <c r="ACO320" s="4"/>
      <c r="ACP320" s="4"/>
      <c r="ACQ320" s="4"/>
      <c r="ACR320" s="5"/>
      <c r="ACS320" s="6"/>
      <c r="ACT320" s="4"/>
      <c r="ACU320" s="4"/>
      <c r="ACV320" s="4"/>
      <c r="ACW320" s="4"/>
      <c r="ACX320" s="4"/>
      <c r="ACY320" s="5"/>
    </row>
    <row r="321" spans="2:805" x14ac:dyDescent="0.25">
      <c r="J321" s="12"/>
      <c r="K321" s="12"/>
      <c r="L321" s="12"/>
      <c r="LL321" s="6"/>
      <c r="LM321" s="4"/>
      <c r="LN321" s="4"/>
      <c r="LO321" s="4"/>
      <c r="LP321" s="4"/>
      <c r="LQ321" s="4"/>
      <c r="LR321" s="5"/>
      <c r="LS321" s="6"/>
      <c r="LT321" s="4"/>
      <c r="LU321" s="4"/>
      <c r="LV321" s="4"/>
      <c r="LW321" s="4"/>
      <c r="LX321" s="4"/>
      <c r="LY321" s="5"/>
      <c r="LZ321" s="11" t="s">
        <v>1660</v>
      </c>
      <c r="MA321" s="7" t="s">
        <v>1820</v>
      </c>
      <c r="MB321" s="7" t="s">
        <v>1661</v>
      </c>
      <c r="MC321" s="7" t="s">
        <v>1662</v>
      </c>
      <c r="MD321" s="8">
        <v>38417</v>
      </c>
      <c r="ME321" s="8">
        <v>38424</v>
      </c>
      <c r="MF321" s="8" t="s">
        <v>3787</v>
      </c>
      <c r="MG321" s="5" t="s">
        <v>3949</v>
      </c>
      <c r="MH321" s="6"/>
      <c r="MI321" s="4"/>
      <c r="MJ321" s="4"/>
      <c r="MK321" s="4"/>
      <c r="ML321" s="4"/>
      <c r="MM321" s="4"/>
      <c r="MN321" s="5"/>
      <c r="MO321" s="6"/>
      <c r="MP321" s="4"/>
      <c r="MQ321" s="4"/>
      <c r="MR321" s="4"/>
      <c r="MS321" s="4"/>
      <c r="MT321" s="4"/>
      <c r="MU321" s="5"/>
      <c r="MV321" s="6"/>
      <c r="MW321" s="4"/>
      <c r="MX321" s="4"/>
      <c r="MY321" s="4"/>
      <c r="MZ321" s="4"/>
      <c r="NA321" s="4"/>
      <c r="NB321" s="5"/>
      <c r="NC321" s="6"/>
      <c r="NE321" s="4"/>
      <c r="NF321" s="4"/>
      <c r="NG321" s="4"/>
      <c r="NH321" s="4"/>
      <c r="NI321" s="5"/>
      <c r="NJ321" s="6"/>
      <c r="NK321" s="4"/>
      <c r="NL321" s="4"/>
      <c r="NM321" s="4"/>
      <c r="NN321" s="4"/>
      <c r="NO321" s="4"/>
      <c r="NP321" s="5"/>
      <c r="NQ321" s="6"/>
      <c r="NR321" s="4"/>
      <c r="NS321" s="4"/>
      <c r="NT321" s="4"/>
      <c r="NU321" s="4"/>
      <c r="NV321" s="4"/>
      <c r="NW321" s="5"/>
      <c r="NX321" s="6"/>
      <c r="NY321" s="4"/>
      <c r="NZ321" s="4"/>
      <c r="OA321" s="4"/>
      <c r="OB321" s="4"/>
      <c r="OC321" s="4"/>
      <c r="OD321" s="5"/>
      <c r="OE321" s="6"/>
      <c r="OF321" s="4"/>
      <c r="OG321" s="4"/>
      <c r="OH321" s="4"/>
      <c r="OI321" s="4"/>
      <c r="OJ321" s="4"/>
      <c r="OK321" s="5"/>
      <c r="OL321" s="6"/>
      <c r="OM321" s="4"/>
      <c r="ON321" s="4"/>
      <c r="OO321" s="4"/>
      <c r="OP321" s="4"/>
      <c r="OQ321" s="4"/>
      <c r="OR321" s="5"/>
      <c r="OS321" s="6"/>
      <c r="OT321" s="4"/>
      <c r="OU321" s="4"/>
      <c r="OV321" s="4"/>
      <c r="OW321" s="4"/>
      <c r="OX321" s="4"/>
      <c r="OY321" s="5"/>
      <c r="OZ321" s="6"/>
      <c r="PA321" s="4"/>
      <c r="PB321" s="4"/>
      <c r="PC321" s="4"/>
      <c r="PD321" s="4"/>
      <c r="PE321" s="4"/>
      <c r="PF321" s="5"/>
      <c r="PG321" s="6"/>
      <c r="PH321" s="4"/>
      <c r="PI321" s="4"/>
      <c r="PJ321" s="4"/>
      <c r="PK321" s="4"/>
      <c r="PL321" s="4"/>
      <c r="PM321" s="5"/>
      <c r="PN321" s="6"/>
      <c r="PO321" s="4"/>
      <c r="PP321" s="4"/>
      <c r="PQ321" s="4"/>
      <c r="PR321" s="4"/>
      <c r="PS321" s="4"/>
      <c r="PT321" s="5"/>
      <c r="PU321" s="6"/>
      <c r="PV321" s="4"/>
      <c r="PW321" s="4"/>
      <c r="PX321" s="4"/>
      <c r="PY321" s="4"/>
      <c r="PZ321" s="4"/>
      <c r="QA321" s="5"/>
      <c r="QB321" s="6"/>
      <c r="QC321" s="4"/>
      <c r="QD321" s="4"/>
      <c r="QE321" s="4"/>
      <c r="QF321" s="4"/>
      <c r="QG321" s="4"/>
      <c r="QH321" s="5"/>
      <c r="QI321" s="6"/>
      <c r="QJ321" s="4"/>
      <c r="QK321" s="4"/>
      <c r="QL321" s="4"/>
      <c r="QM321" s="4"/>
      <c r="QN321" s="4"/>
      <c r="QO321" s="5"/>
      <c r="QP321" s="6"/>
      <c r="QQ321" s="4"/>
      <c r="QR321" s="4"/>
      <c r="QS321" s="4"/>
      <c r="QT321" s="4"/>
      <c r="QU321" s="4"/>
      <c r="QV321" s="5"/>
      <c r="QW321" s="6"/>
      <c r="QX321" s="4"/>
      <c r="QY321" s="4"/>
      <c r="QZ321" s="4"/>
      <c r="RA321" s="4"/>
      <c r="RB321" s="4"/>
      <c r="RC321" s="5"/>
      <c r="RD321" s="6"/>
      <c r="RE321" s="4"/>
      <c r="RF321" s="4"/>
      <c r="RG321" s="4"/>
      <c r="RH321" s="4"/>
      <c r="RI321" s="4"/>
      <c r="RJ321" s="5"/>
      <c r="RK321" s="6"/>
      <c r="RL321" s="4"/>
      <c r="RM321" s="4"/>
      <c r="RN321" s="4"/>
      <c r="RO321" s="4"/>
      <c r="RP321" s="4"/>
      <c r="RQ321" s="5"/>
      <c r="RR321" s="6"/>
      <c r="RS321" s="4"/>
      <c r="RT321" s="4"/>
      <c r="RU321" s="4"/>
      <c r="RV321" s="4"/>
      <c r="RW321" s="4"/>
      <c r="RX321" s="5"/>
      <c r="RY321" s="6"/>
      <c r="RZ321" s="4"/>
      <c r="SA321" s="4"/>
      <c r="SB321" s="4"/>
      <c r="SC321" s="4"/>
      <c r="SD321" s="4"/>
      <c r="SE321" s="5"/>
      <c r="SF321" s="6"/>
      <c r="SG321" s="4"/>
      <c r="SH321" s="4"/>
      <c r="SI321" s="4"/>
      <c r="SJ321" s="4"/>
      <c r="SK321" s="4"/>
      <c r="SL321" s="5"/>
      <c r="SM321" s="6"/>
      <c r="SN321" s="4"/>
      <c r="SO321" s="4"/>
      <c r="SP321" s="4"/>
      <c r="SQ321" s="4"/>
      <c r="SR321" s="4"/>
      <c r="SS321" s="5"/>
      <c r="ST321" s="6"/>
      <c r="SU321" s="4"/>
      <c r="SV321" s="4"/>
      <c r="SW321" s="4"/>
      <c r="SX321" s="4"/>
      <c r="SY321" s="4"/>
      <c r="SZ321" s="5"/>
      <c r="TA321" s="6"/>
      <c r="TB321" s="4"/>
      <c r="TC321" s="4"/>
      <c r="TD321" s="4"/>
      <c r="TE321" s="4"/>
      <c r="TF321" s="4"/>
      <c r="TG321" s="5"/>
      <c r="TH321" s="6"/>
      <c r="TI321" s="4"/>
      <c r="TJ321" s="4"/>
      <c r="TK321" s="4"/>
      <c r="TL321" s="4"/>
      <c r="TM321" s="4"/>
      <c r="TN321" s="5"/>
      <c r="TO321" s="6"/>
      <c r="TP321" s="4"/>
      <c r="TQ321" s="4"/>
      <c r="TR321" s="4"/>
      <c r="TS321" s="4"/>
      <c r="TT321" s="4"/>
      <c r="TU321" s="5"/>
      <c r="TV321" s="6"/>
      <c r="TW321" s="4"/>
      <c r="TX321" s="4"/>
      <c r="TY321" s="4"/>
      <c r="TZ321" s="4"/>
      <c r="UA321" s="4"/>
      <c r="UB321" s="5"/>
      <c r="UC321" s="6"/>
      <c r="UD321" s="4"/>
      <c r="UE321" s="4"/>
      <c r="UF321" s="4"/>
      <c r="UG321" s="4"/>
      <c r="UH321" s="4"/>
      <c r="UI321" s="5"/>
      <c r="UJ321" s="6"/>
      <c r="UK321" s="4"/>
      <c r="UL321" s="4"/>
      <c r="UM321" s="4"/>
      <c r="UN321" s="4"/>
      <c r="UO321" s="4"/>
      <c r="UP321" s="5"/>
      <c r="UQ321" s="6"/>
      <c r="UR321" s="4"/>
      <c r="US321" s="4"/>
      <c r="UT321" s="4"/>
      <c r="UU321" s="4"/>
      <c r="UV321" s="4"/>
      <c r="UW321" s="5"/>
      <c r="UX321" s="6"/>
      <c r="UY321" s="4"/>
      <c r="UZ321" s="4"/>
      <c r="VA321" s="4"/>
      <c r="VB321" s="4"/>
      <c r="VC321" s="4"/>
      <c r="VD321" s="5"/>
      <c r="VE321" s="6"/>
      <c r="VF321" s="4"/>
      <c r="VG321" s="4"/>
      <c r="VH321" s="4"/>
      <c r="VI321" s="4"/>
      <c r="VJ321" s="4"/>
      <c r="VK321" s="5"/>
      <c r="VL321" s="6"/>
      <c r="VM321" s="4"/>
      <c r="VN321" s="4"/>
      <c r="VO321" s="7"/>
      <c r="VP321" s="8"/>
      <c r="VQ321" s="8"/>
      <c r="VR321" s="5"/>
      <c r="VS321" s="6"/>
      <c r="VT321" s="4"/>
      <c r="VU321" s="4"/>
      <c r="VV321" s="4"/>
      <c r="VW321" s="4"/>
      <c r="VX321" s="4"/>
      <c r="VY321" s="5"/>
      <c r="VZ321" s="6"/>
      <c r="WA321" s="4"/>
      <c r="WB321" s="4"/>
      <c r="WC321" s="4"/>
      <c r="WD321" s="4"/>
      <c r="WE321" s="4"/>
      <c r="WF321" s="5"/>
      <c r="WG321" s="6"/>
      <c r="WH321" s="4"/>
      <c r="WI321" s="4"/>
      <c r="WJ321" s="4"/>
      <c r="WK321" s="4"/>
      <c r="WL321" s="4"/>
      <c r="WM321" s="5"/>
      <c r="WN321" s="6"/>
      <c r="WO321" s="4"/>
      <c r="WP321" s="4"/>
      <c r="WQ321" s="4"/>
      <c r="WR321" s="4"/>
      <c r="WS321" s="4"/>
      <c r="WT321" s="5"/>
      <c r="WU321" s="6"/>
      <c r="WV321" s="4"/>
      <c r="WW321" s="4"/>
      <c r="WX321" s="4"/>
      <c r="WY321" s="4"/>
      <c r="WZ321" s="4"/>
      <c r="XA321" s="5"/>
      <c r="XB321" s="6"/>
      <c r="XC321" s="4"/>
      <c r="XD321" s="4"/>
      <c r="XE321" s="4"/>
      <c r="XF321" s="4"/>
      <c r="XG321" s="4"/>
      <c r="XH321" s="5"/>
      <c r="XI321" s="6"/>
      <c r="XJ321" s="4"/>
      <c r="XK321" s="4"/>
      <c r="XL321" s="4"/>
      <c r="XM321" s="4"/>
      <c r="XN321" s="4"/>
      <c r="XO321" s="5"/>
      <c r="XP321" s="6"/>
      <c r="XQ321" s="4"/>
      <c r="XR321" s="4"/>
      <c r="XS321" s="4"/>
      <c r="XT321" s="4"/>
      <c r="XU321" s="4"/>
      <c r="XV321" s="5"/>
      <c r="XW321" s="6"/>
      <c r="XX321" s="4"/>
      <c r="XY321" s="4"/>
      <c r="XZ321" s="4"/>
      <c r="YA321" s="4"/>
      <c r="YB321" s="4"/>
      <c r="YC321" s="5"/>
      <c r="YD321" s="6"/>
      <c r="YE321" s="4"/>
      <c r="YF321" s="4"/>
      <c r="YG321" s="4"/>
      <c r="YH321" s="4"/>
      <c r="YI321" s="4"/>
      <c r="YJ321" s="5"/>
      <c r="YK321" s="6"/>
      <c r="YR321" s="6"/>
      <c r="YS321" s="4"/>
      <c r="YT321" s="4"/>
      <c r="YU321" s="4"/>
      <c r="YV321" s="4"/>
      <c r="YW321" s="4"/>
      <c r="YX321" s="5"/>
      <c r="YY321" s="6"/>
      <c r="YZ321" s="4"/>
      <c r="ZA321" s="4"/>
      <c r="ZB321" s="4"/>
      <c r="ZC321" s="4"/>
      <c r="ZD321" s="4"/>
      <c r="ZE321" s="5"/>
      <c r="ZF321" s="6"/>
      <c r="ZG321" s="4"/>
      <c r="ZH321" s="4"/>
      <c r="ZI321" s="4"/>
      <c r="ZJ321" s="4"/>
      <c r="ZK321" s="4"/>
      <c r="ZL321" s="5"/>
      <c r="ZM321" s="6"/>
      <c r="ZN321" s="4"/>
      <c r="ZO321" s="4"/>
      <c r="ZP321" s="4"/>
      <c r="ZQ321" s="4"/>
      <c r="ZR321" s="4"/>
      <c r="ZS321" s="5"/>
      <c r="ZT321" s="6"/>
      <c r="ZU321" s="4"/>
      <c r="ZV321" s="4"/>
      <c r="ZW321" s="4"/>
      <c r="ZX321" s="4"/>
      <c r="ZY321" s="4"/>
      <c r="ZZ321" s="5"/>
      <c r="AAA321" s="6"/>
      <c r="AAB321" s="4"/>
      <c r="AAC321" s="4"/>
      <c r="AAD321" s="4"/>
      <c r="AAE321" s="4"/>
      <c r="AAF321" s="4"/>
      <c r="AAG321" s="5"/>
      <c r="AAH321" s="6"/>
      <c r="AAI321" s="4"/>
      <c r="AAJ321" s="4"/>
      <c r="AAK321" s="4"/>
      <c r="AAL321" s="4"/>
      <c r="AAM321" s="4"/>
      <c r="AAN321" s="5"/>
      <c r="AAO321" s="6"/>
      <c r="AAP321" s="4"/>
      <c r="AAQ321" s="4"/>
      <c r="AAR321" s="4"/>
      <c r="AAS321" s="4"/>
      <c r="AAT321" s="4"/>
      <c r="AAU321" s="5"/>
      <c r="AAV321" s="6"/>
      <c r="AAW321" s="4"/>
      <c r="AAX321" s="4"/>
      <c r="AAY321" s="4"/>
      <c r="AAZ321" s="4"/>
      <c r="ABA321" s="4"/>
      <c r="ABB321" s="5"/>
      <c r="ABC321" s="6"/>
      <c r="ABD321" s="4"/>
      <c r="ABE321" s="4"/>
      <c r="ABF321" s="4"/>
      <c r="ABG321" s="4"/>
      <c r="ABH321" s="4"/>
      <c r="ABI321" s="5"/>
      <c r="ABJ321" s="6" t="s">
        <v>1695</v>
      </c>
      <c r="ABK321" s="4" t="s">
        <v>1838</v>
      </c>
      <c r="ABL321" s="4" t="s">
        <v>1696</v>
      </c>
      <c r="ABM321" s="7" t="s">
        <v>1697</v>
      </c>
      <c r="ABN321" s="8">
        <v>38420</v>
      </c>
      <c r="ABO321" s="8">
        <v>38433</v>
      </c>
      <c r="ABP321" s="37" t="s">
        <v>3943</v>
      </c>
      <c r="ABQ321" s="6"/>
      <c r="ABR321" s="4"/>
      <c r="ABS321" s="4"/>
      <c r="ABT321" s="4"/>
      <c r="ABU321" s="4"/>
      <c r="ABV321" s="4"/>
      <c r="ABW321" s="5"/>
      <c r="ABX321" s="6"/>
      <c r="ABY321" s="4"/>
      <c r="ABZ321" s="4"/>
      <c r="ACA321" s="4"/>
      <c r="ACB321" s="4"/>
      <c r="ACC321" s="4"/>
      <c r="ACD321" s="5"/>
      <c r="ACE321" s="6"/>
      <c r="ACF321" s="4"/>
      <c r="ACG321" s="4"/>
      <c r="ACH321" s="4"/>
      <c r="ACI321" s="4"/>
      <c r="ACJ321" s="4"/>
      <c r="ACK321" s="5"/>
      <c r="ACL321" s="6"/>
      <c r="ACM321" s="4"/>
      <c r="ACN321" s="4"/>
      <c r="ACO321" s="4"/>
      <c r="ACP321" s="4"/>
      <c r="ACQ321" s="4"/>
      <c r="ACR321" s="5"/>
      <c r="ACS321" s="6"/>
      <c r="ACT321" s="4"/>
      <c r="ACU321" s="4"/>
      <c r="ACV321" s="4"/>
      <c r="ACW321" s="4"/>
      <c r="ACX321" s="4"/>
      <c r="ACY321" s="5"/>
    </row>
    <row r="322" spans="2:805" x14ac:dyDescent="0.25">
      <c r="J322" s="12"/>
      <c r="K322" s="12"/>
      <c r="L322" s="12"/>
      <c r="LL322" s="6"/>
      <c r="LM322" s="4"/>
      <c r="LN322" s="4"/>
      <c r="LO322" s="4"/>
      <c r="LP322" s="4"/>
      <c r="LQ322" s="4"/>
      <c r="LR322" s="5"/>
      <c r="LS322" s="6"/>
      <c r="LT322" s="4"/>
      <c r="LU322" s="4"/>
      <c r="LV322" s="4"/>
      <c r="LW322" s="4"/>
      <c r="LX322" s="4"/>
      <c r="LY322" s="5"/>
      <c r="LZ322" s="11" t="s">
        <v>1665</v>
      </c>
      <c r="MA322" s="7" t="s">
        <v>2090</v>
      </c>
      <c r="MB322" s="7" t="s">
        <v>1666</v>
      </c>
      <c r="MC322" s="7" t="s">
        <v>1672</v>
      </c>
      <c r="MD322" s="8">
        <v>38411</v>
      </c>
      <c r="ME322" s="8">
        <v>38411</v>
      </c>
      <c r="MF322" s="8"/>
      <c r="MG322" s="5" t="s">
        <v>3795</v>
      </c>
      <c r="MH322" s="6"/>
      <c r="MI322" s="4"/>
      <c r="MJ322" s="4"/>
      <c r="MK322" s="4"/>
      <c r="ML322" s="4"/>
      <c r="MM322" s="4"/>
      <c r="MN322" s="5"/>
      <c r="MO322" s="6"/>
      <c r="MP322" s="4"/>
      <c r="MQ322" s="4"/>
      <c r="MR322" s="4"/>
      <c r="MS322" s="4"/>
      <c r="MT322" s="4"/>
      <c r="MU322" s="5"/>
      <c r="MV322" s="6"/>
      <c r="MW322" s="4"/>
      <c r="MX322" s="4"/>
      <c r="MY322" s="4"/>
      <c r="MZ322" s="4"/>
      <c r="NA322" s="4"/>
      <c r="NB322" s="5"/>
      <c r="NC322" s="6"/>
      <c r="NE322" s="4"/>
      <c r="NF322" s="4"/>
      <c r="NG322" s="4"/>
      <c r="NH322" s="4"/>
      <c r="NI322" s="5"/>
      <c r="NJ322" s="6"/>
      <c r="NK322" s="4"/>
      <c r="NL322" s="4"/>
      <c r="NM322" s="4"/>
      <c r="NN322" s="4"/>
      <c r="NO322" s="4"/>
      <c r="NP322" s="5"/>
      <c r="NQ322" s="6"/>
      <c r="NR322" s="4"/>
      <c r="NS322" s="4"/>
      <c r="NT322" s="4"/>
      <c r="NU322" s="4"/>
      <c r="NV322" s="4"/>
      <c r="NW322" s="5"/>
      <c r="NX322" s="6"/>
      <c r="NY322" s="4"/>
      <c r="NZ322" s="4"/>
      <c r="OA322" s="4"/>
      <c r="OB322" s="4"/>
      <c r="OC322" s="4"/>
      <c r="OD322" s="5"/>
      <c r="OE322" s="6"/>
      <c r="OF322" s="4"/>
      <c r="OG322" s="4"/>
      <c r="OH322" s="4"/>
      <c r="OI322" s="4"/>
      <c r="OJ322" s="4"/>
      <c r="OK322" s="5"/>
      <c r="OL322" s="6"/>
      <c r="OM322" s="4"/>
      <c r="ON322" s="4"/>
      <c r="OO322" s="4"/>
      <c r="OP322" s="4"/>
      <c r="OQ322" s="4"/>
      <c r="OR322" s="5"/>
      <c r="OS322" s="6"/>
      <c r="OT322" s="4"/>
      <c r="OU322" s="4"/>
      <c r="OV322" s="4"/>
      <c r="OW322" s="4"/>
      <c r="OX322" s="4"/>
      <c r="OY322" s="5"/>
      <c r="OZ322" s="6"/>
      <c r="PA322" s="4"/>
      <c r="PB322" s="4"/>
      <c r="PC322" s="4"/>
      <c r="PD322" s="4"/>
      <c r="PE322" s="4"/>
      <c r="PF322" s="5"/>
      <c r="PG322" s="6"/>
      <c r="PH322" s="4"/>
      <c r="PI322" s="4"/>
      <c r="PJ322" s="4"/>
      <c r="PK322" s="4"/>
      <c r="PL322" s="4"/>
      <c r="PM322" s="5"/>
      <c r="PN322" s="6"/>
      <c r="PO322" s="4"/>
      <c r="PP322" s="4"/>
      <c r="PQ322" s="4"/>
      <c r="PR322" s="4"/>
      <c r="PS322" s="4"/>
      <c r="PT322" s="5"/>
      <c r="PU322" s="6"/>
      <c r="PV322" s="4"/>
      <c r="PW322" s="4"/>
      <c r="PX322" s="4"/>
      <c r="PY322" s="4"/>
      <c r="PZ322" s="4"/>
      <c r="QA322" s="5"/>
      <c r="QB322" s="6"/>
      <c r="QC322" s="4"/>
      <c r="QD322" s="4"/>
      <c r="QE322" s="4"/>
      <c r="QF322" s="4"/>
      <c r="QG322" s="4"/>
      <c r="QH322" s="5"/>
      <c r="QI322" s="6"/>
      <c r="QJ322" s="4"/>
      <c r="QK322" s="4"/>
      <c r="QL322" s="4"/>
      <c r="QM322" s="4"/>
      <c r="QN322" s="4"/>
      <c r="QO322" s="5"/>
      <c r="QP322" s="6"/>
      <c r="QQ322" s="4"/>
      <c r="QR322" s="4"/>
      <c r="QS322" s="4"/>
      <c r="QT322" s="4"/>
      <c r="QU322" s="4"/>
      <c r="QV322" s="5"/>
      <c r="QW322" s="6"/>
      <c r="QX322" s="4"/>
      <c r="QY322" s="4"/>
      <c r="QZ322" s="4"/>
      <c r="RA322" s="4"/>
      <c r="RB322" s="4"/>
      <c r="RC322" s="5"/>
      <c r="RD322" s="6"/>
      <c r="RE322" s="4"/>
      <c r="RF322" s="4"/>
      <c r="RG322" s="4"/>
      <c r="RH322" s="4"/>
      <c r="RI322" s="4"/>
      <c r="RJ322" s="5"/>
      <c r="RK322" s="6"/>
      <c r="RL322" s="4"/>
      <c r="RM322" s="4"/>
      <c r="RN322" s="4"/>
      <c r="RO322" s="4"/>
      <c r="RP322" s="4"/>
      <c r="RQ322" s="5"/>
      <c r="RR322" s="6"/>
      <c r="RS322" s="4"/>
      <c r="RT322" s="4"/>
      <c r="RU322" s="4"/>
      <c r="RV322" s="4"/>
      <c r="RW322" s="4"/>
      <c r="RX322" s="5"/>
      <c r="RY322" s="6"/>
      <c r="RZ322" s="4"/>
      <c r="SA322" s="4"/>
      <c r="SB322" s="4"/>
      <c r="SC322" s="4"/>
      <c r="SD322" s="4"/>
      <c r="SE322" s="5"/>
      <c r="SF322" s="6"/>
      <c r="SG322" s="4"/>
      <c r="SH322" s="4"/>
      <c r="SI322" s="4"/>
      <c r="SJ322" s="4"/>
      <c r="SK322" s="4"/>
      <c r="SL322" s="5"/>
      <c r="SM322" s="6"/>
      <c r="SN322" s="4"/>
      <c r="SO322" s="4"/>
      <c r="SP322" s="4"/>
      <c r="SQ322" s="4"/>
      <c r="SR322" s="4"/>
      <c r="SS322" s="5"/>
      <c r="ST322" s="6"/>
      <c r="SU322" s="4"/>
      <c r="SV322" s="4"/>
      <c r="SW322" s="4"/>
      <c r="SX322" s="4"/>
      <c r="SY322" s="4"/>
      <c r="SZ322" s="5"/>
      <c r="TA322" s="6"/>
      <c r="TB322" s="4"/>
      <c r="TC322" s="4"/>
      <c r="TD322" s="4"/>
      <c r="TE322" s="4"/>
      <c r="TF322" s="4"/>
      <c r="TG322" s="5"/>
      <c r="TH322" s="6"/>
      <c r="TI322" s="4"/>
      <c r="TJ322" s="4"/>
      <c r="TK322" s="4"/>
      <c r="TL322" s="4"/>
      <c r="TM322" s="4"/>
      <c r="TN322" s="5"/>
      <c r="TO322" s="6"/>
      <c r="TP322" s="4"/>
      <c r="TQ322" s="4"/>
      <c r="TR322" s="4"/>
      <c r="TS322" s="4"/>
      <c r="TT322" s="4"/>
      <c r="TU322" s="5"/>
      <c r="TV322" s="6"/>
      <c r="TW322" s="4"/>
      <c r="TX322" s="4"/>
      <c r="TY322" s="4"/>
      <c r="TZ322" s="4"/>
      <c r="UA322" s="4"/>
      <c r="UB322" s="5"/>
      <c r="UC322" s="6"/>
      <c r="UD322" s="4"/>
      <c r="UE322" s="4"/>
      <c r="UF322" s="4"/>
      <c r="UG322" s="4"/>
      <c r="UH322" s="4"/>
      <c r="UI322" s="5"/>
      <c r="UJ322" s="6"/>
      <c r="UK322" s="4"/>
      <c r="UL322" s="4"/>
      <c r="UM322" s="4"/>
      <c r="UN322" s="4"/>
      <c r="UO322" s="4"/>
      <c r="UP322" s="5"/>
      <c r="UQ322" s="6"/>
      <c r="UR322" s="4"/>
      <c r="US322" s="4"/>
      <c r="UT322" s="4"/>
      <c r="UU322" s="4"/>
      <c r="UV322" s="4"/>
      <c r="UW322" s="5"/>
      <c r="UX322" s="6"/>
      <c r="UY322" s="4"/>
      <c r="UZ322" s="4"/>
      <c r="VA322" s="4"/>
      <c r="VB322" s="4"/>
      <c r="VC322" s="4"/>
      <c r="VD322" s="5"/>
      <c r="VE322" s="6"/>
      <c r="VF322" s="4"/>
      <c r="VG322" s="4"/>
      <c r="VH322" s="4"/>
      <c r="VI322" s="4"/>
      <c r="VJ322" s="4"/>
      <c r="VK322" s="5"/>
      <c r="VL322" s="6"/>
      <c r="VM322" s="4"/>
      <c r="VN322" s="4"/>
      <c r="VO322" s="7"/>
      <c r="VP322" s="8"/>
      <c r="VQ322" s="8"/>
      <c r="VR322" s="5"/>
      <c r="VS322" s="6"/>
      <c r="VT322" s="4"/>
      <c r="VU322" s="4"/>
      <c r="VV322" s="4"/>
      <c r="VW322" s="4"/>
      <c r="VX322" s="4"/>
      <c r="VY322" s="5"/>
      <c r="VZ322" s="6"/>
      <c r="WA322" s="4"/>
      <c r="WB322" s="4"/>
      <c r="WC322" s="4"/>
      <c r="WD322" s="4"/>
      <c r="WE322" s="4"/>
      <c r="WF322" s="5"/>
      <c r="WG322" s="6"/>
      <c r="WH322" s="4"/>
      <c r="WI322" s="4"/>
      <c r="WJ322" s="4"/>
      <c r="WK322" s="4"/>
      <c r="WL322" s="4"/>
      <c r="WM322" s="5"/>
      <c r="WN322" s="6"/>
      <c r="WO322" s="4"/>
      <c r="WP322" s="4"/>
      <c r="WQ322" s="4"/>
      <c r="WR322" s="4"/>
      <c r="WS322" s="4"/>
      <c r="WT322" s="5"/>
      <c r="WU322" s="6"/>
      <c r="WV322" s="4"/>
      <c r="WW322" s="4"/>
      <c r="WX322" s="4"/>
      <c r="WY322" s="4"/>
      <c r="WZ322" s="4"/>
      <c r="XA322" s="5"/>
      <c r="XB322" s="6"/>
      <c r="XC322" s="4"/>
      <c r="XD322" s="4"/>
      <c r="XE322" s="4"/>
      <c r="XF322" s="4"/>
      <c r="XG322" s="4"/>
      <c r="XH322" s="5"/>
      <c r="XI322" s="6"/>
      <c r="XJ322" s="4"/>
      <c r="XK322" s="4"/>
      <c r="XL322" s="4"/>
      <c r="XM322" s="4"/>
      <c r="XN322" s="4"/>
      <c r="XO322" s="5"/>
      <c r="XP322" s="6"/>
      <c r="XQ322" s="4"/>
      <c r="XR322" s="4"/>
      <c r="XS322" s="4"/>
      <c r="XT322" s="4"/>
      <c r="XU322" s="4"/>
      <c r="XV322" s="5"/>
      <c r="XW322" s="6"/>
      <c r="XX322" s="4"/>
      <c r="XY322" s="4"/>
      <c r="XZ322" s="4"/>
      <c r="YA322" s="4"/>
      <c r="YB322" s="4"/>
      <c r="YC322" s="5"/>
      <c r="YD322" s="6"/>
      <c r="YE322" s="4"/>
      <c r="YF322" s="4"/>
      <c r="YG322" s="4"/>
      <c r="YH322" s="4"/>
      <c r="YI322" s="4"/>
      <c r="YJ322" s="5"/>
      <c r="YK322" s="6"/>
      <c r="YR322" s="6"/>
      <c r="YS322" s="4"/>
      <c r="YT322" s="4"/>
      <c r="YU322" s="4"/>
      <c r="YV322" s="4"/>
      <c r="YW322" s="4"/>
      <c r="YX322" s="5"/>
      <c r="YY322" s="6"/>
      <c r="YZ322" s="4"/>
      <c r="ZA322" s="4"/>
      <c r="ZB322" s="4"/>
      <c r="ZC322" s="4"/>
      <c r="ZD322" s="4"/>
      <c r="ZE322" s="5"/>
      <c r="ZF322" s="6"/>
      <c r="ZG322" s="4"/>
      <c r="ZH322" s="4"/>
      <c r="ZI322" s="4"/>
      <c r="ZJ322" s="4"/>
      <c r="ZK322" s="4"/>
      <c r="ZL322" s="5"/>
      <c r="ZM322" s="6"/>
      <c r="ZN322" s="4"/>
      <c r="ZO322" s="4"/>
      <c r="ZP322" s="4"/>
      <c r="ZQ322" s="4"/>
      <c r="ZR322" s="4"/>
      <c r="ZS322" s="5"/>
      <c r="ZT322" s="6"/>
      <c r="ZU322" s="4"/>
      <c r="ZV322" s="4"/>
      <c r="ZW322" s="4"/>
      <c r="ZX322" s="4"/>
      <c r="ZY322" s="4"/>
      <c r="ZZ322" s="5"/>
      <c r="AAA322" s="6"/>
      <c r="AAB322" s="4"/>
      <c r="AAC322" s="4"/>
      <c r="AAD322" s="4"/>
      <c r="AAE322" s="4"/>
      <c r="AAF322" s="4"/>
      <c r="AAG322" s="5"/>
      <c r="AAH322" s="6"/>
      <c r="AAI322" s="4"/>
      <c r="AAJ322" s="4"/>
      <c r="AAK322" s="4"/>
      <c r="AAL322" s="4"/>
      <c r="AAM322" s="4"/>
      <c r="AAN322" s="5"/>
      <c r="AAO322" s="6"/>
      <c r="AAP322" s="4"/>
      <c r="AAQ322" s="4"/>
      <c r="AAR322" s="4"/>
      <c r="AAS322" s="4"/>
      <c r="AAT322" s="4"/>
      <c r="AAU322" s="5"/>
      <c r="AAV322" s="6"/>
      <c r="AAW322" s="4"/>
      <c r="AAX322" s="4"/>
      <c r="AAY322" s="4"/>
      <c r="AAZ322" s="4"/>
      <c r="ABA322" s="4"/>
      <c r="ABB322" s="5"/>
      <c r="ABC322" s="6"/>
      <c r="ABD322" s="4"/>
      <c r="ABE322" s="4"/>
      <c r="ABF322" s="4"/>
      <c r="ABG322" s="4"/>
      <c r="ABH322" s="4"/>
      <c r="ABI322" s="5"/>
      <c r="ABJ322" s="6"/>
      <c r="ABK322" s="4"/>
      <c r="ABL322" s="4"/>
      <c r="ABM322" s="4"/>
      <c r="ABN322" s="4"/>
      <c r="ABO322" s="4"/>
      <c r="ABP322" s="5"/>
      <c r="ABQ322" s="6"/>
      <c r="ABR322" s="4"/>
      <c r="ABS322" s="4"/>
      <c r="ABT322" s="4"/>
      <c r="ABU322" s="4"/>
      <c r="ABV322" s="4"/>
      <c r="ABW322" s="5"/>
      <c r="ABX322" s="6"/>
      <c r="ABY322" s="4"/>
      <c r="ABZ322" s="4"/>
      <c r="ACA322" s="4"/>
      <c r="ACB322" s="4"/>
      <c r="ACC322" s="4"/>
      <c r="ACD322" s="5"/>
      <c r="ACE322" s="6"/>
      <c r="ACF322" s="4"/>
      <c r="ACG322" s="4"/>
      <c r="ACH322" s="4"/>
      <c r="ACI322" s="4"/>
      <c r="ACJ322" s="4"/>
      <c r="ACK322" s="5"/>
      <c r="ACL322" s="6"/>
      <c r="ACM322" s="4"/>
      <c r="ACN322" s="4"/>
      <c r="ACO322" s="4"/>
      <c r="ACP322" s="4"/>
      <c r="ACQ322" s="4"/>
      <c r="ACR322" s="5"/>
      <c r="ACS322" s="6"/>
      <c r="ACT322" s="4"/>
      <c r="ACU322" s="4"/>
      <c r="ACV322" s="4"/>
      <c r="ACW322" s="4"/>
      <c r="ACX322" s="4"/>
      <c r="ACY322" s="5"/>
    </row>
    <row r="323" spans="2:805" x14ac:dyDescent="0.25">
      <c r="J323" s="12"/>
      <c r="K323" s="12"/>
      <c r="L323" s="12"/>
      <c r="LL323" s="6"/>
      <c r="LM323" s="4"/>
      <c r="LN323" s="4"/>
      <c r="LO323" s="4"/>
      <c r="LP323" s="4"/>
      <c r="LQ323" s="4"/>
      <c r="LR323" s="5"/>
      <c r="LS323" s="6"/>
      <c r="LT323" s="4"/>
      <c r="LU323" s="4"/>
      <c r="LV323" s="4"/>
      <c r="LW323" s="4"/>
      <c r="LX323" s="4"/>
      <c r="LY323" s="5"/>
      <c r="LZ323" s="11" t="s">
        <v>1698</v>
      </c>
      <c r="MA323" s="7" t="s">
        <v>1821</v>
      </c>
      <c r="MB323" s="7" t="s">
        <v>1699</v>
      </c>
      <c r="MC323" s="7" t="s">
        <v>1672</v>
      </c>
      <c r="MD323" s="8">
        <v>38438</v>
      </c>
      <c r="ME323" s="8">
        <v>38438</v>
      </c>
      <c r="MF323" s="8"/>
      <c r="MG323" s="5" t="s">
        <v>4162</v>
      </c>
      <c r="MH323" s="6"/>
      <c r="MI323" s="4"/>
      <c r="MJ323" s="4"/>
      <c r="MK323" s="4"/>
      <c r="ML323" s="4"/>
      <c r="MM323" s="4"/>
      <c r="MN323" s="5"/>
      <c r="MO323" s="6"/>
      <c r="MP323" s="4"/>
      <c r="MQ323" s="4"/>
      <c r="MR323" s="4"/>
      <c r="MS323" s="4"/>
      <c r="MT323" s="4"/>
      <c r="MU323" s="5"/>
      <c r="MV323" s="6"/>
      <c r="MW323" s="4"/>
      <c r="MX323" s="4"/>
      <c r="MY323" s="4"/>
      <c r="MZ323" s="4"/>
      <c r="NA323" s="4"/>
      <c r="NB323" s="5"/>
      <c r="NC323" s="6"/>
      <c r="NE323" s="4"/>
      <c r="NF323" s="4"/>
      <c r="NG323" s="4"/>
      <c r="NH323" s="4"/>
      <c r="NI323" s="5"/>
      <c r="NJ323" s="6"/>
      <c r="NK323" s="4"/>
      <c r="NL323" s="4"/>
      <c r="NM323" s="4"/>
      <c r="NN323" s="4"/>
      <c r="NO323" s="4"/>
      <c r="NP323" s="5"/>
      <c r="NQ323" s="6"/>
      <c r="NR323" s="4"/>
      <c r="NS323" s="4"/>
      <c r="NT323" s="4"/>
      <c r="NU323" s="4"/>
      <c r="NV323" s="4"/>
      <c r="NW323" s="5"/>
      <c r="NX323" s="6"/>
      <c r="NY323" s="4"/>
      <c r="NZ323" s="4"/>
      <c r="OA323" s="4"/>
      <c r="OB323" s="4"/>
      <c r="OC323" s="4"/>
      <c r="OD323" s="5"/>
      <c r="OE323" s="6"/>
      <c r="OF323" s="4"/>
      <c r="OG323" s="4"/>
      <c r="OH323" s="4"/>
      <c r="OI323" s="4"/>
      <c r="OJ323" s="4"/>
      <c r="OK323" s="5"/>
      <c r="OL323" s="6"/>
      <c r="OM323" s="4"/>
      <c r="ON323" s="4"/>
      <c r="OO323" s="4"/>
      <c r="OP323" s="4"/>
      <c r="OQ323" s="4"/>
      <c r="OR323" s="5"/>
      <c r="OS323" s="6"/>
      <c r="OT323" s="4"/>
      <c r="OU323" s="4"/>
      <c r="OV323" s="4"/>
      <c r="OW323" s="4"/>
      <c r="OX323" s="4"/>
      <c r="OY323" s="5"/>
      <c r="OZ323" s="6"/>
      <c r="PA323" s="4"/>
      <c r="PB323" s="4"/>
      <c r="PC323" s="4"/>
      <c r="PD323" s="4"/>
      <c r="PE323" s="4"/>
      <c r="PF323" s="5"/>
      <c r="PG323" s="6"/>
      <c r="PH323" s="4"/>
      <c r="PI323" s="4"/>
      <c r="PJ323" s="4"/>
      <c r="PK323" s="4"/>
      <c r="PL323" s="4"/>
      <c r="PM323" s="5"/>
      <c r="PN323" s="6"/>
      <c r="PO323" s="4"/>
      <c r="PP323" s="4"/>
      <c r="PQ323" s="4"/>
      <c r="PR323" s="4"/>
      <c r="PS323" s="4"/>
      <c r="PT323" s="5"/>
      <c r="PU323" s="6"/>
      <c r="PV323" s="4"/>
      <c r="PW323" s="4"/>
      <c r="PX323" s="4"/>
      <c r="PY323" s="4"/>
      <c r="PZ323" s="4"/>
      <c r="QA323" s="5"/>
      <c r="QB323" s="6"/>
      <c r="QC323" s="4"/>
      <c r="QD323" s="4"/>
      <c r="QE323" s="4"/>
      <c r="QF323" s="4"/>
      <c r="QG323" s="4"/>
      <c r="QH323" s="5"/>
      <c r="QI323" s="6"/>
      <c r="QJ323" s="4"/>
      <c r="QK323" s="4"/>
      <c r="QL323" s="4"/>
      <c r="QM323" s="4"/>
      <c r="QN323" s="4"/>
      <c r="QO323" s="5"/>
      <c r="QP323" s="6"/>
      <c r="QQ323" s="4"/>
      <c r="QR323" s="4"/>
      <c r="QS323" s="4"/>
      <c r="QT323" s="4"/>
      <c r="QU323" s="4"/>
      <c r="QV323" s="5"/>
      <c r="QW323" s="6"/>
      <c r="QX323" s="4"/>
      <c r="QY323" s="4"/>
      <c r="QZ323" s="4"/>
      <c r="RA323" s="4"/>
      <c r="RB323" s="4"/>
      <c r="RC323" s="5"/>
      <c r="RD323" s="6"/>
      <c r="RE323" s="4"/>
      <c r="RF323" s="4"/>
      <c r="RG323" s="4"/>
      <c r="RH323" s="4"/>
      <c r="RI323" s="4"/>
      <c r="RJ323" s="5"/>
      <c r="RK323" s="6"/>
      <c r="RL323" s="4"/>
      <c r="RM323" s="4"/>
      <c r="RN323" s="4"/>
      <c r="RO323" s="4"/>
      <c r="RP323" s="4"/>
      <c r="RQ323" s="5"/>
      <c r="RR323" s="6"/>
      <c r="RS323" s="4"/>
      <c r="RT323" s="4"/>
      <c r="RU323" s="4"/>
      <c r="RV323" s="4"/>
      <c r="RW323" s="4"/>
      <c r="RX323" s="5"/>
      <c r="RY323" s="6"/>
      <c r="RZ323" s="4"/>
      <c r="SA323" s="4"/>
      <c r="SB323" s="4"/>
      <c r="SC323" s="4"/>
      <c r="SD323" s="4"/>
      <c r="SE323" s="5"/>
      <c r="SF323" s="6"/>
      <c r="SG323" s="4"/>
      <c r="SH323" s="4"/>
      <c r="SI323" s="4"/>
      <c r="SJ323" s="4"/>
      <c r="SK323" s="4"/>
      <c r="SL323" s="5"/>
      <c r="SM323" s="6"/>
      <c r="SN323" s="4"/>
      <c r="SO323" s="4"/>
      <c r="SP323" s="4"/>
      <c r="SQ323" s="4"/>
      <c r="SR323" s="4"/>
      <c r="SS323" s="5"/>
      <c r="ST323" s="6"/>
      <c r="SU323" s="4"/>
      <c r="SV323" s="4"/>
      <c r="SW323" s="4"/>
      <c r="SX323" s="4"/>
      <c r="SY323" s="4"/>
      <c r="SZ323" s="5"/>
      <c r="TA323" s="6"/>
      <c r="TB323" s="4"/>
      <c r="TC323" s="4"/>
      <c r="TD323" s="4"/>
      <c r="TE323" s="4"/>
      <c r="TF323" s="4"/>
      <c r="TG323" s="5"/>
      <c r="TH323" s="6"/>
      <c r="TI323" s="4"/>
      <c r="TJ323" s="4"/>
      <c r="TK323" s="4"/>
      <c r="TL323" s="4"/>
      <c r="TM323" s="4"/>
      <c r="TN323" s="5"/>
      <c r="TO323" s="6"/>
      <c r="TP323" s="4"/>
      <c r="TQ323" s="4"/>
      <c r="TR323" s="4"/>
      <c r="TS323" s="4"/>
      <c r="TT323" s="4"/>
      <c r="TU323" s="5"/>
      <c r="TV323" s="6"/>
      <c r="TW323" s="4"/>
      <c r="TX323" s="4"/>
      <c r="TY323" s="4"/>
      <c r="TZ323" s="4"/>
      <c r="UA323" s="4"/>
      <c r="UB323" s="5"/>
      <c r="UC323" s="6"/>
      <c r="UD323" s="4"/>
      <c r="UE323" s="4"/>
      <c r="UF323" s="4"/>
      <c r="UG323" s="4"/>
      <c r="UH323" s="4"/>
      <c r="UI323" s="5"/>
      <c r="UJ323" s="6"/>
      <c r="UK323" s="4"/>
      <c r="UL323" s="4"/>
      <c r="UM323" s="4"/>
      <c r="UN323" s="4"/>
      <c r="UO323" s="4"/>
      <c r="UP323" s="5"/>
      <c r="UQ323" s="6"/>
      <c r="UR323" s="4"/>
      <c r="US323" s="4"/>
      <c r="UT323" s="4"/>
      <c r="UU323" s="4"/>
      <c r="UV323" s="4"/>
      <c r="UW323" s="5"/>
      <c r="UX323" s="6"/>
      <c r="UY323" s="4"/>
      <c r="UZ323" s="4"/>
      <c r="VA323" s="4"/>
      <c r="VB323" s="4"/>
      <c r="VC323" s="4"/>
      <c r="VD323" s="5"/>
      <c r="VE323" s="6"/>
      <c r="VF323" s="4"/>
      <c r="VG323" s="4"/>
      <c r="VH323" s="4"/>
      <c r="VI323" s="4"/>
      <c r="VJ323" s="4"/>
      <c r="VK323" s="5"/>
      <c r="VL323" s="6"/>
      <c r="VM323" s="4"/>
      <c r="VN323" s="4"/>
      <c r="VO323" s="7"/>
      <c r="VP323" s="8"/>
      <c r="VQ323" s="8"/>
      <c r="VR323" s="5"/>
      <c r="VS323" s="6"/>
      <c r="VT323" s="4"/>
      <c r="VU323" s="4"/>
      <c r="VV323" s="4"/>
      <c r="VW323" s="4"/>
      <c r="VX323" s="4"/>
      <c r="VY323" s="5"/>
      <c r="VZ323" s="6"/>
      <c r="WA323" s="4"/>
      <c r="WB323" s="4"/>
      <c r="WC323" s="4"/>
      <c r="WD323" s="4"/>
      <c r="WE323" s="4"/>
      <c r="WF323" s="5"/>
      <c r="WG323" s="6"/>
      <c r="WH323" s="4"/>
      <c r="WI323" s="4"/>
      <c r="WJ323" s="4"/>
      <c r="WK323" s="4"/>
      <c r="WL323" s="4"/>
      <c r="WM323" s="5"/>
      <c r="WN323" s="6"/>
      <c r="WO323" s="4"/>
      <c r="WP323" s="4"/>
      <c r="WQ323" s="4"/>
      <c r="WR323" s="4"/>
      <c r="WS323" s="4"/>
      <c r="WT323" s="5"/>
      <c r="WU323" s="6"/>
      <c r="WV323" s="4"/>
      <c r="WW323" s="4"/>
      <c r="WX323" s="4"/>
      <c r="WY323" s="4"/>
      <c r="WZ323" s="4"/>
      <c r="XA323" s="5"/>
      <c r="XB323" s="6"/>
      <c r="XC323" s="4"/>
      <c r="XD323" s="4"/>
      <c r="XE323" s="4"/>
      <c r="XF323" s="4"/>
      <c r="XG323" s="4"/>
      <c r="XH323" s="5"/>
      <c r="XI323" s="6"/>
      <c r="XJ323" s="4"/>
      <c r="XK323" s="4"/>
      <c r="XL323" s="4"/>
      <c r="XM323" s="4"/>
      <c r="XN323" s="4"/>
      <c r="XO323" s="5"/>
      <c r="XP323" s="6"/>
      <c r="XQ323" s="4"/>
      <c r="XR323" s="4"/>
      <c r="XS323" s="4"/>
      <c r="XT323" s="4"/>
      <c r="XU323" s="4"/>
      <c r="XV323" s="5"/>
      <c r="XW323" s="6"/>
      <c r="XX323" s="4"/>
      <c r="XY323" s="4"/>
      <c r="XZ323" s="4"/>
      <c r="YA323" s="4"/>
      <c r="YB323" s="4"/>
      <c r="YC323" s="5"/>
      <c r="YD323" s="6"/>
      <c r="YE323" s="4"/>
      <c r="YF323" s="4"/>
      <c r="YG323" s="4"/>
      <c r="YH323" s="4"/>
      <c r="YI323" s="4"/>
      <c r="YJ323" s="5"/>
      <c r="YK323" s="6"/>
      <c r="YR323" s="6"/>
      <c r="YS323" s="4"/>
      <c r="YT323" s="4"/>
      <c r="YU323" s="4"/>
      <c r="YV323" s="4"/>
      <c r="YW323" s="4"/>
      <c r="YX323" s="5"/>
      <c r="YY323" s="6"/>
      <c r="YZ323" s="4"/>
      <c r="ZA323" s="4"/>
      <c r="ZB323" s="4"/>
      <c r="ZC323" s="4"/>
      <c r="ZD323" s="4"/>
      <c r="ZE323" s="5"/>
      <c r="ZF323" s="6"/>
      <c r="ZG323" s="4"/>
      <c r="ZH323" s="4"/>
      <c r="ZI323" s="4"/>
      <c r="ZJ323" s="4"/>
      <c r="ZK323" s="4"/>
      <c r="ZL323" s="5"/>
      <c r="ZM323" s="6"/>
      <c r="ZN323" s="4"/>
      <c r="ZO323" s="4"/>
      <c r="ZP323" s="4"/>
      <c r="ZQ323" s="4"/>
      <c r="ZR323" s="4"/>
      <c r="ZS323" s="5"/>
      <c r="ZT323" s="6"/>
      <c r="ZU323" s="4"/>
      <c r="ZV323" s="4"/>
      <c r="ZW323" s="4"/>
      <c r="ZX323" s="4"/>
      <c r="ZY323" s="4"/>
      <c r="ZZ323" s="5"/>
      <c r="AAA323" s="6"/>
      <c r="AAB323" s="4"/>
      <c r="AAC323" s="4"/>
      <c r="AAD323" s="4"/>
      <c r="AAE323" s="4"/>
      <c r="AAF323" s="4"/>
      <c r="AAG323" s="5"/>
      <c r="AAH323" s="6"/>
      <c r="AAI323" s="4"/>
      <c r="AAJ323" s="4"/>
      <c r="AAK323" s="4"/>
      <c r="AAL323" s="4"/>
      <c r="AAM323" s="4"/>
      <c r="AAN323" s="5"/>
      <c r="AAO323" s="6"/>
      <c r="AAP323" s="4"/>
      <c r="AAQ323" s="4"/>
      <c r="AAR323" s="4"/>
      <c r="AAS323" s="4"/>
      <c r="AAT323" s="4"/>
      <c r="AAU323" s="5"/>
      <c r="AAV323" s="6"/>
      <c r="AAW323" s="4"/>
      <c r="AAX323" s="4"/>
      <c r="AAY323" s="4"/>
      <c r="AAZ323" s="4"/>
      <c r="ABA323" s="4"/>
      <c r="ABB323" s="5"/>
      <c r="ABC323" s="6"/>
      <c r="ABD323" s="4"/>
      <c r="ABE323" s="4"/>
      <c r="ABF323" s="4"/>
      <c r="ABG323" s="4"/>
      <c r="ABH323" s="4"/>
      <c r="ABI323" s="5"/>
      <c r="ABJ323" s="6"/>
      <c r="ABK323" s="4"/>
      <c r="ABL323" s="4"/>
      <c r="ABM323" s="4"/>
      <c r="ABN323" s="4"/>
      <c r="ABO323" s="4"/>
      <c r="ABP323" s="5"/>
      <c r="ABQ323" s="6"/>
      <c r="ABR323" s="4"/>
      <c r="ABS323" s="4"/>
      <c r="ABT323" s="4"/>
      <c r="ABU323" s="4"/>
      <c r="ABV323" s="4"/>
      <c r="ABW323" s="5"/>
      <c r="ABX323" s="6"/>
      <c r="ABY323" s="4"/>
      <c r="ABZ323" s="4"/>
      <c r="ACA323" s="4"/>
      <c r="ACB323" s="4"/>
      <c r="ACC323" s="4"/>
      <c r="ACD323" s="5"/>
      <c r="ACE323" s="6"/>
      <c r="ACF323" s="4"/>
      <c r="ACG323" s="4"/>
      <c r="ACH323" s="4"/>
      <c r="ACI323" s="4"/>
      <c r="ACJ323" s="4"/>
      <c r="ACK323" s="5"/>
      <c r="ACL323" s="6"/>
      <c r="ACM323" s="4"/>
      <c r="ACN323" s="4"/>
      <c r="ACO323" s="4"/>
      <c r="ACP323" s="4"/>
      <c r="ACQ323" s="4"/>
      <c r="ACR323" s="5"/>
      <c r="ACS323" s="6"/>
      <c r="ACT323" s="4"/>
      <c r="ACU323" s="4"/>
      <c r="ACV323" s="4"/>
      <c r="ACW323" s="4"/>
      <c r="ACX323" s="4"/>
      <c r="ACY323" s="5"/>
    </row>
    <row r="324" spans="2:805" x14ac:dyDescent="0.25">
      <c r="B324" s="29">
        <v>8008800</v>
      </c>
      <c r="C324" s="57">
        <v>69</v>
      </c>
      <c r="D324" t="s">
        <v>2121</v>
      </c>
      <c r="E324" s="38" t="s">
        <v>4075</v>
      </c>
      <c r="F324" s="23">
        <v>0</v>
      </c>
      <c r="I324">
        <v>1</v>
      </c>
      <c r="J324" s="19">
        <v>38383</v>
      </c>
      <c r="K324" s="19"/>
      <c r="L324" s="19" t="s">
        <v>4068</v>
      </c>
      <c r="M324">
        <v>1</v>
      </c>
      <c r="N324" s="17">
        <v>38383</v>
      </c>
      <c r="P324" t="s">
        <v>4187</v>
      </c>
      <c r="Q324">
        <v>1</v>
      </c>
      <c r="S324">
        <v>1</v>
      </c>
      <c r="Y324">
        <v>1</v>
      </c>
      <c r="AB324">
        <v>1</v>
      </c>
      <c r="AF324">
        <v>1</v>
      </c>
      <c r="AI324">
        <v>1</v>
      </c>
      <c r="AL324">
        <v>1</v>
      </c>
      <c r="AO324">
        <v>1</v>
      </c>
      <c r="AZ324">
        <v>1</v>
      </c>
      <c r="BF324">
        <v>1</v>
      </c>
      <c r="CA324">
        <v>1</v>
      </c>
      <c r="CT324">
        <v>1</v>
      </c>
      <c r="DF324">
        <v>1</v>
      </c>
      <c r="DG324">
        <v>1</v>
      </c>
      <c r="DH324">
        <v>1</v>
      </c>
      <c r="DK324">
        <v>1</v>
      </c>
      <c r="DP324">
        <v>1</v>
      </c>
      <c r="DU324">
        <v>1</v>
      </c>
      <c r="EV324">
        <v>1</v>
      </c>
      <c r="HJ324">
        <v>1</v>
      </c>
      <c r="HS324">
        <v>1</v>
      </c>
      <c r="IR324">
        <v>1</v>
      </c>
      <c r="JR324">
        <v>1</v>
      </c>
      <c r="LL324" s="6"/>
      <c r="LM324" s="4"/>
      <c r="LN324" s="4"/>
      <c r="LO324" s="4"/>
      <c r="LP324" s="4"/>
      <c r="LQ324" s="4"/>
      <c r="LR324" s="5"/>
      <c r="LS324" s="6"/>
      <c r="LT324" s="4"/>
      <c r="LU324" s="4"/>
      <c r="LV324" s="4"/>
      <c r="LW324" s="4"/>
      <c r="LX324" s="4"/>
      <c r="LY324" s="5"/>
      <c r="LZ324" s="6" t="s">
        <v>3146</v>
      </c>
      <c r="MA324" s="7" t="s">
        <v>3223</v>
      </c>
      <c r="MB324" s="7" t="s">
        <v>3224</v>
      </c>
      <c r="MC324" s="7" t="s">
        <v>3380</v>
      </c>
      <c r="MD324" s="8">
        <v>38367</v>
      </c>
      <c r="ME324" s="8">
        <v>38367</v>
      </c>
      <c r="MF324" s="8"/>
      <c r="MG324" s="5" t="s">
        <v>4069</v>
      </c>
      <c r="MH324" s="6"/>
      <c r="MI324" s="4"/>
      <c r="MJ324" s="4"/>
      <c r="MK324" s="4"/>
      <c r="ML324" s="4"/>
      <c r="MM324" s="4"/>
      <c r="MN324" s="5"/>
      <c r="MO324" s="6" t="s">
        <v>1574</v>
      </c>
      <c r="MP324" s="4" t="s">
        <v>3536</v>
      </c>
      <c r="MQ324" s="4" t="s">
        <v>3604</v>
      </c>
      <c r="MR324" s="7" t="s">
        <v>3380</v>
      </c>
      <c r="MS324" s="8">
        <v>37636</v>
      </c>
      <c r="MT324" s="8">
        <v>37636</v>
      </c>
      <c r="MU324" s="5" t="s">
        <v>4024</v>
      </c>
      <c r="MV324" s="6"/>
      <c r="MW324" s="4"/>
      <c r="MX324" s="4"/>
      <c r="MY324" s="4"/>
      <c r="MZ324" s="4"/>
      <c r="NA324" s="4"/>
      <c r="NB324" s="5"/>
      <c r="NC324" s="6" t="s">
        <v>2596</v>
      </c>
      <c r="ND324" s="4" t="s">
        <v>2597</v>
      </c>
      <c r="NE324" s="4" t="s">
        <v>3227</v>
      </c>
      <c r="NF324" s="7" t="s">
        <v>3617</v>
      </c>
      <c r="NG324" s="8">
        <v>38366</v>
      </c>
      <c r="NH324" s="8">
        <v>38375</v>
      </c>
      <c r="NI324" s="5" t="s">
        <v>4153</v>
      </c>
      <c r="NJ324" s="6" t="s">
        <v>3678</v>
      </c>
      <c r="NK324" s="4" t="s">
        <v>2593</v>
      </c>
      <c r="NL324" s="4" t="s">
        <v>3753</v>
      </c>
      <c r="NM324" s="7" t="s">
        <v>3607</v>
      </c>
      <c r="NN324" s="8">
        <v>38366</v>
      </c>
      <c r="NO324" s="8">
        <v>38383</v>
      </c>
      <c r="NP324" s="5" t="s">
        <v>4147</v>
      </c>
      <c r="NQ324" s="6"/>
      <c r="NR324" s="4"/>
      <c r="NS324" s="4"/>
      <c r="NT324" s="4"/>
      <c r="NU324" s="4"/>
      <c r="NV324" s="4"/>
      <c r="NW324" s="5"/>
      <c r="NX324" s="6"/>
      <c r="NY324" s="4"/>
      <c r="NZ324" s="4"/>
      <c r="OA324" s="4"/>
      <c r="OB324" s="4"/>
      <c r="OC324" s="4"/>
      <c r="OD324" s="5"/>
      <c r="OE324" s="6"/>
      <c r="OF324" s="4"/>
      <c r="OG324" s="4"/>
      <c r="OH324" s="4"/>
      <c r="OI324" s="4"/>
      <c r="OJ324" s="4"/>
      <c r="OK324" s="5"/>
      <c r="OL324" s="6"/>
      <c r="OM324" s="4"/>
      <c r="ON324" s="4"/>
      <c r="OO324" s="4"/>
      <c r="OP324" s="4"/>
      <c r="OQ324" s="4"/>
      <c r="OR324" s="5"/>
      <c r="OS324" s="6"/>
      <c r="OT324" s="4"/>
      <c r="OU324" s="4"/>
      <c r="OV324" s="4"/>
      <c r="OW324" s="4"/>
      <c r="OX324" s="4"/>
      <c r="OY324" s="5"/>
      <c r="OZ324" s="6"/>
      <c r="PA324" s="4"/>
      <c r="PB324" s="4"/>
      <c r="PC324" s="4"/>
      <c r="PD324" s="4"/>
      <c r="PE324" s="4"/>
      <c r="PF324" s="5"/>
      <c r="PG324" s="6"/>
      <c r="PH324" s="4"/>
      <c r="PI324" s="4"/>
      <c r="PJ324" s="4"/>
      <c r="PK324" s="4"/>
      <c r="PL324" s="4"/>
      <c r="PM324" s="5"/>
      <c r="PN324" s="6"/>
      <c r="PO324" s="4"/>
      <c r="PP324" s="4"/>
      <c r="PQ324" s="4"/>
      <c r="PR324" s="4"/>
      <c r="PS324" s="4"/>
      <c r="PT324" s="5"/>
      <c r="PU324" s="6" t="s">
        <v>1999</v>
      </c>
      <c r="PV324" s="4" t="s">
        <v>2000</v>
      </c>
      <c r="PW324" s="4" t="s">
        <v>3752</v>
      </c>
      <c r="PX324" s="7" t="s">
        <v>3380</v>
      </c>
      <c r="PY324" s="8">
        <v>38383</v>
      </c>
      <c r="PZ324" s="8">
        <v>38383</v>
      </c>
      <c r="QA324" s="5" t="s">
        <v>4154</v>
      </c>
      <c r="QB324" s="6" t="s">
        <v>1843</v>
      </c>
      <c r="QC324" s="7" t="s">
        <v>1703</v>
      </c>
      <c r="QD324" s="4" t="s">
        <v>3618</v>
      </c>
      <c r="QE324" s="7" t="s">
        <v>3380</v>
      </c>
      <c r="QF324" s="8">
        <v>38367</v>
      </c>
      <c r="QG324" s="8">
        <v>38367</v>
      </c>
      <c r="QH324" s="5" t="s">
        <v>4156</v>
      </c>
      <c r="QI324" s="6"/>
      <c r="QJ324" s="4"/>
      <c r="QK324" s="4"/>
      <c r="QL324" s="4"/>
      <c r="QM324" s="4"/>
      <c r="QN324" s="4"/>
      <c r="QO324" s="5"/>
      <c r="QP324" s="6"/>
      <c r="QQ324" s="4"/>
      <c r="QR324" s="4"/>
      <c r="QS324" s="4"/>
      <c r="QT324" s="4"/>
      <c r="QU324" s="4"/>
      <c r="QV324" s="5"/>
      <c r="QW324" s="6"/>
      <c r="QX324" s="4"/>
      <c r="QY324" s="4"/>
      <c r="QZ324" s="4"/>
      <c r="RA324" s="4"/>
      <c r="RB324" s="4"/>
      <c r="RC324" s="5"/>
      <c r="RD324" s="6"/>
      <c r="RE324" s="4"/>
      <c r="RF324" s="4"/>
      <c r="RG324" s="4"/>
      <c r="RH324" s="4"/>
      <c r="RI324" s="4"/>
      <c r="RJ324" s="5"/>
      <c r="RK324" s="6" t="s">
        <v>3539</v>
      </c>
      <c r="RL324" s="4" t="s">
        <v>3540</v>
      </c>
      <c r="RM324" s="4" t="s">
        <v>3750</v>
      </c>
      <c r="RN324" s="7" t="s">
        <v>3751</v>
      </c>
      <c r="RO324" s="8">
        <v>38376</v>
      </c>
      <c r="RP324" s="8">
        <v>38383</v>
      </c>
      <c r="RQ324" s="5" t="s">
        <v>4080</v>
      </c>
      <c r="RR324" s="6"/>
      <c r="RS324" s="4"/>
      <c r="RT324" s="4"/>
      <c r="RU324" s="4"/>
      <c r="RV324" s="4"/>
      <c r="RW324" s="4"/>
      <c r="RX324" s="5"/>
      <c r="RY324" s="6" t="s">
        <v>3628</v>
      </c>
      <c r="RZ324" s="4" t="s">
        <v>3774</v>
      </c>
      <c r="SA324" s="4" t="s">
        <v>3374</v>
      </c>
      <c r="SB324" s="7" t="s">
        <v>3226</v>
      </c>
      <c r="SC324" s="8">
        <v>38367</v>
      </c>
      <c r="SD324" s="8">
        <v>38383</v>
      </c>
      <c r="SE324" s="5" t="s">
        <v>4081</v>
      </c>
      <c r="SF324" s="6"/>
      <c r="SG324" s="4"/>
      <c r="SH324" s="4"/>
      <c r="SI324" s="4"/>
      <c r="SJ324" s="4"/>
      <c r="SK324" s="4"/>
      <c r="SL324" s="5"/>
      <c r="SM324" s="6"/>
      <c r="SN324" s="4"/>
      <c r="SO324" s="4"/>
      <c r="SP324" s="4"/>
      <c r="SQ324" s="4"/>
      <c r="SR324" s="4"/>
      <c r="SS324" s="5"/>
      <c r="ST324" s="6"/>
      <c r="SU324" s="4"/>
      <c r="SV324" s="4"/>
      <c r="SW324" s="4"/>
      <c r="SX324" s="4"/>
      <c r="SY324" s="4"/>
      <c r="SZ324" s="5"/>
      <c r="TA324" s="6"/>
      <c r="TB324" s="4"/>
      <c r="TC324" s="4"/>
      <c r="TD324" s="4"/>
      <c r="TE324" s="4"/>
      <c r="TF324" s="4"/>
      <c r="TG324" s="5"/>
      <c r="TH324" s="6"/>
      <c r="TI324" s="4"/>
      <c r="TJ324" s="4"/>
      <c r="TK324" s="4"/>
      <c r="TL324" s="4"/>
      <c r="TM324" s="4"/>
      <c r="TN324" s="5"/>
      <c r="TO324" s="6"/>
      <c r="TP324" s="4"/>
      <c r="TQ324" s="4"/>
      <c r="TR324" s="4"/>
      <c r="TS324" s="4"/>
      <c r="TT324" s="4"/>
      <c r="TU324" s="5"/>
      <c r="TV324" s="6"/>
      <c r="TW324" s="4"/>
      <c r="TX324" s="4"/>
      <c r="TY324" s="4"/>
      <c r="TZ324" s="4"/>
      <c r="UA324" s="4"/>
      <c r="UB324" s="5"/>
      <c r="UC324" s="6"/>
      <c r="UD324" s="4"/>
      <c r="UE324" s="4"/>
      <c r="UF324" s="4"/>
      <c r="UG324" s="4"/>
      <c r="UH324" s="4"/>
      <c r="UI324" s="5"/>
      <c r="UJ324" s="6"/>
      <c r="UK324" s="4"/>
      <c r="UL324" s="4"/>
      <c r="UM324" s="4"/>
      <c r="UN324" s="4"/>
      <c r="UO324" s="4"/>
      <c r="UP324" s="5"/>
      <c r="UQ324" s="6"/>
      <c r="UR324" s="4"/>
      <c r="US324" s="4"/>
      <c r="UT324" s="4"/>
      <c r="UU324" s="4"/>
      <c r="UV324" s="4"/>
      <c r="UW324" s="5"/>
      <c r="UX324" s="6" t="s">
        <v>3378</v>
      </c>
      <c r="UY324" s="4" t="s">
        <v>3377</v>
      </c>
      <c r="UZ324" s="4" t="s">
        <v>3379</v>
      </c>
      <c r="VA324" s="7" t="s">
        <v>3535</v>
      </c>
      <c r="VB324" s="8">
        <v>38377</v>
      </c>
      <c r="VC324" s="8">
        <v>38383</v>
      </c>
      <c r="VD324" s="5" t="s">
        <v>4082</v>
      </c>
      <c r="VE324" s="6"/>
      <c r="VF324" s="4"/>
      <c r="VG324" s="4"/>
      <c r="VH324" s="4"/>
      <c r="VI324" s="4"/>
      <c r="VJ324" s="4"/>
      <c r="VK324" s="5"/>
      <c r="VL324" s="6"/>
      <c r="VM324" s="4"/>
      <c r="VN324" s="4"/>
      <c r="VO324" s="4"/>
      <c r="VP324" s="4"/>
      <c r="VQ324" s="4"/>
      <c r="VR324" s="5"/>
      <c r="VS324" s="6"/>
      <c r="VT324" s="4"/>
      <c r="VU324" s="4"/>
      <c r="VV324" s="4"/>
      <c r="VW324" s="4"/>
      <c r="VX324" s="4"/>
      <c r="VY324" s="5"/>
      <c r="VZ324" s="6"/>
      <c r="WA324" s="4"/>
      <c r="WB324" s="4"/>
      <c r="WC324" s="4"/>
      <c r="WD324" s="4"/>
      <c r="WE324" s="4"/>
      <c r="WF324" s="5"/>
      <c r="WG324" s="6"/>
      <c r="WH324" s="4"/>
      <c r="WI324" s="4"/>
      <c r="WJ324" s="4"/>
      <c r="WK324" s="4"/>
      <c r="WL324" s="4"/>
      <c r="WM324" s="5"/>
      <c r="WN324" s="6"/>
      <c r="WO324" s="4"/>
      <c r="WP324" s="4"/>
      <c r="WQ324" s="4"/>
      <c r="WR324" s="4"/>
      <c r="WS324" s="4"/>
      <c r="WT324" s="5"/>
      <c r="WU324" s="6"/>
      <c r="WV324" s="4"/>
      <c r="WW324" s="4"/>
      <c r="WX324" s="4"/>
      <c r="WY324" s="4"/>
      <c r="WZ324" s="4"/>
      <c r="XA324" s="5"/>
      <c r="XB324" s="6"/>
      <c r="XC324" s="4"/>
      <c r="XD324" s="4"/>
      <c r="XE324" s="4"/>
      <c r="XF324" s="4"/>
      <c r="XG324" s="4"/>
      <c r="XH324" s="5"/>
      <c r="XI324" s="6" t="s">
        <v>3381</v>
      </c>
      <c r="XJ324" s="4" t="s">
        <v>3236</v>
      </c>
      <c r="XK324" s="4" t="s">
        <v>3074</v>
      </c>
      <c r="XL324" s="7" t="s">
        <v>3226</v>
      </c>
      <c r="XM324" s="8">
        <v>38367</v>
      </c>
      <c r="XN324" s="8">
        <v>38383</v>
      </c>
      <c r="XO324" s="5" t="s">
        <v>4102</v>
      </c>
      <c r="XP324" s="6"/>
      <c r="XQ324" s="4"/>
      <c r="XR324" s="4"/>
      <c r="XS324" s="4"/>
      <c r="XT324" s="4"/>
      <c r="XU324" s="4"/>
      <c r="XV324" s="5"/>
      <c r="XW324" s="6"/>
      <c r="XX324" s="4"/>
      <c r="XY324" s="4"/>
      <c r="XZ324" s="4"/>
      <c r="YA324" s="4"/>
      <c r="YB324" s="4"/>
      <c r="YC324" s="5"/>
      <c r="YD324" s="6"/>
      <c r="YE324" s="4"/>
      <c r="YF324" s="4"/>
      <c r="YG324" s="4"/>
      <c r="YH324" s="4"/>
      <c r="YI324" s="4"/>
      <c r="YJ324" s="5"/>
      <c r="YK324" s="6" t="s">
        <v>3600</v>
      </c>
      <c r="YL324" s="4" t="s">
        <v>2580</v>
      </c>
      <c r="YM324" s="4" t="s">
        <v>3601</v>
      </c>
      <c r="YN324" s="7" t="s">
        <v>3602</v>
      </c>
      <c r="YO324" s="8">
        <v>38371</v>
      </c>
      <c r="YP324" s="8">
        <v>38374</v>
      </c>
      <c r="YQ324" s="5" t="s">
        <v>4103</v>
      </c>
      <c r="YR324" s="6"/>
      <c r="YS324" s="4"/>
      <c r="YT324" s="4"/>
      <c r="YU324" s="4"/>
      <c r="YV324" s="4"/>
      <c r="YW324" s="4"/>
      <c r="YX324" s="5"/>
      <c r="YY324" s="6"/>
      <c r="YZ324" s="4"/>
      <c r="ZA324" s="4"/>
      <c r="ZB324" s="4"/>
      <c r="ZC324" s="4"/>
      <c r="ZD324" s="4"/>
      <c r="ZE324" s="5"/>
      <c r="ZF324" s="6"/>
      <c r="ZG324" s="4"/>
      <c r="ZH324" s="4"/>
      <c r="ZI324" s="4"/>
      <c r="ZJ324" s="4"/>
      <c r="ZK324" s="4"/>
      <c r="ZL324" s="5"/>
      <c r="ZM324" s="6"/>
      <c r="ZN324" s="4"/>
      <c r="ZO324" s="4"/>
      <c r="ZP324" s="4"/>
      <c r="ZQ324" s="4"/>
      <c r="ZR324" s="4"/>
      <c r="ZS324" s="5"/>
      <c r="ZT324" s="6"/>
      <c r="ZU324" s="4"/>
      <c r="ZV324" s="4"/>
      <c r="ZW324" s="4"/>
      <c r="ZX324" s="4"/>
      <c r="ZY324" s="4"/>
      <c r="ZZ324" s="5"/>
      <c r="AAA324" s="6"/>
      <c r="AAB324" s="4"/>
      <c r="AAC324" s="4"/>
      <c r="AAD324" s="4"/>
      <c r="AAE324" s="4"/>
      <c r="AAF324" s="4"/>
      <c r="AAG324" s="5"/>
      <c r="AAH324" s="6" t="s">
        <v>3137</v>
      </c>
      <c r="AAI324" s="4" t="s">
        <v>3138</v>
      </c>
      <c r="AAJ324" s="4" t="s">
        <v>3709</v>
      </c>
      <c r="AAK324" s="7" t="s">
        <v>3749</v>
      </c>
      <c r="AAL324" s="8">
        <v>38368</v>
      </c>
      <c r="AAM324" s="8">
        <v>38383</v>
      </c>
      <c r="AAN324" s="5" t="s">
        <v>4105</v>
      </c>
      <c r="AAO324" s="6"/>
      <c r="AAP324" s="4"/>
      <c r="AAQ324" s="4"/>
      <c r="AAR324" s="4"/>
      <c r="AAS324" s="4"/>
      <c r="AAT324" s="4"/>
      <c r="AAU324" s="5"/>
      <c r="AAV324" s="6"/>
      <c r="AAW324" s="4"/>
      <c r="AAX324" s="4"/>
      <c r="AAY324" s="4"/>
      <c r="AAZ324" s="4"/>
      <c r="ABA324" s="4"/>
      <c r="ABB324" s="5"/>
      <c r="ABC324" s="6"/>
      <c r="ABD324" s="4"/>
      <c r="ABE324" s="4"/>
      <c r="ABF324" s="4"/>
      <c r="ABG324" s="4"/>
      <c r="ABH324" s="4"/>
      <c r="ABI324" s="5"/>
      <c r="ABJ324" s="6"/>
      <c r="ABK324" s="4"/>
      <c r="ABL324" s="4"/>
      <c r="ABM324" s="4"/>
      <c r="ABN324" s="4"/>
      <c r="ABO324" s="4"/>
      <c r="ABP324" s="5"/>
      <c r="ABQ324" s="6" t="s">
        <v>2697</v>
      </c>
      <c r="ABR324" s="4" t="s">
        <v>2662</v>
      </c>
      <c r="ABS324" s="4" t="s">
        <v>3238</v>
      </c>
      <c r="ABT324" s="7" t="s">
        <v>3380</v>
      </c>
      <c r="ABU324" s="8">
        <v>38383</v>
      </c>
      <c r="ABV324" s="8">
        <v>38383</v>
      </c>
      <c r="ABW324" s="5" t="s">
        <v>3850</v>
      </c>
      <c r="ABX324" s="6"/>
      <c r="ABY324" s="4"/>
      <c r="ABZ324" s="4"/>
      <c r="ACA324" s="4"/>
      <c r="ACB324" s="4"/>
      <c r="ACC324" s="4"/>
      <c r="ACD324" s="5"/>
      <c r="ACE324" s="6"/>
      <c r="ACF324" s="4"/>
      <c r="ACG324" s="4"/>
      <c r="ACH324" s="4"/>
      <c r="ACI324" s="4"/>
      <c r="ACJ324" s="4"/>
      <c r="ACK324" s="5"/>
      <c r="ACL324" s="6"/>
      <c r="ACM324" s="4"/>
      <c r="ACN324" s="4"/>
      <c r="ACO324" s="4"/>
      <c r="ACP324" s="4"/>
      <c r="ACQ324" s="4"/>
      <c r="ACR324" s="5"/>
      <c r="ACS324" s="6"/>
      <c r="ACT324" s="4"/>
      <c r="ACU324" s="4"/>
      <c r="ACV324" s="4"/>
      <c r="ACW324" s="4"/>
      <c r="ACX324" s="4"/>
      <c r="ACY324" s="5"/>
      <c r="ADA324" t="s">
        <v>3987</v>
      </c>
      <c r="ADD324" t="s">
        <v>3986</v>
      </c>
      <c r="ADG324" t="s">
        <v>3990</v>
      </c>
      <c r="ADM324" t="s">
        <v>4102</v>
      </c>
      <c r="ADU324" t="s">
        <v>3989</v>
      </c>
      <c r="ADV324" t="s">
        <v>3988</v>
      </c>
      <c r="ADY324" t="s">
        <v>4106</v>
      </c>
    </row>
    <row r="325" spans="2:805" x14ac:dyDescent="0.25">
      <c r="J325" s="12"/>
      <c r="K325" s="12"/>
      <c r="L325" s="12"/>
      <c r="LL325" s="6"/>
      <c r="LM325" s="4"/>
      <c r="LN325" s="4"/>
      <c r="LO325" s="4"/>
      <c r="LP325" s="4"/>
      <c r="LQ325" s="4"/>
      <c r="LR325" s="5"/>
      <c r="LS325" s="6"/>
      <c r="LT325" s="4"/>
      <c r="LU325" s="4"/>
      <c r="LV325" s="4"/>
      <c r="LW325" s="4"/>
      <c r="LX325" s="4"/>
      <c r="LY325" s="5"/>
      <c r="LZ325" s="6" t="s">
        <v>3711</v>
      </c>
      <c r="MA325" s="7" t="s">
        <v>3570</v>
      </c>
      <c r="MB325" s="7" t="s">
        <v>3426</v>
      </c>
      <c r="MC325" s="7" t="s">
        <v>3602</v>
      </c>
      <c r="MD325" s="8">
        <v>38379</v>
      </c>
      <c r="ME325" s="8">
        <v>38382</v>
      </c>
      <c r="MF325" s="8" t="s">
        <v>3787</v>
      </c>
      <c r="MG325" s="5" t="s">
        <v>4070</v>
      </c>
      <c r="MH325" s="6"/>
      <c r="MI325" s="4"/>
      <c r="MJ325" s="4"/>
      <c r="MK325" s="4"/>
      <c r="ML325" s="4"/>
      <c r="MM325" s="4"/>
      <c r="MN325" s="5"/>
      <c r="MO325" s="6"/>
      <c r="MP325" s="4"/>
      <c r="MQ325" s="4"/>
      <c r="MR325" s="4"/>
      <c r="MS325" s="4"/>
      <c r="MT325" s="4"/>
      <c r="MU325" s="5"/>
      <c r="MV325" s="6"/>
      <c r="MW325" s="4"/>
      <c r="MX325" s="4"/>
      <c r="MY325" s="4"/>
      <c r="MZ325" s="4"/>
      <c r="NA325" s="4"/>
      <c r="NB325" s="5"/>
      <c r="NC325" s="6"/>
      <c r="ND325" s="4"/>
      <c r="NE325" s="4"/>
      <c r="NF325" s="7"/>
      <c r="NG325" s="8"/>
      <c r="NH325" s="8"/>
      <c r="NI325" s="5"/>
      <c r="NJ325" s="6" t="s">
        <v>2644</v>
      </c>
      <c r="NK325" s="4" t="s">
        <v>3247</v>
      </c>
      <c r="NL325" s="4" t="s">
        <v>3426</v>
      </c>
      <c r="NM325" s="7" t="s">
        <v>3222</v>
      </c>
      <c r="NN325" s="8">
        <v>34700</v>
      </c>
      <c r="NO325" s="8">
        <v>38366</v>
      </c>
      <c r="NP325" s="5" t="s">
        <v>4137</v>
      </c>
      <c r="NQ325" s="6"/>
      <c r="NR325" s="4"/>
      <c r="NS325" s="4"/>
      <c r="NT325" s="4"/>
      <c r="NU325" s="4"/>
      <c r="NV325" s="4"/>
      <c r="NW325" s="5"/>
      <c r="NX325" s="6"/>
      <c r="NY325" s="4"/>
      <c r="NZ325" s="4"/>
      <c r="OA325" s="4"/>
      <c r="OB325" s="4"/>
      <c r="OC325" s="4"/>
      <c r="OD325" s="5"/>
      <c r="OE325" s="6"/>
      <c r="OF325" s="4"/>
      <c r="OG325" s="4"/>
      <c r="OH325" s="4"/>
      <c r="OI325" s="4"/>
      <c r="OJ325" s="4"/>
      <c r="OK325" s="5"/>
      <c r="OL325" s="6"/>
      <c r="OM325" s="4"/>
      <c r="ON325" s="4"/>
      <c r="OO325" s="4"/>
      <c r="OP325" s="4"/>
      <c r="OQ325" s="4"/>
      <c r="OR325" s="5"/>
      <c r="OS325" s="6"/>
      <c r="OT325" s="4"/>
      <c r="OU325" s="4"/>
      <c r="OV325" s="4"/>
      <c r="OW325" s="4"/>
      <c r="OX325" s="4"/>
      <c r="OY325" s="5"/>
      <c r="OZ325" s="6"/>
      <c r="PA325" s="4"/>
      <c r="PB325" s="4"/>
      <c r="PC325" s="4"/>
      <c r="PD325" s="4"/>
      <c r="PE325" s="4"/>
      <c r="PF325" s="5"/>
      <c r="PG325" s="6"/>
      <c r="PH325" s="4"/>
      <c r="PI325" s="4"/>
      <c r="PJ325" s="4"/>
      <c r="PK325" s="4"/>
      <c r="PL325" s="4"/>
      <c r="PM325" s="5"/>
      <c r="PN325" s="6"/>
      <c r="PO325" s="4"/>
      <c r="PP325" s="4"/>
      <c r="PQ325" s="4"/>
      <c r="PR325" s="4"/>
      <c r="PS325" s="4"/>
      <c r="PT325" s="5"/>
      <c r="PU325" t="s">
        <v>3150</v>
      </c>
      <c r="PV325" t="s">
        <v>3149</v>
      </c>
      <c r="PW325" s="4" t="s">
        <v>3752</v>
      </c>
      <c r="PX325" s="7" t="s">
        <v>3380</v>
      </c>
      <c r="PY325" s="8">
        <v>38383</v>
      </c>
      <c r="PZ325" s="8">
        <v>38383</v>
      </c>
      <c r="QA325" s="5" t="s">
        <v>4036</v>
      </c>
      <c r="QB325" s="6" t="s">
        <v>3423</v>
      </c>
      <c r="QC325" s="4" t="s">
        <v>3454</v>
      </c>
      <c r="QD325" s="4" t="s">
        <v>3424</v>
      </c>
      <c r="QE325" s="7"/>
      <c r="QF325" s="8">
        <v>38367</v>
      </c>
      <c r="QG325" s="8"/>
      <c r="QH325" s="5" t="s">
        <v>4155</v>
      </c>
      <c r="QI325" s="6"/>
      <c r="QJ325" s="4"/>
      <c r="QK325" s="4"/>
      <c r="QL325" s="4"/>
      <c r="QM325" s="4"/>
      <c r="QN325" s="4"/>
      <c r="QO325" s="5"/>
      <c r="QP325" s="6"/>
      <c r="QQ325" s="4"/>
      <c r="QR325" s="4"/>
      <c r="QS325" s="4"/>
      <c r="QT325" s="4"/>
      <c r="QU325" s="4"/>
      <c r="QV325" s="5"/>
      <c r="QW325" s="6"/>
      <c r="QX325" s="4"/>
      <c r="QY325" s="4"/>
      <c r="QZ325" s="4"/>
      <c r="RA325" s="4"/>
      <c r="RB325" s="4"/>
      <c r="RC325" s="5"/>
      <c r="RD325" s="6"/>
      <c r="RE325" s="4"/>
      <c r="RF325" s="4"/>
      <c r="RG325" s="4"/>
      <c r="RH325" s="4"/>
      <c r="RI325" s="4"/>
      <c r="RJ325" s="5"/>
      <c r="RK325" s="6"/>
      <c r="RL325" s="4"/>
      <c r="RM325" s="4"/>
      <c r="RN325" s="4"/>
      <c r="RO325" s="4"/>
      <c r="RP325" s="4"/>
      <c r="RQ325" s="5"/>
      <c r="RR325" s="6"/>
      <c r="RS325" s="4"/>
      <c r="RT325" s="4"/>
      <c r="RU325" s="4"/>
      <c r="RV325" s="4"/>
      <c r="RW325" s="4"/>
      <c r="RX325" s="5"/>
      <c r="RY325" s="6" t="s">
        <v>3541</v>
      </c>
      <c r="RZ325" s="4" t="s">
        <v>3677</v>
      </c>
      <c r="SA325" s="4" t="s">
        <v>3608</v>
      </c>
      <c r="SB325" s="7" t="s">
        <v>3754</v>
      </c>
      <c r="SC325" s="8">
        <v>38367</v>
      </c>
      <c r="SD325" s="8">
        <v>38380</v>
      </c>
      <c r="SE325" s="5" t="s">
        <v>4081</v>
      </c>
      <c r="SF325" s="6"/>
      <c r="SG325" s="4"/>
      <c r="SH325" s="4"/>
      <c r="SI325" s="4"/>
      <c r="SJ325" s="4"/>
      <c r="SK325" s="4"/>
      <c r="SL325" s="5"/>
      <c r="SM325" s="6"/>
      <c r="SN325" s="4"/>
      <c r="SO325" s="4"/>
      <c r="SP325" s="4"/>
      <c r="SQ325" s="4"/>
      <c r="SR325" s="4"/>
      <c r="SS325" s="5"/>
      <c r="ST325" s="6"/>
      <c r="SU325" s="4"/>
      <c r="SV325" s="4"/>
      <c r="SW325" s="4"/>
      <c r="SX325" s="4"/>
      <c r="SY325" s="4"/>
      <c r="SZ325" s="5"/>
      <c r="TA325" s="6"/>
      <c r="TB325" s="4"/>
      <c r="TC325" s="4"/>
      <c r="TD325" s="4"/>
      <c r="TE325" s="4"/>
      <c r="TF325" s="4"/>
      <c r="TG325" s="5"/>
      <c r="TH325" s="6"/>
      <c r="TI325" s="4"/>
      <c r="TJ325" s="4"/>
      <c r="TK325" s="4"/>
      <c r="TL325" s="4"/>
      <c r="TM325" s="4"/>
      <c r="TN325" s="5"/>
      <c r="TO325" s="6"/>
      <c r="TP325" s="4"/>
      <c r="TQ325" s="4"/>
      <c r="TR325" s="4"/>
      <c r="TS325" s="4"/>
      <c r="TT325" s="4"/>
      <c r="TU325" s="5"/>
      <c r="TV325" s="6"/>
      <c r="TW325" s="4"/>
      <c r="TX325" s="4"/>
      <c r="TY325" s="4"/>
      <c r="TZ325" s="4"/>
      <c r="UA325" s="4"/>
      <c r="UB325" s="5"/>
      <c r="UC325" s="6"/>
      <c r="UD325" s="4"/>
      <c r="UE325" s="4"/>
      <c r="UF325" s="4"/>
      <c r="UG325" s="4"/>
      <c r="UH325" s="4"/>
      <c r="UI325" s="5"/>
      <c r="UJ325" s="6"/>
      <c r="UK325" s="4"/>
      <c r="UL325" s="4"/>
      <c r="UM325" s="4"/>
      <c r="UN325" s="4"/>
      <c r="UO325" s="4"/>
      <c r="UP325" s="5"/>
      <c r="UQ325" s="6"/>
      <c r="UR325" s="4"/>
      <c r="US325" s="4"/>
      <c r="UT325" s="4"/>
      <c r="UU325" s="4"/>
      <c r="UV325" s="4"/>
      <c r="UW325" s="5"/>
      <c r="UX325" s="6" t="s">
        <v>3606</v>
      </c>
      <c r="UY325" s="4" t="s">
        <v>2083</v>
      </c>
      <c r="UZ325" s="4" t="s">
        <v>3605</v>
      </c>
      <c r="VA325" s="7" t="s">
        <v>3749</v>
      </c>
      <c r="VB325" s="8">
        <v>38368</v>
      </c>
      <c r="VC325" s="8">
        <v>38383</v>
      </c>
      <c r="VD325" s="5" t="s">
        <v>4083</v>
      </c>
      <c r="VE325" s="6"/>
      <c r="VF325" s="4"/>
      <c r="VG325" s="4"/>
      <c r="VH325" s="4"/>
      <c r="VI325" s="4"/>
      <c r="VJ325" s="4"/>
      <c r="VK325" s="5"/>
      <c r="VL325" s="6"/>
      <c r="VM325" s="4"/>
      <c r="VN325" s="4"/>
      <c r="VO325" s="4"/>
      <c r="VP325" s="4"/>
      <c r="VQ325" s="4"/>
      <c r="VR325" s="5"/>
      <c r="VS325" s="6"/>
      <c r="VT325" s="4"/>
      <c r="VU325" s="4"/>
      <c r="VV325" s="4"/>
      <c r="VW325" s="4"/>
      <c r="VX325" s="4"/>
      <c r="VY325" s="5"/>
      <c r="VZ325" s="6"/>
      <c r="WA325" s="4"/>
      <c r="WB325" s="4"/>
      <c r="WC325" s="4"/>
      <c r="WD325" s="4"/>
      <c r="WE325" s="4"/>
      <c r="WF325" s="5"/>
      <c r="WG325" s="6"/>
      <c r="WH325" s="4"/>
      <c r="WI325" s="4"/>
      <c r="WJ325" s="4"/>
      <c r="WK325" s="4"/>
      <c r="WL325" s="4"/>
      <c r="WM325" s="5"/>
      <c r="WN325" s="6"/>
      <c r="WO325" s="4"/>
      <c r="WP325" s="4"/>
      <c r="WQ325" s="4"/>
      <c r="WR325" s="4"/>
      <c r="WS325" s="4"/>
      <c r="WT325" s="5"/>
      <c r="WU325" s="6"/>
      <c r="WV325" s="4"/>
      <c r="WW325" s="4"/>
      <c r="WX325" s="4"/>
      <c r="WY325" s="4"/>
      <c r="WZ325" s="4"/>
      <c r="XA325" s="5"/>
      <c r="XB325" s="6"/>
      <c r="XC325" s="4"/>
      <c r="XD325" s="4"/>
      <c r="XE325" s="4"/>
      <c r="XF325" s="4"/>
      <c r="XG325" s="4"/>
      <c r="XH325" s="5"/>
      <c r="XI325" s="6" t="s">
        <v>3147</v>
      </c>
      <c r="XJ325" s="4" t="s">
        <v>3148</v>
      </c>
      <c r="XK325" s="4" t="s">
        <v>3072</v>
      </c>
      <c r="XL325" s="7" t="s">
        <v>3073</v>
      </c>
      <c r="XM325" s="8">
        <v>38366</v>
      </c>
      <c r="XN325" s="8">
        <v>38367</v>
      </c>
      <c r="XO325" s="5" t="s">
        <v>4102</v>
      </c>
      <c r="XP325" s="6"/>
      <c r="XQ325" s="4"/>
      <c r="XR325" s="4"/>
      <c r="XS325" s="4"/>
      <c r="XT325" s="4"/>
      <c r="XU325" s="4"/>
      <c r="XV325" s="5"/>
      <c r="XW325" s="6"/>
      <c r="XX325" s="4"/>
      <c r="XY325" s="4"/>
      <c r="XZ325" s="4"/>
      <c r="YA325" s="4"/>
      <c r="YB325" s="4"/>
      <c r="YC325" s="5"/>
      <c r="YD325" s="6"/>
      <c r="YE325" s="4"/>
      <c r="YF325" s="4"/>
      <c r="YG325" s="4"/>
      <c r="YH325" s="4"/>
      <c r="YI325" s="4"/>
      <c r="YJ325" s="5"/>
      <c r="YK325" s="6" t="s">
        <v>3600</v>
      </c>
      <c r="YL325" s="4" t="s">
        <v>2580</v>
      </c>
      <c r="YM325" s="4" t="s">
        <v>3603</v>
      </c>
      <c r="YN325" s="7" t="s">
        <v>3602</v>
      </c>
      <c r="YO325" s="8">
        <v>38379</v>
      </c>
      <c r="YP325" s="8">
        <v>38382</v>
      </c>
      <c r="YQ325" s="5" t="s">
        <v>4104</v>
      </c>
      <c r="YR325" s="6"/>
      <c r="YS325" s="4"/>
      <c r="YT325" s="4"/>
      <c r="YU325" s="4"/>
      <c r="YV325" s="4"/>
      <c r="YW325" s="4"/>
      <c r="YX325" s="5"/>
      <c r="YY325" s="6"/>
      <c r="YZ325" s="4"/>
      <c r="ZA325" s="4"/>
      <c r="ZB325" s="4"/>
      <c r="ZC325" s="4"/>
      <c r="ZD325" s="4"/>
      <c r="ZE325" s="5"/>
      <c r="ZF325" s="6"/>
      <c r="ZG325" s="4"/>
      <c r="ZH325" s="4"/>
      <c r="ZI325" s="4"/>
      <c r="ZJ325" s="4"/>
      <c r="ZK325" s="4"/>
      <c r="ZL325" s="5"/>
      <c r="ZM325" s="6"/>
      <c r="ZN325" s="4"/>
      <c r="ZO325" s="4"/>
      <c r="ZP325" s="4"/>
      <c r="ZQ325" s="4"/>
      <c r="ZR325" s="4"/>
      <c r="ZS325" s="5"/>
      <c r="ZT325" s="6"/>
      <c r="ZU325" s="4"/>
      <c r="ZV325" s="4"/>
      <c r="ZW325" s="4"/>
      <c r="ZX325" s="4"/>
      <c r="ZY325" s="4"/>
      <c r="ZZ325" s="5"/>
      <c r="AAA325" s="6"/>
      <c r="AAB325" s="4"/>
      <c r="AAC325" s="4"/>
      <c r="AAD325" s="4"/>
      <c r="AAE325" s="4"/>
      <c r="AAF325" s="4"/>
      <c r="AAG325" s="5"/>
      <c r="AAH325" s="6"/>
      <c r="AAI325" s="4"/>
      <c r="AAJ325" s="4"/>
      <c r="AAK325" s="4"/>
      <c r="AAL325" s="4"/>
      <c r="AAM325" s="4"/>
      <c r="AAN325" s="5"/>
      <c r="AAO325" s="6"/>
      <c r="AAP325" s="4"/>
      <c r="AAQ325" s="4"/>
      <c r="AAR325" s="4"/>
      <c r="AAS325" s="4"/>
      <c r="AAT325" s="4"/>
      <c r="AAU325" s="5"/>
      <c r="AAV325" s="6"/>
      <c r="AAW325" s="4"/>
      <c r="AAX325" s="4"/>
      <c r="AAY325" s="4"/>
      <c r="AAZ325" s="4"/>
      <c r="ABA325" s="4"/>
      <c r="ABB325" s="5"/>
      <c r="ABC325" s="6"/>
      <c r="ABD325" s="4"/>
      <c r="ABE325" s="4"/>
      <c r="ABF325" s="4"/>
      <c r="ABG325" s="4"/>
      <c r="ABH325" s="4"/>
      <c r="ABI325" s="5"/>
      <c r="ABJ325" s="6"/>
      <c r="ABK325" s="4"/>
      <c r="ABL325" s="4"/>
      <c r="ABM325" s="4"/>
      <c r="ABN325" s="4"/>
      <c r="ABO325" s="4"/>
      <c r="ABP325" s="5"/>
      <c r="ABQ325" s="6"/>
      <c r="ABR325" s="4"/>
      <c r="ABS325" s="4"/>
      <c r="ABT325" s="7"/>
      <c r="ABU325" s="8"/>
      <c r="ABV325" s="8"/>
      <c r="ABW325" s="5"/>
      <c r="ABX325" s="6"/>
      <c r="ABY325" s="4"/>
      <c r="ABZ325" s="4"/>
      <c r="ACA325" s="4"/>
      <c r="ACB325" s="4"/>
      <c r="ACC325" s="4"/>
      <c r="ACD325" s="5"/>
      <c r="ACE325" s="6"/>
      <c r="ACF325" s="4"/>
      <c r="ACG325" s="4"/>
      <c r="ACH325" s="4"/>
      <c r="ACI325" s="4"/>
      <c r="ACJ325" s="4"/>
      <c r="ACK325" s="5"/>
      <c r="ACL325" s="6"/>
      <c r="ACM325" s="4"/>
      <c r="ACN325" s="4"/>
      <c r="ACO325" s="4"/>
      <c r="ACP325" s="4"/>
      <c r="ACQ325" s="4"/>
      <c r="ACR325" s="5"/>
      <c r="ACS325" s="6"/>
      <c r="ACT325" s="4"/>
      <c r="ACU325" s="4"/>
      <c r="ACV325" s="4"/>
      <c r="ACW325" s="4"/>
      <c r="ACX325" s="4"/>
      <c r="ACY325" s="5"/>
    </row>
    <row r="326" spans="2:805" x14ac:dyDescent="0.25">
      <c r="J326" s="12"/>
      <c r="K326" s="12"/>
      <c r="L326" s="12"/>
      <c r="LL326" s="6"/>
      <c r="LM326" s="4"/>
      <c r="LN326" s="4"/>
      <c r="LO326" s="4"/>
      <c r="LP326" s="4"/>
      <c r="LQ326" s="4"/>
      <c r="LR326" s="5"/>
      <c r="LS326" s="6"/>
      <c r="LT326" s="4"/>
      <c r="LU326" s="4"/>
      <c r="LV326" s="4"/>
      <c r="LW326" s="4"/>
      <c r="LX326" s="4"/>
      <c r="LY326" s="5"/>
      <c r="LZ326" s="6" t="s">
        <v>3711</v>
      </c>
      <c r="MA326" s="7" t="s">
        <v>3570</v>
      </c>
      <c r="MB326" s="7" t="s">
        <v>3426</v>
      </c>
      <c r="MC326" s="7" t="s">
        <v>3571</v>
      </c>
      <c r="MD326" s="8">
        <v>38371</v>
      </c>
      <c r="ME326" s="8">
        <v>38372</v>
      </c>
      <c r="MF326" s="8" t="s">
        <v>3787</v>
      </c>
      <c r="MG326" s="5" t="s">
        <v>4071</v>
      </c>
      <c r="MH326" s="6"/>
      <c r="MI326" s="4"/>
      <c r="MJ326" s="4"/>
      <c r="MK326" s="4"/>
      <c r="ML326" s="4"/>
      <c r="MM326" s="4"/>
      <c r="MN326" s="5"/>
      <c r="MO326" s="6"/>
      <c r="MP326" s="4"/>
      <c r="MQ326" s="4"/>
      <c r="MR326" s="4"/>
      <c r="MS326" s="4"/>
      <c r="MT326" s="4"/>
      <c r="MU326" s="5"/>
      <c r="MV326" s="6"/>
      <c r="MW326" s="4"/>
      <c r="MX326" s="4"/>
      <c r="MY326" s="4"/>
      <c r="MZ326" s="4"/>
      <c r="NA326" s="4"/>
      <c r="NB326" s="5"/>
      <c r="NC326" s="6"/>
      <c r="ND326" s="4"/>
      <c r="NE326" s="4"/>
      <c r="NF326" s="7"/>
      <c r="NG326" s="8"/>
      <c r="NH326" s="8"/>
      <c r="NI326" s="5"/>
      <c r="NJ326" s="6"/>
      <c r="NK326" s="4"/>
      <c r="NL326" s="4"/>
      <c r="NM326" s="4"/>
      <c r="NN326" s="4"/>
      <c r="NO326" s="4"/>
      <c r="NP326" s="5"/>
      <c r="NQ326" s="6"/>
      <c r="NR326" s="4"/>
      <c r="NS326" s="4"/>
      <c r="NT326" s="4"/>
      <c r="NU326" s="4"/>
      <c r="NV326" s="4"/>
      <c r="NW326" s="5"/>
      <c r="NX326" s="6"/>
      <c r="NY326" s="4"/>
      <c r="NZ326" s="4"/>
      <c r="OA326" s="4"/>
      <c r="OB326" s="4"/>
      <c r="OC326" s="4"/>
      <c r="OD326" s="5"/>
      <c r="OE326" s="6"/>
      <c r="OF326" s="4"/>
      <c r="OG326" s="4"/>
      <c r="OH326" s="4"/>
      <c r="OI326" s="4"/>
      <c r="OJ326" s="4"/>
      <c r="OK326" s="5"/>
      <c r="OL326" s="6"/>
      <c r="OM326" s="4"/>
      <c r="ON326" s="4"/>
      <c r="OO326" s="4"/>
      <c r="OP326" s="4"/>
      <c r="OQ326" s="4"/>
      <c r="OR326" s="5"/>
      <c r="OS326" s="6"/>
      <c r="OT326" s="4"/>
      <c r="OU326" s="4"/>
      <c r="OV326" s="4"/>
      <c r="OW326" s="4"/>
      <c r="OX326" s="4"/>
      <c r="OY326" s="5"/>
      <c r="OZ326" s="6"/>
      <c r="PA326" s="4"/>
      <c r="PB326" s="4"/>
      <c r="PC326" s="4"/>
      <c r="PD326" s="4"/>
      <c r="PE326" s="4"/>
      <c r="PF326" s="5"/>
      <c r="PG326" s="6"/>
      <c r="PH326" s="4"/>
      <c r="PI326" s="4"/>
      <c r="PJ326" s="4"/>
      <c r="PK326" s="4"/>
      <c r="PL326" s="4"/>
      <c r="PM326" s="5"/>
      <c r="PN326" s="6"/>
      <c r="PO326" s="4"/>
      <c r="PP326" s="4"/>
      <c r="PQ326" s="4"/>
      <c r="PR326" s="4"/>
      <c r="PS326" s="4"/>
      <c r="PT326" s="5"/>
      <c r="PU326" s="6"/>
      <c r="PV326" s="4"/>
      <c r="PW326" s="4"/>
      <c r="PX326" s="4"/>
      <c r="PY326" s="4"/>
      <c r="PZ326" s="4"/>
      <c r="QA326" s="5"/>
      <c r="QB326" s="6" t="s">
        <v>3425</v>
      </c>
      <c r="QC326" s="7" t="s">
        <v>1703</v>
      </c>
      <c r="QD326" s="7" t="s">
        <v>3426</v>
      </c>
      <c r="QE326" s="7" t="s">
        <v>3226</v>
      </c>
      <c r="QF326" s="8">
        <v>38367</v>
      </c>
      <c r="QG326" s="8">
        <v>38383</v>
      </c>
      <c r="QH326" s="5" t="s">
        <v>4155</v>
      </c>
      <c r="QI326" s="6"/>
      <c r="QJ326" s="4"/>
      <c r="QK326" s="4"/>
      <c r="QL326" s="4"/>
      <c r="QM326" s="4"/>
      <c r="QN326" s="4"/>
      <c r="QO326" s="5"/>
      <c r="QP326" s="6"/>
      <c r="QQ326" s="4"/>
      <c r="QR326" s="4"/>
      <c r="QS326" s="4"/>
      <c r="QT326" s="4"/>
      <c r="QU326" s="4"/>
      <c r="QV326" s="5"/>
      <c r="QW326" s="6"/>
      <c r="QX326" s="4"/>
      <c r="QY326" s="4"/>
      <c r="QZ326" s="4"/>
      <c r="RA326" s="4"/>
      <c r="RB326" s="4"/>
      <c r="RC326" s="5"/>
      <c r="RD326" s="6"/>
      <c r="RE326" s="4"/>
      <c r="RF326" s="4"/>
      <c r="RG326" s="4"/>
      <c r="RH326" s="4"/>
      <c r="RI326" s="4"/>
      <c r="RJ326" s="5"/>
      <c r="RK326" s="6"/>
      <c r="RL326" s="4"/>
      <c r="RM326" s="4"/>
      <c r="RN326" s="4"/>
      <c r="RO326" s="4"/>
      <c r="RP326" s="4"/>
      <c r="RQ326" s="5"/>
      <c r="RR326" s="6"/>
      <c r="RS326" s="4"/>
      <c r="RT326" s="4"/>
      <c r="RU326" s="4"/>
      <c r="RV326" s="4"/>
      <c r="RW326" s="4"/>
      <c r="RX326" s="5"/>
      <c r="RY326" s="6"/>
      <c r="RZ326" s="4"/>
      <c r="SA326" s="4"/>
      <c r="SB326" s="4"/>
      <c r="SC326" s="4"/>
      <c r="SD326" s="4"/>
      <c r="SE326" s="5"/>
      <c r="SF326" s="6"/>
      <c r="SG326" s="4"/>
      <c r="SH326" s="4"/>
      <c r="SI326" s="4"/>
      <c r="SJ326" s="4"/>
      <c r="SK326" s="4"/>
      <c r="SL326" s="5"/>
      <c r="SM326" s="6"/>
      <c r="SN326" s="4"/>
      <c r="SO326" s="4"/>
      <c r="SP326" s="4"/>
      <c r="SQ326" s="4"/>
      <c r="SR326" s="4"/>
      <c r="SS326" s="5"/>
      <c r="ST326" s="6"/>
      <c r="SU326" s="4"/>
      <c r="SV326" s="4"/>
      <c r="SW326" s="4"/>
      <c r="SX326" s="4"/>
      <c r="SY326" s="4"/>
      <c r="SZ326" s="5"/>
      <c r="TA326" s="6"/>
      <c r="TB326" s="4"/>
      <c r="TC326" s="4"/>
      <c r="TD326" s="4"/>
      <c r="TE326" s="4"/>
      <c r="TF326" s="4"/>
      <c r="TG326" s="5"/>
      <c r="TH326" s="6"/>
      <c r="TI326" s="4"/>
      <c r="TJ326" s="4"/>
      <c r="TK326" s="4"/>
      <c r="TL326" s="4"/>
      <c r="TM326" s="4"/>
      <c r="TN326" s="5"/>
      <c r="TO326" s="6"/>
      <c r="TP326" s="4"/>
      <c r="TQ326" s="4"/>
      <c r="TR326" s="4"/>
      <c r="TS326" s="4"/>
      <c r="TT326" s="4"/>
      <c r="TU326" s="5"/>
      <c r="TV326" s="6"/>
      <c r="TW326" s="4"/>
      <c r="TX326" s="4"/>
      <c r="TY326" s="4"/>
      <c r="TZ326" s="4"/>
      <c r="UA326" s="4"/>
      <c r="UB326" s="5"/>
      <c r="UC326" s="6"/>
      <c r="UD326" s="4"/>
      <c r="UE326" s="4"/>
      <c r="UF326" s="4"/>
      <c r="UG326" s="4"/>
      <c r="UH326" s="4"/>
      <c r="UI326" s="5"/>
      <c r="UJ326" s="6"/>
      <c r="UK326" s="4"/>
      <c r="UL326" s="4"/>
      <c r="UM326" s="4"/>
      <c r="UN326" s="4"/>
      <c r="UO326" s="4"/>
      <c r="UP326" s="5"/>
      <c r="UQ326" s="6"/>
      <c r="UR326" s="4"/>
      <c r="US326" s="4"/>
      <c r="UT326" s="4"/>
      <c r="UU326" s="4"/>
      <c r="UV326" s="4"/>
      <c r="UW326" s="5"/>
      <c r="UX326" s="6" t="s">
        <v>3679</v>
      </c>
      <c r="UY326" s="4" t="s">
        <v>3145</v>
      </c>
      <c r="UZ326" s="4" t="s">
        <v>3755</v>
      </c>
      <c r="VA326" s="4" t="s">
        <v>4099</v>
      </c>
      <c r="VB326" s="8">
        <v>36526</v>
      </c>
      <c r="VC326" s="8">
        <v>38366</v>
      </c>
      <c r="VD326" s="5" t="s">
        <v>3885</v>
      </c>
      <c r="VE326" s="6"/>
      <c r="VF326" s="4"/>
      <c r="VG326" s="4"/>
      <c r="VH326" s="4"/>
      <c r="VI326" s="4"/>
      <c r="VJ326" s="4"/>
      <c r="VK326" s="5"/>
      <c r="VL326" s="6"/>
      <c r="VM326" s="4"/>
      <c r="VN326" s="4"/>
      <c r="VO326" s="4"/>
      <c r="VP326" s="4"/>
      <c r="VQ326" s="4"/>
      <c r="VR326" s="5"/>
      <c r="VS326" s="6"/>
      <c r="VT326" s="4"/>
      <c r="VU326" s="4"/>
      <c r="VV326" s="4"/>
      <c r="VW326" s="4"/>
      <c r="VX326" s="4"/>
      <c r="VY326" s="5"/>
      <c r="VZ326" s="6"/>
      <c r="WA326" s="4"/>
      <c r="WB326" s="4"/>
      <c r="WC326" s="4"/>
      <c r="WD326" s="4"/>
      <c r="WE326" s="4"/>
      <c r="WF326" s="5"/>
      <c r="WG326" s="6"/>
      <c r="WH326" s="4"/>
      <c r="WI326" s="4"/>
      <c r="WJ326" s="4"/>
      <c r="WK326" s="4"/>
      <c r="WL326" s="4"/>
      <c r="WM326" s="5"/>
      <c r="WN326" s="6"/>
      <c r="WO326" s="4"/>
      <c r="WP326" s="4"/>
      <c r="WQ326" s="4"/>
      <c r="WR326" s="4"/>
      <c r="WS326" s="4"/>
      <c r="WT326" s="5"/>
      <c r="WU326" s="6"/>
      <c r="WV326" s="4"/>
      <c r="WW326" s="4"/>
      <c r="WX326" s="4"/>
      <c r="WY326" s="4"/>
      <c r="WZ326" s="4"/>
      <c r="XA326" s="5"/>
      <c r="XB326" s="6"/>
      <c r="XC326" s="4"/>
      <c r="XD326" s="4"/>
      <c r="XE326" s="4"/>
      <c r="XF326" s="4"/>
      <c r="XG326" s="4"/>
      <c r="XH326" s="5"/>
      <c r="XI326" s="6"/>
      <c r="XJ326" s="4"/>
      <c r="XK326" s="4"/>
      <c r="XL326" s="7"/>
      <c r="XM326" s="8"/>
      <c r="XN326" s="8"/>
      <c r="XO326" s="5"/>
      <c r="XP326" s="6"/>
      <c r="XQ326" s="4"/>
      <c r="XR326" s="4"/>
      <c r="XS326" s="4"/>
      <c r="XT326" s="4"/>
      <c r="XU326" s="4"/>
      <c r="XV326" s="5"/>
      <c r="XW326" s="6"/>
      <c r="XX326" s="4"/>
      <c r="XY326" s="4"/>
      <c r="XZ326" s="4"/>
      <c r="YA326" s="4"/>
      <c r="YB326" s="4"/>
      <c r="YC326" s="5"/>
      <c r="YD326" s="6"/>
      <c r="YE326" s="4"/>
      <c r="YF326" s="4"/>
      <c r="YG326" s="4"/>
      <c r="YH326" s="4"/>
      <c r="YI326" s="4"/>
      <c r="YJ326" s="5"/>
      <c r="YK326" s="6"/>
      <c r="YL326" s="4"/>
      <c r="YM326" s="4"/>
      <c r="YN326" s="4"/>
      <c r="YO326" s="4"/>
      <c r="YP326" s="4"/>
      <c r="YQ326" s="5"/>
      <c r="YR326" s="6"/>
      <c r="YS326" s="4"/>
      <c r="YT326" s="4"/>
      <c r="YU326" s="4"/>
      <c r="YV326" s="4"/>
      <c r="YW326" s="4"/>
      <c r="YX326" s="5"/>
      <c r="YY326" s="6"/>
      <c r="YZ326" s="4"/>
      <c r="ZA326" s="4"/>
      <c r="ZB326" s="4"/>
      <c r="ZC326" s="4"/>
      <c r="ZD326" s="4"/>
      <c r="ZE326" s="5"/>
      <c r="ZF326" s="6"/>
      <c r="ZG326" s="4"/>
      <c r="ZH326" s="4"/>
      <c r="ZI326" s="4"/>
      <c r="ZJ326" s="4"/>
      <c r="ZK326" s="4"/>
      <c r="ZL326" s="5"/>
      <c r="ZM326" s="6"/>
      <c r="ZN326" s="4"/>
      <c r="ZO326" s="4"/>
      <c r="ZP326" s="4"/>
      <c r="ZQ326" s="4"/>
      <c r="ZR326" s="4"/>
      <c r="ZS326" s="5"/>
      <c r="ZT326" s="6"/>
      <c r="ZU326" s="4"/>
      <c r="ZV326" s="4"/>
      <c r="ZW326" s="4"/>
      <c r="ZX326" s="4"/>
      <c r="ZY326" s="4"/>
      <c r="ZZ326" s="5"/>
      <c r="AAA326" s="6"/>
      <c r="AAB326" s="4"/>
      <c r="AAC326" s="4"/>
      <c r="AAD326" s="4"/>
      <c r="AAE326" s="4"/>
      <c r="AAF326" s="4"/>
      <c r="AAG326" s="5"/>
      <c r="AAH326" s="6"/>
      <c r="AAI326" s="4"/>
      <c r="AAJ326" s="4"/>
      <c r="AAK326" s="4"/>
      <c r="AAL326" s="4"/>
      <c r="AAM326" s="4"/>
      <c r="AAN326" s="5"/>
      <c r="AAO326" s="6"/>
      <c r="AAP326" s="4"/>
      <c r="AAQ326" s="4"/>
      <c r="AAR326" s="4"/>
      <c r="AAS326" s="4"/>
      <c r="AAT326" s="4"/>
      <c r="AAU326" s="5"/>
      <c r="AAV326" s="6"/>
      <c r="AAW326" s="4"/>
      <c r="AAX326" s="4"/>
      <c r="AAY326" s="4"/>
      <c r="AAZ326" s="4"/>
      <c r="ABA326" s="4"/>
      <c r="ABB326" s="5"/>
      <c r="ABC326" s="6"/>
      <c r="ABD326" s="4"/>
      <c r="ABE326" s="4"/>
      <c r="ABF326" s="4"/>
      <c r="ABG326" s="4"/>
      <c r="ABH326" s="4"/>
      <c r="ABI326" s="5"/>
      <c r="ABJ326" s="6"/>
      <c r="ABK326" s="4"/>
      <c r="ABL326" s="4"/>
      <c r="ABM326" s="4"/>
      <c r="ABN326" s="4"/>
      <c r="ABO326" s="4"/>
      <c r="ABP326" s="5"/>
      <c r="ABQ326" s="6"/>
      <c r="ABR326" s="4"/>
      <c r="ABS326" s="4"/>
      <c r="ABT326" s="7"/>
      <c r="ABU326" s="8"/>
      <c r="ABV326" s="8"/>
      <c r="ABW326" s="5"/>
      <c r="ABX326" s="6"/>
      <c r="ABY326" s="4"/>
      <c r="ABZ326" s="4"/>
      <c r="ACA326" s="4"/>
      <c r="ACB326" s="4"/>
      <c r="ACC326" s="4"/>
      <c r="ACD326" s="5"/>
      <c r="ACE326" s="6"/>
      <c r="ACF326" s="4"/>
      <c r="ACG326" s="4"/>
      <c r="ACH326" s="4"/>
      <c r="ACI326" s="4"/>
      <c r="ACJ326" s="4"/>
      <c r="ACK326" s="5"/>
      <c r="ACL326" s="6"/>
      <c r="ACM326" s="4"/>
      <c r="ACN326" s="4"/>
      <c r="ACO326" s="4"/>
      <c r="ACP326" s="4"/>
      <c r="ACQ326" s="4"/>
      <c r="ACR326" s="5"/>
      <c r="ACS326" s="6"/>
      <c r="ACT326" s="4"/>
      <c r="ACU326" s="4"/>
      <c r="ACV326" s="4"/>
      <c r="ACW326" s="4"/>
      <c r="ACX326" s="4"/>
      <c r="ACY326" s="5"/>
    </row>
    <row r="327" spans="2:805" x14ac:dyDescent="0.25">
      <c r="J327" s="12"/>
      <c r="K327" s="12"/>
      <c r="L327" s="12"/>
      <c r="LL327" s="6"/>
      <c r="LM327" s="4"/>
      <c r="LN327" s="4"/>
      <c r="LO327" s="4"/>
      <c r="LP327" s="4"/>
      <c r="LQ327" s="4"/>
      <c r="LR327" s="5"/>
      <c r="LS327" s="6"/>
      <c r="LT327" s="4"/>
      <c r="LU327" s="4"/>
      <c r="LV327" s="4"/>
      <c r="LW327" s="4"/>
      <c r="LX327" s="4"/>
      <c r="LY327" s="5"/>
      <c r="LZ327" s="6" t="s">
        <v>3572</v>
      </c>
      <c r="MA327" s="7" t="s">
        <v>3573</v>
      </c>
      <c r="MB327" s="7" t="s">
        <v>3426</v>
      </c>
      <c r="MC327" s="7" t="s">
        <v>3571</v>
      </c>
      <c r="MD327" s="8">
        <v>38371</v>
      </c>
      <c r="ME327" s="8">
        <v>38372</v>
      </c>
      <c r="MF327" s="8" t="s">
        <v>3787</v>
      </c>
      <c r="MG327" s="5" t="s">
        <v>4072</v>
      </c>
      <c r="MH327" s="6"/>
      <c r="MI327" s="4"/>
      <c r="MJ327" s="4"/>
      <c r="MK327" s="4"/>
      <c r="ML327" s="4"/>
      <c r="MM327" s="4"/>
      <c r="MN327" s="5"/>
      <c r="MO327" s="6"/>
      <c r="MP327" s="4"/>
      <c r="MQ327" s="4"/>
      <c r="MR327" s="4"/>
      <c r="MS327" s="4"/>
      <c r="MT327" s="4"/>
      <c r="MU327" s="5"/>
      <c r="MV327" s="6"/>
      <c r="MW327" s="4"/>
      <c r="MX327" s="4"/>
      <c r="MY327" s="4"/>
      <c r="MZ327" s="4"/>
      <c r="NA327" s="4"/>
      <c r="NB327" s="5"/>
      <c r="NC327" s="6"/>
      <c r="ND327" s="4"/>
      <c r="NE327" s="4"/>
      <c r="NF327" s="7"/>
      <c r="NG327" s="8"/>
      <c r="NH327" s="8"/>
      <c r="NI327" s="5"/>
      <c r="NJ327" s="6"/>
      <c r="NK327" s="4"/>
      <c r="NL327" s="4"/>
      <c r="NM327" s="4"/>
      <c r="NN327" s="4"/>
      <c r="NO327" s="4"/>
      <c r="NP327" s="5"/>
      <c r="NQ327" s="6"/>
      <c r="NR327" s="4"/>
      <c r="NS327" s="4"/>
      <c r="NT327" s="4"/>
      <c r="NU327" s="4"/>
      <c r="NV327" s="4"/>
      <c r="NW327" s="5"/>
      <c r="NX327" s="6"/>
      <c r="NY327" s="4"/>
      <c r="NZ327" s="4"/>
      <c r="OA327" s="4"/>
      <c r="OB327" s="4"/>
      <c r="OC327" s="4"/>
      <c r="OD327" s="5"/>
      <c r="OE327" s="6"/>
      <c r="OF327" s="4"/>
      <c r="OG327" s="4"/>
      <c r="OH327" s="4"/>
      <c r="OI327" s="4"/>
      <c r="OJ327" s="4"/>
      <c r="OK327" s="5"/>
      <c r="OL327" s="6"/>
      <c r="OM327" s="4"/>
      <c r="ON327" s="4"/>
      <c r="OO327" s="4"/>
      <c r="OP327" s="4"/>
      <c r="OQ327" s="4"/>
      <c r="OR327" s="5"/>
      <c r="OS327" s="6"/>
      <c r="OT327" s="4"/>
      <c r="OU327" s="4"/>
      <c r="OV327" s="4"/>
      <c r="OW327" s="4"/>
      <c r="OX327" s="4"/>
      <c r="OY327" s="5"/>
      <c r="OZ327" s="6"/>
      <c r="PA327" s="4"/>
      <c r="PB327" s="4"/>
      <c r="PC327" s="4"/>
      <c r="PD327" s="4"/>
      <c r="PE327" s="4"/>
      <c r="PF327" s="5"/>
      <c r="PG327" s="6"/>
      <c r="PH327" s="4"/>
      <c r="PI327" s="4"/>
      <c r="PJ327" s="4"/>
      <c r="PK327" s="4"/>
      <c r="PL327" s="4"/>
      <c r="PM327" s="5"/>
      <c r="PN327" s="6"/>
      <c r="PO327" s="4"/>
      <c r="PP327" s="4"/>
      <c r="PQ327" s="4"/>
      <c r="PR327" s="4"/>
      <c r="PS327" s="4"/>
      <c r="PT327" s="5"/>
      <c r="PU327" s="6"/>
      <c r="PV327" s="4"/>
      <c r="PW327" s="4"/>
      <c r="PX327" s="4"/>
      <c r="PY327" s="4"/>
      <c r="PZ327" s="4"/>
      <c r="QA327" s="5"/>
      <c r="QB327" s="6" t="s">
        <v>3375</v>
      </c>
      <c r="QC327" s="7" t="s">
        <v>3376</v>
      </c>
      <c r="QD327" s="7" t="s">
        <v>3605</v>
      </c>
      <c r="QE327" s="7" t="s">
        <v>3380</v>
      </c>
      <c r="QF327" s="8">
        <v>38367</v>
      </c>
      <c r="QG327" s="8">
        <v>38367</v>
      </c>
      <c r="QH327" s="5" t="s">
        <v>4155</v>
      </c>
      <c r="QI327" s="6"/>
      <c r="QJ327" s="4"/>
      <c r="QK327" s="4"/>
      <c r="QL327" s="4"/>
      <c r="QM327" s="4"/>
      <c r="QN327" s="4"/>
      <c r="QO327" s="5"/>
      <c r="QP327" s="6"/>
      <c r="QQ327" s="4"/>
      <c r="QR327" s="4"/>
      <c r="QS327" s="4"/>
      <c r="QT327" s="4"/>
      <c r="QU327" s="4"/>
      <c r="QV327" s="5"/>
      <c r="QW327" s="6"/>
      <c r="QX327" s="4"/>
      <c r="QY327" s="4"/>
      <c r="QZ327" s="4"/>
      <c r="RA327" s="4"/>
      <c r="RB327" s="4"/>
      <c r="RC327" s="5"/>
      <c r="RD327" s="6"/>
      <c r="RE327" s="4"/>
      <c r="RF327" s="4"/>
      <c r="RG327" s="4"/>
      <c r="RH327" s="4"/>
      <c r="RI327" s="4"/>
      <c r="RJ327" s="5"/>
      <c r="RK327" s="6"/>
      <c r="RL327" s="4"/>
      <c r="RM327" s="4"/>
      <c r="RN327" s="4"/>
      <c r="RO327" s="4"/>
      <c r="RP327" s="4"/>
      <c r="RQ327" s="5"/>
      <c r="RR327" s="6"/>
      <c r="RS327" s="4"/>
      <c r="RT327" s="4"/>
      <c r="RU327" s="4"/>
      <c r="RV327" s="4"/>
      <c r="RW327" s="4"/>
      <c r="RX327" s="5"/>
      <c r="RY327" s="6"/>
      <c r="RZ327" s="4"/>
      <c r="SA327" s="4"/>
      <c r="SB327" s="4"/>
      <c r="SC327" s="4"/>
      <c r="SD327" s="4"/>
      <c r="SE327" s="5"/>
      <c r="SF327" s="6"/>
      <c r="SG327" s="4"/>
      <c r="SH327" s="4"/>
      <c r="SI327" s="4"/>
      <c r="SJ327" s="4"/>
      <c r="SK327" s="4"/>
      <c r="SL327" s="5"/>
      <c r="SM327" s="6"/>
      <c r="SN327" s="4"/>
      <c r="SO327" s="4"/>
      <c r="SP327" s="4"/>
      <c r="SQ327" s="4"/>
      <c r="SR327" s="4"/>
      <c r="SS327" s="5"/>
      <c r="ST327" s="6"/>
      <c r="SU327" s="4"/>
      <c r="SV327" s="4"/>
      <c r="SW327" s="4"/>
      <c r="SX327" s="4"/>
      <c r="SY327" s="4"/>
      <c r="SZ327" s="5"/>
      <c r="TA327" s="6"/>
      <c r="TB327" s="4"/>
      <c r="TC327" s="4"/>
      <c r="TD327" s="4"/>
      <c r="TE327" s="4"/>
      <c r="TF327" s="4"/>
      <c r="TG327" s="5"/>
      <c r="TH327" s="6"/>
      <c r="TI327" s="4"/>
      <c r="TJ327" s="4"/>
      <c r="TK327" s="4"/>
      <c r="TL327" s="4"/>
      <c r="TM327" s="4"/>
      <c r="TN327" s="5"/>
      <c r="TO327" s="6"/>
      <c r="TP327" s="4"/>
      <c r="TQ327" s="4"/>
      <c r="TR327" s="4"/>
      <c r="TS327" s="4"/>
      <c r="TT327" s="4"/>
      <c r="TU327" s="5"/>
      <c r="TV327" s="6"/>
      <c r="TW327" s="4"/>
      <c r="TX327" s="4"/>
      <c r="TY327" s="4"/>
      <c r="TZ327" s="4"/>
      <c r="UA327" s="4"/>
      <c r="UB327" s="5"/>
      <c r="UC327" s="6"/>
      <c r="UD327" s="4"/>
      <c r="UE327" s="4"/>
      <c r="UF327" s="4"/>
      <c r="UG327" s="4"/>
      <c r="UH327" s="4"/>
      <c r="UI327" s="5"/>
      <c r="UJ327" s="6"/>
      <c r="UK327" s="4"/>
      <c r="UL327" s="4"/>
      <c r="UM327" s="4"/>
      <c r="UN327" s="4"/>
      <c r="UO327" s="4"/>
      <c r="UP327" s="5"/>
      <c r="UQ327" s="6"/>
      <c r="UR327" s="4"/>
      <c r="US327" s="4"/>
      <c r="UT327" s="4"/>
      <c r="UU327" s="4"/>
      <c r="UV327" s="4"/>
      <c r="UW327" s="5"/>
      <c r="UX327" s="6" t="s">
        <v>3679</v>
      </c>
      <c r="UY327" s="4" t="s">
        <v>3145</v>
      </c>
      <c r="UZ327" s="7" t="s">
        <v>3220</v>
      </c>
      <c r="VA327" s="7" t="s">
        <v>3221</v>
      </c>
      <c r="VB327" s="8">
        <v>38367</v>
      </c>
      <c r="VC327" s="8">
        <v>38369</v>
      </c>
      <c r="VD327" s="5" t="s">
        <v>4098</v>
      </c>
      <c r="VE327" s="6"/>
      <c r="VF327" s="4"/>
      <c r="VG327" s="4"/>
      <c r="VH327" s="4"/>
      <c r="VI327" s="4"/>
      <c r="VJ327" s="4"/>
      <c r="VK327" s="5"/>
      <c r="VL327" s="6"/>
      <c r="VM327" s="4"/>
      <c r="VN327" s="4"/>
      <c r="VO327" s="4"/>
      <c r="VP327" s="4"/>
      <c r="VQ327" s="4"/>
      <c r="VR327" s="5"/>
      <c r="VS327" s="6"/>
      <c r="VT327" s="4"/>
      <c r="VU327" s="4"/>
      <c r="VV327" s="4"/>
      <c r="VW327" s="4"/>
      <c r="VX327" s="4"/>
      <c r="VY327" s="5"/>
      <c r="VZ327" s="6"/>
      <c r="WA327" s="4"/>
      <c r="WB327" s="4"/>
      <c r="WC327" s="4"/>
      <c r="WD327" s="4"/>
      <c r="WE327" s="4"/>
      <c r="WF327" s="5"/>
      <c r="WG327" s="6"/>
      <c r="WH327" s="4"/>
      <c r="WI327" s="4"/>
      <c r="WJ327" s="4"/>
      <c r="WK327" s="4"/>
      <c r="WL327" s="4"/>
      <c r="WM327" s="5"/>
      <c r="WN327" s="6"/>
      <c r="WO327" s="4"/>
      <c r="WP327" s="4"/>
      <c r="WQ327" s="4"/>
      <c r="WR327" s="4"/>
      <c r="WS327" s="4"/>
      <c r="WT327" s="5"/>
      <c r="WU327" s="6"/>
      <c r="WV327" s="4"/>
      <c r="WW327" s="4"/>
      <c r="WX327" s="4"/>
      <c r="WY327" s="4"/>
      <c r="WZ327" s="4"/>
      <c r="XA327" s="5"/>
      <c r="XB327" s="6"/>
      <c r="XC327" s="4"/>
      <c r="XD327" s="4"/>
      <c r="XE327" s="4"/>
      <c r="XF327" s="4"/>
      <c r="XG327" s="4"/>
      <c r="XH327" s="5"/>
      <c r="XI327" s="6"/>
      <c r="XJ327" s="4"/>
      <c r="XK327" s="4"/>
      <c r="XL327" s="7"/>
      <c r="XM327" s="8"/>
      <c r="XN327" s="8"/>
      <c r="XO327" s="5"/>
      <c r="XP327" s="6"/>
      <c r="XQ327" s="4"/>
      <c r="XR327" s="4"/>
      <c r="XS327" s="4"/>
      <c r="XT327" s="4"/>
      <c r="XU327" s="4"/>
      <c r="XV327" s="5"/>
      <c r="XW327" s="6"/>
      <c r="XX327" s="4"/>
      <c r="XY327" s="4"/>
      <c r="XZ327" s="4"/>
      <c r="YA327" s="4"/>
      <c r="YB327" s="4"/>
      <c r="YC327" s="5"/>
      <c r="YD327" s="6"/>
      <c r="YE327" s="4"/>
      <c r="YF327" s="4"/>
      <c r="YG327" s="4"/>
      <c r="YH327" s="4"/>
      <c r="YI327" s="4"/>
      <c r="YJ327" s="5"/>
      <c r="YK327" s="6"/>
      <c r="YL327" s="4"/>
      <c r="YM327" s="4"/>
      <c r="YN327" s="4"/>
      <c r="YO327" s="4"/>
      <c r="YP327" s="4"/>
      <c r="YQ327" s="5"/>
      <c r="YR327" s="6"/>
      <c r="YS327" s="4"/>
      <c r="YT327" s="4"/>
      <c r="YU327" s="4"/>
      <c r="YV327" s="4"/>
      <c r="YW327" s="4"/>
      <c r="YX327" s="5"/>
      <c r="YY327" s="6"/>
      <c r="YZ327" s="4"/>
      <c r="ZA327" s="4"/>
      <c r="ZB327" s="4"/>
      <c r="ZC327" s="4"/>
      <c r="ZD327" s="4"/>
      <c r="ZE327" s="5"/>
      <c r="ZF327" s="6"/>
      <c r="ZG327" s="4"/>
      <c r="ZH327" s="4"/>
      <c r="ZI327" s="4"/>
      <c r="ZJ327" s="4"/>
      <c r="ZK327" s="4"/>
      <c r="ZL327" s="5"/>
      <c r="ZM327" s="6"/>
      <c r="ZN327" s="4"/>
      <c r="ZO327" s="4"/>
      <c r="ZP327" s="4"/>
      <c r="ZQ327" s="4"/>
      <c r="ZR327" s="4"/>
      <c r="ZS327" s="5"/>
      <c r="ZT327" s="6"/>
      <c r="ZU327" s="4"/>
      <c r="ZV327" s="4"/>
      <c r="ZW327" s="4"/>
      <c r="ZX327" s="4"/>
      <c r="ZY327" s="4"/>
      <c r="ZZ327" s="5"/>
      <c r="AAA327" s="6"/>
      <c r="AAB327" s="4"/>
      <c r="AAC327" s="4"/>
      <c r="AAD327" s="4"/>
      <c r="AAE327" s="4"/>
      <c r="AAF327" s="4"/>
      <c r="AAG327" s="5"/>
      <c r="AAH327" s="6"/>
      <c r="AAI327" s="4"/>
      <c r="AAJ327" s="4"/>
      <c r="AAK327" s="4"/>
      <c r="AAL327" s="4"/>
      <c r="AAM327" s="4"/>
      <c r="AAN327" s="5"/>
      <c r="AAO327" s="6"/>
      <c r="AAP327" s="4"/>
      <c r="AAQ327" s="4"/>
      <c r="AAR327" s="4"/>
      <c r="AAS327" s="4"/>
      <c r="AAT327" s="4"/>
      <c r="AAU327" s="5"/>
      <c r="AAV327" s="6"/>
      <c r="AAW327" s="4"/>
      <c r="AAX327" s="4"/>
      <c r="AAY327" s="4"/>
      <c r="AAZ327" s="4"/>
      <c r="ABA327" s="4"/>
      <c r="ABB327" s="5"/>
      <c r="ABC327" s="6"/>
      <c r="ABD327" s="4"/>
      <c r="ABE327" s="4"/>
      <c r="ABF327" s="4"/>
      <c r="ABG327" s="4"/>
      <c r="ABH327" s="4"/>
      <c r="ABI327" s="5"/>
      <c r="ABJ327" s="6"/>
      <c r="ABK327" s="4"/>
      <c r="ABL327" s="4"/>
      <c r="ABM327" s="4"/>
      <c r="ABN327" s="4"/>
      <c r="ABO327" s="4"/>
      <c r="ABP327" s="5"/>
      <c r="ABQ327" s="6"/>
      <c r="ABR327" s="4"/>
      <c r="ABS327" s="4"/>
      <c r="ABT327" s="7"/>
      <c r="ABU327" s="8"/>
      <c r="ABV327" s="8"/>
      <c r="ABW327" s="5"/>
      <c r="ABX327" s="6"/>
      <c r="ABY327" s="4"/>
      <c r="ABZ327" s="4"/>
      <c r="ACA327" s="4"/>
      <c r="ACB327" s="4"/>
      <c r="ACC327" s="4"/>
      <c r="ACD327" s="5"/>
      <c r="ACE327" s="6"/>
      <c r="ACF327" s="4"/>
      <c r="ACG327" s="4"/>
      <c r="ACH327" s="4"/>
      <c r="ACI327" s="4"/>
      <c r="ACJ327" s="4"/>
      <c r="ACK327" s="5"/>
      <c r="ACL327" s="6"/>
      <c r="ACM327" s="4"/>
      <c r="ACN327" s="4"/>
      <c r="ACO327" s="4"/>
      <c r="ACP327" s="4"/>
      <c r="ACQ327" s="4"/>
      <c r="ACR327" s="5"/>
      <c r="ACS327" s="6"/>
      <c r="ACT327" s="4"/>
      <c r="ACU327" s="4"/>
      <c r="ACV327" s="4"/>
      <c r="ACW327" s="4"/>
      <c r="ACX327" s="4"/>
      <c r="ACY327" s="5"/>
    </row>
    <row r="328" spans="2:805" x14ac:dyDescent="0.25">
      <c r="J328" s="12"/>
      <c r="K328" s="12"/>
      <c r="L328" s="12"/>
      <c r="LL328" s="6"/>
      <c r="LM328" s="4"/>
      <c r="LN328" s="4"/>
      <c r="LO328" s="4"/>
      <c r="LP328" s="4"/>
      <c r="LQ328" s="4"/>
      <c r="LR328" s="5"/>
      <c r="LS328" s="6"/>
      <c r="LT328" s="4"/>
      <c r="LU328" s="4"/>
      <c r="LV328" s="4"/>
      <c r="LW328" s="4"/>
      <c r="LX328" s="4"/>
      <c r="LY328" s="5"/>
      <c r="LZ328" s="6" t="s">
        <v>3572</v>
      </c>
      <c r="MA328" s="7" t="s">
        <v>3573</v>
      </c>
      <c r="MB328" s="7" t="s">
        <v>3426</v>
      </c>
      <c r="MC328" s="7" t="s">
        <v>3602</v>
      </c>
      <c r="MD328" s="8">
        <v>38379</v>
      </c>
      <c r="ME328" s="8">
        <v>38382</v>
      </c>
      <c r="MF328" s="8" t="s">
        <v>3787</v>
      </c>
      <c r="MG328" s="5" t="s">
        <v>4084</v>
      </c>
      <c r="MH328" s="6"/>
      <c r="MI328" s="4"/>
      <c r="MJ328" s="4"/>
      <c r="MK328" s="4"/>
      <c r="ML328" s="4"/>
      <c r="MM328" s="4"/>
      <c r="MN328" s="5"/>
      <c r="MO328" s="6"/>
      <c r="MP328" s="4"/>
      <c r="MQ328" s="4"/>
      <c r="MR328" s="4"/>
      <c r="MS328" s="4"/>
      <c r="MT328" s="4"/>
      <c r="MU328" s="5"/>
      <c r="MV328" s="6"/>
      <c r="MW328" s="4"/>
      <c r="MX328" s="4"/>
      <c r="MY328" s="4"/>
      <c r="MZ328" s="4"/>
      <c r="NA328" s="4"/>
      <c r="NB328" s="5"/>
      <c r="NC328" s="6"/>
      <c r="ND328" s="4"/>
      <c r="NE328" s="4"/>
      <c r="NF328" s="7"/>
      <c r="NG328" s="8"/>
      <c r="NH328" s="8"/>
      <c r="NI328" s="5"/>
      <c r="NJ328" s="6"/>
      <c r="NK328" s="4"/>
      <c r="NL328" s="4"/>
      <c r="NM328" s="4"/>
      <c r="NN328" s="4"/>
      <c r="NO328" s="4"/>
      <c r="NP328" s="5"/>
      <c r="NQ328" s="6"/>
      <c r="NR328" s="4"/>
      <c r="NS328" s="4"/>
      <c r="NT328" s="4"/>
      <c r="NU328" s="4"/>
      <c r="NV328" s="4"/>
      <c r="NW328" s="5"/>
      <c r="NX328" s="6"/>
      <c r="NY328" s="4"/>
      <c r="NZ328" s="4"/>
      <c r="OA328" s="4"/>
      <c r="OB328" s="4"/>
      <c r="OC328" s="4"/>
      <c r="OD328" s="5"/>
      <c r="OE328" s="6"/>
      <c r="OF328" s="4"/>
      <c r="OG328" s="4"/>
      <c r="OH328" s="4"/>
      <c r="OI328" s="4"/>
      <c r="OJ328" s="4"/>
      <c r="OK328" s="5"/>
      <c r="OL328" s="6"/>
      <c r="OM328" s="4"/>
      <c r="ON328" s="4"/>
      <c r="OO328" s="4"/>
      <c r="OP328" s="4"/>
      <c r="OQ328" s="4"/>
      <c r="OR328" s="5"/>
      <c r="OS328" s="6"/>
      <c r="OT328" s="4"/>
      <c r="OU328" s="4"/>
      <c r="OV328" s="4"/>
      <c r="OW328" s="4"/>
      <c r="OX328" s="4"/>
      <c r="OY328" s="5"/>
      <c r="OZ328" s="6"/>
      <c r="PA328" s="4"/>
      <c r="PB328" s="4"/>
      <c r="PC328" s="4"/>
      <c r="PD328" s="4"/>
      <c r="PE328" s="4"/>
      <c r="PF328" s="5"/>
      <c r="PG328" s="6"/>
      <c r="PH328" s="4"/>
      <c r="PI328" s="4"/>
      <c r="PJ328" s="4"/>
      <c r="PK328" s="4"/>
      <c r="PL328" s="4"/>
      <c r="PM328" s="5"/>
      <c r="PN328" s="6"/>
      <c r="PO328" s="4"/>
      <c r="PP328" s="4"/>
      <c r="PQ328" s="4"/>
      <c r="PR328" s="4"/>
      <c r="PS328" s="4"/>
      <c r="PT328" s="5"/>
      <c r="PU328" s="6"/>
      <c r="PV328" s="4"/>
      <c r="PW328" s="4"/>
      <c r="PX328" s="4"/>
      <c r="PY328" s="4"/>
      <c r="PZ328" s="4"/>
      <c r="QA328" s="5"/>
      <c r="QB328" s="6" t="s">
        <v>4157</v>
      </c>
      <c r="QC328" s="7" t="s">
        <v>4077</v>
      </c>
      <c r="QD328" s="7" t="s">
        <v>4078</v>
      </c>
      <c r="QE328" s="7" t="s">
        <v>4079</v>
      </c>
      <c r="QF328" s="8">
        <v>38367</v>
      </c>
      <c r="QG328" s="8">
        <v>38383</v>
      </c>
      <c r="QH328" s="5" t="s">
        <v>4155</v>
      </c>
      <c r="QI328" s="6"/>
      <c r="QJ328" s="4"/>
      <c r="QK328" s="4"/>
      <c r="QL328" s="4"/>
      <c r="QM328" s="4"/>
      <c r="QN328" s="4"/>
      <c r="QO328" s="5"/>
      <c r="QP328" s="6"/>
      <c r="QQ328" s="4"/>
      <c r="QR328" s="4"/>
      <c r="QS328" s="4"/>
      <c r="QT328" s="4"/>
      <c r="QU328" s="4"/>
      <c r="QV328" s="5"/>
      <c r="QW328" s="6"/>
      <c r="QX328" s="4"/>
      <c r="QY328" s="4"/>
      <c r="QZ328" s="4"/>
      <c r="RA328" s="4"/>
      <c r="RB328" s="4"/>
      <c r="RC328" s="5"/>
      <c r="RD328" s="6"/>
      <c r="RE328" s="4"/>
      <c r="RF328" s="4"/>
      <c r="RG328" s="4"/>
      <c r="RH328" s="4"/>
      <c r="RI328" s="4"/>
      <c r="RJ328" s="5"/>
      <c r="RK328" s="6"/>
      <c r="RL328" s="4"/>
      <c r="RM328" s="4"/>
      <c r="RN328" s="4"/>
      <c r="RO328" s="4"/>
      <c r="RP328" s="4"/>
      <c r="RQ328" s="5"/>
      <c r="RR328" s="6"/>
      <c r="RS328" s="4"/>
      <c r="RT328" s="4"/>
      <c r="RU328" s="4"/>
      <c r="RV328" s="4"/>
      <c r="RW328" s="4"/>
      <c r="RX328" s="5"/>
      <c r="RY328" s="6"/>
      <c r="RZ328" s="4"/>
      <c r="SA328" s="4"/>
      <c r="SB328" s="4"/>
      <c r="SC328" s="4"/>
      <c r="SD328" s="4"/>
      <c r="SE328" s="5"/>
      <c r="SF328" s="6"/>
      <c r="SG328" s="4"/>
      <c r="SH328" s="4"/>
      <c r="SI328" s="4"/>
      <c r="SJ328" s="4"/>
      <c r="SK328" s="4"/>
      <c r="SL328" s="5"/>
      <c r="SM328" s="6"/>
      <c r="SN328" s="4"/>
      <c r="SO328" s="4"/>
      <c r="SP328" s="4"/>
      <c r="SQ328" s="4"/>
      <c r="SR328" s="4"/>
      <c r="SS328" s="5"/>
      <c r="ST328" s="6"/>
      <c r="SU328" s="4"/>
      <c r="SV328" s="4"/>
      <c r="SW328" s="4"/>
      <c r="SX328" s="4"/>
      <c r="SY328" s="4"/>
      <c r="SZ328" s="5"/>
      <c r="TA328" s="6"/>
      <c r="TB328" s="4"/>
      <c r="TC328" s="4"/>
      <c r="TD328" s="4"/>
      <c r="TE328" s="4"/>
      <c r="TF328" s="4"/>
      <c r="TG328" s="5"/>
      <c r="TH328" s="6"/>
      <c r="TI328" s="4"/>
      <c r="TJ328" s="4"/>
      <c r="TK328" s="4"/>
      <c r="TL328" s="4"/>
      <c r="TM328" s="4"/>
      <c r="TN328" s="5"/>
      <c r="TO328" s="6"/>
      <c r="TP328" s="4"/>
      <c r="TQ328" s="4"/>
      <c r="TR328" s="4"/>
      <c r="TS328" s="4"/>
      <c r="TT328" s="4"/>
      <c r="TU328" s="5"/>
      <c r="TV328" s="6"/>
      <c r="TW328" s="4"/>
      <c r="TX328" s="4"/>
      <c r="TY328" s="4"/>
      <c r="TZ328" s="4"/>
      <c r="UA328" s="4"/>
      <c r="UB328" s="5"/>
      <c r="UC328" s="6"/>
      <c r="UD328" s="4"/>
      <c r="UE328" s="4"/>
      <c r="UF328" s="4"/>
      <c r="UG328" s="4"/>
      <c r="UH328" s="4"/>
      <c r="UI328" s="5"/>
      <c r="UJ328" s="6"/>
      <c r="UK328" s="4"/>
      <c r="UL328" s="4"/>
      <c r="UM328" s="4"/>
      <c r="UN328" s="4"/>
      <c r="UO328" s="4"/>
      <c r="UP328" s="5"/>
      <c r="UQ328" s="6"/>
      <c r="UR328" s="4"/>
      <c r="US328" s="4"/>
      <c r="UT328" s="4"/>
      <c r="UU328" s="4"/>
      <c r="UV328" s="4"/>
      <c r="UW328" s="5"/>
      <c r="UX328" s="15" t="s">
        <v>3151</v>
      </c>
      <c r="UY328" s="12" t="s">
        <v>3151</v>
      </c>
      <c r="UZ328" s="7" t="s">
        <v>3710</v>
      </c>
      <c r="VA328" s="7" t="s">
        <v>3226</v>
      </c>
      <c r="VB328" s="8">
        <v>38367</v>
      </c>
      <c r="VC328" s="8">
        <v>38383</v>
      </c>
      <c r="VD328" s="5" t="s">
        <v>4100</v>
      </c>
      <c r="VE328" s="6"/>
      <c r="VF328" s="4"/>
      <c r="VG328" s="4"/>
      <c r="VH328" s="4"/>
      <c r="VI328" s="4"/>
      <c r="VJ328" s="4"/>
      <c r="VK328" s="5"/>
      <c r="VL328" s="6"/>
      <c r="VM328" s="4"/>
      <c r="VN328" s="4"/>
      <c r="VO328" s="4"/>
      <c r="VP328" s="4"/>
      <c r="VQ328" s="4"/>
      <c r="VR328" s="5"/>
      <c r="VS328" s="6"/>
      <c r="VT328" s="4"/>
      <c r="VU328" s="4"/>
      <c r="VV328" s="4"/>
      <c r="VW328" s="4"/>
      <c r="VX328" s="4"/>
      <c r="VY328" s="5"/>
      <c r="VZ328" s="6"/>
      <c r="WA328" s="4"/>
      <c r="WB328" s="4"/>
      <c r="WC328" s="4"/>
      <c r="WD328" s="4"/>
      <c r="WE328" s="4"/>
      <c r="WF328" s="5"/>
      <c r="WG328" s="6"/>
      <c r="WH328" s="4"/>
      <c r="WI328" s="4"/>
      <c r="WJ328" s="4"/>
      <c r="WK328" s="4"/>
      <c r="WL328" s="4"/>
      <c r="WM328" s="5"/>
      <c r="WN328" s="6"/>
      <c r="WO328" s="4"/>
      <c r="WP328" s="4"/>
      <c r="WQ328" s="4"/>
      <c r="WR328" s="4"/>
      <c r="WS328" s="4"/>
      <c r="WT328" s="5"/>
      <c r="WU328" s="6"/>
      <c r="WV328" s="4"/>
      <c r="WW328" s="4"/>
      <c r="WX328" s="4"/>
      <c r="WY328" s="4"/>
      <c r="WZ328" s="4"/>
      <c r="XA328" s="5"/>
      <c r="XB328" s="6"/>
      <c r="XC328" s="4"/>
      <c r="XD328" s="4"/>
      <c r="XE328" s="4"/>
      <c r="XF328" s="4"/>
      <c r="XG328" s="4"/>
      <c r="XH328" s="5"/>
      <c r="XI328" s="6"/>
      <c r="XJ328" s="4"/>
      <c r="XK328" s="4"/>
      <c r="XL328" s="7"/>
      <c r="XM328" s="8"/>
      <c r="XN328" s="8"/>
      <c r="XO328" s="5"/>
      <c r="XP328" s="6"/>
      <c r="XQ328" s="4"/>
      <c r="XR328" s="4"/>
      <c r="XS328" s="4"/>
      <c r="XT328" s="4"/>
      <c r="XU328" s="4"/>
      <c r="XV328" s="5"/>
      <c r="XW328" s="6"/>
      <c r="XX328" s="4"/>
      <c r="XY328" s="4"/>
      <c r="XZ328" s="4"/>
      <c r="YA328" s="4"/>
      <c r="YB328" s="4"/>
      <c r="YC328" s="5"/>
      <c r="YD328" s="6"/>
      <c r="YE328" s="4"/>
      <c r="YF328" s="4"/>
      <c r="YG328" s="4"/>
      <c r="YH328" s="4"/>
      <c r="YI328" s="4"/>
      <c r="YJ328" s="5"/>
      <c r="YK328" s="6"/>
      <c r="YL328" s="4"/>
      <c r="YM328" s="4"/>
      <c r="YN328" s="4"/>
      <c r="YO328" s="4"/>
      <c r="YP328" s="4"/>
      <c r="YQ328" s="5"/>
      <c r="YR328" s="6"/>
      <c r="YS328" s="4"/>
      <c r="YT328" s="4"/>
      <c r="YU328" s="4"/>
      <c r="YV328" s="4"/>
      <c r="YW328" s="4"/>
      <c r="YX328" s="5"/>
      <c r="YY328" s="6"/>
      <c r="YZ328" s="4"/>
      <c r="ZA328" s="4"/>
      <c r="ZB328" s="4"/>
      <c r="ZC328" s="4"/>
      <c r="ZD328" s="4"/>
      <c r="ZE328" s="5"/>
      <c r="ZF328" s="6"/>
      <c r="ZG328" s="4"/>
      <c r="ZH328" s="4"/>
      <c r="ZI328" s="4"/>
      <c r="ZJ328" s="4"/>
      <c r="ZK328" s="4"/>
      <c r="ZL328" s="5"/>
      <c r="ZM328" s="6"/>
      <c r="ZN328" s="4"/>
      <c r="ZO328" s="4"/>
      <c r="ZP328" s="4"/>
      <c r="ZQ328" s="4"/>
      <c r="ZR328" s="4"/>
      <c r="ZS328" s="5"/>
      <c r="ZT328" s="6"/>
      <c r="ZU328" s="4"/>
      <c r="ZV328" s="4"/>
      <c r="ZW328" s="4"/>
      <c r="ZX328" s="4"/>
      <c r="ZY328" s="4"/>
      <c r="ZZ328" s="5"/>
      <c r="AAA328" s="6"/>
      <c r="AAB328" s="4"/>
      <c r="AAC328" s="4"/>
      <c r="AAD328" s="4"/>
      <c r="AAE328" s="4"/>
      <c r="AAF328" s="4"/>
      <c r="AAG328" s="5"/>
      <c r="AAH328" s="6"/>
      <c r="AAI328" s="4"/>
      <c r="AAJ328" s="4"/>
      <c r="AAK328" s="4"/>
      <c r="AAL328" s="4"/>
      <c r="AAM328" s="4"/>
      <c r="AAN328" s="5"/>
      <c r="AAO328" s="6"/>
      <c r="AAP328" s="4"/>
      <c r="AAQ328" s="4"/>
      <c r="AAR328" s="4"/>
      <c r="AAS328" s="4"/>
      <c r="AAT328" s="4"/>
      <c r="AAU328" s="5"/>
      <c r="AAV328" s="6"/>
      <c r="AAW328" s="4"/>
      <c r="AAX328" s="4"/>
      <c r="AAY328" s="4"/>
      <c r="AAZ328" s="4"/>
      <c r="ABA328" s="4"/>
      <c r="ABB328" s="5"/>
      <c r="ABC328" s="6"/>
      <c r="ABD328" s="4"/>
      <c r="ABE328" s="4"/>
      <c r="ABF328" s="4"/>
      <c r="ABG328" s="4"/>
      <c r="ABH328" s="4"/>
      <c r="ABI328" s="5"/>
      <c r="ABJ328" s="6"/>
      <c r="ABK328" s="4"/>
      <c r="ABL328" s="4"/>
      <c r="ABM328" s="4"/>
      <c r="ABN328" s="4"/>
      <c r="ABO328" s="4"/>
      <c r="ABP328" s="5"/>
      <c r="ABQ328" s="6"/>
      <c r="ABR328" s="4"/>
      <c r="ABS328" s="4"/>
      <c r="ABT328" s="7"/>
      <c r="ABU328" s="8"/>
      <c r="ABV328" s="8"/>
      <c r="ABW328" s="5"/>
      <c r="ABX328" s="6"/>
      <c r="ABY328" s="4"/>
      <c r="ABZ328" s="4"/>
      <c r="ACA328" s="4"/>
      <c r="ACB328" s="4"/>
      <c r="ACC328" s="4"/>
      <c r="ACD328" s="5"/>
      <c r="ACE328" s="6"/>
      <c r="ACF328" s="4"/>
      <c r="ACG328" s="4"/>
      <c r="ACH328" s="4"/>
      <c r="ACI328" s="4"/>
      <c r="ACJ328" s="4"/>
      <c r="ACK328" s="5"/>
      <c r="ACL328" s="6"/>
      <c r="ACM328" s="4"/>
      <c r="ACN328" s="4"/>
      <c r="ACO328" s="4"/>
      <c r="ACP328" s="4"/>
      <c r="ACQ328" s="4"/>
      <c r="ACR328" s="5"/>
      <c r="ACS328" s="6"/>
      <c r="ACT328" s="4"/>
      <c r="ACU328" s="4"/>
      <c r="ACV328" s="4"/>
      <c r="ACW328" s="4"/>
      <c r="ACX328" s="4"/>
      <c r="ACY328" s="5"/>
    </row>
    <row r="329" spans="2:805" x14ac:dyDescent="0.25">
      <c r="J329" s="12"/>
      <c r="K329" s="12"/>
      <c r="L329" s="12"/>
      <c r="LL329" s="6"/>
      <c r="LM329" s="4"/>
      <c r="LN329" s="4"/>
      <c r="LO329" s="4"/>
      <c r="LP329" s="4"/>
      <c r="LQ329" s="4"/>
      <c r="LR329" s="5"/>
      <c r="LS329" s="6"/>
      <c r="LT329" s="4"/>
      <c r="LU329" s="4"/>
      <c r="LV329" s="4"/>
      <c r="LW329" s="4"/>
      <c r="LX329" s="4"/>
      <c r="LY329" s="5"/>
      <c r="LZ329" s="6" t="s">
        <v>3276</v>
      </c>
      <c r="MA329" s="7" t="s">
        <v>3533</v>
      </c>
      <c r="MB329" s="7" t="s">
        <v>3534</v>
      </c>
      <c r="MC329" s="7" t="s">
        <v>3226</v>
      </c>
      <c r="MD329" s="8">
        <v>38367</v>
      </c>
      <c r="ME329" s="8">
        <v>38383</v>
      </c>
      <c r="MF329" s="8"/>
      <c r="MG329" s="5" t="s">
        <v>4137</v>
      </c>
      <c r="MH329" s="6"/>
      <c r="MI329" s="4"/>
      <c r="MJ329" s="4"/>
      <c r="MK329" s="4"/>
      <c r="ML329" s="4"/>
      <c r="MM329" s="4"/>
      <c r="MN329" s="5"/>
      <c r="MO329" s="6"/>
      <c r="MP329" s="4"/>
      <c r="MQ329" s="4"/>
      <c r="MR329" s="4"/>
      <c r="MS329" s="4"/>
      <c r="MT329" s="4"/>
      <c r="MU329" s="5"/>
      <c r="MV329" s="6"/>
      <c r="MW329" s="4"/>
      <c r="MX329" s="4"/>
      <c r="MY329" s="4"/>
      <c r="MZ329" s="4"/>
      <c r="NA329" s="4"/>
      <c r="NB329" s="5"/>
      <c r="NC329" s="6"/>
      <c r="ND329" s="4"/>
      <c r="NE329" s="4"/>
      <c r="NF329" s="7"/>
      <c r="NG329" s="8"/>
      <c r="NH329" s="8"/>
      <c r="NI329" s="5"/>
      <c r="NJ329" s="6"/>
      <c r="NK329" s="4"/>
      <c r="NL329" s="4"/>
      <c r="NM329" s="4"/>
      <c r="NN329" s="4"/>
      <c r="NO329" s="4"/>
      <c r="NP329" s="5"/>
      <c r="NQ329" s="6"/>
      <c r="NR329" s="4"/>
      <c r="NS329" s="4"/>
      <c r="NT329" s="4"/>
      <c r="NU329" s="4"/>
      <c r="NV329" s="4"/>
      <c r="NW329" s="5"/>
      <c r="NX329" s="6"/>
      <c r="NY329" s="4"/>
      <c r="NZ329" s="4"/>
      <c r="OA329" s="4"/>
      <c r="OB329" s="4"/>
      <c r="OC329" s="4"/>
      <c r="OD329" s="5"/>
      <c r="OE329" s="6"/>
      <c r="OF329" s="4"/>
      <c r="OG329" s="4"/>
      <c r="OH329" s="4"/>
      <c r="OI329" s="4"/>
      <c r="OJ329" s="4"/>
      <c r="OK329" s="5"/>
      <c r="OL329" s="6"/>
      <c r="OM329" s="4"/>
      <c r="ON329" s="4"/>
      <c r="OO329" s="4"/>
      <c r="OP329" s="4"/>
      <c r="OQ329" s="4"/>
      <c r="OR329" s="5"/>
      <c r="OS329" s="6"/>
      <c r="OT329" s="4"/>
      <c r="OU329" s="4"/>
      <c r="OV329" s="4"/>
      <c r="OW329" s="4"/>
      <c r="OX329" s="4"/>
      <c r="OY329" s="5"/>
      <c r="OZ329" s="6"/>
      <c r="PA329" s="4"/>
      <c r="PB329" s="4"/>
      <c r="PC329" s="4"/>
      <c r="PD329" s="4"/>
      <c r="PE329" s="4"/>
      <c r="PF329" s="5"/>
      <c r="PG329" s="6"/>
      <c r="PH329" s="4"/>
      <c r="PI329" s="4"/>
      <c r="PJ329" s="4"/>
      <c r="PK329" s="4"/>
      <c r="PL329" s="4"/>
      <c r="PM329" s="5"/>
      <c r="PN329" s="6"/>
      <c r="PO329" s="4"/>
      <c r="PP329" s="4"/>
      <c r="PQ329" s="4"/>
      <c r="PR329" s="4"/>
      <c r="PS329" s="4"/>
      <c r="PT329" s="5"/>
      <c r="PU329" s="6"/>
      <c r="PV329" s="4"/>
      <c r="PW329" s="4"/>
      <c r="PX329" s="4"/>
      <c r="PY329" s="4"/>
      <c r="PZ329" s="4"/>
      <c r="QA329" s="5"/>
      <c r="QB329" s="6"/>
      <c r="QC329" s="7"/>
      <c r="QD329" s="7"/>
      <c r="QE329" s="7"/>
      <c r="QF329" s="8"/>
      <c r="QG329" s="8"/>
      <c r="QH329" s="5"/>
      <c r="QI329" s="6"/>
      <c r="QJ329" s="4"/>
      <c r="QK329" s="4"/>
      <c r="QL329" s="4"/>
      <c r="QM329" s="4"/>
      <c r="QN329" s="4"/>
      <c r="QO329" s="5"/>
      <c r="QP329" s="6"/>
      <c r="QQ329" s="4"/>
      <c r="QR329" s="4"/>
      <c r="QS329" s="4"/>
      <c r="QT329" s="4"/>
      <c r="QU329" s="4"/>
      <c r="QV329" s="5"/>
      <c r="QW329" s="6"/>
      <c r="QX329" s="4"/>
      <c r="QY329" s="4"/>
      <c r="QZ329" s="4"/>
      <c r="RA329" s="4"/>
      <c r="RB329" s="4"/>
      <c r="RC329" s="5"/>
      <c r="RD329" s="6"/>
      <c r="RE329" s="4"/>
      <c r="RF329" s="4"/>
      <c r="RG329" s="4"/>
      <c r="RH329" s="4"/>
      <c r="RI329" s="4"/>
      <c r="RJ329" s="5"/>
      <c r="RK329" s="6"/>
      <c r="RL329" s="4"/>
      <c r="RM329" s="4"/>
      <c r="RN329" s="4"/>
      <c r="RO329" s="4"/>
      <c r="RP329" s="4"/>
      <c r="RQ329" s="5"/>
      <c r="RR329" s="6"/>
      <c r="RS329" s="4"/>
      <c r="RT329" s="4"/>
      <c r="RU329" s="4"/>
      <c r="RV329" s="4"/>
      <c r="RW329" s="4"/>
      <c r="RX329" s="5"/>
      <c r="RY329" s="6"/>
      <c r="RZ329" s="4"/>
      <c r="SA329" s="4"/>
      <c r="SB329" s="4"/>
      <c r="SC329" s="4"/>
      <c r="SD329" s="4"/>
      <c r="SE329" s="5"/>
      <c r="SF329" s="6"/>
      <c r="SG329" s="4"/>
      <c r="SH329" s="4"/>
      <c r="SI329" s="4"/>
      <c r="SJ329" s="4"/>
      <c r="SK329" s="4"/>
      <c r="SL329" s="5"/>
      <c r="SM329" s="6"/>
      <c r="SN329" s="4"/>
      <c r="SO329" s="4"/>
      <c r="SP329" s="4"/>
      <c r="SQ329" s="4"/>
      <c r="SR329" s="4"/>
      <c r="SS329" s="5"/>
      <c r="ST329" s="6"/>
      <c r="SU329" s="4"/>
      <c r="SV329" s="4"/>
      <c r="SW329" s="4"/>
      <c r="SX329" s="4"/>
      <c r="SY329" s="4"/>
      <c r="SZ329" s="5"/>
      <c r="TA329" s="6"/>
      <c r="TB329" s="4"/>
      <c r="TC329" s="4"/>
      <c r="TD329" s="4"/>
      <c r="TE329" s="4"/>
      <c r="TF329" s="4"/>
      <c r="TG329" s="5"/>
      <c r="TH329" s="6"/>
      <c r="TI329" s="4"/>
      <c r="TJ329" s="4"/>
      <c r="TK329" s="4"/>
      <c r="TL329" s="4"/>
      <c r="TM329" s="4"/>
      <c r="TN329" s="5"/>
      <c r="TO329" s="6"/>
      <c r="TP329" s="4"/>
      <c r="TQ329" s="4"/>
      <c r="TR329" s="4"/>
      <c r="TS329" s="4"/>
      <c r="TT329" s="4"/>
      <c r="TU329" s="5"/>
      <c r="TV329" s="6"/>
      <c r="TW329" s="4"/>
      <c r="TX329" s="4"/>
      <c r="TY329" s="4"/>
      <c r="TZ329" s="4"/>
      <c r="UA329" s="4"/>
      <c r="UB329" s="5"/>
      <c r="UC329" s="6"/>
      <c r="UD329" s="4"/>
      <c r="UE329" s="4"/>
      <c r="UF329" s="4"/>
      <c r="UG329" s="4"/>
      <c r="UH329" s="4"/>
      <c r="UI329" s="5"/>
      <c r="UJ329" s="6"/>
      <c r="UK329" s="4"/>
      <c r="UL329" s="4"/>
      <c r="UM329" s="4"/>
      <c r="UN329" s="4"/>
      <c r="UO329" s="4"/>
      <c r="UP329" s="5"/>
      <c r="UQ329" s="6"/>
      <c r="UR329" s="4"/>
      <c r="US329" s="4"/>
      <c r="UT329" s="4"/>
      <c r="UU329" s="4"/>
      <c r="UV329" s="4"/>
      <c r="UW329" s="5"/>
      <c r="UX329" s="6" t="s">
        <v>3278</v>
      </c>
      <c r="UY329" s="4" t="s">
        <v>3169</v>
      </c>
      <c r="UZ329" s="7" t="s">
        <v>3426</v>
      </c>
      <c r="VA329" s="4"/>
      <c r="VB329" s="8">
        <v>38367</v>
      </c>
      <c r="VC329" s="4"/>
      <c r="VD329" s="5" t="s">
        <v>4101</v>
      </c>
      <c r="VE329" s="6"/>
      <c r="VF329" s="4"/>
      <c r="VG329" s="4"/>
      <c r="VH329" s="4"/>
      <c r="VI329" s="4"/>
      <c r="VJ329" s="4"/>
      <c r="VK329" s="5"/>
      <c r="VL329" s="6"/>
      <c r="VM329" s="4"/>
      <c r="VN329" s="4"/>
      <c r="VO329" s="4"/>
      <c r="VP329" s="4"/>
      <c r="VQ329" s="4"/>
      <c r="VR329" s="5"/>
      <c r="VS329" s="6"/>
      <c r="VT329" s="4"/>
      <c r="VU329" s="4"/>
      <c r="VV329" s="4"/>
      <c r="VW329" s="4"/>
      <c r="VX329" s="4"/>
      <c r="VY329" s="5"/>
      <c r="VZ329" s="6"/>
      <c r="WA329" s="4"/>
      <c r="WB329" s="4"/>
      <c r="WC329" s="4"/>
      <c r="WD329" s="4"/>
      <c r="WE329" s="4"/>
      <c r="WF329" s="5"/>
      <c r="WG329" s="6"/>
      <c r="WH329" s="4"/>
      <c r="WI329" s="4"/>
      <c r="WJ329" s="4"/>
      <c r="WK329" s="4"/>
      <c r="WL329" s="4"/>
      <c r="WM329" s="5"/>
      <c r="WN329" s="6"/>
      <c r="WO329" s="4"/>
      <c r="WP329" s="4"/>
      <c r="WQ329" s="4"/>
      <c r="WR329" s="4"/>
      <c r="WS329" s="4"/>
      <c r="WT329" s="5"/>
      <c r="WU329" s="6"/>
      <c r="WV329" s="4"/>
      <c r="WW329" s="4"/>
      <c r="WX329" s="4"/>
      <c r="WY329" s="4"/>
      <c r="WZ329" s="4"/>
      <c r="XA329" s="5"/>
      <c r="XB329" s="6"/>
      <c r="XC329" s="4"/>
      <c r="XD329" s="4"/>
      <c r="XE329" s="4"/>
      <c r="XF329" s="4"/>
      <c r="XG329" s="4"/>
      <c r="XH329" s="5"/>
      <c r="XI329" s="6"/>
      <c r="XJ329" s="4"/>
      <c r="XK329" s="4"/>
      <c r="XL329" s="7"/>
      <c r="XM329" s="8"/>
      <c r="XN329" s="8"/>
      <c r="XO329" s="5"/>
      <c r="XP329" s="6"/>
      <c r="XQ329" s="4"/>
      <c r="XR329" s="4"/>
      <c r="XS329" s="4"/>
      <c r="XT329" s="4"/>
      <c r="XU329" s="4"/>
      <c r="XV329" s="5"/>
      <c r="XW329" s="6"/>
      <c r="XX329" s="4"/>
      <c r="XY329" s="4"/>
      <c r="XZ329" s="4"/>
      <c r="YA329" s="4"/>
      <c r="YB329" s="4"/>
      <c r="YC329" s="5"/>
      <c r="YD329" s="6"/>
      <c r="YE329" s="4"/>
      <c r="YF329" s="4"/>
      <c r="YG329" s="4"/>
      <c r="YH329" s="4"/>
      <c r="YI329" s="4"/>
      <c r="YJ329" s="5"/>
      <c r="YK329" s="6"/>
      <c r="YL329" s="4"/>
      <c r="YM329" s="4"/>
      <c r="YN329" s="4"/>
      <c r="YO329" s="4"/>
      <c r="YP329" s="4"/>
      <c r="YQ329" s="5"/>
      <c r="YR329" s="6"/>
      <c r="YS329" s="4"/>
      <c r="YT329" s="4"/>
      <c r="YU329" s="4"/>
      <c r="YV329" s="4"/>
      <c r="YW329" s="4"/>
      <c r="YX329" s="5"/>
      <c r="YY329" s="6"/>
      <c r="YZ329" s="4"/>
      <c r="ZA329" s="4"/>
      <c r="ZB329" s="4"/>
      <c r="ZC329" s="4"/>
      <c r="ZD329" s="4"/>
      <c r="ZE329" s="5"/>
      <c r="ZF329" s="6"/>
      <c r="ZG329" s="4"/>
      <c r="ZH329" s="4"/>
      <c r="ZI329" s="4"/>
      <c r="ZJ329" s="4"/>
      <c r="ZK329" s="4"/>
      <c r="ZL329" s="5"/>
      <c r="ZM329" s="6"/>
      <c r="ZN329" s="4"/>
      <c r="ZO329" s="4"/>
      <c r="ZP329" s="4"/>
      <c r="ZQ329" s="4"/>
      <c r="ZR329" s="4"/>
      <c r="ZS329" s="5"/>
      <c r="ZT329" s="6"/>
      <c r="ZU329" s="4"/>
      <c r="ZV329" s="4"/>
      <c r="ZW329" s="4"/>
      <c r="ZX329" s="4"/>
      <c r="ZY329" s="4"/>
      <c r="ZZ329" s="5"/>
      <c r="AAA329" s="6"/>
      <c r="AAB329" s="4"/>
      <c r="AAC329" s="4"/>
      <c r="AAD329" s="4"/>
      <c r="AAE329" s="4"/>
      <c r="AAF329" s="4"/>
      <c r="AAG329" s="5"/>
      <c r="AAH329" s="6"/>
      <c r="AAI329" s="4"/>
      <c r="AAJ329" s="4"/>
      <c r="AAK329" s="4"/>
      <c r="AAL329" s="4"/>
      <c r="AAM329" s="4"/>
      <c r="AAN329" s="5"/>
      <c r="AAO329" s="6"/>
      <c r="AAP329" s="4"/>
      <c r="AAQ329" s="4"/>
      <c r="AAR329" s="4"/>
      <c r="AAS329" s="4"/>
      <c r="AAT329" s="4"/>
      <c r="AAU329" s="5"/>
      <c r="AAV329" s="6"/>
      <c r="AAW329" s="4"/>
      <c r="AAX329" s="4"/>
      <c r="AAY329" s="4"/>
      <c r="AAZ329" s="4"/>
      <c r="ABA329" s="4"/>
      <c r="ABB329" s="5"/>
      <c r="ABC329" s="6"/>
      <c r="ABD329" s="4"/>
      <c r="ABE329" s="4"/>
      <c r="ABF329" s="4"/>
      <c r="ABG329" s="4"/>
      <c r="ABH329" s="4"/>
      <c r="ABI329" s="5"/>
      <c r="ABJ329" s="6"/>
      <c r="ABK329" s="4"/>
      <c r="ABL329" s="4"/>
      <c r="ABM329" s="4"/>
      <c r="ABN329" s="4"/>
      <c r="ABO329" s="4"/>
      <c r="ABP329" s="5"/>
      <c r="ABQ329" s="6"/>
      <c r="ABR329" s="4"/>
      <c r="ABS329" s="4"/>
      <c r="ABT329" s="7"/>
      <c r="ABU329" s="8"/>
      <c r="ABV329" s="8"/>
      <c r="ABW329" s="5"/>
      <c r="ABX329" s="6"/>
      <c r="ABY329" s="4"/>
      <c r="ABZ329" s="4"/>
      <c r="ACA329" s="4"/>
      <c r="ACB329" s="4"/>
      <c r="ACC329" s="4"/>
      <c r="ACD329" s="5"/>
      <c r="ACE329" s="6"/>
      <c r="ACF329" s="4"/>
      <c r="ACG329" s="4"/>
      <c r="ACH329" s="4"/>
      <c r="ACI329" s="4"/>
      <c r="ACJ329" s="4"/>
      <c r="ACK329" s="5"/>
      <c r="ACL329" s="6"/>
      <c r="ACM329" s="4"/>
      <c r="ACN329" s="4"/>
      <c r="ACO329" s="4"/>
      <c r="ACP329" s="4"/>
      <c r="ACQ329" s="4"/>
      <c r="ACR329" s="5"/>
      <c r="ACS329" s="6"/>
      <c r="ACT329" s="4"/>
      <c r="ACU329" s="4"/>
      <c r="ACV329" s="4"/>
      <c r="ACW329" s="4"/>
      <c r="ACX329" s="4"/>
      <c r="ACY329" s="5"/>
    </row>
    <row r="330" spans="2:805" x14ac:dyDescent="0.25">
      <c r="B330" s="29">
        <v>8009364</v>
      </c>
      <c r="C330" s="57">
        <v>70</v>
      </c>
      <c r="D330" t="s">
        <v>2121</v>
      </c>
      <c r="E330" s="38" t="s">
        <v>4164</v>
      </c>
      <c r="F330" s="23">
        <v>0</v>
      </c>
      <c r="I330">
        <v>1</v>
      </c>
      <c r="J330" s="19">
        <v>38290</v>
      </c>
      <c r="K330" s="19" t="s">
        <v>4076</v>
      </c>
      <c r="L330" s="19" t="s">
        <v>3860</v>
      </c>
      <c r="U330">
        <v>1</v>
      </c>
      <c r="V330">
        <v>1</v>
      </c>
      <c r="AL330">
        <v>1</v>
      </c>
      <c r="AM330">
        <v>1</v>
      </c>
      <c r="AV330">
        <v>1</v>
      </c>
      <c r="AZ330">
        <v>1</v>
      </c>
      <c r="IS330">
        <v>1</v>
      </c>
      <c r="KI330">
        <v>1</v>
      </c>
      <c r="LL330" s="6" t="s">
        <v>3348</v>
      </c>
      <c r="LM330" s="4" t="s">
        <v>3349</v>
      </c>
      <c r="LN330" s="4"/>
      <c r="LO330" s="4" t="s">
        <v>3350</v>
      </c>
      <c r="LP330" s="8">
        <v>38285</v>
      </c>
      <c r="LQ330" s="8">
        <v>38285</v>
      </c>
      <c r="LR330" s="5" t="s">
        <v>3861</v>
      </c>
      <c r="LS330" s="6" t="s">
        <v>2951</v>
      </c>
      <c r="LT330" s="4" t="s">
        <v>2952</v>
      </c>
      <c r="LU330" s="4"/>
      <c r="LV330" s="4" t="s">
        <v>3625</v>
      </c>
      <c r="LW330" s="8">
        <v>38286</v>
      </c>
      <c r="LX330" s="8">
        <v>38291</v>
      </c>
      <c r="LY330" s="5" t="s">
        <v>3957</v>
      </c>
      <c r="LZ330" s="6" t="s">
        <v>3684</v>
      </c>
      <c r="MA330" t="s">
        <v>3544</v>
      </c>
      <c r="MB330" s="4"/>
      <c r="MC330" s="4" t="s">
        <v>3466</v>
      </c>
      <c r="MD330" s="8">
        <v>38284</v>
      </c>
      <c r="ME330" s="8">
        <v>38292</v>
      </c>
      <c r="MF330" s="8"/>
      <c r="MG330" s="5"/>
      <c r="MH330" s="6"/>
      <c r="MI330" s="4"/>
      <c r="MJ330" s="4"/>
      <c r="MK330" s="4"/>
      <c r="ML330" s="4"/>
      <c r="MM330" s="4"/>
      <c r="MN330" s="5"/>
      <c r="MO330" s="6"/>
      <c r="MP330" s="4"/>
      <c r="MQ330" s="4"/>
      <c r="MR330" s="4"/>
      <c r="MS330" s="4"/>
      <c r="MT330" s="4"/>
      <c r="MU330" s="5"/>
      <c r="MV330" s="6" t="s">
        <v>3500</v>
      </c>
      <c r="MW330" s="4" t="s">
        <v>2769</v>
      </c>
      <c r="MX330" s="4"/>
      <c r="MY330" s="4" t="s">
        <v>3380</v>
      </c>
      <c r="MZ330" s="8">
        <v>38285</v>
      </c>
      <c r="NA330" s="8">
        <v>38285</v>
      </c>
      <c r="NB330" s="5" t="s">
        <v>3864</v>
      </c>
      <c r="NC330" s="6" t="s">
        <v>2005</v>
      </c>
      <c r="ND330" s="7" t="s">
        <v>2006</v>
      </c>
      <c r="NE330" s="4"/>
      <c r="NF330" s="4" t="s">
        <v>3524</v>
      </c>
      <c r="NG330" s="8">
        <v>38290</v>
      </c>
      <c r="NH330" s="8">
        <v>38291</v>
      </c>
      <c r="NI330" s="5" t="s">
        <v>3865</v>
      </c>
      <c r="NJ330" s="6" t="s">
        <v>2499</v>
      </c>
      <c r="NK330" s="4" t="s">
        <v>2500</v>
      </c>
      <c r="NL330" s="4"/>
      <c r="NM330" s="4"/>
      <c r="NN330" s="8">
        <v>38283</v>
      </c>
      <c r="NO330" s="4"/>
      <c r="NP330" s="5" t="s">
        <v>3867</v>
      </c>
      <c r="NQ330" s="6"/>
      <c r="NR330" s="4"/>
      <c r="NS330" s="4"/>
      <c r="NT330" s="4"/>
      <c r="NU330" s="4"/>
      <c r="NV330" s="4"/>
      <c r="NW330" s="5"/>
      <c r="NX330" s="6" t="s">
        <v>3538</v>
      </c>
      <c r="NY330" s="4" t="s">
        <v>3681</v>
      </c>
      <c r="NZ330" s="4" t="s">
        <v>3682</v>
      </c>
      <c r="OA330" s="4"/>
      <c r="OB330" s="8">
        <v>38283</v>
      </c>
      <c r="OC330" s="4"/>
      <c r="OD330" s="5"/>
      <c r="OE330" s="6"/>
      <c r="OF330" s="4"/>
      <c r="OG330" s="4"/>
      <c r="OH330" s="4"/>
      <c r="OI330" s="4"/>
      <c r="OJ330" s="4"/>
      <c r="OK330" s="5"/>
      <c r="OL330" s="6"/>
      <c r="OM330" s="4"/>
      <c r="ON330" s="4"/>
      <c r="OO330" s="4"/>
      <c r="OP330" s="4"/>
      <c r="OQ330" s="4"/>
      <c r="OR330" s="5"/>
      <c r="OS330" s="6"/>
      <c r="OT330" s="4"/>
      <c r="OU330" s="4"/>
      <c r="OV330" s="4"/>
      <c r="OW330" s="4"/>
      <c r="OX330" s="4"/>
      <c r="OY330" s="5"/>
      <c r="OZ330" s="6" t="s">
        <v>3294</v>
      </c>
      <c r="PA330" s="4" t="s">
        <v>3295</v>
      </c>
      <c r="PB330" s="4"/>
      <c r="PC330" s="4" t="s">
        <v>3380</v>
      </c>
      <c r="PD330" s="8">
        <v>38283</v>
      </c>
      <c r="PE330" s="8">
        <v>38283</v>
      </c>
      <c r="PF330" s="5" t="s">
        <v>4011</v>
      </c>
      <c r="PG330" s="6"/>
      <c r="PH330" s="4"/>
      <c r="PI330" s="4"/>
      <c r="PJ330" s="4"/>
      <c r="PK330" s="4"/>
      <c r="PL330" s="4"/>
      <c r="PM330" s="5"/>
      <c r="PN330" s="6"/>
      <c r="PO330" s="4"/>
      <c r="PP330" s="4"/>
      <c r="PQ330" s="4"/>
      <c r="PR330" s="4"/>
      <c r="PS330" s="4"/>
      <c r="PT330" s="5"/>
      <c r="PU330" s="6"/>
      <c r="PV330" s="4"/>
      <c r="PW330" s="4"/>
      <c r="PX330" s="4"/>
      <c r="PY330" s="4"/>
      <c r="PZ330" s="4"/>
      <c r="QA330" s="5"/>
      <c r="QB330" s="6" t="s">
        <v>3537</v>
      </c>
      <c r="QC330" s="4" t="s">
        <v>3090</v>
      </c>
      <c r="QD330" s="4"/>
      <c r="QE330" s="4" t="s">
        <v>3602</v>
      </c>
      <c r="QF330" s="8">
        <v>38284</v>
      </c>
      <c r="QG330" s="8">
        <v>38287</v>
      </c>
      <c r="QH330" s="5" t="s">
        <v>3585</v>
      </c>
      <c r="QI330" s="6"/>
      <c r="QJ330" s="4"/>
      <c r="QK330" s="4"/>
      <c r="QL330" s="4"/>
      <c r="QM330" s="4"/>
      <c r="QN330" s="4"/>
      <c r="QO330" s="5"/>
      <c r="QP330" s="6"/>
      <c r="QQ330" s="4"/>
      <c r="QR330" s="4"/>
      <c r="QS330" s="4"/>
      <c r="QT330" s="4"/>
      <c r="QU330" s="4"/>
      <c r="QV330" s="5"/>
      <c r="QW330" s="6"/>
      <c r="QX330" s="4"/>
      <c r="QY330" s="4"/>
      <c r="QZ330" s="4"/>
      <c r="RA330" s="4"/>
      <c r="RB330" s="4"/>
      <c r="RC330" s="5"/>
      <c r="RD330" s="6"/>
      <c r="RE330" s="4"/>
      <c r="RF330" s="4"/>
      <c r="RG330" s="4"/>
      <c r="RH330" s="4"/>
      <c r="RI330" s="4"/>
      <c r="RJ330" s="5"/>
      <c r="RK330" s="6"/>
      <c r="RL330" s="4"/>
      <c r="RM330" s="4"/>
      <c r="RN330" s="4"/>
      <c r="RO330" s="4"/>
      <c r="RP330" s="4"/>
      <c r="RQ330" s="5"/>
      <c r="RR330" s="6"/>
      <c r="RS330" s="4"/>
      <c r="RT330" s="4"/>
      <c r="RU330" s="4"/>
      <c r="RV330" s="4"/>
      <c r="RW330" s="4"/>
      <c r="RX330" s="5"/>
      <c r="RY330" s="6"/>
      <c r="RZ330" s="4"/>
      <c r="SA330" s="4"/>
      <c r="SB330" s="4"/>
      <c r="SC330" s="4"/>
      <c r="SD330" s="4"/>
      <c r="SE330" s="5"/>
      <c r="SF330" s="6"/>
      <c r="SG330" s="4"/>
      <c r="SH330" s="4"/>
      <c r="SI330" s="4"/>
      <c r="SJ330" s="4"/>
      <c r="SK330" s="4"/>
      <c r="SL330" s="5"/>
      <c r="SM330" s="6"/>
      <c r="SN330" s="4"/>
      <c r="SO330" s="4"/>
      <c r="SP330" s="4"/>
      <c r="SQ330" s="4"/>
      <c r="SR330" s="4"/>
      <c r="SS330" s="5"/>
      <c r="ST330" s="4" t="s">
        <v>2775</v>
      </c>
      <c r="SU330" s="4" t="s">
        <v>2775</v>
      </c>
      <c r="SV330" s="4"/>
      <c r="SW330" s="4" t="s">
        <v>3221</v>
      </c>
      <c r="SX330" s="8">
        <v>38285</v>
      </c>
      <c r="SY330" s="8">
        <v>38287</v>
      </c>
      <c r="SZ330" s="5"/>
      <c r="TA330" s="6"/>
      <c r="TB330" s="4"/>
      <c r="TC330" s="4"/>
      <c r="TD330" s="4"/>
      <c r="TE330" s="4"/>
      <c r="TF330" s="4"/>
      <c r="TG330" s="5"/>
      <c r="TH330" s="6"/>
      <c r="TI330" s="4"/>
      <c r="TJ330" s="4"/>
      <c r="TK330" s="4"/>
      <c r="TL330" s="4"/>
      <c r="TM330" s="4"/>
      <c r="TN330" s="5"/>
      <c r="TO330" s="6"/>
      <c r="TP330" s="4"/>
      <c r="TQ330" s="4"/>
      <c r="TR330" s="4"/>
      <c r="TS330" s="4"/>
      <c r="TT330" s="4"/>
      <c r="TU330" s="5"/>
      <c r="TV330" s="6"/>
      <c r="TW330" s="4"/>
      <c r="TX330" s="4"/>
      <c r="TY330" s="4"/>
      <c r="TZ330" s="4"/>
      <c r="UA330" s="4"/>
      <c r="UB330" s="5"/>
      <c r="UC330" s="6"/>
      <c r="UD330" s="4"/>
      <c r="UE330" s="4"/>
      <c r="UF330" s="4"/>
      <c r="UG330" s="4"/>
      <c r="UH330" s="4"/>
      <c r="UI330" s="5"/>
      <c r="UJ330" s="6"/>
      <c r="UK330" s="4"/>
      <c r="UL330" s="4"/>
      <c r="UM330" s="4"/>
      <c r="UN330" s="4"/>
      <c r="UO330" s="4"/>
      <c r="UP330" s="5"/>
      <c r="UQ330" s="6"/>
      <c r="UR330" s="4"/>
      <c r="US330" s="4"/>
      <c r="UT330" s="4"/>
      <c r="UU330" s="4"/>
      <c r="UV330" s="4"/>
      <c r="UW330" s="5"/>
      <c r="UX330" s="6" t="s">
        <v>2642</v>
      </c>
      <c r="UY330" s="4" t="s">
        <v>2642</v>
      </c>
      <c r="UZ330" s="4"/>
      <c r="VA330" s="4" t="s">
        <v>3571</v>
      </c>
      <c r="VB330" s="8">
        <v>38284</v>
      </c>
      <c r="VC330" s="8">
        <v>38285</v>
      </c>
      <c r="VD330" s="5" t="s">
        <v>3935</v>
      </c>
      <c r="VE330" s="6" t="s">
        <v>3680</v>
      </c>
      <c r="VF330" s="4" t="s">
        <v>2333</v>
      </c>
      <c r="VG330" s="4"/>
      <c r="VH330" s="4"/>
      <c r="VI330" s="8">
        <v>38283</v>
      </c>
      <c r="VJ330" s="4"/>
      <c r="VK330" s="5" t="s">
        <v>3869</v>
      </c>
      <c r="VL330" s="6" t="s">
        <v>3439</v>
      </c>
      <c r="VM330" s="4" t="s">
        <v>3440</v>
      </c>
      <c r="VN330" s="4"/>
      <c r="VO330" s="4"/>
      <c r="VP330" s="8">
        <v>38290</v>
      </c>
      <c r="VQ330" s="4"/>
      <c r="VR330" s="5"/>
      <c r="VS330" s="6"/>
      <c r="VT330" s="4"/>
      <c r="VU330" s="4"/>
      <c r="VV330" s="4"/>
      <c r="VW330" s="4"/>
      <c r="VX330" s="4"/>
      <c r="VY330" s="5"/>
      <c r="VZ330" s="6" t="s">
        <v>3447</v>
      </c>
      <c r="WA330" s="4" t="s">
        <v>3448</v>
      </c>
      <c r="WB330" s="4"/>
      <c r="WC330" s="4" t="s">
        <v>3380</v>
      </c>
      <c r="WD330" s="8">
        <v>38290</v>
      </c>
      <c r="WE330" s="8">
        <v>38290</v>
      </c>
      <c r="WF330" s="5" t="s">
        <v>3870</v>
      </c>
      <c r="WG330" s="6"/>
      <c r="WH330" s="4"/>
      <c r="WI330" s="4"/>
      <c r="WJ330" s="4"/>
      <c r="WK330" s="4"/>
      <c r="WL330" s="4"/>
      <c r="WM330" s="5"/>
      <c r="WN330" s="6"/>
      <c r="WO330" s="4"/>
      <c r="WP330" s="4"/>
      <c r="WQ330" s="4"/>
      <c r="WR330" s="4"/>
      <c r="WS330" s="4"/>
      <c r="WT330" s="5"/>
      <c r="WU330" s="6"/>
      <c r="WV330" s="4"/>
      <c r="WW330" s="4"/>
      <c r="WX330" s="4"/>
      <c r="WY330" s="4"/>
      <c r="WZ330" s="4"/>
      <c r="XA330" s="5"/>
      <c r="XB330" s="6"/>
      <c r="XC330" s="4"/>
      <c r="XD330" s="4"/>
      <c r="XE330" s="4"/>
      <c r="XF330" s="4"/>
      <c r="XG330" s="4"/>
      <c r="XH330" s="5"/>
      <c r="XI330" s="6"/>
      <c r="XJ330" s="4"/>
      <c r="XK330" s="4"/>
      <c r="XL330" s="4"/>
      <c r="XM330" s="4"/>
      <c r="XN330" s="4"/>
      <c r="XO330" s="5"/>
      <c r="XP330" s="6"/>
      <c r="XQ330" s="4"/>
      <c r="XR330" s="4"/>
      <c r="XS330" s="4"/>
      <c r="XT330" s="4"/>
      <c r="XU330" s="4"/>
      <c r="XV330" s="5"/>
      <c r="XW330" s="6"/>
      <c r="XX330" s="4"/>
      <c r="XY330" s="4"/>
      <c r="XZ330" s="4"/>
      <c r="YA330" s="4"/>
      <c r="YB330" s="4"/>
      <c r="YC330" s="5"/>
      <c r="YD330" s="6"/>
      <c r="YE330" s="4"/>
      <c r="YF330" s="4"/>
      <c r="YG330" s="4"/>
      <c r="YH330" s="4"/>
      <c r="YI330" s="4"/>
      <c r="YJ330" s="5"/>
      <c r="YK330" s="6" t="s">
        <v>3441</v>
      </c>
      <c r="YL330" s="4" t="s">
        <v>3658</v>
      </c>
      <c r="YM330" s="4"/>
      <c r="YN330" s="7" t="s">
        <v>3380</v>
      </c>
      <c r="YO330" s="8">
        <v>38294</v>
      </c>
      <c r="YP330" s="8">
        <v>38294</v>
      </c>
      <c r="YQ330" s="5" t="s">
        <v>4007</v>
      </c>
      <c r="YR330" s="6" t="s">
        <v>3438</v>
      </c>
      <c r="YS330" s="4" t="s">
        <v>2538</v>
      </c>
      <c r="YT330" s="4"/>
      <c r="YU330" s="4"/>
      <c r="YV330" s="8">
        <v>38283</v>
      </c>
      <c r="YW330" s="4"/>
      <c r="YX330" s="5" t="s">
        <v>3864</v>
      </c>
      <c r="YY330" s="6" t="s">
        <v>3522</v>
      </c>
      <c r="YZ330" s="4" t="s">
        <v>1755</v>
      </c>
      <c r="ZA330" s="4"/>
      <c r="ZB330" s="4"/>
      <c r="ZC330" s="8">
        <v>38289</v>
      </c>
      <c r="ZD330" s="4"/>
      <c r="ZE330" s="5"/>
      <c r="ZF330" s="6"/>
      <c r="ZG330" s="4"/>
      <c r="ZH330" s="4"/>
      <c r="ZI330" s="4"/>
      <c r="ZJ330" s="4"/>
      <c r="ZK330" s="4"/>
      <c r="ZL330" s="5"/>
      <c r="ZM330" s="6" t="s">
        <v>2979</v>
      </c>
      <c r="ZN330" s="4" t="s">
        <v>2706</v>
      </c>
      <c r="ZO330" s="4"/>
      <c r="ZP330" s="4"/>
      <c r="ZQ330" s="8">
        <v>38289</v>
      </c>
      <c r="ZR330" s="4"/>
      <c r="ZS330" s="5" t="s">
        <v>3966</v>
      </c>
      <c r="ZT330" s="6"/>
      <c r="ZU330" s="4"/>
      <c r="ZV330" s="4"/>
      <c r="ZW330" s="4"/>
      <c r="ZX330" s="4"/>
      <c r="ZY330" s="4"/>
      <c r="ZZ330" s="5"/>
      <c r="AAA330" s="6"/>
      <c r="AAB330" s="4"/>
      <c r="AAC330" s="4"/>
      <c r="AAD330" s="4"/>
      <c r="AAE330" s="4"/>
      <c r="AAF330" s="4"/>
      <c r="AAG330" s="5"/>
      <c r="AAH330" s="6" t="s">
        <v>3542</v>
      </c>
      <c r="AAI330" s="7" t="s">
        <v>3543</v>
      </c>
      <c r="AAJ330" s="4"/>
      <c r="AAK330" s="4" t="s">
        <v>3355</v>
      </c>
      <c r="AAL330" s="8">
        <v>38283</v>
      </c>
      <c r="AAM330" s="8">
        <v>38283</v>
      </c>
      <c r="AAN330" s="5" t="s">
        <v>3957</v>
      </c>
      <c r="AAO330" s="6"/>
      <c r="AAP330" s="4"/>
      <c r="AAQ330" s="4"/>
      <c r="AAR330" s="4"/>
      <c r="AAS330" s="4"/>
      <c r="AAT330" s="4"/>
      <c r="AAU330" s="5"/>
      <c r="AAV330" s="6" t="s">
        <v>2859</v>
      </c>
      <c r="AAW330" s="4" t="s">
        <v>2860</v>
      </c>
      <c r="AAX330" s="4"/>
      <c r="AAY330" s="4" t="s">
        <v>3499</v>
      </c>
      <c r="AAZ330" s="8">
        <v>38283</v>
      </c>
      <c r="ABA330" s="8">
        <v>38283</v>
      </c>
      <c r="ABB330" s="5" t="s">
        <v>4110</v>
      </c>
      <c r="ABC330" s="6" t="s">
        <v>1075</v>
      </c>
      <c r="ABD330" s="4" t="s">
        <v>3683</v>
      </c>
      <c r="ABE330" s="4"/>
      <c r="ABF330" s="4" t="s">
        <v>3625</v>
      </c>
      <c r="ABG330" s="8">
        <v>38285</v>
      </c>
      <c r="ABH330" s="8">
        <v>38290</v>
      </c>
      <c r="ABI330" s="5"/>
      <c r="ABJ330" s="6" t="s">
        <v>3387</v>
      </c>
      <c r="ABK330" s="4" t="s">
        <v>3388</v>
      </c>
      <c r="ABL330" s="4"/>
      <c r="ABM330" s="4" t="s">
        <v>3380</v>
      </c>
      <c r="ABN330" s="8">
        <v>38283</v>
      </c>
      <c r="ABO330" s="8">
        <v>38283</v>
      </c>
      <c r="ABP330" s="5" t="s">
        <v>3965</v>
      </c>
      <c r="ABQ330" s="6" t="s">
        <v>2697</v>
      </c>
      <c r="ABR330" s="4" t="s">
        <v>2662</v>
      </c>
      <c r="ABS330" s="4"/>
      <c r="ABT330" s="4" t="s">
        <v>3285</v>
      </c>
      <c r="ABU330" s="8">
        <v>38284</v>
      </c>
      <c r="ABV330" s="8">
        <v>38288</v>
      </c>
      <c r="ABW330" s="5" t="s">
        <v>4111</v>
      </c>
      <c r="ABX330" s="6"/>
      <c r="ABY330" s="4"/>
      <c r="ABZ330" s="4"/>
      <c r="ACA330" s="4"/>
      <c r="ACB330" s="4"/>
      <c r="ACC330" s="4"/>
      <c r="ACD330" s="5"/>
      <c r="ACE330" s="6"/>
      <c r="ACF330" s="4"/>
      <c r="ACG330" s="4"/>
      <c r="ACH330" s="4"/>
      <c r="ACI330" s="4"/>
      <c r="ACJ330" s="4"/>
      <c r="ACK330" s="5"/>
      <c r="ACL330" s="6"/>
      <c r="ACM330" s="4"/>
      <c r="ACN330" s="4"/>
      <c r="ACO330" s="4"/>
      <c r="ACP330" s="4"/>
      <c r="ACQ330" s="4"/>
      <c r="ACR330" s="5"/>
      <c r="ACS330" s="6"/>
      <c r="ACT330" s="4"/>
      <c r="ACU330" s="4"/>
      <c r="ACV330" s="4"/>
      <c r="ACW330" s="4"/>
      <c r="ACX330" s="4"/>
      <c r="ACY330" s="5"/>
      <c r="ADA330" t="s">
        <v>3995</v>
      </c>
      <c r="ADG330" t="s">
        <v>3998</v>
      </c>
      <c r="ADL330" t="s">
        <v>3996</v>
      </c>
      <c r="ADM330" t="s">
        <v>3997</v>
      </c>
      <c r="ADS330" t="s">
        <v>4123</v>
      </c>
      <c r="ADU330" t="s">
        <v>4125</v>
      </c>
      <c r="ADV330" t="s">
        <v>4124</v>
      </c>
      <c r="ADY330" t="s">
        <v>4155</v>
      </c>
    </row>
    <row r="331" spans="2:805" x14ac:dyDescent="0.25">
      <c r="J331" s="12"/>
      <c r="K331" s="12"/>
      <c r="L331" s="12"/>
      <c r="LL331" s="6"/>
      <c r="LM331" s="4"/>
      <c r="LN331" s="4"/>
      <c r="LO331" s="4"/>
      <c r="LP331" s="4"/>
      <c r="LQ331" s="4"/>
      <c r="LR331" s="5"/>
      <c r="LS331" s="4" t="s">
        <v>1800</v>
      </c>
      <c r="LT331" s="4" t="s">
        <v>1800</v>
      </c>
      <c r="LU331" s="4"/>
      <c r="LV331" s="4" t="s">
        <v>3285</v>
      </c>
      <c r="LW331" s="8">
        <v>38283</v>
      </c>
      <c r="LX331" s="8">
        <v>38287</v>
      </c>
      <c r="LY331" s="5" t="s">
        <v>3957</v>
      </c>
      <c r="LZ331" s="6" t="s">
        <v>3497</v>
      </c>
      <c r="MA331" s="4" t="s">
        <v>3497</v>
      </c>
      <c r="MB331" s="4"/>
      <c r="MC331" s="4"/>
      <c r="MD331" s="8">
        <v>37257</v>
      </c>
      <c r="ME331" s="4"/>
      <c r="MF331" s="9" t="s">
        <v>3787</v>
      </c>
      <c r="MG331" s="5" t="s">
        <v>3862</v>
      </c>
      <c r="MH331" s="6"/>
      <c r="MI331" s="4"/>
      <c r="MJ331" s="4"/>
      <c r="MK331" s="4"/>
      <c r="ML331" s="4"/>
      <c r="MM331" s="4"/>
      <c r="MN331" s="5"/>
      <c r="MO331" s="6"/>
      <c r="MP331" s="4"/>
      <c r="MQ331" s="4"/>
      <c r="MR331" s="4"/>
      <c r="MS331" s="4"/>
      <c r="MT331" s="4"/>
      <c r="MU331" s="5"/>
      <c r="MV331" s="6" t="s">
        <v>3500</v>
      </c>
      <c r="MW331" s="4" t="s">
        <v>2769</v>
      </c>
      <c r="MX331" s="4"/>
      <c r="MY331" s="4" t="s">
        <v>3501</v>
      </c>
      <c r="MZ331" s="8">
        <v>38283</v>
      </c>
      <c r="NA331" s="8">
        <v>38283</v>
      </c>
      <c r="NB331" s="5" t="s">
        <v>3864</v>
      </c>
      <c r="NC331" s="6" t="s">
        <v>2167</v>
      </c>
      <c r="ND331" s="7" t="s">
        <v>2167</v>
      </c>
      <c r="NE331" s="4"/>
      <c r="NF331" s="4" t="s">
        <v>3380</v>
      </c>
      <c r="NG331" s="8">
        <v>38289</v>
      </c>
      <c r="NH331" s="8">
        <v>38289</v>
      </c>
      <c r="NI331" s="5" t="s">
        <v>3865</v>
      </c>
      <c r="NJ331" s="6"/>
      <c r="NK331" s="4"/>
      <c r="NL331" s="4"/>
      <c r="NM331" s="4"/>
      <c r="NN331" s="4"/>
      <c r="NO331" s="4"/>
      <c r="NP331" s="5"/>
      <c r="NQ331" s="6"/>
      <c r="NR331" s="4"/>
      <c r="NS331" s="4"/>
      <c r="NT331" s="4"/>
      <c r="NU331" s="4"/>
      <c r="NV331" s="4"/>
      <c r="NW331" s="5"/>
      <c r="NX331" s="6"/>
      <c r="NY331" s="4"/>
      <c r="NZ331" s="4"/>
      <c r="OA331" s="4"/>
      <c r="OB331" s="4"/>
      <c r="OC331" s="4"/>
      <c r="OD331" s="5"/>
      <c r="OE331" s="6"/>
      <c r="OF331" s="4"/>
      <c r="OG331" s="4"/>
      <c r="OH331" s="4"/>
      <c r="OI331" s="4"/>
      <c r="OJ331" s="4"/>
      <c r="OK331" s="5"/>
      <c r="OL331" s="6"/>
      <c r="OM331" s="4"/>
      <c r="ON331" s="4"/>
      <c r="OO331" s="4"/>
      <c r="OP331" s="4"/>
      <c r="OQ331" s="4"/>
      <c r="OR331" s="5"/>
      <c r="OS331" s="6"/>
      <c r="OT331" s="4"/>
      <c r="OU331" s="4"/>
      <c r="OV331" s="4"/>
      <c r="OW331" s="4"/>
      <c r="OX331" s="4"/>
      <c r="OY331" s="5"/>
      <c r="OZ331" s="4" t="s">
        <v>3707</v>
      </c>
      <c r="PA331" s="4" t="s">
        <v>3707</v>
      </c>
      <c r="PB331" s="4"/>
      <c r="PC331" s="4"/>
      <c r="PD331" s="8">
        <v>38283</v>
      </c>
      <c r="PE331" s="4"/>
      <c r="PF331" s="5" t="s">
        <v>4011</v>
      </c>
      <c r="PG331" s="6"/>
      <c r="PH331" s="4"/>
      <c r="PI331" s="4"/>
      <c r="PJ331" s="4"/>
      <c r="PK331" s="4"/>
      <c r="PL331" s="4"/>
      <c r="PM331" s="5"/>
      <c r="PN331" s="6"/>
      <c r="PO331" s="4"/>
      <c r="PP331" s="4"/>
      <c r="PQ331" s="4"/>
      <c r="PR331" s="4"/>
      <c r="PS331" s="4"/>
      <c r="PT331" s="5"/>
      <c r="PU331" s="6"/>
      <c r="PV331" s="4"/>
      <c r="PW331" s="4"/>
      <c r="PX331" s="4"/>
      <c r="PY331" s="4"/>
      <c r="PZ331" s="4"/>
      <c r="QA331" s="5"/>
      <c r="QB331" s="6" t="s">
        <v>3546</v>
      </c>
      <c r="QC331" s="4" t="s">
        <v>3545</v>
      </c>
      <c r="QD331" s="4"/>
      <c r="QE331" s="4" t="s">
        <v>3547</v>
      </c>
      <c r="QF331" s="8">
        <v>37257</v>
      </c>
      <c r="QG331" s="8">
        <v>38283</v>
      </c>
      <c r="QH331" s="5" t="s">
        <v>4155</v>
      </c>
      <c r="QI331" s="6"/>
      <c r="QJ331" s="4"/>
      <c r="QK331" s="4"/>
      <c r="QL331" s="4"/>
      <c r="QM331" s="4"/>
      <c r="QN331" s="4"/>
      <c r="QO331" s="5"/>
      <c r="QP331" s="6"/>
      <c r="QQ331" s="4"/>
      <c r="QR331" s="4"/>
      <c r="QS331" s="4"/>
      <c r="QT331" s="4"/>
      <c r="QU331" s="4"/>
      <c r="QV331" s="5"/>
      <c r="QW331" s="6"/>
      <c r="QX331" s="4"/>
      <c r="QY331" s="4"/>
      <c r="QZ331" s="4"/>
      <c r="RA331" s="4"/>
      <c r="RB331" s="4"/>
      <c r="RC331" s="5"/>
      <c r="RD331" s="6"/>
      <c r="RE331" s="4"/>
      <c r="RF331" s="4"/>
      <c r="RG331" s="4"/>
      <c r="RH331" s="4"/>
      <c r="RI331" s="4"/>
      <c r="RJ331" s="5"/>
      <c r="RK331" s="6"/>
      <c r="RL331" s="4"/>
      <c r="RM331" s="4"/>
      <c r="RN331" s="4"/>
      <c r="RO331" s="4"/>
      <c r="RP331" s="4"/>
      <c r="RQ331" s="5"/>
      <c r="RR331" s="6"/>
      <c r="RS331" s="4"/>
      <c r="RT331" s="4"/>
      <c r="RU331" s="4"/>
      <c r="RV331" s="4"/>
      <c r="RW331" s="4"/>
      <c r="RX331" s="5"/>
      <c r="RY331" s="6"/>
      <c r="RZ331" s="4"/>
      <c r="SA331" s="4"/>
      <c r="SB331" s="4"/>
      <c r="SC331" s="4"/>
      <c r="SD331" s="4"/>
      <c r="SE331" s="5"/>
      <c r="SF331" s="6"/>
      <c r="SG331" s="4"/>
      <c r="SH331" s="4"/>
      <c r="SI331" s="4"/>
      <c r="SJ331" s="4"/>
      <c r="SK331" s="4"/>
      <c r="SL331" s="5"/>
      <c r="SM331" s="6"/>
      <c r="SN331" s="4"/>
      <c r="SO331" s="4"/>
      <c r="SP331" s="4"/>
      <c r="SQ331" s="4"/>
      <c r="SR331" s="4"/>
      <c r="SS331" s="5"/>
      <c r="ST331" s="6"/>
      <c r="SU331" s="4"/>
      <c r="SV331" s="4"/>
      <c r="SW331" s="4"/>
      <c r="SX331" s="4"/>
      <c r="SY331" s="4"/>
      <c r="SZ331" s="5"/>
      <c r="TA331" s="6"/>
      <c r="TB331" s="4"/>
      <c r="TC331" s="4"/>
      <c r="TD331" s="4"/>
      <c r="TE331" s="4"/>
      <c r="TF331" s="4"/>
      <c r="TG331" s="5"/>
      <c r="TH331" s="6"/>
      <c r="TI331" s="4"/>
      <c r="TJ331" s="4"/>
      <c r="TK331" s="4"/>
      <c r="TL331" s="4"/>
      <c r="TM331" s="4"/>
      <c r="TN331" s="5"/>
      <c r="TO331" s="6"/>
      <c r="TP331" s="4"/>
      <c r="TQ331" s="4"/>
      <c r="TR331" s="4"/>
      <c r="TS331" s="4"/>
      <c r="TT331" s="4"/>
      <c r="TU331" s="5"/>
      <c r="TV331" s="6"/>
      <c r="TW331" s="4"/>
      <c r="TX331" s="4"/>
      <c r="TY331" s="4"/>
      <c r="TZ331" s="4"/>
      <c r="UA331" s="4"/>
      <c r="UB331" s="5"/>
      <c r="UC331" s="6"/>
      <c r="UD331" s="4"/>
      <c r="UE331" s="4"/>
      <c r="UF331" s="4"/>
      <c r="UG331" s="4"/>
      <c r="UH331" s="4"/>
      <c r="UI331" s="5"/>
      <c r="UJ331" s="6"/>
      <c r="UK331" s="4"/>
      <c r="UL331" s="4"/>
      <c r="UM331" s="4"/>
      <c r="UN331" s="4"/>
      <c r="UO331" s="4"/>
      <c r="UP331" s="5"/>
      <c r="UQ331" s="6"/>
      <c r="UR331" s="4"/>
      <c r="US331" s="4"/>
      <c r="UT331" s="4"/>
      <c r="UU331" s="4"/>
      <c r="UV331" s="4"/>
      <c r="UW331" s="5"/>
      <c r="UX331" s="6" t="s">
        <v>2642</v>
      </c>
      <c r="UY331" s="4" t="s">
        <v>2642</v>
      </c>
      <c r="UZ331" s="4"/>
      <c r="VA331" t="s">
        <v>3356</v>
      </c>
      <c r="VB331" s="17">
        <v>38287</v>
      </c>
      <c r="VC331" s="17">
        <v>39384</v>
      </c>
      <c r="VD331" s="5" t="s">
        <v>3868</v>
      </c>
      <c r="VE331" s="6"/>
      <c r="VF331" s="4"/>
      <c r="VG331" s="4"/>
      <c r="VH331" s="4"/>
      <c r="VI331" s="4"/>
      <c r="VJ331" s="4"/>
      <c r="VK331" s="5"/>
      <c r="VL331" s="6"/>
      <c r="VM331" s="4"/>
      <c r="VN331" s="4"/>
      <c r="VO331" s="4"/>
      <c r="VP331" s="4"/>
      <c r="VQ331" s="4"/>
      <c r="VR331" s="5"/>
      <c r="VS331" s="6"/>
      <c r="VT331" s="4"/>
      <c r="VU331" s="4"/>
      <c r="VV331" s="4"/>
      <c r="VW331" s="4"/>
      <c r="VX331" s="4"/>
      <c r="VY331" s="5"/>
      <c r="VZ331" s="6"/>
      <c r="WA331" s="4"/>
      <c r="WB331" s="4"/>
      <c r="WC331" s="4"/>
      <c r="WD331" s="4"/>
      <c r="WE331" s="4"/>
      <c r="WF331" s="5"/>
      <c r="WG331" s="6"/>
      <c r="WH331" s="4"/>
      <c r="WI331" s="4"/>
      <c r="WJ331" s="4"/>
      <c r="WK331" s="4"/>
      <c r="WL331" s="4"/>
      <c r="WM331" s="5"/>
      <c r="WN331" s="6"/>
      <c r="WO331" s="4"/>
      <c r="WP331" s="4"/>
      <c r="WQ331" s="4"/>
      <c r="WR331" s="4"/>
      <c r="WS331" s="4"/>
      <c r="WT331" s="5"/>
      <c r="WU331" s="6"/>
      <c r="WV331" s="4"/>
      <c r="WW331" s="4"/>
      <c r="WX331" s="4"/>
      <c r="WY331" s="4"/>
      <c r="WZ331" s="4"/>
      <c r="XA331" s="5"/>
      <c r="XB331" s="6"/>
      <c r="XC331" s="4"/>
      <c r="XD331" s="4"/>
      <c r="XE331" s="4"/>
      <c r="XF331" s="4"/>
      <c r="XG331" s="4"/>
      <c r="XH331" s="5"/>
      <c r="XI331" s="6"/>
      <c r="XJ331" s="4"/>
      <c r="XK331" s="4"/>
      <c r="XL331" s="4"/>
      <c r="XM331" s="4"/>
      <c r="XN331" s="4"/>
      <c r="XO331" s="5"/>
      <c r="XP331" s="6"/>
      <c r="XQ331" s="4"/>
      <c r="XR331" s="4"/>
      <c r="XS331" s="4"/>
      <c r="XT331" s="4"/>
      <c r="XU331" s="4"/>
      <c r="XV331" s="5"/>
      <c r="XW331" s="6"/>
      <c r="XX331" s="4"/>
      <c r="XY331" s="4"/>
      <c r="XZ331" s="4"/>
      <c r="YA331" s="4"/>
      <c r="YB331" s="4"/>
      <c r="YC331" s="5"/>
      <c r="YD331" s="6"/>
      <c r="YE331" s="4"/>
      <c r="YF331" s="4"/>
      <c r="YG331" s="4"/>
      <c r="YH331" s="4"/>
      <c r="YI331" s="4"/>
      <c r="YJ331" s="5"/>
      <c r="YK331" s="6" t="s">
        <v>3442</v>
      </c>
      <c r="YL331" s="7" t="s">
        <v>3443</v>
      </c>
      <c r="YM331" s="4"/>
      <c r="YN331" s="7" t="s">
        <v>3571</v>
      </c>
      <c r="YO331" s="8">
        <v>38293</v>
      </c>
      <c r="YP331" s="8">
        <v>38294</v>
      </c>
      <c r="YQ331" s="5" t="s">
        <v>4008</v>
      </c>
      <c r="YR331" s="6" t="s">
        <v>3438</v>
      </c>
      <c r="YS331" s="4" t="s">
        <v>2538</v>
      </c>
      <c r="YT331" s="4"/>
      <c r="YU331" s="4"/>
      <c r="YV331" s="8">
        <v>38290</v>
      </c>
      <c r="YW331" s="4"/>
      <c r="YX331" s="5" t="s">
        <v>3864</v>
      </c>
      <c r="YY331" s="6"/>
      <c r="YZ331" s="4"/>
      <c r="ZA331" s="4"/>
      <c r="ZB331" s="4"/>
      <c r="ZC331" s="4"/>
      <c r="ZD331" s="4"/>
      <c r="ZE331" s="5"/>
      <c r="ZF331" s="6"/>
      <c r="ZG331" s="4"/>
      <c r="ZH331" s="4"/>
      <c r="ZI331" s="4"/>
      <c r="ZJ331" s="4"/>
      <c r="ZK331" s="4"/>
      <c r="ZL331" s="5"/>
      <c r="ZM331" s="6"/>
      <c r="ZN331" s="4"/>
      <c r="ZO331" s="4"/>
      <c r="ZP331" s="4"/>
      <c r="ZQ331" s="4"/>
      <c r="ZR331" s="4"/>
      <c r="ZS331" s="5"/>
      <c r="ZT331" s="6"/>
      <c r="ZU331" s="4"/>
      <c r="ZV331" s="4"/>
      <c r="ZW331" s="4"/>
      <c r="ZX331" s="4"/>
      <c r="ZY331" s="4"/>
      <c r="ZZ331" s="5"/>
      <c r="AAA331" s="6"/>
      <c r="AAB331" s="4"/>
      <c r="AAC331" s="4"/>
      <c r="AAD331" s="4"/>
      <c r="AAE331" s="4"/>
      <c r="AAF331" s="4"/>
      <c r="AAG331" s="5"/>
      <c r="AAH331" s="6" t="s">
        <v>3137</v>
      </c>
      <c r="AAI331" s="4" t="s">
        <v>3138</v>
      </c>
      <c r="AAJ331" s="4" t="s">
        <v>3709</v>
      </c>
      <c r="AAK331" s="4" t="s">
        <v>3221</v>
      </c>
      <c r="AAL331" s="8">
        <v>38283</v>
      </c>
      <c r="AAM331" s="8">
        <v>38285</v>
      </c>
      <c r="AAN331" s="5" t="s">
        <v>3957</v>
      </c>
      <c r="AAO331" s="6"/>
      <c r="AAP331" s="4"/>
      <c r="AAQ331" s="4"/>
      <c r="AAR331" s="4"/>
      <c r="AAS331" s="4"/>
      <c r="AAT331" s="4"/>
      <c r="AAU331" s="5"/>
      <c r="AAV331" s="6"/>
      <c r="AAW331" s="4"/>
      <c r="AAX331" s="4"/>
      <c r="AAY331" s="4"/>
      <c r="AAZ331" s="4"/>
      <c r="ABA331" s="4"/>
      <c r="ABB331" s="5"/>
      <c r="ABC331" s="6" t="s">
        <v>3498</v>
      </c>
      <c r="ABD331" s="4" t="s">
        <v>2829</v>
      </c>
      <c r="ABE331" s="4"/>
      <c r="ABF331" s="4"/>
      <c r="ABG331" s="8">
        <v>38289</v>
      </c>
      <c r="ABH331" s="4"/>
      <c r="ABI331" s="5"/>
      <c r="ABJ331" s="6" t="s">
        <v>3387</v>
      </c>
      <c r="ABK331" s="4" t="s">
        <v>3363</v>
      </c>
      <c r="ABL331" s="4" t="s">
        <v>3364</v>
      </c>
      <c r="ABM331" s="7" t="s">
        <v>3285</v>
      </c>
      <c r="ABN331" s="8">
        <v>38284</v>
      </c>
      <c r="ABO331" s="8">
        <v>38288</v>
      </c>
      <c r="ABP331" s="5" t="s">
        <v>3965</v>
      </c>
      <c r="ABQ331" s="6"/>
      <c r="ABR331" s="4"/>
      <c r="ABS331" s="4"/>
      <c r="ABT331" s="4"/>
      <c r="ABU331" s="4"/>
      <c r="ABV331" s="4"/>
      <c r="ABW331" s="5"/>
      <c r="ABX331" s="6"/>
      <c r="ABY331" s="4"/>
      <c r="ABZ331" s="4"/>
      <c r="ACA331" s="4"/>
      <c r="ACB331" s="4"/>
      <c r="ACC331" s="4"/>
      <c r="ACD331" s="5"/>
      <c r="ACE331" s="6"/>
      <c r="ACF331" s="4"/>
      <c r="ACG331" s="4"/>
      <c r="ACH331" s="4"/>
      <c r="ACI331" s="4"/>
      <c r="ACJ331" s="4"/>
      <c r="ACK331" s="5"/>
      <c r="ACL331" s="6"/>
      <c r="ACM331" s="4"/>
      <c r="ACN331" s="4"/>
      <c r="ACO331" s="4"/>
      <c r="ACP331" s="4"/>
      <c r="ACQ331" s="4"/>
      <c r="ACR331" s="5"/>
      <c r="ACS331" s="6"/>
      <c r="ACT331" s="4"/>
      <c r="ACU331" s="4"/>
      <c r="ACV331" s="4"/>
      <c r="ACW331" s="4"/>
      <c r="ACX331" s="4"/>
      <c r="ACY331" s="5"/>
    </row>
    <row r="332" spans="2:805" x14ac:dyDescent="0.25">
      <c r="J332" s="12"/>
      <c r="K332" s="12"/>
      <c r="L332" s="12"/>
      <c r="LL332" s="6"/>
      <c r="LM332" s="4"/>
      <c r="LN332" s="4"/>
      <c r="LO332" s="4"/>
      <c r="LP332" s="4"/>
      <c r="LQ332" s="4"/>
      <c r="LR332" s="5"/>
      <c r="LS332" s="6"/>
      <c r="LT332" s="4"/>
      <c r="LU332" s="4"/>
      <c r="LV332" s="4"/>
      <c r="LW332" s="4"/>
      <c r="LX332" s="4"/>
      <c r="LY332" s="5"/>
      <c r="LZ332" s="6" t="s">
        <v>3502</v>
      </c>
      <c r="MA332" s="7" t="s">
        <v>3033</v>
      </c>
      <c r="MB332" s="4"/>
      <c r="MC332" s="4" t="s">
        <v>3351</v>
      </c>
      <c r="MD332" s="8">
        <v>38283</v>
      </c>
      <c r="ME332" s="8">
        <v>38283</v>
      </c>
      <c r="MF332" s="8"/>
      <c r="MG332" s="5" t="s">
        <v>3949</v>
      </c>
      <c r="MH332" s="6"/>
      <c r="MI332" s="4"/>
      <c r="MJ332" s="4"/>
      <c r="MK332" s="4"/>
      <c r="ML332" s="4"/>
      <c r="MM332" s="4"/>
      <c r="MN332" s="5"/>
      <c r="MO332" s="6"/>
      <c r="MP332" s="4"/>
      <c r="MQ332" s="4"/>
      <c r="MR332" s="4"/>
      <c r="MS332" s="4"/>
      <c r="MT332" s="4"/>
      <c r="MU332" s="5"/>
      <c r="MV332" s="6" t="s">
        <v>2503</v>
      </c>
      <c r="MW332" s="4" t="s">
        <v>3408</v>
      </c>
      <c r="MX332" s="4"/>
      <c r="MY332" s="4"/>
      <c r="MZ332" s="8">
        <v>38283</v>
      </c>
      <c r="NA332" s="4"/>
      <c r="NB332" s="5" t="s">
        <v>3864</v>
      </c>
      <c r="NC332" s="6" t="s">
        <v>3706</v>
      </c>
      <c r="ND332" s="4" t="s">
        <v>3705</v>
      </c>
      <c r="NE332" s="4"/>
      <c r="NF332" s="4" t="s">
        <v>3285</v>
      </c>
      <c r="NG332" s="8">
        <v>38287</v>
      </c>
      <c r="NH332" s="8">
        <v>38291</v>
      </c>
      <c r="NI332" s="5" t="s">
        <v>3866</v>
      </c>
      <c r="NJ332" s="6"/>
      <c r="NK332" s="4"/>
      <c r="NL332" s="4"/>
      <c r="NM332" s="4"/>
      <c r="NN332" s="4"/>
      <c r="NO332" s="4"/>
      <c r="NP332" s="5"/>
      <c r="NQ332" s="6"/>
      <c r="NR332" s="4"/>
      <c r="NS332" s="4"/>
      <c r="NT332" s="4"/>
      <c r="NU332" s="4"/>
      <c r="NV332" s="4"/>
      <c r="NW332" s="5"/>
      <c r="NX332" s="6"/>
      <c r="NY332" s="4"/>
      <c r="NZ332" s="4"/>
      <c r="OA332" s="4"/>
      <c r="OB332" s="4"/>
      <c r="OC332" s="4"/>
      <c r="OD332" s="5"/>
      <c r="OE332" s="6"/>
      <c r="OF332" s="4"/>
      <c r="OG332" s="4"/>
      <c r="OH332" s="4"/>
      <c r="OI332" s="4"/>
      <c r="OJ332" s="4"/>
      <c r="OK332" s="5"/>
      <c r="OL332" s="6"/>
      <c r="OM332" s="4"/>
      <c r="ON332" s="4"/>
      <c r="OO332" s="4"/>
      <c r="OP332" s="4"/>
      <c r="OQ332" s="4"/>
      <c r="OR332" s="5"/>
      <c r="OS332" s="6"/>
      <c r="OT332" s="4"/>
      <c r="OU332" s="4"/>
      <c r="OV332" s="4"/>
      <c r="OW332" s="4"/>
      <c r="OX332" s="4"/>
      <c r="OY332" s="5"/>
      <c r="OZ332" s="4" t="s">
        <v>2850</v>
      </c>
      <c r="PA332" s="4" t="s">
        <v>2850</v>
      </c>
      <c r="PB332" s="12"/>
      <c r="PC332" s="4" t="s">
        <v>3380</v>
      </c>
      <c r="PD332" s="8">
        <v>38285</v>
      </c>
      <c r="PE332" s="8">
        <v>38285</v>
      </c>
      <c r="PF332" s="5" t="s">
        <v>4011</v>
      </c>
      <c r="PG332" s="6"/>
      <c r="PH332" s="4"/>
      <c r="PI332" s="4"/>
      <c r="PJ332" s="4"/>
      <c r="PK332" s="4"/>
      <c r="PL332" s="4"/>
      <c r="PM332" s="5"/>
      <c r="PN332" s="6"/>
      <c r="PO332" s="4"/>
      <c r="PP332" s="4"/>
      <c r="PQ332" s="4"/>
      <c r="PR332" s="4"/>
      <c r="PS332" s="4"/>
      <c r="PT332" s="5"/>
      <c r="PU332" s="6"/>
      <c r="PV332" s="4"/>
      <c r="PW332" s="4"/>
      <c r="PX332" s="4"/>
      <c r="PY332" s="4"/>
      <c r="PZ332" s="4"/>
      <c r="QA332" s="5"/>
      <c r="QB332" s="6" t="s">
        <v>3521</v>
      </c>
      <c r="QC332" s="4" t="s">
        <v>3090</v>
      </c>
      <c r="QD332" s="4"/>
      <c r="QE332" s="4" t="s">
        <v>3380</v>
      </c>
      <c r="QF332" s="8">
        <v>38283</v>
      </c>
      <c r="QG332" s="8">
        <v>38283</v>
      </c>
      <c r="QH332" s="5" t="s">
        <v>3585</v>
      </c>
      <c r="QI332" s="6"/>
      <c r="QJ332" s="4"/>
      <c r="QK332" s="4"/>
      <c r="QL332" s="4"/>
      <c r="QM332" s="4"/>
      <c r="QN332" s="4"/>
      <c r="QO332" s="5"/>
      <c r="QP332" s="6"/>
      <c r="QQ332" s="4"/>
      <c r="QR332" s="4"/>
      <c r="QS332" s="4"/>
      <c r="QT332" s="4"/>
      <c r="QU332" s="4"/>
      <c r="QV332" s="5"/>
      <c r="QW332" s="6"/>
      <c r="QX332" s="4"/>
      <c r="QY332" s="4"/>
      <c r="QZ332" s="4"/>
      <c r="RA332" s="4"/>
      <c r="RB332" s="4"/>
      <c r="RC332" s="5"/>
      <c r="RD332" s="6"/>
      <c r="RE332" s="4"/>
      <c r="RF332" s="4"/>
      <c r="RG332" s="4"/>
      <c r="RH332" s="4"/>
      <c r="RI332" s="4"/>
      <c r="RJ332" s="5"/>
      <c r="RK332" s="6"/>
      <c r="RL332" s="4"/>
      <c r="RM332" s="4"/>
      <c r="RN332" s="4"/>
      <c r="RO332" s="4"/>
      <c r="RP332" s="4"/>
      <c r="RQ332" s="5"/>
      <c r="RR332" s="6"/>
      <c r="RS332" s="4"/>
      <c r="RT332" s="4"/>
      <c r="RU332" s="4"/>
      <c r="RV332" s="4"/>
      <c r="RW332" s="4"/>
      <c r="RX332" s="5"/>
      <c r="RY332" s="6"/>
      <c r="RZ332" s="4"/>
      <c r="SA332" s="4"/>
      <c r="SB332" s="4"/>
      <c r="SC332" s="4"/>
      <c r="SD332" s="4"/>
      <c r="SE332" s="5"/>
      <c r="SF332" s="6"/>
      <c r="SG332" s="4"/>
      <c r="SH332" s="4"/>
      <c r="SI332" s="4"/>
      <c r="SJ332" s="4"/>
      <c r="SK332" s="4"/>
      <c r="SL332" s="5"/>
      <c r="SM332" s="6"/>
      <c r="SN332" s="4"/>
      <c r="SO332" s="4"/>
      <c r="SP332" s="4"/>
      <c r="SQ332" s="4"/>
      <c r="SR332" s="4"/>
      <c r="SS332" s="5"/>
      <c r="ST332" s="6"/>
      <c r="SU332" s="4"/>
      <c r="SV332" s="4"/>
      <c r="SW332" s="4"/>
      <c r="SX332" s="4"/>
      <c r="SY332" s="4"/>
      <c r="SZ332" s="5"/>
      <c r="TA332" s="6"/>
      <c r="TB332" s="4"/>
      <c r="TC332" s="4"/>
      <c r="TD332" s="4"/>
      <c r="TE332" s="4"/>
      <c r="TF332" s="4"/>
      <c r="TG332" s="5"/>
      <c r="TH332" s="6"/>
      <c r="TI332" s="4"/>
      <c r="TJ332" s="4"/>
      <c r="TK332" s="4"/>
      <c r="TL332" s="4"/>
      <c r="TM332" s="4"/>
      <c r="TN332" s="5"/>
      <c r="TO332" s="6"/>
      <c r="TP332" s="4"/>
      <c r="TQ332" s="4"/>
      <c r="TR332" s="4"/>
      <c r="TS332" s="4"/>
      <c r="TT332" s="4"/>
      <c r="TU332" s="5"/>
      <c r="TV332" s="6"/>
      <c r="TW332" s="4"/>
      <c r="TX332" s="4"/>
      <c r="TY332" s="4"/>
      <c r="TZ332" s="4"/>
      <c r="UA332" s="4"/>
      <c r="UB332" s="5"/>
      <c r="UC332" s="6"/>
      <c r="UD332" s="4"/>
      <c r="UE332" s="4"/>
      <c r="UF332" s="4"/>
      <c r="UG332" s="4"/>
      <c r="UH332" s="4"/>
      <c r="UI332" s="5"/>
      <c r="UJ332" s="6"/>
      <c r="UK332" s="4"/>
      <c r="UL332" s="4"/>
      <c r="UM332" s="4"/>
      <c r="UN332" s="4"/>
      <c r="UO332" s="4"/>
      <c r="UP332" s="5"/>
      <c r="UQ332" s="6"/>
      <c r="UR332" s="4"/>
      <c r="US332" s="4"/>
      <c r="UT332" s="4"/>
      <c r="UU332" s="4"/>
      <c r="UV332" s="4"/>
      <c r="UW332" s="5"/>
      <c r="UX332" s="6"/>
      <c r="UY332" s="4"/>
      <c r="UZ332" s="4"/>
      <c r="VA332" s="4"/>
      <c r="VB332" s="4"/>
      <c r="VC332" s="4"/>
      <c r="VD332" s="5"/>
      <c r="VE332" s="6"/>
      <c r="VF332" s="4"/>
      <c r="VG332" s="4"/>
      <c r="VH332" s="4"/>
      <c r="VI332" s="4"/>
      <c r="VJ332" s="4"/>
      <c r="VK332" s="5"/>
      <c r="VL332" s="6"/>
      <c r="VM332" s="4"/>
      <c r="VN332" s="4"/>
      <c r="VO332" s="4"/>
      <c r="VP332" s="4"/>
      <c r="VQ332" s="4"/>
      <c r="VR332" s="5"/>
      <c r="VS332" s="6"/>
      <c r="VT332" s="4"/>
      <c r="VU332" s="4"/>
      <c r="VV332" s="4"/>
      <c r="VW332" s="4"/>
      <c r="VX332" s="4"/>
      <c r="VY332" s="5"/>
      <c r="VZ332" s="6"/>
      <c r="WA332" s="4"/>
      <c r="WB332" s="4"/>
      <c r="WC332" s="4"/>
      <c r="WD332" s="4"/>
      <c r="WE332" s="4"/>
      <c r="WF332" s="5"/>
      <c r="WG332" s="6"/>
      <c r="WH332" s="4"/>
      <c r="WI332" s="4"/>
      <c r="WJ332" s="4"/>
      <c r="WK332" s="4"/>
      <c r="WL332" s="4"/>
      <c r="WM332" s="5"/>
      <c r="WN332" s="6"/>
      <c r="WO332" s="4"/>
      <c r="WP332" s="4"/>
      <c r="WQ332" s="4"/>
      <c r="WR332" s="4"/>
      <c r="WS332" s="4"/>
      <c r="WT332" s="5"/>
      <c r="WU332" s="6"/>
      <c r="WV332" s="4"/>
      <c r="WW332" s="4"/>
      <c r="WX332" s="4"/>
      <c r="WY332" s="4"/>
      <c r="WZ332" s="4"/>
      <c r="XA332" s="5"/>
      <c r="XB332" s="6"/>
      <c r="XC332" s="4"/>
      <c r="XD332" s="4"/>
      <c r="XE332" s="4"/>
      <c r="XF332" s="4"/>
      <c r="XG332" s="4"/>
      <c r="XH332" s="5"/>
      <c r="XI332" s="6"/>
      <c r="XJ332" s="4"/>
      <c r="XK332" s="4"/>
      <c r="XL332" s="4"/>
      <c r="XM332" s="4"/>
      <c r="XN332" s="4"/>
      <c r="XO332" s="5"/>
      <c r="XP332" s="6"/>
      <c r="XQ332" s="4"/>
      <c r="XR332" s="4"/>
      <c r="XS332" s="4"/>
      <c r="XT332" s="4"/>
      <c r="XU332" s="4"/>
      <c r="XV332" s="5"/>
      <c r="XW332" s="6"/>
      <c r="XX332" s="4"/>
      <c r="XY332" s="4"/>
      <c r="XZ332" s="4"/>
      <c r="YA332" s="4"/>
      <c r="YB332" s="4"/>
      <c r="YC332" s="5"/>
      <c r="YD332" s="6"/>
      <c r="YE332" s="4"/>
      <c r="YF332" s="4"/>
      <c r="YG332" s="4"/>
      <c r="YH332" s="4"/>
      <c r="YI332" s="4"/>
      <c r="YJ332" s="5"/>
      <c r="YK332" s="6" t="s">
        <v>3352</v>
      </c>
      <c r="YL332" s="7" t="s">
        <v>3353</v>
      </c>
      <c r="YM332" s="4"/>
      <c r="YN332" s="7" t="s">
        <v>3354</v>
      </c>
      <c r="YO332" s="8">
        <v>38286</v>
      </c>
      <c r="YP332" s="8">
        <v>38290</v>
      </c>
      <c r="YQ332" s="5" t="s">
        <v>3861</v>
      </c>
      <c r="YR332" s="6"/>
      <c r="YS332" s="4"/>
      <c r="YT332" s="4"/>
      <c r="YU332" s="4"/>
      <c r="YV332" s="8"/>
      <c r="YW332" s="4"/>
      <c r="YX332" s="5"/>
      <c r="YY332" s="6"/>
      <c r="YZ332" s="4"/>
      <c r="ZA332" s="4"/>
      <c r="ZB332" s="4"/>
      <c r="ZC332" s="4"/>
      <c r="ZD332" s="4"/>
      <c r="ZE332" s="5"/>
      <c r="ZF332" s="6"/>
      <c r="ZG332" s="4"/>
      <c r="ZH332" s="4"/>
      <c r="ZI332" s="4"/>
      <c r="ZJ332" s="4"/>
      <c r="ZK332" s="4"/>
      <c r="ZL332" s="5"/>
      <c r="ZM332" s="6"/>
      <c r="ZN332" s="4"/>
      <c r="ZO332" s="4"/>
      <c r="ZP332" s="4"/>
      <c r="ZQ332" s="4"/>
      <c r="ZR332" s="4"/>
      <c r="ZS332" s="5"/>
      <c r="ZT332" s="6"/>
      <c r="ZU332" s="4"/>
      <c r="ZV332" s="4"/>
      <c r="ZW332" s="4"/>
      <c r="ZX332" s="4"/>
      <c r="ZY332" s="4"/>
      <c r="ZZ332" s="5"/>
      <c r="AAA332" s="6"/>
      <c r="AAB332" s="4"/>
      <c r="AAC332" s="4"/>
      <c r="AAD332" s="4"/>
      <c r="AAE332" s="4"/>
      <c r="AAF332" s="4"/>
      <c r="AAG332" s="5"/>
      <c r="AAH332" s="6"/>
      <c r="AAI332" s="4"/>
      <c r="AAJ332" s="4"/>
      <c r="AAK332" s="4"/>
      <c r="AAL332" s="4"/>
      <c r="AAM332" s="4"/>
      <c r="AAN332" s="5"/>
      <c r="AAO332" s="6"/>
      <c r="AAP332" s="4"/>
      <c r="AAQ332" s="4"/>
      <c r="AAR332" s="4"/>
      <c r="AAS332" s="4"/>
      <c r="AAT332" s="4"/>
      <c r="AAU332" s="5"/>
      <c r="AAV332" s="6"/>
      <c r="AAW332" s="4"/>
      <c r="AAX332" s="4"/>
      <c r="AAY332" s="4"/>
      <c r="AAZ332" s="4"/>
      <c r="ABA332" s="4"/>
      <c r="ABB332" s="5"/>
      <c r="ABC332" s="6" t="s">
        <v>1586</v>
      </c>
      <c r="ABD332" s="4" t="s">
        <v>1587</v>
      </c>
      <c r="ABE332" s="4"/>
      <c r="ABF332" s="4" t="s">
        <v>3380</v>
      </c>
      <c r="ABG332" s="8">
        <v>38283</v>
      </c>
      <c r="ABH332" s="8">
        <v>38283</v>
      </c>
      <c r="ABI332" s="5"/>
      <c r="ABJ332" s="6"/>
      <c r="ABK332" s="4"/>
      <c r="ABL332" s="4"/>
      <c r="ABM332" s="4"/>
      <c r="ABN332" s="4"/>
      <c r="ABO332" s="4"/>
      <c r="ABP332" s="5"/>
      <c r="ABQ332" s="6"/>
      <c r="ABR332" s="4"/>
      <c r="ABS332" s="4"/>
      <c r="ABT332" s="4"/>
      <c r="ABU332" s="4"/>
      <c r="ABV332" s="4"/>
      <c r="ABW332" s="5"/>
      <c r="ABX332" s="6"/>
      <c r="ABY332" s="4"/>
      <c r="ABZ332" s="4"/>
      <c r="ACA332" s="4"/>
      <c r="ACB332" s="4"/>
      <c r="ACC332" s="4"/>
      <c r="ACD332" s="5"/>
      <c r="ACE332" s="6"/>
      <c r="ACF332" s="4"/>
      <c r="ACG332" s="4"/>
      <c r="ACH332" s="4"/>
      <c r="ACI332" s="4"/>
      <c r="ACJ332" s="4"/>
      <c r="ACK332" s="5"/>
      <c r="ACL332" s="6"/>
      <c r="ACM332" s="4"/>
      <c r="ACN332" s="4"/>
      <c r="ACO332" s="4"/>
      <c r="ACP332" s="4"/>
      <c r="ACQ332" s="4"/>
      <c r="ACR332" s="5"/>
      <c r="ACS332" s="6"/>
      <c r="ACT332" s="4"/>
      <c r="ACU332" s="4"/>
      <c r="ACV332" s="4"/>
      <c r="ACW332" s="4"/>
      <c r="ACX332" s="4"/>
      <c r="ACY332" s="5"/>
    </row>
    <row r="333" spans="2:805" x14ac:dyDescent="0.25">
      <c r="J333" s="12"/>
      <c r="K333" s="12"/>
      <c r="L333" s="12"/>
      <c r="LL333" s="6"/>
      <c r="LM333" s="4"/>
      <c r="LN333" s="4"/>
      <c r="LO333" s="4"/>
      <c r="LP333" s="4"/>
      <c r="LQ333" s="4"/>
      <c r="LR333" s="5"/>
      <c r="LS333" s="6"/>
      <c r="LT333" s="4"/>
      <c r="LU333" s="4"/>
      <c r="LV333" s="4"/>
      <c r="LW333" s="4"/>
      <c r="LX333" s="4"/>
      <c r="LY333" s="5"/>
      <c r="LZ333" s="6" t="s">
        <v>3362</v>
      </c>
      <c r="MA333" s="7" t="s">
        <v>3361</v>
      </c>
      <c r="MB333" s="4"/>
      <c r="MC333" s="4"/>
      <c r="MD333" s="8">
        <v>37257</v>
      </c>
      <c r="ME333" s="8"/>
      <c r="MF333" s="8"/>
      <c r="MG333" s="5" t="s">
        <v>3863</v>
      </c>
      <c r="MH333" s="6"/>
      <c r="MI333" s="4"/>
      <c r="MJ333" s="4"/>
      <c r="MK333" s="4"/>
      <c r="ML333" s="4"/>
      <c r="MM333" s="4"/>
      <c r="MN333" s="5"/>
      <c r="MO333" s="6"/>
      <c r="MP333" s="4"/>
      <c r="MQ333" s="4"/>
      <c r="MR333" s="4"/>
      <c r="MS333" s="4"/>
      <c r="MT333" s="4"/>
      <c r="MU333" s="5"/>
      <c r="MV333" s="6" t="s">
        <v>3523</v>
      </c>
      <c r="MW333" s="4" t="s">
        <v>2769</v>
      </c>
      <c r="MX333" s="4"/>
      <c r="MY333" s="4" t="s">
        <v>3221</v>
      </c>
      <c r="MZ333" s="8">
        <v>38285</v>
      </c>
      <c r="NA333" s="8">
        <v>38287</v>
      </c>
      <c r="NB333" s="5" t="s">
        <v>3864</v>
      </c>
      <c r="NC333" s="6" t="s">
        <v>2509</v>
      </c>
      <c r="ND333" s="4" t="s">
        <v>2517</v>
      </c>
      <c r="NE333" s="4"/>
      <c r="NF333" s="4" t="s">
        <v>3602</v>
      </c>
      <c r="NG333" s="8">
        <v>38287</v>
      </c>
      <c r="NH333" s="8">
        <v>38290</v>
      </c>
      <c r="NI333" s="5" t="s">
        <v>3865</v>
      </c>
      <c r="NJ333" s="6"/>
      <c r="NK333" s="4"/>
      <c r="NL333" s="4"/>
      <c r="NM333" s="4"/>
      <c r="NN333" s="4"/>
      <c r="NO333" s="4"/>
      <c r="NP333" s="5"/>
      <c r="NQ333" s="6"/>
      <c r="NR333" s="4"/>
      <c r="NS333" s="4"/>
      <c r="NT333" s="4"/>
      <c r="NU333" s="4"/>
      <c r="NV333" s="4"/>
      <c r="NW333" s="5"/>
      <c r="NX333" s="6"/>
      <c r="NY333" s="4"/>
      <c r="NZ333" s="4"/>
      <c r="OA333" s="4"/>
      <c r="OB333" s="4"/>
      <c r="OC333" s="4"/>
      <c r="OD333" s="5"/>
      <c r="OE333" s="6"/>
      <c r="OF333" s="4"/>
      <c r="OG333" s="4"/>
      <c r="OH333" s="4"/>
      <c r="OI333" s="4"/>
      <c r="OJ333" s="4"/>
      <c r="OK333" s="5"/>
      <c r="OL333" s="6"/>
      <c r="OM333" s="4"/>
      <c r="ON333" s="4"/>
      <c r="OO333" s="4"/>
      <c r="OP333" s="4"/>
      <c r="OQ333" s="4"/>
      <c r="OR333" s="5"/>
      <c r="OS333" s="6"/>
      <c r="OT333" s="4"/>
      <c r="OU333" s="4"/>
      <c r="OV333" s="4"/>
      <c r="OW333" s="4"/>
      <c r="OX333" s="4"/>
      <c r="OY333" s="5"/>
      <c r="OZ333" s="4" t="s">
        <v>2850</v>
      </c>
      <c r="PA333" s="4" t="s">
        <v>2850</v>
      </c>
      <c r="PB333" s="4"/>
      <c r="PC333" s="4" t="s">
        <v>3221</v>
      </c>
      <c r="PD333" s="8">
        <v>38286</v>
      </c>
      <c r="PE333" s="8">
        <v>38288</v>
      </c>
      <c r="PF333" s="5" t="s">
        <v>4011</v>
      </c>
      <c r="PG333" s="6"/>
      <c r="PH333" s="4"/>
      <c r="PI333" s="4"/>
      <c r="PJ333" s="4"/>
      <c r="PK333" s="4"/>
      <c r="PL333" s="4"/>
      <c r="PM333" s="5"/>
      <c r="PN333" s="6"/>
      <c r="PO333" s="4"/>
      <c r="PP333" s="4"/>
      <c r="PQ333" s="4"/>
      <c r="PR333" s="4"/>
      <c r="PS333" s="4"/>
      <c r="PT333" s="5"/>
      <c r="PU333" s="6"/>
      <c r="PV333" s="4"/>
      <c r="PW333" s="4"/>
      <c r="PX333" s="4"/>
      <c r="PY333" s="4"/>
      <c r="PZ333" s="4"/>
      <c r="QA333" s="5"/>
      <c r="QB333" s="6"/>
      <c r="QC333" s="4"/>
      <c r="QD333" s="4"/>
      <c r="QE333" s="4"/>
      <c r="QF333" s="8"/>
      <c r="QG333" s="8"/>
      <c r="QH333" s="5"/>
      <c r="QI333" s="6"/>
      <c r="QJ333" s="4"/>
      <c r="QK333" s="4"/>
      <c r="QL333" s="4"/>
      <c r="QM333" s="4"/>
      <c r="QN333" s="4"/>
      <c r="QO333" s="5"/>
      <c r="QP333" s="6"/>
      <c r="QQ333" s="4"/>
      <c r="QR333" s="4"/>
      <c r="QS333" s="4"/>
      <c r="QT333" s="4"/>
      <c r="QU333" s="4"/>
      <c r="QV333" s="5"/>
      <c r="QW333" s="6"/>
      <c r="QX333" s="4"/>
      <c r="QY333" s="4"/>
      <c r="QZ333" s="4"/>
      <c r="RA333" s="4"/>
      <c r="RB333" s="4"/>
      <c r="RC333" s="5"/>
      <c r="RD333" s="6"/>
      <c r="RE333" s="4"/>
      <c r="RF333" s="4"/>
      <c r="RG333" s="4"/>
      <c r="RH333" s="4"/>
      <c r="RI333" s="4"/>
      <c r="RJ333" s="5"/>
      <c r="RK333" s="6"/>
      <c r="RL333" s="4"/>
      <c r="RM333" s="4"/>
      <c r="RN333" s="4"/>
      <c r="RO333" s="4"/>
      <c r="RP333" s="4"/>
      <c r="RQ333" s="5"/>
      <c r="RR333" s="6"/>
      <c r="RS333" s="4"/>
      <c r="RT333" s="4"/>
      <c r="RU333" s="4"/>
      <c r="RV333" s="4"/>
      <c r="RW333" s="4"/>
      <c r="RX333" s="5"/>
      <c r="RY333" s="6"/>
      <c r="RZ333" s="4"/>
      <c r="SA333" s="4"/>
      <c r="SB333" s="4"/>
      <c r="SC333" s="4"/>
      <c r="SD333" s="4"/>
      <c r="SE333" s="5"/>
      <c r="SF333" s="6"/>
      <c r="SG333" s="4"/>
      <c r="SH333" s="4"/>
      <c r="SI333" s="4"/>
      <c r="SJ333" s="4"/>
      <c r="SK333" s="4"/>
      <c r="SL333" s="5"/>
      <c r="SM333" s="6"/>
      <c r="SN333" s="4"/>
      <c r="SO333" s="4"/>
      <c r="SP333" s="4"/>
      <c r="SQ333" s="4"/>
      <c r="SR333" s="4"/>
      <c r="SS333" s="5"/>
      <c r="ST333" s="6"/>
      <c r="SU333" s="4"/>
      <c r="SV333" s="4"/>
      <c r="SW333" s="4"/>
      <c r="SX333" s="4"/>
      <c r="SY333" s="4"/>
      <c r="SZ333" s="5"/>
      <c r="TA333" s="6"/>
      <c r="TB333" s="4"/>
      <c r="TC333" s="4"/>
      <c r="TD333" s="4"/>
      <c r="TE333" s="4"/>
      <c r="TF333" s="4"/>
      <c r="TG333" s="5"/>
      <c r="TH333" s="6"/>
      <c r="TI333" s="4"/>
      <c r="TJ333" s="4"/>
      <c r="TK333" s="4"/>
      <c r="TL333" s="4"/>
      <c r="TM333" s="4"/>
      <c r="TN333" s="5"/>
      <c r="TO333" s="6"/>
      <c r="TP333" s="4"/>
      <c r="TQ333" s="4"/>
      <c r="TR333" s="4"/>
      <c r="TS333" s="4"/>
      <c r="TT333" s="4"/>
      <c r="TU333" s="5"/>
      <c r="TV333" s="6"/>
      <c r="TW333" s="4"/>
      <c r="TX333" s="4"/>
      <c r="TY333" s="4"/>
      <c r="TZ333" s="4"/>
      <c r="UA333" s="4"/>
      <c r="UB333" s="5"/>
      <c r="UC333" s="6"/>
      <c r="UD333" s="4"/>
      <c r="UE333" s="4"/>
      <c r="UF333" s="4"/>
      <c r="UG333" s="4"/>
      <c r="UH333" s="4"/>
      <c r="UI333" s="5"/>
      <c r="UJ333" s="6"/>
      <c r="UK333" s="4"/>
      <c r="UL333" s="4"/>
      <c r="UM333" s="4"/>
      <c r="UN333" s="4"/>
      <c r="UO333" s="4"/>
      <c r="UP333" s="5"/>
      <c r="UQ333" s="6"/>
      <c r="UR333" s="4"/>
      <c r="US333" s="4"/>
      <c r="UT333" s="4"/>
      <c r="UU333" s="4"/>
      <c r="UV333" s="4"/>
      <c r="UW333" s="5"/>
      <c r="UX333" s="6"/>
      <c r="UY333" s="4"/>
      <c r="UZ333" s="4"/>
      <c r="VA333" s="4"/>
      <c r="VB333" s="4"/>
      <c r="VC333" s="4"/>
      <c r="VD333" s="5"/>
      <c r="VE333" s="6"/>
      <c r="VF333" s="4"/>
      <c r="VG333" s="4"/>
      <c r="VH333" s="4"/>
      <c r="VI333" s="4"/>
      <c r="VJ333" s="4"/>
      <c r="VK333" s="5"/>
      <c r="VL333" s="6"/>
      <c r="VM333" s="4"/>
      <c r="VN333" s="4"/>
      <c r="VO333" s="4"/>
      <c r="VP333" s="4"/>
      <c r="VQ333" s="4"/>
      <c r="VR333" s="5"/>
      <c r="VS333" s="6"/>
      <c r="VT333" s="4"/>
      <c r="VU333" s="4"/>
      <c r="VV333" s="4"/>
      <c r="VW333" s="4"/>
      <c r="VX333" s="4"/>
      <c r="VY333" s="5"/>
      <c r="VZ333" s="6"/>
      <c r="WA333" s="4"/>
      <c r="WB333" s="4"/>
      <c r="WC333" s="4"/>
      <c r="WD333" s="4"/>
      <c r="WE333" s="4"/>
      <c r="WF333" s="5"/>
      <c r="WG333" s="6"/>
      <c r="WH333" s="4"/>
      <c r="WI333" s="4"/>
      <c r="WJ333" s="4"/>
      <c r="WK333" s="4"/>
      <c r="WL333" s="4"/>
      <c r="WM333" s="5"/>
      <c r="WN333" s="6"/>
      <c r="WO333" s="4"/>
      <c r="WP333" s="4"/>
      <c r="WQ333" s="4"/>
      <c r="WR333" s="4"/>
      <c r="WS333" s="4"/>
      <c r="WT333" s="5"/>
      <c r="WU333" s="6"/>
      <c r="WV333" s="4"/>
      <c r="WW333" s="4"/>
      <c r="WX333" s="4"/>
      <c r="WY333" s="4"/>
      <c r="WZ333" s="4"/>
      <c r="XA333" s="5"/>
      <c r="XB333" s="6"/>
      <c r="XC333" s="4"/>
      <c r="XD333" s="4"/>
      <c r="XE333" s="4"/>
      <c r="XF333" s="4"/>
      <c r="XG333" s="4"/>
      <c r="XH333" s="5"/>
      <c r="XI333" s="6"/>
      <c r="XJ333" s="4"/>
      <c r="XK333" s="4"/>
      <c r="XL333" s="4"/>
      <c r="XM333" s="4"/>
      <c r="XN333" s="4"/>
      <c r="XO333" s="5"/>
      <c r="XP333" s="6"/>
      <c r="XQ333" s="4"/>
      <c r="XR333" s="4"/>
      <c r="XS333" s="4"/>
      <c r="XT333" s="4"/>
      <c r="XU333" s="4"/>
      <c r="XV333" s="5"/>
      <c r="XW333" s="6"/>
      <c r="XX333" s="4"/>
      <c r="XY333" s="4"/>
      <c r="XZ333" s="4"/>
      <c r="YA333" s="4"/>
      <c r="YB333" s="4"/>
      <c r="YC333" s="5"/>
      <c r="YD333" s="6"/>
      <c r="YE333" s="4"/>
      <c r="YF333" s="4"/>
      <c r="YG333" s="4"/>
      <c r="YH333" s="4"/>
      <c r="YI333" s="4"/>
      <c r="YJ333" s="5"/>
      <c r="YK333" s="6" t="s">
        <v>3357</v>
      </c>
      <c r="YL333" s="7" t="s">
        <v>3357</v>
      </c>
      <c r="YM333" s="4"/>
      <c r="YN333" s="7" t="s">
        <v>3358</v>
      </c>
      <c r="YO333" s="8">
        <v>38280</v>
      </c>
      <c r="YP333" s="8">
        <v>38292</v>
      </c>
      <c r="YQ333" s="5"/>
      <c r="YR333" s="6"/>
      <c r="YS333" s="4"/>
      <c r="YT333" s="4"/>
      <c r="YU333" s="4"/>
      <c r="YV333" s="8"/>
      <c r="YW333" s="4"/>
      <c r="YX333" s="5"/>
      <c r="YY333" s="6"/>
      <c r="YZ333" s="4"/>
      <c r="ZA333" s="4"/>
      <c r="ZB333" s="4"/>
      <c r="ZC333" s="4"/>
      <c r="ZD333" s="4"/>
      <c r="ZE333" s="5"/>
      <c r="ZF333" s="6"/>
      <c r="ZG333" s="4"/>
      <c r="ZH333" s="4"/>
      <c r="ZI333" s="4"/>
      <c r="ZJ333" s="4"/>
      <c r="ZK333" s="4"/>
      <c r="ZL333" s="5"/>
      <c r="ZM333" s="6"/>
      <c r="ZN333" s="4"/>
      <c r="ZO333" s="4"/>
      <c r="ZP333" s="4"/>
      <c r="ZQ333" s="4"/>
      <c r="ZR333" s="4"/>
      <c r="ZS333" s="5"/>
      <c r="ZT333" s="6"/>
      <c r="ZU333" s="4"/>
      <c r="ZV333" s="4"/>
      <c r="ZW333" s="4"/>
      <c r="ZX333" s="4"/>
      <c r="ZY333" s="4"/>
      <c r="ZZ333" s="5"/>
      <c r="AAA333" s="6"/>
      <c r="AAB333" s="4"/>
      <c r="AAC333" s="4"/>
      <c r="AAD333" s="4"/>
      <c r="AAE333" s="4"/>
      <c r="AAF333" s="4"/>
      <c r="AAG333" s="5"/>
      <c r="AAH333" s="6"/>
      <c r="AAI333" s="4"/>
      <c r="AAJ333" s="4"/>
      <c r="AAK333" s="4"/>
      <c r="AAL333" s="4"/>
      <c r="AAM333" s="4"/>
      <c r="AAN333" s="5"/>
      <c r="AAO333" s="6"/>
      <c r="AAP333" s="4"/>
      <c r="AAQ333" s="4"/>
      <c r="AAR333" s="4"/>
      <c r="AAS333" s="4"/>
      <c r="AAT333" s="4"/>
      <c r="AAU333" s="5"/>
      <c r="AAV333" s="6"/>
      <c r="AAW333" s="4"/>
      <c r="AAX333" s="4"/>
      <c r="AAY333" s="4"/>
      <c r="AAZ333" s="4"/>
      <c r="ABA333" s="4"/>
      <c r="ABB333" s="5"/>
      <c r="ABC333" s="6" t="s">
        <v>1586</v>
      </c>
      <c r="ABD333" s="4" t="s">
        <v>1587</v>
      </c>
      <c r="ABE333" s="4"/>
      <c r="ABF333" s="4"/>
      <c r="ABG333" s="8">
        <v>38289</v>
      </c>
      <c r="ABH333" s="4"/>
      <c r="ABI333" s="5"/>
      <c r="ABJ333" s="6"/>
      <c r="ABK333" s="4"/>
      <c r="ABL333" s="4"/>
      <c r="ABM333" s="4"/>
      <c r="ABN333" s="4"/>
      <c r="ABO333" s="4"/>
      <c r="ABP333" s="5"/>
      <c r="ABQ333" s="6"/>
      <c r="ABR333" s="4"/>
      <c r="ABS333" s="4"/>
      <c r="ABT333" s="4"/>
      <c r="ABU333" s="4"/>
      <c r="ABV333" s="4"/>
      <c r="ABW333" s="5"/>
      <c r="ABX333" s="6"/>
      <c r="ABY333" s="4"/>
      <c r="ABZ333" s="4"/>
      <c r="ACA333" s="4"/>
      <c r="ACB333" s="4"/>
      <c r="ACC333" s="4"/>
      <c r="ACD333" s="5"/>
      <c r="ACE333" s="6"/>
      <c r="ACF333" s="4"/>
      <c r="ACG333" s="4"/>
      <c r="ACH333" s="4"/>
      <c r="ACI333" s="4"/>
      <c r="ACJ333" s="4"/>
      <c r="ACK333" s="5"/>
      <c r="ACL333" s="6"/>
      <c r="ACM333" s="4"/>
      <c r="ACN333" s="4"/>
      <c r="ACO333" s="4"/>
      <c r="ACP333" s="4"/>
      <c r="ACQ333" s="4"/>
      <c r="ACR333" s="5"/>
      <c r="ACS333" s="6"/>
      <c r="ACT333" s="4"/>
      <c r="ACU333" s="4"/>
      <c r="ACV333" s="4"/>
      <c r="ACW333" s="4"/>
      <c r="ACX333" s="4"/>
      <c r="ACY333" s="5"/>
    </row>
    <row r="334" spans="2:805" x14ac:dyDescent="0.25">
      <c r="J334" s="12"/>
      <c r="K334" s="12"/>
      <c r="L334" s="12"/>
      <c r="LL334" s="6"/>
      <c r="LM334" s="4"/>
      <c r="LN334" s="4"/>
      <c r="LO334" s="4"/>
      <c r="LP334" s="4"/>
      <c r="LQ334" s="4"/>
      <c r="LR334" s="5"/>
      <c r="LS334" s="6"/>
      <c r="LT334" s="4"/>
      <c r="LU334" s="4"/>
      <c r="LV334" s="4"/>
      <c r="LW334" s="4"/>
      <c r="LX334" s="4"/>
      <c r="LY334" s="5"/>
      <c r="LZ334" s="6" t="s">
        <v>3365</v>
      </c>
      <c r="MA334" s="7" t="s">
        <v>3366</v>
      </c>
      <c r="MB334" s="4"/>
      <c r="MC334" s="4" t="s">
        <v>3519</v>
      </c>
      <c r="MD334" s="8">
        <v>38284</v>
      </c>
      <c r="ME334" s="8">
        <v>38285</v>
      </c>
      <c r="MF334" s="8"/>
      <c r="MG334" s="5" t="s">
        <v>3949</v>
      </c>
      <c r="MH334" s="6"/>
      <c r="MI334" s="4"/>
      <c r="MJ334" s="4"/>
      <c r="MK334" s="4"/>
      <c r="ML334" s="4"/>
      <c r="MM334" s="4"/>
      <c r="MN334" s="5"/>
      <c r="MO334" s="6"/>
      <c r="MP334" s="4"/>
      <c r="MQ334" s="4"/>
      <c r="MR334" s="4"/>
      <c r="MS334" s="4"/>
      <c r="MT334" s="4"/>
      <c r="MU334" s="5"/>
      <c r="MV334" s="6"/>
      <c r="MW334" s="4"/>
      <c r="MX334" s="4"/>
      <c r="MY334" s="4"/>
      <c r="MZ334" s="4"/>
      <c r="NA334" s="4"/>
      <c r="NB334" s="5"/>
      <c r="NC334" s="6"/>
      <c r="ND334" s="4"/>
      <c r="NE334" s="4"/>
      <c r="NF334" s="4"/>
      <c r="NG334" s="8"/>
      <c r="NH334" s="8"/>
      <c r="NI334" s="5"/>
      <c r="NJ334" s="6"/>
      <c r="NK334" s="4"/>
      <c r="NL334" s="4"/>
      <c r="NM334" s="4"/>
      <c r="NN334" s="4"/>
      <c r="NO334" s="4"/>
      <c r="NP334" s="5"/>
      <c r="NQ334" s="6"/>
      <c r="NR334" s="4"/>
      <c r="NS334" s="4"/>
      <c r="NT334" s="4"/>
      <c r="NU334" s="4"/>
      <c r="NV334" s="4"/>
      <c r="NW334" s="5"/>
      <c r="NX334" s="6"/>
      <c r="NY334" s="4"/>
      <c r="NZ334" s="4"/>
      <c r="OA334" s="4"/>
      <c r="OB334" s="4"/>
      <c r="OC334" s="4"/>
      <c r="OD334" s="5"/>
      <c r="OE334" s="6"/>
      <c r="OF334" s="4"/>
      <c r="OG334" s="4"/>
      <c r="OH334" s="4"/>
      <c r="OI334" s="4"/>
      <c r="OJ334" s="4"/>
      <c r="OK334" s="5"/>
      <c r="OL334" s="6"/>
      <c r="OM334" s="4"/>
      <c r="ON334" s="4"/>
      <c r="OO334" s="4"/>
      <c r="OP334" s="4"/>
      <c r="OQ334" s="4"/>
      <c r="OR334" s="5"/>
      <c r="OS334" s="6"/>
      <c r="OT334" s="4"/>
      <c r="OU334" s="4"/>
      <c r="OV334" s="4"/>
      <c r="OW334" s="4"/>
      <c r="OX334" s="4"/>
      <c r="OY334" s="5"/>
      <c r="OZ334" s="12" t="s">
        <v>3520</v>
      </c>
      <c r="PA334" s="12" t="s">
        <v>3520</v>
      </c>
      <c r="PB334" s="4"/>
      <c r="PC334" s="7" t="s">
        <v>3625</v>
      </c>
      <c r="PD334" s="8">
        <v>38288</v>
      </c>
      <c r="PE334" s="8">
        <v>38293</v>
      </c>
      <c r="PF334" s="5" t="s">
        <v>4011</v>
      </c>
      <c r="PG334" s="6"/>
      <c r="PH334" s="4"/>
      <c r="PI334" s="4"/>
      <c r="PJ334" s="4"/>
      <c r="PK334" s="4"/>
      <c r="PL334" s="4"/>
      <c r="PM334" s="5"/>
      <c r="PN334" s="6"/>
      <c r="PO334" s="4"/>
      <c r="PP334" s="4"/>
      <c r="PQ334" s="4"/>
      <c r="PR334" s="4"/>
      <c r="PS334" s="4"/>
      <c r="PT334" s="5"/>
      <c r="PU334" s="6"/>
      <c r="PV334" s="4"/>
      <c r="PW334" s="4"/>
      <c r="PX334" s="4"/>
      <c r="PY334" s="4"/>
      <c r="PZ334" s="4"/>
      <c r="QA334" s="5"/>
      <c r="QB334" s="6"/>
      <c r="QC334" s="4"/>
      <c r="QD334" s="4"/>
      <c r="QE334" s="4"/>
      <c r="QF334" s="8"/>
      <c r="QG334" s="8"/>
      <c r="QH334" s="5"/>
      <c r="QI334" s="6"/>
      <c r="QJ334" s="4"/>
      <c r="QK334" s="4"/>
      <c r="QL334" s="4"/>
      <c r="QM334" s="4"/>
      <c r="QN334" s="4"/>
      <c r="QO334" s="5"/>
      <c r="QP334" s="6"/>
      <c r="QQ334" s="4"/>
      <c r="QR334" s="4"/>
      <c r="QS334" s="4"/>
      <c r="QT334" s="4"/>
      <c r="QU334" s="4"/>
      <c r="QV334" s="5"/>
      <c r="QW334" s="6"/>
      <c r="QX334" s="4"/>
      <c r="QY334" s="4"/>
      <c r="QZ334" s="4"/>
      <c r="RA334" s="4"/>
      <c r="RB334" s="4"/>
      <c r="RC334" s="5"/>
      <c r="RD334" s="6"/>
      <c r="RE334" s="4"/>
      <c r="RF334" s="4"/>
      <c r="RG334" s="4"/>
      <c r="RH334" s="4"/>
      <c r="RI334" s="4"/>
      <c r="RJ334" s="5"/>
      <c r="RK334" s="6"/>
      <c r="RL334" s="4"/>
      <c r="RM334" s="4"/>
      <c r="RN334" s="4"/>
      <c r="RO334" s="4"/>
      <c r="RP334" s="4"/>
      <c r="RQ334" s="5"/>
      <c r="RR334" s="6"/>
      <c r="RS334" s="4"/>
      <c r="RT334" s="4"/>
      <c r="RU334" s="4"/>
      <c r="RV334" s="4"/>
      <c r="RW334" s="4"/>
      <c r="RX334" s="5"/>
      <c r="RY334" s="6"/>
      <c r="RZ334" s="4"/>
      <c r="SA334" s="4"/>
      <c r="SB334" s="4"/>
      <c r="SC334" s="4"/>
      <c r="SD334" s="4"/>
      <c r="SE334" s="5"/>
      <c r="SF334" s="6"/>
      <c r="SG334" s="4"/>
      <c r="SH334" s="4"/>
      <c r="SI334" s="4"/>
      <c r="SJ334" s="4"/>
      <c r="SK334" s="4"/>
      <c r="SL334" s="5"/>
      <c r="SM334" s="6"/>
      <c r="SN334" s="4"/>
      <c r="SO334" s="4"/>
      <c r="SP334" s="4"/>
      <c r="SQ334" s="4"/>
      <c r="SR334" s="4"/>
      <c r="SS334" s="5"/>
      <c r="ST334" s="6"/>
      <c r="SU334" s="4"/>
      <c r="SV334" s="4"/>
      <c r="SW334" s="4"/>
      <c r="SX334" s="4"/>
      <c r="SY334" s="4"/>
      <c r="SZ334" s="5"/>
      <c r="TA334" s="6"/>
      <c r="TB334" s="4"/>
      <c r="TC334" s="4"/>
      <c r="TD334" s="4"/>
      <c r="TE334" s="4"/>
      <c r="TF334" s="4"/>
      <c r="TG334" s="5"/>
      <c r="TH334" s="6"/>
      <c r="TI334" s="4"/>
      <c r="TJ334" s="4"/>
      <c r="TK334" s="4"/>
      <c r="TL334" s="4"/>
      <c r="TM334" s="4"/>
      <c r="TN334" s="5"/>
      <c r="TO334" s="6"/>
      <c r="TP334" s="4"/>
      <c r="TQ334" s="4"/>
      <c r="TR334" s="4"/>
      <c r="TS334" s="4"/>
      <c r="TT334" s="4"/>
      <c r="TU334" s="5"/>
      <c r="TV334" s="6"/>
      <c r="TW334" s="4"/>
      <c r="TX334" s="4"/>
      <c r="TY334" s="4"/>
      <c r="TZ334" s="4"/>
      <c r="UA334" s="4"/>
      <c r="UB334" s="5"/>
      <c r="UC334" s="6"/>
      <c r="UD334" s="4"/>
      <c r="UE334" s="4"/>
      <c r="UF334" s="4"/>
      <c r="UG334" s="4"/>
      <c r="UH334" s="4"/>
      <c r="UI334" s="5"/>
      <c r="UJ334" s="6"/>
      <c r="UK334" s="4"/>
      <c r="UL334" s="4"/>
      <c r="UM334" s="4"/>
      <c r="UN334" s="4"/>
      <c r="UO334" s="4"/>
      <c r="UP334" s="5"/>
      <c r="UQ334" s="6"/>
      <c r="UR334" s="4"/>
      <c r="US334" s="4"/>
      <c r="UT334" s="4"/>
      <c r="UU334" s="4"/>
      <c r="UV334" s="4"/>
      <c r="UW334" s="5"/>
      <c r="UX334" s="6"/>
      <c r="UY334" s="4"/>
      <c r="UZ334" s="4"/>
      <c r="VA334" s="4"/>
      <c r="VB334" s="4"/>
      <c r="VC334" s="4"/>
      <c r="VD334" s="5"/>
      <c r="VE334" s="6"/>
      <c r="VF334" s="4"/>
      <c r="VG334" s="4"/>
      <c r="VH334" s="4"/>
      <c r="VI334" s="4"/>
      <c r="VJ334" s="4"/>
      <c r="VK334" s="5"/>
      <c r="VL334" s="6"/>
      <c r="VM334" s="4"/>
      <c r="VN334" s="4"/>
      <c r="VO334" s="4"/>
      <c r="VP334" s="4"/>
      <c r="VQ334" s="4"/>
      <c r="VR334" s="5"/>
      <c r="VS334" s="6"/>
      <c r="VT334" s="4"/>
      <c r="VU334" s="4"/>
      <c r="VV334" s="4"/>
      <c r="VW334" s="4"/>
      <c r="VX334" s="4"/>
      <c r="VY334" s="5"/>
      <c r="VZ334" s="6"/>
      <c r="WA334" s="4"/>
      <c r="WB334" s="4"/>
      <c r="WC334" s="4"/>
      <c r="WD334" s="4"/>
      <c r="WE334" s="4"/>
      <c r="WF334" s="5"/>
      <c r="WG334" s="6"/>
      <c r="WH334" s="4"/>
      <c r="WI334" s="4"/>
      <c r="WJ334" s="4"/>
      <c r="WK334" s="4"/>
      <c r="WL334" s="4"/>
      <c r="WM334" s="5"/>
      <c r="WN334" s="6"/>
      <c r="WO334" s="4"/>
      <c r="WP334" s="4"/>
      <c r="WQ334" s="4"/>
      <c r="WR334" s="4"/>
      <c r="WS334" s="4"/>
      <c r="WT334" s="5"/>
      <c r="WU334" s="6"/>
      <c r="WV334" s="4"/>
      <c r="WW334" s="4"/>
      <c r="WX334" s="4"/>
      <c r="WY334" s="4"/>
      <c r="WZ334" s="4"/>
      <c r="XA334" s="5"/>
      <c r="XB334" s="6"/>
      <c r="XC334" s="4"/>
      <c r="XD334" s="4"/>
      <c r="XE334" s="4"/>
      <c r="XF334" s="4"/>
      <c r="XG334" s="4"/>
      <c r="XH334" s="5"/>
      <c r="XI334" s="6"/>
      <c r="XJ334" s="4"/>
      <c r="XK334" s="4"/>
      <c r="XL334" s="4"/>
      <c r="XM334" s="4"/>
      <c r="XN334" s="4"/>
      <c r="XO334" s="5"/>
      <c r="XP334" s="6"/>
      <c r="XQ334" s="4"/>
      <c r="XR334" s="4"/>
      <c r="XS334" s="4"/>
      <c r="XT334" s="4"/>
      <c r="XU334" s="4"/>
      <c r="XV334" s="5"/>
      <c r="XW334" s="6"/>
      <c r="XX334" s="4"/>
      <c r="XY334" s="4"/>
      <c r="XZ334" s="4"/>
      <c r="YA334" s="4"/>
      <c r="YB334" s="4"/>
      <c r="YC334" s="5"/>
      <c r="YD334" s="6"/>
      <c r="YE334" s="4"/>
      <c r="YF334" s="4"/>
      <c r="YG334" s="4"/>
      <c r="YH334" s="4"/>
      <c r="YI334" s="4"/>
      <c r="YJ334" s="5"/>
      <c r="YK334" s="6" t="s">
        <v>3359</v>
      </c>
      <c r="YL334" s="7" t="s">
        <v>2601</v>
      </c>
      <c r="YM334" s="4"/>
      <c r="YN334" s="7" t="s">
        <v>3602</v>
      </c>
      <c r="YO334" s="8">
        <v>38288</v>
      </c>
      <c r="YP334" s="8">
        <v>38291</v>
      </c>
      <c r="YQ334" s="5"/>
      <c r="YR334" s="6"/>
      <c r="YS334" s="4"/>
      <c r="YT334" s="4"/>
      <c r="YU334" s="4"/>
      <c r="YV334" s="8"/>
      <c r="YW334" s="4"/>
      <c r="YX334" s="5"/>
      <c r="YY334" s="6"/>
      <c r="YZ334" s="4"/>
      <c r="ZA334" s="4"/>
      <c r="ZB334" s="4"/>
      <c r="ZC334" s="4"/>
      <c r="ZD334" s="4"/>
      <c r="ZE334" s="5"/>
      <c r="ZF334" s="6"/>
      <c r="ZG334" s="4"/>
      <c r="ZH334" s="4"/>
      <c r="ZI334" s="4"/>
      <c r="ZJ334" s="4"/>
      <c r="ZK334" s="4"/>
      <c r="ZL334" s="5"/>
      <c r="ZM334" s="6"/>
      <c r="ZN334" s="4"/>
      <c r="ZO334" s="4"/>
      <c r="ZP334" s="4"/>
      <c r="ZQ334" s="4"/>
      <c r="ZR334" s="4"/>
      <c r="ZS334" s="5"/>
      <c r="ZT334" s="6"/>
      <c r="ZU334" s="4"/>
      <c r="ZV334" s="4"/>
      <c r="ZW334" s="4"/>
      <c r="ZX334" s="4"/>
      <c r="ZY334" s="4"/>
      <c r="ZZ334" s="5"/>
      <c r="AAA334" s="6"/>
      <c r="AAB334" s="4"/>
      <c r="AAC334" s="4"/>
      <c r="AAD334" s="4"/>
      <c r="AAE334" s="4"/>
      <c r="AAF334" s="4"/>
      <c r="AAG334" s="5"/>
      <c r="AAH334" s="6"/>
      <c r="AAI334" s="4"/>
      <c r="AAJ334" s="4"/>
      <c r="AAK334" s="4"/>
      <c r="AAL334" s="4"/>
      <c r="AAM334" s="4"/>
      <c r="AAN334" s="5"/>
      <c r="AAO334" s="6"/>
      <c r="AAP334" s="4"/>
      <c r="AAQ334" s="4"/>
      <c r="AAR334" s="4"/>
      <c r="AAS334" s="4"/>
      <c r="AAT334" s="4"/>
      <c r="AAU334" s="5"/>
      <c r="AAV334" s="6"/>
      <c r="AAW334" s="4"/>
      <c r="AAX334" s="4"/>
      <c r="AAY334" s="4"/>
      <c r="AAZ334" s="4"/>
      <c r="ABA334" s="4"/>
      <c r="ABB334" s="5"/>
      <c r="ABC334" s="6"/>
      <c r="ABD334" s="4"/>
      <c r="ABE334" s="4"/>
      <c r="ABF334" s="4"/>
      <c r="ABG334" s="4"/>
      <c r="ABH334" s="4"/>
      <c r="ABI334" s="5"/>
      <c r="ABJ334" s="6"/>
      <c r="ABK334" s="4"/>
      <c r="ABL334" s="4"/>
      <c r="ABM334" s="4"/>
      <c r="ABN334" s="4"/>
      <c r="ABO334" s="4"/>
      <c r="ABP334" s="5"/>
      <c r="ABQ334" s="6"/>
      <c r="ABR334" s="4"/>
      <c r="ABS334" s="4"/>
      <c r="ABT334" s="4"/>
      <c r="ABU334" s="4"/>
      <c r="ABV334" s="4"/>
      <c r="ABW334" s="5"/>
      <c r="ABX334" s="6"/>
      <c r="ABY334" s="4"/>
      <c r="ABZ334" s="4"/>
      <c r="ACA334" s="4"/>
      <c r="ACB334" s="4"/>
      <c r="ACC334" s="4"/>
      <c r="ACD334" s="5"/>
      <c r="ACE334" s="6"/>
      <c r="ACF334" s="4"/>
      <c r="ACG334" s="4"/>
      <c r="ACH334" s="4"/>
      <c r="ACI334" s="4"/>
      <c r="ACJ334" s="4"/>
      <c r="ACK334" s="5"/>
      <c r="ACL334" s="6"/>
      <c r="ACM334" s="4"/>
      <c r="ACN334" s="4"/>
      <c r="ACO334" s="4"/>
      <c r="ACP334" s="4"/>
      <c r="ACQ334" s="4"/>
      <c r="ACR334" s="5"/>
      <c r="ACS334" s="6"/>
      <c r="ACT334" s="4"/>
      <c r="ACU334" s="4"/>
      <c r="ACV334" s="4"/>
      <c r="ACW334" s="4"/>
      <c r="ACX334" s="4"/>
      <c r="ACY334" s="5"/>
    </row>
    <row r="335" spans="2:805" x14ac:dyDescent="0.25">
      <c r="J335" s="12"/>
      <c r="K335" s="12"/>
      <c r="L335" s="12"/>
      <c r="LL335" s="6"/>
      <c r="LM335" s="4"/>
      <c r="LN335" s="4"/>
      <c r="LO335" s="4"/>
      <c r="LP335" s="4"/>
      <c r="LQ335" s="4"/>
      <c r="LR335" s="5"/>
      <c r="LS335" s="6"/>
      <c r="LT335" s="4"/>
      <c r="LU335" s="4"/>
      <c r="LV335" s="4"/>
      <c r="LW335" s="4"/>
      <c r="LX335" s="4"/>
      <c r="LY335" s="5"/>
      <c r="LZ335" s="6"/>
      <c r="MA335" s="7"/>
      <c r="MB335" s="4"/>
      <c r="MC335" s="4"/>
      <c r="MD335" s="8"/>
      <c r="ME335" s="8"/>
      <c r="MF335" s="8"/>
      <c r="MG335" s="5"/>
      <c r="MH335" s="6"/>
      <c r="MI335" s="4"/>
      <c r="MJ335" s="4"/>
      <c r="MK335" s="4"/>
      <c r="ML335" s="4"/>
      <c r="MM335" s="4"/>
      <c r="MN335" s="5"/>
      <c r="MO335" s="6"/>
      <c r="MP335" s="4"/>
      <c r="MQ335" s="4"/>
      <c r="MR335" s="4"/>
      <c r="MS335" s="4"/>
      <c r="MT335" s="4"/>
      <c r="MU335" s="5"/>
      <c r="MV335" s="6"/>
      <c r="MW335" s="4"/>
      <c r="MX335" s="4"/>
      <c r="MY335" s="4"/>
      <c r="MZ335" s="4"/>
      <c r="NA335" s="4"/>
      <c r="NB335" s="5"/>
      <c r="NC335" s="6"/>
      <c r="ND335" s="4"/>
      <c r="NE335" s="4"/>
      <c r="NF335" s="4"/>
      <c r="NG335" s="8"/>
      <c r="NH335" s="8"/>
      <c r="NI335" s="5"/>
      <c r="NJ335" s="6"/>
      <c r="NK335" s="4"/>
      <c r="NL335" s="4"/>
      <c r="NM335" s="4"/>
      <c r="NN335" s="4"/>
      <c r="NO335" s="4"/>
      <c r="NP335" s="5"/>
      <c r="NQ335" s="6"/>
      <c r="NR335" s="4"/>
      <c r="NS335" s="4"/>
      <c r="NT335" s="4"/>
      <c r="NU335" s="4"/>
      <c r="NV335" s="4"/>
      <c r="NW335" s="5"/>
      <c r="NX335" s="6"/>
      <c r="NY335" s="4"/>
      <c r="NZ335" s="4"/>
      <c r="OA335" s="4"/>
      <c r="OB335" s="4"/>
      <c r="OC335" s="4"/>
      <c r="OD335" s="5"/>
      <c r="OE335" s="6"/>
      <c r="OF335" s="4"/>
      <c r="OG335" s="4"/>
      <c r="OH335" s="4"/>
      <c r="OI335" s="4"/>
      <c r="OJ335" s="4"/>
      <c r="OK335" s="5"/>
      <c r="OL335" s="6"/>
      <c r="OM335" s="4"/>
      <c r="ON335" s="4"/>
      <c r="OO335" s="4"/>
      <c r="OP335" s="4"/>
      <c r="OQ335" s="4"/>
      <c r="OR335" s="5"/>
      <c r="OS335" s="6"/>
      <c r="OT335" s="4"/>
      <c r="OU335" s="4"/>
      <c r="OV335" s="4"/>
      <c r="OW335" s="4"/>
      <c r="OX335" s="4"/>
      <c r="OY335" s="5"/>
      <c r="OZ335" s="4"/>
      <c r="PA335" s="4"/>
      <c r="PB335" s="4"/>
      <c r="PC335" s="4"/>
      <c r="PD335" s="4"/>
      <c r="PE335" s="4"/>
      <c r="PF335" s="5"/>
      <c r="PG335" s="6"/>
      <c r="PH335" s="4"/>
      <c r="PI335" s="4"/>
      <c r="PJ335" s="4"/>
      <c r="PK335" s="4"/>
      <c r="PL335" s="4"/>
      <c r="PM335" s="5"/>
      <c r="PN335" s="6"/>
      <c r="PO335" s="4"/>
      <c r="PP335" s="4"/>
      <c r="PQ335" s="4"/>
      <c r="PR335" s="4"/>
      <c r="PS335" s="4"/>
      <c r="PT335" s="5"/>
      <c r="PU335" s="6"/>
      <c r="PV335" s="4"/>
      <c r="PW335" s="4"/>
      <c r="PX335" s="4"/>
      <c r="PY335" s="4"/>
      <c r="PZ335" s="4"/>
      <c r="QA335" s="5"/>
      <c r="QB335" s="6"/>
      <c r="QC335" s="4"/>
      <c r="QD335" s="4"/>
      <c r="QE335" s="4"/>
      <c r="QF335" s="8"/>
      <c r="QG335" s="8"/>
      <c r="QH335" s="5"/>
      <c r="QI335" s="6"/>
      <c r="QJ335" s="4"/>
      <c r="QK335" s="4"/>
      <c r="QL335" s="4"/>
      <c r="QM335" s="4"/>
      <c r="QN335" s="4"/>
      <c r="QO335" s="5"/>
      <c r="QP335" s="6"/>
      <c r="QQ335" s="4"/>
      <c r="QR335" s="4"/>
      <c r="QS335" s="4"/>
      <c r="QT335" s="4"/>
      <c r="QU335" s="4"/>
      <c r="QV335" s="5"/>
      <c r="QW335" s="6"/>
      <c r="QX335" s="4"/>
      <c r="QY335" s="4"/>
      <c r="QZ335" s="4"/>
      <c r="RA335" s="4"/>
      <c r="RB335" s="4"/>
      <c r="RC335" s="5"/>
      <c r="RD335" s="6"/>
      <c r="RE335" s="4"/>
      <c r="RF335" s="4"/>
      <c r="RG335" s="4"/>
      <c r="RH335" s="4"/>
      <c r="RI335" s="4"/>
      <c r="RJ335" s="5"/>
      <c r="RK335" s="6"/>
      <c r="RL335" s="4"/>
      <c r="RM335" s="4"/>
      <c r="RN335" s="4"/>
      <c r="RO335" s="4"/>
      <c r="RP335" s="4"/>
      <c r="RQ335" s="5"/>
      <c r="RR335" s="6"/>
      <c r="RS335" s="4"/>
      <c r="RT335" s="4"/>
      <c r="RU335" s="4"/>
      <c r="RV335" s="4"/>
      <c r="RW335" s="4"/>
      <c r="RX335" s="5"/>
      <c r="RY335" s="6"/>
      <c r="RZ335" s="4"/>
      <c r="SA335" s="4"/>
      <c r="SB335" s="4"/>
      <c r="SC335" s="4"/>
      <c r="SD335" s="4"/>
      <c r="SE335" s="5"/>
      <c r="SF335" s="6"/>
      <c r="SG335" s="4"/>
      <c r="SH335" s="4"/>
      <c r="SI335" s="4"/>
      <c r="SJ335" s="4"/>
      <c r="SK335" s="4"/>
      <c r="SL335" s="5"/>
      <c r="SM335" s="6"/>
      <c r="SN335" s="4"/>
      <c r="SO335" s="4"/>
      <c r="SP335" s="4"/>
      <c r="SQ335" s="4"/>
      <c r="SR335" s="4"/>
      <c r="SS335" s="5"/>
      <c r="ST335" s="6"/>
      <c r="SU335" s="4"/>
      <c r="SV335" s="4"/>
      <c r="SW335" s="4"/>
      <c r="SX335" s="4"/>
      <c r="SY335" s="4"/>
      <c r="SZ335" s="5"/>
      <c r="TA335" s="6"/>
      <c r="TB335" s="4"/>
      <c r="TC335" s="4"/>
      <c r="TD335" s="4"/>
      <c r="TE335" s="4"/>
      <c r="TF335" s="4"/>
      <c r="TG335" s="5"/>
      <c r="TH335" s="6"/>
      <c r="TI335" s="4"/>
      <c r="TJ335" s="4"/>
      <c r="TK335" s="4"/>
      <c r="TL335" s="4"/>
      <c r="TM335" s="4"/>
      <c r="TN335" s="5"/>
      <c r="TO335" s="6"/>
      <c r="TP335" s="4"/>
      <c r="TQ335" s="4"/>
      <c r="TR335" s="4"/>
      <c r="TS335" s="4"/>
      <c r="TT335" s="4"/>
      <c r="TU335" s="5"/>
      <c r="TV335" s="6"/>
      <c r="TW335" s="4"/>
      <c r="TX335" s="4"/>
      <c r="TY335" s="4"/>
      <c r="TZ335" s="4"/>
      <c r="UA335" s="4"/>
      <c r="UB335" s="5"/>
      <c r="UC335" s="6"/>
      <c r="UD335" s="4"/>
      <c r="UE335" s="4"/>
      <c r="UF335" s="4"/>
      <c r="UG335" s="4"/>
      <c r="UH335" s="4"/>
      <c r="UI335" s="5"/>
      <c r="UJ335" s="6"/>
      <c r="UK335" s="4"/>
      <c r="UL335" s="4"/>
      <c r="UM335" s="4"/>
      <c r="UN335" s="4"/>
      <c r="UO335" s="4"/>
      <c r="UP335" s="5"/>
      <c r="UQ335" s="6"/>
      <c r="UR335" s="4"/>
      <c r="US335" s="4"/>
      <c r="UT335" s="4"/>
      <c r="UU335" s="4"/>
      <c r="UV335" s="4"/>
      <c r="UW335" s="5"/>
      <c r="UX335" s="6"/>
      <c r="UY335" s="4"/>
      <c r="UZ335" s="4"/>
      <c r="VA335" s="4"/>
      <c r="VB335" s="4"/>
      <c r="VC335" s="4"/>
      <c r="VD335" s="5"/>
      <c r="VE335" s="6"/>
      <c r="VF335" s="4"/>
      <c r="VG335" s="4"/>
      <c r="VH335" s="4"/>
      <c r="VI335" s="4"/>
      <c r="VJ335" s="4"/>
      <c r="VK335" s="5"/>
      <c r="VL335" s="6"/>
      <c r="VM335" s="4"/>
      <c r="VN335" s="4"/>
      <c r="VO335" s="4"/>
      <c r="VP335" s="4"/>
      <c r="VQ335" s="4"/>
      <c r="VR335" s="5"/>
      <c r="VS335" s="6"/>
      <c r="VT335" s="4"/>
      <c r="VU335" s="4"/>
      <c r="VV335" s="4"/>
      <c r="VW335" s="4"/>
      <c r="VX335" s="4"/>
      <c r="VY335" s="5"/>
      <c r="VZ335" s="6"/>
      <c r="WA335" s="4"/>
      <c r="WB335" s="4"/>
      <c r="WC335" s="4"/>
      <c r="WD335" s="4"/>
      <c r="WE335" s="4"/>
      <c r="WF335" s="5"/>
      <c r="WG335" s="6"/>
      <c r="WH335" s="4"/>
      <c r="WI335" s="4"/>
      <c r="WJ335" s="4"/>
      <c r="WK335" s="4"/>
      <c r="WL335" s="4"/>
      <c r="WM335" s="5"/>
      <c r="WN335" s="6"/>
      <c r="WO335" s="4"/>
      <c r="WP335" s="4"/>
      <c r="WQ335" s="4"/>
      <c r="WR335" s="4"/>
      <c r="WS335" s="4"/>
      <c r="WT335" s="5"/>
      <c r="WU335" s="6"/>
      <c r="WV335" s="4"/>
      <c r="WW335" s="4"/>
      <c r="WX335" s="4"/>
      <c r="WY335" s="4"/>
      <c r="WZ335" s="4"/>
      <c r="XA335" s="5"/>
      <c r="XB335" s="6"/>
      <c r="XC335" s="4"/>
      <c r="XD335" s="4"/>
      <c r="XE335" s="4"/>
      <c r="XF335" s="4"/>
      <c r="XG335" s="4"/>
      <c r="XH335" s="5"/>
      <c r="XI335" s="6"/>
      <c r="XJ335" s="4"/>
      <c r="XK335" s="4"/>
      <c r="XL335" s="4"/>
      <c r="XM335" s="4"/>
      <c r="XN335" s="4"/>
      <c r="XO335" s="5"/>
      <c r="XP335" s="6"/>
      <c r="XQ335" s="4"/>
      <c r="XR335" s="4"/>
      <c r="XS335" s="4"/>
      <c r="XT335" s="4"/>
      <c r="XU335" s="4"/>
      <c r="XV335" s="5"/>
      <c r="XW335" s="6"/>
      <c r="XX335" s="4"/>
      <c r="XY335" s="4"/>
      <c r="XZ335" s="4"/>
      <c r="YA335" s="4"/>
      <c r="YB335" s="4"/>
      <c r="YC335" s="5"/>
      <c r="YD335" s="6"/>
      <c r="YE335" s="4"/>
      <c r="YF335" s="4"/>
      <c r="YG335" s="4"/>
      <c r="YH335" s="4"/>
      <c r="YI335" s="4"/>
      <c r="YJ335" s="5"/>
      <c r="YK335" s="6" t="s">
        <v>3359</v>
      </c>
      <c r="YL335" s="7" t="s">
        <v>2601</v>
      </c>
      <c r="YM335" s="4"/>
      <c r="YN335" s="7" t="s">
        <v>3380</v>
      </c>
      <c r="YO335" s="8">
        <v>38283</v>
      </c>
      <c r="YP335" s="8">
        <v>38283</v>
      </c>
      <c r="YQ335" s="5"/>
      <c r="YR335" s="6"/>
      <c r="YS335" s="4"/>
      <c r="YT335" s="4"/>
      <c r="YU335" s="4"/>
      <c r="YV335" s="8"/>
      <c r="YW335" s="4"/>
      <c r="YX335" s="5"/>
      <c r="YY335" s="6"/>
      <c r="YZ335" s="4"/>
      <c r="ZA335" s="4"/>
      <c r="ZB335" s="4"/>
      <c r="ZC335" s="4"/>
      <c r="ZD335" s="4"/>
      <c r="ZE335" s="5"/>
      <c r="ZF335" s="6"/>
      <c r="ZG335" s="4"/>
      <c r="ZH335" s="4"/>
      <c r="ZI335" s="4"/>
      <c r="ZJ335" s="4"/>
      <c r="ZK335" s="4"/>
      <c r="ZL335" s="5"/>
      <c r="ZM335" s="6"/>
      <c r="ZN335" s="4"/>
      <c r="ZO335" s="4"/>
      <c r="ZP335" s="4"/>
      <c r="ZQ335" s="4"/>
      <c r="ZR335" s="4"/>
      <c r="ZS335" s="5"/>
      <c r="ZT335" s="6"/>
      <c r="ZU335" s="4"/>
      <c r="ZV335" s="4"/>
      <c r="ZW335" s="4"/>
      <c r="ZX335" s="4"/>
      <c r="ZY335" s="4"/>
      <c r="ZZ335" s="5"/>
      <c r="AAA335" s="6"/>
      <c r="AAB335" s="4"/>
      <c r="AAC335" s="4"/>
      <c r="AAD335" s="4"/>
      <c r="AAE335" s="4"/>
      <c r="AAF335" s="4"/>
      <c r="AAG335" s="5"/>
      <c r="AAH335" s="6"/>
      <c r="AAI335" s="4"/>
      <c r="AAJ335" s="4"/>
      <c r="AAK335" s="4"/>
      <c r="AAL335" s="4"/>
      <c r="AAM335" s="4"/>
      <c r="AAN335" s="5"/>
      <c r="AAO335" s="6"/>
      <c r="AAP335" s="4"/>
      <c r="AAQ335" s="4"/>
      <c r="AAR335" s="4"/>
      <c r="AAS335" s="4"/>
      <c r="AAT335" s="4"/>
      <c r="AAU335" s="5"/>
      <c r="AAV335" s="6"/>
      <c r="AAW335" s="4"/>
      <c r="AAX335" s="4"/>
      <c r="AAY335" s="4"/>
      <c r="AAZ335" s="4"/>
      <c r="ABA335" s="4"/>
      <c r="ABB335" s="5"/>
      <c r="ABC335" s="6"/>
      <c r="ABD335" s="4"/>
      <c r="ABE335" s="4"/>
      <c r="ABF335" s="4"/>
      <c r="ABG335" s="4"/>
      <c r="ABH335" s="4"/>
      <c r="ABI335" s="5"/>
      <c r="ABJ335" s="6"/>
      <c r="ABK335" s="4"/>
      <c r="ABL335" s="4"/>
      <c r="ABM335" s="4"/>
      <c r="ABN335" s="4"/>
      <c r="ABO335" s="4"/>
      <c r="ABP335" s="5"/>
      <c r="ABQ335" s="6"/>
      <c r="ABR335" s="4"/>
      <c r="ABS335" s="4"/>
      <c r="ABT335" s="4"/>
      <c r="ABU335" s="4"/>
      <c r="ABV335" s="4"/>
      <c r="ABW335" s="5"/>
      <c r="ABX335" s="6"/>
      <c r="ABY335" s="4"/>
      <c r="ABZ335" s="4"/>
      <c r="ACA335" s="4"/>
      <c r="ACB335" s="4"/>
      <c r="ACC335" s="4"/>
      <c r="ACD335" s="5"/>
      <c r="ACE335" s="6"/>
      <c r="ACF335" s="4"/>
      <c r="ACG335" s="4"/>
      <c r="ACH335" s="4"/>
      <c r="ACI335" s="4"/>
      <c r="ACJ335" s="4"/>
      <c r="ACK335" s="5"/>
      <c r="ACL335" s="6"/>
      <c r="ACM335" s="4"/>
      <c r="ACN335" s="4"/>
      <c r="ACO335" s="4"/>
      <c r="ACP335" s="4"/>
      <c r="ACQ335" s="4"/>
      <c r="ACR335" s="5"/>
      <c r="ACS335" s="6"/>
      <c r="ACT335" s="4"/>
      <c r="ACU335" s="4"/>
      <c r="ACV335" s="4"/>
      <c r="ACW335" s="4"/>
      <c r="ACX335" s="4"/>
      <c r="ACY335" s="5"/>
    </row>
    <row r="336" spans="2:805" x14ac:dyDescent="0.25">
      <c r="J336" s="12"/>
      <c r="K336" s="12"/>
      <c r="L336" s="12"/>
      <c r="LL336" s="6"/>
      <c r="LM336" s="4"/>
      <c r="LN336" s="4"/>
      <c r="LO336" s="4"/>
      <c r="LP336" s="4"/>
      <c r="LQ336" s="4"/>
      <c r="LR336" s="5"/>
      <c r="LS336" s="6"/>
      <c r="LT336" s="4"/>
      <c r="LU336" s="4"/>
      <c r="LV336" s="4"/>
      <c r="LW336" s="4"/>
      <c r="LX336" s="4"/>
      <c r="LY336" s="5"/>
      <c r="LZ336" s="6"/>
      <c r="MA336" s="7"/>
      <c r="MB336" s="4"/>
      <c r="MC336" s="4"/>
      <c r="MD336" s="8"/>
      <c r="ME336" s="8"/>
      <c r="MF336" s="8"/>
      <c r="MG336" s="5"/>
      <c r="MH336" s="6"/>
      <c r="MI336" s="4"/>
      <c r="MJ336" s="4"/>
      <c r="MK336" s="4"/>
      <c r="ML336" s="4"/>
      <c r="MM336" s="4"/>
      <c r="MN336" s="5"/>
      <c r="MO336" s="6"/>
      <c r="MP336" s="4"/>
      <c r="MQ336" s="4"/>
      <c r="MR336" s="4"/>
      <c r="MS336" s="4"/>
      <c r="MT336" s="4"/>
      <c r="MU336" s="5"/>
      <c r="MV336" s="6"/>
      <c r="MW336" s="4"/>
      <c r="MX336" s="4"/>
      <c r="MY336" s="4"/>
      <c r="MZ336" s="4"/>
      <c r="NA336" s="4"/>
      <c r="NB336" s="5"/>
      <c r="NC336" s="6"/>
      <c r="ND336" s="4"/>
      <c r="NE336" s="4"/>
      <c r="NF336" s="4"/>
      <c r="NG336" s="8"/>
      <c r="NH336" s="8"/>
      <c r="NI336" s="5"/>
      <c r="NJ336" s="6"/>
      <c r="NK336" s="4"/>
      <c r="NL336" s="4"/>
      <c r="NM336" s="4"/>
      <c r="NN336" s="4"/>
      <c r="NO336" s="4"/>
      <c r="NP336" s="5"/>
      <c r="NQ336" s="6"/>
      <c r="NR336" s="4"/>
      <c r="NS336" s="4"/>
      <c r="NT336" s="4"/>
      <c r="NU336" s="4"/>
      <c r="NV336" s="4"/>
      <c r="NW336" s="5"/>
      <c r="NX336" s="6"/>
      <c r="NY336" s="4"/>
      <c r="NZ336" s="4"/>
      <c r="OA336" s="4"/>
      <c r="OB336" s="4"/>
      <c r="OC336" s="4"/>
      <c r="OD336" s="5"/>
      <c r="OE336" s="6"/>
      <c r="OF336" s="4"/>
      <c r="OG336" s="4"/>
      <c r="OH336" s="4"/>
      <c r="OI336" s="4"/>
      <c r="OJ336" s="4"/>
      <c r="OK336" s="5"/>
      <c r="OL336" s="6"/>
      <c r="OM336" s="4"/>
      <c r="ON336" s="4"/>
      <c r="OO336" s="4"/>
      <c r="OP336" s="4"/>
      <c r="OQ336" s="4"/>
      <c r="OR336" s="5"/>
      <c r="OS336" s="6"/>
      <c r="OT336" s="4"/>
      <c r="OU336" s="4"/>
      <c r="OV336" s="4"/>
      <c r="OW336" s="4"/>
      <c r="OX336" s="4"/>
      <c r="OY336" s="5"/>
      <c r="OZ336" s="4"/>
      <c r="PA336" s="4"/>
      <c r="PB336" s="4"/>
      <c r="PC336" s="4"/>
      <c r="PD336" s="4"/>
      <c r="PE336" s="4"/>
      <c r="PF336" s="5"/>
      <c r="PG336" s="6"/>
      <c r="PH336" s="4"/>
      <c r="PI336" s="4"/>
      <c r="PJ336" s="4"/>
      <c r="PK336" s="4"/>
      <c r="PL336" s="4"/>
      <c r="PM336" s="5"/>
      <c r="PN336" s="6"/>
      <c r="PO336" s="4"/>
      <c r="PP336" s="4"/>
      <c r="PQ336" s="4"/>
      <c r="PR336" s="4"/>
      <c r="PS336" s="4"/>
      <c r="PT336" s="5"/>
      <c r="PU336" s="6"/>
      <c r="PV336" s="4"/>
      <c r="PW336" s="4"/>
      <c r="PX336" s="4"/>
      <c r="PY336" s="4"/>
      <c r="PZ336" s="4"/>
      <c r="QA336" s="5"/>
      <c r="QB336" s="6"/>
      <c r="QC336" s="4"/>
      <c r="QD336" s="4"/>
      <c r="QE336" s="4"/>
      <c r="QF336" s="8"/>
      <c r="QG336" s="8"/>
      <c r="QH336" s="5"/>
      <c r="QI336" s="6"/>
      <c r="QJ336" s="4"/>
      <c r="QK336" s="4"/>
      <c r="QL336" s="4"/>
      <c r="QM336" s="4"/>
      <c r="QN336" s="4"/>
      <c r="QO336" s="5"/>
      <c r="QP336" s="6"/>
      <c r="QQ336" s="4"/>
      <c r="QR336" s="4"/>
      <c r="QS336" s="4"/>
      <c r="QT336" s="4"/>
      <c r="QU336" s="4"/>
      <c r="QV336" s="5"/>
      <c r="QW336" s="6"/>
      <c r="QX336" s="4"/>
      <c r="QY336" s="4"/>
      <c r="QZ336" s="4"/>
      <c r="RA336" s="4"/>
      <c r="RB336" s="4"/>
      <c r="RC336" s="5"/>
      <c r="RD336" s="6"/>
      <c r="RE336" s="4"/>
      <c r="RF336" s="4"/>
      <c r="RG336" s="4"/>
      <c r="RH336" s="4"/>
      <c r="RI336" s="4"/>
      <c r="RJ336" s="5"/>
      <c r="RK336" s="6"/>
      <c r="RL336" s="4"/>
      <c r="RM336" s="4"/>
      <c r="RN336" s="4"/>
      <c r="RO336" s="4"/>
      <c r="RP336" s="4"/>
      <c r="RQ336" s="5"/>
      <c r="RR336" s="6"/>
      <c r="RS336" s="4"/>
      <c r="RT336" s="4"/>
      <c r="RU336" s="4"/>
      <c r="RV336" s="4"/>
      <c r="RW336" s="4"/>
      <c r="RX336" s="5"/>
      <c r="RY336" s="6"/>
      <c r="RZ336" s="4"/>
      <c r="SA336" s="4"/>
      <c r="SB336" s="4"/>
      <c r="SC336" s="4"/>
      <c r="SD336" s="4"/>
      <c r="SE336" s="5"/>
      <c r="SF336" s="6"/>
      <c r="SG336" s="4"/>
      <c r="SH336" s="4"/>
      <c r="SI336" s="4"/>
      <c r="SJ336" s="4"/>
      <c r="SK336" s="4"/>
      <c r="SL336" s="5"/>
      <c r="SM336" s="6"/>
      <c r="SN336" s="4"/>
      <c r="SO336" s="4"/>
      <c r="SP336" s="4"/>
      <c r="SQ336" s="4"/>
      <c r="SR336" s="4"/>
      <c r="SS336" s="5"/>
      <c r="ST336" s="6"/>
      <c r="SU336" s="4"/>
      <c r="SV336" s="4"/>
      <c r="SW336" s="4"/>
      <c r="SX336" s="4"/>
      <c r="SY336" s="4"/>
      <c r="SZ336" s="5"/>
      <c r="TA336" s="6"/>
      <c r="TB336" s="4"/>
      <c r="TC336" s="4"/>
      <c r="TD336" s="4"/>
      <c r="TE336" s="4"/>
      <c r="TF336" s="4"/>
      <c r="TG336" s="5"/>
      <c r="TH336" s="6"/>
      <c r="TI336" s="4"/>
      <c r="TJ336" s="4"/>
      <c r="TK336" s="4"/>
      <c r="TL336" s="4"/>
      <c r="TM336" s="4"/>
      <c r="TN336" s="5"/>
      <c r="TO336" s="6"/>
      <c r="TP336" s="4"/>
      <c r="TQ336" s="4"/>
      <c r="TR336" s="4"/>
      <c r="TS336" s="4"/>
      <c r="TT336" s="4"/>
      <c r="TU336" s="5"/>
      <c r="TV336" s="6"/>
      <c r="TW336" s="4"/>
      <c r="TX336" s="4"/>
      <c r="TY336" s="4"/>
      <c r="TZ336" s="4"/>
      <c r="UA336" s="4"/>
      <c r="UB336" s="5"/>
      <c r="UC336" s="6"/>
      <c r="UD336" s="4"/>
      <c r="UE336" s="4"/>
      <c r="UF336" s="4"/>
      <c r="UG336" s="4"/>
      <c r="UH336" s="4"/>
      <c r="UI336" s="5"/>
      <c r="UJ336" s="6"/>
      <c r="UK336" s="4"/>
      <c r="UL336" s="4"/>
      <c r="UM336" s="4"/>
      <c r="UN336" s="4"/>
      <c r="UO336" s="4"/>
      <c r="UP336" s="5"/>
      <c r="UQ336" s="6"/>
      <c r="UR336" s="4"/>
      <c r="US336" s="4"/>
      <c r="UT336" s="4"/>
      <c r="UU336" s="4"/>
      <c r="UV336" s="4"/>
      <c r="UW336" s="5"/>
      <c r="UX336" s="6"/>
      <c r="UY336" s="4"/>
      <c r="UZ336" s="4"/>
      <c r="VA336" s="4"/>
      <c r="VB336" s="4"/>
      <c r="VC336" s="4"/>
      <c r="VD336" s="5"/>
      <c r="VE336" s="6"/>
      <c r="VF336" s="4"/>
      <c r="VG336" s="4"/>
      <c r="VH336" s="4"/>
      <c r="VI336" s="4"/>
      <c r="VJ336" s="4"/>
      <c r="VK336" s="5"/>
      <c r="VL336" s="6"/>
      <c r="VM336" s="4"/>
      <c r="VN336" s="4"/>
      <c r="VO336" s="4"/>
      <c r="VP336" s="4"/>
      <c r="VQ336" s="4"/>
      <c r="VR336" s="5"/>
      <c r="VS336" s="6"/>
      <c r="VT336" s="4"/>
      <c r="VU336" s="4"/>
      <c r="VV336" s="4"/>
      <c r="VW336" s="4"/>
      <c r="VX336" s="4"/>
      <c r="VY336" s="5"/>
      <c r="VZ336" s="6"/>
      <c r="WA336" s="4"/>
      <c r="WB336" s="4"/>
      <c r="WC336" s="4"/>
      <c r="WD336" s="4"/>
      <c r="WE336" s="4"/>
      <c r="WF336" s="5"/>
      <c r="WG336" s="6"/>
      <c r="WH336" s="4"/>
      <c r="WI336" s="4"/>
      <c r="WJ336" s="4"/>
      <c r="WK336" s="4"/>
      <c r="WL336" s="4"/>
      <c r="WM336" s="5"/>
      <c r="WN336" s="6"/>
      <c r="WO336" s="4"/>
      <c r="WP336" s="4"/>
      <c r="WQ336" s="4"/>
      <c r="WR336" s="4"/>
      <c r="WS336" s="4"/>
      <c r="WT336" s="5"/>
      <c r="WU336" s="6"/>
      <c r="WV336" s="4"/>
      <c r="WW336" s="4"/>
      <c r="WX336" s="4"/>
      <c r="WY336" s="4"/>
      <c r="WZ336" s="4"/>
      <c r="XA336" s="5"/>
      <c r="XB336" s="6"/>
      <c r="XC336" s="4"/>
      <c r="XD336" s="4"/>
      <c r="XE336" s="4"/>
      <c r="XF336" s="4"/>
      <c r="XG336" s="4"/>
      <c r="XH336" s="5"/>
      <c r="XI336" s="6"/>
      <c r="XJ336" s="4"/>
      <c r="XK336" s="4"/>
      <c r="XL336" s="4"/>
      <c r="XM336" s="4"/>
      <c r="XN336" s="4"/>
      <c r="XO336" s="5"/>
      <c r="XP336" s="6"/>
      <c r="XQ336" s="4"/>
      <c r="XR336" s="4"/>
      <c r="XS336" s="4"/>
      <c r="XT336" s="4"/>
      <c r="XU336" s="4"/>
      <c r="XV336" s="5"/>
      <c r="XW336" s="6"/>
      <c r="XX336" s="4"/>
      <c r="XY336" s="4"/>
      <c r="XZ336" s="4"/>
      <c r="YA336" s="4"/>
      <c r="YB336" s="4"/>
      <c r="YC336" s="5"/>
      <c r="YD336" s="6"/>
      <c r="YE336" s="4"/>
      <c r="YF336" s="4"/>
      <c r="YG336" s="4"/>
      <c r="YH336" s="4"/>
      <c r="YI336" s="4"/>
      <c r="YJ336" s="5"/>
      <c r="YK336" s="6" t="s">
        <v>3360</v>
      </c>
      <c r="YL336" s="4" t="s">
        <v>2837</v>
      </c>
      <c r="YM336" s="4"/>
      <c r="YN336" s="7" t="s">
        <v>3625</v>
      </c>
      <c r="YO336" s="8">
        <v>38283</v>
      </c>
      <c r="YP336" s="8">
        <v>38288</v>
      </c>
      <c r="YQ336" s="5" t="s">
        <v>3939</v>
      </c>
      <c r="YR336" s="6"/>
      <c r="YS336" s="4"/>
      <c r="YT336" s="4"/>
      <c r="YU336" s="4"/>
      <c r="YV336" s="8"/>
      <c r="YW336" s="4"/>
      <c r="YX336" s="5"/>
      <c r="YY336" s="6"/>
      <c r="YZ336" s="4"/>
      <c r="ZA336" s="4"/>
      <c r="ZB336" s="4"/>
      <c r="ZC336" s="4"/>
      <c r="ZD336" s="4"/>
      <c r="ZE336" s="5"/>
      <c r="ZF336" s="6"/>
      <c r="ZG336" s="4"/>
      <c r="ZH336" s="4"/>
      <c r="ZI336" s="4"/>
      <c r="ZJ336" s="4"/>
      <c r="ZK336" s="4"/>
      <c r="ZL336" s="5"/>
      <c r="ZM336" s="6"/>
      <c r="ZN336" s="4"/>
      <c r="ZO336" s="4"/>
      <c r="ZP336" s="4"/>
      <c r="ZQ336" s="4"/>
      <c r="ZR336" s="4"/>
      <c r="ZS336" s="5"/>
      <c r="ZT336" s="6"/>
      <c r="ZU336" s="4"/>
      <c r="ZV336" s="4"/>
      <c r="ZW336" s="4"/>
      <c r="ZX336" s="4"/>
      <c r="ZY336" s="4"/>
      <c r="ZZ336" s="5"/>
      <c r="AAA336" s="6"/>
      <c r="AAB336" s="4"/>
      <c r="AAC336" s="4"/>
      <c r="AAD336" s="4"/>
      <c r="AAE336" s="4"/>
      <c r="AAF336" s="4"/>
      <c r="AAG336" s="5"/>
      <c r="AAH336" s="6"/>
      <c r="AAI336" s="4"/>
      <c r="AAJ336" s="4"/>
      <c r="AAK336" s="4"/>
      <c r="AAL336" s="4"/>
      <c r="AAM336" s="4"/>
      <c r="AAN336" s="5"/>
      <c r="AAO336" s="6"/>
      <c r="AAP336" s="4"/>
      <c r="AAQ336" s="4"/>
      <c r="AAR336" s="4"/>
      <c r="AAS336" s="4"/>
      <c r="AAT336" s="4"/>
      <c r="AAU336" s="5"/>
      <c r="AAV336" s="6"/>
      <c r="AAW336" s="4"/>
      <c r="AAX336" s="4"/>
      <c r="AAY336" s="4"/>
      <c r="AAZ336" s="4"/>
      <c r="ABA336" s="4"/>
      <c r="ABB336" s="5"/>
      <c r="ABC336" s="6"/>
      <c r="ABD336" s="4"/>
      <c r="ABE336" s="4"/>
      <c r="ABF336" s="4"/>
      <c r="ABG336" s="4"/>
      <c r="ABH336" s="4"/>
      <c r="ABI336" s="5"/>
      <c r="ABJ336" s="6"/>
      <c r="ABK336" s="4"/>
      <c r="ABL336" s="4"/>
      <c r="ABM336" s="4"/>
      <c r="ABN336" s="4"/>
      <c r="ABO336" s="4"/>
      <c r="ABP336" s="5"/>
      <c r="ABQ336" s="6"/>
      <c r="ABR336" s="4"/>
      <c r="ABS336" s="4"/>
      <c r="ABT336" s="4"/>
      <c r="ABU336" s="4"/>
      <c r="ABV336" s="4"/>
      <c r="ABW336" s="5"/>
      <c r="ABX336" s="6"/>
      <c r="ABY336" s="4"/>
      <c r="ABZ336" s="4"/>
      <c r="ACA336" s="4"/>
      <c r="ACB336" s="4"/>
      <c r="ACC336" s="4"/>
      <c r="ACD336" s="5"/>
      <c r="ACE336" s="6"/>
      <c r="ACF336" s="4"/>
      <c r="ACG336" s="4"/>
      <c r="ACH336" s="4"/>
      <c r="ACI336" s="4"/>
      <c r="ACJ336" s="4"/>
      <c r="ACK336" s="5"/>
      <c r="ACL336" s="6"/>
      <c r="ACM336" s="4"/>
      <c r="ACN336" s="4"/>
      <c r="ACO336" s="4"/>
      <c r="ACP336" s="4"/>
      <c r="ACQ336" s="4"/>
      <c r="ACR336" s="5"/>
      <c r="ACS336" s="6"/>
      <c r="ACT336" s="4"/>
      <c r="ACU336" s="4"/>
      <c r="ACV336" s="4"/>
      <c r="ACW336" s="4"/>
      <c r="ACX336" s="4"/>
      <c r="ACY336" s="5"/>
    </row>
    <row r="337" spans="2:805" x14ac:dyDescent="0.25">
      <c r="J337" s="12"/>
      <c r="K337" s="12"/>
      <c r="L337" s="12"/>
      <c r="LL337" s="6"/>
      <c r="LM337" s="4"/>
      <c r="LN337" s="4"/>
      <c r="LO337" s="4"/>
      <c r="LP337" s="4"/>
      <c r="LQ337" s="4"/>
      <c r="LR337" s="5"/>
      <c r="LS337" s="6"/>
      <c r="LT337" s="4"/>
      <c r="LU337" s="4"/>
      <c r="LV337" s="4"/>
      <c r="LW337" s="4"/>
      <c r="LX337" s="4"/>
      <c r="LY337" s="5"/>
      <c r="LZ337" s="6"/>
      <c r="MA337" s="7"/>
      <c r="MB337" s="4"/>
      <c r="MC337" s="4"/>
      <c r="MD337" s="8"/>
      <c r="ME337" s="8"/>
      <c r="MF337" s="8"/>
      <c r="MG337" s="5"/>
      <c r="MH337" s="6"/>
      <c r="MI337" s="4"/>
      <c r="MJ337" s="4"/>
      <c r="MK337" s="4"/>
      <c r="ML337" s="4"/>
      <c r="MM337" s="4"/>
      <c r="MN337" s="5"/>
      <c r="MO337" s="6"/>
      <c r="MP337" s="4"/>
      <c r="MQ337" s="4"/>
      <c r="MR337" s="4"/>
      <c r="MS337" s="4"/>
      <c r="MT337" s="4"/>
      <c r="MU337" s="5"/>
      <c r="MV337" s="6"/>
      <c r="MW337" s="4"/>
      <c r="MX337" s="4"/>
      <c r="MY337" s="4"/>
      <c r="MZ337" s="4"/>
      <c r="NA337" s="4"/>
      <c r="NB337" s="5"/>
      <c r="NC337" s="6"/>
      <c r="ND337" s="4"/>
      <c r="NE337" s="4"/>
      <c r="NF337" s="4"/>
      <c r="NG337" s="8"/>
      <c r="NH337" s="8"/>
      <c r="NI337" s="5"/>
      <c r="NJ337" s="6"/>
      <c r="NK337" s="4"/>
      <c r="NL337" s="4"/>
      <c r="NM337" s="4"/>
      <c r="NN337" s="4"/>
      <c r="NO337" s="4"/>
      <c r="NP337" s="5"/>
      <c r="NQ337" s="6"/>
      <c r="NR337" s="4"/>
      <c r="NS337" s="4"/>
      <c r="NT337" s="4"/>
      <c r="NU337" s="4"/>
      <c r="NV337" s="4"/>
      <c r="NW337" s="5"/>
      <c r="NX337" s="6"/>
      <c r="NY337" s="4"/>
      <c r="NZ337" s="4"/>
      <c r="OA337" s="4"/>
      <c r="OB337" s="4"/>
      <c r="OC337" s="4"/>
      <c r="OD337" s="5"/>
      <c r="OE337" s="6"/>
      <c r="OF337" s="4"/>
      <c r="OG337" s="4"/>
      <c r="OH337" s="4"/>
      <c r="OI337" s="4"/>
      <c r="OJ337" s="4"/>
      <c r="OK337" s="5"/>
      <c r="OL337" s="6"/>
      <c r="OM337" s="4"/>
      <c r="ON337" s="4"/>
      <c r="OO337" s="4"/>
      <c r="OP337" s="4"/>
      <c r="OQ337" s="4"/>
      <c r="OR337" s="5"/>
      <c r="OS337" s="6"/>
      <c r="OT337" s="4"/>
      <c r="OU337" s="4"/>
      <c r="OV337" s="4"/>
      <c r="OW337" s="4"/>
      <c r="OX337" s="4"/>
      <c r="OY337" s="5"/>
      <c r="OZ337" s="4"/>
      <c r="PA337" s="4"/>
      <c r="PB337" s="4"/>
      <c r="PC337" s="4"/>
      <c r="PD337" s="4"/>
      <c r="PE337" s="4"/>
      <c r="PF337" s="5"/>
      <c r="PG337" s="6"/>
      <c r="PH337" s="4"/>
      <c r="PI337" s="4"/>
      <c r="PJ337" s="4"/>
      <c r="PK337" s="4"/>
      <c r="PL337" s="4"/>
      <c r="PM337" s="5"/>
      <c r="PN337" s="6"/>
      <c r="PO337" s="4"/>
      <c r="PP337" s="4"/>
      <c r="PQ337" s="4"/>
      <c r="PR337" s="4"/>
      <c r="PS337" s="4"/>
      <c r="PT337" s="5"/>
      <c r="PU337" s="6"/>
      <c r="PV337" s="4"/>
      <c r="PW337" s="4"/>
      <c r="PX337" s="4"/>
      <c r="PY337" s="4"/>
      <c r="PZ337" s="4"/>
      <c r="QA337" s="5"/>
      <c r="QB337" s="6"/>
      <c r="QC337" s="4"/>
      <c r="QD337" s="4"/>
      <c r="QE337" s="4"/>
      <c r="QF337" s="8"/>
      <c r="QG337" s="8"/>
      <c r="QH337" s="5"/>
      <c r="QI337" s="6"/>
      <c r="QJ337" s="4"/>
      <c r="QK337" s="4"/>
      <c r="QL337" s="4"/>
      <c r="QM337" s="4"/>
      <c r="QN337" s="4"/>
      <c r="QO337" s="5"/>
      <c r="QP337" s="6"/>
      <c r="QQ337" s="4"/>
      <c r="QR337" s="4"/>
      <c r="QS337" s="4"/>
      <c r="QT337" s="4"/>
      <c r="QU337" s="4"/>
      <c r="QV337" s="5"/>
      <c r="QW337" s="6"/>
      <c r="QX337" s="4"/>
      <c r="QY337" s="4"/>
      <c r="QZ337" s="4"/>
      <c r="RA337" s="4"/>
      <c r="RB337" s="4"/>
      <c r="RC337" s="5"/>
      <c r="RD337" s="6"/>
      <c r="RE337" s="4"/>
      <c r="RF337" s="4"/>
      <c r="RG337" s="4"/>
      <c r="RH337" s="4"/>
      <c r="RI337" s="4"/>
      <c r="RJ337" s="5"/>
      <c r="RK337" s="6"/>
      <c r="RL337" s="4"/>
      <c r="RM337" s="4"/>
      <c r="RN337" s="4"/>
      <c r="RO337" s="4"/>
      <c r="RP337" s="4"/>
      <c r="RQ337" s="5"/>
      <c r="RR337" s="6"/>
      <c r="RS337" s="4"/>
      <c r="RT337" s="4"/>
      <c r="RU337" s="4"/>
      <c r="RV337" s="4"/>
      <c r="RW337" s="4"/>
      <c r="RX337" s="5"/>
      <c r="RY337" s="6"/>
      <c r="RZ337" s="4"/>
      <c r="SA337" s="4"/>
      <c r="SB337" s="4"/>
      <c r="SC337" s="4"/>
      <c r="SD337" s="4"/>
      <c r="SE337" s="5"/>
      <c r="SF337" s="6"/>
      <c r="SG337" s="4"/>
      <c r="SH337" s="4"/>
      <c r="SI337" s="4"/>
      <c r="SJ337" s="4"/>
      <c r="SK337" s="4"/>
      <c r="SL337" s="5"/>
      <c r="SM337" s="6"/>
      <c r="SN337" s="4"/>
      <c r="SO337" s="4"/>
      <c r="SP337" s="4"/>
      <c r="SQ337" s="4"/>
      <c r="SR337" s="4"/>
      <c r="SS337" s="5"/>
      <c r="ST337" s="6"/>
      <c r="SU337" s="4"/>
      <c r="SV337" s="4"/>
      <c r="SW337" s="4"/>
      <c r="SX337" s="4"/>
      <c r="SY337" s="4"/>
      <c r="SZ337" s="5"/>
      <c r="TA337" s="6"/>
      <c r="TB337" s="4"/>
      <c r="TC337" s="4"/>
      <c r="TD337" s="4"/>
      <c r="TE337" s="4"/>
      <c r="TF337" s="4"/>
      <c r="TG337" s="5"/>
      <c r="TH337" s="6"/>
      <c r="TI337" s="4"/>
      <c r="TJ337" s="4"/>
      <c r="TK337" s="4"/>
      <c r="TL337" s="4"/>
      <c r="TM337" s="4"/>
      <c r="TN337" s="5"/>
      <c r="TO337" s="6"/>
      <c r="TP337" s="4"/>
      <c r="TQ337" s="4"/>
      <c r="TR337" s="4"/>
      <c r="TS337" s="4"/>
      <c r="TT337" s="4"/>
      <c r="TU337" s="5"/>
      <c r="TV337" s="6"/>
      <c r="TW337" s="4"/>
      <c r="TX337" s="4"/>
      <c r="TY337" s="4"/>
      <c r="TZ337" s="4"/>
      <c r="UA337" s="4"/>
      <c r="UB337" s="5"/>
      <c r="UC337" s="6"/>
      <c r="UD337" s="4"/>
      <c r="UE337" s="4"/>
      <c r="UF337" s="4"/>
      <c r="UG337" s="4"/>
      <c r="UH337" s="4"/>
      <c r="UI337" s="5"/>
      <c r="UJ337" s="6"/>
      <c r="UK337" s="4"/>
      <c r="UL337" s="4"/>
      <c r="UM337" s="4"/>
      <c r="UN337" s="4"/>
      <c r="UO337" s="4"/>
      <c r="UP337" s="5"/>
      <c r="UQ337" s="6"/>
      <c r="UR337" s="4"/>
      <c r="US337" s="4"/>
      <c r="UT337" s="4"/>
      <c r="UU337" s="4"/>
      <c r="UV337" s="4"/>
      <c r="UW337" s="5"/>
      <c r="UX337" s="6"/>
      <c r="UY337" s="4"/>
      <c r="UZ337" s="4"/>
      <c r="VA337" s="4"/>
      <c r="VB337" s="4"/>
      <c r="VC337" s="4"/>
      <c r="VD337" s="5"/>
      <c r="VE337" s="6"/>
      <c r="VF337" s="4"/>
      <c r="VG337" s="4"/>
      <c r="VH337" s="4"/>
      <c r="VI337" s="4"/>
      <c r="VJ337" s="4"/>
      <c r="VK337" s="5"/>
      <c r="VL337" s="6"/>
      <c r="VM337" s="4"/>
      <c r="VN337" s="4"/>
      <c r="VO337" s="4"/>
      <c r="VP337" s="4"/>
      <c r="VQ337" s="4"/>
      <c r="VR337" s="5"/>
      <c r="VS337" s="6"/>
      <c r="VT337" s="4"/>
      <c r="VU337" s="4"/>
      <c r="VV337" s="4"/>
      <c r="VW337" s="4"/>
      <c r="VX337" s="4"/>
      <c r="VY337" s="5"/>
      <c r="VZ337" s="6"/>
      <c r="WA337" s="4"/>
      <c r="WB337" s="4"/>
      <c r="WC337" s="4"/>
      <c r="WD337" s="4"/>
      <c r="WE337" s="4"/>
      <c r="WF337" s="5"/>
      <c r="WG337" s="6"/>
      <c r="WH337" s="4"/>
      <c r="WI337" s="4"/>
      <c r="WJ337" s="4"/>
      <c r="WK337" s="4"/>
      <c r="WL337" s="4"/>
      <c r="WM337" s="5"/>
      <c r="WN337" s="6"/>
      <c r="WO337" s="4"/>
      <c r="WP337" s="4"/>
      <c r="WQ337" s="4"/>
      <c r="WR337" s="4"/>
      <c r="WS337" s="4"/>
      <c r="WT337" s="5"/>
      <c r="WU337" s="6"/>
      <c r="WV337" s="4"/>
      <c r="WW337" s="4"/>
      <c r="WX337" s="4"/>
      <c r="WY337" s="4"/>
      <c r="WZ337" s="4"/>
      <c r="XA337" s="5"/>
      <c r="XB337" s="6"/>
      <c r="XC337" s="4"/>
      <c r="XD337" s="4"/>
      <c r="XE337" s="4"/>
      <c r="XF337" s="4"/>
      <c r="XG337" s="4"/>
      <c r="XH337" s="5"/>
      <c r="XI337" s="6"/>
      <c r="XJ337" s="4"/>
      <c r="XK337" s="4"/>
      <c r="XL337" s="4"/>
      <c r="XM337" s="4"/>
      <c r="XN337" s="4"/>
      <c r="XO337" s="5"/>
      <c r="XP337" s="6"/>
      <c r="XQ337" s="4"/>
      <c r="XR337" s="4"/>
      <c r="XS337" s="4"/>
      <c r="XT337" s="4"/>
      <c r="XU337" s="4"/>
      <c r="XV337" s="5"/>
      <c r="XW337" s="6"/>
      <c r="XX337" s="4"/>
      <c r="XY337" s="4"/>
      <c r="XZ337" s="4"/>
      <c r="YA337" s="4"/>
      <c r="YB337" s="4"/>
      <c r="YC337" s="5"/>
      <c r="YD337" s="6"/>
      <c r="YE337" s="4"/>
      <c r="YF337" s="4"/>
      <c r="YG337" s="4"/>
      <c r="YH337" s="4"/>
      <c r="YI337" s="4"/>
      <c r="YJ337" s="5"/>
      <c r="YK337" s="11" t="s">
        <v>3116</v>
      </c>
      <c r="YL337" s="7" t="s">
        <v>3116</v>
      </c>
      <c r="YM337" s="4"/>
      <c r="YN337" s="7"/>
      <c r="YO337" s="8">
        <v>38289</v>
      </c>
      <c r="YP337" s="8"/>
      <c r="YQ337" s="5"/>
      <c r="YR337" s="6"/>
      <c r="YS337" s="4"/>
      <c r="YT337" s="4"/>
      <c r="YU337" s="4"/>
      <c r="YV337" s="8"/>
      <c r="YW337" s="4"/>
      <c r="YX337" s="5"/>
      <c r="YY337" s="6"/>
      <c r="YZ337" s="4"/>
      <c r="ZA337" s="4"/>
      <c r="ZB337" s="4"/>
      <c r="ZC337" s="4"/>
      <c r="ZD337" s="4"/>
      <c r="ZE337" s="5"/>
      <c r="ZF337" s="6"/>
      <c r="ZG337" s="4"/>
      <c r="ZH337" s="4"/>
      <c r="ZI337" s="4"/>
      <c r="ZJ337" s="4"/>
      <c r="ZK337" s="4"/>
      <c r="ZL337" s="5"/>
      <c r="ZM337" s="6"/>
      <c r="ZN337" s="4"/>
      <c r="ZO337" s="4"/>
      <c r="ZP337" s="4"/>
      <c r="ZQ337" s="4"/>
      <c r="ZR337" s="4"/>
      <c r="ZS337" s="5"/>
      <c r="ZT337" s="6"/>
      <c r="ZU337" s="4"/>
      <c r="ZV337" s="4"/>
      <c r="ZW337" s="4"/>
      <c r="ZX337" s="4"/>
      <c r="ZY337" s="4"/>
      <c r="ZZ337" s="5"/>
      <c r="AAA337" s="6"/>
      <c r="AAB337" s="4"/>
      <c r="AAC337" s="4"/>
      <c r="AAD337" s="4"/>
      <c r="AAE337" s="4"/>
      <c r="AAF337" s="4"/>
      <c r="AAG337" s="5"/>
      <c r="AAH337" s="6"/>
      <c r="AAI337" s="4"/>
      <c r="AAJ337" s="4"/>
      <c r="AAK337" s="4"/>
      <c r="AAL337" s="4"/>
      <c r="AAM337" s="4"/>
      <c r="AAN337" s="5"/>
      <c r="AAO337" s="6"/>
      <c r="AAP337" s="4"/>
      <c r="AAQ337" s="4"/>
      <c r="AAR337" s="4"/>
      <c r="AAS337" s="4"/>
      <c r="AAT337" s="4"/>
      <c r="AAU337" s="5"/>
      <c r="AAV337" s="6"/>
      <c r="AAW337" s="4"/>
      <c r="AAX337" s="4"/>
      <c r="AAY337" s="4"/>
      <c r="AAZ337" s="4"/>
      <c r="ABA337" s="4"/>
      <c r="ABB337" s="5"/>
      <c r="ABC337" s="6"/>
      <c r="ABD337" s="4"/>
      <c r="ABE337" s="4"/>
      <c r="ABF337" s="4"/>
      <c r="ABG337" s="4"/>
      <c r="ABH337" s="4"/>
      <c r="ABI337" s="5"/>
      <c r="ABJ337" s="6"/>
      <c r="ABK337" s="4"/>
      <c r="ABL337" s="4"/>
      <c r="ABM337" s="4"/>
      <c r="ABN337" s="4"/>
      <c r="ABO337" s="4"/>
      <c r="ABP337" s="5"/>
      <c r="ABQ337" s="6"/>
      <c r="ABR337" s="4"/>
      <c r="ABS337" s="4"/>
      <c r="ABT337" s="4"/>
      <c r="ABU337" s="4"/>
      <c r="ABV337" s="4"/>
      <c r="ABW337" s="5"/>
      <c r="ABX337" s="6"/>
      <c r="ABY337" s="4"/>
      <c r="ABZ337" s="4"/>
      <c r="ACA337" s="4"/>
      <c r="ACB337" s="4"/>
      <c r="ACC337" s="4"/>
      <c r="ACD337" s="5"/>
      <c r="ACE337" s="6"/>
      <c r="ACF337" s="4"/>
      <c r="ACG337" s="4"/>
      <c r="ACH337" s="4"/>
      <c r="ACI337" s="4"/>
      <c r="ACJ337" s="4"/>
      <c r="ACK337" s="5"/>
      <c r="ACL337" s="6"/>
      <c r="ACM337" s="4"/>
      <c r="ACN337" s="4"/>
      <c r="ACO337" s="4"/>
      <c r="ACP337" s="4"/>
      <c r="ACQ337" s="4"/>
      <c r="ACR337" s="5"/>
      <c r="ACS337" s="6"/>
      <c r="ACT337" s="4"/>
      <c r="ACU337" s="4"/>
      <c r="ACV337" s="4"/>
      <c r="ACW337" s="4"/>
      <c r="ACX337" s="4"/>
      <c r="ACY337" s="5"/>
    </row>
    <row r="338" spans="2:805" x14ac:dyDescent="0.25">
      <c r="J338" s="12"/>
      <c r="K338" s="12"/>
      <c r="L338" s="12"/>
      <c r="LL338" s="6"/>
      <c r="LM338" s="4"/>
      <c r="LN338" s="4"/>
      <c r="LO338" s="4"/>
      <c r="LP338" s="4"/>
      <c r="LQ338" s="4"/>
      <c r="LR338" s="5"/>
      <c r="LS338" s="6"/>
      <c r="LT338" s="4"/>
      <c r="LU338" s="4"/>
      <c r="LV338" s="4"/>
      <c r="LW338" s="4"/>
      <c r="LX338" s="4"/>
      <c r="LY338" s="5"/>
      <c r="LZ338" s="6"/>
      <c r="MA338" s="7"/>
      <c r="MB338" s="4"/>
      <c r="MC338" s="4"/>
      <c r="MD338" s="8"/>
      <c r="ME338" s="8"/>
      <c r="MF338" s="8"/>
      <c r="MG338" s="5"/>
      <c r="MH338" s="6"/>
      <c r="MI338" s="4"/>
      <c r="MJ338" s="4"/>
      <c r="MK338" s="4"/>
      <c r="ML338" s="4"/>
      <c r="MM338" s="4"/>
      <c r="MN338" s="5"/>
      <c r="MO338" s="6"/>
      <c r="MP338" s="4"/>
      <c r="MQ338" s="4"/>
      <c r="MR338" s="4"/>
      <c r="MS338" s="4"/>
      <c r="MT338" s="4"/>
      <c r="MU338" s="5"/>
      <c r="MV338" s="6"/>
      <c r="MW338" s="4"/>
      <c r="MX338" s="4"/>
      <c r="MY338" s="4"/>
      <c r="MZ338" s="4"/>
      <c r="NA338" s="4"/>
      <c r="NB338" s="5"/>
      <c r="NC338" s="6"/>
      <c r="ND338" s="4"/>
      <c r="NE338" s="4"/>
      <c r="NF338" s="4"/>
      <c r="NG338" s="8"/>
      <c r="NH338" s="8"/>
      <c r="NI338" s="5"/>
      <c r="NJ338" s="6"/>
      <c r="NK338" s="4"/>
      <c r="NL338" s="4"/>
      <c r="NM338" s="4"/>
      <c r="NN338" s="4"/>
      <c r="NO338" s="4"/>
      <c r="NP338" s="5"/>
      <c r="NQ338" s="6"/>
      <c r="NR338" s="4"/>
      <c r="NS338" s="4"/>
      <c r="NT338" s="4"/>
      <c r="NU338" s="4"/>
      <c r="NV338" s="4"/>
      <c r="NW338" s="5"/>
      <c r="NX338" s="6"/>
      <c r="NY338" s="4"/>
      <c r="NZ338" s="4"/>
      <c r="OA338" s="4"/>
      <c r="OB338" s="4"/>
      <c r="OC338" s="4"/>
      <c r="OD338" s="5"/>
      <c r="OE338" s="6"/>
      <c r="OF338" s="4"/>
      <c r="OG338" s="4"/>
      <c r="OH338" s="4"/>
      <c r="OI338" s="4"/>
      <c r="OJ338" s="4"/>
      <c r="OK338" s="5"/>
      <c r="OL338" s="6"/>
      <c r="OM338" s="4"/>
      <c r="ON338" s="4"/>
      <c r="OO338" s="4"/>
      <c r="OP338" s="4"/>
      <c r="OQ338" s="4"/>
      <c r="OR338" s="5"/>
      <c r="OS338" s="6"/>
      <c r="OT338" s="4"/>
      <c r="OU338" s="4"/>
      <c r="OV338" s="4"/>
      <c r="OW338" s="4"/>
      <c r="OX338" s="4"/>
      <c r="OY338" s="5"/>
      <c r="OZ338" s="4"/>
      <c r="PA338" s="4"/>
      <c r="PB338" s="4"/>
      <c r="PC338" s="4"/>
      <c r="PD338" s="4"/>
      <c r="PE338" s="4"/>
      <c r="PF338" s="5"/>
      <c r="PG338" s="6"/>
      <c r="PH338" s="4"/>
      <c r="PI338" s="4"/>
      <c r="PJ338" s="4"/>
      <c r="PK338" s="4"/>
      <c r="PL338" s="4"/>
      <c r="PM338" s="5"/>
      <c r="PN338" s="6"/>
      <c r="PO338" s="4"/>
      <c r="PP338" s="4"/>
      <c r="PQ338" s="4"/>
      <c r="PR338" s="4"/>
      <c r="PS338" s="4"/>
      <c r="PT338" s="5"/>
      <c r="PU338" s="6"/>
      <c r="PV338" s="4"/>
      <c r="PW338" s="4"/>
      <c r="PX338" s="4"/>
      <c r="PY338" s="4"/>
      <c r="PZ338" s="4"/>
      <c r="QA338" s="5"/>
      <c r="QB338" s="6"/>
      <c r="QC338" s="4"/>
      <c r="QD338" s="4"/>
      <c r="QE338" s="4"/>
      <c r="QF338" s="8"/>
      <c r="QG338" s="8"/>
      <c r="QH338" s="5"/>
      <c r="QI338" s="6"/>
      <c r="QJ338" s="4"/>
      <c r="QK338" s="4"/>
      <c r="QL338" s="4"/>
      <c r="QM338" s="4"/>
      <c r="QN338" s="4"/>
      <c r="QO338" s="5"/>
      <c r="QP338" s="6"/>
      <c r="QQ338" s="4"/>
      <c r="QR338" s="4"/>
      <c r="QS338" s="4"/>
      <c r="QT338" s="4"/>
      <c r="QU338" s="4"/>
      <c r="QV338" s="5"/>
      <c r="QW338" s="6"/>
      <c r="QX338" s="4"/>
      <c r="QY338" s="4"/>
      <c r="QZ338" s="4"/>
      <c r="RA338" s="4"/>
      <c r="RB338" s="4"/>
      <c r="RC338" s="5"/>
      <c r="RD338" s="6"/>
      <c r="RE338" s="4"/>
      <c r="RF338" s="4"/>
      <c r="RG338" s="4"/>
      <c r="RH338" s="4"/>
      <c r="RI338" s="4"/>
      <c r="RJ338" s="5"/>
      <c r="RK338" s="6"/>
      <c r="RL338" s="4"/>
      <c r="RM338" s="4"/>
      <c r="RN338" s="4"/>
      <c r="RO338" s="4"/>
      <c r="RP338" s="4"/>
      <c r="RQ338" s="5"/>
      <c r="RR338" s="6"/>
      <c r="RS338" s="4"/>
      <c r="RT338" s="4"/>
      <c r="RU338" s="4"/>
      <c r="RV338" s="4"/>
      <c r="RW338" s="4"/>
      <c r="RX338" s="5"/>
      <c r="RY338" s="6"/>
      <c r="RZ338" s="4"/>
      <c r="SA338" s="4"/>
      <c r="SB338" s="4"/>
      <c r="SC338" s="4"/>
      <c r="SD338" s="4"/>
      <c r="SE338" s="5"/>
      <c r="SF338" s="6"/>
      <c r="SG338" s="4"/>
      <c r="SH338" s="4"/>
      <c r="SI338" s="4"/>
      <c r="SJ338" s="4"/>
      <c r="SK338" s="4"/>
      <c r="SL338" s="5"/>
      <c r="SM338" s="6"/>
      <c r="SN338" s="4"/>
      <c r="SO338" s="4"/>
      <c r="SP338" s="4"/>
      <c r="SQ338" s="4"/>
      <c r="SR338" s="4"/>
      <c r="SS338" s="5"/>
      <c r="ST338" s="6"/>
      <c r="SU338" s="4"/>
      <c r="SV338" s="4"/>
      <c r="SW338" s="4"/>
      <c r="SX338" s="4"/>
      <c r="SY338" s="4"/>
      <c r="SZ338" s="5"/>
      <c r="TA338" s="6"/>
      <c r="TB338" s="4"/>
      <c r="TC338" s="4"/>
      <c r="TD338" s="4"/>
      <c r="TE338" s="4"/>
      <c r="TF338" s="4"/>
      <c r="TG338" s="5"/>
      <c r="TH338" s="6"/>
      <c r="TI338" s="4"/>
      <c r="TJ338" s="4"/>
      <c r="TK338" s="4"/>
      <c r="TL338" s="4"/>
      <c r="TM338" s="4"/>
      <c r="TN338" s="5"/>
      <c r="TO338" s="6"/>
      <c r="TP338" s="4"/>
      <c r="TQ338" s="4"/>
      <c r="TR338" s="4"/>
      <c r="TS338" s="4"/>
      <c r="TT338" s="4"/>
      <c r="TU338" s="5"/>
      <c r="TV338" s="6"/>
      <c r="TW338" s="4"/>
      <c r="TX338" s="4"/>
      <c r="TY338" s="4"/>
      <c r="TZ338" s="4"/>
      <c r="UA338" s="4"/>
      <c r="UB338" s="5"/>
      <c r="UC338" s="6"/>
      <c r="UD338" s="4"/>
      <c r="UE338" s="4"/>
      <c r="UF338" s="4"/>
      <c r="UG338" s="4"/>
      <c r="UH338" s="4"/>
      <c r="UI338" s="5"/>
      <c r="UJ338" s="6"/>
      <c r="UK338" s="4"/>
      <c r="UL338" s="4"/>
      <c r="UM338" s="4"/>
      <c r="UN338" s="4"/>
      <c r="UO338" s="4"/>
      <c r="UP338" s="5"/>
      <c r="UQ338" s="6"/>
      <c r="UR338" s="4"/>
      <c r="US338" s="4"/>
      <c r="UT338" s="4"/>
      <c r="UU338" s="4"/>
      <c r="UV338" s="4"/>
      <c r="UW338" s="5"/>
      <c r="UX338" s="6"/>
      <c r="UY338" s="4"/>
      <c r="UZ338" s="4"/>
      <c r="VA338" s="4"/>
      <c r="VB338" s="4"/>
      <c r="VC338" s="4"/>
      <c r="VD338" s="5"/>
      <c r="VE338" s="6"/>
      <c r="VF338" s="4"/>
      <c r="VG338" s="4"/>
      <c r="VH338" s="4"/>
      <c r="VI338" s="4"/>
      <c r="VJ338" s="4"/>
      <c r="VK338" s="5"/>
      <c r="VL338" s="6"/>
      <c r="VM338" s="4"/>
      <c r="VN338" s="4"/>
      <c r="VO338" s="4"/>
      <c r="VP338" s="4"/>
      <c r="VQ338" s="4"/>
      <c r="VR338" s="5"/>
      <c r="VS338" s="6"/>
      <c r="VT338" s="4"/>
      <c r="VU338" s="4"/>
      <c r="VV338" s="4"/>
      <c r="VW338" s="4"/>
      <c r="VX338" s="4"/>
      <c r="VY338" s="5"/>
      <c r="VZ338" s="6"/>
      <c r="WA338" s="4"/>
      <c r="WB338" s="4"/>
      <c r="WC338" s="4"/>
      <c r="WD338" s="4"/>
      <c r="WE338" s="4"/>
      <c r="WF338" s="5"/>
      <c r="WG338" s="6"/>
      <c r="WH338" s="4"/>
      <c r="WI338" s="4"/>
      <c r="WJ338" s="4"/>
      <c r="WK338" s="4"/>
      <c r="WL338" s="4"/>
      <c r="WM338" s="5"/>
      <c r="WN338" s="6"/>
      <c r="WO338" s="4"/>
      <c r="WP338" s="4"/>
      <c r="WQ338" s="4"/>
      <c r="WR338" s="4"/>
      <c r="WS338" s="4"/>
      <c r="WT338" s="5"/>
      <c r="WU338" s="6"/>
      <c r="WV338" s="4"/>
      <c r="WW338" s="4"/>
      <c r="WX338" s="4"/>
      <c r="WY338" s="4"/>
      <c r="WZ338" s="4"/>
      <c r="XA338" s="5"/>
      <c r="XB338" s="6"/>
      <c r="XC338" s="4"/>
      <c r="XD338" s="4"/>
      <c r="XE338" s="4"/>
      <c r="XF338" s="4"/>
      <c r="XG338" s="4"/>
      <c r="XH338" s="5"/>
      <c r="XI338" s="6"/>
      <c r="XJ338" s="4"/>
      <c r="XK338" s="4"/>
      <c r="XL338" s="4"/>
      <c r="XM338" s="4"/>
      <c r="XN338" s="4"/>
      <c r="XO338" s="5"/>
      <c r="XP338" s="6"/>
      <c r="XQ338" s="4"/>
      <c r="XR338" s="4"/>
      <c r="XS338" s="4"/>
      <c r="XT338" s="4"/>
      <c r="XU338" s="4"/>
      <c r="XV338" s="5"/>
      <c r="XW338" s="6"/>
      <c r="XX338" s="4"/>
      <c r="XY338" s="4"/>
      <c r="XZ338" s="4"/>
      <c r="YA338" s="4"/>
      <c r="YB338" s="4"/>
      <c r="YC338" s="5"/>
      <c r="YD338" s="6"/>
      <c r="YE338" s="4"/>
      <c r="YF338" s="4"/>
      <c r="YG338" s="4"/>
      <c r="YH338" s="4"/>
      <c r="YI338" s="4"/>
      <c r="YJ338" s="5"/>
      <c r="YK338" s="11" t="s">
        <v>3525</v>
      </c>
      <c r="YL338" s="7" t="s">
        <v>3574</v>
      </c>
      <c r="YM338" s="4"/>
      <c r="YN338" s="7" t="s">
        <v>3535</v>
      </c>
      <c r="YO338" s="8">
        <v>38283</v>
      </c>
      <c r="YP338" s="8">
        <v>38289</v>
      </c>
      <c r="YQ338" s="5"/>
      <c r="YR338" s="6"/>
      <c r="YS338" s="4"/>
      <c r="YT338" s="4"/>
      <c r="YU338" s="4"/>
      <c r="YV338" s="8"/>
      <c r="YW338" s="4"/>
      <c r="YX338" s="5"/>
      <c r="YY338" s="6"/>
      <c r="YZ338" s="4"/>
      <c r="ZA338" s="4"/>
      <c r="ZB338" s="4"/>
      <c r="ZC338" s="4"/>
      <c r="ZD338" s="4"/>
      <c r="ZE338" s="5"/>
      <c r="ZF338" s="6"/>
      <c r="ZG338" s="4"/>
      <c r="ZH338" s="4"/>
      <c r="ZI338" s="4"/>
      <c r="ZJ338" s="4"/>
      <c r="ZK338" s="4"/>
      <c r="ZL338" s="5"/>
      <c r="ZM338" s="6"/>
      <c r="ZN338" s="4"/>
      <c r="ZO338" s="4"/>
      <c r="ZP338" s="4"/>
      <c r="ZQ338" s="4"/>
      <c r="ZR338" s="4"/>
      <c r="ZS338" s="5"/>
      <c r="ZT338" s="6"/>
      <c r="ZU338" s="4"/>
      <c r="ZV338" s="4"/>
      <c r="ZW338" s="4"/>
      <c r="ZX338" s="4"/>
      <c r="ZY338" s="4"/>
      <c r="ZZ338" s="5"/>
      <c r="AAA338" s="6"/>
      <c r="AAB338" s="4"/>
      <c r="AAC338" s="4"/>
      <c r="AAD338" s="4"/>
      <c r="AAE338" s="4"/>
      <c r="AAF338" s="4"/>
      <c r="AAG338" s="5"/>
      <c r="AAH338" s="6"/>
      <c r="AAI338" s="4"/>
      <c r="AAJ338" s="4"/>
      <c r="AAK338" s="4"/>
      <c r="AAL338" s="4"/>
      <c r="AAM338" s="4"/>
      <c r="AAN338" s="5"/>
      <c r="AAO338" s="6"/>
      <c r="AAP338" s="4"/>
      <c r="AAQ338" s="4"/>
      <c r="AAR338" s="4"/>
      <c r="AAS338" s="4"/>
      <c r="AAT338" s="4"/>
      <c r="AAU338" s="5"/>
      <c r="AAV338" s="6"/>
      <c r="AAW338" s="4"/>
      <c r="AAX338" s="4"/>
      <c r="AAY338" s="4"/>
      <c r="AAZ338" s="4"/>
      <c r="ABA338" s="4"/>
      <c r="ABB338" s="5"/>
      <c r="ABC338" s="6"/>
      <c r="ABD338" s="4"/>
      <c r="ABE338" s="4"/>
      <c r="ABF338" s="4"/>
      <c r="ABG338" s="4"/>
      <c r="ABH338" s="4"/>
      <c r="ABI338" s="5"/>
      <c r="ABJ338" s="6"/>
      <c r="ABK338" s="4"/>
      <c r="ABL338" s="4"/>
      <c r="ABM338" s="4"/>
      <c r="ABN338" s="4"/>
      <c r="ABO338" s="4"/>
      <c r="ABP338" s="5"/>
      <c r="ABQ338" s="6"/>
      <c r="ABR338" s="4"/>
      <c r="ABS338" s="4"/>
      <c r="ABT338" s="4"/>
      <c r="ABU338" s="4"/>
      <c r="ABV338" s="4"/>
      <c r="ABW338" s="5"/>
      <c r="ABX338" s="6"/>
      <c r="ABY338" s="4"/>
      <c r="ABZ338" s="4"/>
      <c r="ACA338" s="4"/>
      <c r="ACB338" s="4"/>
      <c r="ACC338" s="4"/>
      <c r="ACD338" s="5"/>
      <c r="ACE338" s="6"/>
      <c r="ACF338" s="4"/>
      <c r="ACG338" s="4"/>
      <c r="ACH338" s="4"/>
      <c r="ACI338" s="4"/>
      <c r="ACJ338" s="4"/>
      <c r="ACK338" s="5"/>
      <c r="ACL338" s="6"/>
      <c r="ACM338" s="4"/>
      <c r="ACN338" s="4"/>
      <c r="ACO338" s="4"/>
      <c r="ACP338" s="4"/>
      <c r="ACQ338" s="4"/>
      <c r="ACR338" s="5"/>
      <c r="ACS338" s="6"/>
      <c r="ACT338" s="4"/>
      <c r="ACU338" s="4"/>
      <c r="ACV338" s="4"/>
      <c r="ACW338" s="4"/>
      <c r="ACX338" s="4"/>
      <c r="ACY338" s="5"/>
    </row>
    <row r="339" spans="2:805" x14ac:dyDescent="0.25">
      <c r="J339" s="12"/>
      <c r="K339" s="12"/>
      <c r="L339" s="12"/>
      <c r="LL339" s="6"/>
      <c r="LM339" s="4"/>
      <c r="LN339" s="4"/>
      <c r="LO339" s="4"/>
      <c r="LP339" s="4"/>
      <c r="LQ339" s="4"/>
      <c r="LR339" s="5"/>
      <c r="LS339" s="6"/>
      <c r="LT339" s="4"/>
      <c r="LU339" s="4"/>
      <c r="LV339" s="4"/>
      <c r="LW339" s="4"/>
      <c r="LX339" s="4"/>
      <c r="LY339" s="5"/>
      <c r="LZ339" s="6"/>
      <c r="MA339" s="7"/>
      <c r="MB339" s="4"/>
      <c r="MC339" s="4"/>
      <c r="MD339" s="8"/>
      <c r="ME339" s="8"/>
      <c r="MF339" s="8"/>
      <c r="MG339" s="5"/>
      <c r="MH339" s="6"/>
      <c r="MI339" s="4"/>
      <c r="MJ339" s="4"/>
      <c r="MK339" s="4"/>
      <c r="ML339" s="4"/>
      <c r="MM339" s="4"/>
      <c r="MN339" s="5"/>
      <c r="MO339" s="6"/>
      <c r="MP339" s="4"/>
      <c r="MQ339" s="4"/>
      <c r="MR339" s="4"/>
      <c r="MS339" s="4"/>
      <c r="MT339" s="4"/>
      <c r="MU339" s="5"/>
      <c r="MV339" s="6"/>
      <c r="MW339" s="4"/>
      <c r="MX339" s="4"/>
      <c r="MY339" s="4"/>
      <c r="MZ339" s="4"/>
      <c r="NA339" s="4"/>
      <c r="NB339" s="5"/>
      <c r="NC339" s="6"/>
      <c r="ND339" s="4"/>
      <c r="NE339" s="4"/>
      <c r="NF339" s="4"/>
      <c r="NG339" s="8"/>
      <c r="NH339" s="8"/>
      <c r="NI339" s="5"/>
      <c r="NJ339" s="6"/>
      <c r="NK339" s="4"/>
      <c r="NL339" s="4"/>
      <c r="NM339" s="4"/>
      <c r="NN339" s="4"/>
      <c r="NO339" s="4"/>
      <c r="NP339" s="5"/>
      <c r="NQ339" s="6"/>
      <c r="NR339" s="4"/>
      <c r="NS339" s="4"/>
      <c r="NT339" s="4"/>
      <c r="NU339" s="4"/>
      <c r="NV339" s="4"/>
      <c r="NW339" s="5"/>
      <c r="NX339" s="6"/>
      <c r="NY339" s="4"/>
      <c r="NZ339" s="4"/>
      <c r="OA339" s="4"/>
      <c r="OB339" s="4"/>
      <c r="OC339" s="4"/>
      <c r="OD339" s="5"/>
      <c r="OE339" s="6"/>
      <c r="OF339" s="4"/>
      <c r="OG339" s="4"/>
      <c r="OH339" s="4"/>
      <c r="OI339" s="4"/>
      <c r="OJ339" s="4"/>
      <c r="OK339" s="5"/>
      <c r="OL339" s="6"/>
      <c r="OM339" s="4"/>
      <c r="ON339" s="4"/>
      <c r="OO339" s="4"/>
      <c r="OP339" s="4"/>
      <c r="OQ339" s="4"/>
      <c r="OR339" s="5"/>
      <c r="OS339" s="6"/>
      <c r="OT339" s="4"/>
      <c r="OU339" s="4"/>
      <c r="OV339" s="4"/>
      <c r="OW339" s="4"/>
      <c r="OX339" s="4"/>
      <c r="OY339" s="5"/>
      <c r="OZ339" s="4"/>
      <c r="PA339" s="4"/>
      <c r="PB339" s="4"/>
      <c r="PC339" s="4"/>
      <c r="PD339" s="4"/>
      <c r="PE339" s="4"/>
      <c r="PF339" s="5"/>
      <c r="PG339" s="6"/>
      <c r="PH339" s="4"/>
      <c r="PI339" s="4"/>
      <c r="PJ339" s="4"/>
      <c r="PK339" s="4"/>
      <c r="PL339" s="4"/>
      <c r="PM339" s="5"/>
      <c r="PN339" s="6"/>
      <c r="PO339" s="4"/>
      <c r="PP339" s="4"/>
      <c r="PQ339" s="4"/>
      <c r="PR339" s="4"/>
      <c r="PS339" s="4"/>
      <c r="PT339" s="5"/>
      <c r="PU339" s="6"/>
      <c r="PV339" s="4"/>
      <c r="PW339" s="4"/>
      <c r="PX339" s="4"/>
      <c r="PY339" s="4"/>
      <c r="PZ339" s="4"/>
      <c r="QA339" s="5"/>
      <c r="QB339" s="6"/>
      <c r="QC339" s="4"/>
      <c r="QD339" s="4"/>
      <c r="QE339" s="4"/>
      <c r="QF339" s="8"/>
      <c r="QG339" s="8"/>
      <c r="QH339" s="5"/>
      <c r="QI339" s="6"/>
      <c r="QJ339" s="4"/>
      <c r="QK339" s="4"/>
      <c r="QL339" s="4"/>
      <c r="QM339" s="4"/>
      <c r="QN339" s="4"/>
      <c r="QO339" s="5"/>
      <c r="QP339" s="6"/>
      <c r="QQ339" s="4"/>
      <c r="QR339" s="4"/>
      <c r="QS339" s="4"/>
      <c r="QT339" s="4"/>
      <c r="QU339" s="4"/>
      <c r="QV339" s="5"/>
      <c r="QW339" s="6"/>
      <c r="QX339" s="4"/>
      <c r="QY339" s="4"/>
      <c r="QZ339" s="4"/>
      <c r="RA339" s="4"/>
      <c r="RB339" s="4"/>
      <c r="RC339" s="5"/>
      <c r="RD339" s="6"/>
      <c r="RE339" s="4"/>
      <c r="RF339" s="4"/>
      <c r="RG339" s="4"/>
      <c r="RH339" s="4"/>
      <c r="RI339" s="4"/>
      <c r="RJ339" s="5"/>
      <c r="RK339" s="6"/>
      <c r="RL339" s="4"/>
      <c r="RM339" s="4"/>
      <c r="RN339" s="4"/>
      <c r="RO339" s="4"/>
      <c r="RP339" s="4"/>
      <c r="RQ339" s="5"/>
      <c r="RR339" s="6"/>
      <c r="RS339" s="4"/>
      <c r="RT339" s="4"/>
      <c r="RU339" s="4"/>
      <c r="RV339" s="4"/>
      <c r="RW339" s="4"/>
      <c r="RX339" s="5"/>
      <c r="RY339" s="6"/>
      <c r="RZ339" s="4"/>
      <c r="SA339" s="4"/>
      <c r="SB339" s="4"/>
      <c r="SC339" s="4"/>
      <c r="SD339" s="4"/>
      <c r="SE339" s="5"/>
      <c r="SF339" s="6"/>
      <c r="SG339" s="4"/>
      <c r="SH339" s="4"/>
      <c r="SI339" s="4"/>
      <c r="SJ339" s="4"/>
      <c r="SK339" s="4"/>
      <c r="SL339" s="5"/>
      <c r="SM339" s="6"/>
      <c r="SN339" s="4"/>
      <c r="SO339" s="4"/>
      <c r="SP339" s="4"/>
      <c r="SQ339" s="4"/>
      <c r="SR339" s="4"/>
      <c r="SS339" s="5"/>
      <c r="ST339" s="6"/>
      <c r="SU339" s="4"/>
      <c r="SV339" s="4"/>
      <c r="SW339" s="4"/>
      <c r="SX339" s="4"/>
      <c r="SY339" s="4"/>
      <c r="SZ339" s="5"/>
      <c r="TA339" s="6"/>
      <c r="TB339" s="4"/>
      <c r="TC339" s="4"/>
      <c r="TD339" s="4"/>
      <c r="TE339" s="4"/>
      <c r="TF339" s="4"/>
      <c r="TG339" s="5"/>
      <c r="TH339" s="6"/>
      <c r="TI339" s="4"/>
      <c r="TJ339" s="4"/>
      <c r="TK339" s="4"/>
      <c r="TL339" s="4"/>
      <c r="TM339" s="4"/>
      <c r="TN339" s="5"/>
      <c r="TO339" s="6"/>
      <c r="TP339" s="4"/>
      <c r="TQ339" s="4"/>
      <c r="TR339" s="4"/>
      <c r="TS339" s="4"/>
      <c r="TT339" s="4"/>
      <c r="TU339" s="5"/>
      <c r="TV339" s="6"/>
      <c r="TW339" s="4"/>
      <c r="TX339" s="4"/>
      <c r="TY339" s="4"/>
      <c r="TZ339" s="4"/>
      <c r="UA339" s="4"/>
      <c r="UB339" s="5"/>
      <c r="UC339" s="6"/>
      <c r="UD339" s="4"/>
      <c r="UE339" s="4"/>
      <c r="UF339" s="4"/>
      <c r="UG339" s="4"/>
      <c r="UH339" s="4"/>
      <c r="UI339" s="5"/>
      <c r="UJ339" s="6"/>
      <c r="UK339" s="4"/>
      <c r="UL339" s="4"/>
      <c r="UM339" s="4"/>
      <c r="UN339" s="4"/>
      <c r="UO339" s="4"/>
      <c r="UP339" s="5"/>
      <c r="UQ339" s="6"/>
      <c r="UR339" s="4"/>
      <c r="US339" s="4"/>
      <c r="UT339" s="4"/>
      <c r="UU339" s="4"/>
      <c r="UV339" s="4"/>
      <c r="UW339" s="5"/>
      <c r="UX339" s="6"/>
      <c r="UY339" s="4"/>
      <c r="UZ339" s="4"/>
      <c r="VA339" s="4"/>
      <c r="VB339" s="4"/>
      <c r="VC339" s="4"/>
      <c r="VD339" s="5"/>
      <c r="VE339" s="6"/>
      <c r="VF339" s="4"/>
      <c r="VG339" s="4"/>
      <c r="VH339" s="4"/>
      <c r="VI339" s="4"/>
      <c r="VJ339" s="4"/>
      <c r="VK339" s="5"/>
      <c r="VL339" s="6"/>
      <c r="VM339" s="4"/>
      <c r="VN339" s="4"/>
      <c r="VO339" s="4"/>
      <c r="VP339" s="4"/>
      <c r="VQ339" s="4"/>
      <c r="VR339" s="5"/>
      <c r="VS339" s="6"/>
      <c r="VT339" s="4"/>
      <c r="VU339" s="4"/>
      <c r="VV339" s="4"/>
      <c r="VW339" s="4"/>
      <c r="VX339" s="4"/>
      <c r="VY339" s="5"/>
      <c r="VZ339" s="6"/>
      <c r="WA339" s="4"/>
      <c r="WB339" s="4"/>
      <c r="WC339" s="4"/>
      <c r="WD339" s="4"/>
      <c r="WE339" s="4"/>
      <c r="WF339" s="5"/>
      <c r="WG339" s="6"/>
      <c r="WH339" s="4"/>
      <c r="WI339" s="4"/>
      <c r="WJ339" s="4"/>
      <c r="WK339" s="4"/>
      <c r="WL339" s="4"/>
      <c r="WM339" s="5"/>
      <c r="WN339" s="6"/>
      <c r="WO339" s="4"/>
      <c r="WP339" s="4"/>
      <c r="WQ339" s="4"/>
      <c r="WR339" s="4"/>
      <c r="WS339" s="4"/>
      <c r="WT339" s="5"/>
      <c r="WU339" s="6"/>
      <c r="WV339" s="4"/>
      <c r="WW339" s="4"/>
      <c r="WX339" s="4"/>
      <c r="WY339" s="4"/>
      <c r="WZ339" s="4"/>
      <c r="XA339" s="5"/>
      <c r="XB339" s="6"/>
      <c r="XC339" s="4"/>
      <c r="XD339" s="4"/>
      <c r="XE339" s="4"/>
      <c r="XF339" s="4"/>
      <c r="XG339" s="4"/>
      <c r="XH339" s="5"/>
      <c r="XI339" s="6"/>
      <c r="XJ339" s="4"/>
      <c r="XK339" s="4"/>
      <c r="XL339" s="4"/>
      <c r="XM339" s="4"/>
      <c r="XN339" s="4"/>
      <c r="XO339" s="5"/>
      <c r="XP339" s="6"/>
      <c r="XQ339" s="4"/>
      <c r="XR339" s="4"/>
      <c r="XS339" s="4"/>
      <c r="XT339" s="4"/>
      <c r="XU339" s="4"/>
      <c r="XV339" s="5"/>
      <c r="XW339" s="6"/>
      <c r="XX339" s="4"/>
      <c r="XY339" s="4"/>
      <c r="XZ339" s="4"/>
      <c r="YA339" s="4"/>
      <c r="YB339" s="4"/>
      <c r="YC339" s="5"/>
      <c r="YD339" s="6"/>
      <c r="YE339" s="4"/>
      <c r="YF339" s="4"/>
      <c r="YG339" s="4"/>
      <c r="YH339" s="4"/>
      <c r="YI339" s="4"/>
      <c r="YJ339" s="5"/>
      <c r="YK339" s="11" t="s">
        <v>3418</v>
      </c>
      <c r="YL339" s="7" t="s">
        <v>3575</v>
      </c>
      <c r="YM339" s="4"/>
      <c r="YN339" s="7"/>
      <c r="YO339" s="8">
        <v>38290</v>
      </c>
      <c r="YP339" s="8"/>
      <c r="YQ339" s="5"/>
      <c r="YR339" s="6"/>
      <c r="YS339" s="4"/>
      <c r="YT339" s="4"/>
      <c r="YU339" s="4"/>
      <c r="YV339" s="8"/>
      <c r="YW339" s="4"/>
      <c r="YX339" s="5"/>
      <c r="YY339" s="6"/>
      <c r="YZ339" s="4"/>
      <c r="ZA339" s="4"/>
      <c r="ZB339" s="4"/>
      <c r="ZC339" s="4"/>
      <c r="ZD339" s="4"/>
      <c r="ZE339" s="5"/>
      <c r="ZF339" s="6"/>
      <c r="ZG339" s="4"/>
      <c r="ZH339" s="4"/>
      <c r="ZI339" s="4"/>
      <c r="ZJ339" s="4"/>
      <c r="ZK339" s="4"/>
      <c r="ZL339" s="5"/>
      <c r="ZM339" s="6"/>
      <c r="ZN339" s="4"/>
      <c r="ZO339" s="4"/>
      <c r="ZP339" s="4"/>
      <c r="ZQ339" s="4"/>
      <c r="ZR339" s="4"/>
      <c r="ZS339" s="5"/>
      <c r="ZT339" s="6"/>
      <c r="ZU339" s="4"/>
      <c r="ZV339" s="4"/>
      <c r="ZW339" s="4"/>
      <c r="ZX339" s="4"/>
      <c r="ZY339" s="4"/>
      <c r="ZZ339" s="5"/>
      <c r="AAA339" s="6"/>
      <c r="AAB339" s="4"/>
      <c r="AAC339" s="4"/>
      <c r="AAD339" s="4"/>
      <c r="AAE339" s="4"/>
      <c r="AAF339" s="4"/>
      <c r="AAG339" s="5"/>
      <c r="AAH339" s="6"/>
      <c r="AAI339" s="4"/>
      <c r="AAJ339" s="4"/>
      <c r="AAK339" s="4"/>
      <c r="AAL339" s="4"/>
      <c r="AAM339" s="4"/>
      <c r="AAN339" s="5"/>
      <c r="AAO339" s="6"/>
      <c r="AAP339" s="4"/>
      <c r="AAQ339" s="4"/>
      <c r="AAR339" s="4"/>
      <c r="AAS339" s="4"/>
      <c r="AAT339" s="4"/>
      <c r="AAU339" s="5"/>
      <c r="AAV339" s="6"/>
      <c r="AAW339" s="4"/>
      <c r="AAX339" s="4"/>
      <c r="AAY339" s="4"/>
      <c r="AAZ339" s="4"/>
      <c r="ABA339" s="4"/>
      <c r="ABB339" s="5"/>
      <c r="ABC339" s="6"/>
      <c r="ABD339" s="4"/>
      <c r="ABE339" s="4"/>
      <c r="ABF339" s="4"/>
      <c r="ABG339" s="4"/>
      <c r="ABH339" s="4"/>
      <c r="ABI339" s="5"/>
      <c r="ABJ339" s="6"/>
      <c r="ABK339" s="4"/>
      <c r="ABL339" s="4"/>
      <c r="ABM339" s="4"/>
      <c r="ABN339" s="4"/>
      <c r="ABO339" s="4"/>
      <c r="ABP339" s="5"/>
      <c r="ABQ339" s="6"/>
      <c r="ABR339" s="4"/>
      <c r="ABS339" s="4"/>
      <c r="ABT339" s="4"/>
      <c r="ABU339" s="4"/>
      <c r="ABV339" s="4"/>
      <c r="ABW339" s="5"/>
      <c r="ABX339" s="6"/>
      <c r="ABY339" s="4"/>
      <c r="ABZ339" s="4"/>
      <c r="ACA339" s="4"/>
      <c r="ACB339" s="4"/>
      <c r="ACC339" s="4"/>
      <c r="ACD339" s="5"/>
      <c r="ACE339" s="6"/>
      <c r="ACF339" s="4"/>
      <c r="ACG339" s="4"/>
      <c r="ACH339" s="4"/>
      <c r="ACI339" s="4"/>
      <c r="ACJ339" s="4"/>
      <c r="ACK339" s="5"/>
      <c r="ACL339" s="6"/>
      <c r="ACM339" s="4"/>
      <c r="ACN339" s="4"/>
      <c r="ACO339" s="4"/>
      <c r="ACP339" s="4"/>
      <c r="ACQ339" s="4"/>
      <c r="ACR339" s="5"/>
      <c r="ACS339" s="6"/>
      <c r="ACT339" s="4"/>
      <c r="ACU339" s="4"/>
      <c r="ACV339" s="4"/>
      <c r="ACW339" s="4"/>
      <c r="ACX339" s="4"/>
      <c r="ACY339" s="5"/>
    </row>
    <row r="340" spans="2:805" x14ac:dyDescent="0.25">
      <c r="B340" s="29">
        <v>8013455</v>
      </c>
      <c r="C340" s="57">
        <v>79</v>
      </c>
      <c r="D340" t="s">
        <v>2121</v>
      </c>
      <c r="E340" t="s">
        <v>4165</v>
      </c>
      <c r="F340" s="23">
        <v>1</v>
      </c>
      <c r="I340">
        <v>1</v>
      </c>
      <c r="J340" s="19">
        <v>38452</v>
      </c>
      <c r="K340" s="19" t="s">
        <v>1399</v>
      </c>
      <c r="L340" s="19"/>
      <c r="M340">
        <v>1</v>
      </c>
      <c r="N340" s="17">
        <v>38452</v>
      </c>
      <c r="O340" t="s">
        <v>435</v>
      </c>
      <c r="LL340" s="6"/>
      <c r="LM340" s="4"/>
      <c r="LN340" s="4"/>
      <c r="LO340" s="4"/>
      <c r="LP340" s="4"/>
      <c r="LQ340" s="4"/>
      <c r="LR340" s="5"/>
      <c r="LS340" s="6"/>
      <c r="LT340" s="4"/>
      <c r="LU340" s="4"/>
      <c r="LV340" s="4"/>
      <c r="LW340" s="4"/>
      <c r="LX340" s="4"/>
      <c r="LY340" s="5"/>
      <c r="LZ340" s="6" t="s">
        <v>3419</v>
      </c>
      <c r="MA340" s="4" t="s">
        <v>3420</v>
      </c>
      <c r="MB340" s="4" t="s">
        <v>3421</v>
      </c>
      <c r="MC340" s="4"/>
      <c r="MD340" s="8">
        <v>38422</v>
      </c>
      <c r="ME340" s="4"/>
      <c r="MG340" s="4" t="s">
        <v>1400</v>
      </c>
      <c r="MH340" s="6"/>
      <c r="MI340" s="4"/>
      <c r="MJ340" s="4"/>
      <c r="MK340" s="4"/>
      <c r="ML340" s="4"/>
      <c r="MM340" s="4"/>
      <c r="MN340" s="5"/>
      <c r="MO340" s="6"/>
      <c r="MP340" s="4"/>
      <c r="MQ340" s="4"/>
      <c r="MR340" s="4"/>
      <c r="MS340" s="4"/>
      <c r="MT340" s="4"/>
      <c r="MU340" s="5"/>
      <c r="MV340" s="6"/>
      <c r="MW340" s="4"/>
      <c r="MX340" s="4"/>
      <c r="MY340" s="4"/>
      <c r="MZ340" s="4"/>
      <c r="NA340" s="4"/>
      <c r="NB340" s="5"/>
      <c r="NC340" s="6"/>
      <c r="ND340" s="4"/>
      <c r="NE340" s="4"/>
      <c r="NF340" s="4"/>
      <c r="NG340" s="4"/>
      <c r="NH340" s="4"/>
      <c r="NI340" s="5"/>
      <c r="NJ340" s="6"/>
      <c r="NK340" s="4"/>
      <c r="NL340" s="4"/>
      <c r="NM340" s="4"/>
      <c r="NN340" s="4"/>
      <c r="NO340" s="4"/>
      <c r="NP340" s="5"/>
      <c r="NQ340" s="6"/>
      <c r="NR340" s="4"/>
      <c r="NS340" s="4"/>
      <c r="NT340" s="4"/>
      <c r="NU340" s="4"/>
      <c r="NV340" s="4"/>
      <c r="NW340" s="5"/>
      <c r="NX340" s="6"/>
      <c r="NY340" s="4"/>
      <c r="NZ340" s="4"/>
      <c r="OA340" s="4"/>
      <c r="OB340" s="4"/>
      <c r="OC340" s="4"/>
      <c r="OD340" s="5"/>
      <c r="OE340" s="6"/>
      <c r="OF340" s="4"/>
      <c r="OG340" s="4"/>
      <c r="OH340" s="4"/>
      <c r="OI340" s="4"/>
      <c r="OJ340" s="4"/>
      <c r="OK340" s="5"/>
      <c r="OL340" s="6"/>
      <c r="OM340" s="4"/>
      <c r="ON340" s="4"/>
      <c r="OO340" s="4"/>
      <c r="OP340" s="4"/>
      <c r="OQ340" s="4"/>
      <c r="OR340" s="5"/>
      <c r="OS340" s="6"/>
      <c r="OT340" s="4"/>
      <c r="OU340" s="4"/>
      <c r="OV340" s="4"/>
      <c r="OW340" s="4"/>
      <c r="OX340" s="4"/>
      <c r="OY340" s="5"/>
      <c r="OZ340" s="6"/>
      <c r="PA340" s="4"/>
      <c r="PB340" s="4"/>
      <c r="PC340" s="4"/>
      <c r="PD340" s="4"/>
      <c r="PE340" s="4"/>
      <c r="PF340" s="5"/>
      <c r="PG340" s="6"/>
      <c r="PH340" s="4"/>
      <c r="PI340" s="4"/>
      <c r="PJ340" s="4"/>
      <c r="PK340" s="4"/>
      <c r="PL340" s="4"/>
      <c r="PM340" s="5"/>
      <c r="PN340" s="6"/>
      <c r="PO340" s="4"/>
      <c r="PP340" s="4"/>
      <c r="PQ340" s="4"/>
      <c r="PR340" s="4"/>
      <c r="PS340" s="4"/>
      <c r="PT340" s="5"/>
      <c r="PU340" s="6"/>
      <c r="PV340" s="4"/>
      <c r="PW340" s="4"/>
      <c r="PX340" s="4"/>
      <c r="PY340" s="4"/>
      <c r="PZ340" s="4"/>
      <c r="QA340" s="5"/>
      <c r="QB340" s="6"/>
      <c r="QC340" s="4"/>
      <c r="QD340" s="4"/>
      <c r="QE340" s="4"/>
      <c r="QF340" s="4"/>
      <c r="QG340" s="4"/>
      <c r="QH340" s="5"/>
      <c r="QI340" s="6"/>
      <c r="QJ340" s="4"/>
      <c r="QK340" s="4"/>
      <c r="QL340" s="4"/>
      <c r="QM340" s="4"/>
      <c r="QN340" s="4"/>
      <c r="QO340" s="5"/>
      <c r="QP340" s="6"/>
      <c r="QQ340" s="4"/>
      <c r="QR340" s="4"/>
      <c r="QS340" s="4"/>
      <c r="QT340" s="4"/>
      <c r="QU340" s="4"/>
      <c r="QV340" s="5"/>
      <c r="QW340" s="6"/>
      <c r="QX340" s="4"/>
      <c r="QY340" s="4"/>
      <c r="QZ340" s="4"/>
      <c r="RA340" s="4"/>
      <c r="RB340" s="4"/>
      <c r="RC340" s="5"/>
      <c r="RD340" s="6"/>
      <c r="RE340" s="4"/>
      <c r="RF340" s="4"/>
      <c r="RG340" s="4"/>
      <c r="RH340" s="4"/>
      <c r="RI340" s="4"/>
      <c r="RJ340" s="5"/>
      <c r="RK340" s="6"/>
      <c r="RL340" s="4"/>
      <c r="RM340" s="4"/>
      <c r="RN340" s="4"/>
      <c r="RO340" s="4"/>
      <c r="RP340" s="4"/>
      <c r="RQ340" s="5"/>
      <c r="RR340" s="6"/>
      <c r="RS340" s="4"/>
      <c r="RT340" s="4"/>
      <c r="RU340" s="4"/>
      <c r="RV340" s="4"/>
      <c r="RW340" s="4"/>
      <c r="RX340" s="5"/>
      <c r="RY340" s="6"/>
      <c r="RZ340" s="4"/>
      <c r="SA340" s="4"/>
      <c r="SB340" s="4"/>
      <c r="SC340" s="4"/>
      <c r="SD340" s="4"/>
      <c r="SE340" s="5"/>
      <c r="SF340" s="6"/>
      <c r="SG340" s="4"/>
      <c r="SH340" s="4"/>
      <c r="SI340" s="4"/>
      <c r="SJ340" s="4"/>
      <c r="SK340" s="4"/>
      <c r="SL340" s="5"/>
      <c r="SM340" s="6"/>
      <c r="SN340" s="4"/>
      <c r="SO340" s="4"/>
      <c r="SP340" s="4"/>
      <c r="SQ340" s="4"/>
      <c r="SR340" s="4"/>
      <c r="SS340" s="5"/>
      <c r="ST340" s="6"/>
      <c r="SU340" s="4"/>
      <c r="SV340" s="4"/>
      <c r="SW340" s="4"/>
      <c r="SX340" s="4"/>
      <c r="SY340" s="4"/>
      <c r="SZ340" s="5"/>
      <c r="TA340" s="6"/>
      <c r="TB340" s="4"/>
      <c r="TC340" s="4"/>
      <c r="TD340" s="4"/>
      <c r="TE340" s="4"/>
      <c r="TF340" s="4"/>
      <c r="TG340" s="5"/>
      <c r="TH340" s="6"/>
      <c r="TI340" s="4"/>
      <c r="TJ340" s="4"/>
      <c r="TK340" s="4"/>
      <c r="TL340" s="4"/>
      <c r="TM340" s="4"/>
      <c r="TN340" s="5"/>
      <c r="TO340" s="6"/>
      <c r="TP340" s="4"/>
      <c r="TQ340" s="4"/>
      <c r="TR340" s="4"/>
      <c r="TS340" s="4"/>
      <c r="TT340" s="4"/>
      <c r="TU340" s="5"/>
      <c r="TV340" s="6"/>
      <c r="TW340" s="4"/>
      <c r="TX340" s="4"/>
      <c r="TY340" s="4"/>
      <c r="TZ340" s="4"/>
      <c r="UA340" s="4"/>
      <c r="UB340" s="5"/>
      <c r="UC340" s="6"/>
      <c r="UD340" s="4"/>
      <c r="UE340" s="4"/>
      <c r="UF340" s="4"/>
      <c r="UG340" s="4"/>
      <c r="UH340" s="4"/>
      <c r="UI340" s="5"/>
      <c r="UJ340" s="6"/>
      <c r="UK340" s="4"/>
      <c r="UL340" s="4"/>
      <c r="UM340" s="4"/>
      <c r="UN340" s="4"/>
      <c r="UO340" s="4"/>
      <c r="UP340" s="5"/>
      <c r="UQ340" s="6"/>
      <c r="UR340" s="4"/>
      <c r="US340" s="4"/>
      <c r="UT340" s="4"/>
      <c r="UU340" s="4"/>
      <c r="UV340" s="4"/>
      <c r="UW340" s="5"/>
      <c r="UX340" s="6"/>
      <c r="UY340" s="4"/>
      <c r="UZ340" s="4"/>
      <c r="VA340" s="4"/>
      <c r="VB340" s="4"/>
      <c r="VC340" s="4"/>
      <c r="VD340" s="5"/>
      <c r="VE340" s="6"/>
      <c r="VF340" s="4"/>
      <c r="VG340" s="4"/>
      <c r="VH340" s="4"/>
      <c r="VI340" s="4"/>
      <c r="VJ340" s="4"/>
      <c r="VK340" s="5"/>
      <c r="VL340" s="6"/>
      <c r="VM340" s="4"/>
      <c r="VN340" s="4"/>
      <c r="VO340" s="4"/>
      <c r="VP340" s="4"/>
      <c r="VQ340" s="4"/>
      <c r="VR340" s="5"/>
      <c r="VS340" s="6"/>
      <c r="VT340" s="4"/>
      <c r="VU340" s="4"/>
      <c r="VV340" s="4"/>
      <c r="VW340" s="4"/>
      <c r="VX340" s="4"/>
      <c r="VY340" s="5"/>
      <c r="VZ340" s="6"/>
      <c r="WA340" s="4"/>
      <c r="WB340" s="4"/>
      <c r="WC340" s="4"/>
      <c r="WD340" s="4"/>
      <c r="WE340" s="4"/>
      <c r="WF340" s="5"/>
      <c r="WG340" s="6"/>
      <c r="WH340" s="4"/>
      <c r="WI340" s="4"/>
      <c r="WJ340" s="4"/>
      <c r="WK340" s="4"/>
      <c r="WL340" s="4"/>
      <c r="WM340" s="5"/>
      <c r="WN340" s="6"/>
      <c r="WO340" s="4"/>
      <c r="WP340" s="4"/>
      <c r="WQ340" s="4"/>
      <c r="WR340" s="4"/>
      <c r="WS340" s="4"/>
      <c r="WT340" s="5"/>
      <c r="WU340" s="6"/>
      <c r="WV340" s="4"/>
      <c r="WW340" s="4"/>
      <c r="WX340" s="4"/>
      <c r="WY340" s="4"/>
      <c r="WZ340" s="4"/>
      <c r="XA340" s="5"/>
      <c r="XB340" s="6"/>
      <c r="XC340" s="4"/>
      <c r="XD340" s="4"/>
      <c r="XE340" s="4"/>
      <c r="XF340" s="4"/>
      <c r="XG340" s="4"/>
      <c r="XH340" s="5"/>
      <c r="XI340" s="6"/>
      <c r="XJ340" s="4"/>
      <c r="XK340" s="4"/>
      <c r="XL340" s="4"/>
      <c r="XM340" s="4"/>
      <c r="XN340" s="4"/>
      <c r="XO340" s="5"/>
      <c r="XP340" s="6"/>
      <c r="XQ340" s="4"/>
      <c r="XR340" s="4"/>
      <c r="XS340" s="4"/>
      <c r="XT340" s="4"/>
      <c r="XU340" s="4"/>
      <c r="XV340" s="5"/>
      <c r="XW340" s="6"/>
      <c r="XX340" s="4"/>
      <c r="XY340" s="4"/>
      <c r="XZ340" s="4"/>
      <c r="YA340" s="4"/>
      <c r="YB340" s="4"/>
      <c r="YC340" s="5"/>
      <c r="YD340" s="6"/>
      <c r="YE340" s="4"/>
      <c r="YF340" s="4"/>
      <c r="YG340" s="4"/>
      <c r="YH340" s="4"/>
      <c r="YI340" s="4"/>
      <c r="YJ340" s="5"/>
      <c r="YK340" s="6"/>
      <c r="YM340" s="4"/>
      <c r="YN340" s="4"/>
      <c r="YO340" s="4"/>
      <c r="YP340" s="4"/>
      <c r="YQ340" s="5"/>
      <c r="YR340" s="6"/>
      <c r="YS340" s="4"/>
      <c r="YT340" s="4"/>
      <c r="YU340" s="4"/>
      <c r="YV340" s="4"/>
      <c r="YW340" s="4"/>
      <c r="YX340" s="5"/>
      <c r="YY340" s="6"/>
      <c r="YZ340" s="4"/>
      <c r="ZA340" s="4"/>
      <c r="ZB340" s="4"/>
      <c r="ZC340" s="4"/>
      <c r="ZD340" s="4"/>
      <c r="ZE340" s="5"/>
      <c r="ZF340" s="6"/>
      <c r="ZG340" s="4"/>
      <c r="ZH340" s="4"/>
      <c r="ZI340" s="4"/>
      <c r="ZJ340" s="4"/>
      <c r="ZK340" s="4"/>
      <c r="ZL340" s="5"/>
      <c r="ZM340" s="6"/>
      <c r="ZN340" s="4"/>
      <c r="ZO340" s="4"/>
      <c r="ZP340" s="4"/>
      <c r="ZQ340" s="4"/>
      <c r="ZR340" s="4"/>
      <c r="ZS340" s="5"/>
      <c r="ZT340" s="6"/>
      <c r="ZU340" s="4"/>
      <c r="ZV340" s="4"/>
      <c r="ZW340" s="4"/>
      <c r="ZX340" s="4"/>
      <c r="ZY340" s="4"/>
      <c r="ZZ340" s="5"/>
      <c r="AAA340" s="6"/>
      <c r="AAB340" s="4"/>
      <c r="AAC340" s="4"/>
      <c r="AAD340" s="4"/>
      <c r="AAE340" s="4"/>
      <c r="AAF340" s="4"/>
      <c r="AAG340" s="5"/>
      <c r="AAH340" s="6"/>
      <c r="AAI340" s="4"/>
      <c r="AAJ340" s="4"/>
      <c r="AAK340" s="4"/>
      <c r="AAL340" s="4"/>
      <c r="AAM340" s="4"/>
      <c r="AAN340" s="5"/>
      <c r="AAO340" s="6"/>
      <c r="AAP340" s="4"/>
      <c r="AAQ340" s="4"/>
      <c r="AAR340" s="4"/>
      <c r="AAS340" s="4"/>
      <c r="AAT340" s="4"/>
      <c r="AAU340" s="5"/>
      <c r="AAV340" s="6"/>
      <c r="AAW340" s="4"/>
      <c r="AAX340" s="4"/>
      <c r="AAY340" s="4"/>
      <c r="AAZ340" s="4"/>
      <c r="ABA340" s="4"/>
      <c r="ABB340" s="5"/>
      <c r="ABC340" s="6"/>
      <c r="ABD340" s="4"/>
      <c r="ABE340" s="4"/>
      <c r="ABF340" s="4"/>
      <c r="ABG340" s="4"/>
      <c r="ABH340" s="4"/>
      <c r="ABI340" s="5"/>
      <c r="ABJ340" s="6"/>
      <c r="ABK340" s="4"/>
      <c r="ABL340" s="4"/>
      <c r="ABM340" s="4"/>
      <c r="ABN340" s="4"/>
      <c r="ABO340" s="4"/>
      <c r="ABP340" s="5"/>
      <c r="ABQ340" s="6" t="s">
        <v>2697</v>
      </c>
      <c r="ABR340" s="4" t="s">
        <v>2662</v>
      </c>
      <c r="ABS340" s="4" t="s">
        <v>3422</v>
      </c>
      <c r="ABT340" s="4"/>
      <c r="ABU340" s="4"/>
      <c r="ABV340" s="4"/>
      <c r="ABW340" s="5" t="s">
        <v>1401</v>
      </c>
      <c r="ABX340" s="6"/>
      <c r="ABY340" s="4"/>
      <c r="ABZ340" s="4"/>
      <c r="ACA340" s="4"/>
      <c r="ACB340" s="4"/>
      <c r="ACC340" s="4"/>
      <c r="ACD340" s="5"/>
      <c r="ACE340" s="6"/>
      <c r="ACF340" s="4"/>
      <c r="ACG340" s="4"/>
      <c r="ACH340" s="4"/>
      <c r="ACI340" s="4"/>
      <c r="ACJ340" s="4"/>
      <c r="ACK340" s="5"/>
      <c r="ACL340" s="6"/>
      <c r="ACM340" s="4"/>
      <c r="ACN340" s="4"/>
      <c r="ACO340" s="4"/>
      <c r="ACP340" s="4"/>
      <c r="ACQ340" s="4"/>
      <c r="ACR340" s="5"/>
      <c r="ACS340" s="6"/>
      <c r="ACT340" s="4"/>
      <c r="ACU340" s="4"/>
      <c r="ACV340" s="4"/>
      <c r="ACW340" s="4"/>
      <c r="ACX340" s="4"/>
      <c r="ACY340" s="5"/>
      <c r="ADM340" t="s">
        <v>1402</v>
      </c>
      <c r="ADY340" t="s">
        <v>1403</v>
      </c>
    </row>
    <row r="341" spans="2:805" x14ac:dyDescent="0.25">
      <c r="B341" s="49">
        <v>8014066</v>
      </c>
      <c r="C341" s="57">
        <v>67</v>
      </c>
      <c r="D341" t="s">
        <v>2121</v>
      </c>
      <c r="E341" s="35" t="s">
        <v>4166</v>
      </c>
      <c r="F341" s="23">
        <v>1</v>
      </c>
      <c r="G341" s="31">
        <v>37701</v>
      </c>
      <c r="H341" s="23" t="s">
        <v>381</v>
      </c>
      <c r="J341" s="12"/>
      <c r="K341" s="12"/>
      <c r="L341" s="12"/>
      <c r="M341">
        <v>1</v>
      </c>
      <c r="N341" s="17">
        <v>37684</v>
      </c>
      <c r="O341" t="s">
        <v>436</v>
      </c>
      <c r="Q341">
        <v>1</v>
      </c>
      <c r="U341">
        <v>1</v>
      </c>
      <c r="V341">
        <v>1</v>
      </c>
      <c r="AI341">
        <v>1</v>
      </c>
      <c r="AL341">
        <v>1</v>
      </c>
      <c r="AM341">
        <v>1</v>
      </c>
      <c r="AY341">
        <v>1</v>
      </c>
      <c r="LL341" s="6"/>
      <c r="LM341" s="4"/>
      <c r="LN341" s="4"/>
      <c r="LO341" s="4"/>
      <c r="LP341" s="4"/>
      <c r="LQ341" s="4"/>
      <c r="LR341" s="5"/>
      <c r="LS341" s="6"/>
      <c r="LT341" s="4"/>
      <c r="LU341" s="4"/>
      <c r="LV341" s="4"/>
      <c r="LW341" s="4"/>
      <c r="LX341" s="4"/>
      <c r="LY341" s="5"/>
      <c r="LZ341" s="6" t="s">
        <v>892</v>
      </c>
      <c r="MA341" s="7" t="s">
        <v>3032</v>
      </c>
      <c r="MB341" s="4"/>
      <c r="MC341" s="4" t="s">
        <v>893</v>
      </c>
      <c r="MD341" s="8">
        <v>37628</v>
      </c>
      <c r="ME341" s="8">
        <v>37687</v>
      </c>
      <c r="MF341" s="8"/>
      <c r="MG341" s="5" t="s">
        <v>437</v>
      </c>
      <c r="MH341" s="6"/>
      <c r="MI341" s="4"/>
      <c r="MJ341" s="4"/>
      <c r="MK341" s="4"/>
      <c r="ML341" s="4"/>
      <c r="MM341" s="4"/>
      <c r="MN341" s="5"/>
      <c r="MO341" s="6"/>
      <c r="MP341" s="4"/>
      <c r="MQ341" s="4"/>
      <c r="MR341" s="4"/>
      <c r="MS341" s="4"/>
      <c r="MT341" s="4"/>
      <c r="MU341" s="5"/>
      <c r="MV341" s="6"/>
      <c r="MW341" s="4"/>
      <c r="MX341" s="4"/>
      <c r="MY341" s="4"/>
      <c r="MZ341" s="4"/>
      <c r="NA341" s="4"/>
      <c r="NB341" s="5"/>
      <c r="NC341" s="6"/>
      <c r="ND341" s="4"/>
      <c r="NE341" s="4"/>
      <c r="NF341" s="4"/>
      <c r="NG341" s="4"/>
      <c r="NH341" s="4"/>
      <c r="NI341" s="5"/>
      <c r="NJ341" s="6"/>
      <c r="NK341" s="4"/>
      <c r="NL341" s="4"/>
      <c r="NM341" s="4"/>
      <c r="NN341" s="4"/>
      <c r="NO341" s="4"/>
      <c r="NP341" s="5"/>
      <c r="NQ341" s="6" t="s">
        <v>894</v>
      </c>
      <c r="NR341" s="4" t="s">
        <v>2172</v>
      </c>
      <c r="NS341" s="4" t="s">
        <v>895</v>
      </c>
      <c r="NT341" s="4"/>
      <c r="NU341" s="8">
        <v>37648</v>
      </c>
      <c r="NV341" s="4"/>
      <c r="NW341" s="5" t="s">
        <v>439</v>
      </c>
      <c r="NX341" s="6"/>
      <c r="NY341" s="4"/>
      <c r="NZ341" s="4"/>
      <c r="OA341" s="4"/>
      <c r="OB341" s="4"/>
      <c r="OC341" s="4"/>
      <c r="OD341" s="5"/>
      <c r="OE341" s="6"/>
      <c r="OF341" s="4"/>
      <c r="OG341" s="4"/>
      <c r="OH341" s="4"/>
      <c r="OI341" s="4"/>
      <c r="OJ341" s="4"/>
      <c r="OK341" s="5"/>
      <c r="OL341" s="6"/>
      <c r="OM341" s="4"/>
      <c r="ON341" s="4"/>
      <c r="OO341" s="4"/>
      <c r="OP341" s="4"/>
      <c r="OQ341" s="4"/>
      <c r="OR341" s="5"/>
      <c r="OS341" s="6"/>
      <c r="OT341" s="4"/>
      <c r="OU341" s="4"/>
      <c r="OV341" s="4"/>
      <c r="OW341" s="4"/>
      <c r="OX341" s="4"/>
      <c r="OY341" s="5"/>
      <c r="OZ341" s="6" t="s">
        <v>896</v>
      </c>
      <c r="PA341" s="4" t="s">
        <v>897</v>
      </c>
      <c r="PB341" s="4"/>
      <c r="PC341" s="4" t="s">
        <v>2152</v>
      </c>
      <c r="PD341" s="8">
        <v>37648</v>
      </c>
      <c r="PE341" s="8">
        <v>37687</v>
      </c>
      <c r="PF341" s="5" t="s">
        <v>440</v>
      </c>
      <c r="PG341" s="6"/>
      <c r="PH341" s="4"/>
      <c r="PI341" s="4"/>
      <c r="PJ341" s="4"/>
      <c r="PK341" s="4"/>
      <c r="PL341" s="4"/>
      <c r="PM341" s="5"/>
      <c r="PN341" s="6"/>
      <c r="PO341" s="4"/>
      <c r="PP341" s="4"/>
      <c r="PQ341" s="4"/>
      <c r="PR341" s="4"/>
      <c r="PS341" s="4"/>
      <c r="PT341" s="5"/>
      <c r="PU341" s="6"/>
      <c r="PV341" s="4"/>
      <c r="PW341" s="4"/>
      <c r="PX341" s="4"/>
      <c r="PY341" s="4"/>
      <c r="PZ341" s="4"/>
      <c r="QA341" s="5"/>
      <c r="QB341" s="6"/>
      <c r="QC341" s="4"/>
      <c r="QD341" s="4"/>
      <c r="QE341" s="4"/>
      <c r="QF341" s="4"/>
      <c r="QG341" s="4"/>
      <c r="QH341" s="5"/>
      <c r="QI341" s="6"/>
      <c r="QJ341" s="4"/>
      <c r="QK341" s="4"/>
      <c r="QL341" s="4"/>
      <c r="QM341" s="4"/>
      <c r="QN341" s="4"/>
      <c r="QO341" s="5"/>
      <c r="QP341" s="6"/>
      <c r="QQ341" s="4"/>
      <c r="QR341" s="4"/>
      <c r="QS341" s="4"/>
      <c r="QT341" s="4"/>
      <c r="QU341" s="4"/>
      <c r="QV341" s="5"/>
      <c r="QW341" s="6"/>
      <c r="QX341" s="4"/>
      <c r="QY341" s="4"/>
      <c r="QZ341" s="4"/>
      <c r="RA341" s="4"/>
      <c r="RB341" s="4"/>
      <c r="RC341" s="5"/>
      <c r="RD341" s="6"/>
      <c r="RE341" s="4"/>
      <c r="RF341" s="4"/>
      <c r="RG341" s="4"/>
      <c r="RH341" s="4"/>
      <c r="RI341" s="4"/>
      <c r="RJ341" s="5"/>
      <c r="RK341" s="6"/>
      <c r="RL341" s="4"/>
      <c r="RM341" s="4"/>
      <c r="RN341" s="4"/>
      <c r="RO341" s="4"/>
      <c r="RP341" s="4"/>
      <c r="RQ341" s="5"/>
      <c r="RR341" s="6"/>
      <c r="RS341" s="4"/>
      <c r="RT341" s="4"/>
      <c r="RU341" s="4"/>
      <c r="RV341" s="4"/>
      <c r="RW341" s="4"/>
      <c r="RX341" s="5"/>
      <c r="RY341" s="6"/>
      <c r="RZ341" s="4"/>
      <c r="SA341" s="4"/>
      <c r="SB341" s="4"/>
      <c r="SC341" s="4"/>
      <c r="SD341" s="4"/>
      <c r="SE341" s="5"/>
      <c r="SF341" s="6"/>
      <c r="SG341" s="4"/>
      <c r="SH341" s="4"/>
      <c r="SI341" s="4"/>
      <c r="SJ341" s="4"/>
      <c r="SK341" s="4"/>
      <c r="SL341" s="5"/>
      <c r="SM341" s="6"/>
      <c r="SN341" s="4"/>
      <c r="SO341" s="4"/>
      <c r="SP341" s="4"/>
      <c r="SQ341" s="4"/>
      <c r="SR341" s="4"/>
      <c r="SS341" s="5"/>
      <c r="ST341" s="6"/>
      <c r="SU341" s="4"/>
      <c r="SV341" s="4"/>
      <c r="SW341" s="4"/>
      <c r="SX341" s="4"/>
      <c r="SY341" s="4"/>
      <c r="SZ341" s="5"/>
      <c r="TA341" s="6"/>
      <c r="TB341" s="4"/>
      <c r="TC341" s="4"/>
      <c r="TD341" s="4"/>
      <c r="TE341" s="4"/>
      <c r="TF341" s="4"/>
      <c r="TG341" s="5"/>
      <c r="TH341" s="6"/>
      <c r="TI341" s="4"/>
      <c r="TJ341" s="4"/>
      <c r="TK341" s="4"/>
      <c r="TL341" s="4"/>
      <c r="TM341" s="4"/>
      <c r="TN341" s="5"/>
      <c r="TO341" s="6" t="s">
        <v>2200</v>
      </c>
      <c r="TP341" s="4" t="s">
        <v>2201</v>
      </c>
      <c r="TQ341" s="4" t="s">
        <v>898</v>
      </c>
      <c r="TR341" s="7" t="s">
        <v>899</v>
      </c>
      <c r="TS341" s="8">
        <v>37648</v>
      </c>
      <c r="TT341" s="8">
        <v>37687</v>
      </c>
      <c r="TU341" s="5" t="s">
        <v>441</v>
      </c>
      <c r="TV341" s="6"/>
      <c r="TW341" s="4"/>
      <c r="TX341" s="4"/>
      <c r="TY341" s="4"/>
      <c r="TZ341" s="4"/>
      <c r="UA341" s="4"/>
      <c r="UB341" s="5"/>
      <c r="UC341" s="6"/>
      <c r="UD341" s="4"/>
      <c r="UE341" s="4"/>
      <c r="UF341" s="4"/>
      <c r="UG341" s="4"/>
      <c r="UH341" s="4"/>
      <c r="UI341" s="5"/>
      <c r="UJ341" s="6"/>
      <c r="UK341" s="4"/>
      <c r="UL341" s="4"/>
      <c r="UM341" s="4"/>
      <c r="UN341" s="4"/>
      <c r="UO341" s="4"/>
      <c r="UP341" s="5"/>
      <c r="UQ341" s="6"/>
      <c r="UR341" s="4"/>
      <c r="US341" s="4"/>
      <c r="UT341" s="4"/>
      <c r="UU341" s="4"/>
      <c r="UV341" s="4"/>
      <c r="UW341" s="5"/>
      <c r="UX341" s="6"/>
      <c r="UY341" s="4"/>
      <c r="UZ341" s="4"/>
      <c r="VA341" s="4"/>
      <c r="VB341" s="4"/>
      <c r="VC341" s="4"/>
      <c r="VD341" s="5"/>
      <c r="VE341" s="6" t="s">
        <v>2863</v>
      </c>
      <c r="VF341" s="4" t="s">
        <v>2993</v>
      </c>
      <c r="VG341" s="4"/>
      <c r="VH341" s="4" t="s">
        <v>2761</v>
      </c>
      <c r="VI341" s="8">
        <v>37662</v>
      </c>
      <c r="VJ341" s="8">
        <v>37687</v>
      </c>
      <c r="VK341" s="5" t="s">
        <v>442</v>
      </c>
      <c r="VL341" s="6"/>
      <c r="VM341" s="4"/>
      <c r="VN341" s="4"/>
      <c r="VO341" s="4"/>
      <c r="VP341" s="4"/>
      <c r="VQ341" s="4"/>
      <c r="VR341" s="5"/>
      <c r="VS341" s="6"/>
      <c r="VT341" s="4"/>
      <c r="VU341" s="4"/>
      <c r="VV341" s="4"/>
      <c r="VW341" s="4"/>
      <c r="VX341" s="4"/>
      <c r="VY341" s="5"/>
      <c r="VZ341" s="6"/>
      <c r="WA341" s="4"/>
      <c r="WB341" s="4"/>
      <c r="WC341" s="4"/>
      <c r="WD341" s="4"/>
      <c r="WE341" s="4"/>
      <c r="WF341" s="5"/>
      <c r="WG341" s="6"/>
      <c r="WH341" s="4"/>
      <c r="WI341" s="4"/>
      <c r="WJ341" s="4"/>
      <c r="WK341" s="4"/>
      <c r="WL341" s="4"/>
      <c r="WM341" s="5"/>
      <c r="WN341" s="6"/>
      <c r="WO341" s="4"/>
      <c r="WP341" s="4"/>
      <c r="WQ341" s="4"/>
      <c r="WR341" s="4"/>
      <c r="WS341" s="4"/>
      <c r="WT341" s="5"/>
      <c r="WU341" s="6"/>
      <c r="WV341" s="4"/>
      <c r="WW341" s="4"/>
      <c r="WX341" s="4"/>
      <c r="WY341" s="4"/>
      <c r="WZ341" s="4"/>
      <c r="XA341" s="5"/>
      <c r="XB341" s="6"/>
      <c r="XC341" s="4"/>
      <c r="XD341" s="4"/>
      <c r="XE341" s="4"/>
      <c r="XF341" s="4"/>
      <c r="XG341" s="4"/>
      <c r="XH341" s="5"/>
      <c r="XI341" s="6"/>
      <c r="XJ341" s="4"/>
      <c r="XK341" s="4"/>
      <c r="XL341" s="4"/>
      <c r="XM341" s="4"/>
      <c r="XN341" s="4"/>
      <c r="XO341" s="5"/>
      <c r="XP341" s="6"/>
      <c r="XQ341" s="4"/>
      <c r="XR341" s="4"/>
      <c r="XS341" s="4"/>
      <c r="XT341" s="4"/>
      <c r="XU341" s="4"/>
      <c r="XV341" s="5"/>
      <c r="XW341" s="6"/>
      <c r="XX341" s="4"/>
      <c r="XY341" s="4"/>
      <c r="XZ341" s="4"/>
      <c r="YA341" s="4"/>
      <c r="YB341" s="4"/>
      <c r="YC341" s="5"/>
      <c r="YD341" s="6"/>
      <c r="YE341" s="4"/>
      <c r="YF341" s="4"/>
      <c r="YG341" s="4"/>
      <c r="YH341" s="4"/>
      <c r="YI341" s="4"/>
      <c r="YJ341" s="5"/>
      <c r="YK341" s="6" t="s">
        <v>900</v>
      </c>
      <c r="YL341" s="4" t="s">
        <v>3111</v>
      </c>
      <c r="YM341" s="4"/>
      <c r="YN341" s="4" t="s">
        <v>966</v>
      </c>
      <c r="YO341" s="8">
        <v>37655</v>
      </c>
      <c r="YP341" s="8">
        <v>37687</v>
      </c>
      <c r="YQ341" s="5" t="s">
        <v>196</v>
      </c>
      <c r="YR341" s="6"/>
      <c r="YS341" s="4"/>
      <c r="YT341" s="4"/>
      <c r="YU341" s="4"/>
      <c r="YV341" s="4"/>
      <c r="YW341" s="4"/>
      <c r="YX341" s="5"/>
      <c r="YY341" s="6"/>
      <c r="YZ341" s="4"/>
      <c r="ZA341" s="4"/>
      <c r="ZB341" s="4"/>
      <c r="ZC341" s="4"/>
      <c r="ZD341" s="4"/>
      <c r="ZE341" s="5"/>
      <c r="ZF341" s="6"/>
      <c r="ZG341" s="4"/>
      <c r="ZH341" s="4"/>
      <c r="ZI341" s="4"/>
      <c r="ZJ341" s="4"/>
      <c r="ZK341" s="4"/>
      <c r="ZL341" s="5"/>
      <c r="ZM341" s="6"/>
      <c r="ZN341" s="4"/>
      <c r="ZO341" s="4"/>
      <c r="ZP341" s="4"/>
      <c r="ZQ341" s="4"/>
      <c r="ZR341" s="4"/>
      <c r="ZS341" s="5"/>
      <c r="ZT341" s="6"/>
      <c r="ZU341" s="4"/>
      <c r="ZV341" s="4"/>
      <c r="ZW341" s="4"/>
      <c r="ZX341" s="4"/>
      <c r="ZY341" s="4"/>
      <c r="ZZ341" s="5"/>
      <c r="AAA341" s="6"/>
      <c r="AAB341" s="4"/>
      <c r="AAC341" s="4"/>
      <c r="AAD341" s="4"/>
      <c r="AAE341" s="4"/>
      <c r="AAF341" s="4"/>
      <c r="AAG341" s="5"/>
      <c r="AAH341" s="6"/>
      <c r="AAI341" s="4"/>
      <c r="AAJ341" s="4"/>
      <c r="AAK341" s="4"/>
      <c r="AAL341" s="4"/>
      <c r="AAM341" s="4"/>
      <c r="AAN341" s="5"/>
      <c r="AAO341" s="6"/>
      <c r="AAP341" s="4"/>
      <c r="AAQ341" s="4"/>
      <c r="AAR341" s="4"/>
      <c r="AAS341" s="4"/>
      <c r="AAT341" s="4"/>
      <c r="AAU341" s="5"/>
      <c r="AAV341" s="6"/>
      <c r="AAW341" s="4"/>
      <c r="AAX341" s="4"/>
      <c r="AAY341" s="4"/>
      <c r="AAZ341" s="4"/>
      <c r="ABA341" s="4"/>
      <c r="ABB341" s="5"/>
      <c r="ABC341" s="6"/>
      <c r="ABD341" s="4"/>
      <c r="ABE341" s="4"/>
      <c r="ABF341" s="4"/>
      <c r="ABG341" s="4"/>
      <c r="ABH341" s="4"/>
      <c r="ABI341" s="5"/>
      <c r="ABJ341" s="6" t="s">
        <v>901</v>
      </c>
      <c r="ABK341" s="4" t="s">
        <v>902</v>
      </c>
      <c r="ABL341" s="4" t="s">
        <v>2987</v>
      </c>
      <c r="ABM341" s="7" t="s">
        <v>966</v>
      </c>
      <c r="ABN341" s="8">
        <v>37655</v>
      </c>
      <c r="ABO341" s="8">
        <v>37687</v>
      </c>
      <c r="ABP341" s="5" t="s">
        <v>198</v>
      </c>
      <c r="ABQ341" s="6"/>
      <c r="ABR341" s="4"/>
      <c r="ABS341" s="4"/>
      <c r="ABT341" s="4"/>
      <c r="ABU341" s="4"/>
      <c r="ABV341" s="4"/>
      <c r="ABW341" s="5"/>
      <c r="ABX341" s="6"/>
      <c r="ABY341" s="4"/>
      <c r="ABZ341" s="4"/>
      <c r="ACA341" s="4"/>
      <c r="ACB341" s="4"/>
      <c r="ACC341" s="4"/>
      <c r="ACD341" s="5"/>
      <c r="ACE341" s="6"/>
      <c r="ACF341" s="4"/>
      <c r="ACG341" s="4"/>
      <c r="ACH341" s="4"/>
      <c r="ACI341" s="4"/>
      <c r="ACJ341" s="4"/>
      <c r="ACK341" s="5"/>
      <c r="ACL341" s="6"/>
      <c r="ACM341" s="4"/>
      <c r="ACN341" s="4"/>
      <c r="ACO341" s="4"/>
      <c r="ACP341" s="4"/>
      <c r="ACQ341" s="4"/>
      <c r="ACR341" s="5"/>
      <c r="ACS341" s="6"/>
      <c r="ACT341" s="4"/>
      <c r="ACU341" s="4"/>
      <c r="ACV341" s="4"/>
      <c r="ACW341" s="4"/>
      <c r="ACX341" s="4"/>
      <c r="ACY341" s="5"/>
      <c r="ADF341" t="s">
        <v>319</v>
      </c>
      <c r="ADG341" t="s">
        <v>321</v>
      </c>
      <c r="ADL341" t="s">
        <v>320</v>
      </c>
      <c r="ADO341" t="s">
        <v>322</v>
      </c>
      <c r="ADR341" t="s">
        <v>199</v>
      </c>
    </row>
    <row r="342" spans="2:805" x14ac:dyDescent="0.25">
      <c r="B342" s="30"/>
      <c r="J342" s="12"/>
      <c r="K342" s="12"/>
      <c r="L342" s="12"/>
      <c r="LL342" s="6"/>
      <c r="LM342" s="4"/>
      <c r="LN342" s="4"/>
      <c r="LO342" s="4"/>
      <c r="LP342" s="4"/>
      <c r="LQ342" s="4"/>
      <c r="LR342" s="5"/>
      <c r="LS342" s="6"/>
      <c r="LT342" s="4"/>
      <c r="LU342" s="4"/>
      <c r="LV342" s="4"/>
      <c r="LW342" s="4"/>
      <c r="LX342" s="4"/>
      <c r="LY342" s="5"/>
      <c r="LZ342" s="6" t="s">
        <v>2872</v>
      </c>
      <c r="MA342" s="4" t="s">
        <v>2250</v>
      </c>
      <c r="MB342" s="4"/>
      <c r="MC342" s="7" t="s">
        <v>903</v>
      </c>
      <c r="MD342" s="8">
        <v>37628</v>
      </c>
      <c r="ME342" s="8">
        <v>37661</v>
      </c>
      <c r="MF342" s="8" t="s">
        <v>611</v>
      </c>
      <c r="MG342" s="5" t="s">
        <v>438</v>
      </c>
      <c r="MH342" s="6"/>
      <c r="MI342" s="4"/>
      <c r="MJ342" s="4"/>
      <c r="MK342" s="4"/>
      <c r="ML342" s="4"/>
      <c r="MM342" s="4"/>
      <c r="MN342" s="5"/>
      <c r="MO342" s="6"/>
      <c r="MP342" s="4"/>
      <c r="MQ342" s="4"/>
      <c r="MR342" s="4"/>
      <c r="MS342" s="4"/>
      <c r="MT342" s="4"/>
      <c r="MU342" s="5"/>
      <c r="MV342" s="6"/>
      <c r="MW342" s="4"/>
      <c r="MX342" s="4"/>
      <c r="MY342" s="4"/>
      <c r="MZ342" s="4"/>
      <c r="NA342" s="4"/>
      <c r="NB342" s="5"/>
      <c r="NC342" s="6"/>
      <c r="ND342" s="4"/>
      <c r="NE342" s="4"/>
      <c r="NF342" s="4"/>
      <c r="NG342" s="4"/>
      <c r="NH342" s="4"/>
      <c r="NI342" s="5"/>
      <c r="NJ342" s="6"/>
      <c r="NK342" s="4"/>
      <c r="NL342" s="4"/>
      <c r="NM342" s="4"/>
      <c r="NN342" s="4"/>
      <c r="NO342" s="4"/>
      <c r="NP342" s="5"/>
      <c r="NQ342" s="6"/>
      <c r="NR342" s="4"/>
      <c r="NS342" s="4"/>
      <c r="NT342" s="4"/>
      <c r="NU342" s="4"/>
      <c r="NV342" s="4"/>
      <c r="NW342" s="5"/>
      <c r="NX342" s="6"/>
      <c r="NY342" s="4"/>
      <c r="NZ342" s="4"/>
      <c r="OA342" s="4"/>
      <c r="OB342" s="4"/>
      <c r="OC342" s="4"/>
      <c r="OD342" s="5"/>
      <c r="OE342" s="6"/>
      <c r="OF342" s="4"/>
      <c r="OG342" s="4"/>
      <c r="OH342" s="4"/>
      <c r="OI342" s="4"/>
      <c r="OJ342" s="4"/>
      <c r="OK342" s="5"/>
      <c r="OL342" s="6"/>
      <c r="OM342" s="4"/>
      <c r="ON342" s="4"/>
      <c r="OO342" s="4"/>
      <c r="OP342" s="4"/>
      <c r="OQ342" s="4"/>
      <c r="OR342" s="5"/>
      <c r="OS342" s="6"/>
      <c r="OT342" s="4"/>
      <c r="OU342" s="4"/>
      <c r="OV342" s="4"/>
      <c r="OW342" s="4"/>
      <c r="OX342" s="4"/>
      <c r="OY342" s="5"/>
      <c r="OZ342" s="6"/>
      <c r="PA342" s="4"/>
      <c r="PB342" s="4"/>
      <c r="PC342" s="4"/>
      <c r="PD342" s="4"/>
      <c r="PE342" s="4"/>
      <c r="PF342" s="5"/>
      <c r="PG342" s="6"/>
      <c r="PH342" s="4"/>
      <c r="PI342" s="4"/>
      <c r="PJ342" s="4"/>
      <c r="PK342" s="4"/>
      <c r="PL342" s="4"/>
      <c r="PM342" s="5"/>
      <c r="PN342" s="6"/>
      <c r="PO342" s="4"/>
      <c r="PP342" s="4"/>
      <c r="PQ342" s="4"/>
      <c r="PR342" s="4"/>
      <c r="PS342" s="4"/>
      <c r="PT342" s="5"/>
      <c r="PU342" s="6"/>
      <c r="PV342" s="4"/>
      <c r="PW342" s="4"/>
      <c r="PX342" s="4"/>
      <c r="PY342" s="4"/>
      <c r="PZ342" s="4"/>
      <c r="QA342" s="5"/>
      <c r="QB342" s="6"/>
      <c r="QC342" s="4"/>
      <c r="QD342" s="4"/>
      <c r="QE342" s="4"/>
      <c r="QF342" s="4"/>
      <c r="QG342" s="4"/>
      <c r="QH342" s="5"/>
      <c r="QI342" s="6"/>
      <c r="QJ342" s="4"/>
      <c r="QK342" s="4"/>
      <c r="QL342" s="4"/>
      <c r="QM342" s="4"/>
      <c r="QN342" s="4"/>
      <c r="QO342" s="5"/>
      <c r="QP342" s="6"/>
      <c r="QQ342" s="4"/>
      <c r="QR342" s="4"/>
      <c r="QS342" s="4"/>
      <c r="QT342" s="4"/>
      <c r="QU342" s="4"/>
      <c r="QV342" s="5"/>
      <c r="QW342" s="6"/>
      <c r="QX342" s="4"/>
      <c r="QY342" s="4"/>
      <c r="QZ342" s="4"/>
      <c r="RA342" s="4"/>
      <c r="RB342" s="4"/>
      <c r="RC342" s="5"/>
      <c r="RD342" s="6"/>
      <c r="RE342" s="4"/>
      <c r="RF342" s="4"/>
      <c r="RG342" s="4"/>
      <c r="RH342" s="4"/>
      <c r="RI342" s="4"/>
      <c r="RJ342" s="5"/>
      <c r="RK342" s="6"/>
      <c r="RL342" s="4"/>
      <c r="RM342" s="4"/>
      <c r="RN342" s="4"/>
      <c r="RO342" s="4"/>
      <c r="RP342" s="4"/>
      <c r="RQ342" s="5"/>
      <c r="RR342" s="6"/>
      <c r="RS342" s="4"/>
      <c r="RT342" s="4"/>
      <c r="RU342" s="4"/>
      <c r="RV342" s="4"/>
      <c r="RW342" s="4"/>
      <c r="RX342" s="5"/>
      <c r="RY342" s="6"/>
      <c r="RZ342" s="4"/>
      <c r="SA342" s="4"/>
      <c r="SB342" s="4"/>
      <c r="SC342" s="4"/>
      <c r="SD342" s="4"/>
      <c r="SE342" s="5"/>
      <c r="SF342" s="6"/>
      <c r="SG342" s="4"/>
      <c r="SH342" s="4"/>
      <c r="SI342" s="4"/>
      <c r="SJ342" s="4"/>
      <c r="SK342" s="4"/>
      <c r="SL342" s="5"/>
      <c r="SM342" s="6"/>
      <c r="SN342" s="4"/>
      <c r="SO342" s="4"/>
      <c r="SP342" s="4"/>
      <c r="SQ342" s="4"/>
      <c r="SR342" s="4"/>
      <c r="SS342" s="5"/>
      <c r="ST342" s="6"/>
      <c r="SU342" s="4"/>
      <c r="SV342" s="4"/>
      <c r="SW342" s="4"/>
      <c r="SX342" s="4"/>
      <c r="SY342" s="4"/>
      <c r="SZ342" s="5"/>
      <c r="TA342" s="6"/>
      <c r="TB342" s="4"/>
      <c r="TC342" s="4"/>
      <c r="TD342" s="4"/>
      <c r="TE342" s="4"/>
      <c r="TF342" s="4"/>
      <c r="TG342" s="5"/>
      <c r="TH342" s="6"/>
      <c r="TI342" s="4"/>
      <c r="TJ342" s="4"/>
      <c r="TK342" s="4"/>
      <c r="TL342" s="4"/>
      <c r="TM342" s="4"/>
      <c r="TN342" s="5"/>
      <c r="TO342" s="6"/>
      <c r="TP342" s="4"/>
      <c r="TQ342" s="4"/>
      <c r="TR342" s="7"/>
      <c r="TS342" s="8"/>
      <c r="TT342" s="8"/>
      <c r="TU342" s="5"/>
      <c r="TV342" s="6"/>
      <c r="TW342" s="4"/>
      <c r="TX342" s="4"/>
      <c r="TY342" s="4"/>
      <c r="TZ342" s="4"/>
      <c r="UA342" s="4"/>
      <c r="UB342" s="5"/>
      <c r="UC342" s="6"/>
      <c r="UD342" s="4"/>
      <c r="UE342" s="4"/>
      <c r="UF342" s="4"/>
      <c r="UG342" s="4"/>
      <c r="UH342" s="4"/>
      <c r="UI342" s="5"/>
      <c r="UJ342" s="6"/>
      <c r="UK342" s="4"/>
      <c r="UL342" s="4"/>
      <c r="UM342" s="4"/>
      <c r="UN342" s="4"/>
      <c r="UO342" s="4"/>
      <c r="UP342" s="5"/>
      <c r="UQ342" s="6"/>
      <c r="UR342" s="4"/>
      <c r="US342" s="4"/>
      <c r="UT342" s="4"/>
      <c r="UU342" s="4"/>
      <c r="UV342" s="4"/>
      <c r="UW342" s="5"/>
      <c r="UX342" s="6"/>
      <c r="UY342" s="4"/>
      <c r="UZ342" s="4"/>
      <c r="VA342" s="4"/>
      <c r="VB342" s="4"/>
      <c r="VC342" s="4"/>
      <c r="VD342" s="5"/>
      <c r="VE342" s="6"/>
      <c r="VF342" s="4"/>
      <c r="VG342" s="4"/>
      <c r="VH342" s="4"/>
      <c r="VI342" s="8"/>
      <c r="VJ342" s="8"/>
      <c r="VK342" s="5"/>
      <c r="VL342" s="6"/>
      <c r="VM342" s="4"/>
      <c r="VN342" s="4"/>
      <c r="VO342" s="4"/>
      <c r="VP342" s="4"/>
      <c r="VQ342" s="4"/>
      <c r="VR342" s="5"/>
      <c r="VS342" s="6"/>
      <c r="VT342" s="4"/>
      <c r="VU342" s="4"/>
      <c r="VV342" s="4"/>
      <c r="VW342" s="4"/>
      <c r="VX342" s="4"/>
      <c r="VY342" s="5"/>
      <c r="VZ342" s="6"/>
      <c r="WA342" s="4"/>
      <c r="WB342" s="4"/>
      <c r="WC342" s="4"/>
      <c r="WD342" s="4"/>
      <c r="WE342" s="4"/>
      <c r="WF342" s="5"/>
      <c r="WG342" s="6"/>
      <c r="WH342" s="4"/>
      <c r="WI342" s="4"/>
      <c r="WJ342" s="4"/>
      <c r="WK342" s="4"/>
      <c r="WL342" s="4"/>
      <c r="WM342" s="5"/>
      <c r="WN342" s="6"/>
      <c r="WO342" s="4"/>
      <c r="WP342" s="4"/>
      <c r="WQ342" s="4"/>
      <c r="WR342" s="4"/>
      <c r="WS342" s="4"/>
      <c r="WT342" s="5"/>
      <c r="WU342" s="6"/>
      <c r="WV342" s="4"/>
      <c r="WW342" s="4"/>
      <c r="WX342" s="4"/>
      <c r="WY342" s="4"/>
      <c r="WZ342" s="4"/>
      <c r="XA342" s="5"/>
      <c r="XB342" s="6"/>
      <c r="XC342" s="4"/>
      <c r="XD342" s="4"/>
      <c r="XE342" s="4"/>
      <c r="XF342" s="4"/>
      <c r="XG342" s="4"/>
      <c r="XH342" s="5"/>
      <c r="XI342" s="6"/>
      <c r="XJ342" s="4"/>
      <c r="XK342" s="4"/>
      <c r="XL342" s="4"/>
      <c r="XM342" s="4"/>
      <c r="XN342" s="4"/>
      <c r="XO342" s="5"/>
      <c r="XP342" s="6"/>
      <c r="XQ342" s="4"/>
      <c r="XR342" s="4"/>
      <c r="XS342" s="4"/>
      <c r="XT342" s="4"/>
      <c r="XU342" s="4"/>
      <c r="XV342" s="5"/>
      <c r="XW342" s="6"/>
      <c r="XX342" s="4"/>
      <c r="XY342" s="4"/>
      <c r="XZ342" s="4"/>
      <c r="YA342" s="4"/>
      <c r="YB342" s="4"/>
      <c r="YC342" s="5"/>
      <c r="YD342" s="6"/>
      <c r="YE342" s="4"/>
      <c r="YF342" s="4"/>
      <c r="YG342" s="4"/>
      <c r="YH342" s="4"/>
      <c r="YI342" s="4"/>
      <c r="YJ342" s="5"/>
      <c r="YK342" s="6" t="s">
        <v>904</v>
      </c>
      <c r="YL342" s="4" t="s">
        <v>905</v>
      </c>
      <c r="YM342" s="4"/>
      <c r="YN342" s="4" t="s">
        <v>2702</v>
      </c>
      <c r="YO342" s="8">
        <v>37685</v>
      </c>
      <c r="YP342" s="8">
        <v>37686</v>
      </c>
      <c r="YQ342" s="5" t="s">
        <v>197</v>
      </c>
      <c r="YR342" s="6"/>
      <c r="YS342" s="4"/>
      <c r="YT342" s="4"/>
      <c r="YU342" s="4"/>
      <c r="YV342" s="4"/>
      <c r="YW342" s="4"/>
      <c r="YX342" s="5"/>
      <c r="YY342" s="6"/>
      <c r="YZ342" s="4"/>
      <c r="ZA342" s="4"/>
      <c r="ZB342" s="4"/>
      <c r="ZC342" s="4"/>
      <c r="ZD342" s="4"/>
      <c r="ZE342" s="5"/>
      <c r="ZF342" s="6"/>
      <c r="ZG342" s="4"/>
      <c r="ZH342" s="4"/>
      <c r="ZI342" s="4"/>
      <c r="ZJ342" s="4"/>
      <c r="ZK342" s="4"/>
      <c r="ZL342" s="5"/>
      <c r="ZM342" s="6"/>
      <c r="ZN342" s="4"/>
      <c r="ZO342" s="4"/>
      <c r="ZP342" s="4"/>
      <c r="ZQ342" s="4"/>
      <c r="ZR342" s="4"/>
      <c r="ZS342" s="5"/>
      <c r="ZT342" s="6"/>
      <c r="ZU342" s="4"/>
      <c r="ZV342" s="4"/>
      <c r="ZW342" s="4"/>
      <c r="ZX342" s="4"/>
      <c r="ZY342" s="4"/>
      <c r="ZZ342" s="5"/>
      <c r="AAA342" s="6"/>
      <c r="AAB342" s="4"/>
      <c r="AAC342" s="4"/>
      <c r="AAD342" s="4"/>
      <c r="AAE342" s="4"/>
      <c r="AAF342" s="4"/>
      <c r="AAG342" s="5"/>
      <c r="AAH342" s="6"/>
      <c r="AAI342" s="4"/>
      <c r="AAJ342" s="4"/>
      <c r="AAK342" s="4"/>
      <c r="AAL342" s="4"/>
      <c r="AAM342" s="4"/>
      <c r="AAN342" s="5"/>
      <c r="AAO342" s="6"/>
      <c r="AAP342" s="4"/>
      <c r="AAQ342" s="4"/>
      <c r="AAR342" s="4"/>
      <c r="AAS342" s="4"/>
      <c r="AAT342" s="4"/>
      <c r="AAU342" s="5"/>
      <c r="AAV342" s="6"/>
      <c r="AAW342" s="4"/>
      <c r="AAX342" s="4"/>
      <c r="AAY342" s="4"/>
      <c r="AAZ342" s="4"/>
      <c r="ABA342" s="4"/>
      <c r="ABB342" s="5"/>
      <c r="ABC342" s="6"/>
      <c r="ABD342" s="4"/>
      <c r="ABE342" s="4"/>
      <c r="ABF342" s="4"/>
      <c r="ABG342" s="4"/>
      <c r="ABH342" s="4"/>
      <c r="ABI342" s="5"/>
      <c r="ABJ342" s="6" t="s">
        <v>504</v>
      </c>
      <c r="ABK342" s="4" t="s">
        <v>505</v>
      </c>
      <c r="ABL342" s="4" t="s">
        <v>2987</v>
      </c>
      <c r="ABM342" s="7" t="s">
        <v>906</v>
      </c>
      <c r="ABN342" s="8">
        <v>37547</v>
      </c>
      <c r="ABO342" s="8">
        <v>37661</v>
      </c>
      <c r="ABP342" s="5" t="s">
        <v>198</v>
      </c>
      <c r="ABQ342" s="6"/>
      <c r="ABR342" s="4"/>
      <c r="ABS342" s="4"/>
      <c r="ABT342" s="4"/>
      <c r="ABU342" s="4"/>
      <c r="ABV342" s="4"/>
      <c r="ABW342" s="5"/>
      <c r="ABX342" s="6"/>
      <c r="ABY342" s="4"/>
      <c r="ABZ342" s="4"/>
      <c r="ACA342" s="4"/>
      <c r="ACB342" s="4"/>
      <c r="ACC342" s="4"/>
      <c r="ACD342" s="5"/>
      <c r="ACE342" s="6"/>
      <c r="ACF342" s="4"/>
      <c r="ACG342" s="4"/>
      <c r="ACH342" s="4"/>
      <c r="ACI342" s="4"/>
      <c r="ACJ342" s="4"/>
      <c r="ACK342" s="5"/>
      <c r="ACL342" s="6"/>
      <c r="ACM342" s="4"/>
      <c r="ACN342" s="4"/>
      <c r="ACO342" s="4"/>
      <c r="ACP342" s="4"/>
      <c r="ACQ342" s="4"/>
      <c r="ACR342" s="5"/>
      <c r="ACS342" s="6"/>
      <c r="ACT342" s="4"/>
      <c r="ACU342" s="4"/>
      <c r="ACV342" s="4"/>
      <c r="ACW342" s="4"/>
      <c r="ACX342" s="4"/>
      <c r="ACY342" s="5"/>
    </row>
    <row r="343" spans="2:805" x14ac:dyDescent="0.25">
      <c r="B343" s="30"/>
      <c r="J343" s="12"/>
      <c r="K343" s="12"/>
      <c r="L343" s="12"/>
      <c r="LL343" s="6"/>
      <c r="LM343" s="4"/>
      <c r="LN343" s="4"/>
      <c r="LO343" s="4"/>
      <c r="LP343" s="4"/>
      <c r="LQ343" s="4"/>
      <c r="LR343" s="5"/>
      <c r="LS343" s="6"/>
      <c r="LT343" s="4"/>
      <c r="LU343" s="4"/>
      <c r="LV343" s="4"/>
      <c r="LW343" s="4"/>
      <c r="LX343" s="4"/>
      <c r="LY343" s="5"/>
      <c r="LZ343" s="6" t="s">
        <v>1154</v>
      </c>
      <c r="MA343" s="7" t="s">
        <v>2525</v>
      </c>
      <c r="MB343" s="4"/>
      <c r="MC343" s="7"/>
      <c r="MD343" s="8">
        <v>37648</v>
      </c>
      <c r="ME343" s="8"/>
      <c r="MF343" s="8"/>
      <c r="MG343" s="5" t="s">
        <v>488</v>
      </c>
      <c r="MH343" s="6"/>
      <c r="MI343" s="4"/>
      <c r="MJ343" s="4"/>
      <c r="MK343" s="4"/>
      <c r="ML343" s="4"/>
      <c r="MM343" s="4"/>
      <c r="MN343" s="5"/>
      <c r="MO343" s="6"/>
      <c r="MP343" s="4"/>
      <c r="MQ343" s="4"/>
      <c r="MR343" s="4"/>
      <c r="MS343" s="4"/>
      <c r="MT343" s="4"/>
      <c r="MU343" s="5"/>
      <c r="MV343" s="6"/>
      <c r="MW343" s="4"/>
      <c r="MX343" s="4"/>
      <c r="MY343" s="4"/>
      <c r="MZ343" s="4"/>
      <c r="NA343" s="4"/>
      <c r="NB343" s="5"/>
      <c r="NC343" s="6"/>
      <c r="ND343" s="4"/>
      <c r="NE343" s="4"/>
      <c r="NF343" s="4"/>
      <c r="NG343" s="4"/>
      <c r="NH343" s="4"/>
      <c r="NI343" s="5"/>
      <c r="NJ343" s="6"/>
      <c r="NK343" s="4"/>
      <c r="NL343" s="4"/>
      <c r="NM343" s="4"/>
      <c r="NN343" s="4"/>
      <c r="NO343" s="4"/>
      <c r="NP343" s="5"/>
      <c r="NQ343" s="6"/>
      <c r="NR343" s="4"/>
      <c r="NS343" s="4"/>
      <c r="NT343" s="4"/>
      <c r="NU343" s="4"/>
      <c r="NV343" s="4"/>
      <c r="NW343" s="5"/>
      <c r="NX343" s="6"/>
      <c r="NY343" s="4"/>
      <c r="NZ343" s="4"/>
      <c r="OA343" s="4"/>
      <c r="OB343" s="4"/>
      <c r="OC343" s="4"/>
      <c r="OD343" s="5"/>
      <c r="OE343" s="6"/>
      <c r="OF343" s="4"/>
      <c r="OG343" s="4"/>
      <c r="OH343" s="4"/>
      <c r="OI343" s="4"/>
      <c r="OJ343" s="4"/>
      <c r="OK343" s="5"/>
      <c r="OL343" s="6"/>
      <c r="OM343" s="4"/>
      <c r="ON343" s="4"/>
      <c r="OO343" s="4"/>
      <c r="OP343" s="4"/>
      <c r="OQ343" s="4"/>
      <c r="OR343" s="5"/>
      <c r="OS343" s="6"/>
      <c r="OT343" s="4"/>
      <c r="OU343" s="4"/>
      <c r="OV343" s="4"/>
      <c r="OW343" s="4"/>
      <c r="OX343" s="4"/>
      <c r="OY343" s="5"/>
      <c r="OZ343" s="6"/>
      <c r="PA343" s="4"/>
      <c r="PB343" s="4"/>
      <c r="PC343" s="4"/>
      <c r="PD343" s="4"/>
      <c r="PE343" s="4"/>
      <c r="PF343" s="5"/>
      <c r="PG343" s="6"/>
      <c r="PH343" s="4"/>
      <c r="PI343" s="4"/>
      <c r="PJ343" s="4"/>
      <c r="PK343" s="4"/>
      <c r="PL343" s="4"/>
      <c r="PM343" s="5"/>
      <c r="PN343" s="6"/>
      <c r="PO343" s="4"/>
      <c r="PP343" s="4"/>
      <c r="PQ343" s="4"/>
      <c r="PR343" s="4"/>
      <c r="PS343" s="4"/>
      <c r="PT343" s="5"/>
      <c r="PU343" s="6"/>
      <c r="PV343" s="4"/>
      <c r="PW343" s="4"/>
      <c r="PX343" s="4"/>
      <c r="PY343" s="4"/>
      <c r="PZ343" s="4"/>
      <c r="QA343" s="5"/>
      <c r="QB343" s="6"/>
      <c r="QC343" s="4"/>
      <c r="QD343" s="4"/>
      <c r="QE343" s="4"/>
      <c r="QF343" s="4"/>
      <c r="QG343" s="4"/>
      <c r="QH343" s="5"/>
      <c r="QI343" s="6"/>
      <c r="QJ343" s="4"/>
      <c r="QK343" s="4"/>
      <c r="QL343" s="4"/>
      <c r="QM343" s="4"/>
      <c r="QN343" s="4"/>
      <c r="QO343" s="5"/>
      <c r="QP343" s="6"/>
      <c r="QQ343" s="4"/>
      <c r="QR343" s="4"/>
      <c r="QS343" s="4"/>
      <c r="QT343" s="4"/>
      <c r="QU343" s="4"/>
      <c r="QV343" s="5"/>
      <c r="QW343" s="6"/>
      <c r="QX343" s="4"/>
      <c r="QY343" s="4"/>
      <c r="QZ343" s="4"/>
      <c r="RA343" s="4"/>
      <c r="RB343" s="4"/>
      <c r="RC343" s="5"/>
      <c r="RD343" s="6"/>
      <c r="RE343" s="4"/>
      <c r="RF343" s="4"/>
      <c r="RG343" s="4"/>
      <c r="RH343" s="4"/>
      <c r="RI343" s="4"/>
      <c r="RJ343" s="5"/>
      <c r="RK343" s="6"/>
      <c r="RL343" s="4"/>
      <c r="RM343" s="4"/>
      <c r="RN343" s="4"/>
      <c r="RO343" s="4"/>
      <c r="RP343" s="4"/>
      <c r="RQ343" s="5"/>
      <c r="RR343" s="6"/>
      <c r="RS343" s="4"/>
      <c r="RT343" s="4"/>
      <c r="RU343" s="4"/>
      <c r="RV343" s="4"/>
      <c r="RW343" s="4"/>
      <c r="RX343" s="5"/>
      <c r="RY343" s="6"/>
      <c r="RZ343" s="4"/>
      <c r="SA343" s="4"/>
      <c r="SB343" s="4"/>
      <c r="SC343" s="4"/>
      <c r="SD343" s="4"/>
      <c r="SE343" s="5"/>
      <c r="SF343" s="6"/>
      <c r="SG343" s="4"/>
      <c r="SH343" s="4"/>
      <c r="SI343" s="4"/>
      <c r="SJ343" s="4"/>
      <c r="SK343" s="4"/>
      <c r="SL343" s="5"/>
      <c r="SM343" s="6"/>
      <c r="SN343" s="4"/>
      <c r="SO343" s="4"/>
      <c r="SP343" s="4"/>
      <c r="SQ343" s="4"/>
      <c r="SR343" s="4"/>
      <c r="SS343" s="5"/>
      <c r="ST343" s="6"/>
      <c r="SU343" s="4"/>
      <c r="SV343" s="4"/>
      <c r="SW343" s="4"/>
      <c r="SX343" s="4"/>
      <c r="SY343" s="4"/>
      <c r="SZ343" s="5"/>
      <c r="TA343" s="6"/>
      <c r="TB343" s="4"/>
      <c r="TC343" s="4"/>
      <c r="TD343" s="4"/>
      <c r="TE343" s="4"/>
      <c r="TF343" s="4"/>
      <c r="TG343" s="5"/>
      <c r="TH343" s="6"/>
      <c r="TI343" s="4"/>
      <c r="TJ343" s="4"/>
      <c r="TK343" s="4"/>
      <c r="TL343" s="4"/>
      <c r="TM343" s="4"/>
      <c r="TN343" s="5"/>
      <c r="TO343" s="6"/>
      <c r="TP343" s="4"/>
      <c r="TQ343" s="4"/>
      <c r="TR343" s="7"/>
      <c r="TS343" s="8"/>
      <c r="TT343" s="8"/>
      <c r="TU343" s="5"/>
      <c r="TV343" s="6"/>
      <c r="TW343" s="4"/>
      <c r="TX343" s="4"/>
      <c r="TY343" s="4"/>
      <c r="TZ343" s="4"/>
      <c r="UA343" s="4"/>
      <c r="UB343" s="5"/>
      <c r="UC343" s="6"/>
      <c r="UD343" s="4"/>
      <c r="UE343" s="4"/>
      <c r="UF343" s="4"/>
      <c r="UG343" s="4"/>
      <c r="UH343" s="4"/>
      <c r="UI343" s="5"/>
      <c r="UJ343" s="6"/>
      <c r="UK343" s="4"/>
      <c r="UL343" s="4"/>
      <c r="UM343" s="4"/>
      <c r="UN343" s="4"/>
      <c r="UO343" s="4"/>
      <c r="UP343" s="5"/>
      <c r="UQ343" s="6"/>
      <c r="UR343" s="4"/>
      <c r="US343" s="4"/>
      <c r="UT343" s="4"/>
      <c r="UU343" s="4"/>
      <c r="UV343" s="4"/>
      <c r="UW343" s="5"/>
      <c r="UX343" s="6"/>
      <c r="UY343" s="4"/>
      <c r="UZ343" s="4"/>
      <c r="VA343" s="4"/>
      <c r="VB343" s="4"/>
      <c r="VC343" s="4"/>
      <c r="VD343" s="5"/>
      <c r="VE343" s="6"/>
      <c r="VF343" s="4"/>
      <c r="VG343" s="4"/>
      <c r="VH343" s="4"/>
      <c r="VI343" s="8"/>
      <c r="VJ343" s="8"/>
      <c r="VK343" s="5"/>
      <c r="VL343" s="6"/>
      <c r="VM343" s="4"/>
      <c r="VN343" s="4"/>
      <c r="VO343" s="4"/>
      <c r="VP343" s="4"/>
      <c r="VQ343" s="4"/>
      <c r="VR343" s="5"/>
      <c r="VS343" s="6"/>
      <c r="VT343" s="4"/>
      <c r="VU343" s="4"/>
      <c r="VV343" s="4"/>
      <c r="VW343" s="4"/>
      <c r="VX343" s="4"/>
      <c r="VY343" s="5"/>
      <c r="VZ343" s="6"/>
      <c r="WA343" s="4"/>
      <c r="WB343" s="4"/>
      <c r="WC343" s="4"/>
      <c r="WD343" s="4"/>
      <c r="WE343" s="4"/>
      <c r="WF343" s="5"/>
      <c r="WG343" s="6"/>
      <c r="WH343" s="4"/>
      <c r="WI343" s="4"/>
      <c r="WJ343" s="4"/>
      <c r="WK343" s="4"/>
      <c r="WL343" s="4"/>
      <c r="WM343" s="5"/>
      <c r="WN343" s="6"/>
      <c r="WO343" s="4"/>
      <c r="WP343" s="4"/>
      <c r="WQ343" s="4"/>
      <c r="WR343" s="4"/>
      <c r="WS343" s="4"/>
      <c r="WT343" s="5"/>
      <c r="WU343" s="6"/>
      <c r="WV343" s="4"/>
      <c r="WW343" s="4"/>
      <c r="WX343" s="4"/>
      <c r="WY343" s="4"/>
      <c r="WZ343" s="4"/>
      <c r="XA343" s="5"/>
      <c r="XB343" s="6"/>
      <c r="XC343" s="4"/>
      <c r="XD343" s="4"/>
      <c r="XE343" s="4"/>
      <c r="XF343" s="4"/>
      <c r="XG343" s="4"/>
      <c r="XH343" s="5"/>
      <c r="XI343" s="6"/>
      <c r="XJ343" s="4"/>
      <c r="XK343" s="4"/>
      <c r="XL343" s="4"/>
      <c r="XM343" s="4"/>
      <c r="XN343" s="4"/>
      <c r="XO343" s="5"/>
      <c r="XP343" s="6"/>
      <c r="XQ343" s="4"/>
      <c r="XR343" s="4"/>
      <c r="XS343" s="4"/>
      <c r="XT343" s="4"/>
      <c r="XU343" s="4"/>
      <c r="XV343" s="5"/>
      <c r="XW343" s="6"/>
      <c r="XX343" s="4"/>
      <c r="XY343" s="4"/>
      <c r="XZ343" s="4"/>
      <c r="YA343" s="4"/>
      <c r="YB343" s="4"/>
      <c r="YC343" s="5"/>
      <c r="YD343" s="6"/>
      <c r="YE343" s="4"/>
      <c r="YF343" s="4"/>
      <c r="YG343" s="4"/>
      <c r="YH343" s="4"/>
      <c r="YI343" s="4"/>
      <c r="YJ343" s="5"/>
      <c r="YK343" s="6"/>
      <c r="YL343" s="4"/>
      <c r="YM343" s="4"/>
      <c r="YN343" s="4"/>
      <c r="YO343" s="8"/>
      <c r="YP343" s="8"/>
      <c r="YQ343" s="5"/>
      <c r="YR343" s="6"/>
      <c r="YS343" s="4"/>
      <c r="YT343" s="4"/>
      <c r="YU343" s="4"/>
      <c r="YV343" s="4"/>
      <c r="YW343" s="4"/>
      <c r="YX343" s="5"/>
      <c r="YY343" s="6"/>
      <c r="YZ343" s="4"/>
      <c r="ZA343" s="4"/>
      <c r="ZB343" s="4"/>
      <c r="ZC343" s="4"/>
      <c r="ZD343" s="4"/>
      <c r="ZE343" s="5"/>
      <c r="ZF343" s="6"/>
      <c r="ZG343" s="4"/>
      <c r="ZH343" s="4"/>
      <c r="ZI343" s="4"/>
      <c r="ZJ343" s="4"/>
      <c r="ZK343" s="4"/>
      <c r="ZL343" s="5"/>
      <c r="ZM343" s="6"/>
      <c r="ZN343" s="4"/>
      <c r="ZO343" s="4"/>
      <c r="ZP343" s="4"/>
      <c r="ZQ343" s="4"/>
      <c r="ZR343" s="4"/>
      <c r="ZS343" s="5"/>
      <c r="ZT343" s="6"/>
      <c r="ZU343" s="4"/>
      <c r="ZV343" s="4"/>
      <c r="ZW343" s="4"/>
      <c r="ZX343" s="4"/>
      <c r="ZY343" s="4"/>
      <c r="ZZ343" s="5"/>
      <c r="AAA343" s="6"/>
      <c r="AAB343" s="4"/>
      <c r="AAC343" s="4"/>
      <c r="AAD343" s="4"/>
      <c r="AAE343" s="4"/>
      <c r="AAF343" s="4"/>
      <c r="AAG343" s="5"/>
      <c r="AAH343" s="6"/>
      <c r="AAI343" s="4"/>
      <c r="AAJ343" s="4"/>
      <c r="AAK343" s="4"/>
      <c r="AAL343" s="4"/>
      <c r="AAM343" s="4"/>
      <c r="AAN343" s="5"/>
      <c r="AAO343" s="6"/>
      <c r="AAP343" s="4"/>
      <c r="AAQ343" s="4"/>
      <c r="AAR343" s="4"/>
      <c r="AAS343" s="4"/>
      <c r="AAT343" s="4"/>
      <c r="AAU343" s="5"/>
      <c r="AAV343" s="6"/>
      <c r="AAW343" s="4"/>
      <c r="AAX343" s="4"/>
      <c r="AAY343" s="4"/>
      <c r="AAZ343" s="4"/>
      <c r="ABA343" s="4"/>
      <c r="ABB343" s="5"/>
      <c r="ABC343" s="6"/>
      <c r="ABD343" s="4"/>
      <c r="ABE343" s="4"/>
      <c r="ABF343" s="4"/>
      <c r="ABG343" s="4"/>
      <c r="ABH343" s="4"/>
      <c r="ABI343" s="5"/>
      <c r="ABJ343" s="6"/>
      <c r="ABK343" s="4"/>
      <c r="ABL343" s="4"/>
      <c r="ABM343" s="4"/>
      <c r="ABN343" s="4"/>
      <c r="ABO343" s="4"/>
      <c r="ABP343" s="5"/>
      <c r="ABQ343" s="6"/>
      <c r="ABR343" s="4"/>
      <c r="ABS343" s="4"/>
      <c r="ABT343" s="4"/>
      <c r="ABU343" s="4"/>
      <c r="ABV343" s="4"/>
      <c r="ABW343" s="5"/>
      <c r="ABX343" s="6"/>
      <c r="ABY343" s="4"/>
      <c r="ABZ343" s="4"/>
      <c r="ACA343" s="4"/>
      <c r="ACB343" s="4"/>
      <c r="ACC343" s="4"/>
      <c r="ACD343" s="5"/>
      <c r="ACE343" s="6"/>
      <c r="ACF343" s="4"/>
      <c r="ACG343" s="4"/>
      <c r="ACH343" s="4"/>
      <c r="ACI343" s="4"/>
      <c r="ACJ343" s="4"/>
      <c r="ACK343" s="5"/>
      <c r="ACL343" s="6"/>
      <c r="ACM343" s="4"/>
      <c r="ACN343" s="4"/>
      <c r="ACO343" s="4"/>
      <c r="ACP343" s="4"/>
      <c r="ACQ343" s="4"/>
      <c r="ACR343" s="5"/>
      <c r="ACS343" s="6"/>
      <c r="ACT343" s="4"/>
      <c r="ACU343" s="4"/>
      <c r="ACV343" s="4"/>
      <c r="ACW343" s="4"/>
      <c r="ACX343" s="4"/>
      <c r="ACY343" s="5"/>
    </row>
    <row r="344" spans="2:805" x14ac:dyDescent="0.25">
      <c r="B344" s="30"/>
      <c r="J344" s="12"/>
      <c r="K344" s="12"/>
      <c r="L344" s="12"/>
      <c r="LL344" s="6"/>
      <c r="LM344" s="4"/>
      <c r="LN344" s="4"/>
      <c r="LO344" s="4"/>
      <c r="LP344" s="4"/>
      <c r="LQ344" s="4"/>
      <c r="LR344" s="5"/>
      <c r="LS344" s="6"/>
      <c r="LT344" s="4"/>
      <c r="LU344" s="4"/>
      <c r="LV344" s="4"/>
      <c r="LW344" s="4"/>
      <c r="LX344" s="4"/>
      <c r="LY344" s="5"/>
      <c r="LZ344" s="6" t="s">
        <v>1154</v>
      </c>
      <c r="MA344" s="7" t="s">
        <v>2525</v>
      </c>
      <c r="MB344" s="4" t="s">
        <v>2743</v>
      </c>
      <c r="MC344" s="7" t="s">
        <v>2152</v>
      </c>
      <c r="MD344" s="8">
        <v>37648</v>
      </c>
      <c r="ME344" s="8">
        <v>37687</v>
      </c>
      <c r="MF344" s="8"/>
      <c r="MG344" s="5" t="s">
        <v>488</v>
      </c>
      <c r="MH344" s="6"/>
      <c r="MI344" s="4"/>
      <c r="MJ344" s="4"/>
      <c r="MK344" s="4"/>
      <c r="ML344" s="4"/>
      <c r="MM344" s="4"/>
      <c r="MN344" s="5"/>
      <c r="MO344" s="6"/>
      <c r="MP344" s="4"/>
      <c r="MQ344" s="4"/>
      <c r="MR344" s="4"/>
      <c r="MS344" s="4"/>
      <c r="MT344" s="4"/>
      <c r="MU344" s="5"/>
      <c r="MV344" s="6"/>
      <c r="MW344" s="4"/>
      <c r="MX344" s="4"/>
      <c r="MY344" s="4"/>
      <c r="MZ344" s="4"/>
      <c r="NA344" s="4"/>
      <c r="NB344" s="5"/>
      <c r="NC344" s="6"/>
      <c r="ND344" s="4"/>
      <c r="NE344" s="4"/>
      <c r="NF344" s="4"/>
      <c r="NG344" s="4"/>
      <c r="NH344" s="4"/>
      <c r="NI344" s="5"/>
      <c r="NJ344" s="6"/>
      <c r="NK344" s="4"/>
      <c r="NL344" s="4"/>
      <c r="NM344" s="4"/>
      <c r="NN344" s="4"/>
      <c r="NO344" s="4"/>
      <c r="NP344" s="5"/>
      <c r="NQ344" s="6"/>
      <c r="NR344" s="4"/>
      <c r="NS344" s="4"/>
      <c r="NT344" s="4"/>
      <c r="NU344" s="4"/>
      <c r="NV344" s="4"/>
      <c r="NW344" s="5"/>
      <c r="NX344" s="6"/>
      <c r="NY344" s="4"/>
      <c r="NZ344" s="4"/>
      <c r="OA344" s="4"/>
      <c r="OB344" s="4"/>
      <c r="OC344" s="4"/>
      <c r="OD344" s="5"/>
      <c r="OE344" s="6"/>
      <c r="OF344" s="4"/>
      <c r="OG344" s="4"/>
      <c r="OH344" s="4"/>
      <c r="OI344" s="4"/>
      <c r="OJ344" s="4"/>
      <c r="OK344" s="5"/>
      <c r="OL344" s="6"/>
      <c r="OM344" s="4"/>
      <c r="ON344" s="4"/>
      <c r="OO344" s="4"/>
      <c r="OP344" s="4"/>
      <c r="OQ344" s="4"/>
      <c r="OR344" s="5"/>
      <c r="OS344" s="6"/>
      <c r="OT344" s="4"/>
      <c r="OU344" s="4"/>
      <c r="OV344" s="4"/>
      <c r="OW344" s="4"/>
      <c r="OX344" s="4"/>
      <c r="OY344" s="5"/>
      <c r="OZ344" s="6"/>
      <c r="PA344" s="4"/>
      <c r="PB344" s="4"/>
      <c r="PC344" s="4"/>
      <c r="PD344" s="4"/>
      <c r="PE344" s="4"/>
      <c r="PF344" s="5"/>
      <c r="PG344" s="6"/>
      <c r="PH344" s="4"/>
      <c r="PI344" s="4"/>
      <c r="PJ344" s="4"/>
      <c r="PK344" s="4"/>
      <c r="PL344" s="4"/>
      <c r="PM344" s="5"/>
      <c r="PN344" s="6"/>
      <c r="PO344" s="4"/>
      <c r="PP344" s="4"/>
      <c r="PQ344" s="4"/>
      <c r="PR344" s="4"/>
      <c r="PS344" s="4"/>
      <c r="PT344" s="5"/>
      <c r="PU344" s="6"/>
      <c r="PV344" s="4"/>
      <c r="PW344" s="4"/>
      <c r="PX344" s="4"/>
      <c r="PY344" s="4"/>
      <c r="PZ344" s="4"/>
      <c r="QA344" s="5"/>
      <c r="QB344" s="6"/>
      <c r="QC344" s="4"/>
      <c r="QD344" s="4"/>
      <c r="QE344" s="4"/>
      <c r="QF344" s="4"/>
      <c r="QG344" s="4"/>
      <c r="QH344" s="5"/>
      <c r="QI344" s="6"/>
      <c r="QJ344" s="4"/>
      <c r="QK344" s="4"/>
      <c r="QL344" s="4"/>
      <c r="QM344" s="4"/>
      <c r="QN344" s="4"/>
      <c r="QO344" s="5"/>
      <c r="QP344" s="6"/>
      <c r="QQ344" s="4"/>
      <c r="QR344" s="4"/>
      <c r="QS344" s="4"/>
      <c r="QT344" s="4"/>
      <c r="QU344" s="4"/>
      <c r="QV344" s="5"/>
      <c r="QW344" s="6"/>
      <c r="QX344" s="4"/>
      <c r="QY344" s="4"/>
      <c r="QZ344" s="4"/>
      <c r="RA344" s="4"/>
      <c r="RB344" s="4"/>
      <c r="RC344" s="5"/>
      <c r="RD344" s="6"/>
      <c r="RE344" s="4"/>
      <c r="RF344" s="4"/>
      <c r="RG344" s="4"/>
      <c r="RH344" s="4"/>
      <c r="RI344" s="4"/>
      <c r="RJ344" s="5"/>
      <c r="RK344" s="6"/>
      <c r="RL344" s="4"/>
      <c r="RM344" s="4"/>
      <c r="RN344" s="4"/>
      <c r="RO344" s="4"/>
      <c r="RP344" s="4"/>
      <c r="RQ344" s="5"/>
      <c r="RR344" s="6"/>
      <c r="RS344" s="4"/>
      <c r="RT344" s="4"/>
      <c r="RU344" s="4"/>
      <c r="RV344" s="4"/>
      <c r="RW344" s="4"/>
      <c r="RX344" s="5"/>
      <c r="RY344" s="6"/>
      <c r="RZ344" s="4"/>
      <c r="SA344" s="4"/>
      <c r="SB344" s="4"/>
      <c r="SC344" s="4"/>
      <c r="SD344" s="4"/>
      <c r="SE344" s="5"/>
      <c r="SF344" s="6"/>
      <c r="SG344" s="4"/>
      <c r="SH344" s="4"/>
      <c r="SI344" s="4"/>
      <c r="SJ344" s="4"/>
      <c r="SK344" s="4"/>
      <c r="SL344" s="5"/>
      <c r="SM344" s="6"/>
      <c r="SN344" s="4"/>
      <c r="SO344" s="4"/>
      <c r="SP344" s="4"/>
      <c r="SQ344" s="4"/>
      <c r="SR344" s="4"/>
      <c r="SS344" s="5"/>
      <c r="ST344" s="6"/>
      <c r="SU344" s="4"/>
      <c r="SV344" s="4"/>
      <c r="SW344" s="4"/>
      <c r="SX344" s="4"/>
      <c r="SY344" s="4"/>
      <c r="SZ344" s="5"/>
      <c r="TA344" s="6"/>
      <c r="TB344" s="4"/>
      <c r="TC344" s="4"/>
      <c r="TD344" s="4"/>
      <c r="TE344" s="4"/>
      <c r="TF344" s="4"/>
      <c r="TG344" s="5"/>
      <c r="TH344" s="6"/>
      <c r="TI344" s="4"/>
      <c r="TJ344" s="4"/>
      <c r="TK344" s="4"/>
      <c r="TL344" s="4"/>
      <c r="TM344" s="4"/>
      <c r="TN344" s="5"/>
      <c r="TO344" s="6"/>
      <c r="TP344" s="4"/>
      <c r="TQ344" s="4"/>
      <c r="TR344" s="7"/>
      <c r="TS344" s="8"/>
      <c r="TT344" s="8"/>
      <c r="TU344" s="5"/>
      <c r="TV344" s="6"/>
      <c r="TW344" s="4"/>
      <c r="TX344" s="4"/>
      <c r="TY344" s="4"/>
      <c r="TZ344" s="4"/>
      <c r="UA344" s="4"/>
      <c r="UB344" s="5"/>
      <c r="UC344" s="6"/>
      <c r="UD344" s="4"/>
      <c r="UE344" s="4"/>
      <c r="UF344" s="4"/>
      <c r="UG344" s="4"/>
      <c r="UH344" s="4"/>
      <c r="UI344" s="5"/>
      <c r="UJ344" s="6"/>
      <c r="UK344" s="4"/>
      <c r="UL344" s="4"/>
      <c r="UM344" s="4"/>
      <c r="UN344" s="4"/>
      <c r="UO344" s="4"/>
      <c r="UP344" s="5"/>
      <c r="UQ344" s="6"/>
      <c r="UR344" s="4"/>
      <c r="US344" s="4"/>
      <c r="UT344" s="4"/>
      <c r="UU344" s="4"/>
      <c r="UV344" s="4"/>
      <c r="UW344" s="5"/>
      <c r="UX344" s="6"/>
      <c r="UY344" s="4"/>
      <c r="UZ344" s="4"/>
      <c r="VA344" s="4"/>
      <c r="VB344" s="4"/>
      <c r="VC344" s="4"/>
      <c r="VD344" s="5"/>
      <c r="VE344" s="6"/>
      <c r="VF344" s="4"/>
      <c r="VG344" s="4"/>
      <c r="VH344" s="4"/>
      <c r="VI344" s="8"/>
      <c r="VJ344" s="8"/>
      <c r="VK344" s="5"/>
      <c r="VL344" s="6"/>
      <c r="VM344" s="4"/>
      <c r="VN344" s="4"/>
      <c r="VO344" s="4"/>
      <c r="VP344" s="4"/>
      <c r="VQ344" s="4"/>
      <c r="VR344" s="5"/>
      <c r="VS344" s="6"/>
      <c r="VT344" s="4"/>
      <c r="VU344" s="4"/>
      <c r="VV344" s="4"/>
      <c r="VW344" s="4"/>
      <c r="VX344" s="4"/>
      <c r="VY344" s="5"/>
      <c r="VZ344" s="6"/>
      <c r="WA344" s="4"/>
      <c r="WB344" s="4"/>
      <c r="WC344" s="4"/>
      <c r="WD344" s="4"/>
      <c r="WE344" s="4"/>
      <c r="WF344" s="5"/>
      <c r="WG344" s="6"/>
      <c r="WH344" s="4"/>
      <c r="WI344" s="4"/>
      <c r="WJ344" s="4"/>
      <c r="WK344" s="4"/>
      <c r="WL344" s="4"/>
      <c r="WM344" s="5"/>
      <c r="WN344" s="6"/>
      <c r="WO344" s="4"/>
      <c r="WP344" s="4"/>
      <c r="WQ344" s="4"/>
      <c r="WR344" s="4"/>
      <c r="WS344" s="4"/>
      <c r="WT344" s="5"/>
      <c r="WU344" s="6"/>
      <c r="WV344" s="4"/>
      <c r="WW344" s="4"/>
      <c r="WX344" s="4"/>
      <c r="WY344" s="4"/>
      <c r="WZ344" s="4"/>
      <c r="XA344" s="5"/>
      <c r="XB344" s="6"/>
      <c r="XC344" s="4"/>
      <c r="XD344" s="4"/>
      <c r="XE344" s="4"/>
      <c r="XF344" s="4"/>
      <c r="XG344" s="4"/>
      <c r="XH344" s="5"/>
      <c r="XI344" s="6"/>
      <c r="XJ344" s="4"/>
      <c r="XK344" s="4"/>
      <c r="XL344" s="4"/>
      <c r="XM344" s="4"/>
      <c r="XN344" s="4"/>
      <c r="XO344" s="5"/>
      <c r="XP344" s="6"/>
      <c r="XQ344" s="4"/>
      <c r="XR344" s="4"/>
      <c r="XS344" s="4"/>
      <c r="XT344" s="4"/>
      <c r="XU344" s="4"/>
      <c r="XV344" s="5"/>
      <c r="XW344" s="6"/>
      <c r="XX344" s="4"/>
      <c r="XY344" s="4"/>
      <c r="XZ344" s="4"/>
      <c r="YA344" s="4"/>
      <c r="YB344" s="4"/>
      <c r="YC344" s="5"/>
      <c r="YD344" s="6"/>
      <c r="YE344" s="4"/>
      <c r="YF344" s="4"/>
      <c r="YG344" s="4"/>
      <c r="YH344" s="4"/>
      <c r="YI344" s="4"/>
      <c r="YJ344" s="5"/>
      <c r="YK344" s="6"/>
      <c r="YL344" s="4"/>
      <c r="YM344" s="4"/>
      <c r="YN344" s="4"/>
      <c r="YO344" s="8"/>
      <c r="YP344" s="8"/>
      <c r="YQ344" s="5"/>
      <c r="YR344" s="6"/>
      <c r="YS344" s="4"/>
      <c r="YT344" s="4"/>
      <c r="YU344" s="4"/>
      <c r="YV344" s="4"/>
      <c r="YW344" s="4"/>
      <c r="YX344" s="5"/>
      <c r="YY344" s="6"/>
      <c r="YZ344" s="4"/>
      <c r="ZA344" s="4"/>
      <c r="ZB344" s="4"/>
      <c r="ZC344" s="4"/>
      <c r="ZD344" s="4"/>
      <c r="ZE344" s="5"/>
      <c r="ZF344" s="6"/>
      <c r="ZG344" s="4"/>
      <c r="ZH344" s="4"/>
      <c r="ZI344" s="4"/>
      <c r="ZJ344" s="4"/>
      <c r="ZK344" s="4"/>
      <c r="ZL344" s="5"/>
      <c r="ZM344" s="6"/>
      <c r="ZN344" s="4"/>
      <c r="ZO344" s="4"/>
      <c r="ZP344" s="4"/>
      <c r="ZQ344" s="4"/>
      <c r="ZR344" s="4"/>
      <c r="ZS344" s="5"/>
      <c r="ZT344" s="6"/>
      <c r="ZU344" s="4"/>
      <c r="ZV344" s="4"/>
      <c r="ZW344" s="4"/>
      <c r="ZX344" s="4"/>
      <c r="ZY344" s="4"/>
      <c r="ZZ344" s="5"/>
      <c r="AAA344" s="6"/>
      <c r="AAB344" s="4"/>
      <c r="AAC344" s="4"/>
      <c r="AAD344" s="4"/>
      <c r="AAE344" s="4"/>
      <c r="AAF344" s="4"/>
      <c r="AAG344" s="5"/>
      <c r="AAH344" s="6"/>
      <c r="AAI344" s="4"/>
      <c r="AAJ344" s="4"/>
      <c r="AAK344" s="4"/>
      <c r="AAL344" s="4"/>
      <c r="AAM344" s="4"/>
      <c r="AAN344" s="5"/>
      <c r="AAO344" s="6"/>
      <c r="AAP344" s="4"/>
      <c r="AAQ344" s="4"/>
      <c r="AAR344" s="4"/>
      <c r="AAS344" s="4"/>
      <c r="AAT344" s="4"/>
      <c r="AAU344" s="5"/>
      <c r="AAV344" s="6"/>
      <c r="AAW344" s="4"/>
      <c r="AAX344" s="4"/>
      <c r="AAY344" s="4"/>
      <c r="AAZ344" s="4"/>
      <c r="ABA344" s="4"/>
      <c r="ABB344" s="5"/>
      <c r="ABC344" s="6"/>
      <c r="ABD344" s="4"/>
      <c r="ABE344" s="4"/>
      <c r="ABF344" s="4"/>
      <c r="ABG344" s="4"/>
      <c r="ABH344" s="4"/>
      <c r="ABI344" s="5"/>
      <c r="ABJ344" s="6"/>
      <c r="ABK344" s="4"/>
      <c r="ABL344" s="4"/>
      <c r="ABM344" s="4"/>
      <c r="ABN344" s="4"/>
      <c r="ABO344" s="4"/>
      <c r="ABP344" s="5"/>
      <c r="ABQ344" s="6"/>
      <c r="ABR344" s="4"/>
      <c r="ABS344" s="4"/>
      <c r="ABT344" s="4"/>
      <c r="ABU344" s="4"/>
      <c r="ABV344" s="4"/>
      <c r="ABW344" s="5"/>
      <c r="ABX344" s="6"/>
      <c r="ABY344" s="4"/>
      <c r="ABZ344" s="4"/>
      <c r="ACA344" s="4"/>
      <c r="ACB344" s="4"/>
      <c r="ACC344" s="4"/>
      <c r="ACD344" s="5"/>
      <c r="ACE344" s="6"/>
      <c r="ACF344" s="4"/>
      <c r="ACG344" s="4"/>
      <c r="ACH344" s="4"/>
      <c r="ACI344" s="4"/>
      <c r="ACJ344" s="4"/>
      <c r="ACK344" s="5"/>
      <c r="ACL344" s="6"/>
      <c r="ACM344" s="4"/>
      <c r="ACN344" s="4"/>
      <c r="ACO344" s="4"/>
      <c r="ACP344" s="4"/>
      <c r="ACQ344" s="4"/>
      <c r="ACR344" s="5"/>
      <c r="ACS344" s="6"/>
      <c r="ACT344" s="4"/>
      <c r="ACU344" s="4"/>
      <c r="ACV344" s="4"/>
      <c r="ACW344" s="4"/>
      <c r="ACX344" s="4"/>
      <c r="ACY344" s="5"/>
    </row>
    <row r="345" spans="2:805" x14ac:dyDescent="0.25">
      <c r="B345" s="30"/>
      <c r="J345" s="12"/>
      <c r="K345" s="12"/>
      <c r="L345" s="12"/>
      <c r="LL345" s="6"/>
      <c r="LM345" s="4"/>
      <c r="LN345" s="4"/>
      <c r="LO345" s="4"/>
      <c r="LP345" s="4"/>
      <c r="LQ345" s="4"/>
      <c r="LR345" s="5"/>
      <c r="LS345" s="6"/>
      <c r="LT345" s="4"/>
      <c r="LU345" s="4"/>
      <c r="LV345" s="4"/>
      <c r="LW345" s="4"/>
      <c r="LX345" s="4"/>
      <c r="LY345" s="5"/>
      <c r="LZ345" s="6" t="s">
        <v>907</v>
      </c>
      <c r="MA345" s="7" t="s">
        <v>2506</v>
      </c>
      <c r="MB345" s="4" t="s">
        <v>763</v>
      </c>
      <c r="MC345" s="7" t="s">
        <v>764</v>
      </c>
      <c r="MD345" s="8">
        <v>37578</v>
      </c>
      <c r="ME345" s="8">
        <v>37665</v>
      </c>
      <c r="MF345" s="8"/>
      <c r="MG345" s="5" t="s">
        <v>437</v>
      </c>
      <c r="MH345" s="6"/>
      <c r="MI345" s="4"/>
      <c r="MJ345" s="4"/>
      <c r="MK345" s="4"/>
      <c r="ML345" s="4"/>
      <c r="MM345" s="4"/>
      <c r="MN345" s="5"/>
      <c r="MO345" s="6"/>
      <c r="MP345" s="4"/>
      <c r="MQ345" s="4"/>
      <c r="MR345" s="4"/>
      <c r="MS345" s="4"/>
      <c r="MT345" s="4"/>
      <c r="MU345" s="5"/>
      <c r="MV345" s="6"/>
      <c r="MW345" s="4"/>
      <c r="MX345" s="4"/>
      <c r="MY345" s="4"/>
      <c r="MZ345" s="4"/>
      <c r="NA345" s="4"/>
      <c r="NB345" s="5"/>
      <c r="NC345" s="6"/>
      <c r="ND345" s="4"/>
      <c r="NE345" s="4"/>
      <c r="NF345" s="4"/>
      <c r="NG345" s="4"/>
      <c r="NH345" s="4"/>
      <c r="NI345" s="5"/>
      <c r="NJ345" s="6"/>
      <c r="NK345" s="4"/>
      <c r="NL345" s="4"/>
      <c r="NM345" s="4"/>
      <c r="NN345" s="4"/>
      <c r="NO345" s="4"/>
      <c r="NP345" s="5"/>
      <c r="NQ345" s="6"/>
      <c r="NR345" s="4"/>
      <c r="NS345" s="4"/>
      <c r="NT345" s="4"/>
      <c r="NU345" s="4"/>
      <c r="NV345" s="4"/>
      <c r="NW345" s="5"/>
      <c r="NX345" s="6"/>
      <c r="NY345" s="4"/>
      <c r="NZ345" s="4"/>
      <c r="OA345" s="4"/>
      <c r="OB345" s="4"/>
      <c r="OC345" s="4"/>
      <c r="OD345" s="5"/>
      <c r="OE345" s="6"/>
      <c r="OF345" s="4"/>
      <c r="OG345" s="4"/>
      <c r="OH345" s="4"/>
      <c r="OI345" s="4"/>
      <c r="OJ345" s="4"/>
      <c r="OK345" s="5"/>
      <c r="OL345" s="6"/>
      <c r="OM345" s="4"/>
      <c r="ON345" s="4"/>
      <c r="OO345" s="4"/>
      <c r="OP345" s="4"/>
      <c r="OQ345" s="4"/>
      <c r="OR345" s="5"/>
      <c r="OS345" s="6"/>
      <c r="OT345" s="4"/>
      <c r="OU345" s="4"/>
      <c r="OV345" s="4"/>
      <c r="OW345" s="4"/>
      <c r="OX345" s="4"/>
      <c r="OY345" s="5"/>
      <c r="OZ345" s="6"/>
      <c r="PA345" s="4"/>
      <c r="PB345" s="4"/>
      <c r="PC345" s="4"/>
      <c r="PD345" s="4"/>
      <c r="PE345" s="4"/>
      <c r="PF345" s="5"/>
      <c r="PG345" s="6"/>
      <c r="PH345" s="4"/>
      <c r="PI345" s="4"/>
      <c r="PJ345" s="4"/>
      <c r="PK345" s="4"/>
      <c r="PL345" s="4"/>
      <c r="PM345" s="5"/>
      <c r="PN345" s="6"/>
      <c r="PO345" s="4"/>
      <c r="PP345" s="4"/>
      <c r="PQ345" s="4"/>
      <c r="PR345" s="4"/>
      <c r="PS345" s="4"/>
      <c r="PT345" s="5"/>
      <c r="PU345" s="6"/>
      <c r="PV345" s="4"/>
      <c r="PW345" s="4"/>
      <c r="PX345" s="4"/>
      <c r="PY345" s="4"/>
      <c r="PZ345" s="4"/>
      <c r="QA345" s="5"/>
      <c r="QB345" s="6"/>
      <c r="QC345" s="4"/>
      <c r="QD345" s="4"/>
      <c r="QE345" s="4"/>
      <c r="QF345" s="4"/>
      <c r="QG345" s="4"/>
      <c r="QH345" s="5"/>
      <c r="QI345" s="6"/>
      <c r="QJ345" s="4"/>
      <c r="QK345" s="4"/>
      <c r="QL345" s="4"/>
      <c r="QM345" s="4"/>
      <c r="QN345" s="4"/>
      <c r="QO345" s="5"/>
      <c r="QP345" s="6"/>
      <c r="QQ345" s="4"/>
      <c r="QR345" s="4"/>
      <c r="QS345" s="4"/>
      <c r="QT345" s="4"/>
      <c r="QU345" s="4"/>
      <c r="QV345" s="5"/>
      <c r="QW345" s="6"/>
      <c r="QX345" s="4"/>
      <c r="QY345" s="4"/>
      <c r="QZ345" s="4"/>
      <c r="RA345" s="4"/>
      <c r="RB345" s="4"/>
      <c r="RC345" s="5"/>
      <c r="RD345" s="6"/>
      <c r="RE345" s="4"/>
      <c r="RF345" s="4"/>
      <c r="RG345" s="4"/>
      <c r="RH345" s="4"/>
      <c r="RI345" s="4"/>
      <c r="RJ345" s="5"/>
      <c r="RK345" s="6"/>
      <c r="RL345" s="4"/>
      <c r="RM345" s="4"/>
      <c r="RN345" s="4"/>
      <c r="RO345" s="4"/>
      <c r="RP345" s="4"/>
      <c r="RQ345" s="5"/>
      <c r="RR345" s="6"/>
      <c r="RS345" s="4"/>
      <c r="RT345" s="4"/>
      <c r="RU345" s="4"/>
      <c r="RV345" s="4"/>
      <c r="RW345" s="4"/>
      <c r="RX345" s="5"/>
      <c r="RY345" s="6"/>
      <c r="RZ345" s="4"/>
      <c r="SA345" s="4"/>
      <c r="SB345" s="4"/>
      <c r="SC345" s="4"/>
      <c r="SD345" s="4"/>
      <c r="SE345" s="5"/>
      <c r="SF345" s="6"/>
      <c r="SG345" s="4"/>
      <c r="SH345" s="4"/>
      <c r="SI345" s="4"/>
      <c r="SJ345" s="4"/>
      <c r="SK345" s="4"/>
      <c r="SL345" s="5"/>
      <c r="SM345" s="6"/>
      <c r="SN345" s="4"/>
      <c r="SO345" s="4"/>
      <c r="SP345" s="4"/>
      <c r="SQ345" s="4"/>
      <c r="SR345" s="4"/>
      <c r="SS345" s="5"/>
      <c r="ST345" s="6"/>
      <c r="SU345" s="4"/>
      <c r="SV345" s="4"/>
      <c r="SW345" s="4"/>
      <c r="SX345" s="4"/>
      <c r="SY345" s="4"/>
      <c r="SZ345" s="5"/>
      <c r="TA345" s="6"/>
      <c r="TB345" s="4"/>
      <c r="TC345" s="4"/>
      <c r="TD345" s="4"/>
      <c r="TE345" s="4"/>
      <c r="TF345" s="4"/>
      <c r="TG345" s="5"/>
      <c r="TH345" s="6"/>
      <c r="TI345" s="4"/>
      <c r="TJ345" s="4"/>
      <c r="TK345" s="4"/>
      <c r="TL345" s="4"/>
      <c r="TM345" s="4"/>
      <c r="TN345" s="5"/>
      <c r="TO345" s="6"/>
      <c r="TP345" s="4"/>
      <c r="TQ345" s="4"/>
      <c r="TR345" s="7"/>
      <c r="TS345" s="8"/>
      <c r="TT345" s="8"/>
      <c r="TU345" s="5"/>
      <c r="TV345" s="6"/>
      <c r="TW345" s="4"/>
      <c r="TX345" s="4"/>
      <c r="TY345" s="4"/>
      <c r="TZ345" s="4"/>
      <c r="UA345" s="4"/>
      <c r="UB345" s="5"/>
      <c r="UC345" s="6"/>
      <c r="UD345" s="4"/>
      <c r="UE345" s="4"/>
      <c r="UF345" s="4"/>
      <c r="UG345" s="4"/>
      <c r="UH345" s="4"/>
      <c r="UI345" s="5"/>
      <c r="UJ345" s="6"/>
      <c r="UK345" s="4"/>
      <c r="UL345" s="4"/>
      <c r="UM345" s="4"/>
      <c r="UN345" s="4"/>
      <c r="UO345" s="4"/>
      <c r="UP345" s="5"/>
      <c r="UQ345" s="6"/>
      <c r="UR345" s="4"/>
      <c r="US345" s="4"/>
      <c r="UT345" s="4"/>
      <c r="UU345" s="4"/>
      <c r="UV345" s="4"/>
      <c r="UW345" s="5"/>
      <c r="UX345" s="6"/>
      <c r="UY345" s="4"/>
      <c r="UZ345" s="4"/>
      <c r="VA345" s="4"/>
      <c r="VB345" s="4"/>
      <c r="VC345" s="4"/>
      <c r="VD345" s="5"/>
      <c r="VE345" s="6"/>
      <c r="VF345" s="4"/>
      <c r="VG345" s="4"/>
      <c r="VH345" s="4"/>
      <c r="VI345" s="8"/>
      <c r="VJ345" s="8"/>
      <c r="VK345" s="5"/>
      <c r="VL345" s="6"/>
      <c r="VM345" s="4"/>
      <c r="VN345" s="4"/>
      <c r="VO345" s="4"/>
      <c r="VP345" s="4"/>
      <c r="VQ345" s="4"/>
      <c r="VR345" s="5"/>
      <c r="VS345" s="6"/>
      <c r="VT345" s="4"/>
      <c r="VU345" s="4"/>
      <c r="VV345" s="4"/>
      <c r="VW345" s="4"/>
      <c r="VX345" s="4"/>
      <c r="VY345" s="5"/>
      <c r="VZ345" s="6"/>
      <c r="WA345" s="4"/>
      <c r="WB345" s="4"/>
      <c r="WC345" s="4"/>
      <c r="WD345" s="4"/>
      <c r="WE345" s="4"/>
      <c r="WF345" s="5"/>
      <c r="WG345" s="6"/>
      <c r="WH345" s="4"/>
      <c r="WI345" s="4"/>
      <c r="WJ345" s="4"/>
      <c r="WK345" s="4"/>
      <c r="WL345" s="4"/>
      <c r="WM345" s="5"/>
      <c r="WN345" s="6"/>
      <c r="WO345" s="4"/>
      <c r="WP345" s="4"/>
      <c r="WQ345" s="4"/>
      <c r="WR345" s="4"/>
      <c r="WS345" s="4"/>
      <c r="WT345" s="5"/>
      <c r="WU345" s="6"/>
      <c r="WV345" s="4"/>
      <c r="WW345" s="4"/>
      <c r="WX345" s="4"/>
      <c r="WY345" s="4"/>
      <c r="WZ345" s="4"/>
      <c r="XA345" s="5"/>
      <c r="XB345" s="6"/>
      <c r="XC345" s="4"/>
      <c r="XD345" s="4"/>
      <c r="XE345" s="4"/>
      <c r="XF345" s="4"/>
      <c r="XG345" s="4"/>
      <c r="XH345" s="5"/>
      <c r="XI345" s="6"/>
      <c r="XJ345" s="4"/>
      <c r="XK345" s="4"/>
      <c r="XL345" s="4"/>
      <c r="XM345" s="4"/>
      <c r="XN345" s="4"/>
      <c r="XO345" s="5"/>
      <c r="XP345" s="6"/>
      <c r="XQ345" s="4"/>
      <c r="XR345" s="4"/>
      <c r="XS345" s="4"/>
      <c r="XT345" s="4"/>
      <c r="XU345" s="4"/>
      <c r="XV345" s="5"/>
      <c r="XW345" s="6"/>
      <c r="XX345" s="4"/>
      <c r="XY345" s="4"/>
      <c r="XZ345" s="4"/>
      <c r="YA345" s="4"/>
      <c r="YB345" s="4"/>
      <c r="YC345" s="5"/>
      <c r="YD345" s="6"/>
      <c r="YE345" s="4"/>
      <c r="YF345" s="4"/>
      <c r="YG345" s="4"/>
      <c r="YH345" s="4"/>
      <c r="YI345" s="4"/>
      <c r="YJ345" s="5"/>
      <c r="YK345" s="6"/>
      <c r="YL345" s="4"/>
      <c r="YM345" s="4"/>
      <c r="YN345" s="4"/>
      <c r="YO345" s="8"/>
      <c r="YP345" s="8"/>
      <c r="YQ345" s="5"/>
      <c r="YR345" s="6"/>
      <c r="YS345" s="4"/>
      <c r="YT345" s="4"/>
      <c r="YU345" s="4"/>
      <c r="YV345" s="4"/>
      <c r="YW345" s="4"/>
      <c r="YX345" s="5"/>
      <c r="YY345" s="6"/>
      <c r="YZ345" s="4"/>
      <c r="ZA345" s="4"/>
      <c r="ZB345" s="4"/>
      <c r="ZC345" s="4"/>
      <c r="ZD345" s="4"/>
      <c r="ZE345" s="5"/>
      <c r="ZF345" s="6"/>
      <c r="ZG345" s="4"/>
      <c r="ZH345" s="4"/>
      <c r="ZI345" s="4"/>
      <c r="ZJ345" s="4"/>
      <c r="ZK345" s="4"/>
      <c r="ZL345" s="5"/>
      <c r="ZM345" s="6"/>
      <c r="ZN345" s="4"/>
      <c r="ZO345" s="4"/>
      <c r="ZP345" s="4"/>
      <c r="ZQ345" s="4"/>
      <c r="ZR345" s="4"/>
      <c r="ZS345" s="5"/>
      <c r="ZT345" s="6"/>
      <c r="ZU345" s="4"/>
      <c r="ZV345" s="4"/>
      <c r="ZW345" s="4"/>
      <c r="ZX345" s="4"/>
      <c r="ZY345" s="4"/>
      <c r="ZZ345" s="5"/>
      <c r="AAA345" s="6"/>
      <c r="AAB345" s="4"/>
      <c r="AAC345" s="4"/>
      <c r="AAD345" s="4"/>
      <c r="AAE345" s="4"/>
      <c r="AAF345" s="4"/>
      <c r="AAG345" s="5"/>
      <c r="AAH345" s="6"/>
      <c r="AAI345" s="4"/>
      <c r="AAJ345" s="4"/>
      <c r="AAK345" s="4"/>
      <c r="AAL345" s="4"/>
      <c r="AAM345" s="4"/>
      <c r="AAN345" s="5"/>
      <c r="AAO345" s="6"/>
      <c r="AAP345" s="4"/>
      <c r="AAQ345" s="4"/>
      <c r="AAR345" s="4"/>
      <c r="AAS345" s="4"/>
      <c r="AAT345" s="4"/>
      <c r="AAU345" s="5"/>
      <c r="AAV345" s="6"/>
      <c r="AAW345" s="4"/>
      <c r="AAX345" s="4"/>
      <c r="AAY345" s="4"/>
      <c r="AAZ345" s="4"/>
      <c r="ABA345" s="4"/>
      <c r="ABB345" s="5"/>
      <c r="ABC345" s="6"/>
      <c r="ABD345" s="4"/>
      <c r="ABE345" s="4"/>
      <c r="ABF345" s="4"/>
      <c r="ABG345" s="4"/>
      <c r="ABH345" s="4"/>
      <c r="ABI345" s="5"/>
      <c r="ABJ345" s="6"/>
      <c r="ABK345" s="4"/>
      <c r="ABL345" s="4"/>
      <c r="ABM345" s="4"/>
      <c r="ABN345" s="4"/>
      <c r="ABO345" s="4"/>
      <c r="ABP345" s="5"/>
      <c r="ABQ345" s="6"/>
      <c r="ABR345" s="4"/>
      <c r="ABS345" s="4"/>
      <c r="ABT345" s="4"/>
      <c r="ABU345" s="4"/>
      <c r="ABV345" s="4"/>
      <c r="ABW345" s="5"/>
      <c r="ABX345" s="6"/>
      <c r="ABY345" s="4"/>
      <c r="ABZ345" s="4"/>
      <c r="ACA345" s="4"/>
      <c r="ACB345" s="4"/>
      <c r="ACC345" s="4"/>
      <c r="ACD345" s="5"/>
      <c r="ACE345" s="6"/>
      <c r="ACF345" s="4"/>
      <c r="ACG345" s="4"/>
      <c r="ACH345" s="4"/>
      <c r="ACI345" s="4"/>
      <c r="ACJ345" s="4"/>
      <c r="ACK345" s="5"/>
      <c r="ACL345" s="6"/>
      <c r="ACM345" s="4"/>
      <c r="ACN345" s="4"/>
      <c r="ACO345" s="4"/>
      <c r="ACP345" s="4"/>
      <c r="ACQ345" s="4"/>
      <c r="ACR345" s="5"/>
      <c r="ACS345" s="6"/>
      <c r="ACT345" s="4"/>
      <c r="ACU345" s="4"/>
      <c r="ACV345" s="4"/>
      <c r="ACW345" s="4"/>
      <c r="ACX345" s="4"/>
      <c r="ACY345" s="5"/>
    </row>
    <row r="346" spans="2:805" x14ac:dyDescent="0.25">
      <c r="B346" s="30"/>
      <c r="J346" s="12"/>
      <c r="K346" s="12"/>
      <c r="L346" s="12"/>
      <c r="LL346" s="6"/>
      <c r="LM346" s="4"/>
      <c r="LN346" s="4"/>
      <c r="LO346" s="4"/>
      <c r="LP346" s="4"/>
      <c r="LQ346" s="4"/>
      <c r="LR346" s="5"/>
      <c r="LS346" s="6"/>
      <c r="LT346" s="4"/>
      <c r="LU346" s="4"/>
      <c r="LV346" s="4"/>
      <c r="LW346" s="4"/>
      <c r="LX346" s="4"/>
      <c r="LY346" s="5"/>
      <c r="LZ346" s="6" t="s">
        <v>2983</v>
      </c>
      <c r="MA346" s="7" t="s">
        <v>2983</v>
      </c>
      <c r="MB346" s="4" t="s">
        <v>1920</v>
      </c>
      <c r="MC346" s="7"/>
      <c r="MD346" s="8">
        <v>37628</v>
      </c>
      <c r="ME346" s="8"/>
      <c r="MF346" s="8" t="s">
        <v>611</v>
      </c>
      <c r="MG346" s="5" t="s">
        <v>488</v>
      </c>
      <c r="MH346" s="6"/>
      <c r="MI346" s="4"/>
      <c r="MJ346" s="4"/>
      <c r="MK346" s="4"/>
      <c r="ML346" s="4"/>
      <c r="MM346" s="4"/>
      <c r="MN346" s="5"/>
      <c r="MO346" s="6"/>
      <c r="MP346" s="4"/>
      <c r="MQ346" s="4"/>
      <c r="MR346" s="4"/>
      <c r="MS346" s="4"/>
      <c r="MT346" s="4"/>
      <c r="MU346" s="5"/>
      <c r="MV346" s="6"/>
      <c r="MW346" s="4"/>
      <c r="MX346" s="4"/>
      <c r="MY346" s="4"/>
      <c r="MZ346" s="4"/>
      <c r="NA346" s="4"/>
      <c r="NB346" s="5"/>
      <c r="NC346" s="6"/>
      <c r="ND346" s="4"/>
      <c r="NE346" s="4"/>
      <c r="NF346" s="4"/>
      <c r="NG346" s="4"/>
      <c r="NH346" s="4"/>
      <c r="NI346" s="5"/>
      <c r="NJ346" s="6"/>
      <c r="NK346" s="4"/>
      <c r="NL346" s="4"/>
      <c r="NM346" s="4"/>
      <c r="NN346" s="4"/>
      <c r="NO346" s="4"/>
      <c r="NP346" s="5"/>
      <c r="NQ346" s="6"/>
      <c r="NR346" s="4"/>
      <c r="NS346" s="4"/>
      <c r="NT346" s="4"/>
      <c r="NU346" s="4"/>
      <c r="NV346" s="4"/>
      <c r="NW346" s="5"/>
      <c r="NX346" s="6"/>
      <c r="NY346" s="4"/>
      <c r="NZ346" s="4"/>
      <c r="OA346" s="4"/>
      <c r="OB346" s="4"/>
      <c r="OC346" s="4"/>
      <c r="OD346" s="5"/>
      <c r="OE346" s="6"/>
      <c r="OF346" s="4"/>
      <c r="OG346" s="4"/>
      <c r="OH346" s="4"/>
      <c r="OI346" s="4"/>
      <c r="OJ346" s="4"/>
      <c r="OK346" s="5"/>
      <c r="OL346" s="6"/>
      <c r="OM346" s="4"/>
      <c r="ON346" s="4"/>
      <c r="OO346" s="4"/>
      <c r="OP346" s="4"/>
      <c r="OQ346" s="4"/>
      <c r="OR346" s="5"/>
      <c r="OS346" s="6"/>
      <c r="OT346" s="4"/>
      <c r="OU346" s="4"/>
      <c r="OV346" s="4"/>
      <c r="OW346" s="4"/>
      <c r="OX346" s="4"/>
      <c r="OY346" s="5"/>
      <c r="OZ346" s="6"/>
      <c r="PA346" s="4"/>
      <c r="PB346" s="4"/>
      <c r="PC346" s="4"/>
      <c r="PD346" s="4"/>
      <c r="PE346" s="4"/>
      <c r="PF346" s="5"/>
      <c r="PG346" s="6"/>
      <c r="PH346" s="4"/>
      <c r="PI346" s="4"/>
      <c r="PJ346" s="4"/>
      <c r="PK346" s="4"/>
      <c r="PL346" s="4"/>
      <c r="PM346" s="5"/>
      <c r="PN346" s="6"/>
      <c r="PO346" s="4"/>
      <c r="PP346" s="4"/>
      <c r="PQ346" s="4"/>
      <c r="PR346" s="4"/>
      <c r="PS346" s="4"/>
      <c r="PT346" s="5"/>
      <c r="PU346" s="6"/>
      <c r="PV346" s="4"/>
      <c r="PW346" s="4"/>
      <c r="PX346" s="4"/>
      <c r="PY346" s="4"/>
      <c r="PZ346" s="4"/>
      <c r="QA346" s="5"/>
      <c r="QB346" s="6"/>
      <c r="QC346" s="4"/>
      <c r="QD346" s="4"/>
      <c r="QE346" s="4"/>
      <c r="QF346" s="4"/>
      <c r="QG346" s="4"/>
      <c r="QH346" s="5"/>
      <c r="QI346" s="6"/>
      <c r="QJ346" s="4"/>
      <c r="QK346" s="4"/>
      <c r="QL346" s="4"/>
      <c r="QM346" s="4"/>
      <c r="QN346" s="4"/>
      <c r="QO346" s="5"/>
      <c r="QP346" s="6"/>
      <c r="QQ346" s="4"/>
      <c r="QR346" s="4"/>
      <c r="QS346" s="4"/>
      <c r="QT346" s="4"/>
      <c r="QU346" s="4"/>
      <c r="QV346" s="5"/>
      <c r="QW346" s="6"/>
      <c r="QX346" s="4"/>
      <c r="QY346" s="4"/>
      <c r="QZ346" s="4"/>
      <c r="RA346" s="4"/>
      <c r="RB346" s="4"/>
      <c r="RC346" s="5"/>
      <c r="RD346" s="6"/>
      <c r="RE346" s="4"/>
      <c r="RF346" s="4"/>
      <c r="RG346" s="4"/>
      <c r="RH346" s="4"/>
      <c r="RI346" s="4"/>
      <c r="RJ346" s="5"/>
      <c r="RK346" s="6"/>
      <c r="RL346" s="4"/>
      <c r="RM346" s="4"/>
      <c r="RN346" s="4"/>
      <c r="RO346" s="4"/>
      <c r="RP346" s="4"/>
      <c r="RQ346" s="5"/>
      <c r="RR346" s="6"/>
      <c r="RS346" s="4"/>
      <c r="RT346" s="4"/>
      <c r="RU346" s="4"/>
      <c r="RV346" s="4"/>
      <c r="RW346" s="4"/>
      <c r="RX346" s="5"/>
      <c r="RY346" s="6"/>
      <c r="RZ346" s="4"/>
      <c r="SA346" s="4"/>
      <c r="SB346" s="4"/>
      <c r="SC346" s="4"/>
      <c r="SD346" s="4"/>
      <c r="SE346" s="5"/>
      <c r="SF346" s="6"/>
      <c r="SG346" s="4"/>
      <c r="SH346" s="4"/>
      <c r="SI346" s="4"/>
      <c r="SJ346" s="4"/>
      <c r="SK346" s="4"/>
      <c r="SL346" s="5"/>
      <c r="SM346" s="6"/>
      <c r="SN346" s="4"/>
      <c r="SO346" s="4"/>
      <c r="SP346" s="4"/>
      <c r="SQ346" s="4"/>
      <c r="SR346" s="4"/>
      <c r="SS346" s="5"/>
      <c r="ST346" s="6"/>
      <c r="SU346" s="4"/>
      <c r="SV346" s="4"/>
      <c r="SW346" s="4"/>
      <c r="SX346" s="4"/>
      <c r="SY346" s="4"/>
      <c r="SZ346" s="5"/>
      <c r="TA346" s="6"/>
      <c r="TB346" s="4"/>
      <c r="TC346" s="4"/>
      <c r="TD346" s="4"/>
      <c r="TE346" s="4"/>
      <c r="TF346" s="4"/>
      <c r="TG346" s="5"/>
      <c r="TH346" s="6"/>
      <c r="TI346" s="4"/>
      <c r="TJ346" s="4"/>
      <c r="TK346" s="4"/>
      <c r="TL346" s="4"/>
      <c r="TM346" s="4"/>
      <c r="TN346" s="5"/>
      <c r="TO346" s="6"/>
      <c r="TP346" s="4"/>
      <c r="TQ346" s="4"/>
      <c r="TR346" s="7"/>
      <c r="TS346" s="8"/>
      <c r="TT346" s="8"/>
      <c r="TU346" s="5"/>
      <c r="TV346" s="6"/>
      <c r="TW346" s="4"/>
      <c r="TX346" s="4"/>
      <c r="TY346" s="4"/>
      <c r="TZ346" s="4"/>
      <c r="UA346" s="4"/>
      <c r="UB346" s="5"/>
      <c r="UC346" s="6"/>
      <c r="UD346" s="4"/>
      <c r="UE346" s="4"/>
      <c r="UF346" s="4"/>
      <c r="UG346" s="4"/>
      <c r="UH346" s="4"/>
      <c r="UI346" s="5"/>
      <c r="UJ346" s="6"/>
      <c r="UK346" s="4"/>
      <c r="UL346" s="4"/>
      <c r="UM346" s="4"/>
      <c r="UN346" s="4"/>
      <c r="UO346" s="4"/>
      <c r="UP346" s="5"/>
      <c r="UQ346" s="6"/>
      <c r="UR346" s="4"/>
      <c r="US346" s="4"/>
      <c r="UT346" s="4"/>
      <c r="UU346" s="4"/>
      <c r="UV346" s="4"/>
      <c r="UW346" s="5"/>
      <c r="UX346" s="6"/>
      <c r="UY346" s="4"/>
      <c r="UZ346" s="4"/>
      <c r="VA346" s="4"/>
      <c r="VB346" s="4"/>
      <c r="VC346" s="4"/>
      <c r="VD346" s="5"/>
      <c r="VE346" s="6"/>
      <c r="VF346" s="4"/>
      <c r="VG346" s="4"/>
      <c r="VH346" s="4"/>
      <c r="VI346" s="8"/>
      <c r="VJ346" s="8"/>
      <c r="VK346" s="5"/>
      <c r="VL346" s="6"/>
      <c r="VM346" s="4"/>
      <c r="VN346" s="4"/>
      <c r="VO346" s="4"/>
      <c r="VP346" s="4"/>
      <c r="VQ346" s="4"/>
      <c r="VR346" s="5"/>
      <c r="VS346" s="6"/>
      <c r="VT346" s="4"/>
      <c r="VU346" s="4"/>
      <c r="VV346" s="4"/>
      <c r="VW346" s="4"/>
      <c r="VX346" s="4"/>
      <c r="VY346" s="5"/>
      <c r="VZ346" s="6"/>
      <c r="WA346" s="4"/>
      <c r="WB346" s="4"/>
      <c r="WC346" s="4"/>
      <c r="WD346" s="4"/>
      <c r="WE346" s="4"/>
      <c r="WF346" s="5"/>
      <c r="WG346" s="6"/>
      <c r="WH346" s="4"/>
      <c r="WI346" s="4"/>
      <c r="WJ346" s="4"/>
      <c r="WK346" s="4"/>
      <c r="WL346" s="4"/>
      <c r="WM346" s="5"/>
      <c r="WN346" s="6"/>
      <c r="WO346" s="4"/>
      <c r="WP346" s="4"/>
      <c r="WQ346" s="4"/>
      <c r="WR346" s="4"/>
      <c r="WS346" s="4"/>
      <c r="WT346" s="5"/>
      <c r="WU346" s="6"/>
      <c r="WV346" s="4"/>
      <c r="WW346" s="4"/>
      <c r="WX346" s="4"/>
      <c r="WY346" s="4"/>
      <c r="WZ346" s="4"/>
      <c r="XA346" s="5"/>
      <c r="XB346" s="6"/>
      <c r="XC346" s="4"/>
      <c r="XD346" s="4"/>
      <c r="XE346" s="4"/>
      <c r="XF346" s="4"/>
      <c r="XG346" s="4"/>
      <c r="XH346" s="5"/>
      <c r="XI346" s="6"/>
      <c r="XJ346" s="4"/>
      <c r="XK346" s="4"/>
      <c r="XL346" s="4"/>
      <c r="XM346" s="4"/>
      <c r="XN346" s="4"/>
      <c r="XO346" s="5"/>
      <c r="XP346" s="6"/>
      <c r="XQ346" s="4"/>
      <c r="XR346" s="4"/>
      <c r="XS346" s="4"/>
      <c r="XT346" s="4"/>
      <c r="XU346" s="4"/>
      <c r="XV346" s="5"/>
      <c r="XW346" s="6"/>
      <c r="XX346" s="4"/>
      <c r="XY346" s="4"/>
      <c r="XZ346" s="4"/>
      <c r="YA346" s="4"/>
      <c r="YB346" s="4"/>
      <c r="YC346" s="5"/>
      <c r="YD346" s="6"/>
      <c r="YE346" s="4"/>
      <c r="YF346" s="4"/>
      <c r="YG346" s="4"/>
      <c r="YH346" s="4"/>
      <c r="YI346" s="4"/>
      <c r="YJ346" s="5"/>
      <c r="YK346" s="6"/>
      <c r="YL346" s="4"/>
      <c r="YM346" s="4"/>
      <c r="YN346" s="4"/>
      <c r="YO346" s="8"/>
      <c r="YP346" s="8"/>
      <c r="YQ346" s="5"/>
      <c r="YR346" s="6"/>
      <c r="YS346" s="4"/>
      <c r="YT346" s="4"/>
      <c r="YU346" s="4"/>
      <c r="YV346" s="4"/>
      <c r="YW346" s="4"/>
      <c r="YX346" s="5"/>
      <c r="YY346" s="6"/>
      <c r="YZ346" s="4"/>
      <c r="ZA346" s="4"/>
      <c r="ZB346" s="4"/>
      <c r="ZC346" s="4"/>
      <c r="ZD346" s="4"/>
      <c r="ZE346" s="5"/>
      <c r="ZF346" s="6"/>
      <c r="ZG346" s="4"/>
      <c r="ZH346" s="4"/>
      <c r="ZI346" s="4"/>
      <c r="ZJ346" s="4"/>
      <c r="ZK346" s="4"/>
      <c r="ZL346" s="5"/>
      <c r="ZM346" s="6"/>
      <c r="ZN346" s="4"/>
      <c r="ZO346" s="4"/>
      <c r="ZP346" s="4"/>
      <c r="ZQ346" s="4"/>
      <c r="ZR346" s="4"/>
      <c r="ZS346" s="5"/>
      <c r="ZT346" s="6"/>
      <c r="ZU346" s="4"/>
      <c r="ZV346" s="4"/>
      <c r="ZW346" s="4"/>
      <c r="ZX346" s="4"/>
      <c r="ZY346" s="4"/>
      <c r="ZZ346" s="5"/>
      <c r="AAA346" s="6"/>
      <c r="AAB346" s="4"/>
      <c r="AAC346" s="4"/>
      <c r="AAD346" s="4"/>
      <c r="AAE346" s="4"/>
      <c r="AAF346" s="4"/>
      <c r="AAG346" s="5"/>
      <c r="AAH346" s="6"/>
      <c r="AAI346" s="4"/>
      <c r="AAJ346" s="4"/>
      <c r="AAK346" s="4"/>
      <c r="AAL346" s="4"/>
      <c r="AAM346" s="4"/>
      <c r="AAN346" s="5"/>
      <c r="AAO346" s="6"/>
      <c r="AAP346" s="4"/>
      <c r="AAQ346" s="4"/>
      <c r="AAR346" s="4"/>
      <c r="AAS346" s="4"/>
      <c r="AAT346" s="4"/>
      <c r="AAU346" s="5"/>
      <c r="AAV346" s="6"/>
      <c r="AAW346" s="4"/>
      <c r="AAX346" s="4"/>
      <c r="AAY346" s="4"/>
      <c r="AAZ346" s="4"/>
      <c r="ABA346" s="4"/>
      <c r="ABB346" s="5"/>
      <c r="ABC346" s="6"/>
      <c r="ABD346" s="4"/>
      <c r="ABE346" s="4"/>
      <c r="ABF346" s="4"/>
      <c r="ABG346" s="4"/>
      <c r="ABH346" s="4"/>
      <c r="ABI346" s="5"/>
      <c r="ABJ346" s="6"/>
      <c r="ABK346" s="4"/>
      <c r="ABL346" s="4"/>
      <c r="ABM346" s="4"/>
      <c r="ABN346" s="4"/>
      <c r="ABO346" s="4"/>
      <c r="ABP346" s="5"/>
      <c r="ABQ346" s="6"/>
      <c r="ABR346" s="4"/>
      <c r="ABS346" s="4"/>
      <c r="ABT346" s="4"/>
      <c r="ABU346" s="4"/>
      <c r="ABV346" s="4"/>
      <c r="ABW346" s="5"/>
      <c r="ABX346" s="6"/>
      <c r="ABY346" s="4"/>
      <c r="ABZ346" s="4"/>
      <c r="ACA346" s="4"/>
      <c r="ACB346" s="4"/>
      <c r="ACC346" s="4"/>
      <c r="ACD346" s="5"/>
      <c r="ACE346" s="6"/>
      <c r="ACF346" s="4"/>
      <c r="ACG346" s="4"/>
      <c r="ACH346" s="4"/>
      <c r="ACI346" s="4"/>
      <c r="ACJ346" s="4"/>
      <c r="ACK346" s="5"/>
      <c r="ACL346" s="6"/>
      <c r="ACM346" s="4"/>
      <c r="ACN346" s="4"/>
      <c r="ACO346" s="4"/>
      <c r="ACP346" s="4"/>
      <c r="ACQ346" s="4"/>
      <c r="ACR346" s="5"/>
      <c r="ACS346" s="6"/>
      <c r="ACT346" s="4"/>
      <c r="ACU346" s="4"/>
      <c r="ACV346" s="4"/>
      <c r="ACW346" s="4"/>
      <c r="ACX346" s="4"/>
      <c r="ACY346" s="5"/>
    </row>
    <row r="347" spans="2:805" x14ac:dyDescent="0.25">
      <c r="B347" s="30"/>
      <c r="J347" s="12"/>
      <c r="K347" s="12"/>
      <c r="L347" s="12"/>
      <c r="LL347" s="6"/>
      <c r="LM347" s="4"/>
      <c r="LN347" s="4"/>
      <c r="LO347" s="4"/>
      <c r="LP347" s="4"/>
      <c r="LQ347" s="4"/>
      <c r="LR347" s="5"/>
      <c r="LS347" s="6"/>
      <c r="LT347" s="4"/>
      <c r="LU347" s="4"/>
      <c r="LV347" s="4"/>
      <c r="LW347" s="4"/>
      <c r="LX347" s="4"/>
      <c r="LY347" s="5"/>
      <c r="LZ347" s="6" t="s">
        <v>2983</v>
      </c>
      <c r="MA347" s="7" t="s">
        <v>2983</v>
      </c>
      <c r="MB347" s="7" t="s">
        <v>4013</v>
      </c>
      <c r="MC347" s="7"/>
      <c r="MD347" s="8">
        <v>37648</v>
      </c>
      <c r="ME347" s="8"/>
      <c r="MF347" s="8" t="s">
        <v>611</v>
      </c>
      <c r="MG347" s="5" t="s">
        <v>488</v>
      </c>
      <c r="MH347" s="6"/>
      <c r="MI347" s="4"/>
      <c r="MJ347" s="4"/>
      <c r="MK347" s="4"/>
      <c r="ML347" s="4"/>
      <c r="MM347" s="4"/>
      <c r="MN347" s="5"/>
      <c r="MO347" s="6"/>
      <c r="MP347" s="4"/>
      <c r="MQ347" s="4"/>
      <c r="MR347" s="4"/>
      <c r="MS347" s="4"/>
      <c r="MT347" s="4"/>
      <c r="MU347" s="5"/>
      <c r="MV347" s="6"/>
      <c r="MW347" s="4"/>
      <c r="MX347" s="4"/>
      <c r="MY347" s="4"/>
      <c r="MZ347" s="4"/>
      <c r="NA347" s="4"/>
      <c r="NB347" s="5"/>
      <c r="NC347" s="6"/>
      <c r="ND347" s="4"/>
      <c r="NE347" s="4"/>
      <c r="NF347" s="4"/>
      <c r="NG347" s="4"/>
      <c r="NH347" s="4"/>
      <c r="NI347" s="5"/>
      <c r="NJ347" s="6"/>
      <c r="NK347" s="4"/>
      <c r="NL347" s="4"/>
      <c r="NM347" s="4"/>
      <c r="NN347" s="4"/>
      <c r="NO347" s="4"/>
      <c r="NP347" s="5"/>
      <c r="NQ347" s="6"/>
      <c r="NR347" s="4"/>
      <c r="NS347" s="4"/>
      <c r="NT347" s="4"/>
      <c r="NU347" s="4"/>
      <c r="NV347" s="4"/>
      <c r="NW347" s="5"/>
      <c r="NX347" s="6"/>
      <c r="NY347" s="4"/>
      <c r="NZ347" s="4"/>
      <c r="OA347" s="4"/>
      <c r="OB347" s="4"/>
      <c r="OC347" s="4"/>
      <c r="OD347" s="5"/>
      <c r="OE347" s="6"/>
      <c r="OF347" s="4"/>
      <c r="OG347" s="4"/>
      <c r="OH347" s="4"/>
      <c r="OI347" s="4"/>
      <c r="OJ347" s="4"/>
      <c r="OK347" s="5"/>
      <c r="OL347" s="6"/>
      <c r="OM347" s="4"/>
      <c r="ON347" s="4"/>
      <c r="OO347" s="4"/>
      <c r="OP347" s="4"/>
      <c r="OQ347" s="4"/>
      <c r="OR347" s="5"/>
      <c r="OS347" s="6"/>
      <c r="OT347" s="4"/>
      <c r="OU347" s="4"/>
      <c r="OV347" s="4"/>
      <c r="OW347" s="4"/>
      <c r="OX347" s="4"/>
      <c r="OY347" s="5"/>
      <c r="OZ347" s="6"/>
      <c r="PA347" s="4"/>
      <c r="PB347" s="4"/>
      <c r="PC347" s="4"/>
      <c r="PD347" s="4"/>
      <c r="PE347" s="4"/>
      <c r="PF347" s="5"/>
      <c r="PG347" s="6"/>
      <c r="PH347" s="4"/>
      <c r="PI347" s="4"/>
      <c r="PJ347" s="4"/>
      <c r="PK347" s="4"/>
      <c r="PL347" s="4"/>
      <c r="PM347" s="5"/>
      <c r="PN347" s="6"/>
      <c r="PO347" s="4"/>
      <c r="PP347" s="4"/>
      <c r="PQ347" s="4"/>
      <c r="PR347" s="4"/>
      <c r="PS347" s="4"/>
      <c r="PT347" s="5"/>
      <c r="PU347" s="6"/>
      <c r="PV347" s="4"/>
      <c r="PW347" s="4"/>
      <c r="PX347" s="4"/>
      <c r="PY347" s="4"/>
      <c r="PZ347" s="4"/>
      <c r="QA347" s="5"/>
      <c r="QB347" s="6"/>
      <c r="QC347" s="4"/>
      <c r="QD347" s="4"/>
      <c r="QE347" s="4"/>
      <c r="QF347" s="4"/>
      <c r="QG347" s="4"/>
      <c r="QH347" s="5"/>
      <c r="QI347" s="6"/>
      <c r="QJ347" s="4"/>
      <c r="QK347" s="4"/>
      <c r="QL347" s="4"/>
      <c r="QM347" s="4"/>
      <c r="QN347" s="4"/>
      <c r="QO347" s="5"/>
      <c r="QP347" s="6"/>
      <c r="QQ347" s="4"/>
      <c r="QR347" s="4"/>
      <c r="QS347" s="4"/>
      <c r="QT347" s="4"/>
      <c r="QU347" s="4"/>
      <c r="QV347" s="5"/>
      <c r="QW347" s="6"/>
      <c r="QX347" s="4"/>
      <c r="QY347" s="4"/>
      <c r="QZ347" s="4"/>
      <c r="RA347" s="4"/>
      <c r="RB347" s="4"/>
      <c r="RC347" s="5"/>
      <c r="RD347" s="6"/>
      <c r="RE347" s="4"/>
      <c r="RF347" s="4"/>
      <c r="RG347" s="4"/>
      <c r="RH347" s="4"/>
      <c r="RI347" s="4"/>
      <c r="RJ347" s="5"/>
      <c r="RK347" s="6"/>
      <c r="RL347" s="4"/>
      <c r="RM347" s="4"/>
      <c r="RN347" s="4"/>
      <c r="RO347" s="4"/>
      <c r="RP347" s="4"/>
      <c r="RQ347" s="5"/>
      <c r="RR347" s="6"/>
      <c r="RS347" s="4"/>
      <c r="RT347" s="4"/>
      <c r="RU347" s="4"/>
      <c r="RV347" s="4"/>
      <c r="RW347" s="4"/>
      <c r="RX347" s="5"/>
      <c r="RY347" s="6"/>
      <c r="RZ347" s="4"/>
      <c r="SA347" s="4"/>
      <c r="SB347" s="4"/>
      <c r="SC347" s="4"/>
      <c r="SD347" s="4"/>
      <c r="SE347" s="5"/>
      <c r="SF347" s="6"/>
      <c r="SG347" s="4"/>
      <c r="SH347" s="4"/>
      <c r="SI347" s="4"/>
      <c r="SJ347" s="4"/>
      <c r="SK347" s="4"/>
      <c r="SL347" s="5"/>
      <c r="SM347" s="6"/>
      <c r="SN347" s="4"/>
      <c r="SO347" s="4"/>
      <c r="SP347" s="4"/>
      <c r="SQ347" s="4"/>
      <c r="SR347" s="4"/>
      <c r="SS347" s="5"/>
      <c r="ST347" s="6"/>
      <c r="SU347" s="4"/>
      <c r="SV347" s="4"/>
      <c r="SW347" s="4"/>
      <c r="SX347" s="4"/>
      <c r="SY347" s="4"/>
      <c r="SZ347" s="5"/>
      <c r="TA347" s="6"/>
      <c r="TB347" s="4"/>
      <c r="TC347" s="4"/>
      <c r="TD347" s="4"/>
      <c r="TE347" s="4"/>
      <c r="TF347" s="4"/>
      <c r="TG347" s="5"/>
      <c r="TH347" s="6"/>
      <c r="TI347" s="4"/>
      <c r="TJ347" s="4"/>
      <c r="TK347" s="4"/>
      <c r="TL347" s="4"/>
      <c r="TM347" s="4"/>
      <c r="TN347" s="5"/>
      <c r="TO347" s="6"/>
      <c r="TP347" s="4"/>
      <c r="TQ347" s="4"/>
      <c r="TR347" s="7"/>
      <c r="TS347" s="8"/>
      <c r="TT347" s="8"/>
      <c r="TU347" s="5"/>
      <c r="TV347" s="6"/>
      <c r="TW347" s="4"/>
      <c r="TX347" s="4"/>
      <c r="TY347" s="4"/>
      <c r="TZ347" s="4"/>
      <c r="UA347" s="4"/>
      <c r="UB347" s="5"/>
      <c r="UC347" s="6"/>
      <c r="UD347" s="4"/>
      <c r="UE347" s="4"/>
      <c r="UF347" s="4"/>
      <c r="UG347" s="4"/>
      <c r="UH347" s="4"/>
      <c r="UI347" s="5"/>
      <c r="UJ347" s="6"/>
      <c r="UK347" s="4"/>
      <c r="UL347" s="4"/>
      <c r="UM347" s="4"/>
      <c r="UN347" s="4"/>
      <c r="UO347" s="4"/>
      <c r="UP347" s="5"/>
      <c r="UQ347" s="6"/>
      <c r="UR347" s="4"/>
      <c r="US347" s="4"/>
      <c r="UT347" s="4"/>
      <c r="UU347" s="4"/>
      <c r="UV347" s="4"/>
      <c r="UW347" s="5"/>
      <c r="UX347" s="6"/>
      <c r="UY347" s="4"/>
      <c r="UZ347" s="4"/>
      <c r="VA347" s="4"/>
      <c r="VB347" s="4"/>
      <c r="VC347" s="4"/>
      <c r="VD347" s="5"/>
      <c r="VE347" s="6"/>
      <c r="VF347" s="4"/>
      <c r="VG347" s="4"/>
      <c r="VH347" s="4"/>
      <c r="VI347" s="8"/>
      <c r="VJ347" s="8"/>
      <c r="VK347" s="5"/>
      <c r="VL347" s="6"/>
      <c r="VM347" s="4"/>
      <c r="VN347" s="4"/>
      <c r="VO347" s="4"/>
      <c r="VP347" s="4"/>
      <c r="VQ347" s="4"/>
      <c r="VR347" s="5"/>
      <c r="VS347" s="6"/>
      <c r="VT347" s="4"/>
      <c r="VU347" s="4"/>
      <c r="VV347" s="4"/>
      <c r="VW347" s="4"/>
      <c r="VX347" s="4"/>
      <c r="VY347" s="5"/>
      <c r="VZ347" s="6"/>
      <c r="WA347" s="4"/>
      <c r="WB347" s="4"/>
      <c r="WC347" s="4"/>
      <c r="WD347" s="4"/>
      <c r="WE347" s="4"/>
      <c r="WF347" s="5"/>
      <c r="WG347" s="6"/>
      <c r="WH347" s="4"/>
      <c r="WI347" s="4"/>
      <c r="WJ347" s="4"/>
      <c r="WK347" s="4"/>
      <c r="WL347" s="4"/>
      <c r="WM347" s="5"/>
      <c r="WN347" s="6"/>
      <c r="WO347" s="4"/>
      <c r="WP347" s="4"/>
      <c r="WQ347" s="4"/>
      <c r="WR347" s="4"/>
      <c r="WS347" s="4"/>
      <c r="WT347" s="5"/>
      <c r="WU347" s="6"/>
      <c r="WV347" s="4"/>
      <c r="WW347" s="4"/>
      <c r="WX347" s="4"/>
      <c r="WY347" s="4"/>
      <c r="WZ347" s="4"/>
      <c r="XA347" s="5"/>
      <c r="XB347" s="6"/>
      <c r="XC347" s="4"/>
      <c r="XD347" s="4"/>
      <c r="XE347" s="4"/>
      <c r="XF347" s="4"/>
      <c r="XG347" s="4"/>
      <c r="XH347" s="5"/>
      <c r="XI347" s="6"/>
      <c r="XJ347" s="4"/>
      <c r="XK347" s="4"/>
      <c r="XL347" s="4"/>
      <c r="XM347" s="4"/>
      <c r="XN347" s="4"/>
      <c r="XO347" s="5"/>
      <c r="XP347" s="6"/>
      <c r="XQ347" s="4"/>
      <c r="XR347" s="4"/>
      <c r="XS347" s="4"/>
      <c r="XT347" s="4"/>
      <c r="XU347" s="4"/>
      <c r="XV347" s="5"/>
      <c r="XW347" s="6"/>
      <c r="XX347" s="4"/>
      <c r="XY347" s="4"/>
      <c r="XZ347" s="4"/>
      <c r="YA347" s="4"/>
      <c r="YB347" s="4"/>
      <c r="YC347" s="5"/>
      <c r="YD347" s="6"/>
      <c r="YE347" s="4"/>
      <c r="YF347" s="4"/>
      <c r="YG347" s="4"/>
      <c r="YH347" s="4"/>
      <c r="YI347" s="4"/>
      <c r="YJ347" s="5"/>
      <c r="YK347" s="6"/>
      <c r="YL347" s="4"/>
      <c r="YM347" s="4"/>
      <c r="YN347" s="4"/>
      <c r="YO347" s="8"/>
      <c r="YP347" s="8"/>
      <c r="YQ347" s="5"/>
      <c r="YR347" s="6"/>
      <c r="YS347" s="4"/>
      <c r="YT347" s="4"/>
      <c r="YU347" s="4"/>
      <c r="YV347" s="4"/>
      <c r="YW347" s="4"/>
      <c r="YX347" s="5"/>
      <c r="YY347" s="6"/>
      <c r="YZ347" s="4"/>
      <c r="ZA347" s="4"/>
      <c r="ZB347" s="4"/>
      <c r="ZC347" s="4"/>
      <c r="ZD347" s="4"/>
      <c r="ZE347" s="5"/>
      <c r="ZF347" s="6"/>
      <c r="ZG347" s="4"/>
      <c r="ZH347" s="4"/>
      <c r="ZI347" s="4"/>
      <c r="ZJ347" s="4"/>
      <c r="ZK347" s="4"/>
      <c r="ZL347" s="5"/>
      <c r="ZM347" s="6"/>
      <c r="ZN347" s="4"/>
      <c r="ZO347" s="4"/>
      <c r="ZP347" s="4"/>
      <c r="ZQ347" s="4"/>
      <c r="ZR347" s="4"/>
      <c r="ZS347" s="5"/>
      <c r="ZT347" s="6"/>
      <c r="ZU347" s="4"/>
      <c r="ZV347" s="4"/>
      <c r="ZW347" s="4"/>
      <c r="ZX347" s="4"/>
      <c r="ZY347" s="4"/>
      <c r="ZZ347" s="5"/>
      <c r="AAA347" s="6"/>
      <c r="AAB347" s="4"/>
      <c r="AAC347" s="4"/>
      <c r="AAD347" s="4"/>
      <c r="AAE347" s="4"/>
      <c r="AAF347" s="4"/>
      <c r="AAG347" s="5"/>
      <c r="AAH347" s="6"/>
      <c r="AAI347" s="4"/>
      <c r="AAJ347" s="4"/>
      <c r="AAK347" s="4"/>
      <c r="AAL347" s="4"/>
      <c r="AAM347" s="4"/>
      <c r="AAN347" s="5"/>
      <c r="AAO347" s="6"/>
      <c r="AAP347" s="4"/>
      <c r="AAQ347" s="4"/>
      <c r="AAR347" s="4"/>
      <c r="AAS347" s="4"/>
      <c r="AAT347" s="4"/>
      <c r="AAU347" s="5"/>
      <c r="AAV347" s="6"/>
      <c r="AAW347" s="4"/>
      <c r="AAX347" s="4"/>
      <c r="AAY347" s="4"/>
      <c r="AAZ347" s="4"/>
      <c r="ABA347" s="4"/>
      <c r="ABB347" s="5"/>
      <c r="ABC347" s="6"/>
      <c r="ABD347" s="4"/>
      <c r="ABE347" s="4"/>
      <c r="ABF347" s="4"/>
      <c r="ABG347" s="4"/>
      <c r="ABH347" s="4"/>
      <c r="ABI347" s="5"/>
      <c r="ABJ347" s="6"/>
      <c r="ABK347" s="4"/>
      <c r="ABL347" s="4"/>
      <c r="ABM347" s="4"/>
      <c r="ABN347" s="4"/>
      <c r="ABO347" s="4"/>
      <c r="ABP347" s="5"/>
      <c r="ABQ347" s="6"/>
      <c r="ABR347" s="4"/>
      <c r="ABS347" s="4"/>
      <c r="ABT347" s="4"/>
      <c r="ABU347" s="4"/>
      <c r="ABV347" s="4"/>
      <c r="ABW347" s="5"/>
      <c r="ABX347" s="6"/>
      <c r="ABY347" s="4"/>
      <c r="ABZ347" s="4"/>
      <c r="ACA347" s="4"/>
      <c r="ACB347" s="4"/>
      <c r="ACC347" s="4"/>
      <c r="ACD347" s="5"/>
      <c r="ACE347" s="6"/>
      <c r="ACF347" s="4"/>
      <c r="ACG347" s="4"/>
      <c r="ACH347" s="4"/>
      <c r="ACI347" s="4"/>
      <c r="ACJ347" s="4"/>
      <c r="ACK347" s="5"/>
      <c r="ACL347" s="6"/>
      <c r="ACM347" s="4"/>
      <c r="ACN347" s="4"/>
      <c r="ACO347" s="4"/>
      <c r="ACP347" s="4"/>
      <c r="ACQ347" s="4"/>
      <c r="ACR347" s="5"/>
      <c r="ACS347" s="6"/>
      <c r="ACT347" s="4"/>
      <c r="ACU347" s="4"/>
      <c r="ACV347" s="4"/>
      <c r="ACW347" s="4"/>
      <c r="ACX347" s="4"/>
      <c r="ACY347" s="5"/>
    </row>
    <row r="348" spans="2:805" x14ac:dyDescent="0.25">
      <c r="B348" s="49">
        <v>8014098</v>
      </c>
      <c r="C348" s="57">
        <v>68</v>
      </c>
      <c r="D348" t="s">
        <v>416</v>
      </c>
      <c r="E348" s="35" t="s">
        <v>4167</v>
      </c>
      <c r="F348" s="23">
        <v>1</v>
      </c>
      <c r="G348" s="31">
        <v>37728</v>
      </c>
      <c r="H348" s="23" t="s">
        <v>323</v>
      </c>
      <c r="J348" s="12"/>
      <c r="K348" s="12"/>
      <c r="L348" s="12"/>
      <c r="M348">
        <v>1</v>
      </c>
      <c r="N348" s="17">
        <v>37715</v>
      </c>
      <c r="O348" t="s">
        <v>620</v>
      </c>
      <c r="P348" t="s">
        <v>324</v>
      </c>
      <c r="AL348">
        <v>1</v>
      </c>
      <c r="LL348" s="6" t="s">
        <v>765</v>
      </c>
      <c r="LM348" s="4" t="s">
        <v>766</v>
      </c>
      <c r="LN348" s="4" t="s">
        <v>649</v>
      </c>
      <c r="LO348" s="4"/>
      <c r="LP348" s="8">
        <v>37674</v>
      </c>
      <c r="LQ348" s="4"/>
      <c r="LR348" s="5" t="s">
        <v>325</v>
      </c>
      <c r="LS348" s="6"/>
      <c r="LT348" s="4"/>
      <c r="LU348" s="4"/>
      <c r="LV348" s="4"/>
      <c r="LW348" s="4"/>
      <c r="LX348" s="4"/>
      <c r="LY348" s="5"/>
      <c r="LZ348" s="6" t="s">
        <v>2983</v>
      </c>
      <c r="MA348" s="7" t="s">
        <v>2983</v>
      </c>
      <c r="MB348" s="7" t="s">
        <v>2873</v>
      </c>
      <c r="MC348" s="7" t="s">
        <v>3027</v>
      </c>
      <c r="MD348" s="8">
        <v>37714</v>
      </c>
      <c r="ME348" s="8">
        <v>37714</v>
      </c>
      <c r="MF348" s="8" t="s">
        <v>611</v>
      </c>
      <c r="MG348" s="5" t="s">
        <v>488</v>
      </c>
      <c r="MH348" s="6"/>
      <c r="MI348" s="4"/>
      <c r="MJ348" s="4"/>
      <c r="MK348" s="4"/>
      <c r="ML348" s="4"/>
      <c r="MM348" s="4"/>
      <c r="MN348" s="5"/>
      <c r="MO348" s="6"/>
      <c r="MP348" s="4"/>
      <c r="MQ348" s="4"/>
      <c r="MR348" s="4"/>
      <c r="MS348" s="4"/>
      <c r="MT348" s="4"/>
      <c r="MU348" s="5"/>
      <c r="MV348" s="6"/>
      <c r="MW348" s="4"/>
      <c r="MX348" s="4"/>
      <c r="MY348" s="4"/>
      <c r="MZ348" s="4"/>
      <c r="NA348" s="4"/>
      <c r="NB348" s="5"/>
      <c r="NC348" s="6"/>
      <c r="ND348" s="4"/>
      <c r="NE348" s="4"/>
      <c r="NF348" s="4"/>
      <c r="NG348" s="4"/>
      <c r="NH348" s="4"/>
      <c r="NI348" s="5"/>
      <c r="NJ348" s="6"/>
      <c r="NK348" s="4"/>
      <c r="NL348" s="4"/>
      <c r="NM348" s="4"/>
      <c r="NN348" s="4"/>
      <c r="NO348" s="4"/>
      <c r="NP348" s="5"/>
      <c r="NQ348" s="6"/>
      <c r="NR348" s="4"/>
      <c r="NS348" s="4"/>
      <c r="NT348" s="4"/>
      <c r="NU348" s="4"/>
      <c r="NV348" s="4"/>
      <c r="NW348" s="5"/>
      <c r="NX348" s="6"/>
      <c r="NY348" s="4"/>
      <c r="NZ348" s="4"/>
      <c r="OA348" s="4"/>
      <c r="OB348" s="4"/>
      <c r="OC348" s="4"/>
      <c r="OD348" s="5"/>
      <c r="OE348" s="6"/>
      <c r="OF348" s="4"/>
      <c r="OG348" s="4"/>
      <c r="OH348" s="4"/>
      <c r="OI348" s="4"/>
      <c r="OJ348" s="4"/>
      <c r="OK348" s="5"/>
      <c r="OL348" s="6"/>
      <c r="OM348" s="4"/>
      <c r="ON348" s="4"/>
      <c r="OO348" s="4"/>
      <c r="OP348" s="4"/>
      <c r="OQ348" s="4"/>
      <c r="OR348" s="5"/>
      <c r="OS348" s="6" t="s">
        <v>767</v>
      </c>
      <c r="OT348" s="4" t="s">
        <v>768</v>
      </c>
      <c r="OU348" s="4" t="s">
        <v>1496</v>
      </c>
      <c r="OV348" s="4"/>
      <c r="OW348" s="8">
        <v>37674</v>
      </c>
      <c r="OX348" s="4"/>
      <c r="OY348" s="5" t="s">
        <v>326</v>
      </c>
      <c r="OZ348" s="6"/>
      <c r="PA348" s="4"/>
      <c r="PB348" s="4"/>
      <c r="PC348" s="4"/>
      <c r="PD348" s="4"/>
      <c r="PE348" s="4"/>
      <c r="PF348" s="5"/>
      <c r="PG348" s="6"/>
      <c r="PH348" s="4"/>
      <c r="PI348" s="4"/>
      <c r="PJ348" s="4"/>
      <c r="PK348" s="4"/>
      <c r="PL348" s="4"/>
      <c r="PM348" s="5"/>
      <c r="PN348" s="6"/>
      <c r="PO348" s="4"/>
      <c r="PP348" s="4"/>
      <c r="PQ348" s="4"/>
      <c r="PR348" s="4"/>
      <c r="PS348" s="4"/>
      <c r="PT348" s="5"/>
      <c r="PU348" s="6"/>
      <c r="PV348" s="4"/>
      <c r="PW348" s="4"/>
      <c r="PX348" s="4"/>
      <c r="PY348" s="4"/>
      <c r="PZ348" s="4"/>
      <c r="QA348" s="5"/>
      <c r="QB348" s="6" t="s">
        <v>769</v>
      </c>
      <c r="QC348" s="4" t="s">
        <v>770</v>
      </c>
      <c r="QD348" s="4" t="s">
        <v>771</v>
      </c>
      <c r="QE348" s="4"/>
      <c r="QF348" s="8">
        <v>37958</v>
      </c>
      <c r="QG348" s="4"/>
      <c r="QH348" s="5" t="s">
        <v>211</v>
      </c>
      <c r="QI348" s="6"/>
      <c r="QJ348" s="4"/>
      <c r="QK348" s="4"/>
      <c r="QL348" s="4"/>
      <c r="QM348" s="4"/>
      <c r="QN348" s="4"/>
      <c r="QO348" s="5"/>
      <c r="QP348" s="6"/>
      <c r="QQ348" s="4"/>
      <c r="QR348" s="4"/>
      <c r="QS348" s="4"/>
      <c r="QT348" s="4"/>
      <c r="QU348" s="4"/>
      <c r="QV348" s="5"/>
      <c r="QW348" s="6"/>
      <c r="QX348" s="4"/>
      <c r="QY348" s="4"/>
      <c r="QZ348" s="4"/>
      <c r="RA348" s="4"/>
      <c r="RB348" s="4"/>
      <c r="RC348" s="5"/>
      <c r="RD348" s="6"/>
      <c r="RE348" s="4"/>
      <c r="RF348" s="4"/>
      <c r="RG348" s="4"/>
      <c r="RH348" s="4"/>
      <c r="RI348" s="4"/>
      <c r="RJ348" s="5"/>
      <c r="RK348" s="6"/>
      <c r="RL348" s="4"/>
      <c r="RM348" s="4"/>
      <c r="RN348" s="4"/>
      <c r="RO348" s="4"/>
      <c r="RP348" s="4"/>
      <c r="RQ348" s="5"/>
      <c r="RR348" s="6"/>
      <c r="RS348" s="4"/>
      <c r="RT348" s="4"/>
      <c r="RU348" s="4"/>
      <c r="RV348" s="4"/>
      <c r="RW348" s="4"/>
      <c r="RX348" s="5"/>
      <c r="RY348" s="6"/>
      <c r="RZ348" s="4"/>
      <c r="SA348" s="4"/>
      <c r="SB348" s="4"/>
      <c r="SC348" s="4"/>
      <c r="SD348" s="4"/>
      <c r="SE348" s="5"/>
      <c r="SF348" s="6"/>
      <c r="SG348" s="4"/>
      <c r="SH348" s="4"/>
      <c r="SI348" s="4"/>
      <c r="SJ348" s="4"/>
      <c r="SK348" s="4"/>
      <c r="SL348" s="5"/>
      <c r="SM348" s="6"/>
      <c r="SN348" s="4"/>
      <c r="SO348" s="4"/>
      <c r="SP348" s="4"/>
      <c r="SQ348" s="4"/>
      <c r="SR348" s="4"/>
      <c r="SS348" s="5"/>
      <c r="ST348" s="6"/>
      <c r="SU348" s="4"/>
      <c r="SV348" s="4"/>
      <c r="SW348" s="4"/>
      <c r="SX348" s="4"/>
      <c r="SY348" s="4"/>
      <c r="SZ348" s="5"/>
      <c r="TA348" s="6"/>
      <c r="TB348" s="4"/>
      <c r="TC348" s="4"/>
      <c r="TD348" s="4"/>
      <c r="TE348" s="4"/>
      <c r="TF348" s="4"/>
      <c r="TG348" s="5"/>
      <c r="TH348" s="6"/>
      <c r="TI348" s="4"/>
      <c r="TJ348" s="4"/>
      <c r="TK348" s="4"/>
      <c r="TL348" s="4"/>
      <c r="TM348" s="4"/>
      <c r="TN348" s="5"/>
      <c r="TO348" s="6"/>
      <c r="TP348" s="4"/>
      <c r="TQ348" s="4"/>
      <c r="TR348" s="4"/>
      <c r="TS348" s="4"/>
      <c r="TT348" s="4"/>
      <c r="TU348" s="5"/>
      <c r="TV348" s="6"/>
      <c r="TW348" s="4"/>
      <c r="TX348" s="4"/>
      <c r="TY348" s="4"/>
      <c r="TZ348" s="4"/>
      <c r="UA348" s="4"/>
      <c r="UB348" s="5"/>
      <c r="UC348" s="6"/>
      <c r="UD348" s="4"/>
      <c r="UE348" s="4"/>
      <c r="UF348" s="4"/>
      <c r="UG348" s="4"/>
      <c r="UH348" s="4"/>
      <c r="UI348" s="5"/>
      <c r="UJ348" s="6"/>
      <c r="UK348" s="4"/>
      <c r="UL348" s="4"/>
      <c r="UM348" s="4"/>
      <c r="UN348" s="4"/>
      <c r="UO348" s="4"/>
      <c r="UP348" s="5"/>
      <c r="UQ348" s="6"/>
      <c r="UR348" s="4"/>
      <c r="US348" s="4"/>
      <c r="UT348" s="4"/>
      <c r="UU348" s="4"/>
      <c r="UV348" s="4"/>
      <c r="UW348" s="5"/>
      <c r="UX348" s="6" t="s">
        <v>1470</v>
      </c>
      <c r="UY348" s="4" t="s">
        <v>627</v>
      </c>
      <c r="UZ348" s="4"/>
      <c r="VA348" s="4" t="s">
        <v>628</v>
      </c>
      <c r="VB348" s="8">
        <v>37679</v>
      </c>
      <c r="VC348" s="8">
        <v>37719</v>
      </c>
      <c r="VD348" s="5" t="s">
        <v>212</v>
      </c>
      <c r="VE348" s="6"/>
      <c r="VF348" s="4"/>
      <c r="VG348" s="4"/>
      <c r="VH348" s="4"/>
      <c r="VI348" s="4"/>
      <c r="VJ348" s="4"/>
      <c r="VK348" s="5"/>
      <c r="VL348" s="6"/>
      <c r="VM348" s="4"/>
      <c r="VN348" s="4"/>
      <c r="VO348" s="4"/>
      <c r="VP348" s="4"/>
      <c r="VQ348" s="4"/>
      <c r="VR348" s="5"/>
      <c r="VS348" s="6"/>
      <c r="VT348" s="4"/>
      <c r="VU348" s="4"/>
      <c r="VV348" s="4"/>
      <c r="VW348" s="4"/>
      <c r="VX348" s="4"/>
      <c r="VY348" s="5"/>
      <c r="VZ348" s="6"/>
      <c r="WA348" s="4"/>
      <c r="WB348" s="4"/>
      <c r="WC348" s="4"/>
      <c r="WD348" s="4"/>
      <c r="WE348" s="4"/>
      <c r="WF348" s="5"/>
      <c r="WG348" s="6"/>
      <c r="WH348" s="4"/>
      <c r="WI348" s="4"/>
      <c r="WJ348" s="4"/>
      <c r="WK348" s="4"/>
      <c r="WL348" s="4"/>
      <c r="WM348" s="5"/>
      <c r="WN348" s="6"/>
      <c r="WO348" s="4"/>
      <c r="WP348" s="4"/>
      <c r="WQ348" s="4"/>
      <c r="WR348" s="4"/>
      <c r="WS348" s="4"/>
      <c r="WT348" s="5"/>
      <c r="WU348" s="6"/>
      <c r="WV348" s="4"/>
      <c r="WW348" s="4"/>
      <c r="WX348" s="4"/>
      <c r="WY348" s="4"/>
      <c r="WZ348" s="4"/>
      <c r="XA348" s="5"/>
      <c r="XB348" s="6"/>
      <c r="XC348" s="4"/>
      <c r="XD348" s="4"/>
      <c r="XE348" s="4"/>
      <c r="XF348" s="4"/>
      <c r="XG348" s="4"/>
      <c r="XH348" s="5"/>
      <c r="XI348" s="6"/>
      <c r="XJ348" s="4"/>
      <c r="XK348" s="4"/>
      <c r="XL348" s="4"/>
      <c r="XM348" s="4"/>
      <c r="XN348" s="4"/>
      <c r="XO348" s="5"/>
      <c r="XP348" s="6"/>
      <c r="XQ348" s="4"/>
      <c r="XR348" s="4"/>
      <c r="XS348" s="4"/>
      <c r="XT348" s="4"/>
      <c r="XU348" s="4"/>
      <c r="XV348" s="5"/>
      <c r="XW348" s="6"/>
      <c r="XX348" s="4"/>
      <c r="XY348" s="4"/>
      <c r="XZ348" s="4"/>
      <c r="YA348" s="4"/>
      <c r="YB348" s="4"/>
      <c r="YC348" s="5"/>
      <c r="YD348" s="6"/>
      <c r="YE348" s="4"/>
      <c r="YF348" s="4"/>
      <c r="YG348" s="4"/>
      <c r="YH348" s="4"/>
      <c r="YI348" s="4"/>
      <c r="YJ348" s="5"/>
      <c r="YK348" s="6" t="s">
        <v>629</v>
      </c>
      <c r="YL348" s="4" t="s">
        <v>459</v>
      </c>
      <c r="YM348" s="4" t="s">
        <v>2470</v>
      </c>
      <c r="YN348" s="4"/>
      <c r="YO348" s="8">
        <v>37674</v>
      </c>
      <c r="YP348" s="4"/>
      <c r="YQ348" s="5" t="s">
        <v>213</v>
      </c>
      <c r="YR348" s="6"/>
      <c r="YS348" s="4"/>
      <c r="YT348" s="4"/>
      <c r="YU348" s="4"/>
      <c r="YV348" s="4"/>
      <c r="YW348" s="4"/>
      <c r="YX348" s="5"/>
      <c r="YY348" s="6"/>
      <c r="YZ348" s="4"/>
      <c r="ZA348" s="4"/>
      <c r="ZB348" s="4"/>
      <c r="ZC348" s="4"/>
      <c r="ZD348" s="4"/>
      <c r="ZE348" s="5"/>
      <c r="ZF348" s="6"/>
      <c r="ZG348" s="4"/>
      <c r="ZH348" s="4"/>
      <c r="ZI348" s="4"/>
      <c r="ZJ348" s="4"/>
      <c r="ZK348" s="4"/>
      <c r="ZL348" s="5"/>
      <c r="ZM348" s="6" t="s">
        <v>718</v>
      </c>
      <c r="ZN348" s="4" t="s">
        <v>460</v>
      </c>
      <c r="ZO348" s="4" t="s">
        <v>461</v>
      </c>
      <c r="ZP348" s="4"/>
      <c r="ZQ348" s="8">
        <v>37674</v>
      </c>
      <c r="ZR348" s="4"/>
      <c r="ZS348" s="5" t="s">
        <v>215</v>
      </c>
      <c r="ZT348" s="6"/>
      <c r="ZU348" s="4"/>
      <c r="ZV348" s="4"/>
      <c r="ZW348" s="4"/>
      <c r="ZX348" s="4"/>
      <c r="ZY348" s="4"/>
      <c r="ZZ348" s="5"/>
      <c r="AAA348" s="6"/>
      <c r="AAB348" s="4"/>
      <c r="AAC348" s="4"/>
      <c r="AAD348" s="4"/>
      <c r="AAE348" s="4"/>
      <c r="AAF348" s="4"/>
      <c r="AAG348" s="5"/>
      <c r="AAH348" s="6"/>
      <c r="AAI348" s="4"/>
      <c r="AAJ348" s="4"/>
      <c r="AAK348" s="4"/>
      <c r="AAL348" s="4"/>
      <c r="AAM348" s="4"/>
      <c r="AAN348" s="5"/>
      <c r="AAO348" s="6"/>
      <c r="AAP348" s="4"/>
      <c r="AAQ348" s="4"/>
      <c r="AAR348" s="4"/>
      <c r="AAS348" s="4"/>
      <c r="AAT348" s="4"/>
      <c r="AAU348" s="5"/>
      <c r="AAV348" s="6"/>
      <c r="AAW348" s="4"/>
      <c r="AAX348" s="4"/>
      <c r="AAY348" s="4"/>
      <c r="AAZ348" s="4"/>
      <c r="ABA348" s="4"/>
      <c r="ABB348" s="5"/>
      <c r="ABC348" s="6"/>
      <c r="ABD348" s="4"/>
      <c r="ABE348" s="4"/>
      <c r="ABF348" s="4"/>
      <c r="ABG348" s="4"/>
      <c r="ABH348" s="4"/>
      <c r="ABI348" s="5"/>
      <c r="ABJ348" s="6" t="s">
        <v>953</v>
      </c>
      <c r="ABK348" s="4" t="s">
        <v>1946</v>
      </c>
      <c r="ABL348" s="4" t="s">
        <v>2682</v>
      </c>
      <c r="ABM348" s="4"/>
      <c r="ABN348" s="8">
        <v>37677</v>
      </c>
      <c r="ABO348" s="4"/>
      <c r="ABP348" s="5" t="s">
        <v>216</v>
      </c>
      <c r="ABQ348" s="6"/>
      <c r="ABR348" s="4"/>
      <c r="ABS348" s="4"/>
      <c r="ABT348" s="4"/>
      <c r="ABU348" s="4"/>
      <c r="ABV348" s="4"/>
      <c r="ABW348" s="5"/>
      <c r="ABX348" s="6"/>
      <c r="ABY348" s="4"/>
      <c r="ABZ348" s="4"/>
      <c r="ACA348" s="4"/>
      <c r="ACB348" s="4"/>
      <c r="ACC348" s="4"/>
      <c r="ACD348" s="5"/>
      <c r="ACE348" s="6"/>
      <c r="ACF348" s="4"/>
      <c r="ACG348" s="4"/>
      <c r="ACH348" s="4"/>
      <c r="ACI348" s="4"/>
      <c r="ACJ348" s="4"/>
      <c r="ACK348" s="5"/>
      <c r="ACL348" s="6"/>
      <c r="ACM348" s="4"/>
      <c r="ACN348" s="4"/>
      <c r="ACO348" s="4"/>
      <c r="ACP348" s="4"/>
      <c r="ACQ348" s="4"/>
      <c r="ACR348" s="5"/>
      <c r="ACS348" s="6"/>
      <c r="ACT348" s="4"/>
      <c r="ACU348" s="4"/>
      <c r="ACV348" s="4"/>
      <c r="ACW348" s="4"/>
      <c r="ACX348" s="4"/>
      <c r="ACY348" s="5"/>
      <c r="ADF348" t="s">
        <v>220</v>
      </c>
      <c r="ADG348" t="s">
        <v>470</v>
      </c>
      <c r="ADH348" t="s">
        <v>325</v>
      </c>
      <c r="ADN348" t="s">
        <v>219</v>
      </c>
    </row>
    <row r="349" spans="2:805" x14ac:dyDescent="0.25">
      <c r="B349" s="30"/>
      <c r="J349" s="12"/>
      <c r="K349" s="12"/>
      <c r="L349" s="12"/>
      <c r="LL349" s="6"/>
      <c r="LM349" s="4"/>
      <c r="LN349" s="4"/>
      <c r="LO349" s="4"/>
      <c r="LP349" s="4"/>
      <c r="LQ349" s="4"/>
      <c r="LR349" s="5"/>
      <c r="LS349" s="6"/>
      <c r="LT349" s="4"/>
      <c r="LU349" s="4"/>
      <c r="LV349" s="4"/>
      <c r="LW349" s="4"/>
      <c r="LX349" s="4"/>
      <c r="LY349" s="5"/>
      <c r="LZ349" s="6" t="s">
        <v>2609</v>
      </c>
      <c r="MA349" s="7" t="s">
        <v>2609</v>
      </c>
      <c r="MB349" s="7" t="s">
        <v>2110</v>
      </c>
      <c r="MC349" s="7"/>
      <c r="MD349" s="8">
        <v>37666</v>
      </c>
      <c r="ME349" s="8"/>
      <c r="MF349" s="8"/>
      <c r="MG349" s="5" t="s">
        <v>488</v>
      </c>
      <c r="MH349" s="6"/>
      <c r="MI349" s="4"/>
      <c r="MJ349" s="4"/>
      <c r="MK349" s="4"/>
      <c r="ML349" s="4"/>
      <c r="MM349" s="4"/>
      <c r="MN349" s="5"/>
      <c r="MO349" s="6"/>
      <c r="MP349" s="4"/>
      <c r="MQ349" s="4"/>
      <c r="MR349" s="4"/>
      <c r="MS349" s="4"/>
      <c r="MT349" s="4"/>
      <c r="MU349" s="5"/>
      <c r="MV349" s="6"/>
      <c r="MW349" s="4"/>
      <c r="MX349" s="4"/>
      <c r="MY349" s="4"/>
      <c r="MZ349" s="4"/>
      <c r="NA349" s="4"/>
      <c r="NB349" s="5"/>
      <c r="NC349" s="6"/>
      <c r="ND349" s="4"/>
      <c r="NE349" s="4"/>
      <c r="NF349" s="4"/>
      <c r="NG349" s="4"/>
      <c r="NH349" s="4"/>
      <c r="NI349" s="5"/>
      <c r="NJ349" s="6"/>
      <c r="NK349" s="4"/>
      <c r="NL349" s="4"/>
      <c r="NM349" s="4"/>
      <c r="NN349" s="4"/>
      <c r="NO349" s="4"/>
      <c r="NP349" s="5"/>
      <c r="NQ349" s="6"/>
      <c r="NR349" s="4"/>
      <c r="NS349" s="4"/>
      <c r="NT349" s="4"/>
      <c r="NU349" s="4"/>
      <c r="NV349" s="4"/>
      <c r="NW349" s="5"/>
      <c r="NX349" s="6"/>
      <c r="NY349" s="4"/>
      <c r="NZ349" s="4"/>
      <c r="OA349" s="4"/>
      <c r="OB349" s="4"/>
      <c r="OC349" s="4"/>
      <c r="OD349" s="5"/>
      <c r="OE349" s="6"/>
      <c r="OF349" s="4"/>
      <c r="OG349" s="4"/>
      <c r="OH349" s="4"/>
      <c r="OI349" s="4"/>
      <c r="OJ349" s="4"/>
      <c r="OK349" s="5"/>
      <c r="OL349" s="6"/>
      <c r="OM349" s="4"/>
      <c r="ON349" s="4"/>
      <c r="OO349" s="4"/>
      <c r="OP349" s="4"/>
      <c r="OQ349" s="4"/>
      <c r="OR349" s="5"/>
      <c r="OS349" s="6"/>
      <c r="OT349" s="4"/>
      <c r="OU349" s="4"/>
      <c r="OV349" s="4"/>
      <c r="OW349" s="4"/>
      <c r="OX349" s="4"/>
      <c r="OY349" s="5"/>
      <c r="OZ349" s="6"/>
      <c r="PA349" s="4"/>
      <c r="PB349" s="4"/>
      <c r="PC349" s="4"/>
      <c r="PD349" s="4"/>
      <c r="PE349" s="4"/>
      <c r="PF349" s="5"/>
      <c r="PG349" s="6"/>
      <c r="PH349" s="4"/>
      <c r="PI349" s="4"/>
      <c r="PJ349" s="4"/>
      <c r="PK349" s="4"/>
      <c r="PL349" s="4"/>
      <c r="PM349" s="5"/>
      <c r="PN349" s="6"/>
      <c r="PO349" s="4"/>
      <c r="PP349" s="4"/>
      <c r="PQ349" s="4"/>
      <c r="PR349" s="4"/>
      <c r="PS349" s="4"/>
      <c r="PT349" s="5"/>
      <c r="PU349" s="6"/>
      <c r="PV349" s="4"/>
      <c r="PW349" s="4"/>
      <c r="PX349" s="4"/>
      <c r="PY349" s="4"/>
      <c r="PZ349" s="4"/>
      <c r="QA349" s="5"/>
      <c r="QB349" s="6"/>
      <c r="QC349" s="4"/>
      <c r="QD349" s="4"/>
      <c r="QE349" s="4"/>
      <c r="QF349" s="4"/>
      <c r="QG349" s="4"/>
      <c r="QH349" s="5"/>
      <c r="QI349" s="6"/>
      <c r="QJ349" s="4"/>
      <c r="QK349" s="4"/>
      <c r="QL349" s="4"/>
      <c r="QM349" s="4"/>
      <c r="QN349" s="4"/>
      <c r="QO349" s="5"/>
      <c r="QP349" s="6"/>
      <c r="QQ349" s="4"/>
      <c r="QR349" s="4"/>
      <c r="QS349" s="4"/>
      <c r="QT349" s="4"/>
      <c r="QU349" s="4"/>
      <c r="QV349" s="5"/>
      <c r="QW349" s="6"/>
      <c r="QX349" s="4"/>
      <c r="QY349" s="4"/>
      <c r="QZ349" s="4"/>
      <c r="RA349" s="4"/>
      <c r="RB349" s="4"/>
      <c r="RC349" s="5"/>
      <c r="RD349" s="6"/>
      <c r="RE349" s="4"/>
      <c r="RF349" s="4"/>
      <c r="RG349" s="4"/>
      <c r="RH349" s="4"/>
      <c r="RI349" s="4"/>
      <c r="RJ349" s="5"/>
      <c r="RK349" s="6"/>
      <c r="RL349" s="4"/>
      <c r="RM349" s="4"/>
      <c r="RN349" s="4"/>
      <c r="RO349" s="4"/>
      <c r="RP349" s="4"/>
      <c r="RQ349" s="5"/>
      <c r="RR349" s="6"/>
      <c r="RS349" s="4"/>
      <c r="RT349" s="4"/>
      <c r="RU349" s="4"/>
      <c r="RV349" s="4"/>
      <c r="RW349" s="4"/>
      <c r="RX349" s="5"/>
      <c r="RY349" s="6"/>
      <c r="RZ349" s="4"/>
      <c r="SA349" s="4"/>
      <c r="SB349" s="4"/>
      <c r="SC349" s="4"/>
      <c r="SD349" s="4"/>
      <c r="SE349" s="5"/>
      <c r="SF349" s="6"/>
      <c r="SG349" s="4"/>
      <c r="SH349" s="4"/>
      <c r="SI349" s="4"/>
      <c r="SJ349" s="4"/>
      <c r="SK349" s="4"/>
      <c r="SL349" s="5"/>
      <c r="SM349" s="6"/>
      <c r="SN349" s="4"/>
      <c r="SO349" s="4"/>
      <c r="SP349" s="4"/>
      <c r="SQ349" s="4"/>
      <c r="SR349" s="4"/>
      <c r="SS349" s="5"/>
      <c r="ST349" s="6"/>
      <c r="SU349" s="4"/>
      <c r="SV349" s="4"/>
      <c r="SW349" s="4"/>
      <c r="SX349" s="4"/>
      <c r="SY349" s="4"/>
      <c r="SZ349" s="5"/>
      <c r="TA349" s="6"/>
      <c r="TB349" s="4"/>
      <c r="TC349" s="4"/>
      <c r="TD349" s="4"/>
      <c r="TE349" s="4"/>
      <c r="TF349" s="4"/>
      <c r="TG349" s="5"/>
      <c r="TH349" s="6"/>
      <c r="TI349" s="4"/>
      <c r="TJ349" s="4"/>
      <c r="TK349" s="4"/>
      <c r="TL349" s="4"/>
      <c r="TM349" s="4"/>
      <c r="TN349" s="5"/>
      <c r="TO349" s="6"/>
      <c r="TP349" s="4"/>
      <c r="TQ349" s="4"/>
      <c r="TR349" s="4"/>
      <c r="TS349" s="4"/>
      <c r="TT349" s="4"/>
      <c r="TU349" s="5"/>
      <c r="TV349" s="6"/>
      <c r="TW349" s="4"/>
      <c r="TX349" s="4"/>
      <c r="TY349" s="4"/>
      <c r="TZ349" s="4"/>
      <c r="UA349" s="4"/>
      <c r="UB349" s="5"/>
      <c r="UC349" s="6"/>
      <c r="UD349" s="4"/>
      <c r="UE349" s="4"/>
      <c r="UF349" s="4"/>
      <c r="UG349" s="4"/>
      <c r="UH349" s="4"/>
      <c r="UI349" s="5"/>
      <c r="UJ349" s="6"/>
      <c r="UK349" s="4"/>
      <c r="UL349" s="4"/>
      <c r="UM349" s="4"/>
      <c r="UN349" s="4"/>
      <c r="UO349" s="4"/>
      <c r="UP349" s="5"/>
      <c r="UQ349" s="6"/>
      <c r="UR349" s="4"/>
      <c r="US349" s="4"/>
      <c r="UT349" s="4"/>
      <c r="UU349" s="4"/>
      <c r="UV349" s="4"/>
      <c r="UW349" s="5"/>
      <c r="UX349" s="6" t="s">
        <v>1470</v>
      </c>
      <c r="UY349" s="4" t="s">
        <v>627</v>
      </c>
      <c r="UZ349" s="4" t="s">
        <v>4013</v>
      </c>
      <c r="VA349" s="4"/>
      <c r="VB349" s="4"/>
      <c r="VC349" s="4"/>
      <c r="VD349" s="5"/>
      <c r="VE349" s="6"/>
      <c r="VF349" s="4"/>
      <c r="VG349" s="4"/>
      <c r="VH349" s="4"/>
      <c r="VI349" s="4"/>
      <c r="VJ349" s="4"/>
      <c r="VK349" s="5"/>
      <c r="VL349" s="6"/>
      <c r="VM349" s="4"/>
      <c r="VN349" s="4"/>
      <c r="VO349" s="4"/>
      <c r="VP349" s="4"/>
      <c r="VQ349" s="4"/>
      <c r="VR349" s="5"/>
      <c r="VS349" s="6"/>
      <c r="VT349" s="4"/>
      <c r="VU349" s="4"/>
      <c r="VV349" s="4"/>
      <c r="VW349" s="4"/>
      <c r="VX349" s="4"/>
      <c r="VY349" s="5"/>
      <c r="VZ349" s="6"/>
      <c r="WA349" s="4"/>
      <c r="WB349" s="4"/>
      <c r="WC349" s="4"/>
      <c r="WD349" s="4"/>
      <c r="WE349" s="4"/>
      <c r="WF349" s="5"/>
      <c r="WG349" s="6"/>
      <c r="WH349" s="4"/>
      <c r="WI349" s="4"/>
      <c r="WJ349" s="4"/>
      <c r="WK349" s="4"/>
      <c r="WL349" s="4"/>
      <c r="WM349" s="5"/>
      <c r="WN349" s="6"/>
      <c r="WO349" s="4"/>
      <c r="WP349" s="4"/>
      <c r="WQ349" s="4"/>
      <c r="WR349" s="4"/>
      <c r="WS349" s="4"/>
      <c r="WT349" s="5"/>
      <c r="WU349" s="6"/>
      <c r="WV349" s="4"/>
      <c r="WW349" s="4"/>
      <c r="WX349" s="4"/>
      <c r="WY349" s="4"/>
      <c r="WZ349" s="4"/>
      <c r="XA349" s="5"/>
      <c r="XB349" s="6"/>
      <c r="XC349" s="4"/>
      <c r="XD349" s="4"/>
      <c r="XE349" s="4"/>
      <c r="XF349" s="4"/>
      <c r="XG349" s="4"/>
      <c r="XH349" s="5"/>
      <c r="XI349" s="6"/>
      <c r="XJ349" s="4"/>
      <c r="XK349" s="4"/>
      <c r="XL349" s="4"/>
      <c r="XM349" s="4"/>
      <c r="XN349" s="4"/>
      <c r="XO349" s="5"/>
      <c r="XP349" s="6"/>
      <c r="XQ349" s="4"/>
      <c r="XR349" s="4"/>
      <c r="XS349" s="4"/>
      <c r="XT349" s="4"/>
      <c r="XU349" s="4"/>
      <c r="XV349" s="5"/>
      <c r="XW349" s="6"/>
      <c r="XX349" s="4"/>
      <c r="XY349" s="4"/>
      <c r="XZ349" s="4"/>
      <c r="YA349" s="4"/>
      <c r="YB349" s="4"/>
      <c r="YC349" s="5"/>
      <c r="YD349" s="6"/>
      <c r="YE349" s="4"/>
      <c r="YF349" s="4"/>
      <c r="YG349" s="4"/>
      <c r="YH349" s="4"/>
      <c r="YI349" s="4"/>
      <c r="YJ349" s="5"/>
      <c r="YK349" s="6" t="s">
        <v>462</v>
      </c>
      <c r="YL349" s="4" t="s">
        <v>463</v>
      </c>
      <c r="YM349" s="4" t="s">
        <v>464</v>
      </c>
      <c r="YN349" s="4"/>
      <c r="YO349" s="8">
        <v>37674</v>
      </c>
      <c r="YP349" s="4"/>
      <c r="YQ349" s="5" t="s">
        <v>214</v>
      </c>
      <c r="YR349" s="6"/>
      <c r="YS349" s="4"/>
      <c r="YT349" s="4"/>
      <c r="YU349" s="4"/>
      <c r="YV349" s="4"/>
      <c r="YW349" s="4"/>
      <c r="YX349" s="5"/>
      <c r="YY349" s="6"/>
      <c r="YZ349" s="4"/>
      <c r="ZA349" s="4"/>
      <c r="ZB349" s="4"/>
      <c r="ZC349" s="4"/>
      <c r="ZD349" s="4"/>
      <c r="ZE349" s="5"/>
      <c r="ZF349" s="6"/>
      <c r="ZG349" s="4"/>
      <c r="ZH349" s="4"/>
      <c r="ZI349" s="4"/>
      <c r="ZJ349" s="4"/>
      <c r="ZK349" s="4"/>
      <c r="ZL349" s="5"/>
      <c r="ZM349" s="6"/>
      <c r="ZN349" s="4"/>
      <c r="ZO349" s="4"/>
      <c r="ZP349" s="4"/>
      <c r="ZQ349" s="4"/>
      <c r="ZR349" s="4"/>
      <c r="ZS349" s="5"/>
      <c r="ZT349" s="6"/>
      <c r="ZU349" s="4"/>
      <c r="ZV349" s="4"/>
      <c r="ZW349" s="4"/>
      <c r="ZX349" s="4"/>
      <c r="ZY349" s="4"/>
      <c r="ZZ349" s="5"/>
      <c r="AAA349" s="6"/>
      <c r="AAB349" s="4"/>
      <c r="AAC349" s="4"/>
      <c r="AAD349" s="4"/>
      <c r="AAE349" s="4"/>
      <c r="AAF349" s="4"/>
      <c r="AAG349" s="5"/>
      <c r="AAH349" s="6"/>
      <c r="AAI349" s="4"/>
      <c r="AAJ349" s="4"/>
      <c r="AAK349" s="4"/>
      <c r="AAL349" s="4"/>
      <c r="AAM349" s="4"/>
      <c r="AAN349" s="5"/>
      <c r="AAO349" s="6"/>
      <c r="AAP349" s="4"/>
      <c r="AAQ349" s="4"/>
      <c r="AAR349" s="4"/>
      <c r="AAS349" s="4"/>
      <c r="AAT349" s="4"/>
      <c r="AAU349" s="5"/>
      <c r="AAV349" s="6"/>
      <c r="AAW349" s="4"/>
      <c r="AAX349" s="4"/>
      <c r="AAY349" s="4"/>
      <c r="AAZ349" s="4"/>
      <c r="ABA349" s="4"/>
      <c r="ABB349" s="5"/>
      <c r="ABC349" s="6"/>
      <c r="ABD349" s="4"/>
      <c r="ABE349" s="4"/>
      <c r="ABF349" s="4"/>
      <c r="ABG349" s="4"/>
      <c r="ABH349" s="4"/>
      <c r="ABI349" s="5"/>
      <c r="ABJ349" s="6" t="s">
        <v>465</v>
      </c>
      <c r="ABK349" s="4" t="s">
        <v>1018</v>
      </c>
      <c r="ABL349" s="4" t="s">
        <v>2987</v>
      </c>
      <c r="ABM349" s="7" t="s">
        <v>2066</v>
      </c>
      <c r="ABN349" s="8">
        <v>37699</v>
      </c>
      <c r="ABO349" s="8">
        <v>37719</v>
      </c>
      <c r="ABP349" s="5" t="s">
        <v>217</v>
      </c>
      <c r="ABQ349" s="6"/>
      <c r="ABR349" s="4"/>
      <c r="ABS349" s="4"/>
      <c r="ABT349" s="4"/>
      <c r="ABU349" s="4"/>
      <c r="ABV349" s="4"/>
      <c r="ABW349" s="5"/>
      <c r="ABX349" s="6"/>
      <c r="ABY349" s="4"/>
      <c r="ABZ349" s="4"/>
      <c r="ACA349" s="4"/>
      <c r="ACB349" s="4"/>
      <c r="ACC349" s="4"/>
      <c r="ACD349" s="5"/>
      <c r="ACE349" s="6"/>
      <c r="ACF349" s="4"/>
      <c r="ACG349" s="4"/>
      <c r="ACH349" s="4"/>
      <c r="ACI349" s="4"/>
      <c r="ACJ349" s="4"/>
      <c r="ACK349" s="5"/>
      <c r="ACL349" s="6"/>
      <c r="ACM349" s="4"/>
      <c r="ACN349" s="4"/>
      <c r="ACO349" s="4"/>
      <c r="ACP349" s="4"/>
      <c r="ACQ349" s="4"/>
      <c r="ACR349" s="5"/>
      <c r="ACS349" s="6"/>
      <c r="ACT349" s="4"/>
      <c r="ACU349" s="4"/>
      <c r="ACV349" s="4"/>
      <c r="ACW349" s="4"/>
      <c r="ACX349" s="4"/>
      <c r="ACY349" s="5"/>
    </row>
    <row r="350" spans="2:805" x14ac:dyDescent="0.25">
      <c r="B350" s="30"/>
      <c r="J350" s="12"/>
      <c r="K350" s="12"/>
      <c r="L350" s="12"/>
      <c r="LL350" s="6"/>
      <c r="LM350" s="4"/>
      <c r="LN350" s="4"/>
      <c r="LO350" s="4"/>
      <c r="LP350" s="4"/>
      <c r="LQ350" s="4"/>
      <c r="LR350" s="5"/>
      <c r="LS350" s="6"/>
      <c r="LT350" s="4"/>
      <c r="LU350" s="4"/>
      <c r="LV350" s="4"/>
      <c r="LW350" s="4"/>
      <c r="LX350" s="4"/>
      <c r="LY350" s="5"/>
      <c r="LZ350" s="6" t="s">
        <v>2698</v>
      </c>
      <c r="MA350" s="7" t="s">
        <v>2157</v>
      </c>
      <c r="MB350" s="7" t="s">
        <v>2110</v>
      </c>
      <c r="MC350" s="7"/>
      <c r="MD350" s="8">
        <v>37666</v>
      </c>
      <c r="ME350" s="8"/>
      <c r="MF350" s="8"/>
      <c r="MG350" s="5" t="s">
        <v>437</v>
      </c>
      <c r="MH350" s="6"/>
      <c r="MI350" s="4"/>
      <c r="MJ350" s="4"/>
      <c r="MK350" s="4"/>
      <c r="ML350" s="4"/>
      <c r="MM350" s="4"/>
      <c r="MN350" s="5"/>
      <c r="MO350" s="6"/>
      <c r="MP350" s="4"/>
      <c r="MQ350" s="4"/>
      <c r="MR350" s="4"/>
      <c r="MS350" s="4"/>
      <c r="MT350" s="4"/>
      <c r="MU350" s="5"/>
      <c r="MV350" s="6"/>
      <c r="MW350" s="4"/>
      <c r="MX350" s="4"/>
      <c r="MY350" s="4"/>
      <c r="MZ350" s="4"/>
      <c r="NA350" s="4"/>
      <c r="NB350" s="5"/>
      <c r="NC350" s="6"/>
      <c r="ND350" s="4"/>
      <c r="NE350" s="4"/>
      <c r="NF350" s="4"/>
      <c r="NG350" s="4"/>
      <c r="NH350" s="4"/>
      <c r="NI350" s="5"/>
      <c r="NJ350" s="6"/>
      <c r="NK350" s="4"/>
      <c r="NL350" s="4"/>
      <c r="NM350" s="4"/>
      <c r="NN350" s="4"/>
      <c r="NO350" s="4"/>
      <c r="NP350" s="5"/>
      <c r="NQ350" s="6"/>
      <c r="NR350" s="4"/>
      <c r="NS350" s="4"/>
      <c r="NT350" s="4"/>
      <c r="NU350" s="4"/>
      <c r="NV350" s="4"/>
      <c r="NW350" s="5"/>
      <c r="NX350" s="6"/>
      <c r="NY350" s="4"/>
      <c r="NZ350" s="4"/>
      <c r="OA350" s="4"/>
      <c r="OB350" s="4"/>
      <c r="OC350" s="4"/>
      <c r="OD350" s="5"/>
      <c r="OE350" s="6"/>
      <c r="OF350" s="4"/>
      <c r="OG350" s="4"/>
      <c r="OH350" s="4"/>
      <c r="OI350" s="4"/>
      <c r="OJ350" s="4"/>
      <c r="OK350" s="5"/>
      <c r="OL350" s="6"/>
      <c r="OM350" s="4"/>
      <c r="ON350" s="4"/>
      <c r="OO350" s="4"/>
      <c r="OP350" s="4"/>
      <c r="OQ350" s="4"/>
      <c r="OR350" s="5"/>
      <c r="OS350" s="6"/>
      <c r="OT350" s="4"/>
      <c r="OU350" s="4"/>
      <c r="OV350" s="4"/>
      <c r="OW350" s="4"/>
      <c r="OX350" s="4"/>
      <c r="OY350" s="5"/>
      <c r="OZ350" s="6"/>
      <c r="PA350" s="4"/>
      <c r="PB350" s="4"/>
      <c r="PC350" s="4"/>
      <c r="PD350" s="4"/>
      <c r="PE350" s="4"/>
      <c r="PF350" s="5"/>
      <c r="PG350" s="6"/>
      <c r="PH350" s="4"/>
      <c r="PI350" s="4"/>
      <c r="PJ350" s="4"/>
      <c r="PK350" s="4"/>
      <c r="PL350" s="4"/>
      <c r="PM350" s="5"/>
      <c r="PN350" s="6"/>
      <c r="PO350" s="4"/>
      <c r="PP350" s="4"/>
      <c r="PQ350" s="4"/>
      <c r="PR350" s="4"/>
      <c r="PS350" s="4"/>
      <c r="PT350" s="5"/>
      <c r="PU350" s="6"/>
      <c r="PV350" s="4"/>
      <c r="PW350" s="4"/>
      <c r="PX350" s="4"/>
      <c r="PY350" s="4"/>
      <c r="PZ350" s="4"/>
      <c r="QA350" s="5"/>
      <c r="QB350" s="6"/>
      <c r="QC350" s="4"/>
      <c r="QD350" s="4"/>
      <c r="QE350" s="4"/>
      <c r="QF350" s="4"/>
      <c r="QG350" s="4"/>
      <c r="QH350" s="5"/>
      <c r="QI350" s="6"/>
      <c r="QJ350" s="4"/>
      <c r="QK350" s="4"/>
      <c r="QL350" s="4"/>
      <c r="QM350" s="4"/>
      <c r="QN350" s="4"/>
      <c r="QO350" s="5"/>
      <c r="QP350" s="6"/>
      <c r="QQ350" s="4"/>
      <c r="QR350" s="4"/>
      <c r="QS350" s="4"/>
      <c r="QT350" s="4"/>
      <c r="QU350" s="4"/>
      <c r="QV350" s="5"/>
      <c r="QW350" s="6"/>
      <c r="QX350" s="4"/>
      <c r="QY350" s="4"/>
      <c r="QZ350" s="4"/>
      <c r="RA350" s="4"/>
      <c r="RB350" s="4"/>
      <c r="RC350" s="5"/>
      <c r="RD350" s="6"/>
      <c r="RE350" s="4"/>
      <c r="RF350" s="4"/>
      <c r="RG350" s="4"/>
      <c r="RH350" s="4"/>
      <c r="RI350" s="4"/>
      <c r="RJ350" s="5"/>
      <c r="RK350" s="6"/>
      <c r="RL350" s="4"/>
      <c r="RM350" s="4"/>
      <c r="RN350" s="4"/>
      <c r="RO350" s="4"/>
      <c r="RP350" s="4"/>
      <c r="RQ350" s="5"/>
      <c r="RR350" s="6"/>
      <c r="RS350" s="4"/>
      <c r="RT350" s="4"/>
      <c r="RU350" s="4"/>
      <c r="RV350" s="4"/>
      <c r="RW350" s="4"/>
      <c r="RX350" s="5"/>
      <c r="RY350" s="6"/>
      <c r="RZ350" s="4"/>
      <c r="SA350" s="4"/>
      <c r="SB350" s="4"/>
      <c r="SC350" s="4"/>
      <c r="SD350" s="4"/>
      <c r="SE350" s="5"/>
      <c r="SF350" s="6"/>
      <c r="SG350" s="4"/>
      <c r="SH350" s="4"/>
      <c r="SI350" s="4"/>
      <c r="SJ350" s="4"/>
      <c r="SK350" s="4"/>
      <c r="SL350" s="5"/>
      <c r="SM350" s="6"/>
      <c r="SN350" s="4"/>
      <c r="SO350" s="4"/>
      <c r="SP350" s="4"/>
      <c r="SQ350" s="4"/>
      <c r="SR350" s="4"/>
      <c r="SS350" s="5"/>
      <c r="ST350" s="6"/>
      <c r="SU350" s="4"/>
      <c r="SV350" s="4"/>
      <c r="SW350" s="4"/>
      <c r="SX350" s="4"/>
      <c r="SY350" s="4"/>
      <c r="SZ350" s="5"/>
      <c r="TA350" s="6"/>
      <c r="TB350" s="4"/>
      <c r="TC350" s="4"/>
      <c r="TD350" s="4"/>
      <c r="TE350" s="4"/>
      <c r="TF350" s="4"/>
      <c r="TG350" s="5"/>
      <c r="TH350" s="6"/>
      <c r="TI350" s="4"/>
      <c r="TJ350" s="4"/>
      <c r="TK350" s="4"/>
      <c r="TL350" s="4"/>
      <c r="TM350" s="4"/>
      <c r="TN350" s="5"/>
      <c r="TO350" s="6"/>
      <c r="TP350" s="4"/>
      <c r="TQ350" s="4"/>
      <c r="TR350" s="4"/>
      <c r="TS350" s="4"/>
      <c r="TT350" s="4"/>
      <c r="TU350" s="5"/>
      <c r="TV350" s="6"/>
      <c r="TW350" s="4"/>
      <c r="TX350" s="4"/>
      <c r="TY350" s="4"/>
      <c r="TZ350" s="4"/>
      <c r="UA350" s="4"/>
      <c r="UB350" s="5"/>
      <c r="UC350" s="6"/>
      <c r="UD350" s="4"/>
      <c r="UE350" s="4"/>
      <c r="UF350" s="4"/>
      <c r="UG350" s="4"/>
      <c r="UH350" s="4"/>
      <c r="UI350" s="5"/>
      <c r="UJ350" s="6"/>
      <c r="UK350" s="4"/>
      <c r="UL350" s="4"/>
      <c r="UM350" s="4"/>
      <c r="UN350" s="4"/>
      <c r="UO350" s="4"/>
      <c r="UP350" s="5"/>
      <c r="UQ350" s="6"/>
      <c r="UR350" s="4"/>
      <c r="US350" s="4"/>
      <c r="UT350" s="4"/>
      <c r="UU350" s="4"/>
      <c r="UV350" s="4"/>
      <c r="UW350" s="5"/>
      <c r="UX350" s="6" t="s">
        <v>1470</v>
      </c>
      <c r="UY350" s="4" t="s">
        <v>627</v>
      </c>
      <c r="UZ350" s="4" t="s">
        <v>2012</v>
      </c>
      <c r="VA350" s="4"/>
      <c r="VB350" s="4"/>
      <c r="VC350" s="4"/>
      <c r="VD350" s="5"/>
      <c r="VE350" s="6"/>
      <c r="VF350" s="4"/>
      <c r="VG350" s="4"/>
      <c r="VH350" s="4"/>
      <c r="VI350" s="4"/>
      <c r="VJ350" s="4"/>
      <c r="VK350" s="5"/>
      <c r="VL350" s="6"/>
      <c r="VM350" s="4"/>
      <c r="VN350" s="4"/>
      <c r="VO350" s="4"/>
      <c r="VP350" s="4"/>
      <c r="VQ350" s="4"/>
      <c r="VR350" s="5"/>
      <c r="VS350" s="6"/>
      <c r="VT350" s="4"/>
      <c r="VU350" s="4"/>
      <c r="VV350" s="4"/>
      <c r="VW350" s="4"/>
      <c r="VX350" s="4"/>
      <c r="VY350" s="5"/>
      <c r="VZ350" s="6"/>
      <c r="WA350" s="4"/>
      <c r="WB350" s="4"/>
      <c r="WC350" s="4"/>
      <c r="WD350" s="4"/>
      <c r="WE350" s="4"/>
      <c r="WF350" s="5"/>
      <c r="WG350" s="6"/>
      <c r="WH350" s="4"/>
      <c r="WI350" s="4"/>
      <c r="WJ350" s="4"/>
      <c r="WK350" s="4"/>
      <c r="WL350" s="4"/>
      <c r="WM350" s="5"/>
      <c r="WN350" s="6"/>
      <c r="WO350" s="4"/>
      <c r="WP350" s="4"/>
      <c r="WQ350" s="4"/>
      <c r="WR350" s="4"/>
      <c r="WS350" s="4"/>
      <c r="WT350" s="5"/>
      <c r="WU350" s="6"/>
      <c r="WV350" s="4"/>
      <c r="WW350" s="4"/>
      <c r="WX350" s="4"/>
      <c r="WY350" s="4"/>
      <c r="WZ350" s="4"/>
      <c r="XA350" s="5"/>
      <c r="XB350" s="6"/>
      <c r="XC350" s="4"/>
      <c r="XD350" s="4"/>
      <c r="XE350" s="4"/>
      <c r="XF350" s="4"/>
      <c r="XG350" s="4"/>
      <c r="XH350" s="5"/>
      <c r="XI350" s="6"/>
      <c r="XJ350" s="4"/>
      <c r="XK350" s="4"/>
      <c r="XL350" s="4"/>
      <c r="XM350" s="4"/>
      <c r="XN350" s="4"/>
      <c r="XO350" s="5"/>
      <c r="XP350" s="6"/>
      <c r="XQ350" s="4"/>
      <c r="XR350" s="4"/>
      <c r="XS350" s="4"/>
      <c r="XT350" s="4"/>
      <c r="XU350" s="4"/>
      <c r="XV350" s="5"/>
      <c r="XW350" s="6"/>
      <c r="XX350" s="4"/>
      <c r="XY350" s="4"/>
      <c r="XZ350" s="4"/>
      <c r="YA350" s="4"/>
      <c r="YB350" s="4"/>
      <c r="YC350" s="5"/>
      <c r="YD350" s="6"/>
      <c r="YE350" s="4"/>
      <c r="YF350" s="4"/>
      <c r="YG350" s="4"/>
      <c r="YH350" s="4"/>
      <c r="YI350" s="4"/>
      <c r="YJ350" s="5"/>
      <c r="YK350" s="6" t="s">
        <v>587</v>
      </c>
      <c r="YL350" s="4" t="s">
        <v>1260</v>
      </c>
      <c r="YM350" s="4" t="s">
        <v>2470</v>
      </c>
      <c r="YN350" s="4"/>
      <c r="YO350" s="8">
        <v>37674</v>
      </c>
      <c r="YP350" s="4"/>
      <c r="YQ350" s="5"/>
      <c r="YR350" s="6"/>
      <c r="YS350" s="4"/>
      <c r="YT350" s="4"/>
      <c r="YU350" s="4"/>
      <c r="YV350" s="4"/>
      <c r="YW350" s="4"/>
      <c r="YX350" s="5"/>
      <c r="YY350" s="6"/>
      <c r="YZ350" s="4"/>
      <c r="ZA350" s="4"/>
      <c r="ZB350" s="4"/>
      <c r="ZC350" s="4"/>
      <c r="ZD350" s="4"/>
      <c r="ZE350" s="5"/>
      <c r="ZF350" s="6"/>
      <c r="ZG350" s="4"/>
      <c r="ZH350" s="4"/>
      <c r="ZI350" s="4"/>
      <c r="ZJ350" s="4"/>
      <c r="ZK350" s="4"/>
      <c r="ZL350" s="5"/>
      <c r="ZM350" s="6"/>
      <c r="ZN350" s="4"/>
      <c r="ZO350" s="4"/>
      <c r="ZP350" s="4"/>
      <c r="ZQ350" s="4"/>
      <c r="ZR350" s="4"/>
      <c r="ZS350" s="5"/>
      <c r="ZT350" s="6"/>
      <c r="ZU350" s="4"/>
      <c r="ZV350" s="4"/>
      <c r="ZW350" s="4"/>
      <c r="ZX350" s="4"/>
      <c r="ZY350" s="4"/>
      <c r="ZZ350" s="5"/>
      <c r="AAA350" s="6"/>
      <c r="AAB350" s="4"/>
      <c r="AAC350" s="4"/>
      <c r="AAD350" s="4"/>
      <c r="AAE350" s="4"/>
      <c r="AAF350" s="4"/>
      <c r="AAG350" s="5"/>
      <c r="AAH350" s="6"/>
      <c r="AAI350" s="4"/>
      <c r="AAJ350" s="4"/>
      <c r="AAK350" s="4"/>
      <c r="AAL350" s="4"/>
      <c r="AAM350" s="4"/>
      <c r="AAN350" s="5"/>
      <c r="AAO350" s="6"/>
      <c r="AAP350" s="4"/>
      <c r="AAQ350" s="4"/>
      <c r="AAR350" s="4"/>
      <c r="AAS350" s="4"/>
      <c r="AAT350" s="4"/>
      <c r="AAU350" s="5"/>
      <c r="AAV350" s="6"/>
      <c r="AAW350" s="4"/>
      <c r="AAX350" s="4"/>
      <c r="AAY350" s="4"/>
      <c r="AAZ350" s="4"/>
      <c r="ABA350" s="4"/>
      <c r="ABB350" s="5"/>
      <c r="ABC350" s="6"/>
      <c r="ABD350" s="4"/>
      <c r="ABE350" s="4"/>
      <c r="ABF350" s="4"/>
      <c r="ABG350" s="4"/>
      <c r="ABH350" s="4"/>
      <c r="ABI350" s="5"/>
      <c r="ABJ350" s="6" t="s">
        <v>2009</v>
      </c>
      <c r="ABK350" s="4" t="s">
        <v>2010</v>
      </c>
      <c r="ABL350" s="4" t="s">
        <v>1680</v>
      </c>
      <c r="ABM350" s="4"/>
      <c r="ABN350" s="8">
        <v>37676</v>
      </c>
      <c r="ABO350" s="4"/>
      <c r="ABP350" s="5" t="s">
        <v>218</v>
      </c>
      <c r="ABQ350" s="6"/>
      <c r="ABR350" s="4"/>
      <c r="ABS350" s="4"/>
      <c r="ABT350" s="4"/>
      <c r="ABU350" s="4"/>
      <c r="ABV350" s="4"/>
      <c r="ABW350" s="5"/>
      <c r="ABX350" s="6"/>
      <c r="ABY350" s="4"/>
      <c r="ABZ350" s="4"/>
      <c r="ACA350" s="4"/>
      <c r="ACB350" s="4"/>
      <c r="ACC350" s="4"/>
      <c r="ACD350" s="5"/>
      <c r="ACE350" s="6"/>
      <c r="ACF350" s="4"/>
      <c r="ACG350" s="4"/>
      <c r="ACH350" s="4"/>
      <c r="ACI350" s="4"/>
      <c r="ACJ350" s="4"/>
      <c r="ACK350" s="5"/>
      <c r="ACL350" s="6"/>
      <c r="ACM350" s="4"/>
      <c r="ACN350" s="4"/>
      <c r="ACO350" s="4"/>
      <c r="ACP350" s="4"/>
      <c r="ACQ350" s="4"/>
      <c r="ACR350" s="5"/>
      <c r="ACS350" s="6"/>
      <c r="ACT350" s="4"/>
      <c r="ACU350" s="4"/>
      <c r="ACV350" s="4"/>
      <c r="ACW350" s="4"/>
      <c r="ACX350" s="4"/>
      <c r="ACY350" s="5"/>
    </row>
    <row r="351" spans="2:805" x14ac:dyDescent="0.25">
      <c r="B351" s="30"/>
      <c r="J351" s="12"/>
      <c r="K351" s="12"/>
      <c r="L351" s="12"/>
      <c r="LL351" s="6"/>
      <c r="LM351" s="4"/>
      <c r="LN351" s="4"/>
      <c r="LO351" s="4"/>
      <c r="LP351" s="4"/>
      <c r="LQ351" s="4"/>
      <c r="LR351" s="5"/>
      <c r="LS351" s="6"/>
      <c r="LT351" s="4"/>
      <c r="LU351" s="4"/>
      <c r="LV351" s="4"/>
      <c r="LW351" s="4"/>
      <c r="LX351" s="4"/>
      <c r="LY351" s="5"/>
      <c r="LZ351" s="6"/>
      <c r="MA351" s="7"/>
      <c r="MB351" s="7"/>
      <c r="MC351" s="7"/>
      <c r="MD351" s="8"/>
      <c r="ME351" s="8"/>
      <c r="MF351" s="8"/>
      <c r="MG351" s="5"/>
      <c r="MH351" s="6"/>
      <c r="MI351" s="4"/>
      <c r="MJ351" s="4"/>
      <c r="MK351" s="4"/>
      <c r="ML351" s="4"/>
      <c r="MM351" s="4"/>
      <c r="MN351" s="5"/>
      <c r="MO351" s="6"/>
      <c r="MP351" s="4"/>
      <c r="MQ351" s="4"/>
      <c r="MR351" s="4"/>
      <c r="MS351" s="4"/>
      <c r="MT351" s="4"/>
      <c r="MU351" s="5"/>
      <c r="MV351" s="6"/>
      <c r="MW351" s="4"/>
      <c r="MX351" s="4"/>
      <c r="MY351" s="4"/>
      <c r="MZ351" s="4"/>
      <c r="NA351" s="4"/>
      <c r="NB351" s="5"/>
      <c r="NC351" s="6"/>
      <c r="ND351" s="4"/>
      <c r="NE351" s="4"/>
      <c r="NF351" s="4"/>
      <c r="NG351" s="4"/>
      <c r="NH351" s="4"/>
      <c r="NI351" s="5"/>
      <c r="NJ351" s="6"/>
      <c r="NK351" s="4"/>
      <c r="NL351" s="4"/>
      <c r="NM351" s="4"/>
      <c r="NN351" s="4"/>
      <c r="NO351" s="4"/>
      <c r="NP351" s="5"/>
      <c r="NQ351" s="6"/>
      <c r="NR351" s="4"/>
      <c r="NS351" s="4"/>
      <c r="NT351" s="4"/>
      <c r="NU351" s="4"/>
      <c r="NV351" s="4"/>
      <c r="NW351" s="5"/>
      <c r="NX351" s="6"/>
      <c r="NY351" s="4"/>
      <c r="NZ351" s="4"/>
      <c r="OA351" s="4"/>
      <c r="OB351" s="4"/>
      <c r="OC351" s="4"/>
      <c r="OD351" s="5"/>
      <c r="OE351" s="6"/>
      <c r="OF351" s="4"/>
      <c r="OG351" s="4"/>
      <c r="OH351" s="4"/>
      <c r="OI351" s="4"/>
      <c r="OJ351" s="4"/>
      <c r="OK351" s="5"/>
      <c r="OL351" s="6"/>
      <c r="OM351" s="4"/>
      <c r="ON351" s="4"/>
      <c r="OO351" s="4"/>
      <c r="OP351" s="4"/>
      <c r="OQ351" s="4"/>
      <c r="OR351" s="5"/>
      <c r="OS351" s="6"/>
      <c r="OT351" s="4"/>
      <c r="OU351" s="4"/>
      <c r="OV351" s="4"/>
      <c r="OW351" s="4"/>
      <c r="OX351" s="4"/>
      <c r="OY351" s="5"/>
      <c r="OZ351" s="6"/>
      <c r="PA351" s="4"/>
      <c r="PB351" s="4"/>
      <c r="PC351" s="4"/>
      <c r="PD351" s="4"/>
      <c r="PE351" s="4"/>
      <c r="PF351" s="5"/>
      <c r="PG351" s="6"/>
      <c r="PH351" s="4"/>
      <c r="PI351" s="4"/>
      <c r="PJ351" s="4"/>
      <c r="PK351" s="4"/>
      <c r="PL351" s="4"/>
      <c r="PM351" s="5"/>
      <c r="PN351" s="6"/>
      <c r="PO351" s="4"/>
      <c r="PP351" s="4"/>
      <c r="PQ351" s="4"/>
      <c r="PR351" s="4"/>
      <c r="PS351" s="4"/>
      <c r="PT351" s="5"/>
      <c r="PU351" s="6"/>
      <c r="PV351" s="4"/>
      <c r="PW351" s="4"/>
      <c r="PX351" s="4"/>
      <c r="PY351" s="4"/>
      <c r="PZ351" s="4"/>
      <c r="QA351" s="5"/>
      <c r="QB351" s="6"/>
      <c r="QC351" s="4"/>
      <c r="QD351" s="4"/>
      <c r="QE351" s="4"/>
      <c r="QF351" s="4"/>
      <c r="QG351" s="4"/>
      <c r="QH351" s="5"/>
      <c r="QI351" s="6"/>
      <c r="QJ351" s="4"/>
      <c r="QK351" s="4"/>
      <c r="QL351" s="4"/>
      <c r="QM351" s="4"/>
      <c r="QN351" s="4"/>
      <c r="QO351" s="5"/>
      <c r="QP351" s="6"/>
      <c r="QQ351" s="4"/>
      <c r="QR351" s="4"/>
      <c r="QS351" s="4"/>
      <c r="QT351" s="4"/>
      <c r="QU351" s="4"/>
      <c r="QV351" s="5"/>
      <c r="QW351" s="6"/>
      <c r="QX351" s="4"/>
      <c r="QY351" s="4"/>
      <c r="QZ351" s="4"/>
      <c r="RA351" s="4"/>
      <c r="RB351" s="4"/>
      <c r="RC351" s="5"/>
      <c r="RD351" s="6"/>
      <c r="RE351" s="4"/>
      <c r="RF351" s="4"/>
      <c r="RG351" s="4"/>
      <c r="RH351" s="4"/>
      <c r="RI351" s="4"/>
      <c r="RJ351" s="5"/>
      <c r="RK351" s="6"/>
      <c r="RL351" s="4"/>
      <c r="RM351" s="4"/>
      <c r="RN351" s="4"/>
      <c r="RO351" s="4"/>
      <c r="RP351" s="4"/>
      <c r="RQ351" s="5"/>
      <c r="RR351" s="6"/>
      <c r="RS351" s="4"/>
      <c r="RT351" s="4"/>
      <c r="RU351" s="4"/>
      <c r="RV351" s="4"/>
      <c r="RW351" s="4"/>
      <c r="RX351" s="5"/>
      <c r="RY351" s="6"/>
      <c r="RZ351" s="4"/>
      <c r="SA351" s="4"/>
      <c r="SB351" s="4"/>
      <c r="SC351" s="4"/>
      <c r="SD351" s="4"/>
      <c r="SE351" s="5"/>
      <c r="SF351" s="6"/>
      <c r="SG351" s="4"/>
      <c r="SH351" s="4"/>
      <c r="SI351" s="4"/>
      <c r="SJ351" s="4"/>
      <c r="SK351" s="4"/>
      <c r="SL351" s="5"/>
      <c r="SM351" s="6"/>
      <c r="SN351" s="4"/>
      <c r="SO351" s="4"/>
      <c r="SP351" s="4"/>
      <c r="SQ351" s="4"/>
      <c r="SR351" s="4"/>
      <c r="SS351" s="5"/>
      <c r="ST351" s="6"/>
      <c r="SU351" s="4"/>
      <c r="SV351" s="4"/>
      <c r="SW351" s="4"/>
      <c r="SX351" s="4"/>
      <c r="SY351" s="4"/>
      <c r="SZ351" s="5"/>
      <c r="TA351" s="6"/>
      <c r="TB351" s="4"/>
      <c r="TC351" s="4"/>
      <c r="TD351" s="4"/>
      <c r="TE351" s="4"/>
      <c r="TF351" s="4"/>
      <c r="TG351" s="5"/>
      <c r="TH351" s="6"/>
      <c r="TI351" s="4"/>
      <c r="TJ351" s="4"/>
      <c r="TK351" s="4"/>
      <c r="TL351" s="4"/>
      <c r="TM351" s="4"/>
      <c r="TN351" s="5"/>
      <c r="TO351" s="6"/>
      <c r="TP351" s="4"/>
      <c r="TQ351" s="4"/>
      <c r="TR351" s="4"/>
      <c r="TS351" s="4"/>
      <c r="TT351" s="4"/>
      <c r="TU351" s="5"/>
      <c r="TV351" s="6"/>
      <c r="TW351" s="4"/>
      <c r="TX351" s="4"/>
      <c r="TY351" s="4"/>
      <c r="TZ351" s="4"/>
      <c r="UA351" s="4"/>
      <c r="UB351" s="5"/>
      <c r="UC351" s="6"/>
      <c r="UD351" s="4"/>
      <c r="UE351" s="4"/>
      <c r="UF351" s="4"/>
      <c r="UG351" s="4"/>
      <c r="UH351" s="4"/>
      <c r="UI351" s="5"/>
      <c r="UJ351" s="6"/>
      <c r="UK351" s="4"/>
      <c r="UL351" s="4"/>
      <c r="UM351" s="4"/>
      <c r="UN351" s="4"/>
      <c r="UO351" s="4"/>
      <c r="UP351" s="5"/>
      <c r="UQ351" s="6"/>
      <c r="UR351" s="4"/>
      <c r="US351" s="4"/>
      <c r="UT351" s="4"/>
      <c r="UU351" s="4"/>
      <c r="UV351" s="4"/>
      <c r="UW351" s="5"/>
      <c r="UX351" s="6" t="s">
        <v>1470</v>
      </c>
      <c r="UY351" s="4" t="s">
        <v>627</v>
      </c>
      <c r="UZ351" s="4" t="s">
        <v>4013</v>
      </c>
      <c r="VA351" s="4"/>
      <c r="VB351" s="4"/>
      <c r="VC351" s="4"/>
      <c r="VD351" s="5"/>
      <c r="VE351" s="6"/>
      <c r="VF351" s="4"/>
      <c r="VG351" s="4"/>
      <c r="VH351" s="4"/>
      <c r="VI351" s="4"/>
      <c r="VJ351" s="4"/>
      <c r="VK351" s="5"/>
      <c r="VL351" s="6"/>
      <c r="VM351" s="4"/>
      <c r="VN351" s="4"/>
      <c r="VO351" s="4"/>
      <c r="VP351" s="4"/>
      <c r="VQ351" s="4"/>
      <c r="VR351" s="5"/>
      <c r="VS351" s="6"/>
      <c r="VT351" s="4"/>
      <c r="VU351" s="4"/>
      <c r="VV351" s="4"/>
      <c r="VW351" s="4"/>
      <c r="VX351" s="4"/>
      <c r="VY351" s="5"/>
      <c r="VZ351" s="6"/>
      <c r="WA351" s="4"/>
      <c r="WB351" s="4"/>
      <c r="WC351" s="4"/>
      <c r="WD351" s="4"/>
      <c r="WE351" s="4"/>
      <c r="WF351" s="5"/>
      <c r="WG351" s="6"/>
      <c r="WH351" s="4"/>
      <c r="WI351" s="4"/>
      <c r="WJ351" s="4"/>
      <c r="WK351" s="4"/>
      <c r="WL351" s="4"/>
      <c r="WM351" s="5"/>
      <c r="WN351" s="6"/>
      <c r="WO351" s="4"/>
      <c r="WP351" s="4"/>
      <c r="WQ351" s="4"/>
      <c r="WR351" s="4"/>
      <c r="WS351" s="4"/>
      <c r="WT351" s="5"/>
      <c r="WU351" s="6"/>
      <c r="WV351" s="4"/>
      <c r="WW351" s="4"/>
      <c r="WX351" s="4"/>
      <c r="WY351" s="4"/>
      <c r="WZ351" s="4"/>
      <c r="XA351" s="5"/>
      <c r="XB351" s="6"/>
      <c r="XC351" s="4"/>
      <c r="XD351" s="4"/>
      <c r="XE351" s="4"/>
      <c r="XF351" s="4"/>
      <c r="XG351" s="4"/>
      <c r="XH351" s="5"/>
      <c r="XI351" s="6"/>
      <c r="XJ351" s="4"/>
      <c r="XK351" s="4"/>
      <c r="XL351" s="4"/>
      <c r="XM351" s="4"/>
      <c r="XN351" s="4"/>
      <c r="XO351" s="5"/>
      <c r="XP351" s="6"/>
      <c r="XQ351" s="4"/>
      <c r="XR351" s="4"/>
      <c r="XS351" s="4"/>
      <c r="XT351" s="4"/>
      <c r="XU351" s="4"/>
      <c r="XV351" s="5"/>
      <c r="XW351" s="6"/>
      <c r="XX351" s="4"/>
      <c r="XY351" s="4"/>
      <c r="XZ351" s="4"/>
      <c r="YA351" s="4"/>
      <c r="YB351" s="4"/>
      <c r="YC351" s="5"/>
      <c r="YD351" s="6"/>
      <c r="YE351" s="4"/>
      <c r="YF351" s="4"/>
      <c r="YG351" s="4"/>
      <c r="YH351" s="4"/>
      <c r="YI351" s="4"/>
      <c r="YJ351" s="5"/>
      <c r="YK351" s="6"/>
      <c r="YL351" s="4"/>
      <c r="YM351" s="4"/>
      <c r="YN351" s="4"/>
      <c r="YO351" s="8"/>
      <c r="YP351" s="4"/>
      <c r="YQ351" s="5"/>
      <c r="YR351" s="6"/>
      <c r="YS351" s="4"/>
      <c r="YT351" s="4"/>
      <c r="YU351" s="4"/>
      <c r="YV351" s="4"/>
      <c r="YW351" s="4"/>
      <c r="YX351" s="5"/>
      <c r="YY351" s="6"/>
      <c r="YZ351" s="4"/>
      <c r="ZA351" s="4"/>
      <c r="ZB351" s="4"/>
      <c r="ZC351" s="4"/>
      <c r="ZD351" s="4"/>
      <c r="ZE351" s="5"/>
      <c r="ZF351" s="6"/>
      <c r="ZG351" s="4"/>
      <c r="ZH351" s="4"/>
      <c r="ZI351" s="4"/>
      <c r="ZJ351" s="4"/>
      <c r="ZK351" s="4"/>
      <c r="ZL351" s="5"/>
      <c r="ZM351" s="6"/>
      <c r="ZN351" s="4"/>
      <c r="ZO351" s="4"/>
      <c r="ZP351" s="4"/>
      <c r="ZQ351" s="4"/>
      <c r="ZR351" s="4"/>
      <c r="ZS351" s="5"/>
      <c r="ZT351" s="6"/>
      <c r="ZU351" s="4"/>
      <c r="ZV351" s="4"/>
      <c r="ZW351" s="4"/>
      <c r="ZX351" s="4"/>
      <c r="ZY351" s="4"/>
      <c r="ZZ351" s="5"/>
      <c r="AAA351" s="6"/>
      <c r="AAB351" s="4"/>
      <c r="AAC351" s="4"/>
      <c r="AAD351" s="4"/>
      <c r="AAE351" s="4"/>
      <c r="AAF351" s="4"/>
      <c r="AAG351" s="5"/>
      <c r="AAH351" s="6"/>
      <c r="AAI351" s="4"/>
      <c r="AAJ351" s="4"/>
      <c r="AAK351" s="4"/>
      <c r="AAL351" s="4"/>
      <c r="AAM351" s="4"/>
      <c r="AAN351" s="5"/>
      <c r="AAO351" s="6"/>
      <c r="AAP351" s="4"/>
      <c r="AAQ351" s="4"/>
      <c r="AAR351" s="4"/>
      <c r="AAS351" s="4"/>
      <c r="AAT351" s="4"/>
      <c r="AAU351" s="5"/>
      <c r="AAV351" s="6"/>
      <c r="AAW351" s="4"/>
      <c r="AAX351" s="4"/>
      <c r="AAY351" s="4"/>
      <c r="AAZ351" s="4"/>
      <c r="ABA351" s="4"/>
      <c r="ABB351" s="5"/>
      <c r="ABC351" s="6"/>
      <c r="ABD351" s="4"/>
      <c r="ABE351" s="4"/>
      <c r="ABF351" s="4"/>
      <c r="ABG351" s="4"/>
      <c r="ABH351" s="4"/>
      <c r="ABI351" s="5"/>
      <c r="ABJ351" s="6"/>
      <c r="ABK351" s="4"/>
      <c r="ABL351" s="4"/>
      <c r="ABM351" s="4"/>
      <c r="ABN351" s="8"/>
      <c r="ABO351" s="4"/>
      <c r="ABP351" s="5"/>
      <c r="ABQ351" s="6"/>
      <c r="ABR351" s="4"/>
      <c r="ABS351" s="4"/>
      <c r="ABT351" s="4"/>
      <c r="ABU351" s="4"/>
      <c r="ABV351" s="4"/>
      <c r="ABW351" s="5"/>
      <c r="ABX351" s="6"/>
      <c r="ABY351" s="4"/>
      <c r="ABZ351" s="4"/>
      <c r="ACA351" s="4"/>
      <c r="ACB351" s="4"/>
      <c r="ACC351" s="4"/>
      <c r="ACD351" s="5"/>
      <c r="ACE351" s="6"/>
      <c r="ACF351" s="4"/>
      <c r="ACG351" s="4"/>
      <c r="ACH351" s="4"/>
      <c r="ACI351" s="4"/>
      <c r="ACJ351" s="4"/>
      <c r="ACK351" s="5"/>
      <c r="ACL351" s="6"/>
      <c r="ACM351" s="4"/>
      <c r="ACN351" s="4"/>
      <c r="ACO351" s="4"/>
      <c r="ACP351" s="4"/>
      <c r="ACQ351" s="4"/>
      <c r="ACR351" s="5"/>
      <c r="ACS351" s="6"/>
      <c r="ACT351" s="4"/>
      <c r="ACU351" s="4"/>
      <c r="ACV351" s="4"/>
      <c r="ACW351" s="4"/>
      <c r="ACX351" s="4"/>
      <c r="ACY351" s="5"/>
    </row>
    <row r="352" spans="2:805" x14ac:dyDescent="0.25">
      <c r="B352" s="30"/>
      <c r="J352" s="12"/>
      <c r="K352" s="12"/>
      <c r="L352" s="12"/>
      <c r="LL352" s="6"/>
      <c r="LM352" s="4"/>
      <c r="LN352" s="4"/>
      <c r="LO352" s="4"/>
      <c r="LP352" s="4"/>
      <c r="LQ352" s="4"/>
      <c r="LR352" s="5"/>
      <c r="LS352" s="6"/>
      <c r="LT352" s="4"/>
      <c r="LU352" s="4"/>
      <c r="LV352" s="4"/>
      <c r="LW352" s="4"/>
      <c r="LX352" s="4"/>
      <c r="LY352" s="5"/>
      <c r="LZ352" s="6"/>
      <c r="MA352" s="7"/>
      <c r="MB352" s="7"/>
      <c r="MC352" s="7"/>
      <c r="MD352" s="8"/>
      <c r="ME352" s="8"/>
      <c r="MF352" s="8"/>
      <c r="MG352" s="5"/>
      <c r="MH352" s="6"/>
      <c r="MI352" s="4"/>
      <c r="MJ352" s="4"/>
      <c r="MK352" s="4"/>
      <c r="ML352" s="4"/>
      <c r="MM352" s="4"/>
      <c r="MN352" s="5"/>
      <c r="MO352" s="6"/>
      <c r="MP352" s="4"/>
      <c r="MQ352" s="4"/>
      <c r="MR352" s="4"/>
      <c r="MS352" s="4"/>
      <c r="MT352" s="4"/>
      <c r="MU352" s="5"/>
      <c r="MV352" s="6"/>
      <c r="MW352" s="4"/>
      <c r="MX352" s="4"/>
      <c r="MY352" s="4"/>
      <c r="MZ352" s="4"/>
      <c r="NA352" s="4"/>
      <c r="NB352" s="5"/>
      <c r="NC352" s="6"/>
      <c r="ND352" s="4"/>
      <c r="NE352" s="4"/>
      <c r="NF352" s="4"/>
      <c r="NG352" s="4"/>
      <c r="NH352" s="4"/>
      <c r="NI352" s="5"/>
      <c r="NJ352" s="6"/>
      <c r="NK352" s="4"/>
      <c r="NL352" s="4"/>
      <c r="NM352" s="4"/>
      <c r="NN352" s="4"/>
      <c r="NO352" s="4"/>
      <c r="NP352" s="5"/>
      <c r="NQ352" s="6"/>
      <c r="NR352" s="4"/>
      <c r="NS352" s="4"/>
      <c r="NT352" s="4"/>
      <c r="NU352" s="4"/>
      <c r="NV352" s="4"/>
      <c r="NW352" s="5"/>
      <c r="NX352" s="6"/>
      <c r="NY352" s="4"/>
      <c r="NZ352" s="4"/>
      <c r="OA352" s="4"/>
      <c r="OB352" s="4"/>
      <c r="OC352" s="4"/>
      <c r="OD352" s="5"/>
      <c r="OE352" s="6"/>
      <c r="OF352" s="4"/>
      <c r="OG352" s="4"/>
      <c r="OH352" s="4"/>
      <c r="OI352" s="4"/>
      <c r="OJ352" s="4"/>
      <c r="OK352" s="5"/>
      <c r="OL352" s="6"/>
      <c r="OM352" s="4"/>
      <c r="ON352" s="4"/>
      <c r="OO352" s="4"/>
      <c r="OP352" s="4"/>
      <c r="OQ352" s="4"/>
      <c r="OR352" s="5"/>
      <c r="OS352" s="6"/>
      <c r="OT352" s="4"/>
      <c r="OU352" s="4"/>
      <c r="OV352" s="4"/>
      <c r="OW352" s="4"/>
      <c r="OX352" s="4"/>
      <c r="OY352" s="5"/>
      <c r="OZ352" s="6"/>
      <c r="PA352" s="4"/>
      <c r="PB352" s="4"/>
      <c r="PC352" s="4"/>
      <c r="PD352" s="4"/>
      <c r="PE352" s="4"/>
      <c r="PF352" s="5"/>
      <c r="PG352" s="6"/>
      <c r="PH352" s="4"/>
      <c r="PI352" s="4"/>
      <c r="PJ352" s="4"/>
      <c r="PK352" s="4"/>
      <c r="PL352" s="4"/>
      <c r="PM352" s="5"/>
      <c r="PN352" s="6"/>
      <c r="PO352" s="4"/>
      <c r="PP352" s="4"/>
      <c r="PQ352" s="4"/>
      <c r="PR352" s="4"/>
      <c r="PS352" s="4"/>
      <c r="PT352" s="5"/>
      <c r="PU352" s="6"/>
      <c r="PV352" s="4"/>
      <c r="PW352" s="4"/>
      <c r="PX352" s="4"/>
      <c r="PY352" s="4"/>
      <c r="PZ352" s="4"/>
      <c r="QA352" s="5"/>
      <c r="QB352" s="6"/>
      <c r="QC352" s="4"/>
      <c r="QD352" s="4"/>
      <c r="QE352" s="4"/>
      <c r="QF352" s="4"/>
      <c r="QG352" s="4"/>
      <c r="QH352" s="5"/>
      <c r="QI352" s="6"/>
      <c r="QJ352" s="4"/>
      <c r="QK352" s="4"/>
      <c r="QL352" s="4"/>
      <c r="QM352" s="4"/>
      <c r="QN352" s="4"/>
      <c r="QO352" s="5"/>
      <c r="QP352" s="6"/>
      <c r="QQ352" s="4"/>
      <c r="QR352" s="4"/>
      <c r="QS352" s="4"/>
      <c r="QT352" s="4"/>
      <c r="QU352" s="4"/>
      <c r="QV352" s="5"/>
      <c r="QW352" s="6"/>
      <c r="QX352" s="4"/>
      <c r="QY352" s="4"/>
      <c r="QZ352" s="4"/>
      <c r="RA352" s="4"/>
      <c r="RB352" s="4"/>
      <c r="RC352" s="5"/>
      <c r="RD352" s="6"/>
      <c r="RE352" s="4"/>
      <c r="RF352" s="4"/>
      <c r="RG352" s="4"/>
      <c r="RH352" s="4"/>
      <c r="RI352" s="4"/>
      <c r="RJ352" s="5"/>
      <c r="RK352" s="6"/>
      <c r="RL352" s="4"/>
      <c r="RM352" s="4"/>
      <c r="RN352" s="4"/>
      <c r="RO352" s="4"/>
      <c r="RP352" s="4"/>
      <c r="RQ352" s="5"/>
      <c r="RR352" s="6"/>
      <c r="RS352" s="4"/>
      <c r="RT352" s="4"/>
      <c r="RU352" s="4"/>
      <c r="RV352" s="4"/>
      <c r="RW352" s="4"/>
      <c r="RX352" s="5"/>
      <c r="RY352" s="6"/>
      <c r="RZ352" s="4"/>
      <c r="SA352" s="4"/>
      <c r="SB352" s="4"/>
      <c r="SC352" s="4"/>
      <c r="SD352" s="4"/>
      <c r="SE352" s="5"/>
      <c r="SF352" s="6"/>
      <c r="SG352" s="4"/>
      <c r="SH352" s="4"/>
      <c r="SI352" s="4"/>
      <c r="SJ352" s="4"/>
      <c r="SK352" s="4"/>
      <c r="SL352" s="5"/>
      <c r="SM352" s="6"/>
      <c r="SN352" s="4"/>
      <c r="SO352" s="4"/>
      <c r="SP352" s="4"/>
      <c r="SQ352" s="4"/>
      <c r="SR352" s="4"/>
      <c r="SS352" s="5"/>
      <c r="ST352" s="6"/>
      <c r="SU352" s="4"/>
      <c r="SV352" s="4"/>
      <c r="SW352" s="4"/>
      <c r="SX352" s="4"/>
      <c r="SY352" s="4"/>
      <c r="SZ352" s="5"/>
      <c r="TA352" s="6"/>
      <c r="TB352" s="4"/>
      <c r="TC352" s="4"/>
      <c r="TD352" s="4"/>
      <c r="TE352" s="4"/>
      <c r="TF352" s="4"/>
      <c r="TG352" s="5"/>
      <c r="TH352" s="6"/>
      <c r="TI352" s="4"/>
      <c r="TJ352" s="4"/>
      <c r="TK352" s="4"/>
      <c r="TL352" s="4"/>
      <c r="TM352" s="4"/>
      <c r="TN352" s="5"/>
      <c r="TO352" s="6"/>
      <c r="TP352" s="4"/>
      <c r="TQ352" s="4"/>
      <c r="TR352" s="4"/>
      <c r="TS352" s="4"/>
      <c r="TT352" s="4"/>
      <c r="TU352" s="5"/>
      <c r="TV352" s="6"/>
      <c r="TW352" s="4"/>
      <c r="TX352" s="4"/>
      <c r="TY352" s="4"/>
      <c r="TZ352" s="4"/>
      <c r="UA352" s="4"/>
      <c r="UB352" s="5"/>
      <c r="UC352" s="6"/>
      <c r="UD352" s="4"/>
      <c r="UE352" s="4"/>
      <c r="UF352" s="4"/>
      <c r="UG352" s="4"/>
      <c r="UH352" s="4"/>
      <c r="UI352" s="5"/>
      <c r="UJ352" s="6"/>
      <c r="UK352" s="4"/>
      <c r="UL352" s="4"/>
      <c r="UM352" s="4"/>
      <c r="UN352" s="4"/>
      <c r="UO352" s="4"/>
      <c r="UP352" s="5"/>
      <c r="UQ352" s="6"/>
      <c r="UR352" s="4"/>
      <c r="US352" s="4"/>
      <c r="UT352" s="4"/>
      <c r="UU352" s="4"/>
      <c r="UV352" s="4"/>
      <c r="UW352" s="5"/>
      <c r="UX352" s="6" t="s">
        <v>590</v>
      </c>
      <c r="UY352" s="4" t="s">
        <v>2899</v>
      </c>
      <c r="UZ352" s="7" t="s">
        <v>2682</v>
      </c>
      <c r="VA352" s="4"/>
      <c r="VB352" s="8">
        <v>37684</v>
      </c>
      <c r="VC352" s="4"/>
      <c r="VD352" s="5" t="s">
        <v>403</v>
      </c>
      <c r="VE352" s="6"/>
      <c r="VF352" s="4"/>
      <c r="VG352" s="4"/>
      <c r="VH352" s="4"/>
      <c r="VI352" s="4"/>
      <c r="VJ352" s="4"/>
      <c r="VK352" s="5"/>
      <c r="VL352" s="6"/>
      <c r="VM352" s="4"/>
      <c r="VN352" s="4"/>
      <c r="VO352" s="4"/>
      <c r="VP352" s="4"/>
      <c r="VQ352" s="4"/>
      <c r="VR352" s="5"/>
      <c r="VS352" s="6"/>
      <c r="VT352" s="4"/>
      <c r="VU352" s="4"/>
      <c r="VV352" s="4"/>
      <c r="VW352" s="4"/>
      <c r="VX352" s="4"/>
      <c r="VY352" s="5"/>
      <c r="VZ352" s="6"/>
      <c r="WA352" s="4"/>
      <c r="WB352" s="4"/>
      <c r="WC352" s="4"/>
      <c r="WD352" s="4"/>
      <c r="WE352" s="4"/>
      <c r="WF352" s="5"/>
      <c r="WG352" s="6"/>
      <c r="WH352" s="4"/>
      <c r="WI352" s="4"/>
      <c r="WJ352" s="4"/>
      <c r="WK352" s="4"/>
      <c r="WL352" s="4"/>
      <c r="WM352" s="5"/>
      <c r="WN352" s="6"/>
      <c r="WO352" s="4"/>
      <c r="WP352" s="4"/>
      <c r="WQ352" s="4"/>
      <c r="WR352" s="4"/>
      <c r="WS352" s="4"/>
      <c r="WT352" s="5"/>
      <c r="WU352" s="6"/>
      <c r="WV352" s="4"/>
      <c r="WW352" s="4"/>
      <c r="WX352" s="4"/>
      <c r="WY352" s="4"/>
      <c r="WZ352" s="4"/>
      <c r="XA352" s="5"/>
      <c r="XB352" s="6"/>
      <c r="XC352" s="4"/>
      <c r="XD352" s="4"/>
      <c r="XE352" s="4"/>
      <c r="XF352" s="4"/>
      <c r="XG352" s="4"/>
      <c r="XH352" s="5"/>
      <c r="XI352" s="6"/>
      <c r="XJ352" s="4"/>
      <c r="XK352" s="4"/>
      <c r="XL352" s="4"/>
      <c r="XM352" s="4"/>
      <c r="XN352" s="4"/>
      <c r="XO352" s="5"/>
      <c r="XP352" s="6"/>
      <c r="XQ352" s="4"/>
      <c r="XR352" s="4"/>
      <c r="XS352" s="4"/>
      <c r="XT352" s="4"/>
      <c r="XU352" s="4"/>
      <c r="XV352" s="5"/>
      <c r="XW352" s="6"/>
      <c r="XX352" s="4"/>
      <c r="XY352" s="4"/>
      <c r="XZ352" s="4"/>
      <c r="YA352" s="4"/>
      <c r="YB352" s="4"/>
      <c r="YC352" s="5"/>
      <c r="YD352" s="6"/>
      <c r="YE352" s="4"/>
      <c r="YF352" s="4"/>
      <c r="YG352" s="4"/>
      <c r="YH352" s="4"/>
      <c r="YI352" s="4"/>
      <c r="YJ352" s="5"/>
      <c r="YK352" s="6"/>
      <c r="YL352" s="4"/>
      <c r="YM352" s="4"/>
      <c r="YN352" s="4"/>
      <c r="YO352" s="8"/>
      <c r="YP352" s="4"/>
      <c r="YQ352" s="5"/>
      <c r="YR352" s="6"/>
      <c r="YS352" s="4"/>
      <c r="YT352" s="4"/>
      <c r="YU352" s="4"/>
      <c r="YV352" s="4"/>
      <c r="YW352" s="4"/>
      <c r="YX352" s="5"/>
      <c r="YY352" s="6"/>
      <c r="YZ352" s="4"/>
      <c r="ZA352" s="4"/>
      <c r="ZB352" s="4"/>
      <c r="ZC352" s="4"/>
      <c r="ZD352" s="4"/>
      <c r="ZE352" s="5"/>
      <c r="ZF352" s="6"/>
      <c r="ZG352" s="4"/>
      <c r="ZH352" s="4"/>
      <c r="ZI352" s="4"/>
      <c r="ZJ352" s="4"/>
      <c r="ZK352" s="4"/>
      <c r="ZL352" s="5"/>
      <c r="ZM352" s="6"/>
      <c r="ZN352" s="4"/>
      <c r="ZO352" s="4"/>
      <c r="ZP352" s="4"/>
      <c r="ZQ352" s="4"/>
      <c r="ZR352" s="4"/>
      <c r="ZS352" s="5"/>
      <c r="ZT352" s="6"/>
      <c r="ZU352" s="4"/>
      <c r="ZV352" s="4"/>
      <c r="ZW352" s="4"/>
      <c r="ZX352" s="4"/>
      <c r="ZY352" s="4"/>
      <c r="ZZ352" s="5"/>
      <c r="AAA352" s="6"/>
      <c r="AAB352" s="4"/>
      <c r="AAC352" s="4"/>
      <c r="AAD352" s="4"/>
      <c r="AAE352" s="4"/>
      <c r="AAF352" s="4"/>
      <c r="AAG352" s="5"/>
      <c r="AAH352" s="6"/>
      <c r="AAI352" s="4"/>
      <c r="AAJ352" s="4"/>
      <c r="AAK352" s="4"/>
      <c r="AAL352" s="4"/>
      <c r="AAM352" s="4"/>
      <c r="AAN352" s="5"/>
      <c r="AAO352" s="6"/>
      <c r="AAP352" s="4"/>
      <c r="AAQ352" s="4"/>
      <c r="AAR352" s="4"/>
      <c r="AAS352" s="4"/>
      <c r="AAT352" s="4"/>
      <c r="AAU352" s="5"/>
      <c r="AAV352" s="6"/>
      <c r="AAW352" s="4"/>
      <c r="AAX352" s="4"/>
      <c r="AAY352" s="4"/>
      <c r="AAZ352" s="4"/>
      <c r="ABA352" s="4"/>
      <c r="ABB352" s="5"/>
      <c r="ABC352" s="6"/>
      <c r="ABD352" s="4"/>
      <c r="ABE352" s="4"/>
      <c r="ABF352" s="4"/>
      <c r="ABG352" s="4"/>
      <c r="ABH352" s="4"/>
      <c r="ABI352" s="5"/>
      <c r="ABJ352" s="6"/>
      <c r="ABK352" s="4"/>
      <c r="ABL352" s="4"/>
      <c r="ABM352" s="4"/>
      <c r="ABN352" s="8"/>
      <c r="ABO352" s="4"/>
      <c r="ABP352" s="5"/>
      <c r="ABQ352" s="6"/>
      <c r="ABR352" s="4"/>
      <c r="ABS352" s="4"/>
      <c r="ABT352" s="4"/>
      <c r="ABU352" s="4"/>
      <c r="ABV352" s="4"/>
      <c r="ABW352" s="5"/>
      <c r="ABX352" s="6"/>
      <c r="ABY352" s="4"/>
      <c r="ABZ352" s="4"/>
      <c r="ACA352" s="4"/>
      <c r="ACB352" s="4"/>
      <c r="ACC352" s="4"/>
      <c r="ACD352" s="5"/>
      <c r="ACE352" s="6"/>
      <c r="ACF352" s="4"/>
      <c r="ACG352" s="4"/>
      <c r="ACH352" s="4"/>
      <c r="ACI352" s="4"/>
      <c r="ACJ352" s="4"/>
      <c r="ACK352" s="5"/>
      <c r="ACL352" s="6"/>
      <c r="ACM352" s="4"/>
      <c r="ACN352" s="4"/>
      <c r="ACO352" s="4"/>
      <c r="ACP352" s="4"/>
      <c r="ACQ352" s="4"/>
      <c r="ACR352" s="5"/>
      <c r="ACS352" s="6"/>
      <c r="ACT352" s="4"/>
      <c r="ACU352" s="4"/>
      <c r="ACV352" s="4"/>
      <c r="ACW352" s="4"/>
      <c r="ACX352" s="4"/>
      <c r="ACY352" s="5"/>
    </row>
    <row r="353" spans="2:806" x14ac:dyDescent="0.25">
      <c r="B353" s="29">
        <v>8014364</v>
      </c>
      <c r="C353" s="57">
        <v>84</v>
      </c>
      <c r="D353" t="s">
        <v>2121</v>
      </c>
      <c r="E353" s="35" t="s">
        <v>4169</v>
      </c>
      <c r="F353" s="23">
        <v>0</v>
      </c>
      <c r="I353">
        <v>1</v>
      </c>
      <c r="J353" s="19">
        <v>38592</v>
      </c>
      <c r="K353" s="19" t="s">
        <v>1404</v>
      </c>
      <c r="L353" s="19" t="s">
        <v>1405</v>
      </c>
      <c r="Q353">
        <v>1</v>
      </c>
      <c r="R353">
        <v>1</v>
      </c>
      <c r="S353">
        <v>1</v>
      </c>
      <c r="V353">
        <v>1</v>
      </c>
      <c r="AC353">
        <v>1</v>
      </c>
      <c r="AF353">
        <v>1</v>
      </c>
      <c r="AJ353">
        <v>1</v>
      </c>
      <c r="AL353">
        <v>1</v>
      </c>
      <c r="AO353">
        <v>1</v>
      </c>
      <c r="AW353">
        <v>1</v>
      </c>
      <c r="BT353">
        <v>1</v>
      </c>
      <c r="CA353">
        <v>1</v>
      </c>
      <c r="CP353">
        <v>1</v>
      </c>
      <c r="CX353">
        <v>1</v>
      </c>
      <c r="DM353">
        <v>1</v>
      </c>
      <c r="DW353">
        <v>1</v>
      </c>
      <c r="ES353">
        <v>1</v>
      </c>
      <c r="GH353">
        <v>1</v>
      </c>
      <c r="LL353" s="6"/>
      <c r="LM353" s="4"/>
      <c r="LN353" s="4"/>
      <c r="LO353" s="4"/>
      <c r="LP353" s="4"/>
      <c r="LQ353" s="4"/>
      <c r="LR353" s="5"/>
      <c r="LS353" s="6"/>
      <c r="LT353" s="4"/>
      <c r="LU353" s="4"/>
      <c r="LV353" s="4"/>
      <c r="LW353" s="4"/>
      <c r="LX353" s="4"/>
      <c r="LY353" s="5"/>
      <c r="LZ353" s="6" t="s">
        <v>3779</v>
      </c>
      <c r="MA353" s="7" t="s">
        <v>3779</v>
      </c>
      <c r="MB353" s="4"/>
      <c r="MC353" s="4"/>
      <c r="MD353" s="8">
        <v>37987</v>
      </c>
      <c r="ME353" s="4"/>
      <c r="MG353" s="4" t="s">
        <v>1542</v>
      </c>
      <c r="MH353" s="6"/>
      <c r="MI353" s="4"/>
      <c r="MJ353" s="4"/>
      <c r="MK353" s="4"/>
      <c r="ML353" s="4"/>
      <c r="MM353" s="4"/>
      <c r="MN353" s="5"/>
      <c r="MO353" s="6"/>
      <c r="MP353" s="4"/>
      <c r="MQ353" s="4"/>
      <c r="MR353" s="4"/>
      <c r="MS353" s="4"/>
      <c r="MT353" s="4"/>
      <c r="MU353" s="5"/>
      <c r="MV353" s="6"/>
      <c r="MW353" s="4"/>
      <c r="MX353" s="4"/>
      <c r="MY353" s="4"/>
      <c r="MZ353" s="4"/>
      <c r="NA353" s="4"/>
      <c r="NB353" s="5"/>
      <c r="NC353" s="6" t="s">
        <v>3551</v>
      </c>
      <c r="ND353" s="7" t="s">
        <v>1734</v>
      </c>
      <c r="NE353" s="4" t="s">
        <v>3426</v>
      </c>
      <c r="NF353" s="7" t="s">
        <v>3221</v>
      </c>
      <c r="NG353" s="8">
        <v>38586</v>
      </c>
      <c r="NH353" s="8">
        <v>38588</v>
      </c>
      <c r="NI353" s="5" t="s">
        <v>1194</v>
      </c>
      <c r="NJ353" s="6" t="s">
        <v>3473</v>
      </c>
      <c r="NK353" s="4" t="s">
        <v>3838</v>
      </c>
      <c r="NL353" s="4" t="s">
        <v>3837</v>
      </c>
      <c r="NN353" s="8">
        <v>38585</v>
      </c>
      <c r="NO353" s="4"/>
      <c r="NP353" s="5" t="s">
        <v>1196</v>
      </c>
      <c r="NQ353" s="6" t="s">
        <v>3155</v>
      </c>
      <c r="NR353" s="4" t="s">
        <v>3296</v>
      </c>
      <c r="NS353" s="4" t="s">
        <v>3534</v>
      </c>
      <c r="NT353" s="4"/>
      <c r="NU353" s="8">
        <v>37366</v>
      </c>
      <c r="NV353" s="4"/>
      <c r="NW353" s="5" t="s">
        <v>1064</v>
      </c>
      <c r="NX353" s="6"/>
      <c r="NY353" s="4"/>
      <c r="NZ353" s="4"/>
      <c r="OA353" s="4"/>
      <c r="OB353" s="4"/>
      <c r="OC353" s="4"/>
      <c r="OD353" s="5"/>
      <c r="OE353" s="6"/>
      <c r="OF353" s="4"/>
      <c r="OG353" s="4"/>
      <c r="OH353" s="4"/>
      <c r="OI353" s="4"/>
      <c r="OJ353" s="4"/>
      <c r="OK353" s="5"/>
      <c r="OL353" s="6"/>
      <c r="OM353" s="4"/>
      <c r="ON353" s="4"/>
      <c r="OO353" s="4"/>
      <c r="OP353" s="4"/>
      <c r="OQ353" s="4"/>
      <c r="OR353" s="5"/>
      <c r="OS353" s="6"/>
      <c r="OT353" s="4"/>
      <c r="OU353" s="4"/>
      <c r="OV353" s="4"/>
      <c r="OW353" s="4"/>
      <c r="OX353" s="4"/>
      <c r="OY353" s="5"/>
      <c r="OZ353" s="6" t="s">
        <v>3614</v>
      </c>
      <c r="PA353" s="4" t="s">
        <v>3756</v>
      </c>
      <c r="PB353" s="4" t="s">
        <v>3590</v>
      </c>
      <c r="PC353" s="7" t="s">
        <v>3591</v>
      </c>
      <c r="PD353" s="8">
        <v>38532</v>
      </c>
      <c r="PE353" s="8">
        <v>38585</v>
      </c>
      <c r="PF353" s="5" t="s">
        <v>1065</v>
      </c>
      <c r="PG353" s="6"/>
      <c r="PH353" s="4"/>
      <c r="PI353" s="4"/>
      <c r="PJ353" s="4"/>
      <c r="PK353" s="4"/>
      <c r="PL353" s="4"/>
      <c r="PM353" s="5"/>
      <c r="PN353" s="6"/>
      <c r="PO353" s="4"/>
      <c r="PP353" s="4"/>
      <c r="PQ353" s="4"/>
      <c r="PR353" s="4"/>
      <c r="PS353" s="4"/>
      <c r="PT353" s="5"/>
      <c r="PU353" s="6" t="s">
        <v>2072</v>
      </c>
      <c r="PV353" s="4" t="s">
        <v>3550</v>
      </c>
      <c r="PW353" s="4" t="s">
        <v>3379</v>
      </c>
      <c r="PX353" s="4"/>
      <c r="PY353" s="8">
        <v>38591</v>
      </c>
      <c r="PZ353" s="4"/>
      <c r="QA353" s="5" t="s">
        <v>1067</v>
      </c>
      <c r="QB353" s="6"/>
      <c r="QC353" s="4"/>
      <c r="QD353" s="4"/>
      <c r="QE353" s="4"/>
      <c r="QF353" s="4"/>
      <c r="QG353" s="4"/>
      <c r="QH353" s="5"/>
      <c r="QI353" s="6"/>
      <c r="QJ353" s="4"/>
      <c r="QK353" s="4"/>
      <c r="QL353" s="4"/>
      <c r="QM353" s="4"/>
      <c r="QN353" s="4"/>
      <c r="QO353" s="5"/>
      <c r="QP353" s="6"/>
      <c r="QQ353" s="4"/>
      <c r="QR353" s="4"/>
      <c r="QS353" s="4"/>
      <c r="QT353" s="4"/>
      <c r="QU353" s="4"/>
      <c r="QV353" s="5"/>
      <c r="QW353" s="6"/>
      <c r="QX353" s="4"/>
      <c r="QY353" s="4"/>
      <c r="QZ353" s="4"/>
      <c r="RA353" s="4"/>
      <c r="RB353" s="4"/>
      <c r="RC353" s="5"/>
      <c r="RD353" s="6"/>
      <c r="RE353" s="4"/>
      <c r="RF353" s="4"/>
      <c r="RG353" s="4"/>
      <c r="RH353" s="4"/>
      <c r="RI353" s="4"/>
      <c r="RJ353" s="5"/>
      <c r="RK353" s="6"/>
      <c r="RL353" s="4"/>
      <c r="RM353" s="4"/>
      <c r="RN353" s="4"/>
      <c r="RO353" s="4"/>
      <c r="RP353" s="4"/>
      <c r="RQ353" s="5"/>
      <c r="RR353" s="6"/>
      <c r="RS353" s="4"/>
      <c r="RT353" s="4"/>
      <c r="RU353" s="4"/>
      <c r="RV353" s="4"/>
      <c r="RW353" s="4"/>
      <c r="RX353" s="5"/>
      <c r="RY353" s="6"/>
      <c r="RZ353" s="4"/>
      <c r="SA353" s="4"/>
      <c r="SB353" s="4"/>
      <c r="SC353" s="4"/>
      <c r="SD353" s="4"/>
      <c r="SE353" s="5"/>
      <c r="SF353" s="6"/>
      <c r="SG353" s="4"/>
      <c r="SH353" s="4"/>
      <c r="SI353" s="4"/>
      <c r="SJ353" s="4"/>
      <c r="SK353" s="4"/>
      <c r="SL353" s="5"/>
      <c r="SM353" s="6"/>
      <c r="SN353" s="4"/>
      <c r="SO353" s="4"/>
      <c r="SP353" s="4"/>
      <c r="SQ353" s="4"/>
      <c r="SR353" s="4"/>
      <c r="SS353" s="5"/>
      <c r="ST353" s="6"/>
      <c r="SU353" s="4"/>
      <c r="SV353" s="4"/>
      <c r="SW353" s="4"/>
      <c r="SX353" s="4"/>
      <c r="SY353" s="4"/>
      <c r="SZ353" s="5"/>
      <c r="TA353" s="6"/>
      <c r="TB353" s="4"/>
      <c r="TC353" s="4"/>
      <c r="TD353" s="4"/>
      <c r="TE353" s="4"/>
      <c r="TF353" s="4"/>
      <c r="TG353" s="5"/>
      <c r="TH353" s="6"/>
      <c r="TI353" s="4"/>
      <c r="TJ353" s="4"/>
      <c r="TK353" s="4"/>
      <c r="TL353" s="4"/>
      <c r="TM353" s="4"/>
      <c r="TN353" s="5"/>
      <c r="TO353" s="6"/>
      <c r="TP353" s="4"/>
      <c r="TQ353" s="4"/>
      <c r="TR353" s="4"/>
      <c r="TS353" s="4"/>
      <c r="TT353" s="4"/>
      <c r="TU353" s="5"/>
      <c r="TV353" s="6"/>
      <c r="TW353" s="4"/>
      <c r="TX353" s="4"/>
      <c r="TY353" s="4"/>
      <c r="TZ353" s="4"/>
      <c r="UA353" s="4"/>
      <c r="UB353" s="5"/>
      <c r="UC353" s="6"/>
      <c r="UD353" s="4"/>
      <c r="UE353" s="4"/>
      <c r="UF353" s="4"/>
      <c r="UG353" s="4"/>
      <c r="UH353" s="4"/>
      <c r="UI353" s="5"/>
      <c r="UJ353" s="6"/>
      <c r="UK353" s="4"/>
      <c r="UL353" s="4"/>
      <c r="UM353" s="4"/>
      <c r="UN353" s="4"/>
      <c r="UO353" s="4"/>
      <c r="UP353" s="5"/>
      <c r="UQ353" s="6"/>
      <c r="UR353" s="4"/>
      <c r="US353" s="4"/>
      <c r="UT353" s="4"/>
      <c r="UU353" s="4"/>
      <c r="UV353" s="4"/>
      <c r="UW353" s="5"/>
      <c r="UX353" s="6" t="s">
        <v>2641</v>
      </c>
      <c r="UY353" s="4" t="s">
        <v>2642</v>
      </c>
      <c r="UZ353" s="7" t="s">
        <v>3755</v>
      </c>
      <c r="VA353" s="4"/>
      <c r="VB353" s="8">
        <v>38412</v>
      </c>
      <c r="VC353" s="4"/>
      <c r="VD353" s="5" t="s">
        <v>1068</v>
      </c>
      <c r="VE353" s="6" t="s">
        <v>3291</v>
      </c>
      <c r="VF353" s="4" t="s">
        <v>2333</v>
      </c>
      <c r="VG353" s="4" t="s">
        <v>3292</v>
      </c>
      <c r="VH353" s="4"/>
      <c r="VI353" s="8">
        <v>38585</v>
      </c>
      <c r="VJ353" s="4"/>
      <c r="VK353" s="5" t="s">
        <v>1185</v>
      </c>
      <c r="VL353" s="6" t="s">
        <v>3697</v>
      </c>
      <c r="VM353" s="4" t="s">
        <v>2547</v>
      </c>
      <c r="VN353" s="4" t="s">
        <v>3379</v>
      </c>
      <c r="VO353" s="4"/>
      <c r="VP353" s="8">
        <v>38518</v>
      </c>
      <c r="VQ353" s="4"/>
      <c r="VR353" s="5" t="s">
        <v>1316</v>
      </c>
      <c r="VS353" s="6"/>
      <c r="VT353" s="4"/>
      <c r="VU353" s="4"/>
      <c r="VV353" s="4"/>
      <c r="VW353" s="4"/>
      <c r="VX353" s="4"/>
      <c r="VY353" s="5"/>
      <c r="VZ353" s="6" t="s">
        <v>3297</v>
      </c>
      <c r="WA353" s="4" t="s">
        <v>3298</v>
      </c>
      <c r="WB353" s="4" t="s">
        <v>3549</v>
      </c>
      <c r="WC353" s="4"/>
      <c r="WD353" s="8">
        <v>37804</v>
      </c>
      <c r="WE353" s="4"/>
      <c r="WF353" s="5" t="s">
        <v>1455</v>
      </c>
      <c r="WG353" s="6"/>
      <c r="WH353" s="4"/>
      <c r="WI353" s="4"/>
      <c r="WJ353" s="4"/>
      <c r="WK353" s="4"/>
      <c r="WL353" s="4"/>
      <c r="WM353" s="5"/>
      <c r="WN353" s="6"/>
      <c r="WO353" s="4"/>
      <c r="WP353" s="4"/>
      <c r="WQ353" s="4"/>
      <c r="WR353" s="4"/>
      <c r="WS353" s="4"/>
      <c r="WT353" s="5"/>
      <c r="WU353" s="6"/>
      <c r="WV353" s="4"/>
      <c r="WW353" s="4"/>
      <c r="WX353" s="4"/>
      <c r="WY353" s="4"/>
      <c r="WZ353" s="4"/>
      <c r="XA353" s="5"/>
      <c r="XB353" s="6"/>
      <c r="XC353" s="4"/>
      <c r="XD353" s="4"/>
      <c r="XE353" s="4"/>
      <c r="XF353" s="4"/>
      <c r="XG353" s="4"/>
      <c r="XH353" s="5"/>
      <c r="XI353" s="6"/>
      <c r="XJ353" s="4"/>
      <c r="XK353" s="4"/>
      <c r="XL353" s="4"/>
      <c r="XM353" s="4"/>
      <c r="XN353" s="4"/>
      <c r="XO353" s="5"/>
      <c r="XP353" s="6"/>
      <c r="XQ353" s="4"/>
      <c r="XR353" s="4"/>
      <c r="XS353" s="4"/>
      <c r="XT353" s="4"/>
      <c r="XU353" s="4"/>
      <c r="XV353" s="5"/>
      <c r="XW353" s="6" t="s">
        <v>3293</v>
      </c>
      <c r="XX353" s="4" t="s">
        <v>1650</v>
      </c>
      <c r="XY353" s="4" t="s">
        <v>3153</v>
      </c>
      <c r="XZ353" s="7" t="s">
        <v>3154</v>
      </c>
      <c r="YA353" s="8">
        <v>38355</v>
      </c>
      <c r="YB353" s="8">
        <v>38586</v>
      </c>
      <c r="YC353" s="5" t="s">
        <v>1456</v>
      </c>
      <c r="YD353" s="6"/>
      <c r="YE353" s="4"/>
      <c r="YF353" s="4"/>
      <c r="YG353" s="4"/>
      <c r="YH353" s="4"/>
      <c r="YI353" s="4"/>
      <c r="YJ353" s="5"/>
      <c r="YK353" s="6" t="s">
        <v>3700</v>
      </c>
      <c r="YL353" s="7" t="s">
        <v>3701</v>
      </c>
      <c r="YM353" s="7" t="s">
        <v>3421</v>
      </c>
      <c r="YN353" s="4"/>
      <c r="YO353" s="8">
        <v>38412</v>
      </c>
      <c r="YP353" s="4"/>
      <c r="YQ353" s="5" t="s">
        <v>1456</v>
      </c>
      <c r="YR353" s="6" t="s">
        <v>3748</v>
      </c>
      <c r="YS353" s="4" t="s">
        <v>3888</v>
      </c>
      <c r="YT353" s="4" t="s">
        <v>3421</v>
      </c>
      <c r="YV353" s="8">
        <v>38412</v>
      </c>
      <c r="YW353" s="4"/>
      <c r="YX353" s="5" t="s">
        <v>1316</v>
      </c>
      <c r="YY353" s="6"/>
      <c r="YZ353" s="4"/>
      <c r="ZA353" s="4"/>
      <c r="ZB353" s="4"/>
      <c r="ZC353" s="4"/>
      <c r="ZD353" s="4"/>
      <c r="ZE353" s="5"/>
      <c r="ZF353" s="6"/>
      <c r="ZG353" s="4"/>
      <c r="ZH353" s="4"/>
      <c r="ZI353" s="4"/>
      <c r="ZJ353" s="4"/>
      <c r="ZK353" s="4"/>
      <c r="ZL353" s="5"/>
      <c r="ZM353" s="6"/>
      <c r="ZN353" s="4"/>
      <c r="ZO353" s="4"/>
      <c r="ZP353" s="4"/>
      <c r="ZQ353" s="4"/>
      <c r="ZR353" s="4"/>
      <c r="ZS353" s="5"/>
      <c r="ZT353" s="6"/>
      <c r="ZU353" s="4"/>
      <c r="ZV353" s="4"/>
      <c r="ZW353" s="4"/>
      <c r="ZX353" s="4"/>
      <c r="ZY353" s="4"/>
      <c r="ZZ353" s="5"/>
      <c r="AAA353" s="6"/>
      <c r="AAB353" s="4"/>
      <c r="AAC353" s="4"/>
      <c r="AAD353" s="4"/>
      <c r="AAE353" s="4"/>
      <c r="AAF353" s="4"/>
      <c r="AAG353" s="5"/>
      <c r="AAH353" s="6" t="s">
        <v>2587</v>
      </c>
      <c r="AAI353" s="4" t="s">
        <v>3193</v>
      </c>
      <c r="AAJ353" s="4"/>
      <c r="AAK353" s="4" t="s">
        <v>3355</v>
      </c>
      <c r="AAL353" s="8">
        <v>38589</v>
      </c>
      <c r="AAM353" s="8">
        <v>38589</v>
      </c>
      <c r="AAN353" s="5" t="s">
        <v>1459</v>
      </c>
      <c r="AAO353" s="6"/>
      <c r="AAP353" s="4"/>
      <c r="AAQ353" s="4"/>
      <c r="AAR353" s="4"/>
      <c r="AAS353" s="4"/>
      <c r="AAT353" s="4"/>
      <c r="AAU353" s="5"/>
      <c r="AAV353" s="6"/>
      <c r="AAW353" s="4"/>
      <c r="AAX353" s="4"/>
      <c r="AAY353" s="4"/>
      <c r="AAZ353" s="4"/>
      <c r="ABA353" s="4"/>
      <c r="ABB353" s="5"/>
      <c r="ABC353" s="6"/>
      <c r="ABD353" s="4"/>
      <c r="ABE353" s="4"/>
      <c r="ABF353" s="4"/>
      <c r="ABG353" s="4"/>
      <c r="ABH353" s="4"/>
      <c r="ABI353" s="5"/>
      <c r="ABJ353" s="6" t="s">
        <v>3387</v>
      </c>
      <c r="ABK353" s="4" t="s">
        <v>3388</v>
      </c>
      <c r="ABL353" s="7" t="s">
        <v>3598</v>
      </c>
      <c r="ABM353" s="4"/>
      <c r="ABN353" s="8">
        <v>38412</v>
      </c>
      <c r="ABO353" s="4"/>
      <c r="ABP353" s="5" t="s">
        <v>1456</v>
      </c>
      <c r="ABQ353" s="6"/>
      <c r="ABR353" s="4"/>
      <c r="ABS353" s="4"/>
      <c r="ABT353" s="4"/>
      <c r="ABU353" s="4"/>
      <c r="ABV353" s="4"/>
      <c r="ABW353" s="5"/>
      <c r="ABX353" s="6"/>
      <c r="ABY353" s="4"/>
      <c r="ABZ353" s="4"/>
      <c r="ACA353" s="4"/>
      <c r="ACB353" s="4"/>
      <c r="ACC353" s="4"/>
      <c r="ACD353" s="5"/>
      <c r="ACE353" s="6"/>
      <c r="ACF353" s="4"/>
      <c r="ACG353" s="4"/>
      <c r="ACH353" s="4"/>
      <c r="ACI353" s="4"/>
      <c r="ACJ353" s="4"/>
      <c r="ACK353" s="5"/>
      <c r="ACL353" s="6"/>
      <c r="ACM353" s="4"/>
      <c r="ACN353" s="4"/>
      <c r="ACO353" s="4"/>
      <c r="ACP353" s="4"/>
      <c r="ACQ353" s="4"/>
      <c r="ACR353" s="5"/>
      <c r="ACS353" s="6"/>
      <c r="ACT353" s="4"/>
      <c r="ACU353" s="4"/>
      <c r="ACV353" s="4"/>
      <c r="ACW353" s="4"/>
      <c r="ACX353" s="4"/>
      <c r="ACY353" s="5"/>
      <c r="ADF353" t="s">
        <v>1330</v>
      </c>
      <c r="ADG353" t="s">
        <v>1325</v>
      </c>
      <c r="ADJ353" t="s">
        <v>1327</v>
      </c>
      <c r="ADK353" t="s">
        <v>1328</v>
      </c>
      <c r="ADM353" t="s">
        <v>1331</v>
      </c>
      <c r="ADO353" t="s">
        <v>1460</v>
      </c>
      <c r="ADR353" t="s">
        <v>4168</v>
      </c>
      <c r="ADS353" t="s">
        <v>1326</v>
      </c>
      <c r="ADU353" t="s">
        <v>1324</v>
      </c>
      <c r="ADY353" t="s">
        <v>1329</v>
      </c>
      <c r="ADZ353" s="6" t="s">
        <v>4053</v>
      </c>
    </row>
    <row r="354" spans="2:806" x14ac:dyDescent="0.25">
      <c r="J354" s="12"/>
      <c r="K354" s="12"/>
      <c r="L354" s="12"/>
      <c r="LL354" s="6"/>
      <c r="LM354" s="4"/>
      <c r="LN354" s="4"/>
      <c r="LO354" s="4"/>
      <c r="LP354" s="4"/>
      <c r="LQ354" s="4"/>
      <c r="LR354" s="5"/>
      <c r="LS354" s="6"/>
      <c r="LT354" s="4"/>
      <c r="LU354" s="4"/>
      <c r="LV354" s="4"/>
      <c r="LW354" s="4"/>
      <c r="LX354" s="4"/>
      <c r="LY354" s="5"/>
      <c r="LZ354" s="6" t="s">
        <v>3592</v>
      </c>
      <c r="MA354" s="7" t="s">
        <v>3593</v>
      </c>
      <c r="MB354" s="4" t="s">
        <v>3596</v>
      </c>
      <c r="MC354" s="7" t="s">
        <v>3759</v>
      </c>
      <c r="MD354" s="8">
        <v>38443</v>
      </c>
      <c r="ME354" s="8">
        <v>38585</v>
      </c>
      <c r="MF354" s="8"/>
      <c r="MG354" s="5" t="s">
        <v>1543</v>
      </c>
      <c r="MH354" s="6"/>
      <c r="MI354" s="4"/>
      <c r="MJ354" s="4"/>
      <c r="MK354" s="4"/>
      <c r="ML354" s="4"/>
      <c r="MM354" s="4"/>
      <c r="MN354" s="5"/>
      <c r="MO354" s="6"/>
      <c r="MP354" s="4"/>
      <c r="MQ354" s="4"/>
      <c r="MR354" s="4"/>
      <c r="MS354" s="4"/>
      <c r="MT354" s="4"/>
      <c r="MU354" s="5"/>
      <c r="MV354" s="6"/>
      <c r="MW354" s="4"/>
      <c r="MX354" s="4"/>
      <c r="MY354" s="4"/>
      <c r="MZ354" s="4"/>
      <c r="NA354" s="4"/>
      <c r="NB354" s="5"/>
      <c r="NC354" s="6" t="s">
        <v>3552</v>
      </c>
      <c r="ND354" s="4" t="s">
        <v>2699</v>
      </c>
      <c r="NE354" s="4" t="s">
        <v>3426</v>
      </c>
      <c r="NF354" s="7" t="s">
        <v>3602</v>
      </c>
      <c r="NG354" s="8">
        <v>38588</v>
      </c>
      <c r="NH354" s="8">
        <v>38591</v>
      </c>
      <c r="NI354" s="5" t="s">
        <v>1195</v>
      </c>
      <c r="NJ354" s="6" t="s">
        <v>3839</v>
      </c>
      <c r="NK354" s="4" t="s">
        <v>3838</v>
      </c>
      <c r="NL354" s="4"/>
      <c r="NM354" s="4"/>
      <c r="NN354" s="8">
        <v>38585</v>
      </c>
      <c r="NO354" s="4"/>
      <c r="NP354" s="5" t="s">
        <v>1193</v>
      </c>
      <c r="NQ354" s="6"/>
      <c r="NR354" s="4"/>
      <c r="NS354" s="4"/>
      <c r="NT354" s="4"/>
      <c r="NU354" s="8"/>
      <c r="NV354" s="4"/>
      <c r="NW354" s="5"/>
      <c r="NX354" s="6"/>
      <c r="NY354" s="4"/>
      <c r="NZ354" s="4"/>
      <c r="OA354" s="4"/>
      <c r="OB354" s="4"/>
      <c r="OC354" s="4"/>
      <c r="OD354" s="5"/>
      <c r="OE354" s="6"/>
      <c r="OF354" s="4"/>
      <c r="OG354" s="4"/>
      <c r="OH354" s="4"/>
      <c r="OI354" s="4"/>
      <c r="OJ354" s="4"/>
      <c r="OK354" s="5"/>
      <c r="OL354" s="6"/>
      <c r="OM354" s="4"/>
      <c r="ON354" s="4"/>
      <c r="OO354" s="4"/>
      <c r="OP354" s="4"/>
      <c r="OQ354" s="4"/>
      <c r="OR354" s="5"/>
      <c r="OS354" s="6"/>
      <c r="OT354" s="4"/>
      <c r="OU354" s="4"/>
      <c r="OV354" s="4"/>
      <c r="OW354" s="4"/>
      <c r="OX354" s="4"/>
      <c r="OY354" s="5"/>
      <c r="OZ354" s="6" t="s">
        <v>3614</v>
      </c>
      <c r="PA354" s="4" t="s">
        <v>3756</v>
      </c>
      <c r="PB354" s="4" t="s">
        <v>3590</v>
      </c>
      <c r="PC354" s="4"/>
      <c r="PD354" s="8">
        <v>38586</v>
      </c>
      <c r="PE354" s="4"/>
      <c r="PF354" s="5" t="s">
        <v>1066</v>
      </c>
      <c r="PG354" s="6"/>
      <c r="PH354" s="4"/>
      <c r="PI354" s="4"/>
      <c r="PJ354" s="4"/>
      <c r="PK354" s="4"/>
      <c r="PL354" s="4"/>
      <c r="PM354" s="5"/>
      <c r="PN354" s="6"/>
      <c r="PO354" s="4"/>
      <c r="PP354" s="4"/>
      <c r="PQ354" s="4"/>
      <c r="PR354" s="4"/>
      <c r="PS354" s="4"/>
      <c r="PT354" s="5"/>
      <c r="PU354" s="6"/>
      <c r="PV354" s="4"/>
      <c r="PW354" s="4"/>
      <c r="PX354" s="4"/>
      <c r="PY354" s="8"/>
      <c r="PZ354" s="4"/>
      <c r="QA354" s="5"/>
      <c r="QB354" s="6"/>
      <c r="QC354" s="4"/>
      <c r="QD354" s="4"/>
      <c r="QE354" s="4"/>
      <c r="QF354" s="4"/>
      <c r="QG354" s="4"/>
      <c r="QH354" s="5"/>
      <c r="QI354" s="6"/>
      <c r="QJ354" s="4"/>
      <c r="QK354" s="4"/>
      <c r="QL354" s="4"/>
      <c r="QM354" s="4"/>
      <c r="QN354" s="4"/>
      <c r="QO354" s="5"/>
      <c r="QP354" s="6"/>
      <c r="QQ354" s="4"/>
      <c r="QR354" s="4"/>
      <c r="QS354" s="4"/>
      <c r="QT354" s="4"/>
      <c r="QU354" s="4"/>
      <c r="QV354" s="5"/>
      <c r="QW354" s="6"/>
      <c r="QX354" s="4"/>
      <c r="QY354" s="4"/>
      <c r="QZ354" s="4"/>
      <c r="RA354" s="4"/>
      <c r="RB354" s="4"/>
      <c r="RC354" s="5"/>
      <c r="RD354" s="6"/>
      <c r="RE354" s="4"/>
      <c r="RF354" s="4"/>
      <c r="RG354" s="4"/>
      <c r="RH354" s="4"/>
      <c r="RI354" s="4"/>
      <c r="RJ354" s="5"/>
      <c r="RK354" s="6"/>
      <c r="RL354" s="4"/>
      <c r="RM354" s="4"/>
      <c r="RN354" s="4"/>
      <c r="RO354" s="4"/>
      <c r="RP354" s="4"/>
      <c r="RQ354" s="5"/>
      <c r="RR354" s="6"/>
      <c r="RS354" s="4"/>
      <c r="RT354" s="4"/>
      <c r="RU354" s="4"/>
      <c r="RV354" s="4"/>
      <c r="RW354" s="4"/>
      <c r="RX354" s="5"/>
      <c r="RY354" s="6"/>
      <c r="RZ354" s="4"/>
      <c r="SA354" s="4"/>
      <c r="SB354" s="4"/>
      <c r="SC354" s="4"/>
      <c r="SD354" s="4"/>
      <c r="SE354" s="5"/>
      <c r="SF354" s="6"/>
      <c r="SG354" s="4"/>
      <c r="SH354" s="4"/>
      <c r="SI354" s="4"/>
      <c r="SJ354" s="4"/>
      <c r="SK354" s="4"/>
      <c r="SL354" s="5"/>
      <c r="SM354" s="6"/>
      <c r="SN354" s="4"/>
      <c r="SO354" s="4"/>
      <c r="SP354" s="4"/>
      <c r="SQ354" s="4"/>
      <c r="SR354" s="4"/>
      <c r="SS354" s="5"/>
      <c r="ST354" s="6"/>
      <c r="SU354" s="4"/>
      <c r="SV354" s="4"/>
      <c r="SW354" s="4"/>
      <c r="SX354" s="4"/>
      <c r="SY354" s="4"/>
      <c r="SZ354" s="5"/>
      <c r="TA354" s="6"/>
      <c r="TB354" s="4"/>
      <c r="TC354" s="4"/>
      <c r="TD354" s="4"/>
      <c r="TE354" s="4"/>
      <c r="TF354" s="4"/>
      <c r="TG354" s="5"/>
      <c r="TH354" s="6"/>
      <c r="TI354" s="4"/>
      <c r="TJ354" s="4"/>
      <c r="TK354" s="4"/>
      <c r="TL354" s="4"/>
      <c r="TM354" s="4"/>
      <c r="TN354" s="5"/>
      <c r="TO354" s="6"/>
      <c r="TP354" s="4"/>
      <c r="TQ354" s="4"/>
      <c r="TR354" s="4"/>
      <c r="TS354" s="4"/>
      <c r="TT354" s="4"/>
      <c r="TU354" s="5"/>
      <c r="TV354" s="6"/>
      <c r="TW354" s="4"/>
      <c r="TX354" s="4"/>
      <c r="TY354" s="4"/>
      <c r="TZ354" s="4"/>
      <c r="UA354" s="4"/>
      <c r="UB354" s="5"/>
      <c r="UC354" s="6"/>
      <c r="UD354" s="4"/>
      <c r="UE354" s="4"/>
      <c r="UF354" s="4"/>
      <c r="UG354" s="4"/>
      <c r="UH354" s="4"/>
      <c r="UI354" s="5"/>
      <c r="UJ354" s="6"/>
      <c r="UK354" s="4"/>
      <c r="UL354" s="4"/>
      <c r="UM354" s="4"/>
      <c r="UN354" s="4"/>
      <c r="UO354" s="4"/>
      <c r="UP354" s="5"/>
      <c r="UQ354" s="6"/>
      <c r="UR354" s="4"/>
      <c r="US354" s="4"/>
      <c r="UT354" s="4"/>
      <c r="UU354" s="4"/>
      <c r="UV354" s="4"/>
      <c r="UW354" s="5"/>
      <c r="UX354" s="6"/>
      <c r="UZ354" s="4"/>
      <c r="VA354" s="4"/>
      <c r="VB354" s="4"/>
      <c r="VC354" s="4"/>
      <c r="VD354" s="5"/>
      <c r="VE354" s="6"/>
      <c r="VF354" s="4"/>
      <c r="VG354" s="4"/>
      <c r="VH354" s="4"/>
      <c r="VI354" s="8"/>
      <c r="VJ354" s="4"/>
      <c r="VK354" s="5"/>
      <c r="VL354" s="6" t="s">
        <v>3747</v>
      </c>
      <c r="VM354" s="4" t="s">
        <v>2903</v>
      </c>
      <c r="VN354" s="4" t="s">
        <v>3534</v>
      </c>
      <c r="VO354" s="7" t="s">
        <v>3380</v>
      </c>
      <c r="VP354" s="8">
        <v>38591</v>
      </c>
      <c r="VQ354" s="8">
        <v>38591</v>
      </c>
      <c r="VR354" s="5" t="s">
        <v>1317</v>
      </c>
      <c r="VS354" s="6"/>
      <c r="VT354" s="4"/>
      <c r="VU354" s="4"/>
      <c r="VV354" s="4"/>
      <c r="VW354" s="4"/>
      <c r="VX354" s="4"/>
      <c r="VY354" s="5"/>
      <c r="VZ354" s="6"/>
      <c r="WA354" s="4"/>
      <c r="WB354" s="4"/>
      <c r="WC354" s="4"/>
      <c r="WD354" s="8"/>
      <c r="WE354" s="4"/>
      <c r="WF354" s="5"/>
      <c r="WG354" s="6"/>
      <c r="WH354" s="4"/>
      <c r="WI354" s="4"/>
      <c r="WJ354" s="4"/>
      <c r="WK354" s="4"/>
      <c r="WL354" s="4"/>
      <c r="WM354" s="5"/>
      <c r="WN354" s="6"/>
      <c r="WO354" s="4"/>
      <c r="WP354" s="4"/>
      <c r="WQ354" s="4"/>
      <c r="WR354" s="4"/>
      <c r="WS354" s="4"/>
      <c r="WT354" s="5"/>
      <c r="WU354" s="6"/>
      <c r="WV354" s="4"/>
      <c r="WW354" s="4"/>
      <c r="WX354" s="4"/>
      <c r="WY354" s="4"/>
      <c r="WZ354" s="4"/>
      <c r="XA354" s="5"/>
      <c r="XB354" s="6"/>
      <c r="XC354" s="4"/>
      <c r="XD354" s="4"/>
      <c r="XE354" s="4"/>
      <c r="XF354" s="4"/>
      <c r="XG354" s="4"/>
      <c r="XH354" s="5"/>
      <c r="XI354" s="6"/>
      <c r="XJ354" s="4"/>
      <c r="XK354" s="4"/>
      <c r="XL354" s="4"/>
      <c r="XM354" s="4"/>
      <c r="XN354" s="4"/>
      <c r="XO354" s="5"/>
      <c r="XP354" s="6"/>
      <c r="XQ354" s="4"/>
      <c r="XR354" s="4"/>
      <c r="XS354" s="4"/>
      <c r="XT354" s="4"/>
      <c r="XU354" s="4"/>
      <c r="XV354" s="5"/>
      <c r="XW354" s="6"/>
      <c r="XX354" s="4"/>
      <c r="XY354" s="4"/>
      <c r="XZ354" s="7"/>
      <c r="YA354" s="8"/>
      <c r="YB354" s="8"/>
      <c r="YC354" s="5"/>
      <c r="YD354" s="6"/>
      <c r="YE354" s="4"/>
      <c r="YF354" s="4"/>
      <c r="YG354" s="4"/>
      <c r="YH354" s="4"/>
      <c r="YI354" s="4"/>
      <c r="YJ354" s="5"/>
      <c r="YK354" s="6" t="s">
        <v>3287</v>
      </c>
      <c r="YL354" s="7" t="s">
        <v>3286</v>
      </c>
      <c r="YM354" s="7" t="s">
        <v>3840</v>
      </c>
      <c r="YN354" s="4"/>
      <c r="YO354" s="8">
        <v>38588</v>
      </c>
      <c r="YP354" s="4"/>
      <c r="YQ354" s="5" t="s">
        <v>1457</v>
      </c>
      <c r="YR354" s="6"/>
      <c r="YS354" s="4"/>
      <c r="YT354" s="4"/>
      <c r="YU354" s="4"/>
      <c r="YV354" s="4"/>
      <c r="YW354" s="4"/>
      <c r="YX354" s="5"/>
      <c r="YY354" s="6"/>
      <c r="YZ354" s="4"/>
      <c r="ZA354" s="4"/>
      <c r="ZB354" s="4"/>
      <c r="ZC354" s="4"/>
      <c r="ZD354" s="4"/>
      <c r="ZE354" s="5"/>
      <c r="ZF354" s="6"/>
      <c r="ZG354" s="4"/>
      <c r="ZH354" s="4"/>
      <c r="ZI354" s="4"/>
      <c r="ZJ354" s="4"/>
      <c r="ZK354" s="4"/>
      <c r="ZL354" s="5"/>
      <c r="ZM354" s="6"/>
      <c r="ZN354" s="4"/>
      <c r="ZO354" s="4"/>
      <c r="ZP354" s="4"/>
      <c r="ZQ354" s="4"/>
      <c r="ZR354" s="4"/>
      <c r="ZS354" s="5"/>
      <c r="ZT354" s="6"/>
      <c r="ZU354" s="4"/>
      <c r="ZV354" s="4"/>
      <c r="ZW354" s="4"/>
      <c r="ZX354" s="4"/>
      <c r="ZY354" s="4"/>
      <c r="ZZ354" s="5"/>
      <c r="AAA354" s="6"/>
      <c r="AAB354" s="4"/>
      <c r="AAC354" s="4"/>
      <c r="AAD354" s="4"/>
      <c r="AAE354" s="4"/>
      <c r="AAF354" s="4"/>
      <c r="AAG354" s="5"/>
      <c r="AAH354" s="6"/>
      <c r="AAI354" s="4"/>
      <c r="AAJ354" s="4"/>
      <c r="AAK354" s="4"/>
      <c r="AAL354" s="4"/>
      <c r="AAM354" s="4"/>
      <c r="AAN354" s="5"/>
      <c r="AAO354" s="6"/>
      <c r="AAP354" s="4"/>
      <c r="AAQ354" s="4"/>
      <c r="AAR354" s="4"/>
      <c r="AAS354" s="4"/>
      <c r="AAT354" s="4"/>
      <c r="AAU354" s="5"/>
      <c r="AAV354" s="6"/>
      <c r="AAW354" s="4"/>
      <c r="AAX354" s="4"/>
      <c r="AAY354" s="4"/>
      <c r="AAZ354" s="4"/>
      <c r="ABA354" s="4"/>
      <c r="ABB354" s="5"/>
      <c r="ABC354" s="6"/>
      <c r="ABD354" s="4"/>
      <c r="ABE354" s="4"/>
      <c r="ABF354" s="4"/>
      <c r="ABG354" s="4"/>
      <c r="ABH354" s="4"/>
      <c r="ABI354" s="5"/>
      <c r="ABJ354" s="6"/>
      <c r="ABK354" s="4"/>
      <c r="ABL354" s="4"/>
      <c r="ABM354" s="4"/>
      <c r="ABN354" s="4"/>
      <c r="ABO354" s="4"/>
      <c r="ABP354" s="5"/>
      <c r="ABQ354" s="6"/>
      <c r="ABR354" s="4"/>
      <c r="ABS354" s="4"/>
      <c r="ABT354" s="4"/>
      <c r="ABU354" s="4"/>
      <c r="ABV354" s="4"/>
      <c r="ABW354" s="5"/>
      <c r="ABX354" s="6"/>
      <c r="ABY354" s="4"/>
      <c r="ABZ354" s="4"/>
      <c r="ACA354" s="4"/>
      <c r="ACB354" s="4"/>
      <c r="ACC354" s="4"/>
      <c r="ACD354" s="5"/>
      <c r="ACE354" s="6"/>
      <c r="ACF354" s="4"/>
      <c r="ACG354" s="4"/>
      <c r="ACH354" s="4"/>
      <c r="ACI354" s="4"/>
      <c r="ACJ354" s="4"/>
      <c r="ACK354" s="5"/>
      <c r="ACL354" s="6"/>
      <c r="ACM354" s="4"/>
      <c r="ACN354" s="4"/>
      <c r="ACO354" s="4"/>
      <c r="ACP354" s="4"/>
      <c r="ACQ354" s="4"/>
      <c r="ACR354" s="5"/>
      <c r="ACS354" s="6"/>
      <c r="ACT354" s="4"/>
      <c r="ACU354" s="4"/>
      <c r="ACV354" s="4"/>
      <c r="ACW354" s="4"/>
      <c r="ACX354" s="4"/>
      <c r="ACY354" s="5"/>
    </row>
    <row r="355" spans="2:806" x14ac:dyDescent="0.25">
      <c r="J355" s="12"/>
      <c r="K355" s="12"/>
      <c r="L355" s="12"/>
      <c r="LL355" s="6"/>
      <c r="LM355" s="4"/>
      <c r="LN355" s="4"/>
      <c r="LO355" s="4"/>
      <c r="LP355" s="4"/>
      <c r="LQ355" s="4"/>
      <c r="LR355" s="5"/>
      <c r="LS355" s="6"/>
      <c r="LT355" s="4"/>
      <c r="LU355" s="4"/>
      <c r="LV355" s="4"/>
      <c r="LW355" s="4"/>
      <c r="LX355" s="4"/>
      <c r="LY355" s="5"/>
      <c r="LZ355" s="6" t="s">
        <v>3594</v>
      </c>
      <c r="MA355" s="7" t="s">
        <v>3593</v>
      </c>
      <c r="MB355" s="4" t="s">
        <v>3421</v>
      </c>
      <c r="MC355" s="7" t="s">
        <v>3571</v>
      </c>
      <c r="MD355" s="8">
        <v>38588</v>
      </c>
      <c r="ME355" s="8">
        <v>38589</v>
      </c>
      <c r="MF355" s="8"/>
      <c r="MG355" s="5" t="s">
        <v>1318</v>
      </c>
      <c r="MH355" s="6"/>
      <c r="MI355" s="4"/>
      <c r="MJ355" s="4"/>
      <c r="MK355" s="4"/>
      <c r="ML355" s="4"/>
      <c r="MM355" s="4"/>
      <c r="MN355" s="5"/>
      <c r="MO355" s="6"/>
      <c r="MP355" s="4"/>
      <c r="MQ355" s="4"/>
      <c r="MR355" s="4"/>
      <c r="MS355" s="4"/>
      <c r="MT355" s="4"/>
      <c r="MU355" s="5"/>
      <c r="MV355" s="6"/>
      <c r="MW355" s="4"/>
      <c r="MX355" s="4"/>
      <c r="MY355" s="4"/>
      <c r="MZ355" s="4"/>
      <c r="NA355" s="4"/>
      <c r="NB355" s="5"/>
      <c r="NC355" s="6" t="s">
        <v>3698</v>
      </c>
      <c r="ND355" s="4" t="s">
        <v>3548</v>
      </c>
      <c r="NE355" s="4"/>
      <c r="NF355" s="7" t="s">
        <v>3699</v>
      </c>
      <c r="NG355" s="8">
        <v>38486</v>
      </c>
      <c r="NH355" s="8">
        <v>38578</v>
      </c>
      <c r="NI355" s="5" t="s">
        <v>1195</v>
      </c>
      <c r="NJ355" s="6"/>
      <c r="NK355" s="4"/>
      <c r="NL355" s="4"/>
      <c r="NM355" s="4"/>
      <c r="NN355" s="4"/>
      <c r="NO355" s="4"/>
      <c r="NP355" s="5"/>
      <c r="NQ355" s="6"/>
      <c r="NR355" s="4"/>
      <c r="NS355" s="4"/>
      <c r="NT355" s="4"/>
      <c r="NU355" s="8"/>
      <c r="NV355" s="4"/>
      <c r="NW355" s="5"/>
      <c r="NX355" s="6"/>
      <c r="NY355" s="4"/>
      <c r="NZ355" s="4"/>
      <c r="OA355" s="4"/>
      <c r="OB355" s="4"/>
      <c r="OC355" s="4"/>
      <c r="OD355" s="5"/>
      <c r="OE355" s="6"/>
      <c r="OF355" s="4"/>
      <c r="OG355" s="4"/>
      <c r="OH355" s="4"/>
      <c r="OI355" s="4"/>
      <c r="OJ355" s="4"/>
      <c r="OK355" s="5"/>
      <c r="OL355" s="6"/>
      <c r="OM355" s="4"/>
      <c r="ON355" s="4"/>
      <c r="OO355" s="4"/>
      <c r="OP355" s="4"/>
      <c r="OQ355" s="4"/>
      <c r="OR355" s="5"/>
      <c r="OS355" s="6"/>
      <c r="OT355" s="4"/>
      <c r="OU355" s="4"/>
      <c r="OV355" s="4"/>
      <c r="OW355" s="4"/>
      <c r="OX355" s="4"/>
      <c r="OY355" s="5"/>
      <c r="OZ355" s="6"/>
      <c r="PA355" s="4"/>
      <c r="PB355" s="4"/>
      <c r="PC355" s="4"/>
      <c r="PD355" s="4"/>
      <c r="PE355" s="4"/>
      <c r="PF355" s="5"/>
      <c r="PG355" s="6"/>
      <c r="PH355" s="4"/>
      <c r="PI355" s="4"/>
      <c r="PJ355" s="4"/>
      <c r="PK355" s="4"/>
      <c r="PL355" s="4"/>
      <c r="PM355" s="5"/>
      <c r="PN355" s="6"/>
      <c r="PO355" s="4"/>
      <c r="PP355" s="4"/>
      <c r="PQ355" s="4"/>
      <c r="PR355" s="4"/>
      <c r="PS355" s="4"/>
      <c r="PT355" s="5"/>
      <c r="PU355" s="6"/>
      <c r="PV355" s="4"/>
      <c r="PW355" s="4"/>
      <c r="PX355" s="4"/>
      <c r="PY355" s="8"/>
      <c r="PZ355" s="4"/>
      <c r="QA355" s="5"/>
      <c r="QB355" s="6"/>
      <c r="QC355" s="4"/>
      <c r="QD355" s="4"/>
      <c r="QE355" s="4"/>
      <c r="QF355" s="4"/>
      <c r="QG355" s="4"/>
      <c r="QH355" s="5"/>
      <c r="QI355" s="6"/>
      <c r="QJ355" s="4"/>
      <c r="QK355" s="4"/>
      <c r="QL355" s="4"/>
      <c r="QM355" s="4"/>
      <c r="QN355" s="4"/>
      <c r="QO355" s="5"/>
      <c r="QP355" s="6"/>
      <c r="QQ355" s="4"/>
      <c r="QR355" s="4"/>
      <c r="QS355" s="4"/>
      <c r="QT355" s="4"/>
      <c r="QU355" s="4"/>
      <c r="QV355" s="5"/>
      <c r="QW355" s="6"/>
      <c r="QX355" s="4"/>
      <c r="QY355" s="4"/>
      <c r="QZ355" s="4"/>
      <c r="RA355" s="4"/>
      <c r="RB355" s="4"/>
      <c r="RC355" s="5"/>
      <c r="RD355" s="6"/>
      <c r="RE355" s="4"/>
      <c r="RF355" s="4"/>
      <c r="RG355" s="4"/>
      <c r="RH355" s="4"/>
      <c r="RI355" s="4"/>
      <c r="RJ355" s="5"/>
      <c r="RK355" s="6"/>
      <c r="RL355" s="4"/>
      <c r="RM355" s="4"/>
      <c r="RN355" s="4"/>
      <c r="RO355" s="4"/>
      <c r="RP355" s="4"/>
      <c r="RQ355" s="5"/>
      <c r="RR355" s="6"/>
      <c r="RS355" s="4"/>
      <c r="RT355" s="4"/>
      <c r="RU355" s="4"/>
      <c r="RV355" s="4"/>
      <c r="RW355" s="4"/>
      <c r="RX355" s="5"/>
      <c r="RY355" s="6"/>
      <c r="RZ355" s="4"/>
      <c r="SA355" s="4"/>
      <c r="SB355" s="4"/>
      <c r="SC355" s="4"/>
      <c r="SD355" s="4"/>
      <c r="SE355" s="5"/>
      <c r="SF355" s="6"/>
      <c r="SG355" s="4"/>
      <c r="SH355" s="4"/>
      <c r="SI355" s="4"/>
      <c r="SJ355" s="4"/>
      <c r="SK355" s="4"/>
      <c r="SL355" s="5"/>
      <c r="SM355" s="6"/>
      <c r="SN355" s="4"/>
      <c r="SO355" s="4"/>
      <c r="SP355" s="4"/>
      <c r="SQ355" s="4"/>
      <c r="SR355" s="4"/>
      <c r="SS355" s="5"/>
      <c r="ST355" s="6"/>
      <c r="SU355" s="4"/>
      <c r="SV355" s="4"/>
      <c r="SW355" s="4"/>
      <c r="SX355" s="4"/>
      <c r="SY355" s="4"/>
      <c r="SZ355" s="5"/>
      <c r="TA355" s="6"/>
      <c r="TB355" s="4"/>
      <c r="TC355" s="4"/>
      <c r="TD355" s="4"/>
      <c r="TE355" s="4"/>
      <c r="TF355" s="4"/>
      <c r="TG355" s="5"/>
      <c r="TH355" s="6"/>
      <c r="TI355" s="4"/>
      <c r="TJ355" s="4"/>
      <c r="TK355" s="4"/>
      <c r="TL355" s="4"/>
      <c r="TM355" s="4"/>
      <c r="TN355" s="5"/>
      <c r="TO355" s="6"/>
      <c r="TP355" s="4"/>
      <c r="TQ355" s="4"/>
      <c r="TR355" s="4"/>
      <c r="TS355" s="4"/>
      <c r="TT355" s="4"/>
      <c r="TU355" s="5"/>
      <c r="TV355" s="6"/>
      <c r="TW355" s="4"/>
      <c r="TX355" s="4"/>
      <c r="TY355" s="4"/>
      <c r="TZ355" s="4"/>
      <c r="UA355" s="4"/>
      <c r="UB355" s="5"/>
      <c r="UC355" s="6"/>
      <c r="UD355" s="4"/>
      <c r="UE355" s="4"/>
      <c r="UF355" s="4"/>
      <c r="UG355" s="4"/>
      <c r="UH355" s="4"/>
      <c r="UI355" s="5"/>
      <c r="UJ355" s="6"/>
      <c r="UK355" s="4"/>
      <c r="UL355" s="4"/>
      <c r="UM355" s="4"/>
      <c r="UN355" s="4"/>
      <c r="UO355" s="4"/>
      <c r="UP355" s="5"/>
      <c r="UQ355" s="6"/>
      <c r="UR355" s="4"/>
      <c r="US355" s="4"/>
      <c r="UT355" s="4"/>
      <c r="UU355" s="4"/>
      <c r="UV355" s="4"/>
      <c r="UW355" s="5"/>
      <c r="UX355" s="6"/>
      <c r="UZ355" s="4"/>
      <c r="VA355" s="4"/>
      <c r="VB355" s="4"/>
      <c r="VC355" s="4"/>
      <c r="VD355" s="5"/>
      <c r="VE355" s="6"/>
      <c r="VF355" s="4"/>
      <c r="VG355" s="4"/>
      <c r="VH355" s="4"/>
      <c r="VI355" s="8"/>
      <c r="VJ355" s="4"/>
      <c r="VK355" s="5"/>
      <c r="VL355" s="6"/>
      <c r="VM355" s="4"/>
      <c r="VN355" s="4"/>
      <c r="VO355" s="4"/>
      <c r="VP355" s="4"/>
      <c r="VQ355" s="4"/>
      <c r="VR355" s="5"/>
      <c r="VS355" s="6"/>
      <c r="VT355" s="4"/>
      <c r="VU355" s="4"/>
      <c r="VV355" s="4"/>
      <c r="VW355" s="4"/>
      <c r="VX355" s="4"/>
      <c r="VY355" s="5"/>
      <c r="VZ355" s="6"/>
      <c r="WA355" s="4"/>
      <c r="WB355" s="4"/>
      <c r="WC355" s="4"/>
      <c r="WD355" s="8"/>
      <c r="WE355" s="4"/>
      <c r="WF355" s="5"/>
      <c r="WG355" s="6"/>
      <c r="WH355" s="4"/>
      <c r="WI355" s="4"/>
      <c r="WJ355" s="4"/>
      <c r="WK355" s="4"/>
      <c r="WL355" s="4"/>
      <c r="WM355" s="5"/>
      <c r="WN355" s="6"/>
      <c r="WO355" s="4"/>
      <c r="WP355" s="4"/>
      <c r="WQ355" s="4"/>
      <c r="WR355" s="4"/>
      <c r="WS355" s="4"/>
      <c r="WT355" s="5"/>
      <c r="WU355" s="6"/>
      <c r="WV355" s="4"/>
      <c r="WW355" s="4"/>
      <c r="WX355" s="4"/>
      <c r="WY355" s="4"/>
      <c r="WZ355" s="4"/>
      <c r="XA355" s="5"/>
      <c r="XB355" s="6"/>
      <c r="XC355" s="4"/>
      <c r="XD355" s="4"/>
      <c r="XE355" s="4"/>
      <c r="XF355" s="4"/>
      <c r="XG355" s="4"/>
      <c r="XH355" s="5"/>
      <c r="XI355" s="6"/>
      <c r="XJ355" s="4"/>
      <c r="XK355" s="4"/>
      <c r="XL355" s="4"/>
      <c r="XM355" s="4"/>
      <c r="XN355" s="4"/>
      <c r="XO355" s="5"/>
      <c r="XP355" s="6"/>
      <c r="XQ355" s="4"/>
      <c r="XR355" s="4"/>
      <c r="XS355" s="4"/>
      <c r="XT355" s="4"/>
      <c r="XU355" s="4"/>
      <c r="XV355" s="5"/>
      <c r="XW355" s="6"/>
      <c r="XX355" s="4"/>
      <c r="XY355" s="4"/>
      <c r="XZ355" s="7"/>
      <c r="YA355" s="8"/>
      <c r="YB355" s="8"/>
      <c r="YC355" s="5"/>
      <c r="YD355" s="6"/>
      <c r="YE355" s="4"/>
      <c r="YF355" s="4"/>
      <c r="YG355" s="4"/>
      <c r="YH355" s="4"/>
      <c r="YI355" s="4"/>
      <c r="YJ355" s="5"/>
      <c r="YK355" s="6" t="s">
        <v>3841</v>
      </c>
      <c r="YL355" s="7" t="s">
        <v>3589</v>
      </c>
      <c r="YM355" s="4"/>
      <c r="YN355" s="4"/>
      <c r="YO355" s="8">
        <v>38588</v>
      </c>
      <c r="YP355" s="4"/>
      <c r="YQ355" s="5" t="s">
        <v>1458</v>
      </c>
      <c r="YR355" s="6"/>
      <c r="YS355" s="4"/>
      <c r="YT355" s="4"/>
      <c r="YU355" s="4"/>
      <c r="YV355" s="4"/>
      <c r="YW355" s="4"/>
      <c r="YX355" s="5"/>
      <c r="YY355" s="6"/>
      <c r="YZ355" s="4"/>
      <c r="ZA355" s="4"/>
      <c r="ZB355" s="4"/>
      <c r="ZC355" s="4"/>
      <c r="ZD355" s="4"/>
      <c r="ZE355" s="5"/>
      <c r="ZF355" s="6"/>
      <c r="ZG355" s="4"/>
      <c r="ZH355" s="4"/>
      <c r="ZI355" s="4"/>
      <c r="ZJ355" s="4"/>
      <c r="ZK355" s="4"/>
      <c r="ZL355" s="5"/>
      <c r="ZM355" s="6"/>
      <c r="ZN355" s="4"/>
      <c r="ZO355" s="4"/>
      <c r="ZP355" s="4"/>
      <c r="ZQ355" s="4"/>
      <c r="ZR355" s="4"/>
      <c r="ZS355" s="5"/>
      <c r="ZT355" s="6"/>
      <c r="ZU355" s="4"/>
      <c r="ZV355" s="4"/>
      <c r="ZW355" s="4"/>
      <c r="ZX355" s="4"/>
      <c r="ZY355" s="4"/>
      <c r="ZZ355" s="5"/>
      <c r="AAA355" s="6"/>
      <c r="AAB355" s="4"/>
      <c r="AAC355" s="4"/>
      <c r="AAD355" s="4"/>
      <c r="AAE355" s="4"/>
      <c r="AAF355" s="4"/>
      <c r="AAG355" s="5"/>
      <c r="AAH355" s="6"/>
      <c r="AAI355" s="4"/>
      <c r="AAJ355" s="4"/>
      <c r="AAK355" s="4"/>
      <c r="AAL355" s="4"/>
      <c r="AAM355" s="4"/>
      <c r="AAN355" s="5"/>
      <c r="AAO355" s="6"/>
      <c r="AAP355" s="4"/>
      <c r="AAQ355" s="4"/>
      <c r="AAR355" s="4"/>
      <c r="AAS355" s="4"/>
      <c r="AAT355" s="4"/>
      <c r="AAU355" s="5"/>
      <c r="AAV355" s="6"/>
      <c r="AAW355" s="4"/>
      <c r="AAX355" s="4"/>
      <c r="AAY355" s="4"/>
      <c r="AAZ355" s="4"/>
      <c r="ABA355" s="4"/>
      <c r="ABB355" s="5"/>
      <c r="ABC355" s="6"/>
      <c r="ABD355" s="4"/>
      <c r="ABE355" s="4"/>
      <c r="ABF355" s="4"/>
      <c r="ABG355" s="4"/>
      <c r="ABH355" s="4"/>
      <c r="ABI355" s="5"/>
      <c r="ABJ355" s="6"/>
      <c r="ABK355" s="4"/>
      <c r="ABL355" s="4"/>
      <c r="ABM355" s="4"/>
      <c r="ABN355" s="4"/>
      <c r="ABO355" s="4"/>
      <c r="ABP355" s="5"/>
      <c r="ABQ355" s="6"/>
      <c r="ABR355" s="4"/>
      <c r="ABS355" s="4"/>
      <c r="ABT355" s="4"/>
      <c r="ABU355" s="4"/>
      <c r="ABV355" s="4"/>
      <c r="ABW355" s="5"/>
      <c r="ABX355" s="6"/>
      <c r="ABY355" s="4"/>
      <c r="ABZ355" s="4"/>
      <c r="ACA355" s="4"/>
      <c r="ACB355" s="4"/>
      <c r="ACC355" s="4"/>
      <c r="ACD355" s="5"/>
      <c r="ACE355" s="6"/>
      <c r="ACF355" s="4"/>
      <c r="ACG355" s="4"/>
      <c r="ACH355" s="4"/>
      <c r="ACI355" s="4"/>
      <c r="ACJ355" s="4"/>
      <c r="ACK355" s="5"/>
      <c r="ACL355" s="6"/>
      <c r="ACM355" s="4"/>
      <c r="ACN355" s="4"/>
      <c r="ACO355" s="4"/>
      <c r="ACP355" s="4"/>
      <c r="ACQ355" s="4"/>
      <c r="ACR355" s="5"/>
      <c r="ACS355" s="6"/>
      <c r="ACT355" s="4"/>
      <c r="ACU355" s="4"/>
      <c r="ACV355" s="4"/>
      <c r="ACW355" s="4"/>
      <c r="ACX355" s="4"/>
      <c r="ACY355" s="5"/>
    </row>
    <row r="356" spans="2:806" x14ac:dyDescent="0.25">
      <c r="J356" s="12"/>
      <c r="K356" s="12"/>
      <c r="L356" s="12"/>
      <c r="LL356" s="6"/>
      <c r="LM356" s="4"/>
      <c r="LN356" s="4"/>
      <c r="LO356" s="4"/>
      <c r="LP356" s="4"/>
      <c r="LQ356" s="4"/>
      <c r="LR356" s="5"/>
      <c r="LS356" s="6"/>
      <c r="LT356" s="4"/>
      <c r="LU356" s="4"/>
      <c r="LV356" s="4"/>
      <c r="LW356" s="4"/>
      <c r="LX356" s="4"/>
      <c r="LY356" s="5"/>
      <c r="LZ356" s="6" t="s">
        <v>3595</v>
      </c>
      <c r="MA356" s="7" t="s">
        <v>3444</v>
      </c>
      <c r="MB356" s="4"/>
      <c r="MC356" t="s">
        <v>3759</v>
      </c>
      <c r="MD356" s="8">
        <v>38443</v>
      </c>
      <c r="ME356" s="8">
        <v>38585</v>
      </c>
      <c r="MF356" s="8"/>
      <c r="MG356" s="5" t="s">
        <v>1319</v>
      </c>
      <c r="MH356" s="6"/>
      <c r="MI356" s="4"/>
      <c r="MJ356" s="4"/>
      <c r="MK356" s="4"/>
      <c r="ML356" s="4"/>
      <c r="MM356" s="4"/>
      <c r="MN356" s="5"/>
      <c r="MO356" s="6"/>
      <c r="MP356" s="4"/>
      <c r="MQ356" s="4"/>
      <c r="MR356" s="4"/>
      <c r="MS356" s="4"/>
      <c r="MT356" s="4"/>
      <c r="MU356" s="5"/>
      <c r="MV356" s="6"/>
      <c r="MW356" s="4"/>
      <c r="MX356" s="4"/>
      <c r="MY356" s="4"/>
      <c r="MZ356" s="4"/>
      <c r="NA356" s="4"/>
      <c r="NB356" s="5"/>
      <c r="NC356" s="6"/>
      <c r="ND356" s="4"/>
      <c r="NE356" s="4"/>
      <c r="NF356" s="7"/>
      <c r="NG356" s="8"/>
      <c r="NH356" s="8"/>
      <c r="NI356" s="5"/>
      <c r="NJ356" s="6"/>
      <c r="NK356" s="4"/>
      <c r="NL356" s="4"/>
      <c r="NM356" s="4"/>
      <c r="NN356" s="4"/>
      <c r="NO356" s="4"/>
      <c r="NP356" s="5"/>
      <c r="NQ356" s="6"/>
      <c r="NR356" s="4"/>
      <c r="NS356" s="4"/>
      <c r="NT356" s="4"/>
      <c r="NU356" s="8"/>
      <c r="NV356" s="4"/>
      <c r="NW356" s="5"/>
      <c r="NX356" s="6"/>
      <c r="NY356" s="4"/>
      <c r="NZ356" s="4"/>
      <c r="OA356" s="4"/>
      <c r="OB356" s="4"/>
      <c r="OC356" s="4"/>
      <c r="OD356" s="5"/>
      <c r="OE356" s="6"/>
      <c r="OF356" s="4"/>
      <c r="OG356" s="4"/>
      <c r="OH356" s="4"/>
      <c r="OI356" s="4"/>
      <c r="OJ356" s="4"/>
      <c r="OK356" s="5"/>
      <c r="OL356" s="6"/>
      <c r="OM356" s="4"/>
      <c r="ON356" s="4"/>
      <c r="OO356" s="4"/>
      <c r="OP356" s="4"/>
      <c r="OQ356" s="4"/>
      <c r="OR356" s="5"/>
      <c r="OS356" s="6"/>
      <c r="OT356" s="4"/>
      <c r="OU356" s="4"/>
      <c r="OV356" s="4"/>
      <c r="OW356" s="4"/>
      <c r="OX356" s="4"/>
      <c r="OY356" s="5"/>
      <c r="OZ356" s="6"/>
      <c r="PA356" s="4"/>
      <c r="PB356" s="4"/>
      <c r="PC356" s="4"/>
      <c r="PD356" s="4"/>
      <c r="PE356" s="4"/>
      <c r="PF356" s="5"/>
      <c r="PG356" s="6"/>
      <c r="PH356" s="4"/>
      <c r="PI356" s="4"/>
      <c r="PJ356" s="4"/>
      <c r="PK356" s="4"/>
      <c r="PL356" s="4"/>
      <c r="PM356" s="5"/>
      <c r="PN356" s="6"/>
      <c r="PO356" s="4"/>
      <c r="PP356" s="4"/>
      <c r="PQ356" s="4"/>
      <c r="PR356" s="4"/>
      <c r="PS356" s="4"/>
      <c r="PT356" s="5"/>
      <c r="PU356" s="6"/>
      <c r="PV356" s="4"/>
      <c r="PW356" s="4"/>
      <c r="PX356" s="4"/>
      <c r="PY356" s="8"/>
      <c r="PZ356" s="4"/>
      <c r="QA356" s="5"/>
      <c r="QB356" s="6"/>
      <c r="QC356" s="4"/>
      <c r="QD356" s="4"/>
      <c r="QE356" s="4"/>
      <c r="QF356" s="4"/>
      <c r="QG356" s="4"/>
      <c r="QH356" s="5"/>
      <c r="QI356" s="6"/>
      <c r="QJ356" s="4"/>
      <c r="QK356" s="4"/>
      <c r="QL356" s="4"/>
      <c r="QM356" s="4"/>
      <c r="QN356" s="4"/>
      <c r="QO356" s="5"/>
      <c r="QP356" s="6"/>
      <c r="QQ356" s="4"/>
      <c r="QR356" s="4"/>
      <c r="QS356" s="4"/>
      <c r="QT356" s="4"/>
      <c r="QU356" s="4"/>
      <c r="QV356" s="5"/>
      <c r="QW356" s="6"/>
      <c r="QX356" s="4"/>
      <c r="QY356" s="4"/>
      <c r="QZ356" s="4"/>
      <c r="RA356" s="4"/>
      <c r="RB356" s="4"/>
      <c r="RC356" s="5"/>
      <c r="RD356" s="6"/>
      <c r="RE356" s="4"/>
      <c r="RF356" s="4"/>
      <c r="RG356" s="4"/>
      <c r="RH356" s="4"/>
      <c r="RI356" s="4"/>
      <c r="RJ356" s="5"/>
      <c r="RK356" s="6"/>
      <c r="RL356" s="4"/>
      <c r="RM356" s="4"/>
      <c r="RN356" s="4"/>
      <c r="RO356" s="4"/>
      <c r="RP356" s="4"/>
      <c r="RQ356" s="5"/>
      <c r="RR356" s="6"/>
      <c r="RS356" s="4"/>
      <c r="RT356" s="4"/>
      <c r="RU356" s="4"/>
      <c r="RV356" s="4"/>
      <c r="RW356" s="4"/>
      <c r="RX356" s="5"/>
      <c r="RY356" s="6"/>
      <c r="RZ356" s="4"/>
      <c r="SA356" s="4"/>
      <c r="SB356" s="4"/>
      <c r="SC356" s="4"/>
      <c r="SD356" s="4"/>
      <c r="SE356" s="5"/>
      <c r="SF356" s="6"/>
      <c r="SG356" s="4"/>
      <c r="SH356" s="4"/>
      <c r="SI356" s="4"/>
      <c r="SJ356" s="4"/>
      <c r="SK356" s="4"/>
      <c r="SL356" s="5"/>
      <c r="SM356" s="6"/>
      <c r="SN356" s="4"/>
      <c r="SO356" s="4"/>
      <c r="SP356" s="4"/>
      <c r="SQ356" s="4"/>
      <c r="SR356" s="4"/>
      <c r="SS356" s="5"/>
      <c r="ST356" s="6"/>
      <c r="SU356" s="4"/>
      <c r="SV356" s="4"/>
      <c r="SW356" s="4"/>
      <c r="SX356" s="4"/>
      <c r="SY356" s="4"/>
      <c r="SZ356" s="5"/>
      <c r="TA356" s="6"/>
      <c r="TB356" s="4"/>
      <c r="TC356" s="4"/>
      <c r="TD356" s="4"/>
      <c r="TE356" s="4"/>
      <c r="TF356" s="4"/>
      <c r="TG356" s="5"/>
      <c r="TH356" s="6"/>
      <c r="TI356" s="4"/>
      <c r="TJ356" s="4"/>
      <c r="TK356" s="4"/>
      <c r="TL356" s="4"/>
      <c r="TM356" s="4"/>
      <c r="TN356" s="5"/>
      <c r="TO356" s="6"/>
      <c r="TP356" s="4"/>
      <c r="TQ356" s="4"/>
      <c r="TR356" s="4"/>
      <c r="TS356" s="4"/>
      <c r="TT356" s="4"/>
      <c r="TU356" s="5"/>
      <c r="TV356" s="6"/>
      <c r="TW356" s="4"/>
      <c r="TX356" s="4"/>
      <c r="TY356" s="4"/>
      <c r="TZ356" s="4"/>
      <c r="UA356" s="4"/>
      <c r="UB356" s="5"/>
      <c r="UC356" s="6"/>
      <c r="UD356" s="4"/>
      <c r="UE356" s="4"/>
      <c r="UF356" s="4"/>
      <c r="UG356" s="4"/>
      <c r="UH356" s="4"/>
      <c r="UI356" s="5"/>
      <c r="UJ356" s="6"/>
      <c r="UK356" s="4"/>
      <c r="UL356" s="4"/>
      <c r="UM356" s="4"/>
      <c r="UN356" s="4"/>
      <c r="UO356" s="4"/>
      <c r="UP356" s="5"/>
      <c r="UQ356" s="6"/>
      <c r="UR356" s="4"/>
      <c r="US356" s="4"/>
      <c r="UT356" s="4"/>
      <c r="UU356" s="4"/>
      <c r="UV356" s="4"/>
      <c r="UW356" s="5"/>
      <c r="UX356" s="6"/>
      <c r="UZ356" s="4"/>
      <c r="VA356" s="4"/>
      <c r="VB356" s="4"/>
      <c r="VC356" s="4"/>
      <c r="VD356" s="5"/>
      <c r="VE356" s="6"/>
      <c r="VF356" s="4"/>
      <c r="VG356" s="4"/>
      <c r="VH356" s="4"/>
      <c r="VI356" s="8"/>
      <c r="VJ356" s="4"/>
      <c r="VK356" s="5"/>
      <c r="VL356" s="6"/>
      <c r="VM356" s="4"/>
      <c r="VN356" s="4"/>
      <c r="VO356" s="4"/>
      <c r="VP356" s="4"/>
      <c r="VQ356" s="4"/>
      <c r="VR356" s="5"/>
      <c r="VS356" s="6"/>
      <c r="VT356" s="4"/>
      <c r="VU356" s="4"/>
      <c r="VV356" s="4"/>
      <c r="VW356" s="4"/>
      <c r="VX356" s="4"/>
      <c r="VY356" s="5"/>
      <c r="VZ356" s="6"/>
      <c r="WA356" s="4"/>
      <c r="WB356" s="4"/>
      <c r="WC356" s="4"/>
      <c r="WD356" s="8"/>
      <c r="WE356" s="4"/>
      <c r="WF356" s="5"/>
      <c r="WG356" s="6"/>
      <c r="WH356" s="4"/>
      <c r="WI356" s="4"/>
      <c r="WJ356" s="4"/>
      <c r="WK356" s="4"/>
      <c r="WL356" s="4"/>
      <c r="WM356" s="5"/>
      <c r="WN356" s="6"/>
      <c r="WO356" s="4"/>
      <c r="WP356" s="4"/>
      <c r="WQ356" s="4"/>
      <c r="WR356" s="4"/>
      <c r="WS356" s="4"/>
      <c r="WT356" s="5"/>
      <c r="WU356" s="6"/>
      <c r="WV356" s="4"/>
      <c r="WW356" s="4"/>
      <c r="WX356" s="4"/>
      <c r="WY356" s="4"/>
      <c r="WZ356" s="4"/>
      <c r="XA356" s="5"/>
      <c r="XB356" s="6"/>
      <c r="XC356" s="4"/>
      <c r="XD356" s="4"/>
      <c r="XE356" s="4"/>
      <c r="XF356" s="4"/>
      <c r="XG356" s="4"/>
      <c r="XH356" s="5"/>
      <c r="XI356" s="6"/>
      <c r="XJ356" s="4"/>
      <c r="XK356" s="4"/>
      <c r="XL356" s="4"/>
      <c r="XM356" s="4"/>
      <c r="XN356" s="4"/>
      <c r="XO356" s="5"/>
      <c r="XP356" s="6"/>
      <c r="XQ356" s="4"/>
      <c r="XR356" s="4"/>
      <c r="XS356" s="4"/>
      <c r="XT356" s="4"/>
      <c r="XU356" s="4"/>
      <c r="XV356" s="5"/>
      <c r="XW356" s="6"/>
      <c r="XX356" s="4"/>
      <c r="XY356" s="4"/>
      <c r="XZ356" s="7"/>
      <c r="YA356" s="8"/>
      <c r="YB356" s="8"/>
      <c r="YC356" s="5"/>
      <c r="YD356" s="6"/>
      <c r="YE356" s="4"/>
      <c r="YF356" s="4"/>
      <c r="YG356" s="4"/>
      <c r="YH356" s="4"/>
      <c r="YI356" s="4"/>
      <c r="YJ356" s="5"/>
      <c r="YK356" s="6" t="s">
        <v>3445</v>
      </c>
      <c r="YL356" s="7" t="s">
        <v>3445</v>
      </c>
      <c r="YM356" s="4" t="s">
        <v>3446</v>
      </c>
      <c r="YN356" s="7" t="s">
        <v>3221</v>
      </c>
      <c r="YO356" s="8">
        <v>38585</v>
      </c>
      <c r="YP356" s="8">
        <v>38587</v>
      </c>
      <c r="YQ356" s="5" t="s">
        <v>1316</v>
      </c>
      <c r="YR356" s="6"/>
      <c r="YS356" s="4"/>
      <c r="YT356" s="4"/>
      <c r="YU356" s="4"/>
      <c r="YV356" s="4"/>
      <c r="YW356" s="4"/>
      <c r="YX356" s="5"/>
      <c r="YY356" s="6"/>
      <c r="YZ356" s="4"/>
      <c r="ZA356" s="4"/>
      <c r="ZB356" s="4"/>
      <c r="ZC356" s="4"/>
      <c r="ZD356" s="4"/>
      <c r="ZE356" s="5"/>
      <c r="ZF356" s="6"/>
      <c r="ZG356" s="4"/>
      <c r="ZH356" s="4"/>
      <c r="ZI356" s="4"/>
      <c r="ZJ356" s="4"/>
      <c r="ZK356" s="4"/>
      <c r="ZL356" s="5"/>
      <c r="ZM356" s="6"/>
      <c r="ZN356" s="4"/>
      <c r="ZO356" s="4"/>
      <c r="ZP356" s="4"/>
      <c r="ZQ356" s="4"/>
      <c r="ZR356" s="4"/>
      <c r="ZS356" s="5"/>
      <c r="ZT356" s="6"/>
      <c r="ZU356" s="4"/>
      <c r="ZV356" s="4"/>
      <c r="ZW356" s="4"/>
      <c r="ZX356" s="4"/>
      <c r="ZY356" s="4"/>
      <c r="ZZ356" s="5"/>
      <c r="AAA356" s="6"/>
      <c r="AAB356" s="4"/>
      <c r="AAC356" s="4"/>
      <c r="AAD356" s="4"/>
      <c r="AAE356" s="4"/>
      <c r="AAF356" s="4"/>
      <c r="AAG356" s="5"/>
      <c r="AAH356" s="6"/>
      <c r="AAI356" s="4"/>
      <c r="AAJ356" s="4"/>
      <c r="AAK356" s="4"/>
      <c r="AAL356" s="4"/>
      <c r="AAM356" s="4"/>
      <c r="AAN356" s="5"/>
      <c r="AAO356" s="6"/>
      <c r="AAP356" s="4"/>
      <c r="AAQ356" s="4"/>
      <c r="AAR356" s="4"/>
      <c r="AAS356" s="4"/>
      <c r="AAT356" s="4"/>
      <c r="AAU356" s="5"/>
      <c r="AAV356" s="6"/>
      <c r="AAW356" s="4"/>
      <c r="AAX356" s="4"/>
      <c r="AAY356" s="4"/>
      <c r="AAZ356" s="4"/>
      <c r="ABA356" s="4"/>
      <c r="ABB356" s="5"/>
      <c r="ABC356" s="6"/>
      <c r="ABD356" s="4"/>
      <c r="ABE356" s="4"/>
      <c r="ABF356" s="4"/>
      <c r="ABG356" s="4"/>
      <c r="ABH356" s="4"/>
      <c r="ABI356" s="5"/>
      <c r="ABJ356" s="6"/>
      <c r="ABK356" s="4"/>
      <c r="ABL356" s="4"/>
      <c r="ABM356" s="4"/>
      <c r="ABN356" s="4"/>
      <c r="ABO356" s="4"/>
      <c r="ABP356" s="5"/>
      <c r="ABQ356" s="6"/>
      <c r="ABR356" s="4"/>
      <c r="ABS356" s="4"/>
      <c r="ABT356" s="4"/>
      <c r="ABU356" s="4"/>
      <c r="ABV356" s="4"/>
      <c r="ABW356" s="5"/>
      <c r="ABX356" s="6"/>
      <c r="ABY356" s="4"/>
      <c r="ABZ356" s="4"/>
      <c r="ACA356" s="4"/>
      <c r="ACB356" s="4"/>
      <c r="ACC356" s="4"/>
      <c r="ACD356" s="5"/>
      <c r="ACE356" s="6"/>
      <c r="ACF356" s="4"/>
      <c r="ACG356" s="4"/>
      <c r="ACH356" s="4"/>
      <c r="ACI356" s="4"/>
      <c r="ACJ356" s="4"/>
      <c r="ACK356" s="5"/>
      <c r="ACL356" s="6"/>
      <c r="ACM356" s="4"/>
      <c r="ACN356" s="4"/>
      <c r="ACO356" s="4"/>
      <c r="ACP356" s="4"/>
      <c r="ACQ356" s="4"/>
      <c r="ACR356" s="5"/>
      <c r="ACS356" s="6"/>
      <c r="ACT356" s="4"/>
      <c r="ACU356" s="4"/>
      <c r="ACV356" s="4"/>
      <c r="ACW356" s="4"/>
      <c r="ACX356" s="4"/>
      <c r="ACY356" s="5"/>
    </row>
    <row r="357" spans="2:806" x14ac:dyDescent="0.25">
      <c r="J357" s="12"/>
      <c r="K357" s="12"/>
      <c r="L357" s="12"/>
      <c r="LL357" s="6"/>
      <c r="LM357" s="4"/>
      <c r="LN357" s="4"/>
      <c r="LO357" s="4"/>
      <c r="LP357" s="4"/>
      <c r="LQ357" s="4"/>
      <c r="LR357" s="5"/>
      <c r="LS357" s="6"/>
      <c r="LT357" s="4"/>
      <c r="LU357" s="4"/>
      <c r="LV357" s="4"/>
      <c r="LW357" s="4"/>
      <c r="LX357" s="4"/>
      <c r="LY357" s="5"/>
      <c r="LZ357" s="6" t="s">
        <v>3889</v>
      </c>
      <c r="MA357" s="7" t="s">
        <v>3890</v>
      </c>
      <c r="MB357" s="4" t="s">
        <v>3534</v>
      </c>
      <c r="MC357" s="8" t="s">
        <v>3758</v>
      </c>
      <c r="MD357" s="8">
        <v>38412</v>
      </c>
      <c r="ME357" s="8">
        <v>38585</v>
      </c>
      <c r="MF357" s="8"/>
      <c r="MG357" s="5" t="s">
        <v>1321</v>
      </c>
      <c r="MH357" s="6"/>
      <c r="MI357" s="4"/>
      <c r="MJ357" s="4"/>
      <c r="MK357" s="4"/>
      <c r="ML357" s="4"/>
      <c r="MM357" s="4"/>
      <c r="MN357" s="5"/>
      <c r="MO357" s="6"/>
      <c r="MP357" s="4"/>
      <c r="MQ357" s="4"/>
      <c r="MR357" s="4"/>
      <c r="MS357" s="4"/>
      <c r="MT357" s="4"/>
      <c r="MU357" s="5"/>
      <c r="MV357" s="6"/>
      <c r="MW357" s="4"/>
      <c r="MX357" s="4"/>
      <c r="MY357" s="4"/>
      <c r="MZ357" s="4"/>
      <c r="NA357" s="4"/>
      <c r="NB357" s="5"/>
      <c r="NC357" s="6"/>
      <c r="ND357" s="4"/>
      <c r="NE357" s="4"/>
      <c r="NF357" s="7"/>
      <c r="NG357" s="8"/>
      <c r="NH357" s="8"/>
      <c r="NI357" s="5"/>
      <c r="NJ357" s="6"/>
      <c r="NK357" s="4"/>
      <c r="NL357" s="4"/>
      <c r="NM357" s="4"/>
      <c r="NN357" s="4"/>
      <c r="NO357" s="4"/>
      <c r="NP357" s="5"/>
      <c r="NQ357" s="6"/>
      <c r="NR357" s="4"/>
      <c r="NS357" s="4"/>
      <c r="NT357" s="4"/>
      <c r="NU357" s="8"/>
      <c r="NV357" s="4"/>
      <c r="NW357" s="5"/>
      <c r="NX357" s="6"/>
      <c r="NY357" s="4"/>
      <c r="NZ357" s="4"/>
      <c r="OA357" s="4"/>
      <c r="OB357" s="4"/>
      <c r="OC357" s="4"/>
      <c r="OD357" s="5"/>
      <c r="OE357" s="6"/>
      <c r="OF357" s="4"/>
      <c r="OG357" s="4"/>
      <c r="OH357" s="4"/>
      <c r="OI357" s="4"/>
      <c r="OJ357" s="4"/>
      <c r="OK357" s="5"/>
      <c r="OL357" s="6"/>
      <c r="OM357" s="4"/>
      <c r="ON357" s="4"/>
      <c r="OO357" s="4"/>
      <c r="OP357" s="4"/>
      <c r="OQ357" s="4"/>
      <c r="OR357" s="5"/>
      <c r="OS357" s="6"/>
      <c r="OT357" s="4"/>
      <c r="OU357" s="4"/>
      <c r="OV357" s="4"/>
      <c r="OW357" s="4"/>
      <c r="OX357" s="4"/>
      <c r="OY357" s="5"/>
      <c r="OZ357" s="6"/>
      <c r="PA357" s="4"/>
      <c r="PB357" s="4"/>
      <c r="PC357" s="4"/>
      <c r="PD357" s="4"/>
      <c r="PE357" s="4"/>
      <c r="PF357" s="5"/>
      <c r="PG357" s="6"/>
      <c r="PH357" s="4"/>
      <c r="PI357" s="4"/>
      <c r="PJ357" s="4"/>
      <c r="PK357" s="4"/>
      <c r="PL357" s="4"/>
      <c r="PM357" s="5"/>
      <c r="PN357" s="6"/>
      <c r="PO357" s="4"/>
      <c r="PP357" s="4"/>
      <c r="PQ357" s="4"/>
      <c r="PR357" s="4"/>
      <c r="PS357" s="4"/>
      <c r="PT357" s="5"/>
      <c r="PU357" s="6"/>
      <c r="PV357" s="4"/>
      <c r="PW357" s="4"/>
      <c r="PX357" s="4"/>
      <c r="PY357" s="8"/>
      <c r="PZ357" s="4"/>
      <c r="QA357" s="5"/>
      <c r="QB357" s="6"/>
      <c r="QC357" s="4"/>
      <c r="QD357" s="4"/>
      <c r="QE357" s="4"/>
      <c r="QF357" s="4"/>
      <c r="QG357" s="4"/>
      <c r="QH357" s="5"/>
      <c r="QI357" s="6"/>
      <c r="QJ357" s="4"/>
      <c r="QK357" s="4"/>
      <c r="QL357" s="4"/>
      <c r="QM357" s="4"/>
      <c r="QN357" s="4"/>
      <c r="QO357" s="5"/>
      <c r="QP357" s="6"/>
      <c r="QQ357" s="4"/>
      <c r="QR357" s="4"/>
      <c r="QS357" s="4"/>
      <c r="QT357" s="4"/>
      <c r="QU357" s="4"/>
      <c r="QV357" s="5"/>
      <c r="QW357" s="6"/>
      <c r="QX357" s="4"/>
      <c r="QY357" s="4"/>
      <c r="QZ357" s="4"/>
      <c r="RA357" s="4"/>
      <c r="RB357" s="4"/>
      <c r="RC357" s="5"/>
      <c r="RD357" s="6"/>
      <c r="RE357" s="4"/>
      <c r="RF357" s="4"/>
      <c r="RG357" s="4"/>
      <c r="RH357" s="4"/>
      <c r="RI357" s="4"/>
      <c r="RJ357" s="5"/>
      <c r="RK357" s="6"/>
      <c r="RL357" s="4"/>
      <c r="RM357" s="4"/>
      <c r="RN357" s="4"/>
      <c r="RO357" s="4"/>
      <c r="RP357" s="4"/>
      <c r="RQ357" s="5"/>
      <c r="RR357" s="6"/>
      <c r="RS357" s="4"/>
      <c r="RT357" s="4"/>
      <c r="RU357" s="4"/>
      <c r="RV357" s="4"/>
      <c r="RW357" s="4"/>
      <c r="RX357" s="5"/>
      <c r="RY357" s="6"/>
      <c r="RZ357" s="4"/>
      <c r="SA357" s="4"/>
      <c r="SB357" s="4"/>
      <c r="SC357" s="4"/>
      <c r="SD357" s="4"/>
      <c r="SE357" s="5"/>
      <c r="SF357" s="6"/>
      <c r="SG357" s="4"/>
      <c r="SH357" s="4"/>
      <c r="SI357" s="4"/>
      <c r="SJ357" s="4"/>
      <c r="SK357" s="4"/>
      <c r="SL357" s="5"/>
      <c r="SM357" s="6"/>
      <c r="SN357" s="4"/>
      <c r="SO357" s="4"/>
      <c r="SP357" s="4"/>
      <c r="SQ357" s="4"/>
      <c r="SR357" s="4"/>
      <c r="SS357" s="5"/>
      <c r="ST357" s="6"/>
      <c r="SU357" s="4"/>
      <c r="SV357" s="4"/>
      <c r="SW357" s="4"/>
      <c r="SX357" s="4"/>
      <c r="SY357" s="4"/>
      <c r="SZ357" s="5"/>
      <c r="TA357" s="6"/>
      <c r="TB357" s="4"/>
      <c r="TC357" s="4"/>
      <c r="TD357" s="4"/>
      <c r="TE357" s="4"/>
      <c r="TF357" s="4"/>
      <c r="TG357" s="5"/>
      <c r="TH357" s="6"/>
      <c r="TI357" s="4"/>
      <c r="TJ357" s="4"/>
      <c r="TK357" s="4"/>
      <c r="TL357" s="4"/>
      <c r="TM357" s="4"/>
      <c r="TN357" s="5"/>
      <c r="TO357" s="6"/>
      <c r="TP357" s="4"/>
      <c r="TQ357" s="4"/>
      <c r="TR357" s="4"/>
      <c r="TS357" s="4"/>
      <c r="TT357" s="4"/>
      <c r="TU357" s="5"/>
      <c r="TV357" s="6"/>
      <c r="TW357" s="4"/>
      <c r="TX357" s="4"/>
      <c r="TY357" s="4"/>
      <c r="TZ357" s="4"/>
      <c r="UA357" s="4"/>
      <c r="UB357" s="5"/>
      <c r="UC357" s="6"/>
      <c r="UD357" s="4"/>
      <c r="UE357" s="4"/>
      <c r="UF357" s="4"/>
      <c r="UG357" s="4"/>
      <c r="UH357" s="4"/>
      <c r="UI357" s="5"/>
      <c r="UJ357" s="6"/>
      <c r="UK357" s="4"/>
      <c r="UL357" s="4"/>
      <c r="UM357" s="4"/>
      <c r="UN357" s="4"/>
      <c r="UO357" s="4"/>
      <c r="UP357" s="5"/>
      <c r="UQ357" s="6"/>
      <c r="UR357" s="4"/>
      <c r="US357" s="4"/>
      <c r="UT357" s="4"/>
      <c r="UU357" s="4"/>
      <c r="UV357" s="4"/>
      <c r="UW357" s="5"/>
      <c r="UX357" s="6"/>
      <c r="UZ357" s="4"/>
      <c r="VA357" s="4"/>
      <c r="VB357" s="4"/>
      <c r="VC357" s="4"/>
      <c r="VD357" s="5"/>
      <c r="VE357" s="6"/>
      <c r="VF357" s="4"/>
      <c r="VG357" s="4"/>
      <c r="VH357" s="4"/>
      <c r="VI357" s="8"/>
      <c r="VJ357" s="4"/>
      <c r="VK357" s="5"/>
      <c r="VL357" s="6"/>
      <c r="VM357" s="4"/>
      <c r="VN357" s="4"/>
      <c r="VO357" s="4"/>
      <c r="VP357" s="4"/>
      <c r="VQ357" s="4"/>
      <c r="VR357" s="5"/>
      <c r="VS357" s="6"/>
      <c r="VT357" s="4"/>
      <c r="VU357" s="4"/>
      <c r="VV357" s="4"/>
      <c r="VW357" s="4"/>
      <c r="VX357" s="4"/>
      <c r="VY357" s="5"/>
      <c r="VZ357" s="6"/>
      <c r="WA357" s="4"/>
      <c r="WB357" s="4"/>
      <c r="WC357" s="4"/>
      <c r="WD357" s="8"/>
      <c r="WE357" s="4"/>
      <c r="WF357" s="5"/>
      <c r="WG357" s="6"/>
      <c r="WH357" s="4"/>
      <c r="WI357" s="4"/>
      <c r="WJ357" s="4"/>
      <c r="WK357" s="4"/>
      <c r="WL357" s="4"/>
      <c r="WM357" s="5"/>
      <c r="WN357" s="6"/>
      <c r="WO357" s="4"/>
      <c r="WP357" s="4"/>
      <c r="WQ357" s="4"/>
      <c r="WR357" s="4"/>
      <c r="WS357" s="4"/>
      <c r="WT357" s="5"/>
      <c r="WU357" s="6"/>
      <c r="WV357" s="4"/>
      <c r="WW357" s="4"/>
      <c r="WX357" s="4"/>
      <c r="WY357" s="4"/>
      <c r="WZ357" s="4"/>
      <c r="XA357" s="5"/>
      <c r="XB357" s="6"/>
      <c r="XC357" s="4"/>
      <c r="XD357" s="4"/>
      <c r="XE357" s="4"/>
      <c r="XF357" s="4"/>
      <c r="XG357" s="4"/>
      <c r="XH357" s="5"/>
      <c r="XI357" s="6"/>
      <c r="XJ357" s="4"/>
      <c r="XK357" s="4"/>
      <c r="XL357" s="4"/>
      <c r="XM357" s="4"/>
      <c r="XN357" s="4"/>
      <c r="XO357" s="5"/>
      <c r="XP357" s="6"/>
      <c r="XQ357" s="4"/>
      <c r="XR357" s="4"/>
      <c r="XS357" s="4"/>
      <c r="XT357" s="4"/>
      <c r="XU357" s="4"/>
      <c r="XV357" s="5"/>
      <c r="XW357" s="6"/>
      <c r="XX357" s="4"/>
      <c r="XY357" s="4"/>
      <c r="XZ357" s="7"/>
      <c r="YA357" s="8"/>
      <c r="YB357" s="8"/>
      <c r="YC357" s="5"/>
      <c r="YD357" s="6"/>
      <c r="YE357" s="4"/>
      <c r="YF357" s="4"/>
      <c r="YG357" s="4"/>
      <c r="YH357" s="4"/>
      <c r="YI357" s="4"/>
      <c r="YJ357" s="5"/>
      <c r="YK357" s="6" t="s">
        <v>3599</v>
      </c>
      <c r="YL357" s="7" t="s">
        <v>3746</v>
      </c>
      <c r="YM357" s="4"/>
      <c r="YN357" s="7" t="s">
        <v>3285</v>
      </c>
      <c r="YO357" s="8">
        <v>38587</v>
      </c>
      <c r="YP357" s="8">
        <v>38591</v>
      </c>
      <c r="YQ357" s="5" t="s">
        <v>1456</v>
      </c>
      <c r="YR357" s="6"/>
      <c r="YS357" s="4"/>
      <c r="YT357" s="4"/>
      <c r="YU357" s="4"/>
      <c r="YV357" s="4"/>
      <c r="YW357" s="4"/>
      <c r="YX357" s="5"/>
      <c r="YY357" s="6"/>
      <c r="YZ357" s="4"/>
      <c r="ZA357" s="4"/>
      <c r="ZB357" s="4"/>
      <c r="ZC357" s="4"/>
      <c r="ZD357" s="4"/>
      <c r="ZE357" s="5"/>
      <c r="ZF357" s="6"/>
      <c r="ZG357" s="4"/>
      <c r="ZH357" s="4"/>
      <c r="ZI357" s="4"/>
      <c r="ZJ357" s="4"/>
      <c r="ZK357" s="4"/>
      <c r="ZL357" s="5"/>
      <c r="ZM357" s="6"/>
      <c r="ZN357" s="4"/>
      <c r="ZO357" s="4"/>
      <c r="ZP357" s="4"/>
      <c r="ZQ357" s="4"/>
      <c r="ZR357" s="4"/>
      <c r="ZS357" s="5"/>
      <c r="ZT357" s="6"/>
      <c r="ZU357" s="4"/>
      <c r="ZV357" s="4"/>
      <c r="ZW357" s="4"/>
      <c r="ZX357" s="4"/>
      <c r="ZY357" s="4"/>
      <c r="ZZ357" s="5"/>
      <c r="AAA357" s="6"/>
      <c r="AAB357" s="4"/>
      <c r="AAC357" s="4"/>
      <c r="AAD357" s="4"/>
      <c r="AAE357" s="4"/>
      <c r="AAF357" s="4"/>
      <c r="AAG357" s="5"/>
      <c r="AAH357" s="6"/>
      <c r="AAI357" s="4"/>
      <c r="AAJ357" s="4"/>
      <c r="AAK357" s="4"/>
      <c r="AAL357" s="4"/>
      <c r="AAM357" s="4"/>
      <c r="AAN357" s="5"/>
      <c r="AAO357" s="6"/>
      <c r="AAP357" s="4"/>
      <c r="AAQ357" s="4"/>
      <c r="AAR357" s="4"/>
      <c r="AAS357" s="4"/>
      <c r="AAT357" s="4"/>
      <c r="AAU357" s="5"/>
      <c r="AAV357" s="6"/>
      <c r="AAW357" s="4"/>
      <c r="AAX357" s="4"/>
      <c r="AAY357" s="4"/>
      <c r="AAZ357" s="4"/>
      <c r="ABA357" s="4"/>
      <c r="ABB357" s="5"/>
      <c r="ABC357" s="6"/>
      <c r="ABD357" s="4"/>
      <c r="ABE357" s="4"/>
      <c r="ABF357" s="4"/>
      <c r="ABG357" s="4"/>
      <c r="ABH357" s="4"/>
      <c r="ABI357" s="5"/>
      <c r="ABJ357" s="6"/>
      <c r="ABK357" s="4"/>
      <c r="ABL357" s="4"/>
      <c r="ABM357" s="4"/>
      <c r="ABN357" s="4"/>
      <c r="ABO357" s="4"/>
      <c r="ABP357" s="5"/>
      <c r="ABQ357" s="6"/>
      <c r="ABR357" s="4"/>
      <c r="ABS357" s="4"/>
      <c r="ABT357" s="4"/>
      <c r="ABU357" s="4"/>
      <c r="ABV357" s="4"/>
      <c r="ABW357" s="5"/>
      <c r="ABX357" s="6"/>
      <c r="ABY357" s="4"/>
      <c r="ABZ357" s="4"/>
      <c r="ACA357" s="4"/>
      <c r="ACB357" s="4"/>
      <c r="ACC357" s="4"/>
      <c r="ACD357" s="5"/>
      <c r="ACE357" s="6"/>
      <c r="ACF357" s="4"/>
      <c r="ACG357" s="4"/>
      <c r="ACH357" s="4"/>
      <c r="ACI357" s="4"/>
      <c r="ACJ357" s="4"/>
      <c r="ACK357" s="5"/>
      <c r="ACL357" s="6"/>
      <c r="ACM357" s="4"/>
      <c r="ACN357" s="4"/>
      <c r="ACO357" s="4"/>
      <c r="ACP357" s="4"/>
      <c r="ACQ357" s="4"/>
      <c r="ACR357" s="5"/>
      <c r="ACS357" s="6"/>
      <c r="ACT357" s="4"/>
      <c r="ACU357" s="4"/>
      <c r="ACV357" s="4"/>
      <c r="ACW357" s="4"/>
      <c r="ACX357" s="4"/>
      <c r="ACY357" s="5"/>
    </row>
    <row r="358" spans="2:806" x14ac:dyDescent="0.25">
      <c r="J358" s="12"/>
      <c r="K358" s="12"/>
      <c r="L358" s="12"/>
      <c r="LL358" s="6"/>
      <c r="LM358" s="4"/>
      <c r="LN358" s="4"/>
      <c r="LO358" s="4"/>
      <c r="LP358" s="4"/>
      <c r="LQ358" s="4"/>
      <c r="LR358" s="5"/>
      <c r="LS358" s="6"/>
      <c r="LT358" s="4"/>
      <c r="LU358" s="4"/>
      <c r="LV358" s="4"/>
      <c r="LW358" s="4"/>
      <c r="LX358" s="4"/>
      <c r="LY358" s="5"/>
      <c r="LZ358" s="6" t="s">
        <v>2297</v>
      </c>
      <c r="MA358" s="7" t="s">
        <v>2298</v>
      </c>
      <c r="MC358" s="7"/>
      <c r="MD358" s="9">
        <v>37987</v>
      </c>
      <c r="ME358" s="8"/>
      <c r="MF358" s="8"/>
      <c r="MG358" s="5" t="s">
        <v>1320</v>
      </c>
      <c r="MH358" s="6"/>
      <c r="MI358" s="4"/>
      <c r="MJ358" s="4"/>
      <c r="MK358" s="4"/>
      <c r="ML358" s="4"/>
      <c r="MM358" s="4"/>
      <c r="MN358" s="5"/>
      <c r="MO358" s="6"/>
      <c r="MP358" s="4"/>
      <c r="MQ358" s="4"/>
      <c r="MR358" s="4"/>
      <c r="MS358" s="4"/>
      <c r="MT358" s="4"/>
      <c r="MU358" s="5"/>
      <c r="MV358" s="6"/>
      <c r="MW358" s="4"/>
      <c r="MX358" s="4"/>
      <c r="MY358" s="4"/>
      <c r="MZ358" s="4"/>
      <c r="NA358" s="4"/>
      <c r="NB358" s="5"/>
      <c r="NC358" s="6"/>
      <c r="ND358" s="4"/>
      <c r="NE358" s="4"/>
      <c r="NF358" s="7"/>
      <c r="NG358" s="8"/>
      <c r="NH358" s="8"/>
      <c r="NI358" s="5"/>
      <c r="NJ358" s="6"/>
      <c r="NK358" s="4"/>
      <c r="NL358" s="4"/>
      <c r="NM358" s="4"/>
      <c r="NN358" s="4"/>
      <c r="NO358" s="4"/>
      <c r="NP358" s="5"/>
      <c r="NQ358" s="6"/>
      <c r="NR358" s="4"/>
      <c r="NS358" s="4"/>
      <c r="NT358" s="4"/>
      <c r="NU358" s="8"/>
      <c r="NV358" s="4"/>
      <c r="NW358" s="5"/>
      <c r="NX358" s="6"/>
      <c r="NY358" s="4"/>
      <c r="NZ358" s="4"/>
      <c r="OA358" s="4"/>
      <c r="OB358" s="4"/>
      <c r="OC358" s="4"/>
      <c r="OD358" s="5"/>
      <c r="OE358" s="6"/>
      <c r="OF358" s="4"/>
      <c r="OG358" s="4"/>
      <c r="OH358" s="4"/>
      <c r="OI358" s="4"/>
      <c r="OJ358" s="4"/>
      <c r="OK358" s="5"/>
      <c r="OL358" s="6"/>
      <c r="OM358" s="4"/>
      <c r="ON358" s="4"/>
      <c r="OO358" s="4"/>
      <c r="OP358" s="4"/>
      <c r="OQ358" s="4"/>
      <c r="OR358" s="5"/>
      <c r="OS358" s="6"/>
      <c r="OT358" s="4"/>
      <c r="OU358" s="4"/>
      <c r="OV358" s="4"/>
      <c r="OW358" s="4"/>
      <c r="OX358" s="4"/>
      <c r="OY358" s="5"/>
      <c r="OZ358" s="6"/>
      <c r="PA358" s="4"/>
      <c r="PB358" s="4"/>
      <c r="PC358" s="4"/>
      <c r="PD358" s="4"/>
      <c r="PE358" s="4"/>
      <c r="PF358" s="5"/>
      <c r="PG358" s="6"/>
      <c r="PH358" s="4"/>
      <c r="PI358" s="4"/>
      <c r="PJ358" s="4"/>
      <c r="PK358" s="4"/>
      <c r="PL358" s="4"/>
      <c r="PM358" s="5"/>
      <c r="PN358" s="6"/>
      <c r="PO358" s="4"/>
      <c r="PP358" s="4"/>
      <c r="PQ358" s="4"/>
      <c r="PR358" s="4"/>
      <c r="PS358" s="4"/>
      <c r="PT358" s="5"/>
      <c r="PU358" s="6"/>
      <c r="PV358" s="4"/>
      <c r="PW358" s="4"/>
      <c r="PX358" s="4"/>
      <c r="PY358" s="8"/>
      <c r="PZ358" s="4"/>
      <c r="QA358" s="5"/>
      <c r="QB358" s="6"/>
      <c r="QC358" s="4"/>
      <c r="QD358" s="4"/>
      <c r="QE358" s="4"/>
      <c r="QF358" s="4"/>
      <c r="QG358" s="4"/>
      <c r="QH358" s="5"/>
      <c r="QI358" s="6"/>
      <c r="QJ358" s="4"/>
      <c r="QK358" s="4"/>
      <c r="QL358" s="4"/>
      <c r="QM358" s="4"/>
      <c r="QN358" s="4"/>
      <c r="QO358" s="5"/>
      <c r="QP358" s="6"/>
      <c r="QQ358" s="4"/>
      <c r="QR358" s="4"/>
      <c r="QS358" s="4"/>
      <c r="QT358" s="4"/>
      <c r="QU358" s="4"/>
      <c r="QV358" s="5"/>
      <c r="QW358" s="6"/>
      <c r="QX358" s="4"/>
      <c r="QY358" s="4"/>
      <c r="QZ358" s="4"/>
      <c r="RA358" s="4"/>
      <c r="RB358" s="4"/>
      <c r="RC358" s="5"/>
      <c r="RD358" s="6"/>
      <c r="RE358" s="4"/>
      <c r="RF358" s="4"/>
      <c r="RG358" s="4"/>
      <c r="RH358" s="4"/>
      <c r="RI358" s="4"/>
      <c r="RJ358" s="5"/>
      <c r="RK358" s="6"/>
      <c r="RL358" s="4"/>
      <c r="RM358" s="4"/>
      <c r="RN358" s="4"/>
      <c r="RO358" s="4"/>
      <c r="RP358" s="4"/>
      <c r="RQ358" s="5"/>
      <c r="RR358" s="6"/>
      <c r="RS358" s="4"/>
      <c r="RT358" s="4"/>
      <c r="RU358" s="4"/>
      <c r="RV358" s="4"/>
      <c r="RW358" s="4"/>
      <c r="RX358" s="5"/>
      <c r="RY358" s="6"/>
      <c r="RZ358" s="4"/>
      <c r="SA358" s="4"/>
      <c r="SB358" s="4"/>
      <c r="SC358" s="4"/>
      <c r="SD358" s="4"/>
      <c r="SE358" s="5"/>
      <c r="SF358" s="6"/>
      <c r="SG358" s="4"/>
      <c r="SH358" s="4"/>
      <c r="SI358" s="4"/>
      <c r="SJ358" s="4"/>
      <c r="SK358" s="4"/>
      <c r="SL358" s="5"/>
      <c r="SM358" s="6"/>
      <c r="SN358" s="4"/>
      <c r="SO358" s="4"/>
      <c r="SP358" s="4"/>
      <c r="SQ358" s="4"/>
      <c r="SR358" s="4"/>
      <c r="SS358" s="5"/>
      <c r="ST358" s="6"/>
      <c r="SU358" s="4"/>
      <c r="SV358" s="4"/>
      <c r="SW358" s="4"/>
      <c r="SX358" s="4"/>
      <c r="SY358" s="4"/>
      <c r="SZ358" s="5"/>
      <c r="TA358" s="6"/>
      <c r="TB358" s="4"/>
      <c r="TC358" s="4"/>
      <c r="TD358" s="4"/>
      <c r="TE358" s="4"/>
      <c r="TF358" s="4"/>
      <c r="TG358" s="5"/>
      <c r="TH358" s="6"/>
      <c r="TI358" s="4"/>
      <c r="TJ358" s="4"/>
      <c r="TK358" s="4"/>
      <c r="TL358" s="4"/>
      <c r="TM358" s="4"/>
      <c r="TN358" s="5"/>
      <c r="TO358" s="6"/>
      <c r="TP358" s="4"/>
      <c r="TQ358" s="4"/>
      <c r="TR358" s="4"/>
      <c r="TS358" s="4"/>
      <c r="TT358" s="4"/>
      <c r="TU358" s="5"/>
      <c r="TV358" s="6"/>
      <c r="TW358" s="4"/>
      <c r="TX358" s="4"/>
      <c r="TY358" s="4"/>
      <c r="TZ358" s="4"/>
      <c r="UA358" s="4"/>
      <c r="UB358" s="5"/>
      <c r="UC358" s="6"/>
      <c r="UD358" s="4"/>
      <c r="UE358" s="4"/>
      <c r="UF358" s="4"/>
      <c r="UG358" s="4"/>
      <c r="UH358" s="4"/>
      <c r="UI358" s="5"/>
      <c r="UJ358" s="6"/>
      <c r="UK358" s="4"/>
      <c r="UL358" s="4"/>
      <c r="UM358" s="4"/>
      <c r="UN358" s="4"/>
      <c r="UO358" s="4"/>
      <c r="UP358" s="5"/>
      <c r="UQ358" s="6"/>
      <c r="UR358" s="4"/>
      <c r="US358" s="4"/>
      <c r="UT358" s="4"/>
      <c r="UU358" s="4"/>
      <c r="UV358" s="4"/>
      <c r="UW358" s="5"/>
      <c r="UX358" s="6"/>
      <c r="UZ358" s="4"/>
      <c r="VA358" s="4"/>
      <c r="VB358" s="4"/>
      <c r="VC358" s="4"/>
      <c r="VD358" s="5"/>
      <c r="VE358" s="6"/>
      <c r="VF358" s="4"/>
      <c r="VG358" s="4"/>
      <c r="VH358" s="4"/>
      <c r="VI358" s="8"/>
      <c r="VJ358" s="4"/>
      <c r="VK358" s="5"/>
      <c r="VL358" s="6"/>
      <c r="VM358" s="4"/>
      <c r="VN358" s="4"/>
      <c r="VO358" s="4"/>
      <c r="VP358" s="4"/>
      <c r="VQ358" s="4"/>
      <c r="VR358" s="5"/>
      <c r="VS358" s="6"/>
      <c r="VT358" s="4"/>
      <c r="VU358" s="4"/>
      <c r="VV358" s="4"/>
      <c r="VW358" s="4"/>
      <c r="VX358" s="4"/>
      <c r="VY358" s="5"/>
      <c r="VZ358" s="6"/>
      <c r="WA358" s="4"/>
      <c r="WB358" s="4"/>
      <c r="WC358" s="4"/>
      <c r="WD358" s="8"/>
      <c r="WE358" s="4"/>
      <c r="WF358" s="5"/>
      <c r="WG358" s="6"/>
      <c r="WH358" s="4"/>
      <c r="WI358" s="4"/>
      <c r="WJ358" s="4"/>
      <c r="WK358" s="4"/>
      <c r="WL358" s="4"/>
      <c r="WM358" s="5"/>
      <c r="WN358" s="6"/>
      <c r="WO358" s="4"/>
      <c r="WP358" s="4"/>
      <c r="WQ358" s="4"/>
      <c r="WR358" s="4"/>
      <c r="WS358" s="4"/>
      <c r="WT358" s="5"/>
      <c r="WU358" s="6"/>
      <c r="WV358" s="4"/>
      <c r="WW358" s="4"/>
      <c r="WX358" s="4"/>
      <c r="WY358" s="4"/>
      <c r="WZ358" s="4"/>
      <c r="XA358" s="5"/>
      <c r="XB358" s="6"/>
      <c r="XC358" s="4"/>
      <c r="XD358" s="4"/>
      <c r="XE358" s="4"/>
      <c r="XF358" s="4"/>
      <c r="XG358" s="4"/>
      <c r="XH358" s="5"/>
      <c r="XI358" s="6"/>
      <c r="XJ358" s="4"/>
      <c r="XK358" s="4"/>
      <c r="XL358" s="4"/>
      <c r="XM358" s="4"/>
      <c r="XN358" s="4"/>
      <c r="XO358" s="5"/>
      <c r="XP358" s="6"/>
      <c r="XQ358" s="4"/>
      <c r="XR358" s="4"/>
      <c r="XS358" s="4"/>
      <c r="XT358" s="4"/>
      <c r="XU358" s="4"/>
      <c r="XV358" s="5"/>
      <c r="XW358" s="6"/>
      <c r="XX358" s="4"/>
      <c r="XY358" s="4"/>
      <c r="XZ358" s="7"/>
      <c r="YA358" s="8"/>
      <c r="YB358" s="8"/>
      <c r="YC358" s="5"/>
      <c r="YD358" s="6"/>
      <c r="YE358" s="4"/>
      <c r="YF358" s="4"/>
      <c r="YG358" s="4"/>
      <c r="YH358" s="4"/>
      <c r="YI358" s="4"/>
      <c r="YJ358" s="5"/>
      <c r="YK358" s="6"/>
      <c r="YL358" s="7"/>
      <c r="YM358" s="4"/>
      <c r="YN358" s="7"/>
      <c r="YO358" s="8"/>
      <c r="YP358" s="8"/>
      <c r="YQ358" s="5"/>
      <c r="YR358" s="6"/>
      <c r="YS358" s="4"/>
      <c r="YT358" s="4"/>
      <c r="YU358" s="4"/>
      <c r="YV358" s="4"/>
      <c r="YW358" s="4"/>
      <c r="YX358" s="5"/>
      <c r="YY358" s="6"/>
      <c r="YZ358" s="4"/>
      <c r="ZA358" s="4"/>
      <c r="ZB358" s="4"/>
      <c r="ZC358" s="4"/>
      <c r="ZD358" s="4"/>
      <c r="ZE358" s="5"/>
      <c r="ZF358" s="6"/>
      <c r="ZG358" s="4"/>
      <c r="ZH358" s="4"/>
      <c r="ZI358" s="4"/>
      <c r="ZJ358" s="4"/>
      <c r="ZK358" s="4"/>
      <c r="ZL358" s="5"/>
      <c r="ZM358" s="6"/>
      <c r="ZN358" s="4"/>
      <c r="ZO358" s="4"/>
      <c r="ZP358" s="4"/>
      <c r="ZQ358" s="4"/>
      <c r="ZR358" s="4"/>
      <c r="ZS358" s="5"/>
      <c r="ZT358" s="6"/>
      <c r="ZU358" s="4"/>
      <c r="ZV358" s="4"/>
      <c r="ZW358" s="4"/>
      <c r="ZX358" s="4"/>
      <c r="ZY358" s="4"/>
      <c r="ZZ358" s="5"/>
      <c r="AAA358" s="6"/>
      <c r="AAB358" s="4"/>
      <c r="AAC358" s="4"/>
      <c r="AAD358" s="4"/>
      <c r="AAE358" s="4"/>
      <c r="AAF358" s="4"/>
      <c r="AAG358" s="5"/>
      <c r="AAH358" s="6"/>
      <c r="AAI358" s="4"/>
      <c r="AAJ358" s="4"/>
      <c r="AAK358" s="4"/>
      <c r="AAL358" s="4"/>
      <c r="AAM358" s="4"/>
      <c r="AAN358" s="5"/>
      <c r="AAO358" s="6"/>
      <c r="AAP358" s="4"/>
      <c r="AAQ358" s="4"/>
      <c r="AAR358" s="4"/>
      <c r="AAS358" s="4"/>
      <c r="AAT358" s="4"/>
      <c r="AAU358" s="5"/>
      <c r="AAV358" s="6"/>
      <c r="AAW358" s="4"/>
      <c r="AAX358" s="4"/>
      <c r="AAY358" s="4"/>
      <c r="AAZ358" s="4"/>
      <c r="ABA358" s="4"/>
      <c r="ABB358" s="5"/>
      <c r="ABC358" s="6"/>
      <c r="ABD358" s="4"/>
      <c r="ABE358" s="4"/>
      <c r="ABF358" s="4"/>
      <c r="ABG358" s="4"/>
      <c r="ABH358" s="4"/>
      <c r="ABI358" s="5"/>
      <c r="ABJ358" s="6"/>
      <c r="ABK358" s="4"/>
      <c r="ABL358" s="4"/>
      <c r="ABM358" s="4"/>
      <c r="ABN358" s="4"/>
      <c r="ABO358" s="4"/>
      <c r="ABP358" s="5"/>
      <c r="ABQ358" s="6"/>
      <c r="ABR358" s="4"/>
      <c r="ABS358" s="4"/>
      <c r="ABT358" s="4"/>
      <c r="ABU358" s="4"/>
      <c r="ABV358" s="4"/>
      <c r="ABW358" s="5"/>
      <c r="ABX358" s="6"/>
      <c r="ABY358" s="4"/>
      <c r="ABZ358" s="4"/>
      <c r="ACA358" s="4"/>
      <c r="ACB358" s="4"/>
      <c r="ACC358" s="4"/>
      <c r="ACD358" s="5"/>
      <c r="ACE358" s="6"/>
      <c r="ACF358" s="4"/>
      <c r="ACG358" s="4"/>
      <c r="ACH358" s="4"/>
      <c r="ACI358" s="4"/>
      <c r="ACJ358" s="4"/>
      <c r="ACK358" s="5"/>
      <c r="ACL358" s="6"/>
      <c r="ACM358" s="4"/>
      <c r="ACN358" s="4"/>
      <c r="ACO358" s="4"/>
      <c r="ACP358" s="4"/>
      <c r="ACQ358" s="4"/>
      <c r="ACR358" s="5"/>
      <c r="ACS358" s="6"/>
      <c r="ACT358" s="4"/>
      <c r="ACU358" s="4"/>
      <c r="ACV358" s="4"/>
      <c r="ACW358" s="4"/>
      <c r="ACX358" s="4"/>
      <c r="ACY358" s="5"/>
    </row>
    <row r="359" spans="2:806" x14ac:dyDescent="0.25">
      <c r="J359" s="12"/>
      <c r="K359" s="12"/>
      <c r="L359" s="12"/>
      <c r="LL359" s="6"/>
      <c r="LM359" s="4"/>
      <c r="LN359" s="4"/>
      <c r="LO359" s="4"/>
      <c r="LP359" s="4"/>
      <c r="LQ359" s="4"/>
      <c r="LR359" s="5"/>
      <c r="LS359" s="6"/>
      <c r="LT359" s="4"/>
      <c r="LU359" s="4"/>
      <c r="LV359" s="4"/>
      <c r="LW359" s="4"/>
      <c r="LX359" s="4"/>
      <c r="LY359" s="5"/>
      <c r="LZ359" s="6" t="s">
        <v>3572</v>
      </c>
      <c r="MA359" s="7" t="s">
        <v>3573</v>
      </c>
      <c r="MB359" t="s">
        <v>3426</v>
      </c>
      <c r="MC359" s="7" t="s">
        <v>3760</v>
      </c>
      <c r="MD359" s="9">
        <v>37987</v>
      </c>
      <c r="ME359" s="8">
        <v>38585</v>
      </c>
      <c r="MF359" s="8" t="s">
        <v>1322</v>
      </c>
      <c r="MG359" s="40" t="s">
        <v>1543</v>
      </c>
      <c r="MH359" s="6"/>
      <c r="MI359" s="4"/>
      <c r="MJ359" s="4"/>
      <c r="MK359" s="4"/>
      <c r="ML359" s="4"/>
      <c r="MM359" s="4"/>
      <c r="MN359" s="5"/>
      <c r="MO359" s="6"/>
      <c r="MP359" s="4"/>
      <c r="MQ359" s="4"/>
      <c r="MR359" s="4"/>
      <c r="MS359" s="4"/>
      <c r="MT359" s="4"/>
      <c r="MU359" s="5"/>
      <c r="MV359" s="6"/>
      <c r="MW359" s="4"/>
      <c r="MX359" s="4"/>
      <c r="MY359" s="4"/>
      <c r="MZ359" s="4"/>
      <c r="NA359" s="4"/>
      <c r="NB359" s="5"/>
      <c r="NC359" s="6"/>
      <c r="ND359" s="4"/>
      <c r="NE359" s="4"/>
      <c r="NF359" s="7"/>
      <c r="NG359" s="8"/>
      <c r="NH359" s="8"/>
      <c r="NI359" s="5"/>
      <c r="NJ359" s="6"/>
      <c r="NK359" s="4"/>
      <c r="NL359" s="4"/>
      <c r="NM359" s="4"/>
      <c r="NN359" s="4"/>
      <c r="NO359" s="4"/>
      <c r="NP359" s="5"/>
      <c r="NQ359" s="6"/>
      <c r="NR359" s="4"/>
      <c r="NS359" s="4"/>
      <c r="NT359" s="4"/>
      <c r="NU359" s="8"/>
      <c r="NV359" s="4"/>
      <c r="NW359" s="5"/>
      <c r="NX359" s="6"/>
      <c r="NY359" s="4"/>
      <c r="NZ359" s="4"/>
      <c r="OA359" s="4"/>
      <c r="OB359" s="4"/>
      <c r="OC359" s="4"/>
      <c r="OD359" s="5"/>
      <c r="OE359" s="6"/>
      <c r="OF359" s="4"/>
      <c r="OG359" s="4"/>
      <c r="OH359" s="4"/>
      <c r="OI359" s="4"/>
      <c r="OJ359" s="4"/>
      <c r="OK359" s="5"/>
      <c r="OL359" s="6"/>
      <c r="OM359" s="4"/>
      <c r="ON359" s="4"/>
      <c r="OO359" s="4"/>
      <c r="OP359" s="4"/>
      <c r="OQ359" s="4"/>
      <c r="OR359" s="5"/>
      <c r="OS359" s="6"/>
      <c r="OT359" s="4"/>
      <c r="OU359" s="4"/>
      <c r="OV359" s="4"/>
      <c r="OW359" s="4"/>
      <c r="OX359" s="4"/>
      <c r="OY359" s="5"/>
      <c r="OZ359" s="6"/>
      <c r="PA359" s="4"/>
      <c r="PB359" s="4"/>
      <c r="PC359" s="4"/>
      <c r="PD359" s="4"/>
      <c r="PE359" s="4"/>
      <c r="PF359" s="5"/>
      <c r="PG359" s="6"/>
      <c r="PH359" s="4"/>
      <c r="PI359" s="4"/>
      <c r="PJ359" s="4"/>
      <c r="PK359" s="4"/>
      <c r="PL359" s="4"/>
      <c r="PM359" s="5"/>
      <c r="PN359" s="6"/>
      <c r="PO359" s="4"/>
      <c r="PP359" s="4"/>
      <c r="PQ359" s="4"/>
      <c r="PR359" s="4"/>
      <c r="PS359" s="4"/>
      <c r="PT359" s="5"/>
      <c r="PU359" s="6"/>
      <c r="PV359" s="4"/>
      <c r="PW359" s="4"/>
      <c r="PX359" s="4"/>
      <c r="PY359" s="8"/>
      <c r="PZ359" s="4"/>
      <c r="QA359" s="5"/>
      <c r="QB359" s="6"/>
      <c r="QC359" s="4"/>
      <c r="QD359" s="4"/>
      <c r="QE359" s="4"/>
      <c r="QF359" s="4"/>
      <c r="QG359" s="4"/>
      <c r="QH359" s="5"/>
      <c r="QI359" s="6"/>
      <c r="QJ359" s="4"/>
      <c r="QK359" s="4"/>
      <c r="QL359" s="4"/>
      <c r="QM359" s="4"/>
      <c r="QN359" s="4"/>
      <c r="QO359" s="5"/>
      <c r="QP359" s="6"/>
      <c r="QQ359" s="4"/>
      <c r="QR359" s="4"/>
      <c r="QS359" s="4"/>
      <c r="QT359" s="4"/>
      <c r="QU359" s="4"/>
      <c r="QV359" s="5"/>
      <c r="QW359" s="6"/>
      <c r="QX359" s="4"/>
      <c r="QY359" s="4"/>
      <c r="QZ359" s="4"/>
      <c r="RA359" s="4"/>
      <c r="RB359" s="4"/>
      <c r="RC359" s="5"/>
      <c r="RD359" s="6"/>
      <c r="RE359" s="4"/>
      <c r="RF359" s="4"/>
      <c r="RG359" s="4"/>
      <c r="RH359" s="4"/>
      <c r="RI359" s="4"/>
      <c r="RJ359" s="5"/>
      <c r="RK359" s="6"/>
      <c r="RL359" s="4"/>
      <c r="RM359" s="4"/>
      <c r="RN359" s="4"/>
      <c r="RO359" s="4"/>
      <c r="RP359" s="4"/>
      <c r="RQ359" s="5"/>
      <c r="RR359" s="6"/>
      <c r="RS359" s="4"/>
      <c r="RT359" s="4"/>
      <c r="RU359" s="4"/>
      <c r="RV359" s="4"/>
      <c r="RW359" s="4"/>
      <c r="RX359" s="5"/>
      <c r="RY359" s="6"/>
      <c r="RZ359" s="4"/>
      <c r="SA359" s="4"/>
      <c r="SB359" s="4"/>
      <c r="SC359" s="4"/>
      <c r="SD359" s="4"/>
      <c r="SE359" s="5"/>
      <c r="SF359" s="6"/>
      <c r="SG359" s="4"/>
      <c r="SH359" s="4"/>
      <c r="SI359" s="4"/>
      <c r="SJ359" s="4"/>
      <c r="SK359" s="4"/>
      <c r="SL359" s="5"/>
      <c r="SM359" s="6"/>
      <c r="SN359" s="4"/>
      <c r="SO359" s="4"/>
      <c r="SP359" s="4"/>
      <c r="SQ359" s="4"/>
      <c r="SR359" s="4"/>
      <c r="SS359" s="5"/>
      <c r="ST359" s="6"/>
      <c r="SU359" s="4"/>
      <c r="SV359" s="4"/>
      <c r="SW359" s="4"/>
      <c r="SX359" s="4"/>
      <c r="SY359" s="4"/>
      <c r="SZ359" s="5"/>
      <c r="TA359" s="6"/>
      <c r="TB359" s="4"/>
      <c r="TC359" s="4"/>
      <c r="TD359" s="4"/>
      <c r="TE359" s="4"/>
      <c r="TF359" s="4"/>
      <c r="TG359" s="5"/>
      <c r="TH359" s="6"/>
      <c r="TI359" s="4"/>
      <c r="TJ359" s="4"/>
      <c r="TK359" s="4"/>
      <c r="TL359" s="4"/>
      <c r="TM359" s="4"/>
      <c r="TN359" s="5"/>
      <c r="TO359" s="6"/>
      <c r="TP359" s="4"/>
      <c r="TQ359" s="4"/>
      <c r="TR359" s="4"/>
      <c r="TS359" s="4"/>
      <c r="TT359" s="4"/>
      <c r="TU359" s="5"/>
      <c r="TV359" s="6"/>
      <c r="TW359" s="4"/>
      <c r="TX359" s="4"/>
      <c r="TY359" s="4"/>
      <c r="TZ359" s="4"/>
      <c r="UA359" s="4"/>
      <c r="UB359" s="5"/>
      <c r="UC359" s="6"/>
      <c r="UD359" s="4"/>
      <c r="UE359" s="4"/>
      <c r="UF359" s="4"/>
      <c r="UG359" s="4"/>
      <c r="UH359" s="4"/>
      <c r="UI359" s="5"/>
      <c r="UJ359" s="6"/>
      <c r="UK359" s="4"/>
      <c r="UL359" s="4"/>
      <c r="UM359" s="4"/>
      <c r="UN359" s="4"/>
      <c r="UO359" s="4"/>
      <c r="UP359" s="5"/>
      <c r="UQ359" s="6"/>
      <c r="UR359" s="4"/>
      <c r="US359" s="4"/>
      <c r="UT359" s="4"/>
      <c r="UU359" s="4"/>
      <c r="UV359" s="4"/>
      <c r="UW359" s="5"/>
      <c r="UX359" s="6"/>
      <c r="UZ359" s="4"/>
      <c r="VA359" s="4"/>
      <c r="VB359" s="4"/>
      <c r="VC359" s="4"/>
      <c r="VD359" s="5"/>
      <c r="VE359" s="6"/>
      <c r="VF359" s="4"/>
      <c r="VG359" s="4"/>
      <c r="VH359" s="4"/>
      <c r="VI359" s="8"/>
      <c r="VJ359" s="4"/>
      <c r="VK359" s="5"/>
      <c r="VL359" s="6"/>
      <c r="VM359" s="4"/>
      <c r="VN359" s="4"/>
      <c r="VO359" s="4"/>
      <c r="VP359" s="4"/>
      <c r="VQ359" s="4"/>
      <c r="VR359" s="5"/>
      <c r="VS359" s="6"/>
      <c r="VT359" s="4"/>
      <c r="VU359" s="4"/>
      <c r="VV359" s="4"/>
      <c r="VW359" s="4"/>
      <c r="VX359" s="4"/>
      <c r="VY359" s="5"/>
      <c r="VZ359" s="6"/>
      <c r="WA359" s="4"/>
      <c r="WB359" s="4"/>
      <c r="WC359" s="4"/>
      <c r="WD359" s="8"/>
      <c r="WE359" s="4"/>
      <c r="WF359" s="5"/>
      <c r="WG359" s="6"/>
      <c r="WH359" s="4"/>
      <c r="WI359" s="4"/>
      <c r="WJ359" s="4"/>
      <c r="WK359" s="4"/>
      <c r="WL359" s="4"/>
      <c r="WM359" s="5"/>
      <c r="WN359" s="6"/>
      <c r="WO359" s="4"/>
      <c r="WP359" s="4"/>
      <c r="WQ359" s="4"/>
      <c r="WR359" s="4"/>
      <c r="WS359" s="4"/>
      <c r="WT359" s="5"/>
      <c r="WU359" s="6"/>
      <c r="WV359" s="4"/>
      <c r="WW359" s="4"/>
      <c r="WX359" s="4"/>
      <c r="WY359" s="4"/>
      <c r="WZ359" s="4"/>
      <c r="XA359" s="5"/>
      <c r="XB359" s="6"/>
      <c r="XC359" s="4"/>
      <c r="XD359" s="4"/>
      <c r="XE359" s="4"/>
      <c r="XF359" s="4"/>
      <c r="XG359" s="4"/>
      <c r="XH359" s="5"/>
      <c r="XI359" s="6"/>
      <c r="XJ359" s="4"/>
      <c r="XK359" s="4"/>
      <c r="XL359" s="4"/>
      <c r="XM359" s="4"/>
      <c r="XN359" s="4"/>
      <c r="XO359" s="5"/>
      <c r="XP359" s="6"/>
      <c r="XQ359" s="4"/>
      <c r="XR359" s="4"/>
      <c r="XS359" s="4"/>
      <c r="XT359" s="4"/>
      <c r="XU359" s="4"/>
      <c r="XV359" s="5"/>
      <c r="XW359" s="6"/>
      <c r="XX359" s="4"/>
      <c r="XY359" s="4"/>
      <c r="XZ359" s="7"/>
      <c r="YA359" s="8"/>
      <c r="YB359" s="8"/>
      <c r="YC359" s="5"/>
      <c r="YD359" s="6"/>
      <c r="YE359" s="4"/>
      <c r="YF359" s="4"/>
      <c r="YG359" s="4"/>
      <c r="YH359" s="4"/>
      <c r="YI359" s="4"/>
      <c r="YJ359" s="5"/>
      <c r="YK359" s="6"/>
      <c r="YL359" s="7"/>
      <c r="YM359" s="4"/>
      <c r="YN359" s="7"/>
      <c r="YO359" s="8"/>
      <c r="YP359" s="8"/>
      <c r="YQ359" s="5"/>
      <c r="YR359" s="6"/>
      <c r="YS359" s="4"/>
      <c r="YT359" s="4"/>
      <c r="YU359" s="4"/>
      <c r="YV359" s="4"/>
      <c r="YW359" s="4"/>
      <c r="YX359" s="5"/>
      <c r="YY359" s="6"/>
      <c r="YZ359" s="4"/>
      <c r="ZA359" s="4"/>
      <c r="ZB359" s="4"/>
      <c r="ZC359" s="4"/>
      <c r="ZD359" s="4"/>
      <c r="ZE359" s="5"/>
      <c r="ZF359" s="6"/>
      <c r="ZG359" s="4"/>
      <c r="ZH359" s="4"/>
      <c r="ZI359" s="4"/>
      <c r="ZJ359" s="4"/>
      <c r="ZK359" s="4"/>
      <c r="ZL359" s="5"/>
      <c r="ZM359" s="6"/>
      <c r="ZN359" s="4"/>
      <c r="ZO359" s="4"/>
      <c r="ZP359" s="4"/>
      <c r="ZQ359" s="4"/>
      <c r="ZR359" s="4"/>
      <c r="ZS359" s="5"/>
      <c r="ZT359" s="6"/>
      <c r="ZU359" s="4"/>
      <c r="ZV359" s="4"/>
      <c r="ZW359" s="4"/>
      <c r="ZX359" s="4"/>
      <c r="ZY359" s="4"/>
      <c r="ZZ359" s="5"/>
      <c r="AAA359" s="6"/>
      <c r="AAB359" s="4"/>
      <c r="AAC359" s="4"/>
      <c r="AAD359" s="4"/>
      <c r="AAE359" s="4"/>
      <c r="AAF359" s="4"/>
      <c r="AAG359" s="5"/>
      <c r="AAH359" s="6"/>
      <c r="AAI359" s="4"/>
      <c r="AAJ359" s="4"/>
      <c r="AAK359" s="4"/>
      <c r="AAL359" s="4"/>
      <c r="AAM359" s="4"/>
      <c r="AAN359" s="5"/>
      <c r="AAO359" s="6"/>
      <c r="AAP359" s="4"/>
      <c r="AAQ359" s="4"/>
      <c r="AAR359" s="4"/>
      <c r="AAS359" s="4"/>
      <c r="AAT359" s="4"/>
      <c r="AAU359" s="5"/>
      <c r="AAV359" s="6"/>
      <c r="AAW359" s="4"/>
      <c r="AAX359" s="4"/>
      <c r="AAY359" s="4"/>
      <c r="AAZ359" s="4"/>
      <c r="ABA359" s="4"/>
      <c r="ABB359" s="5"/>
      <c r="ABC359" s="6"/>
      <c r="ABD359" s="4"/>
      <c r="ABE359" s="4"/>
      <c r="ABF359" s="4"/>
      <c r="ABG359" s="4"/>
      <c r="ABH359" s="4"/>
      <c r="ABI359" s="5"/>
      <c r="ABJ359" s="6"/>
      <c r="ABK359" s="4"/>
      <c r="ABL359" s="4"/>
      <c r="ABM359" s="4"/>
      <c r="ABN359" s="4"/>
      <c r="ABO359" s="4"/>
      <c r="ABP359" s="5"/>
      <c r="ABQ359" s="6"/>
      <c r="ABR359" s="4"/>
      <c r="ABS359" s="4"/>
      <c r="ABT359" s="4"/>
      <c r="ABU359" s="4"/>
      <c r="ABV359" s="4"/>
      <c r="ABW359" s="5"/>
      <c r="ABX359" s="6"/>
      <c r="ABY359" s="4"/>
      <c r="ABZ359" s="4"/>
      <c r="ACA359" s="4"/>
      <c r="ACB359" s="4"/>
      <c r="ACC359" s="4"/>
      <c r="ACD359" s="5"/>
      <c r="ACE359" s="6"/>
      <c r="ACF359" s="4"/>
      <c r="ACG359" s="4"/>
      <c r="ACH359" s="4"/>
      <c r="ACI359" s="4"/>
      <c r="ACJ359" s="4"/>
      <c r="ACK359" s="5"/>
      <c r="ACL359" s="6"/>
      <c r="ACM359" s="4"/>
      <c r="ACN359" s="4"/>
      <c r="ACO359" s="4"/>
      <c r="ACP359" s="4"/>
      <c r="ACQ359" s="4"/>
      <c r="ACR359" s="5"/>
      <c r="ACS359" s="6"/>
      <c r="ACT359" s="4"/>
      <c r="ACU359" s="4"/>
      <c r="ACV359" s="4"/>
      <c r="ACW359" s="4"/>
      <c r="ACX359" s="4"/>
      <c r="ACY359" s="5"/>
    </row>
    <row r="360" spans="2:806" x14ac:dyDescent="0.25">
      <c r="J360" s="12"/>
      <c r="K360" s="12"/>
      <c r="L360" s="12"/>
      <c r="LL360" s="6"/>
      <c r="LM360" s="4"/>
      <c r="LN360" s="4"/>
      <c r="LO360" s="4"/>
      <c r="LP360" s="4"/>
      <c r="LQ360" s="4"/>
      <c r="LR360" s="5"/>
      <c r="LS360" s="6"/>
      <c r="LT360" s="4"/>
      <c r="LU360" s="4"/>
      <c r="LV360" s="4"/>
      <c r="LW360" s="4"/>
      <c r="LX360" s="4"/>
      <c r="LY360" s="5"/>
      <c r="LZ360" s="6" t="s">
        <v>3572</v>
      </c>
      <c r="MA360" s="7" t="s">
        <v>3573</v>
      </c>
      <c r="MB360" t="s">
        <v>3426</v>
      </c>
      <c r="MC360" s="7" t="s">
        <v>3535</v>
      </c>
      <c r="MD360" s="9">
        <v>38586</v>
      </c>
      <c r="ME360" s="8">
        <v>38592</v>
      </c>
      <c r="MF360" s="8" t="s">
        <v>1323</v>
      </c>
      <c r="MG360" s="40" t="s">
        <v>1543</v>
      </c>
      <c r="MH360" s="6"/>
      <c r="MI360" s="4"/>
      <c r="MJ360" s="4"/>
      <c r="MK360" s="4"/>
      <c r="ML360" s="4"/>
      <c r="MM360" s="4"/>
      <c r="MN360" s="5"/>
      <c r="MO360" s="6"/>
      <c r="MP360" s="4"/>
      <c r="MQ360" s="4"/>
      <c r="MR360" s="4"/>
      <c r="MS360" s="4"/>
      <c r="MT360" s="4"/>
      <c r="MU360" s="5"/>
      <c r="MV360" s="6"/>
      <c r="MW360" s="4"/>
      <c r="MX360" s="4"/>
      <c r="MY360" s="4"/>
      <c r="MZ360" s="4"/>
      <c r="NA360" s="4"/>
      <c r="NB360" s="5"/>
      <c r="NC360" s="6"/>
      <c r="ND360" s="4"/>
      <c r="NE360" s="4"/>
      <c r="NF360" s="7"/>
      <c r="NG360" s="8"/>
      <c r="NH360" s="8"/>
      <c r="NI360" s="5"/>
      <c r="NJ360" s="6"/>
      <c r="NK360" s="4"/>
      <c r="NL360" s="4"/>
      <c r="NM360" s="4"/>
      <c r="NN360" s="4"/>
      <c r="NO360" s="4"/>
      <c r="NP360" s="5"/>
      <c r="NQ360" s="6"/>
      <c r="NR360" s="4"/>
      <c r="NS360" s="4"/>
      <c r="NT360" s="4"/>
      <c r="NU360" s="8"/>
      <c r="NV360" s="4"/>
      <c r="NW360" s="5"/>
      <c r="NX360" s="6"/>
      <c r="NY360" s="4"/>
      <c r="NZ360" s="4"/>
      <c r="OA360" s="4"/>
      <c r="OB360" s="4"/>
      <c r="OC360" s="4"/>
      <c r="OD360" s="5"/>
      <c r="OE360" s="6"/>
      <c r="OF360" s="4"/>
      <c r="OG360" s="4"/>
      <c r="OH360" s="4"/>
      <c r="OI360" s="4"/>
      <c r="OJ360" s="4"/>
      <c r="OK360" s="5"/>
      <c r="OL360" s="6"/>
      <c r="OM360" s="4"/>
      <c r="ON360" s="4"/>
      <c r="OO360" s="4"/>
      <c r="OP360" s="4"/>
      <c r="OQ360" s="4"/>
      <c r="OR360" s="5"/>
      <c r="OS360" s="6"/>
      <c r="OT360" s="4"/>
      <c r="OU360" s="4"/>
      <c r="OV360" s="4"/>
      <c r="OW360" s="4"/>
      <c r="OX360" s="4"/>
      <c r="OY360" s="5"/>
      <c r="OZ360" s="6"/>
      <c r="PA360" s="4"/>
      <c r="PB360" s="4"/>
      <c r="PC360" s="4"/>
      <c r="PD360" s="4"/>
      <c r="PE360" s="4"/>
      <c r="PF360" s="5"/>
      <c r="PG360" s="6"/>
      <c r="PH360" s="4"/>
      <c r="PI360" s="4"/>
      <c r="PJ360" s="4"/>
      <c r="PK360" s="4"/>
      <c r="PL360" s="4"/>
      <c r="PM360" s="5"/>
      <c r="PN360" s="6"/>
      <c r="PO360" s="4"/>
      <c r="PP360" s="4"/>
      <c r="PQ360" s="4"/>
      <c r="PR360" s="4"/>
      <c r="PS360" s="4"/>
      <c r="PT360" s="5"/>
      <c r="PU360" s="6"/>
      <c r="PV360" s="4"/>
      <c r="PW360" s="4"/>
      <c r="PX360" s="4"/>
      <c r="PY360" s="8"/>
      <c r="PZ360" s="4"/>
      <c r="QA360" s="5"/>
      <c r="QB360" s="6"/>
      <c r="QC360" s="4"/>
      <c r="QD360" s="4"/>
      <c r="QE360" s="4"/>
      <c r="QF360" s="4"/>
      <c r="QG360" s="4"/>
      <c r="QH360" s="5"/>
      <c r="QI360" s="6"/>
      <c r="QJ360" s="4"/>
      <c r="QK360" s="4"/>
      <c r="QL360" s="4"/>
      <c r="QM360" s="4"/>
      <c r="QN360" s="4"/>
      <c r="QO360" s="5"/>
      <c r="QP360" s="6"/>
      <c r="QQ360" s="4"/>
      <c r="QR360" s="4"/>
      <c r="QS360" s="4"/>
      <c r="QT360" s="4"/>
      <c r="QU360" s="4"/>
      <c r="QV360" s="5"/>
      <c r="QW360" s="6"/>
      <c r="QX360" s="4"/>
      <c r="QY360" s="4"/>
      <c r="QZ360" s="4"/>
      <c r="RA360" s="4"/>
      <c r="RB360" s="4"/>
      <c r="RC360" s="5"/>
      <c r="RD360" s="6"/>
      <c r="RE360" s="4"/>
      <c r="RF360" s="4"/>
      <c r="RG360" s="4"/>
      <c r="RH360" s="4"/>
      <c r="RI360" s="4"/>
      <c r="RJ360" s="5"/>
      <c r="RK360" s="6"/>
      <c r="RL360" s="4"/>
      <c r="RM360" s="4"/>
      <c r="RN360" s="4"/>
      <c r="RO360" s="4"/>
      <c r="RP360" s="4"/>
      <c r="RQ360" s="5"/>
      <c r="RR360" s="6"/>
      <c r="RS360" s="4"/>
      <c r="RT360" s="4"/>
      <c r="RU360" s="4"/>
      <c r="RV360" s="4"/>
      <c r="RW360" s="4"/>
      <c r="RX360" s="5"/>
      <c r="RY360" s="6"/>
      <c r="RZ360" s="4"/>
      <c r="SA360" s="4"/>
      <c r="SB360" s="4"/>
      <c r="SC360" s="4"/>
      <c r="SD360" s="4"/>
      <c r="SE360" s="5"/>
      <c r="SF360" s="6"/>
      <c r="SG360" s="4"/>
      <c r="SH360" s="4"/>
      <c r="SI360" s="4"/>
      <c r="SJ360" s="4"/>
      <c r="SK360" s="4"/>
      <c r="SL360" s="5"/>
      <c r="SM360" s="6"/>
      <c r="SN360" s="4"/>
      <c r="SO360" s="4"/>
      <c r="SP360" s="4"/>
      <c r="SQ360" s="4"/>
      <c r="SR360" s="4"/>
      <c r="SS360" s="5"/>
      <c r="ST360" s="6"/>
      <c r="SU360" s="4"/>
      <c r="SV360" s="4"/>
      <c r="SW360" s="4"/>
      <c r="SX360" s="4"/>
      <c r="SY360" s="4"/>
      <c r="SZ360" s="5"/>
      <c r="TA360" s="6"/>
      <c r="TB360" s="4"/>
      <c r="TC360" s="4"/>
      <c r="TD360" s="4"/>
      <c r="TE360" s="4"/>
      <c r="TF360" s="4"/>
      <c r="TG360" s="5"/>
      <c r="TH360" s="6"/>
      <c r="TI360" s="4"/>
      <c r="TJ360" s="4"/>
      <c r="TK360" s="4"/>
      <c r="TL360" s="4"/>
      <c r="TM360" s="4"/>
      <c r="TN360" s="5"/>
      <c r="TO360" s="6"/>
      <c r="TP360" s="4"/>
      <c r="TQ360" s="4"/>
      <c r="TR360" s="4"/>
      <c r="TS360" s="4"/>
      <c r="TT360" s="4"/>
      <c r="TU360" s="5"/>
      <c r="TV360" s="6"/>
      <c r="TW360" s="4"/>
      <c r="TX360" s="4"/>
      <c r="TY360" s="4"/>
      <c r="TZ360" s="4"/>
      <c r="UA360" s="4"/>
      <c r="UB360" s="5"/>
      <c r="UC360" s="6"/>
      <c r="UD360" s="4"/>
      <c r="UE360" s="4"/>
      <c r="UF360" s="4"/>
      <c r="UG360" s="4"/>
      <c r="UH360" s="4"/>
      <c r="UI360" s="5"/>
      <c r="UJ360" s="6"/>
      <c r="UK360" s="4"/>
      <c r="UL360" s="4"/>
      <c r="UM360" s="4"/>
      <c r="UN360" s="4"/>
      <c r="UO360" s="4"/>
      <c r="UP360" s="5"/>
      <c r="UQ360" s="6"/>
      <c r="UR360" s="4"/>
      <c r="US360" s="4"/>
      <c r="UT360" s="4"/>
      <c r="UU360" s="4"/>
      <c r="UV360" s="4"/>
      <c r="UW360" s="5"/>
      <c r="UX360" s="6"/>
      <c r="UZ360" s="4"/>
      <c r="VA360" s="4"/>
      <c r="VB360" s="4"/>
      <c r="VC360" s="4"/>
      <c r="VD360" s="5"/>
      <c r="VE360" s="6"/>
      <c r="VF360" s="4"/>
      <c r="VG360" s="4"/>
      <c r="VH360" s="4"/>
      <c r="VI360" s="8"/>
      <c r="VJ360" s="4"/>
      <c r="VK360" s="5"/>
      <c r="VL360" s="6"/>
      <c r="VM360" s="4"/>
      <c r="VN360" s="4"/>
      <c r="VO360" s="4"/>
      <c r="VP360" s="4"/>
      <c r="VQ360" s="4"/>
      <c r="VR360" s="5"/>
      <c r="VS360" s="6"/>
      <c r="VT360" s="4"/>
      <c r="VU360" s="4"/>
      <c r="VV360" s="4"/>
      <c r="VW360" s="4"/>
      <c r="VX360" s="4"/>
      <c r="VY360" s="5"/>
      <c r="VZ360" s="6"/>
      <c r="WA360" s="4"/>
      <c r="WB360" s="4"/>
      <c r="WC360" s="4"/>
      <c r="WD360" s="8"/>
      <c r="WE360" s="4"/>
      <c r="WF360" s="5"/>
      <c r="WG360" s="6"/>
      <c r="WH360" s="4"/>
      <c r="WI360" s="4"/>
      <c r="WJ360" s="4"/>
      <c r="WK360" s="4"/>
      <c r="WL360" s="4"/>
      <c r="WM360" s="5"/>
      <c r="WN360" s="6"/>
      <c r="WO360" s="4"/>
      <c r="WP360" s="4"/>
      <c r="WQ360" s="4"/>
      <c r="WR360" s="4"/>
      <c r="WS360" s="4"/>
      <c r="WT360" s="5"/>
      <c r="WU360" s="6"/>
      <c r="WV360" s="4"/>
      <c r="WW360" s="4"/>
      <c r="WX360" s="4"/>
      <c r="WY360" s="4"/>
      <c r="WZ360" s="4"/>
      <c r="XA360" s="5"/>
      <c r="XB360" s="6"/>
      <c r="XC360" s="4"/>
      <c r="XD360" s="4"/>
      <c r="XE360" s="4"/>
      <c r="XF360" s="4"/>
      <c r="XG360" s="4"/>
      <c r="XH360" s="5"/>
      <c r="XI360" s="6"/>
      <c r="XJ360" s="4"/>
      <c r="XK360" s="4"/>
      <c r="XL360" s="4"/>
      <c r="XM360" s="4"/>
      <c r="XN360" s="4"/>
      <c r="XO360" s="5"/>
      <c r="XP360" s="6"/>
      <c r="XQ360" s="4"/>
      <c r="XR360" s="4"/>
      <c r="XS360" s="4"/>
      <c r="XT360" s="4"/>
      <c r="XU360" s="4"/>
      <c r="XV360" s="5"/>
      <c r="XW360" s="6"/>
      <c r="XX360" s="4"/>
      <c r="XY360" s="4"/>
      <c r="XZ360" s="7"/>
      <c r="YA360" s="8"/>
      <c r="YB360" s="8"/>
      <c r="YC360" s="5"/>
      <c r="YD360" s="6"/>
      <c r="YE360" s="4"/>
      <c r="YF360" s="4"/>
      <c r="YG360" s="4"/>
      <c r="YH360" s="4"/>
      <c r="YI360" s="4"/>
      <c r="YJ360" s="5"/>
      <c r="YK360" s="6"/>
      <c r="YL360" s="7"/>
      <c r="YM360" s="4"/>
      <c r="YN360" s="7"/>
      <c r="YO360" s="8"/>
      <c r="YP360" s="8"/>
      <c r="YQ360" s="5"/>
      <c r="YR360" s="6"/>
      <c r="YS360" s="4"/>
      <c r="YT360" s="4"/>
      <c r="YU360" s="4"/>
      <c r="YV360" s="4"/>
      <c r="YW360" s="4"/>
      <c r="YX360" s="5"/>
      <c r="YY360" s="6"/>
      <c r="YZ360" s="4"/>
      <c r="ZA360" s="4"/>
      <c r="ZB360" s="4"/>
      <c r="ZC360" s="4"/>
      <c r="ZD360" s="4"/>
      <c r="ZE360" s="5"/>
      <c r="ZF360" s="6"/>
      <c r="ZG360" s="4"/>
      <c r="ZH360" s="4"/>
      <c r="ZI360" s="4"/>
      <c r="ZJ360" s="4"/>
      <c r="ZK360" s="4"/>
      <c r="ZL360" s="5"/>
      <c r="ZM360" s="6"/>
      <c r="ZN360" s="4"/>
      <c r="ZO360" s="4"/>
      <c r="ZP360" s="4"/>
      <c r="ZQ360" s="4"/>
      <c r="ZR360" s="4"/>
      <c r="ZS360" s="5"/>
      <c r="ZT360" s="6"/>
      <c r="ZU360" s="4"/>
      <c r="ZV360" s="4"/>
      <c r="ZW360" s="4"/>
      <c r="ZX360" s="4"/>
      <c r="ZY360" s="4"/>
      <c r="ZZ360" s="5"/>
      <c r="AAA360" s="6"/>
      <c r="AAB360" s="4"/>
      <c r="AAC360" s="4"/>
      <c r="AAD360" s="4"/>
      <c r="AAE360" s="4"/>
      <c r="AAF360" s="4"/>
      <c r="AAG360" s="5"/>
      <c r="AAH360" s="6"/>
      <c r="AAI360" s="4"/>
      <c r="AAJ360" s="4"/>
      <c r="AAK360" s="4"/>
      <c r="AAL360" s="4"/>
      <c r="AAM360" s="4"/>
      <c r="AAN360" s="5"/>
      <c r="AAO360" s="6"/>
      <c r="AAP360" s="4"/>
      <c r="AAQ360" s="4"/>
      <c r="AAR360" s="4"/>
      <c r="AAS360" s="4"/>
      <c r="AAT360" s="4"/>
      <c r="AAU360" s="5"/>
      <c r="AAV360" s="6"/>
      <c r="AAW360" s="4"/>
      <c r="AAX360" s="4"/>
      <c r="AAY360" s="4"/>
      <c r="AAZ360" s="4"/>
      <c r="ABA360" s="4"/>
      <c r="ABB360" s="5"/>
      <c r="ABC360" s="6"/>
      <c r="ABD360" s="4"/>
      <c r="ABE360" s="4"/>
      <c r="ABF360" s="4"/>
      <c r="ABG360" s="4"/>
      <c r="ABH360" s="4"/>
      <c r="ABI360" s="5"/>
      <c r="ABJ360" s="6"/>
      <c r="ABK360" s="4"/>
      <c r="ABL360" s="4"/>
      <c r="ABM360" s="4"/>
      <c r="ABN360" s="4"/>
      <c r="ABO360" s="4"/>
      <c r="ABP360" s="5"/>
      <c r="ABQ360" s="6"/>
      <c r="ABR360" s="4"/>
      <c r="ABS360" s="4"/>
      <c r="ABT360" s="4"/>
      <c r="ABU360" s="4"/>
      <c r="ABV360" s="4"/>
      <c r="ABW360" s="5"/>
      <c r="ABX360" s="6"/>
      <c r="ABY360" s="4"/>
      <c r="ABZ360" s="4"/>
      <c r="ACA360" s="4"/>
      <c r="ACB360" s="4"/>
      <c r="ACC360" s="4"/>
      <c r="ACD360" s="5"/>
      <c r="ACE360" s="6"/>
      <c r="ACF360" s="4"/>
      <c r="ACG360" s="4"/>
      <c r="ACH360" s="4"/>
      <c r="ACI360" s="4"/>
      <c r="ACJ360" s="4"/>
      <c r="ACK360" s="5"/>
      <c r="ACL360" s="6"/>
      <c r="ACM360" s="4"/>
      <c r="ACN360" s="4"/>
      <c r="ACO360" s="4"/>
      <c r="ACP360" s="4"/>
      <c r="ACQ360" s="4"/>
      <c r="ACR360" s="5"/>
      <c r="ACS360" s="6"/>
      <c r="ACT360" s="4"/>
      <c r="ACU360" s="4"/>
      <c r="ACV360" s="4"/>
      <c r="ACW360" s="4"/>
      <c r="ACX360" s="4"/>
      <c r="ACY360" s="5"/>
    </row>
    <row r="361" spans="2:806" x14ac:dyDescent="0.25">
      <c r="B361" s="29">
        <v>8015101</v>
      </c>
      <c r="C361" s="57">
        <v>71</v>
      </c>
      <c r="D361" t="s">
        <v>3587</v>
      </c>
      <c r="E361" t="s">
        <v>4165</v>
      </c>
      <c r="F361" s="23" t="s">
        <v>1790</v>
      </c>
      <c r="I361">
        <v>1</v>
      </c>
      <c r="J361" s="19">
        <v>37790</v>
      </c>
      <c r="K361" s="19" t="s">
        <v>1471</v>
      </c>
      <c r="L361" s="19"/>
      <c r="LL361" s="6"/>
      <c r="LM361" s="4"/>
      <c r="LN361" s="4"/>
      <c r="LO361" s="4"/>
      <c r="LP361" s="4"/>
      <c r="LQ361" s="4"/>
      <c r="LR361" s="5"/>
      <c r="LS361" s="6"/>
      <c r="LT361" s="4"/>
      <c r="LU361" s="4"/>
      <c r="LV361" s="4"/>
      <c r="LW361" s="4"/>
      <c r="LX361" s="4"/>
      <c r="LY361" s="5"/>
      <c r="LZ361" s="6" t="s">
        <v>3497</v>
      </c>
      <c r="MA361" s="4" t="s">
        <v>3497</v>
      </c>
      <c r="MB361" t="s">
        <v>3364</v>
      </c>
      <c r="MD361" s="17">
        <v>37763</v>
      </c>
      <c r="MF361" t="s">
        <v>1323</v>
      </c>
      <c r="MG361" s="40" t="s">
        <v>1472</v>
      </c>
      <c r="MH361" s="6"/>
      <c r="MI361" s="4"/>
      <c r="MJ361" s="4"/>
      <c r="MK361" s="4"/>
      <c r="ML361" s="4"/>
      <c r="MM361" s="4"/>
      <c r="MN361" s="5"/>
      <c r="MO361" s="6"/>
      <c r="MP361" s="4"/>
      <c r="MQ361" s="4"/>
      <c r="MR361" s="4"/>
      <c r="MS361" s="4"/>
      <c r="MT361" s="4"/>
      <c r="MU361" s="5"/>
      <c r="MV361" s="6"/>
      <c r="MW361" s="4"/>
      <c r="MX361" s="4"/>
      <c r="MY361" s="4"/>
      <c r="MZ361" s="4"/>
      <c r="NA361" s="4"/>
      <c r="NB361" s="5"/>
      <c r="NC361" s="6"/>
      <c r="NE361" s="4"/>
      <c r="NF361" s="4"/>
      <c r="NG361" s="4"/>
      <c r="NH361" s="4"/>
      <c r="NI361" s="5"/>
      <c r="NJ361" s="6"/>
      <c r="NK361" s="4"/>
      <c r="NL361" s="4"/>
      <c r="NM361" s="4"/>
      <c r="NN361" s="4"/>
      <c r="NO361" s="4"/>
      <c r="NP361" s="5"/>
      <c r="NQ361" s="6"/>
      <c r="NR361" s="4"/>
      <c r="NS361" s="4"/>
      <c r="NT361" s="4"/>
      <c r="NU361" s="4"/>
      <c r="NV361" s="4"/>
      <c r="NW361" s="5"/>
      <c r="NX361" s="6"/>
      <c r="NY361" s="4"/>
      <c r="NZ361" s="4"/>
      <c r="OA361" s="4"/>
      <c r="OB361" s="4"/>
      <c r="OC361" s="4"/>
      <c r="OD361" s="5"/>
      <c r="OE361" s="6"/>
      <c r="OF361" s="4"/>
      <c r="OG361" s="4"/>
      <c r="OH361" s="4"/>
      <c r="OI361" s="4"/>
      <c r="OJ361" s="4"/>
      <c r="OK361" s="5"/>
      <c r="OL361" s="6"/>
      <c r="OM361" s="4"/>
      <c r="ON361" s="4"/>
      <c r="OO361" s="4"/>
      <c r="OP361" s="4"/>
      <c r="OQ361" s="4"/>
      <c r="OR361" s="5"/>
      <c r="OS361" s="6"/>
      <c r="OT361" s="4"/>
      <c r="OU361" s="4"/>
      <c r="OV361" s="4"/>
      <c r="OW361" s="4"/>
      <c r="OX361" s="4"/>
      <c r="OY361" s="5"/>
      <c r="OZ361" s="6"/>
      <c r="PA361" s="4"/>
      <c r="PB361" s="4"/>
      <c r="PC361" s="4"/>
      <c r="PD361" s="4"/>
      <c r="PE361" s="4"/>
      <c r="PF361" s="5"/>
      <c r="PG361" s="6"/>
      <c r="PH361" s="4"/>
      <c r="PI361" s="4"/>
      <c r="PJ361" s="4"/>
      <c r="PK361" s="4"/>
      <c r="PL361" s="4"/>
      <c r="PM361" s="5"/>
      <c r="PN361" s="6"/>
      <c r="PO361" s="4"/>
      <c r="PP361" s="4"/>
      <c r="PQ361" s="4"/>
      <c r="PR361" s="4"/>
      <c r="PS361" s="4"/>
      <c r="PT361" s="5"/>
      <c r="PU361" s="6"/>
      <c r="PV361" s="4"/>
      <c r="PW361" s="4"/>
      <c r="PX361" s="4"/>
      <c r="PY361" s="4"/>
      <c r="PZ361" s="4"/>
      <c r="QA361" s="5"/>
      <c r="QB361" s="6"/>
      <c r="QC361" s="4"/>
      <c r="QD361" s="4"/>
      <c r="QE361" s="4"/>
      <c r="QF361" s="4"/>
      <c r="QG361" s="4"/>
      <c r="QH361" s="5"/>
      <c r="QI361" s="6"/>
      <c r="QJ361" s="4"/>
      <c r="QK361" s="4"/>
      <c r="QL361" s="4"/>
      <c r="QM361" s="4"/>
      <c r="QN361" s="4"/>
      <c r="QO361" s="5"/>
      <c r="QP361" s="6"/>
      <c r="QQ361" s="4"/>
      <c r="QR361" s="4"/>
      <c r="QS361" s="4"/>
      <c r="QT361" s="4"/>
      <c r="QU361" s="4"/>
      <c r="QV361" s="5"/>
      <c r="QW361" s="6"/>
      <c r="QX361" s="4"/>
      <c r="QY361" s="4"/>
      <c r="QZ361" s="4"/>
      <c r="RA361" s="4"/>
      <c r="RB361" s="4"/>
      <c r="RC361" s="5"/>
      <c r="RD361" s="6"/>
      <c r="RE361" s="4"/>
      <c r="RF361" s="4"/>
      <c r="RG361" s="4"/>
      <c r="RH361" s="4"/>
      <c r="RI361" s="4"/>
      <c r="RJ361" s="5"/>
      <c r="RK361" s="6"/>
      <c r="RL361" s="4"/>
      <c r="RM361" s="4"/>
      <c r="RN361" s="4"/>
      <c r="RO361" s="4"/>
      <c r="RP361" s="4"/>
      <c r="RQ361" s="5"/>
      <c r="RR361" s="6"/>
      <c r="RS361" s="4"/>
      <c r="RT361" s="4"/>
      <c r="RU361" s="4"/>
      <c r="RV361" s="4"/>
      <c r="RW361" s="4"/>
      <c r="RX361" s="5"/>
      <c r="RY361" s="6"/>
      <c r="RZ361" s="4"/>
      <c r="SA361" s="4"/>
      <c r="SB361" s="4"/>
      <c r="SC361" s="4"/>
      <c r="SD361" s="4"/>
      <c r="SE361" s="5"/>
      <c r="SF361" s="6"/>
      <c r="SG361" s="4"/>
      <c r="SH361" s="4"/>
      <c r="SI361" s="4"/>
      <c r="SJ361" s="4"/>
      <c r="SK361" s="4"/>
      <c r="SL361" s="5"/>
      <c r="SM361" s="6"/>
      <c r="SN361" s="4"/>
      <c r="SO361" s="4"/>
      <c r="SP361" s="4"/>
      <c r="SQ361" s="4"/>
      <c r="SR361" s="4"/>
      <c r="SS361" s="5"/>
      <c r="ST361" s="6"/>
      <c r="SU361" s="4"/>
      <c r="SV361" s="4"/>
      <c r="SW361" s="4"/>
      <c r="SX361" s="4"/>
      <c r="SY361" s="4"/>
      <c r="SZ361" s="5"/>
      <c r="TA361" s="6"/>
      <c r="TB361" s="4"/>
      <c r="TC361" s="4"/>
      <c r="TD361" s="4"/>
      <c r="TE361" s="4"/>
      <c r="TF361" s="4"/>
      <c r="TG361" s="5"/>
      <c r="TH361" s="6"/>
      <c r="TI361" s="4"/>
      <c r="TJ361" s="4"/>
      <c r="TK361" s="4"/>
      <c r="TL361" s="4"/>
      <c r="TM361" s="4"/>
      <c r="TN361" s="5"/>
      <c r="TO361" s="6"/>
      <c r="TP361" s="4"/>
      <c r="TQ361" s="4"/>
      <c r="TR361" s="4"/>
      <c r="TS361" s="4"/>
      <c r="TT361" s="4"/>
      <c r="TU361" s="5"/>
      <c r="TV361" s="6"/>
      <c r="TW361" s="4"/>
      <c r="TX361" s="4"/>
      <c r="TY361" s="4"/>
      <c r="TZ361" s="4"/>
      <c r="UA361" s="4"/>
      <c r="UB361" s="5"/>
      <c r="UC361" s="6"/>
      <c r="UD361" s="4"/>
      <c r="UE361" s="4"/>
      <c r="UF361" s="4"/>
      <c r="UG361" s="4"/>
      <c r="UH361" s="4"/>
      <c r="UI361" s="5"/>
      <c r="UJ361" s="6"/>
      <c r="UK361" s="4"/>
      <c r="UL361" s="4"/>
      <c r="UM361" s="4"/>
      <c r="UN361" s="4"/>
      <c r="UO361" s="4"/>
      <c r="UP361" s="5"/>
      <c r="UQ361" s="6"/>
      <c r="UR361" s="4"/>
      <c r="US361" s="4"/>
      <c r="UT361" s="4"/>
      <c r="UU361" s="4"/>
      <c r="UV361" s="4"/>
      <c r="UW361" s="5"/>
      <c r="UX361" s="6" t="s">
        <v>3761</v>
      </c>
      <c r="UY361" s="4" t="s">
        <v>3290</v>
      </c>
      <c r="UZ361" s="4"/>
      <c r="VA361" s="4"/>
      <c r="VB361" s="8">
        <v>37763</v>
      </c>
      <c r="VC361" s="4"/>
      <c r="VD361" s="5" t="s">
        <v>1473</v>
      </c>
      <c r="VE361" s="6"/>
      <c r="VF361" s="4"/>
      <c r="VG361" s="4"/>
      <c r="VH361" s="4"/>
      <c r="VI361" s="4"/>
      <c r="VJ361" s="4"/>
      <c r="VK361" s="5"/>
      <c r="VL361" s="6"/>
      <c r="VM361" s="4"/>
      <c r="VN361" s="4"/>
      <c r="VO361" s="4"/>
      <c r="VP361" s="4"/>
      <c r="VQ361" s="4"/>
      <c r="VR361" s="5"/>
      <c r="VS361" s="6"/>
      <c r="VT361" s="4"/>
      <c r="VU361" s="4"/>
      <c r="VV361" s="4"/>
      <c r="VW361" s="4"/>
      <c r="VX361" s="4"/>
      <c r="VY361" s="5"/>
      <c r="VZ361" s="6"/>
      <c r="WA361" s="4"/>
      <c r="WB361" s="4"/>
      <c r="WC361" s="4"/>
      <c r="WD361" s="4"/>
      <c r="WE361" s="4"/>
      <c r="WF361" s="5"/>
      <c r="WG361" s="6"/>
      <c r="WH361" s="4"/>
      <c r="WI361" s="4"/>
      <c r="WJ361" s="4"/>
      <c r="WK361" s="4"/>
      <c r="WL361" s="4"/>
      <c r="WM361" s="5"/>
      <c r="WN361" s="6"/>
      <c r="WO361" s="4"/>
      <c r="WP361" s="4"/>
      <c r="WQ361" s="4"/>
      <c r="WR361" s="4"/>
      <c r="WS361" s="4"/>
      <c r="WT361" s="5"/>
      <c r="WU361" s="6"/>
      <c r="WV361" s="4"/>
      <c r="WW361" s="4"/>
      <c r="WX361" s="4"/>
      <c r="WY361" s="4"/>
      <c r="WZ361" s="4"/>
      <c r="XA361" s="5"/>
      <c r="XB361" s="6"/>
      <c r="XC361" s="4"/>
      <c r="XD361" s="4"/>
      <c r="XE361" s="4"/>
      <c r="XF361" s="4"/>
      <c r="XG361" s="4"/>
      <c r="XH361" s="5"/>
      <c r="XI361" s="6"/>
      <c r="XJ361" s="4"/>
      <c r="XK361" s="4"/>
      <c r="XL361" s="4"/>
      <c r="XM361" s="4"/>
      <c r="XN361" s="4"/>
      <c r="XO361" s="5"/>
      <c r="XP361" s="6"/>
      <c r="XQ361" s="4"/>
      <c r="XR361" s="4"/>
      <c r="XS361" s="4"/>
      <c r="XT361" s="4"/>
      <c r="XU361" s="4"/>
      <c r="XV361" s="5"/>
      <c r="XW361" s="6"/>
      <c r="XX361" s="4"/>
      <c r="XY361" s="4"/>
      <c r="XZ361" s="4"/>
      <c r="YA361" s="4"/>
      <c r="YB361" s="4"/>
      <c r="YC361" s="5"/>
      <c r="YD361" s="6"/>
      <c r="YE361" s="4"/>
      <c r="YF361" s="4"/>
      <c r="YG361" s="4"/>
      <c r="YH361" s="4"/>
      <c r="YI361" s="4"/>
      <c r="YJ361" s="5"/>
      <c r="YK361" s="6"/>
      <c r="YL361" s="4"/>
      <c r="YM361" s="4"/>
      <c r="YN361" s="4"/>
      <c r="YO361" s="4"/>
      <c r="YP361" s="4"/>
      <c r="YQ361" s="5"/>
      <c r="YR361" s="6"/>
      <c r="YS361" s="4"/>
      <c r="YT361" s="4"/>
      <c r="YU361" s="4"/>
      <c r="YV361" s="4"/>
      <c r="YW361" s="4"/>
      <c r="YX361" s="5"/>
      <c r="YY361" s="6"/>
      <c r="YZ361" s="4"/>
      <c r="ZA361" s="4"/>
      <c r="ZB361" s="4"/>
      <c r="ZC361" s="4"/>
      <c r="ZD361" s="4"/>
      <c r="ZE361" s="5"/>
      <c r="ZF361" s="6"/>
      <c r="ZG361" s="4"/>
      <c r="ZH361" s="4"/>
      <c r="ZI361" s="4"/>
      <c r="ZJ361" s="4"/>
      <c r="ZK361" s="4"/>
      <c r="ZL361" s="5"/>
      <c r="ZM361" s="6"/>
      <c r="ZN361" s="4"/>
      <c r="ZO361" s="4"/>
      <c r="ZP361" s="4"/>
      <c r="ZQ361" s="4"/>
      <c r="ZR361" s="4"/>
      <c r="ZS361" s="5"/>
      <c r="ZT361" s="6"/>
      <c r="ZU361" s="4"/>
      <c r="ZV361" s="4"/>
      <c r="ZW361" s="4"/>
      <c r="ZX361" s="4"/>
      <c r="ZY361" s="4"/>
      <c r="ZZ361" s="5"/>
      <c r="AAA361" s="6"/>
      <c r="AAB361" s="4"/>
      <c r="AAC361" s="4"/>
      <c r="AAD361" s="4"/>
      <c r="AAE361" s="4"/>
      <c r="AAF361" s="4"/>
      <c r="AAG361" s="5"/>
      <c r="AAH361" s="6"/>
      <c r="AAI361" s="4"/>
      <c r="AAJ361" s="4"/>
      <c r="AAK361" s="4"/>
      <c r="AAL361" s="4"/>
      <c r="AAM361" s="4"/>
      <c r="AAN361" s="5"/>
      <c r="AAO361" s="6"/>
      <c r="AAP361" s="4"/>
      <c r="AAQ361" s="4"/>
      <c r="AAR361" s="4"/>
      <c r="AAS361" s="4"/>
      <c r="AAT361" s="4"/>
      <c r="AAU361" s="5"/>
      <c r="AAV361" s="6"/>
      <c r="AAW361" s="4"/>
      <c r="AAX361" s="4"/>
      <c r="AAY361" s="4"/>
      <c r="AAZ361" s="4"/>
      <c r="ABA361" s="4"/>
      <c r="ABB361" s="5"/>
      <c r="ABC361" s="6"/>
      <c r="ABD361" s="4"/>
      <c r="ABE361" s="4"/>
      <c r="ABF361" s="4"/>
      <c r="ABG361" s="4"/>
      <c r="ABH361" s="4"/>
      <c r="ABI361" s="5"/>
      <c r="ABJ361" s="6"/>
      <c r="ABK361" s="4"/>
      <c r="ABL361" s="4"/>
      <c r="ABM361" s="4"/>
      <c r="ABN361" s="4"/>
      <c r="ABO361" s="4"/>
      <c r="ABP361" s="5"/>
      <c r="ABQ361" s="6"/>
      <c r="ABR361" s="4"/>
      <c r="ABS361" s="4"/>
      <c r="ABT361" s="4"/>
      <c r="ABU361" s="4"/>
      <c r="ABV361" s="4"/>
      <c r="ABW361" s="5"/>
      <c r="ABX361" s="6"/>
      <c r="ABY361" s="4"/>
      <c r="ABZ361" s="4"/>
      <c r="ACA361" s="4"/>
      <c r="ACB361" s="4"/>
      <c r="ACC361" s="4"/>
      <c r="ACD361" s="5"/>
      <c r="ACE361" s="6"/>
      <c r="ACF361" s="4"/>
      <c r="ACG361" s="4"/>
      <c r="ACH361" s="4"/>
      <c r="ACI361" s="4"/>
      <c r="ACJ361" s="4"/>
      <c r="ACK361" s="5"/>
      <c r="ACL361" s="6"/>
      <c r="ACM361" s="4"/>
      <c r="ACN361" s="4"/>
      <c r="ACO361" s="4"/>
      <c r="ACP361" s="4"/>
      <c r="ACQ361" s="4"/>
      <c r="ACR361" s="5"/>
      <c r="ACS361" s="6"/>
      <c r="ACT361" s="4"/>
      <c r="ACU361" s="4"/>
      <c r="ACV361" s="4"/>
      <c r="ACW361" s="4"/>
      <c r="ACX361" s="4"/>
      <c r="ACY361" s="5"/>
    </row>
    <row r="362" spans="2:806" x14ac:dyDescent="0.25">
      <c r="B362" s="29">
        <v>8015243</v>
      </c>
      <c r="C362" s="57">
        <v>35</v>
      </c>
      <c r="D362" t="s">
        <v>2121</v>
      </c>
      <c r="E362" t="s">
        <v>4165</v>
      </c>
      <c r="F362" s="23">
        <v>0</v>
      </c>
      <c r="I362">
        <v>1</v>
      </c>
      <c r="J362" s="19">
        <v>37965</v>
      </c>
      <c r="K362" s="19" t="s">
        <v>1474</v>
      </c>
      <c r="L362" s="19"/>
      <c r="JU362">
        <v>1</v>
      </c>
      <c r="LL362" s="6"/>
      <c r="LM362" s="4"/>
      <c r="LN362" s="4"/>
      <c r="LO362" s="4"/>
      <c r="LP362" s="4"/>
      <c r="LQ362" s="4"/>
      <c r="LR362" s="5"/>
      <c r="LS362" s="6"/>
      <c r="LT362" s="4"/>
      <c r="LU362" s="4"/>
      <c r="LV362" s="4"/>
      <c r="LW362" s="4"/>
      <c r="LX362" s="4"/>
      <c r="LY362" s="5"/>
      <c r="LZ362" s="6" t="s">
        <v>3369</v>
      </c>
      <c r="MA362" s="7" t="s">
        <v>3570</v>
      </c>
      <c r="MB362" s="7" t="s">
        <v>3753</v>
      </c>
      <c r="MC362" s="4"/>
      <c r="MD362" s="8">
        <v>37936</v>
      </c>
      <c r="ME362" s="4"/>
      <c r="MF362" s="9" t="s">
        <v>1622</v>
      </c>
      <c r="MG362" s="5" t="s">
        <v>1623</v>
      </c>
      <c r="MH362" s="6"/>
      <c r="MI362" s="4"/>
      <c r="MJ362" s="4"/>
      <c r="MK362" s="4"/>
      <c r="ML362" s="4"/>
      <c r="MM362" s="4"/>
      <c r="MN362" s="5"/>
      <c r="MO362" s="6"/>
      <c r="MP362" s="4"/>
      <c r="MQ362" s="4"/>
      <c r="MR362" s="4"/>
      <c r="MS362" s="4"/>
      <c r="MT362" s="4"/>
      <c r="MU362" s="5"/>
      <c r="MV362" s="6"/>
      <c r="MW362" s="4"/>
      <c r="MX362" s="4"/>
      <c r="MY362" s="4"/>
      <c r="MZ362" s="4"/>
      <c r="NA362" s="4"/>
      <c r="NB362" s="5"/>
      <c r="NC362" s="6"/>
      <c r="ND362" s="4"/>
      <c r="NE362" s="4"/>
      <c r="NF362" s="4"/>
      <c r="NG362" s="4"/>
      <c r="NH362" s="4"/>
      <c r="NI362" s="5"/>
      <c r="NJ362" s="6"/>
      <c r="NK362" s="4"/>
      <c r="NL362" s="4"/>
      <c r="NM362" s="4"/>
      <c r="NN362" s="4"/>
      <c r="NO362" s="4"/>
      <c r="NP362" s="5"/>
      <c r="NQ362" s="6"/>
      <c r="NR362" s="4"/>
      <c r="NS362" s="4"/>
      <c r="NT362" s="4"/>
      <c r="NU362" s="4"/>
      <c r="NV362" s="4"/>
      <c r="NW362" s="5"/>
      <c r="NX362" s="6"/>
      <c r="NY362" s="4"/>
      <c r="NZ362" s="4"/>
      <c r="OA362" s="4"/>
      <c r="OB362" s="4"/>
      <c r="OC362" s="4"/>
      <c r="OD362" s="5"/>
      <c r="OE362" s="6"/>
      <c r="OF362" s="4"/>
      <c r="OG362" s="4"/>
      <c r="OH362" s="4"/>
      <c r="OI362" s="4"/>
      <c r="OJ362" s="4"/>
      <c r="OK362" s="5"/>
      <c r="OL362" s="6"/>
      <c r="OM362" s="4"/>
      <c r="ON362" s="4"/>
      <c r="OO362" s="4"/>
      <c r="OP362" s="4"/>
      <c r="OQ362" s="4"/>
      <c r="OR362" s="5"/>
      <c r="OS362" s="6"/>
      <c r="OT362" s="4"/>
      <c r="OU362" s="4"/>
      <c r="OV362" s="4"/>
      <c r="OW362" s="4"/>
      <c r="OX362" s="4"/>
      <c r="OY362" s="5"/>
      <c r="OZ362" s="6"/>
      <c r="PA362" s="4"/>
      <c r="PB362" s="4"/>
      <c r="PC362" s="4"/>
      <c r="PD362" s="4"/>
      <c r="PE362" s="4"/>
      <c r="PF362" s="5"/>
      <c r="PG362" s="6"/>
      <c r="PH362" s="4"/>
      <c r="PI362" s="4"/>
      <c r="PJ362" s="4"/>
      <c r="PK362" s="4"/>
      <c r="PL362" s="4"/>
      <c r="PM362" s="5"/>
      <c r="PN362" s="6"/>
      <c r="PO362" s="4"/>
      <c r="PP362" s="4"/>
      <c r="PQ362" s="4"/>
      <c r="PR362" s="4"/>
      <c r="PS362" s="4"/>
      <c r="PT362" s="5"/>
      <c r="PU362" s="6"/>
      <c r="PV362" s="4"/>
      <c r="PW362" s="4"/>
      <c r="PX362" s="4"/>
      <c r="PY362" s="4"/>
      <c r="PZ362" s="4"/>
      <c r="QA362" s="5"/>
      <c r="QB362" s="6"/>
      <c r="QC362" s="4"/>
      <c r="QD362" s="4"/>
      <c r="QE362" s="4"/>
      <c r="QF362" s="4"/>
      <c r="QG362" s="4"/>
      <c r="QH362" s="5"/>
      <c r="QI362" s="6"/>
      <c r="QJ362" s="4"/>
      <c r="QK362" s="4"/>
      <c r="QL362" s="4"/>
      <c r="QM362" s="4"/>
      <c r="QN362" s="4"/>
      <c r="QO362" s="5"/>
      <c r="QP362" s="6"/>
      <c r="QQ362" s="4"/>
      <c r="QR362" s="4"/>
      <c r="QS362" s="4"/>
      <c r="QT362" s="4"/>
      <c r="QU362" s="4"/>
      <c r="QV362" s="5"/>
      <c r="QW362" s="6"/>
      <c r="QX362" s="4"/>
      <c r="QY362" s="4"/>
      <c r="QZ362" s="4"/>
      <c r="RA362" s="4"/>
      <c r="RB362" s="4"/>
      <c r="RC362" s="5"/>
      <c r="RD362" s="6"/>
      <c r="RE362" s="4"/>
      <c r="RF362" s="4"/>
      <c r="RG362" s="4"/>
      <c r="RH362" s="4"/>
      <c r="RI362" s="4"/>
      <c r="RJ362" s="5"/>
      <c r="RK362" s="6"/>
      <c r="RL362" s="4"/>
      <c r="RM362" s="4"/>
      <c r="RN362" s="4"/>
      <c r="RO362" s="4"/>
      <c r="RP362" s="4"/>
      <c r="RQ362" s="5"/>
      <c r="RR362" s="6"/>
      <c r="RS362" s="4"/>
      <c r="RT362" s="4"/>
      <c r="RU362" s="4"/>
      <c r="RV362" s="4"/>
      <c r="RW362" s="4"/>
      <c r="RX362" s="5"/>
      <c r="RY362" s="6"/>
      <c r="RZ362" s="4"/>
      <c r="SA362" s="4"/>
      <c r="SB362" s="4"/>
      <c r="SC362" s="4"/>
      <c r="SD362" s="4"/>
      <c r="SE362" s="5"/>
      <c r="SF362" s="6"/>
      <c r="SG362" s="4"/>
      <c r="SH362" s="4"/>
      <c r="SI362" s="4"/>
      <c r="SJ362" s="4"/>
      <c r="SK362" s="4"/>
      <c r="SL362" s="5"/>
      <c r="SM362" s="6"/>
      <c r="SN362" s="4"/>
      <c r="SO362" s="4"/>
      <c r="SP362" s="4"/>
      <c r="SQ362" s="4"/>
      <c r="SR362" s="4"/>
      <c r="SS362" s="5"/>
      <c r="ST362" s="6"/>
      <c r="SU362" s="4"/>
      <c r="SV362" s="4"/>
      <c r="SW362" s="4"/>
      <c r="SX362" s="4"/>
      <c r="SY362" s="4"/>
      <c r="SZ362" s="5"/>
      <c r="TA362" s="6"/>
      <c r="TB362" s="4"/>
      <c r="TC362" s="4"/>
      <c r="TD362" s="4"/>
      <c r="TE362" s="4"/>
      <c r="TF362" s="4"/>
      <c r="TG362" s="5"/>
      <c r="TH362" s="6"/>
      <c r="TI362" s="4"/>
      <c r="TJ362" s="4"/>
      <c r="TK362" s="4"/>
      <c r="TL362" s="4"/>
      <c r="TM362" s="4"/>
      <c r="TN362" s="5"/>
      <c r="TO362" s="6"/>
      <c r="TP362" s="4"/>
      <c r="TQ362" s="4"/>
      <c r="TR362" s="4"/>
      <c r="TS362" s="4"/>
      <c r="TT362" s="4"/>
      <c r="TU362" s="5"/>
      <c r="TV362" s="6"/>
      <c r="TW362" s="4"/>
      <c r="TX362" s="4"/>
      <c r="TY362" s="4"/>
      <c r="TZ362" s="4"/>
      <c r="UA362" s="4"/>
      <c r="UB362" s="5"/>
      <c r="UC362" s="6"/>
      <c r="UD362" s="4"/>
      <c r="UE362" s="4"/>
      <c r="UF362" s="4"/>
      <c r="UG362" s="4"/>
      <c r="UH362" s="4"/>
      <c r="UI362" s="5"/>
      <c r="UJ362" s="6"/>
      <c r="UK362" s="4"/>
      <c r="UL362" s="4"/>
      <c r="UM362" s="4"/>
      <c r="UN362" s="4"/>
      <c r="UO362" s="4"/>
      <c r="UP362" s="5"/>
      <c r="UQ362" s="6"/>
      <c r="UR362" s="4"/>
      <c r="US362" s="4"/>
      <c r="UT362" s="4"/>
      <c r="UU362" s="4"/>
      <c r="UV362" s="4"/>
      <c r="UW362" s="5"/>
      <c r="UX362" s="6"/>
      <c r="UY362" s="4"/>
      <c r="UZ362" s="4"/>
      <c r="VA362" s="4"/>
      <c r="VB362" s="4"/>
      <c r="VC362" s="4"/>
      <c r="VD362" s="5"/>
      <c r="VE362" s="6"/>
      <c r="VF362" s="4"/>
      <c r="VG362" s="4"/>
      <c r="VH362" s="4"/>
      <c r="VI362" s="4"/>
      <c r="VJ362" s="4"/>
      <c r="VK362" s="5"/>
      <c r="VL362" s="6"/>
      <c r="VM362" s="4"/>
      <c r="VN362" s="4"/>
      <c r="VO362" s="4"/>
      <c r="VP362" s="4"/>
      <c r="VQ362" s="4"/>
      <c r="VR362" s="5"/>
      <c r="VS362" s="6"/>
      <c r="VT362" s="4"/>
      <c r="VU362" s="4"/>
      <c r="VV362" s="4"/>
      <c r="VW362" s="4"/>
      <c r="VX362" s="4"/>
      <c r="VY362" s="5"/>
      <c r="VZ362" s="6"/>
      <c r="WA362" s="4"/>
      <c r="WB362" s="4"/>
      <c r="WC362" s="4"/>
      <c r="WD362" s="4"/>
      <c r="WE362" s="4"/>
      <c r="WF362" s="5"/>
      <c r="WG362" s="6"/>
      <c r="WH362" s="4"/>
      <c r="WI362" s="4"/>
      <c r="WJ362" s="4"/>
      <c r="WK362" s="4"/>
      <c r="WL362" s="4"/>
      <c r="WM362" s="5"/>
      <c r="WN362" s="6"/>
      <c r="WO362" s="4"/>
      <c r="WP362" s="4"/>
      <c r="WQ362" s="4"/>
      <c r="WR362" s="4"/>
      <c r="WS362" s="4"/>
      <c r="WT362" s="5"/>
      <c r="WU362" s="6"/>
      <c r="WV362" s="4"/>
      <c r="WW362" s="4"/>
      <c r="WX362" s="4"/>
      <c r="WY362" s="4"/>
      <c r="WZ362" s="4"/>
      <c r="XA362" s="5"/>
      <c r="XB362" s="6"/>
      <c r="XC362" s="4"/>
      <c r="XD362" s="4"/>
      <c r="XE362" s="4"/>
      <c r="XF362" s="4"/>
      <c r="XG362" s="4"/>
      <c r="XH362" s="5"/>
      <c r="XI362" s="6"/>
      <c r="XJ362" s="4"/>
      <c r="XK362" s="4"/>
      <c r="XL362" s="4"/>
      <c r="XM362" s="4"/>
      <c r="XN362" s="4"/>
      <c r="XO362" s="5"/>
      <c r="XP362" s="6"/>
      <c r="XQ362" s="4"/>
      <c r="XR362" s="4"/>
      <c r="XS362" s="4"/>
      <c r="XT362" s="4"/>
      <c r="XU362" s="4"/>
      <c r="XV362" s="5"/>
      <c r="XW362" s="6"/>
      <c r="XX362" s="4"/>
      <c r="XY362" s="4"/>
      <c r="XZ362" s="4"/>
      <c r="YA362" s="4"/>
      <c r="YB362" s="4"/>
      <c r="YC362" s="5"/>
      <c r="YD362" s="6"/>
      <c r="YE362" s="4"/>
      <c r="YF362" s="4"/>
      <c r="YG362" s="4"/>
      <c r="YH362" s="4"/>
      <c r="YI362" s="4"/>
      <c r="YJ362" s="5"/>
      <c r="YK362" s="6" t="s">
        <v>3370</v>
      </c>
      <c r="YL362" s="4" t="s">
        <v>3532</v>
      </c>
      <c r="YM362" s="4" t="s">
        <v>3616</v>
      </c>
      <c r="YN362" s="4"/>
      <c r="YO362" s="8">
        <v>37936</v>
      </c>
      <c r="YP362" s="4"/>
      <c r="YQ362" s="5" t="s">
        <v>1268</v>
      </c>
      <c r="YR362" s="6"/>
      <c r="YS362" s="4"/>
      <c r="YT362" s="4"/>
      <c r="YU362" s="4"/>
      <c r="YV362" s="4"/>
      <c r="YW362" s="4"/>
      <c r="YX362" s="5"/>
      <c r="YY362" s="6"/>
      <c r="YZ362" s="4"/>
      <c r="ZA362" s="4"/>
      <c r="ZB362" s="4"/>
      <c r="ZC362" s="4"/>
      <c r="ZD362" s="4"/>
      <c r="ZE362" s="5"/>
      <c r="ZF362" s="6"/>
      <c r="ZG362" s="4"/>
      <c r="ZH362" s="4"/>
      <c r="ZI362" s="4"/>
      <c r="ZJ362" s="4"/>
      <c r="ZK362" s="4"/>
      <c r="ZL362" s="5"/>
      <c r="ZM362" s="6"/>
      <c r="ZN362" s="4"/>
      <c r="ZO362" s="4"/>
      <c r="ZP362" s="4"/>
      <c r="ZQ362" s="4"/>
      <c r="ZR362" s="4"/>
      <c r="ZS362" s="5"/>
      <c r="ZT362" s="6"/>
      <c r="ZU362" s="4"/>
      <c r="ZV362" s="4"/>
      <c r="ZW362" s="4"/>
      <c r="ZX362" s="4"/>
      <c r="ZY362" s="4"/>
      <c r="ZZ362" s="5"/>
      <c r="AAA362" s="6"/>
      <c r="AAB362" s="4"/>
      <c r="AAC362" s="4"/>
      <c r="AAD362" s="4"/>
      <c r="AAE362" s="4"/>
      <c r="AAF362" s="4"/>
      <c r="AAG362" s="5"/>
      <c r="AAH362" s="6"/>
      <c r="AAI362" s="4"/>
      <c r="AAJ362" s="4"/>
      <c r="AAK362" s="4"/>
      <c r="AAL362" s="4"/>
      <c r="AAM362" s="4"/>
      <c r="AAN362" s="5"/>
      <c r="AAO362" s="6"/>
      <c r="AAP362" s="4"/>
      <c r="AAQ362" s="4"/>
      <c r="AAR362" s="4"/>
      <c r="AAS362" s="4"/>
      <c r="AAT362" s="4"/>
      <c r="AAU362" s="5"/>
      <c r="AAV362" s="6"/>
      <c r="AAW362" s="4"/>
      <c r="AAX362" s="4"/>
      <c r="AAY362" s="4"/>
      <c r="AAZ362" s="4"/>
      <c r="ABA362" s="4"/>
      <c r="ABB362" s="5"/>
      <c r="ABC362" s="6"/>
      <c r="ABD362" s="4"/>
      <c r="ABE362" s="4"/>
      <c r="ABF362" s="4"/>
      <c r="ABG362" s="4"/>
      <c r="ABH362" s="4"/>
      <c r="ABI362" s="5"/>
      <c r="ABJ362" s="6"/>
      <c r="ABK362" s="4"/>
      <c r="ABL362" s="4"/>
      <c r="ABM362" s="4"/>
      <c r="ABN362" s="4"/>
      <c r="ABO362" s="4"/>
      <c r="ABP362" s="5"/>
      <c r="ABQ362" s="6" t="s">
        <v>3527</v>
      </c>
      <c r="ABR362" s="4" t="s">
        <v>2662</v>
      </c>
      <c r="ABS362" s="4" t="s">
        <v>3590</v>
      </c>
      <c r="ABT362" s="4"/>
      <c r="ABU362" s="4"/>
      <c r="ABV362" s="4"/>
      <c r="ABW362" s="5" t="s">
        <v>1269</v>
      </c>
      <c r="ABX362" s="6"/>
      <c r="ABY362" s="4"/>
      <c r="ABZ362" s="4"/>
      <c r="ACA362" s="4"/>
      <c r="ACB362" s="4"/>
      <c r="ACC362" s="4"/>
      <c r="ACD362" s="5"/>
      <c r="ACE362" s="6"/>
      <c r="ACF362" s="4"/>
      <c r="ACG362" s="4"/>
      <c r="ACH362" s="4"/>
      <c r="ACI362" s="4"/>
      <c r="ACJ362" s="4"/>
      <c r="ACK362" s="5"/>
      <c r="ACL362" s="6"/>
      <c r="ACM362" s="4"/>
      <c r="ACN362" s="4"/>
      <c r="ACO362" s="4"/>
      <c r="ACP362" s="4"/>
      <c r="ACQ362" s="4"/>
      <c r="ACR362" s="5"/>
      <c r="ACS362" s="6"/>
      <c r="ACT362" s="4"/>
      <c r="ACU362" s="4"/>
      <c r="ACV362" s="4"/>
      <c r="ACW362" s="4"/>
      <c r="ACX362" s="4"/>
      <c r="ACY362" s="5"/>
      <c r="ADE362" t="s">
        <v>1270</v>
      </c>
    </row>
    <row r="363" spans="2:806" x14ac:dyDescent="0.25">
      <c r="B363" s="29">
        <v>8015838</v>
      </c>
      <c r="C363" s="57">
        <v>37</v>
      </c>
      <c r="D363" t="s">
        <v>2121</v>
      </c>
      <c r="E363" s="35" t="s">
        <v>4166</v>
      </c>
      <c r="F363" s="23" t="s">
        <v>1781</v>
      </c>
      <c r="I363">
        <v>1</v>
      </c>
      <c r="J363" s="19">
        <v>38266</v>
      </c>
      <c r="K363" s="19"/>
      <c r="L363" s="19" t="s">
        <v>4054</v>
      </c>
      <c r="Q363">
        <v>1</v>
      </c>
      <c r="S363">
        <v>1</v>
      </c>
      <c r="U363">
        <v>1</v>
      </c>
      <c r="Y363">
        <v>1</v>
      </c>
      <c r="AI363">
        <v>1</v>
      </c>
      <c r="AN363">
        <v>1</v>
      </c>
      <c r="DU363">
        <v>1</v>
      </c>
      <c r="LL363" s="6"/>
      <c r="LM363" s="4"/>
      <c r="LN363" s="4"/>
      <c r="LO363" s="4"/>
      <c r="LP363" s="4"/>
      <c r="LQ363" s="4"/>
      <c r="LR363" s="5"/>
      <c r="LS363" s="6"/>
      <c r="LT363" s="4"/>
      <c r="LU363" s="4"/>
      <c r="LV363" s="4"/>
      <c r="LW363" s="4"/>
      <c r="LX363" s="4"/>
      <c r="LY363" s="5"/>
      <c r="LZ363" s="6" t="s">
        <v>3572</v>
      </c>
      <c r="MA363" s="7" t="s">
        <v>3573</v>
      </c>
      <c r="MB363" s="7" t="s">
        <v>3421</v>
      </c>
      <c r="MC363" s="7" t="s">
        <v>3826</v>
      </c>
      <c r="MD363" s="8">
        <v>38243</v>
      </c>
      <c r="ME363" s="8">
        <v>38270</v>
      </c>
      <c r="MF363" s="8" t="s">
        <v>1323</v>
      </c>
      <c r="MG363" s="5" t="s">
        <v>1406</v>
      </c>
      <c r="MH363" s="6"/>
      <c r="MI363" s="4"/>
      <c r="MJ363" s="4"/>
      <c r="MK363" s="4"/>
      <c r="ML363" s="4"/>
      <c r="MM363" s="4"/>
      <c r="MN363" s="5"/>
      <c r="MO363" s="6"/>
      <c r="MP363" s="4"/>
      <c r="MQ363" s="4"/>
      <c r="MR363" s="4"/>
      <c r="MS363" s="4"/>
      <c r="MT363" s="4"/>
      <c r="MU363" s="5"/>
      <c r="MV363" s="6"/>
      <c r="MW363" s="4"/>
      <c r="MX363" s="4"/>
      <c r="MY363" s="4"/>
      <c r="MZ363" s="4"/>
      <c r="NA363" s="4"/>
      <c r="NB363" s="5"/>
      <c r="NC363" s="6"/>
      <c r="ND363" s="4"/>
      <c r="NE363" s="4"/>
      <c r="NF363" s="4"/>
      <c r="NG363" s="4"/>
      <c r="NH363" s="4"/>
      <c r="NI363" s="5"/>
      <c r="NJ363" s="6"/>
      <c r="NK363" s="4"/>
      <c r="NL363" s="4"/>
      <c r="NM363" s="4"/>
      <c r="NN363" s="4"/>
      <c r="NO363" s="4"/>
      <c r="NP363" s="5"/>
      <c r="NQ363" s="6"/>
      <c r="NR363" s="4"/>
      <c r="NS363" s="4"/>
      <c r="NT363" s="4"/>
      <c r="NU363" s="4"/>
      <c r="NV363" s="4"/>
      <c r="NW363" s="5"/>
      <c r="NX363" s="6"/>
      <c r="NY363" s="4"/>
      <c r="NZ363" s="4"/>
      <c r="OA363" s="4"/>
      <c r="OB363" s="4"/>
      <c r="OC363" s="4"/>
      <c r="OD363" s="5"/>
      <c r="OE363" s="6"/>
      <c r="OF363" s="4"/>
      <c r="OG363" s="4"/>
      <c r="OH363" s="4"/>
      <c r="OI363" s="4"/>
      <c r="OJ363" s="4"/>
      <c r="OK363" s="5"/>
      <c r="OL363" s="6"/>
      <c r="OM363" s="4"/>
      <c r="ON363" s="4"/>
      <c r="OO363" s="4"/>
      <c r="OP363" s="4"/>
      <c r="OQ363" s="4"/>
      <c r="OR363" s="5"/>
      <c r="OS363" s="6"/>
      <c r="OT363" s="4"/>
      <c r="OU363" s="4"/>
      <c r="OV363" s="4"/>
      <c r="OW363" s="4"/>
      <c r="OX363" s="4"/>
      <c r="OY363" s="5"/>
      <c r="OZ363" s="6"/>
      <c r="PA363" s="4"/>
      <c r="PB363" s="4"/>
      <c r="PC363" s="4"/>
      <c r="PD363" s="4"/>
      <c r="PE363" s="4"/>
      <c r="PF363" s="5"/>
      <c r="PG363" s="6"/>
      <c r="PH363" s="4"/>
      <c r="PI363" s="4"/>
      <c r="PJ363" s="4"/>
      <c r="PK363" s="4"/>
      <c r="PL363" s="4"/>
      <c r="PM363" s="5"/>
      <c r="PN363" s="6"/>
      <c r="PO363" s="4"/>
      <c r="PP363" s="4"/>
      <c r="PQ363" s="4"/>
      <c r="PR363" s="4"/>
      <c r="PS363" s="4"/>
      <c r="PT363" s="5"/>
      <c r="PU363" s="6"/>
      <c r="PV363" s="4"/>
      <c r="PW363" s="4"/>
      <c r="PX363" s="4"/>
      <c r="PY363" s="4"/>
      <c r="PZ363" s="4"/>
      <c r="QA363" s="5"/>
      <c r="QB363" s="6"/>
      <c r="QC363" s="4"/>
      <c r="QD363" s="4"/>
      <c r="QE363" s="4"/>
      <c r="QF363" s="4"/>
      <c r="QG363" s="4"/>
      <c r="QH363" s="5"/>
      <c r="QI363" s="6"/>
      <c r="QJ363" s="4"/>
      <c r="QK363" s="4"/>
      <c r="QL363" s="4"/>
      <c r="QM363" s="4"/>
      <c r="QN363" s="4"/>
      <c r="QO363" s="5"/>
      <c r="QP363" s="6"/>
      <c r="QQ363" s="4"/>
      <c r="QR363" s="4"/>
      <c r="QS363" s="4"/>
      <c r="QT363" s="4"/>
      <c r="QU363" s="4"/>
      <c r="QV363" s="5"/>
      <c r="QW363" s="6"/>
      <c r="QX363" s="4"/>
      <c r="QY363" s="4"/>
      <c r="QZ363" s="4"/>
      <c r="RA363" s="4"/>
      <c r="RB363" s="4"/>
      <c r="RC363" s="5"/>
      <c r="RD363" s="6"/>
      <c r="RE363" s="4"/>
      <c r="RF363" s="4"/>
      <c r="RG363" s="4"/>
      <c r="RH363" s="4"/>
      <c r="RI363" s="4"/>
      <c r="RJ363" s="5"/>
      <c r="RK363" s="6"/>
      <c r="RL363" s="4"/>
      <c r="RM363" s="4"/>
      <c r="RN363" s="4"/>
      <c r="RO363" s="4"/>
      <c r="RP363" s="4"/>
      <c r="RQ363" s="5"/>
      <c r="RR363" s="6"/>
      <c r="RS363" s="4"/>
      <c r="RT363" s="4"/>
      <c r="RU363" s="4"/>
      <c r="RV363" s="4"/>
      <c r="RW363" s="4"/>
      <c r="RX363" s="5"/>
      <c r="RY363" s="6"/>
      <c r="RZ363" s="4"/>
      <c r="SA363" s="4"/>
      <c r="SB363" s="4"/>
      <c r="SC363" s="4"/>
      <c r="SD363" s="4"/>
      <c r="SE363" s="5"/>
      <c r="SF363" s="6"/>
      <c r="SG363" s="4"/>
      <c r="SH363" s="4"/>
      <c r="SI363" s="4"/>
      <c r="SJ363" s="4"/>
      <c r="SK363" s="4"/>
      <c r="SL363" s="5"/>
      <c r="SM363" s="6"/>
      <c r="SN363" s="4"/>
      <c r="SO363" s="4"/>
      <c r="SP363" s="4"/>
      <c r="SQ363" s="4"/>
      <c r="SR363" s="4"/>
      <c r="SS363" s="5"/>
      <c r="ST363" s="6"/>
      <c r="SU363" s="4"/>
      <c r="SV363" s="4"/>
      <c r="SW363" s="4"/>
      <c r="SX363" s="4"/>
      <c r="SY363" s="4"/>
      <c r="SZ363" s="5"/>
      <c r="TA363" s="6"/>
      <c r="TB363" s="4"/>
      <c r="TC363" s="4"/>
      <c r="TD363" s="4"/>
      <c r="TE363" s="4"/>
      <c r="TF363" s="4"/>
      <c r="TG363" s="5"/>
      <c r="TH363" s="6"/>
      <c r="TI363" s="4"/>
      <c r="TJ363" s="4"/>
      <c r="TK363" s="4"/>
      <c r="TL363" s="4"/>
      <c r="TM363" s="4"/>
      <c r="TN363" s="5"/>
      <c r="TO363" s="6"/>
      <c r="TP363" s="4"/>
      <c r="TQ363" s="4"/>
      <c r="TR363" s="4"/>
      <c r="TS363" s="4"/>
      <c r="TT363" s="4"/>
      <c r="TU363" s="5"/>
      <c r="TV363" s="6"/>
      <c r="TW363" s="4"/>
      <c r="TX363" s="4"/>
      <c r="TY363" s="4"/>
      <c r="TZ363" s="4"/>
      <c r="UA363" s="4"/>
      <c r="UB363" s="5"/>
      <c r="UC363" s="6"/>
      <c r="UD363" s="4"/>
      <c r="UE363" s="4"/>
      <c r="UF363" s="4"/>
      <c r="UG363" s="4"/>
      <c r="UH363" s="4"/>
      <c r="UI363" s="5"/>
      <c r="UJ363" s="6"/>
      <c r="UK363" s="4"/>
      <c r="UL363" s="4"/>
      <c r="UM363" s="4"/>
      <c r="UN363" s="4"/>
      <c r="UO363" s="4"/>
      <c r="UP363" s="5"/>
      <c r="UQ363" s="6"/>
      <c r="UR363" s="4"/>
      <c r="US363" s="4"/>
      <c r="UT363" s="4"/>
      <c r="UU363" s="4"/>
      <c r="UV363" s="4"/>
      <c r="UW363" s="5"/>
      <c r="UX363" s="6"/>
      <c r="UY363" s="4"/>
      <c r="UZ363" s="4"/>
      <c r="VA363" s="4"/>
      <c r="VB363" s="4"/>
      <c r="VC363" s="4"/>
      <c r="VD363" s="5"/>
      <c r="VE363" s="6"/>
      <c r="VF363" s="4"/>
      <c r="VG363" s="4"/>
      <c r="VH363" s="4"/>
      <c r="VI363" s="4"/>
      <c r="VJ363" s="4"/>
      <c r="VK363" s="5"/>
      <c r="VL363" s="6"/>
      <c r="VM363" s="4"/>
      <c r="VN363" s="4"/>
      <c r="VO363" s="4"/>
      <c r="VP363" s="4"/>
      <c r="VQ363" s="4"/>
      <c r="VR363" s="5"/>
      <c r="VS363" s="6"/>
      <c r="VT363" s="4"/>
      <c r="VU363" s="4"/>
      <c r="VV363" s="4"/>
      <c r="VW363" s="4"/>
      <c r="VX363" s="4"/>
      <c r="VY363" s="5"/>
      <c r="VZ363" s="6"/>
      <c r="WA363" s="4"/>
      <c r="WB363" s="4"/>
      <c r="WC363" s="4"/>
      <c r="WD363" s="4"/>
      <c r="WE363" s="4"/>
      <c r="WF363" s="5"/>
      <c r="WG363" s="6"/>
      <c r="WH363" s="4"/>
      <c r="WI363" s="4"/>
      <c r="WJ363" s="4"/>
      <c r="WK363" s="4"/>
      <c r="WL363" s="4"/>
      <c r="WM363" s="5"/>
      <c r="WN363" s="6"/>
      <c r="WO363" s="4"/>
      <c r="WP363" s="4"/>
      <c r="WQ363" s="4"/>
      <c r="WR363" s="4"/>
      <c r="WS363" s="4"/>
      <c r="WT363" s="5"/>
      <c r="WU363" s="6"/>
      <c r="WV363" s="4"/>
      <c r="WW363" s="4"/>
      <c r="WX363" s="4"/>
      <c r="WY363" s="4"/>
      <c r="WZ363" s="4"/>
      <c r="XA363" s="5"/>
      <c r="XB363" s="6"/>
      <c r="XC363" s="4"/>
      <c r="XD363" s="4"/>
      <c r="XE363" s="4"/>
      <c r="XF363" s="4"/>
      <c r="XG363" s="4"/>
      <c r="XH363" s="5"/>
      <c r="XI363" s="6"/>
      <c r="XJ363" s="4"/>
      <c r="XK363" s="4"/>
      <c r="XL363" s="4"/>
      <c r="XM363" s="4"/>
      <c r="XN363" s="4"/>
      <c r="XO363" s="5"/>
      <c r="XP363" s="6"/>
      <c r="XQ363" s="4"/>
      <c r="XR363" s="4"/>
      <c r="XS363" s="4"/>
      <c r="XT363" s="4"/>
      <c r="XU363" s="4"/>
      <c r="XV363" s="5"/>
      <c r="XW363" s="6"/>
      <c r="XX363" s="4"/>
      <c r="XY363" s="4"/>
      <c r="XZ363" s="4"/>
      <c r="YA363" s="4"/>
      <c r="YB363" s="4"/>
      <c r="YC363" s="5"/>
      <c r="YD363" s="6"/>
      <c r="YE363" s="4"/>
      <c r="YF363" s="4"/>
      <c r="YG363" s="4"/>
      <c r="YH363" s="4"/>
      <c r="YI363" s="4"/>
      <c r="YJ363" s="5"/>
      <c r="YK363" s="6"/>
      <c r="YL363" s="4"/>
      <c r="YM363" s="4"/>
      <c r="YN363" s="4"/>
      <c r="YO363" s="4"/>
      <c r="YP363" s="4"/>
      <c r="YQ363" s="5"/>
      <c r="YR363" s="6"/>
      <c r="YS363" s="4"/>
      <c r="YT363" s="4"/>
      <c r="YU363" s="4"/>
      <c r="YV363" s="4"/>
      <c r="YW363" s="4"/>
      <c r="YX363" s="5"/>
      <c r="YY363" s="6"/>
      <c r="YZ363" s="4"/>
      <c r="ZA363" s="4"/>
      <c r="ZB363" s="4"/>
      <c r="ZC363" s="4"/>
      <c r="ZD363" s="4"/>
      <c r="ZE363" s="5"/>
      <c r="ZF363" s="6"/>
      <c r="ZG363" s="4"/>
      <c r="ZH363" s="4"/>
      <c r="ZI363" s="4"/>
      <c r="ZJ363" s="4"/>
      <c r="ZK363" s="4"/>
      <c r="ZL363" s="5"/>
      <c r="ZM363" s="6"/>
      <c r="ZN363" s="4"/>
      <c r="ZO363" s="4"/>
      <c r="ZP363" s="4"/>
      <c r="ZQ363" s="4"/>
      <c r="ZR363" s="4"/>
      <c r="ZS363" s="5"/>
      <c r="ZT363" s="6"/>
      <c r="ZU363" s="4"/>
      <c r="ZV363" s="4"/>
      <c r="ZW363" s="4"/>
      <c r="ZX363" s="4"/>
      <c r="ZY363" s="4"/>
      <c r="ZZ363" s="5"/>
      <c r="AAA363" s="6"/>
      <c r="AAB363" s="4"/>
      <c r="AAC363" s="4"/>
      <c r="AAD363" s="4"/>
      <c r="AAE363" s="4"/>
      <c r="AAF363" s="4"/>
      <c r="AAG363" s="5"/>
      <c r="AAH363" s="6"/>
      <c r="AAI363" s="4"/>
      <c r="AAJ363" s="4"/>
      <c r="AAK363" s="4"/>
      <c r="AAL363" s="4"/>
      <c r="AAM363" s="4"/>
      <c r="AAN363" s="5"/>
      <c r="AAO363" s="6"/>
      <c r="AAP363" s="4"/>
      <c r="AAQ363" s="4"/>
      <c r="AAR363" s="4"/>
      <c r="AAS363" s="4"/>
      <c r="AAT363" s="4"/>
      <c r="AAU363" s="5"/>
      <c r="AAV363" s="6"/>
      <c r="AAW363" s="4"/>
      <c r="AAX363" s="4"/>
      <c r="AAY363" s="4"/>
      <c r="AAZ363" s="4"/>
      <c r="ABA363" s="4"/>
      <c r="ABB363" s="5"/>
      <c r="ABC363" s="6"/>
      <c r="ABD363" s="4"/>
      <c r="ABE363" s="4"/>
      <c r="ABF363" s="4"/>
      <c r="ABG363" s="4"/>
      <c r="ABH363" s="4"/>
      <c r="ABI363" s="5"/>
      <c r="ABJ363" s="6" t="s">
        <v>3719</v>
      </c>
      <c r="ABK363" s="4" t="s">
        <v>3615</v>
      </c>
      <c r="ABL363" s="4" t="s">
        <v>3755</v>
      </c>
      <c r="ABM363" s="7" t="s">
        <v>3825</v>
      </c>
      <c r="ABN363" s="8">
        <v>38243</v>
      </c>
      <c r="ABO363" s="8">
        <v>38270</v>
      </c>
      <c r="ABP363" s="5" t="s">
        <v>1407</v>
      </c>
      <c r="ABQ363" s="6" t="s">
        <v>2697</v>
      </c>
      <c r="ABR363" s="4" t="s">
        <v>2662</v>
      </c>
      <c r="ABS363" s="4" t="s">
        <v>3823</v>
      </c>
      <c r="ABT363" s="7" t="s">
        <v>3624</v>
      </c>
      <c r="ABU363" s="8">
        <v>38247</v>
      </c>
      <c r="ABV363" s="8">
        <v>38270</v>
      </c>
      <c r="ABW363" s="5" t="s">
        <v>1408</v>
      </c>
      <c r="ABX363" s="6"/>
      <c r="ABY363" s="4"/>
      <c r="ABZ363" s="4"/>
      <c r="ACA363" s="4"/>
      <c r="ACB363" s="4"/>
      <c r="ACC363" s="4"/>
      <c r="ACD363" s="5"/>
      <c r="ACE363" s="6"/>
      <c r="ACF363" s="4"/>
      <c r="ACG363" s="4"/>
      <c r="ACH363" s="4"/>
      <c r="ACI363" s="4"/>
      <c r="ACJ363" s="4"/>
      <c r="ACK363" s="5"/>
      <c r="ACL363" s="6"/>
      <c r="ACM363" s="4"/>
      <c r="ACN363" s="4"/>
      <c r="ACO363" s="4"/>
      <c r="ACP363" s="4"/>
      <c r="ACQ363" s="4"/>
      <c r="ACR363" s="5"/>
      <c r="ACS363" s="6"/>
      <c r="ACT363" s="4"/>
      <c r="ACU363" s="4"/>
      <c r="ACV363" s="4"/>
      <c r="ACW363" s="4"/>
      <c r="ACX363" s="4"/>
      <c r="ACY363" s="5"/>
      <c r="ADF363" t="s">
        <v>1409</v>
      </c>
    </row>
    <row r="364" spans="2:806" x14ac:dyDescent="0.25">
      <c r="J364" s="12"/>
      <c r="K364" s="12"/>
      <c r="L364" s="12"/>
      <c r="LL364" s="6"/>
      <c r="LM364" s="4"/>
      <c r="LN364" s="4"/>
      <c r="LO364" s="4"/>
      <c r="LP364" s="4"/>
      <c r="LQ364" s="4"/>
      <c r="LR364" s="5"/>
      <c r="LS364" s="6"/>
      <c r="LT364" s="4"/>
      <c r="LU364" s="4"/>
      <c r="LV364" s="4"/>
      <c r="LW364" s="4"/>
      <c r="LX364" s="4"/>
      <c r="LY364" s="5"/>
      <c r="LZ364" s="6"/>
      <c r="MA364" s="4"/>
      <c r="MB364" s="4"/>
      <c r="MC364" s="4"/>
      <c r="MD364" s="4"/>
      <c r="ME364" s="4"/>
      <c r="MF364" s="4"/>
      <c r="MG364" s="5"/>
      <c r="MH364" s="6"/>
      <c r="MI364" s="4"/>
      <c r="MJ364" s="4"/>
      <c r="MK364" s="4"/>
      <c r="ML364" s="4"/>
      <c r="MM364" s="4"/>
      <c r="MN364" s="5"/>
      <c r="MO364" s="6"/>
      <c r="MP364" s="4"/>
      <c r="MQ364" s="4"/>
      <c r="MR364" s="4"/>
      <c r="MS364" s="4"/>
      <c r="MT364" s="4"/>
      <c r="MU364" s="5"/>
      <c r="MV364" s="6"/>
      <c r="MW364" s="4"/>
      <c r="MX364" s="4"/>
      <c r="MY364" s="4"/>
      <c r="MZ364" s="4"/>
      <c r="NA364" s="4"/>
      <c r="NB364" s="5"/>
      <c r="NC364" s="6"/>
      <c r="ND364" s="4"/>
      <c r="NE364" s="4"/>
      <c r="NF364" s="4"/>
      <c r="NG364" s="4"/>
      <c r="NH364" s="4"/>
      <c r="NI364" s="5"/>
      <c r="NJ364" s="6"/>
      <c r="NK364" s="4"/>
      <c r="NL364" s="4"/>
      <c r="NM364" s="4"/>
      <c r="NN364" s="4"/>
      <c r="NO364" s="4"/>
      <c r="NP364" s="5"/>
      <c r="NQ364" s="6"/>
      <c r="NR364" s="4"/>
      <c r="NS364" s="4"/>
      <c r="NT364" s="4"/>
      <c r="NU364" s="4"/>
      <c r="NV364" s="4"/>
      <c r="NW364" s="5"/>
      <c r="NX364" s="6"/>
      <c r="NY364" s="4"/>
      <c r="NZ364" s="4"/>
      <c r="OA364" s="4"/>
      <c r="OB364" s="4"/>
      <c r="OC364" s="4"/>
      <c r="OD364" s="5"/>
      <c r="OE364" s="6"/>
      <c r="OF364" s="4"/>
      <c r="OG364" s="4"/>
      <c r="OH364" s="4"/>
      <c r="OI364" s="4"/>
      <c r="OJ364" s="4"/>
      <c r="OK364" s="5"/>
      <c r="OL364" s="6"/>
      <c r="OM364" s="4"/>
      <c r="ON364" s="4"/>
      <c r="OO364" s="4"/>
      <c r="OP364" s="4"/>
      <c r="OQ364" s="4"/>
      <c r="OR364" s="5"/>
      <c r="OS364" s="6"/>
      <c r="OT364" s="4"/>
      <c r="OU364" s="4"/>
      <c r="OV364" s="4"/>
      <c r="OW364" s="4"/>
      <c r="OX364" s="4"/>
      <c r="OY364" s="5"/>
      <c r="OZ364" s="6"/>
      <c r="PA364" s="4"/>
      <c r="PB364" s="4"/>
      <c r="PC364" s="4"/>
      <c r="PD364" s="4"/>
      <c r="PE364" s="4"/>
      <c r="PF364" s="5"/>
      <c r="PG364" s="6"/>
      <c r="PH364" s="4"/>
      <c r="PI364" s="4"/>
      <c r="PJ364" s="4"/>
      <c r="PK364" s="4"/>
      <c r="PL364" s="4"/>
      <c r="PM364" s="5"/>
      <c r="PN364" s="6"/>
      <c r="PO364" s="4"/>
      <c r="PP364" s="4"/>
      <c r="PQ364" s="4"/>
      <c r="PR364" s="4"/>
      <c r="PS364" s="4"/>
      <c r="PT364" s="5"/>
      <c r="PU364" s="6"/>
      <c r="PV364" s="4"/>
      <c r="PW364" s="4"/>
      <c r="PX364" s="4"/>
      <c r="PY364" s="4"/>
      <c r="PZ364" s="4"/>
      <c r="QA364" s="5"/>
      <c r="QB364" s="6"/>
      <c r="QC364" s="4"/>
      <c r="QD364" s="4"/>
      <c r="QE364" s="4"/>
      <c r="QF364" s="4"/>
      <c r="QG364" s="4"/>
      <c r="QH364" s="5"/>
      <c r="QI364" s="6"/>
      <c r="QJ364" s="4"/>
      <c r="QK364" s="4"/>
      <c r="QL364" s="4"/>
      <c r="QM364" s="4"/>
      <c r="QN364" s="4"/>
      <c r="QO364" s="5"/>
      <c r="QP364" s="6"/>
      <c r="QQ364" s="4"/>
      <c r="QR364" s="4"/>
      <c r="QS364" s="4"/>
      <c r="QT364" s="4"/>
      <c r="QU364" s="4"/>
      <c r="QV364" s="5"/>
      <c r="QW364" s="6"/>
      <c r="QX364" s="4"/>
      <c r="QY364" s="4"/>
      <c r="QZ364" s="4"/>
      <c r="RA364" s="4"/>
      <c r="RB364" s="4"/>
      <c r="RC364" s="5"/>
      <c r="RD364" s="6"/>
      <c r="RE364" s="4"/>
      <c r="RF364" s="4"/>
      <c r="RG364" s="4"/>
      <c r="RH364" s="4"/>
      <c r="RI364" s="4"/>
      <c r="RJ364" s="5"/>
      <c r="RK364" s="6"/>
      <c r="RL364" s="4"/>
      <c r="RM364" s="4"/>
      <c r="RN364" s="4"/>
      <c r="RO364" s="4"/>
      <c r="RP364" s="4"/>
      <c r="RQ364" s="5"/>
      <c r="RR364" s="6"/>
      <c r="RS364" s="4"/>
      <c r="RT364" s="4"/>
      <c r="RU364" s="4"/>
      <c r="RV364" s="4"/>
      <c r="RW364" s="4"/>
      <c r="RX364" s="5"/>
      <c r="RY364" s="6"/>
      <c r="RZ364" s="4"/>
      <c r="SA364" s="4"/>
      <c r="SB364" s="4"/>
      <c r="SC364" s="4"/>
      <c r="SD364" s="4"/>
      <c r="SE364" s="5"/>
      <c r="SF364" s="6"/>
      <c r="SG364" s="4"/>
      <c r="SH364" s="4"/>
      <c r="SI364" s="4"/>
      <c r="SJ364" s="4"/>
      <c r="SK364" s="4"/>
      <c r="SL364" s="5"/>
      <c r="SM364" s="6"/>
      <c r="SN364" s="4"/>
      <c r="SO364" s="4"/>
      <c r="SP364" s="4"/>
      <c r="SQ364" s="4"/>
      <c r="SR364" s="4"/>
      <c r="SS364" s="5"/>
      <c r="ST364" s="6"/>
      <c r="SU364" s="4"/>
      <c r="SV364" s="4"/>
      <c r="SW364" s="4"/>
      <c r="SX364" s="4"/>
      <c r="SY364" s="4"/>
      <c r="SZ364" s="5"/>
      <c r="TA364" s="6"/>
      <c r="TB364" s="4"/>
      <c r="TC364" s="4"/>
      <c r="TD364" s="4"/>
      <c r="TE364" s="4"/>
      <c r="TF364" s="4"/>
      <c r="TG364" s="5"/>
      <c r="TH364" s="6"/>
      <c r="TI364" s="4"/>
      <c r="TJ364" s="4"/>
      <c r="TK364" s="4"/>
      <c r="TL364" s="4"/>
      <c r="TM364" s="4"/>
      <c r="TN364" s="5"/>
      <c r="TO364" s="6"/>
      <c r="TP364" s="4"/>
      <c r="TQ364" s="4"/>
      <c r="TR364" s="4"/>
      <c r="TS364" s="4"/>
      <c r="TT364" s="4"/>
      <c r="TU364" s="5"/>
      <c r="TV364" s="6"/>
      <c r="TW364" s="4"/>
      <c r="TX364" s="4"/>
      <c r="TY364" s="4"/>
      <c r="TZ364" s="4"/>
      <c r="UA364" s="4"/>
      <c r="UB364" s="5"/>
      <c r="UC364" s="6"/>
      <c r="UD364" s="4"/>
      <c r="UE364" s="4"/>
      <c r="UF364" s="4"/>
      <c r="UG364" s="4"/>
      <c r="UH364" s="4"/>
      <c r="UI364" s="5"/>
      <c r="UJ364" s="6"/>
      <c r="UK364" s="4"/>
      <c r="UL364" s="4"/>
      <c r="UM364" s="4"/>
      <c r="UN364" s="4"/>
      <c r="UO364" s="4"/>
      <c r="UP364" s="5"/>
      <c r="UQ364" s="6"/>
      <c r="UR364" s="4"/>
      <c r="US364" s="4"/>
      <c r="UT364" s="4"/>
      <c r="UU364" s="4"/>
      <c r="UV364" s="4"/>
      <c r="UW364" s="5"/>
      <c r="UX364" s="6"/>
      <c r="UY364" s="4"/>
      <c r="UZ364" s="4"/>
      <c r="VA364" s="4"/>
      <c r="VB364" s="4"/>
      <c r="VC364" s="4"/>
      <c r="VD364" s="5"/>
      <c r="VE364" s="6"/>
      <c r="VF364" s="4"/>
      <c r="VG364" s="4"/>
      <c r="VH364" s="4"/>
      <c r="VI364" s="4"/>
      <c r="VJ364" s="4"/>
      <c r="VK364" s="5"/>
      <c r="VL364" s="6"/>
      <c r="VM364" s="4"/>
      <c r="VN364" s="4"/>
      <c r="VO364" s="4"/>
      <c r="VP364" s="4"/>
      <c r="VQ364" s="4"/>
      <c r="VR364" s="5"/>
      <c r="VS364" s="6"/>
      <c r="VT364" s="4"/>
      <c r="VU364" s="4"/>
      <c r="VV364" s="4"/>
      <c r="VW364" s="4"/>
      <c r="VX364" s="4"/>
      <c r="VY364" s="5"/>
      <c r="VZ364" s="6"/>
      <c r="WA364" s="4"/>
      <c r="WB364" s="4"/>
      <c r="WC364" s="4"/>
      <c r="WD364" s="4"/>
      <c r="WE364" s="4"/>
      <c r="WF364" s="5"/>
      <c r="WG364" s="6"/>
      <c r="WH364" s="4"/>
      <c r="WI364" s="4"/>
      <c r="WJ364" s="4"/>
      <c r="WK364" s="4"/>
      <c r="WL364" s="4"/>
      <c r="WM364" s="5"/>
      <c r="WN364" s="6"/>
      <c r="WO364" s="4"/>
      <c r="WP364" s="4"/>
      <c r="WQ364" s="4"/>
      <c r="WR364" s="4"/>
      <c r="WS364" s="4"/>
      <c r="WT364" s="5"/>
      <c r="WU364" s="6"/>
      <c r="WV364" s="4"/>
      <c r="WW364" s="4"/>
      <c r="WX364" s="4"/>
      <c r="WY364" s="4"/>
      <c r="WZ364" s="4"/>
      <c r="XA364" s="5"/>
      <c r="XB364" s="6"/>
      <c r="XC364" s="4"/>
      <c r="XD364" s="4"/>
      <c r="XE364" s="4"/>
      <c r="XF364" s="4"/>
      <c r="XG364" s="4"/>
      <c r="XH364" s="5"/>
      <c r="XI364" s="6"/>
      <c r="XJ364" s="4"/>
      <c r="XK364" s="4"/>
      <c r="XL364" s="4"/>
      <c r="XM364" s="4"/>
      <c r="XN364" s="4"/>
      <c r="XO364" s="5"/>
      <c r="XP364" s="6"/>
      <c r="XQ364" s="4"/>
      <c r="XR364" s="4"/>
      <c r="XS364" s="4"/>
      <c r="XT364" s="4"/>
      <c r="XU364" s="4"/>
      <c r="XV364" s="5"/>
      <c r="XW364" s="6"/>
      <c r="XX364" s="4"/>
      <c r="XY364" s="4"/>
      <c r="XZ364" s="4"/>
      <c r="YA364" s="4"/>
      <c r="YB364" s="4"/>
      <c r="YC364" s="5"/>
      <c r="YD364" s="6"/>
      <c r="YE364" s="4"/>
      <c r="YF364" s="4"/>
      <c r="YG364" s="4"/>
      <c r="YH364" s="4"/>
      <c r="YI364" s="4"/>
      <c r="YJ364" s="5"/>
      <c r="YK364" s="6"/>
      <c r="YL364" s="4"/>
      <c r="YM364" s="4"/>
      <c r="YN364" s="4"/>
      <c r="YO364" s="4"/>
      <c r="YP364" s="4"/>
      <c r="YQ364" s="5"/>
      <c r="YR364" s="6"/>
      <c r="YS364" s="4"/>
      <c r="YT364" s="4"/>
      <c r="YU364" s="4"/>
      <c r="YV364" s="4"/>
      <c r="YW364" s="4"/>
      <c r="YX364" s="5"/>
      <c r="YY364" s="6"/>
      <c r="YZ364" s="4"/>
      <c r="ZA364" s="4"/>
      <c r="ZB364" s="4"/>
      <c r="ZC364" s="4"/>
      <c r="ZD364" s="4"/>
      <c r="ZE364" s="5"/>
      <c r="ZF364" s="6"/>
      <c r="ZG364" s="4"/>
      <c r="ZH364" s="4"/>
      <c r="ZI364" s="4"/>
      <c r="ZJ364" s="4"/>
      <c r="ZK364" s="4"/>
      <c r="ZL364" s="5"/>
      <c r="ZM364" s="6"/>
      <c r="ZN364" s="4"/>
      <c r="ZO364" s="4"/>
      <c r="ZP364" s="4"/>
      <c r="ZQ364" s="4"/>
      <c r="ZR364" s="4"/>
      <c r="ZS364" s="5"/>
      <c r="ZT364" s="6"/>
      <c r="ZU364" s="4"/>
      <c r="ZV364" s="4"/>
      <c r="ZW364" s="4"/>
      <c r="ZX364" s="4"/>
      <c r="ZY364" s="4"/>
      <c r="ZZ364" s="5"/>
      <c r="AAA364" s="6"/>
      <c r="AAB364" s="4"/>
      <c r="AAC364" s="4"/>
      <c r="AAD364" s="4"/>
      <c r="AAE364" s="4"/>
      <c r="AAF364" s="4"/>
      <c r="AAG364" s="5"/>
      <c r="AAH364" s="6"/>
      <c r="AAI364" s="4"/>
      <c r="AAJ364" s="4"/>
      <c r="AAK364" s="4"/>
      <c r="AAL364" s="4"/>
      <c r="AAM364" s="4"/>
      <c r="AAN364" s="5"/>
      <c r="AAO364" s="6"/>
      <c r="AAP364" s="4"/>
      <c r="AAQ364" s="4"/>
      <c r="AAR364" s="4"/>
      <c r="AAS364" s="4"/>
      <c r="AAT364" s="4"/>
      <c r="AAU364" s="5"/>
      <c r="AAV364" s="6"/>
      <c r="AAW364" s="4"/>
      <c r="AAX364" s="4"/>
      <c r="AAY364" s="4"/>
      <c r="AAZ364" s="4"/>
      <c r="ABA364" s="4"/>
      <c r="ABB364" s="5"/>
      <c r="ABC364" s="6"/>
      <c r="ABD364" s="4"/>
      <c r="ABE364" s="4"/>
      <c r="ABF364" s="4"/>
      <c r="ABG364" s="4"/>
      <c r="ABH364" s="4"/>
      <c r="ABI364" s="5"/>
      <c r="ABJ364" s="6"/>
      <c r="ABK364" s="4"/>
      <c r="ABL364" s="4"/>
      <c r="ABM364" s="4"/>
      <c r="ABN364" s="4"/>
      <c r="ABO364" s="4"/>
      <c r="ABP364" s="5"/>
      <c r="ABQ364" s="6"/>
      <c r="ABW364" s="5"/>
      <c r="ABX364" s="6"/>
      <c r="ABY364" s="4"/>
      <c r="ABZ364" s="4"/>
      <c r="ACA364" s="4"/>
      <c r="ACB364" s="4"/>
      <c r="ACC364" s="4"/>
      <c r="ACD364" s="5"/>
      <c r="ACE364" s="6"/>
      <c r="ACF364" s="4"/>
      <c r="ACG364" s="4"/>
      <c r="ACH364" s="4"/>
      <c r="ACI364" s="4"/>
      <c r="ACJ364" s="4"/>
      <c r="ACK364" s="5"/>
      <c r="ACL364" s="6"/>
      <c r="ACM364" s="4"/>
      <c r="ACN364" s="4"/>
      <c r="ACO364" s="4"/>
      <c r="ACP364" s="4"/>
      <c r="ACQ364" s="4"/>
      <c r="ACR364" s="5"/>
      <c r="ACS364" s="6"/>
      <c r="ACT364" s="4"/>
      <c r="ACU364" s="4"/>
      <c r="ACV364" s="4"/>
      <c r="ACW364" s="4"/>
      <c r="ACX364" s="4"/>
      <c r="ACY364" s="5"/>
    </row>
    <row r="365" spans="2:806" x14ac:dyDescent="0.25">
      <c r="B365" s="49">
        <v>8016966</v>
      </c>
      <c r="C365" s="57">
        <v>44</v>
      </c>
      <c r="D365" t="s">
        <v>2121</v>
      </c>
      <c r="E365" s="35" t="s">
        <v>4166</v>
      </c>
      <c r="F365" s="23">
        <v>1</v>
      </c>
      <c r="G365" s="31">
        <v>38381</v>
      </c>
      <c r="J365" s="12"/>
      <c r="K365" s="12"/>
      <c r="L365" s="12"/>
      <c r="M365">
        <v>1</v>
      </c>
      <c r="N365" s="17">
        <v>38370</v>
      </c>
      <c r="O365" t="s">
        <v>471</v>
      </c>
      <c r="P365" t="s">
        <v>621</v>
      </c>
      <c r="LL365" s="6"/>
      <c r="LM365" s="4"/>
      <c r="LN365" s="4"/>
      <c r="LO365" s="4"/>
      <c r="LP365" s="4"/>
      <c r="LQ365" s="4"/>
      <c r="LR365" s="5"/>
      <c r="LS365" s="6"/>
      <c r="LT365" s="4"/>
      <c r="LU365" s="4"/>
      <c r="LV365" s="4"/>
      <c r="LW365" s="4"/>
      <c r="LX365" s="4"/>
      <c r="LY365" s="5"/>
      <c r="LZ365" s="6" t="s">
        <v>2983</v>
      </c>
      <c r="MA365" s="4" t="s">
        <v>2983</v>
      </c>
      <c r="MB365" s="4" t="s">
        <v>2470</v>
      </c>
      <c r="MC365" s="7" t="s">
        <v>4055</v>
      </c>
      <c r="MD365" s="8">
        <v>37991</v>
      </c>
      <c r="ME365" s="8">
        <v>38361</v>
      </c>
      <c r="MF365" s="9" t="s">
        <v>611</v>
      </c>
      <c r="MG365" s="5" t="s">
        <v>4056</v>
      </c>
      <c r="MH365" s="6"/>
      <c r="MI365" s="4"/>
      <c r="MJ365" s="4"/>
      <c r="MK365" s="4"/>
      <c r="ML365" s="4"/>
      <c r="MM365" s="4"/>
      <c r="MN365" s="5"/>
      <c r="MO365" s="6"/>
      <c r="MP365" s="4"/>
      <c r="MQ365" s="4"/>
      <c r="MR365" s="4"/>
      <c r="MS365" s="4"/>
      <c r="MT365" s="4"/>
      <c r="MU365" s="5"/>
      <c r="MV365" s="6"/>
      <c r="MW365" s="4"/>
      <c r="MX365" s="4"/>
      <c r="MY365" s="4"/>
      <c r="MZ365" s="4"/>
      <c r="NA365" s="4"/>
      <c r="NB365" s="5"/>
      <c r="NC365" s="15" t="s">
        <v>591</v>
      </c>
      <c r="ND365" s="4" t="s">
        <v>591</v>
      </c>
      <c r="NE365" s="4"/>
      <c r="NF365" s="4"/>
      <c r="NG365" s="8">
        <v>38363</v>
      </c>
      <c r="NH365" s="8">
        <v>38370</v>
      </c>
      <c r="NI365" s="5" t="s">
        <v>472</v>
      </c>
      <c r="NJ365" s="6"/>
      <c r="NK365" s="4"/>
      <c r="NL365" s="4"/>
      <c r="NM365" s="4"/>
      <c r="NN365" s="4"/>
      <c r="NO365" s="4"/>
      <c r="NP365" s="5"/>
      <c r="NQ365" s="6"/>
      <c r="NR365" s="4"/>
      <c r="NS365" s="4"/>
      <c r="NT365" s="4"/>
      <c r="NU365" s="4"/>
      <c r="NV365" s="4"/>
      <c r="NW365" s="5"/>
      <c r="NX365" s="6"/>
      <c r="NY365" s="4"/>
      <c r="NZ365" s="4"/>
      <c r="OA365" s="4"/>
      <c r="OB365" s="4"/>
      <c r="OC365" s="4"/>
      <c r="OD365" s="5"/>
      <c r="OE365" s="6"/>
      <c r="OF365" s="4"/>
      <c r="OG365" s="4"/>
      <c r="OH365" s="4"/>
      <c r="OI365" s="4"/>
      <c r="OJ365" s="4"/>
      <c r="OK365" s="5"/>
      <c r="OL365" s="6"/>
      <c r="OM365" s="4"/>
      <c r="ON365" s="4"/>
      <c r="OO365" s="4"/>
      <c r="OP365" s="4"/>
      <c r="OQ365" s="4"/>
      <c r="OR365" s="5"/>
      <c r="OS365" s="6"/>
      <c r="OT365" s="4"/>
      <c r="OU365" s="4"/>
      <c r="OV365" s="4"/>
      <c r="OW365" s="4"/>
      <c r="OX365" s="4"/>
      <c r="OY365" s="5"/>
      <c r="OZ365" s="6"/>
      <c r="PA365" s="4"/>
      <c r="PB365" s="4"/>
      <c r="PC365" s="4"/>
      <c r="PD365" s="4"/>
      <c r="PE365" s="4"/>
      <c r="PF365" s="5"/>
      <c r="PG365" s="6"/>
      <c r="PH365" s="4"/>
      <c r="PI365" s="4"/>
      <c r="PJ365" s="4"/>
      <c r="PK365" s="4"/>
      <c r="PL365" s="4"/>
      <c r="PM365" s="5"/>
      <c r="PN365" s="6"/>
      <c r="PO365" s="4"/>
      <c r="PP365" s="4"/>
      <c r="PQ365" s="4"/>
      <c r="PR365" s="4"/>
      <c r="PS365" s="4"/>
      <c r="PT365" s="5"/>
      <c r="PU365" s="6" t="s">
        <v>1999</v>
      </c>
      <c r="PV365" s="4" t="s">
        <v>2622</v>
      </c>
      <c r="PW365" s="4"/>
      <c r="PX365" s="4"/>
      <c r="PY365" s="8">
        <v>38370</v>
      </c>
      <c r="PZ365" s="4"/>
      <c r="QA365" s="5" t="s">
        <v>473</v>
      </c>
      <c r="QB365" s="6"/>
      <c r="QC365" s="4"/>
      <c r="QD365" s="4"/>
      <c r="QE365" s="4"/>
      <c r="QF365" s="4"/>
      <c r="QG365" s="4"/>
      <c r="QH365" s="5"/>
      <c r="QI365" s="6"/>
      <c r="QJ365" s="4"/>
      <c r="QK365" s="4"/>
      <c r="QL365" s="4"/>
      <c r="QM365" s="4"/>
      <c r="QN365" s="4"/>
      <c r="QO365" s="5"/>
      <c r="QP365" s="6"/>
      <c r="QQ365" s="4"/>
      <c r="QR365" s="4"/>
      <c r="QS365" s="4"/>
      <c r="QT365" s="4"/>
      <c r="QU365" s="4"/>
      <c r="QV365" s="5"/>
      <c r="QW365" s="6"/>
      <c r="QX365" s="4"/>
      <c r="QY365" s="4"/>
      <c r="QZ365" s="4"/>
      <c r="RA365" s="4"/>
      <c r="RB365" s="4"/>
      <c r="RC365" s="5"/>
      <c r="RD365" s="6"/>
      <c r="RE365" s="4"/>
      <c r="RF365" s="4"/>
      <c r="RG365" s="4"/>
      <c r="RH365" s="4"/>
      <c r="RI365" s="4"/>
      <c r="RJ365" s="5"/>
      <c r="RK365" s="6"/>
      <c r="RL365" s="4"/>
      <c r="RM365" s="4"/>
      <c r="RN365" s="4"/>
      <c r="RO365" s="4"/>
      <c r="RP365" s="4"/>
      <c r="RQ365" s="5"/>
      <c r="RR365" s="6"/>
      <c r="RS365" s="4"/>
      <c r="RT365" s="4"/>
      <c r="RU365" s="4"/>
      <c r="RV365" s="4"/>
      <c r="RW365" s="4"/>
      <c r="RX365" s="5"/>
      <c r="RY365" s="6"/>
      <c r="RZ365" s="4"/>
      <c r="SA365" s="4"/>
      <c r="SB365" s="4"/>
      <c r="SC365" s="4"/>
      <c r="SD365" s="4"/>
      <c r="SE365" s="5"/>
      <c r="SF365" s="6"/>
      <c r="SG365" s="4"/>
      <c r="SH365" s="4"/>
      <c r="SI365" s="4"/>
      <c r="SJ365" s="4"/>
      <c r="SK365" s="4"/>
      <c r="SL365" s="5"/>
      <c r="SM365" s="6"/>
      <c r="SN365" s="4"/>
      <c r="SO365" s="4"/>
      <c r="SP365" s="4"/>
      <c r="SQ365" s="4"/>
      <c r="SR365" s="4"/>
      <c r="SS365" s="5"/>
      <c r="ST365" s="6"/>
      <c r="SU365" s="4"/>
      <c r="SV365" s="4"/>
      <c r="SW365" s="4"/>
      <c r="SX365" s="4"/>
      <c r="SY365" s="4"/>
      <c r="SZ365" s="5"/>
      <c r="TA365" s="6"/>
      <c r="TB365" s="4"/>
      <c r="TC365" s="4"/>
      <c r="TD365" s="4"/>
      <c r="TE365" s="4"/>
      <c r="TF365" s="4"/>
      <c r="TG365" s="5"/>
      <c r="TH365" s="6"/>
      <c r="TI365" s="4"/>
      <c r="TJ365" s="4"/>
      <c r="TK365" s="4"/>
      <c r="TL365" s="4"/>
      <c r="TM365" s="4"/>
      <c r="TN365" s="5"/>
      <c r="TO365" s="6"/>
      <c r="TP365" s="4"/>
      <c r="TQ365" s="4"/>
      <c r="TR365" s="4"/>
      <c r="TS365" s="4"/>
      <c r="TT365" s="4"/>
      <c r="TU365" s="5"/>
      <c r="TV365" s="6"/>
      <c r="TW365" s="4"/>
      <c r="TX365" s="4"/>
      <c r="TY365" s="4"/>
      <c r="TZ365" s="4"/>
      <c r="UA365" s="4"/>
      <c r="UB365" s="5"/>
      <c r="UC365" s="6"/>
      <c r="UD365" s="4"/>
      <c r="UE365" s="4"/>
      <c r="UF365" s="4"/>
      <c r="UG365" s="4"/>
      <c r="UH365" s="4"/>
      <c r="UI365" s="5"/>
      <c r="UJ365" s="6"/>
      <c r="UK365" s="4"/>
      <c r="UL365" s="4"/>
      <c r="UM365" s="4"/>
      <c r="UN365" s="4"/>
      <c r="UO365" s="4"/>
      <c r="UP365" s="5"/>
      <c r="UQ365" s="6"/>
      <c r="UR365" s="4"/>
      <c r="US365" s="4"/>
      <c r="UT365" s="4"/>
      <c r="UU365" s="4"/>
      <c r="UV365" s="4"/>
      <c r="UW365" s="5"/>
      <c r="UX365" s="6" t="s">
        <v>590</v>
      </c>
      <c r="UY365" s="4" t="s">
        <v>2899</v>
      </c>
      <c r="UZ365" s="4" t="s">
        <v>2682</v>
      </c>
      <c r="VA365" s="7" t="s">
        <v>592</v>
      </c>
      <c r="VB365" s="8">
        <v>38325</v>
      </c>
      <c r="VC365" s="8">
        <v>38361</v>
      </c>
      <c r="VD365" s="5" t="s">
        <v>151</v>
      </c>
      <c r="VE365" s="6"/>
      <c r="VF365" s="4"/>
      <c r="VG365" s="4"/>
      <c r="VH365" s="4"/>
      <c r="VI365" s="4"/>
      <c r="VJ365" s="4"/>
      <c r="VK365" s="5"/>
      <c r="VL365" s="6"/>
      <c r="VM365" s="4"/>
      <c r="VN365" s="4"/>
      <c r="VO365" s="4"/>
      <c r="VP365" s="4"/>
      <c r="VQ365" s="4"/>
      <c r="VR365" s="5"/>
      <c r="VS365" s="6"/>
      <c r="VT365" s="4"/>
      <c r="VU365" s="4"/>
      <c r="VV365" s="4"/>
      <c r="VW365" s="4"/>
      <c r="VX365" s="4"/>
      <c r="VY365" s="5"/>
      <c r="VZ365" s="6"/>
      <c r="WA365" s="4"/>
      <c r="WB365" s="4"/>
      <c r="WC365" s="4"/>
      <c r="WD365" s="4"/>
      <c r="WE365" s="4"/>
      <c r="WF365" s="5"/>
      <c r="WG365" s="6"/>
      <c r="WH365" s="4"/>
      <c r="WI365" s="4"/>
      <c r="WJ365" s="4"/>
      <c r="WK365" s="4"/>
      <c r="WL365" s="4"/>
      <c r="WM365" s="5"/>
      <c r="WN365" s="6"/>
      <c r="WO365" s="4"/>
      <c r="WP365" s="4"/>
      <c r="WQ365" s="4"/>
      <c r="WR365" s="4"/>
      <c r="WS365" s="4"/>
      <c r="WT365" s="5"/>
      <c r="WU365" s="6"/>
      <c r="WV365" s="4"/>
      <c r="WW365" s="4"/>
      <c r="WX365" s="4"/>
      <c r="WY365" s="4"/>
      <c r="WZ365" s="4"/>
      <c r="XA365" s="5"/>
      <c r="XB365" s="6"/>
      <c r="XC365" s="4"/>
      <c r="XD365" s="4"/>
      <c r="XE365" s="4"/>
      <c r="XF365" s="4"/>
      <c r="XG365" s="4"/>
      <c r="XH365" s="5"/>
      <c r="XI365" s="6"/>
      <c r="XJ365" s="4"/>
      <c r="XK365" s="4"/>
      <c r="XL365" s="4"/>
      <c r="XM365" s="4"/>
      <c r="XN365" s="4"/>
      <c r="XO365" s="5"/>
      <c r="XP365" s="6"/>
      <c r="XQ365" s="4"/>
      <c r="XR365" s="4"/>
      <c r="XS365" s="4"/>
      <c r="XT365" s="4"/>
      <c r="XU365" s="4"/>
      <c r="XV365" s="5"/>
      <c r="XW365" s="6"/>
      <c r="XX365" s="4"/>
      <c r="XY365" s="4"/>
      <c r="XZ365" s="4"/>
      <c r="YA365" s="4"/>
      <c r="YB365" s="4"/>
      <c r="YC365" s="5"/>
      <c r="YD365" s="6"/>
      <c r="YE365" s="4"/>
      <c r="YF365" s="4"/>
      <c r="YG365" s="4"/>
      <c r="YH365" s="4"/>
      <c r="YI365" s="4"/>
      <c r="YJ365" s="5"/>
      <c r="YK365" s="6" t="s">
        <v>593</v>
      </c>
      <c r="YL365" s="7" t="s">
        <v>2361</v>
      </c>
      <c r="YM365" s="4" t="s">
        <v>1923</v>
      </c>
      <c r="YN365" s="4"/>
      <c r="YO365" s="8">
        <v>38342</v>
      </c>
      <c r="YP365" s="8">
        <v>38371</v>
      </c>
      <c r="YQ365" s="5" t="s">
        <v>4059</v>
      </c>
      <c r="YR365" s="6"/>
      <c r="YS365" s="4"/>
      <c r="YT365" s="4"/>
      <c r="YU365" s="4"/>
      <c r="YV365" s="4"/>
      <c r="YW365" s="4"/>
      <c r="YX365" s="5"/>
      <c r="YY365" s="6"/>
      <c r="YZ365" s="4"/>
      <c r="ZA365" s="4"/>
      <c r="ZB365" s="4"/>
      <c r="ZC365" s="4"/>
      <c r="ZD365" s="4"/>
      <c r="ZE365" s="5"/>
      <c r="ZF365" s="6"/>
      <c r="ZG365" s="4"/>
      <c r="ZH365" s="4"/>
      <c r="ZI365" s="4"/>
      <c r="ZJ365" s="4"/>
      <c r="ZK365" s="4"/>
      <c r="ZL365" s="5"/>
      <c r="ZM365" s="6"/>
      <c r="ZN365" s="4"/>
      <c r="ZO365" s="4"/>
      <c r="ZP365" s="4"/>
      <c r="ZQ365" s="4"/>
      <c r="ZR365" s="4"/>
      <c r="ZS365" s="5"/>
      <c r="ZT365" s="6"/>
      <c r="ZU365" s="4"/>
      <c r="ZV365" s="4"/>
      <c r="ZW365" s="4"/>
      <c r="ZX365" s="4"/>
      <c r="ZY365" s="4"/>
      <c r="ZZ365" s="5"/>
      <c r="AAA365" s="6"/>
      <c r="AAB365" s="4"/>
      <c r="AAC365" s="4"/>
      <c r="AAD365" s="4"/>
      <c r="AAE365" s="4"/>
      <c r="AAF365" s="4"/>
      <c r="AAG365" s="5"/>
      <c r="AAH365" s="6"/>
      <c r="AAI365" s="4"/>
      <c r="AAJ365" s="4"/>
      <c r="AAK365" s="4"/>
      <c r="AAL365" s="4"/>
      <c r="AAM365" s="4"/>
      <c r="AAN365" s="5"/>
      <c r="AAO365" s="6"/>
      <c r="AAP365" s="4"/>
      <c r="AAQ365" s="4"/>
      <c r="AAR365" s="4"/>
      <c r="AAS365" s="4"/>
      <c r="AAT365" s="4"/>
      <c r="AAU365" s="5"/>
      <c r="AAV365" s="6"/>
      <c r="AAW365" s="4"/>
      <c r="AAX365" s="4"/>
      <c r="AAY365" s="4"/>
      <c r="AAZ365" s="4"/>
      <c r="ABA365" s="4"/>
      <c r="ABB365" s="5"/>
      <c r="ABC365" s="6"/>
      <c r="ABD365" s="4"/>
      <c r="ABE365" s="4"/>
      <c r="ABF365" s="4"/>
      <c r="ABG365" s="4"/>
      <c r="ABH365" s="4"/>
      <c r="ABI365" s="5"/>
      <c r="ABJ365" s="6" t="s">
        <v>504</v>
      </c>
      <c r="ABK365" s="4" t="s">
        <v>505</v>
      </c>
      <c r="ABL365" s="4" t="s">
        <v>954</v>
      </c>
      <c r="ABM365" s="7" t="s">
        <v>4060</v>
      </c>
      <c r="ABN365" s="8">
        <v>38361</v>
      </c>
      <c r="ABO365" s="8">
        <v>38371</v>
      </c>
      <c r="ABP365" s="5" t="s">
        <v>4061</v>
      </c>
      <c r="ABQ365" s="6"/>
      <c r="ABS365" s="4"/>
      <c r="ABT365" s="4"/>
      <c r="ABU365" s="4"/>
      <c r="ABV365" s="4"/>
      <c r="ABW365" s="5"/>
      <c r="ABX365" s="6"/>
      <c r="ABY365" s="4"/>
      <c r="ABZ365" s="4"/>
      <c r="ACA365" s="4"/>
      <c r="ACB365" s="4"/>
      <c r="ACC365" s="4"/>
      <c r="ACD365" s="5"/>
      <c r="ACE365" s="6"/>
      <c r="ACF365" s="4"/>
      <c r="ACG365" s="4"/>
      <c r="ACH365" s="4"/>
      <c r="ACI365" s="4"/>
      <c r="ACJ365" s="4"/>
      <c r="ACK365" s="5"/>
      <c r="ACL365" s="6"/>
      <c r="ACM365" s="4"/>
      <c r="ACN365" s="4"/>
      <c r="ACO365" s="4"/>
      <c r="ACP365" s="4"/>
      <c r="ACQ365" s="4"/>
      <c r="ACR365" s="5"/>
      <c r="ACS365" s="6"/>
      <c r="ACT365" s="4"/>
      <c r="ACU365" s="4"/>
      <c r="ACV365" s="4"/>
      <c r="ACW365" s="4"/>
      <c r="ACX365" s="4"/>
      <c r="ACY365" s="5"/>
      <c r="ADH365" t="s">
        <v>152</v>
      </c>
      <c r="ADJ365" t="s">
        <v>472</v>
      </c>
    </row>
    <row r="366" spans="2:806" x14ac:dyDescent="0.25">
      <c r="B366" s="30"/>
      <c r="J366" s="12"/>
      <c r="K366" s="12"/>
      <c r="L366" s="12"/>
      <c r="LL366" s="6"/>
      <c r="LM366" s="4"/>
      <c r="LN366" s="4"/>
      <c r="LO366" s="4"/>
      <c r="LP366" s="4"/>
      <c r="LQ366" s="4"/>
      <c r="LR366" s="5"/>
      <c r="LS366" s="6"/>
      <c r="LT366" s="4"/>
      <c r="LU366" s="4"/>
      <c r="LV366" s="4"/>
      <c r="LW366" s="4"/>
      <c r="LX366" s="4"/>
      <c r="LY366" s="5"/>
      <c r="LZ366" s="6"/>
      <c r="MA366" s="4"/>
      <c r="MB366" s="4"/>
      <c r="MC366" s="4"/>
      <c r="MD366" s="8"/>
      <c r="ME366" s="4"/>
      <c r="MF366" s="4"/>
      <c r="MG366" s="5"/>
      <c r="MH366" s="6"/>
      <c r="MI366" s="4"/>
      <c r="MJ366" s="4"/>
      <c r="MK366" s="4"/>
      <c r="ML366" s="4"/>
      <c r="MM366" s="4"/>
      <c r="MN366" s="5"/>
      <c r="MO366" s="6"/>
      <c r="MP366" s="4"/>
      <c r="MQ366" s="4"/>
      <c r="MR366" s="4"/>
      <c r="MS366" s="4"/>
      <c r="MT366" s="4"/>
      <c r="MU366" s="5"/>
      <c r="MV366" s="6"/>
      <c r="MW366" s="4"/>
      <c r="MX366" s="4"/>
      <c r="MY366" s="4"/>
      <c r="MZ366" s="4"/>
      <c r="NA366" s="4"/>
      <c r="NB366" s="5"/>
      <c r="NC366" s="15"/>
      <c r="ND366" s="4"/>
      <c r="NE366" s="4"/>
      <c r="NF366" s="4"/>
      <c r="NG366" s="8"/>
      <c r="NH366" s="4"/>
      <c r="NI366" s="5"/>
      <c r="NJ366" s="6"/>
      <c r="NK366" s="4"/>
      <c r="NL366" s="4"/>
      <c r="NM366" s="4"/>
      <c r="NN366" s="4"/>
      <c r="NO366" s="4"/>
      <c r="NP366" s="5"/>
      <c r="NQ366" s="6"/>
      <c r="NR366" s="4"/>
      <c r="NS366" s="4"/>
      <c r="NT366" s="4"/>
      <c r="NU366" s="4"/>
      <c r="NV366" s="4"/>
      <c r="NW366" s="5"/>
      <c r="NX366" s="6"/>
      <c r="NY366" s="4"/>
      <c r="NZ366" s="4"/>
      <c r="OA366" s="4"/>
      <c r="OB366" s="4"/>
      <c r="OC366" s="4"/>
      <c r="OD366" s="5"/>
      <c r="OE366" s="6"/>
      <c r="OF366" s="4"/>
      <c r="OG366" s="4"/>
      <c r="OH366" s="4"/>
      <c r="OI366" s="4"/>
      <c r="OJ366" s="4"/>
      <c r="OK366" s="5"/>
      <c r="OL366" s="6"/>
      <c r="OM366" s="4"/>
      <c r="ON366" s="4"/>
      <c r="OO366" s="4"/>
      <c r="OP366" s="4"/>
      <c r="OQ366" s="4"/>
      <c r="OR366" s="5"/>
      <c r="OS366" s="6"/>
      <c r="OT366" s="4"/>
      <c r="OU366" s="4"/>
      <c r="OV366" s="4"/>
      <c r="OW366" s="4"/>
      <c r="OX366" s="4"/>
      <c r="OY366" s="5"/>
      <c r="OZ366" s="6"/>
      <c r="PA366" s="4"/>
      <c r="PB366" s="4"/>
      <c r="PC366" s="4"/>
      <c r="PD366" s="4"/>
      <c r="PE366" s="4"/>
      <c r="PF366" s="5"/>
      <c r="PG366" s="6"/>
      <c r="PH366" s="4"/>
      <c r="PI366" s="4"/>
      <c r="PJ366" s="4"/>
      <c r="PK366" s="4"/>
      <c r="PL366" s="4"/>
      <c r="PM366" s="5"/>
      <c r="PN366" s="6"/>
      <c r="PO366" s="4"/>
      <c r="PP366" s="4"/>
      <c r="PQ366" s="4"/>
      <c r="PR366" s="4"/>
      <c r="PS366" s="4"/>
      <c r="PT366" s="5"/>
      <c r="PU366" s="6"/>
      <c r="PV366" s="4"/>
      <c r="PW366" s="4"/>
      <c r="PX366" s="4"/>
      <c r="PY366" s="8"/>
      <c r="PZ366" s="4"/>
      <c r="QA366" s="5"/>
      <c r="QB366" s="6"/>
      <c r="QC366" s="4"/>
      <c r="QD366" s="4"/>
      <c r="QE366" s="4"/>
      <c r="QF366" s="4"/>
      <c r="QG366" s="4"/>
      <c r="QH366" s="5"/>
      <c r="QI366" s="6"/>
      <c r="QJ366" s="4"/>
      <c r="QK366" s="4"/>
      <c r="QL366" s="4"/>
      <c r="QM366" s="4"/>
      <c r="QN366" s="4"/>
      <c r="QO366" s="5"/>
      <c r="QP366" s="6"/>
      <c r="QQ366" s="4"/>
      <c r="QR366" s="4"/>
      <c r="QS366" s="4"/>
      <c r="QT366" s="4"/>
      <c r="QU366" s="4"/>
      <c r="QV366" s="5"/>
      <c r="QW366" s="6"/>
      <c r="QX366" s="4"/>
      <c r="QY366" s="4"/>
      <c r="QZ366" s="4"/>
      <c r="RA366" s="4"/>
      <c r="RB366" s="4"/>
      <c r="RC366" s="5"/>
      <c r="RD366" s="6"/>
      <c r="RE366" s="4"/>
      <c r="RF366" s="4"/>
      <c r="RG366" s="4"/>
      <c r="RH366" s="4"/>
      <c r="RI366" s="4"/>
      <c r="RJ366" s="5"/>
      <c r="RK366" s="6"/>
      <c r="RL366" s="4"/>
      <c r="RM366" s="4"/>
      <c r="RN366" s="4"/>
      <c r="RO366" s="4"/>
      <c r="RP366" s="4"/>
      <c r="RQ366" s="5"/>
      <c r="RR366" s="6"/>
      <c r="RS366" s="4"/>
      <c r="RT366" s="4"/>
      <c r="RU366" s="4"/>
      <c r="RV366" s="4"/>
      <c r="RW366" s="4"/>
      <c r="RX366" s="5"/>
      <c r="RY366" s="6"/>
      <c r="RZ366" s="4"/>
      <c r="SA366" s="4"/>
      <c r="SB366" s="4"/>
      <c r="SC366" s="4"/>
      <c r="SD366" s="4"/>
      <c r="SE366" s="5"/>
      <c r="SF366" s="6"/>
      <c r="SG366" s="4"/>
      <c r="SH366" s="4"/>
      <c r="SI366" s="4"/>
      <c r="SJ366" s="4"/>
      <c r="SK366" s="4"/>
      <c r="SL366" s="5"/>
      <c r="SM366" s="6"/>
      <c r="SN366" s="4"/>
      <c r="SO366" s="4"/>
      <c r="SP366" s="4"/>
      <c r="SQ366" s="4"/>
      <c r="SR366" s="4"/>
      <c r="SS366" s="5"/>
      <c r="ST366" s="6"/>
      <c r="SU366" s="4"/>
      <c r="SV366" s="4"/>
      <c r="SW366" s="4"/>
      <c r="SX366" s="4"/>
      <c r="SY366" s="4"/>
      <c r="SZ366" s="5"/>
      <c r="TA366" s="6"/>
      <c r="TB366" s="4"/>
      <c r="TC366" s="4"/>
      <c r="TD366" s="4"/>
      <c r="TE366" s="4"/>
      <c r="TF366" s="4"/>
      <c r="TG366" s="5"/>
      <c r="TH366" s="6"/>
      <c r="TI366" s="4"/>
      <c r="TJ366" s="4"/>
      <c r="TK366" s="4"/>
      <c r="TL366" s="4"/>
      <c r="TM366" s="4"/>
      <c r="TN366" s="5"/>
      <c r="TO366" s="6"/>
      <c r="TP366" s="4"/>
      <c r="TQ366" s="4"/>
      <c r="TR366" s="4"/>
      <c r="TS366" s="4"/>
      <c r="TT366" s="4"/>
      <c r="TU366" s="5"/>
      <c r="TV366" s="6"/>
      <c r="TW366" s="4"/>
      <c r="TX366" s="4"/>
      <c r="TY366" s="4"/>
      <c r="TZ366" s="4"/>
      <c r="UA366" s="4"/>
      <c r="UB366" s="5"/>
      <c r="UC366" s="6"/>
      <c r="UD366" s="4"/>
      <c r="UE366" s="4"/>
      <c r="UF366" s="4"/>
      <c r="UG366" s="4"/>
      <c r="UH366" s="4"/>
      <c r="UI366" s="5"/>
      <c r="UJ366" s="6"/>
      <c r="UK366" s="4"/>
      <c r="UL366" s="4"/>
      <c r="UM366" s="4"/>
      <c r="UN366" s="4"/>
      <c r="UO366" s="4"/>
      <c r="UP366" s="5"/>
      <c r="UQ366" s="6"/>
      <c r="UR366" s="4"/>
      <c r="US366" s="4"/>
      <c r="UT366" s="4"/>
      <c r="UU366" s="4"/>
      <c r="UV366" s="4"/>
      <c r="UW366" s="5"/>
      <c r="UX366" s="15" t="s">
        <v>594</v>
      </c>
      <c r="UY366" s="4" t="s">
        <v>627</v>
      </c>
      <c r="UZ366" s="4" t="s">
        <v>1227</v>
      </c>
      <c r="VA366" s="7"/>
      <c r="VB366" s="8">
        <v>38342</v>
      </c>
      <c r="VC366" s="8">
        <v>38371</v>
      </c>
      <c r="VD366" s="5" t="s">
        <v>4057</v>
      </c>
      <c r="VE366" s="6"/>
      <c r="VF366" s="4"/>
      <c r="VG366" s="4"/>
      <c r="VH366" s="4"/>
      <c r="VI366" s="4"/>
      <c r="VJ366" s="4"/>
      <c r="VK366" s="5"/>
      <c r="VL366" s="6"/>
      <c r="VM366" s="4"/>
      <c r="VN366" s="4"/>
      <c r="VO366" s="4"/>
      <c r="VP366" s="4"/>
      <c r="VQ366" s="4"/>
      <c r="VR366" s="5"/>
      <c r="VS366" s="6"/>
      <c r="VT366" s="4"/>
      <c r="VU366" s="4"/>
      <c r="VV366" s="4"/>
      <c r="VW366" s="4"/>
      <c r="VX366" s="4"/>
      <c r="VY366" s="5"/>
      <c r="VZ366" s="6"/>
      <c r="WA366" s="4"/>
      <c r="WB366" s="4"/>
      <c r="WC366" s="4"/>
      <c r="WD366" s="4"/>
      <c r="WE366" s="4"/>
      <c r="WF366" s="5"/>
      <c r="WG366" s="6"/>
      <c r="WH366" s="4"/>
      <c r="WI366" s="4"/>
      <c r="WJ366" s="4"/>
      <c r="WK366" s="4"/>
      <c r="WL366" s="4"/>
      <c r="WM366" s="5"/>
      <c r="WN366" s="6"/>
      <c r="WO366" s="4"/>
      <c r="WP366" s="4"/>
      <c r="WQ366" s="4"/>
      <c r="WR366" s="4"/>
      <c r="WS366" s="4"/>
      <c r="WT366" s="5"/>
      <c r="WU366" s="6"/>
      <c r="WV366" s="4"/>
      <c r="WW366" s="4"/>
      <c r="WX366" s="4"/>
      <c r="WY366" s="4"/>
      <c r="WZ366" s="4"/>
      <c r="XA366" s="5"/>
      <c r="XB366" s="6"/>
      <c r="XC366" s="4"/>
      <c r="XD366" s="4"/>
      <c r="XE366" s="4"/>
      <c r="XF366" s="4"/>
      <c r="XG366" s="4"/>
      <c r="XH366" s="5"/>
      <c r="XI366" s="6"/>
      <c r="XJ366" s="4"/>
      <c r="XK366" s="4"/>
      <c r="XL366" s="4"/>
      <c r="XM366" s="4"/>
      <c r="XN366" s="4"/>
      <c r="XO366" s="5"/>
      <c r="XP366" s="6"/>
      <c r="XQ366" s="4"/>
      <c r="XR366" s="4"/>
      <c r="XS366" s="4"/>
      <c r="XT366" s="4"/>
      <c r="XU366" s="4"/>
      <c r="XV366" s="5"/>
      <c r="XW366" s="6"/>
      <c r="XX366" s="4"/>
      <c r="XY366" s="4"/>
      <c r="XZ366" s="4"/>
      <c r="YA366" s="4"/>
      <c r="YB366" s="4"/>
      <c r="YC366" s="5"/>
      <c r="YD366" s="6"/>
      <c r="YE366" s="4"/>
      <c r="YF366" s="4"/>
      <c r="YG366" s="4"/>
      <c r="YH366" s="4"/>
      <c r="YI366" s="4"/>
      <c r="YJ366" s="5"/>
      <c r="YK366" s="6"/>
      <c r="YL366" s="4"/>
      <c r="YM366" s="4"/>
      <c r="YN366" s="4"/>
      <c r="YO366" s="4"/>
      <c r="YP366" s="4"/>
      <c r="YQ366" s="5"/>
      <c r="YR366" s="6"/>
      <c r="YS366" s="4"/>
      <c r="YT366" s="4"/>
      <c r="YU366" s="4"/>
      <c r="YV366" s="4"/>
      <c r="YW366" s="4"/>
      <c r="YX366" s="5"/>
      <c r="YY366" s="6"/>
      <c r="YZ366" s="4"/>
      <c r="ZA366" s="4"/>
      <c r="ZB366" s="4"/>
      <c r="ZC366" s="4"/>
      <c r="ZD366" s="4"/>
      <c r="ZE366" s="5"/>
      <c r="ZF366" s="6"/>
      <c r="ZG366" s="4"/>
      <c r="ZH366" s="4"/>
      <c r="ZI366" s="4"/>
      <c r="ZJ366" s="4"/>
      <c r="ZK366" s="4"/>
      <c r="ZL366" s="5"/>
      <c r="ZM366" s="6"/>
      <c r="ZN366" s="4"/>
      <c r="ZO366" s="4"/>
      <c r="ZP366" s="4"/>
      <c r="ZQ366" s="4"/>
      <c r="ZR366" s="4"/>
      <c r="ZS366" s="5"/>
      <c r="ZT366" s="6"/>
      <c r="ZU366" s="4"/>
      <c r="ZV366" s="4"/>
      <c r="ZW366" s="4"/>
      <c r="ZX366" s="4"/>
      <c r="ZY366" s="4"/>
      <c r="ZZ366" s="5"/>
      <c r="AAA366" s="6"/>
      <c r="AAB366" s="4"/>
      <c r="AAC366" s="4"/>
      <c r="AAD366" s="4"/>
      <c r="AAE366" s="4"/>
      <c r="AAF366" s="4"/>
      <c r="AAG366" s="5"/>
      <c r="AAH366" s="6"/>
      <c r="AAI366" s="4"/>
      <c r="AAJ366" s="4"/>
      <c r="AAK366" s="4"/>
      <c r="AAL366" s="4"/>
      <c r="AAM366" s="4"/>
      <c r="AAN366" s="5"/>
      <c r="AAO366" s="6"/>
      <c r="AAP366" s="4"/>
      <c r="AAQ366" s="4"/>
      <c r="AAR366" s="4"/>
      <c r="AAS366" s="4"/>
      <c r="AAT366" s="4"/>
      <c r="AAU366" s="5"/>
      <c r="AAV366" s="6"/>
      <c r="AAW366" s="4"/>
      <c r="AAX366" s="4"/>
      <c r="AAY366" s="4"/>
      <c r="AAZ366" s="4"/>
      <c r="ABA366" s="4"/>
      <c r="ABB366" s="5"/>
      <c r="ABC366" s="6"/>
      <c r="ABD366" s="4"/>
      <c r="ABE366" s="4"/>
      <c r="ABF366" s="4"/>
      <c r="ABG366" s="4"/>
      <c r="ABH366" s="4"/>
      <c r="ABI366" s="5"/>
      <c r="ABJ366" s="6"/>
      <c r="ABK366" s="4"/>
      <c r="ABL366" s="4"/>
      <c r="ABM366" s="4"/>
      <c r="ABN366" s="4"/>
      <c r="ABO366" s="4"/>
      <c r="ABP366" s="5"/>
      <c r="ABQ366" s="6"/>
      <c r="ABS366" s="4"/>
      <c r="ABT366" s="4"/>
      <c r="ABU366" s="4"/>
      <c r="ABV366" s="4"/>
      <c r="ABW366" s="5"/>
      <c r="ABX366" s="6"/>
      <c r="ABY366" s="4"/>
      <c r="ABZ366" s="4"/>
      <c r="ACA366" s="4"/>
      <c r="ACB366" s="4"/>
      <c r="ACC366" s="4"/>
      <c r="ACD366" s="5"/>
      <c r="ACE366" s="6"/>
      <c r="ACF366" s="4"/>
      <c r="ACG366" s="4"/>
      <c r="ACH366" s="4"/>
      <c r="ACI366" s="4"/>
      <c r="ACJ366" s="4"/>
      <c r="ACK366" s="5"/>
      <c r="ACL366" s="6"/>
      <c r="ACM366" s="4"/>
      <c r="ACN366" s="4"/>
      <c r="ACO366" s="4"/>
      <c r="ACP366" s="4"/>
      <c r="ACQ366" s="4"/>
      <c r="ACR366" s="5"/>
      <c r="ACS366" s="6"/>
      <c r="ACT366" s="4"/>
      <c r="ACU366" s="4"/>
      <c r="ACV366" s="4"/>
      <c r="ACW366" s="4"/>
      <c r="ACX366" s="4"/>
      <c r="ACY366" s="5"/>
    </row>
    <row r="367" spans="2:806" x14ac:dyDescent="0.25">
      <c r="B367" s="30"/>
      <c r="J367" s="12"/>
      <c r="K367" s="12"/>
      <c r="L367" s="12"/>
      <c r="LL367" s="6"/>
      <c r="LM367" s="4"/>
      <c r="LN367" s="4"/>
      <c r="LO367" s="4"/>
      <c r="LP367" s="4"/>
      <c r="LQ367" s="4"/>
      <c r="LR367" s="5"/>
      <c r="LS367" s="6"/>
      <c r="LT367" s="4"/>
      <c r="LU367" s="4"/>
      <c r="LV367" s="4"/>
      <c r="LW367" s="4"/>
      <c r="LX367" s="4"/>
      <c r="LY367" s="5"/>
      <c r="LZ367" s="6"/>
      <c r="MA367" s="4"/>
      <c r="MB367" s="4"/>
      <c r="MC367" s="4"/>
      <c r="MD367" s="8"/>
      <c r="ME367" s="4"/>
      <c r="MF367" s="4"/>
      <c r="MG367" s="5"/>
      <c r="MH367" s="6"/>
      <c r="MI367" s="4"/>
      <c r="MJ367" s="4"/>
      <c r="MK367" s="4"/>
      <c r="ML367" s="4"/>
      <c r="MM367" s="4"/>
      <c r="MN367" s="5"/>
      <c r="MO367" s="6"/>
      <c r="MP367" s="4"/>
      <c r="MQ367" s="4"/>
      <c r="MR367" s="4"/>
      <c r="MS367" s="4"/>
      <c r="MT367" s="4"/>
      <c r="MU367" s="5"/>
      <c r="MV367" s="6"/>
      <c r="MW367" s="4"/>
      <c r="MX367" s="4"/>
      <c r="MY367" s="4"/>
      <c r="MZ367" s="4"/>
      <c r="NA367" s="4"/>
      <c r="NB367" s="5"/>
      <c r="NC367" s="15"/>
      <c r="ND367" s="4"/>
      <c r="NE367" s="4"/>
      <c r="NF367" s="4"/>
      <c r="NG367" s="8"/>
      <c r="NH367" s="4"/>
      <c r="NI367" s="5"/>
      <c r="NJ367" s="6"/>
      <c r="NK367" s="4"/>
      <c r="NL367" s="4"/>
      <c r="NM367" s="4"/>
      <c r="NN367" s="4"/>
      <c r="NO367" s="4"/>
      <c r="NP367" s="5"/>
      <c r="NQ367" s="6"/>
      <c r="NR367" s="4"/>
      <c r="NS367" s="4"/>
      <c r="NT367" s="4"/>
      <c r="NU367" s="4"/>
      <c r="NV367" s="4"/>
      <c r="NW367" s="5"/>
      <c r="NX367" s="6"/>
      <c r="NY367" s="4"/>
      <c r="NZ367" s="4"/>
      <c r="OA367" s="4"/>
      <c r="OB367" s="4"/>
      <c r="OC367" s="4"/>
      <c r="OD367" s="5"/>
      <c r="OE367" s="6"/>
      <c r="OF367" s="4"/>
      <c r="OG367" s="4"/>
      <c r="OH367" s="4"/>
      <c r="OI367" s="4"/>
      <c r="OJ367" s="4"/>
      <c r="OK367" s="5"/>
      <c r="OL367" s="6"/>
      <c r="OM367" s="4"/>
      <c r="ON367" s="4"/>
      <c r="OO367" s="4"/>
      <c r="OP367" s="4"/>
      <c r="OQ367" s="4"/>
      <c r="OR367" s="5"/>
      <c r="OS367" s="6"/>
      <c r="OT367" s="4"/>
      <c r="OU367" s="4"/>
      <c r="OV367" s="4"/>
      <c r="OW367" s="4"/>
      <c r="OX367" s="4"/>
      <c r="OY367" s="5"/>
      <c r="OZ367" s="6"/>
      <c r="PA367" s="4"/>
      <c r="PB367" s="4"/>
      <c r="PC367" s="4"/>
      <c r="PD367" s="4"/>
      <c r="PE367" s="4"/>
      <c r="PF367" s="5"/>
      <c r="PG367" s="6"/>
      <c r="PH367" s="4"/>
      <c r="PI367" s="4"/>
      <c r="PJ367" s="4"/>
      <c r="PK367" s="4"/>
      <c r="PL367" s="4"/>
      <c r="PM367" s="5"/>
      <c r="PN367" s="6"/>
      <c r="PO367" s="4"/>
      <c r="PP367" s="4"/>
      <c r="PQ367" s="4"/>
      <c r="PR367" s="4"/>
      <c r="PS367" s="4"/>
      <c r="PT367" s="5"/>
      <c r="PU367" s="6"/>
      <c r="PV367" s="4"/>
      <c r="PW367" s="4"/>
      <c r="PX367" s="4"/>
      <c r="PY367" s="8"/>
      <c r="PZ367" s="4"/>
      <c r="QA367" s="5"/>
      <c r="QB367" s="6"/>
      <c r="QC367" s="4"/>
      <c r="QD367" s="4"/>
      <c r="QE367" s="4"/>
      <c r="QF367" s="4"/>
      <c r="QG367" s="4"/>
      <c r="QH367" s="5"/>
      <c r="QI367" s="6"/>
      <c r="QJ367" s="4"/>
      <c r="QK367" s="4"/>
      <c r="QL367" s="4"/>
      <c r="QM367" s="4"/>
      <c r="QN367" s="4"/>
      <c r="QO367" s="5"/>
      <c r="QP367" s="6"/>
      <c r="QQ367" s="4"/>
      <c r="QR367" s="4"/>
      <c r="QS367" s="4"/>
      <c r="QT367" s="4"/>
      <c r="QU367" s="4"/>
      <c r="QV367" s="5"/>
      <c r="QW367" s="6"/>
      <c r="QX367" s="4"/>
      <c r="QY367" s="4"/>
      <c r="QZ367" s="4"/>
      <c r="RA367" s="4"/>
      <c r="RB367" s="4"/>
      <c r="RC367" s="5"/>
      <c r="RD367" s="6"/>
      <c r="RE367" s="4"/>
      <c r="RF367" s="4"/>
      <c r="RG367" s="4"/>
      <c r="RH367" s="4"/>
      <c r="RI367" s="4"/>
      <c r="RJ367" s="5"/>
      <c r="RK367" s="6"/>
      <c r="RL367" s="4"/>
      <c r="RM367" s="4"/>
      <c r="RN367" s="4"/>
      <c r="RO367" s="4"/>
      <c r="RP367" s="4"/>
      <c r="RQ367" s="5"/>
      <c r="RR367" s="6"/>
      <c r="RS367" s="4"/>
      <c r="RT367" s="4"/>
      <c r="RU367" s="4"/>
      <c r="RV367" s="4"/>
      <c r="RW367" s="4"/>
      <c r="RX367" s="5"/>
      <c r="RY367" s="6"/>
      <c r="RZ367" s="4"/>
      <c r="SA367" s="4"/>
      <c r="SB367" s="4"/>
      <c r="SC367" s="4"/>
      <c r="SD367" s="4"/>
      <c r="SE367" s="5"/>
      <c r="SF367" s="6"/>
      <c r="SG367" s="4"/>
      <c r="SH367" s="4"/>
      <c r="SI367" s="4"/>
      <c r="SJ367" s="4"/>
      <c r="SK367" s="4"/>
      <c r="SL367" s="5"/>
      <c r="SM367" s="6"/>
      <c r="SN367" s="4"/>
      <c r="SO367" s="4"/>
      <c r="SP367" s="4"/>
      <c r="SQ367" s="4"/>
      <c r="SR367" s="4"/>
      <c r="SS367" s="5"/>
      <c r="ST367" s="6"/>
      <c r="SU367" s="4"/>
      <c r="SV367" s="4"/>
      <c r="SW367" s="4"/>
      <c r="SX367" s="4"/>
      <c r="SY367" s="4"/>
      <c r="SZ367" s="5"/>
      <c r="TA367" s="6"/>
      <c r="TB367" s="4"/>
      <c r="TC367" s="4"/>
      <c r="TD367" s="4"/>
      <c r="TE367" s="4"/>
      <c r="TF367" s="4"/>
      <c r="TG367" s="5"/>
      <c r="TH367" s="6"/>
      <c r="TI367" s="4"/>
      <c r="TJ367" s="4"/>
      <c r="TK367" s="4"/>
      <c r="TL367" s="4"/>
      <c r="TM367" s="4"/>
      <c r="TN367" s="5"/>
      <c r="TO367" s="6"/>
      <c r="TP367" s="4"/>
      <c r="TQ367" s="4"/>
      <c r="TR367" s="4"/>
      <c r="TS367" s="4"/>
      <c r="TT367" s="4"/>
      <c r="TU367" s="5"/>
      <c r="TV367" s="6"/>
      <c r="TW367" s="4"/>
      <c r="TX367" s="4"/>
      <c r="TY367" s="4"/>
      <c r="TZ367" s="4"/>
      <c r="UA367" s="4"/>
      <c r="UB367" s="5"/>
      <c r="UC367" s="6"/>
      <c r="UD367" s="4"/>
      <c r="UE367" s="4"/>
      <c r="UF367" s="4"/>
      <c r="UG367" s="4"/>
      <c r="UH367" s="4"/>
      <c r="UI367" s="5"/>
      <c r="UJ367" s="6"/>
      <c r="UK367" s="4"/>
      <c r="UL367" s="4"/>
      <c r="UM367" s="4"/>
      <c r="UN367" s="4"/>
      <c r="UO367" s="4"/>
      <c r="UP367" s="5"/>
      <c r="UQ367" s="6"/>
      <c r="UR367" s="4"/>
      <c r="US367" s="4"/>
      <c r="UT367" s="4"/>
      <c r="UU367" s="4"/>
      <c r="UV367" s="4"/>
      <c r="UW367" s="5"/>
      <c r="UX367" s="15" t="s">
        <v>594</v>
      </c>
      <c r="UY367" s="4" t="s">
        <v>627</v>
      </c>
      <c r="UZ367" s="4" t="s">
        <v>4013</v>
      </c>
      <c r="VA367" s="7"/>
      <c r="VB367" s="8">
        <v>38325</v>
      </c>
      <c r="VC367" s="8"/>
      <c r="VD367" s="5"/>
      <c r="VE367" s="6"/>
      <c r="VF367" s="4"/>
      <c r="VG367" s="4"/>
      <c r="VH367" s="4"/>
      <c r="VI367" s="4"/>
      <c r="VJ367" s="4"/>
      <c r="VK367" s="5"/>
      <c r="VL367" s="6"/>
      <c r="VM367" s="4"/>
      <c r="VN367" s="4"/>
      <c r="VO367" s="4"/>
      <c r="VP367" s="4"/>
      <c r="VQ367" s="4"/>
      <c r="VR367" s="5"/>
      <c r="VS367" s="6"/>
      <c r="VT367" s="4"/>
      <c r="VU367" s="4"/>
      <c r="VV367" s="4"/>
      <c r="VW367" s="4"/>
      <c r="VX367" s="4"/>
      <c r="VY367" s="5"/>
      <c r="VZ367" s="6"/>
      <c r="WA367" s="4"/>
      <c r="WB367" s="4"/>
      <c r="WC367" s="4"/>
      <c r="WD367" s="4"/>
      <c r="WE367" s="4"/>
      <c r="WF367" s="5"/>
      <c r="WG367" s="6"/>
      <c r="WH367" s="4"/>
      <c r="WI367" s="4"/>
      <c r="WJ367" s="4"/>
      <c r="WK367" s="4"/>
      <c r="WL367" s="4"/>
      <c r="WM367" s="5"/>
      <c r="WN367" s="6"/>
      <c r="WO367" s="4"/>
      <c r="WP367" s="4"/>
      <c r="WQ367" s="4"/>
      <c r="WR367" s="4"/>
      <c r="WS367" s="4"/>
      <c r="WT367" s="5"/>
      <c r="WU367" s="6"/>
      <c r="WV367" s="4"/>
      <c r="WW367" s="4"/>
      <c r="WX367" s="4"/>
      <c r="WY367" s="4"/>
      <c r="WZ367" s="4"/>
      <c r="XA367" s="5"/>
      <c r="XB367" s="6"/>
      <c r="XC367" s="4"/>
      <c r="XD367" s="4"/>
      <c r="XE367" s="4"/>
      <c r="XF367" s="4"/>
      <c r="XG367" s="4"/>
      <c r="XH367" s="5"/>
      <c r="XI367" s="6"/>
      <c r="XJ367" s="4"/>
      <c r="XK367" s="4"/>
      <c r="XL367" s="4"/>
      <c r="XM367" s="4"/>
      <c r="XN367" s="4"/>
      <c r="XO367" s="5"/>
      <c r="XP367" s="6"/>
      <c r="XQ367" s="4"/>
      <c r="XR367" s="4"/>
      <c r="XS367" s="4"/>
      <c r="XT367" s="4"/>
      <c r="XU367" s="4"/>
      <c r="XV367" s="5"/>
      <c r="XW367" s="6"/>
      <c r="XX367" s="4"/>
      <c r="XY367" s="4"/>
      <c r="XZ367" s="4"/>
      <c r="YA367" s="4"/>
      <c r="YB367" s="4"/>
      <c r="YC367" s="5"/>
      <c r="YD367" s="6"/>
      <c r="YE367" s="4"/>
      <c r="YF367" s="4"/>
      <c r="YG367" s="4"/>
      <c r="YH367" s="4"/>
      <c r="YI367" s="4"/>
      <c r="YJ367" s="5"/>
      <c r="YK367" s="6"/>
      <c r="YL367" s="4"/>
      <c r="YM367" s="4"/>
      <c r="YN367" s="4"/>
      <c r="YO367" s="4"/>
      <c r="YP367" s="4"/>
      <c r="YQ367" s="5"/>
      <c r="YR367" s="6"/>
      <c r="YS367" s="4"/>
      <c r="YT367" s="4"/>
      <c r="YU367" s="4"/>
      <c r="YV367" s="4"/>
      <c r="YW367" s="4"/>
      <c r="YX367" s="5"/>
      <c r="YY367" s="6"/>
      <c r="YZ367" s="4"/>
      <c r="ZA367" s="4"/>
      <c r="ZB367" s="4"/>
      <c r="ZC367" s="4"/>
      <c r="ZD367" s="4"/>
      <c r="ZE367" s="5"/>
      <c r="ZF367" s="6"/>
      <c r="ZG367" s="4"/>
      <c r="ZH367" s="4"/>
      <c r="ZI367" s="4"/>
      <c r="ZJ367" s="4"/>
      <c r="ZK367" s="4"/>
      <c r="ZL367" s="5"/>
      <c r="ZM367" s="6"/>
      <c r="ZN367" s="4"/>
      <c r="ZO367" s="4"/>
      <c r="ZP367" s="4"/>
      <c r="ZQ367" s="4"/>
      <c r="ZR367" s="4"/>
      <c r="ZS367" s="5"/>
      <c r="ZT367" s="6"/>
      <c r="ZU367" s="4"/>
      <c r="ZV367" s="4"/>
      <c r="ZW367" s="4"/>
      <c r="ZX367" s="4"/>
      <c r="ZY367" s="4"/>
      <c r="ZZ367" s="5"/>
      <c r="AAA367" s="6"/>
      <c r="AAB367" s="4"/>
      <c r="AAC367" s="4"/>
      <c r="AAD367" s="4"/>
      <c r="AAE367" s="4"/>
      <c r="AAF367" s="4"/>
      <c r="AAG367" s="5"/>
      <c r="AAH367" s="6"/>
      <c r="AAI367" s="4"/>
      <c r="AAJ367" s="4"/>
      <c r="AAK367" s="4"/>
      <c r="AAL367" s="4"/>
      <c r="AAM367" s="4"/>
      <c r="AAN367" s="5"/>
      <c r="AAO367" s="6"/>
      <c r="AAP367" s="4"/>
      <c r="AAQ367" s="4"/>
      <c r="AAR367" s="4"/>
      <c r="AAS367" s="4"/>
      <c r="AAT367" s="4"/>
      <c r="AAU367" s="5"/>
      <c r="AAV367" s="6"/>
      <c r="AAW367" s="4"/>
      <c r="AAX367" s="4"/>
      <c r="AAY367" s="4"/>
      <c r="AAZ367" s="4"/>
      <c r="ABA367" s="4"/>
      <c r="ABB367" s="5"/>
      <c r="ABC367" s="6"/>
      <c r="ABD367" s="4"/>
      <c r="ABE367" s="4"/>
      <c r="ABF367" s="4"/>
      <c r="ABG367" s="4"/>
      <c r="ABH367" s="4"/>
      <c r="ABI367" s="5"/>
      <c r="ABJ367" s="6"/>
      <c r="ABK367" s="4"/>
      <c r="ABL367" s="4"/>
      <c r="ABM367" s="4"/>
      <c r="ABN367" s="4"/>
      <c r="ABO367" s="4"/>
      <c r="ABP367" s="5"/>
      <c r="ABQ367" s="6"/>
      <c r="ABS367" s="4"/>
      <c r="ABT367" s="4"/>
      <c r="ABU367" s="4"/>
      <c r="ABV367" s="4"/>
      <c r="ABW367" s="5"/>
      <c r="ABX367" s="6"/>
      <c r="ABY367" s="4"/>
      <c r="ABZ367" s="4"/>
      <c r="ACA367" s="4"/>
      <c r="ACB367" s="4"/>
      <c r="ACC367" s="4"/>
      <c r="ACD367" s="5"/>
      <c r="ACE367" s="6"/>
      <c r="ACF367" s="4"/>
      <c r="ACG367" s="4"/>
      <c r="ACH367" s="4"/>
      <c r="ACI367" s="4"/>
      <c r="ACJ367" s="4"/>
      <c r="ACK367" s="5"/>
      <c r="ACL367" s="6"/>
      <c r="ACM367" s="4"/>
      <c r="ACN367" s="4"/>
      <c r="ACO367" s="4"/>
      <c r="ACP367" s="4"/>
      <c r="ACQ367" s="4"/>
      <c r="ACR367" s="5"/>
      <c r="ACS367" s="6"/>
      <c r="ACT367" s="4"/>
      <c r="ACU367" s="4"/>
      <c r="ACV367" s="4"/>
      <c r="ACW367" s="4"/>
      <c r="ACX367" s="4"/>
      <c r="ACY367" s="5"/>
    </row>
    <row r="368" spans="2:806" x14ac:dyDescent="0.25">
      <c r="B368" s="30"/>
      <c r="J368" s="12"/>
      <c r="K368" s="12"/>
      <c r="L368" s="12"/>
      <c r="LL368" s="6"/>
      <c r="LM368" s="4"/>
      <c r="LN368" s="4"/>
      <c r="LO368" s="4"/>
      <c r="LP368" s="4"/>
      <c r="LQ368" s="4"/>
      <c r="LR368" s="5"/>
      <c r="LS368" s="6"/>
      <c r="LT368" s="4"/>
      <c r="LU368" s="4"/>
      <c r="LV368" s="4"/>
      <c r="LW368" s="4"/>
      <c r="LX368" s="4"/>
      <c r="LY368" s="5"/>
      <c r="LZ368" s="6"/>
      <c r="MA368" s="4"/>
      <c r="MB368" s="4"/>
      <c r="MC368" s="4"/>
      <c r="MD368" s="8"/>
      <c r="ME368" s="4"/>
      <c r="MF368" s="4"/>
      <c r="MG368" s="5"/>
      <c r="MH368" s="6"/>
      <c r="MI368" s="4"/>
      <c r="MJ368" s="4"/>
      <c r="MK368" s="4"/>
      <c r="ML368" s="4"/>
      <c r="MM368" s="4"/>
      <c r="MN368" s="5"/>
      <c r="MO368" s="6"/>
      <c r="MP368" s="4"/>
      <c r="MQ368" s="4"/>
      <c r="MR368" s="4"/>
      <c r="MS368" s="4"/>
      <c r="MT368" s="4"/>
      <c r="MU368" s="5"/>
      <c r="MV368" s="6"/>
      <c r="MW368" s="4"/>
      <c r="MX368" s="4"/>
      <c r="MY368" s="4"/>
      <c r="MZ368" s="4"/>
      <c r="NA368" s="4"/>
      <c r="NB368" s="5"/>
      <c r="NC368" s="15"/>
      <c r="ND368" s="4"/>
      <c r="NE368" s="4"/>
      <c r="NF368" s="4"/>
      <c r="NG368" s="8"/>
      <c r="NH368" s="4"/>
      <c r="NI368" s="5"/>
      <c r="NJ368" s="6"/>
      <c r="NK368" s="4"/>
      <c r="NL368" s="4"/>
      <c r="NM368" s="4"/>
      <c r="NN368" s="4"/>
      <c r="NO368" s="4"/>
      <c r="NP368" s="5"/>
      <c r="NQ368" s="6"/>
      <c r="NR368" s="4"/>
      <c r="NS368" s="4"/>
      <c r="NT368" s="4"/>
      <c r="NU368" s="4"/>
      <c r="NV368" s="4"/>
      <c r="NW368" s="5"/>
      <c r="NX368" s="6"/>
      <c r="NY368" s="4"/>
      <c r="NZ368" s="4"/>
      <c r="OA368" s="4"/>
      <c r="OB368" s="4"/>
      <c r="OC368" s="4"/>
      <c r="OD368" s="5"/>
      <c r="OE368" s="6"/>
      <c r="OF368" s="4"/>
      <c r="OG368" s="4"/>
      <c r="OH368" s="4"/>
      <c r="OI368" s="4"/>
      <c r="OJ368" s="4"/>
      <c r="OK368" s="5"/>
      <c r="OL368" s="6"/>
      <c r="OM368" s="4"/>
      <c r="ON368" s="4"/>
      <c r="OO368" s="4"/>
      <c r="OP368" s="4"/>
      <c r="OQ368" s="4"/>
      <c r="OR368" s="5"/>
      <c r="OS368" s="6"/>
      <c r="OT368" s="4"/>
      <c r="OU368" s="4"/>
      <c r="OV368" s="4"/>
      <c r="OW368" s="4"/>
      <c r="OX368" s="4"/>
      <c r="OY368" s="5"/>
      <c r="OZ368" s="6"/>
      <c r="PA368" s="4"/>
      <c r="PB368" s="4"/>
      <c r="PC368" s="4"/>
      <c r="PD368" s="4"/>
      <c r="PE368" s="4"/>
      <c r="PF368" s="5"/>
      <c r="PG368" s="6"/>
      <c r="PH368" s="4"/>
      <c r="PI368" s="4"/>
      <c r="PJ368" s="4"/>
      <c r="PK368" s="4"/>
      <c r="PL368" s="4"/>
      <c r="PM368" s="5"/>
      <c r="PN368" s="6"/>
      <c r="PO368" s="4"/>
      <c r="PP368" s="4"/>
      <c r="PQ368" s="4"/>
      <c r="PR368" s="4"/>
      <c r="PS368" s="4"/>
      <c r="PT368" s="5"/>
      <c r="PU368" s="6"/>
      <c r="PV368" s="4"/>
      <c r="PW368" s="4"/>
      <c r="PX368" s="4"/>
      <c r="PY368" s="8"/>
      <c r="PZ368" s="4"/>
      <c r="QA368" s="5"/>
      <c r="QB368" s="6"/>
      <c r="QC368" s="4"/>
      <c r="QD368" s="4"/>
      <c r="QE368" s="4"/>
      <c r="QF368" s="4"/>
      <c r="QG368" s="4"/>
      <c r="QH368" s="5"/>
      <c r="QI368" s="6"/>
      <c r="QJ368" s="4"/>
      <c r="QK368" s="4"/>
      <c r="QL368" s="4"/>
      <c r="QM368" s="4"/>
      <c r="QN368" s="4"/>
      <c r="QO368" s="5"/>
      <c r="QP368" s="6"/>
      <c r="QQ368" s="4"/>
      <c r="QR368" s="4"/>
      <c r="QS368" s="4"/>
      <c r="QT368" s="4"/>
      <c r="QU368" s="4"/>
      <c r="QV368" s="5"/>
      <c r="QW368" s="6"/>
      <c r="QX368" s="4"/>
      <c r="QY368" s="4"/>
      <c r="QZ368" s="4"/>
      <c r="RA368" s="4"/>
      <c r="RB368" s="4"/>
      <c r="RC368" s="5"/>
      <c r="RD368" s="6"/>
      <c r="RE368" s="4"/>
      <c r="RF368" s="4"/>
      <c r="RG368" s="4"/>
      <c r="RH368" s="4"/>
      <c r="RI368" s="4"/>
      <c r="RJ368" s="5"/>
      <c r="RK368" s="6"/>
      <c r="RL368" s="4"/>
      <c r="RM368" s="4"/>
      <c r="RN368" s="4"/>
      <c r="RO368" s="4"/>
      <c r="RP368" s="4"/>
      <c r="RQ368" s="5"/>
      <c r="RR368" s="6"/>
      <c r="RS368" s="4"/>
      <c r="RT368" s="4"/>
      <c r="RU368" s="4"/>
      <c r="RV368" s="4"/>
      <c r="RW368" s="4"/>
      <c r="RX368" s="5"/>
      <c r="RY368" s="6"/>
      <c r="RZ368" s="4"/>
      <c r="SA368" s="4"/>
      <c r="SB368" s="4"/>
      <c r="SC368" s="4"/>
      <c r="SD368" s="4"/>
      <c r="SE368" s="5"/>
      <c r="SF368" s="6"/>
      <c r="SG368" s="4"/>
      <c r="SH368" s="4"/>
      <c r="SI368" s="4"/>
      <c r="SJ368" s="4"/>
      <c r="SK368" s="4"/>
      <c r="SL368" s="5"/>
      <c r="SM368" s="6"/>
      <c r="SN368" s="4"/>
      <c r="SO368" s="4"/>
      <c r="SP368" s="4"/>
      <c r="SQ368" s="4"/>
      <c r="SR368" s="4"/>
      <c r="SS368" s="5"/>
      <c r="ST368" s="6"/>
      <c r="SU368" s="4"/>
      <c r="SV368" s="4"/>
      <c r="SW368" s="4"/>
      <c r="SX368" s="4"/>
      <c r="SY368" s="4"/>
      <c r="SZ368" s="5"/>
      <c r="TA368" s="6"/>
      <c r="TB368" s="4"/>
      <c r="TC368" s="4"/>
      <c r="TD368" s="4"/>
      <c r="TE368" s="4"/>
      <c r="TF368" s="4"/>
      <c r="TG368" s="5"/>
      <c r="TH368" s="6"/>
      <c r="TI368" s="4"/>
      <c r="TJ368" s="4"/>
      <c r="TK368" s="4"/>
      <c r="TL368" s="4"/>
      <c r="TM368" s="4"/>
      <c r="TN368" s="5"/>
      <c r="TO368" s="6"/>
      <c r="TP368" s="4"/>
      <c r="TQ368" s="4"/>
      <c r="TR368" s="4"/>
      <c r="TS368" s="4"/>
      <c r="TT368" s="4"/>
      <c r="TU368" s="5"/>
      <c r="TV368" s="6"/>
      <c r="TW368" s="4"/>
      <c r="TX368" s="4"/>
      <c r="TY368" s="4"/>
      <c r="TZ368" s="4"/>
      <c r="UA368" s="4"/>
      <c r="UB368" s="5"/>
      <c r="UC368" s="6"/>
      <c r="UD368" s="4"/>
      <c r="UE368" s="4"/>
      <c r="UF368" s="4"/>
      <c r="UG368" s="4"/>
      <c r="UH368" s="4"/>
      <c r="UI368" s="5"/>
      <c r="UJ368" s="6"/>
      <c r="UK368" s="4"/>
      <c r="UL368" s="4"/>
      <c r="UM368" s="4"/>
      <c r="UN368" s="4"/>
      <c r="UO368" s="4"/>
      <c r="UP368" s="5"/>
      <c r="UQ368" s="6"/>
      <c r="UR368" s="4"/>
      <c r="US368" s="4"/>
      <c r="UT368" s="4"/>
      <c r="UU368" s="4"/>
      <c r="UV368" s="4"/>
      <c r="UW368" s="5"/>
      <c r="UX368" s="6" t="s">
        <v>2738</v>
      </c>
      <c r="UY368" s="4" t="s">
        <v>2738</v>
      </c>
      <c r="UZ368" s="7" t="s">
        <v>954</v>
      </c>
      <c r="VB368" s="9">
        <v>38361</v>
      </c>
      <c r="VC368" s="8">
        <v>38371</v>
      </c>
      <c r="VD368" s="5" t="s">
        <v>4058</v>
      </c>
      <c r="VE368" s="6"/>
      <c r="VF368" s="4"/>
      <c r="VG368" s="4"/>
      <c r="VH368" s="4"/>
      <c r="VI368" s="4"/>
      <c r="VJ368" s="4"/>
      <c r="VK368" s="5"/>
      <c r="VL368" s="6"/>
      <c r="VM368" s="4"/>
      <c r="VN368" s="4"/>
      <c r="VO368" s="4"/>
      <c r="VP368" s="4"/>
      <c r="VQ368" s="4"/>
      <c r="VR368" s="5"/>
      <c r="VS368" s="6"/>
      <c r="VT368" s="4"/>
      <c r="VU368" s="4"/>
      <c r="VV368" s="4"/>
      <c r="VW368" s="4"/>
      <c r="VX368" s="4"/>
      <c r="VY368" s="5"/>
      <c r="VZ368" s="6"/>
      <c r="WA368" s="4"/>
      <c r="WB368" s="4"/>
      <c r="WC368" s="4"/>
      <c r="WD368" s="4"/>
      <c r="WE368" s="4"/>
      <c r="WF368" s="5"/>
      <c r="WG368" s="6"/>
      <c r="WH368" s="4"/>
      <c r="WI368" s="4"/>
      <c r="WJ368" s="4"/>
      <c r="WK368" s="4"/>
      <c r="WL368" s="4"/>
      <c r="WM368" s="5"/>
      <c r="WN368" s="6"/>
      <c r="WO368" s="4"/>
      <c r="WP368" s="4"/>
      <c r="WQ368" s="4"/>
      <c r="WR368" s="4"/>
      <c r="WS368" s="4"/>
      <c r="WT368" s="5"/>
      <c r="WU368" s="6"/>
      <c r="WV368" s="4"/>
      <c r="WW368" s="4"/>
      <c r="WX368" s="4"/>
      <c r="WY368" s="4"/>
      <c r="WZ368" s="4"/>
      <c r="XA368" s="5"/>
      <c r="XB368" s="6"/>
      <c r="XC368" s="4"/>
      <c r="XD368" s="4"/>
      <c r="XE368" s="4"/>
      <c r="XF368" s="4"/>
      <c r="XG368" s="4"/>
      <c r="XH368" s="5"/>
      <c r="XI368" s="6"/>
      <c r="XJ368" s="4"/>
      <c r="XK368" s="4"/>
      <c r="XL368" s="4"/>
      <c r="XM368" s="4"/>
      <c r="XN368" s="4"/>
      <c r="XO368" s="5"/>
      <c r="XP368" s="6"/>
      <c r="XQ368" s="4"/>
      <c r="XR368" s="4"/>
      <c r="XS368" s="4"/>
      <c r="XT368" s="4"/>
      <c r="XU368" s="4"/>
      <c r="XV368" s="5"/>
      <c r="XW368" s="6"/>
      <c r="XX368" s="4"/>
      <c r="XY368" s="4"/>
      <c r="XZ368" s="4"/>
      <c r="YA368" s="4"/>
      <c r="YB368" s="4"/>
      <c r="YC368" s="5"/>
      <c r="YD368" s="6"/>
      <c r="YE368" s="4"/>
      <c r="YF368" s="4"/>
      <c r="YG368" s="4"/>
      <c r="YH368" s="4"/>
      <c r="YI368" s="4"/>
      <c r="YJ368" s="5"/>
      <c r="YK368" s="6"/>
      <c r="YL368" s="4"/>
      <c r="YM368" s="4"/>
      <c r="YN368" s="4"/>
      <c r="YO368" s="4"/>
      <c r="YP368" s="4"/>
      <c r="YQ368" s="5"/>
      <c r="YR368" s="6"/>
      <c r="YS368" s="4"/>
      <c r="YT368" s="4"/>
      <c r="YU368" s="4"/>
      <c r="YV368" s="4"/>
      <c r="YW368" s="4"/>
      <c r="YX368" s="5"/>
      <c r="YY368" s="6"/>
      <c r="YZ368" s="4"/>
      <c r="ZA368" s="4"/>
      <c r="ZB368" s="4"/>
      <c r="ZC368" s="4"/>
      <c r="ZD368" s="4"/>
      <c r="ZE368" s="5"/>
      <c r="ZF368" s="6"/>
      <c r="ZG368" s="4"/>
      <c r="ZH368" s="4"/>
      <c r="ZI368" s="4"/>
      <c r="ZJ368" s="4"/>
      <c r="ZK368" s="4"/>
      <c r="ZL368" s="5"/>
      <c r="ZM368" s="6"/>
      <c r="ZN368" s="4"/>
      <c r="ZO368" s="4"/>
      <c r="ZP368" s="4"/>
      <c r="ZQ368" s="4"/>
      <c r="ZR368" s="4"/>
      <c r="ZS368" s="5"/>
      <c r="ZT368" s="6"/>
      <c r="ZU368" s="4"/>
      <c r="ZV368" s="4"/>
      <c r="ZW368" s="4"/>
      <c r="ZX368" s="4"/>
      <c r="ZY368" s="4"/>
      <c r="ZZ368" s="5"/>
      <c r="AAA368" s="6"/>
      <c r="AAB368" s="4"/>
      <c r="AAC368" s="4"/>
      <c r="AAD368" s="4"/>
      <c r="AAE368" s="4"/>
      <c r="AAF368" s="4"/>
      <c r="AAG368" s="5"/>
      <c r="AAH368" s="6"/>
      <c r="AAI368" s="4"/>
      <c r="AAJ368" s="4"/>
      <c r="AAK368" s="4"/>
      <c r="AAL368" s="4"/>
      <c r="AAM368" s="4"/>
      <c r="AAN368" s="5"/>
      <c r="AAO368" s="6"/>
      <c r="AAP368" s="4"/>
      <c r="AAQ368" s="4"/>
      <c r="AAR368" s="4"/>
      <c r="AAS368" s="4"/>
      <c r="AAT368" s="4"/>
      <c r="AAU368" s="5"/>
      <c r="AAV368" s="6"/>
      <c r="AAW368" s="4"/>
      <c r="AAX368" s="4"/>
      <c r="AAY368" s="4"/>
      <c r="AAZ368" s="4"/>
      <c r="ABA368" s="4"/>
      <c r="ABB368" s="5"/>
      <c r="ABC368" s="6"/>
      <c r="ABD368" s="4"/>
      <c r="ABE368" s="4"/>
      <c r="ABF368" s="4"/>
      <c r="ABG368" s="4"/>
      <c r="ABH368" s="4"/>
      <c r="ABI368" s="5"/>
      <c r="ABJ368" s="6"/>
      <c r="ABK368" s="4"/>
      <c r="ABL368" s="4"/>
      <c r="ABM368" s="4"/>
      <c r="ABN368" s="4"/>
      <c r="ABO368" s="4"/>
      <c r="ABP368" s="5"/>
      <c r="ABQ368" s="6"/>
      <c r="ABS368" s="4"/>
      <c r="ABT368" s="4"/>
      <c r="ABU368" s="4"/>
      <c r="ABV368" s="4"/>
      <c r="ABW368" s="5"/>
      <c r="ABX368" s="6"/>
      <c r="ABY368" s="4"/>
      <c r="ABZ368" s="4"/>
      <c r="ACA368" s="4"/>
      <c r="ACB368" s="4"/>
      <c r="ACC368" s="4"/>
      <c r="ACD368" s="5"/>
      <c r="ACE368" s="6"/>
      <c r="ACF368" s="4"/>
      <c r="ACG368" s="4"/>
      <c r="ACH368" s="4"/>
      <c r="ACI368" s="4"/>
      <c r="ACJ368" s="4"/>
      <c r="ACK368" s="5"/>
      <c r="ACL368" s="6"/>
      <c r="ACM368" s="4"/>
      <c r="ACN368" s="4"/>
      <c r="ACO368" s="4"/>
      <c r="ACP368" s="4"/>
      <c r="ACQ368" s="4"/>
      <c r="ACR368" s="5"/>
      <c r="ACS368" s="6"/>
      <c r="ACT368" s="4"/>
      <c r="ACU368" s="4"/>
      <c r="ACV368" s="4"/>
      <c r="ACW368" s="4"/>
      <c r="ACX368" s="4"/>
      <c r="ACY368" s="5"/>
    </row>
    <row r="369" spans="2:805" x14ac:dyDescent="0.25">
      <c r="B369" s="49">
        <v>8017073</v>
      </c>
      <c r="C369" s="57">
        <v>56</v>
      </c>
      <c r="D369" t="s">
        <v>153</v>
      </c>
      <c r="E369" s="35" t="s">
        <v>4166</v>
      </c>
      <c r="F369" s="23">
        <v>0</v>
      </c>
      <c r="J369" s="12"/>
      <c r="K369" s="12"/>
      <c r="L369" s="12"/>
      <c r="M369">
        <v>1</v>
      </c>
      <c r="N369" s="17">
        <v>38342</v>
      </c>
      <c r="P369" t="s">
        <v>154</v>
      </c>
      <c r="Q369">
        <v>1</v>
      </c>
      <c r="R369">
        <v>1</v>
      </c>
      <c r="V369">
        <v>1</v>
      </c>
      <c r="Y369">
        <v>1</v>
      </c>
      <c r="AF369">
        <v>1</v>
      </c>
      <c r="AI369">
        <v>1</v>
      </c>
      <c r="AN369">
        <v>1</v>
      </c>
      <c r="BW369">
        <v>1</v>
      </c>
      <c r="EA369">
        <v>1</v>
      </c>
      <c r="LL369" s="6"/>
      <c r="LM369" s="4"/>
      <c r="LN369" s="4"/>
      <c r="LO369" s="4"/>
      <c r="LP369" s="4"/>
      <c r="LQ369" s="4"/>
      <c r="LR369" s="5"/>
      <c r="LS369" s="6"/>
      <c r="LT369" s="4"/>
      <c r="LU369" s="4"/>
      <c r="LV369" s="4"/>
      <c r="LW369" s="4"/>
      <c r="LX369" s="4"/>
      <c r="LY369" s="5"/>
      <c r="LZ369" s="6" t="s">
        <v>729</v>
      </c>
      <c r="MA369" s="4" t="s">
        <v>2451</v>
      </c>
      <c r="MB369" s="4" t="s">
        <v>2873</v>
      </c>
      <c r="MC369" s="4"/>
      <c r="MD369" s="8">
        <v>38306</v>
      </c>
      <c r="ME369" s="4"/>
      <c r="MF369" s="4"/>
      <c r="MG369" s="5" t="s">
        <v>488</v>
      </c>
      <c r="MH369" s="6"/>
      <c r="MI369" s="4"/>
      <c r="MJ369" s="4"/>
      <c r="MK369" s="4"/>
      <c r="ML369" s="4"/>
      <c r="MM369" s="4"/>
      <c r="MN369" s="5"/>
      <c r="MO369" s="6"/>
      <c r="MP369" s="4"/>
      <c r="MQ369" s="4"/>
      <c r="MR369" s="4"/>
      <c r="MS369" s="4"/>
      <c r="MT369" s="4"/>
      <c r="MU369" s="5"/>
      <c r="MV369" s="6"/>
      <c r="MW369" s="4"/>
      <c r="MX369" s="4"/>
      <c r="MY369" s="4"/>
      <c r="MZ369" s="4"/>
      <c r="NA369" s="4"/>
      <c r="NB369" s="5"/>
      <c r="NC369" s="6"/>
      <c r="ND369" s="4"/>
      <c r="NE369" s="4"/>
      <c r="NF369" s="4"/>
      <c r="NG369" s="4"/>
      <c r="NH369" s="4"/>
      <c r="NI369" s="5"/>
      <c r="NJ369" s="6"/>
      <c r="NK369" s="4"/>
      <c r="NL369" s="4"/>
      <c r="NM369" s="4"/>
      <c r="NN369" s="4"/>
      <c r="NO369" s="4"/>
      <c r="NP369" s="5"/>
      <c r="NQ369" s="6"/>
      <c r="NR369" s="4"/>
      <c r="NS369" s="4"/>
      <c r="NT369" s="4"/>
      <c r="NU369" s="4"/>
      <c r="NV369" s="4"/>
      <c r="NW369" s="5"/>
      <c r="NX369" s="6" t="s">
        <v>588</v>
      </c>
      <c r="NY369" s="4" t="s">
        <v>589</v>
      </c>
      <c r="NZ369" s="4"/>
      <c r="OA369" s="4"/>
      <c r="OB369" s="8">
        <v>37773</v>
      </c>
      <c r="OC369" s="4"/>
      <c r="OD369" s="5" t="s">
        <v>156</v>
      </c>
      <c r="OE369" s="6"/>
      <c r="OF369" s="4"/>
      <c r="OG369" s="4"/>
      <c r="OH369" s="4"/>
      <c r="OI369" s="4"/>
      <c r="OJ369" s="4"/>
      <c r="OK369" s="5"/>
      <c r="OL369" s="6"/>
      <c r="OM369" s="4"/>
      <c r="ON369" s="4"/>
      <c r="OO369" s="4"/>
      <c r="OP369" s="4"/>
      <c r="OQ369" s="4"/>
      <c r="OR369" s="5"/>
      <c r="OS369" s="6"/>
      <c r="OT369" s="4"/>
      <c r="OU369" s="4"/>
      <c r="OV369" s="4"/>
      <c r="OW369" s="4"/>
      <c r="OX369" s="4"/>
      <c r="OY369" s="5"/>
      <c r="OZ369" s="6"/>
      <c r="PA369" s="4"/>
      <c r="PB369" s="4"/>
      <c r="PC369" s="4"/>
      <c r="PD369" s="4"/>
      <c r="PE369" s="4"/>
      <c r="PF369" s="5"/>
      <c r="PG369" s="6"/>
      <c r="PH369" s="4"/>
      <c r="PI369" s="4"/>
      <c r="PJ369" s="4"/>
      <c r="PK369" s="4"/>
      <c r="PL369" s="4"/>
      <c r="PM369" s="5"/>
      <c r="PN369" s="6"/>
      <c r="PO369" s="4"/>
      <c r="PP369" s="4"/>
      <c r="PQ369" s="4"/>
      <c r="PR369" s="4"/>
      <c r="PS369" s="4"/>
      <c r="PT369" s="5"/>
      <c r="PU369" s="6"/>
      <c r="PV369" s="4"/>
      <c r="PW369" s="4"/>
      <c r="PX369" s="4"/>
      <c r="PY369" s="4"/>
      <c r="PZ369" s="4"/>
      <c r="QA369" s="5"/>
      <c r="QB369" s="6"/>
      <c r="QC369" s="4"/>
      <c r="QD369" s="4"/>
      <c r="QE369" s="4"/>
      <c r="QF369" s="4"/>
      <c r="QG369" s="4"/>
      <c r="QH369" s="5"/>
      <c r="QI369" s="6"/>
      <c r="QJ369" s="4"/>
      <c r="QK369" s="4"/>
      <c r="QL369" s="4"/>
      <c r="QM369" s="4"/>
      <c r="QN369" s="4"/>
      <c r="QO369" s="5"/>
      <c r="QP369" s="6"/>
      <c r="QQ369" s="4"/>
      <c r="QR369" s="4"/>
      <c r="QS369" s="4"/>
      <c r="QT369" s="4"/>
      <c r="QU369" s="4"/>
      <c r="QV369" s="5"/>
      <c r="QW369" s="6"/>
      <c r="QX369" s="4"/>
      <c r="QY369" s="4"/>
      <c r="QZ369" s="4"/>
      <c r="RA369" s="4"/>
      <c r="RB369" s="4"/>
      <c r="RC369" s="5"/>
      <c r="RD369" s="6"/>
      <c r="RE369" s="4"/>
      <c r="RF369" s="4"/>
      <c r="RG369" s="4"/>
      <c r="RH369" s="4"/>
      <c r="RI369" s="4"/>
      <c r="RJ369" s="5"/>
      <c r="RK369" s="6"/>
      <c r="RL369" s="4"/>
      <c r="RM369" s="4"/>
      <c r="RN369" s="4"/>
      <c r="RO369" s="4"/>
      <c r="RP369" s="4"/>
      <c r="RQ369" s="5"/>
      <c r="RR369" s="6"/>
      <c r="RS369" s="4"/>
      <c r="RT369" s="4"/>
      <c r="RU369" s="4"/>
      <c r="RV369" s="4"/>
      <c r="RW369" s="4"/>
      <c r="RX369" s="5"/>
      <c r="RY369" s="6"/>
      <c r="RZ369" s="4"/>
      <c r="SA369" s="4"/>
      <c r="SB369" s="4"/>
      <c r="SC369" s="4"/>
      <c r="SD369" s="4"/>
      <c r="SE369" s="5"/>
      <c r="SF369" s="6"/>
      <c r="SG369" s="4"/>
      <c r="SH369" s="4"/>
      <c r="SI369" s="4"/>
      <c r="SJ369" s="4"/>
      <c r="SK369" s="4"/>
      <c r="SL369" s="5"/>
      <c r="SM369" s="6"/>
      <c r="SN369" s="4"/>
      <c r="SO369" s="4"/>
      <c r="SP369" s="4"/>
      <c r="SQ369" s="4"/>
      <c r="SR369" s="4"/>
      <c r="SS369" s="5"/>
      <c r="ST369" s="6"/>
      <c r="SU369" s="4"/>
      <c r="SV369" s="4"/>
      <c r="SW369" s="4"/>
      <c r="SX369" s="4"/>
      <c r="SY369" s="4"/>
      <c r="SZ369" s="5"/>
      <c r="TA369" s="6"/>
      <c r="TB369" s="4"/>
      <c r="TC369" s="4"/>
      <c r="TD369" s="4"/>
      <c r="TE369" s="4"/>
      <c r="TF369" s="4"/>
      <c r="TG369" s="5"/>
      <c r="TH369" s="6"/>
      <c r="TI369" s="4"/>
      <c r="TJ369" s="4"/>
      <c r="TK369" s="4"/>
      <c r="TL369" s="4"/>
      <c r="TM369" s="4"/>
      <c r="TN369" s="5"/>
      <c r="TO369" s="6"/>
      <c r="TP369" s="4"/>
      <c r="TQ369" s="4"/>
      <c r="TR369" s="4"/>
      <c r="TS369" s="4"/>
      <c r="TT369" s="4"/>
      <c r="TU369" s="5"/>
      <c r="TV369" s="6"/>
      <c r="TW369" s="4"/>
      <c r="TX369" s="4"/>
      <c r="TY369" s="4"/>
      <c r="TZ369" s="4"/>
      <c r="UA369" s="4"/>
      <c r="UB369" s="5"/>
      <c r="UC369" s="6"/>
      <c r="UD369" s="4"/>
      <c r="UE369" s="4"/>
      <c r="UF369" s="4"/>
      <c r="UG369" s="4"/>
      <c r="UH369" s="4"/>
      <c r="UI369" s="5"/>
      <c r="UJ369" s="6"/>
      <c r="UK369" s="4"/>
      <c r="UL369" s="4"/>
      <c r="UM369" s="4"/>
      <c r="UN369" s="4"/>
      <c r="UO369" s="4"/>
      <c r="UP369" s="5"/>
      <c r="UQ369" s="6"/>
      <c r="UR369" s="4"/>
      <c r="US369" s="4"/>
      <c r="UT369" s="4"/>
      <c r="UU369" s="4"/>
      <c r="UV369" s="4"/>
      <c r="UW369" s="5"/>
      <c r="UX369" s="6"/>
      <c r="UZ369" s="4"/>
      <c r="VA369" s="4"/>
      <c r="VB369" s="4"/>
      <c r="VC369" s="4"/>
      <c r="VD369" s="5"/>
      <c r="VE369" s="6"/>
      <c r="VF369" s="4"/>
      <c r="VG369" s="4"/>
      <c r="VH369" s="4"/>
      <c r="VI369" s="4"/>
      <c r="VJ369" s="4"/>
      <c r="VK369" s="5"/>
      <c r="VL369" s="6"/>
      <c r="VM369" s="4"/>
      <c r="VN369" s="4"/>
      <c r="VO369" s="4"/>
      <c r="VP369" s="4"/>
      <c r="VQ369" s="4"/>
      <c r="VR369" s="5"/>
      <c r="VS369" s="6"/>
      <c r="VT369" s="4"/>
      <c r="VU369" s="4"/>
      <c r="VV369" s="4"/>
      <c r="VW369" s="4"/>
      <c r="VX369" s="4"/>
      <c r="VY369" s="5"/>
      <c r="VZ369" s="4" t="s">
        <v>730</v>
      </c>
      <c r="WA369" s="4" t="s">
        <v>730</v>
      </c>
      <c r="WB369" s="4" t="s">
        <v>731</v>
      </c>
      <c r="WC369" s="4"/>
      <c r="WD369" s="8">
        <v>37742</v>
      </c>
      <c r="WE369" s="4"/>
      <c r="WF369" s="5"/>
      <c r="WG369" s="4" t="s">
        <v>1851</v>
      </c>
      <c r="WH369" s="4" t="s">
        <v>1851</v>
      </c>
      <c r="WI369" s="4" t="s">
        <v>1840</v>
      </c>
      <c r="WJ369" s="4"/>
      <c r="WK369" s="8">
        <v>38322</v>
      </c>
      <c r="WL369" s="4"/>
      <c r="WM369" s="5" t="s">
        <v>157</v>
      </c>
      <c r="WN369" s="6"/>
      <c r="WO369" s="4"/>
      <c r="WP369" s="4"/>
      <c r="WQ369" s="4"/>
      <c r="WR369" s="4"/>
      <c r="WS369" s="4"/>
      <c r="WT369" s="5"/>
      <c r="WU369" s="6"/>
      <c r="WV369" s="4"/>
      <c r="WW369" s="4"/>
      <c r="WX369" s="4"/>
      <c r="WY369" s="4"/>
      <c r="WZ369" s="4"/>
      <c r="XA369" s="5"/>
      <c r="XB369" s="6"/>
      <c r="XC369" s="4"/>
      <c r="XD369" s="4"/>
      <c r="XE369" s="4"/>
      <c r="XF369" s="4"/>
      <c r="XG369" s="4"/>
      <c r="XH369" s="5"/>
      <c r="XI369" s="6"/>
      <c r="XJ369" s="4"/>
      <c r="XK369" s="4"/>
      <c r="XL369" s="4"/>
      <c r="XM369" s="4"/>
      <c r="XN369" s="4"/>
      <c r="XO369" s="5"/>
      <c r="XP369" s="6"/>
      <c r="XQ369" s="4"/>
      <c r="XR369" s="4"/>
      <c r="XS369" s="4"/>
      <c r="XT369" s="4"/>
      <c r="XU369" s="4"/>
      <c r="XV369" s="5"/>
      <c r="XW369" s="6"/>
      <c r="XX369" s="4"/>
      <c r="XY369" s="4"/>
      <c r="XZ369" s="4"/>
      <c r="YA369" s="4"/>
      <c r="YB369" s="4"/>
      <c r="YC369" s="5"/>
      <c r="YD369" s="6"/>
      <c r="YE369" s="4"/>
      <c r="YF369" s="4"/>
      <c r="YG369" s="4"/>
      <c r="YH369" s="4"/>
      <c r="YI369" s="4"/>
      <c r="YJ369" s="5"/>
      <c r="YK369" s="6"/>
      <c r="YL369" s="4"/>
      <c r="YM369" s="4"/>
      <c r="YN369" s="4"/>
      <c r="YO369" s="4"/>
      <c r="YP369" s="4"/>
      <c r="YQ369" s="5"/>
      <c r="YR369" s="6"/>
      <c r="YS369" s="4"/>
      <c r="YT369" s="4"/>
      <c r="YU369" s="4"/>
      <c r="YV369" s="4"/>
      <c r="YW369" s="4"/>
      <c r="YX369" s="5"/>
      <c r="YY369" s="6"/>
      <c r="YZ369" s="4"/>
      <c r="ZA369" s="4"/>
      <c r="ZB369" s="4"/>
      <c r="ZC369" s="4"/>
      <c r="ZD369" s="4"/>
      <c r="ZE369" s="5"/>
      <c r="ZF369" s="6"/>
      <c r="ZG369" s="4"/>
      <c r="ZH369" s="4"/>
      <c r="ZI369" s="4"/>
      <c r="ZJ369" s="4"/>
      <c r="ZK369" s="4"/>
      <c r="ZL369" s="5"/>
      <c r="ZM369" s="6"/>
      <c r="ZN369" s="4"/>
      <c r="ZO369" s="4"/>
      <c r="ZP369" s="4"/>
      <c r="ZQ369" s="4"/>
      <c r="ZR369" s="4"/>
      <c r="ZS369" s="5"/>
      <c r="ZT369" s="6"/>
      <c r="ZU369" s="4"/>
      <c r="ZV369" s="4"/>
      <c r="ZW369" s="4"/>
      <c r="ZX369" s="4"/>
      <c r="ZY369" s="4"/>
      <c r="ZZ369" s="5"/>
      <c r="AAA369" s="6"/>
      <c r="AAB369" s="4"/>
      <c r="AAC369" s="4"/>
      <c r="AAD369" s="4"/>
      <c r="AAE369" s="4"/>
      <c r="AAF369" s="4"/>
      <c r="AAG369" s="5"/>
      <c r="AAH369" s="6"/>
      <c r="AAI369" s="4"/>
      <c r="AAJ369" s="4"/>
      <c r="AAK369" s="4"/>
      <c r="AAL369" s="4"/>
      <c r="AAM369" s="4"/>
      <c r="AAN369" s="5"/>
      <c r="AAO369" s="6"/>
      <c r="AAP369" s="4"/>
      <c r="AAQ369" s="4"/>
      <c r="AAR369" s="4"/>
      <c r="AAS369" s="4"/>
      <c r="AAT369" s="4"/>
      <c r="AAU369" s="5"/>
      <c r="AAV369" s="6"/>
      <c r="AAW369" s="4"/>
      <c r="AAX369" s="4"/>
      <c r="AAY369" s="4"/>
      <c r="AAZ369" s="4"/>
      <c r="ABA369" s="4"/>
      <c r="ABB369" s="5"/>
      <c r="ABC369" s="6"/>
      <c r="ABD369" s="4"/>
      <c r="ABE369" s="4"/>
      <c r="ABF369" s="4"/>
      <c r="ABG369" s="4"/>
      <c r="ABH369" s="4"/>
      <c r="ABI369" s="5"/>
      <c r="ABJ369" s="6"/>
      <c r="ABK369" s="4"/>
      <c r="ABL369" s="4"/>
      <c r="ABM369" s="4"/>
      <c r="ABN369" s="4"/>
      <c r="ABO369" s="4"/>
      <c r="ABP369" s="5"/>
      <c r="ABQ369" s="6" t="s">
        <v>2939</v>
      </c>
      <c r="ABR369" s="4" t="s">
        <v>2939</v>
      </c>
      <c r="ABS369" s="4" t="s">
        <v>3590</v>
      </c>
      <c r="ABT369" s="4"/>
      <c r="ABU369" s="8">
        <v>38316</v>
      </c>
      <c r="ABV369" s="4"/>
      <c r="ABW369" s="5" t="s">
        <v>333</v>
      </c>
      <c r="ABX369" s="6"/>
      <c r="ABY369" s="4"/>
      <c r="ABZ369" s="4"/>
      <c r="ACA369" s="4"/>
      <c r="ACB369" s="4"/>
      <c r="ACC369" s="4"/>
      <c r="ACD369" s="5"/>
      <c r="ACE369" s="6"/>
      <c r="ACF369" s="4"/>
      <c r="ACG369" s="4"/>
      <c r="ACH369" s="4"/>
      <c r="ACI369" s="4"/>
      <c r="ACJ369" s="4"/>
      <c r="ACK369" s="5"/>
      <c r="ACL369" s="6"/>
      <c r="ACM369" s="4"/>
      <c r="ACN369" s="4"/>
      <c r="ACO369" s="4"/>
      <c r="ACP369" s="4"/>
      <c r="ACQ369" s="4"/>
      <c r="ACR369" s="5"/>
      <c r="ACS369" s="6"/>
      <c r="ACT369" s="4"/>
      <c r="ACU369" s="4"/>
      <c r="ACV369" s="4"/>
      <c r="ACW369" s="4"/>
      <c r="ACX369" s="4"/>
      <c r="ACY369" s="5"/>
      <c r="ADD369" t="s">
        <v>158</v>
      </c>
      <c r="ADG369" t="s">
        <v>404</v>
      </c>
      <c r="ADJ369" t="s">
        <v>276</v>
      </c>
      <c r="ADM369" t="s">
        <v>277</v>
      </c>
      <c r="ADN369" t="s">
        <v>405</v>
      </c>
      <c r="ADS369" t="s">
        <v>333</v>
      </c>
    </row>
    <row r="370" spans="2:805" x14ac:dyDescent="0.25">
      <c r="B370" s="30"/>
      <c r="J370" s="12"/>
      <c r="K370" s="12"/>
      <c r="L370" s="12"/>
      <c r="LL370" s="6"/>
      <c r="LM370" s="4"/>
      <c r="LN370" s="4"/>
      <c r="LO370" s="4"/>
      <c r="LP370" s="4"/>
      <c r="LQ370" s="4"/>
      <c r="LR370" s="5"/>
      <c r="LS370" s="6"/>
      <c r="LT370" s="4"/>
      <c r="LU370" s="4"/>
      <c r="LV370" s="4"/>
      <c r="LW370" s="4"/>
      <c r="LX370" s="4"/>
      <c r="LY370" s="5"/>
      <c r="LZ370" s="6" t="s">
        <v>2457</v>
      </c>
      <c r="MA370" s="4" t="s">
        <v>2983</v>
      </c>
      <c r="MB370" s="4" t="s">
        <v>4013</v>
      </c>
      <c r="MC370" s="4"/>
      <c r="MD370" s="8">
        <v>38337</v>
      </c>
      <c r="ME370" s="4"/>
      <c r="MF370" s="4" t="s">
        <v>611</v>
      </c>
      <c r="MG370" s="5" t="s">
        <v>155</v>
      </c>
      <c r="MH370" s="6"/>
      <c r="MI370" s="4"/>
      <c r="MJ370" s="4"/>
      <c r="MK370" s="4"/>
      <c r="ML370" s="4"/>
      <c r="MM370" s="4"/>
      <c r="MN370" s="5"/>
      <c r="MO370" s="6"/>
      <c r="MP370" s="4"/>
      <c r="MQ370" s="4"/>
      <c r="MR370" s="4"/>
      <c r="MS370" s="4"/>
      <c r="MT370" s="4"/>
      <c r="MU370" s="5"/>
      <c r="MV370" s="6"/>
      <c r="MW370" s="4"/>
      <c r="MX370" s="4"/>
      <c r="MY370" s="4"/>
      <c r="MZ370" s="4"/>
      <c r="NA370" s="4"/>
      <c r="NB370" s="5"/>
      <c r="NC370" s="6"/>
      <c r="ND370" s="4"/>
      <c r="NE370" s="4"/>
      <c r="NF370" s="4"/>
      <c r="NG370" s="4"/>
      <c r="NH370" s="4"/>
      <c r="NI370" s="5"/>
      <c r="NJ370" s="6"/>
      <c r="NK370" s="4"/>
      <c r="NL370" s="4"/>
      <c r="NM370" s="4"/>
      <c r="NN370" s="4"/>
      <c r="NO370" s="4"/>
      <c r="NP370" s="5"/>
      <c r="NQ370" s="6"/>
      <c r="NR370" s="4"/>
      <c r="NS370" s="4"/>
      <c r="NT370" s="4"/>
      <c r="NU370" s="4"/>
      <c r="NV370" s="4"/>
      <c r="NW370" s="5"/>
      <c r="NX370" s="6"/>
      <c r="NY370" s="4"/>
      <c r="NZ370" s="4"/>
      <c r="OA370" s="4"/>
      <c r="OB370" s="4"/>
      <c r="OC370" s="4"/>
      <c r="OD370" s="5"/>
      <c r="OE370" s="6"/>
      <c r="OF370" s="4"/>
      <c r="OG370" s="4"/>
      <c r="OH370" s="4"/>
      <c r="OI370" s="4"/>
      <c r="OJ370" s="4"/>
      <c r="OK370" s="5"/>
      <c r="OL370" s="6"/>
      <c r="OM370" s="4"/>
      <c r="ON370" s="4"/>
      <c r="OO370" s="4"/>
      <c r="OP370" s="4"/>
      <c r="OQ370" s="4"/>
      <c r="OR370" s="5"/>
      <c r="OS370" s="6"/>
      <c r="OT370" s="4"/>
      <c r="OU370" s="4"/>
      <c r="OV370" s="4"/>
      <c r="OW370" s="4"/>
      <c r="OX370" s="4"/>
      <c r="OY370" s="5"/>
      <c r="OZ370" s="6"/>
      <c r="PA370" s="4"/>
      <c r="PB370" s="4"/>
      <c r="PC370" s="4"/>
      <c r="PD370" s="4"/>
      <c r="PE370" s="4"/>
      <c r="PF370" s="5"/>
      <c r="PG370" s="6"/>
      <c r="PH370" s="4"/>
      <c r="PI370" s="4"/>
      <c r="PJ370" s="4"/>
      <c r="PK370" s="4"/>
      <c r="PL370" s="4"/>
      <c r="PM370" s="5"/>
      <c r="PN370" s="6"/>
      <c r="PO370" s="4"/>
      <c r="PP370" s="4"/>
      <c r="PQ370" s="4"/>
      <c r="PR370" s="4"/>
      <c r="PS370" s="4"/>
      <c r="PT370" s="5"/>
      <c r="PU370" s="6"/>
      <c r="PV370" s="4"/>
      <c r="PW370" s="4"/>
      <c r="PX370" s="4"/>
      <c r="PY370" s="4"/>
      <c r="PZ370" s="4"/>
      <c r="QA370" s="5"/>
      <c r="QB370" s="6"/>
      <c r="QC370" s="4"/>
      <c r="QD370" s="4"/>
      <c r="QE370" s="4"/>
      <c r="QF370" s="4"/>
      <c r="QG370" s="4"/>
      <c r="QH370" s="5"/>
      <c r="QI370" s="6"/>
      <c r="QJ370" s="4"/>
      <c r="QK370" s="4"/>
      <c r="QL370" s="4"/>
      <c r="QM370" s="4"/>
      <c r="QN370" s="4"/>
      <c r="QO370" s="5"/>
      <c r="QP370" s="6"/>
      <c r="QQ370" s="4"/>
      <c r="QR370" s="4"/>
      <c r="QS370" s="4"/>
      <c r="QT370" s="4"/>
      <c r="QU370" s="4"/>
      <c r="QV370" s="5"/>
      <c r="QW370" s="6"/>
      <c r="QX370" s="4"/>
      <c r="QY370" s="4"/>
      <c r="QZ370" s="4"/>
      <c r="RA370" s="4"/>
      <c r="RB370" s="4"/>
      <c r="RC370" s="5"/>
      <c r="RD370" s="6"/>
      <c r="RE370" s="4"/>
      <c r="RF370" s="4"/>
      <c r="RG370" s="4"/>
      <c r="RH370" s="4"/>
      <c r="RI370" s="4"/>
      <c r="RJ370" s="5"/>
      <c r="RK370" s="6"/>
      <c r="RL370" s="4"/>
      <c r="RM370" s="4"/>
      <c r="RN370" s="4"/>
      <c r="RO370" s="4"/>
      <c r="RP370" s="4"/>
      <c r="RQ370" s="5"/>
      <c r="RR370" s="6"/>
      <c r="RS370" s="4"/>
      <c r="RT370" s="4"/>
      <c r="RU370" s="4"/>
      <c r="RV370" s="4"/>
      <c r="RW370" s="4"/>
      <c r="RX370" s="5"/>
      <c r="RY370" s="6"/>
      <c r="RZ370" s="4"/>
      <c r="SA370" s="4"/>
      <c r="SB370" s="4"/>
      <c r="SC370" s="4"/>
      <c r="SD370" s="4"/>
      <c r="SE370" s="5"/>
      <c r="SF370" s="6"/>
      <c r="SG370" s="4"/>
      <c r="SH370" s="4"/>
      <c r="SI370" s="4"/>
      <c r="SJ370" s="4"/>
      <c r="SK370" s="4"/>
      <c r="SL370" s="5"/>
      <c r="SM370" s="6"/>
      <c r="SN370" s="4"/>
      <c r="SO370" s="4"/>
      <c r="SP370" s="4"/>
      <c r="SQ370" s="4"/>
      <c r="SR370" s="4"/>
      <c r="SS370" s="5"/>
      <c r="ST370" s="6"/>
      <c r="SU370" s="4"/>
      <c r="SV370" s="4"/>
      <c r="SW370" s="4"/>
      <c r="SX370" s="4"/>
      <c r="SY370" s="4"/>
      <c r="SZ370" s="5"/>
      <c r="TA370" s="6"/>
      <c r="TB370" s="4"/>
      <c r="TC370" s="4"/>
      <c r="TD370" s="4"/>
      <c r="TE370" s="4"/>
      <c r="TF370" s="4"/>
      <c r="TG370" s="5"/>
      <c r="TH370" s="6"/>
      <c r="TI370" s="4"/>
      <c r="TJ370" s="4"/>
      <c r="TK370" s="4"/>
      <c r="TL370" s="4"/>
      <c r="TM370" s="4"/>
      <c r="TN370" s="5"/>
      <c r="TO370" s="6"/>
      <c r="TP370" s="4"/>
      <c r="TQ370" s="4"/>
      <c r="TR370" s="4"/>
      <c r="TS370" s="4"/>
      <c r="TT370" s="4"/>
      <c r="TU370" s="5"/>
      <c r="TV370" s="6"/>
      <c r="TW370" s="4"/>
      <c r="TX370" s="4"/>
      <c r="TY370" s="4"/>
      <c r="TZ370" s="4"/>
      <c r="UA370" s="4"/>
      <c r="UB370" s="5"/>
      <c r="UC370" s="6"/>
      <c r="UD370" s="4"/>
      <c r="UE370" s="4"/>
      <c r="UF370" s="4"/>
      <c r="UG370" s="4"/>
      <c r="UH370" s="4"/>
      <c r="UI370" s="5"/>
      <c r="UJ370" s="6"/>
      <c r="UK370" s="4"/>
      <c r="UL370" s="4"/>
      <c r="UM370" s="4"/>
      <c r="UN370" s="4"/>
      <c r="UO370" s="4"/>
      <c r="UP370" s="5"/>
      <c r="UQ370" s="6"/>
      <c r="UR370" s="4"/>
      <c r="US370" s="4"/>
      <c r="UT370" s="4"/>
      <c r="UU370" s="4"/>
      <c r="UV370" s="4"/>
      <c r="UW370" s="5"/>
      <c r="UX370" s="6"/>
      <c r="UZ370" s="4"/>
      <c r="VA370" s="4"/>
      <c r="VB370" s="4"/>
      <c r="VC370" s="4"/>
      <c r="VD370" s="5"/>
      <c r="VE370" s="6"/>
      <c r="VF370" s="4"/>
      <c r="VG370" s="4"/>
      <c r="VH370" s="4"/>
      <c r="VI370" s="4"/>
      <c r="VJ370" s="4"/>
      <c r="VK370" s="5"/>
      <c r="VL370" s="6"/>
      <c r="VM370" s="4"/>
      <c r="VN370" s="4"/>
      <c r="VO370" s="4"/>
      <c r="VP370" s="4"/>
      <c r="VQ370" s="4"/>
      <c r="VR370" s="5"/>
      <c r="VS370" s="6"/>
      <c r="VT370" s="4"/>
      <c r="VU370" s="4"/>
      <c r="VV370" s="4"/>
      <c r="VW370" s="4"/>
      <c r="VX370" s="4"/>
      <c r="VY370" s="5"/>
      <c r="VZ370" s="6"/>
      <c r="WA370" s="4"/>
      <c r="WB370" s="4"/>
      <c r="WC370" s="4"/>
      <c r="WD370" s="4"/>
      <c r="WE370" s="4"/>
      <c r="WF370" s="5"/>
      <c r="WG370" s="6"/>
      <c r="WH370" s="4"/>
      <c r="WI370" s="4"/>
      <c r="WJ370" s="4"/>
      <c r="WK370" s="4"/>
      <c r="WL370" s="4"/>
      <c r="WM370" s="5"/>
      <c r="WN370" s="6"/>
      <c r="WO370" s="4"/>
      <c r="WP370" s="4"/>
      <c r="WQ370" s="4"/>
      <c r="WR370" s="4"/>
      <c r="WS370" s="4"/>
      <c r="WT370" s="5"/>
      <c r="WU370" s="6"/>
      <c r="WV370" s="4"/>
      <c r="WW370" s="4"/>
      <c r="WX370" s="4"/>
      <c r="WY370" s="4"/>
      <c r="WZ370" s="4"/>
      <c r="XA370" s="5"/>
      <c r="XB370" s="6"/>
      <c r="XC370" s="4"/>
      <c r="XD370" s="4"/>
      <c r="XE370" s="4"/>
      <c r="XF370" s="4"/>
      <c r="XG370" s="4"/>
      <c r="XH370" s="5"/>
      <c r="XI370" s="6"/>
      <c r="XJ370" s="4"/>
      <c r="XK370" s="4"/>
      <c r="XL370" s="4"/>
      <c r="XM370" s="4"/>
      <c r="XN370" s="4"/>
      <c r="XO370" s="5"/>
      <c r="XP370" s="6"/>
      <c r="XQ370" s="4"/>
      <c r="XR370" s="4"/>
      <c r="XS370" s="4"/>
      <c r="XT370" s="4"/>
      <c r="XU370" s="4"/>
      <c r="XV370" s="5"/>
      <c r="XW370" s="6"/>
      <c r="XX370" s="4"/>
      <c r="XY370" s="4"/>
      <c r="XZ370" s="4"/>
      <c r="YA370" s="4"/>
      <c r="YB370" s="4"/>
      <c r="YC370" s="5"/>
      <c r="YD370" s="6"/>
      <c r="YE370" s="4"/>
      <c r="YF370" s="4"/>
      <c r="YG370" s="4"/>
      <c r="YH370" s="4"/>
      <c r="YI370" s="4"/>
      <c r="YJ370" s="5"/>
      <c r="YK370" s="6"/>
      <c r="YL370" s="4"/>
      <c r="YM370" s="4"/>
      <c r="YN370" s="4"/>
      <c r="YO370" s="4"/>
      <c r="YP370" s="4"/>
      <c r="YQ370" s="5"/>
      <c r="YR370" s="6"/>
      <c r="YS370" s="4"/>
      <c r="YT370" s="4"/>
      <c r="YU370" s="4"/>
      <c r="YV370" s="4"/>
      <c r="YW370" s="4"/>
      <c r="YX370" s="5"/>
      <c r="YY370" s="6"/>
      <c r="YZ370" s="4"/>
      <c r="ZA370" s="4"/>
      <c r="ZB370" s="4"/>
      <c r="ZC370" s="4"/>
      <c r="ZD370" s="4"/>
      <c r="ZE370" s="5"/>
      <c r="ZF370" s="6"/>
      <c r="ZG370" s="4"/>
      <c r="ZH370" s="4"/>
      <c r="ZI370" s="4"/>
      <c r="ZJ370" s="4"/>
      <c r="ZK370" s="4"/>
      <c r="ZL370" s="5"/>
      <c r="ZM370" s="6"/>
      <c r="ZN370" s="4"/>
      <c r="ZO370" s="4"/>
      <c r="ZP370" s="4"/>
      <c r="ZQ370" s="4"/>
      <c r="ZR370" s="4"/>
      <c r="ZS370" s="5"/>
      <c r="ZT370" s="6"/>
      <c r="ZU370" s="4"/>
      <c r="ZV370" s="4"/>
      <c r="ZW370" s="4"/>
      <c r="ZX370" s="4"/>
      <c r="ZY370" s="4"/>
      <c r="ZZ370" s="5"/>
      <c r="AAA370" s="6"/>
      <c r="AAB370" s="4"/>
      <c r="AAC370" s="4"/>
      <c r="AAD370" s="4"/>
      <c r="AAE370" s="4"/>
      <c r="AAF370" s="4"/>
      <c r="AAG370" s="5"/>
      <c r="AAH370" s="6"/>
      <c r="AAI370" s="4"/>
      <c r="AAJ370" s="4"/>
      <c r="AAK370" s="4"/>
      <c r="AAL370" s="4"/>
      <c r="AAM370" s="4"/>
      <c r="AAN370" s="5"/>
      <c r="AAO370" s="6"/>
      <c r="AAP370" s="4"/>
      <c r="AAQ370" s="4"/>
      <c r="AAR370" s="4"/>
      <c r="AAS370" s="4"/>
      <c r="AAT370" s="4"/>
      <c r="AAU370" s="5"/>
      <c r="AAV370" s="6"/>
      <c r="AAW370" s="4"/>
      <c r="AAX370" s="4"/>
      <c r="AAY370" s="4"/>
      <c r="AAZ370" s="4"/>
      <c r="ABA370" s="4"/>
      <c r="ABB370" s="5"/>
      <c r="ABC370" s="6"/>
      <c r="ABD370" s="4"/>
      <c r="ABE370" s="4"/>
      <c r="ABF370" s="4"/>
      <c r="ABG370" s="4"/>
      <c r="ABH370" s="4"/>
      <c r="ABI370" s="5"/>
      <c r="ABJ370" s="6"/>
      <c r="ABK370" s="4"/>
      <c r="ABL370" s="4"/>
      <c r="ABM370" s="4"/>
      <c r="ABN370" s="4"/>
      <c r="ABO370" s="4"/>
      <c r="ABP370" s="5"/>
      <c r="ABQ370" s="6"/>
      <c r="ABR370" s="4"/>
      <c r="ABS370" s="4"/>
      <c r="ABT370" s="4"/>
      <c r="ABU370" s="4"/>
      <c r="ABV370" s="4"/>
      <c r="ABW370" s="5"/>
      <c r="ABX370" s="6"/>
      <c r="ABY370" s="4"/>
      <c r="ABZ370" s="4"/>
      <c r="ACA370" s="4"/>
      <c r="ACB370" s="4"/>
      <c r="ACC370" s="4"/>
      <c r="ACD370" s="5"/>
      <c r="ACE370" s="6"/>
      <c r="ACF370" s="4"/>
      <c r="ACG370" s="4"/>
      <c r="ACH370" s="4"/>
      <c r="ACI370" s="4"/>
      <c r="ACJ370" s="4"/>
      <c r="ACK370" s="5"/>
      <c r="ACL370" s="6"/>
      <c r="ACM370" s="4"/>
      <c r="ACN370" s="4"/>
      <c r="ACO370" s="4"/>
      <c r="ACP370" s="4"/>
      <c r="ACQ370" s="4"/>
      <c r="ACR370" s="5"/>
      <c r="ACS370" s="6"/>
      <c r="ACT370" s="4"/>
      <c r="ACU370" s="4"/>
      <c r="ACV370" s="4"/>
      <c r="ACW370" s="4"/>
      <c r="ACX370" s="4"/>
      <c r="ACY370" s="5"/>
    </row>
    <row r="371" spans="2:805" x14ac:dyDescent="0.25">
      <c r="B371" s="49">
        <v>8017001</v>
      </c>
      <c r="C371" s="57">
        <v>71</v>
      </c>
      <c r="D371" t="s">
        <v>406</v>
      </c>
      <c r="E371" s="35" t="s">
        <v>181</v>
      </c>
      <c r="F371" s="23">
        <v>1</v>
      </c>
      <c r="G371" s="31">
        <v>38352</v>
      </c>
      <c r="H371" s="23" t="s">
        <v>323</v>
      </c>
      <c r="J371" s="12"/>
      <c r="K371" s="12"/>
      <c r="L371" s="12"/>
      <c r="M371">
        <v>1</v>
      </c>
      <c r="N371" s="17">
        <v>38333</v>
      </c>
      <c r="P371" t="s">
        <v>407</v>
      </c>
      <c r="Q371">
        <v>1</v>
      </c>
      <c r="S371">
        <v>1</v>
      </c>
      <c r="AF371">
        <v>1</v>
      </c>
      <c r="AL371">
        <v>1</v>
      </c>
      <c r="AM371">
        <v>1</v>
      </c>
      <c r="AO371">
        <v>1</v>
      </c>
      <c r="AY371">
        <v>1</v>
      </c>
      <c r="LL371" s="6"/>
      <c r="LM371" s="4"/>
      <c r="LN371" s="4"/>
      <c r="LO371" s="4"/>
      <c r="LP371" s="4"/>
      <c r="LQ371" s="4"/>
      <c r="LR371" s="5"/>
      <c r="LS371" s="6"/>
      <c r="LT371" s="4"/>
      <c r="LU371" s="4"/>
      <c r="LV371" s="4"/>
      <c r="LW371" s="4"/>
      <c r="LX371" s="4"/>
      <c r="LY371" s="5"/>
      <c r="LZ371" s="6" t="s">
        <v>1154</v>
      </c>
      <c r="MA371" s="7" t="s">
        <v>2525</v>
      </c>
      <c r="MB371" s="4" t="s">
        <v>1848</v>
      </c>
      <c r="MC371" s="7" t="s">
        <v>3027</v>
      </c>
      <c r="MD371" s="8">
        <v>38317</v>
      </c>
      <c r="ME371" s="8">
        <v>38317</v>
      </c>
      <c r="MF371" s="8"/>
      <c r="MG371" s="5" t="s">
        <v>408</v>
      </c>
      <c r="MH371" s="6"/>
      <c r="MI371" s="4"/>
      <c r="MJ371" s="4"/>
      <c r="MK371" s="4"/>
      <c r="ML371" s="4"/>
      <c r="MM371" s="4"/>
      <c r="MN371" s="5"/>
      <c r="MO371" s="6"/>
      <c r="MP371" s="4"/>
      <c r="MQ371" s="4"/>
      <c r="MR371" s="4"/>
      <c r="MS371" s="4"/>
      <c r="MT371" s="4"/>
      <c r="MU371" s="5"/>
      <c r="MV371" s="6"/>
      <c r="MW371" s="4"/>
      <c r="MX371" s="4"/>
      <c r="MY371" s="4"/>
      <c r="MZ371" s="4"/>
      <c r="NA371" s="4"/>
      <c r="NB371" s="5"/>
      <c r="NC371" s="6" t="s">
        <v>3256</v>
      </c>
      <c r="ND371" s="4" t="s">
        <v>3256</v>
      </c>
      <c r="NE371" s="4" t="s">
        <v>732</v>
      </c>
      <c r="NF371" s="7" t="s">
        <v>2771</v>
      </c>
      <c r="NG371" s="8">
        <v>38321</v>
      </c>
      <c r="NH371" s="8">
        <v>38323</v>
      </c>
      <c r="NI371" s="5" t="s">
        <v>285</v>
      </c>
      <c r="NJ371" s="6" t="s">
        <v>1706</v>
      </c>
      <c r="NK371" s="4" t="s">
        <v>960</v>
      </c>
      <c r="NL371" s="4" t="s">
        <v>733</v>
      </c>
      <c r="NM371" s="7" t="s">
        <v>1600</v>
      </c>
      <c r="NN371" s="8">
        <v>38316</v>
      </c>
      <c r="NO371" s="8">
        <v>38323</v>
      </c>
      <c r="NP371" s="5" t="s">
        <v>286</v>
      </c>
      <c r="NQ371" s="6"/>
      <c r="NR371" s="4"/>
      <c r="NS371" s="4"/>
      <c r="NT371" s="4"/>
      <c r="NU371" s="4"/>
      <c r="NV371" s="4"/>
      <c r="NW371" s="5"/>
      <c r="NX371" s="6"/>
      <c r="NY371" s="4"/>
      <c r="NZ371" s="4"/>
      <c r="OA371" s="4"/>
      <c r="OB371" s="4"/>
      <c r="OC371" s="4"/>
      <c r="OD371" s="5"/>
      <c r="OE371" s="6"/>
      <c r="OF371" s="4"/>
      <c r="OG371" s="4"/>
      <c r="OH371" s="4"/>
      <c r="OI371" s="4"/>
      <c r="OJ371" s="4"/>
      <c r="OK371" s="5"/>
      <c r="OL371" s="6"/>
      <c r="OM371" s="4"/>
      <c r="ON371" s="4"/>
      <c r="OO371" s="4"/>
      <c r="OP371" s="4"/>
      <c r="OQ371" s="4"/>
      <c r="OR371" s="5"/>
      <c r="OS371" s="6"/>
      <c r="OT371" s="4"/>
      <c r="OU371" s="4"/>
      <c r="OV371" s="4"/>
      <c r="OW371" s="4"/>
      <c r="OX371" s="4"/>
      <c r="OY371" s="5"/>
      <c r="OZ371" s="6" t="s">
        <v>896</v>
      </c>
      <c r="PA371" s="4" t="s">
        <v>897</v>
      </c>
      <c r="PB371" s="4" t="s">
        <v>3590</v>
      </c>
      <c r="PC371" s="7" t="s">
        <v>2771</v>
      </c>
      <c r="PD371" s="8">
        <v>38322</v>
      </c>
      <c r="PE371" s="8">
        <v>38323</v>
      </c>
      <c r="PF371" s="5" t="s">
        <v>287</v>
      </c>
      <c r="PG371" s="6"/>
      <c r="PH371" s="4"/>
      <c r="PI371" s="4"/>
      <c r="PJ371" s="4"/>
      <c r="PK371" s="4"/>
      <c r="PL371" s="4"/>
      <c r="PM371" s="5"/>
      <c r="PN371" s="6"/>
      <c r="PO371" s="4"/>
      <c r="PP371" s="4"/>
      <c r="PQ371" s="4"/>
      <c r="PR371" s="4"/>
      <c r="PS371" s="4"/>
      <c r="PT371" s="5"/>
      <c r="PU371" s="6"/>
      <c r="PV371" s="4"/>
      <c r="PW371" s="4"/>
      <c r="PX371" s="4"/>
      <c r="PY371" s="4"/>
      <c r="PZ371" s="4"/>
      <c r="QA371" s="5"/>
      <c r="QB371" s="6"/>
      <c r="QC371" s="4"/>
      <c r="QD371" s="4"/>
      <c r="QE371" s="4"/>
      <c r="QF371" s="4"/>
      <c r="QG371" s="4"/>
      <c r="QH371" s="5"/>
      <c r="QI371" s="6"/>
      <c r="QJ371" s="4"/>
      <c r="QK371" s="4"/>
      <c r="QL371" s="4"/>
      <c r="QM371" s="4"/>
      <c r="QN371" s="4"/>
      <c r="QO371" s="5"/>
      <c r="QP371" s="6"/>
      <c r="QQ371" s="4"/>
      <c r="QR371" s="4"/>
      <c r="QS371" s="4"/>
      <c r="QT371" s="4"/>
      <c r="QU371" s="4"/>
      <c r="QV371" s="5"/>
      <c r="QW371" s="6"/>
      <c r="QX371" s="4"/>
      <c r="QY371" s="4"/>
      <c r="QZ371" s="4"/>
      <c r="RA371" s="4"/>
      <c r="RB371" s="4"/>
      <c r="RC371" s="5"/>
      <c r="RD371" s="6"/>
      <c r="RE371" s="4"/>
      <c r="RF371" s="4"/>
      <c r="RG371" s="4"/>
      <c r="RH371" s="4"/>
      <c r="RI371" s="4"/>
      <c r="RJ371" s="5"/>
      <c r="RK371" s="6"/>
      <c r="RL371" s="4"/>
      <c r="RM371" s="4"/>
      <c r="RN371" s="4"/>
      <c r="RO371" s="4"/>
      <c r="RP371" s="4"/>
      <c r="RQ371" s="5"/>
      <c r="RR371" s="6"/>
      <c r="RS371" s="4"/>
      <c r="RT371" s="4"/>
      <c r="RU371" s="4"/>
      <c r="RV371" s="4"/>
      <c r="RW371" s="4"/>
      <c r="RX371" s="5"/>
      <c r="RY371" s="6"/>
      <c r="RZ371" s="4"/>
      <c r="SA371" s="4"/>
      <c r="SB371" s="4"/>
      <c r="SC371" s="4"/>
      <c r="SD371" s="4"/>
      <c r="SE371" s="5"/>
      <c r="SF371" s="6"/>
      <c r="SG371" s="4"/>
      <c r="SH371" s="4"/>
      <c r="SI371" s="4"/>
      <c r="SJ371" s="4"/>
      <c r="SK371" s="4"/>
      <c r="SL371" s="5"/>
      <c r="SM371" s="6"/>
      <c r="SN371" s="4"/>
      <c r="SO371" s="4"/>
      <c r="SP371" s="4"/>
      <c r="SQ371" s="4"/>
      <c r="SR371" s="4"/>
      <c r="SS371" s="5"/>
      <c r="ST371" s="6"/>
      <c r="SU371" s="4"/>
      <c r="SV371" s="4"/>
      <c r="SW371" s="4"/>
      <c r="SX371" s="4"/>
      <c r="SY371" s="4"/>
      <c r="SZ371" s="5"/>
      <c r="TA371" s="6"/>
      <c r="TB371" s="4"/>
      <c r="TC371" s="4"/>
      <c r="TD371" s="4"/>
      <c r="TE371" s="4"/>
      <c r="TF371" s="4"/>
      <c r="TG371" s="5"/>
      <c r="TH371" s="6"/>
      <c r="TI371" s="4"/>
      <c r="TJ371" s="4"/>
      <c r="TK371" s="4"/>
      <c r="TL371" s="4"/>
      <c r="TM371" s="4"/>
      <c r="TN371" s="5"/>
      <c r="TO371" s="6"/>
      <c r="TP371" s="4"/>
      <c r="TQ371" s="4"/>
      <c r="TR371" s="4"/>
      <c r="TS371" s="4"/>
      <c r="TT371" s="4"/>
      <c r="TU371" s="5"/>
      <c r="TV371" s="6"/>
      <c r="TW371" s="4"/>
      <c r="TX371" s="4"/>
      <c r="TY371" s="4"/>
      <c r="TZ371" s="4"/>
      <c r="UA371" s="4"/>
      <c r="UB371" s="5"/>
      <c r="UC371" s="6"/>
      <c r="UD371" s="4"/>
      <c r="UE371" s="4"/>
      <c r="UF371" s="4"/>
      <c r="UG371" s="4"/>
      <c r="UH371" s="4"/>
      <c r="UI371" s="5"/>
      <c r="UJ371" s="6"/>
      <c r="UK371" s="4"/>
      <c r="UL371" s="4"/>
      <c r="UM371" s="4"/>
      <c r="UN371" s="4"/>
      <c r="UO371" s="4"/>
      <c r="UP371" s="5"/>
      <c r="UQ371" s="6" t="s">
        <v>734</v>
      </c>
      <c r="UR371" s="4" t="s">
        <v>734</v>
      </c>
      <c r="US371" s="4" t="s">
        <v>735</v>
      </c>
      <c r="UT371" s="7" t="s">
        <v>3027</v>
      </c>
      <c r="UU371" s="8">
        <v>38331</v>
      </c>
      <c r="UV371" s="8">
        <v>38331</v>
      </c>
      <c r="UW371" s="5" t="s">
        <v>288</v>
      </c>
      <c r="UX371" s="6" t="s">
        <v>736</v>
      </c>
      <c r="UY371" s="4" t="s">
        <v>737</v>
      </c>
      <c r="UZ371" s="4"/>
      <c r="VA371" s="4"/>
      <c r="VB371" s="4"/>
      <c r="VC371" s="8">
        <v>38331</v>
      </c>
      <c r="VD371" s="5" t="s">
        <v>289</v>
      </c>
      <c r="VE371" s="6"/>
      <c r="VF371" s="4"/>
      <c r="VG371" s="4"/>
      <c r="VH371" s="4"/>
      <c r="VI371" s="4"/>
      <c r="VJ371" s="4"/>
      <c r="VK371" s="5"/>
      <c r="VL371" s="6"/>
      <c r="VM371" s="4"/>
      <c r="VN371" s="4"/>
      <c r="VO371" s="4"/>
      <c r="VP371" s="4"/>
      <c r="VQ371" s="4"/>
      <c r="VR371" s="5"/>
      <c r="VS371" s="6"/>
      <c r="VT371" s="4"/>
      <c r="VU371" s="4"/>
      <c r="VV371" s="4"/>
      <c r="VW371" s="4"/>
      <c r="VX371" s="4"/>
      <c r="VY371" s="5"/>
      <c r="VZ371" s="6"/>
      <c r="WA371" s="4"/>
      <c r="WB371" s="4"/>
      <c r="WC371" s="4"/>
      <c r="WD371" s="4"/>
      <c r="WE371" s="4"/>
      <c r="WF371" s="5"/>
      <c r="WG371" s="6"/>
      <c r="WH371" s="4"/>
      <c r="WI371" s="4"/>
      <c r="WJ371" s="4"/>
      <c r="WK371" s="4"/>
      <c r="WL371" s="4"/>
      <c r="WM371" s="5"/>
      <c r="WN371" s="6"/>
      <c r="WO371" s="4"/>
      <c r="WP371" s="4"/>
      <c r="WQ371" s="4"/>
      <c r="WR371" s="4"/>
      <c r="WS371" s="4"/>
      <c r="WT371" s="5"/>
      <c r="WU371" s="6"/>
      <c r="WV371" s="4"/>
      <c r="WW371" s="4"/>
      <c r="WX371" s="4"/>
      <c r="WY371" s="4"/>
      <c r="WZ371" s="4"/>
      <c r="XA371" s="5"/>
      <c r="XB371" s="6"/>
      <c r="XC371" s="4"/>
      <c r="XD371" s="4"/>
      <c r="XE371" s="4"/>
      <c r="XF371" s="4"/>
      <c r="XG371" s="4"/>
      <c r="XH371" s="5"/>
      <c r="XI371" s="6" t="s">
        <v>738</v>
      </c>
      <c r="XJ371" s="4" t="s">
        <v>739</v>
      </c>
      <c r="XK371" s="4" t="s">
        <v>2987</v>
      </c>
      <c r="XL371" s="7" t="s">
        <v>1600</v>
      </c>
      <c r="XM371" s="8">
        <v>38323</v>
      </c>
      <c r="XN371" s="8">
        <v>38331</v>
      </c>
      <c r="XO371" s="5" t="s">
        <v>290</v>
      </c>
      <c r="XP371" s="6"/>
      <c r="XQ371" s="4"/>
      <c r="XR371" s="4"/>
      <c r="XS371" s="4"/>
      <c r="XT371" s="4"/>
      <c r="XU371" s="4"/>
      <c r="XV371" s="5"/>
      <c r="XW371" s="6"/>
      <c r="XX371" s="4"/>
      <c r="XY371" s="4"/>
      <c r="XZ371" s="4"/>
      <c r="YA371" s="4"/>
      <c r="YB371" s="4"/>
      <c r="YC371" s="5"/>
      <c r="YD371" s="6"/>
      <c r="YE371" s="4"/>
      <c r="YF371" s="4"/>
      <c r="YG371" s="4"/>
      <c r="YH371" s="4"/>
      <c r="YI371" s="4"/>
      <c r="YJ371" s="5"/>
      <c r="YK371" s="6" t="s">
        <v>2836</v>
      </c>
      <c r="YL371" s="4" t="s">
        <v>2837</v>
      </c>
      <c r="YM371" s="4" t="s">
        <v>649</v>
      </c>
      <c r="YN371" s="7" t="s">
        <v>1595</v>
      </c>
      <c r="YO371" s="8">
        <v>38326</v>
      </c>
      <c r="YP371" s="8">
        <v>38331</v>
      </c>
      <c r="YQ371" s="5" t="s">
        <v>291</v>
      </c>
      <c r="YR371" s="6"/>
      <c r="YS371" s="4"/>
      <c r="YT371" s="4"/>
      <c r="YU371" s="4"/>
      <c r="YV371" s="4"/>
      <c r="YW371" s="4"/>
      <c r="YX371" s="5"/>
      <c r="YY371" s="6"/>
      <c r="YZ371" s="4"/>
      <c r="ZA371" s="4"/>
      <c r="ZB371" s="4"/>
      <c r="ZC371" s="4"/>
      <c r="ZD371" s="4"/>
      <c r="ZE371" s="5"/>
      <c r="ZF371" s="6"/>
      <c r="ZG371" s="4"/>
      <c r="ZH371" s="4"/>
      <c r="ZI371" s="4"/>
      <c r="ZJ371" s="4"/>
      <c r="ZK371" s="4"/>
      <c r="ZL371" s="5"/>
      <c r="ZM371" s="6" t="s">
        <v>2979</v>
      </c>
      <c r="ZN371" s="4" t="s">
        <v>887</v>
      </c>
      <c r="ZO371" s="4" t="s">
        <v>828</v>
      </c>
      <c r="ZP371" s="7" t="s">
        <v>2607</v>
      </c>
      <c r="ZQ371" s="8">
        <v>38327</v>
      </c>
      <c r="ZR371" s="8">
        <v>38331</v>
      </c>
      <c r="ZS371" s="5" t="s">
        <v>420</v>
      </c>
      <c r="ZT371" s="6"/>
      <c r="ZU371" s="4"/>
      <c r="ZV371" s="4"/>
      <c r="ZW371" s="4"/>
      <c r="ZX371" s="4"/>
      <c r="ZY371" s="4"/>
      <c r="ZZ371" s="5"/>
      <c r="AAA371" s="6"/>
      <c r="AAB371" s="4"/>
      <c r="AAC371" s="4"/>
      <c r="AAD371" s="4"/>
      <c r="AAE371" s="4"/>
      <c r="AAF371" s="4"/>
      <c r="AAG371" s="5"/>
      <c r="AAH371" s="6" t="s">
        <v>2937</v>
      </c>
      <c r="AAI371" s="4" t="s">
        <v>2937</v>
      </c>
      <c r="AAJ371" s="4"/>
      <c r="AAK371" s="4" t="s">
        <v>3027</v>
      </c>
      <c r="AAL371" s="8">
        <v>38316</v>
      </c>
      <c r="AAM371" s="8">
        <v>38316</v>
      </c>
      <c r="AAN371" s="5" t="s">
        <v>404</v>
      </c>
      <c r="AAO371" s="6"/>
      <c r="AAP371" s="4"/>
      <c r="AAQ371" s="4"/>
      <c r="AAR371" s="4"/>
      <c r="AAS371" s="4"/>
      <c r="AAT371" s="4"/>
      <c r="AAU371" s="5"/>
      <c r="AAV371" s="6"/>
      <c r="AAW371" s="4"/>
      <c r="AAX371" s="4"/>
      <c r="AAY371" s="4"/>
      <c r="AAZ371" s="4"/>
      <c r="ABA371" s="4"/>
      <c r="ABB371" s="5"/>
      <c r="ABC371" s="6"/>
      <c r="ABD371" s="4"/>
      <c r="ABE371" s="4"/>
      <c r="ABF371" s="4"/>
      <c r="ABG371" s="4"/>
      <c r="ABH371" s="4"/>
      <c r="ABI371" s="5"/>
      <c r="ABJ371" s="6" t="s">
        <v>953</v>
      </c>
      <c r="ABK371" s="4" t="s">
        <v>1946</v>
      </c>
      <c r="ABL371" s="4"/>
      <c r="ABM371" s="4" t="s">
        <v>1600</v>
      </c>
      <c r="ABN371" s="8">
        <v>38323</v>
      </c>
      <c r="ABO371" s="8">
        <v>38331</v>
      </c>
      <c r="ABP371" s="5" t="s">
        <v>421</v>
      </c>
      <c r="ABQ371" s="6" t="s">
        <v>3117</v>
      </c>
      <c r="ABR371" s="7" t="s">
        <v>2939</v>
      </c>
      <c r="ABS371" s="4" t="s">
        <v>3590</v>
      </c>
      <c r="ABT371" s="7" t="s">
        <v>2702</v>
      </c>
      <c r="ABU371" s="8">
        <v>38330</v>
      </c>
      <c r="ABV371" s="8">
        <v>38331</v>
      </c>
      <c r="ABW371" s="5" t="s">
        <v>422</v>
      </c>
      <c r="ABX371" s="6"/>
      <c r="ABY371" s="4"/>
      <c r="ABZ371" s="4"/>
      <c r="ACA371" s="4"/>
      <c r="ACB371" s="4"/>
      <c r="ACC371" s="4"/>
      <c r="ACD371" s="5"/>
      <c r="ACE371" s="6"/>
      <c r="ACF371" s="4"/>
      <c r="ACG371" s="4"/>
      <c r="ACH371" s="4"/>
      <c r="ACI371" s="4"/>
      <c r="ACJ371" s="4"/>
      <c r="ACK371" s="5"/>
      <c r="ACL371" s="6"/>
      <c r="ACM371" s="4"/>
      <c r="ACN371" s="4"/>
      <c r="ACO371" s="4"/>
      <c r="ACP371" s="4"/>
      <c r="ACQ371" s="4"/>
      <c r="ACR371" s="5"/>
      <c r="ACS371" s="6"/>
      <c r="ACT371" s="4"/>
      <c r="ACU371" s="4"/>
      <c r="ACV371" s="4"/>
      <c r="ACW371" s="4"/>
      <c r="ACX371" s="4"/>
      <c r="ACY371" s="5"/>
      <c r="ADF371" t="s">
        <v>429</v>
      </c>
      <c r="ADG371" t="s">
        <v>424</v>
      </c>
      <c r="ADL371" t="s">
        <v>423</v>
      </c>
      <c r="ADM371" t="s">
        <v>427</v>
      </c>
      <c r="ADN371" t="s">
        <v>428</v>
      </c>
      <c r="ADO371" t="s">
        <v>425</v>
      </c>
      <c r="ADV371" t="s">
        <v>426</v>
      </c>
      <c r="ADY371" t="s">
        <v>275</v>
      </c>
    </row>
    <row r="372" spans="2:805" x14ac:dyDescent="0.25">
      <c r="B372" s="30"/>
      <c r="J372" s="12"/>
      <c r="K372" s="12"/>
      <c r="L372" s="12"/>
      <c r="LL372" s="6"/>
      <c r="LM372" s="4"/>
      <c r="LN372" s="4"/>
      <c r="LO372" s="4"/>
      <c r="LP372" s="4"/>
      <c r="LQ372" s="4"/>
      <c r="LR372" s="5"/>
      <c r="LS372" s="6"/>
      <c r="LT372" s="4"/>
      <c r="LU372" s="4"/>
      <c r="LV372" s="4"/>
      <c r="LW372" s="4"/>
      <c r="LX372" s="4"/>
      <c r="LY372" s="5"/>
      <c r="LZ372" s="15" t="s">
        <v>956</v>
      </c>
      <c r="MA372" s="12" t="s">
        <v>957</v>
      </c>
      <c r="MB372" s="7" t="s">
        <v>1848</v>
      </c>
      <c r="MC372" s="7" t="s">
        <v>2607</v>
      </c>
      <c r="MD372" s="8">
        <v>38327</v>
      </c>
      <c r="ME372" s="8">
        <v>38331</v>
      </c>
      <c r="MF372" s="8"/>
      <c r="MG372" s="5" t="s">
        <v>409</v>
      </c>
      <c r="MH372" s="6"/>
      <c r="MI372" s="4"/>
      <c r="MJ372" s="4"/>
      <c r="MK372" s="4"/>
      <c r="ML372" s="4"/>
      <c r="MM372" s="4"/>
      <c r="MN372" s="5"/>
      <c r="MO372" s="6"/>
      <c r="MP372" s="4"/>
      <c r="MQ372" s="4"/>
      <c r="MR372" s="4"/>
      <c r="MS372" s="4"/>
      <c r="MT372" s="4"/>
      <c r="MU372" s="5"/>
      <c r="MV372" s="6"/>
      <c r="MW372" s="4"/>
      <c r="MX372" s="4"/>
      <c r="MY372" s="4"/>
      <c r="MZ372" s="4"/>
      <c r="NA372" s="4"/>
      <c r="NB372" s="5"/>
      <c r="NC372" s="6"/>
      <c r="ND372" s="4"/>
      <c r="NE372" s="4"/>
      <c r="NF372" s="7"/>
      <c r="NG372" s="8"/>
      <c r="NH372" s="8"/>
      <c r="NI372" s="5"/>
      <c r="NJ372" s="6"/>
      <c r="NK372" s="4"/>
      <c r="NL372" s="4"/>
      <c r="NM372" s="4"/>
      <c r="NN372" s="4"/>
      <c r="NO372" s="4"/>
      <c r="NP372" s="5"/>
      <c r="NQ372" s="6"/>
      <c r="NR372" s="4"/>
      <c r="NS372" s="4"/>
      <c r="NT372" s="4"/>
      <c r="NU372" s="4"/>
      <c r="NV372" s="4"/>
      <c r="NW372" s="5"/>
      <c r="NX372" s="6"/>
      <c r="NY372" s="4"/>
      <c r="NZ372" s="4"/>
      <c r="OA372" s="4"/>
      <c r="OB372" s="4"/>
      <c r="OC372" s="4"/>
      <c r="OD372" s="5"/>
      <c r="OE372" s="6"/>
      <c r="OF372" s="4"/>
      <c r="OG372" s="4"/>
      <c r="OH372" s="4"/>
      <c r="OI372" s="4"/>
      <c r="OJ372" s="4"/>
      <c r="OK372" s="5"/>
      <c r="OL372" s="6"/>
      <c r="OM372" s="4"/>
      <c r="ON372" s="4"/>
      <c r="OO372" s="4"/>
      <c r="OP372" s="4"/>
      <c r="OQ372" s="4"/>
      <c r="OR372" s="5"/>
      <c r="OS372" s="6"/>
      <c r="OT372" s="4"/>
      <c r="OU372" s="4"/>
      <c r="OV372" s="4"/>
      <c r="OW372" s="4"/>
      <c r="OX372" s="4"/>
      <c r="OY372" s="5"/>
      <c r="OZ372" s="6"/>
      <c r="PA372" s="4"/>
      <c r="PB372" s="4"/>
      <c r="PC372" s="4"/>
      <c r="PD372" s="4"/>
      <c r="PE372" s="4"/>
      <c r="PF372" s="5"/>
      <c r="PG372" s="6"/>
      <c r="PH372" s="4"/>
      <c r="PI372" s="4"/>
      <c r="PJ372" s="4"/>
      <c r="PK372" s="4"/>
      <c r="PL372" s="4"/>
      <c r="PM372" s="5"/>
      <c r="PN372" s="6"/>
      <c r="PO372" s="4"/>
      <c r="PP372" s="4"/>
      <c r="PQ372" s="4"/>
      <c r="PR372" s="4"/>
      <c r="PS372" s="4"/>
      <c r="PT372" s="5"/>
      <c r="PU372" s="6"/>
      <c r="PV372" s="4"/>
      <c r="PW372" s="4"/>
      <c r="PX372" s="4"/>
      <c r="PY372" s="4"/>
      <c r="PZ372" s="4"/>
      <c r="QA372" s="5"/>
      <c r="QB372" s="6"/>
      <c r="QC372" s="4"/>
      <c r="QD372" s="4"/>
      <c r="QE372" s="4"/>
      <c r="QF372" s="4"/>
      <c r="QG372" s="4"/>
      <c r="QH372" s="5"/>
      <c r="QI372" s="6"/>
      <c r="QJ372" s="4"/>
      <c r="QK372" s="4"/>
      <c r="QL372" s="4"/>
      <c r="QM372" s="4"/>
      <c r="QN372" s="4"/>
      <c r="QO372" s="5"/>
      <c r="QP372" s="6"/>
      <c r="QQ372" s="4"/>
      <c r="QR372" s="4"/>
      <c r="QS372" s="4"/>
      <c r="QT372" s="4"/>
      <c r="QU372" s="4"/>
      <c r="QV372" s="5"/>
      <c r="QW372" s="6"/>
      <c r="QX372" s="4"/>
      <c r="QY372" s="4"/>
      <c r="QZ372" s="4"/>
      <c r="RA372" s="4"/>
      <c r="RB372" s="4"/>
      <c r="RC372" s="5"/>
      <c r="RD372" s="6"/>
      <c r="RE372" s="4"/>
      <c r="RF372" s="4"/>
      <c r="RG372" s="4"/>
      <c r="RH372" s="4"/>
      <c r="RI372" s="4"/>
      <c r="RJ372" s="5"/>
      <c r="RK372" s="6"/>
      <c r="RL372" s="4"/>
      <c r="RM372" s="4"/>
      <c r="RN372" s="4"/>
      <c r="RO372" s="4"/>
      <c r="RP372" s="4"/>
      <c r="RQ372" s="5"/>
      <c r="RR372" s="6"/>
      <c r="RS372" s="4"/>
      <c r="RT372" s="4"/>
      <c r="RU372" s="4"/>
      <c r="RV372" s="4"/>
      <c r="RW372" s="4"/>
      <c r="RX372" s="5"/>
      <c r="RY372" s="6"/>
      <c r="RZ372" s="4"/>
      <c r="SA372" s="4"/>
      <c r="SB372" s="4"/>
      <c r="SC372" s="4"/>
      <c r="SD372" s="4"/>
      <c r="SE372" s="5"/>
      <c r="SF372" s="6"/>
      <c r="SG372" s="4"/>
      <c r="SH372" s="4"/>
      <c r="SI372" s="4"/>
      <c r="SJ372" s="4"/>
      <c r="SK372" s="4"/>
      <c r="SL372" s="5"/>
      <c r="SM372" s="6"/>
      <c r="SN372" s="4"/>
      <c r="SO372" s="4"/>
      <c r="SP372" s="4"/>
      <c r="SQ372" s="4"/>
      <c r="SR372" s="4"/>
      <c r="SS372" s="5"/>
      <c r="ST372" s="6"/>
      <c r="SU372" s="4"/>
      <c r="SV372" s="4"/>
      <c r="SW372" s="4"/>
      <c r="SX372" s="4"/>
      <c r="SY372" s="4"/>
      <c r="SZ372" s="5"/>
      <c r="TA372" s="6"/>
      <c r="TB372" s="4"/>
      <c r="TC372" s="4"/>
      <c r="TD372" s="4"/>
      <c r="TE372" s="4"/>
      <c r="TF372" s="4"/>
      <c r="TG372" s="5"/>
      <c r="TH372" s="6"/>
      <c r="TI372" s="4"/>
      <c r="TJ372" s="4"/>
      <c r="TK372" s="4"/>
      <c r="TL372" s="4"/>
      <c r="TM372" s="4"/>
      <c r="TN372" s="5"/>
      <c r="TO372" s="6"/>
      <c r="TP372" s="4"/>
      <c r="TQ372" s="4"/>
      <c r="TR372" s="4"/>
      <c r="TS372" s="4"/>
      <c r="TT372" s="4"/>
      <c r="TU372" s="5"/>
      <c r="TV372" s="6"/>
      <c r="TW372" s="4"/>
      <c r="TX372" s="4"/>
      <c r="TY372" s="4"/>
      <c r="TZ372" s="4"/>
      <c r="UA372" s="4"/>
      <c r="UB372" s="5"/>
      <c r="UC372" s="6"/>
      <c r="UD372" s="4"/>
      <c r="UE372" s="4"/>
      <c r="UF372" s="4"/>
      <c r="UG372" s="4"/>
      <c r="UH372" s="4"/>
      <c r="UI372" s="5"/>
      <c r="UJ372" s="6"/>
      <c r="UK372" s="4"/>
      <c r="UL372" s="4"/>
      <c r="UM372" s="4"/>
      <c r="UN372" s="4"/>
      <c r="UO372" s="4"/>
      <c r="UP372" s="5"/>
      <c r="UQ372" s="6"/>
      <c r="UR372" s="4"/>
      <c r="US372" s="4"/>
      <c r="UT372" s="4"/>
      <c r="UU372" s="4"/>
      <c r="UV372" s="4"/>
      <c r="UW372" s="5"/>
      <c r="UX372" s="6" t="s">
        <v>880</v>
      </c>
      <c r="UY372" s="4" t="s">
        <v>881</v>
      </c>
      <c r="UZ372" s="4" t="s">
        <v>829</v>
      </c>
      <c r="VA372" s="4"/>
      <c r="VB372" s="4"/>
      <c r="VC372" s="8">
        <v>38331</v>
      </c>
      <c r="VD372" s="5" t="s">
        <v>275</v>
      </c>
      <c r="VE372" s="6"/>
      <c r="VF372" s="4"/>
      <c r="VG372" s="4"/>
      <c r="VH372" s="4"/>
      <c r="VI372" s="4"/>
      <c r="VJ372" s="4"/>
      <c r="VK372" s="5"/>
      <c r="VL372" s="6"/>
      <c r="VM372" s="4"/>
      <c r="VN372" s="4"/>
      <c r="VO372" s="4"/>
      <c r="VP372" s="4"/>
      <c r="VQ372" s="4"/>
      <c r="VR372" s="5"/>
      <c r="VS372" s="6"/>
      <c r="VT372" s="4"/>
      <c r="VU372" s="4"/>
      <c r="VV372" s="4"/>
      <c r="VW372" s="4"/>
      <c r="VX372" s="4"/>
      <c r="VY372" s="5"/>
      <c r="VZ372" s="6"/>
      <c r="WA372" s="4"/>
      <c r="WB372" s="4"/>
      <c r="WC372" s="4"/>
      <c r="WD372" s="4"/>
      <c r="WE372" s="4"/>
      <c r="WF372" s="5"/>
      <c r="WG372" s="6"/>
      <c r="WH372" s="4"/>
      <c r="WI372" s="4"/>
      <c r="WJ372" s="4"/>
      <c r="WK372" s="4"/>
      <c r="WL372" s="4"/>
      <c r="WM372" s="5"/>
      <c r="WN372" s="6"/>
      <c r="WO372" s="4"/>
      <c r="WP372" s="4"/>
      <c r="WQ372" s="4"/>
      <c r="WR372" s="4"/>
      <c r="WS372" s="4"/>
      <c r="WT372" s="5"/>
      <c r="WU372" s="6"/>
      <c r="WV372" s="4"/>
      <c r="WW372" s="4"/>
      <c r="WX372" s="4"/>
      <c r="WY372" s="4"/>
      <c r="WZ372" s="4"/>
      <c r="XA372" s="5"/>
      <c r="XB372" s="6"/>
      <c r="XC372" s="4"/>
      <c r="XD372" s="4"/>
      <c r="XE372" s="4"/>
      <c r="XF372" s="4"/>
      <c r="XG372" s="4"/>
      <c r="XH372" s="5"/>
      <c r="XI372" s="6"/>
      <c r="XJ372" s="4"/>
      <c r="XK372" s="4"/>
      <c r="XL372" s="4"/>
      <c r="XM372" s="4"/>
      <c r="XN372" s="4"/>
      <c r="XO372" s="5"/>
      <c r="XP372" s="6"/>
      <c r="XQ372" s="4"/>
      <c r="XR372" s="4"/>
      <c r="XS372" s="4"/>
      <c r="XT372" s="4"/>
      <c r="XU372" s="4"/>
      <c r="XV372" s="5"/>
      <c r="XW372" s="6"/>
      <c r="XX372" s="4"/>
      <c r="XY372" s="4"/>
      <c r="XZ372" s="4"/>
      <c r="YA372" s="4"/>
      <c r="YB372" s="4"/>
      <c r="YC372" s="5"/>
      <c r="YD372" s="6"/>
      <c r="YE372" s="4"/>
      <c r="YF372" s="4"/>
      <c r="YG372" s="4"/>
      <c r="YH372" s="4"/>
      <c r="YI372" s="4"/>
      <c r="YJ372" s="5"/>
      <c r="YK372" s="6" t="s">
        <v>696</v>
      </c>
      <c r="YL372" s="4" t="s">
        <v>697</v>
      </c>
      <c r="YM372" s="4"/>
      <c r="YN372" s="7" t="s">
        <v>2771</v>
      </c>
      <c r="YO372" s="8">
        <v>38329</v>
      </c>
      <c r="YP372" s="8">
        <v>38332</v>
      </c>
      <c r="YQ372" s="5" t="s">
        <v>292</v>
      </c>
      <c r="YR372" s="6"/>
      <c r="YS372" s="4"/>
      <c r="YT372" s="4"/>
      <c r="YU372" s="4"/>
      <c r="YV372" s="4"/>
      <c r="YW372" s="4"/>
      <c r="YX372" s="5"/>
      <c r="YY372" s="6"/>
      <c r="YZ372" s="4"/>
      <c r="ZA372" s="4"/>
      <c r="ZB372" s="4"/>
      <c r="ZC372" s="4"/>
      <c r="ZD372" s="4"/>
      <c r="ZE372" s="5"/>
      <c r="ZF372" s="6"/>
      <c r="ZG372" s="4"/>
      <c r="ZH372" s="4"/>
      <c r="ZI372" s="4"/>
      <c r="ZJ372" s="4"/>
      <c r="ZK372" s="4"/>
      <c r="ZL372" s="5"/>
      <c r="ZM372" s="6"/>
      <c r="ZN372" s="4"/>
      <c r="ZO372" s="4"/>
      <c r="ZP372" s="4"/>
      <c r="ZQ372" s="4"/>
      <c r="ZR372" s="4"/>
      <c r="ZS372" s="5"/>
      <c r="ZT372" s="6"/>
      <c r="ZU372" s="4"/>
      <c r="ZV372" s="4"/>
      <c r="ZW372" s="4"/>
      <c r="ZX372" s="4"/>
      <c r="ZY372" s="4"/>
      <c r="ZZ372" s="5"/>
      <c r="AAA372" s="6"/>
      <c r="AAB372" s="4"/>
      <c r="AAC372" s="4"/>
      <c r="AAD372" s="4"/>
      <c r="AAE372" s="4"/>
      <c r="AAF372" s="4"/>
      <c r="AAG372" s="5"/>
      <c r="AAH372" s="6"/>
      <c r="AAI372" s="4"/>
      <c r="AAJ372" s="4"/>
      <c r="AAK372" s="4"/>
      <c r="AAL372" s="4"/>
      <c r="AAM372" s="4"/>
      <c r="AAN372" s="5"/>
      <c r="AAO372" s="6"/>
      <c r="AAP372" s="4"/>
      <c r="AAQ372" s="4"/>
      <c r="AAR372" s="4"/>
      <c r="AAS372" s="4"/>
      <c r="AAT372" s="4"/>
      <c r="AAU372" s="5"/>
      <c r="AAV372" s="6"/>
      <c r="AAW372" s="4"/>
      <c r="AAX372" s="4"/>
      <c r="AAY372" s="4"/>
      <c r="AAZ372" s="4"/>
      <c r="ABA372" s="4"/>
      <c r="ABB372" s="5"/>
      <c r="ABC372" s="6"/>
      <c r="ABD372" s="4"/>
      <c r="ABE372" s="4"/>
      <c r="ABF372" s="4"/>
      <c r="ABG372" s="4"/>
      <c r="ABH372" s="4"/>
      <c r="ABI372" s="5"/>
      <c r="ABJ372" s="6"/>
      <c r="ABK372" s="4"/>
      <c r="ABL372" s="4"/>
      <c r="ABM372" s="4"/>
      <c r="ABN372" s="4"/>
      <c r="ABO372" s="4"/>
      <c r="ABP372" s="5"/>
      <c r="ABQ372" s="6"/>
      <c r="ABR372" s="4"/>
      <c r="ABS372" s="4"/>
      <c r="ABT372" s="4"/>
      <c r="ABU372" s="4"/>
      <c r="ABV372" s="4"/>
      <c r="ABW372" s="5"/>
      <c r="ABX372" s="6"/>
      <c r="ABY372" s="4"/>
      <c r="ABZ372" s="4"/>
      <c r="ACA372" s="4"/>
      <c r="ACB372" s="4"/>
      <c r="ACC372" s="4"/>
      <c r="ACD372" s="5"/>
      <c r="ACE372" s="6"/>
      <c r="ACF372" s="4"/>
      <c r="ACG372" s="4"/>
      <c r="ACH372" s="4"/>
      <c r="ACI372" s="4"/>
      <c r="ACJ372" s="4"/>
      <c r="ACK372" s="5"/>
      <c r="ACL372" s="6"/>
      <c r="ACM372" s="4"/>
      <c r="ACN372" s="4"/>
      <c r="ACO372" s="4"/>
      <c r="ACP372" s="4"/>
      <c r="ACQ372" s="4"/>
      <c r="ACR372" s="5"/>
      <c r="ACS372" s="6"/>
      <c r="ACT372" s="4"/>
      <c r="ACU372" s="4"/>
      <c r="ACV372" s="4"/>
      <c r="ACW372" s="4"/>
      <c r="ACX372" s="4"/>
      <c r="ACY372" s="5"/>
    </row>
    <row r="373" spans="2:805" x14ac:dyDescent="0.25">
      <c r="B373" s="30"/>
      <c r="J373" s="12"/>
      <c r="K373" s="12"/>
      <c r="L373" s="12"/>
      <c r="LL373" s="6"/>
      <c r="LM373" s="4"/>
      <c r="LN373" s="4"/>
      <c r="LO373" s="4"/>
      <c r="LP373" s="4"/>
      <c r="LQ373" s="4"/>
      <c r="LR373" s="5"/>
      <c r="LS373" s="6"/>
      <c r="LT373" s="4"/>
      <c r="LU373" s="4"/>
      <c r="LV373" s="4"/>
      <c r="LW373" s="4"/>
      <c r="LX373" s="4"/>
      <c r="LY373" s="5"/>
      <c r="LZ373" s="15" t="s">
        <v>956</v>
      </c>
      <c r="MA373" s="12" t="s">
        <v>957</v>
      </c>
      <c r="MB373" s="7" t="s">
        <v>652</v>
      </c>
      <c r="MC373" s="7" t="s">
        <v>3027</v>
      </c>
      <c r="MD373" s="8">
        <v>38317</v>
      </c>
      <c r="ME373" s="8">
        <v>38317</v>
      </c>
      <c r="MF373" s="8"/>
      <c r="MG373" s="5" t="s">
        <v>410</v>
      </c>
      <c r="MH373" s="6"/>
      <c r="MI373" s="4"/>
      <c r="MJ373" s="4"/>
      <c r="MK373" s="4"/>
      <c r="ML373" s="4"/>
      <c r="MM373" s="4"/>
      <c r="MN373" s="5"/>
      <c r="MO373" s="6"/>
      <c r="MP373" s="4"/>
      <c r="MQ373" s="4"/>
      <c r="MR373" s="4"/>
      <c r="MS373" s="4"/>
      <c r="MT373" s="4"/>
      <c r="MU373" s="5"/>
      <c r="MV373" s="6"/>
      <c r="MW373" s="4"/>
      <c r="MX373" s="4"/>
      <c r="MY373" s="4"/>
      <c r="MZ373" s="4"/>
      <c r="NA373" s="4"/>
      <c r="NB373" s="5"/>
      <c r="NC373" s="6"/>
      <c r="ND373" s="4"/>
      <c r="NE373" s="4"/>
      <c r="NF373" s="7"/>
      <c r="NG373" s="8"/>
      <c r="NH373" s="8"/>
      <c r="NI373" s="5"/>
      <c r="NJ373" s="6"/>
      <c r="NK373" s="4"/>
      <c r="NL373" s="4"/>
      <c r="NM373" s="4"/>
      <c r="NN373" s="4"/>
      <c r="NO373" s="4"/>
      <c r="NP373" s="5"/>
      <c r="NQ373" s="6"/>
      <c r="NR373" s="4"/>
      <c r="NS373" s="4"/>
      <c r="NT373" s="4"/>
      <c r="NU373" s="4"/>
      <c r="NV373" s="4"/>
      <c r="NW373" s="5"/>
      <c r="NX373" s="6"/>
      <c r="NY373" s="4"/>
      <c r="NZ373" s="4"/>
      <c r="OA373" s="4"/>
      <c r="OB373" s="4"/>
      <c r="OC373" s="4"/>
      <c r="OD373" s="5"/>
      <c r="OE373" s="6"/>
      <c r="OF373" s="4"/>
      <c r="OG373" s="4"/>
      <c r="OH373" s="4"/>
      <c r="OI373" s="4"/>
      <c r="OJ373" s="4"/>
      <c r="OK373" s="5"/>
      <c r="OL373" s="6"/>
      <c r="OM373" s="4"/>
      <c r="ON373" s="4"/>
      <c r="OO373" s="4"/>
      <c r="OP373" s="4"/>
      <c r="OQ373" s="4"/>
      <c r="OR373" s="5"/>
      <c r="OS373" s="6"/>
      <c r="OT373" s="4"/>
      <c r="OU373" s="4"/>
      <c r="OV373" s="4"/>
      <c r="OW373" s="4"/>
      <c r="OX373" s="4"/>
      <c r="OY373" s="5"/>
      <c r="OZ373" s="4"/>
      <c r="PA373" s="4"/>
      <c r="PB373" s="4"/>
      <c r="PC373" s="4"/>
      <c r="PD373" s="4"/>
      <c r="PE373" s="4"/>
      <c r="PF373" s="5"/>
      <c r="PG373" s="6"/>
      <c r="PH373" s="4"/>
      <c r="PI373" s="4"/>
      <c r="PJ373" s="4"/>
      <c r="PK373" s="4"/>
      <c r="PL373" s="4"/>
      <c r="PM373" s="5"/>
      <c r="PN373" s="6"/>
      <c r="PO373" s="4"/>
      <c r="PP373" s="4"/>
      <c r="PQ373" s="4"/>
      <c r="PR373" s="4"/>
      <c r="PS373" s="4"/>
      <c r="PT373" s="5"/>
      <c r="PU373" s="6"/>
      <c r="PV373" s="4"/>
      <c r="PW373" s="4"/>
      <c r="PX373" s="4"/>
      <c r="PY373" s="4"/>
      <c r="PZ373" s="4"/>
      <c r="QA373" s="5"/>
      <c r="QB373" s="6"/>
      <c r="QC373" s="4"/>
      <c r="QD373" s="4"/>
      <c r="QE373" s="4"/>
      <c r="QF373" s="4"/>
      <c r="QG373" s="4"/>
      <c r="QH373" s="5"/>
      <c r="QI373" s="6"/>
      <c r="QJ373" s="4"/>
      <c r="QK373" s="4"/>
      <c r="QL373" s="4"/>
      <c r="QM373" s="4"/>
      <c r="QN373" s="4"/>
      <c r="QO373" s="5"/>
      <c r="QP373" s="6"/>
      <c r="QQ373" s="4"/>
      <c r="QR373" s="4"/>
      <c r="QS373" s="4"/>
      <c r="QT373" s="4"/>
      <c r="QU373" s="4"/>
      <c r="QV373" s="5"/>
      <c r="QW373" s="6"/>
      <c r="QX373" s="4"/>
      <c r="QY373" s="4"/>
      <c r="QZ373" s="4"/>
      <c r="RA373" s="4"/>
      <c r="RB373" s="4"/>
      <c r="RC373" s="5"/>
      <c r="RD373" s="6"/>
      <c r="RE373" s="4"/>
      <c r="RF373" s="4"/>
      <c r="RG373" s="4"/>
      <c r="RH373" s="4"/>
      <c r="RI373" s="4"/>
      <c r="RJ373" s="5"/>
      <c r="RK373" s="6"/>
      <c r="RL373" s="4"/>
      <c r="RM373" s="4"/>
      <c r="RN373" s="4"/>
      <c r="RO373" s="4"/>
      <c r="RP373" s="4"/>
      <c r="RQ373" s="5"/>
      <c r="RR373" s="6"/>
      <c r="RS373" s="4"/>
      <c r="RT373" s="4"/>
      <c r="RU373" s="4"/>
      <c r="RV373" s="4"/>
      <c r="RW373" s="4"/>
      <c r="RX373" s="5"/>
      <c r="RY373" s="6"/>
      <c r="RZ373" s="4"/>
      <c r="SA373" s="4"/>
      <c r="SB373" s="4"/>
      <c r="SC373" s="4"/>
      <c r="SD373" s="4"/>
      <c r="SE373" s="5"/>
      <c r="SF373" s="6"/>
      <c r="SG373" s="4"/>
      <c r="SH373" s="4"/>
      <c r="SI373" s="4"/>
      <c r="SJ373" s="4"/>
      <c r="SK373" s="4"/>
      <c r="SL373" s="5"/>
      <c r="SM373" s="6"/>
      <c r="SN373" s="4"/>
      <c r="SO373" s="4"/>
      <c r="SP373" s="4"/>
      <c r="SQ373" s="4"/>
      <c r="SR373" s="4"/>
      <c r="SS373" s="5"/>
      <c r="ST373" s="6"/>
      <c r="SU373" s="4"/>
      <c r="SV373" s="4"/>
      <c r="SW373" s="4"/>
      <c r="SX373" s="4"/>
      <c r="SY373" s="4"/>
      <c r="SZ373" s="5"/>
      <c r="TA373" s="6"/>
      <c r="TB373" s="4"/>
      <c r="TC373" s="4"/>
      <c r="TD373" s="4"/>
      <c r="TE373" s="4"/>
      <c r="TF373" s="4"/>
      <c r="TG373" s="5"/>
      <c r="TH373" s="6"/>
      <c r="TI373" s="4"/>
      <c r="TJ373" s="4"/>
      <c r="TK373" s="4"/>
      <c r="TL373" s="4"/>
      <c r="TM373" s="4"/>
      <c r="TN373" s="5"/>
      <c r="TO373" s="6"/>
      <c r="TP373" s="4"/>
      <c r="TQ373" s="4"/>
      <c r="TR373" s="4"/>
      <c r="TS373" s="4"/>
      <c r="TT373" s="4"/>
      <c r="TU373" s="5"/>
      <c r="TV373" s="6"/>
      <c r="TW373" s="4"/>
      <c r="TX373" s="4"/>
      <c r="TY373" s="4"/>
      <c r="TZ373" s="4"/>
      <c r="UA373" s="4"/>
      <c r="UB373" s="5"/>
      <c r="UC373" s="6"/>
      <c r="UD373" s="4"/>
      <c r="UE373" s="4"/>
      <c r="UF373" s="4"/>
      <c r="UG373" s="4"/>
      <c r="UH373" s="4"/>
      <c r="UI373" s="5"/>
      <c r="UJ373" s="6"/>
      <c r="UK373" s="4"/>
      <c r="UL373" s="4"/>
      <c r="UM373" s="4"/>
      <c r="UN373" s="4"/>
      <c r="UO373" s="4"/>
      <c r="UP373" s="5"/>
      <c r="UQ373" s="6"/>
      <c r="UR373" s="4"/>
      <c r="US373" s="4"/>
      <c r="UT373" s="4"/>
      <c r="UU373" s="4"/>
      <c r="UV373" s="4"/>
      <c r="UW373" s="5"/>
      <c r="UX373" s="6"/>
      <c r="UY373" s="4"/>
      <c r="UZ373" s="4"/>
      <c r="VA373" s="4"/>
      <c r="VB373" s="4"/>
      <c r="VC373" s="4"/>
      <c r="VD373" s="5"/>
      <c r="VE373" s="6"/>
      <c r="VF373" s="4"/>
      <c r="VG373" s="4"/>
      <c r="VH373" s="4"/>
      <c r="VI373" s="4"/>
      <c r="VJ373" s="4"/>
      <c r="VK373" s="5"/>
      <c r="VL373" s="6"/>
      <c r="VM373" s="4"/>
      <c r="VN373" s="4"/>
      <c r="VO373" s="4"/>
      <c r="VP373" s="4"/>
      <c r="VQ373" s="4"/>
      <c r="VR373" s="5"/>
      <c r="VS373" s="6"/>
      <c r="VT373" s="4"/>
      <c r="VU373" s="4"/>
      <c r="VV373" s="4"/>
      <c r="VW373" s="4"/>
      <c r="VX373" s="4"/>
      <c r="VY373" s="5"/>
      <c r="VZ373" s="6"/>
      <c r="WA373" s="4"/>
      <c r="WB373" s="4"/>
      <c r="WC373" s="4"/>
      <c r="WD373" s="4"/>
      <c r="WE373" s="4"/>
      <c r="WF373" s="5"/>
      <c r="WG373" s="6"/>
      <c r="WH373" s="4"/>
      <c r="WI373" s="4"/>
      <c r="WJ373" s="4"/>
      <c r="WK373" s="4"/>
      <c r="WL373" s="4"/>
      <c r="WM373" s="5"/>
      <c r="WN373" s="6"/>
      <c r="WO373" s="4"/>
      <c r="WP373" s="4"/>
      <c r="WQ373" s="4"/>
      <c r="WR373" s="4"/>
      <c r="WS373" s="4"/>
      <c r="WT373" s="5"/>
      <c r="WU373" s="6"/>
      <c r="WV373" s="4"/>
      <c r="WW373" s="4"/>
      <c r="WX373" s="4"/>
      <c r="WY373" s="4"/>
      <c r="WZ373" s="4"/>
      <c r="XA373" s="5"/>
      <c r="XB373" s="6"/>
      <c r="XC373" s="4"/>
      <c r="XD373" s="4"/>
      <c r="XE373" s="4"/>
      <c r="XF373" s="4"/>
      <c r="XG373" s="4"/>
      <c r="XH373" s="5"/>
      <c r="XI373" s="6"/>
      <c r="XJ373" s="4"/>
      <c r="XK373" s="4"/>
      <c r="XL373" s="4"/>
      <c r="XM373" s="4"/>
      <c r="XN373" s="4"/>
      <c r="XO373" s="5"/>
      <c r="XP373" s="6"/>
      <c r="XQ373" s="4"/>
      <c r="XR373" s="4"/>
      <c r="XS373" s="4"/>
      <c r="XT373" s="4"/>
      <c r="XU373" s="4"/>
      <c r="XV373" s="5"/>
      <c r="XW373" s="6"/>
      <c r="XX373" s="4"/>
      <c r="XY373" s="4"/>
      <c r="XZ373" s="4"/>
      <c r="YA373" s="4"/>
      <c r="YB373" s="4"/>
      <c r="YC373" s="5"/>
      <c r="YD373" s="6"/>
      <c r="YE373" s="4"/>
      <c r="YF373" s="4"/>
      <c r="YG373" s="4"/>
      <c r="YH373" s="4"/>
      <c r="YI373" s="4"/>
      <c r="YJ373" s="5"/>
      <c r="YK373" s="6" t="s">
        <v>2645</v>
      </c>
      <c r="YL373" s="4" t="s">
        <v>698</v>
      </c>
      <c r="YM373" s="4" t="s">
        <v>2873</v>
      </c>
      <c r="YN373" s="7" t="s">
        <v>1595</v>
      </c>
      <c r="YO373" s="8">
        <v>38321</v>
      </c>
      <c r="YP373" s="8">
        <v>38325</v>
      </c>
      <c r="YQ373" s="5" t="s">
        <v>291</v>
      </c>
      <c r="YR373" s="6"/>
      <c r="YS373" s="4"/>
      <c r="YT373" s="4"/>
      <c r="YU373" s="4"/>
      <c r="YV373" s="4"/>
      <c r="YW373" s="4"/>
      <c r="YX373" s="5"/>
      <c r="YY373" s="6"/>
      <c r="YZ373" s="4"/>
      <c r="ZA373" s="4"/>
      <c r="ZB373" s="4"/>
      <c r="ZC373" s="4"/>
      <c r="ZD373" s="4"/>
      <c r="ZE373" s="5"/>
      <c r="ZF373" s="6"/>
      <c r="ZG373" s="4"/>
      <c r="ZH373" s="4"/>
      <c r="ZI373" s="4"/>
      <c r="ZJ373" s="4"/>
      <c r="ZK373" s="4"/>
      <c r="ZL373" s="5"/>
      <c r="ZM373" s="6"/>
      <c r="ZN373" s="4"/>
      <c r="ZO373" s="4"/>
      <c r="ZP373" s="4"/>
      <c r="ZQ373" s="4"/>
      <c r="ZR373" s="4"/>
      <c r="ZS373" s="5"/>
      <c r="ZT373" s="6"/>
      <c r="ZU373" s="4"/>
      <c r="ZV373" s="4"/>
      <c r="ZW373" s="4"/>
      <c r="ZX373" s="4"/>
      <c r="ZY373" s="4"/>
      <c r="ZZ373" s="5"/>
      <c r="AAA373" s="6"/>
      <c r="AAB373" s="4"/>
      <c r="AAC373" s="4"/>
      <c r="AAD373" s="4"/>
      <c r="AAE373" s="4"/>
      <c r="AAF373" s="4"/>
      <c r="AAG373" s="5"/>
      <c r="AAH373" s="6"/>
      <c r="AAI373" s="4"/>
      <c r="AAJ373" s="4"/>
      <c r="AAK373" s="4"/>
      <c r="AAL373" s="4"/>
      <c r="AAM373" s="4"/>
      <c r="AAN373" s="5"/>
      <c r="AAO373" s="6"/>
      <c r="AAP373" s="4"/>
      <c r="AAQ373" s="4"/>
      <c r="AAR373" s="4"/>
      <c r="AAS373" s="4"/>
      <c r="AAT373" s="4"/>
      <c r="AAU373" s="5"/>
      <c r="AAV373" s="6"/>
      <c r="AAW373" s="4"/>
      <c r="AAX373" s="4"/>
      <c r="AAY373" s="4"/>
      <c r="AAZ373" s="4"/>
      <c r="ABA373" s="4"/>
      <c r="ABB373" s="5"/>
      <c r="ABC373" s="6"/>
      <c r="ABD373" s="4"/>
      <c r="ABE373" s="4"/>
      <c r="ABF373" s="4"/>
      <c r="ABG373" s="4"/>
      <c r="ABH373" s="4"/>
      <c r="ABI373" s="5"/>
      <c r="ABJ373" s="6"/>
      <c r="ABK373" s="4"/>
      <c r="ABL373" s="4"/>
      <c r="ABM373" s="4"/>
      <c r="ABN373" s="4"/>
      <c r="ABO373" s="4"/>
      <c r="ABP373" s="5"/>
      <c r="ABQ373" s="6"/>
      <c r="ABR373" s="4"/>
      <c r="ABS373" s="4"/>
      <c r="ABT373" s="4"/>
      <c r="ABU373" s="4"/>
      <c r="ABV373" s="4"/>
      <c r="ABW373" s="5"/>
      <c r="ABX373" s="6"/>
      <c r="ABY373" s="4"/>
      <c r="ABZ373" s="4"/>
      <c r="ACA373" s="4"/>
      <c r="ACB373" s="4"/>
      <c r="ACC373" s="4"/>
      <c r="ACD373" s="5"/>
      <c r="ACE373" s="6"/>
      <c r="ACF373" s="4"/>
      <c r="ACG373" s="4"/>
      <c r="ACH373" s="4"/>
      <c r="ACI373" s="4"/>
      <c r="ACJ373" s="4"/>
      <c r="ACK373" s="5"/>
      <c r="ACL373" s="6"/>
      <c r="ACM373" s="4"/>
      <c r="ACN373" s="4"/>
      <c r="ACO373" s="4"/>
      <c r="ACP373" s="4"/>
      <c r="ACQ373" s="4"/>
      <c r="ACR373" s="5"/>
      <c r="ACS373" s="6"/>
      <c r="ACT373" s="4"/>
      <c r="ACU373" s="4"/>
      <c r="ACV373" s="4"/>
      <c r="ACW373" s="4"/>
      <c r="ACX373" s="4"/>
      <c r="ACY373" s="5"/>
    </row>
    <row r="374" spans="2:805" x14ac:dyDescent="0.25">
      <c r="B374" s="30"/>
      <c r="J374" s="12"/>
      <c r="K374" s="12"/>
      <c r="L374" s="12"/>
      <c r="LL374" s="6"/>
      <c r="LM374" s="4"/>
      <c r="LN374" s="4"/>
      <c r="LO374" s="4"/>
      <c r="LP374" s="4"/>
      <c r="LQ374" s="4"/>
      <c r="LR374" s="5"/>
      <c r="LS374" s="6"/>
      <c r="LT374" s="4"/>
      <c r="LU374" s="4"/>
      <c r="LV374" s="4"/>
      <c r="LW374" s="4"/>
      <c r="LX374" s="4"/>
      <c r="LY374" s="5"/>
      <c r="LZ374" s="6" t="s">
        <v>3102</v>
      </c>
      <c r="MA374" s="7" t="s">
        <v>3103</v>
      </c>
      <c r="MB374" s="7"/>
      <c r="MC374" s="7" t="s">
        <v>606</v>
      </c>
      <c r="MD374" s="8">
        <v>38320</v>
      </c>
      <c r="ME374" s="8">
        <v>38320</v>
      </c>
      <c r="MF374" s="8"/>
      <c r="MG374" s="5" t="s">
        <v>411</v>
      </c>
      <c r="MH374" s="6"/>
      <c r="MI374" s="4"/>
      <c r="MJ374" s="4"/>
      <c r="MK374" s="4"/>
      <c r="ML374" s="4"/>
      <c r="MM374" s="4"/>
      <c r="MN374" s="5"/>
      <c r="MO374" s="6"/>
      <c r="MP374" s="4"/>
      <c r="MQ374" s="4"/>
      <c r="MR374" s="4"/>
      <c r="MS374" s="4"/>
      <c r="MT374" s="4"/>
      <c r="MU374" s="5"/>
      <c r="MV374" s="6"/>
      <c r="MW374" s="4"/>
      <c r="MX374" s="4"/>
      <c r="MY374" s="4"/>
      <c r="MZ374" s="4"/>
      <c r="NA374" s="4"/>
      <c r="NB374" s="5"/>
      <c r="NC374" s="6"/>
      <c r="ND374" s="4"/>
      <c r="NE374" s="4"/>
      <c r="NF374" s="7"/>
      <c r="NG374" s="8"/>
      <c r="NH374" s="8"/>
      <c r="NI374" s="5"/>
      <c r="NJ374" s="6"/>
      <c r="NK374" s="4"/>
      <c r="NL374" s="4"/>
      <c r="NM374" s="4"/>
      <c r="NN374" s="4"/>
      <c r="NO374" s="4"/>
      <c r="NP374" s="5"/>
      <c r="NQ374" s="6"/>
      <c r="NR374" s="4"/>
      <c r="NS374" s="4"/>
      <c r="NT374" s="4"/>
      <c r="NU374" s="4"/>
      <c r="NV374" s="4"/>
      <c r="NW374" s="5"/>
      <c r="NX374" s="6"/>
      <c r="NY374" s="4"/>
      <c r="NZ374" s="4"/>
      <c r="OA374" s="4"/>
      <c r="OB374" s="4"/>
      <c r="OC374" s="4"/>
      <c r="OD374" s="5"/>
      <c r="OE374" s="6"/>
      <c r="OF374" s="4"/>
      <c r="OG374" s="4"/>
      <c r="OH374" s="4"/>
      <c r="OI374" s="4"/>
      <c r="OJ374" s="4"/>
      <c r="OK374" s="5"/>
      <c r="OL374" s="6"/>
      <c r="OM374" s="4"/>
      <c r="ON374" s="4"/>
      <c r="OO374" s="4"/>
      <c r="OP374" s="4"/>
      <c r="OQ374" s="4"/>
      <c r="OR374" s="5"/>
      <c r="OS374" s="6"/>
      <c r="OT374" s="4"/>
      <c r="OU374" s="4"/>
      <c r="OV374" s="4"/>
      <c r="OW374" s="4"/>
      <c r="OX374" s="4"/>
      <c r="OY374" s="5"/>
      <c r="OZ374" s="4"/>
      <c r="PA374" s="4"/>
      <c r="PB374" s="4"/>
      <c r="PC374" s="4"/>
      <c r="PD374" s="4"/>
      <c r="PE374" s="4"/>
      <c r="PF374" s="5"/>
      <c r="PG374" s="6"/>
      <c r="PH374" s="4"/>
      <c r="PI374" s="4"/>
      <c r="PJ374" s="4"/>
      <c r="PK374" s="4"/>
      <c r="PL374" s="4"/>
      <c r="PM374" s="5"/>
      <c r="PN374" s="6"/>
      <c r="PO374" s="4"/>
      <c r="PP374" s="4"/>
      <c r="PQ374" s="4"/>
      <c r="PR374" s="4"/>
      <c r="PS374" s="4"/>
      <c r="PT374" s="5"/>
      <c r="PU374" s="6"/>
      <c r="PV374" s="4"/>
      <c r="PW374" s="4"/>
      <c r="PX374" s="4"/>
      <c r="PY374" s="4"/>
      <c r="PZ374" s="4"/>
      <c r="QA374" s="5"/>
      <c r="QB374" s="6"/>
      <c r="QC374" s="4"/>
      <c r="QD374" s="4"/>
      <c r="QE374" s="4"/>
      <c r="QF374" s="4"/>
      <c r="QG374" s="4"/>
      <c r="QH374" s="5"/>
      <c r="QI374" s="6"/>
      <c r="QJ374" s="4"/>
      <c r="QK374" s="4"/>
      <c r="QL374" s="4"/>
      <c r="QM374" s="4"/>
      <c r="QN374" s="4"/>
      <c r="QO374" s="5"/>
      <c r="QP374" s="6"/>
      <c r="QQ374" s="4"/>
      <c r="QR374" s="4"/>
      <c r="QS374" s="4"/>
      <c r="QT374" s="4"/>
      <c r="QU374" s="4"/>
      <c r="QV374" s="5"/>
      <c r="QW374" s="6"/>
      <c r="QX374" s="4"/>
      <c r="QY374" s="4"/>
      <c r="QZ374" s="4"/>
      <c r="RA374" s="4"/>
      <c r="RB374" s="4"/>
      <c r="RC374" s="5"/>
      <c r="RD374" s="6"/>
      <c r="RE374" s="4"/>
      <c r="RF374" s="4"/>
      <c r="RG374" s="4"/>
      <c r="RH374" s="4"/>
      <c r="RI374" s="4"/>
      <c r="RJ374" s="5"/>
      <c r="RK374" s="6"/>
      <c r="RL374" s="4"/>
      <c r="RM374" s="4"/>
      <c r="RN374" s="4"/>
      <c r="RO374" s="4"/>
      <c r="RP374" s="4"/>
      <c r="RQ374" s="5"/>
      <c r="RR374" s="6"/>
      <c r="RS374" s="4"/>
      <c r="RT374" s="4"/>
      <c r="RU374" s="4"/>
      <c r="RV374" s="4"/>
      <c r="RW374" s="4"/>
      <c r="RX374" s="5"/>
      <c r="RY374" s="6"/>
      <c r="RZ374" s="4"/>
      <c r="SA374" s="4"/>
      <c r="SB374" s="4"/>
      <c r="SC374" s="4"/>
      <c r="SD374" s="4"/>
      <c r="SE374" s="5"/>
      <c r="SF374" s="6"/>
      <c r="SG374" s="4"/>
      <c r="SH374" s="4"/>
      <c r="SI374" s="4"/>
      <c r="SJ374" s="4"/>
      <c r="SK374" s="4"/>
      <c r="SL374" s="5"/>
      <c r="SM374" s="6"/>
      <c r="SN374" s="4"/>
      <c r="SO374" s="4"/>
      <c r="SP374" s="4"/>
      <c r="SQ374" s="4"/>
      <c r="SR374" s="4"/>
      <c r="SS374" s="5"/>
      <c r="ST374" s="6"/>
      <c r="SU374" s="4"/>
      <c r="SV374" s="4"/>
      <c r="SW374" s="4"/>
      <c r="SX374" s="4"/>
      <c r="SY374" s="4"/>
      <c r="SZ374" s="5"/>
      <c r="TA374" s="6"/>
      <c r="TB374" s="4"/>
      <c r="TC374" s="4"/>
      <c r="TD374" s="4"/>
      <c r="TE374" s="4"/>
      <c r="TF374" s="4"/>
      <c r="TG374" s="5"/>
      <c r="TH374" s="6"/>
      <c r="TI374" s="4"/>
      <c r="TJ374" s="4"/>
      <c r="TK374" s="4"/>
      <c r="TL374" s="4"/>
      <c r="TM374" s="4"/>
      <c r="TN374" s="5"/>
      <c r="TO374" s="6"/>
      <c r="TP374" s="4"/>
      <c r="TQ374" s="4"/>
      <c r="TR374" s="4"/>
      <c r="TS374" s="4"/>
      <c r="TT374" s="4"/>
      <c r="TU374" s="5"/>
      <c r="TV374" s="6"/>
      <c r="TW374" s="4"/>
      <c r="TX374" s="4"/>
      <c r="TY374" s="4"/>
      <c r="TZ374" s="4"/>
      <c r="UA374" s="4"/>
      <c r="UB374" s="5"/>
      <c r="UC374" s="6"/>
      <c r="UD374" s="4"/>
      <c r="UE374" s="4"/>
      <c r="UF374" s="4"/>
      <c r="UG374" s="4"/>
      <c r="UH374" s="4"/>
      <c r="UI374" s="5"/>
      <c r="UJ374" s="6"/>
      <c r="UK374" s="4"/>
      <c r="UL374" s="4"/>
      <c r="UM374" s="4"/>
      <c r="UN374" s="4"/>
      <c r="UO374" s="4"/>
      <c r="UP374" s="5"/>
      <c r="UQ374" s="6"/>
      <c r="UR374" s="4"/>
      <c r="US374" s="4"/>
      <c r="UT374" s="4"/>
      <c r="UU374" s="4"/>
      <c r="UV374" s="4"/>
      <c r="UW374" s="5"/>
      <c r="UX374" s="6"/>
      <c r="UY374" s="4"/>
      <c r="UZ374" s="4"/>
      <c r="VA374" s="4"/>
      <c r="VB374" s="4"/>
      <c r="VC374" s="4"/>
      <c r="VD374" s="5"/>
      <c r="VE374" s="6"/>
      <c r="VF374" s="4"/>
      <c r="VG374" s="4"/>
      <c r="VH374" s="4"/>
      <c r="VI374" s="4"/>
      <c r="VJ374" s="4"/>
      <c r="VK374" s="5"/>
      <c r="VL374" s="6"/>
      <c r="VM374" s="4"/>
      <c r="VN374" s="4"/>
      <c r="VO374" s="4"/>
      <c r="VP374" s="4"/>
      <c r="VQ374" s="4"/>
      <c r="VR374" s="5"/>
      <c r="VS374" s="6"/>
      <c r="VT374" s="4"/>
      <c r="VU374" s="4"/>
      <c r="VV374" s="4"/>
      <c r="VW374" s="4"/>
      <c r="VX374" s="4"/>
      <c r="VY374" s="5"/>
      <c r="VZ374" s="6"/>
      <c r="WA374" s="4"/>
      <c r="WB374" s="4"/>
      <c r="WC374" s="4"/>
      <c r="WD374" s="4"/>
      <c r="WE374" s="4"/>
      <c r="WF374" s="5"/>
      <c r="WG374" s="6"/>
      <c r="WH374" s="4"/>
      <c r="WI374" s="4"/>
      <c r="WJ374" s="4"/>
      <c r="WK374" s="4"/>
      <c r="WL374" s="4"/>
      <c r="WM374" s="5"/>
      <c r="WN374" s="6"/>
      <c r="WO374" s="4"/>
      <c r="WP374" s="4"/>
      <c r="WQ374" s="4"/>
      <c r="WR374" s="4"/>
      <c r="WS374" s="4"/>
      <c r="WT374" s="5"/>
      <c r="WU374" s="6"/>
      <c r="WV374" s="4"/>
      <c r="WW374" s="4"/>
      <c r="WX374" s="4"/>
      <c r="WY374" s="4"/>
      <c r="WZ374" s="4"/>
      <c r="XA374" s="5"/>
      <c r="XB374" s="6"/>
      <c r="XC374" s="4"/>
      <c r="XD374" s="4"/>
      <c r="XE374" s="4"/>
      <c r="XF374" s="4"/>
      <c r="XG374" s="4"/>
      <c r="XH374" s="5"/>
      <c r="XI374" s="6"/>
      <c r="XJ374" s="4"/>
      <c r="XK374" s="4"/>
      <c r="XL374" s="4"/>
      <c r="XM374" s="4"/>
      <c r="XN374" s="4"/>
      <c r="XO374" s="5"/>
      <c r="XP374" s="6"/>
      <c r="XQ374" s="4"/>
      <c r="XR374" s="4"/>
      <c r="XS374" s="4"/>
      <c r="XT374" s="4"/>
      <c r="XU374" s="4"/>
      <c r="XV374" s="5"/>
      <c r="XW374" s="6"/>
      <c r="XX374" s="4"/>
      <c r="XY374" s="4"/>
      <c r="XZ374" s="4"/>
      <c r="YA374" s="4"/>
      <c r="YB374" s="4"/>
      <c r="YC374" s="5"/>
      <c r="YD374" s="6"/>
      <c r="YE374" s="4"/>
      <c r="YF374" s="4"/>
      <c r="YG374" s="4"/>
      <c r="YH374" s="4"/>
      <c r="YI374" s="4"/>
      <c r="YJ374" s="5"/>
      <c r="YK374" s="6" t="s">
        <v>2645</v>
      </c>
      <c r="YL374" s="4" t="s">
        <v>698</v>
      </c>
      <c r="YM374" s="4" t="s">
        <v>2873</v>
      </c>
      <c r="YN374" s="7" t="s">
        <v>2702</v>
      </c>
      <c r="YO374" s="8">
        <v>38317</v>
      </c>
      <c r="YP374" s="8">
        <v>38318</v>
      </c>
      <c r="YQ374" s="5" t="s">
        <v>291</v>
      </c>
      <c r="YR374" s="6"/>
      <c r="YS374" s="4"/>
      <c r="YT374" s="4"/>
      <c r="YU374" s="4"/>
      <c r="YV374" s="4"/>
      <c r="YW374" s="4"/>
      <c r="YX374" s="5"/>
      <c r="YY374" s="6"/>
      <c r="YZ374" s="4"/>
      <c r="ZA374" s="4"/>
      <c r="ZB374" s="4"/>
      <c r="ZC374" s="4"/>
      <c r="ZD374" s="4"/>
      <c r="ZE374" s="5"/>
      <c r="ZF374" s="6"/>
      <c r="ZG374" s="4"/>
      <c r="ZH374" s="4"/>
      <c r="ZI374" s="4"/>
      <c r="ZJ374" s="4"/>
      <c r="ZK374" s="4"/>
      <c r="ZL374" s="5"/>
      <c r="ZM374" s="6"/>
      <c r="ZN374" s="4"/>
      <c r="ZO374" s="4"/>
      <c r="ZP374" s="4"/>
      <c r="ZQ374" s="4"/>
      <c r="ZR374" s="4"/>
      <c r="ZS374" s="5"/>
      <c r="ZT374" s="6"/>
      <c r="ZU374" s="4"/>
      <c r="ZV374" s="4"/>
      <c r="ZW374" s="4"/>
      <c r="ZX374" s="4"/>
      <c r="ZY374" s="4"/>
      <c r="ZZ374" s="5"/>
      <c r="AAA374" s="6"/>
      <c r="AAB374" s="4"/>
      <c r="AAC374" s="4"/>
      <c r="AAD374" s="4"/>
      <c r="AAE374" s="4"/>
      <c r="AAF374" s="4"/>
      <c r="AAG374" s="5"/>
      <c r="AAH374" s="6"/>
      <c r="AAI374" s="4"/>
      <c r="AAJ374" s="4"/>
      <c r="AAK374" s="4"/>
      <c r="AAL374" s="4"/>
      <c r="AAM374" s="4"/>
      <c r="AAN374" s="5"/>
      <c r="AAO374" s="6"/>
      <c r="AAP374" s="4"/>
      <c r="AAQ374" s="4"/>
      <c r="AAR374" s="4"/>
      <c r="AAS374" s="4"/>
      <c r="AAT374" s="4"/>
      <c r="AAU374" s="5"/>
      <c r="AAV374" s="6"/>
      <c r="AAW374" s="4"/>
      <c r="AAX374" s="4"/>
      <c r="AAY374" s="4"/>
      <c r="AAZ374" s="4"/>
      <c r="ABA374" s="4"/>
      <c r="ABB374" s="5"/>
      <c r="ABC374" s="6"/>
      <c r="ABD374" s="4"/>
      <c r="ABE374" s="4"/>
      <c r="ABF374" s="4"/>
      <c r="ABG374" s="4"/>
      <c r="ABH374" s="4"/>
      <c r="ABI374" s="5"/>
      <c r="ABJ374" s="6"/>
      <c r="ABK374" s="4"/>
      <c r="ABL374" s="4"/>
      <c r="ABM374" s="4"/>
      <c r="ABN374" s="4"/>
      <c r="ABO374" s="4"/>
      <c r="ABP374" s="5"/>
      <c r="ABQ374" s="6"/>
      <c r="ABR374" s="4"/>
      <c r="ABS374" s="4"/>
      <c r="ABT374" s="4"/>
      <c r="ABU374" s="4"/>
      <c r="ABV374" s="4"/>
      <c r="ABW374" s="5"/>
      <c r="ABX374" s="6"/>
      <c r="ABY374" s="4"/>
      <c r="ABZ374" s="4"/>
      <c r="ACA374" s="4"/>
      <c r="ACB374" s="4"/>
      <c r="ACC374" s="4"/>
      <c r="ACD374" s="5"/>
      <c r="ACE374" s="6"/>
      <c r="ACF374" s="4"/>
      <c r="ACG374" s="4"/>
      <c r="ACH374" s="4"/>
      <c r="ACI374" s="4"/>
      <c r="ACJ374" s="4"/>
      <c r="ACK374" s="5"/>
      <c r="ACL374" s="6"/>
      <c r="ACM374" s="4"/>
      <c r="ACN374" s="4"/>
      <c r="ACO374" s="4"/>
      <c r="ACP374" s="4"/>
      <c r="ACQ374" s="4"/>
      <c r="ACR374" s="5"/>
      <c r="ACS374" s="6"/>
      <c r="ACT374" s="4"/>
      <c r="ACU374" s="4"/>
      <c r="ACV374" s="4"/>
      <c r="ACW374" s="4"/>
      <c r="ACX374" s="4"/>
      <c r="ACY374" s="5"/>
    </row>
    <row r="375" spans="2:805" x14ac:dyDescent="0.25">
      <c r="B375" s="30"/>
      <c r="J375" s="12"/>
      <c r="K375" s="12"/>
      <c r="L375" s="12"/>
      <c r="LL375" s="6"/>
      <c r="LM375" s="4"/>
      <c r="LN375" s="4"/>
      <c r="LO375" s="4"/>
      <c r="LP375" s="4"/>
      <c r="LQ375" s="4"/>
      <c r="LR375" s="5"/>
      <c r="LS375" s="6"/>
      <c r="LT375" s="4"/>
      <c r="LU375" s="4"/>
      <c r="LV375" s="4"/>
      <c r="LW375" s="4"/>
      <c r="LX375" s="4"/>
      <c r="LY375" s="5"/>
      <c r="LZ375" s="11" t="s">
        <v>699</v>
      </c>
      <c r="MA375" s="7" t="s">
        <v>2375</v>
      </c>
      <c r="MB375" s="7" t="s">
        <v>4013</v>
      </c>
      <c r="MC375" s="7" t="s">
        <v>2702</v>
      </c>
      <c r="MD375" s="8">
        <v>38323</v>
      </c>
      <c r="ME375" s="8">
        <v>38324</v>
      </c>
      <c r="MF375" s="8" t="s">
        <v>611</v>
      </c>
      <c r="MG375" s="5" t="s">
        <v>488</v>
      </c>
      <c r="MH375" s="6"/>
      <c r="MI375" s="4"/>
      <c r="MJ375" s="4"/>
      <c r="MK375" s="4"/>
      <c r="ML375" s="4"/>
      <c r="MM375" s="4"/>
      <c r="MN375" s="5"/>
      <c r="MO375" s="6"/>
      <c r="MP375" s="4"/>
      <c r="MQ375" s="4"/>
      <c r="MR375" s="4"/>
      <c r="MS375" s="4"/>
      <c r="MT375" s="4"/>
      <c r="MU375" s="5"/>
      <c r="MV375" s="6"/>
      <c r="MW375" s="4"/>
      <c r="MX375" s="4"/>
      <c r="MY375" s="4"/>
      <c r="MZ375" s="4"/>
      <c r="NA375" s="4"/>
      <c r="NB375" s="5"/>
      <c r="NC375" s="6"/>
      <c r="ND375" s="4"/>
      <c r="NE375" s="4"/>
      <c r="NF375" s="7"/>
      <c r="NG375" s="8"/>
      <c r="NH375" s="8"/>
      <c r="NI375" s="5"/>
      <c r="NJ375" s="6"/>
      <c r="NK375" s="4"/>
      <c r="NL375" s="4"/>
      <c r="NM375" s="4"/>
      <c r="NN375" s="4"/>
      <c r="NO375" s="4"/>
      <c r="NP375" s="5"/>
      <c r="NQ375" s="6"/>
      <c r="NR375" s="4"/>
      <c r="NS375" s="4"/>
      <c r="NT375" s="4"/>
      <c r="NU375" s="4"/>
      <c r="NV375" s="4"/>
      <c r="NW375" s="5"/>
      <c r="NX375" s="6"/>
      <c r="NY375" s="4"/>
      <c r="NZ375" s="4"/>
      <c r="OA375" s="4"/>
      <c r="OB375" s="4"/>
      <c r="OC375" s="4"/>
      <c r="OD375" s="5"/>
      <c r="OE375" s="6"/>
      <c r="OF375" s="4"/>
      <c r="OG375" s="4"/>
      <c r="OH375" s="4"/>
      <c r="OI375" s="4"/>
      <c r="OJ375" s="4"/>
      <c r="OK375" s="5"/>
      <c r="OL375" s="6"/>
      <c r="OM375" s="4"/>
      <c r="ON375" s="4"/>
      <c r="OO375" s="4"/>
      <c r="OP375" s="4"/>
      <c r="OQ375" s="4"/>
      <c r="OR375" s="5"/>
      <c r="OS375" s="6"/>
      <c r="OT375" s="4"/>
      <c r="OU375" s="4"/>
      <c r="OV375" s="4"/>
      <c r="OW375" s="4"/>
      <c r="OX375" s="4"/>
      <c r="OY375" s="5"/>
      <c r="OZ375" s="4"/>
      <c r="PA375" s="4"/>
      <c r="PB375" s="4"/>
      <c r="PC375" s="4"/>
      <c r="PD375" s="4"/>
      <c r="PE375" s="4"/>
      <c r="PF375" s="5"/>
      <c r="PG375" s="6"/>
      <c r="PH375" s="4"/>
      <c r="PI375" s="4"/>
      <c r="PJ375" s="4"/>
      <c r="PK375" s="4"/>
      <c r="PL375" s="4"/>
      <c r="PM375" s="5"/>
      <c r="PN375" s="6"/>
      <c r="PO375" s="4"/>
      <c r="PP375" s="4"/>
      <c r="PQ375" s="4"/>
      <c r="PR375" s="4"/>
      <c r="PS375" s="4"/>
      <c r="PT375" s="5"/>
      <c r="PU375" s="6"/>
      <c r="PV375" s="4"/>
      <c r="PW375" s="4"/>
      <c r="PX375" s="4"/>
      <c r="PY375" s="4"/>
      <c r="PZ375" s="4"/>
      <c r="QA375" s="5"/>
      <c r="QB375" s="6"/>
      <c r="QC375" s="4"/>
      <c r="QD375" s="4"/>
      <c r="QE375" s="4"/>
      <c r="QF375" s="4"/>
      <c r="QG375" s="4"/>
      <c r="QH375" s="5"/>
      <c r="QI375" s="6"/>
      <c r="QJ375" s="4"/>
      <c r="QK375" s="4"/>
      <c r="QL375" s="4"/>
      <c r="QM375" s="4"/>
      <c r="QN375" s="4"/>
      <c r="QO375" s="5"/>
      <c r="QP375" s="6"/>
      <c r="QQ375" s="4"/>
      <c r="QR375" s="4"/>
      <c r="QS375" s="4"/>
      <c r="QT375" s="4"/>
      <c r="QU375" s="4"/>
      <c r="QV375" s="5"/>
      <c r="QW375" s="6"/>
      <c r="QX375" s="4"/>
      <c r="QY375" s="4"/>
      <c r="QZ375" s="4"/>
      <c r="RA375" s="4"/>
      <c r="RB375" s="4"/>
      <c r="RC375" s="5"/>
      <c r="RD375" s="6"/>
      <c r="RE375" s="4"/>
      <c r="RF375" s="4"/>
      <c r="RG375" s="4"/>
      <c r="RH375" s="4"/>
      <c r="RI375" s="4"/>
      <c r="RJ375" s="5"/>
      <c r="RK375" s="6"/>
      <c r="RL375" s="4"/>
      <c r="RM375" s="4"/>
      <c r="RN375" s="4"/>
      <c r="RO375" s="4"/>
      <c r="RP375" s="4"/>
      <c r="RQ375" s="5"/>
      <c r="RR375" s="6"/>
      <c r="RS375" s="4"/>
      <c r="RT375" s="4"/>
      <c r="RU375" s="4"/>
      <c r="RV375" s="4"/>
      <c r="RW375" s="4"/>
      <c r="RX375" s="5"/>
      <c r="RY375" s="6"/>
      <c r="RZ375" s="4"/>
      <c r="SA375" s="4"/>
      <c r="SB375" s="4"/>
      <c r="SC375" s="4"/>
      <c r="SD375" s="4"/>
      <c r="SE375" s="5"/>
      <c r="SF375" s="6"/>
      <c r="SG375" s="4"/>
      <c r="SH375" s="4"/>
      <c r="SI375" s="4"/>
      <c r="SJ375" s="4"/>
      <c r="SK375" s="4"/>
      <c r="SL375" s="5"/>
      <c r="SM375" s="6"/>
      <c r="SN375" s="4"/>
      <c r="SO375" s="4"/>
      <c r="SP375" s="4"/>
      <c r="SQ375" s="4"/>
      <c r="SR375" s="4"/>
      <c r="SS375" s="5"/>
      <c r="ST375" s="6"/>
      <c r="SU375" s="4"/>
      <c r="SV375" s="4"/>
      <c r="SW375" s="4"/>
      <c r="SX375" s="4"/>
      <c r="SY375" s="4"/>
      <c r="SZ375" s="5"/>
      <c r="TA375" s="6"/>
      <c r="TB375" s="4"/>
      <c r="TC375" s="4"/>
      <c r="TD375" s="4"/>
      <c r="TE375" s="4"/>
      <c r="TF375" s="4"/>
      <c r="TG375" s="5"/>
      <c r="TH375" s="6"/>
      <c r="TI375" s="4"/>
      <c r="TJ375" s="4"/>
      <c r="TK375" s="4"/>
      <c r="TL375" s="4"/>
      <c r="TM375" s="4"/>
      <c r="TN375" s="5"/>
      <c r="TO375" s="6"/>
      <c r="TP375" s="4"/>
      <c r="TQ375" s="4"/>
      <c r="TR375" s="4"/>
      <c r="TS375" s="4"/>
      <c r="TT375" s="4"/>
      <c r="TU375" s="5"/>
      <c r="TV375" s="6"/>
      <c r="TW375" s="4"/>
      <c r="TX375" s="4"/>
      <c r="TY375" s="4"/>
      <c r="TZ375" s="4"/>
      <c r="UA375" s="4"/>
      <c r="UB375" s="5"/>
      <c r="UC375" s="6"/>
      <c r="UD375" s="4"/>
      <c r="UE375" s="4"/>
      <c r="UF375" s="4"/>
      <c r="UG375" s="4"/>
      <c r="UH375" s="4"/>
      <c r="UI375" s="5"/>
      <c r="UJ375" s="6"/>
      <c r="UK375" s="4"/>
      <c r="UL375" s="4"/>
      <c r="UM375" s="4"/>
      <c r="UN375" s="4"/>
      <c r="UO375" s="4"/>
      <c r="UP375" s="5"/>
      <c r="UQ375" s="6"/>
      <c r="UR375" s="4"/>
      <c r="US375" s="4"/>
      <c r="UT375" s="4"/>
      <c r="UU375" s="4"/>
      <c r="UV375" s="4"/>
      <c r="UW375" s="5"/>
      <c r="UX375" s="6"/>
      <c r="UY375" s="4"/>
      <c r="UZ375" s="4"/>
      <c r="VA375" s="4"/>
      <c r="VB375" s="4"/>
      <c r="VC375" s="4"/>
      <c r="VD375" s="5"/>
      <c r="VE375" s="6"/>
      <c r="VF375" s="4"/>
      <c r="VG375" s="4"/>
      <c r="VH375" s="4"/>
      <c r="VI375" s="4"/>
      <c r="VJ375" s="4"/>
      <c r="VK375" s="5"/>
      <c r="VL375" s="6"/>
      <c r="VM375" s="4"/>
      <c r="VN375" s="4"/>
      <c r="VO375" s="4"/>
      <c r="VP375" s="4"/>
      <c r="VQ375" s="4"/>
      <c r="VR375" s="5"/>
      <c r="VS375" s="6"/>
      <c r="VT375" s="4"/>
      <c r="VU375" s="4"/>
      <c r="VV375" s="4"/>
      <c r="VW375" s="4"/>
      <c r="VX375" s="4"/>
      <c r="VY375" s="5"/>
      <c r="VZ375" s="6"/>
      <c r="WA375" s="4"/>
      <c r="WB375" s="4"/>
      <c r="WC375" s="4"/>
      <c r="WD375" s="4"/>
      <c r="WE375" s="4"/>
      <c r="WF375" s="5"/>
      <c r="WG375" s="6"/>
      <c r="WH375" s="4"/>
      <c r="WI375" s="4"/>
      <c r="WJ375" s="4"/>
      <c r="WK375" s="4"/>
      <c r="WL375" s="4"/>
      <c r="WM375" s="5"/>
      <c r="WN375" s="6"/>
      <c r="WO375" s="4"/>
      <c r="WP375" s="4"/>
      <c r="WQ375" s="4"/>
      <c r="WR375" s="4"/>
      <c r="WS375" s="4"/>
      <c r="WT375" s="5"/>
      <c r="WU375" s="6"/>
      <c r="WV375" s="4"/>
      <c r="WW375" s="4"/>
      <c r="WX375" s="4"/>
      <c r="WY375" s="4"/>
      <c r="WZ375" s="4"/>
      <c r="XA375" s="5"/>
      <c r="XB375" s="6"/>
      <c r="XC375" s="4"/>
      <c r="XD375" s="4"/>
      <c r="XE375" s="4"/>
      <c r="XF375" s="4"/>
      <c r="XG375" s="4"/>
      <c r="XH375" s="5"/>
      <c r="XI375" s="6"/>
      <c r="XJ375" s="4"/>
      <c r="XK375" s="4"/>
      <c r="XL375" s="4"/>
      <c r="XM375" s="4"/>
      <c r="XN375" s="4"/>
      <c r="XO375" s="5"/>
      <c r="XP375" s="6"/>
      <c r="XQ375" s="4"/>
      <c r="XR375" s="4"/>
      <c r="XS375" s="4"/>
      <c r="XT375" s="4"/>
      <c r="XU375" s="4"/>
      <c r="XV375" s="5"/>
      <c r="XW375" s="6"/>
      <c r="XX375" s="4"/>
      <c r="XY375" s="4"/>
      <c r="XZ375" s="4"/>
      <c r="YA375" s="4"/>
      <c r="YB375" s="4"/>
      <c r="YC375" s="5"/>
      <c r="YD375" s="6"/>
      <c r="YE375" s="4"/>
      <c r="YF375" s="4"/>
      <c r="YG375" s="4"/>
      <c r="YH375" s="4"/>
      <c r="YI375" s="4"/>
      <c r="YJ375" s="5"/>
      <c r="YK375" s="6" t="s">
        <v>700</v>
      </c>
      <c r="YL375" s="7" t="s">
        <v>2837</v>
      </c>
      <c r="YM375" s="4"/>
      <c r="YN375" s="7" t="s">
        <v>1595</v>
      </c>
      <c r="YO375" s="8">
        <v>38321</v>
      </c>
      <c r="YP375" s="8">
        <v>38325</v>
      </c>
      <c r="YQ375" s="5" t="s">
        <v>293</v>
      </c>
      <c r="YR375" s="6"/>
      <c r="YS375" s="4"/>
      <c r="YT375" s="4"/>
      <c r="YU375" s="4"/>
      <c r="YV375" s="4"/>
      <c r="YW375" s="4"/>
      <c r="YX375" s="5"/>
      <c r="YY375" s="6"/>
      <c r="YZ375" s="4"/>
      <c r="ZA375" s="4"/>
      <c r="ZB375" s="4"/>
      <c r="ZC375" s="4"/>
      <c r="ZD375" s="4"/>
      <c r="ZE375" s="5"/>
      <c r="ZF375" s="6"/>
      <c r="ZG375" s="4"/>
      <c r="ZH375" s="4"/>
      <c r="ZI375" s="4"/>
      <c r="ZJ375" s="4"/>
      <c r="ZK375" s="4"/>
      <c r="ZL375" s="5"/>
      <c r="ZM375" s="6"/>
      <c r="ZN375" s="4"/>
      <c r="ZO375" s="4"/>
      <c r="ZP375" s="4"/>
      <c r="ZQ375" s="4"/>
      <c r="ZR375" s="4"/>
      <c r="ZS375" s="5"/>
      <c r="ZT375" s="6"/>
      <c r="ZU375" s="4"/>
      <c r="ZV375" s="4"/>
      <c r="ZW375" s="4"/>
      <c r="ZX375" s="4"/>
      <c r="ZY375" s="4"/>
      <c r="ZZ375" s="5"/>
      <c r="AAA375" s="6"/>
      <c r="AAB375" s="4"/>
      <c r="AAC375" s="4"/>
      <c r="AAD375" s="4"/>
      <c r="AAE375" s="4"/>
      <c r="AAF375" s="4"/>
      <c r="AAG375" s="5"/>
      <c r="AAH375" s="6"/>
      <c r="AAI375" s="4"/>
      <c r="AAJ375" s="4"/>
      <c r="AAK375" s="4"/>
      <c r="AAL375" s="4"/>
      <c r="AAM375" s="4"/>
      <c r="AAN375" s="5"/>
      <c r="AAO375" s="6"/>
      <c r="AAP375" s="4"/>
      <c r="AAQ375" s="4"/>
      <c r="AAR375" s="4"/>
      <c r="AAS375" s="4"/>
      <c r="AAT375" s="4"/>
      <c r="AAU375" s="5"/>
      <c r="AAV375" s="6"/>
      <c r="AAW375" s="4"/>
      <c r="AAX375" s="4"/>
      <c r="AAY375" s="4"/>
      <c r="AAZ375" s="4"/>
      <c r="ABA375" s="4"/>
      <c r="ABB375" s="5"/>
      <c r="ABC375" s="6"/>
      <c r="ABD375" s="4"/>
      <c r="ABE375" s="4"/>
      <c r="ABF375" s="4"/>
      <c r="ABG375" s="4"/>
      <c r="ABH375" s="4"/>
      <c r="ABI375" s="5"/>
      <c r="ABJ375" s="6"/>
      <c r="ABK375" s="4"/>
      <c r="ABL375" s="4"/>
      <c r="ABM375" s="4"/>
      <c r="ABN375" s="4"/>
      <c r="ABO375" s="4"/>
      <c r="ABP375" s="5"/>
      <c r="ABQ375" s="6"/>
      <c r="ABR375" s="4"/>
      <c r="ABS375" s="4"/>
      <c r="ABT375" s="4"/>
      <c r="ABU375" s="4"/>
      <c r="ABV375" s="4"/>
      <c r="ABW375" s="5"/>
      <c r="ABX375" s="6"/>
      <c r="ABY375" s="4"/>
      <c r="ABZ375" s="4"/>
      <c r="ACA375" s="4"/>
      <c r="ACB375" s="4"/>
      <c r="ACC375" s="4"/>
      <c r="ACD375" s="5"/>
      <c r="ACE375" s="6"/>
      <c r="ACF375" s="4"/>
      <c r="ACG375" s="4"/>
      <c r="ACH375" s="4"/>
      <c r="ACI375" s="4"/>
      <c r="ACJ375" s="4"/>
      <c r="ACK375" s="5"/>
      <c r="ACL375" s="6"/>
      <c r="ACM375" s="4"/>
      <c r="ACN375" s="4"/>
      <c r="ACO375" s="4"/>
      <c r="ACP375" s="4"/>
      <c r="ACQ375" s="4"/>
      <c r="ACR375" s="5"/>
      <c r="ACS375" s="6"/>
      <c r="ACT375" s="4"/>
      <c r="ACU375" s="4"/>
      <c r="ACV375" s="4"/>
      <c r="ACW375" s="4"/>
      <c r="ACX375" s="4"/>
      <c r="ACY375" s="5"/>
    </row>
    <row r="376" spans="2:805" x14ac:dyDescent="0.25">
      <c r="B376" s="30"/>
      <c r="J376" s="12"/>
      <c r="K376" s="12"/>
      <c r="L376" s="12"/>
      <c r="LL376" s="6"/>
      <c r="LM376" s="4"/>
      <c r="LN376" s="4"/>
      <c r="LO376" s="4"/>
      <c r="LP376" s="4"/>
      <c r="LQ376" s="4"/>
      <c r="LR376" s="5"/>
      <c r="LS376" s="6"/>
      <c r="LT376" s="4"/>
      <c r="LU376" s="4"/>
      <c r="LV376" s="4"/>
      <c r="LW376" s="4"/>
      <c r="LX376" s="4"/>
      <c r="LY376" s="5"/>
      <c r="LZ376" s="11" t="s">
        <v>1660</v>
      </c>
      <c r="MA376" s="7" t="s">
        <v>2375</v>
      </c>
      <c r="MB376" s="7" t="s">
        <v>4013</v>
      </c>
      <c r="MC376" s="7" t="s">
        <v>2702</v>
      </c>
      <c r="MD376" s="8">
        <v>38323</v>
      </c>
      <c r="ME376" s="8">
        <v>38324</v>
      </c>
      <c r="MF376" s="8" t="s">
        <v>611</v>
      </c>
      <c r="MG376" s="5" t="s">
        <v>284</v>
      </c>
      <c r="MH376" s="6"/>
      <c r="MI376" s="4"/>
      <c r="MJ376" s="4"/>
      <c r="MK376" s="4"/>
      <c r="ML376" s="4"/>
      <c r="MM376" s="4"/>
      <c r="MN376" s="5"/>
      <c r="MO376" s="6"/>
      <c r="MP376" s="4"/>
      <c r="MQ376" s="4"/>
      <c r="MR376" s="4"/>
      <c r="MS376" s="4"/>
      <c r="MT376" s="4"/>
      <c r="MU376" s="5"/>
      <c r="MV376" s="6"/>
      <c r="MW376" s="4"/>
      <c r="MX376" s="4"/>
      <c r="MY376" s="4"/>
      <c r="MZ376" s="4"/>
      <c r="NA376" s="4"/>
      <c r="NB376" s="5"/>
      <c r="NC376" s="6"/>
      <c r="ND376" s="4"/>
      <c r="NE376" s="4"/>
      <c r="NF376" s="7"/>
      <c r="NG376" s="8"/>
      <c r="NH376" s="8"/>
      <c r="NI376" s="5"/>
      <c r="NJ376" s="6"/>
      <c r="NK376" s="4"/>
      <c r="NL376" s="4"/>
      <c r="NM376" s="4"/>
      <c r="NN376" s="4"/>
      <c r="NO376" s="4"/>
      <c r="NP376" s="5"/>
      <c r="NQ376" s="6"/>
      <c r="NR376" s="4"/>
      <c r="NS376" s="4"/>
      <c r="NT376" s="4"/>
      <c r="NU376" s="4"/>
      <c r="NV376" s="4"/>
      <c r="NW376" s="5"/>
      <c r="NX376" s="6"/>
      <c r="NY376" s="4"/>
      <c r="NZ376" s="4"/>
      <c r="OA376" s="4"/>
      <c r="OB376" s="4"/>
      <c r="OC376" s="4"/>
      <c r="OD376" s="5"/>
      <c r="OE376" s="6"/>
      <c r="OF376" s="4"/>
      <c r="OG376" s="4"/>
      <c r="OH376" s="4"/>
      <c r="OI376" s="4"/>
      <c r="OJ376" s="4"/>
      <c r="OK376" s="5"/>
      <c r="OL376" s="6"/>
      <c r="OM376" s="4"/>
      <c r="ON376" s="4"/>
      <c r="OO376" s="4"/>
      <c r="OP376" s="4"/>
      <c r="OQ376" s="4"/>
      <c r="OR376" s="5"/>
      <c r="OS376" s="6"/>
      <c r="OT376" s="4"/>
      <c r="OU376" s="4"/>
      <c r="OV376" s="4"/>
      <c r="OW376" s="4"/>
      <c r="OX376" s="4"/>
      <c r="OY376" s="5"/>
      <c r="OZ376" s="4"/>
      <c r="PA376" s="4"/>
      <c r="PB376" s="4"/>
      <c r="PC376" s="4"/>
      <c r="PD376" s="4"/>
      <c r="PE376" s="4"/>
      <c r="PF376" s="5"/>
      <c r="PG376" s="6"/>
      <c r="PH376" s="4"/>
      <c r="PI376" s="4"/>
      <c r="PJ376" s="4"/>
      <c r="PK376" s="4"/>
      <c r="PL376" s="4"/>
      <c r="PM376" s="5"/>
      <c r="PN376" s="6"/>
      <c r="PO376" s="4"/>
      <c r="PP376" s="4"/>
      <c r="PQ376" s="4"/>
      <c r="PR376" s="4"/>
      <c r="PS376" s="4"/>
      <c r="PT376" s="5"/>
      <c r="PU376" s="6"/>
      <c r="PV376" s="4"/>
      <c r="PW376" s="4"/>
      <c r="PX376" s="4"/>
      <c r="PY376" s="4"/>
      <c r="PZ376" s="4"/>
      <c r="QA376" s="5"/>
      <c r="QB376" s="6"/>
      <c r="QC376" s="4"/>
      <c r="QD376" s="4"/>
      <c r="QE376" s="4"/>
      <c r="QF376" s="4"/>
      <c r="QG376" s="4"/>
      <c r="QH376" s="5"/>
      <c r="QI376" s="6"/>
      <c r="QJ376" s="4"/>
      <c r="QK376" s="4"/>
      <c r="QL376" s="4"/>
      <c r="QM376" s="4"/>
      <c r="QN376" s="4"/>
      <c r="QO376" s="5"/>
      <c r="QP376" s="6"/>
      <c r="QQ376" s="4"/>
      <c r="QR376" s="4"/>
      <c r="QS376" s="4"/>
      <c r="QT376" s="4"/>
      <c r="QU376" s="4"/>
      <c r="QV376" s="5"/>
      <c r="QW376" s="6"/>
      <c r="QX376" s="4"/>
      <c r="QY376" s="4"/>
      <c r="QZ376" s="4"/>
      <c r="RA376" s="8"/>
      <c r="RB376" s="8"/>
      <c r="RC376" s="5"/>
      <c r="RD376" s="6"/>
      <c r="RE376" s="4"/>
      <c r="RF376" s="4"/>
      <c r="RG376" s="4"/>
      <c r="RH376" s="4"/>
      <c r="RI376" s="4"/>
      <c r="RJ376" s="5"/>
      <c r="RK376" s="6"/>
      <c r="RL376" s="4"/>
      <c r="RM376" s="4"/>
      <c r="RN376" s="4"/>
      <c r="RO376" s="4"/>
      <c r="RP376" s="4"/>
      <c r="RQ376" s="5"/>
      <c r="RR376" s="6"/>
      <c r="RS376" s="4"/>
      <c r="RT376" s="4"/>
      <c r="RU376" s="4"/>
      <c r="RV376" s="4"/>
      <c r="RW376" s="4"/>
      <c r="RX376" s="5"/>
      <c r="RY376" s="6"/>
      <c r="RZ376" s="4"/>
      <c r="SA376" s="4"/>
      <c r="SB376" s="4"/>
      <c r="SC376" s="4"/>
      <c r="SD376" s="4"/>
      <c r="SE376" s="5"/>
      <c r="SF376" s="6"/>
      <c r="SG376" s="4"/>
      <c r="SH376" s="4"/>
      <c r="SI376" s="4"/>
      <c r="SJ376" s="4"/>
      <c r="SK376" s="4"/>
      <c r="SL376" s="5"/>
      <c r="SM376" s="6"/>
      <c r="SN376" s="4"/>
      <c r="SO376" s="4"/>
      <c r="SP376" s="4"/>
      <c r="SQ376" s="4"/>
      <c r="SR376" s="4"/>
      <c r="SS376" s="5"/>
      <c r="ST376" s="6"/>
      <c r="SU376" s="4"/>
      <c r="SV376" s="4"/>
      <c r="SW376" s="4"/>
      <c r="SX376" s="4"/>
      <c r="SY376" s="4"/>
      <c r="SZ376" s="5"/>
      <c r="TA376" s="6"/>
      <c r="TB376" s="4"/>
      <c r="TC376" s="4"/>
      <c r="TD376" s="4"/>
      <c r="TE376" s="4"/>
      <c r="TF376" s="4"/>
      <c r="TG376" s="5"/>
      <c r="TH376" s="6"/>
      <c r="TI376" s="4"/>
      <c r="TJ376" s="4"/>
      <c r="TK376" s="4"/>
      <c r="TL376" s="4"/>
      <c r="TM376" s="4"/>
      <c r="TN376" s="5"/>
      <c r="TO376" s="6"/>
      <c r="TP376" s="4"/>
      <c r="TQ376" s="4"/>
      <c r="TR376" s="4"/>
      <c r="TS376" s="4"/>
      <c r="TT376" s="4"/>
      <c r="TU376" s="5"/>
      <c r="TV376" s="6"/>
      <c r="TW376" s="4"/>
      <c r="TX376" s="4"/>
      <c r="TY376" s="4"/>
      <c r="TZ376" s="4"/>
      <c r="UA376" s="4"/>
      <c r="UB376" s="5"/>
      <c r="UC376" s="6"/>
      <c r="UD376" s="4"/>
      <c r="UE376" s="4"/>
      <c r="UF376" s="4"/>
      <c r="UG376" s="4"/>
      <c r="UH376" s="4"/>
      <c r="UI376" s="5"/>
      <c r="UJ376" s="6"/>
      <c r="UK376" s="4"/>
      <c r="UL376" s="4"/>
      <c r="UM376" s="4"/>
      <c r="UN376" s="4"/>
      <c r="UO376" s="4"/>
      <c r="UP376" s="5"/>
      <c r="UQ376" s="6"/>
      <c r="UR376" s="4"/>
      <c r="US376" s="4"/>
      <c r="UT376" s="4"/>
      <c r="UU376" s="4"/>
      <c r="UV376" s="4"/>
      <c r="UW376" s="5"/>
      <c r="UX376" s="6"/>
      <c r="UY376" s="4"/>
      <c r="UZ376" s="4"/>
      <c r="VA376" s="4"/>
      <c r="VB376" s="4"/>
      <c r="VC376" s="4"/>
      <c r="VD376" s="5"/>
      <c r="VE376" s="6"/>
      <c r="VF376" s="4"/>
      <c r="VG376" s="4"/>
      <c r="VH376" s="4"/>
      <c r="VI376" s="4"/>
      <c r="VJ376" s="4"/>
      <c r="VK376" s="5"/>
      <c r="VL376" s="6"/>
      <c r="VM376" s="4"/>
      <c r="VN376" s="4"/>
      <c r="VO376" s="4"/>
      <c r="VP376" s="4"/>
      <c r="VQ376" s="4"/>
      <c r="VR376" s="5"/>
      <c r="VS376" s="6"/>
      <c r="VT376" s="4"/>
      <c r="VU376" s="4"/>
      <c r="VV376" s="4"/>
      <c r="VW376" s="4"/>
      <c r="VX376" s="4"/>
      <c r="VY376" s="5"/>
      <c r="VZ376" s="6"/>
      <c r="WA376" s="4"/>
      <c r="WB376" s="4"/>
      <c r="WC376" s="4"/>
      <c r="WD376" s="4"/>
      <c r="WE376" s="4"/>
      <c r="WF376" s="5"/>
      <c r="WG376" s="6"/>
      <c r="WH376" s="4"/>
      <c r="WI376" s="4"/>
      <c r="WJ376" s="4"/>
      <c r="WK376" s="4"/>
      <c r="WL376" s="4"/>
      <c r="WM376" s="5"/>
      <c r="WN376" s="6"/>
      <c r="WO376" s="4"/>
      <c r="WP376" s="4"/>
      <c r="WQ376" s="4"/>
      <c r="WR376" s="4"/>
      <c r="WS376" s="4"/>
      <c r="WT376" s="5"/>
      <c r="WU376" s="6"/>
      <c r="WV376" s="4"/>
      <c r="WW376" s="4"/>
      <c r="WX376" s="4"/>
      <c r="WY376" s="4"/>
      <c r="WZ376" s="4"/>
      <c r="XA376" s="5"/>
      <c r="XB376" s="6"/>
      <c r="XC376" s="4"/>
      <c r="XD376" s="4"/>
      <c r="XE376" s="4"/>
      <c r="XF376" s="4"/>
      <c r="XG376" s="4"/>
      <c r="XH376" s="5"/>
      <c r="XI376" s="6"/>
      <c r="XJ376" s="4"/>
      <c r="XK376" s="4"/>
      <c r="XL376" s="4"/>
      <c r="XM376" s="4"/>
      <c r="XN376" s="4"/>
      <c r="XO376" s="5"/>
      <c r="XP376" s="6"/>
      <c r="XQ376" s="4"/>
      <c r="XR376" s="4"/>
      <c r="XS376" s="4"/>
      <c r="XT376" s="4"/>
      <c r="XU376" s="4"/>
      <c r="XV376" s="5"/>
      <c r="XW376" s="6"/>
      <c r="XX376" s="4"/>
      <c r="XY376" s="4"/>
      <c r="XZ376" s="4"/>
      <c r="YA376" s="4"/>
      <c r="YB376" s="4"/>
      <c r="YC376" s="5"/>
      <c r="YD376" s="6"/>
      <c r="YE376" s="4"/>
      <c r="YF376" s="4"/>
      <c r="YG376" s="4"/>
      <c r="YH376" s="4"/>
      <c r="YI376" s="4"/>
      <c r="YJ376" s="5"/>
      <c r="YK376" s="11" t="s">
        <v>565</v>
      </c>
      <c r="YL376" s="4" t="s">
        <v>566</v>
      </c>
      <c r="YM376" s="4"/>
      <c r="YN376" s="7" t="s">
        <v>1810</v>
      </c>
      <c r="YO376" s="8">
        <v>38322</v>
      </c>
      <c r="YP376" s="8">
        <v>38332</v>
      </c>
      <c r="YQ376" s="5" t="s">
        <v>294</v>
      </c>
      <c r="YR376" s="6"/>
      <c r="YS376" s="4"/>
      <c r="YT376" s="4"/>
      <c r="YU376" s="4"/>
      <c r="YV376" s="4"/>
      <c r="YW376" s="4"/>
      <c r="YX376" s="5"/>
      <c r="YY376" s="6"/>
      <c r="YZ376" s="4"/>
      <c r="ZA376" s="4"/>
      <c r="ZB376" s="4"/>
      <c r="ZC376" s="4"/>
      <c r="ZD376" s="4"/>
      <c r="ZE376" s="5"/>
      <c r="ZF376" s="6"/>
      <c r="ZG376" s="4"/>
      <c r="ZH376" s="4"/>
      <c r="ZI376" s="4"/>
      <c r="ZJ376" s="4"/>
      <c r="ZK376" s="4"/>
      <c r="ZL376" s="5"/>
      <c r="ZM376" s="6"/>
      <c r="ZN376" s="4"/>
      <c r="ZO376" s="4"/>
      <c r="ZP376" s="4"/>
      <c r="ZQ376" s="4"/>
      <c r="ZR376" s="4"/>
      <c r="ZS376" s="5"/>
      <c r="ZT376" s="6"/>
      <c r="ZU376" s="4"/>
      <c r="ZV376" s="4"/>
      <c r="ZW376" s="4"/>
      <c r="ZX376" s="4"/>
      <c r="ZY376" s="4"/>
      <c r="ZZ376" s="5"/>
      <c r="AAA376" s="6"/>
      <c r="AAB376" s="4"/>
      <c r="AAC376" s="4"/>
      <c r="AAD376" s="4"/>
      <c r="AAE376" s="4"/>
      <c r="AAF376" s="4"/>
      <c r="AAG376" s="5"/>
      <c r="AAH376" s="6"/>
      <c r="AAI376" s="4"/>
      <c r="AAJ376" s="4"/>
      <c r="AAK376" s="4"/>
      <c r="AAL376" s="4"/>
      <c r="AAM376" s="4"/>
      <c r="AAN376" s="5"/>
      <c r="AAO376" s="6"/>
      <c r="AAP376" s="4"/>
      <c r="AAQ376" s="4"/>
      <c r="AAR376" s="4"/>
      <c r="AAS376" s="4"/>
      <c r="AAT376" s="4"/>
      <c r="AAU376" s="5"/>
      <c r="AAV376" s="6"/>
      <c r="AAW376" s="4"/>
      <c r="AAX376" s="4"/>
      <c r="AAY376" s="4"/>
      <c r="AAZ376" s="4"/>
      <c r="ABA376" s="4"/>
      <c r="ABB376" s="5"/>
      <c r="ABC376" s="6"/>
      <c r="ABD376" s="4"/>
      <c r="ABE376" s="4"/>
      <c r="ABF376" s="4"/>
      <c r="ABG376" s="4"/>
      <c r="ABH376" s="4"/>
      <c r="ABI376" s="5"/>
      <c r="ABJ376" s="6"/>
      <c r="ABK376" s="4"/>
      <c r="ABL376" s="4"/>
      <c r="ABM376" s="4"/>
      <c r="ABN376" s="4"/>
      <c r="ABO376" s="4"/>
      <c r="ABP376" s="5"/>
      <c r="ABQ376" s="6"/>
      <c r="ABR376" s="4"/>
      <c r="ABS376" s="4"/>
      <c r="ABT376" s="4"/>
      <c r="ABU376" s="4"/>
      <c r="ABV376" s="4"/>
      <c r="ABW376" s="5"/>
      <c r="ABX376" s="6"/>
      <c r="ABY376" s="4"/>
      <c r="ABZ376" s="4"/>
      <c r="ACA376" s="4"/>
      <c r="ACB376" s="4"/>
      <c r="ACC376" s="4"/>
      <c r="ACD376" s="5"/>
      <c r="ACE376" s="6"/>
      <c r="ACF376" s="4"/>
      <c r="ACG376" s="4"/>
      <c r="ACH376" s="4"/>
      <c r="ACI376" s="4"/>
      <c r="ACJ376" s="4"/>
      <c r="ACK376" s="5"/>
      <c r="ACL376" s="6"/>
      <c r="ACM376" s="4"/>
      <c r="ACN376" s="4"/>
      <c r="ACO376" s="4"/>
      <c r="ACP376" s="4"/>
      <c r="ACQ376" s="4"/>
      <c r="ACR376" s="5"/>
      <c r="ACS376" s="6"/>
      <c r="ACT376" s="4"/>
      <c r="ACU376" s="4"/>
      <c r="ACV376" s="4"/>
      <c r="ACW376" s="4"/>
      <c r="ACX376" s="4"/>
      <c r="ACY376" s="5"/>
    </row>
    <row r="377" spans="2:805" x14ac:dyDescent="0.25">
      <c r="B377" s="29">
        <v>8027908</v>
      </c>
      <c r="C377" s="57">
        <v>70</v>
      </c>
      <c r="D377" t="s">
        <v>3730</v>
      </c>
      <c r="E377" s="35" t="s">
        <v>1267</v>
      </c>
      <c r="F377" s="23">
        <v>1</v>
      </c>
      <c r="I377">
        <v>1</v>
      </c>
      <c r="J377" s="19">
        <v>38440</v>
      </c>
      <c r="K377" s="19"/>
      <c r="L377" s="19" t="s">
        <v>1545</v>
      </c>
      <c r="M377">
        <v>1</v>
      </c>
      <c r="N377" s="17">
        <v>38440</v>
      </c>
      <c r="P377" t="s">
        <v>430</v>
      </c>
      <c r="Q377">
        <v>1</v>
      </c>
      <c r="S377">
        <v>1</v>
      </c>
      <c r="U377">
        <v>1</v>
      </c>
      <c r="AI377">
        <v>1</v>
      </c>
      <c r="AO377">
        <v>1</v>
      </c>
      <c r="BH377">
        <v>1</v>
      </c>
      <c r="LJ377">
        <v>1</v>
      </c>
      <c r="LL377" s="6"/>
      <c r="LM377" s="4"/>
      <c r="LN377" s="4"/>
      <c r="LO377" s="4"/>
      <c r="LP377" s="4"/>
      <c r="LQ377" s="4"/>
      <c r="LR377" s="5"/>
      <c r="LS377" s="6"/>
      <c r="LT377" s="4"/>
      <c r="LU377" s="4"/>
      <c r="LV377" s="4"/>
      <c r="LW377" s="4"/>
      <c r="LX377" s="4"/>
      <c r="LY377" s="5"/>
      <c r="LZ377" s="11" t="s">
        <v>3346</v>
      </c>
      <c r="MA377" s="7" t="s">
        <v>3365</v>
      </c>
      <c r="MB377" s="7" t="s">
        <v>3364</v>
      </c>
      <c r="MC377" s="7" t="s">
        <v>3380</v>
      </c>
      <c r="MD377" s="8">
        <v>38416</v>
      </c>
      <c r="ME377" s="8">
        <v>38416</v>
      </c>
      <c r="MF377" s="8"/>
      <c r="MG377" s="5" t="s">
        <v>1546</v>
      </c>
      <c r="MH377" s="6"/>
      <c r="MI377" s="4"/>
      <c r="MJ377" s="4"/>
      <c r="MK377" s="4"/>
      <c r="ML377" s="4"/>
      <c r="MM377" s="4"/>
      <c r="MN377" s="5"/>
      <c r="MO377" s="6"/>
      <c r="MP377" s="4"/>
      <c r="MQ377" s="4"/>
      <c r="MR377" s="4"/>
      <c r="MS377" s="4"/>
      <c r="MT377" s="4"/>
      <c r="MU377" s="5"/>
      <c r="MV377" s="6"/>
      <c r="MW377" s="4"/>
      <c r="MX377" s="4"/>
      <c r="MY377" s="4"/>
      <c r="MZ377" s="4"/>
      <c r="NA377" s="4"/>
      <c r="NB377" s="5"/>
      <c r="NC377" s="6" t="s">
        <v>3343</v>
      </c>
      <c r="ND377" s="4" t="s">
        <v>3345</v>
      </c>
      <c r="NE377" s="4" t="s">
        <v>3344</v>
      </c>
      <c r="NF377" s="7" t="s">
        <v>3380</v>
      </c>
      <c r="NG377" s="8">
        <v>38442</v>
      </c>
      <c r="NH377" s="8">
        <v>38442</v>
      </c>
      <c r="NI377" s="5"/>
      <c r="NJ377" s="6" t="s">
        <v>2499</v>
      </c>
      <c r="NK377" s="4" t="s">
        <v>2500</v>
      </c>
      <c r="NL377" s="4"/>
      <c r="NM377" s="4"/>
      <c r="NN377" s="4"/>
      <c r="NO377" s="4"/>
      <c r="NP377" s="5" t="s">
        <v>1552</v>
      </c>
      <c r="NQ377" s="6" t="s">
        <v>3674</v>
      </c>
      <c r="NR377" s="4" t="s">
        <v>1815</v>
      </c>
      <c r="NS377" s="4"/>
      <c r="NT377" s="4" t="s">
        <v>3607</v>
      </c>
      <c r="NU377" s="8">
        <v>38412</v>
      </c>
      <c r="NV377" s="8">
        <v>38429</v>
      </c>
      <c r="NW377" s="5" t="s">
        <v>1064</v>
      </c>
      <c r="NX377" s="6" t="s">
        <v>3780</v>
      </c>
      <c r="NY377" s="4" t="s">
        <v>3076</v>
      </c>
      <c r="NZ377" s="4" t="s">
        <v>3781</v>
      </c>
      <c r="OA377" s="7" t="s">
        <v>3625</v>
      </c>
      <c r="OB377" s="8">
        <v>38435</v>
      </c>
      <c r="OC377" s="8">
        <v>38440</v>
      </c>
      <c r="OD377" s="5" t="s">
        <v>1553</v>
      </c>
      <c r="OE377" s="6" t="s">
        <v>3907</v>
      </c>
      <c r="OF377" s="4" t="s">
        <v>3908</v>
      </c>
      <c r="OG377" s="4"/>
      <c r="OH377" s="4" t="s">
        <v>3380</v>
      </c>
      <c r="OI377" s="8">
        <v>38419</v>
      </c>
      <c r="OJ377" s="8">
        <v>38419</v>
      </c>
      <c r="OK377" s="5" t="s">
        <v>1554</v>
      </c>
      <c r="OL377" s="6"/>
      <c r="OM377" s="4"/>
      <c r="ON377" s="4"/>
      <c r="OO377" s="4"/>
      <c r="OP377" s="4"/>
      <c r="OQ377" s="4"/>
      <c r="OR377" s="5"/>
      <c r="OS377" s="6" t="s">
        <v>3277</v>
      </c>
      <c r="OT377" s="4" t="s">
        <v>3013</v>
      </c>
      <c r="OU377" s="4" t="s">
        <v>3643</v>
      </c>
      <c r="OV377" s="7" t="s">
        <v>3571</v>
      </c>
      <c r="OW377" s="9">
        <v>38420</v>
      </c>
      <c r="OX377" s="9">
        <v>38421</v>
      </c>
      <c r="OY377" s="5"/>
      <c r="PB377" s="4"/>
      <c r="PC377" s="4"/>
      <c r="PD377" s="4"/>
      <c r="PE377" s="4"/>
      <c r="PF377" s="5"/>
      <c r="PG377" s="6"/>
      <c r="PH377" s="4"/>
      <c r="PI377" s="4"/>
      <c r="PJ377" s="4"/>
      <c r="PK377" s="4"/>
      <c r="PL377" s="4"/>
      <c r="PM377" s="5"/>
      <c r="PN377" s="6"/>
      <c r="PO377" s="4"/>
      <c r="PP377" s="4"/>
      <c r="PQ377" s="4"/>
      <c r="PR377" s="4"/>
      <c r="PS377" s="4"/>
      <c r="PT377" s="5"/>
      <c r="PU377" s="6" t="s">
        <v>3905</v>
      </c>
      <c r="PV377" s="4" t="s">
        <v>2000</v>
      </c>
      <c r="PW377" s="4"/>
      <c r="PX377" s="4" t="s">
        <v>3380</v>
      </c>
      <c r="PY377" s="8">
        <v>38439</v>
      </c>
      <c r="PZ377" s="8">
        <v>38439</v>
      </c>
      <c r="QA377" s="5" t="s">
        <v>1555</v>
      </c>
      <c r="QB377" s="6"/>
      <c r="QC377" s="4"/>
      <c r="QD377" s="4"/>
      <c r="QE377" s="4"/>
      <c r="QF377" s="4"/>
      <c r="QG377" s="4"/>
      <c r="QH377" s="5"/>
      <c r="QI377" s="6"/>
      <c r="QJ377" s="4"/>
      <c r="QK377" s="4"/>
      <c r="QL377" s="4"/>
      <c r="QM377" s="4"/>
      <c r="QN377" s="4"/>
      <c r="QO377" s="5"/>
      <c r="QP377" s="6"/>
      <c r="QQ377" s="4"/>
      <c r="QR377" s="4"/>
      <c r="QS377" s="4"/>
      <c r="QT377" s="4"/>
      <c r="QU377" s="4"/>
      <c r="QV377" s="5"/>
      <c r="QW377" s="6" t="s">
        <v>3686</v>
      </c>
      <c r="QX377" s="4" t="s">
        <v>3588</v>
      </c>
      <c r="QY377" s="4" t="s">
        <v>3364</v>
      </c>
      <c r="QZ377" s="7" t="s">
        <v>3380</v>
      </c>
      <c r="RA377" s="8">
        <v>38437</v>
      </c>
      <c r="RB377" s="8">
        <v>38437</v>
      </c>
      <c r="RC377" s="5" t="s">
        <v>1418</v>
      </c>
      <c r="RD377" s="6"/>
      <c r="RE377" s="4"/>
      <c r="RF377" s="4"/>
      <c r="RG377" s="4"/>
      <c r="RH377" s="4"/>
      <c r="RI377" s="4"/>
      <c r="RJ377" s="5"/>
      <c r="RK377" s="6"/>
      <c r="RL377" s="4"/>
      <c r="RM377" s="4"/>
      <c r="RN377" s="4"/>
      <c r="RO377" s="4"/>
      <c r="RP377" s="4"/>
      <c r="RQ377" s="5"/>
      <c r="RR377" s="6"/>
      <c r="RS377" s="4"/>
      <c r="RT377" s="4"/>
      <c r="RU377" s="4"/>
      <c r="RV377" s="4"/>
      <c r="RW377" s="4"/>
      <c r="RX377" s="5"/>
      <c r="RY377" s="6"/>
      <c r="RZ377" s="4"/>
      <c r="SA377" s="4"/>
      <c r="SB377" s="4"/>
      <c r="SC377" s="4"/>
      <c r="SD377" s="4"/>
      <c r="SE377" s="5"/>
      <c r="SF377" s="6"/>
      <c r="SG377" s="4"/>
      <c r="SH377" s="4"/>
      <c r="SI377" s="4"/>
      <c r="SJ377" s="4"/>
      <c r="SK377" s="4"/>
      <c r="SL377" s="5"/>
      <c r="SM377" s="6"/>
      <c r="SN377" s="4"/>
      <c r="SO377" s="4"/>
      <c r="SP377" s="4"/>
      <c r="SQ377" s="4"/>
      <c r="SR377" s="4"/>
      <c r="SS377" s="5"/>
      <c r="ST377" s="6"/>
      <c r="SU377" s="4"/>
      <c r="SV377" s="4"/>
      <c r="SW377" s="4"/>
      <c r="SX377" s="4"/>
      <c r="SY377" s="4"/>
      <c r="SZ377" s="5"/>
      <c r="TA377" s="6"/>
      <c r="TB377" s="4"/>
      <c r="TC377" s="4"/>
      <c r="TD377" s="4"/>
      <c r="TE377" s="4"/>
      <c r="TF377" s="4"/>
      <c r="TG377" s="5"/>
      <c r="TH377" s="6"/>
      <c r="TI377" s="4"/>
      <c r="TJ377" s="4"/>
      <c r="TK377" s="4"/>
      <c r="TL377" s="4"/>
      <c r="TM377" s="4"/>
      <c r="TN377" s="5"/>
      <c r="TO377" s="6"/>
      <c r="TP377" s="4"/>
      <c r="TQ377" s="4"/>
      <c r="TR377" s="4"/>
      <c r="TS377" s="4"/>
      <c r="TT377" s="4"/>
      <c r="TU377" s="5"/>
      <c r="TV377" s="6"/>
      <c r="TW377" s="4"/>
      <c r="TX377" s="4"/>
      <c r="TY377" s="4"/>
      <c r="TZ377" s="4"/>
      <c r="UA377" s="4"/>
      <c r="UB377" s="5"/>
      <c r="UC377" s="6"/>
      <c r="UD377" s="4"/>
      <c r="UE377" s="4"/>
      <c r="UF377" s="4"/>
      <c r="UG377" s="4"/>
      <c r="UH377" s="4"/>
      <c r="UI377" s="5"/>
      <c r="UJ377" s="6"/>
      <c r="UK377" s="4"/>
      <c r="UL377" s="4"/>
      <c r="UM377" s="4"/>
      <c r="UN377" s="4"/>
      <c r="UO377" s="4"/>
      <c r="UP377" s="5"/>
      <c r="UQ377" s="6"/>
      <c r="UR377" s="4"/>
      <c r="US377" s="4"/>
      <c r="UT377" s="4"/>
      <c r="UU377" s="4"/>
      <c r="UV377" s="4"/>
      <c r="UW377" s="5"/>
      <c r="UX377" s="6"/>
      <c r="UY377" s="4"/>
      <c r="UZ377" s="4"/>
      <c r="VA377" s="4"/>
      <c r="VB377" s="4"/>
      <c r="VC377" s="4"/>
      <c r="VD377" s="5"/>
      <c r="VE377" s="6" t="s">
        <v>3909</v>
      </c>
      <c r="VF377" s="4" t="s">
        <v>3641</v>
      </c>
      <c r="VG377" s="4" t="s">
        <v>3642</v>
      </c>
      <c r="VH377" s="7" t="s">
        <v>3571</v>
      </c>
      <c r="VI377" s="8">
        <v>38434</v>
      </c>
      <c r="VJ377" s="8">
        <v>38435</v>
      </c>
      <c r="VK377" s="5"/>
      <c r="VL377" s="6" t="s">
        <v>1912</v>
      </c>
      <c r="VM377" s="4" t="s">
        <v>2547</v>
      </c>
      <c r="VN377" s="4"/>
      <c r="VO377" s="4"/>
      <c r="VP377" s="8">
        <v>38441</v>
      </c>
      <c r="VQ377" s="4"/>
      <c r="VR377" s="5" t="s">
        <v>1317</v>
      </c>
      <c r="VS377" s="6"/>
      <c r="VT377" s="4"/>
      <c r="VU377" s="4"/>
      <c r="VV377" s="4"/>
      <c r="VW377" s="4"/>
      <c r="VX377" s="4"/>
      <c r="VY377" s="5"/>
      <c r="VZ377" s="6"/>
      <c r="WA377" s="4"/>
      <c r="WB377" s="4"/>
      <c r="WC377" s="4"/>
      <c r="WD377" s="4"/>
      <c r="WE377" s="4"/>
      <c r="WF377" s="5"/>
      <c r="WG377" s="6"/>
      <c r="WH377" s="4"/>
      <c r="WI377" s="4"/>
      <c r="WJ377" s="4"/>
      <c r="WK377" s="4"/>
      <c r="WL377" s="4"/>
      <c r="WM377" s="5"/>
      <c r="WN377" s="6"/>
      <c r="WO377" s="4"/>
      <c r="WP377" s="4"/>
      <c r="WQ377" s="4"/>
      <c r="WR377" s="4"/>
      <c r="WS377" s="4"/>
      <c r="WT377" s="5"/>
      <c r="WU377" s="6"/>
      <c r="WV377" s="4"/>
      <c r="WW377" s="4"/>
      <c r="WX377" s="4"/>
      <c r="WY377" s="4"/>
      <c r="WZ377" s="4"/>
      <c r="XA377" s="5"/>
      <c r="XB377" s="6"/>
      <c r="XC377" s="4"/>
      <c r="XD377" s="4"/>
      <c r="XE377" s="4"/>
      <c r="XF377" s="4"/>
      <c r="XG377" s="4"/>
      <c r="XH377" s="5"/>
      <c r="XI377" s="6" t="s">
        <v>3147</v>
      </c>
      <c r="XJ377" s="4" t="s">
        <v>3148</v>
      </c>
      <c r="XK377" s="4" t="s">
        <v>3364</v>
      </c>
      <c r="XL377" s="7" t="s">
        <v>3675</v>
      </c>
      <c r="XM377" s="8">
        <v>38260</v>
      </c>
      <c r="XN377" s="8">
        <v>38414</v>
      </c>
      <c r="XO377" s="5" t="s">
        <v>1419</v>
      </c>
      <c r="XP377" s="6"/>
      <c r="XQ377" s="4"/>
      <c r="XR377" s="4"/>
      <c r="XS377" s="4"/>
      <c r="XT377" s="4"/>
      <c r="XU377" s="4"/>
      <c r="XV377" s="5"/>
      <c r="XW377" s="6" t="s">
        <v>3676</v>
      </c>
      <c r="XX377" s="4" t="s">
        <v>1650</v>
      </c>
      <c r="XY377" s="4" t="s">
        <v>3816</v>
      </c>
      <c r="XZ377" s="7" t="s">
        <v>3221</v>
      </c>
      <c r="YA377" s="8">
        <v>38436</v>
      </c>
      <c r="YB377" s="8">
        <v>38438</v>
      </c>
      <c r="YC377" s="5" t="s">
        <v>1420</v>
      </c>
      <c r="YD377" s="6"/>
      <c r="YE377" s="4"/>
      <c r="YF377" s="4"/>
      <c r="YG377" s="4"/>
      <c r="YH377" s="4"/>
      <c r="YI377" s="4"/>
      <c r="YJ377" s="5"/>
      <c r="YK377" s="6" t="s">
        <v>3434</v>
      </c>
      <c r="YL377" s="7" t="s">
        <v>3434</v>
      </c>
      <c r="YM377" s="4" t="s">
        <v>3426</v>
      </c>
      <c r="YN377" s="4"/>
      <c r="YO377" s="8">
        <v>38435</v>
      </c>
      <c r="YP377" s="4"/>
      <c r="YQ377" s="5"/>
      <c r="YR377" s="6"/>
      <c r="YS377" s="4"/>
      <c r="YT377" s="4"/>
      <c r="YU377" s="4"/>
      <c r="YV377" s="4"/>
      <c r="YW377" s="4"/>
      <c r="YX377" s="5"/>
      <c r="YY377" s="6" t="s">
        <v>3503</v>
      </c>
      <c r="YZ377" s="4" t="s">
        <v>3786</v>
      </c>
      <c r="ZA377" s="4" t="s">
        <v>3504</v>
      </c>
      <c r="ZC377" s="8">
        <v>38403</v>
      </c>
      <c r="ZD377" s="4"/>
      <c r="ZE377" s="5"/>
      <c r="ZF377" s="6"/>
      <c r="ZG377" s="4"/>
      <c r="ZH377" s="4"/>
      <c r="ZI377" s="4"/>
      <c r="ZJ377" s="4"/>
      <c r="ZK377" s="4"/>
      <c r="ZL377" s="5"/>
      <c r="ZM377" s="6" t="s">
        <v>2979</v>
      </c>
      <c r="ZN377" s="4" t="s">
        <v>2706</v>
      </c>
      <c r="ZO377" s="4" t="s">
        <v>3464</v>
      </c>
      <c r="ZP377" s="7" t="s">
        <v>3466</v>
      </c>
      <c r="ZQ377" s="8">
        <v>38421</v>
      </c>
      <c r="ZR377" s="8">
        <v>38429</v>
      </c>
      <c r="ZS377" s="5" t="s">
        <v>928</v>
      </c>
      <c r="ZT377" s="6"/>
      <c r="ZU377" s="4"/>
      <c r="ZV377" s="4"/>
      <c r="ZW377" s="4"/>
      <c r="ZX377" s="4"/>
      <c r="ZY377" s="4"/>
      <c r="ZZ377" s="5"/>
      <c r="AAA377" s="6"/>
      <c r="AAB377" s="4"/>
      <c r="AAC377" s="4"/>
      <c r="AAD377" s="4"/>
      <c r="AAE377" s="4"/>
      <c r="AAF377" s="4"/>
      <c r="AAG377" s="5"/>
      <c r="AAH377" s="6"/>
      <c r="AAI377" s="4"/>
      <c r="AAJ377" s="4"/>
      <c r="AAK377" s="4"/>
      <c r="AAL377" s="4"/>
      <c r="AAM377" s="4"/>
      <c r="AAN377" s="5"/>
      <c r="AAO377" s="6"/>
      <c r="AAP377" s="4"/>
      <c r="AAQ377" s="4"/>
      <c r="AAR377" s="4"/>
      <c r="AAS377" s="4"/>
      <c r="AAT377" s="4"/>
      <c r="AAU377" s="5"/>
      <c r="AAV377" s="6"/>
      <c r="AAW377" s="4"/>
      <c r="AAX377" s="4"/>
      <c r="AAY377" s="4"/>
      <c r="AAZ377" s="4"/>
      <c r="ABA377" s="4"/>
      <c r="ABB377" s="5"/>
      <c r="ABC377" s="6"/>
      <c r="ABD377" s="4"/>
      <c r="ABE377" s="4"/>
      <c r="ABF377" s="4"/>
      <c r="ABG377" s="4"/>
      <c r="ABH377" s="4"/>
      <c r="ABI377" s="5"/>
      <c r="ABJ377" s="6" t="s">
        <v>3718</v>
      </c>
      <c r="ABK377" s="4" t="s">
        <v>3388</v>
      </c>
      <c r="ABL377" s="4" t="s">
        <v>3720</v>
      </c>
      <c r="ABM377" s="4"/>
      <c r="ABN377" s="8">
        <v>38429</v>
      </c>
      <c r="ABO377" s="4"/>
      <c r="ABP377" s="5" t="s">
        <v>929</v>
      </c>
      <c r="ABQ377" s="6"/>
      <c r="ABR377" s="4"/>
      <c r="ABS377" s="4"/>
      <c r="ABT377" s="4"/>
      <c r="ABU377" s="4"/>
      <c r="ABV377" s="4"/>
      <c r="ABW377" s="5"/>
      <c r="ABX377" s="6"/>
      <c r="ABY377" s="4"/>
      <c r="ABZ377" s="4"/>
      <c r="ACA377" s="4"/>
      <c r="ACB377" s="4"/>
      <c r="ACC377" s="4"/>
      <c r="ACD377" s="5"/>
      <c r="ACE377" s="6"/>
      <c r="ACF377" s="4"/>
      <c r="ACG377" s="4"/>
      <c r="ACH377" s="4"/>
      <c r="ACI377" s="4"/>
      <c r="ACJ377" s="4"/>
      <c r="ACK377" s="5"/>
      <c r="ACL377" s="6" t="s">
        <v>3687</v>
      </c>
      <c r="ACM377" s="4" t="s">
        <v>2493</v>
      </c>
      <c r="ACN377" s="4" t="s">
        <v>3688</v>
      </c>
      <c r="ACO377" s="7" t="s">
        <v>3689</v>
      </c>
      <c r="ACP377" s="8">
        <v>38438</v>
      </c>
      <c r="ACQ377" s="8">
        <v>38535</v>
      </c>
      <c r="ACR377" s="5"/>
      <c r="ACS377" s="6"/>
      <c r="ACT377" s="4"/>
      <c r="ACU377" s="4"/>
      <c r="ACV377" s="4"/>
      <c r="ACW377" s="4"/>
      <c r="ACX377" s="4"/>
      <c r="ACY377" s="5"/>
      <c r="ADF377" t="s">
        <v>4182</v>
      </c>
      <c r="ADG377" t="s">
        <v>1004</v>
      </c>
      <c r="ADJ377" t="s">
        <v>932</v>
      </c>
      <c r="ADM377" t="s">
        <v>1003</v>
      </c>
      <c r="ADN377" t="s">
        <v>931</v>
      </c>
      <c r="ADP377" t="s">
        <v>935</v>
      </c>
      <c r="ADR377" t="s">
        <v>1064</v>
      </c>
      <c r="ADU377" t="s">
        <v>934</v>
      </c>
      <c r="ADV377" t="s">
        <v>933</v>
      </c>
      <c r="ADY377" t="s">
        <v>1069</v>
      </c>
    </row>
    <row r="378" spans="2:805" x14ac:dyDescent="0.25">
      <c r="J378" s="12"/>
      <c r="K378" s="12"/>
      <c r="L378" s="12"/>
      <c r="LL378" s="6"/>
      <c r="LM378" s="4"/>
      <c r="LN378" s="4"/>
      <c r="LO378" s="4"/>
      <c r="LP378" s="4"/>
      <c r="LQ378" s="4"/>
      <c r="LR378" s="5"/>
      <c r="LS378" s="6"/>
      <c r="LT378" s="4"/>
      <c r="LU378" s="4"/>
      <c r="LV378" s="4"/>
      <c r="LW378" s="4"/>
      <c r="LX378" s="4"/>
      <c r="LY378" s="5"/>
      <c r="LZ378" s="11" t="s">
        <v>3346</v>
      </c>
      <c r="MA378" s="7" t="s">
        <v>3365</v>
      </c>
      <c r="MB378" s="7" t="s">
        <v>3364</v>
      </c>
      <c r="MC378" s="7" t="s">
        <v>3380</v>
      </c>
      <c r="MD378" s="8">
        <v>38430</v>
      </c>
      <c r="ME378" s="8">
        <v>38430</v>
      </c>
      <c r="MF378" s="8"/>
      <c r="MG378" s="5" t="s">
        <v>1547</v>
      </c>
      <c r="MH378" s="6"/>
      <c r="MI378" s="4"/>
      <c r="MJ378" s="4"/>
      <c r="MK378" s="4"/>
      <c r="ML378" s="4"/>
      <c r="MM378" s="4"/>
      <c r="MN378" s="5"/>
      <c r="MO378" s="6"/>
      <c r="MP378" s="4"/>
      <c r="MQ378" s="4"/>
      <c r="MR378" s="4"/>
      <c r="MS378" s="4"/>
      <c r="MT378" s="4"/>
      <c r="MU378" s="5"/>
      <c r="MV378" s="6"/>
      <c r="MW378" s="4"/>
      <c r="MX378" s="4"/>
      <c r="MY378" s="4"/>
      <c r="MZ378" s="4"/>
      <c r="NA378" s="4"/>
      <c r="NB378" s="5"/>
      <c r="NC378" s="6" t="s">
        <v>2495</v>
      </c>
      <c r="ND378" s="4" t="s">
        <v>2699</v>
      </c>
      <c r="NE378" s="4" t="s">
        <v>3426</v>
      </c>
      <c r="NF378" s="7" t="s">
        <v>3751</v>
      </c>
      <c r="NG378" s="8">
        <v>38418</v>
      </c>
      <c r="NH378" s="8">
        <v>38425</v>
      </c>
      <c r="NI378" s="5" t="s">
        <v>1551</v>
      </c>
      <c r="NJ378" s="6" t="s">
        <v>2499</v>
      </c>
      <c r="NK378" s="4" t="s">
        <v>2500</v>
      </c>
      <c r="NL378" s="4" t="s">
        <v>3421</v>
      </c>
      <c r="NM378" s="4"/>
      <c r="NN378" s="8">
        <v>38405</v>
      </c>
      <c r="NO378" s="8">
        <v>38418</v>
      </c>
      <c r="NP378" s="5" t="s">
        <v>1552</v>
      </c>
      <c r="NQ378" s="6"/>
      <c r="NR378" s="4"/>
      <c r="NS378" s="4"/>
      <c r="NT378" s="4"/>
      <c r="NU378" s="4"/>
      <c r="NV378" s="4"/>
      <c r="NW378" s="5"/>
      <c r="NX378" s="6" t="s">
        <v>3690</v>
      </c>
      <c r="NY378" s="7" t="s">
        <v>1806</v>
      </c>
      <c r="NZ378" s="4" t="s">
        <v>3904</v>
      </c>
      <c r="OA378" s="7"/>
      <c r="OB378" s="8"/>
      <c r="OC378" s="8"/>
      <c r="OD378" s="5" t="s">
        <v>1553</v>
      </c>
      <c r="OE378" s="6" t="s">
        <v>3907</v>
      </c>
      <c r="OF378" s="4" t="s">
        <v>3908</v>
      </c>
      <c r="OG378" s="4" t="s">
        <v>3752</v>
      </c>
      <c r="OH378" s="7" t="s">
        <v>3380</v>
      </c>
      <c r="OI378" s="8">
        <v>38426</v>
      </c>
      <c r="OJ378" s="8">
        <v>38426</v>
      </c>
      <c r="OK378" s="5" t="s">
        <v>1554</v>
      </c>
      <c r="OL378" s="6"/>
      <c r="OM378" s="4"/>
      <c r="ON378" s="4"/>
      <c r="OO378" s="4"/>
      <c r="OP378" s="4"/>
      <c r="OQ378" s="4"/>
      <c r="OR378" s="5"/>
      <c r="OS378" s="6" t="s">
        <v>3277</v>
      </c>
      <c r="OT378" s="4" t="s">
        <v>3013</v>
      </c>
      <c r="OU378" s="4" t="s">
        <v>3644</v>
      </c>
      <c r="OV378" s="7" t="s">
        <v>3221</v>
      </c>
      <c r="OW378" s="8">
        <v>38425</v>
      </c>
      <c r="OX378" s="8">
        <v>38427</v>
      </c>
      <c r="OY378" s="5"/>
      <c r="PB378" s="4"/>
      <c r="PC378" s="4"/>
      <c r="PD378" s="4"/>
      <c r="PE378" s="4"/>
      <c r="PF378" s="5"/>
      <c r="PG378" s="6"/>
      <c r="PH378" s="4"/>
      <c r="PI378" s="4"/>
      <c r="PJ378" s="4"/>
      <c r="PK378" s="4"/>
      <c r="PL378" s="4"/>
      <c r="PM378" s="5"/>
      <c r="PN378" s="6"/>
      <c r="PO378" s="4"/>
      <c r="PP378" s="4"/>
      <c r="PQ378" s="4"/>
      <c r="PR378" s="4"/>
      <c r="PS378" s="4"/>
      <c r="PT378" s="5"/>
      <c r="PU378" s="6" t="s">
        <v>3819</v>
      </c>
      <c r="PV378" s="4" t="s">
        <v>3820</v>
      </c>
      <c r="PW378" s="4"/>
      <c r="PX378" s="4"/>
      <c r="PY378" s="8">
        <v>38440</v>
      </c>
      <c r="PZ378" s="4"/>
      <c r="QA378" s="5" t="s">
        <v>1417</v>
      </c>
      <c r="QB378" s="6"/>
      <c r="QC378" s="4"/>
      <c r="QD378" s="4"/>
      <c r="QE378" s="4"/>
      <c r="QF378" s="4"/>
      <c r="QG378" s="4"/>
      <c r="QH378" s="5"/>
      <c r="QI378" s="6"/>
      <c r="QJ378" s="4"/>
      <c r="QK378" s="4"/>
      <c r="QL378" s="4"/>
      <c r="QM378" s="4"/>
      <c r="QN378" s="4"/>
      <c r="QO378" s="5"/>
      <c r="QP378" s="6"/>
      <c r="QQ378" s="4"/>
      <c r="QR378" s="4"/>
      <c r="QS378" s="4"/>
      <c r="QT378" s="4"/>
      <c r="QU378" s="4"/>
      <c r="QV378" s="5"/>
      <c r="QW378" s="6" t="s">
        <v>3686</v>
      </c>
      <c r="QX378" s="4" t="s">
        <v>3588</v>
      </c>
      <c r="QY378" s="4"/>
      <c r="QZ378" s="7" t="s">
        <v>3499</v>
      </c>
      <c r="RA378" s="8">
        <v>38428</v>
      </c>
      <c r="RB378" s="8">
        <v>38428</v>
      </c>
      <c r="RC378" s="5" t="s">
        <v>1418</v>
      </c>
      <c r="RD378" s="6"/>
      <c r="RE378" s="4"/>
      <c r="RF378" s="4"/>
      <c r="RG378" s="4"/>
      <c r="RH378" s="4"/>
      <c r="RI378" s="4"/>
      <c r="RJ378" s="5"/>
      <c r="RK378" s="6"/>
      <c r="RL378" s="4"/>
      <c r="RM378" s="4"/>
      <c r="RN378" s="4"/>
      <c r="RO378" s="4"/>
      <c r="RP378" s="4"/>
      <c r="RQ378" s="5"/>
      <c r="RR378" s="6"/>
      <c r="RS378" s="4"/>
      <c r="RT378" s="4"/>
      <c r="RU378" s="4"/>
      <c r="RV378" s="4"/>
      <c r="RW378" s="4"/>
      <c r="RX378" s="5"/>
      <c r="RY378" s="6"/>
      <c r="RZ378" s="4"/>
      <c r="SA378" s="4"/>
      <c r="SB378" s="4"/>
      <c r="SC378" s="4"/>
      <c r="SD378" s="4"/>
      <c r="SE378" s="5"/>
      <c r="SF378" s="6"/>
      <c r="SG378" s="4"/>
      <c r="SH378" s="4"/>
      <c r="SI378" s="4"/>
      <c r="SJ378" s="4"/>
      <c r="SK378" s="4"/>
      <c r="SL378" s="5"/>
      <c r="SM378" s="6"/>
      <c r="SN378" s="4"/>
      <c r="SO378" s="4"/>
      <c r="SP378" s="4"/>
      <c r="SQ378" s="4"/>
      <c r="SR378" s="4"/>
      <c r="SS378" s="5"/>
      <c r="ST378" s="6"/>
      <c r="SU378" s="4"/>
      <c r="SV378" s="4"/>
      <c r="SW378" s="4"/>
      <c r="SX378" s="4"/>
      <c r="SY378" s="4"/>
      <c r="SZ378" s="5"/>
      <c r="TA378" s="6"/>
      <c r="TB378" s="4"/>
      <c r="TC378" s="4"/>
      <c r="TD378" s="4"/>
      <c r="TE378" s="4"/>
      <c r="TF378" s="4"/>
      <c r="TG378" s="5"/>
      <c r="TH378" s="6"/>
      <c r="TI378" s="4"/>
      <c r="TJ378" s="4"/>
      <c r="TK378" s="4"/>
      <c r="TL378" s="4"/>
      <c r="TM378" s="4"/>
      <c r="TN378" s="5"/>
      <c r="TO378" s="6"/>
      <c r="TP378" s="4"/>
      <c r="TQ378" s="4"/>
      <c r="TR378" s="4"/>
      <c r="TS378" s="4"/>
      <c r="TT378" s="4"/>
      <c r="TU378" s="5"/>
      <c r="TV378" s="6"/>
      <c r="TW378" s="4"/>
      <c r="TX378" s="4"/>
      <c r="TY378" s="4"/>
      <c r="TZ378" s="4"/>
      <c r="UA378" s="4"/>
      <c r="UB378" s="5"/>
      <c r="UC378" s="6"/>
      <c r="UD378" s="4"/>
      <c r="UE378" s="4"/>
      <c r="UF378" s="4"/>
      <c r="UG378" s="4"/>
      <c r="UH378" s="4"/>
      <c r="UI378" s="5"/>
      <c r="UJ378" s="6"/>
      <c r="UK378" s="4"/>
      <c r="UL378" s="4"/>
      <c r="UM378" s="4"/>
      <c r="UN378" s="4"/>
      <c r="UO378" s="4"/>
      <c r="UP378" s="5"/>
      <c r="UQ378" s="6"/>
      <c r="UR378" s="4"/>
      <c r="US378" s="4"/>
      <c r="UT378" s="4"/>
      <c r="UU378" s="4"/>
      <c r="UV378" s="4"/>
      <c r="UW378" s="5"/>
      <c r="UX378" s="6"/>
      <c r="UY378" s="4"/>
      <c r="UZ378" s="4"/>
      <c r="VA378" s="4"/>
      <c r="VB378" s="4"/>
      <c r="VC378" s="4"/>
      <c r="VD378" s="5"/>
      <c r="VE378" s="6" t="s">
        <v>3909</v>
      </c>
      <c r="VF378" s="4" t="s">
        <v>3641</v>
      </c>
      <c r="VG378" s="4" t="s">
        <v>3642</v>
      </c>
      <c r="VH378" s="4" t="s">
        <v>3380</v>
      </c>
      <c r="VI378" s="8">
        <v>38442</v>
      </c>
      <c r="VJ378" s="8">
        <v>38442</v>
      </c>
      <c r="VK378" s="5"/>
      <c r="VL378" s="6" t="s">
        <v>3061</v>
      </c>
      <c r="VM378" s="4" t="s">
        <v>3062</v>
      </c>
      <c r="VN378" s="4"/>
      <c r="VO378" s="4" t="s">
        <v>3751</v>
      </c>
      <c r="VP378" s="8">
        <v>38433</v>
      </c>
      <c r="VQ378" s="8">
        <v>38440</v>
      </c>
      <c r="VR378" s="5"/>
      <c r="VS378" s="6"/>
      <c r="VT378" s="4"/>
      <c r="VU378" s="4"/>
      <c r="VV378" s="4"/>
      <c r="VW378" s="4"/>
      <c r="VX378" s="4"/>
      <c r="VY378" s="5"/>
      <c r="VZ378" s="6"/>
      <c r="WA378" s="4"/>
      <c r="WB378" s="4"/>
      <c r="WC378" s="4"/>
      <c r="WD378" s="4"/>
      <c r="WE378" s="4"/>
      <c r="WF378" s="5"/>
      <c r="WG378" s="6"/>
      <c r="WH378" s="4"/>
      <c r="WI378" s="4"/>
      <c r="WJ378" s="4"/>
      <c r="WK378" s="4"/>
      <c r="WL378" s="4"/>
      <c r="WM378" s="5"/>
      <c r="WN378" s="6"/>
      <c r="WO378" s="4"/>
      <c r="WP378" s="4"/>
      <c r="WQ378" s="4"/>
      <c r="WR378" s="4"/>
      <c r="WS378" s="4"/>
      <c r="WT378" s="5"/>
      <c r="WU378" s="6"/>
      <c r="WV378" s="4"/>
      <c r="WW378" s="4"/>
      <c r="WX378" s="4"/>
      <c r="WY378" s="4"/>
      <c r="WZ378" s="4"/>
      <c r="XA378" s="5"/>
      <c r="XB378" s="6"/>
      <c r="XC378" s="4"/>
      <c r="XD378" s="4"/>
      <c r="XE378" s="4"/>
      <c r="XF378" s="4"/>
      <c r="XG378" s="4"/>
      <c r="XH378" s="5"/>
      <c r="XI378" s="6"/>
      <c r="XJ378" s="4"/>
      <c r="XK378" s="4"/>
      <c r="XL378" s="4"/>
      <c r="XM378" s="4"/>
      <c r="XN378" s="4"/>
      <c r="XO378" s="5"/>
      <c r="XP378" s="6"/>
      <c r="XQ378" s="4"/>
      <c r="XR378" s="4"/>
      <c r="XS378" s="4"/>
      <c r="XT378" s="4"/>
      <c r="XU378" s="4"/>
      <c r="XV378" s="5"/>
      <c r="XW378" s="6"/>
      <c r="XX378" s="4"/>
      <c r="XY378" s="4"/>
      <c r="XZ378" s="4"/>
      <c r="YA378" s="4"/>
      <c r="YB378" s="4"/>
      <c r="YC378" s="5"/>
      <c r="YD378" s="6"/>
      <c r="YE378" s="4"/>
      <c r="YF378" s="4"/>
      <c r="YG378" s="4"/>
      <c r="YH378" s="4"/>
      <c r="YI378" s="4"/>
      <c r="YJ378" s="5"/>
      <c r="YK378" s="6" t="s">
        <v>3434</v>
      </c>
      <c r="YL378" s="7" t="s">
        <v>3434</v>
      </c>
      <c r="YM378" s="7" t="s">
        <v>3426</v>
      </c>
      <c r="YN378" s="7" t="s">
        <v>3571</v>
      </c>
      <c r="YO378" s="8">
        <v>38419</v>
      </c>
      <c r="YP378" s="8">
        <v>38420</v>
      </c>
      <c r="YQ378" s="5"/>
      <c r="YR378" s="6"/>
      <c r="YS378" s="4"/>
      <c r="YT378" s="4"/>
      <c r="YU378" s="4"/>
      <c r="YV378" s="4"/>
      <c r="YW378" s="4"/>
      <c r="YX378" s="5"/>
      <c r="YY378" s="6"/>
      <c r="YZ378" s="4"/>
      <c r="ZA378" s="4"/>
      <c r="ZB378" s="4"/>
      <c r="ZC378" s="4"/>
      <c r="ZD378" s="4"/>
      <c r="ZE378" s="5"/>
      <c r="ZF378" s="6"/>
      <c r="ZG378" s="4"/>
      <c r="ZH378" s="4"/>
      <c r="ZI378" s="4"/>
      <c r="ZJ378" s="4"/>
      <c r="ZK378" s="4"/>
      <c r="ZL378" s="5"/>
      <c r="ZM378" s="6" t="s">
        <v>2979</v>
      </c>
      <c r="ZN378" s="4" t="s">
        <v>2706</v>
      </c>
      <c r="ZO378" s="4" t="s">
        <v>3364</v>
      </c>
      <c r="ZP378" s="7" t="s">
        <v>3380</v>
      </c>
      <c r="ZQ378" s="8">
        <v>38433</v>
      </c>
      <c r="ZR378" s="8">
        <v>38433</v>
      </c>
      <c r="ZS378" s="5" t="s">
        <v>928</v>
      </c>
      <c r="ZT378" s="6"/>
      <c r="ZU378" s="4"/>
      <c r="ZV378" s="4"/>
      <c r="ZW378" s="4"/>
      <c r="ZX378" s="4"/>
      <c r="ZY378" s="4"/>
      <c r="ZZ378" s="5"/>
      <c r="AAA378" s="6"/>
      <c r="AAB378" s="4"/>
      <c r="AAC378" s="4"/>
      <c r="AAD378" s="4"/>
      <c r="AAE378" s="4"/>
      <c r="AAF378" s="4"/>
      <c r="AAG378" s="5"/>
      <c r="AAH378" s="6"/>
      <c r="AAI378" s="4"/>
      <c r="AAJ378" s="4"/>
      <c r="AAK378" s="4"/>
      <c r="AAL378" s="4"/>
      <c r="AAM378" s="4"/>
      <c r="AAN378" s="5"/>
      <c r="AAO378" s="6"/>
      <c r="AAP378" s="4"/>
      <c r="AAQ378" s="4"/>
      <c r="AAR378" s="4"/>
      <c r="AAS378" s="4"/>
      <c r="AAT378" s="4"/>
      <c r="AAU378" s="5"/>
      <c r="AAV378" s="6"/>
      <c r="AAW378" s="4"/>
      <c r="AAX378" s="4"/>
      <c r="AAY378" s="4"/>
      <c r="AAZ378" s="4"/>
      <c r="ABA378" s="4"/>
      <c r="ABB378" s="5"/>
      <c r="ABC378" s="6"/>
      <c r="ABD378" s="4"/>
      <c r="ABE378" s="4"/>
      <c r="ABF378" s="4"/>
      <c r="ABG378" s="4"/>
      <c r="ABH378" s="4"/>
      <c r="ABI378" s="5"/>
      <c r="ABJ378" s="15" t="s">
        <v>3511</v>
      </c>
      <c r="ABK378" s="12" t="s">
        <v>3529</v>
      </c>
      <c r="ABM378" s="4"/>
      <c r="ABN378" s="8">
        <v>38412</v>
      </c>
      <c r="ABO378" s="4"/>
      <c r="ABP378" s="5" t="s">
        <v>930</v>
      </c>
      <c r="ABQ378" s="6"/>
      <c r="ABR378" s="4"/>
      <c r="ABS378" s="4"/>
      <c r="ABT378" s="4"/>
      <c r="ABU378" s="4"/>
      <c r="ABV378" s="4"/>
      <c r="ABW378" s="5"/>
      <c r="ABX378" s="6"/>
      <c r="ABY378" s="4"/>
      <c r="ABZ378" s="4"/>
      <c r="ACA378" s="4"/>
      <c r="ACB378" s="4"/>
      <c r="ACC378" s="4"/>
      <c r="ACD378" s="5"/>
      <c r="ACE378" s="6"/>
      <c r="ACF378" s="4"/>
      <c r="ACG378" s="4"/>
      <c r="ACH378" s="4"/>
      <c r="ACI378" s="4"/>
      <c r="ACJ378" s="4"/>
      <c r="ACK378" s="5"/>
      <c r="ACL378" s="6"/>
      <c r="ACM378" s="4"/>
      <c r="ACN378" s="4"/>
      <c r="ACO378" s="4"/>
      <c r="ACP378" s="4"/>
      <c r="ACQ378" s="4"/>
      <c r="ACR378" s="5"/>
      <c r="ACS378" s="6"/>
      <c r="ACT378" s="4"/>
      <c r="ACU378" s="4"/>
      <c r="ACV378" s="4"/>
      <c r="ACW378" s="4"/>
      <c r="ACX378" s="4"/>
      <c r="ACY378" s="5"/>
    </row>
    <row r="379" spans="2:805" x14ac:dyDescent="0.25">
      <c r="J379" s="12"/>
      <c r="K379" s="12"/>
      <c r="L379" s="12"/>
      <c r="LL379" s="6"/>
      <c r="LM379" s="4"/>
      <c r="LN379" s="4"/>
      <c r="LO379" s="4"/>
      <c r="LP379" s="4"/>
      <c r="LQ379" s="4"/>
      <c r="LR379" s="5"/>
      <c r="LS379" s="6"/>
      <c r="LT379" s="4"/>
      <c r="LU379" s="4"/>
      <c r="LV379" s="4"/>
      <c r="LW379" s="4"/>
      <c r="LX379" s="4"/>
      <c r="LY379" s="5"/>
      <c r="LZ379" s="11" t="s">
        <v>3346</v>
      </c>
      <c r="MA379" s="7" t="s">
        <v>3365</v>
      </c>
      <c r="MB379" s="7" t="s">
        <v>3433</v>
      </c>
      <c r="MC379" s="4" t="s">
        <v>3380</v>
      </c>
      <c r="MD379" s="8">
        <v>38426</v>
      </c>
      <c r="ME379" s="8">
        <v>38426</v>
      </c>
      <c r="MF379" s="8"/>
      <c r="MG379" s="5" t="s">
        <v>1546</v>
      </c>
      <c r="MH379" s="6"/>
      <c r="MI379" s="4"/>
      <c r="MJ379" s="4"/>
      <c r="MK379" s="4"/>
      <c r="ML379" s="4"/>
      <c r="MM379" s="4"/>
      <c r="MN379" s="5"/>
      <c r="MO379" s="6"/>
      <c r="MP379" s="4"/>
      <c r="MQ379" s="4"/>
      <c r="MR379" s="4"/>
      <c r="MS379" s="4"/>
      <c r="MT379" s="4"/>
      <c r="MU379" s="5"/>
      <c r="MV379" s="6"/>
      <c r="MW379" s="4"/>
      <c r="MX379" s="4"/>
      <c r="MY379" s="4"/>
      <c r="MZ379" s="4"/>
      <c r="NA379" s="4"/>
      <c r="NB379" s="5"/>
      <c r="NC379" s="6" t="s">
        <v>3415</v>
      </c>
      <c r="ND379" s="4" t="s">
        <v>3416</v>
      </c>
      <c r="NE379" s="4" t="s">
        <v>3673</v>
      </c>
      <c r="NF379" s="7" t="s">
        <v>3602</v>
      </c>
      <c r="NG379" s="8">
        <v>38433</v>
      </c>
      <c r="NH379" s="8">
        <v>38436</v>
      </c>
      <c r="NI379" s="5" t="s">
        <v>1551</v>
      </c>
      <c r="NJ379" s="6" t="s">
        <v>2644</v>
      </c>
      <c r="NK379" s="4" t="s">
        <v>3247</v>
      </c>
      <c r="NL379" s="4"/>
      <c r="NM379" s="4" t="s">
        <v>3602</v>
      </c>
      <c r="NN379" s="8">
        <v>38416</v>
      </c>
      <c r="NO379" s="8">
        <v>38419</v>
      </c>
      <c r="NP379" s="5"/>
      <c r="NQ379" s="6"/>
      <c r="NR379" s="4"/>
      <c r="NS379" s="4"/>
      <c r="NT379" s="4"/>
      <c r="NU379" s="4"/>
      <c r="NV379" s="4"/>
      <c r="NW379" s="5"/>
      <c r="NX379" s="6" t="s">
        <v>3645</v>
      </c>
      <c r="NY379" s="7" t="s">
        <v>1806</v>
      </c>
      <c r="NZ379" s="4"/>
      <c r="OA379" s="7" t="s">
        <v>3646</v>
      </c>
      <c r="OB379" s="8">
        <v>38394</v>
      </c>
      <c r="OC379" s="8">
        <v>38414</v>
      </c>
      <c r="OD379" s="5" t="s">
        <v>1553</v>
      </c>
      <c r="OE379" s="6" t="s">
        <v>3907</v>
      </c>
      <c r="OF379" s="4" t="s">
        <v>3908</v>
      </c>
      <c r="OG379" s="4" t="s">
        <v>3752</v>
      </c>
      <c r="OH379" s="7" t="s">
        <v>3571</v>
      </c>
      <c r="OI379" s="8">
        <v>38436</v>
      </c>
      <c r="OJ379" s="8">
        <v>38437</v>
      </c>
      <c r="OK379" s="5" t="s">
        <v>1554</v>
      </c>
      <c r="OL379" s="6"/>
      <c r="OM379" s="4"/>
      <c r="ON379" s="4"/>
      <c r="OO379" s="4"/>
      <c r="OP379" s="4"/>
      <c r="OQ379" s="4"/>
      <c r="OR379" s="5"/>
      <c r="OS379" s="6"/>
      <c r="OT379" s="4"/>
      <c r="OU379" s="4"/>
      <c r="OV379" s="4"/>
      <c r="OW379" s="4"/>
      <c r="OX379" s="4"/>
      <c r="OY379" s="5"/>
      <c r="PB379" s="4"/>
      <c r="PC379" s="4"/>
      <c r="PD379" s="4"/>
      <c r="PE379" s="4"/>
      <c r="PF379" s="5"/>
      <c r="PG379" s="6"/>
      <c r="PH379" s="4"/>
      <c r="PI379" s="4"/>
      <c r="PJ379" s="4"/>
      <c r="PK379" s="4"/>
      <c r="PL379" s="4"/>
      <c r="PM379" s="5"/>
      <c r="PN379" s="6"/>
      <c r="PO379" s="4"/>
      <c r="PP379" s="4"/>
      <c r="PQ379" s="4"/>
      <c r="PR379" s="4"/>
      <c r="PS379" s="4"/>
      <c r="PT379" s="5"/>
      <c r="PU379" s="6"/>
      <c r="PV379" s="4"/>
      <c r="PW379" s="4"/>
      <c r="PX379" s="4"/>
      <c r="PY379" s="4"/>
      <c r="PZ379" s="4"/>
      <c r="QA379" s="5"/>
      <c r="QB379" s="6"/>
      <c r="QC379" s="4"/>
      <c r="QD379" s="4"/>
      <c r="QE379" s="4"/>
      <c r="QF379" s="4"/>
      <c r="QG379" s="4"/>
      <c r="QH379" s="5"/>
      <c r="QI379" s="6"/>
      <c r="QJ379" s="4"/>
      <c r="QK379" s="4"/>
      <c r="QL379" s="4"/>
      <c r="QM379" s="4"/>
      <c r="QN379" s="4"/>
      <c r="QO379" s="5"/>
      <c r="QP379" s="6"/>
      <c r="QQ379" s="4"/>
      <c r="QR379" s="4"/>
      <c r="QS379" s="4"/>
      <c r="QT379" s="4"/>
      <c r="QU379" s="4"/>
      <c r="QV379" s="5"/>
      <c r="QW379" s="6"/>
      <c r="QX379" s="4"/>
      <c r="QY379" s="4"/>
      <c r="QZ379" s="4"/>
      <c r="RA379" s="4"/>
      <c r="RB379" s="4"/>
      <c r="RC379" s="5"/>
      <c r="RD379" s="6"/>
      <c r="RE379" s="4"/>
      <c r="RF379" s="4"/>
      <c r="RG379" s="4"/>
      <c r="RH379" s="4"/>
      <c r="RI379" s="4"/>
      <c r="RJ379" s="5"/>
      <c r="RK379" s="6"/>
      <c r="RL379" s="4"/>
      <c r="RM379" s="4"/>
      <c r="RN379" s="4"/>
      <c r="RO379" s="4"/>
      <c r="RP379" s="4"/>
      <c r="RQ379" s="5"/>
      <c r="RR379" s="6"/>
      <c r="RS379" s="4"/>
      <c r="RT379" s="4"/>
      <c r="RU379" s="4"/>
      <c r="RV379" s="4"/>
      <c r="RW379" s="4"/>
      <c r="RX379" s="5"/>
      <c r="RY379" s="6"/>
      <c r="RZ379" s="4"/>
      <c r="SA379" s="4"/>
      <c r="SB379" s="4"/>
      <c r="SC379" s="4"/>
      <c r="SD379" s="4"/>
      <c r="SE379" s="5"/>
      <c r="SF379" s="6"/>
      <c r="SG379" s="4"/>
      <c r="SH379" s="4"/>
      <c r="SI379" s="4"/>
      <c r="SJ379" s="4"/>
      <c r="SK379" s="4"/>
      <c r="SL379" s="5"/>
      <c r="SM379" s="6"/>
      <c r="SN379" s="4"/>
      <c r="SO379" s="4"/>
      <c r="SP379" s="4"/>
      <c r="SQ379" s="4"/>
      <c r="SR379" s="4"/>
      <c r="SS379" s="5"/>
      <c r="ST379" s="6"/>
      <c r="SU379" s="4"/>
      <c r="SV379" s="4"/>
      <c r="SW379" s="4"/>
      <c r="SX379" s="4"/>
      <c r="SY379" s="4"/>
      <c r="SZ379" s="5"/>
      <c r="TA379" s="6"/>
      <c r="TB379" s="4"/>
      <c r="TC379" s="4"/>
      <c r="TD379" s="4"/>
      <c r="TE379" s="4"/>
      <c r="TF379" s="4"/>
      <c r="TG379" s="5"/>
      <c r="TH379" s="6"/>
      <c r="TI379" s="4"/>
      <c r="TJ379" s="4"/>
      <c r="TK379" s="4"/>
      <c r="TL379" s="4"/>
      <c r="TM379" s="4"/>
      <c r="TN379" s="5"/>
      <c r="TO379" s="6"/>
      <c r="TP379" s="4"/>
      <c r="TQ379" s="4"/>
      <c r="TR379" s="4"/>
      <c r="TS379" s="4"/>
      <c r="TT379" s="4"/>
      <c r="TU379" s="5"/>
      <c r="TV379" s="6"/>
      <c r="TW379" s="4"/>
      <c r="TX379" s="4"/>
      <c r="TY379" s="4"/>
      <c r="TZ379" s="4"/>
      <c r="UA379" s="4"/>
      <c r="UB379" s="5"/>
      <c r="UC379" s="6"/>
      <c r="UD379" s="4"/>
      <c r="UE379" s="4"/>
      <c r="UF379" s="4"/>
      <c r="UG379" s="4"/>
      <c r="UH379" s="4"/>
      <c r="UI379" s="5"/>
      <c r="UJ379" s="6"/>
      <c r="UK379" s="4"/>
      <c r="UL379" s="4"/>
      <c r="UM379" s="4"/>
      <c r="UN379" s="4"/>
      <c r="UO379" s="4"/>
      <c r="UP379" s="5"/>
      <c r="UQ379" s="6"/>
      <c r="UR379" s="4"/>
      <c r="US379" s="4"/>
      <c r="UT379" s="4"/>
      <c r="UU379" s="4"/>
      <c r="UV379" s="4"/>
      <c r="UW379" s="5"/>
      <c r="UX379" s="6"/>
      <c r="UY379" s="4"/>
      <c r="UZ379" s="4"/>
      <c r="VA379" s="4"/>
      <c r="VB379" s="4"/>
      <c r="VC379" s="4"/>
      <c r="VD379" s="5"/>
      <c r="VE379" s="6"/>
      <c r="VF379" s="4"/>
      <c r="VG379" s="4"/>
      <c r="VH379" s="4"/>
      <c r="VI379" s="4"/>
      <c r="VJ379" s="4"/>
      <c r="VK379" s="5"/>
      <c r="VL379" s="6" t="s">
        <v>3061</v>
      </c>
      <c r="VM379" s="4" t="s">
        <v>3062</v>
      </c>
      <c r="VN379" s="4"/>
      <c r="VO379" s="4" t="s">
        <v>3350</v>
      </c>
      <c r="VP379" s="8">
        <v>38442</v>
      </c>
      <c r="VQ379" s="8">
        <v>38442</v>
      </c>
      <c r="VR379" s="5"/>
      <c r="VS379" s="6"/>
      <c r="VT379" s="4"/>
      <c r="VU379" s="4"/>
      <c r="VV379" s="4"/>
      <c r="VW379" s="4"/>
      <c r="VX379" s="4"/>
      <c r="VY379" s="5"/>
      <c r="VZ379" s="6"/>
      <c r="WA379" s="4"/>
      <c r="WB379" s="4"/>
      <c r="WC379" s="4"/>
      <c r="WD379" s="4"/>
      <c r="WE379" s="4"/>
      <c r="WF379" s="5"/>
      <c r="WG379" s="6"/>
      <c r="WH379" s="4"/>
      <c r="WI379" s="4"/>
      <c r="WJ379" s="4"/>
      <c r="WK379" s="4"/>
      <c r="WL379" s="4"/>
      <c r="WM379" s="5"/>
      <c r="WN379" s="6"/>
      <c r="WO379" s="4"/>
      <c r="WP379" s="4"/>
      <c r="WQ379" s="4"/>
      <c r="WR379" s="4"/>
      <c r="WS379" s="4"/>
      <c r="WT379" s="5"/>
      <c r="WU379" s="6"/>
      <c r="WV379" s="4"/>
      <c r="WW379" s="4"/>
      <c r="WX379" s="4"/>
      <c r="WY379" s="4"/>
      <c r="WZ379" s="4"/>
      <c r="XA379" s="5"/>
      <c r="XB379" s="6"/>
      <c r="XC379" s="4"/>
      <c r="XD379" s="4"/>
      <c r="XE379" s="4"/>
      <c r="XF379" s="4"/>
      <c r="XG379" s="4"/>
      <c r="XH379" s="5"/>
      <c r="XI379" s="6"/>
      <c r="XJ379" s="4"/>
      <c r="XK379" s="4"/>
      <c r="XL379" s="4"/>
      <c r="XM379" s="4"/>
      <c r="XN379" s="4"/>
      <c r="XO379" s="5"/>
      <c r="XP379" s="6"/>
      <c r="XQ379" s="4"/>
      <c r="XR379" s="4"/>
      <c r="XS379" s="4"/>
      <c r="XT379" s="4"/>
      <c r="XU379" s="4"/>
      <c r="XV379" s="5"/>
      <c r="XW379" s="6"/>
      <c r="XX379" s="4"/>
      <c r="XY379" s="4"/>
      <c r="XZ379" s="4"/>
      <c r="YA379" s="4"/>
      <c r="YB379" s="4"/>
      <c r="YC379" s="5"/>
      <c r="YD379" s="6"/>
      <c r="YE379" s="4"/>
      <c r="YF379" s="4"/>
      <c r="YG379" s="4"/>
      <c r="YH379" s="4"/>
      <c r="YI379" s="4"/>
      <c r="YJ379" s="5"/>
      <c r="YK379" s="6" t="s">
        <v>3435</v>
      </c>
      <c r="YL379" s="4" t="s">
        <v>3435</v>
      </c>
      <c r="YM379" s="7" t="s">
        <v>3364</v>
      </c>
      <c r="YN379" s="7" t="s">
        <v>3380</v>
      </c>
      <c r="YO379" s="8">
        <v>38434</v>
      </c>
      <c r="YP379" s="8">
        <v>38434</v>
      </c>
      <c r="YQ379" s="5"/>
      <c r="YR379" s="6"/>
      <c r="YS379" s="4"/>
      <c r="YT379" s="4"/>
      <c r="YU379" s="4"/>
      <c r="YV379" s="4"/>
      <c r="YW379" s="4"/>
      <c r="YX379" s="5"/>
      <c r="YY379" s="6"/>
      <c r="YZ379" s="4"/>
      <c r="ZA379" s="4"/>
      <c r="ZB379" s="4"/>
      <c r="ZC379" s="4"/>
      <c r="ZD379" s="4"/>
      <c r="ZE379" s="5"/>
      <c r="ZF379" s="6"/>
      <c r="ZG379" s="4"/>
      <c r="ZH379" s="4"/>
      <c r="ZI379" s="4"/>
      <c r="ZJ379" s="4"/>
      <c r="ZK379" s="4"/>
      <c r="ZL379" s="5"/>
      <c r="ZM379" s="6"/>
      <c r="ZN379" s="4"/>
      <c r="ZO379" s="4"/>
      <c r="ZP379" s="4"/>
      <c r="ZQ379" s="4"/>
      <c r="ZR379" s="4"/>
      <c r="ZS379" s="5"/>
      <c r="ZT379" s="6"/>
      <c r="ZU379" s="4"/>
      <c r="ZV379" s="4"/>
      <c r="ZW379" s="4"/>
      <c r="ZX379" s="4"/>
      <c r="ZY379" s="4"/>
      <c r="ZZ379" s="5"/>
      <c r="AAA379" s="6"/>
      <c r="AAB379" s="4"/>
      <c r="AAC379" s="4"/>
      <c r="AAD379" s="4"/>
      <c r="AAE379" s="4"/>
      <c r="AAF379" s="4"/>
      <c r="AAG379" s="5"/>
      <c r="AAH379" s="6"/>
      <c r="AAI379" s="4"/>
      <c r="AAJ379" s="4"/>
      <c r="AAK379" s="4"/>
      <c r="AAL379" s="4"/>
      <c r="AAM379" s="4"/>
      <c r="AAN379" s="5"/>
      <c r="AAO379" s="6"/>
      <c r="AAP379" s="4"/>
      <c r="AAQ379" s="4"/>
      <c r="AAR379" s="4"/>
      <c r="AAS379" s="4"/>
      <c r="AAT379" s="4"/>
      <c r="AAU379" s="5"/>
      <c r="AAV379" s="6"/>
      <c r="AAW379" s="4"/>
      <c r="AAX379" s="4"/>
      <c r="AAY379" s="4"/>
      <c r="AAZ379" s="4"/>
      <c r="ABA379" s="4"/>
      <c r="ABB379" s="5"/>
      <c r="ABC379" s="6"/>
      <c r="ABD379" s="4"/>
      <c r="ABE379" s="4"/>
      <c r="ABF379" s="4"/>
      <c r="ABG379" s="4"/>
      <c r="ABH379" s="4"/>
      <c r="ABI379" s="5"/>
      <c r="ABJ379" s="6"/>
      <c r="ABK379" s="4"/>
      <c r="ABL379" s="4"/>
      <c r="ABM379" s="4"/>
      <c r="ABN379" s="4"/>
      <c r="ABO379" s="4"/>
      <c r="ABP379" s="5"/>
      <c r="ABQ379" s="6"/>
      <c r="ABR379" s="4"/>
      <c r="ABS379" s="4"/>
      <c r="ABT379" s="4"/>
      <c r="ABU379" s="4"/>
      <c r="ABV379" s="4"/>
      <c r="ABW379" s="5"/>
      <c r="ABX379" s="6"/>
      <c r="ABY379" s="4"/>
      <c r="ABZ379" s="4"/>
      <c r="ACA379" s="4"/>
      <c r="ACB379" s="4"/>
      <c r="ACC379" s="4"/>
      <c r="ACD379" s="5"/>
      <c r="ACE379" s="6"/>
      <c r="ACF379" s="4"/>
      <c r="ACG379" s="4"/>
      <c r="ACH379" s="4"/>
      <c r="ACI379" s="4"/>
      <c r="ACJ379" s="4"/>
      <c r="ACK379" s="5"/>
      <c r="ACL379" s="6"/>
      <c r="ACM379" s="4"/>
      <c r="ACN379" s="4"/>
      <c r="ACO379" s="4"/>
      <c r="ACP379" s="4"/>
      <c r="ACQ379" s="4"/>
      <c r="ACR379" s="5"/>
      <c r="ACS379" s="6"/>
      <c r="ACT379" s="4"/>
      <c r="ACU379" s="4"/>
      <c r="ACV379" s="4"/>
      <c r="ACW379" s="4"/>
      <c r="ACX379" s="4"/>
      <c r="ACY379" s="5"/>
    </row>
    <row r="380" spans="2:805" x14ac:dyDescent="0.25">
      <c r="J380" s="12"/>
      <c r="K380" s="12"/>
      <c r="L380" s="12"/>
      <c r="LL380" s="6"/>
      <c r="LM380" s="4"/>
      <c r="LN380" s="4"/>
      <c r="LO380" s="4"/>
      <c r="LP380" s="4"/>
      <c r="LQ380" s="4"/>
      <c r="LR380" s="5"/>
      <c r="LS380" s="6"/>
      <c r="LT380" s="4"/>
      <c r="LU380" s="4"/>
      <c r="LV380" s="4"/>
      <c r="LW380" s="4"/>
      <c r="LX380" s="4"/>
      <c r="LY380" s="5"/>
      <c r="LZ380" s="11" t="s">
        <v>3346</v>
      </c>
      <c r="MA380" s="7" t="s">
        <v>3347</v>
      </c>
      <c r="MB380" s="7" t="s">
        <v>3433</v>
      </c>
      <c r="MC380" s="7" t="s">
        <v>3571</v>
      </c>
      <c r="MD380" s="8">
        <v>38433</v>
      </c>
      <c r="ME380" s="8">
        <v>38434</v>
      </c>
      <c r="MF380" s="8"/>
      <c r="MG380" s="5" t="s">
        <v>1548</v>
      </c>
      <c r="MH380" s="6"/>
      <c r="MI380" s="4"/>
      <c r="MJ380" s="4"/>
      <c r="MK380" s="4"/>
      <c r="ML380" s="4"/>
      <c r="MM380" s="4"/>
      <c r="MN380" s="5"/>
      <c r="MO380" s="6"/>
      <c r="MP380" s="4"/>
      <c r="MQ380" s="4"/>
      <c r="MR380" s="4"/>
      <c r="MS380" s="4"/>
      <c r="MT380" s="4"/>
      <c r="MU380" s="5"/>
      <c r="MV380" s="6"/>
      <c r="MW380" s="4"/>
      <c r="MX380" s="4"/>
      <c r="MY380" s="4"/>
      <c r="MZ380" s="4"/>
      <c r="NA380" s="4"/>
      <c r="NB380" s="5"/>
      <c r="NC380" s="6"/>
      <c r="ND380" s="4"/>
      <c r="NE380" s="4"/>
      <c r="NF380" s="7"/>
      <c r="NG380" s="8"/>
      <c r="NH380" s="8"/>
      <c r="NI380" s="5"/>
      <c r="NJ380" s="6"/>
      <c r="NK380" s="4"/>
      <c r="NL380" s="4"/>
      <c r="NM380" s="4"/>
      <c r="NN380" s="4"/>
      <c r="NO380" s="4"/>
      <c r="NP380" s="5"/>
      <c r="NQ380" s="6"/>
      <c r="NR380" s="4"/>
      <c r="NS380" s="4"/>
      <c r="NT380" s="4"/>
      <c r="NU380" s="4"/>
      <c r="NV380" s="4"/>
      <c r="NW380" s="5"/>
      <c r="NX380" s="6"/>
      <c r="NY380" s="4"/>
      <c r="NZ380" s="4"/>
      <c r="OA380" s="7"/>
      <c r="OB380" s="8"/>
      <c r="OC380" s="8"/>
      <c r="OD380" s="5"/>
      <c r="OE380" s="6"/>
      <c r="OF380" s="4"/>
      <c r="OG380" s="4"/>
      <c r="OH380" s="4"/>
      <c r="OI380" s="4"/>
      <c r="OJ380" s="4"/>
      <c r="OK380" s="5"/>
      <c r="OL380" s="6"/>
      <c r="OM380" s="4"/>
      <c r="ON380" s="4"/>
      <c r="OO380" s="4"/>
      <c r="OP380" s="4"/>
      <c r="OQ380" s="4"/>
      <c r="OR380" s="5"/>
      <c r="OS380" s="6"/>
      <c r="OT380" s="4"/>
      <c r="OU380" s="4"/>
      <c r="OV380" s="4"/>
      <c r="OW380" s="4"/>
      <c r="OX380" s="4"/>
      <c r="OY380" s="5"/>
      <c r="PB380" s="4"/>
      <c r="PC380" s="4"/>
      <c r="PD380" s="4"/>
      <c r="PE380" s="4"/>
      <c r="PF380" s="5"/>
      <c r="PG380" s="6"/>
      <c r="PH380" s="4"/>
      <c r="PI380" s="4"/>
      <c r="PJ380" s="4"/>
      <c r="PK380" s="4"/>
      <c r="PL380" s="4"/>
      <c r="PM380" s="5"/>
      <c r="PN380" s="6"/>
      <c r="PO380" s="4"/>
      <c r="PP380" s="4"/>
      <c r="PQ380" s="4"/>
      <c r="PR380" s="4"/>
      <c r="PS380" s="4"/>
      <c r="PT380" s="5"/>
      <c r="PU380" s="6"/>
      <c r="PV380" s="4"/>
      <c r="PW380" s="4"/>
      <c r="PX380" s="4"/>
      <c r="PY380" s="4"/>
      <c r="PZ380" s="4"/>
      <c r="QA380" s="5"/>
      <c r="QB380" s="6"/>
      <c r="QC380" s="4"/>
      <c r="QD380" s="4"/>
      <c r="QE380" s="4"/>
      <c r="QF380" s="4"/>
      <c r="QG380" s="4"/>
      <c r="QH380" s="5"/>
      <c r="QI380" s="6"/>
      <c r="QJ380" s="4"/>
      <c r="QK380" s="4"/>
      <c r="QL380" s="4"/>
      <c r="QM380" s="4"/>
      <c r="QN380" s="4"/>
      <c r="QO380" s="5"/>
      <c r="QP380" s="6"/>
      <c r="QQ380" s="4"/>
      <c r="QR380" s="4"/>
      <c r="QS380" s="4"/>
      <c r="QT380" s="4"/>
      <c r="QU380" s="4"/>
      <c r="QV380" s="5"/>
      <c r="QW380" s="6"/>
      <c r="QX380" s="4"/>
      <c r="QY380" s="4"/>
      <c r="QZ380" s="4"/>
      <c r="RA380" s="4"/>
      <c r="RB380" s="4"/>
      <c r="RC380" s="5"/>
      <c r="RD380" s="6"/>
      <c r="RE380" s="4"/>
      <c r="RF380" s="4"/>
      <c r="RG380" s="4"/>
      <c r="RH380" s="4"/>
      <c r="RI380" s="4"/>
      <c r="RJ380" s="5"/>
      <c r="RK380" s="6"/>
      <c r="RL380" s="4"/>
      <c r="RM380" s="4"/>
      <c r="RN380" s="4"/>
      <c r="RO380" s="4"/>
      <c r="RP380" s="4"/>
      <c r="RQ380" s="5"/>
      <c r="RR380" s="6"/>
      <c r="RS380" s="4"/>
      <c r="RT380" s="4"/>
      <c r="RU380" s="4"/>
      <c r="RV380" s="4"/>
      <c r="RW380" s="4"/>
      <c r="RX380" s="5"/>
      <c r="RY380" s="6"/>
      <c r="RZ380" s="4"/>
      <c r="SA380" s="4"/>
      <c r="SB380" s="4"/>
      <c r="SC380" s="4"/>
      <c r="SD380" s="4"/>
      <c r="SE380" s="5"/>
      <c r="SF380" s="6"/>
      <c r="SG380" s="4"/>
      <c r="SH380" s="4"/>
      <c r="SI380" s="4"/>
      <c r="SJ380" s="4"/>
      <c r="SK380" s="4"/>
      <c r="SL380" s="5"/>
      <c r="SM380" s="6"/>
      <c r="SN380" s="4"/>
      <c r="SO380" s="4"/>
      <c r="SP380" s="4"/>
      <c r="SQ380" s="4"/>
      <c r="SR380" s="4"/>
      <c r="SS380" s="5"/>
      <c r="ST380" s="6"/>
      <c r="SU380" s="4"/>
      <c r="SV380" s="4"/>
      <c r="SW380" s="4"/>
      <c r="SX380" s="4"/>
      <c r="SY380" s="4"/>
      <c r="SZ380" s="5"/>
      <c r="TA380" s="6"/>
      <c r="TB380" s="4"/>
      <c r="TC380" s="4"/>
      <c r="TD380" s="4"/>
      <c r="TE380" s="4"/>
      <c r="TF380" s="4"/>
      <c r="TG380" s="5"/>
      <c r="TH380" s="6"/>
      <c r="TI380" s="4"/>
      <c r="TJ380" s="4"/>
      <c r="TK380" s="4"/>
      <c r="TL380" s="4"/>
      <c r="TM380" s="4"/>
      <c r="TN380" s="5"/>
      <c r="TO380" s="6"/>
      <c r="TP380" s="4"/>
      <c r="TQ380" s="4"/>
      <c r="TR380" s="4"/>
      <c r="TS380" s="4"/>
      <c r="TT380" s="4"/>
      <c r="TU380" s="5"/>
      <c r="TV380" s="6"/>
      <c r="TW380" s="4"/>
      <c r="TX380" s="4"/>
      <c r="TY380" s="4"/>
      <c r="TZ380" s="4"/>
      <c r="UA380" s="4"/>
      <c r="UB380" s="5"/>
      <c r="UC380" s="6"/>
      <c r="UD380" s="4"/>
      <c r="UE380" s="4"/>
      <c r="UF380" s="4"/>
      <c r="UG380" s="4"/>
      <c r="UH380" s="4"/>
      <c r="UI380" s="5"/>
      <c r="UJ380" s="6"/>
      <c r="UK380" s="4"/>
      <c r="UL380" s="4"/>
      <c r="UM380" s="4"/>
      <c r="UN380" s="4"/>
      <c r="UO380" s="4"/>
      <c r="UP380" s="5"/>
      <c r="UQ380" s="6"/>
      <c r="UR380" s="4"/>
      <c r="US380" s="4"/>
      <c r="UT380" s="4"/>
      <c r="UU380" s="4"/>
      <c r="UV380" s="4"/>
      <c r="UW380" s="5"/>
      <c r="UX380" s="6"/>
      <c r="UY380" s="4"/>
      <c r="UZ380" s="4"/>
      <c r="VA380" s="4"/>
      <c r="VB380" s="4"/>
      <c r="VC380" s="4"/>
      <c r="VD380" s="5"/>
      <c r="VE380" s="6"/>
      <c r="VF380" s="4"/>
      <c r="VG380" s="4"/>
      <c r="VH380" s="4"/>
      <c r="VI380" s="4"/>
      <c r="VJ380" s="4"/>
      <c r="VK380" s="5"/>
      <c r="VL380" s="6"/>
      <c r="VM380" s="4"/>
      <c r="VN380" s="4"/>
      <c r="VO380" s="4"/>
      <c r="VP380" s="4"/>
      <c r="VQ380" s="4"/>
      <c r="VR380" s="5"/>
      <c r="VS380" s="6"/>
      <c r="VT380" s="4"/>
      <c r="VU380" s="4"/>
      <c r="VV380" s="4"/>
      <c r="VW380" s="4"/>
      <c r="VX380" s="4"/>
      <c r="VY380" s="5"/>
      <c r="VZ380" s="6"/>
      <c r="WA380" s="4"/>
      <c r="WB380" s="4"/>
      <c r="WC380" s="4"/>
      <c r="WD380" s="4"/>
      <c r="WE380" s="4"/>
      <c r="WF380" s="5"/>
      <c r="WG380" s="6"/>
      <c r="WH380" s="4"/>
      <c r="WI380" s="4"/>
      <c r="WJ380" s="4"/>
      <c r="WK380" s="4"/>
      <c r="WL380" s="4"/>
      <c r="WM380" s="5"/>
      <c r="WN380" s="6"/>
      <c r="WO380" s="4"/>
      <c r="WP380" s="4"/>
      <c r="WQ380" s="4"/>
      <c r="WR380" s="4"/>
      <c r="WS380" s="4"/>
      <c r="WT380" s="5"/>
      <c r="WU380" s="6"/>
      <c r="WV380" s="4"/>
      <c r="WW380" s="4"/>
      <c r="WX380" s="4"/>
      <c r="WY380" s="4"/>
      <c r="WZ380" s="4"/>
      <c r="XA380" s="5"/>
      <c r="XB380" s="6"/>
      <c r="XC380" s="4"/>
      <c r="XD380" s="4"/>
      <c r="XE380" s="4"/>
      <c r="XF380" s="4"/>
      <c r="XG380" s="4"/>
      <c r="XH380" s="5"/>
      <c r="XI380" s="6"/>
      <c r="XJ380" s="4"/>
      <c r="XK380" s="4"/>
      <c r="XL380" s="4"/>
      <c r="XM380" s="4"/>
      <c r="XN380" s="4"/>
      <c r="XO380" s="5"/>
      <c r="XP380" s="6"/>
      <c r="XQ380" s="4"/>
      <c r="XR380" s="4"/>
      <c r="XS380" s="4"/>
      <c r="XT380" s="4"/>
      <c r="XU380" s="4"/>
      <c r="XV380" s="5"/>
      <c r="XW380" s="6"/>
      <c r="XX380" s="4"/>
      <c r="XY380" s="4"/>
      <c r="XZ380" s="4"/>
      <c r="YA380" s="4"/>
      <c r="YB380" s="4"/>
      <c r="YC380" s="5"/>
      <c r="YD380" s="6"/>
      <c r="YE380" s="4"/>
      <c r="YF380" s="4"/>
      <c r="YG380" s="4"/>
      <c r="YH380" s="4"/>
      <c r="YI380" s="4"/>
      <c r="YJ380" s="5"/>
      <c r="YK380" s="6" t="s">
        <v>3359</v>
      </c>
      <c r="YL380" s="7" t="s">
        <v>2601</v>
      </c>
      <c r="YM380" s="4"/>
      <c r="YN380" s="7" t="s">
        <v>3571</v>
      </c>
      <c r="YO380" s="8">
        <v>38415</v>
      </c>
      <c r="YP380" s="8">
        <v>38416</v>
      </c>
      <c r="YQ380" s="5"/>
      <c r="YR380" s="6"/>
      <c r="YS380" s="4"/>
      <c r="YT380" s="4"/>
      <c r="YU380" s="4"/>
      <c r="YV380" s="4"/>
      <c r="YW380" s="4"/>
      <c r="YX380" s="5"/>
      <c r="YY380" s="6"/>
      <c r="YZ380" s="4"/>
      <c r="ZA380" s="4"/>
      <c r="ZB380" s="4"/>
      <c r="ZC380" s="4"/>
      <c r="ZD380" s="4"/>
      <c r="ZE380" s="5"/>
      <c r="ZF380" s="6"/>
      <c r="ZG380" s="4"/>
      <c r="ZH380" s="4"/>
      <c r="ZI380" s="4"/>
      <c r="ZJ380" s="4"/>
      <c r="ZK380" s="4"/>
      <c r="ZL380" s="5"/>
      <c r="ZM380" s="6"/>
      <c r="ZN380" s="4"/>
      <c r="ZO380" s="4"/>
      <c r="ZP380" s="4"/>
      <c r="ZQ380" s="4"/>
      <c r="ZR380" s="4"/>
      <c r="ZS380" s="5"/>
      <c r="ZT380" s="6"/>
      <c r="ZU380" s="4"/>
      <c r="ZV380" s="4"/>
      <c r="ZW380" s="4"/>
      <c r="ZX380" s="4"/>
      <c r="ZY380" s="4"/>
      <c r="ZZ380" s="5"/>
      <c r="AAA380" s="6"/>
      <c r="AAB380" s="4"/>
      <c r="AAC380" s="4"/>
      <c r="AAD380" s="4"/>
      <c r="AAE380" s="4"/>
      <c r="AAF380" s="4"/>
      <c r="AAG380" s="5"/>
      <c r="AAH380" s="6"/>
      <c r="AAI380" s="4"/>
      <c r="AAJ380" s="4"/>
      <c r="AAK380" s="4"/>
      <c r="AAL380" s="4"/>
      <c r="AAM380" s="4"/>
      <c r="AAN380" s="5"/>
      <c r="AAO380" s="6"/>
      <c r="AAP380" s="4"/>
      <c r="AAQ380" s="4"/>
      <c r="AAR380" s="4"/>
      <c r="AAS380" s="4"/>
      <c r="AAT380" s="4"/>
      <c r="AAU380" s="5"/>
      <c r="AAV380" s="6"/>
      <c r="AAW380" s="4"/>
      <c r="AAX380" s="4"/>
      <c r="AAY380" s="4"/>
      <c r="AAZ380" s="4"/>
      <c r="ABA380" s="4"/>
      <c r="ABB380" s="5"/>
      <c r="ABC380" s="6"/>
      <c r="ABD380" s="4"/>
      <c r="ABE380" s="4"/>
      <c r="ABF380" s="4"/>
      <c r="ABG380" s="4"/>
      <c r="ABH380" s="4"/>
      <c r="ABI380" s="5"/>
      <c r="ABJ380" s="6"/>
      <c r="ABK380" s="4"/>
      <c r="ABL380" s="4"/>
      <c r="ABM380" s="4"/>
      <c r="ABN380" s="4"/>
      <c r="ABO380" s="4"/>
      <c r="ABP380" s="5"/>
      <c r="ABQ380" s="6"/>
      <c r="ABR380" s="4"/>
      <c r="ABS380" s="4"/>
      <c r="ABT380" s="4"/>
      <c r="ABU380" s="4"/>
      <c r="ABV380" s="4"/>
      <c r="ABW380" s="5"/>
      <c r="ABX380" s="6"/>
      <c r="ABY380" s="4"/>
      <c r="ABZ380" s="4"/>
      <c r="ACA380" s="4"/>
      <c r="ACB380" s="4"/>
      <c r="ACC380" s="4"/>
      <c r="ACD380" s="5"/>
      <c r="ACE380" s="6"/>
      <c r="ACF380" s="4"/>
      <c r="ACG380" s="4"/>
      <c r="ACH380" s="4"/>
      <c r="ACI380" s="4"/>
      <c r="ACJ380" s="4"/>
      <c r="ACK380" s="5"/>
      <c r="ACL380" s="6"/>
      <c r="ACM380" s="4"/>
      <c r="ACN380" s="4"/>
      <c r="ACO380" s="4"/>
      <c r="ACP380" s="4"/>
      <c r="ACQ380" s="4"/>
      <c r="ACR380" s="5"/>
      <c r="ACS380" s="6"/>
      <c r="ACT380" s="4"/>
      <c r="ACU380" s="4"/>
      <c r="ACV380" s="4"/>
      <c r="ACW380" s="4"/>
      <c r="ACX380" s="4"/>
      <c r="ACY380" s="5"/>
    </row>
    <row r="381" spans="2:805" x14ac:dyDescent="0.25">
      <c r="J381" s="12"/>
      <c r="K381" s="12"/>
      <c r="L381" s="12"/>
      <c r="LL381" s="6"/>
      <c r="LM381" s="4"/>
      <c r="LN381" s="4"/>
      <c r="LO381" s="4"/>
      <c r="LP381" s="4"/>
      <c r="LQ381" s="4"/>
      <c r="LR381" s="5"/>
      <c r="LS381" s="6"/>
      <c r="LT381" s="4"/>
      <c r="LU381" s="4"/>
      <c r="LV381" s="4"/>
      <c r="LW381" s="4"/>
      <c r="LX381" s="4"/>
      <c r="LY381" s="5"/>
      <c r="LZ381" s="11" t="s">
        <v>3346</v>
      </c>
      <c r="MA381" s="7" t="s">
        <v>3432</v>
      </c>
      <c r="MB381" s="7" t="s">
        <v>3433</v>
      </c>
      <c r="MC381" s="4" t="s">
        <v>3380</v>
      </c>
      <c r="MD381" s="8">
        <v>38418</v>
      </c>
      <c r="ME381" s="8">
        <v>38418</v>
      </c>
      <c r="MF381" s="8"/>
      <c r="MG381" s="5" t="s">
        <v>1549</v>
      </c>
      <c r="MH381" s="6"/>
      <c r="MI381" s="4"/>
      <c r="MJ381" s="4"/>
      <c r="MK381" s="4"/>
      <c r="ML381" s="4"/>
      <c r="MM381" s="4"/>
      <c r="MN381" s="5"/>
      <c r="MO381" s="6"/>
      <c r="MP381" s="4"/>
      <c r="MQ381" s="4"/>
      <c r="MR381" s="4"/>
      <c r="MS381" s="4"/>
      <c r="MT381" s="4"/>
      <c r="MU381" s="5"/>
      <c r="MV381" s="6"/>
      <c r="MW381" s="4"/>
      <c r="MX381" s="4"/>
      <c r="MY381" s="4"/>
      <c r="MZ381" s="4"/>
      <c r="NA381" s="4"/>
      <c r="NB381" s="5"/>
      <c r="NC381" s="6"/>
      <c r="ND381" s="4"/>
      <c r="NE381" s="4"/>
      <c r="NF381" s="7"/>
      <c r="NG381" s="8"/>
      <c r="NH381" s="8"/>
      <c r="NI381" s="5"/>
      <c r="NJ381" s="6"/>
      <c r="NK381" s="4"/>
      <c r="NL381" s="4"/>
      <c r="NM381" s="4"/>
      <c r="NN381" s="4"/>
      <c r="NO381" s="4"/>
      <c r="NP381" s="5"/>
      <c r="NQ381" s="6"/>
      <c r="NR381" s="4"/>
      <c r="NS381" s="4"/>
      <c r="NT381" s="4"/>
      <c r="NU381" s="4"/>
      <c r="NV381" s="4"/>
      <c r="NW381" s="5"/>
      <c r="NX381" s="6"/>
      <c r="NY381" s="4"/>
      <c r="NZ381" s="4"/>
      <c r="OA381" s="7"/>
      <c r="OB381" s="8"/>
      <c r="OC381" s="8"/>
      <c r="OD381" s="5"/>
      <c r="OE381" s="6"/>
      <c r="OF381" s="4"/>
      <c r="OG381" s="4"/>
      <c r="OH381" s="4"/>
      <c r="OI381" s="4"/>
      <c r="OJ381" s="4"/>
      <c r="OK381" s="5"/>
      <c r="OL381" s="6"/>
      <c r="OM381" s="4"/>
      <c r="ON381" s="4"/>
      <c r="OO381" s="4"/>
      <c r="OP381" s="4"/>
      <c r="OQ381" s="4"/>
      <c r="OR381" s="5"/>
      <c r="OS381" s="6"/>
      <c r="OT381" s="4"/>
      <c r="OU381" s="4"/>
      <c r="OV381" s="4"/>
      <c r="OW381" s="4"/>
      <c r="OX381" s="4"/>
      <c r="OY381" s="5"/>
      <c r="PB381" s="4"/>
      <c r="PC381" s="4"/>
      <c r="PD381" s="4"/>
      <c r="PE381" s="4"/>
      <c r="PF381" s="5"/>
      <c r="PG381" s="6"/>
      <c r="PH381" s="4"/>
      <c r="PI381" s="4"/>
      <c r="PJ381" s="4"/>
      <c r="PK381" s="4"/>
      <c r="PL381" s="4"/>
      <c r="PM381" s="5"/>
      <c r="PN381" s="6"/>
      <c r="PO381" s="4"/>
      <c r="PP381" s="4"/>
      <c r="PQ381" s="4"/>
      <c r="PR381" s="4"/>
      <c r="PS381" s="4"/>
      <c r="PT381" s="5"/>
      <c r="PU381" s="6"/>
      <c r="PV381" s="4"/>
      <c r="PW381" s="4"/>
      <c r="PX381" s="4"/>
      <c r="PY381" s="4"/>
      <c r="PZ381" s="4"/>
      <c r="QA381" s="5"/>
      <c r="QB381" s="6"/>
      <c r="QC381" s="4"/>
      <c r="QD381" s="4"/>
      <c r="QE381" s="4"/>
      <c r="QF381" s="4"/>
      <c r="QG381" s="4"/>
      <c r="QH381" s="5"/>
      <c r="QI381" s="6"/>
      <c r="QJ381" s="4"/>
      <c r="QK381" s="4"/>
      <c r="QL381" s="4"/>
      <c r="QM381" s="4"/>
      <c r="QN381" s="4"/>
      <c r="QO381" s="5"/>
      <c r="QP381" s="6"/>
      <c r="QQ381" s="4"/>
      <c r="QR381" s="4"/>
      <c r="QS381" s="4"/>
      <c r="QT381" s="4"/>
      <c r="QU381" s="4"/>
      <c r="QV381" s="5"/>
      <c r="QW381" s="6"/>
      <c r="QX381" s="4"/>
      <c r="QY381" s="4"/>
      <c r="QZ381" s="4"/>
      <c r="RA381" s="4"/>
      <c r="RB381" s="4"/>
      <c r="RC381" s="5"/>
      <c r="RD381" s="6"/>
      <c r="RE381" s="4"/>
      <c r="RF381" s="4"/>
      <c r="RG381" s="4"/>
      <c r="RH381" s="4"/>
      <c r="RI381" s="4"/>
      <c r="RJ381" s="5"/>
      <c r="RK381" s="6"/>
      <c r="RL381" s="4"/>
      <c r="RM381" s="4"/>
      <c r="RN381" s="4"/>
      <c r="RO381" s="4"/>
      <c r="RP381" s="4"/>
      <c r="RQ381" s="5"/>
      <c r="RR381" s="6"/>
      <c r="RS381" s="4"/>
      <c r="RT381" s="4"/>
      <c r="RU381" s="4"/>
      <c r="RV381" s="4"/>
      <c r="RW381" s="4"/>
      <c r="RX381" s="5"/>
      <c r="RY381" s="6"/>
      <c r="RZ381" s="4"/>
      <c r="SA381" s="4"/>
      <c r="SB381" s="4"/>
      <c r="SC381" s="4"/>
      <c r="SD381" s="4"/>
      <c r="SE381" s="5"/>
      <c r="SF381" s="6"/>
      <c r="SG381" s="4"/>
      <c r="SH381" s="4"/>
      <c r="SI381" s="4"/>
      <c r="SJ381" s="4"/>
      <c r="SK381" s="4"/>
      <c r="SL381" s="5"/>
      <c r="SM381" s="6"/>
      <c r="SN381" s="4"/>
      <c r="SO381" s="4"/>
      <c r="SP381" s="4"/>
      <c r="SQ381" s="4"/>
      <c r="SR381" s="4"/>
      <c r="SS381" s="5"/>
      <c r="ST381" s="6"/>
      <c r="SU381" s="4"/>
      <c r="SV381" s="4"/>
      <c r="SW381" s="4"/>
      <c r="SX381" s="4"/>
      <c r="SY381" s="4"/>
      <c r="SZ381" s="5"/>
      <c r="TA381" s="6"/>
      <c r="TB381" s="4"/>
      <c r="TC381" s="4"/>
      <c r="TD381" s="4"/>
      <c r="TE381" s="4"/>
      <c r="TF381" s="4"/>
      <c r="TG381" s="5"/>
      <c r="TH381" s="6"/>
      <c r="TI381" s="4"/>
      <c r="TJ381" s="4"/>
      <c r="TK381" s="4"/>
      <c r="TL381" s="4"/>
      <c r="TM381" s="4"/>
      <c r="TN381" s="5"/>
      <c r="TO381" s="6"/>
      <c r="TP381" s="4"/>
      <c r="TQ381" s="4"/>
      <c r="TR381" s="4"/>
      <c r="TS381" s="4"/>
      <c r="TT381" s="4"/>
      <c r="TU381" s="5"/>
      <c r="TV381" s="6"/>
      <c r="TW381" s="4"/>
      <c r="TX381" s="4"/>
      <c r="TY381" s="4"/>
      <c r="TZ381" s="4"/>
      <c r="UA381" s="4"/>
      <c r="UB381" s="5"/>
      <c r="UC381" s="6"/>
      <c r="UD381" s="4"/>
      <c r="UE381" s="4"/>
      <c r="UF381" s="4"/>
      <c r="UG381" s="4"/>
      <c r="UH381" s="4"/>
      <c r="UI381" s="5"/>
      <c r="UJ381" s="6"/>
      <c r="UK381" s="4"/>
      <c r="UL381" s="4"/>
      <c r="UM381" s="4"/>
      <c r="UN381" s="4"/>
      <c r="UO381" s="4"/>
      <c r="UP381" s="5"/>
      <c r="UQ381" s="6"/>
      <c r="UR381" s="4"/>
      <c r="US381" s="4"/>
      <c r="UT381" s="4"/>
      <c r="UU381" s="4"/>
      <c r="UV381" s="4"/>
      <c r="UW381" s="5"/>
      <c r="UX381" s="6"/>
      <c r="UY381" s="4"/>
      <c r="UZ381" s="4"/>
      <c r="VA381" s="4"/>
      <c r="VB381" s="4"/>
      <c r="VC381" s="4"/>
      <c r="VD381" s="5"/>
      <c r="VE381" s="6"/>
      <c r="VF381" s="4"/>
      <c r="VG381" s="4"/>
      <c r="VH381" s="4"/>
      <c r="VI381" s="4"/>
      <c r="VJ381" s="4"/>
      <c r="VK381" s="5"/>
      <c r="VL381" s="6"/>
      <c r="VM381" s="4"/>
      <c r="VN381" s="4"/>
      <c r="VO381" s="4"/>
      <c r="VP381" s="4"/>
      <c r="VQ381" s="4"/>
      <c r="VR381" s="5"/>
      <c r="VS381" s="6"/>
      <c r="VT381" s="4"/>
      <c r="VU381" s="4"/>
      <c r="VV381" s="4"/>
      <c r="VW381" s="4"/>
      <c r="VX381" s="4"/>
      <c r="VY381" s="5"/>
      <c r="VZ381" s="6"/>
      <c r="WA381" s="4"/>
      <c r="WB381" s="4"/>
      <c r="WC381" s="4"/>
      <c r="WD381" s="4"/>
      <c r="WE381" s="4"/>
      <c r="WF381" s="5"/>
      <c r="WG381" s="6"/>
      <c r="WH381" s="4"/>
      <c r="WI381" s="4"/>
      <c r="WJ381" s="4"/>
      <c r="WK381" s="4"/>
      <c r="WL381" s="4"/>
      <c r="WM381" s="5"/>
      <c r="WN381" s="6"/>
      <c r="WO381" s="4"/>
      <c r="WP381" s="4"/>
      <c r="WQ381" s="4"/>
      <c r="WR381" s="4"/>
      <c r="WS381" s="4"/>
      <c r="WT381" s="5"/>
      <c r="WU381" s="6"/>
      <c r="WV381" s="4"/>
      <c r="WW381" s="4"/>
      <c r="WX381" s="4"/>
      <c r="WY381" s="4"/>
      <c r="WZ381" s="4"/>
      <c r="XA381" s="5"/>
      <c r="XB381" s="6"/>
      <c r="XC381" s="4"/>
      <c r="XD381" s="4"/>
      <c r="XE381" s="4"/>
      <c r="XF381" s="4"/>
      <c r="XG381" s="4"/>
      <c r="XH381" s="5"/>
      <c r="XI381" s="6"/>
      <c r="XJ381" s="4"/>
      <c r="XK381" s="4"/>
      <c r="XL381" s="4"/>
      <c r="XM381" s="4"/>
      <c r="XN381" s="4"/>
      <c r="XO381" s="5"/>
      <c r="XP381" s="6"/>
      <c r="XQ381" s="4"/>
      <c r="XR381" s="4"/>
      <c r="XS381" s="4"/>
      <c r="XT381" s="4"/>
      <c r="XU381" s="4"/>
      <c r="XV381" s="5"/>
      <c r="XW381" s="6"/>
      <c r="XX381" s="4"/>
      <c r="XY381" s="4"/>
      <c r="XZ381" s="4"/>
      <c r="YA381" s="4"/>
      <c r="YB381" s="4"/>
      <c r="YC381" s="5"/>
      <c r="YD381" s="6"/>
      <c r="YE381" s="4"/>
      <c r="YF381" s="4"/>
      <c r="YG381" s="4"/>
      <c r="YH381" s="4"/>
      <c r="YI381" s="4"/>
      <c r="YJ381" s="5"/>
      <c r="YK381" s="6" t="s">
        <v>3784</v>
      </c>
      <c r="YL381" s="7" t="s">
        <v>3785</v>
      </c>
      <c r="YM381" s="7" t="s">
        <v>3364</v>
      </c>
      <c r="YN381" s="7" t="s">
        <v>1421</v>
      </c>
      <c r="YO381" s="8">
        <v>36607</v>
      </c>
      <c r="YP381" s="8">
        <v>38433</v>
      </c>
      <c r="YQ381" s="5"/>
      <c r="YR381" s="6"/>
      <c r="YS381" s="4"/>
      <c r="YT381" s="4"/>
      <c r="YU381" s="4"/>
      <c r="YV381" s="4"/>
      <c r="YW381" s="4"/>
      <c r="YX381" s="5"/>
      <c r="YY381" s="6"/>
      <c r="YZ381" s="4"/>
      <c r="ZA381" s="4"/>
      <c r="ZB381" s="4"/>
      <c r="ZC381" s="4"/>
      <c r="ZD381" s="4"/>
      <c r="ZE381" s="5"/>
      <c r="ZF381" s="6"/>
      <c r="ZG381" s="4"/>
      <c r="ZH381" s="4"/>
      <c r="ZI381" s="4"/>
      <c r="ZJ381" s="4"/>
      <c r="ZK381" s="4"/>
      <c r="ZL381" s="5"/>
      <c r="ZM381" s="6"/>
      <c r="ZN381" s="4"/>
      <c r="ZO381" s="4"/>
      <c r="ZP381" s="4"/>
      <c r="ZQ381" s="4"/>
      <c r="ZR381" s="4"/>
      <c r="ZS381" s="5"/>
      <c r="ZT381" s="6"/>
      <c r="ZU381" s="4"/>
      <c r="ZV381" s="4"/>
      <c r="ZW381" s="4"/>
      <c r="ZX381" s="4"/>
      <c r="ZY381" s="4"/>
      <c r="ZZ381" s="5"/>
      <c r="AAA381" s="6"/>
      <c r="AAB381" s="4"/>
      <c r="AAC381" s="4"/>
      <c r="AAD381" s="4"/>
      <c r="AAE381" s="4"/>
      <c r="AAF381" s="4"/>
      <c r="AAG381" s="5"/>
      <c r="AAH381" s="6"/>
      <c r="AAI381" s="4"/>
      <c r="AAJ381" s="4"/>
      <c r="AAK381" s="4"/>
      <c r="AAL381" s="4"/>
      <c r="AAM381" s="4"/>
      <c r="AAN381" s="5"/>
      <c r="AAO381" s="6"/>
      <c r="AAP381" s="4"/>
      <c r="AAQ381" s="4"/>
      <c r="AAR381" s="4"/>
      <c r="AAS381" s="4"/>
      <c r="AAT381" s="4"/>
      <c r="AAU381" s="5"/>
      <c r="AAV381" s="6"/>
      <c r="AAW381" s="4"/>
      <c r="AAX381" s="4"/>
      <c r="AAY381" s="4"/>
      <c r="AAZ381" s="4"/>
      <c r="ABA381" s="4"/>
      <c r="ABB381" s="5"/>
      <c r="ABC381" s="6"/>
      <c r="ABD381" s="4"/>
      <c r="ABE381" s="4"/>
      <c r="ABF381" s="4"/>
      <c r="ABG381" s="4"/>
      <c r="ABH381" s="4"/>
      <c r="ABI381" s="5"/>
      <c r="ABJ381" s="6"/>
      <c r="ABK381" s="4"/>
      <c r="ABL381" s="4"/>
      <c r="ABM381" s="4"/>
      <c r="ABN381" s="4"/>
      <c r="ABO381" s="4"/>
      <c r="ABP381" s="5"/>
      <c r="ABQ381" s="6"/>
      <c r="ABR381" s="4"/>
      <c r="ABS381" s="4"/>
      <c r="ABT381" s="4"/>
      <c r="ABU381" s="4"/>
      <c r="ABV381" s="4"/>
      <c r="ABW381" s="5"/>
      <c r="ABX381" s="6"/>
      <c r="ABY381" s="4"/>
      <c r="ABZ381" s="4"/>
      <c r="ACA381" s="4"/>
      <c r="ACB381" s="4"/>
      <c r="ACC381" s="4"/>
      <c r="ACD381" s="5"/>
      <c r="ACE381" s="6"/>
      <c r="ACF381" s="4"/>
      <c r="ACG381" s="4"/>
      <c r="ACH381" s="4"/>
      <c r="ACI381" s="4"/>
      <c r="ACJ381" s="4"/>
      <c r="ACK381" s="5"/>
      <c r="ACL381" s="6"/>
      <c r="ACM381" s="4"/>
      <c r="ACN381" s="4"/>
      <c r="ACO381" s="4"/>
      <c r="ACP381" s="4"/>
      <c r="ACQ381" s="4"/>
      <c r="ACR381" s="5"/>
      <c r="ACS381" s="6"/>
      <c r="ACT381" s="4"/>
      <c r="ACU381" s="4"/>
      <c r="ACV381" s="4"/>
      <c r="ACW381" s="4"/>
      <c r="ACX381" s="4"/>
      <c r="ACY381" s="5"/>
    </row>
    <row r="382" spans="2:805" x14ac:dyDescent="0.25">
      <c r="J382" s="12"/>
      <c r="K382" s="12"/>
      <c r="L382" s="12"/>
      <c r="LL382" s="6"/>
      <c r="LM382" s="4"/>
      <c r="LN382" s="4"/>
      <c r="LO382" s="4"/>
      <c r="LP382" s="4"/>
      <c r="LQ382" s="4"/>
      <c r="LR382" s="5"/>
      <c r="LS382" s="6"/>
      <c r="LT382" s="4"/>
      <c r="LU382" s="4"/>
      <c r="LV382" s="4"/>
      <c r="LW382" s="4"/>
      <c r="LX382" s="4"/>
      <c r="LY382" s="5"/>
      <c r="LZ382" s="6" t="s">
        <v>2815</v>
      </c>
      <c r="MA382" s="7" t="s">
        <v>2525</v>
      </c>
      <c r="MB382" s="7" t="s">
        <v>3509</v>
      </c>
      <c r="MC382" s="4"/>
      <c r="MD382" s="8">
        <v>38420</v>
      </c>
      <c r="ME382" s="8">
        <v>38425</v>
      </c>
      <c r="MF382" s="8"/>
      <c r="MG382" s="5" t="s">
        <v>1543</v>
      </c>
      <c r="MH382" s="6"/>
      <c r="MI382" s="4"/>
      <c r="MJ382" s="4"/>
      <c r="MK382" s="4"/>
      <c r="ML382" s="4"/>
      <c r="MM382" s="4"/>
      <c r="MN382" s="5"/>
      <c r="MO382" s="6"/>
      <c r="MP382" s="4"/>
      <c r="MQ382" s="4"/>
      <c r="MR382" s="4"/>
      <c r="MS382" s="4"/>
      <c r="MT382" s="4"/>
      <c r="MU382" s="5"/>
      <c r="MV382" s="6"/>
      <c r="MW382" s="4"/>
      <c r="MX382" s="4"/>
      <c r="MY382" s="4"/>
      <c r="MZ382" s="4"/>
      <c r="NA382" s="4"/>
      <c r="NB382" s="5"/>
      <c r="NC382" s="6"/>
      <c r="ND382" s="4"/>
      <c r="NE382" s="4"/>
      <c r="NF382" s="7"/>
      <c r="NG382" s="8"/>
      <c r="NH382" s="8"/>
      <c r="NI382" s="5"/>
      <c r="NJ382" s="6"/>
      <c r="NK382" s="4"/>
      <c r="NL382" s="4"/>
      <c r="NM382" s="4"/>
      <c r="NN382" s="4"/>
      <c r="NO382" s="4"/>
      <c r="NP382" s="5"/>
      <c r="NQ382" s="6"/>
      <c r="NR382" s="4"/>
      <c r="NS382" s="4"/>
      <c r="NT382" s="4"/>
      <c r="NU382" s="4"/>
      <c r="NV382" s="4"/>
      <c r="NW382" s="5"/>
      <c r="NX382" s="6"/>
      <c r="NY382" s="4"/>
      <c r="NZ382" s="4"/>
      <c r="OA382" s="7"/>
      <c r="OB382" s="8"/>
      <c r="OC382" s="8"/>
      <c r="OD382" s="5"/>
      <c r="OE382" s="6"/>
      <c r="OF382" s="4"/>
      <c r="OG382" s="4"/>
      <c r="OH382" s="4"/>
      <c r="OI382" s="4"/>
      <c r="OJ382" s="4"/>
      <c r="OK382" s="5"/>
      <c r="OL382" s="6"/>
      <c r="OM382" s="4"/>
      <c r="ON382" s="4"/>
      <c r="OO382" s="4"/>
      <c r="OP382" s="4"/>
      <c r="OQ382" s="4"/>
      <c r="OR382" s="5"/>
      <c r="OS382" s="6"/>
      <c r="OT382" s="4"/>
      <c r="OU382" s="4"/>
      <c r="OV382" s="4"/>
      <c r="OW382" s="4"/>
      <c r="OX382" s="4"/>
      <c r="OY382" s="5"/>
      <c r="PB382" s="4"/>
      <c r="PC382" s="4"/>
      <c r="PD382" s="4"/>
      <c r="PE382" s="4"/>
      <c r="PF382" s="5"/>
      <c r="PG382" s="6"/>
      <c r="PH382" s="4"/>
      <c r="PI382" s="4"/>
      <c r="PJ382" s="4"/>
      <c r="PK382" s="4"/>
      <c r="PL382" s="4"/>
      <c r="PM382" s="5"/>
      <c r="PN382" s="6"/>
      <c r="PO382" s="4"/>
      <c r="PP382" s="4"/>
      <c r="PQ382" s="4"/>
      <c r="PR382" s="4"/>
      <c r="PS382" s="4"/>
      <c r="PT382" s="5"/>
      <c r="PU382" s="6"/>
      <c r="PV382" s="4"/>
      <c r="PW382" s="4"/>
      <c r="PX382" s="4"/>
      <c r="PY382" s="4"/>
      <c r="PZ382" s="4"/>
      <c r="QA382" s="5"/>
      <c r="QB382" s="6"/>
      <c r="QC382" s="4"/>
      <c r="QD382" s="4"/>
      <c r="QE382" s="4"/>
      <c r="QF382" s="4"/>
      <c r="QG382" s="4"/>
      <c r="QH382" s="5"/>
      <c r="QI382" s="6"/>
      <c r="QJ382" s="4"/>
      <c r="QK382" s="4"/>
      <c r="QL382" s="4"/>
      <c r="QM382" s="4"/>
      <c r="QN382" s="4"/>
      <c r="QO382" s="5"/>
      <c r="QP382" s="6"/>
      <c r="QQ382" s="4"/>
      <c r="QR382" s="4"/>
      <c r="QS382" s="4"/>
      <c r="QT382" s="4"/>
      <c r="QU382" s="4"/>
      <c r="QV382" s="5"/>
      <c r="QW382" s="6"/>
      <c r="QX382" s="4"/>
      <c r="QY382" s="4"/>
      <c r="QZ382" s="4"/>
      <c r="RA382" s="4"/>
      <c r="RB382" s="4"/>
      <c r="RC382" s="5"/>
      <c r="RD382" s="6"/>
      <c r="RE382" s="4"/>
      <c r="RF382" s="4"/>
      <c r="RG382" s="4"/>
      <c r="RH382" s="4"/>
      <c r="RI382" s="4"/>
      <c r="RJ382" s="5"/>
      <c r="RK382" s="6"/>
      <c r="RL382" s="4"/>
      <c r="RM382" s="4"/>
      <c r="RN382" s="4"/>
      <c r="RO382" s="4"/>
      <c r="RP382" s="4"/>
      <c r="RQ382" s="5"/>
      <c r="RR382" s="6"/>
      <c r="RS382" s="4"/>
      <c r="RT382" s="4"/>
      <c r="RU382" s="4"/>
      <c r="RV382" s="4"/>
      <c r="RW382" s="4"/>
      <c r="RX382" s="5"/>
      <c r="RY382" s="6"/>
      <c r="RZ382" s="4"/>
      <c r="SA382" s="4"/>
      <c r="SB382" s="4"/>
      <c r="SC382" s="4"/>
      <c r="SD382" s="4"/>
      <c r="SE382" s="5"/>
      <c r="SF382" s="6"/>
      <c r="SG382" s="4"/>
      <c r="SH382" s="4"/>
      <c r="SI382" s="4"/>
      <c r="SJ382" s="4"/>
      <c r="SK382" s="4"/>
      <c r="SL382" s="5"/>
      <c r="SM382" s="6"/>
      <c r="SN382" s="4"/>
      <c r="SO382" s="4"/>
      <c r="SP382" s="4"/>
      <c r="SQ382" s="4"/>
      <c r="SR382" s="4"/>
      <c r="SS382" s="5"/>
      <c r="ST382" s="6"/>
      <c r="SU382" s="4"/>
      <c r="SV382" s="4"/>
      <c r="SW382" s="4"/>
      <c r="SX382" s="4"/>
      <c r="SY382" s="4"/>
      <c r="SZ382" s="5"/>
      <c r="TA382" s="6"/>
      <c r="TB382" s="4"/>
      <c r="TC382" s="4"/>
      <c r="TD382" s="4"/>
      <c r="TE382" s="4"/>
      <c r="TF382" s="4"/>
      <c r="TG382" s="5"/>
      <c r="TH382" s="6"/>
      <c r="TI382" s="4"/>
      <c r="TJ382" s="4"/>
      <c r="TK382" s="4"/>
      <c r="TL382" s="4"/>
      <c r="TM382" s="4"/>
      <c r="TN382" s="5"/>
      <c r="TO382" s="6"/>
      <c r="TP382" s="4"/>
      <c r="TQ382" s="4"/>
      <c r="TR382" s="4"/>
      <c r="TS382" s="4"/>
      <c r="TT382" s="4"/>
      <c r="TU382" s="5"/>
      <c r="TV382" s="6"/>
      <c r="TW382" s="4"/>
      <c r="TX382" s="4"/>
      <c r="TY382" s="4"/>
      <c r="TZ382" s="4"/>
      <c r="UA382" s="4"/>
      <c r="UB382" s="5"/>
      <c r="UC382" s="6"/>
      <c r="UD382" s="4"/>
      <c r="UE382" s="4"/>
      <c r="UF382" s="4"/>
      <c r="UG382" s="4"/>
      <c r="UH382" s="4"/>
      <c r="UI382" s="5"/>
      <c r="UJ382" s="6"/>
      <c r="UK382" s="4"/>
      <c r="UL382" s="4"/>
      <c r="UM382" s="4"/>
      <c r="UN382" s="4"/>
      <c r="UO382" s="4"/>
      <c r="UP382" s="5"/>
      <c r="UQ382" s="6"/>
      <c r="UR382" s="4"/>
      <c r="US382" s="4"/>
      <c r="UT382" s="4"/>
      <c r="UU382" s="4"/>
      <c r="UV382" s="4"/>
      <c r="UW382" s="5"/>
      <c r="UX382" s="6"/>
      <c r="UY382" s="4"/>
      <c r="UZ382" s="4"/>
      <c r="VA382" s="4"/>
      <c r="VB382" s="4"/>
      <c r="VC382" s="4"/>
      <c r="VD382" s="5"/>
      <c r="VE382" s="6"/>
      <c r="VF382" s="4"/>
      <c r="VG382" s="4"/>
      <c r="VH382" s="4"/>
      <c r="VI382" s="4"/>
      <c r="VJ382" s="4"/>
      <c r="VK382" s="5"/>
      <c r="VL382" s="6"/>
      <c r="VM382" s="4"/>
      <c r="VN382" s="4"/>
      <c r="VO382" s="4"/>
      <c r="VP382" s="4"/>
      <c r="VQ382" s="4"/>
      <c r="VR382" s="5"/>
      <c r="VS382" s="6"/>
      <c r="VT382" s="4"/>
      <c r="VU382" s="4"/>
      <c r="VV382" s="4"/>
      <c r="VW382" s="4"/>
      <c r="VX382" s="4"/>
      <c r="VY382" s="5"/>
      <c r="VZ382" s="6"/>
      <c r="WA382" s="4"/>
      <c r="WB382" s="4"/>
      <c r="WC382" s="4"/>
      <c r="WD382" s="4"/>
      <c r="WE382" s="4"/>
      <c r="WF382" s="5"/>
      <c r="WG382" s="6"/>
      <c r="WH382" s="4"/>
      <c r="WI382" s="4"/>
      <c r="WJ382" s="4"/>
      <c r="WK382" s="4"/>
      <c r="WL382" s="4"/>
      <c r="WM382" s="5"/>
      <c r="WN382" s="6"/>
      <c r="WO382" s="4"/>
      <c r="WP382" s="4"/>
      <c r="WQ382" s="4"/>
      <c r="WR382" s="4"/>
      <c r="WS382" s="4"/>
      <c r="WT382" s="5"/>
      <c r="WU382" s="6"/>
      <c r="WV382" s="4"/>
      <c r="WW382" s="4"/>
      <c r="WX382" s="4"/>
      <c r="WY382" s="4"/>
      <c r="WZ382" s="4"/>
      <c r="XA382" s="5"/>
      <c r="XB382" s="6"/>
      <c r="XC382" s="4"/>
      <c r="XD382" s="4"/>
      <c r="XE382" s="4"/>
      <c r="XF382" s="4"/>
      <c r="XG382" s="4"/>
      <c r="XH382" s="5"/>
      <c r="XI382" s="6"/>
      <c r="XJ382" s="4"/>
      <c r="XK382" s="4"/>
      <c r="XL382" s="4"/>
      <c r="XM382" s="4"/>
      <c r="XN382" s="4"/>
      <c r="XO382" s="5"/>
      <c r="XP382" s="6"/>
      <c r="XQ382" s="4"/>
      <c r="XR382" s="4"/>
      <c r="XS382" s="4"/>
      <c r="XT382" s="4"/>
      <c r="XU382" s="4"/>
      <c r="XV382" s="5"/>
      <c r="XW382" s="6"/>
      <c r="XX382" s="4"/>
      <c r="XY382" s="4"/>
      <c r="XZ382" s="4"/>
      <c r="YA382" s="4"/>
      <c r="YB382" s="4"/>
      <c r="YC382" s="5"/>
      <c r="YD382" s="6"/>
      <c r="YE382" s="4"/>
      <c r="YF382" s="4"/>
      <c r="YG382" s="4"/>
      <c r="YH382" s="4"/>
      <c r="YI382" s="4"/>
      <c r="YJ382" s="5"/>
      <c r="YK382" s="6" t="s">
        <v>3505</v>
      </c>
      <c r="YL382" s="7" t="s">
        <v>3506</v>
      </c>
      <c r="YM382" s="7"/>
      <c r="YN382" s="7" t="s">
        <v>3508</v>
      </c>
      <c r="YO382" s="8">
        <v>38429</v>
      </c>
      <c r="YP382" s="8">
        <v>38435</v>
      </c>
      <c r="YQ382" s="5"/>
      <c r="YR382" s="6"/>
      <c r="YS382" s="4"/>
      <c r="YT382" s="4"/>
      <c r="YU382" s="4"/>
      <c r="YV382" s="4"/>
      <c r="YW382" s="4"/>
      <c r="YX382" s="5"/>
      <c r="YY382" s="6"/>
      <c r="YZ382" s="4"/>
      <c r="ZA382" s="4"/>
      <c r="ZB382" s="4"/>
      <c r="ZC382" s="4"/>
      <c r="ZD382" s="4"/>
      <c r="ZE382" s="5"/>
      <c r="ZF382" s="6"/>
      <c r="ZG382" s="4"/>
      <c r="ZH382" s="4"/>
      <c r="ZI382" s="4"/>
      <c r="ZJ382" s="4"/>
      <c r="ZK382" s="4"/>
      <c r="ZL382" s="5"/>
      <c r="ZM382" s="6"/>
      <c r="ZN382" s="4"/>
      <c r="ZO382" s="4"/>
      <c r="ZP382" s="4"/>
      <c r="ZQ382" s="4"/>
      <c r="ZR382" s="4"/>
      <c r="ZS382" s="5"/>
      <c r="ZT382" s="6"/>
      <c r="ZU382" s="4"/>
      <c r="ZV382" s="4"/>
      <c r="ZW382" s="4"/>
      <c r="ZX382" s="4"/>
      <c r="ZY382" s="4"/>
      <c r="ZZ382" s="5"/>
      <c r="AAA382" s="6"/>
      <c r="AAB382" s="4"/>
      <c r="AAC382" s="4"/>
      <c r="AAD382" s="4"/>
      <c r="AAE382" s="4"/>
      <c r="AAF382" s="4"/>
      <c r="AAG382" s="5"/>
      <c r="AAH382" s="6"/>
      <c r="AAI382" s="4"/>
      <c r="AAJ382" s="4"/>
      <c r="AAK382" s="4"/>
      <c r="AAL382" s="4"/>
      <c r="AAM382" s="4"/>
      <c r="AAN382" s="5"/>
      <c r="AAO382" s="6"/>
      <c r="AAP382" s="4"/>
      <c r="AAQ382" s="4"/>
      <c r="AAR382" s="4"/>
      <c r="AAS382" s="4"/>
      <c r="AAT382" s="4"/>
      <c r="AAU382" s="5"/>
      <c r="AAV382" s="6"/>
      <c r="AAW382" s="4"/>
      <c r="AAX382" s="4"/>
      <c r="AAY382" s="4"/>
      <c r="AAZ382" s="4"/>
      <c r="ABA382" s="4"/>
      <c r="ABB382" s="5"/>
      <c r="ABC382" s="6"/>
      <c r="ABD382" s="4"/>
      <c r="ABE382" s="4"/>
      <c r="ABF382" s="4"/>
      <c r="ABG382" s="4"/>
      <c r="ABH382" s="4"/>
      <c r="ABI382" s="5"/>
      <c r="ABJ382" s="6"/>
      <c r="ABK382" s="4"/>
      <c r="ABL382" s="4"/>
      <c r="ABM382" s="4"/>
      <c r="ABN382" s="4"/>
      <c r="ABO382" s="4"/>
      <c r="ABP382" s="5"/>
      <c r="ABQ382" s="6"/>
      <c r="ABR382" s="4"/>
      <c r="ABS382" s="4"/>
      <c r="ABT382" s="4"/>
      <c r="ABU382" s="4"/>
      <c r="ABV382" s="4"/>
      <c r="ABW382" s="5"/>
      <c r="ABX382" s="6"/>
      <c r="ABY382" s="4"/>
      <c r="ABZ382" s="4"/>
      <c r="ACA382" s="4"/>
      <c r="ACB382" s="4"/>
      <c r="ACC382" s="4"/>
      <c r="ACD382" s="5"/>
      <c r="ACE382" s="6"/>
      <c r="ACF382" s="4"/>
      <c r="ACG382" s="4"/>
      <c r="ACH382" s="4"/>
      <c r="ACI382" s="4"/>
      <c r="ACJ382" s="4"/>
      <c r="ACK382" s="5"/>
      <c r="ACL382" s="6"/>
      <c r="ACM382" s="4"/>
      <c r="ACN382" s="4"/>
      <c r="ACO382" s="4"/>
      <c r="ACP382" s="4"/>
      <c r="ACQ382" s="4"/>
      <c r="ACR382" s="5"/>
      <c r="ACS382" s="6"/>
      <c r="ACT382" s="4"/>
      <c r="ACU382" s="4"/>
      <c r="ACV382" s="4"/>
      <c r="ACW382" s="4"/>
      <c r="ACX382" s="4"/>
      <c r="ACY382" s="5"/>
    </row>
    <row r="383" spans="2:805" x14ac:dyDescent="0.25">
      <c r="J383" s="12"/>
      <c r="K383" s="12"/>
      <c r="L383" s="12"/>
      <c r="LL383" s="6"/>
      <c r="LM383" s="4"/>
      <c r="LN383" s="4"/>
      <c r="LO383" s="4"/>
      <c r="LP383" s="4"/>
      <c r="LQ383" s="4"/>
      <c r="LR383" s="5"/>
      <c r="LS383" s="6"/>
      <c r="LT383" s="4"/>
      <c r="LU383" s="4"/>
      <c r="LV383" s="4"/>
      <c r="LW383" s="4"/>
      <c r="LX383" s="4"/>
      <c r="LY383" s="5"/>
      <c r="LZ383" s="6" t="s">
        <v>2815</v>
      </c>
      <c r="MA383" s="7" t="s">
        <v>2525</v>
      </c>
      <c r="MB383" s="7" t="s">
        <v>3364</v>
      </c>
      <c r="MC383" s="7" t="s">
        <v>3510</v>
      </c>
      <c r="MD383" s="8">
        <v>38383</v>
      </c>
      <c r="ME383" s="8">
        <v>38503</v>
      </c>
      <c r="MF383" s="8"/>
      <c r="MG383" s="5" t="s">
        <v>1550</v>
      </c>
      <c r="MH383" s="6"/>
      <c r="MI383" s="4"/>
      <c r="MJ383" s="4"/>
      <c r="MK383" s="4"/>
      <c r="ML383" s="4"/>
      <c r="MM383" s="4"/>
      <c r="MN383" s="5"/>
      <c r="MO383" s="6"/>
      <c r="MP383" s="4"/>
      <c r="MQ383" s="4"/>
      <c r="MR383" s="4"/>
      <c r="MS383" s="4"/>
      <c r="MT383" s="4"/>
      <c r="MU383" s="5"/>
      <c r="MV383" s="6"/>
      <c r="MW383" s="4"/>
      <c r="MX383" s="4"/>
      <c r="MY383" s="4"/>
      <c r="MZ383" s="4"/>
      <c r="NA383" s="4"/>
      <c r="NB383" s="5"/>
      <c r="NC383" s="6"/>
      <c r="ND383" s="4"/>
      <c r="NE383" s="4"/>
      <c r="NF383" s="7"/>
      <c r="NG383" s="8"/>
      <c r="NH383" s="8"/>
      <c r="NI383" s="5"/>
      <c r="NJ383" s="6"/>
      <c r="NK383" s="4"/>
      <c r="NL383" s="4"/>
      <c r="NM383" s="4"/>
      <c r="NN383" s="4"/>
      <c r="NO383" s="4"/>
      <c r="NP383" s="5"/>
      <c r="NQ383" s="6"/>
      <c r="NR383" s="4"/>
      <c r="NS383" s="4"/>
      <c r="NT383" s="4"/>
      <c r="NU383" s="4"/>
      <c r="NV383" s="4"/>
      <c r="NW383" s="5"/>
      <c r="NX383" s="6"/>
      <c r="NY383" s="4"/>
      <c r="NZ383" s="4"/>
      <c r="OA383" s="7"/>
      <c r="OB383" s="8"/>
      <c r="OC383" s="8"/>
      <c r="OD383" s="5"/>
      <c r="OE383" s="6"/>
      <c r="OF383" s="4"/>
      <c r="OG383" s="4"/>
      <c r="OH383" s="4"/>
      <c r="OI383" s="4"/>
      <c r="OJ383" s="4"/>
      <c r="OK383" s="5"/>
      <c r="OL383" s="6"/>
      <c r="OM383" s="4"/>
      <c r="ON383" s="4"/>
      <c r="OO383" s="4"/>
      <c r="OP383" s="4"/>
      <c r="OQ383" s="4"/>
      <c r="OR383" s="5"/>
      <c r="OS383" s="6"/>
      <c r="OT383" s="4"/>
      <c r="OU383" s="4"/>
      <c r="OV383" s="4"/>
      <c r="OW383" s="4"/>
      <c r="OX383" s="4"/>
      <c r="OY383" s="5"/>
      <c r="PB383" s="4"/>
      <c r="PC383" s="4"/>
      <c r="PD383" s="4"/>
      <c r="PE383" s="4"/>
      <c r="PF383" s="5"/>
      <c r="PG383" s="6"/>
      <c r="PH383" s="4"/>
      <c r="PI383" s="4"/>
      <c r="PJ383" s="4"/>
      <c r="PK383" s="4"/>
      <c r="PL383" s="4"/>
      <c r="PM383" s="5"/>
      <c r="PN383" s="6"/>
      <c r="PO383" s="4"/>
      <c r="PP383" s="4"/>
      <c r="PQ383" s="4"/>
      <c r="PR383" s="4"/>
      <c r="PS383" s="4"/>
      <c r="PT383" s="5"/>
      <c r="PU383" s="6"/>
      <c r="PV383" s="4"/>
      <c r="PW383" s="4"/>
      <c r="PX383" s="4"/>
      <c r="PY383" s="4"/>
      <c r="PZ383" s="4"/>
      <c r="QA383" s="5"/>
      <c r="QB383" s="6"/>
      <c r="QC383" s="4"/>
      <c r="QD383" s="4"/>
      <c r="QE383" s="4"/>
      <c r="QF383" s="4"/>
      <c r="QG383" s="4"/>
      <c r="QH383" s="5"/>
      <c r="QI383" s="6"/>
      <c r="QJ383" s="4"/>
      <c r="QK383" s="4"/>
      <c r="QL383" s="4"/>
      <c r="QM383" s="4"/>
      <c r="QN383" s="4"/>
      <c r="QO383" s="5"/>
      <c r="QP383" s="6"/>
      <c r="QQ383" s="4"/>
      <c r="QR383" s="4"/>
      <c r="QS383" s="4"/>
      <c r="QT383" s="4"/>
      <c r="QU383" s="4"/>
      <c r="QV383" s="5"/>
      <c r="QW383" s="6"/>
      <c r="QX383" s="4"/>
      <c r="QY383" s="4"/>
      <c r="QZ383" s="4"/>
      <c r="RA383" s="4"/>
      <c r="RB383" s="4"/>
      <c r="RC383" s="5"/>
      <c r="RD383" s="6"/>
      <c r="RE383" s="4"/>
      <c r="RF383" s="4"/>
      <c r="RG383" s="4"/>
      <c r="RH383" s="4"/>
      <c r="RI383" s="4"/>
      <c r="RJ383" s="5"/>
      <c r="RK383" s="6"/>
      <c r="RL383" s="4"/>
      <c r="RM383" s="4"/>
      <c r="RN383" s="4"/>
      <c r="RO383" s="4"/>
      <c r="RP383" s="4"/>
      <c r="RQ383" s="5"/>
      <c r="RR383" s="6"/>
      <c r="RS383" s="4"/>
      <c r="RT383" s="4"/>
      <c r="RU383" s="4"/>
      <c r="RV383" s="4"/>
      <c r="RW383" s="4"/>
      <c r="RX383" s="5"/>
      <c r="RY383" s="6"/>
      <c r="RZ383" s="4"/>
      <c r="SA383" s="4"/>
      <c r="SB383" s="4"/>
      <c r="SC383" s="4"/>
      <c r="SD383" s="4"/>
      <c r="SE383" s="5"/>
      <c r="SF383" s="6"/>
      <c r="SG383" s="4"/>
      <c r="SH383" s="4"/>
      <c r="SI383" s="4"/>
      <c r="SJ383" s="4"/>
      <c r="SK383" s="4"/>
      <c r="SL383" s="5"/>
      <c r="SM383" s="6"/>
      <c r="SN383" s="4"/>
      <c r="SO383" s="4"/>
      <c r="SP383" s="4"/>
      <c r="SQ383" s="4"/>
      <c r="SR383" s="4"/>
      <c r="SS383" s="5"/>
      <c r="ST383" s="6"/>
      <c r="SU383" s="4"/>
      <c r="SV383" s="4"/>
      <c r="SW383" s="4"/>
      <c r="SX383" s="4"/>
      <c r="SY383" s="4"/>
      <c r="SZ383" s="5"/>
      <c r="TA383" s="6"/>
      <c r="TB383" s="4"/>
      <c r="TC383" s="4"/>
      <c r="TD383" s="4"/>
      <c r="TE383" s="4"/>
      <c r="TF383" s="4"/>
      <c r="TG383" s="5"/>
      <c r="TH383" s="6"/>
      <c r="TI383" s="4"/>
      <c r="TJ383" s="4"/>
      <c r="TK383" s="4"/>
      <c r="TL383" s="4"/>
      <c r="TM383" s="4"/>
      <c r="TN383" s="5"/>
      <c r="TO383" s="6"/>
      <c r="TP383" s="4"/>
      <c r="TQ383" s="4"/>
      <c r="TR383" s="4"/>
      <c r="TS383" s="4"/>
      <c r="TT383" s="4"/>
      <c r="TU383" s="5"/>
      <c r="TV383" s="6"/>
      <c r="TW383" s="4"/>
      <c r="TX383" s="4"/>
      <c r="TY383" s="4"/>
      <c r="TZ383" s="4"/>
      <c r="UA383" s="4"/>
      <c r="UB383" s="5"/>
      <c r="UC383" s="6"/>
      <c r="UD383" s="4"/>
      <c r="UE383" s="4"/>
      <c r="UF383" s="4"/>
      <c r="UG383" s="4"/>
      <c r="UH383" s="4"/>
      <c r="UI383" s="5"/>
      <c r="UJ383" s="6"/>
      <c r="UK383" s="4"/>
      <c r="UL383" s="4"/>
      <c r="UM383" s="4"/>
      <c r="UN383" s="4"/>
      <c r="UO383" s="4"/>
      <c r="UP383" s="5"/>
      <c r="UQ383" s="6"/>
      <c r="UR383" s="4"/>
      <c r="US383" s="4"/>
      <c r="UT383" s="4"/>
      <c r="UU383" s="4"/>
      <c r="UV383" s="4"/>
      <c r="UW383" s="5"/>
      <c r="UX383" s="6"/>
      <c r="UY383" s="4"/>
      <c r="UZ383" s="4"/>
      <c r="VA383" s="4"/>
      <c r="VB383" s="4"/>
      <c r="VC383" s="4"/>
      <c r="VD383" s="5"/>
      <c r="VE383" s="6"/>
      <c r="VF383" s="4"/>
      <c r="VG383" s="4"/>
      <c r="VH383" s="4"/>
      <c r="VI383" s="4"/>
      <c r="VJ383" s="4"/>
      <c r="VK383" s="5"/>
      <c r="VL383" s="6"/>
      <c r="VM383" s="4"/>
      <c r="VN383" s="4"/>
      <c r="VO383" s="4"/>
      <c r="VP383" s="4"/>
      <c r="VQ383" s="4"/>
      <c r="VR383" s="5"/>
      <c r="VS383" s="6"/>
      <c r="VT383" s="4"/>
      <c r="VU383" s="4"/>
      <c r="VV383" s="4"/>
      <c r="VW383" s="4"/>
      <c r="VX383" s="4"/>
      <c r="VY383" s="5"/>
      <c r="VZ383" s="6"/>
      <c r="WA383" s="4"/>
      <c r="WB383" s="4"/>
      <c r="WC383" s="4"/>
      <c r="WD383" s="4"/>
      <c r="WE383" s="4"/>
      <c r="WF383" s="5"/>
      <c r="WG383" s="6"/>
      <c r="WH383" s="4"/>
      <c r="WI383" s="4"/>
      <c r="WJ383" s="4"/>
      <c r="WK383" s="4"/>
      <c r="WL383" s="4"/>
      <c r="WM383" s="5"/>
      <c r="WN383" s="6"/>
      <c r="WO383" s="4"/>
      <c r="WP383" s="4"/>
      <c r="WQ383" s="4"/>
      <c r="WR383" s="4"/>
      <c r="WS383" s="4"/>
      <c r="WT383" s="5"/>
      <c r="WU383" s="6"/>
      <c r="WV383" s="4"/>
      <c r="WW383" s="4"/>
      <c r="WX383" s="4"/>
      <c r="WY383" s="4"/>
      <c r="WZ383" s="4"/>
      <c r="XA383" s="5"/>
      <c r="XB383" s="6"/>
      <c r="XC383" s="4"/>
      <c r="XD383" s="4"/>
      <c r="XE383" s="4"/>
      <c r="XF383" s="4"/>
      <c r="XG383" s="4"/>
      <c r="XH383" s="5"/>
      <c r="XI383" s="6"/>
      <c r="XJ383" s="4"/>
      <c r="XK383" s="4"/>
      <c r="XL383" s="4"/>
      <c r="XM383" s="4"/>
      <c r="XN383" s="4"/>
      <c r="XO383" s="5"/>
      <c r="XP383" s="6"/>
      <c r="XQ383" s="4"/>
      <c r="XR383" s="4"/>
      <c r="XS383" s="4"/>
      <c r="XT383" s="4"/>
      <c r="XU383" s="4"/>
      <c r="XV383" s="5"/>
      <c r="XW383" s="6"/>
      <c r="XX383" s="4"/>
      <c r="XY383" s="4"/>
      <c r="XZ383" s="4"/>
      <c r="YA383" s="4"/>
      <c r="YB383" s="4"/>
      <c r="YC383" s="5"/>
      <c r="YD383" s="6"/>
      <c r="YE383" s="4"/>
      <c r="YF383" s="4"/>
      <c r="YG383" s="4"/>
      <c r="YH383" s="4"/>
      <c r="YI383" s="4"/>
      <c r="YJ383" s="5"/>
      <c r="YK383" s="6" t="s">
        <v>3505</v>
      </c>
      <c r="YL383" s="7" t="s">
        <v>3506</v>
      </c>
      <c r="YM383" s="7"/>
      <c r="YN383" s="7"/>
      <c r="YO383" s="8">
        <v>38440</v>
      </c>
      <c r="YP383" s="8"/>
      <c r="YQ383" s="5"/>
      <c r="YR383" s="6"/>
      <c r="YS383" s="4"/>
      <c r="YT383" s="4"/>
      <c r="YU383" s="4"/>
      <c r="YV383" s="4"/>
      <c r="YW383" s="4"/>
      <c r="YX383" s="5"/>
      <c r="YY383" s="6"/>
      <c r="YZ383" s="4"/>
      <c r="ZA383" s="4"/>
      <c r="ZB383" s="4"/>
      <c r="ZC383" s="4"/>
      <c r="ZD383" s="4"/>
      <c r="ZE383" s="5"/>
      <c r="ZF383" s="6"/>
      <c r="ZG383" s="4"/>
      <c r="ZH383" s="4"/>
      <c r="ZI383" s="4"/>
      <c r="ZJ383" s="4"/>
      <c r="ZK383" s="4"/>
      <c r="ZL383" s="5"/>
      <c r="ZM383" s="6"/>
      <c r="ZN383" s="4"/>
      <c r="ZO383" s="4"/>
      <c r="ZP383" s="4"/>
      <c r="ZQ383" s="4"/>
      <c r="ZR383" s="4"/>
      <c r="ZS383" s="5"/>
      <c r="ZT383" s="6"/>
      <c r="ZU383" s="4"/>
      <c r="ZV383" s="4"/>
      <c r="ZW383" s="4"/>
      <c r="ZX383" s="4"/>
      <c r="ZY383" s="4"/>
      <c r="ZZ383" s="5"/>
      <c r="AAA383" s="6"/>
      <c r="AAB383" s="4"/>
      <c r="AAC383" s="4"/>
      <c r="AAD383" s="4"/>
      <c r="AAE383" s="4"/>
      <c r="AAF383" s="4"/>
      <c r="AAG383" s="5"/>
      <c r="AAH383" s="6"/>
      <c r="AAI383" s="4"/>
      <c r="AAJ383" s="4"/>
      <c r="AAK383" s="4"/>
      <c r="AAL383" s="4"/>
      <c r="AAM383" s="4"/>
      <c r="AAN383" s="5"/>
      <c r="AAO383" s="6"/>
      <c r="AAP383" s="4"/>
      <c r="AAQ383" s="4"/>
      <c r="AAR383" s="4"/>
      <c r="AAS383" s="4"/>
      <c r="AAT383" s="4"/>
      <c r="AAU383" s="5"/>
      <c r="AAV383" s="6"/>
      <c r="AAW383" s="4"/>
      <c r="AAX383" s="4"/>
      <c r="AAY383" s="4"/>
      <c r="AAZ383" s="4"/>
      <c r="ABA383" s="4"/>
      <c r="ABB383" s="5"/>
      <c r="ABC383" s="6"/>
      <c r="ABD383" s="4"/>
      <c r="ABE383" s="4"/>
      <c r="ABF383" s="4"/>
      <c r="ABG383" s="4"/>
      <c r="ABH383" s="4"/>
      <c r="ABI383" s="5"/>
      <c r="ABJ383" s="6"/>
      <c r="ABK383" s="4"/>
      <c r="ABL383" s="4"/>
      <c r="ABM383" s="4"/>
      <c r="ABN383" s="4"/>
      <c r="ABO383" s="4"/>
      <c r="ABP383" s="5"/>
      <c r="ABQ383" s="6"/>
      <c r="ABR383" s="4"/>
      <c r="ABS383" s="4"/>
      <c r="ABT383" s="4"/>
      <c r="ABU383" s="4"/>
      <c r="ABV383" s="4"/>
      <c r="ABW383" s="5"/>
      <c r="ABX383" s="6"/>
      <c r="ABY383" s="4"/>
      <c r="ABZ383" s="4"/>
      <c r="ACA383" s="4"/>
      <c r="ACB383" s="4"/>
      <c r="ACC383" s="4"/>
      <c r="ACD383" s="5"/>
      <c r="ACE383" s="6"/>
      <c r="ACF383" s="4"/>
      <c r="ACG383" s="4"/>
      <c r="ACH383" s="4"/>
      <c r="ACI383" s="4"/>
      <c r="ACJ383" s="4"/>
      <c r="ACK383" s="5"/>
      <c r="ACL383" s="6"/>
      <c r="ACM383" s="4"/>
      <c r="ACN383" s="4"/>
      <c r="ACO383" s="4"/>
      <c r="ACP383" s="4"/>
      <c r="ACQ383" s="4"/>
      <c r="ACR383" s="5"/>
      <c r="ACS383" s="6"/>
      <c r="ACT383" s="4"/>
      <c r="ACU383" s="4"/>
      <c r="ACV383" s="4"/>
      <c r="ACW383" s="4"/>
      <c r="ACX383" s="4"/>
      <c r="ACY383" s="5"/>
    </row>
    <row r="384" spans="2:805" x14ac:dyDescent="0.25">
      <c r="J384" s="12"/>
      <c r="K384" s="12"/>
      <c r="L384" s="12"/>
      <c r="LL384" s="6"/>
      <c r="LM384" s="4"/>
      <c r="LN384" s="4"/>
      <c r="LO384" s="4"/>
      <c r="LP384" s="4"/>
      <c r="LQ384" s="4"/>
      <c r="LR384" s="5"/>
      <c r="LS384" s="6"/>
      <c r="LT384" s="4"/>
      <c r="LU384" s="4"/>
      <c r="LV384" s="4"/>
      <c r="LW384" s="4"/>
      <c r="LX384" s="4"/>
      <c r="LY384" s="5"/>
      <c r="LZ384" s="11" t="s">
        <v>3817</v>
      </c>
      <c r="MA384" s="7" t="s">
        <v>3573</v>
      </c>
      <c r="MB384" s="7" t="s">
        <v>3752</v>
      </c>
      <c r="MC384" s="7" t="s">
        <v>3818</v>
      </c>
      <c r="MD384" s="8">
        <v>38397</v>
      </c>
      <c r="ME384" s="8">
        <v>38420</v>
      </c>
      <c r="MF384" s="8" t="s">
        <v>1323</v>
      </c>
      <c r="MG384" s="5" t="s">
        <v>1543</v>
      </c>
      <c r="MH384" s="6"/>
      <c r="MI384" s="4"/>
      <c r="MJ384" s="4"/>
      <c r="MK384" s="4"/>
      <c r="ML384" s="4"/>
      <c r="MM384" s="4"/>
      <c r="MN384" s="5"/>
      <c r="MO384" s="6"/>
      <c r="MP384" s="4"/>
      <c r="MQ384" s="4"/>
      <c r="MR384" s="4"/>
      <c r="MS384" s="4"/>
      <c r="MT384" s="4"/>
      <c r="MU384" s="5"/>
      <c r="MV384" s="6"/>
      <c r="MW384" s="4"/>
      <c r="MX384" s="4"/>
      <c r="MY384" s="4"/>
      <c r="MZ384" s="4"/>
      <c r="NA384" s="4"/>
      <c r="NB384" s="5"/>
      <c r="NC384" s="6"/>
      <c r="ND384" s="4"/>
      <c r="NE384" s="4"/>
      <c r="NF384" s="7"/>
      <c r="NG384" s="8"/>
      <c r="NH384" s="8"/>
      <c r="NI384" s="5"/>
      <c r="NJ384" s="6"/>
      <c r="NK384" s="4"/>
      <c r="NL384" s="4"/>
      <c r="NM384" s="4"/>
      <c r="NN384" s="4"/>
      <c r="NO384" s="4"/>
      <c r="NP384" s="5"/>
      <c r="NQ384" s="6"/>
      <c r="NR384" s="4"/>
      <c r="NS384" s="4"/>
      <c r="NT384" s="4"/>
      <c r="NU384" s="4"/>
      <c r="NV384" s="4"/>
      <c r="NW384" s="5"/>
      <c r="NX384" s="6"/>
      <c r="NY384" s="4"/>
      <c r="NZ384" s="4"/>
      <c r="OA384" s="7"/>
      <c r="OB384" s="8"/>
      <c r="OC384" s="8"/>
      <c r="OD384" s="5"/>
      <c r="OE384" s="6"/>
      <c r="OF384" s="4"/>
      <c r="OG384" s="4"/>
      <c r="OH384" s="4"/>
      <c r="OI384" s="4"/>
      <c r="OJ384" s="4"/>
      <c r="OK384" s="5"/>
      <c r="OL384" s="6"/>
      <c r="OM384" s="4"/>
      <c r="ON384" s="4"/>
      <c r="OO384" s="4"/>
      <c r="OP384" s="4"/>
      <c r="OQ384" s="4"/>
      <c r="OR384" s="5"/>
      <c r="OS384" s="6"/>
      <c r="OT384" s="4"/>
      <c r="OU384" s="4"/>
      <c r="OV384" s="4"/>
      <c r="OW384" s="4"/>
      <c r="OX384" s="4"/>
      <c r="OY384" s="5"/>
      <c r="PB384" s="4"/>
      <c r="PC384" s="4"/>
      <c r="PD384" s="4"/>
      <c r="PE384" s="4"/>
      <c r="PF384" s="5"/>
      <c r="PG384" s="6"/>
      <c r="PH384" s="4"/>
      <c r="PI384" s="4"/>
      <c r="PJ384" s="4"/>
      <c r="PK384" s="4"/>
      <c r="PL384" s="4"/>
      <c r="PM384" s="5"/>
      <c r="PN384" s="6"/>
      <c r="PO384" s="4"/>
      <c r="PP384" s="4"/>
      <c r="PQ384" s="4"/>
      <c r="PR384" s="4"/>
      <c r="PS384" s="4"/>
      <c r="PT384" s="5"/>
      <c r="PU384" s="6"/>
      <c r="PV384" s="4"/>
      <c r="PW384" s="4"/>
      <c r="PX384" s="4"/>
      <c r="PY384" s="4"/>
      <c r="PZ384" s="4"/>
      <c r="QA384" s="5"/>
      <c r="QB384" s="6"/>
      <c r="QC384" s="4"/>
      <c r="QD384" s="4"/>
      <c r="QE384" s="4"/>
      <c r="QF384" s="4"/>
      <c r="QG384" s="4"/>
      <c r="QH384" s="5"/>
      <c r="QI384" s="6"/>
      <c r="QJ384" s="4"/>
      <c r="QK384" s="4"/>
      <c r="QL384" s="4"/>
      <c r="QM384" s="4"/>
      <c r="QN384" s="4"/>
      <c r="QO384" s="5"/>
      <c r="QP384" s="6"/>
      <c r="QQ384" s="4"/>
      <c r="QR384" s="4"/>
      <c r="QS384" s="4"/>
      <c r="QT384" s="4"/>
      <c r="QU384" s="4"/>
      <c r="QV384" s="5"/>
      <c r="QW384" s="6"/>
      <c r="QX384" s="4"/>
      <c r="QY384" s="4"/>
      <c r="QZ384" s="4"/>
      <c r="RA384" s="4"/>
      <c r="RB384" s="4"/>
      <c r="RC384" s="5"/>
      <c r="RD384" s="6"/>
      <c r="RE384" s="4"/>
      <c r="RF384" s="4"/>
      <c r="RG384" s="4"/>
      <c r="RH384" s="4"/>
      <c r="RI384" s="4"/>
      <c r="RJ384" s="5"/>
      <c r="RK384" s="6"/>
      <c r="RL384" s="4"/>
      <c r="RM384" s="4"/>
      <c r="RN384" s="4"/>
      <c r="RO384" s="4"/>
      <c r="RP384" s="4"/>
      <c r="RQ384" s="5"/>
      <c r="RR384" s="6"/>
      <c r="RS384" s="4"/>
      <c r="RT384" s="4"/>
      <c r="RU384" s="4"/>
      <c r="RV384" s="4"/>
      <c r="RW384" s="4"/>
      <c r="RX384" s="5"/>
      <c r="RY384" s="6"/>
      <c r="RZ384" s="4"/>
      <c r="SA384" s="4"/>
      <c r="SB384" s="4"/>
      <c r="SC384" s="4"/>
      <c r="SD384" s="4"/>
      <c r="SE384" s="5"/>
      <c r="SF384" s="6"/>
      <c r="SG384" s="4"/>
      <c r="SH384" s="4"/>
      <c r="SI384" s="4"/>
      <c r="SJ384" s="4"/>
      <c r="SK384" s="4"/>
      <c r="SL384" s="5"/>
      <c r="SM384" s="6"/>
      <c r="SN384" s="4"/>
      <c r="SO384" s="4"/>
      <c r="SP384" s="4"/>
      <c r="SQ384" s="4"/>
      <c r="SR384" s="4"/>
      <c r="SS384" s="5"/>
      <c r="ST384" s="6"/>
      <c r="SU384" s="4"/>
      <c r="SV384" s="4"/>
      <c r="SW384" s="4"/>
      <c r="SX384" s="4"/>
      <c r="SY384" s="4"/>
      <c r="SZ384" s="5"/>
      <c r="TA384" s="6"/>
      <c r="TB384" s="4"/>
      <c r="TC384" s="4"/>
      <c r="TD384" s="4"/>
      <c r="TE384" s="4"/>
      <c r="TF384" s="4"/>
      <c r="TG384" s="5"/>
      <c r="TH384" s="6"/>
      <c r="TI384" s="4"/>
      <c r="TJ384" s="4"/>
      <c r="TK384" s="4"/>
      <c r="TL384" s="4"/>
      <c r="TM384" s="4"/>
      <c r="TN384" s="5"/>
      <c r="TO384" s="6"/>
      <c r="TP384" s="4"/>
      <c r="TQ384" s="4"/>
      <c r="TR384" s="4"/>
      <c r="TS384" s="4"/>
      <c r="TT384" s="4"/>
      <c r="TU384" s="5"/>
      <c r="TV384" s="6"/>
      <c r="TW384" s="4"/>
      <c r="TX384" s="4"/>
      <c r="TY384" s="4"/>
      <c r="TZ384" s="4"/>
      <c r="UA384" s="4"/>
      <c r="UB384" s="5"/>
      <c r="UC384" s="6"/>
      <c r="UD384" s="4"/>
      <c r="UE384" s="4"/>
      <c r="UF384" s="4"/>
      <c r="UG384" s="4"/>
      <c r="UH384" s="4"/>
      <c r="UI384" s="5"/>
      <c r="UJ384" s="6"/>
      <c r="UK384" s="4"/>
      <c r="UL384" s="4"/>
      <c r="UM384" s="4"/>
      <c r="UN384" s="4"/>
      <c r="UO384" s="4"/>
      <c r="UP384" s="5"/>
      <c r="UQ384" s="6"/>
      <c r="UR384" s="4"/>
      <c r="US384" s="4"/>
      <c r="UT384" s="4"/>
      <c r="UU384" s="4"/>
      <c r="UV384" s="4"/>
      <c r="UW384" s="5"/>
      <c r="UX384" s="6"/>
      <c r="UY384" s="4"/>
      <c r="UZ384" s="4"/>
      <c r="VA384" s="4"/>
      <c r="VB384" s="4"/>
      <c r="VC384" s="4"/>
      <c r="VD384" s="5"/>
      <c r="VE384" s="6"/>
      <c r="VF384" s="4"/>
      <c r="VG384" s="4"/>
      <c r="VH384" s="4"/>
      <c r="VI384" s="4"/>
      <c r="VJ384" s="4"/>
      <c r="VK384" s="5"/>
      <c r="VL384" s="6"/>
      <c r="VM384" s="4"/>
      <c r="VN384" s="4"/>
      <c r="VO384" s="4"/>
      <c r="VP384" s="4"/>
      <c r="VQ384" s="4"/>
      <c r="VR384" s="5"/>
      <c r="VS384" s="6"/>
      <c r="VT384" s="4"/>
      <c r="VU384" s="4"/>
      <c r="VV384" s="4"/>
      <c r="VW384" s="4"/>
      <c r="VX384" s="4"/>
      <c r="VY384" s="5"/>
      <c r="VZ384" s="6"/>
      <c r="WA384" s="4"/>
      <c r="WB384" s="4"/>
      <c r="WC384" s="4"/>
      <c r="WD384" s="4"/>
      <c r="WE384" s="4"/>
      <c r="WF384" s="5"/>
      <c r="WG384" s="6"/>
      <c r="WH384" s="4"/>
      <c r="WI384" s="4"/>
      <c r="WJ384" s="4"/>
      <c r="WK384" s="4"/>
      <c r="WL384" s="4"/>
      <c r="WM384" s="5"/>
      <c r="WN384" s="6"/>
      <c r="WO384" s="4"/>
      <c r="WP384" s="4"/>
      <c r="WQ384" s="4"/>
      <c r="WR384" s="4"/>
      <c r="WS384" s="4"/>
      <c r="WT384" s="5"/>
      <c r="WU384" s="6"/>
      <c r="WV384" s="4"/>
      <c r="WW384" s="4"/>
      <c r="WX384" s="4"/>
      <c r="WY384" s="4"/>
      <c r="WZ384" s="4"/>
      <c r="XA384" s="5"/>
      <c r="XB384" s="6"/>
      <c r="XC384" s="4"/>
      <c r="XD384" s="4"/>
      <c r="XE384" s="4"/>
      <c r="XF384" s="4"/>
      <c r="XG384" s="4"/>
      <c r="XH384" s="5"/>
      <c r="XI384" s="6"/>
      <c r="XJ384" s="4"/>
      <c r="XK384" s="4"/>
      <c r="XL384" s="4"/>
      <c r="XM384" s="4"/>
      <c r="XN384" s="4"/>
      <c r="XO384" s="5"/>
      <c r="XP384" s="6"/>
      <c r="XQ384" s="4"/>
      <c r="XR384" s="4"/>
      <c r="XS384" s="4"/>
      <c r="XT384" s="4"/>
      <c r="XU384" s="4"/>
      <c r="XV384" s="5"/>
      <c r="XW384" s="6"/>
      <c r="XX384" s="4"/>
      <c r="XY384" s="4"/>
      <c r="XZ384" s="4"/>
      <c r="YA384" s="4"/>
      <c r="YB384" s="4"/>
      <c r="YC384" s="5"/>
      <c r="YD384" s="6"/>
      <c r="YE384" s="4"/>
      <c r="YF384" s="4"/>
      <c r="YG384" s="4"/>
      <c r="YH384" s="4"/>
      <c r="YI384" s="4"/>
      <c r="YJ384" s="5"/>
      <c r="YK384" s="6" t="s">
        <v>3505</v>
      </c>
      <c r="YL384" s="7" t="s">
        <v>3506</v>
      </c>
      <c r="YM384" s="7" t="s">
        <v>3507</v>
      </c>
      <c r="YN384" s="7"/>
      <c r="YO384" s="8">
        <v>38429</v>
      </c>
      <c r="YP384" s="8"/>
      <c r="YQ384" s="5"/>
      <c r="YR384" s="6"/>
      <c r="YS384" s="4"/>
      <c r="YT384" s="4"/>
      <c r="YU384" s="4"/>
      <c r="YV384" s="4"/>
      <c r="YW384" s="4"/>
      <c r="YX384" s="5"/>
      <c r="YY384" s="6"/>
      <c r="YZ384" s="4"/>
      <c r="ZA384" s="4"/>
      <c r="ZB384" s="4"/>
      <c r="ZC384" s="4"/>
      <c r="ZD384" s="4"/>
      <c r="ZE384" s="5"/>
      <c r="ZF384" s="6"/>
      <c r="ZG384" s="4"/>
      <c r="ZH384" s="4"/>
      <c r="ZI384" s="4"/>
      <c r="ZJ384" s="4"/>
      <c r="ZK384" s="4"/>
      <c r="ZL384" s="5"/>
      <c r="ZM384" s="6"/>
      <c r="ZN384" s="4"/>
      <c r="ZO384" s="4"/>
      <c r="ZP384" s="4"/>
      <c r="ZQ384" s="4"/>
      <c r="ZR384" s="4"/>
      <c r="ZS384" s="5"/>
      <c r="ZT384" s="6"/>
      <c r="ZU384" s="4"/>
      <c r="ZV384" s="4"/>
      <c r="ZW384" s="4"/>
      <c r="ZX384" s="4"/>
      <c r="ZY384" s="4"/>
      <c r="ZZ384" s="5"/>
      <c r="AAA384" s="6"/>
      <c r="AAB384" s="4"/>
      <c r="AAC384" s="4"/>
      <c r="AAD384" s="4"/>
      <c r="AAE384" s="4"/>
      <c r="AAF384" s="4"/>
      <c r="AAG384" s="5"/>
      <c r="AAH384" s="6"/>
      <c r="AAI384" s="4"/>
      <c r="AAJ384" s="4"/>
      <c r="AAK384" s="4"/>
      <c r="AAL384" s="4"/>
      <c r="AAM384" s="4"/>
      <c r="AAN384" s="5"/>
      <c r="AAO384" s="6"/>
      <c r="AAP384" s="4"/>
      <c r="AAQ384" s="4"/>
      <c r="AAR384" s="4"/>
      <c r="AAS384" s="4"/>
      <c r="AAT384" s="4"/>
      <c r="AAU384" s="5"/>
      <c r="AAV384" s="6"/>
      <c r="AAW384" s="4"/>
      <c r="AAX384" s="4"/>
      <c r="AAY384" s="4"/>
      <c r="AAZ384" s="4"/>
      <c r="ABA384" s="4"/>
      <c r="ABB384" s="5"/>
      <c r="ABC384" s="6"/>
      <c r="ABD384" s="4"/>
      <c r="ABE384" s="4"/>
      <c r="ABF384" s="4"/>
      <c r="ABG384" s="4"/>
      <c r="ABH384" s="4"/>
      <c r="ABI384" s="5"/>
      <c r="ABJ384" s="6"/>
      <c r="ABK384" s="4"/>
      <c r="ABL384" s="4"/>
      <c r="ABM384" s="4"/>
      <c r="ABN384" s="4"/>
      <c r="ABO384" s="4"/>
      <c r="ABP384" s="5"/>
      <c r="ABQ384" s="6"/>
      <c r="ABR384" s="4"/>
      <c r="ABS384" s="4"/>
      <c r="ABT384" s="4"/>
      <c r="ABU384" s="4"/>
      <c r="ABV384" s="4"/>
      <c r="ABW384" s="5"/>
      <c r="ABX384" s="6"/>
      <c r="ABY384" s="4"/>
      <c r="ABZ384" s="4"/>
      <c r="ACA384" s="4"/>
      <c r="ACB384" s="4"/>
      <c r="ACC384" s="4"/>
      <c r="ACD384" s="5"/>
      <c r="ACE384" s="6"/>
      <c r="ACF384" s="4"/>
      <c r="ACG384" s="4"/>
      <c r="ACH384" s="4"/>
      <c r="ACI384" s="4"/>
      <c r="ACJ384" s="4"/>
      <c r="ACK384" s="5"/>
      <c r="ACL384" s="6"/>
      <c r="ACM384" s="4"/>
      <c r="ACN384" s="4"/>
      <c r="ACO384" s="4"/>
      <c r="ACP384" s="4"/>
      <c r="ACQ384" s="4"/>
      <c r="ACR384" s="5"/>
      <c r="ACS384" s="6"/>
      <c r="ACT384" s="4"/>
      <c r="ACU384" s="4"/>
      <c r="ACV384" s="4"/>
      <c r="ACW384" s="4"/>
      <c r="ACX384" s="4"/>
      <c r="ACY384" s="5"/>
    </row>
    <row r="385" spans="2:805" x14ac:dyDescent="0.25">
      <c r="J385" s="12"/>
      <c r="K385" s="12"/>
      <c r="L385" s="12"/>
      <c r="LL385" s="6"/>
      <c r="LM385" s="4"/>
      <c r="LN385" s="4"/>
      <c r="LO385" s="4"/>
      <c r="LP385" s="4"/>
      <c r="LQ385" s="4"/>
      <c r="LR385" s="5"/>
      <c r="LS385" s="6"/>
      <c r="LT385" s="4"/>
      <c r="LU385" s="4"/>
      <c r="LV385" s="4"/>
      <c r="LW385" s="4"/>
      <c r="LX385" s="4"/>
      <c r="LY385" s="5"/>
      <c r="LZ385" s="11"/>
      <c r="MA385" s="7"/>
      <c r="MB385" s="7"/>
      <c r="MC385" s="4"/>
      <c r="MD385" s="8"/>
      <c r="ME385" s="8"/>
      <c r="MF385" s="8"/>
      <c r="MG385" s="5"/>
      <c r="MH385" s="6"/>
      <c r="MI385" s="4"/>
      <c r="MJ385" s="4"/>
      <c r="MK385" s="4"/>
      <c r="ML385" s="4"/>
      <c r="MM385" s="4"/>
      <c r="MN385" s="5"/>
      <c r="MO385" s="6"/>
      <c r="MP385" s="4"/>
      <c r="MQ385" s="4"/>
      <c r="MR385" s="4"/>
      <c r="MS385" s="4"/>
      <c r="MT385" s="4"/>
      <c r="MU385" s="5"/>
      <c r="MV385" s="6"/>
      <c r="MW385" s="4"/>
      <c r="MX385" s="4"/>
      <c r="MY385" s="4"/>
      <c r="MZ385" s="4"/>
      <c r="NA385" s="4"/>
      <c r="NB385" s="5"/>
      <c r="NC385" s="6"/>
      <c r="ND385" s="4"/>
      <c r="NE385" s="4"/>
      <c r="NF385" s="7"/>
      <c r="NG385" s="8"/>
      <c r="NH385" s="8"/>
      <c r="NI385" s="5"/>
      <c r="NJ385" s="6"/>
      <c r="NK385" s="4"/>
      <c r="NL385" s="4"/>
      <c r="NM385" s="4"/>
      <c r="NN385" s="4"/>
      <c r="NO385" s="4"/>
      <c r="NP385" s="5"/>
      <c r="NQ385" s="6"/>
      <c r="NR385" s="4"/>
      <c r="NS385" s="4"/>
      <c r="NT385" s="4"/>
      <c r="NU385" s="4"/>
      <c r="NV385" s="4"/>
      <c r="NW385" s="5"/>
      <c r="NX385" s="6"/>
      <c r="NY385" s="4"/>
      <c r="NZ385" s="4"/>
      <c r="OA385" s="7"/>
      <c r="OB385" s="8"/>
      <c r="OC385" s="8"/>
      <c r="OD385" s="5"/>
      <c r="OE385" s="6"/>
      <c r="OF385" s="4"/>
      <c r="OG385" s="4"/>
      <c r="OH385" s="4"/>
      <c r="OI385" s="4"/>
      <c r="OJ385" s="4"/>
      <c r="OK385" s="5"/>
      <c r="OL385" s="6"/>
      <c r="OM385" s="4"/>
      <c r="ON385" s="4"/>
      <c r="OO385" s="4"/>
      <c r="OP385" s="4"/>
      <c r="OQ385" s="4"/>
      <c r="OR385" s="5"/>
      <c r="OS385" s="6"/>
      <c r="OT385" s="4"/>
      <c r="OU385" s="4"/>
      <c r="OV385" s="4"/>
      <c r="OW385" s="4"/>
      <c r="OX385" s="4"/>
      <c r="OY385" s="5"/>
      <c r="PB385" s="4"/>
      <c r="PC385" s="4"/>
      <c r="PD385" s="4"/>
      <c r="PE385" s="4"/>
      <c r="PF385" s="5"/>
      <c r="PG385" s="6"/>
      <c r="PH385" s="4"/>
      <c r="PI385" s="4"/>
      <c r="PJ385" s="4"/>
      <c r="PK385" s="4"/>
      <c r="PL385" s="4"/>
      <c r="PM385" s="5"/>
      <c r="PN385" s="6"/>
      <c r="PO385" s="4"/>
      <c r="PP385" s="4"/>
      <c r="PQ385" s="4"/>
      <c r="PR385" s="4"/>
      <c r="PS385" s="4"/>
      <c r="PT385" s="5"/>
      <c r="PU385" s="6"/>
      <c r="PV385" s="4"/>
      <c r="PW385" s="4"/>
      <c r="PX385" s="4"/>
      <c r="PY385" s="4"/>
      <c r="PZ385" s="4"/>
      <c r="QA385" s="5"/>
      <c r="QB385" s="6"/>
      <c r="QC385" s="4"/>
      <c r="QD385" s="4"/>
      <c r="QE385" s="4"/>
      <c r="QF385" s="4"/>
      <c r="QG385" s="4"/>
      <c r="QH385" s="5"/>
      <c r="QI385" s="6"/>
      <c r="QJ385" s="4"/>
      <c r="QK385" s="4"/>
      <c r="QL385" s="4"/>
      <c r="QM385" s="4"/>
      <c r="QN385" s="4"/>
      <c r="QO385" s="5"/>
      <c r="QP385" s="6"/>
      <c r="QQ385" s="4"/>
      <c r="QR385" s="4"/>
      <c r="QS385" s="4"/>
      <c r="QT385" s="4"/>
      <c r="QU385" s="4"/>
      <c r="QV385" s="5"/>
      <c r="QW385" s="6"/>
      <c r="QX385" s="4"/>
      <c r="QY385" s="4"/>
      <c r="QZ385" s="4"/>
      <c r="RA385" s="4"/>
      <c r="RB385" s="4"/>
      <c r="RC385" s="5"/>
      <c r="RD385" s="6"/>
      <c r="RE385" s="4"/>
      <c r="RF385" s="4"/>
      <c r="RG385" s="4"/>
      <c r="RH385" s="4"/>
      <c r="RI385" s="4"/>
      <c r="RJ385" s="5"/>
      <c r="RK385" s="6"/>
      <c r="RL385" s="4"/>
      <c r="RM385" s="4"/>
      <c r="RN385" s="4"/>
      <c r="RO385" s="4"/>
      <c r="RP385" s="4"/>
      <c r="RQ385" s="5"/>
      <c r="RR385" s="6"/>
      <c r="RS385" s="4"/>
      <c r="RT385" s="4"/>
      <c r="RU385" s="4"/>
      <c r="RV385" s="4"/>
      <c r="RW385" s="4"/>
      <c r="RX385" s="5"/>
      <c r="RY385" s="6"/>
      <c r="RZ385" s="4"/>
      <c r="SA385" s="4"/>
      <c r="SB385" s="4"/>
      <c r="SC385" s="4"/>
      <c r="SD385" s="4"/>
      <c r="SE385" s="5"/>
      <c r="SF385" s="6"/>
      <c r="SG385" s="4"/>
      <c r="SH385" s="4"/>
      <c r="SI385" s="4"/>
      <c r="SJ385" s="4"/>
      <c r="SK385" s="4"/>
      <c r="SL385" s="5"/>
      <c r="SM385" s="6"/>
      <c r="SN385" s="4"/>
      <c r="SO385" s="4"/>
      <c r="SP385" s="4"/>
      <c r="SQ385" s="4"/>
      <c r="SR385" s="4"/>
      <c r="SS385" s="5"/>
      <c r="ST385" s="6"/>
      <c r="SU385" s="4"/>
      <c r="SV385" s="4"/>
      <c r="SW385" s="4"/>
      <c r="SX385" s="4"/>
      <c r="SY385" s="4"/>
      <c r="SZ385" s="5"/>
      <c r="TA385" s="6"/>
      <c r="TB385" s="4"/>
      <c r="TC385" s="4"/>
      <c r="TD385" s="4"/>
      <c r="TE385" s="4"/>
      <c r="TF385" s="4"/>
      <c r="TG385" s="5"/>
      <c r="TH385" s="6"/>
      <c r="TI385" s="4"/>
      <c r="TJ385" s="4"/>
      <c r="TK385" s="4"/>
      <c r="TL385" s="4"/>
      <c r="TM385" s="4"/>
      <c r="TN385" s="5"/>
      <c r="TO385" s="6"/>
      <c r="TP385" s="4"/>
      <c r="TQ385" s="4"/>
      <c r="TR385" s="4"/>
      <c r="TS385" s="4"/>
      <c r="TT385" s="4"/>
      <c r="TU385" s="5"/>
      <c r="TV385" s="6"/>
      <c r="TW385" s="4"/>
      <c r="TX385" s="4"/>
      <c r="TY385" s="4"/>
      <c r="TZ385" s="4"/>
      <c r="UA385" s="4"/>
      <c r="UB385" s="5"/>
      <c r="UC385" s="6"/>
      <c r="UD385" s="4"/>
      <c r="UE385" s="4"/>
      <c r="UF385" s="4"/>
      <c r="UG385" s="4"/>
      <c r="UH385" s="4"/>
      <c r="UI385" s="5"/>
      <c r="UJ385" s="6"/>
      <c r="UK385" s="4"/>
      <c r="UL385" s="4"/>
      <c r="UM385" s="4"/>
      <c r="UN385" s="4"/>
      <c r="UO385" s="4"/>
      <c r="UP385" s="5"/>
      <c r="UQ385" s="6"/>
      <c r="UR385" s="4"/>
      <c r="US385" s="4"/>
      <c r="UT385" s="4"/>
      <c r="UU385" s="4"/>
      <c r="UV385" s="4"/>
      <c r="UW385" s="5"/>
      <c r="UX385" s="6"/>
      <c r="UY385" s="4"/>
      <c r="UZ385" s="4"/>
      <c r="VA385" s="4"/>
      <c r="VB385" s="4"/>
      <c r="VC385" s="4"/>
      <c r="VD385" s="5"/>
      <c r="VE385" s="6"/>
      <c r="VF385" s="4"/>
      <c r="VG385" s="4"/>
      <c r="VH385" s="4"/>
      <c r="VI385" s="4"/>
      <c r="VJ385" s="4"/>
      <c r="VK385" s="5"/>
      <c r="VL385" s="6"/>
      <c r="VM385" s="4"/>
      <c r="VN385" s="4"/>
      <c r="VO385" s="4"/>
      <c r="VP385" s="4"/>
      <c r="VQ385" s="4"/>
      <c r="VR385" s="5"/>
      <c r="VS385" s="6"/>
      <c r="VT385" s="4"/>
      <c r="VU385" s="4"/>
      <c r="VV385" s="4"/>
      <c r="VW385" s="4"/>
      <c r="VX385" s="4"/>
      <c r="VY385" s="5"/>
      <c r="VZ385" s="6"/>
      <c r="WA385" s="4"/>
      <c r="WB385" s="4"/>
      <c r="WC385" s="4"/>
      <c r="WD385" s="4"/>
      <c r="WE385" s="4"/>
      <c r="WF385" s="5"/>
      <c r="WG385" s="6"/>
      <c r="WH385" s="4"/>
      <c r="WI385" s="4"/>
      <c r="WJ385" s="4"/>
      <c r="WK385" s="4"/>
      <c r="WL385" s="4"/>
      <c r="WM385" s="5"/>
      <c r="WN385" s="6"/>
      <c r="WO385" s="4"/>
      <c r="WP385" s="4"/>
      <c r="WQ385" s="4"/>
      <c r="WR385" s="4"/>
      <c r="WS385" s="4"/>
      <c r="WT385" s="5"/>
      <c r="WU385" s="6"/>
      <c r="WV385" s="4"/>
      <c r="WW385" s="4"/>
      <c r="WX385" s="4"/>
      <c r="WY385" s="4"/>
      <c r="WZ385" s="4"/>
      <c r="XA385" s="5"/>
      <c r="XB385" s="6"/>
      <c r="XC385" s="4"/>
      <c r="XD385" s="4"/>
      <c r="XE385" s="4"/>
      <c r="XF385" s="4"/>
      <c r="XG385" s="4"/>
      <c r="XH385" s="5"/>
      <c r="XI385" s="6"/>
      <c r="XJ385" s="4"/>
      <c r="XK385" s="4"/>
      <c r="XL385" s="4"/>
      <c r="XM385" s="4"/>
      <c r="XN385" s="4"/>
      <c r="XO385" s="5"/>
      <c r="XP385" s="6"/>
      <c r="XQ385" s="4"/>
      <c r="XR385" s="4"/>
      <c r="XS385" s="4"/>
      <c r="XT385" s="4"/>
      <c r="XU385" s="4"/>
      <c r="XV385" s="5"/>
      <c r="XW385" s="6"/>
      <c r="XX385" s="4"/>
      <c r="XY385" s="4"/>
      <c r="XZ385" s="4"/>
      <c r="YA385" s="4"/>
      <c r="YB385" s="4"/>
      <c r="YC385" s="5"/>
      <c r="YD385" s="6"/>
      <c r="YE385" s="4"/>
      <c r="YF385" s="4"/>
      <c r="YG385" s="4"/>
      <c r="YH385" s="4"/>
      <c r="YI385" s="4"/>
      <c r="YJ385" s="5"/>
      <c r="YK385" s="6" t="s">
        <v>2881</v>
      </c>
      <c r="YL385" s="7" t="s">
        <v>2882</v>
      </c>
      <c r="YM385" s="7"/>
      <c r="YN385" s="7" t="s">
        <v>3380</v>
      </c>
      <c r="YO385" s="8">
        <v>38418</v>
      </c>
      <c r="YP385" s="8">
        <v>38418</v>
      </c>
      <c r="YQ385" s="5" t="s">
        <v>1062</v>
      </c>
      <c r="YR385" s="6"/>
      <c r="YS385" s="4"/>
      <c r="YT385" s="4"/>
      <c r="YU385" s="4"/>
      <c r="YV385" s="4"/>
      <c r="YW385" s="4"/>
      <c r="YX385" s="5"/>
      <c r="YY385" s="6"/>
      <c r="YZ385" s="4"/>
      <c r="ZA385" s="4"/>
      <c r="ZB385" s="4"/>
      <c r="ZC385" s="4"/>
      <c r="ZD385" s="4"/>
      <c r="ZE385" s="5"/>
      <c r="ZF385" s="6"/>
      <c r="ZG385" s="4"/>
      <c r="ZH385" s="4"/>
      <c r="ZI385" s="4"/>
      <c r="ZJ385" s="4"/>
      <c r="ZK385" s="4"/>
      <c r="ZL385" s="5"/>
      <c r="ZM385" s="6"/>
      <c r="ZN385" s="4"/>
      <c r="ZO385" s="4"/>
      <c r="ZP385" s="4"/>
      <c r="ZQ385" s="4"/>
      <c r="ZR385" s="4"/>
      <c r="ZS385" s="5"/>
      <c r="ZT385" s="6"/>
      <c r="ZU385" s="4"/>
      <c r="ZV385" s="4"/>
      <c r="ZW385" s="4"/>
      <c r="ZX385" s="4"/>
      <c r="ZY385" s="4"/>
      <c r="ZZ385" s="5"/>
      <c r="AAA385" s="6"/>
      <c r="AAB385" s="4"/>
      <c r="AAC385" s="4"/>
      <c r="AAD385" s="4"/>
      <c r="AAE385" s="4"/>
      <c r="AAF385" s="4"/>
      <c r="AAG385" s="5"/>
      <c r="AAH385" s="6"/>
      <c r="AAI385" s="4"/>
      <c r="AAJ385" s="4"/>
      <c r="AAK385" s="4"/>
      <c r="AAL385" s="4"/>
      <c r="AAM385" s="4"/>
      <c r="AAN385" s="5"/>
      <c r="AAO385" s="6"/>
      <c r="AAP385" s="4"/>
      <c r="AAQ385" s="4"/>
      <c r="AAR385" s="4"/>
      <c r="AAS385" s="4"/>
      <c r="AAT385" s="4"/>
      <c r="AAU385" s="5"/>
      <c r="AAV385" s="6"/>
      <c r="AAW385" s="4"/>
      <c r="AAX385" s="4"/>
      <c r="AAY385" s="4"/>
      <c r="AAZ385" s="4"/>
      <c r="ABA385" s="4"/>
      <c r="ABB385" s="5"/>
      <c r="ABC385" s="6"/>
      <c r="ABD385" s="4"/>
      <c r="ABE385" s="4"/>
      <c r="ABF385" s="4"/>
      <c r="ABG385" s="4"/>
      <c r="ABH385" s="4"/>
      <c r="ABI385" s="5"/>
      <c r="ABJ385" s="6"/>
      <c r="ABK385" s="4"/>
      <c r="ABL385" s="4"/>
      <c r="ABM385" s="4"/>
      <c r="ABN385" s="4"/>
      <c r="ABO385" s="4"/>
      <c r="ABP385" s="5"/>
      <c r="ABQ385" s="6"/>
      <c r="ABR385" s="4"/>
      <c r="ABS385" s="4"/>
      <c r="ABT385" s="4"/>
      <c r="ABU385" s="4"/>
      <c r="ABV385" s="4"/>
      <c r="ABW385" s="5"/>
      <c r="ABX385" s="6"/>
      <c r="ABY385" s="4"/>
      <c r="ABZ385" s="4"/>
      <c r="ACA385" s="4"/>
      <c r="ACB385" s="4"/>
      <c r="ACC385" s="4"/>
      <c r="ACD385" s="5"/>
      <c r="ACE385" s="6"/>
      <c r="ACF385" s="4"/>
      <c r="ACG385" s="4"/>
      <c r="ACH385" s="4"/>
      <c r="ACI385" s="4"/>
      <c r="ACJ385" s="4"/>
      <c r="ACK385" s="5"/>
      <c r="ACL385" s="6"/>
      <c r="ACM385" s="4"/>
      <c r="ACN385" s="4"/>
      <c r="ACO385" s="4"/>
      <c r="ACP385" s="4"/>
      <c r="ACQ385" s="4"/>
      <c r="ACR385" s="5"/>
      <c r="ACS385" s="6"/>
      <c r="ACT385" s="4"/>
      <c r="ACU385" s="4"/>
      <c r="ACV385" s="4"/>
      <c r="ACW385" s="4"/>
      <c r="ACX385" s="4"/>
      <c r="ACY385" s="5"/>
    </row>
    <row r="386" spans="2:805" x14ac:dyDescent="0.25">
      <c r="J386" s="12"/>
      <c r="K386" s="12"/>
      <c r="L386" s="12"/>
      <c r="LL386" s="6"/>
      <c r="LM386" s="4"/>
      <c r="LN386" s="4"/>
      <c r="LO386" s="4"/>
      <c r="LP386" s="4"/>
      <c r="LQ386" s="4"/>
      <c r="LR386" s="5"/>
      <c r="LS386" s="6"/>
      <c r="LT386" s="4"/>
      <c r="LU386" s="4"/>
      <c r="LV386" s="4"/>
      <c r="LW386" s="4"/>
      <c r="LX386" s="4"/>
      <c r="LY386" s="5"/>
      <c r="LZ386" s="11"/>
      <c r="MA386" s="7"/>
      <c r="MB386" s="7"/>
      <c r="MC386" s="4"/>
      <c r="MD386" s="8"/>
      <c r="ME386" s="8"/>
      <c r="MF386" s="8"/>
      <c r="MG386" s="5"/>
      <c r="MH386" s="6"/>
      <c r="MI386" s="4"/>
      <c r="MJ386" s="4"/>
      <c r="MK386" s="4"/>
      <c r="ML386" s="4"/>
      <c r="MM386" s="4"/>
      <c r="MN386" s="5"/>
      <c r="MO386" s="6"/>
      <c r="MP386" s="4"/>
      <c r="MQ386" s="4"/>
      <c r="MR386" s="4"/>
      <c r="MS386" s="4"/>
      <c r="MT386" s="4"/>
      <c r="MU386" s="5"/>
      <c r="MV386" s="6"/>
      <c r="MW386" s="4"/>
      <c r="MX386" s="4"/>
      <c r="MY386" s="4"/>
      <c r="MZ386" s="4"/>
      <c r="NA386" s="4"/>
      <c r="NB386" s="5"/>
      <c r="NC386" s="6"/>
      <c r="ND386" s="4"/>
      <c r="NE386" s="4"/>
      <c r="NF386" s="7"/>
      <c r="NG386" s="8"/>
      <c r="NH386" s="8"/>
      <c r="NI386" s="5"/>
      <c r="NJ386" s="6"/>
      <c r="NK386" s="4"/>
      <c r="NL386" s="4"/>
      <c r="NM386" s="4"/>
      <c r="NN386" s="4"/>
      <c r="NO386" s="4"/>
      <c r="NP386" s="5"/>
      <c r="NQ386" s="6"/>
      <c r="NR386" s="4"/>
      <c r="NS386" s="4"/>
      <c r="NT386" s="4"/>
      <c r="NU386" s="4"/>
      <c r="NV386" s="4"/>
      <c r="NW386" s="5"/>
      <c r="NX386" s="6"/>
      <c r="NY386" s="4"/>
      <c r="NZ386" s="4"/>
      <c r="OA386" s="7"/>
      <c r="OB386" s="8"/>
      <c r="OC386" s="8"/>
      <c r="OD386" s="5"/>
      <c r="OE386" s="6"/>
      <c r="OF386" s="4"/>
      <c r="OG386" s="4"/>
      <c r="OH386" s="4"/>
      <c r="OI386" s="4"/>
      <c r="OJ386" s="4"/>
      <c r="OK386" s="5"/>
      <c r="OL386" s="6"/>
      <c r="OM386" s="4"/>
      <c r="ON386" s="4"/>
      <c r="OO386" s="4"/>
      <c r="OP386" s="4"/>
      <c r="OQ386" s="4"/>
      <c r="OR386" s="5"/>
      <c r="OS386" s="6"/>
      <c r="OT386" s="4"/>
      <c r="OU386" s="4"/>
      <c r="OV386" s="4"/>
      <c r="OW386" s="4"/>
      <c r="OX386" s="4"/>
      <c r="OY386" s="5"/>
      <c r="PB386" s="4"/>
      <c r="PC386" s="4"/>
      <c r="PD386" s="4"/>
      <c r="PE386" s="4"/>
      <c r="PF386" s="5"/>
      <c r="PG386" s="6"/>
      <c r="PH386" s="4"/>
      <c r="PI386" s="4"/>
      <c r="PJ386" s="4"/>
      <c r="PK386" s="4"/>
      <c r="PL386" s="4"/>
      <c r="PM386" s="5"/>
      <c r="PN386" s="6"/>
      <c r="PO386" s="4"/>
      <c r="PP386" s="4"/>
      <c r="PQ386" s="4"/>
      <c r="PR386" s="4"/>
      <c r="PS386" s="4"/>
      <c r="PT386" s="5"/>
      <c r="PU386" s="6"/>
      <c r="PV386" s="4"/>
      <c r="PW386" s="4"/>
      <c r="PX386" s="4"/>
      <c r="PY386" s="4"/>
      <c r="PZ386" s="4"/>
      <c r="QA386" s="5"/>
      <c r="QB386" s="6"/>
      <c r="QC386" s="4"/>
      <c r="QD386" s="4"/>
      <c r="QE386" s="4"/>
      <c r="QF386" s="4"/>
      <c r="QG386" s="4"/>
      <c r="QH386" s="5"/>
      <c r="QI386" s="6"/>
      <c r="QJ386" s="4"/>
      <c r="QK386" s="4"/>
      <c r="QL386" s="4"/>
      <c r="QM386" s="4"/>
      <c r="QN386" s="4"/>
      <c r="QO386" s="5"/>
      <c r="QP386" s="6"/>
      <c r="QQ386" s="4"/>
      <c r="QR386" s="4"/>
      <c r="QS386" s="4"/>
      <c r="QT386" s="4"/>
      <c r="QU386" s="4"/>
      <c r="QV386" s="5"/>
      <c r="QW386" s="6"/>
      <c r="QX386" s="4"/>
      <c r="QY386" s="4"/>
      <c r="QZ386" s="4"/>
      <c r="RA386" s="4"/>
      <c r="RB386" s="4"/>
      <c r="RC386" s="5"/>
      <c r="RD386" s="6"/>
      <c r="RE386" s="4"/>
      <c r="RF386" s="4"/>
      <c r="RG386" s="4"/>
      <c r="RH386" s="4"/>
      <c r="RI386" s="4"/>
      <c r="RJ386" s="5"/>
      <c r="RK386" s="6"/>
      <c r="RL386" s="4"/>
      <c r="RM386" s="4"/>
      <c r="RN386" s="4"/>
      <c r="RO386" s="4"/>
      <c r="RP386" s="4"/>
      <c r="RQ386" s="5"/>
      <c r="RR386" s="6"/>
      <c r="RS386" s="4"/>
      <c r="RT386" s="4"/>
      <c r="RU386" s="4"/>
      <c r="RV386" s="4"/>
      <c r="RW386" s="4"/>
      <c r="RX386" s="5"/>
      <c r="RY386" s="6"/>
      <c r="RZ386" s="4"/>
      <c r="SA386" s="4"/>
      <c r="SB386" s="4"/>
      <c r="SC386" s="4"/>
      <c r="SD386" s="4"/>
      <c r="SE386" s="5"/>
      <c r="SF386" s="6"/>
      <c r="SG386" s="4"/>
      <c r="SH386" s="4"/>
      <c r="SI386" s="4"/>
      <c r="SJ386" s="4"/>
      <c r="SK386" s="4"/>
      <c r="SL386" s="5"/>
      <c r="SM386" s="6"/>
      <c r="SN386" s="4"/>
      <c r="SO386" s="4"/>
      <c r="SP386" s="4"/>
      <c r="SQ386" s="4"/>
      <c r="SR386" s="4"/>
      <c r="SS386" s="5"/>
      <c r="ST386" s="6"/>
      <c r="SU386" s="4"/>
      <c r="SV386" s="4"/>
      <c r="SW386" s="4"/>
      <c r="SX386" s="4"/>
      <c r="SY386" s="4"/>
      <c r="SZ386" s="5"/>
      <c r="TA386" s="6"/>
      <c r="TB386" s="4"/>
      <c r="TC386" s="4"/>
      <c r="TD386" s="4"/>
      <c r="TE386" s="4"/>
      <c r="TF386" s="4"/>
      <c r="TG386" s="5"/>
      <c r="TH386" s="6"/>
      <c r="TI386" s="4"/>
      <c r="TJ386" s="4"/>
      <c r="TK386" s="4"/>
      <c r="TL386" s="4"/>
      <c r="TM386" s="4"/>
      <c r="TN386" s="5"/>
      <c r="TO386" s="6"/>
      <c r="TP386" s="4"/>
      <c r="TQ386" s="4"/>
      <c r="TR386" s="4"/>
      <c r="TS386" s="4"/>
      <c r="TT386" s="4"/>
      <c r="TU386" s="5"/>
      <c r="TV386" s="6"/>
      <c r="TW386" s="4"/>
      <c r="TX386" s="4"/>
      <c r="TY386" s="4"/>
      <c r="TZ386" s="4"/>
      <c r="UA386" s="4"/>
      <c r="UB386" s="5"/>
      <c r="UC386" s="6"/>
      <c r="UD386" s="4"/>
      <c r="UE386" s="4"/>
      <c r="UF386" s="4"/>
      <c r="UG386" s="4"/>
      <c r="UH386" s="4"/>
      <c r="UI386" s="5"/>
      <c r="UJ386" s="6"/>
      <c r="UK386" s="4"/>
      <c r="UL386" s="4"/>
      <c r="UM386" s="4"/>
      <c r="UN386" s="4"/>
      <c r="UO386" s="4"/>
      <c r="UP386" s="5"/>
      <c r="UQ386" s="6"/>
      <c r="UR386" s="4"/>
      <c r="US386" s="4"/>
      <c r="UT386" s="4"/>
      <c r="UU386" s="4"/>
      <c r="UV386" s="4"/>
      <c r="UW386" s="5"/>
      <c r="UX386" s="6"/>
      <c r="UY386" s="4"/>
      <c r="UZ386" s="4"/>
      <c r="VA386" s="4"/>
      <c r="VB386" s="4"/>
      <c r="VC386" s="4"/>
      <c r="VD386" s="5"/>
      <c r="VE386" s="6"/>
      <c r="VF386" s="4"/>
      <c r="VG386" s="4"/>
      <c r="VH386" s="4"/>
      <c r="VI386" s="4"/>
      <c r="VJ386" s="4"/>
      <c r="VK386" s="5"/>
      <c r="VL386" s="6"/>
      <c r="VM386" s="4"/>
      <c r="VN386" s="4"/>
      <c r="VO386" s="4"/>
      <c r="VP386" s="4"/>
      <c r="VQ386" s="4"/>
      <c r="VR386" s="5"/>
      <c r="VS386" s="6"/>
      <c r="VT386" s="4"/>
      <c r="VU386" s="4"/>
      <c r="VV386" s="4"/>
      <c r="VW386" s="4"/>
      <c r="VX386" s="4"/>
      <c r="VY386" s="5"/>
      <c r="VZ386" s="6"/>
      <c r="WA386" s="4"/>
      <c r="WB386" s="4"/>
      <c r="WC386" s="4"/>
      <c r="WD386" s="4"/>
      <c r="WE386" s="4"/>
      <c r="WF386" s="5"/>
      <c r="WG386" s="6"/>
      <c r="WH386" s="4"/>
      <c r="WI386" s="4"/>
      <c r="WJ386" s="4"/>
      <c r="WK386" s="4"/>
      <c r="WL386" s="4"/>
      <c r="WM386" s="5"/>
      <c r="WN386" s="6"/>
      <c r="WO386" s="4"/>
      <c r="WP386" s="4"/>
      <c r="WQ386" s="4"/>
      <c r="WR386" s="4"/>
      <c r="WS386" s="4"/>
      <c r="WT386" s="5"/>
      <c r="WU386" s="6"/>
      <c r="WV386" s="4"/>
      <c r="WW386" s="4"/>
      <c r="WX386" s="4"/>
      <c r="WY386" s="4"/>
      <c r="WZ386" s="4"/>
      <c r="XA386" s="5"/>
      <c r="XB386" s="6"/>
      <c r="XC386" s="4"/>
      <c r="XD386" s="4"/>
      <c r="XE386" s="4"/>
      <c r="XF386" s="4"/>
      <c r="XG386" s="4"/>
      <c r="XH386" s="5"/>
      <c r="XI386" s="6"/>
      <c r="XJ386" s="4"/>
      <c r="XK386" s="4"/>
      <c r="XL386" s="4"/>
      <c r="XM386" s="4"/>
      <c r="XN386" s="4"/>
      <c r="XO386" s="5"/>
      <c r="XP386" s="6"/>
      <c r="XQ386" s="4"/>
      <c r="XR386" s="4"/>
      <c r="XS386" s="4"/>
      <c r="XT386" s="4"/>
      <c r="XU386" s="4"/>
      <c r="XV386" s="5"/>
      <c r="XW386" s="6"/>
      <c r="XX386" s="4"/>
      <c r="XY386" s="4"/>
      <c r="XZ386" s="4"/>
      <c r="YA386" s="4"/>
      <c r="YB386" s="4"/>
      <c r="YC386" s="5"/>
      <c r="YD386" s="6"/>
      <c r="YE386" s="4"/>
      <c r="YF386" s="4"/>
      <c r="YG386" s="4"/>
      <c r="YH386" s="4"/>
      <c r="YI386" s="4"/>
      <c r="YJ386" s="5"/>
      <c r="YK386" s="15" t="s">
        <v>3530</v>
      </c>
      <c r="YL386" s="12" t="s">
        <v>3531</v>
      </c>
      <c r="YM386" s="7"/>
      <c r="YN386" s="7"/>
      <c r="YO386" s="8">
        <v>39150</v>
      </c>
      <c r="YP386" s="8"/>
      <c r="YQ386" s="5" t="s">
        <v>1063</v>
      </c>
      <c r="YR386" s="6"/>
      <c r="YS386" s="4"/>
      <c r="YT386" s="4"/>
      <c r="YU386" s="4"/>
      <c r="YV386" s="4"/>
      <c r="YW386" s="4"/>
      <c r="YX386" s="5"/>
      <c r="YY386" s="6"/>
      <c r="YZ386" s="4"/>
      <c r="ZA386" s="4"/>
      <c r="ZB386" s="4"/>
      <c r="ZC386" s="4"/>
      <c r="ZD386" s="4"/>
      <c r="ZE386" s="5"/>
      <c r="ZF386" s="6"/>
      <c r="ZG386" s="4"/>
      <c r="ZH386" s="4"/>
      <c r="ZI386" s="4"/>
      <c r="ZJ386" s="4"/>
      <c r="ZK386" s="4"/>
      <c r="ZL386" s="5"/>
      <c r="ZM386" s="6"/>
      <c r="ZN386" s="4"/>
      <c r="ZO386" s="4"/>
      <c r="ZP386" s="4"/>
      <c r="ZQ386" s="4"/>
      <c r="ZR386" s="4"/>
      <c r="ZS386" s="5"/>
      <c r="ZT386" s="6"/>
      <c r="ZU386" s="4"/>
      <c r="ZV386" s="4"/>
      <c r="ZW386" s="4"/>
      <c r="ZX386" s="4"/>
      <c r="ZY386" s="4"/>
      <c r="ZZ386" s="5"/>
      <c r="AAA386" s="6"/>
      <c r="AAB386" s="4"/>
      <c r="AAC386" s="4"/>
      <c r="AAD386" s="4"/>
      <c r="AAE386" s="4"/>
      <c r="AAF386" s="4"/>
      <c r="AAG386" s="5"/>
      <c r="AAH386" s="6"/>
      <c r="AAI386" s="4"/>
      <c r="AAJ386" s="4"/>
      <c r="AAK386" s="4"/>
      <c r="AAL386" s="4"/>
      <c r="AAM386" s="4"/>
      <c r="AAN386" s="5"/>
      <c r="AAO386" s="6"/>
      <c r="AAP386" s="4"/>
      <c r="AAQ386" s="4"/>
      <c r="AAR386" s="4"/>
      <c r="AAS386" s="4"/>
      <c r="AAT386" s="4"/>
      <c r="AAU386" s="5"/>
      <c r="AAV386" s="6"/>
      <c r="AAW386" s="4"/>
      <c r="AAX386" s="4"/>
      <c r="AAY386" s="4"/>
      <c r="AAZ386" s="4"/>
      <c r="ABA386" s="4"/>
      <c r="ABB386" s="5"/>
      <c r="ABC386" s="6"/>
      <c r="ABD386" s="4"/>
      <c r="ABE386" s="4"/>
      <c r="ABF386" s="4"/>
      <c r="ABG386" s="4"/>
      <c r="ABH386" s="4"/>
      <c r="ABI386" s="5"/>
      <c r="ABJ386" s="6"/>
      <c r="ABK386" s="4"/>
      <c r="ABL386" s="4"/>
      <c r="ABM386" s="4"/>
      <c r="ABN386" s="4"/>
      <c r="ABO386" s="4"/>
      <c r="ABP386" s="5"/>
      <c r="ABQ386" s="6"/>
      <c r="ABR386" s="4"/>
      <c r="ABS386" s="4"/>
      <c r="ABT386" s="4"/>
      <c r="ABU386" s="4"/>
      <c r="ABV386" s="4"/>
      <c r="ABW386" s="5"/>
      <c r="ABX386" s="6"/>
      <c r="ABY386" s="4"/>
      <c r="ABZ386" s="4"/>
      <c r="ACA386" s="4"/>
      <c r="ACB386" s="4"/>
      <c r="ACC386" s="4"/>
      <c r="ACD386" s="5"/>
      <c r="ACE386" s="6"/>
      <c r="ACF386" s="4"/>
      <c r="ACG386" s="4"/>
      <c r="ACH386" s="4"/>
      <c r="ACI386" s="4"/>
      <c r="ACJ386" s="4"/>
      <c r="ACK386" s="5"/>
      <c r="ACL386" s="6"/>
      <c r="ACM386" s="4"/>
      <c r="ACN386" s="4"/>
      <c r="ACO386" s="4"/>
      <c r="ACP386" s="4"/>
      <c r="ACQ386" s="4"/>
      <c r="ACR386" s="5"/>
      <c r="ACS386" s="6"/>
      <c r="ACT386" s="4"/>
      <c r="ACU386" s="4"/>
      <c r="ACV386" s="4"/>
      <c r="ACW386" s="4"/>
      <c r="ACX386" s="4"/>
      <c r="ACY386" s="5"/>
    </row>
    <row r="387" spans="2:805" x14ac:dyDescent="0.25">
      <c r="J387" s="12"/>
      <c r="K387" s="12"/>
      <c r="L387" s="12"/>
      <c r="LL387" s="6"/>
      <c r="LM387" s="4"/>
      <c r="LN387" s="4"/>
      <c r="LO387" s="4"/>
      <c r="LP387" s="4"/>
      <c r="LQ387" s="4"/>
      <c r="LR387" s="5"/>
      <c r="LS387" s="6"/>
      <c r="LT387" s="4"/>
      <c r="LU387" s="4"/>
      <c r="LV387" s="4"/>
      <c r="LW387" s="4"/>
      <c r="LX387" s="4"/>
      <c r="LY387" s="5"/>
      <c r="LZ387" s="11"/>
      <c r="MA387" s="7"/>
      <c r="MB387" s="7"/>
      <c r="MC387" s="4"/>
      <c r="MD387" s="8"/>
      <c r="ME387" s="8"/>
      <c r="MF387" s="8"/>
      <c r="MG387" s="5"/>
      <c r="MH387" s="6"/>
      <c r="MI387" s="4"/>
      <c r="MJ387" s="4"/>
      <c r="MK387" s="4"/>
      <c r="ML387" s="4"/>
      <c r="MM387" s="4"/>
      <c r="MN387" s="5"/>
      <c r="MO387" s="6"/>
      <c r="MP387" s="4"/>
      <c r="MQ387" s="4"/>
      <c r="MR387" s="4"/>
      <c r="MS387" s="4"/>
      <c r="MT387" s="4"/>
      <c r="MU387" s="5"/>
      <c r="MV387" s="6"/>
      <c r="MW387" s="4"/>
      <c r="MX387" s="4"/>
      <c r="MY387" s="4"/>
      <c r="MZ387" s="4"/>
      <c r="NA387" s="4"/>
      <c r="NB387" s="5"/>
      <c r="NC387" s="6"/>
      <c r="ND387" s="4"/>
      <c r="NE387" s="4"/>
      <c r="NF387" s="7"/>
      <c r="NG387" s="8"/>
      <c r="NH387" s="8"/>
      <c r="NI387" s="5"/>
      <c r="NJ387" s="6"/>
      <c r="NK387" s="4"/>
      <c r="NL387" s="4"/>
      <c r="NM387" s="4"/>
      <c r="NN387" s="4"/>
      <c r="NO387" s="4"/>
      <c r="NP387" s="5"/>
      <c r="NQ387" s="6"/>
      <c r="NR387" s="4"/>
      <c r="NS387" s="4"/>
      <c r="NT387" s="4"/>
      <c r="NU387" s="4"/>
      <c r="NV387" s="4"/>
      <c r="NW387" s="5"/>
      <c r="NX387" s="6"/>
      <c r="NY387" s="4"/>
      <c r="NZ387" s="4"/>
      <c r="OA387" s="7"/>
      <c r="OB387" s="8"/>
      <c r="OC387" s="8"/>
      <c r="OD387" s="5"/>
      <c r="OE387" s="6"/>
      <c r="OF387" s="4"/>
      <c r="OG387" s="4"/>
      <c r="OH387" s="4"/>
      <c r="OI387" s="4"/>
      <c r="OJ387" s="4"/>
      <c r="OK387" s="5"/>
      <c r="OL387" s="6"/>
      <c r="OM387" s="4"/>
      <c r="ON387" s="4"/>
      <c r="OO387" s="4"/>
      <c r="OP387" s="4"/>
      <c r="OQ387" s="4"/>
      <c r="OR387" s="5"/>
      <c r="OS387" s="6"/>
      <c r="OT387" s="4"/>
      <c r="OU387" s="4"/>
      <c r="OV387" s="4"/>
      <c r="OW387" s="4"/>
      <c r="OX387" s="4"/>
      <c r="OY387" s="5"/>
      <c r="PB387" s="4"/>
      <c r="PC387" s="4"/>
      <c r="PD387" s="4"/>
      <c r="PE387" s="4"/>
      <c r="PF387" s="5"/>
      <c r="PG387" s="6"/>
      <c r="PH387" s="4"/>
      <c r="PI387" s="4"/>
      <c r="PJ387" s="4"/>
      <c r="PK387" s="4"/>
      <c r="PL387" s="4"/>
      <c r="PM387" s="5"/>
      <c r="PN387" s="6"/>
      <c r="PO387" s="4"/>
      <c r="PP387" s="4"/>
      <c r="PQ387" s="4"/>
      <c r="PR387" s="4"/>
      <c r="PS387" s="4"/>
      <c r="PT387" s="5"/>
      <c r="PU387" s="6"/>
      <c r="PV387" s="4"/>
      <c r="PW387" s="4"/>
      <c r="PX387" s="4"/>
      <c r="PY387" s="4"/>
      <c r="PZ387" s="4"/>
      <c r="QA387" s="5"/>
      <c r="QB387" s="6"/>
      <c r="QC387" s="4"/>
      <c r="QD387" s="4"/>
      <c r="QE387" s="4"/>
      <c r="QF387" s="4"/>
      <c r="QG387" s="4"/>
      <c r="QH387" s="5"/>
      <c r="QI387" s="6"/>
      <c r="QJ387" s="4"/>
      <c r="QK387" s="4"/>
      <c r="QL387" s="4"/>
      <c r="QM387" s="4"/>
      <c r="QN387" s="4"/>
      <c r="QO387" s="5"/>
      <c r="QP387" s="6"/>
      <c r="QQ387" s="4"/>
      <c r="QR387" s="4"/>
      <c r="QS387" s="4"/>
      <c r="QT387" s="4"/>
      <c r="QU387" s="4"/>
      <c r="QV387" s="5"/>
      <c r="QW387" s="6"/>
      <c r="QX387" s="4"/>
      <c r="QY387" s="4"/>
      <c r="QZ387" s="4"/>
      <c r="RA387" s="4"/>
      <c r="RB387" s="4"/>
      <c r="RC387" s="5"/>
      <c r="RD387" s="6"/>
      <c r="RE387" s="4"/>
      <c r="RF387" s="4"/>
      <c r="RG387" s="4"/>
      <c r="RH387" s="4"/>
      <c r="RI387" s="4"/>
      <c r="RJ387" s="5"/>
      <c r="RK387" s="6"/>
      <c r="RL387" s="4"/>
      <c r="RM387" s="4"/>
      <c r="RN387" s="4"/>
      <c r="RO387" s="4"/>
      <c r="RP387" s="4"/>
      <c r="RQ387" s="5"/>
      <c r="RR387" s="6"/>
      <c r="RS387" s="4"/>
      <c r="RT387" s="4"/>
      <c r="RU387" s="4"/>
      <c r="RV387" s="4"/>
      <c r="RW387" s="4"/>
      <c r="RX387" s="5"/>
      <c r="RY387" s="6"/>
      <c r="RZ387" s="4"/>
      <c r="SA387" s="4"/>
      <c r="SB387" s="4"/>
      <c r="SC387" s="4"/>
      <c r="SD387" s="4"/>
      <c r="SE387" s="5"/>
      <c r="SF387" s="6"/>
      <c r="SG387" s="4"/>
      <c r="SH387" s="4"/>
      <c r="SI387" s="4"/>
      <c r="SJ387" s="4"/>
      <c r="SK387" s="4"/>
      <c r="SL387" s="5"/>
      <c r="SM387" s="6"/>
      <c r="SN387" s="4"/>
      <c r="SO387" s="4"/>
      <c r="SP387" s="4"/>
      <c r="SQ387" s="4"/>
      <c r="SR387" s="4"/>
      <c r="SS387" s="5"/>
      <c r="ST387" s="6"/>
      <c r="SU387" s="4"/>
      <c r="SV387" s="4"/>
      <c r="SW387" s="4"/>
      <c r="SX387" s="4"/>
      <c r="SY387" s="4"/>
      <c r="SZ387" s="5"/>
      <c r="TA387" s="6"/>
      <c r="TB387" s="4"/>
      <c r="TC387" s="4"/>
      <c r="TD387" s="4"/>
      <c r="TE387" s="4"/>
      <c r="TF387" s="4"/>
      <c r="TG387" s="5"/>
      <c r="TH387" s="6"/>
      <c r="TI387" s="4"/>
      <c r="TJ387" s="4"/>
      <c r="TK387" s="4"/>
      <c r="TL387" s="4"/>
      <c r="TM387" s="4"/>
      <c r="TN387" s="5"/>
      <c r="TO387" s="6"/>
      <c r="TP387" s="4"/>
      <c r="TQ387" s="4"/>
      <c r="TR387" s="4"/>
      <c r="TS387" s="4"/>
      <c r="TT387" s="4"/>
      <c r="TU387" s="5"/>
      <c r="TV387" s="6"/>
      <c r="TW387" s="4"/>
      <c r="TX387" s="4"/>
      <c r="TY387" s="4"/>
      <c r="TZ387" s="4"/>
      <c r="UA387" s="4"/>
      <c r="UB387" s="5"/>
      <c r="UC387" s="6"/>
      <c r="UD387" s="4"/>
      <c r="UE387" s="4"/>
      <c r="UF387" s="4"/>
      <c r="UG387" s="4"/>
      <c r="UH387" s="4"/>
      <c r="UI387" s="5"/>
      <c r="UJ387" s="6"/>
      <c r="UK387" s="4"/>
      <c r="UL387" s="4"/>
      <c r="UM387" s="4"/>
      <c r="UN387" s="4"/>
      <c r="UO387" s="4"/>
      <c r="UP387" s="5"/>
      <c r="UQ387" s="6"/>
      <c r="UR387" s="4"/>
      <c r="US387" s="4"/>
      <c r="UT387" s="4"/>
      <c r="UU387" s="4"/>
      <c r="UV387" s="4"/>
      <c r="UW387" s="5"/>
      <c r="UX387" s="6"/>
      <c r="UY387" s="4"/>
      <c r="UZ387" s="4"/>
      <c r="VA387" s="4"/>
      <c r="VB387" s="4"/>
      <c r="VC387" s="4"/>
      <c r="VD387" s="5"/>
      <c r="VE387" s="6"/>
      <c r="VF387" s="4"/>
      <c r="VG387" s="4"/>
      <c r="VH387" s="4"/>
      <c r="VI387" s="4"/>
      <c r="VJ387" s="4"/>
      <c r="VK387" s="5"/>
      <c r="VL387" s="6"/>
      <c r="VM387" s="4"/>
      <c r="VN387" s="4"/>
      <c r="VO387" s="4"/>
      <c r="VP387" s="4"/>
      <c r="VQ387" s="4"/>
      <c r="VR387" s="5"/>
      <c r="VS387" s="6"/>
      <c r="VT387" s="4"/>
      <c r="VU387" s="4"/>
      <c r="VV387" s="4"/>
      <c r="VW387" s="4"/>
      <c r="VX387" s="4"/>
      <c r="VY387" s="5"/>
      <c r="VZ387" s="6"/>
      <c r="WA387" s="4"/>
      <c r="WB387" s="4"/>
      <c r="WC387" s="4"/>
      <c r="WD387" s="4"/>
      <c r="WE387" s="4"/>
      <c r="WF387" s="5"/>
      <c r="WG387" s="6"/>
      <c r="WH387" s="4"/>
      <c r="WI387" s="4"/>
      <c r="WJ387" s="4"/>
      <c r="WK387" s="4"/>
      <c r="WL387" s="4"/>
      <c r="WM387" s="5"/>
      <c r="WN387" s="6"/>
      <c r="WO387" s="4"/>
      <c r="WP387" s="4"/>
      <c r="WQ387" s="4"/>
      <c r="WR387" s="4"/>
      <c r="WS387" s="4"/>
      <c r="WT387" s="5"/>
      <c r="WU387" s="6"/>
      <c r="WV387" s="4"/>
      <c r="WW387" s="4"/>
      <c r="WX387" s="4"/>
      <c r="WY387" s="4"/>
      <c r="WZ387" s="4"/>
      <c r="XA387" s="5"/>
      <c r="XB387" s="6"/>
      <c r="XC387" s="4"/>
      <c r="XD387" s="4"/>
      <c r="XE387" s="4"/>
      <c r="XF387" s="4"/>
      <c r="XG387" s="4"/>
      <c r="XH387" s="5"/>
      <c r="XI387" s="6"/>
      <c r="XJ387" s="4"/>
      <c r="XK387" s="4"/>
      <c r="XL387" s="4"/>
      <c r="XM387" s="4"/>
      <c r="XN387" s="4"/>
      <c r="XO387" s="5"/>
      <c r="XP387" s="6"/>
      <c r="XQ387" s="4"/>
      <c r="XR387" s="4"/>
      <c r="XS387" s="4"/>
      <c r="XT387" s="4"/>
      <c r="XU387" s="4"/>
      <c r="XV387" s="5"/>
      <c r="XW387" s="6"/>
      <c r="XX387" s="4"/>
      <c r="XY387" s="4"/>
      <c r="XZ387" s="4"/>
      <c r="YA387" s="4"/>
      <c r="YB387" s="4"/>
      <c r="YC387" s="5"/>
      <c r="YD387" s="6"/>
      <c r="YE387" s="4"/>
      <c r="YF387" s="4"/>
      <c r="YG387" s="4"/>
      <c r="YH387" s="4"/>
      <c r="YI387" s="4"/>
      <c r="YJ387" s="5"/>
      <c r="YK387" s="18" t="s">
        <v>3821</v>
      </c>
      <c r="YL387" s="12" t="s">
        <v>3685</v>
      </c>
      <c r="YM387" s="7"/>
      <c r="YN387" s="7" t="s">
        <v>3380</v>
      </c>
      <c r="YO387" s="8">
        <v>38434</v>
      </c>
      <c r="YP387" s="8">
        <v>38434</v>
      </c>
      <c r="YQ387" s="5"/>
      <c r="YR387" s="6"/>
      <c r="YS387" s="4"/>
      <c r="YT387" s="4"/>
      <c r="YU387" s="4"/>
      <c r="YV387" s="4"/>
      <c r="YW387" s="4"/>
      <c r="YX387" s="5"/>
      <c r="YY387" s="6"/>
      <c r="YZ387" s="4"/>
      <c r="ZA387" s="4"/>
      <c r="ZB387" s="4"/>
      <c r="ZC387" s="4"/>
      <c r="ZD387" s="4"/>
      <c r="ZE387" s="5"/>
      <c r="ZF387" s="6"/>
      <c r="ZG387" s="4"/>
      <c r="ZH387" s="4"/>
      <c r="ZI387" s="4"/>
      <c r="ZJ387" s="4"/>
      <c r="ZK387" s="4"/>
      <c r="ZL387" s="5"/>
      <c r="ZM387" s="6"/>
      <c r="ZN387" s="4"/>
      <c r="ZO387" s="4"/>
      <c r="ZP387" s="4"/>
      <c r="ZQ387" s="4"/>
      <c r="ZR387" s="4"/>
      <c r="ZS387" s="5"/>
      <c r="ZT387" s="6"/>
      <c r="ZU387" s="4"/>
      <c r="ZV387" s="4"/>
      <c r="ZW387" s="4"/>
      <c r="ZX387" s="4"/>
      <c r="ZY387" s="4"/>
      <c r="ZZ387" s="5"/>
      <c r="AAA387" s="6"/>
      <c r="AAB387" s="4"/>
      <c r="AAC387" s="4"/>
      <c r="AAD387" s="4"/>
      <c r="AAE387" s="4"/>
      <c r="AAF387" s="4"/>
      <c r="AAG387" s="5"/>
      <c r="AAH387" s="6"/>
      <c r="AAI387" s="4"/>
      <c r="AAJ387" s="4"/>
      <c r="AAK387" s="4"/>
      <c r="AAL387" s="4"/>
      <c r="AAM387" s="4"/>
      <c r="AAN387" s="5"/>
      <c r="AAO387" s="6"/>
      <c r="AAP387" s="4"/>
      <c r="AAQ387" s="4"/>
      <c r="AAR387" s="4"/>
      <c r="AAS387" s="4"/>
      <c r="AAT387" s="4"/>
      <c r="AAU387" s="5"/>
      <c r="AAV387" s="6"/>
      <c r="AAW387" s="4"/>
      <c r="AAX387" s="4"/>
      <c r="AAY387" s="4"/>
      <c r="AAZ387" s="4"/>
      <c r="ABA387" s="4"/>
      <c r="ABB387" s="5"/>
      <c r="ABC387" s="6"/>
      <c r="ABD387" s="4"/>
      <c r="ABE387" s="4"/>
      <c r="ABF387" s="4"/>
      <c r="ABG387" s="4"/>
      <c r="ABH387" s="4"/>
      <c r="ABI387" s="5"/>
      <c r="ABJ387" s="6"/>
      <c r="ABK387" s="4"/>
      <c r="ABL387" s="4"/>
      <c r="ABM387" s="4"/>
      <c r="ABN387" s="4"/>
      <c r="ABO387" s="4"/>
      <c r="ABP387" s="5"/>
      <c r="ABQ387" s="6"/>
      <c r="ABR387" s="4"/>
      <c r="ABS387" s="4"/>
      <c r="ABT387" s="4"/>
      <c r="ABU387" s="4"/>
      <c r="ABV387" s="4"/>
      <c r="ABW387" s="5"/>
      <c r="ABX387" s="6"/>
      <c r="ABY387" s="4"/>
      <c r="ABZ387" s="4"/>
      <c r="ACA387" s="4"/>
      <c r="ACB387" s="4"/>
      <c r="ACC387" s="4"/>
      <c r="ACD387" s="5"/>
      <c r="ACE387" s="6"/>
      <c r="ACF387" s="4"/>
      <c r="ACG387" s="4"/>
      <c r="ACH387" s="4"/>
      <c r="ACI387" s="4"/>
      <c r="ACJ387" s="4"/>
      <c r="ACK387" s="5"/>
      <c r="ACL387" s="6"/>
      <c r="ACM387" s="4"/>
      <c r="ACN387" s="4"/>
      <c r="ACO387" s="4"/>
      <c r="ACP387" s="4"/>
      <c r="ACQ387" s="4"/>
      <c r="ACR387" s="5"/>
      <c r="ACS387" s="6"/>
      <c r="ACT387" s="4"/>
      <c r="ACU387" s="4"/>
      <c r="ACV387" s="4"/>
      <c r="ACW387" s="4"/>
      <c r="ACX387" s="4"/>
      <c r="ACY387" s="5"/>
    </row>
    <row r="388" spans="2:805" x14ac:dyDescent="0.25">
      <c r="B388" s="49">
        <v>8030339</v>
      </c>
      <c r="C388" s="57">
        <v>44</v>
      </c>
      <c r="D388" t="s">
        <v>2121</v>
      </c>
      <c r="E388" s="35" t="s">
        <v>3999</v>
      </c>
      <c r="F388" s="23">
        <v>1</v>
      </c>
      <c r="I388" t="s">
        <v>431</v>
      </c>
      <c r="J388" s="12"/>
      <c r="K388" s="12"/>
      <c r="L388" s="12"/>
      <c r="M388">
        <v>1</v>
      </c>
      <c r="N388" s="17">
        <v>38370</v>
      </c>
      <c r="P388" t="s">
        <v>432</v>
      </c>
      <c r="Q388">
        <v>1</v>
      </c>
      <c r="V388">
        <v>1</v>
      </c>
      <c r="AF388">
        <v>1</v>
      </c>
      <c r="AI388">
        <v>1</v>
      </c>
      <c r="AL388">
        <v>1</v>
      </c>
      <c r="AZ388">
        <v>1</v>
      </c>
      <c r="LL388" s="6" t="s">
        <v>567</v>
      </c>
      <c r="LM388" s="4" t="s">
        <v>443</v>
      </c>
      <c r="LN388" s="4"/>
      <c r="LO388" s="4" t="s">
        <v>2149</v>
      </c>
      <c r="LP388" s="8">
        <v>38363</v>
      </c>
      <c r="LQ388" s="8">
        <v>38365</v>
      </c>
      <c r="LR388" s="5" t="s">
        <v>433</v>
      </c>
      <c r="LS388" s="6"/>
      <c r="LT388" s="4"/>
      <c r="LU388" s="4"/>
      <c r="LV388" s="4"/>
      <c r="LW388" s="4"/>
      <c r="LX388" s="4"/>
      <c r="LY388" s="5"/>
      <c r="LZ388" s="6" t="s">
        <v>2983</v>
      </c>
      <c r="MA388" s="4" t="s">
        <v>2983</v>
      </c>
      <c r="MB388" s="4" t="s">
        <v>2470</v>
      </c>
      <c r="MC388" s="7" t="s">
        <v>2607</v>
      </c>
      <c r="MD388" s="8">
        <v>38357</v>
      </c>
      <c r="ME388" s="8">
        <v>38361</v>
      </c>
      <c r="MF388" s="8" t="s">
        <v>611</v>
      </c>
      <c r="MG388" s="5"/>
      <c r="MH388" s="6"/>
      <c r="MI388" s="4"/>
      <c r="MJ388" s="4"/>
      <c r="MK388" s="4"/>
      <c r="ML388" s="4"/>
      <c r="MM388" s="4"/>
      <c r="MN388" s="5"/>
      <c r="MO388" s="6"/>
      <c r="MP388" s="4"/>
      <c r="MQ388" s="4"/>
      <c r="MR388" s="4"/>
      <c r="MS388" s="4"/>
      <c r="MT388" s="4"/>
      <c r="MU388" s="5"/>
      <c r="MV388" s="6"/>
      <c r="MW388" s="4"/>
      <c r="MX388" s="4"/>
      <c r="MY388" s="4"/>
      <c r="MZ388" s="4"/>
      <c r="NA388" s="4"/>
      <c r="NB388" s="5"/>
      <c r="NC388" s="15" t="s">
        <v>591</v>
      </c>
      <c r="ND388" s="4" t="s">
        <v>591</v>
      </c>
      <c r="NE388" s="4"/>
      <c r="NF388" s="4" t="s">
        <v>3901</v>
      </c>
      <c r="NG388" s="8">
        <v>38363</v>
      </c>
      <c r="NH388" s="8">
        <v>38370</v>
      </c>
      <c r="NI388" s="5" t="s">
        <v>472</v>
      </c>
      <c r="NJ388" s="6"/>
      <c r="NK388" s="4"/>
      <c r="NL388" s="4"/>
      <c r="NM388" s="4"/>
      <c r="NN388" s="4"/>
      <c r="NO388" s="4"/>
      <c r="NP388" s="5"/>
      <c r="NQ388" s="6"/>
      <c r="NR388" s="4"/>
      <c r="NS388" s="4"/>
      <c r="NT388" s="4"/>
      <c r="NU388" s="4"/>
      <c r="NV388" s="4"/>
      <c r="NW388" s="5"/>
      <c r="NX388" s="6"/>
      <c r="NY388" s="4"/>
      <c r="NZ388" s="4"/>
      <c r="OA388" s="4"/>
      <c r="OB388" s="4"/>
      <c r="OC388" s="4"/>
      <c r="OD388" s="5"/>
      <c r="OE388" s="6"/>
      <c r="OF388" s="4"/>
      <c r="OG388" s="4"/>
      <c r="OH388" s="4"/>
      <c r="OI388" s="4"/>
      <c r="OJ388" s="4"/>
      <c r="OK388" s="5"/>
      <c r="OL388" s="6"/>
      <c r="OM388" s="4"/>
      <c r="ON388" s="4"/>
      <c r="OO388" s="4"/>
      <c r="OP388" s="4"/>
      <c r="OQ388" s="4"/>
      <c r="OR388" s="5"/>
      <c r="OS388" s="6"/>
      <c r="OT388" s="4"/>
      <c r="OU388" s="4"/>
      <c r="OV388" s="4"/>
      <c r="OW388" s="4"/>
      <c r="OX388" s="4"/>
      <c r="OY388" s="5"/>
      <c r="OZ388" s="6"/>
      <c r="PA388" s="4"/>
      <c r="PB388" s="4"/>
      <c r="PC388" s="4"/>
      <c r="PD388" s="4"/>
      <c r="PE388" s="4"/>
      <c r="PF388" s="5"/>
      <c r="PG388" s="6"/>
      <c r="PH388" s="4"/>
      <c r="PI388" s="4"/>
      <c r="PJ388" s="4"/>
      <c r="PK388" s="4"/>
      <c r="PL388" s="4"/>
      <c r="PM388" s="5"/>
      <c r="PN388" s="6"/>
      <c r="PO388" s="4"/>
      <c r="PP388" s="4"/>
      <c r="PQ388" s="4"/>
      <c r="PR388" s="4"/>
      <c r="PS388" s="4"/>
      <c r="PT388" s="5"/>
      <c r="PU388" s="6" t="s">
        <v>1999</v>
      </c>
      <c r="PV388" s="4" t="s">
        <v>2622</v>
      </c>
      <c r="PW388" s="4"/>
      <c r="PX388" s="4"/>
      <c r="PY388" s="8">
        <v>38370</v>
      </c>
      <c r="PZ388" s="4"/>
      <c r="QA388" s="5" t="s">
        <v>132</v>
      </c>
      <c r="QB388" s="6"/>
      <c r="QC388" s="4"/>
      <c r="QD388" s="4"/>
      <c r="QE388" s="4"/>
      <c r="QF388" s="4"/>
      <c r="QG388" s="4"/>
      <c r="QH388" s="5"/>
      <c r="QI388" s="6"/>
      <c r="QJ388" s="4"/>
      <c r="QK388" s="4"/>
      <c r="QL388" s="4"/>
      <c r="QM388" s="4"/>
      <c r="QN388" s="4"/>
      <c r="QO388" s="5"/>
      <c r="QP388" s="6"/>
      <c r="QQ388" s="4"/>
      <c r="QR388" s="4"/>
      <c r="QS388" s="4"/>
      <c r="QT388" s="4"/>
      <c r="QU388" s="4"/>
      <c r="QV388" s="5"/>
      <c r="QW388" s="6"/>
      <c r="QX388" s="4"/>
      <c r="QY388" s="4"/>
      <c r="QZ388" s="4"/>
      <c r="RA388" s="4"/>
      <c r="RB388" s="4"/>
      <c r="RC388" s="5"/>
      <c r="RD388" s="6"/>
      <c r="RE388" s="4"/>
      <c r="RF388" s="4"/>
      <c r="RG388" s="4"/>
      <c r="RH388" s="4"/>
      <c r="RI388" s="4"/>
      <c r="RJ388" s="5"/>
      <c r="RK388" s="6"/>
      <c r="RL388" s="4"/>
      <c r="RM388" s="4"/>
      <c r="RN388" s="4"/>
      <c r="RO388" s="4"/>
      <c r="RP388" s="4"/>
      <c r="RQ388" s="5"/>
      <c r="RR388" s="6"/>
      <c r="RS388" s="4"/>
      <c r="RT388" s="4"/>
      <c r="RU388" s="4"/>
      <c r="RV388" s="4"/>
      <c r="RW388" s="4"/>
      <c r="RX388" s="5"/>
      <c r="RY388" s="6"/>
      <c r="RZ388" s="4"/>
      <c r="SA388" s="4"/>
      <c r="SB388" s="4"/>
      <c r="SC388" s="4"/>
      <c r="SD388" s="4"/>
      <c r="SE388" s="5"/>
      <c r="SF388" s="6"/>
      <c r="SG388" s="4"/>
      <c r="SH388" s="4"/>
      <c r="SI388" s="4"/>
      <c r="SJ388" s="4"/>
      <c r="SK388" s="4"/>
      <c r="SL388" s="5"/>
      <c r="SM388" s="6"/>
      <c r="SN388" s="4"/>
      <c r="SO388" s="4"/>
      <c r="SP388" s="4"/>
      <c r="SQ388" s="4"/>
      <c r="SR388" s="4"/>
      <c r="SS388" s="5"/>
      <c r="ST388" s="6"/>
      <c r="SU388" s="4"/>
      <c r="SV388" s="4"/>
      <c r="SW388" s="4"/>
      <c r="SX388" s="4"/>
      <c r="SY388" s="4"/>
      <c r="SZ388" s="5"/>
      <c r="TA388" s="6"/>
      <c r="TB388" s="4"/>
      <c r="TC388" s="4"/>
      <c r="TD388" s="4"/>
      <c r="TE388" s="4"/>
      <c r="TF388" s="4"/>
      <c r="TG388" s="5"/>
      <c r="TH388" s="6"/>
      <c r="TI388" s="4"/>
      <c r="TJ388" s="4"/>
      <c r="TK388" s="4"/>
      <c r="TL388" s="4"/>
      <c r="TM388" s="4"/>
      <c r="TN388" s="5"/>
      <c r="TO388" s="6"/>
      <c r="TP388" s="4"/>
      <c r="TQ388" s="4"/>
      <c r="TR388" s="4"/>
      <c r="TS388" s="4"/>
      <c r="TT388" s="4"/>
      <c r="TU388" s="5"/>
      <c r="TV388" s="6"/>
      <c r="TW388" s="4"/>
      <c r="TX388" s="4"/>
      <c r="TY388" s="4"/>
      <c r="TZ388" s="4"/>
      <c r="UA388" s="4"/>
      <c r="UB388" s="5"/>
      <c r="UC388" s="6"/>
      <c r="UD388" s="4"/>
      <c r="UE388" s="4"/>
      <c r="UF388" s="4"/>
      <c r="UG388" s="4"/>
      <c r="UH388" s="4"/>
      <c r="UI388" s="5"/>
      <c r="UJ388" s="6"/>
      <c r="UK388" s="4"/>
      <c r="UL388" s="4"/>
      <c r="UM388" s="4"/>
      <c r="UN388" s="4"/>
      <c r="UO388" s="4"/>
      <c r="UP388" s="5"/>
      <c r="UQ388" s="6"/>
      <c r="UR388" s="4"/>
      <c r="US388" s="4"/>
      <c r="UT388" s="4"/>
      <c r="UU388" s="4"/>
      <c r="UV388" s="4"/>
      <c r="UW388" s="5"/>
      <c r="UX388" s="6" t="s">
        <v>590</v>
      </c>
      <c r="UY388" s="4" t="s">
        <v>2899</v>
      </c>
      <c r="UZ388" s="4" t="s">
        <v>2299</v>
      </c>
      <c r="VA388" s="7" t="s">
        <v>1438</v>
      </c>
      <c r="VB388" s="8">
        <v>38342</v>
      </c>
      <c r="VC388" s="8">
        <v>38361</v>
      </c>
      <c r="VD388" s="5"/>
      <c r="VE388" s="6"/>
      <c r="VF388" s="4"/>
      <c r="VG388" s="4"/>
      <c r="VH388" s="4"/>
      <c r="VI388" s="4"/>
      <c r="VJ388" s="4"/>
      <c r="VK388" s="5"/>
      <c r="VL388" s="6"/>
      <c r="VM388" s="4"/>
      <c r="VN388" s="4"/>
      <c r="VO388" s="4"/>
      <c r="VP388" s="4"/>
      <c r="VQ388" s="4"/>
      <c r="VR388" s="5"/>
      <c r="VS388" s="6"/>
      <c r="VT388" s="4"/>
      <c r="VU388" s="4"/>
      <c r="VV388" s="4"/>
      <c r="VW388" s="4"/>
      <c r="VX388" s="4"/>
      <c r="VY388" s="5"/>
      <c r="VZ388" s="6"/>
      <c r="WA388" s="4"/>
      <c r="WB388" s="4"/>
      <c r="WC388" s="4"/>
      <c r="WD388" s="4"/>
      <c r="WE388" s="4"/>
      <c r="WF388" s="5"/>
      <c r="WG388" s="6"/>
      <c r="WH388" s="4"/>
      <c r="WI388" s="4"/>
      <c r="WJ388" s="4"/>
      <c r="WK388" s="4"/>
      <c r="WL388" s="4"/>
      <c r="WM388" s="5"/>
      <c r="WN388" s="6"/>
      <c r="WO388" s="4"/>
      <c r="WP388" s="4"/>
      <c r="WQ388" s="4"/>
      <c r="WR388" s="4"/>
      <c r="WS388" s="4"/>
      <c r="WT388" s="5"/>
      <c r="WU388" s="6"/>
      <c r="WV388" s="4"/>
      <c r="WW388" s="4"/>
      <c r="WX388" s="4"/>
      <c r="WY388" s="4"/>
      <c r="WZ388" s="4"/>
      <c r="XA388" s="5"/>
      <c r="XB388" s="6"/>
      <c r="XC388" s="4"/>
      <c r="XD388" s="4"/>
      <c r="XE388" s="4"/>
      <c r="XF388" s="4"/>
      <c r="XG388" s="4"/>
      <c r="XH388" s="5"/>
      <c r="XI388" s="6"/>
      <c r="XJ388" s="4"/>
      <c r="XK388" s="4"/>
      <c r="XL388" s="4"/>
      <c r="XM388" s="4"/>
      <c r="XN388" s="4"/>
      <c r="XO388" s="5"/>
      <c r="XP388" s="6"/>
      <c r="XQ388" s="4"/>
      <c r="XR388" s="4"/>
      <c r="XS388" s="4"/>
      <c r="XT388" s="4"/>
      <c r="XU388" s="4"/>
      <c r="XV388" s="5"/>
      <c r="XW388" s="6"/>
      <c r="XX388" s="4"/>
      <c r="XY388" s="4"/>
      <c r="XZ388" s="4"/>
      <c r="YA388" s="4"/>
      <c r="YB388" s="4"/>
      <c r="YC388" s="5"/>
      <c r="YD388" s="6"/>
      <c r="YE388" s="4"/>
      <c r="YF388" s="4"/>
      <c r="YG388" s="4"/>
      <c r="YH388" s="4"/>
      <c r="YI388" s="4"/>
      <c r="YJ388" s="5"/>
      <c r="YK388" s="6" t="s">
        <v>2361</v>
      </c>
      <c r="YL388" s="7" t="s">
        <v>2361</v>
      </c>
      <c r="YM388" s="4" t="s">
        <v>1923</v>
      </c>
      <c r="YN388" s="4"/>
      <c r="YO388" s="8">
        <v>38342</v>
      </c>
      <c r="YP388" s="4"/>
      <c r="YQ388" s="5" t="s">
        <v>133</v>
      </c>
      <c r="YR388" s="6"/>
      <c r="YS388" s="4"/>
      <c r="YT388" s="4"/>
      <c r="YU388" s="4"/>
      <c r="YV388" s="4"/>
      <c r="YW388" s="4"/>
      <c r="YX388" s="5"/>
      <c r="YY388" s="6"/>
      <c r="YZ388" s="4"/>
      <c r="ZA388" s="4"/>
      <c r="ZB388" s="4"/>
      <c r="ZC388" s="4"/>
      <c r="ZD388" s="4"/>
      <c r="ZE388" s="5"/>
      <c r="ZF388" s="6"/>
      <c r="ZG388" s="4"/>
      <c r="ZH388" s="4"/>
      <c r="ZI388" s="4"/>
      <c r="ZJ388" s="4"/>
      <c r="ZK388" s="4"/>
      <c r="ZL388" s="5"/>
      <c r="ZM388" s="6"/>
      <c r="ZN388" s="4"/>
      <c r="ZO388" s="4"/>
      <c r="ZP388" s="4"/>
      <c r="ZQ388" s="4"/>
      <c r="ZR388" s="4"/>
      <c r="ZS388" s="5"/>
      <c r="ZT388" s="6"/>
      <c r="ZU388" s="4"/>
      <c r="ZV388" s="4"/>
      <c r="ZW388" s="4"/>
      <c r="ZX388" s="4"/>
      <c r="ZY388" s="4"/>
      <c r="ZZ388" s="5"/>
      <c r="AAA388" s="6"/>
      <c r="AAB388" s="4"/>
      <c r="AAC388" s="4"/>
      <c r="AAD388" s="4"/>
      <c r="AAE388" s="4"/>
      <c r="AAF388" s="4"/>
      <c r="AAG388" s="5"/>
      <c r="AAH388" s="6"/>
      <c r="AAI388" s="4"/>
      <c r="AAJ388" s="4"/>
      <c r="AAK388" s="4"/>
      <c r="AAL388" s="4"/>
      <c r="AAM388" s="4"/>
      <c r="AAN388" s="5"/>
      <c r="AAO388" s="6"/>
      <c r="AAP388" s="4"/>
      <c r="AAQ388" s="4"/>
      <c r="AAR388" s="4"/>
      <c r="AAS388" s="4"/>
      <c r="AAT388" s="4"/>
      <c r="AAU388" s="5"/>
      <c r="AAV388" s="6"/>
      <c r="AAW388" s="4"/>
      <c r="AAX388" s="4"/>
      <c r="AAY388" s="4"/>
      <c r="AAZ388" s="4"/>
      <c r="ABA388" s="4"/>
      <c r="ABB388" s="5"/>
      <c r="ABC388" s="6" t="s">
        <v>504</v>
      </c>
      <c r="ABD388" s="4" t="s">
        <v>505</v>
      </c>
      <c r="ABE388" s="4" t="s">
        <v>954</v>
      </c>
      <c r="ABF388" s="4"/>
      <c r="ABG388" s="8">
        <v>38361</v>
      </c>
      <c r="ABH388" s="4"/>
      <c r="ABI388" s="5" t="s">
        <v>350</v>
      </c>
      <c r="ABJ388" s="6"/>
      <c r="ABK388" s="4"/>
      <c r="ABL388" s="4"/>
      <c r="ABM388" s="4"/>
      <c r="ABN388" s="4"/>
      <c r="ABO388" s="4"/>
      <c r="ABP388" s="5"/>
      <c r="ABQ388" s="6"/>
      <c r="ABR388" s="4"/>
      <c r="ABS388" s="4"/>
      <c r="ABT388" s="4"/>
      <c r="ABU388" s="4"/>
      <c r="ABV388" s="4"/>
      <c r="ABW388" s="5"/>
      <c r="ABX388" s="6"/>
      <c r="ABY388" s="4"/>
      <c r="ABZ388" s="4"/>
      <c r="ACA388" s="4"/>
      <c r="ACB388" s="4"/>
      <c r="ACC388" s="4"/>
      <c r="ACD388" s="5"/>
      <c r="ACE388" s="6"/>
      <c r="ACF388" s="4"/>
      <c r="ACG388" s="4"/>
      <c r="ACH388" s="4"/>
      <c r="ACI388" s="4"/>
      <c r="ACJ388" s="4"/>
      <c r="ACK388" s="5"/>
      <c r="ACL388" s="6"/>
      <c r="ACM388" s="4"/>
      <c r="ACN388" s="4"/>
      <c r="ACO388" s="4"/>
      <c r="ACP388" s="4"/>
      <c r="ACQ388" s="4"/>
      <c r="ACR388" s="5"/>
      <c r="ACS388" s="6"/>
      <c r="ACT388" s="4"/>
      <c r="ACU388" s="4"/>
      <c r="ACV388" s="4"/>
      <c r="ACW388" s="4"/>
      <c r="ACX388" s="4"/>
      <c r="ACY388" s="5"/>
      <c r="ADF388" t="s">
        <v>352</v>
      </c>
      <c r="ADG388" t="s">
        <v>353</v>
      </c>
      <c r="ADH388" t="s">
        <v>351</v>
      </c>
      <c r="ADV388" t="s">
        <v>354</v>
      </c>
    </row>
    <row r="389" spans="2:805" x14ac:dyDescent="0.25">
      <c r="B389" s="30"/>
      <c r="J389" s="12"/>
      <c r="K389" s="12"/>
      <c r="L389" s="12"/>
      <c r="LL389" s="6"/>
      <c r="LM389" s="4"/>
      <c r="LN389" s="4"/>
      <c r="LO389" s="4"/>
      <c r="LP389" s="8"/>
      <c r="LQ389" s="8"/>
      <c r="LR389" s="5"/>
      <c r="LS389" s="6"/>
      <c r="LT389" s="4"/>
      <c r="LU389" s="4"/>
      <c r="LV389" s="4"/>
      <c r="LW389" s="4"/>
      <c r="LX389" s="4"/>
      <c r="LY389" s="5"/>
      <c r="LZ389" s="6"/>
      <c r="MA389" s="4"/>
      <c r="MB389" s="4"/>
      <c r="MC389" s="4"/>
      <c r="MD389" s="4"/>
      <c r="ME389" s="4"/>
      <c r="MF389" s="4"/>
      <c r="MG389" s="5"/>
      <c r="MH389" s="6"/>
      <c r="MI389" s="4"/>
      <c r="MJ389" s="4"/>
      <c r="MK389" s="4"/>
      <c r="ML389" s="4"/>
      <c r="MM389" s="4"/>
      <c r="MN389" s="5"/>
      <c r="MO389" s="6"/>
      <c r="MP389" s="4"/>
      <c r="MQ389" s="4"/>
      <c r="MR389" s="4"/>
      <c r="MS389" s="4"/>
      <c r="MT389" s="4"/>
      <c r="MU389" s="5"/>
      <c r="MV389" s="6"/>
      <c r="MW389" s="4"/>
      <c r="MX389" s="4"/>
      <c r="MY389" s="4"/>
      <c r="MZ389" s="4"/>
      <c r="NA389" s="4"/>
      <c r="NB389" s="5"/>
      <c r="NC389" s="15"/>
      <c r="ND389" s="4"/>
      <c r="NE389" s="4"/>
      <c r="NF389" s="4"/>
      <c r="NG389" s="8"/>
      <c r="NH389" s="8"/>
      <c r="NI389" s="5"/>
      <c r="NJ389" s="6"/>
      <c r="NK389" s="4"/>
      <c r="NL389" s="4"/>
      <c r="NM389" s="4"/>
      <c r="NN389" s="4"/>
      <c r="NO389" s="4"/>
      <c r="NP389" s="5"/>
      <c r="NQ389" s="6"/>
      <c r="NR389" s="4"/>
      <c r="NS389" s="4"/>
      <c r="NT389" s="4"/>
      <c r="NU389" s="4"/>
      <c r="NV389" s="4"/>
      <c r="NW389" s="5"/>
      <c r="NX389" s="6"/>
      <c r="NY389" s="4"/>
      <c r="NZ389" s="4"/>
      <c r="OA389" s="4"/>
      <c r="OB389" s="4"/>
      <c r="OC389" s="4"/>
      <c r="OD389" s="5"/>
      <c r="OE389" s="6"/>
      <c r="OF389" s="4"/>
      <c r="OG389" s="4"/>
      <c r="OH389" s="4"/>
      <c r="OI389" s="4"/>
      <c r="OJ389" s="4"/>
      <c r="OK389" s="5"/>
      <c r="OL389" s="6"/>
      <c r="OM389" s="4"/>
      <c r="ON389" s="4"/>
      <c r="OO389" s="4"/>
      <c r="OP389" s="4"/>
      <c r="OQ389" s="4"/>
      <c r="OR389" s="5"/>
      <c r="OS389" s="6"/>
      <c r="OT389" s="4"/>
      <c r="OU389" s="4"/>
      <c r="OV389" s="4"/>
      <c r="OW389" s="4"/>
      <c r="OX389" s="4"/>
      <c r="OY389" s="5"/>
      <c r="OZ389" s="6"/>
      <c r="PA389" s="4"/>
      <c r="PB389" s="4"/>
      <c r="PC389" s="4"/>
      <c r="PD389" s="4"/>
      <c r="PE389" s="4"/>
      <c r="PF389" s="5"/>
      <c r="PG389" s="6"/>
      <c r="PH389" s="4"/>
      <c r="PI389" s="4"/>
      <c r="PJ389" s="4"/>
      <c r="PK389" s="4"/>
      <c r="PL389" s="4"/>
      <c r="PM389" s="5"/>
      <c r="PN389" s="6"/>
      <c r="PO389" s="4"/>
      <c r="PP389" s="4"/>
      <c r="PQ389" s="4"/>
      <c r="PR389" s="4"/>
      <c r="PS389" s="4"/>
      <c r="PT389" s="5"/>
      <c r="PU389" s="6"/>
      <c r="PV389" s="4"/>
      <c r="PW389" s="4"/>
      <c r="PX389" s="4"/>
      <c r="PY389" s="4"/>
      <c r="PZ389" s="4"/>
      <c r="QA389" s="5"/>
      <c r="QB389" s="6"/>
      <c r="QC389" s="4"/>
      <c r="QD389" s="4"/>
      <c r="QE389" s="4"/>
      <c r="QF389" s="4"/>
      <c r="QG389" s="4"/>
      <c r="QH389" s="5"/>
      <c r="QI389" s="6"/>
      <c r="QJ389" s="4"/>
      <c r="QK389" s="4"/>
      <c r="QL389" s="4"/>
      <c r="QM389" s="4"/>
      <c r="QN389" s="4"/>
      <c r="QO389" s="5"/>
      <c r="QP389" s="6"/>
      <c r="QQ389" s="4"/>
      <c r="QR389" s="4"/>
      <c r="QS389" s="4"/>
      <c r="QT389" s="4"/>
      <c r="QU389" s="4"/>
      <c r="QV389" s="5"/>
      <c r="QW389" s="6"/>
      <c r="QX389" s="4"/>
      <c r="QY389" s="4"/>
      <c r="QZ389" s="4"/>
      <c r="RA389" s="4"/>
      <c r="RB389" s="4"/>
      <c r="RC389" s="5"/>
      <c r="RD389" s="6"/>
      <c r="RE389" s="4"/>
      <c r="RF389" s="4"/>
      <c r="RG389" s="4"/>
      <c r="RH389" s="4"/>
      <c r="RI389" s="4"/>
      <c r="RJ389" s="5"/>
      <c r="RK389" s="6"/>
      <c r="RL389" s="4"/>
      <c r="RM389" s="4"/>
      <c r="RN389" s="4"/>
      <c r="RO389" s="4"/>
      <c r="RP389" s="4"/>
      <c r="RQ389" s="5"/>
      <c r="RR389" s="6"/>
      <c r="RS389" s="4"/>
      <c r="RT389" s="4"/>
      <c r="RU389" s="4"/>
      <c r="RV389" s="4"/>
      <c r="RW389" s="4"/>
      <c r="RX389" s="5"/>
      <c r="RY389" s="6"/>
      <c r="RZ389" s="4"/>
      <c r="SA389" s="4"/>
      <c r="SB389" s="4"/>
      <c r="SC389" s="4"/>
      <c r="SD389" s="4"/>
      <c r="SE389" s="5"/>
      <c r="SF389" s="6"/>
      <c r="SG389" s="4"/>
      <c r="SH389" s="4"/>
      <c r="SI389" s="4"/>
      <c r="SJ389" s="4"/>
      <c r="SK389" s="4"/>
      <c r="SL389" s="5"/>
      <c r="SM389" s="6"/>
      <c r="SN389" s="4"/>
      <c r="SO389" s="4"/>
      <c r="SP389" s="4"/>
      <c r="SQ389" s="4"/>
      <c r="SR389" s="4"/>
      <c r="SS389" s="5"/>
      <c r="ST389" s="6"/>
      <c r="SU389" s="4"/>
      <c r="SV389" s="4"/>
      <c r="SW389" s="4"/>
      <c r="SX389" s="4"/>
      <c r="SY389" s="4"/>
      <c r="SZ389" s="5"/>
      <c r="TA389" s="6"/>
      <c r="TB389" s="4"/>
      <c r="TC389" s="4"/>
      <c r="TD389" s="4"/>
      <c r="TE389" s="4"/>
      <c r="TF389" s="4"/>
      <c r="TG389" s="5"/>
      <c r="TH389" s="6"/>
      <c r="TI389" s="4"/>
      <c r="TJ389" s="4"/>
      <c r="TK389" s="4"/>
      <c r="TL389" s="4"/>
      <c r="TM389" s="4"/>
      <c r="TN389" s="5"/>
      <c r="TO389" s="6"/>
      <c r="TP389" s="4"/>
      <c r="TQ389" s="4"/>
      <c r="TR389" s="4"/>
      <c r="TS389" s="4"/>
      <c r="TT389" s="4"/>
      <c r="TU389" s="5"/>
      <c r="TV389" s="6"/>
      <c r="TW389" s="4"/>
      <c r="TX389" s="4"/>
      <c r="TY389" s="4"/>
      <c r="TZ389" s="4"/>
      <c r="UA389" s="4"/>
      <c r="UB389" s="5"/>
      <c r="UC389" s="6"/>
      <c r="UD389" s="4"/>
      <c r="UE389" s="4"/>
      <c r="UF389" s="4"/>
      <c r="UG389" s="4"/>
      <c r="UH389" s="4"/>
      <c r="UI389" s="5"/>
      <c r="UJ389" s="6"/>
      <c r="UK389" s="4"/>
      <c r="UL389" s="4"/>
      <c r="UM389" s="4"/>
      <c r="UN389" s="4"/>
      <c r="UO389" s="4"/>
      <c r="UP389" s="5"/>
      <c r="UQ389" s="6"/>
      <c r="UR389" s="4"/>
      <c r="US389" s="4"/>
      <c r="UT389" s="4"/>
      <c r="UU389" s="4"/>
      <c r="UV389" s="4"/>
      <c r="UW389" s="5"/>
      <c r="UX389" s="15" t="s">
        <v>594</v>
      </c>
      <c r="UY389" s="4" t="s">
        <v>627</v>
      </c>
      <c r="UZ389" s="4" t="s">
        <v>1920</v>
      </c>
      <c r="VA389" s="7"/>
      <c r="VB389" s="8">
        <v>38342</v>
      </c>
      <c r="VC389" s="8"/>
      <c r="VD389" s="5"/>
      <c r="VE389" s="6"/>
      <c r="VF389" s="4"/>
      <c r="VG389" s="4"/>
      <c r="VH389" s="4"/>
      <c r="VI389" s="4"/>
      <c r="VJ389" s="4"/>
      <c r="VK389" s="5"/>
      <c r="VL389" s="6"/>
      <c r="VM389" s="4"/>
      <c r="VN389" s="4"/>
      <c r="VO389" s="4"/>
      <c r="VP389" s="4"/>
      <c r="VQ389" s="4"/>
      <c r="VR389" s="5"/>
      <c r="VS389" s="6"/>
      <c r="VT389" s="4"/>
      <c r="VU389" s="4"/>
      <c r="VV389" s="4"/>
      <c r="VW389" s="4"/>
      <c r="VX389" s="4"/>
      <c r="VY389" s="5"/>
      <c r="VZ389" s="6"/>
      <c r="WA389" s="4"/>
      <c r="WB389" s="4"/>
      <c r="WC389" s="4"/>
      <c r="WD389" s="4"/>
      <c r="WE389" s="4"/>
      <c r="WF389" s="5"/>
      <c r="WG389" s="6"/>
      <c r="WH389" s="4"/>
      <c r="WI389" s="4"/>
      <c r="WJ389" s="4"/>
      <c r="WK389" s="4"/>
      <c r="WL389" s="4"/>
      <c r="WM389" s="5"/>
      <c r="WN389" s="6"/>
      <c r="WO389" s="4"/>
      <c r="WP389" s="4"/>
      <c r="WQ389" s="4"/>
      <c r="WR389" s="4"/>
      <c r="WS389" s="4"/>
      <c r="WT389" s="5"/>
      <c r="WU389" s="6"/>
      <c r="WV389" s="4"/>
      <c r="WW389" s="4"/>
      <c r="WX389" s="4"/>
      <c r="WY389" s="4"/>
      <c r="WZ389" s="4"/>
      <c r="XA389" s="5"/>
      <c r="XB389" s="6"/>
      <c r="XC389" s="4"/>
      <c r="XD389" s="4"/>
      <c r="XE389" s="4"/>
      <c r="XF389" s="4"/>
      <c r="XG389" s="4"/>
      <c r="XH389" s="5"/>
      <c r="XI389" s="6"/>
      <c r="XJ389" s="4"/>
      <c r="XK389" s="4"/>
      <c r="XL389" s="4"/>
      <c r="XM389" s="4"/>
      <c r="XN389" s="4"/>
      <c r="XO389" s="5"/>
      <c r="XP389" s="6"/>
      <c r="XQ389" s="4"/>
      <c r="XR389" s="4"/>
      <c r="XS389" s="4"/>
      <c r="XT389" s="4"/>
      <c r="XU389" s="4"/>
      <c r="XV389" s="5"/>
      <c r="XW389" s="6"/>
      <c r="XX389" s="4"/>
      <c r="XY389" s="4"/>
      <c r="XZ389" s="4"/>
      <c r="YA389" s="4"/>
      <c r="YB389" s="4"/>
      <c r="YC389" s="5"/>
      <c r="YD389" s="6"/>
      <c r="YE389" s="4"/>
      <c r="YF389" s="4"/>
      <c r="YG389" s="4"/>
      <c r="YH389" s="4"/>
      <c r="YI389" s="4"/>
      <c r="YJ389" s="5"/>
      <c r="YK389" s="6"/>
      <c r="YM389" s="4"/>
      <c r="YN389" s="4"/>
      <c r="YO389" s="4"/>
      <c r="YP389" s="4"/>
      <c r="YQ389" s="5"/>
      <c r="YR389" s="6"/>
      <c r="YS389" s="4"/>
      <c r="YT389" s="4"/>
      <c r="YU389" s="4"/>
      <c r="YV389" s="4"/>
      <c r="YW389" s="4"/>
      <c r="YX389" s="5"/>
      <c r="YY389" s="6"/>
      <c r="YZ389" s="4"/>
      <c r="ZA389" s="4"/>
      <c r="ZB389" s="4"/>
      <c r="ZC389" s="4"/>
      <c r="ZD389" s="4"/>
      <c r="ZE389" s="5"/>
      <c r="ZF389" s="6"/>
      <c r="ZG389" s="4"/>
      <c r="ZH389" s="4"/>
      <c r="ZI389" s="4"/>
      <c r="ZJ389" s="4"/>
      <c r="ZK389" s="4"/>
      <c r="ZL389" s="5"/>
      <c r="ZM389" s="6"/>
      <c r="ZN389" s="4"/>
      <c r="ZO389" s="4"/>
      <c r="ZP389" s="4"/>
      <c r="ZQ389" s="4"/>
      <c r="ZR389" s="4"/>
      <c r="ZS389" s="5"/>
      <c r="ZT389" s="6"/>
      <c r="ZU389" s="4"/>
      <c r="ZV389" s="4"/>
      <c r="ZW389" s="4"/>
      <c r="ZX389" s="4"/>
      <c r="ZY389" s="4"/>
      <c r="ZZ389" s="5"/>
      <c r="AAA389" s="6"/>
      <c r="AAB389" s="4"/>
      <c r="AAC389" s="4"/>
      <c r="AAD389" s="4"/>
      <c r="AAE389" s="4"/>
      <c r="AAF389" s="4"/>
      <c r="AAG389" s="5"/>
      <c r="AAH389" s="6"/>
      <c r="AAI389" s="4"/>
      <c r="AAJ389" s="4"/>
      <c r="AAK389" s="4"/>
      <c r="AAL389" s="4"/>
      <c r="AAM389" s="4"/>
      <c r="AAN389" s="5"/>
      <c r="AAO389" s="6"/>
      <c r="AAP389" s="4"/>
      <c r="AAQ389" s="4"/>
      <c r="AAR389" s="4"/>
      <c r="AAS389" s="4"/>
      <c r="AAT389" s="4"/>
      <c r="AAU389" s="5"/>
      <c r="AAV389" s="6"/>
      <c r="AAW389" s="4"/>
      <c r="AAX389" s="4"/>
      <c r="AAY389" s="4"/>
      <c r="AAZ389" s="4"/>
      <c r="ABA389" s="4"/>
      <c r="ABB389" s="5"/>
      <c r="ABC389" s="6"/>
      <c r="ABD389" s="4"/>
      <c r="ABE389" s="4"/>
      <c r="ABF389" s="4"/>
      <c r="ABG389" s="8"/>
      <c r="ABH389" s="4"/>
      <c r="ABI389" s="5"/>
      <c r="ABJ389" s="6"/>
      <c r="ABK389" s="4"/>
      <c r="ABL389" s="4"/>
      <c r="ABM389" s="4"/>
      <c r="ABN389" s="4"/>
      <c r="ABO389" s="4"/>
      <c r="ABP389" s="5"/>
      <c r="ABQ389" s="6"/>
      <c r="ABR389" s="4"/>
      <c r="ABS389" s="4"/>
      <c r="ABT389" s="4"/>
      <c r="ABU389" s="4"/>
      <c r="ABV389" s="4"/>
      <c r="ABW389" s="5"/>
      <c r="ABX389" s="6"/>
      <c r="ABY389" s="4"/>
      <c r="ABZ389" s="4"/>
      <c r="ACA389" s="4"/>
      <c r="ACB389" s="4"/>
      <c r="ACC389" s="4"/>
      <c r="ACD389" s="5"/>
      <c r="ACE389" s="6"/>
      <c r="ACF389" s="4"/>
      <c r="ACG389" s="4"/>
      <c r="ACH389" s="4"/>
      <c r="ACI389" s="4"/>
      <c r="ACJ389" s="4"/>
      <c r="ACK389" s="5"/>
      <c r="ACL389" s="6"/>
      <c r="ACM389" s="4"/>
      <c r="ACN389" s="4"/>
      <c r="ACO389" s="4"/>
      <c r="ACP389" s="4"/>
      <c r="ACQ389" s="4"/>
      <c r="ACR389" s="5"/>
      <c r="ACS389" s="6"/>
      <c r="ACT389" s="4"/>
      <c r="ACU389" s="4"/>
      <c r="ACV389" s="4"/>
      <c r="ACW389" s="4"/>
      <c r="ACX389" s="4"/>
      <c r="ACY389" s="5"/>
    </row>
    <row r="390" spans="2:805" x14ac:dyDescent="0.25">
      <c r="B390" s="30"/>
      <c r="J390" s="12"/>
      <c r="K390" s="12"/>
      <c r="L390" s="12"/>
      <c r="LL390" s="6"/>
      <c r="LM390" s="4"/>
      <c r="LN390" s="4"/>
      <c r="LO390" s="4"/>
      <c r="LP390" s="8"/>
      <c r="LQ390" s="8"/>
      <c r="LR390" s="5"/>
      <c r="LS390" s="6"/>
      <c r="LT390" s="4"/>
      <c r="LU390" s="4"/>
      <c r="LV390" s="4"/>
      <c r="LW390" s="4"/>
      <c r="LX390" s="4"/>
      <c r="LY390" s="5"/>
      <c r="LZ390" s="6"/>
      <c r="MA390" s="4"/>
      <c r="MB390" s="4"/>
      <c r="MC390" s="4"/>
      <c r="MD390" s="4"/>
      <c r="ME390" s="4"/>
      <c r="MF390" s="4"/>
      <c r="MG390" s="5"/>
      <c r="MH390" s="6"/>
      <c r="MI390" s="4"/>
      <c r="MJ390" s="4"/>
      <c r="MK390" s="4"/>
      <c r="ML390" s="4"/>
      <c r="MM390" s="4"/>
      <c r="MN390" s="5"/>
      <c r="MO390" s="6"/>
      <c r="MP390" s="4"/>
      <c r="MQ390" s="4"/>
      <c r="MR390" s="4"/>
      <c r="MS390" s="4"/>
      <c r="MT390" s="4"/>
      <c r="MU390" s="5"/>
      <c r="MV390" s="6"/>
      <c r="MW390" s="4"/>
      <c r="MX390" s="4"/>
      <c r="MY390" s="4"/>
      <c r="MZ390" s="4"/>
      <c r="NA390" s="4"/>
      <c r="NB390" s="5"/>
      <c r="NC390" s="15"/>
      <c r="ND390" s="4"/>
      <c r="NE390" s="4"/>
      <c r="NF390" s="4"/>
      <c r="NG390" s="8"/>
      <c r="NH390" s="8"/>
      <c r="NI390" s="5"/>
      <c r="NJ390" s="6"/>
      <c r="NK390" s="4"/>
      <c r="NL390" s="4"/>
      <c r="NM390" s="4"/>
      <c r="NN390" s="4"/>
      <c r="NO390" s="4"/>
      <c r="NP390" s="5"/>
      <c r="NQ390" s="6"/>
      <c r="NR390" s="4"/>
      <c r="NS390" s="4"/>
      <c r="NT390" s="4"/>
      <c r="NU390" s="4"/>
      <c r="NV390" s="4"/>
      <c r="NW390" s="5"/>
      <c r="NX390" s="6"/>
      <c r="NY390" s="4"/>
      <c r="NZ390" s="4"/>
      <c r="OA390" s="4"/>
      <c r="OB390" s="4"/>
      <c r="OC390" s="4"/>
      <c r="OD390" s="5"/>
      <c r="OE390" s="6"/>
      <c r="OF390" s="4"/>
      <c r="OG390" s="4"/>
      <c r="OH390" s="4"/>
      <c r="OI390" s="4"/>
      <c r="OJ390" s="4"/>
      <c r="OK390" s="5"/>
      <c r="OL390" s="6"/>
      <c r="OM390" s="4"/>
      <c r="ON390" s="4"/>
      <c r="OO390" s="4"/>
      <c r="OP390" s="4"/>
      <c r="OQ390" s="4"/>
      <c r="OR390" s="5"/>
      <c r="OS390" s="6"/>
      <c r="OT390" s="4"/>
      <c r="OU390" s="4"/>
      <c r="OV390" s="4"/>
      <c r="OW390" s="4"/>
      <c r="OX390" s="4"/>
      <c r="OY390" s="5"/>
      <c r="OZ390" s="6"/>
      <c r="PA390" s="4"/>
      <c r="PB390" s="4"/>
      <c r="PC390" s="4"/>
      <c r="PD390" s="4"/>
      <c r="PE390" s="4"/>
      <c r="PF390" s="5"/>
      <c r="PG390" s="6"/>
      <c r="PH390" s="4"/>
      <c r="PI390" s="4"/>
      <c r="PJ390" s="4"/>
      <c r="PK390" s="4"/>
      <c r="PL390" s="4"/>
      <c r="PM390" s="5"/>
      <c r="PN390" s="6"/>
      <c r="PO390" s="4"/>
      <c r="PP390" s="4"/>
      <c r="PQ390" s="4"/>
      <c r="PR390" s="4"/>
      <c r="PS390" s="4"/>
      <c r="PT390" s="5"/>
      <c r="PU390" s="6"/>
      <c r="PV390" s="4"/>
      <c r="PW390" s="4"/>
      <c r="PX390" s="4"/>
      <c r="PY390" s="4"/>
      <c r="PZ390" s="4"/>
      <c r="QA390" s="5"/>
      <c r="QB390" s="6"/>
      <c r="QC390" s="4"/>
      <c r="QD390" s="4"/>
      <c r="QE390" s="4"/>
      <c r="QF390" s="4"/>
      <c r="QG390" s="4"/>
      <c r="QH390" s="5"/>
      <c r="QI390" s="6"/>
      <c r="QJ390" s="4"/>
      <c r="QK390" s="4"/>
      <c r="QL390" s="4"/>
      <c r="QM390" s="4"/>
      <c r="QN390" s="4"/>
      <c r="QO390" s="5"/>
      <c r="QP390" s="6"/>
      <c r="QQ390" s="4"/>
      <c r="QR390" s="4"/>
      <c r="QS390" s="4"/>
      <c r="QT390" s="4"/>
      <c r="QU390" s="4"/>
      <c r="QV390" s="5"/>
      <c r="QW390" s="6"/>
      <c r="QX390" s="4"/>
      <c r="QY390" s="4"/>
      <c r="QZ390" s="4"/>
      <c r="RA390" s="4"/>
      <c r="RB390" s="4"/>
      <c r="RC390" s="5"/>
      <c r="RD390" s="6"/>
      <c r="RE390" s="4"/>
      <c r="RF390" s="4"/>
      <c r="RG390" s="4"/>
      <c r="RH390" s="4"/>
      <c r="RI390" s="4"/>
      <c r="RJ390" s="5"/>
      <c r="RK390" s="6"/>
      <c r="RL390" s="4"/>
      <c r="RM390" s="4"/>
      <c r="RN390" s="4"/>
      <c r="RO390" s="4"/>
      <c r="RP390" s="4"/>
      <c r="RQ390" s="5"/>
      <c r="RR390" s="6"/>
      <c r="RS390" s="4"/>
      <c r="RT390" s="4"/>
      <c r="RU390" s="4"/>
      <c r="RV390" s="4"/>
      <c r="RW390" s="4"/>
      <c r="RX390" s="5"/>
      <c r="RY390" s="6"/>
      <c r="RZ390" s="4"/>
      <c r="SA390" s="4"/>
      <c r="SB390" s="4"/>
      <c r="SC390" s="4"/>
      <c r="SD390" s="4"/>
      <c r="SE390" s="5"/>
      <c r="SF390" s="6"/>
      <c r="SG390" s="4"/>
      <c r="SH390" s="4"/>
      <c r="SI390" s="4"/>
      <c r="SJ390" s="4"/>
      <c r="SK390" s="4"/>
      <c r="SL390" s="5"/>
      <c r="SM390" s="6"/>
      <c r="SN390" s="4"/>
      <c r="SO390" s="4"/>
      <c r="SP390" s="4"/>
      <c r="SQ390" s="4"/>
      <c r="SR390" s="4"/>
      <c r="SS390" s="5"/>
      <c r="ST390" s="6"/>
      <c r="SU390" s="4"/>
      <c r="SV390" s="4"/>
      <c r="SW390" s="4"/>
      <c r="SX390" s="4"/>
      <c r="SY390" s="4"/>
      <c r="SZ390" s="5"/>
      <c r="TA390" s="6"/>
      <c r="TB390" s="4"/>
      <c r="TC390" s="4"/>
      <c r="TD390" s="4"/>
      <c r="TE390" s="4"/>
      <c r="TF390" s="4"/>
      <c r="TG390" s="5"/>
      <c r="TH390" s="6"/>
      <c r="TI390" s="4"/>
      <c r="TJ390" s="4"/>
      <c r="TK390" s="4"/>
      <c r="TL390" s="4"/>
      <c r="TM390" s="4"/>
      <c r="TN390" s="5"/>
      <c r="TO390" s="6"/>
      <c r="TP390" s="4"/>
      <c r="TQ390" s="4"/>
      <c r="TR390" s="4"/>
      <c r="TS390" s="4"/>
      <c r="TT390" s="4"/>
      <c r="TU390" s="5"/>
      <c r="TV390" s="6"/>
      <c r="TW390" s="4"/>
      <c r="TX390" s="4"/>
      <c r="TY390" s="4"/>
      <c r="TZ390" s="4"/>
      <c r="UA390" s="4"/>
      <c r="UB390" s="5"/>
      <c r="UC390" s="6"/>
      <c r="UD390" s="4"/>
      <c r="UE390" s="4"/>
      <c r="UF390" s="4"/>
      <c r="UG390" s="4"/>
      <c r="UH390" s="4"/>
      <c r="UI390" s="5"/>
      <c r="UJ390" s="6"/>
      <c r="UK390" s="4"/>
      <c r="UL390" s="4"/>
      <c r="UM390" s="4"/>
      <c r="UN390" s="4"/>
      <c r="UO390" s="4"/>
      <c r="UP390" s="5"/>
      <c r="UQ390" s="6"/>
      <c r="UR390" s="4"/>
      <c r="US390" s="4"/>
      <c r="UT390" s="4"/>
      <c r="UU390" s="4"/>
      <c r="UV390" s="4"/>
      <c r="UW390" s="5"/>
      <c r="UX390" s="6" t="s">
        <v>2738</v>
      </c>
      <c r="UY390" s="4" t="s">
        <v>2738</v>
      </c>
      <c r="UZ390" s="4" t="s">
        <v>954</v>
      </c>
      <c r="VA390" s="7"/>
      <c r="VB390" s="8">
        <v>38361</v>
      </c>
      <c r="VC390" s="8"/>
      <c r="VD390" s="5"/>
      <c r="VE390" s="6"/>
      <c r="VF390" s="4"/>
      <c r="VG390" s="4"/>
      <c r="VH390" s="4"/>
      <c r="VI390" s="4"/>
      <c r="VJ390" s="4"/>
      <c r="VK390" s="5"/>
      <c r="VL390" s="6"/>
      <c r="VM390" s="4"/>
      <c r="VN390" s="4"/>
      <c r="VO390" s="4"/>
      <c r="VP390" s="4"/>
      <c r="VQ390" s="4"/>
      <c r="VR390" s="5"/>
      <c r="VS390" s="6"/>
      <c r="VT390" s="4"/>
      <c r="VU390" s="4"/>
      <c r="VV390" s="4"/>
      <c r="VW390" s="4"/>
      <c r="VX390" s="4"/>
      <c r="VY390" s="5"/>
      <c r="VZ390" s="6"/>
      <c r="WA390" s="4"/>
      <c r="WB390" s="4"/>
      <c r="WC390" s="4"/>
      <c r="WD390" s="4"/>
      <c r="WE390" s="4"/>
      <c r="WF390" s="5"/>
      <c r="WG390" s="6"/>
      <c r="WH390" s="4"/>
      <c r="WI390" s="4"/>
      <c r="WJ390" s="4"/>
      <c r="WK390" s="4"/>
      <c r="WL390" s="4"/>
      <c r="WM390" s="5"/>
      <c r="WN390" s="6"/>
      <c r="WO390" s="4"/>
      <c r="WP390" s="4"/>
      <c r="WQ390" s="4"/>
      <c r="WR390" s="4"/>
      <c r="WS390" s="4"/>
      <c r="WT390" s="5"/>
      <c r="WU390" s="6"/>
      <c r="WV390" s="4"/>
      <c r="WW390" s="4"/>
      <c r="WX390" s="4"/>
      <c r="WY390" s="4"/>
      <c r="WZ390" s="4"/>
      <c r="XA390" s="5"/>
      <c r="XB390" s="6"/>
      <c r="XC390" s="4"/>
      <c r="XD390" s="4"/>
      <c r="XE390" s="4"/>
      <c r="XF390" s="4"/>
      <c r="XG390" s="4"/>
      <c r="XH390" s="5"/>
      <c r="XI390" s="6"/>
      <c r="XJ390" s="4"/>
      <c r="XK390" s="4"/>
      <c r="XL390" s="4"/>
      <c r="XM390" s="4"/>
      <c r="XN390" s="4"/>
      <c r="XO390" s="5"/>
      <c r="XP390" s="6"/>
      <c r="XQ390" s="4"/>
      <c r="XR390" s="4"/>
      <c r="XS390" s="4"/>
      <c r="XT390" s="4"/>
      <c r="XU390" s="4"/>
      <c r="XV390" s="5"/>
      <c r="XW390" s="6"/>
      <c r="XX390" s="4"/>
      <c r="XY390" s="4"/>
      <c r="XZ390" s="4"/>
      <c r="YA390" s="4"/>
      <c r="YB390" s="4"/>
      <c r="YC390" s="5"/>
      <c r="YD390" s="6"/>
      <c r="YE390" s="4"/>
      <c r="YF390" s="4"/>
      <c r="YG390" s="4"/>
      <c r="YH390" s="4"/>
      <c r="YI390" s="4"/>
      <c r="YJ390" s="5"/>
      <c r="YK390" s="6"/>
      <c r="YM390" s="4"/>
      <c r="YN390" s="4"/>
      <c r="YO390" s="4"/>
      <c r="YP390" s="4"/>
      <c r="YQ390" s="5"/>
      <c r="YR390" s="6"/>
      <c r="YS390" s="4"/>
      <c r="YT390" s="4"/>
      <c r="YU390" s="4"/>
      <c r="YV390" s="4"/>
      <c r="YW390" s="4"/>
      <c r="YX390" s="5"/>
      <c r="YY390" s="6"/>
      <c r="YZ390" s="4"/>
      <c r="ZA390" s="4"/>
      <c r="ZB390" s="4"/>
      <c r="ZC390" s="4"/>
      <c r="ZD390" s="4"/>
      <c r="ZE390" s="5"/>
      <c r="ZF390" s="6"/>
      <c r="ZG390" s="4"/>
      <c r="ZH390" s="4"/>
      <c r="ZI390" s="4"/>
      <c r="ZJ390" s="4"/>
      <c r="ZK390" s="4"/>
      <c r="ZL390" s="5"/>
      <c r="ZM390" s="6"/>
      <c r="ZN390" s="4"/>
      <c r="ZO390" s="4"/>
      <c r="ZP390" s="4"/>
      <c r="ZQ390" s="4"/>
      <c r="ZR390" s="4"/>
      <c r="ZS390" s="5"/>
      <c r="ZT390" s="6"/>
      <c r="ZU390" s="4"/>
      <c r="ZV390" s="4"/>
      <c r="ZW390" s="4"/>
      <c r="ZX390" s="4"/>
      <c r="ZY390" s="4"/>
      <c r="ZZ390" s="5"/>
      <c r="AAA390" s="6"/>
      <c r="AAB390" s="4"/>
      <c r="AAC390" s="4"/>
      <c r="AAD390" s="4"/>
      <c r="AAE390" s="4"/>
      <c r="AAF390" s="4"/>
      <c r="AAG390" s="5"/>
      <c r="AAH390" s="6"/>
      <c r="AAI390" s="4"/>
      <c r="AAJ390" s="4"/>
      <c r="AAK390" s="4"/>
      <c r="AAL390" s="4"/>
      <c r="AAM390" s="4"/>
      <c r="AAN390" s="5"/>
      <c r="AAO390" s="6"/>
      <c r="AAP390" s="4"/>
      <c r="AAQ390" s="4"/>
      <c r="AAR390" s="4"/>
      <c r="AAS390" s="4"/>
      <c r="AAT390" s="4"/>
      <c r="AAU390" s="5"/>
      <c r="AAV390" s="6"/>
      <c r="AAW390" s="4"/>
      <c r="AAX390" s="4"/>
      <c r="AAY390" s="4"/>
      <c r="AAZ390" s="4"/>
      <c r="ABA390" s="4"/>
      <c r="ABB390" s="5"/>
      <c r="ABC390" s="6"/>
      <c r="ABD390" s="4"/>
      <c r="ABE390" s="4"/>
      <c r="ABF390" s="4"/>
      <c r="ABG390" s="8"/>
      <c r="ABH390" s="4"/>
      <c r="ABI390" s="5"/>
      <c r="ABJ390" s="6"/>
      <c r="ABK390" s="4"/>
      <c r="ABL390" s="4"/>
      <c r="ABM390" s="4"/>
      <c r="ABN390" s="4"/>
      <c r="ABO390" s="4"/>
      <c r="ABP390" s="5"/>
      <c r="ABQ390" s="6"/>
      <c r="ABR390" s="4"/>
      <c r="ABS390" s="4"/>
      <c r="ABT390" s="4"/>
      <c r="ABU390" s="4"/>
      <c r="ABV390" s="4"/>
      <c r="ABW390" s="5"/>
      <c r="ABX390" s="6"/>
      <c r="ABY390" s="4"/>
      <c r="ABZ390" s="4"/>
      <c r="ACA390" s="4"/>
      <c r="ACB390" s="4"/>
      <c r="ACC390" s="4"/>
      <c r="ACD390" s="5"/>
      <c r="ACE390" s="6"/>
      <c r="ACF390" s="4"/>
      <c r="ACG390" s="4"/>
      <c r="ACH390" s="4"/>
      <c r="ACI390" s="4"/>
      <c r="ACJ390" s="4"/>
      <c r="ACK390" s="5"/>
      <c r="ACL390" s="6"/>
      <c r="ACM390" s="4"/>
      <c r="ACN390" s="4"/>
      <c r="ACO390" s="4"/>
      <c r="ACP390" s="4"/>
      <c r="ACQ390" s="4"/>
      <c r="ACR390" s="5"/>
      <c r="ACS390" s="6"/>
      <c r="ACT390" s="4"/>
      <c r="ACU390" s="4"/>
      <c r="ACV390" s="4"/>
      <c r="ACW390" s="4"/>
      <c r="ACX390" s="4"/>
      <c r="ACY390" s="5"/>
    </row>
    <row r="391" spans="2:805" x14ac:dyDescent="0.25">
      <c r="B391" s="49">
        <v>8027236</v>
      </c>
      <c r="C391" s="57">
        <v>89</v>
      </c>
      <c r="D391" t="s">
        <v>355</v>
      </c>
      <c r="E391" s="35" t="s">
        <v>3999</v>
      </c>
      <c r="F391" s="23">
        <v>1</v>
      </c>
      <c r="G391" s="31">
        <v>38846</v>
      </c>
      <c r="H391" s="23" t="s">
        <v>323</v>
      </c>
      <c r="J391" s="12"/>
      <c r="K391" s="12"/>
      <c r="L391" s="12"/>
      <c r="M391">
        <v>1</v>
      </c>
      <c r="N391" s="17">
        <v>38837</v>
      </c>
      <c r="O391" t="s">
        <v>356</v>
      </c>
      <c r="Q391">
        <v>1</v>
      </c>
      <c r="AN391">
        <v>1</v>
      </c>
      <c r="AO391">
        <v>1</v>
      </c>
      <c r="DP391">
        <v>1</v>
      </c>
      <c r="LL391" s="6"/>
      <c r="LM391" s="4"/>
      <c r="LN391" s="4"/>
      <c r="LO391" s="4"/>
      <c r="LP391" s="4"/>
      <c r="LQ391" s="4"/>
      <c r="LR391" s="5"/>
      <c r="LS391" s="6"/>
      <c r="LT391" s="4"/>
      <c r="LU391" s="4"/>
      <c r="LV391" s="4"/>
      <c r="LW391" s="4"/>
      <c r="LX391" s="4"/>
      <c r="LY391" s="5"/>
      <c r="LZ391" s="6" t="s">
        <v>1154</v>
      </c>
      <c r="MA391" s="7" t="s">
        <v>2525</v>
      </c>
      <c r="MB391" s="4" t="s">
        <v>1444</v>
      </c>
      <c r="MC391" s="4"/>
      <c r="MD391" s="8">
        <v>38835</v>
      </c>
      <c r="ME391" s="4"/>
      <c r="MF391" s="4"/>
      <c r="MG391" s="5" t="s">
        <v>488</v>
      </c>
      <c r="MH391" s="6"/>
      <c r="MI391" s="4"/>
      <c r="MJ391" s="4"/>
      <c r="MK391" s="4"/>
      <c r="ML391" s="4"/>
      <c r="MM391" s="4"/>
      <c r="MN391" s="5"/>
      <c r="MO391" s="6"/>
      <c r="MP391" s="4"/>
      <c r="MQ391" s="4"/>
      <c r="MR391" s="4"/>
      <c r="MS391" s="4"/>
      <c r="MT391" s="4"/>
      <c r="MU391" s="5"/>
      <c r="MV391" s="6"/>
      <c r="MW391" s="4"/>
      <c r="MX391" s="4"/>
      <c r="MY391" s="4"/>
      <c r="MZ391" s="4"/>
      <c r="NA391" s="4"/>
      <c r="NB391" s="5"/>
      <c r="NC391" s="6"/>
      <c r="ND391" s="4"/>
      <c r="NE391" s="4"/>
      <c r="NF391" s="4"/>
      <c r="NG391" s="4"/>
      <c r="NH391" s="4"/>
      <c r="NI391" s="5"/>
      <c r="NJ391" s="6" t="s">
        <v>1817</v>
      </c>
      <c r="NK391" s="4" t="s">
        <v>1818</v>
      </c>
      <c r="NL391" s="4" t="s">
        <v>444</v>
      </c>
      <c r="NM391" s="4"/>
      <c r="NN391" s="8">
        <v>38835</v>
      </c>
      <c r="NO391" s="4"/>
      <c r="NP391" s="5"/>
      <c r="NQ391" s="6"/>
      <c r="NR391" s="4"/>
      <c r="NS391" s="4"/>
      <c r="NT391" s="4"/>
      <c r="NU391" s="4"/>
      <c r="NV391" s="4"/>
      <c r="NW391" s="5"/>
      <c r="NX391" s="6"/>
      <c r="NY391" s="4"/>
      <c r="NZ391" s="4"/>
      <c r="OA391" s="4"/>
      <c r="OB391" s="4"/>
      <c r="OC391" s="4"/>
      <c r="OD391" s="5"/>
      <c r="OE391" s="6"/>
      <c r="OF391" s="4"/>
      <c r="OG391" s="4"/>
      <c r="OH391" s="4"/>
      <c r="OI391" s="4"/>
      <c r="OJ391" s="4"/>
      <c r="OK391" s="5"/>
      <c r="OL391" s="6"/>
      <c r="OM391" s="4"/>
      <c r="ON391" s="4"/>
      <c r="OO391" s="4"/>
      <c r="OP391" s="4"/>
      <c r="OQ391" s="4"/>
      <c r="OR391" s="5"/>
      <c r="OS391" s="6"/>
      <c r="OT391" s="4"/>
      <c r="OU391" s="4"/>
      <c r="OV391" s="4"/>
      <c r="OW391" s="4"/>
      <c r="OX391" s="4"/>
      <c r="OY391" s="5"/>
      <c r="OZ391" s="6"/>
      <c r="PA391" s="4"/>
      <c r="PB391" s="4"/>
      <c r="PC391" s="4"/>
      <c r="PD391" s="4"/>
      <c r="PE391" s="4"/>
      <c r="PF391" s="5"/>
      <c r="PG391" s="6"/>
      <c r="PH391" s="4"/>
      <c r="PI391" s="4"/>
      <c r="PJ391" s="4"/>
      <c r="PK391" s="4"/>
      <c r="PL391" s="4"/>
      <c r="PM391" s="5"/>
      <c r="PN391" s="6"/>
      <c r="PO391" s="4"/>
      <c r="PP391" s="4"/>
      <c r="PQ391" s="4"/>
      <c r="PR391" s="4"/>
      <c r="PS391" s="4"/>
      <c r="PT391" s="5"/>
      <c r="PU391" s="6" t="s">
        <v>1663</v>
      </c>
      <c r="PV391" s="4" t="s">
        <v>2876</v>
      </c>
      <c r="PW391" s="4" t="s">
        <v>2660</v>
      </c>
      <c r="PX391" s="7" t="s">
        <v>3027</v>
      </c>
      <c r="PY391" s="8">
        <v>38836</v>
      </c>
      <c r="PZ391" s="8">
        <v>38836</v>
      </c>
      <c r="QA391" s="5" t="s">
        <v>360</v>
      </c>
      <c r="QB391" s="6"/>
      <c r="QC391" s="4"/>
      <c r="QD391" s="4"/>
      <c r="QE391" s="4"/>
      <c r="QF391" s="4"/>
      <c r="QG391" s="4"/>
      <c r="QH391" s="5"/>
      <c r="QI391" s="6"/>
      <c r="QJ391" s="4"/>
      <c r="QK391" s="4"/>
      <c r="QL391" s="4"/>
      <c r="QM391" s="4"/>
      <c r="QN391" s="4"/>
      <c r="QO391" s="5"/>
      <c r="QP391" s="6"/>
      <c r="QQ391" s="4"/>
      <c r="QR391" s="4"/>
      <c r="QS391" s="4"/>
      <c r="QT391" s="4"/>
      <c r="QU391" s="4"/>
      <c r="QV391" s="5"/>
      <c r="QW391" s="6"/>
      <c r="QX391" s="4"/>
      <c r="QY391" s="4"/>
      <c r="QZ391" s="4"/>
      <c r="RA391" s="4"/>
      <c r="RB391" s="4"/>
      <c r="RC391" s="5"/>
      <c r="RD391" s="6"/>
      <c r="RE391" s="4"/>
      <c r="RF391" s="4"/>
      <c r="RG391" s="4"/>
      <c r="RH391" s="4"/>
      <c r="RI391" s="4"/>
      <c r="RJ391" s="5"/>
      <c r="RK391" s="6"/>
      <c r="RL391" s="4"/>
      <c r="RM391" s="4"/>
      <c r="RN391" s="4"/>
      <c r="RO391" s="4"/>
      <c r="RP391" s="4"/>
      <c r="RQ391" s="5"/>
      <c r="RR391" s="6"/>
      <c r="RS391" s="4"/>
      <c r="RT391" s="4"/>
      <c r="RU391" s="4"/>
      <c r="RV391" s="4"/>
      <c r="RW391" s="4"/>
      <c r="RX391" s="5"/>
      <c r="RY391" s="6"/>
      <c r="RZ391" s="4"/>
      <c r="SA391" s="4"/>
      <c r="SB391" s="4"/>
      <c r="SC391" s="4"/>
      <c r="SD391" s="4"/>
      <c r="SE391" s="5"/>
      <c r="SF391" s="6"/>
      <c r="SG391" s="4"/>
      <c r="SH391" s="4"/>
      <c r="SI391" s="4"/>
      <c r="SJ391" s="4"/>
      <c r="SK391" s="4"/>
      <c r="SL391" s="5"/>
      <c r="SM391" s="6"/>
      <c r="SN391" s="4"/>
      <c r="SO391" s="4"/>
      <c r="SP391" s="4"/>
      <c r="SQ391" s="4"/>
      <c r="SR391" s="4"/>
      <c r="SS391" s="5"/>
      <c r="ST391" s="6"/>
      <c r="SU391" s="4"/>
      <c r="SV391" s="4"/>
      <c r="SW391" s="4"/>
      <c r="SX391" s="4"/>
      <c r="SY391" s="4"/>
      <c r="SZ391" s="5"/>
      <c r="TA391" s="6"/>
      <c r="TB391" s="4"/>
      <c r="TC391" s="4"/>
      <c r="TD391" s="4"/>
      <c r="TE391" s="4"/>
      <c r="TF391" s="4"/>
      <c r="TG391" s="5"/>
      <c r="TH391" s="6" t="s">
        <v>1925</v>
      </c>
      <c r="TI391" s="4" t="s">
        <v>1888</v>
      </c>
      <c r="TJ391" s="4" t="s">
        <v>1840</v>
      </c>
      <c r="TK391" s="4"/>
      <c r="TL391" s="8">
        <v>38836</v>
      </c>
      <c r="TM391" s="4"/>
      <c r="TN391" s="5" t="s">
        <v>213</v>
      </c>
      <c r="TO391" s="6"/>
      <c r="TP391" s="4"/>
      <c r="TQ391" s="4"/>
      <c r="TR391" s="4"/>
      <c r="TS391" s="4"/>
      <c r="TT391" s="4"/>
      <c r="TU391" s="5"/>
      <c r="TV391" s="6"/>
      <c r="TW391" s="4"/>
      <c r="TX391" s="4"/>
      <c r="TY391" s="4"/>
      <c r="TZ391" s="4"/>
      <c r="UA391" s="4"/>
      <c r="UB391" s="5"/>
      <c r="UC391" s="6"/>
      <c r="UD391" s="4"/>
      <c r="UE391" s="4"/>
      <c r="UF391" s="4"/>
      <c r="UG391" s="4"/>
      <c r="UH391" s="4"/>
      <c r="UI391" s="5"/>
      <c r="UJ391" s="6"/>
      <c r="UK391" s="4"/>
      <c r="UL391" s="4"/>
      <c r="UM391" s="4"/>
      <c r="UN391" s="4"/>
      <c r="UO391" s="4"/>
      <c r="UP391" s="5"/>
      <c r="UQ391" s="6"/>
      <c r="UR391" s="4"/>
      <c r="US391" s="4"/>
      <c r="UT391" s="4"/>
      <c r="UU391" s="4"/>
      <c r="UV391" s="4"/>
      <c r="UW391" s="5"/>
      <c r="UX391" s="6"/>
      <c r="UY391" s="4"/>
      <c r="UZ391" s="4"/>
      <c r="VA391" s="4"/>
      <c r="VB391" s="4"/>
      <c r="VC391" s="4"/>
      <c r="VD391" s="5"/>
      <c r="VE391" s="6"/>
      <c r="VF391" s="4"/>
      <c r="VG391" s="4"/>
      <c r="VH391" s="4"/>
      <c r="VI391" s="4"/>
      <c r="VJ391" s="4"/>
      <c r="VK391" s="5"/>
      <c r="VL391" s="4" t="s">
        <v>445</v>
      </c>
      <c r="VM391" s="4" t="s">
        <v>445</v>
      </c>
      <c r="VN391" s="4" t="s">
        <v>446</v>
      </c>
      <c r="VO391" s="7" t="s">
        <v>3027</v>
      </c>
      <c r="VP391" s="8">
        <v>38828</v>
      </c>
      <c r="VQ391" s="8">
        <v>38828</v>
      </c>
      <c r="VR391" s="5" t="s">
        <v>488</v>
      </c>
      <c r="VS391" s="6"/>
      <c r="VT391" s="4"/>
      <c r="VU391" s="4"/>
      <c r="VV391" s="4"/>
      <c r="VW391" s="4"/>
      <c r="VX391" s="4"/>
      <c r="VY391" s="5"/>
      <c r="VZ391" s="6"/>
      <c r="WA391" s="4"/>
      <c r="WB391" s="4"/>
      <c r="WC391" s="4"/>
      <c r="WD391" s="4"/>
      <c r="WE391" s="4"/>
      <c r="WF391" s="5"/>
      <c r="WG391" s="6"/>
      <c r="WH391" s="4"/>
      <c r="WI391" s="4"/>
      <c r="WJ391" s="4"/>
      <c r="WK391" s="4"/>
      <c r="WL391" s="4"/>
      <c r="WM391" s="5"/>
      <c r="WN391" s="6"/>
      <c r="WO391" s="4"/>
      <c r="WP391" s="4"/>
      <c r="WQ391" s="4"/>
      <c r="WR391" s="4"/>
      <c r="WS391" s="4"/>
      <c r="WT391" s="5"/>
      <c r="WU391" s="6"/>
      <c r="WV391" s="4"/>
      <c r="WW391" s="4"/>
      <c r="WX391" s="4"/>
      <c r="WY391" s="4"/>
      <c r="WZ391" s="4"/>
      <c r="XA391" s="5"/>
      <c r="XB391" s="6"/>
      <c r="XC391" s="4"/>
      <c r="XD391" s="4"/>
      <c r="XE391" s="4"/>
      <c r="XF391" s="4"/>
      <c r="XG391" s="4"/>
      <c r="XH391" s="5"/>
      <c r="XI391" s="6"/>
      <c r="XJ391" s="4"/>
      <c r="XK391" s="4"/>
      <c r="XL391" s="4"/>
      <c r="XM391" s="4"/>
      <c r="XN391" s="4"/>
      <c r="XO391" s="5"/>
      <c r="XP391" s="6"/>
      <c r="XQ391" s="4"/>
      <c r="XR391" s="4"/>
      <c r="XS391" s="4"/>
      <c r="XT391" s="4"/>
      <c r="XU391" s="4"/>
      <c r="XV391" s="5"/>
      <c r="XW391" s="6"/>
      <c r="XX391" s="4"/>
      <c r="XY391" s="4"/>
      <c r="XZ391" s="4"/>
      <c r="YA391" s="4"/>
      <c r="YB391" s="4"/>
      <c r="YC391" s="5"/>
      <c r="YD391" s="6"/>
      <c r="YE391" s="4"/>
      <c r="YF391" s="4"/>
      <c r="YG391" s="4"/>
      <c r="YH391" s="4"/>
      <c r="YI391" s="4"/>
      <c r="YJ391" s="5"/>
      <c r="YK391" s="6" t="s">
        <v>447</v>
      </c>
      <c r="YL391" s="4" t="s">
        <v>2722</v>
      </c>
      <c r="YM391" s="4" t="s">
        <v>361</v>
      </c>
      <c r="YN391" s="4"/>
      <c r="YO391" s="8">
        <v>38835</v>
      </c>
      <c r="YP391" s="4"/>
      <c r="YQ391" s="5"/>
      <c r="YR391" s="6"/>
      <c r="YS391" s="4"/>
      <c r="YT391" s="4"/>
      <c r="YU391" s="4"/>
      <c r="YV391" s="4"/>
      <c r="YW391" s="4"/>
      <c r="YX391" s="5"/>
      <c r="YY391" s="6"/>
      <c r="YZ391" s="4"/>
      <c r="ZA391" s="4"/>
      <c r="ZB391" s="4"/>
      <c r="ZC391" s="4"/>
      <c r="ZD391" s="4"/>
      <c r="ZE391" s="5"/>
      <c r="ZF391" s="6"/>
      <c r="ZG391" s="4"/>
      <c r="ZH391" s="4"/>
      <c r="ZI391" s="4"/>
      <c r="ZJ391" s="4"/>
      <c r="ZK391" s="4"/>
      <c r="ZL391" s="5"/>
      <c r="ZM391" s="6" t="s">
        <v>2979</v>
      </c>
      <c r="ZN391" s="4" t="s">
        <v>1013</v>
      </c>
      <c r="ZO391" s="4" t="s">
        <v>2660</v>
      </c>
      <c r="ZP391" s="4"/>
      <c r="ZQ391" s="8">
        <v>38835</v>
      </c>
      <c r="ZR391" s="4"/>
      <c r="ZS391" s="5" t="s">
        <v>360</v>
      </c>
      <c r="ZT391" s="6"/>
      <c r="ZU391" s="4"/>
      <c r="ZV391" s="4"/>
      <c r="ZW391" s="4"/>
      <c r="ZX391" s="4"/>
      <c r="ZY391" s="4"/>
      <c r="ZZ391" s="5"/>
      <c r="AAA391" s="6"/>
      <c r="AAB391" s="4"/>
      <c r="AAC391" s="4"/>
      <c r="AAD391" s="4"/>
      <c r="AAE391" s="4"/>
      <c r="AAF391" s="4"/>
      <c r="AAG391" s="5"/>
      <c r="AAH391" s="6"/>
      <c r="AAI391" s="4"/>
      <c r="AAJ391" s="4"/>
      <c r="AAK391" s="4"/>
      <c r="AAL391" s="4"/>
      <c r="AAM391" s="4"/>
      <c r="AAN391" s="5"/>
      <c r="AAO391" s="6"/>
      <c r="AAP391" s="4"/>
      <c r="AAQ391" s="4"/>
      <c r="AAR391" s="4"/>
      <c r="AAS391" s="4"/>
      <c r="AAT391" s="4"/>
      <c r="AAU391" s="5"/>
      <c r="AAV391" s="6"/>
      <c r="AAW391" s="4"/>
      <c r="AAX391" s="4"/>
      <c r="AAY391" s="4"/>
      <c r="AAZ391" s="4"/>
      <c r="ABA391" s="4"/>
      <c r="ABB391" s="5"/>
      <c r="ABC391" s="6"/>
      <c r="ABD391" s="4"/>
      <c r="ABE391" s="4"/>
      <c r="ABF391" s="4"/>
      <c r="ABG391" s="4"/>
      <c r="ABH391" s="4"/>
      <c r="ABI391" s="5"/>
      <c r="ABJ391" s="6"/>
      <c r="ABK391" s="4"/>
      <c r="ABL391" s="4"/>
      <c r="ABM391" s="4"/>
      <c r="ABN391" s="4"/>
      <c r="ABO391" s="4"/>
      <c r="ABP391" s="5"/>
      <c r="ABQ391" s="6"/>
      <c r="ABR391" s="4"/>
      <c r="ABS391" s="4"/>
      <c r="ABT391" s="4"/>
      <c r="ABU391" s="4"/>
      <c r="ABV391" s="4"/>
      <c r="ABW391" s="5"/>
      <c r="ABX391" s="6"/>
      <c r="ABY391" s="4"/>
      <c r="ABZ391" s="4"/>
      <c r="ACA391" s="4"/>
      <c r="ACB391" s="4"/>
      <c r="ACC391" s="4"/>
      <c r="ACD391" s="5"/>
      <c r="ACE391" s="6"/>
      <c r="ACF391" s="4"/>
      <c r="ACG391" s="4"/>
      <c r="ACH391" s="4"/>
      <c r="ACI391" s="4"/>
      <c r="ACJ391" s="4"/>
      <c r="ACK391" s="5"/>
      <c r="ACL391" s="6"/>
      <c r="ACM391" s="4"/>
      <c r="ACN391" s="4"/>
      <c r="ACO391" s="4"/>
      <c r="ACP391" s="4"/>
      <c r="ACQ391" s="4"/>
      <c r="ACR391" s="5"/>
      <c r="ACS391" s="6"/>
      <c r="ACT391" s="4"/>
      <c r="ACU391" s="4"/>
      <c r="ACV391" s="4"/>
      <c r="ACW391" s="4"/>
      <c r="ACX391" s="4"/>
      <c r="ACY391" s="5"/>
      <c r="ADG391" t="s">
        <v>363</v>
      </c>
      <c r="ADL391" t="s">
        <v>364</v>
      </c>
      <c r="ADN391" t="s">
        <v>213</v>
      </c>
    </row>
    <row r="392" spans="2:805" x14ac:dyDescent="0.25">
      <c r="B392" s="30"/>
      <c r="J392" s="12"/>
      <c r="K392" s="12"/>
      <c r="L392" s="12"/>
      <c r="LL392" s="6"/>
      <c r="LM392" s="4"/>
      <c r="LN392" s="4"/>
      <c r="LO392" s="4"/>
      <c r="LP392" s="4"/>
      <c r="LQ392" s="4"/>
      <c r="LR392" s="5"/>
      <c r="LS392" s="6"/>
      <c r="LT392" s="4"/>
      <c r="LU392" s="4"/>
      <c r="LV392" s="4"/>
      <c r="LW392" s="4"/>
      <c r="LX392" s="4"/>
      <c r="LY392" s="5"/>
      <c r="LZ392" s="6" t="s">
        <v>448</v>
      </c>
      <c r="MA392" s="7" t="s">
        <v>575</v>
      </c>
      <c r="MB392" s="4" t="s">
        <v>2660</v>
      </c>
      <c r="MC392" s="7" t="s">
        <v>3027</v>
      </c>
      <c r="MD392" s="8">
        <v>38828</v>
      </c>
      <c r="ME392" s="8">
        <v>38828</v>
      </c>
      <c r="MF392" s="8"/>
      <c r="MG392" s="5" t="s">
        <v>488</v>
      </c>
      <c r="MH392" s="6"/>
      <c r="MI392" s="4"/>
      <c r="MJ392" s="4"/>
      <c r="MK392" s="4"/>
      <c r="ML392" s="4"/>
      <c r="MM392" s="4"/>
      <c r="MN392" s="5"/>
      <c r="MO392" s="6"/>
      <c r="MP392" s="4"/>
      <c r="MQ392" s="4"/>
      <c r="MR392" s="4"/>
      <c r="MS392" s="4"/>
      <c r="MT392" s="4"/>
      <c r="MU392" s="5"/>
      <c r="MV392" s="6"/>
      <c r="MW392" s="4"/>
      <c r="MX392" s="4"/>
      <c r="MY392" s="4"/>
      <c r="MZ392" s="4"/>
      <c r="NA392" s="4"/>
      <c r="NB392" s="5"/>
      <c r="NC392" s="6"/>
      <c r="ND392" s="4"/>
      <c r="NE392" s="4"/>
      <c r="NF392" s="4"/>
      <c r="NG392" s="4"/>
      <c r="NH392" s="4"/>
      <c r="NI392" s="5"/>
      <c r="NJ392" s="6"/>
      <c r="NK392" s="4"/>
      <c r="NL392" s="4"/>
      <c r="NM392" s="4"/>
      <c r="NN392" s="8"/>
      <c r="NO392" s="4"/>
      <c r="NP392" s="5"/>
      <c r="NQ392" s="6"/>
      <c r="NR392" s="4"/>
      <c r="NS392" s="4"/>
      <c r="NT392" s="4"/>
      <c r="NU392" s="4"/>
      <c r="NV392" s="4"/>
      <c r="NW392" s="5"/>
      <c r="NX392" s="6"/>
      <c r="NY392" s="4"/>
      <c r="NZ392" s="4"/>
      <c r="OA392" s="4"/>
      <c r="OB392" s="4"/>
      <c r="OC392" s="4"/>
      <c r="OD392" s="5"/>
      <c r="OE392" s="6"/>
      <c r="OF392" s="4"/>
      <c r="OG392" s="4"/>
      <c r="OH392" s="4"/>
      <c r="OI392" s="4"/>
      <c r="OJ392" s="4"/>
      <c r="OK392" s="5"/>
      <c r="OL392" s="6"/>
      <c r="OM392" s="4"/>
      <c r="ON392" s="4"/>
      <c r="OO392" s="4"/>
      <c r="OP392" s="4"/>
      <c r="OQ392" s="4"/>
      <c r="OR392" s="5"/>
      <c r="OS392" s="6"/>
      <c r="OT392" s="4"/>
      <c r="OU392" s="4"/>
      <c r="OV392" s="4"/>
      <c r="OW392" s="4"/>
      <c r="OX392" s="4"/>
      <c r="OY392" s="5"/>
      <c r="OZ392" s="6"/>
      <c r="PA392" s="4"/>
      <c r="PB392" s="4"/>
      <c r="PC392" s="4"/>
      <c r="PD392" s="4"/>
      <c r="PE392" s="4"/>
      <c r="PF392" s="5"/>
      <c r="PG392" s="6"/>
      <c r="PH392" s="4"/>
      <c r="PI392" s="4"/>
      <c r="PJ392" s="4"/>
      <c r="PK392" s="4"/>
      <c r="PL392" s="4"/>
      <c r="PM392" s="5"/>
      <c r="PN392" s="6"/>
      <c r="PO392" s="4"/>
      <c r="PP392" s="4"/>
      <c r="PQ392" s="4"/>
      <c r="PR392" s="4"/>
      <c r="PS392" s="4"/>
      <c r="PT392" s="5"/>
      <c r="PU392" s="6"/>
      <c r="PV392" s="4"/>
      <c r="PW392" s="4"/>
      <c r="PX392" s="4"/>
      <c r="PY392" s="4"/>
      <c r="PZ392" s="4"/>
      <c r="QA392" s="5"/>
      <c r="QB392" s="6"/>
      <c r="QC392" s="4"/>
      <c r="QD392" s="4"/>
      <c r="QE392" s="4"/>
      <c r="QF392" s="4"/>
      <c r="QG392" s="4"/>
      <c r="QH392" s="5"/>
      <c r="QI392" s="6"/>
      <c r="QJ392" s="4"/>
      <c r="QK392" s="4"/>
      <c r="QL392" s="4"/>
      <c r="QM392" s="4"/>
      <c r="QN392" s="4"/>
      <c r="QO392" s="5"/>
      <c r="QP392" s="6"/>
      <c r="QQ392" s="4"/>
      <c r="QR392" s="4"/>
      <c r="QS392" s="4"/>
      <c r="QT392" s="4"/>
      <c r="QU392" s="4"/>
      <c r="QV392" s="5"/>
      <c r="QW392" s="6"/>
      <c r="QX392" s="4"/>
      <c r="QY392" s="4"/>
      <c r="QZ392" s="4"/>
      <c r="RA392" s="4"/>
      <c r="RB392" s="4"/>
      <c r="RC392" s="5"/>
      <c r="RD392" s="6"/>
      <c r="RE392" s="4"/>
      <c r="RF392" s="4"/>
      <c r="RG392" s="4"/>
      <c r="RH392" s="4"/>
      <c r="RI392" s="4"/>
      <c r="RJ392" s="5"/>
      <c r="RK392" s="6"/>
      <c r="RL392" s="4"/>
      <c r="RM392" s="4"/>
      <c r="RN392" s="4"/>
      <c r="RO392" s="4"/>
      <c r="RP392" s="4"/>
      <c r="RQ392" s="5"/>
      <c r="RR392" s="6"/>
      <c r="RS392" s="4"/>
      <c r="RT392" s="4"/>
      <c r="RU392" s="4"/>
      <c r="RV392" s="4"/>
      <c r="RW392" s="4"/>
      <c r="RX392" s="5"/>
      <c r="RY392" s="6"/>
      <c r="RZ392" s="4"/>
      <c r="SA392" s="4"/>
      <c r="SB392" s="4"/>
      <c r="SC392" s="4"/>
      <c r="SD392" s="4"/>
      <c r="SE392" s="5"/>
      <c r="SF392" s="6"/>
      <c r="SG392" s="4"/>
      <c r="SH392" s="4"/>
      <c r="SI392" s="4"/>
      <c r="SJ392" s="4"/>
      <c r="SK392" s="4"/>
      <c r="SL392" s="5"/>
      <c r="SM392" s="6"/>
      <c r="SN392" s="4"/>
      <c r="SO392" s="4"/>
      <c r="SP392" s="4"/>
      <c r="SQ392" s="4"/>
      <c r="SR392" s="4"/>
      <c r="SS392" s="5"/>
      <c r="ST392" s="6"/>
      <c r="SU392" s="4"/>
      <c r="SV392" s="4"/>
      <c r="SW392" s="4"/>
      <c r="SX392" s="4"/>
      <c r="SY392" s="4"/>
      <c r="SZ392" s="5"/>
      <c r="TA392" s="6"/>
      <c r="TB392" s="4"/>
      <c r="TC392" s="4"/>
      <c r="TD392" s="4"/>
      <c r="TE392" s="4"/>
      <c r="TF392" s="4"/>
      <c r="TG392" s="5"/>
      <c r="TH392" s="6"/>
      <c r="TI392" s="4"/>
      <c r="TJ392" s="4"/>
      <c r="TK392" s="4"/>
      <c r="TL392" s="4"/>
      <c r="TM392" s="4"/>
      <c r="TN392" s="5"/>
      <c r="TO392" s="6"/>
      <c r="TP392" s="4"/>
      <c r="TQ392" s="4"/>
      <c r="TR392" s="4"/>
      <c r="TS392" s="4"/>
      <c r="TT392" s="4"/>
      <c r="TU392" s="5"/>
      <c r="TV392" s="6"/>
      <c r="TW392" s="4"/>
      <c r="TX392" s="4"/>
      <c r="TY392" s="4"/>
      <c r="TZ392" s="4"/>
      <c r="UA392" s="4"/>
      <c r="UB392" s="5"/>
      <c r="UC392" s="6"/>
      <c r="UD392" s="4"/>
      <c r="UE392" s="4"/>
      <c r="UF392" s="4"/>
      <c r="UG392" s="4"/>
      <c r="UH392" s="4"/>
      <c r="UI392" s="5"/>
      <c r="UJ392" s="6"/>
      <c r="UK392" s="4"/>
      <c r="UL392" s="4"/>
      <c r="UM392" s="4"/>
      <c r="UN392" s="4"/>
      <c r="UO392" s="4"/>
      <c r="UP392" s="5"/>
      <c r="UQ392" s="6"/>
      <c r="UR392" s="4"/>
      <c r="US392" s="4"/>
      <c r="UT392" s="4"/>
      <c r="UU392" s="4"/>
      <c r="UV392" s="4"/>
      <c r="UW392" s="5"/>
      <c r="UX392" s="6"/>
      <c r="UY392" s="4"/>
      <c r="UZ392" s="4"/>
      <c r="VA392" s="4"/>
      <c r="VB392" s="4"/>
      <c r="VC392" s="4"/>
      <c r="VD392" s="5"/>
      <c r="VE392" s="6"/>
      <c r="VF392" s="4"/>
      <c r="VG392" s="4"/>
      <c r="VH392" s="4"/>
      <c r="VI392" s="4"/>
      <c r="VJ392" s="4"/>
      <c r="VK392" s="5"/>
      <c r="VL392" s="6"/>
      <c r="VM392" s="4"/>
      <c r="VN392" s="4"/>
      <c r="VO392" s="4"/>
      <c r="VP392" s="4"/>
      <c r="VQ392" s="4"/>
      <c r="VR392" s="5"/>
      <c r="VS392" s="6"/>
      <c r="VT392" s="4"/>
      <c r="VU392" s="4"/>
      <c r="VV392" s="4"/>
      <c r="VW392" s="4"/>
      <c r="VX392" s="4"/>
      <c r="VY392" s="5"/>
      <c r="VZ392" s="6"/>
      <c r="WA392" s="4"/>
      <c r="WB392" s="4"/>
      <c r="WC392" s="4"/>
      <c r="WD392" s="4"/>
      <c r="WE392" s="4"/>
      <c r="WF392" s="5"/>
      <c r="WG392" s="6"/>
      <c r="WH392" s="4"/>
      <c r="WI392" s="4"/>
      <c r="WJ392" s="4"/>
      <c r="WK392" s="4"/>
      <c r="WL392" s="4"/>
      <c r="WM392" s="5"/>
      <c r="WN392" s="6"/>
      <c r="WO392" s="4"/>
      <c r="WP392" s="4"/>
      <c r="WQ392" s="4"/>
      <c r="WR392" s="4"/>
      <c r="WS392" s="4"/>
      <c r="WT392" s="5"/>
      <c r="WU392" s="6"/>
      <c r="WV392" s="4"/>
      <c r="WW392" s="4"/>
      <c r="WX392" s="4"/>
      <c r="WY392" s="4"/>
      <c r="WZ392" s="4"/>
      <c r="XA392" s="5"/>
      <c r="XB392" s="6"/>
      <c r="XC392" s="4"/>
      <c r="XD392" s="4"/>
      <c r="XE392" s="4"/>
      <c r="XF392" s="4"/>
      <c r="XG392" s="4"/>
      <c r="XH392" s="5"/>
      <c r="XI392" s="6"/>
      <c r="XJ392" s="4"/>
      <c r="XK392" s="4"/>
      <c r="XL392" s="4"/>
      <c r="XM392" s="4"/>
      <c r="XN392" s="4"/>
      <c r="XO392" s="5"/>
      <c r="XP392" s="6"/>
      <c r="XQ392" s="4"/>
      <c r="XR392" s="4"/>
      <c r="XS392" s="4"/>
      <c r="XT392" s="4"/>
      <c r="XU392" s="4"/>
      <c r="XV392" s="5"/>
      <c r="XW392" s="6"/>
      <c r="XX392" s="4"/>
      <c r="XY392" s="4"/>
      <c r="XZ392" s="4"/>
      <c r="YA392" s="4"/>
      <c r="YB392" s="4"/>
      <c r="YC392" s="5"/>
      <c r="YD392" s="6"/>
      <c r="YE392" s="4"/>
      <c r="YF392" s="4"/>
      <c r="YG392" s="4"/>
      <c r="YH392" s="4"/>
      <c r="YI392" s="4"/>
      <c r="YJ392" s="5"/>
      <c r="YK392" s="6" t="s">
        <v>787</v>
      </c>
      <c r="YL392" s="7" t="s">
        <v>2837</v>
      </c>
      <c r="YM392" s="4"/>
      <c r="YN392" s="4"/>
      <c r="YO392" s="8">
        <v>38835</v>
      </c>
      <c r="YP392" s="4"/>
      <c r="YQ392" s="5"/>
      <c r="YR392" s="6"/>
      <c r="YS392" s="4"/>
      <c r="YT392" s="4"/>
      <c r="YU392" s="4"/>
      <c r="YV392" s="4"/>
      <c r="YW392" s="4"/>
      <c r="YX392" s="5"/>
      <c r="YY392" s="6"/>
      <c r="YZ392" s="4"/>
      <c r="ZA392" s="4"/>
      <c r="ZB392" s="4"/>
      <c r="ZC392" s="4"/>
      <c r="ZD392" s="4"/>
      <c r="ZE392" s="5"/>
      <c r="ZF392" s="6"/>
      <c r="ZG392" s="4"/>
      <c r="ZH392" s="4"/>
      <c r="ZI392" s="4"/>
      <c r="ZJ392" s="4"/>
      <c r="ZK392" s="4"/>
      <c r="ZL392" s="5"/>
      <c r="ZM392" s="6"/>
      <c r="ZN392" s="4"/>
      <c r="ZO392" s="4"/>
      <c r="ZP392" s="4"/>
      <c r="ZQ392" s="8"/>
      <c r="ZR392" s="4"/>
      <c r="ZS392" s="5"/>
      <c r="ZT392" s="6"/>
      <c r="ZU392" s="4"/>
      <c r="ZV392" s="4"/>
      <c r="ZW392" s="4"/>
      <c r="ZX392" s="4"/>
      <c r="ZY392" s="4"/>
      <c r="ZZ392" s="5"/>
      <c r="AAA392" s="6"/>
      <c r="AAB392" s="4"/>
      <c r="AAC392" s="4"/>
      <c r="AAD392" s="4"/>
      <c r="AAE392" s="4"/>
      <c r="AAF392" s="4"/>
      <c r="AAG392" s="5"/>
      <c r="AAH392" s="6"/>
      <c r="AAI392" s="4"/>
      <c r="AAJ392" s="4"/>
      <c r="AAK392" s="4"/>
      <c r="AAL392" s="4"/>
      <c r="AAM392" s="4"/>
      <c r="AAN392" s="5"/>
      <c r="AAO392" s="6"/>
      <c r="AAP392" s="4"/>
      <c r="AAQ392" s="4"/>
      <c r="AAR392" s="4"/>
      <c r="AAS392" s="4"/>
      <c r="AAT392" s="4"/>
      <c r="AAU392" s="5"/>
      <c r="AAV392" s="6"/>
      <c r="AAW392" s="4"/>
      <c r="AAX392" s="4"/>
      <c r="AAY392" s="4"/>
      <c r="AAZ392" s="4"/>
      <c r="ABA392" s="4"/>
      <c r="ABB392" s="5"/>
      <c r="ABC392" s="6"/>
      <c r="ABD392" s="4"/>
      <c r="ABE392" s="4"/>
      <c r="ABF392" s="4"/>
      <c r="ABG392" s="4"/>
      <c r="ABH392" s="4"/>
      <c r="ABI392" s="5"/>
      <c r="ABJ392" s="6"/>
      <c r="ABK392" s="4"/>
      <c r="ABL392" s="4"/>
      <c r="ABM392" s="4"/>
      <c r="ABN392" s="4"/>
      <c r="ABO392" s="4"/>
      <c r="ABP392" s="5"/>
      <c r="ABQ392" s="6"/>
      <c r="ABR392" s="4"/>
      <c r="ABS392" s="4"/>
      <c r="ABT392" s="4"/>
      <c r="ABU392" s="4"/>
      <c r="ABV392" s="4"/>
      <c r="ABW392" s="5"/>
      <c r="ABX392" s="6"/>
      <c r="ABY392" s="4"/>
      <c r="ABZ392" s="4"/>
      <c r="ACA392" s="4"/>
      <c r="ACB392" s="4"/>
      <c r="ACC392" s="4"/>
      <c r="ACD392" s="5"/>
      <c r="ACE392" s="6"/>
      <c r="ACF392" s="4"/>
      <c r="ACG392" s="4"/>
      <c r="ACH392" s="4"/>
      <c r="ACI392" s="4"/>
      <c r="ACJ392" s="4"/>
      <c r="ACK392" s="5"/>
      <c r="ACL392" s="6"/>
      <c r="ACM392" s="4"/>
      <c r="ACN392" s="4"/>
      <c r="ACO392" s="4"/>
      <c r="ACP392" s="4"/>
      <c r="ACQ392" s="4"/>
      <c r="ACR392" s="5"/>
      <c r="ACS392" s="6"/>
      <c r="ACT392" s="4"/>
      <c r="ACU392" s="4"/>
      <c r="ACV392" s="4"/>
      <c r="ACW392" s="4"/>
      <c r="ACX392" s="4"/>
      <c r="ACY392" s="5"/>
    </row>
    <row r="393" spans="2:805" x14ac:dyDescent="0.25">
      <c r="B393" s="30"/>
      <c r="J393" s="12"/>
      <c r="K393" s="12"/>
      <c r="L393" s="12"/>
      <c r="LL393" s="6"/>
      <c r="LM393" s="4"/>
      <c r="LN393" s="4"/>
      <c r="LO393" s="4"/>
      <c r="LP393" s="4"/>
      <c r="LQ393" s="4"/>
      <c r="LR393" s="5"/>
      <c r="LS393" s="6"/>
      <c r="LT393" s="4"/>
      <c r="LU393" s="4"/>
      <c r="LV393" s="4"/>
      <c r="LW393" s="4"/>
      <c r="LX393" s="4"/>
      <c r="LY393" s="5"/>
      <c r="LZ393" s="11" t="s">
        <v>576</v>
      </c>
      <c r="MA393" s="7" t="s">
        <v>720</v>
      </c>
      <c r="MB393" s="4"/>
      <c r="MC393" s="7" t="s">
        <v>3901</v>
      </c>
      <c r="MD393" s="8">
        <v>38828</v>
      </c>
      <c r="ME393" s="8">
        <v>38835</v>
      </c>
      <c r="MF393" s="8"/>
      <c r="MG393" s="5" t="s">
        <v>357</v>
      </c>
      <c r="MH393" s="6"/>
      <c r="MI393" s="4"/>
      <c r="MJ393" s="4"/>
      <c r="MK393" s="4"/>
      <c r="ML393" s="4"/>
      <c r="MM393" s="4"/>
      <c r="MN393" s="5"/>
      <c r="MO393" s="6"/>
      <c r="MP393" s="4"/>
      <c r="MQ393" s="4"/>
      <c r="MR393" s="4"/>
      <c r="MS393" s="4"/>
      <c r="MT393" s="4"/>
      <c r="MU393" s="5"/>
      <c r="MV393" s="6"/>
      <c r="MW393" s="4"/>
      <c r="MX393" s="4"/>
      <c r="MY393" s="4"/>
      <c r="MZ393" s="4"/>
      <c r="NA393" s="4"/>
      <c r="NB393" s="5"/>
      <c r="NC393" s="6"/>
      <c r="ND393" s="4"/>
      <c r="NE393" s="4"/>
      <c r="NF393" s="4"/>
      <c r="NG393" s="4"/>
      <c r="NH393" s="4"/>
      <c r="NI393" s="5"/>
      <c r="NJ393" s="6"/>
      <c r="NK393" s="4"/>
      <c r="NL393" s="4"/>
      <c r="NM393" s="4"/>
      <c r="NN393" s="8"/>
      <c r="NO393" s="4"/>
      <c r="NP393" s="5"/>
      <c r="NQ393" s="6"/>
      <c r="NR393" s="4"/>
      <c r="NS393" s="4"/>
      <c r="NT393" s="4"/>
      <c r="NU393" s="4"/>
      <c r="NV393" s="4"/>
      <c r="NW393" s="5"/>
      <c r="NX393" s="6"/>
      <c r="NY393" s="4"/>
      <c r="NZ393" s="4"/>
      <c r="OA393" s="4"/>
      <c r="OB393" s="4"/>
      <c r="OC393" s="4"/>
      <c r="OD393" s="5"/>
      <c r="OE393" s="6"/>
      <c r="OF393" s="4"/>
      <c r="OG393" s="4"/>
      <c r="OH393" s="4"/>
      <c r="OI393" s="4"/>
      <c r="OJ393" s="4"/>
      <c r="OK393" s="5"/>
      <c r="OL393" s="6"/>
      <c r="OM393" s="4"/>
      <c r="ON393" s="4"/>
      <c r="OO393" s="4"/>
      <c r="OP393" s="4"/>
      <c r="OQ393" s="4"/>
      <c r="OR393" s="5"/>
      <c r="OS393" s="6"/>
      <c r="OT393" s="4"/>
      <c r="OU393" s="4"/>
      <c r="OV393" s="4"/>
      <c r="OW393" s="4"/>
      <c r="OX393" s="4"/>
      <c r="OY393" s="5"/>
      <c r="OZ393" s="6"/>
      <c r="PA393" s="4"/>
      <c r="PB393" s="4"/>
      <c r="PC393" s="4"/>
      <c r="PD393" s="4"/>
      <c r="PE393" s="4"/>
      <c r="PF393" s="5"/>
      <c r="PG393" s="6"/>
      <c r="PH393" s="4"/>
      <c r="PI393" s="4"/>
      <c r="PJ393" s="4"/>
      <c r="PK393" s="4"/>
      <c r="PL393" s="4"/>
      <c r="PM393" s="5"/>
      <c r="PN393" s="6"/>
      <c r="PO393" s="4"/>
      <c r="PP393" s="4"/>
      <c r="PQ393" s="4"/>
      <c r="PR393" s="4"/>
      <c r="PS393" s="4"/>
      <c r="PT393" s="5"/>
      <c r="PU393" s="6"/>
      <c r="PV393" s="4"/>
      <c r="PW393" s="4"/>
      <c r="PX393" s="4"/>
      <c r="PY393" s="4"/>
      <c r="PZ393" s="4"/>
      <c r="QA393" s="5"/>
      <c r="QB393" s="6"/>
      <c r="QC393" s="4"/>
      <c r="QD393" s="4"/>
      <c r="QE393" s="4"/>
      <c r="QF393" s="4"/>
      <c r="QG393" s="4"/>
      <c r="QH393" s="5"/>
      <c r="QI393" s="6"/>
      <c r="QJ393" s="4"/>
      <c r="QK393" s="4"/>
      <c r="QL393" s="4"/>
      <c r="QM393" s="4"/>
      <c r="QN393" s="4"/>
      <c r="QO393" s="5"/>
      <c r="QP393" s="6"/>
      <c r="QQ393" s="4"/>
      <c r="QR393" s="4"/>
      <c r="QS393" s="4"/>
      <c r="QT393" s="4"/>
      <c r="QU393" s="4"/>
      <c r="QV393" s="5"/>
      <c r="QW393" s="6"/>
      <c r="QX393" s="4"/>
      <c r="QY393" s="4"/>
      <c r="QZ393" s="4"/>
      <c r="RA393" s="4"/>
      <c r="RB393" s="4"/>
      <c r="RC393" s="5"/>
      <c r="RD393" s="6"/>
      <c r="RE393" s="4"/>
      <c r="RF393" s="4"/>
      <c r="RG393" s="4"/>
      <c r="RH393" s="4"/>
      <c r="RI393" s="4"/>
      <c r="RJ393" s="5"/>
      <c r="RK393" s="6"/>
      <c r="RL393" s="4"/>
      <c r="RM393" s="4"/>
      <c r="RN393" s="4"/>
      <c r="RO393" s="4"/>
      <c r="RP393" s="4"/>
      <c r="RQ393" s="5"/>
      <c r="RR393" s="6"/>
      <c r="RS393" s="4"/>
      <c r="RT393" s="4"/>
      <c r="RU393" s="4"/>
      <c r="RV393" s="4"/>
      <c r="RW393" s="4"/>
      <c r="RX393" s="5"/>
      <c r="RY393" s="6"/>
      <c r="RZ393" s="4"/>
      <c r="SA393" s="4"/>
      <c r="SB393" s="4"/>
      <c r="SC393" s="4"/>
      <c r="SD393" s="4"/>
      <c r="SE393" s="5"/>
      <c r="SF393" s="6"/>
      <c r="SG393" s="4"/>
      <c r="SH393" s="4"/>
      <c r="SI393" s="4"/>
      <c r="SJ393" s="4"/>
      <c r="SK393" s="4"/>
      <c r="SL393" s="5"/>
      <c r="SM393" s="6"/>
      <c r="SN393" s="4"/>
      <c r="SO393" s="4"/>
      <c r="SP393" s="4"/>
      <c r="SQ393" s="4"/>
      <c r="SR393" s="4"/>
      <c r="SS393" s="5"/>
      <c r="ST393" s="6"/>
      <c r="SU393" s="4"/>
      <c r="SV393" s="4"/>
      <c r="SW393" s="4"/>
      <c r="SX393" s="4"/>
      <c r="SY393" s="4"/>
      <c r="SZ393" s="5"/>
      <c r="TA393" s="6"/>
      <c r="TB393" s="4"/>
      <c r="TC393" s="4"/>
      <c r="TD393" s="4"/>
      <c r="TE393" s="4"/>
      <c r="TF393" s="4"/>
      <c r="TG393" s="5"/>
      <c r="TH393" s="6"/>
      <c r="TI393" s="4"/>
      <c r="TJ393" s="4"/>
      <c r="TK393" s="4"/>
      <c r="TL393" s="4"/>
      <c r="TM393" s="4"/>
      <c r="TN393" s="5"/>
      <c r="TO393" s="6"/>
      <c r="TP393" s="4"/>
      <c r="TQ393" s="4"/>
      <c r="TR393" s="4"/>
      <c r="TS393" s="4"/>
      <c r="TT393" s="4"/>
      <c r="TU393" s="5"/>
      <c r="TV393" s="6"/>
      <c r="TW393" s="4"/>
      <c r="TX393" s="4"/>
      <c r="TY393" s="4"/>
      <c r="TZ393" s="4"/>
      <c r="UA393" s="4"/>
      <c r="UB393" s="5"/>
      <c r="UC393" s="6"/>
      <c r="UD393" s="4"/>
      <c r="UE393" s="4"/>
      <c r="UF393" s="4"/>
      <c r="UG393" s="4"/>
      <c r="UH393" s="4"/>
      <c r="UI393" s="5"/>
      <c r="UJ393" s="6"/>
      <c r="UK393" s="4"/>
      <c r="UL393" s="4"/>
      <c r="UM393" s="4"/>
      <c r="UN393" s="4"/>
      <c r="UO393" s="4"/>
      <c r="UP393" s="5"/>
      <c r="UQ393" s="6"/>
      <c r="UR393" s="4"/>
      <c r="US393" s="4"/>
      <c r="UT393" s="4"/>
      <c r="UU393" s="4"/>
      <c r="UV393" s="4"/>
      <c r="UW393" s="5"/>
      <c r="UX393" s="6"/>
      <c r="UY393" s="4"/>
      <c r="UZ393" s="4"/>
      <c r="VA393" s="4"/>
      <c r="VB393" s="4"/>
      <c r="VC393" s="4"/>
      <c r="VD393" s="5"/>
      <c r="VE393" s="6"/>
      <c r="VF393" s="4"/>
      <c r="VG393" s="4"/>
      <c r="VH393" s="4"/>
      <c r="VI393" s="4"/>
      <c r="VJ393" s="4"/>
      <c r="VK393" s="5"/>
      <c r="VL393" s="6"/>
      <c r="VM393" s="4"/>
      <c r="VN393" s="4"/>
      <c r="VO393" s="4"/>
      <c r="VP393" s="4"/>
      <c r="VQ393" s="4"/>
      <c r="VR393" s="5"/>
      <c r="VS393" s="6"/>
      <c r="VT393" s="4"/>
      <c r="VU393" s="4"/>
      <c r="VV393" s="4"/>
      <c r="VW393" s="4"/>
      <c r="VX393" s="4"/>
      <c r="VY393" s="5"/>
      <c r="VZ393" s="6"/>
      <c r="WA393" s="4"/>
      <c r="WB393" s="4"/>
      <c r="WC393" s="4"/>
      <c r="WD393" s="4"/>
      <c r="WE393" s="4"/>
      <c r="WF393" s="5"/>
      <c r="WG393" s="6"/>
      <c r="WH393" s="4"/>
      <c r="WI393" s="4"/>
      <c r="WJ393" s="4"/>
      <c r="WK393" s="4"/>
      <c r="WL393" s="4"/>
      <c r="WM393" s="5"/>
      <c r="WN393" s="6"/>
      <c r="WO393" s="4"/>
      <c r="WP393" s="4"/>
      <c r="WQ393" s="4"/>
      <c r="WR393" s="4"/>
      <c r="WS393" s="4"/>
      <c r="WT393" s="5"/>
      <c r="WU393" s="6"/>
      <c r="WV393" s="4"/>
      <c r="WW393" s="4"/>
      <c r="WX393" s="4"/>
      <c r="WY393" s="4"/>
      <c r="WZ393" s="4"/>
      <c r="XA393" s="5"/>
      <c r="XB393" s="6"/>
      <c r="XC393" s="4"/>
      <c r="XD393" s="4"/>
      <c r="XE393" s="4"/>
      <c r="XF393" s="4"/>
      <c r="XG393" s="4"/>
      <c r="XH393" s="5"/>
      <c r="XI393" s="6"/>
      <c r="XJ393" s="4"/>
      <c r="XK393" s="4"/>
      <c r="XL393" s="4"/>
      <c r="XM393" s="4"/>
      <c r="XN393" s="4"/>
      <c r="XO393" s="5"/>
      <c r="XP393" s="6"/>
      <c r="XQ393" s="4"/>
      <c r="XR393" s="4"/>
      <c r="XS393" s="4"/>
      <c r="XT393" s="4"/>
      <c r="XU393" s="4"/>
      <c r="XV393" s="5"/>
      <c r="XW393" s="6"/>
      <c r="XX393" s="4"/>
      <c r="XY393" s="4"/>
      <c r="XZ393" s="4"/>
      <c r="YA393" s="4"/>
      <c r="YB393" s="4"/>
      <c r="YC393" s="5"/>
      <c r="YD393" s="6"/>
      <c r="YE393" s="4"/>
      <c r="YF393" s="4"/>
      <c r="YG393" s="4"/>
      <c r="YH393" s="4"/>
      <c r="YI393" s="4"/>
      <c r="YJ393" s="5"/>
      <c r="YK393" s="6" t="s">
        <v>577</v>
      </c>
      <c r="YL393" s="4" t="s">
        <v>578</v>
      </c>
      <c r="YM393" s="4"/>
      <c r="YN393" s="4"/>
      <c r="YO393" s="8">
        <v>38835</v>
      </c>
      <c r="YP393" s="4"/>
      <c r="YQ393" s="5"/>
      <c r="YR393" s="6"/>
      <c r="YS393" s="4"/>
      <c r="YT393" s="4"/>
      <c r="YU393" s="4"/>
      <c r="YV393" s="4"/>
      <c r="YW393" s="4"/>
      <c r="YX393" s="5"/>
      <c r="YY393" s="6"/>
      <c r="YZ393" s="4"/>
      <c r="ZA393" s="4"/>
      <c r="ZB393" s="4"/>
      <c r="ZC393" s="4"/>
      <c r="ZD393" s="4"/>
      <c r="ZE393" s="5"/>
      <c r="ZF393" s="6"/>
      <c r="ZG393" s="4"/>
      <c r="ZH393" s="4"/>
      <c r="ZI393" s="4"/>
      <c r="ZJ393" s="4"/>
      <c r="ZK393" s="4"/>
      <c r="ZL393" s="5"/>
      <c r="ZM393" s="6"/>
      <c r="ZN393" s="4"/>
      <c r="ZO393" s="4"/>
      <c r="ZP393" s="4"/>
      <c r="ZQ393" s="8"/>
      <c r="ZR393" s="4"/>
      <c r="ZS393" s="5"/>
      <c r="ZT393" s="6"/>
      <c r="ZU393" s="4"/>
      <c r="ZV393" s="4"/>
      <c r="ZW393" s="4"/>
      <c r="ZX393" s="4"/>
      <c r="ZY393" s="4"/>
      <c r="ZZ393" s="5"/>
      <c r="AAA393" s="6"/>
      <c r="AAB393" s="4"/>
      <c r="AAC393" s="4"/>
      <c r="AAD393" s="4"/>
      <c r="AAE393" s="4"/>
      <c r="AAF393" s="4"/>
      <c r="AAG393" s="5"/>
      <c r="AAH393" s="6"/>
      <c r="AAI393" s="4"/>
      <c r="AAJ393" s="4"/>
      <c r="AAK393" s="4"/>
      <c r="AAL393" s="4"/>
      <c r="AAM393" s="4"/>
      <c r="AAN393" s="5"/>
      <c r="AAO393" s="6"/>
      <c r="AAP393" s="4"/>
      <c r="AAQ393" s="4"/>
      <c r="AAR393" s="4"/>
      <c r="AAS393" s="4"/>
      <c r="AAT393" s="4"/>
      <c r="AAU393" s="5"/>
      <c r="AAV393" s="6"/>
      <c r="AAW393" s="4"/>
      <c r="AAX393" s="4"/>
      <c r="AAY393" s="4"/>
      <c r="AAZ393" s="4"/>
      <c r="ABA393" s="4"/>
      <c r="ABB393" s="5"/>
      <c r="ABC393" s="6"/>
      <c r="ABD393" s="4"/>
      <c r="ABE393" s="4"/>
      <c r="ABF393" s="4"/>
      <c r="ABG393" s="4"/>
      <c r="ABH393" s="4"/>
      <c r="ABI393" s="5"/>
      <c r="ABJ393" s="6"/>
      <c r="ABK393" s="4"/>
      <c r="ABL393" s="4"/>
      <c r="ABM393" s="4"/>
      <c r="ABN393" s="4"/>
      <c r="ABO393" s="4"/>
      <c r="ABP393" s="5"/>
      <c r="ABQ393" s="6"/>
      <c r="ABR393" s="4"/>
      <c r="ABS393" s="4"/>
      <c r="ABT393" s="4"/>
      <c r="ABU393" s="4"/>
      <c r="ABV393" s="4"/>
      <c r="ABW393" s="5"/>
      <c r="ABX393" s="6"/>
      <c r="ABY393" s="4"/>
      <c r="ABZ393" s="4"/>
      <c r="ACA393" s="4"/>
      <c r="ACB393" s="4"/>
      <c r="ACC393" s="4"/>
      <c r="ACD393" s="5"/>
      <c r="ACE393" s="6"/>
      <c r="ACF393" s="4"/>
      <c r="ACG393" s="4"/>
      <c r="ACH393" s="4"/>
      <c r="ACI393" s="4"/>
      <c r="ACJ393" s="4"/>
      <c r="ACK393" s="5"/>
      <c r="ACL393" s="6"/>
      <c r="ACM393" s="4"/>
      <c r="ACN393" s="4"/>
      <c r="ACO393" s="4"/>
      <c r="ACP393" s="4"/>
      <c r="ACQ393" s="4"/>
      <c r="ACR393" s="5"/>
      <c r="ACS393" s="6"/>
      <c r="ACT393" s="4"/>
      <c r="ACU393" s="4"/>
      <c r="ACV393" s="4"/>
      <c r="ACW393" s="4"/>
      <c r="ACX393" s="4"/>
      <c r="ACY393" s="5"/>
    </row>
    <row r="394" spans="2:805" x14ac:dyDescent="0.25">
      <c r="B394" s="30"/>
      <c r="J394" s="12"/>
      <c r="K394" s="12"/>
      <c r="L394" s="12"/>
      <c r="LL394" s="6"/>
      <c r="LM394" s="4"/>
      <c r="LN394" s="4"/>
      <c r="LO394" s="4"/>
      <c r="LP394" s="4"/>
      <c r="LQ394" s="4"/>
      <c r="LR394" s="5"/>
      <c r="LS394" s="6"/>
      <c r="LT394" s="4"/>
      <c r="LU394" s="4"/>
      <c r="LV394" s="4"/>
      <c r="LW394" s="4"/>
      <c r="LX394" s="4"/>
      <c r="LY394" s="5"/>
      <c r="LZ394" s="6" t="s">
        <v>892</v>
      </c>
      <c r="MA394" s="7" t="s">
        <v>3032</v>
      </c>
      <c r="MB394" s="4" t="s">
        <v>2660</v>
      </c>
      <c r="MC394" s="7"/>
      <c r="MD394" s="8">
        <v>38836</v>
      </c>
      <c r="ME394" s="8"/>
      <c r="MF394" s="8"/>
      <c r="MG394" s="5" t="s">
        <v>488</v>
      </c>
      <c r="MH394" s="6"/>
      <c r="MI394" s="4"/>
      <c r="MJ394" s="4"/>
      <c r="MK394" s="4"/>
      <c r="ML394" s="4"/>
      <c r="MM394" s="4"/>
      <c r="MN394" s="5"/>
      <c r="MO394" s="6"/>
      <c r="MP394" s="4"/>
      <c r="MQ394" s="4"/>
      <c r="MR394" s="4"/>
      <c r="MS394" s="4"/>
      <c r="MT394" s="4"/>
      <c r="MU394" s="5"/>
      <c r="MV394" s="6"/>
      <c r="MW394" s="4"/>
      <c r="MX394" s="4"/>
      <c r="MY394" s="4"/>
      <c r="MZ394" s="4"/>
      <c r="NA394" s="4"/>
      <c r="NB394" s="5"/>
      <c r="NC394" s="6"/>
      <c r="ND394" s="4"/>
      <c r="NE394" s="4"/>
      <c r="NF394" s="4"/>
      <c r="NG394" s="4"/>
      <c r="NH394" s="4"/>
      <c r="NI394" s="5"/>
      <c r="NJ394" s="6"/>
      <c r="NK394" s="4"/>
      <c r="NL394" s="4"/>
      <c r="NM394" s="4"/>
      <c r="NN394" s="8"/>
      <c r="NO394" s="4"/>
      <c r="NP394" s="5"/>
      <c r="NQ394" s="6"/>
      <c r="NR394" s="4"/>
      <c r="NS394" s="4"/>
      <c r="NT394" s="4"/>
      <c r="NU394" s="4"/>
      <c r="NV394" s="4"/>
      <c r="NW394" s="5"/>
      <c r="NX394" s="6"/>
      <c r="NY394" s="4"/>
      <c r="NZ394" s="4"/>
      <c r="OA394" s="4"/>
      <c r="OB394" s="4"/>
      <c r="OC394" s="4"/>
      <c r="OD394" s="5"/>
      <c r="OE394" s="6"/>
      <c r="OF394" s="4"/>
      <c r="OG394" s="4"/>
      <c r="OH394" s="4"/>
      <c r="OI394" s="4"/>
      <c r="OJ394" s="4"/>
      <c r="OK394" s="5"/>
      <c r="OL394" s="6"/>
      <c r="OM394" s="4"/>
      <c r="ON394" s="4"/>
      <c r="OO394" s="4"/>
      <c r="OP394" s="4"/>
      <c r="OQ394" s="4"/>
      <c r="OR394" s="5"/>
      <c r="OS394" s="6"/>
      <c r="OT394" s="4"/>
      <c r="OU394" s="4"/>
      <c r="OV394" s="4"/>
      <c r="OW394" s="4"/>
      <c r="OX394" s="4"/>
      <c r="OY394" s="5"/>
      <c r="OZ394" s="6"/>
      <c r="PA394" s="4"/>
      <c r="PB394" s="4"/>
      <c r="PC394" s="4"/>
      <c r="PD394" s="4"/>
      <c r="PE394" s="4"/>
      <c r="PF394" s="5"/>
      <c r="PG394" s="6"/>
      <c r="PH394" s="4"/>
      <c r="PI394" s="4"/>
      <c r="PJ394" s="4"/>
      <c r="PK394" s="4"/>
      <c r="PL394" s="4"/>
      <c r="PM394" s="5"/>
      <c r="PN394" s="6"/>
      <c r="PO394" s="4"/>
      <c r="PP394" s="4"/>
      <c r="PQ394" s="4"/>
      <c r="PR394" s="4"/>
      <c r="PS394" s="4"/>
      <c r="PT394" s="5"/>
      <c r="PU394" s="6"/>
      <c r="PV394" s="4"/>
      <c r="PW394" s="4"/>
      <c r="PX394" s="4"/>
      <c r="PY394" s="4"/>
      <c r="PZ394" s="4"/>
      <c r="QA394" s="5"/>
      <c r="QB394" s="6"/>
      <c r="QC394" s="4"/>
      <c r="QD394" s="4"/>
      <c r="QE394" s="4"/>
      <c r="QF394" s="4"/>
      <c r="QG394" s="4"/>
      <c r="QH394" s="5"/>
      <c r="QI394" s="6"/>
      <c r="QJ394" s="4"/>
      <c r="QK394" s="4"/>
      <c r="QL394" s="4"/>
      <c r="QM394" s="4"/>
      <c r="QN394" s="4"/>
      <c r="QO394" s="5"/>
      <c r="QP394" s="6"/>
      <c r="QQ394" s="4"/>
      <c r="QR394" s="4"/>
      <c r="QS394" s="4"/>
      <c r="QT394" s="4"/>
      <c r="QU394" s="4"/>
      <c r="QV394" s="5"/>
      <c r="QW394" s="6"/>
      <c r="QX394" s="4"/>
      <c r="QY394" s="4"/>
      <c r="QZ394" s="4"/>
      <c r="RA394" s="4"/>
      <c r="RB394" s="4"/>
      <c r="RC394" s="5"/>
      <c r="RD394" s="6"/>
      <c r="RE394" s="4"/>
      <c r="RF394" s="4"/>
      <c r="RG394" s="4"/>
      <c r="RH394" s="4"/>
      <c r="RI394" s="4"/>
      <c r="RJ394" s="5"/>
      <c r="RK394" s="6"/>
      <c r="RL394" s="4"/>
      <c r="RM394" s="4"/>
      <c r="RN394" s="4"/>
      <c r="RO394" s="4"/>
      <c r="RP394" s="4"/>
      <c r="RQ394" s="5"/>
      <c r="RR394" s="6"/>
      <c r="RS394" s="4"/>
      <c r="RT394" s="4"/>
      <c r="RU394" s="4"/>
      <c r="RV394" s="4"/>
      <c r="RW394" s="4"/>
      <c r="RX394" s="5"/>
      <c r="RY394" s="6"/>
      <c r="RZ394" s="4"/>
      <c r="SA394" s="4"/>
      <c r="SB394" s="4"/>
      <c r="SC394" s="4"/>
      <c r="SD394" s="4"/>
      <c r="SE394" s="5"/>
      <c r="SF394" s="6"/>
      <c r="SG394" s="4"/>
      <c r="SH394" s="4"/>
      <c r="SI394" s="4"/>
      <c r="SJ394" s="4"/>
      <c r="SK394" s="4"/>
      <c r="SL394" s="5"/>
      <c r="SM394" s="6"/>
      <c r="SN394" s="4"/>
      <c r="SO394" s="4"/>
      <c r="SP394" s="4"/>
      <c r="SQ394" s="4"/>
      <c r="SR394" s="4"/>
      <c r="SS394" s="5"/>
      <c r="ST394" s="6"/>
      <c r="SU394" s="4"/>
      <c r="SV394" s="4"/>
      <c r="SW394" s="4"/>
      <c r="SX394" s="4"/>
      <c r="SY394" s="4"/>
      <c r="SZ394" s="5"/>
      <c r="TA394" s="6"/>
      <c r="TB394" s="4"/>
      <c r="TC394" s="4"/>
      <c r="TD394" s="4"/>
      <c r="TE394" s="4"/>
      <c r="TF394" s="4"/>
      <c r="TG394" s="5"/>
      <c r="TH394" s="6"/>
      <c r="TI394" s="4"/>
      <c r="TJ394" s="4"/>
      <c r="TK394" s="4"/>
      <c r="TL394" s="4"/>
      <c r="TM394" s="4"/>
      <c r="TN394" s="5"/>
      <c r="TO394" s="6"/>
      <c r="TP394" s="4"/>
      <c r="TQ394" s="4"/>
      <c r="TR394" s="4"/>
      <c r="TS394" s="4"/>
      <c r="TT394" s="4"/>
      <c r="TU394" s="5"/>
      <c r="TV394" s="6"/>
      <c r="TW394" s="4"/>
      <c r="TX394" s="4"/>
      <c r="TY394" s="4"/>
      <c r="TZ394" s="4"/>
      <c r="UA394" s="4"/>
      <c r="UB394" s="5"/>
      <c r="UC394" s="6"/>
      <c r="UD394" s="4"/>
      <c r="UE394" s="4"/>
      <c r="UF394" s="4"/>
      <c r="UG394" s="4"/>
      <c r="UH394" s="4"/>
      <c r="UI394" s="5"/>
      <c r="UJ394" s="6"/>
      <c r="UK394" s="4"/>
      <c r="UL394" s="4"/>
      <c r="UM394" s="4"/>
      <c r="UN394" s="4"/>
      <c r="UO394" s="4"/>
      <c r="UP394" s="5"/>
      <c r="UQ394" s="6"/>
      <c r="UR394" s="4"/>
      <c r="US394" s="4"/>
      <c r="UT394" s="4"/>
      <c r="UU394" s="4"/>
      <c r="UV394" s="4"/>
      <c r="UW394" s="5"/>
      <c r="UX394" s="6"/>
      <c r="UY394" s="4"/>
      <c r="UZ394" s="4"/>
      <c r="VA394" s="4"/>
      <c r="VB394" s="4"/>
      <c r="VC394" s="4"/>
      <c r="VD394" s="5"/>
      <c r="VE394" s="6"/>
      <c r="VF394" s="4"/>
      <c r="VG394" s="4"/>
      <c r="VH394" s="4"/>
      <c r="VI394" s="4"/>
      <c r="VJ394" s="4"/>
      <c r="VK394" s="5"/>
      <c r="VL394" s="6"/>
      <c r="VM394" s="4"/>
      <c r="VN394" s="4"/>
      <c r="VO394" s="4"/>
      <c r="VP394" s="4"/>
      <c r="VQ394" s="4"/>
      <c r="VR394" s="5"/>
      <c r="VS394" s="6"/>
      <c r="VT394" s="4"/>
      <c r="VU394" s="4"/>
      <c r="VV394" s="4"/>
      <c r="VW394" s="4"/>
      <c r="VX394" s="4"/>
      <c r="VY394" s="5"/>
      <c r="VZ394" s="6"/>
      <c r="WA394" s="4"/>
      <c r="WB394" s="4"/>
      <c r="WC394" s="4"/>
      <c r="WD394" s="4"/>
      <c r="WE394" s="4"/>
      <c r="WF394" s="5"/>
      <c r="WG394" s="6"/>
      <c r="WH394" s="4"/>
      <c r="WI394" s="4"/>
      <c r="WJ394" s="4"/>
      <c r="WK394" s="4"/>
      <c r="WL394" s="4"/>
      <c r="WM394" s="5"/>
      <c r="WN394" s="6"/>
      <c r="WO394" s="4"/>
      <c r="WP394" s="4"/>
      <c r="WQ394" s="4"/>
      <c r="WR394" s="4"/>
      <c r="WS394" s="4"/>
      <c r="WT394" s="5"/>
      <c r="WU394" s="6"/>
      <c r="WV394" s="4"/>
      <c r="WW394" s="4"/>
      <c r="WX394" s="4"/>
      <c r="WY394" s="4"/>
      <c r="WZ394" s="4"/>
      <c r="XA394" s="5"/>
      <c r="XB394" s="6"/>
      <c r="XC394" s="4"/>
      <c r="XD394" s="4"/>
      <c r="XE394" s="4"/>
      <c r="XF394" s="4"/>
      <c r="XG394" s="4"/>
      <c r="XH394" s="5"/>
      <c r="XI394" s="6"/>
      <c r="XJ394" s="4"/>
      <c r="XK394" s="4"/>
      <c r="XL394" s="4"/>
      <c r="XM394" s="4"/>
      <c r="XN394" s="4"/>
      <c r="XO394" s="5"/>
      <c r="XP394" s="6"/>
      <c r="XQ394" s="4"/>
      <c r="XR394" s="4"/>
      <c r="XS394" s="4"/>
      <c r="XT394" s="4"/>
      <c r="XU394" s="4"/>
      <c r="XV394" s="5"/>
      <c r="XW394" s="6"/>
      <c r="XX394" s="4"/>
      <c r="XY394" s="4"/>
      <c r="XZ394" s="4"/>
      <c r="YA394" s="4"/>
      <c r="YB394" s="4"/>
      <c r="YC394" s="5"/>
      <c r="YD394" s="6"/>
      <c r="YE394" s="4"/>
      <c r="YF394" s="4"/>
      <c r="YG394" s="4"/>
      <c r="YH394" s="4"/>
      <c r="YI394" s="4"/>
      <c r="YJ394" s="5"/>
      <c r="YK394" s="6" t="s">
        <v>579</v>
      </c>
      <c r="YL394" s="4" t="s">
        <v>457</v>
      </c>
      <c r="YM394" s="4"/>
      <c r="YN394" s="4"/>
      <c r="YO394" s="8">
        <v>38836</v>
      </c>
      <c r="YP394" s="4"/>
      <c r="YQ394" s="5" t="s">
        <v>362</v>
      </c>
      <c r="YR394" s="6"/>
      <c r="YS394" s="4"/>
      <c r="YT394" s="4"/>
      <c r="YU394" s="4"/>
      <c r="YV394" s="4"/>
      <c r="YW394" s="4"/>
      <c r="YX394" s="5"/>
      <c r="YY394" s="6"/>
      <c r="YZ394" s="4"/>
      <c r="ZA394" s="4"/>
      <c r="ZB394" s="4"/>
      <c r="ZC394" s="4"/>
      <c r="ZD394" s="4"/>
      <c r="ZE394" s="5"/>
      <c r="ZF394" s="6"/>
      <c r="ZG394" s="4"/>
      <c r="ZH394" s="4"/>
      <c r="ZI394" s="4"/>
      <c r="ZJ394" s="4"/>
      <c r="ZK394" s="4"/>
      <c r="ZL394" s="5"/>
      <c r="ZM394" s="6"/>
      <c r="ZN394" s="4"/>
      <c r="ZO394" s="4"/>
      <c r="ZP394" s="4"/>
      <c r="ZQ394" s="8"/>
      <c r="ZR394" s="4"/>
      <c r="ZS394" s="5"/>
      <c r="ZT394" s="6"/>
      <c r="ZU394" s="4"/>
      <c r="ZV394" s="4"/>
      <c r="ZW394" s="4"/>
      <c r="ZX394" s="4"/>
      <c r="ZY394" s="4"/>
      <c r="ZZ394" s="5"/>
      <c r="AAA394" s="6"/>
      <c r="AAB394" s="4"/>
      <c r="AAC394" s="4"/>
      <c r="AAD394" s="4"/>
      <c r="AAE394" s="4"/>
      <c r="AAF394" s="4"/>
      <c r="AAG394" s="5"/>
      <c r="AAH394" s="6"/>
      <c r="AAI394" s="4"/>
      <c r="AAJ394" s="4"/>
      <c r="AAK394" s="4"/>
      <c r="AAL394" s="4"/>
      <c r="AAM394" s="4"/>
      <c r="AAN394" s="5"/>
      <c r="AAO394" s="6"/>
      <c r="AAP394" s="4"/>
      <c r="AAQ394" s="4"/>
      <c r="AAR394" s="4"/>
      <c r="AAS394" s="4"/>
      <c r="AAT394" s="4"/>
      <c r="AAU394" s="5"/>
      <c r="AAV394" s="6"/>
      <c r="AAW394" s="4"/>
      <c r="AAX394" s="4"/>
      <c r="AAY394" s="4"/>
      <c r="AAZ394" s="4"/>
      <c r="ABA394" s="4"/>
      <c r="ABB394" s="5"/>
      <c r="ABC394" s="6"/>
      <c r="ABD394" s="4"/>
      <c r="ABE394" s="4"/>
      <c r="ABF394" s="4"/>
      <c r="ABG394" s="4"/>
      <c r="ABH394" s="4"/>
      <c r="ABI394" s="5"/>
      <c r="ABJ394" s="6"/>
      <c r="ABK394" s="4"/>
      <c r="ABL394" s="4"/>
      <c r="ABM394" s="4"/>
      <c r="ABN394" s="4"/>
      <c r="ABO394" s="4"/>
      <c r="ABP394" s="5"/>
      <c r="ABQ394" s="6"/>
      <c r="ABR394" s="4"/>
      <c r="ABS394" s="4"/>
      <c r="ABT394" s="4"/>
      <c r="ABU394" s="4"/>
      <c r="ABV394" s="4"/>
      <c r="ABW394" s="5"/>
      <c r="ABX394" s="6"/>
      <c r="ABY394" s="4"/>
      <c r="ABZ394" s="4"/>
      <c r="ACA394" s="4"/>
      <c r="ACB394" s="4"/>
      <c r="ACC394" s="4"/>
      <c r="ACD394" s="5"/>
      <c r="ACE394" s="6"/>
      <c r="ACF394" s="4"/>
      <c r="ACG394" s="4"/>
      <c r="ACH394" s="4"/>
      <c r="ACI394" s="4"/>
      <c r="ACJ394" s="4"/>
      <c r="ACK394" s="5"/>
      <c r="ACL394" s="6"/>
      <c r="ACM394" s="4"/>
      <c r="ACN394" s="4"/>
      <c r="ACO394" s="4"/>
      <c r="ACP394" s="4"/>
      <c r="ACQ394" s="4"/>
      <c r="ACR394" s="5"/>
      <c r="ACS394" s="6"/>
      <c r="ACT394" s="4"/>
      <c r="ACU394" s="4"/>
      <c r="ACV394" s="4"/>
      <c r="ACW394" s="4"/>
      <c r="ACX394" s="4"/>
      <c r="ACY394" s="5"/>
    </row>
    <row r="395" spans="2:805" x14ac:dyDescent="0.25">
      <c r="B395" s="30"/>
      <c r="J395" s="12"/>
      <c r="K395" s="12"/>
      <c r="L395" s="12"/>
      <c r="LL395" s="6"/>
      <c r="LM395" s="4"/>
      <c r="LN395" s="4"/>
      <c r="LO395" s="4"/>
      <c r="LP395" s="4"/>
      <c r="LQ395" s="4"/>
      <c r="LR395" s="5"/>
      <c r="LS395" s="6"/>
      <c r="LT395" s="4"/>
      <c r="LU395" s="4"/>
      <c r="LV395" s="4"/>
      <c r="LW395" s="4"/>
      <c r="LX395" s="4"/>
      <c r="LY395" s="5"/>
      <c r="LZ395" s="6" t="s">
        <v>458</v>
      </c>
      <c r="MA395" s="7" t="s">
        <v>663</v>
      </c>
      <c r="MB395" s="7" t="s">
        <v>446</v>
      </c>
      <c r="MC395" s="7" t="s">
        <v>3027</v>
      </c>
      <c r="MD395" s="8">
        <v>38828</v>
      </c>
      <c r="ME395" s="8">
        <v>38828</v>
      </c>
      <c r="MF395" s="8" t="s">
        <v>358</v>
      </c>
      <c r="MG395" s="5" t="s">
        <v>488</v>
      </c>
      <c r="MH395" s="6"/>
      <c r="MI395" s="4"/>
      <c r="MJ395" s="4"/>
      <c r="MK395" s="4"/>
      <c r="ML395" s="4"/>
      <c r="MM395" s="4"/>
      <c r="MN395" s="5"/>
      <c r="MO395" s="6"/>
      <c r="MP395" s="4"/>
      <c r="MQ395" s="4"/>
      <c r="MR395" s="4"/>
      <c r="MS395" s="4"/>
      <c r="MT395" s="4"/>
      <c r="MU395" s="5"/>
      <c r="MV395" s="6"/>
      <c r="MW395" s="4"/>
      <c r="MX395" s="4"/>
      <c r="MY395" s="4"/>
      <c r="MZ395" s="4"/>
      <c r="NA395" s="4"/>
      <c r="NB395" s="5"/>
      <c r="NC395" s="6"/>
      <c r="ND395" s="4"/>
      <c r="NE395" s="4"/>
      <c r="NF395" s="4"/>
      <c r="NG395" s="4"/>
      <c r="NH395" s="4"/>
      <c r="NI395" s="5"/>
      <c r="NJ395" s="6"/>
      <c r="NK395" s="4"/>
      <c r="NL395" s="4"/>
      <c r="NM395" s="4"/>
      <c r="NN395" s="8"/>
      <c r="NO395" s="4"/>
      <c r="NP395" s="5"/>
      <c r="NQ395" s="6"/>
      <c r="NR395" s="4"/>
      <c r="NS395" s="4"/>
      <c r="NT395" s="4"/>
      <c r="NU395" s="4"/>
      <c r="NV395" s="4"/>
      <c r="NW395" s="5"/>
      <c r="NX395" s="6"/>
      <c r="NY395" s="4"/>
      <c r="NZ395" s="4"/>
      <c r="OA395" s="4"/>
      <c r="OB395" s="4"/>
      <c r="OC395" s="4"/>
      <c r="OD395" s="5"/>
      <c r="OE395" s="6"/>
      <c r="OF395" s="4"/>
      <c r="OG395" s="4"/>
      <c r="OH395" s="4"/>
      <c r="OI395" s="4"/>
      <c r="OJ395" s="4"/>
      <c r="OK395" s="5"/>
      <c r="OL395" s="6"/>
      <c r="OM395" s="4"/>
      <c r="ON395" s="4"/>
      <c r="OO395" s="4"/>
      <c r="OP395" s="4"/>
      <c r="OQ395" s="4"/>
      <c r="OR395" s="5"/>
      <c r="OS395" s="6"/>
      <c r="OT395" s="4"/>
      <c r="OU395" s="4"/>
      <c r="OV395" s="4"/>
      <c r="OW395" s="4"/>
      <c r="OX395" s="4"/>
      <c r="OY395" s="5"/>
      <c r="OZ395" s="6"/>
      <c r="PA395" s="4"/>
      <c r="PB395" s="4"/>
      <c r="PC395" s="4"/>
      <c r="PD395" s="4"/>
      <c r="PE395" s="4"/>
      <c r="PF395" s="5"/>
      <c r="PG395" s="6"/>
      <c r="PH395" s="4"/>
      <c r="PI395" s="4"/>
      <c r="PJ395" s="4"/>
      <c r="PK395" s="4"/>
      <c r="PL395" s="4"/>
      <c r="PM395" s="5"/>
      <c r="PN395" s="6"/>
      <c r="PO395" s="4"/>
      <c r="PP395" s="4"/>
      <c r="PQ395" s="4"/>
      <c r="PR395" s="4"/>
      <c r="PS395" s="4"/>
      <c r="PT395" s="5"/>
      <c r="PU395" s="6"/>
      <c r="PV395" s="4"/>
      <c r="PW395" s="4"/>
      <c r="PX395" s="4"/>
      <c r="PY395" s="4"/>
      <c r="PZ395" s="4"/>
      <c r="QA395" s="5"/>
      <c r="QB395" s="6"/>
      <c r="QC395" s="4"/>
      <c r="QD395" s="4"/>
      <c r="QE395" s="4"/>
      <c r="QF395" s="4"/>
      <c r="QG395" s="4"/>
      <c r="QH395" s="5"/>
      <c r="QI395" s="6"/>
      <c r="QJ395" s="4"/>
      <c r="QK395" s="4"/>
      <c r="QL395" s="4"/>
      <c r="QM395" s="4"/>
      <c r="QN395" s="4"/>
      <c r="QO395" s="5"/>
      <c r="QP395" s="6"/>
      <c r="QQ395" s="4"/>
      <c r="QR395" s="4"/>
      <c r="QS395" s="4"/>
      <c r="QT395" s="4"/>
      <c r="QU395" s="4"/>
      <c r="QV395" s="5"/>
      <c r="QW395" s="6"/>
      <c r="QX395" s="4"/>
      <c r="QY395" s="4"/>
      <c r="QZ395" s="4"/>
      <c r="RA395" s="4"/>
      <c r="RB395" s="4"/>
      <c r="RC395" s="5"/>
      <c r="RD395" s="6"/>
      <c r="RE395" s="4"/>
      <c r="RF395" s="4"/>
      <c r="RG395" s="4"/>
      <c r="RH395" s="4"/>
      <c r="RI395" s="4"/>
      <c r="RJ395" s="5"/>
      <c r="RK395" s="6"/>
      <c r="RL395" s="4"/>
      <c r="RM395" s="4"/>
      <c r="RN395" s="4"/>
      <c r="RO395" s="4"/>
      <c r="RP395" s="4"/>
      <c r="RQ395" s="5"/>
      <c r="RR395" s="6"/>
      <c r="RS395" s="4"/>
      <c r="RT395" s="4"/>
      <c r="RU395" s="4"/>
      <c r="RV395" s="4"/>
      <c r="RW395" s="4"/>
      <c r="RX395" s="5"/>
      <c r="RY395" s="6"/>
      <c r="RZ395" s="4"/>
      <c r="SA395" s="4"/>
      <c r="SB395" s="4"/>
      <c r="SC395" s="4"/>
      <c r="SD395" s="4"/>
      <c r="SE395" s="5"/>
      <c r="SF395" s="6"/>
      <c r="SG395" s="4"/>
      <c r="SH395" s="4"/>
      <c r="SI395" s="4"/>
      <c r="SJ395" s="4"/>
      <c r="SK395" s="4"/>
      <c r="SL395" s="5"/>
      <c r="SM395" s="6"/>
      <c r="SN395" s="4"/>
      <c r="SO395" s="4"/>
      <c r="SP395" s="4"/>
      <c r="SQ395" s="4"/>
      <c r="SR395" s="4"/>
      <c r="SS395" s="5"/>
      <c r="ST395" s="6"/>
      <c r="SU395" s="4"/>
      <c r="SV395" s="4"/>
      <c r="SW395" s="4"/>
      <c r="SX395" s="4"/>
      <c r="SY395" s="4"/>
      <c r="SZ395" s="5"/>
      <c r="TA395" s="6"/>
      <c r="TB395" s="4"/>
      <c r="TC395" s="4"/>
      <c r="TD395" s="4"/>
      <c r="TE395" s="4"/>
      <c r="TF395" s="4"/>
      <c r="TG395" s="5"/>
      <c r="TH395" s="6"/>
      <c r="TI395" s="4"/>
      <c r="TJ395" s="4"/>
      <c r="TK395" s="4"/>
      <c r="TL395" s="4"/>
      <c r="TM395" s="4"/>
      <c r="TN395" s="5"/>
      <c r="TO395" s="6"/>
      <c r="TP395" s="4"/>
      <c r="TQ395" s="4"/>
      <c r="TR395" s="4"/>
      <c r="TS395" s="4"/>
      <c r="TT395" s="4"/>
      <c r="TU395" s="5"/>
      <c r="TV395" s="6"/>
      <c r="TW395" s="4"/>
      <c r="TX395" s="4"/>
      <c r="TY395" s="4"/>
      <c r="TZ395" s="4"/>
      <c r="UA395" s="4"/>
      <c r="UB395" s="5"/>
      <c r="UC395" s="6"/>
      <c r="UD395" s="4"/>
      <c r="UE395" s="4"/>
      <c r="UF395" s="4"/>
      <c r="UG395" s="4"/>
      <c r="UH395" s="4"/>
      <c r="UI395" s="5"/>
      <c r="UJ395" s="6"/>
      <c r="UK395" s="4"/>
      <c r="UL395" s="4"/>
      <c r="UM395" s="4"/>
      <c r="UN395" s="4"/>
      <c r="UO395" s="4"/>
      <c r="UP395" s="5"/>
      <c r="UQ395" s="6"/>
      <c r="UR395" s="4"/>
      <c r="US395" s="4"/>
      <c r="UT395" s="4"/>
      <c r="UU395" s="4"/>
      <c r="UV395" s="4"/>
      <c r="UW395" s="5"/>
      <c r="UX395" s="6"/>
      <c r="UY395" s="4"/>
      <c r="UZ395" s="4"/>
      <c r="VA395" s="4"/>
      <c r="VB395" s="4"/>
      <c r="VC395" s="4"/>
      <c r="VD395" s="5"/>
      <c r="VE395" s="6"/>
      <c r="VF395" s="4"/>
      <c r="VG395" s="4"/>
      <c r="VH395" s="4"/>
      <c r="VI395" s="4"/>
      <c r="VJ395" s="4"/>
      <c r="VK395" s="5"/>
      <c r="VL395" s="6"/>
      <c r="VM395" s="4"/>
      <c r="VN395" s="4"/>
      <c r="VO395" s="4"/>
      <c r="VP395" s="4"/>
      <c r="VQ395" s="4"/>
      <c r="VR395" s="5"/>
      <c r="VS395" s="6"/>
      <c r="VT395" s="4"/>
      <c r="VU395" s="4"/>
      <c r="VV395" s="4"/>
      <c r="VW395" s="4"/>
      <c r="VX395" s="4"/>
      <c r="VY395" s="5"/>
      <c r="VZ395" s="6"/>
      <c r="WA395" s="4"/>
      <c r="WB395" s="4"/>
      <c r="WC395" s="4"/>
      <c r="WD395" s="4"/>
      <c r="WE395" s="4"/>
      <c r="WF395" s="5"/>
      <c r="WG395" s="6"/>
      <c r="WH395" s="4"/>
      <c r="WI395" s="4"/>
      <c r="WJ395" s="4"/>
      <c r="WK395" s="4"/>
      <c r="WL395" s="4"/>
      <c r="WM395" s="5"/>
      <c r="WN395" s="6"/>
      <c r="WO395" s="4"/>
      <c r="WP395" s="4"/>
      <c r="WQ395" s="4"/>
      <c r="WR395" s="4"/>
      <c r="WS395" s="4"/>
      <c r="WT395" s="5"/>
      <c r="WU395" s="6"/>
      <c r="WV395" s="4"/>
      <c r="WW395" s="4"/>
      <c r="WX395" s="4"/>
      <c r="WY395" s="4"/>
      <c r="WZ395" s="4"/>
      <c r="XA395" s="5"/>
      <c r="XB395" s="6"/>
      <c r="XC395" s="4"/>
      <c r="XD395" s="4"/>
      <c r="XE395" s="4"/>
      <c r="XF395" s="4"/>
      <c r="XG395" s="4"/>
      <c r="XH395" s="5"/>
      <c r="XI395" s="6"/>
      <c r="XJ395" s="4"/>
      <c r="XK395" s="4"/>
      <c r="XL395" s="4"/>
      <c r="XM395" s="4"/>
      <c r="XN395" s="4"/>
      <c r="XO395" s="5"/>
      <c r="XP395" s="6"/>
      <c r="XQ395" s="4"/>
      <c r="XR395" s="4"/>
      <c r="XS395" s="4"/>
      <c r="XT395" s="4"/>
      <c r="XU395" s="4"/>
      <c r="XV395" s="5"/>
      <c r="XW395" s="6"/>
      <c r="XX395" s="4"/>
      <c r="XY395" s="4"/>
      <c r="XZ395" s="4"/>
      <c r="YA395" s="4"/>
      <c r="YB395" s="4"/>
      <c r="YC395" s="5"/>
      <c r="YD395" s="6"/>
      <c r="YE395" s="4"/>
      <c r="YF395" s="4"/>
      <c r="YG395" s="4"/>
      <c r="YH395" s="4"/>
      <c r="YI395" s="4"/>
      <c r="YJ395" s="5"/>
      <c r="YK395" s="6"/>
      <c r="YL395" s="4"/>
      <c r="YM395" s="4"/>
      <c r="YN395" s="4"/>
      <c r="YO395" s="8"/>
      <c r="YP395" s="4"/>
      <c r="YQ395" s="5"/>
      <c r="YR395" s="6"/>
      <c r="YS395" s="4"/>
      <c r="YT395" s="4"/>
      <c r="YU395" s="4"/>
      <c r="YV395" s="4"/>
      <c r="YW395" s="4"/>
      <c r="YX395" s="5"/>
      <c r="YY395" s="6"/>
      <c r="YZ395" s="4"/>
      <c r="ZA395" s="4"/>
      <c r="ZB395" s="4"/>
      <c r="ZC395" s="4"/>
      <c r="ZD395" s="4"/>
      <c r="ZE395" s="5"/>
      <c r="ZF395" s="6"/>
      <c r="ZG395" s="4"/>
      <c r="ZH395" s="4"/>
      <c r="ZI395" s="4"/>
      <c r="ZJ395" s="4"/>
      <c r="ZK395" s="4"/>
      <c r="ZL395" s="5"/>
      <c r="ZM395" s="6"/>
      <c r="ZN395" s="4"/>
      <c r="ZO395" s="4"/>
      <c r="ZP395" s="4"/>
      <c r="ZQ395" s="8"/>
      <c r="ZR395" s="4"/>
      <c r="ZS395" s="5"/>
      <c r="ZT395" s="6"/>
      <c r="ZU395" s="4"/>
      <c r="ZV395" s="4"/>
      <c r="ZW395" s="4"/>
      <c r="ZX395" s="4"/>
      <c r="ZY395" s="4"/>
      <c r="ZZ395" s="5"/>
      <c r="AAA395" s="6"/>
      <c r="AAB395" s="4"/>
      <c r="AAC395" s="4"/>
      <c r="AAD395" s="4"/>
      <c r="AAE395" s="4"/>
      <c r="AAF395" s="4"/>
      <c r="AAG395" s="5"/>
      <c r="AAH395" s="6"/>
      <c r="AAI395" s="4"/>
      <c r="AAJ395" s="4"/>
      <c r="AAK395" s="4"/>
      <c r="AAL395" s="4"/>
      <c r="AAM395" s="4"/>
      <c r="AAN395" s="5"/>
      <c r="AAO395" s="6"/>
      <c r="AAP395" s="4"/>
      <c r="AAQ395" s="4"/>
      <c r="AAR395" s="4"/>
      <c r="AAS395" s="4"/>
      <c r="AAT395" s="4"/>
      <c r="AAU395" s="5"/>
      <c r="AAV395" s="6"/>
      <c r="AAW395" s="4"/>
      <c r="AAX395" s="4"/>
      <c r="AAY395" s="4"/>
      <c r="AAZ395" s="4"/>
      <c r="ABA395" s="4"/>
      <c r="ABB395" s="5"/>
      <c r="ABC395" s="6"/>
      <c r="ABD395" s="4"/>
      <c r="ABE395" s="4"/>
      <c r="ABF395" s="4"/>
      <c r="ABG395" s="4"/>
      <c r="ABH395" s="4"/>
      <c r="ABI395" s="5"/>
      <c r="ABJ395" s="6"/>
      <c r="ABK395" s="4"/>
      <c r="ABL395" s="4"/>
      <c r="ABM395" s="4"/>
      <c r="ABN395" s="4"/>
      <c r="ABO395" s="4"/>
      <c r="ABP395" s="5"/>
      <c r="ABQ395" s="6"/>
      <c r="ABR395" s="4"/>
      <c r="ABS395" s="4"/>
      <c r="ABT395" s="4"/>
      <c r="ABU395" s="4"/>
      <c r="ABV395" s="4"/>
      <c r="ABW395" s="5"/>
      <c r="ABX395" s="6"/>
      <c r="ABY395" s="4"/>
      <c r="ABZ395" s="4"/>
      <c r="ACA395" s="4"/>
      <c r="ACB395" s="4"/>
      <c r="ACC395" s="4"/>
      <c r="ACD395" s="5"/>
      <c r="ACE395" s="6"/>
      <c r="ACF395" s="4"/>
      <c r="ACG395" s="4"/>
      <c r="ACH395" s="4"/>
      <c r="ACI395" s="4"/>
      <c r="ACJ395" s="4"/>
      <c r="ACK395" s="5"/>
      <c r="ACL395" s="6"/>
      <c r="ACM395" s="4"/>
      <c r="ACN395" s="4"/>
      <c r="ACO395" s="4"/>
      <c r="ACP395" s="4"/>
      <c r="ACQ395" s="4"/>
      <c r="ACR395" s="5"/>
      <c r="ACS395" s="6"/>
      <c r="ACT395" s="4"/>
      <c r="ACU395" s="4"/>
      <c r="ACV395" s="4"/>
      <c r="ACW395" s="4"/>
      <c r="ACX395" s="4"/>
      <c r="ACY395" s="5"/>
    </row>
    <row r="396" spans="2:805" x14ac:dyDescent="0.25">
      <c r="B396" s="30"/>
      <c r="J396" s="12"/>
      <c r="K396" s="12"/>
      <c r="L396" s="12"/>
      <c r="LL396" s="6"/>
      <c r="LM396" s="4"/>
      <c r="LN396" s="4"/>
      <c r="LO396" s="4"/>
      <c r="LP396" s="4"/>
      <c r="LQ396" s="4"/>
      <c r="LR396" s="5"/>
      <c r="LS396" s="6"/>
      <c r="LT396" s="4"/>
      <c r="LU396" s="4"/>
      <c r="LV396" s="4"/>
      <c r="LW396" s="4"/>
      <c r="LX396" s="4"/>
      <c r="LY396" s="5"/>
      <c r="LZ396" s="6" t="s">
        <v>664</v>
      </c>
      <c r="MA396" s="7" t="s">
        <v>665</v>
      </c>
      <c r="MB396" s="7" t="s">
        <v>666</v>
      </c>
      <c r="MC396" s="7"/>
      <c r="MD396" s="8">
        <v>38836</v>
      </c>
      <c r="ME396" s="8"/>
      <c r="MF396" s="8"/>
      <c r="MG396" s="5" t="s">
        <v>359</v>
      </c>
      <c r="MH396" s="6"/>
      <c r="MI396" s="4"/>
      <c r="MJ396" s="4"/>
      <c r="MK396" s="4"/>
      <c r="ML396" s="4"/>
      <c r="MM396" s="4"/>
      <c r="MN396" s="5"/>
      <c r="MO396" s="6"/>
      <c r="MP396" s="4"/>
      <c r="MQ396" s="4"/>
      <c r="MR396" s="4"/>
      <c r="MS396" s="4"/>
      <c r="MT396" s="4"/>
      <c r="MU396" s="5"/>
      <c r="MV396" s="6"/>
      <c r="MW396" s="4"/>
      <c r="MX396" s="4"/>
      <c r="MY396" s="4"/>
      <c r="MZ396" s="4"/>
      <c r="NA396" s="4"/>
      <c r="NB396" s="5"/>
      <c r="NC396" s="6"/>
      <c r="ND396" s="4"/>
      <c r="NE396" s="4"/>
      <c r="NF396" s="4"/>
      <c r="NG396" s="4"/>
      <c r="NH396" s="4"/>
      <c r="NI396" s="5"/>
      <c r="NJ396" s="6"/>
      <c r="NK396" s="4"/>
      <c r="NL396" s="4"/>
      <c r="NM396" s="4"/>
      <c r="NN396" s="8"/>
      <c r="NO396" s="4"/>
      <c r="NP396" s="5"/>
      <c r="NQ396" s="6"/>
      <c r="NR396" s="4"/>
      <c r="NS396" s="4"/>
      <c r="NT396" s="4"/>
      <c r="NU396" s="4"/>
      <c r="NV396" s="4"/>
      <c r="NW396" s="5"/>
      <c r="NX396" s="6"/>
      <c r="NY396" s="4"/>
      <c r="NZ396" s="4"/>
      <c r="OA396" s="4"/>
      <c r="OB396" s="4"/>
      <c r="OC396" s="4"/>
      <c r="OD396" s="5"/>
      <c r="OE396" s="6"/>
      <c r="OF396" s="4"/>
      <c r="OG396" s="4"/>
      <c r="OH396" s="4"/>
      <c r="OI396" s="4"/>
      <c r="OJ396" s="4"/>
      <c r="OK396" s="5"/>
      <c r="OL396" s="6"/>
      <c r="OM396" s="4"/>
      <c r="ON396" s="4"/>
      <c r="OO396" s="4"/>
      <c r="OP396" s="4"/>
      <c r="OQ396" s="4"/>
      <c r="OR396" s="5"/>
      <c r="OS396" s="6"/>
      <c r="OT396" s="4"/>
      <c r="OU396" s="4"/>
      <c r="OV396" s="4"/>
      <c r="OW396" s="4"/>
      <c r="OX396" s="4"/>
      <c r="OY396" s="5"/>
      <c r="OZ396" s="6"/>
      <c r="PA396" s="4"/>
      <c r="PB396" s="4"/>
      <c r="PC396" s="4"/>
      <c r="PD396" s="4"/>
      <c r="PE396" s="4"/>
      <c r="PF396" s="5"/>
      <c r="PG396" s="6"/>
      <c r="PH396" s="4"/>
      <c r="PI396" s="4"/>
      <c r="PJ396" s="4"/>
      <c r="PK396" s="4"/>
      <c r="PL396" s="4"/>
      <c r="PM396" s="5"/>
      <c r="PN396" s="6"/>
      <c r="PO396" s="4"/>
      <c r="PP396" s="4"/>
      <c r="PQ396" s="4"/>
      <c r="PR396" s="4"/>
      <c r="PS396" s="4"/>
      <c r="PT396" s="5"/>
      <c r="PU396" s="6"/>
      <c r="PV396" s="4"/>
      <c r="PW396" s="4"/>
      <c r="PX396" s="4"/>
      <c r="PY396" s="4"/>
      <c r="PZ396" s="4"/>
      <c r="QA396" s="5"/>
      <c r="QB396" s="6"/>
      <c r="QC396" s="4"/>
      <c r="QD396" s="4"/>
      <c r="QE396" s="4"/>
      <c r="QF396" s="4"/>
      <c r="QG396" s="4"/>
      <c r="QH396" s="5"/>
      <c r="QI396" s="6"/>
      <c r="QJ396" s="4"/>
      <c r="QK396" s="4"/>
      <c r="QL396" s="4"/>
      <c r="QM396" s="4"/>
      <c r="QN396" s="4"/>
      <c r="QO396" s="5"/>
      <c r="QP396" s="6"/>
      <c r="QQ396" s="4"/>
      <c r="QR396" s="4"/>
      <c r="QS396" s="4"/>
      <c r="QT396" s="4"/>
      <c r="QU396" s="4"/>
      <c r="QV396" s="5"/>
      <c r="QW396" s="6"/>
      <c r="QX396" s="4"/>
      <c r="QY396" s="4"/>
      <c r="QZ396" s="4"/>
      <c r="RA396" s="4"/>
      <c r="RB396" s="4"/>
      <c r="RC396" s="5"/>
      <c r="RD396" s="6"/>
      <c r="RE396" s="4"/>
      <c r="RF396" s="4"/>
      <c r="RG396" s="4"/>
      <c r="RH396" s="4"/>
      <c r="RI396" s="4"/>
      <c r="RJ396" s="5"/>
      <c r="RK396" s="6"/>
      <c r="RL396" s="4"/>
      <c r="RM396" s="4"/>
      <c r="RN396" s="4"/>
      <c r="RO396" s="4"/>
      <c r="RP396" s="4"/>
      <c r="RQ396" s="5"/>
      <c r="RR396" s="6"/>
      <c r="RS396" s="4"/>
      <c r="RT396" s="4"/>
      <c r="RU396" s="4"/>
      <c r="RV396" s="4"/>
      <c r="RW396" s="4"/>
      <c r="RX396" s="5"/>
      <c r="RY396" s="6"/>
      <c r="RZ396" s="4"/>
      <c r="SA396" s="4"/>
      <c r="SB396" s="4"/>
      <c r="SC396" s="4"/>
      <c r="SD396" s="4"/>
      <c r="SE396" s="5"/>
      <c r="SF396" s="6"/>
      <c r="SG396" s="4"/>
      <c r="SH396" s="4"/>
      <c r="SI396" s="4"/>
      <c r="SJ396" s="4"/>
      <c r="SK396" s="4"/>
      <c r="SL396" s="5"/>
      <c r="SM396" s="6"/>
      <c r="SN396" s="4"/>
      <c r="SO396" s="4"/>
      <c r="SP396" s="4"/>
      <c r="SQ396" s="4"/>
      <c r="SR396" s="4"/>
      <c r="SS396" s="5"/>
      <c r="ST396" s="6"/>
      <c r="SU396" s="4"/>
      <c r="SV396" s="4"/>
      <c r="SW396" s="4"/>
      <c r="SX396" s="4"/>
      <c r="SY396" s="4"/>
      <c r="SZ396" s="5"/>
      <c r="TA396" s="6"/>
      <c r="TB396" s="4"/>
      <c r="TC396" s="4"/>
      <c r="TD396" s="4"/>
      <c r="TE396" s="4"/>
      <c r="TF396" s="4"/>
      <c r="TG396" s="5"/>
      <c r="TH396" s="6"/>
      <c r="TI396" s="4"/>
      <c r="TJ396" s="4"/>
      <c r="TK396" s="4"/>
      <c r="TL396" s="4"/>
      <c r="TM396" s="4"/>
      <c r="TN396" s="5"/>
      <c r="TO396" s="6"/>
      <c r="TP396" s="4"/>
      <c r="TQ396" s="4"/>
      <c r="TR396" s="4"/>
      <c r="TS396" s="4"/>
      <c r="TT396" s="4"/>
      <c r="TU396" s="5"/>
      <c r="TV396" s="6"/>
      <c r="TW396" s="4"/>
      <c r="TX396" s="4"/>
      <c r="TY396" s="4"/>
      <c r="TZ396" s="4"/>
      <c r="UA396" s="4"/>
      <c r="UB396" s="5"/>
      <c r="UC396" s="6"/>
      <c r="UD396" s="4"/>
      <c r="UE396" s="4"/>
      <c r="UF396" s="4"/>
      <c r="UG396" s="4"/>
      <c r="UH396" s="4"/>
      <c r="UI396" s="5"/>
      <c r="UJ396" s="6"/>
      <c r="UK396" s="4"/>
      <c r="UL396" s="4"/>
      <c r="UM396" s="4"/>
      <c r="UN396" s="4"/>
      <c r="UO396" s="4"/>
      <c r="UP396" s="5"/>
      <c r="UQ396" s="6"/>
      <c r="UR396" s="4"/>
      <c r="US396" s="4"/>
      <c r="UT396" s="4"/>
      <c r="UU396" s="4"/>
      <c r="UV396" s="4"/>
      <c r="UW396" s="5"/>
      <c r="UX396" s="6"/>
      <c r="UY396" s="4"/>
      <c r="UZ396" s="4"/>
      <c r="VA396" s="4"/>
      <c r="VB396" s="4"/>
      <c r="VC396" s="4"/>
      <c r="VD396" s="5"/>
      <c r="VE396" s="6"/>
      <c r="VF396" s="4"/>
      <c r="VG396" s="4"/>
      <c r="VH396" s="4"/>
      <c r="VI396" s="4"/>
      <c r="VJ396" s="4"/>
      <c r="VK396" s="5"/>
      <c r="VL396" s="6"/>
      <c r="VM396" s="4"/>
      <c r="VN396" s="4"/>
      <c r="VO396" s="4"/>
      <c r="VP396" s="4"/>
      <c r="VQ396" s="4"/>
      <c r="VR396" s="5"/>
      <c r="VS396" s="6"/>
      <c r="VT396" s="4"/>
      <c r="VU396" s="4"/>
      <c r="VV396" s="4"/>
      <c r="VW396" s="4"/>
      <c r="VX396" s="4"/>
      <c r="VY396" s="5"/>
      <c r="VZ396" s="6"/>
      <c r="WA396" s="4"/>
      <c r="WB396" s="4"/>
      <c r="WC396" s="4"/>
      <c r="WD396" s="4"/>
      <c r="WE396" s="4"/>
      <c r="WF396" s="5"/>
      <c r="WG396" s="6"/>
      <c r="WH396" s="4"/>
      <c r="WI396" s="4"/>
      <c r="WJ396" s="4"/>
      <c r="WK396" s="4"/>
      <c r="WL396" s="4"/>
      <c r="WM396" s="5"/>
      <c r="WN396" s="6"/>
      <c r="WO396" s="4"/>
      <c r="WP396" s="4"/>
      <c r="WQ396" s="4"/>
      <c r="WR396" s="4"/>
      <c r="WS396" s="4"/>
      <c r="WT396" s="5"/>
      <c r="WU396" s="6"/>
      <c r="WV396" s="4"/>
      <c r="WW396" s="4"/>
      <c r="WX396" s="4"/>
      <c r="WY396" s="4"/>
      <c r="WZ396" s="4"/>
      <c r="XA396" s="5"/>
      <c r="XB396" s="6"/>
      <c r="XC396" s="4"/>
      <c r="XD396" s="4"/>
      <c r="XE396" s="4"/>
      <c r="XF396" s="4"/>
      <c r="XG396" s="4"/>
      <c r="XH396" s="5"/>
      <c r="XI396" s="6"/>
      <c r="XJ396" s="4"/>
      <c r="XK396" s="4"/>
      <c r="XL396" s="4"/>
      <c r="XM396" s="4"/>
      <c r="XN396" s="4"/>
      <c r="XO396" s="5"/>
      <c r="XP396" s="6"/>
      <c r="XQ396" s="4"/>
      <c r="XR396" s="4"/>
      <c r="XS396" s="4"/>
      <c r="XT396" s="4"/>
      <c r="XU396" s="4"/>
      <c r="XV396" s="5"/>
      <c r="XW396" s="6"/>
      <c r="XX396" s="4"/>
      <c r="XY396" s="4"/>
      <c r="XZ396" s="4"/>
      <c r="YA396" s="4"/>
      <c r="YB396" s="4"/>
      <c r="YC396" s="5"/>
      <c r="YD396" s="6"/>
      <c r="YE396" s="4"/>
      <c r="YF396" s="4"/>
      <c r="YG396" s="4"/>
      <c r="YH396" s="4"/>
      <c r="YI396" s="4"/>
      <c r="YJ396" s="5"/>
      <c r="YK396" s="6"/>
      <c r="YL396" s="4"/>
      <c r="YM396" s="4"/>
      <c r="YN396" s="4"/>
      <c r="YO396" s="8"/>
      <c r="YP396" s="4"/>
      <c r="YQ396" s="5"/>
      <c r="YR396" s="6"/>
      <c r="YS396" s="4"/>
      <c r="YT396" s="4"/>
      <c r="YU396" s="4"/>
      <c r="YV396" s="4"/>
      <c r="YW396" s="4"/>
      <c r="YX396" s="5"/>
      <c r="YY396" s="6"/>
      <c r="YZ396" s="4"/>
      <c r="ZA396" s="4"/>
      <c r="ZB396" s="4"/>
      <c r="ZC396" s="4"/>
      <c r="ZD396" s="4"/>
      <c r="ZE396" s="5"/>
      <c r="ZF396" s="6"/>
      <c r="ZG396" s="4"/>
      <c r="ZH396" s="4"/>
      <c r="ZI396" s="4"/>
      <c r="ZJ396" s="4"/>
      <c r="ZK396" s="4"/>
      <c r="ZL396" s="5"/>
      <c r="ZM396" s="6"/>
      <c r="ZN396" s="4"/>
      <c r="ZO396" s="4"/>
      <c r="ZP396" s="4"/>
      <c r="ZQ396" s="8"/>
      <c r="ZR396" s="4"/>
      <c r="ZS396" s="5"/>
      <c r="ZT396" s="6"/>
      <c r="ZU396" s="4"/>
      <c r="ZV396" s="4"/>
      <c r="ZW396" s="4"/>
      <c r="ZX396" s="4"/>
      <c r="ZY396" s="4"/>
      <c r="ZZ396" s="5"/>
      <c r="AAA396" s="6"/>
      <c r="AAB396" s="4"/>
      <c r="AAC396" s="4"/>
      <c r="AAD396" s="4"/>
      <c r="AAE396" s="4"/>
      <c r="AAF396" s="4"/>
      <c r="AAG396" s="5"/>
      <c r="AAH396" s="6"/>
      <c r="AAI396" s="4"/>
      <c r="AAJ396" s="4"/>
      <c r="AAK396" s="4"/>
      <c r="AAL396" s="4"/>
      <c r="AAM396" s="4"/>
      <c r="AAN396" s="5"/>
      <c r="AAO396" s="6"/>
      <c r="AAP396" s="4"/>
      <c r="AAQ396" s="4"/>
      <c r="AAR396" s="4"/>
      <c r="AAS396" s="4"/>
      <c r="AAT396" s="4"/>
      <c r="AAU396" s="5"/>
      <c r="AAV396" s="6"/>
      <c r="AAW396" s="4"/>
      <c r="AAX396" s="4"/>
      <c r="AAY396" s="4"/>
      <c r="AAZ396" s="4"/>
      <c r="ABA396" s="4"/>
      <c r="ABB396" s="5"/>
      <c r="ABC396" s="6"/>
      <c r="ABD396" s="4"/>
      <c r="ABE396" s="4"/>
      <c r="ABF396" s="4"/>
      <c r="ABG396" s="4"/>
      <c r="ABH396" s="4"/>
      <c r="ABI396" s="5"/>
      <c r="ABJ396" s="6"/>
      <c r="ABK396" s="4"/>
      <c r="ABL396" s="4"/>
      <c r="ABM396" s="4"/>
      <c r="ABN396" s="4"/>
      <c r="ABO396" s="4"/>
      <c r="ABP396" s="5"/>
      <c r="ABQ396" s="6"/>
      <c r="ABR396" s="4"/>
      <c r="ABS396" s="4"/>
      <c r="ABT396" s="4"/>
      <c r="ABU396" s="4"/>
      <c r="ABV396" s="4"/>
      <c r="ABW396" s="5"/>
      <c r="ABX396" s="6"/>
      <c r="ABY396" s="4"/>
      <c r="ABZ396" s="4"/>
      <c r="ACA396" s="4"/>
      <c r="ACB396" s="4"/>
      <c r="ACC396" s="4"/>
      <c r="ACD396" s="5"/>
      <c r="ACE396" s="6"/>
      <c r="ACF396" s="4"/>
      <c r="ACG396" s="4"/>
      <c r="ACH396" s="4"/>
      <c r="ACI396" s="4"/>
      <c r="ACJ396" s="4"/>
      <c r="ACK396" s="5"/>
      <c r="ACL396" s="6"/>
      <c r="ACM396" s="4"/>
      <c r="ACN396" s="4"/>
      <c r="ACO396" s="4"/>
      <c r="ACP396" s="4"/>
      <c r="ACQ396" s="4"/>
      <c r="ACR396" s="5"/>
      <c r="ACS396" s="6"/>
      <c r="ACT396" s="4"/>
      <c r="ACU396" s="4"/>
      <c r="ACV396" s="4"/>
      <c r="ACW396" s="4"/>
      <c r="ACX396" s="4"/>
      <c r="ACY396" s="5"/>
    </row>
    <row r="397" spans="2:805" x14ac:dyDescent="0.25">
      <c r="B397" s="49">
        <v>8148233</v>
      </c>
      <c r="C397" s="57">
        <v>79</v>
      </c>
      <c r="D397" t="s">
        <v>681</v>
      </c>
      <c r="E397" s="35" t="s">
        <v>182</v>
      </c>
      <c r="F397" s="23">
        <v>1</v>
      </c>
      <c r="G397" s="31">
        <v>38757</v>
      </c>
      <c r="H397" s="23" t="s">
        <v>195</v>
      </c>
      <c r="J397" s="12"/>
      <c r="K397" s="12"/>
      <c r="L397" s="12"/>
      <c r="M397">
        <v>1</v>
      </c>
      <c r="N397" s="17">
        <v>38721</v>
      </c>
      <c r="P397" t="s">
        <v>365</v>
      </c>
      <c r="R397">
        <v>1</v>
      </c>
      <c r="S397">
        <v>1</v>
      </c>
      <c r="AC397">
        <v>1</v>
      </c>
      <c r="AF397">
        <v>1</v>
      </c>
      <c r="AO397">
        <v>1</v>
      </c>
      <c r="AV397">
        <v>1</v>
      </c>
      <c r="CT397">
        <v>1</v>
      </c>
      <c r="FJ397">
        <v>1</v>
      </c>
      <c r="HG397">
        <v>1</v>
      </c>
      <c r="KT397">
        <v>1</v>
      </c>
      <c r="LL397" s="6"/>
      <c r="LM397" s="4"/>
      <c r="LN397" s="4"/>
      <c r="LO397" s="4"/>
      <c r="LP397" s="4"/>
      <c r="LQ397" s="4"/>
      <c r="LR397" s="5"/>
      <c r="LS397" s="6"/>
      <c r="LT397" s="4"/>
      <c r="LU397" s="4"/>
      <c r="LV397" s="4"/>
      <c r="LW397" s="4"/>
      <c r="LX397" s="4"/>
      <c r="LY397" s="5"/>
      <c r="LZ397" s="6" t="s">
        <v>1154</v>
      </c>
      <c r="MA397" s="7" t="s">
        <v>2525</v>
      </c>
      <c r="MB397" s="4"/>
      <c r="MC397" s="4"/>
      <c r="MD397" s="8">
        <v>37656</v>
      </c>
      <c r="ME397" s="4"/>
      <c r="MF397" s="4"/>
      <c r="MG397" s="5" t="s">
        <v>488</v>
      </c>
      <c r="MH397" s="6"/>
      <c r="MI397" s="4"/>
      <c r="MJ397" s="4"/>
      <c r="MK397" s="4"/>
      <c r="ML397" s="4"/>
      <c r="MM397" s="4"/>
      <c r="MN397" s="5"/>
      <c r="MO397" s="6"/>
      <c r="MP397" s="4"/>
      <c r="MQ397" s="4"/>
      <c r="MR397" s="4"/>
      <c r="MS397" s="4"/>
      <c r="MT397" s="4"/>
      <c r="MU397" s="5"/>
      <c r="MV397" s="6" t="s">
        <v>2818</v>
      </c>
      <c r="MW397" s="4" t="s">
        <v>2819</v>
      </c>
      <c r="MX397" s="4"/>
      <c r="MY397" s="4"/>
      <c r="MZ397" s="8">
        <v>38689</v>
      </c>
      <c r="NA397" s="4"/>
      <c r="NB397" s="5" t="s">
        <v>369</v>
      </c>
      <c r="NC397" s="6" t="s">
        <v>667</v>
      </c>
      <c r="ND397" s="4" t="s">
        <v>668</v>
      </c>
      <c r="NE397" s="4"/>
      <c r="NF397" s="4"/>
      <c r="NG397" s="8">
        <v>38689</v>
      </c>
      <c r="NH397" s="4"/>
      <c r="NI397" s="5" t="s">
        <v>370</v>
      </c>
      <c r="NJ397" s="6" t="s">
        <v>1817</v>
      </c>
      <c r="NK397" s="4" t="s">
        <v>1517</v>
      </c>
      <c r="NL397" s="4"/>
      <c r="NM397" s="4"/>
      <c r="NN397" s="4"/>
      <c r="NO397" s="4"/>
      <c r="NP397" s="5" t="s">
        <v>512</v>
      </c>
      <c r="NQ397" s="6"/>
      <c r="NR397" s="4"/>
      <c r="NS397" s="4"/>
      <c r="NT397" s="4"/>
      <c r="NU397" s="4"/>
      <c r="NV397" s="4"/>
      <c r="NW397" s="5"/>
      <c r="NX397" s="6"/>
      <c r="NY397" s="4"/>
      <c r="NZ397" s="4"/>
      <c r="OA397" s="4"/>
      <c r="OB397" s="4"/>
      <c r="OC397" s="4"/>
      <c r="OD397" s="5"/>
      <c r="OE397" s="6"/>
      <c r="OF397" s="4"/>
      <c r="OG397" s="4"/>
      <c r="OH397" s="4"/>
      <c r="OI397" s="4"/>
      <c r="OJ397" s="4"/>
      <c r="OK397" s="5"/>
      <c r="OL397" s="6"/>
      <c r="OM397" s="4"/>
      <c r="ON397" s="4"/>
      <c r="OO397" s="4"/>
      <c r="OP397" s="4"/>
      <c r="OQ397" s="4"/>
      <c r="OR397" s="5"/>
      <c r="OS397" s="6"/>
      <c r="OT397" s="4"/>
      <c r="OU397" s="4"/>
      <c r="OV397" s="4"/>
      <c r="OW397" s="4"/>
      <c r="OX397" s="4"/>
      <c r="OY397" s="5"/>
      <c r="OZ397" s="6"/>
      <c r="PA397" s="4"/>
      <c r="PB397" s="4"/>
      <c r="PC397" s="4"/>
      <c r="PD397" s="4"/>
      <c r="PE397" s="4"/>
      <c r="PF397" s="5"/>
      <c r="PG397" s="6"/>
      <c r="PH397" s="4"/>
      <c r="PI397" s="4"/>
      <c r="PJ397" s="4"/>
      <c r="PK397" s="4"/>
      <c r="PL397" s="4"/>
      <c r="PM397" s="5"/>
      <c r="PN397" s="6"/>
      <c r="PO397" s="4"/>
      <c r="PP397" s="4"/>
      <c r="PQ397" s="4"/>
      <c r="PR397" s="4"/>
      <c r="PS397" s="4"/>
      <c r="PT397" s="5"/>
      <c r="PU397" s="6" t="s">
        <v>810</v>
      </c>
      <c r="PV397" t="s">
        <v>811</v>
      </c>
      <c r="PW397" s="4"/>
      <c r="PX397" s="4"/>
      <c r="PY397" s="8">
        <v>38687</v>
      </c>
      <c r="PZ397" s="4"/>
      <c r="QA397" s="5"/>
      <c r="QB397" s="6"/>
      <c r="QC397" s="4"/>
      <c r="QD397" s="4"/>
      <c r="QE397" s="4"/>
      <c r="QF397" s="4"/>
      <c r="QG397" s="4"/>
      <c r="QH397" s="5"/>
      <c r="QI397" s="6"/>
      <c r="QJ397" s="4"/>
      <c r="QK397" s="4"/>
      <c r="QL397" s="4"/>
      <c r="QM397" s="4"/>
      <c r="QN397" s="4"/>
      <c r="QO397" s="5"/>
      <c r="QP397" s="6"/>
      <c r="QQ397" s="4"/>
      <c r="QR397" s="4"/>
      <c r="QS397" s="4"/>
      <c r="QT397" s="4"/>
      <c r="QU397" s="4"/>
      <c r="QV397" s="5"/>
      <c r="QW397" s="6"/>
      <c r="QX397" s="4"/>
      <c r="QY397" s="4"/>
      <c r="QZ397" s="4"/>
      <c r="RA397" s="4"/>
      <c r="RB397" s="4"/>
      <c r="RC397" s="5"/>
      <c r="RD397" s="6"/>
      <c r="RE397" s="4"/>
      <c r="RF397" s="4"/>
      <c r="RG397" s="4"/>
      <c r="RH397" s="4"/>
      <c r="RI397" s="4"/>
      <c r="RJ397" s="5"/>
      <c r="RK397" s="6"/>
      <c r="RL397" s="4"/>
      <c r="RM397" s="4"/>
      <c r="RN397" s="4"/>
      <c r="RO397" s="4"/>
      <c r="RP397" s="4"/>
      <c r="RQ397" s="5"/>
      <c r="RR397" s="6" t="s">
        <v>812</v>
      </c>
      <c r="RS397" s="4" t="s">
        <v>813</v>
      </c>
      <c r="RT397" s="4"/>
      <c r="RU397" s="4"/>
      <c r="RV397" s="8">
        <v>38685</v>
      </c>
      <c r="RW397" s="4"/>
      <c r="RX397" s="5" t="s">
        <v>374</v>
      </c>
      <c r="RY397" s="6"/>
      <c r="RZ397" s="4"/>
      <c r="SA397" s="4"/>
      <c r="SB397" s="4"/>
      <c r="SC397" s="4"/>
      <c r="SD397" s="4"/>
      <c r="SE397" s="5"/>
      <c r="SF397" s="6"/>
      <c r="SG397" s="4"/>
      <c r="SH397" s="4"/>
      <c r="SI397" s="4"/>
      <c r="SJ397" s="4"/>
      <c r="SK397" s="4"/>
      <c r="SL397" s="5"/>
      <c r="SM397" t="s">
        <v>814</v>
      </c>
      <c r="SN397" s="4" t="s">
        <v>815</v>
      </c>
      <c r="SO397" s="4"/>
      <c r="SP397" s="4"/>
      <c r="SQ397" s="4"/>
      <c r="SR397" s="4"/>
      <c r="SS397" s="5" t="s">
        <v>375</v>
      </c>
      <c r="ST397" s="6"/>
      <c r="SU397" s="4"/>
      <c r="SV397" s="4"/>
      <c r="SW397" s="4"/>
      <c r="SX397" s="4"/>
      <c r="SY397" s="4"/>
      <c r="SZ397" s="5"/>
      <c r="TA397" s="6"/>
      <c r="TB397" s="4"/>
      <c r="TC397" s="4"/>
      <c r="TD397" s="4"/>
      <c r="TE397" s="4"/>
      <c r="TF397" s="4"/>
      <c r="TG397" s="5"/>
      <c r="TH397" s="6"/>
      <c r="TI397" s="4"/>
      <c r="TJ397" s="4"/>
      <c r="TK397" s="4"/>
      <c r="TL397" s="4"/>
      <c r="TM397" s="4"/>
      <c r="TN397" s="5"/>
      <c r="TO397" s="6"/>
      <c r="TP397" s="4"/>
      <c r="TQ397" s="4"/>
      <c r="TR397" s="4"/>
      <c r="TS397" s="4"/>
      <c r="TT397" s="4"/>
      <c r="TU397" s="5"/>
      <c r="TV397" s="6"/>
      <c r="TW397" s="4"/>
      <c r="TX397" s="4"/>
      <c r="TY397" s="4"/>
      <c r="TZ397" s="4"/>
      <c r="UA397" s="4"/>
      <c r="UB397" s="5"/>
      <c r="UC397" s="6"/>
      <c r="UD397" s="4"/>
      <c r="UE397" s="4"/>
      <c r="UF397" s="4"/>
      <c r="UG397" s="4"/>
      <c r="UH397" s="4"/>
      <c r="UI397" s="5"/>
      <c r="UJ397" s="6" t="s">
        <v>816</v>
      </c>
      <c r="UK397" s="4"/>
      <c r="UL397" s="4"/>
      <c r="UM397" s="4"/>
      <c r="UN397" s="4"/>
      <c r="UO397" s="4"/>
      <c r="UP397" s="5" t="s">
        <v>253</v>
      </c>
      <c r="UQ397" s="6"/>
      <c r="UR397" s="4"/>
      <c r="US397" s="4"/>
      <c r="UT397" s="4"/>
      <c r="UU397" s="4"/>
      <c r="UV397" s="4"/>
      <c r="UW397" s="5"/>
      <c r="UX397" s="6"/>
      <c r="UY397" s="4"/>
      <c r="UZ397" s="4"/>
      <c r="VA397" s="4"/>
      <c r="VB397" s="4"/>
      <c r="VC397" s="4"/>
      <c r="VD397" s="5"/>
      <c r="VE397" s="6"/>
      <c r="VF397" s="4"/>
      <c r="VG397" s="4"/>
      <c r="VH397" s="4"/>
      <c r="VI397" s="4"/>
      <c r="VJ397" s="4"/>
      <c r="VK397" s="5"/>
      <c r="VL397" s="6" t="s">
        <v>1912</v>
      </c>
      <c r="VM397" s="4" t="s">
        <v>2602</v>
      </c>
      <c r="VN397" s="4"/>
      <c r="VO397" s="4"/>
      <c r="VP397" s="8">
        <v>37656</v>
      </c>
      <c r="VQ397" s="4"/>
      <c r="VR397" s="5" t="s">
        <v>135</v>
      </c>
      <c r="VS397" s="6"/>
      <c r="VT397" s="4"/>
      <c r="VU397" s="4"/>
      <c r="VV397" s="4"/>
      <c r="VW397" s="4"/>
      <c r="VX397" s="4"/>
      <c r="VY397" s="5"/>
      <c r="VZ397" s="6"/>
      <c r="WA397" s="4"/>
      <c r="WB397" s="4"/>
      <c r="WC397" s="4"/>
      <c r="WD397" s="4"/>
      <c r="WE397" s="4"/>
      <c r="WF397" s="5"/>
      <c r="WG397" s="6"/>
      <c r="WH397" s="4"/>
      <c r="WI397" s="4"/>
      <c r="WJ397" s="4"/>
      <c r="WK397" s="4"/>
      <c r="WL397" s="4"/>
      <c r="WM397" s="5"/>
      <c r="WN397" s="6"/>
      <c r="WO397" s="4"/>
      <c r="WP397" s="4"/>
      <c r="WQ397" s="4"/>
      <c r="WR397" s="4"/>
      <c r="WS397" s="4"/>
      <c r="WT397" s="5"/>
      <c r="WU397" s="6" t="s">
        <v>817</v>
      </c>
      <c r="WV397" s="4" t="s">
        <v>818</v>
      </c>
      <c r="WW397" s="4"/>
      <c r="WX397" s="4"/>
      <c r="WY397" s="9">
        <v>37656</v>
      </c>
      <c r="WZ397" s="9"/>
      <c r="XA397" s="5" t="s">
        <v>258</v>
      </c>
      <c r="XB397" s="6"/>
      <c r="XC397" s="4"/>
      <c r="XD397" s="4"/>
      <c r="XE397" s="4"/>
      <c r="XF397" s="4"/>
      <c r="XG397" s="4"/>
      <c r="XH397" s="5"/>
      <c r="XI397" s="6" t="s">
        <v>819</v>
      </c>
      <c r="XJ397" s="4" t="s">
        <v>820</v>
      </c>
      <c r="XK397" s="4"/>
      <c r="XL397" s="4"/>
      <c r="XM397" s="8">
        <v>38615</v>
      </c>
      <c r="XN397" s="4"/>
      <c r="XO397" s="5" t="s">
        <v>1419</v>
      </c>
      <c r="XP397" s="6"/>
      <c r="XQ397" s="4"/>
      <c r="XR397" s="4"/>
      <c r="XS397" s="4"/>
      <c r="XT397" s="4"/>
      <c r="XU397" s="4"/>
      <c r="XV397" s="5"/>
      <c r="XW397" s="6"/>
      <c r="XX397" s="4"/>
      <c r="XY397" s="4"/>
      <c r="XZ397" s="4"/>
      <c r="YA397" s="4"/>
      <c r="YB397" s="4"/>
      <c r="YC397" s="5"/>
      <c r="YD397" s="6"/>
      <c r="YE397" s="4"/>
      <c r="YF397" s="4"/>
      <c r="YG397" s="4"/>
      <c r="YH397" s="4"/>
      <c r="YI397" s="4"/>
      <c r="YJ397" s="5"/>
      <c r="YK397" s="6" t="s">
        <v>821</v>
      </c>
      <c r="YL397" s="4" t="s">
        <v>822</v>
      </c>
      <c r="YM397" s="4"/>
      <c r="YN397" s="4"/>
      <c r="YO397" s="8">
        <v>38687</v>
      </c>
      <c r="YP397" s="4"/>
      <c r="YQ397" s="5" t="s">
        <v>259</v>
      </c>
      <c r="YR397" s="6"/>
      <c r="YS397" s="4"/>
      <c r="YT397" s="4"/>
      <c r="YU397" s="4"/>
      <c r="YV397" s="4"/>
      <c r="YW397" s="4"/>
      <c r="YX397" s="5"/>
      <c r="YY397" s="6"/>
      <c r="YZ397" s="4"/>
      <c r="ZA397" s="4"/>
      <c r="ZB397" s="4"/>
      <c r="ZC397" s="4"/>
      <c r="ZD397" s="4"/>
      <c r="ZE397" s="5"/>
      <c r="ZF397" s="6"/>
      <c r="ZG397" s="4"/>
      <c r="ZH397" s="4"/>
      <c r="ZI397" s="4"/>
      <c r="ZJ397" s="4"/>
      <c r="ZK397" s="4"/>
      <c r="ZL397" s="5"/>
      <c r="ZM397" s="6" t="s">
        <v>2979</v>
      </c>
      <c r="ZN397" s="4" t="s">
        <v>1013</v>
      </c>
      <c r="ZO397" s="4"/>
      <c r="ZP397" s="4"/>
      <c r="ZQ397" s="8">
        <v>38689</v>
      </c>
      <c r="ZR397" s="4"/>
      <c r="ZS397" s="5" t="s">
        <v>360</v>
      </c>
      <c r="ZT397" s="6"/>
      <c r="ZU397" s="4"/>
      <c r="ZV397" s="4"/>
      <c r="ZW397" s="4"/>
      <c r="ZX397" s="4"/>
      <c r="ZY397" s="4"/>
      <c r="ZZ397" s="5"/>
      <c r="AAA397" s="6"/>
      <c r="AAB397" s="4"/>
      <c r="AAC397" s="4"/>
      <c r="AAD397" s="4"/>
      <c r="AAE397" s="4"/>
      <c r="AAF397" s="4"/>
      <c r="AAG397" s="5"/>
      <c r="AAH397" s="6" t="s">
        <v>2937</v>
      </c>
      <c r="AAI397" s="4" t="s">
        <v>2937</v>
      </c>
      <c r="AAJ397" s="4"/>
      <c r="AAK397" s="4"/>
      <c r="AAL397" s="4"/>
      <c r="AAM397" s="4"/>
      <c r="AAN397" s="5" t="s">
        <v>262</v>
      </c>
      <c r="AAO397" s="6"/>
      <c r="AAP397" s="4"/>
      <c r="AAQ397" s="4"/>
      <c r="AAR397" s="4"/>
      <c r="AAS397" s="4"/>
      <c r="AAT397" s="4"/>
      <c r="AAU397" s="5"/>
      <c r="AAV397" s="6"/>
      <c r="AAW397" s="4"/>
      <c r="AAX397" s="4"/>
      <c r="AAY397" s="4"/>
      <c r="AAZ397" s="4"/>
      <c r="ABA397" s="4"/>
      <c r="ABB397" s="5"/>
      <c r="ABC397" s="6"/>
      <c r="ABD397" s="4"/>
      <c r="ABE397" s="4"/>
      <c r="ABF397" s="4"/>
      <c r="ABG397" s="4"/>
      <c r="ABH397" s="4"/>
      <c r="ABI397" s="5"/>
      <c r="ABJ397" s="6" t="s">
        <v>953</v>
      </c>
      <c r="ABK397" s="4" t="s">
        <v>1946</v>
      </c>
      <c r="ABL397" s="4"/>
      <c r="ABM397" s="4"/>
      <c r="ABN397" s="8">
        <v>37656</v>
      </c>
      <c r="ABO397" s="4"/>
      <c r="ABP397" s="5"/>
      <c r="ABQ397" s="6"/>
      <c r="ABR397" s="4"/>
      <c r="ABS397" s="4"/>
      <c r="ABT397" s="4"/>
      <c r="ABU397" s="4"/>
      <c r="ABV397" s="4"/>
      <c r="ABW397" s="5"/>
      <c r="ABX397" s="6"/>
      <c r="ABY397" s="4"/>
      <c r="ABZ397" s="4"/>
      <c r="ACA397" s="4"/>
      <c r="ACB397" s="4"/>
      <c r="ACC397" s="4"/>
      <c r="ACD397" s="5"/>
      <c r="ACE397" s="6"/>
      <c r="ACF397" s="4"/>
      <c r="ACG397" s="4"/>
      <c r="ACH397" s="4"/>
      <c r="ACI397" s="4"/>
      <c r="ACJ397" s="4"/>
      <c r="ACK397" s="5"/>
      <c r="ACL397" s="4" t="s">
        <v>823</v>
      </c>
      <c r="ACM397" s="4" t="s">
        <v>2530</v>
      </c>
      <c r="ACN397" s="4"/>
      <c r="ACO397" s="4"/>
      <c r="ACP397" s="8">
        <v>38689</v>
      </c>
      <c r="ACQ397" s="4"/>
      <c r="ACR397" s="5" t="s">
        <v>263</v>
      </c>
      <c r="ACS397" s="6"/>
      <c r="ACT397" s="4"/>
      <c r="ACU397" s="4"/>
      <c r="ACV397" s="4"/>
      <c r="ACW397" s="4"/>
      <c r="ACX397" s="4"/>
      <c r="ACY397" s="5"/>
      <c r="ADG397" t="s">
        <v>147</v>
      </c>
      <c r="ADJ397" t="s">
        <v>371</v>
      </c>
      <c r="ADM397" t="s">
        <v>150</v>
      </c>
      <c r="ADN397" t="s">
        <v>194</v>
      </c>
      <c r="ADS397" t="s">
        <v>149</v>
      </c>
      <c r="ADV397" t="s">
        <v>374</v>
      </c>
      <c r="ADY397" t="s">
        <v>148</v>
      </c>
    </row>
    <row r="398" spans="2:805" x14ac:dyDescent="0.25">
      <c r="B398" s="30"/>
      <c r="J398" s="12"/>
      <c r="K398" s="12"/>
      <c r="L398" s="12"/>
      <c r="LL398" s="6"/>
      <c r="LM398" s="4"/>
      <c r="LN398" s="4"/>
      <c r="LO398" s="4"/>
      <c r="LP398" s="4"/>
      <c r="LQ398" s="4"/>
      <c r="LR398" s="5"/>
      <c r="LS398" s="6"/>
      <c r="LT398" s="4"/>
      <c r="LU398" s="4"/>
      <c r="LV398" s="4"/>
      <c r="LW398" s="4"/>
      <c r="LX398" s="4"/>
      <c r="LY398" s="5"/>
      <c r="LZ398" s="6" t="s">
        <v>3102</v>
      </c>
      <c r="MA398" s="7" t="s">
        <v>3103</v>
      </c>
      <c r="MB398" s="4"/>
      <c r="MC398" s="4"/>
      <c r="MD398" s="8">
        <v>37656</v>
      </c>
      <c r="ME398" s="4"/>
      <c r="MF398" s="4"/>
      <c r="MG398" s="5" t="s">
        <v>488</v>
      </c>
      <c r="MH398" s="6"/>
      <c r="MI398" s="4"/>
      <c r="MJ398" s="4"/>
      <c r="MK398" s="4"/>
      <c r="ML398" s="4"/>
      <c r="MM398" s="4"/>
      <c r="MN398" s="5"/>
      <c r="MO398" s="6"/>
      <c r="MP398" s="4"/>
      <c r="MQ398" s="4"/>
      <c r="MR398" s="4"/>
      <c r="MS398" s="4"/>
      <c r="MT398" s="4"/>
      <c r="MU398" s="5"/>
      <c r="MV398" s="6"/>
      <c r="MW398" s="4"/>
      <c r="MX398" s="4"/>
      <c r="MY398" s="4"/>
      <c r="MZ398" s="8"/>
      <c r="NA398" s="4"/>
      <c r="NB398" s="5"/>
      <c r="NC398" s="6" t="s">
        <v>1640</v>
      </c>
      <c r="ND398" s="7" t="s">
        <v>1734</v>
      </c>
      <c r="NE398" s="4"/>
      <c r="NF398" s="4"/>
      <c r="NG398" s="8">
        <v>38689</v>
      </c>
      <c r="NH398" s="4"/>
      <c r="NI398" s="5" t="s">
        <v>371</v>
      </c>
      <c r="NJ398" s="6" t="s">
        <v>1706</v>
      </c>
      <c r="NK398" s="4" t="s">
        <v>960</v>
      </c>
      <c r="NL398" s="4"/>
      <c r="NM398" s="4"/>
      <c r="NN398" s="4"/>
      <c r="NO398" s="4"/>
      <c r="NP398" s="5" t="s">
        <v>373</v>
      </c>
      <c r="NQ398" s="6"/>
      <c r="NR398" s="4"/>
      <c r="NS398" s="4"/>
      <c r="NT398" s="4"/>
      <c r="NU398" s="4"/>
      <c r="NV398" s="4"/>
      <c r="NW398" s="5"/>
      <c r="NX398" s="6"/>
      <c r="NY398" s="4"/>
      <c r="NZ398" s="4"/>
      <c r="OA398" s="4"/>
      <c r="OB398" s="4"/>
      <c r="OC398" s="4"/>
      <c r="OD398" s="5"/>
      <c r="OE398" s="6"/>
      <c r="OF398" s="4"/>
      <c r="OG398" s="4"/>
      <c r="OH398" s="4"/>
      <c r="OI398" s="4"/>
      <c r="OJ398" s="4"/>
      <c r="OK398" s="5"/>
      <c r="OL398" s="6"/>
      <c r="OM398" s="4"/>
      <c r="ON398" s="4"/>
      <c r="OO398" s="4"/>
      <c r="OP398" s="4"/>
      <c r="OQ398" s="4"/>
      <c r="OR398" s="5"/>
      <c r="OS398" s="6"/>
      <c r="OT398" s="4"/>
      <c r="OU398" s="4"/>
      <c r="OV398" s="4"/>
      <c r="OW398" s="4"/>
      <c r="OX398" s="4"/>
      <c r="OY398" s="5"/>
      <c r="OZ398" s="6"/>
      <c r="PA398" s="4"/>
      <c r="PB398" s="4"/>
      <c r="PC398" s="4"/>
      <c r="PD398" s="4"/>
      <c r="PE398" s="4"/>
      <c r="PF398" s="5"/>
      <c r="PG398" s="6"/>
      <c r="PH398" s="4"/>
      <c r="PI398" s="4"/>
      <c r="PJ398" s="4"/>
      <c r="PK398" s="4"/>
      <c r="PL398" s="4"/>
      <c r="PM398" s="5"/>
      <c r="PN398" s="6"/>
      <c r="PO398" s="4"/>
      <c r="PP398" s="4"/>
      <c r="PQ398" s="4"/>
      <c r="PR398" s="4"/>
      <c r="PS398" s="4"/>
      <c r="PT398" s="5"/>
      <c r="PU398" s="6"/>
      <c r="PW398" s="4"/>
      <c r="PX398" s="4"/>
      <c r="PY398" s="8"/>
      <c r="PZ398" s="4"/>
      <c r="QA398" s="5"/>
      <c r="QB398" s="6"/>
      <c r="QC398" s="4"/>
      <c r="QD398" s="4"/>
      <c r="QE398" s="4"/>
      <c r="QF398" s="4"/>
      <c r="QG398" s="4"/>
      <c r="QH398" s="5"/>
      <c r="QI398" s="6"/>
      <c r="QJ398" s="4"/>
      <c r="QK398" s="4"/>
      <c r="QL398" s="4"/>
      <c r="QM398" s="4"/>
      <c r="QN398" s="4"/>
      <c r="QO398" s="5"/>
      <c r="QP398" s="6"/>
      <c r="QQ398" s="4"/>
      <c r="QR398" s="4"/>
      <c r="QS398" s="4"/>
      <c r="QT398" s="4"/>
      <c r="QU398" s="4"/>
      <c r="QV398" s="5"/>
      <c r="QW398" s="6"/>
      <c r="QX398" s="4"/>
      <c r="QY398" s="4"/>
      <c r="QZ398" s="4"/>
      <c r="RA398" s="4"/>
      <c r="RB398" s="4"/>
      <c r="RC398" s="5"/>
      <c r="RD398" s="6"/>
      <c r="RE398" s="4"/>
      <c r="RF398" s="4"/>
      <c r="RG398" s="4"/>
      <c r="RH398" s="4"/>
      <c r="RI398" s="4"/>
      <c r="RJ398" s="5"/>
      <c r="RK398" s="6"/>
      <c r="RL398" s="4"/>
      <c r="RM398" s="4"/>
      <c r="RN398" s="4"/>
      <c r="RO398" s="4"/>
      <c r="RP398" s="4"/>
      <c r="RQ398" s="5"/>
      <c r="RR398" s="6"/>
      <c r="RS398" s="4"/>
      <c r="RT398" s="4"/>
      <c r="RU398" s="4"/>
      <c r="RV398" s="4"/>
      <c r="RW398" s="4"/>
      <c r="RX398" s="5"/>
      <c r="RY398" s="6"/>
      <c r="RZ398" s="4"/>
      <c r="SA398" s="4"/>
      <c r="SB398" s="4"/>
      <c r="SC398" s="4"/>
      <c r="SD398" s="4"/>
      <c r="SE398" s="5"/>
      <c r="SF398" s="6"/>
      <c r="SG398" s="4"/>
      <c r="SH398" s="4"/>
      <c r="SI398" s="4"/>
      <c r="SJ398" s="4"/>
      <c r="SK398" s="4"/>
      <c r="SL398" s="5"/>
      <c r="SM398" s="6"/>
      <c r="SN398" s="4"/>
      <c r="SO398" s="4"/>
      <c r="SP398" s="4"/>
      <c r="SQ398" s="4"/>
      <c r="SR398" s="4"/>
      <c r="SS398" s="5"/>
      <c r="ST398" s="6"/>
      <c r="SU398" s="4"/>
      <c r="SV398" s="4"/>
      <c r="SW398" s="4"/>
      <c r="SX398" s="4"/>
      <c r="SY398" s="4"/>
      <c r="SZ398" s="5"/>
      <c r="TA398" s="6"/>
      <c r="TB398" s="4"/>
      <c r="TC398" s="4"/>
      <c r="TD398" s="4"/>
      <c r="TE398" s="4"/>
      <c r="TF398" s="4"/>
      <c r="TG398" s="5"/>
      <c r="TH398" s="6"/>
      <c r="TI398" s="4"/>
      <c r="TJ398" s="4"/>
      <c r="TK398" s="4"/>
      <c r="TL398" s="4"/>
      <c r="TM398" s="4"/>
      <c r="TN398" s="5"/>
      <c r="TO398" s="6"/>
      <c r="TP398" s="4"/>
      <c r="TQ398" s="4"/>
      <c r="TR398" s="4"/>
      <c r="TS398" s="4"/>
      <c r="TT398" s="4"/>
      <c r="TU398" s="5"/>
      <c r="TV398" s="6"/>
      <c r="TW398" s="4"/>
      <c r="TX398" s="4"/>
      <c r="TY398" s="4"/>
      <c r="TZ398" s="4"/>
      <c r="UA398" s="4"/>
      <c r="UB398" s="5"/>
      <c r="UC398" s="6"/>
      <c r="UD398" s="4"/>
      <c r="UE398" s="4"/>
      <c r="UF398" s="4"/>
      <c r="UG398" s="4"/>
      <c r="UH398" s="4"/>
      <c r="UI398" s="5"/>
      <c r="UJ398" s="6"/>
      <c r="UK398" s="4"/>
      <c r="UL398" s="4"/>
      <c r="UM398" s="4"/>
      <c r="UN398" s="4"/>
      <c r="UO398" s="4"/>
      <c r="UP398" s="5"/>
      <c r="UQ398" s="6"/>
      <c r="UR398" s="4"/>
      <c r="US398" s="4"/>
      <c r="UT398" s="4"/>
      <c r="UU398" s="4"/>
      <c r="UV398" s="4"/>
      <c r="UW398" s="5"/>
      <c r="UX398" s="6"/>
      <c r="UY398" s="4"/>
      <c r="UZ398" s="4"/>
      <c r="VA398" s="4"/>
      <c r="VB398" s="4"/>
      <c r="VC398" s="4"/>
      <c r="VD398" s="5"/>
      <c r="VE398" s="6"/>
      <c r="VF398" s="4"/>
      <c r="VG398" s="4"/>
      <c r="VH398" s="4"/>
      <c r="VI398" s="4"/>
      <c r="VJ398" s="4"/>
      <c r="VK398" s="5"/>
      <c r="VL398" s="6"/>
      <c r="VM398" s="4"/>
      <c r="VN398" s="4"/>
      <c r="VO398" s="4"/>
      <c r="VP398" s="4"/>
      <c r="VQ398" s="4"/>
      <c r="VR398" s="5"/>
      <c r="VS398" s="6"/>
      <c r="VT398" s="4"/>
      <c r="VU398" s="4"/>
      <c r="VV398" s="4"/>
      <c r="VW398" s="4"/>
      <c r="VX398" s="4"/>
      <c r="VY398" s="5"/>
      <c r="VZ398" s="6"/>
      <c r="WA398" s="4"/>
      <c r="WB398" s="4"/>
      <c r="WC398" s="4"/>
      <c r="WD398" s="4"/>
      <c r="WE398" s="4"/>
      <c r="WF398" s="5"/>
      <c r="WG398" s="6"/>
      <c r="WH398" s="4"/>
      <c r="WI398" s="4"/>
      <c r="WJ398" s="4"/>
      <c r="WK398" s="4"/>
      <c r="WL398" s="4"/>
      <c r="WM398" s="5"/>
      <c r="WN398" s="6"/>
      <c r="WO398" s="4"/>
      <c r="WP398" s="4"/>
      <c r="WQ398" s="4"/>
      <c r="WR398" s="4"/>
      <c r="WS398" s="4"/>
      <c r="WT398" s="5"/>
      <c r="WU398" s="6"/>
      <c r="WV398" s="4"/>
      <c r="WW398" s="4"/>
      <c r="WX398" s="4"/>
      <c r="WY398" s="4"/>
      <c r="WZ398" s="4"/>
      <c r="XA398" s="5"/>
      <c r="XB398" s="6"/>
      <c r="XC398" s="4"/>
      <c r="XD398" s="4"/>
      <c r="XE398" s="4"/>
      <c r="XF398" s="4"/>
      <c r="XG398" s="4"/>
      <c r="XH398" s="5"/>
      <c r="XI398" s="6"/>
      <c r="XJ398" s="4"/>
      <c r="XK398" s="4"/>
      <c r="XL398" s="4"/>
      <c r="XM398" s="8"/>
      <c r="XN398" s="4"/>
      <c r="XO398" s="5"/>
      <c r="XP398" s="6"/>
      <c r="XQ398" s="4"/>
      <c r="XR398" s="4"/>
      <c r="XS398" s="4"/>
      <c r="XT398" s="4"/>
      <c r="XU398" s="4"/>
      <c r="XV398" s="5"/>
      <c r="XW398" s="6"/>
      <c r="XX398" s="4"/>
      <c r="XY398" s="4"/>
      <c r="XZ398" s="4"/>
      <c r="YA398" s="4"/>
      <c r="YB398" s="4"/>
      <c r="YC398" s="5"/>
      <c r="YD398" s="6"/>
      <c r="YE398" s="4"/>
      <c r="YF398" s="4"/>
      <c r="YG398" s="4"/>
      <c r="YH398" s="4"/>
      <c r="YI398" s="4"/>
      <c r="YJ398" s="5"/>
      <c r="YK398" s="6" t="s">
        <v>824</v>
      </c>
      <c r="YL398" s="4" t="s">
        <v>825</v>
      </c>
      <c r="YM398" s="4"/>
      <c r="YN398" s="4"/>
      <c r="YO398" s="8">
        <v>37656</v>
      </c>
      <c r="YP398" s="4"/>
      <c r="YQ398" s="5" t="s">
        <v>213</v>
      </c>
      <c r="YR398" s="6"/>
      <c r="YS398" s="4"/>
      <c r="YT398" s="4"/>
      <c r="YU398" s="4"/>
      <c r="YV398" s="4"/>
      <c r="YW398" s="4"/>
      <c r="YX398" s="5"/>
      <c r="YY398" s="6"/>
      <c r="YZ398" s="4"/>
      <c r="ZA398" s="4"/>
      <c r="ZB398" s="4"/>
      <c r="ZC398" s="4"/>
      <c r="ZD398" s="4"/>
      <c r="ZE398" s="5"/>
      <c r="ZF398" s="6"/>
      <c r="ZG398" s="4"/>
      <c r="ZH398" s="4"/>
      <c r="ZI398" s="4"/>
      <c r="ZJ398" s="4"/>
      <c r="ZK398" s="4"/>
      <c r="ZL398" s="5"/>
      <c r="ZM398" s="6"/>
      <c r="ZN398" s="4"/>
      <c r="ZO398" s="4"/>
      <c r="ZP398" s="4"/>
      <c r="ZQ398" s="8"/>
      <c r="ZR398" s="4"/>
      <c r="ZS398" s="5"/>
      <c r="ZT398" s="6"/>
      <c r="ZU398" s="4"/>
      <c r="ZV398" s="4"/>
      <c r="ZW398" s="4"/>
      <c r="ZX398" s="4"/>
      <c r="ZY398" s="4"/>
      <c r="ZZ398" s="5"/>
      <c r="AAA398" s="6"/>
      <c r="AAB398" s="4"/>
      <c r="AAC398" s="4"/>
      <c r="AAD398" s="4"/>
      <c r="AAE398" s="4"/>
      <c r="AAF398" s="4"/>
      <c r="AAG398" s="5"/>
      <c r="AAH398" s="6"/>
      <c r="AAI398" s="4"/>
      <c r="AAJ398" s="4"/>
      <c r="AAK398" s="4"/>
      <c r="AAL398" s="4"/>
      <c r="AAM398" s="4"/>
      <c r="AAN398" s="5"/>
      <c r="AAO398" s="6"/>
      <c r="AAP398" s="4"/>
      <c r="AAQ398" s="4"/>
      <c r="AAR398" s="4"/>
      <c r="AAS398" s="4"/>
      <c r="AAT398" s="4"/>
      <c r="AAU398" s="5"/>
      <c r="AAV398" s="6"/>
      <c r="AAW398" s="4"/>
      <c r="AAX398" s="4"/>
      <c r="AAY398" s="4"/>
      <c r="AAZ398" s="4"/>
      <c r="ABA398" s="4"/>
      <c r="ABB398" s="5"/>
      <c r="ABC398" s="6"/>
      <c r="ABD398" s="4"/>
      <c r="ABE398" s="4"/>
      <c r="ABF398" s="4"/>
      <c r="ABG398" s="4"/>
      <c r="ABH398" s="4"/>
      <c r="ABI398" s="5"/>
      <c r="ABJ398" s="6"/>
      <c r="ABK398" s="4"/>
      <c r="ABL398" s="4"/>
      <c r="ABM398" s="4"/>
      <c r="ABN398" s="8"/>
      <c r="ABO398" s="4"/>
      <c r="ABP398" s="5"/>
      <c r="ABQ398" s="6"/>
      <c r="ABR398" s="4"/>
      <c r="ABS398" s="4"/>
      <c r="ABT398" s="4"/>
      <c r="ABU398" s="4"/>
      <c r="ABV398" s="4"/>
      <c r="ABW398" s="5"/>
      <c r="ABX398" s="6"/>
      <c r="ABY398" s="4"/>
      <c r="ABZ398" s="4"/>
      <c r="ACA398" s="4"/>
      <c r="ACB398" s="4"/>
      <c r="ACC398" s="4"/>
      <c r="ACD398" s="5"/>
      <c r="ACE398" s="6"/>
      <c r="ACF398" s="4"/>
      <c r="ACG398" s="4"/>
      <c r="ACH398" s="4"/>
      <c r="ACI398" s="4"/>
      <c r="ACJ398" s="4"/>
      <c r="ACK398" s="5"/>
      <c r="ACL398" s="4" t="s">
        <v>826</v>
      </c>
      <c r="ACM398" s="4" t="s">
        <v>2719</v>
      </c>
      <c r="ACN398" s="4"/>
      <c r="ACO398" s="4"/>
      <c r="ACP398" s="8">
        <v>37656</v>
      </c>
      <c r="ACQ398" s="4"/>
      <c r="ACR398" s="5" t="s">
        <v>264</v>
      </c>
      <c r="ACS398" s="6"/>
      <c r="ACT398" s="4"/>
      <c r="ACU398" s="4"/>
      <c r="ACV398" s="4"/>
      <c r="ACW398" s="4"/>
      <c r="ACX398" s="4"/>
      <c r="ACY398" s="5"/>
    </row>
    <row r="399" spans="2:805" x14ac:dyDescent="0.25">
      <c r="B399" s="30"/>
      <c r="J399" s="12"/>
      <c r="K399" s="12"/>
      <c r="L399" s="12"/>
      <c r="LL399" s="6"/>
      <c r="LM399" s="4"/>
      <c r="LN399" s="4"/>
      <c r="LO399" s="4"/>
      <c r="LP399" s="4"/>
      <c r="LQ399" s="4"/>
      <c r="LR399" s="5"/>
      <c r="LS399" s="6"/>
      <c r="LT399" s="4"/>
      <c r="LU399" s="4"/>
      <c r="LV399" s="4"/>
      <c r="LW399" s="4"/>
      <c r="LX399" s="4"/>
      <c r="LY399" s="5"/>
      <c r="LZ399" s="6" t="s">
        <v>2136</v>
      </c>
      <c r="MA399" s="4" t="s">
        <v>2707</v>
      </c>
      <c r="MB399" s="4"/>
      <c r="MC399" s="7"/>
      <c r="MD399" s="8">
        <v>38689</v>
      </c>
      <c r="ME399" s="8"/>
      <c r="MF399" s="8"/>
      <c r="MG399" s="5" t="s">
        <v>367</v>
      </c>
      <c r="MH399" s="6"/>
      <c r="MI399" s="4"/>
      <c r="MJ399" s="4"/>
      <c r="MK399" s="4"/>
      <c r="ML399" s="4"/>
      <c r="MM399" s="4"/>
      <c r="MN399" s="5"/>
      <c r="MO399" s="6"/>
      <c r="MP399" s="4"/>
      <c r="MQ399" s="4"/>
      <c r="MR399" s="4"/>
      <c r="MS399" s="4"/>
      <c r="MT399" s="4"/>
      <c r="MU399" s="5"/>
      <c r="MV399" s="6"/>
      <c r="MW399" s="4"/>
      <c r="MX399" s="4"/>
      <c r="MY399" s="4"/>
      <c r="MZ399" s="8"/>
      <c r="NA399" s="4"/>
      <c r="NB399" s="5"/>
      <c r="NC399" s="6" t="s">
        <v>2777</v>
      </c>
      <c r="ND399" s="4" t="s">
        <v>2777</v>
      </c>
      <c r="NE399" s="4"/>
      <c r="NF399" s="4"/>
      <c r="NG399" s="8">
        <v>38689</v>
      </c>
      <c r="NH399" s="4"/>
      <c r="NI399" s="5" t="s">
        <v>372</v>
      </c>
      <c r="NJ399" s="6"/>
      <c r="NK399" s="4"/>
      <c r="NL399" s="4"/>
      <c r="NM399" s="4"/>
      <c r="NN399" s="4"/>
      <c r="NO399" s="4"/>
      <c r="NP399" s="5"/>
      <c r="NQ399" s="6"/>
      <c r="NR399" s="4"/>
      <c r="NS399" s="4"/>
      <c r="NT399" s="4"/>
      <c r="NU399" s="4"/>
      <c r="NV399" s="4"/>
      <c r="NW399" s="5"/>
      <c r="NX399" s="6"/>
      <c r="NY399" s="4"/>
      <c r="NZ399" s="4"/>
      <c r="OA399" s="4"/>
      <c r="OB399" s="4"/>
      <c r="OC399" s="4"/>
      <c r="OD399" s="5"/>
      <c r="OE399" s="6"/>
      <c r="OF399" s="4"/>
      <c r="OG399" s="4"/>
      <c r="OH399" s="4"/>
      <c r="OI399" s="4"/>
      <c r="OJ399" s="4"/>
      <c r="OK399" s="5"/>
      <c r="OL399" s="6"/>
      <c r="OM399" s="4"/>
      <c r="ON399" s="4"/>
      <c r="OO399" s="4"/>
      <c r="OP399" s="4"/>
      <c r="OQ399" s="4"/>
      <c r="OR399" s="5"/>
      <c r="OS399" s="6"/>
      <c r="OT399" s="4"/>
      <c r="OU399" s="4"/>
      <c r="OV399" s="4"/>
      <c r="OW399" s="4"/>
      <c r="OX399" s="4"/>
      <c r="OY399" s="5"/>
      <c r="OZ399" s="6"/>
      <c r="PA399" s="4"/>
      <c r="PB399" s="4"/>
      <c r="PC399" s="4"/>
      <c r="PD399" s="4"/>
      <c r="PE399" s="4"/>
      <c r="PF399" s="5"/>
      <c r="PG399" s="6"/>
      <c r="PH399" s="4"/>
      <c r="PI399" s="4"/>
      <c r="PJ399" s="4"/>
      <c r="PK399" s="4"/>
      <c r="PL399" s="4"/>
      <c r="PM399" s="5"/>
      <c r="PN399" s="6"/>
      <c r="PO399" s="4"/>
      <c r="PP399" s="4"/>
      <c r="PQ399" s="4"/>
      <c r="PR399" s="4"/>
      <c r="PS399" s="4"/>
      <c r="PT399" s="5"/>
      <c r="PU399" s="6"/>
      <c r="PW399" s="4"/>
      <c r="PX399" s="4"/>
      <c r="PY399" s="8"/>
      <c r="PZ399" s="4"/>
      <c r="QA399" s="5"/>
      <c r="QB399" s="6"/>
      <c r="QC399" s="4"/>
      <c r="QD399" s="4"/>
      <c r="QE399" s="4"/>
      <c r="QF399" s="4"/>
      <c r="QG399" s="4"/>
      <c r="QH399" s="5"/>
      <c r="QI399" s="6"/>
      <c r="QJ399" s="4"/>
      <c r="QK399" s="4"/>
      <c r="QL399" s="4"/>
      <c r="QM399" s="4"/>
      <c r="QN399" s="4"/>
      <c r="QO399" s="5"/>
      <c r="QP399" s="6"/>
      <c r="QQ399" s="4"/>
      <c r="QR399" s="4"/>
      <c r="QS399" s="4"/>
      <c r="QT399" s="4"/>
      <c r="QU399" s="4"/>
      <c r="QV399" s="5"/>
      <c r="QW399" s="6"/>
      <c r="QX399" s="4"/>
      <c r="QY399" s="4"/>
      <c r="QZ399" s="4"/>
      <c r="RA399" s="4"/>
      <c r="RB399" s="4"/>
      <c r="RC399" s="5"/>
      <c r="RD399" s="6"/>
      <c r="RE399" s="4"/>
      <c r="RF399" s="4"/>
      <c r="RG399" s="4"/>
      <c r="RH399" s="4"/>
      <c r="RI399" s="4"/>
      <c r="RJ399" s="5"/>
      <c r="RK399" s="6"/>
      <c r="RL399" s="4"/>
      <c r="RM399" s="4"/>
      <c r="RN399" s="4"/>
      <c r="RO399" s="4"/>
      <c r="RP399" s="4"/>
      <c r="RQ399" s="5"/>
      <c r="RR399" s="6"/>
      <c r="RS399" s="4"/>
      <c r="RT399" s="4"/>
      <c r="RU399" s="4"/>
      <c r="RV399" s="4"/>
      <c r="RW399" s="4"/>
      <c r="RX399" s="5"/>
      <c r="RY399" s="6"/>
      <c r="RZ399" s="4"/>
      <c r="SA399" s="4"/>
      <c r="SB399" s="4"/>
      <c r="SC399" s="4"/>
      <c r="SD399" s="4"/>
      <c r="SE399" s="5"/>
      <c r="SF399" s="6"/>
      <c r="SG399" s="4"/>
      <c r="SH399" s="4"/>
      <c r="SI399" s="4"/>
      <c r="SJ399" s="4"/>
      <c r="SK399" s="4"/>
      <c r="SL399" s="5"/>
      <c r="SM399" s="6"/>
      <c r="SN399" s="4"/>
      <c r="SO399" s="4"/>
      <c r="SP399" s="4"/>
      <c r="SQ399" s="4"/>
      <c r="SR399" s="4"/>
      <c r="SS399" s="5"/>
      <c r="ST399" s="6"/>
      <c r="SU399" s="4"/>
      <c r="SV399" s="4"/>
      <c r="SW399" s="4"/>
      <c r="SX399" s="4"/>
      <c r="SY399" s="4"/>
      <c r="SZ399" s="5"/>
      <c r="TA399" s="6"/>
      <c r="TB399" s="4"/>
      <c r="TC399" s="4"/>
      <c r="TD399" s="4"/>
      <c r="TE399" s="4"/>
      <c r="TF399" s="4"/>
      <c r="TG399" s="5"/>
      <c r="TH399" s="6"/>
      <c r="TI399" s="4"/>
      <c r="TJ399" s="4"/>
      <c r="TK399" s="4"/>
      <c r="TL399" s="4"/>
      <c r="TM399" s="4"/>
      <c r="TN399" s="5"/>
      <c r="TO399" s="6"/>
      <c r="TP399" s="4"/>
      <c r="TQ399" s="4"/>
      <c r="TR399" s="4"/>
      <c r="TS399" s="4"/>
      <c r="TT399" s="4"/>
      <c r="TU399" s="5"/>
      <c r="TV399" s="6"/>
      <c r="TW399" s="4"/>
      <c r="TX399" s="4"/>
      <c r="TY399" s="4"/>
      <c r="TZ399" s="4"/>
      <c r="UA399" s="4"/>
      <c r="UB399" s="5"/>
      <c r="UC399" s="6"/>
      <c r="UD399" s="4"/>
      <c r="UE399" s="4"/>
      <c r="UF399" s="4"/>
      <c r="UG399" s="4"/>
      <c r="UH399" s="4"/>
      <c r="UI399" s="5"/>
      <c r="UJ399" s="6"/>
      <c r="UK399" s="4"/>
      <c r="UL399" s="4"/>
      <c r="UM399" s="4"/>
      <c r="UN399" s="4"/>
      <c r="UO399" s="4"/>
      <c r="UP399" s="5"/>
      <c r="UQ399" s="6"/>
      <c r="UR399" s="4"/>
      <c r="US399" s="4"/>
      <c r="UT399" s="4"/>
      <c r="UU399" s="4"/>
      <c r="UV399" s="4"/>
      <c r="UW399" s="5"/>
      <c r="UX399" s="6"/>
      <c r="UY399" s="4"/>
      <c r="UZ399" s="4"/>
      <c r="VA399" s="4"/>
      <c r="VB399" s="4"/>
      <c r="VC399" s="4"/>
      <c r="VD399" s="5"/>
      <c r="VE399" s="6"/>
      <c r="VF399" s="4"/>
      <c r="VG399" s="4"/>
      <c r="VH399" s="4"/>
      <c r="VI399" s="4"/>
      <c r="VJ399" s="4"/>
      <c r="VK399" s="5"/>
      <c r="VL399" s="6"/>
      <c r="VM399" s="4"/>
      <c r="VN399" s="4"/>
      <c r="VO399" s="4"/>
      <c r="VP399" s="4"/>
      <c r="VQ399" s="4"/>
      <c r="VR399" s="5"/>
      <c r="VS399" s="6"/>
      <c r="VT399" s="4"/>
      <c r="VU399" s="4"/>
      <c r="VV399" s="4"/>
      <c r="VW399" s="4"/>
      <c r="VX399" s="4"/>
      <c r="VY399" s="5"/>
      <c r="VZ399" s="6"/>
      <c r="WA399" s="4"/>
      <c r="WB399" s="4"/>
      <c r="WC399" s="4"/>
      <c r="WD399" s="4"/>
      <c r="WE399" s="4"/>
      <c r="WF399" s="5"/>
      <c r="WG399" s="6"/>
      <c r="WH399" s="4"/>
      <c r="WI399" s="4"/>
      <c r="WJ399" s="4"/>
      <c r="WK399" s="4"/>
      <c r="WL399" s="4"/>
      <c r="WM399" s="5"/>
      <c r="WN399" s="6"/>
      <c r="WO399" s="4"/>
      <c r="WP399" s="4"/>
      <c r="WQ399" s="4"/>
      <c r="WR399" s="4"/>
      <c r="WS399" s="4"/>
      <c r="WT399" s="5"/>
      <c r="WU399" s="6"/>
      <c r="WV399" s="4"/>
      <c r="WW399" s="4"/>
      <c r="WX399" s="4"/>
      <c r="WY399" s="4"/>
      <c r="WZ399" s="4"/>
      <c r="XA399" s="5"/>
      <c r="XB399" s="6"/>
      <c r="XC399" s="4"/>
      <c r="XD399" s="4"/>
      <c r="XE399" s="4"/>
      <c r="XF399" s="4"/>
      <c r="XG399" s="4"/>
      <c r="XH399" s="5"/>
      <c r="XI399" s="6"/>
      <c r="XJ399" s="4"/>
      <c r="XK399" s="4"/>
      <c r="XL399" s="4"/>
      <c r="XM399" s="8"/>
      <c r="XN399" s="4"/>
      <c r="XO399" s="5"/>
      <c r="XP399" s="6"/>
      <c r="XQ399" s="4"/>
      <c r="XR399" s="4"/>
      <c r="XS399" s="4"/>
      <c r="XT399" s="4"/>
      <c r="XU399" s="4"/>
      <c r="XV399" s="5"/>
      <c r="XW399" s="6"/>
      <c r="XX399" s="4"/>
      <c r="XY399" s="4"/>
      <c r="XZ399" s="4"/>
      <c r="YA399" s="4"/>
      <c r="YB399" s="4"/>
      <c r="YC399" s="5"/>
      <c r="YD399" s="6"/>
      <c r="YE399" s="4"/>
      <c r="YF399" s="4"/>
      <c r="YG399" s="4"/>
      <c r="YH399" s="4"/>
      <c r="YI399" s="4"/>
      <c r="YJ399" s="5"/>
      <c r="YK399" s="6" t="s">
        <v>827</v>
      </c>
      <c r="YL399" s="7" t="s">
        <v>2980</v>
      </c>
      <c r="YM399" s="4"/>
      <c r="YN399" s="4"/>
      <c r="YO399" s="8">
        <v>38687</v>
      </c>
      <c r="YP399" s="4"/>
      <c r="YQ399" s="5" t="s">
        <v>260</v>
      </c>
      <c r="YR399" s="6"/>
      <c r="YS399" s="4"/>
      <c r="YT399" s="4"/>
      <c r="YU399" s="4"/>
      <c r="YV399" s="4"/>
      <c r="YW399" s="4"/>
      <c r="YX399" s="5"/>
      <c r="YY399" s="6"/>
      <c r="YZ399" s="4"/>
      <c r="ZA399" s="4"/>
      <c r="ZB399" s="4"/>
      <c r="ZC399" s="4"/>
      <c r="ZD399" s="4"/>
      <c r="ZE399" s="5"/>
      <c r="ZF399" s="6"/>
      <c r="ZG399" s="4"/>
      <c r="ZH399" s="4"/>
      <c r="ZI399" s="4"/>
      <c r="ZJ399" s="4"/>
      <c r="ZK399" s="4"/>
      <c r="ZL399" s="5"/>
      <c r="ZM399" s="6"/>
      <c r="ZN399" s="4"/>
      <c r="ZO399" s="4"/>
      <c r="ZP399" s="4"/>
      <c r="ZQ399" s="8"/>
      <c r="ZR399" s="4"/>
      <c r="ZS399" s="5"/>
      <c r="ZT399" s="6"/>
      <c r="ZU399" s="4"/>
      <c r="ZV399" s="4"/>
      <c r="ZW399" s="4"/>
      <c r="ZX399" s="4"/>
      <c r="ZY399" s="4"/>
      <c r="ZZ399" s="5"/>
      <c r="AAA399" s="6"/>
      <c r="AAB399" s="4"/>
      <c r="AAC399" s="4"/>
      <c r="AAD399" s="4"/>
      <c r="AAE399" s="4"/>
      <c r="AAF399" s="4"/>
      <c r="AAG399" s="5"/>
      <c r="AAH399" s="6"/>
      <c r="AAI399" s="4"/>
      <c r="AAJ399" s="4"/>
      <c r="AAK399" s="4"/>
      <c r="AAL399" s="4"/>
      <c r="AAM399" s="4"/>
      <c r="AAN399" s="5"/>
      <c r="AAO399" s="6"/>
      <c r="AAP399" s="4"/>
      <c r="AAQ399" s="4"/>
      <c r="AAR399" s="4"/>
      <c r="AAS399" s="4"/>
      <c r="AAT399" s="4"/>
      <c r="AAU399" s="5"/>
      <c r="AAV399" s="6"/>
      <c r="AAW399" s="4"/>
      <c r="AAX399" s="4"/>
      <c r="AAY399" s="4"/>
      <c r="AAZ399" s="4"/>
      <c r="ABA399" s="4"/>
      <c r="ABB399" s="5"/>
      <c r="ABC399" s="6"/>
      <c r="ABD399" s="4"/>
      <c r="ABE399" s="4"/>
      <c r="ABF399" s="4"/>
      <c r="ABG399" s="4"/>
      <c r="ABH399" s="4"/>
      <c r="ABI399" s="5"/>
      <c r="ABJ399" s="6"/>
      <c r="ABK399" s="4"/>
      <c r="ABL399" s="4"/>
      <c r="ABM399" s="4"/>
      <c r="ABN399" s="8"/>
      <c r="ABO399" s="4"/>
      <c r="ABP399" s="5"/>
      <c r="ABQ399" s="6"/>
      <c r="ABR399" s="4"/>
      <c r="ABS399" s="4"/>
      <c r="ABT399" s="4"/>
      <c r="ABU399" s="4"/>
      <c r="ABV399" s="4"/>
      <c r="ABW399" s="5"/>
      <c r="ABX399" s="6"/>
      <c r="ABY399" s="4"/>
      <c r="ABZ399" s="4"/>
      <c r="ACA399" s="4"/>
      <c r="ACB399" s="4"/>
      <c r="ACC399" s="4"/>
      <c r="ACD399" s="5"/>
      <c r="ACE399" s="6"/>
      <c r="ACF399" s="4"/>
      <c r="ACG399" s="4"/>
      <c r="ACH399" s="4"/>
      <c r="ACI399" s="4"/>
      <c r="ACJ399" s="4"/>
      <c r="ACK399" s="5"/>
      <c r="ACL399" s="4"/>
      <c r="ACM399" s="4"/>
      <c r="ACN399" s="4"/>
      <c r="ACO399" s="4"/>
      <c r="ACP399" s="8"/>
      <c r="ACQ399" s="4"/>
      <c r="ACR399" s="5"/>
      <c r="ACS399" s="6"/>
      <c r="ACT399" s="4"/>
      <c r="ACU399" s="4"/>
      <c r="ACV399" s="4"/>
      <c r="ACW399" s="4"/>
      <c r="ACX399" s="4"/>
      <c r="ACY399" s="5"/>
    </row>
    <row r="400" spans="2:805" x14ac:dyDescent="0.25">
      <c r="B400" s="30"/>
      <c r="J400" s="12"/>
      <c r="K400" s="12"/>
      <c r="L400" s="12"/>
      <c r="LL400" s="6"/>
      <c r="LM400" s="4"/>
      <c r="LN400" s="4"/>
      <c r="LO400" s="4"/>
      <c r="LP400" s="4"/>
      <c r="LQ400" s="4"/>
      <c r="LR400" s="5"/>
      <c r="LS400" s="6"/>
      <c r="LT400" s="4"/>
      <c r="LU400" s="4"/>
      <c r="LV400" s="4"/>
      <c r="LW400" s="4"/>
      <c r="LX400" s="4"/>
      <c r="LY400" s="5"/>
      <c r="LZ400" s="11" t="s">
        <v>2290</v>
      </c>
      <c r="MA400" s="7" t="s">
        <v>2375</v>
      </c>
      <c r="MB400" s="4"/>
      <c r="MC400" s="7"/>
      <c r="MD400" s="8">
        <v>38689</v>
      </c>
      <c r="ME400" s="8"/>
      <c r="MF400" s="8" t="s">
        <v>368</v>
      </c>
      <c r="MG400" s="40" t="s">
        <v>488</v>
      </c>
      <c r="MH400" s="6"/>
      <c r="MI400" s="4"/>
      <c r="MJ400" s="4"/>
      <c r="MK400" s="4"/>
      <c r="ML400" s="4"/>
      <c r="MM400" s="4"/>
      <c r="MN400" s="5"/>
      <c r="MO400" s="6"/>
      <c r="MP400" s="4"/>
      <c r="MQ400" s="4"/>
      <c r="MR400" s="4"/>
      <c r="MS400" s="4"/>
      <c r="MT400" s="4"/>
      <c r="MU400" s="5"/>
      <c r="MV400" s="6"/>
      <c r="MW400" s="4"/>
      <c r="MX400" s="4"/>
      <c r="MY400" s="4"/>
      <c r="MZ400" s="8"/>
      <c r="NA400" s="4"/>
      <c r="NB400" s="5"/>
      <c r="NC400" s="6"/>
      <c r="ND400" s="4"/>
      <c r="NE400" s="4"/>
      <c r="NF400" s="4"/>
      <c r="NG400" s="8"/>
      <c r="NH400" s="4"/>
      <c r="NI400" s="5"/>
      <c r="NJ400" s="6"/>
      <c r="NK400" s="4"/>
      <c r="NL400" s="4"/>
      <c r="NM400" s="4"/>
      <c r="NN400" s="4"/>
      <c r="NO400" s="4"/>
      <c r="NP400" s="5"/>
      <c r="NQ400" s="6"/>
      <c r="NR400" s="4"/>
      <c r="NS400" s="4"/>
      <c r="NT400" s="4"/>
      <c r="NU400" s="4"/>
      <c r="NV400" s="4"/>
      <c r="NW400" s="5"/>
      <c r="NX400" s="6"/>
      <c r="NY400" s="4"/>
      <c r="NZ400" s="4"/>
      <c r="OA400" s="4"/>
      <c r="OB400" s="4"/>
      <c r="OC400" s="4"/>
      <c r="OD400" s="5"/>
      <c r="OE400" s="6"/>
      <c r="OF400" s="4"/>
      <c r="OG400" s="4"/>
      <c r="OH400" s="4"/>
      <c r="OI400" s="4"/>
      <c r="OJ400" s="4"/>
      <c r="OK400" s="5"/>
      <c r="OL400" s="6"/>
      <c r="OM400" s="4"/>
      <c r="ON400" s="4"/>
      <c r="OO400" s="4"/>
      <c r="OP400" s="4"/>
      <c r="OQ400" s="4"/>
      <c r="OR400" s="5"/>
      <c r="OS400" s="6"/>
      <c r="OT400" s="4"/>
      <c r="OU400" s="4"/>
      <c r="OV400" s="4"/>
      <c r="OW400" s="4"/>
      <c r="OX400" s="4"/>
      <c r="OY400" s="5"/>
      <c r="OZ400" s="6"/>
      <c r="PA400" s="4"/>
      <c r="PB400" s="4"/>
      <c r="PC400" s="4"/>
      <c r="PD400" s="4"/>
      <c r="PE400" s="4"/>
      <c r="PF400" s="5"/>
      <c r="PG400" s="6"/>
      <c r="PH400" s="4"/>
      <c r="PI400" s="4"/>
      <c r="PJ400" s="4"/>
      <c r="PK400" s="4"/>
      <c r="PL400" s="4"/>
      <c r="PM400" s="5"/>
      <c r="PN400" s="6"/>
      <c r="PO400" s="4"/>
      <c r="PP400" s="4"/>
      <c r="PQ400" s="4"/>
      <c r="PR400" s="4"/>
      <c r="PS400" s="4"/>
      <c r="PT400" s="5"/>
      <c r="PU400" s="6"/>
      <c r="PW400" s="4"/>
      <c r="PX400" s="4"/>
      <c r="PY400" s="8"/>
      <c r="PZ400" s="4"/>
      <c r="QA400" s="5"/>
      <c r="QB400" s="6"/>
      <c r="QC400" s="4"/>
      <c r="QD400" s="4"/>
      <c r="QE400" s="4"/>
      <c r="QF400" s="4"/>
      <c r="QG400" s="4"/>
      <c r="QH400" s="5"/>
      <c r="QI400" s="6"/>
      <c r="QJ400" s="4"/>
      <c r="QK400" s="4"/>
      <c r="QL400" s="4"/>
      <c r="QM400" s="4"/>
      <c r="QN400" s="4"/>
      <c r="QO400" s="5"/>
      <c r="QP400" s="6"/>
      <c r="QQ400" s="4"/>
      <c r="QR400" s="4"/>
      <c r="QS400" s="4"/>
      <c r="QT400" s="4"/>
      <c r="QU400" s="4"/>
      <c r="QV400" s="5"/>
      <c r="QW400" s="6"/>
      <c r="QX400" s="4"/>
      <c r="QY400" s="4"/>
      <c r="QZ400" s="4"/>
      <c r="RA400" s="4"/>
      <c r="RB400" s="4"/>
      <c r="RC400" s="5"/>
      <c r="RD400" s="6"/>
      <c r="RE400" s="4"/>
      <c r="RF400" s="4"/>
      <c r="RG400" s="4"/>
      <c r="RH400" s="4"/>
      <c r="RI400" s="4"/>
      <c r="RJ400" s="5"/>
      <c r="RK400" s="6"/>
      <c r="RL400" s="4"/>
      <c r="RM400" s="4"/>
      <c r="RN400" s="4"/>
      <c r="RO400" s="4"/>
      <c r="RP400" s="4"/>
      <c r="RQ400" s="5"/>
      <c r="RR400" s="6"/>
      <c r="RS400" s="4"/>
      <c r="RT400" s="4"/>
      <c r="RU400" s="4"/>
      <c r="RV400" s="4"/>
      <c r="RW400" s="4"/>
      <c r="RX400" s="5"/>
      <c r="RY400" s="6"/>
      <c r="RZ400" s="4"/>
      <c r="SA400" s="4"/>
      <c r="SB400" s="4"/>
      <c r="SC400" s="4"/>
      <c r="SD400" s="4"/>
      <c r="SE400" s="5"/>
      <c r="SF400" s="6"/>
      <c r="SG400" s="4"/>
      <c r="SH400" s="4"/>
      <c r="SI400" s="4"/>
      <c r="SJ400" s="4"/>
      <c r="SK400" s="4"/>
      <c r="SL400" s="5"/>
      <c r="SM400" s="6"/>
      <c r="SN400" s="4"/>
      <c r="SO400" s="4"/>
      <c r="SP400" s="4"/>
      <c r="SQ400" s="4"/>
      <c r="SR400" s="4"/>
      <c r="SS400" s="5"/>
      <c r="ST400" s="6"/>
      <c r="SU400" s="4"/>
      <c r="SV400" s="4"/>
      <c r="SW400" s="4"/>
      <c r="SX400" s="4"/>
      <c r="SY400" s="4"/>
      <c r="SZ400" s="5"/>
      <c r="TA400" s="6"/>
      <c r="TB400" s="4"/>
      <c r="TC400" s="4"/>
      <c r="TD400" s="4"/>
      <c r="TE400" s="4"/>
      <c r="TF400" s="4"/>
      <c r="TG400" s="5"/>
      <c r="TH400" s="6"/>
      <c r="TI400" s="4"/>
      <c r="TJ400" s="4"/>
      <c r="TK400" s="4"/>
      <c r="TL400" s="4"/>
      <c r="TM400" s="4"/>
      <c r="TN400" s="5"/>
      <c r="TO400" s="6"/>
      <c r="TP400" s="4"/>
      <c r="TQ400" s="4"/>
      <c r="TR400" s="4"/>
      <c r="TS400" s="4"/>
      <c r="TT400" s="4"/>
      <c r="TU400" s="5"/>
      <c r="TV400" s="6"/>
      <c r="TW400" s="4"/>
      <c r="TX400" s="4"/>
      <c r="TY400" s="4"/>
      <c r="TZ400" s="4"/>
      <c r="UA400" s="4"/>
      <c r="UB400" s="5"/>
      <c r="UC400" s="6"/>
      <c r="UD400" s="4"/>
      <c r="UE400" s="4"/>
      <c r="UF400" s="4"/>
      <c r="UG400" s="4"/>
      <c r="UH400" s="4"/>
      <c r="UI400" s="5"/>
      <c r="UJ400" s="6"/>
      <c r="UK400" s="4"/>
      <c r="UL400" s="4"/>
      <c r="UM400" s="4"/>
      <c r="UN400" s="4"/>
      <c r="UO400" s="4"/>
      <c r="UP400" s="5"/>
      <c r="UQ400" s="6"/>
      <c r="UR400" s="4"/>
      <c r="US400" s="4"/>
      <c r="UT400" s="4"/>
      <c r="UU400" s="4"/>
      <c r="UV400" s="4"/>
      <c r="UW400" s="5"/>
      <c r="UX400" s="6"/>
      <c r="UY400" s="4"/>
      <c r="UZ400" s="4"/>
      <c r="VA400" s="4"/>
      <c r="VB400" s="4"/>
      <c r="VC400" s="4"/>
      <c r="VD400" s="5"/>
      <c r="VE400" s="6"/>
      <c r="VF400" s="4"/>
      <c r="VG400" s="4"/>
      <c r="VH400" s="4"/>
      <c r="VI400" s="4"/>
      <c r="VJ400" s="4"/>
      <c r="VK400" s="5"/>
      <c r="VL400" s="6"/>
      <c r="VM400" s="4"/>
      <c r="VN400" s="4"/>
      <c r="VO400" s="4"/>
      <c r="VP400" s="4"/>
      <c r="VQ400" s="4"/>
      <c r="VR400" s="5"/>
      <c r="VS400" s="6"/>
      <c r="VT400" s="4"/>
      <c r="VU400" s="4"/>
      <c r="VV400" s="4"/>
      <c r="VW400" s="4"/>
      <c r="VX400" s="4"/>
      <c r="VY400" s="5"/>
      <c r="VZ400" s="6"/>
      <c r="WA400" s="4"/>
      <c r="WB400" s="4"/>
      <c r="WC400" s="4"/>
      <c r="WD400" s="4"/>
      <c r="WE400" s="4"/>
      <c r="WF400" s="5"/>
      <c r="WG400" s="6"/>
      <c r="WH400" s="4"/>
      <c r="WI400" s="4"/>
      <c r="WJ400" s="4"/>
      <c r="WK400" s="4"/>
      <c r="WL400" s="4"/>
      <c r="WM400" s="5"/>
      <c r="WN400" s="6"/>
      <c r="WO400" s="4"/>
      <c r="WP400" s="4"/>
      <c r="WQ400" s="4"/>
      <c r="WR400" s="4"/>
      <c r="WS400" s="4"/>
      <c r="WT400" s="5"/>
      <c r="WU400" s="6"/>
      <c r="WV400" s="4"/>
      <c r="WW400" s="4"/>
      <c r="WX400" s="4"/>
      <c r="WY400" s="4"/>
      <c r="WZ400" s="4"/>
      <c r="XA400" s="5"/>
      <c r="XB400" s="6"/>
      <c r="XC400" s="4"/>
      <c r="XD400" s="4"/>
      <c r="XE400" s="4"/>
      <c r="XF400" s="4"/>
      <c r="XG400" s="4"/>
      <c r="XH400" s="5"/>
      <c r="XI400" s="6"/>
      <c r="XJ400" s="4"/>
      <c r="XK400" s="4"/>
      <c r="XL400" s="4"/>
      <c r="XM400" s="8"/>
      <c r="XN400" s="4"/>
      <c r="XO400" s="5"/>
      <c r="XP400" s="6"/>
      <c r="XQ400" s="4"/>
      <c r="XR400" s="4"/>
      <c r="XS400" s="4"/>
      <c r="XT400" s="4"/>
      <c r="XU400" s="4"/>
      <c r="XV400" s="5"/>
      <c r="XW400" s="6"/>
      <c r="XX400" s="4"/>
      <c r="XY400" s="4"/>
      <c r="XZ400" s="4"/>
      <c r="YA400" s="4"/>
      <c r="YB400" s="4"/>
      <c r="YC400" s="5"/>
      <c r="YD400" s="6"/>
      <c r="YE400" s="4"/>
      <c r="YF400" s="4"/>
      <c r="YG400" s="4"/>
      <c r="YH400" s="4"/>
      <c r="YI400" s="4"/>
      <c r="YJ400" s="5"/>
      <c r="YK400" s="6" t="s">
        <v>2251</v>
      </c>
      <c r="YL400" s="4" t="s">
        <v>1382</v>
      </c>
      <c r="YM400" s="4"/>
      <c r="YN400" s="4"/>
      <c r="YO400" s="8"/>
      <c r="YP400" s="4"/>
      <c r="YQ400" s="5" t="s">
        <v>269</v>
      </c>
      <c r="YR400" s="6"/>
      <c r="YS400" s="4"/>
      <c r="YT400" s="4"/>
      <c r="YU400" s="4"/>
      <c r="YV400" s="4"/>
      <c r="YW400" s="4"/>
      <c r="YX400" s="5"/>
      <c r="YY400" s="6"/>
      <c r="YZ400" s="4"/>
      <c r="ZA400" s="4"/>
      <c r="ZB400" s="4"/>
      <c r="ZC400" s="4"/>
      <c r="ZD400" s="4"/>
      <c r="ZE400" s="5"/>
      <c r="ZF400" s="6"/>
      <c r="ZG400" s="4"/>
      <c r="ZH400" s="4"/>
      <c r="ZI400" s="4"/>
      <c r="ZJ400" s="4"/>
      <c r="ZK400" s="4"/>
      <c r="ZL400" s="5"/>
      <c r="ZM400" s="6"/>
      <c r="ZN400" s="4"/>
      <c r="ZO400" s="4"/>
      <c r="ZP400" s="4"/>
      <c r="ZQ400" s="8"/>
      <c r="ZR400" s="4"/>
      <c r="ZS400" s="5"/>
      <c r="ZT400" s="6"/>
      <c r="ZU400" s="4"/>
      <c r="ZV400" s="4"/>
      <c r="ZW400" s="4"/>
      <c r="ZX400" s="4"/>
      <c r="ZY400" s="4"/>
      <c r="ZZ400" s="5"/>
      <c r="AAA400" s="6"/>
      <c r="AAB400" s="4"/>
      <c r="AAC400" s="4"/>
      <c r="AAD400" s="4"/>
      <c r="AAE400" s="4"/>
      <c r="AAF400" s="4"/>
      <c r="AAG400" s="5"/>
      <c r="AAH400" s="6"/>
      <c r="AAI400" s="4"/>
      <c r="AAJ400" s="4"/>
      <c r="AAK400" s="4"/>
      <c r="AAL400" s="4"/>
      <c r="AAM400" s="4"/>
      <c r="AAN400" s="5"/>
      <c r="AAO400" s="6"/>
      <c r="AAP400" s="4"/>
      <c r="AAQ400" s="4"/>
      <c r="AAR400" s="4"/>
      <c r="AAS400" s="4"/>
      <c r="AAT400" s="4"/>
      <c r="AAU400" s="5"/>
      <c r="AAV400" s="6"/>
      <c r="AAW400" s="4"/>
      <c r="AAX400" s="4"/>
      <c r="AAY400" s="4"/>
      <c r="AAZ400" s="4"/>
      <c r="ABA400" s="4"/>
      <c r="ABB400" s="5"/>
      <c r="ABC400" s="6"/>
      <c r="ABD400" s="4"/>
      <c r="ABE400" s="4"/>
      <c r="ABF400" s="4"/>
      <c r="ABG400" s="4"/>
      <c r="ABH400" s="4"/>
      <c r="ABI400" s="5"/>
      <c r="ABJ400" s="6"/>
      <c r="ABK400" s="4"/>
      <c r="ABL400" s="4"/>
      <c r="ABM400" s="4"/>
      <c r="ABN400" s="8"/>
      <c r="ABO400" s="4"/>
      <c r="ABP400" s="5"/>
      <c r="ABQ400" s="6"/>
      <c r="ABR400" s="4"/>
      <c r="ABS400" s="4"/>
      <c r="ABT400" s="4"/>
      <c r="ABU400" s="4"/>
      <c r="ABV400" s="4"/>
      <c r="ABW400" s="5"/>
      <c r="ABX400" s="6"/>
      <c r="ABY400" s="4"/>
      <c r="ABZ400" s="4"/>
      <c r="ACA400" s="4"/>
      <c r="ACB400" s="4"/>
      <c r="ACC400" s="4"/>
      <c r="ACD400" s="5"/>
      <c r="ACE400" s="6"/>
      <c r="ACF400" s="4"/>
      <c r="ACG400" s="4"/>
      <c r="ACH400" s="4"/>
      <c r="ACI400" s="4"/>
      <c r="ACJ400" s="4"/>
      <c r="ACK400" s="5"/>
      <c r="ACL400" s="4"/>
      <c r="ACM400" s="4"/>
      <c r="ACN400" s="4"/>
      <c r="ACO400" s="4"/>
      <c r="ACP400" s="8"/>
      <c r="ACQ400" s="4"/>
      <c r="ACR400" s="5"/>
      <c r="ACS400" s="6"/>
      <c r="ACT400" s="4"/>
      <c r="ACU400" s="4"/>
      <c r="ACV400" s="4"/>
      <c r="ACW400" s="4"/>
      <c r="ACX400" s="4"/>
      <c r="ACY400" s="5"/>
    </row>
    <row r="401" spans="1:824" x14ac:dyDescent="0.25">
      <c r="B401" s="30"/>
      <c r="J401" s="12"/>
      <c r="K401" s="12"/>
      <c r="L401" s="12"/>
      <c r="LL401" s="6"/>
      <c r="LM401" s="4"/>
      <c r="LN401" s="4"/>
      <c r="LO401" s="4"/>
      <c r="LP401" s="4"/>
      <c r="LQ401" s="4"/>
      <c r="LR401" s="5"/>
      <c r="LS401" s="6"/>
      <c r="LT401" s="4"/>
      <c r="LU401" s="4"/>
      <c r="LV401" s="4"/>
      <c r="LW401" s="4"/>
      <c r="LX401" s="4"/>
      <c r="LY401" s="5"/>
      <c r="LZ401" s="11" t="s">
        <v>2609</v>
      </c>
      <c r="MA401" s="7" t="s">
        <v>2609</v>
      </c>
      <c r="MB401" s="4"/>
      <c r="MC401" s="7"/>
      <c r="MD401" s="8">
        <v>38689</v>
      </c>
      <c r="ME401" s="8"/>
      <c r="MF401" s="8"/>
      <c r="MG401" s="40" t="s">
        <v>488</v>
      </c>
      <c r="MH401" s="6"/>
      <c r="MI401" s="4"/>
      <c r="MJ401" s="4"/>
      <c r="MK401" s="4"/>
      <c r="ML401" s="4"/>
      <c r="MM401" s="4"/>
      <c r="MN401" s="5"/>
      <c r="MO401" s="6"/>
      <c r="MP401" s="4"/>
      <c r="MQ401" s="4"/>
      <c r="MR401" s="4"/>
      <c r="MS401" s="4"/>
      <c r="MT401" s="4"/>
      <c r="MU401" s="5"/>
      <c r="MV401" s="6"/>
      <c r="MW401" s="4"/>
      <c r="MX401" s="4"/>
      <c r="MY401" s="4"/>
      <c r="MZ401" s="8"/>
      <c r="NA401" s="4"/>
      <c r="NB401" s="5"/>
      <c r="NC401" s="6"/>
      <c r="ND401" s="4"/>
      <c r="NE401" s="4"/>
      <c r="NF401" s="4"/>
      <c r="NG401" s="8"/>
      <c r="NH401" s="4"/>
      <c r="NI401" s="5"/>
      <c r="NJ401" s="6"/>
      <c r="NK401" s="4"/>
      <c r="NL401" s="4"/>
      <c r="NM401" s="4"/>
      <c r="NN401" s="4"/>
      <c r="NO401" s="4"/>
      <c r="NP401" s="5"/>
      <c r="NQ401" s="6"/>
      <c r="NR401" s="4"/>
      <c r="NS401" s="4"/>
      <c r="NT401" s="4"/>
      <c r="NU401" s="4"/>
      <c r="NV401" s="4"/>
      <c r="NW401" s="5"/>
      <c r="NX401" s="6"/>
      <c r="NY401" s="4"/>
      <c r="NZ401" s="4"/>
      <c r="OA401" s="4"/>
      <c r="OB401" s="4"/>
      <c r="OC401" s="4"/>
      <c r="OD401" s="5"/>
      <c r="OE401" s="6"/>
      <c r="OF401" s="4"/>
      <c r="OG401" s="4"/>
      <c r="OH401" s="4"/>
      <c r="OI401" s="4"/>
      <c r="OJ401" s="4"/>
      <c r="OK401" s="5"/>
      <c r="OL401" s="6"/>
      <c r="OM401" s="4"/>
      <c r="ON401" s="4"/>
      <c r="OO401" s="4"/>
      <c r="OP401" s="4"/>
      <c r="OQ401" s="4"/>
      <c r="OR401" s="5"/>
      <c r="OS401" s="6"/>
      <c r="OT401" s="4"/>
      <c r="OU401" s="4"/>
      <c r="OV401" s="4"/>
      <c r="OW401" s="4"/>
      <c r="OX401" s="4"/>
      <c r="OY401" s="5"/>
      <c r="OZ401" s="6"/>
      <c r="PA401" s="4"/>
      <c r="PB401" s="4"/>
      <c r="PC401" s="4"/>
      <c r="PD401" s="4"/>
      <c r="PE401" s="4"/>
      <c r="PF401" s="5"/>
      <c r="PG401" s="6"/>
      <c r="PH401" s="4"/>
      <c r="PI401" s="4"/>
      <c r="PJ401" s="4"/>
      <c r="PK401" s="4"/>
      <c r="PL401" s="4"/>
      <c r="PM401" s="5"/>
      <c r="PN401" s="6"/>
      <c r="PO401" s="4"/>
      <c r="PP401" s="4"/>
      <c r="PQ401" s="4"/>
      <c r="PR401" s="4"/>
      <c r="PS401" s="4"/>
      <c r="PT401" s="5"/>
      <c r="PU401" s="6"/>
      <c r="PW401" s="4"/>
      <c r="PX401" s="4"/>
      <c r="PY401" s="8"/>
      <c r="PZ401" s="4"/>
      <c r="QA401" s="5"/>
      <c r="QB401" s="6"/>
      <c r="QC401" s="4"/>
      <c r="QD401" s="4"/>
      <c r="QE401" s="4"/>
      <c r="QF401" s="4"/>
      <c r="QG401" s="4"/>
      <c r="QH401" s="5"/>
      <c r="QI401" s="6"/>
      <c r="QJ401" s="4"/>
      <c r="QK401" s="4"/>
      <c r="QL401" s="4"/>
      <c r="QM401" s="4"/>
      <c r="QN401" s="4"/>
      <c r="QO401" s="5"/>
      <c r="QP401" s="6"/>
      <c r="QQ401" s="4"/>
      <c r="QR401" s="4"/>
      <c r="QS401" s="4"/>
      <c r="QT401" s="4"/>
      <c r="QU401" s="4"/>
      <c r="QV401" s="5"/>
      <c r="QW401" s="6"/>
      <c r="QX401" s="4"/>
      <c r="QY401" s="4"/>
      <c r="QZ401" s="4"/>
      <c r="RA401" s="4"/>
      <c r="RB401" s="4"/>
      <c r="RC401" s="5"/>
      <c r="RD401" s="6"/>
      <c r="RE401" s="4"/>
      <c r="RF401" s="4"/>
      <c r="RG401" s="4"/>
      <c r="RH401" s="4"/>
      <c r="RI401" s="4"/>
      <c r="RJ401" s="5"/>
      <c r="RK401" s="6"/>
      <c r="RL401" s="4"/>
      <c r="RM401" s="4"/>
      <c r="RN401" s="4"/>
      <c r="RO401" s="4"/>
      <c r="RP401" s="4"/>
      <c r="RQ401" s="5"/>
      <c r="RR401" s="6"/>
      <c r="RS401" s="4"/>
      <c r="RT401" s="4"/>
      <c r="RU401" s="4"/>
      <c r="RV401" s="4"/>
      <c r="RW401" s="4"/>
      <c r="RX401" s="5"/>
      <c r="RY401" s="6"/>
      <c r="RZ401" s="4"/>
      <c r="SA401" s="4"/>
      <c r="SB401" s="4"/>
      <c r="SC401" s="4"/>
      <c r="SD401" s="4"/>
      <c r="SE401" s="5"/>
      <c r="SF401" s="6"/>
      <c r="SG401" s="4"/>
      <c r="SH401" s="4"/>
      <c r="SI401" s="4"/>
      <c r="SJ401" s="4"/>
      <c r="SK401" s="4"/>
      <c r="SL401" s="5"/>
      <c r="SM401" s="6"/>
      <c r="SN401" s="4"/>
      <c r="SO401" s="4"/>
      <c r="SP401" s="4"/>
      <c r="SQ401" s="4"/>
      <c r="SR401" s="4"/>
      <c r="SS401" s="5"/>
      <c r="ST401" s="6"/>
      <c r="SU401" s="4"/>
      <c r="SV401" s="4"/>
      <c r="SW401" s="4"/>
      <c r="SX401" s="4"/>
      <c r="SY401" s="4"/>
      <c r="SZ401" s="5"/>
      <c r="TA401" s="6"/>
      <c r="TB401" s="4"/>
      <c r="TC401" s="4"/>
      <c r="TD401" s="4"/>
      <c r="TE401" s="4"/>
      <c r="TF401" s="4"/>
      <c r="TG401" s="5"/>
      <c r="TH401" s="6"/>
      <c r="TI401" s="4"/>
      <c r="TJ401" s="4"/>
      <c r="TK401" s="4"/>
      <c r="TL401" s="4"/>
      <c r="TM401" s="4"/>
      <c r="TN401" s="5"/>
      <c r="TO401" s="6"/>
      <c r="TP401" s="4"/>
      <c r="TQ401" s="4"/>
      <c r="TR401" s="4"/>
      <c r="TS401" s="4"/>
      <c r="TT401" s="4"/>
      <c r="TU401" s="5"/>
      <c r="TV401" s="6"/>
      <c r="TW401" s="4"/>
      <c r="TX401" s="4"/>
      <c r="TY401" s="4"/>
      <c r="TZ401" s="4"/>
      <c r="UA401" s="4"/>
      <c r="UB401" s="5"/>
      <c r="UC401" s="6"/>
      <c r="UD401" s="4"/>
      <c r="UE401" s="4"/>
      <c r="UF401" s="4"/>
      <c r="UG401" s="4"/>
      <c r="UH401" s="4"/>
      <c r="UI401" s="5"/>
      <c r="UJ401" s="6"/>
      <c r="UK401" s="4"/>
      <c r="UL401" s="4"/>
      <c r="UM401" s="4"/>
      <c r="UN401" s="4"/>
      <c r="UO401" s="4"/>
      <c r="UP401" s="5"/>
      <c r="UQ401" s="6"/>
      <c r="UR401" s="4"/>
      <c r="US401" s="4"/>
      <c r="UT401" s="4"/>
      <c r="UU401" s="4"/>
      <c r="UV401" s="4"/>
      <c r="UW401" s="5"/>
      <c r="UX401" s="6"/>
      <c r="UY401" s="4"/>
      <c r="UZ401" s="4"/>
      <c r="VA401" s="4"/>
      <c r="VB401" s="4"/>
      <c r="VC401" s="4"/>
      <c r="VD401" s="5"/>
      <c r="VE401" s="6"/>
      <c r="VF401" s="4"/>
      <c r="VG401" s="4"/>
      <c r="VH401" s="4"/>
      <c r="VI401" s="4"/>
      <c r="VJ401" s="4"/>
      <c r="VK401" s="5"/>
      <c r="VL401" s="6"/>
      <c r="VM401" s="4"/>
      <c r="VN401" s="4"/>
      <c r="VO401" s="4"/>
      <c r="VP401" s="4"/>
      <c r="VQ401" s="4"/>
      <c r="VR401" s="5"/>
      <c r="VS401" s="6"/>
      <c r="VT401" s="4"/>
      <c r="VU401" s="4"/>
      <c r="VV401" s="4"/>
      <c r="VW401" s="4"/>
      <c r="VX401" s="4"/>
      <c r="VY401" s="5"/>
      <c r="VZ401" s="6"/>
      <c r="WA401" s="4"/>
      <c r="WB401" s="4"/>
      <c r="WC401" s="4"/>
      <c r="WD401" s="4"/>
      <c r="WE401" s="4"/>
      <c r="WF401" s="5"/>
      <c r="WG401" s="6"/>
      <c r="WH401" s="4"/>
      <c r="WI401" s="4"/>
      <c r="WJ401" s="4"/>
      <c r="WK401" s="4"/>
      <c r="WL401" s="4"/>
      <c r="WM401" s="5"/>
      <c r="WN401" s="6"/>
      <c r="WO401" s="4"/>
      <c r="WP401" s="4"/>
      <c r="WQ401" s="4"/>
      <c r="WR401" s="4"/>
      <c r="WS401" s="4"/>
      <c r="WT401" s="5"/>
      <c r="WU401" s="6"/>
      <c r="WV401" s="4"/>
      <c r="WW401" s="4"/>
      <c r="WX401" s="4"/>
      <c r="WY401" s="4"/>
      <c r="WZ401" s="4"/>
      <c r="XA401" s="5"/>
      <c r="XB401" s="6"/>
      <c r="XC401" s="4"/>
      <c r="XD401" s="4"/>
      <c r="XE401" s="4"/>
      <c r="XF401" s="4"/>
      <c r="XG401" s="4"/>
      <c r="XH401" s="5"/>
      <c r="XI401" s="6"/>
      <c r="XJ401" s="4"/>
      <c r="XK401" s="4"/>
      <c r="XL401" s="4"/>
      <c r="XM401" s="8"/>
      <c r="XN401" s="4"/>
      <c r="XO401" s="5"/>
      <c r="XP401" s="6"/>
      <c r="XQ401" s="4"/>
      <c r="XR401" s="4"/>
      <c r="XS401" s="4"/>
      <c r="XT401" s="4"/>
      <c r="XU401" s="4"/>
      <c r="XV401" s="5"/>
      <c r="XW401" s="6"/>
      <c r="XX401" s="4"/>
      <c r="XY401" s="4"/>
      <c r="XZ401" s="4"/>
      <c r="YA401" s="4"/>
      <c r="YB401" s="4"/>
      <c r="YC401" s="5"/>
      <c r="YD401" s="6"/>
      <c r="YE401" s="4"/>
      <c r="YF401" s="4"/>
      <c r="YG401" s="4"/>
      <c r="YH401" s="4"/>
      <c r="YI401" s="4"/>
      <c r="YJ401" s="5"/>
      <c r="YK401" s="6" t="s">
        <v>2832</v>
      </c>
      <c r="YL401" s="7" t="s">
        <v>2833</v>
      </c>
      <c r="YM401" s="4"/>
      <c r="YN401" s="4"/>
      <c r="YO401" s="8"/>
      <c r="YP401" s="4"/>
      <c r="YQ401" s="5" t="s">
        <v>197</v>
      </c>
      <c r="YR401" s="6"/>
      <c r="YS401" s="4"/>
      <c r="YT401" s="4"/>
      <c r="YU401" s="4"/>
      <c r="YV401" s="4"/>
      <c r="YW401" s="4"/>
      <c r="YX401" s="5"/>
      <c r="YY401" s="6"/>
      <c r="YZ401" s="4"/>
      <c r="ZA401" s="4"/>
      <c r="ZB401" s="4"/>
      <c r="ZC401" s="4"/>
      <c r="ZD401" s="4"/>
      <c r="ZE401" s="5"/>
      <c r="ZF401" s="6"/>
      <c r="ZG401" s="4"/>
      <c r="ZH401" s="4"/>
      <c r="ZI401" s="4"/>
      <c r="ZJ401" s="4"/>
      <c r="ZK401" s="4"/>
      <c r="ZL401" s="5"/>
      <c r="ZM401" s="6"/>
      <c r="ZN401" s="4"/>
      <c r="ZO401" s="4"/>
      <c r="ZP401" s="4"/>
      <c r="ZQ401" s="8"/>
      <c r="ZR401" s="4"/>
      <c r="ZS401" s="5"/>
      <c r="ZT401" s="6"/>
      <c r="ZU401" s="4"/>
      <c r="ZV401" s="4"/>
      <c r="ZW401" s="4"/>
      <c r="ZX401" s="4"/>
      <c r="ZY401" s="4"/>
      <c r="ZZ401" s="5"/>
      <c r="AAA401" s="6"/>
      <c r="AAB401" s="4"/>
      <c r="AAC401" s="4"/>
      <c r="AAD401" s="4"/>
      <c r="AAE401" s="4"/>
      <c r="AAF401" s="4"/>
      <c r="AAG401" s="5"/>
      <c r="AAH401" s="6"/>
      <c r="AAI401" s="4"/>
      <c r="AAJ401" s="4"/>
      <c r="AAK401" s="4"/>
      <c r="AAL401" s="4"/>
      <c r="AAM401" s="4"/>
      <c r="AAN401" s="5"/>
      <c r="AAO401" s="6"/>
      <c r="AAP401" s="4"/>
      <c r="AAQ401" s="4"/>
      <c r="AAR401" s="4"/>
      <c r="AAS401" s="4"/>
      <c r="AAT401" s="4"/>
      <c r="AAU401" s="5"/>
      <c r="AAV401" s="6"/>
      <c r="AAW401" s="4"/>
      <c r="AAX401" s="4"/>
      <c r="AAY401" s="4"/>
      <c r="AAZ401" s="4"/>
      <c r="ABA401" s="4"/>
      <c r="ABB401" s="5"/>
      <c r="ABC401" s="6"/>
      <c r="ABD401" s="4"/>
      <c r="ABE401" s="4"/>
      <c r="ABF401" s="4"/>
      <c r="ABG401" s="4"/>
      <c r="ABH401" s="4"/>
      <c r="ABI401" s="5"/>
      <c r="ABJ401" s="6"/>
      <c r="ABK401" s="4"/>
      <c r="ABL401" s="4"/>
      <c r="ABM401" s="4"/>
      <c r="ABN401" s="8"/>
      <c r="ABO401" s="4"/>
      <c r="ABP401" s="5"/>
      <c r="ABQ401" s="6"/>
      <c r="ABR401" s="4"/>
      <c r="ABS401" s="4"/>
      <c r="ABT401" s="4"/>
      <c r="ABU401" s="4"/>
      <c r="ABV401" s="4"/>
      <c r="ABW401" s="5"/>
      <c r="ABX401" s="6"/>
      <c r="ABY401" s="4"/>
      <c r="ABZ401" s="4"/>
      <c r="ACA401" s="4"/>
      <c r="ACB401" s="4"/>
      <c r="ACC401" s="4"/>
      <c r="ACD401" s="5"/>
      <c r="ACE401" s="6"/>
      <c r="ACF401" s="4"/>
      <c r="ACG401" s="4"/>
      <c r="ACH401" s="4"/>
      <c r="ACI401" s="4"/>
      <c r="ACJ401" s="4"/>
      <c r="ACK401" s="5"/>
      <c r="ACL401" s="4"/>
      <c r="ACM401" s="4"/>
      <c r="ACN401" s="4"/>
      <c r="ACO401" s="4"/>
      <c r="ACP401" s="8"/>
      <c r="ACQ401" s="4"/>
      <c r="ACR401" s="5"/>
      <c r="ACS401" s="6"/>
      <c r="ACT401" s="4"/>
      <c r="ACU401" s="4"/>
      <c r="ACV401" s="4"/>
      <c r="ACW401" s="4"/>
      <c r="ACX401" s="4"/>
      <c r="ACY401" s="5"/>
    </row>
    <row r="402" spans="1:824" x14ac:dyDescent="0.25">
      <c r="B402" s="30"/>
      <c r="J402" s="12"/>
      <c r="K402" s="12"/>
      <c r="L402" s="12"/>
      <c r="LL402" s="6"/>
      <c r="LM402" s="4"/>
      <c r="LN402" s="4"/>
      <c r="LO402" s="4"/>
      <c r="LP402" s="4"/>
      <c r="LQ402" s="4"/>
      <c r="LR402" s="5"/>
      <c r="LS402" s="6"/>
      <c r="LT402" s="4"/>
      <c r="LU402" s="4"/>
      <c r="LV402" s="4"/>
      <c r="LW402" s="4"/>
      <c r="LX402" s="4"/>
      <c r="LY402" s="5"/>
      <c r="LZ402" s="11" t="s">
        <v>3265</v>
      </c>
      <c r="MA402" s="7" t="s">
        <v>2656</v>
      </c>
      <c r="MB402" s="4"/>
      <c r="MC402" s="7"/>
      <c r="MD402" s="8">
        <v>37656</v>
      </c>
      <c r="ME402" s="8"/>
      <c r="MF402" s="8"/>
      <c r="MG402" s="40" t="s">
        <v>512</v>
      </c>
      <c r="MH402" s="6"/>
      <c r="MI402" s="4"/>
      <c r="MJ402" s="4"/>
      <c r="MK402" s="4"/>
      <c r="ML402" s="4"/>
      <c r="MM402" s="4"/>
      <c r="MN402" s="5"/>
      <c r="MO402" s="6"/>
      <c r="MP402" s="4"/>
      <c r="MQ402" s="4"/>
      <c r="MR402" s="4"/>
      <c r="MS402" s="4"/>
      <c r="MT402" s="4"/>
      <c r="MU402" s="5"/>
      <c r="MV402" s="6"/>
      <c r="MW402" s="4"/>
      <c r="MX402" s="4"/>
      <c r="MY402" s="4"/>
      <c r="MZ402" s="8"/>
      <c r="NA402" s="4"/>
      <c r="NB402" s="5"/>
      <c r="NC402" s="6"/>
      <c r="ND402" s="4"/>
      <c r="NE402" s="4"/>
      <c r="NF402" s="4"/>
      <c r="NG402" s="8"/>
      <c r="NH402" s="4"/>
      <c r="NI402" s="5"/>
      <c r="NJ402" s="6"/>
      <c r="NK402" s="4"/>
      <c r="NL402" s="4"/>
      <c r="NM402" s="4"/>
      <c r="NN402" s="4"/>
      <c r="NO402" s="4"/>
      <c r="NP402" s="5"/>
      <c r="NQ402" s="6"/>
      <c r="NR402" s="4"/>
      <c r="NS402" s="4"/>
      <c r="NT402" s="4"/>
      <c r="NU402" s="4"/>
      <c r="NV402" s="4"/>
      <c r="NW402" s="5"/>
      <c r="NX402" s="6"/>
      <c r="NY402" s="4"/>
      <c r="NZ402" s="4"/>
      <c r="OA402" s="4"/>
      <c r="OB402" s="4"/>
      <c r="OC402" s="4"/>
      <c r="OD402" s="5"/>
      <c r="OE402" s="6"/>
      <c r="OF402" s="4"/>
      <c r="OG402" s="4"/>
      <c r="OH402" s="4"/>
      <c r="OI402" s="4"/>
      <c r="OJ402" s="4"/>
      <c r="OK402" s="5"/>
      <c r="OL402" s="6"/>
      <c r="OM402" s="4"/>
      <c r="ON402" s="4"/>
      <c r="OO402" s="4"/>
      <c r="OP402" s="4"/>
      <c r="OQ402" s="4"/>
      <c r="OR402" s="5"/>
      <c r="OS402" s="6"/>
      <c r="OT402" s="4"/>
      <c r="OU402" s="4"/>
      <c r="OV402" s="4"/>
      <c r="OW402" s="4"/>
      <c r="OX402" s="4"/>
      <c r="OY402" s="5"/>
      <c r="OZ402" s="6"/>
      <c r="PA402" s="4"/>
      <c r="PB402" s="4"/>
      <c r="PC402" s="4"/>
      <c r="PD402" s="4"/>
      <c r="PE402" s="4"/>
      <c r="PF402" s="5"/>
      <c r="PG402" s="6"/>
      <c r="PH402" s="4"/>
      <c r="PI402" s="4"/>
      <c r="PJ402" s="4"/>
      <c r="PK402" s="4"/>
      <c r="PL402" s="4"/>
      <c r="PM402" s="5"/>
      <c r="PN402" s="6"/>
      <c r="PO402" s="4"/>
      <c r="PP402" s="4"/>
      <c r="PQ402" s="4"/>
      <c r="PR402" s="4"/>
      <c r="PS402" s="4"/>
      <c r="PT402" s="5"/>
      <c r="PU402" s="6"/>
      <c r="PW402" s="4"/>
      <c r="PX402" s="4"/>
      <c r="PY402" s="8"/>
      <c r="PZ402" s="4"/>
      <c r="QA402" s="5"/>
      <c r="QB402" s="6"/>
      <c r="QC402" s="4"/>
      <c r="QD402" s="4"/>
      <c r="QE402" s="4"/>
      <c r="QF402" s="4"/>
      <c r="QG402" s="4"/>
      <c r="QH402" s="5"/>
      <c r="QI402" s="6"/>
      <c r="QJ402" s="4"/>
      <c r="QK402" s="4"/>
      <c r="QL402" s="4"/>
      <c r="QM402" s="4"/>
      <c r="QN402" s="4"/>
      <c r="QO402" s="5"/>
      <c r="QP402" s="6"/>
      <c r="QQ402" s="4"/>
      <c r="QR402" s="4"/>
      <c r="QS402" s="4"/>
      <c r="QT402" s="4"/>
      <c r="QU402" s="4"/>
      <c r="QV402" s="5"/>
      <c r="QW402" s="6"/>
      <c r="QX402" s="4"/>
      <c r="QY402" s="4"/>
      <c r="QZ402" s="4"/>
      <c r="RA402" s="4"/>
      <c r="RB402" s="4"/>
      <c r="RC402" s="5"/>
      <c r="RD402" s="6"/>
      <c r="RE402" s="4"/>
      <c r="RF402" s="4"/>
      <c r="RG402" s="4"/>
      <c r="RH402" s="4"/>
      <c r="RI402" s="4"/>
      <c r="RJ402" s="5"/>
      <c r="RK402" s="6"/>
      <c r="RL402" s="4"/>
      <c r="RM402" s="4"/>
      <c r="RN402" s="4"/>
      <c r="RO402" s="4"/>
      <c r="RP402" s="4"/>
      <c r="RQ402" s="5"/>
      <c r="RR402" s="6"/>
      <c r="RS402" s="4"/>
      <c r="RT402" s="4"/>
      <c r="RU402" s="4"/>
      <c r="RV402" s="4"/>
      <c r="RW402" s="4"/>
      <c r="RX402" s="5"/>
      <c r="RY402" s="6"/>
      <c r="RZ402" s="4"/>
      <c r="SA402" s="4"/>
      <c r="SB402" s="4"/>
      <c r="SC402" s="4"/>
      <c r="SD402" s="4"/>
      <c r="SE402" s="5"/>
      <c r="SF402" s="6"/>
      <c r="SG402" s="4"/>
      <c r="SH402" s="4"/>
      <c r="SI402" s="4"/>
      <c r="SJ402" s="4"/>
      <c r="SK402" s="4"/>
      <c r="SL402" s="5"/>
      <c r="SM402" s="6"/>
      <c r="SN402" s="4"/>
      <c r="SO402" s="4"/>
      <c r="SP402" s="4"/>
      <c r="SQ402" s="4"/>
      <c r="SR402" s="4"/>
      <c r="SS402" s="5"/>
      <c r="ST402" s="6"/>
      <c r="SU402" s="4"/>
      <c r="SV402" s="4"/>
      <c r="SW402" s="4"/>
      <c r="SX402" s="4"/>
      <c r="SY402" s="4"/>
      <c r="SZ402" s="5"/>
      <c r="TA402" s="6"/>
      <c r="TB402" s="4"/>
      <c r="TC402" s="4"/>
      <c r="TD402" s="4"/>
      <c r="TE402" s="4"/>
      <c r="TF402" s="4"/>
      <c r="TG402" s="5"/>
      <c r="TH402" s="6"/>
      <c r="TI402" s="4"/>
      <c r="TJ402" s="4"/>
      <c r="TK402" s="4"/>
      <c r="TL402" s="4"/>
      <c r="TM402" s="4"/>
      <c r="TN402" s="5"/>
      <c r="TO402" s="6"/>
      <c r="TP402" s="4"/>
      <c r="TQ402" s="4"/>
      <c r="TR402" s="4"/>
      <c r="TS402" s="4"/>
      <c r="TT402" s="4"/>
      <c r="TU402" s="5"/>
      <c r="TV402" s="6"/>
      <c r="TW402" s="4"/>
      <c r="TX402" s="4"/>
      <c r="TY402" s="4"/>
      <c r="TZ402" s="4"/>
      <c r="UA402" s="4"/>
      <c r="UB402" s="5"/>
      <c r="UC402" s="6"/>
      <c r="UD402" s="4"/>
      <c r="UE402" s="4"/>
      <c r="UF402" s="4"/>
      <c r="UG402" s="4"/>
      <c r="UH402" s="4"/>
      <c r="UI402" s="5"/>
      <c r="UJ402" s="6"/>
      <c r="UK402" s="4"/>
      <c r="UL402" s="4"/>
      <c r="UM402" s="4"/>
      <c r="UN402" s="4"/>
      <c r="UO402" s="4"/>
      <c r="UP402" s="5"/>
      <c r="UQ402" s="6"/>
      <c r="UR402" s="4"/>
      <c r="US402" s="4"/>
      <c r="UT402" s="4"/>
      <c r="UU402" s="4"/>
      <c r="UV402" s="4"/>
      <c r="UW402" s="5"/>
      <c r="UX402" s="6"/>
      <c r="UY402" s="4"/>
      <c r="UZ402" s="4"/>
      <c r="VA402" s="4"/>
      <c r="VB402" s="4"/>
      <c r="VC402" s="4"/>
      <c r="VD402" s="5"/>
      <c r="VE402" s="6"/>
      <c r="VF402" s="4"/>
      <c r="VG402" s="4"/>
      <c r="VH402" s="4"/>
      <c r="VI402" s="4"/>
      <c r="VJ402" s="4"/>
      <c r="VK402" s="5"/>
      <c r="VL402" s="6"/>
      <c r="VM402" s="4"/>
      <c r="VN402" s="4"/>
      <c r="VO402" s="4"/>
      <c r="VP402" s="4"/>
      <c r="VQ402" s="4"/>
      <c r="VR402" s="5"/>
      <c r="VS402" s="6"/>
      <c r="VT402" s="4"/>
      <c r="VU402" s="4"/>
      <c r="VV402" s="4"/>
      <c r="VW402" s="4"/>
      <c r="VX402" s="4"/>
      <c r="VY402" s="5"/>
      <c r="VZ402" s="6"/>
      <c r="WA402" s="4"/>
      <c r="WB402" s="4"/>
      <c r="WC402" s="4"/>
      <c r="WD402" s="4"/>
      <c r="WE402" s="4"/>
      <c r="WF402" s="5"/>
      <c r="WG402" s="6"/>
      <c r="WH402" s="4"/>
      <c r="WI402" s="4"/>
      <c r="WJ402" s="4"/>
      <c r="WK402" s="4"/>
      <c r="WL402" s="4"/>
      <c r="WM402" s="5"/>
      <c r="WN402" s="6"/>
      <c r="WO402" s="4"/>
      <c r="WP402" s="4"/>
      <c r="WQ402" s="4"/>
      <c r="WR402" s="4"/>
      <c r="WS402" s="4"/>
      <c r="WT402" s="5"/>
      <c r="WU402" s="6"/>
      <c r="WV402" s="4"/>
      <c r="WW402" s="4"/>
      <c r="WX402" s="4"/>
      <c r="WY402" s="4"/>
      <c r="WZ402" s="4"/>
      <c r="XA402" s="5"/>
      <c r="XB402" s="6"/>
      <c r="XC402" s="4"/>
      <c r="XD402" s="4"/>
      <c r="XE402" s="4"/>
      <c r="XF402" s="4"/>
      <c r="XG402" s="4"/>
      <c r="XH402" s="5"/>
      <c r="XI402" s="6"/>
      <c r="XJ402" s="4"/>
      <c r="XK402" s="4"/>
      <c r="XL402" s="4"/>
      <c r="XM402" s="8"/>
      <c r="XN402" s="4"/>
      <c r="XO402" s="5"/>
      <c r="XP402" s="6"/>
      <c r="XQ402" s="4"/>
      <c r="XR402" s="4"/>
      <c r="XS402" s="4"/>
      <c r="XT402" s="4"/>
      <c r="XU402" s="4"/>
      <c r="XV402" s="5"/>
      <c r="XW402" s="6"/>
      <c r="XX402" s="4"/>
      <c r="XY402" s="4"/>
      <c r="XZ402" s="4"/>
      <c r="YA402" s="4"/>
      <c r="YB402" s="4"/>
      <c r="YC402" s="5"/>
      <c r="YD402" s="6"/>
      <c r="YE402" s="4"/>
      <c r="YF402" s="4"/>
      <c r="YG402" s="4"/>
      <c r="YH402" s="4"/>
      <c r="YI402" s="4"/>
      <c r="YJ402" s="5"/>
      <c r="YK402" s="6" t="s">
        <v>1965</v>
      </c>
      <c r="YL402" s="7" t="s">
        <v>395</v>
      </c>
      <c r="YM402" s="4"/>
      <c r="YN402" s="4"/>
      <c r="YO402" s="8"/>
      <c r="YP402" s="4"/>
      <c r="YQ402" s="5" t="s">
        <v>261</v>
      </c>
      <c r="YR402" s="6"/>
      <c r="YS402" s="4"/>
      <c r="YT402" s="4"/>
      <c r="YU402" s="4"/>
      <c r="YV402" s="4"/>
      <c r="YW402" s="4"/>
      <c r="YX402" s="5"/>
      <c r="YY402" s="6"/>
      <c r="YZ402" s="4"/>
      <c r="ZA402" s="4"/>
      <c r="ZB402" s="4"/>
      <c r="ZC402" s="4"/>
      <c r="ZD402" s="4"/>
      <c r="ZE402" s="5"/>
      <c r="ZF402" s="6"/>
      <c r="ZG402" s="4"/>
      <c r="ZH402" s="4"/>
      <c r="ZI402" s="4"/>
      <c r="ZJ402" s="4"/>
      <c r="ZK402" s="4"/>
      <c r="ZL402" s="5"/>
      <c r="ZM402" s="6"/>
      <c r="ZN402" s="4"/>
      <c r="ZO402" s="4"/>
      <c r="ZP402" s="4"/>
      <c r="ZQ402" s="8"/>
      <c r="ZR402" s="4"/>
      <c r="ZS402" s="5"/>
      <c r="ZT402" s="6"/>
      <c r="ZU402" s="4"/>
      <c r="ZV402" s="4"/>
      <c r="ZW402" s="4"/>
      <c r="ZX402" s="4"/>
      <c r="ZY402" s="4"/>
      <c r="ZZ402" s="5"/>
      <c r="AAA402" s="6"/>
      <c r="AAB402" s="4"/>
      <c r="AAC402" s="4"/>
      <c r="AAD402" s="4"/>
      <c r="AAE402" s="4"/>
      <c r="AAF402" s="4"/>
      <c r="AAG402" s="5"/>
      <c r="AAH402" s="6"/>
      <c r="AAI402" s="4"/>
      <c r="AAJ402" s="4"/>
      <c r="AAK402" s="4"/>
      <c r="AAL402" s="4"/>
      <c r="AAM402" s="4"/>
      <c r="AAN402" s="5"/>
      <c r="AAO402" s="6"/>
      <c r="AAP402" s="4"/>
      <c r="AAQ402" s="4"/>
      <c r="AAR402" s="4"/>
      <c r="AAS402" s="4"/>
      <c r="AAT402" s="4"/>
      <c r="AAU402" s="5"/>
      <c r="AAV402" s="6"/>
      <c r="AAW402" s="4"/>
      <c r="AAX402" s="4"/>
      <c r="AAY402" s="4"/>
      <c r="AAZ402" s="4"/>
      <c r="ABA402" s="4"/>
      <c r="ABB402" s="5"/>
      <c r="ABC402" s="6"/>
      <c r="ABD402" s="4"/>
      <c r="ABE402" s="4"/>
      <c r="ABF402" s="4"/>
      <c r="ABG402" s="4"/>
      <c r="ABH402" s="4"/>
      <c r="ABI402" s="5"/>
      <c r="ABJ402" s="6"/>
      <c r="ABK402" s="4"/>
      <c r="ABL402" s="4"/>
      <c r="ABM402" s="4"/>
      <c r="ABN402" s="8"/>
      <c r="ABO402" s="4"/>
      <c r="ABP402" s="5"/>
      <c r="ABQ402" s="6"/>
      <c r="ABR402" s="4"/>
      <c r="ABS402" s="4"/>
      <c r="ABT402" s="4"/>
      <c r="ABU402" s="4"/>
      <c r="ABV402" s="4"/>
      <c r="ABW402" s="5"/>
      <c r="ABX402" s="6"/>
      <c r="ABY402" s="4"/>
      <c r="ABZ402" s="4"/>
      <c r="ACA402" s="4"/>
      <c r="ACB402" s="4"/>
      <c r="ACC402" s="4"/>
      <c r="ACD402" s="5"/>
      <c r="ACE402" s="6"/>
      <c r="ACF402" s="4"/>
      <c r="ACG402" s="4"/>
      <c r="ACH402" s="4"/>
      <c r="ACI402" s="4"/>
      <c r="ACJ402" s="4"/>
      <c r="ACK402" s="5"/>
      <c r="ACL402" s="4"/>
      <c r="ACM402" s="4"/>
      <c r="ACN402" s="4"/>
      <c r="ACO402" s="4"/>
      <c r="ACP402" s="8"/>
      <c r="ACQ402" s="4"/>
      <c r="ACR402" s="5"/>
      <c r="ACS402" s="6"/>
      <c r="ACT402" s="4"/>
      <c r="ACU402" s="4"/>
      <c r="ACV402" s="4"/>
      <c r="ACW402" s="4"/>
      <c r="ACX402" s="4"/>
      <c r="ACY402" s="5"/>
    </row>
    <row r="403" spans="1:824" x14ac:dyDescent="0.25">
      <c r="B403" s="29">
        <v>8153261</v>
      </c>
      <c r="C403" s="57">
        <v>84</v>
      </c>
      <c r="D403" t="s">
        <v>3735</v>
      </c>
      <c r="E403" s="35" t="s">
        <v>1267</v>
      </c>
      <c r="F403" s="23">
        <v>0</v>
      </c>
      <c r="I403">
        <v>1</v>
      </c>
      <c r="J403" s="19">
        <v>38644</v>
      </c>
      <c r="K403" s="19" t="s">
        <v>1005</v>
      </c>
      <c r="L403" s="19" t="s">
        <v>1006</v>
      </c>
      <c r="Q403">
        <v>1</v>
      </c>
      <c r="S403">
        <v>1</v>
      </c>
      <c r="U403">
        <v>1</v>
      </c>
      <c r="V403">
        <v>1</v>
      </c>
      <c r="AJ403">
        <v>1</v>
      </c>
      <c r="AN403">
        <v>1</v>
      </c>
      <c r="BH403">
        <v>1</v>
      </c>
      <c r="BY403">
        <v>1</v>
      </c>
      <c r="CA403">
        <v>1</v>
      </c>
      <c r="CE403">
        <v>1</v>
      </c>
      <c r="CP403">
        <v>1</v>
      </c>
      <c r="IV403">
        <v>1</v>
      </c>
      <c r="KF403">
        <v>1</v>
      </c>
      <c r="LB403">
        <v>1</v>
      </c>
      <c r="LL403" s="6"/>
      <c r="LM403" s="4"/>
      <c r="LN403" s="4"/>
      <c r="LO403" s="4"/>
      <c r="LP403" s="4"/>
      <c r="LQ403" s="4"/>
      <c r="LR403" s="5"/>
      <c r="LS403" s="6"/>
      <c r="LT403" s="4"/>
      <c r="LU403" s="4"/>
      <c r="LV403" s="4"/>
      <c r="LW403" s="4"/>
      <c r="LX403" s="4"/>
      <c r="LY403" s="5"/>
      <c r="LZ403" s="6" t="s">
        <v>1760</v>
      </c>
      <c r="MA403" s="7" t="s">
        <v>1759</v>
      </c>
      <c r="MB403" t="s">
        <v>190</v>
      </c>
      <c r="MC403" t="s">
        <v>1906</v>
      </c>
      <c r="MD403" s="17">
        <v>38613</v>
      </c>
      <c r="ME403" s="17">
        <v>38643</v>
      </c>
      <c r="MF403" s="17"/>
      <c r="MG403" t="s">
        <v>1007</v>
      </c>
      <c r="MH403" s="6"/>
      <c r="MI403" s="4"/>
      <c r="MJ403" s="4"/>
      <c r="MK403" s="4"/>
      <c r="ML403" s="4"/>
      <c r="MM403" s="4"/>
      <c r="MN403" s="5"/>
      <c r="MO403" s="6"/>
      <c r="MP403" s="4"/>
      <c r="MQ403" s="4"/>
      <c r="MR403" s="4"/>
      <c r="MS403" s="4"/>
      <c r="MT403" s="4"/>
      <c r="MU403" s="5"/>
      <c r="MV403" s="6"/>
      <c r="MW403" s="4"/>
      <c r="MX403" s="4"/>
      <c r="MY403" s="4"/>
      <c r="MZ403" s="4"/>
      <c r="NA403" s="4"/>
      <c r="NB403" s="5"/>
      <c r="NC403" s="6" t="s">
        <v>3552</v>
      </c>
      <c r="ND403" s="4" t="s">
        <v>2699</v>
      </c>
      <c r="NE403" s="4" t="s">
        <v>189</v>
      </c>
      <c r="NF403" s="4" t="s">
        <v>1770</v>
      </c>
      <c r="NG403" s="8">
        <v>38641</v>
      </c>
      <c r="NH403" s="8">
        <v>38644</v>
      </c>
      <c r="NI403" s="5"/>
      <c r="NJ403" s="6" t="s">
        <v>1817</v>
      </c>
      <c r="NK403" s="4" t="s">
        <v>1818</v>
      </c>
      <c r="NL403" s="4" t="s">
        <v>191</v>
      </c>
      <c r="NM403" s="4" t="s">
        <v>2065</v>
      </c>
      <c r="NN403" s="8">
        <v>38623</v>
      </c>
      <c r="NO403" s="8">
        <v>38635</v>
      </c>
      <c r="NP403" s="5" t="s">
        <v>1552</v>
      </c>
      <c r="NQ403" s="6"/>
      <c r="NR403" s="4"/>
      <c r="NS403" s="4"/>
      <c r="NT403" s="4"/>
      <c r="NU403" s="4"/>
      <c r="NV403" s="4"/>
      <c r="NW403" s="5"/>
      <c r="NX403" s="6" t="s">
        <v>3431</v>
      </c>
      <c r="NY403" s="4" t="s">
        <v>3431</v>
      </c>
      <c r="NZ403" s="4" t="s">
        <v>192</v>
      </c>
      <c r="OA403" s="4" t="s">
        <v>2066</v>
      </c>
      <c r="OB403" s="8">
        <v>38497</v>
      </c>
      <c r="OC403" s="8">
        <v>38641</v>
      </c>
      <c r="OD403" s="5" t="s">
        <v>1553</v>
      </c>
      <c r="OE403" s="6"/>
      <c r="OF403" s="4"/>
      <c r="OG403" s="4"/>
      <c r="OH403" s="4"/>
      <c r="OI403" s="4"/>
      <c r="OJ403" s="4"/>
      <c r="OK403" s="5"/>
      <c r="OL403" s="6"/>
      <c r="OM403" s="4"/>
      <c r="ON403" s="4"/>
      <c r="OO403" s="4"/>
      <c r="OP403" s="4"/>
      <c r="OQ403" s="4"/>
      <c r="OR403" s="5"/>
      <c r="OS403" s="6"/>
      <c r="OT403" s="4"/>
      <c r="OU403" s="4"/>
      <c r="OV403" s="4"/>
      <c r="OW403" s="4"/>
      <c r="OX403" s="4"/>
      <c r="OY403" s="5"/>
      <c r="OZ403" s="6" t="s">
        <v>3279</v>
      </c>
      <c r="PA403" s="4" t="s">
        <v>3629</v>
      </c>
      <c r="PB403" s="4" t="s">
        <v>193</v>
      </c>
      <c r="PC403" s="4"/>
      <c r="PD403" s="8">
        <v>38613</v>
      </c>
      <c r="PE403" s="4"/>
      <c r="PF403" s="5" t="s">
        <v>1130</v>
      </c>
      <c r="PG403" s="6"/>
      <c r="PH403" s="4"/>
      <c r="PI403" s="4"/>
      <c r="PJ403" s="4"/>
      <c r="PK403" s="4"/>
      <c r="PL403" s="4"/>
      <c r="PM403" s="5"/>
      <c r="PN403" s="6"/>
      <c r="PO403" s="4"/>
      <c r="PP403" s="4"/>
      <c r="PQ403" s="4"/>
      <c r="PR403" s="4"/>
      <c r="PS403" s="4"/>
      <c r="PT403" s="5"/>
      <c r="PU403" s="6" t="s">
        <v>1999</v>
      </c>
      <c r="PV403" s="4" t="s">
        <v>2000</v>
      </c>
      <c r="PW403" s="4" t="s">
        <v>184</v>
      </c>
      <c r="PX403" s="4"/>
      <c r="PY403" s="8">
        <v>38645</v>
      </c>
      <c r="PZ403" s="4"/>
      <c r="QA403" s="5" t="s">
        <v>933</v>
      </c>
      <c r="QB403" s="6" t="s">
        <v>1918</v>
      </c>
      <c r="QC403" s="4" t="s">
        <v>62</v>
      </c>
      <c r="QD403" s="7" t="s">
        <v>63</v>
      </c>
      <c r="QE403" s="4"/>
      <c r="QF403" s="8">
        <v>38497</v>
      </c>
      <c r="QG403" s="4"/>
      <c r="QH403" s="5" t="s">
        <v>1265</v>
      </c>
      <c r="QI403" s="6"/>
      <c r="QJ403" s="4"/>
      <c r="QK403" s="4"/>
      <c r="QL403" s="4"/>
      <c r="QM403" s="4"/>
      <c r="QN403" s="4"/>
      <c r="QO403" s="5"/>
      <c r="QP403" s="6"/>
      <c r="QQ403" s="4"/>
      <c r="QR403" s="4"/>
      <c r="QS403" s="4"/>
      <c r="QT403" s="4"/>
      <c r="QU403" s="4"/>
      <c r="QV403" s="5"/>
      <c r="QW403" s="6"/>
      <c r="QX403" s="4"/>
      <c r="QY403" s="4"/>
      <c r="QZ403" s="4"/>
      <c r="RA403" s="4"/>
      <c r="RB403" s="4"/>
      <c r="RC403" s="5"/>
      <c r="RD403" s="6"/>
      <c r="RE403" s="4"/>
      <c r="RF403" s="4"/>
      <c r="RG403" s="4"/>
      <c r="RH403" s="4"/>
      <c r="RI403" s="4"/>
      <c r="RJ403" s="5"/>
      <c r="RK403" s="6"/>
      <c r="RL403" s="4"/>
      <c r="RM403" s="4"/>
      <c r="RN403" s="4"/>
      <c r="RO403" s="4"/>
      <c r="RP403" s="4"/>
      <c r="RQ403" s="5"/>
      <c r="RR403" s="6"/>
      <c r="RS403" s="4"/>
      <c r="RT403" s="4"/>
      <c r="RU403" s="4"/>
      <c r="RV403" s="4"/>
      <c r="RW403" s="4"/>
      <c r="RX403" s="5"/>
      <c r="RY403" s="6"/>
      <c r="RZ403" s="4"/>
      <c r="SA403" s="4"/>
      <c r="SB403" s="4"/>
      <c r="SC403" s="4"/>
      <c r="SD403" s="4"/>
      <c r="SE403" s="5"/>
      <c r="SF403" s="6"/>
      <c r="SG403" s="4"/>
      <c r="SH403" s="4"/>
      <c r="SI403" s="4"/>
      <c r="SJ403" s="4"/>
      <c r="SK403" s="4"/>
      <c r="SL403" s="5"/>
      <c r="SM403" s="6"/>
      <c r="SN403" s="4"/>
      <c r="SO403" s="4"/>
      <c r="SP403" s="4"/>
      <c r="SQ403" s="4"/>
      <c r="SR403" s="4"/>
      <c r="SS403" s="5"/>
      <c r="ST403" s="6"/>
      <c r="SU403" s="4"/>
      <c r="SV403" s="4"/>
      <c r="SW403" s="4"/>
      <c r="SX403" s="4"/>
      <c r="SY403" s="4"/>
      <c r="SZ403" s="5"/>
      <c r="TA403" s="6"/>
      <c r="TB403" s="4"/>
      <c r="TC403" s="4"/>
      <c r="TD403" s="4"/>
      <c r="TE403" s="4"/>
      <c r="TF403" s="4"/>
      <c r="TG403" s="5"/>
      <c r="TH403" s="6" t="s">
        <v>1925</v>
      </c>
      <c r="TI403" s="4" t="s">
        <v>1888</v>
      </c>
      <c r="TJ403" s="4" t="s">
        <v>186</v>
      </c>
      <c r="TK403" s="4" t="s">
        <v>1768</v>
      </c>
      <c r="TL403" s="8">
        <v>38590</v>
      </c>
      <c r="TM403" s="8">
        <v>38630</v>
      </c>
      <c r="TN403" s="5" t="s">
        <v>1128</v>
      </c>
      <c r="TO403" s="6" t="s">
        <v>2200</v>
      </c>
      <c r="TP403" s="4" t="s">
        <v>1767</v>
      </c>
      <c r="TQ403" s="7" t="s">
        <v>64</v>
      </c>
      <c r="TR403" s="4" t="s">
        <v>1690</v>
      </c>
      <c r="TS403" s="8">
        <v>38631</v>
      </c>
      <c r="TT403" s="8">
        <v>38632</v>
      </c>
      <c r="TU403" s="5" t="s">
        <v>1129</v>
      </c>
      <c r="TV403" s="6"/>
      <c r="TW403" s="4"/>
      <c r="TX403" s="4"/>
      <c r="TY403" s="4"/>
      <c r="TZ403" s="4"/>
      <c r="UA403" s="4"/>
      <c r="UB403" s="5"/>
      <c r="UC403" s="6"/>
      <c r="UD403" s="4"/>
      <c r="UE403" s="4"/>
      <c r="UF403" s="4"/>
      <c r="UG403" s="4"/>
      <c r="UH403" s="4"/>
      <c r="UI403" s="5"/>
      <c r="UJ403" s="6"/>
      <c r="UK403" s="4"/>
      <c r="UL403" s="4"/>
      <c r="UM403" s="4"/>
      <c r="UN403" s="4"/>
      <c r="UO403" s="4"/>
      <c r="UP403" s="5"/>
      <c r="UQ403" s="6"/>
      <c r="UR403" s="4"/>
      <c r="US403" s="4"/>
      <c r="UT403" s="4"/>
      <c r="UU403" s="4"/>
      <c r="UV403" s="4"/>
      <c r="UW403" s="5"/>
      <c r="UX403" s="6" t="s">
        <v>3606</v>
      </c>
      <c r="UY403" s="4" t="s">
        <v>2083</v>
      </c>
      <c r="UZ403" s="4" t="s">
        <v>65</v>
      </c>
      <c r="VA403" s="7" t="s">
        <v>1769</v>
      </c>
      <c r="VB403" s="8">
        <v>38613</v>
      </c>
      <c r="VC403" s="8">
        <v>38622</v>
      </c>
      <c r="VD403" s="5" t="s">
        <v>1385</v>
      </c>
      <c r="VE403" s="6"/>
      <c r="VF403" s="4"/>
      <c r="VG403" s="4"/>
      <c r="VH403" s="4"/>
      <c r="VI403" s="4"/>
      <c r="VJ403" s="4"/>
      <c r="VK403" s="5"/>
      <c r="VL403" s="6" t="s">
        <v>3697</v>
      </c>
      <c r="VM403" s="4" t="s">
        <v>1913</v>
      </c>
      <c r="VN403" s="4" t="s">
        <v>66</v>
      </c>
      <c r="VO403" s="4"/>
      <c r="VP403" s="8">
        <v>38646</v>
      </c>
      <c r="VQ403" s="4"/>
      <c r="VR403" s="5"/>
      <c r="VS403" s="6"/>
      <c r="VT403" s="4"/>
      <c r="VU403" s="4"/>
      <c r="VV403" s="4"/>
      <c r="VW403" s="4"/>
      <c r="VX403" s="4"/>
      <c r="VY403" s="5"/>
      <c r="VZ403" s="6"/>
      <c r="WA403" s="4"/>
      <c r="WB403" s="4"/>
      <c r="WC403" s="4"/>
      <c r="WD403" s="4"/>
      <c r="WE403" s="4"/>
      <c r="WF403" s="5"/>
      <c r="WG403" s="6"/>
      <c r="WH403" s="4"/>
      <c r="WI403" s="4"/>
      <c r="WJ403" s="4"/>
      <c r="WK403" s="4"/>
      <c r="WL403" s="4"/>
      <c r="WM403" s="5"/>
      <c r="WN403" s="6"/>
      <c r="WO403" s="4"/>
      <c r="WP403" s="4"/>
      <c r="WQ403" s="4"/>
      <c r="WR403" s="4"/>
      <c r="WS403" s="4"/>
      <c r="WT403" s="5"/>
      <c r="WU403" s="6"/>
      <c r="WV403" s="4"/>
      <c r="WW403" s="4"/>
      <c r="WX403" s="4"/>
      <c r="WY403" s="4"/>
      <c r="WZ403" s="4"/>
      <c r="XA403" s="5"/>
      <c r="XB403" s="6"/>
      <c r="XC403" s="4"/>
      <c r="XD403" s="4"/>
      <c r="XE403" s="4"/>
      <c r="XF403" s="4"/>
      <c r="XG403" s="4"/>
      <c r="XH403" s="5"/>
      <c r="XI403" s="6"/>
      <c r="XJ403" s="4"/>
      <c r="XK403" s="4"/>
      <c r="XL403" s="4"/>
      <c r="XM403" s="4"/>
      <c r="XN403" s="4"/>
      <c r="XO403" s="5"/>
      <c r="XP403" s="6"/>
      <c r="XQ403" s="4"/>
      <c r="XR403" s="4"/>
      <c r="XS403" s="4"/>
      <c r="XT403" s="4"/>
      <c r="XU403" s="4"/>
      <c r="XV403" s="5"/>
      <c r="XW403" s="6"/>
      <c r="XX403" s="4"/>
      <c r="XY403" s="4"/>
      <c r="XZ403" s="4"/>
      <c r="YA403" s="4"/>
      <c r="YB403" s="4"/>
      <c r="YC403" s="5"/>
      <c r="YD403" s="6"/>
      <c r="YE403" s="4"/>
      <c r="YF403" s="4"/>
      <c r="YG403" s="4"/>
      <c r="YH403" s="4"/>
      <c r="YI403" s="4"/>
      <c r="YJ403" s="5"/>
      <c r="YK403" s="6" t="s">
        <v>3777</v>
      </c>
      <c r="YL403" s="4" t="s">
        <v>3776</v>
      </c>
      <c r="YM403" s="4" t="s">
        <v>189</v>
      </c>
      <c r="YN403" s="4"/>
      <c r="YO403" s="8">
        <v>38631</v>
      </c>
      <c r="YP403" s="4"/>
      <c r="YQ403" s="5" t="s">
        <v>1386</v>
      </c>
      <c r="YR403" s="6"/>
      <c r="YS403" s="4"/>
      <c r="YT403" s="4"/>
      <c r="YU403" s="4"/>
      <c r="YV403" s="4"/>
      <c r="YW403" s="4"/>
      <c r="YX403" s="5"/>
      <c r="YY403" s="6"/>
      <c r="YZ403" s="4"/>
      <c r="ZA403" s="4"/>
      <c r="ZB403" s="4"/>
      <c r="ZC403" s="4"/>
      <c r="ZD403" s="4"/>
      <c r="ZE403" s="5"/>
      <c r="ZF403" s="6"/>
      <c r="ZG403" s="4"/>
      <c r="ZH403" s="4"/>
      <c r="ZI403" s="4"/>
      <c r="ZJ403" s="4"/>
      <c r="ZK403" s="4"/>
      <c r="ZL403" s="5"/>
      <c r="ZM403" s="6" t="s">
        <v>2979</v>
      </c>
      <c r="ZN403" s="4" t="s">
        <v>2866</v>
      </c>
      <c r="ZO403" s="4" t="s">
        <v>67</v>
      </c>
      <c r="ZP403" s="4"/>
      <c r="ZQ403" s="8">
        <v>38639</v>
      </c>
      <c r="ZR403" s="4"/>
      <c r="ZS403" s="5" t="s">
        <v>928</v>
      </c>
      <c r="ZT403" s="6"/>
      <c r="ZU403" s="4"/>
      <c r="ZV403" s="4"/>
      <c r="ZW403" s="4"/>
      <c r="ZX403" s="4"/>
      <c r="ZY403" s="4"/>
      <c r="ZZ403" s="5"/>
      <c r="AAA403" s="6"/>
      <c r="AAB403" s="4"/>
      <c r="AAC403" s="4"/>
      <c r="AAD403" s="4"/>
      <c r="AAE403" s="4"/>
      <c r="AAF403" s="4"/>
      <c r="AAG403" s="5"/>
      <c r="AAH403" s="6" t="s">
        <v>3152</v>
      </c>
      <c r="AAI403" s="4" t="s">
        <v>3002</v>
      </c>
      <c r="AAJ403" s="4" t="s">
        <v>189</v>
      </c>
      <c r="AAK403" s="4"/>
      <c r="AAL403" s="8">
        <v>38623</v>
      </c>
      <c r="AAM403" s="4"/>
      <c r="AAN403" s="5" t="s">
        <v>1388</v>
      </c>
      <c r="AAO403" s="6"/>
      <c r="AAP403" s="4"/>
      <c r="AAQ403" s="4"/>
      <c r="AAR403" s="4"/>
      <c r="AAS403" s="4"/>
      <c r="AAT403" s="4"/>
      <c r="AAU403" s="5"/>
      <c r="AAV403" s="6"/>
      <c r="AAW403" s="4"/>
      <c r="AAX403" s="4"/>
      <c r="AAY403" s="4"/>
      <c r="AAZ403" s="4"/>
      <c r="ABA403" s="4"/>
      <c r="ABB403" s="5"/>
      <c r="ABC403" s="6"/>
      <c r="ABD403" s="4"/>
      <c r="ABE403" s="4"/>
      <c r="ABF403" s="4"/>
      <c r="ABG403" s="4"/>
      <c r="ABH403" s="4"/>
      <c r="ABI403" s="5"/>
      <c r="ABJ403" s="6" t="s">
        <v>3217</v>
      </c>
      <c r="ABK403" s="4" t="s">
        <v>3388</v>
      </c>
      <c r="ABL403" s="4" t="s">
        <v>200</v>
      </c>
      <c r="ABM403" s="4" t="s">
        <v>1768</v>
      </c>
      <c r="ABN403" s="8">
        <v>38613</v>
      </c>
      <c r="ABO403" s="8">
        <v>38622</v>
      </c>
      <c r="ABP403" s="5" t="s">
        <v>1456</v>
      </c>
      <c r="ABQ403" s="6"/>
      <c r="ABR403" s="4"/>
      <c r="ABS403" s="4"/>
      <c r="ABT403" s="4"/>
      <c r="ABU403" s="4"/>
      <c r="ABV403" s="4"/>
      <c r="ABW403" s="5"/>
      <c r="ABX403" s="6"/>
      <c r="ABY403" s="4"/>
      <c r="ABZ403" s="4"/>
      <c r="ACA403" s="4"/>
      <c r="ACB403" s="4"/>
      <c r="ACC403" s="4"/>
      <c r="ACD403" s="5"/>
      <c r="ACE403" s="6"/>
      <c r="ACF403" s="4"/>
      <c r="ACG403" s="4"/>
      <c r="ACH403" s="4"/>
      <c r="ACI403" s="4"/>
      <c r="ACJ403" s="4"/>
      <c r="ACK403" s="5"/>
      <c r="ACL403" s="6"/>
      <c r="ACM403" s="4"/>
      <c r="ACN403" s="4"/>
      <c r="ACO403" s="4"/>
      <c r="ACP403" s="4"/>
      <c r="ACQ403" s="4"/>
      <c r="ACR403" s="5"/>
      <c r="ACS403" s="6"/>
      <c r="ACT403" s="4"/>
      <c r="ACU403" s="4"/>
      <c r="ACV403" s="4"/>
      <c r="ACW403" s="4"/>
      <c r="ACX403" s="4"/>
      <c r="ACY403" s="5"/>
      <c r="ADM403" t="s">
        <v>1390</v>
      </c>
      <c r="ADN403" t="s">
        <v>1128</v>
      </c>
      <c r="ADY403" t="s">
        <v>1266</v>
      </c>
      <c r="ADZ403" s="6" t="s">
        <v>203</v>
      </c>
      <c r="AEA403" s="4" t="s">
        <v>204</v>
      </c>
    </row>
    <row r="404" spans="1:824" x14ac:dyDescent="0.25">
      <c r="J404" s="12"/>
      <c r="K404" s="12"/>
      <c r="L404" s="12"/>
      <c r="LL404" s="6"/>
      <c r="LM404" s="4"/>
      <c r="LN404" s="4"/>
      <c r="LO404" s="4"/>
      <c r="LP404" s="4"/>
      <c r="LQ404" s="4"/>
      <c r="LR404" s="5"/>
      <c r="LS404" s="6"/>
      <c r="LT404" s="4"/>
      <c r="LU404" s="4"/>
      <c r="LV404" s="4"/>
      <c r="LW404" s="4"/>
      <c r="LX404" s="4"/>
      <c r="LY404" s="5"/>
      <c r="LZ404" s="6" t="s">
        <v>3213</v>
      </c>
      <c r="MA404" s="7" t="s">
        <v>2525</v>
      </c>
      <c r="MB404" t="s">
        <v>185</v>
      </c>
      <c r="MC404" t="s">
        <v>1907</v>
      </c>
      <c r="MD404" s="17">
        <v>38590</v>
      </c>
      <c r="ME404" s="17">
        <v>38622</v>
      </c>
      <c r="MF404" s="17"/>
      <c r="MG404" t="s">
        <v>1543</v>
      </c>
      <c r="MH404" s="6"/>
      <c r="MI404" s="4"/>
      <c r="MJ404" s="4"/>
      <c r="MK404" s="4"/>
      <c r="ML404" s="4"/>
      <c r="MM404" s="4"/>
      <c r="MN404" s="5"/>
      <c r="MO404" s="6"/>
      <c r="MP404" s="4"/>
      <c r="MQ404" s="4"/>
      <c r="MR404" s="4"/>
      <c r="MS404" s="4"/>
      <c r="MT404" s="4"/>
      <c r="MU404" s="5"/>
      <c r="MV404" s="6"/>
      <c r="MW404" s="4"/>
      <c r="MX404" s="4"/>
      <c r="MY404" s="4"/>
      <c r="MZ404" s="4"/>
      <c r="NA404" s="4"/>
      <c r="NB404" s="5"/>
      <c r="NC404" s="6"/>
      <c r="ND404" s="4"/>
      <c r="NE404" s="4"/>
      <c r="NF404" s="4"/>
      <c r="NG404" s="4"/>
      <c r="NH404" s="4"/>
      <c r="NI404" s="5"/>
      <c r="NJ404" s="6"/>
      <c r="NK404" s="4"/>
      <c r="NL404" s="4"/>
      <c r="NM404" s="4"/>
      <c r="NN404" s="4"/>
      <c r="NO404" s="4"/>
      <c r="NP404" s="5"/>
      <c r="NQ404" s="6"/>
      <c r="NR404" s="4"/>
      <c r="NS404" s="4"/>
      <c r="NT404" s="4"/>
      <c r="NU404" s="4"/>
      <c r="NV404" s="4"/>
      <c r="NW404" s="5"/>
      <c r="NX404" s="6"/>
      <c r="NY404" s="4"/>
      <c r="NZ404" s="4"/>
      <c r="OA404" s="4"/>
      <c r="OB404" s="4"/>
      <c r="OC404" s="4"/>
      <c r="OD404" s="5"/>
      <c r="OE404" s="6"/>
      <c r="OF404" s="4"/>
      <c r="OG404" s="4"/>
      <c r="OH404" s="4"/>
      <c r="OI404" s="4"/>
      <c r="OJ404" s="4"/>
      <c r="OK404" s="5"/>
      <c r="OL404" s="6"/>
      <c r="OM404" s="4"/>
      <c r="ON404" s="4"/>
      <c r="OO404" s="4"/>
      <c r="OP404" s="4"/>
      <c r="OQ404" s="4"/>
      <c r="OR404" s="5"/>
      <c r="OS404" s="6"/>
      <c r="OT404" s="4"/>
      <c r="OU404" s="4"/>
      <c r="OV404" s="4"/>
      <c r="OW404" s="4"/>
      <c r="OX404" s="4"/>
      <c r="OY404" s="5"/>
      <c r="OZ404" s="6"/>
      <c r="PA404" s="4"/>
      <c r="PB404" s="4"/>
      <c r="PC404" s="4"/>
      <c r="PD404" s="4"/>
      <c r="PE404" s="4"/>
      <c r="PF404" s="5"/>
      <c r="PG404" s="6"/>
      <c r="PH404" s="4"/>
      <c r="PI404" s="4"/>
      <c r="PJ404" s="4"/>
      <c r="PK404" s="4"/>
      <c r="PL404" s="4"/>
      <c r="PM404" s="5"/>
      <c r="PN404" s="6"/>
      <c r="PO404" s="4"/>
      <c r="PP404" s="4"/>
      <c r="PQ404" s="4"/>
      <c r="PR404" s="4"/>
      <c r="PS404" s="4"/>
      <c r="PT404" s="5"/>
      <c r="PU404" s="6" t="s">
        <v>2072</v>
      </c>
      <c r="PV404" s="4" t="s">
        <v>2071</v>
      </c>
      <c r="PW404" s="4"/>
      <c r="PX404" s="4"/>
      <c r="PY404" s="8">
        <v>38645</v>
      </c>
      <c r="PZ404" s="4"/>
      <c r="QA404" s="5"/>
      <c r="QB404" s="6"/>
      <c r="QC404" s="4"/>
      <c r="QD404" s="4"/>
      <c r="QE404" s="4"/>
      <c r="QF404" s="4"/>
      <c r="QG404" s="4"/>
      <c r="QH404" s="5"/>
      <c r="QI404" s="6"/>
      <c r="QJ404" s="4"/>
      <c r="QK404" s="4"/>
      <c r="QL404" s="4"/>
      <c r="QM404" s="4"/>
      <c r="QN404" s="4"/>
      <c r="QO404" s="5"/>
      <c r="QP404" s="6"/>
      <c r="QQ404" s="4"/>
      <c r="QR404" s="4"/>
      <c r="QS404" s="4"/>
      <c r="QT404" s="4"/>
      <c r="QU404" s="4"/>
      <c r="QV404" s="5"/>
      <c r="QW404" s="6"/>
      <c r="QX404" s="4"/>
      <c r="QY404" s="4"/>
      <c r="QZ404" s="4"/>
      <c r="RA404" s="4"/>
      <c r="RB404" s="4"/>
      <c r="RC404" s="5"/>
      <c r="RD404" s="6"/>
      <c r="RE404" s="4"/>
      <c r="RF404" s="4"/>
      <c r="RG404" s="4"/>
      <c r="RH404" s="4"/>
      <c r="RI404" s="4"/>
      <c r="RJ404" s="5"/>
      <c r="RK404" s="6"/>
      <c r="RL404" s="4"/>
      <c r="RM404" s="4"/>
      <c r="RN404" s="4"/>
      <c r="RO404" s="4"/>
      <c r="RP404" s="4"/>
      <c r="RQ404" s="5"/>
      <c r="RR404" s="6"/>
      <c r="RS404" s="4"/>
      <c r="RT404" s="4"/>
      <c r="RU404" s="4"/>
      <c r="RV404" s="4"/>
      <c r="RW404" s="4"/>
      <c r="RX404" s="5"/>
      <c r="RY404" s="6"/>
      <c r="RZ404" s="4"/>
      <c r="SA404" s="4"/>
      <c r="SB404" s="4"/>
      <c r="SC404" s="4"/>
      <c r="SD404" s="4"/>
      <c r="SE404" s="5"/>
      <c r="SF404" s="6"/>
      <c r="SG404" s="4"/>
      <c r="SH404" s="4"/>
      <c r="SI404" s="4"/>
      <c r="SJ404" s="4"/>
      <c r="SK404" s="4"/>
      <c r="SL404" s="5"/>
      <c r="SM404" s="6"/>
      <c r="SN404" s="4"/>
      <c r="SO404" s="4"/>
      <c r="SP404" s="4"/>
      <c r="SQ404" s="4"/>
      <c r="SR404" s="4"/>
      <c r="SS404" s="5"/>
      <c r="ST404" s="6"/>
      <c r="SU404" s="4"/>
      <c r="SV404" s="4"/>
      <c r="SW404" s="4"/>
      <c r="SX404" s="4"/>
      <c r="SY404" s="4"/>
      <c r="SZ404" s="5"/>
      <c r="TA404" s="6"/>
      <c r="TB404" s="4"/>
      <c r="TC404" s="4"/>
      <c r="TD404" s="4"/>
      <c r="TE404" s="4"/>
      <c r="TF404" s="4"/>
      <c r="TG404" s="5"/>
      <c r="TH404" s="6"/>
      <c r="TI404" s="4"/>
      <c r="TJ404" s="4"/>
      <c r="TK404" s="4"/>
      <c r="TL404" s="4"/>
      <c r="TM404" s="4"/>
      <c r="TN404" s="5"/>
      <c r="TO404" s="6"/>
      <c r="TP404" s="4"/>
      <c r="TQ404" s="4"/>
      <c r="TR404" s="4"/>
      <c r="TS404" s="4"/>
      <c r="TT404" s="4"/>
      <c r="TU404" s="5"/>
      <c r="TV404" s="6"/>
      <c r="TW404" s="4"/>
      <c r="TX404" s="4"/>
      <c r="TY404" s="4"/>
      <c r="TZ404" s="4"/>
      <c r="UA404" s="4"/>
      <c r="UB404" s="5"/>
      <c r="UC404" s="6"/>
      <c r="UD404" s="4"/>
      <c r="UE404" s="4"/>
      <c r="UF404" s="4"/>
      <c r="UG404" s="4"/>
      <c r="UH404" s="4"/>
      <c r="UI404" s="5"/>
      <c r="UJ404" s="6"/>
      <c r="UK404" s="4"/>
      <c r="UL404" s="4"/>
      <c r="UM404" s="4"/>
      <c r="UN404" s="4"/>
      <c r="UO404" s="4"/>
      <c r="UP404" s="5"/>
      <c r="UQ404" s="6"/>
      <c r="UR404" s="4"/>
      <c r="US404" s="4"/>
      <c r="UT404" s="4"/>
      <c r="UU404" s="4"/>
      <c r="UV404" s="4"/>
      <c r="UW404" s="5"/>
      <c r="UX404" s="6"/>
      <c r="UY404" s="4"/>
      <c r="UZ404" s="4"/>
      <c r="VA404" s="4"/>
      <c r="VB404" s="4"/>
      <c r="VC404" s="4"/>
      <c r="VD404" s="5"/>
      <c r="VE404" s="6"/>
      <c r="VF404" s="4"/>
      <c r="VG404" s="4"/>
      <c r="VH404" s="4"/>
      <c r="VI404" s="4"/>
      <c r="VJ404" s="4"/>
      <c r="VK404" s="5"/>
      <c r="VL404" s="6"/>
      <c r="VM404" s="4"/>
      <c r="VN404" s="4"/>
      <c r="VO404" s="4"/>
      <c r="VP404" s="4"/>
      <c r="VQ404" s="4"/>
      <c r="VR404" s="5"/>
      <c r="VS404" s="6"/>
      <c r="VT404" s="4"/>
      <c r="VU404" s="4"/>
      <c r="VV404" s="4"/>
      <c r="VW404" s="4"/>
      <c r="VX404" s="4"/>
      <c r="VY404" s="5"/>
      <c r="VZ404" s="6"/>
      <c r="WA404" s="4"/>
      <c r="WB404" s="4"/>
      <c r="WC404" s="4"/>
      <c r="WD404" s="4"/>
      <c r="WE404" s="4"/>
      <c r="WF404" s="5"/>
      <c r="WG404" s="6"/>
      <c r="WH404" s="4"/>
      <c r="WI404" s="4"/>
      <c r="WJ404" s="4"/>
      <c r="WK404" s="4"/>
      <c r="WL404" s="4"/>
      <c r="WM404" s="5"/>
      <c r="WN404" s="6"/>
      <c r="WO404" s="4"/>
      <c r="WP404" s="4"/>
      <c r="WQ404" s="4"/>
      <c r="WR404" s="4"/>
      <c r="WS404" s="4"/>
      <c r="WT404" s="5"/>
      <c r="WU404" s="6"/>
      <c r="WV404" s="4"/>
      <c r="WW404" s="4"/>
      <c r="WX404" s="4"/>
      <c r="WY404" s="4"/>
      <c r="WZ404" s="4"/>
      <c r="XA404" s="5"/>
      <c r="XB404" s="6"/>
      <c r="XC404" s="4"/>
      <c r="XD404" s="4"/>
      <c r="XE404" s="4"/>
      <c r="XF404" s="4"/>
      <c r="XG404" s="4"/>
      <c r="XH404" s="5"/>
      <c r="XI404" s="6"/>
      <c r="XJ404" s="4"/>
      <c r="XK404" s="4"/>
      <c r="XL404" s="4"/>
      <c r="XM404" s="4"/>
      <c r="XN404" s="4"/>
      <c r="XO404" s="5"/>
      <c r="XP404" s="6"/>
      <c r="XQ404" s="4"/>
      <c r="XR404" s="4"/>
      <c r="XS404" s="4"/>
      <c r="XT404" s="4"/>
      <c r="XU404" s="4"/>
      <c r="XV404" s="5"/>
      <c r="XW404" s="6"/>
      <c r="XX404" s="4"/>
      <c r="XY404" s="4"/>
      <c r="XZ404" s="4"/>
      <c r="YA404" s="4"/>
      <c r="YB404" s="4"/>
      <c r="YC404" s="5"/>
      <c r="YD404" s="6"/>
      <c r="YE404" s="4"/>
      <c r="YF404" s="4"/>
      <c r="YG404" s="4"/>
      <c r="YH404" s="4"/>
      <c r="YI404" s="4"/>
      <c r="YJ404" s="5"/>
      <c r="YK404" s="6" t="s">
        <v>1766</v>
      </c>
      <c r="YL404" s="4" t="s">
        <v>3778</v>
      </c>
      <c r="YM404" s="4" t="s">
        <v>184</v>
      </c>
      <c r="YN404" s="7" t="s">
        <v>187</v>
      </c>
      <c r="YO404" s="8">
        <v>38590</v>
      </c>
      <c r="YP404" s="4"/>
      <c r="YQ404" s="5" t="s">
        <v>1128</v>
      </c>
      <c r="YR404" s="6"/>
      <c r="YS404" s="4"/>
      <c r="YT404" s="4"/>
      <c r="YU404" s="4"/>
      <c r="YV404" s="4"/>
      <c r="YW404" s="4"/>
      <c r="YX404" s="5"/>
      <c r="YY404" s="6"/>
      <c r="YZ404" s="4"/>
      <c r="ZA404" s="4"/>
      <c r="ZB404" s="4"/>
      <c r="ZC404" s="4"/>
      <c r="ZD404" s="4"/>
      <c r="ZE404" s="5"/>
      <c r="ZF404" s="6"/>
      <c r="ZG404" s="4"/>
      <c r="ZH404" s="4"/>
      <c r="ZI404" s="4"/>
      <c r="ZJ404" s="4"/>
      <c r="ZK404" s="4"/>
      <c r="ZL404" s="5"/>
      <c r="ZM404" s="6"/>
      <c r="ZN404" s="4"/>
      <c r="ZO404" s="4"/>
      <c r="ZP404" s="4"/>
      <c r="ZQ404" s="4"/>
      <c r="ZR404" s="4"/>
      <c r="ZS404" s="5"/>
      <c r="ZT404" s="6"/>
      <c r="ZU404" s="4"/>
      <c r="ZV404" s="4"/>
      <c r="ZW404" s="4"/>
      <c r="ZX404" s="4"/>
      <c r="ZY404" s="4"/>
      <c r="ZZ404" s="5"/>
      <c r="AAA404" s="6"/>
      <c r="AAB404" s="4"/>
      <c r="AAC404" s="4"/>
      <c r="AAD404" s="4"/>
      <c r="AAE404" s="4"/>
      <c r="AAF404" s="4"/>
      <c r="AAG404" s="5"/>
      <c r="AAH404" s="6" t="s">
        <v>2018</v>
      </c>
      <c r="AAI404" s="4" t="s">
        <v>2019</v>
      </c>
      <c r="AAJ404" s="4" t="s">
        <v>68</v>
      </c>
      <c r="AAK404" s="4" t="s">
        <v>1908</v>
      </c>
      <c r="AAL404" s="8">
        <v>38629</v>
      </c>
      <c r="AAM404" s="8">
        <v>38632</v>
      </c>
      <c r="AAN404" s="5" t="s">
        <v>1389</v>
      </c>
      <c r="AAO404" s="6"/>
      <c r="AAP404" s="4"/>
      <c r="AAQ404" s="4"/>
      <c r="AAR404" s="4"/>
      <c r="AAS404" s="4"/>
      <c r="AAT404" s="4"/>
      <c r="AAU404" s="5"/>
      <c r="AAV404" s="6"/>
      <c r="AAW404" s="4"/>
      <c r="AAX404" s="4"/>
      <c r="AAY404" s="4"/>
      <c r="AAZ404" s="4"/>
      <c r="ABA404" s="4"/>
      <c r="ABB404" s="5"/>
      <c r="ABC404" s="6"/>
      <c r="ABD404" s="4"/>
      <c r="ABE404" s="4"/>
      <c r="ABF404" s="4"/>
      <c r="ABG404" s="4"/>
      <c r="ABH404" s="4"/>
      <c r="ABI404" s="5"/>
      <c r="ABJ404" s="6" t="s">
        <v>3217</v>
      </c>
      <c r="ABK404" s="4" t="s">
        <v>3388</v>
      </c>
      <c r="ABL404" s="4"/>
      <c r="ABM404" s="4"/>
      <c r="ABN404" s="8">
        <v>38646</v>
      </c>
      <c r="ABO404" s="4"/>
      <c r="ABP404" s="5"/>
      <c r="ABQ404" s="6"/>
      <c r="ABR404" s="4"/>
      <c r="ABS404" s="4"/>
      <c r="ABT404" s="4"/>
      <c r="ABU404" s="4"/>
      <c r="ABV404" s="4"/>
      <c r="ABW404" s="5"/>
      <c r="ABX404" s="6"/>
      <c r="ABY404" s="4"/>
      <c r="ABZ404" s="4"/>
      <c r="ACA404" s="4"/>
      <c r="ACB404" s="4"/>
      <c r="ACC404" s="4"/>
      <c r="ACD404" s="5"/>
      <c r="ACE404" s="6"/>
      <c r="ACF404" s="4"/>
      <c r="ACG404" s="4"/>
      <c r="ACH404" s="4"/>
      <c r="ACI404" s="4"/>
      <c r="ACJ404" s="4"/>
      <c r="ACK404" s="5"/>
      <c r="ACL404" s="6"/>
      <c r="ACM404" s="4"/>
      <c r="ACN404" s="4"/>
      <c r="ACO404" s="4"/>
      <c r="ACP404" s="4"/>
      <c r="ACQ404" s="4"/>
      <c r="ACR404" s="5"/>
      <c r="ACS404" s="6"/>
      <c r="ACT404" s="4"/>
      <c r="ACU404" s="4"/>
      <c r="ACV404" s="4"/>
      <c r="ACW404" s="4"/>
      <c r="ACX404" s="4"/>
      <c r="ACY404" s="5"/>
      <c r="ADZ404" s="6" t="s">
        <v>129</v>
      </c>
      <c r="AEA404" s="4" t="s">
        <v>202</v>
      </c>
    </row>
    <row r="405" spans="1:824" x14ac:dyDescent="0.25">
      <c r="J405" s="12"/>
      <c r="K405" s="12"/>
      <c r="L405" s="12"/>
      <c r="LL405" s="6"/>
      <c r="LM405" s="4"/>
      <c r="LN405" s="4"/>
      <c r="LO405" s="4"/>
      <c r="LP405" s="4"/>
      <c r="LQ405" s="4"/>
      <c r="LR405" s="5"/>
      <c r="LS405" s="6"/>
      <c r="LT405" s="4"/>
      <c r="LU405" s="4"/>
      <c r="LV405" s="4"/>
      <c r="LW405" s="4"/>
      <c r="LX405" s="4"/>
      <c r="LY405" s="5"/>
      <c r="LZ405" s="6" t="s">
        <v>2064</v>
      </c>
      <c r="MA405" s="7" t="s">
        <v>1379</v>
      </c>
      <c r="MB405" t="s">
        <v>184</v>
      </c>
      <c r="MC405" t="s">
        <v>1907</v>
      </c>
      <c r="MD405" s="17">
        <v>38590</v>
      </c>
      <c r="ME405" s="17">
        <v>38622</v>
      </c>
      <c r="MF405" s="17" t="s">
        <v>1323</v>
      </c>
      <c r="MG405" t="s">
        <v>1008</v>
      </c>
      <c r="MH405" s="6"/>
      <c r="MI405" s="4"/>
      <c r="MJ405" s="4"/>
      <c r="MK405" s="4"/>
      <c r="ML405" s="4"/>
      <c r="MM405" s="4"/>
      <c r="MN405" s="5"/>
      <c r="MO405" s="6"/>
      <c r="MP405" s="4"/>
      <c r="MQ405" s="4"/>
      <c r="MR405" s="4"/>
      <c r="MS405" s="4"/>
      <c r="MT405" s="4"/>
      <c r="MU405" s="5"/>
      <c r="MV405" s="6"/>
      <c r="MW405" s="4"/>
      <c r="MX405" s="4"/>
      <c r="MY405" s="4"/>
      <c r="MZ405" s="4"/>
      <c r="NA405" s="4"/>
      <c r="NB405" s="5"/>
      <c r="NC405" s="6"/>
      <c r="ND405" s="4"/>
      <c r="NE405" s="4"/>
      <c r="NF405" s="4"/>
      <c r="NG405" s="4"/>
      <c r="NH405" s="4"/>
      <c r="NI405" s="5"/>
      <c r="NJ405" s="6"/>
      <c r="NK405" s="4"/>
      <c r="NL405" s="4"/>
      <c r="NM405" s="4"/>
      <c r="NN405" s="4"/>
      <c r="NO405" s="4"/>
      <c r="NP405" s="5"/>
      <c r="NQ405" s="6"/>
      <c r="NR405" s="4"/>
      <c r="NS405" s="4"/>
      <c r="NT405" s="4"/>
      <c r="NU405" s="4"/>
      <c r="NV405" s="4"/>
      <c r="NW405" s="5"/>
      <c r="NX405" s="6"/>
      <c r="NY405" s="4"/>
      <c r="NZ405" s="4"/>
      <c r="OA405" s="4"/>
      <c r="OB405" s="4"/>
      <c r="OC405" s="4"/>
      <c r="OD405" s="5"/>
      <c r="OE405" s="6"/>
      <c r="OF405" s="4"/>
      <c r="OG405" s="4"/>
      <c r="OH405" s="4"/>
      <c r="OI405" s="4"/>
      <c r="OJ405" s="4"/>
      <c r="OK405" s="5"/>
      <c r="OL405" s="6"/>
      <c r="OM405" s="4"/>
      <c r="ON405" s="4"/>
      <c r="OO405" s="4"/>
      <c r="OP405" s="4"/>
      <c r="OQ405" s="4"/>
      <c r="OR405" s="5"/>
      <c r="OS405" s="6"/>
      <c r="OT405" s="4"/>
      <c r="OU405" s="4"/>
      <c r="OV405" s="4"/>
      <c r="OW405" s="4"/>
      <c r="OX405" s="4"/>
      <c r="OY405" s="5"/>
      <c r="OZ405" s="6"/>
      <c r="PA405" s="4"/>
      <c r="PB405" s="4"/>
      <c r="PC405" s="4"/>
      <c r="PD405" s="4"/>
      <c r="PE405" s="4"/>
      <c r="PF405" s="5"/>
      <c r="PG405" s="6"/>
      <c r="PH405" s="4"/>
      <c r="PI405" s="4"/>
      <c r="PJ405" s="4"/>
      <c r="PK405" s="4"/>
      <c r="PL405" s="4"/>
      <c r="PM405" s="5"/>
      <c r="PN405" s="6"/>
      <c r="PO405" s="4"/>
      <c r="PP405" s="4"/>
      <c r="PQ405" s="4"/>
      <c r="PR405" s="4"/>
      <c r="PS405" s="4"/>
      <c r="PT405" s="5"/>
      <c r="PU405" s="6" t="s">
        <v>2072</v>
      </c>
      <c r="PV405" s="4" t="s">
        <v>2071</v>
      </c>
      <c r="PW405" s="4" t="s">
        <v>202</v>
      </c>
      <c r="PX405" s="4" t="s">
        <v>1578</v>
      </c>
      <c r="PY405" s="8">
        <v>38635</v>
      </c>
      <c r="PZ405" s="8">
        <v>38635</v>
      </c>
      <c r="QA405" s="5" t="s">
        <v>933</v>
      </c>
      <c r="QB405" s="6"/>
      <c r="QC405" s="4"/>
      <c r="QD405" s="4"/>
      <c r="QE405" s="4"/>
      <c r="QF405" s="4"/>
      <c r="QG405" s="4"/>
      <c r="QH405" s="5"/>
      <c r="QI405" s="6"/>
      <c r="QJ405" s="4"/>
      <c r="QK405" s="4"/>
      <c r="QL405" s="4"/>
      <c r="QM405" s="4"/>
      <c r="QN405" s="4"/>
      <c r="QO405" s="5"/>
      <c r="QP405" s="6"/>
      <c r="QQ405" s="4"/>
      <c r="QR405" s="4"/>
      <c r="QS405" s="4"/>
      <c r="QT405" s="4"/>
      <c r="QU405" s="4"/>
      <c r="QV405" s="5"/>
      <c r="QW405" s="6"/>
      <c r="QX405" s="4"/>
      <c r="QY405" s="4"/>
      <c r="QZ405" s="4"/>
      <c r="RA405" s="4"/>
      <c r="RB405" s="4"/>
      <c r="RC405" s="5"/>
      <c r="RD405" s="6"/>
      <c r="RE405" s="4"/>
      <c r="RF405" s="4"/>
      <c r="RG405" s="4"/>
      <c r="RH405" s="4"/>
      <c r="RI405" s="4"/>
      <c r="RJ405" s="5"/>
      <c r="RK405" s="6"/>
      <c r="RL405" s="4"/>
      <c r="RM405" s="4"/>
      <c r="RN405" s="4"/>
      <c r="RO405" s="4"/>
      <c r="RP405" s="4"/>
      <c r="RQ405" s="5"/>
      <c r="RR405" s="6"/>
      <c r="RS405" s="4"/>
      <c r="RT405" s="4"/>
      <c r="RU405" s="4"/>
      <c r="RV405" s="4"/>
      <c r="RW405" s="4"/>
      <c r="RX405" s="5"/>
      <c r="RY405" s="6"/>
      <c r="RZ405" s="4"/>
      <c r="SA405" s="4"/>
      <c r="SB405" s="4"/>
      <c r="SC405" s="4"/>
      <c r="SD405" s="4"/>
      <c r="SE405" s="5"/>
      <c r="SF405" s="6"/>
      <c r="SG405" s="4"/>
      <c r="SH405" s="4"/>
      <c r="SI405" s="4"/>
      <c r="SJ405" s="4"/>
      <c r="SK405" s="4"/>
      <c r="SL405" s="5"/>
      <c r="SM405" s="6"/>
      <c r="SN405" s="4"/>
      <c r="SO405" s="4"/>
      <c r="SP405" s="4"/>
      <c r="SQ405" s="4"/>
      <c r="SR405" s="4"/>
      <c r="SS405" s="5"/>
      <c r="ST405" s="6"/>
      <c r="SU405" s="4"/>
      <c r="SV405" s="4"/>
      <c r="SW405" s="4"/>
      <c r="SX405" s="4"/>
      <c r="SY405" s="4"/>
      <c r="SZ405" s="5"/>
      <c r="TA405" s="6"/>
      <c r="TB405" s="4"/>
      <c r="TC405" s="4"/>
      <c r="TD405" s="4"/>
      <c r="TE405" s="4"/>
      <c r="TF405" s="4"/>
      <c r="TG405" s="5"/>
      <c r="TH405" s="6"/>
      <c r="TI405" s="4"/>
      <c r="TJ405" s="4"/>
      <c r="TK405" s="4"/>
      <c r="TL405" s="4"/>
      <c r="TM405" s="4"/>
      <c r="TN405" s="5"/>
      <c r="TO405" s="6"/>
      <c r="TP405" s="4"/>
      <c r="TQ405" s="4"/>
      <c r="TR405" s="4"/>
      <c r="TS405" s="4"/>
      <c r="TT405" s="4"/>
      <c r="TU405" s="5"/>
      <c r="TV405" s="6"/>
      <c r="TW405" s="4"/>
      <c r="TX405" s="4"/>
      <c r="TY405" s="4"/>
      <c r="TZ405" s="4"/>
      <c r="UA405" s="4"/>
      <c r="UB405" s="5"/>
      <c r="UC405" s="6"/>
      <c r="UD405" s="4"/>
      <c r="UE405" s="4"/>
      <c r="UF405" s="4"/>
      <c r="UG405" s="4"/>
      <c r="UH405" s="4"/>
      <c r="UI405" s="5"/>
      <c r="UJ405" s="6"/>
      <c r="UK405" s="4"/>
      <c r="UL405" s="4"/>
      <c r="UM405" s="4"/>
      <c r="UN405" s="4"/>
      <c r="UO405" s="4"/>
      <c r="UP405" s="5"/>
      <c r="UQ405" s="6"/>
      <c r="UR405" s="4"/>
      <c r="US405" s="4"/>
      <c r="UT405" s="4"/>
      <c r="UU405" s="4"/>
      <c r="UV405" s="4"/>
      <c r="UW405" s="5"/>
      <c r="UX405" s="6"/>
      <c r="UY405" s="4"/>
      <c r="UZ405" s="4"/>
      <c r="VA405" s="4"/>
      <c r="VB405" s="4"/>
      <c r="VC405" s="4"/>
      <c r="VD405" s="5"/>
      <c r="VE405" s="6"/>
      <c r="VF405" s="4"/>
      <c r="VG405" s="4"/>
      <c r="VH405" s="4"/>
      <c r="VI405" s="4"/>
      <c r="VJ405" s="4"/>
      <c r="VK405" s="5"/>
      <c r="VL405" s="6"/>
      <c r="VM405" s="4"/>
      <c r="VN405" s="4"/>
      <c r="VO405" s="4"/>
      <c r="VP405" s="4"/>
      <c r="VQ405" s="4"/>
      <c r="VR405" s="5"/>
      <c r="VS405" s="6"/>
      <c r="VT405" s="4"/>
      <c r="VU405" s="4"/>
      <c r="VV405" s="4"/>
      <c r="VW405" s="4"/>
      <c r="VX405" s="4"/>
      <c r="VY405" s="5"/>
      <c r="VZ405" s="6"/>
      <c r="WA405" s="4"/>
      <c r="WB405" s="4"/>
      <c r="WC405" s="4"/>
      <c r="WD405" s="4"/>
      <c r="WE405" s="4"/>
      <c r="WF405" s="5"/>
      <c r="WG405" s="6"/>
      <c r="WH405" s="4"/>
      <c r="WI405" s="4"/>
      <c r="WJ405" s="4"/>
      <c r="WK405" s="4"/>
      <c r="WL405" s="4"/>
      <c r="WM405" s="5"/>
      <c r="WN405" s="6"/>
      <c r="WO405" s="4"/>
      <c r="WP405" s="4"/>
      <c r="WQ405" s="4"/>
      <c r="WR405" s="4"/>
      <c r="WS405" s="4"/>
      <c r="WT405" s="5"/>
      <c r="WU405" s="6"/>
      <c r="WV405" s="4"/>
      <c r="WW405" s="4"/>
      <c r="WX405" s="4"/>
      <c r="WY405" s="4"/>
      <c r="WZ405" s="4"/>
      <c r="XA405" s="5"/>
      <c r="XB405" s="6"/>
      <c r="XC405" s="4"/>
      <c r="XD405" s="4"/>
      <c r="XE405" s="4"/>
      <c r="XF405" s="4"/>
      <c r="XG405" s="4"/>
      <c r="XH405" s="5"/>
      <c r="XI405" s="6"/>
      <c r="XJ405" s="4"/>
      <c r="XK405" s="4"/>
      <c r="XL405" s="4"/>
      <c r="XM405" s="4"/>
      <c r="XN405" s="4"/>
      <c r="XO405" s="5"/>
      <c r="XP405" s="6"/>
      <c r="XQ405" s="4"/>
      <c r="XR405" s="4"/>
      <c r="XS405" s="4"/>
      <c r="XT405" s="4"/>
      <c r="XU405" s="4"/>
      <c r="XV405" s="5"/>
      <c r="XW405" s="6"/>
      <c r="XX405" s="4"/>
      <c r="XY405" s="4"/>
      <c r="XZ405" s="4"/>
      <c r="YA405" s="4"/>
      <c r="YB405" s="4"/>
      <c r="YC405" s="5"/>
      <c r="YD405" s="6"/>
      <c r="YE405" s="4"/>
      <c r="YF405" s="4"/>
      <c r="YG405" s="4"/>
      <c r="YH405" s="4"/>
      <c r="YI405" s="4"/>
      <c r="YJ405" s="5"/>
      <c r="YK405" s="6" t="s">
        <v>3202</v>
      </c>
      <c r="YL405" s="4" t="s">
        <v>2361</v>
      </c>
      <c r="YM405" s="4" t="s">
        <v>188</v>
      </c>
      <c r="YN405" s="7"/>
      <c r="YO405" s="8">
        <v>38613</v>
      </c>
      <c r="YP405" s="8">
        <v>38631</v>
      </c>
      <c r="YQ405" s="5" t="s">
        <v>1387</v>
      </c>
      <c r="YR405" s="6"/>
      <c r="YS405" s="4"/>
      <c r="YT405" s="4"/>
      <c r="YU405" s="4"/>
      <c r="YV405" s="4"/>
      <c r="YW405" s="4"/>
      <c r="YX405" s="5"/>
      <c r="YY405" s="6"/>
      <c r="YZ405" s="4"/>
      <c r="ZA405" s="4"/>
      <c r="ZB405" s="4"/>
      <c r="ZC405" s="4"/>
      <c r="ZD405" s="4"/>
      <c r="ZE405" s="5"/>
      <c r="ZF405" s="6"/>
      <c r="ZG405" s="4"/>
      <c r="ZH405" s="4"/>
      <c r="ZI405" s="4"/>
      <c r="ZJ405" s="4"/>
      <c r="ZK405" s="4"/>
      <c r="ZL405" s="5"/>
      <c r="ZM405" s="6"/>
      <c r="ZN405" s="4"/>
      <c r="ZO405" s="4"/>
      <c r="ZP405" s="4"/>
      <c r="ZQ405" s="4"/>
      <c r="ZR405" s="4"/>
      <c r="ZS405" s="5"/>
      <c r="ZT405" s="6"/>
      <c r="ZU405" s="4"/>
      <c r="ZV405" s="4"/>
      <c r="ZW405" s="4"/>
      <c r="ZX405" s="4"/>
      <c r="ZY405" s="4"/>
      <c r="ZZ405" s="5"/>
      <c r="AAA405" s="6"/>
      <c r="AAB405" s="4"/>
      <c r="AAC405" s="4"/>
      <c r="AAD405" s="4"/>
      <c r="AAE405" s="4"/>
      <c r="AAF405" s="4"/>
      <c r="AAG405" s="5"/>
      <c r="AAH405" s="6"/>
      <c r="AAI405" s="4"/>
      <c r="AAJ405" s="4"/>
      <c r="AAK405" s="4"/>
      <c r="AAL405" s="8"/>
      <c r="AAM405" s="8"/>
      <c r="AAN405" s="5"/>
      <c r="AAO405" s="6"/>
      <c r="AAP405" s="4"/>
      <c r="AAQ405" s="4"/>
      <c r="AAR405" s="4"/>
      <c r="AAS405" s="4"/>
      <c r="AAT405" s="4"/>
      <c r="AAU405" s="5"/>
      <c r="AAV405" s="6"/>
      <c r="AAW405" s="4"/>
      <c r="AAX405" s="4"/>
      <c r="AAY405" s="4"/>
      <c r="AAZ405" s="4"/>
      <c r="ABA405" s="4"/>
      <c r="ABB405" s="5"/>
      <c r="ABC405" s="6"/>
      <c r="ABD405" s="4"/>
      <c r="ABE405" s="4"/>
      <c r="ABF405" s="4"/>
      <c r="ABG405" s="4"/>
      <c r="ABH405" s="4"/>
      <c r="ABI405" s="5"/>
      <c r="ABJ405" s="6" t="s">
        <v>3003</v>
      </c>
      <c r="ABK405" s="4" t="s">
        <v>1518</v>
      </c>
      <c r="ABL405" s="4" t="s">
        <v>201</v>
      </c>
      <c r="ABM405" s="4" t="s">
        <v>1919</v>
      </c>
      <c r="ABN405" s="8">
        <v>38643</v>
      </c>
      <c r="ABO405" s="8">
        <v>38645</v>
      </c>
      <c r="ABP405" s="5"/>
      <c r="ABQ405" s="6"/>
      <c r="ABR405" s="4"/>
      <c r="ABS405" s="4"/>
      <c r="ABT405" s="4"/>
      <c r="ABU405" s="4"/>
      <c r="ABV405" s="4"/>
      <c r="ABW405" s="5"/>
      <c r="ABX405" s="6"/>
      <c r="ABY405" s="4"/>
      <c r="ABZ405" s="4"/>
      <c r="ACA405" s="4"/>
      <c r="ACB405" s="4"/>
      <c r="ACC405" s="4"/>
      <c r="ACD405" s="5"/>
      <c r="ACE405" s="6"/>
      <c r="ACF405" s="4"/>
      <c r="ACG405" s="4"/>
      <c r="ACH405" s="4"/>
      <c r="ACI405" s="4"/>
      <c r="ACJ405" s="4"/>
      <c r="ACK405" s="5"/>
      <c r="ACL405" s="6"/>
      <c r="ACM405" s="4"/>
      <c r="ACN405" s="4"/>
      <c r="ACO405" s="4"/>
      <c r="ACP405" s="4"/>
      <c r="ACQ405" s="4"/>
      <c r="ACR405" s="5"/>
      <c r="ACS405" s="6"/>
      <c r="ACT405" s="4"/>
      <c r="ACU405" s="4"/>
      <c r="ACV405" s="4"/>
      <c r="ACW405" s="4"/>
      <c r="ACX405" s="4"/>
      <c r="ACY405" s="5"/>
      <c r="ADZ405" s="6" t="s">
        <v>130</v>
      </c>
      <c r="AEA405" s="4" t="s">
        <v>131</v>
      </c>
    </row>
    <row r="406" spans="1:824" x14ac:dyDescent="0.25">
      <c r="J406" s="12"/>
      <c r="K406" s="12"/>
      <c r="L406" s="12"/>
      <c r="LL406" s="6"/>
      <c r="LM406" s="4"/>
      <c r="LN406" s="4"/>
      <c r="LO406" s="4"/>
      <c r="LP406" s="4"/>
      <c r="LQ406" s="4"/>
      <c r="LR406" s="5"/>
      <c r="LS406" s="6"/>
      <c r="LT406" s="4"/>
      <c r="LU406" s="4"/>
      <c r="LV406" s="4"/>
      <c r="LW406" s="4"/>
      <c r="LX406" s="4"/>
      <c r="LY406" s="5"/>
      <c r="LZ406" s="6"/>
      <c r="MA406" s="7"/>
      <c r="MD406" s="17"/>
      <c r="ME406" s="17"/>
      <c r="MF406" s="17"/>
      <c r="MH406" s="6"/>
      <c r="MI406" s="4"/>
      <c r="MJ406" s="4"/>
      <c r="MK406" s="4"/>
      <c r="ML406" s="4"/>
      <c r="MM406" s="4"/>
      <c r="MN406" s="5"/>
      <c r="MO406" s="6"/>
      <c r="MP406" s="4"/>
      <c r="MQ406" s="4"/>
      <c r="MR406" s="4"/>
      <c r="MS406" s="4"/>
      <c r="MT406" s="4"/>
      <c r="MU406" s="5"/>
      <c r="MV406" s="6"/>
      <c r="MW406" s="4"/>
      <c r="MX406" s="4"/>
      <c r="MY406" s="4"/>
      <c r="MZ406" s="4"/>
      <c r="NA406" s="4"/>
      <c r="NB406" s="5"/>
      <c r="NC406" s="6"/>
      <c r="ND406" s="4"/>
      <c r="NE406" s="4"/>
      <c r="NF406" s="4"/>
      <c r="NG406" s="4"/>
      <c r="NH406" s="4"/>
      <c r="NI406" s="5"/>
      <c r="NJ406" s="6"/>
      <c r="NK406" s="4"/>
      <c r="NL406" s="4"/>
      <c r="NM406" s="4"/>
      <c r="NN406" s="4"/>
      <c r="NO406" s="4"/>
      <c r="NP406" s="5"/>
      <c r="NQ406" s="6"/>
      <c r="NR406" s="4"/>
      <c r="NS406" s="4"/>
      <c r="NT406" s="4"/>
      <c r="NU406" s="4"/>
      <c r="NV406" s="4"/>
      <c r="NW406" s="5"/>
      <c r="NX406" s="6"/>
      <c r="NY406" s="4"/>
      <c r="NZ406" s="4"/>
      <c r="OA406" s="4"/>
      <c r="OB406" s="4"/>
      <c r="OC406" s="4"/>
      <c r="OD406" s="5"/>
      <c r="OE406" s="6"/>
      <c r="OF406" s="4"/>
      <c r="OG406" s="4"/>
      <c r="OH406" s="4"/>
      <c r="OI406" s="4"/>
      <c r="OJ406" s="4"/>
      <c r="OK406" s="5"/>
      <c r="OL406" s="6"/>
      <c r="OM406" s="4"/>
      <c r="ON406" s="4"/>
      <c r="OO406" s="4"/>
      <c r="OP406" s="4"/>
      <c r="OQ406" s="4"/>
      <c r="OR406" s="5"/>
      <c r="OS406" s="6"/>
      <c r="OT406" s="4"/>
      <c r="OU406" s="4"/>
      <c r="OV406" s="4"/>
      <c r="OW406" s="4"/>
      <c r="OX406" s="4"/>
      <c r="OY406" s="5"/>
      <c r="OZ406" s="6"/>
      <c r="PA406" s="4"/>
      <c r="PB406" s="4"/>
      <c r="PC406" s="4"/>
      <c r="PD406" s="4"/>
      <c r="PE406" s="4"/>
      <c r="PF406" s="5"/>
      <c r="PG406" s="6"/>
      <c r="PH406" s="4"/>
      <c r="PI406" s="4"/>
      <c r="PJ406" s="4"/>
      <c r="PK406" s="4"/>
      <c r="PL406" s="4"/>
      <c r="PM406" s="5"/>
      <c r="PN406" s="6"/>
      <c r="PO406" s="4"/>
      <c r="PP406" s="4"/>
      <c r="PQ406" s="4"/>
      <c r="PR406" s="4"/>
      <c r="PS406" s="4"/>
      <c r="PT406" s="5"/>
      <c r="PU406" s="6"/>
      <c r="PV406" s="4"/>
      <c r="PW406" s="4"/>
      <c r="PX406" s="4"/>
      <c r="PY406" s="8"/>
      <c r="PZ406" s="8"/>
      <c r="QA406" s="5"/>
      <c r="QB406" s="6"/>
      <c r="QC406" s="4"/>
      <c r="QD406" s="4"/>
      <c r="QE406" s="4"/>
      <c r="QF406" s="4"/>
      <c r="QG406" s="4"/>
      <c r="QH406" s="5"/>
      <c r="QI406" s="6"/>
      <c r="QJ406" s="4"/>
      <c r="QK406" s="4"/>
      <c r="QL406" s="4"/>
      <c r="QM406" s="4"/>
      <c r="QN406" s="4"/>
      <c r="QO406" s="5"/>
      <c r="QP406" s="6"/>
      <c r="QQ406" s="4"/>
      <c r="QR406" s="4"/>
      <c r="QS406" s="4"/>
      <c r="QT406" s="4"/>
      <c r="QU406" s="4"/>
      <c r="QV406" s="5"/>
      <c r="QW406" s="6"/>
      <c r="QX406" s="4"/>
      <c r="QY406" s="4"/>
      <c r="QZ406" s="4"/>
      <c r="RA406" s="4"/>
      <c r="RB406" s="4"/>
      <c r="RC406" s="5"/>
      <c r="RD406" s="6"/>
      <c r="RE406" s="4"/>
      <c r="RF406" s="4"/>
      <c r="RG406" s="4"/>
      <c r="RH406" s="4"/>
      <c r="RI406" s="4"/>
      <c r="RJ406" s="5"/>
      <c r="RK406" s="6"/>
      <c r="RL406" s="4"/>
      <c r="RM406" s="4"/>
      <c r="RN406" s="4"/>
      <c r="RO406" s="4"/>
      <c r="RP406" s="4"/>
      <c r="RQ406" s="5"/>
      <c r="RR406" s="6"/>
      <c r="RS406" s="4"/>
      <c r="RT406" s="4"/>
      <c r="RU406" s="4"/>
      <c r="RV406" s="4"/>
      <c r="RW406" s="4"/>
      <c r="RX406" s="5"/>
      <c r="RY406" s="6"/>
      <c r="RZ406" s="4"/>
      <c r="SA406" s="4"/>
      <c r="SB406" s="4"/>
      <c r="SC406" s="4"/>
      <c r="SD406" s="4"/>
      <c r="SE406" s="5"/>
      <c r="SF406" s="6"/>
      <c r="SG406" s="4"/>
      <c r="SH406" s="4"/>
      <c r="SI406" s="4"/>
      <c r="SJ406" s="4"/>
      <c r="SK406" s="4"/>
      <c r="SL406" s="5"/>
      <c r="SM406" s="6"/>
      <c r="SN406" s="4"/>
      <c r="SO406" s="4"/>
      <c r="SP406" s="4"/>
      <c r="SQ406" s="4"/>
      <c r="SR406" s="4"/>
      <c r="SS406" s="5"/>
      <c r="ST406" s="6"/>
      <c r="SU406" s="4"/>
      <c r="SV406" s="4"/>
      <c r="SW406" s="4"/>
      <c r="SX406" s="4"/>
      <c r="SY406" s="4"/>
      <c r="SZ406" s="5"/>
      <c r="TA406" s="6"/>
      <c r="TB406" s="4"/>
      <c r="TC406" s="4"/>
      <c r="TD406" s="4"/>
      <c r="TE406" s="4"/>
      <c r="TF406" s="4"/>
      <c r="TG406" s="5"/>
      <c r="TH406" s="6"/>
      <c r="TI406" s="4"/>
      <c r="TJ406" s="4"/>
      <c r="TK406" s="4"/>
      <c r="TL406" s="4"/>
      <c r="TM406" s="4"/>
      <c r="TN406" s="5"/>
      <c r="TO406" s="6"/>
      <c r="TP406" s="4"/>
      <c r="TQ406" s="4"/>
      <c r="TR406" s="4"/>
      <c r="TS406" s="4"/>
      <c r="TT406" s="4"/>
      <c r="TU406" s="5"/>
      <c r="TV406" s="6"/>
      <c r="TW406" s="4"/>
      <c r="TX406" s="4"/>
      <c r="TY406" s="4"/>
      <c r="TZ406" s="4"/>
      <c r="UA406" s="4"/>
      <c r="UB406" s="5"/>
      <c r="UC406" s="6"/>
      <c r="UD406" s="4"/>
      <c r="UE406" s="4"/>
      <c r="UF406" s="4"/>
      <c r="UG406" s="4"/>
      <c r="UH406" s="4"/>
      <c r="UI406" s="5"/>
      <c r="UJ406" s="6"/>
      <c r="UK406" s="4"/>
      <c r="UL406" s="4"/>
      <c r="UM406" s="4"/>
      <c r="UN406" s="4"/>
      <c r="UO406" s="4"/>
      <c r="UP406" s="5"/>
      <c r="UQ406" s="6"/>
      <c r="UR406" s="4"/>
      <c r="US406" s="4"/>
      <c r="UT406" s="4"/>
      <c r="UU406" s="4"/>
      <c r="UV406" s="4"/>
      <c r="UW406" s="5"/>
      <c r="UX406" s="6"/>
      <c r="UY406" s="4"/>
      <c r="UZ406" s="4"/>
      <c r="VA406" s="4"/>
      <c r="VB406" s="4"/>
      <c r="VC406" s="4"/>
      <c r="VD406" s="5"/>
      <c r="VE406" s="6"/>
      <c r="VF406" s="4"/>
      <c r="VG406" s="4"/>
      <c r="VH406" s="4"/>
      <c r="VI406" s="4"/>
      <c r="VJ406" s="4"/>
      <c r="VK406" s="5"/>
      <c r="VL406" s="6"/>
      <c r="VM406" s="4"/>
      <c r="VN406" s="4"/>
      <c r="VO406" s="4"/>
      <c r="VP406" s="4"/>
      <c r="VQ406" s="4"/>
      <c r="VR406" s="5"/>
      <c r="VS406" s="6"/>
      <c r="VT406" s="4"/>
      <c r="VU406" s="4"/>
      <c r="VV406" s="4"/>
      <c r="VW406" s="4"/>
      <c r="VX406" s="4"/>
      <c r="VY406" s="5"/>
      <c r="VZ406" s="6"/>
      <c r="WA406" s="4"/>
      <c r="WB406" s="4"/>
      <c r="WC406" s="4"/>
      <c r="WD406" s="4"/>
      <c r="WE406" s="4"/>
      <c r="WF406" s="5"/>
      <c r="WG406" s="6"/>
      <c r="WH406" s="4"/>
      <c r="WI406" s="4"/>
      <c r="WJ406" s="4"/>
      <c r="WK406" s="4"/>
      <c r="WL406" s="4"/>
      <c r="WM406" s="5"/>
      <c r="WN406" s="6"/>
      <c r="WO406" s="4"/>
      <c r="WP406" s="4"/>
      <c r="WQ406" s="4"/>
      <c r="WR406" s="4"/>
      <c r="WS406" s="4"/>
      <c r="WT406" s="5"/>
      <c r="WU406" s="6"/>
      <c r="WV406" s="4"/>
      <c r="WW406" s="4"/>
      <c r="WX406" s="4"/>
      <c r="WY406" s="4"/>
      <c r="WZ406" s="4"/>
      <c r="XA406" s="5"/>
      <c r="XB406" s="6"/>
      <c r="XC406" s="4"/>
      <c r="XD406" s="4"/>
      <c r="XE406" s="4"/>
      <c r="XF406" s="4"/>
      <c r="XG406" s="4"/>
      <c r="XH406" s="5"/>
      <c r="XI406" s="6"/>
      <c r="XJ406" s="4"/>
      <c r="XK406" s="4"/>
      <c r="XL406" s="4"/>
      <c r="XM406" s="4"/>
      <c r="XN406" s="4"/>
      <c r="XO406" s="5"/>
      <c r="XP406" s="6"/>
      <c r="XQ406" s="4"/>
      <c r="XR406" s="4"/>
      <c r="XS406" s="4"/>
      <c r="XT406" s="4"/>
      <c r="XU406" s="4"/>
      <c r="XV406" s="5"/>
      <c r="XW406" s="6"/>
      <c r="XX406" s="4"/>
      <c r="XY406" s="4"/>
      <c r="XZ406" s="4"/>
      <c r="YA406" s="4"/>
      <c r="YB406" s="4"/>
      <c r="YC406" s="5"/>
      <c r="YD406" s="6"/>
      <c r="YE406" s="4"/>
      <c r="YF406" s="4"/>
      <c r="YG406" s="4"/>
      <c r="YH406" s="4"/>
      <c r="YI406" s="4"/>
      <c r="YJ406" s="5"/>
      <c r="YK406" s="6"/>
      <c r="YL406" s="4"/>
      <c r="YM406" s="4"/>
      <c r="YN406" s="7"/>
      <c r="YO406" s="8"/>
      <c r="YP406" s="8"/>
      <c r="YQ406" s="5"/>
      <c r="YR406" s="6"/>
      <c r="YS406" s="4"/>
      <c r="YT406" s="4"/>
      <c r="YU406" s="4"/>
      <c r="YV406" s="4"/>
      <c r="YW406" s="4"/>
      <c r="YX406" s="5"/>
      <c r="YY406" s="6"/>
      <c r="YZ406" s="4"/>
      <c r="ZA406" s="4"/>
      <c r="ZB406" s="4"/>
      <c r="ZC406" s="4"/>
      <c r="ZD406" s="4"/>
      <c r="ZE406" s="5"/>
      <c r="ZF406" s="6"/>
      <c r="ZG406" s="4"/>
      <c r="ZH406" s="4"/>
      <c r="ZI406" s="4"/>
      <c r="ZJ406" s="4"/>
      <c r="ZK406" s="4"/>
      <c r="ZL406" s="5"/>
      <c r="ZM406" s="6"/>
      <c r="ZN406" s="4"/>
      <c r="ZO406" s="4"/>
      <c r="ZP406" s="4"/>
      <c r="ZQ406" s="4"/>
      <c r="ZR406" s="4"/>
      <c r="ZS406" s="5"/>
      <c r="ZT406" s="6"/>
      <c r="ZU406" s="4"/>
      <c r="ZV406" s="4"/>
      <c r="ZW406" s="4"/>
      <c r="ZX406" s="4"/>
      <c r="ZY406" s="4"/>
      <c r="ZZ406" s="5"/>
      <c r="AAA406" s="6"/>
      <c r="AAB406" s="4"/>
      <c r="AAC406" s="4"/>
      <c r="AAD406" s="4"/>
      <c r="AAE406" s="4"/>
      <c r="AAF406" s="4"/>
      <c r="AAG406" s="5"/>
      <c r="AAH406" s="6"/>
      <c r="AAI406" s="4"/>
      <c r="AAJ406" s="4"/>
      <c r="AAK406" s="4"/>
      <c r="AAL406" s="8"/>
      <c r="AAM406" s="8"/>
      <c r="AAN406" s="5"/>
      <c r="AAO406" s="6"/>
      <c r="AAP406" s="4"/>
      <c r="AAQ406" s="4"/>
      <c r="AAR406" s="4"/>
      <c r="AAS406" s="4"/>
      <c r="AAT406" s="4"/>
      <c r="AAU406" s="5"/>
      <c r="AAV406" s="6"/>
      <c r="AAW406" s="4"/>
      <c r="AAX406" s="4"/>
      <c r="AAY406" s="4"/>
      <c r="AAZ406" s="4"/>
      <c r="ABA406" s="4"/>
      <c r="ABB406" s="5"/>
      <c r="ABC406" s="6"/>
      <c r="ABD406" s="4"/>
      <c r="ABE406" s="4"/>
      <c r="ABF406" s="4"/>
      <c r="ABG406" s="4"/>
      <c r="ABH406" s="4"/>
      <c r="ABI406" s="5"/>
      <c r="ABJ406" s="6"/>
      <c r="ABK406" s="4"/>
      <c r="ABL406" s="4"/>
      <c r="ABM406" s="4"/>
      <c r="ABN406" s="8"/>
      <c r="ABO406" s="8"/>
      <c r="ABP406" s="5"/>
      <c r="ABQ406" s="6"/>
      <c r="ABR406" s="4"/>
      <c r="ABS406" s="4"/>
      <c r="ABT406" s="4"/>
      <c r="ABU406" s="4"/>
      <c r="ABV406" s="4"/>
      <c r="ABW406" s="5"/>
      <c r="ABX406" s="6"/>
      <c r="ABY406" s="4"/>
      <c r="ABZ406" s="4"/>
      <c r="ACA406" s="4"/>
      <c r="ACB406" s="4"/>
      <c r="ACC406" s="4"/>
      <c r="ACD406" s="5"/>
      <c r="ACE406" s="6"/>
      <c r="ACF406" s="4"/>
      <c r="ACG406" s="4"/>
      <c r="ACH406" s="4"/>
      <c r="ACI406" s="4"/>
      <c r="ACJ406" s="4"/>
      <c r="ACK406" s="5"/>
      <c r="ACL406" s="6"/>
      <c r="ACM406" s="4"/>
      <c r="ACN406" s="4"/>
      <c r="ACO406" s="4"/>
      <c r="ACP406" s="4"/>
      <c r="ACQ406" s="4"/>
      <c r="ACR406" s="5"/>
      <c r="ACS406" s="6"/>
      <c r="ACT406" s="4"/>
      <c r="ACU406" s="4"/>
      <c r="ACV406" s="4"/>
      <c r="ACW406" s="4"/>
      <c r="ACX406" s="4"/>
      <c r="ACY406" s="5"/>
      <c r="ADZ406" s="6" t="s">
        <v>15</v>
      </c>
      <c r="AEA406" s="7" t="s">
        <v>184</v>
      </c>
    </row>
    <row r="407" spans="1:824" x14ac:dyDescent="0.25">
      <c r="B407" s="29">
        <v>9002013</v>
      </c>
      <c r="C407" s="57">
        <v>44</v>
      </c>
      <c r="D407" t="s">
        <v>2121</v>
      </c>
      <c r="E407" t="s">
        <v>16</v>
      </c>
      <c r="F407" s="23">
        <v>0</v>
      </c>
      <c r="I407">
        <v>1</v>
      </c>
      <c r="J407" s="19">
        <v>39383</v>
      </c>
      <c r="K407" s="19" t="s">
        <v>4138</v>
      </c>
      <c r="L407" s="19"/>
      <c r="LL407" s="6"/>
      <c r="LM407" s="4"/>
      <c r="LN407" s="4"/>
      <c r="LO407" s="4"/>
      <c r="LP407" s="4"/>
      <c r="LQ407" s="4"/>
      <c r="LR407" s="5"/>
      <c r="LS407" s="6"/>
      <c r="LT407" s="4"/>
      <c r="LU407" s="4"/>
      <c r="LV407" s="4"/>
      <c r="LW407" s="4"/>
      <c r="LX407" s="4"/>
      <c r="LY407" s="5"/>
      <c r="LZ407" s="6" t="s">
        <v>1853</v>
      </c>
      <c r="MA407" s="7" t="s">
        <v>1921</v>
      </c>
      <c r="MB407" s="4" t="s">
        <v>1920</v>
      </c>
      <c r="MC407" s="7" t="s">
        <v>1702</v>
      </c>
      <c r="MD407" s="8">
        <v>39362</v>
      </c>
      <c r="ME407" s="8">
        <v>39384</v>
      </c>
      <c r="MF407" s="8" t="s">
        <v>4139</v>
      </c>
      <c r="MG407" s="5" t="s">
        <v>4140</v>
      </c>
      <c r="MH407" s="6"/>
      <c r="MI407" s="4"/>
      <c r="MJ407" s="4"/>
      <c r="MK407" s="4"/>
      <c r="ML407" s="4"/>
      <c r="MM407" s="4"/>
      <c r="MN407" s="5"/>
      <c r="MO407" s="6"/>
      <c r="MP407" s="4"/>
      <c r="MQ407" s="4"/>
      <c r="MR407" s="4"/>
      <c r="MS407" s="4"/>
      <c r="MT407" s="4"/>
      <c r="MU407" s="5"/>
      <c r="MV407" s="6"/>
      <c r="MW407" s="4"/>
      <c r="MX407" s="4"/>
      <c r="MY407" s="4"/>
      <c r="MZ407" s="4"/>
      <c r="NA407" s="4"/>
      <c r="NB407" s="5"/>
      <c r="NC407" s="6"/>
      <c r="ND407" s="4"/>
      <c r="NE407" s="4"/>
      <c r="NF407" s="4"/>
      <c r="NG407" s="4"/>
      <c r="NH407" s="4"/>
      <c r="NI407" s="5"/>
      <c r="NJ407" s="6"/>
      <c r="NK407" s="4"/>
      <c r="NL407" s="4"/>
      <c r="NM407" s="4"/>
      <c r="NN407" s="4"/>
      <c r="NO407" s="4"/>
      <c r="NP407" s="5"/>
      <c r="NQ407" s="6"/>
      <c r="NR407" s="4"/>
      <c r="NS407" s="4"/>
      <c r="NT407" s="4"/>
      <c r="NU407" s="4"/>
      <c r="NV407" s="4"/>
      <c r="NW407" s="5"/>
      <c r="NX407" s="6"/>
      <c r="NY407" s="4"/>
      <c r="NZ407" s="4"/>
      <c r="OA407" s="4"/>
      <c r="OB407" s="4"/>
      <c r="OC407" s="4"/>
      <c r="OD407" s="5"/>
      <c r="OE407" s="6"/>
      <c r="OF407" s="4"/>
      <c r="OG407" s="4"/>
      <c r="OH407" s="4"/>
      <c r="OI407" s="4"/>
      <c r="OJ407" s="4"/>
      <c r="OK407" s="5"/>
      <c r="OL407" s="6"/>
      <c r="OM407" s="4"/>
      <c r="ON407" s="4"/>
      <c r="OO407" s="4"/>
      <c r="OP407" s="4"/>
      <c r="OQ407" s="4"/>
      <c r="OR407" s="5"/>
      <c r="OS407" s="6"/>
      <c r="OT407" s="4"/>
      <c r="OU407" s="4"/>
      <c r="OV407" s="4"/>
      <c r="OW407" s="4"/>
      <c r="OX407" s="4"/>
      <c r="OY407" s="5"/>
      <c r="OZ407" s="6"/>
      <c r="PA407" s="4"/>
      <c r="PB407" s="4"/>
      <c r="PC407" s="4"/>
      <c r="PD407" s="4"/>
      <c r="PE407" s="4"/>
      <c r="PF407" s="5"/>
      <c r="PG407" s="6"/>
      <c r="PH407" s="4"/>
      <c r="PI407" s="4"/>
      <c r="PJ407" s="4"/>
      <c r="PK407" s="4"/>
      <c r="PL407" s="4"/>
      <c r="PM407" s="5"/>
      <c r="PN407" s="6"/>
      <c r="PO407" s="4"/>
      <c r="PP407" s="4"/>
      <c r="PQ407" s="4"/>
      <c r="PR407" s="4"/>
      <c r="PS407" s="4"/>
      <c r="PT407" s="5"/>
      <c r="PU407" s="6"/>
      <c r="PV407" s="4"/>
      <c r="PW407" s="4"/>
      <c r="PX407" s="4"/>
      <c r="PY407" s="4"/>
      <c r="PZ407" s="4"/>
      <c r="QA407" s="5"/>
      <c r="QB407" s="6"/>
      <c r="QC407" s="4"/>
      <c r="QD407" s="4"/>
      <c r="QE407" s="4"/>
      <c r="QF407" s="4"/>
      <c r="QG407" s="4"/>
      <c r="QH407" s="5"/>
      <c r="QI407" s="6"/>
      <c r="QJ407" s="4"/>
      <c r="QK407" s="4"/>
      <c r="QL407" s="4"/>
      <c r="QM407" s="4"/>
      <c r="QN407" s="4"/>
      <c r="QO407" s="5"/>
      <c r="QP407" s="6"/>
      <c r="QQ407" s="4"/>
      <c r="QR407" s="4"/>
      <c r="QS407" s="4"/>
      <c r="QT407" s="4"/>
      <c r="QU407" s="4"/>
      <c r="QV407" s="5"/>
      <c r="QW407" s="6"/>
      <c r="QX407" s="4"/>
      <c r="QY407" s="4"/>
      <c r="QZ407" s="4"/>
      <c r="RA407" s="4"/>
      <c r="RB407" s="4"/>
      <c r="RC407" s="5"/>
      <c r="RD407" s="6"/>
      <c r="RE407" s="4"/>
      <c r="RF407" s="4"/>
      <c r="RG407" s="4"/>
      <c r="RH407" s="4"/>
      <c r="RI407" s="4"/>
      <c r="RJ407" s="5"/>
      <c r="RK407" s="6"/>
      <c r="RL407" s="4"/>
      <c r="RM407" s="4"/>
      <c r="RN407" s="4"/>
      <c r="RO407" s="4"/>
      <c r="RP407" s="4"/>
      <c r="RQ407" s="5"/>
      <c r="RR407" s="6"/>
      <c r="RS407" s="4"/>
      <c r="RT407" s="4"/>
      <c r="RU407" s="4"/>
      <c r="RV407" s="4"/>
      <c r="RW407" s="4"/>
      <c r="RX407" s="5"/>
      <c r="RY407" s="6"/>
      <c r="RZ407" s="4"/>
      <c r="SA407" s="4"/>
      <c r="SB407" s="4"/>
      <c r="SC407" s="4"/>
      <c r="SD407" s="4"/>
      <c r="SE407" s="5"/>
      <c r="SF407" s="6"/>
      <c r="SG407" s="4"/>
      <c r="SH407" s="4"/>
      <c r="SI407" s="4"/>
      <c r="SJ407" s="4"/>
      <c r="SK407" s="4"/>
      <c r="SL407" s="5"/>
      <c r="SM407" s="6"/>
      <c r="SN407" s="4"/>
      <c r="SO407" s="4"/>
      <c r="SP407" s="4"/>
      <c r="SQ407" s="4"/>
      <c r="SR407" s="4"/>
      <c r="SS407" s="5"/>
      <c r="ST407" s="6"/>
      <c r="SU407" s="4"/>
      <c r="SV407" s="4"/>
      <c r="SW407" s="4"/>
      <c r="SX407" s="4"/>
      <c r="SY407" s="4"/>
      <c r="SZ407" s="5"/>
      <c r="TA407" s="6"/>
      <c r="TB407" s="4"/>
      <c r="TC407" s="4"/>
      <c r="TD407" s="4"/>
      <c r="TE407" s="4"/>
      <c r="TF407" s="4"/>
      <c r="TG407" s="5"/>
      <c r="TH407" s="6"/>
      <c r="TI407" s="4"/>
      <c r="TJ407" s="4"/>
      <c r="TK407" s="4"/>
      <c r="TL407" s="4"/>
      <c r="TM407" s="4"/>
      <c r="TN407" s="5"/>
      <c r="TO407" s="6"/>
      <c r="TP407" s="4"/>
      <c r="TQ407" s="4"/>
      <c r="TR407" s="4"/>
      <c r="TS407" s="4"/>
      <c r="TT407" s="4"/>
      <c r="TU407" s="5"/>
      <c r="TV407" s="6"/>
      <c r="TW407" s="4"/>
      <c r="TX407" s="4"/>
      <c r="TY407" s="4"/>
      <c r="TZ407" s="4"/>
      <c r="UA407" s="4"/>
      <c r="UB407" s="5"/>
      <c r="UC407" s="6"/>
      <c r="UD407" s="4"/>
      <c r="UE407" s="4"/>
      <c r="UF407" s="4"/>
      <c r="UG407" s="4"/>
      <c r="UH407" s="4"/>
      <c r="UI407" s="5"/>
      <c r="UJ407" s="6"/>
      <c r="UK407" s="4"/>
      <c r="UL407" s="4"/>
      <c r="UM407" s="4"/>
      <c r="UN407" s="4"/>
      <c r="UO407" s="4"/>
      <c r="UP407" s="5"/>
      <c r="UQ407" s="6"/>
      <c r="UR407" s="4"/>
      <c r="US407" s="4"/>
      <c r="UT407" s="4"/>
      <c r="UU407" s="4"/>
      <c r="UV407" s="4"/>
      <c r="UW407" s="5"/>
      <c r="UX407" s="6"/>
      <c r="UY407" s="4"/>
      <c r="UZ407" s="4"/>
      <c r="VA407" s="4"/>
      <c r="VB407" s="4"/>
      <c r="VC407" s="4"/>
      <c r="VD407" s="5"/>
      <c r="VE407" s="6"/>
      <c r="VF407" s="4"/>
      <c r="VG407" s="4"/>
      <c r="VH407" s="4"/>
      <c r="VI407" s="4"/>
      <c r="VJ407" s="4"/>
      <c r="VK407" s="5"/>
      <c r="VL407" s="6"/>
      <c r="VM407" s="4"/>
      <c r="VN407" s="4"/>
      <c r="VO407" s="4"/>
      <c r="VP407" s="4"/>
      <c r="VQ407" s="4"/>
      <c r="VR407" s="5"/>
      <c r="VS407" s="6"/>
      <c r="VT407" s="4"/>
      <c r="VU407" s="4"/>
      <c r="VV407" s="4"/>
      <c r="VW407" s="4"/>
      <c r="VX407" s="4"/>
      <c r="VY407" s="5"/>
      <c r="VZ407" s="6"/>
      <c r="WA407" s="4"/>
      <c r="WB407" s="4"/>
      <c r="WC407" s="4"/>
      <c r="WD407" s="4"/>
      <c r="WE407" s="4"/>
      <c r="WF407" s="5"/>
      <c r="WG407" s="6"/>
      <c r="WH407" s="4"/>
      <c r="WI407" s="4"/>
      <c r="WJ407" s="4"/>
      <c r="WK407" s="4"/>
      <c r="WL407" s="4"/>
      <c r="WM407" s="5"/>
      <c r="WN407" s="6"/>
      <c r="WO407" s="4"/>
      <c r="WP407" s="4"/>
      <c r="WQ407" s="4"/>
      <c r="WR407" s="4"/>
      <c r="WS407" s="4"/>
      <c r="WT407" s="5"/>
      <c r="WU407" s="6"/>
      <c r="WV407" s="4"/>
      <c r="WW407" s="4"/>
      <c r="WX407" s="4"/>
      <c r="WY407" s="4"/>
      <c r="WZ407" s="4"/>
      <c r="XA407" s="5"/>
      <c r="XB407" s="6"/>
      <c r="XC407" s="4"/>
      <c r="XD407" s="4"/>
      <c r="XE407" s="4"/>
      <c r="XF407" s="4"/>
      <c r="XG407" s="4"/>
      <c r="XH407" s="5"/>
      <c r="XI407" s="6"/>
      <c r="XJ407" s="4"/>
      <c r="XK407" s="4"/>
      <c r="XL407" s="4"/>
      <c r="XM407" s="4"/>
      <c r="XN407" s="4"/>
      <c r="XO407" s="5"/>
      <c r="XP407" s="6"/>
      <c r="XQ407" s="4"/>
      <c r="XR407" s="4"/>
      <c r="XS407" s="4"/>
      <c r="XT407" s="4"/>
      <c r="XU407" s="4"/>
      <c r="XV407" s="5"/>
      <c r="XW407" s="6"/>
      <c r="XX407" s="4"/>
      <c r="XY407" s="4"/>
      <c r="XZ407" s="4"/>
      <c r="YA407" s="4"/>
      <c r="YB407" s="4"/>
      <c r="YC407" s="5"/>
      <c r="YD407" s="6"/>
      <c r="YE407" s="4"/>
      <c r="YF407" s="4"/>
      <c r="YG407" s="4"/>
      <c r="YH407" s="4"/>
      <c r="YI407" s="4"/>
      <c r="YJ407" s="5"/>
      <c r="YK407" s="6"/>
      <c r="YL407" s="4"/>
      <c r="YM407" s="4"/>
      <c r="YN407" s="4"/>
      <c r="YO407" s="4"/>
      <c r="YP407" s="4"/>
      <c r="YQ407" s="5"/>
      <c r="YR407" s="6"/>
      <c r="YS407" s="4"/>
      <c r="YT407" s="4"/>
      <c r="YU407" s="4"/>
      <c r="YV407" s="4"/>
      <c r="YW407" s="4"/>
      <c r="YX407" s="5"/>
      <c r="YY407" s="6"/>
      <c r="YZ407" s="4"/>
      <c r="ZA407" s="4"/>
      <c r="ZB407" s="4"/>
      <c r="ZC407" s="4"/>
      <c r="ZD407" s="4"/>
      <c r="ZE407" s="5"/>
      <c r="ZF407" s="6"/>
      <c r="ZG407" s="4"/>
      <c r="ZH407" s="4"/>
      <c r="ZI407" s="4"/>
      <c r="ZJ407" s="4"/>
      <c r="ZK407" s="4"/>
      <c r="ZL407" s="5"/>
      <c r="ZM407" s="6"/>
      <c r="ZN407" s="4"/>
      <c r="ZO407" s="4"/>
      <c r="ZP407" s="4"/>
      <c r="ZQ407" s="4"/>
      <c r="ZR407" s="4"/>
      <c r="ZS407" s="5"/>
      <c r="ZT407" s="6"/>
      <c r="ZU407" s="4"/>
      <c r="ZV407" s="4"/>
      <c r="ZW407" s="4"/>
      <c r="ZX407" s="4"/>
      <c r="ZY407" s="4"/>
      <c r="ZZ407" s="5"/>
      <c r="AAA407" s="6"/>
      <c r="AAB407" s="4"/>
      <c r="AAC407" s="4"/>
      <c r="AAD407" s="4"/>
      <c r="AAE407" s="4"/>
      <c r="AAF407" s="4"/>
      <c r="AAG407" s="5"/>
      <c r="AAH407" s="6"/>
      <c r="AAI407" s="4"/>
      <c r="AAJ407" s="4"/>
      <c r="AAK407" s="4"/>
      <c r="AAL407" s="4"/>
      <c r="AAM407" s="4"/>
      <c r="AAN407" s="5"/>
      <c r="AAO407" s="6"/>
      <c r="AAP407" s="4"/>
      <c r="AAQ407" s="4"/>
      <c r="AAR407" s="4"/>
      <c r="AAS407" s="4"/>
      <c r="AAT407" s="4"/>
      <c r="AAU407" s="5"/>
      <c r="AAV407" s="6"/>
      <c r="AAW407" s="4"/>
      <c r="AAX407" s="4"/>
      <c r="AAY407" s="4"/>
      <c r="AAZ407" s="4"/>
      <c r="ABA407" s="4"/>
      <c r="ABB407" s="5"/>
      <c r="ABC407" s="6"/>
      <c r="ABD407" s="4"/>
      <c r="ABE407" s="4"/>
      <c r="ABF407" s="4"/>
      <c r="ABG407" s="4"/>
      <c r="ABH407" s="4"/>
      <c r="ABI407" s="5"/>
      <c r="ABJ407" s="6"/>
      <c r="ABK407" s="4"/>
      <c r="ABL407" s="4"/>
      <c r="ABM407" s="4"/>
      <c r="ABN407" s="4"/>
      <c r="ABO407" s="4"/>
      <c r="ABP407" s="5"/>
      <c r="ABQ407" s="6" t="s">
        <v>3230</v>
      </c>
      <c r="ABR407" s="4" t="s">
        <v>3230</v>
      </c>
      <c r="ABS407" s="4" t="s">
        <v>1701</v>
      </c>
      <c r="ABT407" s="7" t="s">
        <v>1702</v>
      </c>
      <c r="ABU407" s="8">
        <v>39362</v>
      </c>
      <c r="ABV407" s="8">
        <v>39384</v>
      </c>
      <c r="ABW407" s="5" t="s">
        <v>4141</v>
      </c>
      <c r="ABX407" s="6"/>
      <c r="ABY407" s="4"/>
      <c r="ABZ407" s="4"/>
      <c r="ACA407" s="4"/>
      <c r="ACB407" s="4"/>
      <c r="ACC407" s="4"/>
      <c r="ACD407" s="5"/>
      <c r="ACE407" s="6"/>
      <c r="ACF407" s="4"/>
      <c r="ACG407" s="4"/>
      <c r="ACH407" s="4"/>
      <c r="ACI407" s="4"/>
      <c r="ACJ407" s="4"/>
      <c r="ACK407" s="5"/>
      <c r="ACL407" s="6"/>
      <c r="ACM407" s="4"/>
      <c r="ACN407" s="4"/>
      <c r="ACO407" s="4"/>
      <c r="ACP407" s="4"/>
      <c r="ACQ407" s="4"/>
      <c r="ACR407" s="5"/>
      <c r="ACS407" s="6"/>
      <c r="ACT407" s="4"/>
      <c r="ACU407" s="4"/>
      <c r="ACV407" s="4"/>
      <c r="ACW407" s="4"/>
      <c r="ACX407" s="4"/>
      <c r="ACY407" s="5"/>
      <c r="ADG407" t="s">
        <v>4142</v>
      </c>
    </row>
    <row r="408" spans="1:824" x14ac:dyDescent="0.25">
      <c r="B408" s="29">
        <v>9003345</v>
      </c>
      <c r="C408" s="57">
        <v>78</v>
      </c>
      <c r="D408" t="s">
        <v>3729</v>
      </c>
      <c r="E408" t="s">
        <v>17</v>
      </c>
      <c r="F408" s="23">
        <v>1</v>
      </c>
      <c r="G408" s="31">
        <v>38883</v>
      </c>
      <c r="H408" s="23" t="s">
        <v>4143</v>
      </c>
      <c r="I408">
        <v>1</v>
      </c>
      <c r="J408" s="19">
        <v>38871</v>
      </c>
      <c r="K408" s="19" t="s">
        <v>4144</v>
      </c>
      <c r="L408" s="19"/>
      <c r="LL408" s="6"/>
      <c r="LM408" s="4"/>
      <c r="LN408" s="4"/>
      <c r="LO408" s="4"/>
      <c r="LP408" s="4"/>
      <c r="LQ408" s="4"/>
      <c r="LR408" s="5"/>
      <c r="LS408" s="6"/>
      <c r="LT408" s="4"/>
      <c r="LU408" s="4"/>
      <c r="LV408" s="4"/>
      <c r="LW408" s="4"/>
      <c r="LX408" s="4"/>
      <c r="LY408" s="5"/>
      <c r="LZ408" s="6" t="s">
        <v>1854</v>
      </c>
      <c r="MA408" s="7" t="s">
        <v>1759</v>
      </c>
      <c r="MB408" s="4"/>
      <c r="MC408" s="4"/>
      <c r="MD408" s="8">
        <v>38833</v>
      </c>
      <c r="ME408" s="4"/>
      <c r="MF408" s="4"/>
      <c r="MG408" s="5" t="s">
        <v>4145</v>
      </c>
      <c r="MH408" s="6"/>
      <c r="MI408" s="4"/>
      <c r="MJ408" s="4"/>
      <c r="MK408" s="4"/>
      <c r="ML408" s="4"/>
      <c r="MM408" s="4"/>
      <c r="MN408" s="5"/>
      <c r="MO408" s="6"/>
      <c r="MP408" s="4"/>
      <c r="MQ408" s="4"/>
      <c r="MR408" s="4"/>
      <c r="MS408" s="4"/>
      <c r="MT408" s="4"/>
      <c r="MU408" s="5"/>
      <c r="MV408" s="6"/>
      <c r="MW408" s="4"/>
      <c r="MX408" s="4"/>
      <c r="MY408" s="4"/>
      <c r="MZ408" s="4"/>
      <c r="NA408" s="4"/>
      <c r="NB408" s="5"/>
      <c r="NC408" s="6"/>
      <c r="ND408" s="4"/>
      <c r="NE408" s="4"/>
      <c r="NF408" s="4"/>
      <c r="NG408" s="4"/>
      <c r="NH408" s="4"/>
      <c r="NI408" s="5"/>
      <c r="NJ408" s="6"/>
      <c r="NK408" s="4"/>
      <c r="NL408" s="4"/>
      <c r="NM408" s="4"/>
      <c r="NN408" s="4"/>
      <c r="NO408" s="4"/>
      <c r="NP408" s="5"/>
      <c r="NQ408" s="6" t="s">
        <v>1855</v>
      </c>
      <c r="NR408" s="4" t="s">
        <v>3495</v>
      </c>
      <c r="NS408" s="4" t="s">
        <v>1930</v>
      </c>
      <c r="NT408" s="4"/>
      <c r="NU408" s="8">
        <v>38833</v>
      </c>
      <c r="NV408" s="4"/>
      <c r="NW408" s="5" t="s">
        <v>4045</v>
      </c>
      <c r="NX408" s="6" t="s">
        <v>1856</v>
      </c>
      <c r="NY408" s="4" t="s">
        <v>2011</v>
      </c>
      <c r="NZ408" s="4"/>
      <c r="OA408" s="4" t="s">
        <v>1930</v>
      </c>
      <c r="OB408" s="8">
        <v>38833</v>
      </c>
      <c r="OC408" s="4"/>
      <c r="OD408" s="5" t="s">
        <v>4046</v>
      </c>
      <c r="OE408" s="6"/>
      <c r="OF408" s="4"/>
      <c r="OG408" s="4"/>
      <c r="OH408" s="4"/>
      <c r="OI408" s="4"/>
      <c r="OJ408" s="4"/>
      <c r="OK408" s="5"/>
      <c r="OL408" s="6"/>
      <c r="OM408" s="4"/>
      <c r="ON408" s="4"/>
      <c r="OO408" s="4"/>
      <c r="OP408" s="4"/>
      <c r="OQ408" s="4"/>
      <c r="OR408" s="5"/>
      <c r="OS408" s="6"/>
      <c r="OT408" s="4"/>
      <c r="OU408" s="4"/>
      <c r="OV408" s="4"/>
      <c r="OW408" s="4"/>
      <c r="OX408" s="4"/>
      <c r="OY408" s="5"/>
      <c r="OZ408" s="6"/>
      <c r="PA408" s="4"/>
      <c r="PB408" s="4"/>
      <c r="PC408" s="4"/>
      <c r="PD408" s="4"/>
      <c r="PE408" s="4"/>
      <c r="PF408" s="5"/>
      <c r="PG408" s="6"/>
      <c r="PH408" s="4"/>
      <c r="PI408" s="4"/>
      <c r="PJ408" s="4"/>
      <c r="PK408" s="4"/>
      <c r="PL408" s="4"/>
      <c r="PM408" s="5"/>
      <c r="PN408" s="6"/>
      <c r="PO408" s="4"/>
      <c r="PP408" s="4"/>
      <c r="PQ408" s="4"/>
      <c r="PR408" s="4"/>
      <c r="PS408" s="4"/>
      <c r="PT408" s="5"/>
      <c r="PU408" s="6"/>
      <c r="PV408" s="4"/>
      <c r="PW408" s="4"/>
      <c r="PX408" s="4"/>
      <c r="PY408" s="4"/>
      <c r="PZ408" s="4"/>
      <c r="QA408" s="5"/>
      <c r="QB408" s="6"/>
      <c r="QC408" s="4"/>
      <c r="QD408" s="4"/>
      <c r="QE408" s="4"/>
      <c r="QF408" s="4"/>
      <c r="QG408" s="4"/>
      <c r="QH408" s="5"/>
      <c r="QI408" s="6"/>
      <c r="QJ408" s="4"/>
      <c r="QK408" s="4"/>
      <c r="QL408" s="4"/>
      <c r="QM408" s="4"/>
      <c r="QN408" s="4"/>
      <c r="QO408" s="5"/>
      <c r="QP408" s="6"/>
      <c r="QQ408" s="4"/>
      <c r="QR408" s="4"/>
      <c r="QS408" s="4"/>
      <c r="QT408" s="4"/>
      <c r="QU408" s="4"/>
      <c r="QV408" s="5"/>
      <c r="QW408" s="6"/>
      <c r="QX408" s="4"/>
      <c r="QY408" s="4"/>
      <c r="QZ408" s="4"/>
      <c r="RA408" s="4"/>
      <c r="RB408" s="4"/>
      <c r="RC408" s="5"/>
      <c r="RD408" s="6"/>
      <c r="RE408" s="4"/>
      <c r="RF408" s="4"/>
      <c r="RG408" s="4"/>
      <c r="RH408" s="4"/>
      <c r="RI408" s="4"/>
      <c r="RJ408" s="5"/>
      <c r="RK408" s="6"/>
      <c r="RL408" s="4"/>
      <c r="RM408" s="4"/>
      <c r="RN408" s="4"/>
      <c r="RO408" s="4"/>
      <c r="RP408" s="4"/>
      <c r="RQ408" s="5"/>
      <c r="RR408" s="6"/>
      <c r="RS408" s="4"/>
      <c r="RT408" s="4"/>
      <c r="RU408" s="4"/>
      <c r="RV408" s="4"/>
      <c r="RW408" s="4"/>
      <c r="RX408" s="5"/>
      <c r="RY408" s="6"/>
      <c r="RZ408" s="4"/>
      <c r="SA408" s="4"/>
      <c r="SB408" s="4"/>
      <c r="SC408" s="4"/>
      <c r="SD408" s="4"/>
      <c r="SE408" s="5"/>
      <c r="SF408" s="6"/>
      <c r="SG408" s="4"/>
      <c r="SH408" s="4"/>
      <c r="SI408" s="4"/>
      <c r="SJ408" s="4"/>
      <c r="SK408" s="4"/>
      <c r="SL408" s="5"/>
      <c r="SM408" s="6"/>
      <c r="SN408" s="4"/>
      <c r="SO408" s="4"/>
      <c r="SP408" s="4"/>
      <c r="SQ408" s="4"/>
      <c r="SR408" s="4"/>
      <c r="SS408" s="5"/>
      <c r="ST408" s="6"/>
      <c r="SU408" s="4"/>
      <c r="SV408" s="4"/>
      <c r="SW408" s="4"/>
      <c r="SX408" s="4"/>
      <c r="SY408" s="4"/>
      <c r="SZ408" s="5"/>
      <c r="TA408" s="6"/>
      <c r="TB408" s="4"/>
      <c r="TC408" s="4"/>
      <c r="TD408" s="4"/>
      <c r="TE408" s="4"/>
      <c r="TF408" s="4"/>
      <c r="TG408" s="5"/>
      <c r="TH408" s="6"/>
      <c r="TI408" s="4"/>
      <c r="TJ408" s="4"/>
      <c r="TK408" s="4"/>
      <c r="TL408" s="4"/>
      <c r="TM408" s="4"/>
      <c r="TN408" s="5"/>
      <c r="TO408" s="6"/>
      <c r="TP408" s="4"/>
      <c r="TQ408" s="4"/>
      <c r="TR408" s="4"/>
      <c r="TS408" s="4"/>
      <c r="TT408" s="4"/>
      <c r="TU408" s="5"/>
      <c r="TV408" s="6"/>
      <c r="TW408" s="4"/>
      <c r="TX408" s="4"/>
      <c r="TY408" s="4"/>
      <c r="TZ408" s="4"/>
      <c r="UA408" s="4"/>
      <c r="UB408" s="5"/>
      <c r="UC408" s="6"/>
      <c r="UD408" s="4"/>
      <c r="UE408" s="4"/>
      <c r="UF408" s="4"/>
      <c r="UG408" s="4"/>
      <c r="UH408" s="4"/>
      <c r="UI408" s="5"/>
      <c r="UJ408" s="6"/>
      <c r="UK408" s="4"/>
      <c r="UL408" s="4"/>
      <c r="UM408" s="4"/>
      <c r="UN408" s="4"/>
      <c r="UO408" s="4"/>
      <c r="UP408" s="5"/>
      <c r="UQ408" s="6"/>
      <c r="UR408" s="4"/>
      <c r="US408" s="4"/>
      <c r="UT408" s="4"/>
      <c r="UU408" s="4"/>
      <c r="UV408" s="4"/>
      <c r="UW408" s="5"/>
      <c r="UX408" s="6"/>
      <c r="UY408" s="4"/>
      <c r="UZ408" s="4"/>
      <c r="VA408" s="4"/>
      <c r="VB408" s="4"/>
      <c r="VC408" s="4"/>
      <c r="VD408" s="5"/>
      <c r="VE408" s="6"/>
      <c r="VF408" s="4"/>
      <c r="VG408" s="4"/>
      <c r="VH408" s="4"/>
      <c r="VI408" s="4"/>
      <c r="VJ408" s="4"/>
      <c r="VK408" s="5"/>
      <c r="VL408" s="6"/>
      <c r="VM408" s="4"/>
      <c r="VN408" s="4"/>
      <c r="VO408" s="4"/>
      <c r="VP408" s="4"/>
      <c r="VQ408" s="4"/>
      <c r="VR408" s="5"/>
      <c r="VS408" s="6"/>
      <c r="VT408" s="4"/>
      <c r="VU408" s="4"/>
      <c r="VV408" s="4"/>
      <c r="VW408" s="4"/>
      <c r="VX408" s="4"/>
      <c r="VY408" s="5"/>
      <c r="VZ408" s="6"/>
      <c r="WA408" s="4"/>
      <c r="WB408" s="4"/>
      <c r="WC408" s="4"/>
      <c r="WD408" s="4"/>
      <c r="WE408" s="4"/>
      <c r="WF408" s="5"/>
      <c r="WG408" s="6"/>
      <c r="WH408" s="4"/>
      <c r="WI408" s="4"/>
      <c r="WJ408" s="4"/>
      <c r="WK408" s="4"/>
      <c r="WL408" s="4"/>
      <c r="WM408" s="5"/>
      <c r="WN408" s="6"/>
      <c r="WO408" s="4"/>
      <c r="WP408" s="4"/>
      <c r="WQ408" s="4"/>
      <c r="WR408" s="4"/>
      <c r="WS408" s="4"/>
      <c r="WT408" s="5"/>
      <c r="WU408" s="6"/>
      <c r="WV408" s="4"/>
      <c r="WW408" s="4"/>
      <c r="WX408" s="4"/>
      <c r="WY408" s="4"/>
      <c r="WZ408" s="4"/>
      <c r="XA408" s="5"/>
      <c r="XB408" s="6"/>
      <c r="XC408" s="4"/>
      <c r="XD408" s="4"/>
      <c r="XE408" s="4"/>
      <c r="XF408" s="4"/>
      <c r="XG408" s="4"/>
      <c r="XH408" s="5"/>
      <c r="XI408" s="6"/>
      <c r="XJ408" s="4"/>
      <c r="XK408" s="4"/>
      <c r="XL408" s="4"/>
      <c r="XM408" s="4"/>
      <c r="XN408" s="4"/>
      <c r="XO408" s="5"/>
      <c r="XP408" s="6"/>
      <c r="XQ408" s="4"/>
      <c r="XR408" s="4"/>
      <c r="XS408" s="4"/>
      <c r="XT408" s="4"/>
      <c r="XU408" s="4"/>
      <c r="XV408" s="5"/>
      <c r="XW408" s="6"/>
      <c r="XX408" s="4"/>
      <c r="XY408" s="4"/>
      <c r="XZ408" s="4"/>
      <c r="YA408" s="4"/>
      <c r="YB408" s="4"/>
      <c r="YC408" s="5"/>
      <c r="YD408" s="6"/>
      <c r="YE408" s="4"/>
      <c r="YF408" s="4"/>
      <c r="YG408" s="4"/>
      <c r="YH408" s="4"/>
      <c r="YI408" s="4"/>
      <c r="YJ408" s="5"/>
      <c r="YK408" s="6"/>
      <c r="YL408" s="4"/>
      <c r="YM408" s="4"/>
      <c r="YN408" s="4"/>
      <c r="YO408" s="4"/>
      <c r="YP408" s="4"/>
      <c r="YQ408" s="5"/>
      <c r="YR408" s="6"/>
      <c r="YS408" s="4"/>
      <c r="YT408" s="4"/>
      <c r="YU408" s="4"/>
      <c r="YV408" s="4"/>
      <c r="YW408" s="4"/>
      <c r="YX408" s="5"/>
      <c r="YY408" s="6"/>
      <c r="YZ408" s="4"/>
      <c r="ZA408" s="4"/>
      <c r="ZB408" s="4"/>
      <c r="ZC408" s="4"/>
      <c r="ZD408" s="4"/>
      <c r="ZE408" s="5"/>
      <c r="ZF408" s="6"/>
      <c r="ZG408" s="4"/>
      <c r="ZH408" s="4"/>
      <c r="ZI408" s="4"/>
      <c r="ZJ408" s="4"/>
      <c r="ZK408" s="4"/>
      <c r="ZL408" s="5"/>
      <c r="ZM408" s="6"/>
      <c r="ZN408" s="4"/>
      <c r="ZO408" s="4"/>
      <c r="ZP408" s="4"/>
      <c r="ZQ408" s="4"/>
      <c r="ZR408" s="4"/>
      <c r="ZS408" s="5"/>
      <c r="ZT408" s="6"/>
      <c r="ZU408" s="4"/>
      <c r="ZV408" s="4"/>
      <c r="ZW408" s="4"/>
      <c r="ZX408" s="4"/>
      <c r="ZY408" s="4"/>
      <c r="ZZ408" s="5"/>
      <c r="AAA408" s="6"/>
      <c r="AAB408" s="4"/>
      <c r="AAC408" s="4"/>
      <c r="AAD408" s="4"/>
      <c r="AAE408" s="4"/>
      <c r="AAF408" s="4"/>
      <c r="AAG408" s="5"/>
      <c r="AAH408" s="6"/>
      <c r="AAI408" s="4"/>
      <c r="AAJ408" s="4"/>
      <c r="AAK408" s="4"/>
      <c r="AAL408" s="4"/>
      <c r="AAM408" s="4"/>
      <c r="AAN408" s="5"/>
      <c r="AAO408" s="6"/>
      <c r="AAP408" s="4"/>
      <c r="AAQ408" s="4"/>
      <c r="AAR408" s="4"/>
      <c r="AAS408" s="4"/>
      <c r="AAT408" s="4"/>
      <c r="AAU408" s="5"/>
      <c r="AAV408" s="6"/>
      <c r="AAW408" s="4"/>
      <c r="AAX408" s="4"/>
      <c r="AAY408" s="4"/>
      <c r="AAZ408" s="4"/>
      <c r="ABA408" s="4"/>
      <c r="ABB408" s="5"/>
      <c r="ABC408" s="6"/>
      <c r="ABD408" s="4"/>
      <c r="ABE408" s="4"/>
      <c r="ABF408" s="4"/>
      <c r="ABG408" s="4"/>
      <c r="ABH408" s="4"/>
      <c r="ABI408" s="5"/>
      <c r="ABJ408" s="6"/>
      <c r="ABK408" s="4"/>
      <c r="ABL408" s="4"/>
      <c r="ABM408" s="4"/>
      <c r="ABN408" s="4"/>
      <c r="ABO408" s="4"/>
      <c r="ABP408" s="5"/>
      <c r="ABQ408" s="6"/>
      <c r="ABR408" s="4"/>
      <c r="ABS408" s="4"/>
      <c r="ABT408" s="4"/>
      <c r="ABU408" s="4"/>
      <c r="ABV408" s="4"/>
      <c r="ABW408" s="5"/>
      <c r="ABX408" s="6"/>
      <c r="ABY408" s="4"/>
      <c r="ABZ408" s="4"/>
      <c r="ACA408" s="4"/>
      <c r="ACB408" s="4"/>
      <c r="ACC408" s="4"/>
      <c r="ACD408" s="5"/>
      <c r="ACE408" s="6"/>
      <c r="ACF408" s="4"/>
      <c r="ACG408" s="4"/>
      <c r="ACH408" s="4"/>
      <c r="ACI408" s="4"/>
      <c r="ACJ408" s="4"/>
      <c r="ACK408" s="5"/>
      <c r="ACL408" s="6"/>
      <c r="ACM408" s="4"/>
      <c r="ACN408" s="4"/>
      <c r="ACO408" s="4"/>
      <c r="ACP408" s="4"/>
      <c r="ACQ408" s="4"/>
      <c r="ACR408" s="5"/>
      <c r="ACS408" s="6"/>
      <c r="ACT408" s="4"/>
      <c r="ACU408" s="4"/>
      <c r="ACV408" s="4"/>
      <c r="ACW408" s="4"/>
      <c r="ACX408" s="4"/>
      <c r="ACY408" s="5"/>
      <c r="ADJ408" t="s">
        <v>4047</v>
      </c>
      <c r="ADN408" t="s">
        <v>4048</v>
      </c>
      <c r="ADY408" t="s">
        <v>4049</v>
      </c>
    </row>
    <row r="409" spans="1:824" x14ac:dyDescent="0.25">
      <c r="J409" s="12"/>
      <c r="K409" s="12"/>
      <c r="L409" s="12"/>
      <c r="LL409" s="6"/>
      <c r="LM409" s="4"/>
      <c r="LN409" s="4"/>
      <c r="LO409" s="4"/>
      <c r="LP409" s="4"/>
      <c r="LQ409" s="4"/>
      <c r="LR409" s="5"/>
      <c r="LS409" s="6"/>
      <c r="LT409" s="4"/>
      <c r="LU409" s="4"/>
      <c r="LV409" s="4"/>
      <c r="LW409" s="4"/>
      <c r="LX409" s="4"/>
      <c r="LY409" s="5"/>
      <c r="LZ409" s="6" t="s">
        <v>1921</v>
      </c>
      <c r="MA409" s="7" t="s">
        <v>1921</v>
      </c>
      <c r="MB409" s="4"/>
      <c r="MC409" s="7" t="s">
        <v>1690</v>
      </c>
      <c r="MD409" s="8">
        <v>38869</v>
      </c>
      <c r="ME409" s="8">
        <v>38870</v>
      </c>
      <c r="MF409" s="8" t="s">
        <v>4139</v>
      </c>
      <c r="MG409" s="5" t="s">
        <v>4146</v>
      </c>
      <c r="MH409" s="6"/>
      <c r="MI409" s="4"/>
      <c r="MJ409" s="4"/>
      <c r="MK409" s="4"/>
      <c r="ML409" s="4"/>
      <c r="MM409" s="4"/>
      <c r="MN409" s="5"/>
      <c r="MO409" s="6"/>
      <c r="MP409" s="4"/>
      <c r="MQ409" s="4"/>
      <c r="MR409" s="4"/>
      <c r="MS409" s="4"/>
      <c r="MT409" s="4"/>
      <c r="MU409" s="5"/>
      <c r="MV409" s="6"/>
      <c r="MW409" s="4"/>
      <c r="MX409" s="4"/>
      <c r="MY409" s="4"/>
      <c r="MZ409" s="4"/>
      <c r="NA409" s="4"/>
      <c r="NB409" s="5"/>
      <c r="NC409" s="6"/>
      <c r="ND409" s="4"/>
      <c r="NE409" s="4"/>
      <c r="NF409" s="4"/>
      <c r="NG409" s="4"/>
      <c r="NH409" s="4"/>
      <c r="NI409" s="5"/>
      <c r="NJ409" s="6"/>
      <c r="NK409" s="4"/>
      <c r="NL409" s="4"/>
      <c r="NM409" s="4"/>
      <c r="NN409" s="4"/>
      <c r="NO409" s="4"/>
      <c r="NP409" s="5"/>
      <c r="NQ409" s="6"/>
      <c r="NR409" s="4"/>
      <c r="NS409" s="4"/>
      <c r="NT409" s="4"/>
      <c r="NU409" s="4"/>
      <c r="NV409" s="4"/>
      <c r="NW409" s="5"/>
      <c r="NX409" s="6"/>
      <c r="NY409" s="4"/>
      <c r="NZ409" s="4"/>
      <c r="OA409" s="4"/>
      <c r="OB409" s="4"/>
      <c r="OC409" s="4"/>
      <c r="OD409" s="5"/>
      <c r="OE409" s="6"/>
      <c r="OF409" s="4"/>
      <c r="OG409" s="4"/>
      <c r="OH409" s="4"/>
      <c r="OI409" s="4"/>
      <c r="OJ409" s="4"/>
      <c r="OK409" s="5"/>
      <c r="OL409" s="6"/>
      <c r="OM409" s="4"/>
      <c r="ON409" s="4"/>
      <c r="OO409" s="4"/>
      <c r="OP409" s="4"/>
      <c r="OQ409" s="4"/>
      <c r="OR409" s="5"/>
      <c r="OS409" s="6"/>
      <c r="OT409" s="4"/>
      <c r="OU409" s="4"/>
      <c r="OV409" s="4"/>
      <c r="OW409" s="4"/>
      <c r="OX409" s="4"/>
      <c r="OY409" s="5"/>
      <c r="OZ409" s="6"/>
      <c r="PA409" s="4"/>
      <c r="PB409" s="4"/>
      <c r="PC409" s="4"/>
      <c r="PD409" s="4"/>
      <c r="PE409" s="4"/>
      <c r="PF409" s="5"/>
      <c r="PG409" s="6"/>
      <c r="PH409" s="4"/>
      <c r="PI409" s="4"/>
      <c r="PJ409" s="4"/>
      <c r="PK409" s="4"/>
      <c r="PL409" s="4"/>
      <c r="PM409" s="5"/>
      <c r="PN409" s="6"/>
      <c r="PO409" s="4"/>
      <c r="PP409" s="4"/>
      <c r="PQ409" s="4"/>
      <c r="PR409" s="4"/>
      <c r="PS409" s="4"/>
      <c r="PT409" s="5"/>
      <c r="PU409" s="6"/>
      <c r="PV409" s="4"/>
      <c r="PW409" s="4"/>
      <c r="PX409" s="4"/>
      <c r="PY409" s="4"/>
      <c r="PZ409" s="4"/>
      <c r="QA409" s="5"/>
      <c r="QB409" s="6"/>
      <c r="QC409" s="4"/>
      <c r="QD409" s="4"/>
      <c r="QE409" s="4"/>
      <c r="QF409" s="4"/>
      <c r="QG409" s="4"/>
      <c r="QH409" s="5"/>
      <c r="QI409" s="6"/>
      <c r="QJ409" s="4"/>
      <c r="QK409" s="4"/>
      <c r="QL409" s="4"/>
      <c r="QM409" s="4"/>
      <c r="QN409" s="4"/>
      <c r="QO409" s="5"/>
      <c r="QP409" s="6"/>
      <c r="QQ409" s="4"/>
      <c r="QR409" s="4"/>
      <c r="QS409" s="4"/>
      <c r="QT409" s="4"/>
      <c r="QU409" s="4"/>
      <c r="QV409" s="5"/>
      <c r="QW409" s="6"/>
      <c r="QX409" s="4"/>
      <c r="QY409" s="4"/>
      <c r="QZ409" s="4"/>
      <c r="RA409" s="4"/>
      <c r="RB409" s="4"/>
      <c r="RC409" s="5"/>
      <c r="RD409" s="6"/>
      <c r="RE409" s="4"/>
      <c r="RF409" s="4"/>
      <c r="RG409" s="4"/>
      <c r="RH409" s="4"/>
      <c r="RI409" s="4"/>
      <c r="RJ409" s="5"/>
      <c r="RK409" s="6"/>
      <c r="RL409" s="4"/>
      <c r="RM409" s="4"/>
      <c r="RN409" s="4"/>
      <c r="RO409" s="4"/>
      <c r="RP409" s="4"/>
      <c r="RQ409" s="5"/>
      <c r="RR409" s="6"/>
      <c r="RS409" s="4"/>
      <c r="RT409" s="4"/>
      <c r="RU409" s="4"/>
      <c r="RV409" s="4"/>
      <c r="RW409" s="4"/>
      <c r="RX409" s="5"/>
      <c r="RY409" s="6"/>
      <c r="RZ409" s="4"/>
      <c r="SA409" s="4"/>
      <c r="SB409" s="4"/>
      <c r="SC409" s="4"/>
      <c r="SD409" s="4"/>
      <c r="SE409" s="5"/>
      <c r="SF409" s="6"/>
      <c r="SG409" s="4"/>
      <c r="SH409" s="4"/>
      <c r="SI409" s="4"/>
      <c r="SJ409" s="4"/>
      <c r="SK409" s="4"/>
      <c r="SL409" s="5"/>
      <c r="SM409" s="6"/>
      <c r="SN409" s="4"/>
      <c r="SO409" s="4"/>
      <c r="SP409" s="4"/>
      <c r="SQ409" s="4"/>
      <c r="SR409" s="4"/>
      <c r="SS409" s="5"/>
      <c r="ST409" s="6"/>
      <c r="SU409" s="4"/>
      <c r="SV409" s="4"/>
      <c r="SW409" s="4"/>
      <c r="SX409" s="4"/>
      <c r="SY409" s="4"/>
      <c r="SZ409" s="5"/>
      <c r="TA409" s="6"/>
      <c r="TB409" s="4"/>
      <c r="TC409" s="4"/>
      <c r="TD409" s="4"/>
      <c r="TE409" s="4"/>
      <c r="TF409" s="4"/>
      <c r="TG409" s="5"/>
      <c r="TH409" s="6"/>
      <c r="TI409" s="4"/>
      <c r="TJ409" s="4"/>
      <c r="TK409" s="4"/>
      <c r="TL409" s="4"/>
      <c r="TM409" s="4"/>
      <c r="TN409" s="5"/>
      <c r="TO409" s="6"/>
      <c r="TP409" s="4"/>
      <c r="TQ409" s="4"/>
      <c r="TR409" s="4"/>
      <c r="TS409" s="4"/>
      <c r="TT409" s="4"/>
      <c r="TU409" s="5"/>
      <c r="TV409" s="6"/>
      <c r="TW409" s="4"/>
      <c r="TX409" s="4"/>
      <c r="TY409" s="4"/>
      <c r="TZ409" s="4"/>
      <c r="UA409" s="4"/>
      <c r="UB409" s="5"/>
      <c r="UC409" s="6"/>
      <c r="UD409" s="4"/>
      <c r="UE409" s="4"/>
      <c r="UF409" s="4"/>
      <c r="UG409" s="4"/>
      <c r="UH409" s="4"/>
      <c r="UI409" s="5"/>
      <c r="UJ409" s="6"/>
      <c r="UK409" s="4"/>
      <c r="UL409" s="4"/>
      <c r="UM409" s="4"/>
      <c r="UN409" s="4"/>
      <c r="UO409" s="4"/>
      <c r="UP409" s="5"/>
      <c r="UQ409" s="6"/>
      <c r="UR409" s="4"/>
      <c r="US409" s="4"/>
      <c r="UT409" s="4"/>
      <c r="UU409" s="4"/>
      <c r="UV409" s="4"/>
      <c r="UW409" s="5"/>
      <c r="UX409" s="6"/>
      <c r="UY409" s="4"/>
      <c r="UZ409" s="4"/>
      <c r="VA409" s="4"/>
      <c r="VB409" s="4"/>
      <c r="VC409" s="4"/>
      <c r="VD409" s="5"/>
      <c r="VE409" s="6"/>
      <c r="VF409" s="4"/>
      <c r="VG409" s="4"/>
      <c r="VH409" s="4"/>
      <c r="VI409" s="4"/>
      <c r="VJ409" s="4"/>
      <c r="VK409" s="5"/>
      <c r="VL409" s="6"/>
      <c r="VM409" s="4"/>
      <c r="VN409" s="4"/>
      <c r="VO409" s="4"/>
      <c r="VP409" s="4"/>
      <c r="VQ409" s="4"/>
      <c r="VR409" s="5"/>
      <c r="VS409" s="6"/>
      <c r="VT409" s="4"/>
      <c r="VU409" s="4"/>
      <c r="VV409" s="4"/>
      <c r="VW409" s="4"/>
      <c r="VX409" s="4"/>
      <c r="VY409" s="5"/>
      <c r="VZ409" s="6"/>
      <c r="WA409" s="4"/>
      <c r="WB409" s="4"/>
      <c r="WC409" s="4"/>
      <c r="WD409" s="4"/>
      <c r="WE409" s="4"/>
      <c r="WF409" s="5"/>
      <c r="WG409" s="6"/>
      <c r="WH409" s="4"/>
      <c r="WI409" s="4"/>
      <c r="WJ409" s="4"/>
      <c r="WK409" s="4"/>
      <c r="WL409" s="4"/>
      <c r="WM409" s="5"/>
      <c r="WN409" s="6"/>
      <c r="WO409" s="4"/>
      <c r="WP409" s="4"/>
      <c r="WQ409" s="4"/>
      <c r="WR409" s="4"/>
      <c r="WS409" s="4"/>
      <c r="WT409" s="5"/>
      <c r="WU409" s="6"/>
      <c r="WV409" s="4"/>
      <c r="WW409" s="4"/>
      <c r="WX409" s="4"/>
      <c r="WY409" s="4"/>
      <c r="WZ409" s="4"/>
      <c r="XA409" s="5"/>
      <c r="XB409" s="6"/>
      <c r="XC409" s="4"/>
      <c r="XD409" s="4"/>
      <c r="XE409" s="4"/>
      <c r="XF409" s="4"/>
      <c r="XG409" s="4"/>
      <c r="XH409" s="5"/>
      <c r="XI409" s="6"/>
      <c r="XJ409" s="4"/>
      <c r="XK409" s="4"/>
      <c r="XL409" s="4"/>
      <c r="XM409" s="4"/>
      <c r="XN409" s="4"/>
      <c r="XO409" s="5"/>
      <c r="XP409" s="6"/>
      <c r="XQ409" s="4"/>
      <c r="XR409" s="4"/>
      <c r="XS409" s="4"/>
      <c r="XT409" s="4"/>
      <c r="XU409" s="4"/>
      <c r="XV409" s="5"/>
      <c r="XW409" s="6"/>
      <c r="XX409" s="4"/>
      <c r="XY409" s="4"/>
      <c r="XZ409" s="4"/>
      <c r="YA409" s="4"/>
      <c r="YB409" s="4"/>
      <c r="YC409" s="5"/>
      <c r="YD409" s="6"/>
      <c r="YE409" s="4"/>
      <c r="YF409" s="4"/>
      <c r="YG409" s="4"/>
      <c r="YH409" s="4"/>
      <c r="YI409" s="4"/>
      <c r="YJ409" s="5"/>
      <c r="YK409" s="6"/>
      <c r="YL409" s="4"/>
      <c r="YM409" s="4"/>
      <c r="YN409" s="4"/>
      <c r="YO409" s="4"/>
      <c r="YP409" s="4"/>
      <c r="YQ409" s="5"/>
      <c r="YR409" s="6"/>
      <c r="YS409" s="4"/>
      <c r="YT409" s="4"/>
      <c r="YU409" s="4"/>
      <c r="YV409" s="4"/>
      <c r="YW409" s="4"/>
      <c r="YX409" s="5"/>
      <c r="YY409" s="6"/>
      <c r="YZ409" s="4"/>
      <c r="ZA409" s="4"/>
      <c r="ZB409" s="4"/>
      <c r="ZC409" s="4"/>
      <c r="ZD409" s="4"/>
      <c r="ZE409" s="5"/>
      <c r="ZF409" s="6"/>
      <c r="ZG409" s="4"/>
      <c r="ZH409" s="4"/>
      <c r="ZI409" s="4"/>
      <c r="ZJ409" s="4"/>
      <c r="ZK409" s="4"/>
      <c r="ZL409" s="5"/>
      <c r="ZM409" s="6"/>
      <c r="ZN409" s="4"/>
      <c r="ZO409" s="4"/>
      <c r="ZP409" s="4"/>
      <c r="ZQ409" s="4"/>
      <c r="ZR409" s="4"/>
      <c r="ZS409" s="5"/>
      <c r="ZT409" s="6"/>
      <c r="ZU409" s="4"/>
      <c r="ZV409" s="4"/>
      <c r="ZW409" s="4"/>
      <c r="ZX409" s="4"/>
      <c r="ZY409" s="4"/>
      <c r="ZZ409" s="5"/>
      <c r="AAA409" s="6"/>
      <c r="AAB409" s="4"/>
      <c r="AAC409" s="4"/>
      <c r="AAD409" s="4"/>
      <c r="AAE409" s="4"/>
      <c r="AAF409" s="4"/>
      <c r="AAG409" s="5"/>
      <c r="AAH409" s="6"/>
      <c r="AAI409" s="4"/>
      <c r="AAJ409" s="4"/>
      <c r="AAK409" s="4"/>
      <c r="AAL409" s="4"/>
      <c r="AAM409" s="4"/>
      <c r="AAN409" s="5"/>
      <c r="AAO409" s="6"/>
      <c r="AAP409" s="4"/>
      <c r="AAQ409" s="4"/>
      <c r="AAR409" s="4"/>
      <c r="AAS409" s="4"/>
      <c r="AAT409" s="4"/>
      <c r="AAU409" s="5"/>
      <c r="AAV409" s="6"/>
      <c r="AAW409" s="4"/>
      <c r="AAX409" s="4"/>
      <c r="AAY409" s="4"/>
      <c r="AAZ409" s="4"/>
      <c r="ABA409" s="4"/>
      <c r="ABB409" s="5"/>
      <c r="ABC409" s="6"/>
      <c r="ABD409" s="4"/>
      <c r="ABE409" s="4"/>
      <c r="ABF409" s="4"/>
      <c r="ABG409" s="4"/>
      <c r="ABH409" s="4"/>
      <c r="ABI409" s="5"/>
      <c r="ABJ409" s="6"/>
      <c r="ABK409" s="4"/>
      <c r="ABL409" s="4"/>
      <c r="ABM409" s="4"/>
      <c r="ABN409" s="4"/>
      <c r="ABO409" s="4"/>
      <c r="ABP409" s="5"/>
      <c r="ABQ409" s="6"/>
      <c r="ABR409" s="4"/>
      <c r="ABS409" s="4"/>
      <c r="ABT409" s="4"/>
      <c r="ABU409" s="4"/>
      <c r="ABV409" s="4"/>
      <c r="ABW409" s="5"/>
      <c r="ABX409" s="6"/>
      <c r="ABY409" s="4"/>
      <c r="ABZ409" s="4"/>
      <c r="ACA409" s="4"/>
      <c r="ACB409" s="4"/>
      <c r="ACC409" s="4"/>
      <c r="ACD409" s="5"/>
      <c r="ACE409" s="6"/>
      <c r="ACF409" s="4"/>
      <c r="ACG409" s="4"/>
      <c r="ACH409" s="4"/>
      <c r="ACI409" s="4"/>
      <c r="ACJ409" s="4"/>
      <c r="ACK409" s="5"/>
      <c r="ACL409" s="6"/>
      <c r="ACM409" s="4"/>
      <c r="ACN409" s="4"/>
      <c r="ACO409" s="4"/>
      <c r="ACP409" s="4"/>
      <c r="ACQ409" s="4"/>
      <c r="ACR409" s="5"/>
      <c r="ACS409" s="6"/>
      <c r="ACT409" s="4"/>
      <c r="ACU409" s="4"/>
      <c r="ACV409" s="4"/>
      <c r="ACW409" s="4"/>
      <c r="ACX409" s="4"/>
      <c r="ACY409" s="5"/>
    </row>
    <row r="410" spans="1:824" x14ac:dyDescent="0.25">
      <c r="B410" s="29">
        <v>9082268</v>
      </c>
      <c r="C410" s="57">
        <v>72</v>
      </c>
      <c r="D410" t="s">
        <v>2121</v>
      </c>
      <c r="E410" t="s">
        <v>1282</v>
      </c>
      <c r="F410" s="23">
        <v>0</v>
      </c>
      <c r="I410">
        <v>1</v>
      </c>
      <c r="J410" s="12"/>
      <c r="K410" s="12"/>
      <c r="L410" s="12"/>
      <c r="Q410">
        <v>1</v>
      </c>
      <c r="R410">
        <v>1</v>
      </c>
      <c r="S410">
        <v>1</v>
      </c>
      <c r="T410">
        <v>1</v>
      </c>
      <c r="AB410">
        <v>1</v>
      </c>
      <c r="AW410">
        <v>1</v>
      </c>
      <c r="BK410">
        <v>1</v>
      </c>
      <c r="CE410">
        <v>1</v>
      </c>
      <c r="GQ410">
        <v>1</v>
      </c>
      <c r="GR410">
        <v>1</v>
      </c>
      <c r="LL410" s="6"/>
      <c r="LM410" s="4"/>
      <c r="LN410" s="4"/>
      <c r="LO410" s="4"/>
      <c r="LP410" s="4"/>
      <c r="LQ410" s="4"/>
      <c r="LR410" s="5"/>
      <c r="LS410" s="6"/>
      <c r="LT410" s="4"/>
      <c r="LU410" s="4"/>
      <c r="LV410" s="4"/>
      <c r="LW410" s="4"/>
      <c r="LX410" s="4"/>
      <c r="LY410" s="5"/>
      <c r="LZ410" s="6" t="s">
        <v>1566</v>
      </c>
      <c r="MA410" s="7" t="s">
        <v>1380</v>
      </c>
      <c r="MB410" s="4"/>
      <c r="MC410" s="4" t="s">
        <v>1770</v>
      </c>
      <c r="MD410" s="8">
        <v>39953</v>
      </c>
      <c r="ME410" s="8">
        <v>39956</v>
      </c>
      <c r="MF410" s="8" t="s">
        <v>4050</v>
      </c>
      <c r="MG410" s="5" t="s">
        <v>4051</v>
      </c>
      <c r="MH410" s="6"/>
      <c r="MI410" s="4"/>
      <c r="MJ410" s="4"/>
      <c r="MK410" s="4"/>
      <c r="ML410" s="4"/>
      <c r="MM410" s="4"/>
      <c r="MN410" s="5"/>
      <c r="MO410" s="6"/>
      <c r="MP410" s="4"/>
      <c r="MQ410" s="4"/>
      <c r="MR410" s="4"/>
      <c r="MS410" s="4"/>
      <c r="MT410" s="4"/>
      <c r="MU410" s="5"/>
      <c r="MV410" s="6"/>
      <c r="MW410" s="4"/>
      <c r="MX410" s="4"/>
      <c r="MY410" s="4"/>
      <c r="MZ410" s="4"/>
      <c r="NA410" s="4"/>
      <c r="NB410" s="5"/>
      <c r="NC410" s="6"/>
      <c r="ND410" s="4"/>
      <c r="NE410" s="4"/>
      <c r="NF410" s="4"/>
      <c r="NG410" s="4"/>
      <c r="NH410" s="4"/>
      <c r="NI410" s="5"/>
      <c r="NJ410" s="6" t="s">
        <v>3248</v>
      </c>
      <c r="NK410" s="4" t="s">
        <v>3247</v>
      </c>
      <c r="NL410" s="4" t="s">
        <v>1565</v>
      </c>
      <c r="NM410" s="4"/>
      <c r="NN410" s="4"/>
      <c r="NO410" s="4"/>
      <c r="NP410" s="5"/>
      <c r="NQ410" s="6"/>
      <c r="NR410" s="4"/>
      <c r="NS410" s="4"/>
      <c r="NT410" s="4"/>
      <c r="NU410" s="4"/>
      <c r="NV410" s="4"/>
      <c r="NW410" s="5"/>
      <c r="NX410" s="6"/>
      <c r="NY410" s="4"/>
      <c r="NZ410" s="4"/>
      <c r="OA410" s="4"/>
      <c r="OB410" s="4"/>
      <c r="OC410" s="4"/>
      <c r="OD410" s="5"/>
      <c r="OE410" s="6"/>
      <c r="OF410" s="4"/>
      <c r="OG410" s="4"/>
      <c r="OH410" s="4"/>
      <c r="OI410" s="4"/>
      <c r="OJ410" s="4"/>
      <c r="OK410" s="5"/>
      <c r="OL410" s="6"/>
      <c r="OM410" s="4"/>
      <c r="ON410" s="4"/>
      <c r="OO410" s="4"/>
      <c r="OP410" s="4"/>
      <c r="OQ410" s="4"/>
      <c r="OR410" s="5"/>
      <c r="OS410" s="6"/>
      <c r="OT410" s="4"/>
      <c r="OU410" s="4"/>
      <c r="OV410" s="4"/>
      <c r="OW410" s="4"/>
      <c r="OX410" s="4"/>
      <c r="OY410" s="5"/>
      <c r="OZ410" s="6"/>
      <c r="PA410" s="4"/>
      <c r="PB410" s="4"/>
      <c r="PC410" s="4"/>
      <c r="PD410" s="4"/>
      <c r="PE410" s="4"/>
      <c r="PF410" s="5"/>
      <c r="PG410" s="6"/>
      <c r="PH410" s="4"/>
      <c r="PI410" s="4"/>
      <c r="PJ410" s="4"/>
      <c r="PK410" s="4"/>
      <c r="PL410" s="4"/>
      <c r="PM410" s="5"/>
      <c r="PN410" s="6"/>
      <c r="PO410" s="4"/>
      <c r="PP410" s="4"/>
      <c r="PQ410" s="4"/>
      <c r="PR410" s="4"/>
      <c r="PS410" s="4"/>
      <c r="PT410" s="5"/>
      <c r="PU410" s="6"/>
      <c r="PV410" s="4"/>
      <c r="PW410" s="4"/>
      <c r="PX410" s="4"/>
      <c r="PY410" s="4"/>
      <c r="PZ410" s="4"/>
      <c r="QA410" s="5"/>
      <c r="QB410" s="6"/>
      <c r="QC410" s="4"/>
      <c r="QD410" s="4"/>
      <c r="QE410" s="4"/>
      <c r="QF410" s="4"/>
      <c r="QG410" s="4"/>
      <c r="QH410" s="5"/>
      <c r="QI410" s="6"/>
      <c r="QJ410" s="4"/>
      <c r="QK410" s="4"/>
      <c r="QL410" s="4"/>
      <c r="QM410" s="4"/>
      <c r="QN410" s="4"/>
      <c r="QO410" s="5"/>
      <c r="QP410" s="6"/>
      <c r="QQ410" s="4"/>
      <c r="QR410" s="4"/>
      <c r="QS410" s="4"/>
      <c r="QT410" s="4"/>
      <c r="QU410" s="4"/>
      <c r="QV410" s="5"/>
      <c r="QW410" s="6"/>
      <c r="QX410" s="4"/>
      <c r="QY410" s="4"/>
      <c r="QZ410" s="4"/>
      <c r="RA410" s="4"/>
      <c r="RB410" s="4"/>
      <c r="RC410" s="5"/>
      <c r="RD410" s="6"/>
      <c r="RE410" s="4"/>
      <c r="RF410" s="4"/>
      <c r="RG410" s="4"/>
      <c r="RH410" s="4"/>
      <c r="RI410" s="4"/>
      <c r="RJ410" s="5"/>
      <c r="RK410" s="6"/>
      <c r="RL410" s="4"/>
      <c r="RM410" s="4"/>
      <c r="RN410" s="4"/>
      <c r="RO410" s="4"/>
      <c r="RP410" s="4"/>
      <c r="RQ410" s="5"/>
      <c r="RR410" s="6"/>
      <c r="RS410" s="4"/>
      <c r="RT410" s="4"/>
      <c r="RU410" s="4"/>
      <c r="RV410" s="4"/>
      <c r="RW410" s="4"/>
      <c r="RX410" s="5"/>
      <c r="RY410" s="6"/>
      <c r="RZ410" s="4"/>
      <c r="SA410" s="4"/>
      <c r="SB410" s="4"/>
      <c r="SC410" s="4"/>
      <c r="SD410" s="4"/>
      <c r="SE410" s="5"/>
      <c r="SF410" s="6"/>
      <c r="SG410" s="4"/>
      <c r="SH410" s="4"/>
      <c r="SI410" s="4"/>
      <c r="SJ410" s="4"/>
      <c r="SK410" s="4"/>
      <c r="SL410" s="5"/>
      <c r="SM410" s="6"/>
      <c r="SN410" s="4"/>
      <c r="SO410" s="4"/>
      <c r="SP410" s="4"/>
      <c r="SQ410" s="4"/>
      <c r="SR410" s="4"/>
      <c r="SS410" s="5"/>
      <c r="ST410" s="6"/>
      <c r="SU410" s="4"/>
      <c r="SV410" s="4"/>
      <c r="SW410" s="4"/>
      <c r="SX410" s="4"/>
      <c r="SY410" s="4"/>
      <c r="SZ410" s="5"/>
      <c r="TA410" s="6"/>
      <c r="TB410" s="4"/>
      <c r="TC410" s="4"/>
      <c r="TD410" s="4"/>
      <c r="TE410" s="4"/>
      <c r="TF410" s="4"/>
      <c r="TG410" s="5"/>
      <c r="TH410" s="6"/>
      <c r="TI410" s="4"/>
      <c r="TJ410" s="4"/>
      <c r="TK410" s="4"/>
      <c r="TL410" s="4"/>
      <c r="TM410" s="4"/>
      <c r="TN410" s="5"/>
      <c r="TO410" s="6"/>
      <c r="TP410" s="4"/>
      <c r="TQ410" s="4"/>
      <c r="TR410" s="4"/>
      <c r="TS410" s="4"/>
      <c r="TT410" s="4"/>
      <c r="TU410" s="5"/>
      <c r="TV410" s="6"/>
      <c r="TW410" s="4"/>
      <c r="TX410" s="4"/>
      <c r="TY410" s="4"/>
      <c r="TZ410" s="4"/>
      <c r="UA410" s="4"/>
      <c r="UB410" s="5"/>
      <c r="UC410" s="6"/>
      <c r="UD410" s="4"/>
      <c r="UE410" s="4"/>
      <c r="UF410" s="4"/>
      <c r="UG410" s="4"/>
      <c r="UH410" s="4"/>
      <c r="UI410" s="5"/>
      <c r="UJ410" s="6"/>
      <c r="UK410" s="4"/>
      <c r="UL410" s="4"/>
      <c r="UM410" s="4"/>
      <c r="UN410" s="4"/>
      <c r="UO410" s="4"/>
      <c r="UP410" s="5"/>
      <c r="UQ410" s="6"/>
      <c r="UR410" s="4"/>
      <c r="US410" s="4"/>
      <c r="UT410" s="4"/>
      <c r="UU410" s="4"/>
      <c r="UV410" s="4"/>
      <c r="UW410" s="5"/>
      <c r="UX410" s="6" t="s">
        <v>1722</v>
      </c>
      <c r="UY410" s="4" t="s">
        <v>1721</v>
      </c>
      <c r="UZ410" s="4" t="s">
        <v>1723</v>
      </c>
      <c r="VA410" s="4"/>
      <c r="VB410" s="4"/>
      <c r="VC410" s="4"/>
      <c r="VD410" s="5" t="s">
        <v>1998</v>
      </c>
      <c r="VE410" s="6" t="s">
        <v>3680</v>
      </c>
      <c r="VF410" s="4" t="s">
        <v>2333</v>
      </c>
      <c r="VG410" s="7" t="s">
        <v>1724</v>
      </c>
      <c r="VH410" s="4"/>
      <c r="VI410" s="4"/>
      <c r="VJ410" s="4"/>
      <c r="VK410" s="5"/>
      <c r="VL410" s="6" t="s">
        <v>3569</v>
      </c>
      <c r="VM410" s="4" t="s">
        <v>3569</v>
      </c>
      <c r="VN410" s="4" t="s">
        <v>1718</v>
      </c>
      <c r="VO410" s="4"/>
      <c r="VP410" s="4"/>
      <c r="VQ410" s="4"/>
      <c r="VR410" s="5" t="s">
        <v>4052</v>
      </c>
      <c r="VS410" s="6"/>
      <c r="VT410" s="4"/>
      <c r="VU410" s="4"/>
      <c r="VV410" s="4"/>
      <c r="VW410" s="4"/>
      <c r="VX410" s="4"/>
      <c r="VY410" s="5"/>
      <c r="VZ410" s="6"/>
      <c r="WA410" s="4"/>
      <c r="WB410" s="4"/>
      <c r="WC410" s="4"/>
      <c r="WD410" s="4"/>
      <c r="WE410" s="4"/>
      <c r="WF410" s="5"/>
      <c r="WG410" s="6"/>
      <c r="WH410" s="4"/>
      <c r="WI410" s="4"/>
      <c r="WJ410" s="4"/>
      <c r="WK410" s="4"/>
      <c r="WL410" s="4"/>
      <c r="WM410" s="5"/>
      <c r="WN410" s="6"/>
      <c r="WO410" s="4"/>
      <c r="WP410" s="4"/>
      <c r="WQ410" s="4"/>
      <c r="WR410" s="4"/>
      <c r="WS410" s="4"/>
      <c r="WT410" s="5"/>
      <c r="WU410" s="6"/>
      <c r="WV410" s="4"/>
      <c r="WW410" s="4"/>
      <c r="WX410" s="4"/>
      <c r="WY410" s="4"/>
      <c r="WZ410" s="4"/>
      <c r="XA410" s="5"/>
      <c r="XB410" s="6"/>
      <c r="XC410" s="4"/>
      <c r="XD410" s="4"/>
      <c r="XE410" s="4"/>
      <c r="XF410" s="4"/>
      <c r="XG410" s="4"/>
      <c r="XH410" s="5"/>
      <c r="XI410" s="6"/>
      <c r="XJ410" s="4"/>
      <c r="XK410" s="4"/>
      <c r="XL410" s="4"/>
      <c r="XM410" s="4"/>
      <c r="XN410" s="4"/>
      <c r="XO410" s="5"/>
      <c r="XP410" s="6"/>
      <c r="XQ410" s="4"/>
      <c r="XR410" s="4"/>
      <c r="XS410" s="4"/>
      <c r="XT410" s="4"/>
      <c r="XU410" s="4"/>
      <c r="XV410" s="5"/>
      <c r="XW410" s="6"/>
      <c r="XX410" s="4"/>
      <c r="XY410" s="4"/>
      <c r="XZ410" s="4"/>
      <c r="YA410" s="4"/>
      <c r="YB410" s="4"/>
      <c r="YC410" s="5"/>
      <c r="YD410" s="6"/>
      <c r="YE410" s="4"/>
      <c r="YF410" s="4"/>
      <c r="YG410" s="4"/>
      <c r="YH410" s="4"/>
      <c r="YI410" s="4"/>
      <c r="YJ410" s="5"/>
      <c r="YK410" s="6" t="s">
        <v>1567</v>
      </c>
      <c r="YL410" s="4" t="s">
        <v>1568</v>
      </c>
      <c r="YM410" s="4" t="s">
        <v>1565</v>
      </c>
      <c r="YN410" s="4"/>
      <c r="YO410" s="4"/>
      <c r="YP410" s="4"/>
      <c r="YQ410" s="5"/>
      <c r="YR410" s="6"/>
      <c r="YS410" s="4"/>
      <c r="YT410" s="4"/>
      <c r="YU410" s="4"/>
      <c r="YV410" s="4"/>
      <c r="YW410" s="4"/>
      <c r="YX410" s="5"/>
      <c r="YY410" s="6"/>
      <c r="YZ410" s="4"/>
      <c r="ZA410" s="4"/>
      <c r="ZB410" s="4"/>
      <c r="ZC410" s="4"/>
      <c r="ZD410" s="4"/>
      <c r="ZE410" s="5"/>
      <c r="ZF410" s="6"/>
      <c r="ZG410" s="4"/>
      <c r="ZH410" s="4"/>
      <c r="ZI410" s="4"/>
      <c r="ZJ410" s="4"/>
      <c r="ZK410" s="4"/>
      <c r="ZL410" s="5"/>
      <c r="ZM410" s="6"/>
      <c r="ZN410" s="4"/>
      <c r="ZO410" s="4"/>
      <c r="ZP410" s="4"/>
      <c r="ZQ410" s="4"/>
      <c r="ZR410" s="4"/>
      <c r="ZS410" s="5"/>
      <c r="ZT410" s="6"/>
      <c r="ZU410" s="4"/>
      <c r="ZV410" s="4"/>
      <c r="ZW410" s="4"/>
      <c r="ZX410" s="4"/>
      <c r="ZY410" s="4"/>
      <c r="ZZ410" s="5"/>
      <c r="AAA410" s="6"/>
      <c r="AAB410" s="4"/>
      <c r="AAC410" s="4"/>
      <c r="AAD410" s="4"/>
      <c r="AAE410" s="4"/>
      <c r="AAF410" s="4"/>
      <c r="AAG410" s="5"/>
      <c r="AAH410" s="6"/>
      <c r="AAI410" s="4"/>
      <c r="AAJ410" s="4"/>
      <c r="AAK410" s="4"/>
      <c r="AAL410" s="4"/>
      <c r="AAM410" s="4"/>
      <c r="AAN410" s="5"/>
      <c r="AAO410" s="6"/>
      <c r="AAP410" s="4"/>
      <c r="AAQ410" s="4"/>
      <c r="AAR410" s="4"/>
      <c r="AAS410" s="4"/>
      <c r="AAT410" s="4"/>
      <c r="AAU410" s="5"/>
      <c r="AAV410" s="6"/>
      <c r="AAW410" s="4"/>
      <c r="AAX410" s="4"/>
      <c r="AAY410" s="4"/>
      <c r="AAZ410" s="4"/>
      <c r="ABA410" s="4"/>
      <c r="ABB410" s="5"/>
      <c r="ABC410" s="6"/>
      <c r="ABD410" s="4"/>
      <c r="ABE410" s="4"/>
      <c r="ABF410" s="4"/>
      <c r="ABG410" s="4"/>
      <c r="ABH410" s="4"/>
      <c r="ABI410" s="5"/>
      <c r="ABJ410" s="6" t="s">
        <v>3217</v>
      </c>
      <c r="ABK410" s="4" t="s">
        <v>3388</v>
      </c>
      <c r="ABL410" s="4" t="s">
        <v>1569</v>
      </c>
      <c r="ABM410" s="4"/>
      <c r="ABN410" s="4"/>
      <c r="ABO410" s="4"/>
      <c r="ABP410" s="5"/>
      <c r="ABQ410" s="6"/>
      <c r="ABR410" s="4"/>
      <c r="ABS410" s="4"/>
      <c r="ABT410" s="4"/>
      <c r="ABU410" s="4"/>
      <c r="ABV410" s="4"/>
      <c r="ABW410" s="5"/>
      <c r="ABX410" s="6"/>
      <c r="ABY410" s="4"/>
      <c r="ABZ410" s="4"/>
      <c r="ACA410" s="4"/>
      <c r="ACB410" s="4"/>
      <c r="ACC410" s="4"/>
      <c r="ACD410" s="5"/>
      <c r="ACE410" s="6"/>
      <c r="ACF410" s="4"/>
      <c r="ACG410" s="4"/>
      <c r="ACH410" s="4"/>
      <c r="ACI410" s="4"/>
      <c r="ACJ410" s="4"/>
      <c r="ACK410" s="5"/>
      <c r="ACL410" s="6" t="s">
        <v>1720</v>
      </c>
      <c r="ACM410" s="4" t="s">
        <v>3058</v>
      </c>
      <c r="ACN410" s="4" t="s">
        <v>1719</v>
      </c>
      <c r="ACO410" s="4"/>
      <c r="ACP410" s="4"/>
      <c r="ACQ410" s="4"/>
      <c r="ACR410" s="5"/>
      <c r="ACS410" s="6"/>
      <c r="ACT410" s="4"/>
      <c r="ACU410" s="4"/>
      <c r="ACV410" s="4"/>
      <c r="ACW410" s="4"/>
      <c r="ACX410" s="4"/>
      <c r="ACY410" s="5"/>
      <c r="ADU410" t="s">
        <v>3938</v>
      </c>
      <c r="ADV410" t="s">
        <v>3927</v>
      </c>
      <c r="ADZ410" s="6" t="s">
        <v>18</v>
      </c>
    </row>
    <row r="411" spans="1:824" x14ac:dyDescent="0.25">
      <c r="J411" s="12"/>
      <c r="K411" s="12"/>
      <c r="L411" s="12"/>
      <c r="LL411" s="6"/>
      <c r="LM411" s="4"/>
      <c r="LN411" s="4"/>
      <c r="LO411" s="4"/>
      <c r="LP411" s="4"/>
      <c r="LQ411" s="4"/>
      <c r="LR411" s="5"/>
      <c r="LS411" s="6"/>
      <c r="LT411" s="4"/>
      <c r="LU411" s="4"/>
      <c r="LV411" s="4"/>
      <c r="LW411" s="4"/>
      <c r="LX411" s="4"/>
      <c r="LY411" s="5"/>
      <c r="LZ411" s="6"/>
      <c r="MB411" s="4"/>
      <c r="MC411" s="4"/>
      <c r="MD411" s="4"/>
      <c r="ME411" s="4"/>
      <c r="MF411" s="4"/>
      <c r="MG411" s="5"/>
      <c r="MH411" s="6"/>
      <c r="MI411" s="4"/>
      <c r="MJ411" s="4"/>
      <c r="MK411" s="4"/>
      <c r="ML411" s="4"/>
      <c r="MM411" s="4"/>
      <c r="MN411" s="5"/>
      <c r="MO411" s="6"/>
      <c r="MP411" s="4"/>
      <c r="MQ411" s="4"/>
      <c r="MR411" s="4"/>
      <c r="MS411" s="4"/>
      <c r="MT411" s="4"/>
      <c r="MU411" s="5"/>
      <c r="MV411" s="6"/>
      <c r="MW411" s="4"/>
      <c r="MX411" s="4"/>
      <c r="MY411" s="4"/>
      <c r="MZ411" s="4"/>
      <c r="NA411" s="4"/>
      <c r="NB411" s="5"/>
      <c r="NC411" s="6"/>
      <c r="ND411" s="4"/>
      <c r="NE411" s="4"/>
      <c r="NF411" s="4"/>
      <c r="NG411" s="4"/>
      <c r="NH411" s="4"/>
      <c r="NI411" s="5"/>
      <c r="NJ411" s="6"/>
      <c r="NK411" s="4"/>
      <c r="NL411" s="4"/>
      <c r="NM411" s="4"/>
      <c r="NN411" s="4"/>
      <c r="NO411" s="4"/>
      <c r="NP411" s="5"/>
      <c r="NQ411" s="6"/>
      <c r="NR411" s="4"/>
      <c r="NS411" s="4"/>
      <c r="NT411" s="4"/>
      <c r="NU411" s="4"/>
      <c r="NV411" s="4"/>
      <c r="NW411" s="5"/>
      <c r="NX411" s="6"/>
      <c r="NY411" s="4"/>
      <c r="NZ411" s="4"/>
      <c r="OA411" s="4"/>
      <c r="OB411" s="4"/>
      <c r="OC411" s="4"/>
      <c r="OD411" s="5"/>
      <c r="OE411" s="6"/>
      <c r="OF411" s="4"/>
      <c r="OG411" s="4"/>
      <c r="OH411" s="4"/>
      <c r="OI411" s="4"/>
      <c r="OJ411" s="4"/>
      <c r="OK411" s="5"/>
      <c r="OL411" s="6"/>
      <c r="OM411" s="4"/>
      <c r="ON411" s="4"/>
      <c r="OO411" s="4"/>
      <c r="OP411" s="4"/>
      <c r="OQ411" s="4"/>
      <c r="OR411" s="5"/>
      <c r="OS411" s="6"/>
      <c r="OT411" s="4"/>
      <c r="OU411" s="4"/>
      <c r="OV411" s="4"/>
      <c r="OW411" s="4"/>
      <c r="OX411" s="4"/>
      <c r="OY411" s="5"/>
      <c r="OZ411" s="6"/>
      <c r="PA411" s="4"/>
      <c r="PB411" s="4"/>
      <c r="PC411" s="4"/>
      <c r="PD411" s="4"/>
      <c r="PE411" s="4"/>
      <c r="PF411" s="5"/>
      <c r="PG411" s="6"/>
      <c r="PH411" s="4"/>
      <c r="PI411" s="4"/>
      <c r="PJ411" s="4"/>
      <c r="PK411" s="4"/>
      <c r="PL411" s="4"/>
      <c r="PM411" s="5"/>
      <c r="PN411" s="6"/>
      <c r="PO411" s="4"/>
      <c r="PP411" s="4"/>
      <c r="PQ411" s="4"/>
      <c r="PR411" s="4"/>
      <c r="PS411" s="4"/>
      <c r="PT411" s="5"/>
      <c r="PU411" s="6"/>
      <c r="PV411" s="4"/>
      <c r="PW411" s="4"/>
      <c r="PX411" s="4"/>
      <c r="PY411" s="4"/>
      <c r="PZ411" s="4"/>
      <c r="QA411" s="5"/>
      <c r="QB411" s="6"/>
      <c r="QC411" s="4"/>
      <c r="QD411" s="4"/>
      <c r="QE411" s="4"/>
      <c r="QF411" s="4"/>
      <c r="QG411" s="4"/>
      <c r="QH411" s="5"/>
      <c r="QI411" s="6"/>
      <c r="QJ411" s="4"/>
      <c r="QK411" s="4"/>
      <c r="QL411" s="4"/>
      <c r="QM411" s="4"/>
      <c r="QN411" s="4"/>
      <c r="QO411" s="5"/>
      <c r="QP411" s="6"/>
      <c r="QQ411" s="4"/>
      <c r="QR411" s="4"/>
      <c r="QS411" s="4"/>
      <c r="QT411" s="4"/>
      <c r="QU411" s="4"/>
      <c r="QV411" s="5"/>
      <c r="QW411" s="6"/>
      <c r="QX411" s="4"/>
      <c r="QY411" s="4"/>
      <c r="QZ411" s="4"/>
      <c r="RA411" s="4"/>
      <c r="RB411" s="4"/>
      <c r="RC411" s="5"/>
      <c r="RD411" s="6"/>
      <c r="RE411" s="4"/>
      <c r="RF411" s="4"/>
      <c r="RG411" s="4"/>
      <c r="RH411" s="4"/>
      <c r="RI411" s="4"/>
      <c r="RJ411" s="5"/>
      <c r="RK411" s="6"/>
      <c r="RL411" s="4"/>
      <c r="RM411" s="4"/>
      <c r="RN411" s="4"/>
      <c r="RO411" s="4"/>
      <c r="RP411" s="4"/>
      <c r="RQ411" s="5"/>
      <c r="RR411" s="6"/>
      <c r="RS411" s="4"/>
      <c r="RT411" s="4"/>
      <c r="RU411" s="4"/>
      <c r="RV411" s="4"/>
      <c r="RW411" s="4"/>
      <c r="RX411" s="5"/>
      <c r="RY411" s="6"/>
      <c r="RZ411" s="4"/>
      <c r="SA411" s="4"/>
      <c r="SB411" s="4"/>
      <c r="SC411" s="4"/>
      <c r="SD411" s="4"/>
      <c r="SE411" s="5"/>
      <c r="SF411" s="6"/>
      <c r="SG411" s="4"/>
      <c r="SH411" s="4"/>
      <c r="SI411" s="4"/>
      <c r="SJ411" s="4"/>
      <c r="SK411" s="4"/>
      <c r="SL411" s="5"/>
      <c r="SM411" s="6"/>
      <c r="SN411" s="4"/>
      <c r="SO411" s="4"/>
      <c r="SP411" s="4"/>
      <c r="SQ411" s="4"/>
      <c r="SR411" s="4"/>
      <c r="SS411" s="5"/>
      <c r="ST411" s="6"/>
      <c r="SU411" s="4"/>
      <c r="SV411" s="4"/>
      <c r="SW411" s="4"/>
      <c r="SX411" s="4"/>
      <c r="SY411" s="4"/>
      <c r="SZ411" s="5"/>
      <c r="TA411" s="6"/>
      <c r="TB411" s="4"/>
      <c r="TC411" s="4"/>
      <c r="TD411" s="4"/>
      <c r="TE411" s="4"/>
      <c r="TF411" s="4"/>
      <c r="TG411" s="5"/>
      <c r="TH411" s="6"/>
      <c r="TI411" s="4"/>
      <c r="TJ411" s="4"/>
      <c r="TK411" s="4"/>
      <c r="TL411" s="4"/>
      <c r="TM411" s="4"/>
      <c r="TN411" s="5"/>
      <c r="TO411" s="6"/>
      <c r="TP411" s="4"/>
      <c r="TQ411" s="4"/>
      <c r="TR411" s="4"/>
      <c r="TS411" s="4"/>
      <c r="TT411" s="4"/>
      <c r="TU411" s="5"/>
      <c r="TV411" s="6"/>
      <c r="TW411" s="4"/>
      <c r="TX411" s="4"/>
      <c r="TY411" s="4"/>
      <c r="TZ411" s="4"/>
      <c r="UA411" s="4"/>
      <c r="UB411" s="5"/>
      <c r="UC411" s="6"/>
      <c r="UD411" s="4"/>
      <c r="UE411" s="4"/>
      <c r="UF411" s="4"/>
      <c r="UG411" s="4"/>
      <c r="UH411" s="4"/>
      <c r="UI411" s="5"/>
      <c r="UJ411" s="6"/>
      <c r="UK411" s="4"/>
      <c r="UL411" s="4"/>
      <c r="UM411" s="4"/>
      <c r="UN411" s="4"/>
      <c r="UO411" s="4"/>
      <c r="UP411" s="5"/>
      <c r="UQ411" s="6"/>
      <c r="UR411" s="4"/>
      <c r="US411" s="4"/>
      <c r="UT411" s="4"/>
      <c r="UU411" s="4"/>
      <c r="UV411" s="4"/>
      <c r="UW411" s="5"/>
      <c r="UX411" s="6"/>
      <c r="UY411" s="4"/>
      <c r="UZ411" s="4"/>
      <c r="VA411" s="4"/>
      <c r="VB411" s="4"/>
      <c r="VC411" s="4"/>
      <c r="VD411" s="5"/>
      <c r="VE411" s="6"/>
      <c r="VF411" s="4"/>
      <c r="VG411" s="7"/>
      <c r="VH411" s="4"/>
      <c r="VI411" s="4"/>
      <c r="VJ411" s="4"/>
      <c r="VK411" s="5"/>
      <c r="VL411" s="6"/>
      <c r="VM411" s="4"/>
      <c r="VN411" s="4"/>
      <c r="VO411" s="4"/>
      <c r="VP411" s="4"/>
      <c r="VQ411" s="4"/>
      <c r="VR411" s="5"/>
      <c r="VS411" s="6"/>
      <c r="VT411" s="4"/>
      <c r="VU411" s="4"/>
      <c r="VV411" s="4"/>
      <c r="VW411" s="4"/>
      <c r="VX411" s="4"/>
      <c r="VY411" s="5"/>
      <c r="VZ411" s="6"/>
      <c r="WA411" s="4"/>
      <c r="WB411" s="4"/>
      <c r="WC411" s="4"/>
      <c r="WD411" s="4"/>
      <c r="WE411" s="4"/>
      <c r="WF411" s="5"/>
      <c r="WG411" s="6"/>
      <c r="WH411" s="4"/>
      <c r="WI411" s="4"/>
      <c r="WJ411" s="4"/>
      <c r="WK411" s="4"/>
      <c r="WL411" s="4"/>
      <c r="WM411" s="5"/>
      <c r="WN411" s="6"/>
      <c r="WO411" s="4"/>
      <c r="WP411" s="4"/>
      <c r="WQ411" s="4"/>
      <c r="WR411" s="4"/>
      <c r="WS411" s="4"/>
      <c r="WT411" s="5"/>
      <c r="WU411" s="6"/>
      <c r="WV411" s="4"/>
      <c r="WW411" s="4"/>
      <c r="WX411" s="4"/>
      <c r="WY411" s="4"/>
      <c r="WZ411" s="4"/>
      <c r="XA411" s="5"/>
      <c r="XB411" s="6"/>
      <c r="XC411" s="4"/>
      <c r="XD411" s="4"/>
      <c r="XE411" s="4"/>
      <c r="XF411" s="4"/>
      <c r="XG411" s="4"/>
      <c r="XH411" s="5"/>
      <c r="XI411" s="6"/>
      <c r="XJ411" s="4"/>
      <c r="XK411" s="4"/>
      <c r="XL411" s="4"/>
      <c r="XM411" s="4"/>
      <c r="XN411" s="4"/>
      <c r="XO411" s="5"/>
      <c r="XP411" s="6"/>
      <c r="XQ411" s="4"/>
      <c r="XR411" s="4"/>
      <c r="XS411" s="4"/>
      <c r="XT411" s="4"/>
      <c r="XU411" s="4"/>
      <c r="XV411" s="5"/>
      <c r="XW411" s="6"/>
      <c r="XX411" s="4"/>
      <c r="XY411" s="4"/>
      <c r="XZ411" s="4"/>
      <c r="YA411" s="4"/>
      <c r="YB411" s="4"/>
      <c r="YC411" s="5"/>
      <c r="YD411" s="6"/>
      <c r="YE411" s="4"/>
      <c r="YF411" s="4"/>
      <c r="YG411" s="4"/>
      <c r="YH411" s="4"/>
      <c r="YI411" s="4"/>
      <c r="YJ411" s="5"/>
      <c r="YK411" s="6" t="s">
        <v>1570</v>
      </c>
      <c r="YL411" s="4" t="s">
        <v>1436</v>
      </c>
      <c r="YM411" s="4" t="s">
        <v>1922</v>
      </c>
      <c r="YN411" s="4"/>
      <c r="YO411" s="4"/>
      <c r="YP411" s="4"/>
      <c r="YQ411" s="5"/>
      <c r="YR411" s="6"/>
      <c r="YS411" s="4"/>
      <c r="YT411" s="4"/>
      <c r="YU411" s="4"/>
      <c r="YV411" s="4"/>
      <c r="YW411" s="4"/>
      <c r="YX411" s="5"/>
      <c r="YY411" s="6"/>
      <c r="YZ411" s="4"/>
      <c r="ZA411" s="4"/>
      <c r="ZB411" s="4"/>
      <c r="ZC411" s="4"/>
      <c r="ZD411" s="4"/>
      <c r="ZE411" s="5"/>
      <c r="ZF411" s="6"/>
      <c r="ZG411" s="4"/>
      <c r="ZH411" s="4"/>
      <c r="ZI411" s="4"/>
      <c r="ZJ411" s="4"/>
      <c r="ZK411" s="4"/>
      <c r="ZL411" s="5"/>
      <c r="ZM411" s="6"/>
      <c r="ZN411" s="4"/>
      <c r="ZO411" s="4"/>
      <c r="ZP411" s="4"/>
      <c r="ZQ411" s="4"/>
      <c r="ZR411" s="4"/>
      <c r="ZS411" s="5"/>
      <c r="ZT411" s="6"/>
      <c r="ZU411" s="4"/>
      <c r="ZV411" s="4"/>
      <c r="ZW411" s="4"/>
      <c r="ZX411" s="4"/>
      <c r="ZY411" s="4"/>
      <c r="ZZ411" s="5"/>
      <c r="AAA411" s="6"/>
      <c r="AAB411" s="4"/>
      <c r="AAC411" s="4"/>
      <c r="AAD411" s="4"/>
      <c r="AAE411" s="4"/>
      <c r="AAF411" s="4"/>
      <c r="AAG411" s="5"/>
      <c r="AAH411" s="6"/>
      <c r="AAI411" s="4"/>
      <c r="AAJ411" s="4"/>
      <c r="AAK411" s="4"/>
      <c r="AAL411" s="4"/>
      <c r="AAM411" s="4"/>
      <c r="AAN411" s="5"/>
      <c r="AAO411" s="6"/>
      <c r="AAP411" s="4"/>
      <c r="AAQ411" s="4"/>
      <c r="AAR411" s="4"/>
      <c r="AAS411" s="4"/>
      <c r="AAT411" s="4"/>
      <c r="AAU411" s="5"/>
      <c r="AAV411" s="6"/>
      <c r="AAW411" s="4"/>
      <c r="AAX411" s="4"/>
      <c r="AAY411" s="4"/>
      <c r="AAZ411" s="4"/>
      <c r="ABA411" s="4"/>
      <c r="ABB411" s="5"/>
      <c r="ABC411" s="6"/>
      <c r="ABD411" s="4"/>
      <c r="ABE411" s="4"/>
      <c r="ABF411" s="4"/>
      <c r="ABG411" s="4"/>
      <c r="ABH411" s="4"/>
      <c r="ABI411" s="5"/>
      <c r="ABJ411" s="6"/>
      <c r="ABK411" s="4"/>
      <c r="ABL411" s="4"/>
      <c r="ABM411" s="4"/>
      <c r="ABN411" s="4"/>
      <c r="ABO411" s="4"/>
      <c r="ABP411" s="5"/>
      <c r="ABQ411" s="6"/>
      <c r="ABR411" s="4"/>
      <c r="ABS411" s="4"/>
      <c r="ABT411" s="4"/>
      <c r="ABU411" s="4"/>
      <c r="ABV411" s="4"/>
      <c r="ABW411" s="5"/>
      <c r="ABX411" s="6"/>
      <c r="ABY411" s="4"/>
      <c r="ABZ411" s="4"/>
      <c r="ACA411" s="4"/>
      <c r="ACB411" s="4"/>
      <c r="ACC411" s="4"/>
      <c r="ACD411" s="5"/>
      <c r="ACE411" s="6"/>
      <c r="ACF411" s="4"/>
      <c r="ACG411" s="4"/>
      <c r="ACH411" s="4"/>
      <c r="ACI411" s="4"/>
      <c r="ACJ411" s="4"/>
      <c r="ACK411" s="5"/>
      <c r="ACL411" s="6" t="s">
        <v>1564</v>
      </c>
      <c r="ACM411" s="4" t="s">
        <v>3056</v>
      </c>
      <c r="ACN411" s="4" t="s">
        <v>1565</v>
      </c>
      <c r="ACO411" s="4"/>
      <c r="ACP411" s="4"/>
      <c r="ACQ411" s="4"/>
      <c r="ACR411" s="5"/>
      <c r="ACS411" s="6"/>
      <c r="ACT411" s="4"/>
      <c r="ACU411" s="4"/>
      <c r="ACV411" s="4"/>
      <c r="ACW411" s="4"/>
      <c r="ACX411" s="4"/>
      <c r="ACY411" s="5"/>
      <c r="ADZ411" s="6" t="s">
        <v>136</v>
      </c>
    </row>
    <row r="412" spans="1:824" x14ac:dyDescent="0.25">
      <c r="J412" s="12"/>
      <c r="K412" s="12"/>
      <c r="L412" s="12"/>
      <c r="LL412" s="6"/>
      <c r="LM412" s="4"/>
      <c r="LN412" s="4"/>
      <c r="LO412" s="4"/>
      <c r="LP412" s="4"/>
      <c r="LQ412" s="4"/>
      <c r="LR412" s="5"/>
      <c r="LS412" s="6"/>
      <c r="LT412" s="4"/>
      <c r="LU412" s="4"/>
      <c r="LV412" s="4"/>
      <c r="LW412" s="4"/>
      <c r="LX412" s="4"/>
      <c r="LY412" s="5"/>
      <c r="LZ412" s="6"/>
      <c r="MB412" s="4"/>
      <c r="MC412" s="4"/>
      <c r="MD412" s="4"/>
      <c r="ME412" s="4"/>
      <c r="MF412" s="4"/>
      <c r="MG412" s="5"/>
      <c r="MH412" s="6"/>
      <c r="MI412" s="4"/>
      <c r="MJ412" s="4"/>
      <c r="MK412" s="4"/>
      <c r="ML412" s="4"/>
      <c r="MM412" s="4"/>
      <c r="MN412" s="5"/>
      <c r="MO412" s="6"/>
      <c r="MP412" s="4"/>
      <c r="MQ412" s="4"/>
      <c r="MR412" s="4"/>
      <c r="MS412" s="4"/>
      <c r="MT412" s="4"/>
      <c r="MU412" s="5"/>
      <c r="MV412" s="6"/>
      <c r="MW412" s="4"/>
      <c r="MX412" s="4"/>
      <c r="MY412" s="4"/>
      <c r="MZ412" s="4"/>
      <c r="NA412" s="4"/>
      <c r="NB412" s="5"/>
      <c r="NC412" s="6"/>
      <c r="ND412" s="4"/>
      <c r="NE412" s="4"/>
      <c r="NF412" s="4"/>
      <c r="NG412" s="4"/>
      <c r="NH412" s="4"/>
      <c r="NI412" s="5"/>
      <c r="NJ412" s="6"/>
      <c r="NK412" s="4"/>
      <c r="NL412" s="4"/>
      <c r="NM412" s="4"/>
      <c r="NN412" s="4"/>
      <c r="NO412" s="4"/>
      <c r="NP412" s="5"/>
      <c r="NQ412" s="6"/>
      <c r="NR412" s="4"/>
      <c r="NS412" s="4"/>
      <c r="NT412" s="4"/>
      <c r="NU412" s="4"/>
      <c r="NV412" s="4"/>
      <c r="NW412" s="5"/>
      <c r="NX412" s="6"/>
      <c r="NY412" s="4"/>
      <c r="NZ412" s="4"/>
      <c r="OA412" s="4"/>
      <c r="OB412" s="4"/>
      <c r="OC412" s="4"/>
      <c r="OD412" s="5"/>
      <c r="OE412" s="6"/>
      <c r="OF412" s="4"/>
      <c r="OG412" s="4"/>
      <c r="OH412" s="4"/>
      <c r="OI412" s="4"/>
      <c r="OJ412" s="4"/>
      <c r="OK412" s="5"/>
      <c r="OL412" s="6"/>
      <c r="OM412" s="4"/>
      <c r="ON412" s="4"/>
      <c r="OO412" s="4"/>
      <c r="OP412" s="4"/>
      <c r="OQ412" s="4"/>
      <c r="OR412" s="5"/>
      <c r="OS412" s="6"/>
      <c r="OT412" s="4"/>
      <c r="OU412" s="4"/>
      <c r="OV412" s="4"/>
      <c r="OW412" s="4"/>
      <c r="OX412" s="4"/>
      <c r="OY412" s="5"/>
      <c r="OZ412" s="6"/>
      <c r="PA412" s="4"/>
      <c r="PB412" s="4"/>
      <c r="PC412" s="4"/>
      <c r="PD412" s="4"/>
      <c r="PE412" s="4"/>
      <c r="PF412" s="5"/>
      <c r="PG412" s="6"/>
      <c r="PH412" s="4"/>
      <c r="PI412" s="4"/>
      <c r="PJ412" s="4"/>
      <c r="PK412" s="4"/>
      <c r="PL412" s="4"/>
      <c r="PM412" s="5"/>
      <c r="PN412" s="6"/>
      <c r="PO412" s="4"/>
      <c r="PP412" s="4"/>
      <c r="PQ412" s="4"/>
      <c r="PR412" s="4"/>
      <c r="PS412" s="4"/>
      <c r="PT412" s="5"/>
      <c r="PU412" s="6"/>
      <c r="PV412" s="4"/>
      <c r="PW412" s="4"/>
      <c r="PX412" s="4"/>
      <c r="PY412" s="4"/>
      <c r="PZ412" s="4"/>
      <c r="QA412" s="5"/>
      <c r="QB412" s="6"/>
      <c r="QC412" s="4"/>
      <c r="QD412" s="4"/>
      <c r="QE412" s="4"/>
      <c r="QF412" s="4"/>
      <c r="QG412" s="4"/>
      <c r="QH412" s="5"/>
      <c r="QI412" s="6"/>
      <c r="QJ412" s="4"/>
      <c r="QK412" s="4"/>
      <c r="QL412" s="4"/>
      <c r="QM412" s="4"/>
      <c r="QN412" s="4"/>
      <c r="QO412" s="5"/>
      <c r="QP412" s="6"/>
      <c r="QQ412" s="4"/>
      <c r="QR412" s="4"/>
      <c r="QS412" s="4"/>
      <c r="QT412" s="4"/>
      <c r="QU412" s="4"/>
      <c r="QV412" s="5"/>
      <c r="QW412" s="6"/>
      <c r="QX412" s="4"/>
      <c r="QY412" s="4"/>
      <c r="QZ412" s="4"/>
      <c r="RA412" s="4"/>
      <c r="RB412" s="4"/>
      <c r="RC412" s="5"/>
      <c r="RD412" s="6"/>
      <c r="RE412" s="4"/>
      <c r="RF412" s="4"/>
      <c r="RG412" s="4"/>
      <c r="RH412" s="4"/>
      <c r="RI412" s="4"/>
      <c r="RJ412" s="5"/>
      <c r="RK412" s="6"/>
      <c r="RL412" s="4"/>
      <c r="RM412" s="4"/>
      <c r="RN412" s="4"/>
      <c r="RO412" s="4"/>
      <c r="RP412" s="4"/>
      <c r="RQ412" s="5"/>
      <c r="RR412" s="6"/>
      <c r="RS412" s="4"/>
      <c r="RT412" s="4"/>
      <c r="RU412" s="4"/>
      <c r="RV412" s="4"/>
      <c r="RW412" s="4"/>
      <c r="RX412" s="5"/>
      <c r="RY412" s="6"/>
      <c r="RZ412" s="4"/>
      <c r="SA412" s="4"/>
      <c r="SB412" s="4"/>
      <c r="SC412" s="4"/>
      <c r="SD412" s="4"/>
      <c r="SE412" s="5"/>
      <c r="SF412" s="6"/>
      <c r="SG412" s="4"/>
      <c r="SH412" s="4"/>
      <c r="SI412" s="4"/>
      <c r="SJ412" s="4"/>
      <c r="SK412" s="4"/>
      <c r="SL412" s="5"/>
      <c r="SM412" s="6"/>
      <c r="SN412" s="4"/>
      <c r="SO412" s="4"/>
      <c r="SP412" s="4"/>
      <c r="SQ412" s="4"/>
      <c r="SR412" s="4"/>
      <c r="SS412" s="5"/>
      <c r="ST412" s="6"/>
      <c r="SU412" s="4"/>
      <c r="SV412" s="4"/>
      <c r="SW412" s="4"/>
      <c r="SX412" s="4"/>
      <c r="SY412" s="4"/>
      <c r="SZ412" s="5"/>
      <c r="TA412" s="6"/>
      <c r="TB412" s="4"/>
      <c r="TC412" s="4"/>
      <c r="TD412" s="4"/>
      <c r="TE412" s="4"/>
      <c r="TF412" s="4"/>
      <c r="TG412" s="5"/>
      <c r="TH412" s="6"/>
      <c r="TI412" s="4"/>
      <c r="TJ412" s="4"/>
      <c r="TK412" s="4"/>
      <c r="TL412" s="4"/>
      <c r="TM412" s="4"/>
      <c r="TN412" s="5"/>
      <c r="TO412" s="6"/>
      <c r="TP412" s="4"/>
      <c r="TQ412" s="4"/>
      <c r="TR412" s="4"/>
      <c r="TS412" s="4"/>
      <c r="TT412" s="4"/>
      <c r="TU412" s="5"/>
      <c r="TV412" s="6"/>
      <c r="TW412" s="4"/>
      <c r="TX412" s="4"/>
      <c r="TY412" s="4"/>
      <c r="TZ412" s="4"/>
      <c r="UA412" s="4"/>
      <c r="UB412" s="5"/>
      <c r="UC412" s="6"/>
      <c r="UD412" s="4"/>
      <c r="UE412" s="4"/>
      <c r="UF412" s="4"/>
      <c r="UG412" s="4"/>
      <c r="UH412" s="4"/>
      <c r="UI412" s="5"/>
      <c r="UJ412" s="6"/>
      <c r="UK412" s="4"/>
      <c r="UL412" s="4"/>
      <c r="UM412" s="4"/>
      <c r="UN412" s="4"/>
      <c r="UO412" s="4"/>
      <c r="UP412" s="5"/>
      <c r="UQ412" s="6"/>
      <c r="UR412" s="4"/>
      <c r="US412" s="4"/>
      <c r="UT412" s="4"/>
      <c r="UU412" s="4"/>
      <c r="UV412" s="4"/>
      <c r="UW412" s="5"/>
      <c r="UX412" s="6"/>
      <c r="UY412" s="4"/>
      <c r="UZ412" s="4"/>
      <c r="VA412" s="4"/>
      <c r="VB412" s="4"/>
      <c r="VC412" s="4"/>
      <c r="VD412" s="5"/>
      <c r="VE412" s="6"/>
      <c r="VF412" s="4"/>
      <c r="VG412" s="7"/>
      <c r="VH412" s="4"/>
      <c r="VI412" s="4"/>
      <c r="VJ412" s="4"/>
      <c r="VK412" s="5"/>
      <c r="VL412" s="6"/>
      <c r="VM412" s="4"/>
      <c r="VN412" s="4"/>
      <c r="VO412" s="4"/>
      <c r="VP412" s="4"/>
      <c r="VQ412" s="4"/>
      <c r="VR412" s="5"/>
      <c r="VS412" s="6"/>
      <c r="VT412" s="4"/>
      <c r="VU412" s="4"/>
      <c r="VV412" s="4"/>
      <c r="VW412" s="4"/>
      <c r="VX412" s="4"/>
      <c r="VY412" s="5"/>
      <c r="VZ412" s="6"/>
      <c r="WA412" s="4"/>
      <c r="WB412" s="4"/>
      <c r="WC412" s="4"/>
      <c r="WD412" s="4"/>
      <c r="WE412" s="4"/>
      <c r="WF412" s="5"/>
      <c r="WG412" s="6"/>
      <c r="WH412" s="4"/>
      <c r="WI412" s="4"/>
      <c r="WJ412" s="4"/>
      <c r="WK412" s="4"/>
      <c r="WL412" s="4"/>
      <c r="WM412" s="5"/>
      <c r="WN412" s="6"/>
      <c r="WO412" s="4"/>
      <c r="WP412" s="4"/>
      <c r="WQ412" s="4"/>
      <c r="WR412" s="4"/>
      <c r="WS412" s="4"/>
      <c r="WT412" s="5"/>
      <c r="WU412" s="6"/>
      <c r="WV412" s="4"/>
      <c r="WW412" s="4"/>
      <c r="WX412" s="4"/>
      <c r="WY412" s="4"/>
      <c r="WZ412" s="4"/>
      <c r="XA412" s="5"/>
      <c r="XB412" s="6"/>
      <c r="XC412" s="4"/>
      <c r="XD412" s="4"/>
      <c r="XE412" s="4"/>
      <c r="XF412" s="4"/>
      <c r="XG412" s="4"/>
      <c r="XH412" s="5"/>
      <c r="XI412" s="6"/>
      <c r="XJ412" s="4"/>
      <c r="XK412" s="4"/>
      <c r="XL412" s="4"/>
      <c r="XM412" s="4"/>
      <c r="XN412" s="4"/>
      <c r="XO412" s="5"/>
      <c r="XP412" s="6"/>
      <c r="XQ412" s="4"/>
      <c r="XR412" s="4"/>
      <c r="XS412" s="4"/>
      <c r="XT412" s="4"/>
      <c r="XU412" s="4"/>
      <c r="XV412" s="5"/>
      <c r="XW412" s="6"/>
      <c r="XX412" s="4"/>
      <c r="XY412" s="4"/>
      <c r="XZ412" s="4"/>
      <c r="YA412" s="4"/>
      <c r="YB412" s="4"/>
      <c r="YC412" s="5"/>
      <c r="YD412" s="6"/>
      <c r="YE412" s="4"/>
      <c r="YF412" s="4"/>
      <c r="YG412" s="4"/>
      <c r="YH412" s="4"/>
      <c r="YI412" s="4"/>
      <c r="YJ412" s="5"/>
      <c r="YK412" s="6"/>
      <c r="YL412" s="4"/>
      <c r="YM412" s="4"/>
      <c r="YN412" s="4"/>
      <c r="YO412" s="4"/>
      <c r="YP412" s="4"/>
      <c r="YQ412" s="5"/>
      <c r="YR412" s="6"/>
      <c r="YS412" s="4"/>
      <c r="YT412" s="4"/>
      <c r="YU412" s="4"/>
      <c r="YV412" s="4"/>
      <c r="YW412" s="4"/>
      <c r="YX412" s="5"/>
      <c r="YY412" s="6"/>
      <c r="YZ412" s="4"/>
      <c r="ZA412" s="4"/>
      <c r="ZB412" s="4"/>
      <c r="ZC412" s="4"/>
      <c r="ZD412" s="4"/>
      <c r="ZE412" s="5"/>
      <c r="ZF412" s="6"/>
      <c r="ZG412" s="4"/>
      <c r="ZH412" s="4"/>
      <c r="ZI412" s="4"/>
      <c r="ZJ412" s="4"/>
      <c r="ZK412" s="4"/>
      <c r="ZL412" s="5"/>
      <c r="ZM412" s="6"/>
      <c r="ZN412" s="4"/>
      <c r="ZO412" s="4"/>
      <c r="ZP412" s="4"/>
      <c r="ZQ412" s="4"/>
      <c r="ZR412" s="4"/>
      <c r="ZS412" s="5"/>
      <c r="ZT412" s="6"/>
      <c r="ZU412" s="4"/>
      <c r="ZV412" s="4"/>
      <c r="ZW412" s="4"/>
      <c r="ZX412" s="4"/>
      <c r="ZY412" s="4"/>
      <c r="ZZ412" s="5"/>
      <c r="AAA412" s="6"/>
      <c r="AAB412" s="4"/>
      <c r="AAC412" s="4"/>
      <c r="AAD412" s="4"/>
      <c r="AAE412" s="4"/>
      <c r="AAF412" s="4"/>
      <c r="AAG412" s="5"/>
      <c r="AAH412" s="6"/>
      <c r="AAI412" s="4"/>
      <c r="AAJ412" s="4"/>
      <c r="AAK412" s="4"/>
      <c r="AAL412" s="4"/>
      <c r="AAM412" s="4"/>
      <c r="AAN412" s="5"/>
      <c r="AAO412" s="6"/>
      <c r="AAP412" s="4"/>
      <c r="AAQ412" s="4"/>
      <c r="AAR412" s="4"/>
      <c r="AAS412" s="4"/>
      <c r="AAT412" s="4"/>
      <c r="AAU412" s="5"/>
      <c r="AAV412" s="6"/>
      <c r="AAW412" s="4"/>
      <c r="AAX412" s="4"/>
      <c r="AAY412" s="4"/>
      <c r="AAZ412" s="4"/>
      <c r="ABA412" s="4"/>
      <c r="ABB412" s="5"/>
      <c r="ABC412" s="6"/>
      <c r="ABD412" s="4"/>
      <c r="ABE412" s="4"/>
      <c r="ABF412" s="4"/>
      <c r="ABG412" s="4"/>
      <c r="ABH412" s="4"/>
      <c r="ABI412" s="5"/>
      <c r="ABJ412" s="6"/>
      <c r="ABK412" s="4"/>
      <c r="ABL412" s="4"/>
      <c r="ABM412" s="4"/>
      <c r="ABN412" s="4"/>
      <c r="ABO412" s="4"/>
      <c r="ABP412" s="5"/>
      <c r="ABQ412" s="6"/>
      <c r="ABR412" s="4"/>
      <c r="ABS412" s="4"/>
      <c r="ABT412" s="4"/>
      <c r="ABU412" s="4"/>
      <c r="ABV412" s="4"/>
      <c r="ABW412" s="5"/>
      <c r="ABX412" s="6"/>
      <c r="ABY412" s="4"/>
      <c r="ABZ412" s="4"/>
      <c r="ACA412" s="4"/>
      <c r="ACB412" s="4"/>
      <c r="ACC412" s="4"/>
      <c r="ACD412" s="5"/>
      <c r="ACE412" s="6"/>
      <c r="ACF412" s="4"/>
      <c r="ACG412" s="4"/>
      <c r="ACH412" s="4"/>
      <c r="ACI412" s="4"/>
      <c r="ACJ412" s="4"/>
      <c r="ACK412" s="5"/>
      <c r="ACL412" s="4"/>
      <c r="ACM412" s="4"/>
      <c r="ACN412" s="4"/>
      <c r="ACO412" s="4"/>
      <c r="ACP412" s="4"/>
      <c r="ACQ412" s="4"/>
      <c r="ACR412" s="5"/>
      <c r="ACS412" s="6"/>
      <c r="ACT412" s="4"/>
      <c r="ACU412" s="4"/>
      <c r="ACV412" s="4"/>
      <c r="ACW412" s="4"/>
      <c r="ACX412" s="4"/>
      <c r="ACY412" s="5"/>
      <c r="ADZ412" s="6" t="s">
        <v>137</v>
      </c>
    </row>
    <row r="413" spans="1:824" x14ac:dyDescent="0.25">
      <c r="A413" t="s">
        <v>4259</v>
      </c>
      <c r="B413" s="29">
        <v>9108231</v>
      </c>
      <c r="C413" s="57">
        <v>24</v>
      </c>
      <c r="D413" t="s">
        <v>3729</v>
      </c>
      <c r="E413" s="38" t="s">
        <v>3745</v>
      </c>
      <c r="F413" s="23">
        <v>0</v>
      </c>
      <c r="I413">
        <v>1</v>
      </c>
      <c r="J413" s="12"/>
      <c r="K413" s="12"/>
      <c r="L413" s="12"/>
      <c r="V413">
        <v>1</v>
      </c>
      <c r="Y413">
        <v>1</v>
      </c>
      <c r="AA413">
        <v>1</v>
      </c>
      <c r="AN413">
        <v>1</v>
      </c>
      <c r="AU413">
        <v>1</v>
      </c>
      <c r="AX413">
        <v>1</v>
      </c>
      <c r="CI413">
        <v>1</v>
      </c>
      <c r="DP413">
        <v>1</v>
      </c>
      <c r="FW413">
        <v>1</v>
      </c>
      <c r="HD413">
        <v>1</v>
      </c>
      <c r="LL413" s="6"/>
      <c r="LM413" s="4"/>
      <c r="LN413" s="4"/>
      <c r="LO413" s="4"/>
      <c r="LP413" s="4"/>
      <c r="LQ413" s="4"/>
      <c r="LR413" s="5"/>
      <c r="LS413" s="6"/>
      <c r="LT413" s="4"/>
      <c r="LU413" s="4"/>
      <c r="LV413" s="4"/>
      <c r="LW413" s="4"/>
      <c r="LX413" s="4"/>
      <c r="LY413" s="5"/>
      <c r="LZ413" s="11" t="s">
        <v>1376</v>
      </c>
      <c r="MA413" s="7" t="s">
        <v>1376</v>
      </c>
      <c r="MB413" s="4"/>
      <c r="MC413" s="4"/>
      <c r="MD413" s="4"/>
      <c r="ME413" s="4"/>
      <c r="MF413" s="4"/>
      <c r="MG413" s="5" t="s">
        <v>3928</v>
      </c>
      <c r="MH413" s="6"/>
      <c r="MI413" s="4"/>
      <c r="MJ413" s="4"/>
      <c r="MK413" s="4"/>
      <c r="ML413" s="4"/>
      <c r="MM413" s="4"/>
      <c r="MN413" s="5"/>
      <c r="MO413" s="6"/>
      <c r="MP413" s="4"/>
      <c r="MQ413" s="4"/>
      <c r="MR413" s="4"/>
      <c r="MS413" s="4"/>
      <c r="MT413" s="4"/>
      <c r="MU413" s="5"/>
      <c r="MV413" s="6"/>
      <c r="MW413" s="4"/>
      <c r="MX413" s="4"/>
      <c r="MY413" s="4"/>
      <c r="MZ413" s="4"/>
      <c r="NA413" s="4"/>
      <c r="NB413" s="5"/>
      <c r="NC413" s="6" t="s">
        <v>3229</v>
      </c>
      <c r="ND413" s="4" t="s">
        <v>3229</v>
      </c>
      <c r="NE413" s="4" t="s">
        <v>1990</v>
      </c>
      <c r="NF413" s="4"/>
      <c r="NG413" s="4"/>
      <c r="NH413" s="4"/>
      <c r="NI413" s="5" t="s">
        <v>4129</v>
      </c>
      <c r="NJ413" s="6"/>
      <c r="NK413" s="4"/>
      <c r="NL413" s="4"/>
      <c r="NM413" s="4"/>
      <c r="NN413" s="4"/>
      <c r="NO413" s="4"/>
      <c r="NP413" s="5"/>
      <c r="NQ413" s="6"/>
      <c r="NR413" s="4"/>
      <c r="NS413" s="4"/>
      <c r="NT413" s="4"/>
      <c r="NU413" s="4"/>
      <c r="NV413" s="4"/>
      <c r="NW413" s="5"/>
      <c r="NX413" s="6"/>
      <c r="NY413" s="4"/>
      <c r="NZ413" s="4"/>
      <c r="OA413" s="4"/>
      <c r="OB413" s="4"/>
      <c r="OC413" s="4"/>
      <c r="OD413" s="5"/>
      <c r="OE413" s="6"/>
      <c r="OF413" s="4"/>
      <c r="OG413" s="4"/>
      <c r="OH413" s="4"/>
      <c r="OI413" s="4"/>
      <c r="OJ413" s="4"/>
      <c r="OK413" s="5"/>
      <c r="OL413" s="6"/>
      <c r="OM413" s="4"/>
      <c r="ON413" s="4"/>
      <c r="OO413" s="4"/>
      <c r="OP413" s="4"/>
      <c r="OQ413" s="4"/>
      <c r="OR413" s="5"/>
      <c r="OS413" s="6"/>
      <c r="OT413" s="4"/>
      <c r="OU413" s="4"/>
      <c r="OV413" s="4"/>
      <c r="OW413" s="4"/>
      <c r="OX413" s="4"/>
      <c r="OY413" s="5"/>
      <c r="OZ413" s="6"/>
      <c r="PA413" s="4"/>
      <c r="PB413" s="4"/>
      <c r="PC413" s="4"/>
      <c r="PD413" s="4"/>
      <c r="PE413" s="4"/>
      <c r="PF413" s="5"/>
      <c r="PG413" s="6"/>
      <c r="PH413" s="4"/>
      <c r="PI413" s="4"/>
      <c r="PJ413" s="4"/>
      <c r="PK413" s="4"/>
      <c r="PL413" s="4"/>
      <c r="PM413" s="5"/>
      <c r="PN413" s="6"/>
      <c r="PO413" s="4"/>
      <c r="PP413" s="4"/>
      <c r="PQ413" s="4"/>
      <c r="PR413" s="4"/>
      <c r="PS413" s="4"/>
      <c r="PT413" s="5"/>
      <c r="PU413" s="6"/>
      <c r="PV413" s="4"/>
      <c r="PW413" s="4"/>
      <c r="PX413" s="4"/>
      <c r="PY413" s="4"/>
      <c r="PZ413" s="4"/>
      <c r="QA413" s="5"/>
      <c r="QB413" s="6"/>
      <c r="QC413" s="4"/>
      <c r="QD413" s="4"/>
      <c r="QE413" s="4"/>
      <c r="QF413" s="4"/>
      <c r="QG413" s="4"/>
      <c r="QH413" s="5"/>
      <c r="QI413" s="6"/>
      <c r="QJ413" s="4"/>
      <c r="QK413" s="4"/>
      <c r="QL413" s="4"/>
      <c r="QM413" s="4"/>
      <c r="QN413" s="4"/>
      <c r="QO413" s="5"/>
      <c r="QP413" s="6"/>
      <c r="QQ413" s="4"/>
      <c r="QR413" s="4"/>
      <c r="QS413" s="4"/>
      <c r="QT413" s="4"/>
      <c r="QU413" s="4"/>
      <c r="QV413" s="5"/>
      <c r="QW413" s="6"/>
      <c r="QX413" s="4"/>
      <c r="QY413" s="4"/>
      <c r="QZ413" s="4"/>
      <c r="RA413" s="4"/>
      <c r="RB413" s="4"/>
      <c r="RC413" s="5"/>
      <c r="RD413" s="6"/>
      <c r="RE413" s="4"/>
      <c r="RF413" s="4"/>
      <c r="RG413" s="4"/>
      <c r="RH413" s="4"/>
      <c r="RI413" s="4"/>
      <c r="RJ413" s="5"/>
      <c r="RK413" s="6"/>
      <c r="RL413" s="4"/>
      <c r="RM413" s="4"/>
      <c r="RN413" s="4"/>
      <c r="RO413" s="4"/>
      <c r="RP413" s="4"/>
      <c r="RQ413" s="5"/>
      <c r="RR413" s="6"/>
      <c r="RS413" s="4"/>
      <c r="RT413" s="4"/>
      <c r="RU413" s="4"/>
      <c r="RV413" s="4"/>
      <c r="RW413" s="4"/>
      <c r="RX413" s="5"/>
      <c r="RY413" s="6"/>
      <c r="RZ413" s="4"/>
      <c r="SA413" s="4"/>
      <c r="SB413" s="4"/>
      <c r="SC413" s="4"/>
      <c r="SD413" s="4"/>
      <c r="SE413" s="5"/>
      <c r="SF413" s="6"/>
      <c r="SG413" s="4"/>
      <c r="SH413" s="4"/>
      <c r="SI413" s="4"/>
      <c r="SJ413" s="4"/>
      <c r="SK413" s="4"/>
      <c r="SL413" s="5"/>
      <c r="SM413" s="6"/>
      <c r="SN413" s="4"/>
      <c r="SO413" s="4"/>
      <c r="SP413" s="4"/>
      <c r="SQ413" s="4"/>
      <c r="SR413" s="4"/>
      <c r="SS413" s="5"/>
      <c r="ST413" s="6"/>
      <c r="SU413" s="4"/>
      <c r="SV413" s="4"/>
      <c r="SW413" s="4"/>
      <c r="SX413" s="4"/>
      <c r="SY413" s="4"/>
      <c r="SZ413" s="5"/>
      <c r="TA413" s="6"/>
      <c r="TB413" s="4"/>
      <c r="TC413" s="4"/>
      <c r="TD413" s="4"/>
      <c r="TE413" s="4"/>
      <c r="TF413" s="4"/>
      <c r="TG413" s="5"/>
      <c r="TH413" s="6"/>
      <c r="TI413" s="4"/>
      <c r="TJ413" s="4"/>
      <c r="TK413" s="4"/>
      <c r="TL413" s="4"/>
      <c r="TM413" s="4"/>
      <c r="TN413" s="5"/>
      <c r="TO413" s="6"/>
      <c r="TP413" s="4"/>
      <c r="TQ413" s="4"/>
      <c r="TR413" s="4"/>
      <c r="TS413" s="4"/>
      <c r="TT413" s="4"/>
      <c r="TU413" s="5"/>
      <c r="TV413" s="6"/>
      <c r="TW413" s="4"/>
      <c r="TX413" s="4"/>
      <c r="TY413" s="4"/>
      <c r="TZ413" s="4"/>
      <c r="UA413" s="4"/>
      <c r="UB413" s="5"/>
      <c r="UC413" s="6"/>
      <c r="UD413" s="4"/>
      <c r="UE413" s="4"/>
      <c r="UF413" s="4"/>
      <c r="UG413" s="4"/>
      <c r="UH413" s="4"/>
      <c r="UI413" s="5"/>
      <c r="UJ413" s="6"/>
      <c r="UK413" s="4"/>
      <c r="UL413" s="4"/>
      <c r="UM413" s="4"/>
      <c r="UN413" s="4"/>
      <c r="UO413" s="4"/>
      <c r="UP413" s="5"/>
      <c r="UQ413" s="6"/>
      <c r="UR413" s="4"/>
      <c r="US413" s="4"/>
      <c r="UT413" s="4"/>
      <c r="UU413" s="4"/>
      <c r="UV413" s="4"/>
      <c r="UW413" s="5"/>
      <c r="UX413" s="6"/>
      <c r="UY413" s="4"/>
      <c r="UZ413" s="4"/>
      <c r="VA413" s="4"/>
      <c r="VB413" s="4"/>
      <c r="VC413" s="4"/>
      <c r="VD413" s="5"/>
      <c r="VE413" s="6"/>
      <c r="VF413" s="4"/>
      <c r="VG413" s="4"/>
      <c r="VH413" s="4"/>
      <c r="VI413" s="4"/>
      <c r="VJ413" s="4"/>
      <c r="VK413" s="5"/>
      <c r="VL413" s="6"/>
      <c r="VM413" s="4"/>
      <c r="VN413" s="4"/>
      <c r="VO413" s="4"/>
      <c r="VP413" s="4"/>
      <c r="VQ413" s="4"/>
      <c r="VR413" s="5"/>
      <c r="VS413" s="6"/>
      <c r="VT413" s="4"/>
      <c r="VU413" s="4"/>
      <c r="VV413" s="4"/>
      <c r="VW413" s="4"/>
      <c r="VX413" s="4"/>
      <c r="VY413" s="5"/>
      <c r="VZ413" s="6"/>
      <c r="WA413" s="4"/>
      <c r="WB413" s="4"/>
      <c r="WC413" s="4"/>
      <c r="WD413" s="4"/>
      <c r="WE413" s="4"/>
      <c r="WF413" s="5"/>
      <c r="WG413" s="6"/>
      <c r="WH413" s="4"/>
      <c r="WI413" s="4"/>
      <c r="WJ413" s="4"/>
      <c r="WK413" s="4"/>
      <c r="WL413" s="4"/>
      <c r="WM413" s="5"/>
      <c r="WN413" s="6"/>
      <c r="WO413" s="4"/>
      <c r="WP413" s="4"/>
      <c r="WQ413" s="4"/>
      <c r="WR413" s="4"/>
      <c r="WS413" s="4"/>
      <c r="WT413" s="5"/>
      <c r="WU413" s="6"/>
      <c r="WV413" s="4"/>
      <c r="WW413" s="4"/>
      <c r="WX413" s="4"/>
      <c r="WY413" s="4"/>
      <c r="WZ413" s="4"/>
      <c r="XA413" s="5"/>
      <c r="XB413" s="6"/>
      <c r="XC413" s="4"/>
      <c r="XD413" s="4"/>
      <c r="XE413" s="4"/>
      <c r="XF413" s="4"/>
      <c r="XG413" s="4"/>
      <c r="XH413" s="5"/>
      <c r="XI413" s="6"/>
      <c r="XJ413" s="4"/>
      <c r="XK413" s="4"/>
      <c r="XL413" s="4"/>
      <c r="XM413" s="4"/>
      <c r="XN413" s="4"/>
      <c r="XO413" s="5"/>
      <c r="XP413" s="6"/>
      <c r="XQ413" s="4"/>
      <c r="XR413" s="4"/>
      <c r="XS413" s="4"/>
      <c r="XT413" s="4"/>
      <c r="XU413" s="4"/>
      <c r="XV413" s="5"/>
      <c r="XW413" s="6"/>
      <c r="XX413" s="4"/>
      <c r="XY413" s="4"/>
      <c r="XZ413" s="4"/>
      <c r="YA413" s="4"/>
      <c r="YB413" s="4"/>
      <c r="YC413" s="5"/>
      <c r="YD413" s="6"/>
      <c r="YE413" s="4"/>
      <c r="YF413" s="4"/>
      <c r="YG413" s="4"/>
      <c r="YH413" s="4"/>
      <c r="YI413" s="4"/>
      <c r="YJ413" s="5"/>
      <c r="YK413" s="6"/>
      <c r="YL413" s="4"/>
      <c r="YM413" s="4"/>
      <c r="YN413" s="4"/>
      <c r="YO413" s="4"/>
      <c r="YP413" s="4"/>
      <c r="YQ413" s="5"/>
      <c r="YR413" s="6"/>
      <c r="YS413" s="4"/>
      <c r="YT413" s="4"/>
      <c r="YU413" s="4"/>
      <c r="YV413" s="4"/>
      <c r="YW413" s="4"/>
      <c r="YX413" s="5"/>
      <c r="YY413" s="6"/>
      <c r="YZ413" s="4"/>
      <c r="ZA413" s="4"/>
      <c r="ZB413" s="4"/>
      <c r="ZC413" s="4"/>
      <c r="ZD413" s="4"/>
      <c r="ZE413" s="5"/>
      <c r="ZF413" s="6"/>
      <c r="ZG413" s="4"/>
      <c r="ZH413" s="4"/>
      <c r="ZI413" s="4"/>
      <c r="ZJ413" s="4"/>
      <c r="ZK413" s="4"/>
      <c r="ZL413" s="5"/>
      <c r="ZM413" s="6"/>
      <c r="ZN413" s="4"/>
      <c r="ZO413" s="4"/>
      <c r="ZP413" s="4"/>
      <c r="ZQ413" s="4"/>
      <c r="ZR413" s="4"/>
      <c r="ZS413" s="5"/>
      <c r="ZT413" s="6"/>
      <c r="ZU413" s="4"/>
      <c r="ZV413" s="4"/>
      <c r="ZW413" s="4"/>
      <c r="ZX413" s="4"/>
      <c r="ZY413" s="4"/>
      <c r="ZZ413" s="5"/>
      <c r="AAA413" s="6"/>
      <c r="AAB413" s="4"/>
      <c r="AAC413" s="4"/>
      <c r="AAD413" s="4"/>
      <c r="AAE413" s="4"/>
      <c r="AAF413" s="4"/>
      <c r="AAG413" s="5"/>
      <c r="AAH413" s="6"/>
      <c r="AAI413" s="4"/>
      <c r="AAJ413" s="4"/>
      <c r="AAK413" s="4"/>
      <c r="AAL413" s="4"/>
      <c r="AAM413" s="4"/>
      <c r="AAN413" s="5"/>
      <c r="AAO413" s="6"/>
      <c r="AAP413" s="4"/>
      <c r="AAQ413" s="4"/>
      <c r="AAR413" s="4"/>
      <c r="AAS413" s="4"/>
      <c r="AAT413" s="4"/>
      <c r="AAU413" s="5"/>
      <c r="AAV413" s="6"/>
      <c r="AAW413" s="4"/>
      <c r="AAX413" s="4"/>
      <c r="AAY413" s="4"/>
      <c r="AAZ413" s="4"/>
      <c r="ABA413" s="4"/>
      <c r="ABB413" s="5"/>
      <c r="ABC413" s="6"/>
      <c r="ABD413" s="4"/>
      <c r="ABE413" s="4"/>
      <c r="ABF413" s="4"/>
      <c r="ABG413" s="4"/>
      <c r="ABH413" s="4"/>
      <c r="ABI413" s="5"/>
      <c r="ABJ413" s="6"/>
      <c r="ABK413" s="4"/>
      <c r="ABL413" s="4"/>
      <c r="ABM413" s="4"/>
      <c r="ABN413" s="4"/>
      <c r="ABO413" s="4"/>
      <c r="ABP413" s="5"/>
      <c r="ABQ413" s="6"/>
      <c r="ABR413" s="4"/>
      <c r="ABS413" s="4"/>
      <c r="ABT413" s="4"/>
      <c r="ABU413" s="4"/>
      <c r="ABV413" s="4"/>
      <c r="ABW413" s="5"/>
      <c r="ABX413" s="6"/>
      <c r="ABY413" s="4"/>
      <c r="ABZ413" s="4"/>
      <c r="ACA413" s="4"/>
      <c r="ACB413" s="4"/>
      <c r="ACC413" s="4"/>
      <c r="ACD413" s="5"/>
      <c r="ACE413" s="6"/>
      <c r="ACF413" s="4"/>
      <c r="ACG413" s="4"/>
      <c r="ACH413" s="4"/>
      <c r="ACI413" s="4"/>
      <c r="ACJ413" s="4"/>
      <c r="ACK413" s="5"/>
      <c r="ACN413" s="4"/>
      <c r="ACO413" s="4"/>
      <c r="ACP413" s="4"/>
      <c r="ACQ413" s="4"/>
      <c r="ACR413" s="5"/>
      <c r="ACS413" s="6"/>
      <c r="ACT413" s="4"/>
      <c r="ACU413" s="4"/>
      <c r="ACV413" s="4"/>
      <c r="ACW413" s="4"/>
      <c r="ACX413" s="4"/>
      <c r="ACY413" s="5"/>
      <c r="ADG413" t="s">
        <v>4132</v>
      </c>
      <c r="ADJ413" t="s">
        <v>4130</v>
      </c>
      <c r="ADU413" t="s">
        <v>4131</v>
      </c>
      <c r="ADZ413" s="6" t="s">
        <v>4012</v>
      </c>
      <c r="AEA413" s="4" t="s">
        <v>4013</v>
      </c>
      <c r="AEK413" t="s">
        <v>4014</v>
      </c>
      <c r="AER413" t="s">
        <v>4015</v>
      </c>
    </row>
    <row r="414" spans="1:824" x14ac:dyDescent="0.25">
      <c r="J414" s="12"/>
      <c r="K414" s="12"/>
      <c r="L414" s="12"/>
      <c r="LL414" s="6"/>
      <c r="LM414" s="4"/>
      <c r="LN414" s="4"/>
      <c r="LO414" s="4"/>
      <c r="LP414" s="4"/>
      <c r="LQ414" s="4"/>
      <c r="LR414" s="5"/>
      <c r="LS414" s="6"/>
      <c r="LT414" s="4"/>
      <c r="LU414" s="4"/>
      <c r="LV414" s="4"/>
      <c r="LW414" s="4"/>
      <c r="LX414" s="4"/>
      <c r="LY414" s="5"/>
      <c r="LZ414" s="11" t="s">
        <v>2148</v>
      </c>
      <c r="MA414" s="7" t="s">
        <v>1921</v>
      </c>
      <c r="MB414" s="4" t="s">
        <v>2012</v>
      </c>
      <c r="MC414" s="4"/>
      <c r="MD414" s="4"/>
      <c r="ME414" s="4"/>
      <c r="MF414" s="4" t="s">
        <v>3931</v>
      </c>
      <c r="MG414" s="5" t="s">
        <v>3929</v>
      </c>
      <c r="MH414" s="6"/>
      <c r="MI414" s="4"/>
      <c r="MJ414" s="4"/>
      <c r="MK414" s="4"/>
      <c r="ML414" s="4"/>
      <c r="MM414" s="4"/>
      <c r="MN414" s="5"/>
      <c r="MO414" s="6"/>
      <c r="MP414" s="4"/>
      <c r="MQ414" s="4"/>
      <c r="MR414" s="4"/>
      <c r="MS414" s="4"/>
      <c r="MT414" s="4"/>
      <c r="MU414" s="5"/>
      <c r="MV414" s="6"/>
      <c r="MW414" s="4"/>
      <c r="MX414" s="4"/>
      <c r="MY414" s="4"/>
      <c r="MZ414" s="4"/>
      <c r="NA414" s="4"/>
      <c r="NB414" s="5"/>
      <c r="NC414" s="6"/>
      <c r="ND414" s="4"/>
      <c r="NE414" s="4"/>
      <c r="NF414" s="4"/>
      <c r="NG414" s="4"/>
      <c r="NH414" s="4"/>
      <c r="NI414" s="5"/>
      <c r="NJ414" s="6"/>
      <c r="NK414" s="4"/>
      <c r="NL414" s="4"/>
      <c r="NM414" s="4"/>
      <c r="NN414" s="4"/>
      <c r="NO414" s="4"/>
      <c r="NP414" s="5"/>
      <c r="NQ414" s="6"/>
      <c r="NR414" s="4"/>
      <c r="NS414" s="4"/>
      <c r="NT414" s="4"/>
      <c r="NU414" s="4"/>
      <c r="NV414" s="4"/>
      <c r="NW414" s="5"/>
      <c r="NX414" s="6"/>
      <c r="NY414" s="4"/>
      <c r="NZ414" s="4"/>
      <c r="OA414" s="4"/>
      <c r="OB414" s="4"/>
      <c r="OC414" s="4"/>
      <c r="OD414" s="5"/>
      <c r="OE414" s="6"/>
      <c r="OF414" s="4"/>
      <c r="OG414" s="4"/>
      <c r="OH414" s="4"/>
      <c r="OI414" s="4"/>
      <c r="OJ414" s="4"/>
      <c r="OK414" s="5"/>
      <c r="OL414" s="6"/>
      <c r="OM414" s="4"/>
      <c r="ON414" s="4"/>
      <c r="OO414" s="4"/>
      <c r="OP414" s="4"/>
      <c r="OQ414" s="4"/>
      <c r="OR414" s="5"/>
      <c r="OS414" s="6"/>
      <c r="OT414" s="4"/>
      <c r="OU414" s="4"/>
      <c r="OV414" s="4"/>
      <c r="OW414" s="4"/>
      <c r="OX414" s="4"/>
      <c r="OY414" s="5"/>
      <c r="OZ414" s="6"/>
      <c r="PA414" s="4"/>
      <c r="PB414" s="4"/>
      <c r="PC414" s="4"/>
      <c r="PD414" s="4"/>
      <c r="PE414" s="4"/>
      <c r="PF414" s="5"/>
      <c r="PG414" s="6"/>
      <c r="PH414" s="4"/>
      <c r="PI414" s="4"/>
      <c r="PJ414" s="4"/>
      <c r="PK414" s="4"/>
      <c r="PL414" s="4"/>
      <c r="PM414" s="5"/>
      <c r="PN414" s="6"/>
      <c r="PO414" s="4"/>
      <c r="PP414" s="4"/>
      <c r="PQ414" s="4"/>
      <c r="PR414" s="4"/>
      <c r="PS414" s="4"/>
      <c r="PT414" s="5"/>
      <c r="PU414" s="6"/>
      <c r="PV414" s="4"/>
      <c r="PW414" s="4"/>
      <c r="PX414" s="4"/>
      <c r="PY414" s="4"/>
      <c r="PZ414" s="4"/>
      <c r="QA414" s="5"/>
      <c r="QB414" s="6"/>
      <c r="QC414" s="4"/>
      <c r="QD414" s="4"/>
      <c r="QE414" s="4"/>
      <c r="QF414" s="4"/>
      <c r="QG414" s="4"/>
      <c r="QH414" s="5"/>
      <c r="QI414" s="6"/>
      <c r="QJ414" s="4"/>
      <c r="QK414" s="4"/>
      <c r="QL414" s="4"/>
      <c r="QM414" s="4"/>
      <c r="QN414" s="4"/>
      <c r="QO414" s="5"/>
      <c r="QP414" s="6"/>
      <c r="QQ414" s="4"/>
      <c r="QR414" s="4"/>
      <c r="QS414" s="4"/>
      <c r="QT414" s="4"/>
      <c r="QU414" s="4"/>
      <c r="QV414" s="5"/>
      <c r="QW414" s="6"/>
      <c r="QX414" s="4"/>
      <c r="QY414" s="4"/>
      <c r="QZ414" s="4"/>
      <c r="RA414" s="4"/>
      <c r="RB414" s="4"/>
      <c r="RC414" s="5"/>
      <c r="RD414" s="6"/>
      <c r="RE414" s="4"/>
      <c r="RF414" s="4"/>
      <c r="RG414" s="4"/>
      <c r="RH414" s="4"/>
      <c r="RI414" s="4"/>
      <c r="RJ414" s="5"/>
      <c r="RK414" s="6"/>
      <c r="RL414" s="4"/>
      <c r="RM414" s="4"/>
      <c r="RN414" s="4"/>
      <c r="RO414" s="4"/>
      <c r="RP414" s="4"/>
      <c r="RQ414" s="5"/>
      <c r="RR414" s="6"/>
      <c r="RS414" s="4"/>
      <c r="RT414" s="4"/>
      <c r="RU414" s="4"/>
      <c r="RV414" s="4"/>
      <c r="RW414" s="4"/>
      <c r="RX414" s="5"/>
      <c r="RY414" s="6"/>
      <c r="RZ414" s="4"/>
      <c r="SA414" s="4"/>
      <c r="SB414" s="4"/>
      <c r="SC414" s="4"/>
      <c r="SD414" s="4"/>
      <c r="SE414" s="5"/>
      <c r="SF414" s="6"/>
      <c r="SG414" s="4"/>
      <c r="SH414" s="4"/>
      <c r="SI414" s="4"/>
      <c r="SJ414" s="4"/>
      <c r="SK414" s="4"/>
      <c r="SL414" s="5"/>
      <c r="SM414" s="6"/>
      <c r="SN414" s="4"/>
      <c r="SO414" s="4"/>
      <c r="SP414" s="4"/>
      <c r="SQ414" s="4"/>
      <c r="SR414" s="4"/>
      <c r="SS414" s="5"/>
      <c r="ST414" s="6"/>
      <c r="SU414" s="4"/>
      <c r="SV414" s="4"/>
      <c r="SW414" s="4"/>
      <c r="SX414" s="4"/>
      <c r="SY414" s="4"/>
      <c r="SZ414" s="5"/>
      <c r="TA414" s="6"/>
      <c r="TB414" s="4"/>
      <c r="TC414" s="4"/>
      <c r="TD414" s="4"/>
      <c r="TE414" s="4"/>
      <c r="TF414" s="4"/>
      <c r="TG414" s="5"/>
      <c r="TH414" s="6"/>
      <c r="TI414" s="4"/>
      <c r="TJ414" s="4"/>
      <c r="TK414" s="4"/>
      <c r="TL414" s="4"/>
      <c r="TM414" s="4"/>
      <c r="TN414" s="5"/>
      <c r="TO414" s="6"/>
      <c r="TP414" s="4"/>
      <c r="TQ414" s="4"/>
      <c r="TR414" s="4"/>
      <c r="TS414" s="4"/>
      <c r="TT414" s="4"/>
      <c r="TU414" s="5"/>
      <c r="TV414" s="6"/>
      <c r="TW414" s="4"/>
      <c r="TX414" s="4"/>
      <c r="TY414" s="4"/>
      <c r="TZ414" s="4"/>
      <c r="UA414" s="4"/>
      <c r="UB414" s="5"/>
      <c r="UC414" s="6"/>
      <c r="UD414" s="4"/>
      <c r="UE414" s="4"/>
      <c r="UF414" s="4"/>
      <c r="UG414" s="4"/>
      <c r="UH414" s="4"/>
      <c r="UI414" s="5"/>
      <c r="UJ414" s="6"/>
      <c r="UK414" s="4"/>
      <c r="UL414" s="4"/>
      <c r="UM414" s="4"/>
      <c r="UN414" s="4"/>
      <c r="UO414" s="4"/>
      <c r="UP414" s="5"/>
      <c r="UQ414" s="6"/>
      <c r="UR414" s="4"/>
      <c r="US414" s="4"/>
      <c r="UT414" s="4"/>
      <c r="UU414" s="4"/>
      <c r="UV414" s="4"/>
      <c r="UW414" s="5"/>
      <c r="UX414" s="6"/>
      <c r="UY414" s="4"/>
      <c r="UZ414" s="4"/>
      <c r="VA414" s="4"/>
      <c r="VB414" s="4"/>
      <c r="VC414" s="4"/>
      <c r="VD414" s="5"/>
      <c r="VE414" s="6"/>
      <c r="VF414" s="4"/>
      <c r="VG414" s="4"/>
      <c r="VH414" s="4"/>
      <c r="VI414" s="4"/>
      <c r="VJ414" s="4"/>
      <c r="VK414" s="5"/>
      <c r="VL414" s="6"/>
      <c r="VM414" s="4"/>
      <c r="VN414" s="4"/>
      <c r="VO414" s="4"/>
      <c r="VP414" s="4"/>
      <c r="VQ414" s="4"/>
      <c r="VR414" s="5"/>
      <c r="VS414" s="6"/>
      <c r="VT414" s="4"/>
      <c r="VU414" s="4"/>
      <c r="VV414" s="4"/>
      <c r="VW414" s="4"/>
      <c r="VX414" s="4"/>
      <c r="VY414" s="5"/>
      <c r="VZ414" s="6"/>
      <c r="WA414" s="4"/>
      <c r="WB414" s="4"/>
      <c r="WC414" s="4"/>
      <c r="WD414" s="4"/>
      <c r="WE414" s="4"/>
      <c r="WF414" s="5"/>
      <c r="WG414" s="6"/>
      <c r="WH414" s="4"/>
      <c r="WI414" s="4"/>
      <c r="WJ414" s="4"/>
      <c r="WK414" s="4"/>
      <c r="WL414" s="4"/>
      <c r="WM414" s="5"/>
      <c r="WN414" s="6"/>
      <c r="WO414" s="4"/>
      <c r="WP414" s="4"/>
      <c r="WQ414" s="4"/>
      <c r="WR414" s="4"/>
      <c r="WS414" s="4"/>
      <c r="WT414" s="5"/>
      <c r="WU414" s="6"/>
      <c r="WV414" s="4"/>
      <c r="WW414" s="4"/>
      <c r="WX414" s="4"/>
      <c r="WY414" s="4"/>
      <c r="WZ414" s="4"/>
      <c r="XA414" s="5"/>
      <c r="XB414" s="6"/>
      <c r="XC414" s="4"/>
      <c r="XD414" s="4"/>
      <c r="XE414" s="4"/>
      <c r="XF414" s="4"/>
      <c r="XG414" s="4"/>
      <c r="XH414" s="5"/>
      <c r="XI414" s="6"/>
      <c r="XJ414" s="4"/>
      <c r="XK414" s="4"/>
      <c r="XL414" s="4"/>
      <c r="XM414" s="4"/>
      <c r="XN414" s="4"/>
      <c r="XO414" s="5"/>
      <c r="XP414" s="6"/>
      <c r="XQ414" s="4"/>
      <c r="XR414" s="4"/>
      <c r="XS414" s="4"/>
      <c r="XT414" s="4"/>
      <c r="XU414" s="4"/>
      <c r="XV414" s="5"/>
      <c r="XW414" s="6"/>
      <c r="XX414" s="4"/>
      <c r="XY414" s="4"/>
      <c r="XZ414" s="4"/>
      <c r="YA414" s="4"/>
      <c r="YB414" s="4"/>
      <c r="YC414" s="5"/>
      <c r="YD414" s="6"/>
      <c r="YE414" s="4"/>
      <c r="YF414" s="4"/>
      <c r="YG414" s="4"/>
      <c r="YH414" s="4"/>
      <c r="YI414" s="4"/>
      <c r="YJ414" s="5"/>
      <c r="YK414" s="6"/>
      <c r="YL414" s="4"/>
      <c r="YM414" s="4"/>
      <c r="YN414" s="4"/>
      <c r="YO414" s="4"/>
      <c r="YP414" s="4"/>
      <c r="YQ414" s="5"/>
      <c r="YR414" s="6"/>
      <c r="YS414" s="4"/>
      <c r="YT414" s="4"/>
      <c r="YU414" s="4"/>
      <c r="YV414" s="4"/>
      <c r="YW414" s="4"/>
      <c r="YX414" s="5"/>
      <c r="YY414" s="6"/>
      <c r="YZ414" s="4"/>
      <c r="ZA414" s="4"/>
      <c r="ZB414" s="4"/>
      <c r="ZC414" s="4"/>
      <c r="ZD414" s="4"/>
      <c r="ZE414" s="5"/>
      <c r="ZF414" s="6"/>
      <c r="ZG414" s="4"/>
      <c r="ZH414" s="4"/>
      <c r="ZI414" s="4"/>
      <c r="ZJ414" s="4"/>
      <c r="ZK414" s="4"/>
      <c r="ZL414" s="5"/>
      <c r="ZM414" s="6"/>
      <c r="ZN414" s="4"/>
      <c r="ZO414" s="4"/>
      <c r="ZP414" s="4"/>
      <c r="ZQ414" s="4"/>
      <c r="ZR414" s="4"/>
      <c r="ZS414" s="5"/>
      <c r="ZT414" s="6"/>
      <c r="ZU414" s="4"/>
      <c r="ZV414" s="4"/>
      <c r="ZW414" s="4"/>
      <c r="ZX414" s="4"/>
      <c r="ZY414" s="4"/>
      <c r="ZZ414" s="5"/>
      <c r="AAA414" s="6"/>
      <c r="AAB414" s="4"/>
      <c r="AAC414" s="4"/>
      <c r="AAD414" s="4"/>
      <c r="AAE414" s="4"/>
      <c r="AAF414" s="4"/>
      <c r="AAG414" s="5"/>
      <c r="AAH414" s="6"/>
      <c r="AAI414" s="4"/>
      <c r="AAJ414" s="4"/>
      <c r="AAK414" s="4"/>
      <c r="AAL414" s="4"/>
      <c r="AAM414" s="4"/>
      <c r="AAN414" s="5"/>
      <c r="AAO414" s="6"/>
      <c r="AAP414" s="4"/>
      <c r="AAQ414" s="4"/>
      <c r="AAR414" s="4"/>
      <c r="AAS414" s="4"/>
      <c r="AAT414" s="4"/>
      <c r="AAU414" s="5"/>
      <c r="AAV414" s="6"/>
      <c r="AAW414" s="4"/>
      <c r="AAX414" s="4"/>
      <c r="AAY414" s="4"/>
      <c r="AAZ414" s="4"/>
      <c r="ABA414" s="4"/>
      <c r="ABB414" s="5"/>
      <c r="ABC414" s="6"/>
      <c r="ABD414" s="4"/>
      <c r="ABE414" s="4"/>
      <c r="ABF414" s="4"/>
      <c r="ABG414" s="4"/>
      <c r="ABH414" s="4"/>
      <c r="ABI414" s="5"/>
      <c r="ABJ414" s="6"/>
      <c r="ABK414" s="4"/>
      <c r="ABL414" s="4"/>
      <c r="ABM414" s="4"/>
      <c r="ABN414" s="4"/>
      <c r="ABO414" s="4"/>
      <c r="ABP414" s="5"/>
      <c r="ABQ414" s="6"/>
      <c r="ABR414" s="4"/>
      <c r="ABS414" s="4"/>
      <c r="ABT414" s="4"/>
      <c r="ABU414" s="4"/>
      <c r="ABV414" s="4"/>
      <c r="ABW414" s="5"/>
      <c r="ABX414" s="6"/>
      <c r="ABY414" s="4"/>
      <c r="ABZ414" s="4"/>
      <c r="ACA414" s="4"/>
      <c r="ACB414" s="4"/>
      <c r="ACC414" s="4"/>
      <c r="ACD414" s="5"/>
      <c r="ACE414" s="6"/>
      <c r="ACF414" s="4"/>
      <c r="ACG414" s="4"/>
      <c r="ACH414" s="4"/>
      <c r="ACI414" s="4"/>
      <c r="ACJ414" s="4"/>
      <c r="ACK414" s="5"/>
      <c r="ACN414" s="4"/>
      <c r="ACO414" s="4"/>
      <c r="ACP414" s="4"/>
      <c r="ACQ414" s="4"/>
      <c r="ACR414" s="5"/>
      <c r="ACS414" s="6"/>
      <c r="ACT414" s="4"/>
      <c r="ACU414" s="4"/>
      <c r="ACV414" s="4"/>
      <c r="ACW414" s="4"/>
      <c r="ACX414" s="4"/>
      <c r="ACY414" s="5"/>
      <c r="ADZ414" s="6" t="s">
        <v>138</v>
      </c>
    </row>
    <row r="415" spans="1:824" x14ac:dyDescent="0.25">
      <c r="J415" s="12"/>
      <c r="K415" s="12"/>
      <c r="L415" s="12"/>
      <c r="LL415" s="6"/>
      <c r="LM415" s="4"/>
      <c r="LN415" s="4"/>
      <c r="LO415" s="4"/>
      <c r="LP415" s="4"/>
      <c r="LQ415" s="4"/>
      <c r="LR415" s="5"/>
      <c r="LS415" s="6"/>
      <c r="LT415" s="4"/>
      <c r="LU415" s="4"/>
      <c r="LV415" s="4"/>
      <c r="LW415" s="4"/>
      <c r="LX415" s="4"/>
      <c r="LY415" s="5"/>
      <c r="LZ415" s="11" t="s">
        <v>1383</v>
      </c>
      <c r="MA415" s="7" t="s">
        <v>1383</v>
      </c>
      <c r="MB415" s="4"/>
      <c r="MC415" s="4"/>
      <c r="MD415" s="4"/>
      <c r="ME415" s="4"/>
      <c r="MF415" s="4"/>
      <c r="MG415" s="5" t="s">
        <v>3930</v>
      </c>
      <c r="MH415" s="6"/>
      <c r="MI415" s="4"/>
      <c r="MJ415" s="4"/>
      <c r="MK415" s="4"/>
      <c r="ML415" s="4"/>
      <c r="MM415" s="4"/>
      <c r="MN415" s="5"/>
      <c r="MO415" s="6"/>
      <c r="MP415" s="4"/>
      <c r="MQ415" s="4"/>
      <c r="MR415" s="4"/>
      <c r="MS415" s="4"/>
      <c r="MT415" s="4"/>
      <c r="MU415" s="5"/>
      <c r="MV415" s="6"/>
      <c r="MW415" s="4"/>
      <c r="MX415" s="4"/>
      <c r="MY415" s="4"/>
      <c r="MZ415" s="4"/>
      <c r="NA415" s="4"/>
      <c r="NB415" s="5"/>
      <c r="NC415" s="6"/>
      <c r="ND415" s="4"/>
      <c r="NE415" s="4"/>
      <c r="NF415" s="4"/>
      <c r="NG415" s="4"/>
      <c r="NH415" s="4"/>
      <c r="NI415" s="5"/>
      <c r="NJ415" s="6"/>
      <c r="NK415" s="4"/>
      <c r="NL415" s="4"/>
      <c r="NM415" s="4"/>
      <c r="NN415" s="4"/>
      <c r="NO415" s="4"/>
      <c r="NP415" s="5"/>
      <c r="NQ415" s="6"/>
      <c r="NR415" s="4"/>
      <c r="NS415" s="4"/>
      <c r="NT415" s="4"/>
      <c r="NU415" s="4"/>
      <c r="NV415" s="4"/>
      <c r="NW415" s="5"/>
      <c r="NX415" s="6"/>
      <c r="NY415" s="4"/>
      <c r="NZ415" s="4"/>
      <c r="OA415" s="4"/>
      <c r="OB415" s="4"/>
      <c r="OC415" s="4"/>
      <c r="OD415" s="5"/>
      <c r="OE415" s="6"/>
      <c r="OF415" s="4"/>
      <c r="OG415" s="4"/>
      <c r="OH415" s="4"/>
      <c r="OI415" s="4"/>
      <c r="OJ415" s="4"/>
      <c r="OK415" s="5"/>
      <c r="OL415" s="6"/>
      <c r="OM415" s="4"/>
      <c r="ON415" s="4"/>
      <c r="OO415" s="4"/>
      <c r="OP415" s="4"/>
      <c r="OQ415" s="4"/>
      <c r="OR415" s="5"/>
      <c r="OS415" s="6"/>
      <c r="OT415" s="4"/>
      <c r="OU415" s="4"/>
      <c r="OV415" s="4"/>
      <c r="OW415" s="4"/>
      <c r="OX415" s="4"/>
      <c r="OY415" s="5"/>
      <c r="OZ415" s="6"/>
      <c r="PA415" s="4"/>
      <c r="PB415" s="4"/>
      <c r="PC415" s="4"/>
      <c r="PD415" s="4"/>
      <c r="PE415" s="4"/>
      <c r="PF415" s="5"/>
      <c r="PG415" s="6"/>
      <c r="PH415" s="4"/>
      <c r="PI415" s="4"/>
      <c r="PJ415" s="4"/>
      <c r="PK415" s="4"/>
      <c r="PL415" s="4"/>
      <c r="PM415" s="5"/>
      <c r="PN415" s="6"/>
      <c r="PO415" s="4"/>
      <c r="PP415" s="4"/>
      <c r="PQ415" s="4"/>
      <c r="PR415" s="4"/>
      <c r="PS415" s="4"/>
      <c r="PT415" s="5"/>
      <c r="PU415" s="6"/>
      <c r="PV415" s="4"/>
      <c r="PW415" s="4"/>
      <c r="PX415" s="4"/>
      <c r="PY415" s="4"/>
      <c r="PZ415" s="4"/>
      <c r="QA415" s="5"/>
      <c r="QB415" s="6"/>
      <c r="QC415" s="4"/>
      <c r="QD415" s="4"/>
      <c r="QE415" s="4"/>
      <c r="QF415" s="4"/>
      <c r="QG415" s="4"/>
      <c r="QH415" s="5"/>
      <c r="QI415" s="6"/>
      <c r="QJ415" s="4"/>
      <c r="QK415" s="4"/>
      <c r="QL415" s="4"/>
      <c r="QM415" s="4"/>
      <c r="QN415" s="4"/>
      <c r="QO415" s="5"/>
      <c r="QP415" s="6"/>
      <c r="QQ415" s="4"/>
      <c r="QR415" s="4"/>
      <c r="QS415" s="4"/>
      <c r="QT415" s="4"/>
      <c r="QU415" s="4"/>
      <c r="QV415" s="5"/>
      <c r="QW415" s="6"/>
      <c r="QX415" s="4"/>
      <c r="QY415" s="4"/>
      <c r="QZ415" s="4"/>
      <c r="RA415" s="4"/>
      <c r="RB415" s="4"/>
      <c r="RC415" s="5"/>
      <c r="RD415" s="6"/>
      <c r="RE415" s="4"/>
      <c r="RF415" s="4"/>
      <c r="RG415" s="4"/>
      <c r="RH415" s="4"/>
      <c r="RI415" s="4"/>
      <c r="RJ415" s="5"/>
      <c r="RK415" s="6"/>
      <c r="RL415" s="4"/>
      <c r="RM415" s="4"/>
      <c r="RN415" s="4"/>
      <c r="RO415" s="4"/>
      <c r="RP415" s="4"/>
      <c r="RQ415" s="5"/>
      <c r="RR415" s="6"/>
      <c r="RS415" s="4"/>
      <c r="RT415" s="4"/>
      <c r="RU415" s="4"/>
      <c r="RV415" s="4"/>
      <c r="RW415" s="4"/>
      <c r="RX415" s="5"/>
      <c r="RY415" s="6"/>
      <c r="RZ415" s="4"/>
      <c r="SA415" s="4"/>
      <c r="SB415" s="4"/>
      <c r="SC415" s="4"/>
      <c r="SD415" s="4"/>
      <c r="SE415" s="5"/>
      <c r="SF415" s="6"/>
      <c r="SG415" s="4"/>
      <c r="SH415" s="4"/>
      <c r="SI415" s="4"/>
      <c r="SJ415" s="4"/>
      <c r="SK415" s="4"/>
      <c r="SL415" s="5"/>
      <c r="SM415" s="6"/>
      <c r="SN415" s="4"/>
      <c r="SO415" s="4"/>
      <c r="SP415" s="4"/>
      <c r="SQ415" s="4"/>
      <c r="SR415" s="4"/>
      <c r="SS415" s="5"/>
      <c r="ST415" s="6"/>
      <c r="SU415" s="4"/>
      <c r="SV415" s="4"/>
      <c r="SW415" s="4"/>
      <c r="SX415" s="4"/>
      <c r="SY415" s="4"/>
      <c r="SZ415" s="5"/>
      <c r="TA415" s="6"/>
      <c r="TB415" s="4"/>
      <c r="TC415" s="4"/>
      <c r="TD415" s="4"/>
      <c r="TE415" s="4"/>
      <c r="TF415" s="4"/>
      <c r="TG415" s="5"/>
      <c r="TH415" s="6"/>
      <c r="TI415" s="4"/>
      <c r="TJ415" s="4"/>
      <c r="TK415" s="4"/>
      <c r="TL415" s="4"/>
      <c r="TM415" s="4"/>
      <c r="TN415" s="5"/>
      <c r="TO415" s="6"/>
      <c r="TP415" s="4"/>
      <c r="TQ415" s="4"/>
      <c r="TR415" s="4"/>
      <c r="TS415" s="4"/>
      <c r="TT415" s="4"/>
      <c r="TU415" s="5"/>
      <c r="TV415" s="6"/>
      <c r="TW415" s="4"/>
      <c r="TX415" s="4"/>
      <c r="TY415" s="4"/>
      <c r="TZ415" s="4"/>
      <c r="UA415" s="4"/>
      <c r="UB415" s="5"/>
      <c r="UC415" s="6"/>
      <c r="UD415" s="4"/>
      <c r="UE415" s="4"/>
      <c r="UF415" s="4"/>
      <c r="UG415" s="4"/>
      <c r="UH415" s="4"/>
      <c r="UI415" s="5"/>
      <c r="UJ415" s="6"/>
      <c r="UK415" s="4"/>
      <c r="UL415" s="4"/>
      <c r="UM415" s="4"/>
      <c r="UN415" s="4"/>
      <c r="UO415" s="4"/>
      <c r="UP415" s="5"/>
      <c r="UQ415" s="6"/>
      <c r="UR415" s="4"/>
      <c r="US415" s="4"/>
      <c r="UT415" s="4"/>
      <c r="UU415" s="4"/>
      <c r="UV415" s="4"/>
      <c r="UW415" s="5"/>
      <c r="UX415" s="6"/>
      <c r="UY415" s="4"/>
      <c r="UZ415" s="4"/>
      <c r="VA415" s="4"/>
      <c r="VB415" s="4"/>
      <c r="VC415" s="4"/>
      <c r="VD415" s="5"/>
      <c r="VE415" s="6"/>
      <c r="VF415" s="4"/>
      <c r="VG415" s="4"/>
      <c r="VH415" s="4"/>
      <c r="VI415" s="4"/>
      <c r="VJ415" s="4"/>
      <c r="VK415" s="5"/>
      <c r="VL415" s="6"/>
      <c r="VM415" s="4"/>
      <c r="VN415" s="4"/>
      <c r="VO415" s="4"/>
      <c r="VP415" s="4"/>
      <c r="VQ415" s="4"/>
      <c r="VR415" s="5"/>
      <c r="VS415" s="6"/>
      <c r="VT415" s="4"/>
      <c r="VU415" s="4"/>
      <c r="VV415" s="4"/>
      <c r="VW415" s="4"/>
      <c r="VX415" s="4"/>
      <c r="VY415" s="5"/>
      <c r="VZ415" s="6"/>
      <c r="WA415" s="4"/>
      <c r="WB415" s="4"/>
      <c r="WC415" s="4"/>
      <c r="WD415" s="4"/>
      <c r="WE415" s="4"/>
      <c r="WF415" s="5"/>
      <c r="WG415" s="6"/>
      <c r="WH415" s="4"/>
      <c r="WI415" s="4"/>
      <c r="WJ415" s="4"/>
      <c r="WK415" s="4"/>
      <c r="WL415" s="4"/>
      <c r="WM415" s="5"/>
      <c r="WN415" s="6"/>
      <c r="WO415" s="4"/>
      <c r="WP415" s="4"/>
      <c r="WQ415" s="4"/>
      <c r="WR415" s="4"/>
      <c r="WS415" s="4"/>
      <c r="WT415" s="5"/>
      <c r="WU415" s="6"/>
      <c r="WV415" s="4"/>
      <c r="WW415" s="4"/>
      <c r="WX415" s="4"/>
      <c r="WY415" s="4"/>
      <c r="WZ415" s="4"/>
      <c r="XA415" s="5"/>
      <c r="XB415" s="6"/>
      <c r="XC415" s="4"/>
      <c r="XD415" s="4"/>
      <c r="XE415" s="4"/>
      <c r="XF415" s="4"/>
      <c r="XG415" s="4"/>
      <c r="XH415" s="5"/>
      <c r="XI415" s="6"/>
      <c r="XJ415" s="4"/>
      <c r="XK415" s="4"/>
      <c r="XL415" s="4"/>
      <c r="XM415" s="4"/>
      <c r="XN415" s="4"/>
      <c r="XO415" s="5"/>
      <c r="XP415" s="6"/>
      <c r="XQ415" s="4"/>
      <c r="XR415" s="4"/>
      <c r="XS415" s="4"/>
      <c r="XT415" s="4"/>
      <c r="XU415" s="4"/>
      <c r="XV415" s="5"/>
      <c r="XW415" s="6"/>
      <c r="XX415" s="4"/>
      <c r="XY415" s="4"/>
      <c r="XZ415" s="4"/>
      <c r="YA415" s="4"/>
      <c r="YB415" s="4"/>
      <c r="YC415" s="5"/>
      <c r="YD415" s="6"/>
      <c r="YE415" s="4"/>
      <c r="YF415" s="4"/>
      <c r="YG415" s="4"/>
      <c r="YH415" s="4"/>
      <c r="YI415" s="4"/>
      <c r="YJ415" s="5"/>
      <c r="YK415" s="6"/>
      <c r="YL415" s="4"/>
      <c r="YM415" s="4"/>
      <c r="YN415" s="4"/>
      <c r="YO415" s="4"/>
      <c r="YP415" s="4"/>
      <c r="YQ415" s="5"/>
      <c r="YR415" s="6"/>
      <c r="YS415" s="4"/>
      <c r="YT415" s="4"/>
      <c r="YU415" s="4"/>
      <c r="YV415" s="4"/>
      <c r="YW415" s="4"/>
      <c r="YX415" s="5"/>
      <c r="YY415" s="6"/>
      <c r="YZ415" s="4"/>
      <c r="ZA415" s="4"/>
      <c r="ZB415" s="4"/>
      <c r="ZC415" s="4"/>
      <c r="ZD415" s="4"/>
      <c r="ZE415" s="5"/>
      <c r="ZF415" s="6"/>
      <c r="ZG415" s="4"/>
      <c r="ZH415" s="4"/>
      <c r="ZI415" s="4"/>
      <c r="ZJ415" s="4"/>
      <c r="ZK415" s="4"/>
      <c r="ZL415" s="5"/>
      <c r="ZM415" s="6"/>
      <c r="ZN415" s="4"/>
      <c r="ZO415" s="4"/>
      <c r="ZP415" s="4"/>
      <c r="ZQ415" s="4"/>
      <c r="ZR415" s="4"/>
      <c r="ZS415" s="5"/>
      <c r="ZT415" s="6"/>
      <c r="ZU415" s="4"/>
      <c r="ZV415" s="4"/>
      <c r="ZW415" s="4"/>
      <c r="ZX415" s="4"/>
      <c r="ZY415" s="4"/>
      <c r="ZZ415" s="5"/>
      <c r="AAA415" s="6"/>
      <c r="AAB415" s="4"/>
      <c r="AAC415" s="4"/>
      <c r="AAD415" s="4"/>
      <c r="AAE415" s="4"/>
      <c r="AAF415" s="4"/>
      <c r="AAG415" s="5"/>
      <c r="AAH415" s="6"/>
      <c r="AAI415" s="4"/>
      <c r="AAJ415" s="4"/>
      <c r="AAK415" s="4"/>
      <c r="AAL415" s="4"/>
      <c r="AAM415" s="4"/>
      <c r="AAN415" s="5"/>
      <c r="AAO415" s="6"/>
      <c r="AAP415" s="4"/>
      <c r="AAQ415" s="4"/>
      <c r="AAR415" s="4"/>
      <c r="AAS415" s="4"/>
      <c r="AAT415" s="4"/>
      <c r="AAU415" s="5"/>
      <c r="AAV415" s="6"/>
      <c r="AAW415" s="4"/>
      <c r="AAX415" s="4"/>
      <c r="AAY415" s="4"/>
      <c r="AAZ415" s="4"/>
      <c r="ABA415" s="4"/>
      <c r="ABB415" s="5"/>
      <c r="ABC415" s="6"/>
      <c r="ABD415" s="4"/>
      <c r="ABE415" s="4"/>
      <c r="ABF415" s="4"/>
      <c r="ABG415" s="4"/>
      <c r="ABH415" s="4"/>
      <c r="ABI415" s="5"/>
      <c r="ABJ415" s="6"/>
      <c r="ABK415" s="4"/>
      <c r="ABL415" s="4"/>
      <c r="ABM415" s="4"/>
      <c r="ABN415" s="4"/>
      <c r="ABO415" s="4"/>
      <c r="ABP415" s="5"/>
      <c r="ABQ415" s="6"/>
      <c r="ABR415" s="4"/>
      <c r="ABS415" s="4"/>
      <c r="ABT415" s="4"/>
      <c r="ABU415" s="4"/>
      <c r="ABV415" s="4"/>
      <c r="ABW415" s="5"/>
      <c r="ABX415" s="6"/>
      <c r="ABY415" s="4"/>
      <c r="ABZ415" s="4"/>
      <c r="ACA415" s="4"/>
      <c r="ACB415" s="4"/>
      <c r="ACC415" s="4"/>
      <c r="ACD415" s="5"/>
      <c r="ACE415" s="6"/>
      <c r="ACF415" s="4"/>
      <c r="ACG415" s="4"/>
      <c r="ACH415" s="4"/>
      <c r="ACI415" s="4"/>
      <c r="ACJ415" s="4"/>
      <c r="ACK415" s="5"/>
      <c r="ACN415" s="4"/>
      <c r="ACO415" s="4"/>
      <c r="ACP415" s="4"/>
      <c r="ACQ415" s="4"/>
      <c r="ACR415" s="5"/>
      <c r="ACS415" s="6"/>
      <c r="ACT415" s="4"/>
      <c r="ACU415" s="4"/>
      <c r="ACV415" s="4"/>
      <c r="ACW415" s="4"/>
      <c r="ACX415" s="4"/>
      <c r="ACY415" s="5"/>
      <c r="ADZ415" s="6" t="s">
        <v>139</v>
      </c>
    </row>
    <row r="416" spans="1:824" x14ac:dyDescent="0.25">
      <c r="J416" s="12"/>
      <c r="K416" s="12"/>
      <c r="L416" s="12"/>
      <c r="LL416" s="6"/>
      <c r="LM416" s="4"/>
      <c r="LN416" s="4"/>
      <c r="LO416" s="4"/>
      <c r="LP416" s="4"/>
      <c r="LQ416" s="4"/>
      <c r="LR416" s="5"/>
      <c r="LS416" s="6"/>
      <c r="LT416" s="4"/>
      <c r="LU416" s="4"/>
      <c r="LV416" s="4"/>
      <c r="LW416" s="4"/>
      <c r="LX416" s="4"/>
      <c r="LY416" s="5"/>
      <c r="LZ416" s="11" t="s">
        <v>1989</v>
      </c>
      <c r="MA416" s="7" t="s">
        <v>1989</v>
      </c>
      <c r="MB416" s="4"/>
      <c r="MC416" s="4"/>
      <c r="MD416" s="4"/>
      <c r="ME416" s="4"/>
      <c r="MF416" s="4"/>
      <c r="MG416" s="5" t="s">
        <v>3932</v>
      </c>
      <c r="MH416" s="6"/>
      <c r="MI416" s="4"/>
      <c r="MJ416" s="4"/>
      <c r="MK416" s="4"/>
      <c r="ML416" s="4"/>
      <c r="MM416" s="4"/>
      <c r="MN416" s="5"/>
      <c r="MO416" s="6"/>
      <c r="MP416" s="4"/>
      <c r="MQ416" s="4"/>
      <c r="MR416" s="4"/>
      <c r="MS416" s="4"/>
      <c r="MT416" s="4"/>
      <c r="MU416" s="5"/>
      <c r="MV416" s="6"/>
      <c r="MW416" s="4"/>
      <c r="MX416" s="4"/>
      <c r="MY416" s="4"/>
      <c r="MZ416" s="4"/>
      <c r="NA416" s="4"/>
      <c r="NB416" s="5"/>
      <c r="NC416" s="6"/>
      <c r="ND416" s="4"/>
      <c r="NE416" s="4"/>
      <c r="NF416" s="4"/>
      <c r="NG416" s="4"/>
      <c r="NH416" s="4"/>
      <c r="NI416" s="5"/>
      <c r="NJ416" s="6"/>
      <c r="NK416" s="4"/>
      <c r="NL416" s="4"/>
      <c r="NM416" s="4"/>
      <c r="NN416" s="4"/>
      <c r="NO416" s="4"/>
      <c r="NP416" s="5"/>
      <c r="NQ416" s="6"/>
      <c r="NR416" s="4"/>
      <c r="NS416" s="4"/>
      <c r="NT416" s="4"/>
      <c r="NU416" s="4"/>
      <c r="NV416" s="4"/>
      <c r="NW416" s="5"/>
      <c r="NX416" s="6"/>
      <c r="NY416" s="4"/>
      <c r="NZ416" s="4"/>
      <c r="OA416" s="4"/>
      <c r="OB416" s="4"/>
      <c r="OC416" s="4"/>
      <c r="OD416" s="5"/>
      <c r="OE416" s="6"/>
      <c r="OF416" s="4"/>
      <c r="OG416" s="4"/>
      <c r="OH416" s="4"/>
      <c r="OI416" s="4"/>
      <c r="OJ416" s="4"/>
      <c r="OK416" s="5"/>
      <c r="OL416" s="6"/>
      <c r="OM416" s="4"/>
      <c r="ON416" s="4"/>
      <c r="OO416" s="4"/>
      <c r="OP416" s="4"/>
      <c r="OQ416" s="4"/>
      <c r="OR416" s="5"/>
      <c r="OS416" s="6"/>
      <c r="OT416" s="4"/>
      <c r="OU416" s="4"/>
      <c r="OV416" s="4"/>
      <c r="OW416" s="4"/>
      <c r="OX416" s="4"/>
      <c r="OY416" s="5"/>
      <c r="OZ416" s="6"/>
      <c r="PA416" s="4"/>
      <c r="PB416" s="4"/>
      <c r="PC416" s="4"/>
      <c r="PD416" s="4"/>
      <c r="PE416" s="4"/>
      <c r="PF416" s="5"/>
      <c r="PG416" s="6"/>
      <c r="PH416" s="4"/>
      <c r="PI416" s="4"/>
      <c r="PJ416" s="4"/>
      <c r="PK416" s="4"/>
      <c r="PL416" s="4"/>
      <c r="PM416" s="5"/>
      <c r="PN416" s="6"/>
      <c r="PO416" s="4"/>
      <c r="PP416" s="4"/>
      <c r="PQ416" s="4"/>
      <c r="PR416" s="4"/>
      <c r="PS416" s="4"/>
      <c r="PT416" s="5"/>
      <c r="PU416" s="6"/>
      <c r="PV416" s="4"/>
      <c r="PW416" s="4"/>
      <c r="PX416" s="4"/>
      <c r="PY416" s="4"/>
      <c r="PZ416" s="4"/>
      <c r="QA416" s="5"/>
      <c r="QB416" s="6"/>
      <c r="QC416" s="4"/>
      <c r="QD416" s="4"/>
      <c r="QE416" s="4"/>
      <c r="QF416" s="4"/>
      <c r="QG416" s="4"/>
      <c r="QH416" s="5"/>
      <c r="QI416" s="6"/>
      <c r="QJ416" s="4"/>
      <c r="QK416" s="4"/>
      <c r="QL416" s="4"/>
      <c r="QM416" s="4"/>
      <c r="QN416" s="4"/>
      <c r="QO416" s="5"/>
      <c r="QP416" s="6"/>
      <c r="QQ416" s="4"/>
      <c r="QR416" s="4"/>
      <c r="QS416" s="4"/>
      <c r="QT416" s="4"/>
      <c r="QU416" s="4"/>
      <c r="QV416" s="5"/>
      <c r="QW416" s="6"/>
      <c r="QX416" s="4"/>
      <c r="QY416" s="4"/>
      <c r="QZ416" s="4"/>
      <c r="RA416" s="4"/>
      <c r="RB416" s="4"/>
      <c r="RC416" s="5"/>
      <c r="RD416" s="6"/>
      <c r="RE416" s="4"/>
      <c r="RF416" s="4"/>
      <c r="RG416" s="4"/>
      <c r="RH416" s="4"/>
      <c r="RI416" s="4"/>
      <c r="RJ416" s="5"/>
      <c r="RK416" s="6"/>
      <c r="RL416" s="4"/>
      <c r="RM416" s="4"/>
      <c r="RN416" s="4"/>
      <c r="RO416" s="4"/>
      <c r="RP416" s="4"/>
      <c r="RQ416" s="5"/>
      <c r="RR416" s="6"/>
      <c r="RS416" s="4"/>
      <c r="RT416" s="4"/>
      <c r="RU416" s="4"/>
      <c r="RV416" s="4"/>
      <c r="RW416" s="4"/>
      <c r="RX416" s="5"/>
      <c r="RY416" s="6"/>
      <c r="RZ416" s="4"/>
      <c r="SA416" s="4"/>
      <c r="SB416" s="4"/>
      <c r="SC416" s="4"/>
      <c r="SD416" s="4"/>
      <c r="SE416" s="5"/>
      <c r="SF416" s="6"/>
      <c r="SG416" s="4"/>
      <c r="SH416" s="4"/>
      <c r="SI416" s="4"/>
      <c r="SJ416" s="4"/>
      <c r="SK416" s="4"/>
      <c r="SL416" s="5"/>
      <c r="SM416" s="6"/>
      <c r="SN416" s="4"/>
      <c r="SO416" s="4"/>
      <c r="SP416" s="4"/>
      <c r="SQ416" s="4"/>
      <c r="SR416" s="4"/>
      <c r="SS416" s="5"/>
      <c r="ST416" s="6"/>
      <c r="SU416" s="4"/>
      <c r="SV416" s="4"/>
      <c r="SW416" s="4"/>
      <c r="SX416" s="4"/>
      <c r="SY416" s="4"/>
      <c r="SZ416" s="5"/>
      <c r="TA416" s="6"/>
      <c r="TB416" s="4"/>
      <c r="TC416" s="4"/>
      <c r="TD416" s="4"/>
      <c r="TE416" s="4"/>
      <c r="TF416" s="4"/>
      <c r="TG416" s="5"/>
      <c r="TH416" s="6"/>
      <c r="TI416" s="4"/>
      <c r="TJ416" s="4"/>
      <c r="TK416" s="4"/>
      <c r="TL416" s="4"/>
      <c r="TM416" s="4"/>
      <c r="TN416" s="5"/>
      <c r="TO416" s="6"/>
      <c r="TP416" s="4"/>
      <c r="TQ416" s="4"/>
      <c r="TR416" s="4"/>
      <c r="TS416" s="4"/>
      <c r="TT416" s="4"/>
      <c r="TU416" s="5"/>
      <c r="TV416" s="6"/>
      <c r="TW416" s="4"/>
      <c r="TX416" s="4"/>
      <c r="TY416" s="4"/>
      <c r="TZ416" s="4"/>
      <c r="UA416" s="4"/>
      <c r="UB416" s="5"/>
      <c r="UC416" s="6"/>
      <c r="UD416" s="4"/>
      <c r="UE416" s="4"/>
      <c r="UF416" s="4"/>
      <c r="UG416" s="4"/>
      <c r="UH416" s="4"/>
      <c r="UI416" s="5"/>
      <c r="UJ416" s="6"/>
      <c r="UK416" s="4"/>
      <c r="UL416" s="4"/>
      <c r="UM416" s="4"/>
      <c r="UN416" s="4"/>
      <c r="UO416" s="4"/>
      <c r="UP416" s="5"/>
      <c r="UQ416" s="6"/>
      <c r="UR416" s="4"/>
      <c r="US416" s="4"/>
      <c r="UT416" s="4"/>
      <c r="UU416" s="4"/>
      <c r="UV416" s="4"/>
      <c r="UW416" s="5"/>
      <c r="UX416" s="6"/>
      <c r="UY416" s="4"/>
      <c r="UZ416" s="4"/>
      <c r="VA416" s="4"/>
      <c r="VB416" s="4"/>
      <c r="VC416" s="4"/>
      <c r="VD416" s="5"/>
      <c r="VE416" s="6"/>
      <c r="VF416" s="4"/>
      <c r="VG416" s="4"/>
      <c r="VH416" s="4"/>
      <c r="VI416" s="4"/>
      <c r="VJ416" s="4"/>
      <c r="VK416" s="5"/>
      <c r="VL416" s="6"/>
      <c r="VM416" s="4"/>
      <c r="VN416" s="4"/>
      <c r="VO416" s="4"/>
      <c r="VP416" s="4"/>
      <c r="VQ416" s="4"/>
      <c r="VR416" s="5"/>
      <c r="VS416" s="6"/>
      <c r="VT416" s="4"/>
      <c r="VU416" s="4"/>
      <c r="VV416" s="4"/>
      <c r="VW416" s="4"/>
      <c r="VX416" s="4"/>
      <c r="VY416" s="5"/>
      <c r="VZ416" s="6"/>
      <c r="WA416" s="4"/>
      <c r="WB416" s="4"/>
      <c r="WC416" s="4"/>
      <c r="WD416" s="4"/>
      <c r="WE416" s="4"/>
      <c r="WF416" s="5"/>
      <c r="WG416" s="6"/>
      <c r="WH416" s="4"/>
      <c r="WI416" s="4"/>
      <c r="WJ416" s="4"/>
      <c r="WK416" s="4"/>
      <c r="WL416" s="4"/>
      <c r="WM416" s="5"/>
      <c r="WN416" s="6"/>
      <c r="WO416" s="4"/>
      <c r="WP416" s="4"/>
      <c r="WQ416" s="4"/>
      <c r="WR416" s="4"/>
      <c r="WS416" s="4"/>
      <c r="WT416" s="5"/>
      <c r="WU416" s="6"/>
      <c r="WV416" s="4"/>
      <c r="WW416" s="4"/>
      <c r="WX416" s="4"/>
      <c r="WY416" s="4"/>
      <c r="WZ416" s="4"/>
      <c r="XA416" s="5"/>
      <c r="XB416" s="6"/>
      <c r="XC416" s="4"/>
      <c r="XD416" s="4"/>
      <c r="XE416" s="4"/>
      <c r="XF416" s="4"/>
      <c r="XG416" s="4"/>
      <c r="XH416" s="5"/>
      <c r="XI416" s="6"/>
      <c r="XJ416" s="4"/>
      <c r="XK416" s="4"/>
      <c r="XL416" s="4"/>
      <c r="XM416" s="4"/>
      <c r="XN416" s="4"/>
      <c r="XO416" s="5"/>
      <c r="XP416" s="6"/>
      <c r="XQ416" s="4"/>
      <c r="XR416" s="4"/>
      <c r="XS416" s="4"/>
      <c r="XT416" s="4"/>
      <c r="XU416" s="4"/>
      <c r="XV416" s="5"/>
      <c r="XW416" s="6"/>
      <c r="XX416" s="4"/>
      <c r="XY416" s="4"/>
      <c r="XZ416" s="4"/>
      <c r="YA416" s="4"/>
      <c r="YB416" s="4"/>
      <c r="YC416" s="5"/>
      <c r="YD416" s="6"/>
      <c r="YE416" s="4"/>
      <c r="YF416" s="4"/>
      <c r="YG416" s="4"/>
      <c r="YH416" s="4"/>
      <c r="YI416" s="4"/>
      <c r="YJ416" s="5"/>
      <c r="YK416" s="6"/>
      <c r="YL416" s="4"/>
      <c r="YM416" s="4"/>
      <c r="YN416" s="4"/>
      <c r="YO416" s="4"/>
      <c r="YP416" s="4"/>
      <c r="YQ416" s="5"/>
      <c r="YR416" s="6"/>
      <c r="YS416" s="4"/>
      <c r="YT416" s="4"/>
      <c r="YU416" s="4"/>
      <c r="YV416" s="4"/>
      <c r="YW416" s="4"/>
      <c r="YX416" s="5"/>
      <c r="YY416" s="6"/>
      <c r="YZ416" s="4"/>
      <c r="ZA416" s="4"/>
      <c r="ZB416" s="4"/>
      <c r="ZC416" s="4"/>
      <c r="ZD416" s="4"/>
      <c r="ZE416" s="5"/>
      <c r="ZF416" s="6"/>
      <c r="ZG416" s="4"/>
      <c r="ZH416" s="4"/>
      <c r="ZI416" s="4"/>
      <c r="ZJ416" s="4"/>
      <c r="ZK416" s="4"/>
      <c r="ZL416" s="5"/>
      <c r="ZM416" s="6"/>
      <c r="ZN416" s="4"/>
      <c r="ZO416" s="4"/>
      <c r="ZP416" s="4"/>
      <c r="ZQ416" s="4"/>
      <c r="ZR416" s="4"/>
      <c r="ZS416" s="5"/>
      <c r="ZT416" s="6"/>
      <c r="ZU416" s="4"/>
      <c r="ZV416" s="4"/>
      <c r="ZW416" s="4"/>
      <c r="ZX416" s="4"/>
      <c r="ZY416" s="4"/>
      <c r="ZZ416" s="5"/>
      <c r="AAA416" s="6"/>
      <c r="AAB416" s="4"/>
      <c r="AAC416" s="4"/>
      <c r="AAD416" s="4"/>
      <c r="AAE416" s="4"/>
      <c r="AAF416" s="4"/>
      <c r="AAG416" s="5"/>
      <c r="AAH416" s="6"/>
      <c r="AAI416" s="4"/>
      <c r="AAJ416" s="4"/>
      <c r="AAK416" s="4"/>
      <c r="AAL416" s="4"/>
      <c r="AAM416" s="4"/>
      <c r="AAN416" s="5"/>
      <c r="AAO416" s="6"/>
      <c r="AAP416" s="4"/>
      <c r="AAQ416" s="4"/>
      <c r="AAR416" s="4"/>
      <c r="AAS416" s="4"/>
      <c r="AAT416" s="4"/>
      <c r="AAU416" s="5"/>
      <c r="AAV416" s="6"/>
      <c r="AAW416" s="4"/>
      <c r="AAX416" s="4"/>
      <c r="AAY416" s="4"/>
      <c r="AAZ416" s="4"/>
      <c r="ABA416" s="4"/>
      <c r="ABB416" s="5"/>
      <c r="ABC416" s="6"/>
      <c r="ABD416" s="4"/>
      <c r="ABE416" s="4"/>
      <c r="ABF416" s="4"/>
      <c r="ABG416" s="4"/>
      <c r="ABH416" s="4"/>
      <c r="ABI416" s="5"/>
      <c r="ABJ416" s="6"/>
      <c r="ABK416" s="4"/>
      <c r="ABL416" s="4"/>
      <c r="ABM416" s="4"/>
      <c r="ABN416" s="4"/>
      <c r="ABO416" s="4"/>
      <c r="ABP416" s="5"/>
      <c r="ABQ416" s="6"/>
      <c r="ABR416" s="4"/>
      <c r="ABS416" s="4"/>
      <c r="ABT416" s="4"/>
      <c r="ABU416" s="4"/>
      <c r="ABV416" s="4"/>
      <c r="ABW416" s="5"/>
      <c r="ABX416" s="6"/>
      <c r="ABY416" s="4"/>
      <c r="ABZ416" s="4"/>
      <c r="ACA416" s="4"/>
      <c r="ACB416" s="4"/>
      <c r="ACC416" s="4"/>
      <c r="ACD416" s="5"/>
      <c r="ACE416" s="6"/>
      <c r="ACF416" s="4"/>
      <c r="ACG416" s="4"/>
      <c r="ACH416" s="4"/>
      <c r="ACI416" s="4"/>
      <c r="ACJ416" s="4"/>
      <c r="ACK416" s="5"/>
      <c r="ACN416" s="4"/>
      <c r="ACO416" s="4"/>
      <c r="ACP416" s="4"/>
      <c r="ACQ416" s="4"/>
      <c r="ACR416" s="5"/>
      <c r="ACS416" s="6"/>
      <c r="ACT416" s="4"/>
      <c r="ACU416" s="4"/>
      <c r="ACV416" s="4"/>
      <c r="ACW416" s="4"/>
      <c r="ACX416" s="4"/>
      <c r="ACY416" s="5"/>
    </row>
    <row r="417" spans="2:816" x14ac:dyDescent="0.25">
      <c r="B417" s="29">
        <v>10004730</v>
      </c>
      <c r="C417" s="57">
        <v>60</v>
      </c>
      <c r="D417" t="s">
        <v>3729</v>
      </c>
      <c r="E417" s="39" t="s">
        <v>4019</v>
      </c>
      <c r="F417" s="23" t="s">
        <v>140</v>
      </c>
      <c r="I417">
        <v>1</v>
      </c>
      <c r="J417" s="19">
        <v>40173</v>
      </c>
      <c r="K417" s="19" t="s">
        <v>4016</v>
      </c>
      <c r="L417" s="19" t="s">
        <v>3893</v>
      </c>
      <c r="AG417">
        <v>1</v>
      </c>
      <c r="BP417">
        <v>1</v>
      </c>
      <c r="CY417">
        <v>1</v>
      </c>
      <c r="LL417" s="6"/>
      <c r="LM417" s="4"/>
      <c r="LN417" s="4"/>
      <c r="LO417" s="4"/>
      <c r="LP417" s="4"/>
      <c r="LQ417" s="4"/>
      <c r="LR417" s="5"/>
      <c r="LS417" s="6"/>
      <c r="LT417" s="4"/>
      <c r="LU417" s="4"/>
      <c r="LV417" s="4"/>
      <c r="LW417" s="4"/>
      <c r="LX417" s="4"/>
      <c r="LY417" s="5"/>
      <c r="LZ417" s="6" t="s">
        <v>1921</v>
      </c>
      <c r="MA417" s="7" t="s">
        <v>1921</v>
      </c>
      <c r="MB417" s="4" t="s">
        <v>1931</v>
      </c>
      <c r="MC417" s="7" t="s">
        <v>1690</v>
      </c>
      <c r="MD417" s="8">
        <v>40172</v>
      </c>
      <c r="ME417" s="8">
        <v>40082</v>
      </c>
      <c r="MF417" s="8" t="s">
        <v>4017</v>
      </c>
      <c r="MG417" s="5" t="s">
        <v>4018</v>
      </c>
      <c r="MH417" s="6"/>
      <c r="MI417" s="4"/>
      <c r="MJ417" s="4"/>
      <c r="MK417" s="4"/>
      <c r="ML417" s="4"/>
      <c r="MM417" s="4"/>
      <c r="MN417" s="5"/>
      <c r="MO417" s="6"/>
      <c r="MP417" s="4"/>
      <c r="MQ417" s="4"/>
      <c r="MR417" s="4"/>
      <c r="MS417" s="4"/>
      <c r="MT417" s="4"/>
      <c r="MU417" s="5"/>
      <c r="MV417" s="6"/>
      <c r="MW417" s="4"/>
      <c r="MX417" s="4"/>
      <c r="MY417" s="4"/>
      <c r="MZ417" s="4"/>
      <c r="NA417" s="4"/>
      <c r="NB417" s="5"/>
      <c r="NC417" s="6"/>
      <c r="ND417" s="4"/>
      <c r="NE417" s="4"/>
      <c r="NF417" s="4"/>
      <c r="NG417" s="4"/>
      <c r="NH417" s="4"/>
      <c r="NI417" s="5"/>
      <c r="NJ417" s="6"/>
      <c r="NK417" s="4"/>
      <c r="NL417" s="4"/>
      <c r="NM417" s="4"/>
      <c r="NN417" s="4"/>
      <c r="NO417" s="4"/>
      <c r="NP417" s="5"/>
      <c r="NQ417" s="6"/>
      <c r="NR417" s="4"/>
      <c r="NS417" s="4"/>
      <c r="NT417" s="4"/>
      <c r="NU417" s="4"/>
      <c r="NV417" s="4"/>
      <c r="NW417" s="5"/>
      <c r="NX417" s="6"/>
      <c r="NY417" s="4"/>
      <c r="NZ417" s="4"/>
      <c r="OA417" s="4"/>
      <c r="OB417" s="4"/>
      <c r="OC417" s="4"/>
      <c r="OD417" s="5"/>
      <c r="OE417" s="6"/>
      <c r="OF417" s="4"/>
      <c r="OG417" s="4"/>
      <c r="OH417" s="4"/>
      <c r="OI417" s="4"/>
      <c r="OJ417" s="4"/>
      <c r="OK417" s="5"/>
      <c r="OL417" s="6"/>
      <c r="OM417" s="4"/>
      <c r="ON417" s="4"/>
      <c r="OO417" s="4"/>
      <c r="OP417" s="4"/>
      <c r="OQ417" s="4"/>
      <c r="OR417" s="5"/>
      <c r="OS417" s="6"/>
      <c r="OT417" s="4"/>
      <c r="OU417" s="4"/>
      <c r="OV417" s="4"/>
      <c r="OW417" s="4"/>
      <c r="OX417" s="4"/>
      <c r="OY417" s="5"/>
      <c r="OZ417" s="6"/>
      <c r="PA417" s="4"/>
      <c r="PB417" s="4"/>
      <c r="PC417" s="4"/>
      <c r="PD417" s="4"/>
      <c r="PE417" s="4"/>
      <c r="PF417" s="5"/>
      <c r="PG417" s="6"/>
      <c r="PH417" s="4"/>
      <c r="PI417" s="4"/>
      <c r="PJ417" s="4"/>
      <c r="PK417" s="4"/>
      <c r="PL417" s="4"/>
      <c r="PM417" s="5"/>
      <c r="PN417" s="6"/>
      <c r="PO417" s="4"/>
      <c r="PP417" s="4"/>
      <c r="PQ417" s="4"/>
      <c r="PR417" s="4"/>
      <c r="PS417" s="4"/>
      <c r="PT417" s="5"/>
      <c r="PU417" s="6"/>
      <c r="PV417" s="4"/>
      <c r="PW417" s="4"/>
      <c r="PX417" s="4"/>
      <c r="PY417" s="4"/>
      <c r="PZ417" s="4"/>
      <c r="QA417" s="5"/>
      <c r="QB417" s="6"/>
      <c r="QC417" s="4"/>
      <c r="QD417" s="4"/>
      <c r="QE417" s="4"/>
      <c r="QF417" s="4"/>
      <c r="QG417" s="4"/>
      <c r="QH417" s="5"/>
      <c r="QI417" s="6"/>
      <c r="QJ417" s="4"/>
      <c r="QK417" s="4"/>
      <c r="QL417" s="4"/>
      <c r="QM417" s="4"/>
      <c r="QN417" s="4"/>
      <c r="QO417" s="5"/>
      <c r="QP417" s="6"/>
      <c r="QQ417" s="4"/>
      <c r="QR417" s="4"/>
      <c r="QS417" s="4"/>
      <c r="QT417" s="4"/>
      <c r="QU417" s="4"/>
      <c r="QV417" s="5"/>
      <c r="QW417" s="6"/>
      <c r="QX417" s="4"/>
      <c r="QY417" s="4"/>
      <c r="QZ417" s="4"/>
      <c r="RA417" s="4"/>
      <c r="RB417" s="4"/>
      <c r="RC417" s="5"/>
      <c r="RD417" s="6"/>
      <c r="RE417" s="4"/>
      <c r="RF417" s="4"/>
      <c r="RG417" s="4"/>
      <c r="RH417" s="4"/>
      <c r="RI417" s="4"/>
      <c r="RJ417" s="5"/>
      <c r="RK417" s="6"/>
      <c r="RL417" s="4"/>
      <c r="RM417" s="4"/>
      <c r="RN417" s="4"/>
      <c r="RO417" s="4"/>
      <c r="RP417" s="4"/>
      <c r="RQ417" s="5"/>
      <c r="RR417" s="6"/>
      <c r="RS417" s="4"/>
      <c r="RT417" s="4"/>
      <c r="RU417" s="4"/>
      <c r="RV417" s="4"/>
      <c r="RW417" s="4"/>
      <c r="RX417" s="5"/>
      <c r="RY417" s="6"/>
      <c r="RZ417" s="4"/>
      <c r="SA417" s="4"/>
      <c r="SB417" s="4"/>
      <c r="SC417" s="4"/>
      <c r="SD417" s="4"/>
      <c r="SE417" s="5"/>
      <c r="SF417" s="6"/>
      <c r="SG417" s="4"/>
      <c r="SH417" s="4"/>
      <c r="SI417" s="4"/>
      <c r="SJ417" s="4"/>
      <c r="SK417" s="4"/>
      <c r="SL417" s="5"/>
      <c r="SM417" s="6"/>
      <c r="SN417" s="4"/>
      <c r="SO417" s="4"/>
      <c r="SP417" s="4"/>
      <c r="SQ417" s="4"/>
      <c r="SR417" s="4"/>
      <c r="SS417" s="5"/>
      <c r="ST417" s="6"/>
      <c r="SU417" s="4"/>
      <c r="SV417" s="4"/>
      <c r="SW417" s="4"/>
      <c r="SX417" s="4"/>
      <c r="SY417" s="4"/>
      <c r="SZ417" s="5"/>
      <c r="TA417" s="6"/>
      <c r="TB417" s="4"/>
      <c r="TC417" s="4"/>
      <c r="TD417" s="4"/>
      <c r="TE417" s="4"/>
      <c r="TF417" s="4"/>
      <c r="TG417" s="5"/>
      <c r="TH417" s="6"/>
      <c r="TI417" s="4"/>
      <c r="TJ417" s="4"/>
      <c r="TK417" s="4"/>
      <c r="TL417" s="4"/>
      <c r="TM417" s="4"/>
      <c r="TN417" s="5"/>
      <c r="TO417" s="6"/>
      <c r="TP417" s="4"/>
      <c r="TQ417" s="4"/>
      <c r="TR417" s="4"/>
      <c r="TS417" s="4"/>
      <c r="TT417" s="4"/>
      <c r="TU417" s="5"/>
      <c r="TV417" s="6"/>
      <c r="TW417" s="4"/>
      <c r="TX417" s="4"/>
      <c r="TY417" s="4"/>
      <c r="TZ417" s="4"/>
      <c r="UA417" s="4"/>
      <c r="UB417" s="5"/>
      <c r="UC417" s="6"/>
      <c r="UD417" s="4"/>
      <c r="UE417" s="4"/>
      <c r="UF417" s="4"/>
      <c r="UG417" s="4"/>
      <c r="UH417" s="4"/>
      <c r="UI417" s="5"/>
      <c r="UJ417" s="6"/>
      <c r="UK417" s="4"/>
      <c r="UL417" s="4"/>
      <c r="UM417" s="4"/>
      <c r="UN417" s="4"/>
      <c r="UO417" s="4"/>
      <c r="UP417" s="5"/>
      <c r="UQ417" s="6"/>
      <c r="UR417" s="4"/>
      <c r="US417" s="4"/>
      <c r="UT417" s="4"/>
      <c r="UU417" s="4"/>
      <c r="UV417" s="4"/>
      <c r="UW417" s="5"/>
      <c r="UX417" s="6"/>
      <c r="UY417" s="4"/>
      <c r="UZ417" s="4"/>
      <c r="VA417" s="4"/>
      <c r="VB417" s="4"/>
      <c r="VC417" s="4"/>
      <c r="VD417" s="5"/>
      <c r="VE417" s="6"/>
      <c r="VF417" s="4"/>
      <c r="VG417" s="4"/>
      <c r="VH417" s="4"/>
      <c r="VI417" s="4"/>
      <c r="VJ417" s="4"/>
      <c r="VK417" s="5"/>
      <c r="VL417" s="4" t="s">
        <v>1915</v>
      </c>
      <c r="VM417" s="4" t="s">
        <v>1915</v>
      </c>
      <c r="VN417" s="4"/>
      <c r="VO417" s="4" t="s">
        <v>1932</v>
      </c>
      <c r="VP417" s="8">
        <v>40172</v>
      </c>
      <c r="VQ417" s="8">
        <v>40173</v>
      </c>
      <c r="VR417" s="5" t="s">
        <v>4018</v>
      </c>
      <c r="VS417" s="6"/>
      <c r="VT417" s="4"/>
      <c r="VU417" s="4"/>
      <c r="VV417" s="4"/>
      <c r="VW417" s="4"/>
      <c r="VX417" s="4"/>
      <c r="VY417" s="5"/>
      <c r="VZ417" s="6"/>
      <c r="WA417" s="4"/>
      <c r="WB417" s="4"/>
      <c r="WC417" s="4"/>
      <c r="WD417" s="4"/>
      <c r="WE417" s="4"/>
      <c r="WF417" s="5"/>
      <c r="WG417" s="6"/>
      <c r="WH417" s="4"/>
      <c r="WI417" s="4"/>
      <c r="WJ417" s="4"/>
      <c r="WK417" s="4"/>
      <c r="WL417" s="4"/>
      <c r="WM417" s="5"/>
      <c r="WN417" s="6"/>
      <c r="WO417" s="4"/>
      <c r="WP417" s="4"/>
      <c r="WQ417" s="4"/>
      <c r="WR417" s="4"/>
      <c r="WS417" s="4"/>
      <c r="WT417" s="5"/>
      <c r="WU417" s="6"/>
      <c r="WV417" s="4"/>
      <c r="WW417" s="4"/>
      <c r="WX417" s="4"/>
      <c r="WY417" s="4"/>
      <c r="WZ417" s="4"/>
      <c r="XA417" s="5"/>
      <c r="XB417" s="6"/>
      <c r="XC417" s="4"/>
      <c r="XD417" s="4"/>
      <c r="XE417" s="4"/>
      <c r="XF417" s="4"/>
      <c r="XG417" s="4"/>
      <c r="XH417" s="5"/>
      <c r="XI417" s="6"/>
      <c r="XJ417" s="4"/>
      <c r="XK417" s="4"/>
      <c r="XL417" s="4"/>
      <c r="XM417" s="4"/>
      <c r="XN417" s="4"/>
      <c r="XO417" s="5"/>
      <c r="XP417" s="6"/>
      <c r="XQ417" s="4"/>
      <c r="XR417" s="4"/>
      <c r="XS417" s="4"/>
      <c r="XT417" s="4"/>
      <c r="XU417" s="4"/>
      <c r="XV417" s="5"/>
      <c r="XW417" s="6"/>
      <c r="XX417" s="4"/>
      <c r="XY417" s="4"/>
      <c r="XZ417" s="4"/>
      <c r="YA417" s="4"/>
      <c r="YB417" s="4"/>
      <c r="YC417" s="5"/>
      <c r="YD417" s="6"/>
      <c r="YE417" s="4"/>
      <c r="YF417" s="4"/>
      <c r="YG417" s="4"/>
      <c r="YH417" s="4"/>
      <c r="YI417" s="4"/>
      <c r="YJ417" s="5"/>
      <c r="YK417" s="6"/>
      <c r="YL417" s="4"/>
      <c r="YM417" s="4"/>
      <c r="YN417" s="4"/>
      <c r="YO417" s="4"/>
      <c r="YP417" s="4"/>
      <c r="YQ417" s="5"/>
      <c r="YR417" s="6"/>
      <c r="YS417" s="4"/>
      <c r="YT417" s="4"/>
      <c r="YU417" s="4"/>
      <c r="YV417" s="4"/>
      <c r="YW417" s="4"/>
      <c r="YX417" s="5"/>
      <c r="YY417" s="6"/>
      <c r="YZ417" s="4"/>
      <c r="ZA417" s="4"/>
      <c r="ZB417" s="4"/>
      <c r="ZC417" s="4"/>
      <c r="ZD417" s="4"/>
      <c r="ZE417" s="5"/>
      <c r="ZF417" s="6"/>
      <c r="ZG417" s="4"/>
      <c r="ZH417" s="4"/>
      <c r="ZI417" s="4"/>
      <c r="ZJ417" s="4"/>
      <c r="ZK417" s="4"/>
      <c r="ZL417" s="5"/>
      <c r="ZM417" s="6"/>
      <c r="ZN417" s="4"/>
      <c r="ZO417" s="4"/>
      <c r="ZP417" s="4"/>
      <c r="ZQ417" s="4"/>
      <c r="ZR417" s="4"/>
      <c r="ZS417" s="5"/>
      <c r="ZT417" s="6"/>
      <c r="ZU417" s="4"/>
      <c r="ZV417" s="4"/>
      <c r="ZW417" s="4"/>
      <c r="ZX417" s="4"/>
      <c r="ZY417" s="4"/>
      <c r="ZZ417" s="5"/>
      <c r="AAA417" s="6"/>
      <c r="AAB417" s="4"/>
      <c r="AAC417" s="4"/>
      <c r="AAD417" s="4"/>
      <c r="AAE417" s="4"/>
      <c r="AAF417" s="4"/>
      <c r="AAG417" s="5"/>
      <c r="AAH417" s="6"/>
      <c r="AAI417" s="4"/>
      <c r="AAJ417" s="4"/>
      <c r="AAK417" s="4"/>
      <c r="AAL417" s="4"/>
      <c r="AAM417" s="4"/>
      <c r="AAN417" s="5"/>
      <c r="AAO417" s="6"/>
      <c r="AAP417" s="4"/>
      <c r="AAQ417" s="4"/>
      <c r="AAR417" s="4"/>
      <c r="AAS417" s="4"/>
      <c r="AAT417" s="4"/>
      <c r="AAU417" s="5"/>
      <c r="AAV417" s="6"/>
      <c r="AAW417" s="4"/>
      <c r="AAX417" s="4"/>
      <c r="AAY417" s="4"/>
      <c r="AAZ417" s="4"/>
      <c r="ABA417" s="4"/>
      <c r="ABB417" s="5"/>
      <c r="ABC417" s="6"/>
      <c r="ABD417" s="4"/>
      <c r="ABE417" s="4"/>
      <c r="ABF417" s="4"/>
      <c r="ABG417" s="4"/>
      <c r="ABH417" s="4"/>
      <c r="ABI417" s="5"/>
      <c r="ABJ417" s="6"/>
      <c r="ABK417" s="4"/>
      <c r="ABL417" s="4"/>
      <c r="ABM417" s="4"/>
      <c r="ABN417" s="4"/>
      <c r="ABO417" s="4"/>
      <c r="ABP417" s="5"/>
      <c r="ABQ417" s="6"/>
      <c r="ABR417" s="4"/>
      <c r="ABS417" s="4"/>
      <c r="ABT417" s="4"/>
      <c r="ABU417" s="4"/>
      <c r="ABV417" s="4"/>
      <c r="ABW417" s="5"/>
      <c r="ABX417" s="6"/>
      <c r="ABY417" s="4"/>
      <c r="ABZ417" s="4"/>
      <c r="ACA417" s="4"/>
      <c r="ACB417" s="4"/>
      <c r="ACC417" s="4"/>
      <c r="ACD417" s="5"/>
      <c r="ACE417" s="6"/>
      <c r="ACF417" s="4"/>
      <c r="ACG417" s="4"/>
      <c r="ACH417" s="4"/>
      <c r="ACI417" s="4"/>
      <c r="ACJ417" s="4"/>
      <c r="ACK417" s="5"/>
      <c r="ACL417" s="6"/>
      <c r="ACM417" s="4"/>
      <c r="ACN417" s="4"/>
      <c r="ACO417" s="4"/>
      <c r="ACP417" s="4"/>
      <c r="ACQ417" s="4"/>
      <c r="ACR417" s="5"/>
      <c r="ACS417" s="6"/>
      <c r="ACT417" s="4"/>
      <c r="ACU417" s="4"/>
      <c r="ACV417" s="4"/>
      <c r="ACW417" s="4"/>
      <c r="ACX417" s="4"/>
      <c r="ACY417" s="5"/>
      <c r="AEJ417" s="4">
        <v>1.38</v>
      </c>
    </row>
    <row r="418" spans="2:816" x14ac:dyDescent="0.25">
      <c r="B418" s="29">
        <v>10025938</v>
      </c>
      <c r="C418" s="57">
        <v>59</v>
      </c>
      <c r="D418" t="s">
        <v>3736</v>
      </c>
      <c r="E418" s="35" t="s">
        <v>3999</v>
      </c>
      <c r="F418" s="23">
        <v>1</v>
      </c>
      <c r="G418" s="31">
        <v>39166</v>
      </c>
      <c r="I418">
        <v>1</v>
      </c>
      <c r="J418" s="19">
        <v>39145</v>
      </c>
      <c r="K418" s="19"/>
      <c r="L418" s="19" t="s">
        <v>141</v>
      </c>
      <c r="Q418">
        <v>1</v>
      </c>
      <c r="S418">
        <v>1</v>
      </c>
      <c r="V418">
        <v>1</v>
      </c>
      <c r="AO418">
        <v>1</v>
      </c>
      <c r="AY418">
        <v>1</v>
      </c>
      <c r="AZ418">
        <v>1</v>
      </c>
      <c r="FV418">
        <v>1</v>
      </c>
      <c r="GX418">
        <v>1</v>
      </c>
      <c r="LL418" s="6"/>
      <c r="LM418" s="4"/>
      <c r="LN418" s="4"/>
      <c r="LO418" s="4"/>
      <c r="LP418" s="4"/>
      <c r="LQ418" s="4"/>
      <c r="LR418" s="5"/>
      <c r="LS418" s="6"/>
      <c r="LT418" s="4"/>
      <c r="LU418" s="4"/>
      <c r="LV418" s="4"/>
      <c r="LW418" s="4"/>
      <c r="LX418" s="4"/>
      <c r="LY418" s="5"/>
      <c r="LZ418" s="6" t="s">
        <v>1921</v>
      </c>
      <c r="MA418" s="7" t="s">
        <v>1921</v>
      </c>
      <c r="MB418" s="4"/>
      <c r="MC418" s="4" t="s">
        <v>187</v>
      </c>
      <c r="MD418" s="8">
        <v>39137</v>
      </c>
      <c r="ME418" s="8">
        <v>39137</v>
      </c>
      <c r="MF418" s="4" t="s">
        <v>4139</v>
      </c>
      <c r="MG418" s="5" t="s">
        <v>4141</v>
      </c>
      <c r="MH418" s="6"/>
      <c r="MI418" s="4"/>
      <c r="MJ418" s="4"/>
      <c r="MK418" s="4"/>
      <c r="ML418" s="4"/>
      <c r="MM418" s="4"/>
      <c r="MN418" s="5"/>
      <c r="MO418" s="6"/>
      <c r="MP418" s="4"/>
      <c r="MQ418" s="4"/>
      <c r="MR418" s="4"/>
      <c r="MS418" s="4"/>
      <c r="MT418" s="4"/>
      <c r="MU418" s="5"/>
      <c r="MV418" s="6"/>
      <c r="MW418" s="4"/>
      <c r="MX418" s="4"/>
      <c r="MY418" s="4"/>
      <c r="MZ418" s="4"/>
      <c r="NA418" s="4"/>
      <c r="NB418" s="5"/>
      <c r="NC418" s="6"/>
      <c r="ND418" s="4"/>
      <c r="NE418" s="4"/>
      <c r="NF418" s="4"/>
      <c r="NG418" s="4"/>
      <c r="NH418" s="4"/>
      <c r="NI418" s="5"/>
      <c r="NJ418" s="6" t="s">
        <v>1817</v>
      </c>
      <c r="NK418" s="4" t="s">
        <v>1818</v>
      </c>
      <c r="NL418" s="4" t="s">
        <v>1565</v>
      </c>
      <c r="NM418" s="7" t="s">
        <v>1941</v>
      </c>
      <c r="NN418" s="8">
        <v>39120</v>
      </c>
      <c r="NO418" s="8">
        <v>39136</v>
      </c>
      <c r="NP418" s="5" t="s">
        <v>4020</v>
      </c>
      <c r="NQ418" s="6"/>
      <c r="NR418" s="4"/>
      <c r="NS418" s="4"/>
      <c r="NT418" s="4"/>
      <c r="NU418" s="4"/>
      <c r="NV418" s="4"/>
      <c r="NW418" s="5"/>
      <c r="NX418" s="6"/>
      <c r="NY418" s="4"/>
      <c r="NZ418" s="4"/>
      <c r="OA418" s="4"/>
      <c r="OB418" s="4"/>
      <c r="OC418" s="4"/>
      <c r="OD418" s="5"/>
      <c r="OE418" s="6"/>
      <c r="OF418" s="4"/>
      <c r="OG418" s="4"/>
      <c r="OH418" s="4"/>
      <c r="OI418" s="4"/>
      <c r="OJ418" s="4"/>
      <c r="OK418" s="5"/>
      <c r="OL418" s="6"/>
      <c r="OM418" s="4"/>
      <c r="ON418" s="4"/>
      <c r="OO418" s="4"/>
      <c r="OP418" s="4"/>
      <c r="OQ418" s="4"/>
      <c r="OR418" s="5"/>
      <c r="OS418" s="6"/>
      <c r="OT418" s="4"/>
      <c r="OU418" s="4"/>
      <c r="OV418" s="4"/>
      <c r="OW418" s="4"/>
      <c r="OX418" s="4"/>
      <c r="OY418" s="5"/>
      <c r="OZ418" s="6"/>
      <c r="PA418" s="4"/>
      <c r="PB418" s="4"/>
      <c r="PC418" s="4"/>
      <c r="PD418" s="4"/>
      <c r="PE418" s="4"/>
      <c r="PF418" s="5"/>
      <c r="PG418" s="6"/>
      <c r="PH418" s="4"/>
      <c r="PI418" s="4"/>
      <c r="PJ418" s="4"/>
      <c r="PK418" s="4"/>
      <c r="PL418" s="4"/>
      <c r="PM418" s="5"/>
      <c r="PN418" s="6"/>
      <c r="PO418" s="4"/>
      <c r="PP418" s="4"/>
      <c r="PQ418" s="4"/>
      <c r="PR418" s="4"/>
      <c r="PS418" s="4"/>
      <c r="PT418" s="5"/>
      <c r="PU418" s="6"/>
      <c r="PV418" s="4"/>
      <c r="PW418" s="4"/>
      <c r="PX418" s="4"/>
      <c r="PY418" s="4"/>
      <c r="PZ418" s="4"/>
      <c r="QA418" s="5"/>
      <c r="QB418" s="6" t="s">
        <v>3528</v>
      </c>
      <c r="QC418" s="4" t="s">
        <v>3568</v>
      </c>
      <c r="QD418" s="4" t="s">
        <v>143</v>
      </c>
      <c r="QE418" s="4"/>
      <c r="QF418" s="8">
        <v>39127</v>
      </c>
      <c r="QG418" s="4"/>
      <c r="QH418" s="5" t="s">
        <v>3991</v>
      </c>
      <c r="QI418" s="6"/>
      <c r="QJ418" s="4"/>
      <c r="QK418" s="4"/>
      <c r="QL418" s="4"/>
      <c r="QM418" s="4"/>
      <c r="QN418" s="4"/>
      <c r="QO418" s="5"/>
      <c r="QP418" s="6"/>
      <c r="QQ418" s="4"/>
      <c r="QR418" s="4"/>
      <c r="QS418" s="4"/>
      <c r="QT418" s="4"/>
      <c r="QU418" s="4"/>
      <c r="QV418" s="5"/>
      <c r="QW418" s="6"/>
      <c r="QX418" s="4"/>
      <c r="QY418" s="4"/>
      <c r="QZ418" s="4"/>
      <c r="RA418" s="4"/>
      <c r="RB418" s="4"/>
      <c r="RC418" s="5"/>
      <c r="RD418" s="6" t="s">
        <v>1939</v>
      </c>
      <c r="RE418" s="4" t="s">
        <v>1940</v>
      </c>
      <c r="RF418" s="4" t="s">
        <v>144</v>
      </c>
      <c r="RG418" s="4"/>
      <c r="RH418" s="8">
        <v>39165</v>
      </c>
      <c r="RI418" s="4"/>
      <c r="RJ418" s="5"/>
      <c r="RK418" s="6"/>
      <c r="RL418" s="4"/>
      <c r="RM418" s="4"/>
      <c r="RN418" s="4"/>
      <c r="RO418" s="4"/>
      <c r="RP418" s="4"/>
      <c r="RQ418" s="5"/>
      <c r="RR418" s="6"/>
      <c r="RS418" s="4"/>
      <c r="RT418" s="4"/>
      <c r="RU418" s="4"/>
      <c r="RV418" s="4"/>
      <c r="RW418" s="4"/>
      <c r="RX418" s="5"/>
      <c r="RY418" s="6"/>
      <c r="RZ418" s="4"/>
      <c r="SA418" s="4"/>
      <c r="SB418" s="4"/>
      <c r="SC418" s="4"/>
      <c r="SD418" s="4"/>
      <c r="SE418" s="5"/>
      <c r="SF418" s="6"/>
      <c r="SG418" s="4"/>
      <c r="SH418" s="4"/>
      <c r="SI418" s="4"/>
      <c r="SJ418" s="4"/>
      <c r="SK418" s="4"/>
      <c r="SL418" s="5"/>
      <c r="SM418" s="6"/>
      <c r="SN418" s="4"/>
      <c r="SO418" s="4"/>
      <c r="SP418" s="4"/>
      <c r="SQ418" s="4"/>
      <c r="SR418" s="4"/>
      <c r="SS418" s="5"/>
      <c r="ST418" s="6"/>
      <c r="SU418" s="4"/>
      <c r="SV418" s="4"/>
      <c r="SW418" s="4"/>
      <c r="SX418" s="4"/>
      <c r="SY418" s="4"/>
      <c r="SZ418" s="5"/>
      <c r="TA418" s="6"/>
      <c r="TB418" s="4"/>
      <c r="TC418" s="4"/>
      <c r="TD418" s="4"/>
      <c r="TE418" s="4"/>
      <c r="TF418" s="4"/>
      <c r="TG418" s="5"/>
      <c r="TH418" s="6"/>
      <c r="TI418" s="4"/>
      <c r="TJ418" s="4"/>
      <c r="TK418" s="4"/>
      <c r="TL418" s="4"/>
      <c r="TM418" s="4"/>
      <c r="TN418" s="5"/>
      <c r="TO418" s="6"/>
      <c r="TP418" s="4"/>
      <c r="TQ418" s="4"/>
      <c r="TR418" s="4"/>
      <c r="TS418" s="4"/>
      <c r="TT418" s="4"/>
      <c r="TU418" s="5"/>
      <c r="TV418" s="6"/>
      <c r="TW418" s="4"/>
      <c r="TX418" s="4"/>
      <c r="TY418" s="4"/>
      <c r="TZ418" s="4"/>
      <c r="UA418" s="4"/>
      <c r="UB418" s="5"/>
      <c r="UC418" s="6"/>
      <c r="UD418" s="4"/>
      <c r="UE418" s="4"/>
      <c r="UF418" s="4"/>
      <c r="UG418" s="4"/>
      <c r="UH418" s="4"/>
      <c r="UI418" s="5"/>
      <c r="UJ418" s="6"/>
      <c r="UK418" s="4"/>
      <c r="UL418" s="4"/>
      <c r="UM418" s="4"/>
      <c r="UN418" s="4"/>
      <c r="UO418" s="4"/>
      <c r="UP418" s="5"/>
      <c r="UQ418" s="6"/>
      <c r="UR418" s="4"/>
      <c r="US418" s="4"/>
      <c r="UT418" s="4"/>
      <c r="UU418" s="4"/>
      <c r="UV418" s="4"/>
      <c r="UW418" s="5"/>
      <c r="UX418" s="6" t="s">
        <v>3565</v>
      </c>
      <c r="UY418" s="4" t="s">
        <v>3565</v>
      </c>
      <c r="UZ418" s="4" t="s">
        <v>1633</v>
      </c>
      <c r="VA418" s="7" t="s">
        <v>1941</v>
      </c>
      <c r="VB418" s="8">
        <v>39120</v>
      </c>
      <c r="VC418" s="8">
        <v>39136</v>
      </c>
      <c r="VD418" s="5" t="s">
        <v>3992</v>
      </c>
      <c r="VE418" s="6"/>
      <c r="VF418" s="4"/>
      <c r="VG418" s="4"/>
      <c r="VH418" s="4"/>
      <c r="VI418" s="4"/>
      <c r="VJ418" s="4"/>
      <c r="VK418" s="5"/>
      <c r="VL418" s="6"/>
      <c r="VM418" s="4"/>
      <c r="VN418" s="4"/>
      <c r="VO418" s="4"/>
      <c r="VP418" s="4"/>
      <c r="VQ418" s="4"/>
      <c r="VR418" s="5"/>
      <c r="VS418" s="6"/>
      <c r="VT418" s="4"/>
      <c r="VU418" s="4"/>
      <c r="VV418" s="4"/>
      <c r="VW418" s="4"/>
      <c r="VX418" s="4"/>
      <c r="VY418" s="5"/>
      <c r="VZ418" s="6"/>
      <c r="WA418" s="4"/>
      <c r="WB418" s="4"/>
      <c r="WC418" s="4"/>
      <c r="WD418" s="4"/>
      <c r="WE418" s="4"/>
      <c r="WF418" s="5"/>
      <c r="WG418" s="6"/>
      <c r="WH418" s="4"/>
      <c r="WI418" s="4"/>
      <c r="WJ418" s="4"/>
      <c r="WK418" s="4"/>
      <c r="WL418" s="4"/>
      <c r="WM418" s="5"/>
      <c r="WN418" s="6"/>
      <c r="WO418" s="4"/>
      <c r="WP418" s="4"/>
      <c r="WQ418" s="4"/>
      <c r="WR418" s="4"/>
      <c r="WS418" s="4"/>
      <c r="WT418" s="5"/>
      <c r="WU418" s="6"/>
      <c r="WV418" s="4"/>
      <c r="WW418" s="4"/>
      <c r="WX418" s="4"/>
      <c r="WY418" s="4"/>
      <c r="WZ418" s="4"/>
      <c r="XA418" s="5"/>
      <c r="XB418" s="6"/>
      <c r="XC418" s="4"/>
      <c r="XD418" s="4"/>
      <c r="XE418" s="4"/>
      <c r="XF418" s="4"/>
      <c r="XG418" s="4"/>
      <c r="XH418" s="5"/>
      <c r="XI418" s="6"/>
      <c r="XJ418" s="4"/>
      <c r="XK418" s="4"/>
      <c r="XL418" s="4"/>
      <c r="XM418" s="4"/>
      <c r="XN418" s="4"/>
      <c r="XO418" s="5"/>
      <c r="XP418" s="6"/>
      <c r="XQ418" s="4"/>
      <c r="XR418" s="4"/>
      <c r="XS418" s="4"/>
      <c r="XT418" s="4"/>
      <c r="XU418" s="4"/>
      <c r="XV418" s="5"/>
      <c r="XW418" s="6"/>
      <c r="XX418" s="4"/>
      <c r="XY418" s="4"/>
      <c r="XZ418" s="4"/>
      <c r="YA418" s="4"/>
      <c r="YB418" s="4"/>
      <c r="YC418" s="5"/>
      <c r="YD418" s="6"/>
      <c r="YE418" s="4"/>
      <c r="YF418" s="4"/>
      <c r="YG418" s="4"/>
      <c r="YH418" s="4"/>
      <c r="YI418" s="4"/>
      <c r="YJ418" s="5"/>
      <c r="YK418" s="6" t="s">
        <v>2832</v>
      </c>
      <c r="YL418" s="7" t="s">
        <v>2833</v>
      </c>
      <c r="YM418" s="4"/>
      <c r="YN418" s="4" t="s">
        <v>1792</v>
      </c>
      <c r="YO418" s="8">
        <v>39122</v>
      </c>
      <c r="YP418" s="8">
        <v>39136</v>
      </c>
      <c r="YQ418" s="5" t="s">
        <v>3993</v>
      </c>
      <c r="YR418" s="6"/>
      <c r="YS418" s="4"/>
      <c r="YT418" s="4"/>
      <c r="YU418" s="4"/>
      <c r="YV418" s="4"/>
      <c r="YW418" s="4"/>
      <c r="YX418" s="5"/>
      <c r="YY418" s="6"/>
      <c r="YZ418" s="4"/>
      <c r="ZA418" s="4"/>
      <c r="ZB418" s="4"/>
      <c r="ZC418" s="4"/>
      <c r="ZD418" s="4"/>
      <c r="ZE418" s="5"/>
      <c r="ZF418" s="6"/>
      <c r="ZG418" s="4"/>
      <c r="ZH418" s="4"/>
      <c r="ZI418" s="4"/>
      <c r="ZJ418" s="4"/>
      <c r="ZK418" s="4"/>
      <c r="ZL418" s="5"/>
      <c r="ZM418" s="6"/>
      <c r="ZN418" s="4"/>
      <c r="ZO418" s="4"/>
      <c r="ZP418" s="4"/>
      <c r="ZQ418" s="4"/>
      <c r="ZR418" s="4"/>
      <c r="ZS418" s="5"/>
      <c r="ZT418" s="6"/>
      <c r="ZU418" s="4"/>
      <c r="ZV418" s="4"/>
      <c r="ZW418" s="4"/>
      <c r="ZX418" s="4"/>
      <c r="ZY418" s="4"/>
      <c r="ZZ418" s="5"/>
      <c r="AAA418" s="6"/>
      <c r="AAB418" s="4"/>
      <c r="AAC418" s="4"/>
      <c r="AAD418" s="4"/>
      <c r="AAE418" s="4"/>
      <c r="AAF418" s="4"/>
      <c r="AAG418" s="5"/>
      <c r="AAH418" s="6"/>
      <c r="AAI418" s="4"/>
      <c r="AAJ418" s="4"/>
      <c r="AAK418" s="4"/>
      <c r="AAL418" s="4"/>
      <c r="AAM418" s="4"/>
      <c r="AAN418" s="5"/>
      <c r="AAO418" s="6"/>
      <c r="AAP418" s="4"/>
      <c r="AAQ418" s="4"/>
      <c r="AAR418" s="4"/>
      <c r="AAS418" s="4"/>
      <c r="AAT418" s="4"/>
      <c r="AAU418" s="5"/>
      <c r="AAV418" s="6"/>
      <c r="AAW418" s="4"/>
      <c r="AAX418" s="4"/>
      <c r="AAY418" s="4"/>
      <c r="AAZ418" s="4"/>
      <c r="ABA418" s="4"/>
      <c r="ABB418" s="5"/>
      <c r="ABC418" s="6"/>
      <c r="ABD418" s="4"/>
      <c r="ABE418" s="4"/>
      <c r="ABF418" s="4"/>
      <c r="ABG418" s="4"/>
      <c r="ABH418" s="4"/>
      <c r="ABI418" s="5"/>
      <c r="ABJ418" s="6"/>
      <c r="ABK418" s="4"/>
      <c r="ABL418" s="4"/>
      <c r="ABM418" s="4"/>
      <c r="ABN418" s="4"/>
      <c r="ABO418" s="4"/>
      <c r="ABP418" s="5"/>
      <c r="ABQ418" s="6" t="s">
        <v>3230</v>
      </c>
      <c r="ABR418" s="4" t="s">
        <v>3230</v>
      </c>
      <c r="ABS418" s="4" t="s">
        <v>3153</v>
      </c>
      <c r="ABT418" s="7" t="s">
        <v>1942</v>
      </c>
      <c r="ABU418" s="8">
        <v>39122</v>
      </c>
      <c r="ABV418" s="8">
        <v>39137</v>
      </c>
      <c r="ABW418" s="5" t="s">
        <v>3994</v>
      </c>
      <c r="ABX418" s="6"/>
      <c r="ABY418" s="4"/>
      <c r="ABZ418" s="4"/>
      <c r="ACA418" s="4"/>
      <c r="ACB418" s="4"/>
      <c r="ACC418" s="4"/>
      <c r="ACD418" s="5"/>
      <c r="ACE418" s="6"/>
      <c r="ACF418" s="4"/>
      <c r="ACG418" s="4"/>
      <c r="ACH418" s="4"/>
      <c r="ACI418" s="4"/>
      <c r="ACJ418" s="4"/>
      <c r="ACK418" s="5"/>
      <c r="ACL418" s="6"/>
      <c r="ACM418" s="4"/>
      <c r="ACN418" s="4"/>
      <c r="ACO418" s="4"/>
      <c r="ACP418" s="4"/>
      <c r="ACQ418" s="4"/>
      <c r="ACR418" s="5"/>
      <c r="ACS418" s="6"/>
      <c r="ACT418" s="4"/>
      <c r="ACU418" s="4"/>
      <c r="ACV418" s="4"/>
      <c r="ACW418" s="4"/>
      <c r="ACX418" s="4"/>
      <c r="ACY418" s="5"/>
      <c r="ADS418" t="s">
        <v>3876</v>
      </c>
    </row>
    <row r="419" spans="2:816" x14ac:dyDescent="0.25">
      <c r="J419" s="12"/>
      <c r="K419" s="12"/>
      <c r="L419" s="12"/>
      <c r="LL419" s="6"/>
      <c r="LM419" s="4"/>
      <c r="LN419" s="4"/>
      <c r="LO419" s="4"/>
      <c r="LP419" s="4"/>
      <c r="LQ419" s="4"/>
      <c r="LR419" s="5"/>
      <c r="LS419" s="6"/>
      <c r="LT419" s="4"/>
      <c r="LU419" s="4"/>
      <c r="LV419" s="4"/>
      <c r="LW419" s="4"/>
      <c r="LX419" s="4"/>
      <c r="LY419" s="5"/>
      <c r="LZ419" s="6"/>
      <c r="MA419" s="4"/>
      <c r="MB419" s="4"/>
      <c r="MC419" s="4"/>
      <c r="MD419" s="4"/>
      <c r="ME419" s="4"/>
      <c r="MF419" s="4"/>
      <c r="MG419" s="5"/>
      <c r="MH419" s="6"/>
      <c r="MI419" s="4"/>
      <c r="MJ419" s="4"/>
      <c r="MK419" s="4"/>
      <c r="ML419" s="4"/>
      <c r="MM419" s="4"/>
      <c r="MN419" s="5"/>
      <c r="MO419" s="6"/>
      <c r="MP419" s="4"/>
      <c r="MQ419" s="4"/>
      <c r="MR419" s="4"/>
      <c r="MS419" s="4"/>
      <c r="MT419" s="4"/>
      <c r="MU419" s="5"/>
      <c r="MV419" s="6"/>
      <c r="MW419" s="4"/>
      <c r="MX419" s="4"/>
      <c r="MY419" s="4"/>
      <c r="MZ419" s="4"/>
      <c r="NA419" s="4"/>
      <c r="NB419" s="5"/>
      <c r="NC419" s="6"/>
      <c r="ND419" s="4"/>
      <c r="NE419" s="4"/>
      <c r="NF419" s="4"/>
      <c r="NG419" s="4"/>
      <c r="NH419" s="4"/>
      <c r="NI419" s="5"/>
      <c r="NJ419" s="6"/>
      <c r="NK419" s="4"/>
      <c r="NL419" s="4"/>
      <c r="NM419" s="7"/>
      <c r="NN419" s="8"/>
      <c r="NO419" s="8"/>
      <c r="NP419" s="5"/>
      <c r="NQ419" s="6"/>
      <c r="NR419" s="4"/>
      <c r="NS419" s="4"/>
      <c r="NT419" s="4"/>
      <c r="NU419" s="4"/>
      <c r="NV419" s="4"/>
      <c r="NW419" s="5"/>
      <c r="NX419" s="6"/>
      <c r="NY419" s="4"/>
      <c r="NZ419" s="4"/>
      <c r="OA419" s="4"/>
      <c r="OB419" s="4"/>
      <c r="OC419" s="4"/>
      <c r="OD419" s="5"/>
      <c r="OE419" s="6"/>
      <c r="OF419" s="4"/>
      <c r="OG419" s="4"/>
      <c r="OH419" s="4"/>
      <c r="OI419" s="4"/>
      <c r="OJ419" s="4"/>
      <c r="OK419" s="5"/>
      <c r="OL419" s="6"/>
      <c r="OM419" s="4"/>
      <c r="ON419" s="4"/>
      <c r="OO419" s="4"/>
      <c r="OP419" s="4"/>
      <c r="OQ419" s="4"/>
      <c r="OR419" s="5"/>
      <c r="OS419" s="6"/>
      <c r="OT419" s="4"/>
      <c r="OU419" s="4"/>
      <c r="OV419" s="4"/>
      <c r="OW419" s="4"/>
      <c r="OX419" s="4"/>
      <c r="OY419" s="5"/>
      <c r="OZ419" s="6"/>
      <c r="PA419" s="4"/>
      <c r="PB419" s="4"/>
      <c r="PC419" s="4"/>
      <c r="PD419" s="4"/>
      <c r="PE419" s="4"/>
      <c r="PF419" s="5"/>
      <c r="PG419" s="6"/>
      <c r="PH419" s="4"/>
      <c r="PI419" s="4"/>
      <c r="PJ419" s="4"/>
      <c r="PK419" s="4"/>
      <c r="PL419" s="4"/>
      <c r="PM419" s="5"/>
      <c r="PN419" s="6"/>
      <c r="PO419" s="4"/>
      <c r="PP419" s="4"/>
      <c r="PQ419" s="4"/>
      <c r="PR419" s="4"/>
      <c r="PS419" s="4"/>
      <c r="PT419" s="5"/>
      <c r="PU419" s="6"/>
      <c r="PV419" s="4"/>
      <c r="PW419" s="4"/>
      <c r="PX419" s="4"/>
      <c r="PY419" s="4"/>
      <c r="PZ419" s="4"/>
      <c r="QA419" s="5"/>
      <c r="QB419" s="6"/>
      <c r="QC419" s="4"/>
      <c r="QD419" s="4"/>
      <c r="QE419" s="4"/>
      <c r="QF419" s="4"/>
      <c r="QG419" s="4"/>
      <c r="QH419" s="5"/>
      <c r="QI419" s="6"/>
      <c r="QJ419" s="4"/>
      <c r="QK419" s="4"/>
      <c r="QL419" s="4"/>
      <c r="QM419" s="4"/>
      <c r="QN419" s="4"/>
      <c r="QO419" s="5"/>
      <c r="QP419" s="6"/>
      <c r="QQ419" s="4"/>
      <c r="QR419" s="4"/>
      <c r="QS419" s="4"/>
      <c r="QT419" s="4"/>
      <c r="QU419" s="4"/>
      <c r="QV419" s="5"/>
      <c r="QW419" s="6"/>
      <c r="QX419" s="4"/>
      <c r="QY419" s="4"/>
      <c r="QZ419" s="4"/>
      <c r="RA419" s="4"/>
      <c r="RB419" s="4"/>
      <c r="RC419" s="5"/>
      <c r="RD419" s="6" t="s">
        <v>1939</v>
      </c>
      <c r="RE419" s="4" t="s">
        <v>1940</v>
      </c>
      <c r="RF419" s="4"/>
      <c r="RG419" s="4" t="s">
        <v>1634</v>
      </c>
      <c r="RH419" s="8">
        <v>39134</v>
      </c>
      <c r="RI419" s="8">
        <v>39136</v>
      </c>
      <c r="RJ419" s="5"/>
      <c r="RK419" s="6"/>
      <c r="RL419" s="4"/>
      <c r="RM419" s="4"/>
      <c r="RN419" s="4"/>
      <c r="RO419" s="4"/>
      <c r="RP419" s="4"/>
      <c r="RQ419" s="5"/>
      <c r="RR419" s="6"/>
      <c r="RS419" s="4"/>
      <c r="RT419" s="4"/>
      <c r="RU419" s="4"/>
      <c r="RV419" s="4"/>
      <c r="RW419" s="4"/>
      <c r="RX419" s="5"/>
      <c r="RY419" s="6"/>
      <c r="RZ419" s="4"/>
      <c r="SA419" s="4"/>
      <c r="SB419" s="4"/>
      <c r="SC419" s="4"/>
      <c r="SD419" s="4"/>
      <c r="SE419" s="5"/>
      <c r="SF419" s="6"/>
      <c r="SG419" s="4"/>
      <c r="SH419" s="4"/>
      <c r="SI419" s="4"/>
      <c r="SJ419" s="4"/>
      <c r="SK419" s="4"/>
      <c r="SL419" s="5"/>
      <c r="SM419" s="6"/>
      <c r="SN419" s="4"/>
      <c r="SO419" s="4"/>
      <c r="SP419" s="4"/>
      <c r="SQ419" s="4"/>
      <c r="SR419" s="4"/>
      <c r="SS419" s="5"/>
      <c r="ST419" s="6"/>
      <c r="SU419" s="4"/>
      <c r="SV419" s="4"/>
      <c r="SW419" s="4"/>
      <c r="SX419" s="4"/>
      <c r="SY419" s="4"/>
      <c r="SZ419" s="5"/>
      <c r="TA419" s="6"/>
      <c r="TB419" s="4"/>
      <c r="TC419" s="4"/>
      <c r="TD419" s="4"/>
      <c r="TE419" s="4"/>
      <c r="TF419" s="4"/>
      <c r="TG419" s="5"/>
      <c r="TH419" s="6"/>
      <c r="TI419" s="4"/>
      <c r="TJ419" s="4"/>
      <c r="TK419" s="4"/>
      <c r="TL419" s="4"/>
      <c r="TM419" s="4"/>
      <c r="TN419" s="5"/>
      <c r="TO419" s="6"/>
      <c r="TP419" s="4"/>
      <c r="TQ419" s="4"/>
      <c r="TR419" s="4"/>
      <c r="TS419" s="4"/>
      <c r="TT419" s="4"/>
      <c r="TU419" s="5"/>
      <c r="TV419" s="6"/>
      <c r="TW419" s="4"/>
      <c r="TX419" s="4"/>
      <c r="TY419" s="4"/>
      <c r="TZ419" s="4"/>
      <c r="UA419" s="4"/>
      <c r="UB419" s="5"/>
      <c r="UC419" s="6"/>
      <c r="UD419" s="4"/>
      <c r="UE419" s="4"/>
      <c r="UF419" s="4"/>
      <c r="UG419" s="4"/>
      <c r="UH419" s="4"/>
      <c r="UI419" s="5"/>
      <c r="UJ419" s="6"/>
      <c r="UK419" s="4"/>
      <c r="UL419" s="4"/>
      <c r="UM419" s="4"/>
      <c r="UN419" s="4"/>
      <c r="UO419" s="4"/>
      <c r="UP419" s="5"/>
      <c r="UQ419" s="6"/>
      <c r="UR419" s="4"/>
      <c r="US419" s="4"/>
      <c r="UT419" s="4"/>
      <c r="UU419" s="4"/>
      <c r="UV419" s="4"/>
      <c r="UW419" s="5"/>
      <c r="UX419" s="6"/>
      <c r="UY419" s="4"/>
      <c r="UZ419" s="4"/>
      <c r="VA419" s="4"/>
      <c r="VB419" s="4"/>
      <c r="VC419" s="4"/>
      <c r="VD419" s="5"/>
      <c r="VE419" s="6"/>
      <c r="VF419" s="4"/>
      <c r="VG419" s="4"/>
      <c r="VH419" s="4"/>
      <c r="VI419" s="4"/>
      <c r="VJ419" s="4"/>
      <c r="VK419" s="5"/>
      <c r="VL419" s="6"/>
      <c r="VM419" s="4"/>
      <c r="VN419" s="4"/>
      <c r="VO419" s="4"/>
      <c r="VP419" s="4"/>
      <c r="VQ419" s="4"/>
      <c r="VR419" s="5"/>
      <c r="VS419" s="6"/>
      <c r="VT419" s="4"/>
      <c r="VU419" s="4"/>
      <c r="VV419" s="4"/>
      <c r="VW419" s="4"/>
      <c r="VX419" s="4"/>
      <c r="VY419" s="5"/>
      <c r="VZ419" s="6"/>
      <c r="WA419" s="4"/>
      <c r="WB419" s="4"/>
      <c r="WC419" s="4"/>
      <c r="WD419" s="4"/>
      <c r="WE419" s="4"/>
      <c r="WF419" s="5"/>
      <c r="WG419" s="6"/>
      <c r="WH419" s="4"/>
      <c r="WI419" s="4"/>
      <c r="WJ419" s="4"/>
      <c r="WK419" s="4"/>
      <c r="WL419" s="4"/>
      <c r="WM419" s="5"/>
      <c r="WN419" s="6"/>
      <c r="WO419" s="4"/>
      <c r="WP419" s="4"/>
      <c r="WQ419" s="4"/>
      <c r="WR419" s="4"/>
      <c r="WS419" s="4"/>
      <c r="WT419" s="5"/>
      <c r="WU419" s="6"/>
      <c r="WV419" s="4"/>
      <c r="WW419" s="4"/>
      <c r="WX419" s="4"/>
      <c r="WY419" s="4"/>
      <c r="WZ419" s="4"/>
      <c r="XA419" s="5"/>
      <c r="XB419" s="6"/>
      <c r="XC419" s="4"/>
      <c r="XD419" s="4"/>
      <c r="XE419" s="4"/>
      <c r="XF419" s="4"/>
      <c r="XG419" s="4"/>
      <c r="XH419" s="5"/>
      <c r="XI419" s="6"/>
      <c r="XJ419" s="4"/>
      <c r="XK419" s="4"/>
      <c r="XL419" s="4"/>
      <c r="XM419" s="4"/>
      <c r="XN419" s="4"/>
      <c r="XO419" s="5"/>
      <c r="XP419" s="6"/>
      <c r="XQ419" s="4"/>
      <c r="XR419" s="4"/>
      <c r="XS419" s="4"/>
      <c r="XT419" s="4"/>
      <c r="XU419" s="4"/>
      <c r="XV419" s="5"/>
      <c r="XW419" s="6"/>
      <c r="XX419" s="4"/>
      <c r="XY419" s="4"/>
      <c r="XZ419" s="4"/>
      <c r="YA419" s="4"/>
      <c r="YB419" s="4"/>
      <c r="YC419" s="5"/>
      <c r="YD419" s="6"/>
      <c r="YE419" s="4"/>
      <c r="YF419" s="4"/>
      <c r="YG419" s="4"/>
      <c r="YH419" s="4"/>
      <c r="YI419" s="4"/>
      <c r="YJ419" s="5"/>
      <c r="YK419" s="6"/>
      <c r="YL419" s="4"/>
      <c r="YM419" s="4"/>
      <c r="YN419" s="4"/>
      <c r="YO419" s="4"/>
      <c r="YP419" s="4"/>
      <c r="YQ419" s="5"/>
      <c r="YR419" s="6"/>
      <c r="YS419" s="4"/>
      <c r="YT419" s="4"/>
      <c r="YU419" s="4"/>
      <c r="YV419" s="4"/>
      <c r="YW419" s="4"/>
      <c r="YX419" s="5"/>
      <c r="YY419" s="6"/>
      <c r="YZ419" s="4"/>
      <c r="ZA419" s="4"/>
      <c r="ZB419" s="4"/>
      <c r="ZC419" s="4"/>
      <c r="ZD419" s="4"/>
      <c r="ZE419" s="5"/>
      <c r="ZF419" s="6"/>
      <c r="ZG419" s="4"/>
      <c r="ZH419" s="4"/>
      <c r="ZI419" s="4"/>
      <c r="ZJ419" s="4"/>
      <c r="ZK419" s="4"/>
      <c r="ZL419" s="5"/>
      <c r="ZM419" s="6"/>
      <c r="ZN419" s="4"/>
      <c r="ZO419" s="4"/>
      <c r="ZP419" s="4"/>
      <c r="ZQ419" s="4"/>
      <c r="ZR419" s="4"/>
      <c r="ZS419" s="5"/>
      <c r="ZT419" s="6"/>
      <c r="ZU419" s="4"/>
      <c r="ZV419" s="4"/>
      <c r="ZW419" s="4"/>
      <c r="ZX419" s="4"/>
      <c r="ZY419" s="4"/>
      <c r="ZZ419" s="5"/>
      <c r="AAA419" s="6"/>
      <c r="AAB419" s="4"/>
      <c r="AAC419" s="4"/>
      <c r="AAD419" s="4"/>
      <c r="AAE419" s="4"/>
      <c r="AAF419" s="4"/>
      <c r="AAG419" s="5"/>
      <c r="AAH419" s="6"/>
      <c r="AAI419" s="4"/>
      <c r="AAJ419" s="4"/>
      <c r="AAK419" s="4"/>
      <c r="AAL419" s="4"/>
      <c r="AAM419" s="4"/>
      <c r="AAN419" s="5"/>
      <c r="AAO419" s="6"/>
      <c r="AAP419" s="4"/>
      <c r="AAQ419" s="4"/>
      <c r="AAR419" s="4"/>
      <c r="AAS419" s="4"/>
      <c r="AAT419" s="4"/>
      <c r="AAU419" s="5"/>
      <c r="AAV419" s="6"/>
      <c r="AAW419" s="4"/>
      <c r="AAX419" s="4"/>
      <c r="AAY419" s="4"/>
      <c r="AAZ419" s="4"/>
      <c r="ABA419" s="4"/>
      <c r="ABB419" s="5"/>
      <c r="ABC419" s="6"/>
      <c r="ABD419" s="4"/>
      <c r="ABE419" s="4"/>
      <c r="ABF419" s="4"/>
      <c r="ABG419" s="4"/>
      <c r="ABH419" s="4"/>
      <c r="ABI419" s="5"/>
      <c r="ABJ419" s="6"/>
      <c r="ABK419" s="4"/>
      <c r="ABL419" s="4"/>
      <c r="ABM419" s="4"/>
      <c r="ABN419" s="4"/>
      <c r="ABO419" s="4"/>
      <c r="ABP419" s="5"/>
      <c r="ABQ419" s="6" t="s">
        <v>3230</v>
      </c>
      <c r="ABR419" s="4" t="s">
        <v>3230</v>
      </c>
      <c r="ABS419" s="4"/>
      <c r="ABT419" s="7"/>
      <c r="ABU419" s="8">
        <v>39137</v>
      </c>
      <c r="ABV419" s="8"/>
      <c r="ABW419" s="5"/>
      <c r="ABX419" s="6"/>
      <c r="ABY419" s="4"/>
      <c r="ABZ419" s="4"/>
      <c r="ACA419" s="4"/>
      <c r="ACB419" s="4"/>
      <c r="ACC419" s="4"/>
      <c r="ACD419" s="5"/>
      <c r="ACE419" s="6"/>
      <c r="ACF419" s="4"/>
      <c r="ACG419" s="4"/>
      <c r="ACH419" s="4"/>
      <c r="ACI419" s="4"/>
      <c r="ACJ419" s="4"/>
      <c r="ACK419" s="5"/>
      <c r="ACL419" s="6"/>
      <c r="ACM419" s="4"/>
      <c r="ACN419" s="4"/>
      <c r="ACO419" s="4"/>
      <c r="ACP419" s="4"/>
      <c r="ACQ419" s="4"/>
      <c r="ACR419" s="5"/>
      <c r="ACS419" s="6"/>
      <c r="ACT419" s="4"/>
      <c r="ACU419" s="4"/>
      <c r="ACV419" s="4"/>
      <c r="ACW419" s="4"/>
      <c r="ACX419" s="4"/>
      <c r="ACY419" s="5"/>
    </row>
    <row r="420" spans="2:816" x14ac:dyDescent="0.25">
      <c r="B420" s="49">
        <v>10026789</v>
      </c>
      <c r="C420" s="57">
        <v>58</v>
      </c>
      <c r="D420" t="s">
        <v>2121</v>
      </c>
      <c r="E420" s="35" t="s">
        <v>3999</v>
      </c>
      <c r="F420" s="23">
        <v>1</v>
      </c>
      <c r="G420" s="31">
        <v>39471</v>
      </c>
      <c r="H420" s="23" t="s">
        <v>146</v>
      </c>
      <c r="J420" s="12"/>
      <c r="K420" s="12"/>
      <c r="L420" s="12"/>
      <c r="M420">
        <v>1</v>
      </c>
      <c r="N420" s="17">
        <v>39454</v>
      </c>
      <c r="O420" t="s">
        <v>205</v>
      </c>
      <c r="P420" t="s">
        <v>206</v>
      </c>
      <c r="Q420">
        <v>1</v>
      </c>
      <c r="R420">
        <v>1</v>
      </c>
      <c r="AO420">
        <v>1</v>
      </c>
      <c r="GV420">
        <v>1</v>
      </c>
      <c r="KA420">
        <v>1</v>
      </c>
      <c r="LL420" s="6"/>
      <c r="LM420" s="4"/>
      <c r="LN420" s="4"/>
      <c r="LO420" s="4"/>
      <c r="LP420" s="4"/>
      <c r="LQ420" s="4"/>
      <c r="LR420" s="5"/>
      <c r="LS420" s="4" t="s">
        <v>396</v>
      </c>
      <c r="LT420" s="4" t="s">
        <v>396</v>
      </c>
      <c r="LU420" s="4"/>
      <c r="LV420" s="4"/>
      <c r="LW420" s="8">
        <v>39451</v>
      </c>
      <c r="LX420" s="4"/>
      <c r="LY420" s="5" t="s">
        <v>207</v>
      </c>
      <c r="LZ420" s="6" t="s">
        <v>2983</v>
      </c>
      <c r="MA420" s="7" t="s">
        <v>2983</v>
      </c>
      <c r="MB420" s="4" t="s">
        <v>397</v>
      </c>
      <c r="MC420" s="7" t="s">
        <v>398</v>
      </c>
      <c r="MD420" s="8">
        <v>38334</v>
      </c>
      <c r="ME420" s="8">
        <v>39450</v>
      </c>
      <c r="MF420" s="8" t="s">
        <v>611</v>
      </c>
      <c r="MG420" s="5" t="s">
        <v>488</v>
      </c>
      <c r="MH420" s="6"/>
      <c r="MI420" s="4"/>
      <c r="MJ420" s="4"/>
      <c r="MK420" s="4"/>
      <c r="ML420" s="4"/>
      <c r="MM420" s="4"/>
      <c r="MN420" s="5"/>
      <c r="MO420" s="4" t="s">
        <v>399</v>
      </c>
      <c r="MP420" s="4" t="s">
        <v>529</v>
      </c>
      <c r="MQ420" s="4"/>
      <c r="MR420" s="4"/>
      <c r="MS420" s="8">
        <v>39451</v>
      </c>
      <c r="MT420" s="4"/>
      <c r="MU420" s="5" t="s">
        <v>209</v>
      </c>
      <c r="MV420" s="6" t="s">
        <v>530</v>
      </c>
      <c r="MW420" s="4" t="s">
        <v>526</v>
      </c>
      <c r="MX420" s="4" t="s">
        <v>2470</v>
      </c>
      <c r="MY420" s="7" t="s">
        <v>398</v>
      </c>
      <c r="MZ420" s="8">
        <v>38334</v>
      </c>
      <c r="NA420" s="8">
        <v>39450</v>
      </c>
      <c r="NB420" s="5" t="s">
        <v>210</v>
      </c>
      <c r="NC420" s="6" t="s">
        <v>1019</v>
      </c>
      <c r="ND420" s="7" t="s">
        <v>1019</v>
      </c>
      <c r="NE420" s="4" t="s">
        <v>573</v>
      </c>
      <c r="NF420" s="7" t="s">
        <v>1600</v>
      </c>
      <c r="NG420" s="8">
        <v>39439</v>
      </c>
      <c r="NH420" s="8">
        <v>39447</v>
      </c>
      <c r="NI420" s="5" t="s">
        <v>81</v>
      </c>
      <c r="NJ420" s="6" t="s">
        <v>1439</v>
      </c>
      <c r="NK420" s="4" t="s">
        <v>1798</v>
      </c>
      <c r="NL420" s="4" t="s">
        <v>534</v>
      </c>
      <c r="NM420" s="7" t="s">
        <v>3027</v>
      </c>
      <c r="NN420" s="8">
        <v>39450</v>
      </c>
      <c r="NO420" s="8">
        <v>39450</v>
      </c>
      <c r="NP420" s="5" t="s">
        <v>267</v>
      </c>
      <c r="NQ420" s="6"/>
      <c r="NR420" s="4"/>
      <c r="NS420" s="4"/>
      <c r="NT420" s="4"/>
      <c r="NU420" s="4"/>
      <c r="NV420" s="4"/>
      <c r="NW420" s="5"/>
      <c r="NX420" s="6" t="s">
        <v>525</v>
      </c>
      <c r="NY420" s="4" t="s">
        <v>525</v>
      </c>
      <c r="OA420" s="4"/>
      <c r="OB420" s="8">
        <v>39451</v>
      </c>
      <c r="OD420" s="5" t="s">
        <v>270</v>
      </c>
      <c r="OE420" s="6"/>
      <c r="OF420" s="4"/>
      <c r="OG420" s="4"/>
      <c r="OH420" s="4"/>
      <c r="OI420" s="4"/>
      <c r="OJ420" s="4"/>
      <c r="OK420" s="5"/>
      <c r="OL420" s="6"/>
      <c r="OM420" s="4"/>
      <c r="ON420" s="4"/>
      <c r="OO420" s="4"/>
      <c r="OP420" s="4"/>
      <c r="OQ420" s="4"/>
      <c r="OR420" s="5"/>
      <c r="OS420" s="6"/>
      <c r="OT420" s="4"/>
      <c r="OU420" s="4"/>
      <c r="OV420" s="4"/>
      <c r="OW420" s="4"/>
      <c r="OX420" s="4"/>
      <c r="OY420" s="5"/>
      <c r="OZ420" s="6"/>
      <c r="PA420" s="4"/>
      <c r="PB420" s="4"/>
      <c r="PC420" s="4"/>
      <c r="PD420" s="4"/>
      <c r="PE420" s="4"/>
      <c r="PF420" s="5"/>
      <c r="PG420" s="6" t="s">
        <v>535</v>
      </c>
      <c r="PH420" s="4" t="s">
        <v>536</v>
      </c>
      <c r="PI420" s="4"/>
      <c r="PJ420" s="4"/>
      <c r="PK420" s="8">
        <v>39451</v>
      </c>
      <c r="PL420" s="4"/>
      <c r="PM420" s="5" t="s">
        <v>209</v>
      </c>
      <c r="PN420" s="6"/>
      <c r="PO420" s="4"/>
      <c r="PP420" s="4"/>
      <c r="PQ420" s="4"/>
      <c r="PR420" s="4"/>
      <c r="PS420" s="4"/>
      <c r="PT420" s="5"/>
      <c r="PU420" s="6"/>
      <c r="PV420" s="4"/>
      <c r="PW420" s="4"/>
      <c r="PX420" s="4"/>
      <c r="PY420" s="4"/>
      <c r="PZ420" s="4"/>
      <c r="QA420" s="5"/>
      <c r="QB420" s="11" t="s">
        <v>537</v>
      </c>
      <c r="QC420" s="7" t="s">
        <v>537</v>
      </c>
      <c r="QD420" s="4" t="s">
        <v>829</v>
      </c>
      <c r="QE420" s="7" t="s">
        <v>538</v>
      </c>
      <c r="QF420" s="8">
        <v>38353</v>
      </c>
      <c r="QG420" s="8">
        <v>39450</v>
      </c>
      <c r="QH420" s="5" t="s">
        <v>209</v>
      </c>
      <c r="QI420" s="6"/>
      <c r="QJ420" s="4"/>
      <c r="QK420" s="4"/>
      <c r="QL420" s="4"/>
      <c r="QM420" s="4"/>
      <c r="QN420" s="4"/>
      <c r="QO420" s="5"/>
      <c r="QP420" s="6"/>
      <c r="QQ420" s="4"/>
      <c r="QR420" s="4"/>
      <c r="QS420" s="4"/>
      <c r="QT420" s="4"/>
      <c r="QU420" s="4"/>
      <c r="QV420" s="5"/>
      <c r="QW420" s="6"/>
      <c r="QX420" s="4"/>
      <c r="QY420" s="4"/>
      <c r="QZ420" s="4"/>
      <c r="RA420" s="4"/>
      <c r="RB420" s="4"/>
      <c r="RC420" s="5"/>
      <c r="RD420" s="6"/>
      <c r="RE420" s="4"/>
      <c r="RF420" s="4"/>
      <c r="RG420" s="4"/>
      <c r="RH420" s="4"/>
      <c r="RI420" s="4"/>
      <c r="RJ420" s="5"/>
      <c r="RK420" s="6"/>
      <c r="RL420" s="4"/>
      <c r="RM420" s="4"/>
      <c r="RN420" s="4"/>
      <c r="RO420" s="4"/>
      <c r="RP420" s="4"/>
      <c r="RQ420" s="5"/>
      <c r="RR420" s="6"/>
      <c r="RS420" s="4"/>
      <c r="RT420" s="4"/>
      <c r="RU420" s="4"/>
      <c r="RV420" s="4"/>
      <c r="RW420" s="4"/>
      <c r="RX420" s="5"/>
      <c r="RY420" s="6"/>
      <c r="RZ420" s="4"/>
      <c r="SA420" s="4"/>
      <c r="SB420" s="4"/>
      <c r="SC420" s="4"/>
      <c r="SD420" s="4"/>
      <c r="SE420" s="5"/>
      <c r="SF420" s="6"/>
      <c r="SG420" s="4"/>
      <c r="SH420" s="4"/>
      <c r="SI420" s="4"/>
      <c r="SJ420" s="4"/>
      <c r="SK420" s="4"/>
      <c r="SL420" s="5"/>
      <c r="SM420" s="6"/>
      <c r="SN420" s="4"/>
      <c r="SO420" s="4"/>
      <c r="SP420" s="4"/>
      <c r="SQ420" s="4"/>
      <c r="SR420" s="4"/>
      <c r="SS420" s="5"/>
      <c r="ST420" s="6"/>
      <c r="SU420" s="4"/>
      <c r="SV420" s="4"/>
      <c r="SW420" s="4"/>
      <c r="SX420" s="4"/>
      <c r="SY420" s="4"/>
      <c r="SZ420" s="5"/>
      <c r="TA420" s="6"/>
      <c r="TB420" s="4"/>
      <c r="TC420" s="4"/>
      <c r="TD420" s="4"/>
      <c r="TE420" s="4"/>
      <c r="TF420" s="4"/>
      <c r="TG420" s="5"/>
      <c r="TH420" s="6"/>
      <c r="TI420" s="4"/>
      <c r="TJ420" s="4"/>
      <c r="TK420" s="4"/>
      <c r="TL420" s="4"/>
      <c r="TM420" s="4"/>
      <c r="TN420" s="5"/>
      <c r="TO420" s="6"/>
      <c r="TP420" s="4"/>
      <c r="TQ420" s="4"/>
      <c r="TR420" s="4"/>
      <c r="TS420" s="4"/>
      <c r="TT420" s="4"/>
      <c r="TU420" s="5"/>
      <c r="TV420" s="6"/>
      <c r="TW420" s="4"/>
      <c r="TX420" s="4"/>
      <c r="TY420" s="4"/>
      <c r="TZ420" s="4"/>
      <c r="UA420" s="4"/>
      <c r="UB420" s="5"/>
      <c r="UC420" s="6"/>
      <c r="UD420" s="4"/>
      <c r="UE420" s="4"/>
      <c r="UF420" s="4"/>
      <c r="UG420" s="4"/>
      <c r="UH420" s="4"/>
      <c r="UI420" s="5"/>
      <c r="UJ420" s="6"/>
      <c r="UK420" s="4"/>
      <c r="UL420" s="4"/>
      <c r="UM420" s="4"/>
      <c r="UN420" s="4"/>
      <c r="UO420" s="4"/>
      <c r="UP420" s="5"/>
      <c r="UQ420" s="6"/>
      <c r="UR420" s="4"/>
      <c r="US420" s="4"/>
      <c r="UT420" s="4"/>
      <c r="UU420" s="4"/>
      <c r="UV420" s="4"/>
      <c r="UW420" s="5"/>
      <c r="UX420" s="6" t="s">
        <v>539</v>
      </c>
      <c r="UY420" s="4" t="s">
        <v>2738</v>
      </c>
      <c r="UZ420" s="4"/>
      <c r="VA420" s="4"/>
      <c r="VB420" s="8">
        <v>39453</v>
      </c>
      <c r="VC420" s="4"/>
      <c r="VD420" s="5" t="s">
        <v>83</v>
      </c>
      <c r="VE420" s="6" t="s">
        <v>540</v>
      </c>
      <c r="VF420" s="4" t="s">
        <v>2862</v>
      </c>
      <c r="VG420" s="4" t="s">
        <v>2470</v>
      </c>
      <c r="VH420" s="7" t="s">
        <v>1810</v>
      </c>
      <c r="VI420" s="8">
        <v>39437</v>
      </c>
      <c r="VJ420" s="8">
        <v>39447</v>
      </c>
      <c r="VK420" s="5" t="s">
        <v>210</v>
      </c>
      <c r="VL420" s="6" t="s">
        <v>541</v>
      </c>
      <c r="VM420" s="4" t="s">
        <v>542</v>
      </c>
      <c r="VN420" s="4" t="s">
        <v>2660</v>
      </c>
      <c r="VO420" s="7" t="s">
        <v>3027</v>
      </c>
      <c r="VP420" s="8">
        <v>39450</v>
      </c>
      <c r="VQ420" s="8">
        <v>39450</v>
      </c>
      <c r="VR420" s="5" t="s">
        <v>87</v>
      </c>
      <c r="VS420" s="6"/>
      <c r="VT420" s="4"/>
      <c r="VU420" s="4"/>
      <c r="VV420" s="4"/>
      <c r="VW420" s="4"/>
      <c r="VX420" s="4"/>
      <c r="VY420" s="5"/>
      <c r="VZ420" s="6"/>
      <c r="WA420" s="4"/>
      <c r="WB420" s="4"/>
      <c r="WC420" s="4"/>
      <c r="WD420" s="4"/>
      <c r="WE420" s="4"/>
      <c r="WF420" s="5"/>
      <c r="WG420" s="6"/>
      <c r="WH420" s="4"/>
      <c r="WI420" s="4"/>
      <c r="WJ420" s="4"/>
      <c r="WK420" s="4"/>
      <c r="WL420" s="4"/>
      <c r="WM420" s="5"/>
      <c r="WN420" s="6"/>
      <c r="WO420" s="4"/>
      <c r="WP420" s="4"/>
      <c r="WQ420" s="4"/>
      <c r="WR420" s="4"/>
      <c r="WS420" s="4"/>
      <c r="WT420" s="5"/>
      <c r="WU420" s="6"/>
      <c r="WV420" s="4"/>
      <c r="WW420" s="4"/>
      <c r="WX420" s="4"/>
      <c r="WY420" s="4"/>
      <c r="WZ420" s="4"/>
      <c r="XA420" s="5"/>
      <c r="XB420" s="6"/>
      <c r="XC420" s="4"/>
      <c r="XD420" s="4"/>
      <c r="XE420" s="4"/>
      <c r="XF420" s="4"/>
      <c r="XG420" s="4"/>
      <c r="XH420" s="5"/>
      <c r="XI420" s="6"/>
      <c r="XJ420" s="4"/>
      <c r="XK420" s="4"/>
      <c r="XL420" s="4"/>
      <c r="XM420" s="4"/>
      <c r="XN420" s="4"/>
      <c r="XO420" s="5"/>
      <c r="XP420" s="6"/>
      <c r="XQ420" s="4"/>
      <c r="XR420" s="4"/>
      <c r="XS420" s="4"/>
      <c r="XT420" s="4"/>
      <c r="XU420" s="4"/>
      <c r="XV420" s="5"/>
      <c r="XW420" s="6"/>
      <c r="XX420" s="4"/>
      <c r="XY420" s="4"/>
      <c r="XZ420" s="4"/>
      <c r="YA420" s="4"/>
      <c r="YB420" s="4"/>
      <c r="YC420" s="5"/>
      <c r="YD420" s="6"/>
      <c r="YE420" s="4"/>
      <c r="YF420" s="4"/>
      <c r="YG420" s="4"/>
      <c r="YH420" s="4"/>
      <c r="YI420" s="4"/>
      <c r="YJ420" s="5"/>
      <c r="YK420" s="6" t="s">
        <v>543</v>
      </c>
      <c r="YL420" s="7" t="s">
        <v>544</v>
      </c>
      <c r="YM420" s="4"/>
      <c r="YN420" s="4" t="s">
        <v>2771</v>
      </c>
      <c r="YO420" s="8">
        <v>39451</v>
      </c>
      <c r="YP420" s="8">
        <v>39454</v>
      </c>
      <c r="YQ420" s="5" t="s">
        <v>88</v>
      </c>
      <c r="YR420" s="6"/>
      <c r="YS420" s="4"/>
      <c r="YT420" s="4"/>
      <c r="YU420" s="4"/>
      <c r="YV420" s="4"/>
      <c r="YW420" s="4"/>
      <c r="YX420" s="5"/>
      <c r="YY420" s="6"/>
      <c r="YZ420" s="4"/>
      <c r="ZA420" s="4"/>
      <c r="ZB420" s="4"/>
      <c r="ZC420" s="4"/>
      <c r="ZD420" s="4"/>
      <c r="ZE420" s="5"/>
      <c r="ZF420" s="4" t="s">
        <v>545</v>
      </c>
      <c r="ZG420" s="4" t="s">
        <v>1948</v>
      </c>
      <c r="ZH420" s="4"/>
      <c r="ZI420" s="4"/>
      <c r="ZJ420" s="8">
        <v>39453</v>
      </c>
      <c r="ZK420" s="4"/>
      <c r="ZL420" s="5" t="s">
        <v>209</v>
      </c>
      <c r="ZM420" s="6" t="s">
        <v>145</v>
      </c>
      <c r="ZN420" s="4"/>
      <c r="ZO420" s="4"/>
      <c r="ZP420" s="4"/>
      <c r="ZQ420" s="4"/>
      <c r="ZR420" s="4"/>
      <c r="ZS420" s="5"/>
      <c r="ZT420" s="6"/>
      <c r="ZU420" s="4"/>
      <c r="ZV420" s="4"/>
      <c r="ZW420" s="4"/>
      <c r="ZX420" s="4"/>
      <c r="ZY420" s="4"/>
      <c r="ZZ420" s="5"/>
      <c r="AAA420" s="6"/>
      <c r="AAB420" s="4"/>
      <c r="AAC420" s="4"/>
      <c r="AAD420" s="4"/>
      <c r="AAE420" s="4"/>
      <c r="AAF420" s="4"/>
      <c r="AAG420" s="5"/>
      <c r="AAH420" s="6"/>
      <c r="AAI420" s="4"/>
      <c r="AAJ420" s="4"/>
      <c r="AAK420" s="4"/>
      <c r="AAL420" s="4"/>
      <c r="AAM420" s="4"/>
      <c r="AAN420" s="5"/>
      <c r="AAO420" s="6"/>
      <c r="AAP420" s="4"/>
      <c r="AAQ420" s="4"/>
      <c r="AAR420" s="4"/>
      <c r="AAS420" s="4"/>
      <c r="AAT420" s="4"/>
      <c r="AAU420" s="5"/>
      <c r="AAV420" s="6"/>
      <c r="AAW420" s="4"/>
      <c r="AAX420" s="4"/>
      <c r="AAY420" s="4"/>
      <c r="AAZ420" s="4"/>
      <c r="ABA420" s="4"/>
      <c r="ABB420" s="5"/>
      <c r="ABC420" s="6" t="s">
        <v>669</v>
      </c>
      <c r="ABD420" s="4" t="s">
        <v>1588</v>
      </c>
      <c r="ABE420" s="4"/>
      <c r="ABF420" s="4"/>
      <c r="ABG420" s="8">
        <v>39451</v>
      </c>
      <c r="ABH420" s="4"/>
      <c r="ABI420" s="5"/>
      <c r="ABJ420" s="6"/>
      <c r="ABK420" s="4"/>
      <c r="ABL420" s="4"/>
      <c r="ABM420" s="4"/>
      <c r="ABN420" s="4"/>
      <c r="ABO420" s="4"/>
      <c r="ABP420" s="5"/>
      <c r="ABQ420" s="6"/>
      <c r="ABR420" s="4"/>
      <c r="ABS420" s="4"/>
      <c r="ABT420" s="4"/>
      <c r="ABU420" s="4"/>
      <c r="ABV420" s="4"/>
      <c r="ABW420" s="5"/>
      <c r="ABX420" s="6"/>
      <c r="ABY420" s="4"/>
      <c r="ABZ420" s="4"/>
      <c r="ACA420" s="4"/>
      <c r="ACB420" s="4"/>
      <c r="ACC420" s="4"/>
      <c r="ACD420" s="5"/>
      <c r="ACE420" s="6"/>
      <c r="ACF420" s="4"/>
      <c r="ACG420" s="4"/>
      <c r="ACH420" s="4"/>
      <c r="ACI420" s="4"/>
      <c r="ACJ420" s="4"/>
      <c r="ACK420" s="5"/>
      <c r="ACL420" s="6"/>
      <c r="ACM420" s="4"/>
      <c r="ACN420" s="4"/>
      <c r="ACO420" s="4"/>
      <c r="ACP420" s="4"/>
      <c r="ACQ420" s="4"/>
      <c r="ACR420" s="5"/>
      <c r="ACS420" s="6"/>
      <c r="ACT420" s="4"/>
      <c r="ACU420" s="4"/>
      <c r="ACV420" s="4"/>
      <c r="ACW420" s="4"/>
      <c r="ACX420" s="4"/>
      <c r="ACY420" s="5"/>
      <c r="ADA420" t="s">
        <v>209</v>
      </c>
      <c r="ADE420" t="s">
        <v>91</v>
      </c>
      <c r="ADG420" t="s">
        <v>223</v>
      </c>
      <c r="ADL420" t="s">
        <v>82</v>
      </c>
      <c r="ADM420" t="s">
        <v>338</v>
      </c>
      <c r="ADS420" t="s">
        <v>337</v>
      </c>
      <c r="ADU420" t="s">
        <v>210</v>
      </c>
      <c r="ADY420" t="s">
        <v>222</v>
      </c>
    </row>
    <row r="421" spans="2:816" x14ac:dyDescent="0.25">
      <c r="B421" s="30"/>
      <c r="J421" s="12"/>
      <c r="K421" s="12"/>
      <c r="L421" s="12"/>
      <c r="LL421" s="6"/>
      <c r="LM421" s="4"/>
      <c r="LN421" s="4"/>
      <c r="LO421" s="4"/>
      <c r="LP421" s="4"/>
      <c r="LQ421" s="4"/>
      <c r="LR421" s="5"/>
      <c r="LS421" s="6"/>
      <c r="LT421" s="4"/>
      <c r="LU421" s="4"/>
      <c r="LV421" s="4"/>
      <c r="LW421" s="4"/>
      <c r="LX421" s="4"/>
      <c r="LY421" s="5"/>
      <c r="LZ421" s="6" t="s">
        <v>670</v>
      </c>
      <c r="MA421" s="7" t="s">
        <v>671</v>
      </c>
      <c r="MB421" s="4" t="s">
        <v>1926</v>
      </c>
      <c r="MC421" s="7" t="s">
        <v>3027</v>
      </c>
      <c r="MD421" s="8">
        <v>39454</v>
      </c>
      <c r="ME421" s="8">
        <v>39454</v>
      </c>
      <c r="MF421" s="8"/>
      <c r="MG421" s="5" t="s">
        <v>386</v>
      </c>
      <c r="MH421" s="6"/>
      <c r="MI421" s="4"/>
      <c r="MJ421" s="4"/>
      <c r="MK421" s="4"/>
      <c r="ML421" s="4"/>
      <c r="MM421" s="4"/>
      <c r="MN421" s="5"/>
      <c r="MO421" s="6"/>
      <c r="MP421" s="4"/>
      <c r="MQ421" s="4"/>
      <c r="MR421" s="4"/>
      <c r="MS421" s="4"/>
      <c r="MT421" s="4"/>
      <c r="MU421" s="5"/>
      <c r="MV421" s="6" t="s">
        <v>2503</v>
      </c>
      <c r="MW421" s="4" t="s">
        <v>2503</v>
      </c>
      <c r="MX421" s="4"/>
      <c r="MY421" s="7" t="s">
        <v>672</v>
      </c>
      <c r="MZ421" s="8">
        <v>39437</v>
      </c>
      <c r="NA421" s="8">
        <v>39450</v>
      </c>
      <c r="NB421" s="5" t="s">
        <v>210</v>
      </c>
      <c r="NC421" s="6" t="s">
        <v>673</v>
      </c>
      <c r="ND421" s="4" t="s">
        <v>674</v>
      </c>
      <c r="NE421" s="4"/>
      <c r="NF421" s="7"/>
      <c r="NG421" s="8"/>
      <c r="NH421" s="8"/>
      <c r="NI421" s="5"/>
      <c r="NJ421" s="6" t="s">
        <v>2306</v>
      </c>
      <c r="NK421" s="4" t="s">
        <v>2306</v>
      </c>
      <c r="NL421" s="4"/>
      <c r="NM421" s="7" t="s">
        <v>2149</v>
      </c>
      <c r="NN421" s="8">
        <v>39451</v>
      </c>
      <c r="NO421" s="8">
        <v>39453</v>
      </c>
      <c r="NP421" s="5" t="s">
        <v>267</v>
      </c>
      <c r="NQ421" s="6"/>
      <c r="NR421" s="4"/>
      <c r="NS421" s="4"/>
      <c r="NT421" s="4"/>
      <c r="NU421" s="4"/>
      <c r="NV421" s="4"/>
      <c r="NW421" s="5"/>
      <c r="NX421" s="6" t="s">
        <v>527</v>
      </c>
      <c r="NY421" s="12" t="s">
        <v>528</v>
      </c>
      <c r="NZ421" s="4" t="s">
        <v>735</v>
      </c>
      <c r="OA421" s="7" t="s">
        <v>398</v>
      </c>
      <c r="OB421" s="8">
        <v>38334</v>
      </c>
      <c r="OC421" s="8">
        <v>39450</v>
      </c>
      <c r="OD421" s="5" t="s">
        <v>156</v>
      </c>
      <c r="OE421" s="6"/>
      <c r="OF421" s="4"/>
      <c r="OG421" s="4"/>
      <c r="OH421" s="4"/>
      <c r="OI421" s="4"/>
      <c r="OJ421" s="4"/>
      <c r="OK421" s="5"/>
      <c r="OL421" s="6"/>
      <c r="OM421" s="4"/>
      <c r="ON421" s="4"/>
      <c r="OO421" s="4"/>
      <c r="OP421" s="4"/>
      <c r="OQ421" s="4"/>
      <c r="OR421" s="5"/>
      <c r="OS421" s="6"/>
      <c r="OT421" s="4"/>
      <c r="OU421" s="4"/>
      <c r="OV421" s="4"/>
      <c r="OW421" s="4"/>
      <c r="OX421" s="4"/>
      <c r="OY421" s="5"/>
      <c r="OZ421" s="6"/>
      <c r="PA421" s="4"/>
      <c r="PB421" s="4"/>
      <c r="PC421" s="4"/>
      <c r="PD421" s="4"/>
      <c r="PE421" s="4"/>
      <c r="PF421" s="5"/>
      <c r="PG421" s="6"/>
      <c r="PH421" s="4"/>
      <c r="PI421" s="4"/>
      <c r="PJ421" s="4"/>
      <c r="PK421" s="4"/>
      <c r="PL421" s="4"/>
      <c r="PM421" s="5"/>
      <c r="PN421" s="6"/>
      <c r="PO421" s="4"/>
      <c r="PP421" s="4"/>
      <c r="PQ421" s="4"/>
      <c r="PR421" s="4"/>
      <c r="PS421" s="4"/>
      <c r="PT421" s="5"/>
      <c r="PU421" s="6"/>
      <c r="PV421" s="4"/>
      <c r="PW421" s="4"/>
      <c r="PX421" s="4"/>
      <c r="PY421" s="4"/>
      <c r="PZ421" s="4"/>
      <c r="QA421" s="5"/>
      <c r="QB421" s="6" t="s">
        <v>658</v>
      </c>
      <c r="QC421" s="4" t="s">
        <v>704</v>
      </c>
      <c r="QD421" s="4" t="s">
        <v>659</v>
      </c>
      <c r="QE421" s="7" t="s">
        <v>660</v>
      </c>
      <c r="QF421" s="8">
        <v>38687</v>
      </c>
      <c r="QG421" s="8">
        <v>39450</v>
      </c>
      <c r="QH421" s="5" t="s">
        <v>209</v>
      </c>
      <c r="QI421" s="6"/>
      <c r="QJ421" s="4"/>
      <c r="QK421" s="4"/>
      <c r="QL421" s="4"/>
      <c r="QM421" s="4"/>
      <c r="QN421" s="4"/>
      <c r="QO421" s="5"/>
      <c r="QP421" s="6"/>
      <c r="QQ421" s="4"/>
      <c r="QR421" s="4"/>
      <c r="QS421" s="4"/>
      <c r="QT421" s="4"/>
      <c r="QU421" s="4"/>
      <c r="QV421" s="5"/>
      <c r="QW421" s="6"/>
      <c r="QX421" s="4"/>
      <c r="QY421" s="4"/>
      <c r="QZ421" s="4"/>
      <c r="RA421" s="4"/>
      <c r="RB421" s="4"/>
      <c r="RC421" s="5"/>
      <c r="RD421" s="6"/>
      <c r="RE421" s="4"/>
      <c r="RF421" s="4"/>
      <c r="RG421" s="4"/>
      <c r="RH421" s="4"/>
      <c r="RI421" s="4"/>
      <c r="RJ421" s="5"/>
      <c r="RK421" s="6"/>
      <c r="RL421" s="4"/>
      <c r="RM421" s="4"/>
      <c r="RN421" s="4"/>
      <c r="RO421" s="4"/>
      <c r="RP421" s="4"/>
      <c r="RQ421" s="5"/>
      <c r="RR421" s="6"/>
      <c r="RS421" s="4"/>
      <c r="RT421" s="4"/>
      <c r="RU421" s="4"/>
      <c r="RV421" s="4"/>
      <c r="RW421" s="4"/>
      <c r="RX421" s="5"/>
      <c r="RY421" s="6"/>
      <c r="RZ421" s="4"/>
      <c r="SA421" s="4"/>
      <c r="SB421" s="4"/>
      <c r="SC421" s="4"/>
      <c r="SD421" s="4"/>
      <c r="SE421" s="5"/>
      <c r="SF421" s="6"/>
      <c r="SG421" s="4"/>
      <c r="SH421" s="4"/>
      <c r="SI421" s="4"/>
      <c r="SJ421" s="4"/>
      <c r="SK421" s="4"/>
      <c r="SL421" s="5"/>
      <c r="SM421" s="6"/>
      <c r="SN421" s="4"/>
      <c r="SO421" s="4"/>
      <c r="SP421" s="4"/>
      <c r="SQ421" s="4"/>
      <c r="SR421" s="4"/>
      <c r="SS421" s="5"/>
      <c r="ST421" s="6"/>
      <c r="SU421" s="4"/>
      <c r="SV421" s="4"/>
      <c r="SW421" s="4"/>
      <c r="SX421" s="4"/>
      <c r="SY421" s="4"/>
      <c r="SZ421" s="5"/>
      <c r="TA421" s="6"/>
      <c r="TB421" s="4"/>
      <c r="TC421" s="4"/>
      <c r="TD421" s="4"/>
      <c r="TE421" s="4"/>
      <c r="TF421" s="4"/>
      <c r="TG421" s="5"/>
      <c r="TH421" s="6"/>
      <c r="TI421" s="4"/>
      <c r="TJ421" s="4"/>
      <c r="TK421" s="4"/>
      <c r="TL421" s="4"/>
      <c r="TM421" s="4"/>
      <c r="TN421" s="5"/>
      <c r="TO421" s="6"/>
      <c r="TP421" s="4"/>
      <c r="TQ421" s="4"/>
      <c r="TR421" s="4"/>
      <c r="TS421" s="4"/>
      <c r="TT421" s="4"/>
      <c r="TU421" s="5"/>
      <c r="TV421" s="6"/>
      <c r="TW421" s="4"/>
      <c r="TX421" s="4"/>
      <c r="TY421" s="4"/>
      <c r="TZ421" s="4"/>
      <c r="UA421" s="4"/>
      <c r="UB421" s="5"/>
      <c r="UC421" s="6"/>
      <c r="UD421" s="4"/>
      <c r="UE421" s="4"/>
      <c r="UF421" s="4"/>
      <c r="UG421" s="4"/>
      <c r="UH421" s="4"/>
      <c r="UI421" s="5"/>
      <c r="UJ421" s="6"/>
      <c r="UK421" s="4"/>
      <c r="UL421" s="4"/>
      <c r="UM421" s="4"/>
      <c r="UN421" s="4"/>
      <c r="UO421" s="4"/>
      <c r="UP421" s="5"/>
      <c r="UQ421" s="6"/>
      <c r="UR421" s="4"/>
      <c r="US421" s="4"/>
      <c r="UT421" s="4"/>
      <c r="UU421" s="4"/>
      <c r="UV421" s="4"/>
      <c r="UW421" s="5"/>
      <c r="UX421" s="6" t="s">
        <v>84</v>
      </c>
      <c r="UY421" t="s">
        <v>85</v>
      </c>
      <c r="UZ421" s="4" t="s">
        <v>954</v>
      </c>
      <c r="VA421" s="7" t="s">
        <v>1810</v>
      </c>
      <c r="VB421" s="8">
        <v>39437</v>
      </c>
      <c r="VC421" s="8">
        <v>39447</v>
      </c>
      <c r="VD421" s="5" t="s">
        <v>403</v>
      </c>
      <c r="VE421" s="6"/>
      <c r="VF421" s="4"/>
      <c r="VG421" s="4"/>
      <c r="VH421" s="4"/>
      <c r="VI421" s="4"/>
      <c r="VJ421" s="4"/>
      <c r="VK421" s="5"/>
      <c r="VL421" s="6" t="s">
        <v>661</v>
      </c>
      <c r="VM421" s="4" t="s">
        <v>1029</v>
      </c>
      <c r="VN421" s="4" t="s">
        <v>2470</v>
      </c>
      <c r="VO421" s="7" t="s">
        <v>398</v>
      </c>
      <c r="VP421" s="8">
        <v>38334</v>
      </c>
      <c r="VQ421" s="9">
        <v>39450</v>
      </c>
      <c r="VR421" s="5" t="s">
        <v>210</v>
      </c>
      <c r="VS421" s="6"/>
      <c r="VT421" s="4"/>
      <c r="VU421" s="4"/>
      <c r="VV421" s="4"/>
      <c r="VW421" s="4"/>
      <c r="VX421" s="4"/>
      <c r="VY421" s="5"/>
      <c r="VZ421" s="6"/>
      <c r="WA421" s="4"/>
      <c r="WB421" s="4"/>
      <c r="WC421" s="4"/>
      <c r="WD421" s="4"/>
      <c r="WE421" s="4"/>
      <c r="WF421" s="5"/>
      <c r="WG421" s="6"/>
      <c r="WH421" s="4"/>
      <c r="WI421" s="4"/>
      <c r="WJ421" s="4"/>
      <c r="WK421" s="4"/>
      <c r="WL421" s="4"/>
      <c r="WM421" s="5"/>
      <c r="WN421" s="6"/>
      <c r="WO421" s="4"/>
      <c r="WP421" s="4"/>
      <c r="WQ421" s="4"/>
      <c r="WR421" s="4"/>
      <c r="WS421" s="4"/>
      <c r="WT421" s="5"/>
      <c r="WU421" s="6"/>
      <c r="WV421" s="4"/>
      <c r="WW421" s="4"/>
      <c r="WX421" s="4"/>
      <c r="WY421" s="4"/>
      <c r="WZ421" s="4"/>
      <c r="XA421" s="5"/>
      <c r="XB421" s="6"/>
      <c r="XC421" s="4"/>
      <c r="XD421" s="4"/>
      <c r="XE421" s="4"/>
      <c r="XF421" s="4"/>
      <c r="XG421" s="4"/>
      <c r="XH421" s="5"/>
      <c r="XI421" s="6"/>
      <c r="XJ421" s="4"/>
      <c r="XK421" s="4"/>
      <c r="XL421" s="4"/>
      <c r="XM421" s="4"/>
      <c r="XN421" s="4"/>
      <c r="XO421" s="5"/>
      <c r="XP421" s="6"/>
      <c r="XQ421" s="4"/>
      <c r="XR421" s="4"/>
      <c r="XS421" s="4"/>
      <c r="XT421" s="4"/>
      <c r="XU421" s="4"/>
      <c r="XV421" s="5"/>
      <c r="XW421" s="6"/>
      <c r="XX421" s="4"/>
      <c r="XY421" s="4"/>
      <c r="XZ421" s="4"/>
      <c r="YA421" s="4"/>
      <c r="YB421" s="4"/>
      <c r="YC421" s="5"/>
      <c r="YD421" s="6"/>
      <c r="YE421" s="4"/>
      <c r="YF421" s="4"/>
      <c r="YG421" s="4"/>
      <c r="YH421" s="4"/>
      <c r="YI421" s="4"/>
      <c r="YJ421" s="5"/>
      <c r="YK421" s="6" t="s">
        <v>2251</v>
      </c>
      <c r="YL421" s="4" t="s">
        <v>1382</v>
      </c>
      <c r="YM421" s="4"/>
      <c r="YN421" s="4"/>
      <c r="YO421" s="8">
        <v>39451</v>
      </c>
      <c r="YP421" s="8"/>
      <c r="YQ421" s="5" t="s">
        <v>88</v>
      </c>
      <c r="YR421" s="6"/>
      <c r="YS421" s="4"/>
      <c r="YT421" s="4"/>
      <c r="YU421" s="4"/>
      <c r="YV421" s="4"/>
      <c r="YW421" s="4"/>
      <c r="YX421" s="5"/>
      <c r="YY421" s="6"/>
      <c r="YZ421" s="4"/>
      <c r="ZA421" s="4"/>
      <c r="ZB421" s="4"/>
      <c r="ZC421" s="4"/>
      <c r="ZD421" s="4"/>
      <c r="ZE421" s="5"/>
      <c r="ZF421" s="6"/>
      <c r="ZG421" s="4"/>
      <c r="ZH421" s="4"/>
      <c r="ZI421" s="4"/>
      <c r="ZJ421" s="4"/>
      <c r="ZK421" s="4"/>
      <c r="ZL421" s="5"/>
      <c r="ZM421" s="6"/>
      <c r="ZN421" s="4"/>
      <c r="ZO421" s="4"/>
      <c r="ZP421" s="4"/>
      <c r="ZQ421" s="4"/>
      <c r="ZR421" s="4"/>
      <c r="ZS421" s="5"/>
      <c r="ZT421" s="6"/>
      <c r="ZU421" s="4"/>
      <c r="ZV421" s="4"/>
      <c r="ZW421" s="4"/>
      <c r="ZX421" s="4"/>
      <c r="ZY421" s="4"/>
      <c r="ZZ421" s="5"/>
      <c r="AAA421" s="6"/>
      <c r="AAB421" s="4"/>
      <c r="AAC421" s="4"/>
      <c r="AAD421" s="4"/>
      <c r="AAE421" s="4"/>
      <c r="AAF421" s="4"/>
      <c r="AAG421" s="5"/>
      <c r="AAH421" s="6"/>
      <c r="AAI421" s="4"/>
      <c r="AAJ421" s="4"/>
      <c r="AAK421" s="4"/>
      <c r="AAL421" s="4"/>
      <c r="AAM421" s="4"/>
      <c r="AAN421" s="5"/>
      <c r="AAO421" s="6"/>
      <c r="AAP421" s="4"/>
      <c r="AAQ421" s="4"/>
      <c r="AAR421" s="4"/>
      <c r="AAS421" s="4"/>
      <c r="AAT421" s="4"/>
      <c r="AAU421" s="5"/>
      <c r="AAV421" s="6"/>
      <c r="AAW421" s="4"/>
      <c r="AAX421" s="4"/>
      <c r="AAY421" s="4"/>
      <c r="AAZ421" s="4"/>
      <c r="ABA421" s="4"/>
      <c r="ABB421" s="5"/>
      <c r="ABC421" s="6" t="s">
        <v>662</v>
      </c>
      <c r="ABD421" s="4" t="s">
        <v>747</v>
      </c>
      <c r="ABE421" s="4"/>
      <c r="ABF421" s="4"/>
      <c r="ABG421" s="8">
        <v>39451</v>
      </c>
      <c r="ABH421" s="4"/>
      <c r="ABI421" s="5"/>
      <c r="ABJ421" s="6"/>
      <c r="ABK421" s="4"/>
      <c r="ABL421" s="4"/>
      <c r="ABM421" s="4"/>
      <c r="ABN421" s="4"/>
      <c r="ABO421" s="4"/>
      <c r="ABP421" s="5"/>
      <c r="ABQ421" s="6"/>
      <c r="ABR421" s="4"/>
      <c r="ABS421" s="4"/>
      <c r="ABT421" s="4"/>
      <c r="ABU421" s="4"/>
      <c r="ABV421" s="4"/>
      <c r="ABW421" s="5"/>
      <c r="ABX421" s="6"/>
      <c r="ABY421" s="4"/>
      <c r="ABZ421" s="4"/>
      <c r="ACA421" s="4"/>
      <c r="ACB421" s="4"/>
      <c r="ACC421" s="4"/>
      <c r="ACD421" s="5"/>
      <c r="ACE421" s="6"/>
      <c r="ACF421" s="4"/>
      <c r="ACG421" s="4"/>
      <c r="ACH421" s="4"/>
      <c r="ACI421" s="4"/>
      <c r="ACJ421" s="4"/>
      <c r="ACK421" s="5"/>
      <c r="ACL421" s="6"/>
      <c r="ACM421" s="4"/>
      <c r="ACN421" s="4"/>
      <c r="ACO421" s="4"/>
      <c r="ACP421" s="4"/>
      <c r="ACQ421" s="4"/>
      <c r="ACR421" s="5"/>
      <c r="ACS421" s="6"/>
      <c r="ACT421" s="4"/>
      <c r="ACU421" s="4"/>
      <c r="ACV421" s="4"/>
      <c r="ACW421" s="4"/>
      <c r="ACX421" s="4"/>
      <c r="ACY421" s="5"/>
    </row>
    <row r="422" spans="2:816" x14ac:dyDescent="0.25">
      <c r="B422" s="30"/>
      <c r="J422" s="12"/>
      <c r="K422" s="12"/>
      <c r="L422" s="12"/>
      <c r="LL422" s="6"/>
      <c r="LM422" s="4"/>
      <c r="LN422" s="4"/>
      <c r="LO422" s="4"/>
      <c r="LP422" s="4"/>
      <c r="LQ422" s="4"/>
      <c r="LR422" s="5"/>
      <c r="LS422" s="6"/>
      <c r="LT422" s="4"/>
      <c r="LU422" s="4"/>
      <c r="LV422" s="4"/>
      <c r="LW422" s="4"/>
      <c r="LX422" s="4"/>
      <c r="LY422" s="5"/>
      <c r="LZ422" s="6" t="s">
        <v>748</v>
      </c>
      <c r="MA422" s="7" t="s">
        <v>2375</v>
      </c>
      <c r="MB422" s="7" t="s">
        <v>1680</v>
      </c>
      <c r="MC422" s="7" t="s">
        <v>2661</v>
      </c>
      <c r="MD422" s="8">
        <v>39437</v>
      </c>
      <c r="ME422" s="8">
        <v>39450</v>
      </c>
      <c r="MF422" s="8" t="s">
        <v>208</v>
      </c>
      <c r="MG422" s="5" t="s">
        <v>488</v>
      </c>
      <c r="MH422" s="6"/>
      <c r="MI422" s="4"/>
      <c r="MJ422" s="4"/>
      <c r="MK422" s="4"/>
      <c r="ML422" s="4"/>
      <c r="MM422" s="4"/>
      <c r="MN422" s="5"/>
      <c r="MO422" s="6"/>
      <c r="MP422" s="4"/>
      <c r="MQ422" s="4"/>
      <c r="MR422" s="4"/>
      <c r="MS422" s="4"/>
      <c r="MT422" s="4"/>
      <c r="MU422" s="5"/>
      <c r="MV422" s="6" t="s">
        <v>2769</v>
      </c>
      <c r="MW422" s="4" t="s">
        <v>2769</v>
      </c>
      <c r="MX422" s="4"/>
      <c r="MY422" s="7" t="s">
        <v>1595</v>
      </c>
      <c r="MZ422" s="8">
        <v>39430</v>
      </c>
      <c r="NA422" s="8">
        <v>39435</v>
      </c>
      <c r="NB422" s="5"/>
      <c r="NC422" s="6" t="s">
        <v>3256</v>
      </c>
      <c r="ND422" s="4" t="s">
        <v>3256</v>
      </c>
      <c r="NE422" s="4" t="s">
        <v>1444</v>
      </c>
      <c r="NF422" s="7" t="s">
        <v>2300</v>
      </c>
      <c r="NG422" s="8">
        <v>39438</v>
      </c>
      <c r="NH422" s="8">
        <v>39447</v>
      </c>
      <c r="NI422" s="5" t="s">
        <v>81</v>
      </c>
      <c r="NJ422" s="6" t="s">
        <v>1706</v>
      </c>
      <c r="NK422" s="4" t="s">
        <v>960</v>
      </c>
      <c r="NL422" s="4" t="s">
        <v>749</v>
      </c>
      <c r="NM422" s="7" t="s">
        <v>2661</v>
      </c>
      <c r="NN422" s="8">
        <v>39437</v>
      </c>
      <c r="NO422" s="8">
        <v>39450</v>
      </c>
      <c r="NP422" s="5" t="s">
        <v>267</v>
      </c>
      <c r="NQ422" s="6"/>
      <c r="NR422" s="4"/>
      <c r="NS422" s="4"/>
      <c r="NT422" s="4"/>
      <c r="NU422" s="4"/>
      <c r="NV422" s="4"/>
      <c r="NW422" s="5"/>
      <c r="NX422" s="6"/>
      <c r="NY422" s="4"/>
      <c r="NZ422" s="4"/>
      <c r="OA422" s="4"/>
      <c r="OB422" s="4"/>
      <c r="OC422" s="4"/>
      <c r="OD422" s="5"/>
      <c r="OE422" s="6"/>
      <c r="OF422" s="4"/>
      <c r="OG422" s="4"/>
      <c r="OH422" s="4"/>
      <c r="OI422" s="4"/>
      <c r="OJ422" s="4"/>
      <c r="OK422" s="5"/>
      <c r="OL422" s="6"/>
      <c r="OM422" s="4"/>
      <c r="ON422" s="4"/>
      <c r="OO422" s="4"/>
      <c r="OP422" s="4"/>
      <c r="OQ422" s="4"/>
      <c r="OR422" s="5"/>
      <c r="OS422" s="6"/>
      <c r="OT422" s="4"/>
      <c r="OU422" s="4"/>
      <c r="OV422" s="4"/>
      <c r="OW422" s="4"/>
      <c r="OX422" s="4"/>
      <c r="OY422" s="5"/>
      <c r="OZ422" s="6"/>
      <c r="PA422" s="4"/>
      <c r="PB422" s="4"/>
      <c r="PC422" s="4"/>
      <c r="PD422" s="4"/>
      <c r="PE422" s="4"/>
      <c r="PF422" s="5"/>
      <c r="PG422" s="6"/>
      <c r="PH422" s="4"/>
      <c r="PI422" s="4"/>
      <c r="PJ422" s="4"/>
      <c r="PK422" s="4"/>
      <c r="PL422" s="4"/>
      <c r="PM422" s="5"/>
      <c r="PN422" s="6"/>
      <c r="PO422" s="4"/>
      <c r="PP422" s="4"/>
      <c r="PQ422" s="4"/>
      <c r="PR422" s="4"/>
      <c r="PS422" s="4"/>
      <c r="PT422" s="5"/>
      <c r="PU422" s="6"/>
      <c r="PV422" s="4"/>
      <c r="PW422" s="4"/>
      <c r="PX422" s="4"/>
      <c r="PY422" s="4"/>
      <c r="PZ422" s="4"/>
      <c r="QA422" s="5"/>
      <c r="QB422" s="6"/>
      <c r="QC422" s="4"/>
      <c r="QD422" s="4"/>
      <c r="QE422" s="4"/>
      <c r="QF422" s="4"/>
      <c r="QG422" s="4"/>
      <c r="QH422" s="5"/>
      <c r="QI422" s="6"/>
      <c r="QJ422" s="4"/>
      <c r="QK422" s="4"/>
      <c r="QL422" s="4"/>
      <c r="QM422" s="4"/>
      <c r="QN422" s="4"/>
      <c r="QO422" s="5"/>
      <c r="QP422" s="6"/>
      <c r="QQ422" s="4"/>
      <c r="QR422" s="4"/>
      <c r="QS422" s="4"/>
      <c r="QT422" s="4"/>
      <c r="QU422" s="4"/>
      <c r="QV422" s="5"/>
      <c r="QW422" s="6"/>
      <c r="QX422" s="4"/>
      <c r="QY422" s="4"/>
      <c r="QZ422" s="4"/>
      <c r="RA422" s="4"/>
      <c r="RB422" s="4"/>
      <c r="RC422" s="5"/>
      <c r="RD422" s="6"/>
      <c r="RE422" s="4"/>
      <c r="RF422" s="4"/>
      <c r="RG422" s="4"/>
      <c r="RH422" s="4"/>
      <c r="RI422" s="4"/>
      <c r="RJ422" s="5"/>
      <c r="RK422" s="6"/>
      <c r="RL422" s="4"/>
      <c r="RM422" s="4"/>
      <c r="RN422" s="4"/>
      <c r="RO422" s="4"/>
      <c r="RP422" s="4"/>
      <c r="RQ422" s="5"/>
      <c r="RR422" s="6"/>
      <c r="RS422" s="4"/>
      <c r="RT422" s="4"/>
      <c r="RU422" s="4"/>
      <c r="RV422" s="4"/>
      <c r="RW422" s="4"/>
      <c r="RX422" s="5"/>
      <c r="RY422" s="6"/>
      <c r="RZ422" s="4"/>
      <c r="SA422" s="4"/>
      <c r="SB422" s="4"/>
      <c r="SC422" s="4"/>
      <c r="SD422" s="4"/>
      <c r="SE422" s="5"/>
      <c r="SF422" s="6"/>
      <c r="SG422" s="4"/>
      <c r="SH422" s="4"/>
      <c r="SI422" s="4"/>
      <c r="SJ422" s="4"/>
      <c r="SK422" s="4"/>
      <c r="SL422" s="5"/>
      <c r="SM422" s="6"/>
      <c r="SN422" s="4"/>
      <c r="SO422" s="4"/>
      <c r="SP422" s="4"/>
      <c r="SQ422" s="4"/>
      <c r="SR422" s="4"/>
      <c r="SS422" s="5"/>
      <c r="ST422" s="6"/>
      <c r="SU422" s="4"/>
      <c r="SV422" s="4"/>
      <c r="SW422" s="4"/>
      <c r="SX422" s="4"/>
      <c r="SY422" s="4"/>
      <c r="SZ422" s="5"/>
      <c r="TA422" s="6"/>
      <c r="TB422" s="4"/>
      <c r="TC422" s="4"/>
      <c r="TD422" s="4"/>
      <c r="TE422" s="4"/>
      <c r="TF422" s="4"/>
      <c r="TG422" s="5"/>
      <c r="TH422" s="6"/>
      <c r="TI422" s="4"/>
      <c r="TJ422" s="4"/>
      <c r="TK422" s="4"/>
      <c r="TL422" s="4"/>
      <c r="TM422" s="4"/>
      <c r="TN422" s="5"/>
      <c r="TO422" s="6"/>
      <c r="TP422" s="4"/>
      <c r="TQ422" s="4"/>
      <c r="TR422" s="4"/>
      <c r="TS422" s="4"/>
      <c r="TT422" s="4"/>
      <c r="TU422" s="5"/>
      <c r="TV422" s="6"/>
      <c r="TW422" s="4"/>
      <c r="TX422" s="4"/>
      <c r="TY422" s="4"/>
      <c r="TZ422" s="4"/>
      <c r="UA422" s="4"/>
      <c r="UB422" s="5"/>
      <c r="UC422" s="6"/>
      <c r="UD422" s="4"/>
      <c r="UE422" s="4"/>
      <c r="UF422" s="4"/>
      <c r="UG422" s="4"/>
      <c r="UH422" s="4"/>
      <c r="UI422" s="5"/>
      <c r="UJ422" s="6"/>
      <c r="UK422" s="4"/>
      <c r="UL422" s="4"/>
      <c r="UM422" s="4"/>
      <c r="UN422" s="4"/>
      <c r="UO422" s="4"/>
      <c r="UP422" s="5"/>
      <c r="UQ422" s="6"/>
      <c r="UR422" s="4"/>
      <c r="US422" s="4"/>
      <c r="UT422" s="4"/>
      <c r="UU422" s="4"/>
      <c r="UV422" s="4"/>
      <c r="UW422" s="5"/>
      <c r="UX422" s="6" t="s">
        <v>750</v>
      </c>
      <c r="UY422" s="4" t="s">
        <v>751</v>
      </c>
      <c r="UZ422" s="4"/>
      <c r="VA422" s="4" t="s">
        <v>2661</v>
      </c>
      <c r="VB422" s="8">
        <v>39437</v>
      </c>
      <c r="VC422" s="8">
        <v>39450</v>
      </c>
      <c r="VD422" s="5" t="s">
        <v>209</v>
      </c>
      <c r="VE422" s="6"/>
      <c r="VF422" s="4"/>
      <c r="VG422" s="4"/>
      <c r="VH422" s="4"/>
      <c r="VI422" s="4"/>
      <c r="VJ422" s="4"/>
      <c r="VK422" s="5"/>
      <c r="VL422" s="6" t="s">
        <v>1912</v>
      </c>
      <c r="VM422" s="4" t="s">
        <v>1913</v>
      </c>
      <c r="VN422" s="4"/>
      <c r="VO422" s="4" t="s">
        <v>752</v>
      </c>
      <c r="VP422" s="8">
        <v>38334</v>
      </c>
      <c r="VQ422" s="8">
        <v>39436</v>
      </c>
      <c r="VR422" s="5" t="s">
        <v>210</v>
      </c>
      <c r="VS422" s="6"/>
      <c r="VT422" s="4"/>
      <c r="VU422" s="4"/>
      <c r="VV422" s="4"/>
      <c r="VW422" s="4"/>
      <c r="VX422" s="4"/>
      <c r="VY422" s="5"/>
      <c r="VZ422" s="6"/>
      <c r="WA422" s="4"/>
      <c r="WB422" s="4"/>
      <c r="WC422" s="4"/>
      <c r="WD422" s="4"/>
      <c r="WE422" s="4"/>
      <c r="WF422" s="5"/>
      <c r="WG422" s="6"/>
      <c r="WH422" s="4"/>
      <c r="WI422" s="4"/>
      <c r="WJ422" s="4"/>
      <c r="WK422" s="4"/>
      <c r="WL422" s="4"/>
      <c r="WM422" s="5"/>
      <c r="WN422" s="6"/>
      <c r="WO422" s="4"/>
      <c r="WP422" s="4"/>
      <c r="WQ422" s="4"/>
      <c r="WR422" s="4"/>
      <c r="WS422" s="4"/>
      <c r="WT422" s="5"/>
      <c r="WU422" s="6"/>
      <c r="WV422" s="4"/>
      <c r="WW422" s="4"/>
      <c r="WX422" s="4"/>
      <c r="WY422" s="4"/>
      <c r="WZ422" s="4"/>
      <c r="XA422" s="5"/>
      <c r="XB422" s="6"/>
      <c r="XC422" s="4"/>
      <c r="XD422" s="4"/>
      <c r="XE422" s="4"/>
      <c r="XF422" s="4"/>
      <c r="XG422" s="4"/>
      <c r="XH422" s="5"/>
      <c r="XI422" s="6"/>
      <c r="XJ422" s="4"/>
      <c r="XK422" s="4"/>
      <c r="XL422" s="4"/>
      <c r="XM422" s="4"/>
      <c r="XN422" s="4"/>
      <c r="XO422" s="5"/>
      <c r="XP422" s="6"/>
      <c r="XQ422" s="4"/>
      <c r="XR422" s="4"/>
      <c r="XS422" s="4"/>
      <c r="XT422" s="4"/>
      <c r="XU422" s="4"/>
      <c r="XV422" s="5"/>
      <c r="XW422" s="6"/>
      <c r="XX422" s="4"/>
      <c r="XY422" s="4"/>
      <c r="XZ422" s="4"/>
      <c r="YA422" s="4"/>
      <c r="YB422" s="4"/>
      <c r="YC422" s="5"/>
      <c r="YD422" s="6"/>
      <c r="YE422" s="4"/>
      <c r="YF422" s="4"/>
      <c r="YG422" s="4"/>
      <c r="YH422" s="4"/>
      <c r="YI422" s="4"/>
      <c r="YJ422" s="5"/>
      <c r="YK422" s="6" t="s">
        <v>787</v>
      </c>
      <c r="YL422" s="7" t="s">
        <v>2837</v>
      </c>
      <c r="YM422" s="4"/>
      <c r="YN422" s="4" t="s">
        <v>2702</v>
      </c>
      <c r="YO422" s="8">
        <v>39451</v>
      </c>
      <c r="YP422" s="8">
        <v>39452</v>
      </c>
      <c r="YQ422" s="5" t="s">
        <v>89</v>
      </c>
      <c r="YR422" s="6"/>
      <c r="YS422" s="4"/>
      <c r="YT422" s="4"/>
      <c r="YU422" s="4"/>
      <c r="YV422" s="4"/>
      <c r="YW422" s="4"/>
      <c r="YX422" s="5"/>
      <c r="YY422" s="6"/>
      <c r="YZ422" s="4"/>
      <c r="ZA422" s="4"/>
      <c r="ZB422" s="4"/>
      <c r="ZC422" s="4"/>
      <c r="ZD422" s="4"/>
      <c r="ZE422" s="5"/>
      <c r="ZF422" s="6"/>
      <c r="ZG422" s="4"/>
      <c r="ZH422" s="4"/>
      <c r="ZI422" s="4"/>
      <c r="ZJ422" s="4"/>
      <c r="ZK422" s="4"/>
      <c r="ZL422" s="5"/>
      <c r="ZM422" s="6"/>
      <c r="ZN422" s="4"/>
      <c r="ZO422" s="4"/>
      <c r="ZP422" s="4"/>
      <c r="ZQ422" s="4"/>
      <c r="ZR422" s="4"/>
      <c r="ZS422" s="5"/>
      <c r="ZT422" s="6"/>
      <c r="ZU422" s="4"/>
      <c r="ZV422" s="4"/>
      <c r="ZW422" s="4"/>
      <c r="ZX422" s="4"/>
      <c r="ZY422" s="4"/>
      <c r="ZZ422" s="5"/>
      <c r="AAA422" s="6"/>
      <c r="AAB422" s="4"/>
      <c r="AAC422" s="4"/>
      <c r="AAD422" s="4"/>
      <c r="AAE422" s="4"/>
      <c r="AAF422" s="4"/>
      <c r="AAG422" s="5"/>
      <c r="AAH422" s="6"/>
      <c r="AAI422" s="4"/>
      <c r="AAJ422" s="4"/>
      <c r="AAK422" s="4"/>
      <c r="AAL422" s="4"/>
      <c r="AAM422" s="4"/>
      <c r="AAN422" s="5"/>
      <c r="AAO422" s="6"/>
      <c r="AAP422" s="4"/>
      <c r="AAQ422" s="4"/>
      <c r="AAR422" s="4"/>
      <c r="AAS422" s="4"/>
      <c r="AAT422" s="4"/>
      <c r="AAU422" s="5"/>
      <c r="AAV422" s="6"/>
      <c r="AAW422" s="4"/>
      <c r="AAX422" s="4"/>
      <c r="AAY422" s="4"/>
      <c r="AAZ422" s="4"/>
      <c r="ABA422" s="4"/>
      <c r="ABB422" s="5"/>
      <c r="ABC422" s="6"/>
      <c r="ABD422" s="4"/>
      <c r="ABE422" s="4"/>
      <c r="ABF422" s="4"/>
      <c r="ABG422" s="4"/>
      <c r="ABH422" s="4"/>
      <c r="ABI422" s="5"/>
      <c r="ABJ422" s="6"/>
      <c r="ABK422" s="4"/>
      <c r="ABL422" s="4"/>
      <c r="ABM422" s="4"/>
      <c r="ABN422" s="4"/>
      <c r="ABO422" s="4"/>
      <c r="ABP422" s="5"/>
      <c r="ABQ422" s="6"/>
      <c r="ABR422" s="4"/>
      <c r="ABS422" s="4"/>
      <c r="ABT422" s="4"/>
      <c r="ABU422" s="4"/>
      <c r="ABV422" s="4"/>
      <c r="ABW422" s="5"/>
      <c r="ABX422" s="6"/>
      <c r="ABY422" s="4"/>
      <c r="ABZ422" s="4"/>
      <c r="ACA422" s="4"/>
      <c r="ACB422" s="4"/>
      <c r="ACC422" s="4"/>
      <c r="ACD422" s="5"/>
      <c r="ACE422" s="6"/>
      <c r="ACF422" s="4"/>
      <c r="ACG422" s="4"/>
      <c r="ACH422" s="4"/>
      <c r="ACI422" s="4"/>
      <c r="ACJ422" s="4"/>
      <c r="ACK422" s="5"/>
      <c r="ACL422" s="6"/>
      <c r="ACM422" s="4"/>
      <c r="ACN422" s="4"/>
      <c r="ACO422" s="4"/>
      <c r="ACP422" s="4"/>
      <c r="ACQ422" s="4"/>
      <c r="ACR422" s="5"/>
      <c r="ACS422" s="6"/>
      <c r="ACT422" s="4"/>
      <c r="ACU422" s="4"/>
      <c r="ACV422" s="4"/>
      <c r="ACW422" s="4"/>
      <c r="ACX422" s="4"/>
      <c r="ACY422" s="5"/>
    </row>
    <row r="423" spans="2:816" x14ac:dyDescent="0.25">
      <c r="B423" s="30"/>
      <c r="J423" s="12"/>
      <c r="K423" s="12"/>
      <c r="L423" s="12"/>
      <c r="LL423" s="6"/>
      <c r="LM423" s="4"/>
      <c r="LN423" s="4"/>
      <c r="LO423" s="4"/>
      <c r="LP423" s="4"/>
      <c r="LQ423" s="4"/>
      <c r="LR423" s="5"/>
      <c r="LS423" s="6"/>
      <c r="LT423" s="4"/>
      <c r="LU423" s="4"/>
      <c r="LV423" s="4"/>
      <c r="LW423" s="4"/>
      <c r="LX423" s="4"/>
      <c r="LY423" s="5"/>
      <c r="LZ423" s="6"/>
      <c r="ME423" s="8"/>
      <c r="MF423" s="8"/>
      <c r="MG423" s="5"/>
      <c r="MH423" s="6"/>
      <c r="MI423" s="4"/>
      <c r="MJ423" s="4"/>
      <c r="MK423" s="4"/>
      <c r="ML423" s="4"/>
      <c r="MM423" s="4"/>
      <c r="MN423" s="5"/>
      <c r="MO423" s="6"/>
      <c r="MP423" s="4"/>
      <c r="MQ423" s="4"/>
      <c r="MR423" s="4"/>
      <c r="MS423" s="4"/>
      <c r="MT423" s="4"/>
      <c r="MU423" s="5"/>
      <c r="MV423" s="6"/>
      <c r="MW423" s="4"/>
      <c r="MX423" s="4"/>
      <c r="MY423" s="7"/>
      <c r="MZ423" s="8"/>
      <c r="NA423" s="8"/>
      <c r="NB423" s="5"/>
      <c r="NC423" s="6" t="s">
        <v>3256</v>
      </c>
      <c r="ND423" s="4" t="s">
        <v>3256</v>
      </c>
      <c r="NE423" s="4"/>
      <c r="NF423" s="7" t="s">
        <v>1595</v>
      </c>
      <c r="NG423" s="8">
        <v>39452</v>
      </c>
      <c r="NH423" s="8">
        <v>39457</v>
      </c>
      <c r="NI423" s="5" t="s">
        <v>82</v>
      </c>
      <c r="NJ423" s="4"/>
      <c r="NK423" s="4"/>
      <c r="NL423" s="4"/>
      <c r="NM423" s="7"/>
      <c r="NN423" s="8"/>
      <c r="NO423" s="8"/>
      <c r="NP423" s="5"/>
      <c r="NQ423" s="6"/>
      <c r="NR423" s="4"/>
      <c r="NS423" s="4"/>
      <c r="NT423" s="4"/>
      <c r="NU423" s="4"/>
      <c r="NV423" s="4"/>
      <c r="NW423" s="5"/>
      <c r="NX423" s="6"/>
      <c r="NY423" s="4"/>
      <c r="NZ423" s="4"/>
      <c r="OA423" s="4"/>
      <c r="OB423" s="4"/>
      <c r="OC423" s="4"/>
      <c r="OD423" s="5"/>
      <c r="OE423" s="6"/>
      <c r="OF423" s="4"/>
      <c r="OG423" s="4"/>
      <c r="OH423" s="4"/>
      <c r="OI423" s="4"/>
      <c r="OJ423" s="4"/>
      <c r="OK423" s="5"/>
      <c r="OL423" s="6"/>
      <c r="OM423" s="4"/>
      <c r="ON423" s="4"/>
      <c r="OO423" s="4"/>
      <c r="OP423" s="4"/>
      <c r="OQ423" s="4"/>
      <c r="OR423" s="5"/>
      <c r="OS423" s="6"/>
      <c r="OT423" s="4"/>
      <c r="OU423" s="4"/>
      <c r="OV423" s="4"/>
      <c r="OW423" s="4"/>
      <c r="OX423" s="4"/>
      <c r="OY423" s="5"/>
      <c r="OZ423" s="6"/>
      <c r="PA423" s="4"/>
      <c r="PB423" s="4"/>
      <c r="PC423" s="4"/>
      <c r="PD423" s="4"/>
      <c r="PE423" s="4"/>
      <c r="PF423" s="5"/>
      <c r="PG423" s="6"/>
      <c r="PH423" s="4"/>
      <c r="PI423" s="4"/>
      <c r="PJ423" s="4"/>
      <c r="PK423" s="4"/>
      <c r="PL423" s="4"/>
      <c r="PM423" s="5"/>
      <c r="PN423" s="6"/>
      <c r="PO423" s="4"/>
      <c r="PP423" s="4"/>
      <c r="PQ423" s="4"/>
      <c r="PR423" s="4"/>
      <c r="PS423" s="4"/>
      <c r="PT423" s="5"/>
      <c r="PU423" s="6"/>
      <c r="PV423" s="4"/>
      <c r="PW423" s="4"/>
      <c r="PX423" s="4"/>
      <c r="PY423" s="4"/>
      <c r="PZ423" s="4"/>
      <c r="QA423" s="5"/>
      <c r="QB423" s="6"/>
      <c r="QC423" s="4"/>
      <c r="QD423" s="4"/>
      <c r="QE423" s="4"/>
      <c r="QF423" s="4"/>
      <c r="QG423" s="4"/>
      <c r="QH423" s="5"/>
      <c r="QI423" s="6"/>
      <c r="QJ423" s="4"/>
      <c r="QK423" s="4"/>
      <c r="QL423" s="4"/>
      <c r="QM423" s="4"/>
      <c r="QN423" s="4"/>
      <c r="QO423" s="5"/>
      <c r="QP423" s="6"/>
      <c r="QQ423" s="4"/>
      <c r="QR423" s="4"/>
      <c r="QS423" s="4"/>
      <c r="QT423" s="4"/>
      <c r="QU423" s="4"/>
      <c r="QV423" s="5"/>
      <c r="QW423" s="6"/>
      <c r="QX423" s="4"/>
      <c r="QY423" s="4"/>
      <c r="QZ423" s="4"/>
      <c r="RA423" s="4"/>
      <c r="RB423" s="4"/>
      <c r="RC423" s="5"/>
      <c r="RD423" s="6"/>
      <c r="RE423" s="4"/>
      <c r="RF423" s="4"/>
      <c r="RG423" s="4"/>
      <c r="RH423" s="4"/>
      <c r="RI423" s="4"/>
      <c r="RJ423" s="5"/>
      <c r="RK423" s="6"/>
      <c r="RL423" s="4"/>
      <c r="RM423" s="4"/>
      <c r="RN423" s="4"/>
      <c r="RO423" s="4"/>
      <c r="RP423" s="4"/>
      <c r="RQ423" s="5"/>
      <c r="RR423" s="6"/>
      <c r="RS423" s="4"/>
      <c r="RT423" s="4"/>
      <c r="RU423" s="4"/>
      <c r="RV423" s="4"/>
      <c r="RW423" s="4"/>
      <c r="RX423" s="5"/>
      <c r="RY423" s="6"/>
      <c r="RZ423" s="4"/>
      <c r="SA423" s="4"/>
      <c r="SB423" s="4"/>
      <c r="SC423" s="4"/>
      <c r="SD423" s="4"/>
      <c r="SE423" s="5"/>
      <c r="SF423" s="6"/>
      <c r="SG423" s="4"/>
      <c r="SH423" s="4"/>
      <c r="SI423" s="4"/>
      <c r="SJ423" s="4"/>
      <c r="SK423" s="4"/>
      <c r="SL423" s="5"/>
      <c r="SM423" s="6"/>
      <c r="SN423" s="4"/>
      <c r="SO423" s="4"/>
      <c r="SP423" s="4"/>
      <c r="SQ423" s="4"/>
      <c r="SR423" s="4"/>
      <c r="SS423" s="5"/>
      <c r="ST423" s="6"/>
      <c r="SU423" s="4"/>
      <c r="SV423" s="4"/>
      <c r="SW423" s="4"/>
      <c r="SX423" s="4"/>
      <c r="SY423" s="4"/>
      <c r="SZ423" s="5"/>
      <c r="TA423" s="6"/>
      <c r="TB423" s="4"/>
      <c r="TC423" s="4"/>
      <c r="TD423" s="4"/>
      <c r="TE423" s="4"/>
      <c r="TF423" s="4"/>
      <c r="TG423" s="5"/>
      <c r="TH423" s="6"/>
      <c r="TI423" s="4"/>
      <c r="TJ423" s="4"/>
      <c r="TK423" s="4"/>
      <c r="TL423" s="4"/>
      <c r="TM423" s="4"/>
      <c r="TN423" s="5"/>
      <c r="TO423" s="6"/>
      <c r="TP423" s="4"/>
      <c r="TQ423" s="4"/>
      <c r="TR423" s="4"/>
      <c r="TS423" s="4"/>
      <c r="TT423" s="4"/>
      <c r="TU423" s="5"/>
      <c r="TV423" s="6"/>
      <c r="TW423" s="4"/>
      <c r="TX423" s="4"/>
      <c r="TY423" s="4"/>
      <c r="TZ423" s="4"/>
      <c r="UA423" s="4"/>
      <c r="UB423" s="5"/>
      <c r="UC423" s="6"/>
      <c r="UD423" s="4"/>
      <c r="UE423" s="4"/>
      <c r="UF423" s="4"/>
      <c r="UG423" s="4"/>
      <c r="UH423" s="4"/>
      <c r="UI423" s="5"/>
      <c r="UJ423" s="6"/>
      <c r="UK423" s="4"/>
      <c r="UL423" s="4"/>
      <c r="UM423" s="4"/>
      <c r="UN423" s="4"/>
      <c r="UO423" s="4"/>
      <c r="UP423" s="5"/>
      <c r="UQ423" s="6"/>
      <c r="UR423" s="4"/>
      <c r="US423" s="4"/>
      <c r="UT423" s="4"/>
      <c r="UU423" s="4"/>
      <c r="UV423" s="4"/>
      <c r="UW423" s="5"/>
      <c r="UX423" s="6" t="s">
        <v>753</v>
      </c>
      <c r="UY423" s="7" t="s">
        <v>754</v>
      </c>
      <c r="UZ423" s="4" t="s">
        <v>755</v>
      </c>
      <c r="VA423" s="7" t="s">
        <v>538</v>
      </c>
      <c r="VB423" s="8">
        <v>38353</v>
      </c>
      <c r="VC423" s="8">
        <v>39450</v>
      </c>
      <c r="VD423" s="5" t="s">
        <v>86</v>
      </c>
      <c r="VE423" s="6"/>
      <c r="VF423" s="4"/>
      <c r="VG423" s="4"/>
      <c r="VH423" s="4"/>
      <c r="VI423" s="4"/>
      <c r="VJ423" s="4"/>
      <c r="VK423" s="5"/>
      <c r="VL423" s="6"/>
      <c r="VM423" s="4"/>
      <c r="VN423" s="4"/>
      <c r="VO423" s="4"/>
      <c r="VP423" s="4"/>
      <c r="VQ423" s="4"/>
      <c r="VR423" s="5"/>
      <c r="VS423" s="6"/>
      <c r="VT423" s="4"/>
      <c r="VU423" s="4"/>
      <c r="VV423" s="4"/>
      <c r="VW423" s="4"/>
      <c r="VX423" s="4"/>
      <c r="VY423" s="5"/>
      <c r="VZ423" s="6"/>
      <c r="WA423" s="4"/>
      <c r="WB423" s="4"/>
      <c r="WC423" s="4"/>
      <c r="WD423" s="4"/>
      <c r="WE423" s="4"/>
      <c r="WF423" s="5"/>
      <c r="WG423" s="6"/>
      <c r="WH423" s="4"/>
      <c r="WI423" s="4"/>
      <c r="WJ423" s="4"/>
      <c r="WK423" s="4"/>
      <c r="WL423" s="4"/>
      <c r="WM423" s="5"/>
      <c r="WN423" s="6"/>
      <c r="WO423" s="4"/>
      <c r="WP423" s="4"/>
      <c r="WQ423" s="4"/>
      <c r="WR423" s="4"/>
      <c r="WS423" s="4"/>
      <c r="WT423" s="5"/>
      <c r="WU423" s="6"/>
      <c r="WV423" s="4"/>
      <c r="WW423" s="4"/>
      <c r="WX423" s="4"/>
      <c r="WY423" s="4"/>
      <c r="WZ423" s="4"/>
      <c r="XA423" s="5"/>
      <c r="XB423" s="6"/>
      <c r="XC423" s="4"/>
      <c r="XD423" s="4"/>
      <c r="XE423" s="4"/>
      <c r="XF423" s="4"/>
      <c r="XG423" s="4"/>
      <c r="XH423" s="5"/>
      <c r="XI423" s="6"/>
      <c r="XJ423" s="4"/>
      <c r="XK423" s="4"/>
      <c r="XL423" s="4"/>
      <c r="XM423" s="4"/>
      <c r="XN423" s="4"/>
      <c r="XO423" s="5"/>
      <c r="XP423" s="6"/>
      <c r="XQ423" s="4"/>
      <c r="XR423" s="4"/>
      <c r="XS423" s="4"/>
      <c r="XT423" s="4"/>
      <c r="XU423" s="4"/>
      <c r="XV423" s="5"/>
      <c r="XW423" s="6"/>
      <c r="XX423" s="4"/>
      <c r="XY423" s="4"/>
      <c r="XZ423" s="4"/>
      <c r="YA423" s="4"/>
      <c r="YB423" s="4"/>
      <c r="YC423" s="5"/>
      <c r="YD423" s="6"/>
      <c r="YE423" s="4"/>
      <c r="YF423" s="4"/>
      <c r="YG423" s="4"/>
      <c r="YH423" s="4"/>
      <c r="YI423" s="4"/>
      <c r="YJ423" s="5"/>
      <c r="YK423" s="6" t="s">
        <v>787</v>
      </c>
      <c r="YL423" s="7" t="s">
        <v>2837</v>
      </c>
      <c r="YM423" s="4"/>
      <c r="YN423" s="4" t="s">
        <v>2149</v>
      </c>
      <c r="YO423" s="8">
        <v>39451</v>
      </c>
      <c r="YP423" s="8">
        <v>39453</v>
      </c>
      <c r="YQ423" s="5"/>
      <c r="YR423" s="6"/>
      <c r="YS423" s="4"/>
      <c r="YT423" s="4"/>
      <c r="YU423" s="4"/>
      <c r="YV423" s="4"/>
      <c r="YW423" s="4"/>
      <c r="YX423" s="5"/>
      <c r="YY423" s="6"/>
      <c r="YZ423" s="4"/>
      <c r="ZA423" s="4"/>
      <c r="ZB423" s="4"/>
      <c r="ZC423" s="4"/>
      <c r="ZD423" s="4"/>
      <c r="ZE423" s="5"/>
      <c r="ZF423" s="6"/>
      <c r="ZG423" s="4"/>
      <c r="ZH423" s="4"/>
      <c r="ZI423" s="4"/>
      <c r="ZJ423" s="4"/>
      <c r="ZK423" s="4"/>
      <c r="ZL423" s="5"/>
      <c r="ZM423" s="6"/>
      <c r="ZN423" s="4"/>
      <c r="ZO423" s="4"/>
      <c r="ZP423" s="4"/>
      <c r="ZQ423" s="4"/>
      <c r="ZR423" s="4"/>
      <c r="ZS423" s="5"/>
      <c r="ZT423" s="6"/>
      <c r="ZU423" s="4"/>
      <c r="ZV423" s="4"/>
      <c r="ZW423" s="4"/>
      <c r="ZX423" s="4"/>
      <c r="ZY423" s="4"/>
      <c r="ZZ423" s="5"/>
      <c r="AAA423" s="6"/>
      <c r="AAB423" s="4"/>
      <c r="AAC423" s="4"/>
      <c r="AAD423" s="4"/>
      <c r="AAE423" s="4"/>
      <c r="AAF423" s="4"/>
      <c r="AAG423" s="5"/>
      <c r="AAH423" s="6"/>
      <c r="AAI423" s="4"/>
      <c r="AAJ423" s="4"/>
      <c r="AAK423" s="4"/>
      <c r="AAL423" s="4"/>
      <c r="AAM423" s="4"/>
      <c r="AAN423" s="5"/>
      <c r="AAO423" s="6"/>
      <c r="AAP423" s="4"/>
      <c r="AAQ423" s="4"/>
      <c r="AAR423" s="4"/>
      <c r="AAS423" s="4"/>
      <c r="AAT423" s="4"/>
      <c r="AAU423" s="5"/>
      <c r="AAV423" s="6"/>
      <c r="AAW423" s="4"/>
      <c r="AAX423" s="4"/>
      <c r="AAY423" s="4"/>
      <c r="AAZ423" s="4"/>
      <c r="ABA423" s="4"/>
      <c r="ABB423" s="5"/>
      <c r="ABC423" s="6"/>
      <c r="ABD423" s="4"/>
      <c r="ABE423" s="4"/>
      <c r="ABF423" s="4"/>
      <c r="ABG423" s="4"/>
      <c r="ABH423" s="4"/>
      <c r="ABI423" s="5"/>
      <c r="ABJ423" s="6"/>
      <c r="ABK423" s="4"/>
      <c r="ABL423" s="4"/>
      <c r="ABM423" s="4"/>
      <c r="ABN423" s="4"/>
      <c r="ABO423" s="4"/>
      <c r="ABP423" s="5"/>
      <c r="ABQ423" s="6"/>
      <c r="ABR423" s="4"/>
      <c r="ABS423" s="4"/>
      <c r="ABT423" s="4"/>
      <c r="ABU423" s="4"/>
      <c r="ABV423" s="4"/>
      <c r="ABW423" s="5"/>
      <c r="ABX423" s="6"/>
      <c r="ABY423" s="4"/>
      <c r="ABZ423" s="4"/>
      <c r="ACA423" s="4"/>
      <c r="ACB423" s="4"/>
      <c r="ACC423" s="4"/>
      <c r="ACD423" s="5"/>
      <c r="ACE423" s="6"/>
      <c r="ACF423" s="4"/>
      <c r="ACG423" s="4"/>
      <c r="ACH423" s="4"/>
      <c r="ACI423" s="4"/>
      <c r="ACJ423" s="4"/>
      <c r="ACK423" s="5"/>
      <c r="ACL423" s="6"/>
      <c r="ACM423" s="4"/>
      <c r="ACN423" s="4"/>
      <c r="ACO423" s="4"/>
      <c r="ACP423" s="4"/>
      <c r="ACQ423" s="4"/>
      <c r="ACR423" s="5"/>
      <c r="ACS423" s="6"/>
      <c r="ACT423" s="4"/>
      <c r="ACU423" s="4"/>
      <c r="ACV423" s="4"/>
      <c r="ACW423" s="4"/>
      <c r="ACX423" s="4"/>
      <c r="ACY423" s="5"/>
    </row>
    <row r="424" spans="2:816" x14ac:dyDescent="0.25">
      <c r="B424" s="30"/>
      <c r="J424" s="12"/>
      <c r="K424" s="12"/>
      <c r="L424" s="12"/>
      <c r="LL424" s="6"/>
      <c r="LM424" s="4"/>
      <c r="LN424" s="4"/>
      <c r="LO424" s="4"/>
      <c r="LP424" s="4"/>
      <c r="LQ424" s="4"/>
      <c r="LR424" s="5"/>
      <c r="LS424" s="6"/>
      <c r="LT424" s="4"/>
      <c r="LU424" s="4"/>
      <c r="LV424" s="4"/>
      <c r="LW424" s="4"/>
      <c r="LX424" s="4"/>
      <c r="LY424" s="5"/>
      <c r="LZ424" s="6"/>
      <c r="MA424" s="7"/>
      <c r="MB424" s="4"/>
      <c r="MC424" s="4"/>
      <c r="MD424" s="8"/>
      <c r="ME424" s="8"/>
      <c r="MF424" s="8"/>
      <c r="MG424" s="5"/>
      <c r="MH424" s="6"/>
      <c r="MI424" s="4"/>
      <c r="MJ424" s="4"/>
      <c r="MK424" s="4"/>
      <c r="ML424" s="4"/>
      <c r="MM424" s="4"/>
      <c r="MN424" s="5"/>
      <c r="MO424" s="6"/>
      <c r="MP424" s="4"/>
      <c r="MQ424" s="4"/>
      <c r="MR424" s="4"/>
      <c r="MS424" s="4"/>
      <c r="MT424" s="4"/>
      <c r="MU424" s="5"/>
      <c r="MV424" s="6"/>
      <c r="MW424" s="4"/>
      <c r="MX424" s="4"/>
      <c r="MY424" s="7"/>
      <c r="MZ424" s="8"/>
      <c r="NA424" s="8"/>
      <c r="NB424" s="5"/>
      <c r="NC424" s="6"/>
      <c r="ND424" s="7"/>
      <c r="NE424" s="4"/>
      <c r="NF424" s="7"/>
      <c r="NG424" s="8"/>
      <c r="NH424" s="8"/>
      <c r="NI424" s="5"/>
      <c r="NJ424" s="4"/>
      <c r="NK424" s="4"/>
      <c r="NL424" s="4"/>
      <c r="NM424" s="7"/>
      <c r="NN424" s="8"/>
      <c r="NO424" s="8"/>
      <c r="NP424" s="5"/>
      <c r="NQ424" s="6"/>
      <c r="NR424" s="4"/>
      <c r="NS424" s="4"/>
      <c r="NT424" s="4"/>
      <c r="NU424" s="4"/>
      <c r="NV424" s="4"/>
      <c r="NW424" s="5"/>
      <c r="NX424" s="6"/>
      <c r="NY424" s="4"/>
      <c r="NZ424" s="4"/>
      <c r="OA424" s="4"/>
      <c r="OB424" s="4"/>
      <c r="OC424" s="4"/>
      <c r="OD424" s="5"/>
      <c r="OE424" s="6"/>
      <c r="OF424" s="4"/>
      <c r="OG424" s="4"/>
      <c r="OH424" s="4"/>
      <c r="OI424" s="4"/>
      <c r="OJ424" s="4"/>
      <c r="OK424" s="5"/>
      <c r="OL424" s="6"/>
      <c r="OM424" s="4"/>
      <c r="ON424" s="4"/>
      <c r="OO424" s="4"/>
      <c r="OP424" s="4"/>
      <c r="OQ424" s="4"/>
      <c r="OR424" s="5"/>
      <c r="OS424" s="6"/>
      <c r="OT424" s="4"/>
      <c r="OU424" s="4"/>
      <c r="OV424" s="4"/>
      <c r="OW424" s="4"/>
      <c r="OX424" s="4"/>
      <c r="OY424" s="5"/>
      <c r="OZ424" s="6"/>
      <c r="PA424" s="4"/>
      <c r="PB424" s="4"/>
      <c r="PC424" s="4"/>
      <c r="PD424" s="4"/>
      <c r="PE424" s="4"/>
      <c r="PF424" s="5"/>
      <c r="PG424" s="6"/>
      <c r="PH424" s="4"/>
      <c r="PI424" s="4"/>
      <c r="PJ424" s="4"/>
      <c r="PK424" s="4"/>
      <c r="PL424" s="4"/>
      <c r="PM424" s="5"/>
      <c r="PN424" s="6"/>
      <c r="PO424" s="4"/>
      <c r="PP424" s="4"/>
      <c r="PQ424" s="4"/>
      <c r="PR424" s="4"/>
      <c r="PS424" s="4"/>
      <c r="PT424" s="5"/>
      <c r="PU424" s="6"/>
      <c r="PV424" s="4"/>
      <c r="PW424" s="4"/>
      <c r="PX424" s="4"/>
      <c r="PY424" s="4"/>
      <c r="PZ424" s="4"/>
      <c r="QA424" s="5"/>
      <c r="QB424" s="6"/>
      <c r="QC424" s="4"/>
      <c r="QD424" s="4"/>
      <c r="QE424" s="4"/>
      <c r="QF424" s="4"/>
      <c r="QG424" s="4"/>
      <c r="QH424" s="5"/>
      <c r="QI424" s="6"/>
      <c r="QJ424" s="4"/>
      <c r="QK424" s="4"/>
      <c r="QL424" s="4"/>
      <c r="QM424" s="4"/>
      <c r="QN424" s="4"/>
      <c r="QO424" s="5"/>
      <c r="QP424" s="6"/>
      <c r="QQ424" s="4"/>
      <c r="QR424" s="4"/>
      <c r="QS424" s="4"/>
      <c r="QT424" s="4"/>
      <c r="QU424" s="4"/>
      <c r="QV424" s="5"/>
      <c r="QW424" s="6"/>
      <c r="QX424" s="4"/>
      <c r="QY424" s="4"/>
      <c r="QZ424" s="4"/>
      <c r="RA424" s="4"/>
      <c r="RB424" s="4"/>
      <c r="RC424" s="5"/>
      <c r="RD424" s="6"/>
      <c r="RE424" s="4"/>
      <c r="RF424" s="4"/>
      <c r="RG424" s="4"/>
      <c r="RH424" s="4"/>
      <c r="RI424" s="4"/>
      <c r="RJ424" s="5"/>
      <c r="RK424" s="6"/>
      <c r="RL424" s="4"/>
      <c r="RM424" s="4"/>
      <c r="RN424" s="4"/>
      <c r="RO424" s="4"/>
      <c r="RP424" s="4"/>
      <c r="RQ424" s="5"/>
      <c r="RR424" s="6"/>
      <c r="RS424" s="4"/>
      <c r="RT424" s="4"/>
      <c r="RU424" s="4"/>
      <c r="RV424" s="4"/>
      <c r="RW424" s="4"/>
      <c r="RX424" s="5"/>
      <c r="RY424" s="6"/>
      <c r="RZ424" s="4"/>
      <c r="SA424" s="4"/>
      <c r="SB424" s="4"/>
      <c r="SC424" s="4"/>
      <c r="SD424" s="4"/>
      <c r="SE424" s="5"/>
      <c r="SF424" s="6"/>
      <c r="SG424" s="4"/>
      <c r="SH424" s="4"/>
      <c r="SI424" s="4"/>
      <c r="SJ424" s="4"/>
      <c r="SK424" s="4"/>
      <c r="SL424" s="5"/>
      <c r="SM424" s="6"/>
      <c r="SN424" s="4"/>
      <c r="SO424" s="4"/>
      <c r="SP424" s="4"/>
      <c r="SQ424" s="4"/>
      <c r="SR424" s="4"/>
      <c r="SS424" s="5"/>
      <c r="ST424" s="6"/>
      <c r="SU424" s="4"/>
      <c r="SV424" s="4"/>
      <c r="SW424" s="4"/>
      <c r="SX424" s="4"/>
      <c r="SY424" s="4"/>
      <c r="SZ424" s="5"/>
      <c r="TA424" s="6"/>
      <c r="TB424" s="4"/>
      <c r="TC424" s="4"/>
      <c r="TD424" s="4"/>
      <c r="TE424" s="4"/>
      <c r="TF424" s="4"/>
      <c r="TG424" s="5"/>
      <c r="TH424" s="6"/>
      <c r="TI424" s="4"/>
      <c r="TJ424" s="4"/>
      <c r="TK424" s="4"/>
      <c r="TL424" s="4"/>
      <c r="TM424" s="4"/>
      <c r="TN424" s="5"/>
      <c r="TO424" s="6"/>
      <c r="TP424" s="4"/>
      <c r="TQ424" s="4"/>
      <c r="TR424" s="4"/>
      <c r="TS424" s="4"/>
      <c r="TT424" s="4"/>
      <c r="TU424" s="5"/>
      <c r="TV424" s="6"/>
      <c r="TW424" s="4"/>
      <c r="TX424" s="4"/>
      <c r="TY424" s="4"/>
      <c r="TZ424" s="4"/>
      <c r="UA424" s="4"/>
      <c r="UB424" s="5"/>
      <c r="UC424" s="6"/>
      <c r="UD424" s="4"/>
      <c r="UE424" s="4"/>
      <c r="UF424" s="4"/>
      <c r="UG424" s="4"/>
      <c r="UH424" s="4"/>
      <c r="UI424" s="5"/>
      <c r="UJ424" s="6"/>
      <c r="UK424" s="4"/>
      <c r="UL424" s="4"/>
      <c r="UM424" s="4"/>
      <c r="UN424" s="4"/>
      <c r="UO424" s="4"/>
      <c r="UP424" s="5"/>
      <c r="UQ424" s="6"/>
      <c r="UR424" s="4"/>
      <c r="US424" s="4"/>
      <c r="UT424" s="4"/>
      <c r="UU424" s="4"/>
      <c r="UV424" s="4"/>
      <c r="UW424" s="5"/>
      <c r="UX424" s="6"/>
      <c r="UY424" s="4"/>
      <c r="UZ424" s="4"/>
      <c r="VA424" s="4"/>
      <c r="VB424" s="8"/>
      <c r="VC424" s="4"/>
      <c r="VD424" s="5"/>
      <c r="VE424" s="6"/>
      <c r="VF424" s="4"/>
      <c r="VG424" s="4"/>
      <c r="VH424" s="4"/>
      <c r="VI424" s="4"/>
      <c r="VJ424" s="4"/>
      <c r="VK424" s="5"/>
      <c r="VL424" s="6"/>
      <c r="VM424" s="4"/>
      <c r="VN424" s="4"/>
      <c r="VO424" s="4"/>
      <c r="VP424" s="4"/>
      <c r="VQ424" s="4"/>
      <c r="VR424" s="5"/>
      <c r="VS424" s="6"/>
      <c r="VT424" s="4"/>
      <c r="VU424" s="4"/>
      <c r="VV424" s="4"/>
      <c r="VW424" s="4"/>
      <c r="VX424" s="4"/>
      <c r="VY424" s="5"/>
      <c r="VZ424" s="6"/>
      <c r="WA424" s="4"/>
      <c r="WB424" s="4"/>
      <c r="WC424" s="4"/>
      <c r="WD424" s="4"/>
      <c r="WE424" s="4"/>
      <c r="WF424" s="5"/>
      <c r="WG424" s="6"/>
      <c r="WH424" s="4"/>
      <c r="WI424" s="4"/>
      <c r="WJ424" s="4"/>
      <c r="WK424" s="4"/>
      <c r="WL424" s="4"/>
      <c r="WM424" s="5"/>
      <c r="WN424" s="6"/>
      <c r="WO424" s="4"/>
      <c r="WP424" s="4"/>
      <c r="WQ424" s="4"/>
      <c r="WR424" s="4"/>
      <c r="WS424" s="4"/>
      <c r="WT424" s="5"/>
      <c r="WU424" s="6"/>
      <c r="WV424" s="4"/>
      <c r="WW424" s="4"/>
      <c r="WX424" s="4"/>
      <c r="WY424" s="4"/>
      <c r="WZ424" s="4"/>
      <c r="XA424" s="5"/>
      <c r="XB424" s="6"/>
      <c r="XC424" s="4"/>
      <c r="XD424" s="4"/>
      <c r="XE424" s="4"/>
      <c r="XF424" s="4"/>
      <c r="XG424" s="4"/>
      <c r="XH424" s="5"/>
      <c r="XI424" s="6"/>
      <c r="XJ424" s="4"/>
      <c r="XK424" s="4"/>
      <c r="XL424" s="4"/>
      <c r="XM424" s="4"/>
      <c r="XN424" s="4"/>
      <c r="XO424" s="5"/>
      <c r="XP424" s="6"/>
      <c r="XQ424" s="4"/>
      <c r="XR424" s="4"/>
      <c r="XS424" s="4"/>
      <c r="XT424" s="4"/>
      <c r="XU424" s="4"/>
      <c r="XV424" s="5"/>
      <c r="XW424" s="6"/>
      <c r="XX424" s="4"/>
      <c r="XY424" s="4"/>
      <c r="XZ424" s="4"/>
      <c r="YA424" s="4"/>
      <c r="YB424" s="4"/>
      <c r="YC424" s="5"/>
      <c r="YD424" s="6"/>
      <c r="YE424" s="4"/>
      <c r="YF424" s="4"/>
      <c r="YG424" s="4"/>
      <c r="YH424" s="4"/>
      <c r="YI424" s="4"/>
      <c r="YJ424" s="5"/>
      <c r="YK424" s="6" t="s">
        <v>756</v>
      </c>
      <c r="YL424" s="7" t="s">
        <v>945</v>
      </c>
      <c r="YM424" s="4"/>
      <c r="YN424" s="4"/>
      <c r="YO424" s="8"/>
      <c r="YP424" s="8"/>
      <c r="YQ424" s="5"/>
      <c r="YR424" s="6"/>
      <c r="YS424" s="4"/>
      <c r="YT424" s="4"/>
      <c r="YU424" s="4"/>
      <c r="YV424" s="4"/>
      <c r="YW424" s="4"/>
      <c r="YX424" s="5"/>
      <c r="YY424" s="6"/>
      <c r="YZ424" s="4"/>
      <c r="ZA424" s="4"/>
      <c r="ZB424" s="4"/>
      <c r="ZC424" s="4"/>
      <c r="ZD424" s="4"/>
      <c r="ZE424" s="5"/>
      <c r="ZF424" s="6"/>
      <c r="ZG424" s="4"/>
      <c r="ZH424" s="4"/>
      <c r="ZI424" s="4"/>
      <c r="ZJ424" s="4"/>
      <c r="ZK424" s="4"/>
      <c r="ZL424" s="5"/>
      <c r="ZM424" s="6"/>
      <c r="ZN424" s="4"/>
      <c r="ZO424" s="4"/>
      <c r="ZP424" s="4"/>
      <c r="ZQ424" s="4"/>
      <c r="ZR424" s="4"/>
      <c r="ZS424" s="5"/>
      <c r="ZT424" s="6"/>
      <c r="ZU424" s="4"/>
      <c r="ZV424" s="4"/>
      <c r="ZW424" s="4"/>
      <c r="ZX424" s="4"/>
      <c r="ZY424" s="4"/>
      <c r="ZZ424" s="5"/>
      <c r="AAA424" s="6"/>
      <c r="AAB424" s="4"/>
      <c r="AAC424" s="4"/>
      <c r="AAD424" s="4"/>
      <c r="AAE424" s="4"/>
      <c r="AAF424" s="4"/>
      <c r="AAG424" s="5"/>
      <c r="AAH424" s="6"/>
      <c r="AAI424" s="4"/>
      <c r="AAJ424" s="4"/>
      <c r="AAK424" s="4"/>
      <c r="AAL424" s="4"/>
      <c r="AAM424" s="4"/>
      <c r="AAN424" s="5"/>
      <c r="AAO424" s="6"/>
      <c r="AAP424" s="4"/>
      <c r="AAQ424" s="4"/>
      <c r="AAR424" s="4"/>
      <c r="AAS424" s="4"/>
      <c r="AAT424" s="4"/>
      <c r="AAU424" s="5"/>
      <c r="AAV424" s="6"/>
      <c r="AAW424" s="4"/>
      <c r="AAX424" s="4"/>
      <c r="AAY424" s="4"/>
      <c r="AAZ424" s="4"/>
      <c r="ABA424" s="4"/>
      <c r="ABB424" s="5"/>
      <c r="ABC424" s="6"/>
      <c r="ABD424" s="4"/>
      <c r="ABE424" s="4"/>
      <c r="ABF424" s="4"/>
      <c r="ABG424" s="4"/>
      <c r="ABH424" s="4"/>
      <c r="ABI424" s="5"/>
      <c r="ABJ424" s="6"/>
      <c r="ABK424" s="4"/>
      <c r="ABL424" s="4"/>
      <c r="ABM424" s="4"/>
      <c r="ABN424" s="4"/>
      <c r="ABO424" s="4"/>
      <c r="ABP424" s="5"/>
      <c r="ABQ424" s="6"/>
      <c r="ABR424" s="4"/>
      <c r="ABS424" s="4"/>
      <c r="ABT424" s="4"/>
      <c r="ABU424" s="4"/>
      <c r="ABV424" s="4"/>
      <c r="ABW424" s="5"/>
      <c r="ABX424" s="6"/>
      <c r="ABY424" s="4"/>
      <c r="ABZ424" s="4"/>
      <c r="ACA424" s="4"/>
      <c r="ACB424" s="4"/>
      <c r="ACC424" s="4"/>
      <c r="ACD424" s="5"/>
      <c r="ACE424" s="6"/>
      <c r="ACF424" s="4"/>
      <c r="ACG424" s="4"/>
      <c r="ACH424" s="4"/>
      <c r="ACI424" s="4"/>
      <c r="ACJ424" s="4"/>
      <c r="ACK424" s="5"/>
      <c r="ACL424" s="6"/>
      <c r="ACM424" s="4"/>
      <c r="ACN424" s="4"/>
      <c r="ACO424" s="4"/>
      <c r="ACP424" s="4"/>
      <c r="ACQ424" s="4"/>
      <c r="ACR424" s="5"/>
      <c r="ACS424" s="6"/>
      <c r="ACT424" s="4"/>
      <c r="ACU424" s="4"/>
      <c r="ACV424" s="4"/>
      <c r="ACW424" s="4"/>
      <c r="ACX424" s="4"/>
      <c r="ACY424" s="5"/>
    </row>
    <row r="425" spans="2:816" x14ac:dyDescent="0.25">
      <c r="B425" s="30"/>
      <c r="J425" s="12"/>
      <c r="K425" s="12"/>
      <c r="L425" s="12"/>
      <c r="LL425" s="6"/>
      <c r="LM425" s="4"/>
      <c r="LN425" s="4"/>
      <c r="LO425" s="4"/>
      <c r="LP425" s="4"/>
      <c r="LQ425" s="4"/>
      <c r="LR425" s="5"/>
      <c r="LS425" s="6"/>
      <c r="LT425" s="4"/>
      <c r="LU425" s="4"/>
      <c r="LV425" s="4"/>
      <c r="LW425" s="4"/>
      <c r="LX425" s="4"/>
      <c r="LY425" s="5"/>
      <c r="LZ425" s="6"/>
      <c r="MA425" s="7"/>
      <c r="MB425" s="4"/>
      <c r="MC425" s="4"/>
      <c r="MD425" s="8"/>
      <c r="ME425" s="8"/>
      <c r="MF425" s="8"/>
      <c r="MG425" s="5"/>
      <c r="MH425" s="6"/>
      <c r="MI425" s="4"/>
      <c r="MJ425" s="4"/>
      <c r="MK425" s="4"/>
      <c r="ML425" s="4"/>
      <c r="MM425" s="4"/>
      <c r="MN425" s="5"/>
      <c r="MO425" s="6"/>
      <c r="MP425" s="4"/>
      <c r="MQ425" s="4"/>
      <c r="MR425" s="4"/>
      <c r="MS425" s="4"/>
      <c r="MT425" s="4"/>
      <c r="MU425" s="5"/>
      <c r="MV425" s="6"/>
      <c r="MW425" s="4"/>
      <c r="MX425" s="4"/>
      <c r="MY425" s="7"/>
      <c r="MZ425" s="8"/>
      <c r="NA425" s="8"/>
      <c r="NB425" s="5"/>
      <c r="NC425" s="6"/>
      <c r="ND425" s="7"/>
      <c r="NE425" s="4"/>
      <c r="NF425" s="7"/>
      <c r="NG425" s="8"/>
      <c r="NH425" s="8"/>
      <c r="NI425" s="5"/>
      <c r="NJ425" s="4"/>
      <c r="NK425" s="4"/>
      <c r="NL425" s="4"/>
      <c r="NM425" s="7"/>
      <c r="NN425" s="8"/>
      <c r="NO425" s="8"/>
      <c r="NP425" s="5"/>
      <c r="NQ425" s="6"/>
      <c r="NR425" s="4"/>
      <c r="NS425" s="4"/>
      <c r="NT425" s="4"/>
      <c r="NU425" s="4"/>
      <c r="NV425" s="4"/>
      <c r="NW425" s="5"/>
      <c r="NX425" s="6"/>
      <c r="NY425" s="4"/>
      <c r="NZ425" s="4"/>
      <c r="OA425" s="4"/>
      <c r="OB425" s="4"/>
      <c r="OC425" s="4"/>
      <c r="OD425" s="5"/>
      <c r="OE425" s="6"/>
      <c r="OF425" s="4"/>
      <c r="OG425" s="4"/>
      <c r="OH425" s="4"/>
      <c r="OI425" s="4"/>
      <c r="OJ425" s="4"/>
      <c r="OK425" s="5"/>
      <c r="OL425" s="6"/>
      <c r="OM425" s="4"/>
      <c r="ON425" s="4"/>
      <c r="OO425" s="4"/>
      <c r="OP425" s="4"/>
      <c r="OQ425" s="4"/>
      <c r="OR425" s="5"/>
      <c r="OS425" s="6"/>
      <c r="OT425" s="4"/>
      <c r="OU425" s="4"/>
      <c r="OV425" s="4"/>
      <c r="OW425" s="4"/>
      <c r="OX425" s="4"/>
      <c r="OY425" s="5"/>
      <c r="OZ425" s="6"/>
      <c r="PA425" s="4"/>
      <c r="PB425" s="4"/>
      <c r="PC425" s="4"/>
      <c r="PD425" s="4"/>
      <c r="PE425" s="4"/>
      <c r="PF425" s="5"/>
      <c r="PG425" s="6"/>
      <c r="PH425" s="4"/>
      <c r="PI425" s="4"/>
      <c r="PJ425" s="4"/>
      <c r="PK425" s="4"/>
      <c r="PL425" s="4"/>
      <c r="PM425" s="5"/>
      <c r="PN425" s="6"/>
      <c r="PO425" s="4"/>
      <c r="PP425" s="4"/>
      <c r="PQ425" s="4"/>
      <c r="PR425" s="4"/>
      <c r="PS425" s="4"/>
      <c r="PT425" s="5"/>
      <c r="PU425" s="6"/>
      <c r="PV425" s="4"/>
      <c r="PW425" s="4"/>
      <c r="PX425" s="4"/>
      <c r="PY425" s="4"/>
      <c r="PZ425" s="4"/>
      <c r="QA425" s="5"/>
      <c r="QB425" s="6"/>
      <c r="QC425" s="4"/>
      <c r="QD425" s="4"/>
      <c r="QE425" s="4"/>
      <c r="QF425" s="4"/>
      <c r="QG425" s="4"/>
      <c r="QH425" s="5"/>
      <c r="QI425" s="6"/>
      <c r="QJ425" s="4"/>
      <c r="QK425" s="4"/>
      <c r="QL425" s="4"/>
      <c r="QM425" s="4"/>
      <c r="QN425" s="4"/>
      <c r="QO425" s="5"/>
      <c r="QP425" s="6"/>
      <c r="QQ425" s="4"/>
      <c r="QR425" s="4"/>
      <c r="QS425" s="4"/>
      <c r="QT425" s="4"/>
      <c r="QU425" s="4"/>
      <c r="QV425" s="5"/>
      <c r="QW425" s="6"/>
      <c r="QX425" s="4"/>
      <c r="QY425" s="4"/>
      <c r="QZ425" s="4"/>
      <c r="RA425" s="4"/>
      <c r="RB425" s="4"/>
      <c r="RC425" s="5"/>
      <c r="RD425" s="6"/>
      <c r="RE425" s="4"/>
      <c r="RF425" s="4"/>
      <c r="RG425" s="4"/>
      <c r="RH425" s="4"/>
      <c r="RI425" s="4"/>
      <c r="RJ425" s="5"/>
      <c r="RK425" s="6"/>
      <c r="RL425" s="4"/>
      <c r="RM425" s="4"/>
      <c r="RN425" s="4"/>
      <c r="RO425" s="4"/>
      <c r="RP425" s="4"/>
      <c r="RQ425" s="5"/>
      <c r="RR425" s="6"/>
      <c r="RS425" s="4"/>
      <c r="RT425" s="4"/>
      <c r="RU425" s="4"/>
      <c r="RV425" s="4"/>
      <c r="RW425" s="4"/>
      <c r="RX425" s="5"/>
      <c r="RY425" s="6"/>
      <c r="RZ425" s="4"/>
      <c r="SA425" s="4"/>
      <c r="SB425" s="4"/>
      <c r="SC425" s="4"/>
      <c r="SD425" s="4"/>
      <c r="SE425" s="5"/>
      <c r="SF425" s="6"/>
      <c r="SG425" s="4"/>
      <c r="SH425" s="4"/>
      <c r="SI425" s="4"/>
      <c r="SJ425" s="4"/>
      <c r="SK425" s="4"/>
      <c r="SL425" s="5"/>
      <c r="SM425" s="6"/>
      <c r="SN425" s="4"/>
      <c r="SO425" s="4"/>
      <c r="SP425" s="4"/>
      <c r="SQ425" s="4"/>
      <c r="SR425" s="4"/>
      <c r="SS425" s="5"/>
      <c r="ST425" s="6"/>
      <c r="SU425" s="4"/>
      <c r="SV425" s="4"/>
      <c r="SW425" s="4"/>
      <c r="SX425" s="4"/>
      <c r="SY425" s="4"/>
      <c r="SZ425" s="5"/>
      <c r="TA425" s="6"/>
      <c r="TB425" s="4"/>
      <c r="TC425" s="4"/>
      <c r="TD425" s="4"/>
      <c r="TE425" s="4"/>
      <c r="TF425" s="4"/>
      <c r="TG425" s="5"/>
      <c r="TH425" s="6"/>
      <c r="TI425" s="4"/>
      <c r="TJ425" s="4"/>
      <c r="TK425" s="4"/>
      <c r="TL425" s="4"/>
      <c r="TM425" s="4"/>
      <c r="TN425" s="5"/>
      <c r="TO425" s="6"/>
      <c r="TP425" s="4"/>
      <c r="TQ425" s="4"/>
      <c r="TR425" s="4"/>
      <c r="TS425" s="4"/>
      <c r="TT425" s="4"/>
      <c r="TU425" s="5"/>
      <c r="TV425" s="6"/>
      <c r="TW425" s="4"/>
      <c r="TX425" s="4"/>
      <c r="TY425" s="4"/>
      <c r="TZ425" s="4"/>
      <c r="UA425" s="4"/>
      <c r="UB425" s="5"/>
      <c r="UC425" s="6"/>
      <c r="UD425" s="4"/>
      <c r="UE425" s="4"/>
      <c r="UF425" s="4"/>
      <c r="UG425" s="4"/>
      <c r="UH425" s="4"/>
      <c r="UI425" s="5"/>
      <c r="UJ425" s="6"/>
      <c r="UK425" s="4"/>
      <c r="UL425" s="4"/>
      <c r="UM425" s="4"/>
      <c r="UN425" s="4"/>
      <c r="UO425" s="4"/>
      <c r="UP425" s="5"/>
      <c r="UQ425" s="6"/>
      <c r="UR425" s="4"/>
      <c r="US425" s="4"/>
      <c r="UT425" s="4"/>
      <c r="UU425" s="4"/>
      <c r="UV425" s="4"/>
      <c r="UW425" s="5"/>
      <c r="UX425" s="6"/>
      <c r="UY425" s="4"/>
      <c r="UZ425" s="4"/>
      <c r="VA425" s="4"/>
      <c r="VB425" s="8"/>
      <c r="VC425" s="4"/>
      <c r="VD425" s="5"/>
      <c r="VE425" s="6"/>
      <c r="VF425" s="4"/>
      <c r="VG425" s="4"/>
      <c r="VH425" s="4"/>
      <c r="VI425" s="4"/>
      <c r="VJ425" s="4"/>
      <c r="VK425" s="5"/>
      <c r="VL425" s="6"/>
      <c r="VM425" s="4"/>
      <c r="VN425" s="4"/>
      <c r="VO425" s="4"/>
      <c r="VP425" s="4"/>
      <c r="VQ425" s="4"/>
      <c r="VR425" s="5"/>
      <c r="VS425" s="6"/>
      <c r="VT425" s="4"/>
      <c r="VU425" s="4"/>
      <c r="VV425" s="4"/>
      <c r="VW425" s="4"/>
      <c r="VX425" s="4"/>
      <c r="VY425" s="5"/>
      <c r="VZ425" s="6"/>
      <c r="WA425" s="4"/>
      <c r="WB425" s="4"/>
      <c r="WC425" s="4"/>
      <c r="WD425" s="4"/>
      <c r="WE425" s="4"/>
      <c r="WF425" s="5"/>
      <c r="WG425" s="6"/>
      <c r="WH425" s="4"/>
      <c r="WI425" s="4"/>
      <c r="WJ425" s="4"/>
      <c r="WK425" s="4"/>
      <c r="WL425" s="4"/>
      <c r="WM425" s="5"/>
      <c r="WN425" s="6"/>
      <c r="WO425" s="4"/>
      <c r="WP425" s="4"/>
      <c r="WQ425" s="4"/>
      <c r="WR425" s="4"/>
      <c r="WS425" s="4"/>
      <c r="WT425" s="5"/>
      <c r="WU425" s="6"/>
      <c r="WV425" s="4"/>
      <c r="WW425" s="4"/>
      <c r="WX425" s="4"/>
      <c r="WY425" s="4"/>
      <c r="WZ425" s="4"/>
      <c r="XA425" s="5"/>
      <c r="XB425" s="6"/>
      <c r="XC425" s="4"/>
      <c r="XD425" s="4"/>
      <c r="XE425" s="4"/>
      <c r="XF425" s="4"/>
      <c r="XG425" s="4"/>
      <c r="XH425" s="5"/>
      <c r="XI425" s="6"/>
      <c r="XJ425" s="4"/>
      <c r="XK425" s="4"/>
      <c r="XL425" s="4"/>
      <c r="XM425" s="4"/>
      <c r="XN425" s="4"/>
      <c r="XO425" s="5"/>
      <c r="XP425" s="6"/>
      <c r="XQ425" s="4"/>
      <c r="XR425" s="4"/>
      <c r="XS425" s="4"/>
      <c r="XT425" s="4"/>
      <c r="XU425" s="4"/>
      <c r="XV425" s="5"/>
      <c r="XW425" s="6"/>
      <c r="XX425" s="4"/>
      <c r="XY425" s="4"/>
      <c r="XZ425" s="4"/>
      <c r="YA425" s="4"/>
      <c r="YB425" s="4"/>
      <c r="YC425" s="5"/>
      <c r="YD425" s="6"/>
      <c r="YE425" s="4"/>
      <c r="YF425" s="4"/>
      <c r="YG425" s="4"/>
      <c r="YH425" s="4"/>
      <c r="YI425" s="4"/>
      <c r="YJ425" s="5"/>
      <c r="YK425" s="6" t="s">
        <v>757</v>
      </c>
      <c r="YL425" s="7" t="s">
        <v>1636</v>
      </c>
      <c r="YM425" s="4"/>
      <c r="YN425" s="7" t="s">
        <v>2661</v>
      </c>
      <c r="YO425" s="8">
        <v>39437</v>
      </c>
      <c r="YP425" s="8">
        <v>39450</v>
      </c>
      <c r="YQ425" s="5"/>
      <c r="YR425" s="6"/>
      <c r="YS425" s="4"/>
      <c r="YT425" s="4"/>
      <c r="YU425" s="4"/>
      <c r="YV425" s="4"/>
      <c r="YW425" s="4"/>
      <c r="YX425" s="5"/>
      <c r="YY425" s="6"/>
      <c r="YZ425" s="4"/>
      <c r="ZA425" s="4"/>
      <c r="ZB425" s="4"/>
      <c r="ZC425" s="4"/>
      <c r="ZD425" s="4"/>
      <c r="ZE425" s="5"/>
      <c r="ZF425" s="6"/>
      <c r="ZG425" s="4"/>
      <c r="ZH425" s="4"/>
      <c r="ZI425" s="4"/>
      <c r="ZJ425" s="4"/>
      <c r="ZK425" s="4"/>
      <c r="ZL425" s="5"/>
      <c r="ZM425" s="6"/>
      <c r="ZN425" s="4"/>
      <c r="ZO425" s="4"/>
      <c r="ZP425" s="4"/>
      <c r="ZQ425" s="4"/>
      <c r="ZR425" s="4"/>
      <c r="ZS425" s="5"/>
      <c r="ZT425" s="6"/>
      <c r="ZU425" s="4"/>
      <c r="ZV425" s="4"/>
      <c r="ZW425" s="4"/>
      <c r="ZX425" s="4"/>
      <c r="ZY425" s="4"/>
      <c r="ZZ425" s="5"/>
      <c r="AAA425" s="6"/>
      <c r="AAB425" s="4"/>
      <c r="AAC425" s="4"/>
      <c r="AAD425" s="4"/>
      <c r="AAE425" s="4"/>
      <c r="AAF425" s="4"/>
      <c r="AAG425" s="5"/>
      <c r="AAH425" s="6"/>
      <c r="AAI425" s="4"/>
      <c r="AAJ425" s="4"/>
      <c r="AAK425" s="4"/>
      <c r="AAL425" s="4"/>
      <c r="AAM425" s="4"/>
      <c r="AAN425" s="5"/>
      <c r="AAO425" s="6"/>
      <c r="AAP425" s="4"/>
      <c r="AAQ425" s="4"/>
      <c r="AAR425" s="4"/>
      <c r="AAS425" s="4"/>
      <c r="AAT425" s="4"/>
      <c r="AAU425" s="5"/>
      <c r="AAV425" s="6"/>
      <c r="AAW425" s="4"/>
      <c r="AAX425" s="4"/>
      <c r="AAY425" s="4"/>
      <c r="AAZ425" s="4"/>
      <c r="ABA425" s="4"/>
      <c r="ABB425" s="5"/>
      <c r="ABC425" s="6"/>
      <c r="ABD425" s="4"/>
      <c r="ABE425" s="4"/>
      <c r="ABF425" s="4"/>
      <c r="ABG425" s="4"/>
      <c r="ABH425" s="4"/>
      <c r="ABI425" s="5"/>
      <c r="ABJ425" s="6"/>
      <c r="ABK425" s="4"/>
      <c r="ABL425" s="4"/>
      <c r="ABM425" s="4"/>
      <c r="ABN425" s="4"/>
      <c r="ABO425" s="4"/>
      <c r="ABP425" s="5"/>
      <c r="ABQ425" s="6"/>
      <c r="ABR425" s="4"/>
      <c r="ABS425" s="4"/>
      <c r="ABT425" s="4"/>
      <c r="ABU425" s="4"/>
      <c r="ABV425" s="4"/>
      <c r="ABW425" s="5"/>
      <c r="ABX425" s="6"/>
      <c r="ABY425" s="4"/>
      <c r="ABZ425" s="4"/>
      <c r="ACA425" s="4"/>
      <c r="ACB425" s="4"/>
      <c r="ACC425" s="4"/>
      <c r="ACD425" s="5"/>
      <c r="ACE425" s="6"/>
      <c r="ACF425" s="4"/>
      <c r="ACG425" s="4"/>
      <c r="ACH425" s="4"/>
      <c r="ACI425" s="4"/>
      <c r="ACJ425" s="4"/>
      <c r="ACK425" s="5"/>
      <c r="ACL425" s="6"/>
      <c r="ACM425" s="4"/>
      <c r="ACN425" s="4"/>
      <c r="ACO425" s="4"/>
      <c r="ACP425" s="4"/>
      <c r="ACQ425" s="4"/>
      <c r="ACR425" s="5"/>
      <c r="ACS425" s="6"/>
      <c r="ACT425" s="4"/>
      <c r="ACU425" s="4"/>
      <c r="ACV425" s="4"/>
      <c r="ACW425" s="4"/>
      <c r="ACX425" s="4"/>
      <c r="ACY425" s="5"/>
    </row>
    <row r="426" spans="2:816" x14ac:dyDescent="0.25">
      <c r="B426" s="30"/>
      <c r="J426" s="12"/>
      <c r="K426" s="12"/>
      <c r="L426" s="12"/>
      <c r="LL426" s="6"/>
      <c r="LM426" s="4"/>
      <c r="LN426" s="4"/>
      <c r="LO426" s="4"/>
      <c r="LP426" s="4"/>
      <c r="LQ426" s="4"/>
      <c r="LR426" s="5"/>
      <c r="LS426" s="6"/>
      <c r="LT426" s="4"/>
      <c r="LU426" s="4"/>
      <c r="LV426" s="4"/>
      <c r="LW426" s="4"/>
      <c r="LX426" s="4"/>
      <c r="LY426" s="5"/>
      <c r="LZ426" s="6"/>
      <c r="MA426" s="7"/>
      <c r="MB426" s="4"/>
      <c r="MC426" s="4"/>
      <c r="MD426" s="8"/>
      <c r="ME426" s="8"/>
      <c r="MF426" s="8"/>
      <c r="MG426" s="5"/>
      <c r="MH426" s="6"/>
      <c r="MI426" s="4"/>
      <c r="MJ426" s="4"/>
      <c r="MK426" s="4"/>
      <c r="ML426" s="4"/>
      <c r="MM426" s="4"/>
      <c r="MN426" s="5"/>
      <c r="MO426" s="6"/>
      <c r="MP426" s="4"/>
      <c r="MQ426" s="4"/>
      <c r="MR426" s="4"/>
      <c r="MS426" s="4"/>
      <c r="MT426" s="4"/>
      <c r="MU426" s="5"/>
      <c r="MV426" s="6"/>
      <c r="MW426" s="4"/>
      <c r="MX426" s="4"/>
      <c r="MY426" s="7"/>
      <c r="MZ426" s="8"/>
      <c r="NA426" s="8"/>
      <c r="NB426" s="5"/>
      <c r="NC426" s="6"/>
      <c r="ND426" s="7"/>
      <c r="NE426" s="4"/>
      <c r="NF426" s="7"/>
      <c r="NG426" s="8"/>
      <c r="NH426" s="8"/>
      <c r="NI426" s="5"/>
      <c r="NJ426" s="4"/>
      <c r="NK426" s="4"/>
      <c r="NL426" s="4"/>
      <c r="NM426" s="7"/>
      <c r="NN426" s="8"/>
      <c r="NO426" s="8"/>
      <c r="NP426" s="5"/>
      <c r="NQ426" s="6"/>
      <c r="NR426" s="4"/>
      <c r="NS426" s="4"/>
      <c r="NT426" s="4"/>
      <c r="NU426" s="4"/>
      <c r="NV426" s="4"/>
      <c r="NW426" s="5"/>
      <c r="NX426" s="6"/>
      <c r="NY426" s="4"/>
      <c r="NZ426" s="4"/>
      <c r="OA426" s="4"/>
      <c r="OB426" s="4"/>
      <c r="OC426" s="4"/>
      <c r="OD426" s="5"/>
      <c r="OE426" s="6"/>
      <c r="OF426" s="4"/>
      <c r="OG426" s="4"/>
      <c r="OH426" s="4"/>
      <c r="OI426" s="4"/>
      <c r="OJ426" s="4"/>
      <c r="OK426" s="5"/>
      <c r="OL426" s="6"/>
      <c r="OM426" s="4"/>
      <c r="ON426" s="4"/>
      <c r="OO426" s="4"/>
      <c r="OP426" s="4"/>
      <c r="OQ426" s="4"/>
      <c r="OR426" s="5"/>
      <c r="OS426" s="6"/>
      <c r="OT426" s="4"/>
      <c r="OU426" s="4"/>
      <c r="OV426" s="4"/>
      <c r="OW426" s="4"/>
      <c r="OX426" s="4"/>
      <c r="OY426" s="5"/>
      <c r="OZ426" s="6"/>
      <c r="PA426" s="4"/>
      <c r="PB426" s="4"/>
      <c r="PC426" s="4"/>
      <c r="PD426" s="4"/>
      <c r="PE426" s="4"/>
      <c r="PF426" s="5"/>
      <c r="PG426" s="6"/>
      <c r="PH426" s="4"/>
      <c r="PI426" s="4"/>
      <c r="PJ426" s="4"/>
      <c r="PK426" s="4"/>
      <c r="PL426" s="4"/>
      <c r="PM426" s="5"/>
      <c r="PN426" s="6"/>
      <c r="PO426" s="4"/>
      <c r="PP426" s="4"/>
      <c r="PQ426" s="4"/>
      <c r="PR426" s="4"/>
      <c r="PS426" s="4"/>
      <c r="PT426" s="5"/>
      <c r="PU426" s="6"/>
      <c r="PV426" s="4"/>
      <c r="PW426" s="4"/>
      <c r="PX426" s="4"/>
      <c r="PY426" s="4"/>
      <c r="PZ426" s="4"/>
      <c r="QA426" s="5"/>
      <c r="QB426" s="6"/>
      <c r="QC426" s="4"/>
      <c r="QD426" s="4"/>
      <c r="QE426" s="4"/>
      <c r="QF426" s="4"/>
      <c r="QG426" s="4"/>
      <c r="QH426" s="5"/>
      <c r="QI426" s="6"/>
      <c r="QJ426" s="4"/>
      <c r="QK426" s="4"/>
      <c r="QL426" s="4"/>
      <c r="QM426" s="4"/>
      <c r="QN426" s="4"/>
      <c r="QO426" s="5"/>
      <c r="QP426" s="6"/>
      <c r="QQ426" s="4"/>
      <c r="QR426" s="4"/>
      <c r="QS426" s="4"/>
      <c r="QT426" s="4"/>
      <c r="QU426" s="4"/>
      <c r="QV426" s="5"/>
      <c r="QW426" s="6"/>
      <c r="QX426" s="4"/>
      <c r="QY426" s="4"/>
      <c r="QZ426" s="4"/>
      <c r="RA426" s="4"/>
      <c r="RB426" s="4"/>
      <c r="RC426" s="5"/>
      <c r="RD426" s="6"/>
      <c r="RE426" s="4"/>
      <c r="RF426" s="4"/>
      <c r="RG426" s="4"/>
      <c r="RH426" s="4"/>
      <c r="RI426" s="4"/>
      <c r="RJ426" s="5"/>
      <c r="RK426" s="6"/>
      <c r="RL426" s="4"/>
      <c r="RM426" s="4"/>
      <c r="RN426" s="4"/>
      <c r="RO426" s="4"/>
      <c r="RP426" s="4"/>
      <c r="RQ426" s="5"/>
      <c r="RR426" s="6"/>
      <c r="RS426" s="4"/>
      <c r="RT426" s="4"/>
      <c r="RU426" s="4"/>
      <c r="RV426" s="4"/>
      <c r="RW426" s="4"/>
      <c r="RX426" s="5"/>
      <c r="RY426" s="6"/>
      <c r="RZ426" s="4"/>
      <c r="SA426" s="4"/>
      <c r="SB426" s="4"/>
      <c r="SC426" s="4"/>
      <c r="SD426" s="4"/>
      <c r="SE426" s="5"/>
      <c r="SF426" s="6"/>
      <c r="SG426" s="4"/>
      <c r="SH426" s="4"/>
      <c r="SI426" s="4"/>
      <c r="SJ426" s="4"/>
      <c r="SK426" s="4"/>
      <c r="SL426" s="5"/>
      <c r="SM426" s="6"/>
      <c r="SN426" s="4"/>
      <c r="SO426" s="4"/>
      <c r="SP426" s="4"/>
      <c r="SQ426" s="4"/>
      <c r="SR426" s="4"/>
      <c r="SS426" s="5"/>
      <c r="ST426" s="6"/>
      <c r="SU426" s="4"/>
      <c r="SV426" s="4"/>
      <c r="SW426" s="4"/>
      <c r="SX426" s="4"/>
      <c r="SY426" s="4"/>
      <c r="SZ426" s="5"/>
      <c r="TA426" s="6"/>
      <c r="TB426" s="4"/>
      <c r="TC426" s="4"/>
      <c r="TD426" s="4"/>
      <c r="TE426" s="4"/>
      <c r="TF426" s="4"/>
      <c r="TG426" s="5"/>
      <c r="TH426" s="6"/>
      <c r="TI426" s="4"/>
      <c r="TJ426" s="4"/>
      <c r="TK426" s="4"/>
      <c r="TL426" s="4"/>
      <c r="TM426" s="4"/>
      <c r="TN426" s="5"/>
      <c r="TO426" s="6"/>
      <c r="TP426" s="4"/>
      <c r="TQ426" s="4"/>
      <c r="TR426" s="4"/>
      <c r="TS426" s="4"/>
      <c r="TT426" s="4"/>
      <c r="TU426" s="5"/>
      <c r="TV426" s="6"/>
      <c r="TW426" s="4"/>
      <c r="TX426" s="4"/>
      <c r="TY426" s="4"/>
      <c r="TZ426" s="4"/>
      <c r="UA426" s="4"/>
      <c r="UB426" s="5"/>
      <c r="UC426" s="6"/>
      <c r="UD426" s="4"/>
      <c r="UE426" s="4"/>
      <c r="UF426" s="4"/>
      <c r="UG426" s="4"/>
      <c r="UH426" s="4"/>
      <c r="UI426" s="5"/>
      <c r="UJ426" s="6"/>
      <c r="UK426" s="4"/>
      <c r="UL426" s="4"/>
      <c r="UM426" s="4"/>
      <c r="UN426" s="4"/>
      <c r="UO426" s="4"/>
      <c r="UP426" s="5"/>
      <c r="UQ426" s="6"/>
      <c r="UR426" s="4"/>
      <c r="US426" s="4"/>
      <c r="UT426" s="4"/>
      <c r="UU426" s="4"/>
      <c r="UV426" s="4"/>
      <c r="UW426" s="5"/>
      <c r="UX426" s="6"/>
      <c r="UY426" s="4"/>
      <c r="UZ426" s="4"/>
      <c r="VA426" s="4"/>
      <c r="VB426" s="8"/>
      <c r="VC426" s="4"/>
      <c r="VD426" s="5"/>
      <c r="VE426" s="6"/>
      <c r="VF426" s="4"/>
      <c r="VG426" s="4"/>
      <c r="VH426" s="4"/>
      <c r="VI426" s="4"/>
      <c r="VJ426" s="4"/>
      <c r="VK426" s="5"/>
      <c r="VL426" s="6"/>
      <c r="VM426" s="4"/>
      <c r="VN426" s="4"/>
      <c r="VO426" s="4"/>
      <c r="VP426" s="4"/>
      <c r="VQ426" s="4"/>
      <c r="VR426" s="5"/>
      <c r="VS426" s="6"/>
      <c r="VT426" s="4"/>
      <c r="VU426" s="4"/>
      <c r="VV426" s="4"/>
      <c r="VW426" s="4"/>
      <c r="VX426" s="4"/>
      <c r="VY426" s="5"/>
      <c r="VZ426" s="6"/>
      <c r="WA426" s="4"/>
      <c r="WB426" s="4"/>
      <c r="WC426" s="4"/>
      <c r="WD426" s="4"/>
      <c r="WE426" s="4"/>
      <c r="WF426" s="5"/>
      <c r="WG426" s="6"/>
      <c r="WH426" s="4"/>
      <c r="WI426" s="4"/>
      <c r="WJ426" s="4"/>
      <c r="WK426" s="4"/>
      <c r="WL426" s="4"/>
      <c r="WM426" s="5"/>
      <c r="WN426" s="6"/>
      <c r="WO426" s="4"/>
      <c r="WP426" s="4"/>
      <c r="WQ426" s="4"/>
      <c r="WR426" s="4"/>
      <c r="WS426" s="4"/>
      <c r="WT426" s="5"/>
      <c r="WU426" s="6"/>
      <c r="WV426" s="4"/>
      <c r="WW426" s="4"/>
      <c r="WX426" s="4"/>
      <c r="WY426" s="4"/>
      <c r="WZ426" s="4"/>
      <c r="XA426" s="5"/>
      <c r="XB426" s="6"/>
      <c r="XC426" s="4"/>
      <c r="XD426" s="4"/>
      <c r="XE426" s="4"/>
      <c r="XF426" s="4"/>
      <c r="XG426" s="4"/>
      <c r="XH426" s="5"/>
      <c r="XI426" s="6"/>
      <c r="XJ426" s="4"/>
      <c r="XK426" s="4"/>
      <c r="XL426" s="4"/>
      <c r="XM426" s="4"/>
      <c r="XN426" s="4"/>
      <c r="XO426" s="5"/>
      <c r="XP426" s="6"/>
      <c r="XQ426" s="4"/>
      <c r="XR426" s="4"/>
      <c r="XS426" s="4"/>
      <c r="XT426" s="4"/>
      <c r="XU426" s="4"/>
      <c r="XV426" s="5"/>
      <c r="XW426" s="6"/>
      <c r="XX426" s="4"/>
      <c r="XY426" s="4"/>
      <c r="XZ426" s="4"/>
      <c r="YA426" s="4"/>
      <c r="YB426" s="4"/>
      <c r="YC426" s="5"/>
      <c r="YD426" s="6"/>
      <c r="YE426" s="4"/>
      <c r="YF426" s="4"/>
      <c r="YG426" s="4"/>
      <c r="YH426" s="4"/>
      <c r="YI426" s="4"/>
      <c r="YJ426" s="5"/>
      <c r="YK426" s="11" t="s">
        <v>1576</v>
      </c>
      <c r="YL426" s="4" t="s">
        <v>697</v>
      </c>
      <c r="YM426" s="4"/>
      <c r="YN426" s="7" t="s">
        <v>2661</v>
      </c>
      <c r="YO426" s="8">
        <v>39437</v>
      </c>
      <c r="YP426" s="8">
        <v>39450</v>
      </c>
      <c r="YQ426" s="5" t="s">
        <v>90</v>
      </c>
      <c r="YR426" s="6"/>
      <c r="YS426" s="4"/>
      <c r="YT426" s="4"/>
      <c r="YU426" s="4"/>
      <c r="YV426" s="4"/>
      <c r="YW426" s="4"/>
      <c r="YX426" s="5"/>
      <c r="YY426" s="6"/>
      <c r="YZ426" s="4"/>
      <c r="ZA426" s="4"/>
      <c r="ZB426" s="4"/>
      <c r="ZC426" s="4"/>
      <c r="ZD426" s="4"/>
      <c r="ZE426" s="5"/>
      <c r="ZF426" s="6"/>
      <c r="ZG426" s="4"/>
      <c r="ZH426" s="4"/>
      <c r="ZI426" s="4"/>
      <c r="ZJ426" s="4"/>
      <c r="ZK426" s="4"/>
      <c r="ZL426" s="5"/>
      <c r="ZM426" s="6"/>
      <c r="ZN426" s="4"/>
      <c r="ZO426" s="4"/>
      <c r="ZP426" s="4"/>
      <c r="ZQ426" s="4"/>
      <c r="ZR426" s="4"/>
      <c r="ZS426" s="5"/>
      <c r="ZT426" s="6"/>
      <c r="ZU426" s="4"/>
      <c r="ZV426" s="4"/>
      <c r="ZW426" s="4"/>
      <c r="ZX426" s="4"/>
      <c r="ZY426" s="4"/>
      <c r="ZZ426" s="5"/>
      <c r="AAA426" s="6"/>
      <c r="AAB426" s="4"/>
      <c r="AAC426" s="4"/>
      <c r="AAD426" s="4"/>
      <c r="AAE426" s="4"/>
      <c r="AAF426" s="4"/>
      <c r="AAG426" s="5"/>
      <c r="AAH426" s="6"/>
      <c r="AAI426" s="4"/>
      <c r="AAJ426" s="4"/>
      <c r="AAK426" s="4"/>
      <c r="AAL426" s="4"/>
      <c r="AAM426" s="4"/>
      <c r="AAN426" s="5"/>
      <c r="AAO426" s="6"/>
      <c r="AAP426" s="4"/>
      <c r="AAQ426" s="4"/>
      <c r="AAR426" s="4"/>
      <c r="AAS426" s="4"/>
      <c r="AAT426" s="4"/>
      <c r="AAU426" s="5"/>
      <c r="AAV426" s="6"/>
      <c r="AAW426" s="4"/>
      <c r="AAX426" s="4"/>
      <c r="AAY426" s="4"/>
      <c r="AAZ426" s="4"/>
      <c r="ABA426" s="4"/>
      <c r="ABB426" s="5"/>
      <c r="ABC426" s="6"/>
      <c r="ABD426" s="4"/>
      <c r="ABE426" s="4"/>
      <c r="ABF426" s="4"/>
      <c r="ABG426" s="4"/>
      <c r="ABH426" s="4"/>
      <c r="ABI426" s="5"/>
      <c r="ABJ426" s="6"/>
      <c r="ABK426" s="4"/>
      <c r="ABL426" s="4"/>
      <c r="ABM426" s="4"/>
      <c r="ABN426" s="4"/>
      <c r="ABO426" s="4"/>
      <c r="ABP426" s="5"/>
      <c r="ABQ426" s="6"/>
      <c r="ABR426" s="4"/>
      <c r="ABS426" s="4"/>
      <c r="ABT426" s="4"/>
      <c r="ABU426" s="4"/>
      <c r="ABV426" s="4"/>
      <c r="ABW426" s="5"/>
      <c r="ABX426" s="6"/>
      <c r="ABY426" s="4"/>
      <c r="ABZ426" s="4"/>
      <c r="ACA426" s="4"/>
      <c r="ACB426" s="4"/>
      <c r="ACC426" s="4"/>
      <c r="ACD426" s="5"/>
      <c r="ACE426" s="6"/>
      <c r="ACF426" s="4"/>
      <c r="ACG426" s="4"/>
      <c r="ACH426" s="4"/>
      <c r="ACI426" s="4"/>
      <c r="ACJ426" s="4"/>
      <c r="ACK426" s="5"/>
      <c r="ACL426" s="6"/>
      <c r="ACM426" s="4"/>
      <c r="ACN426" s="4"/>
      <c r="ACO426" s="4"/>
      <c r="ACP426" s="4"/>
      <c r="ACQ426" s="4"/>
      <c r="ACR426" s="5"/>
      <c r="ACS426" s="6"/>
      <c r="ACT426" s="4"/>
      <c r="ACU426" s="4"/>
      <c r="ACV426" s="4"/>
      <c r="ACW426" s="4"/>
      <c r="ACX426" s="4"/>
      <c r="ACY426" s="5"/>
    </row>
    <row r="427" spans="2:816" x14ac:dyDescent="0.25">
      <c r="B427" s="44"/>
      <c r="J427" s="12"/>
      <c r="K427" s="12"/>
      <c r="L427" s="12"/>
      <c r="LL427" s="6"/>
      <c r="LM427" s="4"/>
      <c r="LN427" s="4"/>
      <c r="LO427" s="4"/>
      <c r="LP427" s="4"/>
      <c r="LQ427" s="4"/>
      <c r="LR427" s="5"/>
      <c r="LS427" s="6"/>
      <c r="LT427" s="4"/>
      <c r="LU427" s="4"/>
      <c r="LV427" s="4"/>
      <c r="LW427" s="4"/>
      <c r="LX427" s="4"/>
      <c r="LY427" s="5"/>
      <c r="LZ427" s="6"/>
      <c r="MA427" s="7"/>
      <c r="MB427" s="4"/>
      <c r="MC427" s="4"/>
      <c r="MD427" s="8"/>
      <c r="ME427" s="8"/>
      <c r="MF427" s="8"/>
      <c r="MG427" s="5"/>
      <c r="MH427" s="6"/>
      <c r="MI427" s="4"/>
      <c r="MJ427" s="4"/>
      <c r="MK427" s="4"/>
      <c r="ML427" s="4"/>
      <c r="MM427" s="4"/>
      <c r="MN427" s="5"/>
      <c r="MO427" s="6"/>
      <c r="MP427" s="4"/>
      <c r="MQ427" s="4"/>
      <c r="MR427" s="4"/>
      <c r="MS427" s="4"/>
      <c r="MT427" s="4"/>
      <c r="MU427" s="5"/>
      <c r="MV427" s="6"/>
      <c r="MW427" s="4"/>
      <c r="MX427" s="4"/>
      <c r="MY427" s="7"/>
      <c r="MZ427" s="8"/>
      <c r="NA427" s="8"/>
      <c r="NB427" s="5"/>
      <c r="NC427" s="6"/>
      <c r="ND427" s="7"/>
      <c r="NE427" s="4"/>
      <c r="NF427" s="7"/>
      <c r="NG427" s="8"/>
      <c r="NH427" s="8"/>
      <c r="NI427" s="5"/>
      <c r="NJ427" s="4"/>
      <c r="NK427" s="4"/>
      <c r="NL427" s="4"/>
      <c r="NM427" s="7"/>
      <c r="NN427" s="8"/>
      <c r="NO427" s="8"/>
      <c r="NP427" s="5"/>
      <c r="NQ427" s="6"/>
      <c r="NR427" s="4"/>
      <c r="NS427" s="4"/>
      <c r="NT427" s="4"/>
      <c r="NU427" s="4"/>
      <c r="NV427" s="4"/>
      <c r="NW427" s="5"/>
      <c r="NX427" s="6"/>
      <c r="NY427" s="4"/>
      <c r="NZ427" s="4"/>
      <c r="OA427" s="4"/>
      <c r="OB427" s="4"/>
      <c r="OC427" s="4"/>
      <c r="OD427" s="5"/>
      <c r="OE427" s="6"/>
      <c r="OF427" s="4"/>
      <c r="OG427" s="4"/>
      <c r="OH427" s="4"/>
      <c r="OI427" s="4"/>
      <c r="OJ427" s="4"/>
      <c r="OK427" s="5"/>
      <c r="OL427" s="6"/>
      <c r="OM427" s="4"/>
      <c r="ON427" s="4"/>
      <c r="OO427" s="4"/>
      <c r="OP427" s="4"/>
      <c r="OQ427" s="4"/>
      <c r="OR427" s="5"/>
      <c r="OS427" s="6"/>
      <c r="OT427" s="4"/>
      <c r="OU427" s="4"/>
      <c r="OV427" s="4"/>
      <c r="OW427" s="4"/>
      <c r="OX427" s="4"/>
      <c r="OY427" s="5"/>
      <c r="OZ427" s="6"/>
      <c r="PA427" s="4"/>
      <c r="PB427" s="4"/>
      <c r="PC427" s="4"/>
      <c r="PD427" s="4"/>
      <c r="PE427" s="4"/>
      <c r="PF427" s="5"/>
      <c r="PG427" s="6"/>
      <c r="PH427" s="4"/>
      <c r="PI427" s="4"/>
      <c r="PJ427" s="4"/>
      <c r="PK427" s="4"/>
      <c r="PL427" s="4"/>
      <c r="PM427" s="5"/>
      <c r="PN427" s="6"/>
      <c r="PO427" s="4"/>
      <c r="PP427" s="4"/>
      <c r="PQ427" s="4"/>
      <c r="PR427" s="4"/>
      <c r="PS427" s="4"/>
      <c r="PT427" s="5"/>
      <c r="PU427" s="6"/>
      <c r="PV427" s="4"/>
      <c r="PW427" s="4"/>
      <c r="PX427" s="4"/>
      <c r="PY427" s="4"/>
      <c r="PZ427" s="4"/>
      <c r="QA427" s="5"/>
      <c r="QB427" s="6"/>
      <c r="QC427" s="4"/>
      <c r="QD427" s="4"/>
      <c r="QE427" s="4"/>
      <c r="QF427" s="4"/>
      <c r="QG427" s="4"/>
      <c r="QH427" s="5"/>
      <c r="QI427" s="6"/>
      <c r="QJ427" s="4"/>
      <c r="QK427" s="4"/>
      <c r="QL427" s="4"/>
      <c r="QM427" s="4"/>
      <c r="QN427" s="4"/>
      <c r="QO427" s="5"/>
      <c r="QP427" s="6"/>
      <c r="QQ427" s="4"/>
      <c r="QR427" s="4"/>
      <c r="QS427" s="4"/>
      <c r="QT427" s="4"/>
      <c r="QU427" s="4"/>
      <c r="QV427" s="5"/>
      <c r="QW427" s="6"/>
      <c r="QX427" s="4"/>
      <c r="QY427" s="4"/>
      <c r="QZ427" s="4"/>
      <c r="RA427" s="4"/>
      <c r="RB427" s="4"/>
      <c r="RC427" s="5"/>
      <c r="RD427" s="6"/>
      <c r="RE427" s="4"/>
      <c r="RF427" s="4"/>
      <c r="RG427" s="4"/>
      <c r="RH427" s="4"/>
      <c r="RI427" s="4"/>
      <c r="RJ427" s="5"/>
      <c r="RK427" s="6"/>
      <c r="RL427" s="4"/>
      <c r="RM427" s="4"/>
      <c r="RN427" s="4"/>
      <c r="RO427" s="4"/>
      <c r="RP427" s="4"/>
      <c r="RQ427" s="5"/>
      <c r="RR427" s="6"/>
      <c r="RS427" s="4"/>
      <c r="RT427" s="4"/>
      <c r="RU427" s="4"/>
      <c r="RV427" s="4"/>
      <c r="RW427" s="4"/>
      <c r="RX427" s="5"/>
      <c r="RY427" s="6"/>
      <c r="RZ427" s="4"/>
      <c r="SA427" s="4"/>
      <c r="SB427" s="4"/>
      <c r="SC427" s="4"/>
      <c r="SD427" s="4"/>
      <c r="SE427" s="5"/>
      <c r="SF427" s="6"/>
      <c r="SG427" s="4"/>
      <c r="SH427" s="4"/>
      <c r="SI427" s="4"/>
      <c r="SJ427" s="4"/>
      <c r="SK427" s="4"/>
      <c r="SL427" s="5"/>
      <c r="SM427" s="6"/>
      <c r="SN427" s="4"/>
      <c r="SO427" s="4"/>
      <c r="SP427" s="4"/>
      <c r="SQ427" s="4"/>
      <c r="SR427" s="4"/>
      <c r="SS427" s="5"/>
      <c r="ST427" s="6"/>
      <c r="SU427" s="4"/>
      <c r="SV427" s="4"/>
      <c r="SW427" s="4"/>
      <c r="SX427" s="4"/>
      <c r="SY427" s="4"/>
      <c r="SZ427" s="5"/>
      <c r="TA427" s="6"/>
      <c r="TB427" s="4"/>
      <c r="TC427" s="4"/>
      <c r="TD427" s="4"/>
      <c r="TE427" s="4"/>
      <c r="TF427" s="4"/>
      <c r="TG427" s="5"/>
      <c r="TH427" s="6"/>
      <c r="TI427" s="4"/>
      <c r="TJ427" s="4"/>
      <c r="TK427" s="4"/>
      <c r="TL427" s="4"/>
      <c r="TM427" s="4"/>
      <c r="TN427" s="5"/>
      <c r="TO427" s="6"/>
      <c r="TP427" s="4"/>
      <c r="TQ427" s="4"/>
      <c r="TR427" s="4"/>
      <c r="TS427" s="4"/>
      <c r="TT427" s="4"/>
      <c r="TU427" s="5"/>
      <c r="TV427" s="6"/>
      <c r="TW427" s="4"/>
      <c r="TX427" s="4"/>
      <c r="TY427" s="4"/>
      <c r="TZ427" s="4"/>
      <c r="UA427" s="4"/>
      <c r="UB427" s="5"/>
      <c r="UC427" s="6"/>
      <c r="UD427" s="4"/>
      <c r="UE427" s="4"/>
      <c r="UF427" s="4"/>
      <c r="UG427" s="4"/>
      <c r="UH427" s="4"/>
      <c r="UI427" s="5"/>
      <c r="UJ427" s="6"/>
      <c r="UK427" s="4"/>
      <c r="UL427" s="4"/>
      <c r="UM427" s="4"/>
      <c r="UN427" s="4"/>
      <c r="UO427" s="4"/>
      <c r="UP427" s="5"/>
      <c r="UQ427" s="6"/>
      <c r="UR427" s="4"/>
      <c r="US427" s="4"/>
      <c r="UT427" s="4"/>
      <c r="UU427" s="4"/>
      <c r="UV427" s="4"/>
      <c r="UW427" s="5"/>
      <c r="UX427" s="6"/>
      <c r="UY427" s="4"/>
      <c r="UZ427" s="4"/>
      <c r="VA427" s="4"/>
      <c r="VB427" s="8"/>
      <c r="VC427" s="4"/>
      <c r="VD427" s="5"/>
      <c r="VE427" s="6"/>
      <c r="VF427" s="4"/>
      <c r="VG427" s="4"/>
      <c r="VH427" s="4"/>
      <c r="VI427" s="4"/>
      <c r="VJ427" s="4"/>
      <c r="VK427" s="5"/>
      <c r="VL427" s="6"/>
      <c r="VM427" s="4"/>
      <c r="VN427" s="4"/>
      <c r="VO427" s="4"/>
      <c r="VP427" s="4"/>
      <c r="VQ427" s="4"/>
      <c r="VR427" s="5"/>
      <c r="VS427" s="6"/>
      <c r="VT427" s="4"/>
      <c r="VU427" s="4"/>
      <c r="VV427" s="4"/>
      <c r="VW427" s="4"/>
      <c r="VX427" s="4"/>
      <c r="VY427" s="5"/>
      <c r="VZ427" s="6"/>
      <c r="WA427" s="4"/>
      <c r="WB427" s="4"/>
      <c r="WC427" s="4"/>
      <c r="WD427" s="4"/>
      <c r="WE427" s="4"/>
      <c r="WF427" s="5"/>
      <c r="WG427" s="6"/>
      <c r="WH427" s="4"/>
      <c r="WI427" s="4"/>
      <c r="WJ427" s="4"/>
      <c r="WK427" s="4"/>
      <c r="WL427" s="4"/>
      <c r="WM427" s="5"/>
      <c r="WN427" s="6"/>
      <c r="WO427" s="4"/>
      <c r="WP427" s="4"/>
      <c r="WQ427" s="4"/>
      <c r="WR427" s="4"/>
      <c r="WS427" s="4"/>
      <c r="WT427" s="5"/>
      <c r="WU427" s="6"/>
      <c r="WV427" s="4"/>
      <c r="WW427" s="4"/>
      <c r="WX427" s="4"/>
      <c r="WY427" s="4"/>
      <c r="WZ427" s="4"/>
      <c r="XA427" s="5"/>
      <c r="XB427" s="6"/>
      <c r="XC427" s="4"/>
      <c r="XD427" s="4"/>
      <c r="XE427" s="4"/>
      <c r="XF427" s="4"/>
      <c r="XG427" s="4"/>
      <c r="XH427" s="5"/>
      <c r="XI427" s="6"/>
      <c r="XJ427" s="4"/>
      <c r="XK427" s="4"/>
      <c r="XL427" s="4"/>
      <c r="XM427" s="4"/>
      <c r="XN427" s="4"/>
      <c r="XO427" s="5"/>
      <c r="XP427" s="6"/>
      <c r="XQ427" s="4"/>
      <c r="XR427" s="4"/>
      <c r="XS427" s="4"/>
      <c r="XT427" s="4"/>
      <c r="XU427" s="4"/>
      <c r="XV427" s="5"/>
      <c r="XW427" s="6"/>
      <c r="XX427" s="4"/>
      <c r="XY427" s="4"/>
      <c r="XZ427" s="4"/>
      <c r="YA427" s="4"/>
      <c r="YB427" s="4"/>
      <c r="YC427" s="5"/>
      <c r="YD427" s="6"/>
      <c r="YE427" s="4"/>
      <c r="YF427" s="4"/>
      <c r="YG427" s="4"/>
      <c r="YH427" s="4"/>
      <c r="YI427" s="4"/>
      <c r="YJ427" s="5"/>
      <c r="YK427" s="6" t="s">
        <v>221</v>
      </c>
      <c r="YL427" s="4" t="s">
        <v>2796</v>
      </c>
      <c r="YM427" s="4" t="s">
        <v>1468</v>
      </c>
      <c r="YN427" s="7" t="s">
        <v>1303</v>
      </c>
      <c r="YO427" s="8">
        <v>39437</v>
      </c>
      <c r="YP427" s="8">
        <v>39450</v>
      </c>
      <c r="YQ427" s="5" t="s">
        <v>91</v>
      </c>
      <c r="YR427" s="6"/>
      <c r="YS427" s="4"/>
      <c r="YT427" s="4"/>
      <c r="YU427" s="4"/>
      <c r="YV427" s="4"/>
      <c r="YW427" s="4"/>
      <c r="YX427" s="5"/>
      <c r="YY427" s="6"/>
      <c r="YZ427" s="4"/>
      <c r="ZA427" s="4"/>
      <c r="ZB427" s="4"/>
      <c r="ZC427" s="4"/>
      <c r="ZD427" s="4"/>
      <c r="ZE427" s="5"/>
      <c r="ZF427" s="6"/>
      <c r="ZG427" s="4"/>
      <c r="ZH427" s="4"/>
      <c r="ZI427" s="4"/>
      <c r="ZJ427" s="4"/>
      <c r="ZK427" s="4"/>
      <c r="ZL427" s="5"/>
      <c r="ZM427" s="6"/>
      <c r="ZN427" s="4"/>
      <c r="ZO427" s="4"/>
      <c r="ZP427" s="4"/>
      <c r="ZQ427" s="4"/>
      <c r="ZR427" s="4"/>
      <c r="ZS427" s="5"/>
      <c r="ZT427" s="6"/>
      <c r="ZU427" s="4"/>
      <c r="ZV427" s="4"/>
      <c r="ZW427" s="4"/>
      <c r="ZX427" s="4"/>
      <c r="ZY427" s="4"/>
      <c r="ZZ427" s="5"/>
      <c r="AAA427" s="6"/>
      <c r="AAB427" s="4"/>
      <c r="AAC427" s="4"/>
      <c r="AAD427" s="4"/>
      <c r="AAE427" s="4"/>
      <c r="AAF427" s="4"/>
      <c r="AAG427" s="5"/>
      <c r="AAH427" s="6"/>
      <c r="AAI427" s="4"/>
      <c r="AAJ427" s="4"/>
      <c r="AAK427" s="4"/>
      <c r="AAL427" s="4"/>
      <c r="AAM427" s="4"/>
      <c r="AAN427" s="5"/>
      <c r="AAO427" s="6"/>
      <c r="AAP427" s="4"/>
      <c r="AAQ427" s="4"/>
      <c r="AAR427" s="4"/>
      <c r="AAS427" s="4"/>
      <c r="AAT427" s="4"/>
      <c r="AAU427" s="5"/>
      <c r="AAV427" s="6"/>
      <c r="AAW427" s="4"/>
      <c r="AAX427" s="4"/>
      <c r="AAY427" s="4"/>
      <c r="AAZ427" s="4"/>
      <c r="ABA427" s="4"/>
      <c r="ABB427" s="5"/>
      <c r="ABC427" s="6"/>
      <c r="ABD427" s="4"/>
      <c r="ABE427" s="4"/>
      <c r="ABF427" s="4"/>
      <c r="ABG427" s="4"/>
      <c r="ABH427" s="4"/>
      <c r="ABI427" s="5"/>
      <c r="ABJ427" s="6"/>
      <c r="ABK427" s="4"/>
      <c r="ABL427" s="4"/>
      <c r="ABM427" s="4"/>
      <c r="ABN427" s="4"/>
      <c r="ABO427" s="4"/>
      <c r="ABP427" s="5"/>
      <c r="ABQ427" s="6"/>
      <c r="ABR427" s="4"/>
      <c r="ABS427" s="4"/>
      <c r="ABT427" s="4"/>
      <c r="ABU427" s="4"/>
      <c r="ABV427" s="4"/>
      <c r="ABW427" s="5"/>
      <c r="ABX427" s="6"/>
      <c r="ABY427" s="4"/>
      <c r="ABZ427" s="4"/>
      <c r="ACA427" s="4"/>
      <c r="ACB427" s="4"/>
      <c r="ACC427" s="4"/>
      <c r="ACD427" s="5"/>
      <c r="ACE427" s="6"/>
      <c r="ACF427" s="4"/>
      <c r="ACG427" s="4"/>
      <c r="ACH427" s="4"/>
      <c r="ACI427" s="4"/>
      <c r="ACJ427" s="4"/>
      <c r="ACK427" s="5"/>
      <c r="ACL427" s="6"/>
      <c r="ACM427" s="4"/>
      <c r="ACN427" s="4"/>
      <c r="ACO427" s="4"/>
      <c r="ACP427" s="4"/>
      <c r="ACQ427" s="4"/>
      <c r="ACR427" s="5"/>
      <c r="ACS427" s="6"/>
      <c r="ACT427" s="4"/>
      <c r="ACU427" s="4"/>
      <c r="ACV427" s="4"/>
      <c r="ACW427" s="4"/>
      <c r="ACX427" s="4"/>
      <c r="ACY427" s="5"/>
    </row>
    <row r="428" spans="2:816" x14ac:dyDescent="0.25">
      <c r="B428" s="29">
        <v>10023742</v>
      </c>
      <c r="C428" s="57">
        <v>47</v>
      </c>
      <c r="D428" t="s">
        <v>2121</v>
      </c>
      <c r="E428" s="35" t="s">
        <v>33</v>
      </c>
      <c r="F428" s="23">
        <v>0</v>
      </c>
      <c r="I428">
        <v>1</v>
      </c>
      <c r="J428" s="19">
        <v>39132</v>
      </c>
      <c r="K428" s="19"/>
      <c r="L428" s="19" t="s">
        <v>3877</v>
      </c>
      <c r="Q428">
        <v>1</v>
      </c>
      <c r="V428">
        <v>1</v>
      </c>
      <c r="Z428">
        <v>1</v>
      </c>
      <c r="AB428">
        <v>1</v>
      </c>
      <c r="AF428">
        <v>1</v>
      </c>
      <c r="AI428">
        <v>1</v>
      </c>
      <c r="AJ428">
        <v>1</v>
      </c>
      <c r="AZ428">
        <v>1</v>
      </c>
      <c r="CT428">
        <v>1</v>
      </c>
      <c r="IP428">
        <v>1</v>
      </c>
      <c r="LL428" s="6"/>
      <c r="LM428" s="4"/>
      <c r="LN428" s="4"/>
      <c r="LO428" s="4"/>
      <c r="LP428" s="4"/>
      <c r="LQ428" s="4"/>
      <c r="LR428" s="5"/>
      <c r="LS428" s="6"/>
      <c r="LT428" s="4"/>
      <c r="LU428" s="4"/>
      <c r="LV428" s="4"/>
      <c r="LW428" s="4"/>
      <c r="LX428" s="4"/>
      <c r="LY428" s="5"/>
      <c r="LZ428" s="11" t="s">
        <v>1686</v>
      </c>
      <c r="MA428" s="7" t="s">
        <v>1837</v>
      </c>
      <c r="MB428" s="4" t="s">
        <v>184</v>
      </c>
      <c r="MC428" s="4"/>
      <c r="MD428" s="8">
        <v>39132</v>
      </c>
      <c r="ME428" s="4"/>
      <c r="MF428" s="4"/>
      <c r="MG428" s="5" t="s">
        <v>3878</v>
      </c>
      <c r="MH428" s="6"/>
      <c r="MI428" s="4"/>
      <c r="MJ428" s="4"/>
      <c r="MK428" s="4"/>
      <c r="ML428" s="4"/>
      <c r="MM428" s="4"/>
      <c r="MN428" s="5"/>
      <c r="MO428" s="6"/>
      <c r="MP428" s="4"/>
      <c r="MQ428" s="4"/>
      <c r="MR428" s="4"/>
      <c r="MS428" s="4"/>
      <c r="MT428" s="4"/>
      <c r="MU428" s="5"/>
      <c r="MV428" s="6"/>
      <c r="MW428" s="4"/>
      <c r="MX428" s="4"/>
      <c r="MY428" s="4"/>
      <c r="MZ428" s="4"/>
      <c r="NA428" s="4"/>
      <c r="NB428" s="5"/>
      <c r="NC428" s="6"/>
      <c r="ND428" s="4"/>
      <c r="NE428" s="4"/>
      <c r="NF428" s="4"/>
      <c r="NG428" s="4"/>
      <c r="NH428" s="4"/>
      <c r="NI428" s="5"/>
      <c r="NL428" s="4"/>
      <c r="NM428" s="4"/>
      <c r="NN428" s="4"/>
      <c r="NO428" s="4"/>
      <c r="NP428" s="5"/>
      <c r="NQ428" s="6"/>
      <c r="NR428" s="4"/>
      <c r="NS428" s="4"/>
      <c r="NT428" s="4"/>
      <c r="NU428" s="4"/>
      <c r="NV428" s="4"/>
      <c r="NW428" s="5"/>
      <c r="NX428" s="6"/>
      <c r="NY428" s="4"/>
      <c r="NZ428" s="4"/>
      <c r="OA428" s="4"/>
      <c r="OB428" s="4"/>
      <c r="OC428" s="4"/>
      <c r="OD428" s="5"/>
      <c r="OE428" s="6"/>
      <c r="OF428" s="4"/>
      <c r="OG428" s="4"/>
      <c r="OH428" s="4"/>
      <c r="OI428" s="4"/>
      <c r="OJ428" s="4"/>
      <c r="OK428" s="5"/>
      <c r="OL428" s="6"/>
      <c r="OM428" s="4"/>
      <c r="ON428" s="4"/>
      <c r="OO428" s="4"/>
      <c r="OP428" s="4"/>
      <c r="OQ428" s="4"/>
      <c r="OR428" s="5"/>
      <c r="OS428" s="6"/>
      <c r="OT428" s="4"/>
      <c r="OU428" s="4"/>
      <c r="OV428" s="4"/>
      <c r="OW428" s="4"/>
      <c r="OX428" s="4"/>
      <c r="OY428" s="5"/>
      <c r="OZ428" s="6"/>
      <c r="PA428" s="4"/>
      <c r="PB428" s="4"/>
      <c r="PC428" s="4"/>
      <c r="PD428" s="4"/>
      <c r="PE428" s="4"/>
      <c r="PF428" s="5"/>
      <c r="PG428" s="6"/>
      <c r="PH428" s="4"/>
      <c r="PI428" s="4"/>
      <c r="PJ428" s="4"/>
      <c r="PK428" s="4"/>
      <c r="PL428" s="4"/>
      <c r="PM428" s="5"/>
      <c r="PN428" s="6"/>
      <c r="PO428" s="4"/>
      <c r="PP428" s="4"/>
      <c r="PQ428" s="4"/>
      <c r="PR428" s="4"/>
      <c r="PS428" s="4"/>
      <c r="PT428" s="5"/>
      <c r="PU428" s="6" t="s">
        <v>1999</v>
      </c>
      <c r="PV428" s="4" t="s">
        <v>2000</v>
      </c>
      <c r="PW428" s="4" t="s">
        <v>184</v>
      </c>
      <c r="PX428" s="4"/>
      <c r="PY428" s="8">
        <v>39134</v>
      </c>
      <c r="PZ428" s="4"/>
      <c r="QA428" s="5" t="s">
        <v>3879</v>
      </c>
      <c r="QB428" s="6"/>
      <c r="QD428" s="4"/>
      <c r="QE428" s="4"/>
      <c r="QF428" s="4"/>
      <c r="QG428" s="4"/>
      <c r="QH428" s="5"/>
      <c r="QI428" s="6"/>
      <c r="QJ428" s="4"/>
      <c r="QK428" s="4"/>
      <c r="QL428" s="4"/>
      <c r="QM428" s="4"/>
      <c r="QN428" s="4"/>
      <c r="QO428" s="5"/>
      <c r="QP428" s="6"/>
      <c r="QQ428" s="4"/>
      <c r="QR428" s="4"/>
      <c r="QS428" s="4"/>
      <c r="QT428" s="4"/>
      <c r="QU428" s="4"/>
      <c r="QV428" s="5"/>
      <c r="QW428" s="6"/>
      <c r="QX428" s="4"/>
      <c r="QY428" s="4"/>
      <c r="QZ428" s="4"/>
      <c r="RA428" s="4"/>
      <c r="RB428" s="4"/>
      <c r="RC428" s="5"/>
      <c r="RD428" s="6"/>
      <c r="RE428" s="4"/>
      <c r="RF428" s="4"/>
      <c r="RG428" s="4"/>
      <c r="RH428" s="4"/>
      <c r="RI428" s="4"/>
      <c r="RJ428" s="5"/>
      <c r="RK428" s="6"/>
      <c r="RL428" s="4"/>
      <c r="RM428" s="4"/>
      <c r="RN428" s="4"/>
      <c r="RO428" s="4"/>
      <c r="RP428" s="4"/>
      <c r="RQ428" s="5"/>
      <c r="RR428" s="6"/>
      <c r="RS428" s="4"/>
      <c r="RT428" s="4"/>
      <c r="RU428" s="4"/>
      <c r="RV428" s="4"/>
      <c r="RW428" s="4"/>
      <c r="RX428" s="5"/>
      <c r="RY428" s="6"/>
      <c r="RZ428" s="4"/>
      <c r="SA428" s="4"/>
      <c r="SB428" s="4"/>
      <c r="SC428" s="4"/>
      <c r="SD428" s="4"/>
      <c r="SE428" s="5"/>
      <c r="SF428" s="6"/>
      <c r="SG428" s="4"/>
      <c r="SH428" s="4"/>
      <c r="SI428" s="4"/>
      <c r="SJ428" s="4"/>
      <c r="SK428" s="4"/>
      <c r="SL428" s="5"/>
      <c r="SM428" s="6"/>
      <c r="SN428" s="4"/>
      <c r="SO428" s="4"/>
      <c r="SP428" s="4"/>
      <c r="SQ428" s="4"/>
      <c r="SR428" s="4"/>
      <c r="SS428" s="5"/>
      <c r="ST428" s="6"/>
      <c r="SU428" s="4"/>
      <c r="SV428" s="4"/>
      <c r="SW428" s="4"/>
      <c r="SX428" s="4"/>
      <c r="SY428" s="4"/>
      <c r="SZ428" s="5"/>
      <c r="TA428" s="6"/>
      <c r="TB428" s="4"/>
      <c r="TC428" s="4"/>
      <c r="TD428" s="4"/>
      <c r="TE428" s="4"/>
      <c r="TF428" s="4"/>
      <c r="TG428" s="5"/>
      <c r="TH428" s="6"/>
      <c r="TI428" s="4"/>
      <c r="TJ428" s="4"/>
      <c r="TK428" s="4"/>
      <c r="TL428" s="4"/>
      <c r="TM428" s="4"/>
      <c r="TN428" s="5"/>
      <c r="TO428" s="6"/>
      <c r="TP428" s="4"/>
      <c r="TQ428" s="4"/>
      <c r="TR428" s="4"/>
      <c r="TS428" s="4"/>
      <c r="TT428" s="4"/>
      <c r="TU428" s="5"/>
      <c r="TV428" s="6"/>
      <c r="TW428" s="4"/>
      <c r="TX428" s="4"/>
      <c r="TY428" s="4"/>
      <c r="TZ428" s="4"/>
      <c r="UA428" s="4"/>
      <c r="UB428" s="5"/>
      <c r="UC428" s="6"/>
      <c r="UD428" s="4"/>
      <c r="UE428" s="4"/>
      <c r="UF428" s="4"/>
      <c r="UG428" s="4"/>
      <c r="UH428" s="4"/>
      <c r="UI428" s="5"/>
      <c r="UJ428" s="6"/>
      <c r="UK428" s="4"/>
      <c r="UL428" s="4"/>
      <c r="UM428" s="4"/>
      <c r="UN428" s="4"/>
      <c r="UO428" s="4"/>
      <c r="UP428" s="5"/>
      <c r="UQ428" s="6"/>
      <c r="UR428" s="4"/>
      <c r="US428" s="4"/>
      <c r="UT428" s="4"/>
      <c r="UU428" s="4"/>
      <c r="UV428" s="4"/>
      <c r="UW428" s="5"/>
      <c r="UX428" s="6"/>
      <c r="UY428" s="4"/>
      <c r="UZ428" s="4"/>
      <c r="VA428" s="4"/>
      <c r="VB428" s="4"/>
      <c r="VC428" s="4"/>
      <c r="VD428" s="5"/>
      <c r="VE428" s="6"/>
      <c r="VF428" s="4"/>
      <c r="VG428" s="4"/>
      <c r="VH428" s="4"/>
      <c r="VI428" s="4"/>
      <c r="VJ428" s="4"/>
      <c r="VK428" s="5"/>
      <c r="VL428" s="6"/>
      <c r="VM428" s="4"/>
      <c r="VN428" s="4"/>
      <c r="VO428" s="4"/>
      <c r="VP428" s="4"/>
      <c r="VQ428" s="4"/>
      <c r="VR428" s="5"/>
      <c r="VS428" s="6"/>
      <c r="VT428" s="4"/>
      <c r="VU428" s="4"/>
      <c r="VV428" s="4"/>
      <c r="VW428" s="4"/>
      <c r="VX428" s="4"/>
      <c r="VY428" s="5"/>
      <c r="VZ428" s="6"/>
      <c r="WA428" s="4"/>
      <c r="WB428" s="4"/>
      <c r="WC428" s="4"/>
      <c r="WD428" s="4"/>
      <c r="WE428" s="4"/>
      <c r="WF428" s="5"/>
      <c r="WG428" s="6"/>
      <c r="WH428" s="4"/>
      <c r="WI428" s="4"/>
      <c r="WJ428" s="4"/>
      <c r="WK428" s="4"/>
      <c r="WL428" s="4"/>
      <c r="WM428" s="5"/>
      <c r="WN428" s="6"/>
      <c r="WO428" s="4"/>
      <c r="WP428" s="4"/>
      <c r="WQ428" s="4"/>
      <c r="WR428" s="4"/>
      <c r="WS428" s="4"/>
      <c r="WT428" s="5"/>
      <c r="WU428" s="6"/>
      <c r="WV428" s="4"/>
      <c r="WW428" s="4"/>
      <c r="WX428" s="4"/>
      <c r="WY428" s="4"/>
      <c r="WZ428" s="4"/>
      <c r="XA428" s="5"/>
      <c r="XB428" s="6"/>
      <c r="XC428" s="4"/>
      <c r="XD428" s="4"/>
      <c r="XE428" s="4"/>
      <c r="XF428" s="4"/>
      <c r="XG428" s="4"/>
      <c r="XH428" s="5"/>
      <c r="XI428" s="6"/>
      <c r="XJ428" s="4"/>
      <c r="XK428" s="4"/>
      <c r="XL428" s="4"/>
      <c r="XM428" s="4"/>
      <c r="XN428" s="4"/>
      <c r="XO428" s="5"/>
      <c r="XP428" s="6"/>
      <c r="XQ428" s="4"/>
      <c r="XR428" s="4"/>
      <c r="XS428" s="4"/>
      <c r="XT428" s="4"/>
      <c r="XU428" s="4"/>
      <c r="XV428" s="5"/>
      <c r="XW428" s="6"/>
      <c r="XX428" s="4"/>
      <c r="XY428" s="4"/>
      <c r="XZ428" s="4"/>
      <c r="YA428" s="4"/>
      <c r="YB428" s="4"/>
      <c r="YC428" s="5"/>
      <c r="YD428" s="6"/>
      <c r="YE428" s="4"/>
      <c r="YF428" s="4"/>
      <c r="YG428" s="4"/>
      <c r="YH428" s="4"/>
      <c r="YI428" s="4"/>
      <c r="YJ428" s="5"/>
      <c r="YR428" s="6"/>
      <c r="YS428" s="4"/>
      <c r="YT428" s="4"/>
      <c r="YU428" s="4"/>
      <c r="YV428" s="4"/>
      <c r="YW428" s="4"/>
      <c r="YX428" s="5"/>
      <c r="YY428" s="6"/>
      <c r="YZ428" s="4"/>
      <c r="ZA428" s="4"/>
      <c r="ZB428" s="4"/>
      <c r="ZC428" s="4"/>
      <c r="ZD428" s="4"/>
      <c r="ZE428" s="5"/>
      <c r="ZF428" s="6"/>
      <c r="ZG428" s="4"/>
      <c r="ZH428" s="4"/>
      <c r="ZI428" s="4"/>
      <c r="ZJ428" s="4"/>
      <c r="ZK428" s="4"/>
      <c r="ZL428" s="5"/>
      <c r="ZM428" s="6"/>
      <c r="ZN428" s="4"/>
      <c r="ZO428" s="4"/>
      <c r="ZP428" s="4"/>
      <c r="ZQ428" s="4"/>
      <c r="ZR428" s="4"/>
      <c r="ZS428" s="5"/>
      <c r="ZT428" s="6"/>
      <c r="ZU428" s="4"/>
      <c r="ZV428" s="4"/>
      <c r="ZW428" s="4"/>
      <c r="ZX428" s="4"/>
      <c r="ZY428" s="4"/>
      <c r="ZZ428" s="5"/>
      <c r="AAA428" s="6"/>
      <c r="AAB428" s="4"/>
      <c r="AAC428" s="4"/>
      <c r="AAD428" s="4"/>
      <c r="AAE428" s="4"/>
      <c r="AAF428" s="4"/>
      <c r="AAG428" s="5"/>
      <c r="AAH428" s="6"/>
      <c r="AAI428" s="4"/>
      <c r="AAJ428" s="4"/>
      <c r="AAK428" s="4"/>
      <c r="AAL428" s="4"/>
      <c r="AAM428" s="4"/>
      <c r="AAN428" s="5"/>
      <c r="AAO428" s="6"/>
      <c r="AAP428" s="4"/>
      <c r="AAQ428" s="4"/>
      <c r="AAR428" s="4"/>
      <c r="AAS428" s="4"/>
      <c r="AAT428" s="4"/>
      <c r="AAU428" s="5"/>
      <c r="AAV428" s="6"/>
      <c r="AAW428" s="4"/>
      <c r="AAX428" s="4"/>
      <c r="AAY428" s="4"/>
      <c r="AAZ428" s="4"/>
      <c r="ABA428" s="4"/>
      <c r="ABB428" s="5"/>
      <c r="ABC428" s="6" t="s">
        <v>1685</v>
      </c>
      <c r="ABD428" s="4" t="s">
        <v>1735</v>
      </c>
      <c r="ABE428" s="4"/>
      <c r="ABF428" s="4"/>
      <c r="ABG428" s="8">
        <v>31778</v>
      </c>
      <c r="ABH428" s="4"/>
      <c r="ABI428" s="5"/>
      <c r="ABJ428" s="6"/>
      <c r="ABK428" s="4"/>
      <c r="ABL428" s="4"/>
      <c r="ABM428" s="4"/>
      <c r="ABN428" s="4"/>
      <c r="ABO428" s="4"/>
      <c r="ABP428" s="5"/>
      <c r="ABQ428" s="6" t="s">
        <v>1687</v>
      </c>
      <c r="ABR428" s="4" t="s">
        <v>3230</v>
      </c>
      <c r="ABS428" s="4" t="s">
        <v>29</v>
      </c>
      <c r="ABT428" s="4"/>
      <c r="ABU428" s="8">
        <v>39132</v>
      </c>
      <c r="ABV428" s="4"/>
      <c r="ABW428" s="5" t="s">
        <v>3994</v>
      </c>
      <c r="ABX428" s="6"/>
      <c r="ABY428" s="4"/>
      <c r="ABZ428" s="4"/>
      <c r="ACA428" s="4"/>
      <c r="ACB428" s="4"/>
      <c r="ACC428" s="4"/>
      <c r="ACD428" s="5"/>
      <c r="ACE428" s="6"/>
      <c r="ACF428" s="4"/>
      <c r="ACG428" s="4"/>
      <c r="ACH428" s="4"/>
      <c r="ACI428" s="4"/>
      <c r="ACJ428" s="4"/>
      <c r="ACK428" s="5"/>
      <c r="ACL428" s="6"/>
      <c r="ACM428" s="4"/>
      <c r="ACN428" s="4"/>
      <c r="ACO428" s="4"/>
      <c r="ACP428" s="4"/>
      <c r="ACQ428" s="4"/>
      <c r="ACR428" s="5"/>
      <c r="ACS428" s="6"/>
      <c r="ACT428" s="4"/>
      <c r="ACU428" s="4"/>
      <c r="ACV428" s="4"/>
      <c r="ACW428" s="4"/>
      <c r="ACX428" s="4"/>
      <c r="ACY428" s="5"/>
      <c r="ADG428" t="s">
        <v>27</v>
      </c>
      <c r="ADJ428" t="s">
        <v>3880</v>
      </c>
      <c r="ADS428" t="s">
        <v>3882</v>
      </c>
      <c r="ADU428" t="s">
        <v>3881</v>
      </c>
    </row>
    <row r="429" spans="2:816" x14ac:dyDescent="0.25">
      <c r="J429" s="12"/>
      <c r="K429" s="12"/>
      <c r="L429" s="12"/>
      <c r="LL429" s="6"/>
      <c r="LM429" s="4"/>
      <c r="LN429" s="4"/>
      <c r="LO429" s="4"/>
      <c r="LP429" s="4"/>
      <c r="LQ429" s="4"/>
      <c r="LR429" s="5"/>
      <c r="LS429" s="6"/>
      <c r="LT429" s="4"/>
      <c r="LU429" s="4"/>
      <c r="LV429" s="4"/>
      <c r="LW429" s="4"/>
      <c r="LX429" s="4"/>
      <c r="LY429" s="5"/>
      <c r="LZ429" s="11" t="s">
        <v>1839</v>
      </c>
      <c r="MA429" s="7" t="s">
        <v>1380</v>
      </c>
      <c r="MB429" s="4" t="s">
        <v>28</v>
      </c>
      <c r="MC429" s="4" t="s">
        <v>1578</v>
      </c>
      <c r="MD429" s="8">
        <v>39132</v>
      </c>
      <c r="ME429" s="8">
        <v>39132</v>
      </c>
      <c r="MF429" s="8" t="s">
        <v>4050</v>
      </c>
      <c r="MG429" s="5" t="s">
        <v>3878</v>
      </c>
      <c r="MH429" s="6"/>
      <c r="MI429" s="4"/>
      <c r="MJ429" s="4"/>
      <c r="MK429" s="4"/>
      <c r="ML429" s="4"/>
      <c r="MM429" s="4"/>
      <c r="MN429" s="5"/>
      <c r="MO429" s="6"/>
      <c r="MP429" s="4"/>
      <c r="MQ429" s="4"/>
      <c r="MR429" s="4"/>
      <c r="MS429" s="4"/>
      <c r="MT429" s="4"/>
      <c r="MU429" s="5"/>
      <c r="MV429" s="6"/>
      <c r="MW429" s="4"/>
      <c r="MX429" s="4"/>
      <c r="MY429" s="4"/>
      <c r="MZ429" s="4"/>
      <c r="NA429" s="4"/>
      <c r="NB429" s="5"/>
      <c r="NC429" s="6"/>
      <c r="ND429" s="4"/>
      <c r="NE429" s="4"/>
      <c r="NF429" s="4"/>
      <c r="NG429" s="4"/>
      <c r="NH429" s="4"/>
      <c r="NI429" s="5"/>
      <c r="NL429" s="4"/>
      <c r="NM429" s="4"/>
      <c r="NN429" s="4"/>
      <c r="NO429" s="4"/>
      <c r="NP429" s="5"/>
      <c r="NQ429" s="6"/>
      <c r="NR429" s="4"/>
      <c r="NS429" s="4"/>
      <c r="NT429" s="4"/>
      <c r="NU429" s="4"/>
      <c r="NV429" s="4"/>
      <c r="NW429" s="5"/>
      <c r="NX429" s="6"/>
      <c r="NY429" s="4"/>
      <c r="NZ429" s="4"/>
      <c r="OA429" s="4"/>
      <c r="OB429" s="4"/>
      <c r="OC429" s="4"/>
      <c r="OD429" s="5"/>
      <c r="OE429" s="6"/>
      <c r="OF429" s="4"/>
      <c r="OG429" s="4"/>
      <c r="OH429" s="4"/>
      <c r="OI429" s="4"/>
      <c r="OJ429" s="4"/>
      <c r="OK429" s="5"/>
      <c r="OL429" s="6"/>
      <c r="OM429" s="4"/>
      <c r="ON429" s="4"/>
      <c r="OO429" s="4"/>
      <c r="OP429" s="4"/>
      <c r="OQ429" s="4"/>
      <c r="OR429" s="5"/>
      <c r="OS429" s="6"/>
      <c r="OT429" s="4"/>
      <c r="OU429" s="4"/>
      <c r="OV429" s="4"/>
      <c r="OW429" s="4"/>
      <c r="OX429" s="4"/>
      <c r="OY429" s="5"/>
      <c r="OZ429" s="6"/>
      <c r="PA429" s="4"/>
      <c r="PB429" s="4"/>
      <c r="PC429" s="4"/>
      <c r="PD429" s="4"/>
      <c r="PE429" s="4"/>
      <c r="PF429" s="5"/>
      <c r="PG429" s="6"/>
      <c r="PH429" s="4"/>
      <c r="PI429" s="4"/>
      <c r="PJ429" s="4"/>
      <c r="PK429" s="4"/>
      <c r="PL429" s="4"/>
      <c r="PM429" s="5"/>
      <c r="PN429" s="6"/>
      <c r="PO429" s="4"/>
      <c r="PP429" s="4"/>
      <c r="PQ429" s="4"/>
      <c r="PR429" s="4"/>
      <c r="PS429" s="4"/>
      <c r="PT429" s="5"/>
      <c r="PU429" s="6"/>
      <c r="PV429" s="4"/>
      <c r="PW429" s="4"/>
      <c r="PX429" s="4"/>
      <c r="PY429" s="8"/>
      <c r="PZ429" s="4"/>
      <c r="QA429" s="5"/>
      <c r="QB429" s="6"/>
      <c r="QC429" s="4"/>
      <c r="QD429" s="4"/>
      <c r="QE429" s="4"/>
      <c r="QF429" s="4"/>
      <c r="QG429" s="4"/>
      <c r="QH429" s="5"/>
      <c r="QI429" s="6"/>
      <c r="QJ429" s="4"/>
      <c r="QK429" s="4"/>
      <c r="QL429" s="4"/>
      <c r="QM429" s="4"/>
      <c r="QN429" s="4"/>
      <c r="QO429" s="5"/>
      <c r="QP429" s="6"/>
      <c r="QQ429" s="4"/>
      <c r="QR429" s="4"/>
      <c r="QS429" s="4"/>
      <c r="QT429" s="4"/>
      <c r="QU429" s="4"/>
      <c r="QV429" s="5"/>
      <c r="QW429" s="6"/>
      <c r="QX429" s="4"/>
      <c r="QY429" s="4"/>
      <c r="QZ429" s="4"/>
      <c r="RA429" s="4"/>
      <c r="RB429" s="4"/>
      <c r="RC429" s="5"/>
      <c r="RD429" s="6"/>
      <c r="RE429" s="4"/>
      <c r="RF429" s="4"/>
      <c r="RG429" s="4"/>
      <c r="RH429" s="4"/>
      <c r="RI429" s="4"/>
      <c r="RJ429" s="5"/>
      <c r="RK429" s="6"/>
      <c r="RL429" s="4"/>
      <c r="RM429" s="4"/>
      <c r="RN429" s="4"/>
      <c r="RO429" s="4"/>
      <c r="RP429" s="4"/>
      <c r="RQ429" s="5"/>
      <c r="RR429" s="6"/>
      <c r="RS429" s="4"/>
      <c r="RT429" s="4"/>
      <c r="RU429" s="4"/>
      <c r="RV429" s="4"/>
      <c r="RW429" s="4"/>
      <c r="RX429" s="5"/>
      <c r="RY429" s="6"/>
      <c r="RZ429" s="4"/>
      <c r="SA429" s="4"/>
      <c r="SB429" s="4"/>
      <c r="SC429" s="4"/>
      <c r="SD429" s="4"/>
      <c r="SE429" s="5"/>
      <c r="SF429" s="6"/>
      <c r="SG429" s="4"/>
      <c r="SH429" s="4"/>
      <c r="SI429" s="4"/>
      <c r="SJ429" s="4"/>
      <c r="SK429" s="4"/>
      <c r="SL429" s="5"/>
      <c r="SM429" s="6"/>
      <c r="SN429" s="4"/>
      <c r="SO429" s="4"/>
      <c r="SP429" s="4"/>
      <c r="SQ429" s="4"/>
      <c r="SR429" s="4"/>
      <c r="SS429" s="5"/>
      <c r="ST429" s="6"/>
      <c r="SU429" s="4"/>
      <c r="SV429" s="4"/>
      <c r="SW429" s="4"/>
      <c r="SX429" s="4"/>
      <c r="SY429" s="4"/>
      <c r="SZ429" s="5"/>
      <c r="TA429" s="6"/>
      <c r="TB429" s="4"/>
      <c r="TC429" s="4"/>
      <c r="TD429" s="4"/>
      <c r="TE429" s="4"/>
      <c r="TF429" s="4"/>
      <c r="TG429" s="5"/>
      <c r="TH429" s="6"/>
      <c r="TI429" s="4"/>
      <c r="TJ429" s="4"/>
      <c r="TK429" s="4"/>
      <c r="TL429" s="4"/>
      <c r="TM429" s="4"/>
      <c r="TN429" s="5"/>
      <c r="TO429" s="6"/>
      <c r="TP429" s="4"/>
      <c r="TQ429" s="4"/>
      <c r="TR429" s="4"/>
      <c r="TS429" s="4"/>
      <c r="TT429" s="4"/>
      <c r="TU429" s="5"/>
      <c r="TV429" s="6"/>
      <c r="TW429" s="4"/>
      <c r="TX429" s="4"/>
      <c r="TY429" s="4"/>
      <c r="TZ429" s="4"/>
      <c r="UA429" s="4"/>
      <c r="UB429" s="5"/>
      <c r="UC429" s="6"/>
      <c r="UD429" s="4"/>
      <c r="UE429" s="4"/>
      <c r="UF429" s="4"/>
      <c r="UG429" s="4"/>
      <c r="UH429" s="4"/>
      <c r="UI429" s="5"/>
      <c r="UJ429" s="6"/>
      <c r="UK429" s="4"/>
      <c r="UL429" s="4"/>
      <c r="UM429" s="4"/>
      <c r="UN429" s="4"/>
      <c r="UO429" s="4"/>
      <c r="UP429" s="5"/>
      <c r="UQ429" s="6"/>
      <c r="UR429" s="4"/>
      <c r="US429" s="4"/>
      <c r="UT429" s="4"/>
      <c r="UU429" s="4"/>
      <c r="UV429" s="4"/>
      <c r="UW429" s="5"/>
      <c r="UX429" s="6"/>
      <c r="UY429" s="4"/>
      <c r="UZ429" s="4"/>
      <c r="VA429" s="4"/>
      <c r="VB429" s="4"/>
      <c r="VC429" s="4"/>
      <c r="VD429" s="5"/>
      <c r="VE429" s="6"/>
      <c r="VF429" s="4"/>
      <c r="VG429" s="4"/>
      <c r="VH429" s="4"/>
      <c r="VI429" s="4"/>
      <c r="VJ429" s="4"/>
      <c r="VK429" s="5"/>
      <c r="VL429" s="6"/>
      <c r="VM429" s="4"/>
      <c r="VN429" s="4"/>
      <c r="VO429" s="4"/>
      <c r="VP429" s="4"/>
      <c r="VQ429" s="4"/>
      <c r="VR429" s="5"/>
      <c r="VS429" s="6"/>
      <c r="VT429" s="4"/>
      <c r="VU429" s="4"/>
      <c r="VV429" s="4"/>
      <c r="VW429" s="4"/>
      <c r="VX429" s="4"/>
      <c r="VY429" s="5"/>
      <c r="VZ429" s="6"/>
      <c r="WA429" s="4"/>
      <c r="WB429" s="4"/>
      <c r="WC429" s="4"/>
      <c r="WD429" s="4"/>
      <c r="WE429" s="4"/>
      <c r="WF429" s="5"/>
      <c r="WG429" s="6"/>
      <c r="WH429" s="4"/>
      <c r="WI429" s="4"/>
      <c r="WJ429" s="4"/>
      <c r="WK429" s="4"/>
      <c r="WL429" s="4"/>
      <c r="WM429" s="5"/>
      <c r="WN429" s="6"/>
      <c r="WO429" s="4"/>
      <c r="WP429" s="4"/>
      <c r="WQ429" s="4"/>
      <c r="WR429" s="4"/>
      <c r="WS429" s="4"/>
      <c r="WT429" s="5"/>
      <c r="WU429" s="6"/>
      <c r="WV429" s="4"/>
      <c r="WW429" s="4"/>
      <c r="WX429" s="4"/>
      <c r="WY429" s="4"/>
      <c r="WZ429" s="4"/>
      <c r="XA429" s="5"/>
      <c r="XB429" s="6"/>
      <c r="XC429" s="4"/>
      <c r="XD429" s="4"/>
      <c r="XE429" s="4"/>
      <c r="XF429" s="4"/>
      <c r="XG429" s="4"/>
      <c r="XH429" s="5"/>
      <c r="XI429" s="6"/>
      <c r="XJ429" s="4"/>
      <c r="XK429" s="4"/>
      <c r="XL429" s="4"/>
      <c r="XM429" s="4"/>
      <c r="XN429" s="4"/>
      <c r="XO429" s="5"/>
      <c r="XP429" s="6"/>
      <c r="XQ429" s="4"/>
      <c r="XR429" s="4"/>
      <c r="XS429" s="4"/>
      <c r="XT429" s="4"/>
      <c r="XU429" s="4"/>
      <c r="XV429" s="5"/>
      <c r="XW429" s="6"/>
      <c r="XX429" s="4"/>
      <c r="XY429" s="4"/>
      <c r="XZ429" s="4"/>
      <c r="YA429" s="4"/>
      <c r="YB429" s="4"/>
      <c r="YC429" s="5"/>
      <c r="YD429" s="6"/>
      <c r="YE429" s="4"/>
      <c r="YF429" s="4"/>
      <c r="YG429" s="4"/>
      <c r="YH429" s="4"/>
      <c r="YI429" s="4"/>
      <c r="YJ429" s="5"/>
      <c r="YK429" s="6"/>
      <c r="YL429" s="4"/>
      <c r="YM429" s="4"/>
      <c r="YN429" s="7"/>
      <c r="YO429" s="8"/>
      <c r="YP429" s="8"/>
      <c r="YQ429" s="5"/>
      <c r="YR429" s="6"/>
      <c r="YS429" s="4"/>
      <c r="YT429" s="4"/>
      <c r="YU429" s="4"/>
      <c r="YV429" s="4"/>
      <c r="YW429" s="4"/>
      <c r="YX429" s="5"/>
      <c r="YY429" s="6"/>
      <c r="YZ429" s="4"/>
      <c r="ZA429" s="4"/>
      <c r="ZB429" s="4"/>
      <c r="ZC429" s="4"/>
      <c r="ZD429" s="4"/>
      <c r="ZE429" s="5"/>
      <c r="ZF429" s="6"/>
      <c r="ZG429" s="4"/>
      <c r="ZH429" s="4"/>
      <c r="ZI429" s="4"/>
      <c r="ZJ429" s="4"/>
      <c r="ZK429" s="4"/>
      <c r="ZL429" s="5"/>
      <c r="ZM429" s="6"/>
      <c r="ZN429" s="4"/>
      <c r="ZO429" s="4"/>
      <c r="ZP429" s="4"/>
      <c r="ZQ429" s="4"/>
      <c r="ZR429" s="4"/>
      <c r="ZS429" s="5"/>
      <c r="ZT429" s="6"/>
      <c r="ZU429" s="4"/>
      <c r="ZV429" s="4"/>
      <c r="ZW429" s="4"/>
      <c r="ZX429" s="4"/>
      <c r="ZY429" s="4"/>
      <c r="ZZ429" s="5"/>
      <c r="AAA429" s="6"/>
      <c r="AAB429" s="4"/>
      <c r="AAC429" s="4"/>
      <c r="AAD429" s="4"/>
      <c r="AAE429" s="4"/>
      <c r="AAF429" s="4"/>
      <c r="AAG429" s="5"/>
      <c r="AAH429" s="6"/>
      <c r="AAI429" s="4"/>
      <c r="AAJ429" s="4"/>
      <c r="AAK429" s="4"/>
      <c r="AAL429" s="4"/>
      <c r="AAM429" s="4"/>
      <c r="AAN429" s="5"/>
      <c r="AAO429" s="6"/>
      <c r="AAP429" s="4"/>
      <c r="AAQ429" s="4"/>
      <c r="AAR429" s="4"/>
      <c r="AAS429" s="4"/>
      <c r="AAT429" s="4"/>
      <c r="AAU429" s="5"/>
      <c r="AAV429" s="6"/>
      <c r="AAW429" s="4"/>
      <c r="AAX429" s="4"/>
      <c r="AAY429" s="4"/>
      <c r="AAZ429" s="4"/>
      <c r="ABA429" s="4"/>
      <c r="ABB429" s="5"/>
      <c r="ABC429" s="6"/>
      <c r="ABD429" s="4"/>
      <c r="ABE429" s="4"/>
      <c r="ABF429" s="4"/>
      <c r="ABG429" s="8"/>
      <c r="ABH429" s="4"/>
      <c r="ABI429" s="5"/>
      <c r="ABJ429" s="6"/>
      <c r="ABK429" s="4"/>
      <c r="ABL429" s="4"/>
      <c r="ABM429" s="4"/>
      <c r="ABN429" s="4"/>
      <c r="ABO429" s="4"/>
      <c r="ABP429" s="5"/>
      <c r="ABQ429" s="6"/>
      <c r="ABR429" s="4"/>
      <c r="ABS429" s="4"/>
      <c r="ABT429" s="4"/>
      <c r="ABU429" s="8"/>
      <c r="ABV429" s="4"/>
      <c r="ABW429" s="5"/>
      <c r="ABX429" s="6"/>
      <c r="ABY429" s="4"/>
      <c r="ABZ429" s="4"/>
      <c r="ACA429" s="4"/>
      <c r="ACB429" s="4"/>
      <c r="ACC429" s="4"/>
      <c r="ACD429" s="5"/>
      <c r="ACE429" s="6"/>
      <c r="ACF429" s="4"/>
      <c r="ACG429" s="4"/>
      <c r="ACH429" s="4"/>
      <c r="ACI429" s="4"/>
      <c r="ACJ429" s="4"/>
      <c r="ACK429" s="5"/>
      <c r="ACL429" s="6"/>
      <c r="ACM429" s="4"/>
      <c r="ACN429" s="4"/>
      <c r="ACO429" s="4"/>
      <c r="ACP429" s="4"/>
      <c r="ACQ429" s="4"/>
      <c r="ACR429" s="5"/>
      <c r="ACS429" s="6"/>
      <c r="ACT429" s="4"/>
      <c r="ACU429" s="4"/>
      <c r="ACV429" s="4"/>
      <c r="ACW429" s="4"/>
      <c r="ACX429" s="4"/>
      <c r="ACY429" s="5"/>
    </row>
    <row r="430" spans="2:816" x14ac:dyDescent="0.25">
      <c r="J430" s="12"/>
      <c r="K430" s="12"/>
      <c r="L430" s="12"/>
      <c r="LL430" s="6"/>
      <c r="LM430" s="4"/>
      <c r="LN430" s="4"/>
      <c r="LO430" s="4"/>
      <c r="LP430" s="4"/>
      <c r="LQ430" s="4"/>
      <c r="LR430" s="5"/>
      <c r="LS430" s="6"/>
      <c r="LT430" s="4"/>
      <c r="LU430" s="4"/>
      <c r="LV430" s="4"/>
      <c r="LW430" s="4"/>
      <c r="LX430" s="4"/>
      <c r="LY430" s="5"/>
      <c r="LZ430" s="11" t="s">
        <v>30</v>
      </c>
      <c r="MA430" s="7" t="s">
        <v>31</v>
      </c>
      <c r="MB430" s="4" t="s">
        <v>184</v>
      </c>
      <c r="MC430" s="4"/>
      <c r="MD430" s="8">
        <v>39136</v>
      </c>
      <c r="ME430" s="8"/>
      <c r="MF430" s="8"/>
      <c r="MG430" s="5" t="s">
        <v>32</v>
      </c>
      <c r="MH430" s="6"/>
      <c r="MI430" s="4"/>
      <c r="MJ430" s="4"/>
      <c r="MK430" s="4"/>
      <c r="ML430" s="4"/>
      <c r="MM430" s="4"/>
      <c r="MN430" s="5"/>
      <c r="MO430" s="4"/>
      <c r="MP430" s="4"/>
      <c r="MQ430" s="4"/>
      <c r="MR430" s="4"/>
      <c r="MS430" s="4"/>
      <c r="MT430" s="4"/>
      <c r="MU430" s="5"/>
      <c r="MV430" s="6"/>
      <c r="MW430" s="4"/>
      <c r="MX430" s="4"/>
      <c r="MY430" s="4"/>
      <c r="MZ430" s="4"/>
      <c r="NA430" s="4"/>
      <c r="NB430" s="5"/>
      <c r="NC430" s="6"/>
      <c r="ND430" s="4"/>
      <c r="NE430" s="4"/>
      <c r="NF430" s="4"/>
      <c r="NG430" s="4"/>
      <c r="NH430" s="4"/>
      <c r="NI430" s="5"/>
      <c r="NL430" s="4"/>
      <c r="NM430" s="4"/>
      <c r="NN430" s="4"/>
      <c r="NO430" s="4"/>
      <c r="NP430" s="5"/>
      <c r="NQ430" s="6"/>
      <c r="NR430" s="4"/>
      <c r="NS430" s="4"/>
      <c r="NT430" s="4"/>
      <c r="NU430" s="4"/>
      <c r="NV430" s="4"/>
      <c r="NW430" s="5"/>
      <c r="NX430" s="6"/>
      <c r="NY430" s="4"/>
      <c r="NZ430" s="4"/>
      <c r="OA430" s="4"/>
      <c r="OB430" s="4"/>
      <c r="OC430" s="4"/>
      <c r="OD430" s="5"/>
      <c r="OE430" s="6"/>
      <c r="OF430" s="4"/>
      <c r="OG430" s="4"/>
      <c r="OH430" s="4"/>
      <c r="OI430" s="4"/>
      <c r="OJ430" s="4"/>
      <c r="OK430" s="5"/>
      <c r="OL430" s="6"/>
      <c r="OM430" s="4"/>
      <c r="ON430" s="4"/>
      <c r="OO430" s="4"/>
      <c r="OP430" s="4"/>
      <c r="OQ430" s="4"/>
      <c r="OR430" s="5"/>
      <c r="OS430" s="6"/>
      <c r="OT430" s="4"/>
      <c r="OU430" s="4"/>
      <c r="OV430" s="4"/>
      <c r="OW430" s="4"/>
      <c r="OX430" s="4"/>
      <c r="OY430" s="5"/>
      <c r="OZ430" s="6"/>
      <c r="PA430" s="4"/>
      <c r="PB430" s="4"/>
      <c r="PC430" s="4"/>
      <c r="PD430" s="4"/>
      <c r="PE430" s="4"/>
      <c r="PF430" s="5"/>
      <c r="PG430" s="6"/>
      <c r="PH430" s="4"/>
      <c r="PI430" s="4"/>
      <c r="PJ430" s="4"/>
      <c r="PK430" s="4"/>
      <c r="PL430" s="4"/>
      <c r="PM430" s="5"/>
      <c r="PN430" s="6"/>
      <c r="PO430" s="4"/>
      <c r="PP430" s="4"/>
      <c r="PQ430" s="4"/>
      <c r="PR430" s="4"/>
      <c r="PS430" s="4"/>
      <c r="PT430" s="5"/>
      <c r="PU430" s="6"/>
      <c r="PV430" s="4"/>
      <c r="PW430" s="4"/>
      <c r="PX430" s="4"/>
      <c r="PY430" s="8"/>
      <c r="PZ430" s="4"/>
      <c r="QA430" s="5"/>
      <c r="QB430" s="6"/>
      <c r="QC430" s="4"/>
      <c r="QD430" s="4"/>
      <c r="QE430" s="4"/>
      <c r="QF430" s="4"/>
      <c r="QG430" s="4"/>
      <c r="QH430" s="5"/>
      <c r="QI430" s="6"/>
      <c r="QJ430" s="4"/>
      <c r="QK430" s="4"/>
      <c r="QL430" s="4"/>
      <c r="QM430" s="4"/>
      <c r="QN430" s="4"/>
      <c r="QO430" s="5"/>
      <c r="QP430" s="6"/>
      <c r="QQ430" s="4"/>
      <c r="QR430" s="4"/>
      <c r="QS430" s="4"/>
      <c r="QT430" s="4"/>
      <c r="QU430" s="4"/>
      <c r="QV430" s="5"/>
      <c r="QW430" s="6"/>
      <c r="QX430" s="4"/>
      <c r="QY430" s="4"/>
      <c r="QZ430" s="4"/>
      <c r="RA430" s="4"/>
      <c r="RB430" s="4"/>
      <c r="RC430" s="5"/>
      <c r="RD430" s="6"/>
      <c r="RE430" s="4"/>
      <c r="RF430" s="4"/>
      <c r="RG430" s="4"/>
      <c r="RH430" s="4"/>
      <c r="RI430" s="4"/>
      <c r="RJ430" s="5"/>
      <c r="RK430" s="6"/>
      <c r="RL430" s="4"/>
      <c r="RM430" s="4"/>
      <c r="RN430" s="4"/>
      <c r="RO430" s="4"/>
      <c r="RP430" s="4"/>
      <c r="RQ430" s="5"/>
      <c r="RR430" s="6"/>
      <c r="RS430" s="4"/>
      <c r="RT430" s="4"/>
      <c r="RU430" s="4"/>
      <c r="RV430" s="4"/>
      <c r="RW430" s="4"/>
      <c r="RX430" s="5"/>
      <c r="RY430" s="6"/>
      <c r="RZ430" s="4"/>
      <c r="SA430" s="4"/>
      <c r="SB430" s="4"/>
      <c r="SC430" s="4"/>
      <c r="SD430" s="4"/>
      <c r="SE430" s="5"/>
      <c r="SF430" s="6"/>
      <c r="SG430" s="4"/>
      <c r="SH430" s="4"/>
      <c r="SI430" s="4"/>
      <c r="SJ430" s="4"/>
      <c r="SK430" s="4"/>
      <c r="SL430" s="5"/>
      <c r="SM430" s="6"/>
      <c r="SN430" s="4"/>
      <c r="SO430" s="4"/>
      <c r="SP430" s="4"/>
      <c r="SQ430" s="4"/>
      <c r="SR430" s="4"/>
      <c r="SS430" s="5"/>
      <c r="ST430" s="6"/>
      <c r="SU430" s="4"/>
      <c r="SV430" s="4"/>
      <c r="SW430" s="4"/>
      <c r="SX430" s="4"/>
      <c r="SY430" s="4"/>
      <c r="SZ430" s="5"/>
      <c r="TA430" s="6"/>
      <c r="TB430" s="4"/>
      <c r="TC430" s="4"/>
      <c r="TD430" s="4"/>
      <c r="TE430" s="4"/>
      <c r="TF430" s="4"/>
      <c r="TG430" s="5"/>
      <c r="TH430" s="6"/>
      <c r="TI430" s="4"/>
      <c r="TJ430" s="4"/>
      <c r="TK430" s="4"/>
      <c r="TL430" s="4"/>
      <c r="TM430" s="4"/>
      <c r="TN430" s="5"/>
      <c r="TO430" s="6"/>
      <c r="TP430" s="4"/>
      <c r="TQ430" s="4"/>
      <c r="TR430" s="4"/>
      <c r="TS430" s="4"/>
      <c r="TT430" s="4"/>
      <c r="TU430" s="5"/>
      <c r="TV430" s="6"/>
      <c r="TW430" s="4"/>
      <c r="TX430" s="4"/>
      <c r="TY430" s="4"/>
      <c r="TZ430" s="4"/>
      <c r="UA430" s="4"/>
      <c r="UB430" s="5"/>
      <c r="UC430" s="6"/>
      <c r="UD430" s="4"/>
      <c r="UE430" s="4"/>
      <c r="UF430" s="4"/>
      <c r="UG430" s="4"/>
      <c r="UH430" s="4"/>
      <c r="UI430" s="5"/>
      <c r="UJ430" s="6"/>
      <c r="UK430" s="4"/>
      <c r="UL430" s="4"/>
      <c r="UM430" s="4"/>
      <c r="UN430" s="4"/>
      <c r="UO430" s="4"/>
      <c r="UP430" s="5"/>
      <c r="UQ430" s="6"/>
      <c r="UR430" s="4"/>
      <c r="US430" s="4"/>
      <c r="UT430" s="4"/>
      <c r="UU430" s="4"/>
      <c r="UV430" s="4"/>
      <c r="UW430" s="5"/>
      <c r="UX430" s="6"/>
      <c r="UY430" s="4"/>
      <c r="UZ430" s="4"/>
      <c r="VA430" s="4"/>
      <c r="VB430" s="4"/>
      <c r="VC430" s="4"/>
      <c r="VD430" s="5"/>
      <c r="VE430" s="6"/>
      <c r="VF430" s="4"/>
      <c r="VG430" s="4"/>
      <c r="VH430" s="4"/>
      <c r="VI430" s="4"/>
      <c r="VJ430" s="4"/>
      <c r="VK430" s="5"/>
      <c r="VL430" s="6"/>
      <c r="VM430" s="4"/>
      <c r="VN430" s="4"/>
      <c r="VO430" s="4"/>
      <c r="VP430" s="4"/>
      <c r="VQ430" s="4"/>
      <c r="VR430" s="5"/>
      <c r="VS430" s="6"/>
      <c r="VT430" s="4"/>
      <c r="VU430" s="4"/>
      <c r="VV430" s="4"/>
      <c r="VW430" s="4"/>
      <c r="VX430" s="4"/>
      <c r="VY430" s="5"/>
      <c r="VZ430" s="6"/>
      <c r="WA430" s="4"/>
      <c r="WB430" s="4"/>
      <c r="WC430" s="4"/>
      <c r="WD430" s="4"/>
      <c r="WE430" s="4"/>
      <c r="WF430" s="5"/>
      <c r="WG430" s="6"/>
      <c r="WH430" s="4"/>
      <c r="WI430" s="4"/>
      <c r="WJ430" s="4"/>
      <c r="WK430" s="4"/>
      <c r="WL430" s="4"/>
      <c r="WM430" s="5"/>
      <c r="WN430" s="6"/>
      <c r="WO430" s="4"/>
      <c r="WP430" s="4"/>
      <c r="WQ430" s="4"/>
      <c r="WR430" s="4"/>
      <c r="WS430" s="4"/>
      <c r="WT430" s="5"/>
      <c r="WU430" s="6"/>
      <c r="WV430" s="4"/>
      <c r="WW430" s="4"/>
      <c r="WX430" s="4"/>
      <c r="WY430" s="4"/>
      <c r="WZ430" s="4"/>
      <c r="XA430" s="5"/>
      <c r="XB430" s="6"/>
      <c r="XC430" s="4"/>
      <c r="XD430" s="4"/>
      <c r="XE430" s="4"/>
      <c r="XF430" s="4"/>
      <c r="XG430" s="4"/>
      <c r="XH430" s="5"/>
      <c r="XI430" s="6"/>
      <c r="XJ430" s="4"/>
      <c r="XK430" s="4"/>
      <c r="XL430" s="4"/>
      <c r="XM430" s="4"/>
      <c r="XN430" s="4"/>
      <c r="XO430" s="5"/>
      <c r="XP430" s="6"/>
      <c r="XQ430" s="4"/>
      <c r="XR430" s="4"/>
      <c r="XS430" s="4"/>
      <c r="XT430" s="4"/>
      <c r="XU430" s="4"/>
      <c r="XV430" s="5"/>
      <c r="XW430" s="6"/>
      <c r="XX430" s="4"/>
      <c r="XY430" s="4"/>
      <c r="XZ430" s="4"/>
      <c r="YA430" s="4"/>
      <c r="YB430" s="4"/>
      <c r="YC430" s="5"/>
      <c r="YD430" s="6"/>
      <c r="YE430" s="4"/>
      <c r="YF430" s="4"/>
      <c r="YG430" s="4"/>
      <c r="YH430" s="4"/>
      <c r="YI430" s="4"/>
      <c r="YJ430" s="5"/>
      <c r="YK430" s="6"/>
      <c r="YL430" s="4"/>
      <c r="YM430" s="4"/>
      <c r="YN430" s="7"/>
      <c r="YO430" s="8"/>
      <c r="YP430" s="8"/>
      <c r="YQ430" s="5"/>
      <c r="YR430" s="6"/>
      <c r="YS430" s="4"/>
      <c r="YT430" s="4"/>
      <c r="YU430" s="4"/>
      <c r="YV430" s="4"/>
      <c r="YW430" s="4"/>
      <c r="YX430" s="5"/>
      <c r="YY430" s="6"/>
      <c r="YZ430" s="4"/>
      <c r="ZA430" s="4"/>
      <c r="ZB430" s="4"/>
      <c r="ZC430" s="4"/>
      <c r="ZD430" s="4"/>
      <c r="ZE430" s="5"/>
      <c r="ZF430" s="6"/>
      <c r="ZG430" s="4"/>
      <c r="ZH430" s="4"/>
      <c r="ZI430" s="4"/>
      <c r="ZJ430" s="4"/>
      <c r="ZK430" s="4"/>
      <c r="ZL430" s="5"/>
      <c r="ZM430" s="6"/>
      <c r="ZN430" s="4"/>
      <c r="ZO430" s="4"/>
      <c r="ZP430" s="4"/>
      <c r="ZQ430" s="4"/>
      <c r="ZR430" s="4"/>
      <c r="ZS430" s="5"/>
      <c r="ZT430" s="6"/>
      <c r="ZU430" s="4"/>
      <c r="ZV430" s="4"/>
      <c r="ZW430" s="4"/>
      <c r="ZX430" s="4"/>
      <c r="ZY430" s="4"/>
      <c r="ZZ430" s="5"/>
      <c r="AAA430" s="6"/>
      <c r="AAB430" s="4"/>
      <c r="AAC430" s="4"/>
      <c r="AAD430" s="4"/>
      <c r="AAE430" s="4"/>
      <c r="AAF430" s="4"/>
      <c r="AAG430" s="5"/>
      <c r="AAH430" s="6"/>
      <c r="AAI430" s="4"/>
      <c r="AAJ430" s="4"/>
      <c r="AAK430" s="4"/>
      <c r="AAL430" s="4"/>
      <c r="AAM430" s="4"/>
      <c r="AAN430" s="5"/>
      <c r="AAO430" s="6"/>
      <c r="AAP430" s="4"/>
      <c r="AAQ430" s="4"/>
      <c r="AAR430" s="4"/>
      <c r="AAS430" s="4"/>
      <c r="AAT430" s="4"/>
      <c r="AAU430" s="5"/>
      <c r="AAV430" s="6"/>
      <c r="AAW430" s="4"/>
      <c r="AAX430" s="4"/>
      <c r="AAY430" s="4"/>
      <c r="AAZ430" s="4"/>
      <c r="ABA430" s="4"/>
      <c r="ABB430" s="5"/>
      <c r="ABC430" s="6"/>
      <c r="ABD430" s="4"/>
      <c r="ABE430" s="4"/>
      <c r="ABF430" s="4"/>
      <c r="ABG430" s="8"/>
      <c r="ABH430" s="4"/>
      <c r="ABI430" s="5"/>
      <c r="ABJ430" s="6"/>
      <c r="ABK430" s="4"/>
      <c r="ABL430" s="4"/>
      <c r="ABM430" s="4"/>
      <c r="ABN430" s="4"/>
      <c r="ABO430" s="4"/>
      <c r="ABP430" s="5"/>
      <c r="ABQ430" s="6"/>
      <c r="ABR430" s="4"/>
      <c r="ABS430" s="4"/>
      <c r="ABT430" s="4"/>
      <c r="ABU430" s="8"/>
      <c r="ABV430" s="4"/>
      <c r="ABW430" s="5"/>
      <c r="ABX430" s="6"/>
      <c r="ABY430" s="4"/>
      <c r="ABZ430" s="4"/>
      <c r="ACA430" s="4"/>
      <c r="ACB430" s="4"/>
      <c r="ACC430" s="4"/>
      <c r="ACD430" s="5"/>
      <c r="ACE430" s="6"/>
      <c r="ACF430" s="4"/>
      <c r="ACG430" s="4"/>
      <c r="ACH430" s="4"/>
      <c r="ACI430" s="4"/>
      <c r="ACJ430" s="4"/>
      <c r="ACK430" s="5"/>
      <c r="ACL430" s="6"/>
      <c r="ACM430" s="4"/>
      <c r="ACN430" s="4"/>
      <c r="ACO430" s="4"/>
      <c r="ACP430" s="4"/>
      <c r="ACQ430" s="4"/>
      <c r="ACR430" s="5"/>
      <c r="ACS430" s="6"/>
      <c r="ACT430" s="4"/>
      <c r="ACU430" s="4"/>
      <c r="ACV430" s="4"/>
      <c r="ACW430" s="4"/>
      <c r="ACX430" s="4"/>
      <c r="ACY430" s="5"/>
    </row>
    <row r="431" spans="2:816" x14ac:dyDescent="0.25">
      <c r="B431" s="49">
        <v>10029052</v>
      </c>
      <c r="C431" s="57">
        <v>63</v>
      </c>
      <c r="D431" t="s">
        <v>681</v>
      </c>
      <c r="E431" s="35" t="s">
        <v>3999</v>
      </c>
      <c r="F431" s="23">
        <v>1</v>
      </c>
      <c r="J431" s="12"/>
      <c r="K431" s="12"/>
      <c r="L431" s="12"/>
      <c r="M431">
        <v>1</v>
      </c>
      <c r="N431" s="17">
        <v>38575</v>
      </c>
      <c r="P431" t="s">
        <v>339</v>
      </c>
      <c r="Q431">
        <v>1</v>
      </c>
      <c r="R431">
        <v>1</v>
      </c>
      <c r="AO431">
        <v>1</v>
      </c>
      <c r="AZ431">
        <v>1</v>
      </c>
      <c r="CT431">
        <v>1</v>
      </c>
      <c r="LL431" s="6"/>
      <c r="LM431" s="4"/>
      <c r="LN431" s="4"/>
      <c r="LO431" s="4"/>
      <c r="LP431" s="4"/>
      <c r="LQ431" s="4"/>
      <c r="LR431" s="5"/>
      <c r="LS431" s="6"/>
      <c r="LT431" s="4"/>
      <c r="LU431" s="4"/>
      <c r="LV431" s="4"/>
      <c r="LW431" s="4"/>
      <c r="LX431" s="4"/>
      <c r="LY431" s="5"/>
      <c r="LZ431" s="6" t="s">
        <v>758</v>
      </c>
      <c r="MA431" s="4" t="s">
        <v>759</v>
      </c>
      <c r="MB431" s="4" t="s">
        <v>1920</v>
      </c>
      <c r="MC431" s="4"/>
      <c r="MD431" s="8">
        <v>38569</v>
      </c>
      <c r="ME431" s="4"/>
      <c r="MF431" s="4"/>
      <c r="MG431" s="5" t="s">
        <v>340</v>
      </c>
      <c r="MH431" s="6"/>
      <c r="MI431" s="4"/>
      <c r="MJ431" s="4"/>
      <c r="MK431" s="4"/>
      <c r="ML431" s="4"/>
      <c r="MM431" s="4"/>
      <c r="MN431" s="5"/>
      <c r="MO431" s="4" t="s">
        <v>529</v>
      </c>
      <c r="MP431" s="4" t="s">
        <v>529</v>
      </c>
      <c r="MQ431" s="4" t="s">
        <v>1227</v>
      </c>
      <c r="MR431" s="7" t="s">
        <v>2607</v>
      </c>
      <c r="MS431" s="8">
        <v>38565</v>
      </c>
      <c r="MT431" s="8">
        <v>38569</v>
      </c>
      <c r="MU431" s="5" t="s">
        <v>247</v>
      </c>
      <c r="MV431" s="6" t="s">
        <v>530</v>
      </c>
      <c r="MW431" s="4" t="s">
        <v>530</v>
      </c>
      <c r="MX431" s="7" t="s">
        <v>94</v>
      </c>
      <c r="MY431" s="4"/>
      <c r="MZ431" s="8">
        <v>38569</v>
      </c>
      <c r="NA431" s="4"/>
      <c r="NB431" s="5" t="s">
        <v>210</v>
      </c>
      <c r="NC431" s="6"/>
      <c r="ND431" s="4"/>
      <c r="NE431" s="4"/>
      <c r="NF431" s="4"/>
      <c r="NG431" s="4"/>
      <c r="NH431" s="4"/>
      <c r="NI431" s="5"/>
      <c r="NJ431" s="6"/>
      <c r="NK431" s="4"/>
      <c r="NL431" s="4"/>
      <c r="NM431" s="4"/>
      <c r="NN431" s="4"/>
      <c r="NO431" s="4"/>
      <c r="NP431" s="5"/>
      <c r="NQ431" s="6" t="s">
        <v>760</v>
      </c>
      <c r="NR431" s="4" t="s">
        <v>761</v>
      </c>
      <c r="NS431" s="4" t="s">
        <v>1227</v>
      </c>
      <c r="NT431" s="7" t="s">
        <v>2134</v>
      </c>
      <c r="NU431" s="8">
        <v>38544</v>
      </c>
      <c r="NV431" s="8">
        <v>38569</v>
      </c>
      <c r="NW431" s="5" t="s">
        <v>488</v>
      </c>
      <c r="NX431" s="6"/>
      <c r="NY431" s="4"/>
      <c r="NZ431" s="4"/>
      <c r="OA431" s="4"/>
      <c r="OB431" s="4"/>
      <c r="OC431" s="4"/>
      <c r="OD431" s="5"/>
      <c r="OE431" s="6"/>
      <c r="OF431" s="4"/>
      <c r="OG431" s="4"/>
      <c r="OH431" s="4"/>
      <c r="OI431" s="4"/>
      <c r="OJ431" s="4"/>
      <c r="OK431" s="5"/>
      <c r="OL431" s="6"/>
      <c r="OM431" s="4"/>
      <c r="ON431" s="4"/>
      <c r="OO431" s="4"/>
      <c r="OP431" s="4"/>
      <c r="OQ431" s="4"/>
      <c r="OR431" s="5"/>
      <c r="OS431" s="6"/>
      <c r="OT431" s="4"/>
      <c r="OU431" s="4"/>
      <c r="OV431" s="4"/>
      <c r="OW431" s="4"/>
      <c r="OX431" s="4"/>
      <c r="OY431" s="5"/>
      <c r="OZ431" s="6"/>
      <c r="PA431" s="4"/>
      <c r="PB431" s="4"/>
      <c r="PC431" s="4"/>
      <c r="PD431" s="4"/>
      <c r="PE431" s="4"/>
      <c r="PF431" s="5"/>
      <c r="PG431" s="6"/>
      <c r="PH431" s="4"/>
      <c r="PI431" s="4"/>
      <c r="PJ431" s="4"/>
      <c r="PK431" s="4"/>
      <c r="PL431" s="4"/>
      <c r="PM431" s="5"/>
      <c r="PN431" s="6"/>
      <c r="PO431" s="4"/>
      <c r="PP431" s="4"/>
      <c r="PQ431" s="4"/>
      <c r="PR431" s="4"/>
      <c r="PS431" s="4"/>
      <c r="PT431" s="5"/>
      <c r="PU431" s="6"/>
      <c r="PV431" s="4"/>
      <c r="PW431" s="4"/>
      <c r="PX431" s="4"/>
      <c r="PY431" s="4"/>
      <c r="PZ431" s="4"/>
      <c r="QA431" s="5"/>
      <c r="QB431" s="6" t="s">
        <v>762</v>
      </c>
      <c r="QC431" s="4" t="s">
        <v>513</v>
      </c>
      <c r="QD431" s="4" t="s">
        <v>3590</v>
      </c>
      <c r="QE431" s="4"/>
      <c r="QF431" s="8">
        <v>38544</v>
      </c>
      <c r="QG431" s="4"/>
      <c r="QH431" s="5" t="s">
        <v>414</v>
      </c>
      <c r="QI431" s="6"/>
      <c r="QJ431" s="4"/>
      <c r="QK431" s="4"/>
      <c r="QL431" s="4"/>
      <c r="QM431" s="4"/>
      <c r="QN431" s="4"/>
      <c r="QO431" s="5"/>
      <c r="QP431" s="6"/>
      <c r="QQ431" s="4"/>
      <c r="QR431" s="4"/>
      <c r="QS431" s="4"/>
      <c r="QT431" s="4"/>
      <c r="QU431" s="4"/>
      <c r="QV431" s="5"/>
      <c r="QW431" s="6"/>
      <c r="QX431" s="4"/>
      <c r="QY431" s="4"/>
      <c r="QZ431" s="4"/>
      <c r="RA431" s="4"/>
      <c r="RB431" s="4"/>
      <c r="RC431" s="5"/>
      <c r="RD431" s="6"/>
      <c r="RE431" s="4"/>
      <c r="RF431" s="4"/>
      <c r="RG431" s="4"/>
      <c r="RH431" s="4"/>
      <c r="RI431" s="4"/>
      <c r="RJ431" s="5"/>
      <c r="RK431" s="6"/>
      <c r="RL431" s="4"/>
      <c r="RM431" s="4"/>
      <c r="RN431" s="4"/>
      <c r="RO431" s="4"/>
      <c r="RP431" s="4"/>
      <c r="RQ431" s="5"/>
      <c r="RR431" s="6"/>
      <c r="RS431" s="4"/>
      <c r="RT431" s="4"/>
      <c r="RU431" s="4"/>
      <c r="RV431" s="4"/>
      <c r="RW431" s="4"/>
      <c r="RX431" s="5"/>
      <c r="RY431" s="6"/>
      <c r="RZ431" s="4"/>
      <c r="SA431" s="4"/>
      <c r="SB431" s="4"/>
      <c r="SC431" s="4"/>
      <c r="SD431" s="4"/>
      <c r="SE431" s="5"/>
      <c r="SF431" s="6"/>
      <c r="SG431" s="4"/>
      <c r="SH431" s="4"/>
      <c r="SI431" s="4"/>
      <c r="SJ431" s="4"/>
      <c r="SK431" s="4"/>
      <c r="SL431" s="5"/>
      <c r="SM431" s="6"/>
      <c r="SN431" s="4"/>
      <c r="SO431" s="4"/>
      <c r="SP431" s="4"/>
      <c r="SQ431" s="4"/>
      <c r="SR431" s="4"/>
      <c r="SS431" s="5"/>
      <c r="ST431" s="6"/>
      <c r="SU431" s="4"/>
      <c r="SV431" s="4"/>
      <c r="SW431" s="4"/>
      <c r="SX431" s="4"/>
      <c r="SY431" s="4"/>
      <c r="SZ431" s="5"/>
      <c r="TA431" s="6"/>
      <c r="TB431" s="4"/>
      <c r="TC431" s="4"/>
      <c r="TD431" s="4"/>
      <c r="TE431" s="4"/>
      <c r="TF431" s="4"/>
      <c r="TG431" s="5"/>
      <c r="TH431" s="6"/>
      <c r="TI431" s="4"/>
      <c r="TJ431" s="4"/>
      <c r="TK431" s="4"/>
      <c r="TL431" s="4"/>
      <c r="TM431" s="4"/>
      <c r="TN431" s="5"/>
      <c r="TO431" s="6"/>
      <c r="TP431" s="4"/>
      <c r="TQ431" s="4"/>
      <c r="TR431" s="4"/>
      <c r="TS431" s="4"/>
      <c r="TT431" s="4"/>
      <c r="TU431" s="5"/>
      <c r="TV431" s="6"/>
      <c r="TW431" s="4"/>
      <c r="TX431" s="4"/>
      <c r="TY431" s="4"/>
      <c r="TZ431" s="4"/>
      <c r="UA431" s="4"/>
      <c r="UB431" s="5"/>
      <c r="UC431" s="6"/>
      <c r="UD431" s="4"/>
      <c r="UE431" s="4"/>
      <c r="UF431" s="4"/>
      <c r="UG431" s="4"/>
      <c r="UH431" s="4"/>
      <c r="UI431" s="5"/>
      <c r="UJ431" s="6"/>
      <c r="UK431" s="4"/>
      <c r="UL431" s="4"/>
      <c r="UM431" s="4"/>
      <c r="UN431" s="4"/>
      <c r="UO431" s="4"/>
      <c r="UP431" s="5"/>
      <c r="UQ431" s="6"/>
      <c r="UR431" s="4"/>
      <c r="US431" s="4"/>
      <c r="UT431" s="4"/>
      <c r="UU431" s="4"/>
      <c r="UV431" s="4"/>
      <c r="UW431" s="5"/>
      <c r="UX431" s="6" t="s">
        <v>881</v>
      </c>
      <c r="UY431" s="4" t="s">
        <v>881</v>
      </c>
      <c r="UZ431" s="4" t="s">
        <v>2904</v>
      </c>
      <c r="VA431" s="4"/>
      <c r="VB431" s="8">
        <v>38544</v>
      </c>
      <c r="VC431" s="4"/>
      <c r="VD431" s="5" t="s">
        <v>248</v>
      </c>
      <c r="VE431" s="6"/>
      <c r="VF431" s="4"/>
      <c r="VG431" s="4"/>
      <c r="VH431" s="4"/>
      <c r="VI431" s="4"/>
      <c r="VJ431" s="4"/>
      <c r="VK431" s="5"/>
      <c r="VL431" s="6" t="s">
        <v>2602</v>
      </c>
      <c r="VM431" s="4" t="s">
        <v>2602</v>
      </c>
      <c r="VN431" s="4"/>
      <c r="VO431" s="4" t="s">
        <v>3027</v>
      </c>
      <c r="VP431" s="8">
        <v>38574</v>
      </c>
      <c r="VQ431" s="8">
        <v>38574</v>
      </c>
      <c r="VR431" s="5" t="s">
        <v>249</v>
      </c>
      <c r="VS431" s="6"/>
      <c r="VT431" s="4"/>
      <c r="VU431" s="4"/>
      <c r="VV431" s="4"/>
      <c r="VW431" s="4"/>
      <c r="VX431" s="4"/>
      <c r="VY431" s="5"/>
      <c r="VZ431" s="6" t="s">
        <v>1561</v>
      </c>
      <c r="WA431" s="4" t="s">
        <v>569</v>
      </c>
      <c r="WB431" s="4" t="s">
        <v>514</v>
      </c>
      <c r="WC431" s="4"/>
      <c r="WD431" s="8">
        <v>38544</v>
      </c>
      <c r="WE431" s="7" t="s">
        <v>252</v>
      </c>
      <c r="WF431" s="5"/>
      <c r="WG431" s="6"/>
      <c r="WH431" s="4"/>
      <c r="WI431" s="4"/>
      <c r="WJ431" s="4"/>
      <c r="WK431" s="4"/>
      <c r="WL431" s="4"/>
      <c r="WM431" s="5"/>
      <c r="WN431" s="6"/>
      <c r="WO431" s="4"/>
      <c r="WP431" s="4"/>
      <c r="WQ431" s="4"/>
      <c r="WR431" s="4"/>
      <c r="WS431" s="4"/>
      <c r="WT431" s="5"/>
      <c r="WU431" s="6"/>
      <c r="WV431" s="4"/>
      <c r="WW431" s="4"/>
      <c r="WX431" s="4"/>
      <c r="WY431" s="4"/>
      <c r="WZ431" s="4"/>
      <c r="XA431" s="5"/>
      <c r="XB431" s="6"/>
      <c r="XC431" s="4"/>
      <c r="XD431" s="4"/>
      <c r="XE431" s="4"/>
      <c r="XF431" s="4"/>
      <c r="XG431" s="4"/>
      <c r="XH431" s="5"/>
      <c r="XI431" s="6"/>
      <c r="XJ431" s="4"/>
      <c r="XK431" s="4"/>
      <c r="XL431" s="4"/>
      <c r="XM431" s="4"/>
      <c r="XN431" s="4"/>
      <c r="XO431" s="5"/>
      <c r="XP431" s="6"/>
      <c r="XQ431" s="4"/>
      <c r="XR431" s="4"/>
      <c r="XS431" s="4"/>
      <c r="XT431" s="4"/>
      <c r="XU431" s="4"/>
      <c r="XV431" s="5"/>
      <c r="XW431" s="6"/>
      <c r="XX431" s="4"/>
      <c r="XY431" s="4"/>
      <c r="XZ431" s="4"/>
      <c r="YA431" s="4"/>
      <c r="YB431" s="4"/>
      <c r="YC431" s="5"/>
      <c r="YD431" s="6"/>
      <c r="YE431" s="4"/>
      <c r="YF431" s="4"/>
      <c r="YG431" s="4"/>
      <c r="YH431" s="4"/>
      <c r="YI431" s="4"/>
      <c r="YJ431" s="5"/>
      <c r="YK431" s="6" t="s">
        <v>904</v>
      </c>
      <c r="YL431" s="4" t="s">
        <v>905</v>
      </c>
      <c r="YM431" s="4"/>
      <c r="YN431" s="4"/>
      <c r="YO431" s="8">
        <v>38558</v>
      </c>
      <c r="YP431" s="4"/>
      <c r="YQ431" s="5" t="s">
        <v>197</v>
      </c>
      <c r="YR431" s="6"/>
      <c r="YS431" s="4"/>
      <c r="YT431" s="4"/>
      <c r="YU431" s="4"/>
      <c r="YV431" s="4"/>
      <c r="YW431" s="4"/>
      <c r="YX431" s="5"/>
      <c r="YY431" s="6"/>
      <c r="YZ431" s="4"/>
      <c r="ZA431" s="4"/>
      <c r="ZB431" s="4"/>
      <c r="ZC431" s="4"/>
      <c r="ZD431" s="4"/>
      <c r="ZE431" s="5"/>
      <c r="ZF431" s="6"/>
      <c r="ZG431" s="4"/>
      <c r="ZH431" s="4"/>
      <c r="ZI431" s="4"/>
      <c r="ZJ431" s="4"/>
      <c r="ZK431" s="4"/>
      <c r="ZL431" s="5"/>
      <c r="ZM431" s="6" t="s">
        <v>2979</v>
      </c>
      <c r="ZN431" s="4" t="s">
        <v>1013</v>
      </c>
      <c r="ZO431" s="4"/>
      <c r="ZP431" s="4"/>
      <c r="ZQ431" s="8">
        <v>38558</v>
      </c>
      <c r="ZR431" s="4"/>
      <c r="ZS431" s="5" t="s">
        <v>360</v>
      </c>
      <c r="ZT431" s="6"/>
      <c r="ZU431" s="4"/>
      <c r="ZV431" s="4"/>
      <c r="ZW431" s="4"/>
      <c r="ZX431" s="4"/>
      <c r="ZY431" s="4"/>
      <c r="ZZ431" s="5"/>
      <c r="AAA431" s="6"/>
      <c r="AAB431" s="4"/>
      <c r="AAC431" s="4"/>
      <c r="AAD431" s="4"/>
      <c r="AAE431" s="4"/>
      <c r="AAF431" s="4"/>
      <c r="AAG431" s="5"/>
      <c r="AAH431" s="6"/>
      <c r="AAI431" s="4"/>
      <c r="AAJ431" s="4"/>
      <c r="AAK431" s="4"/>
      <c r="AAL431" s="4"/>
      <c r="AAM431" s="4"/>
      <c r="AAN431" s="5"/>
      <c r="AAO431" s="6"/>
      <c r="AAP431" s="4"/>
      <c r="AAQ431" s="4"/>
      <c r="AAR431" s="4"/>
      <c r="AAS431" s="4"/>
      <c r="AAT431" s="4"/>
      <c r="AAU431" s="5"/>
      <c r="AAV431" s="6"/>
      <c r="AAW431" s="4"/>
      <c r="AAX431" s="4"/>
      <c r="AAY431" s="4"/>
      <c r="AAZ431" s="4"/>
      <c r="ABA431" s="4"/>
      <c r="ABB431" s="5"/>
      <c r="ABC431" s="6"/>
      <c r="ABD431" s="4"/>
      <c r="ABE431" s="4"/>
      <c r="ABF431" s="4"/>
      <c r="ABG431" s="4"/>
      <c r="ABH431" s="4"/>
      <c r="ABI431" s="5"/>
      <c r="ABJ431" s="6" t="s">
        <v>901</v>
      </c>
      <c r="ABK431" s="4" t="s">
        <v>902</v>
      </c>
      <c r="ABL431" s="4" t="s">
        <v>2987</v>
      </c>
      <c r="ABM431" s="4"/>
      <c r="ABN431" s="8">
        <v>38544</v>
      </c>
      <c r="ABO431" s="4"/>
      <c r="ABP431" s="5" t="s">
        <v>349</v>
      </c>
      <c r="ABQ431" s="6"/>
      <c r="ABR431" s="4"/>
      <c r="ABS431" s="4"/>
      <c r="ABT431" s="4"/>
      <c r="ABU431" s="4"/>
      <c r="ABV431" s="4"/>
      <c r="ABW431" s="5"/>
      <c r="ABX431" s="6"/>
      <c r="ABY431" s="4"/>
      <c r="ABZ431" s="4"/>
      <c r="ACA431" s="4"/>
      <c r="ACB431" s="4"/>
      <c r="ACC431" s="4"/>
      <c r="ACD431" s="5"/>
      <c r="ACE431" s="6"/>
      <c r="ACF431" s="4"/>
      <c r="ACG431" s="4"/>
      <c r="ACH431" s="4"/>
      <c r="ACI431" s="4"/>
      <c r="ACJ431" s="4"/>
      <c r="ACK431" s="5"/>
      <c r="ACL431" s="6"/>
      <c r="ACM431" s="4"/>
      <c r="ACN431" s="4"/>
      <c r="ACO431" s="4"/>
      <c r="ACP431" s="4"/>
      <c r="ACQ431" s="4"/>
      <c r="ACR431" s="5"/>
      <c r="ACS431" s="6"/>
      <c r="ACT431" s="4"/>
      <c r="ACU431" s="4"/>
      <c r="ACV431" s="4"/>
      <c r="ACW431" s="4"/>
      <c r="ACX431" s="4"/>
      <c r="ACY431" s="5"/>
    </row>
    <row r="432" spans="2:816" x14ac:dyDescent="0.25">
      <c r="B432" s="30"/>
      <c r="J432" s="12"/>
      <c r="K432" s="12"/>
      <c r="L432" s="12"/>
      <c r="LL432" s="6"/>
      <c r="LM432" s="4"/>
      <c r="LN432" s="4"/>
      <c r="LO432" s="4"/>
      <c r="LP432" s="4"/>
      <c r="LQ432" s="4"/>
      <c r="LR432" s="5"/>
      <c r="LS432" s="6"/>
      <c r="LT432" s="4"/>
      <c r="LU432" s="4"/>
      <c r="LV432" s="4"/>
      <c r="LW432" s="4"/>
      <c r="LX432" s="4"/>
      <c r="LY432" s="5"/>
      <c r="LZ432" s="6" t="s">
        <v>515</v>
      </c>
      <c r="MA432" s="7" t="s">
        <v>516</v>
      </c>
      <c r="MB432" s="4"/>
      <c r="MC432" s="4" t="s">
        <v>3027</v>
      </c>
      <c r="MD432" s="8">
        <v>38558</v>
      </c>
      <c r="ME432" s="8">
        <v>38558</v>
      </c>
      <c r="MF432" s="8"/>
      <c r="MG432" s="5" t="s">
        <v>383</v>
      </c>
      <c r="MH432" s="6"/>
      <c r="MI432" s="4"/>
      <c r="MJ432" s="4"/>
      <c r="MK432" s="4"/>
      <c r="ML432" s="4"/>
      <c r="MM432" s="4"/>
      <c r="MN432" s="5"/>
      <c r="MO432" s="6"/>
      <c r="MP432" s="4"/>
      <c r="MQ432" s="4"/>
      <c r="MR432" s="4"/>
      <c r="MS432" s="4"/>
      <c r="MT432" s="4"/>
      <c r="MU432" s="5"/>
      <c r="MV432" s="6"/>
      <c r="MW432" s="4"/>
      <c r="MX432" s="4"/>
      <c r="MY432" s="4"/>
      <c r="MZ432" s="8"/>
      <c r="NA432" s="4"/>
      <c r="NB432" s="5"/>
      <c r="NC432" s="6"/>
      <c r="ND432" s="4"/>
      <c r="NE432" s="4"/>
      <c r="NF432" s="4"/>
      <c r="NG432" s="4"/>
      <c r="NH432" s="4"/>
      <c r="NI432" s="5"/>
      <c r="NJ432" s="6"/>
      <c r="NK432" s="4"/>
      <c r="NL432" s="4"/>
      <c r="NM432" s="4"/>
      <c r="NN432" s="4"/>
      <c r="NO432" s="4"/>
      <c r="NP432" s="5"/>
      <c r="NQ432" s="6"/>
      <c r="NR432" s="4"/>
      <c r="NS432" s="4"/>
      <c r="NT432" s="4"/>
      <c r="NU432" s="4"/>
      <c r="NV432" s="4"/>
      <c r="NW432" s="5"/>
      <c r="NX432" s="6"/>
      <c r="NY432" s="4"/>
      <c r="NZ432" s="4"/>
      <c r="OA432" s="4"/>
      <c r="OB432" s="4"/>
      <c r="OC432" s="4"/>
      <c r="OD432" s="5"/>
      <c r="OE432" s="6"/>
      <c r="OF432" s="4"/>
      <c r="OG432" s="4"/>
      <c r="OH432" s="4"/>
      <c r="OI432" s="4"/>
      <c r="OJ432" s="4"/>
      <c r="OK432" s="5"/>
      <c r="OL432" s="6"/>
      <c r="OM432" s="4"/>
      <c r="ON432" s="4"/>
      <c r="OO432" s="4"/>
      <c r="OP432" s="4"/>
      <c r="OQ432" s="4"/>
      <c r="OR432" s="5"/>
      <c r="OS432" s="6"/>
      <c r="OT432" s="4"/>
      <c r="OU432" s="4"/>
      <c r="OV432" s="4"/>
      <c r="OW432" s="4"/>
      <c r="OX432" s="4"/>
      <c r="OY432" s="5"/>
      <c r="OZ432" s="6"/>
      <c r="PA432" s="4"/>
      <c r="PB432" s="4"/>
      <c r="PC432" s="4"/>
      <c r="PD432" s="4"/>
      <c r="PE432" s="4"/>
      <c r="PF432" s="5"/>
      <c r="PG432" s="6"/>
      <c r="PH432" s="4"/>
      <c r="PI432" s="4"/>
      <c r="PJ432" s="4"/>
      <c r="PK432" s="4"/>
      <c r="PL432" s="4"/>
      <c r="PM432" s="5"/>
      <c r="PN432" s="6"/>
      <c r="PO432" s="4"/>
      <c r="PP432" s="4"/>
      <c r="PQ432" s="4"/>
      <c r="PR432" s="4"/>
      <c r="PS432" s="4"/>
      <c r="PT432" s="5"/>
      <c r="PU432" s="6"/>
      <c r="PV432" s="4"/>
      <c r="PW432" s="4"/>
      <c r="PX432" s="4"/>
      <c r="PY432" s="4"/>
      <c r="PZ432" s="4"/>
      <c r="QA432" s="5"/>
      <c r="QB432" s="6"/>
      <c r="QC432" s="4"/>
      <c r="QD432" s="4"/>
      <c r="QE432" s="4"/>
      <c r="QF432" s="4"/>
      <c r="QG432" s="4"/>
      <c r="QH432" s="5"/>
      <c r="QI432" s="6"/>
      <c r="QJ432" s="4"/>
      <c r="QK432" s="4"/>
      <c r="QL432" s="4"/>
      <c r="QM432" s="4"/>
      <c r="QN432" s="4"/>
      <c r="QO432" s="5"/>
      <c r="QP432" s="6"/>
      <c r="QQ432" s="4"/>
      <c r="QR432" s="4"/>
      <c r="QS432" s="4"/>
      <c r="QT432" s="4"/>
      <c r="QU432" s="4"/>
      <c r="QV432" s="5"/>
      <c r="QW432" s="6"/>
      <c r="QX432" s="4"/>
      <c r="QY432" s="4"/>
      <c r="QZ432" s="4"/>
      <c r="RA432" s="4"/>
      <c r="RB432" s="4"/>
      <c r="RC432" s="5"/>
      <c r="RD432" s="6"/>
      <c r="RE432" s="4"/>
      <c r="RF432" s="4"/>
      <c r="RG432" s="4"/>
      <c r="RH432" s="4"/>
      <c r="RI432" s="4"/>
      <c r="RJ432" s="5"/>
      <c r="RK432" s="6"/>
      <c r="RL432" s="4"/>
      <c r="RM432" s="4"/>
      <c r="RN432" s="4"/>
      <c r="RO432" s="4"/>
      <c r="RP432" s="4"/>
      <c r="RQ432" s="5"/>
      <c r="RR432" s="6"/>
      <c r="RS432" s="4"/>
      <c r="RT432" s="4"/>
      <c r="RU432" s="4"/>
      <c r="RV432" s="4"/>
      <c r="RW432" s="4"/>
      <c r="RX432" s="5"/>
      <c r="RY432" s="6"/>
      <c r="RZ432" s="4"/>
      <c r="SA432" s="4"/>
      <c r="SB432" s="4"/>
      <c r="SC432" s="4"/>
      <c r="SD432" s="4"/>
      <c r="SE432" s="5"/>
      <c r="SF432" s="6"/>
      <c r="SG432" s="4"/>
      <c r="SH432" s="4"/>
      <c r="SI432" s="4"/>
      <c r="SJ432" s="4"/>
      <c r="SK432" s="4"/>
      <c r="SL432" s="5"/>
      <c r="SM432" s="6"/>
      <c r="SN432" s="4"/>
      <c r="SO432" s="4"/>
      <c r="SP432" s="4"/>
      <c r="SQ432" s="4"/>
      <c r="SR432" s="4"/>
      <c r="SS432" s="5"/>
      <c r="ST432" s="6"/>
      <c r="SU432" s="4"/>
      <c r="SV432" s="4"/>
      <c r="SW432" s="4"/>
      <c r="SX432" s="4"/>
      <c r="SY432" s="4"/>
      <c r="SZ432" s="5"/>
      <c r="TA432" s="6"/>
      <c r="TB432" s="4"/>
      <c r="TC432" s="4"/>
      <c r="TD432" s="4"/>
      <c r="TE432" s="4"/>
      <c r="TF432" s="4"/>
      <c r="TG432" s="5"/>
      <c r="TH432" s="6"/>
      <c r="TI432" s="4"/>
      <c r="TJ432" s="4"/>
      <c r="TK432" s="4"/>
      <c r="TL432" s="4"/>
      <c r="TM432" s="4"/>
      <c r="TN432" s="5"/>
      <c r="TO432" s="6"/>
      <c r="TP432" s="4"/>
      <c r="TQ432" s="4"/>
      <c r="TR432" s="4"/>
      <c r="TS432" s="4"/>
      <c r="TT432" s="4"/>
      <c r="TU432" s="5"/>
      <c r="TV432" s="6"/>
      <c r="TW432" s="4"/>
      <c r="TX432" s="4"/>
      <c r="TY432" s="4"/>
      <c r="TZ432" s="4"/>
      <c r="UA432" s="4"/>
      <c r="UB432" s="5"/>
      <c r="UC432" s="6"/>
      <c r="UD432" s="4"/>
      <c r="UE432" s="4"/>
      <c r="UF432" s="4"/>
      <c r="UG432" s="4"/>
      <c r="UH432" s="4"/>
      <c r="UI432" s="5"/>
      <c r="UJ432" s="6"/>
      <c r="UK432" s="4"/>
      <c r="UL432" s="4"/>
      <c r="UM432" s="4"/>
      <c r="UN432" s="4"/>
      <c r="UO432" s="4"/>
      <c r="UP432" s="5"/>
      <c r="UQ432" s="6"/>
      <c r="UR432" s="4"/>
      <c r="US432" s="4"/>
      <c r="UT432" s="4"/>
      <c r="UU432" s="4"/>
      <c r="UV432" s="4"/>
      <c r="UW432" s="5"/>
      <c r="UX432" s="6" t="s">
        <v>2641</v>
      </c>
      <c r="UY432" s="4" t="s">
        <v>2738</v>
      </c>
      <c r="UZ432" s="4"/>
      <c r="VA432" s="4"/>
      <c r="VB432" s="8">
        <v>38569</v>
      </c>
      <c r="VC432" s="4"/>
      <c r="VD432" s="5" t="s">
        <v>248</v>
      </c>
      <c r="VE432" s="6"/>
      <c r="VF432" s="4"/>
      <c r="VG432" s="4"/>
      <c r="VH432" s="4"/>
      <c r="VI432" s="4"/>
      <c r="VJ432" s="4"/>
      <c r="VK432" s="5"/>
      <c r="VL432" s="6" t="s">
        <v>517</v>
      </c>
      <c r="VM432" s="4" t="s">
        <v>391</v>
      </c>
      <c r="VN432" s="4" t="s">
        <v>392</v>
      </c>
      <c r="VO432" s="7" t="s">
        <v>3027</v>
      </c>
      <c r="VP432" s="8">
        <v>38555</v>
      </c>
      <c r="VQ432" s="8">
        <v>38555</v>
      </c>
      <c r="VR432" s="5" t="s">
        <v>250</v>
      </c>
      <c r="VS432" s="6"/>
      <c r="VT432" s="4"/>
      <c r="VU432" s="4"/>
      <c r="VV432" s="4"/>
      <c r="VW432" s="4"/>
      <c r="VX432" s="4"/>
      <c r="VY432" s="5"/>
      <c r="VZ432" s="6"/>
      <c r="WA432" s="4"/>
      <c r="WB432" s="4"/>
      <c r="WC432" s="4"/>
      <c r="WD432" s="4"/>
      <c r="WE432" s="4"/>
      <c r="WF432" s="5"/>
      <c r="WG432" s="6"/>
      <c r="WH432" s="4"/>
      <c r="WI432" s="4"/>
      <c r="WJ432" s="4"/>
      <c r="WK432" s="4"/>
      <c r="WL432" s="4"/>
      <c r="WM432" s="5"/>
      <c r="WN432" s="6"/>
      <c r="WO432" s="4"/>
      <c r="WP432" s="4"/>
      <c r="WQ432" s="4"/>
      <c r="WR432" s="4"/>
      <c r="WS432" s="4"/>
      <c r="WT432" s="5"/>
      <c r="WU432" s="6"/>
      <c r="WV432" s="4"/>
      <c r="WW432" s="4"/>
      <c r="WX432" s="4"/>
      <c r="WY432" s="4"/>
      <c r="WZ432" s="4"/>
      <c r="XA432" s="5"/>
      <c r="XB432" s="6"/>
      <c r="XC432" s="4"/>
      <c r="XD432" s="4"/>
      <c r="XE432" s="4"/>
      <c r="XF432" s="4"/>
      <c r="XG432" s="4"/>
      <c r="XH432" s="5"/>
      <c r="XI432" s="6"/>
      <c r="XJ432" s="4"/>
      <c r="XK432" s="4"/>
      <c r="XL432" s="4"/>
      <c r="XM432" s="4"/>
      <c r="XN432" s="4"/>
      <c r="XO432" s="5"/>
      <c r="XP432" s="6"/>
      <c r="XQ432" s="4"/>
      <c r="XR432" s="4"/>
      <c r="XS432" s="4"/>
      <c r="XT432" s="4"/>
      <c r="XU432" s="4"/>
      <c r="XV432" s="5"/>
      <c r="XW432" s="6"/>
      <c r="XX432" s="4"/>
      <c r="XY432" s="4"/>
      <c r="XZ432" s="4"/>
      <c r="YA432" s="4"/>
      <c r="YB432" s="4"/>
      <c r="YC432" s="5"/>
      <c r="YD432" s="6"/>
      <c r="YE432" s="4"/>
      <c r="YF432" s="4"/>
      <c r="YG432" s="4"/>
      <c r="YH432" s="4"/>
      <c r="YI432" s="4"/>
      <c r="YJ432" s="5"/>
      <c r="YK432" s="6"/>
      <c r="YL432" s="4"/>
      <c r="YM432" s="4"/>
      <c r="YN432" s="4"/>
      <c r="YO432" s="4"/>
      <c r="YP432" s="4"/>
      <c r="YQ432" s="5"/>
      <c r="YR432" s="6"/>
      <c r="YS432" s="4"/>
      <c r="YT432" s="4"/>
      <c r="YU432" s="4"/>
      <c r="YV432" s="4"/>
      <c r="YW432" s="4"/>
      <c r="YX432" s="5"/>
      <c r="YY432" s="6"/>
      <c r="YZ432" s="4"/>
      <c r="ZA432" s="4"/>
      <c r="ZB432" s="4"/>
      <c r="ZC432" s="4"/>
      <c r="ZD432" s="4"/>
      <c r="ZE432" s="5"/>
      <c r="ZF432" s="6"/>
      <c r="ZG432" s="4"/>
      <c r="ZH432" s="4"/>
      <c r="ZI432" s="4"/>
      <c r="ZJ432" s="4"/>
      <c r="ZK432" s="4"/>
      <c r="ZL432" s="5"/>
      <c r="ZM432" s="6"/>
      <c r="ZN432" s="4"/>
      <c r="ZO432" s="4"/>
      <c r="ZP432" s="4"/>
      <c r="ZQ432" s="4"/>
      <c r="ZR432" s="4"/>
      <c r="ZS432" s="5"/>
      <c r="ZT432" s="6"/>
      <c r="ZU432" s="4"/>
      <c r="ZV432" s="4"/>
      <c r="ZW432" s="4"/>
      <c r="ZX432" s="4"/>
      <c r="ZY432" s="4"/>
      <c r="ZZ432" s="5"/>
      <c r="AAA432" s="6"/>
      <c r="AAB432" s="4"/>
      <c r="AAC432" s="4"/>
      <c r="AAD432" s="4"/>
      <c r="AAE432" s="4"/>
      <c r="AAF432" s="4"/>
      <c r="AAG432" s="5"/>
      <c r="AAH432" s="6"/>
      <c r="AAI432" s="4"/>
      <c r="AAJ432" s="4"/>
      <c r="AAK432" s="4"/>
      <c r="AAL432" s="4"/>
      <c r="AAM432" s="4"/>
      <c r="AAN432" s="5"/>
      <c r="AAO432" s="6"/>
      <c r="AAP432" s="4"/>
      <c r="AAQ432" s="4"/>
      <c r="AAR432" s="4"/>
      <c r="AAS432" s="4"/>
      <c r="AAT432" s="4"/>
      <c r="AAU432" s="5"/>
      <c r="AAV432" s="6"/>
      <c r="AAW432" s="4"/>
      <c r="AAX432" s="4"/>
      <c r="AAY432" s="4"/>
      <c r="AAZ432" s="4"/>
      <c r="ABA432" s="4"/>
      <c r="ABB432" s="5"/>
      <c r="ABC432" s="6"/>
      <c r="ABD432" s="4"/>
      <c r="ABE432" s="4"/>
      <c r="ABF432" s="4"/>
      <c r="ABG432" s="4"/>
      <c r="ABH432" s="4"/>
      <c r="ABI432" s="5"/>
      <c r="ABJ432" s="6"/>
      <c r="ABK432" s="4"/>
      <c r="ABL432" s="4"/>
      <c r="ABM432" s="4"/>
      <c r="ABN432" s="4"/>
      <c r="ABO432" s="4"/>
      <c r="ABP432" s="5"/>
      <c r="ABQ432" s="6"/>
      <c r="ABR432" s="4"/>
      <c r="ABS432" s="4"/>
      <c r="ABT432" s="4"/>
      <c r="ABU432" s="4"/>
      <c r="ABV432" s="4"/>
      <c r="ABW432" s="5"/>
      <c r="ABX432" s="6"/>
      <c r="ABY432" s="4"/>
      <c r="ABZ432" s="4"/>
      <c r="ACA432" s="4"/>
      <c r="ACB432" s="4"/>
      <c r="ACC432" s="4"/>
      <c r="ACD432" s="5"/>
      <c r="ACE432" s="6"/>
      <c r="ACF432" s="4"/>
      <c r="ACG432" s="4"/>
      <c r="ACH432" s="4"/>
      <c r="ACI432" s="4"/>
      <c r="ACJ432" s="4"/>
      <c r="ACK432" s="5"/>
      <c r="ACL432" s="6"/>
      <c r="ACM432" s="4"/>
      <c r="ACN432" s="4"/>
      <c r="ACO432" s="4"/>
      <c r="ACP432" s="4"/>
      <c r="ACQ432" s="4"/>
      <c r="ACR432" s="5"/>
      <c r="ACS432" s="6"/>
      <c r="ACT432" s="4"/>
      <c r="ACU432" s="4"/>
      <c r="ACV432" s="4"/>
      <c r="ACW432" s="4"/>
      <c r="ACX432" s="4"/>
      <c r="ACY432" s="5"/>
    </row>
    <row r="433" spans="2:804" x14ac:dyDescent="0.25">
      <c r="B433" s="30"/>
      <c r="J433" s="12"/>
      <c r="K433" s="12"/>
      <c r="L433" s="12"/>
      <c r="LL433" s="6"/>
      <c r="LM433" s="4"/>
      <c r="LN433" s="4"/>
      <c r="LO433" s="4"/>
      <c r="LP433" s="4"/>
      <c r="LQ433" s="4"/>
      <c r="LR433" s="5"/>
      <c r="LS433" s="6"/>
      <c r="LT433" s="4"/>
      <c r="LU433" s="4"/>
      <c r="LV433" s="4"/>
      <c r="LW433" s="4"/>
      <c r="LX433" s="4"/>
      <c r="LY433" s="5"/>
      <c r="LZ433" s="6" t="s">
        <v>393</v>
      </c>
      <c r="MA433" s="7" t="s">
        <v>394</v>
      </c>
      <c r="MB433" s="4" t="s">
        <v>595</v>
      </c>
      <c r="MC433" s="4"/>
      <c r="MD433" s="8">
        <v>38569</v>
      </c>
      <c r="ME433" s="8"/>
      <c r="MF433" s="8"/>
      <c r="MG433" s="5" t="s">
        <v>437</v>
      </c>
      <c r="MH433" s="6"/>
      <c r="MI433" s="4"/>
      <c r="MJ433" s="4"/>
      <c r="MK433" s="4"/>
      <c r="ML433" s="4"/>
      <c r="MM433" s="4"/>
      <c r="MN433" s="5"/>
      <c r="MO433" s="6"/>
      <c r="MP433" s="4"/>
      <c r="MQ433" s="4"/>
      <c r="MR433" s="4"/>
      <c r="MS433" s="4"/>
      <c r="MT433" s="4"/>
      <c r="MU433" s="5"/>
      <c r="MV433" s="6"/>
      <c r="MW433" s="4"/>
      <c r="MX433" s="4"/>
      <c r="MY433" s="4"/>
      <c r="MZ433" s="8"/>
      <c r="NA433" s="4"/>
      <c r="NB433" s="5"/>
      <c r="NC433" s="6"/>
      <c r="ND433" s="4"/>
      <c r="NE433" s="4"/>
      <c r="NF433" s="4"/>
      <c r="NG433" s="4"/>
      <c r="NH433" s="4"/>
      <c r="NI433" s="5"/>
      <c r="NJ433" s="6"/>
      <c r="NK433" s="4"/>
      <c r="NL433" s="4"/>
      <c r="NM433" s="4"/>
      <c r="NN433" s="4"/>
      <c r="NO433" s="4"/>
      <c r="NP433" s="5"/>
      <c r="NQ433" s="6"/>
      <c r="NR433" s="4"/>
      <c r="NS433" s="4"/>
      <c r="NT433" s="4"/>
      <c r="NU433" s="4"/>
      <c r="NV433" s="4"/>
      <c r="NW433" s="5"/>
      <c r="NX433" s="6"/>
      <c r="NY433" s="4"/>
      <c r="NZ433" s="4"/>
      <c r="OA433" s="4"/>
      <c r="OB433" s="4"/>
      <c r="OC433" s="4"/>
      <c r="OD433" s="5"/>
      <c r="OE433" s="6"/>
      <c r="OF433" s="4"/>
      <c r="OG433" s="4"/>
      <c r="OH433" s="4"/>
      <c r="OI433" s="4"/>
      <c r="OJ433" s="4"/>
      <c r="OK433" s="5"/>
      <c r="OL433" s="6"/>
      <c r="OM433" s="4"/>
      <c r="ON433" s="4"/>
      <c r="OO433" s="4"/>
      <c r="OP433" s="4"/>
      <c r="OQ433" s="4"/>
      <c r="OR433" s="5"/>
      <c r="OS433" s="6"/>
      <c r="OT433" s="4"/>
      <c r="OU433" s="4"/>
      <c r="OV433" s="4"/>
      <c r="OW433" s="4"/>
      <c r="OX433" s="4"/>
      <c r="OY433" s="5"/>
      <c r="OZ433" s="6"/>
      <c r="PA433" s="4"/>
      <c r="PB433" s="4"/>
      <c r="PC433" s="4"/>
      <c r="PD433" s="4"/>
      <c r="PE433" s="4"/>
      <c r="PF433" s="5"/>
      <c r="PG433" s="6"/>
      <c r="PH433" s="4"/>
      <c r="PI433" s="4"/>
      <c r="PJ433" s="4"/>
      <c r="PK433" s="4"/>
      <c r="PL433" s="4"/>
      <c r="PM433" s="5"/>
      <c r="PN433" s="6"/>
      <c r="PO433" s="4"/>
      <c r="PP433" s="4"/>
      <c r="PQ433" s="4"/>
      <c r="PR433" s="4"/>
      <c r="PS433" s="4"/>
      <c r="PT433" s="5"/>
      <c r="PU433" s="6"/>
      <c r="PV433" s="4"/>
      <c r="PW433" s="4"/>
      <c r="PX433" s="4"/>
      <c r="PY433" s="4"/>
      <c r="PZ433" s="4"/>
      <c r="QA433" s="5"/>
      <c r="QB433" s="6"/>
      <c r="QC433" s="4"/>
      <c r="QD433" s="4"/>
      <c r="QE433" s="4"/>
      <c r="QF433" s="4"/>
      <c r="QG433" s="4"/>
      <c r="QH433" s="5"/>
      <c r="QI433" s="6"/>
      <c r="QJ433" s="4"/>
      <c r="QK433" s="4"/>
      <c r="QL433" s="4"/>
      <c r="QM433" s="4"/>
      <c r="QN433" s="4"/>
      <c r="QO433" s="5"/>
      <c r="QP433" s="6"/>
      <c r="QQ433" s="4"/>
      <c r="QR433" s="4"/>
      <c r="QS433" s="4"/>
      <c r="QT433" s="4"/>
      <c r="QU433" s="4"/>
      <c r="QV433" s="5"/>
      <c r="QW433" s="6"/>
      <c r="QX433" s="4"/>
      <c r="QY433" s="4"/>
      <c r="QZ433" s="4"/>
      <c r="RA433" s="4"/>
      <c r="RB433" s="4"/>
      <c r="RC433" s="5"/>
      <c r="RD433" s="6"/>
      <c r="RE433" s="4"/>
      <c r="RF433" s="4"/>
      <c r="RG433" s="4"/>
      <c r="RH433" s="4"/>
      <c r="RI433" s="4"/>
      <c r="RJ433" s="5"/>
      <c r="RK433" s="6"/>
      <c r="RL433" s="4"/>
      <c r="RM433" s="4"/>
      <c r="RN433" s="4"/>
      <c r="RO433" s="4"/>
      <c r="RP433" s="4"/>
      <c r="RQ433" s="5"/>
      <c r="RR433" s="6"/>
      <c r="RS433" s="4"/>
      <c r="RT433" s="4"/>
      <c r="RU433" s="4"/>
      <c r="RV433" s="4"/>
      <c r="RW433" s="4"/>
      <c r="RX433" s="5"/>
      <c r="RY433" s="6"/>
      <c r="RZ433" s="4"/>
      <c r="SA433" s="4"/>
      <c r="SB433" s="4"/>
      <c r="SC433" s="4"/>
      <c r="SD433" s="4"/>
      <c r="SE433" s="5"/>
      <c r="SF433" s="6"/>
      <c r="SG433" s="4"/>
      <c r="SH433" s="4"/>
      <c r="SI433" s="4"/>
      <c r="SJ433" s="4"/>
      <c r="SK433" s="4"/>
      <c r="SL433" s="5"/>
      <c r="SM433" s="6"/>
      <c r="SN433" s="4"/>
      <c r="SO433" s="4"/>
      <c r="SP433" s="4"/>
      <c r="SQ433" s="4"/>
      <c r="SR433" s="4"/>
      <c r="SS433" s="5"/>
      <c r="ST433" s="6"/>
      <c r="SU433" s="4"/>
      <c r="SV433" s="4"/>
      <c r="SW433" s="4"/>
      <c r="SX433" s="4"/>
      <c r="SY433" s="4"/>
      <c r="SZ433" s="5"/>
      <c r="TA433" s="6"/>
      <c r="TB433" s="4"/>
      <c r="TC433" s="4"/>
      <c r="TD433" s="4"/>
      <c r="TE433" s="4"/>
      <c r="TF433" s="4"/>
      <c r="TG433" s="5"/>
      <c r="TH433" s="6"/>
      <c r="TI433" s="4"/>
      <c r="TJ433" s="4"/>
      <c r="TK433" s="4"/>
      <c r="TL433" s="4"/>
      <c r="TM433" s="4"/>
      <c r="TN433" s="5"/>
      <c r="TO433" s="6"/>
      <c r="TP433" s="4"/>
      <c r="TQ433" s="4"/>
      <c r="TR433" s="4"/>
      <c r="TS433" s="4"/>
      <c r="TT433" s="4"/>
      <c r="TU433" s="5"/>
      <c r="TV433" s="6"/>
      <c r="TW433" s="4"/>
      <c r="TX433" s="4"/>
      <c r="TY433" s="4"/>
      <c r="TZ433" s="4"/>
      <c r="UA433" s="4"/>
      <c r="UB433" s="5"/>
      <c r="UC433" s="6"/>
      <c r="UD433" s="4"/>
      <c r="UE433" s="4"/>
      <c r="UF433" s="4"/>
      <c r="UG433" s="4"/>
      <c r="UH433" s="4"/>
      <c r="UI433" s="5"/>
      <c r="UJ433" s="6"/>
      <c r="UK433" s="4"/>
      <c r="UL433" s="4"/>
      <c r="UM433" s="4"/>
      <c r="UN433" s="4"/>
      <c r="UO433" s="4"/>
      <c r="UP433" s="5"/>
      <c r="UQ433" s="6"/>
      <c r="UR433" s="4"/>
      <c r="US433" s="4"/>
      <c r="UT433" s="4"/>
      <c r="UU433" s="4"/>
      <c r="UV433" s="4"/>
      <c r="UW433" s="5"/>
      <c r="UX433" s="6" t="s">
        <v>750</v>
      </c>
      <c r="UY433" s="4" t="s">
        <v>751</v>
      </c>
      <c r="UZ433" s="4" t="s">
        <v>93</v>
      </c>
      <c r="VA433" s="4" t="s">
        <v>596</v>
      </c>
      <c r="VB433" s="8">
        <v>37895</v>
      </c>
      <c r="VC433" s="8">
        <v>38569</v>
      </c>
      <c r="VD433" s="5" t="s">
        <v>248</v>
      </c>
      <c r="VE433" s="6"/>
      <c r="VF433" s="4"/>
      <c r="VG433" s="4"/>
      <c r="VH433" s="4"/>
      <c r="VI433" s="4"/>
      <c r="VJ433" s="4"/>
      <c r="VK433" s="5"/>
      <c r="VL433" s="6" t="s">
        <v>517</v>
      </c>
      <c r="VM433" s="4" t="s">
        <v>391</v>
      </c>
      <c r="VN433" s="4" t="s">
        <v>597</v>
      </c>
      <c r="VO433" s="7" t="s">
        <v>3027</v>
      </c>
      <c r="VP433" s="8">
        <v>38562</v>
      </c>
      <c r="VQ433" s="8">
        <v>38562</v>
      </c>
      <c r="VR433" s="5"/>
      <c r="VS433" s="6"/>
      <c r="VT433" s="4"/>
      <c r="VU433" s="4"/>
      <c r="VV433" s="4"/>
      <c r="VW433" s="4"/>
      <c r="VX433" s="4"/>
      <c r="VY433" s="5"/>
      <c r="VZ433" s="6"/>
      <c r="WA433" s="4"/>
      <c r="WB433" s="4"/>
      <c r="WC433" s="4"/>
      <c r="WD433" s="4"/>
      <c r="WE433" s="4"/>
      <c r="WF433" s="5"/>
      <c r="WG433" s="6"/>
      <c r="WH433" s="4"/>
      <c r="WI433" s="4"/>
      <c r="WJ433" s="4"/>
      <c r="WK433" s="4"/>
      <c r="WL433" s="4"/>
      <c r="WM433" s="5"/>
      <c r="WN433" s="6"/>
      <c r="WO433" s="4"/>
      <c r="WP433" s="4"/>
      <c r="WQ433" s="4"/>
      <c r="WR433" s="4"/>
      <c r="WS433" s="4"/>
      <c r="WT433" s="5"/>
      <c r="WU433" s="6"/>
      <c r="WV433" s="4"/>
      <c r="WW433" s="4"/>
      <c r="WX433" s="4"/>
      <c r="WY433" s="4"/>
      <c r="WZ433" s="4"/>
      <c r="XA433" s="5"/>
      <c r="XB433" s="6"/>
      <c r="XC433" s="4"/>
      <c r="XD433" s="4"/>
      <c r="XE433" s="4"/>
      <c r="XF433" s="4"/>
      <c r="XG433" s="4"/>
      <c r="XH433" s="5"/>
      <c r="XI433" s="6"/>
      <c r="XJ433" s="4"/>
      <c r="XK433" s="4"/>
      <c r="XL433" s="4"/>
      <c r="XM433" s="4"/>
      <c r="XN433" s="4"/>
      <c r="XO433" s="5"/>
      <c r="XP433" s="6"/>
      <c r="XQ433" s="4"/>
      <c r="XR433" s="4"/>
      <c r="XS433" s="4"/>
      <c r="XT433" s="4"/>
      <c r="XU433" s="4"/>
      <c r="XV433" s="5"/>
      <c r="XW433" s="6"/>
      <c r="XX433" s="4"/>
      <c r="XY433" s="4"/>
      <c r="XZ433" s="4"/>
      <c r="YA433" s="4"/>
      <c r="YB433" s="4"/>
      <c r="YC433" s="5"/>
      <c r="YD433" s="6"/>
      <c r="YE433" s="4"/>
      <c r="YF433" s="4"/>
      <c r="YG433" s="4"/>
      <c r="YH433" s="4"/>
      <c r="YI433" s="4"/>
      <c r="YJ433" s="5"/>
      <c r="YK433" s="6"/>
      <c r="YL433" s="4"/>
      <c r="YM433" s="4"/>
      <c r="YN433" s="4"/>
      <c r="YO433" s="4"/>
      <c r="YP433" s="4"/>
      <c r="YQ433" s="5"/>
      <c r="YR433" s="6"/>
      <c r="YS433" s="4"/>
      <c r="YT433" s="4"/>
      <c r="YU433" s="4"/>
      <c r="YV433" s="4"/>
      <c r="YW433" s="4"/>
      <c r="YX433" s="5"/>
      <c r="YY433" s="6"/>
      <c r="YZ433" s="4"/>
      <c r="ZA433" s="4"/>
      <c r="ZB433" s="4"/>
      <c r="ZC433" s="4"/>
      <c r="ZD433" s="4"/>
      <c r="ZE433" s="5"/>
      <c r="ZF433" s="6"/>
      <c r="ZG433" s="4"/>
      <c r="ZH433" s="4"/>
      <c r="ZI433" s="4"/>
      <c r="ZJ433" s="4"/>
      <c r="ZK433" s="4"/>
      <c r="ZL433" s="5"/>
      <c r="ZM433" s="6"/>
      <c r="ZN433" s="4"/>
      <c r="ZO433" s="4"/>
      <c r="ZP433" s="4"/>
      <c r="ZQ433" s="4"/>
      <c r="ZR433" s="4"/>
      <c r="ZS433" s="5"/>
      <c r="ZT433" s="6"/>
      <c r="ZU433" s="4"/>
      <c r="ZV433" s="4"/>
      <c r="ZW433" s="4"/>
      <c r="ZX433" s="4"/>
      <c r="ZY433" s="4"/>
      <c r="ZZ433" s="5"/>
      <c r="AAA433" s="6"/>
      <c r="AAB433" s="4"/>
      <c r="AAC433" s="4"/>
      <c r="AAD433" s="4"/>
      <c r="AAE433" s="4"/>
      <c r="AAF433" s="4"/>
      <c r="AAG433" s="5"/>
      <c r="AAH433" s="6"/>
      <c r="AAI433" s="4"/>
      <c r="AAJ433" s="4"/>
      <c r="AAK433" s="4"/>
      <c r="AAL433" s="4"/>
      <c r="AAM433" s="4"/>
      <c r="AAN433" s="5"/>
      <c r="AAO433" s="6"/>
      <c r="AAP433" s="4"/>
      <c r="AAQ433" s="4"/>
      <c r="AAR433" s="4"/>
      <c r="AAS433" s="4"/>
      <c r="AAT433" s="4"/>
      <c r="AAU433" s="5"/>
      <c r="AAV433" s="6"/>
      <c r="AAW433" s="4"/>
      <c r="AAX433" s="4"/>
      <c r="AAY433" s="4"/>
      <c r="AAZ433" s="4"/>
      <c r="ABA433" s="4"/>
      <c r="ABB433" s="5"/>
      <c r="ABC433" s="6"/>
      <c r="ABD433" s="4"/>
      <c r="ABE433" s="4"/>
      <c r="ABF433" s="4"/>
      <c r="ABG433" s="4"/>
      <c r="ABH433" s="4"/>
      <c r="ABI433" s="5"/>
      <c r="ABJ433" s="6"/>
      <c r="ABK433" s="4"/>
      <c r="ABL433" s="4"/>
      <c r="ABM433" s="4"/>
      <c r="ABN433" s="4"/>
      <c r="ABO433" s="4"/>
      <c r="ABP433" s="5"/>
      <c r="ABQ433" s="6"/>
      <c r="ABR433" s="4"/>
      <c r="ABS433" s="4"/>
      <c r="ABT433" s="4"/>
      <c r="ABU433" s="4"/>
      <c r="ABV433" s="4"/>
      <c r="ABW433" s="5"/>
      <c r="ABX433" s="6"/>
      <c r="ABY433" s="4"/>
      <c r="ABZ433" s="4"/>
      <c r="ACA433" s="4"/>
      <c r="ACB433" s="4"/>
      <c r="ACC433" s="4"/>
      <c r="ACD433" s="5"/>
      <c r="ACE433" s="6"/>
      <c r="ACF433" s="4"/>
      <c r="ACG433" s="4"/>
      <c r="ACH433" s="4"/>
      <c r="ACI433" s="4"/>
      <c r="ACJ433" s="4"/>
      <c r="ACK433" s="5"/>
      <c r="ACL433" s="6"/>
      <c r="ACM433" s="4"/>
      <c r="ACN433" s="4"/>
      <c r="ACO433" s="4"/>
      <c r="ACP433" s="4"/>
      <c r="ACQ433" s="4"/>
      <c r="ACR433" s="5"/>
      <c r="ACS433" s="6"/>
      <c r="ACT433" s="4"/>
      <c r="ACU433" s="4"/>
      <c r="ACV433" s="4"/>
      <c r="ACW433" s="4"/>
      <c r="ACX433" s="4"/>
      <c r="ACY433" s="5"/>
    </row>
    <row r="434" spans="2:804" ht="15.95" customHeight="1" x14ac:dyDescent="0.25">
      <c r="B434" s="30"/>
      <c r="J434" s="12"/>
      <c r="K434" s="12"/>
      <c r="L434" s="12"/>
      <c r="LL434" s="6"/>
      <c r="LM434" s="4"/>
      <c r="LN434" s="4"/>
      <c r="LO434" s="4"/>
      <c r="LP434" s="4"/>
      <c r="LQ434" s="4"/>
      <c r="LR434" s="5"/>
      <c r="LS434" s="6"/>
      <c r="LT434" s="4"/>
      <c r="LU434" s="4"/>
      <c r="LV434" s="4"/>
      <c r="LW434" s="4"/>
      <c r="LX434" s="4"/>
      <c r="LY434" s="5"/>
      <c r="LZ434" s="6" t="s">
        <v>598</v>
      </c>
      <c r="MA434" s="7" t="s">
        <v>3103</v>
      </c>
      <c r="MB434" s="4" t="s">
        <v>4013</v>
      </c>
      <c r="MC434" s="4"/>
      <c r="MD434" s="8">
        <v>38544</v>
      </c>
      <c r="ME434" s="8"/>
      <c r="MF434" s="8"/>
      <c r="MG434" s="5" t="s">
        <v>488</v>
      </c>
      <c r="MH434" s="6"/>
      <c r="MI434" s="4"/>
      <c r="MJ434" s="4"/>
      <c r="MK434" s="4"/>
      <c r="ML434" s="4"/>
      <c r="MM434" s="4"/>
      <c r="MN434" s="5"/>
      <c r="MO434" s="6"/>
      <c r="MP434" s="4"/>
      <c r="MQ434" s="4"/>
      <c r="MR434" s="4"/>
      <c r="MS434" s="4"/>
      <c r="MT434" s="4"/>
      <c r="MU434" s="5"/>
      <c r="MV434" s="6"/>
      <c r="MW434" s="4"/>
      <c r="MX434" s="4"/>
      <c r="MY434" s="4"/>
      <c r="MZ434" s="8"/>
      <c r="NA434" s="4"/>
      <c r="NB434" s="5"/>
      <c r="NC434" s="6"/>
      <c r="ND434" s="4"/>
      <c r="NE434" s="4"/>
      <c r="NF434" s="4"/>
      <c r="NG434" s="4"/>
      <c r="NH434" s="4"/>
      <c r="NI434" s="5"/>
      <c r="NJ434" s="6"/>
      <c r="NK434" s="4"/>
      <c r="NL434" s="4"/>
      <c r="NM434" s="4"/>
      <c r="NN434" s="4"/>
      <c r="NO434" s="4"/>
      <c r="NP434" s="5"/>
      <c r="NQ434" s="6"/>
      <c r="NR434" s="4"/>
      <c r="NS434" s="4"/>
      <c r="NT434" s="4"/>
      <c r="NU434" s="4"/>
      <c r="NV434" s="4"/>
      <c r="NW434" s="5"/>
      <c r="NX434" s="6"/>
      <c r="NY434" s="4"/>
      <c r="NZ434" s="4"/>
      <c r="OA434" s="4"/>
      <c r="OB434" s="4"/>
      <c r="OC434" s="4"/>
      <c r="OD434" s="5"/>
      <c r="OE434" s="6"/>
      <c r="OF434" s="4"/>
      <c r="OG434" s="4"/>
      <c r="OH434" s="4"/>
      <c r="OI434" s="4"/>
      <c r="OJ434" s="4"/>
      <c r="OK434" s="5"/>
      <c r="OL434" s="6"/>
      <c r="OM434" s="4"/>
      <c r="ON434" s="4"/>
      <c r="OO434" s="4"/>
      <c r="OP434" s="4"/>
      <c r="OQ434" s="4"/>
      <c r="OR434" s="5"/>
      <c r="OS434" s="6"/>
      <c r="OT434" s="4"/>
      <c r="OU434" s="4"/>
      <c r="OV434" s="4"/>
      <c r="OW434" s="4"/>
      <c r="OX434" s="4"/>
      <c r="OY434" s="5"/>
      <c r="OZ434" s="6"/>
      <c r="PA434" s="4"/>
      <c r="PB434" s="4"/>
      <c r="PC434" s="4"/>
      <c r="PD434" s="4"/>
      <c r="PE434" s="4"/>
      <c r="PF434" s="5"/>
      <c r="PG434" s="6"/>
      <c r="PH434" s="4"/>
      <c r="PI434" s="4"/>
      <c r="PJ434" s="4"/>
      <c r="PK434" s="4"/>
      <c r="PL434" s="4"/>
      <c r="PM434" s="5"/>
      <c r="PN434" s="6"/>
      <c r="PO434" s="4"/>
      <c r="PP434" s="4"/>
      <c r="PQ434" s="4"/>
      <c r="PR434" s="4"/>
      <c r="PS434" s="4"/>
      <c r="PT434" s="5"/>
      <c r="PU434" s="6"/>
      <c r="PV434" s="4"/>
      <c r="PW434" s="4"/>
      <c r="PX434" s="4"/>
      <c r="PY434" s="4"/>
      <c r="PZ434" s="4"/>
      <c r="QA434" s="5"/>
      <c r="QB434" s="6"/>
      <c r="QC434" s="4"/>
      <c r="QD434" s="4"/>
      <c r="QE434" s="4"/>
      <c r="QF434" s="4"/>
      <c r="QG434" s="4"/>
      <c r="QH434" s="5"/>
      <c r="QI434" s="6"/>
      <c r="QJ434" s="4"/>
      <c r="QK434" s="4"/>
      <c r="QL434" s="4"/>
      <c r="QM434" s="4"/>
      <c r="QN434" s="4"/>
      <c r="QO434" s="5"/>
      <c r="QP434" s="6"/>
      <c r="QQ434" s="4"/>
      <c r="QR434" s="4"/>
      <c r="QS434" s="4"/>
      <c r="QT434" s="4"/>
      <c r="QU434" s="4"/>
      <c r="QV434" s="5"/>
      <c r="QW434" s="6"/>
      <c r="QX434" s="4"/>
      <c r="QY434" s="4"/>
      <c r="QZ434" s="4"/>
      <c r="RA434" s="4"/>
      <c r="RB434" s="4"/>
      <c r="RC434" s="5"/>
      <c r="RD434" s="6"/>
      <c r="RE434" s="4"/>
      <c r="RF434" s="4"/>
      <c r="RG434" s="4"/>
      <c r="RH434" s="4"/>
      <c r="RI434" s="4"/>
      <c r="RJ434" s="5"/>
      <c r="RK434" s="6"/>
      <c r="RL434" s="4"/>
      <c r="RM434" s="4"/>
      <c r="RN434" s="4"/>
      <c r="RO434" s="4"/>
      <c r="RP434" s="4"/>
      <c r="RQ434" s="5"/>
      <c r="RR434" s="6"/>
      <c r="RS434" s="4"/>
      <c r="RT434" s="4"/>
      <c r="RU434" s="4"/>
      <c r="RV434" s="4"/>
      <c r="RW434" s="4"/>
      <c r="RX434" s="5"/>
      <c r="RY434" s="6"/>
      <c r="RZ434" s="4"/>
      <c r="SA434" s="4"/>
      <c r="SB434" s="4"/>
      <c r="SC434" s="4"/>
      <c r="SD434" s="4"/>
      <c r="SE434" s="5"/>
      <c r="SF434" s="6"/>
      <c r="SG434" s="4"/>
      <c r="SH434" s="4"/>
      <c r="SI434" s="4"/>
      <c r="SJ434" s="4"/>
      <c r="SK434" s="4"/>
      <c r="SL434" s="5"/>
      <c r="SM434" s="6"/>
      <c r="SN434" s="4"/>
      <c r="SO434" s="4"/>
      <c r="SP434" s="4"/>
      <c r="SQ434" s="4"/>
      <c r="SR434" s="4"/>
      <c r="SS434" s="5"/>
      <c r="ST434" s="6"/>
      <c r="SU434" s="4"/>
      <c r="SV434" s="4"/>
      <c r="SW434" s="4"/>
      <c r="SX434" s="4"/>
      <c r="SY434" s="4"/>
      <c r="SZ434" s="5"/>
      <c r="TA434" s="6"/>
      <c r="TB434" s="4"/>
      <c r="TC434" s="4"/>
      <c r="TD434" s="4"/>
      <c r="TE434" s="4"/>
      <c r="TF434" s="4"/>
      <c r="TG434" s="5"/>
      <c r="TH434" s="6"/>
      <c r="TI434" s="4"/>
      <c r="TJ434" s="4"/>
      <c r="TK434" s="4"/>
      <c r="TL434" s="4"/>
      <c r="TM434" s="4"/>
      <c r="TN434" s="5"/>
      <c r="TO434" s="6"/>
      <c r="TP434" s="4"/>
      <c r="TQ434" s="4"/>
      <c r="TR434" s="4"/>
      <c r="TS434" s="4"/>
      <c r="TT434" s="4"/>
      <c r="TU434" s="5"/>
      <c r="TV434" s="6"/>
      <c r="TW434" s="4"/>
      <c r="TX434" s="4"/>
      <c r="TY434" s="4"/>
      <c r="TZ434" s="4"/>
      <c r="UA434" s="4"/>
      <c r="UB434" s="5"/>
      <c r="UC434" s="6"/>
      <c r="UD434" s="4"/>
      <c r="UE434" s="4"/>
      <c r="UF434" s="4"/>
      <c r="UG434" s="4"/>
      <c r="UH434" s="4"/>
      <c r="UI434" s="5"/>
      <c r="UJ434" s="6"/>
      <c r="UK434" s="4"/>
      <c r="UL434" s="4"/>
      <c r="UM434" s="4"/>
      <c r="UN434" s="4"/>
      <c r="UO434" s="4"/>
      <c r="UP434" s="5"/>
      <c r="UQ434" s="6"/>
      <c r="UR434" s="4"/>
      <c r="US434" s="4"/>
      <c r="UT434" s="4"/>
      <c r="UU434" s="4"/>
      <c r="UV434" s="4"/>
      <c r="UW434" s="5"/>
      <c r="UX434" s="6" t="s">
        <v>750</v>
      </c>
      <c r="UY434" s="4" t="s">
        <v>751</v>
      </c>
      <c r="UZ434" s="4"/>
      <c r="VA434" s="4"/>
      <c r="VB434" s="8">
        <v>38572</v>
      </c>
      <c r="VC434" s="8"/>
      <c r="VD434" s="5"/>
      <c r="VE434" s="6"/>
      <c r="VF434" s="4"/>
      <c r="VG434" s="4"/>
      <c r="VH434" s="4"/>
      <c r="VI434" s="4"/>
      <c r="VJ434" s="4"/>
      <c r="VK434" s="5"/>
      <c r="VL434" s="6" t="s">
        <v>599</v>
      </c>
      <c r="VM434" s="4" t="s">
        <v>542</v>
      </c>
      <c r="VN434" s="4"/>
      <c r="VO434" s="7"/>
      <c r="VP434" s="8">
        <v>38569</v>
      </c>
      <c r="VQ434" s="8"/>
      <c r="VR434" s="5" t="s">
        <v>251</v>
      </c>
      <c r="VS434" s="6"/>
      <c r="VT434" s="4"/>
      <c r="VU434" s="4"/>
      <c r="VV434" s="4"/>
      <c r="VW434" s="4"/>
      <c r="VX434" s="4"/>
      <c r="VY434" s="5"/>
      <c r="VZ434" s="6"/>
      <c r="WA434" s="4"/>
      <c r="WB434" s="4"/>
      <c r="WC434" s="4"/>
      <c r="WD434" s="4"/>
      <c r="WE434" s="4"/>
      <c r="WF434" s="5"/>
      <c r="WG434" s="6"/>
      <c r="WH434" s="4"/>
      <c r="WI434" s="4"/>
      <c r="WJ434" s="4"/>
      <c r="WK434" s="4"/>
      <c r="WL434" s="4"/>
      <c r="WM434" s="5"/>
      <c r="WN434" s="6"/>
      <c r="WO434" s="4"/>
      <c r="WP434" s="4"/>
      <c r="WQ434" s="4"/>
      <c r="WR434" s="4"/>
      <c r="WS434" s="4"/>
      <c r="WT434" s="5"/>
      <c r="WU434" s="6"/>
      <c r="WV434" s="4"/>
      <c r="WW434" s="4"/>
      <c r="WX434" s="4"/>
      <c r="WY434" s="4"/>
      <c r="WZ434" s="4"/>
      <c r="XA434" s="5"/>
      <c r="XB434" s="6"/>
      <c r="XC434" s="4"/>
      <c r="XD434" s="4"/>
      <c r="XE434" s="4"/>
      <c r="XF434" s="4"/>
      <c r="XG434" s="4"/>
      <c r="XH434" s="5"/>
      <c r="XI434" s="6"/>
      <c r="XJ434" s="4"/>
      <c r="XK434" s="4"/>
      <c r="XL434" s="4"/>
      <c r="XM434" s="4"/>
      <c r="XN434" s="4"/>
      <c r="XO434" s="5"/>
      <c r="XP434" s="6"/>
      <c r="XQ434" s="4"/>
      <c r="XR434" s="4"/>
      <c r="XS434" s="4"/>
      <c r="XT434" s="4"/>
      <c r="XU434" s="4"/>
      <c r="XV434" s="5"/>
      <c r="XW434" s="6"/>
      <c r="XX434" s="4"/>
      <c r="XY434" s="4"/>
      <c r="XZ434" s="4"/>
      <c r="YA434" s="4"/>
      <c r="YB434" s="4"/>
      <c r="YC434" s="5"/>
      <c r="YD434" s="6"/>
      <c r="YE434" s="4"/>
      <c r="YF434" s="4"/>
      <c r="YG434" s="4"/>
      <c r="YH434" s="4"/>
      <c r="YI434" s="4"/>
      <c r="YJ434" s="5"/>
      <c r="YK434" s="6"/>
      <c r="YL434" s="4"/>
      <c r="YM434" s="4"/>
      <c r="YN434" s="4"/>
      <c r="YO434" s="4"/>
      <c r="YP434" s="4"/>
      <c r="YQ434" s="5"/>
      <c r="YR434" s="6"/>
      <c r="YS434" s="4"/>
      <c r="YT434" s="4"/>
      <c r="YU434" s="4"/>
      <c r="YV434" s="4"/>
      <c r="YW434" s="4"/>
      <c r="YX434" s="5"/>
      <c r="YY434" s="6"/>
      <c r="YZ434" s="4"/>
      <c r="ZA434" s="4"/>
      <c r="ZB434" s="4"/>
      <c r="ZC434" s="4"/>
      <c r="ZD434" s="4"/>
      <c r="ZE434" s="5"/>
      <c r="ZF434" s="6"/>
      <c r="ZG434" s="4"/>
      <c r="ZH434" s="4"/>
      <c r="ZI434" s="4"/>
      <c r="ZJ434" s="4"/>
      <c r="ZK434" s="4"/>
      <c r="ZL434" s="5"/>
      <c r="ZM434" s="6"/>
      <c r="ZN434" s="4"/>
      <c r="ZO434" s="4"/>
      <c r="ZP434" s="4"/>
      <c r="ZQ434" s="4"/>
      <c r="ZR434" s="4"/>
      <c r="ZS434" s="5"/>
      <c r="ZT434" s="6"/>
      <c r="ZU434" s="4"/>
      <c r="ZV434" s="4"/>
      <c r="ZW434" s="4"/>
      <c r="ZX434" s="4"/>
      <c r="ZY434" s="4"/>
      <c r="ZZ434" s="5"/>
      <c r="AAA434" s="6"/>
      <c r="AAB434" s="4"/>
      <c r="AAC434" s="4"/>
      <c r="AAD434" s="4"/>
      <c r="AAE434" s="4"/>
      <c r="AAF434" s="4"/>
      <c r="AAG434" s="5"/>
      <c r="AAH434" s="6"/>
      <c r="AAI434" s="4"/>
      <c r="AAJ434" s="4"/>
      <c r="AAK434" s="4"/>
      <c r="AAL434" s="4"/>
      <c r="AAM434" s="4"/>
      <c r="AAN434" s="5"/>
      <c r="AAO434" s="6"/>
      <c r="AAP434" s="4"/>
      <c r="AAQ434" s="4"/>
      <c r="AAR434" s="4"/>
      <c r="AAS434" s="4"/>
      <c r="AAT434" s="4"/>
      <c r="AAU434" s="5"/>
      <c r="AAV434" s="6"/>
      <c r="AAW434" s="4"/>
      <c r="AAX434" s="4"/>
      <c r="AAY434" s="4"/>
      <c r="AAZ434" s="4"/>
      <c r="ABA434" s="4"/>
      <c r="ABB434" s="5"/>
      <c r="ABC434" s="6"/>
      <c r="ABD434" s="4"/>
      <c r="ABE434" s="4"/>
      <c r="ABF434" s="4"/>
      <c r="ABG434" s="4"/>
      <c r="ABH434" s="4"/>
      <c r="ABI434" s="5"/>
      <c r="ABJ434" s="6"/>
      <c r="ABK434" s="4"/>
      <c r="ABL434" s="4"/>
      <c r="ABM434" s="4"/>
      <c r="ABN434" s="4"/>
      <c r="ABO434" s="4"/>
      <c r="ABP434" s="5"/>
      <c r="ABQ434" s="6"/>
      <c r="ABR434" s="4"/>
      <c r="ABS434" s="4"/>
      <c r="ABT434" s="4"/>
      <c r="ABU434" s="4"/>
      <c r="ABV434" s="4"/>
      <c r="ABW434" s="5"/>
      <c r="ABX434" s="6"/>
      <c r="ABY434" s="4"/>
      <c r="ABZ434" s="4"/>
      <c r="ACA434" s="4"/>
      <c r="ACB434" s="4"/>
      <c r="ACC434" s="4"/>
      <c r="ACD434" s="5"/>
      <c r="ACE434" s="6"/>
      <c r="ACF434" s="4"/>
      <c r="ACG434" s="4"/>
      <c r="ACH434" s="4"/>
      <c r="ACI434" s="4"/>
      <c r="ACJ434" s="4"/>
      <c r="ACK434" s="5"/>
      <c r="ACL434" s="6"/>
      <c r="ACM434" s="4"/>
      <c r="ACN434" s="4"/>
      <c r="ACO434" s="4"/>
      <c r="ACP434" s="4"/>
      <c r="ACQ434" s="4"/>
      <c r="ACR434" s="5"/>
      <c r="ACS434" s="6"/>
      <c r="ACT434" s="4"/>
      <c r="ACU434" s="4"/>
      <c r="ACV434" s="4"/>
      <c r="ACW434" s="4"/>
      <c r="ACX434" s="4"/>
      <c r="ACY434" s="5"/>
    </row>
    <row r="435" spans="2:804" ht="15.95" customHeight="1" x14ac:dyDescent="0.25">
      <c r="B435" s="30"/>
      <c r="J435" s="12"/>
      <c r="K435" s="12"/>
      <c r="L435" s="12"/>
      <c r="LL435" s="6"/>
      <c r="LM435" s="4"/>
      <c r="LN435" s="4"/>
      <c r="LO435" s="4"/>
      <c r="LP435" s="4"/>
      <c r="LQ435" s="4"/>
      <c r="LR435" s="5"/>
      <c r="LS435" s="6"/>
      <c r="LT435" s="4"/>
      <c r="LU435" s="4"/>
      <c r="LV435" s="4"/>
      <c r="LW435" s="4"/>
      <c r="LX435" s="4"/>
      <c r="LY435" s="5"/>
      <c r="LZ435" s="6" t="s">
        <v>2983</v>
      </c>
      <c r="MA435" s="7" t="s">
        <v>2983</v>
      </c>
      <c r="MB435" s="4"/>
      <c r="MC435" s="4" t="s">
        <v>3027</v>
      </c>
      <c r="MD435" s="8">
        <v>38574</v>
      </c>
      <c r="ME435" s="8">
        <v>38574</v>
      </c>
      <c r="MF435" s="8" t="s">
        <v>610</v>
      </c>
      <c r="MG435" s="5" t="s">
        <v>246</v>
      </c>
      <c r="MH435" s="6"/>
      <c r="MI435" s="4"/>
      <c r="MJ435" s="4"/>
      <c r="MK435" s="4"/>
      <c r="ML435" s="4"/>
      <c r="MM435" s="4"/>
      <c r="MN435" s="5"/>
      <c r="MO435" s="6"/>
      <c r="MP435" s="4"/>
      <c r="MQ435" s="4"/>
      <c r="MR435" s="4"/>
      <c r="MS435" s="4"/>
      <c r="MT435" s="4"/>
      <c r="MU435" s="5"/>
      <c r="MV435" s="6"/>
      <c r="MW435" s="4"/>
      <c r="MX435" s="4"/>
      <c r="MY435" s="4"/>
      <c r="MZ435" s="8"/>
      <c r="NA435" s="4"/>
      <c r="NB435" s="5"/>
      <c r="NC435" s="6"/>
      <c r="ND435" s="4"/>
      <c r="NE435" s="4"/>
      <c r="NF435" s="4"/>
      <c r="NG435" s="4"/>
      <c r="NH435" s="4"/>
      <c r="NI435" s="5"/>
      <c r="NJ435" s="6"/>
      <c r="NK435" s="4"/>
      <c r="NL435" s="4"/>
      <c r="NM435" s="4"/>
      <c r="NN435" s="4"/>
      <c r="NO435" s="4"/>
      <c r="NP435" s="5"/>
      <c r="NQ435" s="6"/>
      <c r="NR435" s="4"/>
      <c r="NS435" s="4"/>
      <c r="NT435" s="4"/>
      <c r="NU435" s="4"/>
      <c r="NV435" s="4"/>
      <c r="NW435" s="5"/>
      <c r="NX435" s="6"/>
      <c r="NY435" s="4"/>
      <c r="NZ435" s="4"/>
      <c r="OA435" s="4"/>
      <c r="OB435" s="4"/>
      <c r="OC435" s="4"/>
      <c r="OD435" s="5"/>
      <c r="OE435" s="6"/>
      <c r="OF435" s="4"/>
      <c r="OG435" s="4"/>
      <c r="OH435" s="4"/>
      <c r="OI435" s="4"/>
      <c r="OJ435" s="4"/>
      <c r="OK435" s="5"/>
      <c r="OL435" s="6"/>
      <c r="OM435" s="4"/>
      <c r="ON435" s="4"/>
      <c r="OO435" s="4"/>
      <c r="OP435" s="4"/>
      <c r="OQ435" s="4"/>
      <c r="OR435" s="5"/>
      <c r="OS435" s="6"/>
      <c r="OT435" s="4"/>
      <c r="OU435" s="4"/>
      <c r="OV435" s="4"/>
      <c r="OW435" s="4"/>
      <c r="OX435" s="4"/>
      <c r="OY435" s="5"/>
      <c r="OZ435" s="6"/>
      <c r="PA435" s="4"/>
      <c r="PB435" s="4"/>
      <c r="PC435" s="4"/>
      <c r="PD435" s="4"/>
      <c r="PE435" s="4"/>
      <c r="PF435" s="5"/>
      <c r="PG435" s="6"/>
      <c r="PH435" s="4"/>
      <c r="PI435" s="4"/>
      <c r="PJ435" s="4"/>
      <c r="PK435" s="4"/>
      <c r="PL435" s="4"/>
      <c r="PM435" s="5"/>
      <c r="PN435" s="6"/>
      <c r="PO435" s="4"/>
      <c r="PP435" s="4"/>
      <c r="PQ435" s="4"/>
      <c r="PR435" s="4"/>
      <c r="PS435" s="4"/>
      <c r="PT435" s="5"/>
      <c r="PU435" s="6"/>
      <c r="PV435" s="4"/>
      <c r="PW435" s="4"/>
      <c r="PX435" s="4"/>
      <c r="PY435" s="4"/>
      <c r="PZ435" s="4"/>
      <c r="QA435" s="5"/>
      <c r="QB435" s="6"/>
      <c r="QC435" s="4"/>
      <c r="QD435" s="4"/>
      <c r="QE435" s="4"/>
      <c r="QF435" s="4"/>
      <c r="QG435" s="4"/>
      <c r="QH435" s="5"/>
      <c r="QI435" s="6"/>
      <c r="QJ435" s="4"/>
      <c r="QK435" s="4"/>
      <c r="QL435" s="4"/>
      <c r="QM435" s="4"/>
      <c r="QN435" s="4"/>
      <c r="QO435" s="5"/>
      <c r="QP435" s="6"/>
      <c r="QQ435" s="4"/>
      <c r="QR435" s="4"/>
      <c r="QS435" s="4"/>
      <c r="QT435" s="4"/>
      <c r="QU435" s="4"/>
      <c r="QV435" s="5"/>
      <c r="QW435" s="6"/>
      <c r="QX435" s="4"/>
      <c r="QY435" s="4"/>
      <c r="QZ435" s="4"/>
      <c r="RA435" s="4"/>
      <c r="RB435" s="4"/>
      <c r="RC435" s="5"/>
      <c r="RD435" s="6"/>
      <c r="RE435" s="4"/>
      <c r="RF435" s="4"/>
      <c r="RG435" s="4"/>
      <c r="RH435" s="4"/>
      <c r="RI435" s="4"/>
      <c r="RJ435" s="5"/>
      <c r="RK435" s="6"/>
      <c r="RL435" s="4"/>
      <c r="RM435" s="4"/>
      <c r="RN435" s="4"/>
      <c r="RO435" s="4"/>
      <c r="RP435" s="4"/>
      <c r="RQ435" s="5"/>
      <c r="RR435" s="6"/>
      <c r="RS435" s="4"/>
      <c r="RT435" s="4"/>
      <c r="RU435" s="4"/>
      <c r="RV435" s="4"/>
      <c r="RW435" s="4"/>
      <c r="RX435" s="5"/>
      <c r="RY435" s="6"/>
      <c r="RZ435" s="4"/>
      <c r="SA435" s="4"/>
      <c r="SB435" s="4"/>
      <c r="SC435" s="4"/>
      <c r="SD435" s="4"/>
      <c r="SE435" s="5"/>
      <c r="SF435" s="6"/>
      <c r="SG435" s="4"/>
      <c r="SH435" s="4"/>
      <c r="SI435" s="4"/>
      <c r="SJ435" s="4"/>
      <c r="SK435" s="4"/>
      <c r="SL435" s="5"/>
      <c r="SM435" s="6"/>
      <c r="SN435" s="4"/>
      <c r="SO435" s="4"/>
      <c r="SP435" s="4"/>
      <c r="SQ435" s="4"/>
      <c r="SR435" s="4"/>
      <c r="SS435" s="5"/>
      <c r="ST435" s="6"/>
      <c r="SU435" s="4"/>
      <c r="SV435" s="4"/>
      <c r="SW435" s="4"/>
      <c r="SX435" s="4"/>
      <c r="SY435" s="4"/>
      <c r="SZ435" s="5"/>
      <c r="TA435" s="6"/>
      <c r="TB435" s="4"/>
      <c r="TC435" s="4"/>
      <c r="TD435" s="4"/>
      <c r="TE435" s="4"/>
      <c r="TF435" s="4"/>
      <c r="TG435" s="5"/>
      <c r="TH435" s="6"/>
      <c r="TI435" s="4"/>
      <c r="TJ435" s="4"/>
      <c r="TK435" s="4"/>
      <c r="TL435" s="4"/>
      <c r="TM435" s="4"/>
      <c r="TN435" s="5"/>
      <c r="TO435" s="6"/>
      <c r="TP435" s="4"/>
      <c r="TQ435" s="4"/>
      <c r="TR435" s="4"/>
      <c r="TS435" s="4"/>
      <c r="TT435" s="4"/>
      <c r="TU435" s="5"/>
      <c r="TV435" s="6"/>
      <c r="TW435" s="4"/>
      <c r="TX435" s="4"/>
      <c r="TY435" s="4"/>
      <c r="TZ435" s="4"/>
      <c r="UA435" s="4"/>
      <c r="UB435" s="5"/>
      <c r="UC435" s="6"/>
      <c r="UD435" s="4"/>
      <c r="UE435" s="4"/>
      <c r="UF435" s="4"/>
      <c r="UG435" s="4"/>
      <c r="UH435" s="4"/>
      <c r="UI435" s="5"/>
      <c r="UJ435" s="6"/>
      <c r="UK435" s="4"/>
      <c r="UL435" s="4"/>
      <c r="UM435" s="4"/>
      <c r="UN435" s="4"/>
      <c r="UO435" s="4"/>
      <c r="UP435" s="5"/>
      <c r="UQ435" s="6"/>
      <c r="UR435" s="4"/>
      <c r="US435" s="4"/>
      <c r="UT435" s="4"/>
      <c r="UU435" s="4"/>
      <c r="UV435" s="4"/>
      <c r="UW435" s="5"/>
      <c r="UX435" s="6"/>
      <c r="UY435" s="4"/>
      <c r="UZ435" s="4"/>
      <c r="VA435" s="4"/>
      <c r="VB435" s="8"/>
      <c r="VC435" s="8"/>
      <c r="VD435" s="5"/>
      <c r="VE435" s="6"/>
      <c r="VF435" s="4"/>
      <c r="VG435" s="4"/>
      <c r="VH435" s="4"/>
      <c r="VI435" s="4"/>
      <c r="VJ435" s="4"/>
      <c r="VK435" s="5"/>
      <c r="VL435" s="6"/>
      <c r="VM435" s="4"/>
      <c r="VN435" s="4"/>
      <c r="VO435" s="7"/>
      <c r="VP435" s="8"/>
      <c r="VQ435" s="8"/>
      <c r="VR435" s="5"/>
      <c r="VS435" s="6"/>
      <c r="VT435" s="4"/>
      <c r="VU435" s="4"/>
      <c r="VV435" s="4"/>
      <c r="VW435" s="4"/>
      <c r="VX435" s="4"/>
      <c r="VY435" s="5"/>
      <c r="VZ435" s="6"/>
      <c r="WA435" s="4"/>
      <c r="WB435" s="4"/>
      <c r="WC435" s="4"/>
      <c r="WD435" s="4"/>
      <c r="WE435" s="4"/>
      <c r="WF435" s="5"/>
      <c r="WG435" s="6"/>
      <c r="WH435" s="4"/>
      <c r="WI435" s="4"/>
      <c r="WJ435" s="4"/>
      <c r="WK435" s="4"/>
      <c r="WL435" s="4"/>
      <c r="WM435" s="5"/>
      <c r="WN435" s="6"/>
      <c r="WO435" s="4"/>
      <c r="WP435" s="4"/>
      <c r="WQ435" s="4"/>
      <c r="WR435" s="4"/>
      <c r="WS435" s="4"/>
      <c r="WT435" s="5"/>
      <c r="WU435" s="6"/>
      <c r="WV435" s="4"/>
      <c r="WW435" s="4"/>
      <c r="WX435" s="4"/>
      <c r="WY435" s="4"/>
      <c r="WZ435" s="4"/>
      <c r="XA435" s="5"/>
      <c r="XB435" s="6"/>
      <c r="XC435" s="4"/>
      <c r="XD435" s="4"/>
      <c r="XE435" s="4"/>
      <c r="XF435" s="4"/>
      <c r="XG435" s="4"/>
      <c r="XH435" s="5"/>
      <c r="XI435" s="6"/>
      <c r="XJ435" s="4"/>
      <c r="XK435" s="4"/>
      <c r="XL435" s="4"/>
      <c r="XM435" s="4"/>
      <c r="XN435" s="4"/>
      <c r="XO435" s="5"/>
      <c r="XP435" s="6"/>
      <c r="XQ435" s="4"/>
      <c r="XR435" s="4"/>
      <c r="XS435" s="4"/>
      <c r="XT435" s="4"/>
      <c r="XU435" s="4"/>
      <c r="XV435" s="5"/>
      <c r="XW435" s="6"/>
      <c r="XX435" s="4"/>
      <c r="XY435" s="4"/>
      <c r="XZ435" s="4"/>
      <c r="YA435" s="4"/>
      <c r="YB435" s="4"/>
      <c r="YC435" s="5"/>
      <c r="YD435" s="6"/>
      <c r="YE435" s="4"/>
      <c r="YF435" s="4"/>
      <c r="YG435" s="4"/>
      <c r="YH435" s="4"/>
      <c r="YI435" s="4"/>
      <c r="YJ435" s="5"/>
      <c r="YK435" s="6"/>
      <c r="YL435" s="4"/>
      <c r="YM435" s="4"/>
      <c r="YN435" s="4"/>
      <c r="YO435" s="4"/>
      <c r="YP435" s="4"/>
      <c r="YQ435" s="5"/>
      <c r="YR435" s="6"/>
      <c r="YS435" s="4"/>
      <c r="YT435" s="4"/>
      <c r="YU435" s="4"/>
      <c r="YV435" s="4"/>
      <c r="YW435" s="4"/>
      <c r="YX435" s="5"/>
      <c r="YY435" s="6"/>
      <c r="YZ435" s="4"/>
      <c r="ZA435" s="4"/>
      <c r="ZB435" s="4"/>
      <c r="ZC435" s="4"/>
      <c r="ZD435" s="4"/>
      <c r="ZE435" s="5"/>
      <c r="ZF435" s="6"/>
      <c r="ZG435" s="4"/>
      <c r="ZH435" s="4"/>
      <c r="ZI435" s="4"/>
      <c r="ZJ435" s="4"/>
      <c r="ZK435" s="4"/>
      <c r="ZL435" s="5"/>
      <c r="ZM435" s="6"/>
      <c r="ZN435" s="4"/>
      <c r="ZO435" s="4"/>
      <c r="ZP435" s="4"/>
      <c r="ZQ435" s="4"/>
      <c r="ZR435" s="4"/>
      <c r="ZS435" s="5"/>
      <c r="ZT435" s="6"/>
      <c r="ZU435" s="4"/>
      <c r="ZV435" s="4"/>
      <c r="ZW435" s="4"/>
      <c r="ZX435" s="4"/>
      <c r="ZY435" s="4"/>
      <c r="ZZ435" s="5"/>
      <c r="AAA435" s="6"/>
      <c r="AAB435" s="4"/>
      <c r="AAC435" s="4"/>
      <c r="AAD435" s="4"/>
      <c r="AAE435" s="4"/>
      <c r="AAF435" s="4"/>
      <c r="AAG435" s="5"/>
      <c r="AAH435" s="6"/>
      <c r="AAI435" s="4"/>
      <c r="AAJ435" s="4"/>
      <c r="AAK435" s="4"/>
      <c r="AAL435" s="4"/>
      <c r="AAM435" s="4"/>
      <c r="AAN435" s="5"/>
      <c r="AAO435" s="6"/>
      <c r="AAP435" s="4"/>
      <c r="AAQ435" s="4"/>
      <c r="AAR435" s="4"/>
      <c r="AAS435" s="4"/>
      <c r="AAT435" s="4"/>
      <c r="AAU435" s="5"/>
      <c r="AAV435" s="6"/>
      <c r="AAW435" s="4"/>
      <c r="AAX435" s="4"/>
      <c r="AAY435" s="4"/>
      <c r="AAZ435" s="4"/>
      <c r="ABA435" s="4"/>
      <c r="ABB435" s="5"/>
      <c r="ABC435" s="6"/>
      <c r="ABD435" s="4"/>
      <c r="ABE435" s="4"/>
      <c r="ABF435" s="4"/>
      <c r="ABG435" s="4"/>
      <c r="ABH435" s="4"/>
      <c r="ABI435" s="5"/>
      <c r="ABJ435" s="6"/>
      <c r="ABK435" s="4"/>
      <c r="ABL435" s="4"/>
      <c r="ABM435" s="4"/>
      <c r="ABN435" s="4"/>
      <c r="ABO435" s="4"/>
      <c r="ABP435" s="5"/>
      <c r="ABQ435" s="6"/>
      <c r="ABR435" s="4"/>
      <c r="ABS435" s="4"/>
      <c r="ABT435" s="4"/>
      <c r="ABU435" s="4"/>
      <c r="ABV435" s="4"/>
      <c r="ABW435" s="5"/>
      <c r="ABX435" s="6"/>
      <c r="ABY435" s="4"/>
      <c r="ABZ435" s="4"/>
      <c r="ACA435" s="4"/>
      <c r="ACB435" s="4"/>
      <c r="ACC435" s="4"/>
      <c r="ACD435" s="5"/>
      <c r="ACE435" s="6"/>
      <c r="ACF435" s="4"/>
      <c r="ACG435" s="4"/>
      <c r="ACH435" s="4"/>
      <c r="ACI435" s="4"/>
      <c r="ACJ435" s="4"/>
      <c r="ACK435" s="5"/>
      <c r="ACL435" s="6"/>
      <c r="ACM435" s="4"/>
      <c r="ACN435" s="4"/>
      <c r="ACO435" s="4"/>
      <c r="ACP435" s="4"/>
      <c r="ACQ435" s="4"/>
      <c r="ACR435" s="5"/>
      <c r="ACS435" s="6"/>
      <c r="ACT435" s="4"/>
      <c r="ACU435" s="4"/>
      <c r="ACV435" s="4"/>
      <c r="ACW435" s="4"/>
      <c r="ACX435" s="4"/>
      <c r="ACY435" s="5"/>
    </row>
    <row r="436" spans="2:804" ht="15.95" customHeight="1" x14ac:dyDescent="0.25">
      <c r="B436" s="30"/>
      <c r="J436" s="12"/>
      <c r="K436" s="12"/>
      <c r="L436" s="12"/>
      <c r="LL436" s="6"/>
      <c r="LM436" s="4"/>
      <c r="LN436" s="4"/>
      <c r="LO436" s="4"/>
      <c r="LP436" s="4"/>
      <c r="LQ436" s="4"/>
      <c r="LR436" s="5"/>
      <c r="LS436" s="6"/>
      <c r="LT436" s="4"/>
      <c r="LU436" s="4"/>
      <c r="LV436" s="4"/>
      <c r="LW436" s="4"/>
      <c r="LX436" s="4"/>
      <c r="LY436" s="5"/>
      <c r="LZ436" s="6" t="s">
        <v>3265</v>
      </c>
      <c r="MA436" s="7" t="s">
        <v>2656</v>
      </c>
      <c r="MB436" s="7" t="s">
        <v>4013</v>
      </c>
      <c r="MC436" s="4"/>
      <c r="MD436" s="8">
        <v>38139</v>
      </c>
      <c r="ME436" s="8"/>
      <c r="MF436" s="8"/>
      <c r="MG436" s="5" t="s">
        <v>267</v>
      </c>
      <c r="MH436" s="6"/>
      <c r="MI436" s="4"/>
      <c r="MJ436" s="4"/>
      <c r="MK436" s="4"/>
      <c r="ML436" s="4"/>
      <c r="MM436" s="4"/>
      <c r="MN436" s="5"/>
      <c r="MO436" s="6"/>
      <c r="MP436" s="4"/>
      <c r="MQ436" s="4"/>
      <c r="MR436" s="4"/>
      <c r="MS436" s="4"/>
      <c r="MT436" s="4"/>
      <c r="MU436" s="5"/>
      <c r="MV436" s="6"/>
      <c r="MW436" s="4"/>
      <c r="MX436" s="4"/>
      <c r="MY436" s="4"/>
      <c r="MZ436" s="8"/>
      <c r="NA436" s="4"/>
      <c r="NB436" s="5"/>
      <c r="NC436" s="6"/>
      <c r="ND436" s="4"/>
      <c r="NE436" s="4"/>
      <c r="NF436" s="4"/>
      <c r="NG436" s="4"/>
      <c r="NH436" s="4"/>
      <c r="NI436" s="5"/>
      <c r="NJ436" s="6"/>
      <c r="NK436" s="4"/>
      <c r="NL436" s="4"/>
      <c r="NM436" s="4"/>
      <c r="NN436" s="4"/>
      <c r="NO436" s="4"/>
      <c r="NP436" s="5"/>
      <c r="NQ436" s="6"/>
      <c r="NR436" s="4"/>
      <c r="NS436" s="4"/>
      <c r="NT436" s="4"/>
      <c r="NU436" s="4"/>
      <c r="NV436" s="4"/>
      <c r="NW436" s="5"/>
      <c r="NX436" s="6"/>
      <c r="NY436" s="4"/>
      <c r="NZ436" s="4"/>
      <c r="OA436" s="4"/>
      <c r="OB436" s="4"/>
      <c r="OC436" s="4"/>
      <c r="OD436" s="5"/>
      <c r="OE436" s="6"/>
      <c r="OF436" s="4"/>
      <c r="OG436" s="4"/>
      <c r="OH436" s="4"/>
      <c r="OI436" s="4"/>
      <c r="OJ436" s="4"/>
      <c r="OK436" s="5"/>
      <c r="OL436" s="6"/>
      <c r="OM436" s="4"/>
      <c r="ON436" s="4"/>
      <c r="OO436" s="4"/>
      <c r="OP436" s="4"/>
      <c r="OQ436" s="4"/>
      <c r="OR436" s="5"/>
      <c r="OS436" s="6"/>
      <c r="OT436" s="4"/>
      <c r="OU436" s="4"/>
      <c r="OV436" s="4"/>
      <c r="OW436" s="4"/>
      <c r="OX436" s="4"/>
      <c r="OY436" s="5"/>
      <c r="OZ436" s="6"/>
      <c r="PA436" s="4"/>
      <c r="PB436" s="4"/>
      <c r="PC436" s="4"/>
      <c r="PD436" s="4"/>
      <c r="PE436" s="4"/>
      <c r="PF436" s="5"/>
      <c r="PG436" s="6"/>
      <c r="PH436" s="4"/>
      <c r="PI436" s="4"/>
      <c r="PJ436" s="4"/>
      <c r="PK436" s="4"/>
      <c r="PL436" s="4"/>
      <c r="PM436" s="5"/>
      <c r="PN436" s="6"/>
      <c r="PO436" s="4"/>
      <c r="PP436" s="4"/>
      <c r="PQ436" s="4"/>
      <c r="PR436" s="4"/>
      <c r="PS436" s="4"/>
      <c r="PT436" s="5"/>
      <c r="PU436" s="6"/>
      <c r="PV436" s="4"/>
      <c r="PW436" s="4"/>
      <c r="PX436" s="4"/>
      <c r="PY436" s="4"/>
      <c r="PZ436" s="4"/>
      <c r="QA436" s="5"/>
      <c r="QB436" s="6"/>
      <c r="QC436" s="4"/>
      <c r="QD436" s="4"/>
      <c r="QE436" s="4"/>
      <c r="QF436" s="4"/>
      <c r="QG436" s="4"/>
      <c r="QH436" s="5"/>
      <c r="QI436" s="6"/>
      <c r="QJ436" s="4"/>
      <c r="QK436" s="4"/>
      <c r="QL436" s="4"/>
      <c r="QM436" s="4"/>
      <c r="QN436" s="4"/>
      <c r="QO436" s="5"/>
      <c r="QP436" s="6"/>
      <c r="QQ436" s="4"/>
      <c r="QR436" s="4"/>
      <c r="QS436" s="4"/>
      <c r="QT436" s="4"/>
      <c r="QU436" s="4"/>
      <c r="QV436" s="5"/>
      <c r="QW436" s="6"/>
      <c r="QX436" s="4"/>
      <c r="QY436" s="4"/>
      <c r="QZ436" s="4"/>
      <c r="RA436" s="4"/>
      <c r="RB436" s="4"/>
      <c r="RC436" s="5"/>
      <c r="RD436" s="6"/>
      <c r="RE436" s="4"/>
      <c r="RF436" s="4"/>
      <c r="RG436" s="4"/>
      <c r="RH436" s="4"/>
      <c r="RI436" s="4"/>
      <c r="RJ436" s="5"/>
      <c r="RK436" s="6"/>
      <c r="RL436" s="4"/>
      <c r="RM436" s="4"/>
      <c r="RN436" s="4"/>
      <c r="RO436" s="4"/>
      <c r="RP436" s="4"/>
      <c r="RQ436" s="5"/>
      <c r="RR436" s="6"/>
      <c r="RS436" s="4"/>
      <c r="RT436" s="4"/>
      <c r="RU436" s="4"/>
      <c r="RV436" s="4"/>
      <c r="RW436" s="4"/>
      <c r="RX436" s="5"/>
      <c r="RY436" s="6"/>
      <c r="RZ436" s="4"/>
      <c r="SA436" s="4"/>
      <c r="SB436" s="4"/>
      <c r="SC436" s="4"/>
      <c r="SD436" s="4"/>
      <c r="SE436" s="5"/>
      <c r="SF436" s="6"/>
      <c r="SG436" s="4"/>
      <c r="SH436" s="4"/>
      <c r="SI436" s="4"/>
      <c r="SJ436" s="4"/>
      <c r="SK436" s="4"/>
      <c r="SL436" s="5"/>
      <c r="SM436" s="6"/>
      <c r="SN436" s="4"/>
      <c r="SO436" s="4"/>
      <c r="SP436" s="4"/>
      <c r="SQ436" s="4"/>
      <c r="SR436" s="4"/>
      <c r="SS436" s="5"/>
      <c r="ST436" s="6"/>
      <c r="SU436" s="4"/>
      <c r="SV436" s="4"/>
      <c r="SW436" s="4"/>
      <c r="SX436" s="4"/>
      <c r="SY436" s="4"/>
      <c r="SZ436" s="5"/>
      <c r="TA436" s="6"/>
      <c r="TB436" s="4"/>
      <c r="TC436" s="4"/>
      <c r="TD436" s="4"/>
      <c r="TE436" s="4"/>
      <c r="TF436" s="4"/>
      <c r="TG436" s="5"/>
      <c r="TH436" s="6"/>
      <c r="TI436" s="4"/>
      <c r="TJ436" s="4"/>
      <c r="TK436" s="4"/>
      <c r="TL436" s="4"/>
      <c r="TM436" s="4"/>
      <c r="TN436" s="5"/>
      <c r="TO436" s="6"/>
      <c r="TP436" s="4"/>
      <c r="TQ436" s="4"/>
      <c r="TR436" s="4"/>
      <c r="TS436" s="4"/>
      <c r="TT436" s="4"/>
      <c r="TU436" s="5"/>
      <c r="TV436" s="6"/>
      <c r="TW436" s="4"/>
      <c r="TX436" s="4"/>
      <c r="TY436" s="4"/>
      <c r="TZ436" s="4"/>
      <c r="UA436" s="4"/>
      <c r="UB436" s="5"/>
      <c r="UC436" s="6"/>
      <c r="UD436" s="4"/>
      <c r="UE436" s="4"/>
      <c r="UF436" s="4"/>
      <c r="UG436" s="4"/>
      <c r="UH436" s="4"/>
      <c r="UI436" s="5"/>
      <c r="UJ436" s="6"/>
      <c r="UK436" s="4"/>
      <c r="UL436" s="4"/>
      <c r="UM436" s="4"/>
      <c r="UN436" s="4"/>
      <c r="UO436" s="4"/>
      <c r="UP436" s="5"/>
      <c r="UQ436" s="6"/>
      <c r="UR436" s="4"/>
      <c r="US436" s="4"/>
      <c r="UT436" s="4"/>
      <c r="UU436" s="4"/>
      <c r="UV436" s="4"/>
      <c r="UW436" s="5"/>
      <c r="UX436" s="6"/>
      <c r="UY436" s="4"/>
      <c r="UZ436" s="4"/>
      <c r="VA436" s="4"/>
      <c r="VB436" s="8"/>
      <c r="VC436" s="8"/>
      <c r="VD436" s="5"/>
      <c r="VE436" s="6"/>
      <c r="VF436" s="4"/>
      <c r="VG436" s="4"/>
      <c r="VH436" s="4"/>
      <c r="VI436" s="4"/>
      <c r="VJ436" s="4"/>
      <c r="VK436" s="5"/>
      <c r="VL436" s="6"/>
      <c r="VM436" s="4"/>
      <c r="VN436" s="4"/>
      <c r="VO436" s="7"/>
      <c r="VP436" s="8"/>
      <c r="VQ436" s="8"/>
      <c r="VR436" s="5"/>
      <c r="VS436" s="6"/>
      <c r="VT436" s="4"/>
      <c r="VU436" s="4"/>
      <c r="VV436" s="4"/>
      <c r="VW436" s="4"/>
      <c r="VX436" s="4"/>
      <c r="VY436" s="5"/>
      <c r="VZ436" s="6"/>
      <c r="WA436" s="4"/>
      <c r="WB436" s="4"/>
      <c r="WC436" s="4"/>
      <c r="WD436" s="4"/>
      <c r="WE436" s="4"/>
      <c r="WF436" s="5"/>
      <c r="WG436" s="6"/>
      <c r="WH436" s="4"/>
      <c r="WI436" s="4"/>
      <c r="WJ436" s="4"/>
      <c r="WK436" s="4"/>
      <c r="WL436" s="4"/>
      <c r="WM436" s="5"/>
      <c r="WN436" s="6"/>
      <c r="WO436" s="4"/>
      <c r="WP436" s="4"/>
      <c r="WQ436" s="4"/>
      <c r="WR436" s="4"/>
      <c r="WS436" s="4"/>
      <c r="WT436" s="5"/>
      <c r="WU436" s="6"/>
      <c r="WV436" s="4"/>
      <c r="WW436" s="4"/>
      <c r="WX436" s="4"/>
      <c r="WY436" s="4"/>
      <c r="WZ436" s="4"/>
      <c r="XA436" s="5"/>
      <c r="XB436" s="6"/>
      <c r="XC436" s="4"/>
      <c r="XD436" s="4"/>
      <c r="XE436" s="4"/>
      <c r="XF436" s="4"/>
      <c r="XG436" s="4"/>
      <c r="XH436" s="5"/>
      <c r="XI436" s="6"/>
      <c r="XJ436" s="4"/>
      <c r="XK436" s="4"/>
      <c r="XL436" s="4"/>
      <c r="XM436" s="4"/>
      <c r="XN436" s="4"/>
      <c r="XO436" s="5"/>
      <c r="XP436" s="6"/>
      <c r="XQ436" s="4"/>
      <c r="XR436" s="4"/>
      <c r="XS436" s="4"/>
      <c r="XT436" s="4"/>
      <c r="XU436" s="4"/>
      <c r="XV436" s="5"/>
      <c r="XW436" s="6"/>
      <c r="XX436" s="4"/>
      <c r="XY436" s="4"/>
      <c r="XZ436" s="4"/>
      <c r="YA436" s="4"/>
      <c r="YB436" s="4"/>
      <c r="YC436" s="5"/>
      <c r="YD436" s="6"/>
      <c r="YE436" s="4"/>
      <c r="YF436" s="4"/>
      <c r="YG436" s="4"/>
      <c r="YH436" s="4"/>
      <c r="YI436" s="4"/>
      <c r="YJ436" s="5"/>
      <c r="YK436" s="6"/>
      <c r="YL436" s="4"/>
      <c r="YM436" s="4"/>
      <c r="YN436" s="4"/>
      <c r="YO436" s="4"/>
      <c r="YP436" s="4"/>
      <c r="YQ436" s="5"/>
      <c r="YR436" s="6"/>
      <c r="YS436" s="4"/>
      <c r="YT436" s="4"/>
      <c r="YU436" s="4"/>
      <c r="YV436" s="4"/>
      <c r="YW436" s="4"/>
      <c r="YX436" s="5"/>
      <c r="YY436" s="6"/>
      <c r="YZ436" s="4"/>
      <c r="ZA436" s="4"/>
      <c r="ZB436" s="4"/>
      <c r="ZC436" s="4"/>
      <c r="ZD436" s="4"/>
      <c r="ZE436" s="5"/>
      <c r="ZF436" s="6"/>
      <c r="ZG436" s="4"/>
      <c r="ZH436" s="4"/>
      <c r="ZI436" s="4"/>
      <c r="ZJ436" s="4"/>
      <c r="ZK436" s="4"/>
      <c r="ZL436" s="5"/>
      <c r="ZM436" s="6"/>
      <c r="ZN436" s="4"/>
      <c r="ZO436" s="4"/>
      <c r="ZP436" s="4"/>
      <c r="ZQ436" s="4"/>
      <c r="ZR436" s="4"/>
      <c r="ZS436" s="5"/>
      <c r="ZT436" s="6"/>
      <c r="ZU436" s="4"/>
      <c r="ZV436" s="4"/>
      <c r="ZW436" s="4"/>
      <c r="ZX436" s="4"/>
      <c r="ZY436" s="4"/>
      <c r="ZZ436" s="5"/>
      <c r="AAA436" s="6"/>
      <c r="AAB436" s="4"/>
      <c r="AAC436" s="4"/>
      <c r="AAD436" s="4"/>
      <c r="AAE436" s="4"/>
      <c r="AAF436" s="4"/>
      <c r="AAG436" s="5"/>
      <c r="AAH436" s="6"/>
      <c r="AAI436" s="4"/>
      <c r="AAJ436" s="4"/>
      <c r="AAK436" s="4"/>
      <c r="AAL436" s="4"/>
      <c r="AAM436" s="4"/>
      <c r="AAN436" s="5"/>
      <c r="AAO436" s="6"/>
      <c r="AAP436" s="4"/>
      <c r="AAQ436" s="4"/>
      <c r="AAR436" s="4"/>
      <c r="AAS436" s="4"/>
      <c r="AAT436" s="4"/>
      <c r="AAU436" s="5"/>
      <c r="AAV436" s="6"/>
      <c r="AAW436" s="4"/>
      <c r="AAX436" s="4"/>
      <c r="AAY436" s="4"/>
      <c r="AAZ436" s="4"/>
      <c r="ABA436" s="4"/>
      <c r="ABB436" s="5"/>
      <c r="ABC436" s="6"/>
      <c r="ABD436" s="4"/>
      <c r="ABE436" s="4"/>
      <c r="ABF436" s="4"/>
      <c r="ABG436" s="4"/>
      <c r="ABH436" s="4"/>
      <c r="ABI436" s="5"/>
      <c r="ABJ436" s="6"/>
      <c r="ABK436" s="4"/>
      <c r="ABL436" s="4"/>
      <c r="ABM436" s="4"/>
      <c r="ABN436" s="4"/>
      <c r="ABO436" s="4"/>
      <c r="ABP436" s="5"/>
      <c r="ABQ436" s="6"/>
      <c r="ABR436" s="4"/>
      <c r="ABS436" s="4"/>
      <c r="ABT436" s="4"/>
      <c r="ABU436" s="4"/>
      <c r="ABV436" s="4"/>
      <c r="ABW436" s="5"/>
      <c r="ABX436" s="6"/>
      <c r="ABY436" s="4"/>
      <c r="ABZ436" s="4"/>
      <c r="ACA436" s="4"/>
      <c r="ACB436" s="4"/>
      <c r="ACC436" s="4"/>
      <c r="ACD436" s="5"/>
      <c r="ACE436" s="6"/>
      <c r="ACF436" s="4"/>
      <c r="ACG436" s="4"/>
      <c r="ACH436" s="4"/>
      <c r="ACI436" s="4"/>
      <c r="ACJ436" s="4"/>
      <c r="ACK436" s="5"/>
      <c r="ACL436" s="6"/>
      <c r="ACM436" s="4"/>
      <c r="ACN436" s="4"/>
      <c r="ACO436" s="4"/>
      <c r="ACP436" s="4"/>
      <c r="ACQ436" s="4"/>
      <c r="ACR436" s="5"/>
      <c r="ACS436" s="6"/>
      <c r="ACT436" s="4"/>
      <c r="ACU436" s="4"/>
      <c r="ACV436" s="4"/>
      <c r="ACW436" s="4"/>
      <c r="ACX436" s="4"/>
      <c r="ACY436" s="5"/>
    </row>
    <row r="437" spans="2:804" x14ac:dyDescent="0.25">
      <c r="B437" s="29">
        <v>10030565</v>
      </c>
      <c r="C437" s="57">
        <v>28</v>
      </c>
      <c r="D437" t="s">
        <v>3730</v>
      </c>
      <c r="E437" s="35" t="s">
        <v>1290</v>
      </c>
      <c r="F437" s="23">
        <v>0</v>
      </c>
      <c r="I437">
        <v>1</v>
      </c>
      <c r="J437" s="19">
        <v>39123</v>
      </c>
      <c r="K437" s="19" t="s">
        <v>4000</v>
      </c>
      <c r="L437" s="19" t="s">
        <v>4001</v>
      </c>
      <c r="Q437">
        <v>1</v>
      </c>
      <c r="S437">
        <v>1</v>
      </c>
      <c r="AF437">
        <v>1</v>
      </c>
      <c r="AN437">
        <v>1</v>
      </c>
      <c r="AO437">
        <v>1</v>
      </c>
      <c r="AZ437">
        <v>1</v>
      </c>
      <c r="BH437">
        <v>1</v>
      </c>
      <c r="BW437">
        <v>1</v>
      </c>
      <c r="LL437" s="6" t="s">
        <v>1302</v>
      </c>
      <c r="LM437" s="4" t="s">
        <v>1709</v>
      </c>
      <c r="LN437" s="4"/>
      <c r="LO437" s="4" t="s">
        <v>115</v>
      </c>
      <c r="LP437" s="8">
        <v>39098</v>
      </c>
      <c r="LQ437" s="8">
        <v>39104</v>
      </c>
      <c r="LR437" s="5" t="s">
        <v>114</v>
      </c>
      <c r="LS437" s="4" t="s">
        <v>1800</v>
      </c>
      <c r="LT437" s="4" t="s">
        <v>1800</v>
      </c>
      <c r="LU437" s="4"/>
      <c r="LV437" s="4" t="s">
        <v>1430</v>
      </c>
      <c r="LW437" s="8">
        <v>39096</v>
      </c>
      <c r="LX437" s="8">
        <v>39099</v>
      </c>
      <c r="LY437" s="5"/>
      <c r="LZ437" s="6" t="s">
        <v>1428</v>
      </c>
      <c r="MA437" s="7" t="s">
        <v>1429</v>
      </c>
      <c r="MB437" s="7" t="s">
        <v>117</v>
      </c>
      <c r="MC437" s="7" t="s">
        <v>187</v>
      </c>
      <c r="MD437" s="8">
        <v>39099</v>
      </c>
      <c r="ME437" s="8">
        <v>39099</v>
      </c>
      <c r="MF437" s="4"/>
      <c r="MG437" s="5" t="s">
        <v>106</v>
      </c>
      <c r="MH437" s="6"/>
      <c r="MI437" s="4"/>
      <c r="MJ437" s="4"/>
      <c r="MK437" s="4"/>
      <c r="ML437" s="4"/>
      <c r="MM437" s="4"/>
      <c r="MN437" s="5"/>
      <c r="MO437" s="6"/>
      <c r="MP437" s="4"/>
      <c r="MQ437" s="4"/>
      <c r="MR437" s="4"/>
      <c r="MS437" s="4"/>
      <c r="MT437" s="4"/>
      <c r="MU437" s="5"/>
      <c r="MV437" s="6"/>
      <c r="MW437" s="4"/>
      <c r="MX437" s="4"/>
      <c r="MY437" s="4"/>
      <c r="MZ437" s="4"/>
      <c r="NA437" s="4"/>
      <c r="NB437" s="5"/>
      <c r="NC437" s="6"/>
      <c r="ND437" s="4"/>
      <c r="NE437" s="4"/>
      <c r="NF437" s="4"/>
      <c r="NG437" s="4"/>
      <c r="NH437" s="4"/>
      <c r="NI437" s="5"/>
      <c r="NJ437" s="6" t="s">
        <v>1817</v>
      </c>
      <c r="NK437" s="4" t="s">
        <v>1818</v>
      </c>
      <c r="NL437" s="4" t="s">
        <v>1565</v>
      </c>
      <c r="NM437" s="7" t="s">
        <v>1638</v>
      </c>
      <c r="NN437" s="8">
        <v>39097</v>
      </c>
      <c r="NO437" s="8">
        <v>39115</v>
      </c>
      <c r="NP437" s="5" t="s">
        <v>4003</v>
      </c>
      <c r="NQ437" s="6"/>
      <c r="NR437" s="4"/>
      <c r="NS437" s="4"/>
      <c r="NT437" s="4"/>
      <c r="NU437" s="4"/>
      <c r="NV437" s="4"/>
      <c r="NW437" s="5"/>
      <c r="NX437" s="6" t="s">
        <v>1861</v>
      </c>
      <c r="NY437" s="7" t="s">
        <v>1860</v>
      </c>
      <c r="NZ437" s="4"/>
      <c r="OA437" s="4"/>
      <c r="OB437" s="4"/>
      <c r="OC437" s="4"/>
      <c r="OD437" s="5"/>
      <c r="OE437" s="6"/>
      <c r="OF437" s="4"/>
      <c r="OG437" s="4"/>
      <c r="OH437" s="4"/>
      <c r="OI437" s="4"/>
      <c r="OJ437" s="4"/>
      <c r="OK437" s="5"/>
      <c r="OL437" s="6"/>
      <c r="OM437" s="4"/>
      <c r="ON437" s="4"/>
      <c r="OO437" s="4"/>
      <c r="OP437" s="4"/>
      <c r="OQ437" s="4"/>
      <c r="OR437" s="5"/>
      <c r="OS437" s="6" t="s">
        <v>3277</v>
      </c>
      <c r="OT437" s="4" t="s">
        <v>3013</v>
      </c>
      <c r="OU437" s="4"/>
      <c r="OV437" t="s">
        <v>107</v>
      </c>
      <c r="OW437" s="8">
        <v>39098</v>
      </c>
      <c r="OX437" s="8">
        <v>39099</v>
      </c>
      <c r="OY437" s="5" t="s">
        <v>104</v>
      </c>
      <c r="OZ437" s="6" t="s">
        <v>2334</v>
      </c>
      <c r="PA437" s="4" t="s">
        <v>2335</v>
      </c>
      <c r="PB437" s="4" t="s">
        <v>2012</v>
      </c>
      <c r="PC437" s="4"/>
      <c r="PD437" s="8">
        <v>39113</v>
      </c>
      <c r="PE437" s="4"/>
      <c r="PF437" s="5" t="s">
        <v>4141</v>
      </c>
      <c r="PG437" s="6"/>
      <c r="PH437" s="4"/>
      <c r="PI437" s="4"/>
      <c r="PJ437" s="4"/>
      <c r="PK437" s="4"/>
      <c r="PL437" s="4"/>
      <c r="PM437" s="5"/>
      <c r="PN437" s="6"/>
      <c r="PO437" s="4"/>
      <c r="PP437" s="4"/>
      <c r="PQ437" s="4"/>
      <c r="PR437" s="4"/>
      <c r="PS437" s="4"/>
      <c r="PT437" s="5"/>
      <c r="PU437" s="6"/>
      <c r="PV437" s="4"/>
      <c r="PW437" s="4"/>
      <c r="PX437" s="4"/>
      <c r="PY437" s="4"/>
      <c r="PZ437" s="4"/>
      <c r="QA437" s="5"/>
      <c r="QB437" s="6"/>
      <c r="QC437" s="4"/>
      <c r="QD437" s="4"/>
      <c r="QE437" s="4"/>
      <c r="QF437" s="4"/>
      <c r="QG437" s="4"/>
      <c r="QH437" s="5"/>
      <c r="QI437" s="6"/>
      <c r="QJ437" s="4"/>
      <c r="QK437" s="4"/>
      <c r="QL437" s="4"/>
      <c r="QM437" s="4"/>
      <c r="QN437" s="4"/>
      <c r="QO437" s="5"/>
      <c r="QP437" s="6"/>
      <c r="QQ437" s="4"/>
      <c r="QR437" s="4"/>
      <c r="QS437" s="4"/>
      <c r="QT437" s="4"/>
      <c r="QU437" s="4"/>
      <c r="QV437" s="5"/>
      <c r="QW437" s="6"/>
      <c r="QX437" s="4"/>
      <c r="QY437" s="4"/>
      <c r="QZ437" s="4"/>
      <c r="RA437" s="4"/>
      <c r="RB437" s="4"/>
      <c r="RC437" s="5"/>
      <c r="RD437" s="6"/>
      <c r="RE437" s="4"/>
      <c r="RF437" s="4"/>
      <c r="RG437" s="4"/>
      <c r="RH437" s="4"/>
      <c r="RI437" s="4"/>
      <c r="RJ437" s="5"/>
      <c r="RK437" s="6"/>
      <c r="RL437" s="4"/>
      <c r="RM437" s="4"/>
      <c r="RN437" s="4"/>
      <c r="RO437" s="4"/>
      <c r="RP437" s="4"/>
      <c r="RQ437" s="5"/>
      <c r="RR437" s="6"/>
      <c r="RS437" s="4"/>
      <c r="RT437" s="4"/>
      <c r="RU437" s="4"/>
      <c r="RV437" s="4"/>
      <c r="RW437" s="4"/>
      <c r="RX437" s="5"/>
      <c r="RY437" s="6"/>
      <c r="RZ437" s="4"/>
      <c r="SA437" s="4"/>
      <c r="SB437" s="4"/>
      <c r="SC437" s="4"/>
      <c r="SD437" s="4"/>
      <c r="SE437" s="5"/>
      <c r="SF437" s="6"/>
      <c r="SG437" s="4"/>
      <c r="SH437" s="4"/>
      <c r="SI437" s="4"/>
      <c r="SJ437" s="4"/>
      <c r="SK437" s="4"/>
      <c r="SL437" s="5"/>
      <c r="SM437" s="6"/>
      <c r="SN437" s="4"/>
      <c r="SO437" s="4"/>
      <c r="SP437" s="4"/>
      <c r="SQ437" s="4"/>
      <c r="SR437" s="4"/>
      <c r="SS437" s="5"/>
      <c r="ST437" s="6"/>
      <c r="SU437" s="4"/>
      <c r="SV437" s="4"/>
      <c r="SW437" s="4"/>
      <c r="SX437" s="4"/>
      <c r="SY437" s="4"/>
      <c r="SZ437" s="5"/>
      <c r="TA437" s="6"/>
      <c r="TB437" s="4"/>
      <c r="TC437" s="4"/>
      <c r="TD437" s="4"/>
      <c r="TE437" s="4"/>
      <c r="TF437" s="4"/>
      <c r="TG437" s="5"/>
      <c r="TH437" s="6"/>
      <c r="TI437" s="4"/>
      <c r="TJ437" s="4"/>
      <c r="TK437" s="4"/>
      <c r="TL437" s="4"/>
      <c r="TM437" s="4"/>
      <c r="TN437" s="5"/>
      <c r="TO437" s="6"/>
      <c r="TP437" s="4"/>
      <c r="TQ437" s="4"/>
      <c r="TR437" s="4"/>
      <c r="TS437" s="4"/>
      <c r="TT437" s="4"/>
      <c r="TU437" s="5"/>
      <c r="TV437" s="6"/>
      <c r="TW437" s="4"/>
      <c r="TX437" s="4"/>
      <c r="TY437" s="4"/>
      <c r="TZ437" s="4"/>
      <c r="UA437" s="4"/>
      <c r="UB437" s="5"/>
      <c r="UC437" s="6"/>
      <c r="UD437" s="4"/>
      <c r="UE437" s="4"/>
      <c r="UF437" s="4"/>
      <c r="UG437" s="4"/>
      <c r="UH437" s="4"/>
      <c r="UI437" s="5"/>
      <c r="UJ437" s="6"/>
      <c r="UK437" s="4"/>
      <c r="UL437" s="4"/>
      <c r="UM437" s="4"/>
      <c r="UN437" s="4"/>
      <c r="UO437" s="4"/>
      <c r="UP437" s="5"/>
      <c r="UQ437" s="6"/>
      <c r="UR437" s="4"/>
      <c r="US437" s="4"/>
      <c r="UT437" s="4"/>
      <c r="UU437" s="4"/>
      <c r="UV437" s="4"/>
      <c r="UW437" s="5"/>
      <c r="UX437" s="6" t="s">
        <v>3679</v>
      </c>
      <c r="UY437" s="4" t="s">
        <v>3145</v>
      </c>
      <c r="UZ437" s="4"/>
      <c r="VA437" s="4" t="s">
        <v>111</v>
      </c>
      <c r="VB437" s="8">
        <v>39098</v>
      </c>
      <c r="VC437" s="8">
        <v>39468</v>
      </c>
      <c r="VD437" s="5" t="s">
        <v>110</v>
      </c>
      <c r="VE437" s="6" t="s">
        <v>3046</v>
      </c>
      <c r="VF437" s="4" t="s">
        <v>3046</v>
      </c>
      <c r="VG437" s="4" t="s">
        <v>95</v>
      </c>
      <c r="VH437" s="4"/>
      <c r="VI437" s="8">
        <v>39116</v>
      </c>
      <c r="VJ437" s="4"/>
      <c r="VK437" s="5"/>
      <c r="VL437" s="6" t="s">
        <v>1426</v>
      </c>
      <c r="VM437" s="4" t="s">
        <v>2798</v>
      </c>
      <c r="VN437" s="4" t="s">
        <v>105</v>
      </c>
      <c r="VO437" s="4"/>
      <c r="VP437" s="4"/>
      <c r="VQ437" s="4"/>
      <c r="VR437" s="5"/>
      <c r="VS437" s="6"/>
      <c r="VT437" s="4"/>
      <c r="VU437" s="4"/>
      <c r="VV437" s="4"/>
      <c r="VW437" s="4"/>
      <c r="VX437" s="4"/>
      <c r="VY437" s="5"/>
      <c r="VZ437" s="6" t="s">
        <v>1562</v>
      </c>
      <c r="WA437" s="4" t="s">
        <v>1563</v>
      </c>
      <c r="WB437" s="4" t="s">
        <v>96</v>
      </c>
      <c r="WC437" s="4" t="s">
        <v>1425</v>
      </c>
      <c r="WD437" s="8">
        <v>39114</v>
      </c>
      <c r="WE437" s="8">
        <v>39116</v>
      </c>
      <c r="WF437" s="5" t="s">
        <v>4004</v>
      </c>
      <c r="WG437" s="6"/>
      <c r="WH437" s="4"/>
      <c r="WI437" s="4"/>
      <c r="WJ437" s="4"/>
      <c r="WK437" s="4"/>
      <c r="WL437" s="4"/>
      <c r="WM437" s="5"/>
      <c r="WN437" s="6"/>
      <c r="WO437" s="4"/>
      <c r="WP437" s="4"/>
      <c r="WQ437" s="4"/>
      <c r="WR437" s="4"/>
      <c r="WS437" s="4"/>
      <c r="WT437" s="5"/>
      <c r="WU437" s="6"/>
      <c r="WV437" s="4"/>
      <c r="WW437" s="4"/>
      <c r="WX437" s="4"/>
      <c r="WY437" s="4"/>
      <c r="WZ437" s="4"/>
      <c r="XA437" s="5"/>
      <c r="XB437" s="6"/>
      <c r="XC437" s="4"/>
      <c r="XD437" s="4"/>
      <c r="XE437" s="4"/>
      <c r="XF437" s="4"/>
      <c r="XG437" s="4"/>
      <c r="XH437" s="5"/>
      <c r="XI437" s="6"/>
      <c r="XJ437" s="4"/>
      <c r="XK437" s="4"/>
      <c r="XL437" s="4"/>
      <c r="XM437" s="4"/>
      <c r="XN437" s="4"/>
      <c r="XO437" s="5"/>
      <c r="XP437" s="6" t="s">
        <v>1956</v>
      </c>
      <c r="XQ437" s="4" t="s">
        <v>1884</v>
      </c>
      <c r="XR437" s="4"/>
      <c r="XS437" s="4" t="s">
        <v>123</v>
      </c>
      <c r="XT437" s="8">
        <v>39103</v>
      </c>
      <c r="XU437" s="8">
        <v>39103</v>
      </c>
      <c r="XV437" s="5" t="s">
        <v>124</v>
      </c>
      <c r="XW437" s="6"/>
      <c r="XX437" s="4"/>
      <c r="XY437" s="4"/>
      <c r="XZ437" s="4"/>
      <c r="YA437" s="4"/>
      <c r="YB437" s="4"/>
      <c r="YC437" s="5"/>
      <c r="YD437" s="6"/>
      <c r="YE437" s="4"/>
      <c r="YF437" s="4"/>
      <c r="YG437" s="4"/>
      <c r="YH437" s="4"/>
      <c r="YI437" s="4"/>
      <c r="YJ437" s="5"/>
      <c r="YK437" s="6" t="s">
        <v>3352</v>
      </c>
      <c r="YL437" s="7" t="s">
        <v>3353</v>
      </c>
      <c r="YM437" s="4"/>
      <c r="YN437" s="4" t="s">
        <v>108</v>
      </c>
      <c r="YO437" s="8">
        <v>39098</v>
      </c>
      <c r="YP437" s="8">
        <v>39100</v>
      </c>
      <c r="YQ437" s="5" t="s">
        <v>109</v>
      </c>
      <c r="YR437" s="6"/>
      <c r="YS437" s="4"/>
      <c r="YT437" s="4"/>
      <c r="YU437" s="4"/>
      <c r="YV437" s="4"/>
      <c r="YW437" s="4"/>
      <c r="YX437" s="5"/>
      <c r="YY437" s="6"/>
      <c r="YZ437" s="4"/>
      <c r="ZA437" s="4"/>
      <c r="ZB437" s="4"/>
      <c r="ZC437" s="4"/>
      <c r="ZD437" s="4"/>
      <c r="ZE437" s="5"/>
      <c r="ZF437" s="6"/>
      <c r="ZG437" s="4"/>
      <c r="ZH437" s="4"/>
      <c r="ZI437" s="4"/>
      <c r="ZJ437" s="4"/>
      <c r="ZK437" s="4"/>
      <c r="ZL437" s="5"/>
      <c r="ZM437" s="6"/>
      <c r="ZN437" s="4"/>
      <c r="ZO437" s="4"/>
      <c r="ZP437" s="4"/>
      <c r="ZQ437" s="4"/>
      <c r="ZR437" s="4"/>
      <c r="ZS437" s="5"/>
      <c r="ZT437" s="6"/>
      <c r="ZU437" s="4"/>
      <c r="ZV437" s="4"/>
      <c r="ZW437" s="4"/>
      <c r="ZX437" s="4"/>
      <c r="ZY437" s="4"/>
      <c r="ZZ437" s="5"/>
      <c r="AAA437" s="6"/>
      <c r="AAB437" s="4"/>
      <c r="AAC437" s="4"/>
      <c r="AAD437" s="4"/>
      <c r="AAE437" s="4"/>
      <c r="AAF437" s="4"/>
      <c r="AAG437" s="5"/>
      <c r="AAH437" s="6" t="s">
        <v>2895</v>
      </c>
      <c r="AAI437" s="4" t="s">
        <v>2581</v>
      </c>
      <c r="AAJ437" s="4" t="s">
        <v>120</v>
      </c>
      <c r="AAK437" s="7" t="s">
        <v>121</v>
      </c>
      <c r="AAL437" s="9">
        <v>39102</v>
      </c>
      <c r="AAM437" s="8">
        <v>39103</v>
      </c>
      <c r="AAN437" s="5"/>
      <c r="AAO437" s="6"/>
      <c r="AAP437" s="4"/>
      <c r="AAQ437" s="4"/>
      <c r="AAR437" s="4"/>
      <c r="AAS437" s="4"/>
      <c r="AAT437" s="4"/>
      <c r="AAU437" s="5"/>
      <c r="AAV437" s="6"/>
      <c r="AAW437" s="4"/>
      <c r="AAX437" s="4"/>
      <c r="AAY437" s="4"/>
      <c r="AAZ437" s="4"/>
      <c r="ABA437" s="4"/>
      <c r="ABB437" s="5"/>
      <c r="ABC437" s="6"/>
      <c r="ABD437" s="4"/>
      <c r="ABE437" s="4"/>
      <c r="ABF437" s="4"/>
      <c r="ABG437" s="4"/>
      <c r="ABH437" s="4"/>
      <c r="ABI437" s="5"/>
      <c r="ABJ437" s="6" t="s">
        <v>3003</v>
      </c>
      <c r="ABK437" s="4" t="s">
        <v>1518</v>
      </c>
      <c r="ABL437" s="4" t="s">
        <v>200</v>
      </c>
      <c r="ABM437" s="8">
        <v>39097</v>
      </c>
      <c r="ABN437" s="8">
        <v>39103</v>
      </c>
      <c r="ABO437" s="4"/>
      <c r="ABP437" s="5"/>
      <c r="ABQ437" s="6"/>
      <c r="ABR437" s="4"/>
      <c r="ABS437" s="4"/>
      <c r="ABT437" s="4"/>
      <c r="ABU437" s="4"/>
      <c r="ABV437" s="4"/>
      <c r="ABW437" s="5"/>
      <c r="ABX437" s="6"/>
      <c r="ABY437" s="4"/>
      <c r="ABZ437" s="4"/>
      <c r="ACA437" s="4"/>
      <c r="ACB437" s="4"/>
      <c r="ACC437" s="4"/>
      <c r="ACD437" s="5"/>
      <c r="ACE437" s="6"/>
      <c r="ACF437" s="4"/>
      <c r="ACG437" s="4"/>
      <c r="ACH437" s="4"/>
      <c r="ACI437" s="4"/>
      <c r="ACJ437" s="4"/>
      <c r="ACK437" s="5"/>
      <c r="ACL437" s="6"/>
      <c r="ACM437" s="4"/>
      <c r="ACN437" s="4"/>
      <c r="ACO437" s="4"/>
      <c r="ACP437" s="4"/>
      <c r="ACQ437" s="4"/>
      <c r="ACR437" s="5"/>
      <c r="ACS437" s="6"/>
      <c r="ACT437" s="4"/>
      <c r="ACU437" s="4"/>
      <c r="ACV437" s="4"/>
      <c r="ACW437" s="4"/>
      <c r="ACX437" s="4"/>
      <c r="ACY437" s="5"/>
      <c r="ADD437" t="s">
        <v>4127</v>
      </c>
      <c r="ADO437" t="s">
        <v>4128</v>
      </c>
      <c r="ADX437" t="s">
        <v>4126</v>
      </c>
    </row>
    <row r="438" spans="2:804" x14ac:dyDescent="0.25">
      <c r="J438" s="12"/>
      <c r="K438" s="12"/>
      <c r="L438" s="12"/>
      <c r="LL438" s="6"/>
      <c r="LM438" s="4"/>
      <c r="LN438" s="4"/>
      <c r="LO438" s="4"/>
      <c r="LP438" s="4"/>
      <c r="LQ438" s="4"/>
      <c r="LR438" s="5"/>
      <c r="LS438" s="6" t="s">
        <v>1952</v>
      </c>
      <c r="LT438" s="4" t="s">
        <v>1800</v>
      </c>
      <c r="LU438" s="4"/>
      <c r="LV438" s="4"/>
      <c r="LW438" s="8">
        <v>39098</v>
      </c>
      <c r="LX438" s="8">
        <v>39099</v>
      </c>
      <c r="LY438" s="5" t="s">
        <v>106</v>
      </c>
      <c r="LZ438" s="6" t="s">
        <v>3213</v>
      </c>
      <c r="MA438" s="7" t="s">
        <v>2525</v>
      </c>
      <c r="MB438" s="7" t="s">
        <v>1431</v>
      </c>
      <c r="MC438" s="7" t="s">
        <v>1303</v>
      </c>
      <c r="MD438" s="8">
        <v>39103</v>
      </c>
      <c r="ME438" s="8">
        <v>39116</v>
      </c>
      <c r="MF438" s="8"/>
      <c r="MG438" s="5" t="s">
        <v>4002</v>
      </c>
      <c r="MH438" s="6"/>
      <c r="MI438" s="4"/>
      <c r="MJ438" s="4"/>
      <c r="MK438" s="4"/>
      <c r="ML438" s="4"/>
      <c r="MM438" s="4"/>
      <c r="MN438" s="5"/>
      <c r="MO438" s="6"/>
      <c r="MP438" s="4"/>
      <c r="MQ438" s="4"/>
      <c r="MR438" s="4"/>
      <c r="MS438" s="4"/>
      <c r="MT438" s="4"/>
      <c r="MU438" s="5"/>
      <c r="MV438" s="6"/>
      <c r="MW438" s="4"/>
      <c r="MX438" s="4"/>
      <c r="MY438" s="4"/>
      <c r="MZ438" s="4"/>
      <c r="NA438" s="4"/>
      <c r="NB438" s="5"/>
      <c r="NC438" s="6"/>
      <c r="ND438" s="4"/>
      <c r="NE438" s="4"/>
      <c r="NF438" s="4"/>
      <c r="NG438" s="4"/>
      <c r="NH438" s="4"/>
      <c r="NI438" s="5"/>
      <c r="NJ438" s="6"/>
      <c r="NK438" s="4"/>
      <c r="NL438" s="4"/>
      <c r="NM438" s="4"/>
      <c r="NN438" s="4"/>
      <c r="NO438" s="4"/>
      <c r="NP438" s="5"/>
      <c r="NQ438" s="6"/>
      <c r="NR438" s="4"/>
      <c r="NS438" s="4"/>
      <c r="NT438" s="4"/>
      <c r="NU438" s="4"/>
      <c r="NV438" s="4"/>
      <c r="NW438" s="5"/>
      <c r="NX438" s="6"/>
      <c r="NY438" s="4"/>
      <c r="NZ438" s="4"/>
      <c r="OA438" s="4"/>
      <c r="OB438" s="4"/>
      <c r="OC438" s="4"/>
      <c r="OD438" s="5"/>
      <c r="OE438" s="6"/>
      <c r="OF438" s="4"/>
      <c r="OG438" s="4"/>
      <c r="OH438" s="4"/>
      <c r="OI438" s="4"/>
      <c r="OJ438" s="4"/>
      <c r="OK438" s="5"/>
      <c r="OL438" s="6"/>
      <c r="OM438" s="4"/>
      <c r="ON438" s="4"/>
      <c r="OO438" s="4"/>
      <c r="OP438" s="4"/>
      <c r="OQ438" s="4"/>
      <c r="OR438" s="5"/>
      <c r="OS438" s="6"/>
      <c r="OT438" s="4"/>
      <c r="OU438" s="4"/>
      <c r="OV438" s="4"/>
      <c r="OW438" s="4"/>
      <c r="OX438" s="4"/>
      <c r="OY438" s="5"/>
      <c r="OZ438" s="6" t="s">
        <v>2334</v>
      </c>
      <c r="PA438" s="4" t="s">
        <v>2335</v>
      </c>
      <c r="PB438" t="s">
        <v>1639</v>
      </c>
      <c r="PC438" s="4"/>
      <c r="PD438" s="4"/>
      <c r="PE438" s="4"/>
      <c r="PF438" s="5"/>
      <c r="PG438" s="6"/>
      <c r="PH438" s="4"/>
      <c r="PI438" s="4"/>
      <c r="PJ438" s="4"/>
      <c r="PK438" s="4"/>
      <c r="PL438" s="4"/>
      <c r="PM438" s="5"/>
      <c r="PN438" s="6"/>
      <c r="PO438" s="4"/>
      <c r="PP438" s="4"/>
      <c r="PQ438" s="4"/>
      <c r="PR438" s="4"/>
      <c r="PS438" s="4"/>
      <c r="PT438" s="5"/>
      <c r="PU438" s="6"/>
      <c r="PV438" s="4"/>
      <c r="PW438" s="4"/>
      <c r="PX438" s="4"/>
      <c r="PY438" s="4"/>
      <c r="PZ438" s="4"/>
      <c r="QA438" s="5"/>
      <c r="QB438" s="6"/>
      <c r="QC438" s="4"/>
      <c r="QD438" s="4"/>
      <c r="QE438" s="4"/>
      <c r="QF438" s="4"/>
      <c r="QG438" s="4"/>
      <c r="QH438" s="5"/>
      <c r="QI438" s="6"/>
      <c r="QJ438" s="4"/>
      <c r="QK438" s="4"/>
      <c r="QL438" s="4"/>
      <c r="QM438" s="4"/>
      <c r="QN438" s="4"/>
      <c r="QO438" s="5"/>
      <c r="QP438" s="6"/>
      <c r="QQ438" s="4"/>
      <c r="QR438" s="4"/>
      <c r="QS438" s="4"/>
      <c r="QT438" s="4"/>
      <c r="QU438" s="4"/>
      <c r="QV438" s="5"/>
      <c r="QW438" s="6"/>
      <c r="QX438" s="4"/>
      <c r="QY438" s="4"/>
      <c r="QZ438" s="4"/>
      <c r="RA438" s="4"/>
      <c r="RB438" s="4"/>
      <c r="RC438" s="5"/>
      <c r="RD438" s="6"/>
      <c r="RE438" s="4"/>
      <c r="RF438" s="4"/>
      <c r="RG438" s="4"/>
      <c r="RH438" s="4"/>
      <c r="RI438" s="4"/>
      <c r="RJ438" s="5"/>
      <c r="RK438" s="6"/>
      <c r="RL438" s="4"/>
      <c r="RM438" s="4"/>
      <c r="RN438" s="4"/>
      <c r="RO438" s="4"/>
      <c r="RP438" s="4"/>
      <c r="RQ438" s="5"/>
      <c r="RR438" s="6"/>
      <c r="RS438" s="4"/>
      <c r="RT438" s="4"/>
      <c r="RU438" s="4"/>
      <c r="RV438" s="4"/>
      <c r="RW438" s="4"/>
      <c r="RX438" s="5"/>
      <c r="RY438" s="6"/>
      <c r="RZ438" s="4"/>
      <c r="SA438" s="4"/>
      <c r="SB438" s="4"/>
      <c r="SC438" s="4"/>
      <c r="SD438" s="4"/>
      <c r="SE438" s="5"/>
      <c r="SF438" s="6"/>
      <c r="SG438" s="4"/>
      <c r="SH438" s="4"/>
      <c r="SI438" s="4"/>
      <c r="SJ438" s="4"/>
      <c r="SK438" s="4"/>
      <c r="SL438" s="5"/>
      <c r="SM438" s="6"/>
      <c r="SN438" s="4"/>
      <c r="SO438" s="4"/>
      <c r="SP438" s="4"/>
      <c r="SQ438" s="4"/>
      <c r="SR438" s="4"/>
      <c r="SS438" s="5"/>
      <c r="ST438" s="6"/>
      <c r="SU438" s="4"/>
      <c r="SV438" s="4"/>
      <c r="SW438" s="4"/>
      <c r="SX438" s="4"/>
      <c r="SY438" s="4"/>
      <c r="SZ438" s="5"/>
      <c r="TA438" s="6"/>
      <c r="TB438" s="4"/>
      <c r="TC438" s="4"/>
      <c r="TD438" s="4"/>
      <c r="TE438" s="4"/>
      <c r="TF438" s="4"/>
      <c r="TG438" s="5"/>
      <c r="TH438" s="6"/>
      <c r="TI438" s="4"/>
      <c r="TJ438" s="4"/>
      <c r="TK438" s="4"/>
      <c r="TL438" s="4"/>
      <c r="TM438" s="4"/>
      <c r="TN438" s="5"/>
      <c r="TO438" s="6"/>
      <c r="TP438" s="4"/>
      <c r="TQ438" s="4"/>
      <c r="TR438" s="4"/>
      <c r="TS438" s="4"/>
      <c r="TT438" s="4"/>
      <c r="TU438" s="5"/>
      <c r="TV438" s="6"/>
      <c r="TW438" s="4"/>
      <c r="TX438" s="4"/>
      <c r="TY438" s="4"/>
      <c r="TZ438" s="4"/>
      <c r="UA438" s="4"/>
      <c r="UB438" s="5"/>
      <c r="UC438" s="6"/>
      <c r="UD438" s="4"/>
      <c r="UE438" s="4"/>
      <c r="UF438" s="4"/>
      <c r="UG438" s="4"/>
      <c r="UH438" s="4"/>
      <c r="UI438" s="5"/>
      <c r="UJ438" s="6"/>
      <c r="UK438" s="4"/>
      <c r="UL438" s="4"/>
      <c r="UM438" s="4"/>
      <c r="UN438" s="4"/>
      <c r="UO438" s="4"/>
      <c r="UP438" s="5"/>
      <c r="UQ438" s="6"/>
      <c r="UR438" s="4"/>
      <c r="US438" s="4"/>
      <c r="UT438" s="4"/>
      <c r="UU438" s="4"/>
      <c r="UV438" s="4"/>
      <c r="UW438" s="5"/>
      <c r="UX438" s="6"/>
      <c r="UY438" s="4"/>
      <c r="UZ438" s="4"/>
      <c r="VA438" s="4"/>
      <c r="VB438" s="4"/>
      <c r="VC438" s="4"/>
      <c r="VD438" s="5"/>
      <c r="VE438" s="6" t="s">
        <v>2803</v>
      </c>
      <c r="VF438" s="4" t="s">
        <v>3260</v>
      </c>
      <c r="VG438" s="4" t="s">
        <v>1491</v>
      </c>
      <c r="VH438" s="7" t="s">
        <v>1942</v>
      </c>
      <c r="VI438" s="8">
        <v>39100</v>
      </c>
      <c r="VJ438" s="8">
        <v>39115</v>
      </c>
      <c r="VK438" s="5"/>
      <c r="VL438" s="6"/>
      <c r="VM438" s="4"/>
      <c r="VN438" s="4"/>
      <c r="VO438" s="4"/>
      <c r="VP438" s="4"/>
      <c r="VQ438" s="4"/>
      <c r="VR438" s="5"/>
      <c r="VS438" s="6"/>
      <c r="VT438" s="4"/>
      <c r="VU438" s="4"/>
      <c r="VV438" s="4"/>
      <c r="VW438" s="4"/>
      <c r="VX438" s="4"/>
      <c r="VY438" s="5"/>
      <c r="VZ438" s="6" t="s">
        <v>1561</v>
      </c>
      <c r="WA438" s="4" t="s">
        <v>3171</v>
      </c>
      <c r="WB438" s="4" t="s">
        <v>1713</v>
      </c>
      <c r="WC438" s="7" t="s">
        <v>1857</v>
      </c>
      <c r="WD438" s="8">
        <v>39104</v>
      </c>
      <c r="WE438" s="8">
        <v>39115</v>
      </c>
      <c r="WF438" s="5" t="s">
        <v>4005</v>
      </c>
      <c r="WG438" s="6"/>
      <c r="WH438" s="4"/>
      <c r="WI438" s="4"/>
      <c r="WJ438" s="4"/>
      <c r="WK438" s="4"/>
      <c r="WL438" s="4"/>
      <c r="WM438" s="5"/>
      <c r="WN438" s="6"/>
      <c r="WO438" s="4"/>
      <c r="WP438" s="4"/>
      <c r="WQ438" s="4"/>
      <c r="WR438" s="4"/>
      <c r="WS438" s="4"/>
      <c r="WT438" s="5"/>
      <c r="WU438" s="6"/>
      <c r="WV438" s="4"/>
      <c r="WW438" s="4"/>
      <c r="WX438" s="4"/>
      <c r="WY438" s="4"/>
      <c r="WZ438" s="4"/>
      <c r="XA438" s="5"/>
      <c r="XB438" s="6"/>
      <c r="XC438" s="4"/>
      <c r="XD438" s="4"/>
      <c r="XE438" s="4"/>
      <c r="XF438" s="4"/>
      <c r="XG438" s="4"/>
      <c r="XH438" s="5"/>
      <c r="XI438" s="6"/>
      <c r="XJ438" s="4"/>
      <c r="XK438" s="4"/>
      <c r="XL438" s="4"/>
      <c r="XM438" s="4"/>
      <c r="XN438" s="4"/>
      <c r="XO438" s="5"/>
      <c r="XP438" s="6"/>
      <c r="XQ438" s="4"/>
      <c r="XR438" s="4"/>
      <c r="XS438" s="4"/>
      <c r="XT438" s="4"/>
      <c r="XU438" s="4"/>
      <c r="XV438" s="5"/>
      <c r="XW438" s="6"/>
      <c r="XX438" s="4"/>
      <c r="XY438" s="4"/>
      <c r="XZ438" s="4"/>
      <c r="YA438" s="4"/>
      <c r="YB438" s="4"/>
      <c r="YC438" s="5"/>
      <c r="YD438" s="6"/>
      <c r="YE438" s="4"/>
      <c r="YF438" s="4"/>
      <c r="YG438" s="4"/>
      <c r="YH438" s="4"/>
      <c r="YI438" s="4"/>
      <c r="YJ438" s="5"/>
      <c r="YK438" s="6" t="s">
        <v>1427</v>
      </c>
      <c r="YL438" s="7" t="s">
        <v>1427</v>
      </c>
      <c r="YM438" s="4"/>
      <c r="YN438" s="4"/>
      <c r="YO438" s="8">
        <v>39098</v>
      </c>
      <c r="YP438" s="4"/>
      <c r="YQ438" s="5" t="s">
        <v>104</v>
      </c>
      <c r="YR438" s="6"/>
      <c r="YS438" s="4"/>
      <c r="YT438" s="4"/>
      <c r="YU438" s="4"/>
      <c r="YV438" s="4"/>
      <c r="YW438" s="4"/>
      <c r="YX438" s="5"/>
      <c r="YY438" s="6"/>
      <c r="YZ438" s="4"/>
      <c r="ZA438" s="4"/>
      <c r="ZB438" s="4"/>
      <c r="ZC438" s="4"/>
      <c r="ZD438" s="4"/>
      <c r="ZE438" s="5"/>
      <c r="ZF438" s="6"/>
      <c r="ZG438" s="4"/>
      <c r="ZH438" s="4"/>
      <c r="ZI438" s="4"/>
      <c r="ZJ438" s="4"/>
      <c r="ZK438" s="4"/>
      <c r="ZL438" s="5"/>
      <c r="ZM438" s="6"/>
      <c r="ZN438" s="4"/>
      <c r="ZO438" s="4"/>
      <c r="ZP438" s="4"/>
      <c r="ZQ438" s="4"/>
      <c r="ZR438" s="4"/>
      <c r="ZS438" s="5"/>
      <c r="ZT438" s="6"/>
      <c r="ZU438" s="4"/>
      <c r="ZV438" s="4"/>
      <c r="ZW438" s="4"/>
      <c r="ZX438" s="4"/>
      <c r="ZY438" s="4"/>
      <c r="ZZ438" s="5"/>
      <c r="AAA438" s="6"/>
      <c r="AAB438" s="4"/>
      <c r="AAC438" s="4"/>
      <c r="AAD438" s="4"/>
      <c r="AAE438" s="4"/>
      <c r="AAF438" s="4"/>
      <c r="AAG438" s="5"/>
      <c r="AAH438" s="6"/>
      <c r="AAI438" s="4"/>
      <c r="AAJ438" s="4"/>
      <c r="AAK438" s="4"/>
      <c r="AAL438" s="4"/>
      <c r="AAM438" s="4"/>
      <c r="AAN438" s="5"/>
      <c r="AAO438" s="6"/>
      <c r="AAP438" s="4"/>
      <c r="AAQ438" s="4"/>
      <c r="AAR438" s="4"/>
      <c r="AAS438" s="4"/>
      <c r="AAT438" s="4"/>
      <c r="AAU438" s="5"/>
      <c r="AAV438" s="6"/>
      <c r="AAW438" s="4"/>
      <c r="AAX438" s="4"/>
      <c r="AAY438" s="4"/>
      <c r="AAZ438" s="4"/>
      <c r="ABA438" s="4"/>
      <c r="ABB438" s="5"/>
      <c r="ABC438" s="6"/>
      <c r="ABD438" s="4"/>
      <c r="ABE438" s="4"/>
      <c r="ABF438" s="4"/>
      <c r="ABG438" s="4"/>
      <c r="ABH438" s="4"/>
      <c r="ABI438" s="5"/>
      <c r="ABJ438" s="6"/>
      <c r="ABK438" s="4"/>
      <c r="ABL438" s="4"/>
      <c r="ABM438" s="4"/>
      <c r="ABN438" s="4"/>
      <c r="ABO438" s="4"/>
      <c r="ABP438" s="5"/>
      <c r="ABQ438" s="6"/>
      <c r="ABR438" s="4"/>
      <c r="ABS438" s="4"/>
      <c r="ABT438" s="4"/>
      <c r="ABU438" s="4"/>
      <c r="ABV438" s="4"/>
      <c r="ABW438" s="5"/>
      <c r="ABX438" s="6"/>
      <c r="ABY438" s="4"/>
      <c r="ABZ438" s="4"/>
      <c r="ACA438" s="4"/>
      <c r="ACB438" s="4"/>
      <c r="ACC438" s="4"/>
      <c r="ACD438" s="5"/>
      <c r="ACE438" s="6"/>
      <c r="ACF438" s="4"/>
      <c r="ACG438" s="4"/>
      <c r="ACH438" s="4"/>
      <c r="ACI438" s="4"/>
      <c r="ACJ438" s="4"/>
      <c r="ACK438" s="5"/>
      <c r="ACL438" s="6"/>
      <c r="ACM438" s="4"/>
      <c r="ACN438" s="4"/>
      <c r="ACO438" s="4"/>
      <c r="ACP438" s="4"/>
      <c r="ACQ438" s="4"/>
      <c r="ACR438" s="5"/>
      <c r="ACS438" s="6"/>
      <c r="ACT438" s="4"/>
      <c r="ACU438" s="4"/>
      <c r="ACV438" s="4"/>
      <c r="ACW438" s="4"/>
      <c r="ACX438" s="4"/>
      <c r="ACY438" s="5"/>
    </row>
    <row r="439" spans="2:804" x14ac:dyDescent="0.25">
      <c r="J439" s="12"/>
      <c r="K439" s="12"/>
      <c r="L439" s="12"/>
      <c r="LL439" s="6"/>
      <c r="LM439" s="4"/>
      <c r="LN439" s="4"/>
      <c r="LO439" s="4"/>
      <c r="LP439" s="4"/>
      <c r="LQ439" s="4"/>
      <c r="LR439" s="5"/>
      <c r="LS439" s="6"/>
      <c r="LT439" s="4"/>
      <c r="LU439" s="4"/>
      <c r="LV439" s="4"/>
      <c r="LW439" s="4"/>
      <c r="LX439" s="4"/>
      <c r="LY439" s="5"/>
      <c r="LZ439" s="6" t="s">
        <v>1433</v>
      </c>
      <c r="MA439" s="7" t="s">
        <v>1379</v>
      </c>
      <c r="MB439" s="7" t="s">
        <v>1560</v>
      </c>
      <c r="MC439" s="7"/>
      <c r="MD439" s="8">
        <v>39104</v>
      </c>
      <c r="ME439" s="8"/>
      <c r="MF439" s="8" t="s">
        <v>4139</v>
      </c>
      <c r="MG439" s="5" t="s">
        <v>4141</v>
      </c>
      <c r="MH439" s="6"/>
      <c r="MI439" s="4"/>
      <c r="MJ439" s="4"/>
      <c r="MK439" s="4"/>
      <c r="ML439" s="4"/>
      <c r="MM439" s="4"/>
      <c r="MN439" s="5"/>
      <c r="MO439" s="6"/>
      <c r="MP439" s="4"/>
      <c r="MQ439" s="4"/>
      <c r="MR439" s="4"/>
      <c r="MS439" s="4"/>
      <c r="MT439" s="4"/>
      <c r="MU439" s="5"/>
      <c r="MV439" s="6"/>
      <c r="MW439" s="4"/>
      <c r="MX439" s="4"/>
      <c r="MY439" s="4"/>
      <c r="MZ439" s="4"/>
      <c r="NA439" s="4"/>
      <c r="NB439" s="5"/>
      <c r="NC439" s="6"/>
      <c r="ND439" s="4"/>
      <c r="NE439" s="4"/>
      <c r="NF439" s="4"/>
      <c r="NG439" s="4"/>
      <c r="NH439" s="4"/>
      <c r="NI439" s="5"/>
      <c r="NJ439" s="6"/>
      <c r="NK439" s="4"/>
      <c r="NL439" s="4"/>
      <c r="NM439" s="4"/>
      <c r="NN439" s="4"/>
      <c r="NO439" s="4"/>
      <c r="NP439" s="5"/>
      <c r="NQ439" s="6"/>
      <c r="NR439" s="4"/>
      <c r="NS439" s="4"/>
      <c r="NT439" s="4"/>
      <c r="NU439" s="4"/>
      <c r="NV439" s="4"/>
      <c r="NW439" s="5"/>
      <c r="NX439" s="6"/>
      <c r="NY439" s="4"/>
      <c r="NZ439" s="4"/>
      <c r="OA439" s="4"/>
      <c r="OB439" s="4"/>
      <c r="OC439" s="4"/>
      <c r="OD439" s="5"/>
      <c r="OE439" s="6"/>
      <c r="OF439" s="4"/>
      <c r="OG439" s="4"/>
      <c r="OH439" s="4"/>
      <c r="OI439" s="4"/>
      <c r="OJ439" s="4"/>
      <c r="OK439" s="5"/>
      <c r="OL439" s="6"/>
      <c r="OM439" s="4"/>
      <c r="ON439" s="4"/>
      <c r="OO439" s="4"/>
      <c r="OP439" s="4"/>
      <c r="OQ439" s="4"/>
      <c r="OR439" s="5"/>
      <c r="OS439" s="6"/>
      <c r="OT439" s="4"/>
      <c r="OU439" s="4"/>
      <c r="OV439" s="4"/>
      <c r="OW439" s="4"/>
      <c r="OX439" s="4"/>
      <c r="OY439" s="5"/>
      <c r="OZ439" s="6"/>
      <c r="PA439" s="4"/>
      <c r="PB439" s="4"/>
      <c r="PC439" s="4"/>
      <c r="PD439" s="4"/>
      <c r="PE439" s="4"/>
      <c r="PF439" s="5"/>
      <c r="PG439" s="6"/>
      <c r="PH439" s="4"/>
      <c r="PI439" s="4"/>
      <c r="PJ439" s="4"/>
      <c r="PK439" s="4"/>
      <c r="PL439" s="4"/>
      <c r="PM439" s="5"/>
      <c r="PN439" s="6"/>
      <c r="PO439" s="4"/>
      <c r="PP439" s="4"/>
      <c r="PQ439" s="4"/>
      <c r="PR439" s="4"/>
      <c r="PS439" s="4"/>
      <c r="PT439" s="5"/>
      <c r="PU439" s="6"/>
      <c r="PV439" s="4"/>
      <c r="PW439" s="4"/>
      <c r="PX439" s="4"/>
      <c r="PY439" s="4"/>
      <c r="PZ439" s="4"/>
      <c r="QA439" s="5"/>
      <c r="QB439" s="6"/>
      <c r="QC439" s="4"/>
      <c r="QD439" s="4"/>
      <c r="QE439" s="4"/>
      <c r="QF439" s="4"/>
      <c r="QG439" s="4"/>
      <c r="QH439" s="5"/>
      <c r="QI439" s="6"/>
      <c r="QJ439" s="4"/>
      <c r="QK439" s="4"/>
      <c r="QL439" s="4"/>
      <c r="QM439" s="4"/>
      <c r="QN439" s="4"/>
      <c r="QO439" s="5"/>
      <c r="QP439" s="6"/>
      <c r="QQ439" s="4"/>
      <c r="QR439" s="4"/>
      <c r="QS439" s="4"/>
      <c r="QT439" s="4"/>
      <c r="QU439" s="4"/>
      <c r="QV439" s="5"/>
      <c r="QW439" s="6"/>
      <c r="QX439" s="4"/>
      <c r="QY439" s="4"/>
      <c r="QZ439" s="4"/>
      <c r="RA439" s="4"/>
      <c r="RB439" s="4"/>
      <c r="RC439" s="5"/>
      <c r="RD439" s="6"/>
      <c r="RE439" s="4"/>
      <c r="RF439" s="4"/>
      <c r="RG439" s="4"/>
      <c r="RH439" s="4"/>
      <c r="RI439" s="4"/>
      <c r="RJ439" s="5"/>
      <c r="RK439" s="6"/>
      <c r="RL439" s="4"/>
      <c r="RM439" s="4"/>
      <c r="RN439" s="4"/>
      <c r="RO439" s="4"/>
      <c r="RP439" s="4"/>
      <c r="RQ439" s="5"/>
      <c r="RR439" s="6"/>
      <c r="RS439" s="4"/>
      <c r="RT439" s="4"/>
      <c r="RU439" s="4"/>
      <c r="RV439" s="4"/>
      <c r="RW439" s="4"/>
      <c r="RX439" s="5"/>
      <c r="RY439" s="6"/>
      <c r="RZ439" s="4"/>
      <c r="SA439" s="4"/>
      <c r="SB439" s="4"/>
      <c r="SC439" s="4"/>
      <c r="SD439" s="4"/>
      <c r="SE439" s="5"/>
      <c r="SF439" s="6"/>
      <c r="SG439" s="4"/>
      <c r="SH439" s="4"/>
      <c r="SI439" s="4"/>
      <c r="SJ439" s="4"/>
      <c r="SK439" s="4"/>
      <c r="SL439" s="5"/>
      <c r="SM439" s="6"/>
      <c r="SN439" s="4"/>
      <c r="SO439" s="4"/>
      <c r="SP439" s="4"/>
      <c r="SQ439" s="4"/>
      <c r="SR439" s="4"/>
      <c r="SS439" s="5"/>
      <c r="ST439" s="6"/>
      <c r="SU439" s="4"/>
      <c r="SV439" s="4"/>
      <c r="SW439" s="4"/>
      <c r="SX439" s="4"/>
      <c r="SY439" s="4"/>
      <c r="SZ439" s="5"/>
      <c r="TA439" s="6"/>
      <c r="TB439" s="4"/>
      <c r="TC439" s="4"/>
      <c r="TD439" s="4"/>
      <c r="TE439" s="4"/>
      <c r="TF439" s="4"/>
      <c r="TG439" s="5"/>
      <c r="TH439" s="6"/>
      <c r="TI439" s="4"/>
      <c r="TJ439" s="4"/>
      <c r="TK439" s="4"/>
      <c r="TL439" s="4"/>
      <c r="TM439" s="4"/>
      <c r="TN439" s="5"/>
      <c r="TO439" s="6"/>
      <c r="TP439" s="4"/>
      <c r="TQ439" s="4"/>
      <c r="TR439" s="4"/>
      <c r="TS439" s="4"/>
      <c r="TT439" s="4"/>
      <c r="TU439" s="5"/>
      <c r="TV439" s="6"/>
      <c r="TW439" s="4"/>
      <c r="TX439" s="4"/>
      <c r="TY439" s="4"/>
      <c r="TZ439" s="4"/>
      <c r="UA439" s="4"/>
      <c r="UB439" s="5"/>
      <c r="UC439" s="6"/>
      <c r="UD439" s="4"/>
      <c r="UE439" s="4"/>
      <c r="UF439" s="4"/>
      <c r="UG439" s="4"/>
      <c r="UH439" s="4"/>
      <c r="UI439" s="5"/>
      <c r="UJ439" s="6"/>
      <c r="UK439" s="4"/>
      <c r="UL439" s="4"/>
      <c r="UM439" s="4"/>
      <c r="UN439" s="4"/>
      <c r="UO439" s="4"/>
      <c r="UP439" s="5"/>
      <c r="UQ439" s="6"/>
      <c r="UR439" s="4"/>
      <c r="US439" s="4"/>
      <c r="UT439" s="4"/>
      <c r="UU439" s="4"/>
      <c r="UV439" s="4"/>
      <c r="UW439" s="5"/>
      <c r="UX439" s="6"/>
      <c r="UY439" s="4"/>
      <c r="UZ439" s="4"/>
      <c r="VA439" s="4"/>
      <c r="VB439" s="4"/>
      <c r="VC439" s="4"/>
      <c r="VD439" s="5"/>
      <c r="VE439" s="6"/>
      <c r="VF439" s="4"/>
      <c r="VG439" s="4"/>
      <c r="VH439" s="4"/>
      <c r="VI439" s="4"/>
      <c r="VJ439" s="4"/>
      <c r="VK439" s="5"/>
      <c r="VL439" s="6"/>
      <c r="VM439" s="4"/>
      <c r="VN439" s="4"/>
      <c r="VO439" s="4"/>
      <c r="VP439" s="4"/>
      <c r="VQ439" s="4"/>
      <c r="VR439" s="5"/>
      <c r="VS439" s="6"/>
      <c r="VT439" s="4"/>
      <c r="VU439" s="4"/>
      <c r="VV439" s="4"/>
      <c r="VW439" s="4"/>
      <c r="VX439" s="4"/>
      <c r="VY439" s="5"/>
      <c r="VZ439" s="6"/>
      <c r="WA439" s="4"/>
      <c r="WB439" s="4"/>
      <c r="WC439" s="4"/>
      <c r="WD439" s="8"/>
      <c r="WE439" s="8"/>
      <c r="WF439" s="5"/>
      <c r="WG439" s="6"/>
      <c r="WH439" s="4"/>
      <c r="WI439" s="4"/>
      <c r="WJ439" s="4"/>
      <c r="WK439" s="4"/>
      <c r="WL439" s="4"/>
      <c r="WM439" s="5"/>
      <c r="WN439" s="6"/>
      <c r="WO439" s="4"/>
      <c r="WP439" s="4"/>
      <c r="WQ439" s="4"/>
      <c r="WR439" s="4"/>
      <c r="WS439" s="4"/>
      <c r="WT439" s="5"/>
      <c r="WU439" s="6"/>
      <c r="WV439" s="4"/>
      <c r="WW439" s="4"/>
      <c r="WX439" s="4"/>
      <c r="WY439" s="4"/>
      <c r="WZ439" s="4"/>
      <c r="XA439" s="5"/>
      <c r="XB439" s="6"/>
      <c r="XC439" s="4"/>
      <c r="XD439" s="4"/>
      <c r="XE439" s="4"/>
      <c r="XF439" s="4"/>
      <c r="XG439" s="4"/>
      <c r="XH439" s="5"/>
      <c r="XI439" s="6"/>
      <c r="XJ439" s="4"/>
      <c r="XK439" s="4"/>
      <c r="XL439" s="4"/>
      <c r="XM439" s="4"/>
      <c r="XN439" s="4"/>
      <c r="XO439" s="5"/>
      <c r="XP439" s="6"/>
      <c r="XQ439" s="4"/>
      <c r="XR439" s="4"/>
      <c r="XS439" s="4"/>
      <c r="XT439" s="4"/>
      <c r="XU439" s="4"/>
      <c r="XV439" s="5"/>
      <c r="XW439" s="6"/>
      <c r="XX439" s="4"/>
      <c r="XY439" s="4"/>
      <c r="XZ439" s="4"/>
      <c r="YA439" s="4"/>
      <c r="YB439" s="4"/>
      <c r="YC439" s="5"/>
      <c r="YD439" s="6"/>
      <c r="YE439" s="4"/>
      <c r="YF439" s="4"/>
      <c r="YG439" s="4"/>
      <c r="YH439" s="4"/>
      <c r="YI439" s="4"/>
      <c r="YJ439" s="5"/>
      <c r="YK439" s="6" t="s">
        <v>1432</v>
      </c>
      <c r="YL439" s="7" t="s">
        <v>1636</v>
      </c>
      <c r="YM439" s="4"/>
      <c r="YN439" s="4" t="s">
        <v>116</v>
      </c>
      <c r="YO439" s="8">
        <v>39099</v>
      </c>
      <c r="YP439" s="8">
        <v>39099</v>
      </c>
      <c r="YQ439" s="5" t="s">
        <v>104</v>
      </c>
      <c r="YR439" s="6"/>
      <c r="YS439" s="4"/>
      <c r="YT439" s="4"/>
      <c r="YU439" s="4"/>
      <c r="YV439" s="4"/>
      <c r="YW439" s="4"/>
      <c r="YX439" s="5"/>
      <c r="YY439" s="6"/>
      <c r="YZ439" s="4"/>
      <c r="ZA439" s="4"/>
      <c r="ZB439" s="4"/>
      <c r="ZC439" s="4"/>
      <c r="ZD439" s="4"/>
      <c r="ZE439" s="5"/>
      <c r="ZF439" s="6"/>
      <c r="ZG439" s="4"/>
      <c r="ZH439" s="4"/>
      <c r="ZI439" s="4"/>
      <c r="ZJ439" s="4"/>
      <c r="ZK439" s="4"/>
      <c r="ZL439" s="5"/>
      <c r="ZM439" s="6"/>
      <c r="ZN439" s="4"/>
      <c r="ZO439" s="4"/>
      <c r="ZP439" s="4"/>
      <c r="ZQ439" s="4"/>
      <c r="ZR439" s="4"/>
      <c r="ZS439" s="5"/>
      <c r="ZT439" s="6"/>
      <c r="ZU439" s="4"/>
      <c r="ZV439" s="4"/>
      <c r="ZW439" s="4"/>
      <c r="ZX439" s="4"/>
      <c r="ZY439" s="4"/>
      <c r="ZZ439" s="5"/>
      <c r="AAA439" s="6"/>
      <c r="AAB439" s="4"/>
      <c r="AAC439" s="4"/>
      <c r="AAD439" s="4"/>
      <c r="AAE439" s="4"/>
      <c r="AAF439" s="4"/>
      <c r="AAG439" s="5"/>
      <c r="AAH439" s="6"/>
      <c r="AAI439" s="4"/>
      <c r="AAJ439" s="4"/>
      <c r="AAK439" s="4"/>
      <c r="AAL439" s="4"/>
      <c r="AAM439" s="4"/>
      <c r="AAN439" s="5"/>
      <c r="AAO439" s="6"/>
      <c r="AAP439" s="4"/>
      <c r="AAQ439" s="4"/>
      <c r="AAR439" s="4"/>
      <c r="AAS439" s="4"/>
      <c r="AAT439" s="4"/>
      <c r="AAU439" s="5"/>
      <c r="AAV439" s="6"/>
      <c r="AAW439" s="4"/>
      <c r="AAX439" s="4"/>
      <c r="AAY439" s="4"/>
      <c r="AAZ439" s="4"/>
      <c r="ABA439" s="4"/>
      <c r="ABB439" s="5"/>
      <c r="ABC439" s="6"/>
      <c r="ABD439" s="4"/>
      <c r="ABE439" s="4"/>
      <c r="ABF439" s="4"/>
      <c r="ABG439" s="4"/>
      <c r="ABH439" s="4"/>
      <c r="ABI439" s="5"/>
      <c r="ABJ439" s="6"/>
      <c r="ABK439" s="4"/>
      <c r="ABL439" s="4"/>
      <c r="ABM439" s="4"/>
      <c r="ABN439" s="4"/>
      <c r="ABO439" s="4"/>
      <c r="ABP439" s="5"/>
      <c r="ABQ439" s="6"/>
      <c r="ABR439" s="4"/>
      <c r="ABS439" s="4"/>
      <c r="ABT439" s="4"/>
      <c r="ABU439" s="4"/>
      <c r="ABV439" s="4"/>
      <c r="ABW439" s="5"/>
      <c r="ABX439" s="6"/>
      <c r="ABY439" s="4"/>
      <c r="ABZ439" s="4"/>
      <c r="ACA439" s="4"/>
      <c r="ACB439" s="4"/>
      <c r="ACC439" s="4"/>
      <c r="ACD439" s="5"/>
      <c r="ACE439" s="6"/>
      <c r="ACF439" s="4"/>
      <c r="ACG439" s="4"/>
      <c r="ACH439" s="4"/>
      <c r="ACI439" s="4"/>
      <c r="ACJ439" s="4"/>
      <c r="ACK439" s="5"/>
      <c r="ACL439" s="6"/>
      <c r="ACM439" s="4"/>
      <c r="ACN439" s="4"/>
      <c r="ACO439" s="4"/>
      <c r="ACP439" s="4"/>
      <c r="ACQ439" s="4"/>
      <c r="ACR439" s="5"/>
      <c r="ACS439" s="6"/>
      <c r="ACT439" s="4"/>
      <c r="ACU439" s="4"/>
      <c r="ACV439" s="4"/>
      <c r="ACW439" s="4"/>
      <c r="ACX439" s="4"/>
      <c r="ACY439" s="5"/>
    </row>
    <row r="440" spans="2:804" x14ac:dyDescent="0.25">
      <c r="J440" s="12"/>
      <c r="K440" s="12"/>
      <c r="L440" s="12"/>
      <c r="LL440" s="6"/>
      <c r="LM440" s="4"/>
      <c r="LN440" s="4"/>
      <c r="LO440" s="4"/>
      <c r="LP440" s="4"/>
      <c r="LQ440" s="4"/>
      <c r="LR440" s="5"/>
      <c r="LS440" s="6"/>
      <c r="LT440" s="4"/>
      <c r="LU440" s="4"/>
      <c r="LV440" s="4"/>
      <c r="LW440" s="4"/>
      <c r="LX440" s="4"/>
      <c r="LY440" s="5"/>
      <c r="LZ440" s="6" t="s">
        <v>1921</v>
      </c>
      <c r="MA440" s="7" t="s">
        <v>1921</v>
      </c>
      <c r="MB440" s="7" t="s">
        <v>97</v>
      </c>
      <c r="MC440" s="7"/>
      <c r="MD440" s="8">
        <v>39116</v>
      </c>
      <c r="ME440" s="8"/>
      <c r="MF440" s="8" t="s">
        <v>4139</v>
      </c>
      <c r="MG440" s="5" t="s">
        <v>4141</v>
      </c>
      <c r="MH440" s="6"/>
      <c r="MI440" s="4"/>
      <c r="MJ440" s="4"/>
      <c r="MK440" s="4"/>
      <c r="ML440" s="4"/>
      <c r="MM440" s="4"/>
      <c r="MN440" s="5"/>
      <c r="MO440" s="6"/>
      <c r="MP440" s="4"/>
      <c r="MQ440" s="4"/>
      <c r="MR440" s="4"/>
      <c r="MS440" s="4"/>
      <c r="MT440" s="4"/>
      <c r="MU440" s="5"/>
      <c r="MV440" s="6"/>
      <c r="MW440" s="4"/>
      <c r="MX440" s="4"/>
      <c r="MY440" s="4"/>
      <c r="MZ440" s="4"/>
      <c r="NA440" s="4"/>
      <c r="NB440" s="5"/>
      <c r="NC440" s="6"/>
      <c r="ND440" s="4"/>
      <c r="NE440" s="4"/>
      <c r="NF440" s="4"/>
      <c r="NG440" s="4"/>
      <c r="NH440" s="4"/>
      <c r="NI440" s="5"/>
      <c r="NJ440" s="6"/>
      <c r="NK440" s="4"/>
      <c r="NL440" s="4"/>
      <c r="NM440" s="4"/>
      <c r="NN440" s="4"/>
      <c r="NO440" s="4"/>
      <c r="NP440" s="5"/>
      <c r="NQ440" s="6"/>
      <c r="NR440" s="4"/>
      <c r="NS440" s="4"/>
      <c r="NT440" s="4"/>
      <c r="NU440" s="4"/>
      <c r="NV440" s="4"/>
      <c r="NW440" s="5"/>
      <c r="NX440" s="6"/>
      <c r="NY440" s="4"/>
      <c r="NZ440" s="4"/>
      <c r="OA440" s="4"/>
      <c r="OB440" s="4"/>
      <c r="OC440" s="4"/>
      <c r="OD440" s="5"/>
      <c r="OE440" s="6"/>
      <c r="OF440" s="4"/>
      <c r="OG440" s="4"/>
      <c r="OH440" s="4"/>
      <c r="OI440" s="4"/>
      <c r="OJ440" s="4"/>
      <c r="OK440" s="5"/>
      <c r="OL440" s="6"/>
      <c r="OM440" s="4"/>
      <c r="ON440" s="4"/>
      <c r="OO440" s="4"/>
      <c r="OP440" s="4"/>
      <c r="OQ440" s="4"/>
      <c r="OR440" s="5"/>
      <c r="OS440" s="6"/>
      <c r="OT440" s="4"/>
      <c r="OU440" s="4"/>
      <c r="OV440" s="4"/>
      <c r="OW440" s="4"/>
      <c r="OX440" s="4"/>
      <c r="OY440" s="5"/>
      <c r="OZ440" s="6"/>
      <c r="PA440" s="4"/>
      <c r="PB440" s="4"/>
      <c r="PC440" s="4"/>
      <c r="PD440" s="4"/>
      <c r="PE440" s="4"/>
      <c r="PF440" s="5"/>
      <c r="PG440" s="6"/>
      <c r="PH440" s="4"/>
      <c r="PI440" s="4"/>
      <c r="PJ440" s="4"/>
      <c r="PK440" s="4"/>
      <c r="PL440" s="4"/>
      <c r="PM440" s="5"/>
      <c r="PN440" s="6"/>
      <c r="PO440" s="4"/>
      <c r="PP440" s="4"/>
      <c r="PQ440" s="4"/>
      <c r="PR440" s="4"/>
      <c r="PS440" s="4"/>
      <c r="PT440" s="5"/>
      <c r="PU440" s="6"/>
      <c r="PV440" s="4"/>
      <c r="PW440" s="4"/>
      <c r="PX440" s="4"/>
      <c r="PY440" s="4"/>
      <c r="PZ440" s="4"/>
      <c r="QA440" s="5"/>
      <c r="QB440" s="6"/>
      <c r="QC440" s="4"/>
      <c r="QD440" s="4"/>
      <c r="QE440" s="4"/>
      <c r="QF440" s="4"/>
      <c r="QG440" s="4"/>
      <c r="QH440" s="5"/>
      <c r="QI440" s="6"/>
      <c r="QJ440" s="4"/>
      <c r="QK440" s="4"/>
      <c r="QL440" s="4"/>
      <c r="QM440" s="4"/>
      <c r="QN440" s="4"/>
      <c r="QO440" s="5"/>
      <c r="QP440" s="6"/>
      <c r="QQ440" s="4"/>
      <c r="QR440" s="4"/>
      <c r="QS440" s="4"/>
      <c r="QT440" s="4"/>
      <c r="QU440" s="4"/>
      <c r="QV440" s="5"/>
      <c r="QW440" s="6"/>
      <c r="QX440" s="4"/>
      <c r="QY440" s="4"/>
      <c r="QZ440" s="4"/>
      <c r="RA440" s="4"/>
      <c r="RB440" s="4"/>
      <c r="RC440" s="5"/>
      <c r="RD440" s="6"/>
      <c r="RE440" s="4"/>
      <c r="RF440" s="4"/>
      <c r="RG440" s="4"/>
      <c r="RH440" s="4"/>
      <c r="RI440" s="4"/>
      <c r="RJ440" s="5"/>
      <c r="RK440" s="6"/>
      <c r="RL440" s="4"/>
      <c r="RM440" s="4"/>
      <c r="RN440" s="4"/>
      <c r="RO440" s="4"/>
      <c r="RP440" s="4"/>
      <c r="RQ440" s="5"/>
      <c r="RR440" s="6"/>
      <c r="RS440" s="4"/>
      <c r="RT440" s="4"/>
      <c r="RU440" s="4"/>
      <c r="RV440" s="4"/>
      <c r="RW440" s="4"/>
      <c r="RX440" s="5"/>
      <c r="RY440" s="6"/>
      <c r="RZ440" s="4"/>
      <c r="SA440" s="4"/>
      <c r="SB440" s="4"/>
      <c r="SC440" s="4"/>
      <c r="SD440" s="4"/>
      <c r="SE440" s="5"/>
      <c r="SF440" s="6"/>
      <c r="SG440" s="4"/>
      <c r="SH440" s="4"/>
      <c r="SI440" s="4"/>
      <c r="SJ440" s="4"/>
      <c r="SK440" s="4"/>
      <c r="SL440" s="5"/>
      <c r="SM440" s="6"/>
      <c r="SN440" s="4"/>
      <c r="SO440" s="4"/>
      <c r="SP440" s="4"/>
      <c r="SQ440" s="4"/>
      <c r="SR440" s="4"/>
      <c r="SS440" s="5"/>
      <c r="ST440" s="6"/>
      <c r="SU440" s="4"/>
      <c r="SV440" s="4"/>
      <c r="SW440" s="4"/>
      <c r="SX440" s="4"/>
      <c r="SY440" s="4"/>
      <c r="SZ440" s="5"/>
      <c r="TA440" s="6"/>
      <c r="TB440" s="4"/>
      <c r="TC440" s="4"/>
      <c r="TD440" s="4"/>
      <c r="TE440" s="4"/>
      <c r="TF440" s="4"/>
      <c r="TG440" s="5"/>
      <c r="TH440" s="6"/>
      <c r="TI440" s="4"/>
      <c r="TJ440" s="4"/>
      <c r="TK440" s="4"/>
      <c r="TL440" s="4"/>
      <c r="TM440" s="4"/>
      <c r="TN440" s="5"/>
      <c r="TO440" s="6"/>
      <c r="TP440" s="4"/>
      <c r="TQ440" s="4"/>
      <c r="TR440" s="4"/>
      <c r="TS440" s="4"/>
      <c r="TT440" s="4"/>
      <c r="TU440" s="5"/>
      <c r="TV440" s="6"/>
      <c r="TW440" s="4"/>
      <c r="TX440" s="4"/>
      <c r="TY440" s="4"/>
      <c r="TZ440" s="4"/>
      <c r="UA440" s="4"/>
      <c r="UB440" s="5"/>
      <c r="UC440" s="6"/>
      <c r="UD440" s="4"/>
      <c r="UE440" s="4"/>
      <c r="UF440" s="4"/>
      <c r="UG440" s="4"/>
      <c r="UH440" s="4"/>
      <c r="UI440" s="5"/>
      <c r="UJ440" s="6"/>
      <c r="UK440" s="4"/>
      <c r="UL440" s="4"/>
      <c r="UM440" s="4"/>
      <c r="UN440" s="4"/>
      <c r="UO440" s="4"/>
      <c r="UP440" s="5"/>
      <c r="UQ440" s="6"/>
      <c r="UR440" s="4"/>
      <c r="US440" s="4"/>
      <c r="UT440" s="4"/>
      <c r="UU440" s="4"/>
      <c r="UV440" s="4"/>
      <c r="UW440" s="5"/>
      <c r="UX440" s="6"/>
      <c r="UY440" s="4"/>
      <c r="UZ440" s="4"/>
      <c r="VA440" s="4"/>
      <c r="VB440" s="4"/>
      <c r="VC440" s="4"/>
      <c r="VD440" s="5"/>
      <c r="VE440" s="6"/>
      <c r="VF440" s="4"/>
      <c r="VG440" s="4"/>
      <c r="VH440" s="4"/>
      <c r="VI440" s="4"/>
      <c r="VJ440" s="4"/>
      <c r="VK440" s="5"/>
      <c r="VL440" s="6"/>
      <c r="VM440" s="4"/>
      <c r="VN440" s="4"/>
      <c r="VO440" s="4"/>
      <c r="VP440" s="4"/>
      <c r="VQ440" s="4"/>
      <c r="VR440" s="5"/>
      <c r="VS440" s="6"/>
      <c r="VT440" s="4"/>
      <c r="VU440" s="4"/>
      <c r="VV440" s="4"/>
      <c r="VW440" s="4"/>
      <c r="VX440" s="4"/>
      <c r="VY440" s="5"/>
      <c r="VZ440" s="6"/>
      <c r="WA440" s="4"/>
      <c r="WB440" s="4"/>
      <c r="WC440" s="4"/>
      <c r="WD440" s="8"/>
      <c r="WE440" s="8"/>
      <c r="WF440" s="5"/>
      <c r="WG440" s="6"/>
      <c r="WH440" s="4"/>
      <c r="WI440" s="4"/>
      <c r="WJ440" s="4"/>
      <c r="WK440" s="4"/>
      <c r="WL440" s="4"/>
      <c r="WM440" s="5"/>
      <c r="WN440" s="6"/>
      <c r="WO440" s="4"/>
      <c r="WP440" s="4"/>
      <c r="WQ440" s="4"/>
      <c r="WR440" s="4"/>
      <c r="WS440" s="4"/>
      <c r="WT440" s="5"/>
      <c r="WU440" s="6"/>
      <c r="WV440" s="4"/>
      <c r="WW440" s="4"/>
      <c r="WX440" s="4"/>
      <c r="WY440" s="4"/>
      <c r="WZ440" s="4"/>
      <c r="XA440" s="5"/>
      <c r="XB440" s="6"/>
      <c r="XC440" s="4"/>
      <c r="XD440" s="4"/>
      <c r="XE440" s="4"/>
      <c r="XF440" s="4"/>
      <c r="XG440" s="4"/>
      <c r="XH440" s="5"/>
      <c r="XI440" s="6"/>
      <c r="XJ440" s="4"/>
      <c r="XK440" s="4"/>
      <c r="XL440" s="4"/>
      <c r="XM440" s="4"/>
      <c r="XN440" s="4"/>
      <c r="XO440" s="5"/>
      <c r="XP440" s="6"/>
      <c r="XQ440" s="4"/>
      <c r="XR440" s="4"/>
      <c r="XS440" s="4"/>
      <c r="XT440" s="4"/>
      <c r="XU440" s="4"/>
      <c r="XV440" s="5"/>
      <c r="XW440" s="6"/>
      <c r="XX440" s="4"/>
      <c r="XY440" s="4"/>
      <c r="XZ440" s="4"/>
      <c r="YA440" s="4"/>
      <c r="YB440" s="4"/>
      <c r="YC440" s="5"/>
      <c r="YD440" s="6"/>
      <c r="YE440" s="4"/>
      <c r="YF440" s="4"/>
      <c r="YG440" s="4"/>
      <c r="YH440" s="4"/>
      <c r="YI440" s="4"/>
      <c r="YJ440" s="5"/>
      <c r="YK440" s="6" t="s">
        <v>3784</v>
      </c>
      <c r="YL440" s="7" t="s">
        <v>3785</v>
      </c>
      <c r="YM440" s="4"/>
      <c r="YN440" s="4" t="s">
        <v>187</v>
      </c>
      <c r="YO440" s="8">
        <v>39103</v>
      </c>
      <c r="YP440" s="8">
        <v>39103</v>
      </c>
      <c r="YQ440" s="5"/>
      <c r="YR440" s="6"/>
      <c r="YS440" s="4"/>
      <c r="YT440" s="4"/>
      <c r="YU440" s="4"/>
      <c r="YV440" s="4"/>
      <c r="YW440" s="4"/>
      <c r="YX440" s="5"/>
      <c r="YY440" s="6"/>
      <c r="YZ440" s="4"/>
      <c r="ZA440" s="4"/>
      <c r="ZB440" s="4"/>
      <c r="ZC440" s="4"/>
      <c r="ZD440" s="4"/>
      <c r="ZE440" s="5"/>
      <c r="ZF440" s="6"/>
      <c r="ZG440" s="4"/>
      <c r="ZH440" s="4"/>
      <c r="ZI440" s="4"/>
      <c r="ZJ440" s="4"/>
      <c r="ZK440" s="4"/>
      <c r="ZL440" s="5"/>
      <c r="ZM440" s="6"/>
      <c r="ZN440" s="4"/>
      <c r="ZO440" s="4"/>
      <c r="ZP440" s="4"/>
      <c r="ZQ440" s="4"/>
      <c r="ZR440" s="4"/>
      <c r="ZS440" s="5"/>
      <c r="ZT440" s="6"/>
      <c r="ZU440" s="4"/>
      <c r="ZV440" s="4"/>
      <c r="ZW440" s="4"/>
      <c r="ZX440" s="4"/>
      <c r="ZY440" s="4"/>
      <c r="ZZ440" s="5"/>
      <c r="AAA440" s="6"/>
      <c r="AAB440" s="4"/>
      <c r="AAC440" s="4"/>
      <c r="AAD440" s="4"/>
      <c r="AAE440" s="4"/>
      <c r="AAF440" s="4"/>
      <c r="AAG440" s="5"/>
      <c r="AAH440" s="6"/>
      <c r="AAI440" s="4"/>
      <c r="AAJ440" s="4"/>
      <c r="AAK440" s="4"/>
      <c r="AAL440" s="4"/>
      <c r="AAM440" s="4"/>
      <c r="AAN440" s="5"/>
      <c r="AAO440" s="6"/>
      <c r="AAP440" s="4"/>
      <c r="AAQ440" s="4"/>
      <c r="AAR440" s="4"/>
      <c r="AAS440" s="4"/>
      <c r="AAT440" s="4"/>
      <c r="AAU440" s="5"/>
      <c r="AAV440" s="6"/>
      <c r="AAW440" s="4"/>
      <c r="AAX440" s="4"/>
      <c r="AAY440" s="4"/>
      <c r="AAZ440" s="4"/>
      <c r="ABA440" s="4"/>
      <c r="ABB440" s="5"/>
      <c r="ABC440" s="6"/>
      <c r="ABD440" s="4"/>
      <c r="ABE440" s="4"/>
      <c r="ABF440" s="4"/>
      <c r="ABG440" s="4"/>
      <c r="ABH440" s="4"/>
      <c r="ABI440" s="5"/>
      <c r="ABJ440" s="6"/>
      <c r="ABK440" s="4"/>
      <c r="ABL440" s="4"/>
      <c r="ABM440" s="4"/>
      <c r="ABN440" s="4"/>
      <c r="ABO440" s="4"/>
      <c r="ABP440" s="5"/>
      <c r="ABQ440" s="6"/>
      <c r="ABR440" s="4"/>
      <c r="ABS440" s="4"/>
      <c r="ABT440" s="4"/>
      <c r="ABU440" s="4"/>
      <c r="ABV440" s="4"/>
      <c r="ABW440" s="5"/>
      <c r="ABX440" s="6"/>
      <c r="ABY440" s="4"/>
      <c r="ABZ440" s="4"/>
      <c r="ACA440" s="4"/>
      <c r="ACB440" s="4"/>
      <c r="ACC440" s="4"/>
      <c r="ACD440" s="5"/>
      <c r="ACE440" s="6"/>
      <c r="ACF440" s="4"/>
      <c r="ACG440" s="4"/>
      <c r="ACH440" s="4"/>
      <c r="ACI440" s="4"/>
      <c r="ACJ440" s="4"/>
      <c r="ACK440" s="5"/>
      <c r="ACL440" s="6"/>
      <c r="ACM440" s="4"/>
      <c r="ACN440" s="4"/>
      <c r="ACO440" s="4"/>
      <c r="ACP440" s="4"/>
      <c r="ACQ440" s="4"/>
      <c r="ACR440" s="5"/>
      <c r="ACS440" s="6"/>
      <c r="ACT440" s="4"/>
      <c r="ACU440" s="4"/>
      <c r="ACV440" s="4"/>
      <c r="ACW440" s="4"/>
      <c r="ACX440" s="4"/>
      <c r="ACY440" s="5"/>
    </row>
    <row r="441" spans="2:804" x14ac:dyDescent="0.25">
      <c r="J441" s="12"/>
      <c r="K441" s="12"/>
      <c r="L441" s="12"/>
      <c r="LL441" s="6"/>
      <c r="LM441" s="4"/>
      <c r="LN441" s="4"/>
      <c r="LO441" s="4"/>
      <c r="LP441" s="4"/>
      <c r="LQ441" s="4"/>
      <c r="LR441" s="5"/>
      <c r="LS441" s="6"/>
      <c r="LT441" s="4"/>
      <c r="LU441" s="4"/>
      <c r="LV441" s="4"/>
      <c r="LW441" s="4"/>
      <c r="LX441" s="4"/>
      <c r="LY441" s="5"/>
      <c r="LZ441" s="6" t="s">
        <v>2023</v>
      </c>
      <c r="MA441" s="7" t="s">
        <v>2024</v>
      </c>
      <c r="MB441" s="7"/>
      <c r="MC441" s="7"/>
      <c r="MD441" s="8"/>
      <c r="ME441" s="8"/>
      <c r="MF441" s="8"/>
      <c r="MG441" s="5"/>
      <c r="MH441" s="6"/>
      <c r="MI441" s="4"/>
      <c r="MJ441" s="4"/>
      <c r="MK441" s="4"/>
      <c r="ML441" s="4"/>
      <c r="MM441" s="4"/>
      <c r="MN441" s="5"/>
      <c r="MO441" s="6"/>
      <c r="MP441" s="4"/>
      <c r="MQ441" s="4"/>
      <c r="MR441" s="4"/>
      <c r="MS441" s="4"/>
      <c r="MT441" s="4"/>
      <c r="MU441" s="5"/>
      <c r="MV441" s="6"/>
      <c r="MW441" s="4"/>
      <c r="MX441" s="4"/>
      <c r="MY441" s="4"/>
      <c r="MZ441" s="4"/>
      <c r="NA441" s="4"/>
      <c r="NB441" s="5"/>
      <c r="NC441" s="6"/>
      <c r="ND441" s="4"/>
      <c r="NE441" s="4"/>
      <c r="NF441" s="4"/>
      <c r="NG441" s="4"/>
      <c r="NH441" s="4"/>
      <c r="NI441" s="5"/>
      <c r="NJ441" s="6"/>
      <c r="NK441" s="4"/>
      <c r="NL441" s="4"/>
      <c r="NM441" s="4"/>
      <c r="NN441" s="4"/>
      <c r="NO441" s="4"/>
      <c r="NP441" s="5"/>
      <c r="NQ441" s="6"/>
      <c r="NR441" s="4"/>
      <c r="NS441" s="4"/>
      <c r="NT441" s="4"/>
      <c r="NU441" s="4"/>
      <c r="NV441" s="4"/>
      <c r="NW441" s="5"/>
      <c r="NX441" s="6"/>
      <c r="NY441" s="4"/>
      <c r="NZ441" s="4"/>
      <c r="OA441" s="4"/>
      <c r="OB441" s="4"/>
      <c r="OC441" s="4"/>
      <c r="OD441" s="5"/>
      <c r="OE441" s="6"/>
      <c r="OF441" s="4"/>
      <c r="OG441" s="4"/>
      <c r="OH441" s="4"/>
      <c r="OI441" s="4"/>
      <c r="OJ441" s="4"/>
      <c r="OK441" s="5"/>
      <c r="OL441" s="6"/>
      <c r="OM441" s="4"/>
      <c r="ON441" s="4"/>
      <c r="OO441" s="4"/>
      <c r="OP441" s="4"/>
      <c r="OQ441" s="4"/>
      <c r="OR441" s="5"/>
      <c r="OS441" s="6"/>
      <c r="OT441" s="4"/>
      <c r="OU441" s="4"/>
      <c r="OV441" s="4"/>
      <c r="OW441" s="4"/>
      <c r="OX441" s="4"/>
      <c r="OY441" s="5"/>
      <c r="OZ441" s="6"/>
      <c r="PA441" s="4"/>
      <c r="PB441" s="4"/>
      <c r="PC441" s="4"/>
      <c r="PD441" s="4"/>
      <c r="PE441" s="4"/>
      <c r="PF441" s="5"/>
      <c r="PG441" s="6"/>
      <c r="PH441" s="4"/>
      <c r="PI441" s="4"/>
      <c r="PJ441" s="4"/>
      <c r="PK441" s="4"/>
      <c r="PL441" s="4"/>
      <c r="PM441" s="5"/>
      <c r="PN441" s="6"/>
      <c r="PO441" s="4"/>
      <c r="PP441" s="4"/>
      <c r="PQ441" s="4"/>
      <c r="PR441" s="4"/>
      <c r="PS441" s="4"/>
      <c r="PT441" s="5"/>
      <c r="PU441" s="6"/>
      <c r="PV441" s="4"/>
      <c r="PW441" s="4"/>
      <c r="PX441" s="4"/>
      <c r="PY441" s="4"/>
      <c r="PZ441" s="4"/>
      <c r="QA441" s="5"/>
      <c r="QB441" s="6"/>
      <c r="QC441" s="4"/>
      <c r="QD441" s="4"/>
      <c r="QE441" s="4"/>
      <c r="QF441" s="4"/>
      <c r="QG441" s="4"/>
      <c r="QH441" s="5"/>
      <c r="QI441" s="6"/>
      <c r="QJ441" s="4"/>
      <c r="QK441" s="4"/>
      <c r="QL441" s="4"/>
      <c r="QM441" s="4"/>
      <c r="QN441" s="4"/>
      <c r="QO441" s="5"/>
      <c r="QP441" s="6"/>
      <c r="QQ441" s="4"/>
      <c r="QR441" s="4"/>
      <c r="QS441" s="4"/>
      <c r="QT441" s="4"/>
      <c r="QU441" s="4"/>
      <c r="QV441" s="5"/>
      <c r="QW441" s="6"/>
      <c r="QX441" s="4"/>
      <c r="QY441" s="4"/>
      <c r="QZ441" s="4"/>
      <c r="RA441" s="4"/>
      <c r="RB441" s="4"/>
      <c r="RC441" s="5"/>
      <c r="RD441" s="6"/>
      <c r="RE441" s="4"/>
      <c r="RF441" s="4"/>
      <c r="RG441" s="4"/>
      <c r="RH441" s="4"/>
      <c r="RI441" s="4"/>
      <c r="RJ441" s="5"/>
      <c r="RK441" s="6"/>
      <c r="RL441" s="4"/>
      <c r="RM441" s="4"/>
      <c r="RN441" s="4"/>
      <c r="RO441" s="4"/>
      <c r="RP441" s="4"/>
      <c r="RQ441" s="5"/>
      <c r="RR441" s="6"/>
      <c r="RS441" s="4"/>
      <c r="RT441" s="4"/>
      <c r="RU441" s="4"/>
      <c r="RV441" s="4"/>
      <c r="RW441" s="4"/>
      <c r="RX441" s="5"/>
      <c r="RY441" s="6"/>
      <c r="RZ441" s="4"/>
      <c r="SA441" s="4"/>
      <c r="SB441" s="4"/>
      <c r="SC441" s="4"/>
      <c r="SD441" s="4"/>
      <c r="SE441" s="5"/>
      <c r="SF441" s="6"/>
      <c r="SG441" s="4"/>
      <c r="SH441" s="4"/>
      <c r="SI441" s="4"/>
      <c r="SJ441" s="4"/>
      <c r="SK441" s="4"/>
      <c r="SL441" s="5"/>
      <c r="SM441" s="6"/>
      <c r="SN441" s="4"/>
      <c r="SO441" s="4"/>
      <c r="SP441" s="4"/>
      <c r="SQ441" s="4"/>
      <c r="SR441" s="4"/>
      <c r="SS441" s="5"/>
      <c r="ST441" s="6"/>
      <c r="SU441" s="4"/>
      <c r="SV441" s="4"/>
      <c r="SW441" s="4"/>
      <c r="SX441" s="4"/>
      <c r="SY441" s="4"/>
      <c r="SZ441" s="5"/>
      <c r="TA441" s="6"/>
      <c r="TB441" s="4"/>
      <c r="TC441" s="4"/>
      <c r="TD441" s="4"/>
      <c r="TE441" s="4"/>
      <c r="TF441" s="4"/>
      <c r="TG441" s="5"/>
      <c r="TH441" s="6"/>
      <c r="TI441" s="4"/>
      <c r="TJ441" s="4"/>
      <c r="TK441" s="4"/>
      <c r="TL441" s="4"/>
      <c r="TM441" s="4"/>
      <c r="TN441" s="5"/>
      <c r="TO441" s="6"/>
      <c r="TP441" s="4"/>
      <c r="TQ441" s="4"/>
      <c r="TR441" s="4"/>
      <c r="TS441" s="4"/>
      <c r="TT441" s="4"/>
      <c r="TU441" s="5"/>
      <c r="TV441" s="6"/>
      <c r="TW441" s="4"/>
      <c r="TX441" s="4"/>
      <c r="TY441" s="4"/>
      <c r="TZ441" s="4"/>
      <c r="UA441" s="4"/>
      <c r="UB441" s="5"/>
      <c r="UC441" s="6"/>
      <c r="UD441" s="4"/>
      <c r="UE441" s="4"/>
      <c r="UF441" s="4"/>
      <c r="UG441" s="4"/>
      <c r="UH441" s="4"/>
      <c r="UI441" s="5"/>
      <c r="UJ441" s="6"/>
      <c r="UK441" s="4"/>
      <c r="UL441" s="4"/>
      <c r="UM441" s="4"/>
      <c r="UN441" s="4"/>
      <c r="UO441" s="4"/>
      <c r="UP441" s="5"/>
      <c r="UQ441" s="6"/>
      <c r="UR441" s="4"/>
      <c r="US441" s="4"/>
      <c r="UT441" s="4"/>
      <c r="UU441" s="4"/>
      <c r="UV441" s="4"/>
      <c r="UW441" s="5"/>
      <c r="UX441" s="6"/>
      <c r="UY441" s="4"/>
      <c r="UZ441" s="4"/>
      <c r="VA441" s="4"/>
      <c r="VB441" s="4"/>
      <c r="VC441" s="4"/>
      <c r="VD441" s="5"/>
      <c r="VE441" s="6"/>
      <c r="VF441" s="4"/>
      <c r="VG441" s="4"/>
      <c r="VH441" s="4"/>
      <c r="VI441" s="4"/>
      <c r="VJ441" s="4"/>
      <c r="VK441" s="5"/>
      <c r="VL441" s="6"/>
      <c r="VM441" s="4"/>
      <c r="VN441" s="4"/>
      <c r="VO441" s="4"/>
      <c r="VP441" s="4"/>
      <c r="VQ441" s="4"/>
      <c r="VR441" s="5"/>
      <c r="VS441" s="6"/>
      <c r="VT441" s="4"/>
      <c r="VU441" s="4"/>
      <c r="VV441" s="4"/>
      <c r="VW441" s="4"/>
      <c r="VX441" s="4"/>
      <c r="VY441" s="5"/>
      <c r="VZ441" s="6"/>
      <c r="WA441" s="4"/>
      <c r="WB441" s="4"/>
      <c r="WC441" s="4"/>
      <c r="WD441" s="8"/>
      <c r="WE441" s="8"/>
      <c r="WF441" s="5"/>
      <c r="WG441" s="6"/>
      <c r="WH441" s="4"/>
      <c r="WI441" s="4"/>
      <c r="WJ441" s="4"/>
      <c r="WK441" s="4"/>
      <c r="WL441" s="4"/>
      <c r="WM441" s="5"/>
      <c r="WN441" s="6"/>
      <c r="WO441" s="4"/>
      <c r="WP441" s="4"/>
      <c r="WQ441" s="4"/>
      <c r="WR441" s="4"/>
      <c r="WS441" s="4"/>
      <c r="WT441" s="5"/>
      <c r="WU441" s="6"/>
      <c r="WV441" s="4"/>
      <c r="WW441" s="4"/>
      <c r="WX441" s="4"/>
      <c r="WY441" s="4"/>
      <c r="WZ441" s="4"/>
      <c r="XA441" s="5"/>
      <c r="XB441" s="6"/>
      <c r="XC441" s="4"/>
      <c r="XD441" s="4"/>
      <c r="XE441" s="4"/>
      <c r="XF441" s="4"/>
      <c r="XG441" s="4"/>
      <c r="XH441" s="5"/>
      <c r="XI441" s="6"/>
      <c r="XJ441" s="4"/>
      <c r="XK441" s="4"/>
      <c r="XL441" s="4"/>
      <c r="XM441" s="4"/>
      <c r="XN441" s="4"/>
      <c r="XO441" s="5"/>
      <c r="XP441" s="6"/>
      <c r="XQ441" s="4"/>
      <c r="XR441" s="4"/>
      <c r="XS441" s="4"/>
      <c r="XT441" s="4"/>
      <c r="XU441" s="4"/>
      <c r="XV441" s="5"/>
      <c r="XW441" s="6"/>
      <c r="XX441" s="4"/>
      <c r="XY441" s="4"/>
      <c r="XZ441" s="4"/>
      <c r="YA441" s="4"/>
      <c r="YB441" s="4"/>
      <c r="YC441" s="5"/>
      <c r="YD441" s="6"/>
      <c r="YE441" s="4"/>
      <c r="YF441" s="4"/>
      <c r="YG441" s="4"/>
      <c r="YH441" s="4"/>
      <c r="YI441" s="4"/>
      <c r="YJ441" s="5"/>
      <c r="YK441" s="6" t="s">
        <v>1434</v>
      </c>
      <c r="YL441" s="7" t="s">
        <v>1435</v>
      </c>
      <c r="YM441" s="4"/>
      <c r="YN441" s="4" t="s">
        <v>1770</v>
      </c>
      <c r="YO441" s="8">
        <v>39828</v>
      </c>
      <c r="YP441" s="8">
        <v>39831</v>
      </c>
      <c r="YQ441" s="5" t="s">
        <v>1301</v>
      </c>
      <c r="YR441" s="6"/>
      <c r="YS441" s="4"/>
      <c r="YT441" s="4"/>
      <c r="YU441" s="4"/>
      <c r="YV441" s="4"/>
      <c r="YW441" s="4"/>
      <c r="YX441" s="5"/>
      <c r="YY441" s="6"/>
      <c r="YZ441" s="4"/>
      <c r="ZA441" s="4"/>
      <c r="ZB441" s="4"/>
      <c r="ZC441" s="4"/>
      <c r="ZD441" s="4"/>
      <c r="ZE441" s="5"/>
      <c r="ZF441" s="6"/>
      <c r="ZG441" s="4"/>
      <c r="ZH441" s="4"/>
      <c r="ZI441" s="4"/>
      <c r="ZJ441" s="4"/>
      <c r="ZK441" s="4"/>
      <c r="ZL441" s="5"/>
      <c r="ZM441" s="6"/>
      <c r="ZN441" s="4"/>
      <c r="ZO441" s="4"/>
      <c r="ZP441" s="4"/>
      <c r="ZQ441" s="4"/>
      <c r="ZR441" s="4"/>
      <c r="ZS441" s="5"/>
      <c r="ZT441" s="6"/>
      <c r="ZU441" s="4"/>
      <c r="ZV441" s="4"/>
      <c r="ZW441" s="4"/>
      <c r="ZX441" s="4"/>
      <c r="ZY441" s="4"/>
      <c r="ZZ441" s="5"/>
      <c r="AAA441" s="6"/>
      <c r="AAB441" s="4"/>
      <c r="AAC441" s="4"/>
      <c r="AAD441" s="4"/>
      <c r="AAE441" s="4"/>
      <c r="AAF441" s="4"/>
      <c r="AAG441" s="5"/>
      <c r="AAH441" s="6"/>
      <c r="AAI441" s="4"/>
      <c r="AAJ441" s="4"/>
      <c r="AAK441" s="4"/>
      <c r="AAL441" s="4"/>
      <c r="AAM441" s="4"/>
      <c r="AAN441" s="5"/>
      <c r="AAO441" s="6"/>
      <c r="AAP441" s="4"/>
      <c r="AAQ441" s="4"/>
      <c r="AAR441" s="4"/>
      <c r="AAS441" s="4"/>
      <c r="AAT441" s="4"/>
      <c r="AAU441" s="5"/>
      <c r="AAV441" s="6"/>
      <c r="AAW441" s="4"/>
      <c r="AAX441" s="4"/>
      <c r="AAY441" s="4"/>
      <c r="AAZ441" s="4"/>
      <c r="ABA441" s="4"/>
      <c r="ABB441" s="5"/>
      <c r="ABC441" s="6"/>
      <c r="ABD441" s="4"/>
      <c r="ABE441" s="4"/>
      <c r="ABF441" s="4"/>
      <c r="ABG441" s="4"/>
      <c r="ABH441" s="4"/>
      <c r="ABI441" s="5"/>
      <c r="ABJ441" s="6"/>
      <c r="ABK441" s="4"/>
      <c r="ABL441" s="4"/>
      <c r="ABM441" s="4"/>
      <c r="ABN441" s="4"/>
      <c r="ABO441" s="4"/>
      <c r="ABP441" s="5"/>
      <c r="ABQ441" s="6"/>
      <c r="ABR441" s="4"/>
      <c r="ABS441" s="4"/>
      <c r="ABT441" s="4"/>
      <c r="ABU441" s="4"/>
      <c r="ABV441" s="4"/>
      <c r="ABW441" s="5"/>
      <c r="ABX441" s="6"/>
      <c r="ABY441" s="4"/>
      <c r="ABZ441" s="4"/>
      <c r="ACA441" s="4"/>
      <c r="ACB441" s="4"/>
      <c r="ACC441" s="4"/>
      <c r="ACD441" s="5"/>
      <c r="ACE441" s="6"/>
      <c r="ACF441" s="4"/>
      <c r="ACG441" s="4"/>
      <c r="ACH441" s="4"/>
      <c r="ACI441" s="4"/>
      <c r="ACJ441" s="4"/>
      <c r="ACK441" s="5"/>
      <c r="ACL441" s="6"/>
      <c r="ACM441" s="4"/>
      <c r="ACN441" s="4"/>
      <c r="ACO441" s="4"/>
      <c r="ACP441" s="4"/>
      <c r="ACQ441" s="4"/>
      <c r="ACR441" s="5"/>
      <c r="ACS441" s="6"/>
      <c r="ACT441" s="4"/>
      <c r="ACU441" s="4"/>
      <c r="ACV441" s="4"/>
      <c r="ACW441" s="4"/>
      <c r="ACX441" s="4"/>
      <c r="ACY441" s="5"/>
    </row>
    <row r="442" spans="2:804" x14ac:dyDescent="0.25">
      <c r="J442" s="12"/>
      <c r="K442" s="12"/>
      <c r="L442" s="12"/>
      <c r="LL442" s="6"/>
      <c r="LM442" s="4"/>
      <c r="LN442" s="4"/>
      <c r="LO442" s="4"/>
      <c r="LP442" s="4"/>
      <c r="LQ442" s="4"/>
      <c r="LR442" s="5"/>
      <c r="LS442" s="6"/>
      <c r="LT442" s="4"/>
      <c r="LU442" s="4"/>
      <c r="LV442" s="4"/>
      <c r="LW442" s="4"/>
      <c r="LX442" s="4"/>
      <c r="LY442" s="5"/>
      <c r="LZ442" s="6" t="s">
        <v>3592</v>
      </c>
      <c r="MA442" s="7" t="s">
        <v>3593</v>
      </c>
      <c r="MB442" s="7" t="s">
        <v>101</v>
      </c>
      <c r="MC442" s="7" t="s">
        <v>103</v>
      </c>
      <c r="MD442" s="8">
        <v>39097</v>
      </c>
      <c r="ME442" s="8">
        <v>39102</v>
      </c>
      <c r="MF442" s="8"/>
      <c r="MG442" s="5" t="s">
        <v>102</v>
      </c>
      <c r="MH442" s="6"/>
      <c r="MI442" s="4"/>
      <c r="MJ442" s="4"/>
      <c r="MK442" s="4"/>
      <c r="ML442" s="4"/>
      <c r="MM442" s="4"/>
      <c r="MN442" s="5"/>
      <c r="MO442" s="6"/>
      <c r="MP442" s="4"/>
      <c r="MQ442" s="4"/>
      <c r="MR442" s="4"/>
      <c r="MS442" s="4"/>
      <c r="MT442" s="4"/>
      <c r="MU442" s="5"/>
      <c r="MV442" s="6"/>
      <c r="MW442" s="4"/>
      <c r="MX442" s="4"/>
      <c r="MY442" s="4"/>
      <c r="MZ442" s="4"/>
      <c r="NA442" s="4"/>
      <c r="NB442" s="5"/>
      <c r="NC442" s="6"/>
      <c r="ND442" s="4"/>
      <c r="NE442" s="4"/>
      <c r="NF442" s="4"/>
      <c r="NG442" s="4"/>
      <c r="NH442" s="4"/>
      <c r="NI442" s="5"/>
      <c r="NJ442" s="6"/>
      <c r="NK442" s="4"/>
      <c r="NL442" s="4"/>
      <c r="NM442" s="4"/>
      <c r="NN442" s="4"/>
      <c r="NO442" s="4"/>
      <c r="NP442" s="5"/>
      <c r="NQ442" s="6"/>
      <c r="NR442" s="4"/>
      <c r="NS442" s="4"/>
      <c r="NT442" s="4"/>
      <c r="NU442" s="4"/>
      <c r="NV442" s="4"/>
      <c r="NW442" s="5"/>
      <c r="NX442" s="6"/>
      <c r="NY442" s="4"/>
      <c r="NZ442" s="4"/>
      <c r="OA442" s="4"/>
      <c r="OB442" s="4"/>
      <c r="OC442" s="4"/>
      <c r="OD442" s="5"/>
      <c r="OE442" s="6"/>
      <c r="OF442" s="4"/>
      <c r="OG442" s="4"/>
      <c r="OH442" s="4"/>
      <c r="OI442" s="4"/>
      <c r="OJ442" s="4"/>
      <c r="OK442" s="5"/>
      <c r="OL442" s="6"/>
      <c r="OM442" s="4"/>
      <c r="ON442" s="4"/>
      <c r="OO442" s="4"/>
      <c r="OP442" s="4"/>
      <c r="OQ442" s="4"/>
      <c r="OR442" s="5"/>
      <c r="OS442" s="6"/>
      <c r="OT442" s="4"/>
      <c r="OU442" s="4"/>
      <c r="OV442" s="4"/>
      <c r="OW442" s="4"/>
      <c r="OX442" s="4"/>
      <c r="OY442" s="5"/>
      <c r="OZ442" s="6"/>
      <c r="PA442" s="4"/>
      <c r="PB442" s="4"/>
      <c r="PC442" s="4"/>
      <c r="PD442" s="4"/>
      <c r="PE442" s="4"/>
      <c r="PF442" s="5"/>
      <c r="PG442" s="6"/>
      <c r="PH442" s="4"/>
      <c r="PI442" s="4"/>
      <c r="PJ442" s="4"/>
      <c r="PK442" s="4"/>
      <c r="PL442" s="4"/>
      <c r="PM442" s="5"/>
      <c r="PN442" s="6"/>
      <c r="PO442" s="4"/>
      <c r="PP442" s="4"/>
      <c r="PQ442" s="4"/>
      <c r="PR442" s="4"/>
      <c r="PS442" s="4"/>
      <c r="PT442" s="5"/>
      <c r="PU442" s="6"/>
      <c r="PV442" s="4"/>
      <c r="PW442" s="4"/>
      <c r="PX442" s="4"/>
      <c r="PY442" s="4"/>
      <c r="PZ442" s="4"/>
      <c r="QA442" s="5"/>
      <c r="QB442" s="6"/>
      <c r="QC442" s="4"/>
      <c r="QD442" s="4"/>
      <c r="QE442" s="4"/>
      <c r="QF442" s="4"/>
      <c r="QG442" s="4"/>
      <c r="QH442" s="5"/>
      <c r="QI442" s="6"/>
      <c r="QJ442" s="4"/>
      <c r="QK442" s="4"/>
      <c r="QL442" s="4"/>
      <c r="QM442" s="4"/>
      <c r="QN442" s="4"/>
      <c r="QO442" s="5"/>
      <c r="QP442" s="6"/>
      <c r="QQ442" s="4"/>
      <c r="QR442" s="4"/>
      <c r="QS442" s="4"/>
      <c r="QT442" s="4"/>
      <c r="QU442" s="4"/>
      <c r="QV442" s="5"/>
      <c r="QW442" s="6"/>
      <c r="QX442" s="4"/>
      <c r="QY442" s="4"/>
      <c r="QZ442" s="4"/>
      <c r="RA442" s="4"/>
      <c r="RB442" s="4"/>
      <c r="RC442" s="5"/>
      <c r="RD442" s="6"/>
      <c r="RE442" s="4"/>
      <c r="RF442" s="4"/>
      <c r="RG442" s="4"/>
      <c r="RH442" s="4"/>
      <c r="RI442" s="4"/>
      <c r="RJ442" s="5"/>
      <c r="RK442" s="6"/>
      <c r="RL442" s="4"/>
      <c r="RM442" s="4"/>
      <c r="RN442" s="4"/>
      <c r="RO442" s="4"/>
      <c r="RP442" s="4"/>
      <c r="RQ442" s="5"/>
      <c r="RR442" s="6"/>
      <c r="RS442" s="4"/>
      <c r="RT442" s="4"/>
      <c r="RU442" s="4"/>
      <c r="RV442" s="4"/>
      <c r="RW442" s="4"/>
      <c r="RX442" s="5"/>
      <c r="RY442" s="6"/>
      <c r="RZ442" s="4"/>
      <c r="SA442" s="4"/>
      <c r="SB442" s="4"/>
      <c r="SC442" s="4"/>
      <c r="SD442" s="4"/>
      <c r="SE442" s="5"/>
      <c r="SF442" s="6"/>
      <c r="SG442" s="4"/>
      <c r="SH442" s="4"/>
      <c r="SI442" s="4"/>
      <c r="SJ442" s="4"/>
      <c r="SK442" s="4"/>
      <c r="SL442" s="5"/>
      <c r="SM442" s="6"/>
      <c r="SN442" s="4"/>
      <c r="SO442" s="4"/>
      <c r="SP442" s="4"/>
      <c r="SQ442" s="4"/>
      <c r="SR442" s="4"/>
      <c r="SS442" s="5"/>
      <c r="ST442" s="6"/>
      <c r="SU442" s="4"/>
      <c r="SV442" s="4"/>
      <c r="SW442" s="4"/>
      <c r="SX442" s="4"/>
      <c r="SY442" s="4"/>
      <c r="SZ442" s="5"/>
      <c r="TA442" s="6"/>
      <c r="TB442" s="4"/>
      <c r="TC442" s="4"/>
      <c r="TD442" s="4"/>
      <c r="TE442" s="4"/>
      <c r="TF442" s="4"/>
      <c r="TG442" s="5"/>
      <c r="TH442" s="6"/>
      <c r="TI442" s="4"/>
      <c r="TJ442" s="4"/>
      <c r="TK442" s="4"/>
      <c r="TL442" s="4"/>
      <c r="TM442" s="4"/>
      <c r="TN442" s="5"/>
      <c r="TO442" s="6"/>
      <c r="TP442" s="4"/>
      <c r="TQ442" s="4"/>
      <c r="TR442" s="4"/>
      <c r="TS442" s="4"/>
      <c r="TT442" s="4"/>
      <c r="TU442" s="5"/>
      <c r="TV442" s="6"/>
      <c r="TW442" s="4"/>
      <c r="TX442" s="4"/>
      <c r="TY442" s="4"/>
      <c r="TZ442" s="4"/>
      <c r="UA442" s="4"/>
      <c r="UB442" s="5"/>
      <c r="UC442" s="6"/>
      <c r="UD442" s="4"/>
      <c r="UE442" s="4"/>
      <c r="UF442" s="4"/>
      <c r="UG442" s="4"/>
      <c r="UH442" s="4"/>
      <c r="UI442" s="5"/>
      <c r="UJ442" s="6"/>
      <c r="UK442" s="4"/>
      <c r="UL442" s="4"/>
      <c r="UM442" s="4"/>
      <c r="UN442" s="4"/>
      <c r="UO442" s="4"/>
      <c r="UP442" s="5"/>
      <c r="UQ442" s="6"/>
      <c r="UR442" s="4"/>
      <c r="US442" s="4"/>
      <c r="UT442" s="4"/>
      <c r="UU442" s="4"/>
      <c r="UV442" s="4"/>
      <c r="UW442" s="5"/>
      <c r="UX442" s="6"/>
      <c r="UY442" s="4"/>
      <c r="UZ442" s="4"/>
      <c r="VA442" s="4"/>
      <c r="VB442" s="4"/>
      <c r="VC442" s="4"/>
      <c r="VD442" s="5"/>
      <c r="VE442" s="6"/>
      <c r="VF442" s="4"/>
      <c r="VG442" s="4"/>
      <c r="VH442" s="4"/>
      <c r="VI442" s="4"/>
      <c r="VJ442" s="4"/>
      <c r="VK442" s="5"/>
      <c r="VL442" s="6"/>
      <c r="VM442" s="4"/>
      <c r="VN442" s="4"/>
      <c r="VO442" s="4"/>
      <c r="VP442" s="4"/>
      <c r="VQ442" s="4"/>
      <c r="VR442" s="5"/>
      <c r="VS442" s="6"/>
      <c r="VT442" s="4"/>
      <c r="VU442" s="4"/>
      <c r="VV442" s="4"/>
      <c r="VW442" s="4"/>
      <c r="VX442" s="4"/>
      <c r="VY442" s="5"/>
      <c r="VZ442" s="6"/>
      <c r="WA442" s="4"/>
      <c r="WB442" s="4"/>
      <c r="WC442" s="4"/>
      <c r="WD442" s="8"/>
      <c r="WE442" s="8"/>
      <c r="WF442" s="5"/>
      <c r="WG442" s="6"/>
      <c r="WH442" s="4"/>
      <c r="WI442" s="4"/>
      <c r="WJ442" s="4"/>
      <c r="WK442" s="4"/>
      <c r="WL442" s="4"/>
      <c r="WM442" s="5"/>
      <c r="WN442" s="6"/>
      <c r="WO442" s="4"/>
      <c r="WP442" s="4"/>
      <c r="WQ442" s="4"/>
      <c r="WR442" s="4"/>
      <c r="WS442" s="4"/>
      <c r="WT442" s="5"/>
      <c r="WU442" s="6"/>
      <c r="WV442" s="4"/>
      <c r="WW442" s="4"/>
      <c r="WX442" s="4"/>
      <c r="WY442" s="4"/>
      <c r="WZ442" s="4"/>
      <c r="XA442" s="5"/>
      <c r="XB442" s="6"/>
      <c r="XC442" s="4"/>
      <c r="XD442" s="4"/>
      <c r="XE442" s="4"/>
      <c r="XF442" s="4"/>
      <c r="XG442" s="4"/>
      <c r="XH442" s="5"/>
      <c r="XI442" s="6"/>
      <c r="XJ442" s="4"/>
      <c r="XK442" s="4"/>
      <c r="XL442" s="4"/>
      <c r="XM442" s="4"/>
      <c r="XN442" s="4"/>
      <c r="XO442" s="5"/>
      <c r="XP442" s="6"/>
      <c r="XQ442" s="4"/>
      <c r="XR442" s="4"/>
      <c r="XS442" s="4"/>
      <c r="XT442" s="4"/>
      <c r="XU442" s="4"/>
      <c r="XV442" s="5"/>
      <c r="XW442" s="6"/>
      <c r="XX442" s="4"/>
      <c r="XY442" s="4"/>
      <c r="XZ442" s="4"/>
      <c r="YA442" s="4"/>
      <c r="YB442" s="4"/>
      <c r="YC442" s="5"/>
      <c r="YD442" s="6"/>
      <c r="YE442" s="4"/>
      <c r="YF442" s="4"/>
      <c r="YG442" s="4"/>
      <c r="YH442" s="4"/>
      <c r="YI442" s="4"/>
      <c r="YJ442" s="5"/>
      <c r="YK442" s="6" t="s">
        <v>1710</v>
      </c>
      <c r="YL442" s="7" t="s">
        <v>1711</v>
      </c>
      <c r="YM442" s="4" t="s">
        <v>100</v>
      </c>
      <c r="YN442" s="4"/>
      <c r="YO442" s="8">
        <v>39116</v>
      </c>
      <c r="YP442" s="8"/>
      <c r="YQ442" s="5"/>
      <c r="YR442" s="6"/>
      <c r="YS442" s="4"/>
      <c r="YT442" s="4"/>
      <c r="YU442" s="4"/>
      <c r="YV442" s="4"/>
      <c r="YW442" s="4"/>
      <c r="YX442" s="5"/>
      <c r="YY442" s="6"/>
      <c r="YZ442" s="4"/>
      <c r="ZA442" s="4"/>
      <c r="ZB442" s="4"/>
      <c r="ZC442" s="4"/>
      <c r="ZD442" s="4"/>
      <c r="ZE442" s="5"/>
      <c r="ZF442" s="6"/>
      <c r="ZG442" s="4"/>
      <c r="ZH442" s="4"/>
      <c r="ZI442" s="4"/>
      <c r="ZJ442" s="4"/>
      <c r="ZK442" s="4"/>
      <c r="ZL442" s="5"/>
      <c r="ZM442" s="6"/>
      <c r="ZN442" s="4"/>
      <c r="ZO442" s="4"/>
      <c r="ZP442" s="4"/>
      <c r="ZQ442" s="4"/>
      <c r="ZR442" s="4"/>
      <c r="ZS442" s="5"/>
      <c r="ZT442" s="6"/>
      <c r="ZU442" s="4"/>
      <c r="ZV442" s="4"/>
      <c r="ZW442" s="4"/>
      <c r="ZX442" s="4"/>
      <c r="ZY442" s="4"/>
      <c r="ZZ442" s="5"/>
      <c r="AAA442" s="6"/>
      <c r="AAB442" s="4"/>
      <c r="AAC442" s="4"/>
      <c r="AAD442" s="4"/>
      <c r="AAE442" s="4"/>
      <c r="AAF442" s="4"/>
      <c r="AAG442" s="5"/>
      <c r="AAH442" s="6"/>
      <c r="AAI442" s="4"/>
      <c r="AAJ442" s="4"/>
      <c r="AAK442" s="4"/>
      <c r="AAL442" s="4"/>
      <c r="AAM442" s="4"/>
      <c r="AAN442" s="5"/>
      <c r="AAO442" s="6"/>
      <c r="AAP442" s="4"/>
      <c r="AAQ442" s="4"/>
      <c r="AAR442" s="4"/>
      <c r="AAS442" s="4"/>
      <c r="AAT442" s="4"/>
      <c r="AAU442" s="5"/>
      <c r="AAV442" s="6"/>
      <c r="AAW442" s="4"/>
      <c r="AAX442" s="4"/>
      <c r="AAY442" s="4"/>
      <c r="AAZ442" s="4"/>
      <c r="ABA442" s="4"/>
      <c r="ABB442" s="5"/>
      <c r="ABC442" s="6"/>
      <c r="ABD442" s="4"/>
      <c r="ABE442" s="4"/>
      <c r="ABF442" s="4"/>
      <c r="ABG442" s="4"/>
      <c r="ABH442" s="4"/>
      <c r="ABI442" s="5"/>
      <c r="ABJ442" s="6"/>
      <c r="ABK442" s="4"/>
      <c r="ABL442" s="4"/>
      <c r="ABM442" s="4"/>
      <c r="ABN442" s="4"/>
      <c r="ABO442" s="4"/>
      <c r="ABP442" s="5"/>
      <c r="ABQ442" s="6"/>
      <c r="ABR442" s="4"/>
      <c r="ABS442" s="4"/>
      <c r="ABT442" s="4"/>
      <c r="ABU442" s="4"/>
      <c r="ABV442" s="4"/>
      <c r="ABW442" s="5"/>
      <c r="ABX442" s="6"/>
      <c r="ABY442" s="4"/>
      <c r="ABZ442" s="4"/>
      <c r="ACA442" s="4"/>
      <c r="ACB442" s="4"/>
      <c r="ACC442" s="4"/>
      <c r="ACD442" s="5"/>
      <c r="ACE442" s="6"/>
      <c r="ACF442" s="4"/>
      <c r="ACG442" s="4"/>
      <c r="ACH442" s="4"/>
      <c r="ACI442" s="4"/>
      <c r="ACJ442" s="4"/>
      <c r="ACK442" s="5"/>
      <c r="ACL442" s="6"/>
      <c r="ACM442" s="4"/>
      <c r="ACN442" s="4"/>
      <c r="ACO442" s="4"/>
      <c r="ACP442" s="4"/>
      <c r="ACQ442" s="4"/>
      <c r="ACR442" s="5"/>
      <c r="ACS442" s="6"/>
      <c r="ACT442" s="4"/>
      <c r="ACU442" s="4"/>
      <c r="ACV442" s="4"/>
      <c r="ACW442" s="4"/>
      <c r="ACX442" s="4"/>
      <c r="ACY442" s="5"/>
    </row>
    <row r="443" spans="2:804" x14ac:dyDescent="0.25">
      <c r="J443" s="12"/>
      <c r="K443" s="12"/>
      <c r="L443" s="12"/>
      <c r="LL443" s="6"/>
      <c r="LM443" s="4"/>
      <c r="LN443" s="4"/>
      <c r="LO443" s="4"/>
      <c r="LP443" s="4"/>
      <c r="LQ443" s="4"/>
      <c r="LR443" s="5"/>
      <c r="LS443" s="6"/>
      <c r="LT443" s="4"/>
      <c r="LU443" s="4"/>
      <c r="LV443" s="4"/>
      <c r="LW443" s="4"/>
      <c r="LX443" s="4"/>
      <c r="LY443" s="5"/>
      <c r="LZ443" s="6" t="s">
        <v>3659</v>
      </c>
      <c r="MA443" s="7" t="s">
        <v>3716</v>
      </c>
      <c r="MB443" s="7"/>
      <c r="MC443" s="7" t="s">
        <v>112</v>
      </c>
      <c r="MD443" s="8">
        <v>39098</v>
      </c>
      <c r="ME443" s="8">
        <v>39104</v>
      </c>
      <c r="MF443" s="8"/>
      <c r="MG443" s="5" t="s">
        <v>102</v>
      </c>
      <c r="MH443" s="6"/>
      <c r="MI443" s="4"/>
      <c r="MJ443" s="4"/>
      <c r="MK443" s="4"/>
      <c r="ML443" s="4"/>
      <c r="MM443" s="4"/>
      <c r="MN443" s="5"/>
      <c r="MO443" s="6"/>
      <c r="MP443" s="4"/>
      <c r="MQ443" s="4"/>
      <c r="MR443" s="4"/>
      <c r="MS443" s="4"/>
      <c r="MT443" s="4"/>
      <c r="MU443" s="5"/>
      <c r="MV443" s="6"/>
      <c r="MW443" s="4"/>
      <c r="MX443" s="4"/>
      <c r="MY443" s="4"/>
      <c r="MZ443" s="4"/>
      <c r="NA443" s="4"/>
      <c r="NB443" s="5"/>
      <c r="NC443" s="6"/>
      <c r="ND443" s="4"/>
      <c r="NE443" s="4"/>
      <c r="NF443" s="4"/>
      <c r="NG443" s="4"/>
      <c r="NH443" s="4"/>
      <c r="NI443" s="5"/>
      <c r="NJ443" s="6"/>
      <c r="NK443" s="4"/>
      <c r="NL443" s="4"/>
      <c r="NM443" s="4"/>
      <c r="NN443" s="4"/>
      <c r="NO443" s="4"/>
      <c r="NP443" s="5"/>
      <c r="NQ443" s="6"/>
      <c r="NR443" s="4"/>
      <c r="NS443" s="4"/>
      <c r="NT443" s="4"/>
      <c r="NU443" s="4"/>
      <c r="NV443" s="4"/>
      <c r="NW443" s="5"/>
      <c r="NX443" s="6"/>
      <c r="NY443" s="4"/>
      <c r="NZ443" s="4"/>
      <c r="OA443" s="4"/>
      <c r="OB443" s="4"/>
      <c r="OC443" s="4"/>
      <c r="OD443" s="5"/>
      <c r="OE443" s="6"/>
      <c r="OF443" s="4"/>
      <c r="OG443" s="4"/>
      <c r="OH443" s="4"/>
      <c r="OI443" s="4"/>
      <c r="OJ443" s="4"/>
      <c r="OK443" s="5"/>
      <c r="OL443" s="6"/>
      <c r="OM443" s="4"/>
      <c r="ON443" s="4"/>
      <c r="OO443" s="4"/>
      <c r="OP443" s="4"/>
      <c r="OQ443" s="4"/>
      <c r="OR443" s="5"/>
      <c r="OS443" s="6"/>
      <c r="OT443" s="4"/>
      <c r="OU443" s="4"/>
      <c r="OV443" s="4"/>
      <c r="OW443" s="4"/>
      <c r="OX443" s="4"/>
      <c r="OY443" s="5"/>
      <c r="OZ443" s="6"/>
      <c r="PA443" s="4"/>
      <c r="PB443" s="4"/>
      <c r="PC443" s="4"/>
      <c r="PD443" s="4"/>
      <c r="PE443" s="4"/>
      <c r="PF443" s="5"/>
      <c r="PG443" s="6"/>
      <c r="PH443" s="4"/>
      <c r="PI443" s="4"/>
      <c r="PJ443" s="4"/>
      <c r="PK443" s="4"/>
      <c r="PL443" s="4"/>
      <c r="PM443" s="5"/>
      <c r="PN443" s="6"/>
      <c r="PO443" s="4"/>
      <c r="PP443" s="4"/>
      <c r="PQ443" s="4"/>
      <c r="PR443" s="4"/>
      <c r="PS443" s="4"/>
      <c r="PT443" s="5"/>
      <c r="PU443" s="6"/>
      <c r="PV443" s="4"/>
      <c r="PW443" s="4"/>
      <c r="PX443" s="4"/>
      <c r="PY443" s="4"/>
      <c r="PZ443" s="4"/>
      <c r="QA443" s="5"/>
      <c r="QB443" s="6"/>
      <c r="QC443" s="4"/>
      <c r="QD443" s="4"/>
      <c r="QE443" s="4"/>
      <c r="QF443" s="4"/>
      <c r="QG443" s="4"/>
      <c r="QH443" s="5"/>
      <c r="QI443" s="6"/>
      <c r="QJ443" s="4"/>
      <c r="QK443" s="4"/>
      <c r="QL443" s="4"/>
      <c r="QM443" s="4"/>
      <c r="QN443" s="4"/>
      <c r="QO443" s="5"/>
      <c r="QP443" s="6"/>
      <c r="QQ443" s="4"/>
      <c r="QR443" s="4"/>
      <c r="QS443" s="4"/>
      <c r="QT443" s="4"/>
      <c r="QU443" s="4"/>
      <c r="QV443" s="5"/>
      <c r="QW443" s="6"/>
      <c r="QX443" s="4"/>
      <c r="QY443" s="4"/>
      <c r="QZ443" s="4"/>
      <c r="RA443" s="4"/>
      <c r="RB443" s="4"/>
      <c r="RC443" s="5"/>
      <c r="RD443" s="6"/>
      <c r="RE443" s="4"/>
      <c r="RF443" s="4"/>
      <c r="RG443" s="4"/>
      <c r="RH443" s="4"/>
      <c r="RI443" s="4"/>
      <c r="RJ443" s="5"/>
      <c r="RK443" s="6"/>
      <c r="RL443" s="4"/>
      <c r="RM443" s="4"/>
      <c r="RN443" s="4"/>
      <c r="RO443" s="4"/>
      <c r="RP443" s="4"/>
      <c r="RQ443" s="5"/>
      <c r="RR443" s="6"/>
      <c r="RS443" s="4"/>
      <c r="RT443" s="4"/>
      <c r="RU443" s="4"/>
      <c r="RV443" s="4"/>
      <c r="RW443" s="4"/>
      <c r="RX443" s="5"/>
      <c r="RY443" s="6"/>
      <c r="RZ443" s="4"/>
      <c r="SA443" s="4"/>
      <c r="SB443" s="4"/>
      <c r="SC443" s="4"/>
      <c r="SD443" s="4"/>
      <c r="SE443" s="5"/>
      <c r="SF443" s="6"/>
      <c r="SG443" s="4"/>
      <c r="SH443" s="4"/>
      <c r="SI443" s="4"/>
      <c r="SJ443" s="4"/>
      <c r="SK443" s="4"/>
      <c r="SL443" s="5"/>
      <c r="SM443" s="6"/>
      <c r="SN443" s="4"/>
      <c r="SO443" s="4"/>
      <c r="SP443" s="4"/>
      <c r="SQ443" s="4"/>
      <c r="SR443" s="4"/>
      <c r="SS443" s="5"/>
      <c r="ST443" s="6"/>
      <c r="SU443" s="4"/>
      <c r="SV443" s="4"/>
      <c r="SW443" s="4"/>
      <c r="SX443" s="4"/>
      <c r="SY443" s="4"/>
      <c r="SZ443" s="5"/>
      <c r="TA443" s="6"/>
      <c r="TB443" s="4"/>
      <c r="TC443" s="4"/>
      <c r="TD443" s="4"/>
      <c r="TE443" s="4"/>
      <c r="TF443" s="4"/>
      <c r="TG443" s="5"/>
      <c r="TH443" s="6"/>
      <c r="TI443" s="4"/>
      <c r="TJ443" s="4"/>
      <c r="TK443" s="4"/>
      <c r="TL443" s="4"/>
      <c r="TM443" s="4"/>
      <c r="TN443" s="5"/>
      <c r="TO443" s="6"/>
      <c r="TP443" s="4"/>
      <c r="TQ443" s="4"/>
      <c r="TR443" s="4"/>
      <c r="TS443" s="4"/>
      <c r="TT443" s="4"/>
      <c r="TU443" s="5"/>
      <c r="TV443" s="6"/>
      <c r="TW443" s="4"/>
      <c r="TX443" s="4"/>
      <c r="TY443" s="4"/>
      <c r="TZ443" s="4"/>
      <c r="UA443" s="4"/>
      <c r="UB443" s="5"/>
      <c r="UC443" s="6"/>
      <c r="UD443" s="4"/>
      <c r="UE443" s="4"/>
      <c r="UF443" s="4"/>
      <c r="UG443" s="4"/>
      <c r="UH443" s="4"/>
      <c r="UI443" s="5"/>
      <c r="UJ443" s="6"/>
      <c r="UK443" s="4"/>
      <c r="UL443" s="4"/>
      <c r="UM443" s="4"/>
      <c r="UN443" s="4"/>
      <c r="UO443" s="4"/>
      <c r="UP443" s="5"/>
      <c r="UQ443" s="6"/>
      <c r="UR443" s="4"/>
      <c r="US443" s="4"/>
      <c r="UT443" s="4"/>
      <c r="UU443" s="4"/>
      <c r="UV443" s="4"/>
      <c r="UW443" s="5"/>
      <c r="UX443" s="6"/>
      <c r="UY443" s="4"/>
      <c r="UZ443" s="4"/>
      <c r="VA443" s="4"/>
      <c r="VB443" s="4"/>
      <c r="VC443" s="4"/>
      <c r="VD443" s="5"/>
      <c r="VE443" s="6"/>
      <c r="VF443" s="4"/>
      <c r="VG443" s="4"/>
      <c r="VH443" s="4"/>
      <c r="VI443" s="4"/>
      <c r="VJ443" s="4"/>
      <c r="VK443" s="5"/>
      <c r="VL443" s="6"/>
      <c r="VM443" s="4"/>
      <c r="VN443" s="4"/>
      <c r="VO443" s="4"/>
      <c r="VP443" s="4"/>
      <c r="VQ443" s="4"/>
      <c r="VR443" s="5"/>
      <c r="VS443" s="6"/>
      <c r="VT443" s="4"/>
      <c r="VU443" s="4"/>
      <c r="VV443" s="4"/>
      <c r="VW443" s="4"/>
      <c r="VX443" s="4"/>
      <c r="VY443" s="5"/>
      <c r="VZ443" s="6"/>
      <c r="WA443" s="4"/>
      <c r="WB443" s="4"/>
      <c r="WC443" s="4"/>
      <c r="WD443" s="8"/>
      <c r="WE443" s="8"/>
      <c r="WF443" s="5"/>
      <c r="WG443" s="6"/>
      <c r="WH443" s="4"/>
      <c r="WI443" s="4"/>
      <c r="WJ443" s="4"/>
      <c r="WK443" s="4"/>
      <c r="WL443" s="4"/>
      <c r="WM443" s="5"/>
      <c r="WN443" s="6"/>
      <c r="WO443" s="4"/>
      <c r="WP443" s="4"/>
      <c r="WQ443" s="4"/>
      <c r="WR443" s="4"/>
      <c r="WS443" s="4"/>
      <c r="WT443" s="5"/>
      <c r="WU443" s="6"/>
      <c r="WV443" s="4"/>
      <c r="WW443" s="4"/>
      <c r="WX443" s="4"/>
      <c r="WY443" s="4"/>
      <c r="WZ443" s="4"/>
      <c r="XA443" s="5"/>
      <c r="XB443" s="6"/>
      <c r="XC443" s="4"/>
      <c r="XD443" s="4"/>
      <c r="XE443" s="4"/>
      <c r="XF443" s="4"/>
      <c r="XG443" s="4"/>
      <c r="XH443" s="5"/>
      <c r="XI443" s="6"/>
      <c r="XJ443" s="4"/>
      <c r="XK443" s="4"/>
      <c r="XL443" s="4"/>
      <c r="XM443" s="4"/>
      <c r="XN443" s="4"/>
      <c r="XO443" s="5"/>
      <c r="XP443" s="6"/>
      <c r="XQ443" s="4"/>
      <c r="XR443" s="4"/>
      <c r="XS443" s="4"/>
      <c r="XT443" s="4"/>
      <c r="XU443" s="4"/>
      <c r="XV443" s="5"/>
      <c r="XW443" s="6"/>
      <c r="XX443" s="4"/>
      <c r="XY443" s="4"/>
      <c r="XZ443" s="4"/>
      <c r="YA443" s="4"/>
      <c r="YB443" s="4"/>
      <c r="YC443" s="5"/>
      <c r="YD443" s="6"/>
      <c r="YE443" s="4"/>
      <c r="YF443" s="4"/>
      <c r="YG443" s="4"/>
      <c r="YH443" s="4"/>
      <c r="YI443" s="4"/>
      <c r="YJ443" s="5"/>
      <c r="YK443" s="6" t="s">
        <v>1712</v>
      </c>
      <c r="YL443" s="4" t="s">
        <v>1712</v>
      </c>
      <c r="YM443" s="4"/>
      <c r="YN443" s="7" t="s">
        <v>113</v>
      </c>
      <c r="YO443" s="8">
        <v>39098</v>
      </c>
      <c r="YP443" s="8">
        <v>39104</v>
      </c>
      <c r="YQ443" s="5"/>
      <c r="YR443" s="6"/>
      <c r="YS443" s="4"/>
      <c r="YT443" s="4"/>
      <c r="YU443" s="4"/>
      <c r="YV443" s="4"/>
      <c r="YW443" s="4"/>
      <c r="YX443" s="5"/>
      <c r="YY443" s="6"/>
      <c r="YZ443" s="4"/>
      <c r="ZA443" s="4"/>
      <c r="ZB443" s="4"/>
      <c r="ZC443" s="4"/>
      <c r="ZD443" s="4"/>
      <c r="ZE443" s="5"/>
      <c r="ZF443" s="6"/>
      <c r="ZG443" s="4"/>
      <c r="ZH443" s="4"/>
      <c r="ZI443" s="4"/>
      <c r="ZJ443" s="4"/>
      <c r="ZK443" s="4"/>
      <c r="ZL443" s="5"/>
      <c r="ZM443" s="6"/>
      <c r="ZN443" s="4"/>
      <c r="ZO443" s="4"/>
      <c r="ZP443" s="4"/>
      <c r="ZQ443" s="4"/>
      <c r="ZR443" s="4"/>
      <c r="ZS443" s="5"/>
      <c r="ZT443" s="6"/>
      <c r="ZU443" s="4"/>
      <c r="ZV443" s="4"/>
      <c r="ZW443" s="4"/>
      <c r="ZX443" s="4"/>
      <c r="ZY443" s="4"/>
      <c r="ZZ443" s="5"/>
      <c r="AAA443" s="6"/>
      <c r="AAB443" s="4"/>
      <c r="AAC443" s="4"/>
      <c r="AAD443" s="4"/>
      <c r="AAE443" s="4"/>
      <c r="AAF443" s="4"/>
      <c r="AAG443" s="5"/>
      <c r="AAH443" s="6"/>
      <c r="AAI443" s="4"/>
      <c r="AAJ443" s="4"/>
      <c r="AAK443" s="4"/>
      <c r="AAL443" s="4"/>
      <c r="AAM443" s="4"/>
      <c r="AAN443" s="5"/>
      <c r="AAO443" s="6"/>
      <c r="AAP443" s="4"/>
      <c r="AAQ443" s="4"/>
      <c r="AAR443" s="4"/>
      <c r="AAS443" s="4"/>
      <c r="AAT443" s="4"/>
      <c r="AAU443" s="5"/>
      <c r="AAV443" s="6"/>
      <c r="AAW443" s="4"/>
      <c r="AAX443" s="4"/>
      <c r="AAY443" s="4"/>
      <c r="AAZ443" s="4"/>
      <c r="ABA443" s="4"/>
      <c r="ABB443" s="5"/>
      <c r="ABC443" s="6"/>
      <c r="ABD443" s="4"/>
      <c r="ABE443" s="4"/>
      <c r="ABF443" s="4"/>
      <c r="ABG443" s="4"/>
      <c r="ABH443" s="4"/>
      <c r="ABI443" s="5"/>
      <c r="ABJ443" s="6"/>
      <c r="ABK443" s="4"/>
      <c r="ABL443" s="4"/>
      <c r="ABM443" s="4"/>
      <c r="ABN443" s="4"/>
      <c r="ABO443" s="4"/>
      <c r="ABP443" s="5"/>
      <c r="ABQ443" s="6"/>
      <c r="ABR443" s="4"/>
      <c r="ABS443" s="4"/>
      <c r="ABT443" s="4"/>
      <c r="ABU443" s="4"/>
      <c r="ABV443" s="4"/>
      <c r="ABW443" s="5"/>
      <c r="ABX443" s="6"/>
      <c r="ABY443" s="4"/>
      <c r="ABZ443" s="4"/>
      <c r="ACA443" s="4"/>
      <c r="ACB443" s="4"/>
      <c r="ACC443" s="4"/>
      <c r="ACD443" s="5"/>
      <c r="ACE443" s="6"/>
      <c r="ACF443" s="4"/>
      <c r="ACG443" s="4"/>
      <c r="ACH443" s="4"/>
      <c r="ACI443" s="4"/>
      <c r="ACJ443" s="4"/>
      <c r="ACK443" s="5"/>
      <c r="ACL443" s="6"/>
      <c r="ACM443" s="4"/>
      <c r="ACN443" s="4"/>
      <c r="ACO443" s="4"/>
      <c r="ACP443" s="4"/>
      <c r="ACQ443" s="4"/>
      <c r="ACR443" s="5"/>
      <c r="ACS443" s="6"/>
      <c r="ACT443" s="4"/>
      <c r="ACU443" s="4"/>
      <c r="ACV443" s="4"/>
      <c r="ACW443" s="4"/>
      <c r="ACX443" s="4"/>
      <c r="ACY443" s="5"/>
    </row>
    <row r="444" spans="2:804" x14ac:dyDescent="0.25">
      <c r="J444" s="12"/>
      <c r="K444" s="12"/>
      <c r="L444" s="12"/>
      <c r="LL444" s="6"/>
      <c r="LM444" s="4"/>
      <c r="LN444" s="4"/>
      <c r="LO444" s="4"/>
      <c r="LP444" s="4"/>
      <c r="LQ444" s="4"/>
      <c r="LR444" s="5"/>
      <c r="LS444" s="6"/>
      <c r="LT444" s="4"/>
      <c r="LU444" s="4"/>
      <c r="LV444" s="4"/>
      <c r="LW444" s="4"/>
      <c r="LX444" s="4"/>
      <c r="LY444" s="5"/>
      <c r="LZ444" s="6"/>
      <c r="MA444" s="7"/>
      <c r="MB444" s="7"/>
      <c r="MC444" s="7"/>
      <c r="MD444" s="8"/>
      <c r="ME444" s="8"/>
      <c r="MF444" s="8"/>
      <c r="MG444" s="5"/>
      <c r="MH444" s="6"/>
      <c r="MI444" s="4"/>
      <c r="MJ444" s="4"/>
      <c r="MK444" s="4"/>
      <c r="ML444" s="4"/>
      <c r="MM444" s="4"/>
      <c r="MN444" s="5"/>
      <c r="MO444" s="6"/>
      <c r="MP444" s="4"/>
      <c r="MQ444" s="4"/>
      <c r="MR444" s="4"/>
      <c r="MS444" s="4"/>
      <c r="MT444" s="4"/>
      <c r="MU444" s="5"/>
      <c r="MV444" s="6"/>
      <c r="MW444" s="4"/>
      <c r="MX444" s="4"/>
      <c r="MY444" s="4"/>
      <c r="MZ444" s="4"/>
      <c r="NA444" s="4"/>
      <c r="NB444" s="5"/>
      <c r="NC444" s="6"/>
      <c r="ND444" s="4"/>
      <c r="NE444" s="4"/>
      <c r="NF444" s="4"/>
      <c r="NG444" s="4"/>
      <c r="NH444" s="4"/>
      <c r="NI444" s="5"/>
      <c r="NJ444" s="6"/>
      <c r="NK444" s="4"/>
      <c r="NL444" s="4"/>
      <c r="NM444" s="4"/>
      <c r="NN444" s="4"/>
      <c r="NO444" s="4"/>
      <c r="NP444" s="5"/>
      <c r="NQ444" s="6"/>
      <c r="NR444" s="4"/>
      <c r="NS444" s="4"/>
      <c r="NT444" s="4"/>
      <c r="NU444" s="4"/>
      <c r="NV444" s="4"/>
      <c r="NW444" s="5"/>
      <c r="NX444" s="6"/>
      <c r="NY444" s="4"/>
      <c r="NZ444" s="4"/>
      <c r="OA444" s="4"/>
      <c r="OB444" s="4"/>
      <c r="OC444" s="4"/>
      <c r="OD444" s="5"/>
      <c r="OE444" s="6"/>
      <c r="OF444" s="4"/>
      <c r="OG444" s="4"/>
      <c r="OH444" s="4"/>
      <c r="OI444" s="4"/>
      <c r="OJ444" s="4"/>
      <c r="OK444" s="5"/>
      <c r="OL444" s="6"/>
      <c r="OM444" s="4"/>
      <c r="ON444" s="4"/>
      <c r="OO444" s="4"/>
      <c r="OP444" s="4"/>
      <c r="OQ444" s="4"/>
      <c r="OR444" s="5"/>
      <c r="OS444" s="6"/>
      <c r="OT444" s="4"/>
      <c r="OU444" s="4"/>
      <c r="OV444" s="4"/>
      <c r="OW444" s="4"/>
      <c r="OX444" s="4"/>
      <c r="OY444" s="5"/>
      <c r="OZ444" s="6"/>
      <c r="PA444" s="4"/>
      <c r="PB444" s="4"/>
      <c r="PC444" s="4"/>
      <c r="PD444" s="4"/>
      <c r="PE444" s="4"/>
      <c r="PF444" s="5"/>
      <c r="PG444" s="6"/>
      <c r="PH444" s="4"/>
      <c r="PI444" s="4"/>
      <c r="PJ444" s="4"/>
      <c r="PK444" s="4"/>
      <c r="PL444" s="4"/>
      <c r="PM444" s="5"/>
      <c r="PN444" s="6"/>
      <c r="PO444" s="4"/>
      <c r="PP444" s="4"/>
      <c r="PQ444" s="4"/>
      <c r="PR444" s="4"/>
      <c r="PS444" s="4"/>
      <c r="PT444" s="5"/>
      <c r="PU444" s="6"/>
      <c r="PV444" s="4"/>
      <c r="PW444" s="4"/>
      <c r="PX444" s="4"/>
      <c r="PY444" s="4"/>
      <c r="PZ444" s="4"/>
      <c r="QA444" s="5"/>
      <c r="QB444" s="6"/>
      <c r="QC444" s="4"/>
      <c r="QD444" s="4"/>
      <c r="QE444" s="4"/>
      <c r="QF444" s="4"/>
      <c r="QG444" s="4"/>
      <c r="QH444" s="5"/>
      <c r="QI444" s="6"/>
      <c r="QJ444" s="4"/>
      <c r="QK444" s="4"/>
      <c r="QL444" s="4"/>
      <c r="QM444" s="4"/>
      <c r="QN444" s="4"/>
      <c r="QO444" s="5"/>
      <c r="QP444" s="6"/>
      <c r="QQ444" s="4"/>
      <c r="QR444" s="4"/>
      <c r="QS444" s="4"/>
      <c r="QT444" s="4"/>
      <c r="QU444" s="4"/>
      <c r="QV444" s="5"/>
      <c r="QW444" s="6"/>
      <c r="QX444" s="4"/>
      <c r="QY444" s="4"/>
      <c r="QZ444" s="4"/>
      <c r="RA444" s="4"/>
      <c r="RB444" s="4"/>
      <c r="RC444" s="5"/>
      <c r="RD444" s="6"/>
      <c r="RE444" s="4"/>
      <c r="RF444" s="4"/>
      <c r="RG444" s="4"/>
      <c r="RH444" s="4"/>
      <c r="RI444" s="4"/>
      <c r="RJ444" s="5"/>
      <c r="RK444" s="6"/>
      <c r="RL444" s="4"/>
      <c r="RM444" s="4"/>
      <c r="RN444" s="4"/>
      <c r="RO444" s="4"/>
      <c r="RP444" s="4"/>
      <c r="RQ444" s="5"/>
      <c r="RR444" s="6"/>
      <c r="RS444" s="4"/>
      <c r="RT444" s="4"/>
      <c r="RU444" s="4"/>
      <c r="RV444" s="4"/>
      <c r="RW444" s="4"/>
      <c r="RX444" s="5"/>
      <c r="RY444" s="6"/>
      <c r="RZ444" s="4"/>
      <c r="SA444" s="4"/>
      <c r="SB444" s="4"/>
      <c r="SC444" s="4"/>
      <c r="SD444" s="4"/>
      <c r="SE444" s="5"/>
      <c r="SF444" s="6"/>
      <c r="SG444" s="4"/>
      <c r="SH444" s="4"/>
      <c r="SI444" s="4"/>
      <c r="SJ444" s="4"/>
      <c r="SK444" s="4"/>
      <c r="SL444" s="5"/>
      <c r="SM444" s="6"/>
      <c r="SN444" s="4"/>
      <c r="SO444" s="4"/>
      <c r="SP444" s="4"/>
      <c r="SQ444" s="4"/>
      <c r="SR444" s="4"/>
      <c r="SS444" s="5"/>
      <c r="ST444" s="6"/>
      <c r="SU444" s="4"/>
      <c r="SV444" s="4"/>
      <c r="SW444" s="4"/>
      <c r="SX444" s="4"/>
      <c r="SY444" s="4"/>
      <c r="SZ444" s="5"/>
      <c r="TA444" s="6"/>
      <c r="TB444" s="4"/>
      <c r="TC444" s="4"/>
      <c r="TD444" s="4"/>
      <c r="TE444" s="4"/>
      <c r="TF444" s="4"/>
      <c r="TG444" s="5"/>
      <c r="TH444" s="6"/>
      <c r="TI444" s="4"/>
      <c r="TJ444" s="4"/>
      <c r="TK444" s="4"/>
      <c r="TL444" s="4"/>
      <c r="TM444" s="4"/>
      <c r="TN444" s="5"/>
      <c r="TO444" s="6"/>
      <c r="TP444" s="4"/>
      <c r="TQ444" s="4"/>
      <c r="TR444" s="4"/>
      <c r="TS444" s="4"/>
      <c r="TT444" s="4"/>
      <c r="TU444" s="5"/>
      <c r="TV444" s="6"/>
      <c r="TW444" s="4"/>
      <c r="TX444" s="4"/>
      <c r="TY444" s="4"/>
      <c r="TZ444" s="4"/>
      <c r="UA444" s="4"/>
      <c r="UB444" s="5"/>
      <c r="UC444" s="6"/>
      <c r="UD444" s="4"/>
      <c r="UE444" s="4"/>
      <c r="UF444" s="4"/>
      <c r="UG444" s="4"/>
      <c r="UH444" s="4"/>
      <c r="UI444" s="5"/>
      <c r="UJ444" s="6"/>
      <c r="UK444" s="4"/>
      <c r="UL444" s="4"/>
      <c r="UM444" s="4"/>
      <c r="UN444" s="4"/>
      <c r="UO444" s="4"/>
      <c r="UP444" s="5"/>
      <c r="UQ444" s="6"/>
      <c r="UR444" s="4"/>
      <c r="US444" s="4"/>
      <c r="UT444" s="4"/>
      <c r="UU444" s="4"/>
      <c r="UV444" s="4"/>
      <c r="UW444" s="5"/>
      <c r="UX444" s="6"/>
      <c r="UY444" s="4"/>
      <c r="UZ444" s="4"/>
      <c r="VA444" s="4"/>
      <c r="VB444" s="4"/>
      <c r="VC444" s="4"/>
      <c r="VD444" s="5"/>
      <c r="VE444" s="6"/>
      <c r="VF444" s="4"/>
      <c r="VG444" s="4"/>
      <c r="VH444" s="4"/>
      <c r="VI444" s="4"/>
      <c r="VJ444" s="4"/>
      <c r="VK444" s="5"/>
      <c r="VL444" s="6"/>
      <c r="VM444" s="4"/>
      <c r="VN444" s="4"/>
      <c r="VO444" s="4"/>
      <c r="VP444" s="4"/>
      <c r="VQ444" s="4"/>
      <c r="VR444" s="5"/>
      <c r="VS444" s="6"/>
      <c r="VT444" s="4"/>
      <c r="VU444" s="4"/>
      <c r="VV444" s="4"/>
      <c r="VW444" s="4"/>
      <c r="VX444" s="4"/>
      <c r="VY444" s="5"/>
      <c r="VZ444" s="6"/>
      <c r="WA444" s="4"/>
      <c r="WB444" s="4"/>
      <c r="WC444" s="4"/>
      <c r="WD444" s="8"/>
      <c r="WE444" s="8"/>
      <c r="WF444" s="5"/>
      <c r="WG444" s="6"/>
      <c r="WH444" s="4"/>
      <c r="WI444" s="4"/>
      <c r="WJ444" s="4"/>
      <c r="WK444" s="4"/>
      <c r="WL444" s="4"/>
      <c r="WM444" s="5"/>
      <c r="WN444" s="6"/>
      <c r="WO444" s="4"/>
      <c r="WP444" s="4"/>
      <c r="WQ444" s="4"/>
      <c r="WR444" s="4"/>
      <c r="WS444" s="4"/>
      <c r="WT444" s="5"/>
      <c r="WU444" s="6"/>
      <c r="WV444" s="4"/>
      <c r="WW444" s="4"/>
      <c r="WX444" s="4"/>
      <c r="WY444" s="4"/>
      <c r="WZ444" s="4"/>
      <c r="XA444" s="5"/>
      <c r="XB444" s="6"/>
      <c r="XC444" s="4"/>
      <c r="XD444" s="4"/>
      <c r="XE444" s="4"/>
      <c r="XF444" s="4"/>
      <c r="XG444" s="4"/>
      <c r="XH444" s="5"/>
      <c r="XI444" s="6"/>
      <c r="XJ444" s="4"/>
      <c r="XK444" s="4"/>
      <c r="XL444" s="4"/>
      <c r="XM444" s="4"/>
      <c r="XN444" s="4"/>
      <c r="XO444" s="5"/>
      <c r="XP444" s="6"/>
      <c r="XQ444" s="4"/>
      <c r="XR444" s="4"/>
      <c r="XS444" s="4"/>
      <c r="XT444" s="4"/>
      <c r="XU444" s="4"/>
      <c r="XV444" s="5"/>
      <c r="XW444" s="6"/>
      <c r="XX444" s="4"/>
      <c r="XY444" s="4"/>
      <c r="XZ444" s="4"/>
      <c r="YA444" s="4"/>
      <c r="YB444" s="4"/>
      <c r="YC444" s="5"/>
      <c r="YD444" s="6"/>
      <c r="YE444" s="4"/>
      <c r="YF444" s="4"/>
      <c r="YG444" s="4"/>
      <c r="YH444" s="4"/>
      <c r="YI444" s="4"/>
      <c r="YJ444" s="5"/>
      <c r="YK444" s="6" t="s">
        <v>2832</v>
      </c>
      <c r="YL444" s="7" t="s">
        <v>2833</v>
      </c>
      <c r="YM444" s="4"/>
      <c r="YN444" s="7" t="s">
        <v>187</v>
      </c>
      <c r="YO444" s="8">
        <v>39101</v>
      </c>
      <c r="YP444" s="8">
        <v>39101</v>
      </c>
      <c r="YQ444" s="5" t="s">
        <v>4006</v>
      </c>
      <c r="YR444" s="6"/>
      <c r="YS444" s="4"/>
      <c r="YT444" s="4"/>
      <c r="YU444" s="4"/>
      <c r="YV444" s="4"/>
      <c r="YW444" s="4"/>
      <c r="YX444" s="5"/>
      <c r="YY444" s="6"/>
      <c r="YZ444" s="4"/>
      <c r="ZA444" s="4"/>
      <c r="ZB444" s="4"/>
      <c r="ZC444" s="4"/>
      <c r="ZD444" s="4"/>
      <c r="ZE444" s="5"/>
      <c r="ZF444" s="6"/>
      <c r="ZG444" s="4"/>
      <c r="ZH444" s="4"/>
      <c r="ZI444" s="4"/>
      <c r="ZJ444" s="4"/>
      <c r="ZK444" s="4"/>
      <c r="ZL444" s="5"/>
      <c r="ZM444" s="6"/>
      <c r="ZN444" s="4"/>
      <c r="ZO444" s="4"/>
      <c r="ZP444" s="4"/>
      <c r="ZQ444" s="4"/>
      <c r="ZR444" s="4"/>
      <c r="ZS444" s="5"/>
      <c r="ZT444" s="6"/>
      <c r="ZU444" s="4"/>
      <c r="ZV444" s="4"/>
      <c r="ZW444" s="4"/>
      <c r="ZX444" s="4"/>
      <c r="ZY444" s="4"/>
      <c r="ZZ444" s="5"/>
      <c r="AAA444" s="6"/>
      <c r="AAB444" s="4"/>
      <c r="AAC444" s="4"/>
      <c r="AAD444" s="4"/>
      <c r="AAE444" s="4"/>
      <c r="AAF444" s="4"/>
      <c r="AAG444" s="5"/>
      <c r="AAH444" s="6"/>
      <c r="AAI444" s="4"/>
      <c r="AAJ444" s="4"/>
      <c r="AAK444" s="4"/>
      <c r="AAL444" s="4"/>
      <c r="AAM444" s="4"/>
      <c r="AAN444" s="5"/>
      <c r="AAO444" s="6"/>
      <c r="AAP444" s="4"/>
      <c r="AAQ444" s="4"/>
      <c r="AAR444" s="4"/>
      <c r="AAS444" s="4"/>
      <c r="AAT444" s="4"/>
      <c r="AAU444" s="5"/>
      <c r="AAV444" s="6"/>
      <c r="AAW444" s="4"/>
      <c r="AAX444" s="4"/>
      <c r="AAY444" s="4"/>
      <c r="AAZ444" s="4"/>
      <c r="ABA444" s="4"/>
      <c r="ABB444" s="5"/>
      <c r="ABC444" s="6"/>
      <c r="ABD444" s="4"/>
      <c r="ABE444" s="4"/>
      <c r="ABF444" s="4"/>
      <c r="ABG444" s="4"/>
      <c r="ABH444" s="4"/>
      <c r="ABI444" s="5"/>
      <c r="ABJ444" s="6"/>
      <c r="ABK444" s="4"/>
      <c r="ABL444" s="4"/>
      <c r="ABM444" s="4"/>
      <c r="ABN444" s="4"/>
      <c r="ABO444" s="4"/>
      <c r="ABP444" s="5"/>
      <c r="ABQ444" s="6"/>
      <c r="ABR444" s="4"/>
      <c r="ABS444" s="4"/>
      <c r="ABT444" s="4"/>
      <c r="ABU444" s="4"/>
      <c r="ABV444" s="4"/>
      <c r="ABW444" s="5"/>
      <c r="ABX444" s="6"/>
      <c r="ABY444" s="4"/>
      <c r="ABZ444" s="4"/>
      <c r="ACA444" s="4"/>
      <c r="ACB444" s="4"/>
      <c r="ACC444" s="4"/>
      <c r="ACD444" s="5"/>
      <c r="ACE444" s="6"/>
      <c r="ACF444" s="4"/>
      <c r="ACG444" s="4"/>
      <c r="ACH444" s="4"/>
      <c r="ACI444" s="4"/>
      <c r="ACJ444" s="4"/>
      <c r="ACK444" s="5"/>
      <c r="ACL444" s="6"/>
      <c r="ACM444" s="4"/>
      <c r="ACN444" s="4"/>
      <c r="ACO444" s="4"/>
      <c r="ACP444" s="4"/>
      <c r="ACQ444" s="4"/>
      <c r="ACR444" s="5"/>
      <c r="ACS444" s="6"/>
      <c r="ACT444" s="4"/>
      <c r="ACU444" s="4"/>
      <c r="ACV444" s="4"/>
      <c r="ACW444" s="4"/>
      <c r="ACX444" s="4"/>
      <c r="ACY444" s="5"/>
    </row>
    <row r="445" spans="2:804" x14ac:dyDescent="0.25">
      <c r="J445" s="12"/>
      <c r="K445" s="12"/>
      <c r="L445" s="12"/>
      <c r="LL445" s="6"/>
      <c r="LM445" s="4"/>
      <c r="LN445" s="4"/>
      <c r="LO445" s="4"/>
      <c r="LP445" s="4"/>
      <c r="LQ445" s="4"/>
      <c r="LR445" s="5"/>
      <c r="LS445" s="6"/>
      <c r="LT445" s="4"/>
      <c r="LU445" s="4"/>
      <c r="LV445" s="4"/>
      <c r="LW445" s="4"/>
      <c r="LX445" s="4"/>
      <c r="LY445" s="5"/>
      <c r="LZ445" s="6"/>
      <c r="MA445" s="7"/>
      <c r="MB445" s="7"/>
      <c r="MC445" s="7"/>
      <c r="MD445" s="8"/>
      <c r="ME445" s="8"/>
      <c r="MF445" s="8"/>
      <c r="MG445" s="5"/>
      <c r="MH445" s="6"/>
      <c r="MI445" s="4"/>
      <c r="MJ445" s="4"/>
      <c r="MK445" s="4"/>
      <c r="ML445" s="4"/>
      <c r="MM445" s="4"/>
      <c r="MN445" s="5"/>
      <c r="MO445" s="6"/>
      <c r="MP445" s="4"/>
      <c r="MQ445" s="4"/>
      <c r="MR445" s="4"/>
      <c r="MS445" s="4"/>
      <c r="MT445" s="4"/>
      <c r="MU445" s="5"/>
      <c r="MV445" s="6"/>
      <c r="MW445" s="4"/>
      <c r="MX445" s="4"/>
      <c r="MY445" s="4"/>
      <c r="MZ445" s="4"/>
      <c r="NA445" s="4"/>
      <c r="NB445" s="5"/>
      <c r="NC445" s="6"/>
      <c r="ND445" s="4"/>
      <c r="NE445" s="4"/>
      <c r="NF445" s="4"/>
      <c r="NG445" s="4"/>
      <c r="NH445" s="4"/>
      <c r="NI445" s="5"/>
      <c r="NJ445" s="6"/>
      <c r="NK445" s="4"/>
      <c r="NL445" s="4"/>
      <c r="NM445" s="4"/>
      <c r="NN445" s="4"/>
      <c r="NO445" s="4"/>
      <c r="NP445" s="5"/>
      <c r="NQ445" s="6"/>
      <c r="NR445" s="4"/>
      <c r="NS445" s="4"/>
      <c r="NT445" s="4"/>
      <c r="NU445" s="4"/>
      <c r="NV445" s="4"/>
      <c r="NW445" s="5"/>
      <c r="NX445" s="6"/>
      <c r="NY445" s="4"/>
      <c r="NZ445" s="4"/>
      <c r="OA445" s="4"/>
      <c r="OB445" s="4"/>
      <c r="OC445" s="4"/>
      <c r="OD445" s="5"/>
      <c r="OE445" s="6"/>
      <c r="OF445" s="4"/>
      <c r="OG445" s="4"/>
      <c r="OH445" s="4"/>
      <c r="OI445" s="4"/>
      <c r="OJ445" s="4"/>
      <c r="OK445" s="5"/>
      <c r="OL445" s="6"/>
      <c r="OM445" s="4"/>
      <c r="ON445" s="4"/>
      <c r="OO445" s="4"/>
      <c r="OP445" s="4"/>
      <c r="OQ445" s="4"/>
      <c r="OR445" s="5"/>
      <c r="OS445" s="6"/>
      <c r="OT445" s="4"/>
      <c r="OU445" s="4"/>
      <c r="OV445" s="4"/>
      <c r="OW445" s="4"/>
      <c r="OX445" s="4"/>
      <c r="OY445" s="5"/>
      <c r="OZ445" s="6"/>
      <c r="PA445" s="4"/>
      <c r="PB445" s="4"/>
      <c r="PC445" s="4"/>
      <c r="PD445" s="4"/>
      <c r="PE445" s="4"/>
      <c r="PF445" s="5"/>
      <c r="PG445" s="6"/>
      <c r="PH445" s="4"/>
      <c r="PI445" s="4"/>
      <c r="PJ445" s="4"/>
      <c r="PK445" s="4"/>
      <c r="PL445" s="4"/>
      <c r="PM445" s="5"/>
      <c r="PN445" s="6"/>
      <c r="PO445" s="4"/>
      <c r="PP445" s="4"/>
      <c r="PQ445" s="4"/>
      <c r="PR445" s="4"/>
      <c r="PS445" s="4"/>
      <c r="PT445" s="5"/>
      <c r="PU445" s="6"/>
      <c r="PV445" s="4"/>
      <c r="PW445" s="4"/>
      <c r="PX445" s="4"/>
      <c r="PY445" s="4"/>
      <c r="PZ445" s="4"/>
      <c r="QA445" s="5"/>
      <c r="QB445" s="6"/>
      <c r="QC445" s="4"/>
      <c r="QD445" s="4"/>
      <c r="QE445" s="4"/>
      <c r="QF445" s="4"/>
      <c r="QG445" s="4"/>
      <c r="QH445" s="5"/>
      <c r="QI445" s="6"/>
      <c r="QJ445" s="4"/>
      <c r="QK445" s="4"/>
      <c r="QL445" s="4"/>
      <c r="QM445" s="4"/>
      <c r="QN445" s="4"/>
      <c r="QO445" s="5"/>
      <c r="QP445" s="6"/>
      <c r="QQ445" s="4"/>
      <c r="QR445" s="4"/>
      <c r="QS445" s="4"/>
      <c r="QT445" s="4"/>
      <c r="QU445" s="4"/>
      <c r="QV445" s="5"/>
      <c r="QW445" s="6"/>
      <c r="QX445" s="4"/>
      <c r="QY445" s="4"/>
      <c r="QZ445" s="4"/>
      <c r="RA445" s="4"/>
      <c r="RB445" s="4"/>
      <c r="RC445" s="5"/>
      <c r="RD445" s="6"/>
      <c r="RE445" s="4"/>
      <c r="RF445" s="4"/>
      <c r="RG445" s="4"/>
      <c r="RH445" s="4"/>
      <c r="RI445" s="4"/>
      <c r="RJ445" s="5"/>
      <c r="RK445" s="6"/>
      <c r="RL445" s="4"/>
      <c r="RM445" s="4"/>
      <c r="RN445" s="4"/>
      <c r="RO445" s="4"/>
      <c r="RP445" s="4"/>
      <c r="RQ445" s="5"/>
      <c r="RR445" s="6"/>
      <c r="RS445" s="4"/>
      <c r="RT445" s="4"/>
      <c r="RU445" s="4"/>
      <c r="RV445" s="4"/>
      <c r="RW445" s="4"/>
      <c r="RX445" s="5"/>
      <c r="RY445" s="6"/>
      <c r="RZ445" s="4"/>
      <c r="SA445" s="4"/>
      <c r="SB445" s="4"/>
      <c r="SC445" s="4"/>
      <c r="SD445" s="4"/>
      <c r="SE445" s="5"/>
      <c r="SF445" s="6"/>
      <c r="SG445" s="4"/>
      <c r="SH445" s="4"/>
      <c r="SI445" s="4"/>
      <c r="SJ445" s="4"/>
      <c r="SK445" s="4"/>
      <c r="SL445" s="5"/>
      <c r="SM445" s="6"/>
      <c r="SN445" s="4"/>
      <c r="SO445" s="4"/>
      <c r="SP445" s="4"/>
      <c r="SQ445" s="4"/>
      <c r="SR445" s="4"/>
      <c r="SS445" s="5"/>
      <c r="ST445" s="6"/>
      <c r="SU445" s="4"/>
      <c r="SV445" s="4"/>
      <c r="SW445" s="4"/>
      <c r="SX445" s="4"/>
      <c r="SY445" s="4"/>
      <c r="SZ445" s="5"/>
      <c r="TA445" s="6"/>
      <c r="TB445" s="4"/>
      <c r="TC445" s="4"/>
      <c r="TD445" s="4"/>
      <c r="TE445" s="4"/>
      <c r="TF445" s="4"/>
      <c r="TG445" s="5"/>
      <c r="TH445" s="6"/>
      <c r="TI445" s="4"/>
      <c r="TJ445" s="4"/>
      <c r="TK445" s="4"/>
      <c r="TL445" s="4"/>
      <c r="TM445" s="4"/>
      <c r="TN445" s="5"/>
      <c r="TO445" s="6"/>
      <c r="TP445" s="4"/>
      <c r="TQ445" s="4"/>
      <c r="TR445" s="4"/>
      <c r="TS445" s="4"/>
      <c r="TT445" s="4"/>
      <c r="TU445" s="5"/>
      <c r="TV445" s="6"/>
      <c r="TW445" s="4"/>
      <c r="TX445" s="4"/>
      <c r="TY445" s="4"/>
      <c r="TZ445" s="4"/>
      <c r="UA445" s="4"/>
      <c r="UB445" s="5"/>
      <c r="UC445" s="6"/>
      <c r="UD445" s="4"/>
      <c r="UE445" s="4"/>
      <c r="UF445" s="4"/>
      <c r="UG445" s="4"/>
      <c r="UH445" s="4"/>
      <c r="UI445" s="5"/>
      <c r="UJ445" s="6"/>
      <c r="UK445" s="4"/>
      <c r="UL445" s="4"/>
      <c r="UM445" s="4"/>
      <c r="UN445" s="4"/>
      <c r="UO445" s="4"/>
      <c r="UP445" s="5"/>
      <c r="UQ445" s="6"/>
      <c r="UR445" s="4"/>
      <c r="US445" s="4"/>
      <c r="UT445" s="4"/>
      <c r="UU445" s="4"/>
      <c r="UV445" s="4"/>
      <c r="UW445" s="5"/>
      <c r="UX445" s="6"/>
      <c r="UY445" s="4"/>
      <c r="UZ445" s="4"/>
      <c r="VA445" s="4"/>
      <c r="VB445" s="4"/>
      <c r="VC445" s="4"/>
      <c r="VD445" s="5"/>
      <c r="VE445" s="6"/>
      <c r="VF445" s="4"/>
      <c r="VG445" s="4"/>
      <c r="VH445" s="4"/>
      <c r="VI445" s="4"/>
      <c r="VJ445" s="4"/>
      <c r="VK445" s="5"/>
      <c r="VL445" s="6"/>
      <c r="VM445" s="4"/>
      <c r="VN445" s="4"/>
      <c r="VO445" s="4"/>
      <c r="VP445" s="4"/>
      <c r="VQ445" s="4"/>
      <c r="VR445" s="5"/>
      <c r="VS445" s="6"/>
      <c r="VT445" s="4"/>
      <c r="VU445" s="4"/>
      <c r="VV445" s="4"/>
      <c r="VW445" s="4"/>
      <c r="VX445" s="4"/>
      <c r="VY445" s="5"/>
      <c r="VZ445" s="6"/>
      <c r="WA445" s="4"/>
      <c r="WB445" s="4"/>
      <c r="WC445" s="4"/>
      <c r="WD445" s="8"/>
      <c r="WE445" s="8"/>
      <c r="WF445" s="5"/>
      <c r="WG445" s="6"/>
      <c r="WH445" s="4"/>
      <c r="WI445" s="4"/>
      <c r="WJ445" s="4"/>
      <c r="WK445" s="4"/>
      <c r="WL445" s="4"/>
      <c r="WM445" s="5"/>
      <c r="WN445" s="6"/>
      <c r="WO445" s="4"/>
      <c r="WP445" s="4"/>
      <c r="WQ445" s="4"/>
      <c r="WR445" s="4"/>
      <c r="WS445" s="4"/>
      <c r="WT445" s="5"/>
      <c r="WU445" s="6"/>
      <c r="WV445" s="4"/>
      <c r="WW445" s="4"/>
      <c r="WX445" s="4"/>
      <c r="WY445" s="4"/>
      <c r="WZ445" s="4"/>
      <c r="XA445" s="5"/>
      <c r="XB445" s="6"/>
      <c r="XC445" s="4"/>
      <c r="XD445" s="4"/>
      <c r="XE445" s="4"/>
      <c r="XF445" s="4"/>
      <c r="XG445" s="4"/>
      <c r="XH445" s="5"/>
      <c r="XI445" s="6"/>
      <c r="XJ445" s="4"/>
      <c r="XK445" s="4"/>
      <c r="XL445" s="4"/>
      <c r="XM445" s="4"/>
      <c r="XN445" s="4"/>
      <c r="XO445" s="5"/>
      <c r="XP445" s="6"/>
      <c r="XQ445" s="4"/>
      <c r="XR445" s="4"/>
      <c r="XS445" s="4"/>
      <c r="XT445" s="4"/>
      <c r="XU445" s="4"/>
      <c r="XV445" s="5"/>
      <c r="XW445" s="6"/>
      <c r="XX445" s="4"/>
      <c r="XY445" s="4"/>
      <c r="XZ445" s="4"/>
      <c r="YA445" s="4"/>
      <c r="YB445" s="4"/>
      <c r="YC445" s="5"/>
      <c r="YD445" s="6"/>
      <c r="YE445" s="4"/>
      <c r="YF445" s="4"/>
      <c r="YG445" s="4"/>
      <c r="YH445" s="4"/>
      <c r="YI445" s="4"/>
      <c r="YJ445" s="5"/>
      <c r="YK445" s="6" t="s">
        <v>1858</v>
      </c>
      <c r="YL445" s="7" t="s">
        <v>1859</v>
      </c>
      <c r="YM445" s="4"/>
      <c r="YN445" s="4"/>
      <c r="YO445" s="8">
        <v>39098</v>
      </c>
      <c r="YP445" s="8"/>
      <c r="YQ445" s="5" t="s">
        <v>104</v>
      </c>
      <c r="YR445" s="6"/>
      <c r="YS445" s="4"/>
      <c r="YT445" s="4"/>
      <c r="YU445" s="4"/>
      <c r="YV445" s="4"/>
      <c r="YW445" s="4"/>
      <c r="YX445" s="5"/>
      <c r="YY445" s="6"/>
      <c r="YZ445" s="4"/>
      <c r="ZA445" s="4"/>
      <c r="ZB445" s="4"/>
      <c r="ZC445" s="4"/>
      <c r="ZD445" s="4"/>
      <c r="ZE445" s="5"/>
      <c r="ZF445" s="6"/>
      <c r="ZG445" s="4"/>
      <c r="ZH445" s="4"/>
      <c r="ZI445" s="4"/>
      <c r="ZJ445" s="4"/>
      <c r="ZK445" s="4"/>
      <c r="ZL445" s="5"/>
      <c r="ZM445" s="6"/>
      <c r="ZN445" s="4"/>
      <c r="ZO445" s="4"/>
      <c r="ZP445" s="4"/>
      <c r="ZQ445" s="4"/>
      <c r="ZR445" s="4"/>
      <c r="ZS445" s="5"/>
      <c r="ZT445" s="6"/>
      <c r="ZU445" s="4"/>
      <c r="ZV445" s="4"/>
      <c r="ZW445" s="4"/>
      <c r="ZX445" s="4"/>
      <c r="ZY445" s="4"/>
      <c r="ZZ445" s="5"/>
      <c r="AAA445" s="6"/>
      <c r="AAB445" s="4"/>
      <c r="AAC445" s="4"/>
      <c r="AAD445" s="4"/>
      <c r="AAE445" s="4"/>
      <c r="AAF445" s="4"/>
      <c r="AAG445" s="5"/>
      <c r="AAH445" s="6"/>
      <c r="AAI445" s="4"/>
      <c r="AAJ445" s="4"/>
      <c r="AAK445" s="4"/>
      <c r="AAL445" s="4"/>
      <c r="AAM445" s="4"/>
      <c r="AAN445" s="5"/>
      <c r="AAO445" s="6"/>
      <c r="AAP445" s="4"/>
      <c r="AAQ445" s="4"/>
      <c r="AAR445" s="4"/>
      <c r="AAS445" s="4"/>
      <c r="AAT445" s="4"/>
      <c r="AAU445" s="5"/>
      <c r="AAV445" s="6"/>
      <c r="AAW445" s="4"/>
      <c r="AAX445" s="4"/>
      <c r="AAY445" s="4"/>
      <c r="AAZ445" s="4"/>
      <c r="ABA445" s="4"/>
      <c r="ABB445" s="5"/>
      <c r="ABC445" s="6"/>
      <c r="ABD445" s="4"/>
      <c r="ABE445" s="4"/>
      <c r="ABF445" s="4"/>
      <c r="ABG445" s="4"/>
      <c r="ABH445" s="4"/>
      <c r="ABI445" s="5"/>
      <c r="ABJ445" s="6"/>
      <c r="ABK445" s="4"/>
      <c r="ABL445" s="4"/>
      <c r="ABM445" s="4"/>
      <c r="ABN445" s="4"/>
      <c r="ABO445" s="4"/>
      <c r="ABP445" s="5"/>
      <c r="ABQ445" s="6"/>
      <c r="ABR445" s="4"/>
      <c r="ABS445" s="4"/>
      <c r="ABT445" s="4"/>
      <c r="ABU445" s="4"/>
      <c r="ABV445" s="4"/>
      <c r="ABW445" s="5"/>
      <c r="ABX445" s="6"/>
      <c r="ABY445" s="4"/>
      <c r="ABZ445" s="4"/>
      <c r="ACA445" s="4"/>
      <c r="ACB445" s="4"/>
      <c r="ACC445" s="4"/>
      <c r="ACD445" s="5"/>
      <c r="ACE445" s="6"/>
      <c r="ACF445" s="4"/>
      <c r="ACG445" s="4"/>
      <c r="ACH445" s="4"/>
      <c r="ACI445" s="4"/>
      <c r="ACJ445" s="4"/>
      <c r="ACK445" s="5"/>
      <c r="ACL445" s="6"/>
      <c r="ACM445" s="4"/>
      <c r="ACN445" s="4"/>
      <c r="ACO445" s="4"/>
      <c r="ACP445" s="4"/>
      <c r="ACQ445" s="4"/>
      <c r="ACR445" s="5"/>
      <c r="ACS445" s="6"/>
      <c r="ACT445" s="4"/>
      <c r="ACU445" s="4"/>
      <c r="ACV445" s="4"/>
      <c r="ACW445" s="4"/>
      <c r="ACX445" s="4"/>
      <c r="ACY445" s="5"/>
    </row>
    <row r="446" spans="2:804" x14ac:dyDescent="0.25">
      <c r="J446" s="12"/>
      <c r="K446" s="12"/>
      <c r="L446" s="12"/>
      <c r="LL446" s="6"/>
      <c r="LM446" s="4"/>
      <c r="LN446" s="4"/>
      <c r="LO446" s="4"/>
      <c r="LP446" s="4"/>
      <c r="LQ446" s="4"/>
      <c r="LR446" s="5"/>
      <c r="LS446" s="6"/>
      <c r="LT446" s="4"/>
      <c r="LU446" s="4"/>
      <c r="LV446" s="4"/>
      <c r="LW446" s="4"/>
      <c r="LX446" s="4"/>
      <c r="LY446" s="5"/>
      <c r="LZ446" s="6"/>
      <c r="MA446" s="7"/>
      <c r="MB446" s="7"/>
      <c r="MC446" s="7"/>
      <c r="MD446" s="8"/>
      <c r="ME446" s="8"/>
      <c r="MF446" s="8"/>
      <c r="MG446" s="5"/>
      <c r="MH446" s="6"/>
      <c r="MI446" s="4"/>
      <c r="MJ446" s="4"/>
      <c r="MK446" s="4"/>
      <c r="ML446" s="4"/>
      <c r="MM446" s="4"/>
      <c r="MN446" s="5"/>
      <c r="MO446" s="6"/>
      <c r="MP446" s="4"/>
      <c r="MQ446" s="4"/>
      <c r="MR446" s="4"/>
      <c r="MS446" s="4"/>
      <c r="MT446" s="4"/>
      <c r="MU446" s="5"/>
      <c r="MV446" s="6"/>
      <c r="MW446" s="4"/>
      <c r="MX446" s="4"/>
      <c r="MY446" s="4"/>
      <c r="MZ446" s="4"/>
      <c r="NA446" s="4"/>
      <c r="NB446" s="5"/>
      <c r="NC446" s="6"/>
      <c r="ND446" s="4"/>
      <c r="NE446" s="4"/>
      <c r="NF446" s="4"/>
      <c r="NG446" s="4"/>
      <c r="NH446" s="4"/>
      <c r="NI446" s="5"/>
      <c r="NJ446" s="6"/>
      <c r="NK446" s="4"/>
      <c r="NL446" s="4"/>
      <c r="NM446" s="4"/>
      <c r="NN446" s="4"/>
      <c r="NO446" s="4"/>
      <c r="NP446" s="5"/>
      <c r="NQ446" s="6"/>
      <c r="NR446" s="4"/>
      <c r="NS446" s="4"/>
      <c r="NT446" s="4"/>
      <c r="NU446" s="4"/>
      <c r="NV446" s="4"/>
      <c r="NW446" s="5"/>
      <c r="NX446" s="6"/>
      <c r="NY446" s="4"/>
      <c r="NZ446" s="4"/>
      <c r="OA446" s="4"/>
      <c r="OB446" s="4"/>
      <c r="OC446" s="4"/>
      <c r="OD446" s="5"/>
      <c r="OE446" s="6"/>
      <c r="OF446" s="4"/>
      <c r="OG446" s="4"/>
      <c r="OH446" s="4"/>
      <c r="OI446" s="4"/>
      <c r="OJ446" s="4"/>
      <c r="OK446" s="5"/>
      <c r="OL446" s="6"/>
      <c r="OM446" s="4"/>
      <c r="ON446" s="4"/>
      <c r="OO446" s="4"/>
      <c r="OP446" s="4"/>
      <c r="OQ446" s="4"/>
      <c r="OR446" s="5"/>
      <c r="OS446" s="6"/>
      <c r="OT446" s="4"/>
      <c r="OU446" s="4"/>
      <c r="OV446" s="4"/>
      <c r="OW446" s="4"/>
      <c r="OX446" s="4"/>
      <c r="OY446" s="5"/>
      <c r="OZ446" s="6"/>
      <c r="PA446" s="4"/>
      <c r="PB446" s="4"/>
      <c r="PC446" s="4"/>
      <c r="PD446" s="4"/>
      <c r="PE446" s="4"/>
      <c r="PF446" s="5"/>
      <c r="PG446" s="6"/>
      <c r="PH446" s="4"/>
      <c r="PI446" s="4"/>
      <c r="PJ446" s="4"/>
      <c r="PK446" s="4"/>
      <c r="PL446" s="4"/>
      <c r="PM446" s="5"/>
      <c r="PN446" s="6"/>
      <c r="PO446" s="4"/>
      <c r="PP446" s="4"/>
      <c r="PQ446" s="4"/>
      <c r="PR446" s="4"/>
      <c r="PS446" s="4"/>
      <c r="PT446" s="5"/>
      <c r="PU446" s="6"/>
      <c r="PV446" s="4"/>
      <c r="PW446" s="4"/>
      <c r="PX446" s="4"/>
      <c r="PY446" s="4"/>
      <c r="PZ446" s="4"/>
      <c r="QA446" s="5"/>
      <c r="QB446" s="6"/>
      <c r="QC446" s="4"/>
      <c r="QD446" s="4"/>
      <c r="QE446" s="4"/>
      <c r="QF446" s="4"/>
      <c r="QG446" s="4"/>
      <c r="QH446" s="5"/>
      <c r="QI446" s="6"/>
      <c r="QJ446" s="4"/>
      <c r="QK446" s="4"/>
      <c r="QL446" s="4"/>
      <c r="QM446" s="4"/>
      <c r="QN446" s="4"/>
      <c r="QO446" s="5"/>
      <c r="QP446" s="6"/>
      <c r="QQ446" s="4"/>
      <c r="QR446" s="4"/>
      <c r="QS446" s="4"/>
      <c r="QT446" s="4"/>
      <c r="QU446" s="4"/>
      <c r="QV446" s="5"/>
      <c r="QW446" s="6"/>
      <c r="QX446" s="4"/>
      <c r="QY446" s="4"/>
      <c r="QZ446" s="4"/>
      <c r="RA446" s="4"/>
      <c r="RB446" s="4"/>
      <c r="RC446" s="5"/>
      <c r="RD446" s="6"/>
      <c r="RE446" s="4"/>
      <c r="RF446" s="4"/>
      <c r="RG446" s="4"/>
      <c r="RH446" s="4"/>
      <c r="RI446" s="4"/>
      <c r="RJ446" s="5"/>
      <c r="RK446" s="6"/>
      <c r="RL446" s="4"/>
      <c r="RM446" s="4"/>
      <c r="RN446" s="4"/>
      <c r="RO446" s="4"/>
      <c r="RP446" s="4"/>
      <c r="RQ446" s="5"/>
      <c r="RR446" s="6"/>
      <c r="RS446" s="4"/>
      <c r="RT446" s="4"/>
      <c r="RU446" s="4"/>
      <c r="RV446" s="4"/>
      <c r="RW446" s="4"/>
      <c r="RX446" s="5"/>
      <c r="RY446" s="6"/>
      <c r="RZ446" s="4"/>
      <c r="SA446" s="4"/>
      <c r="SB446" s="4"/>
      <c r="SC446" s="4"/>
      <c r="SD446" s="4"/>
      <c r="SE446" s="5"/>
      <c r="SF446" s="6"/>
      <c r="SG446" s="4"/>
      <c r="SH446" s="4"/>
      <c r="SI446" s="4"/>
      <c r="SJ446" s="4"/>
      <c r="SK446" s="4"/>
      <c r="SL446" s="5"/>
      <c r="SM446" s="6"/>
      <c r="SN446" s="4"/>
      <c r="SO446" s="4"/>
      <c r="SP446" s="4"/>
      <c r="SQ446" s="4"/>
      <c r="SR446" s="4"/>
      <c r="SS446" s="5"/>
      <c r="ST446" s="6"/>
      <c r="SU446" s="4"/>
      <c r="SV446" s="4"/>
      <c r="SW446" s="4"/>
      <c r="SX446" s="4"/>
      <c r="SY446" s="4"/>
      <c r="SZ446" s="5"/>
      <c r="TA446" s="6"/>
      <c r="TB446" s="4"/>
      <c r="TC446" s="4"/>
      <c r="TD446" s="4"/>
      <c r="TE446" s="4"/>
      <c r="TF446" s="4"/>
      <c r="TG446" s="5"/>
      <c r="TH446" s="6"/>
      <c r="TI446" s="4"/>
      <c r="TJ446" s="4"/>
      <c r="TK446" s="4"/>
      <c r="TL446" s="4"/>
      <c r="TM446" s="4"/>
      <c r="TN446" s="5"/>
      <c r="TO446" s="6"/>
      <c r="TP446" s="4"/>
      <c r="TQ446" s="4"/>
      <c r="TR446" s="4"/>
      <c r="TS446" s="4"/>
      <c r="TT446" s="4"/>
      <c r="TU446" s="5"/>
      <c r="TV446" s="6"/>
      <c r="TW446" s="4"/>
      <c r="TX446" s="4"/>
      <c r="TY446" s="4"/>
      <c r="TZ446" s="4"/>
      <c r="UA446" s="4"/>
      <c r="UB446" s="5"/>
      <c r="UC446" s="6"/>
      <c r="UD446" s="4"/>
      <c r="UE446" s="4"/>
      <c r="UF446" s="4"/>
      <c r="UG446" s="4"/>
      <c r="UH446" s="4"/>
      <c r="UI446" s="5"/>
      <c r="UJ446" s="6"/>
      <c r="UK446" s="4"/>
      <c r="UL446" s="4"/>
      <c r="UM446" s="4"/>
      <c r="UN446" s="4"/>
      <c r="UO446" s="4"/>
      <c r="UP446" s="5"/>
      <c r="UQ446" s="6"/>
      <c r="UR446" s="4"/>
      <c r="US446" s="4"/>
      <c r="UT446" s="4"/>
      <c r="UU446" s="4"/>
      <c r="UV446" s="4"/>
      <c r="UW446" s="5"/>
      <c r="UX446" s="6"/>
      <c r="UY446" s="4"/>
      <c r="UZ446" s="4"/>
      <c r="VA446" s="4"/>
      <c r="VB446" s="4"/>
      <c r="VC446" s="4"/>
      <c r="VD446" s="5"/>
      <c r="VE446" s="6"/>
      <c r="VF446" s="4"/>
      <c r="VG446" s="4"/>
      <c r="VH446" s="4"/>
      <c r="VI446" s="4"/>
      <c r="VJ446" s="4"/>
      <c r="VK446" s="5"/>
      <c r="VL446" s="6"/>
      <c r="VM446" s="4"/>
      <c r="VN446" s="4"/>
      <c r="VO446" s="4"/>
      <c r="VP446" s="4"/>
      <c r="VQ446" s="4"/>
      <c r="VR446" s="5"/>
      <c r="VS446" s="6"/>
      <c r="VT446" s="4"/>
      <c r="VU446" s="4"/>
      <c r="VV446" s="4"/>
      <c r="VW446" s="4"/>
      <c r="VX446" s="4"/>
      <c r="VY446" s="5"/>
      <c r="VZ446" s="6"/>
      <c r="WA446" s="4"/>
      <c r="WB446" s="4"/>
      <c r="WC446" s="4"/>
      <c r="WD446" s="8"/>
      <c r="WE446" s="8"/>
      <c r="WF446" s="5"/>
      <c r="WG446" s="6"/>
      <c r="WH446" s="4"/>
      <c r="WI446" s="4"/>
      <c r="WJ446" s="4"/>
      <c r="WK446" s="4"/>
      <c r="WL446" s="4"/>
      <c r="WM446" s="5"/>
      <c r="WN446" s="6"/>
      <c r="WO446" s="4"/>
      <c r="WP446" s="4"/>
      <c r="WQ446" s="4"/>
      <c r="WR446" s="4"/>
      <c r="WS446" s="4"/>
      <c r="WT446" s="5"/>
      <c r="WU446" s="6"/>
      <c r="WV446" s="4"/>
      <c r="WW446" s="4"/>
      <c r="WX446" s="4"/>
      <c r="WY446" s="4"/>
      <c r="WZ446" s="4"/>
      <c r="XA446" s="5"/>
      <c r="XB446" s="6"/>
      <c r="XC446" s="4"/>
      <c r="XD446" s="4"/>
      <c r="XE446" s="4"/>
      <c r="XF446" s="4"/>
      <c r="XG446" s="4"/>
      <c r="XH446" s="5"/>
      <c r="XI446" s="6"/>
      <c r="XJ446" s="4"/>
      <c r="XK446" s="4"/>
      <c r="XL446" s="4"/>
      <c r="XM446" s="4"/>
      <c r="XN446" s="4"/>
      <c r="XO446" s="5"/>
      <c r="XP446" s="6"/>
      <c r="XQ446" s="4"/>
      <c r="XR446" s="4"/>
      <c r="XS446" s="4"/>
      <c r="XT446" s="4"/>
      <c r="XU446" s="4"/>
      <c r="XV446" s="5"/>
      <c r="XW446" s="6"/>
      <c r="XX446" s="4"/>
      <c r="XY446" s="4"/>
      <c r="XZ446" s="4"/>
      <c r="YA446" s="4"/>
      <c r="YB446" s="4"/>
      <c r="YC446" s="5"/>
      <c r="YD446" s="6"/>
      <c r="YE446" s="4"/>
      <c r="YF446" s="4"/>
      <c r="YG446" s="4"/>
      <c r="YH446" s="4"/>
      <c r="YI446" s="4"/>
      <c r="YJ446" s="5"/>
      <c r="YK446" s="6" t="s">
        <v>2251</v>
      </c>
      <c r="YL446" s="4" t="s">
        <v>1382</v>
      </c>
      <c r="YM446" s="4"/>
      <c r="YN446" s="4" t="s">
        <v>99</v>
      </c>
      <c r="YO446" s="8">
        <v>39097</v>
      </c>
      <c r="YP446" s="8">
        <v>39107</v>
      </c>
      <c r="YQ446" s="5"/>
      <c r="YR446" s="6"/>
      <c r="YS446" s="4"/>
      <c r="YT446" s="4"/>
      <c r="YU446" s="4"/>
      <c r="YV446" s="4"/>
      <c r="YW446" s="4"/>
      <c r="YX446" s="5"/>
      <c r="YY446" s="6"/>
      <c r="YZ446" s="4"/>
      <c r="ZA446" s="4"/>
      <c r="ZB446" s="4"/>
      <c r="ZC446" s="4"/>
      <c r="ZD446" s="4"/>
      <c r="ZE446" s="5"/>
      <c r="ZF446" s="6"/>
      <c r="ZG446" s="4"/>
      <c r="ZH446" s="4"/>
      <c r="ZI446" s="4"/>
      <c r="ZJ446" s="4"/>
      <c r="ZK446" s="4"/>
      <c r="ZL446" s="5"/>
      <c r="ZM446" s="6"/>
      <c r="ZN446" s="4"/>
      <c r="ZO446" s="4"/>
      <c r="ZP446" s="4"/>
      <c r="ZQ446" s="4"/>
      <c r="ZR446" s="4"/>
      <c r="ZS446" s="5"/>
      <c r="ZT446" s="6"/>
      <c r="ZU446" s="4"/>
      <c r="ZV446" s="4"/>
      <c r="ZW446" s="4"/>
      <c r="ZX446" s="4"/>
      <c r="ZY446" s="4"/>
      <c r="ZZ446" s="5"/>
      <c r="AAA446" s="6"/>
      <c r="AAB446" s="4"/>
      <c r="AAC446" s="4"/>
      <c r="AAD446" s="4"/>
      <c r="AAE446" s="4"/>
      <c r="AAF446" s="4"/>
      <c r="AAG446" s="5"/>
      <c r="AAH446" s="6"/>
      <c r="AAI446" s="4"/>
      <c r="AAJ446" s="4"/>
      <c r="AAK446" s="4"/>
      <c r="AAL446" s="4"/>
      <c r="AAM446" s="4"/>
      <c r="AAN446" s="5"/>
      <c r="AAO446" s="6"/>
      <c r="AAP446" s="4"/>
      <c r="AAQ446" s="4"/>
      <c r="AAR446" s="4"/>
      <c r="AAS446" s="4"/>
      <c r="AAT446" s="4"/>
      <c r="AAU446" s="5"/>
      <c r="AAV446" s="6"/>
      <c r="AAW446" s="4"/>
      <c r="AAX446" s="4"/>
      <c r="AAY446" s="4"/>
      <c r="AAZ446" s="4"/>
      <c r="ABA446" s="4"/>
      <c r="ABB446" s="5"/>
      <c r="ABC446" s="6"/>
      <c r="ABD446" s="4"/>
      <c r="ABE446" s="4"/>
      <c r="ABF446" s="4"/>
      <c r="ABG446" s="4"/>
      <c r="ABH446" s="4"/>
      <c r="ABI446" s="5"/>
      <c r="ABJ446" s="6"/>
      <c r="ABK446" s="4"/>
      <c r="ABL446" s="4"/>
      <c r="ABM446" s="4"/>
      <c r="ABN446" s="4"/>
      <c r="ABO446" s="4"/>
      <c r="ABP446" s="5"/>
      <c r="ABQ446" s="6"/>
      <c r="ABR446" s="4"/>
      <c r="ABS446" s="4"/>
      <c r="ABT446" s="4"/>
      <c r="ABU446" s="4"/>
      <c r="ABV446" s="4"/>
      <c r="ABW446" s="5"/>
      <c r="ABX446" s="6"/>
      <c r="ABY446" s="4"/>
      <c r="ABZ446" s="4"/>
      <c r="ACA446" s="4"/>
      <c r="ACB446" s="4"/>
      <c r="ACC446" s="4"/>
      <c r="ACD446" s="5"/>
      <c r="ACE446" s="6"/>
      <c r="ACF446" s="4"/>
      <c r="ACG446" s="4"/>
      <c r="ACH446" s="4"/>
      <c r="ACI446" s="4"/>
      <c r="ACJ446" s="4"/>
      <c r="ACK446" s="5"/>
      <c r="ACL446" s="6"/>
      <c r="ACM446" s="4"/>
      <c r="ACN446" s="4"/>
      <c r="ACO446" s="4"/>
      <c r="ACP446" s="4"/>
      <c r="ACQ446" s="4"/>
      <c r="ACR446" s="5"/>
      <c r="ACS446" s="6"/>
      <c r="ACT446" s="4"/>
      <c r="ACU446" s="4"/>
      <c r="ACV446" s="4"/>
      <c r="ACW446" s="4"/>
      <c r="ACX446" s="4"/>
      <c r="ACY446" s="5"/>
    </row>
    <row r="447" spans="2:804" x14ac:dyDescent="0.25">
      <c r="J447" s="12"/>
      <c r="K447" s="12"/>
      <c r="L447" s="12"/>
      <c r="LL447" s="6"/>
      <c r="LM447" s="4"/>
      <c r="LN447" s="4"/>
      <c r="LO447" s="4"/>
      <c r="LP447" s="4"/>
      <c r="LQ447" s="4"/>
      <c r="LR447" s="5"/>
      <c r="LS447" s="6"/>
      <c r="LT447" s="4"/>
      <c r="LU447" s="4"/>
      <c r="LV447" s="4"/>
      <c r="LW447" s="4"/>
      <c r="LX447" s="4"/>
      <c r="LY447" s="5"/>
      <c r="LZ447" s="6"/>
      <c r="MA447" s="7"/>
      <c r="MB447" s="7"/>
      <c r="MC447" s="7"/>
      <c r="MD447" s="8"/>
      <c r="ME447" s="8"/>
      <c r="MF447" s="8"/>
      <c r="MG447" s="5"/>
      <c r="MH447" s="6"/>
      <c r="MI447" s="4"/>
      <c r="MJ447" s="4"/>
      <c r="MK447" s="4"/>
      <c r="ML447" s="4"/>
      <c r="MM447" s="4"/>
      <c r="MN447" s="5"/>
      <c r="MO447" s="6"/>
      <c r="MP447" s="4"/>
      <c r="MQ447" s="4"/>
      <c r="MR447" s="4"/>
      <c r="MS447" s="4"/>
      <c r="MT447" s="4"/>
      <c r="MU447" s="5"/>
      <c r="MV447" s="6"/>
      <c r="MW447" s="4"/>
      <c r="MX447" s="4"/>
      <c r="MY447" s="4"/>
      <c r="MZ447" s="4"/>
      <c r="NA447" s="4"/>
      <c r="NB447" s="5"/>
      <c r="NC447" s="6"/>
      <c r="ND447" s="4"/>
      <c r="NE447" s="4"/>
      <c r="NF447" s="4"/>
      <c r="NG447" s="4"/>
      <c r="NH447" s="4"/>
      <c r="NI447" s="5"/>
      <c r="NJ447" s="6"/>
      <c r="NK447" s="4"/>
      <c r="NL447" s="4"/>
      <c r="NM447" s="4"/>
      <c r="NN447" s="4"/>
      <c r="NO447" s="4"/>
      <c r="NP447" s="5"/>
      <c r="NQ447" s="6"/>
      <c r="NR447" s="4"/>
      <c r="NS447" s="4"/>
      <c r="NT447" s="4"/>
      <c r="NU447" s="4"/>
      <c r="NV447" s="4"/>
      <c r="NW447" s="5"/>
      <c r="NX447" s="6"/>
      <c r="NY447" s="4"/>
      <c r="NZ447" s="4"/>
      <c r="OA447" s="4"/>
      <c r="OB447" s="4"/>
      <c r="OC447" s="4"/>
      <c r="OD447" s="5"/>
      <c r="OE447" s="6"/>
      <c r="OF447" s="4"/>
      <c r="OG447" s="4"/>
      <c r="OH447" s="4"/>
      <c r="OI447" s="4"/>
      <c r="OJ447" s="4"/>
      <c r="OK447" s="5"/>
      <c r="OL447" s="6"/>
      <c r="OM447" s="4"/>
      <c r="ON447" s="4"/>
      <c r="OO447" s="4"/>
      <c r="OP447" s="4"/>
      <c r="OQ447" s="4"/>
      <c r="OR447" s="5"/>
      <c r="OS447" s="6"/>
      <c r="OT447" s="4"/>
      <c r="OU447" s="4"/>
      <c r="OV447" s="4"/>
      <c r="OW447" s="4"/>
      <c r="OX447" s="4"/>
      <c r="OY447" s="5"/>
      <c r="OZ447" s="6"/>
      <c r="PA447" s="4"/>
      <c r="PB447" s="4"/>
      <c r="PC447" s="4"/>
      <c r="PD447" s="4"/>
      <c r="PE447" s="4"/>
      <c r="PF447" s="5"/>
      <c r="PG447" s="6"/>
      <c r="PH447" s="4"/>
      <c r="PI447" s="4"/>
      <c r="PJ447" s="4"/>
      <c r="PK447" s="4"/>
      <c r="PL447" s="4"/>
      <c r="PM447" s="5"/>
      <c r="PN447" s="6"/>
      <c r="PO447" s="4"/>
      <c r="PP447" s="4"/>
      <c r="PQ447" s="4"/>
      <c r="PR447" s="4"/>
      <c r="PS447" s="4"/>
      <c r="PT447" s="5"/>
      <c r="PU447" s="6"/>
      <c r="PV447" s="4"/>
      <c r="PW447" s="4"/>
      <c r="PX447" s="4"/>
      <c r="PY447" s="4"/>
      <c r="PZ447" s="4"/>
      <c r="QA447" s="5"/>
      <c r="QB447" s="6"/>
      <c r="QC447" s="4"/>
      <c r="QD447" s="4"/>
      <c r="QE447" s="4"/>
      <c r="QF447" s="4"/>
      <c r="QG447" s="4"/>
      <c r="QH447" s="5"/>
      <c r="QI447" s="6"/>
      <c r="QJ447" s="4"/>
      <c r="QK447" s="4"/>
      <c r="QL447" s="4"/>
      <c r="QM447" s="4"/>
      <c r="QN447" s="4"/>
      <c r="QO447" s="5"/>
      <c r="QP447" s="6"/>
      <c r="QQ447" s="4"/>
      <c r="QR447" s="4"/>
      <c r="QS447" s="4"/>
      <c r="QT447" s="4"/>
      <c r="QU447" s="4"/>
      <c r="QV447" s="5"/>
      <c r="QW447" s="6"/>
      <c r="QX447" s="4"/>
      <c r="QY447" s="4"/>
      <c r="QZ447" s="4"/>
      <c r="RA447" s="4"/>
      <c r="RB447" s="4"/>
      <c r="RC447" s="5"/>
      <c r="RD447" s="6"/>
      <c r="RE447" s="4"/>
      <c r="RF447" s="4"/>
      <c r="RG447" s="4"/>
      <c r="RH447" s="4"/>
      <c r="RI447" s="4"/>
      <c r="RJ447" s="5"/>
      <c r="RK447" s="6"/>
      <c r="RL447" s="4"/>
      <c r="RM447" s="4"/>
      <c r="RN447" s="4"/>
      <c r="RO447" s="4"/>
      <c r="RP447" s="4"/>
      <c r="RQ447" s="5"/>
      <c r="RR447" s="6"/>
      <c r="RS447" s="4"/>
      <c r="RT447" s="4"/>
      <c r="RU447" s="4"/>
      <c r="RV447" s="4"/>
      <c r="RW447" s="4"/>
      <c r="RX447" s="5"/>
      <c r="RY447" s="6"/>
      <c r="RZ447" s="4"/>
      <c r="SA447" s="4"/>
      <c r="SB447" s="4"/>
      <c r="SC447" s="4"/>
      <c r="SD447" s="4"/>
      <c r="SE447" s="5"/>
      <c r="SF447" s="6"/>
      <c r="SG447" s="4"/>
      <c r="SH447" s="4"/>
      <c r="SI447" s="4"/>
      <c r="SJ447" s="4"/>
      <c r="SK447" s="4"/>
      <c r="SL447" s="5"/>
      <c r="SM447" s="6"/>
      <c r="SN447" s="4"/>
      <c r="SO447" s="4"/>
      <c r="SP447" s="4"/>
      <c r="SQ447" s="4"/>
      <c r="SR447" s="4"/>
      <c r="SS447" s="5"/>
      <c r="ST447" s="6"/>
      <c r="SU447" s="4"/>
      <c r="SV447" s="4"/>
      <c r="SW447" s="4"/>
      <c r="SX447" s="4"/>
      <c r="SY447" s="4"/>
      <c r="SZ447" s="5"/>
      <c r="TA447" s="6"/>
      <c r="TB447" s="4"/>
      <c r="TC447" s="4"/>
      <c r="TD447" s="4"/>
      <c r="TE447" s="4"/>
      <c r="TF447" s="4"/>
      <c r="TG447" s="5"/>
      <c r="TH447" s="6"/>
      <c r="TI447" s="4"/>
      <c r="TJ447" s="4"/>
      <c r="TK447" s="4"/>
      <c r="TL447" s="4"/>
      <c r="TM447" s="4"/>
      <c r="TN447" s="5"/>
      <c r="TO447" s="6"/>
      <c r="TP447" s="4"/>
      <c r="TQ447" s="4"/>
      <c r="TR447" s="4"/>
      <c r="TS447" s="4"/>
      <c r="TT447" s="4"/>
      <c r="TU447" s="5"/>
      <c r="TV447" s="6"/>
      <c r="TW447" s="4"/>
      <c r="TX447" s="4"/>
      <c r="TY447" s="4"/>
      <c r="TZ447" s="4"/>
      <c r="UA447" s="4"/>
      <c r="UB447" s="5"/>
      <c r="UC447" s="6"/>
      <c r="UD447" s="4"/>
      <c r="UE447" s="4"/>
      <c r="UF447" s="4"/>
      <c r="UG447" s="4"/>
      <c r="UH447" s="4"/>
      <c r="UI447" s="5"/>
      <c r="UJ447" s="6"/>
      <c r="UK447" s="4"/>
      <c r="UL447" s="4"/>
      <c r="UM447" s="4"/>
      <c r="UN447" s="4"/>
      <c r="UO447" s="4"/>
      <c r="UP447" s="5"/>
      <c r="UQ447" s="6"/>
      <c r="UR447" s="4"/>
      <c r="US447" s="4"/>
      <c r="UT447" s="4"/>
      <c r="UU447" s="4"/>
      <c r="UV447" s="4"/>
      <c r="UW447" s="5"/>
      <c r="UX447" s="6"/>
      <c r="UY447" s="4"/>
      <c r="UZ447" s="4"/>
      <c r="VA447" s="4"/>
      <c r="VB447" s="4"/>
      <c r="VC447" s="4"/>
      <c r="VD447" s="5"/>
      <c r="VE447" s="6"/>
      <c r="VF447" s="4"/>
      <c r="VG447" s="4"/>
      <c r="VH447" s="4"/>
      <c r="VI447" s="4"/>
      <c r="VJ447" s="4"/>
      <c r="VK447" s="5"/>
      <c r="VL447" s="6"/>
      <c r="VM447" s="4"/>
      <c r="VN447" s="4"/>
      <c r="VO447" s="4"/>
      <c r="VP447" s="4"/>
      <c r="VQ447" s="4"/>
      <c r="VR447" s="5"/>
      <c r="VS447" s="6"/>
      <c r="VT447" s="4"/>
      <c r="VU447" s="4"/>
      <c r="VV447" s="4"/>
      <c r="VW447" s="4"/>
      <c r="VX447" s="4"/>
      <c r="VY447" s="5"/>
      <c r="VZ447" s="6"/>
      <c r="WA447" s="4"/>
      <c r="WB447" s="4"/>
      <c r="WC447" s="4"/>
      <c r="WD447" s="8"/>
      <c r="WE447" s="8"/>
      <c r="WF447" s="5"/>
      <c r="WG447" s="6"/>
      <c r="WH447" s="4"/>
      <c r="WI447" s="4"/>
      <c r="WJ447" s="4"/>
      <c r="WK447" s="4"/>
      <c r="WL447" s="4"/>
      <c r="WM447" s="5"/>
      <c r="WN447" s="6"/>
      <c r="WO447" s="4"/>
      <c r="WP447" s="4"/>
      <c r="WQ447" s="4"/>
      <c r="WR447" s="4"/>
      <c r="WS447" s="4"/>
      <c r="WT447" s="5"/>
      <c r="WU447" s="6"/>
      <c r="WV447" s="4"/>
      <c r="WW447" s="4"/>
      <c r="WX447" s="4"/>
      <c r="WY447" s="4"/>
      <c r="WZ447" s="4"/>
      <c r="XA447" s="5"/>
      <c r="XB447" s="6"/>
      <c r="XC447" s="4"/>
      <c r="XD447" s="4"/>
      <c r="XE447" s="4"/>
      <c r="XF447" s="4"/>
      <c r="XG447" s="4"/>
      <c r="XH447" s="5"/>
      <c r="XI447" s="6"/>
      <c r="XJ447" s="4"/>
      <c r="XK447" s="4"/>
      <c r="XL447" s="4"/>
      <c r="XM447" s="4"/>
      <c r="XN447" s="4"/>
      <c r="XO447" s="5"/>
      <c r="XP447" s="6"/>
      <c r="XQ447" s="4"/>
      <c r="XR447" s="4"/>
      <c r="XS447" s="4"/>
      <c r="XT447" s="4"/>
      <c r="XU447" s="4"/>
      <c r="XV447" s="5"/>
      <c r="XW447" s="6"/>
      <c r="XX447" s="4"/>
      <c r="XY447" s="4"/>
      <c r="XZ447" s="4"/>
      <c r="YA447" s="4"/>
      <c r="YB447" s="4"/>
      <c r="YC447" s="5"/>
      <c r="YD447" s="6"/>
      <c r="YE447" s="4"/>
      <c r="YF447" s="4"/>
      <c r="YG447" s="4"/>
      <c r="YH447" s="4"/>
      <c r="YI447" s="4"/>
      <c r="YJ447" s="5"/>
      <c r="YK447" s="6" t="s">
        <v>3561</v>
      </c>
      <c r="YL447" s="7" t="s">
        <v>2837</v>
      </c>
      <c r="YM447" s="4"/>
      <c r="YN447" s="4" t="s">
        <v>122</v>
      </c>
      <c r="YO447" s="8">
        <v>39097</v>
      </c>
      <c r="YP447" s="8">
        <v>39104</v>
      </c>
      <c r="YQ447" s="5"/>
      <c r="YR447" s="6"/>
      <c r="YS447" s="4"/>
      <c r="YT447" s="4"/>
      <c r="YU447" s="4"/>
      <c r="YV447" s="4"/>
      <c r="YW447" s="4"/>
      <c r="YX447" s="5"/>
      <c r="YY447" s="6"/>
      <c r="YZ447" s="4"/>
      <c r="ZA447" s="4"/>
      <c r="ZB447" s="4"/>
      <c r="ZC447" s="4"/>
      <c r="ZD447" s="4"/>
      <c r="ZE447" s="5"/>
      <c r="ZF447" s="6"/>
      <c r="ZG447" s="4"/>
      <c r="ZH447" s="4"/>
      <c r="ZI447" s="4"/>
      <c r="ZJ447" s="4"/>
      <c r="ZK447" s="4"/>
      <c r="ZL447" s="5"/>
      <c r="ZM447" s="6"/>
      <c r="ZN447" s="4"/>
      <c r="ZO447" s="4"/>
      <c r="ZP447" s="4"/>
      <c r="ZQ447" s="4"/>
      <c r="ZR447" s="4"/>
      <c r="ZS447" s="5"/>
      <c r="ZT447" s="6"/>
      <c r="ZU447" s="4"/>
      <c r="ZV447" s="4"/>
      <c r="ZW447" s="4"/>
      <c r="ZX447" s="4"/>
      <c r="ZY447" s="4"/>
      <c r="ZZ447" s="5"/>
      <c r="AAA447" s="6"/>
      <c r="AAB447" s="4"/>
      <c r="AAC447" s="4"/>
      <c r="AAD447" s="4"/>
      <c r="AAE447" s="4"/>
      <c r="AAF447" s="4"/>
      <c r="AAG447" s="5"/>
      <c r="AAH447" s="6"/>
      <c r="AAI447" s="4"/>
      <c r="AAJ447" s="4"/>
      <c r="AAK447" s="4"/>
      <c r="AAL447" s="4"/>
      <c r="AAM447" s="4"/>
      <c r="AAN447" s="5"/>
      <c r="AAO447" s="6"/>
      <c r="AAP447" s="4"/>
      <c r="AAQ447" s="4"/>
      <c r="AAR447" s="4"/>
      <c r="AAS447" s="4"/>
      <c r="AAT447" s="4"/>
      <c r="AAU447" s="5"/>
      <c r="AAV447" s="6"/>
      <c r="AAW447" s="4"/>
      <c r="AAX447" s="4"/>
      <c r="AAY447" s="4"/>
      <c r="AAZ447" s="4"/>
      <c r="ABA447" s="4"/>
      <c r="ABB447" s="5"/>
      <c r="ABC447" s="6"/>
      <c r="ABD447" s="4"/>
      <c r="ABE447" s="4"/>
      <c r="ABF447" s="4"/>
      <c r="ABG447" s="4"/>
      <c r="ABH447" s="4"/>
      <c r="ABI447" s="5"/>
      <c r="ABJ447" s="6"/>
      <c r="ABK447" s="4"/>
      <c r="ABL447" s="4"/>
      <c r="ABM447" s="4"/>
      <c r="ABN447" s="4"/>
      <c r="ABO447" s="4"/>
      <c r="ABP447" s="5"/>
      <c r="ABQ447" s="6"/>
      <c r="ABR447" s="4"/>
      <c r="ABS447" s="4"/>
      <c r="ABT447" s="4"/>
      <c r="ABU447" s="4"/>
      <c r="ABV447" s="4"/>
      <c r="ABW447" s="5"/>
      <c r="ABX447" s="6"/>
      <c r="ABY447" s="4"/>
      <c r="ABZ447" s="4"/>
      <c r="ACA447" s="4"/>
      <c r="ACB447" s="4"/>
      <c r="ACC447" s="4"/>
      <c r="ACD447" s="5"/>
      <c r="ACE447" s="6"/>
      <c r="ACF447" s="4"/>
      <c r="ACG447" s="4"/>
      <c r="ACH447" s="4"/>
      <c r="ACI447" s="4"/>
      <c r="ACJ447" s="4"/>
      <c r="ACK447" s="5"/>
      <c r="ACL447" s="6"/>
      <c r="ACM447" s="4"/>
      <c r="ACN447" s="4"/>
      <c r="ACO447" s="4"/>
      <c r="ACP447" s="4"/>
      <c r="ACQ447" s="4"/>
      <c r="ACR447" s="5"/>
      <c r="ACS447" s="6"/>
      <c r="ACT447" s="4"/>
      <c r="ACU447" s="4"/>
      <c r="ACV447" s="4"/>
      <c r="ACW447" s="4"/>
      <c r="ACX447" s="4"/>
      <c r="ACY447" s="5"/>
    </row>
    <row r="448" spans="2:804" x14ac:dyDescent="0.25">
      <c r="J448" s="12"/>
      <c r="K448" s="12"/>
      <c r="L448" s="12"/>
      <c r="LL448" s="6"/>
      <c r="LM448" s="4"/>
      <c r="LN448" s="4"/>
      <c r="LO448" s="4"/>
      <c r="LP448" s="4"/>
      <c r="LQ448" s="4"/>
      <c r="LR448" s="5"/>
      <c r="LS448" s="6"/>
      <c r="LT448" s="4"/>
      <c r="LU448" s="4"/>
      <c r="LV448" s="4"/>
      <c r="LW448" s="4"/>
      <c r="LX448" s="4"/>
      <c r="LY448" s="5"/>
      <c r="LZ448" s="6"/>
      <c r="MA448" s="7"/>
      <c r="MB448" s="7"/>
      <c r="MC448" s="7"/>
      <c r="MD448" s="8"/>
      <c r="ME448" s="8"/>
      <c r="MF448" s="8"/>
      <c r="MG448" s="5"/>
      <c r="MH448" s="6"/>
      <c r="MI448" s="4"/>
      <c r="MJ448" s="4"/>
      <c r="MK448" s="4"/>
      <c r="ML448" s="4"/>
      <c r="MM448" s="4"/>
      <c r="MN448" s="5"/>
      <c r="MO448" s="6"/>
      <c r="MP448" s="4"/>
      <c r="MQ448" s="4"/>
      <c r="MR448" s="4"/>
      <c r="MS448" s="4"/>
      <c r="MT448" s="4"/>
      <c r="MU448" s="5"/>
      <c r="MV448" s="6"/>
      <c r="MW448" s="4"/>
      <c r="MX448" s="4"/>
      <c r="MY448" s="4"/>
      <c r="MZ448" s="4"/>
      <c r="NA448" s="4"/>
      <c r="NB448" s="5"/>
      <c r="NC448" s="6"/>
      <c r="ND448" s="4"/>
      <c r="NE448" s="4"/>
      <c r="NF448" s="4"/>
      <c r="NG448" s="4"/>
      <c r="NH448" s="4"/>
      <c r="NI448" s="5"/>
      <c r="NJ448" s="6"/>
      <c r="NK448" s="4"/>
      <c r="NL448" s="4"/>
      <c r="NM448" s="4"/>
      <c r="NN448" s="4"/>
      <c r="NO448" s="4"/>
      <c r="NP448" s="5"/>
      <c r="NQ448" s="6"/>
      <c r="NR448" s="4"/>
      <c r="NS448" s="4"/>
      <c r="NT448" s="4"/>
      <c r="NU448" s="4"/>
      <c r="NV448" s="4"/>
      <c r="NW448" s="5"/>
      <c r="NX448" s="6"/>
      <c r="NY448" s="4"/>
      <c r="NZ448" s="4"/>
      <c r="OA448" s="4"/>
      <c r="OB448" s="4"/>
      <c r="OC448" s="4"/>
      <c r="OD448" s="5"/>
      <c r="OE448" s="6"/>
      <c r="OF448" s="4"/>
      <c r="OG448" s="4"/>
      <c r="OH448" s="4"/>
      <c r="OI448" s="4"/>
      <c r="OJ448" s="4"/>
      <c r="OK448" s="5"/>
      <c r="OL448" s="6"/>
      <c r="OM448" s="4"/>
      <c r="ON448" s="4"/>
      <c r="OO448" s="4"/>
      <c r="OP448" s="4"/>
      <c r="OQ448" s="4"/>
      <c r="OR448" s="5"/>
      <c r="OS448" s="6"/>
      <c r="OT448" s="4"/>
      <c r="OU448" s="4"/>
      <c r="OV448" s="4"/>
      <c r="OW448" s="4"/>
      <c r="OX448" s="4"/>
      <c r="OY448" s="5"/>
      <c r="OZ448" s="6"/>
      <c r="PA448" s="4"/>
      <c r="PB448" s="4"/>
      <c r="PC448" s="4"/>
      <c r="PD448" s="4"/>
      <c r="PE448" s="4"/>
      <c r="PF448" s="5"/>
      <c r="PG448" s="6"/>
      <c r="PH448" s="4"/>
      <c r="PI448" s="4"/>
      <c r="PJ448" s="4"/>
      <c r="PK448" s="4"/>
      <c r="PL448" s="4"/>
      <c r="PM448" s="5"/>
      <c r="PN448" s="6"/>
      <c r="PO448" s="4"/>
      <c r="PP448" s="4"/>
      <c r="PQ448" s="4"/>
      <c r="PR448" s="4"/>
      <c r="PS448" s="4"/>
      <c r="PT448" s="5"/>
      <c r="PU448" s="6"/>
      <c r="PV448" s="4"/>
      <c r="PW448" s="4"/>
      <c r="PX448" s="4"/>
      <c r="PY448" s="4"/>
      <c r="PZ448" s="4"/>
      <c r="QA448" s="5"/>
      <c r="QB448" s="6"/>
      <c r="QC448" s="4"/>
      <c r="QD448" s="4"/>
      <c r="QE448" s="4"/>
      <c r="QF448" s="4"/>
      <c r="QG448" s="4"/>
      <c r="QH448" s="5"/>
      <c r="QI448" s="6"/>
      <c r="QJ448" s="4"/>
      <c r="QK448" s="4"/>
      <c r="QL448" s="4"/>
      <c r="QM448" s="4"/>
      <c r="QN448" s="4"/>
      <c r="QO448" s="5"/>
      <c r="QP448" s="6"/>
      <c r="QQ448" s="4"/>
      <c r="QR448" s="4"/>
      <c r="QS448" s="4"/>
      <c r="QT448" s="4"/>
      <c r="QU448" s="4"/>
      <c r="QV448" s="5"/>
      <c r="QW448" s="6"/>
      <c r="QX448" s="4"/>
      <c r="QY448" s="4"/>
      <c r="QZ448" s="4"/>
      <c r="RA448" s="4"/>
      <c r="RB448" s="4"/>
      <c r="RC448" s="5"/>
      <c r="RD448" s="6"/>
      <c r="RE448" s="4"/>
      <c r="RF448" s="4"/>
      <c r="RG448" s="4"/>
      <c r="RH448" s="4"/>
      <c r="RI448" s="4"/>
      <c r="RJ448" s="5"/>
      <c r="RK448" s="6"/>
      <c r="RL448" s="4"/>
      <c r="RM448" s="4"/>
      <c r="RN448" s="4"/>
      <c r="RO448" s="4"/>
      <c r="RP448" s="4"/>
      <c r="RQ448" s="5"/>
      <c r="RR448" s="6"/>
      <c r="RS448" s="4"/>
      <c r="RT448" s="4"/>
      <c r="RU448" s="4"/>
      <c r="RV448" s="4"/>
      <c r="RW448" s="4"/>
      <c r="RX448" s="5"/>
      <c r="RY448" s="6"/>
      <c r="RZ448" s="4"/>
      <c r="SA448" s="4"/>
      <c r="SB448" s="4"/>
      <c r="SC448" s="4"/>
      <c r="SD448" s="4"/>
      <c r="SE448" s="5"/>
      <c r="SF448" s="6"/>
      <c r="SG448" s="4"/>
      <c r="SH448" s="4"/>
      <c r="SI448" s="4"/>
      <c r="SJ448" s="4"/>
      <c r="SK448" s="4"/>
      <c r="SL448" s="5"/>
      <c r="SM448" s="6"/>
      <c r="SN448" s="4"/>
      <c r="SO448" s="4"/>
      <c r="SP448" s="4"/>
      <c r="SQ448" s="4"/>
      <c r="SR448" s="4"/>
      <c r="SS448" s="5"/>
      <c r="ST448" s="6"/>
      <c r="SU448" s="4"/>
      <c r="SV448" s="4"/>
      <c r="SW448" s="4"/>
      <c r="SX448" s="4"/>
      <c r="SY448" s="4"/>
      <c r="SZ448" s="5"/>
      <c r="TA448" s="6"/>
      <c r="TB448" s="4"/>
      <c r="TC448" s="4"/>
      <c r="TD448" s="4"/>
      <c r="TE448" s="4"/>
      <c r="TF448" s="4"/>
      <c r="TG448" s="5"/>
      <c r="TH448" s="6"/>
      <c r="TI448" s="4"/>
      <c r="TJ448" s="4"/>
      <c r="TK448" s="4"/>
      <c r="TL448" s="4"/>
      <c r="TM448" s="4"/>
      <c r="TN448" s="5"/>
      <c r="TO448" s="6"/>
      <c r="TP448" s="4"/>
      <c r="TQ448" s="4"/>
      <c r="TR448" s="4"/>
      <c r="TS448" s="4"/>
      <c r="TT448" s="4"/>
      <c r="TU448" s="5"/>
      <c r="TV448" s="6"/>
      <c r="TW448" s="4"/>
      <c r="TX448" s="4"/>
      <c r="TY448" s="4"/>
      <c r="TZ448" s="4"/>
      <c r="UA448" s="4"/>
      <c r="UB448" s="5"/>
      <c r="UC448" s="6"/>
      <c r="UD448" s="4"/>
      <c r="UE448" s="4"/>
      <c r="UF448" s="4"/>
      <c r="UG448" s="4"/>
      <c r="UH448" s="4"/>
      <c r="UI448" s="5"/>
      <c r="UJ448" s="6"/>
      <c r="UK448" s="4"/>
      <c r="UL448" s="4"/>
      <c r="UM448" s="4"/>
      <c r="UN448" s="4"/>
      <c r="UO448" s="4"/>
      <c r="UP448" s="5"/>
      <c r="UQ448" s="6"/>
      <c r="UR448" s="4"/>
      <c r="US448" s="4"/>
      <c r="UT448" s="4"/>
      <c r="UU448" s="4"/>
      <c r="UV448" s="4"/>
      <c r="UW448" s="5"/>
      <c r="UX448" s="6"/>
      <c r="UY448" s="4"/>
      <c r="UZ448" s="4"/>
      <c r="VA448" s="4"/>
      <c r="VB448" s="4"/>
      <c r="VC448" s="4"/>
      <c r="VD448" s="5"/>
      <c r="VE448" s="6"/>
      <c r="VF448" s="4"/>
      <c r="VG448" s="4"/>
      <c r="VH448" s="4"/>
      <c r="VI448" s="4"/>
      <c r="VJ448" s="4"/>
      <c r="VK448" s="5"/>
      <c r="VL448" s="6"/>
      <c r="VM448" s="4"/>
      <c r="VN448" s="4"/>
      <c r="VO448" s="4"/>
      <c r="VP448" s="4"/>
      <c r="VQ448" s="4"/>
      <c r="VR448" s="5"/>
      <c r="VS448" s="6"/>
      <c r="VT448" s="4"/>
      <c r="VU448" s="4"/>
      <c r="VV448" s="4"/>
      <c r="VW448" s="4"/>
      <c r="VX448" s="4"/>
      <c r="VY448" s="5"/>
      <c r="VZ448" s="6"/>
      <c r="WA448" s="4"/>
      <c r="WB448" s="4"/>
      <c r="WC448" s="4"/>
      <c r="WD448" s="8"/>
      <c r="WE448" s="8"/>
      <c r="WF448" s="5"/>
      <c r="WG448" s="6"/>
      <c r="WH448" s="4"/>
      <c r="WI448" s="4"/>
      <c r="WJ448" s="4"/>
      <c r="WK448" s="4"/>
      <c r="WL448" s="4"/>
      <c r="WM448" s="5"/>
      <c r="WN448" s="6"/>
      <c r="WO448" s="4"/>
      <c r="WP448" s="4"/>
      <c r="WQ448" s="4"/>
      <c r="WR448" s="4"/>
      <c r="WS448" s="4"/>
      <c r="WT448" s="5"/>
      <c r="WU448" s="6"/>
      <c r="WV448" s="4"/>
      <c r="WW448" s="4"/>
      <c r="WX448" s="4"/>
      <c r="WY448" s="4"/>
      <c r="WZ448" s="4"/>
      <c r="XA448" s="5"/>
      <c r="XB448" s="6"/>
      <c r="XC448" s="4"/>
      <c r="XD448" s="4"/>
      <c r="XE448" s="4"/>
      <c r="XF448" s="4"/>
      <c r="XG448" s="4"/>
      <c r="XH448" s="5"/>
      <c r="XI448" s="6"/>
      <c r="XJ448" s="4"/>
      <c r="XK448" s="4"/>
      <c r="XL448" s="4"/>
      <c r="XM448" s="4"/>
      <c r="XN448" s="4"/>
      <c r="XO448" s="5"/>
      <c r="XP448" s="6"/>
      <c r="XQ448" s="4"/>
      <c r="XR448" s="4"/>
      <c r="XS448" s="4"/>
      <c r="XT448" s="4"/>
      <c r="XU448" s="4"/>
      <c r="XV448" s="5"/>
      <c r="XW448" s="6"/>
      <c r="XX448" s="4"/>
      <c r="XY448" s="4"/>
      <c r="XZ448" s="4"/>
      <c r="YA448" s="4"/>
      <c r="YB448" s="4"/>
      <c r="YC448" s="5"/>
      <c r="YD448" s="6"/>
      <c r="YE448" s="4"/>
      <c r="YF448" s="4"/>
      <c r="YG448" s="4"/>
      <c r="YH448" s="4"/>
      <c r="YI448" s="4"/>
      <c r="YJ448" s="5"/>
      <c r="YK448" s="6" t="s">
        <v>3717</v>
      </c>
      <c r="YL448" s="12" t="s">
        <v>3611</v>
      </c>
      <c r="YM448" s="4" t="s">
        <v>118</v>
      </c>
      <c r="YN448" s="7" t="s">
        <v>108</v>
      </c>
      <c r="YO448" s="8">
        <v>39100</v>
      </c>
      <c r="YP448" s="8">
        <v>39102</v>
      </c>
      <c r="YQ448" s="5" t="s">
        <v>119</v>
      </c>
      <c r="YR448" s="6"/>
      <c r="YS448" s="4"/>
      <c r="YT448" s="4"/>
      <c r="YU448" s="4"/>
      <c r="YV448" s="4"/>
      <c r="YW448" s="4"/>
      <c r="YX448" s="5"/>
      <c r="YY448" s="6"/>
      <c r="YZ448" s="4"/>
      <c r="ZA448" s="4"/>
      <c r="ZB448" s="4"/>
      <c r="ZC448" s="4"/>
      <c r="ZD448" s="4"/>
      <c r="ZE448" s="5"/>
      <c r="ZF448" s="6"/>
      <c r="ZG448" s="4"/>
      <c r="ZH448" s="4"/>
      <c r="ZI448" s="4"/>
      <c r="ZJ448" s="4"/>
      <c r="ZK448" s="4"/>
      <c r="ZL448" s="5"/>
      <c r="ZM448" s="6"/>
      <c r="ZN448" s="4"/>
      <c r="ZO448" s="4"/>
      <c r="ZP448" s="4"/>
      <c r="ZQ448" s="4"/>
      <c r="ZR448" s="4"/>
      <c r="ZS448" s="5"/>
      <c r="ZT448" s="6"/>
      <c r="ZU448" s="4"/>
      <c r="ZV448" s="4"/>
      <c r="ZW448" s="4"/>
      <c r="ZX448" s="4"/>
      <c r="ZY448" s="4"/>
      <c r="ZZ448" s="5"/>
      <c r="AAA448" s="6"/>
      <c r="AAB448" s="4"/>
      <c r="AAC448" s="4"/>
      <c r="AAD448" s="4"/>
      <c r="AAE448" s="4"/>
      <c r="AAF448" s="4"/>
      <c r="AAG448" s="5"/>
      <c r="AAH448" s="6"/>
      <c r="AAI448" s="4"/>
      <c r="AAJ448" s="4"/>
      <c r="AAK448" s="4"/>
      <c r="AAL448" s="4"/>
      <c r="AAM448" s="4"/>
      <c r="AAN448" s="5"/>
      <c r="AAO448" s="6"/>
      <c r="AAP448" s="4"/>
      <c r="AAQ448" s="4"/>
      <c r="AAR448" s="4"/>
      <c r="AAS448" s="4"/>
      <c r="AAT448" s="4"/>
      <c r="AAU448" s="5"/>
      <c r="AAV448" s="6"/>
      <c r="AAW448" s="4"/>
      <c r="AAX448" s="4"/>
      <c r="AAY448" s="4"/>
      <c r="AAZ448" s="4"/>
      <c r="ABA448" s="4"/>
      <c r="ABB448" s="5"/>
      <c r="ABC448" s="6"/>
      <c r="ABD448" s="4"/>
      <c r="ABE448" s="4"/>
      <c r="ABF448" s="4"/>
      <c r="ABG448" s="4"/>
      <c r="ABH448" s="4"/>
      <c r="ABI448" s="5"/>
      <c r="ABJ448" s="6"/>
      <c r="ABK448" s="4"/>
      <c r="ABL448" s="4"/>
      <c r="ABM448" s="4"/>
      <c r="ABN448" s="4"/>
      <c r="ABO448" s="4"/>
      <c r="ABP448" s="5"/>
      <c r="ABQ448" s="6"/>
      <c r="ABR448" s="4"/>
      <c r="ABS448" s="4"/>
      <c r="ABT448" s="4"/>
      <c r="ABU448" s="4"/>
      <c r="ABV448" s="4"/>
      <c r="ABW448" s="5"/>
      <c r="ABX448" s="6"/>
      <c r="ABY448" s="4"/>
      <c r="ABZ448" s="4"/>
      <c r="ACA448" s="4"/>
      <c r="ACB448" s="4"/>
      <c r="ACC448" s="4"/>
      <c r="ACD448" s="5"/>
      <c r="ACE448" s="6"/>
      <c r="ACF448" s="4"/>
      <c r="ACG448" s="4"/>
      <c r="ACH448" s="4"/>
      <c r="ACI448" s="4"/>
      <c r="ACJ448" s="4"/>
      <c r="ACK448" s="5"/>
      <c r="ACL448" s="6"/>
      <c r="ACM448" s="4"/>
      <c r="ACN448" s="4"/>
      <c r="ACO448" s="4"/>
      <c r="ACP448" s="4"/>
      <c r="ACQ448" s="4"/>
      <c r="ACR448" s="5"/>
      <c r="ACS448" s="6"/>
      <c r="ACT448" s="4"/>
      <c r="ACU448" s="4"/>
      <c r="ACV448" s="4"/>
      <c r="ACW448" s="4"/>
      <c r="ACX448" s="4"/>
      <c r="ACY448" s="5"/>
    </row>
    <row r="449" spans="2:805" x14ac:dyDescent="0.25">
      <c r="J449" s="12"/>
      <c r="K449" s="12"/>
      <c r="L449" s="12"/>
      <c r="LL449" s="6"/>
      <c r="LM449" s="4"/>
      <c r="LN449" s="4"/>
      <c r="LO449" s="4"/>
      <c r="LP449" s="4"/>
      <c r="LQ449" s="4"/>
      <c r="LR449" s="5"/>
      <c r="LS449" s="6"/>
      <c r="LT449" s="4"/>
      <c r="LU449" s="4"/>
      <c r="LV449" s="4"/>
      <c r="LW449" s="4"/>
      <c r="LX449" s="4"/>
      <c r="LY449" s="5"/>
      <c r="LZ449" s="6"/>
      <c r="MA449" s="7"/>
      <c r="MB449" s="7"/>
      <c r="MC449" s="7"/>
      <c r="MD449" s="8"/>
      <c r="ME449" s="8"/>
      <c r="MF449" s="8"/>
      <c r="MG449" s="5"/>
      <c r="MH449" s="6"/>
      <c r="MI449" s="4"/>
      <c r="MJ449" s="4"/>
      <c r="MK449" s="4"/>
      <c r="ML449" s="4"/>
      <c r="MM449" s="4"/>
      <c r="MN449" s="5"/>
      <c r="MO449" s="6"/>
      <c r="MP449" s="4"/>
      <c r="MQ449" s="4"/>
      <c r="MR449" s="4"/>
      <c r="MS449" s="4"/>
      <c r="MT449" s="4"/>
      <c r="MU449" s="5"/>
      <c r="MV449" s="6"/>
      <c r="MW449" s="4"/>
      <c r="MX449" s="4"/>
      <c r="MY449" s="4"/>
      <c r="MZ449" s="4"/>
      <c r="NA449" s="4"/>
      <c r="NB449" s="5"/>
      <c r="NC449" s="6"/>
      <c r="ND449" s="4"/>
      <c r="NE449" s="4"/>
      <c r="NF449" s="4"/>
      <c r="NG449" s="4"/>
      <c r="NH449" s="4"/>
      <c r="NI449" s="5"/>
      <c r="NJ449" s="6"/>
      <c r="NK449" s="4"/>
      <c r="NL449" s="4"/>
      <c r="NM449" s="4"/>
      <c r="NN449" s="4"/>
      <c r="NO449" s="4"/>
      <c r="NP449" s="5"/>
      <c r="NQ449" s="6"/>
      <c r="NR449" s="4"/>
      <c r="NS449" s="4"/>
      <c r="NT449" s="4"/>
      <c r="NU449" s="4"/>
      <c r="NV449" s="4"/>
      <c r="NW449" s="5"/>
      <c r="NX449" s="6"/>
      <c r="NY449" s="4"/>
      <c r="NZ449" s="4"/>
      <c r="OA449" s="4"/>
      <c r="OB449" s="4"/>
      <c r="OC449" s="4"/>
      <c r="OD449" s="5"/>
      <c r="OE449" s="6"/>
      <c r="OF449" s="4"/>
      <c r="OG449" s="4"/>
      <c r="OH449" s="4"/>
      <c r="OI449" s="4"/>
      <c r="OJ449" s="4"/>
      <c r="OK449" s="5"/>
      <c r="OL449" s="6"/>
      <c r="OM449" s="4"/>
      <c r="ON449" s="4"/>
      <c r="OO449" s="4"/>
      <c r="OP449" s="4"/>
      <c r="OQ449" s="4"/>
      <c r="OR449" s="5"/>
      <c r="OS449" s="6"/>
      <c r="OT449" s="4"/>
      <c r="OU449" s="4"/>
      <c r="OV449" s="4"/>
      <c r="OW449" s="4"/>
      <c r="OX449" s="4"/>
      <c r="OY449" s="5"/>
      <c r="OZ449" s="6"/>
      <c r="PA449" s="4"/>
      <c r="PB449" s="4"/>
      <c r="PC449" s="4"/>
      <c r="PD449" s="4"/>
      <c r="PE449" s="4"/>
      <c r="PF449" s="5"/>
      <c r="PG449" s="6"/>
      <c r="PH449" s="4"/>
      <c r="PI449" s="4"/>
      <c r="PJ449" s="4"/>
      <c r="PK449" s="4"/>
      <c r="PL449" s="4"/>
      <c r="PM449" s="5"/>
      <c r="PN449" s="6"/>
      <c r="PO449" s="4"/>
      <c r="PP449" s="4"/>
      <c r="PQ449" s="4"/>
      <c r="PR449" s="4"/>
      <c r="PS449" s="4"/>
      <c r="PT449" s="5"/>
      <c r="PU449" s="6"/>
      <c r="PV449" s="4"/>
      <c r="PW449" s="4"/>
      <c r="PX449" s="4"/>
      <c r="PY449" s="4"/>
      <c r="PZ449" s="4"/>
      <c r="QA449" s="5"/>
      <c r="QB449" s="6"/>
      <c r="QC449" s="4"/>
      <c r="QD449" s="4"/>
      <c r="QE449" s="4"/>
      <c r="QF449" s="4"/>
      <c r="QG449" s="4"/>
      <c r="QH449" s="5"/>
      <c r="QI449" s="6"/>
      <c r="QJ449" s="4"/>
      <c r="QK449" s="4"/>
      <c r="QL449" s="4"/>
      <c r="QM449" s="4"/>
      <c r="QN449" s="4"/>
      <c r="QO449" s="5"/>
      <c r="QP449" s="6"/>
      <c r="QQ449" s="4"/>
      <c r="QR449" s="4"/>
      <c r="QS449" s="4"/>
      <c r="QT449" s="4"/>
      <c r="QU449" s="4"/>
      <c r="QV449" s="5"/>
      <c r="QW449" s="6"/>
      <c r="QX449" s="4"/>
      <c r="QY449" s="4"/>
      <c r="QZ449" s="4"/>
      <c r="RA449" s="4"/>
      <c r="RB449" s="4"/>
      <c r="RC449" s="5"/>
      <c r="RD449" s="6"/>
      <c r="RE449" s="4"/>
      <c r="RF449" s="4"/>
      <c r="RG449" s="4"/>
      <c r="RH449" s="4"/>
      <c r="RI449" s="4"/>
      <c r="RJ449" s="5"/>
      <c r="RK449" s="6"/>
      <c r="RL449" s="4"/>
      <c r="RM449" s="4"/>
      <c r="RN449" s="4"/>
      <c r="RO449" s="4"/>
      <c r="RP449" s="4"/>
      <c r="RQ449" s="5"/>
      <c r="RR449" s="6"/>
      <c r="RS449" s="4"/>
      <c r="RT449" s="4"/>
      <c r="RU449" s="4"/>
      <c r="RV449" s="4"/>
      <c r="RW449" s="4"/>
      <c r="RX449" s="5"/>
      <c r="RY449" s="6"/>
      <c r="RZ449" s="4"/>
      <c r="SA449" s="4"/>
      <c r="SB449" s="4"/>
      <c r="SC449" s="4"/>
      <c r="SD449" s="4"/>
      <c r="SE449" s="5"/>
      <c r="SF449" s="6"/>
      <c r="SG449" s="4"/>
      <c r="SH449" s="4"/>
      <c r="SI449" s="4"/>
      <c r="SJ449" s="4"/>
      <c r="SK449" s="4"/>
      <c r="SL449" s="5"/>
      <c r="SM449" s="6"/>
      <c r="SN449" s="4"/>
      <c r="SO449" s="4"/>
      <c r="SP449" s="4"/>
      <c r="SQ449" s="4"/>
      <c r="SR449" s="4"/>
      <c r="SS449" s="5"/>
      <c r="ST449" s="6"/>
      <c r="SU449" s="4"/>
      <c r="SV449" s="4"/>
      <c r="SW449" s="4"/>
      <c r="SX449" s="4"/>
      <c r="SY449" s="4"/>
      <c r="SZ449" s="5"/>
      <c r="TA449" s="6"/>
      <c r="TB449" s="4"/>
      <c r="TC449" s="4"/>
      <c r="TD449" s="4"/>
      <c r="TE449" s="4"/>
      <c r="TF449" s="4"/>
      <c r="TG449" s="5"/>
      <c r="TH449" s="6"/>
      <c r="TI449" s="4"/>
      <c r="TJ449" s="4"/>
      <c r="TK449" s="4"/>
      <c r="TL449" s="4"/>
      <c r="TM449" s="4"/>
      <c r="TN449" s="5"/>
      <c r="TO449" s="6"/>
      <c r="TP449" s="4"/>
      <c r="TQ449" s="4"/>
      <c r="TR449" s="4"/>
      <c r="TS449" s="4"/>
      <c r="TT449" s="4"/>
      <c r="TU449" s="5"/>
      <c r="TV449" s="6"/>
      <c r="TW449" s="4"/>
      <c r="TX449" s="4"/>
      <c r="TY449" s="4"/>
      <c r="TZ449" s="4"/>
      <c r="UA449" s="4"/>
      <c r="UB449" s="5"/>
      <c r="UC449" s="6"/>
      <c r="UD449" s="4"/>
      <c r="UE449" s="4"/>
      <c r="UF449" s="4"/>
      <c r="UG449" s="4"/>
      <c r="UH449" s="4"/>
      <c r="UI449" s="5"/>
      <c r="UJ449" s="6"/>
      <c r="UK449" s="4"/>
      <c r="UL449" s="4"/>
      <c r="UM449" s="4"/>
      <c r="UN449" s="4"/>
      <c r="UO449" s="4"/>
      <c r="UP449" s="5"/>
      <c r="UQ449" s="6"/>
      <c r="UR449" s="4"/>
      <c r="US449" s="4"/>
      <c r="UT449" s="4"/>
      <c r="UU449" s="4"/>
      <c r="UV449" s="4"/>
      <c r="UW449" s="5"/>
      <c r="UX449" s="6"/>
      <c r="UY449" s="4"/>
      <c r="UZ449" s="4"/>
      <c r="VA449" s="4"/>
      <c r="VB449" s="4"/>
      <c r="VC449" s="4"/>
      <c r="VD449" s="5"/>
      <c r="VE449" s="6"/>
      <c r="VF449" s="4"/>
      <c r="VG449" s="4"/>
      <c r="VH449" s="4"/>
      <c r="VI449" s="4"/>
      <c r="VJ449" s="4"/>
      <c r="VK449" s="5"/>
      <c r="VL449" s="6"/>
      <c r="VM449" s="4"/>
      <c r="VN449" s="4"/>
      <c r="VO449" s="4"/>
      <c r="VP449" s="4"/>
      <c r="VQ449" s="4"/>
      <c r="VR449" s="5"/>
      <c r="VS449" s="6"/>
      <c r="VT449" s="4"/>
      <c r="VU449" s="4"/>
      <c r="VV449" s="4"/>
      <c r="VW449" s="4"/>
      <c r="VX449" s="4"/>
      <c r="VY449" s="5"/>
      <c r="VZ449" s="6"/>
      <c r="WA449" s="4"/>
      <c r="WB449" s="4"/>
      <c r="WC449" s="4"/>
      <c r="WD449" s="8"/>
      <c r="WE449" s="8"/>
      <c r="WF449" s="5"/>
      <c r="WG449" s="6"/>
      <c r="WH449" s="4"/>
      <c r="WI449" s="4"/>
      <c r="WJ449" s="4"/>
      <c r="WK449" s="4"/>
      <c r="WL449" s="4"/>
      <c r="WM449" s="5"/>
      <c r="WN449" s="6"/>
      <c r="WO449" s="4"/>
      <c r="WP449" s="4"/>
      <c r="WQ449" s="4"/>
      <c r="WR449" s="4"/>
      <c r="WS449" s="4"/>
      <c r="WT449" s="5"/>
      <c r="WU449" s="6"/>
      <c r="WV449" s="4"/>
      <c r="WW449" s="4"/>
      <c r="WX449" s="4"/>
      <c r="WY449" s="4"/>
      <c r="WZ449" s="4"/>
      <c r="XA449" s="5"/>
      <c r="XB449" s="6"/>
      <c r="XC449" s="4"/>
      <c r="XD449" s="4"/>
      <c r="XE449" s="4"/>
      <c r="XF449" s="4"/>
      <c r="XG449" s="4"/>
      <c r="XH449" s="5"/>
      <c r="XI449" s="6"/>
      <c r="XJ449" s="4"/>
      <c r="XK449" s="4"/>
      <c r="XL449" s="4"/>
      <c r="XM449" s="4"/>
      <c r="XN449" s="4"/>
      <c r="XO449" s="5"/>
      <c r="XP449" s="6"/>
      <c r="XQ449" s="4"/>
      <c r="XR449" s="4"/>
      <c r="XS449" s="4"/>
      <c r="XT449" s="4"/>
      <c r="XU449" s="4"/>
      <c r="XV449" s="5"/>
      <c r="XW449" s="6"/>
      <c r="XX449" s="4"/>
      <c r="XY449" s="4"/>
      <c r="XZ449" s="4"/>
      <c r="YA449" s="4"/>
      <c r="YB449" s="4"/>
      <c r="YC449" s="5"/>
      <c r="YD449" s="6"/>
      <c r="YE449" s="4"/>
      <c r="YF449" s="4"/>
      <c r="YG449" s="4"/>
      <c r="YH449" s="4"/>
      <c r="YI449" s="4"/>
      <c r="YJ449" s="5"/>
      <c r="YK449" s="6" t="s">
        <v>2253</v>
      </c>
      <c r="YL449" s="4" t="s">
        <v>1944</v>
      </c>
      <c r="YM449" s="4"/>
      <c r="YN449" s="7" t="s">
        <v>125</v>
      </c>
      <c r="YO449" s="8">
        <v>39468</v>
      </c>
      <c r="YP449" s="8">
        <v>39104</v>
      </c>
      <c r="YQ449" s="5" t="s">
        <v>126</v>
      </c>
      <c r="YR449" s="6"/>
      <c r="YS449" s="4"/>
      <c r="YT449" s="4"/>
      <c r="YU449" s="4"/>
      <c r="YV449" s="4"/>
      <c r="YW449" s="4"/>
      <c r="YX449" s="5"/>
      <c r="YY449" s="6"/>
      <c r="YZ449" s="4"/>
      <c r="ZA449" s="4"/>
      <c r="ZB449" s="4"/>
      <c r="ZC449" s="4"/>
      <c r="ZD449" s="4"/>
      <c r="ZE449" s="5"/>
      <c r="ZF449" s="6"/>
      <c r="ZG449" s="4"/>
      <c r="ZH449" s="4"/>
      <c r="ZI449" s="4"/>
      <c r="ZJ449" s="4"/>
      <c r="ZK449" s="4"/>
      <c r="ZL449" s="5"/>
      <c r="ZM449" s="6"/>
      <c r="ZN449" s="4"/>
      <c r="ZO449" s="4"/>
      <c r="ZP449" s="4"/>
      <c r="ZQ449" s="4"/>
      <c r="ZR449" s="4"/>
      <c r="ZS449" s="5"/>
      <c r="ZT449" s="6"/>
      <c r="ZU449" s="4"/>
      <c r="ZV449" s="4"/>
      <c r="ZW449" s="4"/>
      <c r="ZX449" s="4"/>
      <c r="ZY449" s="4"/>
      <c r="ZZ449" s="5"/>
      <c r="AAA449" s="6"/>
      <c r="AAB449" s="4"/>
      <c r="AAC449" s="4"/>
      <c r="AAD449" s="4"/>
      <c r="AAE449" s="4"/>
      <c r="AAF449" s="4"/>
      <c r="AAG449" s="5"/>
      <c r="AAH449" s="6"/>
      <c r="AAI449" s="4"/>
      <c r="AAJ449" s="4"/>
      <c r="AAK449" s="4"/>
      <c r="AAL449" s="4"/>
      <c r="AAM449" s="4"/>
      <c r="AAN449" s="5"/>
      <c r="AAO449" s="6"/>
      <c r="AAP449" s="4"/>
      <c r="AAQ449" s="4"/>
      <c r="AAR449" s="4"/>
      <c r="AAS449" s="4"/>
      <c r="AAT449" s="4"/>
      <c r="AAU449" s="5"/>
      <c r="AAV449" s="6"/>
      <c r="AAW449" s="4"/>
      <c r="AAX449" s="4"/>
      <c r="AAY449" s="4"/>
      <c r="AAZ449" s="4"/>
      <c r="ABA449" s="4"/>
      <c r="ABB449" s="5"/>
      <c r="ABC449" s="6"/>
      <c r="ABD449" s="4"/>
      <c r="ABE449" s="4"/>
      <c r="ABF449" s="4"/>
      <c r="ABG449" s="4"/>
      <c r="ABH449" s="4"/>
      <c r="ABI449" s="5"/>
      <c r="ABJ449" s="6"/>
      <c r="ABK449" s="4"/>
      <c r="ABL449" s="4"/>
      <c r="ABM449" s="4"/>
      <c r="ABN449" s="4"/>
      <c r="ABO449" s="4"/>
      <c r="ABP449" s="5"/>
      <c r="ABQ449" s="6"/>
      <c r="ABR449" s="4"/>
      <c r="ABS449" s="4"/>
      <c r="ABT449" s="4"/>
      <c r="ABU449" s="4"/>
      <c r="ABV449" s="4"/>
      <c r="ABW449" s="5"/>
      <c r="ABX449" s="6"/>
      <c r="ABY449" s="4"/>
      <c r="ABZ449" s="4"/>
      <c r="ACA449" s="4"/>
      <c r="ACB449" s="4"/>
      <c r="ACC449" s="4"/>
      <c r="ACD449" s="5"/>
      <c r="ACE449" s="6"/>
      <c r="ACF449" s="4"/>
      <c r="ACG449" s="4"/>
      <c r="ACH449" s="4"/>
      <c r="ACI449" s="4"/>
      <c r="ACJ449" s="4"/>
      <c r="ACK449" s="5"/>
      <c r="ACL449" s="6"/>
      <c r="ACM449" s="4"/>
      <c r="ACN449" s="4"/>
      <c r="ACO449" s="4"/>
      <c r="ACP449" s="4"/>
      <c r="ACQ449" s="4"/>
      <c r="ACR449" s="5"/>
      <c r="ACS449" s="6"/>
      <c r="ACT449" s="4"/>
      <c r="ACU449" s="4"/>
      <c r="ACV449" s="4"/>
      <c r="ACW449" s="4"/>
      <c r="ACX449" s="4"/>
      <c r="ACY449" s="5"/>
    </row>
    <row r="450" spans="2:805" x14ac:dyDescent="0.25">
      <c r="J450" s="12"/>
      <c r="K450" s="12"/>
      <c r="L450" s="12"/>
      <c r="LL450" s="6"/>
      <c r="LM450" s="4"/>
      <c r="LN450" s="4"/>
      <c r="LO450" s="4"/>
      <c r="LP450" s="4"/>
      <c r="LQ450" s="4"/>
      <c r="LR450" s="5"/>
      <c r="LS450" s="6"/>
      <c r="LT450" s="4"/>
      <c r="LU450" s="4"/>
      <c r="LV450" s="4"/>
      <c r="LW450" s="4"/>
      <c r="LX450" s="4"/>
      <c r="LY450" s="5"/>
      <c r="LZ450" s="6"/>
      <c r="MA450" s="7"/>
      <c r="MB450" s="7"/>
      <c r="MC450" s="7"/>
      <c r="MD450" s="8"/>
      <c r="ME450" s="8"/>
      <c r="MF450" s="8"/>
      <c r="MG450" s="5"/>
      <c r="MH450" s="6"/>
      <c r="MI450" s="4"/>
      <c r="MJ450" s="4"/>
      <c r="MK450" s="4"/>
      <c r="ML450" s="4"/>
      <c r="MM450" s="4"/>
      <c r="MN450" s="5"/>
      <c r="MO450" s="6"/>
      <c r="MP450" s="4"/>
      <c r="MQ450" s="4"/>
      <c r="MR450" s="4"/>
      <c r="MS450" s="4"/>
      <c r="MT450" s="4"/>
      <c r="MU450" s="5"/>
      <c r="MV450" s="6"/>
      <c r="MW450" s="4"/>
      <c r="MX450" s="4"/>
      <c r="MY450" s="4"/>
      <c r="MZ450" s="4"/>
      <c r="NA450" s="4"/>
      <c r="NB450" s="5"/>
      <c r="NC450" s="6"/>
      <c r="ND450" s="4"/>
      <c r="NE450" s="4"/>
      <c r="NF450" s="4"/>
      <c r="NG450" s="4"/>
      <c r="NH450" s="4"/>
      <c r="NI450" s="5"/>
      <c r="NJ450" s="6"/>
      <c r="NK450" s="4"/>
      <c r="NL450" s="4"/>
      <c r="NM450" s="4"/>
      <c r="NN450" s="4"/>
      <c r="NO450" s="4"/>
      <c r="NP450" s="5"/>
      <c r="NQ450" s="6"/>
      <c r="NR450" s="4"/>
      <c r="NS450" s="4"/>
      <c r="NT450" s="4"/>
      <c r="NU450" s="4"/>
      <c r="NV450" s="4"/>
      <c r="NW450" s="5"/>
      <c r="NX450" s="6"/>
      <c r="NY450" s="4"/>
      <c r="NZ450" s="4"/>
      <c r="OA450" s="4"/>
      <c r="OB450" s="4"/>
      <c r="OC450" s="4"/>
      <c r="OD450" s="5"/>
      <c r="OE450" s="6"/>
      <c r="OF450" s="4"/>
      <c r="OG450" s="4"/>
      <c r="OH450" s="4"/>
      <c r="OI450" s="4"/>
      <c r="OJ450" s="4"/>
      <c r="OK450" s="5"/>
      <c r="OL450" s="6"/>
      <c r="OM450" s="4"/>
      <c r="ON450" s="4"/>
      <c r="OO450" s="4"/>
      <c r="OP450" s="4"/>
      <c r="OQ450" s="4"/>
      <c r="OR450" s="5"/>
      <c r="OS450" s="6"/>
      <c r="OT450" s="4"/>
      <c r="OU450" s="4"/>
      <c r="OV450" s="4"/>
      <c r="OW450" s="4"/>
      <c r="OX450" s="4"/>
      <c r="OY450" s="5"/>
      <c r="OZ450" s="6"/>
      <c r="PA450" s="4"/>
      <c r="PB450" s="4"/>
      <c r="PC450" s="4"/>
      <c r="PD450" s="4"/>
      <c r="PE450" s="4"/>
      <c r="PF450" s="5"/>
      <c r="PG450" s="6"/>
      <c r="PH450" s="4"/>
      <c r="PI450" s="4"/>
      <c r="PJ450" s="4"/>
      <c r="PK450" s="4"/>
      <c r="PL450" s="4"/>
      <c r="PM450" s="5"/>
      <c r="PN450" s="6"/>
      <c r="PO450" s="4"/>
      <c r="PP450" s="4"/>
      <c r="PQ450" s="4"/>
      <c r="PR450" s="4"/>
      <c r="PS450" s="4"/>
      <c r="PT450" s="5"/>
      <c r="PU450" s="6"/>
      <c r="PV450" s="4"/>
      <c r="PW450" s="4"/>
      <c r="PX450" s="4"/>
      <c r="PY450" s="4"/>
      <c r="PZ450" s="4"/>
      <c r="QA450" s="5"/>
      <c r="QB450" s="6"/>
      <c r="QC450" s="4"/>
      <c r="QD450" s="4"/>
      <c r="QE450" s="4"/>
      <c r="QF450" s="4"/>
      <c r="QG450" s="4"/>
      <c r="QH450" s="5"/>
      <c r="QI450" s="6"/>
      <c r="QJ450" s="4"/>
      <c r="QK450" s="4"/>
      <c r="QL450" s="4"/>
      <c r="QM450" s="4"/>
      <c r="QN450" s="4"/>
      <c r="QO450" s="5"/>
      <c r="QP450" s="6"/>
      <c r="QQ450" s="4"/>
      <c r="QR450" s="4"/>
      <c r="QS450" s="4"/>
      <c r="QT450" s="4"/>
      <c r="QU450" s="4"/>
      <c r="QV450" s="5"/>
      <c r="QW450" s="6"/>
      <c r="QX450" s="4"/>
      <c r="QY450" s="4"/>
      <c r="QZ450" s="4"/>
      <c r="RA450" s="4"/>
      <c r="RB450" s="4"/>
      <c r="RC450" s="5"/>
      <c r="RD450" s="6"/>
      <c r="RE450" s="4"/>
      <c r="RF450" s="4"/>
      <c r="RG450" s="4"/>
      <c r="RH450" s="4"/>
      <c r="RI450" s="4"/>
      <c r="RJ450" s="5"/>
      <c r="RK450" s="6"/>
      <c r="RL450" s="4"/>
      <c r="RM450" s="4"/>
      <c r="RN450" s="4"/>
      <c r="RO450" s="4"/>
      <c r="RP450" s="4"/>
      <c r="RQ450" s="5"/>
      <c r="RR450" s="6"/>
      <c r="RS450" s="4"/>
      <c r="RT450" s="4"/>
      <c r="RU450" s="4"/>
      <c r="RV450" s="4"/>
      <c r="RW450" s="4"/>
      <c r="RX450" s="5"/>
      <c r="RY450" s="6"/>
      <c r="RZ450" s="4"/>
      <c r="SA450" s="4"/>
      <c r="SB450" s="4"/>
      <c r="SC450" s="4"/>
      <c r="SD450" s="4"/>
      <c r="SE450" s="5"/>
      <c r="SF450" s="6"/>
      <c r="SG450" s="4"/>
      <c r="SH450" s="4"/>
      <c r="SI450" s="4"/>
      <c r="SJ450" s="4"/>
      <c r="SK450" s="4"/>
      <c r="SL450" s="5"/>
      <c r="SM450" s="6"/>
      <c r="SN450" s="4"/>
      <c r="SO450" s="4"/>
      <c r="SP450" s="4"/>
      <c r="SQ450" s="4"/>
      <c r="SR450" s="4"/>
      <c r="SS450" s="5"/>
      <c r="ST450" s="6"/>
      <c r="SU450" s="4"/>
      <c r="SV450" s="4"/>
      <c r="SW450" s="4"/>
      <c r="SX450" s="4"/>
      <c r="SY450" s="4"/>
      <c r="SZ450" s="5"/>
      <c r="TA450" s="6"/>
      <c r="TB450" s="4"/>
      <c r="TC450" s="4"/>
      <c r="TD450" s="4"/>
      <c r="TE450" s="4"/>
      <c r="TF450" s="4"/>
      <c r="TG450" s="5"/>
      <c r="TH450" s="6"/>
      <c r="TI450" s="4"/>
      <c r="TJ450" s="4"/>
      <c r="TK450" s="4"/>
      <c r="TL450" s="4"/>
      <c r="TM450" s="4"/>
      <c r="TN450" s="5"/>
      <c r="TO450" s="6"/>
      <c r="TP450" s="4"/>
      <c r="TQ450" s="4"/>
      <c r="TR450" s="4"/>
      <c r="TS450" s="4"/>
      <c r="TT450" s="4"/>
      <c r="TU450" s="5"/>
      <c r="TV450" s="6"/>
      <c r="TW450" s="4"/>
      <c r="TX450" s="4"/>
      <c r="TY450" s="4"/>
      <c r="TZ450" s="4"/>
      <c r="UA450" s="4"/>
      <c r="UB450" s="5"/>
      <c r="UC450" s="6"/>
      <c r="UD450" s="4"/>
      <c r="UE450" s="4"/>
      <c r="UF450" s="4"/>
      <c r="UG450" s="4"/>
      <c r="UH450" s="4"/>
      <c r="UI450" s="5"/>
      <c r="UJ450" s="6"/>
      <c r="UK450" s="4"/>
      <c r="UL450" s="4"/>
      <c r="UM450" s="4"/>
      <c r="UN450" s="4"/>
      <c r="UO450" s="4"/>
      <c r="UP450" s="5"/>
      <c r="UQ450" s="6"/>
      <c r="UR450" s="4"/>
      <c r="US450" s="4"/>
      <c r="UT450" s="4"/>
      <c r="UU450" s="4"/>
      <c r="UV450" s="4"/>
      <c r="UW450" s="5"/>
      <c r="UX450" s="6"/>
      <c r="UY450" s="4"/>
      <c r="UZ450" s="4"/>
      <c r="VA450" s="4"/>
      <c r="VB450" s="4"/>
      <c r="VC450" s="4"/>
      <c r="VD450" s="5"/>
      <c r="VE450" s="6"/>
      <c r="VF450" s="4"/>
      <c r="VG450" s="4"/>
      <c r="VH450" s="4"/>
      <c r="VI450" s="4"/>
      <c r="VJ450" s="4"/>
      <c r="VK450" s="5"/>
      <c r="VL450" s="6"/>
      <c r="VM450" s="4"/>
      <c r="VN450" s="4"/>
      <c r="VO450" s="4"/>
      <c r="VP450" s="4"/>
      <c r="VQ450" s="4"/>
      <c r="VR450" s="5"/>
      <c r="VS450" s="6"/>
      <c r="VT450" s="4"/>
      <c r="VU450" s="4"/>
      <c r="VV450" s="4"/>
      <c r="VW450" s="4"/>
      <c r="VX450" s="4"/>
      <c r="VY450" s="5"/>
      <c r="VZ450" s="6"/>
      <c r="WA450" s="4"/>
      <c r="WB450" s="4"/>
      <c r="WC450" s="4"/>
      <c r="WD450" s="8"/>
      <c r="WE450" s="8"/>
      <c r="WF450" s="5"/>
      <c r="WG450" s="6"/>
      <c r="WH450" s="4"/>
      <c r="WI450" s="4"/>
      <c r="WJ450" s="4"/>
      <c r="WK450" s="4"/>
      <c r="WL450" s="4"/>
      <c r="WM450" s="5"/>
      <c r="WN450" s="6"/>
      <c r="WO450" s="4"/>
      <c r="WP450" s="4"/>
      <c r="WQ450" s="4"/>
      <c r="WR450" s="4"/>
      <c r="WS450" s="4"/>
      <c r="WT450" s="5"/>
      <c r="WU450" s="6"/>
      <c r="WV450" s="4"/>
      <c r="WW450" s="4"/>
      <c r="WX450" s="4"/>
      <c r="WY450" s="4"/>
      <c r="WZ450" s="4"/>
      <c r="XA450" s="5"/>
      <c r="XB450" s="6"/>
      <c r="XC450" s="4"/>
      <c r="XD450" s="4"/>
      <c r="XE450" s="4"/>
      <c r="XF450" s="4"/>
      <c r="XG450" s="4"/>
      <c r="XH450" s="5"/>
      <c r="XI450" s="6"/>
      <c r="XJ450" s="4"/>
      <c r="XK450" s="4"/>
      <c r="XL450" s="4"/>
      <c r="XM450" s="4"/>
      <c r="XN450" s="4"/>
      <c r="XO450" s="5"/>
      <c r="XP450" s="6"/>
      <c r="XQ450" s="4"/>
      <c r="XR450" s="4"/>
      <c r="XS450" s="4"/>
      <c r="XT450" s="4"/>
      <c r="XU450" s="4"/>
      <c r="XV450" s="5"/>
      <c r="XW450" s="6"/>
      <c r="XX450" s="4"/>
      <c r="XY450" s="4"/>
      <c r="XZ450" s="4"/>
      <c r="YA450" s="4"/>
      <c r="YB450" s="4"/>
      <c r="YC450" s="5"/>
      <c r="YD450" s="6"/>
      <c r="YE450" s="4"/>
      <c r="YF450" s="4"/>
      <c r="YG450" s="4"/>
      <c r="YH450" s="4"/>
      <c r="YI450" s="4"/>
      <c r="YJ450" s="5"/>
      <c r="YK450" s="6" t="s">
        <v>1862</v>
      </c>
      <c r="YL450" s="7" t="s">
        <v>1862</v>
      </c>
      <c r="YM450" s="4"/>
      <c r="YN450" s="7"/>
      <c r="YO450" s="8"/>
      <c r="YP450" s="8"/>
      <c r="YQ450" s="5" t="s">
        <v>1637</v>
      </c>
      <c r="YR450" s="6"/>
      <c r="YS450" s="4"/>
      <c r="YT450" s="4"/>
      <c r="YU450" s="4"/>
      <c r="YV450" s="4"/>
      <c r="YW450" s="4"/>
      <c r="YX450" s="5"/>
      <c r="YY450" s="6"/>
      <c r="YZ450" s="4"/>
      <c r="ZA450" s="4"/>
      <c r="ZB450" s="4"/>
      <c r="ZC450" s="4"/>
      <c r="ZD450" s="4"/>
      <c r="ZE450" s="5"/>
      <c r="ZF450" s="6"/>
      <c r="ZG450" s="4"/>
      <c r="ZH450" s="4"/>
      <c r="ZI450" s="4"/>
      <c r="ZJ450" s="4"/>
      <c r="ZK450" s="4"/>
      <c r="ZL450" s="5"/>
      <c r="ZM450" s="6"/>
      <c r="ZN450" s="4"/>
      <c r="ZO450" s="4"/>
      <c r="ZP450" s="4"/>
      <c r="ZQ450" s="4"/>
      <c r="ZR450" s="4"/>
      <c r="ZS450" s="5"/>
      <c r="ZT450" s="6"/>
      <c r="ZU450" s="4"/>
      <c r="ZV450" s="4"/>
      <c r="ZW450" s="4"/>
      <c r="ZX450" s="4"/>
      <c r="ZY450" s="4"/>
      <c r="ZZ450" s="5"/>
      <c r="AAA450" s="6"/>
      <c r="AAB450" s="4"/>
      <c r="AAC450" s="4"/>
      <c r="AAD450" s="4"/>
      <c r="AAE450" s="4"/>
      <c r="AAF450" s="4"/>
      <c r="AAG450" s="5"/>
      <c r="AAH450" s="6"/>
      <c r="AAI450" s="4"/>
      <c r="AAJ450" s="4"/>
      <c r="AAK450" s="4"/>
      <c r="AAL450" s="4"/>
      <c r="AAM450" s="4"/>
      <c r="AAN450" s="5"/>
      <c r="AAO450" s="6"/>
      <c r="AAP450" s="4"/>
      <c r="AAQ450" s="4"/>
      <c r="AAR450" s="4"/>
      <c r="AAS450" s="4"/>
      <c r="AAT450" s="4"/>
      <c r="AAU450" s="5"/>
      <c r="AAV450" s="6"/>
      <c r="AAW450" s="4"/>
      <c r="AAX450" s="4"/>
      <c r="AAY450" s="4"/>
      <c r="AAZ450" s="4"/>
      <c r="ABA450" s="4"/>
      <c r="ABB450" s="5"/>
      <c r="ABC450" s="6"/>
      <c r="ABD450" s="4"/>
      <c r="ABE450" s="4"/>
      <c r="ABF450" s="4"/>
      <c r="ABG450" s="4"/>
      <c r="ABH450" s="4"/>
      <c r="ABI450" s="5"/>
      <c r="ABJ450" s="6"/>
      <c r="ABK450" s="4"/>
      <c r="ABL450" s="4"/>
      <c r="ABM450" s="4"/>
      <c r="ABN450" s="4"/>
      <c r="ABO450" s="4"/>
      <c r="ABP450" s="5"/>
      <c r="ABQ450" s="6"/>
      <c r="ABR450" s="4"/>
      <c r="ABS450" s="4"/>
      <c r="ABT450" s="4"/>
      <c r="ABU450" s="4"/>
      <c r="ABV450" s="4"/>
      <c r="ABW450" s="5"/>
      <c r="ABX450" s="6"/>
      <c r="ABY450" s="4"/>
      <c r="ABZ450" s="4"/>
      <c r="ACA450" s="4"/>
      <c r="ACB450" s="4"/>
      <c r="ACC450" s="4"/>
      <c r="ACD450" s="5"/>
      <c r="ACE450" s="6"/>
      <c r="ACF450" s="4"/>
      <c r="ACG450" s="4"/>
      <c r="ACH450" s="4"/>
      <c r="ACI450" s="4"/>
      <c r="ACJ450" s="4"/>
      <c r="ACK450" s="5"/>
      <c r="ACL450" s="6"/>
      <c r="ACM450" s="4"/>
      <c r="ACN450" s="4"/>
      <c r="ACO450" s="4"/>
      <c r="ACP450" s="4"/>
      <c r="ACQ450" s="4"/>
      <c r="ACR450" s="5"/>
      <c r="ACS450" s="6"/>
      <c r="ACT450" s="4"/>
      <c r="ACU450" s="4"/>
      <c r="ACV450" s="4"/>
      <c r="ACW450" s="4"/>
      <c r="ACX450" s="4"/>
      <c r="ACY450" s="5"/>
    </row>
    <row r="451" spans="2:805" x14ac:dyDescent="0.25">
      <c r="B451" s="49">
        <v>10041281</v>
      </c>
      <c r="C451" s="57">
        <v>42</v>
      </c>
      <c r="D451" t="s">
        <v>297</v>
      </c>
      <c r="E451" s="35" t="s">
        <v>1290</v>
      </c>
      <c r="F451" s="23">
        <v>0</v>
      </c>
      <c r="J451" s="12"/>
      <c r="K451" s="12"/>
      <c r="L451" s="12"/>
      <c r="M451">
        <v>1</v>
      </c>
      <c r="N451" s="17">
        <v>39996</v>
      </c>
      <c r="O451" t="s">
        <v>298</v>
      </c>
      <c r="P451" t="s">
        <v>606</v>
      </c>
      <c r="Q451">
        <v>1</v>
      </c>
      <c r="R451">
        <v>1</v>
      </c>
      <c r="S451">
        <v>1</v>
      </c>
      <c r="V451">
        <v>1</v>
      </c>
      <c r="Y451">
        <v>1</v>
      </c>
      <c r="AF451">
        <v>1</v>
      </c>
      <c r="AW451">
        <v>1</v>
      </c>
      <c r="BY451">
        <v>1</v>
      </c>
      <c r="JC451">
        <v>1</v>
      </c>
      <c r="LL451" s="6"/>
      <c r="LM451" s="4"/>
      <c r="LN451" s="4"/>
      <c r="LO451" s="4"/>
      <c r="LP451" s="4"/>
      <c r="LQ451" s="4"/>
      <c r="LR451" s="5"/>
      <c r="LS451" s="6"/>
      <c r="LT451" s="4"/>
      <c r="LU451" s="4"/>
      <c r="LV451" s="4"/>
      <c r="LW451" s="4"/>
      <c r="LX451" s="4"/>
      <c r="LY451" s="5"/>
      <c r="LZ451" s="6" t="s">
        <v>3102</v>
      </c>
      <c r="MA451" s="7" t="s">
        <v>3103</v>
      </c>
      <c r="MB451" s="4"/>
      <c r="MC451" s="4" t="s">
        <v>2702</v>
      </c>
      <c r="MD451" s="8">
        <v>39996</v>
      </c>
      <c r="ME451" s="8">
        <v>39997</v>
      </c>
      <c r="MF451" s="8"/>
      <c r="MG451" s="5" t="s">
        <v>299</v>
      </c>
      <c r="MH451" s="6"/>
      <c r="MI451" s="4"/>
      <c r="MJ451" s="4"/>
      <c r="MK451" s="4"/>
      <c r="ML451" s="4"/>
      <c r="MM451" s="4"/>
      <c r="MN451" s="5"/>
      <c r="MO451" s="6"/>
      <c r="MP451" s="4"/>
      <c r="MQ451" s="4"/>
      <c r="MR451" s="4"/>
      <c r="MS451" s="4"/>
      <c r="MT451" s="4"/>
      <c r="MU451" s="5"/>
      <c r="MV451" s="6"/>
      <c r="MW451" s="4"/>
      <c r="MX451" s="4"/>
      <c r="MY451" s="4"/>
      <c r="MZ451" s="4"/>
      <c r="NA451" s="4"/>
      <c r="NB451" s="5"/>
      <c r="NC451" s="6" t="s">
        <v>600</v>
      </c>
      <c r="ND451" s="4" t="s">
        <v>601</v>
      </c>
      <c r="NE451" s="4" t="s">
        <v>1444</v>
      </c>
      <c r="NF451" s="7" t="s">
        <v>2702</v>
      </c>
      <c r="NG451" s="8">
        <v>39996</v>
      </c>
      <c r="NH451" s="8">
        <v>39997</v>
      </c>
      <c r="NI451" s="5" t="s">
        <v>302</v>
      </c>
      <c r="NJ451" s="6"/>
      <c r="NK451" s="4"/>
      <c r="NL451" s="4"/>
      <c r="NM451" s="4"/>
      <c r="NN451" s="4"/>
      <c r="NO451" s="4"/>
      <c r="NP451" s="5"/>
      <c r="NQ451" s="6"/>
      <c r="NR451" s="4"/>
      <c r="NS451" s="4"/>
      <c r="NT451" s="4"/>
      <c r="NU451" s="4"/>
      <c r="NV451" s="4"/>
      <c r="NW451" s="5"/>
      <c r="NX451" s="6"/>
      <c r="NY451" s="4"/>
      <c r="NZ451" s="4"/>
      <c r="OA451" s="4"/>
      <c r="OB451" s="4"/>
      <c r="OC451" s="4"/>
      <c r="OD451" s="5"/>
      <c r="OE451" s="6"/>
      <c r="OF451" s="4"/>
      <c r="OG451" s="4"/>
      <c r="OH451" s="4"/>
      <c r="OI451" s="4"/>
      <c r="OJ451" s="4"/>
      <c r="OK451" s="5"/>
      <c r="OL451" s="6"/>
      <c r="OM451" s="4"/>
      <c r="ON451" s="4"/>
      <c r="OO451" s="4"/>
      <c r="OP451" s="4"/>
      <c r="OQ451" s="4"/>
      <c r="OR451" s="5"/>
      <c r="OS451" s="6"/>
      <c r="OT451" s="4"/>
      <c r="OU451" s="4"/>
      <c r="OV451" s="4"/>
      <c r="OW451" s="4"/>
      <c r="OX451" s="4"/>
      <c r="OY451" s="5"/>
      <c r="OZ451" s="6"/>
      <c r="PA451" s="4"/>
      <c r="PB451" s="4"/>
      <c r="PC451" s="4"/>
      <c r="PD451" s="4"/>
      <c r="PE451" s="4"/>
      <c r="PF451" s="5"/>
      <c r="PG451" s="6"/>
      <c r="PH451" s="4"/>
      <c r="PI451" s="4"/>
      <c r="PJ451" s="4"/>
      <c r="PK451" s="4"/>
      <c r="PL451" s="4"/>
      <c r="PM451" s="5"/>
      <c r="PN451" s="6"/>
      <c r="PO451" s="4"/>
      <c r="PP451" s="4"/>
      <c r="PQ451" s="4"/>
      <c r="PR451" s="4"/>
      <c r="PS451" s="4"/>
      <c r="PT451" s="5"/>
      <c r="PU451" s="6"/>
      <c r="PV451" s="4"/>
      <c r="PW451" s="4"/>
      <c r="PX451" s="4"/>
      <c r="PY451" s="4"/>
      <c r="PZ451" s="4"/>
      <c r="QA451" s="5"/>
      <c r="QB451" s="6"/>
      <c r="QC451" s="4"/>
      <c r="QD451" s="4"/>
      <c r="QE451" s="4"/>
      <c r="QF451" s="4"/>
      <c r="QG451" s="4"/>
      <c r="QH451" s="5"/>
      <c r="QI451" s="6"/>
      <c r="QJ451" s="4"/>
      <c r="QK451" s="4"/>
      <c r="QL451" s="4"/>
      <c r="QM451" s="4"/>
      <c r="QN451" s="4"/>
      <c r="QO451" s="5"/>
      <c r="QP451" s="6"/>
      <c r="QQ451" s="4"/>
      <c r="QR451" s="4"/>
      <c r="QS451" s="4"/>
      <c r="QT451" s="4"/>
      <c r="QU451" s="4"/>
      <c r="QV451" s="5"/>
      <c r="QW451" s="6"/>
      <c r="QX451" s="4"/>
      <c r="QY451" s="4"/>
      <c r="QZ451" s="4"/>
      <c r="RA451" s="4"/>
      <c r="RB451" s="4"/>
      <c r="RC451" s="5"/>
      <c r="RD451" s="6"/>
      <c r="RE451" s="4"/>
      <c r="RF451" s="4"/>
      <c r="RG451" s="4"/>
      <c r="RH451" s="4"/>
      <c r="RI451" s="4"/>
      <c r="RJ451" s="5"/>
      <c r="RK451" s="6"/>
      <c r="RL451" s="4"/>
      <c r="RM451" s="4"/>
      <c r="RN451" s="4"/>
      <c r="RO451" s="4"/>
      <c r="RP451" s="4"/>
      <c r="RQ451" s="5"/>
      <c r="RR451" s="6"/>
      <c r="RS451" s="4"/>
      <c r="RT451" s="4"/>
      <c r="RU451" s="4"/>
      <c r="RV451" s="4"/>
      <c r="RW451" s="4"/>
      <c r="RX451" s="5"/>
      <c r="RY451" s="6"/>
      <c r="RZ451" s="4"/>
      <c r="SA451" s="4"/>
      <c r="SB451" s="4"/>
      <c r="SC451" s="4"/>
      <c r="SD451" s="4"/>
      <c r="SE451" s="5"/>
      <c r="SF451" s="6"/>
      <c r="SG451" s="4"/>
      <c r="SH451" s="4"/>
      <c r="SI451" s="4"/>
      <c r="SJ451" s="4"/>
      <c r="SK451" s="4"/>
      <c r="SL451" s="5"/>
      <c r="SM451" s="6"/>
      <c r="SN451" s="4"/>
      <c r="SO451" s="4"/>
      <c r="SP451" s="4"/>
      <c r="SQ451" s="4"/>
      <c r="SR451" s="4"/>
      <c r="SS451" s="5"/>
      <c r="ST451" s="6"/>
      <c r="SU451" s="4"/>
      <c r="SV451" s="4"/>
      <c r="SW451" s="4"/>
      <c r="SX451" s="4"/>
      <c r="SY451" s="4"/>
      <c r="SZ451" s="5"/>
      <c r="TA451" s="6"/>
      <c r="TB451" s="4"/>
      <c r="TC451" s="4"/>
      <c r="TD451" s="4"/>
      <c r="TE451" s="4"/>
      <c r="TF451" s="4"/>
      <c r="TG451" s="5"/>
      <c r="TH451" s="6"/>
      <c r="TI451" s="4"/>
      <c r="TJ451" s="4"/>
      <c r="TK451" s="4"/>
      <c r="TL451" s="4"/>
      <c r="TM451" s="4"/>
      <c r="TN451" s="5"/>
      <c r="TO451" s="6"/>
      <c r="TP451" s="4"/>
      <c r="TQ451" s="4"/>
      <c r="TR451" s="4"/>
      <c r="TS451" s="4"/>
      <c r="TT451" s="4"/>
      <c r="TU451" s="5"/>
      <c r="TV451" s="6"/>
      <c r="TW451" s="4"/>
      <c r="TX451" s="4"/>
      <c r="TY451" s="4"/>
      <c r="TZ451" s="4"/>
      <c r="UA451" s="4"/>
      <c r="UB451" s="5"/>
      <c r="UC451" s="6"/>
      <c r="UD451" s="4"/>
      <c r="UE451" s="4"/>
      <c r="UF451" s="4"/>
      <c r="UG451" s="4"/>
      <c r="UH451" s="4"/>
      <c r="UI451" s="5"/>
      <c r="UJ451" s="6"/>
      <c r="UK451" s="4"/>
      <c r="UL451" s="4"/>
      <c r="UM451" s="4"/>
      <c r="UN451" s="4"/>
      <c r="UO451" s="4"/>
      <c r="UP451" s="5"/>
      <c r="UQ451" s="6"/>
      <c r="UR451" s="4"/>
      <c r="US451" s="4"/>
      <c r="UT451" s="4"/>
      <c r="UU451" s="4"/>
      <c r="UV451" s="4"/>
      <c r="UW451" s="5"/>
      <c r="UX451" s="6"/>
      <c r="UY451" s="4"/>
      <c r="UZ451" s="4"/>
      <c r="VA451" s="4"/>
      <c r="VB451" s="4"/>
      <c r="VC451" s="4"/>
      <c r="VD451" s="5"/>
      <c r="VE451" s="6"/>
      <c r="VF451" s="4"/>
      <c r="VG451" s="4"/>
      <c r="VH451" s="4"/>
      <c r="VI451" s="4"/>
      <c r="VJ451" s="4"/>
      <c r="VK451" s="5"/>
      <c r="VL451" s="6"/>
      <c r="VM451" s="4"/>
      <c r="VN451" s="4"/>
      <c r="VO451" s="4"/>
      <c r="VP451" s="4"/>
      <c r="VQ451" s="4"/>
      <c r="VR451" s="5"/>
      <c r="VS451" s="6"/>
      <c r="VT451" s="4"/>
      <c r="VU451" s="4"/>
      <c r="VV451" s="4"/>
      <c r="VW451" s="4"/>
      <c r="VX451" s="4"/>
      <c r="VY451" s="5"/>
      <c r="VZ451" s="6"/>
      <c r="WA451" s="4"/>
      <c r="WB451" s="4"/>
      <c r="WC451" s="4"/>
      <c r="WD451" s="4"/>
      <c r="WE451" s="4"/>
      <c r="WF451" s="5"/>
      <c r="WG451" s="6"/>
      <c r="WH451" s="4"/>
      <c r="WI451" s="4"/>
      <c r="WJ451" s="4"/>
      <c r="WK451" s="4"/>
      <c r="WL451" s="4"/>
      <c r="WM451" s="5"/>
      <c r="WN451" s="6"/>
      <c r="WO451" s="4"/>
      <c r="WP451" s="4"/>
      <c r="WQ451" s="4"/>
      <c r="WR451" s="4"/>
      <c r="WS451" s="4"/>
      <c r="WT451" s="5"/>
      <c r="WU451" s="6"/>
      <c r="WV451" s="4"/>
      <c r="WW451" s="4"/>
      <c r="WX451" s="4"/>
      <c r="WY451" s="4"/>
      <c r="WZ451" s="4"/>
      <c r="XA451" s="5"/>
      <c r="XB451" s="6"/>
      <c r="XC451" s="4"/>
      <c r="XD451" s="4"/>
      <c r="XE451" s="4"/>
      <c r="XF451" s="4"/>
      <c r="XG451" s="4"/>
      <c r="XH451" s="5"/>
      <c r="XI451" s="6"/>
      <c r="XJ451" s="4"/>
      <c r="XK451" s="4"/>
      <c r="XL451" s="4"/>
      <c r="XM451" s="4"/>
      <c r="XN451" s="4"/>
      <c r="XO451" s="5"/>
      <c r="XP451" s="6" t="s">
        <v>602</v>
      </c>
      <c r="XQ451" s="4" t="s">
        <v>740</v>
      </c>
      <c r="XR451" s="4"/>
      <c r="XS451" s="4" t="s">
        <v>3027</v>
      </c>
      <c r="XT451" s="8">
        <v>39995</v>
      </c>
      <c r="XU451" s="8">
        <v>39995</v>
      </c>
      <c r="XV451" s="5" t="s">
        <v>304</v>
      </c>
      <c r="XW451" s="6"/>
      <c r="XX451" s="4"/>
      <c r="XY451" s="4"/>
      <c r="XZ451" s="4"/>
      <c r="YA451" s="4"/>
      <c r="YB451" s="4"/>
      <c r="YC451" s="5"/>
      <c r="YD451" s="6"/>
      <c r="YE451" s="4"/>
      <c r="YF451" s="4"/>
      <c r="YG451" s="4"/>
      <c r="YH451" s="4"/>
      <c r="YI451" s="4"/>
      <c r="YJ451" s="5"/>
      <c r="YK451" s="6" t="s">
        <v>756</v>
      </c>
      <c r="YL451" s="7" t="s">
        <v>945</v>
      </c>
      <c r="YM451" s="4"/>
      <c r="YN451" s="4"/>
      <c r="YO451" s="4"/>
      <c r="YP451" s="4"/>
      <c r="YQ451" s="5"/>
      <c r="YR451" s="6"/>
      <c r="YS451" s="4"/>
      <c r="YT451" s="4"/>
      <c r="YU451" s="4"/>
      <c r="YV451" s="4"/>
      <c r="YW451" s="4"/>
      <c r="YX451" s="5"/>
      <c r="YY451" s="6"/>
      <c r="YZ451" s="4"/>
      <c r="ZA451" s="4"/>
      <c r="ZB451" s="4"/>
      <c r="ZC451" s="4"/>
      <c r="ZD451" s="4"/>
      <c r="ZE451" s="5"/>
      <c r="ZF451" s="6"/>
      <c r="ZG451" s="4"/>
      <c r="ZH451" s="4"/>
      <c r="ZI451" s="4"/>
      <c r="ZJ451" s="4"/>
      <c r="ZK451" s="4"/>
      <c r="ZL451" s="5"/>
      <c r="ZM451" s="6"/>
      <c r="ZN451" s="4"/>
      <c r="ZO451" s="4"/>
      <c r="ZP451" s="4"/>
      <c r="ZQ451" s="4"/>
      <c r="ZR451" s="4"/>
      <c r="ZS451" s="5"/>
      <c r="ZT451" s="6"/>
      <c r="ZU451" s="4"/>
      <c r="ZV451" s="4"/>
      <c r="ZW451" s="4"/>
      <c r="ZX451" s="4"/>
      <c r="ZY451" s="4"/>
      <c r="ZZ451" s="5"/>
      <c r="AAA451" s="6"/>
      <c r="AAB451" s="4"/>
      <c r="AAC451" s="4"/>
      <c r="AAD451" s="4"/>
      <c r="AAE451" s="4"/>
      <c r="AAF451" s="4"/>
      <c r="AAG451" s="5"/>
      <c r="AAH451" s="6"/>
      <c r="AAI451" s="4"/>
      <c r="AAJ451" s="4"/>
      <c r="AAK451" s="4"/>
      <c r="AAL451" s="4"/>
      <c r="AAM451" s="4"/>
      <c r="AAN451" s="5"/>
      <c r="AAO451" s="6"/>
      <c r="AAP451" s="4"/>
      <c r="AAQ451" s="4"/>
      <c r="AAR451" s="4"/>
      <c r="AAS451" s="4"/>
      <c r="AAT451" s="4"/>
      <c r="AAU451" s="5"/>
      <c r="AAV451" s="6"/>
      <c r="AAW451" s="4"/>
      <c r="AAX451" s="4"/>
      <c r="AAY451" s="4"/>
      <c r="AAZ451" s="4"/>
      <c r="ABA451" s="4"/>
      <c r="ABB451" s="5"/>
      <c r="ABC451" s="6"/>
      <c r="ABD451" s="4"/>
      <c r="ABE451" s="4"/>
      <c r="ABF451" s="4"/>
      <c r="ABG451" s="4"/>
      <c r="ABH451" s="4"/>
      <c r="ABI451" s="5"/>
      <c r="ABJ451" s="6"/>
      <c r="ABK451" s="4"/>
      <c r="ABL451" s="4"/>
      <c r="ABM451" s="4"/>
      <c r="ABN451" s="4"/>
      <c r="ABO451" s="4"/>
      <c r="ABP451" s="5"/>
      <c r="ABQ451" s="6"/>
      <c r="ABR451" s="4"/>
      <c r="ABS451" s="4"/>
      <c r="ABT451" s="4"/>
      <c r="ABU451" s="4"/>
      <c r="ABV451" s="4"/>
      <c r="ABW451" s="5"/>
      <c r="ABX451" s="6"/>
      <c r="ABY451" s="4"/>
      <c r="ABZ451" s="4"/>
      <c r="ACA451" s="4"/>
      <c r="ACB451" s="4"/>
      <c r="ACC451" s="4"/>
      <c r="ACD451" s="5"/>
      <c r="ACE451" s="6"/>
      <c r="ACF451" s="4"/>
      <c r="ACG451" s="4"/>
      <c r="ACH451" s="4"/>
      <c r="ACI451" s="4"/>
      <c r="ACJ451" s="4"/>
      <c r="ACK451" s="5"/>
      <c r="ACL451" s="6"/>
      <c r="ACM451" s="4"/>
      <c r="ACN451" s="4"/>
      <c r="ACO451" s="4"/>
      <c r="ACP451" s="4"/>
      <c r="ACQ451" s="4"/>
      <c r="ACR451" s="5"/>
      <c r="ACS451" s="6"/>
      <c r="ACT451" s="4"/>
      <c r="ACU451" s="4"/>
      <c r="ACV451" s="4"/>
      <c r="ACW451" s="4"/>
      <c r="ACX451" s="4"/>
      <c r="ACY451" s="5"/>
      <c r="ADG451" t="s">
        <v>305</v>
      </c>
    </row>
    <row r="452" spans="2:805" x14ac:dyDescent="0.25">
      <c r="B452" s="30"/>
      <c r="J452" s="12"/>
      <c r="K452" s="12"/>
      <c r="L452" s="12"/>
      <c r="LL452" s="6"/>
      <c r="LM452" s="4"/>
      <c r="LN452" s="4"/>
      <c r="LO452" s="4"/>
      <c r="LP452" s="4"/>
      <c r="LQ452" s="4"/>
      <c r="LR452" s="5"/>
      <c r="LS452" s="6"/>
      <c r="LT452" s="4"/>
      <c r="LU452" s="4"/>
      <c r="LV452" s="4"/>
      <c r="LW452" s="4"/>
      <c r="LX452" s="4"/>
      <c r="LY452" s="5"/>
      <c r="LZ452" s="6" t="s">
        <v>1154</v>
      </c>
      <c r="MA452" s="7" t="s">
        <v>2525</v>
      </c>
      <c r="MB452" s="4" t="s">
        <v>1496</v>
      </c>
      <c r="MC452" s="7" t="s">
        <v>3027</v>
      </c>
      <c r="MD452" s="8">
        <v>39995</v>
      </c>
      <c r="ME452" s="8">
        <v>39995</v>
      </c>
      <c r="MF452" s="8"/>
      <c r="MG452" s="5" t="s">
        <v>488</v>
      </c>
      <c r="MH452" s="6"/>
      <c r="MI452" s="4"/>
      <c r="MJ452" s="4"/>
      <c r="MK452" s="4"/>
      <c r="ML452" s="4"/>
      <c r="MM452" s="4"/>
      <c r="MN452" s="5"/>
      <c r="MO452" s="6"/>
      <c r="MP452" s="4"/>
      <c r="MQ452" s="4"/>
      <c r="MR452" s="4"/>
      <c r="MS452" s="4"/>
      <c r="MT452" s="4"/>
      <c r="MU452" s="5"/>
      <c r="MV452" s="6"/>
      <c r="MW452" s="4"/>
      <c r="MX452" s="4"/>
      <c r="MY452" s="4"/>
      <c r="MZ452" s="4"/>
      <c r="NA452" s="4"/>
      <c r="NB452" s="5"/>
      <c r="NC452" s="6" t="s">
        <v>741</v>
      </c>
      <c r="ND452" s="4" t="s">
        <v>2303</v>
      </c>
      <c r="NE452" s="4" t="s">
        <v>2660</v>
      </c>
      <c r="NF452" s="7" t="s">
        <v>3027</v>
      </c>
      <c r="NG452" s="8">
        <v>39995</v>
      </c>
      <c r="NH452" s="8">
        <v>39995</v>
      </c>
      <c r="NI452" s="5" t="s">
        <v>285</v>
      </c>
      <c r="NJ452" s="6"/>
      <c r="NK452" s="4"/>
      <c r="NL452" s="4"/>
      <c r="NM452" s="4"/>
      <c r="NN452" s="4"/>
      <c r="NO452" s="4"/>
      <c r="NP452" s="5"/>
      <c r="NQ452" s="6"/>
      <c r="NR452" s="4"/>
      <c r="NS452" s="4"/>
      <c r="NT452" s="4"/>
      <c r="NU452" s="4"/>
      <c r="NV452" s="4"/>
      <c r="NW452" s="5"/>
      <c r="NX452" s="6"/>
      <c r="NY452" s="4"/>
      <c r="NZ452" s="4"/>
      <c r="OA452" s="4"/>
      <c r="OB452" s="4"/>
      <c r="OC452" s="4"/>
      <c r="OD452" s="5"/>
      <c r="OE452" s="6"/>
      <c r="OF452" s="4"/>
      <c r="OG452" s="4"/>
      <c r="OH452" s="4"/>
      <c r="OI452" s="4"/>
      <c r="OJ452" s="4"/>
      <c r="OK452" s="5"/>
      <c r="OL452" s="6"/>
      <c r="OM452" s="4"/>
      <c r="ON452" s="4"/>
      <c r="OO452" s="4"/>
      <c r="OP452" s="4"/>
      <c r="OQ452" s="4"/>
      <c r="OR452" s="5"/>
      <c r="OS452" s="6"/>
      <c r="OT452" s="4"/>
      <c r="OU452" s="4"/>
      <c r="OV452" s="4"/>
      <c r="OW452" s="4"/>
      <c r="OX452" s="4"/>
      <c r="OY452" s="5"/>
      <c r="OZ452" s="6"/>
      <c r="PA452" s="4"/>
      <c r="PB452" s="4"/>
      <c r="PC452" s="4"/>
      <c r="PD452" s="4"/>
      <c r="PE452" s="4"/>
      <c r="PF452" s="5"/>
      <c r="PG452" s="6"/>
      <c r="PH452" s="4"/>
      <c r="PI452" s="4"/>
      <c r="PJ452" s="4"/>
      <c r="PK452" s="4"/>
      <c r="PL452" s="4"/>
      <c r="PM452" s="5"/>
      <c r="PN452" s="6"/>
      <c r="PO452" s="4"/>
      <c r="PP452" s="4"/>
      <c r="PQ452" s="4"/>
      <c r="PR452" s="4"/>
      <c r="PS452" s="4"/>
      <c r="PT452" s="5"/>
      <c r="PU452" s="6"/>
      <c r="PV452" s="4"/>
      <c r="PW452" s="4"/>
      <c r="PX452" s="4"/>
      <c r="PY452" s="4"/>
      <c r="PZ452" s="4"/>
      <c r="QA452" s="5"/>
      <c r="QB452" s="6"/>
      <c r="QC452" s="4"/>
      <c r="QD452" s="4"/>
      <c r="QE452" s="4"/>
      <c r="QF452" s="4"/>
      <c r="QG452" s="4"/>
      <c r="QH452" s="5"/>
      <c r="QI452" s="6"/>
      <c r="QJ452" s="4"/>
      <c r="QK452" s="4"/>
      <c r="QL452" s="4"/>
      <c r="QM452" s="4"/>
      <c r="QN452" s="4"/>
      <c r="QO452" s="5"/>
      <c r="QP452" s="6"/>
      <c r="QQ452" s="4"/>
      <c r="QR452" s="4"/>
      <c r="QS452" s="4"/>
      <c r="QT452" s="4"/>
      <c r="QU452" s="4"/>
      <c r="QV452" s="5"/>
      <c r="QW452" s="6"/>
      <c r="QX452" s="4"/>
      <c r="QY452" s="4"/>
      <c r="QZ452" s="4"/>
      <c r="RA452" s="4"/>
      <c r="RB452" s="4"/>
      <c r="RC452" s="5"/>
      <c r="RD452" s="6"/>
      <c r="RE452" s="4"/>
      <c r="RF452" s="4"/>
      <c r="RG452" s="4"/>
      <c r="RH452" s="4"/>
      <c r="RI452" s="4"/>
      <c r="RJ452" s="5"/>
      <c r="RK452" s="6"/>
      <c r="RL452" s="4"/>
      <c r="RM452" s="4"/>
      <c r="RN452" s="4"/>
      <c r="RO452" s="4"/>
      <c r="RP452" s="4"/>
      <c r="RQ452" s="5"/>
      <c r="RR452" s="6"/>
      <c r="RS452" s="4"/>
      <c r="RT452" s="4"/>
      <c r="RU452" s="4"/>
      <c r="RV452" s="4"/>
      <c r="RW452" s="4"/>
      <c r="RX452" s="5"/>
      <c r="RY452" s="6"/>
      <c r="RZ452" s="4"/>
      <c r="SA452" s="4"/>
      <c r="SB452" s="4"/>
      <c r="SC452" s="4"/>
      <c r="SD452" s="4"/>
      <c r="SE452" s="5"/>
      <c r="SF452" s="6"/>
      <c r="SG452" s="4"/>
      <c r="SH452" s="4"/>
      <c r="SI452" s="4"/>
      <c r="SJ452" s="4"/>
      <c r="SK452" s="4"/>
      <c r="SL452" s="5"/>
      <c r="SM452" s="6"/>
      <c r="SN452" s="4"/>
      <c r="SO452" s="4"/>
      <c r="SP452" s="4"/>
      <c r="SQ452" s="4"/>
      <c r="SR452" s="4"/>
      <c r="SS452" s="5"/>
      <c r="ST452" s="6"/>
      <c r="SU452" s="4"/>
      <c r="SV452" s="4"/>
      <c r="SW452" s="4"/>
      <c r="SX452" s="4"/>
      <c r="SY452" s="4"/>
      <c r="SZ452" s="5"/>
      <c r="TA452" s="6"/>
      <c r="TB452" s="4"/>
      <c r="TC452" s="4"/>
      <c r="TD452" s="4"/>
      <c r="TE452" s="4"/>
      <c r="TF452" s="4"/>
      <c r="TG452" s="5"/>
      <c r="TH452" s="6"/>
      <c r="TI452" s="4"/>
      <c r="TJ452" s="4"/>
      <c r="TK452" s="4"/>
      <c r="TL452" s="4"/>
      <c r="TM452" s="4"/>
      <c r="TN452" s="5"/>
      <c r="TO452" s="6"/>
      <c r="TP452" s="4"/>
      <c r="TQ452" s="4"/>
      <c r="TR452" s="4"/>
      <c r="TS452" s="4"/>
      <c r="TT452" s="4"/>
      <c r="TU452" s="5"/>
      <c r="TV452" s="6"/>
      <c r="TW452" s="4"/>
      <c r="TX452" s="4"/>
      <c r="TY452" s="4"/>
      <c r="TZ452" s="4"/>
      <c r="UA452" s="4"/>
      <c r="UB452" s="5"/>
      <c r="UC452" s="6"/>
      <c r="UD452" s="4"/>
      <c r="UE452" s="4"/>
      <c r="UF452" s="4"/>
      <c r="UG452" s="4"/>
      <c r="UH452" s="4"/>
      <c r="UI452" s="5"/>
      <c r="UJ452" s="6"/>
      <c r="UK452" s="4"/>
      <c r="UL452" s="4"/>
      <c r="UM452" s="4"/>
      <c r="UN452" s="4"/>
      <c r="UO452" s="4"/>
      <c r="UP452" s="5"/>
      <c r="UQ452" s="6"/>
      <c r="UR452" s="4"/>
      <c r="US452" s="4"/>
      <c r="UT452" s="4"/>
      <c r="UU452" s="4"/>
      <c r="UV452" s="4"/>
      <c r="UW452" s="5"/>
      <c r="UX452" s="6"/>
      <c r="UY452" s="4"/>
      <c r="UZ452" s="4"/>
      <c r="VA452" s="4"/>
      <c r="VB452" s="4"/>
      <c r="VC452" s="4"/>
      <c r="VD452" s="5"/>
      <c r="VE452" s="6"/>
      <c r="VF452" s="4"/>
      <c r="VG452" s="4"/>
      <c r="VH452" s="4"/>
      <c r="VI452" s="4"/>
      <c r="VJ452" s="4"/>
      <c r="VK452" s="5"/>
      <c r="VL452" s="6"/>
      <c r="VM452" s="4"/>
      <c r="VN452" s="4"/>
      <c r="VO452" s="4"/>
      <c r="VP452" s="4"/>
      <c r="VQ452" s="4"/>
      <c r="VR452" s="5"/>
      <c r="VS452" s="6"/>
      <c r="VT452" s="4"/>
      <c r="VU452" s="4"/>
      <c r="VV452" s="4"/>
      <c r="VW452" s="4"/>
      <c r="VX452" s="4"/>
      <c r="VY452" s="5"/>
      <c r="VZ452" s="6"/>
      <c r="WA452" s="4"/>
      <c r="WB452" s="4"/>
      <c r="WC452" s="4"/>
      <c r="WD452" s="4"/>
      <c r="WE452" s="4"/>
      <c r="WF452" s="5"/>
      <c r="WG452" s="6"/>
      <c r="WH452" s="4"/>
      <c r="WI452" s="4"/>
      <c r="WJ452" s="4"/>
      <c r="WK452" s="4"/>
      <c r="WL452" s="4"/>
      <c r="WM452" s="5"/>
      <c r="WN452" s="6"/>
      <c r="WO452" s="4"/>
      <c r="WP452" s="4"/>
      <c r="WQ452" s="4"/>
      <c r="WR452" s="4"/>
      <c r="WS452" s="4"/>
      <c r="WT452" s="5"/>
      <c r="WU452" s="6"/>
      <c r="WV452" s="4"/>
      <c r="WW452" s="4"/>
      <c r="WX452" s="4"/>
      <c r="WY452" s="4"/>
      <c r="WZ452" s="4"/>
      <c r="XA452" s="5"/>
      <c r="XB452" s="6"/>
      <c r="XC452" s="4"/>
      <c r="XD452" s="4"/>
      <c r="XE452" s="4"/>
      <c r="XF452" s="4"/>
      <c r="XG452" s="4"/>
      <c r="XH452" s="5"/>
      <c r="XI452" s="6"/>
      <c r="XJ452" s="4"/>
      <c r="XK452" s="4"/>
      <c r="XL452" s="4"/>
      <c r="XM452" s="4"/>
      <c r="XN452" s="4"/>
      <c r="XO452" s="5"/>
      <c r="XP452" s="6"/>
      <c r="XQ452" s="4"/>
      <c r="XR452" s="4"/>
      <c r="XS452" s="4"/>
      <c r="XT452" s="4"/>
      <c r="XU452" s="4"/>
      <c r="XV452" s="5"/>
      <c r="XW452" s="6"/>
      <c r="XX452" s="4"/>
      <c r="XY452" s="4"/>
      <c r="XZ452" s="4"/>
      <c r="YA452" s="4"/>
      <c r="YB452" s="4"/>
      <c r="YC452" s="5"/>
      <c r="YD452" s="6"/>
      <c r="YE452" s="4"/>
      <c r="YF452" s="4"/>
      <c r="YG452" s="4"/>
      <c r="YH452" s="4"/>
      <c r="YI452" s="4"/>
      <c r="YJ452" s="5"/>
      <c r="YK452" s="6"/>
      <c r="YL452" s="4"/>
      <c r="YM452" s="4"/>
      <c r="YN452" s="4"/>
      <c r="YO452" s="4"/>
      <c r="YP452" s="4"/>
      <c r="YQ452" s="5"/>
      <c r="YR452" s="6"/>
      <c r="YS452" s="4"/>
      <c r="YT452" s="4"/>
      <c r="YU452" s="4"/>
      <c r="YV452" s="4"/>
      <c r="YW452" s="4"/>
      <c r="YX452" s="5"/>
      <c r="YY452" s="6"/>
      <c r="YZ452" s="4"/>
      <c r="ZA452" s="4"/>
      <c r="ZB452" s="4"/>
      <c r="ZC452" s="4"/>
      <c r="ZD452" s="4"/>
      <c r="ZE452" s="5"/>
      <c r="ZF452" s="6"/>
      <c r="ZG452" s="4"/>
      <c r="ZH452" s="4"/>
      <c r="ZI452" s="4"/>
      <c r="ZJ452" s="4"/>
      <c r="ZK452" s="4"/>
      <c r="ZL452" s="5"/>
      <c r="ZM452" s="6"/>
      <c r="ZN452" s="4"/>
      <c r="ZO452" s="4"/>
      <c r="ZP452" s="4"/>
      <c r="ZQ452" s="4"/>
      <c r="ZR452" s="4"/>
      <c r="ZS452" s="5"/>
      <c r="ZT452" s="6"/>
      <c r="ZU452" s="4"/>
      <c r="ZV452" s="4"/>
      <c r="ZW452" s="4"/>
      <c r="ZX452" s="4"/>
      <c r="ZY452" s="4"/>
      <c r="ZZ452" s="5"/>
      <c r="AAA452" s="6"/>
      <c r="AAB452" s="4"/>
      <c r="AAC452" s="4"/>
      <c r="AAD452" s="4"/>
      <c r="AAE452" s="4"/>
      <c r="AAF452" s="4"/>
      <c r="AAG452" s="5"/>
      <c r="AAH452" s="6"/>
      <c r="AAI452" s="4"/>
      <c r="AAJ452" s="4"/>
      <c r="AAK452" s="4"/>
      <c r="AAL452" s="4"/>
      <c r="AAM452" s="4"/>
      <c r="AAN452" s="5"/>
      <c r="AAO452" s="6"/>
      <c r="AAP452" s="4"/>
      <c r="AAQ452" s="4"/>
      <c r="AAR452" s="4"/>
      <c r="AAS452" s="4"/>
      <c r="AAT452" s="4"/>
      <c r="AAU452" s="5"/>
      <c r="AAV452" s="6"/>
      <c r="AAW452" s="4"/>
      <c r="AAX452" s="4"/>
      <c r="AAY452" s="4"/>
      <c r="AAZ452" s="4"/>
      <c r="ABA452" s="4"/>
      <c r="ABB452" s="5"/>
      <c r="ABC452" s="6"/>
      <c r="ABD452" s="4"/>
      <c r="ABE452" s="4"/>
      <c r="ABF452" s="4"/>
      <c r="ABG452" s="4"/>
      <c r="ABH452" s="4"/>
      <c r="ABI452" s="5"/>
      <c r="ABJ452" s="6"/>
      <c r="ABK452" s="4"/>
      <c r="ABL452" s="4"/>
      <c r="ABM452" s="4"/>
      <c r="ABN452" s="4"/>
      <c r="ABO452" s="4"/>
      <c r="ABP452" s="5"/>
      <c r="ABQ452" s="6"/>
      <c r="ABR452" s="4"/>
      <c r="ABS452" s="4"/>
      <c r="ABT452" s="4"/>
      <c r="ABU452" s="4"/>
      <c r="ABV452" s="4"/>
      <c r="ABW452" s="5"/>
      <c r="ABX452" s="6"/>
      <c r="ABY452" s="4"/>
      <c r="ABZ452" s="4"/>
      <c r="ACA452" s="4"/>
      <c r="ACB452" s="4"/>
      <c r="ACC452" s="4"/>
      <c r="ACD452" s="5"/>
      <c r="ACE452" s="6"/>
      <c r="ACF452" s="4"/>
      <c r="ACG452" s="4"/>
      <c r="ACH452" s="4"/>
      <c r="ACI452" s="4"/>
      <c r="ACJ452" s="4"/>
      <c r="ACK452" s="5"/>
      <c r="ACL452" s="6"/>
      <c r="ACM452" s="4"/>
      <c r="ACN452" s="4"/>
      <c r="ACO452" s="4"/>
      <c r="ACP452" s="4"/>
      <c r="ACQ452" s="4"/>
      <c r="ACR452" s="5"/>
      <c r="ACS452" s="6"/>
      <c r="ACT452" s="4"/>
      <c r="ACU452" s="4"/>
      <c r="ACV452" s="4"/>
      <c r="ACW452" s="4"/>
      <c r="ACX452" s="4"/>
      <c r="ACY452" s="5"/>
    </row>
    <row r="453" spans="2:805" x14ac:dyDescent="0.25">
      <c r="B453" s="30"/>
      <c r="J453" s="12"/>
      <c r="K453" s="12"/>
      <c r="L453" s="12"/>
      <c r="LL453" s="6"/>
      <c r="LM453" s="4"/>
      <c r="LN453" s="4"/>
      <c r="LO453" s="4"/>
      <c r="LP453" s="4"/>
      <c r="LQ453" s="4"/>
      <c r="LR453" s="5"/>
      <c r="LS453" s="6"/>
      <c r="LT453" s="4"/>
      <c r="LU453" s="4"/>
      <c r="LV453" s="4"/>
      <c r="LW453" s="4"/>
      <c r="LX453" s="4"/>
      <c r="LY453" s="5"/>
      <c r="LZ453" s="6" t="s">
        <v>742</v>
      </c>
      <c r="MA453" s="7" t="s">
        <v>671</v>
      </c>
      <c r="MB453" s="4"/>
      <c r="MC453" s="7" t="s">
        <v>3027</v>
      </c>
      <c r="MD453" s="8">
        <v>39995</v>
      </c>
      <c r="ME453" s="8">
        <v>39995</v>
      </c>
      <c r="MF453" s="8"/>
      <c r="MG453" s="5" t="s">
        <v>300</v>
      </c>
      <c r="MH453" s="6"/>
      <c r="MI453" s="4"/>
      <c r="MJ453" s="4"/>
      <c r="MK453" s="4"/>
      <c r="ML453" s="4"/>
      <c r="MM453" s="4"/>
      <c r="MN453" s="5"/>
      <c r="MO453" s="6"/>
      <c r="MP453" s="4"/>
      <c r="MQ453" s="4"/>
      <c r="MR453" s="4"/>
      <c r="MS453" s="4"/>
      <c r="MT453" s="4"/>
      <c r="MU453" s="5"/>
      <c r="MV453" s="6"/>
      <c r="MW453" s="4"/>
      <c r="MX453" s="4"/>
      <c r="MY453" s="4"/>
      <c r="MZ453" s="4"/>
      <c r="NA453" s="4"/>
      <c r="NB453" s="5"/>
      <c r="NC453" s="6" t="s">
        <v>743</v>
      </c>
      <c r="ND453" s="4" t="s">
        <v>2303</v>
      </c>
      <c r="NE453" s="4" t="s">
        <v>2470</v>
      </c>
      <c r="NF453" s="7" t="s">
        <v>3027</v>
      </c>
      <c r="NG453" s="8">
        <v>39996</v>
      </c>
      <c r="NH453" s="8">
        <v>39996</v>
      </c>
      <c r="NI453" s="5" t="s">
        <v>303</v>
      </c>
      <c r="NJ453" s="6"/>
      <c r="NK453" s="4"/>
      <c r="NL453" s="4"/>
      <c r="NM453" s="4"/>
      <c r="NN453" s="4"/>
      <c r="NO453" s="4"/>
      <c r="NP453" s="5"/>
      <c r="NQ453" s="6"/>
      <c r="NR453" s="4"/>
      <c r="NS453" s="4"/>
      <c r="NT453" s="4"/>
      <c r="NU453" s="4"/>
      <c r="NV453" s="4"/>
      <c r="NW453" s="5"/>
      <c r="NX453" s="6"/>
      <c r="NY453" s="4"/>
      <c r="NZ453" s="4"/>
      <c r="OA453" s="4"/>
      <c r="OB453" s="4"/>
      <c r="OC453" s="4"/>
      <c r="OD453" s="5"/>
      <c r="OE453" s="6"/>
      <c r="OF453" s="4"/>
      <c r="OG453" s="4"/>
      <c r="OH453" s="4"/>
      <c r="OI453" s="4"/>
      <c r="OJ453" s="4"/>
      <c r="OK453" s="5"/>
      <c r="OL453" s="6"/>
      <c r="OM453" s="4"/>
      <c r="ON453" s="4"/>
      <c r="OO453" s="4"/>
      <c r="OP453" s="4"/>
      <c r="OQ453" s="4"/>
      <c r="OR453" s="5"/>
      <c r="OS453" s="6"/>
      <c r="OT453" s="4"/>
      <c r="OU453" s="4"/>
      <c r="OV453" s="4"/>
      <c r="OW453" s="4"/>
      <c r="OX453" s="4"/>
      <c r="OY453" s="5"/>
      <c r="OZ453" s="6"/>
      <c r="PA453" s="4"/>
      <c r="PB453" s="4"/>
      <c r="PC453" s="4"/>
      <c r="PD453" s="4"/>
      <c r="PE453" s="4"/>
      <c r="PF453" s="5"/>
      <c r="PG453" s="6"/>
      <c r="PH453" s="4"/>
      <c r="PI453" s="4"/>
      <c r="PJ453" s="4"/>
      <c r="PK453" s="4"/>
      <c r="PL453" s="4"/>
      <c r="PM453" s="5"/>
      <c r="PN453" s="6"/>
      <c r="PO453" s="4"/>
      <c r="PP453" s="4"/>
      <c r="PQ453" s="4"/>
      <c r="PR453" s="4"/>
      <c r="PS453" s="4"/>
      <c r="PT453" s="5"/>
      <c r="PU453" s="6"/>
      <c r="PV453" s="4"/>
      <c r="PW453" s="4"/>
      <c r="PX453" s="4"/>
      <c r="PY453" s="4"/>
      <c r="PZ453" s="4"/>
      <c r="QA453" s="5"/>
      <c r="QB453" s="6"/>
      <c r="QC453" s="4"/>
      <c r="QD453" s="4"/>
      <c r="QE453" s="4"/>
      <c r="QF453" s="4"/>
      <c r="QG453" s="4"/>
      <c r="QH453" s="5"/>
      <c r="QI453" s="6"/>
      <c r="QJ453" s="4"/>
      <c r="QK453" s="4"/>
      <c r="QL453" s="4"/>
      <c r="QM453" s="4"/>
      <c r="QN453" s="4"/>
      <c r="QO453" s="5"/>
      <c r="QP453" s="6"/>
      <c r="QQ453" s="4"/>
      <c r="QR453" s="4"/>
      <c r="QS453" s="4"/>
      <c r="QT453" s="4"/>
      <c r="QU453" s="4"/>
      <c r="QV453" s="5"/>
      <c r="QW453" s="6"/>
      <c r="QX453" s="4"/>
      <c r="QY453" s="4"/>
      <c r="QZ453" s="4"/>
      <c r="RA453" s="4"/>
      <c r="RB453" s="4"/>
      <c r="RC453" s="5"/>
      <c r="RD453" s="6"/>
      <c r="RE453" s="4"/>
      <c r="RF453" s="4"/>
      <c r="RG453" s="4"/>
      <c r="RH453" s="4"/>
      <c r="RI453" s="4"/>
      <c r="RJ453" s="5"/>
      <c r="RK453" s="6"/>
      <c r="RL453" s="4"/>
      <c r="RM453" s="4"/>
      <c r="RN453" s="4"/>
      <c r="RO453" s="4"/>
      <c r="RP453" s="4"/>
      <c r="RQ453" s="5"/>
      <c r="RR453" s="6"/>
      <c r="RS453" s="4"/>
      <c r="RT453" s="4"/>
      <c r="RU453" s="4"/>
      <c r="RV453" s="4"/>
      <c r="RW453" s="4"/>
      <c r="RX453" s="5"/>
      <c r="RY453" s="6"/>
      <c r="RZ453" s="4"/>
      <c r="SA453" s="4"/>
      <c r="SB453" s="4"/>
      <c r="SC453" s="4"/>
      <c r="SD453" s="4"/>
      <c r="SE453" s="5"/>
      <c r="SF453" s="6"/>
      <c r="SG453" s="4"/>
      <c r="SH453" s="4"/>
      <c r="SI453" s="4"/>
      <c r="SJ453" s="4"/>
      <c r="SK453" s="4"/>
      <c r="SL453" s="5"/>
      <c r="SM453" s="6"/>
      <c r="SN453" s="4"/>
      <c r="SO453" s="4"/>
      <c r="SP453" s="4"/>
      <c r="SQ453" s="4"/>
      <c r="SR453" s="4"/>
      <c r="SS453" s="5"/>
      <c r="ST453" s="6"/>
      <c r="SU453" s="4"/>
      <c r="SV453" s="4"/>
      <c r="SW453" s="4"/>
      <c r="SX453" s="4"/>
      <c r="SY453" s="4"/>
      <c r="SZ453" s="5"/>
      <c r="TA453" s="6"/>
      <c r="TB453" s="4"/>
      <c r="TC453" s="4"/>
      <c r="TD453" s="4"/>
      <c r="TE453" s="4"/>
      <c r="TF453" s="4"/>
      <c r="TG453" s="5"/>
      <c r="TH453" s="6"/>
      <c r="TI453" s="4"/>
      <c r="TJ453" s="4"/>
      <c r="TK453" s="4"/>
      <c r="TL453" s="4"/>
      <c r="TM453" s="4"/>
      <c r="TN453" s="5"/>
      <c r="TO453" s="6"/>
      <c r="TP453" s="4"/>
      <c r="TQ453" s="4"/>
      <c r="TR453" s="4"/>
      <c r="TS453" s="4"/>
      <c r="TT453" s="4"/>
      <c r="TU453" s="5"/>
      <c r="TV453" s="6"/>
      <c r="TW453" s="4"/>
      <c r="TX453" s="4"/>
      <c r="TY453" s="4"/>
      <c r="TZ453" s="4"/>
      <c r="UA453" s="4"/>
      <c r="UB453" s="5"/>
      <c r="UC453" s="6"/>
      <c r="UD453" s="4"/>
      <c r="UE453" s="4"/>
      <c r="UF453" s="4"/>
      <c r="UG453" s="4"/>
      <c r="UH453" s="4"/>
      <c r="UI453" s="5"/>
      <c r="UJ453" s="6"/>
      <c r="UK453" s="4"/>
      <c r="UL453" s="4"/>
      <c r="UM453" s="4"/>
      <c r="UN453" s="4"/>
      <c r="UO453" s="4"/>
      <c r="UP453" s="5"/>
      <c r="UQ453" s="6"/>
      <c r="UR453" s="4"/>
      <c r="US453" s="4"/>
      <c r="UT453" s="4"/>
      <c r="UU453" s="4"/>
      <c r="UV453" s="4"/>
      <c r="UW453" s="5"/>
      <c r="UX453" s="6"/>
      <c r="UY453" s="4"/>
      <c r="UZ453" s="4"/>
      <c r="VA453" s="4"/>
      <c r="VB453" s="4"/>
      <c r="VC453" s="4"/>
      <c r="VD453" s="5"/>
      <c r="VE453" s="6"/>
      <c r="VF453" s="4"/>
      <c r="VG453" s="4"/>
      <c r="VH453" s="4"/>
      <c r="VI453" s="4"/>
      <c r="VJ453" s="4"/>
      <c r="VK453" s="5"/>
      <c r="VL453" s="6"/>
      <c r="VM453" s="4"/>
      <c r="VN453" s="4"/>
      <c r="VO453" s="4"/>
      <c r="VP453" s="4"/>
      <c r="VQ453" s="4"/>
      <c r="VR453" s="5"/>
      <c r="VS453" s="6"/>
      <c r="VT453" s="4"/>
      <c r="VU453" s="4"/>
      <c r="VV453" s="4"/>
      <c r="VW453" s="4"/>
      <c r="VX453" s="4"/>
      <c r="VY453" s="5"/>
      <c r="VZ453" s="6"/>
      <c r="WA453" s="4"/>
      <c r="WB453" s="4"/>
      <c r="WC453" s="4"/>
      <c r="WD453" s="4"/>
      <c r="WE453" s="4"/>
      <c r="WF453" s="5"/>
      <c r="WG453" s="6"/>
      <c r="WH453" s="4"/>
      <c r="WI453" s="4"/>
      <c r="WJ453" s="4"/>
      <c r="WK453" s="4"/>
      <c r="WL453" s="4"/>
      <c r="WM453" s="5"/>
      <c r="WN453" s="6"/>
      <c r="WO453" s="4"/>
      <c r="WP453" s="4"/>
      <c r="WQ453" s="4"/>
      <c r="WR453" s="4"/>
      <c r="WS453" s="4"/>
      <c r="WT453" s="5"/>
      <c r="WU453" s="6"/>
      <c r="WV453" s="4"/>
      <c r="WW453" s="4"/>
      <c r="WX453" s="4"/>
      <c r="WY453" s="4"/>
      <c r="WZ453" s="4"/>
      <c r="XA453" s="5"/>
      <c r="XB453" s="6"/>
      <c r="XC453" s="4"/>
      <c r="XD453" s="4"/>
      <c r="XE453" s="4"/>
      <c r="XF453" s="4"/>
      <c r="XG453" s="4"/>
      <c r="XH453" s="5"/>
      <c r="XI453" s="6"/>
      <c r="XJ453" s="4"/>
      <c r="XK453" s="4"/>
      <c r="XL453" s="4"/>
      <c r="XM453" s="4"/>
      <c r="XN453" s="4"/>
      <c r="XO453" s="5"/>
      <c r="XP453" s="6"/>
      <c r="XQ453" s="4"/>
      <c r="XR453" s="4"/>
      <c r="XS453" s="4"/>
      <c r="XT453" s="4"/>
      <c r="XU453" s="4"/>
      <c r="XV453" s="5"/>
      <c r="XW453" s="6"/>
      <c r="XX453" s="4"/>
      <c r="XY453" s="4"/>
      <c r="XZ453" s="4"/>
      <c r="YA453" s="4"/>
      <c r="YB453" s="4"/>
      <c r="YC453" s="5"/>
      <c r="YD453" s="6"/>
      <c r="YE453" s="4"/>
      <c r="YF453" s="4"/>
      <c r="YG453" s="4"/>
      <c r="YH453" s="4"/>
      <c r="YI453" s="4"/>
      <c r="YJ453" s="5"/>
      <c r="YK453" s="6"/>
      <c r="YL453" s="4"/>
      <c r="YM453" s="4"/>
      <c r="YN453" s="4"/>
      <c r="YO453" s="4"/>
      <c r="YP453" s="4"/>
      <c r="YQ453" s="5"/>
      <c r="YR453" s="6"/>
      <c r="YS453" s="4"/>
      <c r="YT453" s="4"/>
      <c r="YU453" s="4"/>
      <c r="YV453" s="4"/>
      <c r="YW453" s="4"/>
      <c r="YX453" s="5"/>
      <c r="YY453" s="6"/>
      <c r="YZ453" s="4"/>
      <c r="ZA453" s="4"/>
      <c r="ZB453" s="4"/>
      <c r="ZC453" s="4"/>
      <c r="ZD453" s="4"/>
      <c r="ZE453" s="5"/>
      <c r="ZF453" s="6"/>
      <c r="ZG453" s="4"/>
      <c r="ZH453" s="4"/>
      <c r="ZI453" s="4"/>
      <c r="ZJ453" s="4"/>
      <c r="ZK453" s="4"/>
      <c r="ZL453" s="5"/>
      <c r="ZM453" s="6"/>
      <c r="ZN453" s="4"/>
      <c r="ZO453" s="4"/>
      <c r="ZP453" s="4"/>
      <c r="ZQ453" s="4"/>
      <c r="ZR453" s="4"/>
      <c r="ZS453" s="5"/>
      <c r="ZT453" s="6"/>
      <c r="ZU453" s="4"/>
      <c r="ZV453" s="4"/>
      <c r="ZW453" s="4"/>
      <c r="ZX453" s="4"/>
      <c r="ZY453" s="4"/>
      <c r="ZZ453" s="5"/>
      <c r="AAA453" s="6"/>
      <c r="AAB453" s="4"/>
      <c r="AAC453" s="4"/>
      <c r="AAD453" s="4"/>
      <c r="AAE453" s="4"/>
      <c r="AAF453" s="4"/>
      <c r="AAG453" s="5"/>
      <c r="AAH453" s="6"/>
      <c r="AAI453" s="4"/>
      <c r="AAJ453" s="4"/>
      <c r="AAK453" s="4"/>
      <c r="AAL453" s="4"/>
      <c r="AAM453" s="4"/>
      <c r="AAN453" s="5"/>
      <c r="AAO453" s="6"/>
      <c r="AAP453" s="4"/>
      <c r="AAQ453" s="4"/>
      <c r="AAR453" s="4"/>
      <c r="AAS453" s="4"/>
      <c r="AAT453" s="4"/>
      <c r="AAU453" s="5"/>
      <c r="AAV453" s="6"/>
      <c r="AAW453" s="4"/>
      <c r="AAX453" s="4"/>
      <c r="AAY453" s="4"/>
      <c r="AAZ453" s="4"/>
      <c r="ABA453" s="4"/>
      <c r="ABB453" s="5"/>
      <c r="ABC453" s="6"/>
      <c r="ABD453" s="4"/>
      <c r="ABE453" s="4"/>
      <c r="ABF453" s="4"/>
      <c r="ABG453" s="4"/>
      <c r="ABH453" s="4"/>
      <c r="ABI453" s="5"/>
      <c r="ABJ453" s="6"/>
      <c r="ABK453" s="4"/>
      <c r="ABL453" s="4"/>
      <c r="ABM453" s="4"/>
      <c r="ABN453" s="4"/>
      <c r="ABO453" s="4"/>
      <c r="ABP453" s="5"/>
      <c r="ABQ453" s="6"/>
      <c r="ABR453" s="4"/>
      <c r="ABS453" s="4"/>
      <c r="ABT453" s="4"/>
      <c r="ABU453" s="4"/>
      <c r="ABV453" s="4"/>
      <c r="ABW453" s="5"/>
      <c r="ABX453" s="6"/>
      <c r="ABY453" s="4"/>
      <c r="ABZ453" s="4"/>
      <c r="ACA453" s="4"/>
      <c r="ACB453" s="4"/>
      <c r="ACC453" s="4"/>
      <c r="ACD453" s="5"/>
      <c r="ACE453" s="6"/>
      <c r="ACF453" s="4"/>
      <c r="ACG453" s="4"/>
      <c r="ACH453" s="4"/>
      <c r="ACI453" s="4"/>
      <c r="ACJ453" s="4"/>
      <c r="ACK453" s="5"/>
      <c r="ACL453" s="6"/>
      <c r="ACM453" s="4"/>
      <c r="ACN453" s="4"/>
      <c r="ACO453" s="4"/>
      <c r="ACP453" s="4"/>
      <c r="ACQ453" s="4"/>
      <c r="ACR453" s="5"/>
      <c r="ACS453" s="6"/>
      <c r="ACT453" s="4"/>
      <c r="ACU453" s="4"/>
      <c r="ACV453" s="4"/>
      <c r="ACW453" s="4"/>
      <c r="ACX453" s="4"/>
      <c r="ACY453" s="5"/>
    </row>
    <row r="454" spans="2:805" x14ac:dyDescent="0.25">
      <c r="B454" s="30"/>
      <c r="J454" s="12"/>
      <c r="K454" s="12"/>
      <c r="L454" s="12"/>
      <c r="LL454" s="6"/>
      <c r="LM454" s="4"/>
      <c r="LN454" s="4"/>
      <c r="LO454" s="4"/>
      <c r="LP454" s="4"/>
      <c r="LQ454" s="4"/>
      <c r="LR454" s="5"/>
      <c r="LS454" s="6"/>
      <c r="LT454" s="4"/>
      <c r="LU454" s="4"/>
      <c r="LV454" s="4"/>
      <c r="LW454" s="4"/>
      <c r="LX454" s="4"/>
      <c r="LY454" s="5"/>
      <c r="LZ454" s="6" t="s">
        <v>2290</v>
      </c>
      <c r="MA454" s="7" t="s">
        <v>2375</v>
      </c>
      <c r="MB454" s="4"/>
      <c r="MC454" s="7" t="s">
        <v>1638</v>
      </c>
      <c r="MD454" s="8">
        <v>39977</v>
      </c>
      <c r="ME454" s="8">
        <v>39995</v>
      </c>
      <c r="MF454" s="8" t="s">
        <v>611</v>
      </c>
      <c r="MG454" s="5" t="s">
        <v>301</v>
      </c>
      <c r="MH454" s="6"/>
      <c r="MI454" s="4"/>
      <c r="MJ454" s="4"/>
      <c r="MK454" s="4"/>
      <c r="ML454" s="4"/>
      <c r="MM454" s="4"/>
      <c r="MN454" s="5"/>
      <c r="MO454" s="6"/>
      <c r="MP454" s="4"/>
      <c r="MQ454" s="4"/>
      <c r="MR454" s="4"/>
      <c r="MS454" s="4"/>
      <c r="MT454" s="4"/>
      <c r="MU454" s="5"/>
      <c r="MV454" s="6"/>
      <c r="MW454" s="4"/>
      <c r="MX454" s="4"/>
      <c r="MY454" s="4"/>
      <c r="MZ454" s="4"/>
      <c r="NA454" s="4"/>
      <c r="NB454" s="5"/>
      <c r="NC454" s="6"/>
      <c r="ND454" s="4"/>
      <c r="NE454" s="4"/>
      <c r="NF454" s="7"/>
      <c r="NG454" s="8"/>
      <c r="NH454" s="8"/>
      <c r="NI454" s="5"/>
      <c r="NJ454" s="6"/>
      <c r="NK454" s="4"/>
      <c r="NL454" s="4"/>
      <c r="NM454" s="4"/>
      <c r="NN454" s="4"/>
      <c r="NO454" s="4"/>
      <c r="NP454" s="5"/>
      <c r="NQ454" s="6"/>
      <c r="NR454" s="4"/>
      <c r="NS454" s="4"/>
      <c r="NT454" s="4"/>
      <c r="NU454" s="4"/>
      <c r="NV454" s="4"/>
      <c r="NW454" s="5"/>
      <c r="NX454" s="6"/>
      <c r="NY454" s="4"/>
      <c r="NZ454" s="4"/>
      <c r="OA454" s="4"/>
      <c r="OB454" s="4"/>
      <c r="OC454" s="4"/>
      <c r="OD454" s="5"/>
      <c r="OE454" s="6"/>
      <c r="OF454" s="4"/>
      <c r="OG454" s="4"/>
      <c r="OH454" s="4"/>
      <c r="OI454" s="4"/>
      <c r="OJ454" s="4"/>
      <c r="OK454" s="5"/>
      <c r="OL454" s="6"/>
      <c r="OM454" s="4"/>
      <c r="ON454" s="4"/>
      <c r="OO454" s="4"/>
      <c r="OP454" s="4"/>
      <c r="OQ454" s="4"/>
      <c r="OR454" s="5"/>
      <c r="OS454" s="6"/>
      <c r="OT454" s="4"/>
      <c r="OU454" s="4"/>
      <c r="OV454" s="4"/>
      <c r="OW454" s="4"/>
      <c r="OX454" s="4"/>
      <c r="OY454" s="5"/>
      <c r="OZ454" s="6"/>
      <c r="PA454" s="4"/>
      <c r="PB454" s="4"/>
      <c r="PC454" s="4"/>
      <c r="PD454" s="4"/>
      <c r="PE454" s="4"/>
      <c r="PF454" s="5"/>
      <c r="PG454" s="6"/>
      <c r="PH454" s="4"/>
      <c r="PI454" s="4"/>
      <c r="PJ454" s="4"/>
      <c r="PK454" s="4"/>
      <c r="PL454" s="4"/>
      <c r="PM454" s="5"/>
      <c r="PN454" s="6"/>
      <c r="PO454" s="4"/>
      <c r="PP454" s="4"/>
      <c r="PQ454" s="4"/>
      <c r="PR454" s="4"/>
      <c r="PS454" s="4"/>
      <c r="PT454" s="5"/>
      <c r="PU454" s="6"/>
      <c r="PV454" s="4"/>
      <c r="PW454" s="4"/>
      <c r="PX454" s="4"/>
      <c r="PY454" s="4"/>
      <c r="PZ454" s="4"/>
      <c r="QA454" s="5"/>
      <c r="QB454" s="6"/>
      <c r="QC454" s="4"/>
      <c r="QD454" s="4"/>
      <c r="QE454" s="4"/>
      <c r="QF454" s="4"/>
      <c r="QG454" s="4"/>
      <c r="QH454" s="5"/>
      <c r="QI454" s="6"/>
      <c r="QJ454" s="4"/>
      <c r="QK454" s="4"/>
      <c r="QL454" s="4"/>
      <c r="QM454" s="4"/>
      <c r="QN454" s="4"/>
      <c r="QO454" s="5"/>
      <c r="QP454" s="6"/>
      <c r="QQ454" s="4"/>
      <c r="QR454" s="4"/>
      <c r="QS454" s="4"/>
      <c r="QT454" s="4"/>
      <c r="QU454" s="4"/>
      <c r="QV454" s="5"/>
      <c r="QW454" s="6"/>
      <c r="QX454" s="4"/>
      <c r="QY454" s="4"/>
      <c r="QZ454" s="4"/>
      <c r="RA454" s="4"/>
      <c r="RB454" s="4"/>
      <c r="RC454" s="5"/>
      <c r="RD454" s="6"/>
      <c r="RE454" s="4"/>
      <c r="RF454" s="4"/>
      <c r="RG454" s="4"/>
      <c r="RH454" s="4"/>
      <c r="RI454" s="4"/>
      <c r="RJ454" s="5"/>
      <c r="RK454" s="6"/>
      <c r="RL454" s="4"/>
      <c r="RM454" s="4"/>
      <c r="RN454" s="4"/>
      <c r="RO454" s="4"/>
      <c r="RP454" s="4"/>
      <c r="RQ454" s="5"/>
      <c r="RR454" s="6"/>
      <c r="RS454" s="4"/>
      <c r="RT454" s="4"/>
      <c r="RU454" s="4"/>
      <c r="RV454" s="4"/>
      <c r="RW454" s="4"/>
      <c r="RX454" s="5"/>
      <c r="RY454" s="6"/>
      <c r="RZ454" s="4"/>
      <c r="SA454" s="4"/>
      <c r="SB454" s="4"/>
      <c r="SC454" s="4"/>
      <c r="SD454" s="4"/>
      <c r="SE454" s="5"/>
      <c r="SF454" s="6"/>
      <c r="SG454" s="4"/>
      <c r="SH454" s="4"/>
      <c r="SI454" s="4"/>
      <c r="SJ454" s="4"/>
      <c r="SK454" s="4"/>
      <c r="SL454" s="5"/>
      <c r="SM454" s="6"/>
      <c r="SN454" s="4"/>
      <c r="SO454" s="4"/>
      <c r="SP454" s="4"/>
      <c r="SQ454" s="4"/>
      <c r="SR454" s="4"/>
      <c r="SS454" s="5"/>
      <c r="ST454" s="6"/>
      <c r="SU454" s="4"/>
      <c r="SV454" s="4"/>
      <c r="SW454" s="4"/>
      <c r="SX454" s="4"/>
      <c r="SY454" s="4"/>
      <c r="SZ454" s="5"/>
      <c r="TA454" s="6"/>
      <c r="TB454" s="4"/>
      <c r="TC454" s="4"/>
      <c r="TD454" s="4"/>
      <c r="TE454" s="4"/>
      <c r="TF454" s="4"/>
      <c r="TG454" s="5"/>
      <c r="TH454" s="6"/>
      <c r="TI454" s="4"/>
      <c r="TJ454" s="4"/>
      <c r="TK454" s="4"/>
      <c r="TL454" s="4"/>
      <c r="TM454" s="4"/>
      <c r="TN454" s="5"/>
      <c r="TO454" s="6"/>
      <c r="TP454" s="4"/>
      <c r="TQ454" s="4"/>
      <c r="TR454" s="4"/>
      <c r="TS454" s="4"/>
      <c r="TT454" s="4"/>
      <c r="TU454" s="5"/>
      <c r="TV454" s="6"/>
      <c r="TW454" s="4"/>
      <c r="TX454" s="4"/>
      <c r="TY454" s="4"/>
      <c r="TZ454" s="4"/>
      <c r="UA454" s="4"/>
      <c r="UB454" s="5"/>
      <c r="UC454" s="6"/>
      <c r="UD454" s="4"/>
      <c r="UE454" s="4"/>
      <c r="UF454" s="4"/>
      <c r="UG454" s="4"/>
      <c r="UH454" s="4"/>
      <c r="UI454" s="5"/>
      <c r="UJ454" s="6"/>
      <c r="UK454" s="4"/>
      <c r="UL454" s="4"/>
      <c r="UM454" s="4"/>
      <c r="UN454" s="4"/>
      <c r="UO454" s="4"/>
      <c r="UP454" s="5"/>
      <c r="UQ454" s="6"/>
      <c r="UR454" s="4"/>
      <c r="US454" s="4"/>
      <c r="UT454" s="4"/>
      <c r="UU454" s="4"/>
      <c r="UV454" s="4"/>
      <c r="UW454" s="5"/>
      <c r="UX454" s="6"/>
      <c r="UY454" s="4"/>
      <c r="UZ454" s="4"/>
      <c r="VA454" s="4"/>
      <c r="VB454" s="4"/>
      <c r="VC454" s="4"/>
      <c r="VD454" s="5"/>
      <c r="VE454" s="6"/>
      <c r="VF454" s="4"/>
      <c r="VG454" s="4"/>
      <c r="VH454" s="4"/>
      <c r="VI454" s="4"/>
      <c r="VJ454" s="4"/>
      <c r="VK454" s="5"/>
      <c r="VL454" s="6"/>
      <c r="VM454" s="4"/>
      <c r="VN454" s="4"/>
      <c r="VO454" s="4"/>
      <c r="VP454" s="4"/>
      <c r="VQ454" s="4"/>
      <c r="VR454" s="5"/>
      <c r="VS454" s="6"/>
      <c r="VT454" s="4"/>
      <c r="VU454" s="4"/>
      <c r="VV454" s="4"/>
      <c r="VW454" s="4"/>
      <c r="VX454" s="4"/>
      <c r="VY454" s="5"/>
      <c r="VZ454" s="6"/>
      <c r="WA454" s="4"/>
      <c r="WB454" s="4"/>
      <c r="WC454" s="4"/>
      <c r="WD454" s="4"/>
      <c r="WE454" s="4"/>
      <c r="WF454" s="5"/>
      <c r="WG454" s="6"/>
      <c r="WH454" s="4"/>
      <c r="WI454" s="4"/>
      <c r="WJ454" s="4"/>
      <c r="WK454" s="4"/>
      <c r="WL454" s="4"/>
      <c r="WM454" s="5"/>
      <c r="WN454" s="6"/>
      <c r="WO454" s="4"/>
      <c r="WP454" s="4"/>
      <c r="WQ454" s="4"/>
      <c r="WR454" s="4"/>
      <c r="WS454" s="4"/>
      <c r="WT454" s="5"/>
      <c r="WU454" s="6"/>
      <c r="WV454" s="4"/>
      <c r="WW454" s="4"/>
      <c r="WX454" s="4"/>
      <c r="WY454" s="4"/>
      <c r="WZ454" s="4"/>
      <c r="XA454" s="5"/>
      <c r="XB454" s="6"/>
      <c r="XC454" s="4"/>
      <c r="XD454" s="4"/>
      <c r="XE454" s="4"/>
      <c r="XF454" s="4"/>
      <c r="XG454" s="4"/>
      <c r="XH454" s="5"/>
      <c r="XI454" s="6"/>
      <c r="XJ454" s="4"/>
      <c r="XK454" s="4"/>
      <c r="XL454" s="4"/>
      <c r="XM454" s="4"/>
      <c r="XN454" s="4"/>
      <c r="XO454" s="5"/>
      <c r="XP454" s="6"/>
      <c r="XQ454" s="4"/>
      <c r="XR454" s="4"/>
      <c r="XS454" s="4"/>
      <c r="XT454" s="4"/>
      <c r="XU454" s="4"/>
      <c r="XV454" s="5"/>
      <c r="XW454" s="6"/>
      <c r="XX454" s="4"/>
      <c r="XY454" s="4"/>
      <c r="XZ454" s="4"/>
      <c r="YA454" s="4"/>
      <c r="YB454" s="4"/>
      <c r="YC454" s="5"/>
      <c r="YD454" s="6"/>
      <c r="YE454" s="4"/>
      <c r="YF454" s="4"/>
      <c r="YG454" s="4"/>
      <c r="YH454" s="4"/>
      <c r="YI454" s="4"/>
      <c r="YJ454" s="5"/>
      <c r="YK454" s="6"/>
      <c r="YL454" s="4"/>
      <c r="YM454" s="4"/>
      <c r="YN454" s="4"/>
      <c r="YO454" s="4"/>
      <c r="YP454" s="4"/>
      <c r="YQ454" s="5"/>
      <c r="YR454" s="6"/>
      <c r="YS454" s="4"/>
      <c r="YT454" s="4"/>
      <c r="YU454" s="4"/>
      <c r="YV454" s="4"/>
      <c r="YW454" s="4"/>
      <c r="YX454" s="5"/>
      <c r="YY454" s="4" t="s">
        <v>744</v>
      </c>
      <c r="YZ454" s="4" t="s">
        <v>744</v>
      </c>
      <c r="ZA454" s="4"/>
      <c r="ZB454" s="4" t="s">
        <v>2771</v>
      </c>
      <c r="ZC454" s="8">
        <v>39323</v>
      </c>
      <c r="ZD454" s="8">
        <v>39326</v>
      </c>
      <c r="ZE454" s="5"/>
      <c r="ZF454" s="6"/>
      <c r="ZG454" s="4"/>
      <c r="ZH454" s="4"/>
      <c r="ZI454" s="4"/>
      <c r="ZJ454" s="4"/>
      <c r="ZK454" s="4"/>
      <c r="ZL454" s="5"/>
      <c r="ZM454" s="6"/>
      <c r="ZN454" s="4"/>
      <c r="ZO454" s="4"/>
      <c r="ZP454" s="4"/>
      <c r="ZQ454" s="4"/>
      <c r="ZR454" s="4"/>
      <c r="ZS454" s="5"/>
      <c r="ZT454" s="6"/>
      <c r="ZU454" s="4"/>
      <c r="ZV454" s="4"/>
      <c r="ZW454" s="4"/>
      <c r="ZX454" s="4"/>
      <c r="ZY454" s="4"/>
      <c r="ZZ454" s="5"/>
      <c r="AAA454" s="6"/>
      <c r="AAB454" s="4"/>
      <c r="AAC454" s="4"/>
      <c r="AAD454" s="4"/>
      <c r="AAE454" s="4"/>
      <c r="AAF454" s="4"/>
      <c r="AAG454" s="5"/>
      <c r="AAH454" s="6"/>
      <c r="AAI454" s="4"/>
      <c r="AAJ454" s="4"/>
      <c r="AAK454" s="4"/>
      <c r="AAL454" s="4"/>
      <c r="AAM454" s="4"/>
      <c r="AAN454" s="5"/>
      <c r="AAO454" s="6"/>
      <c r="AAP454" s="4"/>
      <c r="AAQ454" s="4"/>
      <c r="AAR454" s="4"/>
      <c r="AAS454" s="4"/>
      <c r="AAT454" s="4"/>
      <c r="AAU454" s="5"/>
      <c r="AAV454" s="6"/>
      <c r="AAW454" s="4"/>
      <c r="AAX454" s="4"/>
      <c r="AAY454" s="4"/>
      <c r="AAZ454" s="4"/>
      <c r="ABA454" s="4"/>
      <c r="ABB454" s="5"/>
      <c r="ABC454" s="6"/>
      <c r="ABI454" s="5"/>
      <c r="ABJ454" s="6"/>
      <c r="ABK454" s="4"/>
      <c r="ABL454" s="4"/>
      <c r="ABM454" s="4"/>
      <c r="ABN454" s="4"/>
      <c r="ABO454" s="4"/>
      <c r="ABP454" s="5"/>
      <c r="ABQ454" s="6"/>
      <c r="ABR454" s="4"/>
      <c r="ABS454" s="4"/>
      <c r="ABT454" s="4"/>
      <c r="ABU454" s="4"/>
      <c r="ABV454" s="4"/>
      <c r="ABW454" s="5"/>
      <c r="ABX454" s="6"/>
      <c r="ABY454" s="4"/>
      <c r="ABZ454" s="4"/>
      <c r="ACA454" s="4"/>
      <c r="ACB454" s="4"/>
      <c r="ACC454" s="4"/>
      <c r="ACD454" s="5"/>
      <c r="ACE454" s="6"/>
      <c r="ACF454" s="4"/>
      <c r="ACG454" s="4"/>
      <c r="ACH454" s="4"/>
      <c r="ACI454" s="4"/>
      <c r="ACJ454" s="4"/>
      <c r="ACK454" s="5"/>
      <c r="ACL454" s="6"/>
      <c r="ACM454" s="4"/>
      <c r="ACN454" s="4"/>
      <c r="ACO454" s="4"/>
      <c r="ACP454" s="4"/>
      <c r="ACQ454" s="4"/>
      <c r="ACR454" s="5"/>
      <c r="ACS454" s="6"/>
      <c r="ACT454" s="4"/>
      <c r="ACU454" s="4"/>
      <c r="ACV454" s="4"/>
      <c r="ACW454" s="4"/>
      <c r="ACX454" s="4"/>
      <c r="ACY454" s="5"/>
    </row>
    <row r="455" spans="2:805" x14ac:dyDescent="0.25">
      <c r="B455" s="29">
        <v>10039872</v>
      </c>
      <c r="C455" s="57">
        <v>70</v>
      </c>
      <c r="D455" t="s">
        <v>3729</v>
      </c>
      <c r="E455" s="35" t="s">
        <v>127</v>
      </c>
      <c r="F455" s="23">
        <v>0</v>
      </c>
      <c r="I455">
        <v>1</v>
      </c>
      <c r="J455" s="19">
        <v>39344</v>
      </c>
      <c r="K455" s="19" t="s">
        <v>1197</v>
      </c>
      <c r="L455" s="19" t="s">
        <v>1198</v>
      </c>
      <c r="Q455">
        <v>1</v>
      </c>
      <c r="S455">
        <v>1</v>
      </c>
      <c r="V455">
        <v>1</v>
      </c>
      <c r="AO455">
        <v>1</v>
      </c>
      <c r="AY455">
        <v>1</v>
      </c>
      <c r="EO455">
        <v>1</v>
      </c>
      <c r="IY455">
        <v>1</v>
      </c>
      <c r="LL455" s="6" t="s">
        <v>1775</v>
      </c>
      <c r="LM455" s="4"/>
      <c r="LN455" s="4"/>
      <c r="LO455" s="4" t="s">
        <v>1578</v>
      </c>
      <c r="LP455" s="8">
        <v>39322</v>
      </c>
      <c r="LQ455" s="8">
        <v>39322</v>
      </c>
      <c r="LR455" s="5"/>
      <c r="LS455" s="4" t="s">
        <v>1800</v>
      </c>
      <c r="LT455" s="4" t="s">
        <v>1800</v>
      </c>
      <c r="LU455" s="4"/>
      <c r="LV455" s="4" t="s">
        <v>1770</v>
      </c>
      <c r="LW455" s="8">
        <v>39322</v>
      </c>
      <c r="LX455" s="8">
        <v>39325</v>
      </c>
      <c r="LY455" s="5" t="s">
        <v>1201</v>
      </c>
      <c r="LZ455" s="6" t="s">
        <v>3213</v>
      </c>
      <c r="MA455" s="7" t="s">
        <v>2525</v>
      </c>
      <c r="MB455" s="4" t="s">
        <v>1496</v>
      </c>
      <c r="MC455" s="7" t="s">
        <v>1919</v>
      </c>
      <c r="MD455" s="8">
        <v>39348</v>
      </c>
      <c r="ME455" s="8">
        <v>39350</v>
      </c>
      <c r="MF455" s="8"/>
      <c r="MG455" s="5"/>
      <c r="MH455" s="6"/>
      <c r="MI455" s="4"/>
      <c r="MJ455" s="4"/>
      <c r="MK455" s="4"/>
      <c r="ML455" s="4"/>
      <c r="MM455" s="4"/>
      <c r="MN455" s="5"/>
      <c r="MO455" s="6"/>
      <c r="MP455" s="4"/>
      <c r="MQ455" s="4"/>
      <c r="MR455" s="4"/>
      <c r="MS455" s="4"/>
      <c r="MT455" s="4"/>
      <c r="MU455" s="5"/>
      <c r="MV455" s="6"/>
      <c r="MW455" s="4"/>
      <c r="MX455" s="4"/>
      <c r="MY455" s="4"/>
      <c r="MZ455" s="4"/>
      <c r="NA455" s="4"/>
      <c r="NB455" s="5"/>
      <c r="NC455" s="6" t="s">
        <v>1372</v>
      </c>
      <c r="ND455" s="4" t="s">
        <v>1372</v>
      </c>
      <c r="NE455" s="7" t="s">
        <v>1373</v>
      </c>
      <c r="NF455" s="7" t="s">
        <v>1578</v>
      </c>
      <c r="NG455" s="8">
        <v>39322</v>
      </c>
      <c r="NH455" s="8">
        <v>39322</v>
      </c>
      <c r="NI455" s="5" t="s">
        <v>1332</v>
      </c>
      <c r="NJ455" s="6" t="s">
        <v>1706</v>
      </c>
      <c r="NK455" s="4" t="s">
        <v>1707</v>
      </c>
      <c r="NL455" s="4"/>
      <c r="NM455" s="4"/>
      <c r="NN455" s="8">
        <v>39303</v>
      </c>
      <c r="NO455" s="4"/>
      <c r="NP455" s="5" t="s">
        <v>1335</v>
      </c>
      <c r="NQ455" s="6" t="s">
        <v>3576</v>
      </c>
      <c r="NR455" s="4" t="s">
        <v>1815</v>
      </c>
      <c r="NS455" s="4" t="s">
        <v>1931</v>
      </c>
      <c r="NT455" s="7" t="s">
        <v>1579</v>
      </c>
      <c r="NU455" s="8">
        <v>39332</v>
      </c>
      <c r="NV455" s="8">
        <v>39339</v>
      </c>
      <c r="NW455" s="5" t="s">
        <v>1203</v>
      </c>
      <c r="NX455" s="6" t="s">
        <v>1467</v>
      </c>
      <c r="NY455" s="4" t="s">
        <v>1255</v>
      </c>
      <c r="NZ455" s="4"/>
      <c r="OA455" s="4" t="s">
        <v>1469</v>
      </c>
      <c r="OB455" s="8">
        <v>39323</v>
      </c>
      <c r="OC455" s="8">
        <v>39330</v>
      </c>
      <c r="OD455" s="5" t="s">
        <v>1336</v>
      </c>
      <c r="OE455" s="6" t="s">
        <v>1368</v>
      </c>
      <c r="OF455" s="4" t="s">
        <v>1369</v>
      </c>
      <c r="OG455" s="4" t="s">
        <v>1370</v>
      </c>
      <c r="OH455" s="4" t="s">
        <v>1770</v>
      </c>
      <c r="OI455" s="8">
        <v>39341</v>
      </c>
      <c r="OJ455" s="8">
        <v>39344</v>
      </c>
      <c r="OK455" s="5" t="s">
        <v>1337</v>
      </c>
      <c r="OL455" s="6"/>
      <c r="OM455" s="4"/>
      <c r="ON455" s="4"/>
      <c r="OO455" s="4"/>
      <c r="OP455" s="4"/>
      <c r="OQ455" s="4"/>
      <c r="OR455" s="5"/>
      <c r="OS455" s="6" t="s">
        <v>3013</v>
      </c>
      <c r="OT455" s="4" t="s">
        <v>3013</v>
      </c>
      <c r="OU455" s="4" t="s">
        <v>1565</v>
      </c>
      <c r="OV455" s="7" t="s">
        <v>1578</v>
      </c>
      <c r="OW455" s="8">
        <v>39327</v>
      </c>
      <c r="OX455" s="8">
        <v>39327</v>
      </c>
      <c r="OY455" s="5"/>
      <c r="OZ455" s="6"/>
      <c r="PA455" s="4"/>
      <c r="PB455" s="4"/>
      <c r="PC455" s="4"/>
      <c r="PD455" s="4"/>
      <c r="PE455" s="4"/>
      <c r="PF455" s="5"/>
      <c r="PG455" s="6"/>
      <c r="PH455" s="4"/>
      <c r="PI455" s="4"/>
      <c r="PJ455" s="4"/>
      <c r="PK455" s="4"/>
      <c r="PL455" s="4"/>
      <c r="PM455" s="5"/>
      <c r="PN455" s="6"/>
      <c r="PO455" s="4"/>
      <c r="PP455" s="4"/>
      <c r="PQ455" s="4"/>
      <c r="PR455" s="4"/>
      <c r="PS455" s="4"/>
      <c r="PT455" s="5"/>
      <c r="PU455" s="6" t="s">
        <v>1999</v>
      </c>
      <c r="PV455" s="4" t="s">
        <v>2000</v>
      </c>
      <c r="PW455" s="4" t="s">
        <v>1565</v>
      </c>
      <c r="PX455" s="7" t="s">
        <v>1578</v>
      </c>
      <c r="PY455" s="8">
        <v>39303</v>
      </c>
      <c r="PZ455" s="8">
        <v>39303</v>
      </c>
      <c r="QA455" s="5" t="s">
        <v>1475</v>
      </c>
      <c r="QB455" s="6" t="s">
        <v>2399</v>
      </c>
      <c r="QC455" s="4" t="s">
        <v>1495</v>
      </c>
      <c r="QD455" s="4" t="s">
        <v>1933</v>
      </c>
      <c r="QE455" s="4"/>
      <c r="QF455" s="8">
        <v>39327</v>
      </c>
      <c r="QG455" s="4"/>
      <c r="QH455" s="5" t="s">
        <v>1476</v>
      </c>
      <c r="QI455" s="6"/>
      <c r="QJ455" s="4"/>
      <c r="QK455" s="4"/>
      <c r="QL455" s="4"/>
      <c r="QM455" s="4"/>
      <c r="QN455" s="4"/>
      <c r="QO455" s="5"/>
      <c r="QP455" s="6"/>
      <c r="QQ455" s="4"/>
      <c r="QR455" s="4"/>
      <c r="QS455" s="4"/>
      <c r="QT455" s="4"/>
      <c r="QU455" s="4"/>
      <c r="QV455" s="5"/>
      <c r="QW455" s="6" t="s">
        <v>1716</v>
      </c>
      <c r="QX455" s="4" t="s">
        <v>1874</v>
      </c>
      <c r="QY455" s="4"/>
      <c r="QZ455" s="4" t="s">
        <v>1717</v>
      </c>
      <c r="RA455" s="8">
        <v>39339</v>
      </c>
      <c r="RB455" s="8">
        <v>39343</v>
      </c>
      <c r="RC455" s="5" t="s">
        <v>1478</v>
      </c>
      <c r="RD455" s="6"/>
      <c r="RE455" s="4"/>
      <c r="RF455" s="4"/>
      <c r="RG455" s="4"/>
      <c r="RH455" s="4"/>
      <c r="RI455" s="4"/>
      <c r="RJ455" s="5"/>
      <c r="RK455" s="6"/>
      <c r="RL455" s="4"/>
      <c r="RM455" s="4"/>
      <c r="RN455" s="4"/>
      <c r="RO455" s="4"/>
      <c r="RP455" s="4"/>
      <c r="RQ455" s="5"/>
      <c r="RR455" s="6"/>
      <c r="RS455" s="4"/>
      <c r="RT455" s="4"/>
      <c r="RU455" s="4"/>
      <c r="RV455" s="4"/>
      <c r="RW455" s="4"/>
      <c r="RX455" s="5"/>
      <c r="RY455" s="6"/>
      <c r="RZ455" s="4"/>
      <c r="SA455" s="4"/>
      <c r="SB455" s="4"/>
      <c r="SC455" s="4"/>
      <c r="SD455" s="4"/>
      <c r="SE455" s="5"/>
      <c r="SF455" s="6"/>
      <c r="SG455" s="4"/>
      <c r="SH455" s="4"/>
      <c r="SI455" s="4"/>
      <c r="SJ455" s="4"/>
      <c r="SK455" s="4"/>
      <c r="SL455" s="5"/>
      <c r="SM455" s="6"/>
      <c r="SN455" s="4"/>
      <c r="SO455" s="4"/>
      <c r="SP455" s="4"/>
      <c r="SQ455" s="4"/>
      <c r="SR455" s="4"/>
      <c r="SS455" s="5"/>
      <c r="ST455" s="6"/>
      <c r="SU455" s="4"/>
      <c r="SV455" s="4"/>
      <c r="SW455" s="4"/>
      <c r="SX455" s="4"/>
      <c r="SY455" s="4"/>
      <c r="SZ455" s="5"/>
      <c r="TA455" s="6" t="s">
        <v>1364</v>
      </c>
      <c r="TB455" s="4" t="s">
        <v>1365</v>
      </c>
      <c r="TC455" s="4" t="s">
        <v>1366</v>
      </c>
      <c r="TD455" s="7" t="s">
        <v>1578</v>
      </c>
      <c r="TE455" s="8">
        <v>39322</v>
      </c>
      <c r="TF455" s="8">
        <v>39322</v>
      </c>
      <c r="TG455" s="5" t="s">
        <v>1479</v>
      </c>
      <c r="TH455" s="6"/>
      <c r="TI455" s="4"/>
      <c r="TJ455" s="4"/>
      <c r="TK455" s="4"/>
      <c r="TL455" s="4"/>
      <c r="TM455" s="4"/>
      <c r="TN455" s="5"/>
      <c r="TO455" s="6" t="s">
        <v>2200</v>
      </c>
      <c r="TP455" s="4" t="s">
        <v>2201</v>
      </c>
      <c r="TQ455" s="4" t="s">
        <v>1677</v>
      </c>
      <c r="TR455" s="7" t="s">
        <v>1578</v>
      </c>
      <c r="TS455" s="8">
        <v>39322</v>
      </c>
      <c r="TT455" s="8">
        <v>39322</v>
      </c>
      <c r="TU455" s="5" t="s">
        <v>1480</v>
      </c>
      <c r="TV455" s="6"/>
      <c r="TW455" s="4"/>
      <c r="TX455" s="4"/>
      <c r="TY455" s="4"/>
      <c r="TZ455" s="4"/>
      <c r="UA455" s="4"/>
      <c r="UB455" s="5"/>
      <c r="UC455" s="6"/>
      <c r="UD455" s="4"/>
      <c r="UE455" s="4"/>
      <c r="UF455" s="4"/>
      <c r="UG455" s="4"/>
      <c r="UH455" s="4"/>
      <c r="UI455" s="5"/>
      <c r="UJ455" s="6"/>
      <c r="UK455" s="4"/>
      <c r="UL455" s="4"/>
      <c r="UM455" s="4"/>
      <c r="UN455" s="4"/>
      <c r="UO455" s="4"/>
      <c r="UP455" s="5"/>
      <c r="UQ455" s="6"/>
      <c r="UR455" s="4"/>
      <c r="US455" s="4"/>
      <c r="UT455" s="4"/>
      <c r="UU455" s="4"/>
      <c r="UV455" s="4"/>
      <c r="UW455" s="5"/>
      <c r="UX455" s="6" t="s">
        <v>1470</v>
      </c>
      <c r="UY455" s="4" t="s">
        <v>1618</v>
      </c>
      <c r="UZ455" s="4" t="s">
        <v>1619</v>
      </c>
      <c r="VA455" s="7" t="s">
        <v>1578</v>
      </c>
      <c r="VB455" s="8">
        <v>39328</v>
      </c>
      <c r="VC455" s="8">
        <v>39328</v>
      </c>
      <c r="VD455" s="5" t="s">
        <v>1481</v>
      </c>
      <c r="VE455" s="6" t="s">
        <v>2803</v>
      </c>
      <c r="VF455" s="4" t="s">
        <v>3260</v>
      </c>
      <c r="VG455" s="4" t="s">
        <v>1494</v>
      </c>
      <c r="VH455" s="4"/>
      <c r="VI455" s="8">
        <v>39338</v>
      </c>
      <c r="VJ455" s="4"/>
      <c r="VK455" s="5"/>
      <c r="VL455" s="6" t="s">
        <v>1374</v>
      </c>
      <c r="VM455" s="4" t="s">
        <v>2286</v>
      </c>
      <c r="VN455" s="4"/>
      <c r="VO455" s="4" t="s">
        <v>1605</v>
      </c>
      <c r="VP455" s="8">
        <v>39346</v>
      </c>
      <c r="VQ455" s="8">
        <v>39349</v>
      </c>
      <c r="VR455" s="5" t="s">
        <v>1351</v>
      </c>
      <c r="VS455" s="6"/>
      <c r="VT455" s="4"/>
      <c r="VU455" s="4"/>
      <c r="VV455" s="4"/>
      <c r="VW455" s="4"/>
      <c r="VX455" s="4"/>
      <c r="VY455" s="5"/>
      <c r="VZ455" s="6" t="s">
        <v>2434</v>
      </c>
      <c r="WA455" s="4" t="s">
        <v>3171</v>
      </c>
      <c r="WB455" s="4" t="s">
        <v>1599</v>
      </c>
      <c r="WC455" s="4"/>
      <c r="WD455" s="8">
        <v>39335</v>
      </c>
      <c r="WE455" s="4"/>
      <c r="WF455" s="5" t="s">
        <v>1353</v>
      </c>
      <c r="WG455" s="6"/>
      <c r="WH455" s="4"/>
      <c r="WI455" s="4"/>
      <c r="WJ455" s="4"/>
      <c r="WK455" s="4"/>
      <c r="WL455" s="4"/>
      <c r="WM455" s="5"/>
      <c r="WN455" s="6"/>
      <c r="WO455" s="4"/>
      <c r="WP455" s="4"/>
      <c r="WQ455" s="4"/>
      <c r="WR455" s="4"/>
      <c r="WS455" s="4"/>
      <c r="WT455" s="5"/>
      <c r="WU455" s="6"/>
      <c r="WV455" s="4"/>
      <c r="WW455" s="4"/>
      <c r="WX455" s="4"/>
      <c r="WY455" s="4"/>
      <c r="WZ455" s="4"/>
      <c r="XA455" s="5"/>
      <c r="XB455" s="6"/>
      <c r="XC455" s="4"/>
      <c r="XD455" s="4"/>
      <c r="XE455" s="4"/>
      <c r="XF455" s="4"/>
      <c r="XG455" s="4"/>
      <c r="XH455" s="5"/>
      <c r="XI455" s="6"/>
      <c r="XJ455" s="4"/>
      <c r="XK455" s="4"/>
      <c r="XL455" s="4"/>
      <c r="XM455" s="4"/>
      <c r="XN455" s="4"/>
      <c r="XO455" s="5"/>
      <c r="XP455" s="6"/>
      <c r="XQ455" s="4"/>
      <c r="XR455" s="4"/>
      <c r="XS455" s="4"/>
      <c r="XT455" s="4"/>
      <c r="XU455" s="4"/>
      <c r="XV455" s="5"/>
      <c r="XW455" s="6"/>
      <c r="XX455" s="4"/>
      <c r="XY455" s="4"/>
      <c r="XZ455" s="4"/>
      <c r="YA455" s="4"/>
      <c r="YB455" s="4"/>
      <c r="YC455" s="5"/>
      <c r="YD455" s="6"/>
      <c r="YE455" s="4"/>
      <c r="YF455" s="4"/>
      <c r="YG455" s="4"/>
      <c r="YH455" s="4"/>
      <c r="YI455" s="4"/>
      <c r="YJ455" s="5"/>
      <c r="YK455" s="6" t="s">
        <v>3465</v>
      </c>
      <c r="YL455" s="7" t="s">
        <v>3506</v>
      </c>
      <c r="YM455" s="4"/>
      <c r="YN455" s="4"/>
      <c r="YO455" s="4"/>
      <c r="YP455" s="4"/>
      <c r="YQ455" s="5"/>
      <c r="YR455" s="6"/>
      <c r="YS455" s="4"/>
      <c r="YT455" s="4"/>
      <c r="YU455" s="4"/>
      <c r="YV455" s="4"/>
      <c r="YW455" s="4"/>
      <c r="YX455" s="5"/>
      <c r="YY455" s="6"/>
      <c r="YZ455" s="4"/>
      <c r="ZA455" s="4"/>
      <c r="ZB455" s="4"/>
      <c r="ZC455" s="4"/>
      <c r="ZD455" s="4"/>
      <c r="ZE455" s="5"/>
      <c r="ZF455" s="6"/>
      <c r="ZG455" s="4"/>
      <c r="ZH455" s="4"/>
      <c r="ZI455" s="4"/>
      <c r="ZJ455" s="4"/>
      <c r="ZK455" s="4"/>
      <c r="ZL455" s="5"/>
      <c r="ZM455" s="6" t="s">
        <v>3288</v>
      </c>
      <c r="ZN455" s="4" t="s">
        <v>3289</v>
      </c>
      <c r="ZO455" s="4" t="s">
        <v>1923</v>
      </c>
      <c r="ZP455" s="7" t="s">
        <v>1377</v>
      </c>
      <c r="ZQ455" s="8">
        <v>39322</v>
      </c>
      <c r="ZR455" s="8">
        <v>39326</v>
      </c>
      <c r="ZS455" s="5" t="s">
        <v>1276</v>
      </c>
      <c r="ZT455" s="6"/>
      <c r="ZU455" s="4"/>
      <c r="ZV455" s="4"/>
      <c r="ZW455" s="4"/>
      <c r="ZX455" s="4"/>
      <c r="ZY455" s="4"/>
      <c r="ZZ455" s="5"/>
      <c r="AAA455" s="6"/>
      <c r="AAB455" s="4"/>
      <c r="AAC455" s="4"/>
      <c r="AAD455" s="4"/>
      <c r="AAE455" s="4"/>
      <c r="AAF455" s="4"/>
      <c r="AAG455" s="5"/>
      <c r="AAH455" s="6" t="s">
        <v>3137</v>
      </c>
      <c r="AAI455" s="4" t="s">
        <v>3138</v>
      </c>
      <c r="AAJ455" s="4" t="s">
        <v>1772</v>
      </c>
      <c r="AAK455" s="7" t="s">
        <v>1579</v>
      </c>
      <c r="AAL455" s="8">
        <v>39332</v>
      </c>
      <c r="AAM455" s="8">
        <v>39339</v>
      </c>
      <c r="AAN455" s="5" t="s">
        <v>1277</v>
      </c>
      <c r="AAO455" s="6"/>
      <c r="AAP455" s="4"/>
      <c r="AAQ455" s="4"/>
      <c r="AAR455" s="4"/>
      <c r="AAS455" s="4"/>
      <c r="AAT455" s="4"/>
      <c r="AAU455" s="5"/>
      <c r="AAV455" s="6" t="s">
        <v>2859</v>
      </c>
      <c r="AAW455" s="4" t="s">
        <v>2860</v>
      </c>
      <c r="AAX455" s="4" t="s">
        <v>1118</v>
      </c>
      <c r="AAY455" s="7" t="s">
        <v>1690</v>
      </c>
      <c r="AAZ455" s="8">
        <v>39325</v>
      </c>
      <c r="ABA455" s="8">
        <v>39326</v>
      </c>
      <c r="ABB455" s="5" t="s">
        <v>1476</v>
      </c>
      <c r="ABC455" s="6" t="s">
        <v>1075</v>
      </c>
      <c r="ABD455" s="4" t="s">
        <v>3683</v>
      </c>
      <c r="ABE455" s="4"/>
      <c r="ABF455" s="4" t="s">
        <v>1770</v>
      </c>
      <c r="ABG455" s="8">
        <v>39322</v>
      </c>
      <c r="ABH455" s="8">
        <v>39325</v>
      </c>
      <c r="ABI455" s="5" t="s">
        <v>1410</v>
      </c>
      <c r="ABJ455" s="6" t="s">
        <v>3217</v>
      </c>
      <c r="ABK455" s="4" t="s">
        <v>1498</v>
      </c>
      <c r="ABL455" s="4" t="s">
        <v>1499</v>
      </c>
      <c r="ABM455" s="7" t="s">
        <v>1500</v>
      </c>
      <c r="ABN455" s="8">
        <v>39322</v>
      </c>
      <c r="ABO455" s="8">
        <v>39326</v>
      </c>
      <c r="ABP455" s="5" t="s">
        <v>1411</v>
      </c>
      <c r="ABQ455" s="6"/>
      <c r="ABR455" s="4"/>
      <c r="ABS455" s="4"/>
      <c r="ABT455" s="4"/>
      <c r="ABU455" s="4"/>
      <c r="ABV455" s="4"/>
      <c r="ABW455" s="5"/>
      <c r="ABX455" s="6"/>
      <c r="ABY455" s="4"/>
      <c r="ABZ455" s="4"/>
      <c r="ACA455" s="4"/>
      <c r="ACB455" s="4"/>
      <c r="ACC455" s="4"/>
      <c r="ACD455" s="5"/>
      <c r="ACE455" s="6"/>
      <c r="ACF455" s="4"/>
      <c r="ACG455" s="4"/>
      <c r="ACH455" s="4"/>
      <c r="ACI455" s="4"/>
      <c r="ACJ455" s="4"/>
      <c r="ACK455" s="5"/>
      <c r="ACL455" s="6"/>
      <c r="ACM455" s="4"/>
      <c r="ACN455" s="4"/>
      <c r="ACO455" s="4"/>
      <c r="ACP455" s="4"/>
      <c r="ACQ455" s="4"/>
      <c r="ACR455" s="5"/>
      <c r="ACS455" s="6" t="s">
        <v>1412</v>
      </c>
      <c r="ACT455" s="4" t="s">
        <v>1251</v>
      </c>
      <c r="ACU455" s="4" t="s">
        <v>1922</v>
      </c>
      <c r="ACV455" s="7" t="s">
        <v>1578</v>
      </c>
      <c r="ACW455" s="8">
        <v>39342</v>
      </c>
      <c r="ACX455" s="8">
        <v>39342</v>
      </c>
      <c r="ACY455" s="5" t="s">
        <v>1476</v>
      </c>
      <c r="ADD455" t="s">
        <v>1353</v>
      </c>
      <c r="ADG455" t="s">
        <v>1289</v>
      </c>
      <c r="ADJ455" t="s">
        <v>1288</v>
      </c>
      <c r="ADM455" t="s">
        <v>1336</v>
      </c>
      <c r="ADN455" t="s">
        <v>1413</v>
      </c>
      <c r="ADS455" t="s">
        <v>1415</v>
      </c>
      <c r="ADU455" t="s">
        <v>1287</v>
      </c>
      <c r="ADY455" t="s">
        <v>1416</v>
      </c>
    </row>
    <row r="456" spans="2:805" x14ac:dyDescent="0.25">
      <c r="J456" s="12"/>
      <c r="K456" s="12"/>
      <c r="L456" s="12"/>
      <c r="LL456" s="6" t="s">
        <v>1776</v>
      </c>
      <c r="LM456" s="4" t="s">
        <v>1694</v>
      </c>
      <c r="LN456" s="4"/>
      <c r="LO456" s="4" t="s">
        <v>1919</v>
      </c>
      <c r="LP456" s="8">
        <v>39323</v>
      </c>
      <c r="LQ456" s="8">
        <v>39325</v>
      </c>
      <c r="LR456" s="5"/>
      <c r="LS456" s="6"/>
      <c r="LT456" s="4"/>
      <c r="LU456" s="4"/>
      <c r="LV456" s="4"/>
      <c r="LW456" s="4"/>
      <c r="LX456" s="4"/>
      <c r="LY456" s="5"/>
      <c r="LZ456" s="6" t="s">
        <v>3213</v>
      </c>
      <c r="MA456" s="7" t="s">
        <v>2525</v>
      </c>
      <c r="MB456" s="4" t="s">
        <v>1497</v>
      </c>
      <c r="MC456" s="7" t="s">
        <v>1941</v>
      </c>
      <c r="MD456" s="8">
        <v>39323</v>
      </c>
      <c r="ME456" s="8">
        <v>39339</v>
      </c>
      <c r="MF456" s="8"/>
      <c r="MG456" s="5"/>
      <c r="MH456" s="6"/>
      <c r="MI456" s="4"/>
      <c r="MJ456" s="4"/>
      <c r="MK456" s="4"/>
      <c r="ML456" s="4"/>
      <c r="MM456" s="4"/>
      <c r="MN456" s="5"/>
      <c r="MO456" s="6"/>
      <c r="MP456" s="4"/>
      <c r="MQ456" s="4"/>
      <c r="MR456" s="4"/>
      <c r="MS456" s="4"/>
      <c r="MT456" s="4"/>
      <c r="MU456" s="5"/>
      <c r="MV456" s="6"/>
      <c r="MW456" s="4"/>
      <c r="MX456" s="4"/>
      <c r="MY456" s="4"/>
      <c r="MZ456" s="4"/>
      <c r="NA456" s="4"/>
      <c r="NB456" s="5"/>
      <c r="NC456" s="6" t="s">
        <v>1604</v>
      </c>
      <c r="ND456" s="7" t="s">
        <v>1604</v>
      </c>
      <c r="NE456" s="7" t="s">
        <v>1606</v>
      </c>
      <c r="NF456" s="7" t="s">
        <v>1942</v>
      </c>
      <c r="NG456" s="8">
        <v>39326</v>
      </c>
      <c r="NH456" s="8">
        <v>39341</v>
      </c>
      <c r="NI456" s="5" t="s">
        <v>1332</v>
      </c>
      <c r="NJ456" s="6" t="s">
        <v>2499</v>
      </c>
      <c r="NK456" s="4" t="s">
        <v>2500</v>
      </c>
      <c r="NL456" s="4" t="s">
        <v>1252</v>
      </c>
      <c r="NM456" s="7" t="s">
        <v>1578</v>
      </c>
      <c r="NN456" s="8">
        <v>39322</v>
      </c>
      <c r="NO456" s="8">
        <v>39322</v>
      </c>
      <c r="NP456" s="5" t="s">
        <v>1335</v>
      </c>
      <c r="NQ456" s="6"/>
      <c r="NR456" s="4"/>
      <c r="NS456" s="4"/>
      <c r="NT456" s="4"/>
      <c r="NU456" s="4"/>
      <c r="NV456" s="4"/>
      <c r="NW456" s="5"/>
      <c r="NX456" s="6" t="s">
        <v>3681</v>
      </c>
      <c r="NY456" s="4" t="s">
        <v>3681</v>
      </c>
      <c r="NZ456" s="4"/>
      <c r="OA456" s="4" t="s">
        <v>1254</v>
      </c>
      <c r="OB456" s="8">
        <v>39330</v>
      </c>
      <c r="OC456" s="8">
        <v>39339</v>
      </c>
      <c r="OD456" s="5" t="s">
        <v>1336</v>
      </c>
      <c r="OE456" s="6"/>
      <c r="OF456" s="4"/>
      <c r="OG456" s="4"/>
      <c r="OH456" s="4"/>
      <c r="OI456" s="4"/>
      <c r="OJ456" s="4"/>
      <c r="OK456" s="5"/>
      <c r="OL456" s="6"/>
      <c r="OM456" s="4"/>
      <c r="ON456" s="4"/>
      <c r="OO456" s="4"/>
      <c r="OP456" s="4"/>
      <c r="OQ456" s="4"/>
      <c r="OR456" s="5"/>
      <c r="OS456" s="6"/>
      <c r="OT456" s="4"/>
      <c r="OU456" s="4"/>
      <c r="OV456" s="4"/>
      <c r="OW456" s="4"/>
      <c r="OX456" s="4"/>
      <c r="OY456" s="5"/>
      <c r="OZ456" s="6"/>
      <c r="PA456" s="4"/>
      <c r="PB456" s="4"/>
      <c r="PC456" s="4"/>
      <c r="PD456" s="4"/>
      <c r="PE456" s="4"/>
      <c r="PF456" s="5"/>
      <c r="PG456" s="6"/>
      <c r="PH456" s="4"/>
      <c r="PI456" s="4"/>
      <c r="PJ456" s="4"/>
      <c r="PK456" s="4"/>
      <c r="PL456" s="4"/>
      <c r="PM456" s="5"/>
      <c r="PN456" s="6"/>
      <c r="PO456" s="4"/>
      <c r="PP456" s="4"/>
      <c r="PQ456" s="4"/>
      <c r="PR456" s="4"/>
      <c r="PS456" s="4"/>
      <c r="PT456" s="5"/>
      <c r="PU456" s="6" t="s">
        <v>1999</v>
      </c>
      <c r="PV456" s="4" t="s">
        <v>2000</v>
      </c>
      <c r="PW456" s="4" t="s">
        <v>1565</v>
      </c>
      <c r="PX456" s="4"/>
      <c r="PY456" s="8">
        <v>39344</v>
      </c>
      <c r="PZ456" s="4"/>
      <c r="QA456" s="5"/>
      <c r="QB456" s="6" t="s">
        <v>1891</v>
      </c>
      <c r="QC456" s="4" t="s">
        <v>1892</v>
      </c>
      <c r="QD456" s="4"/>
      <c r="QE456" s="4" t="s">
        <v>1770</v>
      </c>
      <c r="QF456" s="8">
        <v>39336</v>
      </c>
      <c r="QG456" s="8">
        <v>39339</v>
      </c>
      <c r="QH456" s="5" t="s">
        <v>1476</v>
      </c>
      <c r="QI456" s="6"/>
      <c r="QJ456" s="4"/>
      <c r="QK456" s="4"/>
      <c r="QL456" s="4"/>
      <c r="QM456" s="4"/>
      <c r="QN456" s="4"/>
      <c r="QO456" s="5"/>
      <c r="QP456" s="6"/>
      <c r="QQ456" s="4"/>
      <c r="QR456" s="4"/>
      <c r="QS456" s="4"/>
      <c r="QT456" s="4"/>
      <c r="QU456" s="4"/>
      <c r="QV456" s="5"/>
      <c r="QW456" s="6"/>
      <c r="QX456" s="4"/>
      <c r="QY456" s="4"/>
      <c r="QZ456" s="4"/>
      <c r="RA456" s="4"/>
      <c r="RB456" s="4"/>
      <c r="RC456" s="5"/>
      <c r="RD456" s="6"/>
      <c r="RE456" s="4"/>
      <c r="RF456" s="4"/>
      <c r="RG456" s="4"/>
      <c r="RH456" s="4"/>
      <c r="RI456" s="4"/>
      <c r="RJ456" s="5"/>
      <c r="RK456" s="6"/>
      <c r="RL456" s="4"/>
      <c r="RM456" s="4"/>
      <c r="RN456" s="4"/>
      <c r="RO456" s="4"/>
      <c r="RP456" s="4"/>
      <c r="RQ456" s="5"/>
      <c r="RR456" s="6"/>
      <c r="RS456" s="4"/>
      <c r="RT456" s="4"/>
      <c r="RU456" s="4"/>
      <c r="RV456" s="4"/>
      <c r="RW456" s="4"/>
      <c r="RX456" s="5"/>
      <c r="RY456" s="6"/>
      <c r="RZ456" s="4"/>
      <c r="SA456" s="4"/>
      <c r="SB456" s="4"/>
      <c r="SC456" s="4"/>
      <c r="SD456" s="4"/>
      <c r="SE456" s="5"/>
      <c r="SF456" s="6"/>
      <c r="SG456" s="4"/>
      <c r="SH456" s="4"/>
      <c r="SI456" s="4"/>
      <c r="SJ456" s="4"/>
      <c r="SK456" s="4"/>
      <c r="SL456" s="5"/>
      <c r="SM456" s="6"/>
      <c r="SN456" s="4"/>
      <c r="SO456" s="4"/>
      <c r="SP456" s="4"/>
      <c r="SQ456" s="4"/>
      <c r="SR456" s="4"/>
      <c r="SS456" s="5"/>
      <c r="ST456" s="6"/>
      <c r="SU456" s="4"/>
      <c r="SV456" s="4"/>
      <c r="SW456" s="4"/>
      <c r="SX456" s="4"/>
      <c r="SY456" s="4"/>
      <c r="SZ456" s="5"/>
      <c r="TA456" s="6"/>
      <c r="TB456" s="4"/>
      <c r="TC456" s="4"/>
      <c r="TD456" s="4"/>
      <c r="TE456" s="4"/>
      <c r="TF456" s="4"/>
      <c r="TG456" s="5"/>
      <c r="TH456" s="6"/>
      <c r="TI456" s="4"/>
      <c r="TJ456" s="4"/>
      <c r="TK456" s="4"/>
      <c r="TL456" s="4"/>
      <c r="TM456" s="4"/>
      <c r="TN456" s="5"/>
      <c r="TO456" s="6"/>
      <c r="TP456" s="4"/>
      <c r="TQ456" s="4"/>
      <c r="TR456" s="4"/>
      <c r="TS456" s="4"/>
      <c r="TT456" s="4"/>
      <c r="TU456" s="5"/>
      <c r="TV456" s="6"/>
      <c r="TW456" s="4"/>
      <c r="TX456" s="4"/>
      <c r="TY456" s="4"/>
      <c r="TZ456" s="4"/>
      <c r="UA456" s="4"/>
      <c r="UB456" s="5"/>
      <c r="UC456" s="6"/>
      <c r="UD456" s="4"/>
      <c r="UE456" s="4"/>
      <c r="UF456" s="4"/>
      <c r="UG456" s="4"/>
      <c r="UH456" s="4"/>
      <c r="UI456" s="5"/>
      <c r="UJ456" s="6"/>
      <c r="UK456" s="4"/>
      <c r="UL456" s="4"/>
      <c r="UM456" s="4"/>
      <c r="UN456" s="4"/>
      <c r="UO456" s="4"/>
      <c r="UP456" s="5"/>
      <c r="UQ456" s="6"/>
      <c r="UR456" s="4"/>
      <c r="US456" s="4"/>
      <c r="UT456" s="4"/>
      <c r="UU456" s="4"/>
      <c r="UV456" s="4"/>
      <c r="UW456" s="5"/>
      <c r="UX456" s="6" t="s">
        <v>3565</v>
      </c>
      <c r="UY456" s="4" t="s">
        <v>3565</v>
      </c>
      <c r="UZ456" s="4" t="s">
        <v>1375</v>
      </c>
      <c r="VA456" s="7" t="s">
        <v>1500</v>
      </c>
      <c r="VB456" s="8">
        <v>39332</v>
      </c>
      <c r="VC456" s="8">
        <v>39336</v>
      </c>
      <c r="VD456" s="5" t="s">
        <v>1482</v>
      </c>
      <c r="VE456" s="15" t="s">
        <v>1492</v>
      </c>
      <c r="VF456" s="12" t="s">
        <v>1493</v>
      </c>
      <c r="VG456" s="4"/>
      <c r="VH456" s="4" t="s">
        <v>1678</v>
      </c>
      <c r="VI456" s="8">
        <v>39332</v>
      </c>
      <c r="VJ456" s="8">
        <v>39337</v>
      </c>
      <c r="VK456" s="5"/>
      <c r="VL456" s="6" t="s">
        <v>1426</v>
      </c>
      <c r="VM456" s="4" t="s">
        <v>2798</v>
      </c>
      <c r="VN456" s="4" t="s">
        <v>1764</v>
      </c>
      <c r="VO456" s="7" t="s">
        <v>1578</v>
      </c>
      <c r="VP456" s="8">
        <v>39331</v>
      </c>
      <c r="VQ456" s="8">
        <v>39331</v>
      </c>
      <c r="VR456" s="5" t="s">
        <v>1351</v>
      </c>
      <c r="VS456" s="6"/>
      <c r="VT456" s="4"/>
      <c r="VU456" s="4"/>
      <c r="VV456" s="4"/>
      <c r="VW456" s="4"/>
      <c r="VX456" s="4"/>
      <c r="VY456" s="5"/>
      <c r="VZ456" s="6"/>
      <c r="WA456" s="4"/>
      <c r="WB456" s="4"/>
      <c r="WC456" s="4"/>
      <c r="WD456" s="4"/>
      <c r="WE456" s="4"/>
      <c r="WF456" s="5"/>
      <c r="WG456" s="6"/>
      <c r="WH456" s="4"/>
      <c r="WI456" s="4"/>
      <c r="WJ456" s="4"/>
      <c r="WK456" s="4"/>
      <c r="WL456" s="4"/>
      <c r="WM456" s="5"/>
      <c r="WN456" s="6"/>
      <c r="WO456" s="4"/>
      <c r="WP456" s="4"/>
      <c r="WQ456" s="4"/>
      <c r="WR456" s="4"/>
      <c r="WS456" s="4"/>
      <c r="WT456" s="5"/>
      <c r="WU456" s="6"/>
      <c r="WV456" s="4"/>
      <c r="WW456" s="4"/>
      <c r="WX456" s="4"/>
      <c r="WY456" s="4"/>
      <c r="WZ456" s="4"/>
      <c r="XA456" s="5"/>
      <c r="XB456" s="6"/>
      <c r="XC456" s="4"/>
      <c r="XD456" s="4"/>
      <c r="XE456" s="4"/>
      <c r="XF456" s="4"/>
      <c r="XG456" s="4"/>
      <c r="XH456" s="5"/>
      <c r="XI456" s="6"/>
      <c r="XJ456" s="4"/>
      <c r="XK456" s="4"/>
      <c r="XL456" s="4"/>
      <c r="XM456" s="4"/>
      <c r="XN456" s="4"/>
      <c r="XO456" s="5"/>
      <c r="XP456" s="6"/>
      <c r="XQ456" s="4"/>
      <c r="XR456" s="4"/>
      <c r="XS456" s="4"/>
      <c r="XT456" s="4"/>
      <c r="XU456" s="4"/>
      <c r="XV456" s="5"/>
      <c r="XW456" s="6"/>
      <c r="XX456" s="4"/>
      <c r="XY456" s="4"/>
      <c r="XZ456" s="4"/>
      <c r="YA456" s="4"/>
      <c r="YB456" s="4"/>
      <c r="YC456" s="5"/>
      <c r="YD456" s="6"/>
      <c r="YE456" s="4"/>
      <c r="YF456" s="4"/>
      <c r="YG456" s="4"/>
      <c r="YH456" s="4"/>
      <c r="YI456" s="4"/>
      <c r="YJ456" s="5"/>
      <c r="YK456" s="6" t="s">
        <v>3105</v>
      </c>
      <c r="YL456" s="4" t="s">
        <v>2671</v>
      </c>
      <c r="YM456" s="4" t="s">
        <v>1565</v>
      </c>
      <c r="YN456" s="7" t="s">
        <v>1578</v>
      </c>
      <c r="YO456" s="8">
        <v>39336</v>
      </c>
      <c r="YP456" s="8">
        <v>39336</v>
      </c>
      <c r="YQ456" s="5" t="s">
        <v>1354</v>
      </c>
      <c r="YR456" s="6"/>
      <c r="YS456" s="4"/>
      <c r="YT456" s="4"/>
      <c r="YU456" s="4"/>
      <c r="YV456" s="4"/>
      <c r="YW456" s="4"/>
      <c r="YX456" s="5"/>
      <c r="YY456" s="6"/>
      <c r="YZ456" s="4"/>
      <c r="ZA456" s="4"/>
      <c r="ZB456" s="4"/>
      <c r="ZC456" s="4"/>
      <c r="ZD456" s="4"/>
      <c r="ZE456" s="5"/>
      <c r="ZF456" s="6"/>
      <c r="ZG456" s="4"/>
      <c r="ZH456" s="4"/>
      <c r="ZI456" s="4"/>
      <c r="ZJ456" s="4"/>
      <c r="ZK456" s="4"/>
      <c r="ZL456" s="5"/>
      <c r="ZM456" s="6"/>
      <c r="ZN456" s="4"/>
      <c r="ZO456" s="4"/>
      <c r="ZP456" s="4"/>
      <c r="ZQ456" s="4"/>
      <c r="ZR456" s="4"/>
      <c r="ZS456" s="5"/>
      <c r="ZT456" s="6"/>
      <c r="ZU456" s="4"/>
      <c r="ZV456" s="4"/>
      <c r="ZW456" s="4"/>
      <c r="ZX456" s="4"/>
      <c r="ZY456" s="4"/>
      <c r="ZZ456" s="5"/>
      <c r="AAA456" s="6"/>
      <c r="AAB456" s="4"/>
      <c r="AAC456" s="4"/>
      <c r="AAD456" s="4"/>
      <c r="AAE456" s="4"/>
      <c r="AAF456" s="4"/>
      <c r="AAG456" s="5"/>
      <c r="AAH456" s="6" t="s">
        <v>3137</v>
      </c>
      <c r="AAI456" s="4" t="s">
        <v>3138</v>
      </c>
      <c r="AAJ456" s="4" t="s">
        <v>1772</v>
      </c>
      <c r="AAK456" s="4" t="s">
        <v>1578</v>
      </c>
      <c r="AAL456" s="8">
        <v>39343</v>
      </c>
      <c r="AAM456" s="8">
        <v>39343</v>
      </c>
      <c r="AAN456" s="5"/>
      <c r="AAO456" s="6"/>
      <c r="AAP456" s="4"/>
      <c r="AAQ456" s="4"/>
      <c r="AAR456" s="4"/>
      <c r="AAS456" s="4"/>
      <c r="AAT456" s="4"/>
      <c r="AAU456" s="5"/>
      <c r="AAV456" s="6"/>
      <c r="AAW456" s="4"/>
      <c r="AAX456" s="4"/>
      <c r="AAY456" s="4"/>
      <c r="AAZ456" s="4"/>
      <c r="ABA456" s="4"/>
      <c r="ABB456" s="5"/>
      <c r="ABC456" s="6" t="s">
        <v>1685</v>
      </c>
      <c r="ABD456" s="4" t="s">
        <v>1735</v>
      </c>
      <c r="ABE456" s="4" t="s">
        <v>1680</v>
      </c>
      <c r="ABF456" s="4"/>
      <c r="ABG456" s="8">
        <v>39331</v>
      </c>
      <c r="ABH456" s="4"/>
      <c r="ABI456" s="5" t="s">
        <v>1475</v>
      </c>
      <c r="ABJ456" s="6" t="s">
        <v>3217</v>
      </c>
      <c r="ABK456" s="4" t="s">
        <v>1498</v>
      </c>
      <c r="ABL456" s="4" t="s">
        <v>1501</v>
      </c>
      <c r="ABM456" s="4"/>
      <c r="ABN456" s="8">
        <v>39330</v>
      </c>
      <c r="ABO456" s="4"/>
      <c r="ABP456" s="5"/>
      <c r="ABQ456" s="6"/>
      <c r="ABR456" s="4"/>
      <c r="ABS456" s="4"/>
      <c r="ABT456" s="4"/>
      <c r="ABU456" s="4"/>
      <c r="ABV456" s="4"/>
      <c r="ABW456" s="5"/>
      <c r="ABX456" s="6"/>
      <c r="ABY456" s="4"/>
      <c r="ABZ456" s="4"/>
      <c r="ACA456" s="4"/>
      <c r="ACB456" s="4"/>
      <c r="ACC456" s="4"/>
      <c r="ACD456" s="5"/>
      <c r="ACE456" s="6"/>
      <c r="ACF456" s="4"/>
      <c r="ACG456" s="4"/>
      <c r="ACH456" s="4"/>
      <c r="ACI456" s="4"/>
      <c r="ACJ456" s="4"/>
      <c r="ACK456" s="5"/>
      <c r="ACL456" s="6"/>
      <c r="ACM456" s="4"/>
      <c r="ACN456" s="4"/>
      <c r="ACO456" s="4"/>
      <c r="ACP456" s="4"/>
      <c r="ACQ456" s="4"/>
      <c r="ACR456" s="5"/>
      <c r="ACS456" s="6"/>
      <c r="ACT456" s="4"/>
      <c r="ACU456" s="4"/>
      <c r="ACV456" s="4"/>
      <c r="ACW456" s="4"/>
      <c r="ACX456" s="4"/>
      <c r="ACY456" s="5"/>
    </row>
    <row r="457" spans="2:805" x14ac:dyDescent="0.25">
      <c r="J457" s="12"/>
      <c r="K457" s="12"/>
      <c r="L457" s="12"/>
      <c r="LL457" s="6" t="s">
        <v>1776</v>
      </c>
      <c r="LM457" s="4" t="s">
        <v>1694</v>
      </c>
      <c r="LN457" s="4"/>
      <c r="LO457" s="4" t="s">
        <v>1919</v>
      </c>
      <c r="LP457" s="8">
        <v>39328</v>
      </c>
      <c r="LQ457" s="8">
        <v>39330</v>
      </c>
      <c r="LR457" s="5" t="s">
        <v>1199</v>
      </c>
      <c r="LS457" s="6"/>
      <c r="LT457" s="4"/>
      <c r="LU457" s="4"/>
      <c r="LV457" s="4"/>
      <c r="LW457" s="4"/>
      <c r="LX457" s="4"/>
      <c r="LY457" s="5"/>
      <c r="LZ457" s="6" t="s">
        <v>1367</v>
      </c>
      <c r="MA457" s="7" t="s">
        <v>1989</v>
      </c>
      <c r="MB457" s="4"/>
      <c r="MC457" s="7" t="s">
        <v>1500</v>
      </c>
      <c r="MD457" s="8">
        <v>39337</v>
      </c>
      <c r="ME457" s="8">
        <v>39341</v>
      </c>
      <c r="MF457" s="8"/>
      <c r="MG457" s="5" t="s">
        <v>1202</v>
      </c>
      <c r="MH457" s="6"/>
      <c r="MI457" s="4"/>
      <c r="MJ457" s="4"/>
      <c r="MK457" s="4"/>
      <c r="ML457" s="4"/>
      <c r="MM457" s="4"/>
      <c r="MN457" s="5"/>
      <c r="MO457" s="6"/>
      <c r="MP457" s="4"/>
      <c r="MQ457" s="4"/>
      <c r="MR457" s="4"/>
      <c r="MS457" s="4"/>
      <c r="MT457" s="4"/>
      <c r="MU457" s="5"/>
      <c r="MV457" s="6"/>
      <c r="MW457" s="4"/>
      <c r="MX457" s="4"/>
      <c r="MY457" s="4"/>
      <c r="MZ457" s="4"/>
      <c r="NA457" s="4"/>
      <c r="NB457" s="5"/>
      <c r="NC457" s="6" t="s">
        <v>3415</v>
      </c>
      <c r="ND457" s="4" t="s">
        <v>3416</v>
      </c>
      <c r="NE457" s="7" t="s">
        <v>1607</v>
      </c>
      <c r="NF457" s="7" t="s">
        <v>1500</v>
      </c>
      <c r="NG457" s="8">
        <v>39322</v>
      </c>
      <c r="NH457" s="8">
        <v>39325</v>
      </c>
      <c r="NI457" s="5" t="s">
        <v>1333</v>
      </c>
      <c r="NJ457" s="6" t="s">
        <v>1817</v>
      </c>
      <c r="NK457" s="4" t="s">
        <v>1517</v>
      </c>
      <c r="NL457" s="4" t="s">
        <v>1864</v>
      </c>
      <c r="NM457" s="7" t="s">
        <v>1635</v>
      </c>
      <c r="NN457" s="8">
        <v>39324</v>
      </c>
      <c r="NO457" s="8">
        <v>39332</v>
      </c>
      <c r="NP457" s="5" t="s">
        <v>1335</v>
      </c>
      <c r="NQ457" s="6"/>
      <c r="NR457" s="4"/>
      <c r="NS457" s="4"/>
      <c r="NT457" s="4"/>
      <c r="NU457" s="4"/>
      <c r="NV457" s="4"/>
      <c r="NW457" s="5"/>
      <c r="NX457" s="6" t="s">
        <v>1304</v>
      </c>
      <c r="NY457" s="4" t="s">
        <v>1304</v>
      </c>
      <c r="NZ457" s="4"/>
      <c r="OA457" s="4" t="s">
        <v>1578</v>
      </c>
      <c r="OB457" s="8">
        <v>39327</v>
      </c>
      <c r="OC457" s="8">
        <v>39327</v>
      </c>
      <c r="OD457" s="5" t="s">
        <v>1336</v>
      </c>
      <c r="OE457" s="6"/>
      <c r="OF457" s="4"/>
      <c r="OG457" s="4"/>
      <c r="OH457" s="4"/>
      <c r="OI457" s="4"/>
      <c r="OJ457" s="4"/>
      <c r="OK457" s="5"/>
      <c r="OL457" s="6"/>
      <c r="OM457" s="4"/>
      <c r="ON457" s="4"/>
      <c r="OO457" s="4"/>
      <c r="OP457" s="4"/>
      <c r="OQ457" s="4"/>
      <c r="OR457" s="5"/>
      <c r="OS457" s="6"/>
      <c r="OT457" s="4"/>
      <c r="OU457" s="4"/>
      <c r="OV457" s="4"/>
      <c r="OW457" s="4"/>
      <c r="OX457" s="4"/>
      <c r="OY457" s="5"/>
      <c r="OZ457" s="6"/>
      <c r="PA457" s="4"/>
      <c r="PB457" s="4"/>
      <c r="PC457" s="4"/>
      <c r="PD457" s="4"/>
      <c r="PE457" s="4"/>
      <c r="PF457" s="5"/>
      <c r="PG457" s="6"/>
      <c r="PH457" s="4"/>
      <c r="PI457" s="4"/>
      <c r="PJ457" s="4"/>
      <c r="PK457" s="4"/>
      <c r="PL457" s="4"/>
      <c r="PM457" s="5"/>
      <c r="PN457" s="6"/>
      <c r="PO457" s="4"/>
      <c r="PP457" s="4"/>
      <c r="PQ457" s="4"/>
      <c r="PR457" s="4"/>
      <c r="PS457" s="4"/>
      <c r="PT457" s="5"/>
      <c r="PU457" s="6"/>
      <c r="PV457" s="4"/>
      <c r="PW457" s="4"/>
      <c r="PX457" s="4"/>
      <c r="PY457" s="4"/>
      <c r="PZ457" s="4"/>
      <c r="QA457" s="5"/>
      <c r="QB457" s="6" t="s">
        <v>1843</v>
      </c>
      <c r="QC457" s="7" t="s">
        <v>1799</v>
      </c>
      <c r="QD457" s="4" t="s">
        <v>1375</v>
      </c>
      <c r="QE457" s="7" t="s">
        <v>1919</v>
      </c>
      <c r="QF457" s="8">
        <v>39324</v>
      </c>
      <c r="QG457" s="8">
        <v>39326</v>
      </c>
      <c r="QH457" s="5"/>
      <c r="QI457" s="6"/>
      <c r="QJ457" s="4"/>
      <c r="QK457" s="4"/>
      <c r="QL457" s="4"/>
      <c r="QM457" s="4"/>
      <c r="QN457" s="4"/>
      <c r="QO457" s="5"/>
      <c r="QP457" s="6"/>
      <c r="QQ457" s="4"/>
      <c r="QR457" s="4"/>
      <c r="QS457" s="4"/>
      <c r="QT457" s="4"/>
      <c r="QU457" s="4"/>
      <c r="QV457" s="5"/>
      <c r="QW457" s="6"/>
      <c r="QX457" s="4"/>
      <c r="QY457" s="4"/>
      <c r="QZ457" s="4"/>
      <c r="RA457" s="4"/>
      <c r="RB457" s="4"/>
      <c r="RC457" s="5"/>
      <c r="RD457" s="6"/>
      <c r="RE457" s="4"/>
      <c r="RF457" s="4"/>
      <c r="RG457" s="4"/>
      <c r="RH457" s="4"/>
      <c r="RI457" s="4"/>
      <c r="RJ457" s="5"/>
      <c r="RK457" s="6"/>
      <c r="RL457" s="4"/>
      <c r="RM457" s="4"/>
      <c r="RN457" s="4"/>
      <c r="RO457" s="4"/>
      <c r="RP457" s="4"/>
      <c r="RQ457" s="5"/>
      <c r="RR457" s="6"/>
      <c r="RS457" s="4"/>
      <c r="RT457" s="4"/>
      <c r="RU457" s="4"/>
      <c r="RV457" s="4"/>
      <c r="RW457" s="4"/>
      <c r="RX457" s="5"/>
      <c r="RY457" s="6"/>
      <c r="RZ457" s="4"/>
      <c r="SA457" s="4"/>
      <c r="SB457" s="4"/>
      <c r="SC457" s="4"/>
      <c r="SD457" s="4"/>
      <c r="SE457" s="5"/>
      <c r="SF457" s="6"/>
      <c r="SG457" s="4"/>
      <c r="SH457" s="4"/>
      <c r="SI457" s="4"/>
      <c r="SJ457" s="4"/>
      <c r="SK457" s="4"/>
      <c r="SL457" s="5"/>
      <c r="SM457" s="6"/>
      <c r="SN457" s="4"/>
      <c r="SO457" s="4"/>
      <c r="SP457" s="4"/>
      <c r="SQ457" s="4"/>
      <c r="SR457" s="4"/>
      <c r="SS457" s="5"/>
      <c r="ST457" s="6"/>
      <c r="SU457" s="4"/>
      <c r="SV457" s="4"/>
      <c r="SW457" s="4"/>
      <c r="SX457" s="4"/>
      <c r="SY457" s="4"/>
      <c r="SZ457" s="5"/>
      <c r="TA457" s="6"/>
      <c r="TB457" s="4"/>
      <c r="TC457" s="4"/>
      <c r="TD457" s="4"/>
      <c r="TE457" s="4"/>
      <c r="TF457" s="4"/>
      <c r="TG457" s="5"/>
      <c r="TH457" s="6"/>
      <c r="TI457" s="4"/>
      <c r="TJ457" s="4"/>
      <c r="TK457" s="4"/>
      <c r="TL457" s="4"/>
      <c r="TM457" s="4"/>
      <c r="TN457" s="5"/>
      <c r="TO457" s="6"/>
      <c r="TP457" s="4"/>
      <c r="TQ457" s="4"/>
      <c r="TR457" s="4"/>
      <c r="TS457" s="4"/>
      <c r="TT457" s="4"/>
      <c r="TU457" s="5"/>
      <c r="TV457" s="6"/>
      <c r="TW457" s="4"/>
      <c r="TX457" s="4"/>
      <c r="TY457" s="4"/>
      <c r="TZ457" s="4"/>
      <c r="UA457" s="4"/>
      <c r="UB457" s="5"/>
      <c r="UC457" s="6"/>
      <c r="UD457" s="4"/>
      <c r="UE457" s="4"/>
      <c r="UF457" s="4"/>
      <c r="UG457" s="4"/>
      <c r="UH457" s="4"/>
      <c r="UI457" s="5"/>
      <c r="UJ457" s="6"/>
      <c r="UK457" s="4"/>
      <c r="UL457" s="4"/>
      <c r="UM457" s="4"/>
      <c r="UN457" s="4"/>
      <c r="UO457" s="4"/>
      <c r="UP457" s="5"/>
      <c r="UQ457" s="6"/>
      <c r="UR457" s="4"/>
      <c r="US457" s="4"/>
      <c r="UT457" s="4"/>
      <c r="UU457" s="4"/>
      <c r="UV457" s="4"/>
      <c r="UW457" s="5"/>
      <c r="UX457" s="6" t="s">
        <v>3679</v>
      </c>
      <c r="UY457" s="4" t="s">
        <v>3145</v>
      </c>
      <c r="UZ457" s="4"/>
      <c r="VA457" s="4" t="s">
        <v>1600</v>
      </c>
      <c r="VB457" s="8">
        <v>39322</v>
      </c>
      <c r="VC457" s="8">
        <v>39330</v>
      </c>
      <c r="VD457" s="5" t="s">
        <v>1482</v>
      </c>
      <c r="VE457" s="6" t="s">
        <v>3487</v>
      </c>
      <c r="VF457" s="4" t="s">
        <v>3134</v>
      </c>
      <c r="VG457" s="4" t="s">
        <v>1606</v>
      </c>
      <c r="VH457" s="7" t="s">
        <v>1303</v>
      </c>
      <c r="VI457" s="8">
        <v>39330</v>
      </c>
      <c r="VJ457" s="8">
        <v>39343</v>
      </c>
      <c r="VK457" s="5"/>
      <c r="VL457" s="6" t="s">
        <v>1426</v>
      </c>
      <c r="VM457" s="4" t="s">
        <v>2798</v>
      </c>
      <c r="VN457" s="4" t="s">
        <v>1764</v>
      </c>
      <c r="VO457" s="7" t="s">
        <v>1578</v>
      </c>
      <c r="VP457" s="8">
        <v>39345</v>
      </c>
      <c r="VQ457" s="8">
        <v>39345</v>
      </c>
      <c r="VR457" s="5"/>
      <c r="VS457" s="6"/>
      <c r="VT457" s="4"/>
      <c r="VU457" s="4"/>
      <c r="VV457" s="4"/>
      <c r="VW457" s="4"/>
      <c r="VX457" s="4"/>
      <c r="VY457" s="5"/>
      <c r="VZ457" s="6"/>
      <c r="WA457" s="4"/>
      <c r="WB457" s="4"/>
      <c r="WC457" s="4"/>
      <c r="WD457" s="4"/>
      <c r="WE457" s="4"/>
      <c r="WF457" s="5"/>
      <c r="WG457" s="6"/>
      <c r="WH457" s="4"/>
      <c r="WI457" s="4"/>
      <c r="WJ457" s="4"/>
      <c r="WK457" s="4"/>
      <c r="WL457" s="4"/>
      <c r="WM457" s="5"/>
      <c r="WN457" s="6"/>
      <c r="WO457" s="4"/>
      <c r="WP457" s="4"/>
      <c r="WQ457" s="4"/>
      <c r="WR457" s="4"/>
      <c r="WS457" s="4"/>
      <c r="WT457" s="5"/>
      <c r="WU457" s="6"/>
      <c r="WV457" s="4"/>
      <c r="WW457" s="4"/>
      <c r="WX457" s="4"/>
      <c r="WY457" s="4"/>
      <c r="WZ457" s="4"/>
      <c r="XA457" s="5"/>
      <c r="XB457" s="6"/>
      <c r="XC457" s="4"/>
      <c r="XD457" s="4"/>
      <c r="XE457" s="4"/>
      <c r="XF457" s="4"/>
      <c r="XG457" s="4"/>
      <c r="XH457" s="5"/>
      <c r="XI457" s="6"/>
      <c r="XJ457" s="4"/>
      <c r="XK457" s="4"/>
      <c r="XL457" s="4"/>
      <c r="XM457" s="4"/>
      <c r="XN457" s="4"/>
      <c r="XO457" s="5"/>
      <c r="XP457" s="6"/>
      <c r="XQ457" s="4"/>
      <c r="XR457" s="4"/>
      <c r="XS457" s="4"/>
      <c r="XT457" s="4"/>
      <c r="XU457" s="4"/>
      <c r="XV457" s="5"/>
      <c r="XW457" s="6"/>
      <c r="XX457" s="4"/>
      <c r="XY457" s="4"/>
      <c r="XZ457" s="4"/>
      <c r="YA457" s="4"/>
      <c r="YB457" s="4"/>
      <c r="YC457" s="5"/>
      <c r="YD457" s="6"/>
      <c r="YE457" s="4"/>
      <c r="YF457" s="4"/>
      <c r="YG457" s="4"/>
      <c r="YH457" s="4"/>
      <c r="YI457" s="4"/>
      <c r="YJ457" s="5"/>
      <c r="YK457" s="6" t="s">
        <v>1689</v>
      </c>
      <c r="YL457" s="4" t="s">
        <v>1541</v>
      </c>
      <c r="YM457" s="4" t="s">
        <v>1565</v>
      </c>
      <c r="YN457" s="7" t="s">
        <v>1578</v>
      </c>
      <c r="YO457" s="8">
        <v>39327</v>
      </c>
      <c r="YP457" s="8">
        <v>39327</v>
      </c>
      <c r="YQ457" s="5" t="s">
        <v>1355</v>
      </c>
      <c r="YR457" s="6"/>
      <c r="YS457" s="4"/>
      <c r="YT457" s="4"/>
      <c r="YU457" s="4"/>
      <c r="YV457" s="4"/>
      <c r="YW457" s="4"/>
      <c r="YX457" s="5"/>
      <c r="YY457" s="6"/>
      <c r="YZ457" s="4"/>
      <c r="ZA457" s="4"/>
      <c r="ZB457" s="4"/>
      <c r="ZC457" s="4"/>
      <c r="ZD457" s="4"/>
      <c r="ZE457" s="5"/>
      <c r="ZF457" s="6"/>
      <c r="ZG457" s="4"/>
      <c r="ZH457" s="4"/>
      <c r="ZI457" s="4"/>
      <c r="ZJ457" s="4"/>
      <c r="ZK457" s="4"/>
      <c r="ZL457" s="5"/>
      <c r="ZM457" s="6"/>
      <c r="ZN457" s="4"/>
      <c r="ZO457" s="4"/>
      <c r="ZP457" s="4"/>
      <c r="ZQ457" s="4"/>
      <c r="ZR457" s="4"/>
      <c r="ZS457" s="5"/>
      <c r="ZT457" s="6"/>
      <c r="ZU457" s="4"/>
      <c r="ZV457" s="4"/>
      <c r="ZW457" s="4"/>
      <c r="ZX457" s="4"/>
      <c r="ZY457" s="4"/>
      <c r="ZZ457" s="5"/>
      <c r="AAA457" s="6"/>
      <c r="AAB457" s="4"/>
      <c r="AAC457" s="4"/>
      <c r="AAD457" s="4"/>
      <c r="AAE457" s="4"/>
      <c r="AAF457" s="4"/>
      <c r="AAG457" s="5"/>
      <c r="AAH457" s="6" t="s">
        <v>3137</v>
      </c>
      <c r="AAI457" s="4" t="s">
        <v>3138</v>
      </c>
      <c r="AAJ457" s="4" t="s">
        <v>1772</v>
      </c>
      <c r="AAK457" s="7" t="s">
        <v>1578</v>
      </c>
      <c r="AAL457" s="8">
        <v>39345</v>
      </c>
      <c r="AAM457" s="8">
        <v>39345</v>
      </c>
      <c r="AAN457" s="5"/>
      <c r="AAO457" s="6"/>
      <c r="AAP457" s="4"/>
      <c r="AAQ457" s="4"/>
      <c r="AAR457" s="4"/>
      <c r="AAS457" s="4"/>
      <c r="AAT457" s="4"/>
      <c r="AAU457" s="5"/>
      <c r="AAV457" s="6"/>
      <c r="AAW457" s="4"/>
      <c r="AAX457" s="4"/>
      <c r="AAY457" s="4"/>
      <c r="AAZ457" s="4"/>
      <c r="ABA457" s="4"/>
      <c r="ABB457" s="5"/>
      <c r="ABC457" s="6"/>
      <c r="ABD457" s="4"/>
      <c r="ABE457" s="4"/>
      <c r="ABF457" s="4"/>
      <c r="ABG457" s="4"/>
      <c r="ABH457" s="4"/>
      <c r="ABI457" s="5"/>
      <c r="ABJ457" s="6"/>
      <c r="ABK457" s="4"/>
      <c r="ABL457" s="4"/>
      <c r="ABM457" s="4"/>
      <c r="ABN457" s="4"/>
      <c r="ABO457" s="4"/>
      <c r="ABP457" s="5"/>
      <c r="ABQ457" s="6"/>
      <c r="ABR457" s="4"/>
      <c r="ABS457" s="4"/>
      <c r="ABT457" s="4"/>
      <c r="ABU457" s="4"/>
      <c r="ABV457" s="4"/>
      <c r="ABW457" s="5"/>
      <c r="ABX457" s="6"/>
      <c r="ABY457" s="4"/>
      <c r="ABZ457" s="4"/>
      <c r="ACA457" s="4"/>
      <c r="ACB457" s="4"/>
      <c r="ACC457" s="4"/>
      <c r="ACD457" s="5"/>
      <c r="ACE457" s="6"/>
      <c r="ACF457" s="4"/>
      <c r="ACG457" s="4"/>
      <c r="ACH457" s="4"/>
      <c r="ACI457" s="4"/>
      <c r="ACJ457" s="4"/>
      <c r="ACK457" s="5"/>
      <c r="ACL457" s="6"/>
      <c r="ACM457" s="4"/>
      <c r="ACN457" s="4"/>
      <c r="ACO457" s="4"/>
      <c r="ACP457" s="4"/>
      <c r="ACQ457" s="4"/>
      <c r="ACR457" s="5"/>
      <c r="ACS457" s="6"/>
      <c r="ACT457" s="4"/>
      <c r="ACU457" s="4"/>
      <c r="ACV457" s="4"/>
      <c r="ACW457" s="4"/>
      <c r="ACX457" s="4"/>
      <c r="ACY457" s="5"/>
    </row>
    <row r="458" spans="2:805" x14ac:dyDescent="0.25">
      <c r="J458" s="12"/>
      <c r="K458" s="12"/>
      <c r="L458" s="12"/>
      <c r="LL458" s="6" t="s">
        <v>1302</v>
      </c>
      <c r="LM458" s="4" t="s">
        <v>1775</v>
      </c>
      <c r="LN458" s="4"/>
      <c r="LO458" s="7" t="s">
        <v>1688</v>
      </c>
      <c r="LP458" s="8">
        <v>39322</v>
      </c>
      <c r="LQ458" s="8">
        <v>39322</v>
      </c>
      <c r="LR458" s="5" t="s">
        <v>1200</v>
      </c>
      <c r="LS458" s="6"/>
      <c r="LT458" s="4"/>
      <c r="LU458" s="4"/>
      <c r="LV458" s="4"/>
      <c r="LW458" s="4"/>
      <c r="LX458" s="4"/>
      <c r="LY458" s="5"/>
      <c r="LZ458" s="6" t="s">
        <v>1911</v>
      </c>
      <c r="MA458" s="16" t="s">
        <v>2260</v>
      </c>
      <c r="MB458" s="4"/>
      <c r="MC458" s="7" t="s">
        <v>1578</v>
      </c>
      <c r="MD458" s="8">
        <v>39322</v>
      </c>
      <c r="ME458" s="8">
        <v>39322</v>
      </c>
      <c r="MF458" s="8"/>
      <c r="MG458" s="5" t="s">
        <v>1202</v>
      </c>
      <c r="MH458" s="6"/>
      <c r="MI458" s="4"/>
      <c r="MJ458" s="4"/>
      <c r="MK458" s="4"/>
      <c r="ML458" s="4"/>
      <c r="MM458" s="4"/>
      <c r="MN458" s="5"/>
      <c r="MO458" s="6"/>
      <c r="MP458" s="4"/>
      <c r="MQ458" s="4"/>
      <c r="MR458" s="4"/>
      <c r="MS458" s="4"/>
      <c r="MT458" s="4"/>
      <c r="MU458" s="5"/>
      <c r="MV458" s="6"/>
      <c r="MW458" s="4"/>
      <c r="MX458" s="4"/>
      <c r="MY458" s="4"/>
      <c r="MZ458" s="4"/>
      <c r="NA458" s="4"/>
      <c r="NB458" s="5"/>
      <c r="NC458" s="6" t="s">
        <v>1608</v>
      </c>
      <c r="ND458" s="7" t="s">
        <v>1761</v>
      </c>
      <c r="NE458" s="7" t="s">
        <v>1762</v>
      </c>
      <c r="NF458" s="7" t="s">
        <v>1763</v>
      </c>
      <c r="NG458" s="8">
        <v>39322</v>
      </c>
      <c r="NH458" s="8">
        <v>39322</v>
      </c>
      <c r="NI458" s="5" t="s">
        <v>1334</v>
      </c>
      <c r="NJ458" s="6"/>
      <c r="NK458" s="4"/>
      <c r="NL458" s="4"/>
      <c r="NM458" s="4"/>
      <c r="NN458" s="4"/>
      <c r="NO458" s="4"/>
      <c r="NP458" s="5"/>
      <c r="NQ458" s="6"/>
      <c r="NR458" s="4"/>
      <c r="NS458" s="4"/>
      <c r="NT458" s="4"/>
      <c r="NU458" s="4"/>
      <c r="NV458" s="4"/>
      <c r="NW458" s="5"/>
      <c r="NX458" s="6" t="s">
        <v>1305</v>
      </c>
      <c r="NY458" s="7" t="s">
        <v>1306</v>
      </c>
      <c r="NZ458" s="4" t="s">
        <v>1307</v>
      </c>
      <c r="OA458" s="7" t="s">
        <v>1578</v>
      </c>
      <c r="OB458" s="8">
        <v>39322</v>
      </c>
      <c r="OC458" s="8">
        <v>39322</v>
      </c>
      <c r="OD458" s="5" t="s">
        <v>1336</v>
      </c>
      <c r="OE458" s="6"/>
      <c r="OF458" s="4"/>
      <c r="OG458" s="4"/>
      <c r="OH458" s="4"/>
      <c r="OI458" s="4"/>
      <c r="OJ458" s="4"/>
      <c r="OK458" s="5"/>
      <c r="OL458" s="6"/>
      <c r="OM458" s="4"/>
      <c r="ON458" s="4"/>
      <c r="OO458" s="4"/>
      <c r="OP458" s="4"/>
      <c r="OQ458" s="4"/>
      <c r="OR458" s="5"/>
      <c r="OS458" s="6"/>
      <c r="OT458" s="4"/>
      <c r="OU458" s="4"/>
      <c r="OV458" s="4"/>
      <c r="OW458" s="4"/>
      <c r="OX458" s="4"/>
      <c r="OY458" s="5"/>
      <c r="OZ458" s="6"/>
      <c r="PA458" s="4"/>
      <c r="PB458" s="4"/>
      <c r="PC458" s="4"/>
      <c r="PD458" s="4"/>
      <c r="PE458" s="4"/>
      <c r="PF458" s="5"/>
      <c r="PG458" s="6"/>
      <c r="PH458" s="4"/>
      <c r="PI458" s="4"/>
      <c r="PJ458" s="4"/>
      <c r="PK458" s="4"/>
      <c r="PL458" s="4"/>
      <c r="PM458" s="5"/>
      <c r="PN458" s="6"/>
      <c r="PO458" s="4"/>
      <c r="PP458" s="4"/>
      <c r="PQ458" s="4"/>
      <c r="PR458" s="4"/>
      <c r="PS458" s="4"/>
      <c r="PT458" s="5"/>
      <c r="PU458" s="6"/>
      <c r="PV458" s="4"/>
      <c r="PW458" s="4"/>
      <c r="PX458" s="4"/>
      <c r="PY458" s="4"/>
      <c r="PZ458" s="4"/>
      <c r="QA458" s="5"/>
      <c r="QB458" s="6" t="s">
        <v>1843</v>
      </c>
      <c r="QC458" s="7" t="s">
        <v>1799</v>
      </c>
      <c r="QD458" s="4" t="s">
        <v>1677</v>
      </c>
      <c r="QE458" s="7" t="s">
        <v>1578</v>
      </c>
      <c r="QF458" s="8">
        <v>39322</v>
      </c>
      <c r="QG458" s="8">
        <v>39322</v>
      </c>
      <c r="QH458" s="5" t="s">
        <v>1476</v>
      </c>
      <c r="QI458" s="6"/>
      <c r="QJ458" s="4"/>
      <c r="QK458" s="4"/>
      <c r="QL458" s="4"/>
      <c r="QM458" s="4"/>
      <c r="QN458" s="4"/>
      <c r="QO458" s="5"/>
      <c r="QP458" s="6"/>
      <c r="QQ458" s="4"/>
      <c r="QR458" s="4"/>
      <c r="QS458" s="4"/>
      <c r="QT458" s="4"/>
      <c r="QU458" s="4"/>
      <c r="QV458" s="5"/>
      <c r="QW458" s="6"/>
      <c r="QX458" s="4"/>
      <c r="QY458" s="4"/>
      <c r="QZ458" s="4"/>
      <c r="RA458" s="4"/>
      <c r="RB458" s="4"/>
      <c r="RC458" s="5"/>
      <c r="RD458" s="6"/>
      <c r="RE458" s="4"/>
      <c r="RF458" s="4"/>
      <c r="RG458" s="4"/>
      <c r="RH458" s="4"/>
      <c r="RI458" s="4"/>
      <c r="RJ458" s="5"/>
      <c r="RK458" s="6"/>
      <c r="RL458" s="4"/>
      <c r="RM458" s="4"/>
      <c r="RN458" s="4"/>
      <c r="RO458" s="4"/>
      <c r="RP458" s="4"/>
      <c r="RQ458" s="5"/>
      <c r="RR458" s="6"/>
      <c r="RS458" s="4"/>
      <c r="RT458" s="4"/>
      <c r="RU458" s="4"/>
      <c r="RV458" s="4"/>
      <c r="RW458" s="4"/>
      <c r="RX458" s="5"/>
      <c r="RY458" s="6"/>
      <c r="RZ458" s="4"/>
      <c r="SA458" s="4"/>
      <c r="SB458" s="4"/>
      <c r="SC458" s="4"/>
      <c r="SD458" s="4"/>
      <c r="SE458" s="5"/>
      <c r="SF458" s="6"/>
      <c r="SG458" s="4"/>
      <c r="SH458" s="4"/>
      <c r="SI458" s="4"/>
      <c r="SJ458" s="4"/>
      <c r="SK458" s="4"/>
      <c r="SL458" s="5"/>
      <c r="SM458" s="6"/>
      <c r="SN458" s="4"/>
      <c r="SO458" s="4"/>
      <c r="SP458" s="4"/>
      <c r="SQ458" s="4"/>
      <c r="SR458" s="4"/>
      <c r="SS458" s="5"/>
      <c r="ST458" s="6"/>
      <c r="SU458" s="4"/>
      <c r="SV458" s="4"/>
      <c r="SW458" s="4"/>
      <c r="SX458" s="4"/>
      <c r="SY458" s="4"/>
      <c r="SZ458" s="5"/>
      <c r="TA458" s="6"/>
      <c r="TB458" s="4"/>
      <c r="TC458" s="4"/>
      <c r="TD458" s="4"/>
      <c r="TE458" s="4"/>
      <c r="TF458" s="4"/>
      <c r="TG458" s="5"/>
      <c r="TH458" s="6"/>
      <c r="TI458" s="4"/>
      <c r="TJ458" s="4"/>
      <c r="TK458" s="4"/>
      <c r="TL458" s="4"/>
      <c r="TM458" s="4"/>
      <c r="TN458" s="5"/>
      <c r="TO458" s="6"/>
      <c r="TP458" s="4"/>
      <c r="TQ458" s="4"/>
      <c r="TR458" s="4"/>
      <c r="TS458" s="4"/>
      <c r="TT458" s="4"/>
      <c r="TU458" s="5"/>
      <c r="TV458" s="6"/>
      <c r="TW458" s="4"/>
      <c r="TX458" s="4"/>
      <c r="TY458" s="4"/>
      <c r="TZ458" s="4"/>
      <c r="UA458" s="4"/>
      <c r="UB458" s="5"/>
      <c r="UC458" s="6"/>
      <c r="UD458" s="4"/>
      <c r="UE458" s="4"/>
      <c r="UF458" s="4"/>
      <c r="UG458" s="4"/>
      <c r="UH458" s="4"/>
      <c r="UI458" s="5"/>
      <c r="UJ458" s="6"/>
      <c r="UK458" s="4"/>
      <c r="UL458" s="4"/>
      <c r="UM458" s="4"/>
      <c r="UN458" s="4"/>
      <c r="UO458" s="4"/>
      <c r="UP458" s="5"/>
      <c r="UQ458" s="6"/>
      <c r="UR458" s="4"/>
      <c r="US458" s="4"/>
      <c r="UT458" s="4"/>
      <c r="UU458" s="4"/>
      <c r="UV458" s="4"/>
      <c r="UW458" s="5"/>
      <c r="UX458" s="6"/>
      <c r="UY458" s="4"/>
      <c r="UZ458" s="4"/>
      <c r="VA458" s="4"/>
      <c r="VB458" s="4"/>
      <c r="VC458" s="4"/>
      <c r="VD458" s="5"/>
      <c r="VE458" s="6" t="s">
        <v>3487</v>
      </c>
      <c r="VF458" s="4" t="s">
        <v>3134</v>
      </c>
      <c r="VG458" s="4" t="s">
        <v>1774</v>
      </c>
      <c r="VH458" s="7" t="s">
        <v>1578</v>
      </c>
      <c r="VI458" s="19">
        <v>39322</v>
      </c>
      <c r="VJ458" s="19">
        <v>39322</v>
      </c>
      <c r="VK458" s="5"/>
      <c r="VL458" s="6" t="s">
        <v>1253</v>
      </c>
      <c r="VM458" s="4" t="s">
        <v>3440</v>
      </c>
      <c r="VN458" s="4"/>
      <c r="VO458" s="7" t="s">
        <v>1500</v>
      </c>
      <c r="VP458" s="8">
        <v>39323</v>
      </c>
      <c r="VQ458" s="8">
        <v>39326</v>
      </c>
      <c r="VR458" s="5" t="s">
        <v>1352</v>
      </c>
      <c r="VS458" s="6"/>
      <c r="VT458" s="4"/>
      <c r="VU458" s="4"/>
      <c r="VV458" s="4"/>
      <c r="VW458" s="4"/>
      <c r="VX458" s="4"/>
      <c r="VY458" s="5"/>
      <c r="VZ458" s="6"/>
      <c r="WA458" s="4"/>
      <c r="WB458" s="4"/>
      <c r="WC458" s="4"/>
      <c r="WD458" s="4"/>
      <c r="WE458" s="4"/>
      <c r="WF458" s="5"/>
      <c r="WG458" s="6"/>
      <c r="WH458" s="4"/>
      <c r="WI458" s="4"/>
      <c r="WJ458" s="4"/>
      <c r="WK458" s="4"/>
      <c r="WL458" s="4"/>
      <c r="WM458" s="5"/>
      <c r="WN458" s="6"/>
      <c r="WO458" s="4"/>
      <c r="WP458" s="4"/>
      <c r="WQ458" s="4"/>
      <c r="WR458" s="4"/>
      <c r="WS458" s="4"/>
      <c r="WT458" s="5"/>
      <c r="WU458" s="6"/>
      <c r="WV458" s="4"/>
      <c r="WW458" s="4"/>
      <c r="WX458" s="4"/>
      <c r="WY458" s="4"/>
      <c r="WZ458" s="4"/>
      <c r="XA458" s="5"/>
      <c r="XB458" s="6"/>
      <c r="XC458" s="4"/>
      <c r="XD458" s="4"/>
      <c r="XE458" s="4"/>
      <c r="XF458" s="4"/>
      <c r="XG458" s="4"/>
      <c r="XH458" s="5"/>
      <c r="XI458" s="6"/>
      <c r="XJ458" s="4"/>
      <c r="XK458" s="4"/>
      <c r="XL458" s="4"/>
      <c r="XM458" s="4"/>
      <c r="XN458" s="4"/>
      <c r="XO458" s="5"/>
      <c r="XP458" s="6"/>
      <c r="XQ458" s="4"/>
      <c r="XR458" s="4"/>
      <c r="XS458" s="4"/>
      <c r="XT458" s="4"/>
      <c r="XU458" s="4"/>
      <c r="XV458" s="5"/>
      <c r="XW458" s="6"/>
      <c r="XX458" s="4"/>
      <c r="XY458" s="4"/>
      <c r="XZ458" s="4"/>
      <c r="YA458" s="4"/>
      <c r="YB458" s="4"/>
      <c r="YC458" s="5"/>
      <c r="YD458" s="6"/>
      <c r="YE458" s="4"/>
      <c r="YF458" s="4"/>
      <c r="YG458" s="4"/>
      <c r="YH458" s="4"/>
      <c r="YI458" s="4"/>
      <c r="YJ458" s="5"/>
      <c r="YK458" s="6" t="s">
        <v>1248</v>
      </c>
      <c r="YL458" s="7" t="s">
        <v>1248</v>
      </c>
      <c r="YM458" s="4" t="s">
        <v>1381</v>
      </c>
      <c r="YN458" s="7" t="s">
        <v>1249</v>
      </c>
      <c r="YO458" s="8">
        <v>40058</v>
      </c>
      <c r="YP458" s="19">
        <v>40058</v>
      </c>
      <c r="YR458" s="6"/>
      <c r="YS458" s="4"/>
      <c r="YT458" s="4"/>
      <c r="YU458" s="4"/>
      <c r="YV458" s="4"/>
      <c r="YW458" s="4"/>
      <c r="YX458" s="5"/>
      <c r="YY458" s="6"/>
      <c r="YZ458" s="4"/>
      <c r="ZA458" s="4"/>
      <c r="ZB458" s="4"/>
      <c r="ZC458" s="4"/>
      <c r="ZD458" s="4"/>
      <c r="ZE458" s="5"/>
      <c r="ZF458" s="6"/>
      <c r="ZG458" s="4"/>
      <c r="ZH458" s="4"/>
      <c r="ZI458" s="4"/>
      <c r="ZJ458" s="4"/>
      <c r="ZK458" s="4"/>
      <c r="ZL458" s="5"/>
      <c r="ZM458" s="6"/>
      <c r="ZN458" s="4"/>
      <c r="ZO458" s="4"/>
      <c r="ZP458" s="4"/>
      <c r="ZQ458" s="4"/>
      <c r="ZR458" s="4"/>
      <c r="ZS458" s="5"/>
      <c r="ZT458" s="6"/>
      <c r="ZU458" s="4"/>
      <c r="ZV458" s="4"/>
      <c r="ZW458" s="4"/>
      <c r="ZX458" s="4"/>
      <c r="ZY458" s="4"/>
      <c r="ZZ458" s="5"/>
      <c r="AAA458" s="6"/>
      <c r="AAB458" s="4"/>
      <c r="AAC458" s="4"/>
      <c r="AAD458" s="4"/>
      <c r="AAE458" s="4"/>
      <c r="AAF458" s="4"/>
      <c r="AAG458" s="5"/>
      <c r="AAH458" s="6" t="s">
        <v>3137</v>
      </c>
      <c r="AAI458" s="4" t="s">
        <v>3138</v>
      </c>
      <c r="AAJ458" s="4" t="s">
        <v>1772</v>
      </c>
      <c r="AAK458" s="7" t="s">
        <v>1578</v>
      </c>
      <c r="AAL458" s="8">
        <v>39347</v>
      </c>
      <c r="AAM458" s="8">
        <v>39347</v>
      </c>
      <c r="AAN458" s="5"/>
      <c r="AAO458" s="6"/>
      <c r="AAP458" s="4"/>
      <c r="AAQ458" s="4"/>
      <c r="AAR458" s="4"/>
      <c r="AAS458" s="4"/>
      <c r="AAT458" s="4"/>
      <c r="AAU458" s="5"/>
      <c r="AAV458" s="6"/>
      <c r="AAW458" s="4"/>
      <c r="AAX458" s="4"/>
      <c r="AAY458" s="4"/>
      <c r="AAZ458" s="4"/>
      <c r="ABA458" s="4"/>
      <c r="ABB458" s="5"/>
      <c r="ABC458" s="6"/>
      <c r="ABD458" s="4"/>
      <c r="ABE458" s="4"/>
      <c r="ABF458" s="4"/>
      <c r="ABG458" s="4"/>
      <c r="ABH458" s="4"/>
      <c r="ABI458" s="5"/>
      <c r="ABJ458" s="6"/>
      <c r="ABK458" s="4"/>
      <c r="ABL458" s="4"/>
      <c r="ABM458" s="4"/>
      <c r="ABN458" s="4"/>
      <c r="ABO458" s="4"/>
      <c r="ABP458" s="5"/>
      <c r="ABQ458" s="6"/>
      <c r="ABR458" s="4"/>
      <c r="ABS458" s="4"/>
      <c r="ABT458" s="4"/>
      <c r="ABU458" s="4"/>
      <c r="ABV458" s="4"/>
      <c r="ABW458" s="5"/>
      <c r="ABX458" s="6"/>
      <c r="ABY458" s="4"/>
      <c r="ABZ458" s="4"/>
      <c r="ACA458" s="4"/>
      <c r="ACB458" s="4"/>
      <c r="ACC458" s="4"/>
      <c r="ACD458" s="5"/>
      <c r="ACE458" s="6"/>
      <c r="ACF458" s="4"/>
      <c r="ACG458" s="4"/>
      <c r="ACH458" s="4"/>
      <c r="ACI458" s="4"/>
      <c r="ACJ458" s="4"/>
      <c r="ACK458" s="5"/>
      <c r="ACL458" s="6"/>
      <c r="ACM458" s="4"/>
      <c r="ACN458" s="4"/>
      <c r="ACO458" s="4"/>
      <c r="ACP458" s="4"/>
      <c r="ACQ458" s="4"/>
      <c r="ACR458" s="5"/>
      <c r="ACS458" s="6"/>
      <c r="ACT458" s="4"/>
      <c r="ACU458" s="4"/>
      <c r="ACV458" s="4"/>
      <c r="ACW458" s="4"/>
      <c r="ACX458" s="4"/>
      <c r="ACY458" s="5"/>
    </row>
    <row r="459" spans="2:805" x14ac:dyDescent="0.25">
      <c r="J459" s="12"/>
      <c r="K459" s="12"/>
      <c r="L459" s="12"/>
      <c r="LL459" s="6"/>
      <c r="LM459" s="4"/>
      <c r="LN459" s="4"/>
      <c r="LO459" s="4"/>
      <c r="LP459" s="4"/>
      <c r="LQ459" s="4"/>
      <c r="LR459" s="5"/>
      <c r="LS459" s="6"/>
      <c r="LT459" s="4"/>
      <c r="LU459" s="4"/>
      <c r="LV459" s="4"/>
      <c r="LW459" s="4"/>
      <c r="LX459" s="4"/>
      <c r="LY459" s="5"/>
      <c r="LZ459" s="6" t="s">
        <v>1911</v>
      </c>
      <c r="MA459" s="16" t="s">
        <v>2260</v>
      </c>
      <c r="MB459" s="4"/>
      <c r="MC459" s="7" t="s">
        <v>1690</v>
      </c>
      <c r="MD459" s="8">
        <v>39327</v>
      </c>
      <c r="ME459" s="8">
        <v>39328</v>
      </c>
      <c r="MF459" s="8"/>
      <c r="MG459" s="5"/>
      <c r="MH459" s="6"/>
      <c r="MI459" s="4"/>
      <c r="MJ459" s="4"/>
      <c r="MK459" s="4"/>
      <c r="ML459" s="4"/>
      <c r="MM459" s="4"/>
      <c r="MN459" s="5"/>
      <c r="MO459" s="6"/>
      <c r="MP459" s="4"/>
      <c r="MQ459" s="4"/>
      <c r="MR459" s="4"/>
      <c r="MS459" s="4"/>
      <c r="MT459" s="4"/>
      <c r="MU459" s="5"/>
      <c r="MV459" s="6"/>
      <c r="MW459" s="4"/>
      <c r="MX459" s="4"/>
      <c r="MY459" s="4"/>
      <c r="MZ459" s="4"/>
      <c r="NA459" s="4"/>
      <c r="NB459" s="5"/>
      <c r="NC459" s="6" t="s">
        <v>1765</v>
      </c>
      <c r="ND459" s="7" t="s">
        <v>1616</v>
      </c>
      <c r="NE459" s="7" t="s">
        <v>1617</v>
      </c>
      <c r="NF459" s="7" t="s">
        <v>1771</v>
      </c>
      <c r="NG459" s="8">
        <v>39325</v>
      </c>
      <c r="NH459" s="8">
        <v>39341</v>
      </c>
      <c r="NI459" s="5" t="s">
        <v>1332</v>
      </c>
      <c r="NJ459" s="6"/>
      <c r="NK459" s="4"/>
      <c r="NL459" s="4"/>
      <c r="NM459" s="4"/>
      <c r="NN459" s="4"/>
      <c r="NO459" s="4"/>
      <c r="NP459" s="5"/>
      <c r="NQ459" s="6"/>
      <c r="NR459" s="4"/>
      <c r="NS459" s="4"/>
      <c r="NT459" s="4"/>
      <c r="NU459" s="4"/>
      <c r="NV459" s="4"/>
      <c r="NW459" s="5"/>
      <c r="NX459" s="6"/>
      <c r="NY459" s="4"/>
      <c r="NZ459" s="4"/>
      <c r="OA459" s="4"/>
      <c r="OB459" s="4"/>
      <c r="OC459" s="4"/>
      <c r="OD459" s="5"/>
      <c r="OE459" s="6"/>
      <c r="OF459" s="4"/>
      <c r="OG459" s="4"/>
      <c r="OH459" s="4"/>
      <c r="OI459" s="4"/>
      <c r="OJ459" s="4"/>
      <c r="OK459" s="5"/>
      <c r="OL459" s="6"/>
      <c r="OM459" s="4"/>
      <c r="ON459" s="4"/>
      <c r="OO459" s="4"/>
      <c r="OP459" s="4"/>
      <c r="OQ459" s="4"/>
      <c r="OR459" s="5"/>
      <c r="OS459" s="6"/>
      <c r="OT459" s="4"/>
      <c r="OU459" s="4"/>
      <c r="OV459" s="4"/>
      <c r="OW459" s="4"/>
      <c r="OX459" s="4"/>
      <c r="OY459" s="5"/>
      <c r="OZ459" s="6"/>
      <c r="PA459" s="4"/>
      <c r="PB459" s="4"/>
      <c r="PC459" s="4"/>
      <c r="PD459" s="4"/>
      <c r="PE459" s="4"/>
      <c r="PF459" s="5"/>
      <c r="PG459" s="6"/>
      <c r="PH459" s="4"/>
      <c r="PI459" s="4"/>
      <c r="PJ459" s="4"/>
      <c r="PK459" s="4"/>
      <c r="PL459" s="4"/>
      <c r="PM459" s="5"/>
      <c r="PN459" s="6"/>
      <c r="PO459" s="4"/>
      <c r="PP459" s="4"/>
      <c r="PQ459" s="4"/>
      <c r="PR459" s="4"/>
      <c r="PS459" s="4"/>
      <c r="PT459" s="5"/>
      <c r="PU459" s="6"/>
      <c r="PV459" s="4"/>
      <c r="PW459" s="4"/>
      <c r="PX459" s="4"/>
      <c r="PY459" s="4"/>
      <c r="PZ459" s="4"/>
      <c r="QA459" s="5"/>
      <c r="QB459" s="6" t="s">
        <v>1844</v>
      </c>
      <c r="QC459" s="4" t="s">
        <v>3454</v>
      </c>
      <c r="QD459" s="7" t="s">
        <v>1704</v>
      </c>
      <c r="QE459" s="4"/>
      <c r="QF459" s="8">
        <v>39327</v>
      </c>
      <c r="QG459" s="4"/>
      <c r="QH459" s="5" t="s">
        <v>1476</v>
      </c>
      <c r="QI459" s="6"/>
      <c r="QJ459" s="4"/>
      <c r="QK459" s="4"/>
      <c r="QL459" s="4"/>
      <c r="QM459" s="4"/>
      <c r="QN459" s="4"/>
      <c r="QO459" s="5"/>
      <c r="QP459" s="6"/>
      <c r="QQ459" s="4"/>
      <c r="QR459" s="4"/>
      <c r="QS459" s="4"/>
      <c r="QT459" s="4"/>
      <c r="QU459" s="4"/>
      <c r="QV459" s="5"/>
      <c r="QW459" s="6"/>
      <c r="QX459" s="4"/>
      <c r="QY459" s="4"/>
      <c r="QZ459" s="4"/>
      <c r="RA459" s="4"/>
      <c r="RB459" s="4"/>
      <c r="RC459" s="5"/>
      <c r="RD459" s="6"/>
      <c r="RE459" s="4"/>
      <c r="RF459" s="4"/>
      <c r="RG459" s="4"/>
      <c r="RH459" s="4"/>
      <c r="RI459" s="4"/>
      <c r="RJ459" s="5"/>
      <c r="RK459" s="6"/>
      <c r="RL459" s="4"/>
      <c r="RM459" s="4"/>
      <c r="RN459" s="4"/>
      <c r="RO459" s="4"/>
      <c r="RP459" s="4"/>
      <c r="RQ459" s="5"/>
      <c r="RR459" s="6"/>
      <c r="RS459" s="4"/>
      <c r="RT459" s="4"/>
      <c r="RU459" s="4"/>
      <c r="RV459" s="4"/>
      <c r="RW459" s="4"/>
      <c r="RX459" s="5"/>
      <c r="RY459" s="6"/>
      <c r="RZ459" s="4"/>
      <c r="SA459" s="4"/>
      <c r="SB459" s="4"/>
      <c r="SC459" s="4"/>
      <c r="SD459" s="4"/>
      <c r="SE459" s="5"/>
      <c r="SF459" s="6"/>
      <c r="SG459" s="4"/>
      <c r="SH459" s="4"/>
      <c r="SI459" s="4"/>
      <c r="SJ459" s="4"/>
      <c r="SK459" s="4"/>
      <c r="SL459" s="5"/>
      <c r="SM459" s="6"/>
      <c r="SN459" s="4"/>
      <c r="SO459" s="4"/>
      <c r="SP459" s="4"/>
      <c r="SQ459" s="4"/>
      <c r="SR459" s="4"/>
      <c r="SS459" s="5"/>
      <c r="ST459" s="6"/>
      <c r="SU459" s="4"/>
      <c r="SV459" s="4"/>
      <c r="SW459" s="4"/>
      <c r="SX459" s="4"/>
      <c r="SY459" s="4"/>
      <c r="SZ459" s="5"/>
      <c r="TA459" s="6"/>
      <c r="TB459" s="4"/>
      <c r="TC459" s="4"/>
      <c r="TD459" s="4"/>
      <c r="TE459" s="4"/>
      <c r="TF459" s="4"/>
      <c r="TG459" s="5"/>
      <c r="TH459" s="6"/>
      <c r="TI459" s="4"/>
      <c r="TJ459" s="4"/>
      <c r="TK459" s="4"/>
      <c r="TL459" s="4"/>
      <c r="TM459" s="4"/>
      <c r="TN459" s="5"/>
      <c r="TO459" s="6"/>
      <c r="TP459" s="4"/>
      <c r="TQ459" s="4"/>
      <c r="TR459" s="4"/>
      <c r="TS459" s="4"/>
      <c r="TT459" s="4"/>
      <c r="TU459" s="5"/>
      <c r="TV459" s="6"/>
      <c r="TW459" s="4"/>
      <c r="TX459" s="4"/>
      <c r="TY459" s="4"/>
      <c r="TZ459" s="4"/>
      <c r="UA459" s="4"/>
      <c r="UB459" s="5"/>
      <c r="UC459" s="6"/>
      <c r="UD459" s="4"/>
      <c r="UE459" s="4"/>
      <c r="UF459" s="4"/>
      <c r="UG459" s="4"/>
      <c r="UH459" s="4"/>
      <c r="UI459" s="5"/>
      <c r="UJ459" s="6"/>
      <c r="UK459" s="4"/>
      <c r="UL459" s="4"/>
      <c r="UM459" s="4"/>
      <c r="UN459" s="4"/>
      <c r="UO459" s="4"/>
      <c r="UP459" s="5"/>
      <c r="UQ459" s="6"/>
      <c r="UR459" s="4"/>
      <c r="US459" s="4"/>
      <c r="UT459" s="4"/>
      <c r="UU459" s="4"/>
      <c r="UV459" s="4"/>
      <c r="UW459" s="5"/>
      <c r="UX459" s="6"/>
      <c r="UY459" s="4"/>
      <c r="UZ459" s="4"/>
      <c r="VA459" s="4"/>
      <c r="VB459" s="4"/>
      <c r="VC459" s="4"/>
      <c r="VD459" s="5"/>
      <c r="VE459" s="6" t="s">
        <v>3487</v>
      </c>
      <c r="VF459" s="4" t="s">
        <v>3134</v>
      </c>
      <c r="VG459" s="7" t="s">
        <v>1928</v>
      </c>
      <c r="VH459" s="7" t="s">
        <v>1578</v>
      </c>
      <c r="VI459" s="8">
        <v>39323</v>
      </c>
      <c r="VJ459" s="8">
        <v>39323</v>
      </c>
      <c r="VK459" s="5"/>
      <c r="VL459" s="6" t="s">
        <v>1253</v>
      </c>
      <c r="VM459" s="4" t="s">
        <v>3440</v>
      </c>
      <c r="VN459" s="4"/>
      <c r="VO459" s="7" t="s">
        <v>1579</v>
      </c>
      <c r="VP459" s="8">
        <v>39332</v>
      </c>
      <c r="VQ459" s="8">
        <v>39308</v>
      </c>
      <c r="VR459" s="5"/>
      <c r="VS459" s="6"/>
      <c r="VT459" s="4"/>
      <c r="VU459" s="4"/>
      <c r="VV459" s="4"/>
      <c r="VW459" s="4"/>
      <c r="VX459" s="4"/>
      <c r="VY459" s="5"/>
      <c r="VZ459" s="6"/>
      <c r="WA459" s="4"/>
      <c r="WB459" s="4"/>
      <c r="WC459" s="4"/>
      <c r="WD459" s="4"/>
      <c r="WE459" s="4"/>
      <c r="WF459" s="5"/>
      <c r="WG459" s="6"/>
      <c r="WH459" s="4"/>
      <c r="WI459" s="4"/>
      <c r="WJ459" s="4"/>
      <c r="WK459" s="4"/>
      <c r="WL459" s="4"/>
      <c r="WM459" s="5"/>
      <c r="WN459" s="6"/>
      <c r="WO459" s="4"/>
      <c r="WP459" s="4"/>
      <c r="WQ459" s="4"/>
      <c r="WR459" s="4"/>
      <c r="WS459" s="4"/>
      <c r="WT459" s="5"/>
      <c r="WU459" s="6"/>
      <c r="WV459" s="4"/>
      <c r="WW459" s="4"/>
      <c r="WX459" s="4"/>
      <c r="WY459" s="4"/>
      <c r="WZ459" s="4"/>
      <c r="XA459" s="5"/>
      <c r="XB459" s="6"/>
      <c r="XC459" s="4"/>
      <c r="XD459" s="4"/>
      <c r="XE459" s="4"/>
      <c r="XF459" s="4"/>
      <c r="XG459" s="4"/>
      <c r="XH459" s="5"/>
      <c r="XI459" s="6"/>
      <c r="XJ459" s="4"/>
      <c r="XK459" s="4"/>
      <c r="XL459" s="4"/>
      <c r="XM459" s="4"/>
      <c r="XN459" s="4"/>
      <c r="XO459" s="5"/>
      <c r="XP459" s="6"/>
      <c r="XQ459" s="4"/>
      <c r="XR459" s="4"/>
      <c r="XS459" s="4"/>
      <c r="XT459" s="4"/>
      <c r="XU459" s="4"/>
      <c r="XV459" s="5"/>
      <c r="XW459" s="6"/>
      <c r="XX459" s="4"/>
      <c r="XY459" s="4"/>
      <c r="XZ459" s="4"/>
      <c r="YA459" s="4"/>
      <c r="YB459" s="4"/>
      <c r="YC459" s="5"/>
      <c r="YD459" s="6"/>
      <c r="YE459" s="4"/>
      <c r="YF459" s="4"/>
      <c r="YG459" s="4"/>
      <c r="YH459" s="4"/>
      <c r="YI459" s="4"/>
      <c r="YJ459" s="5"/>
      <c r="YK459" s="6" t="s">
        <v>1258</v>
      </c>
      <c r="YL459" s="7" t="s">
        <v>1257</v>
      </c>
      <c r="YM459" s="4"/>
      <c r="YN459" s="7" t="s">
        <v>1690</v>
      </c>
      <c r="YO459" s="8">
        <v>39329</v>
      </c>
      <c r="YP459" s="8">
        <v>39330</v>
      </c>
      <c r="YQ459" s="5" t="s">
        <v>1356</v>
      </c>
      <c r="YR459" s="6"/>
      <c r="YS459" s="4"/>
      <c r="YT459" s="4"/>
      <c r="YU459" s="4"/>
      <c r="YV459" s="4"/>
      <c r="YW459" s="4"/>
      <c r="YX459" s="5"/>
      <c r="YY459" s="6"/>
      <c r="YZ459" s="4"/>
      <c r="ZA459" s="4"/>
      <c r="ZB459" s="4"/>
      <c r="ZC459" s="4"/>
      <c r="ZD459" s="4"/>
      <c r="ZE459" s="5"/>
      <c r="ZF459" s="6"/>
      <c r="ZG459" s="4"/>
      <c r="ZH459" s="4"/>
      <c r="ZI459" s="4"/>
      <c r="ZJ459" s="4"/>
      <c r="ZK459" s="4"/>
      <c r="ZL459" s="5"/>
      <c r="ZM459" s="6"/>
      <c r="ZN459" s="4"/>
      <c r="ZO459" s="4"/>
      <c r="ZP459" s="4"/>
      <c r="ZQ459" s="4"/>
      <c r="ZR459" s="4"/>
      <c r="ZS459" s="5"/>
      <c r="ZT459" s="6"/>
      <c r="ZU459" s="4"/>
      <c r="ZV459" s="4"/>
      <c r="ZW459" s="4"/>
      <c r="ZX459" s="4"/>
      <c r="ZY459" s="4"/>
      <c r="ZZ459" s="5"/>
      <c r="AAA459" s="6"/>
      <c r="AAB459" s="4"/>
      <c r="AAC459" s="4"/>
      <c r="AAD459" s="4"/>
      <c r="AAE459" s="4"/>
      <c r="AAF459" s="4"/>
      <c r="AAG459" s="5"/>
      <c r="AAH459" s="6" t="s">
        <v>3474</v>
      </c>
      <c r="AAI459" s="4" t="s">
        <v>2355</v>
      </c>
      <c r="AAJ459" s="7" t="s">
        <v>1110</v>
      </c>
      <c r="AAK459" s="7" t="s">
        <v>1578</v>
      </c>
      <c r="AAL459" s="8">
        <v>39322</v>
      </c>
      <c r="AAM459" s="8">
        <v>39322</v>
      </c>
      <c r="AAN459" s="5" t="s">
        <v>1480</v>
      </c>
      <c r="AAO459" s="6"/>
      <c r="AAP459" s="4"/>
      <c r="AAQ459" s="4"/>
      <c r="AAR459" s="4"/>
      <c r="AAS459" s="4"/>
      <c r="AAT459" s="4"/>
      <c r="AAU459" s="5"/>
      <c r="AAV459" s="6"/>
      <c r="AAW459" s="4"/>
      <c r="AAX459" s="4"/>
      <c r="AAY459" s="4"/>
      <c r="AAZ459" s="4"/>
      <c r="ABA459" s="4"/>
      <c r="ABB459" s="5"/>
      <c r="ABC459" s="6"/>
      <c r="ABD459" s="4"/>
      <c r="ABE459" s="4"/>
      <c r="ABF459" s="4"/>
      <c r="ABG459" s="4"/>
      <c r="ABH459" s="4"/>
      <c r="ABI459" s="5"/>
      <c r="ABJ459" s="6"/>
      <c r="ABK459" s="4"/>
      <c r="ABL459" s="4"/>
      <c r="ABM459" s="4"/>
      <c r="ABN459" s="4"/>
      <c r="ABO459" s="4"/>
      <c r="ABP459" s="5"/>
      <c r="ABQ459" s="6"/>
      <c r="ABR459" s="4"/>
      <c r="ABS459" s="4"/>
      <c r="ABT459" s="4"/>
      <c r="ABU459" s="4"/>
      <c r="ABV459" s="4"/>
      <c r="ABW459" s="5"/>
      <c r="ABX459" s="6"/>
      <c r="ABY459" s="4"/>
      <c r="ABZ459" s="4"/>
      <c r="ACA459" s="4"/>
      <c r="ACB459" s="4"/>
      <c r="ACC459" s="4"/>
      <c r="ACD459" s="5"/>
      <c r="ACE459" s="6"/>
      <c r="ACF459" s="4"/>
      <c r="ACG459" s="4"/>
      <c r="ACH459" s="4"/>
      <c r="ACI459" s="4"/>
      <c r="ACJ459" s="4"/>
      <c r="ACK459" s="5"/>
      <c r="ACL459" s="6"/>
      <c r="ACM459" s="4"/>
      <c r="ACN459" s="4"/>
      <c r="ACO459" s="4"/>
      <c r="ACP459" s="4"/>
      <c r="ACQ459" s="4"/>
      <c r="ACR459" s="5"/>
      <c r="ACS459" s="6"/>
      <c r="ACT459" s="4"/>
      <c r="ACU459" s="4"/>
      <c r="ACV459" s="4"/>
      <c r="ACW459" s="4"/>
      <c r="ACX459" s="4"/>
      <c r="ACY459" s="5"/>
    </row>
    <row r="460" spans="2:805" x14ac:dyDescent="0.25">
      <c r="J460" s="12"/>
      <c r="K460" s="12"/>
      <c r="L460" s="12"/>
      <c r="LL460" s="6"/>
      <c r="LM460" s="4"/>
      <c r="LN460" s="4"/>
      <c r="LO460" s="4"/>
      <c r="LP460" s="4"/>
      <c r="LQ460" s="4"/>
      <c r="LR460" s="5"/>
      <c r="LS460" s="6"/>
      <c r="LT460" s="4"/>
      <c r="LU460" s="4"/>
      <c r="LV460" s="4"/>
      <c r="LW460" s="4"/>
      <c r="LX460" s="4"/>
      <c r="LY460" s="5"/>
      <c r="LZ460" s="6" t="s">
        <v>1911</v>
      </c>
      <c r="MA460" s="16" t="s">
        <v>2260</v>
      </c>
      <c r="MB460" s="4"/>
      <c r="MC460" s="7" t="s">
        <v>1578</v>
      </c>
      <c r="MD460" s="8">
        <v>39347</v>
      </c>
      <c r="ME460" s="8">
        <v>39347</v>
      </c>
      <c r="MF460" s="8"/>
      <c r="MG460" s="5"/>
      <c r="MH460" s="6"/>
      <c r="MI460" s="4"/>
      <c r="MJ460" s="4"/>
      <c r="MK460" s="4"/>
      <c r="ML460" s="4"/>
      <c r="MM460" s="4"/>
      <c r="MN460" s="5"/>
      <c r="MO460" s="6"/>
      <c r="MP460" s="4"/>
      <c r="MQ460" s="4"/>
      <c r="MR460" s="4"/>
      <c r="MS460" s="4"/>
      <c r="MT460" s="4"/>
      <c r="MU460" s="5"/>
      <c r="MV460" s="6"/>
      <c r="MW460" s="4"/>
      <c r="MX460" s="4"/>
      <c r="MY460" s="4"/>
      <c r="MZ460" s="4"/>
      <c r="NA460" s="4"/>
      <c r="NB460" s="5"/>
      <c r="NC460" s="6" t="s">
        <v>3343</v>
      </c>
      <c r="ND460" s="4" t="s">
        <v>3345</v>
      </c>
      <c r="NE460" s="7" t="s">
        <v>1544</v>
      </c>
      <c r="NF460" s="7" t="s">
        <v>1770</v>
      </c>
      <c r="NG460" s="8">
        <v>39341</v>
      </c>
      <c r="NH460" s="8">
        <v>39344</v>
      </c>
      <c r="NI460" s="5" t="s">
        <v>1332</v>
      </c>
      <c r="NJ460" s="6"/>
      <c r="NK460" s="4"/>
      <c r="NL460" s="4"/>
      <c r="NM460" s="4"/>
      <c r="NN460" s="4"/>
      <c r="NO460" s="4"/>
      <c r="NP460" s="5"/>
      <c r="NQ460" s="6"/>
      <c r="NR460" s="4"/>
      <c r="NS460" s="4"/>
      <c r="NT460" s="4"/>
      <c r="NU460" s="4"/>
      <c r="NV460" s="4"/>
      <c r="NW460" s="5"/>
      <c r="NX460" s="6"/>
      <c r="NY460" s="4"/>
      <c r="NZ460" s="4"/>
      <c r="OA460" s="4"/>
      <c r="OB460" s="4"/>
      <c r="OC460" s="4"/>
      <c r="OD460" s="5"/>
      <c r="OE460" s="6"/>
      <c r="OF460" s="4"/>
      <c r="OG460" s="4"/>
      <c r="OH460" s="4"/>
      <c r="OI460" s="4"/>
      <c r="OJ460" s="4"/>
      <c r="OK460" s="5"/>
      <c r="OL460" s="6"/>
      <c r="OM460" s="4"/>
      <c r="ON460" s="4"/>
      <c r="OO460" s="4"/>
      <c r="OP460" s="4"/>
      <c r="OQ460" s="4"/>
      <c r="OR460" s="5"/>
      <c r="OS460" s="6"/>
      <c r="OT460" s="4"/>
      <c r="OU460" s="4"/>
      <c r="OV460" s="4"/>
      <c r="OW460" s="4"/>
      <c r="OX460" s="4"/>
      <c r="OY460" s="5"/>
      <c r="OZ460" s="6"/>
      <c r="PA460" s="4"/>
      <c r="PB460" s="4"/>
      <c r="PC460" s="4"/>
      <c r="PD460" s="4"/>
      <c r="PE460" s="4"/>
      <c r="PF460" s="5"/>
      <c r="PG460" s="6"/>
      <c r="PH460" s="4"/>
      <c r="PI460" s="4"/>
      <c r="PJ460" s="4"/>
      <c r="PK460" s="4"/>
      <c r="PL460" s="4"/>
      <c r="PM460" s="5"/>
      <c r="PN460" s="6"/>
      <c r="PO460" s="4"/>
      <c r="PP460" s="4"/>
      <c r="PQ460" s="4"/>
      <c r="PR460" s="4"/>
      <c r="PS460" s="4"/>
      <c r="PT460" s="5"/>
      <c r="PU460" s="6"/>
      <c r="PV460" s="4"/>
      <c r="PW460" s="4"/>
      <c r="PX460" s="4"/>
      <c r="PY460" s="4"/>
      <c r="PZ460" s="4"/>
      <c r="QA460" s="5"/>
      <c r="QB460" s="6" t="s">
        <v>3436</v>
      </c>
      <c r="QC460" s="7" t="s">
        <v>3437</v>
      </c>
      <c r="QD460" s="4"/>
      <c r="QE460" s="7" t="s">
        <v>1690</v>
      </c>
      <c r="QF460" s="8">
        <v>39324</v>
      </c>
      <c r="QG460" s="8">
        <v>39325</v>
      </c>
      <c r="QH460" s="5" t="s">
        <v>1476</v>
      </c>
      <c r="QI460" s="6"/>
      <c r="QJ460" s="4"/>
      <c r="QK460" s="4"/>
      <c r="QL460" s="4"/>
      <c r="QM460" s="4"/>
      <c r="QN460" s="4"/>
      <c r="QO460" s="5"/>
      <c r="QP460" s="6"/>
      <c r="QQ460" s="4"/>
      <c r="QR460" s="4"/>
      <c r="QS460" s="4"/>
      <c r="QT460" s="4"/>
      <c r="QU460" s="4"/>
      <c r="QV460" s="5"/>
      <c r="QW460" s="6"/>
      <c r="QX460" s="4"/>
      <c r="QY460" s="4"/>
      <c r="QZ460" s="4"/>
      <c r="RA460" s="4"/>
      <c r="RB460" s="4"/>
      <c r="RC460" s="5"/>
      <c r="RD460" s="6"/>
      <c r="RE460" s="4"/>
      <c r="RF460" s="4"/>
      <c r="RG460" s="4"/>
      <c r="RH460" s="4"/>
      <c r="RI460" s="4"/>
      <c r="RJ460" s="5"/>
      <c r="RK460" s="6"/>
      <c r="RL460" s="4"/>
      <c r="RM460" s="4"/>
      <c r="RN460" s="4"/>
      <c r="RO460" s="4"/>
      <c r="RP460" s="4"/>
      <c r="RQ460" s="5"/>
      <c r="RR460" s="6"/>
      <c r="RS460" s="4"/>
      <c r="RT460" s="4"/>
      <c r="RU460" s="4"/>
      <c r="RV460" s="4"/>
      <c r="RW460" s="4"/>
      <c r="RX460" s="5"/>
      <c r="RY460" s="6"/>
      <c r="RZ460" s="4"/>
      <c r="SA460" s="4"/>
      <c r="SB460" s="4"/>
      <c r="SC460" s="4"/>
      <c r="SD460" s="4"/>
      <c r="SE460" s="5"/>
      <c r="SF460" s="6"/>
      <c r="SG460" s="4"/>
      <c r="SH460" s="4"/>
      <c r="SI460" s="4"/>
      <c r="SJ460" s="4"/>
      <c r="SK460" s="4"/>
      <c r="SL460" s="5"/>
      <c r="SM460" s="6"/>
      <c r="SN460" s="4"/>
      <c r="SO460" s="4"/>
      <c r="SP460" s="4"/>
      <c r="SQ460" s="4"/>
      <c r="SR460" s="4"/>
      <c r="SS460" s="5"/>
      <c r="ST460" s="6"/>
      <c r="SU460" s="4"/>
      <c r="SV460" s="4"/>
      <c r="SW460" s="4"/>
      <c r="SX460" s="4"/>
      <c r="SY460" s="4"/>
      <c r="SZ460" s="5"/>
      <c r="TA460" s="6"/>
      <c r="TB460" s="4"/>
      <c r="TC460" s="4"/>
      <c r="TD460" s="4"/>
      <c r="TE460" s="4"/>
      <c r="TF460" s="4"/>
      <c r="TG460" s="5"/>
      <c r="TH460" s="6"/>
      <c r="TI460" s="4"/>
      <c r="TJ460" s="4"/>
      <c r="TK460" s="4"/>
      <c r="TL460" s="4"/>
      <c r="TM460" s="4"/>
      <c r="TN460" s="5"/>
      <c r="TO460" s="6"/>
      <c r="TP460" s="4"/>
      <c r="TQ460" s="4"/>
      <c r="TR460" s="4"/>
      <c r="TS460" s="4"/>
      <c r="TT460" s="4"/>
      <c r="TU460" s="5"/>
      <c r="TV460" s="6"/>
      <c r="TW460" s="4"/>
      <c r="TX460" s="4"/>
      <c r="TY460" s="4"/>
      <c r="TZ460" s="4"/>
      <c r="UA460" s="4"/>
      <c r="UB460" s="5"/>
      <c r="UC460" s="6"/>
      <c r="UD460" s="4"/>
      <c r="UE460" s="4"/>
      <c r="UF460" s="4"/>
      <c r="UG460" s="4"/>
      <c r="UH460" s="4"/>
      <c r="UI460" s="5"/>
      <c r="UJ460" s="6"/>
      <c r="UK460" s="4"/>
      <c r="UL460" s="4"/>
      <c r="UM460" s="4"/>
      <c r="UN460" s="4"/>
      <c r="UO460" s="4"/>
      <c r="UP460" s="5"/>
      <c r="UQ460" s="6"/>
      <c r="UR460" s="4"/>
      <c r="US460" s="4"/>
      <c r="UT460" s="4"/>
      <c r="UU460" s="4"/>
      <c r="UV460" s="4"/>
      <c r="UW460" s="5"/>
      <c r="UX460" s="6"/>
      <c r="UY460" s="4"/>
      <c r="UZ460" s="4"/>
      <c r="VA460" s="4"/>
      <c r="VB460" s="4"/>
      <c r="VC460" s="4"/>
      <c r="VD460" s="5"/>
      <c r="VE460" s="6" t="s">
        <v>3046</v>
      </c>
      <c r="VF460" s="4" t="s">
        <v>3046</v>
      </c>
      <c r="VG460" s="7" t="s">
        <v>1620</v>
      </c>
      <c r="VH460" s="7" t="s">
        <v>1621</v>
      </c>
      <c r="VI460" s="17">
        <v>39338</v>
      </c>
      <c r="VJ460" s="17">
        <v>39343</v>
      </c>
      <c r="VK460" s="5" t="s">
        <v>1350</v>
      </c>
      <c r="VL460" s="6"/>
      <c r="VM460" s="4"/>
      <c r="VN460" s="4"/>
      <c r="VO460" s="4"/>
      <c r="VP460" s="4"/>
      <c r="VQ460" s="4"/>
      <c r="VR460" s="5"/>
      <c r="VS460" s="6"/>
      <c r="VT460" s="4"/>
      <c r="VU460" s="4"/>
      <c r="VV460" s="4"/>
      <c r="VW460" s="4"/>
      <c r="VX460" s="4"/>
      <c r="VY460" s="5"/>
      <c r="VZ460" s="6"/>
      <c r="WA460" s="4"/>
      <c r="WB460" s="4"/>
      <c r="WC460" s="4"/>
      <c r="WD460" s="4"/>
      <c r="WE460" s="4"/>
      <c r="WF460" s="5"/>
      <c r="WG460" s="6"/>
      <c r="WH460" s="4"/>
      <c r="WI460" s="4"/>
      <c r="WJ460" s="4"/>
      <c r="WK460" s="4"/>
      <c r="WL460" s="4"/>
      <c r="WM460" s="5"/>
      <c r="WN460" s="6"/>
      <c r="WO460" s="4"/>
      <c r="WP460" s="4"/>
      <c r="WQ460" s="4"/>
      <c r="WR460" s="4"/>
      <c r="WS460" s="4"/>
      <c r="WT460" s="5"/>
      <c r="WU460" s="6"/>
      <c r="WV460" s="4"/>
      <c r="WW460" s="4"/>
      <c r="WX460" s="4"/>
      <c r="WY460" s="4"/>
      <c r="WZ460" s="4"/>
      <c r="XA460" s="5"/>
      <c r="XB460" s="6"/>
      <c r="XC460" s="4"/>
      <c r="XD460" s="4"/>
      <c r="XE460" s="4"/>
      <c r="XF460" s="4"/>
      <c r="XG460" s="4"/>
      <c r="XH460" s="5"/>
      <c r="XI460" s="6"/>
      <c r="XJ460" s="4"/>
      <c r="XK460" s="4"/>
      <c r="XL460" s="4"/>
      <c r="XM460" s="4"/>
      <c r="XN460" s="4"/>
      <c r="XO460" s="5"/>
      <c r="XP460" s="6"/>
      <c r="XQ460" s="4"/>
      <c r="XR460" s="4"/>
      <c r="XS460" s="4"/>
      <c r="XT460" s="4"/>
      <c r="XU460" s="4"/>
      <c r="XV460" s="5"/>
      <c r="XW460" s="6"/>
      <c r="XX460" s="4"/>
      <c r="XY460" s="4"/>
      <c r="XZ460" s="4"/>
      <c r="YA460" s="4"/>
      <c r="YB460" s="4"/>
      <c r="YC460" s="5"/>
      <c r="YD460" s="6"/>
      <c r="YE460" s="4"/>
      <c r="YF460" s="4"/>
      <c r="YG460" s="4"/>
      <c r="YH460" s="4"/>
      <c r="YI460" s="4"/>
      <c r="YJ460" s="5"/>
      <c r="YK460" s="6" t="s">
        <v>1259</v>
      </c>
      <c r="YL460" s="7" t="s">
        <v>1260</v>
      </c>
      <c r="YM460" s="7" t="s">
        <v>1565</v>
      </c>
      <c r="YN460" s="7" t="s">
        <v>1250</v>
      </c>
      <c r="YO460" s="8">
        <v>39327</v>
      </c>
      <c r="YP460" s="8">
        <v>39327</v>
      </c>
      <c r="YQ460" s="5"/>
      <c r="YR460" s="6"/>
      <c r="YS460" s="4"/>
      <c r="YT460" s="4"/>
      <c r="YU460" s="4"/>
      <c r="YV460" s="4"/>
      <c r="YW460" s="4"/>
      <c r="YX460" s="5"/>
      <c r="YY460" s="6"/>
      <c r="YZ460" s="4"/>
      <c r="ZA460" s="4"/>
      <c r="ZB460" s="4"/>
      <c r="ZC460" s="4"/>
      <c r="ZD460" s="4"/>
      <c r="ZE460" s="5"/>
      <c r="ZF460" s="6"/>
      <c r="ZG460" s="4"/>
      <c r="ZH460" s="4"/>
      <c r="ZI460" s="4"/>
      <c r="ZJ460" s="4"/>
      <c r="ZK460" s="4"/>
      <c r="ZL460" s="5"/>
      <c r="ZM460" s="6"/>
      <c r="ZN460" s="4"/>
      <c r="ZO460" s="4"/>
      <c r="ZP460" s="4"/>
      <c r="ZQ460" s="4"/>
      <c r="ZR460" s="4"/>
      <c r="ZS460" s="5"/>
      <c r="ZT460" s="6"/>
      <c r="ZU460" s="4"/>
      <c r="ZV460" s="4"/>
      <c r="ZW460" s="4"/>
      <c r="ZX460" s="4"/>
      <c r="ZY460" s="4"/>
      <c r="ZZ460" s="5"/>
      <c r="AAA460" s="6"/>
      <c r="AAB460" s="4"/>
      <c r="AAC460" s="4"/>
      <c r="AAD460" s="4"/>
      <c r="AAE460" s="4"/>
      <c r="AAF460" s="4"/>
      <c r="AAG460" s="5"/>
      <c r="AAH460" s="6"/>
      <c r="AAI460" s="4"/>
      <c r="AAJ460" s="4"/>
      <c r="AAK460" s="4"/>
      <c r="AAL460" s="4"/>
      <c r="AAM460" s="4"/>
      <c r="AAN460" s="5"/>
      <c r="AAO460" s="6"/>
      <c r="AAP460" s="4"/>
      <c r="AAQ460" s="4"/>
      <c r="AAR460" s="4"/>
      <c r="AAS460" s="4"/>
      <c r="AAT460" s="4"/>
      <c r="AAU460" s="5"/>
      <c r="AAV460" s="6"/>
      <c r="AAW460" s="4"/>
      <c r="AAX460" s="4"/>
      <c r="AAY460" s="4"/>
      <c r="AAZ460" s="4"/>
      <c r="ABA460" s="4"/>
      <c r="ABB460" s="5"/>
      <c r="ABC460" s="6"/>
      <c r="ABD460" s="4"/>
      <c r="ABE460" s="4"/>
      <c r="ABF460" s="4"/>
      <c r="ABG460" s="4"/>
      <c r="ABH460" s="4"/>
      <c r="ABI460" s="5"/>
      <c r="ABJ460" s="6"/>
      <c r="ABK460" s="4"/>
      <c r="ABL460" s="4"/>
      <c r="ABM460" s="4"/>
      <c r="ABN460" s="4"/>
      <c r="ABO460" s="4"/>
      <c r="ABP460" s="5"/>
      <c r="ABQ460" s="6"/>
      <c r="ABR460" s="4"/>
      <c r="ABS460" s="4"/>
      <c r="ABT460" s="4"/>
      <c r="ABU460" s="4"/>
      <c r="ABV460" s="4"/>
      <c r="ABW460" s="5"/>
      <c r="ABX460" s="6"/>
      <c r="ABY460" s="4"/>
      <c r="ABZ460" s="4"/>
      <c r="ACA460" s="4"/>
      <c r="ACB460" s="4"/>
      <c r="ACC460" s="4"/>
      <c r="ACD460" s="5"/>
      <c r="ACE460" s="6"/>
      <c r="ACF460" s="4"/>
      <c r="ACG460" s="4"/>
      <c r="ACH460" s="4"/>
      <c r="ACI460" s="4"/>
      <c r="ACJ460" s="4"/>
      <c r="ACK460" s="5"/>
      <c r="ACL460" s="6"/>
      <c r="ACM460" s="4"/>
      <c r="ACN460" s="4"/>
      <c r="ACO460" s="4"/>
      <c r="ACP460" s="4"/>
      <c r="ACQ460" s="4"/>
      <c r="ACR460" s="5"/>
      <c r="ACS460" s="6"/>
      <c r="ACT460" s="4"/>
      <c r="ACU460" s="4"/>
      <c r="ACV460" s="4"/>
      <c r="ACW460" s="4"/>
      <c r="ACX460" s="4"/>
      <c r="ACY460" s="5"/>
    </row>
    <row r="461" spans="2:805" x14ac:dyDescent="0.25">
      <c r="J461" s="12"/>
      <c r="K461" s="12"/>
      <c r="L461" s="12"/>
      <c r="LL461" s="6"/>
      <c r="LM461" s="4"/>
      <c r="LN461" s="4"/>
      <c r="LO461" s="4"/>
      <c r="LP461" s="4"/>
      <c r="LQ461" s="4"/>
      <c r="LR461" s="5"/>
      <c r="LS461" s="6"/>
      <c r="LT461" s="4"/>
      <c r="LU461" s="4"/>
      <c r="LV461" s="4"/>
      <c r="LW461" s="4"/>
      <c r="LX461" s="4"/>
      <c r="LY461" s="5"/>
      <c r="LZ461" s="6" t="s">
        <v>1911</v>
      </c>
      <c r="MA461" s="16" t="s">
        <v>1371</v>
      </c>
      <c r="MB461" s="4"/>
      <c r="MC461" s="7" t="s">
        <v>1578</v>
      </c>
      <c r="MD461" s="8">
        <v>39349</v>
      </c>
      <c r="ME461" s="8">
        <v>39349</v>
      </c>
      <c r="MF461" s="8"/>
      <c r="MG461" s="5"/>
      <c r="MH461" s="6"/>
      <c r="MI461" s="4"/>
      <c r="MJ461" s="4"/>
      <c r="MK461" s="4"/>
      <c r="ML461" s="4"/>
      <c r="MM461" s="4"/>
      <c r="MN461" s="5"/>
      <c r="MO461" s="6"/>
      <c r="MP461" s="4"/>
      <c r="MQ461" s="4"/>
      <c r="MR461" s="4"/>
      <c r="MS461" s="4"/>
      <c r="MT461" s="4"/>
      <c r="MU461" s="5"/>
      <c r="MV461" s="6"/>
      <c r="MW461" s="4"/>
      <c r="MX461" s="4"/>
      <c r="MY461" s="4"/>
      <c r="MZ461" s="4"/>
      <c r="NA461" s="4"/>
      <c r="NB461" s="5"/>
      <c r="NC461" s="6" t="s">
        <v>1708</v>
      </c>
      <c r="ND461" s="7" t="s">
        <v>1559</v>
      </c>
      <c r="NE461" s="7" t="s">
        <v>1762</v>
      </c>
      <c r="NF461" s="7" t="s">
        <v>1770</v>
      </c>
      <c r="NG461" s="8">
        <v>39322</v>
      </c>
      <c r="NH461" s="8">
        <v>39325</v>
      </c>
      <c r="NI461" s="5" t="s">
        <v>1332</v>
      </c>
      <c r="NJ461" s="6"/>
      <c r="NK461" s="4"/>
      <c r="NL461" s="4"/>
      <c r="NM461" s="4"/>
      <c r="NN461" s="4"/>
      <c r="NO461" s="4"/>
      <c r="NP461" s="5"/>
      <c r="NQ461" s="6"/>
      <c r="NR461" s="4"/>
      <c r="NS461" s="4"/>
      <c r="NT461" s="4"/>
      <c r="NU461" s="4"/>
      <c r="NV461" s="4"/>
      <c r="NW461" s="5"/>
      <c r="NX461" s="6"/>
      <c r="NY461" s="4"/>
      <c r="NZ461" s="4"/>
      <c r="OA461" s="4"/>
      <c r="OB461" s="4"/>
      <c r="OC461" s="4"/>
      <c r="OD461" s="5"/>
      <c r="OE461" s="6"/>
      <c r="OF461" s="4"/>
      <c r="OG461" s="4"/>
      <c r="OH461" s="4"/>
      <c r="OI461" s="4"/>
      <c r="OJ461" s="4"/>
      <c r="OK461" s="5"/>
      <c r="OL461" s="6"/>
      <c r="OM461" s="4"/>
      <c r="ON461" s="4"/>
      <c r="OO461" s="4"/>
      <c r="OP461" s="4"/>
      <c r="OQ461" s="4"/>
      <c r="OR461" s="5"/>
      <c r="OS461" s="6"/>
      <c r="OT461" s="4"/>
      <c r="OU461" s="4"/>
      <c r="OV461" s="4"/>
      <c r="OW461" s="4"/>
      <c r="OX461" s="4"/>
      <c r="OY461" s="5"/>
      <c r="OZ461" s="6"/>
      <c r="PA461" s="4"/>
      <c r="PB461" s="4"/>
      <c r="PC461" s="4"/>
      <c r="PD461" s="4"/>
      <c r="PE461" s="4"/>
      <c r="PF461" s="5"/>
      <c r="PG461" s="6"/>
      <c r="PH461" s="4"/>
      <c r="PI461" s="4"/>
      <c r="PJ461" s="4"/>
      <c r="PK461" s="4"/>
      <c r="PL461" s="4"/>
      <c r="PM461" s="5"/>
      <c r="PN461" s="6"/>
      <c r="PO461" s="4"/>
      <c r="PP461" s="4"/>
      <c r="PQ461" s="4"/>
      <c r="PR461" s="4"/>
      <c r="PS461" s="4"/>
      <c r="PT461" s="5"/>
      <c r="PU461" s="6"/>
      <c r="PV461" s="4"/>
      <c r="PW461" s="4"/>
      <c r="PX461" s="4"/>
      <c r="PY461" s="4"/>
      <c r="PZ461" s="4"/>
      <c r="QA461" s="5"/>
      <c r="QB461" s="6" t="s">
        <v>3436</v>
      </c>
      <c r="QC461" s="7" t="s">
        <v>3437</v>
      </c>
      <c r="QD461" s="7" t="s">
        <v>1705</v>
      </c>
      <c r="QE461" s="4"/>
      <c r="QF461" s="8">
        <v>39337</v>
      </c>
      <c r="QG461" s="4"/>
      <c r="QH461" s="5"/>
      <c r="QI461" s="6"/>
      <c r="QJ461" s="4"/>
      <c r="QK461" s="4"/>
      <c r="QL461" s="4"/>
      <c r="QM461" s="4"/>
      <c r="QN461" s="4"/>
      <c r="QO461" s="5"/>
      <c r="QP461" s="6"/>
      <c r="QQ461" s="4"/>
      <c r="QR461" s="4"/>
      <c r="QS461" s="4"/>
      <c r="QT461" s="4"/>
      <c r="QU461" s="4"/>
      <c r="QV461" s="5"/>
      <c r="QW461" s="6"/>
      <c r="QX461" s="4"/>
      <c r="QY461" s="4"/>
      <c r="QZ461" s="4"/>
      <c r="RA461" s="4"/>
      <c r="RB461" s="4"/>
      <c r="RC461" s="5"/>
      <c r="RD461" s="6"/>
      <c r="RE461" s="4"/>
      <c r="RF461" s="4"/>
      <c r="RG461" s="4"/>
      <c r="RH461" s="4"/>
      <c r="RI461" s="4"/>
      <c r="RJ461" s="5"/>
      <c r="RK461" s="6"/>
      <c r="RL461" s="4"/>
      <c r="RM461" s="4"/>
      <c r="RN461" s="4"/>
      <c r="RO461" s="4"/>
      <c r="RP461" s="4"/>
      <c r="RQ461" s="5"/>
      <c r="RR461" s="6"/>
      <c r="RS461" s="4"/>
      <c r="RT461" s="4"/>
      <c r="RU461" s="4"/>
      <c r="RV461" s="4"/>
      <c r="RW461" s="4"/>
      <c r="RX461" s="5"/>
      <c r="RY461" s="6"/>
      <c r="RZ461" s="4"/>
      <c r="SA461" s="4"/>
      <c r="SB461" s="4"/>
      <c r="SC461" s="4"/>
      <c r="SD461" s="4"/>
      <c r="SE461" s="5"/>
      <c r="SF461" s="6"/>
      <c r="SG461" s="4"/>
      <c r="SH461" s="4"/>
      <c r="SI461" s="4"/>
      <c r="SJ461" s="4"/>
      <c r="SK461" s="4"/>
      <c r="SL461" s="5"/>
      <c r="SM461" s="6"/>
      <c r="SN461" s="4"/>
      <c r="SO461" s="4"/>
      <c r="SP461" s="4"/>
      <c r="SQ461" s="4"/>
      <c r="SR461" s="4"/>
      <c r="SS461" s="5"/>
      <c r="ST461" s="6"/>
      <c r="SU461" s="4"/>
      <c r="SV461" s="4"/>
      <c r="SW461" s="4"/>
      <c r="SX461" s="4"/>
      <c r="SY461" s="4"/>
      <c r="SZ461" s="5"/>
      <c r="TA461" s="6"/>
      <c r="TB461" s="4"/>
      <c r="TC461" s="4"/>
      <c r="TD461" s="4"/>
      <c r="TE461" s="4"/>
      <c r="TF461" s="4"/>
      <c r="TG461" s="5"/>
      <c r="TH461" s="6"/>
      <c r="TI461" s="4"/>
      <c r="TJ461" s="4"/>
      <c r="TK461" s="4"/>
      <c r="TL461" s="4"/>
      <c r="TM461" s="4"/>
      <c r="TN461" s="5"/>
      <c r="TO461" s="6"/>
      <c r="TP461" s="4"/>
      <c r="TQ461" s="4"/>
      <c r="TR461" s="4"/>
      <c r="TS461" s="4"/>
      <c r="TT461" s="4"/>
      <c r="TU461" s="5"/>
      <c r="TV461" s="6"/>
      <c r="TW461" s="4"/>
      <c r="TX461" s="4"/>
      <c r="TY461" s="4"/>
      <c r="TZ461" s="4"/>
      <c r="UA461" s="4"/>
      <c r="UB461" s="5"/>
      <c r="UC461" s="6"/>
      <c r="UD461" s="4"/>
      <c r="UE461" s="4"/>
      <c r="UF461" s="4"/>
      <c r="UG461" s="4"/>
      <c r="UH461" s="4"/>
      <c r="UI461" s="5"/>
      <c r="UJ461" s="6"/>
      <c r="UK461" s="4"/>
      <c r="UL461" s="4"/>
      <c r="UM461" s="4"/>
      <c r="UN461" s="4"/>
      <c r="UO461" s="4"/>
      <c r="UP461" s="5"/>
      <c r="UQ461" s="6"/>
      <c r="UR461" s="4"/>
      <c r="US461" s="4"/>
      <c r="UT461" s="4"/>
      <c r="UU461" s="4"/>
      <c r="UV461" s="4"/>
      <c r="UW461" s="5"/>
      <c r="UX461" s="6"/>
      <c r="UY461" s="4"/>
      <c r="UZ461" s="4"/>
      <c r="VA461" s="4"/>
      <c r="VB461" s="4"/>
      <c r="VC461" s="4"/>
      <c r="VD461" s="5"/>
      <c r="VE461" s="15"/>
      <c r="VF461" s="12"/>
      <c r="VG461" s="4"/>
      <c r="VH461" s="4"/>
      <c r="VI461" s="8"/>
      <c r="VJ461" s="8"/>
      <c r="VK461" s="5"/>
      <c r="VL461" s="6"/>
      <c r="VM461" s="4"/>
      <c r="VN461" s="4"/>
      <c r="VO461" s="4"/>
      <c r="VP461" s="4"/>
      <c r="VQ461" s="4"/>
      <c r="VR461" s="5"/>
      <c r="VS461" s="6"/>
      <c r="VT461" s="4"/>
      <c r="VU461" s="4"/>
      <c r="VV461" s="4"/>
      <c r="VW461" s="4"/>
      <c r="VX461" s="4"/>
      <c r="VY461" s="5"/>
      <c r="VZ461" s="6"/>
      <c r="WA461" s="4"/>
      <c r="WB461" s="4"/>
      <c r="WC461" s="4"/>
      <c r="WD461" s="4"/>
      <c r="WE461" s="4"/>
      <c r="WF461" s="5"/>
      <c r="WG461" s="6"/>
      <c r="WH461" s="4"/>
      <c r="WI461" s="4"/>
      <c r="WJ461" s="4"/>
      <c r="WK461" s="4"/>
      <c r="WL461" s="4"/>
      <c r="WM461" s="5"/>
      <c r="WN461" s="6"/>
      <c r="WO461" s="4"/>
      <c r="WP461" s="4"/>
      <c r="WQ461" s="4"/>
      <c r="WR461" s="4"/>
      <c r="WS461" s="4"/>
      <c r="WT461" s="5"/>
      <c r="WU461" s="6"/>
      <c r="WV461" s="4"/>
      <c r="WW461" s="4"/>
      <c r="WX461" s="4"/>
      <c r="WY461" s="4"/>
      <c r="WZ461" s="4"/>
      <c r="XA461" s="5"/>
      <c r="XB461" s="6"/>
      <c r="XC461" s="4"/>
      <c r="XD461" s="4"/>
      <c r="XE461" s="4"/>
      <c r="XF461" s="4"/>
      <c r="XG461" s="4"/>
      <c r="XH461" s="5"/>
      <c r="XI461" s="6"/>
      <c r="XJ461" s="4"/>
      <c r="XK461" s="4"/>
      <c r="XL461" s="4"/>
      <c r="XM461" s="4"/>
      <c r="XN461" s="4"/>
      <c r="XO461" s="5"/>
      <c r="XP461" s="6"/>
      <c r="XQ461" s="4"/>
      <c r="XR461" s="4"/>
      <c r="XS461" s="4"/>
      <c r="XT461" s="4"/>
      <c r="XU461" s="4"/>
      <c r="XV461" s="5"/>
      <c r="XW461" s="6"/>
      <c r="XX461" s="4"/>
      <c r="XY461" s="4"/>
      <c r="XZ461" s="4"/>
      <c r="YA461" s="4"/>
      <c r="YB461" s="4"/>
      <c r="YC461" s="5"/>
      <c r="YD461" s="6"/>
      <c r="YE461" s="4"/>
      <c r="YF461" s="4"/>
      <c r="YG461" s="4"/>
      <c r="YH461" s="4"/>
      <c r="YI461" s="4"/>
      <c r="YJ461" s="5"/>
      <c r="YK461" s="11" t="s">
        <v>1435</v>
      </c>
      <c r="YL461" s="7" t="s">
        <v>1435</v>
      </c>
      <c r="YM461" s="4"/>
      <c r="YN461" s="7" t="s">
        <v>1690</v>
      </c>
      <c r="YO461" s="8">
        <v>39322</v>
      </c>
      <c r="YP461" s="8">
        <v>39323</v>
      </c>
      <c r="YQ461" s="5" t="s">
        <v>1273</v>
      </c>
      <c r="YR461" s="6"/>
      <c r="YS461" s="4"/>
      <c r="YT461" s="4"/>
      <c r="YU461" s="4"/>
      <c r="YV461" s="4"/>
      <c r="YW461" s="4"/>
      <c r="YX461" s="5"/>
      <c r="YY461" s="6"/>
      <c r="YZ461" s="4"/>
      <c r="ZA461" s="4"/>
      <c r="ZB461" s="4"/>
      <c r="ZC461" s="4"/>
      <c r="ZD461" s="4"/>
      <c r="ZE461" s="5"/>
      <c r="ZF461" s="6"/>
      <c r="ZG461" s="4"/>
      <c r="ZH461" s="4"/>
      <c r="ZI461" s="4"/>
      <c r="ZJ461" s="4"/>
      <c r="ZK461" s="4"/>
      <c r="ZL461" s="5"/>
      <c r="ZM461" s="6"/>
      <c r="ZN461" s="4"/>
      <c r="ZO461" s="4"/>
      <c r="ZP461" s="4"/>
      <c r="ZQ461" s="4"/>
      <c r="ZR461" s="4"/>
      <c r="ZS461" s="5"/>
      <c r="ZT461" s="6"/>
      <c r="ZU461" s="4"/>
      <c r="ZV461" s="4"/>
      <c r="ZW461" s="4"/>
      <c r="ZX461" s="4"/>
      <c r="ZY461" s="4"/>
      <c r="ZZ461" s="5"/>
      <c r="AAA461" s="6"/>
      <c r="AAB461" s="4"/>
      <c r="AAC461" s="4"/>
      <c r="AAD461" s="4"/>
      <c r="AAE461" s="4"/>
      <c r="AAF461" s="4"/>
      <c r="AAG461" s="5"/>
      <c r="AAH461" s="6"/>
      <c r="AAI461" s="4"/>
      <c r="AAJ461" s="4"/>
      <c r="AAK461" s="4"/>
      <c r="AAL461" s="4"/>
      <c r="AAM461" s="4"/>
      <c r="AAN461" s="5"/>
      <c r="AAO461" s="6"/>
      <c r="AAP461" s="4"/>
      <c r="AAQ461" s="4"/>
      <c r="AAR461" s="4"/>
      <c r="AAS461" s="4"/>
      <c r="AAT461" s="4"/>
      <c r="AAU461" s="5"/>
      <c r="AAV461" s="6"/>
      <c r="AAW461" s="4"/>
      <c r="AAX461" s="4"/>
      <c r="AAY461" s="4"/>
      <c r="AAZ461" s="4"/>
      <c r="ABA461" s="4"/>
      <c r="ABB461" s="5"/>
      <c r="ABC461" s="6"/>
      <c r="ABD461" s="4"/>
      <c r="ABE461" s="4"/>
      <c r="ABF461" s="4"/>
      <c r="ABG461" s="4"/>
      <c r="ABH461" s="4"/>
      <c r="ABI461" s="5"/>
      <c r="ABJ461" s="6"/>
      <c r="ABK461" s="4"/>
      <c r="ABL461" s="4"/>
      <c r="ABM461" s="4"/>
      <c r="ABN461" s="4"/>
      <c r="ABO461" s="4"/>
      <c r="ABP461" s="5"/>
      <c r="ABQ461" s="6"/>
      <c r="ABR461" s="4"/>
      <c r="ABS461" s="4"/>
      <c r="ABT461" s="4"/>
      <c r="ABU461" s="4"/>
      <c r="ABV461" s="4"/>
      <c r="ABW461" s="5"/>
      <c r="ABX461" s="6"/>
      <c r="ABY461" s="4"/>
      <c r="ABZ461" s="4"/>
      <c r="ACA461" s="4"/>
      <c r="ACB461" s="4"/>
      <c r="ACC461" s="4"/>
      <c r="ACD461" s="5"/>
      <c r="ACE461" s="6"/>
      <c r="ACF461" s="4"/>
      <c r="ACG461" s="4"/>
      <c r="ACH461" s="4"/>
      <c r="ACI461" s="4"/>
      <c r="ACJ461" s="4"/>
      <c r="ACK461" s="5"/>
      <c r="ACL461" s="6"/>
      <c r="ACM461" s="4"/>
      <c r="ACN461" s="4"/>
      <c r="ACO461" s="4"/>
      <c r="ACP461" s="4"/>
      <c r="ACQ461" s="4"/>
      <c r="ACR461" s="5"/>
      <c r="ACS461" s="6"/>
      <c r="ACT461" s="4"/>
      <c r="ACU461" s="4"/>
      <c r="ACV461" s="4"/>
      <c r="ACW461" s="4"/>
      <c r="ACX461" s="4"/>
      <c r="ACY461" s="5"/>
    </row>
    <row r="462" spans="2:805" x14ac:dyDescent="0.25">
      <c r="J462" s="12"/>
      <c r="K462" s="12"/>
      <c r="L462" s="12"/>
      <c r="LL462" s="6"/>
      <c r="LM462" s="4"/>
      <c r="LN462" s="4"/>
      <c r="LO462" s="4"/>
      <c r="LP462" s="4"/>
      <c r="LQ462" s="4"/>
      <c r="LR462" s="5"/>
      <c r="LS462" s="6"/>
      <c r="LT462" s="4"/>
      <c r="LU462" s="4"/>
      <c r="LV462" s="4"/>
      <c r="LW462" s="4"/>
      <c r="LX462" s="4"/>
      <c r="LY462" s="5"/>
      <c r="LZ462" s="6" t="s">
        <v>3160</v>
      </c>
      <c r="MA462" s="7" t="s">
        <v>3218</v>
      </c>
      <c r="MB462" s="4" t="s">
        <v>1773</v>
      </c>
      <c r="MC462" s="7" t="s">
        <v>1690</v>
      </c>
      <c r="MD462" s="8">
        <v>39333</v>
      </c>
      <c r="ME462" s="8">
        <v>39334</v>
      </c>
      <c r="MF462" s="8"/>
      <c r="MG462" s="5" t="s">
        <v>1203</v>
      </c>
      <c r="MH462" s="6"/>
      <c r="MI462" s="4"/>
      <c r="MJ462" s="4"/>
      <c r="MK462" s="4"/>
      <c r="ML462" s="4"/>
      <c r="MM462" s="4"/>
      <c r="MN462" s="5"/>
      <c r="MO462" s="6"/>
      <c r="MP462" s="4"/>
      <c r="MQ462" s="4"/>
      <c r="MR462" s="4"/>
      <c r="MS462" s="4"/>
      <c r="MT462" s="4"/>
      <c r="MU462" s="5"/>
      <c r="MV462" s="6"/>
      <c r="MW462" s="4"/>
      <c r="MX462" s="4"/>
      <c r="MY462" s="4"/>
      <c r="MZ462" s="4"/>
      <c r="NA462" s="4"/>
      <c r="NB462" s="5"/>
      <c r="NC462" s="6" t="s">
        <v>1708</v>
      </c>
      <c r="ND462" s="7" t="s">
        <v>1559</v>
      </c>
      <c r="NE462" s="7" t="s">
        <v>1922</v>
      </c>
      <c r="NF462" s="4"/>
      <c r="NG462" s="8">
        <v>39345</v>
      </c>
      <c r="NH462" s="4"/>
      <c r="NI462" s="5"/>
      <c r="NJ462" s="6"/>
      <c r="NK462" s="4"/>
      <c r="NL462" s="4"/>
      <c r="NM462" s="4"/>
      <c r="NN462" s="4"/>
      <c r="NO462" s="4"/>
      <c r="NP462" s="5"/>
      <c r="NQ462" s="6"/>
      <c r="NR462" s="4"/>
      <c r="NS462" s="4"/>
      <c r="NT462" s="4"/>
      <c r="NU462" s="4"/>
      <c r="NV462" s="4"/>
      <c r="NW462" s="5"/>
      <c r="NX462" s="6"/>
      <c r="NY462" s="4"/>
      <c r="NZ462" s="4"/>
      <c r="OA462" s="4"/>
      <c r="OB462" s="4"/>
      <c r="OC462" s="4"/>
      <c r="OD462" s="5"/>
      <c r="OE462" s="6"/>
      <c r="OF462" s="4"/>
      <c r="OG462" s="4"/>
      <c r="OH462" s="4"/>
      <c r="OI462" s="4"/>
      <c r="OJ462" s="4"/>
      <c r="OK462" s="5"/>
      <c r="OL462" s="6"/>
      <c r="OM462" s="4"/>
      <c r="ON462" s="4"/>
      <c r="OO462" s="4"/>
      <c r="OP462" s="4"/>
      <c r="OQ462" s="4"/>
      <c r="OR462" s="5"/>
      <c r="OS462" s="6"/>
      <c r="OT462" s="4"/>
      <c r="OU462" s="4"/>
      <c r="OV462" s="4"/>
      <c r="OW462" s="4"/>
      <c r="OX462" s="4"/>
      <c r="OY462" s="5"/>
      <c r="OZ462" s="6"/>
      <c r="PA462" s="4"/>
      <c r="PB462" s="4"/>
      <c r="PC462" s="4"/>
      <c r="PD462" s="4"/>
      <c r="PE462" s="4"/>
      <c r="PF462" s="5"/>
      <c r="PG462" s="6"/>
      <c r="PH462" s="4"/>
      <c r="PI462" s="4"/>
      <c r="PJ462" s="4"/>
      <c r="PK462" s="4"/>
      <c r="PL462" s="4"/>
      <c r="PM462" s="5"/>
      <c r="PN462" s="6"/>
      <c r="PO462" s="4"/>
      <c r="PP462" s="4"/>
      <c r="PQ462" s="4"/>
      <c r="PR462" s="4"/>
      <c r="PS462" s="4"/>
      <c r="PT462" s="5"/>
      <c r="PU462" s="6"/>
      <c r="PV462" s="4"/>
      <c r="PW462" s="4"/>
      <c r="PX462" s="4"/>
      <c r="PY462" s="4"/>
      <c r="PZ462" s="4"/>
      <c r="QA462" s="5"/>
      <c r="QB462" s="6" t="s">
        <v>1111</v>
      </c>
      <c r="QC462" s="7" t="s">
        <v>1112</v>
      </c>
      <c r="QD462" s="7" t="s">
        <v>1929</v>
      </c>
      <c r="QE462" s="7" t="s">
        <v>1678</v>
      </c>
      <c r="QF462" s="8">
        <v>39332</v>
      </c>
      <c r="QG462" s="8">
        <v>39337</v>
      </c>
      <c r="QH462" s="5" t="s">
        <v>1477</v>
      </c>
      <c r="QI462" s="6"/>
      <c r="QJ462" s="4"/>
      <c r="QK462" s="4"/>
      <c r="QL462" s="4"/>
      <c r="QM462" s="4"/>
      <c r="QN462" s="4"/>
      <c r="QO462" s="5"/>
      <c r="QP462" s="6"/>
      <c r="QQ462" s="4"/>
      <c r="QR462" s="4"/>
      <c r="QS462" s="4"/>
      <c r="QT462" s="4"/>
      <c r="QU462" s="4"/>
      <c r="QV462" s="5"/>
      <c r="QW462" s="6"/>
      <c r="QX462" s="4"/>
      <c r="QY462" s="4"/>
      <c r="QZ462" s="4"/>
      <c r="RA462" s="4"/>
      <c r="RB462" s="4"/>
      <c r="RC462" s="5"/>
      <c r="RD462" s="6"/>
      <c r="RE462" s="4"/>
      <c r="RF462" s="4"/>
      <c r="RG462" s="4"/>
      <c r="RH462" s="4"/>
      <c r="RI462" s="4"/>
      <c r="RJ462" s="5"/>
      <c r="RK462" s="6"/>
      <c r="RL462" s="4"/>
      <c r="RM462" s="4"/>
      <c r="RN462" s="4"/>
      <c r="RO462" s="4"/>
      <c r="RP462" s="4"/>
      <c r="RQ462" s="5"/>
      <c r="RR462" s="6"/>
      <c r="RS462" s="4"/>
      <c r="RT462" s="4"/>
      <c r="RU462" s="4"/>
      <c r="RV462" s="4"/>
      <c r="RW462" s="4"/>
      <c r="RX462" s="5"/>
      <c r="RY462" s="6"/>
      <c r="RZ462" s="4"/>
      <c r="SA462" s="4"/>
      <c r="SB462" s="4"/>
      <c r="SC462" s="4"/>
      <c r="SD462" s="4"/>
      <c r="SE462" s="5"/>
      <c r="SF462" s="6"/>
      <c r="SG462" s="4"/>
      <c r="SH462" s="4"/>
      <c r="SI462" s="4"/>
      <c r="SJ462" s="4"/>
      <c r="SK462" s="4"/>
      <c r="SL462" s="5"/>
      <c r="SM462" s="6"/>
      <c r="SN462" s="4"/>
      <c r="SO462" s="4"/>
      <c r="SP462" s="4"/>
      <c r="SQ462" s="4"/>
      <c r="SR462" s="4"/>
      <c r="SS462" s="5"/>
      <c r="ST462" s="6"/>
      <c r="SU462" s="4"/>
      <c r="SV462" s="4"/>
      <c r="SW462" s="4"/>
      <c r="SX462" s="4"/>
      <c r="SY462" s="4"/>
      <c r="SZ462" s="5"/>
      <c r="TA462" s="6"/>
      <c r="TB462" s="4"/>
      <c r="TC462" s="4"/>
      <c r="TD462" s="4"/>
      <c r="TE462" s="4"/>
      <c r="TF462" s="4"/>
      <c r="TG462" s="5"/>
      <c r="TH462" s="6"/>
      <c r="TI462" s="4"/>
      <c r="TJ462" s="4"/>
      <c r="TK462" s="4"/>
      <c r="TL462" s="4"/>
      <c r="TM462" s="4"/>
      <c r="TN462" s="5"/>
      <c r="TO462" s="6"/>
      <c r="TP462" s="4"/>
      <c r="TQ462" s="4"/>
      <c r="TR462" s="4"/>
      <c r="TS462" s="4"/>
      <c r="TT462" s="4"/>
      <c r="TU462" s="5"/>
      <c r="TV462" s="6"/>
      <c r="TW462" s="4"/>
      <c r="TX462" s="4"/>
      <c r="TY462" s="4"/>
      <c r="TZ462" s="4"/>
      <c r="UA462" s="4"/>
      <c r="UB462" s="5"/>
      <c r="UC462" s="6"/>
      <c r="UD462" s="4"/>
      <c r="UE462" s="4"/>
      <c r="UF462" s="4"/>
      <c r="UG462" s="4"/>
      <c r="UH462" s="4"/>
      <c r="UI462" s="5"/>
      <c r="UJ462" s="6"/>
      <c r="UK462" s="4"/>
      <c r="UL462" s="4"/>
      <c r="UM462" s="4"/>
      <c r="UN462" s="4"/>
      <c r="UO462" s="4"/>
      <c r="UP462" s="5"/>
      <c r="UQ462" s="6"/>
      <c r="UR462" s="4"/>
      <c r="US462" s="4"/>
      <c r="UT462" s="4"/>
      <c r="UU462" s="4"/>
      <c r="UV462" s="4"/>
      <c r="UW462" s="5"/>
      <c r="UX462" s="6"/>
      <c r="UY462" s="4"/>
      <c r="UZ462" s="4"/>
      <c r="VA462" s="4"/>
      <c r="VB462" s="4"/>
      <c r="VC462" s="4"/>
      <c r="VD462" s="5"/>
      <c r="VE462" s="15"/>
      <c r="VF462" s="12"/>
      <c r="VG462" s="4"/>
      <c r="VH462" s="4"/>
      <c r="VI462" s="8"/>
      <c r="VJ462" s="8"/>
      <c r="VK462" s="5"/>
      <c r="VL462" s="6"/>
      <c r="VM462" s="4"/>
      <c r="VN462" s="4"/>
      <c r="VO462" s="4"/>
      <c r="VP462" s="4"/>
      <c r="VQ462" s="4"/>
      <c r="VR462" s="5"/>
      <c r="VS462" s="6"/>
      <c r="VT462" s="4"/>
      <c r="VU462" s="4"/>
      <c r="VV462" s="4"/>
      <c r="VW462" s="4"/>
      <c r="VX462" s="4"/>
      <c r="VY462" s="5"/>
      <c r="VZ462" s="6"/>
      <c r="WA462" s="4"/>
      <c r="WB462" s="4"/>
      <c r="WC462" s="4"/>
      <c r="WD462" s="4"/>
      <c r="WE462" s="4"/>
      <c r="WF462" s="5"/>
      <c r="WG462" s="6"/>
      <c r="WH462" s="4"/>
      <c r="WI462" s="4"/>
      <c r="WJ462" s="4"/>
      <c r="WK462" s="4"/>
      <c r="WL462" s="4"/>
      <c r="WM462" s="5"/>
      <c r="WN462" s="6"/>
      <c r="WO462" s="4"/>
      <c r="WP462" s="4"/>
      <c r="WQ462" s="4"/>
      <c r="WR462" s="4"/>
      <c r="WS462" s="4"/>
      <c r="WT462" s="5"/>
      <c r="WU462" s="6"/>
      <c r="WV462" s="4"/>
      <c r="WW462" s="4"/>
      <c r="WX462" s="4"/>
      <c r="WY462" s="4"/>
      <c r="WZ462" s="4"/>
      <c r="XA462" s="5"/>
      <c r="XB462" s="6"/>
      <c r="XC462" s="4"/>
      <c r="XD462" s="4"/>
      <c r="XE462" s="4"/>
      <c r="XF462" s="4"/>
      <c r="XG462" s="4"/>
      <c r="XH462" s="5"/>
      <c r="XI462" s="6"/>
      <c r="XJ462" s="4"/>
      <c r="XK462" s="4"/>
      <c r="XL462" s="4"/>
      <c r="XM462" s="4"/>
      <c r="XN462" s="4"/>
      <c r="XO462" s="5"/>
      <c r="XP462" s="6"/>
      <c r="XQ462" s="4"/>
      <c r="XR462" s="4"/>
      <c r="XS462" s="4"/>
      <c r="XT462" s="4"/>
      <c r="XU462" s="4"/>
      <c r="XV462" s="5"/>
      <c r="XW462" s="6"/>
      <c r="XX462" s="4"/>
      <c r="XY462" s="4"/>
      <c r="XZ462" s="4"/>
      <c r="YA462" s="4"/>
      <c r="YB462" s="4"/>
      <c r="YC462" s="5"/>
      <c r="YD462" s="6"/>
      <c r="YE462" s="4"/>
      <c r="YF462" s="4"/>
      <c r="YG462" s="4"/>
      <c r="YH462" s="4"/>
      <c r="YI462" s="4"/>
      <c r="YJ462" s="5"/>
      <c r="YK462" s="11" t="s">
        <v>1435</v>
      </c>
      <c r="YL462" s="7" t="s">
        <v>1435</v>
      </c>
      <c r="YM462" s="4"/>
      <c r="YN462" s="7" t="s">
        <v>1866</v>
      </c>
      <c r="YO462" s="8">
        <v>39332</v>
      </c>
      <c r="YP462" s="8">
        <v>39338</v>
      </c>
      <c r="YQ462" s="5"/>
      <c r="YR462" s="6"/>
      <c r="YS462" s="4"/>
      <c r="YT462" s="4"/>
      <c r="YU462" s="4"/>
      <c r="YV462" s="4"/>
      <c r="YW462" s="4"/>
      <c r="YX462" s="5"/>
      <c r="YY462" s="6"/>
      <c r="YZ462" s="4"/>
      <c r="ZA462" s="4"/>
      <c r="ZB462" s="4"/>
      <c r="ZC462" s="4"/>
      <c r="ZD462" s="4"/>
      <c r="ZE462" s="5"/>
      <c r="ZF462" s="6"/>
      <c r="ZG462" s="4"/>
      <c r="ZH462" s="4"/>
      <c r="ZI462" s="4"/>
      <c r="ZJ462" s="4"/>
      <c r="ZK462" s="4"/>
      <c r="ZL462" s="5"/>
      <c r="ZM462" s="6"/>
      <c r="ZN462" s="4"/>
      <c r="ZO462" s="4"/>
      <c r="ZP462" s="4"/>
      <c r="ZQ462" s="4"/>
      <c r="ZR462" s="4"/>
      <c r="ZS462" s="5"/>
      <c r="ZT462" s="6"/>
      <c r="ZU462" s="4"/>
      <c r="ZV462" s="4"/>
      <c r="ZW462" s="4"/>
      <c r="ZX462" s="4"/>
      <c r="ZY462" s="4"/>
      <c r="ZZ462" s="5"/>
      <c r="AAA462" s="6"/>
      <c r="AAB462" s="4"/>
      <c r="AAC462" s="4"/>
      <c r="AAD462" s="4"/>
      <c r="AAE462" s="4"/>
      <c r="AAF462" s="4"/>
      <c r="AAG462" s="5"/>
      <c r="AAH462" s="6"/>
      <c r="AAI462" s="4"/>
      <c r="AAJ462" s="4"/>
      <c r="AAK462" s="4"/>
      <c r="AAL462" s="4"/>
      <c r="AAM462" s="4"/>
      <c r="AAN462" s="5"/>
      <c r="AAO462" s="6"/>
      <c r="AAP462" s="4"/>
      <c r="AAQ462" s="4"/>
      <c r="AAR462" s="4"/>
      <c r="AAS462" s="4"/>
      <c r="AAT462" s="4"/>
      <c r="AAU462" s="5"/>
      <c r="AAV462" s="6"/>
      <c r="AAW462" s="4"/>
      <c r="AAX462" s="4"/>
      <c r="AAY462" s="4"/>
      <c r="AAZ462" s="4"/>
      <c r="ABA462" s="4"/>
      <c r="ABB462" s="5"/>
      <c r="ABC462" s="6"/>
      <c r="ABD462" s="4"/>
      <c r="ABE462" s="4"/>
      <c r="ABF462" s="4"/>
      <c r="ABG462" s="4"/>
      <c r="ABH462" s="4"/>
      <c r="ABI462" s="5"/>
      <c r="ABJ462" s="6"/>
      <c r="ABK462" s="4"/>
      <c r="ABL462" s="4"/>
      <c r="ABM462" s="4"/>
      <c r="ABN462" s="4"/>
      <c r="ABO462" s="4"/>
      <c r="ABP462" s="5"/>
      <c r="ABQ462" s="6"/>
      <c r="ABR462" s="4"/>
      <c r="ABS462" s="4"/>
      <c r="ABT462" s="4"/>
      <c r="ABU462" s="4"/>
      <c r="ABV462" s="4"/>
      <c r="ABW462" s="5"/>
      <c r="ABX462" s="6"/>
      <c r="ABY462" s="4"/>
      <c r="ABZ462" s="4"/>
      <c r="ACA462" s="4"/>
      <c r="ACB462" s="4"/>
      <c r="ACC462" s="4"/>
      <c r="ACD462" s="5"/>
      <c r="ACE462" s="6"/>
      <c r="ACF462" s="4"/>
      <c r="ACG462" s="4"/>
      <c r="ACH462" s="4"/>
      <c r="ACI462" s="4"/>
      <c r="ACJ462" s="4"/>
      <c r="ACK462" s="5"/>
      <c r="ACL462" s="6"/>
      <c r="ACM462" s="4"/>
      <c r="ACN462" s="4"/>
      <c r="ACO462" s="4"/>
      <c r="ACP462" s="4"/>
      <c r="ACQ462" s="4"/>
      <c r="ACR462" s="5"/>
      <c r="ACS462" s="6"/>
      <c r="ACT462" s="4"/>
      <c r="ACU462" s="4"/>
      <c r="ACV462" s="4"/>
      <c r="ACW462" s="4"/>
      <c r="ACX462" s="4"/>
      <c r="ACY462" s="5"/>
    </row>
    <row r="463" spans="2:805" x14ac:dyDescent="0.25">
      <c r="J463" s="12"/>
      <c r="K463" s="12"/>
      <c r="L463" s="12"/>
      <c r="LL463" s="6"/>
      <c r="LM463" s="4"/>
      <c r="LN463" s="4"/>
      <c r="LO463" s="4"/>
      <c r="LP463" s="4"/>
      <c r="LQ463" s="4"/>
      <c r="LR463" s="5"/>
      <c r="LS463" s="6"/>
      <c r="LT463" s="4"/>
      <c r="LU463" s="4"/>
      <c r="LV463" s="4"/>
      <c r="LW463" s="4"/>
      <c r="LX463" s="4"/>
      <c r="LY463" s="5"/>
      <c r="LZ463" s="6" t="s">
        <v>3160</v>
      </c>
      <c r="MA463" s="7" t="s">
        <v>3218</v>
      </c>
      <c r="MB463" s="4" t="s">
        <v>1865</v>
      </c>
      <c r="MC463" s="7" t="s">
        <v>1690</v>
      </c>
      <c r="MD463" s="8">
        <v>39337</v>
      </c>
      <c r="ME463" s="8">
        <v>39338</v>
      </c>
      <c r="MF463" s="8"/>
      <c r="MG463" s="5"/>
      <c r="MH463" s="6"/>
      <c r="MI463" s="4"/>
      <c r="MJ463" s="4"/>
      <c r="MK463" s="4"/>
      <c r="ML463" s="4"/>
      <c r="MM463" s="4"/>
      <c r="MN463" s="5"/>
      <c r="MO463" s="6"/>
      <c r="MP463" s="4"/>
      <c r="MQ463" s="4"/>
      <c r="MR463" s="4"/>
      <c r="MS463" s="4"/>
      <c r="MT463" s="4"/>
      <c r="MU463" s="5"/>
      <c r="MV463" s="6"/>
      <c r="MW463" s="4"/>
      <c r="MX463" s="4"/>
      <c r="MY463" s="4"/>
      <c r="MZ463" s="4"/>
      <c r="NA463" s="4"/>
      <c r="NB463" s="5"/>
      <c r="NC463" s="6"/>
      <c r="NE463" s="4"/>
      <c r="NF463" s="4"/>
      <c r="NG463" s="4"/>
      <c r="NH463" s="4"/>
      <c r="NI463" s="5"/>
      <c r="NJ463" s="6"/>
      <c r="NK463" s="4"/>
      <c r="NL463" s="4"/>
      <c r="NM463" s="4"/>
      <c r="NN463" s="4"/>
      <c r="NO463" s="4"/>
      <c r="NP463" s="5"/>
      <c r="NQ463" s="6"/>
      <c r="NR463" s="4"/>
      <c r="NS463" s="4"/>
      <c r="NT463" s="4"/>
      <c r="NU463" s="4"/>
      <c r="NV463" s="4"/>
      <c r="NW463" s="5"/>
      <c r="NX463" s="6"/>
      <c r="NY463" s="4"/>
      <c r="NZ463" s="4"/>
      <c r="OA463" s="4"/>
      <c r="OB463" s="4"/>
      <c r="OC463" s="4"/>
      <c r="OD463" s="5"/>
      <c r="OE463" s="6"/>
      <c r="OF463" s="4"/>
      <c r="OG463" s="4"/>
      <c r="OH463" s="4"/>
      <c r="OI463" s="4"/>
      <c r="OJ463" s="4"/>
      <c r="OK463" s="5"/>
      <c r="OL463" s="6"/>
      <c r="OM463" s="4"/>
      <c r="ON463" s="4"/>
      <c r="OO463" s="4"/>
      <c r="OP463" s="4"/>
      <c r="OQ463" s="4"/>
      <c r="OR463" s="5"/>
      <c r="OS463" s="6"/>
      <c r="OT463" s="4"/>
      <c r="OU463" s="4"/>
      <c r="OV463" s="4"/>
      <c r="OW463" s="4"/>
      <c r="OX463" s="4"/>
      <c r="OY463" s="5"/>
      <c r="OZ463" s="6"/>
      <c r="PA463" s="4"/>
      <c r="PB463" s="4"/>
      <c r="PC463" s="4"/>
      <c r="PD463" s="4"/>
      <c r="PE463" s="4"/>
      <c r="PF463" s="5"/>
      <c r="PG463" s="6"/>
      <c r="PH463" s="4"/>
      <c r="PI463" s="4"/>
      <c r="PJ463" s="4"/>
      <c r="PK463" s="4"/>
      <c r="PL463" s="4"/>
      <c r="PM463" s="5"/>
      <c r="PN463" s="6"/>
      <c r="PO463" s="4"/>
      <c r="PP463" s="4"/>
      <c r="PQ463" s="4"/>
      <c r="PR463" s="4"/>
      <c r="PS463" s="4"/>
      <c r="PT463" s="5"/>
      <c r="PU463" s="6"/>
      <c r="PV463" s="4"/>
      <c r="PW463" s="4"/>
      <c r="PX463" s="4"/>
      <c r="PY463" s="4"/>
      <c r="PZ463" s="4"/>
      <c r="QA463" s="5"/>
      <c r="QB463" s="6"/>
      <c r="QC463" s="4"/>
      <c r="QD463" s="4"/>
      <c r="QE463" s="4"/>
      <c r="QF463" s="4"/>
      <c r="QG463" s="4"/>
      <c r="QH463" s="5"/>
      <c r="QI463" s="6"/>
      <c r="QJ463" s="4"/>
      <c r="QK463" s="4"/>
      <c r="QL463" s="4"/>
      <c r="QM463" s="4"/>
      <c r="QN463" s="4"/>
      <c r="QO463" s="5"/>
      <c r="QP463" s="6"/>
      <c r="QQ463" s="4"/>
      <c r="QR463" s="4"/>
      <c r="QS463" s="4"/>
      <c r="QT463" s="4"/>
      <c r="QU463" s="4"/>
      <c r="QV463" s="5"/>
      <c r="QW463" s="6"/>
      <c r="QX463" s="4"/>
      <c r="QY463" s="4"/>
      <c r="QZ463" s="4"/>
      <c r="RA463" s="4"/>
      <c r="RB463" s="4"/>
      <c r="RC463" s="5"/>
      <c r="RD463" s="6"/>
      <c r="RE463" s="4"/>
      <c r="RF463" s="4"/>
      <c r="RG463" s="4"/>
      <c r="RH463" s="4"/>
      <c r="RI463" s="4"/>
      <c r="RJ463" s="5"/>
      <c r="RK463" s="6"/>
      <c r="RL463" s="4"/>
      <c r="RM463" s="4"/>
      <c r="RN463" s="4"/>
      <c r="RO463" s="4"/>
      <c r="RP463" s="4"/>
      <c r="RQ463" s="5"/>
      <c r="RR463" s="6"/>
      <c r="RS463" s="4"/>
      <c r="RT463" s="4"/>
      <c r="RU463" s="4"/>
      <c r="RV463" s="4"/>
      <c r="RW463" s="4"/>
      <c r="RX463" s="5"/>
      <c r="RY463" s="6"/>
      <c r="RZ463" s="4"/>
      <c r="SA463" s="4"/>
      <c r="SB463" s="4"/>
      <c r="SC463" s="4"/>
      <c r="SD463" s="4"/>
      <c r="SE463" s="5"/>
      <c r="SF463" s="6"/>
      <c r="SG463" s="4"/>
      <c r="SH463" s="4"/>
      <c r="SI463" s="4"/>
      <c r="SJ463" s="4"/>
      <c r="SK463" s="4"/>
      <c r="SL463" s="5"/>
      <c r="SM463" s="6"/>
      <c r="SN463" s="4"/>
      <c r="SO463" s="4"/>
      <c r="SP463" s="4"/>
      <c r="SQ463" s="4"/>
      <c r="SR463" s="4"/>
      <c r="SS463" s="5"/>
      <c r="ST463" s="6"/>
      <c r="SU463" s="4"/>
      <c r="SV463" s="4"/>
      <c r="SW463" s="4"/>
      <c r="SX463" s="4"/>
      <c r="SY463" s="4"/>
      <c r="SZ463" s="5"/>
      <c r="TA463" s="6"/>
      <c r="TB463" s="4"/>
      <c r="TC463" s="4"/>
      <c r="TD463" s="4"/>
      <c r="TE463" s="4"/>
      <c r="TF463" s="4"/>
      <c r="TG463" s="5"/>
      <c r="TH463" s="6"/>
      <c r="TI463" s="4"/>
      <c r="TJ463" s="4"/>
      <c r="TK463" s="4"/>
      <c r="TL463" s="4"/>
      <c r="TM463" s="4"/>
      <c r="TN463" s="5"/>
      <c r="TO463" s="6"/>
      <c r="TP463" s="4"/>
      <c r="TQ463" s="4"/>
      <c r="TR463" s="4"/>
      <c r="TS463" s="4"/>
      <c r="TT463" s="4"/>
      <c r="TU463" s="5"/>
      <c r="TV463" s="6"/>
      <c r="TW463" s="4"/>
      <c r="TX463" s="4"/>
      <c r="TY463" s="4"/>
      <c r="TZ463" s="4"/>
      <c r="UA463" s="4"/>
      <c r="UB463" s="5"/>
      <c r="UC463" s="6"/>
      <c r="UD463" s="4"/>
      <c r="UE463" s="4"/>
      <c r="UF463" s="4"/>
      <c r="UG463" s="4"/>
      <c r="UH463" s="4"/>
      <c r="UI463" s="5"/>
      <c r="UJ463" s="6"/>
      <c r="UK463" s="4"/>
      <c r="UL463" s="4"/>
      <c r="UM463" s="4"/>
      <c r="UN463" s="4"/>
      <c r="UO463" s="4"/>
      <c r="UP463" s="5"/>
      <c r="UQ463" s="6"/>
      <c r="UR463" s="4"/>
      <c r="US463" s="4"/>
      <c r="UT463" s="4"/>
      <c r="UU463" s="4"/>
      <c r="UV463" s="4"/>
      <c r="UW463" s="5"/>
      <c r="UX463" s="6"/>
      <c r="UY463" s="4"/>
      <c r="UZ463" s="4"/>
      <c r="VA463" s="4"/>
      <c r="VB463" s="4"/>
      <c r="VC463" s="4"/>
      <c r="VD463" s="5"/>
      <c r="VE463" s="15"/>
      <c r="VF463" s="12"/>
      <c r="VG463" s="4"/>
      <c r="VH463" s="4"/>
      <c r="VI463" s="8"/>
      <c r="VJ463" s="8"/>
      <c r="VK463" s="5"/>
      <c r="VL463" s="6"/>
      <c r="VM463" s="4"/>
      <c r="VN463" s="4"/>
      <c r="VO463" s="4"/>
      <c r="VP463" s="4"/>
      <c r="VQ463" s="4"/>
      <c r="VR463" s="5"/>
      <c r="VS463" s="6"/>
      <c r="VT463" s="4"/>
      <c r="VU463" s="4"/>
      <c r="VV463" s="4"/>
      <c r="VW463" s="4"/>
      <c r="VX463" s="4"/>
      <c r="VY463" s="5"/>
      <c r="VZ463" s="6"/>
      <c r="WA463" s="4"/>
      <c r="WB463" s="4"/>
      <c r="WC463" s="4"/>
      <c r="WD463" s="4"/>
      <c r="WE463" s="4"/>
      <c r="WF463" s="5"/>
      <c r="WG463" s="6"/>
      <c r="WH463" s="4"/>
      <c r="WI463" s="4"/>
      <c r="WJ463" s="4"/>
      <c r="WK463" s="4"/>
      <c r="WL463" s="4"/>
      <c r="WM463" s="5"/>
      <c r="WN463" s="6"/>
      <c r="WO463" s="4"/>
      <c r="WP463" s="4"/>
      <c r="WQ463" s="4"/>
      <c r="WR463" s="4"/>
      <c r="WS463" s="4"/>
      <c r="WT463" s="5"/>
      <c r="WU463" s="6"/>
      <c r="WV463" s="4"/>
      <c r="WW463" s="4"/>
      <c r="WX463" s="4"/>
      <c r="WY463" s="4"/>
      <c r="WZ463" s="4"/>
      <c r="XA463" s="5"/>
      <c r="XB463" s="6"/>
      <c r="XC463" s="4"/>
      <c r="XD463" s="4"/>
      <c r="XE463" s="4"/>
      <c r="XF463" s="4"/>
      <c r="XG463" s="4"/>
      <c r="XH463" s="5"/>
      <c r="XI463" s="6"/>
      <c r="XJ463" s="4"/>
      <c r="XK463" s="4"/>
      <c r="XL463" s="4"/>
      <c r="XM463" s="4"/>
      <c r="XN463" s="4"/>
      <c r="XO463" s="5"/>
      <c r="XP463" s="6"/>
      <c r="XQ463" s="4"/>
      <c r="XR463" s="4"/>
      <c r="XS463" s="4"/>
      <c r="XT463" s="4"/>
      <c r="XU463" s="4"/>
      <c r="XV463" s="5"/>
      <c r="XW463" s="6"/>
      <c r="XX463" s="4"/>
      <c r="XY463" s="4"/>
      <c r="XZ463" s="4"/>
      <c r="YA463" s="4"/>
      <c r="YB463" s="4"/>
      <c r="YC463" s="5"/>
      <c r="YD463" s="6"/>
      <c r="YE463" s="4"/>
      <c r="YF463" s="4"/>
      <c r="YG463" s="4"/>
      <c r="YH463" s="4"/>
      <c r="YI463" s="4"/>
      <c r="YJ463" s="5"/>
      <c r="YK463" s="6" t="s">
        <v>1308</v>
      </c>
      <c r="YL463" s="7" t="s">
        <v>1313</v>
      </c>
      <c r="YM463" s="4"/>
      <c r="YN463" s="7" t="s">
        <v>1919</v>
      </c>
      <c r="YO463" s="8">
        <v>39337</v>
      </c>
      <c r="YP463" s="8">
        <v>39339</v>
      </c>
      <c r="YQ463" s="5"/>
      <c r="YR463" s="6"/>
      <c r="YS463" s="4"/>
      <c r="YT463" s="4"/>
      <c r="YU463" s="4"/>
      <c r="YV463" s="4"/>
      <c r="YW463" s="4"/>
      <c r="YX463" s="5"/>
      <c r="YY463" s="6"/>
      <c r="YZ463" s="4"/>
      <c r="ZA463" s="4"/>
      <c r="ZB463" s="4"/>
      <c r="ZC463" s="4"/>
      <c r="ZD463" s="4"/>
      <c r="ZE463" s="5"/>
      <c r="ZF463" s="6"/>
      <c r="ZG463" s="4"/>
      <c r="ZH463" s="4"/>
      <c r="ZI463" s="4"/>
      <c r="ZJ463" s="4"/>
      <c r="ZK463" s="4"/>
      <c r="ZL463" s="5"/>
      <c r="ZM463" s="6"/>
      <c r="ZN463" s="4"/>
      <c r="ZO463" s="4"/>
      <c r="ZP463" s="4"/>
      <c r="ZQ463" s="4"/>
      <c r="ZR463" s="4"/>
      <c r="ZS463" s="5"/>
      <c r="ZT463" s="6"/>
      <c r="ZU463" s="4"/>
      <c r="ZV463" s="4"/>
      <c r="ZW463" s="4"/>
      <c r="ZX463" s="4"/>
      <c r="ZY463" s="4"/>
      <c r="ZZ463" s="5"/>
      <c r="AAA463" s="6"/>
      <c r="AAB463" s="4"/>
      <c r="AAC463" s="4"/>
      <c r="AAD463" s="4"/>
      <c r="AAE463" s="4"/>
      <c r="AAF463" s="4"/>
      <c r="AAG463" s="5"/>
      <c r="AAH463" s="6"/>
      <c r="AAI463" s="4"/>
      <c r="AAJ463" s="4"/>
      <c r="AAK463" s="4"/>
      <c r="AAL463" s="4"/>
      <c r="AAM463" s="4"/>
      <c r="AAN463" s="5"/>
      <c r="AAO463" s="6"/>
      <c r="AAP463" s="4"/>
      <c r="AAQ463" s="4"/>
      <c r="AAR463" s="4"/>
      <c r="AAS463" s="4"/>
      <c r="AAT463" s="4"/>
      <c r="AAU463" s="5"/>
      <c r="AAV463" s="6"/>
      <c r="AAW463" s="4"/>
      <c r="AAX463" s="4"/>
      <c r="AAY463" s="4"/>
      <c r="AAZ463" s="4"/>
      <c r="ABA463" s="4"/>
      <c r="ABB463" s="5"/>
      <c r="ABC463" s="6"/>
      <c r="ABD463" s="4"/>
      <c r="ABE463" s="4"/>
      <c r="ABF463" s="4"/>
      <c r="ABG463" s="4"/>
      <c r="ABH463" s="4"/>
      <c r="ABI463" s="5"/>
      <c r="ABJ463" s="6"/>
      <c r="ABK463" s="4"/>
      <c r="ABL463" s="4"/>
      <c r="ABM463" s="4"/>
      <c r="ABN463" s="4"/>
      <c r="ABO463" s="4"/>
      <c r="ABP463" s="5"/>
      <c r="ABQ463" s="6"/>
      <c r="ABR463" s="4"/>
      <c r="ABS463" s="4"/>
      <c r="ABT463" s="4"/>
      <c r="ABU463" s="4"/>
      <c r="ABV463" s="4"/>
      <c r="ABW463" s="5"/>
      <c r="ABX463" s="6"/>
      <c r="ABY463" s="4"/>
      <c r="ABZ463" s="4"/>
      <c r="ACA463" s="4"/>
      <c r="ACB463" s="4"/>
      <c r="ACC463" s="4"/>
      <c r="ACD463" s="5"/>
      <c r="ACE463" s="6"/>
      <c r="ACF463" s="4"/>
      <c r="ACG463" s="4"/>
      <c r="ACH463" s="4"/>
      <c r="ACI463" s="4"/>
      <c r="ACJ463" s="4"/>
      <c r="ACK463" s="5"/>
      <c r="ACL463" s="6"/>
      <c r="ACM463" s="4"/>
      <c r="ACN463" s="4"/>
      <c r="ACO463" s="4"/>
      <c r="ACP463" s="4"/>
      <c r="ACQ463" s="4"/>
      <c r="ACR463" s="5"/>
      <c r="ACS463" s="6"/>
      <c r="ACT463" s="4"/>
      <c r="ACU463" s="4"/>
      <c r="ACV463" s="4"/>
      <c r="ACW463" s="4"/>
      <c r="ACX463" s="4"/>
      <c r="ACY463" s="5"/>
    </row>
    <row r="464" spans="2:805" x14ac:dyDescent="0.25">
      <c r="J464" s="12"/>
      <c r="K464" s="12"/>
      <c r="L464" s="12"/>
      <c r="LL464" s="6"/>
      <c r="LM464" s="4"/>
      <c r="LN464" s="4"/>
      <c r="LO464" s="4"/>
      <c r="LP464" s="4"/>
      <c r="LQ464" s="4"/>
      <c r="LR464" s="5"/>
      <c r="LS464" s="6"/>
      <c r="LT464" s="4"/>
      <c r="LU464" s="4"/>
      <c r="LV464" s="4"/>
      <c r="LW464" s="4"/>
      <c r="LX464" s="4"/>
      <c r="LY464" s="5"/>
      <c r="LZ464" s="6" t="s">
        <v>2213</v>
      </c>
      <c r="MA464" s="7" t="s">
        <v>2234</v>
      </c>
      <c r="MB464" s="4" t="s">
        <v>2012</v>
      </c>
      <c r="MC464" s="7" t="s">
        <v>1500</v>
      </c>
      <c r="MD464" s="8">
        <v>39333</v>
      </c>
      <c r="ME464" s="8">
        <v>39337</v>
      </c>
      <c r="MF464" s="8" t="s">
        <v>1204</v>
      </c>
      <c r="MG464" s="5" t="s">
        <v>1203</v>
      </c>
      <c r="MH464" s="6"/>
      <c r="MI464" s="4"/>
      <c r="MJ464" s="4"/>
      <c r="MK464" s="4"/>
      <c r="ML464" s="4"/>
      <c r="MM464" s="4"/>
      <c r="MN464" s="5"/>
      <c r="MO464" s="6"/>
      <c r="MP464" s="4"/>
      <c r="MQ464" s="4"/>
      <c r="MR464" s="4"/>
      <c r="MS464" s="4"/>
      <c r="MT464" s="4"/>
      <c r="MU464" s="5"/>
      <c r="MV464" s="6"/>
      <c r="MW464" s="4"/>
      <c r="MX464" s="4"/>
      <c r="MY464" s="4"/>
      <c r="MZ464" s="4"/>
      <c r="NA464" s="4"/>
      <c r="NB464" s="5"/>
      <c r="NC464" s="6"/>
      <c r="NE464" s="4"/>
      <c r="NF464" s="4"/>
      <c r="NG464" s="4"/>
      <c r="NH464" s="4"/>
      <c r="NI464" s="5"/>
      <c r="NJ464" s="6"/>
      <c r="NK464" s="4"/>
      <c r="NL464" s="4"/>
      <c r="NM464" s="4"/>
      <c r="NN464" s="4"/>
      <c r="NO464" s="4"/>
      <c r="NP464" s="5"/>
      <c r="NQ464" s="6"/>
      <c r="NR464" s="4"/>
      <c r="NS464" s="4"/>
      <c r="NT464" s="4"/>
      <c r="NU464" s="4"/>
      <c r="NV464" s="4"/>
      <c r="NW464" s="5"/>
      <c r="NX464" s="6"/>
      <c r="NY464" s="4"/>
      <c r="NZ464" s="4"/>
      <c r="OA464" s="4"/>
      <c r="OB464" s="4"/>
      <c r="OC464" s="4"/>
      <c r="OD464" s="5"/>
      <c r="OE464" s="6"/>
      <c r="OF464" s="4"/>
      <c r="OG464" s="4"/>
      <c r="OH464" s="4"/>
      <c r="OI464" s="4"/>
      <c r="OJ464" s="4"/>
      <c r="OK464" s="5"/>
      <c r="OL464" s="6"/>
      <c r="OM464" s="4"/>
      <c r="ON464" s="4"/>
      <c r="OO464" s="4"/>
      <c r="OP464" s="4"/>
      <c r="OQ464" s="4"/>
      <c r="OR464" s="5"/>
      <c r="OS464" s="6"/>
      <c r="OT464" s="4"/>
      <c r="OU464" s="4"/>
      <c r="OV464" s="4"/>
      <c r="OW464" s="4"/>
      <c r="OX464" s="4"/>
      <c r="OY464" s="5"/>
      <c r="OZ464" s="6"/>
      <c r="PA464" s="4"/>
      <c r="PB464" s="4"/>
      <c r="PC464" s="4"/>
      <c r="PD464" s="4"/>
      <c r="PE464" s="4"/>
      <c r="PF464" s="5"/>
      <c r="PG464" s="6"/>
      <c r="PH464" s="4"/>
      <c r="PI464" s="4"/>
      <c r="PJ464" s="4"/>
      <c r="PK464" s="4"/>
      <c r="PL464" s="4"/>
      <c r="PM464" s="5"/>
      <c r="PN464" s="6"/>
      <c r="PO464" s="4"/>
      <c r="PP464" s="4"/>
      <c r="PQ464" s="4"/>
      <c r="PR464" s="4"/>
      <c r="PS464" s="4"/>
      <c r="PT464" s="5"/>
      <c r="PU464" s="6"/>
      <c r="PV464" s="4"/>
      <c r="PW464" s="4"/>
      <c r="PX464" s="4"/>
      <c r="PY464" s="4"/>
      <c r="PZ464" s="4"/>
      <c r="QA464" s="5"/>
      <c r="QB464" s="6"/>
      <c r="QC464" s="4"/>
      <c r="QD464" s="4"/>
      <c r="QE464" s="4"/>
      <c r="QF464" s="4"/>
      <c r="QG464" s="4"/>
      <c r="QH464" s="5"/>
      <c r="QI464" s="6"/>
      <c r="QJ464" s="4"/>
      <c r="QK464" s="4"/>
      <c r="QL464" s="4"/>
      <c r="QM464" s="4"/>
      <c r="QN464" s="4"/>
      <c r="QO464" s="5"/>
      <c r="QP464" s="6"/>
      <c r="QQ464" s="4"/>
      <c r="QR464" s="4"/>
      <c r="QS464" s="4"/>
      <c r="QT464" s="4"/>
      <c r="QU464" s="4"/>
      <c r="QV464" s="5"/>
      <c r="QW464" s="6"/>
      <c r="QX464" s="4"/>
      <c r="QY464" s="4"/>
      <c r="QZ464" s="4"/>
      <c r="RA464" s="4"/>
      <c r="RB464" s="4"/>
      <c r="RC464" s="5"/>
      <c r="RD464" s="6"/>
      <c r="RE464" s="4"/>
      <c r="RF464" s="4"/>
      <c r="RG464" s="4"/>
      <c r="RH464" s="4"/>
      <c r="RI464" s="4"/>
      <c r="RJ464" s="5"/>
      <c r="RK464" s="6"/>
      <c r="RL464" s="4"/>
      <c r="RM464" s="4"/>
      <c r="RN464" s="4"/>
      <c r="RO464" s="4"/>
      <c r="RP464" s="4"/>
      <c r="RQ464" s="5"/>
      <c r="RR464" s="6"/>
      <c r="RS464" s="4"/>
      <c r="RT464" s="4"/>
      <c r="RU464" s="4"/>
      <c r="RV464" s="4"/>
      <c r="RW464" s="4"/>
      <c r="RX464" s="5"/>
      <c r="RY464" s="6"/>
      <c r="RZ464" s="4"/>
      <c r="SA464" s="4"/>
      <c r="SB464" s="4"/>
      <c r="SC464" s="4"/>
      <c r="SD464" s="4"/>
      <c r="SE464" s="5"/>
      <c r="SF464" s="6"/>
      <c r="SG464" s="4"/>
      <c r="SH464" s="4"/>
      <c r="SI464" s="4"/>
      <c r="SJ464" s="4"/>
      <c r="SK464" s="4"/>
      <c r="SL464" s="5"/>
      <c r="SM464" s="6"/>
      <c r="SN464" s="4"/>
      <c r="SO464" s="4"/>
      <c r="SP464" s="4"/>
      <c r="SQ464" s="4"/>
      <c r="SR464" s="4"/>
      <c r="SS464" s="5"/>
      <c r="ST464" s="6"/>
      <c r="SU464" s="4"/>
      <c r="SV464" s="4"/>
      <c r="SW464" s="4"/>
      <c r="SX464" s="4"/>
      <c r="SY464" s="4"/>
      <c r="SZ464" s="5"/>
      <c r="TA464" s="6"/>
      <c r="TB464" s="4"/>
      <c r="TC464" s="4"/>
      <c r="TD464" s="4"/>
      <c r="TE464" s="4"/>
      <c r="TF464" s="4"/>
      <c r="TG464" s="5"/>
      <c r="TH464" s="6"/>
      <c r="TI464" s="4"/>
      <c r="TJ464" s="4"/>
      <c r="TK464" s="4"/>
      <c r="TL464" s="4"/>
      <c r="TM464" s="4"/>
      <c r="TN464" s="5"/>
      <c r="TO464" s="6"/>
      <c r="TP464" s="4"/>
      <c r="TQ464" s="4"/>
      <c r="TR464" s="4"/>
      <c r="TS464" s="4"/>
      <c r="TT464" s="4"/>
      <c r="TU464" s="5"/>
      <c r="TV464" s="6"/>
      <c r="TW464" s="4"/>
      <c r="TX464" s="4"/>
      <c r="TY464" s="4"/>
      <c r="TZ464" s="4"/>
      <c r="UA464" s="4"/>
      <c r="UB464" s="5"/>
      <c r="UC464" s="6"/>
      <c r="UD464" s="4"/>
      <c r="UE464" s="4"/>
      <c r="UF464" s="4"/>
      <c r="UG464" s="4"/>
      <c r="UH464" s="4"/>
      <c r="UI464" s="5"/>
      <c r="UJ464" s="6"/>
      <c r="UK464" s="4"/>
      <c r="UL464" s="4"/>
      <c r="UM464" s="4"/>
      <c r="UN464" s="4"/>
      <c r="UO464" s="4"/>
      <c r="UP464" s="5"/>
      <c r="UQ464" s="6"/>
      <c r="UR464" s="4"/>
      <c r="US464" s="4"/>
      <c r="UT464" s="4"/>
      <c r="UU464" s="4"/>
      <c r="UV464" s="4"/>
      <c r="UW464" s="5"/>
      <c r="UX464" s="6"/>
      <c r="UY464" s="4"/>
      <c r="UZ464" s="4"/>
      <c r="VA464" s="4"/>
      <c r="VB464" s="4"/>
      <c r="VC464" s="4"/>
      <c r="VD464" s="5"/>
      <c r="VE464" s="15"/>
      <c r="VF464" s="12"/>
      <c r="VG464" s="4"/>
      <c r="VH464" s="4"/>
      <c r="VI464" s="8"/>
      <c r="VJ464" s="8"/>
      <c r="VK464" s="5"/>
      <c r="VL464" s="6"/>
      <c r="VM464" s="4"/>
      <c r="VN464" s="4"/>
      <c r="VO464" s="4"/>
      <c r="VP464" s="4"/>
      <c r="VQ464" s="4"/>
      <c r="VR464" s="5"/>
      <c r="VS464" s="6"/>
      <c r="VT464" s="4"/>
      <c r="VU464" s="4"/>
      <c r="VV464" s="4"/>
      <c r="VW464" s="4"/>
      <c r="VX464" s="4"/>
      <c r="VY464" s="5"/>
      <c r="VZ464" s="6"/>
      <c r="WA464" s="4"/>
      <c r="WB464" s="4"/>
      <c r="WC464" s="4"/>
      <c r="WD464" s="4"/>
      <c r="WE464" s="4"/>
      <c r="WF464" s="5"/>
      <c r="WG464" s="6"/>
      <c r="WH464" s="4"/>
      <c r="WI464" s="4"/>
      <c r="WJ464" s="4"/>
      <c r="WK464" s="4"/>
      <c r="WL464" s="4"/>
      <c r="WM464" s="5"/>
      <c r="WN464" s="6"/>
      <c r="WO464" s="4"/>
      <c r="WP464" s="4"/>
      <c r="WQ464" s="4"/>
      <c r="WR464" s="4"/>
      <c r="WS464" s="4"/>
      <c r="WT464" s="5"/>
      <c r="WU464" s="6"/>
      <c r="WV464" s="4"/>
      <c r="WW464" s="4"/>
      <c r="WX464" s="4"/>
      <c r="WY464" s="4"/>
      <c r="WZ464" s="4"/>
      <c r="XA464" s="5"/>
      <c r="XB464" s="6"/>
      <c r="XC464" s="4"/>
      <c r="XD464" s="4"/>
      <c r="XE464" s="4"/>
      <c r="XF464" s="4"/>
      <c r="XG464" s="4"/>
      <c r="XH464" s="5"/>
      <c r="XI464" s="6"/>
      <c r="XJ464" s="4"/>
      <c r="XK464" s="4"/>
      <c r="XL464" s="4"/>
      <c r="XM464" s="4"/>
      <c r="XN464" s="4"/>
      <c r="XO464" s="5"/>
      <c r="XP464" s="6"/>
      <c r="XQ464" s="4"/>
      <c r="XR464" s="4"/>
      <c r="XS464" s="4"/>
      <c r="XT464" s="4"/>
      <c r="XU464" s="4"/>
      <c r="XV464" s="5"/>
      <c r="XW464" s="6"/>
      <c r="XX464" s="4"/>
      <c r="XY464" s="4"/>
      <c r="XZ464" s="4"/>
      <c r="YA464" s="4"/>
      <c r="YB464" s="4"/>
      <c r="YC464" s="5"/>
      <c r="YD464" s="6"/>
      <c r="YE464" s="4"/>
      <c r="YF464" s="4"/>
      <c r="YG464" s="4"/>
      <c r="YH464" s="4"/>
      <c r="YI464" s="4"/>
      <c r="YJ464" s="5"/>
      <c r="YK464" s="6" t="s">
        <v>2251</v>
      </c>
      <c r="YL464" s="4" t="s">
        <v>1382</v>
      </c>
      <c r="YM464" s="4"/>
      <c r="YN464" s="7" t="s">
        <v>1919</v>
      </c>
      <c r="YO464" s="8">
        <v>39339</v>
      </c>
      <c r="YP464" s="8">
        <v>39341</v>
      </c>
      <c r="YQ464" s="5"/>
      <c r="YR464" s="6"/>
      <c r="YS464" s="4"/>
      <c r="YT464" s="4"/>
      <c r="YU464" s="4"/>
      <c r="YV464" s="4"/>
      <c r="YW464" s="4"/>
      <c r="YX464" s="5"/>
      <c r="YY464" s="6"/>
      <c r="YZ464" s="4"/>
      <c r="ZA464" s="4"/>
      <c r="ZB464" s="4"/>
      <c r="ZC464" s="4"/>
      <c r="ZD464" s="4"/>
      <c r="ZE464" s="5"/>
      <c r="ZF464" s="6"/>
      <c r="ZG464" s="4"/>
      <c r="ZH464" s="4"/>
      <c r="ZI464" s="4"/>
      <c r="ZJ464" s="4"/>
      <c r="ZK464" s="4"/>
      <c r="ZL464" s="5"/>
      <c r="ZM464" s="6"/>
      <c r="ZN464" s="4"/>
      <c r="ZO464" s="4"/>
      <c r="ZP464" s="4"/>
      <c r="ZQ464" s="4"/>
      <c r="ZR464" s="4"/>
      <c r="ZS464" s="5"/>
      <c r="ZT464" s="6"/>
      <c r="ZU464" s="4"/>
      <c r="ZV464" s="4"/>
      <c r="ZW464" s="4"/>
      <c r="ZX464" s="4"/>
      <c r="ZY464" s="4"/>
      <c r="ZZ464" s="5"/>
      <c r="AAA464" s="6"/>
      <c r="AAB464" s="4"/>
      <c r="AAC464" s="4"/>
      <c r="AAD464" s="4"/>
      <c r="AAE464" s="4"/>
      <c r="AAF464" s="4"/>
      <c r="AAG464" s="5"/>
      <c r="AAH464" s="6"/>
      <c r="AAI464" s="4"/>
      <c r="AAJ464" s="4"/>
      <c r="AAK464" s="4"/>
      <c r="AAL464" s="4"/>
      <c r="AAM464" s="4"/>
      <c r="AAN464" s="5"/>
      <c r="AAO464" s="6"/>
      <c r="AAP464" s="4"/>
      <c r="AAQ464" s="4"/>
      <c r="AAR464" s="4"/>
      <c r="AAS464" s="4"/>
      <c r="AAT464" s="4"/>
      <c r="AAU464" s="5"/>
      <c r="AAV464" s="6"/>
      <c r="AAW464" s="4"/>
      <c r="AAX464" s="4"/>
      <c r="AAY464" s="4"/>
      <c r="AAZ464" s="4"/>
      <c r="ABA464" s="4"/>
      <c r="ABB464" s="5"/>
      <c r="ABC464" s="6"/>
      <c r="ABD464" s="4"/>
      <c r="ABE464" s="4"/>
      <c r="ABF464" s="4"/>
      <c r="ABG464" s="4"/>
      <c r="ABH464" s="4"/>
      <c r="ABI464" s="5"/>
      <c r="ABJ464" s="6"/>
      <c r="ABK464" s="4"/>
      <c r="ABL464" s="4"/>
      <c r="ABM464" s="4"/>
      <c r="ABN464" s="4"/>
      <c r="ABO464" s="4"/>
      <c r="ABP464" s="5"/>
      <c r="ABQ464" s="6"/>
      <c r="ABR464" s="4"/>
      <c r="ABS464" s="4"/>
      <c r="ABT464" s="4"/>
      <c r="ABU464" s="4"/>
      <c r="ABV464" s="4"/>
      <c r="ABW464" s="5"/>
      <c r="ABX464" s="6"/>
      <c r="ABY464" s="4"/>
      <c r="ABZ464" s="4"/>
      <c r="ACA464" s="4"/>
      <c r="ACB464" s="4"/>
      <c r="ACC464" s="4"/>
      <c r="ACD464" s="5"/>
      <c r="ACE464" s="6"/>
      <c r="ACF464" s="4"/>
      <c r="ACG464" s="4"/>
      <c r="ACH464" s="4"/>
      <c r="ACI464" s="4"/>
      <c r="ACJ464" s="4"/>
      <c r="ACK464" s="5"/>
      <c r="ACL464" s="6"/>
      <c r="ACM464" s="4"/>
      <c r="ACN464" s="4"/>
      <c r="ACO464" s="4"/>
      <c r="ACP464" s="4"/>
      <c r="ACQ464" s="4"/>
      <c r="ACR464" s="5"/>
      <c r="ACS464" s="6"/>
      <c r="ACT464" s="4"/>
      <c r="ACU464" s="4"/>
      <c r="ACV464" s="4"/>
      <c r="ACW464" s="4"/>
      <c r="ACX464" s="4"/>
      <c r="ACY464" s="5"/>
    </row>
    <row r="465" spans="2:805" x14ac:dyDescent="0.25">
      <c r="J465" s="12"/>
      <c r="K465" s="12"/>
      <c r="L465" s="12"/>
      <c r="LL465" s="6"/>
      <c r="LM465" s="4"/>
      <c r="LN465" s="4"/>
      <c r="LO465" s="4"/>
      <c r="LP465" s="4"/>
      <c r="LQ465" s="4"/>
      <c r="LR465" s="5"/>
      <c r="LS465" s="6"/>
      <c r="LT465" s="4"/>
      <c r="LU465" s="4"/>
      <c r="LV465" s="4"/>
      <c r="LW465" s="4"/>
      <c r="LX465" s="4"/>
      <c r="LY465" s="5"/>
      <c r="LZ465" s="6" t="s">
        <v>2023</v>
      </c>
      <c r="MA465" s="7" t="s">
        <v>2024</v>
      </c>
      <c r="MB465" s="7" t="s">
        <v>1113</v>
      </c>
      <c r="MC465" s="7" t="s">
        <v>1866</v>
      </c>
      <c r="MD465" s="8">
        <v>39324</v>
      </c>
      <c r="ME465" s="8">
        <v>39330</v>
      </c>
      <c r="MF465" s="8"/>
      <c r="MG465" s="5" t="s">
        <v>1203</v>
      </c>
      <c r="MH465" s="6"/>
      <c r="MI465" s="4"/>
      <c r="MJ465" s="4"/>
      <c r="MK465" s="4"/>
      <c r="ML465" s="4"/>
      <c r="MM465" s="4"/>
      <c r="MN465" s="5"/>
      <c r="MO465" s="6"/>
      <c r="MP465" s="4"/>
      <c r="MQ465" s="4"/>
      <c r="MR465" s="4"/>
      <c r="MS465" s="4"/>
      <c r="MT465" s="4"/>
      <c r="MU465" s="5"/>
      <c r="MV465" s="6"/>
      <c r="MW465" s="4"/>
      <c r="MX465" s="4"/>
      <c r="MY465" s="4"/>
      <c r="MZ465" s="4"/>
      <c r="NA465" s="4"/>
      <c r="NB465" s="5"/>
      <c r="NC465" s="6"/>
      <c r="NE465" s="4"/>
      <c r="NF465" s="4"/>
      <c r="NG465" s="4"/>
      <c r="NH465" s="4"/>
      <c r="NI465" s="5"/>
      <c r="NJ465" s="6"/>
      <c r="NK465" s="4"/>
      <c r="NL465" s="4"/>
      <c r="NM465" s="4"/>
      <c r="NN465" s="4"/>
      <c r="NO465" s="4"/>
      <c r="NP465" s="5"/>
      <c r="NQ465" s="6"/>
      <c r="NR465" s="4"/>
      <c r="NS465" s="4"/>
      <c r="NT465" s="4"/>
      <c r="NU465" s="4"/>
      <c r="NV465" s="4"/>
      <c r="NW465" s="5"/>
      <c r="NX465" s="6"/>
      <c r="NY465" s="4"/>
      <c r="NZ465" s="4"/>
      <c r="OA465" s="4"/>
      <c r="OB465" s="4"/>
      <c r="OC465" s="4"/>
      <c r="OD465" s="5"/>
      <c r="OE465" s="6"/>
      <c r="OF465" s="4"/>
      <c r="OG465" s="4"/>
      <c r="OH465" s="4"/>
      <c r="OI465" s="4"/>
      <c r="OJ465" s="4"/>
      <c r="OK465" s="5"/>
      <c r="OL465" s="6"/>
      <c r="OM465" s="4"/>
      <c r="ON465" s="4"/>
      <c r="OO465" s="4"/>
      <c r="OP465" s="4"/>
      <c r="OQ465" s="4"/>
      <c r="OR465" s="5"/>
      <c r="OS465" s="6"/>
      <c r="OT465" s="4"/>
      <c r="OU465" s="4"/>
      <c r="OV465" s="4"/>
      <c r="OW465" s="4"/>
      <c r="OX465" s="4"/>
      <c r="OY465" s="5"/>
      <c r="OZ465" s="6"/>
      <c r="PA465" s="4"/>
      <c r="PB465" s="4"/>
      <c r="PC465" s="4"/>
      <c r="PD465" s="4"/>
      <c r="PE465" s="4"/>
      <c r="PF465" s="5"/>
      <c r="PG465" s="6"/>
      <c r="PH465" s="4"/>
      <c r="PI465" s="4"/>
      <c r="PJ465" s="4"/>
      <c r="PK465" s="4"/>
      <c r="PL465" s="4"/>
      <c r="PM465" s="5"/>
      <c r="PN465" s="6"/>
      <c r="PO465" s="4"/>
      <c r="PP465" s="4"/>
      <c r="PQ465" s="4"/>
      <c r="PR465" s="4"/>
      <c r="PS465" s="4"/>
      <c r="PT465" s="5"/>
      <c r="PU465" s="6"/>
      <c r="PV465" s="4"/>
      <c r="PW465" s="4"/>
      <c r="PX465" s="4"/>
      <c r="PY465" s="4"/>
      <c r="PZ465" s="4"/>
      <c r="QA465" s="5"/>
      <c r="QB465" s="6"/>
      <c r="QC465" s="4"/>
      <c r="QD465" s="4"/>
      <c r="QE465" s="4"/>
      <c r="QF465" s="4"/>
      <c r="QG465" s="4"/>
      <c r="QH465" s="5"/>
      <c r="QI465" s="6"/>
      <c r="QJ465" s="4"/>
      <c r="QK465" s="4"/>
      <c r="QL465" s="4"/>
      <c r="QM465" s="4"/>
      <c r="QN465" s="4"/>
      <c r="QO465" s="5"/>
      <c r="QP465" s="6"/>
      <c r="QQ465" s="4"/>
      <c r="QR465" s="4"/>
      <c r="QS465" s="4"/>
      <c r="QT465" s="4"/>
      <c r="QU465" s="4"/>
      <c r="QV465" s="5"/>
      <c r="QW465" s="6"/>
      <c r="QX465" s="4"/>
      <c r="QY465" s="4"/>
      <c r="QZ465" s="4"/>
      <c r="RA465" s="4"/>
      <c r="RB465" s="4"/>
      <c r="RC465" s="5"/>
      <c r="RD465" s="6"/>
      <c r="RE465" s="4"/>
      <c r="RF465" s="4"/>
      <c r="RG465" s="4"/>
      <c r="RH465" s="4"/>
      <c r="RI465" s="4"/>
      <c r="RJ465" s="5"/>
      <c r="RK465" s="6"/>
      <c r="RL465" s="4"/>
      <c r="RM465" s="4"/>
      <c r="RN465" s="4"/>
      <c r="RO465" s="4"/>
      <c r="RP465" s="4"/>
      <c r="RQ465" s="5"/>
      <c r="RR465" s="6"/>
      <c r="RS465" s="4"/>
      <c r="RT465" s="4"/>
      <c r="RU465" s="4"/>
      <c r="RV465" s="4"/>
      <c r="RW465" s="4"/>
      <c r="RX465" s="5"/>
      <c r="RY465" s="6"/>
      <c r="RZ465" s="4"/>
      <c r="SA465" s="4"/>
      <c r="SB465" s="4"/>
      <c r="SC465" s="4"/>
      <c r="SD465" s="4"/>
      <c r="SE465" s="5"/>
      <c r="SF465" s="6"/>
      <c r="SG465" s="4"/>
      <c r="SH465" s="4"/>
      <c r="SI465" s="4"/>
      <c r="SJ465" s="4"/>
      <c r="SK465" s="4"/>
      <c r="SL465" s="5"/>
      <c r="SM465" s="6"/>
      <c r="SN465" s="4"/>
      <c r="SO465" s="4"/>
      <c r="SP465" s="4"/>
      <c r="SQ465" s="4"/>
      <c r="SR465" s="4"/>
      <c r="SS465" s="5"/>
      <c r="ST465" s="6"/>
      <c r="SU465" s="4"/>
      <c r="SV465" s="4"/>
      <c r="SW465" s="4"/>
      <c r="SX465" s="4"/>
      <c r="SY465" s="4"/>
      <c r="SZ465" s="5"/>
      <c r="TA465" s="6"/>
      <c r="TB465" s="4"/>
      <c r="TC465" s="4"/>
      <c r="TD465" s="4"/>
      <c r="TE465" s="4"/>
      <c r="TF465" s="4"/>
      <c r="TG465" s="5"/>
      <c r="TH465" s="6"/>
      <c r="TI465" s="4"/>
      <c r="TJ465" s="4"/>
      <c r="TK465" s="4"/>
      <c r="TL465" s="4"/>
      <c r="TM465" s="4"/>
      <c r="TN465" s="5"/>
      <c r="TO465" s="6"/>
      <c r="TP465" s="4"/>
      <c r="TQ465" s="4"/>
      <c r="TR465" s="4"/>
      <c r="TS465" s="4"/>
      <c r="TT465" s="4"/>
      <c r="TU465" s="5"/>
      <c r="TV465" s="6"/>
      <c r="TW465" s="4"/>
      <c r="TX465" s="4"/>
      <c r="TY465" s="4"/>
      <c r="TZ465" s="4"/>
      <c r="UA465" s="4"/>
      <c r="UB465" s="5"/>
      <c r="UC465" s="6"/>
      <c r="UD465" s="4"/>
      <c r="UE465" s="4"/>
      <c r="UF465" s="4"/>
      <c r="UG465" s="4"/>
      <c r="UH465" s="4"/>
      <c r="UI465" s="5"/>
      <c r="UJ465" s="6"/>
      <c r="UK465" s="4"/>
      <c r="UL465" s="4"/>
      <c r="UM465" s="4"/>
      <c r="UN465" s="4"/>
      <c r="UO465" s="4"/>
      <c r="UP465" s="5"/>
      <c r="UQ465" s="6"/>
      <c r="UR465" s="4"/>
      <c r="US465" s="4"/>
      <c r="UT465" s="4"/>
      <c r="UU465" s="4"/>
      <c r="UV465" s="4"/>
      <c r="UW465" s="5"/>
      <c r="UX465" s="6"/>
      <c r="UY465" s="4"/>
      <c r="UZ465" s="4"/>
      <c r="VA465" s="4"/>
      <c r="VB465" s="4"/>
      <c r="VC465" s="4"/>
      <c r="VD465" s="5"/>
      <c r="VE465" s="15"/>
      <c r="VF465" s="12"/>
      <c r="VG465" s="4"/>
      <c r="VH465" s="4"/>
      <c r="VI465" s="8"/>
      <c r="VJ465" s="8"/>
      <c r="VK465" s="5"/>
      <c r="VL465" s="6"/>
      <c r="VM465" s="4"/>
      <c r="VN465" s="4"/>
      <c r="VO465" s="4"/>
      <c r="VP465" s="4"/>
      <c r="VQ465" s="4"/>
      <c r="VR465" s="5"/>
      <c r="VS465" s="6"/>
      <c r="VT465" s="4"/>
      <c r="VU465" s="4"/>
      <c r="VV465" s="4"/>
      <c r="VW465" s="4"/>
      <c r="VX465" s="4"/>
      <c r="VY465" s="5"/>
      <c r="VZ465" s="6"/>
      <c r="WA465" s="4"/>
      <c r="WB465" s="4"/>
      <c r="WC465" s="4"/>
      <c r="WD465" s="4"/>
      <c r="WE465" s="4"/>
      <c r="WF465" s="5"/>
      <c r="WG465" s="6"/>
      <c r="WH465" s="4"/>
      <c r="WI465" s="4"/>
      <c r="WJ465" s="4"/>
      <c r="WK465" s="4"/>
      <c r="WL465" s="4"/>
      <c r="WM465" s="5"/>
      <c r="WN465" s="6"/>
      <c r="WO465" s="4"/>
      <c r="WP465" s="4"/>
      <c r="WQ465" s="4"/>
      <c r="WR465" s="4"/>
      <c r="WS465" s="4"/>
      <c r="WT465" s="5"/>
      <c r="WU465" s="6"/>
      <c r="WV465" s="4"/>
      <c r="WW465" s="4"/>
      <c r="WX465" s="4"/>
      <c r="WY465" s="4"/>
      <c r="WZ465" s="4"/>
      <c r="XA465" s="5"/>
      <c r="XB465" s="6"/>
      <c r="XC465" s="4"/>
      <c r="XD465" s="4"/>
      <c r="XE465" s="4"/>
      <c r="XF465" s="4"/>
      <c r="XG465" s="4"/>
      <c r="XH465" s="5"/>
      <c r="XI465" s="6"/>
      <c r="XJ465" s="4"/>
      <c r="XK465" s="4"/>
      <c r="XL465" s="4"/>
      <c r="XM465" s="4"/>
      <c r="XN465" s="4"/>
      <c r="XO465" s="5"/>
      <c r="XP465" s="6"/>
      <c r="XQ465" s="4"/>
      <c r="XR465" s="4"/>
      <c r="XS465" s="4"/>
      <c r="XT465" s="4"/>
      <c r="XU465" s="4"/>
      <c r="XV465" s="5"/>
      <c r="XW465" s="6"/>
      <c r="XX465" s="4"/>
      <c r="XY465" s="4"/>
      <c r="XZ465" s="4"/>
      <c r="YA465" s="4"/>
      <c r="YB465" s="4"/>
      <c r="YC465" s="5"/>
      <c r="YD465" s="6"/>
      <c r="YE465" s="4"/>
      <c r="YF465" s="4"/>
      <c r="YG465" s="4"/>
      <c r="YH465" s="4"/>
      <c r="YI465" s="4"/>
      <c r="YJ465" s="5"/>
      <c r="YK465" s="6" t="s">
        <v>2251</v>
      </c>
      <c r="YL465" s="4" t="s">
        <v>1382</v>
      </c>
      <c r="YM465" s="4"/>
      <c r="YN465" s="7" t="s">
        <v>1314</v>
      </c>
      <c r="YO465" s="8">
        <v>39345</v>
      </c>
      <c r="YP465" s="8">
        <v>39346</v>
      </c>
      <c r="YQ465" s="5"/>
      <c r="YR465" s="6"/>
      <c r="YS465" s="4"/>
      <c r="YT465" s="4"/>
      <c r="YU465" s="4"/>
      <c r="YV465" s="4"/>
      <c r="YW465" s="4"/>
      <c r="YX465" s="5"/>
      <c r="YY465" s="6"/>
      <c r="YZ465" s="4"/>
      <c r="ZA465" s="4"/>
      <c r="ZB465" s="4"/>
      <c r="ZC465" s="4"/>
      <c r="ZD465" s="4"/>
      <c r="ZE465" s="5"/>
      <c r="ZF465" s="6"/>
      <c r="ZG465" s="4"/>
      <c r="ZH465" s="4"/>
      <c r="ZI465" s="4"/>
      <c r="ZJ465" s="4"/>
      <c r="ZK465" s="4"/>
      <c r="ZL465" s="5"/>
      <c r="ZM465" s="6"/>
      <c r="ZN465" s="4"/>
      <c r="ZO465" s="4"/>
      <c r="ZP465" s="4"/>
      <c r="ZQ465" s="4"/>
      <c r="ZR465" s="4"/>
      <c r="ZS465" s="5"/>
      <c r="ZT465" s="6"/>
      <c r="ZU465" s="4"/>
      <c r="ZV465" s="4"/>
      <c r="ZW465" s="4"/>
      <c r="ZX465" s="4"/>
      <c r="ZY465" s="4"/>
      <c r="ZZ465" s="5"/>
      <c r="AAA465" s="6"/>
      <c r="AAB465" s="4"/>
      <c r="AAC465" s="4"/>
      <c r="AAD465" s="4"/>
      <c r="AAE465" s="4"/>
      <c r="AAF465" s="4"/>
      <c r="AAG465" s="5"/>
      <c r="AAH465" s="6"/>
      <c r="AAI465" s="4"/>
      <c r="AAJ465" s="4"/>
      <c r="AAK465" s="4"/>
      <c r="AAL465" s="4"/>
      <c r="AAM465" s="4"/>
      <c r="AAN465" s="5"/>
      <c r="AAO465" s="6"/>
      <c r="AAP465" s="4"/>
      <c r="AAQ465" s="4"/>
      <c r="AAR465" s="4"/>
      <c r="AAS465" s="4"/>
      <c r="AAT465" s="4"/>
      <c r="AAU465" s="5"/>
      <c r="AAV465" s="6"/>
      <c r="AAW465" s="4"/>
      <c r="AAX465" s="4"/>
      <c r="AAY465" s="4"/>
      <c r="AAZ465" s="4"/>
      <c r="ABA465" s="4"/>
      <c r="ABB465" s="5"/>
      <c r="ABC465" s="6"/>
      <c r="ABD465" s="4"/>
      <c r="ABE465" s="4"/>
      <c r="ABF465" s="4"/>
      <c r="ABG465" s="4"/>
      <c r="ABH465" s="4"/>
      <c r="ABI465" s="5"/>
      <c r="ABJ465" s="6"/>
      <c r="ABK465" s="4"/>
      <c r="ABL465" s="4"/>
      <c r="ABM465" s="4"/>
      <c r="ABN465" s="4"/>
      <c r="ABO465" s="4"/>
      <c r="ABP465" s="5"/>
      <c r="ABQ465" s="6"/>
      <c r="ABR465" s="4"/>
      <c r="ABS465" s="4"/>
      <c r="ABT465" s="4"/>
      <c r="ABU465" s="4"/>
      <c r="ABV465" s="4"/>
      <c r="ABW465" s="5"/>
      <c r="ABX465" s="6"/>
      <c r="ABY465" s="4"/>
      <c r="ABZ465" s="4"/>
      <c r="ACA465" s="4"/>
      <c r="ACB465" s="4"/>
      <c r="ACC465" s="4"/>
      <c r="ACD465" s="5"/>
      <c r="ACE465" s="6"/>
      <c r="ACF465" s="4"/>
      <c r="ACG465" s="4"/>
      <c r="ACH465" s="4"/>
      <c r="ACI465" s="4"/>
      <c r="ACJ465" s="4"/>
      <c r="ACK465" s="5"/>
      <c r="ACL465" s="6"/>
      <c r="ACM465" s="4"/>
      <c r="ACN465" s="4"/>
      <c r="ACO465" s="4"/>
      <c r="ACP465" s="4"/>
      <c r="ACQ465" s="4"/>
      <c r="ACR465" s="5"/>
      <c r="ACS465" s="6"/>
      <c r="ACT465" s="4"/>
      <c r="ACU465" s="4"/>
      <c r="ACV465" s="4"/>
      <c r="ACW465" s="4"/>
      <c r="ACX465" s="4"/>
      <c r="ACY465" s="5"/>
    </row>
    <row r="466" spans="2:805" x14ac:dyDescent="0.25">
      <c r="J466" s="12"/>
      <c r="K466" s="12"/>
      <c r="L466" s="12"/>
      <c r="LL466" s="6"/>
      <c r="LM466" s="4"/>
      <c r="LN466" s="4"/>
      <c r="LO466" s="4"/>
      <c r="LP466" s="4"/>
      <c r="LQ466" s="4"/>
      <c r="LR466" s="5"/>
      <c r="LS466" s="6"/>
      <c r="LT466" s="4"/>
      <c r="LU466" s="4"/>
      <c r="LV466" s="4"/>
      <c r="LW466" s="4"/>
      <c r="LX466" s="4"/>
      <c r="LY466" s="5"/>
      <c r="LZ466" s="6" t="s">
        <v>2023</v>
      </c>
      <c r="MA466" s="7" t="s">
        <v>2024</v>
      </c>
      <c r="MB466" s="7" t="s">
        <v>1114</v>
      </c>
      <c r="MC466" s="7" t="s">
        <v>1578</v>
      </c>
      <c r="MD466" s="8">
        <v>39322</v>
      </c>
      <c r="ME466" s="19">
        <v>39322</v>
      </c>
      <c r="MF466" s="19"/>
      <c r="MG466" s="5"/>
      <c r="MH466" s="6"/>
      <c r="MI466" s="4"/>
      <c r="MJ466" s="4"/>
      <c r="MK466" s="4"/>
      <c r="ML466" s="4"/>
      <c r="MM466" s="4"/>
      <c r="MN466" s="5"/>
      <c r="MO466" s="6"/>
      <c r="MP466" s="4"/>
      <c r="MQ466" s="4"/>
      <c r="MR466" s="4"/>
      <c r="MS466" s="4"/>
      <c r="MT466" s="4"/>
      <c r="MU466" s="5"/>
      <c r="MV466" s="6"/>
      <c r="MW466" s="4"/>
      <c r="MX466" s="4"/>
      <c r="MY466" s="4"/>
      <c r="MZ466" s="4"/>
      <c r="NA466" s="4"/>
      <c r="NB466" s="5"/>
      <c r="NC466" s="6"/>
      <c r="NE466" s="4"/>
      <c r="NF466" s="4"/>
      <c r="NG466" s="4"/>
      <c r="NH466" s="4"/>
      <c r="NI466" s="5"/>
      <c r="NJ466" s="6"/>
      <c r="NK466" s="4"/>
      <c r="NL466" s="4"/>
      <c r="NM466" s="4"/>
      <c r="NN466" s="4"/>
      <c r="NO466" s="4"/>
      <c r="NP466" s="5"/>
      <c r="NQ466" s="6"/>
      <c r="NR466" s="4"/>
      <c r="NS466" s="4"/>
      <c r="NT466" s="4"/>
      <c r="NU466" s="4"/>
      <c r="NV466" s="4"/>
      <c r="NW466" s="5"/>
      <c r="NX466" s="6"/>
      <c r="NY466" s="4"/>
      <c r="NZ466" s="4"/>
      <c r="OA466" s="4"/>
      <c r="OB466" s="4"/>
      <c r="OC466" s="4"/>
      <c r="OD466" s="5"/>
      <c r="OE466" s="6"/>
      <c r="OF466" s="4"/>
      <c r="OG466" s="4"/>
      <c r="OH466" s="4"/>
      <c r="OI466" s="4"/>
      <c r="OJ466" s="4"/>
      <c r="OK466" s="5"/>
      <c r="OL466" s="6"/>
      <c r="OM466" s="4"/>
      <c r="ON466" s="4"/>
      <c r="OO466" s="4"/>
      <c r="OP466" s="4"/>
      <c r="OQ466" s="4"/>
      <c r="OR466" s="5"/>
      <c r="OS466" s="6"/>
      <c r="OT466" s="4"/>
      <c r="OU466" s="4"/>
      <c r="OV466" s="4"/>
      <c r="OW466" s="4"/>
      <c r="OX466" s="4"/>
      <c r="OY466" s="5"/>
      <c r="OZ466" s="6"/>
      <c r="PA466" s="4"/>
      <c r="PB466" s="4"/>
      <c r="PC466" s="4"/>
      <c r="PD466" s="4"/>
      <c r="PE466" s="4"/>
      <c r="PF466" s="5"/>
      <c r="PG466" s="6"/>
      <c r="PH466" s="4"/>
      <c r="PI466" s="4"/>
      <c r="PJ466" s="4"/>
      <c r="PK466" s="4"/>
      <c r="PL466" s="4"/>
      <c r="PM466" s="5"/>
      <c r="PN466" s="6"/>
      <c r="PO466" s="4"/>
      <c r="PP466" s="4"/>
      <c r="PQ466" s="4"/>
      <c r="PR466" s="4"/>
      <c r="PS466" s="4"/>
      <c r="PT466" s="5"/>
      <c r="PU466" s="6"/>
      <c r="PV466" s="4"/>
      <c r="PW466" s="4"/>
      <c r="PX466" s="4"/>
      <c r="PY466" s="4"/>
      <c r="PZ466" s="4"/>
      <c r="QA466" s="5"/>
      <c r="QB466" s="6"/>
      <c r="QC466" s="4"/>
      <c r="QD466" s="4"/>
      <c r="QE466" s="4"/>
      <c r="QF466" s="4"/>
      <c r="QG466" s="4"/>
      <c r="QH466" s="5"/>
      <c r="QI466" s="6"/>
      <c r="QJ466" s="4"/>
      <c r="QK466" s="4"/>
      <c r="QL466" s="4"/>
      <c r="QM466" s="4"/>
      <c r="QN466" s="4"/>
      <c r="QO466" s="5"/>
      <c r="QP466" s="6"/>
      <c r="QQ466" s="4"/>
      <c r="QR466" s="4"/>
      <c r="QS466" s="4"/>
      <c r="QT466" s="4"/>
      <c r="QU466" s="4"/>
      <c r="QV466" s="5"/>
      <c r="QW466" s="6"/>
      <c r="QX466" s="4"/>
      <c r="QY466" s="4"/>
      <c r="QZ466" s="4"/>
      <c r="RA466" s="4"/>
      <c r="RB466" s="4"/>
      <c r="RC466" s="5"/>
      <c r="RD466" s="6"/>
      <c r="RE466" s="4"/>
      <c r="RF466" s="4"/>
      <c r="RG466" s="4"/>
      <c r="RH466" s="4"/>
      <c r="RI466" s="4"/>
      <c r="RJ466" s="5"/>
      <c r="RK466" s="6"/>
      <c r="RL466" s="4"/>
      <c r="RM466" s="4"/>
      <c r="RN466" s="4"/>
      <c r="RO466" s="4"/>
      <c r="RP466" s="4"/>
      <c r="RQ466" s="5"/>
      <c r="RR466" s="6"/>
      <c r="RS466" s="4"/>
      <c r="RT466" s="4"/>
      <c r="RU466" s="4"/>
      <c r="RV466" s="4"/>
      <c r="RW466" s="4"/>
      <c r="RX466" s="5"/>
      <c r="RY466" s="6"/>
      <c r="RZ466" s="4"/>
      <c r="SA466" s="4"/>
      <c r="SB466" s="4"/>
      <c r="SC466" s="4"/>
      <c r="SD466" s="4"/>
      <c r="SE466" s="5"/>
      <c r="SF466" s="6"/>
      <c r="SG466" s="4"/>
      <c r="SH466" s="4"/>
      <c r="SI466" s="4"/>
      <c r="SJ466" s="4"/>
      <c r="SK466" s="4"/>
      <c r="SL466" s="5"/>
      <c r="SM466" s="6"/>
      <c r="SN466" s="4"/>
      <c r="SO466" s="4"/>
      <c r="SP466" s="4"/>
      <c r="SQ466" s="4"/>
      <c r="SR466" s="4"/>
      <c r="SS466" s="5"/>
      <c r="ST466" s="6"/>
      <c r="SU466" s="4"/>
      <c r="SV466" s="4"/>
      <c r="SW466" s="4"/>
      <c r="SX466" s="4"/>
      <c r="SY466" s="4"/>
      <c r="SZ466" s="5"/>
      <c r="TA466" s="6"/>
      <c r="TB466" s="4"/>
      <c r="TC466" s="4"/>
      <c r="TD466" s="4"/>
      <c r="TE466" s="4"/>
      <c r="TF466" s="4"/>
      <c r="TG466" s="5"/>
      <c r="TH466" s="6"/>
      <c r="TI466" s="4"/>
      <c r="TJ466" s="4"/>
      <c r="TK466" s="4"/>
      <c r="TL466" s="4"/>
      <c r="TM466" s="4"/>
      <c r="TN466" s="5"/>
      <c r="TO466" s="6"/>
      <c r="TP466" s="4"/>
      <c r="TQ466" s="4"/>
      <c r="TR466" s="4"/>
      <c r="TS466" s="4"/>
      <c r="TT466" s="4"/>
      <c r="TU466" s="5"/>
      <c r="TV466" s="6"/>
      <c r="TW466" s="4"/>
      <c r="TX466" s="4"/>
      <c r="TY466" s="4"/>
      <c r="TZ466" s="4"/>
      <c r="UA466" s="4"/>
      <c r="UB466" s="5"/>
      <c r="UC466" s="6"/>
      <c r="UD466" s="4"/>
      <c r="UE466" s="4"/>
      <c r="UF466" s="4"/>
      <c r="UG466" s="4"/>
      <c r="UH466" s="4"/>
      <c r="UI466" s="5"/>
      <c r="UJ466" s="6"/>
      <c r="UK466" s="4"/>
      <c r="UL466" s="4"/>
      <c r="UM466" s="4"/>
      <c r="UN466" s="4"/>
      <c r="UO466" s="4"/>
      <c r="UP466" s="5"/>
      <c r="UQ466" s="6"/>
      <c r="UR466" s="4"/>
      <c r="US466" s="4"/>
      <c r="UT466" s="4"/>
      <c r="UU466" s="4"/>
      <c r="UV466" s="4"/>
      <c r="UW466" s="5"/>
      <c r="UX466" s="6"/>
      <c r="UY466" s="4"/>
      <c r="UZ466" s="4"/>
      <c r="VA466" s="4"/>
      <c r="VB466" s="4"/>
      <c r="VC466" s="4"/>
      <c r="VD466" s="5"/>
      <c r="VE466" s="15"/>
      <c r="VF466" s="12"/>
      <c r="VG466" s="4"/>
      <c r="VH466" s="4"/>
      <c r="VI466" s="8"/>
      <c r="VJ466" s="8"/>
      <c r="VK466" s="5"/>
      <c r="VL466" s="6"/>
      <c r="VM466" s="4"/>
      <c r="VN466" s="4"/>
      <c r="VO466" s="4"/>
      <c r="VP466" s="4"/>
      <c r="VQ466" s="4"/>
      <c r="VR466" s="5"/>
      <c r="VS466" s="6"/>
      <c r="VT466" s="4"/>
      <c r="VU466" s="4"/>
      <c r="VV466" s="4"/>
      <c r="VW466" s="4"/>
      <c r="VX466" s="4"/>
      <c r="VY466" s="5"/>
      <c r="VZ466" s="6"/>
      <c r="WA466" s="4"/>
      <c r="WB466" s="4"/>
      <c r="WC466" s="4"/>
      <c r="WD466" s="4"/>
      <c r="WE466" s="4"/>
      <c r="WF466" s="5"/>
      <c r="WG466" s="6"/>
      <c r="WH466" s="4"/>
      <c r="WI466" s="4"/>
      <c r="WJ466" s="4"/>
      <c r="WK466" s="4"/>
      <c r="WL466" s="4"/>
      <c r="WM466" s="5"/>
      <c r="WN466" s="6"/>
      <c r="WO466" s="4"/>
      <c r="WP466" s="4"/>
      <c r="WQ466" s="4"/>
      <c r="WR466" s="4"/>
      <c r="WS466" s="4"/>
      <c r="WT466" s="5"/>
      <c r="WU466" s="6"/>
      <c r="WV466" s="4"/>
      <c r="WW466" s="4"/>
      <c r="WX466" s="4"/>
      <c r="WY466" s="4"/>
      <c r="WZ466" s="4"/>
      <c r="XA466" s="5"/>
      <c r="XB466" s="6"/>
      <c r="XC466" s="4"/>
      <c r="XD466" s="4"/>
      <c r="XE466" s="4"/>
      <c r="XF466" s="4"/>
      <c r="XG466" s="4"/>
      <c r="XH466" s="5"/>
      <c r="XI466" s="6"/>
      <c r="XJ466" s="4"/>
      <c r="XK466" s="4"/>
      <c r="XL466" s="4"/>
      <c r="XM466" s="4"/>
      <c r="XN466" s="4"/>
      <c r="XO466" s="5"/>
      <c r="XP466" s="6"/>
      <c r="XQ466" s="4"/>
      <c r="XR466" s="4"/>
      <c r="XS466" s="4"/>
      <c r="XT466" s="4"/>
      <c r="XU466" s="4"/>
      <c r="XV466" s="5"/>
      <c r="XW466" s="6"/>
      <c r="XX466" s="4"/>
      <c r="XY466" s="4"/>
      <c r="XZ466" s="4"/>
      <c r="YA466" s="4"/>
      <c r="YB466" s="4"/>
      <c r="YC466" s="5"/>
      <c r="YD466" s="6"/>
      <c r="YE466" s="4"/>
      <c r="YF466" s="4"/>
      <c r="YG466" s="4"/>
      <c r="YH466" s="4"/>
      <c r="YI466" s="4"/>
      <c r="YJ466" s="5"/>
      <c r="YK466" s="6" t="s">
        <v>2251</v>
      </c>
      <c r="YL466" s="4" t="s">
        <v>1382</v>
      </c>
      <c r="YM466" s="4"/>
      <c r="YN466" s="7" t="s">
        <v>1866</v>
      </c>
      <c r="YO466" s="8">
        <v>39322</v>
      </c>
      <c r="YP466" s="8">
        <v>39328</v>
      </c>
      <c r="YQ466" s="5" t="s">
        <v>1274</v>
      </c>
      <c r="YR466" s="6"/>
      <c r="YS466" s="4"/>
      <c r="YT466" s="4"/>
      <c r="YU466" s="4"/>
      <c r="YV466" s="4"/>
      <c r="YW466" s="4"/>
      <c r="YX466" s="5"/>
      <c r="YY466" s="6"/>
      <c r="YZ466" s="4"/>
      <c r="ZA466" s="4"/>
      <c r="ZB466" s="4"/>
      <c r="ZC466" s="4"/>
      <c r="ZD466" s="4"/>
      <c r="ZE466" s="5"/>
      <c r="ZF466" s="6"/>
      <c r="ZG466" s="4"/>
      <c r="ZH466" s="4"/>
      <c r="ZI466" s="4"/>
      <c r="ZJ466" s="4"/>
      <c r="ZK466" s="4"/>
      <c r="ZL466" s="5"/>
      <c r="ZM466" s="6"/>
      <c r="ZN466" s="4"/>
      <c r="ZO466" s="4"/>
      <c r="ZP466" s="4"/>
      <c r="ZQ466" s="4"/>
      <c r="ZR466" s="4"/>
      <c r="ZS466" s="5"/>
      <c r="ZT466" s="6"/>
      <c r="ZU466" s="4"/>
      <c r="ZV466" s="4"/>
      <c r="ZW466" s="4"/>
      <c r="ZX466" s="4"/>
      <c r="ZY466" s="4"/>
      <c r="ZZ466" s="5"/>
      <c r="AAA466" s="6"/>
      <c r="AAB466" s="4"/>
      <c r="AAC466" s="4"/>
      <c r="AAD466" s="4"/>
      <c r="AAE466" s="4"/>
      <c r="AAF466" s="4"/>
      <c r="AAG466" s="5"/>
      <c r="AAH466" s="6"/>
      <c r="AAI466" s="4"/>
      <c r="AAJ466" s="4"/>
      <c r="AAK466" s="4"/>
      <c r="AAL466" s="4"/>
      <c r="AAM466" s="4"/>
      <c r="AAN466" s="5"/>
      <c r="AAO466" s="6"/>
      <c r="AAP466" s="4"/>
      <c r="AAQ466" s="4"/>
      <c r="AAR466" s="4"/>
      <c r="AAS466" s="4"/>
      <c r="AAT466" s="4"/>
      <c r="AAU466" s="5"/>
      <c r="AAV466" s="6"/>
      <c r="AAW466" s="4"/>
      <c r="AAX466" s="4"/>
      <c r="AAY466" s="4"/>
      <c r="AAZ466" s="4"/>
      <c r="ABA466" s="4"/>
      <c r="ABB466" s="5"/>
      <c r="ABC466" s="6"/>
      <c r="ABD466" s="4"/>
      <c r="ABE466" s="4"/>
      <c r="ABF466" s="4"/>
      <c r="ABG466" s="4"/>
      <c r="ABH466" s="4"/>
      <c r="ABI466" s="5"/>
      <c r="ABJ466" s="6"/>
      <c r="ABK466" s="4"/>
      <c r="ABL466" s="4"/>
      <c r="ABM466" s="4"/>
      <c r="ABN466" s="4"/>
      <c r="ABO466" s="4"/>
      <c r="ABP466" s="5"/>
      <c r="ABQ466" s="6"/>
      <c r="ABR466" s="4"/>
      <c r="ABS466" s="4"/>
      <c r="ABT466" s="4"/>
      <c r="ABU466" s="4"/>
      <c r="ABV466" s="4"/>
      <c r="ABW466" s="5"/>
      <c r="ABX466" s="6"/>
      <c r="ABY466" s="4"/>
      <c r="ABZ466" s="4"/>
      <c r="ACA466" s="4"/>
      <c r="ACB466" s="4"/>
      <c r="ACC466" s="4"/>
      <c r="ACD466" s="5"/>
      <c r="ACE466" s="6"/>
      <c r="ACF466" s="4"/>
      <c r="ACG466" s="4"/>
      <c r="ACH466" s="4"/>
      <c r="ACI466" s="4"/>
      <c r="ACJ466" s="4"/>
      <c r="ACK466" s="5"/>
      <c r="ACL466" s="6"/>
      <c r="ACM466" s="4"/>
      <c r="ACN466" s="4"/>
      <c r="ACO466" s="4"/>
      <c r="ACP466" s="4"/>
      <c r="ACQ466" s="4"/>
      <c r="ACR466" s="5"/>
      <c r="ACS466" s="6"/>
      <c r="ACT466" s="4"/>
      <c r="ACU466" s="4"/>
      <c r="ACV466" s="4"/>
      <c r="ACW466" s="4"/>
      <c r="ACX466" s="4"/>
      <c r="ACY466" s="5"/>
    </row>
    <row r="467" spans="2:805" x14ac:dyDescent="0.25">
      <c r="J467" s="12"/>
      <c r="K467" s="12"/>
      <c r="L467" s="12"/>
      <c r="LL467" s="6"/>
      <c r="LM467" s="4"/>
      <c r="LN467" s="4"/>
      <c r="LO467" s="4"/>
      <c r="LP467" s="4"/>
      <c r="LQ467" s="4"/>
      <c r="LR467" s="5"/>
      <c r="LS467" s="6"/>
      <c r="LT467" s="4"/>
      <c r="LU467" s="4"/>
      <c r="LV467" s="4"/>
      <c r="LW467" s="4"/>
      <c r="LX467" s="4"/>
      <c r="LY467" s="5"/>
      <c r="LZ467" s="6" t="s">
        <v>2023</v>
      </c>
      <c r="MA467" s="7" t="s">
        <v>2024</v>
      </c>
      <c r="MB467" s="7" t="s">
        <v>1115</v>
      </c>
      <c r="MC467" s="7" t="s">
        <v>1690</v>
      </c>
      <c r="MD467" s="8">
        <v>39333</v>
      </c>
      <c r="ME467" s="8">
        <v>39334</v>
      </c>
      <c r="MF467" s="8"/>
      <c r="MG467" s="5"/>
      <c r="MH467" s="6"/>
      <c r="MI467" s="4"/>
      <c r="MJ467" s="4"/>
      <c r="MK467" s="4"/>
      <c r="ML467" s="4"/>
      <c r="MM467" s="4"/>
      <c r="MN467" s="5"/>
      <c r="MO467" s="6"/>
      <c r="MP467" s="4"/>
      <c r="MQ467" s="4"/>
      <c r="MR467" s="4"/>
      <c r="MS467" s="4"/>
      <c r="MT467" s="4"/>
      <c r="MU467" s="5"/>
      <c r="MV467" s="6"/>
      <c r="MW467" s="4"/>
      <c r="MX467" s="4"/>
      <c r="MY467" s="4"/>
      <c r="MZ467" s="4"/>
      <c r="NA467" s="4"/>
      <c r="NB467" s="5"/>
      <c r="NC467" s="6"/>
      <c r="NE467" s="4"/>
      <c r="NF467" s="4"/>
      <c r="NG467" s="4"/>
      <c r="NH467" s="4"/>
      <c r="NI467" s="5"/>
      <c r="NJ467" s="6"/>
      <c r="NK467" s="4"/>
      <c r="NL467" s="4"/>
      <c r="NM467" s="4"/>
      <c r="NN467" s="4"/>
      <c r="NO467" s="4"/>
      <c r="NP467" s="5"/>
      <c r="NQ467" s="6"/>
      <c r="NR467" s="4"/>
      <c r="NS467" s="4"/>
      <c r="NT467" s="4"/>
      <c r="NU467" s="4"/>
      <c r="NV467" s="4"/>
      <c r="NW467" s="5"/>
      <c r="NX467" s="6"/>
      <c r="NY467" s="4"/>
      <c r="NZ467" s="4"/>
      <c r="OA467" s="4"/>
      <c r="OB467" s="4"/>
      <c r="OC467" s="4"/>
      <c r="OD467" s="5"/>
      <c r="OE467" s="6"/>
      <c r="OF467" s="4"/>
      <c r="OG467" s="4"/>
      <c r="OH467" s="4"/>
      <c r="OI467" s="4"/>
      <c r="OJ467" s="4"/>
      <c r="OK467" s="5"/>
      <c r="OL467" s="6"/>
      <c r="OM467" s="4"/>
      <c r="ON467" s="4"/>
      <c r="OO467" s="4"/>
      <c r="OP467" s="4"/>
      <c r="OQ467" s="4"/>
      <c r="OR467" s="5"/>
      <c r="OS467" s="6"/>
      <c r="OT467" s="4"/>
      <c r="OU467" s="4"/>
      <c r="OV467" s="4"/>
      <c r="OW467" s="4"/>
      <c r="OX467" s="4"/>
      <c r="OY467" s="5"/>
      <c r="OZ467" s="6"/>
      <c r="PA467" s="4"/>
      <c r="PB467" s="4"/>
      <c r="PC467" s="4"/>
      <c r="PD467" s="4"/>
      <c r="PE467" s="4"/>
      <c r="PF467" s="5"/>
      <c r="PG467" s="6"/>
      <c r="PH467" s="4"/>
      <c r="PI467" s="4"/>
      <c r="PJ467" s="4"/>
      <c r="PK467" s="4"/>
      <c r="PL467" s="4"/>
      <c r="PM467" s="5"/>
      <c r="PN467" s="6"/>
      <c r="PO467" s="4"/>
      <c r="PP467" s="4"/>
      <c r="PQ467" s="4"/>
      <c r="PR467" s="4"/>
      <c r="PS467" s="4"/>
      <c r="PT467" s="5"/>
      <c r="PU467" s="6"/>
      <c r="PV467" s="4"/>
      <c r="PW467" s="4"/>
      <c r="PX467" s="4"/>
      <c r="PY467" s="4"/>
      <c r="PZ467" s="4"/>
      <c r="QA467" s="5"/>
      <c r="QB467" s="6"/>
      <c r="QC467" s="4"/>
      <c r="QD467" s="4"/>
      <c r="QE467" s="4"/>
      <c r="QF467" s="4"/>
      <c r="QG467" s="4"/>
      <c r="QH467" s="5"/>
      <c r="QI467" s="6"/>
      <c r="QJ467" s="4"/>
      <c r="QK467" s="4"/>
      <c r="QL467" s="4"/>
      <c r="QM467" s="4"/>
      <c r="QN467" s="4"/>
      <c r="QO467" s="5"/>
      <c r="QP467" s="6"/>
      <c r="QQ467" s="4"/>
      <c r="QR467" s="4"/>
      <c r="QS467" s="4"/>
      <c r="QT467" s="4"/>
      <c r="QU467" s="4"/>
      <c r="QV467" s="5"/>
      <c r="QW467" s="6"/>
      <c r="QX467" s="4"/>
      <c r="QY467" s="4"/>
      <c r="QZ467" s="4"/>
      <c r="RA467" s="4"/>
      <c r="RB467" s="4"/>
      <c r="RC467" s="5"/>
      <c r="RD467" s="6"/>
      <c r="RE467" s="4"/>
      <c r="RF467" s="4"/>
      <c r="RG467" s="4"/>
      <c r="RH467" s="4"/>
      <c r="RI467" s="4"/>
      <c r="RJ467" s="5"/>
      <c r="RK467" s="6"/>
      <c r="RL467" s="4"/>
      <c r="RM467" s="4"/>
      <c r="RN467" s="4"/>
      <c r="RO467" s="4"/>
      <c r="RP467" s="4"/>
      <c r="RQ467" s="5"/>
      <c r="RR467" s="6"/>
      <c r="RS467" s="4"/>
      <c r="RT467" s="4"/>
      <c r="RU467" s="4"/>
      <c r="RV467" s="4"/>
      <c r="RW467" s="4"/>
      <c r="RX467" s="5"/>
      <c r="RY467" s="6"/>
      <c r="RZ467" s="4"/>
      <c r="SA467" s="4"/>
      <c r="SB467" s="4"/>
      <c r="SC467" s="4"/>
      <c r="SD467" s="4"/>
      <c r="SE467" s="5"/>
      <c r="SF467" s="6"/>
      <c r="SG467" s="4"/>
      <c r="SH467" s="4"/>
      <c r="SI467" s="4"/>
      <c r="SJ467" s="4"/>
      <c r="SK467" s="4"/>
      <c r="SL467" s="5"/>
      <c r="SM467" s="6"/>
      <c r="SN467" s="4"/>
      <c r="SO467" s="4"/>
      <c r="SP467" s="4"/>
      <c r="SQ467" s="4"/>
      <c r="SR467" s="4"/>
      <c r="SS467" s="5"/>
      <c r="ST467" s="6"/>
      <c r="SU467" s="4"/>
      <c r="SV467" s="4"/>
      <c r="SW467" s="4"/>
      <c r="SX467" s="4"/>
      <c r="SY467" s="4"/>
      <c r="SZ467" s="5"/>
      <c r="TA467" s="6"/>
      <c r="TB467" s="4"/>
      <c r="TC467" s="4"/>
      <c r="TD467" s="4"/>
      <c r="TE467" s="4"/>
      <c r="TF467" s="4"/>
      <c r="TG467" s="5"/>
      <c r="TH467" s="6"/>
      <c r="TI467" s="4"/>
      <c r="TJ467" s="4"/>
      <c r="TK467" s="4"/>
      <c r="TL467" s="4"/>
      <c r="TM467" s="4"/>
      <c r="TN467" s="5"/>
      <c r="TO467" s="6"/>
      <c r="TP467" s="4"/>
      <c r="TQ467" s="4"/>
      <c r="TR467" s="4"/>
      <c r="TS467" s="4"/>
      <c r="TT467" s="4"/>
      <c r="TU467" s="5"/>
      <c r="TV467" s="6"/>
      <c r="TW467" s="4"/>
      <c r="TX467" s="4"/>
      <c r="TY467" s="4"/>
      <c r="TZ467" s="4"/>
      <c r="UA467" s="4"/>
      <c r="UB467" s="5"/>
      <c r="UC467" s="6"/>
      <c r="UD467" s="4"/>
      <c r="UE467" s="4"/>
      <c r="UF467" s="4"/>
      <c r="UG467" s="4"/>
      <c r="UH467" s="4"/>
      <c r="UI467" s="5"/>
      <c r="UJ467" s="6"/>
      <c r="UK467" s="4"/>
      <c r="UL467" s="4"/>
      <c r="UM467" s="4"/>
      <c r="UN467" s="4"/>
      <c r="UO467" s="4"/>
      <c r="UP467" s="5"/>
      <c r="UQ467" s="6"/>
      <c r="UR467" s="4"/>
      <c r="US467" s="4"/>
      <c r="UT467" s="4"/>
      <c r="UU467" s="4"/>
      <c r="UV467" s="4"/>
      <c r="UW467" s="5"/>
      <c r="UX467" s="6"/>
      <c r="UY467" s="4"/>
      <c r="UZ467" s="4"/>
      <c r="VA467" s="4"/>
      <c r="VB467" s="4"/>
      <c r="VC467" s="4"/>
      <c r="VD467" s="5"/>
      <c r="VE467" s="15"/>
      <c r="VF467" s="12"/>
      <c r="VG467" s="4"/>
      <c r="VH467" s="4"/>
      <c r="VI467" s="8"/>
      <c r="VJ467" s="8"/>
      <c r="VK467" s="5"/>
      <c r="VL467" s="6"/>
      <c r="VM467" s="4"/>
      <c r="VN467" s="4"/>
      <c r="VO467" s="4"/>
      <c r="VP467" s="4"/>
      <c r="VQ467" s="4"/>
      <c r="VR467" s="5"/>
      <c r="VS467" s="6"/>
      <c r="VT467" s="4"/>
      <c r="VU467" s="4"/>
      <c r="VV467" s="4"/>
      <c r="VW467" s="4"/>
      <c r="VX467" s="4"/>
      <c r="VY467" s="5"/>
      <c r="VZ467" s="6"/>
      <c r="WA467" s="4"/>
      <c r="WB467" s="4"/>
      <c r="WC467" s="4"/>
      <c r="WD467" s="4"/>
      <c r="WE467" s="4"/>
      <c r="WF467" s="5"/>
      <c r="WG467" s="6"/>
      <c r="WH467" s="4"/>
      <c r="WI467" s="4"/>
      <c r="WJ467" s="4"/>
      <c r="WK467" s="4"/>
      <c r="WL467" s="4"/>
      <c r="WM467" s="5"/>
      <c r="WN467" s="6"/>
      <c r="WO467" s="4"/>
      <c r="WP467" s="4"/>
      <c r="WQ467" s="4"/>
      <c r="WR467" s="4"/>
      <c r="WS467" s="4"/>
      <c r="WT467" s="5"/>
      <c r="WU467" s="6"/>
      <c r="WV467" s="4"/>
      <c r="WW467" s="4"/>
      <c r="WX467" s="4"/>
      <c r="WY467" s="4"/>
      <c r="WZ467" s="4"/>
      <c r="XA467" s="5"/>
      <c r="XB467" s="6"/>
      <c r="XC467" s="4"/>
      <c r="XD467" s="4"/>
      <c r="XE467" s="4"/>
      <c r="XF467" s="4"/>
      <c r="XG467" s="4"/>
      <c r="XH467" s="5"/>
      <c r="XI467" s="6"/>
      <c r="XJ467" s="4"/>
      <c r="XK467" s="4"/>
      <c r="XL467" s="4"/>
      <c r="XM467" s="4"/>
      <c r="XN467" s="4"/>
      <c r="XO467" s="5"/>
      <c r="XP467" s="6"/>
      <c r="XQ467" s="4"/>
      <c r="XR467" s="4"/>
      <c r="XS467" s="4"/>
      <c r="XT467" s="4"/>
      <c r="XU467" s="4"/>
      <c r="XV467" s="5"/>
      <c r="XW467" s="6"/>
      <c r="XX467" s="4"/>
      <c r="XY467" s="4"/>
      <c r="XZ467" s="4"/>
      <c r="YA467" s="4"/>
      <c r="YB467" s="4"/>
      <c r="YC467" s="5"/>
      <c r="YD467" s="6"/>
      <c r="YE467" s="4"/>
      <c r="YF467" s="4"/>
      <c r="YG467" s="4"/>
      <c r="YH467" s="4"/>
      <c r="YI467" s="4"/>
      <c r="YJ467" s="5"/>
      <c r="YK467" s="6" t="s">
        <v>2251</v>
      </c>
      <c r="YL467" s="4" t="s">
        <v>1382</v>
      </c>
      <c r="YM467" s="4"/>
      <c r="YN467" s="7" t="s">
        <v>1678</v>
      </c>
      <c r="YO467" s="8">
        <v>39331</v>
      </c>
      <c r="YP467" s="8">
        <v>39336</v>
      </c>
      <c r="YQ467" s="5"/>
      <c r="YR467" s="6"/>
      <c r="YS467" s="4"/>
      <c r="YT467" s="4"/>
      <c r="YU467" s="4"/>
      <c r="YV467" s="4"/>
      <c r="YW467" s="4"/>
      <c r="YX467" s="5"/>
      <c r="YY467" s="6"/>
      <c r="YZ467" s="4"/>
      <c r="ZA467" s="4"/>
      <c r="ZB467" s="4"/>
      <c r="ZC467" s="4"/>
      <c r="ZD467" s="4"/>
      <c r="ZE467" s="5"/>
      <c r="ZF467" s="6"/>
      <c r="ZG467" s="4"/>
      <c r="ZH467" s="4"/>
      <c r="ZI467" s="4"/>
      <c r="ZJ467" s="4"/>
      <c r="ZK467" s="4"/>
      <c r="ZL467" s="5"/>
      <c r="ZM467" s="6"/>
      <c r="ZN467" s="4"/>
      <c r="ZO467" s="4"/>
      <c r="ZP467" s="4"/>
      <c r="ZQ467" s="4"/>
      <c r="ZR467" s="4"/>
      <c r="ZS467" s="5"/>
      <c r="ZT467" s="6"/>
      <c r="ZU467" s="4"/>
      <c r="ZV467" s="4"/>
      <c r="ZW467" s="4"/>
      <c r="ZX467" s="4"/>
      <c r="ZY467" s="4"/>
      <c r="ZZ467" s="5"/>
      <c r="AAA467" s="6"/>
      <c r="AAB467" s="4"/>
      <c r="AAC467" s="4"/>
      <c r="AAD467" s="4"/>
      <c r="AAE467" s="4"/>
      <c r="AAF467" s="4"/>
      <c r="AAG467" s="5"/>
      <c r="AAH467" s="6"/>
      <c r="AAI467" s="4"/>
      <c r="AAJ467" s="4"/>
      <c r="AAK467" s="4"/>
      <c r="AAL467" s="4"/>
      <c r="AAM467" s="4"/>
      <c r="AAN467" s="5"/>
      <c r="AAO467" s="6"/>
      <c r="AAP467" s="4"/>
      <c r="AAQ467" s="4"/>
      <c r="AAR467" s="4"/>
      <c r="AAS467" s="4"/>
      <c r="AAT467" s="4"/>
      <c r="AAU467" s="5"/>
      <c r="AAV467" s="6"/>
      <c r="AAW467" s="4"/>
      <c r="AAX467" s="4"/>
      <c r="AAY467" s="4"/>
      <c r="AAZ467" s="4"/>
      <c r="ABA467" s="4"/>
      <c r="ABB467" s="5"/>
      <c r="ABC467" s="6"/>
      <c r="ABD467" s="4"/>
      <c r="ABE467" s="4"/>
      <c r="ABF467" s="4"/>
      <c r="ABG467" s="4"/>
      <c r="ABH467" s="4"/>
      <c r="ABI467" s="5"/>
      <c r="ABJ467" s="6"/>
      <c r="ABK467" s="4"/>
      <c r="ABL467" s="4"/>
      <c r="ABM467" s="4"/>
      <c r="ABN467" s="4"/>
      <c r="ABO467" s="4"/>
      <c r="ABP467" s="5"/>
      <c r="ABQ467" s="6"/>
      <c r="ABR467" s="4"/>
      <c r="ABS467" s="4"/>
      <c r="ABT467" s="4"/>
      <c r="ABU467" s="4"/>
      <c r="ABV467" s="4"/>
      <c r="ABW467" s="5"/>
      <c r="ABX467" s="6"/>
      <c r="ABY467" s="4"/>
      <c r="ABZ467" s="4"/>
      <c r="ACA467" s="4"/>
      <c r="ACB467" s="4"/>
      <c r="ACC467" s="4"/>
      <c r="ACD467" s="5"/>
      <c r="ACE467" s="6"/>
      <c r="ACF467" s="4"/>
      <c r="ACG467" s="4"/>
      <c r="ACH467" s="4"/>
      <c r="ACI467" s="4"/>
      <c r="ACJ467" s="4"/>
      <c r="ACK467" s="5"/>
      <c r="ACL467" s="6"/>
      <c r="ACM467" s="4"/>
      <c r="ACN467" s="4"/>
      <c r="ACO467" s="4"/>
      <c r="ACP467" s="4"/>
      <c r="ACQ467" s="4"/>
      <c r="ACR467" s="5"/>
      <c r="ACS467" s="6"/>
      <c r="ACT467" s="4"/>
      <c r="ACU467" s="4"/>
      <c r="ACV467" s="4"/>
      <c r="ACW467" s="4"/>
      <c r="ACX467" s="4"/>
      <c r="ACY467" s="5"/>
    </row>
    <row r="468" spans="2:805" x14ac:dyDescent="0.25">
      <c r="J468" s="12"/>
      <c r="K468" s="12"/>
      <c r="L468" s="12"/>
      <c r="LL468" s="6"/>
      <c r="LM468" s="4"/>
      <c r="LN468" s="4"/>
      <c r="LO468" s="4"/>
      <c r="LP468" s="4"/>
      <c r="LQ468" s="4"/>
      <c r="LR468" s="5"/>
      <c r="LS468" s="6"/>
      <c r="LT468" s="4"/>
      <c r="LU468" s="4"/>
      <c r="LV468" s="4"/>
      <c r="LW468" s="4"/>
      <c r="LX468" s="4"/>
      <c r="LY468" s="5"/>
      <c r="LZ468" s="15" t="s">
        <v>1116</v>
      </c>
      <c r="MA468" s="12" t="s">
        <v>1117</v>
      </c>
      <c r="MB468" s="7" t="s">
        <v>1375</v>
      </c>
      <c r="MC468" s="7" t="s">
        <v>1578</v>
      </c>
      <c r="MD468" s="8">
        <v>39327</v>
      </c>
      <c r="ME468" s="8">
        <v>39327</v>
      </c>
      <c r="MF468" s="8"/>
      <c r="MG468" s="5" t="s">
        <v>1203</v>
      </c>
      <c r="MH468" s="6"/>
      <c r="MI468" s="4"/>
      <c r="MJ468" s="4"/>
      <c r="MK468" s="4"/>
      <c r="ML468" s="4"/>
      <c r="MM468" s="4"/>
      <c r="MN468" s="5"/>
      <c r="MO468" s="6"/>
      <c r="MP468" s="4"/>
      <c r="MQ468" s="4"/>
      <c r="MR468" s="4"/>
      <c r="MS468" s="4"/>
      <c r="MT468" s="4"/>
      <c r="MU468" s="5"/>
      <c r="MV468" s="6"/>
      <c r="MW468" s="4"/>
      <c r="MX468" s="4"/>
      <c r="MY468" s="4"/>
      <c r="MZ468" s="4"/>
      <c r="NA468" s="4"/>
      <c r="NB468" s="5"/>
      <c r="NC468" s="6"/>
      <c r="NE468" s="4"/>
      <c r="NF468" s="4"/>
      <c r="NG468" s="4"/>
      <c r="NH468" s="4"/>
      <c r="NI468" s="5"/>
      <c r="NJ468" s="6"/>
      <c r="NK468" s="4"/>
      <c r="NL468" s="4"/>
      <c r="NM468" s="4"/>
      <c r="NN468" s="4"/>
      <c r="NO468" s="4"/>
      <c r="NP468" s="5"/>
      <c r="NQ468" s="6"/>
      <c r="NR468" s="4"/>
      <c r="NS468" s="4"/>
      <c r="NT468" s="4"/>
      <c r="NU468" s="4"/>
      <c r="NV468" s="4"/>
      <c r="NW468" s="5"/>
      <c r="NX468" s="6"/>
      <c r="NY468" s="4"/>
      <c r="NZ468" s="4"/>
      <c r="OA468" s="4"/>
      <c r="OB468" s="4"/>
      <c r="OC468" s="4"/>
      <c r="OD468" s="5"/>
      <c r="OE468" s="6"/>
      <c r="OF468" s="4"/>
      <c r="OG468" s="4"/>
      <c r="OH468" s="4"/>
      <c r="OI468" s="4"/>
      <c r="OJ468" s="4"/>
      <c r="OK468" s="5"/>
      <c r="OL468" s="6"/>
      <c r="OM468" s="4"/>
      <c r="ON468" s="4"/>
      <c r="OO468" s="4"/>
      <c r="OP468" s="4"/>
      <c r="OQ468" s="4"/>
      <c r="OR468" s="5"/>
      <c r="OS468" s="6"/>
      <c r="OT468" s="4"/>
      <c r="OU468" s="4"/>
      <c r="OV468" s="4"/>
      <c r="OW468" s="4"/>
      <c r="OX468" s="4"/>
      <c r="OY468" s="5"/>
      <c r="OZ468" s="6"/>
      <c r="PA468" s="4"/>
      <c r="PB468" s="4"/>
      <c r="PC468" s="4"/>
      <c r="PD468" s="4"/>
      <c r="PE468" s="4"/>
      <c r="PF468" s="5"/>
      <c r="PG468" s="6"/>
      <c r="PH468" s="4"/>
      <c r="PI468" s="4"/>
      <c r="PJ468" s="4"/>
      <c r="PK468" s="4"/>
      <c r="PL468" s="4"/>
      <c r="PM468" s="5"/>
      <c r="PN468" s="6"/>
      <c r="PO468" s="4"/>
      <c r="PP468" s="4"/>
      <c r="PQ468" s="4"/>
      <c r="PR468" s="4"/>
      <c r="PS468" s="4"/>
      <c r="PT468" s="5"/>
      <c r="PU468" s="6"/>
      <c r="PV468" s="4"/>
      <c r="PW468" s="4"/>
      <c r="PX468" s="4"/>
      <c r="PY468" s="4"/>
      <c r="PZ468" s="4"/>
      <c r="QA468" s="5"/>
      <c r="QB468" s="6"/>
      <c r="QC468" s="4"/>
      <c r="QD468" s="4"/>
      <c r="QE468" s="4"/>
      <c r="QF468" s="4"/>
      <c r="QG468" s="4"/>
      <c r="QH468" s="5"/>
      <c r="QI468" s="6"/>
      <c r="QJ468" s="4"/>
      <c r="QK468" s="4"/>
      <c r="QL468" s="4"/>
      <c r="QM468" s="4"/>
      <c r="QN468" s="4"/>
      <c r="QO468" s="5"/>
      <c r="QP468" s="6"/>
      <c r="QQ468" s="4"/>
      <c r="QR468" s="4"/>
      <c r="QS468" s="4"/>
      <c r="QT468" s="4"/>
      <c r="QU468" s="4"/>
      <c r="QV468" s="5"/>
      <c r="QW468" s="6"/>
      <c r="QX468" s="4"/>
      <c r="QY468" s="4"/>
      <c r="QZ468" s="4"/>
      <c r="RA468" s="4"/>
      <c r="RB468" s="4"/>
      <c r="RC468" s="5"/>
      <c r="RD468" s="6"/>
      <c r="RE468" s="4"/>
      <c r="RF468" s="4"/>
      <c r="RG468" s="4"/>
      <c r="RH468" s="4"/>
      <c r="RI468" s="4"/>
      <c r="RJ468" s="5"/>
      <c r="RK468" s="6"/>
      <c r="RL468" s="4"/>
      <c r="RM468" s="4"/>
      <c r="RN468" s="4"/>
      <c r="RO468" s="4"/>
      <c r="RP468" s="4"/>
      <c r="RQ468" s="5"/>
      <c r="RR468" s="6"/>
      <c r="RS468" s="4"/>
      <c r="RT468" s="4"/>
      <c r="RU468" s="4"/>
      <c r="RV468" s="4"/>
      <c r="RW468" s="4"/>
      <c r="RX468" s="5"/>
      <c r="RY468" s="6"/>
      <c r="RZ468" s="4"/>
      <c r="SA468" s="4"/>
      <c r="SB468" s="4"/>
      <c r="SC468" s="4"/>
      <c r="SD468" s="4"/>
      <c r="SE468" s="5"/>
      <c r="SF468" s="6"/>
      <c r="SG468" s="4"/>
      <c r="SH468" s="4"/>
      <c r="SI468" s="4"/>
      <c r="SJ468" s="4"/>
      <c r="SK468" s="4"/>
      <c r="SL468" s="5"/>
      <c r="SM468" s="6"/>
      <c r="SN468" s="4"/>
      <c r="SO468" s="4"/>
      <c r="SP468" s="4"/>
      <c r="SQ468" s="4"/>
      <c r="SR468" s="4"/>
      <c r="SS468" s="5"/>
      <c r="ST468" s="6"/>
      <c r="SU468" s="4"/>
      <c r="SV468" s="4"/>
      <c r="SW468" s="4"/>
      <c r="SX468" s="4"/>
      <c r="SY468" s="4"/>
      <c r="SZ468" s="5"/>
      <c r="TA468" s="6"/>
      <c r="TB468" s="4"/>
      <c r="TC468" s="4"/>
      <c r="TD468" s="4"/>
      <c r="TE468" s="4"/>
      <c r="TF468" s="4"/>
      <c r="TG468" s="5"/>
      <c r="TH468" s="6"/>
      <c r="TI468" s="4"/>
      <c r="TJ468" s="4"/>
      <c r="TK468" s="4"/>
      <c r="TL468" s="4"/>
      <c r="TM468" s="4"/>
      <c r="TN468" s="5"/>
      <c r="TO468" s="6"/>
      <c r="TP468" s="4"/>
      <c r="TQ468" s="4"/>
      <c r="TR468" s="4"/>
      <c r="TS468" s="4"/>
      <c r="TT468" s="4"/>
      <c r="TU468" s="5"/>
      <c r="TV468" s="6"/>
      <c r="TW468" s="4"/>
      <c r="TX468" s="4"/>
      <c r="TY468" s="4"/>
      <c r="TZ468" s="4"/>
      <c r="UA468" s="4"/>
      <c r="UB468" s="5"/>
      <c r="UC468" s="6"/>
      <c r="UD468" s="4"/>
      <c r="UE468" s="4"/>
      <c r="UF468" s="4"/>
      <c r="UG468" s="4"/>
      <c r="UH468" s="4"/>
      <c r="UI468" s="5"/>
      <c r="UJ468" s="6"/>
      <c r="UK468" s="4"/>
      <c r="UL468" s="4"/>
      <c r="UM468" s="4"/>
      <c r="UN468" s="4"/>
      <c r="UO468" s="4"/>
      <c r="UP468" s="5"/>
      <c r="UQ468" s="6"/>
      <c r="UR468" s="4"/>
      <c r="US468" s="4"/>
      <c r="UT468" s="4"/>
      <c r="UU468" s="4"/>
      <c r="UV468" s="4"/>
      <c r="UW468" s="5"/>
      <c r="UX468" s="6"/>
      <c r="UY468" s="4"/>
      <c r="UZ468" s="4"/>
      <c r="VA468" s="4"/>
      <c r="VB468" s="4"/>
      <c r="VC468" s="4"/>
      <c r="VD468" s="5"/>
      <c r="VE468" s="15"/>
      <c r="VF468" s="12"/>
      <c r="VG468" s="4"/>
      <c r="VH468" s="4"/>
      <c r="VI468" s="8"/>
      <c r="VJ468" s="8"/>
      <c r="VK468" s="5"/>
      <c r="VL468" s="6"/>
      <c r="VM468" s="4"/>
      <c r="VN468" s="4"/>
      <c r="VO468" s="4"/>
      <c r="VP468" s="4"/>
      <c r="VQ468" s="4"/>
      <c r="VR468" s="5"/>
      <c r="VS468" s="6"/>
      <c r="VT468" s="4"/>
      <c r="VU468" s="4"/>
      <c r="VV468" s="4"/>
      <c r="VW468" s="4"/>
      <c r="VX468" s="4"/>
      <c r="VY468" s="5"/>
      <c r="VZ468" s="6"/>
      <c r="WA468" s="4"/>
      <c r="WB468" s="4"/>
      <c r="WC468" s="4"/>
      <c r="WD468" s="4"/>
      <c r="WE468" s="4"/>
      <c r="WF468" s="5"/>
      <c r="WG468" s="6"/>
      <c r="WH468" s="4"/>
      <c r="WI468" s="4"/>
      <c r="WJ468" s="4"/>
      <c r="WK468" s="4"/>
      <c r="WL468" s="4"/>
      <c r="WM468" s="5"/>
      <c r="WN468" s="6"/>
      <c r="WO468" s="4"/>
      <c r="WP468" s="4"/>
      <c r="WQ468" s="4"/>
      <c r="WR468" s="4"/>
      <c r="WS468" s="4"/>
      <c r="WT468" s="5"/>
      <c r="WU468" s="6"/>
      <c r="WV468" s="4"/>
      <c r="WW468" s="4"/>
      <c r="WX468" s="4"/>
      <c r="WY468" s="4"/>
      <c r="WZ468" s="4"/>
      <c r="XA468" s="5"/>
      <c r="XB468" s="6"/>
      <c r="XC468" s="4"/>
      <c r="XD468" s="4"/>
      <c r="XE468" s="4"/>
      <c r="XF468" s="4"/>
      <c r="XG468" s="4"/>
      <c r="XH468" s="5"/>
      <c r="XI468" s="6"/>
      <c r="XJ468" s="4"/>
      <c r="XK468" s="4"/>
      <c r="XL468" s="4"/>
      <c r="XM468" s="4"/>
      <c r="XN468" s="4"/>
      <c r="XO468" s="5"/>
      <c r="XP468" s="6"/>
      <c r="XQ468" s="4"/>
      <c r="XR468" s="4"/>
      <c r="XS468" s="4"/>
      <c r="XT468" s="4"/>
      <c r="XU468" s="4"/>
      <c r="XV468" s="5"/>
      <c r="XW468" s="6"/>
      <c r="XX468" s="4"/>
      <c r="XY468" s="4"/>
      <c r="XZ468" s="4"/>
      <c r="YA468" s="4"/>
      <c r="YB468" s="4"/>
      <c r="YC468" s="5"/>
      <c r="YD468" s="6"/>
      <c r="YE468" s="4"/>
      <c r="YF468" s="4"/>
      <c r="YG468" s="4"/>
      <c r="YH468" s="4"/>
      <c r="YI468" s="4"/>
      <c r="YJ468" s="5"/>
      <c r="YK468" s="6" t="s">
        <v>3287</v>
      </c>
      <c r="YL468" s="7" t="s">
        <v>1451</v>
      </c>
      <c r="YM468" s="4" t="s">
        <v>1639</v>
      </c>
      <c r="YN468" s="7" t="s">
        <v>1635</v>
      </c>
      <c r="YO468" s="8">
        <v>39337</v>
      </c>
      <c r="YP468" s="8">
        <v>39345</v>
      </c>
      <c r="YQ468" s="5"/>
      <c r="YR468" s="6"/>
      <c r="YS468" s="4"/>
      <c r="YT468" s="4"/>
      <c r="YU468" s="4"/>
      <c r="YV468" s="4"/>
      <c r="YW468" s="4"/>
      <c r="YX468" s="5"/>
      <c r="YY468" s="6"/>
      <c r="YZ468" s="4"/>
      <c r="ZA468" s="4"/>
      <c r="ZB468" s="4"/>
      <c r="ZC468" s="4"/>
      <c r="ZD468" s="4"/>
      <c r="ZE468" s="5"/>
      <c r="ZF468" s="6"/>
      <c r="ZG468" s="4"/>
      <c r="ZH468" s="4"/>
      <c r="ZI468" s="4"/>
      <c r="ZJ468" s="4"/>
      <c r="ZK468" s="4"/>
      <c r="ZL468" s="5"/>
      <c r="ZM468" s="6"/>
      <c r="ZN468" s="4"/>
      <c r="ZO468" s="4"/>
      <c r="ZP468" s="4"/>
      <c r="ZQ468" s="4"/>
      <c r="ZR468" s="4"/>
      <c r="ZS468" s="5"/>
      <c r="ZT468" s="6"/>
      <c r="ZU468" s="4"/>
      <c r="ZV468" s="4"/>
      <c r="ZW468" s="4"/>
      <c r="ZX468" s="4"/>
      <c r="ZY468" s="4"/>
      <c r="ZZ468" s="5"/>
      <c r="AAA468" s="6"/>
      <c r="AAB468" s="4"/>
      <c r="AAC468" s="4"/>
      <c r="AAD468" s="4"/>
      <c r="AAE468" s="4"/>
      <c r="AAF468" s="4"/>
      <c r="AAG468" s="5"/>
      <c r="AAH468" s="6"/>
      <c r="AAI468" s="4"/>
      <c r="AAJ468" s="4"/>
      <c r="AAK468" s="4"/>
      <c r="AAL468" s="4"/>
      <c r="AAM468" s="4"/>
      <c r="AAN468" s="5"/>
      <c r="AAO468" s="6"/>
      <c r="AAP468" s="4"/>
      <c r="AAQ468" s="4"/>
      <c r="AAR468" s="4"/>
      <c r="AAS468" s="4"/>
      <c r="AAT468" s="4"/>
      <c r="AAU468" s="5"/>
      <c r="AAV468" s="6"/>
      <c r="AAW468" s="4"/>
      <c r="AAX468" s="4"/>
      <c r="AAY468" s="4"/>
      <c r="AAZ468" s="4"/>
      <c r="ABA468" s="4"/>
      <c r="ABB468" s="5"/>
      <c r="ABC468" s="6"/>
      <c r="ABD468" s="4"/>
      <c r="ABE468" s="4"/>
      <c r="ABF468" s="4"/>
      <c r="ABG468" s="4"/>
      <c r="ABH468" s="4"/>
      <c r="ABI468" s="5"/>
      <c r="ABJ468" s="6"/>
      <c r="ABK468" s="4"/>
      <c r="ABL468" s="4"/>
      <c r="ABM468" s="4"/>
      <c r="ABN468" s="4"/>
      <c r="ABO468" s="4"/>
      <c r="ABP468" s="5"/>
      <c r="ABQ468" s="6"/>
      <c r="ABR468" s="4"/>
      <c r="ABS468" s="4"/>
      <c r="ABT468" s="4"/>
      <c r="ABU468" s="4"/>
      <c r="ABV468" s="4"/>
      <c r="ABW468" s="5"/>
      <c r="ABX468" s="6"/>
      <c r="ABY468" s="4"/>
      <c r="ABZ468" s="4"/>
      <c r="ACA468" s="4"/>
      <c r="ACB468" s="4"/>
      <c r="ACC468" s="4"/>
      <c r="ACD468" s="5"/>
      <c r="ACE468" s="6"/>
      <c r="ACF468" s="4"/>
      <c r="ACG468" s="4"/>
      <c r="ACH468" s="4"/>
      <c r="ACI468" s="4"/>
      <c r="ACJ468" s="4"/>
      <c r="ACK468" s="5"/>
      <c r="ACL468" s="6"/>
      <c r="ACM468" s="4"/>
      <c r="ACN468" s="4"/>
      <c r="ACO468" s="4"/>
      <c r="ACP468" s="4"/>
      <c r="ACQ468" s="4"/>
      <c r="ACR468" s="5"/>
      <c r="ACS468" s="6"/>
      <c r="ACT468" s="4"/>
      <c r="ACU468" s="4"/>
      <c r="ACV468" s="4"/>
      <c r="ACW468" s="4"/>
      <c r="ACX468" s="4"/>
      <c r="ACY468" s="5"/>
    </row>
    <row r="469" spans="2:805" x14ac:dyDescent="0.25">
      <c r="J469" s="12"/>
      <c r="K469" s="12"/>
      <c r="L469" s="12"/>
      <c r="LL469" s="6"/>
      <c r="LM469" s="4"/>
      <c r="LN469" s="4"/>
      <c r="LO469" s="4"/>
      <c r="LP469" s="4"/>
      <c r="LQ469" s="4"/>
      <c r="LR469" s="5"/>
      <c r="LS469" s="6"/>
      <c r="LT469" s="4"/>
      <c r="LU469" s="4"/>
      <c r="LV469" s="4"/>
      <c r="LW469" s="4"/>
      <c r="LX469" s="4"/>
      <c r="LY469" s="5"/>
      <c r="LZ469" s="15"/>
      <c r="MA469" s="12"/>
      <c r="MB469" s="7"/>
      <c r="MC469" s="7"/>
      <c r="MD469" s="8"/>
      <c r="ME469" s="8"/>
      <c r="MF469" s="8"/>
      <c r="MG469" s="5"/>
      <c r="MH469" s="6"/>
      <c r="MI469" s="4"/>
      <c r="MJ469" s="4"/>
      <c r="MK469" s="4"/>
      <c r="ML469" s="4"/>
      <c r="MM469" s="4"/>
      <c r="MN469" s="5"/>
      <c r="MO469" s="6"/>
      <c r="MP469" s="4"/>
      <c r="MQ469" s="4"/>
      <c r="MR469" s="4"/>
      <c r="MS469" s="4"/>
      <c r="MT469" s="4"/>
      <c r="MU469" s="5"/>
      <c r="MV469" s="6"/>
      <c r="MW469" s="4"/>
      <c r="MX469" s="4"/>
      <c r="MY469" s="4"/>
      <c r="MZ469" s="4"/>
      <c r="NA469" s="4"/>
      <c r="NB469" s="5"/>
      <c r="NC469" s="6"/>
      <c r="NE469" s="4"/>
      <c r="NF469" s="4"/>
      <c r="NG469" s="4"/>
      <c r="NH469" s="4"/>
      <c r="NI469" s="5"/>
      <c r="NJ469" s="6"/>
      <c r="NK469" s="4"/>
      <c r="NL469" s="4"/>
      <c r="NM469" s="4"/>
      <c r="NN469" s="4"/>
      <c r="NO469" s="4"/>
      <c r="NP469" s="5"/>
      <c r="NQ469" s="6"/>
      <c r="NR469" s="4"/>
      <c r="NS469" s="4"/>
      <c r="NT469" s="4"/>
      <c r="NU469" s="4"/>
      <c r="NV469" s="4"/>
      <c r="NW469" s="5"/>
      <c r="NX469" s="6"/>
      <c r="NY469" s="4"/>
      <c r="NZ469" s="4"/>
      <c r="OA469" s="4"/>
      <c r="OB469" s="4"/>
      <c r="OC469" s="4"/>
      <c r="OD469" s="5"/>
      <c r="OE469" s="6"/>
      <c r="OF469" s="4"/>
      <c r="OG469" s="4"/>
      <c r="OH469" s="4"/>
      <c r="OI469" s="4"/>
      <c r="OJ469" s="4"/>
      <c r="OK469" s="5"/>
      <c r="OL469" s="6"/>
      <c r="OM469" s="4"/>
      <c r="ON469" s="4"/>
      <c r="OO469" s="4"/>
      <c r="OP469" s="4"/>
      <c r="OQ469" s="4"/>
      <c r="OR469" s="5"/>
      <c r="OS469" s="6"/>
      <c r="OT469" s="4"/>
      <c r="OU469" s="4"/>
      <c r="OV469" s="4"/>
      <c r="OW469" s="4"/>
      <c r="OX469" s="4"/>
      <c r="OY469" s="5"/>
      <c r="OZ469" s="6"/>
      <c r="PA469" s="4"/>
      <c r="PB469" s="4"/>
      <c r="PC469" s="4"/>
      <c r="PD469" s="4"/>
      <c r="PE469" s="4"/>
      <c r="PF469" s="5"/>
      <c r="PG469" s="6"/>
      <c r="PH469" s="4"/>
      <c r="PI469" s="4"/>
      <c r="PJ469" s="4"/>
      <c r="PK469" s="4"/>
      <c r="PL469" s="4"/>
      <c r="PM469" s="5"/>
      <c r="PN469" s="6"/>
      <c r="PO469" s="4"/>
      <c r="PP469" s="4"/>
      <c r="PQ469" s="4"/>
      <c r="PR469" s="4"/>
      <c r="PS469" s="4"/>
      <c r="PT469" s="5"/>
      <c r="PU469" s="6"/>
      <c r="PV469" s="4"/>
      <c r="PW469" s="4"/>
      <c r="PX469" s="4"/>
      <c r="PY469" s="4"/>
      <c r="PZ469" s="4"/>
      <c r="QA469" s="5"/>
      <c r="QB469" s="6"/>
      <c r="QC469" s="4"/>
      <c r="QD469" s="4"/>
      <c r="QE469" s="4"/>
      <c r="QF469" s="4"/>
      <c r="QG469" s="4"/>
      <c r="QH469" s="5"/>
      <c r="QI469" s="6"/>
      <c r="QJ469" s="4"/>
      <c r="QK469" s="4"/>
      <c r="QL469" s="4"/>
      <c r="QM469" s="4"/>
      <c r="QN469" s="4"/>
      <c r="QO469" s="5"/>
      <c r="QP469" s="6"/>
      <c r="QQ469" s="4"/>
      <c r="QR469" s="4"/>
      <c r="QS469" s="4"/>
      <c r="QT469" s="4"/>
      <c r="QU469" s="4"/>
      <c r="QV469" s="5"/>
      <c r="QW469" s="6"/>
      <c r="QX469" s="4"/>
      <c r="QY469" s="4"/>
      <c r="QZ469" s="4"/>
      <c r="RA469" s="4"/>
      <c r="RB469" s="4"/>
      <c r="RC469" s="5"/>
      <c r="RD469" s="6"/>
      <c r="RE469" s="4"/>
      <c r="RF469" s="4"/>
      <c r="RG469" s="4"/>
      <c r="RH469" s="4"/>
      <c r="RI469" s="4"/>
      <c r="RJ469" s="5"/>
      <c r="RK469" s="6"/>
      <c r="RL469" s="4"/>
      <c r="RM469" s="4"/>
      <c r="RN469" s="4"/>
      <c r="RO469" s="4"/>
      <c r="RP469" s="4"/>
      <c r="RQ469" s="5"/>
      <c r="RR469" s="6"/>
      <c r="RS469" s="4"/>
      <c r="RT469" s="4"/>
      <c r="RU469" s="4"/>
      <c r="RV469" s="4"/>
      <c r="RW469" s="4"/>
      <c r="RX469" s="5"/>
      <c r="RY469" s="6"/>
      <c r="RZ469" s="4"/>
      <c r="SA469" s="4"/>
      <c r="SB469" s="4"/>
      <c r="SC469" s="4"/>
      <c r="SD469" s="4"/>
      <c r="SE469" s="5"/>
      <c r="SF469" s="6"/>
      <c r="SG469" s="4"/>
      <c r="SH469" s="4"/>
      <c r="SI469" s="4"/>
      <c r="SJ469" s="4"/>
      <c r="SK469" s="4"/>
      <c r="SL469" s="5"/>
      <c r="SM469" s="6"/>
      <c r="SN469" s="4"/>
      <c r="SO469" s="4"/>
      <c r="SP469" s="4"/>
      <c r="SQ469" s="4"/>
      <c r="SR469" s="4"/>
      <c r="SS469" s="5"/>
      <c r="ST469" s="6"/>
      <c r="SU469" s="4"/>
      <c r="SV469" s="4"/>
      <c r="SW469" s="4"/>
      <c r="SX469" s="4"/>
      <c r="SY469" s="4"/>
      <c r="SZ469" s="5"/>
      <c r="TA469" s="6"/>
      <c r="TB469" s="4"/>
      <c r="TC469" s="4"/>
      <c r="TD469" s="4"/>
      <c r="TE469" s="4"/>
      <c r="TF469" s="4"/>
      <c r="TG469" s="5"/>
      <c r="TH469" s="6"/>
      <c r="TI469" s="4"/>
      <c r="TJ469" s="4"/>
      <c r="TK469" s="4"/>
      <c r="TL469" s="4"/>
      <c r="TM469" s="4"/>
      <c r="TN469" s="5"/>
      <c r="TO469" s="6"/>
      <c r="TP469" s="4"/>
      <c r="TQ469" s="4"/>
      <c r="TR469" s="4"/>
      <c r="TS469" s="4"/>
      <c r="TT469" s="4"/>
      <c r="TU469" s="5"/>
      <c r="TV469" s="6"/>
      <c r="TW469" s="4"/>
      <c r="TX469" s="4"/>
      <c r="TY469" s="4"/>
      <c r="TZ469" s="4"/>
      <c r="UA469" s="4"/>
      <c r="UB469" s="5"/>
      <c r="UC469" s="6"/>
      <c r="UD469" s="4"/>
      <c r="UE469" s="4"/>
      <c r="UF469" s="4"/>
      <c r="UG469" s="4"/>
      <c r="UH469" s="4"/>
      <c r="UI469" s="5"/>
      <c r="UJ469" s="6"/>
      <c r="UK469" s="4"/>
      <c r="UL469" s="4"/>
      <c r="UM469" s="4"/>
      <c r="UN469" s="4"/>
      <c r="UO469" s="4"/>
      <c r="UP469" s="5"/>
      <c r="UQ469" s="6"/>
      <c r="UR469" s="4"/>
      <c r="US469" s="4"/>
      <c r="UT469" s="4"/>
      <c r="UU469" s="4"/>
      <c r="UV469" s="4"/>
      <c r="UW469" s="5"/>
      <c r="UX469" s="6"/>
      <c r="UY469" s="4"/>
      <c r="UZ469" s="4"/>
      <c r="VA469" s="4"/>
      <c r="VB469" s="4"/>
      <c r="VC469" s="4"/>
      <c r="VD469" s="5"/>
      <c r="VE469" s="15"/>
      <c r="VF469" s="12"/>
      <c r="VG469" s="4"/>
      <c r="VH469" s="4"/>
      <c r="VI469" s="8"/>
      <c r="VJ469" s="8"/>
      <c r="VK469" s="5"/>
      <c r="VL469" s="6"/>
      <c r="VM469" s="4"/>
      <c r="VN469" s="4"/>
      <c r="VO469" s="4"/>
      <c r="VP469" s="4"/>
      <c r="VQ469" s="4"/>
      <c r="VR469" s="5"/>
      <c r="VS469" s="6"/>
      <c r="VT469" s="4"/>
      <c r="VU469" s="4"/>
      <c r="VV469" s="4"/>
      <c r="VW469" s="4"/>
      <c r="VX469" s="4"/>
      <c r="VY469" s="5"/>
      <c r="VZ469" s="6"/>
      <c r="WA469" s="4"/>
      <c r="WB469" s="4"/>
      <c r="WC469" s="4"/>
      <c r="WD469" s="4"/>
      <c r="WE469" s="4"/>
      <c r="WF469" s="5"/>
      <c r="WG469" s="6"/>
      <c r="WH469" s="4"/>
      <c r="WI469" s="4"/>
      <c r="WJ469" s="4"/>
      <c r="WK469" s="4"/>
      <c r="WL469" s="4"/>
      <c r="WM469" s="5"/>
      <c r="WN469" s="6"/>
      <c r="WO469" s="4"/>
      <c r="WP469" s="4"/>
      <c r="WQ469" s="4"/>
      <c r="WR469" s="4"/>
      <c r="WS469" s="4"/>
      <c r="WT469" s="5"/>
      <c r="WU469" s="6"/>
      <c r="WV469" s="4"/>
      <c r="WW469" s="4"/>
      <c r="WX469" s="4"/>
      <c r="WY469" s="4"/>
      <c r="WZ469" s="4"/>
      <c r="XA469" s="5"/>
      <c r="XB469" s="6"/>
      <c r="XC469" s="4"/>
      <c r="XD469" s="4"/>
      <c r="XE469" s="4"/>
      <c r="XF469" s="4"/>
      <c r="XG469" s="4"/>
      <c r="XH469" s="5"/>
      <c r="XI469" s="6"/>
      <c r="XJ469" s="4"/>
      <c r="XK469" s="4"/>
      <c r="XL469" s="4"/>
      <c r="XM469" s="4"/>
      <c r="XN469" s="4"/>
      <c r="XO469" s="5"/>
      <c r="XP469" s="6"/>
      <c r="XQ469" s="4"/>
      <c r="XR469" s="4"/>
      <c r="XS469" s="4"/>
      <c r="XT469" s="4"/>
      <c r="XU469" s="4"/>
      <c r="XV469" s="5"/>
      <c r="XW469" s="6"/>
      <c r="XX469" s="4"/>
      <c r="XY469" s="4"/>
      <c r="XZ469" s="4"/>
      <c r="YA469" s="4"/>
      <c r="YB469" s="4"/>
      <c r="YC469" s="5"/>
      <c r="YD469" s="6"/>
      <c r="YE469" s="4"/>
      <c r="YF469" s="4"/>
      <c r="YG469" s="4"/>
      <c r="YH469" s="4"/>
      <c r="YI469" s="4"/>
      <c r="YJ469" s="5"/>
      <c r="YK469" s="6" t="s">
        <v>3561</v>
      </c>
      <c r="YL469" s="7" t="s">
        <v>2837</v>
      </c>
      <c r="YM469" s="4"/>
      <c r="YN469" s="7" t="s">
        <v>1941</v>
      </c>
      <c r="YO469" s="8">
        <v>39322</v>
      </c>
      <c r="YP469" s="8">
        <v>39338</v>
      </c>
      <c r="YQ469" s="5" t="s">
        <v>1275</v>
      </c>
      <c r="YR469" s="6"/>
      <c r="YS469" s="4"/>
      <c r="YT469" s="4"/>
      <c r="YU469" s="4"/>
      <c r="YV469" s="4"/>
      <c r="YW469" s="4"/>
      <c r="YX469" s="5"/>
      <c r="YY469" s="6"/>
      <c r="YZ469" s="4"/>
      <c r="ZA469" s="4"/>
      <c r="ZB469" s="4"/>
      <c r="ZC469" s="4"/>
      <c r="ZD469" s="4"/>
      <c r="ZE469" s="5"/>
      <c r="ZF469" s="6"/>
      <c r="ZG469" s="4"/>
      <c r="ZH469" s="4"/>
      <c r="ZI469" s="4"/>
      <c r="ZJ469" s="4"/>
      <c r="ZK469" s="4"/>
      <c r="ZL469" s="5"/>
      <c r="ZM469" s="6"/>
      <c r="ZN469" s="4"/>
      <c r="ZO469" s="4"/>
      <c r="ZP469" s="4"/>
      <c r="ZQ469" s="4"/>
      <c r="ZR469" s="4"/>
      <c r="ZS469" s="5"/>
      <c r="ZT469" s="6"/>
      <c r="ZU469" s="4"/>
      <c r="ZV469" s="4"/>
      <c r="ZW469" s="4"/>
      <c r="ZX469" s="4"/>
      <c r="ZY469" s="4"/>
      <c r="ZZ469" s="5"/>
      <c r="AAA469" s="6"/>
      <c r="AAB469" s="4"/>
      <c r="AAC469" s="4"/>
      <c r="AAD469" s="4"/>
      <c r="AAE469" s="4"/>
      <c r="AAF469" s="4"/>
      <c r="AAG469" s="5"/>
      <c r="AAH469" s="6"/>
      <c r="AAI469" s="4"/>
      <c r="AAJ469" s="4"/>
      <c r="AAK469" s="4"/>
      <c r="AAL469" s="4"/>
      <c r="AAM469" s="4"/>
      <c r="AAN469" s="5"/>
      <c r="AAO469" s="6"/>
      <c r="AAP469" s="4"/>
      <c r="AAQ469" s="4"/>
      <c r="AAR469" s="4"/>
      <c r="AAS469" s="4"/>
      <c r="AAT469" s="4"/>
      <c r="AAU469" s="5"/>
      <c r="AAV469" s="6"/>
      <c r="AAW469" s="4"/>
      <c r="AAX469" s="4"/>
      <c r="AAY469" s="4"/>
      <c r="AAZ469" s="4"/>
      <c r="ABA469" s="4"/>
      <c r="ABB469" s="5"/>
      <c r="ABC469" s="6"/>
      <c r="ABD469" s="4"/>
      <c r="ABE469" s="4"/>
      <c r="ABF469" s="4"/>
      <c r="ABG469" s="4"/>
      <c r="ABH469" s="4"/>
      <c r="ABI469" s="5"/>
      <c r="ABJ469" s="6"/>
      <c r="ABK469" s="4"/>
      <c r="ABL469" s="4"/>
      <c r="ABM469" s="4"/>
      <c r="ABN469" s="4"/>
      <c r="ABO469" s="4"/>
      <c r="ABP469" s="5"/>
      <c r="ABQ469" s="6"/>
      <c r="ABR469" s="4"/>
      <c r="ABS469" s="4"/>
      <c r="ABT469" s="4"/>
      <c r="ABU469" s="4"/>
      <c r="ABV469" s="4"/>
      <c r="ABW469" s="5"/>
      <c r="ABX469" s="6"/>
      <c r="ABY469" s="4"/>
      <c r="ABZ469" s="4"/>
      <c r="ACA469" s="4"/>
      <c r="ACB469" s="4"/>
      <c r="ACC469" s="4"/>
      <c r="ACD469" s="5"/>
      <c r="ACE469" s="6"/>
      <c r="ACF469" s="4"/>
      <c r="ACG469" s="4"/>
      <c r="ACH469" s="4"/>
      <c r="ACI469" s="4"/>
      <c r="ACJ469" s="4"/>
      <c r="ACK469" s="5"/>
      <c r="ACL469" s="6"/>
      <c r="ACM469" s="4"/>
      <c r="ACN469" s="4"/>
      <c r="ACO469" s="4"/>
      <c r="ACP469" s="4"/>
      <c r="ACQ469" s="4"/>
      <c r="ACR469" s="5"/>
      <c r="ACS469" s="6"/>
      <c r="ACT469" s="4"/>
      <c r="ACU469" s="4"/>
      <c r="ACV469" s="4"/>
      <c r="ACW469" s="4"/>
      <c r="ACX469" s="4"/>
      <c r="ACY469" s="5"/>
    </row>
    <row r="470" spans="2:805" x14ac:dyDescent="0.25">
      <c r="J470" s="12"/>
      <c r="K470" s="12"/>
      <c r="L470" s="12"/>
      <c r="LL470" s="6"/>
      <c r="LM470" s="4"/>
      <c r="LN470" s="4"/>
      <c r="LO470" s="4"/>
      <c r="LP470" s="4"/>
      <c r="LQ470" s="4"/>
      <c r="LR470" s="5"/>
      <c r="LS470" s="6"/>
      <c r="LT470" s="4"/>
      <c r="LU470" s="4"/>
      <c r="LV470" s="4"/>
      <c r="LW470" s="4"/>
      <c r="LX470" s="4"/>
      <c r="LY470" s="5"/>
      <c r="LZ470" s="15"/>
      <c r="MA470" s="12"/>
      <c r="MB470" s="7"/>
      <c r="MC470" s="7"/>
      <c r="MD470" s="8"/>
      <c r="ME470" s="8"/>
      <c r="MF470" s="8"/>
      <c r="MG470" s="5"/>
      <c r="MH470" s="6"/>
      <c r="MI470" s="4"/>
      <c r="MJ470" s="4"/>
      <c r="MK470" s="4"/>
      <c r="ML470" s="4"/>
      <c r="MM470" s="4"/>
      <c r="MN470" s="5"/>
      <c r="MO470" s="6"/>
      <c r="MP470" s="4"/>
      <c r="MQ470" s="4"/>
      <c r="MR470" s="4"/>
      <c r="MS470" s="4"/>
      <c r="MT470" s="4"/>
      <c r="MU470" s="5"/>
      <c r="MV470" s="6"/>
      <c r="MW470" s="4"/>
      <c r="MX470" s="4"/>
      <c r="MY470" s="4"/>
      <c r="MZ470" s="4"/>
      <c r="NA470" s="4"/>
      <c r="NB470" s="5"/>
      <c r="NC470" s="6"/>
      <c r="NE470" s="4"/>
      <c r="NF470" s="4"/>
      <c r="NG470" s="4"/>
      <c r="NH470" s="4"/>
      <c r="NI470" s="5"/>
      <c r="NJ470" s="6"/>
      <c r="NK470" s="4"/>
      <c r="NL470" s="4"/>
      <c r="NM470" s="4"/>
      <c r="NN470" s="4"/>
      <c r="NO470" s="4"/>
      <c r="NP470" s="5"/>
      <c r="NQ470" s="6"/>
      <c r="NR470" s="4"/>
      <c r="NS470" s="4"/>
      <c r="NT470" s="4"/>
      <c r="NU470" s="4"/>
      <c r="NV470" s="4"/>
      <c r="NW470" s="5"/>
      <c r="NX470" s="6"/>
      <c r="NY470" s="4"/>
      <c r="NZ470" s="4"/>
      <c r="OA470" s="4"/>
      <c r="OB470" s="4"/>
      <c r="OC470" s="4"/>
      <c r="OD470" s="5"/>
      <c r="OE470" s="6"/>
      <c r="OF470" s="4"/>
      <c r="OG470" s="4"/>
      <c r="OH470" s="4"/>
      <c r="OI470" s="4"/>
      <c r="OJ470" s="4"/>
      <c r="OK470" s="5"/>
      <c r="OL470" s="6"/>
      <c r="OM470" s="4"/>
      <c r="ON470" s="4"/>
      <c r="OO470" s="4"/>
      <c r="OP470" s="4"/>
      <c r="OQ470" s="4"/>
      <c r="OR470" s="5"/>
      <c r="OS470" s="6"/>
      <c r="OT470" s="4"/>
      <c r="OU470" s="4"/>
      <c r="OV470" s="4"/>
      <c r="OW470" s="4"/>
      <c r="OX470" s="4"/>
      <c r="OY470" s="5"/>
      <c r="OZ470" s="6"/>
      <c r="PA470" s="4"/>
      <c r="PB470" s="4"/>
      <c r="PC470" s="4"/>
      <c r="PD470" s="4"/>
      <c r="PE470" s="4"/>
      <c r="PF470" s="5"/>
      <c r="PG470" s="6"/>
      <c r="PH470" s="4"/>
      <c r="PI470" s="4"/>
      <c r="PJ470" s="4"/>
      <c r="PK470" s="4"/>
      <c r="PL470" s="4"/>
      <c r="PM470" s="5"/>
      <c r="PN470" s="6"/>
      <c r="PO470" s="4"/>
      <c r="PP470" s="4"/>
      <c r="PQ470" s="4"/>
      <c r="PR470" s="4"/>
      <c r="PS470" s="4"/>
      <c r="PT470" s="5"/>
      <c r="PU470" s="6"/>
      <c r="PV470" s="4"/>
      <c r="PW470" s="4"/>
      <c r="PX470" s="4"/>
      <c r="PY470" s="4"/>
      <c r="PZ470" s="4"/>
      <c r="QA470" s="5"/>
      <c r="QB470" s="6"/>
      <c r="QC470" s="4"/>
      <c r="QD470" s="4"/>
      <c r="QE470" s="4"/>
      <c r="QF470" s="4"/>
      <c r="QG470" s="4"/>
      <c r="QH470" s="5"/>
      <c r="QI470" s="6"/>
      <c r="QJ470" s="4"/>
      <c r="QK470" s="4"/>
      <c r="QL470" s="4"/>
      <c r="QM470" s="4"/>
      <c r="QN470" s="4"/>
      <c r="QO470" s="5"/>
      <c r="QP470" s="6"/>
      <c r="QQ470" s="4"/>
      <c r="QR470" s="4"/>
      <c r="QS470" s="4"/>
      <c r="QT470" s="4"/>
      <c r="QU470" s="4"/>
      <c r="QV470" s="5"/>
      <c r="QW470" s="6"/>
      <c r="QX470" s="4"/>
      <c r="QY470" s="4"/>
      <c r="QZ470" s="4"/>
      <c r="RA470" s="4"/>
      <c r="RB470" s="4"/>
      <c r="RC470" s="5"/>
      <c r="RD470" s="6"/>
      <c r="RE470" s="4"/>
      <c r="RF470" s="4"/>
      <c r="RG470" s="4"/>
      <c r="RH470" s="4"/>
      <c r="RI470" s="4"/>
      <c r="RJ470" s="5"/>
      <c r="RK470" s="6"/>
      <c r="RL470" s="4"/>
      <c r="RM470" s="4"/>
      <c r="RN470" s="4"/>
      <c r="RO470" s="4"/>
      <c r="RP470" s="4"/>
      <c r="RQ470" s="5"/>
      <c r="RR470" s="6"/>
      <c r="RS470" s="4"/>
      <c r="RT470" s="4"/>
      <c r="RU470" s="4"/>
      <c r="RV470" s="4"/>
      <c r="RW470" s="4"/>
      <c r="RX470" s="5"/>
      <c r="RY470" s="6"/>
      <c r="RZ470" s="4"/>
      <c r="SA470" s="4"/>
      <c r="SB470" s="4"/>
      <c r="SC470" s="4"/>
      <c r="SD470" s="4"/>
      <c r="SE470" s="5"/>
      <c r="SF470" s="6"/>
      <c r="SG470" s="4"/>
      <c r="SH470" s="4"/>
      <c r="SI470" s="4"/>
      <c r="SJ470" s="4"/>
      <c r="SK470" s="4"/>
      <c r="SL470" s="5"/>
      <c r="SM470" s="6"/>
      <c r="SN470" s="4"/>
      <c r="SO470" s="4"/>
      <c r="SP470" s="4"/>
      <c r="SQ470" s="4"/>
      <c r="SR470" s="4"/>
      <c r="SS470" s="5"/>
      <c r="ST470" s="6"/>
      <c r="SU470" s="4"/>
      <c r="SV470" s="4"/>
      <c r="SW470" s="4"/>
      <c r="SX470" s="4"/>
      <c r="SY470" s="4"/>
      <c r="SZ470" s="5"/>
      <c r="TA470" s="6"/>
      <c r="TB470" s="4"/>
      <c r="TC470" s="4"/>
      <c r="TD470" s="4"/>
      <c r="TE470" s="4"/>
      <c r="TF470" s="4"/>
      <c r="TG470" s="5"/>
      <c r="TH470" s="6"/>
      <c r="TI470" s="4"/>
      <c r="TJ470" s="4"/>
      <c r="TK470" s="4"/>
      <c r="TL470" s="4"/>
      <c r="TM470" s="4"/>
      <c r="TN470" s="5"/>
      <c r="TO470" s="6"/>
      <c r="TP470" s="4"/>
      <c r="TQ470" s="4"/>
      <c r="TR470" s="4"/>
      <c r="TS470" s="4"/>
      <c r="TT470" s="4"/>
      <c r="TU470" s="5"/>
      <c r="TV470" s="6"/>
      <c r="TW470" s="4"/>
      <c r="TX470" s="4"/>
      <c r="TY470" s="4"/>
      <c r="TZ470" s="4"/>
      <c r="UA470" s="4"/>
      <c r="UB470" s="5"/>
      <c r="UC470" s="6"/>
      <c r="UD470" s="4"/>
      <c r="UE470" s="4"/>
      <c r="UF470" s="4"/>
      <c r="UG470" s="4"/>
      <c r="UH470" s="4"/>
      <c r="UI470" s="5"/>
      <c r="UJ470" s="6"/>
      <c r="UK470" s="4"/>
      <c r="UL470" s="4"/>
      <c r="UM470" s="4"/>
      <c r="UN470" s="4"/>
      <c r="UO470" s="4"/>
      <c r="UP470" s="5"/>
      <c r="UQ470" s="6"/>
      <c r="UR470" s="4"/>
      <c r="US470" s="4"/>
      <c r="UT470" s="4"/>
      <c r="UU470" s="4"/>
      <c r="UV470" s="4"/>
      <c r="UW470" s="5"/>
      <c r="UX470" s="6"/>
      <c r="UY470" s="4"/>
      <c r="UZ470" s="4"/>
      <c r="VA470" s="4"/>
      <c r="VB470" s="4"/>
      <c r="VC470" s="4"/>
      <c r="VD470" s="5"/>
      <c r="VE470" s="15"/>
      <c r="VF470" s="12"/>
      <c r="VG470" s="4"/>
      <c r="VH470" s="4"/>
      <c r="VI470" s="8"/>
      <c r="VJ470" s="8"/>
      <c r="VK470" s="5"/>
      <c r="VL470" s="6"/>
      <c r="VM470" s="4"/>
      <c r="VN470" s="4"/>
      <c r="VO470" s="4"/>
      <c r="VP470" s="4"/>
      <c r="VQ470" s="4"/>
      <c r="VR470" s="5"/>
      <c r="VS470" s="6"/>
      <c r="VT470" s="4"/>
      <c r="VU470" s="4"/>
      <c r="VV470" s="4"/>
      <c r="VW470" s="4"/>
      <c r="VX470" s="4"/>
      <c r="VY470" s="5"/>
      <c r="VZ470" s="6"/>
      <c r="WA470" s="4"/>
      <c r="WB470" s="4"/>
      <c r="WC470" s="4"/>
      <c r="WD470" s="4"/>
      <c r="WE470" s="4"/>
      <c r="WF470" s="5"/>
      <c r="WG470" s="6"/>
      <c r="WH470" s="4"/>
      <c r="WI470" s="4"/>
      <c r="WJ470" s="4"/>
      <c r="WK470" s="4"/>
      <c r="WL470" s="4"/>
      <c r="WM470" s="5"/>
      <c r="WN470" s="6"/>
      <c r="WO470" s="4"/>
      <c r="WP470" s="4"/>
      <c r="WQ470" s="4"/>
      <c r="WR470" s="4"/>
      <c r="WS470" s="4"/>
      <c r="WT470" s="5"/>
      <c r="WU470" s="6"/>
      <c r="WV470" s="4"/>
      <c r="WW470" s="4"/>
      <c r="WX470" s="4"/>
      <c r="WY470" s="4"/>
      <c r="WZ470" s="4"/>
      <c r="XA470" s="5"/>
      <c r="XB470" s="6"/>
      <c r="XC470" s="4"/>
      <c r="XD470" s="4"/>
      <c r="XE470" s="4"/>
      <c r="XF470" s="4"/>
      <c r="XG470" s="4"/>
      <c r="XH470" s="5"/>
      <c r="XI470" s="6"/>
      <c r="XJ470" s="4"/>
      <c r="XK470" s="4"/>
      <c r="XL470" s="4"/>
      <c r="XM470" s="4"/>
      <c r="XN470" s="4"/>
      <c r="XO470" s="5"/>
      <c r="XP470" s="6"/>
      <c r="XQ470" s="4"/>
      <c r="XR470" s="4"/>
      <c r="XS470" s="4"/>
      <c r="XT470" s="4"/>
      <c r="XU470" s="4"/>
      <c r="XV470" s="5"/>
      <c r="XW470" s="6"/>
      <c r="XX470" s="4"/>
      <c r="XY470" s="4"/>
      <c r="XZ470" s="4"/>
      <c r="YA470" s="4"/>
      <c r="YB470" s="4"/>
      <c r="YC470" s="5"/>
      <c r="YD470" s="6"/>
      <c r="YE470" s="4"/>
      <c r="YF470" s="4"/>
      <c r="YG470" s="4"/>
      <c r="YH470" s="4"/>
      <c r="YI470" s="4"/>
      <c r="YJ470" s="5"/>
      <c r="YK470" s="6" t="s">
        <v>1597</v>
      </c>
      <c r="YL470" s="7" t="s">
        <v>1598</v>
      </c>
      <c r="YM470" s="4" t="s">
        <v>1922</v>
      </c>
      <c r="YN470" s="7" t="s">
        <v>1690</v>
      </c>
      <c r="YO470" s="8">
        <v>39327</v>
      </c>
      <c r="YP470" s="8">
        <v>39328</v>
      </c>
      <c r="YQ470" s="5"/>
      <c r="YR470" s="6"/>
      <c r="YS470" s="4"/>
      <c r="YT470" s="4"/>
      <c r="YU470" s="4"/>
      <c r="YV470" s="4"/>
      <c r="YW470" s="4"/>
      <c r="YX470" s="5"/>
      <c r="YY470" s="6"/>
      <c r="YZ470" s="4"/>
      <c r="ZA470" s="4"/>
      <c r="ZB470" s="4"/>
      <c r="ZC470" s="4"/>
      <c r="ZD470" s="4"/>
      <c r="ZE470" s="5"/>
      <c r="ZF470" s="6"/>
      <c r="ZG470" s="4"/>
      <c r="ZH470" s="4"/>
      <c r="ZI470" s="4"/>
      <c r="ZJ470" s="4"/>
      <c r="ZK470" s="4"/>
      <c r="ZL470" s="5"/>
      <c r="ZM470" s="6"/>
      <c r="ZN470" s="4"/>
      <c r="ZO470" s="4"/>
      <c r="ZP470" s="4"/>
      <c r="ZQ470" s="4"/>
      <c r="ZR470" s="4"/>
      <c r="ZS470" s="5"/>
      <c r="ZT470" s="6"/>
      <c r="ZU470" s="4"/>
      <c r="ZV470" s="4"/>
      <c r="ZW470" s="4"/>
      <c r="ZX470" s="4"/>
      <c r="ZY470" s="4"/>
      <c r="ZZ470" s="5"/>
      <c r="AAA470" s="6"/>
      <c r="AAB470" s="4"/>
      <c r="AAC470" s="4"/>
      <c r="AAD470" s="4"/>
      <c r="AAE470" s="4"/>
      <c r="AAF470" s="4"/>
      <c r="AAG470" s="5"/>
      <c r="AAH470" s="6"/>
      <c r="AAI470" s="4"/>
      <c r="AAJ470" s="4"/>
      <c r="AAK470" s="4"/>
      <c r="AAL470" s="4"/>
      <c r="AAM470" s="4"/>
      <c r="AAN470" s="5"/>
      <c r="AAO470" s="6"/>
      <c r="AAP470" s="4"/>
      <c r="AAQ470" s="4"/>
      <c r="AAR470" s="4"/>
      <c r="AAS470" s="4"/>
      <c r="AAT470" s="4"/>
      <c r="AAU470" s="5"/>
      <c r="AAV470" s="6"/>
      <c r="AAW470" s="4"/>
      <c r="AAX470" s="4"/>
      <c r="AAY470" s="4"/>
      <c r="AAZ470" s="4"/>
      <c r="ABA470" s="4"/>
      <c r="ABB470" s="5"/>
      <c r="ABC470" s="6"/>
      <c r="ABD470" s="4"/>
      <c r="ABE470" s="4"/>
      <c r="ABF470" s="4"/>
      <c r="ABG470" s="4"/>
      <c r="ABH470" s="4"/>
      <c r="ABI470" s="5"/>
      <c r="ABJ470" s="6"/>
      <c r="ABK470" s="4"/>
      <c r="ABL470" s="4"/>
      <c r="ABM470" s="4"/>
      <c r="ABN470" s="4"/>
      <c r="ABO470" s="4"/>
      <c r="ABP470" s="5"/>
      <c r="ABQ470" s="6"/>
      <c r="ABR470" s="4"/>
      <c r="ABS470" s="4"/>
      <c r="ABT470" s="4"/>
      <c r="ABU470" s="4"/>
      <c r="ABV470" s="4"/>
      <c r="ABW470" s="5"/>
      <c r="ABX470" s="6"/>
      <c r="ABY470" s="4"/>
      <c r="ABZ470" s="4"/>
      <c r="ACA470" s="4"/>
      <c r="ACB470" s="4"/>
      <c r="ACC470" s="4"/>
      <c r="ACD470" s="5"/>
      <c r="ACE470" s="6"/>
      <c r="ACF470" s="4"/>
      <c r="ACG470" s="4"/>
      <c r="ACH470" s="4"/>
      <c r="ACI470" s="4"/>
      <c r="ACJ470" s="4"/>
      <c r="ACK470" s="5"/>
      <c r="ACL470" s="6"/>
      <c r="ACM470" s="4"/>
      <c r="ACN470" s="4"/>
      <c r="ACO470" s="4"/>
      <c r="ACP470" s="4"/>
      <c r="ACQ470" s="4"/>
      <c r="ACR470" s="5"/>
      <c r="ACS470" s="6"/>
      <c r="ACT470" s="4"/>
      <c r="ACU470" s="4"/>
      <c r="ACV470" s="4"/>
      <c r="ACW470" s="4"/>
      <c r="ACX470" s="4"/>
      <c r="ACY470" s="5"/>
    </row>
    <row r="471" spans="2:805" x14ac:dyDescent="0.25">
      <c r="J471" s="12"/>
      <c r="K471" s="12"/>
      <c r="L471" s="12"/>
      <c r="LL471" s="6"/>
      <c r="LM471" s="4"/>
      <c r="LN471" s="4"/>
      <c r="LO471" s="4"/>
      <c r="LP471" s="4"/>
      <c r="LQ471" s="4"/>
      <c r="LR471" s="5"/>
      <c r="LS471" s="6"/>
      <c r="LT471" s="4"/>
      <c r="LU471" s="4"/>
      <c r="LV471" s="4"/>
      <c r="LW471" s="4"/>
      <c r="LX471" s="4"/>
      <c r="LY471" s="5"/>
      <c r="LZ471" s="15"/>
      <c r="MA471" s="12"/>
      <c r="MB471" s="7"/>
      <c r="MC471" s="7"/>
      <c r="MD471" s="8"/>
      <c r="ME471" s="8"/>
      <c r="MF471" s="8"/>
      <c r="MG471" s="5"/>
      <c r="MH471" s="6"/>
      <c r="MI471" s="4"/>
      <c r="MJ471" s="4"/>
      <c r="MK471" s="4"/>
      <c r="ML471" s="4"/>
      <c r="MM471" s="4"/>
      <c r="MN471" s="5"/>
      <c r="MO471" s="6"/>
      <c r="MP471" s="4"/>
      <c r="MQ471" s="4"/>
      <c r="MR471" s="4"/>
      <c r="MS471" s="4"/>
      <c r="MT471" s="4"/>
      <c r="MU471" s="5"/>
      <c r="MV471" s="6"/>
      <c r="MW471" s="4"/>
      <c r="MX471" s="4"/>
      <c r="MY471" s="4"/>
      <c r="MZ471" s="4"/>
      <c r="NA471" s="4"/>
      <c r="NB471" s="5"/>
      <c r="NC471" s="6"/>
      <c r="NE471" s="4"/>
      <c r="NF471" s="4"/>
      <c r="NG471" s="4"/>
      <c r="NH471" s="4"/>
      <c r="NI471" s="5"/>
      <c r="NJ471" s="6"/>
      <c r="NK471" s="4"/>
      <c r="NL471" s="4"/>
      <c r="NM471" s="4"/>
      <c r="NN471" s="4"/>
      <c r="NO471" s="4"/>
      <c r="NP471" s="5"/>
      <c r="NQ471" s="6"/>
      <c r="NR471" s="4"/>
      <c r="NS471" s="4"/>
      <c r="NT471" s="4"/>
      <c r="NU471" s="4"/>
      <c r="NV471" s="4"/>
      <c r="NW471" s="5"/>
      <c r="NX471" s="6"/>
      <c r="NY471" s="4"/>
      <c r="NZ471" s="4"/>
      <c r="OA471" s="4"/>
      <c r="OB471" s="4"/>
      <c r="OC471" s="4"/>
      <c r="OD471" s="5"/>
      <c r="OE471" s="6"/>
      <c r="OF471" s="4"/>
      <c r="OG471" s="4"/>
      <c r="OH471" s="4"/>
      <c r="OI471" s="4"/>
      <c r="OJ471" s="4"/>
      <c r="OK471" s="5"/>
      <c r="OL471" s="6"/>
      <c r="OM471" s="4"/>
      <c r="ON471" s="4"/>
      <c r="OO471" s="4"/>
      <c r="OP471" s="4"/>
      <c r="OQ471" s="4"/>
      <c r="OR471" s="5"/>
      <c r="OS471" s="6"/>
      <c r="OT471" s="4"/>
      <c r="OU471" s="4"/>
      <c r="OV471" s="4"/>
      <c r="OW471" s="4"/>
      <c r="OX471" s="4"/>
      <c r="OY471" s="5"/>
      <c r="OZ471" s="6"/>
      <c r="PA471" s="4"/>
      <c r="PB471" s="4"/>
      <c r="PC471" s="4"/>
      <c r="PD471" s="4"/>
      <c r="PE471" s="4"/>
      <c r="PF471" s="5"/>
      <c r="PG471" s="6"/>
      <c r="PH471" s="4"/>
      <c r="PI471" s="4"/>
      <c r="PJ471" s="4"/>
      <c r="PK471" s="4"/>
      <c r="PL471" s="4"/>
      <c r="PM471" s="5"/>
      <c r="PN471" s="6"/>
      <c r="PO471" s="4"/>
      <c r="PP471" s="4"/>
      <c r="PQ471" s="4"/>
      <c r="PR471" s="4"/>
      <c r="PS471" s="4"/>
      <c r="PT471" s="5"/>
      <c r="PU471" s="6"/>
      <c r="PV471" s="4"/>
      <c r="PW471" s="4"/>
      <c r="PX471" s="4"/>
      <c r="PY471" s="4"/>
      <c r="PZ471" s="4"/>
      <c r="QA471" s="5"/>
      <c r="QB471" s="6"/>
      <c r="QC471" s="4"/>
      <c r="QD471" s="4"/>
      <c r="QE471" s="4"/>
      <c r="QF471" s="4"/>
      <c r="QG471" s="4"/>
      <c r="QH471" s="5"/>
      <c r="QI471" s="6"/>
      <c r="QJ471" s="4"/>
      <c r="QK471" s="4"/>
      <c r="QL471" s="4"/>
      <c r="QM471" s="4"/>
      <c r="QN471" s="4"/>
      <c r="QO471" s="5"/>
      <c r="QP471" s="6"/>
      <c r="QQ471" s="4"/>
      <c r="QR471" s="4"/>
      <c r="QS471" s="4"/>
      <c r="QT471" s="4"/>
      <c r="QU471" s="4"/>
      <c r="QV471" s="5"/>
      <c r="QW471" s="6"/>
      <c r="QX471" s="4"/>
      <c r="QY471" s="4"/>
      <c r="QZ471" s="4"/>
      <c r="RA471" s="4"/>
      <c r="RB471" s="4"/>
      <c r="RC471" s="5"/>
      <c r="RD471" s="6"/>
      <c r="RE471" s="4"/>
      <c r="RF471" s="4"/>
      <c r="RG471" s="4"/>
      <c r="RH471" s="4"/>
      <c r="RI471" s="4"/>
      <c r="RJ471" s="5"/>
      <c r="RK471" s="6"/>
      <c r="RL471" s="4"/>
      <c r="RM471" s="4"/>
      <c r="RN471" s="4"/>
      <c r="RO471" s="4"/>
      <c r="RP471" s="4"/>
      <c r="RQ471" s="5"/>
      <c r="RR471" s="6"/>
      <c r="RS471" s="4"/>
      <c r="RT471" s="4"/>
      <c r="RU471" s="4"/>
      <c r="RV471" s="4"/>
      <c r="RW471" s="4"/>
      <c r="RX471" s="5"/>
      <c r="RY471" s="6"/>
      <c r="RZ471" s="4"/>
      <c r="SA471" s="4"/>
      <c r="SB471" s="4"/>
      <c r="SC471" s="4"/>
      <c r="SD471" s="4"/>
      <c r="SE471" s="5"/>
      <c r="SF471" s="6"/>
      <c r="SG471" s="4"/>
      <c r="SH471" s="4"/>
      <c r="SI471" s="4"/>
      <c r="SJ471" s="4"/>
      <c r="SK471" s="4"/>
      <c r="SL471" s="5"/>
      <c r="SM471" s="6"/>
      <c r="SN471" s="4"/>
      <c r="SO471" s="4"/>
      <c r="SP471" s="4"/>
      <c r="SQ471" s="4"/>
      <c r="SR471" s="4"/>
      <c r="SS471" s="5"/>
      <c r="ST471" s="6"/>
      <c r="SU471" s="4"/>
      <c r="SV471" s="4"/>
      <c r="SW471" s="4"/>
      <c r="SX471" s="4"/>
      <c r="SY471" s="4"/>
      <c r="SZ471" s="5"/>
      <c r="TA471" s="6"/>
      <c r="TB471" s="4"/>
      <c r="TC471" s="4"/>
      <c r="TD471" s="4"/>
      <c r="TE471" s="4"/>
      <c r="TF471" s="4"/>
      <c r="TG471" s="5"/>
      <c r="TH471" s="6"/>
      <c r="TI471" s="4"/>
      <c r="TJ471" s="4"/>
      <c r="TK471" s="4"/>
      <c r="TL471" s="4"/>
      <c r="TM471" s="4"/>
      <c r="TN471" s="5"/>
      <c r="TO471" s="6"/>
      <c r="TP471" s="4"/>
      <c r="TQ471" s="4"/>
      <c r="TR471" s="4"/>
      <c r="TS471" s="4"/>
      <c r="TT471" s="4"/>
      <c r="TU471" s="5"/>
      <c r="TV471" s="6"/>
      <c r="TW471" s="4"/>
      <c r="TX471" s="4"/>
      <c r="TY471" s="4"/>
      <c r="TZ471" s="4"/>
      <c r="UA471" s="4"/>
      <c r="UB471" s="5"/>
      <c r="UC471" s="6"/>
      <c r="UD471" s="4"/>
      <c r="UE471" s="4"/>
      <c r="UF471" s="4"/>
      <c r="UG471" s="4"/>
      <c r="UH471" s="4"/>
      <c r="UI471" s="5"/>
      <c r="UJ471" s="6"/>
      <c r="UK471" s="4"/>
      <c r="UL471" s="4"/>
      <c r="UM471" s="4"/>
      <c r="UN471" s="4"/>
      <c r="UO471" s="4"/>
      <c r="UP471" s="5"/>
      <c r="UQ471" s="6"/>
      <c r="UR471" s="4"/>
      <c r="US471" s="4"/>
      <c r="UT471" s="4"/>
      <c r="UU471" s="4"/>
      <c r="UV471" s="4"/>
      <c r="UW471" s="5"/>
      <c r="UX471" s="6"/>
      <c r="UY471" s="4"/>
      <c r="UZ471" s="4"/>
      <c r="VA471" s="4"/>
      <c r="VB471" s="4"/>
      <c r="VC471" s="4"/>
      <c r="VD471" s="5"/>
      <c r="VE471" s="15"/>
      <c r="VF471" s="12"/>
      <c r="VG471" s="4"/>
      <c r="VH471" s="4"/>
      <c r="VI471" s="8"/>
      <c r="VJ471" s="8"/>
      <c r="VK471" s="5"/>
      <c r="VL471" s="6"/>
      <c r="VM471" s="4"/>
      <c r="VN471" s="4"/>
      <c r="VO471" s="4"/>
      <c r="VP471" s="4"/>
      <c r="VQ471" s="4"/>
      <c r="VR471" s="5"/>
      <c r="VS471" s="6"/>
      <c r="VT471" s="4"/>
      <c r="VU471" s="4"/>
      <c r="VV471" s="4"/>
      <c r="VW471" s="4"/>
      <c r="VX471" s="4"/>
      <c r="VY471" s="5"/>
      <c r="VZ471" s="6"/>
      <c r="WA471" s="4"/>
      <c r="WB471" s="4"/>
      <c r="WC471" s="4"/>
      <c r="WD471" s="4"/>
      <c r="WE471" s="4"/>
      <c r="WF471" s="5"/>
      <c r="WG471" s="6"/>
      <c r="WH471" s="4"/>
      <c r="WI471" s="4"/>
      <c r="WJ471" s="4"/>
      <c r="WK471" s="4"/>
      <c r="WL471" s="4"/>
      <c r="WM471" s="5"/>
      <c r="WN471" s="6"/>
      <c r="WO471" s="4"/>
      <c r="WP471" s="4"/>
      <c r="WQ471" s="4"/>
      <c r="WR471" s="4"/>
      <c r="WS471" s="4"/>
      <c r="WT471" s="5"/>
      <c r="WU471" s="6"/>
      <c r="WV471" s="4"/>
      <c r="WW471" s="4"/>
      <c r="WX471" s="4"/>
      <c r="WY471" s="4"/>
      <c r="WZ471" s="4"/>
      <c r="XA471" s="5"/>
      <c r="XB471" s="6"/>
      <c r="XC471" s="4"/>
      <c r="XD471" s="4"/>
      <c r="XE471" s="4"/>
      <c r="XF471" s="4"/>
      <c r="XG471" s="4"/>
      <c r="XH471" s="5"/>
      <c r="XI471" s="6"/>
      <c r="XJ471" s="4"/>
      <c r="XK471" s="4"/>
      <c r="XL471" s="4"/>
      <c r="XM471" s="4"/>
      <c r="XN471" s="4"/>
      <c r="XO471" s="5"/>
      <c r="XP471" s="6"/>
      <c r="XQ471" s="4"/>
      <c r="XR471" s="4"/>
      <c r="XS471" s="4"/>
      <c r="XT471" s="4"/>
      <c r="XU471" s="4"/>
      <c r="XV471" s="5"/>
      <c r="XW471" s="6"/>
      <c r="XX471" s="4"/>
      <c r="XY471" s="4"/>
      <c r="XZ471" s="4"/>
      <c r="YA471" s="4"/>
      <c r="YB471" s="4"/>
      <c r="YC471" s="5"/>
      <c r="YD471" s="6"/>
      <c r="YE471" s="4"/>
      <c r="YF471" s="4"/>
      <c r="YG471" s="4"/>
      <c r="YH471" s="4"/>
      <c r="YI471" s="4"/>
      <c r="YJ471" s="5"/>
      <c r="YK471" s="6" t="s">
        <v>994</v>
      </c>
      <c r="YL471" s="7" t="s">
        <v>1757</v>
      </c>
      <c r="YM471" s="4" t="s">
        <v>1774</v>
      </c>
      <c r="YN471" s="7" t="s">
        <v>1578</v>
      </c>
      <c r="YO471" s="8">
        <v>39336</v>
      </c>
      <c r="YP471" s="8">
        <v>39336</v>
      </c>
      <c r="YQ471" s="5"/>
      <c r="YR471" s="6"/>
      <c r="YS471" s="4"/>
      <c r="YT471" s="4"/>
      <c r="YU471" s="4"/>
      <c r="YV471" s="4"/>
      <c r="YW471" s="4"/>
      <c r="YX471" s="5"/>
      <c r="YY471" s="6"/>
      <c r="YZ471" s="4"/>
      <c r="ZA471" s="4"/>
      <c r="ZB471" s="4"/>
      <c r="ZC471" s="4"/>
      <c r="ZD471" s="4"/>
      <c r="ZE471" s="5"/>
      <c r="ZF471" s="6"/>
      <c r="ZG471" s="4"/>
      <c r="ZH471" s="4"/>
      <c r="ZI471" s="4"/>
      <c r="ZJ471" s="4"/>
      <c r="ZK471" s="4"/>
      <c r="ZL471" s="5"/>
      <c r="ZM471" s="6"/>
      <c r="ZN471" s="4"/>
      <c r="ZO471" s="4"/>
      <c r="ZP471" s="4"/>
      <c r="ZQ471" s="4"/>
      <c r="ZR471" s="4"/>
      <c r="ZS471" s="5"/>
      <c r="ZT471" s="6"/>
      <c r="ZU471" s="4"/>
      <c r="ZV471" s="4"/>
      <c r="ZW471" s="4"/>
      <c r="ZX471" s="4"/>
      <c r="ZY471" s="4"/>
      <c r="ZZ471" s="5"/>
      <c r="AAA471" s="6"/>
      <c r="AAB471" s="4"/>
      <c r="AAC471" s="4"/>
      <c r="AAD471" s="4"/>
      <c r="AAE471" s="4"/>
      <c r="AAF471" s="4"/>
      <c r="AAG471" s="5"/>
      <c r="AAH471" s="6"/>
      <c r="AAI471" s="4"/>
      <c r="AAJ471" s="4"/>
      <c r="AAK471" s="4"/>
      <c r="AAL471" s="4"/>
      <c r="AAM471" s="4"/>
      <c r="AAN471" s="5"/>
      <c r="AAO471" s="6"/>
      <c r="AAP471" s="4"/>
      <c r="AAQ471" s="4"/>
      <c r="AAR471" s="4"/>
      <c r="AAS471" s="4"/>
      <c r="AAT471" s="4"/>
      <c r="AAU471" s="5"/>
      <c r="AAV471" s="6"/>
      <c r="AAW471" s="4"/>
      <c r="AAX471" s="4"/>
      <c r="AAY471" s="4"/>
      <c r="AAZ471" s="4"/>
      <c r="ABA471" s="4"/>
      <c r="ABB471" s="5"/>
      <c r="ABC471" s="6"/>
      <c r="ABD471" s="4"/>
      <c r="ABE471" s="4"/>
      <c r="ABF471" s="4"/>
      <c r="ABG471" s="4"/>
      <c r="ABH471" s="4"/>
      <c r="ABI471" s="5"/>
      <c r="ABJ471" s="6"/>
      <c r="ABK471" s="4"/>
      <c r="ABL471" s="4"/>
      <c r="ABM471" s="4"/>
      <c r="ABN471" s="4"/>
      <c r="ABO471" s="4"/>
      <c r="ABP471" s="5"/>
      <c r="ABQ471" s="6"/>
      <c r="ABR471" s="4"/>
      <c r="ABS471" s="4"/>
      <c r="ABT471" s="4"/>
      <c r="ABU471" s="4"/>
      <c r="ABV471" s="4"/>
      <c r="ABW471" s="5"/>
      <c r="ABX471" s="6"/>
      <c r="ABY471" s="4"/>
      <c r="ABZ471" s="4"/>
      <c r="ACA471" s="4"/>
      <c r="ACB471" s="4"/>
      <c r="ACC471" s="4"/>
      <c r="ACD471" s="5"/>
      <c r="ACE471" s="6"/>
      <c r="ACF471" s="4"/>
      <c r="ACG471" s="4"/>
      <c r="ACH471" s="4"/>
      <c r="ACI471" s="4"/>
      <c r="ACJ471" s="4"/>
      <c r="ACK471" s="5"/>
      <c r="ACL471" s="6"/>
      <c r="ACM471" s="4"/>
      <c r="ACN471" s="4"/>
      <c r="ACO471" s="4"/>
      <c r="ACP471" s="4"/>
      <c r="ACQ471" s="4"/>
      <c r="ACR471" s="5"/>
      <c r="ACS471" s="6"/>
      <c r="ACT471" s="4"/>
      <c r="ACU471" s="4"/>
      <c r="ACV471" s="4"/>
      <c r="ACW471" s="4"/>
      <c r="ACX471" s="4"/>
      <c r="ACY471" s="5"/>
    </row>
    <row r="472" spans="2:805" x14ac:dyDescent="0.25">
      <c r="B472" s="29">
        <v>10039985</v>
      </c>
      <c r="C472" s="57">
        <v>70</v>
      </c>
      <c r="D472" t="s">
        <v>3587</v>
      </c>
      <c r="E472" s="35" t="s">
        <v>128</v>
      </c>
      <c r="F472" s="23">
        <v>0</v>
      </c>
      <c r="I472">
        <v>1</v>
      </c>
      <c r="J472" s="19">
        <v>39344</v>
      </c>
      <c r="K472" s="19" t="s">
        <v>1197</v>
      </c>
      <c r="L472" s="19" t="s">
        <v>1291</v>
      </c>
      <c r="LL472" s="6" t="s">
        <v>1302</v>
      </c>
      <c r="LM472" s="4" t="s">
        <v>1709</v>
      </c>
      <c r="LN472" s="4"/>
      <c r="LO472" s="4" t="s">
        <v>1272</v>
      </c>
      <c r="LP472" s="8">
        <v>39322</v>
      </c>
      <c r="LQ472" s="8">
        <v>39322</v>
      </c>
      <c r="LR472" s="5" t="s">
        <v>846</v>
      </c>
      <c r="LS472" s="6" t="s">
        <v>1216</v>
      </c>
      <c r="LT472" s="4" t="s">
        <v>1800</v>
      </c>
      <c r="LU472" s="4"/>
      <c r="LV472" s="7" t="s">
        <v>1205</v>
      </c>
      <c r="LW472" s="8">
        <v>39322</v>
      </c>
      <c r="LX472" s="8">
        <v>39325</v>
      </c>
      <c r="LY472" s="5" t="s">
        <v>1201</v>
      </c>
      <c r="LZ472" s="6" t="s">
        <v>2213</v>
      </c>
      <c r="MA472" s="7" t="s">
        <v>3716</v>
      </c>
      <c r="MB472" s="4" t="s">
        <v>1059</v>
      </c>
      <c r="MC472" s="7" t="s">
        <v>1060</v>
      </c>
      <c r="MD472" s="8">
        <v>39333</v>
      </c>
      <c r="ME472" s="8">
        <v>39337</v>
      </c>
      <c r="MF472" s="7" t="s">
        <v>1061</v>
      </c>
      <c r="MG472" s="5" t="s">
        <v>1203</v>
      </c>
      <c r="MH472" s="6"/>
      <c r="MI472" s="4"/>
      <c r="MJ472" s="4"/>
      <c r="MK472" s="4"/>
      <c r="ML472" s="4"/>
      <c r="MM472" s="4"/>
      <c r="MN472" s="5"/>
      <c r="MO472" s="6"/>
      <c r="MP472" s="4"/>
      <c r="MQ472" s="4"/>
      <c r="MR472" s="4"/>
      <c r="MS472" s="4"/>
      <c r="MT472" s="4"/>
      <c r="MU472" s="5"/>
      <c r="MV472" s="6"/>
      <c r="MW472" s="4"/>
      <c r="MX472" s="4"/>
      <c r="MY472" s="4"/>
      <c r="MZ472" s="4"/>
      <c r="NA472" s="4"/>
      <c r="NB472" s="5"/>
      <c r="NC472" s="6" t="s">
        <v>1177</v>
      </c>
      <c r="ND472" s="4" t="s">
        <v>919</v>
      </c>
      <c r="NE472" s="4" t="s">
        <v>920</v>
      </c>
      <c r="NF472" s="7" t="s">
        <v>921</v>
      </c>
      <c r="NG472" s="8">
        <v>39341</v>
      </c>
      <c r="NH472" s="8">
        <v>39344</v>
      </c>
      <c r="NI472" s="5" t="s">
        <v>922</v>
      </c>
      <c r="NJ472" s="6" t="s">
        <v>1706</v>
      </c>
      <c r="NK472" s="4" t="s">
        <v>1707</v>
      </c>
      <c r="NL472" s="4"/>
      <c r="NM472" s="4"/>
      <c r="NN472" s="8">
        <v>39333</v>
      </c>
      <c r="NO472" s="4"/>
      <c r="NP472" s="5" t="s">
        <v>1335</v>
      </c>
      <c r="NQ472" s="6" t="s">
        <v>3674</v>
      </c>
      <c r="NR472" s="4" t="s">
        <v>1815</v>
      </c>
      <c r="NS472" s="7" t="s">
        <v>993</v>
      </c>
      <c r="NT472" s="7" t="s">
        <v>869</v>
      </c>
      <c r="NU472" s="8">
        <v>39332</v>
      </c>
      <c r="NV472" s="8">
        <v>39339</v>
      </c>
      <c r="NW472" s="5" t="s">
        <v>1203</v>
      </c>
      <c r="NX472" s="6" t="s">
        <v>3075</v>
      </c>
      <c r="NY472" s="4" t="s">
        <v>1280</v>
      </c>
      <c r="NZ472" s="4"/>
      <c r="OA472" s="7" t="s">
        <v>1271</v>
      </c>
      <c r="OB472" s="8">
        <v>39323</v>
      </c>
      <c r="OC472" s="8">
        <v>39330</v>
      </c>
      <c r="OD472" s="5" t="s">
        <v>1336</v>
      </c>
      <c r="OE472" s="6" t="s">
        <v>1368</v>
      </c>
      <c r="OF472" s="4" t="s">
        <v>1369</v>
      </c>
      <c r="OG472" s="4"/>
      <c r="OH472" s="4" t="s">
        <v>868</v>
      </c>
      <c r="OI472" s="8">
        <v>39340</v>
      </c>
      <c r="OJ472" s="8">
        <v>39344</v>
      </c>
      <c r="OK472" s="5" t="s">
        <v>1337</v>
      </c>
      <c r="OL472" s="6"/>
      <c r="OM472" s="4"/>
      <c r="ON472" s="4"/>
      <c r="OO472" s="4"/>
      <c r="OP472" s="4"/>
      <c r="OQ472" s="4"/>
      <c r="OR472" s="5"/>
      <c r="OS472" s="6"/>
      <c r="OT472" s="4"/>
      <c r="OU472" s="4"/>
      <c r="OV472" s="4"/>
      <c r="OW472" s="4"/>
      <c r="OX472" s="4"/>
      <c r="OY472" s="5"/>
      <c r="OZ472" s="6"/>
      <c r="PA472" s="4"/>
      <c r="PB472" s="4"/>
      <c r="PC472" s="4"/>
      <c r="PD472" s="4"/>
      <c r="PE472" s="4"/>
      <c r="PF472" s="5"/>
      <c r="PG472" s="6"/>
      <c r="PH472" s="4"/>
      <c r="PI472" s="4"/>
      <c r="PJ472" s="4"/>
      <c r="PK472" s="4"/>
      <c r="PL472" s="4"/>
      <c r="PM472" s="5"/>
      <c r="PN472" s="6"/>
      <c r="PO472" s="4"/>
      <c r="PP472" s="4"/>
      <c r="PQ472" s="4"/>
      <c r="PR472" s="4"/>
      <c r="PS472" s="4"/>
      <c r="PT472" s="5"/>
      <c r="PU472" s="6"/>
      <c r="PV472" s="4"/>
      <c r="PW472" s="4"/>
      <c r="PX472" s="4"/>
      <c r="PY472" s="4"/>
      <c r="PZ472" s="4"/>
      <c r="QA472" s="5"/>
      <c r="QB472" s="6" t="s">
        <v>3770</v>
      </c>
      <c r="QC472" s="4" t="s">
        <v>3454</v>
      </c>
      <c r="QD472" s="4"/>
      <c r="QE472" s="4"/>
      <c r="QF472" s="8">
        <v>39326</v>
      </c>
      <c r="QG472" s="4"/>
      <c r="QH472" s="5" t="s">
        <v>1295</v>
      </c>
      <c r="QI472" s="6"/>
      <c r="QJ472" s="4"/>
      <c r="QK472" s="4"/>
      <c r="QL472" s="4"/>
      <c r="QM472" s="4"/>
      <c r="QN472" s="4"/>
      <c r="QO472" s="5"/>
      <c r="QP472" s="6"/>
      <c r="QQ472" s="4"/>
      <c r="QR472" s="4"/>
      <c r="QS472" s="4"/>
      <c r="QT472" s="4"/>
      <c r="QU472" s="4"/>
      <c r="QV472" s="5"/>
      <c r="QW472" s="6" t="s">
        <v>1716</v>
      </c>
      <c r="QX472" s="4" t="s">
        <v>3588</v>
      </c>
      <c r="QY472" s="4"/>
      <c r="QZ472" s="4" t="s">
        <v>860</v>
      </c>
      <c r="RA472" s="8">
        <v>39339</v>
      </c>
      <c r="RB472" s="8">
        <v>39343</v>
      </c>
      <c r="RC472" s="5" t="s">
        <v>861</v>
      </c>
      <c r="RD472" s="6"/>
      <c r="RE472" s="4"/>
      <c r="RF472" s="4"/>
      <c r="RG472" s="4"/>
      <c r="RH472" s="4"/>
      <c r="RI472" s="4"/>
      <c r="RJ472" s="5"/>
      <c r="RK472" s="6"/>
      <c r="RL472" s="4"/>
      <c r="RM472" s="4"/>
      <c r="RN472" s="4"/>
      <c r="RO472" s="4"/>
      <c r="RP472" s="4"/>
      <c r="RQ472" s="5"/>
      <c r="RR472" s="6"/>
      <c r="RS472" s="4"/>
      <c r="RT472" s="4"/>
      <c r="RU472" s="4"/>
      <c r="RV472" s="4"/>
      <c r="RW472" s="4"/>
      <c r="RX472" s="5"/>
      <c r="RY472" s="6"/>
      <c r="RZ472" s="4"/>
      <c r="SA472" s="4"/>
      <c r="SB472" s="4"/>
      <c r="SC472" s="4"/>
      <c r="SD472" s="4"/>
      <c r="SE472" s="5"/>
      <c r="SF472" s="6"/>
      <c r="SG472" s="4"/>
      <c r="SH472" s="4"/>
      <c r="SI472" s="4"/>
      <c r="SJ472" s="4"/>
      <c r="SK472" s="4"/>
      <c r="SL472" s="5"/>
      <c r="SM472" s="6"/>
      <c r="SN472" s="4"/>
      <c r="SO472" s="4"/>
      <c r="SP472" s="4"/>
      <c r="SQ472" s="4"/>
      <c r="SR472" s="4"/>
      <c r="SS472" s="5"/>
      <c r="ST472" s="6"/>
      <c r="SU472" s="4"/>
      <c r="SV472" s="4"/>
      <c r="SW472" s="4"/>
      <c r="SX472" s="4"/>
      <c r="SY472" s="4"/>
      <c r="SZ472" s="5"/>
      <c r="TA472" s="6" t="s">
        <v>1364</v>
      </c>
      <c r="TB472" s="4" t="s">
        <v>1213</v>
      </c>
      <c r="TC472" s="4" t="s">
        <v>1366</v>
      </c>
      <c r="TD472" s="7" t="s">
        <v>1214</v>
      </c>
      <c r="TE472" s="8">
        <v>39321</v>
      </c>
      <c r="TF472" s="8">
        <v>39322</v>
      </c>
      <c r="TG472" s="5" t="s">
        <v>1215</v>
      </c>
      <c r="TH472" s="6"/>
      <c r="TI472" s="4"/>
      <c r="TJ472" s="4"/>
      <c r="TK472" s="4"/>
      <c r="TL472" s="4"/>
      <c r="TM472" s="4"/>
      <c r="TN472" s="5"/>
      <c r="TO472" s="6" t="s">
        <v>2200</v>
      </c>
      <c r="TP472" s="4" t="s">
        <v>2201</v>
      </c>
      <c r="TQ472" s="4"/>
      <c r="TR472" s="4" t="s">
        <v>1338</v>
      </c>
      <c r="TS472" s="8">
        <v>40052</v>
      </c>
      <c r="TT472" s="8">
        <v>40052</v>
      </c>
      <c r="TU472" s="5" t="s">
        <v>1480</v>
      </c>
      <c r="TV472" s="6" t="s">
        <v>1292</v>
      </c>
      <c r="TW472" s="4" t="s">
        <v>1293</v>
      </c>
      <c r="TX472" t="s">
        <v>1294</v>
      </c>
      <c r="TY472" s="8"/>
      <c r="TZ472" s="8">
        <v>39336</v>
      </c>
      <c r="UA472" s="4"/>
      <c r="UB472" s="5" t="s">
        <v>1295</v>
      </c>
      <c r="UC472" s="6"/>
      <c r="UD472" s="4"/>
      <c r="UE472" s="4"/>
      <c r="UF472" s="4"/>
      <c r="UG472" s="4"/>
      <c r="UH472" s="4"/>
      <c r="UI472" s="5"/>
      <c r="UJ472" s="6"/>
      <c r="UK472" s="4"/>
      <c r="UL472" s="4"/>
      <c r="UM472" s="4"/>
      <c r="UN472" s="4"/>
      <c r="UO472" s="4"/>
      <c r="UP472" s="5"/>
      <c r="UQ472" s="6"/>
      <c r="UR472" s="4"/>
      <c r="US472" s="4"/>
      <c r="UT472" s="4"/>
      <c r="UU472" s="4"/>
      <c r="UV472" s="4"/>
      <c r="UW472" s="5"/>
      <c r="UX472" s="6" t="s">
        <v>1174</v>
      </c>
      <c r="UY472" s="4" t="s">
        <v>1175</v>
      </c>
      <c r="UZ472" s="4" t="s">
        <v>1176</v>
      </c>
      <c r="VA472" s="4"/>
      <c r="VB472" s="8">
        <v>39326</v>
      </c>
      <c r="VC472" s="4"/>
      <c r="VD472" s="5" t="s">
        <v>1295</v>
      </c>
      <c r="VE472" s="6" t="s">
        <v>2803</v>
      </c>
      <c r="VF472" s="4" t="s">
        <v>3106</v>
      </c>
      <c r="VG472" s="4"/>
      <c r="VH472" s="7" t="s">
        <v>842</v>
      </c>
      <c r="VI472" s="8">
        <v>39332</v>
      </c>
      <c r="VJ472" s="8">
        <v>39337</v>
      </c>
      <c r="VK472" s="5" t="s">
        <v>1278</v>
      </c>
      <c r="VL472" s="6" t="s">
        <v>1131</v>
      </c>
      <c r="VM472" s="4" t="s">
        <v>1009</v>
      </c>
      <c r="VN472" s="7" t="s">
        <v>1132</v>
      </c>
      <c r="VO472" s="7" t="s">
        <v>1133</v>
      </c>
      <c r="VP472" s="8">
        <v>39331</v>
      </c>
      <c r="VQ472" s="8">
        <v>39331</v>
      </c>
      <c r="VR472" s="5" t="s">
        <v>1134</v>
      </c>
      <c r="VS472" s="6"/>
      <c r="VT472" s="4"/>
      <c r="VU472" s="4"/>
      <c r="VV472" s="4"/>
      <c r="VW472" s="4"/>
      <c r="VX472" s="4"/>
      <c r="VY472" s="5"/>
      <c r="VZ472" s="6" t="s">
        <v>2434</v>
      </c>
      <c r="WA472" s="4" t="s">
        <v>3171</v>
      </c>
      <c r="WB472" s="4" t="s">
        <v>993</v>
      </c>
      <c r="WC472" s="4"/>
      <c r="WD472" s="8">
        <v>39335</v>
      </c>
      <c r="WE472" s="4"/>
      <c r="WF472" s="5"/>
      <c r="WG472" s="6"/>
      <c r="WH472" s="4"/>
      <c r="WI472" s="4"/>
      <c r="WJ472" s="4"/>
      <c r="WK472" s="4"/>
      <c r="WL472" s="4"/>
      <c r="WM472" s="5"/>
      <c r="WN472" s="6"/>
      <c r="WO472" s="4"/>
      <c r="WP472" s="4"/>
      <c r="WQ472" s="4"/>
      <c r="WR472" s="4"/>
      <c r="WS472" s="4"/>
      <c r="WT472" s="5"/>
      <c r="WU472" s="6"/>
      <c r="WV472" s="4"/>
      <c r="WW472" s="4"/>
      <c r="WX472" s="4"/>
      <c r="WY472" s="4"/>
      <c r="WZ472" s="4"/>
      <c r="XA472" s="5"/>
      <c r="XB472" s="6"/>
      <c r="XC472" s="4"/>
      <c r="XD472" s="4"/>
      <c r="XE472" s="4"/>
      <c r="XF472" s="4"/>
      <c r="XG472" s="4"/>
      <c r="XH472" s="5"/>
      <c r="XI472" s="6"/>
      <c r="XJ472" s="4"/>
      <c r="XK472" s="4"/>
      <c r="XL472" s="4"/>
      <c r="XM472" s="4"/>
      <c r="XN472" s="4"/>
      <c r="XO472" s="5"/>
      <c r="XP472" s="6"/>
      <c r="XQ472" s="4"/>
      <c r="XR472" s="4"/>
      <c r="XS472" s="4"/>
      <c r="XT472" s="4"/>
      <c r="XU472" s="4"/>
      <c r="XV472" s="5"/>
      <c r="XW472" s="6"/>
      <c r="XX472" s="4"/>
      <c r="XY472" s="4"/>
      <c r="XZ472" s="4"/>
      <c r="YA472" s="4"/>
      <c r="YB472" s="4"/>
      <c r="YC472" s="5"/>
      <c r="YD472" s="6"/>
      <c r="YE472" s="4"/>
      <c r="YF472" s="4"/>
      <c r="YG472" s="4"/>
      <c r="YH472" s="4"/>
      <c r="YI472" s="4"/>
      <c r="YJ472" s="5"/>
      <c r="YK472" s="6" t="s">
        <v>1308</v>
      </c>
      <c r="YL472" s="7" t="s">
        <v>1313</v>
      </c>
      <c r="YM472" s="4"/>
      <c r="YN472" s="7" t="s">
        <v>845</v>
      </c>
      <c r="YO472" s="8">
        <v>39337</v>
      </c>
      <c r="YP472" s="8">
        <v>39339</v>
      </c>
      <c r="YQ472" s="5" t="s">
        <v>846</v>
      </c>
      <c r="YR472" s="6"/>
      <c r="YS472" s="4"/>
      <c r="YT472" s="4"/>
      <c r="YU472" s="4"/>
      <c r="YV472" s="4"/>
      <c r="YW472" s="4"/>
      <c r="YX472" s="5"/>
      <c r="YY472" s="6"/>
      <c r="YZ472" s="4"/>
      <c r="ZA472" s="4"/>
      <c r="ZB472" s="4"/>
      <c r="ZC472" s="4"/>
      <c r="ZD472" s="4"/>
      <c r="ZE472" s="5"/>
      <c r="ZF472" s="6"/>
      <c r="ZG472" s="4"/>
      <c r="ZH472" s="4"/>
      <c r="ZI472" s="4"/>
      <c r="ZJ472" s="4"/>
      <c r="ZK472" s="4"/>
      <c r="ZL472" s="5"/>
      <c r="ZM472" s="6"/>
      <c r="ZN472" s="4"/>
      <c r="ZO472" s="4"/>
      <c r="ZP472" s="4"/>
      <c r="ZQ472" s="4"/>
      <c r="ZR472" s="4"/>
      <c r="ZS472" s="5"/>
      <c r="ZT472" s="6"/>
      <c r="ZU472" s="4"/>
      <c r="ZV472" s="4"/>
      <c r="ZW472" s="4"/>
      <c r="ZX472" s="4"/>
      <c r="ZY472" s="4"/>
      <c r="ZZ472" s="5"/>
      <c r="AAA472" s="6"/>
      <c r="AAB472" s="4"/>
      <c r="AAC472" s="4"/>
      <c r="AAD472" s="4"/>
      <c r="AAE472" s="4"/>
      <c r="AAF472" s="4"/>
      <c r="AAG472" s="5"/>
      <c r="AAH472" s="6" t="s">
        <v>3137</v>
      </c>
      <c r="AAI472" s="4" t="s">
        <v>3138</v>
      </c>
      <c r="AAJ472" s="4" t="s">
        <v>1136</v>
      </c>
      <c r="AAK472" s="7" t="s">
        <v>1133</v>
      </c>
      <c r="AAL472" s="8">
        <v>39347</v>
      </c>
      <c r="AAM472" s="8">
        <v>39347</v>
      </c>
      <c r="AAN472" s="5"/>
      <c r="AAO472" s="6"/>
      <c r="AAP472" s="4"/>
      <c r="AAQ472" s="4"/>
      <c r="AAR472" s="4"/>
      <c r="AAS472" s="4"/>
      <c r="AAT472" s="4"/>
      <c r="AAU472" s="5"/>
      <c r="AAV472" s="6" t="s">
        <v>1207</v>
      </c>
      <c r="AAW472" s="4" t="s">
        <v>1208</v>
      </c>
      <c r="AAX472" s="4" t="s">
        <v>1209</v>
      </c>
      <c r="AAY472" s="7" t="s">
        <v>1214</v>
      </c>
      <c r="AAZ472" s="8">
        <v>39325</v>
      </c>
      <c r="ABA472" s="8">
        <v>39326</v>
      </c>
      <c r="ABB472" s="5" t="s">
        <v>1295</v>
      </c>
      <c r="ABC472" s="6" t="s">
        <v>1685</v>
      </c>
      <c r="ABD472" s="4" t="s">
        <v>1735</v>
      </c>
      <c r="ABE472" s="4"/>
      <c r="ABF472" s="4"/>
      <c r="ABG472" s="8">
        <v>39331</v>
      </c>
      <c r="ABH472" s="4"/>
      <c r="ABI472" s="5" t="s">
        <v>923</v>
      </c>
      <c r="ABJ472" s="6" t="s">
        <v>3387</v>
      </c>
      <c r="ABK472" s="4" t="s">
        <v>3388</v>
      </c>
      <c r="ABL472" s="7" t="s">
        <v>867</v>
      </c>
      <c r="ABM472" s="4"/>
      <c r="ABN472" s="8">
        <v>39330</v>
      </c>
      <c r="ABO472" s="4"/>
      <c r="ABP472" s="5" t="s">
        <v>1411</v>
      </c>
      <c r="ABQ472" s="6"/>
      <c r="ABR472" s="4"/>
      <c r="ABS472" s="4"/>
      <c r="ABT472" s="4"/>
      <c r="ABU472" s="4"/>
      <c r="ABV472" s="4"/>
      <c r="ABW472" s="5"/>
      <c r="ABX472" s="6"/>
      <c r="ABY472" s="4"/>
      <c r="ABZ472" s="4"/>
      <c r="ACA472" s="4"/>
      <c r="ACB472" s="4"/>
      <c r="ACC472" s="4"/>
      <c r="ACD472" s="5"/>
      <c r="ACE472" s="6"/>
      <c r="ACF472" s="4"/>
      <c r="ACG472" s="4"/>
      <c r="ACH472" s="4"/>
      <c r="ACI472" s="4"/>
      <c r="ACJ472" s="4"/>
      <c r="ACK472" s="5"/>
      <c r="ACL472" s="6" t="s">
        <v>863</v>
      </c>
      <c r="ACM472" s="4" t="s">
        <v>3041</v>
      </c>
      <c r="ACN472" s="4"/>
      <c r="ACO472" s="4" t="s">
        <v>862</v>
      </c>
      <c r="ACP472" s="8">
        <v>39342</v>
      </c>
      <c r="ACQ472" s="8">
        <v>39342</v>
      </c>
      <c r="ACR472" s="5" t="s">
        <v>864</v>
      </c>
      <c r="ACS472" s="6"/>
      <c r="ACT472" s="4"/>
      <c r="ACU472" s="4"/>
      <c r="ACV472" s="4"/>
      <c r="ACW472" s="4"/>
      <c r="ACX472" s="4"/>
      <c r="ACY472" s="5"/>
      <c r="ADD472" t="s">
        <v>1353</v>
      </c>
      <c r="ADF472" t="s">
        <v>794</v>
      </c>
      <c r="ADG472" t="s">
        <v>793</v>
      </c>
      <c r="ADJ472" t="s">
        <v>1168</v>
      </c>
      <c r="ADM472" t="s">
        <v>1169</v>
      </c>
      <c r="ADN472" t="s">
        <v>1167</v>
      </c>
      <c r="ADS472" t="s">
        <v>1415</v>
      </c>
      <c r="ADU472" t="s">
        <v>795</v>
      </c>
      <c r="ADY472" t="s">
        <v>1170</v>
      </c>
    </row>
    <row r="473" spans="2:805" x14ac:dyDescent="0.25">
      <c r="B473" s="30"/>
      <c r="J473" s="19"/>
      <c r="K473" s="19"/>
      <c r="L473" s="19"/>
      <c r="LL473" s="6"/>
      <c r="LM473" s="4"/>
      <c r="LN473" s="4"/>
      <c r="LO473" s="4"/>
      <c r="LP473" s="4"/>
      <c r="LQ473" s="4"/>
      <c r="LR473" s="5"/>
      <c r="LS473" s="6"/>
      <c r="LT473" s="4"/>
      <c r="LU473" s="4"/>
      <c r="LV473" s="4"/>
      <c r="LW473" s="4"/>
      <c r="LX473" s="4"/>
      <c r="LY473" s="5"/>
      <c r="LZ473" s="6" t="s">
        <v>2023</v>
      </c>
      <c r="MA473" s="7" t="s">
        <v>1951</v>
      </c>
      <c r="MB473" s="4" t="s">
        <v>843</v>
      </c>
      <c r="MC473" s="7" t="s">
        <v>1052</v>
      </c>
      <c r="MD473" s="8">
        <v>39333</v>
      </c>
      <c r="ME473" s="8">
        <v>39334</v>
      </c>
      <c r="MF473" s="4"/>
      <c r="MG473" s="5"/>
      <c r="MH473" s="6"/>
      <c r="MI473" s="4"/>
      <c r="MJ473" s="4"/>
      <c r="MK473" s="4"/>
      <c r="ML473" s="4"/>
      <c r="MM473" s="4"/>
      <c r="MN473" s="5"/>
      <c r="MO473" s="6"/>
      <c r="MP473" s="4"/>
      <c r="MQ473" s="4"/>
      <c r="MR473" s="4"/>
      <c r="MS473" s="4"/>
      <c r="MT473" s="4"/>
      <c r="MU473" s="5"/>
      <c r="MV473" s="6"/>
      <c r="MW473" s="4"/>
      <c r="MX473" s="4"/>
      <c r="MY473" s="4"/>
      <c r="MZ473" s="4"/>
      <c r="NA473" s="4"/>
      <c r="NB473" s="5"/>
      <c r="NC473" s="6" t="s">
        <v>1765</v>
      </c>
      <c r="ND473" s="7" t="s">
        <v>1616</v>
      </c>
      <c r="NE473" s="7" t="s">
        <v>1617</v>
      </c>
      <c r="NF473" s="7" t="s">
        <v>1135</v>
      </c>
      <c r="NG473" s="8">
        <v>39325</v>
      </c>
      <c r="NH473" s="8">
        <v>39341</v>
      </c>
      <c r="NI473" s="5" t="s">
        <v>1414</v>
      </c>
      <c r="NJ473" s="6" t="s">
        <v>1817</v>
      </c>
      <c r="NK473" s="4" t="s">
        <v>1517</v>
      </c>
      <c r="NL473" s="4" t="s">
        <v>998</v>
      </c>
      <c r="NM473" s="7" t="s">
        <v>989</v>
      </c>
      <c r="NN473" s="8">
        <v>39324</v>
      </c>
      <c r="NO473" s="8">
        <v>39332</v>
      </c>
      <c r="NP473" s="5" t="s">
        <v>859</v>
      </c>
      <c r="NQ473" s="6"/>
      <c r="NR473" s="4"/>
      <c r="NS473" s="4"/>
      <c r="NT473" s="4"/>
      <c r="NU473" s="4"/>
      <c r="NV473" s="4"/>
      <c r="NW473" s="5"/>
      <c r="NX473" s="6" t="s">
        <v>1861</v>
      </c>
      <c r="NY473" s="7" t="s">
        <v>1341</v>
      </c>
      <c r="NZ473" s="4" t="s">
        <v>1340</v>
      </c>
      <c r="OA473" s="7" t="s">
        <v>1052</v>
      </c>
      <c r="OB473" s="8">
        <v>39321</v>
      </c>
      <c r="OC473" s="8">
        <v>39322</v>
      </c>
      <c r="OD473" s="5" t="s">
        <v>1336</v>
      </c>
      <c r="OE473" s="6"/>
      <c r="OF473" s="4"/>
      <c r="OG473" s="4"/>
      <c r="OH473" s="4"/>
      <c r="OI473" s="4"/>
      <c r="OJ473" s="4"/>
      <c r="OK473" s="5"/>
      <c r="OL473" s="6"/>
      <c r="OM473" s="4"/>
      <c r="ON473" s="4"/>
      <c r="OO473" s="4"/>
      <c r="OP473" s="4"/>
      <c r="OQ473" s="4"/>
      <c r="OR473" s="5"/>
      <c r="OS473" s="6"/>
      <c r="OT473" s="4"/>
      <c r="OU473" s="4"/>
      <c r="OV473" s="4"/>
      <c r="OW473" s="4"/>
      <c r="OX473" s="4"/>
      <c r="OY473" s="5"/>
      <c r="OZ473" s="6"/>
      <c r="PA473" s="4"/>
      <c r="PB473" s="4"/>
      <c r="PC473" s="4"/>
      <c r="PD473" s="4"/>
      <c r="PE473" s="4"/>
      <c r="PF473" s="5"/>
      <c r="PG473" s="6"/>
      <c r="PH473" s="4"/>
      <c r="PI473" s="4"/>
      <c r="PJ473" s="4"/>
      <c r="PK473" s="4"/>
      <c r="PL473" s="4"/>
      <c r="PM473" s="5"/>
      <c r="PN473" s="6"/>
      <c r="PO473" s="4"/>
      <c r="PP473" s="4"/>
      <c r="PQ473" s="4"/>
      <c r="PR473" s="4"/>
      <c r="PS473" s="4"/>
      <c r="PT473" s="5"/>
      <c r="PU473" s="6"/>
      <c r="PV473" s="4"/>
      <c r="PW473" s="4"/>
      <c r="PX473" s="4"/>
      <c r="PY473" s="4"/>
      <c r="PZ473" s="4"/>
      <c r="QA473" s="5"/>
      <c r="QB473" s="6" t="s">
        <v>3436</v>
      </c>
      <c r="QC473" s="7" t="s">
        <v>3437</v>
      </c>
      <c r="QD473" s="4" t="s">
        <v>1053</v>
      </c>
      <c r="QE473" s="7" t="s">
        <v>1052</v>
      </c>
      <c r="QF473" s="8">
        <v>39324</v>
      </c>
      <c r="QG473" s="8">
        <v>39325</v>
      </c>
      <c r="QH473" s="5" t="s">
        <v>1295</v>
      </c>
      <c r="QI473" s="6"/>
      <c r="QJ473" s="4"/>
      <c r="QK473" s="4"/>
      <c r="QL473" s="4"/>
      <c r="QM473" s="4"/>
      <c r="QN473" s="4"/>
      <c r="QO473" s="5"/>
      <c r="QP473" s="6"/>
      <c r="QQ473" s="4"/>
      <c r="QR473" s="4"/>
      <c r="QS473" s="4"/>
      <c r="QT473" s="4"/>
      <c r="QU473" s="4"/>
      <c r="QV473" s="5"/>
      <c r="RD473" s="6"/>
      <c r="RE473" s="4"/>
      <c r="RF473" s="4"/>
      <c r="RG473" s="4"/>
      <c r="RH473" s="4"/>
      <c r="RI473" s="4"/>
      <c r="RJ473" s="5"/>
      <c r="RK473" s="6"/>
      <c r="RL473" s="4"/>
      <c r="RM473" s="4"/>
      <c r="RN473" s="4"/>
      <c r="RO473" s="4"/>
      <c r="RP473" s="4"/>
      <c r="RQ473" s="5"/>
      <c r="RR473" s="6"/>
      <c r="RS473" s="4"/>
      <c r="RT473" s="4"/>
      <c r="RU473" s="4"/>
      <c r="RV473" s="4"/>
      <c r="RW473" s="4"/>
      <c r="RX473" s="5"/>
      <c r="RY473" s="6"/>
      <c r="RZ473" s="4"/>
      <c r="SA473" s="4"/>
      <c r="SB473" s="4"/>
      <c r="SC473" s="4"/>
      <c r="SD473" s="4"/>
      <c r="SE473" s="5"/>
      <c r="SF473" s="6"/>
      <c r="SG473" s="4"/>
      <c r="SH473" s="4"/>
      <c r="SI473" s="4"/>
      <c r="SJ473" s="4"/>
      <c r="SK473" s="4"/>
      <c r="SL473" s="5"/>
      <c r="SM473" s="6"/>
      <c r="SN473" s="4"/>
      <c r="SO473" s="4"/>
      <c r="SP473" s="4"/>
      <c r="SQ473" s="4"/>
      <c r="SR473" s="4"/>
      <c r="SS473" s="5"/>
      <c r="ST473" s="6"/>
      <c r="SU473" s="4"/>
      <c r="SV473" s="4"/>
      <c r="SW473" s="4"/>
      <c r="SX473" s="4"/>
      <c r="SY473" s="4"/>
      <c r="SZ473" s="5"/>
      <c r="TA473" s="6"/>
      <c r="TB473" s="4"/>
      <c r="TC473" s="4"/>
      <c r="TD473" s="4"/>
      <c r="TE473" s="4"/>
      <c r="TF473" s="4"/>
      <c r="TG473" s="5"/>
      <c r="TH473" s="6"/>
      <c r="TI473" s="4"/>
      <c r="TJ473" s="4"/>
      <c r="TK473" s="4"/>
      <c r="TL473" s="4"/>
      <c r="TM473" s="4"/>
      <c r="TN473" s="5"/>
      <c r="TO473" s="6" t="s">
        <v>2200</v>
      </c>
      <c r="TP473" s="4" t="s">
        <v>2201</v>
      </c>
      <c r="TQ473" s="4"/>
      <c r="TR473" s="4" t="s">
        <v>1339</v>
      </c>
      <c r="TS473" s="8">
        <v>40053</v>
      </c>
      <c r="TT473" s="8">
        <v>40053</v>
      </c>
      <c r="TU473" s="5"/>
      <c r="TV473" s="6" t="s">
        <v>1171</v>
      </c>
      <c r="TW473" s="4" t="s">
        <v>1172</v>
      </c>
      <c r="TX473" t="s">
        <v>1173</v>
      </c>
      <c r="TY473" s="8"/>
      <c r="TZ473" s="8"/>
      <c r="UA473" s="8">
        <v>39339</v>
      </c>
      <c r="UB473" s="5"/>
      <c r="UC473" s="6"/>
      <c r="UD473" s="4"/>
      <c r="UE473" s="4"/>
      <c r="UF473" s="4"/>
      <c r="UG473" s="4"/>
      <c r="UH473" s="4"/>
      <c r="UI473" s="5"/>
      <c r="UJ473" s="6"/>
      <c r="UK473" s="4"/>
      <c r="UL473" s="4"/>
      <c r="UM473" s="4"/>
      <c r="UN473" s="4"/>
      <c r="UO473" s="4"/>
      <c r="UP473" s="5"/>
      <c r="UQ473" s="6"/>
      <c r="UR473" s="4"/>
      <c r="US473" s="4"/>
      <c r="UT473" s="4"/>
      <c r="UU473" s="4"/>
      <c r="UV473" s="4"/>
      <c r="UW473" s="5"/>
      <c r="UX473" s="6" t="s">
        <v>3401</v>
      </c>
      <c r="UY473" s="4" t="s">
        <v>1830</v>
      </c>
      <c r="UZ473" s="4" t="s">
        <v>990</v>
      </c>
      <c r="VA473" s="4"/>
      <c r="VB473" s="4"/>
      <c r="VC473" s="4"/>
      <c r="VD473" s="5"/>
      <c r="VE473" s="6" t="s">
        <v>3680</v>
      </c>
      <c r="VF473" s="4" t="s">
        <v>2862</v>
      </c>
      <c r="VG473" s="4" t="s">
        <v>1142</v>
      </c>
      <c r="VH473" s="7" t="s">
        <v>1055</v>
      </c>
      <c r="VI473" s="8">
        <v>39323</v>
      </c>
      <c r="VJ473" s="8">
        <v>39323</v>
      </c>
      <c r="VK473" s="5" t="s">
        <v>1279</v>
      </c>
      <c r="VL473" s="6" t="s">
        <v>1131</v>
      </c>
      <c r="VM473" s="4" t="s">
        <v>1009</v>
      </c>
      <c r="VN473" s="7" t="s">
        <v>1132</v>
      </c>
      <c r="VO473" s="7" t="s">
        <v>1133</v>
      </c>
      <c r="VP473" s="8">
        <v>39345</v>
      </c>
      <c r="VQ473" s="8">
        <v>39345</v>
      </c>
      <c r="VR473" s="5" t="s">
        <v>1351</v>
      </c>
      <c r="VS473" s="6"/>
      <c r="VT473" s="4"/>
      <c r="VU473" s="4"/>
      <c r="VV473" s="4"/>
      <c r="VW473" s="4"/>
      <c r="VX473" s="4"/>
      <c r="VY473" s="5"/>
      <c r="VZ473" s="6"/>
      <c r="WA473" s="4"/>
      <c r="WB473" s="4"/>
      <c r="WC473" s="4"/>
      <c r="WD473" s="4"/>
      <c r="WE473" s="4"/>
      <c r="WF473" s="5"/>
      <c r="WG473" s="4"/>
      <c r="WH473" s="4"/>
      <c r="WI473" s="4"/>
      <c r="WJ473" s="4"/>
      <c r="WK473" s="4"/>
      <c r="WL473" s="4"/>
      <c r="WM473" s="5"/>
      <c r="WN473" s="6"/>
      <c r="WO473" s="4"/>
      <c r="WP473" s="4"/>
      <c r="WQ473" s="4"/>
      <c r="WR473" s="4"/>
      <c r="WS473" s="4"/>
      <c r="WT473" s="5"/>
      <c r="WU473" s="6"/>
      <c r="WV473" s="4"/>
      <c r="WW473" s="4"/>
      <c r="WX473" s="4"/>
      <c r="WY473" s="4"/>
      <c r="WZ473" s="4"/>
      <c r="XA473" s="5"/>
      <c r="XB473" s="6"/>
      <c r="XC473" s="4"/>
      <c r="XD473" s="4"/>
      <c r="XE473" s="4"/>
      <c r="XF473" s="4"/>
      <c r="XG473" s="4"/>
      <c r="XH473" s="5"/>
      <c r="XI473" s="4"/>
      <c r="XJ473" s="4"/>
      <c r="XK473" s="4"/>
      <c r="XL473" s="4"/>
      <c r="XM473" s="4"/>
      <c r="XN473" s="4"/>
      <c r="XO473" s="5"/>
      <c r="XP473" s="6"/>
      <c r="XQ473" s="4"/>
      <c r="XR473" s="4"/>
      <c r="XS473" s="4"/>
      <c r="XT473" s="4"/>
      <c r="XU473" s="4"/>
      <c r="XV473" s="5"/>
      <c r="XW473" s="6"/>
      <c r="XX473" s="4"/>
      <c r="XY473" s="4"/>
      <c r="XZ473" s="4"/>
      <c r="YA473" s="4"/>
      <c r="YB473" s="4"/>
      <c r="YC473" s="5"/>
      <c r="YD473" s="6"/>
      <c r="YE473" s="4"/>
      <c r="YF473" s="4"/>
      <c r="YG473" s="4"/>
      <c r="YH473" s="4"/>
      <c r="YI473" s="4"/>
      <c r="YJ473" s="5"/>
      <c r="YK473" s="6" t="s">
        <v>2251</v>
      </c>
      <c r="YL473" s="4" t="s">
        <v>1382</v>
      </c>
      <c r="YM473" s="4"/>
      <c r="YN473" s="7" t="s">
        <v>1055</v>
      </c>
      <c r="YO473" s="8">
        <v>39348</v>
      </c>
      <c r="YP473" s="8">
        <v>39348</v>
      </c>
      <c r="YQ473" s="5"/>
      <c r="YR473" s="6"/>
      <c r="YS473" s="4"/>
      <c r="YT473" s="4"/>
      <c r="YU473" s="4"/>
      <c r="YV473" s="4"/>
      <c r="YW473" s="4"/>
      <c r="YX473" s="5"/>
      <c r="YY473" s="6"/>
      <c r="YZ473" s="4"/>
      <c r="ZA473" s="4"/>
      <c r="ZB473" s="4"/>
      <c r="ZC473" s="4"/>
      <c r="ZD473" s="4"/>
      <c r="ZE473" s="5"/>
      <c r="ZF473" s="6"/>
      <c r="ZG473" s="4"/>
      <c r="ZH473" s="4"/>
      <c r="ZI473" s="4"/>
      <c r="ZJ473" s="4"/>
      <c r="ZK473" s="4"/>
      <c r="ZL473" s="5"/>
      <c r="ZM473" s="6"/>
      <c r="ZN473" s="4"/>
      <c r="ZO473" s="4"/>
      <c r="ZP473" s="4"/>
      <c r="ZQ473" s="4"/>
      <c r="ZR473" s="4"/>
      <c r="ZS473" s="5"/>
      <c r="ZT473" s="6"/>
      <c r="ZU473" s="4"/>
      <c r="ZV473" s="4"/>
      <c r="ZW473" s="4"/>
      <c r="ZX473" s="4"/>
      <c r="ZY473" s="4"/>
      <c r="ZZ473" s="5"/>
      <c r="AAA473" s="6"/>
      <c r="AAB473" s="4"/>
      <c r="AAC473" s="4"/>
      <c r="AAD473" s="4"/>
      <c r="AAE473" s="4"/>
      <c r="AAF473" s="4"/>
      <c r="AAG473" s="5"/>
      <c r="AAH473" s="6" t="s">
        <v>3137</v>
      </c>
      <c r="AAI473" s="4" t="s">
        <v>3138</v>
      </c>
      <c r="AAJ473" s="4" t="s">
        <v>1136</v>
      </c>
      <c r="AAK473" s="7" t="s">
        <v>1055</v>
      </c>
      <c r="AAL473" s="8">
        <v>39343</v>
      </c>
      <c r="AAM473" s="8">
        <v>39343</v>
      </c>
      <c r="AAN473" s="5"/>
      <c r="AAO473" s="6"/>
      <c r="AAP473" s="4"/>
      <c r="AAQ473" s="4"/>
      <c r="AAR473" s="4"/>
      <c r="AAS473" s="4"/>
      <c r="AAT473" s="4"/>
      <c r="AAU473" s="5"/>
      <c r="AAV473" s="6"/>
      <c r="AAW473" s="4"/>
      <c r="AAX473" s="4"/>
      <c r="AAY473" s="4"/>
      <c r="AAZ473" s="4"/>
      <c r="ABA473" s="4"/>
      <c r="ABB473" s="5"/>
      <c r="ABC473" s="6" t="s">
        <v>1075</v>
      </c>
      <c r="ABD473" s="4" t="s">
        <v>3683</v>
      </c>
      <c r="ABE473" s="4"/>
      <c r="ABF473" s="4" t="s">
        <v>1076</v>
      </c>
      <c r="ABG473" s="8">
        <v>39322</v>
      </c>
      <c r="ABH473" s="8">
        <v>39325</v>
      </c>
      <c r="ABI473" s="5" t="s">
        <v>1211</v>
      </c>
      <c r="ABJ473" s="6" t="s">
        <v>3387</v>
      </c>
      <c r="ABK473" s="4" t="s">
        <v>3388</v>
      </c>
      <c r="ABL473" s="7" t="s">
        <v>1349</v>
      </c>
      <c r="ABM473" s="7" t="s">
        <v>842</v>
      </c>
      <c r="ABN473" s="8">
        <v>39321</v>
      </c>
      <c r="ABO473" s="8">
        <v>39326</v>
      </c>
      <c r="ABP473" s="5" t="s">
        <v>1411</v>
      </c>
      <c r="ABQ473" s="6"/>
      <c r="ABR473" s="4"/>
      <c r="ABS473" s="4"/>
      <c r="ABT473" s="4"/>
      <c r="ABU473" s="4"/>
      <c r="ABV473" s="4"/>
      <c r="ABW473" s="5"/>
      <c r="ABX473" s="6"/>
      <c r="ABY473" s="4"/>
      <c r="ABZ473" s="4"/>
      <c r="ACA473" s="4"/>
      <c r="ACB473" s="4"/>
      <c r="ACC473" s="4"/>
      <c r="ACD473" s="5"/>
      <c r="ACE473" s="6"/>
      <c r="ACF473" s="4"/>
      <c r="ACG473" s="4"/>
      <c r="ACH473" s="4"/>
      <c r="ACI473" s="4"/>
      <c r="ACJ473" s="4"/>
      <c r="ACK473" s="5"/>
      <c r="ACL473" s="6"/>
      <c r="ACM473" s="4"/>
      <c r="ACN473" s="4"/>
      <c r="ACO473" s="4"/>
      <c r="ACP473" s="4"/>
      <c r="ACQ473" s="4"/>
      <c r="ACR473" s="5"/>
      <c r="ACS473" s="6"/>
      <c r="ACT473" s="4"/>
      <c r="ACU473" s="4"/>
      <c r="ACV473" s="4"/>
      <c r="ACW473" s="4"/>
      <c r="ACX473" s="4"/>
      <c r="ACY473" s="5"/>
    </row>
    <row r="474" spans="2:805" x14ac:dyDescent="0.25">
      <c r="B474" s="30"/>
      <c r="J474" s="19"/>
      <c r="K474" s="19"/>
      <c r="L474" s="19"/>
      <c r="LL474" s="6"/>
      <c r="LM474" s="4"/>
      <c r="LN474" s="4"/>
      <c r="LO474" s="4"/>
      <c r="LP474" s="4"/>
      <c r="LQ474" s="4"/>
      <c r="LR474" s="5"/>
      <c r="LS474" s="6"/>
      <c r="LT474" s="4"/>
      <c r="LU474" s="4"/>
      <c r="LV474" s="4"/>
      <c r="LW474" s="4"/>
      <c r="LX474" s="4"/>
      <c r="LY474" s="5"/>
      <c r="LZ474" s="6" t="s">
        <v>2023</v>
      </c>
      <c r="MA474" s="7" t="s">
        <v>1951</v>
      </c>
      <c r="MB474" s="4" t="s">
        <v>844</v>
      </c>
      <c r="MC474" s="7" t="s">
        <v>1052</v>
      </c>
      <c r="MD474" s="8">
        <v>39321</v>
      </c>
      <c r="ME474" s="8">
        <v>39322</v>
      </c>
      <c r="MF474" s="4"/>
      <c r="MG474" s="5" t="s">
        <v>1203</v>
      </c>
      <c r="MH474" s="6"/>
      <c r="MI474" s="4"/>
      <c r="MJ474" s="4"/>
      <c r="MK474" s="4"/>
      <c r="ML474" s="4"/>
      <c r="MM474" s="4"/>
      <c r="MN474" s="5"/>
      <c r="MO474" s="6"/>
      <c r="MP474" s="4"/>
      <c r="MQ474" s="4"/>
      <c r="MR474" s="4"/>
      <c r="MS474" s="4"/>
      <c r="MT474" s="4"/>
      <c r="MU474" s="5"/>
      <c r="MV474" s="6"/>
      <c r="MW474" s="4"/>
      <c r="MX474" s="4"/>
      <c r="MY474" s="4"/>
      <c r="MZ474" s="4"/>
      <c r="NA474" s="4"/>
      <c r="NB474" s="5"/>
      <c r="NC474" s="6" t="s">
        <v>1235</v>
      </c>
      <c r="ND474" s="4" t="s">
        <v>1236</v>
      </c>
      <c r="NE474" s="4" t="s">
        <v>1237</v>
      </c>
      <c r="NF474" s="7" t="s">
        <v>1052</v>
      </c>
      <c r="NG474" s="8">
        <v>39321</v>
      </c>
      <c r="NH474" s="8">
        <v>39322</v>
      </c>
      <c r="NI474" s="5" t="s">
        <v>1414</v>
      </c>
      <c r="NJ474" s="6"/>
      <c r="NK474" s="4"/>
      <c r="NL474" s="4"/>
      <c r="NM474" s="4"/>
      <c r="NN474" s="4"/>
      <c r="NO474" s="4"/>
      <c r="NP474" s="5"/>
      <c r="NQ474" s="6"/>
      <c r="NR474" s="4"/>
      <c r="NS474" s="4"/>
      <c r="NT474" s="4"/>
      <c r="NU474" s="4"/>
      <c r="NV474" s="4"/>
      <c r="NW474" s="5"/>
      <c r="NX474" s="6" t="s">
        <v>1344</v>
      </c>
      <c r="NY474" s="4" t="s">
        <v>1304</v>
      </c>
      <c r="NZ474" s="4"/>
      <c r="OA474" s="4" t="s">
        <v>1345</v>
      </c>
      <c r="OB474" s="8">
        <v>39326</v>
      </c>
      <c r="OC474" s="8">
        <v>39326</v>
      </c>
      <c r="OD474" s="5" t="s">
        <v>1336</v>
      </c>
      <c r="OE474" s="6"/>
      <c r="OF474" s="4"/>
      <c r="OG474" s="4"/>
      <c r="OH474" s="4"/>
      <c r="OI474" s="4"/>
      <c r="OJ474" s="4"/>
      <c r="OK474" s="5"/>
      <c r="OL474" s="6"/>
      <c r="OM474" s="4"/>
      <c r="ON474" s="4"/>
      <c r="OO474" s="4"/>
      <c r="OP474" s="4"/>
      <c r="OQ474" s="4"/>
      <c r="OR474" s="5"/>
      <c r="OS474" s="6"/>
      <c r="OT474" s="4"/>
      <c r="OU474" s="4"/>
      <c r="OV474" s="4"/>
      <c r="OW474" s="4"/>
      <c r="OX474" s="4"/>
      <c r="OY474" s="5"/>
      <c r="OZ474" s="6"/>
      <c r="PA474" s="4"/>
      <c r="PB474" s="4"/>
      <c r="PC474" s="4"/>
      <c r="PD474" s="4"/>
      <c r="PE474" s="4"/>
      <c r="PF474" s="5"/>
      <c r="PG474" s="6"/>
      <c r="PH474" s="4"/>
      <c r="PI474" s="4"/>
      <c r="PJ474" s="4"/>
      <c r="PK474" s="4"/>
      <c r="PL474" s="4"/>
      <c r="PM474" s="5"/>
      <c r="PN474" s="6"/>
      <c r="PO474" s="4"/>
      <c r="PP474" s="4"/>
      <c r="PQ474" s="4"/>
      <c r="PR474" s="4"/>
      <c r="PS474" s="4"/>
      <c r="PT474" s="5"/>
      <c r="PU474" s="6"/>
      <c r="PV474" s="4"/>
      <c r="PW474" s="4"/>
      <c r="PX474" s="4"/>
      <c r="PY474" s="4"/>
      <c r="PZ474" s="4"/>
      <c r="QA474" s="5"/>
      <c r="QB474" s="6" t="s">
        <v>3436</v>
      </c>
      <c r="QC474" s="7" t="s">
        <v>3437</v>
      </c>
      <c r="QD474" s="4" t="s">
        <v>1054</v>
      </c>
      <c r="QE474" s="7" t="s">
        <v>1055</v>
      </c>
      <c r="QF474" s="8">
        <v>39332</v>
      </c>
      <c r="QG474" s="8">
        <v>39332</v>
      </c>
      <c r="QH474" s="5"/>
      <c r="QI474" s="6"/>
      <c r="QJ474" s="4"/>
      <c r="QK474" s="4"/>
      <c r="QL474" s="4"/>
      <c r="QM474" s="4"/>
      <c r="QN474" s="4"/>
      <c r="QO474" s="5"/>
      <c r="QP474" s="6"/>
      <c r="QQ474" s="4"/>
      <c r="QR474" s="4"/>
      <c r="QS474" s="4"/>
      <c r="QT474" s="4"/>
      <c r="QU474" s="4"/>
      <c r="QV474" s="5"/>
      <c r="QW474" s="6"/>
      <c r="QX474" s="4"/>
      <c r="QY474" s="4"/>
      <c r="QZ474" s="4"/>
      <c r="RA474" s="4"/>
      <c r="RB474" s="4"/>
      <c r="RC474" s="5"/>
      <c r="RD474" s="6"/>
      <c r="RE474" s="4"/>
      <c r="RF474" s="4"/>
      <c r="RG474" s="4"/>
      <c r="RH474" s="4"/>
      <c r="RI474" s="4"/>
      <c r="RJ474" s="5"/>
      <c r="RK474" s="6"/>
      <c r="RL474" s="4"/>
      <c r="RM474" s="4"/>
      <c r="RN474" s="4"/>
      <c r="RO474" s="4"/>
      <c r="RP474" s="4"/>
      <c r="RQ474" s="5"/>
      <c r="RR474" s="6"/>
      <c r="RS474" s="4"/>
      <c r="RT474" s="4"/>
      <c r="RU474" s="4"/>
      <c r="RV474" s="4"/>
      <c r="RW474" s="4"/>
      <c r="RX474" s="5"/>
      <c r="RY474" s="6"/>
      <c r="RZ474" s="4"/>
      <c r="SA474" s="4"/>
      <c r="SB474" s="4"/>
      <c r="SC474" s="4"/>
      <c r="SD474" s="4"/>
      <c r="SE474" s="5"/>
      <c r="SF474" s="6"/>
      <c r="SG474" s="4"/>
      <c r="SH474" s="4"/>
      <c r="SI474" s="4"/>
      <c r="SJ474" s="4"/>
      <c r="SK474" s="4"/>
      <c r="SL474" s="5"/>
      <c r="SM474" s="6"/>
      <c r="SN474" s="4"/>
      <c r="SO474" s="4"/>
      <c r="SP474" s="4"/>
      <c r="SQ474" s="4"/>
      <c r="SR474" s="4"/>
      <c r="SS474" s="5"/>
      <c r="ST474" s="6"/>
      <c r="SU474" s="4"/>
      <c r="SV474" s="4"/>
      <c r="SW474" s="4"/>
      <c r="SX474" s="4"/>
      <c r="SY474" s="4"/>
      <c r="SZ474" s="5"/>
      <c r="TA474" s="6"/>
      <c r="TB474" s="4"/>
      <c r="TC474" s="4"/>
      <c r="TD474" s="4"/>
      <c r="TE474" s="4"/>
      <c r="TF474" s="4"/>
      <c r="TG474" s="5"/>
      <c r="TH474" s="6"/>
      <c r="TI474" s="4"/>
      <c r="TJ474" s="4"/>
      <c r="TK474" s="4"/>
      <c r="TL474" s="4"/>
      <c r="TM474" s="4"/>
      <c r="TN474" s="5"/>
      <c r="TO474" s="6"/>
      <c r="TP474" s="4"/>
      <c r="TQ474" s="4"/>
      <c r="TR474" s="4"/>
      <c r="TS474" s="4"/>
      <c r="TT474" s="4"/>
      <c r="TU474" s="5"/>
      <c r="TV474" s="6"/>
      <c r="TW474" s="4"/>
      <c r="TY474" s="8"/>
      <c r="TZ474" s="8"/>
      <c r="UA474" s="8"/>
      <c r="UB474" s="5"/>
      <c r="UC474" s="6"/>
      <c r="UD474" s="4"/>
      <c r="UE474" s="4"/>
      <c r="UF474" s="4"/>
      <c r="UG474" s="4"/>
      <c r="UH474" s="4"/>
      <c r="UI474" s="5"/>
      <c r="UJ474" s="6"/>
      <c r="UK474" s="4"/>
      <c r="UL474" s="4"/>
      <c r="UM474" s="4"/>
      <c r="UN474" s="4"/>
      <c r="UO474" s="4"/>
      <c r="UP474" s="5"/>
      <c r="UQ474" s="6"/>
      <c r="UR474" s="4"/>
      <c r="US474" s="4"/>
      <c r="UT474" s="4"/>
      <c r="UU474" s="4"/>
      <c r="UV474" s="4"/>
      <c r="UW474" s="5"/>
      <c r="UX474" s="6" t="s">
        <v>3401</v>
      </c>
      <c r="UY474" s="4" t="s">
        <v>1830</v>
      </c>
      <c r="UZ474" s="4" t="s">
        <v>991</v>
      </c>
      <c r="VA474" s="4"/>
      <c r="VB474" s="8">
        <v>39327</v>
      </c>
      <c r="VD474" s="5" t="s">
        <v>992</v>
      </c>
      <c r="VE474" s="6"/>
      <c r="VF474" s="4"/>
      <c r="VG474" s="4"/>
      <c r="VH474" s="4"/>
      <c r="VI474" s="4"/>
      <c r="VJ474" s="4"/>
      <c r="VK474" s="5"/>
      <c r="VL474" s="6"/>
      <c r="VM474" s="4"/>
      <c r="VN474" s="4"/>
      <c r="VO474" s="4"/>
      <c r="VP474" s="4"/>
      <c r="VQ474" s="4"/>
      <c r="VR474" s="5"/>
      <c r="VS474" s="6"/>
      <c r="VT474" s="4"/>
      <c r="VU474" s="4"/>
      <c r="VV474" s="4"/>
      <c r="VW474" s="4"/>
      <c r="VX474" s="4"/>
      <c r="VY474" s="5"/>
      <c r="VZ474" s="6"/>
      <c r="WA474" s="4"/>
      <c r="WB474" s="4"/>
      <c r="WC474" s="4"/>
      <c r="WD474" s="4"/>
      <c r="WE474" s="4"/>
      <c r="WF474" s="5"/>
      <c r="WG474" s="4"/>
      <c r="WH474" s="4"/>
      <c r="WI474" s="4"/>
      <c r="WJ474" s="4"/>
      <c r="WK474" s="4"/>
      <c r="WL474" s="4"/>
      <c r="WM474" s="5"/>
      <c r="WN474" s="6"/>
      <c r="WO474" s="4"/>
      <c r="WP474" s="4"/>
      <c r="WQ474" s="4"/>
      <c r="WR474" s="4"/>
      <c r="WS474" s="4"/>
      <c r="WT474" s="5"/>
      <c r="WU474" s="6"/>
      <c r="WV474" s="4"/>
      <c r="WW474" s="4"/>
      <c r="WX474" s="4"/>
      <c r="WY474" s="4"/>
      <c r="WZ474" s="4"/>
      <c r="XA474" s="5"/>
      <c r="XB474" s="6"/>
      <c r="XC474" s="4"/>
      <c r="XD474" s="4"/>
      <c r="XE474" s="4"/>
      <c r="XF474" s="4"/>
      <c r="XG474" s="4"/>
      <c r="XH474" s="5"/>
      <c r="XI474" s="4"/>
      <c r="XJ474" s="4"/>
      <c r="XK474" s="4"/>
      <c r="XL474" s="4"/>
      <c r="XM474" s="4"/>
      <c r="XN474" s="4"/>
      <c r="XO474" s="5"/>
      <c r="XP474" s="6"/>
      <c r="XQ474" s="4"/>
      <c r="XR474" s="4"/>
      <c r="XS474" s="4"/>
      <c r="XT474" s="4"/>
      <c r="XU474" s="4"/>
      <c r="XV474" s="5"/>
      <c r="XW474" s="6"/>
      <c r="XX474" s="4"/>
      <c r="XY474" s="4"/>
      <c r="XZ474" s="4"/>
      <c r="YA474" s="4"/>
      <c r="YB474" s="4"/>
      <c r="YC474" s="5"/>
      <c r="YD474" s="6"/>
      <c r="YE474" s="4"/>
      <c r="YF474" s="4"/>
      <c r="YG474" s="4"/>
      <c r="YH474" s="4"/>
      <c r="YI474" s="4"/>
      <c r="YJ474" s="5"/>
      <c r="YK474" s="6" t="s">
        <v>2251</v>
      </c>
      <c r="YL474" s="4" t="s">
        <v>1382</v>
      </c>
      <c r="YM474" s="4"/>
      <c r="YN474" s="7" t="s">
        <v>1052</v>
      </c>
      <c r="YO474" s="8">
        <v>39345</v>
      </c>
      <c r="YP474" s="8">
        <v>39346</v>
      </c>
      <c r="YQ474" s="5"/>
      <c r="YR474" s="6"/>
      <c r="YS474" s="4"/>
      <c r="YT474" s="4"/>
      <c r="YU474" s="4"/>
      <c r="YV474" s="4"/>
      <c r="YW474" s="4"/>
      <c r="YX474" s="5"/>
      <c r="YY474" s="6"/>
      <c r="YZ474" s="4"/>
      <c r="ZA474" s="4"/>
      <c r="ZB474" s="4"/>
      <c r="ZC474" s="4"/>
      <c r="ZD474" s="4"/>
      <c r="ZE474" s="5"/>
      <c r="ZF474" s="6"/>
      <c r="ZG474" s="4"/>
      <c r="ZH474" s="4"/>
      <c r="ZI474" s="4"/>
      <c r="ZJ474" s="4"/>
      <c r="ZK474" s="4"/>
      <c r="ZL474" s="5"/>
      <c r="ZM474" s="6"/>
      <c r="ZN474" s="4"/>
      <c r="ZO474" s="4"/>
      <c r="ZP474" s="4"/>
      <c r="ZQ474" s="4"/>
      <c r="ZR474" s="4"/>
      <c r="ZS474" s="5"/>
      <c r="ZT474" s="6"/>
      <c r="ZU474" s="4"/>
      <c r="ZV474" s="4"/>
      <c r="ZW474" s="4"/>
      <c r="ZX474" s="4"/>
      <c r="ZY474" s="4"/>
      <c r="ZZ474" s="5"/>
      <c r="AAA474" s="6"/>
      <c r="AAB474" s="4"/>
      <c r="AAC474" s="4"/>
      <c r="AAD474" s="4"/>
      <c r="AAE474" s="4"/>
      <c r="AAF474" s="4"/>
      <c r="AAG474" s="5"/>
      <c r="AAH474" s="6" t="s">
        <v>3137</v>
      </c>
      <c r="AAI474" s="4" t="s">
        <v>3138</v>
      </c>
      <c r="AAJ474" s="4" t="s">
        <v>1136</v>
      </c>
      <c r="AAK474" s="7" t="s">
        <v>989</v>
      </c>
      <c r="AAL474" s="8">
        <v>39332</v>
      </c>
      <c r="AAM474" s="8">
        <v>39340</v>
      </c>
      <c r="AAN474" s="5"/>
      <c r="AAO474" s="6"/>
      <c r="AAP474" s="4"/>
      <c r="AAQ474" s="4"/>
      <c r="AAR474" s="4"/>
      <c r="AAS474" s="4"/>
      <c r="AAT474" s="4"/>
      <c r="AAU474" s="5"/>
      <c r="AAV474" s="6"/>
      <c r="AAW474" s="4"/>
      <c r="AAX474" s="4"/>
      <c r="AAY474" s="4"/>
      <c r="AAZ474" s="4"/>
      <c r="ABA474" s="4"/>
      <c r="ABB474" s="5"/>
      <c r="ABC474" s="6"/>
      <c r="ABD474" s="4"/>
      <c r="ABE474" s="4"/>
      <c r="ABF474" s="4"/>
      <c r="ABG474" s="4"/>
      <c r="ABH474" s="4"/>
      <c r="ABI474" s="5"/>
      <c r="ABJ474" s="6"/>
      <c r="ABK474" s="4"/>
      <c r="ABL474" s="4"/>
      <c r="ABM474" s="4"/>
      <c r="ABN474" s="4"/>
      <c r="ABO474" s="4"/>
      <c r="ABP474" s="5"/>
      <c r="ABQ474" s="6"/>
      <c r="ABR474" s="4"/>
      <c r="ABS474" s="4"/>
      <c r="ABT474" s="4"/>
      <c r="ABU474" s="4"/>
      <c r="ABV474" s="4"/>
      <c r="ABW474" s="5"/>
      <c r="ABX474" s="6"/>
      <c r="ABY474" s="4"/>
      <c r="ABZ474" s="4"/>
      <c r="ACA474" s="4"/>
      <c r="ACB474" s="4"/>
      <c r="ACC474" s="4"/>
      <c r="ACD474" s="5"/>
      <c r="ACE474" s="6"/>
      <c r="ACF474" s="4"/>
      <c r="ACG474" s="4"/>
      <c r="ACH474" s="4"/>
      <c r="ACI474" s="4"/>
      <c r="ACJ474" s="4"/>
      <c r="ACK474" s="5"/>
      <c r="ACL474" s="6"/>
      <c r="ACM474" s="4"/>
      <c r="ACN474" s="4"/>
      <c r="ACO474" s="4"/>
      <c r="ACP474" s="4"/>
      <c r="ACQ474" s="4"/>
      <c r="ACR474" s="5"/>
      <c r="ACS474" s="6"/>
      <c r="ACT474" s="4"/>
      <c r="ACU474" s="4"/>
      <c r="ACV474" s="4"/>
      <c r="ACW474" s="4"/>
      <c r="ACX474" s="4"/>
      <c r="ACY474" s="5"/>
    </row>
    <row r="475" spans="2:805" x14ac:dyDescent="0.25">
      <c r="B475" s="30"/>
      <c r="J475" s="19"/>
      <c r="K475" s="19"/>
      <c r="L475" s="19"/>
      <c r="LL475" s="6"/>
      <c r="LM475" s="4"/>
      <c r="LN475" s="4"/>
      <c r="LO475" s="4"/>
      <c r="LP475" s="4"/>
      <c r="LQ475" s="4"/>
      <c r="LR475" s="5"/>
      <c r="LS475" s="6"/>
      <c r="LT475" s="4"/>
      <c r="LU475" s="4"/>
      <c r="LV475" s="4"/>
      <c r="LW475" s="4"/>
      <c r="LX475" s="4"/>
      <c r="LY475" s="5"/>
      <c r="LZ475" s="6" t="s">
        <v>3213</v>
      </c>
      <c r="MA475" s="7" t="s">
        <v>2525</v>
      </c>
      <c r="MB475" s="7" t="s">
        <v>865</v>
      </c>
      <c r="MC475" s="7" t="s">
        <v>866</v>
      </c>
      <c r="MD475" s="8">
        <v>39330</v>
      </c>
      <c r="ME475" s="8">
        <v>39339</v>
      </c>
      <c r="MF475" s="4"/>
      <c r="MG475" s="5" t="s">
        <v>1203</v>
      </c>
      <c r="MH475" s="6"/>
      <c r="MI475" s="4"/>
      <c r="MJ475" s="4"/>
      <c r="MK475" s="4"/>
      <c r="ML475" s="4"/>
      <c r="MM475" s="4"/>
      <c r="MN475" s="5"/>
      <c r="MO475" s="6"/>
      <c r="MP475" s="4"/>
      <c r="MQ475" s="4"/>
      <c r="MR475" s="4"/>
      <c r="MS475" s="4"/>
      <c r="MT475" s="4"/>
      <c r="MU475" s="5"/>
      <c r="MV475" s="6"/>
      <c r="MW475" s="4"/>
      <c r="MX475" s="4"/>
      <c r="MY475" s="4"/>
      <c r="MZ475" s="4"/>
      <c r="NA475" s="4"/>
      <c r="NB475" s="5"/>
      <c r="NC475" s="6" t="s">
        <v>3415</v>
      </c>
      <c r="ND475" s="4" t="s">
        <v>3416</v>
      </c>
      <c r="NE475" s="7" t="s">
        <v>1238</v>
      </c>
      <c r="NF475" s="7" t="s">
        <v>1076</v>
      </c>
      <c r="NG475" s="8">
        <v>39322</v>
      </c>
      <c r="NH475" s="8">
        <v>39325</v>
      </c>
      <c r="NI475" s="5" t="s">
        <v>1414</v>
      </c>
      <c r="NJ475" s="6"/>
      <c r="NK475" s="4"/>
      <c r="NL475" s="4"/>
      <c r="NM475" s="4"/>
      <c r="NN475" s="4"/>
      <c r="NO475" s="4"/>
      <c r="NP475" s="5"/>
      <c r="NQ475" s="6"/>
      <c r="NR475" s="4"/>
      <c r="NS475" s="4"/>
      <c r="NT475" s="4"/>
      <c r="NU475" s="4"/>
      <c r="NV475" s="4"/>
      <c r="NW475" s="5"/>
      <c r="NX475" s="6"/>
      <c r="NY475" s="4"/>
      <c r="NZ475" s="4"/>
      <c r="OA475" s="4"/>
      <c r="OB475" s="4"/>
      <c r="OC475" s="4"/>
      <c r="OD475" s="5"/>
      <c r="OE475" s="6"/>
      <c r="OF475" s="4"/>
      <c r="OG475" s="4"/>
      <c r="OH475" s="4"/>
      <c r="OI475" s="4"/>
      <c r="OJ475" s="4"/>
      <c r="OK475" s="5"/>
      <c r="OL475" s="6"/>
      <c r="OM475" s="4"/>
      <c r="ON475" s="4"/>
      <c r="OO475" s="4"/>
      <c r="OP475" s="4"/>
      <c r="OQ475" s="4"/>
      <c r="OR475" s="5"/>
      <c r="OS475" s="6"/>
      <c r="OT475" s="4"/>
      <c r="OU475" s="4"/>
      <c r="OV475" s="4"/>
      <c r="OW475" s="4"/>
      <c r="OX475" s="4"/>
      <c r="OY475" s="5"/>
      <c r="OZ475" s="6"/>
      <c r="PA475" s="4"/>
      <c r="PB475" s="4"/>
      <c r="PC475" s="4"/>
      <c r="PD475" s="4"/>
      <c r="PE475" s="4"/>
      <c r="PF475" s="5"/>
      <c r="PG475" s="6"/>
      <c r="PH475" s="4"/>
      <c r="PI475" s="4"/>
      <c r="PJ475" s="4"/>
      <c r="PK475" s="4"/>
      <c r="PL475" s="4"/>
      <c r="PM475" s="5"/>
      <c r="PN475" s="6"/>
      <c r="PO475" s="4"/>
      <c r="PP475" s="4"/>
      <c r="PQ475" s="4"/>
      <c r="PR475" s="4"/>
      <c r="PS475" s="4"/>
      <c r="PT475" s="5"/>
      <c r="PU475" s="6"/>
      <c r="PV475" s="4"/>
      <c r="PW475" s="4"/>
      <c r="PX475" s="4"/>
      <c r="PY475" s="4"/>
      <c r="PZ475" s="4"/>
      <c r="QA475" s="5"/>
      <c r="QB475" s="6" t="s">
        <v>1056</v>
      </c>
      <c r="QC475" s="7" t="s">
        <v>1057</v>
      </c>
      <c r="QD475" s="4" t="s">
        <v>1058</v>
      </c>
      <c r="QE475" s="7"/>
      <c r="QF475" s="8">
        <v>39337</v>
      </c>
      <c r="QG475" s="8"/>
      <c r="QH475" s="5" t="s">
        <v>1295</v>
      </c>
      <c r="QI475" s="6"/>
      <c r="QJ475" s="4"/>
      <c r="QK475" s="4"/>
      <c r="QL475" s="4"/>
      <c r="QM475" s="4"/>
      <c r="QN475" s="4"/>
      <c r="QO475" s="5"/>
      <c r="QP475" s="6"/>
      <c r="QQ475" s="4"/>
      <c r="QR475" s="4"/>
      <c r="QS475" s="4"/>
      <c r="QT475" s="4"/>
      <c r="QU475" s="4"/>
      <c r="QV475" s="5"/>
      <c r="QW475" s="6"/>
      <c r="QX475" s="4"/>
      <c r="QY475" s="4"/>
      <c r="QZ475" s="4"/>
      <c r="RA475" s="4"/>
      <c r="RB475" s="4"/>
      <c r="RC475" s="5"/>
      <c r="RD475" s="6"/>
      <c r="RE475" s="4"/>
      <c r="RF475" s="4"/>
      <c r="RG475" s="4"/>
      <c r="RH475" s="4"/>
      <c r="RI475" s="4"/>
      <c r="RJ475" s="5"/>
      <c r="RK475" s="6"/>
      <c r="RL475" s="4"/>
      <c r="RM475" s="4"/>
      <c r="RN475" s="4"/>
      <c r="RO475" s="4"/>
      <c r="RP475" s="4"/>
      <c r="RQ475" s="5"/>
      <c r="RR475" s="6"/>
      <c r="RS475" s="4"/>
      <c r="RT475" s="4"/>
      <c r="RU475" s="4"/>
      <c r="RV475" s="4"/>
      <c r="RW475" s="4"/>
      <c r="RX475" s="5"/>
      <c r="RY475" s="6"/>
      <c r="RZ475" s="4"/>
      <c r="SA475" s="4"/>
      <c r="SB475" s="4"/>
      <c r="SC475" s="4"/>
      <c r="SD475" s="4"/>
      <c r="SE475" s="5"/>
      <c r="SF475" s="6"/>
      <c r="SG475" s="4"/>
      <c r="SH475" s="4"/>
      <c r="SI475" s="4"/>
      <c r="SJ475" s="4"/>
      <c r="SK475" s="4"/>
      <c r="SL475" s="5"/>
      <c r="SM475" s="6"/>
      <c r="SN475" s="4"/>
      <c r="SO475" s="4"/>
      <c r="SP475" s="4"/>
      <c r="SQ475" s="4"/>
      <c r="SR475" s="4"/>
      <c r="SS475" s="5"/>
      <c r="ST475" s="6"/>
      <c r="SU475" s="4"/>
      <c r="SV475" s="4"/>
      <c r="SW475" s="4"/>
      <c r="SX475" s="4"/>
      <c r="SY475" s="4"/>
      <c r="SZ475" s="5"/>
      <c r="TA475" s="6"/>
      <c r="TB475" s="4"/>
      <c r="TC475" s="4"/>
      <c r="TD475" s="4"/>
      <c r="TE475" s="4"/>
      <c r="TF475" s="4"/>
      <c r="TG475" s="5"/>
      <c r="TH475" s="6"/>
      <c r="TI475" s="4"/>
      <c r="TJ475" s="4"/>
      <c r="TK475" s="4"/>
      <c r="TL475" s="4"/>
      <c r="TM475" s="4"/>
      <c r="TN475" s="5"/>
      <c r="TO475" s="6"/>
      <c r="TP475" s="4"/>
      <c r="TQ475" s="4"/>
      <c r="TR475" s="4"/>
      <c r="TS475" s="4"/>
      <c r="TT475" s="4"/>
      <c r="TU475" s="5"/>
      <c r="TV475" s="6"/>
      <c r="TW475" s="4"/>
      <c r="TY475" s="8"/>
      <c r="TZ475" s="8"/>
      <c r="UA475" s="8"/>
      <c r="UB475" s="5"/>
      <c r="UC475" s="6"/>
      <c r="UD475" s="4"/>
      <c r="UE475" s="4"/>
      <c r="UF475" s="4"/>
      <c r="UG475" s="4"/>
      <c r="UH475" s="4"/>
      <c r="UI475" s="5"/>
      <c r="UJ475" s="6"/>
      <c r="UK475" s="4"/>
      <c r="UL475" s="4"/>
      <c r="UM475" s="4"/>
      <c r="UN475" s="4"/>
      <c r="UO475" s="4"/>
      <c r="UP475" s="5"/>
      <c r="UQ475" s="6"/>
      <c r="UR475" s="4"/>
      <c r="US475" s="4"/>
      <c r="UT475" s="4"/>
      <c r="UU475" s="4"/>
      <c r="UV475" s="4"/>
      <c r="UW475" s="5"/>
      <c r="UX475" s="6" t="s">
        <v>3679</v>
      </c>
      <c r="UY475" s="4" t="s">
        <v>3145</v>
      </c>
      <c r="UZ475" s="4"/>
      <c r="VA475" s="4" t="s">
        <v>1346</v>
      </c>
      <c r="VB475" s="8">
        <v>39322</v>
      </c>
      <c r="VC475" s="8">
        <v>39330</v>
      </c>
      <c r="VD475" s="5" t="s">
        <v>1482</v>
      </c>
      <c r="VE475" s="6"/>
      <c r="VF475" s="4"/>
      <c r="VG475" s="4"/>
      <c r="VH475" s="4"/>
      <c r="VI475" s="4"/>
      <c r="VJ475" s="4"/>
      <c r="VK475" s="5"/>
      <c r="VL475" s="6"/>
      <c r="VM475" s="4"/>
      <c r="VN475" s="4"/>
      <c r="VO475" s="4"/>
      <c r="VP475" s="4"/>
      <c r="VQ475" s="4"/>
      <c r="VR475" s="5"/>
      <c r="VS475" s="6"/>
      <c r="VT475" s="4"/>
      <c r="VU475" s="4"/>
      <c r="VV475" s="4"/>
      <c r="VW475" s="4"/>
      <c r="VX475" s="4"/>
      <c r="VY475" s="5"/>
      <c r="VZ475" s="6"/>
      <c r="WA475" s="4"/>
      <c r="WB475" s="4"/>
      <c r="WC475" s="4"/>
      <c r="WD475" s="4"/>
      <c r="WE475" s="4"/>
      <c r="WF475" s="5"/>
      <c r="WG475" s="4"/>
      <c r="WH475" s="4"/>
      <c r="WI475" s="4"/>
      <c r="WJ475" s="4"/>
      <c r="WK475" s="4"/>
      <c r="WL475" s="4"/>
      <c r="WM475" s="5"/>
      <c r="WN475" s="6"/>
      <c r="WO475" s="4"/>
      <c r="WP475" s="4"/>
      <c r="WQ475" s="4"/>
      <c r="WR475" s="4"/>
      <c r="WS475" s="4"/>
      <c r="WT475" s="5"/>
      <c r="WU475" s="6"/>
      <c r="WV475" s="4"/>
      <c r="WW475" s="4"/>
      <c r="WX475" s="4"/>
      <c r="WY475" s="4"/>
      <c r="WZ475" s="4"/>
      <c r="XA475" s="5"/>
      <c r="XB475" s="6"/>
      <c r="XC475" s="4"/>
      <c r="XD475" s="4"/>
      <c r="XE475" s="4"/>
      <c r="XF475" s="4"/>
      <c r="XG475" s="4"/>
      <c r="XH475" s="5"/>
      <c r="XI475" s="4"/>
      <c r="XJ475" s="4"/>
      <c r="XK475" s="4"/>
      <c r="XL475" s="4"/>
      <c r="XM475" s="4"/>
      <c r="XN475" s="4"/>
      <c r="XO475" s="5"/>
      <c r="XP475" s="6"/>
      <c r="XQ475" s="4"/>
      <c r="XR475" s="4"/>
      <c r="XS475" s="4"/>
      <c r="XT475" s="4"/>
      <c r="XU475" s="4"/>
      <c r="XV475" s="5"/>
      <c r="XW475" s="6"/>
      <c r="XX475" s="4"/>
      <c r="XY475" s="4"/>
      <c r="XZ475" s="4"/>
      <c r="YA475" s="4"/>
      <c r="YB475" s="4"/>
      <c r="YC475" s="5"/>
      <c r="YD475" s="6"/>
      <c r="YE475" s="4"/>
      <c r="YF475" s="4"/>
      <c r="YG475" s="4"/>
      <c r="YH475" s="4"/>
      <c r="YI475" s="4"/>
      <c r="YJ475" s="5"/>
      <c r="YK475" s="6" t="s">
        <v>2251</v>
      </c>
      <c r="YL475" s="4" t="s">
        <v>1382</v>
      </c>
      <c r="YM475" s="4"/>
      <c r="YN475" s="7" t="s">
        <v>847</v>
      </c>
      <c r="YO475" s="8">
        <v>39318</v>
      </c>
      <c r="YP475" s="8">
        <v>39328</v>
      </c>
      <c r="YQ475" s="5" t="s">
        <v>846</v>
      </c>
      <c r="YR475" s="6"/>
      <c r="YS475" s="4"/>
      <c r="YT475" s="4"/>
      <c r="YU475" s="4"/>
      <c r="YV475" s="4"/>
      <c r="YW475" s="4"/>
      <c r="YX475" s="5"/>
      <c r="YY475" s="6"/>
      <c r="YZ475" s="4"/>
      <c r="ZA475" s="4"/>
      <c r="ZB475" s="4"/>
      <c r="ZC475" s="4"/>
      <c r="ZD475" s="4"/>
      <c r="ZE475" s="5"/>
      <c r="ZF475" s="6"/>
      <c r="ZG475" s="4"/>
      <c r="ZH475" s="4"/>
      <c r="ZI475" s="4"/>
      <c r="ZJ475" s="4"/>
      <c r="ZK475" s="4"/>
      <c r="ZL475" s="5"/>
      <c r="ZM475" s="6"/>
      <c r="ZN475" s="4"/>
      <c r="ZO475" s="4"/>
      <c r="ZP475" s="4"/>
      <c r="ZQ475" s="4"/>
      <c r="ZR475" s="4"/>
      <c r="ZS475" s="5"/>
      <c r="ZT475" s="6"/>
      <c r="ZU475" s="4"/>
      <c r="ZV475" s="4"/>
      <c r="ZW475" s="4"/>
      <c r="ZX475" s="4"/>
      <c r="ZY475" s="4"/>
      <c r="ZZ475" s="5"/>
      <c r="AAA475" s="6"/>
      <c r="AAB475" s="4"/>
      <c r="AAC475" s="4"/>
      <c r="AAD475" s="4"/>
      <c r="AAE475" s="4"/>
      <c r="AAF475" s="4"/>
      <c r="AAG475" s="5"/>
      <c r="AAH475" s="6" t="s">
        <v>3137</v>
      </c>
      <c r="AAI475" s="4" t="s">
        <v>3138</v>
      </c>
      <c r="AAJ475" s="4" t="s">
        <v>1136</v>
      </c>
      <c r="AAK475" s="4"/>
      <c r="AAL475" s="8">
        <v>39321</v>
      </c>
      <c r="AAM475" s="4"/>
      <c r="AAN475" s="5" t="s">
        <v>1480</v>
      </c>
      <c r="AAO475" s="6"/>
      <c r="AAP475" s="4"/>
      <c r="AAQ475" s="4"/>
      <c r="AAR475" s="4"/>
      <c r="AAS475" s="4"/>
      <c r="AAT475" s="4"/>
      <c r="AAU475" s="5"/>
      <c r="AAV475" s="6"/>
      <c r="AAW475" s="4"/>
      <c r="AAX475" s="4"/>
      <c r="AAY475" s="4"/>
      <c r="AAZ475" s="4"/>
      <c r="ABA475" s="4"/>
      <c r="ABB475" s="5"/>
      <c r="ABC475" s="6"/>
      <c r="ABD475" s="4"/>
      <c r="ABE475" s="4"/>
      <c r="ABF475" s="4"/>
      <c r="ABG475" s="4"/>
      <c r="ABH475" s="4"/>
      <c r="ABI475" s="5"/>
      <c r="ABJ475" s="6"/>
      <c r="ABK475" s="4"/>
      <c r="ABL475" s="4"/>
      <c r="ABM475" s="4"/>
      <c r="ABN475" s="4"/>
      <c r="ABO475" s="4"/>
      <c r="ABP475" s="5"/>
      <c r="ABQ475" s="6"/>
      <c r="ABR475" s="4"/>
      <c r="ABS475" s="4"/>
      <c r="ABT475" s="4"/>
      <c r="ABU475" s="4"/>
      <c r="ABV475" s="4"/>
      <c r="ABW475" s="5"/>
      <c r="ABX475" s="6"/>
      <c r="ABY475" s="4"/>
      <c r="ABZ475" s="4"/>
      <c r="ACA475" s="4"/>
      <c r="ACB475" s="4"/>
      <c r="ACC475" s="4"/>
      <c r="ACD475" s="5"/>
      <c r="ACE475" s="6"/>
      <c r="ACF475" s="4"/>
      <c r="ACG475" s="4"/>
      <c r="ACH475" s="4"/>
      <c r="ACI475" s="4"/>
      <c r="ACJ475" s="4"/>
      <c r="ACK475" s="5"/>
      <c r="ACL475" s="6"/>
      <c r="ACM475" s="4"/>
      <c r="ACN475" s="4"/>
      <c r="ACO475" s="4"/>
      <c r="ACP475" s="4"/>
      <c r="ACQ475" s="4"/>
      <c r="ACR475" s="5"/>
      <c r="ACS475" s="6"/>
      <c r="ACT475" s="4"/>
      <c r="ACU475" s="4"/>
      <c r="ACV475" s="4"/>
      <c r="ACW475" s="4"/>
      <c r="ACX475" s="4"/>
      <c r="ACY475" s="5"/>
    </row>
    <row r="476" spans="2:805" x14ac:dyDescent="0.25">
      <c r="B476" s="30"/>
      <c r="J476" s="19"/>
      <c r="K476" s="19"/>
      <c r="L476" s="19"/>
      <c r="LL476" s="6"/>
      <c r="LM476" s="4"/>
      <c r="LN476" s="4"/>
      <c r="LO476" s="4"/>
      <c r="LP476" s="4"/>
      <c r="LQ476" s="4"/>
      <c r="LR476" s="5"/>
      <c r="LS476" s="6"/>
      <c r="LT476" s="4"/>
      <c r="LU476" s="4"/>
      <c r="LV476" s="4"/>
      <c r="LW476" s="4"/>
      <c r="LX476" s="4"/>
      <c r="LY476" s="5"/>
      <c r="LZ476" s="6" t="s">
        <v>3102</v>
      </c>
      <c r="MA476" s="7" t="s">
        <v>3103</v>
      </c>
      <c r="MB476" s="7" t="s">
        <v>1137</v>
      </c>
      <c r="MC476" s="7" t="s">
        <v>1052</v>
      </c>
      <c r="MD476" s="8">
        <v>39333</v>
      </c>
      <c r="ME476" s="8">
        <v>39334</v>
      </c>
      <c r="MF476" s="4"/>
      <c r="MG476" s="5" t="s">
        <v>1139</v>
      </c>
      <c r="MH476" s="6"/>
      <c r="MI476" s="4"/>
      <c r="MJ476" s="4"/>
      <c r="MK476" s="4"/>
      <c r="ML476" s="4"/>
      <c r="MM476" s="4"/>
      <c r="MN476" s="5"/>
      <c r="MO476" s="6"/>
      <c r="MP476" s="4"/>
      <c r="MQ476" s="4"/>
      <c r="MR476" s="4"/>
      <c r="MS476" s="4"/>
      <c r="MT476" s="4"/>
      <c r="MU476" s="5"/>
      <c r="MV476" s="6"/>
      <c r="MW476" s="4"/>
      <c r="MX476" s="4"/>
      <c r="MY476" s="4"/>
      <c r="MZ476" s="4"/>
      <c r="NA476" s="4"/>
      <c r="NB476" s="5"/>
      <c r="NC476" s="6" t="s">
        <v>1240</v>
      </c>
      <c r="ND476" s="7" t="s">
        <v>1241</v>
      </c>
      <c r="NE476" s="7" t="s">
        <v>1242</v>
      </c>
      <c r="NF476" s="7" t="s">
        <v>1055</v>
      </c>
      <c r="NG476" s="8">
        <v>39322</v>
      </c>
      <c r="NH476" s="8">
        <v>39322</v>
      </c>
      <c r="NI476" s="5" t="s">
        <v>1414</v>
      </c>
      <c r="NJ476" s="6"/>
      <c r="NK476" s="4"/>
      <c r="NL476" s="4"/>
      <c r="NM476" s="4"/>
      <c r="NN476" s="4"/>
      <c r="NO476" s="4"/>
      <c r="NP476" s="5"/>
      <c r="NQ476" s="6"/>
      <c r="NR476" s="4"/>
      <c r="NS476" s="4"/>
      <c r="NT476" s="4"/>
      <c r="NU476" s="4"/>
      <c r="NV476" s="4"/>
      <c r="NW476" s="5"/>
      <c r="NX476" s="6"/>
      <c r="NY476" s="4"/>
      <c r="NZ476" s="4"/>
      <c r="OA476" s="4"/>
      <c r="OB476" s="4"/>
      <c r="OC476" s="4"/>
      <c r="OD476" s="5"/>
      <c r="OE476" s="6"/>
      <c r="OF476" s="4"/>
      <c r="OG476" s="4"/>
      <c r="OH476" s="4"/>
      <c r="OI476" s="4"/>
      <c r="OJ476" s="4"/>
      <c r="OK476" s="5"/>
      <c r="OL476" s="6"/>
      <c r="OM476" s="4"/>
      <c r="ON476" s="4"/>
      <c r="OO476" s="4"/>
      <c r="OP476" s="4"/>
      <c r="OQ476" s="4"/>
      <c r="OR476" s="5"/>
      <c r="OS476" s="6"/>
      <c r="OT476" s="4"/>
      <c r="OU476" s="4"/>
      <c r="OV476" s="4"/>
      <c r="OW476" s="4"/>
      <c r="OX476" s="4"/>
      <c r="OY476" s="5"/>
      <c r="OZ476" s="6"/>
      <c r="PA476" s="4"/>
      <c r="PB476" s="4"/>
      <c r="PC476" s="4"/>
      <c r="PD476" s="4"/>
      <c r="PE476" s="4"/>
      <c r="PF476" s="5"/>
      <c r="PG476" s="6"/>
      <c r="PH476" s="4"/>
      <c r="PI476" s="4"/>
      <c r="PJ476" s="4"/>
      <c r="PK476" s="4"/>
      <c r="PL476" s="4"/>
      <c r="PM476" s="5"/>
      <c r="PN476" s="6"/>
      <c r="PO476" s="4"/>
      <c r="PP476" s="4"/>
      <c r="PQ476" s="4"/>
      <c r="PR476" s="4"/>
      <c r="PS476" s="4"/>
      <c r="PT476" s="5"/>
      <c r="PU476" s="6"/>
      <c r="PV476" s="4"/>
      <c r="PW476" s="4"/>
      <c r="PX476" s="4"/>
      <c r="PY476" s="4"/>
      <c r="PZ476" s="4"/>
      <c r="QA476" s="5"/>
      <c r="QB476" s="6" t="s">
        <v>1111</v>
      </c>
      <c r="QC476" s="7" t="s">
        <v>1112</v>
      </c>
      <c r="QD476" s="7" t="s">
        <v>841</v>
      </c>
      <c r="QE476" s="7" t="s">
        <v>842</v>
      </c>
      <c r="QF476" s="8">
        <v>39332</v>
      </c>
      <c r="QG476" s="8">
        <v>39337</v>
      </c>
      <c r="QH476" s="5" t="s">
        <v>1295</v>
      </c>
      <c r="QI476" s="6"/>
      <c r="QJ476" s="4"/>
      <c r="QK476" s="4"/>
      <c r="QL476" s="4"/>
      <c r="QM476" s="4"/>
      <c r="QN476" s="4"/>
      <c r="QO476" s="5"/>
      <c r="QP476" s="6"/>
      <c r="QQ476" s="4"/>
      <c r="QR476" s="4"/>
      <c r="QS476" s="4"/>
      <c r="QT476" s="4"/>
      <c r="QU476" s="4"/>
      <c r="QV476" s="5"/>
      <c r="QW476" s="6"/>
      <c r="QX476" s="4"/>
      <c r="QY476" s="4"/>
      <c r="QZ476" s="4"/>
      <c r="RA476" s="4"/>
      <c r="RB476" s="4"/>
      <c r="RC476" s="5"/>
      <c r="RD476" s="6"/>
      <c r="RE476" s="4"/>
      <c r="RF476" s="4"/>
      <c r="RG476" s="4"/>
      <c r="RH476" s="4"/>
      <c r="RI476" s="4"/>
      <c r="RJ476" s="5"/>
      <c r="RK476" s="6"/>
      <c r="RL476" s="4"/>
      <c r="RM476" s="4"/>
      <c r="RN476" s="4"/>
      <c r="RO476" s="4"/>
      <c r="RP476" s="4"/>
      <c r="RQ476" s="5"/>
      <c r="RR476" s="6"/>
      <c r="RS476" s="4"/>
      <c r="RT476" s="4"/>
      <c r="RU476" s="4"/>
      <c r="RV476" s="4"/>
      <c r="RW476" s="4"/>
      <c r="RX476" s="5"/>
      <c r="RY476" s="6"/>
      <c r="RZ476" s="4"/>
      <c r="SA476" s="4"/>
      <c r="SB476" s="4"/>
      <c r="SC476" s="4"/>
      <c r="SD476" s="4"/>
      <c r="SE476" s="5"/>
      <c r="SF476" s="6"/>
      <c r="SG476" s="4"/>
      <c r="SH476" s="4"/>
      <c r="SI476" s="4"/>
      <c r="SJ476" s="4"/>
      <c r="SK476" s="4"/>
      <c r="SL476" s="5"/>
      <c r="SM476" s="6"/>
      <c r="SN476" s="4"/>
      <c r="SO476" s="4"/>
      <c r="SP476" s="4"/>
      <c r="SQ476" s="4"/>
      <c r="SR476" s="4"/>
      <c r="SS476" s="5"/>
      <c r="ST476" s="6"/>
      <c r="SU476" s="4"/>
      <c r="SV476" s="4"/>
      <c r="SW476" s="4"/>
      <c r="SX476" s="4"/>
      <c r="SY476" s="4"/>
      <c r="SZ476" s="5"/>
      <c r="TA476" s="6"/>
      <c r="TB476" s="4"/>
      <c r="TC476" s="4"/>
      <c r="TD476" s="4"/>
      <c r="TE476" s="4"/>
      <c r="TF476" s="4"/>
      <c r="TG476" s="5"/>
      <c r="TH476" s="6"/>
      <c r="TI476" s="4"/>
      <c r="TJ476" s="4"/>
      <c r="TK476" s="4"/>
      <c r="TL476" s="4"/>
      <c r="TM476" s="4"/>
      <c r="TN476" s="5"/>
      <c r="TO476" s="6"/>
      <c r="TP476" s="4"/>
      <c r="TQ476" s="4"/>
      <c r="TR476" s="4"/>
      <c r="TS476" s="4"/>
      <c r="TT476" s="4"/>
      <c r="TU476" s="5"/>
      <c r="TV476" s="6"/>
      <c r="TW476" s="4"/>
      <c r="TY476" s="8"/>
      <c r="TZ476" s="8"/>
      <c r="UA476" s="8"/>
      <c r="UB476" s="5"/>
      <c r="UC476" s="6"/>
      <c r="UD476" s="4"/>
      <c r="UE476" s="4"/>
      <c r="UF476" s="4"/>
      <c r="UG476" s="4"/>
      <c r="UH476" s="4"/>
      <c r="UI476" s="5"/>
      <c r="UJ476" s="6"/>
      <c r="UK476" s="4"/>
      <c r="UL476" s="4"/>
      <c r="UM476" s="4"/>
      <c r="UN476" s="4"/>
      <c r="UO476" s="4"/>
      <c r="UP476" s="5"/>
      <c r="UQ476" s="6"/>
      <c r="UR476" s="4"/>
      <c r="US476" s="4"/>
      <c r="UT476" s="4"/>
      <c r="UU476" s="4"/>
      <c r="UV476" s="4"/>
      <c r="UW476" s="5"/>
      <c r="UX476" s="6"/>
      <c r="UY476" s="4"/>
      <c r="UZ476" s="4"/>
      <c r="VA476" s="4"/>
      <c r="VB476" s="4"/>
      <c r="VC476" s="4"/>
      <c r="VD476" s="5"/>
      <c r="VE476" s="6"/>
      <c r="VF476" s="4"/>
      <c r="VG476" s="4"/>
      <c r="VH476" s="4"/>
      <c r="VI476" s="4"/>
      <c r="VJ476" s="4"/>
      <c r="VK476" s="5"/>
      <c r="VL476" s="6"/>
      <c r="VM476" s="4"/>
      <c r="VN476" s="4"/>
      <c r="VO476" s="4"/>
      <c r="VP476" s="4"/>
      <c r="VQ476" s="4"/>
      <c r="VR476" s="5"/>
      <c r="VS476" s="6"/>
      <c r="VT476" s="4"/>
      <c r="VU476" s="4"/>
      <c r="VV476" s="4"/>
      <c r="VW476" s="4"/>
      <c r="VX476" s="4"/>
      <c r="VY476" s="5"/>
      <c r="VZ476" s="6"/>
      <c r="WA476" s="4"/>
      <c r="WB476" s="4"/>
      <c r="WC476" s="4"/>
      <c r="WD476" s="4"/>
      <c r="WE476" s="4"/>
      <c r="WF476" s="5"/>
      <c r="WG476" s="4"/>
      <c r="WH476" s="4"/>
      <c r="WI476" s="4"/>
      <c r="WJ476" s="4"/>
      <c r="WK476" s="4"/>
      <c r="WL476" s="4"/>
      <c r="WM476" s="5"/>
      <c r="WN476" s="6"/>
      <c r="WO476" s="4"/>
      <c r="WP476" s="4"/>
      <c r="WQ476" s="4"/>
      <c r="WR476" s="4"/>
      <c r="WS476" s="4"/>
      <c r="WT476" s="5"/>
      <c r="WU476" s="6"/>
      <c r="WV476" s="4"/>
      <c r="WW476" s="4"/>
      <c r="WX476" s="4"/>
      <c r="WY476" s="4"/>
      <c r="WZ476" s="4"/>
      <c r="XA476" s="5"/>
      <c r="XB476" s="6"/>
      <c r="XC476" s="4"/>
      <c r="XD476" s="4"/>
      <c r="XE476" s="4"/>
      <c r="XF476" s="4"/>
      <c r="XG476" s="4"/>
      <c r="XH476" s="5"/>
      <c r="XI476" s="4"/>
      <c r="XJ476" s="4"/>
      <c r="XK476" s="4"/>
      <c r="XL476" s="4"/>
      <c r="XM476" s="4"/>
      <c r="XN476" s="4"/>
      <c r="XO476" s="5"/>
      <c r="XP476" s="6"/>
      <c r="XQ476" s="4"/>
      <c r="XR476" s="4"/>
      <c r="XS476" s="4"/>
      <c r="XT476" s="4"/>
      <c r="XU476" s="4"/>
      <c r="XV476" s="5"/>
      <c r="XW476" s="6"/>
      <c r="XX476" s="4"/>
      <c r="XY476" s="4"/>
      <c r="XZ476" s="4"/>
      <c r="YA476" s="4"/>
      <c r="YB476" s="4"/>
      <c r="YC476" s="5"/>
      <c r="YD476" s="6"/>
      <c r="YE476" s="4"/>
      <c r="YF476" s="4"/>
      <c r="YG476" s="4"/>
      <c r="YH476" s="4"/>
      <c r="YI476" s="4"/>
      <c r="YJ476" s="5"/>
      <c r="YK476" s="6" t="s">
        <v>2251</v>
      </c>
      <c r="YL476" s="4" t="s">
        <v>1382</v>
      </c>
      <c r="YM476" s="4"/>
      <c r="YN476" s="7" t="s">
        <v>848</v>
      </c>
      <c r="YO476" s="9">
        <v>39330</v>
      </c>
      <c r="YP476" s="8">
        <v>39336</v>
      </c>
      <c r="YQ476" s="5"/>
      <c r="YR476" s="6"/>
      <c r="YS476" s="4"/>
      <c r="YT476" s="4"/>
      <c r="YU476" s="4"/>
      <c r="YV476" s="4"/>
      <c r="YW476" s="4"/>
      <c r="YX476" s="5"/>
      <c r="YY476" s="6"/>
      <c r="YZ476" s="4"/>
      <c r="ZA476" s="4"/>
      <c r="ZB476" s="4"/>
      <c r="ZC476" s="4"/>
      <c r="ZD476" s="4"/>
      <c r="ZE476" s="5"/>
      <c r="ZF476" s="6"/>
      <c r="ZG476" s="4"/>
      <c r="ZH476" s="4"/>
      <c r="ZI476" s="4"/>
      <c r="ZJ476" s="4"/>
      <c r="ZK476" s="4"/>
      <c r="ZL476" s="5"/>
      <c r="ZM476" s="6"/>
      <c r="ZN476" s="4"/>
      <c r="ZO476" s="4"/>
      <c r="ZP476" s="4"/>
      <c r="ZQ476" s="4"/>
      <c r="ZR476" s="4"/>
      <c r="ZS476" s="5"/>
      <c r="ZT476" s="6"/>
      <c r="ZU476" s="4"/>
      <c r="ZV476" s="4"/>
      <c r="ZW476" s="4"/>
      <c r="ZX476" s="4"/>
      <c r="ZY476" s="4"/>
      <c r="ZZ476" s="5"/>
      <c r="AAA476" s="6"/>
      <c r="AAB476" s="4"/>
      <c r="AAC476" s="4"/>
      <c r="AAD476" s="4"/>
      <c r="AAE476" s="4"/>
      <c r="AAF476" s="4"/>
      <c r="AAG476" s="5"/>
      <c r="AAH476" s="6" t="s">
        <v>3137</v>
      </c>
      <c r="AAI476" s="4" t="s">
        <v>3138</v>
      </c>
      <c r="AAJ476" s="4" t="s">
        <v>1136</v>
      </c>
      <c r="AAK476" s="7" t="s">
        <v>1133</v>
      </c>
      <c r="AAL476" s="8">
        <v>39345</v>
      </c>
      <c r="AAM476" s="8">
        <v>39345</v>
      </c>
      <c r="AAN476" s="5"/>
      <c r="AAO476" s="6"/>
      <c r="AAP476" s="4"/>
      <c r="AAQ476" s="4"/>
      <c r="AAR476" s="4"/>
      <c r="AAS476" s="4"/>
      <c r="AAT476" s="4"/>
      <c r="AAU476" s="5"/>
      <c r="AAV476" s="6"/>
      <c r="AAW476" s="4"/>
      <c r="AAX476" s="4"/>
      <c r="AAY476" s="4"/>
      <c r="AAZ476" s="4"/>
      <c r="ABA476" s="4"/>
      <c r="ABB476" s="5"/>
      <c r="ABC476" s="6"/>
      <c r="ABD476" s="4"/>
      <c r="ABE476" s="4"/>
      <c r="ABF476" s="4"/>
      <c r="ABG476" s="4"/>
      <c r="ABH476" s="4"/>
      <c r="ABI476" s="5"/>
      <c r="ABJ476" s="6"/>
      <c r="ABK476" s="4"/>
      <c r="ABL476" s="4"/>
      <c r="ABM476" s="4"/>
      <c r="ABN476" s="4"/>
      <c r="ABO476" s="4"/>
      <c r="ABP476" s="5"/>
      <c r="ABQ476" s="6"/>
      <c r="ABR476" s="4"/>
      <c r="ABS476" s="4"/>
      <c r="ABT476" s="4"/>
      <c r="ABU476" s="4"/>
      <c r="ABV476" s="4"/>
      <c r="ABW476" s="5"/>
      <c r="ABX476" s="6"/>
      <c r="ABY476" s="4"/>
      <c r="ABZ476" s="4"/>
      <c r="ACA476" s="4"/>
      <c r="ACB476" s="4"/>
      <c r="ACC476" s="4"/>
      <c r="ACD476" s="5"/>
      <c r="ACE476" s="6"/>
      <c r="ACF476" s="4"/>
      <c r="ACG476" s="4"/>
      <c r="ACH476" s="4"/>
      <c r="ACI476" s="4"/>
      <c r="ACJ476" s="4"/>
      <c r="ACK476" s="5"/>
      <c r="ACL476" s="6"/>
      <c r="ACM476" s="4"/>
      <c r="ACN476" s="4"/>
      <c r="ACO476" s="4"/>
      <c r="ACP476" s="4"/>
      <c r="ACQ476" s="4"/>
      <c r="ACR476" s="5"/>
      <c r="ACS476" s="6"/>
      <c r="ACT476" s="4"/>
      <c r="ACU476" s="4"/>
      <c r="ACV476" s="4"/>
      <c r="ACW476" s="4"/>
      <c r="ACX476" s="4"/>
      <c r="ACY476" s="5"/>
    </row>
    <row r="477" spans="2:805" x14ac:dyDescent="0.25">
      <c r="B477" s="30"/>
      <c r="J477" s="19"/>
      <c r="K477" s="19"/>
      <c r="L477" s="19"/>
      <c r="LL477" s="6"/>
      <c r="LM477" s="4"/>
      <c r="LN477" s="4"/>
      <c r="LO477" s="4"/>
      <c r="LP477" s="4"/>
      <c r="LQ477" s="4"/>
      <c r="LR477" s="5"/>
      <c r="LS477" s="6"/>
      <c r="LT477" s="4"/>
      <c r="LU477" s="4"/>
      <c r="LV477" s="4"/>
      <c r="LW477" s="4"/>
      <c r="LX477" s="4"/>
      <c r="LY477" s="5"/>
      <c r="LZ477" s="6" t="s">
        <v>3102</v>
      </c>
      <c r="MA477" s="7" t="s">
        <v>3103</v>
      </c>
      <c r="MB477" s="7" t="s">
        <v>1138</v>
      </c>
      <c r="MC477" s="7" t="s">
        <v>1052</v>
      </c>
      <c r="MD477" s="8">
        <v>39337</v>
      </c>
      <c r="ME477" s="8">
        <v>39338</v>
      </c>
      <c r="MF477" s="4"/>
      <c r="MG477" s="5"/>
      <c r="MH477" s="6"/>
      <c r="MI477" s="4"/>
      <c r="MJ477" s="4"/>
      <c r="MK477" s="4"/>
      <c r="ML477" s="4"/>
      <c r="MM477" s="4"/>
      <c r="MN477" s="5"/>
      <c r="MO477" s="6"/>
      <c r="MP477" s="4"/>
      <c r="MQ477" s="4"/>
      <c r="MR477" s="4"/>
      <c r="MS477" s="4"/>
      <c r="MT477" s="4"/>
      <c r="MU477" s="5"/>
      <c r="MV477" s="6"/>
      <c r="MW477" s="4"/>
      <c r="MX477" s="4"/>
      <c r="MY477" s="4"/>
      <c r="MZ477" s="4"/>
      <c r="NA477" s="4"/>
      <c r="NB477" s="5"/>
      <c r="NC477" s="6" t="s">
        <v>1239</v>
      </c>
      <c r="ND477" s="4"/>
      <c r="NE477" s="4"/>
      <c r="NF477" s="4"/>
      <c r="NG477" s="4"/>
      <c r="NH477" s="4"/>
      <c r="NI477" s="5"/>
      <c r="NJ477" s="6"/>
      <c r="NK477" s="4"/>
      <c r="NL477" s="4"/>
      <c r="NM477" s="4"/>
      <c r="NN477" s="4"/>
      <c r="NO477" s="4"/>
      <c r="NP477" s="5"/>
      <c r="NQ477" s="6"/>
      <c r="NR477" s="4"/>
      <c r="NS477" s="4"/>
      <c r="NT477" s="4"/>
      <c r="NU477" s="4"/>
      <c r="NV477" s="4"/>
      <c r="NW477" s="5"/>
      <c r="NX477" s="6"/>
      <c r="NY477" s="4"/>
      <c r="NZ477" s="4"/>
      <c r="OA477" s="4"/>
      <c r="OB477" s="4"/>
      <c r="OC477" s="4"/>
      <c r="OD477" s="5"/>
      <c r="OE477" s="6"/>
      <c r="OF477" s="4"/>
      <c r="OG477" s="4"/>
      <c r="OH477" s="4"/>
      <c r="OI477" s="4"/>
      <c r="OJ477" s="4"/>
      <c r="OK477" s="5"/>
      <c r="OL477" s="6"/>
      <c r="OM477" s="4"/>
      <c r="ON477" s="4"/>
      <c r="OO477" s="4"/>
      <c r="OP477" s="4"/>
      <c r="OQ477" s="4"/>
      <c r="OR477" s="5"/>
      <c r="OS477" s="6"/>
      <c r="OT477" s="4"/>
      <c r="OU477" s="4"/>
      <c r="OV477" s="4"/>
      <c r="OW477" s="4"/>
      <c r="OX477" s="4"/>
      <c r="OY477" s="5"/>
      <c r="OZ477" s="6"/>
      <c r="PA477" s="4"/>
      <c r="PB477" s="4"/>
      <c r="PC477" s="4"/>
      <c r="PD477" s="4"/>
      <c r="PE477" s="4"/>
      <c r="PF477" s="5"/>
      <c r="PG477" s="6"/>
      <c r="PH477" s="4"/>
      <c r="PI477" s="4"/>
      <c r="PJ477" s="4"/>
      <c r="PK477" s="4"/>
      <c r="PL477" s="4"/>
      <c r="PM477" s="5"/>
      <c r="PN477" s="6"/>
      <c r="PO477" s="4"/>
      <c r="PP477" s="4"/>
      <c r="PQ477" s="4"/>
      <c r="PR477" s="4"/>
      <c r="PS477" s="4"/>
      <c r="PT477" s="5"/>
      <c r="PU477" s="6"/>
      <c r="PV477" s="4"/>
      <c r="PW477" s="4"/>
      <c r="PX477" s="4"/>
      <c r="PY477" s="4"/>
      <c r="PZ477" s="4"/>
      <c r="QA477" s="5"/>
      <c r="QB477" s="6" t="s">
        <v>2399</v>
      </c>
      <c r="QC477" s="4" t="s">
        <v>3915</v>
      </c>
      <c r="QD477" s="7" t="s">
        <v>1294</v>
      </c>
      <c r="QE477" s="7"/>
      <c r="QF477" s="8">
        <v>39326</v>
      </c>
      <c r="QG477" s="8"/>
      <c r="QH477" s="5" t="s">
        <v>1295</v>
      </c>
      <c r="QI477" s="6"/>
      <c r="QJ477" s="4"/>
      <c r="QK477" s="4"/>
      <c r="QL477" s="4"/>
      <c r="QM477" s="4"/>
      <c r="QN477" s="4"/>
      <c r="QO477" s="5"/>
      <c r="QP477" s="6"/>
      <c r="QQ477" s="4"/>
      <c r="QR477" s="4"/>
      <c r="QS477" s="4"/>
      <c r="QT477" s="4"/>
      <c r="QU477" s="4"/>
      <c r="QV477" s="5"/>
      <c r="QW477" s="6"/>
      <c r="QX477" s="4"/>
      <c r="QY477" s="4"/>
      <c r="QZ477" s="4"/>
      <c r="RA477" s="4"/>
      <c r="RB477" s="4"/>
      <c r="RC477" s="5"/>
      <c r="RD477" s="6"/>
      <c r="RE477" s="4"/>
      <c r="RF477" s="4"/>
      <c r="RG477" s="4"/>
      <c r="RH477" s="4"/>
      <c r="RI477" s="4"/>
      <c r="RJ477" s="5"/>
      <c r="RK477" s="6"/>
      <c r="RL477" s="4"/>
      <c r="RM477" s="4"/>
      <c r="RN477" s="4"/>
      <c r="RO477" s="4"/>
      <c r="RP477" s="4"/>
      <c r="RQ477" s="5"/>
      <c r="RR477" s="6"/>
      <c r="RS477" s="4"/>
      <c r="RT477" s="4"/>
      <c r="RU477" s="4"/>
      <c r="RV477" s="4"/>
      <c r="RW477" s="4"/>
      <c r="RX477" s="5"/>
      <c r="RY477" s="6"/>
      <c r="RZ477" s="4"/>
      <c r="SA477" s="4"/>
      <c r="SB477" s="4"/>
      <c r="SC477" s="4"/>
      <c r="SD477" s="4"/>
      <c r="SE477" s="5"/>
      <c r="SF477" s="6"/>
      <c r="SG477" s="4"/>
      <c r="SH477" s="4"/>
      <c r="SI477" s="4"/>
      <c r="SJ477" s="4"/>
      <c r="SK477" s="4"/>
      <c r="SL477" s="5"/>
      <c r="SM477" s="6"/>
      <c r="SN477" s="4"/>
      <c r="SO477" s="4"/>
      <c r="SP477" s="4"/>
      <c r="SQ477" s="4"/>
      <c r="SR477" s="4"/>
      <c r="SS477" s="5"/>
      <c r="ST477" s="6"/>
      <c r="SU477" s="4"/>
      <c r="SV477" s="4"/>
      <c r="SW477" s="4"/>
      <c r="SX477" s="4"/>
      <c r="SY477" s="4"/>
      <c r="SZ477" s="5"/>
      <c r="TA477" s="6"/>
      <c r="TB477" s="4"/>
      <c r="TC477" s="4"/>
      <c r="TD477" s="4"/>
      <c r="TE477" s="4"/>
      <c r="TF477" s="4"/>
      <c r="TG477" s="5"/>
      <c r="TH477" s="6"/>
      <c r="TI477" s="4"/>
      <c r="TJ477" s="4"/>
      <c r="TK477" s="4"/>
      <c r="TL477" s="4"/>
      <c r="TM477" s="4"/>
      <c r="TN477" s="5"/>
      <c r="TO477" s="6"/>
      <c r="TP477" s="4"/>
      <c r="TQ477" s="4"/>
      <c r="TR477" s="4"/>
      <c r="TS477" s="4"/>
      <c r="TT477" s="4"/>
      <c r="TU477" s="5"/>
      <c r="TV477" s="6"/>
      <c r="TW477" s="4"/>
      <c r="TY477" s="8"/>
      <c r="TZ477" s="8"/>
      <c r="UA477" s="8"/>
      <c r="UB477" s="5"/>
      <c r="UC477" s="6"/>
      <c r="UD477" s="4"/>
      <c r="UE477" s="4"/>
      <c r="UF477" s="4"/>
      <c r="UG477" s="4"/>
      <c r="UH477" s="4"/>
      <c r="UI477" s="5"/>
      <c r="UJ477" s="6"/>
      <c r="UK477" s="4"/>
      <c r="UL477" s="4"/>
      <c r="UM477" s="4"/>
      <c r="UN477" s="4"/>
      <c r="UO477" s="4"/>
      <c r="UP477" s="5"/>
      <c r="UQ477" s="6"/>
      <c r="UR477" s="4"/>
      <c r="US477" s="4"/>
      <c r="UT477" s="4"/>
      <c r="UU477" s="4"/>
      <c r="UV477" s="4"/>
      <c r="UW477" s="5"/>
      <c r="UX477" s="6"/>
      <c r="UY477" s="4"/>
      <c r="UZ477" s="4"/>
      <c r="VA477" s="4"/>
      <c r="VB477" s="4"/>
      <c r="VC477" s="4"/>
      <c r="VD477" s="5"/>
      <c r="VE477" s="6"/>
      <c r="VF477" s="4"/>
      <c r="VG477" s="4"/>
      <c r="VH477" s="4"/>
      <c r="VI477" s="4"/>
      <c r="VJ477" s="4"/>
      <c r="VK477" s="5"/>
      <c r="VL477" s="6"/>
      <c r="VM477" s="4"/>
      <c r="VN477" s="4"/>
      <c r="VO477" s="4"/>
      <c r="VP477" s="4"/>
      <c r="VQ477" s="4"/>
      <c r="VR477" s="5"/>
      <c r="VS477" s="6"/>
      <c r="VT477" s="4"/>
      <c r="VU477" s="4"/>
      <c r="VV477" s="4"/>
      <c r="VW477" s="4"/>
      <c r="VX477" s="4"/>
      <c r="VY477" s="5"/>
      <c r="VZ477" s="6"/>
      <c r="WA477" s="4"/>
      <c r="WB477" s="4"/>
      <c r="WC477" s="4"/>
      <c r="WD477" s="4"/>
      <c r="WE477" s="4"/>
      <c r="WF477" s="5"/>
      <c r="WG477" s="4"/>
      <c r="WH477" s="4"/>
      <c r="WI477" s="4"/>
      <c r="WJ477" s="4"/>
      <c r="WK477" s="4"/>
      <c r="WL477" s="4"/>
      <c r="WM477" s="5"/>
      <c r="WN477" s="6"/>
      <c r="WO477" s="4"/>
      <c r="WP477" s="4"/>
      <c r="WQ477" s="4"/>
      <c r="WR477" s="4"/>
      <c r="WS477" s="4"/>
      <c r="WT477" s="5"/>
      <c r="WU477" s="6"/>
      <c r="WV477" s="4"/>
      <c r="WW477" s="4"/>
      <c r="WX477" s="4"/>
      <c r="WY477" s="4"/>
      <c r="WZ477" s="4"/>
      <c r="XA477" s="5"/>
      <c r="XB477" s="6"/>
      <c r="XC477" s="4"/>
      <c r="XD477" s="4"/>
      <c r="XE477" s="4"/>
      <c r="XF477" s="4"/>
      <c r="XG477" s="4"/>
      <c r="XH477" s="5"/>
      <c r="XI477" s="4"/>
      <c r="XJ477" s="4"/>
      <c r="XK477" s="4"/>
      <c r="XL477" s="4"/>
      <c r="XM477" s="4"/>
      <c r="XN477" s="4"/>
      <c r="XO477" s="5"/>
      <c r="XP477" s="6"/>
      <c r="XQ477" s="4"/>
      <c r="XR477" s="4"/>
      <c r="XS477" s="4"/>
      <c r="XT477" s="4"/>
      <c r="XU477" s="4"/>
      <c r="XV477" s="5"/>
      <c r="XW477" s="6"/>
      <c r="XX477" s="4"/>
      <c r="XY477" s="4"/>
      <c r="XZ477" s="4"/>
      <c r="YA477" s="4"/>
      <c r="YB477" s="4"/>
      <c r="YC477" s="5"/>
      <c r="YD477" s="6"/>
      <c r="YE477" s="4"/>
      <c r="YF477" s="4"/>
      <c r="YG477" s="4"/>
      <c r="YH477" s="4"/>
      <c r="YI477" s="4"/>
      <c r="YJ477" s="5"/>
      <c r="YK477" s="6" t="s">
        <v>2251</v>
      </c>
      <c r="YL477" s="4" t="s">
        <v>1382</v>
      </c>
      <c r="YM477" s="4"/>
      <c r="YN477" s="7" t="s">
        <v>988</v>
      </c>
      <c r="YO477" s="9">
        <v>39339</v>
      </c>
      <c r="YP477" s="8">
        <v>39341</v>
      </c>
      <c r="YQ477" s="5"/>
      <c r="YR477" s="6"/>
      <c r="YS477" s="4"/>
      <c r="YT477" s="4"/>
      <c r="YU477" s="4"/>
      <c r="YV477" s="4"/>
      <c r="YW477" s="4"/>
      <c r="YX477" s="5"/>
      <c r="YY477" s="6"/>
      <c r="YZ477" s="4"/>
      <c r="ZA477" s="4"/>
      <c r="ZB477" s="4"/>
      <c r="ZC477" s="4"/>
      <c r="ZD477" s="4"/>
      <c r="ZE477" s="5"/>
      <c r="ZF477" s="6"/>
      <c r="ZG477" s="4"/>
      <c r="ZH477" s="4"/>
      <c r="ZI477" s="4"/>
      <c r="ZJ477" s="4"/>
      <c r="ZK477" s="4"/>
      <c r="ZL477" s="5"/>
      <c r="ZM477" s="6"/>
      <c r="ZN477" s="4"/>
      <c r="ZO477" s="4"/>
      <c r="ZP477" s="4"/>
      <c r="ZQ477" s="4"/>
      <c r="ZR477" s="4"/>
      <c r="ZS477" s="5"/>
      <c r="ZT477" s="6"/>
      <c r="ZU477" s="4"/>
      <c r="ZV477" s="4"/>
      <c r="ZW477" s="4"/>
      <c r="ZX477" s="4"/>
      <c r="ZY477" s="4"/>
      <c r="ZZ477" s="5"/>
      <c r="AAA477" s="6"/>
      <c r="AAB477" s="4"/>
      <c r="AAC477" s="4"/>
      <c r="AAD477" s="4"/>
      <c r="AAE477" s="4"/>
      <c r="AAF477" s="4"/>
      <c r="AAG477" s="5"/>
      <c r="AAH477" s="6"/>
      <c r="AAI477" s="4"/>
      <c r="AAJ477" s="4"/>
      <c r="AAK477" s="4"/>
      <c r="AAL477" s="4"/>
      <c r="AAM477" s="4"/>
      <c r="AAN477" s="5"/>
      <c r="AAO477" s="6"/>
      <c r="AAP477" s="4"/>
      <c r="AAQ477" s="4"/>
      <c r="AAR477" s="4"/>
      <c r="AAS477" s="4"/>
      <c r="AAT477" s="4"/>
      <c r="AAU477" s="5"/>
      <c r="AAV477" s="6"/>
      <c r="AAW477" s="4"/>
      <c r="AAX477" s="4"/>
      <c r="AAY477" s="4"/>
      <c r="AAZ477" s="4"/>
      <c r="ABA477" s="4"/>
      <c r="ABB477" s="5"/>
      <c r="ABC477" s="6"/>
      <c r="ABD477" s="4"/>
      <c r="ABE477" s="4"/>
      <c r="ABF477" s="4"/>
      <c r="ABG477" s="4"/>
      <c r="ABH477" s="4"/>
      <c r="ABI477" s="5"/>
      <c r="ABJ477" s="6"/>
      <c r="ABK477" s="4"/>
      <c r="ABL477" s="4"/>
      <c r="ABM477" s="4"/>
      <c r="ABN477" s="4"/>
      <c r="ABO477" s="4"/>
      <c r="ABP477" s="5"/>
      <c r="ABQ477" s="6"/>
      <c r="ABR477" s="4"/>
      <c r="ABS477" s="4"/>
      <c r="ABT477" s="4"/>
      <c r="ABU477" s="4"/>
      <c r="ABV477" s="4"/>
      <c r="ABW477" s="5"/>
      <c r="ABX477" s="6"/>
      <c r="ABY477" s="4"/>
      <c r="ABZ477" s="4"/>
      <c r="ACA477" s="4"/>
      <c r="ACB477" s="4"/>
      <c r="ACC477" s="4"/>
      <c r="ACD477" s="5"/>
      <c r="ACE477" s="6"/>
      <c r="ACF477" s="4"/>
      <c r="ACG477" s="4"/>
      <c r="ACH477" s="4"/>
      <c r="ACI477" s="4"/>
      <c r="ACJ477" s="4"/>
      <c r="ACK477" s="5"/>
      <c r="ACL477" s="6"/>
      <c r="ACM477" s="4"/>
      <c r="ACN477" s="4"/>
      <c r="ACO477" s="4"/>
      <c r="ACP477" s="4"/>
      <c r="ACQ477" s="4"/>
      <c r="ACR477" s="5"/>
      <c r="ACS477" s="6"/>
      <c r="ACT477" s="4"/>
      <c r="ACU477" s="4"/>
      <c r="ACV477" s="4"/>
      <c r="ACW477" s="4"/>
      <c r="ACX477" s="4"/>
      <c r="ACY477" s="5"/>
    </row>
    <row r="478" spans="2:805" x14ac:dyDescent="0.25">
      <c r="B478" s="30"/>
      <c r="J478" s="19"/>
      <c r="K478" s="19"/>
      <c r="L478" s="19"/>
      <c r="LL478" s="6"/>
      <c r="LM478" s="4"/>
      <c r="LN478" s="4"/>
      <c r="LO478" s="4"/>
      <c r="LP478" s="4"/>
      <c r="LQ478" s="4"/>
      <c r="LR478" s="5"/>
      <c r="LS478" s="6"/>
      <c r="LT478" s="4"/>
      <c r="LU478" s="4"/>
      <c r="LV478" s="4"/>
      <c r="LW478" s="4"/>
      <c r="LX478" s="4"/>
      <c r="LY478" s="5"/>
      <c r="LZ478" s="6" t="s">
        <v>3234</v>
      </c>
      <c r="MA478" s="7" t="s">
        <v>3235</v>
      </c>
      <c r="MB478" s="7"/>
      <c r="MC478" s="7" t="s">
        <v>1206</v>
      </c>
      <c r="MD478" s="8">
        <v>39327</v>
      </c>
      <c r="ME478" s="8">
        <v>39327</v>
      </c>
      <c r="MF478" s="4"/>
      <c r="MG478" s="5" t="s">
        <v>1203</v>
      </c>
      <c r="MH478" s="6"/>
      <c r="MI478" s="4"/>
      <c r="MJ478" s="4"/>
      <c r="MK478" s="4"/>
      <c r="ML478" s="4"/>
      <c r="MM478" s="4"/>
      <c r="MN478" s="5"/>
      <c r="MO478" s="6"/>
      <c r="MP478" s="4"/>
      <c r="MQ478" s="4"/>
      <c r="MR478" s="4"/>
      <c r="MS478" s="4"/>
      <c r="MT478" s="4"/>
      <c r="MU478" s="5"/>
      <c r="MV478" s="6"/>
      <c r="MW478" s="4"/>
      <c r="MX478" s="4"/>
      <c r="MY478" s="4"/>
      <c r="MZ478" s="4"/>
      <c r="NA478" s="4"/>
      <c r="NB478" s="5"/>
      <c r="NC478" s="6"/>
      <c r="ND478" s="4"/>
      <c r="NE478" s="4"/>
      <c r="NF478" s="4"/>
      <c r="NG478" s="4"/>
      <c r="NH478" s="4"/>
      <c r="NI478" s="5"/>
      <c r="NJ478" s="6"/>
      <c r="NK478" s="4"/>
      <c r="NL478" s="4"/>
      <c r="NM478" s="4"/>
      <c r="NN478" s="4"/>
      <c r="NO478" s="4"/>
      <c r="NP478" s="5"/>
      <c r="NQ478" s="6"/>
      <c r="NR478" s="4"/>
      <c r="NS478" s="4"/>
      <c r="NT478" s="4"/>
      <c r="NU478" s="4"/>
      <c r="NV478" s="4"/>
      <c r="NW478" s="5"/>
      <c r="NX478" s="6"/>
      <c r="NY478" s="4"/>
      <c r="NZ478" s="4"/>
      <c r="OA478" s="4"/>
      <c r="OB478" s="4"/>
      <c r="OC478" s="4"/>
      <c r="OD478" s="5"/>
      <c r="OE478" s="6"/>
      <c r="OF478" s="4"/>
      <c r="OG478" s="4"/>
      <c r="OH478" s="4"/>
      <c r="OI478" s="4"/>
      <c r="OJ478" s="4"/>
      <c r="OK478" s="5"/>
      <c r="OL478" s="6"/>
      <c r="OM478" s="4"/>
      <c r="ON478" s="4"/>
      <c r="OO478" s="4"/>
      <c r="OP478" s="4"/>
      <c r="OQ478" s="4"/>
      <c r="OR478" s="5"/>
      <c r="OS478" s="6"/>
      <c r="OT478" s="4"/>
      <c r="OU478" s="4"/>
      <c r="OV478" s="4"/>
      <c r="OW478" s="4"/>
      <c r="OX478" s="4"/>
      <c r="OY478" s="5"/>
      <c r="OZ478" s="6"/>
      <c r="PA478" s="4"/>
      <c r="PB478" s="4"/>
      <c r="PC478" s="4"/>
      <c r="PD478" s="4"/>
      <c r="PE478" s="4"/>
      <c r="PF478" s="5"/>
      <c r="PG478" s="6"/>
      <c r="PH478" s="4"/>
      <c r="PI478" s="4"/>
      <c r="PJ478" s="4"/>
      <c r="PK478" s="4"/>
      <c r="PL478" s="4"/>
      <c r="PM478" s="5"/>
      <c r="PN478" s="6"/>
      <c r="PO478" s="4"/>
      <c r="PP478" s="4"/>
      <c r="PQ478" s="4"/>
      <c r="PR478" s="4"/>
      <c r="PS478" s="4"/>
      <c r="PT478" s="5"/>
      <c r="PU478" s="6"/>
      <c r="PV478" s="4"/>
      <c r="PW478" s="4"/>
      <c r="PX478" s="4"/>
      <c r="PY478" s="4"/>
      <c r="PZ478" s="4"/>
      <c r="QA478" s="5"/>
      <c r="QB478" s="6" t="s">
        <v>1843</v>
      </c>
      <c r="QC478" s="7" t="s">
        <v>1799</v>
      </c>
      <c r="QD478" s="7" t="s">
        <v>1173</v>
      </c>
      <c r="QE478" s="7" t="s">
        <v>1055</v>
      </c>
      <c r="QF478" s="8">
        <v>39322</v>
      </c>
      <c r="QG478" s="8">
        <v>39322</v>
      </c>
      <c r="QH478" s="5" t="s">
        <v>1212</v>
      </c>
      <c r="QI478" s="6"/>
      <c r="QJ478" s="4"/>
      <c r="QK478" s="4"/>
      <c r="QL478" s="4"/>
      <c r="QM478" s="4"/>
      <c r="QN478" s="4"/>
      <c r="QO478" s="5"/>
      <c r="QP478" s="6"/>
      <c r="QQ478" s="4"/>
      <c r="QR478" s="4"/>
      <c r="QS478" s="4"/>
      <c r="QT478" s="4"/>
      <c r="QU478" s="4"/>
      <c r="QV478" s="5"/>
      <c r="QW478" s="6"/>
      <c r="QX478" s="4"/>
      <c r="QY478" s="4"/>
      <c r="QZ478" s="4"/>
      <c r="RA478" s="4"/>
      <c r="RB478" s="4"/>
      <c r="RC478" s="5"/>
      <c r="RD478" s="6"/>
      <c r="RE478" s="4"/>
      <c r="RF478" s="4"/>
      <c r="RG478" s="4"/>
      <c r="RH478" s="4"/>
      <c r="RI478" s="4"/>
      <c r="RJ478" s="5"/>
      <c r="RK478" s="6"/>
      <c r="RL478" s="4"/>
      <c r="RM478" s="4"/>
      <c r="RN478" s="4"/>
      <c r="RO478" s="4"/>
      <c r="RP478" s="4"/>
      <c r="RQ478" s="5"/>
      <c r="RR478" s="6"/>
      <c r="RS478" s="4"/>
      <c r="RT478" s="4"/>
      <c r="RU478" s="4"/>
      <c r="RV478" s="4"/>
      <c r="RW478" s="4"/>
      <c r="RX478" s="5"/>
      <c r="RY478" s="6"/>
      <c r="RZ478" s="4"/>
      <c r="SA478" s="4"/>
      <c r="SB478" s="4"/>
      <c r="SC478" s="4"/>
      <c r="SD478" s="4"/>
      <c r="SE478" s="5"/>
      <c r="SF478" s="6"/>
      <c r="SG478" s="4"/>
      <c r="SH478" s="4"/>
      <c r="SI478" s="4"/>
      <c r="SJ478" s="4"/>
      <c r="SK478" s="4"/>
      <c r="SL478" s="5"/>
      <c r="SM478" s="6"/>
      <c r="SN478" s="4"/>
      <c r="SO478" s="4"/>
      <c r="SP478" s="4"/>
      <c r="SQ478" s="4"/>
      <c r="SR478" s="4"/>
      <c r="SS478" s="5"/>
      <c r="ST478" s="6"/>
      <c r="SU478" s="4"/>
      <c r="SV478" s="4"/>
      <c r="SW478" s="4"/>
      <c r="SX478" s="4"/>
      <c r="SY478" s="4"/>
      <c r="SZ478" s="5"/>
      <c r="TA478" s="6"/>
      <c r="TB478" s="4"/>
      <c r="TC478" s="4"/>
      <c r="TD478" s="4"/>
      <c r="TE478" s="4"/>
      <c r="TF478" s="4"/>
      <c r="TG478" s="5"/>
      <c r="TH478" s="6"/>
      <c r="TI478" s="4"/>
      <c r="TJ478" s="4"/>
      <c r="TK478" s="4"/>
      <c r="TL478" s="4"/>
      <c r="TM478" s="4"/>
      <c r="TN478" s="5"/>
      <c r="TO478" s="6"/>
      <c r="TP478" s="4"/>
      <c r="TQ478" s="4"/>
      <c r="TR478" s="4"/>
      <c r="TS478" s="4"/>
      <c r="TT478" s="4"/>
      <c r="TU478" s="5"/>
      <c r="TV478" s="6"/>
      <c r="TW478" s="4"/>
      <c r="TY478" s="8"/>
      <c r="TZ478" s="8"/>
      <c r="UA478" s="8"/>
      <c r="UB478" s="5"/>
      <c r="UC478" s="6"/>
      <c r="UD478" s="4"/>
      <c r="UE478" s="4"/>
      <c r="UF478" s="4"/>
      <c r="UG478" s="4"/>
      <c r="UH478" s="4"/>
      <c r="UI478" s="5"/>
      <c r="UJ478" s="6"/>
      <c r="UK478" s="4"/>
      <c r="UL478" s="4"/>
      <c r="UM478" s="4"/>
      <c r="UN478" s="4"/>
      <c r="UO478" s="4"/>
      <c r="UP478" s="5"/>
      <c r="UQ478" s="6"/>
      <c r="UR478" s="4"/>
      <c r="US478" s="4"/>
      <c r="UT478" s="4"/>
      <c r="UU478" s="4"/>
      <c r="UV478" s="4"/>
      <c r="UW478" s="5"/>
      <c r="UX478" s="6"/>
      <c r="UY478" s="4"/>
      <c r="UZ478" s="4"/>
      <c r="VA478" s="4"/>
      <c r="VB478" s="4"/>
      <c r="VC478" s="4"/>
      <c r="VD478" s="5"/>
      <c r="VE478" s="6"/>
      <c r="VF478" s="4"/>
      <c r="VG478" s="4"/>
      <c r="VH478" s="4"/>
      <c r="VI478" s="4"/>
      <c r="VJ478" s="4"/>
      <c r="VK478" s="5"/>
      <c r="VL478" s="6"/>
      <c r="VM478" s="4"/>
      <c r="VN478" s="4"/>
      <c r="VO478" s="4"/>
      <c r="VP478" s="4"/>
      <c r="VQ478" s="4"/>
      <c r="VR478" s="5"/>
      <c r="VS478" s="6"/>
      <c r="VT478" s="4"/>
      <c r="VU478" s="4"/>
      <c r="VV478" s="4"/>
      <c r="VW478" s="4"/>
      <c r="VX478" s="4"/>
      <c r="VY478" s="5"/>
      <c r="VZ478" s="6"/>
      <c r="WA478" s="4"/>
      <c r="WB478" s="4"/>
      <c r="WC478" s="4"/>
      <c r="WD478" s="4"/>
      <c r="WE478" s="4"/>
      <c r="WF478" s="5"/>
      <c r="WG478" s="4"/>
      <c r="WH478" s="4"/>
      <c r="WI478" s="4"/>
      <c r="WJ478" s="4"/>
      <c r="WK478" s="4"/>
      <c r="WL478" s="4"/>
      <c r="WM478" s="5"/>
      <c r="WN478" s="6"/>
      <c r="WO478" s="4"/>
      <c r="WP478" s="4"/>
      <c r="WQ478" s="4"/>
      <c r="WR478" s="4"/>
      <c r="WS478" s="4"/>
      <c r="WT478" s="5"/>
      <c r="WU478" s="6"/>
      <c r="WV478" s="4"/>
      <c r="WW478" s="4"/>
      <c r="WX478" s="4"/>
      <c r="WY478" s="4"/>
      <c r="WZ478" s="4"/>
      <c r="XA478" s="5"/>
      <c r="XB478" s="6"/>
      <c r="XC478" s="4"/>
      <c r="XD478" s="4"/>
      <c r="XE478" s="4"/>
      <c r="XF478" s="4"/>
      <c r="XG478" s="4"/>
      <c r="XH478" s="5"/>
      <c r="XI478" s="4"/>
      <c r="XJ478" s="4"/>
      <c r="XK478" s="4"/>
      <c r="XL478" s="4"/>
      <c r="XM478" s="4"/>
      <c r="XN478" s="4"/>
      <c r="XO478" s="5"/>
      <c r="XP478" s="6"/>
      <c r="XQ478" s="4"/>
      <c r="XR478" s="4"/>
      <c r="XS478" s="4"/>
      <c r="XT478" s="4"/>
      <c r="XU478" s="4"/>
      <c r="XV478" s="5"/>
      <c r="XW478" s="6"/>
      <c r="XX478" s="4"/>
      <c r="XY478" s="4"/>
      <c r="XZ478" s="4"/>
      <c r="YA478" s="4"/>
      <c r="YB478" s="4"/>
      <c r="YC478" s="5"/>
      <c r="YD478" s="6"/>
      <c r="YE478" s="4"/>
      <c r="YF478" s="4"/>
      <c r="YG478" s="4"/>
      <c r="YH478" s="4"/>
      <c r="YI478" s="4"/>
      <c r="YJ478" s="5"/>
      <c r="YK478" s="6" t="s">
        <v>3287</v>
      </c>
      <c r="YL478" s="7" t="s">
        <v>1451</v>
      </c>
      <c r="YM478" s="4"/>
      <c r="YN478" s="7" t="s">
        <v>989</v>
      </c>
      <c r="YO478" s="9">
        <v>39337</v>
      </c>
      <c r="YP478" s="8">
        <v>39345</v>
      </c>
      <c r="YQ478" s="5" t="s">
        <v>846</v>
      </c>
      <c r="YR478" s="6"/>
      <c r="YS478" s="4"/>
      <c r="YT478" s="4"/>
      <c r="YU478" s="4"/>
      <c r="YV478" s="4"/>
      <c r="YW478" s="4"/>
      <c r="YX478" s="5"/>
      <c r="YY478" s="6"/>
      <c r="YZ478" s="4"/>
      <c r="ZA478" s="4"/>
      <c r="ZB478" s="4"/>
      <c r="ZC478" s="4"/>
      <c r="ZD478" s="4"/>
      <c r="ZE478" s="5"/>
      <c r="ZF478" s="6"/>
      <c r="ZG478" s="4"/>
      <c r="ZH478" s="4"/>
      <c r="ZI478" s="4"/>
      <c r="ZJ478" s="4"/>
      <c r="ZK478" s="4"/>
      <c r="ZL478" s="5"/>
      <c r="ZM478" s="6"/>
      <c r="ZN478" s="4"/>
      <c r="ZO478" s="4"/>
      <c r="ZP478" s="4"/>
      <c r="ZQ478" s="4"/>
      <c r="ZR478" s="4"/>
      <c r="ZS478" s="5"/>
      <c r="ZT478" s="6"/>
      <c r="ZU478" s="4"/>
      <c r="ZV478" s="4"/>
      <c r="ZW478" s="4"/>
      <c r="ZX478" s="4"/>
      <c r="ZY478" s="4"/>
      <c r="ZZ478" s="5"/>
      <c r="AAA478" s="6"/>
      <c r="AAB478" s="4"/>
      <c r="AAC478" s="4"/>
      <c r="AAD478" s="4"/>
      <c r="AAE478" s="4"/>
      <c r="AAF478" s="4"/>
      <c r="AAG478" s="5"/>
      <c r="AAH478" s="6"/>
      <c r="AAI478" s="4"/>
      <c r="AAJ478" s="4"/>
      <c r="AAK478" s="4"/>
      <c r="AAL478" s="4"/>
      <c r="AAM478" s="4"/>
      <c r="AAN478" s="5"/>
      <c r="AAO478" s="6"/>
      <c r="AAP478" s="4"/>
      <c r="AAQ478" s="4"/>
      <c r="AAR478" s="4"/>
      <c r="AAS478" s="4"/>
      <c r="AAT478" s="4"/>
      <c r="AAU478" s="5"/>
      <c r="AAV478" s="6"/>
      <c r="AAW478" s="4"/>
      <c r="AAX478" s="4"/>
      <c r="AAY478" s="4"/>
      <c r="AAZ478" s="4"/>
      <c r="ABA478" s="4"/>
      <c r="ABB478" s="5"/>
      <c r="ABC478" s="6"/>
      <c r="ABD478" s="4"/>
      <c r="ABE478" s="4"/>
      <c r="ABF478" s="4"/>
      <c r="ABG478" s="4"/>
      <c r="ABH478" s="4"/>
      <c r="ABI478" s="5"/>
      <c r="ABJ478" s="6"/>
      <c r="ABK478" s="4"/>
      <c r="ABL478" s="4"/>
      <c r="ABM478" s="4"/>
      <c r="ABN478" s="4"/>
      <c r="ABO478" s="4"/>
      <c r="ABP478" s="5"/>
      <c r="ABQ478" s="6"/>
      <c r="ABR478" s="4"/>
      <c r="ABS478" s="4"/>
      <c r="ABT478" s="4"/>
      <c r="ABU478" s="4"/>
      <c r="ABV478" s="4"/>
      <c r="ABW478" s="5"/>
      <c r="ABX478" s="6"/>
      <c r="ABY478" s="4"/>
      <c r="ABZ478" s="4"/>
      <c r="ACA478" s="4"/>
      <c r="ACB478" s="4"/>
      <c r="ACC478" s="4"/>
      <c r="ACD478" s="5"/>
      <c r="ACE478" s="6"/>
      <c r="ACF478" s="4"/>
      <c r="ACG478" s="4"/>
      <c r="ACH478" s="4"/>
      <c r="ACI478" s="4"/>
      <c r="ACJ478" s="4"/>
      <c r="ACK478" s="5"/>
      <c r="ACL478" s="6"/>
      <c r="ACM478" s="4"/>
      <c r="ACN478" s="4"/>
      <c r="ACO478" s="4"/>
      <c r="ACP478" s="4"/>
      <c r="ACQ478" s="4"/>
      <c r="ACR478" s="5"/>
      <c r="ACS478" s="6"/>
      <c r="ACT478" s="4"/>
      <c r="ACU478" s="4"/>
      <c r="ACV478" s="4"/>
      <c r="ACW478" s="4"/>
      <c r="ACX478" s="4"/>
      <c r="ACY478" s="5"/>
    </row>
    <row r="479" spans="2:805" x14ac:dyDescent="0.25">
      <c r="B479" s="30"/>
      <c r="J479" s="19"/>
      <c r="K479" s="19"/>
      <c r="L479" s="19"/>
      <c r="LL479" s="6"/>
      <c r="LM479" s="4"/>
      <c r="LN479" s="4"/>
      <c r="LO479" s="4"/>
      <c r="LP479" s="4"/>
      <c r="LQ479" s="4"/>
      <c r="LR479" s="5"/>
      <c r="LS479" s="6"/>
      <c r="LT479" s="4"/>
      <c r="LU479" s="4"/>
      <c r="LV479" s="4"/>
      <c r="LW479" s="4"/>
      <c r="LX479" s="4"/>
      <c r="LY479" s="5"/>
      <c r="LZ479" s="6" t="s">
        <v>3213</v>
      </c>
      <c r="MA479" s="7" t="s">
        <v>2525</v>
      </c>
      <c r="MB479" s="7" t="s">
        <v>1347</v>
      </c>
      <c r="MC479" s="7" t="s">
        <v>1055</v>
      </c>
      <c r="MD479" s="8">
        <v>39329</v>
      </c>
      <c r="ME479" s="8">
        <v>39329</v>
      </c>
      <c r="MF479" s="4"/>
      <c r="MG479" s="5" t="s">
        <v>1348</v>
      </c>
      <c r="MH479" s="6"/>
      <c r="MI479" s="4"/>
      <c r="MJ479" s="4"/>
      <c r="MK479" s="4"/>
      <c r="ML479" s="4"/>
      <c r="MM479" s="4"/>
      <c r="MN479" s="5"/>
      <c r="MO479" s="6"/>
      <c r="MP479" s="4"/>
      <c r="MQ479" s="4"/>
      <c r="MR479" s="4"/>
      <c r="MS479" s="4"/>
      <c r="MT479" s="4"/>
      <c r="MU479" s="5"/>
      <c r="MV479" s="6"/>
      <c r="MW479" s="4"/>
      <c r="MX479" s="4"/>
      <c r="MY479" s="4"/>
      <c r="MZ479" s="4"/>
      <c r="NA479" s="4"/>
      <c r="NB479" s="5"/>
      <c r="NC479" s="6"/>
      <c r="ND479" s="4"/>
      <c r="NE479" s="4"/>
      <c r="NF479" s="4"/>
      <c r="NG479" s="4"/>
      <c r="NH479" s="4"/>
      <c r="NI479" s="5"/>
      <c r="NJ479" s="6"/>
      <c r="NK479" s="4"/>
      <c r="NL479" s="4"/>
      <c r="NM479" s="4"/>
      <c r="NN479" s="4"/>
      <c r="NO479" s="4"/>
      <c r="NP479" s="5"/>
      <c r="NQ479" s="6"/>
      <c r="NR479" s="4"/>
      <c r="NS479" s="4"/>
      <c r="NT479" s="4"/>
      <c r="NU479" s="4"/>
      <c r="NV479" s="4"/>
      <c r="NW479" s="5"/>
      <c r="NX479" s="6"/>
      <c r="NY479" s="4"/>
      <c r="NZ479" s="4"/>
      <c r="OA479" s="4"/>
      <c r="OB479" s="4"/>
      <c r="OC479" s="4"/>
      <c r="OD479" s="5"/>
      <c r="OE479" s="6"/>
      <c r="OF479" s="4"/>
      <c r="OG479" s="4"/>
      <c r="OH479" s="4"/>
      <c r="OI479" s="4"/>
      <c r="OJ479" s="4"/>
      <c r="OK479" s="5"/>
      <c r="OL479" s="6"/>
      <c r="OM479" s="4"/>
      <c r="ON479" s="4"/>
      <c r="OO479" s="4"/>
      <c r="OP479" s="4"/>
      <c r="OQ479" s="4"/>
      <c r="OR479" s="5"/>
      <c r="OS479" s="6"/>
      <c r="OT479" s="4"/>
      <c r="OU479" s="4"/>
      <c r="OV479" s="4"/>
      <c r="OW479" s="4"/>
      <c r="OX479" s="4"/>
      <c r="OY479" s="5"/>
      <c r="OZ479" s="6"/>
      <c r="PA479" s="4"/>
      <c r="PB479" s="4"/>
      <c r="PC479" s="4"/>
      <c r="PD479" s="4"/>
      <c r="PE479" s="4"/>
      <c r="PF479" s="5"/>
      <c r="PG479" s="6"/>
      <c r="PH479" s="4"/>
      <c r="PI479" s="4"/>
      <c r="PJ479" s="4"/>
      <c r="PK479" s="4"/>
      <c r="PL479" s="4"/>
      <c r="PM479" s="5"/>
      <c r="PN479" s="6"/>
      <c r="PO479" s="4"/>
      <c r="PP479" s="4"/>
      <c r="PQ479" s="4"/>
      <c r="PR479" s="4"/>
      <c r="PS479" s="4"/>
      <c r="PT479" s="5"/>
      <c r="PU479" s="6"/>
      <c r="PV479" s="4"/>
      <c r="PW479" s="4"/>
      <c r="PX479" s="4"/>
      <c r="PY479" s="4"/>
      <c r="PZ479" s="4"/>
      <c r="QA479" s="5"/>
      <c r="QB479" s="6" t="s">
        <v>1843</v>
      </c>
      <c r="QC479" s="7" t="s">
        <v>1799</v>
      </c>
      <c r="QD479" s="7" t="s">
        <v>1173</v>
      </c>
      <c r="QE479" s="7" t="s">
        <v>988</v>
      </c>
      <c r="QF479" s="8">
        <v>39324</v>
      </c>
      <c r="QG479" s="8">
        <v>39326</v>
      </c>
      <c r="QH479" s="5"/>
      <c r="QI479" s="6"/>
      <c r="QJ479" s="4"/>
      <c r="QK479" s="4"/>
      <c r="QL479" s="4"/>
      <c r="QM479" s="4"/>
      <c r="QN479" s="4"/>
      <c r="QO479" s="5"/>
      <c r="QP479" s="6"/>
      <c r="QQ479" s="4"/>
      <c r="QR479" s="4"/>
      <c r="QS479" s="4"/>
      <c r="QT479" s="4"/>
      <c r="QU479" s="4"/>
      <c r="QV479" s="5"/>
      <c r="QW479" s="6"/>
      <c r="QX479" s="4"/>
      <c r="QY479" s="4"/>
      <c r="QZ479" s="4"/>
      <c r="RA479" s="4"/>
      <c r="RB479" s="4"/>
      <c r="RC479" s="5"/>
      <c r="RD479" s="6"/>
      <c r="RE479" s="4"/>
      <c r="RF479" s="4"/>
      <c r="RG479" s="4"/>
      <c r="RH479" s="4"/>
      <c r="RI479" s="4"/>
      <c r="RJ479" s="5"/>
      <c r="RK479" s="6"/>
      <c r="RL479" s="4"/>
      <c r="RM479" s="4"/>
      <c r="RN479" s="4"/>
      <c r="RO479" s="4"/>
      <c r="RP479" s="4"/>
      <c r="RQ479" s="5"/>
      <c r="RR479" s="6"/>
      <c r="RS479" s="4"/>
      <c r="RT479" s="4"/>
      <c r="RU479" s="4"/>
      <c r="RV479" s="4"/>
      <c r="RW479" s="4"/>
      <c r="RX479" s="5"/>
      <c r="RY479" s="6"/>
      <c r="RZ479" s="4"/>
      <c r="SA479" s="4"/>
      <c r="SB479" s="4"/>
      <c r="SC479" s="4"/>
      <c r="SD479" s="4"/>
      <c r="SE479" s="5"/>
      <c r="SF479" s="6"/>
      <c r="SG479" s="4"/>
      <c r="SH479" s="4"/>
      <c r="SI479" s="4"/>
      <c r="SJ479" s="4"/>
      <c r="SK479" s="4"/>
      <c r="SL479" s="5"/>
      <c r="SM479" s="6"/>
      <c r="SN479" s="4"/>
      <c r="SO479" s="4"/>
      <c r="SP479" s="4"/>
      <c r="SQ479" s="4"/>
      <c r="SR479" s="4"/>
      <c r="SS479" s="5"/>
      <c r="ST479" s="6"/>
      <c r="SU479" s="4"/>
      <c r="SV479" s="4"/>
      <c r="SW479" s="4"/>
      <c r="SX479" s="4"/>
      <c r="SY479" s="4"/>
      <c r="SZ479" s="5"/>
      <c r="TA479" s="6"/>
      <c r="TB479" s="4"/>
      <c r="TC479" s="4"/>
      <c r="TD479" s="4"/>
      <c r="TE479" s="4"/>
      <c r="TF479" s="4"/>
      <c r="TG479" s="5"/>
      <c r="TH479" s="6"/>
      <c r="TI479" s="4"/>
      <c r="TJ479" s="4"/>
      <c r="TK479" s="4"/>
      <c r="TL479" s="4"/>
      <c r="TM479" s="4"/>
      <c r="TN479" s="5"/>
      <c r="TO479" s="6"/>
      <c r="TP479" s="4"/>
      <c r="TQ479" s="4"/>
      <c r="TR479" s="4"/>
      <c r="TS479" s="4"/>
      <c r="TT479" s="4"/>
      <c r="TU479" s="5"/>
      <c r="TV479" s="6"/>
      <c r="TW479" s="4"/>
      <c r="TY479" s="8"/>
      <c r="TZ479" s="8"/>
      <c r="UA479" s="8"/>
      <c r="UB479" s="5"/>
      <c r="UC479" s="6"/>
      <c r="UD479" s="4"/>
      <c r="UE479" s="4"/>
      <c r="UF479" s="4"/>
      <c r="UG479" s="4"/>
      <c r="UH479" s="4"/>
      <c r="UI479" s="5"/>
      <c r="UJ479" s="6"/>
      <c r="UK479" s="4"/>
      <c r="UL479" s="4"/>
      <c r="UM479" s="4"/>
      <c r="UN479" s="4"/>
      <c r="UO479" s="4"/>
      <c r="UP479" s="5"/>
      <c r="UQ479" s="6"/>
      <c r="UR479" s="4"/>
      <c r="US479" s="4"/>
      <c r="UT479" s="4"/>
      <c r="UU479" s="4"/>
      <c r="UV479" s="4"/>
      <c r="UW479" s="5"/>
      <c r="UX479" s="6"/>
      <c r="UY479" s="4"/>
      <c r="UZ479" s="4"/>
      <c r="VA479" s="4"/>
      <c r="VB479" s="4"/>
      <c r="VC479" s="4"/>
      <c r="VD479" s="5"/>
      <c r="VE479" s="6"/>
      <c r="VF479" s="4"/>
      <c r="VG479" s="4"/>
      <c r="VH479" s="4"/>
      <c r="VI479" s="4"/>
      <c r="VJ479" s="4"/>
      <c r="VK479" s="5"/>
      <c r="VL479" s="6"/>
      <c r="VM479" s="4"/>
      <c r="VN479" s="4"/>
      <c r="VO479" s="4"/>
      <c r="VP479" s="4"/>
      <c r="VQ479" s="4"/>
      <c r="VR479" s="5"/>
      <c r="VS479" s="6"/>
      <c r="VT479" s="4"/>
      <c r="VU479" s="4"/>
      <c r="VV479" s="4"/>
      <c r="VW479" s="4"/>
      <c r="VX479" s="4"/>
      <c r="VY479" s="5"/>
      <c r="VZ479" s="6"/>
      <c r="WA479" s="4"/>
      <c r="WB479" s="4"/>
      <c r="WC479" s="4"/>
      <c r="WD479" s="4"/>
      <c r="WE479" s="4"/>
      <c r="WF479" s="5"/>
      <c r="WG479" s="4"/>
      <c r="WH479" s="4"/>
      <c r="WI479" s="4"/>
      <c r="WJ479" s="4"/>
      <c r="WK479" s="4"/>
      <c r="WL479" s="4"/>
      <c r="WM479" s="5"/>
      <c r="WN479" s="6"/>
      <c r="WO479" s="4"/>
      <c r="WP479" s="4"/>
      <c r="WQ479" s="4"/>
      <c r="WR479" s="4"/>
      <c r="WS479" s="4"/>
      <c r="WT479" s="5"/>
      <c r="WU479" s="6"/>
      <c r="WV479" s="4"/>
      <c r="WW479" s="4"/>
      <c r="WX479" s="4"/>
      <c r="WY479" s="4"/>
      <c r="WZ479" s="4"/>
      <c r="XA479" s="5"/>
      <c r="XB479" s="6"/>
      <c r="XC479" s="4"/>
      <c r="XD479" s="4"/>
      <c r="XE479" s="4"/>
      <c r="XF479" s="4"/>
      <c r="XG479" s="4"/>
      <c r="XH479" s="5"/>
      <c r="XI479" s="4"/>
      <c r="XJ479" s="4"/>
      <c r="XK479" s="4"/>
      <c r="XL479" s="4"/>
      <c r="XM479" s="4"/>
      <c r="XN479" s="4"/>
      <c r="XO479" s="5"/>
      <c r="XP479" s="6"/>
      <c r="XQ479" s="4"/>
      <c r="XR479" s="4"/>
      <c r="XS479" s="4"/>
      <c r="XT479" s="4"/>
      <c r="XU479" s="4"/>
      <c r="XV479" s="5"/>
      <c r="XW479" s="6"/>
      <c r="XX479" s="4"/>
      <c r="XY479" s="4"/>
      <c r="XZ479" s="4"/>
      <c r="YA479" s="4"/>
      <c r="YB479" s="4"/>
      <c r="YC479" s="5"/>
      <c r="YD479" s="6"/>
      <c r="YE479" s="4"/>
      <c r="YF479" s="4"/>
      <c r="YG479" s="4"/>
      <c r="YH479" s="4"/>
      <c r="YI479" s="4"/>
      <c r="YJ479" s="5"/>
      <c r="YK479" s="6" t="s">
        <v>995</v>
      </c>
      <c r="YL479" s="7" t="s">
        <v>996</v>
      </c>
      <c r="YM479" s="4" t="s">
        <v>997</v>
      </c>
      <c r="YN479" s="7" t="s">
        <v>1055</v>
      </c>
      <c r="YO479" s="9">
        <v>39336</v>
      </c>
      <c r="YP479" s="8">
        <v>39336</v>
      </c>
      <c r="YQ479" s="5" t="s">
        <v>846</v>
      </c>
      <c r="YR479" s="6"/>
      <c r="YS479" s="4"/>
      <c r="YT479" s="4"/>
      <c r="YU479" s="4"/>
      <c r="YV479" s="4"/>
      <c r="YW479" s="4"/>
      <c r="YX479" s="5"/>
      <c r="YY479" s="6"/>
      <c r="YZ479" s="4"/>
      <c r="ZA479" s="4"/>
      <c r="ZB479" s="4"/>
      <c r="ZC479" s="4"/>
      <c r="ZD479" s="4"/>
      <c r="ZE479" s="5"/>
      <c r="ZF479" s="6"/>
      <c r="ZG479" s="4"/>
      <c r="ZH479" s="4"/>
      <c r="ZI479" s="4"/>
      <c r="ZJ479" s="4"/>
      <c r="ZK479" s="4"/>
      <c r="ZL479" s="5"/>
      <c r="ZM479" s="6"/>
      <c r="ZN479" s="4"/>
      <c r="ZO479" s="4"/>
      <c r="ZP479" s="4"/>
      <c r="ZQ479" s="4"/>
      <c r="ZR479" s="4"/>
      <c r="ZS479" s="5"/>
      <c r="ZT479" s="6"/>
      <c r="ZU479" s="4"/>
      <c r="ZV479" s="4"/>
      <c r="ZW479" s="4"/>
      <c r="ZX479" s="4"/>
      <c r="ZY479" s="4"/>
      <c r="ZZ479" s="5"/>
      <c r="AAA479" s="6"/>
      <c r="AAB479" s="4"/>
      <c r="AAC479" s="4"/>
      <c r="AAD479" s="4"/>
      <c r="AAE479" s="4"/>
      <c r="AAF479" s="4"/>
      <c r="AAG479" s="5"/>
      <c r="AAH479" s="6"/>
      <c r="AAI479" s="4"/>
      <c r="AAJ479" s="4"/>
      <c r="AAK479" s="4"/>
      <c r="AAL479" s="4"/>
      <c r="AAM479" s="4"/>
      <c r="AAN479" s="5"/>
      <c r="AAO479" s="6"/>
      <c r="AAP479" s="4"/>
      <c r="AAQ479" s="4"/>
      <c r="AAR479" s="4"/>
      <c r="AAS479" s="4"/>
      <c r="AAT479" s="4"/>
      <c r="AAU479" s="5"/>
      <c r="AAV479" s="6"/>
      <c r="AAW479" s="4"/>
      <c r="AAX479" s="4"/>
      <c r="AAY479" s="4"/>
      <c r="AAZ479" s="4"/>
      <c r="ABA479" s="4"/>
      <c r="ABB479" s="5"/>
      <c r="ABC479" s="6"/>
      <c r="ABD479" s="4"/>
      <c r="ABE479" s="4"/>
      <c r="ABF479" s="4"/>
      <c r="ABG479" s="4"/>
      <c r="ABH479" s="4"/>
      <c r="ABI479" s="5"/>
      <c r="ABJ479" s="6"/>
      <c r="ABK479" s="4"/>
      <c r="ABL479" s="4"/>
      <c r="ABM479" s="4"/>
      <c r="ABN479" s="4"/>
      <c r="ABO479" s="4"/>
      <c r="ABP479" s="5"/>
      <c r="ABQ479" s="6"/>
      <c r="ABR479" s="4"/>
      <c r="ABS479" s="4"/>
      <c r="ABT479" s="4"/>
      <c r="ABU479" s="4"/>
      <c r="ABV479" s="4"/>
      <c r="ABW479" s="5"/>
      <c r="ABX479" s="6"/>
      <c r="ABY479" s="4"/>
      <c r="ABZ479" s="4"/>
      <c r="ACA479" s="4"/>
      <c r="ACB479" s="4"/>
      <c r="ACC479" s="4"/>
      <c r="ACD479" s="5"/>
      <c r="ACE479" s="6"/>
      <c r="ACF479" s="4"/>
      <c r="ACG479" s="4"/>
      <c r="ACH479" s="4"/>
      <c r="ACI479" s="4"/>
      <c r="ACJ479" s="4"/>
      <c r="ACK479" s="5"/>
      <c r="ACL479" s="6"/>
      <c r="ACM479" s="4"/>
      <c r="ACN479" s="4"/>
      <c r="ACO479" s="4"/>
      <c r="ACP479" s="4"/>
      <c r="ACQ479" s="4"/>
      <c r="ACR479" s="5"/>
      <c r="ACS479" s="6"/>
      <c r="ACT479" s="4"/>
      <c r="ACU479" s="4"/>
      <c r="ACV479" s="4"/>
      <c r="ACW479" s="4"/>
      <c r="ACX479" s="4"/>
      <c r="ACY479" s="5"/>
    </row>
    <row r="480" spans="2:805" x14ac:dyDescent="0.25">
      <c r="B480" s="30"/>
      <c r="J480" s="19"/>
      <c r="K480" s="19"/>
      <c r="L480" s="19"/>
      <c r="LL480" s="6"/>
      <c r="LM480" s="4"/>
      <c r="LN480" s="4"/>
      <c r="LO480" s="4"/>
      <c r="LP480" s="4"/>
      <c r="LQ480" s="4"/>
      <c r="LR480" s="5"/>
      <c r="LS480" s="6"/>
      <c r="LT480" s="4"/>
      <c r="LU480" s="4"/>
      <c r="LV480" s="4"/>
      <c r="LW480" s="4"/>
      <c r="LX480" s="4"/>
      <c r="LY480" s="5"/>
      <c r="LZ480" s="6" t="s">
        <v>3213</v>
      </c>
      <c r="MA480" s="7" t="s">
        <v>2525</v>
      </c>
      <c r="MB480" s="7" t="s">
        <v>1347</v>
      </c>
      <c r="MC480" s="7" t="s">
        <v>848</v>
      </c>
      <c r="MD480" s="8">
        <v>39323</v>
      </c>
      <c r="ME480" s="8">
        <v>39329</v>
      </c>
      <c r="MF480" s="4"/>
      <c r="MG480" s="5"/>
      <c r="MH480" s="6"/>
      <c r="MI480" s="4"/>
      <c r="MJ480" s="4"/>
      <c r="MK480" s="4"/>
      <c r="ML480" s="4"/>
      <c r="MM480" s="4"/>
      <c r="MN480" s="5"/>
      <c r="MO480" s="6"/>
      <c r="MP480" s="4"/>
      <c r="MQ480" s="4"/>
      <c r="MR480" s="4"/>
      <c r="MS480" s="4"/>
      <c r="MT480" s="4"/>
      <c r="MU480" s="5"/>
      <c r="MV480" s="6"/>
      <c r="MW480" s="4"/>
      <c r="MX480" s="4"/>
      <c r="MY480" s="4"/>
      <c r="MZ480" s="4"/>
      <c r="NA480" s="4"/>
      <c r="NB480" s="5"/>
      <c r="NC480" s="6"/>
      <c r="ND480" s="4"/>
      <c r="NE480" s="4"/>
      <c r="NF480" s="4"/>
      <c r="NG480" s="4"/>
      <c r="NH480" s="4"/>
      <c r="NI480" s="5"/>
      <c r="NJ480" s="6"/>
      <c r="NK480" s="4"/>
      <c r="NL480" s="4"/>
      <c r="NM480" s="4"/>
      <c r="NN480" s="4"/>
      <c r="NO480" s="4"/>
      <c r="NP480" s="5"/>
      <c r="NQ480" s="6"/>
      <c r="NR480" s="4"/>
      <c r="NS480" s="4"/>
      <c r="NT480" s="4"/>
      <c r="NU480" s="4"/>
      <c r="NV480" s="4"/>
      <c r="NW480" s="5"/>
      <c r="NX480" s="6"/>
      <c r="NY480" s="4"/>
      <c r="NZ480" s="4"/>
      <c r="OA480" s="4"/>
      <c r="OB480" s="4"/>
      <c r="OC480" s="4"/>
      <c r="OD480" s="5"/>
      <c r="OE480" s="6"/>
      <c r="OF480" s="4"/>
      <c r="OG480" s="4"/>
      <c r="OH480" s="4"/>
      <c r="OI480" s="4"/>
      <c r="OJ480" s="4"/>
      <c r="OK480" s="5"/>
      <c r="OL480" s="6"/>
      <c r="OM480" s="4"/>
      <c r="ON480" s="4"/>
      <c r="OO480" s="4"/>
      <c r="OP480" s="4"/>
      <c r="OQ480" s="4"/>
      <c r="OR480" s="5"/>
      <c r="OS480" s="6"/>
      <c r="OT480" s="4"/>
      <c r="OU480" s="4"/>
      <c r="OV480" s="4"/>
      <c r="OW480" s="4"/>
      <c r="OX480" s="4"/>
      <c r="OY480" s="5"/>
      <c r="OZ480" s="6"/>
      <c r="PA480" s="4"/>
      <c r="PB480" s="4"/>
      <c r="PC480" s="4"/>
      <c r="PD480" s="4"/>
      <c r="PE480" s="4"/>
      <c r="PF480" s="5"/>
      <c r="PG480" s="6"/>
      <c r="PH480" s="4"/>
      <c r="PI480" s="4"/>
      <c r="PJ480" s="4"/>
      <c r="PK480" s="4"/>
      <c r="PL480" s="4"/>
      <c r="PM480" s="5"/>
      <c r="PN480" s="6"/>
      <c r="PO480" s="4"/>
      <c r="PP480" s="4"/>
      <c r="PQ480" s="4"/>
      <c r="PR480" s="4"/>
      <c r="PS480" s="4"/>
      <c r="PT480" s="5"/>
      <c r="PU480" s="6"/>
      <c r="PV480" s="4"/>
      <c r="PW480" s="4"/>
      <c r="PX480" s="4"/>
      <c r="PY480" s="4"/>
      <c r="PZ480" s="4"/>
      <c r="QA480" s="5"/>
      <c r="QB480" s="6"/>
      <c r="QC480" s="7"/>
      <c r="QD480" s="7"/>
      <c r="QE480" s="7"/>
      <c r="QF480" s="8"/>
      <c r="QG480" s="8"/>
      <c r="QH480" s="5"/>
      <c r="QI480" s="6"/>
      <c r="QJ480" s="4"/>
      <c r="QK480" s="4"/>
      <c r="QL480" s="4"/>
      <c r="QM480" s="4"/>
      <c r="QN480" s="4"/>
      <c r="QO480" s="5"/>
      <c r="QP480" s="6"/>
      <c r="QQ480" s="4"/>
      <c r="QR480" s="4"/>
      <c r="QS480" s="4"/>
      <c r="QT480" s="4"/>
      <c r="QU480" s="4"/>
      <c r="QV480" s="5"/>
      <c r="QW480" s="6"/>
      <c r="QX480" s="4"/>
      <c r="QY480" s="4"/>
      <c r="QZ480" s="4"/>
      <c r="RA480" s="4"/>
      <c r="RB480" s="4"/>
      <c r="RC480" s="5"/>
      <c r="RD480" s="6"/>
      <c r="RE480" s="4"/>
      <c r="RF480" s="4"/>
      <c r="RG480" s="4"/>
      <c r="RH480" s="4"/>
      <c r="RI480" s="4"/>
      <c r="RJ480" s="5"/>
      <c r="RK480" s="6"/>
      <c r="RL480" s="4"/>
      <c r="RM480" s="4"/>
      <c r="RN480" s="4"/>
      <c r="RO480" s="4"/>
      <c r="RP480" s="4"/>
      <c r="RQ480" s="5"/>
      <c r="RR480" s="6"/>
      <c r="RS480" s="4"/>
      <c r="RT480" s="4"/>
      <c r="RU480" s="4"/>
      <c r="RV480" s="4"/>
      <c r="RW480" s="4"/>
      <c r="RX480" s="5"/>
      <c r="RY480" s="6"/>
      <c r="RZ480" s="4"/>
      <c r="SA480" s="4"/>
      <c r="SB480" s="4"/>
      <c r="SC480" s="4"/>
      <c r="SD480" s="4"/>
      <c r="SE480" s="5"/>
      <c r="SF480" s="6"/>
      <c r="SG480" s="4"/>
      <c r="SH480" s="4"/>
      <c r="SI480" s="4"/>
      <c r="SJ480" s="4"/>
      <c r="SK480" s="4"/>
      <c r="SL480" s="5"/>
      <c r="SM480" s="6"/>
      <c r="SN480" s="4"/>
      <c r="SO480" s="4"/>
      <c r="SP480" s="4"/>
      <c r="SQ480" s="4"/>
      <c r="SR480" s="4"/>
      <c r="SS480" s="5"/>
      <c r="ST480" s="6"/>
      <c r="SU480" s="4"/>
      <c r="SV480" s="4"/>
      <c r="SW480" s="4"/>
      <c r="SX480" s="4"/>
      <c r="SY480" s="4"/>
      <c r="SZ480" s="5"/>
      <c r="TA480" s="6"/>
      <c r="TB480" s="4"/>
      <c r="TC480" s="4"/>
      <c r="TD480" s="4"/>
      <c r="TE480" s="4"/>
      <c r="TF480" s="4"/>
      <c r="TG480" s="5"/>
      <c r="TH480" s="6"/>
      <c r="TI480" s="4"/>
      <c r="TJ480" s="4"/>
      <c r="TK480" s="4"/>
      <c r="TL480" s="4"/>
      <c r="TM480" s="4"/>
      <c r="TN480" s="5"/>
      <c r="TO480" s="6"/>
      <c r="TP480" s="4"/>
      <c r="TQ480" s="4"/>
      <c r="TR480" s="4"/>
      <c r="TS480" s="4"/>
      <c r="TT480" s="4"/>
      <c r="TU480" s="5"/>
      <c r="TV480" s="6"/>
      <c r="TW480" s="4"/>
      <c r="TY480" s="8"/>
      <c r="TZ480" s="8"/>
      <c r="UA480" s="8"/>
      <c r="UB480" s="5"/>
      <c r="UC480" s="6"/>
      <c r="UD480" s="4"/>
      <c r="UE480" s="4"/>
      <c r="UF480" s="4"/>
      <c r="UG480" s="4"/>
      <c r="UH480" s="4"/>
      <c r="UI480" s="5"/>
      <c r="UJ480" s="6"/>
      <c r="UK480" s="4"/>
      <c r="UL480" s="4"/>
      <c r="UM480" s="4"/>
      <c r="UN480" s="4"/>
      <c r="UO480" s="4"/>
      <c r="UP480" s="5"/>
      <c r="UQ480" s="6"/>
      <c r="UR480" s="4"/>
      <c r="US480" s="4"/>
      <c r="UT480" s="4"/>
      <c r="UU480" s="4"/>
      <c r="UV480" s="4"/>
      <c r="UW480" s="5"/>
      <c r="UX480" s="6"/>
      <c r="UY480" s="4"/>
      <c r="UZ480" s="4"/>
      <c r="VA480" s="4"/>
      <c r="VB480" s="4"/>
      <c r="VC480" s="4"/>
      <c r="VD480" s="5"/>
      <c r="VE480" s="6"/>
      <c r="VF480" s="4"/>
      <c r="VG480" s="4"/>
      <c r="VH480" s="4"/>
      <c r="VI480" s="4"/>
      <c r="VJ480" s="4"/>
      <c r="VK480" s="5"/>
      <c r="VL480" s="6"/>
      <c r="VM480" s="4"/>
      <c r="VN480" s="4"/>
      <c r="VO480" s="4"/>
      <c r="VP480" s="4"/>
      <c r="VQ480" s="4"/>
      <c r="VR480" s="5"/>
      <c r="VS480" s="6"/>
      <c r="VT480" s="4"/>
      <c r="VU480" s="4"/>
      <c r="VV480" s="4"/>
      <c r="VW480" s="4"/>
      <c r="VX480" s="4"/>
      <c r="VY480" s="5"/>
      <c r="VZ480" s="6"/>
      <c r="WA480" s="4"/>
      <c r="WB480" s="4"/>
      <c r="WC480" s="4"/>
      <c r="WD480" s="4"/>
      <c r="WE480" s="4"/>
      <c r="WF480" s="5"/>
      <c r="WG480" s="4"/>
      <c r="WH480" s="4"/>
      <c r="WI480" s="4"/>
      <c r="WJ480" s="4"/>
      <c r="WK480" s="4"/>
      <c r="WL480" s="4"/>
      <c r="WM480" s="5"/>
      <c r="WN480" s="6"/>
      <c r="WO480" s="4"/>
      <c r="WP480" s="4"/>
      <c r="WQ480" s="4"/>
      <c r="WR480" s="4"/>
      <c r="WS480" s="4"/>
      <c r="WT480" s="5"/>
      <c r="WU480" s="6"/>
      <c r="WV480" s="4"/>
      <c r="WW480" s="4"/>
      <c r="WX480" s="4"/>
      <c r="WY480" s="4"/>
      <c r="WZ480" s="4"/>
      <c r="XA480" s="5"/>
      <c r="XB480" s="6"/>
      <c r="XC480" s="4"/>
      <c r="XD480" s="4"/>
      <c r="XE480" s="4"/>
      <c r="XF480" s="4"/>
      <c r="XG480" s="4"/>
      <c r="XH480" s="5"/>
      <c r="XI480" s="4"/>
      <c r="XJ480" s="4"/>
      <c r="XK480" s="4"/>
      <c r="XL480" s="4"/>
      <c r="XM480" s="4"/>
      <c r="XN480" s="4"/>
      <c r="XO480" s="5"/>
      <c r="XP480" s="6"/>
      <c r="XQ480" s="4"/>
      <c r="XR480" s="4"/>
      <c r="XS480" s="4"/>
      <c r="XT480" s="4"/>
      <c r="XU480" s="4"/>
      <c r="XV480" s="5"/>
      <c r="XW480" s="6"/>
      <c r="XX480" s="4"/>
      <c r="XY480" s="4"/>
      <c r="XZ480" s="4"/>
      <c r="YA480" s="4"/>
      <c r="YB480" s="4"/>
      <c r="YC480" s="5"/>
      <c r="YD480" s="6"/>
      <c r="YE480" s="4"/>
      <c r="YF480" s="4"/>
      <c r="YG480" s="4"/>
      <c r="YH480" s="4"/>
      <c r="YI480" s="4"/>
      <c r="YJ480" s="5"/>
      <c r="YK480" s="6" t="s">
        <v>3105</v>
      </c>
      <c r="YL480" s="4" t="s">
        <v>1140</v>
      </c>
      <c r="YM480" s="4"/>
      <c r="YN480" s="7" t="s">
        <v>1055</v>
      </c>
      <c r="YO480" s="9">
        <v>39336</v>
      </c>
      <c r="YP480" s="9">
        <v>39336</v>
      </c>
      <c r="YQ480" s="5" t="s">
        <v>846</v>
      </c>
      <c r="YR480" s="6"/>
      <c r="YS480" s="4"/>
      <c r="YT480" s="4"/>
      <c r="YU480" s="4"/>
      <c r="YV480" s="4"/>
      <c r="YW480" s="4"/>
      <c r="YX480" s="5"/>
      <c r="YY480" s="6"/>
      <c r="YZ480" s="4"/>
      <c r="ZA480" s="4"/>
      <c r="ZB480" s="4"/>
      <c r="ZC480" s="4"/>
      <c r="ZD480" s="4"/>
      <c r="ZE480" s="5"/>
      <c r="ZF480" s="6"/>
      <c r="ZG480" s="4"/>
      <c r="ZH480" s="4"/>
      <c r="ZI480" s="4"/>
      <c r="ZJ480" s="4"/>
      <c r="ZK480" s="4"/>
      <c r="ZL480" s="5"/>
      <c r="ZM480" s="6"/>
      <c r="ZN480" s="4"/>
      <c r="ZO480" s="4"/>
      <c r="ZP480" s="4"/>
      <c r="ZQ480" s="4"/>
      <c r="ZR480" s="4"/>
      <c r="ZS480" s="5"/>
      <c r="ZT480" s="6"/>
      <c r="ZU480" s="4"/>
      <c r="ZV480" s="4"/>
      <c r="ZW480" s="4"/>
      <c r="ZX480" s="4"/>
      <c r="ZY480" s="4"/>
      <c r="ZZ480" s="5"/>
      <c r="AAA480" s="6"/>
      <c r="AAB480" s="4"/>
      <c r="AAC480" s="4"/>
      <c r="AAD480" s="4"/>
      <c r="AAE480" s="4"/>
      <c r="AAF480" s="4"/>
      <c r="AAG480" s="5"/>
      <c r="AAH480" s="6"/>
      <c r="AAI480" s="4"/>
      <c r="AAJ480" s="4"/>
      <c r="AAK480" s="4"/>
      <c r="AAL480" s="4"/>
      <c r="AAM480" s="4"/>
      <c r="AAN480" s="5"/>
      <c r="AAO480" s="6"/>
      <c r="AAP480" s="4"/>
      <c r="AAQ480" s="4"/>
      <c r="AAR480" s="4"/>
      <c r="AAS480" s="4"/>
      <c r="AAT480" s="4"/>
      <c r="AAU480" s="5"/>
      <c r="AAV480" s="6"/>
      <c r="AAW480" s="4"/>
      <c r="AAX480" s="4"/>
      <c r="AAY480" s="4"/>
      <c r="AAZ480" s="4"/>
      <c r="ABA480" s="4"/>
      <c r="ABB480" s="5"/>
      <c r="ABC480" s="6"/>
      <c r="ABD480" s="4"/>
      <c r="ABE480" s="4"/>
      <c r="ABF480" s="4"/>
      <c r="ABG480" s="4"/>
      <c r="ABH480" s="4"/>
      <c r="ABI480" s="5"/>
      <c r="ABJ480" s="6"/>
      <c r="ABK480" s="4"/>
      <c r="ABL480" s="4"/>
      <c r="ABM480" s="4"/>
      <c r="ABN480" s="4"/>
      <c r="ABO480" s="4"/>
      <c r="ABP480" s="5"/>
      <c r="ABQ480" s="6"/>
      <c r="ABR480" s="4"/>
      <c r="ABS480" s="4"/>
      <c r="ABT480" s="4"/>
      <c r="ABU480" s="4"/>
      <c r="ABV480" s="4"/>
      <c r="ABW480" s="5"/>
      <c r="ABX480" s="6"/>
      <c r="ABY480" s="4"/>
      <c r="ABZ480" s="4"/>
      <c r="ACA480" s="4"/>
      <c r="ACB480" s="4"/>
      <c r="ACC480" s="4"/>
      <c r="ACD480" s="5"/>
      <c r="ACE480" s="6"/>
      <c r="ACF480" s="4"/>
      <c r="ACG480" s="4"/>
      <c r="ACH480" s="4"/>
      <c r="ACI480" s="4"/>
      <c r="ACJ480" s="4"/>
      <c r="ACK480" s="5"/>
      <c r="ACL480" s="6"/>
      <c r="ACM480" s="4"/>
      <c r="ACN480" s="4"/>
      <c r="ACO480" s="4"/>
      <c r="ACP480" s="4"/>
      <c r="ACQ480" s="4"/>
      <c r="ACR480" s="5"/>
      <c r="ACS480" s="6"/>
      <c r="ACT480" s="4"/>
      <c r="ACU480" s="4"/>
      <c r="ACV480" s="4"/>
      <c r="ACW480" s="4"/>
      <c r="ACX480" s="4"/>
      <c r="ACY480" s="5"/>
    </row>
    <row r="481" spans="2:795" x14ac:dyDescent="0.25">
      <c r="B481" s="30"/>
      <c r="J481" s="19"/>
      <c r="K481" s="19"/>
      <c r="L481" s="19"/>
      <c r="LL481" s="6"/>
      <c r="LM481" s="4"/>
      <c r="LN481" s="4"/>
      <c r="LO481" s="4"/>
      <c r="LP481" s="4"/>
      <c r="LQ481" s="4"/>
      <c r="LR481" s="5"/>
      <c r="LS481" s="6"/>
      <c r="LT481" s="4"/>
      <c r="LU481" s="4"/>
      <c r="LV481" s="4"/>
      <c r="LW481" s="4"/>
      <c r="LX481" s="4"/>
      <c r="LY481" s="5"/>
      <c r="LZ481" s="6" t="s">
        <v>3213</v>
      </c>
      <c r="MA481" s="7" t="s">
        <v>2525</v>
      </c>
      <c r="MB481" s="7" t="s">
        <v>1347</v>
      </c>
      <c r="MC481" s="4"/>
      <c r="MD481" s="8">
        <v>39318</v>
      </c>
      <c r="ME481" s="4"/>
      <c r="MF481" s="4"/>
      <c r="MG481" s="5" t="s">
        <v>1203</v>
      </c>
      <c r="MH481" s="6"/>
      <c r="MI481" s="4"/>
      <c r="MJ481" s="4"/>
      <c r="MK481" s="4"/>
      <c r="ML481" s="4"/>
      <c r="MM481" s="4"/>
      <c r="MN481" s="5"/>
      <c r="MO481" s="6"/>
      <c r="MP481" s="4"/>
      <c r="MQ481" s="4"/>
      <c r="MR481" s="4"/>
      <c r="MS481" s="4"/>
      <c r="MT481" s="4"/>
      <c r="MU481" s="5"/>
      <c r="MV481" s="6"/>
      <c r="MW481" s="4"/>
      <c r="MX481" s="4"/>
      <c r="MY481" s="4"/>
      <c r="MZ481" s="4"/>
      <c r="NA481" s="4"/>
      <c r="NB481" s="5"/>
      <c r="NC481" s="6"/>
      <c r="ND481" s="4"/>
      <c r="NE481" s="4"/>
      <c r="NF481" s="4"/>
      <c r="NG481" s="4"/>
      <c r="NH481" s="4"/>
      <c r="NI481" s="5"/>
      <c r="NJ481" s="6"/>
      <c r="NK481" s="4"/>
      <c r="NL481" s="4"/>
      <c r="NM481" s="4"/>
      <c r="NN481" s="4"/>
      <c r="NO481" s="4"/>
      <c r="NP481" s="5"/>
      <c r="NQ481" s="6"/>
      <c r="NR481" s="4"/>
      <c r="NS481" s="4"/>
      <c r="NT481" s="4"/>
      <c r="NU481" s="4"/>
      <c r="NV481" s="4"/>
      <c r="NW481" s="5"/>
      <c r="NX481" s="6"/>
      <c r="NY481" s="4"/>
      <c r="NZ481" s="4"/>
      <c r="OA481" s="4"/>
      <c r="OB481" s="4"/>
      <c r="OC481" s="4"/>
      <c r="OD481" s="5"/>
      <c r="OE481" s="6"/>
      <c r="OF481" s="4"/>
      <c r="OG481" s="4"/>
      <c r="OH481" s="4"/>
      <c r="OI481" s="4"/>
      <c r="OJ481" s="4"/>
      <c r="OK481" s="5"/>
      <c r="OL481" s="6"/>
      <c r="OM481" s="4"/>
      <c r="ON481" s="4"/>
      <c r="OO481" s="4"/>
      <c r="OP481" s="4"/>
      <c r="OQ481" s="4"/>
      <c r="OR481" s="5"/>
      <c r="OS481" s="6"/>
      <c r="OT481" s="4"/>
      <c r="OU481" s="4"/>
      <c r="OV481" s="4"/>
      <c r="OW481" s="4"/>
      <c r="OX481" s="4"/>
      <c r="OY481" s="5"/>
      <c r="OZ481" s="6"/>
      <c r="PA481" s="4"/>
      <c r="PB481" s="4"/>
      <c r="PC481" s="4"/>
      <c r="PD481" s="4"/>
      <c r="PE481" s="4"/>
      <c r="PF481" s="5"/>
      <c r="PG481" s="6"/>
      <c r="PH481" s="4"/>
      <c r="PI481" s="4"/>
      <c r="PJ481" s="4"/>
      <c r="PK481" s="4"/>
      <c r="PL481" s="4"/>
      <c r="PM481" s="5"/>
      <c r="PN481" s="6"/>
      <c r="PO481" s="4"/>
      <c r="PP481" s="4"/>
      <c r="PQ481" s="4"/>
      <c r="PR481" s="4"/>
      <c r="PS481" s="4"/>
      <c r="PT481" s="5"/>
      <c r="PU481" s="6"/>
      <c r="PV481" s="4"/>
      <c r="PW481" s="4"/>
      <c r="PX481" s="4"/>
      <c r="PY481" s="4"/>
      <c r="PZ481" s="4"/>
      <c r="QA481" s="5"/>
      <c r="QB481" s="6"/>
      <c r="QC481" s="7"/>
      <c r="QD481" s="7"/>
      <c r="QE481" s="7"/>
      <c r="QF481" s="8"/>
      <c r="QG481" s="8"/>
      <c r="QH481" s="5"/>
      <c r="QI481" s="6"/>
      <c r="QJ481" s="4"/>
      <c r="QK481" s="4"/>
      <c r="QL481" s="4"/>
      <c r="QM481" s="4"/>
      <c r="QN481" s="4"/>
      <c r="QO481" s="5"/>
      <c r="QP481" s="6"/>
      <c r="QQ481" s="4"/>
      <c r="QR481" s="4"/>
      <c r="QS481" s="4"/>
      <c r="QT481" s="4"/>
      <c r="QU481" s="4"/>
      <c r="QV481" s="5"/>
      <c r="QW481" s="6"/>
      <c r="QX481" s="4"/>
      <c r="QY481" s="4"/>
      <c r="QZ481" s="4"/>
      <c r="RA481" s="4"/>
      <c r="RB481" s="4"/>
      <c r="RC481" s="5"/>
      <c r="RD481" s="6"/>
      <c r="RE481" s="4"/>
      <c r="RF481" s="4"/>
      <c r="RG481" s="4"/>
      <c r="RH481" s="4"/>
      <c r="RI481" s="4"/>
      <c r="RJ481" s="5"/>
      <c r="RK481" s="6"/>
      <c r="RL481" s="4"/>
      <c r="RM481" s="4"/>
      <c r="RN481" s="4"/>
      <c r="RO481" s="4"/>
      <c r="RP481" s="4"/>
      <c r="RQ481" s="5"/>
      <c r="RR481" s="6"/>
      <c r="RS481" s="4"/>
      <c r="RT481" s="4"/>
      <c r="RU481" s="4"/>
      <c r="RV481" s="4"/>
      <c r="RW481" s="4"/>
      <c r="RX481" s="5"/>
      <c r="RY481" s="6"/>
      <c r="RZ481" s="4"/>
      <c r="SA481" s="4"/>
      <c r="SB481" s="4"/>
      <c r="SC481" s="4"/>
      <c r="SD481" s="4"/>
      <c r="SE481" s="5"/>
      <c r="SF481" s="6"/>
      <c r="SG481" s="4"/>
      <c r="SH481" s="4"/>
      <c r="SI481" s="4"/>
      <c r="SJ481" s="4"/>
      <c r="SK481" s="4"/>
      <c r="SL481" s="5"/>
      <c r="SM481" s="6"/>
      <c r="SN481" s="4"/>
      <c r="SO481" s="4"/>
      <c r="SP481" s="4"/>
      <c r="SQ481" s="4"/>
      <c r="SR481" s="4"/>
      <c r="SS481" s="5"/>
      <c r="ST481" s="6"/>
      <c r="SU481" s="4"/>
      <c r="SV481" s="4"/>
      <c r="SW481" s="4"/>
      <c r="SX481" s="4"/>
      <c r="SY481" s="4"/>
      <c r="SZ481" s="5"/>
      <c r="TA481" s="6"/>
      <c r="TB481" s="4"/>
      <c r="TC481" s="4"/>
      <c r="TD481" s="4"/>
      <c r="TE481" s="4"/>
      <c r="TF481" s="4"/>
      <c r="TG481" s="5"/>
      <c r="TH481" s="6"/>
      <c r="TI481" s="4"/>
      <c r="TJ481" s="4"/>
      <c r="TK481" s="4"/>
      <c r="TL481" s="4"/>
      <c r="TM481" s="4"/>
      <c r="TN481" s="5"/>
      <c r="TO481" s="6"/>
      <c r="TP481" s="4"/>
      <c r="TQ481" s="4"/>
      <c r="TR481" s="4"/>
      <c r="TS481" s="4"/>
      <c r="TT481" s="4"/>
      <c r="TU481" s="5"/>
      <c r="TV481" s="6"/>
      <c r="TW481" s="4"/>
      <c r="TY481" s="8"/>
      <c r="TZ481" s="8"/>
      <c r="UA481" s="8"/>
      <c r="UB481" s="5"/>
      <c r="UC481" s="6"/>
      <c r="UD481" s="4"/>
      <c r="UE481" s="4"/>
      <c r="UF481" s="4"/>
      <c r="UG481" s="4"/>
      <c r="UH481" s="4"/>
      <c r="UI481" s="5"/>
      <c r="UJ481" s="6"/>
      <c r="UK481" s="4"/>
      <c r="UL481" s="4"/>
      <c r="UM481" s="4"/>
      <c r="UN481" s="4"/>
      <c r="UO481" s="4"/>
      <c r="UP481" s="5"/>
      <c r="UQ481" s="6"/>
      <c r="UR481" s="4"/>
      <c r="US481" s="4"/>
      <c r="UT481" s="4"/>
      <c r="UU481" s="4"/>
      <c r="UV481" s="4"/>
      <c r="UW481" s="5"/>
      <c r="UX481" s="6"/>
      <c r="UY481" s="4"/>
      <c r="UZ481" s="4"/>
      <c r="VA481" s="4"/>
      <c r="VB481" s="4"/>
      <c r="VC481" s="4"/>
      <c r="VD481" s="5"/>
      <c r="VE481" s="6"/>
      <c r="VF481" s="4"/>
      <c r="VG481" s="4"/>
      <c r="VH481" s="4"/>
      <c r="VI481" s="4"/>
      <c r="VJ481" s="4"/>
      <c r="VK481" s="5"/>
      <c r="VL481" s="6"/>
      <c r="VM481" s="4"/>
      <c r="VN481" s="4"/>
      <c r="VO481" s="4"/>
      <c r="VP481" s="4"/>
      <c r="VQ481" s="4"/>
      <c r="VR481" s="5"/>
      <c r="VS481" s="6"/>
      <c r="VT481" s="4"/>
      <c r="VU481" s="4"/>
      <c r="VV481" s="4"/>
      <c r="VW481" s="4"/>
      <c r="VX481" s="4"/>
      <c r="VY481" s="5"/>
      <c r="VZ481" s="6"/>
      <c r="WA481" s="4"/>
      <c r="WB481" s="4"/>
      <c r="WC481" s="4"/>
      <c r="WD481" s="4"/>
      <c r="WE481" s="4"/>
      <c r="WF481" s="5"/>
      <c r="WG481" s="4"/>
      <c r="WH481" s="4"/>
      <c r="WI481" s="4"/>
      <c r="WJ481" s="4"/>
      <c r="WK481" s="4"/>
      <c r="WL481" s="4"/>
      <c r="WM481" s="5"/>
      <c r="WN481" s="6"/>
      <c r="WO481" s="4"/>
      <c r="WP481" s="4"/>
      <c r="WQ481" s="4"/>
      <c r="WR481" s="4"/>
      <c r="WS481" s="4"/>
      <c r="WT481" s="5"/>
      <c r="WU481" s="6"/>
      <c r="WV481" s="4"/>
      <c r="WW481" s="4"/>
      <c r="WX481" s="4"/>
      <c r="WY481" s="4"/>
      <c r="WZ481" s="4"/>
      <c r="XA481" s="5"/>
      <c r="XB481" s="6"/>
      <c r="XC481" s="4"/>
      <c r="XD481" s="4"/>
      <c r="XE481" s="4"/>
      <c r="XF481" s="4"/>
      <c r="XG481" s="4"/>
      <c r="XH481" s="5"/>
      <c r="XI481" s="4"/>
      <c r="XJ481" s="4"/>
      <c r="XK481" s="4"/>
      <c r="XL481" s="4"/>
      <c r="XM481" s="4"/>
      <c r="XN481" s="4"/>
      <c r="XO481" s="5"/>
      <c r="XP481" s="6"/>
      <c r="XQ481" s="4"/>
      <c r="XR481" s="4"/>
      <c r="XS481" s="4"/>
      <c r="XT481" s="4"/>
      <c r="XU481" s="4"/>
      <c r="XV481" s="5"/>
      <c r="XW481" s="6"/>
      <c r="XX481" s="4"/>
      <c r="XY481" s="4"/>
      <c r="XZ481" s="4"/>
      <c r="YA481" s="4"/>
      <c r="YB481" s="4"/>
      <c r="YC481" s="5"/>
      <c r="YD481" s="6"/>
      <c r="YE481" s="4"/>
      <c r="YF481" s="4"/>
      <c r="YG481" s="4"/>
      <c r="YH481" s="4"/>
      <c r="YI481" s="4"/>
      <c r="YJ481" s="5"/>
      <c r="YK481" s="6" t="s">
        <v>1434</v>
      </c>
      <c r="YL481" s="7" t="s">
        <v>1435</v>
      </c>
      <c r="YM481" s="4" t="s">
        <v>1141</v>
      </c>
      <c r="YN481" s="7" t="s">
        <v>988</v>
      </c>
      <c r="YO481" s="9">
        <v>39321</v>
      </c>
      <c r="YP481" s="9">
        <v>39323</v>
      </c>
      <c r="YQ481" s="5" t="s">
        <v>846</v>
      </c>
      <c r="YR481" s="6"/>
      <c r="YS481" s="4"/>
      <c r="YT481" s="4"/>
      <c r="YU481" s="4"/>
      <c r="YV481" s="4"/>
      <c r="YW481" s="4"/>
      <c r="YX481" s="5"/>
      <c r="YY481" s="6"/>
      <c r="YZ481" s="4"/>
      <c r="ZA481" s="4"/>
      <c r="ZB481" s="4"/>
      <c r="ZC481" s="4"/>
      <c r="ZD481" s="4"/>
      <c r="ZE481" s="5"/>
      <c r="ZF481" s="6"/>
      <c r="ZG481" s="4"/>
      <c r="ZH481" s="4"/>
      <c r="ZI481" s="4"/>
      <c r="ZJ481" s="4"/>
      <c r="ZK481" s="4"/>
      <c r="ZL481" s="5"/>
      <c r="ZM481" s="6"/>
      <c r="ZN481" s="4"/>
      <c r="ZO481" s="4"/>
      <c r="ZP481" s="4"/>
      <c r="ZQ481" s="4"/>
      <c r="ZR481" s="4"/>
      <c r="ZS481" s="5"/>
      <c r="ZT481" s="6"/>
      <c r="ZU481" s="4"/>
      <c r="ZV481" s="4"/>
      <c r="ZW481" s="4"/>
      <c r="ZX481" s="4"/>
      <c r="ZY481" s="4"/>
      <c r="ZZ481" s="5"/>
      <c r="AAA481" s="6"/>
      <c r="AAB481" s="4"/>
      <c r="AAC481" s="4"/>
      <c r="AAD481" s="4"/>
      <c r="AAE481" s="4"/>
      <c r="AAF481" s="4"/>
      <c r="AAG481" s="5"/>
      <c r="AAH481" s="6"/>
      <c r="AAI481" s="4"/>
      <c r="AAJ481" s="4"/>
      <c r="AAK481" s="4"/>
      <c r="AAL481" s="4"/>
      <c r="AAM481" s="4"/>
      <c r="AAN481" s="5"/>
      <c r="AAO481" s="6"/>
      <c r="AAP481" s="4"/>
      <c r="AAQ481" s="4"/>
      <c r="AAR481" s="4"/>
      <c r="AAS481" s="4"/>
      <c r="AAT481" s="4"/>
      <c r="AAU481" s="5"/>
      <c r="AAV481" s="6"/>
      <c r="AAW481" s="4"/>
      <c r="AAX481" s="4"/>
      <c r="AAY481" s="4"/>
      <c r="AAZ481" s="4"/>
      <c r="ABA481" s="4"/>
      <c r="ABB481" s="5"/>
      <c r="ABC481" s="6"/>
      <c r="ABD481" s="4"/>
      <c r="ABE481" s="4"/>
      <c r="ABF481" s="4"/>
      <c r="ABG481" s="4"/>
      <c r="ABH481" s="4"/>
      <c r="ABI481" s="5"/>
      <c r="ABJ481" s="6"/>
      <c r="ABK481" s="4"/>
      <c r="ABL481" s="4"/>
      <c r="ABM481" s="4"/>
      <c r="ABN481" s="4"/>
      <c r="ABO481" s="4"/>
      <c r="ABP481" s="5"/>
      <c r="ABQ481" s="6"/>
      <c r="ABR481" s="4"/>
      <c r="ABS481" s="4"/>
      <c r="ABT481" s="4"/>
      <c r="ABU481" s="4"/>
      <c r="ABV481" s="4"/>
      <c r="ABW481" s="5"/>
      <c r="ABX481" s="6"/>
      <c r="ABY481" s="4"/>
      <c r="ABZ481" s="4"/>
      <c r="ACA481" s="4"/>
      <c r="ACB481" s="4"/>
      <c r="ACC481" s="4"/>
      <c r="ACD481" s="5"/>
      <c r="ACE481" s="6"/>
      <c r="ACF481" s="4"/>
      <c r="ACG481" s="4"/>
      <c r="ACH481" s="4"/>
      <c r="ACI481" s="4"/>
      <c r="ACJ481" s="4"/>
      <c r="ACK481" s="5"/>
      <c r="ACL481" s="6"/>
      <c r="ACM481" s="4"/>
      <c r="ACN481" s="4"/>
      <c r="ACO481" s="4"/>
      <c r="ACP481" s="4"/>
      <c r="ACQ481" s="4"/>
      <c r="ACR481" s="5"/>
      <c r="ACS481" s="6"/>
      <c r="ACT481" s="4"/>
      <c r="ACU481" s="4"/>
      <c r="ACV481" s="4"/>
      <c r="ACW481" s="4"/>
      <c r="ACX481" s="4"/>
      <c r="ACY481" s="5"/>
    </row>
    <row r="482" spans="2:795" x14ac:dyDescent="0.25">
      <c r="B482" s="30"/>
      <c r="J482" s="19"/>
      <c r="K482" s="19"/>
      <c r="L482" s="19"/>
      <c r="LL482" s="6"/>
      <c r="LM482" s="4"/>
      <c r="LN482" s="4"/>
      <c r="LO482" s="4"/>
      <c r="LP482" s="4"/>
      <c r="LQ482" s="4"/>
      <c r="LR482" s="5"/>
      <c r="LS482" s="6"/>
      <c r="LT482" s="4"/>
      <c r="LU482" s="4"/>
      <c r="LV482" s="4"/>
      <c r="LW482" s="4"/>
      <c r="LX482" s="4"/>
      <c r="LY482" s="5"/>
      <c r="LZ482" s="6" t="s">
        <v>1243</v>
      </c>
      <c r="MA482" s="7" t="s">
        <v>1108</v>
      </c>
      <c r="MB482" s="4"/>
      <c r="MC482" s="7" t="s">
        <v>988</v>
      </c>
      <c r="MD482" s="8">
        <v>39323</v>
      </c>
      <c r="ME482" s="8">
        <v>39325</v>
      </c>
      <c r="MF482" s="4"/>
      <c r="MG482" s="5" t="s">
        <v>1109</v>
      </c>
      <c r="MH482" s="6"/>
      <c r="MI482" s="4"/>
      <c r="MJ482" s="4"/>
      <c r="MK482" s="4"/>
      <c r="ML482" s="4"/>
      <c r="MM482" s="4"/>
      <c r="MN482" s="5"/>
      <c r="MO482" s="6"/>
      <c r="MP482" s="4"/>
      <c r="MQ482" s="4"/>
      <c r="MR482" s="4"/>
      <c r="MS482" s="4"/>
      <c r="MT482" s="4"/>
      <c r="MU482" s="5"/>
      <c r="MV482" s="6"/>
      <c r="MW482" s="4"/>
      <c r="MX482" s="4"/>
      <c r="MY482" s="4"/>
      <c r="MZ482" s="4"/>
      <c r="NA482" s="4"/>
      <c r="NB482" s="5"/>
      <c r="NC482" s="6"/>
      <c r="ND482" s="4"/>
      <c r="NE482" s="4"/>
      <c r="NF482" s="4"/>
      <c r="NG482" s="4"/>
      <c r="NH482" s="4"/>
      <c r="NI482" s="5"/>
      <c r="NJ482" s="6"/>
      <c r="NK482" s="4"/>
      <c r="NL482" s="4"/>
      <c r="NM482" s="4"/>
      <c r="NN482" s="4"/>
      <c r="NO482" s="4"/>
      <c r="NP482" s="5"/>
      <c r="NQ482" s="6"/>
      <c r="NR482" s="4"/>
      <c r="NS482" s="4"/>
      <c r="NT482" s="4"/>
      <c r="NU482" s="4"/>
      <c r="NV482" s="4"/>
      <c r="NW482" s="5"/>
      <c r="NX482" s="6"/>
      <c r="NY482" s="4"/>
      <c r="NZ482" s="4"/>
      <c r="OA482" s="4"/>
      <c r="OB482" s="4"/>
      <c r="OC482" s="4"/>
      <c r="OD482" s="5"/>
      <c r="OE482" s="6"/>
      <c r="OF482" s="4"/>
      <c r="OG482" s="4"/>
      <c r="OH482" s="4"/>
      <c r="OI482" s="4"/>
      <c r="OJ482" s="4"/>
      <c r="OK482" s="5"/>
      <c r="OL482" s="6"/>
      <c r="OM482" s="4"/>
      <c r="ON482" s="4"/>
      <c r="OO482" s="4"/>
      <c r="OP482" s="4"/>
      <c r="OQ482" s="4"/>
      <c r="OR482" s="5"/>
      <c r="OS482" s="6"/>
      <c r="OT482" s="4"/>
      <c r="OU482" s="4"/>
      <c r="OV482" s="4"/>
      <c r="OW482" s="4"/>
      <c r="OX482" s="4"/>
      <c r="OY482" s="5"/>
      <c r="OZ482" s="6"/>
      <c r="PA482" s="4"/>
      <c r="PB482" s="4"/>
      <c r="PC482" s="4"/>
      <c r="PD482" s="4"/>
      <c r="PE482" s="4"/>
      <c r="PF482" s="5"/>
      <c r="PG482" s="6"/>
      <c r="PH482" s="4"/>
      <c r="PI482" s="4"/>
      <c r="PJ482" s="4"/>
      <c r="PK482" s="4"/>
      <c r="PL482" s="4"/>
      <c r="PM482" s="5"/>
      <c r="PN482" s="6"/>
      <c r="PO482" s="4"/>
      <c r="PP482" s="4"/>
      <c r="PQ482" s="4"/>
      <c r="PR482" s="4"/>
      <c r="PS482" s="4"/>
      <c r="PT482" s="5"/>
      <c r="PU482" s="6"/>
      <c r="PV482" s="4"/>
      <c r="PW482" s="4"/>
      <c r="PX482" s="4"/>
      <c r="PY482" s="4"/>
      <c r="PZ482" s="4"/>
      <c r="QA482" s="5"/>
      <c r="QB482" s="6"/>
      <c r="QC482" s="7"/>
      <c r="QD482" s="7"/>
      <c r="QE482" s="7"/>
      <c r="QF482" s="8"/>
      <c r="QG482" s="8"/>
      <c r="QH482" s="5"/>
      <c r="QI482" s="6"/>
      <c r="QJ482" s="4"/>
      <c r="QK482" s="4"/>
      <c r="QL482" s="4"/>
      <c r="QM482" s="4"/>
      <c r="QN482" s="4"/>
      <c r="QO482" s="5"/>
      <c r="QP482" s="6"/>
      <c r="QQ482" s="4"/>
      <c r="QR482" s="4"/>
      <c r="QS482" s="4"/>
      <c r="QT482" s="4"/>
      <c r="QU482" s="4"/>
      <c r="QV482" s="5"/>
      <c r="QW482" s="6"/>
      <c r="QX482" s="4"/>
      <c r="QY482" s="4"/>
      <c r="QZ482" s="4"/>
      <c r="RA482" s="4"/>
      <c r="RB482" s="4"/>
      <c r="RC482" s="5"/>
      <c r="RD482" s="6"/>
      <c r="RE482" s="4"/>
      <c r="RF482" s="4"/>
      <c r="RG482" s="4"/>
      <c r="RH482" s="4"/>
      <c r="RI482" s="4"/>
      <c r="RJ482" s="5"/>
      <c r="RK482" s="6"/>
      <c r="RL482" s="4"/>
      <c r="RM482" s="4"/>
      <c r="RN482" s="4"/>
      <c r="RO482" s="4"/>
      <c r="RP482" s="4"/>
      <c r="RQ482" s="5"/>
      <c r="RR482" s="6"/>
      <c r="RS482" s="4"/>
      <c r="RT482" s="4"/>
      <c r="RU482" s="4"/>
      <c r="RV482" s="4"/>
      <c r="RW482" s="4"/>
      <c r="RX482" s="5"/>
      <c r="RY482" s="6"/>
      <c r="RZ482" s="4"/>
      <c r="SA482" s="4"/>
      <c r="SB482" s="4"/>
      <c r="SC482" s="4"/>
      <c r="SD482" s="4"/>
      <c r="SE482" s="5"/>
      <c r="SF482" s="6"/>
      <c r="SG482" s="4"/>
      <c r="SH482" s="4"/>
      <c r="SI482" s="4"/>
      <c r="SJ482" s="4"/>
      <c r="SK482" s="4"/>
      <c r="SL482" s="5"/>
      <c r="SM482" s="6"/>
      <c r="SN482" s="4"/>
      <c r="SO482" s="4"/>
      <c r="SP482" s="4"/>
      <c r="SQ482" s="4"/>
      <c r="SR482" s="4"/>
      <c r="SS482" s="5"/>
      <c r="ST482" s="6"/>
      <c r="SU482" s="4"/>
      <c r="SV482" s="4"/>
      <c r="SW482" s="4"/>
      <c r="SX482" s="4"/>
      <c r="SY482" s="4"/>
      <c r="SZ482" s="5"/>
      <c r="TA482" s="6"/>
      <c r="TB482" s="4"/>
      <c r="TC482" s="4"/>
      <c r="TD482" s="4"/>
      <c r="TE482" s="4"/>
      <c r="TF482" s="4"/>
      <c r="TG482" s="5"/>
      <c r="TH482" s="6"/>
      <c r="TI482" s="4"/>
      <c r="TJ482" s="4"/>
      <c r="TK482" s="4"/>
      <c r="TL482" s="4"/>
      <c r="TM482" s="4"/>
      <c r="TN482" s="5"/>
      <c r="TO482" s="6"/>
      <c r="TP482" s="4"/>
      <c r="TQ482" s="4"/>
      <c r="TR482" s="4"/>
      <c r="TS482" s="4"/>
      <c r="TT482" s="4"/>
      <c r="TU482" s="5"/>
      <c r="TV482" s="6"/>
      <c r="TW482" s="4"/>
      <c r="TY482" s="8"/>
      <c r="TZ482" s="8"/>
      <c r="UA482" s="8"/>
      <c r="UB482" s="5"/>
      <c r="UC482" s="6"/>
      <c r="UD482" s="4"/>
      <c r="UE482" s="4"/>
      <c r="UF482" s="4"/>
      <c r="UG482" s="4"/>
      <c r="UH482" s="4"/>
      <c r="UI482" s="5"/>
      <c r="UJ482" s="6"/>
      <c r="UK482" s="4"/>
      <c r="UL482" s="4"/>
      <c r="UM482" s="4"/>
      <c r="UN482" s="4"/>
      <c r="UO482" s="4"/>
      <c r="UP482" s="5"/>
      <c r="UQ482" s="6"/>
      <c r="UR482" s="4"/>
      <c r="US482" s="4"/>
      <c r="UT482" s="4"/>
      <c r="UU482" s="4"/>
      <c r="UV482" s="4"/>
      <c r="UW482" s="5"/>
      <c r="UX482" s="6"/>
      <c r="UY482" s="4"/>
      <c r="UZ482" s="4"/>
      <c r="VA482" s="4"/>
      <c r="VB482" s="4"/>
      <c r="VC482" s="4"/>
      <c r="VD482" s="5"/>
      <c r="VE482" s="6"/>
      <c r="VF482" s="4"/>
      <c r="VG482" s="4"/>
      <c r="VH482" s="4"/>
      <c r="VI482" s="4"/>
      <c r="VJ482" s="4"/>
      <c r="VK482" s="5"/>
      <c r="VL482" s="6"/>
      <c r="VM482" s="4"/>
      <c r="VN482" s="4"/>
      <c r="VO482" s="4"/>
      <c r="VP482" s="4"/>
      <c r="VQ482" s="4"/>
      <c r="VR482" s="5"/>
      <c r="VS482" s="6"/>
      <c r="VT482" s="4"/>
      <c r="VU482" s="4"/>
      <c r="VV482" s="4"/>
      <c r="VW482" s="4"/>
      <c r="VX482" s="4"/>
      <c r="VY482" s="5"/>
      <c r="VZ482" s="6"/>
      <c r="WA482" s="4"/>
      <c r="WB482" s="4"/>
      <c r="WC482" s="4"/>
      <c r="WD482" s="4"/>
      <c r="WE482" s="4"/>
      <c r="WF482" s="5"/>
      <c r="WG482" s="4"/>
      <c r="WH482" s="4"/>
      <c r="WI482" s="4"/>
      <c r="WJ482" s="4"/>
      <c r="WK482" s="4"/>
      <c r="WL482" s="4"/>
      <c r="WM482" s="5"/>
      <c r="WN482" s="6"/>
      <c r="WO482" s="4"/>
      <c r="WP482" s="4"/>
      <c r="WQ482" s="4"/>
      <c r="WR482" s="4"/>
      <c r="WS482" s="4"/>
      <c r="WT482" s="5"/>
      <c r="WU482" s="6"/>
      <c r="WV482" s="4"/>
      <c r="WW482" s="4"/>
      <c r="WX482" s="4"/>
      <c r="WY482" s="4"/>
      <c r="WZ482" s="4"/>
      <c r="XA482" s="5"/>
      <c r="XB482" s="6"/>
      <c r="XC482" s="4"/>
      <c r="XD482" s="4"/>
      <c r="XE482" s="4"/>
      <c r="XF482" s="4"/>
      <c r="XG482" s="4"/>
      <c r="XH482" s="5"/>
      <c r="XI482" s="4"/>
      <c r="XJ482" s="4"/>
      <c r="XK482" s="4"/>
      <c r="XL482" s="4"/>
      <c r="XM482" s="4"/>
      <c r="XN482" s="4"/>
      <c r="XO482" s="5"/>
      <c r="XP482" s="6"/>
      <c r="XQ482" s="4"/>
      <c r="XR482" s="4"/>
      <c r="XS482" s="4"/>
      <c r="XT482" s="4"/>
      <c r="XU482" s="4"/>
      <c r="XV482" s="5"/>
      <c r="XW482" s="6"/>
      <c r="XX482" s="4"/>
      <c r="XY482" s="4"/>
      <c r="XZ482" s="4"/>
      <c r="YA482" s="4"/>
      <c r="YB482" s="4"/>
      <c r="YC482" s="5"/>
      <c r="YD482" s="6"/>
      <c r="YE482" s="4"/>
      <c r="YF482" s="4"/>
      <c r="YG482" s="4"/>
      <c r="YH482" s="4"/>
      <c r="YI482" s="4"/>
      <c r="YJ482" s="5"/>
      <c r="YK482" s="6" t="s">
        <v>1434</v>
      </c>
      <c r="YL482" s="7" t="s">
        <v>1435</v>
      </c>
      <c r="YM482" s="4" t="s">
        <v>1141</v>
      </c>
      <c r="YN482" s="7" t="s">
        <v>869</v>
      </c>
      <c r="YO482" s="9">
        <v>39332</v>
      </c>
      <c r="YP482" s="9">
        <v>39339</v>
      </c>
      <c r="YQ482" s="5"/>
      <c r="YR482" s="6"/>
      <c r="YS482" s="4"/>
      <c r="YT482" s="4"/>
      <c r="YU482" s="4"/>
      <c r="YV482" s="4"/>
      <c r="YW482" s="4"/>
      <c r="YX482" s="5"/>
      <c r="YY482" s="6"/>
      <c r="YZ482" s="4"/>
      <c r="ZA482" s="4"/>
      <c r="ZB482" s="4"/>
      <c r="ZC482" s="4"/>
      <c r="ZD482" s="4"/>
      <c r="ZE482" s="5"/>
      <c r="ZF482" s="6"/>
      <c r="ZG482" s="4"/>
      <c r="ZH482" s="4"/>
      <c r="ZI482" s="4"/>
      <c r="ZJ482" s="4"/>
      <c r="ZK482" s="4"/>
      <c r="ZL482" s="5"/>
      <c r="ZM482" s="6"/>
      <c r="ZN482" s="4"/>
      <c r="ZO482" s="4"/>
      <c r="ZP482" s="4"/>
      <c r="ZQ482" s="4"/>
      <c r="ZR482" s="4"/>
      <c r="ZS482" s="5"/>
      <c r="ZT482" s="6"/>
      <c r="ZU482" s="4"/>
      <c r="ZV482" s="4"/>
      <c r="ZW482" s="4"/>
      <c r="ZX482" s="4"/>
      <c r="ZY482" s="4"/>
      <c r="ZZ482" s="5"/>
      <c r="AAA482" s="6"/>
      <c r="AAB482" s="4"/>
      <c r="AAC482" s="4"/>
      <c r="AAD482" s="4"/>
      <c r="AAE482" s="4"/>
      <c r="AAF482" s="4"/>
      <c r="AAG482" s="5"/>
      <c r="AAH482" s="6"/>
      <c r="AAI482" s="4"/>
      <c r="AAJ482" s="4"/>
      <c r="AAK482" s="4"/>
      <c r="AAL482" s="4"/>
      <c r="AAM482" s="4"/>
      <c r="AAN482" s="5"/>
      <c r="AAO482" s="6"/>
      <c r="AAP482" s="4"/>
      <c r="AAQ482" s="4"/>
      <c r="AAR482" s="4"/>
      <c r="AAS482" s="4"/>
      <c r="AAT482" s="4"/>
      <c r="AAU482" s="5"/>
      <c r="AAV482" s="6"/>
      <c r="AAW482" s="4"/>
      <c r="AAX482" s="4"/>
      <c r="AAY482" s="4"/>
      <c r="AAZ482" s="4"/>
      <c r="ABA482" s="4"/>
      <c r="ABB482" s="5"/>
      <c r="ABC482" s="6"/>
      <c r="ABD482" s="4"/>
      <c r="ABE482" s="4"/>
      <c r="ABF482" s="4"/>
      <c r="ABG482" s="4"/>
      <c r="ABH482" s="4"/>
      <c r="ABI482" s="5"/>
      <c r="ABJ482" s="6"/>
      <c r="ABK482" s="4"/>
      <c r="ABL482" s="4"/>
      <c r="ABM482" s="4"/>
      <c r="ABN482" s="4"/>
      <c r="ABO482" s="4"/>
      <c r="ABP482" s="5"/>
      <c r="ABQ482" s="6"/>
      <c r="ABR482" s="4"/>
      <c r="ABS482" s="4"/>
      <c r="ABT482" s="4"/>
      <c r="ABU482" s="4"/>
      <c r="ABV482" s="4"/>
      <c r="ABW482" s="5"/>
      <c r="ABX482" s="6"/>
      <c r="ABY482" s="4"/>
      <c r="ABZ482" s="4"/>
      <c r="ACA482" s="4"/>
      <c r="ACB482" s="4"/>
      <c r="ACC482" s="4"/>
      <c r="ACD482" s="5"/>
      <c r="ACE482" s="6"/>
      <c r="ACF482" s="4"/>
      <c r="ACG482" s="4"/>
      <c r="ACH482" s="4"/>
      <c r="ACI482" s="4"/>
      <c r="ACJ482" s="4"/>
      <c r="ACK482" s="5"/>
      <c r="ACL482" s="6"/>
      <c r="ACM482" s="4"/>
      <c r="ACN482" s="4"/>
      <c r="ACO482" s="4"/>
      <c r="ACP482" s="4"/>
      <c r="ACQ482" s="4"/>
      <c r="ACR482" s="5"/>
      <c r="ACS482" s="6"/>
      <c r="ACT482" s="4"/>
      <c r="ACU482" s="4"/>
      <c r="ACV482" s="4"/>
      <c r="ACW482" s="4"/>
      <c r="ACX482" s="4"/>
      <c r="ACY482" s="5"/>
    </row>
    <row r="483" spans="2:795" x14ac:dyDescent="0.25">
      <c r="B483" s="30"/>
      <c r="J483" s="19"/>
      <c r="K483" s="19"/>
      <c r="L483" s="19"/>
      <c r="LL483" s="6"/>
      <c r="LM483" s="4"/>
      <c r="LN483" s="4"/>
      <c r="LO483" s="4"/>
      <c r="LP483" s="4"/>
      <c r="LQ483" s="4"/>
      <c r="LR483" s="5"/>
      <c r="LS483" s="6"/>
      <c r="LT483" s="4"/>
      <c r="LU483" s="4"/>
      <c r="LV483" s="4"/>
      <c r="LW483" s="4"/>
      <c r="LX483" s="4"/>
      <c r="LY483" s="5"/>
      <c r="LZ483" s="6"/>
      <c r="MA483" s="7"/>
      <c r="MB483" s="4"/>
      <c r="MC483" s="4"/>
      <c r="MD483" s="4"/>
      <c r="ME483" s="4"/>
      <c r="MF483" s="4"/>
      <c r="MG483" s="5"/>
      <c r="MH483" s="6"/>
      <c r="MI483" s="4"/>
      <c r="MJ483" s="4"/>
      <c r="MK483" s="4"/>
      <c r="ML483" s="4"/>
      <c r="MM483" s="4"/>
      <c r="MN483" s="5"/>
      <c r="MO483" s="6"/>
      <c r="MP483" s="4"/>
      <c r="MQ483" s="4"/>
      <c r="MR483" s="4"/>
      <c r="MS483" s="4"/>
      <c r="MT483" s="4"/>
      <c r="MU483" s="5"/>
      <c r="MV483" s="6"/>
      <c r="MW483" s="4"/>
      <c r="MX483" s="4"/>
      <c r="MY483" s="4"/>
      <c r="MZ483" s="4"/>
      <c r="NA483" s="4"/>
      <c r="NB483" s="5"/>
      <c r="NC483" s="6"/>
      <c r="ND483" s="4"/>
      <c r="NE483" s="4"/>
      <c r="NF483" s="4"/>
      <c r="NG483" s="4"/>
      <c r="NH483" s="4"/>
      <c r="NI483" s="5"/>
      <c r="NJ483" s="6"/>
      <c r="NK483" s="4"/>
      <c r="NL483" s="4"/>
      <c r="NM483" s="4"/>
      <c r="NN483" s="4"/>
      <c r="NO483" s="4"/>
      <c r="NP483" s="5"/>
      <c r="NQ483" s="6"/>
      <c r="NR483" s="4"/>
      <c r="NS483" s="4"/>
      <c r="NT483" s="4"/>
      <c r="NU483" s="4"/>
      <c r="NV483" s="4"/>
      <c r="NW483" s="5"/>
      <c r="NX483" s="6"/>
      <c r="NY483" s="4"/>
      <c r="NZ483" s="4"/>
      <c r="OA483" s="4"/>
      <c r="OB483" s="4"/>
      <c r="OC483" s="4"/>
      <c r="OD483" s="5"/>
      <c r="OE483" s="6"/>
      <c r="OF483" s="4"/>
      <c r="OG483" s="4"/>
      <c r="OH483" s="4"/>
      <c r="OI483" s="4"/>
      <c r="OJ483" s="4"/>
      <c r="OK483" s="5"/>
      <c r="OL483" s="6"/>
      <c r="OM483" s="4"/>
      <c r="ON483" s="4"/>
      <c r="OO483" s="4"/>
      <c r="OP483" s="4"/>
      <c r="OQ483" s="4"/>
      <c r="OR483" s="5"/>
      <c r="OS483" s="6"/>
      <c r="OT483" s="4"/>
      <c r="OU483" s="4"/>
      <c r="OV483" s="4"/>
      <c r="OW483" s="4"/>
      <c r="OX483" s="4"/>
      <c r="OY483" s="5"/>
      <c r="OZ483" s="6"/>
      <c r="PA483" s="4"/>
      <c r="PB483" s="4"/>
      <c r="PC483" s="4"/>
      <c r="PD483" s="4"/>
      <c r="PE483" s="4"/>
      <c r="PF483" s="5"/>
      <c r="PG483" s="6"/>
      <c r="PH483" s="4"/>
      <c r="PI483" s="4"/>
      <c r="PJ483" s="4"/>
      <c r="PK483" s="4"/>
      <c r="PL483" s="4"/>
      <c r="PM483" s="5"/>
      <c r="PN483" s="6"/>
      <c r="PO483" s="4"/>
      <c r="PP483" s="4"/>
      <c r="PQ483" s="4"/>
      <c r="PR483" s="4"/>
      <c r="PS483" s="4"/>
      <c r="PT483" s="5"/>
      <c r="PU483" s="6"/>
      <c r="PV483" s="4"/>
      <c r="PW483" s="4"/>
      <c r="PX483" s="4"/>
      <c r="PY483" s="4"/>
      <c r="PZ483" s="4"/>
      <c r="QA483" s="5"/>
      <c r="QB483" s="6"/>
      <c r="QC483" s="7"/>
      <c r="QD483" s="7"/>
      <c r="QE483" s="7"/>
      <c r="QF483" s="8"/>
      <c r="QG483" s="8"/>
      <c r="QH483" s="5"/>
      <c r="QI483" s="6"/>
      <c r="QJ483" s="4"/>
      <c r="QK483" s="4"/>
      <c r="QL483" s="4"/>
      <c r="QM483" s="4"/>
      <c r="QN483" s="4"/>
      <c r="QO483" s="5"/>
      <c r="QP483" s="6"/>
      <c r="QQ483" s="4"/>
      <c r="QR483" s="4"/>
      <c r="QS483" s="4"/>
      <c r="QT483" s="4"/>
      <c r="QU483" s="4"/>
      <c r="QV483" s="5"/>
      <c r="QW483" s="6"/>
      <c r="QX483" s="4"/>
      <c r="QY483" s="4"/>
      <c r="QZ483" s="4"/>
      <c r="RA483" s="4"/>
      <c r="RB483" s="4"/>
      <c r="RC483" s="5"/>
      <c r="RD483" s="6"/>
      <c r="RE483" s="4"/>
      <c r="RF483" s="4"/>
      <c r="RG483" s="4"/>
      <c r="RH483" s="4"/>
      <c r="RI483" s="4"/>
      <c r="RJ483" s="5"/>
      <c r="RK483" s="6"/>
      <c r="RL483" s="4"/>
      <c r="RM483" s="4"/>
      <c r="RN483" s="4"/>
      <c r="RO483" s="4"/>
      <c r="RP483" s="4"/>
      <c r="RQ483" s="5"/>
      <c r="RR483" s="6"/>
      <c r="RS483" s="4"/>
      <c r="RT483" s="4"/>
      <c r="RU483" s="4"/>
      <c r="RV483" s="4"/>
      <c r="RW483" s="4"/>
      <c r="RX483" s="5"/>
      <c r="RY483" s="6"/>
      <c r="RZ483" s="4"/>
      <c r="SA483" s="4"/>
      <c r="SB483" s="4"/>
      <c r="SC483" s="4"/>
      <c r="SD483" s="4"/>
      <c r="SE483" s="5"/>
      <c r="SF483" s="6"/>
      <c r="SG483" s="4"/>
      <c r="SH483" s="4"/>
      <c r="SI483" s="4"/>
      <c r="SJ483" s="4"/>
      <c r="SK483" s="4"/>
      <c r="SL483" s="5"/>
      <c r="SM483" s="6"/>
      <c r="SN483" s="4"/>
      <c r="SO483" s="4"/>
      <c r="SP483" s="4"/>
      <c r="SQ483" s="4"/>
      <c r="SR483" s="4"/>
      <c r="SS483" s="5"/>
      <c r="ST483" s="6"/>
      <c r="SU483" s="4"/>
      <c r="SV483" s="4"/>
      <c r="SW483" s="4"/>
      <c r="SX483" s="4"/>
      <c r="SY483" s="4"/>
      <c r="SZ483" s="5"/>
      <c r="TA483" s="6"/>
      <c r="TB483" s="4"/>
      <c r="TC483" s="4"/>
      <c r="TD483" s="4"/>
      <c r="TE483" s="4"/>
      <c r="TF483" s="4"/>
      <c r="TG483" s="5"/>
      <c r="TH483" s="6"/>
      <c r="TI483" s="4"/>
      <c r="TJ483" s="4"/>
      <c r="TK483" s="4"/>
      <c r="TL483" s="4"/>
      <c r="TM483" s="4"/>
      <c r="TN483" s="5"/>
      <c r="TO483" s="6"/>
      <c r="TP483" s="4"/>
      <c r="TQ483" s="4"/>
      <c r="TR483" s="4"/>
      <c r="TS483" s="4"/>
      <c r="TT483" s="4"/>
      <c r="TU483" s="5"/>
      <c r="TV483" s="6"/>
      <c r="TW483" s="4"/>
      <c r="TY483" s="8"/>
      <c r="TZ483" s="8"/>
      <c r="UA483" s="8"/>
      <c r="UB483" s="5"/>
      <c r="UC483" s="6"/>
      <c r="UD483" s="4"/>
      <c r="UE483" s="4"/>
      <c r="UF483" s="4"/>
      <c r="UG483" s="4"/>
      <c r="UH483" s="4"/>
      <c r="UI483" s="5"/>
      <c r="UJ483" s="6"/>
      <c r="UK483" s="4"/>
      <c r="UL483" s="4"/>
      <c r="UM483" s="4"/>
      <c r="UN483" s="4"/>
      <c r="UO483" s="4"/>
      <c r="UP483" s="5"/>
      <c r="UQ483" s="6"/>
      <c r="UR483" s="4"/>
      <c r="US483" s="4"/>
      <c r="UT483" s="4"/>
      <c r="UU483" s="4"/>
      <c r="UV483" s="4"/>
      <c r="UW483" s="5"/>
      <c r="UX483" s="6"/>
      <c r="UY483" s="4"/>
      <c r="UZ483" s="4"/>
      <c r="VA483" s="4"/>
      <c r="VB483" s="4"/>
      <c r="VC483" s="4"/>
      <c r="VD483" s="5"/>
      <c r="VE483" s="6"/>
      <c r="VF483" s="4"/>
      <c r="VG483" s="4"/>
      <c r="VH483" s="4"/>
      <c r="VI483" s="4"/>
      <c r="VJ483" s="4"/>
      <c r="VK483" s="5"/>
      <c r="VL483" s="6"/>
      <c r="VM483" s="4"/>
      <c r="VN483" s="4"/>
      <c r="VO483" s="4"/>
      <c r="VP483" s="4"/>
      <c r="VQ483" s="4"/>
      <c r="VR483" s="5"/>
      <c r="VS483" s="6"/>
      <c r="VT483" s="4"/>
      <c r="VU483" s="4"/>
      <c r="VV483" s="4"/>
      <c r="VW483" s="4"/>
      <c r="VX483" s="4"/>
      <c r="VY483" s="5"/>
      <c r="VZ483" s="6"/>
      <c r="WA483" s="4"/>
      <c r="WB483" s="4"/>
      <c r="WC483" s="4"/>
      <c r="WD483" s="4"/>
      <c r="WE483" s="4"/>
      <c r="WF483" s="5"/>
      <c r="WG483" s="4"/>
      <c r="WH483" s="4"/>
      <c r="WI483" s="4"/>
      <c r="WJ483" s="4"/>
      <c r="WK483" s="4"/>
      <c r="WL483" s="4"/>
      <c r="WM483" s="5"/>
      <c r="WN483" s="6"/>
      <c r="WO483" s="4"/>
      <c r="WP483" s="4"/>
      <c r="WQ483" s="4"/>
      <c r="WR483" s="4"/>
      <c r="WS483" s="4"/>
      <c r="WT483" s="5"/>
      <c r="WU483" s="6"/>
      <c r="WV483" s="4"/>
      <c r="WW483" s="4"/>
      <c r="WX483" s="4"/>
      <c r="WY483" s="4"/>
      <c r="WZ483" s="4"/>
      <c r="XA483" s="5"/>
      <c r="XB483" s="6"/>
      <c r="XC483" s="4"/>
      <c r="XD483" s="4"/>
      <c r="XE483" s="4"/>
      <c r="XF483" s="4"/>
      <c r="XG483" s="4"/>
      <c r="XH483" s="5"/>
      <c r="XI483" s="4"/>
      <c r="XJ483" s="4"/>
      <c r="XK483" s="4"/>
      <c r="XL483" s="4"/>
      <c r="XM483" s="4"/>
      <c r="XN483" s="4"/>
      <c r="XO483" s="5"/>
      <c r="XP483" s="6"/>
      <c r="XQ483" s="4"/>
      <c r="XR483" s="4"/>
      <c r="XS483" s="4"/>
      <c r="XT483" s="4"/>
      <c r="XU483" s="4"/>
      <c r="XV483" s="5"/>
      <c r="XW483" s="6"/>
      <c r="XX483" s="4"/>
      <c r="XY483" s="4"/>
      <c r="XZ483" s="4"/>
      <c r="YA483" s="4"/>
      <c r="YB483" s="4"/>
      <c r="YC483" s="5"/>
      <c r="YD483" s="6"/>
      <c r="YE483" s="4"/>
      <c r="YF483" s="4"/>
      <c r="YG483" s="4"/>
      <c r="YH483" s="4"/>
      <c r="YI483" s="4"/>
      <c r="YJ483" s="5"/>
      <c r="YK483" s="6" t="s">
        <v>1258</v>
      </c>
      <c r="YL483" s="7" t="s">
        <v>1257</v>
      </c>
      <c r="YM483" s="7" t="s">
        <v>1210</v>
      </c>
      <c r="YN483" s="7" t="s">
        <v>1690</v>
      </c>
      <c r="YO483" s="8">
        <v>39329</v>
      </c>
      <c r="YP483" s="8">
        <v>39330</v>
      </c>
      <c r="YQ483" s="5" t="s">
        <v>1356</v>
      </c>
      <c r="YR483" s="6"/>
      <c r="YS483" s="4"/>
      <c r="YT483" s="4"/>
      <c r="YU483" s="4"/>
      <c r="YV483" s="4"/>
      <c r="YW483" s="4"/>
      <c r="YX483" s="5"/>
      <c r="YY483" s="6"/>
      <c r="YZ483" s="4"/>
      <c r="ZA483" s="4"/>
      <c r="ZB483" s="4"/>
      <c r="ZC483" s="4"/>
      <c r="ZD483" s="4"/>
      <c r="ZE483" s="5"/>
      <c r="ZF483" s="6"/>
      <c r="ZG483" s="4"/>
      <c r="ZH483" s="4"/>
      <c r="ZI483" s="4"/>
      <c r="ZJ483" s="4"/>
      <c r="ZK483" s="4"/>
      <c r="ZL483" s="5"/>
      <c r="ZM483" s="6"/>
      <c r="ZN483" s="4"/>
      <c r="ZO483" s="4"/>
      <c r="ZP483" s="4"/>
      <c r="ZQ483" s="4"/>
      <c r="ZR483" s="4"/>
      <c r="ZS483" s="5"/>
      <c r="ZT483" s="6"/>
      <c r="ZU483" s="4"/>
      <c r="ZV483" s="4"/>
      <c r="ZW483" s="4"/>
      <c r="ZX483" s="4"/>
      <c r="ZY483" s="4"/>
      <c r="ZZ483" s="5"/>
      <c r="AAA483" s="6"/>
      <c r="AAB483" s="4"/>
      <c r="AAC483" s="4"/>
      <c r="AAD483" s="4"/>
      <c r="AAE483" s="4"/>
      <c r="AAF483" s="4"/>
      <c r="AAG483" s="5"/>
      <c r="AAH483" s="6"/>
      <c r="AAI483" s="4"/>
      <c r="AAJ483" s="4"/>
      <c r="AAK483" s="4"/>
      <c r="AAL483" s="4"/>
      <c r="AAM483" s="4"/>
      <c r="AAN483" s="5"/>
      <c r="AAO483" s="6"/>
      <c r="AAP483" s="4"/>
      <c r="AAQ483" s="4"/>
      <c r="AAR483" s="4"/>
      <c r="AAS483" s="4"/>
      <c r="AAT483" s="4"/>
      <c r="AAU483" s="5"/>
      <c r="AAV483" s="6"/>
      <c r="AAW483" s="4"/>
      <c r="AAX483" s="4"/>
      <c r="AAY483" s="4"/>
      <c r="AAZ483" s="4"/>
      <c r="ABA483" s="4"/>
      <c r="ABB483" s="5"/>
      <c r="ABC483" s="6"/>
      <c r="ABD483" s="4"/>
      <c r="ABE483" s="4"/>
      <c r="ABF483" s="4"/>
      <c r="ABG483" s="4"/>
      <c r="ABH483" s="4"/>
      <c r="ABI483" s="5"/>
      <c r="ABJ483" s="6"/>
      <c r="ABK483" s="4"/>
      <c r="ABL483" s="4"/>
      <c r="ABM483" s="4"/>
      <c r="ABN483" s="4"/>
      <c r="ABO483" s="4"/>
      <c r="ABP483" s="5"/>
      <c r="ABQ483" s="6"/>
      <c r="ABR483" s="4"/>
      <c r="ABS483" s="4"/>
      <c r="ABT483" s="4"/>
      <c r="ABU483" s="4"/>
      <c r="ABV483" s="4"/>
      <c r="ABW483" s="5"/>
      <c r="ABX483" s="6"/>
      <c r="ABY483" s="4"/>
      <c r="ABZ483" s="4"/>
      <c r="ACA483" s="4"/>
      <c r="ACB483" s="4"/>
      <c r="ACC483" s="4"/>
      <c r="ACD483" s="5"/>
      <c r="ACE483" s="6"/>
      <c r="ACF483" s="4"/>
      <c r="ACG483" s="4"/>
      <c r="ACH483" s="4"/>
      <c r="ACI483" s="4"/>
      <c r="ACJ483" s="4"/>
      <c r="ACK483" s="5"/>
      <c r="ACL483" s="6"/>
      <c r="ACM483" s="4"/>
      <c r="ACN483" s="4"/>
      <c r="ACO483" s="4"/>
      <c r="ACP483" s="4"/>
      <c r="ACQ483" s="4"/>
      <c r="ACR483" s="5"/>
      <c r="ACS483" s="6"/>
      <c r="ACT483" s="4"/>
      <c r="ACU483" s="4"/>
      <c r="ACV483" s="4"/>
      <c r="ACW483" s="4"/>
      <c r="ACX483" s="4"/>
      <c r="ACY483" s="5"/>
    </row>
    <row r="484" spans="2:795" x14ac:dyDescent="0.25">
      <c r="B484" s="30"/>
      <c r="J484" s="19"/>
      <c r="K484" s="19"/>
      <c r="L484" s="19"/>
      <c r="LL484" s="6"/>
      <c r="LM484" s="4"/>
      <c r="LN484" s="4"/>
      <c r="LO484" s="4"/>
      <c r="LP484" s="4"/>
      <c r="LQ484" s="4"/>
      <c r="LR484" s="5"/>
      <c r="LS484" s="6"/>
      <c r="LT484" s="4"/>
      <c r="LU484" s="4"/>
      <c r="LV484" s="4"/>
      <c r="LW484" s="4"/>
      <c r="LX484" s="4"/>
      <c r="LY484" s="5"/>
      <c r="LZ484" s="6"/>
      <c r="MA484" s="7"/>
      <c r="MB484" s="4"/>
      <c r="MC484" s="4"/>
      <c r="MD484" s="4"/>
      <c r="ME484" s="4"/>
      <c r="MF484" s="4"/>
      <c r="MG484" s="5"/>
      <c r="MH484" s="6"/>
      <c r="MI484" s="4"/>
      <c r="MJ484" s="4"/>
      <c r="MK484" s="4"/>
      <c r="ML484" s="4"/>
      <c r="MM484" s="4"/>
      <c r="MN484" s="5"/>
      <c r="MO484" s="6"/>
      <c r="MP484" s="4"/>
      <c r="MQ484" s="4"/>
      <c r="MR484" s="4"/>
      <c r="MS484" s="4"/>
      <c r="MT484" s="4"/>
      <c r="MU484" s="5"/>
      <c r="MV484" s="6"/>
      <c r="MW484" s="4"/>
      <c r="MX484" s="4"/>
      <c r="MY484" s="4"/>
      <c r="MZ484" s="4"/>
      <c r="NA484" s="4"/>
      <c r="NB484" s="5"/>
      <c r="NC484" s="6"/>
      <c r="ND484" s="4"/>
      <c r="NE484" s="4"/>
      <c r="NF484" s="4"/>
      <c r="NG484" s="4"/>
      <c r="NH484" s="4"/>
      <c r="NI484" s="5"/>
      <c r="NJ484" s="6"/>
      <c r="NK484" s="4"/>
      <c r="NL484" s="4"/>
      <c r="NM484" s="4"/>
      <c r="NN484" s="4"/>
      <c r="NO484" s="4"/>
      <c r="NP484" s="5"/>
      <c r="NQ484" s="6"/>
      <c r="NR484" s="4"/>
      <c r="NS484" s="4"/>
      <c r="NT484" s="4"/>
      <c r="NU484" s="4"/>
      <c r="NV484" s="4"/>
      <c r="NW484" s="5"/>
      <c r="NX484" s="6"/>
      <c r="NY484" s="4"/>
      <c r="NZ484" s="4"/>
      <c r="OA484" s="4"/>
      <c r="OB484" s="4"/>
      <c r="OC484" s="4"/>
      <c r="OD484" s="5"/>
      <c r="OE484" s="6"/>
      <c r="OF484" s="4"/>
      <c r="OG484" s="4"/>
      <c r="OH484" s="4"/>
      <c r="OI484" s="4"/>
      <c r="OJ484" s="4"/>
      <c r="OK484" s="5"/>
      <c r="OL484" s="6"/>
      <c r="OM484" s="4"/>
      <c r="ON484" s="4"/>
      <c r="OO484" s="4"/>
      <c r="OP484" s="4"/>
      <c r="OQ484" s="4"/>
      <c r="OR484" s="5"/>
      <c r="OS484" s="6"/>
      <c r="OT484" s="4"/>
      <c r="OU484" s="4"/>
      <c r="OV484" s="4"/>
      <c r="OW484" s="4"/>
      <c r="OX484" s="4"/>
      <c r="OY484" s="5"/>
      <c r="OZ484" s="6"/>
      <c r="PA484" s="4"/>
      <c r="PB484" s="4"/>
      <c r="PC484" s="4"/>
      <c r="PD484" s="4"/>
      <c r="PE484" s="4"/>
      <c r="PF484" s="5"/>
      <c r="PG484" s="6"/>
      <c r="PH484" s="4"/>
      <c r="PI484" s="4"/>
      <c r="PJ484" s="4"/>
      <c r="PK484" s="4"/>
      <c r="PL484" s="4"/>
      <c r="PM484" s="5"/>
      <c r="PN484" s="6"/>
      <c r="PO484" s="4"/>
      <c r="PP484" s="4"/>
      <c r="PQ484" s="4"/>
      <c r="PR484" s="4"/>
      <c r="PS484" s="4"/>
      <c r="PT484" s="5"/>
      <c r="PU484" s="6"/>
      <c r="PV484" s="4"/>
      <c r="PW484" s="4"/>
      <c r="PX484" s="4"/>
      <c r="PY484" s="4"/>
      <c r="PZ484" s="4"/>
      <c r="QA484" s="5"/>
      <c r="QB484" s="6"/>
      <c r="QC484" s="7"/>
      <c r="QD484" s="7"/>
      <c r="QE484" s="7"/>
      <c r="QF484" s="8"/>
      <c r="QG484" s="8"/>
      <c r="QH484" s="5"/>
      <c r="QI484" s="6"/>
      <c r="QJ484" s="4"/>
      <c r="QK484" s="4"/>
      <c r="QL484" s="4"/>
      <c r="QM484" s="4"/>
      <c r="QN484" s="4"/>
      <c r="QO484" s="5"/>
      <c r="QP484" s="6"/>
      <c r="QQ484" s="4"/>
      <c r="QR484" s="4"/>
      <c r="QS484" s="4"/>
      <c r="QT484" s="4"/>
      <c r="QU484" s="4"/>
      <c r="QV484" s="5"/>
      <c r="QW484" s="6"/>
      <c r="QX484" s="4"/>
      <c r="QY484" s="4"/>
      <c r="QZ484" s="4"/>
      <c r="RA484" s="4"/>
      <c r="RB484" s="4"/>
      <c r="RC484" s="5"/>
      <c r="RD484" s="6"/>
      <c r="RE484" s="4"/>
      <c r="RF484" s="4"/>
      <c r="RG484" s="4"/>
      <c r="RH484" s="4"/>
      <c r="RI484" s="4"/>
      <c r="RJ484" s="5"/>
      <c r="RK484" s="6"/>
      <c r="RL484" s="4"/>
      <c r="RM484" s="4"/>
      <c r="RN484" s="4"/>
      <c r="RO484" s="4"/>
      <c r="RP484" s="4"/>
      <c r="RQ484" s="5"/>
      <c r="RR484" s="6"/>
      <c r="RS484" s="4"/>
      <c r="RT484" s="4"/>
      <c r="RU484" s="4"/>
      <c r="RV484" s="4"/>
      <c r="RW484" s="4"/>
      <c r="RX484" s="5"/>
      <c r="RY484" s="6"/>
      <c r="RZ484" s="4"/>
      <c r="SA484" s="4"/>
      <c r="SB484" s="4"/>
      <c r="SC484" s="4"/>
      <c r="SD484" s="4"/>
      <c r="SE484" s="5"/>
      <c r="SF484" s="6"/>
      <c r="SG484" s="4"/>
      <c r="SH484" s="4"/>
      <c r="SI484" s="4"/>
      <c r="SJ484" s="4"/>
      <c r="SK484" s="4"/>
      <c r="SL484" s="5"/>
      <c r="SM484" s="6"/>
      <c r="SN484" s="4"/>
      <c r="SO484" s="4"/>
      <c r="SP484" s="4"/>
      <c r="SQ484" s="4"/>
      <c r="SR484" s="4"/>
      <c r="SS484" s="5"/>
      <c r="ST484" s="6"/>
      <c r="SU484" s="4"/>
      <c r="SV484" s="4"/>
      <c r="SW484" s="4"/>
      <c r="SX484" s="4"/>
      <c r="SY484" s="4"/>
      <c r="SZ484" s="5"/>
      <c r="TA484" s="6"/>
      <c r="TB484" s="4"/>
      <c r="TC484" s="4"/>
      <c r="TD484" s="4"/>
      <c r="TE484" s="4"/>
      <c r="TF484" s="4"/>
      <c r="TG484" s="5"/>
      <c r="TH484" s="6"/>
      <c r="TI484" s="4"/>
      <c r="TJ484" s="4"/>
      <c r="TK484" s="4"/>
      <c r="TL484" s="4"/>
      <c r="TM484" s="4"/>
      <c r="TN484" s="5"/>
      <c r="TO484" s="6"/>
      <c r="TP484" s="4"/>
      <c r="TQ484" s="4"/>
      <c r="TR484" s="4"/>
      <c r="TS484" s="4"/>
      <c r="TT484" s="4"/>
      <c r="TU484" s="5"/>
      <c r="TV484" s="6"/>
      <c r="TW484" s="4"/>
      <c r="TY484" s="8"/>
      <c r="TZ484" s="8"/>
      <c r="UA484" s="8"/>
      <c r="UB484" s="5"/>
      <c r="UC484" s="6"/>
      <c r="UD484" s="4"/>
      <c r="UE484" s="4"/>
      <c r="UF484" s="4"/>
      <c r="UG484" s="4"/>
      <c r="UH484" s="4"/>
      <c r="UI484" s="5"/>
      <c r="UJ484" s="6"/>
      <c r="UK484" s="4"/>
      <c r="UL484" s="4"/>
      <c r="UM484" s="4"/>
      <c r="UN484" s="4"/>
      <c r="UO484" s="4"/>
      <c r="UP484" s="5"/>
      <c r="UQ484" s="6"/>
      <c r="UR484" s="4"/>
      <c r="US484" s="4"/>
      <c r="UT484" s="4"/>
      <c r="UU484" s="4"/>
      <c r="UV484" s="4"/>
      <c r="UW484" s="5"/>
      <c r="UX484" s="6"/>
      <c r="UY484" s="4"/>
      <c r="UZ484" s="4"/>
      <c r="VA484" s="4"/>
      <c r="VB484" s="4"/>
      <c r="VC484" s="4"/>
      <c r="VD484" s="5"/>
      <c r="VE484" s="6"/>
      <c r="VF484" s="4"/>
      <c r="VG484" s="4"/>
      <c r="VH484" s="4"/>
      <c r="VI484" s="4"/>
      <c r="VJ484" s="4"/>
      <c r="VK484" s="5"/>
      <c r="VL484" s="6"/>
      <c r="VM484" s="4"/>
      <c r="VN484" s="4"/>
      <c r="VO484" s="4"/>
      <c r="VP484" s="4"/>
      <c r="VQ484" s="4"/>
      <c r="VR484" s="5"/>
      <c r="VS484" s="6"/>
      <c r="VT484" s="4"/>
      <c r="VU484" s="4"/>
      <c r="VV484" s="4"/>
      <c r="VW484" s="4"/>
      <c r="VX484" s="4"/>
      <c r="VY484" s="5"/>
      <c r="VZ484" s="6"/>
      <c r="WA484" s="4"/>
      <c r="WB484" s="4"/>
      <c r="WC484" s="4"/>
      <c r="WD484" s="4"/>
      <c r="WE484" s="4"/>
      <c r="WF484" s="5"/>
      <c r="WG484" s="4"/>
      <c r="WH484" s="4"/>
      <c r="WI484" s="4"/>
      <c r="WJ484" s="4"/>
      <c r="WK484" s="4"/>
      <c r="WL484" s="4"/>
      <c r="WM484" s="5"/>
      <c r="WN484" s="6"/>
      <c r="WO484" s="4"/>
      <c r="WP484" s="4"/>
      <c r="WQ484" s="4"/>
      <c r="WR484" s="4"/>
      <c r="WS484" s="4"/>
      <c r="WT484" s="5"/>
      <c r="WU484" s="6"/>
      <c r="WV484" s="4"/>
      <c r="WW484" s="4"/>
      <c r="WX484" s="4"/>
      <c r="WY484" s="4"/>
      <c r="WZ484" s="4"/>
      <c r="XA484" s="5"/>
      <c r="XB484" s="6"/>
      <c r="XC484" s="4"/>
      <c r="XD484" s="4"/>
      <c r="XE484" s="4"/>
      <c r="XF484" s="4"/>
      <c r="XG484" s="4"/>
      <c r="XH484" s="5"/>
      <c r="XI484" s="4"/>
      <c r="XJ484" s="4"/>
      <c r="XK484" s="4"/>
      <c r="XL484" s="4"/>
      <c r="XM484" s="4"/>
      <c r="XN484" s="4"/>
      <c r="XO484" s="5"/>
      <c r="XP484" s="6"/>
      <c r="XQ484" s="4"/>
      <c r="XR484" s="4"/>
      <c r="XS484" s="4"/>
      <c r="XT484" s="4"/>
      <c r="XU484" s="4"/>
      <c r="XV484" s="5"/>
      <c r="XW484" s="6"/>
      <c r="XX484" s="4"/>
      <c r="XY484" s="4"/>
      <c r="XZ484" s="4"/>
      <c r="YA484" s="4"/>
      <c r="YB484" s="4"/>
      <c r="YC484" s="5"/>
      <c r="YD484" s="6"/>
      <c r="YE484" s="4"/>
      <c r="YF484" s="4"/>
      <c r="YG484" s="4"/>
      <c r="YH484" s="4"/>
      <c r="YI484" s="4"/>
      <c r="YJ484" s="5"/>
      <c r="YK484" s="6" t="s">
        <v>3359</v>
      </c>
      <c r="YL484" s="7" t="s">
        <v>2601</v>
      </c>
      <c r="YM484" s="41">
        <v>0.06</v>
      </c>
      <c r="YN484" s="7" t="s">
        <v>1055</v>
      </c>
      <c r="YO484" s="8">
        <v>39322</v>
      </c>
      <c r="YP484" s="8">
        <v>39322</v>
      </c>
      <c r="YQ484" s="5" t="s">
        <v>846</v>
      </c>
      <c r="YR484" s="6"/>
      <c r="YS484" s="4"/>
      <c r="YT484" s="4"/>
      <c r="YU484" s="4"/>
      <c r="YV484" s="4"/>
      <c r="YW484" s="4"/>
      <c r="YX484" s="5"/>
      <c r="YY484" s="6"/>
      <c r="YZ484" s="4"/>
      <c r="ZA484" s="4"/>
      <c r="ZB484" s="4"/>
      <c r="ZC484" s="4"/>
      <c r="ZD484" s="4"/>
      <c r="ZE484" s="5"/>
      <c r="ZF484" s="6"/>
      <c r="ZG484" s="4"/>
      <c r="ZH484" s="4"/>
      <c r="ZI484" s="4"/>
      <c r="ZJ484" s="4"/>
      <c r="ZK484" s="4"/>
      <c r="ZL484" s="5"/>
      <c r="ZM484" s="6"/>
      <c r="ZN484" s="4"/>
      <c r="ZO484" s="4"/>
      <c r="ZP484" s="4"/>
      <c r="ZQ484" s="4"/>
      <c r="ZR484" s="4"/>
      <c r="ZS484" s="5"/>
      <c r="ZT484" s="6"/>
      <c r="ZU484" s="4"/>
      <c r="ZV484" s="4"/>
      <c r="ZW484" s="4"/>
      <c r="ZX484" s="4"/>
      <c r="ZY484" s="4"/>
      <c r="ZZ484" s="5"/>
      <c r="AAA484" s="6"/>
      <c r="AAB484" s="4"/>
      <c r="AAC484" s="4"/>
      <c r="AAD484" s="4"/>
      <c r="AAE484" s="4"/>
      <c r="AAF484" s="4"/>
      <c r="AAG484" s="5"/>
      <c r="AAH484" s="6"/>
      <c r="AAI484" s="4"/>
      <c r="AAJ484" s="4"/>
      <c r="AAK484" s="4"/>
      <c r="AAL484" s="4"/>
      <c r="AAM484" s="4"/>
      <c r="AAN484" s="5"/>
      <c r="AAO484" s="6"/>
      <c r="AAP484" s="4"/>
      <c r="AAQ484" s="4"/>
      <c r="AAR484" s="4"/>
      <c r="AAS484" s="4"/>
      <c r="AAT484" s="4"/>
      <c r="AAU484" s="5"/>
      <c r="AAV484" s="6"/>
      <c r="AAW484" s="4"/>
      <c r="AAX484" s="4"/>
      <c r="AAY484" s="4"/>
      <c r="AAZ484" s="4"/>
      <c r="ABA484" s="4"/>
      <c r="ABB484" s="5"/>
      <c r="ABC484" s="6"/>
      <c r="ABD484" s="4"/>
      <c r="ABE484" s="4"/>
      <c r="ABF484" s="4"/>
      <c r="ABG484" s="4"/>
      <c r="ABH484" s="4"/>
      <c r="ABI484" s="5"/>
      <c r="ABJ484" s="6"/>
      <c r="ABK484" s="4"/>
      <c r="ABL484" s="4"/>
      <c r="ABM484" s="4"/>
      <c r="ABN484" s="4"/>
      <c r="ABO484" s="4"/>
      <c r="ABP484" s="5"/>
      <c r="ABQ484" s="6"/>
      <c r="ABR484" s="4"/>
      <c r="ABS484" s="4"/>
      <c r="ABT484" s="4"/>
      <c r="ABU484" s="4"/>
      <c r="ABV484" s="4"/>
      <c r="ABW484" s="5"/>
      <c r="ABX484" s="6"/>
      <c r="ABY484" s="4"/>
      <c r="ABZ484" s="4"/>
      <c r="ACA484" s="4"/>
      <c r="ACB484" s="4"/>
      <c r="ACC484" s="4"/>
      <c r="ACD484" s="5"/>
      <c r="ACE484" s="6"/>
      <c r="ACF484" s="4"/>
      <c r="ACG484" s="4"/>
      <c r="ACH484" s="4"/>
      <c r="ACI484" s="4"/>
      <c r="ACJ484" s="4"/>
      <c r="ACK484" s="5"/>
      <c r="ACL484" s="6"/>
      <c r="ACM484" s="4"/>
      <c r="ACN484" s="4"/>
      <c r="ACO484" s="4"/>
      <c r="ACP484" s="4"/>
      <c r="ACQ484" s="4"/>
      <c r="ACR484" s="5"/>
      <c r="ACS484" s="6"/>
      <c r="ACT484" s="4"/>
      <c r="ACU484" s="4"/>
      <c r="ACV484" s="4"/>
      <c r="ACW484" s="4"/>
      <c r="ACX484" s="4"/>
      <c r="ACY484" s="5"/>
    </row>
    <row r="485" spans="2:795" x14ac:dyDescent="0.25">
      <c r="B485" s="30"/>
      <c r="J485" s="19"/>
      <c r="K485" s="19"/>
      <c r="L485" s="19"/>
      <c r="LL485" s="6"/>
      <c r="LM485" s="4"/>
      <c r="LN485" s="4"/>
      <c r="LO485" s="4"/>
      <c r="LP485" s="4"/>
      <c r="LQ485" s="4"/>
      <c r="LR485" s="5"/>
      <c r="LS485" s="6"/>
      <c r="LT485" s="4"/>
      <c r="LU485" s="4"/>
      <c r="LV485" s="4"/>
      <c r="LW485" s="4"/>
      <c r="LX485" s="4"/>
      <c r="LY485" s="5"/>
      <c r="LZ485" s="6"/>
      <c r="MA485" s="7"/>
      <c r="MB485" s="4"/>
      <c r="MC485" s="4"/>
      <c r="MD485" s="4"/>
      <c r="ME485" s="4"/>
      <c r="MF485" s="4"/>
      <c r="MG485" s="5"/>
      <c r="MH485" s="6"/>
      <c r="MI485" s="4"/>
      <c r="MJ485" s="4"/>
      <c r="MK485" s="4"/>
      <c r="ML485" s="4"/>
      <c r="MM485" s="4"/>
      <c r="MN485" s="5"/>
      <c r="MO485" s="6"/>
      <c r="MP485" s="4"/>
      <c r="MQ485" s="4"/>
      <c r="MR485" s="4"/>
      <c r="MS485" s="4"/>
      <c r="MT485" s="4"/>
      <c r="MU485" s="5"/>
      <c r="MV485" s="6"/>
      <c r="MW485" s="4"/>
      <c r="MX485" s="4"/>
      <c r="MY485" s="4"/>
      <c r="MZ485" s="4"/>
      <c r="NA485" s="4"/>
      <c r="NB485" s="5"/>
      <c r="NC485" s="6"/>
      <c r="ND485" s="4"/>
      <c r="NE485" s="4"/>
      <c r="NF485" s="4"/>
      <c r="NG485" s="4"/>
      <c r="NH485" s="4"/>
      <c r="NI485" s="5"/>
      <c r="NJ485" s="6"/>
      <c r="NK485" s="4"/>
      <c r="NL485" s="4"/>
      <c r="NM485" s="4"/>
      <c r="NN485" s="4"/>
      <c r="NO485" s="4"/>
      <c r="NP485" s="5"/>
      <c r="NQ485" s="6"/>
      <c r="NR485" s="4"/>
      <c r="NS485" s="4"/>
      <c r="NT485" s="4"/>
      <c r="NU485" s="4"/>
      <c r="NV485" s="4"/>
      <c r="NW485" s="5"/>
      <c r="NX485" s="6"/>
      <c r="NY485" s="4"/>
      <c r="NZ485" s="4"/>
      <c r="OA485" s="4"/>
      <c r="OB485" s="4"/>
      <c r="OC485" s="4"/>
      <c r="OD485" s="5"/>
      <c r="OE485" s="6"/>
      <c r="OF485" s="4"/>
      <c r="OG485" s="4"/>
      <c r="OH485" s="4"/>
      <c r="OI485" s="4"/>
      <c r="OJ485" s="4"/>
      <c r="OK485" s="5"/>
      <c r="OL485" s="6"/>
      <c r="OM485" s="4"/>
      <c r="ON485" s="4"/>
      <c r="OO485" s="4"/>
      <c r="OP485" s="4"/>
      <c r="OQ485" s="4"/>
      <c r="OR485" s="5"/>
      <c r="OS485" s="6"/>
      <c r="OT485" s="4"/>
      <c r="OU485" s="4"/>
      <c r="OV485" s="4"/>
      <c r="OW485" s="4"/>
      <c r="OX485" s="4"/>
      <c r="OY485" s="5"/>
      <c r="OZ485" s="6"/>
      <c r="PA485" s="4"/>
      <c r="PB485" s="4"/>
      <c r="PC485" s="4"/>
      <c r="PD485" s="4"/>
      <c r="PE485" s="4"/>
      <c r="PF485" s="5"/>
      <c r="PG485" s="6"/>
      <c r="PH485" s="4"/>
      <c r="PI485" s="4"/>
      <c r="PJ485" s="4"/>
      <c r="PK485" s="4"/>
      <c r="PL485" s="4"/>
      <c r="PM485" s="5"/>
      <c r="PN485" s="6"/>
      <c r="PO485" s="4"/>
      <c r="PP485" s="4"/>
      <c r="PQ485" s="4"/>
      <c r="PR485" s="4"/>
      <c r="PS485" s="4"/>
      <c r="PT485" s="5"/>
      <c r="PU485" s="6"/>
      <c r="PV485" s="4"/>
      <c r="PW485" s="4"/>
      <c r="PX485" s="4"/>
      <c r="PY485" s="4"/>
      <c r="PZ485" s="4"/>
      <c r="QA485" s="5"/>
      <c r="QB485" s="6"/>
      <c r="QC485" s="7"/>
      <c r="QD485" s="7"/>
      <c r="QE485" s="7"/>
      <c r="QF485" s="8"/>
      <c r="QG485" s="8"/>
      <c r="QH485" s="5"/>
      <c r="QI485" s="6"/>
      <c r="QJ485" s="4"/>
      <c r="QK485" s="4"/>
      <c r="QL485" s="4"/>
      <c r="QM485" s="4"/>
      <c r="QN485" s="4"/>
      <c r="QO485" s="5"/>
      <c r="QP485" s="6"/>
      <c r="QQ485" s="4"/>
      <c r="QR485" s="4"/>
      <c r="QS485" s="4"/>
      <c r="QT485" s="4"/>
      <c r="QU485" s="4"/>
      <c r="QV485" s="5"/>
      <c r="QW485" s="6"/>
      <c r="QX485" s="4"/>
      <c r="QY485" s="4"/>
      <c r="QZ485" s="4"/>
      <c r="RA485" s="4"/>
      <c r="RB485" s="4"/>
      <c r="RC485" s="5"/>
      <c r="RD485" s="6"/>
      <c r="RE485" s="4"/>
      <c r="RF485" s="4"/>
      <c r="RG485" s="4"/>
      <c r="RH485" s="4"/>
      <c r="RI485" s="4"/>
      <c r="RJ485" s="5"/>
      <c r="RK485" s="6"/>
      <c r="RL485" s="4"/>
      <c r="RM485" s="4"/>
      <c r="RN485" s="4"/>
      <c r="RO485" s="4"/>
      <c r="RP485" s="4"/>
      <c r="RQ485" s="5"/>
      <c r="RR485" s="6"/>
      <c r="RS485" s="4"/>
      <c r="RT485" s="4"/>
      <c r="RU485" s="4"/>
      <c r="RV485" s="4"/>
      <c r="RW485" s="4"/>
      <c r="RX485" s="5"/>
      <c r="RY485" s="6"/>
      <c r="RZ485" s="4"/>
      <c r="SA485" s="4"/>
      <c r="SB485" s="4"/>
      <c r="SC485" s="4"/>
      <c r="SD485" s="4"/>
      <c r="SE485" s="5"/>
      <c r="SF485" s="6"/>
      <c r="SG485" s="4"/>
      <c r="SH485" s="4"/>
      <c r="SI485" s="4"/>
      <c r="SJ485" s="4"/>
      <c r="SK485" s="4"/>
      <c r="SL485" s="5"/>
      <c r="SM485" s="6"/>
      <c r="SN485" s="4"/>
      <c r="SO485" s="4"/>
      <c r="SP485" s="4"/>
      <c r="SQ485" s="4"/>
      <c r="SR485" s="4"/>
      <c r="SS485" s="5"/>
      <c r="ST485" s="6"/>
      <c r="SU485" s="4"/>
      <c r="SV485" s="4"/>
      <c r="SW485" s="4"/>
      <c r="SX485" s="4"/>
      <c r="SY485" s="4"/>
      <c r="SZ485" s="5"/>
      <c r="TA485" s="6"/>
      <c r="TB485" s="4"/>
      <c r="TC485" s="4"/>
      <c r="TD485" s="4"/>
      <c r="TE485" s="4"/>
      <c r="TF485" s="4"/>
      <c r="TG485" s="5"/>
      <c r="TH485" s="6"/>
      <c r="TI485" s="4"/>
      <c r="TJ485" s="4"/>
      <c r="TK485" s="4"/>
      <c r="TL485" s="4"/>
      <c r="TM485" s="4"/>
      <c r="TN485" s="5"/>
      <c r="TO485" s="6"/>
      <c r="TP485" s="4"/>
      <c r="TQ485" s="4"/>
      <c r="TR485" s="4"/>
      <c r="TS485" s="4"/>
      <c r="TT485" s="4"/>
      <c r="TU485" s="5"/>
      <c r="TV485" s="6"/>
      <c r="TW485" s="4"/>
      <c r="TY485" s="8"/>
      <c r="TZ485" s="8"/>
      <c r="UA485" s="8"/>
      <c r="UB485" s="5"/>
      <c r="UC485" s="6"/>
      <c r="UD485" s="4"/>
      <c r="UE485" s="4"/>
      <c r="UF485" s="4"/>
      <c r="UG485" s="4"/>
      <c r="UH485" s="4"/>
      <c r="UI485" s="5"/>
      <c r="UJ485" s="6"/>
      <c r="UK485" s="4"/>
      <c r="UL485" s="4"/>
      <c r="UM485" s="4"/>
      <c r="UN485" s="4"/>
      <c r="UO485" s="4"/>
      <c r="UP485" s="5"/>
      <c r="UQ485" s="6"/>
      <c r="UR485" s="4"/>
      <c r="US485" s="4"/>
      <c r="UT485" s="4"/>
      <c r="UU485" s="4"/>
      <c r="UV485" s="4"/>
      <c r="UW485" s="5"/>
      <c r="UX485" s="6"/>
      <c r="UY485" s="4"/>
      <c r="UZ485" s="4"/>
      <c r="VA485" s="4"/>
      <c r="VB485" s="4"/>
      <c r="VC485" s="4"/>
      <c r="VD485" s="5"/>
      <c r="VE485" s="6"/>
      <c r="VF485" s="4"/>
      <c r="VG485" s="4"/>
      <c r="VH485" s="4"/>
      <c r="VI485" s="4"/>
      <c r="VJ485" s="4"/>
      <c r="VK485" s="5"/>
      <c r="VL485" s="6"/>
      <c r="VM485" s="4"/>
      <c r="VN485" s="4"/>
      <c r="VO485" s="4"/>
      <c r="VP485" s="4"/>
      <c r="VQ485" s="4"/>
      <c r="VR485" s="5"/>
      <c r="VS485" s="6"/>
      <c r="VT485" s="4"/>
      <c r="VU485" s="4"/>
      <c r="VV485" s="4"/>
      <c r="VW485" s="4"/>
      <c r="VX485" s="4"/>
      <c r="VY485" s="5"/>
      <c r="VZ485" s="6"/>
      <c r="WA485" s="4"/>
      <c r="WB485" s="4"/>
      <c r="WC485" s="4"/>
      <c r="WD485" s="4"/>
      <c r="WE485" s="4"/>
      <c r="WF485" s="5"/>
      <c r="WG485" s="4"/>
      <c r="WH485" s="4"/>
      <c r="WI485" s="4"/>
      <c r="WJ485" s="4"/>
      <c r="WK485" s="4"/>
      <c r="WL485" s="4"/>
      <c r="WM485" s="5"/>
      <c r="WN485" s="6"/>
      <c r="WO485" s="4"/>
      <c r="WP485" s="4"/>
      <c r="WQ485" s="4"/>
      <c r="WR485" s="4"/>
      <c r="WS485" s="4"/>
      <c r="WT485" s="5"/>
      <c r="WU485" s="6"/>
      <c r="WV485" s="4"/>
      <c r="WW485" s="4"/>
      <c r="WX485" s="4"/>
      <c r="WY485" s="4"/>
      <c r="WZ485" s="4"/>
      <c r="XA485" s="5"/>
      <c r="XB485" s="6"/>
      <c r="XC485" s="4"/>
      <c r="XD485" s="4"/>
      <c r="XE485" s="4"/>
      <c r="XF485" s="4"/>
      <c r="XG485" s="4"/>
      <c r="XH485" s="5"/>
      <c r="XI485" s="4"/>
      <c r="XJ485" s="4"/>
      <c r="XK485" s="4"/>
      <c r="XL485" s="4"/>
      <c r="XM485" s="4"/>
      <c r="XN485" s="4"/>
      <c r="XO485" s="5"/>
      <c r="XP485" s="6"/>
      <c r="XQ485" s="4"/>
      <c r="XR485" s="4"/>
      <c r="XS485" s="4"/>
      <c r="XT485" s="4"/>
      <c r="XU485" s="4"/>
      <c r="XV485" s="5"/>
      <c r="XW485" s="6"/>
      <c r="XX485" s="4"/>
      <c r="XY485" s="4"/>
      <c r="XZ485" s="4"/>
      <c r="YA485" s="4"/>
      <c r="YB485" s="4"/>
      <c r="YC485" s="5"/>
      <c r="YD485" s="6"/>
      <c r="YE485" s="4"/>
      <c r="YF485" s="4"/>
      <c r="YG485" s="4"/>
      <c r="YH485" s="4"/>
      <c r="YI485" s="4"/>
      <c r="YJ485" s="5"/>
      <c r="YK485" s="6" t="s">
        <v>1342</v>
      </c>
      <c r="YL485" s="7" t="s">
        <v>1343</v>
      </c>
      <c r="YM485" s="41"/>
      <c r="YN485" s="7" t="s">
        <v>1052</v>
      </c>
      <c r="YO485" s="8">
        <v>39327</v>
      </c>
      <c r="YP485" s="8">
        <v>39328</v>
      </c>
      <c r="YQ485" s="5" t="s">
        <v>846</v>
      </c>
      <c r="YR485" s="6"/>
      <c r="YS485" s="4"/>
      <c r="YT485" s="4"/>
      <c r="YU485" s="4"/>
      <c r="YV485" s="4"/>
      <c r="YW485" s="4"/>
      <c r="YX485" s="5"/>
      <c r="YY485" s="6"/>
      <c r="YZ485" s="4"/>
      <c r="ZA485" s="4"/>
      <c r="ZB485" s="4"/>
      <c r="ZC485" s="4"/>
      <c r="ZD485" s="4"/>
      <c r="ZE485" s="5"/>
      <c r="ZF485" s="6"/>
      <c r="ZG485" s="4"/>
      <c r="ZH485" s="4"/>
      <c r="ZI485" s="4"/>
      <c r="ZJ485" s="4"/>
      <c r="ZK485" s="4"/>
      <c r="ZL485" s="5"/>
      <c r="ZM485" s="6"/>
      <c r="ZN485" s="4"/>
      <c r="ZO485" s="4"/>
      <c r="ZP485" s="4"/>
      <c r="ZQ485" s="4"/>
      <c r="ZR485" s="4"/>
      <c r="ZS485" s="5"/>
      <c r="ZT485" s="6"/>
      <c r="ZU485" s="4"/>
      <c r="ZV485" s="4"/>
      <c r="ZW485" s="4"/>
      <c r="ZX485" s="4"/>
      <c r="ZY485" s="4"/>
      <c r="ZZ485" s="5"/>
      <c r="AAA485" s="6"/>
      <c r="AAB485" s="4"/>
      <c r="AAC485" s="4"/>
      <c r="AAD485" s="4"/>
      <c r="AAE485" s="4"/>
      <c r="AAF485" s="4"/>
      <c r="AAG485" s="5"/>
      <c r="AAH485" s="6"/>
      <c r="AAI485" s="4"/>
      <c r="AAJ485" s="4"/>
      <c r="AAK485" s="4"/>
      <c r="AAL485" s="4"/>
      <c r="AAM485" s="4"/>
      <c r="AAN485" s="5"/>
      <c r="AAO485" s="6"/>
      <c r="AAP485" s="4"/>
      <c r="AAQ485" s="4"/>
      <c r="AAR485" s="4"/>
      <c r="AAS485" s="4"/>
      <c r="AAT485" s="4"/>
      <c r="AAU485" s="5"/>
      <c r="AAV485" s="6"/>
      <c r="AAW485" s="4"/>
      <c r="AAX485" s="4"/>
      <c r="AAY485" s="4"/>
      <c r="AAZ485" s="4"/>
      <c r="ABA485" s="4"/>
      <c r="ABB485" s="5"/>
      <c r="ABC485" s="6"/>
      <c r="ABD485" s="4"/>
      <c r="ABE485" s="4"/>
      <c r="ABF485" s="4"/>
      <c r="ABG485" s="4"/>
      <c r="ABH485" s="4"/>
      <c r="ABI485" s="5"/>
      <c r="ABJ485" s="6"/>
      <c r="ABK485" s="4"/>
      <c r="ABL485" s="4"/>
      <c r="ABM485" s="4"/>
      <c r="ABN485" s="4"/>
      <c r="ABO485" s="4"/>
      <c r="ABP485" s="5"/>
      <c r="ABQ485" s="6"/>
      <c r="ABR485" s="4"/>
      <c r="ABS485" s="4"/>
      <c r="ABT485" s="4"/>
      <c r="ABU485" s="4"/>
      <c r="ABV485" s="4"/>
      <c r="ABW485" s="5"/>
      <c r="ABX485" s="6"/>
      <c r="ABY485" s="4"/>
      <c r="ABZ485" s="4"/>
      <c r="ACA485" s="4"/>
      <c r="ACB485" s="4"/>
      <c r="ACC485" s="4"/>
      <c r="ACD485" s="5"/>
      <c r="ACE485" s="6"/>
      <c r="ACF485" s="4"/>
      <c r="ACG485" s="4"/>
      <c r="ACH485" s="4"/>
      <c r="ACI485" s="4"/>
      <c r="ACJ485" s="4"/>
      <c r="ACK485" s="5"/>
      <c r="ACL485" s="6"/>
      <c r="ACM485" s="4"/>
      <c r="ACN485" s="4"/>
      <c r="ACO485" s="4"/>
      <c r="ACP485" s="4"/>
      <c r="ACQ485" s="4"/>
      <c r="ACR485" s="5"/>
      <c r="ACS485" s="6"/>
      <c r="ACT485" s="4"/>
      <c r="ACU485" s="4"/>
      <c r="ACV485" s="4"/>
      <c r="ACW485" s="4"/>
      <c r="ACX485" s="4"/>
      <c r="ACY485" s="5"/>
    </row>
    <row r="486" spans="2:795" x14ac:dyDescent="0.25">
      <c r="B486" s="30"/>
      <c r="J486" s="19"/>
      <c r="K486" s="19"/>
      <c r="L486" s="19"/>
      <c r="LL486" s="6"/>
      <c r="LM486" s="4"/>
      <c r="LN486" s="4"/>
      <c r="LO486" s="4"/>
      <c r="LP486" s="4"/>
      <c r="LQ486" s="4"/>
      <c r="LR486" s="5"/>
      <c r="LS486" s="6"/>
      <c r="LT486" s="4"/>
      <c r="LU486" s="4"/>
      <c r="LV486" s="4"/>
      <c r="LW486" s="4"/>
      <c r="LX486" s="4"/>
      <c r="LY486" s="5"/>
      <c r="LZ486" s="6"/>
      <c r="MA486" s="7"/>
      <c r="MB486" s="4"/>
      <c r="MC486" s="4"/>
      <c r="MD486" s="4"/>
      <c r="ME486" s="4"/>
      <c r="MF486" s="4"/>
      <c r="MG486" s="5"/>
      <c r="MH486" s="6"/>
      <c r="MI486" s="4"/>
      <c r="MJ486" s="4"/>
      <c r="MK486" s="4"/>
      <c r="ML486" s="4"/>
      <c r="MM486" s="4"/>
      <c r="MN486" s="5"/>
      <c r="MO486" s="6"/>
      <c r="MP486" s="4"/>
      <c r="MQ486" s="4"/>
      <c r="MR486" s="4"/>
      <c r="MS486" s="4"/>
      <c r="MT486" s="4"/>
      <c r="MU486" s="5"/>
      <c r="MV486" s="6"/>
      <c r="MW486" s="4"/>
      <c r="MX486" s="4"/>
      <c r="MY486" s="4"/>
      <c r="MZ486" s="4"/>
      <c r="NA486" s="4"/>
      <c r="NB486" s="5"/>
      <c r="NC486" s="6"/>
      <c r="ND486" s="4"/>
      <c r="NE486" s="4"/>
      <c r="NF486" s="4"/>
      <c r="NG486" s="4"/>
      <c r="NH486" s="4"/>
      <c r="NI486" s="5"/>
      <c r="NJ486" s="6"/>
      <c r="NK486" s="4"/>
      <c r="NL486" s="4"/>
      <c r="NM486" s="4"/>
      <c r="NN486" s="4"/>
      <c r="NO486" s="4"/>
      <c r="NP486" s="5"/>
      <c r="NQ486" s="6"/>
      <c r="NR486" s="4"/>
      <c r="NS486" s="4"/>
      <c r="NT486" s="4"/>
      <c r="NU486" s="4"/>
      <c r="NV486" s="4"/>
      <c r="NW486" s="5"/>
      <c r="NX486" s="6"/>
      <c r="NY486" s="4"/>
      <c r="NZ486" s="4"/>
      <c r="OA486" s="4"/>
      <c r="OB486" s="4"/>
      <c r="OC486" s="4"/>
      <c r="OD486" s="5"/>
      <c r="OE486" s="6"/>
      <c r="OF486" s="4"/>
      <c r="OG486" s="4"/>
      <c r="OH486" s="4"/>
      <c r="OI486" s="4"/>
      <c r="OJ486" s="4"/>
      <c r="OK486" s="5"/>
      <c r="OL486" s="6"/>
      <c r="OM486" s="4"/>
      <c r="ON486" s="4"/>
      <c r="OO486" s="4"/>
      <c r="OP486" s="4"/>
      <c r="OQ486" s="4"/>
      <c r="OR486" s="5"/>
      <c r="OS486" s="6"/>
      <c r="OT486" s="4"/>
      <c r="OU486" s="4"/>
      <c r="OV486" s="4"/>
      <c r="OW486" s="4"/>
      <c r="OX486" s="4"/>
      <c r="OY486" s="5"/>
      <c r="OZ486" s="6"/>
      <c r="PA486" s="4"/>
      <c r="PB486" s="4"/>
      <c r="PC486" s="4"/>
      <c r="PD486" s="4"/>
      <c r="PE486" s="4"/>
      <c r="PF486" s="5"/>
      <c r="PG486" s="6"/>
      <c r="PH486" s="4"/>
      <c r="PI486" s="4"/>
      <c r="PJ486" s="4"/>
      <c r="PK486" s="4"/>
      <c r="PL486" s="4"/>
      <c r="PM486" s="5"/>
      <c r="PN486" s="6"/>
      <c r="PO486" s="4"/>
      <c r="PP486" s="4"/>
      <c r="PQ486" s="4"/>
      <c r="PR486" s="4"/>
      <c r="PS486" s="4"/>
      <c r="PT486" s="5"/>
      <c r="PU486" s="6"/>
      <c r="PV486" s="4"/>
      <c r="PW486" s="4"/>
      <c r="PX486" s="4"/>
      <c r="PY486" s="4"/>
      <c r="PZ486" s="4"/>
      <c r="QA486" s="5"/>
      <c r="QB486" s="6"/>
      <c r="QC486" s="7"/>
      <c r="QD486" s="7"/>
      <c r="QE486" s="7"/>
      <c r="QF486" s="8"/>
      <c r="QG486" s="8"/>
      <c r="QH486" s="5"/>
      <c r="QI486" s="6"/>
      <c r="QJ486" s="4"/>
      <c r="QK486" s="4"/>
      <c r="QL486" s="4"/>
      <c r="QM486" s="4"/>
      <c r="QN486" s="4"/>
      <c r="QO486" s="5"/>
      <c r="QP486" s="6"/>
      <c r="QQ486" s="4"/>
      <c r="QR486" s="4"/>
      <c r="QS486" s="4"/>
      <c r="QT486" s="4"/>
      <c r="QU486" s="4"/>
      <c r="QV486" s="5"/>
      <c r="QW486" s="6"/>
      <c r="QX486" s="4"/>
      <c r="QY486" s="4"/>
      <c r="QZ486" s="4"/>
      <c r="RA486" s="4"/>
      <c r="RB486" s="4"/>
      <c r="RC486" s="5"/>
      <c r="RD486" s="6"/>
      <c r="RE486" s="4"/>
      <c r="RF486" s="4"/>
      <c r="RG486" s="4"/>
      <c r="RH486" s="4"/>
      <c r="RI486" s="4"/>
      <c r="RJ486" s="5"/>
      <c r="RK486" s="6"/>
      <c r="RL486" s="4"/>
      <c r="RM486" s="4"/>
      <c r="RN486" s="4"/>
      <c r="RO486" s="4"/>
      <c r="RP486" s="4"/>
      <c r="RQ486" s="5"/>
      <c r="RR486" s="6"/>
      <c r="RS486" s="4"/>
      <c r="RT486" s="4"/>
      <c r="RU486" s="4"/>
      <c r="RV486" s="4"/>
      <c r="RW486" s="4"/>
      <c r="RX486" s="5"/>
      <c r="RY486" s="6"/>
      <c r="RZ486" s="4"/>
      <c r="SA486" s="4"/>
      <c r="SB486" s="4"/>
      <c r="SC486" s="4"/>
      <c r="SD486" s="4"/>
      <c r="SE486" s="5"/>
      <c r="SF486" s="6"/>
      <c r="SG486" s="4"/>
      <c r="SH486" s="4"/>
      <c r="SI486" s="4"/>
      <c r="SJ486" s="4"/>
      <c r="SK486" s="4"/>
      <c r="SL486" s="5"/>
      <c r="SM486" s="6"/>
      <c r="SN486" s="4"/>
      <c r="SO486" s="4"/>
      <c r="SP486" s="4"/>
      <c r="SQ486" s="4"/>
      <c r="SR486" s="4"/>
      <c r="SS486" s="5"/>
      <c r="ST486" s="6"/>
      <c r="SU486" s="4"/>
      <c r="SV486" s="4"/>
      <c r="SW486" s="4"/>
      <c r="SX486" s="4"/>
      <c r="SY486" s="4"/>
      <c r="SZ486" s="5"/>
      <c r="TA486" s="6"/>
      <c r="TB486" s="4"/>
      <c r="TC486" s="4"/>
      <c r="TD486" s="4"/>
      <c r="TE486" s="4"/>
      <c r="TF486" s="4"/>
      <c r="TG486" s="5"/>
      <c r="TH486" s="6"/>
      <c r="TI486" s="4"/>
      <c r="TJ486" s="4"/>
      <c r="TK486" s="4"/>
      <c r="TL486" s="4"/>
      <c r="TM486" s="4"/>
      <c r="TN486" s="5"/>
      <c r="TO486" s="6"/>
      <c r="TP486" s="4"/>
      <c r="TQ486" s="4"/>
      <c r="TR486" s="4"/>
      <c r="TS486" s="4"/>
      <c r="TT486" s="4"/>
      <c r="TU486" s="5"/>
      <c r="TV486" s="6"/>
      <c r="TW486" s="4"/>
      <c r="TY486" s="8"/>
      <c r="TZ486" s="8"/>
      <c r="UA486" s="8"/>
      <c r="UB486" s="5"/>
      <c r="UC486" s="6"/>
      <c r="UD486" s="4"/>
      <c r="UE486" s="4"/>
      <c r="UF486" s="4"/>
      <c r="UG486" s="4"/>
      <c r="UH486" s="4"/>
      <c r="UI486" s="5"/>
      <c r="UJ486" s="6"/>
      <c r="UK486" s="4"/>
      <c r="UL486" s="4"/>
      <c r="UM486" s="4"/>
      <c r="UN486" s="4"/>
      <c r="UO486" s="4"/>
      <c r="UP486" s="5"/>
      <c r="UQ486" s="6"/>
      <c r="UR486" s="4"/>
      <c r="US486" s="4"/>
      <c r="UT486" s="4"/>
      <c r="UU486" s="4"/>
      <c r="UV486" s="4"/>
      <c r="UW486" s="5"/>
      <c r="UX486" s="6"/>
      <c r="UY486" s="4"/>
      <c r="UZ486" s="4"/>
      <c r="VA486" s="4"/>
      <c r="VB486" s="4"/>
      <c r="VC486" s="4"/>
      <c r="VD486" s="5"/>
      <c r="VE486" s="6"/>
      <c r="VF486" s="4"/>
      <c r="VG486" s="4"/>
      <c r="VH486" s="4"/>
      <c r="VI486" s="4"/>
      <c r="VJ486" s="4"/>
      <c r="VK486" s="5"/>
      <c r="VL486" s="6"/>
      <c r="VM486" s="4"/>
      <c r="VN486" s="4"/>
      <c r="VO486" s="4"/>
      <c r="VP486" s="4"/>
      <c r="VQ486" s="4"/>
      <c r="VR486" s="5"/>
      <c r="VS486" s="6"/>
      <c r="VT486" s="4"/>
      <c r="VU486" s="4"/>
      <c r="VV486" s="4"/>
      <c r="VW486" s="4"/>
      <c r="VX486" s="4"/>
      <c r="VY486" s="5"/>
      <c r="VZ486" s="6"/>
      <c r="WA486" s="4"/>
      <c r="WB486" s="4"/>
      <c r="WC486" s="4"/>
      <c r="WD486" s="4"/>
      <c r="WE486" s="4"/>
      <c r="WF486" s="5"/>
      <c r="WG486" s="4"/>
      <c r="WH486" s="4"/>
      <c r="WI486" s="4"/>
      <c r="WJ486" s="4"/>
      <c r="WK486" s="4"/>
      <c r="WL486" s="4"/>
      <c r="WM486" s="5"/>
      <c r="WN486" s="6"/>
      <c r="WO486" s="4"/>
      <c r="WP486" s="4"/>
      <c r="WQ486" s="4"/>
      <c r="WR486" s="4"/>
      <c r="WS486" s="4"/>
      <c r="WT486" s="5"/>
      <c r="WU486" s="6"/>
      <c r="WV486" s="4"/>
      <c r="WW486" s="4"/>
      <c r="WX486" s="4"/>
      <c r="WY486" s="4"/>
      <c r="WZ486" s="4"/>
      <c r="XA486" s="5"/>
      <c r="XB486" s="6"/>
      <c r="XC486" s="4"/>
      <c r="XD486" s="4"/>
      <c r="XE486" s="4"/>
      <c r="XF486" s="4"/>
      <c r="XG486" s="4"/>
      <c r="XH486" s="5"/>
      <c r="XI486" s="4"/>
      <c r="XJ486" s="4"/>
      <c r="XK486" s="4"/>
      <c r="XL486" s="4"/>
      <c r="XM486" s="4"/>
      <c r="XN486" s="4"/>
      <c r="XO486" s="5"/>
      <c r="XP486" s="6"/>
      <c r="XQ486" s="4"/>
      <c r="XR486" s="4"/>
      <c r="XS486" s="4"/>
      <c r="XT486" s="4"/>
      <c r="XU486" s="4"/>
      <c r="XV486" s="5"/>
      <c r="XW486" s="6"/>
      <c r="XX486" s="4"/>
      <c r="XY486" s="4"/>
      <c r="XZ486" s="4"/>
      <c r="YA486" s="4"/>
      <c r="YB486" s="4"/>
      <c r="YC486" s="5"/>
      <c r="YD486" s="6"/>
      <c r="YE486" s="4"/>
      <c r="YF486" s="4"/>
      <c r="YG486" s="4"/>
      <c r="YH486" s="4"/>
      <c r="YI486" s="4"/>
      <c r="YJ486" s="5"/>
      <c r="YK486" s="6" t="s">
        <v>3784</v>
      </c>
      <c r="YL486" s="7" t="s">
        <v>3785</v>
      </c>
      <c r="YM486" s="41"/>
      <c r="YN486" s="7" t="s">
        <v>1055</v>
      </c>
      <c r="YO486" s="8">
        <v>39327</v>
      </c>
      <c r="YP486" s="8">
        <v>39327</v>
      </c>
      <c r="YQ486" s="5" t="s">
        <v>1355</v>
      </c>
      <c r="YR486" s="6"/>
      <c r="YS486" s="4"/>
      <c r="YT486" s="4"/>
      <c r="YU486" s="4"/>
      <c r="YV486" s="4"/>
      <c r="YW486" s="4"/>
      <c r="YX486" s="5"/>
      <c r="YY486" s="6"/>
      <c r="YZ486" s="4"/>
      <c r="ZA486" s="4"/>
      <c r="ZB486" s="4"/>
      <c r="ZC486" s="4"/>
      <c r="ZD486" s="4"/>
      <c r="ZE486" s="5"/>
      <c r="ZF486" s="6"/>
      <c r="ZG486" s="4"/>
      <c r="ZH486" s="4"/>
      <c r="ZI486" s="4"/>
      <c r="ZJ486" s="4"/>
      <c r="ZK486" s="4"/>
      <c r="ZL486" s="5"/>
      <c r="ZM486" s="6"/>
      <c r="ZN486" s="4"/>
      <c r="ZO486" s="4"/>
      <c r="ZP486" s="4"/>
      <c r="ZQ486" s="4"/>
      <c r="ZR486" s="4"/>
      <c r="ZS486" s="5"/>
      <c r="ZT486" s="6"/>
      <c r="ZU486" s="4"/>
      <c r="ZV486" s="4"/>
      <c r="ZW486" s="4"/>
      <c r="ZX486" s="4"/>
      <c r="ZY486" s="4"/>
      <c r="ZZ486" s="5"/>
      <c r="AAA486" s="6"/>
      <c r="AAB486" s="4"/>
      <c r="AAC486" s="4"/>
      <c r="AAD486" s="4"/>
      <c r="AAE486" s="4"/>
      <c r="AAF486" s="4"/>
      <c r="AAG486" s="5"/>
      <c r="AAH486" s="6"/>
      <c r="AAI486" s="4"/>
      <c r="AAJ486" s="4"/>
      <c r="AAK486" s="4"/>
      <c r="AAL486" s="4"/>
      <c r="AAM486" s="4"/>
      <c r="AAN486" s="5"/>
      <c r="AAO486" s="6"/>
      <c r="AAP486" s="4"/>
      <c r="AAQ486" s="4"/>
      <c r="AAR486" s="4"/>
      <c r="AAS486" s="4"/>
      <c r="AAT486" s="4"/>
      <c r="AAU486" s="5"/>
      <c r="AAV486" s="6"/>
      <c r="AAW486" s="4"/>
      <c r="AAX486" s="4"/>
      <c r="AAY486" s="4"/>
      <c r="AAZ486" s="4"/>
      <c r="ABA486" s="4"/>
      <c r="ABB486" s="5"/>
      <c r="ABC486" s="6"/>
      <c r="ABD486" s="4"/>
      <c r="ABE486" s="4"/>
      <c r="ABF486" s="4"/>
      <c r="ABG486" s="4"/>
      <c r="ABH486" s="4"/>
      <c r="ABI486" s="5"/>
      <c r="ABJ486" s="6"/>
      <c r="ABK486" s="4"/>
      <c r="ABL486" s="4"/>
      <c r="ABM486" s="4"/>
      <c r="ABN486" s="4"/>
      <c r="ABO486" s="4"/>
      <c r="ABP486" s="5"/>
      <c r="ABQ486" s="6"/>
      <c r="ABR486" s="4"/>
      <c r="ABS486" s="4"/>
      <c r="ABT486" s="4"/>
      <c r="ABU486" s="4"/>
      <c r="ABV486" s="4"/>
      <c r="ABW486" s="5"/>
      <c r="ABX486" s="6"/>
      <c r="ABY486" s="4"/>
      <c r="ABZ486" s="4"/>
      <c r="ACA486" s="4"/>
      <c r="ACB486" s="4"/>
      <c r="ACC486" s="4"/>
      <c r="ACD486" s="5"/>
      <c r="ACE486" s="6"/>
      <c r="ACF486" s="4"/>
      <c r="ACG486" s="4"/>
      <c r="ACH486" s="4"/>
      <c r="ACI486" s="4"/>
      <c r="ACJ486" s="4"/>
      <c r="ACK486" s="5"/>
      <c r="ACL486" s="6"/>
      <c r="ACM486" s="4"/>
      <c r="ACN486" s="4"/>
      <c r="ACO486" s="4"/>
      <c r="ACP486" s="4"/>
      <c r="ACQ486" s="4"/>
      <c r="ACR486" s="5"/>
      <c r="ACS486" s="6"/>
      <c r="ACT486" s="4"/>
      <c r="ACU486" s="4"/>
      <c r="ACV486" s="4"/>
      <c r="ACW486" s="4"/>
      <c r="ACX486" s="4"/>
      <c r="ACY486" s="5"/>
    </row>
    <row r="487" spans="2:795" x14ac:dyDescent="0.25">
      <c r="B487" s="30"/>
      <c r="J487" s="19"/>
      <c r="K487" s="19"/>
      <c r="L487" s="19"/>
      <c r="LL487" s="6"/>
      <c r="LM487" s="4"/>
      <c r="LN487" s="4"/>
      <c r="LO487" s="4"/>
      <c r="LP487" s="4"/>
      <c r="LQ487" s="4"/>
      <c r="LR487" s="5"/>
      <c r="LS487" s="6"/>
      <c r="LT487" s="4"/>
      <c r="LU487" s="4"/>
      <c r="LV487" s="4"/>
      <c r="LW487" s="4"/>
      <c r="LX487" s="4"/>
      <c r="LY487" s="5"/>
      <c r="LZ487" s="6"/>
      <c r="MA487" s="7"/>
      <c r="MB487" s="4"/>
      <c r="MC487" s="4"/>
      <c r="MD487" s="4"/>
      <c r="ME487" s="4"/>
      <c r="MF487" s="4"/>
      <c r="MG487" s="5"/>
      <c r="MH487" s="6"/>
      <c r="MI487" s="4"/>
      <c r="MJ487" s="4"/>
      <c r="MK487" s="4"/>
      <c r="ML487" s="4"/>
      <c r="MM487" s="4"/>
      <c r="MN487" s="5"/>
      <c r="MO487" s="6"/>
      <c r="MP487" s="4"/>
      <c r="MQ487" s="4"/>
      <c r="MR487" s="4"/>
      <c r="MS487" s="4"/>
      <c r="MT487" s="4"/>
      <c r="MU487" s="5"/>
      <c r="MV487" s="6"/>
      <c r="MW487" s="4"/>
      <c r="MX487" s="4"/>
      <c r="MY487" s="4"/>
      <c r="MZ487" s="4"/>
      <c r="NA487" s="4"/>
      <c r="NB487" s="5"/>
      <c r="NC487" s="6"/>
      <c r="ND487" s="4"/>
      <c r="NE487" s="4"/>
      <c r="NF487" s="4"/>
      <c r="NG487" s="4"/>
      <c r="NH487" s="4"/>
      <c r="NI487" s="5"/>
      <c r="NJ487" s="6"/>
      <c r="NK487" s="4"/>
      <c r="NL487" s="4"/>
      <c r="NM487" s="4"/>
      <c r="NN487" s="4"/>
      <c r="NO487" s="4"/>
      <c r="NP487" s="5"/>
      <c r="NQ487" s="6"/>
      <c r="NR487" s="4"/>
      <c r="NS487" s="4"/>
      <c r="NT487" s="4"/>
      <c r="NU487" s="4"/>
      <c r="NV487" s="4"/>
      <c r="NW487" s="5"/>
      <c r="NX487" s="6"/>
      <c r="NY487" s="4"/>
      <c r="NZ487" s="4"/>
      <c r="OA487" s="4"/>
      <c r="OB487" s="4"/>
      <c r="OC487" s="4"/>
      <c r="OD487" s="5"/>
      <c r="OE487" s="6"/>
      <c r="OF487" s="4"/>
      <c r="OG487" s="4"/>
      <c r="OH487" s="4"/>
      <c r="OI487" s="4"/>
      <c r="OJ487" s="4"/>
      <c r="OK487" s="5"/>
      <c r="OL487" s="6"/>
      <c r="OM487" s="4"/>
      <c r="ON487" s="4"/>
      <c r="OO487" s="4"/>
      <c r="OP487" s="4"/>
      <c r="OQ487" s="4"/>
      <c r="OR487" s="5"/>
      <c r="OS487" s="6"/>
      <c r="OT487" s="4"/>
      <c r="OU487" s="4"/>
      <c r="OV487" s="4"/>
      <c r="OW487" s="4"/>
      <c r="OX487" s="4"/>
      <c r="OY487" s="5"/>
      <c r="OZ487" s="6"/>
      <c r="PA487" s="4"/>
      <c r="PB487" s="4"/>
      <c r="PC487" s="4"/>
      <c r="PD487" s="4"/>
      <c r="PE487" s="4"/>
      <c r="PF487" s="5"/>
      <c r="PG487" s="6"/>
      <c r="PH487" s="4"/>
      <c r="PI487" s="4"/>
      <c r="PJ487" s="4"/>
      <c r="PK487" s="4"/>
      <c r="PL487" s="4"/>
      <c r="PM487" s="5"/>
      <c r="PN487" s="6"/>
      <c r="PO487" s="4"/>
      <c r="PP487" s="4"/>
      <c r="PQ487" s="4"/>
      <c r="PR487" s="4"/>
      <c r="PS487" s="4"/>
      <c r="PT487" s="5"/>
      <c r="PU487" s="6"/>
      <c r="PV487" s="4"/>
      <c r="PW487" s="4"/>
      <c r="PX487" s="4"/>
      <c r="PY487" s="4"/>
      <c r="PZ487" s="4"/>
      <c r="QA487" s="5"/>
      <c r="QB487" s="6"/>
      <c r="QC487" s="7"/>
      <c r="QD487" s="7"/>
      <c r="QE487" s="7"/>
      <c r="QF487" s="8"/>
      <c r="QG487" s="8"/>
      <c r="QH487" s="5"/>
      <c r="QI487" s="6"/>
      <c r="QJ487" s="4"/>
      <c r="QK487" s="4"/>
      <c r="QL487" s="4"/>
      <c r="QM487" s="4"/>
      <c r="QN487" s="4"/>
      <c r="QO487" s="5"/>
      <c r="QP487" s="6"/>
      <c r="QQ487" s="4"/>
      <c r="QR487" s="4"/>
      <c r="QS487" s="4"/>
      <c r="QT487" s="4"/>
      <c r="QU487" s="4"/>
      <c r="QV487" s="5"/>
      <c r="QW487" s="6"/>
      <c r="QX487" s="4"/>
      <c r="QY487" s="4"/>
      <c r="QZ487" s="4"/>
      <c r="RA487" s="4"/>
      <c r="RB487" s="4"/>
      <c r="RC487" s="5"/>
      <c r="RD487" s="6"/>
      <c r="RE487" s="4"/>
      <c r="RF487" s="4"/>
      <c r="RG487" s="4"/>
      <c r="RH487" s="4"/>
      <c r="RI487" s="4"/>
      <c r="RJ487" s="5"/>
      <c r="RK487" s="6"/>
      <c r="RL487" s="4"/>
      <c r="RM487" s="4"/>
      <c r="RN487" s="4"/>
      <c r="RO487" s="4"/>
      <c r="RP487" s="4"/>
      <c r="RQ487" s="5"/>
      <c r="RR487" s="6"/>
      <c r="RS487" s="4"/>
      <c r="RT487" s="4"/>
      <c r="RU487" s="4"/>
      <c r="RV487" s="4"/>
      <c r="RW487" s="4"/>
      <c r="RX487" s="5"/>
      <c r="RY487" s="6"/>
      <c r="RZ487" s="4"/>
      <c r="SA487" s="4"/>
      <c r="SB487" s="4"/>
      <c r="SC487" s="4"/>
      <c r="SD487" s="4"/>
      <c r="SE487" s="5"/>
      <c r="SF487" s="6"/>
      <c r="SG487" s="4"/>
      <c r="SH487" s="4"/>
      <c r="SI487" s="4"/>
      <c r="SJ487" s="4"/>
      <c r="SK487" s="4"/>
      <c r="SL487" s="5"/>
      <c r="SM487" s="6"/>
      <c r="SN487" s="4"/>
      <c r="SO487" s="4"/>
      <c r="SP487" s="4"/>
      <c r="SQ487" s="4"/>
      <c r="SR487" s="4"/>
      <c r="SS487" s="5"/>
      <c r="ST487" s="6"/>
      <c r="SU487" s="4"/>
      <c r="SV487" s="4"/>
      <c r="SW487" s="4"/>
      <c r="SX487" s="4"/>
      <c r="SY487" s="4"/>
      <c r="SZ487" s="5"/>
      <c r="TA487" s="6"/>
      <c r="TB487" s="4"/>
      <c r="TC487" s="4"/>
      <c r="TD487" s="4"/>
      <c r="TE487" s="4"/>
      <c r="TF487" s="4"/>
      <c r="TG487" s="5"/>
      <c r="TH487" s="6"/>
      <c r="TI487" s="4"/>
      <c r="TJ487" s="4"/>
      <c r="TK487" s="4"/>
      <c r="TL487" s="4"/>
      <c r="TM487" s="4"/>
      <c r="TN487" s="5"/>
      <c r="TO487" s="6"/>
      <c r="TP487" s="4"/>
      <c r="TQ487" s="4"/>
      <c r="TR487" s="4"/>
      <c r="TS487" s="4"/>
      <c r="TT487" s="4"/>
      <c r="TU487" s="5"/>
      <c r="TV487" s="6"/>
      <c r="TW487" s="4"/>
      <c r="TY487" s="8"/>
      <c r="TZ487" s="8"/>
      <c r="UA487" s="8"/>
      <c r="UB487" s="5"/>
      <c r="UC487" s="6"/>
      <c r="UD487" s="4"/>
      <c r="UE487" s="4"/>
      <c r="UF487" s="4"/>
      <c r="UG487" s="4"/>
      <c r="UH487" s="4"/>
      <c r="UI487" s="5"/>
      <c r="UJ487" s="6"/>
      <c r="UK487" s="4"/>
      <c r="UL487" s="4"/>
      <c r="UM487" s="4"/>
      <c r="UN487" s="4"/>
      <c r="UO487" s="4"/>
      <c r="UP487" s="5"/>
      <c r="UQ487" s="6"/>
      <c r="UR487" s="4"/>
      <c r="US487" s="4"/>
      <c r="UT487" s="4"/>
      <c r="UU487" s="4"/>
      <c r="UV487" s="4"/>
      <c r="UW487" s="5"/>
      <c r="UX487" s="6"/>
      <c r="UY487" s="4"/>
      <c r="UZ487" s="4"/>
      <c r="VA487" s="4"/>
      <c r="VB487" s="4"/>
      <c r="VC487" s="4"/>
      <c r="VD487" s="5"/>
      <c r="VE487" s="6"/>
      <c r="VF487" s="4"/>
      <c r="VG487" s="4"/>
      <c r="VH487" s="4"/>
      <c r="VI487" s="4"/>
      <c r="VJ487" s="4"/>
      <c r="VK487" s="5"/>
      <c r="VL487" s="6"/>
      <c r="VM487" s="4"/>
      <c r="VN487" s="4"/>
      <c r="VO487" s="4"/>
      <c r="VP487" s="4"/>
      <c r="VQ487" s="4"/>
      <c r="VR487" s="5"/>
      <c r="VS487" s="6"/>
      <c r="VT487" s="4"/>
      <c r="VU487" s="4"/>
      <c r="VV487" s="4"/>
      <c r="VW487" s="4"/>
      <c r="VX487" s="4"/>
      <c r="VY487" s="5"/>
      <c r="VZ487" s="6"/>
      <c r="WA487" s="4"/>
      <c r="WB487" s="4"/>
      <c r="WC487" s="4"/>
      <c r="WD487" s="4"/>
      <c r="WE487" s="4"/>
      <c r="WF487" s="5"/>
      <c r="WG487" s="4"/>
      <c r="WH487" s="4"/>
      <c r="WI487" s="4"/>
      <c r="WJ487" s="4"/>
      <c r="WK487" s="4"/>
      <c r="WL487" s="4"/>
      <c r="WM487" s="5"/>
      <c r="WN487" s="6"/>
      <c r="WO487" s="4"/>
      <c r="WP487" s="4"/>
      <c r="WQ487" s="4"/>
      <c r="WR487" s="4"/>
      <c r="WS487" s="4"/>
      <c r="WT487" s="5"/>
      <c r="WU487" s="6"/>
      <c r="WV487" s="4"/>
      <c r="WW487" s="4"/>
      <c r="WX487" s="4"/>
      <c r="WY487" s="4"/>
      <c r="WZ487" s="4"/>
      <c r="XA487" s="5"/>
      <c r="XB487" s="6"/>
      <c r="XC487" s="4"/>
      <c r="XD487" s="4"/>
      <c r="XE487" s="4"/>
      <c r="XF487" s="4"/>
      <c r="XG487" s="4"/>
      <c r="XH487" s="5"/>
      <c r="XI487" s="4"/>
      <c r="XJ487" s="4"/>
      <c r="XK487" s="4"/>
      <c r="XL487" s="4"/>
      <c r="XM487" s="4"/>
      <c r="XN487" s="4"/>
      <c r="XO487" s="5"/>
      <c r="XP487" s="6"/>
      <c r="XQ487" s="4"/>
      <c r="XR487" s="4"/>
      <c r="XS487" s="4"/>
      <c r="XT487" s="4"/>
      <c r="XU487" s="4"/>
      <c r="XV487" s="5"/>
      <c r="XW487" s="6"/>
      <c r="XX487" s="4"/>
      <c r="XY487" s="4"/>
      <c r="XZ487" s="4"/>
      <c r="YA487" s="4"/>
      <c r="YB487" s="4"/>
      <c r="YC487" s="5"/>
      <c r="YD487" s="6"/>
      <c r="YE487" s="4"/>
      <c r="YF487" s="4"/>
      <c r="YG487" s="4"/>
      <c r="YH487" s="4"/>
      <c r="YI487" s="4"/>
      <c r="YJ487" s="5"/>
      <c r="YK487" s="6" t="s">
        <v>1232</v>
      </c>
      <c r="YL487" s="7" t="s">
        <v>1233</v>
      </c>
      <c r="YM487" s="41"/>
      <c r="YN487" s="7" t="s">
        <v>1234</v>
      </c>
      <c r="YO487" s="8">
        <v>39328</v>
      </c>
      <c r="YP487" s="8">
        <v>39330</v>
      </c>
      <c r="YQ487" s="5"/>
      <c r="YR487" s="6"/>
      <c r="YS487" s="4"/>
      <c r="YT487" s="4"/>
      <c r="YU487" s="4"/>
      <c r="YV487" s="4"/>
      <c r="YW487" s="4"/>
      <c r="YX487" s="5"/>
      <c r="YY487" s="6"/>
      <c r="YZ487" s="4"/>
      <c r="ZA487" s="4"/>
      <c r="ZB487" s="4"/>
      <c r="ZC487" s="4"/>
      <c r="ZD487" s="4"/>
      <c r="ZE487" s="5"/>
      <c r="ZF487" s="6"/>
      <c r="ZG487" s="4"/>
      <c r="ZH487" s="4"/>
      <c r="ZI487" s="4"/>
      <c r="ZJ487" s="4"/>
      <c r="ZK487" s="4"/>
      <c r="ZL487" s="5"/>
      <c r="ZM487" s="6"/>
      <c r="ZN487" s="4"/>
      <c r="ZO487" s="4"/>
      <c r="ZP487" s="4"/>
      <c r="ZQ487" s="4"/>
      <c r="ZR487" s="4"/>
      <c r="ZS487" s="5"/>
      <c r="ZT487" s="6"/>
      <c r="ZU487" s="4"/>
      <c r="ZV487" s="4"/>
      <c r="ZW487" s="4"/>
      <c r="ZX487" s="4"/>
      <c r="ZY487" s="4"/>
      <c r="ZZ487" s="5"/>
      <c r="AAA487" s="6"/>
      <c r="AAB487" s="4"/>
      <c r="AAC487" s="4"/>
      <c r="AAD487" s="4"/>
      <c r="AAE487" s="4"/>
      <c r="AAF487" s="4"/>
      <c r="AAG487" s="5"/>
      <c r="AAH487" s="6"/>
      <c r="AAI487" s="4"/>
      <c r="AAJ487" s="4"/>
      <c r="AAK487" s="4"/>
      <c r="AAL487" s="4"/>
      <c r="AAM487" s="4"/>
      <c r="AAN487" s="5"/>
      <c r="AAO487" s="6"/>
      <c r="AAP487" s="4"/>
      <c r="AAQ487" s="4"/>
      <c r="AAR487" s="4"/>
      <c r="AAS487" s="4"/>
      <c r="AAT487" s="4"/>
      <c r="AAU487" s="5"/>
      <c r="AAV487" s="6"/>
      <c r="AAW487" s="4"/>
      <c r="AAX487" s="4"/>
      <c r="AAY487" s="4"/>
      <c r="AAZ487" s="4"/>
      <c r="ABA487" s="4"/>
      <c r="ABB487" s="5"/>
      <c r="ABC487" s="6"/>
      <c r="ABD487" s="4"/>
      <c r="ABE487" s="4"/>
      <c r="ABF487" s="4"/>
      <c r="ABG487" s="4"/>
      <c r="ABH487" s="4"/>
      <c r="ABI487" s="5"/>
      <c r="ABJ487" s="6"/>
      <c r="ABK487" s="4"/>
      <c r="ABL487" s="4"/>
      <c r="ABM487" s="4"/>
      <c r="ABN487" s="4"/>
      <c r="ABO487" s="4"/>
      <c r="ABP487" s="5"/>
      <c r="ABQ487" s="6"/>
      <c r="ABR487" s="4"/>
      <c r="ABS487" s="4"/>
      <c r="ABT487" s="4"/>
      <c r="ABU487" s="4"/>
      <c r="ABV487" s="4"/>
      <c r="ABW487" s="5"/>
      <c r="ABX487" s="6"/>
      <c r="ABY487" s="4"/>
      <c r="ABZ487" s="4"/>
      <c r="ACA487" s="4"/>
      <c r="ACB487" s="4"/>
      <c r="ACC487" s="4"/>
      <c r="ACD487" s="5"/>
      <c r="ACE487" s="6"/>
      <c r="ACF487" s="4"/>
      <c r="ACG487" s="4"/>
      <c r="ACH487" s="4"/>
      <c r="ACI487" s="4"/>
      <c r="ACJ487" s="4"/>
      <c r="ACK487" s="5"/>
      <c r="ACL487" s="6"/>
      <c r="ACM487" s="4"/>
      <c r="ACN487" s="4"/>
      <c r="ACO487" s="4"/>
      <c r="ACP487" s="4"/>
      <c r="ACQ487" s="4"/>
      <c r="ACR487" s="5"/>
      <c r="ACS487" s="6"/>
      <c r="ACT487" s="4"/>
      <c r="ACU487" s="4"/>
      <c r="ACV487" s="4"/>
      <c r="ACW487" s="4"/>
      <c r="ACX487" s="4"/>
      <c r="ACY487" s="5"/>
    </row>
    <row r="488" spans="2:795" x14ac:dyDescent="0.25">
      <c r="B488" s="30"/>
      <c r="J488" s="19"/>
      <c r="K488" s="19"/>
      <c r="L488" s="19"/>
      <c r="LL488" s="6"/>
      <c r="LM488" s="4"/>
      <c r="LN488" s="4"/>
      <c r="LO488" s="4"/>
      <c r="LP488" s="4"/>
      <c r="LQ488" s="4"/>
      <c r="LR488" s="5"/>
      <c r="LS488" s="6"/>
      <c r="LT488" s="4"/>
      <c r="LU488" s="4"/>
      <c r="LV488" s="4"/>
      <c r="LW488" s="4"/>
      <c r="LX488" s="4"/>
      <c r="LY488" s="5"/>
      <c r="LZ488" s="6"/>
      <c r="MA488" s="7"/>
      <c r="MB488" s="4"/>
      <c r="MC488" s="4"/>
      <c r="MD488" s="4"/>
      <c r="ME488" s="4"/>
      <c r="MF488" s="4"/>
      <c r="MG488" s="5"/>
      <c r="MH488" s="6"/>
      <c r="MI488" s="4"/>
      <c r="MJ488" s="4"/>
      <c r="MK488" s="4"/>
      <c r="ML488" s="4"/>
      <c r="MM488" s="4"/>
      <c r="MN488" s="5"/>
      <c r="MO488" s="6"/>
      <c r="MP488" s="4"/>
      <c r="MQ488" s="4"/>
      <c r="MR488" s="4"/>
      <c r="MS488" s="4"/>
      <c r="MT488" s="4"/>
      <c r="MU488" s="5"/>
      <c r="MV488" s="6"/>
      <c r="MW488" s="4"/>
      <c r="MX488" s="4"/>
      <c r="MY488" s="4"/>
      <c r="MZ488" s="4"/>
      <c r="NA488" s="4"/>
      <c r="NB488" s="5"/>
      <c r="NC488" s="6"/>
      <c r="ND488" s="4"/>
      <c r="NE488" s="4"/>
      <c r="NF488" s="4"/>
      <c r="NG488" s="4"/>
      <c r="NH488" s="4"/>
      <c r="NI488" s="5"/>
      <c r="NJ488" s="6"/>
      <c r="NK488" s="4"/>
      <c r="NL488" s="4"/>
      <c r="NM488" s="4"/>
      <c r="NN488" s="4"/>
      <c r="NO488" s="4"/>
      <c r="NP488" s="5"/>
      <c r="NQ488" s="6"/>
      <c r="NR488" s="4"/>
      <c r="NS488" s="4"/>
      <c r="NT488" s="4"/>
      <c r="NU488" s="4"/>
      <c r="NV488" s="4"/>
      <c r="NW488" s="5"/>
      <c r="NX488" s="6"/>
      <c r="NY488" s="4"/>
      <c r="NZ488" s="4"/>
      <c r="OA488" s="4"/>
      <c r="OB488" s="4"/>
      <c r="OC488" s="4"/>
      <c r="OD488" s="5"/>
      <c r="OE488" s="6"/>
      <c r="OF488" s="4"/>
      <c r="OG488" s="4"/>
      <c r="OH488" s="4"/>
      <c r="OI488" s="4"/>
      <c r="OJ488" s="4"/>
      <c r="OK488" s="5"/>
      <c r="OL488" s="6"/>
      <c r="OM488" s="4"/>
      <c r="ON488" s="4"/>
      <c r="OO488" s="4"/>
      <c r="OP488" s="4"/>
      <c r="OQ488" s="4"/>
      <c r="OR488" s="5"/>
      <c r="OS488" s="6"/>
      <c r="OT488" s="4"/>
      <c r="OU488" s="4"/>
      <c r="OV488" s="4"/>
      <c r="OW488" s="4"/>
      <c r="OX488" s="4"/>
      <c r="OY488" s="5"/>
      <c r="OZ488" s="6"/>
      <c r="PA488" s="4"/>
      <c r="PB488" s="4"/>
      <c r="PC488" s="4"/>
      <c r="PD488" s="4"/>
      <c r="PE488" s="4"/>
      <c r="PF488" s="5"/>
      <c r="PG488" s="6"/>
      <c r="PH488" s="4"/>
      <c r="PI488" s="4"/>
      <c r="PJ488" s="4"/>
      <c r="PK488" s="4"/>
      <c r="PL488" s="4"/>
      <c r="PM488" s="5"/>
      <c r="PN488" s="6"/>
      <c r="PO488" s="4"/>
      <c r="PP488" s="4"/>
      <c r="PQ488" s="4"/>
      <c r="PR488" s="4"/>
      <c r="PS488" s="4"/>
      <c r="PT488" s="5"/>
      <c r="PU488" s="6"/>
      <c r="PV488" s="4"/>
      <c r="PW488" s="4"/>
      <c r="PX488" s="4"/>
      <c r="PY488" s="4"/>
      <c r="PZ488" s="4"/>
      <c r="QA488" s="5"/>
      <c r="QB488" s="6"/>
      <c r="QC488" s="7"/>
      <c r="QD488" s="7"/>
      <c r="QE488" s="7"/>
      <c r="QF488" s="8"/>
      <c r="QG488" s="8"/>
      <c r="QH488" s="5"/>
      <c r="QI488" s="6"/>
      <c r="QJ488" s="4"/>
      <c r="QK488" s="4"/>
      <c r="QL488" s="4"/>
      <c r="QM488" s="4"/>
      <c r="QN488" s="4"/>
      <c r="QO488" s="5"/>
      <c r="QP488" s="6"/>
      <c r="QQ488" s="4"/>
      <c r="QR488" s="4"/>
      <c r="QS488" s="4"/>
      <c r="QT488" s="4"/>
      <c r="QU488" s="4"/>
      <c r="QV488" s="5"/>
      <c r="QW488" s="6"/>
      <c r="QX488" s="4"/>
      <c r="QY488" s="4"/>
      <c r="QZ488" s="4"/>
      <c r="RA488" s="4"/>
      <c r="RB488" s="4"/>
      <c r="RC488" s="5"/>
      <c r="RD488" s="6"/>
      <c r="RE488" s="4"/>
      <c r="RF488" s="4"/>
      <c r="RG488" s="4"/>
      <c r="RH488" s="4"/>
      <c r="RI488" s="4"/>
      <c r="RJ488" s="5"/>
      <c r="RK488" s="6"/>
      <c r="RL488" s="4"/>
      <c r="RM488" s="4"/>
      <c r="RN488" s="4"/>
      <c r="RO488" s="4"/>
      <c r="RP488" s="4"/>
      <c r="RQ488" s="5"/>
      <c r="RR488" s="6"/>
      <c r="RS488" s="4"/>
      <c r="RT488" s="4"/>
      <c r="RU488" s="4"/>
      <c r="RV488" s="4"/>
      <c r="RW488" s="4"/>
      <c r="RX488" s="5"/>
      <c r="RY488" s="6"/>
      <c r="RZ488" s="4"/>
      <c r="SA488" s="4"/>
      <c r="SB488" s="4"/>
      <c r="SC488" s="4"/>
      <c r="SD488" s="4"/>
      <c r="SE488" s="5"/>
      <c r="SF488" s="6"/>
      <c r="SG488" s="4"/>
      <c r="SH488" s="4"/>
      <c r="SI488" s="4"/>
      <c r="SJ488" s="4"/>
      <c r="SK488" s="4"/>
      <c r="SL488" s="5"/>
      <c r="SM488" s="6"/>
      <c r="SN488" s="4"/>
      <c r="SO488" s="4"/>
      <c r="SP488" s="4"/>
      <c r="SQ488" s="4"/>
      <c r="SR488" s="4"/>
      <c r="SS488" s="5"/>
      <c r="ST488" s="6"/>
      <c r="SU488" s="4"/>
      <c r="SV488" s="4"/>
      <c r="SW488" s="4"/>
      <c r="SX488" s="4"/>
      <c r="SY488" s="4"/>
      <c r="SZ488" s="5"/>
      <c r="TA488" s="6"/>
      <c r="TB488" s="4"/>
      <c r="TC488" s="4"/>
      <c r="TD488" s="4"/>
      <c r="TE488" s="4"/>
      <c r="TF488" s="4"/>
      <c r="TG488" s="5"/>
      <c r="TH488" s="6"/>
      <c r="TI488" s="4"/>
      <c r="TJ488" s="4"/>
      <c r="TK488" s="4"/>
      <c r="TL488" s="4"/>
      <c r="TM488" s="4"/>
      <c r="TN488" s="5"/>
      <c r="TO488" s="6"/>
      <c r="TP488" s="4"/>
      <c r="TQ488" s="4"/>
      <c r="TR488" s="4"/>
      <c r="TS488" s="4"/>
      <c r="TT488" s="4"/>
      <c r="TU488" s="5"/>
      <c r="TV488" s="6"/>
      <c r="TW488" s="4"/>
      <c r="TY488" s="8"/>
      <c r="TZ488" s="8"/>
      <c r="UA488" s="8"/>
      <c r="UB488" s="5"/>
      <c r="UC488" s="6"/>
      <c r="UD488" s="4"/>
      <c r="UE488" s="4"/>
      <c r="UF488" s="4"/>
      <c r="UG488" s="4"/>
      <c r="UH488" s="4"/>
      <c r="UI488" s="5"/>
      <c r="UJ488" s="6"/>
      <c r="UK488" s="4"/>
      <c r="UL488" s="4"/>
      <c r="UM488" s="4"/>
      <c r="UN488" s="4"/>
      <c r="UO488" s="4"/>
      <c r="UP488" s="5"/>
      <c r="UQ488" s="6"/>
      <c r="UR488" s="4"/>
      <c r="US488" s="4"/>
      <c r="UT488" s="4"/>
      <c r="UU488" s="4"/>
      <c r="UV488" s="4"/>
      <c r="UW488" s="5"/>
      <c r="UX488" s="6"/>
      <c r="UY488" s="4"/>
      <c r="UZ488" s="4"/>
      <c r="VA488" s="4"/>
      <c r="VB488" s="4"/>
      <c r="VC488" s="4"/>
      <c r="VD488" s="5"/>
      <c r="VE488" s="6"/>
      <c r="VF488" s="4"/>
      <c r="VG488" s="4"/>
      <c r="VH488" s="4"/>
      <c r="VI488" s="4"/>
      <c r="VJ488" s="4"/>
      <c r="VK488" s="5"/>
      <c r="VL488" s="6"/>
      <c r="VM488" s="4"/>
      <c r="VN488" s="4"/>
      <c r="VO488" s="4"/>
      <c r="VP488" s="4"/>
      <c r="VQ488" s="4"/>
      <c r="VR488" s="5"/>
      <c r="VS488" s="6"/>
      <c r="VT488" s="4"/>
      <c r="VU488" s="4"/>
      <c r="VV488" s="4"/>
      <c r="VW488" s="4"/>
      <c r="VX488" s="4"/>
      <c r="VY488" s="5"/>
      <c r="VZ488" s="6"/>
      <c r="WA488" s="4"/>
      <c r="WB488" s="4"/>
      <c r="WC488" s="4"/>
      <c r="WD488" s="4"/>
      <c r="WE488" s="4"/>
      <c r="WF488" s="5"/>
      <c r="WG488" s="4"/>
      <c r="WH488" s="4"/>
      <c r="WI488" s="4"/>
      <c r="WJ488" s="4"/>
      <c r="WK488" s="4"/>
      <c r="WL488" s="4"/>
      <c r="WM488" s="5"/>
      <c r="WN488" s="6"/>
      <c r="WO488" s="4"/>
      <c r="WP488" s="4"/>
      <c r="WQ488" s="4"/>
      <c r="WR488" s="4"/>
      <c r="WS488" s="4"/>
      <c r="WT488" s="5"/>
      <c r="WU488" s="6"/>
      <c r="WV488" s="4"/>
      <c r="WW488" s="4"/>
      <c r="WX488" s="4"/>
      <c r="WY488" s="4"/>
      <c r="WZ488" s="4"/>
      <c r="XA488" s="5"/>
      <c r="XB488" s="6"/>
      <c r="XC488" s="4"/>
      <c r="XD488" s="4"/>
      <c r="XE488" s="4"/>
      <c r="XF488" s="4"/>
      <c r="XG488" s="4"/>
      <c r="XH488" s="5"/>
      <c r="XI488" s="4"/>
      <c r="XJ488" s="4"/>
      <c r="XK488" s="4"/>
      <c r="XL488" s="4"/>
      <c r="XM488" s="4"/>
      <c r="XN488" s="4"/>
      <c r="XO488" s="5"/>
      <c r="XP488" s="6"/>
      <c r="XQ488" s="4"/>
      <c r="XR488" s="4"/>
      <c r="XS488" s="4"/>
      <c r="XT488" s="4"/>
      <c r="XU488" s="4"/>
      <c r="XV488" s="5"/>
      <c r="XW488" s="6"/>
      <c r="XX488" s="4"/>
      <c r="XY488" s="4"/>
      <c r="XZ488" s="4"/>
      <c r="YA488" s="4"/>
      <c r="YB488" s="4"/>
      <c r="YC488" s="5"/>
      <c r="YD488" s="6"/>
      <c r="YE488" s="4"/>
      <c r="YF488" s="4"/>
      <c r="YG488" s="4"/>
      <c r="YH488" s="4"/>
      <c r="YI488" s="4"/>
      <c r="YJ488" s="5"/>
      <c r="YK488" s="6" t="s">
        <v>1232</v>
      </c>
      <c r="YL488" s="7" t="s">
        <v>1233</v>
      </c>
      <c r="YM488" s="41"/>
      <c r="YN488" s="7" t="s">
        <v>1234</v>
      </c>
      <c r="YO488" s="8">
        <v>39323</v>
      </c>
      <c r="YP488" s="8">
        <v>39325</v>
      </c>
      <c r="YQ488" s="5" t="s">
        <v>846</v>
      </c>
      <c r="YR488" s="6"/>
      <c r="YS488" s="4"/>
      <c r="YT488" s="4"/>
      <c r="YU488" s="4"/>
      <c r="YV488" s="4"/>
      <c r="YW488" s="4"/>
      <c r="YX488" s="5"/>
      <c r="YY488" s="6"/>
      <c r="YZ488" s="4"/>
      <c r="ZA488" s="4"/>
      <c r="ZB488" s="4"/>
      <c r="ZC488" s="4"/>
      <c r="ZD488" s="4"/>
      <c r="ZE488" s="5"/>
      <c r="ZF488" s="6"/>
      <c r="ZG488" s="4"/>
      <c r="ZH488" s="4"/>
      <c r="ZI488" s="4"/>
      <c r="ZJ488" s="4"/>
      <c r="ZK488" s="4"/>
      <c r="ZL488" s="5"/>
      <c r="ZM488" s="6"/>
      <c r="ZN488" s="4"/>
      <c r="ZO488" s="4"/>
      <c r="ZP488" s="4"/>
      <c r="ZQ488" s="4"/>
      <c r="ZR488" s="4"/>
      <c r="ZS488" s="5"/>
      <c r="ZT488" s="6"/>
      <c r="ZU488" s="4"/>
      <c r="ZV488" s="4"/>
      <c r="ZW488" s="4"/>
      <c r="ZX488" s="4"/>
      <c r="ZY488" s="4"/>
      <c r="ZZ488" s="5"/>
      <c r="AAA488" s="6"/>
      <c r="AAB488" s="4"/>
      <c r="AAC488" s="4"/>
      <c r="AAD488" s="4"/>
      <c r="AAE488" s="4"/>
      <c r="AAF488" s="4"/>
      <c r="AAG488" s="5"/>
      <c r="AAH488" s="6"/>
      <c r="AAI488" s="4"/>
      <c r="AAJ488" s="4"/>
      <c r="AAK488" s="4"/>
      <c r="AAL488" s="4"/>
      <c r="AAM488" s="4"/>
      <c r="AAN488" s="5"/>
      <c r="AAO488" s="6"/>
      <c r="AAP488" s="4"/>
      <c r="AAQ488" s="4"/>
      <c r="AAR488" s="4"/>
      <c r="AAS488" s="4"/>
      <c r="AAT488" s="4"/>
      <c r="AAU488" s="5"/>
      <c r="AAV488" s="6"/>
      <c r="AAW488" s="4"/>
      <c r="AAX488" s="4"/>
      <c r="AAY488" s="4"/>
      <c r="AAZ488" s="4"/>
      <c r="ABA488" s="4"/>
      <c r="ABB488" s="5"/>
      <c r="ABC488" s="6"/>
      <c r="ABD488" s="4"/>
      <c r="ABE488" s="4"/>
      <c r="ABF488" s="4"/>
      <c r="ABG488" s="4"/>
      <c r="ABH488" s="4"/>
      <c r="ABI488" s="5"/>
      <c r="ABJ488" s="6"/>
      <c r="ABK488" s="4"/>
      <c r="ABL488" s="4"/>
      <c r="ABM488" s="4"/>
      <c r="ABN488" s="4"/>
      <c r="ABO488" s="4"/>
      <c r="ABP488" s="5"/>
      <c r="ABQ488" s="6"/>
      <c r="ABR488" s="4"/>
      <c r="ABS488" s="4"/>
      <c r="ABT488" s="4"/>
      <c r="ABU488" s="4"/>
      <c r="ABV488" s="4"/>
      <c r="ABW488" s="5"/>
      <c r="ABX488" s="6"/>
      <c r="ABY488" s="4"/>
      <c r="ABZ488" s="4"/>
      <c r="ACA488" s="4"/>
      <c r="ACB488" s="4"/>
      <c r="ACC488" s="4"/>
      <c r="ACD488" s="5"/>
      <c r="ACE488" s="6"/>
      <c r="ACF488" s="4"/>
      <c r="ACG488" s="4"/>
      <c r="ACH488" s="4"/>
      <c r="ACI488" s="4"/>
      <c r="ACJ488" s="4"/>
      <c r="ACK488" s="5"/>
      <c r="ACL488" s="6"/>
      <c r="ACM488" s="4"/>
      <c r="ACN488" s="4"/>
      <c r="ACO488" s="4"/>
      <c r="ACP488" s="4"/>
      <c r="ACQ488" s="4"/>
      <c r="ACR488" s="5"/>
      <c r="ACS488" s="6"/>
      <c r="ACT488" s="4"/>
      <c r="ACU488" s="4"/>
      <c r="ACV488" s="4"/>
      <c r="ACW488" s="4"/>
      <c r="ACX488" s="4"/>
      <c r="ACY488" s="5"/>
    </row>
    <row r="489" spans="2:795" x14ac:dyDescent="0.25">
      <c r="B489" s="30"/>
      <c r="J489" s="19"/>
      <c r="K489" s="19"/>
      <c r="L489" s="19"/>
      <c r="LL489" s="6"/>
      <c r="LM489" s="4"/>
      <c r="LN489" s="4"/>
      <c r="LO489" s="4"/>
      <c r="LP489" s="4"/>
      <c r="LQ489" s="4"/>
      <c r="LR489" s="5"/>
      <c r="LS489" s="6"/>
      <c r="LT489" s="4"/>
      <c r="LU489" s="4"/>
      <c r="LV489" s="4"/>
      <c r="LW489" s="4"/>
      <c r="LX489" s="4"/>
      <c r="LY489" s="5"/>
      <c r="LZ489" s="6"/>
      <c r="MA489" s="7"/>
      <c r="MB489" s="4"/>
      <c r="MC489" s="4"/>
      <c r="MD489" s="4"/>
      <c r="ME489" s="4"/>
      <c r="MF489" s="4"/>
      <c r="MG489" s="5"/>
      <c r="MH489" s="6"/>
      <c r="MI489" s="4"/>
      <c r="MJ489" s="4"/>
      <c r="MK489" s="4"/>
      <c r="ML489" s="4"/>
      <c r="MM489" s="4"/>
      <c r="MN489" s="5"/>
      <c r="MO489" s="6"/>
      <c r="MP489" s="4"/>
      <c r="MQ489" s="4"/>
      <c r="MR489" s="4"/>
      <c r="MS489" s="4"/>
      <c r="MT489" s="4"/>
      <c r="MU489" s="5"/>
      <c r="MV489" s="6"/>
      <c r="MW489" s="4"/>
      <c r="MX489" s="4"/>
      <c r="MY489" s="4"/>
      <c r="MZ489" s="4"/>
      <c r="NA489" s="4"/>
      <c r="NB489" s="5"/>
      <c r="NC489" s="6"/>
      <c r="ND489" s="4"/>
      <c r="NE489" s="4"/>
      <c r="NF489" s="4"/>
      <c r="NG489" s="4"/>
      <c r="NH489" s="4"/>
      <c r="NI489" s="5"/>
      <c r="NJ489" s="6"/>
      <c r="NK489" s="4"/>
      <c r="NL489" s="4"/>
      <c r="NM489" s="4"/>
      <c r="NN489" s="4"/>
      <c r="NO489" s="4"/>
      <c r="NP489" s="5"/>
      <c r="NQ489" s="6"/>
      <c r="NR489" s="4"/>
      <c r="NS489" s="4"/>
      <c r="NT489" s="4"/>
      <c r="NU489" s="4"/>
      <c r="NV489" s="4"/>
      <c r="NW489" s="5"/>
      <c r="NX489" s="6"/>
      <c r="NY489" s="4"/>
      <c r="NZ489" s="4"/>
      <c r="OA489" s="4"/>
      <c r="OB489" s="4"/>
      <c r="OC489" s="4"/>
      <c r="OD489" s="5"/>
      <c r="OE489" s="6"/>
      <c r="OF489" s="4"/>
      <c r="OG489" s="4"/>
      <c r="OH489" s="4"/>
      <c r="OI489" s="4"/>
      <c r="OJ489" s="4"/>
      <c r="OK489" s="5"/>
      <c r="OL489" s="6"/>
      <c r="OM489" s="4"/>
      <c r="ON489" s="4"/>
      <c r="OO489" s="4"/>
      <c r="OP489" s="4"/>
      <c r="OQ489" s="4"/>
      <c r="OR489" s="5"/>
      <c r="OS489" s="6"/>
      <c r="OT489" s="4"/>
      <c r="OU489" s="4"/>
      <c r="OV489" s="4"/>
      <c r="OW489" s="4"/>
      <c r="OX489" s="4"/>
      <c r="OY489" s="5"/>
      <c r="OZ489" s="6"/>
      <c r="PA489" s="4"/>
      <c r="PB489" s="4"/>
      <c r="PC489" s="4"/>
      <c r="PD489" s="4"/>
      <c r="PE489" s="4"/>
      <c r="PF489" s="5"/>
      <c r="PG489" s="6"/>
      <c r="PH489" s="4"/>
      <c r="PI489" s="4"/>
      <c r="PJ489" s="4"/>
      <c r="PK489" s="4"/>
      <c r="PL489" s="4"/>
      <c r="PM489" s="5"/>
      <c r="PN489" s="6"/>
      <c r="PO489" s="4"/>
      <c r="PP489" s="4"/>
      <c r="PQ489" s="4"/>
      <c r="PR489" s="4"/>
      <c r="PS489" s="4"/>
      <c r="PT489" s="5"/>
      <c r="PU489" s="6"/>
      <c r="PV489" s="4"/>
      <c r="PW489" s="4"/>
      <c r="PX489" s="4"/>
      <c r="PY489" s="4"/>
      <c r="PZ489" s="4"/>
      <c r="QA489" s="5"/>
      <c r="QB489" s="6"/>
      <c r="QC489" s="7"/>
      <c r="QD489" s="7"/>
      <c r="QE489" s="7"/>
      <c r="QF489" s="8"/>
      <c r="QG489" s="8"/>
      <c r="QH489" s="5"/>
      <c r="QI489" s="6"/>
      <c r="QJ489" s="4"/>
      <c r="QK489" s="4"/>
      <c r="QL489" s="4"/>
      <c r="QM489" s="4"/>
      <c r="QN489" s="4"/>
      <c r="QO489" s="5"/>
      <c r="QP489" s="6"/>
      <c r="QQ489" s="4"/>
      <c r="QR489" s="4"/>
      <c r="QS489" s="4"/>
      <c r="QT489" s="4"/>
      <c r="QU489" s="4"/>
      <c r="QV489" s="5"/>
      <c r="QW489" s="6"/>
      <c r="QX489" s="4"/>
      <c r="QY489" s="4"/>
      <c r="QZ489" s="4"/>
      <c r="RA489" s="4"/>
      <c r="RB489" s="4"/>
      <c r="RC489" s="5"/>
      <c r="RD489" s="6"/>
      <c r="RE489" s="4"/>
      <c r="RF489" s="4"/>
      <c r="RG489" s="4"/>
      <c r="RH489" s="4"/>
      <c r="RI489" s="4"/>
      <c r="RJ489" s="5"/>
      <c r="RK489" s="6"/>
      <c r="RL489" s="4"/>
      <c r="RM489" s="4"/>
      <c r="RN489" s="4"/>
      <c r="RO489" s="4"/>
      <c r="RP489" s="4"/>
      <c r="RQ489" s="5"/>
      <c r="RR489" s="6"/>
      <c r="RS489" s="4"/>
      <c r="RT489" s="4"/>
      <c r="RU489" s="4"/>
      <c r="RV489" s="4"/>
      <c r="RW489" s="4"/>
      <c r="RX489" s="5"/>
      <c r="RY489" s="6"/>
      <c r="RZ489" s="4"/>
      <c r="SA489" s="4"/>
      <c r="SB489" s="4"/>
      <c r="SC489" s="4"/>
      <c r="SD489" s="4"/>
      <c r="SE489" s="5"/>
      <c r="SF489" s="6"/>
      <c r="SG489" s="4"/>
      <c r="SH489" s="4"/>
      <c r="SI489" s="4"/>
      <c r="SJ489" s="4"/>
      <c r="SK489" s="4"/>
      <c r="SL489" s="5"/>
      <c r="SM489" s="6"/>
      <c r="SN489" s="4"/>
      <c r="SO489" s="4"/>
      <c r="SP489" s="4"/>
      <c r="SQ489" s="4"/>
      <c r="SR489" s="4"/>
      <c r="SS489" s="5"/>
      <c r="ST489" s="6"/>
      <c r="SU489" s="4"/>
      <c r="SV489" s="4"/>
      <c r="SW489" s="4"/>
      <c r="SX489" s="4"/>
      <c r="SY489" s="4"/>
      <c r="SZ489" s="5"/>
      <c r="TA489" s="6"/>
      <c r="TB489" s="4"/>
      <c r="TC489" s="4"/>
      <c r="TD489" s="4"/>
      <c r="TE489" s="4"/>
      <c r="TF489" s="4"/>
      <c r="TG489" s="5"/>
      <c r="TH489" s="6"/>
      <c r="TI489" s="4"/>
      <c r="TJ489" s="4"/>
      <c r="TK489" s="4"/>
      <c r="TL489" s="4"/>
      <c r="TM489" s="4"/>
      <c r="TN489" s="5"/>
      <c r="TO489" s="6"/>
      <c r="TP489" s="4"/>
      <c r="TQ489" s="4"/>
      <c r="TR489" s="4"/>
      <c r="TS489" s="4"/>
      <c r="TT489" s="4"/>
      <c r="TU489" s="5"/>
      <c r="TV489" s="6"/>
      <c r="TW489" s="4"/>
      <c r="TY489" s="8"/>
      <c r="TZ489" s="8"/>
      <c r="UA489" s="8"/>
      <c r="UB489" s="5"/>
      <c r="UC489" s="6"/>
      <c r="UD489" s="4"/>
      <c r="UE489" s="4"/>
      <c r="UF489" s="4"/>
      <c r="UG489" s="4"/>
      <c r="UH489" s="4"/>
      <c r="UI489" s="5"/>
      <c r="UJ489" s="6"/>
      <c r="UK489" s="4"/>
      <c r="UL489" s="4"/>
      <c r="UM489" s="4"/>
      <c r="UN489" s="4"/>
      <c r="UO489" s="4"/>
      <c r="UP489" s="5"/>
      <c r="UQ489" s="6"/>
      <c r="UR489" s="4"/>
      <c r="US489" s="4"/>
      <c r="UT489" s="4"/>
      <c r="UU489" s="4"/>
      <c r="UV489" s="4"/>
      <c r="UW489" s="5"/>
      <c r="UX489" s="6"/>
      <c r="UY489" s="4"/>
      <c r="UZ489" s="4"/>
      <c r="VA489" s="4"/>
      <c r="VB489" s="4"/>
      <c r="VC489" s="4"/>
      <c r="VD489" s="5"/>
      <c r="VE489" s="6"/>
      <c r="VF489" s="4"/>
      <c r="VG489" s="4"/>
      <c r="VH489" s="4"/>
      <c r="VI489" s="4"/>
      <c r="VJ489" s="4"/>
      <c r="VK489" s="5"/>
      <c r="VL489" s="6"/>
      <c r="VM489" s="4"/>
      <c r="VN489" s="4"/>
      <c r="VO489" s="4"/>
      <c r="VP489" s="4"/>
      <c r="VQ489" s="4"/>
      <c r="VR489" s="5"/>
      <c r="VS489" s="6"/>
      <c r="VT489" s="4"/>
      <c r="VU489" s="4"/>
      <c r="VV489" s="4"/>
      <c r="VW489" s="4"/>
      <c r="VX489" s="4"/>
      <c r="VY489" s="5"/>
      <c r="VZ489" s="6"/>
      <c r="WA489" s="4"/>
      <c r="WB489" s="4"/>
      <c r="WC489" s="4"/>
      <c r="WD489" s="4"/>
      <c r="WE489" s="4"/>
      <c r="WF489" s="5"/>
      <c r="WG489" s="4"/>
      <c r="WH489" s="4"/>
      <c r="WI489" s="4"/>
      <c r="WJ489" s="4"/>
      <c r="WK489" s="4"/>
      <c r="WL489" s="4"/>
      <c r="WM489" s="5"/>
      <c r="WN489" s="6"/>
      <c r="WO489" s="4"/>
      <c r="WP489" s="4"/>
      <c r="WQ489" s="4"/>
      <c r="WR489" s="4"/>
      <c r="WS489" s="4"/>
      <c r="WT489" s="5"/>
      <c r="WU489" s="6"/>
      <c r="WV489" s="4"/>
      <c r="WW489" s="4"/>
      <c r="WX489" s="4"/>
      <c r="WY489" s="4"/>
      <c r="WZ489" s="4"/>
      <c r="XA489" s="5"/>
      <c r="XB489" s="6"/>
      <c r="XC489" s="4"/>
      <c r="XD489" s="4"/>
      <c r="XE489" s="4"/>
      <c r="XF489" s="4"/>
      <c r="XG489" s="4"/>
      <c r="XH489" s="5"/>
      <c r="XI489" s="4"/>
      <c r="XJ489" s="4"/>
      <c r="XK489" s="4"/>
      <c r="XL489" s="4"/>
      <c r="XM489" s="4"/>
      <c r="XN489" s="4"/>
      <c r="XO489" s="5"/>
      <c r="XP489" s="6"/>
      <c r="XQ489" s="4"/>
      <c r="XR489" s="4"/>
      <c r="XS489" s="4"/>
      <c r="XT489" s="4"/>
      <c r="XU489" s="4"/>
      <c r="XV489" s="5"/>
      <c r="XW489" s="6"/>
      <c r="XX489" s="4"/>
      <c r="XY489" s="4"/>
      <c r="XZ489" s="4"/>
      <c r="YA489" s="4"/>
      <c r="YB489" s="4"/>
      <c r="YC489" s="5"/>
      <c r="YD489" s="6"/>
      <c r="YE489" s="4"/>
      <c r="YF489" s="4"/>
      <c r="YG489" s="4"/>
      <c r="YH489" s="4"/>
      <c r="YI489" s="4"/>
      <c r="YJ489" s="5"/>
      <c r="YK489" s="6" t="s">
        <v>2852</v>
      </c>
      <c r="YL489" s="4" t="s">
        <v>2853</v>
      </c>
      <c r="YM489" s="41"/>
      <c r="YN489" s="7" t="s">
        <v>1055</v>
      </c>
      <c r="YO489" s="8">
        <v>39327</v>
      </c>
      <c r="YP489" s="8">
        <v>39327</v>
      </c>
      <c r="YQ489" s="5" t="s">
        <v>846</v>
      </c>
      <c r="YR489" s="6"/>
      <c r="YS489" s="4"/>
      <c r="YT489" s="4"/>
      <c r="YU489" s="4"/>
      <c r="YV489" s="4"/>
      <c r="YW489" s="4"/>
      <c r="YX489" s="5"/>
      <c r="YY489" s="6"/>
      <c r="YZ489" s="4"/>
      <c r="ZA489" s="4"/>
      <c r="ZB489" s="4"/>
      <c r="ZC489" s="4"/>
      <c r="ZD489" s="4"/>
      <c r="ZE489" s="5"/>
      <c r="ZF489" s="6"/>
      <c r="ZG489" s="4"/>
      <c r="ZH489" s="4"/>
      <c r="ZI489" s="4"/>
      <c r="ZJ489" s="4"/>
      <c r="ZK489" s="4"/>
      <c r="ZL489" s="5"/>
      <c r="ZM489" s="6"/>
      <c r="ZN489" s="4"/>
      <c r="ZO489" s="4"/>
      <c r="ZP489" s="4"/>
      <c r="ZQ489" s="4"/>
      <c r="ZR489" s="4"/>
      <c r="ZS489" s="5"/>
      <c r="ZT489" s="6"/>
      <c r="ZU489" s="4"/>
      <c r="ZV489" s="4"/>
      <c r="ZW489" s="4"/>
      <c r="ZX489" s="4"/>
      <c r="ZY489" s="4"/>
      <c r="ZZ489" s="5"/>
      <c r="AAA489" s="6"/>
      <c r="AAB489" s="4"/>
      <c r="AAC489" s="4"/>
      <c r="AAD489" s="4"/>
      <c r="AAE489" s="4"/>
      <c r="AAF489" s="4"/>
      <c r="AAG489" s="5"/>
      <c r="AAH489" s="6"/>
      <c r="AAI489" s="4"/>
      <c r="AAJ489" s="4"/>
      <c r="AAK489" s="4"/>
      <c r="AAL489" s="4"/>
      <c r="AAM489" s="4"/>
      <c r="AAN489" s="5"/>
      <c r="AAO489" s="6"/>
      <c r="AAP489" s="4"/>
      <c r="AAQ489" s="4"/>
      <c r="AAR489" s="4"/>
      <c r="AAS489" s="4"/>
      <c r="AAT489" s="4"/>
      <c r="AAU489" s="5"/>
      <c r="AAV489" s="6"/>
      <c r="AAW489" s="4"/>
      <c r="AAX489" s="4"/>
      <c r="AAY489" s="4"/>
      <c r="AAZ489" s="4"/>
      <c r="ABA489" s="4"/>
      <c r="ABB489" s="5"/>
      <c r="ABC489" s="6"/>
      <c r="ABD489" s="4"/>
      <c r="ABE489" s="4"/>
      <c r="ABF489" s="4"/>
      <c r="ABG489" s="4"/>
      <c r="ABH489" s="4"/>
      <c r="ABI489" s="5"/>
      <c r="ABJ489" s="6"/>
      <c r="ABK489" s="4"/>
      <c r="ABL489" s="4"/>
      <c r="ABM489" s="4"/>
      <c r="ABN489" s="4"/>
      <c r="ABO489" s="4"/>
      <c r="ABP489" s="5"/>
      <c r="ABQ489" s="6"/>
      <c r="ABR489" s="4"/>
      <c r="ABS489" s="4"/>
      <c r="ABT489" s="4"/>
      <c r="ABU489" s="4"/>
      <c r="ABV489" s="4"/>
      <c r="ABW489" s="5"/>
      <c r="ABX489" s="6"/>
      <c r="ABY489" s="4"/>
      <c r="ABZ489" s="4"/>
      <c r="ACA489" s="4"/>
      <c r="ACB489" s="4"/>
      <c r="ACC489" s="4"/>
      <c r="ACD489" s="5"/>
      <c r="ACE489" s="6"/>
      <c r="ACF489" s="4"/>
      <c r="ACG489" s="4"/>
      <c r="ACH489" s="4"/>
      <c r="ACI489" s="4"/>
      <c r="ACJ489" s="4"/>
      <c r="ACK489" s="5"/>
      <c r="ACL489" s="6"/>
      <c r="ACM489" s="4"/>
      <c r="ACN489" s="4"/>
      <c r="ACO489" s="4"/>
      <c r="ACP489" s="4"/>
      <c r="ACQ489" s="4"/>
      <c r="ACR489" s="5"/>
      <c r="ACS489" s="6"/>
      <c r="ACT489" s="4"/>
      <c r="ACU489" s="4"/>
      <c r="ACV489" s="4"/>
      <c r="ACW489" s="4"/>
      <c r="ACX489" s="4"/>
      <c r="ACY489" s="5"/>
    </row>
    <row r="490" spans="2:795" x14ac:dyDescent="0.25">
      <c r="B490" s="30"/>
      <c r="J490" s="19"/>
      <c r="K490" s="19"/>
      <c r="L490" s="19"/>
      <c r="LL490" s="6"/>
      <c r="LM490" s="4"/>
      <c r="LN490" s="4"/>
      <c r="LO490" s="4"/>
      <c r="LP490" s="4"/>
      <c r="LQ490" s="4"/>
      <c r="LR490" s="5"/>
      <c r="LS490" s="6"/>
      <c r="LT490" s="4"/>
      <c r="LU490" s="4"/>
      <c r="LV490" s="4"/>
      <c r="LW490" s="4"/>
      <c r="LX490" s="4"/>
      <c r="LY490" s="5"/>
      <c r="LZ490" s="6"/>
      <c r="MA490" s="7"/>
      <c r="MB490" s="4"/>
      <c r="MC490" s="4"/>
      <c r="MD490" s="4"/>
      <c r="ME490" s="4"/>
      <c r="MF490" s="4"/>
      <c r="MG490" s="5"/>
      <c r="MH490" s="6"/>
      <c r="MI490" s="4"/>
      <c r="MJ490" s="4"/>
      <c r="MK490" s="4"/>
      <c r="ML490" s="4"/>
      <c r="MM490" s="4"/>
      <c r="MN490" s="5"/>
      <c r="MO490" s="6"/>
      <c r="MP490" s="4"/>
      <c r="MQ490" s="4"/>
      <c r="MR490" s="4"/>
      <c r="MS490" s="4"/>
      <c r="MT490" s="4"/>
      <c r="MU490" s="5"/>
      <c r="MV490" s="6"/>
      <c r="MW490" s="4"/>
      <c r="MX490" s="4"/>
      <c r="MY490" s="4"/>
      <c r="MZ490" s="4"/>
      <c r="NA490" s="4"/>
      <c r="NB490" s="5"/>
      <c r="NC490" s="6"/>
      <c r="ND490" s="4"/>
      <c r="NE490" s="4"/>
      <c r="NF490" s="4"/>
      <c r="NG490" s="4"/>
      <c r="NH490" s="4"/>
      <c r="NI490" s="5"/>
      <c r="NJ490" s="6"/>
      <c r="NK490" s="4"/>
      <c r="NL490" s="4"/>
      <c r="NM490" s="4"/>
      <c r="NN490" s="4"/>
      <c r="NO490" s="4"/>
      <c r="NP490" s="5"/>
      <c r="NQ490" s="6"/>
      <c r="NR490" s="4"/>
      <c r="NS490" s="4"/>
      <c r="NT490" s="4"/>
      <c r="NU490" s="4"/>
      <c r="NV490" s="4"/>
      <c r="NW490" s="5"/>
      <c r="NX490" s="6"/>
      <c r="NY490" s="4"/>
      <c r="NZ490" s="4"/>
      <c r="OA490" s="4"/>
      <c r="OB490" s="4"/>
      <c r="OC490" s="4"/>
      <c r="OD490" s="5"/>
      <c r="OE490" s="6"/>
      <c r="OF490" s="4"/>
      <c r="OG490" s="4"/>
      <c r="OH490" s="4"/>
      <c r="OI490" s="4"/>
      <c r="OJ490" s="4"/>
      <c r="OK490" s="5"/>
      <c r="OL490" s="6"/>
      <c r="OM490" s="4"/>
      <c r="ON490" s="4"/>
      <c r="OO490" s="4"/>
      <c r="OP490" s="4"/>
      <c r="OQ490" s="4"/>
      <c r="OR490" s="5"/>
      <c r="OS490" s="6"/>
      <c r="OT490" s="4"/>
      <c r="OU490" s="4"/>
      <c r="OV490" s="4"/>
      <c r="OW490" s="4"/>
      <c r="OX490" s="4"/>
      <c r="OY490" s="5"/>
      <c r="OZ490" s="6"/>
      <c r="PA490" s="4"/>
      <c r="PB490" s="4"/>
      <c r="PC490" s="4"/>
      <c r="PD490" s="4"/>
      <c r="PE490" s="4"/>
      <c r="PF490" s="5"/>
      <c r="PG490" s="6"/>
      <c r="PH490" s="4"/>
      <c r="PI490" s="4"/>
      <c r="PJ490" s="4"/>
      <c r="PK490" s="4"/>
      <c r="PL490" s="4"/>
      <c r="PM490" s="5"/>
      <c r="PN490" s="6"/>
      <c r="PO490" s="4"/>
      <c r="PP490" s="4"/>
      <c r="PQ490" s="4"/>
      <c r="PR490" s="4"/>
      <c r="PS490" s="4"/>
      <c r="PT490" s="5"/>
      <c r="PU490" s="6"/>
      <c r="PV490" s="4"/>
      <c r="PW490" s="4"/>
      <c r="PX490" s="4"/>
      <c r="PY490" s="4"/>
      <c r="PZ490" s="4"/>
      <c r="QA490" s="5"/>
      <c r="QB490" s="6"/>
      <c r="QC490" s="7"/>
      <c r="QD490" s="7"/>
      <c r="QE490" s="7"/>
      <c r="QF490" s="8"/>
      <c r="QG490" s="8"/>
      <c r="QH490" s="5"/>
      <c r="QI490" s="6"/>
      <c r="QJ490" s="4"/>
      <c r="QK490" s="4"/>
      <c r="QL490" s="4"/>
      <c r="QM490" s="4"/>
      <c r="QN490" s="4"/>
      <c r="QO490" s="5"/>
      <c r="QP490" s="6"/>
      <c r="QQ490" s="4"/>
      <c r="QR490" s="4"/>
      <c r="QS490" s="4"/>
      <c r="QT490" s="4"/>
      <c r="QU490" s="4"/>
      <c r="QV490" s="5"/>
      <c r="QW490" s="6"/>
      <c r="QX490" s="4"/>
      <c r="QY490" s="4"/>
      <c r="QZ490" s="4"/>
      <c r="RA490" s="4"/>
      <c r="RB490" s="4"/>
      <c r="RC490" s="5"/>
      <c r="RD490" s="6"/>
      <c r="RE490" s="4"/>
      <c r="RF490" s="4"/>
      <c r="RG490" s="4"/>
      <c r="RH490" s="4"/>
      <c r="RI490" s="4"/>
      <c r="RJ490" s="5"/>
      <c r="RK490" s="6"/>
      <c r="RL490" s="4"/>
      <c r="RM490" s="4"/>
      <c r="RN490" s="4"/>
      <c r="RO490" s="4"/>
      <c r="RP490" s="4"/>
      <c r="RQ490" s="5"/>
      <c r="RR490" s="6"/>
      <c r="RS490" s="4"/>
      <c r="RT490" s="4"/>
      <c r="RU490" s="4"/>
      <c r="RV490" s="4"/>
      <c r="RW490" s="4"/>
      <c r="RX490" s="5"/>
      <c r="RY490" s="6"/>
      <c r="RZ490" s="4"/>
      <c r="SA490" s="4"/>
      <c r="SB490" s="4"/>
      <c r="SC490" s="4"/>
      <c r="SD490" s="4"/>
      <c r="SE490" s="5"/>
      <c r="SF490" s="6"/>
      <c r="SG490" s="4"/>
      <c r="SH490" s="4"/>
      <c r="SI490" s="4"/>
      <c r="SJ490" s="4"/>
      <c r="SK490" s="4"/>
      <c r="SL490" s="5"/>
      <c r="SM490" s="6"/>
      <c r="SN490" s="4"/>
      <c r="SO490" s="4"/>
      <c r="SP490" s="4"/>
      <c r="SQ490" s="4"/>
      <c r="SR490" s="4"/>
      <c r="SS490" s="5"/>
      <c r="ST490" s="6"/>
      <c r="SU490" s="4"/>
      <c r="SV490" s="4"/>
      <c r="SW490" s="4"/>
      <c r="SX490" s="4"/>
      <c r="SY490" s="4"/>
      <c r="SZ490" s="5"/>
      <c r="TA490" s="6"/>
      <c r="TB490" s="4"/>
      <c r="TC490" s="4"/>
      <c r="TD490" s="4"/>
      <c r="TE490" s="4"/>
      <c r="TF490" s="4"/>
      <c r="TG490" s="5"/>
      <c r="TH490" s="6"/>
      <c r="TI490" s="4"/>
      <c r="TJ490" s="4"/>
      <c r="TK490" s="4"/>
      <c r="TL490" s="4"/>
      <c r="TM490" s="4"/>
      <c r="TN490" s="5"/>
      <c r="TO490" s="6"/>
      <c r="TP490" s="4"/>
      <c r="TQ490" s="4"/>
      <c r="TR490" s="4"/>
      <c r="TS490" s="4"/>
      <c r="TT490" s="4"/>
      <c r="TU490" s="5"/>
      <c r="TV490" s="6"/>
      <c r="TW490" s="4"/>
      <c r="TY490" s="8"/>
      <c r="TZ490" s="8"/>
      <c r="UA490" s="8"/>
      <c r="UB490" s="5"/>
      <c r="UC490" s="6"/>
      <c r="UD490" s="4"/>
      <c r="UE490" s="4"/>
      <c r="UF490" s="4"/>
      <c r="UG490" s="4"/>
      <c r="UH490" s="4"/>
      <c r="UI490" s="5"/>
      <c r="UJ490" s="6"/>
      <c r="UK490" s="4"/>
      <c r="UL490" s="4"/>
      <c r="UM490" s="4"/>
      <c r="UN490" s="4"/>
      <c r="UO490" s="4"/>
      <c r="UP490" s="5"/>
      <c r="UQ490" s="6"/>
      <c r="UR490" s="4"/>
      <c r="US490" s="4"/>
      <c r="UT490" s="4"/>
      <c r="UU490" s="4"/>
      <c r="UV490" s="4"/>
      <c r="UW490" s="5"/>
      <c r="UX490" s="6"/>
      <c r="UY490" s="4"/>
      <c r="UZ490" s="4"/>
      <c r="VA490" s="4"/>
      <c r="VB490" s="4"/>
      <c r="VC490" s="4"/>
      <c r="VD490" s="5"/>
      <c r="VE490" s="6"/>
      <c r="VF490" s="4"/>
      <c r="VG490" s="4"/>
      <c r="VH490" s="4"/>
      <c r="VI490" s="4"/>
      <c r="VJ490" s="4"/>
      <c r="VK490" s="5"/>
      <c r="VL490" s="6"/>
      <c r="VM490" s="4"/>
      <c r="VN490" s="4"/>
      <c r="VO490" s="4"/>
      <c r="VP490" s="4"/>
      <c r="VQ490" s="4"/>
      <c r="VR490" s="5"/>
      <c r="VS490" s="6"/>
      <c r="VT490" s="4"/>
      <c r="VU490" s="4"/>
      <c r="VV490" s="4"/>
      <c r="VW490" s="4"/>
      <c r="VX490" s="4"/>
      <c r="VY490" s="5"/>
      <c r="VZ490" s="6"/>
      <c r="WA490" s="4"/>
      <c r="WB490" s="4"/>
      <c r="WC490" s="4"/>
      <c r="WD490" s="4"/>
      <c r="WE490" s="4"/>
      <c r="WF490" s="5"/>
      <c r="WG490" s="4"/>
      <c r="WH490" s="4"/>
      <c r="WI490" s="4"/>
      <c r="WJ490" s="4"/>
      <c r="WK490" s="4"/>
      <c r="WL490" s="4"/>
      <c r="WM490" s="5"/>
      <c r="WN490" s="6"/>
      <c r="WO490" s="4"/>
      <c r="WP490" s="4"/>
      <c r="WQ490" s="4"/>
      <c r="WR490" s="4"/>
      <c r="WS490" s="4"/>
      <c r="WT490" s="5"/>
      <c r="WU490" s="6"/>
      <c r="WV490" s="4"/>
      <c r="WW490" s="4"/>
      <c r="WX490" s="4"/>
      <c r="WY490" s="4"/>
      <c r="WZ490" s="4"/>
      <c r="XA490" s="5"/>
      <c r="XB490" s="6"/>
      <c r="XC490" s="4"/>
      <c r="XD490" s="4"/>
      <c r="XE490" s="4"/>
      <c r="XF490" s="4"/>
      <c r="XG490" s="4"/>
      <c r="XH490" s="5"/>
      <c r="XI490" s="4"/>
      <c r="XJ490" s="4"/>
      <c r="XK490" s="4"/>
      <c r="XL490" s="4"/>
      <c r="XM490" s="4"/>
      <c r="XN490" s="4"/>
      <c r="XO490" s="5"/>
      <c r="XP490" s="6"/>
      <c r="XQ490" s="4"/>
      <c r="XR490" s="4"/>
      <c r="XS490" s="4"/>
      <c r="XT490" s="4"/>
      <c r="XU490" s="4"/>
      <c r="XV490" s="5"/>
      <c r="XW490" s="6"/>
      <c r="XX490" s="4"/>
      <c r="XY490" s="4"/>
      <c r="XZ490" s="4"/>
      <c r="YA490" s="4"/>
      <c r="YB490" s="4"/>
      <c r="YC490" s="5"/>
      <c r="YD490" s="6"/>
      <c r="YE490" s="4"/>
      <c r="YF490" s="4"/>
      <c r="YG490" s="4"/>
      <c r="YH490" s="4"/>
      <c r="YI490" s="4"/>
      <c r="YJ490" s="5"/>
      <c r="YK490" s="6" t="s">
        <v>981</v>
      </c>
      <c r="YL490" s="7" t="s">
        <v>982</v>
      </c>
      <c r="YM490" s="41"/>
      <c r="YN490" s="7" t="s">
        <v>983</v>
      </c>
      <c r="YO490" s="8">
        <v>39327</v>
      </c>
      <c r="YP490" s="8">
        <v>39327</v>
      </c>
      <c r="YQ490" s="5" t="s">
        <v>846</v>
      </c>
      <c r="YR490" s="6"/>
      <c r="YS490" s="4"/>
      <c r="YT490" s="4"/>
      <c r="YU490" s="4"/>
      <c r="YV490" s="4"/>
      <c r="YW490" s="4"/>
      <c r="YX490" s="5"/>
      <c r="YY490" s="6"/>
      <c r="YZ490" s="4"/>
      <c r="ZA490" s="4"/>
      <c r="ZB490" s="4"/>
      <c r="ZC490" s="4"/>
      <c r="ZD490" s="4"/>
      <c r="ZE490" s="5"/>
      <c r="ZF490" s="6"/>
      <c r="ZG490" s="4"/>
      <c r="ZH490" s="4"/>
      <c r="ZI490" s="4"/>
      <c r="ZJ490" s="4"/>
      <c r="ZK490" s="4"/>
      <c r="ZL490" s="5"/>
      <c r="ZM490" s="6"/>
      <c r="ZN490" s="4"/>
      <c r="ZO490" s="4"/>
      <c r="ZP490" s="4"/>
      <c r="ZQ490" s="4"/>
      <c r="ZR490" s="4"/>
      <c r="ZS490" s="5"/>
      <c r="ZT490" s="6"/>
      <c r="ZU490" s="4"/>
      <c r="ZV490" s="4"/>
      <c r="ZW490" s="4"/>
      <c r="ZX490" s="4"/>
      <c r="ZY490" s="4"/>
      <c r="ZZ490" s="5"/>
      <c r="AAA490" s="6"/>
      <c r="AAB490" s="4"/>
      <c r="AAC490" s="4"/>
      <c r="AAD490" s="4"/>
      <c r="AAE490" s="4"/>
      <c r="AAF490" s="4"/>
      <c r="AAG490" s="5"/>
      <c r="AAH490" s="6"/>
      <c r="AAI490" s="4"/>
      <c r="AAJ490" s="4"/>
      <c r="AAK490" s="4"/>
      <c r="AAL490" s="4"/>
      <c r="AAM490" s="4"/>
      <c r="AAN490" s="5"/>
      <c r="AAO490" s="6"/>
      <c r="AAP490" s="4"/>
      <c r="AAQ490" s="4"/>
      <c r="AAR490" s="4"/>
      <c r="AAS490" s="4"/>
      <c r="AAT490" s="4"/>
      <c r="AAU490" s="5"/>
      <c r="AAV490" s="6"/>
      <c r="AAW490" s="4"/>
      <c r="AAX490" s="4"/>
      <c r="AAY490" s="4"/>
      <c r="AAZ490" s="4"/>
      <c r="ABA490" s="4"/>
      <c r="ABB490" s="5"/>
      <c r="ABC490" s="6"/>
      <c r="ABD490" s="4"/>
      <c r="ABE490" s="4"/>
      <c r="ABF490" s="4"/>
      <c r="ABG490" s="4"/>
      <c r="ABH490" s="4"/>
      <c r="ABI490" s="5"/>
      <c r="ABJ490" s="6"/>
      <c r="ABK490" s="4"/>
      <c r="ABL490" s="4"/>
      <c r="ABM490" s="4"/>
      <c r="ABN490" s="4"/>
      <c r="ABO490" s="4"/>
      <c r="ABP490" s="5"/>
      <c r="ABQ490" s="6"/>
      <c r="ABR490" s="4"/>
      <c r="ABS490" s="4"/>
      <c r="ABT490" s="4"/>
      <c r="ABU490" s="4"/>
      <c r="ABV490" s="4"/>
      <c r="ABW490" s="5"/>
      <c r="ABX490" s="6"/>
      <c r="ABY490" s="4"/>
      <c r="ABZ490" s="4"/>
      <c r="ACA490" s="4"/>
      <c r="ACB490" s="4"/>
      <c r="ACC490" s="4"/>
      <c r="ACD490" s="5"/>
      <c r="ACE490" s="6"/>
      <c r="ACF490" s="4"/>
      <c r="ACG490" s="4"/>
      <c r="ACH490" s="4"/>
      <c r="ACI490" s="4"/>
      <c r="ACJ490" s="4"/>
      <c r="ACK490" s="5"/>
      <c r="ACL490" s="6"/>
      <c r="ACM490" s="4"/>
      <c r="ACN490" s="4"/>
      <c r="ACO490" s="4"/>
      <c r="ACP490" s="4"/>
      <c r="ACQ490" s="4"/>
      <c r="ACR490" s="5"/>
      <c r="ACS490" s="6"/>
      <c r="ACT490" s="4"/>
      <c r="ACU490" s="4"/>
      <c r="ACV490" s="4"/>
      <c r="ACW490" s="4"/>
      <c r="ACX490" s="4"/>
      <c r="ACY490" s="5"/>
    </row>
    <row r="491" spans="2:795" x14ac:dyDescent="0.25">
      <c r="B491" s="49">
        <v>10041735</v>
      </c>
      <c r="C491" s="57">
        <v>29</v>
      </c>
      <c r="D491" t="s">
        <v>681</v>
      </c>
      <c r="E491" s="54" t="s">
        <v>61</v>
      </c>
      <c r="F491" s="23">
        <v>1</v>
      </c>
      <c r="H491" s="23" t="s">
        <v>309</v>
      </c>
      <c r="J491" s="12"/>
      <c r="K491" s="12"/>
      <c r="L491" s="12"/>
      <c r="M491">
        <v>1</v>
      </c>
      <c r="N491" s="17">
        <v>33967</v>
      </c>
      <c r="LL491" s="6"/>
      <c r="LM491" s="4"/>
      <c r="LN491" s="4"/>
      <c r="LO491" s="4"/>
      <c r="LP491" s="4"/>
      <c r="LQ491" s="4"/>
      <c r="LR491" s="5"/>
      <c r="LS491" s="6" t="s">
        <v>745</v>
      </c>
      <c r="LT491" s="4" t="s">
        <v>725</v>
      </c>
      <c r="LU491" s="4"/>
      <c r="LV491" s="4" t="s">
        <v>3027</v>
      </c>
      <c r="LW491" s="8">
        <v>33965</v>
      </c>
      <c r="LX491" s="8">
        <v>33965</v>
      </c>
      <c r="LY491" s="5" t="s">
        <v>306</v>
      </c>
      <c r="LZ491" s="6" t="s">
        <v>2290</v>
      </c>
      <c r="MA491" s="4" t="s">
        <v>2375</v>
      </c>
      <c r="MB491" s="4"/>
      <c r="MC491" s="4" t="s">
        <v>3027</v>
      </c>
      <c r="MD491" s="8">
        <v>33966</v>
      </c>
      <c r="ME491" s="8">
        <v>37618</v>
      </c>
      <c r="MF491" s="8" t="s">
        <v>307</v>
      </c>
      <c r="MG491" s="5" t="s">
        <v>308</v>
      </c>
      <c r="MH491" s="6" t="s">
        <v>431</v>
      </c>
      <c r="MI491" s="4"/>
      <c r="MJ491" s="4"/>
      <c r="MK491" s="4"/>
      <c r="ML491" s="4"/>
      <c r="MM491" s="4"/>
      <c r="MN491" s="5"/>
      <c r="MO491" s="6"/>
      <c r="MP491" s="4"/>
      <c r="MQ491" s="4"/>
      <c r="MR491" s="4"/>
      <c r="MS491" s="4"/>
      <c r="MT491" s="4"/>
      <c r="MU491" s="5"/>
      <c r="MV491" s="6"/>
      <c r="MW491" s="4"/>
      <c r="MX491" s="4"/>
      <c r="MY491" s="4"/>
      <c r="MZ491" s="4"/>
      <c r="NA491" s="4"/>
      <c r="NB491" s="5"/>
      <c r="NC491" s="6"/>
      <c r="ND491" s="4"/>
      <c r="NE491" s="4"/>
      <c r="NF491" s="4"/>
      <c r="NG491" s="4"/>
      <c r="NH491" s="4"/>
      <c r="NI491" s="5"/>
      <c r="NJ491" s="6"/>
      <c r="NK491" s="4"/>
      <c r="NL491" s="4"/>
      <c r="NM491" s="4"/>
      <c r="NN491" s="4"/>
      <c r="NO491" s="4"/>
      <c r="NP491" s="5"/>
      <c r="NQ491" s="6"/>
      <c r="NR491" s="4"/>
      <c r="NS491" s="4"/>
      <c r="NT491" s="4"/>
      <c r="NU491" s="4"/>
      <c r="NV491" s="4"/>
      <c r="NW491" s="5"/>
      <c r="NX491" s="6"/>
      <c r="NY491" s="4"/>
      <c r="NZ491" s="4"/>
      <c r="OA491" s="4"/>
      <c r="OB491" s="4"/>
      <c r="OC491" s="4"/>
      <c r="OD491" s="5"/>
      <c r="OE491" s="6"/>
      <c r="OF491" s="4"/>
      <c r="OG491" s="4"/>
      <c r="OH491" s="4"/>
      <c r="OI491" s="4"/>
      <c r="OJ491" s="4"/>
      <c r="OK491" s="5"/>
      <c r="OL491" s="6"/>
      <c r="OM491" s="4"/>
      <c r="ON491" s="4"/>
      <c r="OO491" s="4"/>
      <c r="OP491" s="4"/>
      <c r="OQ491" s="4"/>
      <c r="OR491" s="5"/>
      <c r="OS491" s="6"/>
      <c r="OT491" s="4"/>
      <c r="OU491" s="4"/>
      <c r="OV491" s="4"/>
      <c r="OW491" s="4"/>
      <c r="OX491" s="4"/>
      <c r="OY491" s="5"/>
      <c r="OZ491" s="6"/>
      <c r="PA491" s="4"/>
      <c r="PB491" s="4"/>
      <c r="PC491" s="4"/>
      <c r="PD491" s="4"/>
      <c r="PE491" s="4"/>
      <c r="PF491" s="5"/>
      <c r="PG491" s="6"/>
      <c r="PH491" s="4"/>
      <c r="PI491" s="4"/>
      <c r="PJ491" s="4"/>
      <c r="PK491" s="4"/>
      <c r="PL491" s="4"/>
      <c r="PM491" s="5"/>
      <c r="PN491" s="6"/>
      <c r="PO491" s="4"/>
      <c r="PP491" s="4"/>
      <c r="PQ491" s="4"/>
      <c r="PR491" s="4"/>
      <c r="PS491" s="4"/>
      <c r="PT491" s="5"/>
      <c r="PU491" s="6"/>
      <c r="PV491" s="4"/>
      <c r="PW491" s="4"/>
      <c r="PX491" s="4"/>
      <c r="PY491" s="4"/>
      <c r="PZ491" s="4"/>
      <c r="QA491" s="5"/>
      <c r="QB491" s="6"/>
      <c r="QC491" s="4"/>
      <c r="QD491" s="4"/>
      <c r="QE491" s="4"/>
      <c r="QF491" s="4"/>
      <c r="QG491" s="4"/>
      <c r="QH491" s="5"/>
      <c r="QI491" s="6"/>
      <c r="QJ491" s="4"/>
      <c r="QK491" s="4"/>
      <c r="QL491" s="4"/>
      <c r="QM491" s="4"/>
      <c r="QN491" s="4"/>
      <c r="QO491" s="5"/>
      <c r="QP491" s="6"/>
      <c r="QQ491" s="4"/>
      <c r="QR491" s="4"/>
      <c r="QS491" s="4"/>
      <c r="QT491" s="4"/>
      <c r="QU491" s="4"/>
      <c r="QV491" s="5"/>
      <c r="QW491" s="6"/>
      <c r="QX491" s="4"/>
      <c r="QY491" s="4"/>
      <c r="QZ491" s="4"/>
      <c r="RA491" s="4"/>
      <c r="RB491" s="4"/>
      <c r="RC491" s="5"/>
      <c r="RD491" s="6"/>
      <c r="RE491" s="4"/>
      <c r="RF491" s="4"/>
      <c r="RG491" s="4"/>
      <c r="RH491" s="4"/>
      <c r="RI491" s="4"/>
      <c r="RJ491" s="5"/>
      <c r="RK491" s="6"/>
      <c r="RL491" s="4"/>
      <c r="RM491" s="4"/>
      <c r="RN491" s="4"/>
      <c r="RO491" s="4"/>
      <c r="RP491" s="4"/>
      <c r="RQ491" s="5"/>
      <c r="RR491" s="6"/>
      <c r="RS491" s="4"/>
      <c r="RT491" s="4"/>
      <c r="RU491" s="4"/>
      <c r="RV491" s="4"/>
      <c r="RW491" s="4"/>
      <c r="RX491" s="5"/>
      <c r="RY491" s="6"/>
      <c r="RZ491" s="4"/>
      <c r="SA491" s="4"/>
      <c r="SB491" s="4"/>
      <c r="SC491" s="4"/>
      <c r="SD491" s="4"/>
      <c r="SE491" s="5"/>
      <c r="SF491" s="6"/>
      <c r="SG491" s="4"/>
      <c r="SH491" s="4"/>
      <c r="SI491" s="4"/>
      <c r="SJ491" s="4"/>
      <c r="SK491" s="4"/>
      <c r="SL491" s="5"/>
      <c r="SM491" s="6"/>
      <c r="SN491" s="4"/>
      <c r="SO491" s="4"/>
      <c r="SP491" s="4"/>
      <c r="SQ491" s="4"/>
      <c r="SR491" s="4"/>
      <c r="SS491" s="5"/>
      <c r="ST491" s="6"/>
      <c r="SU491" s="4"/>
      <c r="SV491" s="4"/>
      <c r="SW491" s="4"/>
      <c r="SX491" s="4"/>
      <c r="SY491" s="4"/>
      <c r="SZ491" s="5"/>
      <c r="TA491" s="6"/>
      <c r="TB491" s="4"/>
      <c r="TC491" s="4"/>
      <c r="TD491" s="4"/>
      <c r="TE491" s="4"/>
      <c r="TF491" s="4"/>
      <c r="TG491" s="5"/>
      <c r="TH491" s="6"/>
      <c r="TI491" s="4"/>
      <c r="TJ491" s="4"/>
      <c r="TK491" s="4"/>
      <c r="TL491" s="4"/>
      <c r="TM491" s="4"/>
      <c r="TN491" s="5"/>
      <c r="TO491" s="6"/>
      <c r="TP491" s="4"/>
      <c r="TQ491" s="4"/>
      <c r="TR491" s="4"/>
      <c r="TS491" s="4"/>
      <c r="TT491" s="4"/>
      <c r="TU491" s="5"/>
      <c r="TV491" s="6"/>
      <c r="TW491" s="4"/>
      <c r="TX491" s="4"/>
      <c r="TY491" s="4"/>
      <c r="TZ491" s="4"/>
      <c r="UA491" s="4"/>
      <c r="UB491" s="5"/>
      <c r="UC491" s="6"/>
      <c r="UD491" s="4"/>
      <c r="UE491" s="4"/>
      <c r="UF491" s="4"/>
      <c r="UG491" s="4"/>
      <c r="UH491" s="4"/>
      <c r="UI491" s="5"/>
      <c r="UJ491" s="6"/>
      <c r="UK491" s="4"/>
      <c r="UL491" s="4"/>
      <c r="UM491" s="4"/>
      <c r="UN491" s="4"/>
      <c r="UO491" s="4"/>
      <c r="UP491" s="5"/>
      <c r="UQ491" s="6"/>
      <c r="UR491" s="4"/>
      <c r="US491" s="4"/>
      <c r="UT491" s="4"/>
      <c r="UU491" s="4"/>
      <c r="UV491" s="4"/>
      <c r="UW491" s="5"/>
      <c r="UX491" s="6"/>
      <c r="UY491" s="4"/>
      <c r="UZ491" s="4"/>
      <c r="VA491" s="4"/>
      <c r="VB491" s="4"/>
      <c r="VC491" s="4"/>
      <c r="VD491" s="5"/>
      <c r="VE491" s="6"/>
      <c r="VF491" s="4"/>
      <c r="VG491" s="4"/>
      <c r="VH491" s="4"/>
      <c r="VI491" s="4"/>
      <c r="VJ491" s="4"/>
      <c r="VK491" s="5"/>
      <c r="VL491" s="6" t="s">
        <v>746</v>
      </c>
      <c r="VM491" s="4" t="s">
        <v>746</v>
      </c>
      <c r="VN491" s="4"/>
      <c r="VO491" s="4" t="s">
        <v>3027</v>
      </c>
      <c r="VP491" s="8">
        <v>33965</v>
      </c>
      <c r="VQ491" s="8">
        <v>33965</v>
      </c>
      <c r="VR491" s="5" t="s">
        <v>306</v>
      </c>
      <c r="VS491" s="6"/>
      <c r="VT491" s="4"/>
      <c r="VU491" s="4"/>
      <c r="VV491" s="4"/>
      <c r="VW491" s="4"/>
      <c r="VX491" s="4"/>
      <c r="VY491" s="5"/>
      <c r="VZ491" s="6"/>
      <c r="WA491" s="4"/>
      <c r="WB491" s="4"/>
      <c r="WC491" s="4"/>
      <c r="WD491" s="4"/>
      <c r="WE491" s="4"/>
      <c r="WF491" s="5"/>
      <c r="WG491" s="6"/>
      <c r="WH491" s="4"/>
      <c r="WI491" s="4"/>
      <c r="WJ491" s="4"/>
      <c r="WK491" s="4"/>
      <c r="WL491" s="4"/>
      <c r="WM491" s="5"/>
      <c r="WN491" s="6"/>
      <c r="WO491" s="4"/>
      <c r="WP491" s="4"/>
      <c r="WQ491" s="4"/>
      <c r="WR491" s="4"/>
      <c r="WS491" s="4"/>
      <c r="WT491" s="5"/>
      <c r="WU491" s="6"/>
      <c r="WV491" s="4"/>
      <c r="WW491" s="4"/>
      <c r="WX491" s="4"/>
      <c r="WY491" s="4"/>
      <c r="WZ491" s="4"/>
      <c r="XA491" s="5"/>
      <c r="XB491" s="6"/>
      <c r="XC491" s="4"/>
      <c r="XD491" s="4"/>
      <c r="XE491" s="4"/>
      <c r="XF491" s="4"/>
      <c r="XG491" s="4"/>
      <c r="XH491" s="5"/>
      <c r="XI491" s="6"/>
      <c r="XJ491" s="4"/>
      <c r="XK491" s="4"/>
      <c r="XL491" s="4"/>
      <c r="XM491" s="4"/>
      <c r="XN491" s="4"/>
      <c r="XO491" s="5"/>
      <c r="XP491" s="6"/>
      <c r="XQ491" s="4"/>
      <c r="XR491" s="4"/>
      <c r="XS491" s="4"/>
      <c r="XT491" s="4"/>
      <c r="XU491" s="4"/>
      <c r="XV491" s="5"/>
      <c r="XW491" s="6"/>
      <c r="XX491" s="4"/>
      <c r="XY491" s="4"/>
      <c r="XZ491" s="4"/>
      <c r="YA491" s="4"/>
      <c r="YB491" s="4"/>
      <c r="YC491" s="5"/>
      <c r="YD491" s="6"/>
      <c r="YE491" s="4"/>
      <c r="YF491" s="4"/>
      <c r="YG491" s="4"/>
      <c r="YH491" s="4"/>
      <c r="YI491" s="4"/>
      <c r="YJ491" s="5"/>
      <c r="YK491" s="6"/>
      <c r="YL491" s="4"/>
      <c r="YM491" s="4"/>
      <c r="YN491" s="4"/>
      <c r="YO491" s="4"/>
      <c r="YP491" s="4"/>
      <c r="YQ491" s="5"/>
      <c r="YR491" s="6"/>
      <c r="YS491" s="4"/>
      <c r="YT491" s="4"/>
      <c r="YU491" s="4"/>
      <c r="YV491" s="4"/>
      <c r="YW491" s="4"/>
      <c r="YX491" s="5"/>
      <c r="YY491" s="6"/>
      <c r="YZ491" s="4"/>
      <c r="ZA491" s="4"/>
      <c r="ZB491" s="4"/>
      <c r="ZC491" s="4"/>
      <c r="ZD491" s="4"/>
      <c r="ZE491" s="5"/>
      <c r="ZF491" s="6"/>
      <c r="ZG491" s="4"/>
      <c r="ZH491" s="4"/>
      <c r="ZI491" s="4"/>
      <c r="ZJ491" s="4"/>
      <c r="ZK491" s="4"/>
      <c r="ZL491" s="5"/>
      <c r="ZM491" s="6"/>
      <c r="ZN491" s="4"/>
      <c r="ZO491" s="4"/>
      <c r="ZP491" s="4"/>
      <c r="ZQ491" s="4"/>
      <c r="ZR491" s="4"/>
      <c r="ZS491" s="5"/>
      <c r="ZT491" s="6"/>
      <c r="ZU491" s="4"/>
      <c r="ZV491" s="4"/>
      <c r="ZW491" s="4"/>
      <c r="ZX491" s="4"/>
      <c r="ZY491" s="4"/>
      <c r="ZZ491" s="5"/>
      <c r="AAA491" s="6"/>
      <c r="AAB491" s="4"/>
      <c r="AAC491" s="4"/>
      <c r="AAD491" s="4"/>
      <c r="AAE491" s="4"/>
      <c r="AAF491" s="4"/>
      <c r="AAG491" s="5"/>
      <c r="AAH491" s="6"/>
      <c r="AAI491" s="4"/>
      <c r="AAJ491" s="4"/>
      <c r="AAK491" s="4"/>
      <c r="AAL491" s="4"/>
      <c r="AAM491" s="4"/>
      <c r="AAN491" s="5"/>
      <c r="AAO491" s="6"/>
      <c r="AAP491" s="4"/>
      <c r="AAQ491" s="4"/>
      <c r="AAR491" s="4"/>
      <c r="AAS491" s="4"/>
      <c r="AAT491" s="4"/>
      <c r="AAU491" s="5"/>
      <c r="AAV491" s="6"/>
      <c r="AAW491" s="4"/>
      <c r="AAX491" s="4"/>
      <c r="AAY491" s="4"/>
      <c r="AAZ491" s="4"/>
      <c r="ABA491" s="4"/>
      <c r="ABB491" s="5"/>
      <c r="ABC491" s="6"/>
      <c r="ABD491" s="4"/>
      <c r="ABE491" s="4"/>
      <c r="ABF491" s="4"/>
      <c r="ABG491" s="4"/>
      <c r="ABH491" s="4"/>
      <c r="ABI491" s="5"/>
      <c r="ABJ491" s="6"/>
      <c r="ABK491" s="4"/>
      <c r="ABL491" s="4"/>
      <c r="ABM491" s="4"/>
      <c r="ABN491" s="4"/>
      <c r="ABO491" s="4"/>
      <c r="ABP491" s="5"/>
      <c r="ABQ491" s="6"/>
      <c r="ABR491" s="4"/>
      <c r="ABS491" s="4"/>
      <c r="ABT491" s="4"/>
      <c r="ABU491" s="4"/>
      <c r="ABV491" s="4"/>
      <c r="ABW491" s="5"/>
      <c r="ABX491" s="6"/>
      <c r="ABY491" s="4"/>
      <c r="ABZ491" s="4"/>
      <c r="ACA491" s="4"/>
      <c r="ACB491" s="4"/>
      <c r="ACC491" s="4"/>
      <c r="ACD491" s="5"/>
      <c r="ACE491" s="6"/>
      <c r="ACF491" s="4"/>
      <c r="ACG491" s="4"/>
      <c r="ACH491" s="4"/>
      <c r="ACI491" s="4"/>
      <c r="ACJ491" s="4"/>
      <c r="ACK491" s="5"/>
      <c r="ACL491" s="6"/>
      <c r="ACM491" s="4"/>
      <c r="ACN491" s="4"/>
      <c r="ACO491" s="4"/>
      <c r="ACP491" s="4"/>
      <c r="ACQ491" s="4"/>
      <c r="ACR491" s="5"/>
      <c r="ACS491" s="6"/>
      <c r="ACT491" s="4"/>
      <c r="ACU491" s="4"/>
      <c r="ACV491" s="4"/>
      <c r="ACW491" s="4"/>
      <c r="ACX491" s="4"/>
      <c r="ACY491" s="5"/>
    </row>
    <row r="492" spans="2:795" x14ac:dyDescent="0.25">
      <c r="B492" s="30"/>
      <c r="J492" s="12"/>
      <c r="K492" s="12"/>
      <c r="L492" s="12"/>
      <c r="LL492" s="6"/>
      <c r="LM492" s="4"/>
      <c r="LN492" s="4"/>
      <c r="LO492" s="4"/>
      <c r="LP492" s="4"/>
      <c r="LQ492" s="4"/>
      <c r="LR492" s="5"/>
      <c r="LS492" s="6"/>
      <c r="LT492" s="4"/>
      <c r="LU492" s="4"/>
      <c r="LV492" s="4"/>
      <c r="LW492" s="8"/>
      <c r="LX492" s="8"/>
      <c r="LY492" s="5"/>
      <c r="LZ492" s="6" t="s">
        <v>2290</v>
      </c>
      <c r="MA492" s="4" t="s">
        <v>2375</v>
      </c>
      <c r="MB492" s="4"/>
      <c r="MC492" s="4" t="s">
        <v>3027</v>
      </c>
      <c r="MD492" s="8">
        <v>33962</v>
      </c>
      <c r="ME492" s="8">
        <v>33962</v>
      </c>
      <c r="MF492" s="8" t="s">
        <v>611</v>
      </c>
      <c r="MG492" s="5" t="s">
        <v>306</v>
      </c>
      <c r="MH492" s="6"/>
      <c r="MI492" s="4"/>
      <c r="MJ492" s="4"/>
      <c r="MK492" s="4"/>
      <c r="ML492" s="4"/>
      <c r="MM492" s="4"/>
      <c r="MN492" s="5"/>
      <c r="MO492" s="6"/>
      <c r="MP492" s="4"/>
      <c r="MQ492" s="4"/>
      <c r="MR492" s="4"/>
      <c r="MS492" s="4"/>
      <c r="MT492" s="4"/>
      <c r="MU492" s="5"/>
      <c r="MV492" s="6"/>
      <c r="MW492" s="4"/>
      <c r="MX492" s="4"/>
      <c r="MY492" s="4"/>
      <c r="MZ492" s="4"/>
      <c r="NA492" s="4"/>
      <c r="NB492" s="5"/>
      <c r="NC492" s="6"/>
      <c r="ND492" s="4"/>
      <c r="NE492" s="4"/>
      <c r="NF492" s="4"/>
      <c r="NG492" s="4"/>
      <c r="NH492" s="4"/>
      <c r="NI492" s="5"/>
      <c r="NJ492" s="6"/>
      <c r="NK492" s="4"/>
      <c r="NL492" s="4"/>
      <c r="NM492" s="4"/>
      <c r="NN492" s="4"/>
      <c r="NO492" s="4"/>
      <c r="NP492" s="5"/>
      <c r="NQ492" s="6"/>
      <c r="NR492" s="4"/>
      <c r="NS492" s="4"/>
      <c r="NT492" s="4"/>
      <c r="NU492" s="4"/>
      <c r="NV492" s="4"/>
      <c r="NW492" s="5"/>
      <c r="NX492" s="6"/>
      <c r="NY492" s="4"/>
      <c r="NZ492" s="4"/>
      <c r="OA492" s="4"/>
      <c r="OB492" s="4"/>
      <c r="OC492" s="4"/>
      <c r="OD492" s="5"/>
      <c r="OE492" s="6"/>
      <c r="OF492" s="4"/>
      <c r="OG492" s="4"/>
      <c r="OH492" s="4"/>
      <c r="OI492" s="4"/>
      <c r="OJ492" s="4"/>
      <c r="OK492" s="5"/>
      <c r="OL492" s="6"/>
      <c r="OM492" s="4"/>
      <c r="ON492" s="4"/>
      <c r="OO492" s="4"/>
      <c r="OP492" s="4"/>
      <c r="OQ492" s="4"/>
      <c r="OR492" s="5"/>
      <c r="OS492" s="6"/>
      <c r="OT492" s="4"/>
      <c r="OU492" s="4"/>
      <c r="OV492" s="4"/>
      <c r="OW492" s="4"/>
      <c r="OX492" s="4"/>
      <c r="OY492" s="5"/>
      <c r="OZ492" s="6"/>
      <c r="PA492" s="4"/>
      <c r="PB492" s="4"/>
      <c r="PC492" s="4"/>
      <c r="PD492" s="4"/>
      <c r="PE492" s="4"/>
      <c r="PF492" s="5"/>
      <c r="PG492" s="6"/>
      <c r="PH492" s="4"/>
      <c r="PI492" s="4"/>
      <c r="PJ492" s="4"/>
      <c r="PK492" s="4"/>
      <c r="PL492" s="4"/>
      <c r="PM492" s="5"/>
      <c r="PN492" s="6"/>
      <c r="PO492" s="4"/>
      <c r="PP492" s="4"/>
      <c r="PQ492" s="4"/>
      <c r="PR492" s="4"/>
      <c r="PS492" s="4"/>
      <c r="PT492" s="5"/>
      <c r="PU492" s="6"/>
      <c r="PV492" s="4"/>
      <c r="PW492" s="4"/>
      <c r="PX492" s="4"/>
      <c r="PY492" s="4"/>
      <c r="PZ492" s="4"/>
      <c r="QA492" s="5"/>
      <c r="QB492" s="6"/>
      <c r="QC492" s="4"/>
      <c r="QD492" s="4"/>
      <c r="QE492" s="4"/>
      <c r="QF492" s="4"/>
      <c r="QG492" s="4"/>
      <c r="QH492" s="5"/>
      <c r="QI492" s="6"/>
      <c r="QJ492" s="4"/>
      <c r="QK492" s="4"/>
      <c r="QL492" s="4"/>
      <c r="QM492" s="4"/>
      <c r="QN492" s="4"/>
      <c r="QO492" s="5"/>
      <c r="QP492" s="6"/>
      <c r="QQ492" s="4"/>
      <c r="QR492" s="4"/>
      <c r="QS492" s="4"/>
      <c r="QT492" s="4"/>
      <c r="QU492" s="4"/>
      <c r="QV492" s="5"/>
      <c r="QW492" s="6"/>
      <c r="QX492" s="4"/>
      <c r="QY492" s="4"/>
      <c r="QZ492" s="4"/>
      <c r="RA492" s="4"/>
      <c r="RB492" s="4"/>
      <c r="RC492" s="5"/>
      <c r="RD492" s="6"/>
      <c r="RE492" s="4"/>
      <c r="RF492" s="4"/>
      <c r="RG492" s="4"/>
      <c r="RH492" s="4"/>
      <c r="RI492" s="4"/>
      <c r="RJ492" s="5"/>
      <c r="RK492" s="6"/>
      <c r="RL492" s="4"/>
      <c r="RM492" s="4"/>
      <c r="RN492" s="4"/>
      <c r="RO492" s="4"/>
      <c r="RP492" s="4"/>
      <c r="RQ492" s="5"/>
      <c r="RR492" s="6"/>
      <c r="RS492" s="4"/>
      <c r="RT492" s="4"/>
      <c r="RU492" s="4"/>
      <c r="RV492" s="4"/>
      <c r="RW492" s="4"/>
      <c r="RX492" s="5"/>
      <c r="RY492" s="6"/>
      <c r="RZ492" s="4"/>
      <c r="SA492" s="4"/>
      <c r="SB492" s="4"/>
      <c r="SC492" s="4"/>
      <c r="SD492" s="4"/>
      <c r="SE492" s="5"/>
      <c r="SF492" s="6"/>
      <c r="SG492" s="4"/>
      <c r="SH492" s="4"/>
      <c r="SI492" s="4"/>
      <c r="SJ492" s="4"/>
      <c r="SK492" s="4"/>
      <c r="SL492" s="5"/>
      <c r="SM492" s="6"/>
      <c r="SN492" s="4"/>
      <c r="SO492" s="4"/>
      <c r="SP492" s="4"/>
      <c r="SQ492" s="4"/>
      <c r="SR492" s="4"/>
      <c r="SS492" s="5"/>
      <c r="ST492" s="6"/>
      <c r="SU492" s="4"/>
      <c r="SV492" s="4"/>
      <c r="SW492" s="4"/>
      <c r="SX492" s="4"/>
      <c r="SY492" s="4"/>
      <c r="SZ492" s="5"/>
      <c r="TA492" s="6"/>
      <c r="TB492" s="4"/>
      <c r="TC492" s="4"/>
      <c r="TD492" s="4"/>
      <c r="TE492" s="4"/>
      <c r="TF492" s="4"/>
      <c r="TG492" s="5"/>
      <c r="TH492" s="6"/>
      <c r="TI492" s="4"/>
      <c r="TJ492" s="4"/>
      <c r="TK492" s="4"/>
      <c r="TL492" s="4"/>
      <c r="TM492" s="4"/>
      <c r="TN492" s="5"/>
      <c r="TO492" s="6"/>
      <c r="TP492" s="4"/>
      <c r="TQ492" s="4"/>
      <c r="TR492" s="4"/>
      <c r="TS492" s="4"/>
      <c r="TT492" s="4"/>
      <c r="TU492" s="5"/>
      <c r="TV492" s="6"/>
      <c r="TW492" s="4"/>
      <c r="TX492" s="4"/>
      <c r="TY492" s="4"/>
      <c r="TZ492" s="4"/>
      <c r="UA492" s="4"/>
      <c r="UB492" s="5"/>
      <c r="UC492" s="6"/>
      <c r="UD492" s="4"/>
      <c r="UE492" s="4"/>
      <c r="UF492" s="4"/>
      <c r="UG492" s="4"/>
      <c r="UH492" s="4"/>
      <c r="UI492" s="5"/>
      <c r="UJ492" s="6"/>
      <c r="UK492" s="4"/>
      <c r="UL492" s="4"/>
      <c r="UM492" s="4"/>
      <c r="UN492" s="4"/>
      <c r="UO492" s="4"/>
      <c r="UP492" s="5"/>
      <c r="UQ492" s="6"/>
      <c r="UR492" s="4"/>
      <c r="US492" s="4"/>
      <c r="UT492" s="4"/>
      <c r="UU492" s="4"/>
      <c r="UV492" s="4"/>
      <c r="UW492" s="5"/>
      <c r="UX492" s="6"/>
      <c r="UY492" s="4"/>
      <c r="UZ492" s="4"/>
      <c r="VA492" s="4"/>
      <c r="VB492" s="4"/>
      <c r="VC492" s="4"/>
      <c r="VD492" s="5"/>
      <c r="VE492" s="6"/>
      <c r="VF492" s="4"/>
      <c r="VG492" s="4"/>
      <c r="VH492" s="4"/>
      <c r="VI492" s="4"/>
      <c r="VJ492" s="4"/>
      <c r="VK492" s="5"/>
      <c r="VL492" s="6"/>
      <c r="VM492" s="4"/>
      <c r="VN492" s="4"/>
      <c r="VO492" s="4"/>
      <c r="VP492" s="4"/>
      <c r="VQ492" s="4"/>
      <c r="VR492" s="5"/>
      <c r="VS492" s="6"/>
      <c r="VT492" s="4"/>
      <c r="VU492" s="4"/>
      <c r="VV492" s="4"/>
      <c r="VW492" s="4"/>
      <c r="VX492" s="4"/>
      <c r="VY492" s="5"/>
      <c r="VZ492" s="6"/>
      <c r="WA492" s="4"/>
      <c r="WB492" s="4"/>
      <c r="WC492" s="4"/>
      <c r="WD492" s="4"/>
      <c r="WE492" s="4"/>
      <c r="WF492" s="5"/>
      <c r="WG492" s="6"/>
      <c r="WH492" s="4"/>
      <c r="WI492" s="4"/>
      <c r="WJ492" s="4"/>
      <c r="WK492" s="4"/>
      <c r="WL492" s="4"/>
      <c r="WM492" s="5"/>
      <c r="WN492" s="6"/>
      <c r="WO492" s="4"/>
      <c r="WP492" s="4"/>
      <c r="WQ492" s="4"/>
      <c r="WR492" s="4"/>
      <c r="WS492" s="4"/>
      <c r="WT492" s="5"/>
      <c r="WU492" s="6"/>
      <c r="WV492" s="4"/>
      <c r="WW492" s="4"/>
      <c r="WX492" s="4"/>
      <c r="WY492" s="4"/>
      <c r="WZ492" s="4"/>
      <c r="XA492" s="5"/>
      <c r="XB492" s="6"/>
      <c r="XC492" s="4"/>
      <c r="XD492" s="4"/>
      <c r="XE492" s="4"/>
      <c r="XF492" s="4"/>
      <c r="XG492" s="4"/>
      <c r="XH492" s="5"/>
      <c r="XI492" s="6"/>
      <c r="XJ492" s="4"/>
      <c r="XK492" s="4"/>
      <c r="XL492" s="4"/>
      <c r="XM492" s="4"/>
      <c r="XN492" s="4"/>
      <c r="XO492" s="5"/>
      <c r="XP492" s="6"/>
      <c r="XQ492" s="4"/>
      <c r="XR492" s="4"/>
      <c r="XS492" s="4"/>
      <c r="XT492" s="4"/>
      <c r="XU492" s="4"/>
      <c r="XV492" s="5"/>
      <c r="XW492" s="6"/>
      <c r="XX492" s="4"/>
      <c r="XY492" s="4"/>
      <c r="XZ492" s="4"/>
      <c r="YA492" s="4"/>
      <c r="YB492" s="4"/>
      <c r="YC492" s="5"/>
      <c r="YD492" s="6"/>
      <c r="YE492" s="4"/>
      <c r="YF492" s="4"/>
      <c r="YG492" s="4"/>
      <c r="YH492" s="4"/>
      <c r="YI492" s="4"/>
      <c r="YJ492" s="5"/>
      <c r="YK492" s="6"/>
      <c r="YL492" s="4"/>
      <c r="YM492" s="4"/>
      <c r="YN492" s="4"/>
      <c r="YO492" s="4"/>
      <c r="YP492" s="4"/>
      <c r="YQ492" s="5"/>
      <c r="YR492" s="6"/>
      <c r="YS492" s="4"/>
      <c r="YT492" s="4"/>
      <c r="YU492" s="4"/>
      <c r="YV492" s="4"/>
      <c r="YW492" s="4"/>
      <c r="YX492" s="5"/>
      <c r="YY492" s="6"/>
      <c r="YZ492" s="4"/>
      <c r="ZA492" s="4"/>
      <c r="ZB492" s="4"/>
      <c r="ZC492" s="4"/>
      <c r="ZD492" s="4"/>
      <c r="ZE492" s="5"/>
      <c r="ZF492" s="6"/>
      <c r="ZG492" s="4"/>
      <c r="ZH492" s="4"/>
      <c r="ZI492" s="4"/>
      <c r="ZJ492" s="4"/>
      <c r="ZK492" s="4"/>
      <c r="ZL492" s="5"/>
      <c r="ZM492" s="6"/>
      <c r="ZN492" s="4"/>
      <c r="ZO492" s="4"/>
      <c r="ZP492" s="4"/>
      <c r="ZQ492" s="4"/>
      <c r="ZR492" s="4"/>
      <c r="ZS492" s="5"/>
      <c r="ZT492" s="6"/>
      <c r="ZU492" s="4"/>
      <c r="ZV492" s="4"/>
      <c r="ZW492" s="4"/>
      <c r="ZX492" s="4"/>
      <c r="ZY492" s="4"/>
      <c r="ZZ492" s="5"/>
      <c r="AAA492" s="6"/>
      <c r="AAB492" s="4"/>
      <c r="AAC492" s="4"/>
      <c r="AAD492" s="4"/>
      <c r="AAE492" s="4"/>
      <c r="AAF492" s="4"/>
      <c r="AAG492" s="5"/>
      <c r="AAH492" s="6"/>
      <c r="AAI492" s="4"/>
      <c r="AAJ492" s="4"/>
      <c r="AAK492" s="4"/>
      <c r="AAL492" s="4"/>
      <c r="AAM492" s="4"/>
      <c r="AAN492" s="5"/>
      <c r="AAO492" s="6"/>
      <c r="AAP492" s="4"/>
      <c r="AAQ492" s="4"/>
      <c r="AAR492" s="4"/>
      <c r="AAS492" s="4"/>
      <c r="AAT492" s="4"/>
      <c r="AAU492" s="5"/>
      <c r="AAV492" s="6"/>
      <c r="AAW492" s="4"/>
      <c r="AAX492" s="4"/>
      <c r="AAY492" s="4"/>
      <c r="AAZ492" s="4"/>
      <c r="ABA492" s="4"/>
      <c r="ABB492" s="5"/>
      <c r="ABC492" s="6"/>
      <c r="ABD492" s="4"/>
      <c r="ABE492" s="4"/>
      <c r="ABF492" s="4"/>
      <c r="ABG492" s="4"/>
      <c r="ABH492" s="4"/>
      <c r="ABI492" s="5"/>
      <c r="ABJ492" s="6"/>
      <c r="ABK492" s="4"/>
      <c r="ABL492" s="4"/>
      <c r="ABM492" s="4"/>
      <c r="ABN492" s="4"/>
      <c r="ABO492" s="4"/>
      <c r="ABP492" s="5"/>
      <c r="ABQ492" s="6"/>
      <c r="ABR492" s="4"/>
      <c r="ABS492" s="4"/>
      <c r="ABT492" s="4"/>
      <c r="ABU492" s="4"/>
      <c r="ABV492" s="4"/>
      <c r="ABW492" s="5"/>
      <c r="ABX492" s="6"/>
      <c r="ABY492" s="4"/>
      <c r="ABZ492" s="4"/>
      <c r="ACA492" s="4"/>
      <c r="ACB492" s="4"/>
      <c r="ACC492" s="4"/>
      <c r="ACD492" s="5"/>
      <c r="ACE492" s="6"/>
      <c r="ACF492" s="4"/>
      <c r="ACG492" s="4"/>
      <c r="ACH492" s="4"/>
      <c r="ACI492" s="4"/>
      <c r="ACJ492" s="4"/>
      <c r="ACK492" s="5"/>
      <c r="ACL492" s="6"/>
      <c r="ACM492" s="4"/>
      <c r="ACN492" s="4"/>
      <c r="ACO492" s="4"/>
      <c r="ACP492" s="4"/>
      <c r="ACQ492" s="4"/>
      <c r="ACR492" s="5"/>
      <c r="ACS492" s="6"/>
      <c r="ACT492" s="4"/>
      <c r="ACU492" s="4"/>
      <c r="ACV492" s="4"/>
      <c r="ACW492" s="4"/>
      <c r="ACX492" s="4"/>
      <c r="ACY492" s="5"/>
    </row>
    <row r="493" spans="2:795" x14ac:dyDescent="0.25">
      <c r="B493" s="29">
        <v>10061500</v>
      </c>
      <c r="C493" s="57">
        <v>58</v>
      </c>
      <c r="D493" t="s">
        <v>3729</v>
      </c>
      <c r="E493" s="39" t="s">
        <v>3</v>
      </c>
      <c r="F493" s="23">
        <v>0</v>
      </c>
      <c r="I493">
        <v>1</v>
      </c>
      <c r="J493" s="19">
        <v>39859</v>
      </c>
      <c r="K493" s="19"/>
      <c r="L493" s="19" t="s">
        <v>796</v>
      </c>
      <c r="LL493" s="6"/>
      <c r="LM493" s="4"/>
      <c r="LN493" s="4"/>
      <c r="LO493" s="4"/>
      <c r="LP493" s="4"/>
      <c r="LQ493" s="4"/>
      <c r="LR493" s="5"/>
      <c r="LS493" s="6"/>
      <c r="LT493" s="4"/>
      <c r="LU493" s="4"/>
      <c r="LV493" s="4"/>
      <c r="LW493" s="4"/>
      <c r="LX493" s="4"/>
      <c r="LY493" s="5"/>
      <c r="LZ493" s="6" t="s">
        <v>3659</v>
      </c>
      <c r="MA493" s="7" t="s">
        <v>3716</v>
      </c>
      <c r="MB493" s="4"/>
      <c r="MC493" s="4" t="s">
        <v>3660</v>
      </c>
      <c r="MD493" s="8">
        <v>39850</v>
      </c>
      <c r="ME493" s="8">
        <v>39850</v>
      </c>
      <c r="MF493" s="8" t="s">
        <v>797</v>
      </c>
      <c r="MG493" s="5" t="s">
        <v>936</v>
      </c>
      <c r="MH493" s="6"/>
      <c r="MI493" s="4"/>
      <c r="MJ493" s="4"/>
      <c r="MK493" s="4"/>
      <c r="ML493" s="4"/>
      <c r="MM493" s="4"/>
      <c r="MN493" s="5"/>
      <c r="MO493" s="6"/>
      <c r="MP493" s="4"/>
      <c r="MQ493" s="4"/>
      <c r="MR493" s="4"/>
      <c r="MS493" s="4"/>
      <c r="MT493" s="4"/>
      <c r="MU493" s="5"/>
      <c r="MV493" s="6"/>
      <c r="MW493" s="4"/>
      <c r="MX493" s="4"/>
      <c r="MY493" s="4"/>
      <c r="MZ493" s="4"/>
      <c r="NA493" s="4"/>
      <c r="NB493" s="5"/>
      <c r="NC493" s="6" t="s">
        <v>1640</v>
      </c>
      <c r="ND493" s="7" t="s">
        <v>1734</v>
      </c>
      <c r="NE493" s="4" t="s">
        <v>3772</v>
      </c>
      <c r="NF493" s="7" t="s">
        <v>3901</v>
      </c>
      <c r="NG493" s="8">
        <v>39847</v>
      </c>
      <c r="NH493" s="8">
        <v>39854</v>
      </c>
      <c r="NI493" s="5" t="s">
        <v>937</v>
      </c>
      <c r="NJ493" s="6" t="s">
        <v>1706</v>
      </c>
      <c r="NK493" s="4" t="s">
        <v>1707</v>
      </c>
      <c r="NL493" s="4" t="s">
        <v>3664</v>
      </c>
      <c r="NM493" s="4"/>
      <c r="NN493" s="8">
        <v>39856</v>
      </c>
      <c r="NO493" s="4"/>
      <c r="NP493" s="5" t="s">
        <v>938</v>
      </c>
      <c r="NQ493" s="6"/>
      <c r="NR493" s="4"/>
      <c r="NS493" s="4"/>
      <c r="NT493" s="4"/>
      <c r="NU493" s="4"/>
      <c r="NV493" s="4"/>
      <c r="NW493" s="5"/>
      <c r="NX493" s="6" t="s">
        <v>3815</v>
      </c>
      <c r="NY493" s="4" t="s">
        <v>3822</v>
      </c>
      <c r="NZ493" s="4" t="s">
        <v>3762</v>
      </c>
      <c r="OA493" s="4"/>
      <c r="OB493" s="8">
        <v>39448</v>
      </c>
      <c r="OC493" s="4"/>
      <c r="OD493" s="5" t="s">
        <v>939</v>
      </c>
      <c r="OE493" s="6"/>
      <c r="OF493" s="4"/>
      <c r="OG493" s="4"/>
      <c r="OH493" s="4"/>
      <c r="OI493" s="4"/>
      <c r="OJ493" s="4"/>
      <c r="OK493" s="5"/>
      <c r="OL493" s="6"/>
      <c r="OM493" s="4"/>
      <c r="ON493" s="4"/>
      <c r="OO493" s="4"/>
      <c r="OP493" s="8"/>
      <c r="OQ493" s="4"/>
      <c r="OR493" s="5"/>
      <c r="OS493" s="6"/>
      <c r="OT493" s="4"/>
      <c r="OU493" s="4"/>
      <c r="OV493" s="4"/>
      <c r="OW493" s="4"/>
      <c r="OX493" s="4"/>
      <c r="OY493" s="5"/>
      <c r="OZ493" s="6" t="s">
        <v>2334</v>
      </c>
      <c r="PA493" s="4" t="s">
        <v>2335</v>
      </c>
      <c r="PB493" s="4" t="s">
        <v>3811</v>
      </c>
      <c r="PC493" s="4"/>
      <c r="PD493" s="8">
        <v>39600</v>
      </c>
      <c r="PE493" s="4"/>
      <c r="PF493" s="5" t="s">
        <v>1077</v>
      </c>
      <c r="PG493" s="6"/>
      <c r="PH493" s="4"/>
      <c r="PI493" s="4"/>
      <c r="PJ493" s="4"/>
      <c r="PK493" s="4"/>
      <c r="PL493" s="4"/>
      <c r="PM493" s="5"/>
      <c r="PN493" s="6"/>
      <c r="PO493" s="4"/>
      <c r="PP493" s="4"/>
      <c r="PQ493" s="4"/>
      <c r="PR493" s="4"/>
      <c r="PS493" s="4"/>
      <c r="PT493" s="5"/>
      <c r="PU493" s="6"/>
      <c r="PV493" s="4"/>
      <c r="PW493" s="4"/>
      <c r="PX493" s="4"/>
      <c r="PY493" s="4"/>
      <c r="PZ493" s="4"/>
      <c r="QA493" s="5"/>
      <c r="QB493" s="6" t="s">
        <v>1938</v>
      </c>
      <c r="QC493" s="4" t="s">
        <v>1938</v>
      </c>
      <c r="QD493" s="4" t="s">
        <v>1</v>
      </c>
      <c r="QE493" s="4"/>
      <c r="QF493" s="8">
        <v>39448</v>
      </c>
      <c r="QG493" s="4"/>
      <c r="QH493" s="5" t="s">
        <v>1295</v>
      </c>
      <c r="QI493" s="6"/>
      <c r="QJ493" s="4"/>
      <c r="QK493" s="4"/>
      <c r="QL493" s="4"/>
      <c r="QM493" s="4"/>
      <c r="QN493" s="4"/>
      <c r="QO493" s="5"/>
      <c r="QP493" s="6"/>
      <c r="QQ493" s="4"/>
      <c r="QR493" s="4"/>
      <c r="QS493" s="4"/>
      <c r="QT493" s="4"/>
      <c r="QU493" s="4"/>
      <c r="QV493" s="5"/>
      <c r="QW493" s="6"/>
      <c r="QX493" s="4"/>
      <c r="QY493" s="4"/>
      <c r="QZ493" s="4"/>
      <c r="RA493" s="4"/>
      <c r="RB493" s="4"/>
      <c r="RC493" s="5"/>
      <c r="RD493" s="6"/>
      <c r="RE493" s="4"/>
      <c r="RF493" s="4"/>
      <c r="RG493" s="4"/>
      <c r="RH493" s="4"/>
      <c r="RI493" s="4"/>
      <c r="RJ493" s="5"/>
      <c r="RK493" s="6"/>
      <c r="RL493" s="4"/>
      <c r="RM493" s="4"/>
      <c r="RN493" s="4"/>
      <c r="RO493" s="4"/>
      <c r="RP493" s="4"/>
      <c r="RQ493" s="5"/>
      <c r="RR493" s="6"/>
      <c r="RS493" s="4"/>
      <c r="RT493" s="4"/>
      <c r="RU493" s="4"/>
      <c r="RV493" s="4"/>
      <c r="RW493" s="4"/>
      <c r="RX493" s="5"/>
      <c r="RY493" s="6"/>
      <c r="RZ493" s="4"/>
      <c r="SA493" s="4"/>
      <c r="SB493" s="4"/>
      <c r="SC493" s="4"/>
      <c r="SD493" s="4"/>
      <c r="SE493" s="5"/>
      <c r="SF493" s="6"/>
      <c r="SG493" s="4"/>
      <c r="SH493" s="4"/>
      <c r="SI493" s="4"/>
      <c r="SJ493" s="4"/>
      <c r="SK493" s="4"/>
      <c r="SL493" s="5"/>
      <c r="SM493" s="6"/>
      <c r="SN493" s="4"/>
      <c r="SO493" s="4"/>
      <c r="SP493" s="4"/>
      <c r="SQ493" s="4"/>
      <c r="SR493" s="4"/>
      <c r="SS493" s="5"/>
      <c r="ST493" s="6"/>
      <c r="SU493" s="4"/>
      <c r="SV493" s="4"/>
      <c r="SW493" s="4"/>
      <c r="SX493" s="4"/>
      <c r="SY493" s="4"/>
      <c r="SZ493" s="5"/>
      <c r="TA493" s="6"/>
      <c r="TB493" s="4"/>
      <c r="TC493" s="4"/>
      <c r="TD493" s="4"/>
      <c r="TE493" s="4"/>
      <c r="TF493" s="4"/>
      <c r="TG493" s="5"/>
      <c r="TH493" s="6"/>
      <c r="TI493" s="4"/>
      <c r="TJ493" s="4"/>
      <c r="TK493" s="4"/>
      <c r="TL493" s="4"/>
      <c r="TM493" s="4"/>
      <c r="TN493" s="5"/>
      <c r="TO493" s="6"/>
      <c r="TP493" s="4"/>
      <c r="TQ493" s="4"/>
      <c r="TR493" s="4"/>
      <c r="TS493" s="4"/>
      <c r="TT493" s="4"/>
      <c r="TU493" s="5"/>
      <c r="TV493" s="6"/>
      <c r="TW493" s="4"/>
      <c r="TX493" s="4"/>
      <c r="TY493" s="4"/>
      <c r="TZ493" s="4"/>
      <c r="UA493" s="4"/>
      <c r="UB493" s="5"/>
      <c r="UC493" s="6"/>
      <c r="UD493" s="4"/>
      <c r="UE493" s="4"/>
      <c r="UF493" s="4"/>
      <c r="UG493" s="4"/>
      <c r="UH493" s="4"/>
      <c r="UI493" s="5"/>
      <c r="UJ493" s="6"/>
      <c r="UK493" s="4"/>
      <c r="UL493" s="4"/>
      <c r="UM493" s="4"/>
      <c r="UN493" s="4"/>
      <c r="UO493" s="4"/>
      <c r="UP493" s="5"/>
      <c r="UQ493" s="6"/>
      <c r="UR493" s="4"/>
      <c r="US493" s="4"/>
      <c r="UT493" s="4"/>
      <c r="UU493" s="4"/>
      <c r="UV493" s="4"/>
      <c r="UW493" s="5"/>
      <c r="UX493" s="6"/>
      <c r="UY493" s="4"/>
      <c r="UZ493" s="4"/>
      <c r="VA493" s="4"/>
      <c r="VB493" s="4"/>
      <c r="VC493" s="4"/>
      <c r="VD493" s="5"/>
      <c r="VE493" s="6"/>
      <c r="VF493" s="4"/>
      <c r="VG493" s="4"/>
      <c r="VH493" s="4"/>
      <c r="VI493" s="4"/>
      <c r="VJ493" s="4"/>
      <c r="VK493" s="5"/>
      <c r="VL493" s="6" t="s">
        <v>2639</v>
      </c>
      <c r="VM493" s="4" t="s">
        <v>2640</v>
      </c>
      <c r="VN493" s="4" t="s">
        <v>3667</v>
      </c>
      <c r="VO493" s="4"/>
      <c r="VP493" s="8">
        <v>39821</v>
      </c>
      <c r="VQ493" s="4"/>
      <c r="VR493" s="5" t="s">
        <v>861</v>
      </c>
      <c r="VS493" s="6"/>
      <c r="VT493" s="4"/>
      <c r="VU493" s="4"/>
      <c r="VV493" s="4"/>
      <c r="VW493" s="4"/>
      <c r="VX493" s="4"/>
      <c r="VY493" s="5"/>
      <c r="VZ493" s="6"/>
      <c r="WA493" s="4"/>
      <c r="WB493" s="4"/>
      <c r="WC493" s="4"/>
      <c r="WD493" s="4"/>
      <c r="WE493" s="4"/>
      <c r="WF493" s="5"/>
      <c r="WG493" s="4" t="s">
        <v>1851</v>
      </c>
      <c r="WH493" s="4" t="s">
        <v>1851</v>
      </c>
      <c r="WI493" s="4" t="s">
        <v>3769</v>
      </c>
      <c r="WJ493" s="4"/>
      <c r="WK493" s="8">
        <v>39836</v>
      </c>
      <c r="WL493" s="4"/>
      <c r="WM493" s="5" t="s">
        <v>1081</v>
      </c>
      <c r="WN493" s="6"/>
      <c r="WO493" s="4"/>
      <c r="WP493" s="4"/>
      <c r="WQ493" s="4"/>
      <c r="WR493" s="4"/>
      <c r="WS493" s="4"/>
      <c r="WT493" s="5"/>
      <c r="WU493" s="6"/>
      <c r="WV493" s="4"/>
      <c r="WW493" s="4"/>
      <c r="WX493" s="4"/>
      <c r="WY493" s="4"/>
      <c r="WZ493" s="4"/>
      <c r="XA493" s="5"/>
      <c r="XB493" s="6"/>
      <c r="XC493" s="4"/>
      <c r="XD493" s="4"/>
      <c r="XE493" s="4"/>
      <c r="XF493" s="4"/>
      <c r="XG493" s="4"/>
      <c r="XH493" s="5"/>
      <c r="XI493" s="4" t="s">
        <v>3259</v>
      </c>
      <c r="XJ493" s="4" t="s">
        <v>3259</v>
      </c>
      <c r="XK493" s="4" t="s">
        <v>3623</v>
      </c>
      <c r="XL493" s="4"/>
      <c r="XM493" s="8">
        <v>39448</v>
      </c>
      <c r="XN493" s="4"/>
      <c r="XO493" s="5" t="s">
        <v>1082</v>
      </c>
      <c r="XP493" s="6"/>
      <c r="XQ493" s="4"/>
      <c r="XR493" s="4"/>
      <c r="XS493" s="4"/>
      <c r="XT493" s="4"/>
      <c r="XU493" s="4"/>
      <c r="XV493" s="5"/>
      <c r="XW493" s="6"/>
      <c r="XX493" s="4"/>
      <c r="XY493" s="4"/>
      <c r="XZ493" s="4"/>
      <c r="YA493" s="4"/>
      <c r="YB493" s="4"/>
      <c r="YC493" s="5"/>
      <c r="YD493" s="6"/>
      <c r="YE493" s="4"/>
      <c r="YF493" s="4"/>
      <c r="YG493" s="4"/>
      <c r="YH493" s="4"/>
      <c r="YI493" s="4"/>
      <c r="YJ493" s="5"/>
      <c r="YK493" s="6" t="s">
        <v>3662</v>
      </c>
      <c r="YL493" s="4" t="s">
        <v>3663</v>
      </c>
      <c r="YM493" s="4" t="s">
        <v>98</v>
      </c>
      <c r="YN493" s="7"/>
      <c r="YO493" s="8">
        <v>39856</v>
      </c>
      <c r="YP493" s="8"/>
      <c r="YQ493" s="5" t="s">
        <v>1083</v>
      </c>
      <c r="YR493" s="6"/>
      <c r="YS493" s="4"/>
      <c r="YT493" s="4"/>
      <c r="YU493" s="4"/>
      <c r="YV493" s="4"/>
      <c r="YW493" s="4"/>
      <c r="YX493" s="5"/>
      <c r="YY493" s="6"/>
      <c r="YZ493" s="4"/>
      <c r="ZA493" s="4"/>
      <c r="ZB493" s="4"/>
      <c r="ZC493" s="4"/>
      <c r="ZD493" s="4"/>
      <c r="ZE493" s="5"/>
      <c r="ZF493" s="6"/>
      <c r="ZG493" s="4"/>
      <c r="ZH493" s="4"/>
      <c r="ZI493" s="4"/>
      <c r="ZJ493" s="4"/>
      <c r="ZK493" s="4"/>
      <c r="ZL493" s="5"/>
      <c r="ZM493" s="6"/>
      <c r="ZN493" s="4"/>
      <c r="ZO493" s="4"/>
      <c r="ZP493" s="4"/>
      <c r="ZQ493" s="4"/>
      <c r="ZR493" s="4"/>
      <c r="ZS493" s="5"/>
      <c r="ZT493" s="6"/>
      <c r="ZU493" s="4"/>
      <c r="ZV493" s="4"/>
      <c r="ZW493" s="4"/>
      <c r="ZX493" s="4"/>
      <c r="ZY493" s="4"/>
      <c r="ZZ493" s="5"/>
      <c r="AAA493" s="6"/>
      <c r="AAB493" s="4"/>
      <c r="AAC493" s="4"/>
      <c r="AAD493" s="4"/>
      <c r="AAE493" s="4"/>
      <c r="AAF493" s="4"/>
      <c r="AAG493" s="5"/>
      <c r="AAH493" s="6"/>
      <c r="AAI493" s="4"/>
      <c r="AAJ493" s="4"/>
      <c r="AAK493" s="4"/>
      <c r="AAL493" s="4"/>
      <c r="AAM493" s="4"/>
      <c r="AAN493" s="5"/>
      <c r="AAO493" s="6"/>
      <c r="AAP493" s="4"/>
      <c r="AAQ493" s="4"/>
      <c r="AAR493" s="4"/>
      <c r="AAS493" s="4"/>
      <c r="AAT493" s="4"/>
      <c r="AAU493" s="5"/>
      <c r="AAV493" s="6"/>
      <c r="AAW493" s="4"/>
      <c r="AAX493" s="4"/>
      <c r="AAY493" s="4"/>
      <c r="AAZ493" s="4"/>
      <c r="ABA493" s="4"/>
      <c r="ABB493" s="5"/>
      <c r="ABC493" s="6"/>
      <c r="ABD493" s="4"/>
      <c r="ABE493" s="4"/>
      <c r="ABF493" s="4"/>
      <c r="ABG493" s="4"/>
      <c r="ABH493" s="4"/>
      <c r="ABI493" s="5"/>
      <c r="ABJ493" s="6"/>
      <c r="ABK493" s="4"/>
      <c r="ABL493" s="4"/>
      <c r="ABM493" s="4"/>
      <c r="ABN493" s="4"/>
      <c r="ABO493" s="4"/>
      <c r="ABP493" s="5"/>
      <c r="ABQ493" s="6"/>
      <c r="ABR493" s="4"/>
      <c r="ABS493" s="4"/>
      <c r="ABT493" s="4"/>
      <c r="ABU493" s="4"/>
      <c r="ABV493" s="4"/>
      <c r="ABW493" s="5"/>
      <c r="ABX493" s="6"/>
      <c r="ABY493" s="4"/>
      <c r="ABZ493" s="4"/>
      <c r="ACA493" s="4"/>
      <c r="ACB493" s="4"/>
      <c r="ACC493" s="4"/>
      <c r="ACD493" s="5"/>
      <c r="ACE493" s="6"/>
      <c r="ACF493" s="4"/>
      <c r="ACG493" s="4"/>
      <c r="ACH493" s="4"/>
      <c r="ACI493" s="4"/>
      <c r="ACJ493" s="4"/>
      <c r="ACK493" s="5"/>
      <c r="ACL493" s="6"/>
      <c r="ACM493" s="4"/>
      <c r="ACN493" s="4"/>
      <c r="ACO493" s="4"/>
      <c r="ACP493" s="4"/>
      <c r="ACQ493" s="4"/>
      <c r="ACR493" s="5"/>
      <c r="ACS493" s="6"/>
      <c r="ACT493" s="4"/>
      <c r="ACU493" s="4"/>
      <c r="ACV493" s="4"/>
      <c r="ACW493" s="4"/>
      <c r="ACX493" s="4"/>
      <c r="ACY493" s="5"/>
      <c r="ADL493" t="s">
        <v>1217</v>
      </c>
      <c r="ADO493" t="s">
        <v>1218</v>
      </c>
    </row>
    <row r="494" spans="2:795" x14ac:dyDescent="0.25">
      <c r="J494" s="12"/>
      <c r="K494" s="12"/>
      <c r="L494" s="12"/>
      <c r="LL494" s="6"/>
      <c r="LM494" s="4"/>
      <c r="LN494" s="4"/>
      <c r="LO494" s="4"/>
      <c r="LP494" s="4"/>
      <c r="LQ494" s="4"/>
      <c r="LR494" s="5"/>
      <c r="LS494" s="6"/>
      <c r="LT494" s="4"/>
      <c r="LU494" s="4"/>
      <c r="LV494" s="4"/>
      <c r="LW494" s="4"/>
      <c r="LX494" s="4"/>
      <c r="LY494" s="5"/>
      <c r="LZ494" s="6"/>
      <c r="MA494" s="4"/>
      <c r="MB494" s="4"/>
      <c r="MC494" s="4"/>
      <c r="MD494" s="4"/>
      <c r="ME494" s="4"/>
      <c r="MF494" s="4"/>
      <c r="MG494" s="5"/>
      <c r="MH494" s="6"/>
      <c r="MI494" s="4"/>
      <c r="MJ494" s="4"/>
      <c r="MK494" s="4"/>
      <c r="ML494" s="4"/>
      <c r="MM494" s="4"/>
      <c r="MN494" s="5"/>
      <c r="MO494" s="6"/>
      <c r="MP494" s="4"/>
      <c r="MQ494" s="4"/>
      <c r="MR494" s="4"/>
      <c r="MS494" s="4"/>
      <c r="MT494" s="4"/>
      <c r="MU494" s="5"/>
      <c r="MV494" s="6"/>
      <c r="MW494" s="4"/>
      <c r="MX494" s="4"/>
      <c r="MY494" s="4"/>
      <c r="MZ494" s="4"/>
      <c r="NA494" s="4"/>
      <c r="NB494" s="5"/>
      <c r="NC494" s="6"/>
      <c r="ND494" s="4"/>
      <c r="NE494" s="4"/>
      <c r="NF494" s="4"/>
      <c r="NG494" s="4"/>
      <c r="NH494" s="4"/>
      <c r="NI494" s="5"/>
      <c r="NJ494" s="6"/>
      <c r="NK494" s="4"/>
      <c r="NL494" s="4"/>
      <c r="NM494" s="4"/>
      <c r="NN494" s="8"/>
      <c r="NO494" s="4"/>
      <c r="NP494" s="5"/>
      <c r="NQ494" s="6"/>
      <c r="NR494" s="4"/>
      <c r="NS494" s="4"/>
      <c r="NT494" s="4"/>
      <c r="NU494" s="4"/>
      <c r="NV494" s="4"/>
      <c r="NW494" s="5"/>
      <c r="NX494" s="6" t="s">
        <v>3764</v>
      </c>
      <c r="NY494" s="4" t="s">
        <v>3620</v>
      </c>
      <c r="NZ494" s="4" t="s">
        <v>0</v>
      </c>
      <c r="OA494" s="4"/>
      <c r="OB494" s="8">
        <v>39448</v>
      </c>
      <c r="OC494" s="4"/>
      <c r="OD494" s="5" t="s">
        <v>940</v>
      </c>
      <c r="OE494" s="6"/>
      <c r="OF494" s="4"/>
      <c r="OG494" s="4"/>
      <c r="OH494" s="4"/>
      <c r="OI494" s="4"/>
      <c r="OJ494" s="4"/>
      <c r="OK494" s="5"/>
      <c r="OL494" s="6"/>
      <c r="OM494" s="4"/>
      <c r="ON494" s="4"/>
      <c r="OO494" s="4"/>
      <c r="OP494" s="4"/>
      <c r="OQ494" s="4"/>
      <c r="OR494" s="5"/>
      <c r="OS494" s="6"/>
      <c r="OT494" s="4"/>
      <c r="OU494" s="4"/>
      <c r="OV494" s="4"/>
      <c r="OW494" s="4"/>
      <c r="OX494" s="4"/>
      <c r="OY494" s="5"/>
      <c r="OZ494" s="6" t="s">
        <v>3621</v>
      </c>
      <c r="PA494" s="4" t="s">
        <v>3707</v>
      </c>
      <c r="PB494" s="4" t="s">
        <v>3622</v>
      </c>
      <c r="PC494" s="4"/>
      <c r="PD494" s="8">
        <v>39856</v>
      </c>
      <c r="PE494" s="4"/>
      <c r="PF494" s="5" t="s">
        <v>1078</v>
      </c>
      <c r="PG494" s="6"/>
      <c r="PH494" s="4"/>
      <c r="PI494" s="4"/>
      <c r="PJ494" s="4"/>
      <c r="PK494" s="4"/>
      <c r="PL494" s="4"/>
      <c r="PM494" s="5"/>
      <c r="PN494" s="6"/>
      <c r="PO494" s="4"/>
      <c r="PP494" s="4"/>
      <c r="PQ494" s="4"/>
      <c r="PR494" s="4"/>
      <c r="PS494" s="4"/>
      <c r="PT494" s="5"/>
      <c r="PU494" s="6"/>
      <c r="PV494" s="4"/>
      <c r="PW494" s="4"/>
      <c r="PX494" s="4"/>
      <c r="PY494" s="4"/>
      <c r="PZ494" s="4"/>
      <c r="QA494" s="5"/>
      <c r="QB494" s="6" t="s">
        <v>3770</v>
      </c>
      <c r="QC494" s="4" t="s">
        <v>3454</v>
      </c>
      <c r="QD494" s="4" t="s">
        <v>3771</v>
      </c>
      <c r="QE494" s="4"/>
      <c r="QF494" s="8">
        <v>39448</v>
      </c>
      <c r="QG494" s="4"/>
      <c r="QH494" s="5" t="s">
        <v>1080</v>
      </c>
      <c r="QI494" s="6"/>
      <c r="QJ494" s="4"/>
      <c r="QK494" s="4"/>
      <c r="QL494" s="4"/>
      <c r="QM494" s="4"/>
      <c r="QN494" s="4"/>
      <c r="QO494" s="5"/>
      <c r="QP494" s="6"/>
      <c r="QQ494" s="4"/>
      <c r="QR494" s="4"/>
      <c r="QS494" s="4"/>
      <c r="QT494" s="4"/>
      <c r="QU494" s="4"/>
      <c r="QV494" s="5"/>
      <c r="QW494" s="6"/>
      <c r="QX494" s="4"/>
      <c r="QY494" s="4"/>
      <c r="QZ494" s="4"/>
      <c r="RA494" s="4"/>
      <c r="RB494" s="4"/>
      <c r="RC494" s="5"/>
      <c r="RD494" s="6"/>
      <c r="RE494" s="4"/>
      <c r="RF494" s="4"/>
      <c r="RG494" s="4"/>
      <c r="RH494" s="4"/>
      <c r="RI494" s="4"/>
      <c r="RJ494" s="5"/>
      <c r="RK494" s="6"/>
      <c r="RL494" s="4"/>
      <c r="RM494" s="4"/>
      <c r="RN494" s="4"/>
      <c r="RO494" s="4"/>
      <c r="RP494" s="4"/>
      <c r="RQ494" s="5"/>
      <c r="RR494" s="6"/>
      <c r="RS494" s="4"/>
      <c r="RT494" s="4"/>
      <c r="RU494" s="4"/>
      <c r="RV494" s="4"/>
      <c r="RW494" s="4"/>
      <c r="RX494" s="5"/>
      <c r="RY494" s="6"/>
      <c r="RZ494" s="4"/>
      <c r="SA494" s="4"/>
      <c r="SB494" s="4"/>
      <c r="SC494" s="4"/>
      <c r="SD494" s="4"/>
      <c r="SE494" s="5"/>
      <c r="SF494" s="6"/>
      <c r="SG494" s="4"/>
      <c r="SH494" s="4"/>
      <c r="SI494" s="4"/>
      <c r="SJ494" s="4"/>
      <c r="SK494" s="4"/>
      <c r="SL494" s="5"/>
      <c r="SM494" s="6"/>
      <c r="SN494" s="4"/>
      <c r="SO494" s="4"/>
      <c r="SP494" s="4"/>
      <c r="SQ494" s="4"/>
      <c r="SR494" s="4"/>
      <c r="SS494" s="5"/>
      <c r="ST494" s="6"/>
      <c r="SU494" s="4"/>
      <c r="SV494" s="4"/>
      <c r="SW494" s="4"/>
      <c r="SX494" s="4"/>
      <c r="SY494" s="4"/>
      <c r="SZ494" s="5"/>
      <c r="TA494" s="6"/>
      <c r="TB494" s="4"/>
      <c r="TC494" s="4"/>
      <c r="TD494" s="4"/>
      <c r="TE494" s="4"/>
      <c r="TF494" s="4"/>
      <c r="TG494" s="5"/>
      <c r="TH494" s="6"/>
      <c r="TI494" s="4"/>
      <c r="TJ494" s="4"/>
      <c r="TK494" s="4"/>
      <c r="TL494" s="4"/>
      <c r="TM494" s="4"/>
      <c r="TN494" s="5"/>
      <c r="TO494" s="6"/>
      <c r="TP494" s="4"/>
      <c r="TQ494" s="4"/>
      <c r="TR494" s="4"/>
      <c r="TS494" s="4"/>
      <c r="TT494" s="4"/>
      <c r="TU494" s="5"/>
      <c r="TV494" s="6"/>
      <c r="TW494" s="4"/>
      <c r="TX494" s="4"/>
      <c r="TY494" s="4"/>
      <c r="TZ494" s="4"/>
      <c r="UA494" s="4"/>
      <c r="UB494" s="5"/>
      <c r="UC494" s="6"/>
      <c r="UD494" s="4"/>
      <c r="UE494" s="4"/>
      <c r="UF494" s="4"/>
      <c r="UG494" s="4"/>
      <c r="UH494" s="4"/>
      <c r="UI494" s="5"/>
      <c r="UJ494" s="6"/>
      <c r="UK494" s="4"/>
      <c r="UL494" s="4"/>
      <c r="UM494" s="4"/>
      <c r="UN494" s="4"/>
      <c r="UO494" s="4"/>
      <c r="UP494" s="5"/>
      <c r="UQ494" s="6"/>
      <c r="UR494" s="4"/>
      <c r="US494" s="4"/>
      <c r="UT494" s="4"/>
      <c r="UU494" s="4"/>
      <c r="UV494" s="4"/>
      <c r="UW494" s="5"/>
      <c r="UX494" s="6"/>
      <c r="UY494" s="4"/>
      <c r="UZ494" s="4"/>
      <c r="VA494" s="4"/>
      <c r="VB494" s="4"/>
      <c r="VC494" s="4"/>
      <c r="VD494" s="5"/>
      <c r="VE494" s="6"/>
      <c r="VF494" s="4"/>
      <c r="VG494" s="4"/>
      <c r="VH494" s="4"/>
      <c r="VI494" s="4"/>
      <c r="VJ494" s="4"/>
      <c r="VK494" s="5"/>
      <c r="VL494" s="15" t="s">
        <v>3665</v>
      </c>
      <c r="VM494" s="12" t="s">
        <v>3666</v>
      </c>
      <c r="VN494" s="4" t="s">
        <v>3668</v>
      </c>
      <c r="VO494" s="7" t="s">
        <v>1076</v>
      </c>
      <c r="VP494" s="8">
        <v>39857</v>
      </c>
      <c r="VQ494" s="8">
        <v>39860</v>
      </c>
      <c r="VR494" s="5" t="s">
        <v>1079</v>
      </c>
      <c r="VS494" s="6"/>
      <c r="VT494" s="4"/>
      <c r="VU494" s="4"/>
      <c r="VV494" s="4"/>
      <c r="VW494" s="4"/>
      <c r="VX494" s="4"/>
      <c r="VY494" s="5"/>
      <c r="VZ494" s="6"/>
      <c r="WA494" s="4"/>
      <c r="WB494" s="4"/>
      <c r="WC494" s="4"/>
      <c r="WD494" s="4"/>
      <c r="WE494" s="4"/>
      <c r="WF494" s="5"/>
      <c r="WG494" s="6"/>
      <c r="WH494" s="4"/>
      <c r="WI494" s="4"/>
      <c r="WJ494" s="4"/>
      <c r="WK494" s="4"/>
      <c r="WL494" s="4"/>
      <c r="WM494" s="5"/>
      <c r="WN494" s="6"/>
      <c r="WO494" s="4"/>
      <c r="WP494" s="4"/>
      <c r="WQ494" s="4"/>
      <c r="WR494" s="4"/>
      <c r="WS494" s="4"/>
      <c r="WT494" s="5"/>
      <c r="WU494" s="6"/>
      <c r="WV494" s="4"/>
      <c r="WW494" s="4"/>
      <c r="WX494" s="4"/>
      <c r="WY494" s="4"/>
      <c r="WZ494" s="4"/>
      <c r="XA494" s="5"/>
      <c r="XB494" s="6"/>
      <c r="XC494" s="4"/>
      <c r="XD494" s="4"/>
      <c r="XE494" s="4"/>
      <c r="XF494" s="4"/>
      <c r="XG494" s="4"/>
      <c r="XH494" s="5"/>
      <c r="XI494" s="6"/>
      <c r="XJ494" s="4"/>
      <c r="XK494" s="4"/>
      <c r="XL494" s="4"/>
      <c r="XM494" s="4"/>
      <c r="XN494" s="4"/>
      <c r="XO494" s="5"/>
      <c r="XP494" s="6"/>
      <c r="XQ494" s="4"/>
      <c r="XR494" s="4"/>
      <c r="XS494" s="4"/>
      <c r="XT494" s="4"/>
      <c r="XU494" s="4"/>
      <c r="XV494" s="5"/>
      <c r="XW494" s="6"/>
      <c r="XX494" s="4"/>
      <c r="XY494" s="4"/>
      <c r="XZ494" s="4"/>
      <c r="YA494" s="4"/>
      <c r="YB494" s="4"/>
      <c r="YC494" s="5"/>
      <c r="YD494" s="6"/>
      <c r="YE494" s="4"/>
      <c r="YF494" s="4"/>
      <c r="YG494" s="4"/>
      <c r="YH494" s="4"/>
      <c r="YI494" s="4"/>
      <c r="YJ494" s="5"/>
      <c r="YK494" s="6" t="s">
        <v>3669</v>
      </c>
      <c r="YL494" s="4" t="s">
        <v>3809</v>
      </c>
      <c r="YM494" s="4" t="s">
        <v>3810</v>
      </c>
      <c r="YN494" s="7"/>
      <c r="YO494" s="8">
        <v>39448</v>
      </c>
      <c r="YP494" s="8">
        <v>39848</v>
      </c>
      <c r="YQ494" s="5" t="s">
        <v>1084</v>
      </c>
      <c r="YR494" s="6"/>
      <c r="YS494" s="4"/>
      <c r="YT494" s="4"/>
      <c r="YU494" s="4"/>
      <c r="YV494" s="4"/>
      <c r="YW494" s="4"/>
      <c r="YX494" s="5"/>
      <c r="YY494" s="6"/>
      <c r="YZ494" s="4"/>
      <c r="ZA494" s="4"/>
      <c r="ZB494" s="4"/>
      <c r="ZC494" s="4"/>
      <c r="ZD494" s="4"/>
      <c r="ZE494" s="5"/>
      <c r="ZF494" s="6"/>
      <c r="ZG494" s="4"/>
      <c r="ZH494" s="4"/>
      <c r="ZI494" s="4"/>
      <c r="ZJ494" s="4"/>
      <c r="ZK494" s="4"/>
      <c r="ZL494" s="5"/>
      <c r="ZM494" s="6"/>
      <c r="ZN494" s="4"/>
      <c r="ZO494" s="4"/>
      <c r="ZP494" s="4"/>
      <c r="ZQ494" s="4"/>
      <c r="ZR494" s="4"/>
      <c r="ZS494" s="5"/>
      <c r="ZT494" s="6"/>
      <c r="ZU494" s="4"/>
      <c r="ZV494" s="4"/>
      <c r="ZW494" s="4"/>
      <c r="ZX494" s="4"/>
      <c r="ZY494" s="4"/>
      <c r="ZZ494" s="5"/>
      <c r="AAA494" s="6"/>
      <c r="AAB494" s="4"/>
      <c r="AAC494" s="4"/>
      <c r="AAD494" s="4"/>
      <c r="AAE494" s="4"/>
      <c r="AAF494" s="4"/>
      <c r="AAG494" s="5"/>
      <c r="AAH494" s="6"/>
      <c r="AAI494" s="4"/>
      <c r="AAJ494" s="4"/>
      <c r="AAK494" s="4"/>
      <c r="AAL494" s="4"/>
      <c r="AAM494" s="4"/>
      <c r="AAN494" s="5"/>
      <c r="AAO494" s="6"/>
      <c r="AAP494" s="4"/>
      <c r="AAQ494" s="4"/>
      <c r="AAR494" s="4"/>
      <c r="AAS494" s="4"/>
      <c r="AAT494" s="4"/>
      <c r="AAU494" s="5"/>
      <c r="AAV494" s="6"/>
      <c r="AAW494" s="4"/>
      <c r="AAX494" s="4"/>
      <c r="AAY494" s="4"/>
      <c r="AAZ494" s="4"/>
      <c r="ABA494" s="4"/>
      <c r="ABB494" s="5"/>
      <c r="ABC494" s="6"/>
      <c r="ABD494" s="4"/>
      <c r="ABE494" s="4"/>
      <c r="ABF494" s="4"/>
      <c r="ABG494" s="4"/>
      <c r="ABH494" s="4"/>
      <c r="ABI494" s="5"/>
      <c r="ABJ494" s="6"/>
      <c r="ABK494" s="4"/>
      <c r="ABL494" s="4"/>
      <c r="ABM494" s="4"/>
      <c r="ABN494" s="4"/>
      <c r="ABO494" s="4"/>
      <c r="ABP494" s="5"/>
      <c r="ABQ494" s="6"/>
      <c r="ABR494" s="4"/>
      <c r="ABS494" s="4"/>
      <c r="ABT494" s="4"/>
      <c r="ABU494" s="4"/>
      <c r="ABV494" s="4"/>
      <c r="ABW494" s="5"/>
      <c r="ABX494" s="6"/>
      <c r="ABY494" s="4"/>
      <c r="ABZ494" s="4"/>
      <c r="ACA494" s="4"/>
      <c r="ACB494" s="4"/>
      <c r="ACC494" s="4"/>
      <c r="ACD494" s="5"/>
      <c r="ACE494" s="6"/>
      <c r="ACF494" s="4"/>
      <c r="ACG494" s="4"/>
      <c r="ACH494" s="4"/>
      <c r="ACI494" s="4"/>
      <c r="ACJ494" s="4"/>
      <c r="ACK494" s="5"/>
      <c r="ACL494" s="6"/>
      <c r="ACM494" s="4"/>
      <c r="ACN494" s="4"/>
      <c r="ACO494" s="4"/>
      <c r="ACP494" s="4"/>
      <c r="ACQ494" s="4"/>
      <c r="ACR494" s="5"/>
      <c r="ACS494" s="6"/>
      <c r="ACT494" s="4"/>
      <c r="ACU494" s="4"/>
      <c r="ACV494" s="4"/>
      <c r="ACW494" s="4"/>
      <c r="ACX494" s="4"/>
      <c r="ACY494" s="5"/>
    </row>
    <row r="495" spans="2:795" x14ac:dyDescent="0.25">
      <c r="J495" s="12"/>
      <c r="K495" s="12"/>
      <c r="L495" s="12"/>
      <c r="LL495" s="6"/>
      <c r="LM495" s="4"/>
      <c r="LN495" s="4"/>
      <c r="LO495" s="4"/>
      <c r="LP495" s="4"/>
      <c r="LQ495" s="4"/>
      <c r="LR495" s="5"/>
      <c r="LS495" s="6"/>
      <c r="LT495" s="4"/>
      <c r="LU495" s="4"/>
      <c r="LV495" s="4"/>
      <c r="LW495" s="4"/>
      <c r="LX495" s="4"/>
      <c r="LY495" s="5"/>
      <c r="LZ495" s="6"/>
      <c r="MA495" s="4"/>
      <c r="MB495" s="4"/>
      <c r="MC495" s="4"/>
      <c r="MD495" s="4"/>
      <c r="ME495" s="4"/>
      <c r="MF495" s="4"/>
      <c r="MG495" s="5"/>
      <c r="MH495" s="6"/>
      <c r="MI495" s="4"/>
      <c r="MJ495" s="4"/>
      <c r="MK495" s="4"/>
      <c r="ML495" s="4"/>
      <c r="MM495" s="4"/>
      <c r="MN495" s="5"/>
      <c r="MO495" s="6"/>
      <c r="MP495" s="4"/>
      <c r="MQ495" s="4"/>
      <c r="MR495" s="4"/>
      <c r="MS495" s="4"/>
      <c r="MT495" s="4"/>
      <c r="MU495" s="5"/>
      <c r="MV495" s="6"/>
      <c r="MW495" s="4"/>
      <c r="MX495" s="4"/>
      <c r="MY495" s="4"/>
      <c r="MZ495" s="4"/>
      <c r="NA495" s="4"/>
      <c r="NB495" s="5"/>
      <c r="NC495" s="6"/>
      <c r="ND495" s="4"/>
      <c r="NE495" s="4"/>
      <c r="NF495" s="4"/>
      <c r="NG495" s="4"/>
      <c r="NH495" s="4"/>
      <c r="NI495" s="5"/>
      <c r="NJ495" s="6"/>
      <c r="NK495" s="4"/>
      <c r="NL495" s="4"/>
      <c r="NM495" s="4"/>
      <c r="NN495" s="8"/>
      <c r="NO495" s="4"/>
      <c r="NP495" s="5"/>
      <c r="NQ495" s="6"/>
      <c r="NR495" s="4"/>
      <c r="NS495" s="4"/>
      <c r="NT495" s="4"/>
      <c r="NU495" s="4"/>
      <c r="NV495" s="4"/>
      <c r="NW495" s="5"/>
      <c r="NX495" s="6"/>
      <c r="NY495" s="4"/>
      <c r="NZ495" s="4"/>
      <c r="OA495" s="4"/>
      <c r="OB495" s="4"/>
      <c r="OC495" s="4"/>
      <c r="OD495" s="5"/>
      <c r="OE495" s="6"/>
      <c r="OF495" s="4"/>
      <c r="OG495" s="4"/>
      <c r="OH495" s="4"/>
      <c r="OI495" s="4"/>
      <c r="OJ495" s="4"/>
      <c r="OK495" s="5"/>
      <c r="OL495" s="6"/>
      <c r="OM495" s="4"/>
      <c r="ON495" s="4"/>
      <c r="OO495" s="4"/>
      <c r="OP495" s="4"/>
      <c r="OQ495" s="4"/>
      <c r="OR495" s="5"/>
      <c r="OS495" s="6"/>
      <c r="OT495" s="4"/>
      <c r="OU495" s="4"/>
      <c r="OV495" s="4"/>
      <c r="OW495" s="4"/>
      <c r="OX495" s="4"/>
      <c r="OY495" s="5"/>
      <c r="OZ495" s="6" t="s">
        <v>3715</v>
      </c>
      <c r="PA495" s="4" t="s">
        <v>2171</v>
      </c>
      <c r="PB495" s="4" t="s">
        <v>3714</v>
      </c>
      <c r="PC495" s="4"/>
      <c r="PD495" s="8">
        <v>39818</v>
      </c>
      <c r="PE495" s="8">
        <v>39847</v>
      </c>
      <c r="PF495" s="5" t="s">
        <v>1079</v>
      </c>
      <c r="PG495" s="6"/>
      <c r="PH495" s="4"/>
      <c r="PI495" s="4"/>
      <c r="PJ495" s="4"/>
      <c r="PK495" s="4"/>
      <c r="PL495" s="4"/>
      <c r="PM495" s="5"/>
      <c r="PN495" s="6"/>
      <c r="PO495" s="4"/>
      <c r="PP495" s="4"/>
      <c r="PQ495" s="4"/>
      <c r="PR495" s="4"/>
      <c r="PS495" s="4"/>
      <c r="PT495" s="5"/>
      <c r="PU495" s="6"/>
      <c r="PV495" s="4"/>
      <c r="PW495" s="4"/>
      <c r="PX495" s="4"/>
      <c r="PY495" s="4"/>
      <c r="PZ495" s="4"/>
      <c r="QA495" s="5"/>
      <c r="QB495" s="6"/>
      <c r="QC495" s="4"/>
      <c r="QD495" s="4"/>
      <c r="QE495" s="4"/>
      <c r="QF495" s="4"/>
      <c r="QG495" s="4"/>
      <c r="QH495" s="5"/>
      <c r="QI495" s="6"/>
      <c r="QJ495" s="4"/>
      <c r="QK495" s="4"/>
      <c r="QL495" s="4"/>
      <c r="QM495" s="4"/>
      <c r="QN495" s="4"/>
      <c r="QO495" s="5"/>
      <c r="QP495" s="6"/>
      <c r="QQ495" s="4"/>
      <c r="QR495" s="4"/>
      <c r="QS495" s="4"/>
      <c r="QT495" s="4"/>
      <c r="QU495" s="4"/>
      <c r="QV495" s="5"/>
      <c r="QW495" s="6"/>
      <c r="QX495" s="4"/>
      <c r="QY495" s="4"/>
      <c r="QZ495" s="4"/>
      <c r="RA495" s="4"/>
      <c r="RB495" s="4"/>
      <c r="RC495" s="5"/>
      <c r="RD495" s="6"/>
      <c r="RE495" s="4"/>
      <c r="RF495" s="4"/>
      <c r="RG495" s="4"/>
      <c r="RH495" s="4"/>
      <c r="RI495" s="4"/>
      <c r="RJ495" s="5"/>
      <c r="RK495" s="6"/>
      <c r="RL495" s="4"/>
      <c r="RM495" s="4"/>
      <c r="RN495" s="4"/>
      <c r="RO495" s="4"/>
      <c r="RP495" s="4"/>
      <c r="RQ495" s="5"/>
      <c r="RR495" s="6"/>
      <c r="RS495" s="4"/>
      <c r="RT495" s="4"/>
      <c r="RU495" s="4"/>
      <c r="RV495" s="4"/>
      <c r="RW495" s="4"/>
      <c r="RX495" s="5"/>
      <c r="RY495" s="6"/>
      <c r="RZ495" s="4"/>
      <c r="SA495" s="4"/>
      <c r="SB495" s="4"/>
      <c r="SC495" s="4"/>
      <c r="SD495" s="4"/>
      <c r="SE495" s="5"/>
      <c r="SF495" s="6"/>
      <c r="SG495" s="4"/>
      <c r="SH495" s="4"/>
      <c r="SI495" s="4"/>
      <c r="SJ495" s="4"/>
      <c r="SK495" s="4"/>
      <c r="SL495" s="5"/>
      <c r="SM495" s="6"/>
      <c r="SN495" s="4"/>
      <c r="SO495" s="4"/>
      <c r="SP495" s="4"/>
      <c r="SQ495" s="4"/>
      <c r="SR495" s="4"/>
      <c r="SS495" s="5"/>
      <c r="ST495" s="6"/>
      <c r="SU495" s="4"/>
      <c r="SV495" s="4"/>
      <c r="SW495" s="4"/>
      <c r="SX495" s="4"/>
      <c r="SY495" s="4"/>
      <c r="SZ495" s="5"/>
      <c r="TA495" s="6"/>
      <c r="TB495" s="4"/>
      <c r="TC495" s="4"/>
      <c r="TD495" s="4"/>
      <c r="TE495" s="4"/>
      <c r="TF495" s="4"/>
      <c r="TG495" s="5"/>
      <c r="TH495" s="6"/>
      <c r="TI495" s="4"/>
      <c r="TJ495" s="4"/>
      <c r="TK495" s="4"/>
      <c r="TL495" s="4"/>
      <c r="TM495" s="4"/>
      <c r="TN495" s="5"/>
      <c r="TO495" s="6"/>
      <c r="TP495" s="4"/>
      <c r="TQ495" s="4"/>
      <c r="TR495" s="4"/>
      <c r="TS495" s="4"/>
      <c r="TT495" s="4"/>
      <c r="TU495" s="5"/>
      <c r="TV495" s="6"/>
      <c r="TW495" s="4"/>
      <c r="TX495" s="4"/>
      <c r="TY495" s="4"/>
      <c r="TZ495" s="4"/>
      <c r="UA495" s="4"/>
      <c r="UB495" s="5"/>
      <c r="UC495" s="6"/>
      <c r="UD495" s="4"/>
      <c r="UE495" s="4"/>
      <c r="UF495" s="4"/>
      <c r="UG495" s="4"/>
      <c r="UH495" s="4"/>
      <c r="UI495" s="5"/>
      <c r="UJ495" s="6"/>
      <c r="UK495" s="4"/>
      <c r="UL495" s="4"/>
      <c r="UM495" s="4"/>
      <c r="UN495" s="4"/>
      <c r="UO495" s="4"/>
      <c r="UP495" s="5"/>
      <c r="UQ495" s="6"/>
      <c r="UR495" s="4"/>
      <c r="US495" s="4"/>
      <c r="UT495" s="4"/>
      <c r="UU495" s="4"/>
      <c r="UV495" s="4"/>
      <c r="UW495" s="5"/>
      <c r="UX495" s="6"/>
      <c r="UY495" s="4"/>
      <c r="UZ495" s="4"/>
      <c r="VA495" s="4"/>
      <c r="VB495" s="4"/>
      <c r="VC495" s="4"/>
      <c r="VD495" s="5"/>
      <c r="VE495" s="6"/>
      <c r="VF495" s="4"/>
      <c r="VG495" s="4"/>
      <c r="VH495" s="4"/>
      <c r="VI495" s="4"/>
      <c r="VJ495" s="4"/>
      <c r="VK495" s="5"/>
      <c r="VL495" s="15"/>
      <c r="VM495" s="12"/>
      <c r="VN495" s="4"/>
      <c r="VO495" s="4"/>
      <c r="VP495" s="8"/>
      <c r="VQ495" s="8"/>
      <c r="VR495" s="5"/>
      <c r="VS495" s="6"/>
      <c r="VT495" s="4"/>
      <c r="VU495" s="4"/>
      <c r="VV495" s="4"/>
      <c r="VW495" s="4"/>
      <c r="VX495" s="4"/>
      <c r="VY495" s="5"/>
      <c r="VZ495" s="6"/>
      <c r="WA495" s="4"/>
      <c r="WB495" s="4"/>
      <c r="WC495" s="4"/>
      <c r="WD495" s="4"/>
      <c r="WE495" s="4"/>
      <c r="WF495" s="5"/>
      <c r="WG495" s="6"/>
      <c r="WH495" s="4"/>
      <c r="WI495" s="4"/>
      <c r="WJ495" s="4"/>
      <c r="WK495" s="4"/>
      <c r="WL495" s="4"/>
      <c r="WM495" s="5"/>
      <c r="WN495" s="6"/>
      <c r="WO495" s="4"/>
      <c r="WP495" s="4"/>
      <c r="WQ495" s="4"/>
      <c r="WR495" s="4"/>
      <c r="WS495" s="4"/>
      <c r="WT495" s="5"/>
      <c r="WU495" s="6"/>
      <c r="WV495" s="4"/>
      <c r="WW495" s="4"/>
      <c r="WX495" s="4"/>
      <c r="WY495" s="4"/>
      <c r="WZ495" s="4"/>
      <c r="XA495" s="5"/>
      <c r="XB495" s="6"/>
      <c r="XC495" s="4"/>
      <c r="XD495" s="4"/>
      <c r="XE495" s="4"/>
      <c r="XF495" s="4"/>
      <c r="XG495" s="4"/>
      <c r="XH495" s="5"/>
      <c r="XI495" s="6"/>
      <c r="XJ495" s="4"/>
      <c r="XK495" s="4"/>
      <c r="XL495" s="4"/>
      <c r="XM495" s="4"/>
      <c r="XN495" s="4"/>
      <c r="XO495" s="5"/>
      <c r="XP495" s="6"/>
      <c r="XQ495" s="4"/>
      <c r="XR495" s="4"/>
      <c r="XS495" s="4"/>
      <c r="XT495" s="4"/>
      <c r="XU495" s="4"/>
      <c r="XV495" s="5"/>
      <c r="XW495" s="6"/>
      <c r="XX495" s="4"/>
      <c r="XY495" s="4"/>
      <c r="XZ495" s="4"/>
      <c r="YA495" s="4"/>
      <c r="YB495" s="4"/>
      <c r="YC495" s="5"/>
      <c r="YD495" s="6"/>
      <c r="YE495" s="4"/>
      <c r="YF495" s="4"/>
      <c r="YG495" s="4"/>
      <c r="YH495" s="4"/>
      <c r="YI495" s="4"/>
      <c r="YJ495" s="5"/>
      <c r="YK495" s="6" t="s">
        <v>3777</v>
      </c>
      <c r="YL495" s="4" t="s">
        <v>3776</v>
      </c>
      <c r="YM495" s="4" t="s">
        <v>2</v>
      </c>
      <c r="YN495" s="7" t="s">
        <v>3812</v>
      </c>
      <c r="YO495" s="8">
        <v>39848</v>
      </c>
      <c r="YP495" s="8">
        <v>39861</v>
      </c>
      <c r="YQ495" s="5" t="s">
        <v>1356</v>
      </c>
      <c r="YR495" s="6"/>
      <c r="YS495" s="4"/>
      <c r="YT495" s="4"/>
      <c r="YU495" s="4"/>
      <c r="YV495" s="4"/>
      <c r="YW495" s="4"/>
      <c r="YX495" s="5"/>
      <c r="YY495" s="6"/>
      <c r="YZ495" s="4"/>
      <c r="ZA495" s="4"/>
      <c r="ZB495" s="4"/>
      <c r="ZC495" s="4"/>
      <c r="ZD495" s="4"/>
      <c r="ZE495" s="5"/>
      <c r="ZF495" s="6"/>
      <c r="ZG495" s="4"/>
      <c r="ZH495" s="4"/>
      <c r="ZI495" s="4"/>
      <c r="ZJ495" s="4"/>
      <c r="ZK495" s="4"/>
      <c r="ZL495" s="5"/>
      <c r="ZM495" s="6"/>
      <c r="ZN495" s="4"/>
      <c r="ZO495" s="4"/>
      <c r="ZP495" s="4"/>
      <c r="ZQ495" s="4"/>
      <c r="ZR495" s="4"/>
      <c r="ZS495" s="5"/>
      <c r="ZT495" s="6"/>
      <c r="ZU495" s="4"/>
      <c r="ZV495" s="4"/>
      <c r="ZW495" s="4"/>
      <c r="ZX495" s="4"/>
      <c r="ZY495" s="4"/>
      <c r="ZZ495" s="5"/>
      <c r="AAA495" s="6"/>
      <c r="AAB495" s="4"/>
      <c r="AAC495" s="4"/>
      <c r="AAD495" s="4"/>
      <c r="AAE495" s="4"/>
      <c r="AAF495" s="4"/>
      <c r="AAG495" s="5"/>
      <c r="AAH495" s="6"/>
      <c r="AAI495" s="4"/>
      <c r="AAJ495" s="4"/>
      <c r="AAK495" s="4"/>
      <c r="AAL495" s="4"/>
      <c r="AAM495" s="4"/>
      <c r="AAN495" s="5"/>
      <c r="AAO495" s="6"/>
      <c r="AAP495" s="4"/>
      <c r="AAQ495" s="4"/>
      <c r="AAR495" s="4"/>
      <c r="AAS495" s="4"/>
      <c r="AAT495" s="4"/>
      <c r="AAU495" s="5"/>
      <c r="AAV495" s="6"/>
      <c r="AAW495" s="4"/>
      <c r="AAX495" s="4"/>
      <c r="AAY495" s="4"/>
      <c r="AAZ495" s="4"/>
      <c r="ABA495" s="4"/>
      <c r="ABB495" s="5"/>
      <c r="ABC495" s="6"/>
      <c r="ABD495" s="4"/>
      <c r="ABE495" s="4"/>
      <c r="ABF495" s="4"/>
      <c r="ABG495" s="4"/>
      <c r="ABH495" s="4"/>
      <c r="ABI495" s="5"/>
      <c r="ABJ495" s="6"/>
      <c r="ABK495" s="4"/>
      <c r="ABL495" s="4"/>
      <c r="ABM495" s="4"/>
      <c r="ABN495" s="4"/>
      <c r="ABO495" s="4"/>
      <c r="ABP495" s="5"/>
      <c r="ABQ495" s="6"/>
      <c r="ABR495" s="4"/>
      <c r="ABS495" s="4"/>
      <c r="ABT495" s="4"/>
      <c r="ABU495" s="4"/>
      <c r="ABV495" s="4"/>
      <c r="ABW495" s="5"/>
      <c r="ABX495" s="6"/>
      <c r="ABY495" s="4"/>
      <c r="ABZ495" s="4"/>
      <c r="ACA495" s="4"/>
      <c r="ACB495" s="4"/>
      <c r="ACC495" s="4"/>
      <c r="ACD495" s="5"/>
      <c r="ACE495" s="6"/>
      <c r="ACF495" s="4"/>
      <c r="ACG495" s="4"/>
      <c r="ACH495" s="4"/>
      <c r="ACI495" s="4"/>
      <c r="ACJ495" s="4"/>
      <c r="ACK495" s="5"/>
      <c r="ACL495" s="6"/>
      <c r="ACM495" s="4"/>
      <c r="ACN495" s="4"/>
      <c r="ACO495" s="4"/>
      <c r="ACP495" s="4"/>
      <c r="ACQ495" s="4"/>
      <c r="ACR495" s="5"/>
      <c r="ACS495" s="6"/>
      <c r="ACT495" s="4"/>
      <c r="ACU495" s="4"/>
      <c r="ACV495" s="4"/>
      <c r="ACW495" s="4"/>
      <c r="ACX495" s="4"/>
      <c r="ACY495" s="5"/>
    </row>
    <row r="496" spans="2:795" x14ac:dyDescent="0.25">
      <c r="J496" s="12"/>
      <c r="K496" s="12"/>
      <c r="L496" s="12"/>
      <c r="LL496" s="6"/>
      <c r="LM496" s="4"/>
      <c r="LN496" s="4"/>
      <c r="LO496" s="4"/>
      <c r="LP496" s="4"/>
      <c r="LQ496" s="4"/>
      <c r="LR496" s="5"/>
      <c r="LS496" s="6"/>
      <c r="LT496" s="4"/>
      <c r="LU496" s="4"/>
      <c r="LV496" s="4"/>
      <c r="LW496" s="4"/>
      <c r="LX496" s="4"/>
      <c r="LY496" s="5"/>
      <c r="LZ496" s="6"/>
      <c r="MA496" s="4"/>
      <c r="MB496" s="4"/>
      <c r="MC496" s="4"/>
      <c r="MD496" s="4"/>
      <c r="ME496" s="4"/>
      <c r="MF496" s="4"/>
      <c r="MG496" s="5"/>
      <c r="MH496" s="6"/>
      <c r="MI496" s="4"/>
      <c r="MJ496" s="4"/>
      <c r="MK496" s="4"/>
      <c r="ML496" s="4"/>
      <c r="MM496" s="4"/>
      <c r="MN496" s="5"/>
      <c r="MO496" s="6"/>
      <c r="MP496" s="4"/>
      <c r="MQ496" s="4"/>
      <c r="MR496" s="4"/>
      <c r="MS496" s="4"/>
      <c r="MT496" s="4"/>
      <c r="MU496" s="5"/>
      <c r="MV496" s="6"/>
      <c r="MW496" s="4"/>
      <c r="MX496" s="4"/>
      <c r="MY496" s="4"/>
      <c r="MZ496" s="4"/>
      <c r="NA496" s="4"/>
      <c r="NB496" s="5"/>
      <c r="NC496" s="6"/>
      <c r="ND496" s="4"/>
      <c r="NE496" s="4"/>
      <c r="NF496" s="4"/>
      <c r="NG496" s="4"/>
      <c r="NH496" s="4"/>
      <c r="NI496" s="5"/>
      <c r="NJ496" s="6"/>
      <c r="NK496" s="4"/>
      <c r="NL496" s="4"/>
      <c r="NM496" s="4"/>
      <c r="NN496" s="8"/>
      <c r="NO496" s="4"/>
      <c r="NP496" s="5"/>
      <c r="NQ496" s="6"/>
      <c r="NR496" s="4"/>
      <c r="NS496" s="4"/>
      <c r="NT496" s="4"/>
      <c r="NU496" s="4"/>
      <c r="NV496" s="4"/>
      <c r="NW496" s="5"/>
      <c r="NX496" s="6"/>
      <c r="NY496" s="4"/>
      <c r="NZ496" s="4"/>
      <c r="OA496" s="4"/>
      <c r="OB496" s="4"/>
      <c r="OC496" s="4"/>
      <c r="OD496" s="5"/>
      <c r="OE496" s="6"/>
      <c r="OF496" s="4"/>
      <c r="OG496" s="4"/>
      <c r="OH496" s="4"/>
      <c r="OI496" s="4"/>
      <c r="OJ496" s="4"/>
      <c r="OK496" s="5"/>
      <c r="OL496" s="6"/>
      <c r="OM496" s="4"/>
      <c r="ON496" s="4"/>
      <c r="OO496" s="4"/>
      <c r="OP496" s="4"/>
      <c r="OQ496" s="4"/>
      <c r="OR496" s="5"/>
      <c r="OS496" s="6"/>
      <c r="OT496" s="4"/>
      <c r="OU496" s="4"/>
      <c r="OV496" s="4"/>
      <c r="OW496" s="4"/>
      <c r="OX496" s="4"/>
      <c r="OY496" s="5"/>
      <c r="OZ496" s="6"/>
      <c r="PA496" s="4"/>
      <c r="PB496" s="4"/>
      <c r="PC496" s="4"/>
      <c r="PD496" s="4"/>
      <c r="PE496" s="4"/>
      <c r="PF496" s="5"/>
      <c r="PG496" s="6"/>
      <c r="PH496" s="4"/>
      <c r="PI496" s="4"/>
      <c r="PJ496" s="4"/>
      <c r="PK496" s="4"/>
      <c r="PL496" s="4"/>
      <c r="PM496" s="5"/>
      <c r="PN496" s="6"/>
      <c r="PO496" s="4"/>
      <c r="PP496" s="4"/>
      <c r="PQ496" s="4"/>
      <c r="PR496" s="4"/>
      <c r="PS496" s="4"/>
      <c r="PT496" s="5"/>
      <c r="PU496" s="6"/>
      <c r="PV496" s="4"/>
      <c r="PW496" s="4"/>
      <c r="PX496" s="4"/>
      <c r="PY496" s="4"/>
      <c r="PZ496" s="4"/>
      <c r="QA496" s="5"/>
      <c r="QB496" s="6"/>
      <c r="QC496" s="4"/>
      <c r="QD496" s="4"/>
      <c r="QE496" s="4"/>
      <c r="QF496" s="4"/>
      <c r="QG496" s="4"/>
      <c r="QH496" s="5"/>
      <c r="QI496" s="6"/>
      <c r="QJ496" s="4"/>
      <c r="QK496" s="4"/>
      <c r="QL496" s="4"/>
      <c r="QM496" s="4"/>
      <c r="QN496" s="4"/>
      <c r="QO496" s="5"/>
      <c r="QP496" s="6"/>
      <c r="QQ496" s="4"/>
      <c r="QR496" s="4"/>
      <c r="QS496" s="4"/>
      <c r="QT496" s="4"/>
      <c r="QU496" s="4"/>
      <c r="QV496" s="5"/>
      <c r="QW496" s="6"/>
      <c r="QX496" s="4"/>
      <c r="QY496" s="4"/>
      <c r="QZ496" s="4"/>
      <c r="RA496" s="4"/>
      <c r="RB496" s="4"/>
      <c r="RC496" s="5"/>
      <c r="RD496" s="6"/>
      <c r="RE496" s="4"/>
      <c r="RF496" s="4"/>
      <c r="RG496" s="4"/>
      <c r="RH496" s="4"/>
      <c r="RI496" s="4"/>
      <c r="RJ496" s="5"/>
      <c r="RK496" s="6"/>
      <c r="RL496" s="4"/>
      <c r="RM496" s="4"/>
      <c r="RN496" s="4"/>
      <c r="RO496" s="4"/>
      <c r="RP496" s="4"/>
      <c r="RQ496" s="5"/>
      <c r="RR496" s="6"/>
      <c r="RS496" s="4"/>
      <c r="RT496" s="4"/>
      <c r="RU496" s="4"/>
      <c r="RV496" s="4"/>
      <c r="RW496" s="4"/>
      <c r="RX496" s="5"/>
      <c r="RY496" s="6"/>
      <c r="RZ496" s="4"/>
      <c r="SA496" s="4"/>
      <c r="SB496" s="4"/>
      <c r="SC496" s="4"/>
      <c r="SD496" s="4"/>
      <c r="SE496" s="5"/>
      <c r="SF496" s="6"/>
      <c r="SG496" s="4"/>
      <c r="SH496" s="4"/>
      <c r="SI496" s="4"/>
      <c r="SJ496" s="4"/>
      <c r="SK496" s="4"/>
      <c r="SL496" s="5"/>
      <c r="SM496" s="6"/>
      <c r="SN496" s="4"/>
      <c r="SO496" s="4"/>
      <c r="SP496" s="4"/>
      <c r="SQ496" s="4"/>
      <c r="SR496" s="4"/>
      <c r="SS496" s="5"/>
      <c r="ST496" s="6"/>
      <c r="SU496" s="4"/>
      <c r="SV496" s="4"/>
      <c r="SW496" s="4"/>
      <c r="SX496" s="4"/>
      <c r="SY496" s="4"/>
      <c r="SZ496" s="5"/>
      <c r="TA496" s="6"/>
      <c r="TB496" s="4"/>
      <c r="TC496" s="4"/>
      <c r="TD496" s="4"/>
      <c r="TE496" s="4"/>
      <c r="TF496" s="4"/>
      <c r="TG496" s="5"/>
      <c r="TH496" s="6"/>
      <c r="TI496" s="4"/>
      <c r="TJ496" s="4"/>
      <c r="TK496" s="4"/>
      <c r="TL496" s="4"/>
      <c r="TM496" s="4"/>
      <c r="TN496" s="5"/>
      <c r="TO496" s="6"/>
      <c r="TP496" s="4"/>
      <c r="TQ496" s="4"/>
      <c r="TR496" s="4"/>
      <c r="TS496" s="4"/>
      <c r="TT496" s="4"/>
      <c r="TU496" s="5"/>
      <c r="TV496" s="6"/>
      <c r="TW496" s="4"/>
      <c r="TX496" s="4"/>
      <c r="TY496" s="4"/>
      <c r="TZ496" s="4"/>
      <c r="UA496" s="4"/>
      <c r="UB496" s="5"/>
      <c r="UC496" s="6"/>
      <c r="UD496" s="4"/>
      <c r="UE496" s="4"/>
      <c r="UF496" s="4"/>
      <c r="UG496" s="4"/>
      <c r="UH496" s="4"/>
      <c r="UI496" s="5"/>
      <c r="UJ496" s="6"/>
      <c r="UK496" s="4"/>
      <c r="UL496" s="4"/>
      <c r="UM496" s="4"/>
      <c r="UN496" s="4"/>
      <c r="UO496" s="4"/>
      <c r="UP496" s="5"/>
      <c r="UQ496" s="6"/>
      <c r="UR496" s="4"/>
      <c r="US496" s="4"/>
      <c r="UT496" s="4"/>
      <c r="UU496" s="4"/>
      <c r="UV496" s="4"/>
      <c r="UW496" s="5"/>
      <c r="UX496" s="6"/>
      <c r="UY496" s="4"/>
      <c r="UZ496" s="4"/>
      <c r="VA496" s="4"/>
      <c r="VB496" s="4"/>
      <c r="VC496" s="4"/>
      <c r="VD496" s="5"/>
      <c r="VE496" s="6"/>
      <c r="VF496" s="4"/>
      <c r="VG496" s="4"/>
      <c r="VH496" s="4"/>
      <c r="VI496" s="4"/>
      <c r="VJ496" s="4"/>
      <c r="VK496" s="5"/>
      <c r="VL496" s="15"/>
      <c r="VM496" s="12"/>
      <c r="VN496" s="4"/>
      <c r="VO496" s="4"/>
      <c r="VP496" s="8"/>
      <c r="VQ496" s="8"/>
      <c r="VR496" s="5"/>
      <c r="VS496" s="6"/>
      <c r="VT496" s="4"/>
      <c r="VU496" s="4"/>
      <c r="VV496" s="4"/>
      <c r="VW496" s="4"/>
      <c r="VX496" s="4"/>
      <c r="VY496" s="5"/>
      <c r="VZ496" s="6"/>
      <c r="WA496" s="4"/>
      <c r="WB496" s="4"/>
      <c r="WC496" s="4"/>
      <c r="WD496" s="4"/>
      <c r="WE496" s="4"/>
      <c r="WF496" s="5"/>
      <c r="WG496" s="6"/>
      <c r="WH496" s="4"/>
      <c r="WI496" s="4"/>
      <c r="WJ496" s="4"/>
      <c r="WK496" s="4"/>
      <c r="WL496" s="4"/>
      <c r="WM496" s="5"/>
      <c r="WN496" s="6"/>
      <c r="WO496" s="4"/>
      <c r="WP496" s="4"/>
      <c r="WQ496" s="4"/>
      <c r="WR496" s="4"/>
      <c r="WS496" s="4"/>
      <c r="WT496" s="5"/>
      <c r="WU496" s="6"/>
      <c r="WV496" s="4"/>
      <c r="WW496" s="4"/>
      <c r="WX496" s="4"/>
      <c r="WY496" s="4"/>
      <c r="WZ496" s="4"/>
      <c r="XA496" s="5"/>
      <c r="XB496" s="6"/>
      <c r="XC496" s="4"/>
      <c r="XD496" s="4"/>
      <c r="XE496" s="4"/>
      <c r="XF496" s="4"/>
      <c r="XG496" s="4"/>
      <c r="XH496" s="5"/>
      <c r="XI496" s="6"/>
      <c r="XJ496" s="4"/>
      <c r="XK496" s="4"/>
      <c r="XL496" s="4"/>
      <c r="XM496" s="4"/>
      <c r="XN496" s="4"/>
      <c r="XO496" s="5"/>
      <c r="XP496" s="6"/>
      <c r="XQ496" s="4"/>
      <c r="XR496" s="4"/>
      <c r="XS496" s="4"/>
      <c r="XT496" s="4"/>
      <c r="XU496" s="4"/>
      <c r="XV496" s="5"/>
      <c r="XW496" s="6"/>
      <c r="XX496" s="4"/>
      <c r="XY496" s="4"/>
      <c r="XZ496" s="4"/>
      <c r="YA496" s="4"/>
      <c r="YB496" s="4"/>
      <c r="YC496" s="5"/>
      <c r="YD496" s="6"/>
      <c r="YE496" s="4"/>
      <c r="YF496" s="4"/>
      <c r="YG496" s="4"/>
      <c r="YH496" s="4"/>
      <c r="YI496" s="4"/>
      <c r="YJ496" s="5"/>
      <c r="YK496" s="6" t="s">
        <v>3813</v>
      </c>
      <c r="YL496" s="7" t="s">
        <v>3814</v>
      </c>
      <c r="YM496" s="4"/>
      <c r="YN496" s="7"/>
      <c r="YO496" s="8">
        <v>39847</v>
      </c>
      <c r="YP496" s="8"/>
      <c r="YQ496" s="5" t="s">
        <v>1085</v>
      </c>
      <c r="YR496" s="6"/>
      <c r="YS496" s="4"/>
      <c r="YT496" s="4"/>
      <c r="YU496" s="4"/>
      <c r="YV496" s="4"/>
      <c r="YW496" s="4"/>
      <c r="YX496" s="5"/>
      <c r="YY496" s="6"/>
      <c r="YZ496" s="4"/>
      <c r="ZA496" s="4"/>
      <c r="ZB496" s="4"/>
      <c r="ZC496" s="4"/>
      <c r="ZD496" s="4"/>
      <c r="ZE496" s="5"/>
      <c r="ZF496" s="6"/>
      <c r="ZG496" s="4"/>
      <c r="ZH496" s="4"/>
      <c r="ZI496" s="4"/>
      <c r="ZJ496" s="4"/>
      <c r="ZK496" s="4"/>
      <c r="ZL496" s="5"/>
      <c r="ZM496" s="6"/>
      <c r="ZN496" s="4"/>
      <c r="ZO496" s="4"/>
      <c r="ZP496" s="4"/>
      <c r="ZQ496" s="4"/>
      <c r="ZR496" s="4"/>
      <c r="ZS496" s="5"/>
      <c r="ZT496" s="6"/>
      <c r="ZU496" s="4"/>
      <c r="ZV496" s="4"/>
      <c r="ZW496" s="4"/>
      <c r="ZX496" s="4"/>
      <c r="ZY496" s="4"/>
      <c r="ZZ496" s="5"/>
      <c r="AAA496" s="6"/>
      <c r="AAB496" s="4"/>
      <c r="AAC496" s="4"/>
      <c r="AAD496" s="4"/>
      <c r="AAE496" s="4"/>
      <c r="AAF496" s="4"/>
      <c r="AAG496" s="5"/>
      <c r="AAH496" s="6"/>
      <c r="AAI496" s="4"/>
      <c r="AAJ496" s="4"/>
      <c r="AAK496" s="4"/>
      <c r="AAL496" s="4"/>
      <c r="AAM496" s="4"/>
      <c r="AAN496" s="5"/>
      <c r="AAO496" s="6"/>
      <c r="AAP496" s="4"/>
      <c r="AAQ496" s="4"/>
      <c r="AAR496" s="4"/>
      <c r="AAS496" s="4"/>
      <c r="AAT496" s="4"/>
      <c r="AAU496" s="5"/>
      <c r="AAV496" s="6"/>
      <c r="AAW496" s="4"/>
      <c r="AAX496" s="4"/>
      <c r="AAY496" s="4"/>
      <c r="AAZ496" s="4"/>
      <c r="ABA496" s="4"/>
      <c r="ABB496" s="5"/>
      <c r="ABC496" s="6"/>
      <c r="ABD496" s="4"/>
      <c r="ABE496" s="4"/>
      <c r="ABF496" s="4"/>
      <c r="ABG496" s="4"/>
      <c r="ABH496" s="4"/>
      <c r="ABI496" s="5"/>
      <c r="ABJ496" s="6"/>
      <c r="ABK496" s="4"/>
      <c r="ABL496" s="4"/>
      <c r="ABM496" s="4"/>
      <c r="ABN496" s="4"/>
      <c r="ABO496" s="4"/>
      <c r="ABP496" s="5"/>
      <c r="ABQ496" s="6"/>
      <c r="ABR496" s="4"/>
      <c r="ABS496" s="4"/>
      <c r="ABT496" s="4"/>
      <c r="ABU496" s="4"/>
      <c r="ABV496" s="4"/>
      <c r="ABW496" s="5"/>
      <c r="ABX496" s="6"/>
      <c r="ABY496" s="4"/>
      <c r="ABZ496" s="4"/>
      <c r="ACA496" s="4"/>
      <c r="ACB496" s="4"/>
      <c r="ACC496" s="4"/>
      <c r="ACD496" s="5"/>
      <c r="ACE496" s="6"/>
      <c r="ACF496" s="4"/>
      <c r="ACG496" s="4"/>
      <c r="ACH496" s="4"/>
      <c r="ACI496" s="4"/>
      <c r="ACJ496" s="4"/>
      <c r="ACK496" s="5"/>
      <c r="ACL496" s="6"/>
      <c r="ACM496" s="4"/>
      <c r="ACN496" s="4"/>
      <c r="ACO496" s="4"/>
      <c r="ACP496" s="4"/>
      <c r="ACQ496" s="4"/>
      <c r="ACR496" s="5"/>
      <c r="ACS496" s="6"/>
      <c r="ACT496" s="4"/>
      <c r="ACU496" s="4"/>
      <c r="ACV496" s="4"/>
      <c r="ACW496" s="4"/>
      <c r="ACX496" s="4"/>
      <c r="ACY496" s="5"/>
    </row>
    <row r="497" spans="1:839" x14ac:dyDescent="0.25">
      <c r="B497" s="29">
        <v>10065128</v>
      </c>
      <c r="C497" s="57">
        <v>51</v>
      </c>
      <c r="D497" t="s">
        <v>2121</v>
      </c>
      <c r="E497" s="35" t="s">
        <v>1290</v>
      </c>
      <c r="F497" s="23">
        <v>0</v>
      </c>
      <c r="I497">
        <v>1</v>
      </c>
      <c r="J497" s="19">
        <v>39903</v>
      </c>
      <c r="K497" s="19" t="s">
        <v>1135</v>
      </c>
      <c r="L497" s="19" t="s">
        <v>1219</v>
      </c>
      <c r="LL497" s="6"/>
      <c r="LM497" s="4"/>
      <c r="LN497" s="4"/>
      <c r="LO497" s="4"/>
      <c r="LP497" s="4"/>
      <c r="LQ497" s="4"/>
      <c r="LR497" s="5"/>
      <c r="LS497" s="6"/>
      <c r="LT497" s="4"/>
      <c r="LU497" s="4"/>
      <c r="LV497" s="4"/>
      <c r="LW497" s="4"/>
      <c r="LX497" s="4"/>
      <c r="LY497" s="5"/>
      <c r="LZ497" s="6" t="s">
        <v>4025</v>
      </c>
      <c r="MA497" s="4" t="s">
        <v>4026</v>
      </c>
      <c r="MB497" s="4"/>
      <c r="MC497" s="4"/>
      <c r="MD497" s="8">
        <v>39875</v>
      </c>
      <c r="ME497" s="4"/>
      <c r="MF497" s="4" t="s">
        <v>1061</v>
      </c>
      <c r="MG497" s="5" t="s">
        <v>4056</v>
      </c>
      <c r="MH497" s="6"/>
      <c r="MI497" s="4"/>
      <c r="MJ497" s="4"/>
      <c r="MK497" s="4"/>
      <c r="ML497" s="4"/>
      <c r="MM497" s="4"/>
      <c r="MN497" s="5"/>
      <c r="MO497" s="6"/>
      <c r="MP497" s="4"/>
      <c r="MQ497" s="4"/>
      <c r="MR497" s="4"/>
      <c r="MS497" s="4"/>
      <c r="MT497" s="4"/>
      <c r="MU497" s="5"/>
      <c r="MV497" s="6"/>
      <c r="MW497" s="4"/>
      <c r="MX497" s="4"/>
      <c r="MY497" s="4"/>
      <c r="MZ497" s="4"/>
      <c r="NA497" s="4"/>
      <c r="NB497" s="5"/>
      <c r="NC497" s="6"/>
      <c r="ND497" s="4"/>
      <c r="NE497" s="4"/>
      <c r="NF497" s="4"/>
      <c r="NG497" s="4"/>
      <c r="NH497" s="4"/>
      <c r="NI497" s="5"/>
      <c r="NJ497" s="6"/>
      <c r="NK497" s="4"/>
      <c r="NL497" s="4"/>
      <c r="NM497" s="4"/>
      <c r="NN497" s="4"/>
      <c r="NO497" s="4"/>
      <c r="NP497" s="5"/>
      <c r="NQ497" s="6"/>
      <c r="NR497" s="4"/>
      <c r="NS497" s="4"/>
      <c r="NT497" s="4"/>
      <c r="NU497" s="4"/>
      <c r="NV497" s="4"/>
      <c r="NW497" s="5"/>
      <c r="NX497" s="6"/>
      <c r="NY497" s="4"/>
      <c r="NZ497" s="4"/>
      <c r="OA497" s="4"/>
      <c r="OB497" s="4"/>
      <c r="OC497" s="4"/>
      <c r="OD497" s="5"/>
      <c r="OE497" s="6"/>
      <c r="OF497" s="4"/>
      <c r="OG497" s="4"/>
      <c r="OH497" s="4"/>
      <c r="OI497" s="4"/>
      <c r="OJ497" s="4"/>
      <c r="OK497" s="5"/>
      <c r="OL497" s="6"/>
      <c r="OM497" s="4"/>
      <c r="ON497" s="4"/>
      <c r="OO497" s="4"/>
      <c r="OP497" s="4"/>
      <c r="OQ497" s="4"/>
      <c r="OR497" s="5"/>
      <c r="OS497" s="6"/>
      <c r="OT497" s="4"/>
      <c r="OU497" s="4"/>
      <c r="OV497" s="4"/>
      <c r="OW497" s="4"/>
      <c r="OX497" s="4"/>
      <c r="OY497" s="5"/>
      <c r="OZ497" t="s">
        <v>4027</v>
      </c>
      <c r="PA497" t="s">
        <v>4027</v>
      </c>
      <c r="PB497" s="7" t="s">
        <v>4028</v>
      </c>
      <c r="PC497" s="7" t="s">
        <v>4029</v>
      </c>
      <c r="PD497" s="8">
        <v>39878</v>
      </c>
      <c r="PE497" s="8">
        <v>39903</v>
      </c>
      <c r="PF497" s="5" t="s">
        <v>1220</v>
      </c>
      <c r="PG497" s="6"/>
      <c r="PH497" s="4"/>
      <c r="PI497" s="4"/>
      <c r="PJ497" s="4"/>
      <c r="PK497" s="4"/>
      <c r="PL497" s="4"/>
      <c r="PM497" s="5"/>
      <c r="PN497" s="6"/>
      <c r="PO497" s="4"/>
      <c r="PP497" s="4"/>
      <c r="PQ497" s="4"/>
      <c r="PR497" s="4"/>
      <c r="PS497" s="4"/>
      <c r="PT497" s="5"/>
      <c r="PU497" s="6"/>
      <c r="PV497" s="4"/>
      <c r="PW497" s="4"/>
      <c r="PX497" s="4"/>
      <c r="PY497" s="4"/>
      <c r="PZ497" s="4"/>
      <c r="QA497" s="5"/>
      <c r="QB497" s="6"/>
      <c r="QC497" s="4"/>
      <c r="QD497" s="4"/>
      <c r="QE497" s="4"/>
      <c r="QF497" s="4"/>
      <c r="QG497" s="4"/>
      <c r="QH497" s="5"/>
      <c r="QI497" s="6"/>
      <c r="QJ497" s="4"/>
      <c r="QK497" s="4"/>
      <c r="QL497" s="4"/>
      <c r="QM497" s="4"/>
      <c r="QN497" s="4"/>
      <c r="QO497" s="5"/>
      <c r="QP497" s="6"/>
      <c r="QQ497" s="4"/>
      <c r="QR497" s="4"/>
      <c r="QS497" s="4"/>
      <c r="QT497" s="4"/>
      <c r="QU497" s="4"/>
      <c r="QV497" s="5"/>
      <c r="QW497" s="6"/>
      <c r="QX497" s="4"/>
      <c r="QY497" s="4"/>
      <c r="QZ497" s="4"/>
      <c r="RA497" s="4"/>
      <c r="RB497" s="4"/>
      <c r="RC497" s="5"/>
      <c r="RD497" s="6"/>
      <c r="RE497" s="4"/>
      <c r="RF497" s="4"/>
      <c r="RG497" s="4"/>
      <c r="RH497" s="4"/>
      <c r="RI497" s="4"/>
      <c r="RJ497" s="5"/>
      <c r="RK497" s="6"/>
      <c r="RL497" s="4"/>
      <c r="RM497" s="4"/>
      <c r="RN497" s="4"/>
      <c r="RO497" s="4"/>
      <c r="RP497" s="4"/>
      <c r="RQ497" s="5"/>
      <c r="RR497" s="6"/>
      <c r="RS497" s="4"/>
      <c r="RT497" s="4"/>
      <c r="RU497" s="4"/>
      <c r="RV497" s="4"/>
      <c r="RW497" s="4"/>
      <c r="RX497" s="5"/>
      <c r="RY497" s="6"/>
      <c r="RZ497" s="4"/>
      <c r="SA497" s="4"/>
      <c r="SB497" s="4"/>
      <c r="SC497" s="4"/>
      <c r="SD497" s="4"/>
      <c r="SE497" s="5"/>
      <c r="SF497" s="6"/>
      <c r="SG497" s="4"/>
      <c r="SH497" s="4"/>
      <c r="SI497" s="4"/>
      <c r="SJ497" s="4"/>
      <c r="SK497" s="4"/>
      <c r="SL497" s="5"/>
      <c r="SM497" s="6"/>
      <c r="SN497" s="4"/>
      <c r="SO497" s="4"/>
      <c r="SP497" s="4"/>
      <c r="SQ497" s="4"/>
      <c r="SR497" s="4"/>
      <c r="SS497" s="5"/>
      <c r="ST497" s="6"/>
      <c r="SU497" s="4"/>
      <c r="SV497" s="4"/>
      <c r="SW497" s="4"/>
      <c r="SX497" s="4"/>
      <c r="SY497" s="4"/>
      <c r="SZ497" s="5"/>
      <c r="TA497" s="6"/>
      <c r="TB497" s="4"/>
      <c r="TC497" s="4"/>
      <c r="TD497" s="4"/>
      <c r="TE497" s="4"/>
      <c r="TF497" s="4"/>
      <c r="TG497" s="5"/>
      <c r="TH497" s="6"/>
      <c r="TI497" s="4"/>
      <c r="TJ497" s="4"/>
      <c r="TK497" s="4"/>
      <c r="TL497" s="4"/>
      <c r="TM497" s="4"/>
      <c r="TN497" s="5"/>
      <c r="TO497" s="6"/>
      <c r="TP497" s="4"/>
      <c r="TQ497" s="4"/>
      <c r="TR497" s="4"/>
      <c r="TS497" s="4"/>
      <c r="TT497" s="4"/>
      <c r="TU497" s="5"/>
      <c r="TV497" s="6"/>
      <c r="TW497" s="4"/>
      <c r="TX497" s="4"/>
      <c r="TY497" s="4"/>
      <c r="TZ497" s="4"/>
      <c r="UA497" s="4"/>
      <c r="UB497" s="5"/>
      <c r="UC497" s="6"/>
      <c r="UD497" s="4"/>
      <c r="UE497" s="4"/>
      <c r="UF497" s="4"/>
      <c r="UG497" s="4"/>
      <c r="UH497" s="4"/>
      <c r="UI497" s="5"/>
      <c r="UJ497" s="6"/>
      <c r="UK497" s="4"/>
      <c r="UL497" s="4"/>
      <c r="UM497" s="4"/>
      <c r="UN497" s="4"/>
      <c r="UO497" s="4"/>
      <c r="UP497" s="5"/>
      <c r="UQ497" s="6"/>
      <c r="UR497" s="4"/>
      <c r="US497" s="4"/>
      <c r="UT497" s="4"/>
      <c r="UU497" s="4"/>
      <c r="UV497" s="4"/>
      <c r="UW497" s="5"/>
      <c r="UX497" s="6"/>
      <c r="UY497" s="4"/>
      <c r="UZ497" s="4"/>
      <c r="VA497" s="4"/>
      <c r="VB497" s="4"/>
      <c r="VC497" s="4"/>
      <c r="VD497" s="5"/>
      <c r="VE497" s="6" t="s">
        <v>72</v>
      </c>
      <c r="VF497" s="4" t="s">
        <v>73</v>
      </c>
      <c r="VG497" s="4" t="s">
        <v>74</v>
      </c>
      <c r="VH497" s="7" t="s">
        <v>103</v>
      </c>
      <c r="VI497" s="8">
        <v>39904</v>
      </c>
      <c r="VJ497" s="8">
        <v>39850</v>
      </c>
      <c r="VK497" s="5" t="s">
        <v>75</v>
      </c>
      <c r="VL497" s="6"/>
      <c r="VM497" s="4"/>
      <c r="VN497" s="4"/>
      <c r="VO497" s="4"/>
      <c r="VP497" s="4"/>
      <c r="VQ497" s="4"/>
      <c r="VR497" s="5"/>
      <c r="VS497" s="6"/>
      <c r="VT497" s="4"/>
      <c r="VU497" s="4"/>
      <c r="VV497" s="4"/>
      <c r="VW497" s="4"/>
      <c r="VX497" s="4"/>
      <c r="VY497" s="5"/>
      <c r="VZ497" s="6"/>
      <c r="WA497" s="4"/>
      <c r="WB497" s="4"/>
      <c r="WC497" s="4"/>
      <c r="WD497" s="4"/>
      <c r="WE497" s="4"/>
      <c r="WF497" s="5"/>
      <c r="WG497" s="6"/>
      <c r="WH497" s="4"/>
      <c r="WI497" s="4"/>
      <c r="WJ497" s="4"/>
      <c r="WK497" s="4"/>
      <c r="WL497" s="4"/>
      <c r="WM497" s="5"/>
      <c r="WN497" s="6"/>
      <c r="WO497" s="4"/>
      <c r="WP497" s="4"/>
      <c r="WQ497" s="4"/>
      <c r="WR497" s="4"/>
      <c r="WS497" s="4"/>
      <c r="WT497" s="5"/>
      <c r="WU497" s="6"/>
      <c r="WV497" s="4"/>
      <c r="WW497" s="4"/>
      <c r="WX497" s="4"/>
      <c r="WY497" s="4"/>
      <c r="WZ497" s="4"/>
      <c r="XA497" s="5"/>
      <c r="XB497" s="6"/>
      <c r="XC497" s="4"/>
      <c r="XD497" s="4"/>
      <c r="XE497" s="4"/>
      <c r="XF497" s="4"/>
      <c r="XG497" s="4"/>
      <c r="XH497" s="5"/>
      <c r="XI497" s="6"/>
      <c r="XJ497" s="4"/>
      <c r="XK497" s="4"/>
      <c r="XL497" s="4"/>
      <c r="XM497" s="4"/>
      <c r="XN497" s="4"/>
      <c r="XO497" s="5"/>
      <c r="XP497" s="6"/>
      <c r="XQ497" s="4"/>
      <c r="XR497" s="4"/>
      <c r="XS497" s="4"/>
      <c r="XT497" s="4"/>
      <c r="XU497" s="4"/>
      <c r="XV497" s="5"/>
      <c r="XW497" s="6"/>
      <c r="XX497" s="4"/>
      <c r="XY497" s="4"/>
      <c r="XZ497" s="4"/>
      <c r="YA497" s="4"/>
      <c r="YB497" s="4"/>
      <c r="YC497" s="5"/>
      <c r="YD497" s="6"/>
      <c r="YE497" s="4"/>
      <c r="YF497" s="4"/>
      <c r="YG497" s="4"/>
      <c r="YH497" s="4"/>
      <c r="YI497" s="4"/>
      <c r="YJ497" s="5"/>
      <c r="YK497" s="6"/>
      <c r="YL497" s="4"/>
      <c r="YM497" s="4"/>
      <c r="YN497" s="4"/>
      <c r="YO497" s="4"/>
      <c r="YP497" s="4"/>
      <c r="YQ497" s="5"/>
      <c r="YR497" s="6"/>
      <c r="YS497" s="4"/>
      <c r="YT497" s="4"/>
      <c r="YU497" s="4"/>
      <c r="YV497" s="4"/>
      <c r="YW497" s="4"/>
      <c r="YX497" s="5"/>
      <c r="YY497" s="6"/>
      <c r="YZ497" s="4"/>
      <c r="ZA497" s="4"/>
      <c r="ZB497" s="4"/>
      <c r="ZC497" s="4"/>
      <c r="ZD497" s="4"/>
      <c r="ZE497" s="5"/>
      <c r="ZF497" s="6"/>
      <c r="ZG497" s="4"/>
      <c r="ZH497" s="4"/>
      <c r="ZI497" s="4"/>
      <c r="ZJ497" s="4"/>
      <c r="ZK497" s="4"/>
      <c r="ZL497" s="5"/>
      <c r="ZM497" s="6"/>
      <c r="ZN497" s="4"/>
      <c r="ZO497" s="4"/>
      <c r="ZP497" s="4"/>
      <c r="ZQ497" s="4"/>
      <c r="ZR497" s="4"/>
      <c r="ZS497" s="5"/>
      <c r="ZT497" s="6"/>
      <c r="ZU497" s="4"/>
      <c r="ZV497" s="4"/>
      <c r="ZW497" s="4"/>
      <c r="ZX497" s="4"/>
      <c r="ZY497" s="4"/>
      <c r="ZZ497" s="5"/>
      <c r="AAA497" s="6"/>
      <c r="AAB497" s="4"/>
      <c r="AAC497" s="4"/>
      <c r="AAD497" s="4"/>
      <c r="AAE497" s="4"/>
      <c r="AAF497" s="4"/>
      <c r="AAG497" s="5"/>
      <c r="AAH497" s="6" t="s">
        <v>3152</v>
      </c>
      <c r="AAI497" s="4" t="s">
        <v>3002</v>
      </c>
      <c r="AAJ497" s="4" t="s">
        <v>0</v>
      </c>
      <c r="AAK497" s="4"/>
      <c r="AAL497" s="8">
        <v>39875</v>
      </c>
      <c r="AAM497" s="4"/>
      <c r="AAN497" s="5" t="s">
        <v>1081</v>
      </c>
      <c r="AAO497" s="6"/>
      <c r="AAP497" s="4"/>
      <c r="AAQ497" s="4"/>
      <c r="AAR497" s="4"/>
      <c r="AAS497" s="4"/>
      <c r="AAT497" s="4"/>
      <c r="AAU497" s="5"/>
      <c r="AAV497" s="6"/>
      <c r="AAW497" s="4"/>
      <c r="AAX497" s="4"/>
      <c r="AAY497" s="4"/>
      <c r="AAZ497" s="4"/>
      <c r="ABA497" s="4"/>
      <c r="ABB497" s="5"/>
      <c r="ABC497" s="6"/>
      <c r="ABD497" s="4"/>
      <c r="ABE497" s="4"/>
      <c r="ABF497" s="4"/>
      <c r="ABG497" s="4"/>
      <c r="ABH497" s="4"/>
      <c r="ABI497" s="5"/>
      <c r="ABJ497" s="6"/>
      <c r="ABK497" s="4"/>
      <c r="ABL497" s="4"/>
      <c r="ABM497" s="4"/>
      <c r="ABN497" s="4"/>
      <c r="ABO497" s="4"/>
      <c r="ABP497" s="5"/>
      <c r="ABQ497" s="6"/>
      <c r="ABR497" s="4"/>
      <c r="ABS497" s="4"/>
      <c r="ABT497" s="4"/>
      <c r="ABU497" s="4"/>
      <c r="ABV497" s="4"/>
      <c r="ABW497" s="5"/>
      <c r="ABX497" s="6"/>
      <c r="ABY497" s="4"/>
      <c r="ABZ497" s="4"/>
      <c r="ACA497" s="4"/>
      <c r="ACB497" s="4"/>
      <c r="ACC497" s="4"/>
      <c r="ACD497" s="5"/>
      <c r="ACE497" s="6"/>
      <c r="ACF497" s="4"/>
      <c r="ACG497" s="4"/>
      <c r="ACH497" s="4"/>
      <c r="ACI497" s="4"/>
      <c r="ACJ497" s="4"/>
      <c r="ACK497" s="5"/>
      <c r="ACL497" s="6"/>
      <c r="ACM497" s="4"/>
      <c r="ACN497" s="4"/>
      <c r="ACO497" s="4"/>
      <c r="ACP497" s="4"/>
      <c r="ACQ497" s="4"/>
      <c r="ACR497" s="5"/>
      <c r="ACS497" s="6"/>
      <c r="ACT497" s="4"/>
      <c r="ACU497" s="4"/>
      <c r="ACV497" s="4"/>
      <c r="ACW497" s="4"/>
      <c r="ACX497" s="4"/>
      <c r="ACY497" s="5"/>
    </row>
    <row r="498" spans="1:839" x14ac:dyDescent="0.25">
      <c r="B498" s="44"/>
      <c r="C498" s="27"/>
      <c r="E498" s="35"/>
      <c r="J498" s="19"/>
      <c r="K498" s="19"/>
      <c r="L498" s="19"/>
      <c r="LL498" s="6"/>
      <c r="LM498" s="4"/>
      <c r="LN498" s="4"/>
      <c r="LO498" s="4"/>
      <c r="LP498" s="4"/>
      <c r="LQ498" s="4"/>
      <c r="LR498" s="5"/>
      <c r="LS498" s="6"/>
      <c r="LT498" s="4"/>
      <c r="LU498" s="4"/>
      <c r="LV498" s="4"/>
      <c r="LW498" s="4"/>
      <c r="LX498" s="4"/>
      <c r="LY498" s="5"/>
      <c r="LZ498" s="6"/>
      <c r="MA498" s="4"/>
      <c r="MB498" s="4"/>
      <c r="MC498" s="4"/>
      <c r="MD498" s="8"/>
      <c r="ME498" s="4"/>
      <c r="MF498" s="4"/>
      <c r="MG498" s="5"/>
      <c r="MH498" s="6"/>
      <c r="MI498" s="4"/>
      <c r="MJ498" s="4"/>
      <c r="MK498" s="4"/>
      <c r="ML498" s="4"/>
      <c r="MM498" s="4"/>
      <c r="MN498" s="5"/>
      <c r="MO498" s="6"/>
      <c r="MP498" s="4"/>
      <c r="MQ498" s="4"/>
      <c r="MR498" s="4"/>
      <c r="MS498" s="4"/>
      <c r="MT498" s="4"/>
      <c r="MU498" s="5"/>
      <c r="MV498" s="6"/>
      <c r="MW498" s="4"/>
      <c r="MX498" s="4"/>
      <c r="MY498" s="4"/>
      <c r="MZ498" s="4"/>
      <c r="NA498" s="4"/>
      <c r="NB498" s="5"/>
      <c r="NC498" s="6"/>
      <c r="ND498" s="4"/>
      <c r="NE498" s="4"/>
      <c r="NF498" s="4"/>
      <c r="NG498" s="4"/>
      <c r="NH498" s="4"/>
      <c r="NI498" s="5"/>
      <c r="NJ498" s="6"/>
      <c r="NK498" s="4"/>
      <c r="NL498" s="4"/>
      <c r="NM498" s="4"/>
      <c r="NN498" s="4"/>
      <c r="NO498" s="4"/>
      <c r="NP498" s="5"/>
      <c r="NQ498" s="4"/>
      <c r="NR498" s="4"/>
      <c r="NS498" s="4"/>
      <c r="NT498" s="4"/>
      <c r="NU498" s="4"/>
      <c r="NV498" s="4"/>
      <c r="NW498" s="5"/>
      <c r="NX498" s="6"/>
      <c r="NY498" s="4"/>
      <c r="NZ498" s="4"/>
      <c r="OA498" s="4"/>
      <c r="OB498" s="4"/>
      <c r="OC498" s="4"/>
      <c r="OD498" s="5"/>
      <c r="OE498" s="6"/>
      <c r="OF498" s="4"/>
      <c r="OG498" s="4"/>
      <c r="OH498" s="4"/>
      <c r="OI498" s="4"/>
      <c r="OJ498" s="4"/>
      <c r="OK498" s="5"/>
      <c r="OL498" s="6"/>
      <c r="OM498" s="4"/>
      <c r="ON498" s="4"/>
      <c r="OO498" s="4"/>
      <c r="OP498" s="4"/>
      <c r="OQ498" s="4"/>
      <c r="OR498" s="5"/>
      <c r="OS498" s="6"/>
      <c r="OT498" s="4"/>
      <c r="OU498" s="4"/>
      <c r="OV498" s="4"/>
      <c r="OW498" s="4"/>
      <c r="OX498" s="4"/>
      <c r="OY498" s="5"/>
      <c r="OZ498" t="s">
        <v>4</v>
      </c>
      <c r="PA498" t="s">
        <v>4</v>
      </c>
      <c r="PB498" s="7" t="s">
        <v>69</v>
      </c>
      <c r="PC498" s="7" t="s">
        <v>71</v>
      </c>
      <c r="PD498" s="8">
        <v>39903</v>
      </c>
      <c r="PE498" s="8">
        <v>39910</v>
      </c>
      <c r="PF498" s="5" t="s">
        <v>70</v>
      </c>
      <c r="PG498" s="6"/>
      <c r="PH498" s="4"/>
      <c r="PI498" s="4"/>
      <c r="PJ498" s="4"/>
      <c r="PK498" s="4"/>
      <c r="PL498" s="4"/>
      <c r="PM498" s="5"/>
      <c r="PN498" s="6"/>
      <c r="PO498" s="4"/>
      <c r="PP498" s="4"/>
      <c r="PQ498" s="4"/>
      <c r="PR498" s="4"/>
      <c r="PS498" s="4"/>
      <c r="PT498" s="5"/>
      <c r="PU498" s="6"/>
      <c r="PV498" s="4"/>
      <c r="PW498" s="4"/>
      <c r="PX498" s="4"/>
      <c r="PY498" s="4"/>
      <c r="PZ498" s="4"/>
      <c r="QA498" s="5"/>
      <c r="QB498" s="6"/>
      <c r="QC498" s="4"/>
      <c r="QD498" s="4"/>
      <c r="QE498" s="4"/>
      <c r="QF498" s="4"/>
      <c r="QG498" s="4"/>
      <c r="QH498" s="5"/>
      <c r="QI498" s="6"/>
      <c r="QJ498" s="4"/>
      <c r="QK498" s="4"/>
      <c r="QL498" s="4"/>
      <c r="QM498" s="4"/>
      <c r="QN498" s="4"/>
      <c r="QO498" s="5"/>
      <c r="QP498" s="6"/>
      <c r="QQ498" s="4"/>
      <c r="QR498" s="4"/>
      <c r="QS498" s="4"/>
      <c r="QT498" s="4"/>
      <c r="QU498" s="4"/>
      <c r="QV498" s="5"/>
      <c r="QW498" s="6"/>
      <c r="QX498" s="4"/>
      <c r="QY498" s="4"/>
      <c r="QZ498" s="4"/>
      <c r="RA498" s="4"/>
      <c r="RB498" s="4"/>
      <c r="RC498" s="5"/>
      <c r="RD498" s="6"/>
      <c r="RE498" s="4"/>
      <c r="RF498" s="4"/>
      <c r="RG498" s="4"/>
      <c r="RH498" s="4"/>
      <c r="RI498" s="4"/>
      <c r="RJ498" s="5"/>
      <c r="RK498" s="6"/>
      <c r="RL498" s="4"/>
      <c r="RM498" s="4"/>
      <c r="RN498" s="4"/>
      <c r="RO498" s="4"/>
      <c r="RP498" s="4"/>
      <c r="RQ498" s="5"/>
      <c r="RR498" s="6"/>
      <c r="RS498" s="4"/>
      <c r="RT498" s="4"/>
      <c r="RU498" s="4"/>
      <c r="RV498" s="4"/>
      <c r="RW498" s="4"/>
      <c r="RX498" s="5"/>
      <c r="RY498" s="6"/>
      <c r="RZ498" s="4"/>
      <c r="SA498" s="4"/>
      <c r="SB498" s="4"/>
      <c r="SC498" s="4"/>
      <c r="SD498" s="4"/>
      <c r="SE498" s="5"/>
      <c r="SF498" s="6"/>
      <c r="SG498" s="4"/>
      <c r="SH498" s="4"/>
      <c r="SI498" s="4"/>
      <c r="SJ498" s="4"/>
      <c r="SK498" s="4"/>
      <c r="SL498" s="5"/>
      <c r="SM498" s="6"/>
      <c r="SN498" s="4"/>
      <c r="SO498" s="4"/>
      <c r="SP498" s="4"/>
      <c r="SQ498" s="4"/>
      <c r="SR498" s="4"/>
      <c r="SS498" s="5"/>
      <c r="ST498" s="6"/>
      <c r="SU498" s="4"/>
      <c r="SV498" s="4"/>
      <c r="SW498" s="4"/>
      <c r="SX498" s="4"/>
      <c r="SY498" s="4"/>
      <c r="SZ498" s="5"/>
      <c r="TA498" s="6"/>
      <c r="TB498" s="4"/>
      <c r="TC498" s="4"/>
      <c r="TD498" s="4"/>
      <c r="TE498" s="4"/>
      <c r="TF498" s="4"/>
      <c r="TG498" s="5"/>
      <c r="TH498" s="6"/>
      <c r="TI498" s="4"/>
      <c r="TJ498" s="4"/>
      <c r="TK498" s="4"/>
      <c r="TL498" s="4"/>
      <c r="TM498" s="4"/>
      <c r="TN498" s="5"/>
      <c r="TO498" s="6"/>
      <c r="TP498" s="4"/>
      <c r="TQ498" s="4"/>
      <c r="TR498" s="4"/>
      <c r="TS498" s="4"/>
      <c r="TT498" s="4"/>
      <c r="TU498" s="5"/>
      <c r="TV498" s="6"/>
      <c r="TW498" s="4"/>
      <c r="TX498" s="4"/>
      <c r="TY498" s="4"/>
      <c r="TZ498" s="4"/>
      <c r="UA498" s="4"/>
      <c r="UB498" s="5"/>
      <c r="UC498" s="6"/>
      <c r="UD498" s="4"/>
      <c r="UE498" s="4"/>
      <c r="UF498" s="4"/>
      <c r="UG498" s="4"/>
      <c r="UH498" s="4"/>
      <c r="UI498" s="5"/>
      <c r="UJ498" s="6"/>
      <c r="UK498" s="4"/>
      <c r="UL498" s="4"/>
      <c r="UM498" s="4"/>
      <c r="UN498" s="4"/>
      <c r="UO498" s="4"/>
      <c r="UP498" s="5"/>
      <c r="UQ498" s="6"/>
      <c r="UR498" s="4"/>
      <c r="US498" s="4"/>
      <c r="UT498" s="4"/>
      <c r="UU498" s="4"/>
      <c r="UV498" s="4"/>
      <c r="UW498" s="5"/>
      <c r="UX498" s="6"/>
      <c r="UY498" s="4"/>
      <c r="UZ498" s="4"/>
      <c r="VA498" s="4"/>
      <c r="VB498" s="4"/>
      <c r="VC498" s="4"/>
      <c r="VD498" s="5"/>
      <c r="VE498" s="6"/>
      <c r="VF498" s="4"/>
      <c r="VG498" s="4"/>
      <c r="VH498" s="4"/>
      <c r="VI498" s="4"/>
      <c r="VJ498" s="4"/>
      <c r="VK498" s="5"/>
      <c r="VL498" s="6"/>
      <c r="VM498" s="4"/>
      <c r="VN498" s="4"/>
      <c r="VO498" s="4"/>
      <c r="VP498" s="4"/>
      <c r="VQ498" s="4"/>
      <c r="VR498" s="5"/>
      <c r="VS498" s="6"/>
      <c r="VT498" s="4"/>
      <c r="VU498" s="4"/>
      <c r="VV498" s="4"/>
      <c r="VW498" s="4"/>
      <c r="VX498" s="4"/>
      <c r="VY498" s="5"/>
      <c r="VZ498" s="6"/>
      <c r="WA498" s="4"/>
      <c r="WB498" s="4"/>
      <c r="WC498" s="4"/>
      <c r="WD498" s="4"/>
      <c r="WE498" s="4"/>
      <c r="WF498" s="5"/>
      <c r="WG498" s="6"/>
      <c r="WH498" s="4"/>
      <c r="WI498" s="4"/>
      <c r="WJ498" s="4"/>
      <c r="WK498" s="4"/>
      <c r="WL498" s="4"/>
      <c r="WM498" s="5"/>
      <c r="WN498" s="6"/>
      <c r="WO498" s="4"/>
      <c r="WP498" s="4"/>
      <c r="WQ498" s="4"/>
      <c r="WR498" s="4"/>
      <c r="WS498" s="4"/>
      <c r="WT498" s="5"/>
      <c r="WU498" s="6"/>
      <c r="WV498" s="4"/>
      <c r="WW498" s="4"/>
      <c r="WX498" s="4"/>
      <c r="WY498" s="4"/>
      <c r="WZ498" s="4"/>
      <c r="XA498" s="5"/>
      <c r="XB498" s="6"/>
      <c r="XC498" s="4"/>
      <c r="XD498" s="4"/>
      <c r="XE498" s="4"/>
      <c r="XF498" s="4"/>
      <c r="XG498" s="4"/>
      <c r="XH498" s="5"/>
      <c r="XI498" s="6"/>
      <c r="XJ498" s="4"/>
      <c r="XK498" s="4"/>
      <c r="XL498" s="4"/>
      <c r="XM498" s="4"/>
      <c r="XN498" s="4"/>
      <c r="XO498" s="5"/>
      <c r="XP498" s="6"/>
      <c r="XQ498" s="4"/>
      <c r="XR498" s="4"/>
      <c r="XS498" s="4"/>
      <c r="XT498" s="4"/>
      <c r="XU498" s="4"/>
      <c r="XV498" s="5"/>
      <c r="XW498" s="6"/>
      <c r="XX498" s="4"/>
      <c r="XY498" s="4"/>
      <c r="XZ498" s="4"/>
      <c r="YA498" s="4"/>
      <c r="YB498" s="4"/>
      <c r="YC498" s="5"/>
      <c r="YD498" s="6"/>
      <c r="YE498" s="4"/>
      <c r="YF498" s="4"/>
      <c r="YG498" s="4"/>
      <c r="YH498" s="4"/>
      <c r="YI498" s="4"/>
      <c r="YJ498" s="5"/>
      <c r="YK498" s="4"/>
      <c r="YL498" s="4"/>
      <c r="YM498" s="4"/>
      <c r="YN498" s="4"/>
      <c r="YO498" s="4"/>
      <c r="YP498" s="4"/>
      <c r="YQ498" s="5"/>
      <c r="YR498" s="6"/>
      <c r="YS498" s="4"/>
      <c r="YT498" s="4"/>
      <c r="YU498" s="4"/>
      <c r="YV498" s="4"/>
      <c r="YW498" s="4"/>
      <c r="YX498" s="5"/>
      <c r="YY498" s="6"/>
      <c r="YZ498" s="4"/>
      <c r="ZA498" s="4"/>
      <c r="ZB498" s="4"/>
      <c r="ZC498" s="4"/>
      <c r="ZD498" s="4"/>
      <c r="ZE498" s="5"/>
      <c r="ZF498" s="6"/>
      <c r="ZG498" s="4"/>
      <c r="ZH498" s="4"/>
      <c r="ZI498" s="4"/>
      <c r="ZJ498" s="4"/>
      <c r="ZK498" s="4"/>
      <c r="ZL498" s="5"/>
      <c r="ZM498" s="6"/>
      <c r="ZN498" s="4"/>
      <c r="ZO498" s="4"/>
      <c r="ZP498" s="4"/>
      <c r="ZQ498" s="4"/>
      <c r="ZR498" s="4"/>
      <c r="ZS498" s="5"/>
      <c r="ZT498" s="6"/>
      <c r="ZU498" s="4"/>
      <c r="ZV498" s="4"/>
      <c r="ZW498" s="4"/>
      <c r="ZX498" s="4"/>
      <c r="ZY498" s="4"/>
      <c r="ZZ498" s="5"/>
      <c r="AAA498" s="6"/>
      <c r="AAB498" s="4"/>
      <c r="AAC498" s="4"/>
      <c r="AAD498" s="4"/>
      <c r="AAE498" s="4"/>
      <c r="AAF498" s="4"/>
      <c r="AAG498" s="5"/>
      <c r="AAH498" s="6"/>
      <c r="AAI498" s="4"/>
      <c r="AAJ498" s="4"/>
      <c r="AAK498" s="4"/>
      <c r="AAL498" s="8"/>
      <c r="AAM498" s="4"/>
      <c r="AAN498" s="5"/>
      <c r="AAO498" s="6"/>
      <c r="AAP498" s="4"/>
      <c r="AAQ498" s="4"/>
      <c r="AAR498" s="4"/>
      <c r="AAS498" s="4"/>
      <c r="AAT498" s="4"/>
      <c r="AAU498" s="5"/>
      <c r="AAV498" s="6"/>
      <c r="AAW498" s="4"/>
      <c r="AAX498" s="4"/>
      <c r="AAY498" s="4"/>
      <c r="AAZ498" s="4"/>
      <c r="ABA498" s="4"/>
      <c r="ABB498" s="5"/>
      <c r="ABC498" s="6"/>
      <c r="ABD498" s="4"/>
      <c r="ABE498" s="4"/>
      <c r="ABF498" s="4"/>
      <c r="ABG498" s="4"/>
      <c r="ABH498" s="4"/>
      <c r="ABI498" s="5"/>
      <c r="ABJ498" s="6"/>
      <c r="ABK498" s="4"/>
      <c r="ABL498" s="4"/>
      <c r="ABM498" s="4"/>
      <c r="ABN498" s="4"/>
      <c r="ABO498" s="4"/>
      <c r="ABP498" s="5"/>
      <c r="ABQ498" s="6"/>
      <c r="ABR498" s="4"/>
      <c r="ABS498" s="4"/>
      <c r="ABT498" s="4"/>
      <c r="ABU498" s="4"/>
      <c r="ABV498" s="4"/>
      <c r="ABW498" s="5"/>
      <c r="ABX498" s="6"/>
      <c r="ABY498" s="4"/>
      <c r="ABZ498" s="4"/>
      <c r="ACA498" s="4"/>
      <c r="ACB498" s="4"/>
      <c r="ACC498" s="4"/>
      <c r="ACD498" s="5"/>
      <c r="ACE498" s="6"/>
      <c r="ACF498" s="4"/>
      <c r="ACG498" s="4"/>
      <c r="ACH498" s="4"/>
      <c r="ACI498" s="4"/>
      <c r="ACJ498" s="4"/>
      <c r="ACK498" s="5"/>
      <c r="ACL498" s="6"/>
      <c r="ACM498" s="4"/>
      <c r="ACN498" s="4"/>
      <c r="ACO498" s="4"/>
      <c r="ACP498" s="4"/>
      <c r="ACQ498" s="4"/>
      <c r="ACR498" s="5"/>
      <c r="ACS498" s="6"/>
      <c r="ACT498" s="4"/>
      <c r="ACU498" s="4"/>
      <c r="ACV498" s="4"/>
      <c r="ACW498" s="4"/>
      <c r="ACX498" s="4"/>
      <c r="ACY498" s="5"/>
    </row>
    <row r="499" spans="1:839" x14ac:dyDescent="0.25">
      <c r="B499" s="44"/>
      <c r="C499" s="27"/>
      <c r="E499" s="35"/>
      <c r="J499" s="19"/>
      <c r="K499" s="19"/>
      <c r="L499" s="19"/>
      <c r="LL499" s="6"/>
      <c r="LM499" s="4"/>
      <c r="LN499" s="4"/>
      <c r="LO499" s="4"/>
      <c r="LP499" s="4"/>
      <c r="LQ499" s="4"/>
      <c r="LR499" s="5"/>
      <c r="LS499" s="6"/>
      <c r="LT499" s="4"/>
      <c r="LU499" s="4"/>
      <c r="LV499" s="4"/>
      <c r="LW499" s="4"/>
      <c r="LX499" s="4"/>
      <c r="LY499" s="5"/>
      <c r="LZ499" s="6"/>
      <c r="MA499" s="4"/>
      <c r="MB499" s="4"/>
      <c r="MC499" s="4"/>
      <c r="MD499" s="8"/>
      <c r="ME499" s="4"/>
      <c r="MF499" s="4"/>
      <c r="MG499" s="5"/>
      <c r="MH499" s="6"/>
      <c r="MI499" s="4"/>
      <c r="MJ499" s="4"/>
      <c r="MK499" s="4"/>
      <c r="ML499" s="4"/>
      <c r="MM499" s="4"/>
      <c r="MN499" s="5"/>
      <c r="MO499" s="6"/>
      <c r="MP499" s="4"/>
      <c r="MQ499" s="4"/>
      <c r="MR499" s="4"/>
      <c r="MS499" s="4"/>
      <c r="MT499" s="4"/>
      <c r="MU499" s="5"/>
      <c r="MV499" s="6"/>
      <c r="MW499" s="4"/>
      <c r="MX499" s="4"/>
      <c r="MY499" s="4"/>
      <c r="MZ499" s="4"/>
      <c r="NA499" s="4"/>
      <c r="NB499" s="5"/>
      <c r="NC499" s="6"/>
      <c r="ND499" s="4"/>
      <c r="NE499" s="4"/>
      <c r="NF499" s="4"/>
      <c r="NG499" s="4"/>
      <c r="NH499" s="4"/>
      <c r="NI499" s="5"/>
      <c r="NJ499" s="6"/>
      <c r="NK499" s="4"/>
      <c r="NL499" s="4"/>
      <c r="NM499" s="4"/>
      <c r="NN499" s="4"/>
      <c r="NO499" s="4"/>
      <c r="NP499" s="5"/>
      <c r="NQ499" s="4"/>
      <c r="NR499" s="4"/>
      <c r="NS499" s="4"/>
      <c r="NT499" s="4"/>
      <c r="NU499" s="4"/>
      <c r="NV499" s="4"/>
      <c r="NW499" s="5"/>
      <c r="NX499" s="6"/>
      <c r="NY499" s="4"/>
      <c r="NZ499" s="4"/>
      <c r="OA499" s="4"/>
      <c r="OB499" s="4"/>
      <c r="OC499" s="4"/>
      <c r="OD499" s="5"/>
      <c r="OE499" s="6"/>
      <c r="OF499" s="4"/>
      <c r="OG499" s="4"/>
      <c r="OH499" s="4"/>
      <c r="OI499" s="4"/>
      <c r="OJ499" s="4"/>
      <c r="OK499" s="5"/>
      <c r="OL499" s="6"/>
      <c r="OM499" s="4"/>
      <c r="ON499" s="4"/>
      <c r="OO499" s="4"/>
      <c r="OP499" s="4"/>
      <c r="OQ499" s="4"/>
      <c r="OR499" s="5"/>
      <c r="OS499" s="6"/>
      <c r="OT499" s="4"/>
      <c r="OU499" s="4"/>
      <c r="OV499" s="4"/>
      <c r="OW499" s="4"/>
      <c r="OX499" s="4"/>
      <c r="OY499" s="5"/>
      <c r="OZ499" t="s">
        <v>76</v>
      </c>
      <c r="PA499" t="s">
        <v>77</v>
      </c>
      <c r="PB499" s="7" t="s">
        <v>78</v>
      </c>
      <c r="PC499" s="7" t="s">
        <v>108</v>
      </c>
      <c r="PD499" s="8">
        <v>39907</v>
      </c>
      <c r="PE499" s="8">
        <v>39910</v>
      </c>
      <c r="PF499" s="5" t="s">
        <v>79</v>
      </c>
      <c r="PG499" s="6"/>
      <c r="PH499" s="4"/>
      <c r="PI499" s="4"/>
      <c r="PJ499" s="4"/>
      <c r="PK499" s="4"/>
      <c r="PL499" s="4"/>
      <c r="PM499" s="5"/>
      <c r="PN499" s="6"/>
      <c r="PO499" s="4"/>
      <c r="PP499" s="4"/>
      <c r="PQ499" s="4"/>
      <c r="PR499" s="4"/>
      <c r="PS499" s="4"/>
      <c r="PT499" s="5"/>
      <c r="PU499" s="6"/>
      <c r="PV499" s="4"/>
      <c r="PW499" s="4"/>
      <c r="PX499" s="4"/>
      <c r="PY499" s="4"/>
      <c r="PZ499" s="4"/>
      <c r="QA499" s="5"/>
      <c r="QB499" s="6"/>
      <c r="QC499" s="4"/>
      <c r="QD499" s="4"/>
      <c r="QE499" s="4"/>
      <c r="QF499" s="4"/>
      <c r="QG499" s="4"/>
      <c r="QH499" s="5"/>
      <c r="QI499" s="6"/>
      <c r="QJ499" s="4"/>
      <c r="QK499" s="4"/>
      <c r="QL499" s="4"/>
      <c r="QM499" s="4"/>
      <c r="QN499" s="4"/>
      <c r="QO499" s="5"/>
      <c r="QP499" s="6"/>
      <c r="QQ499" s="4"/>
      <c r="QR499" s="4"/>
      <c r="QS499" s="4"/>
      <c r="QT499" s="4"/>
      <c r="QU499" s="4"/>
      <c r="QV499" s="5"/>
      <c r="QW499" s="6"/>
      <c r="QX499" s="4"/>
      <c r="QY499" s="4"/>
      <c r="QZ499" s="4"/>
      <c r="RA499" s="4"/>
      <c r="RB499" s="4"/>
      <c r="RC499" s="5"/>
      <c r="RD499" s="6"/>
      <c r="RE499" s="4"/>
      <c r="RF499" s="4"/>
      <c r="RG499" s="4"/>
      <c r="RH499" s="4"/>
      <c r="RI499" s="4"/>
      <c r="RJ499" s="5"/>
      <c r="RK499" s="6"/>
      <c r="RL499" s="4"/>
      <c r="RM499" s="4"/>
      <c r="RN499" s="4"/>
      <c r="RO499" s="4"/>
      <c r="RP499" s="4"/>
      <c r="RQ499" s="5"/>
      <c r="RR499" s="6"/>
      <c r="RS499" s="4"/>
      <c r="RT499" s="4"/>
      <c r="RU499" s="4"/>
      <c r="RV499" s="4"/>
      <c r="RW499" s="4"/>
      <c r="RX499" s="5"/>
      <c r="RY499" s="6"/>
      <c r="RZ499" s="4"/>
      <c r="SA499" s="4"/>
      <c r="SB499" s="4"/>
      <c r="SC499" s="4"/>
      <c r="SD499" s="4"/>
      <c r="SE499" s="5"/>
      <c r="SF499" s="6"/>
      <c r="SG499" s="4"/>
      <c r="SH499" s="4"/>
      <c r="SI499" s="4"/>
      <c r="SJ499" s="4"/>
      <c r="SK499" s="4"/>
      <c r="SL499" s="5"/>
      <c r="SM499" s="6"/>
      <c r="SN499" s="4"/>
      <c r="SO499" s="4"/>
      <c r="SP499" s="4"/>
      <c r="SQ499" s="4"/>
      <c r="SR499" s="4"/>
      <c r="SS499" s="5"/>
      <c r="ST499" s="6"/>
      <c r="SU499" s="4"/>
      <c r="SV499" s="4"/>
      <c r="SW499" s="4"/>
      <c r="SX499" s="4"/>
      <c r="SY499" s="4"/>
      <c r="SZ499" s="5"/>
      <c r="TA499" s="6"/>
      <c r="TB499" s="4"/>
      <c r="TC499" s="4"/>
      <c r="TD499" s="4"/>
      <c r="TE499" s="4"/>
      <c r="TF499" s="4"/>
      <c r="TG499" s="5"/>
      <c r="TH499" s="6"/>
      <c r="TI499" s="4"/>
      <c r="TJ499" s="4"/>
      <c r="TK499" s="4"/>
      <c r="TL499" s="4"/>
      <c r="TM499" s="4"/>
      <c r="TN499" s="5"/>
      <c r="TO499" s="6"/>
      <c r="TP499" s="4"/>
      <c r="TQ499" s="4"/>
      <c r="TR499" s="4"/>
      <c r="TS499" s="4"/>
      <c r="TT499" s="4"/>
      <c r="TU499" s="5"/>
      <c r="TV499" s="6"/>
      <c r="TW499" s="4"/>
      <c r="TX499" s="4"/>
      <c r="TY499" s="4"/>
      <c r="TZ499" s="4"/>
      <c r="UA499" s="4"/>
      <c r="UB499" s="5"/>
      <c r="UC499" s="6"/>
      <c r="UD499" s="4"/>
      <c r="UE499" s="4"/>
      <c r="UF499" s="4"/>
      <c r="UG499" s="4"/>
      <c r="UH499" s="4"/>
      <c r="UI499" s="5"/>
      <c r="UJ499" s="6"/>
      <c r="UK499" s="4"/>
      <c r="UL499" s="4"/>
      <c r="UM499" s="4"/>
      <c r="UN499" s="4"/>
      <c r="UO499" s="4"/>
      <c r="UP499" s="5"/>
      <c r="UQ499" s="6"/>
      <c r="UR499" s="4"/>
      <c r="US499" s="4"/>
      <c r="UT499" s="4"/>
      <c r="UU499" s="4"/>
      <c r="UV499" s="4"/>
      <c r="UW499" s="5"/>
      <c r="UX499" s="6"/>
      <c r="UY499" s="4"/>
      <c r="UZ499" s="4"/>
      <c r="VA499" s="4"/>
      <c r="VB499" s="4"/>
      <c r="VC499" s="4"/>
      <c r="VD499" s="5"/>
      <c r="VE499" s="6"/>
      <c r="VF499" s="4"/>
      <c r="VG499" s="4"/>
      <c r="VH499" s="4"/>
      <c r="VI499" s="4"/>
      <c r="VJ499" s="4"/>
      <c r="VK499" s="5"/>
      <c r="VL499" s="6"/>
      <c r="VM499" s="4"/>
      <c r="VN499" s="4"/>
      <c r="VO499" s="4"/>
      <c r="VP499" s="4"/>
      <c r="VQ499" s="4"/>
      <c r="VR499" s="5"/>
      <c r="VS499" s="6"/>
      <c r="VT499" s="4"/>
      <c r="VU499" s="4"/>
      <c r="VV499" s="4"/>
      <c r="VW499" s="4"/>
      <c r="VX499" s="4"/>
      <c r="VY499" s="5"/>
      <c r="VZ499" s="6"/>
      <c r="WA499" s="4"/>
      <c r="WB499" s="4"/>
      <c r="WC499" s="4"/>
      <c r="WD499" s="4"/>
      <c r="WE499" s="4"/>
      <c r="WF499" s="5"/>
      <c r="WG499" s="6"/>
      <c r="WH499" s="4"/>
      <c r="WI499" s="4"/>
      <c r="WJ499" s="4"/>
      <c r="WK499" s="4"/>
      <c r="WL499" s="4"/>
      <c r="WM499" s="5"/>
      <c r="WN499" s="6"/>
      <c r="WO499" s="4"/>
      <c r="WP499" s="4"/>
      <c r="WQ499" s="4"/>
      <c r="WR499" s="4"/>
      <c r="WS499" s="4"/>
      <c r="WT499" s="5"/>
      <c r="WU499" s="6"/>
      <c r="WV499" s="4"/>
      <c r="WW499" s="4"/>
      <c r="WX499" s="4"/>
      <c r="WY499" s="4"/>
      <c r="WZ499" s="4"/>
      <c r="XA499" s="5"/>
      <c r="XB499" s="6"/>
      <c r="XC499" s="4"/>
      <c r="XD499" s="4"/>
      <c r="XE499" s="4"/>
      <c r="XF499" s="4"/>
      <c r="XG499" s="4"/>
      <c r="XH499" s="5"/>
      <c r="XI499" s="6"/>
      <c r="XJ499" s="4"/>
      <c r="XK499" s="4"/>
      <c r="XL499" s="4"/>
      <c r="XM499" s="4"/>
      <c r="XN499" s="4"/>
      <c r="XO499" s="5"/>
      <c r="XP499" s="6"/>
      <c r="XQ499" s="4"/>
      <c r="XR499" s="4"/>
      <c r="XS499" s="4"/>
      <c r="XT499" s="4"/>
      <c r="XU499" s="4"/>
      <c r="XV499" s="5"/>
      <c r="XW499" s="6"/>
      <c r="XX499" s="4"/>
      <c r="XY499" s="4"/>
      <c r="XZ499" s="4"/>
      <c r="YA499" s="4"/>
      <c r="YB499" s="4"/>
      <c r="YC499" s="5"/>
      <c r="YD499" s="6"/>
      <c r="YE499" s="4"/>
      <c r="YF499" s="4"/>
      <c r="YG499" s="4"/>
      <c r="YH499" s="4"/>
      <c r="YI499" s="4"/>
      <c r="YJ499" s="5"/>
      <c r="YK499" s="4"/>
      <c r="YL499" s="4"/>
      <c r="YM499" s="4"/>
      <c r="YN499" s="4"/>
      <c r="YO499" s="4"/>
      <c r="YP499" s="4"/>
      <c r="YQ499" s="5"/>
      <c r="YR499" s="6"/>
      <c r="YS499" s="4"/>
      <c r="YT499" s="4"/>
      <c r="YU499" s="4"/>
      <c r="YV499" s="4"/>
      <c r="YW499" s="4"/>
      <c r="YX499" s="5"/>
      <c r="YY499" s="6"/>
      <c r="YZ499" s="4"/>
      <c r="ZA499" s="4"/>
      <c r="ZB499" s="4"/>
      <c r="ZC499" s="4"/>
      <c r="ZD499" s="4"/>
      <c r="ZE499" s="5"/>
      <c r="ZF499" s="6"/>
      <c r="ZG499" s="4"/>
      <c r="ZH499" s="4"/>
      <c r="ZI499" s="4"/>
      <c r="ZJ499" s="4"/>
      <c r="ZK499" s="4"/>
      <c r="ZL499" s="5"/>
      <c r="ZM499" s="6"/>
      <c r="ZN499" s="4"/>
      <c r="ZO499" s="4"/>
      <c r="ZP499" s="4"/>
      <c r="ZQ499" s="4"/>
      <c r="ZR499" s="4"/>
      <c r="ZS499" s="5"/>
      <c r="ZT499" s="6"/>
      <c r="ZU499" s="4"/>
      <c r="ZV499" s="4"/>
      <c r="ZW499" s="4"/>
      <c r="ZX499" s="4"/>
      <c r="ZY499" s="4"/>
      <c r="ZZ499" s="5"/>
      <c r="AAA499" s="6"/>
      <c r="AAB499" s="4"/>
      <c r="AAC499" s="4"/>
      <c r="AAD499" s="4"/>
      <c r="AAE499" s="4"/>
      <c r="AAF499" s="4"/>
      <c r="AAG499" s="5"/>
      <c r="AAH499" s="6"/>
      <c r="AAI499" s="4"/>
      <c r="AAJ499" s="4"/>
      <c r="AAK499" s="4"/>
      <c r="AAL499" s="8"/>
      <c r="AAM499" s="4"/>
      <c r="AAN499" s="5"/>
      <c r="AAO499" s="6"/>
      <c r="AAP499" s="4"/>
      <c r="AAQ499" s="4"/>
      <c r="AAR499" s="4"/>
      <c r="AAS499" s="4"/>
      <c r="AAT499" s="4"/>
      <c r="AAU499" s="5"/>
      <c r="AAV499" s="6"/>
      <c r="AAW499" s="4"/>
      <c r="AAX499" s="4"/>
      <c r="AAY499" s="4"/>
      <c r="AAZ499" s="4"/>
      <c r="ABA499" s="4"/>
      <c r="ABB499" s="5"/>
      <c r="ABC499" s="6"/>
      <c r="ABD499" s="4"/>
      <c r="ABE499" s="4"/>
      <c r="ABF499" s="4"/>
      <c r="ABG499" s="4"/>
      <c r="ABH499" s="4"/>
      <c r="ABI499" s="5"/>
      <c r="ABJ499" s="6"/>
      <c r="ABK499" s="4"/>
      <c r="ABL499" s="4"/>
      <c r="ABM499" s="4"/>
      <c r="ABN499" s="4"/>
      <c r="ABO499" s="4"/>
      <c r="ABP499" s="5"/>
      <c r="ABQ499" s="6"/>
      <c r="ABR499" s="4"/>
      <c r="ABS499" s="4"/>
      <c r="ABT499" s="4"/>
      <c r="ABU499" s="4"/>
      <c r="ABV499" s="4"/>
      <c r="ABW499" s="5"/>
      <c r="ABX499" s="6"/>
      <c r="ABY499" s="4"/>
      <c r="ABZ499" s="4"/>
      <c r="ACA499" s="4"/>
      <c r="ACB499" s="4"/>
      <c r="ACC499" s="4"/>
      <c r="ACD499" s="5"/>
      <c r="ACE499" s="6"/>
      <c r="ACF499" s="4"/>
      <c r="ACG499" s="4"/>
      <c r="ACH499" s="4"/>
      <c r="ACI499" s="4"/>
      <c r="ACJ499" s="4"/>
      <c r="ACK499" s="5"/>
      <c r="ACL499" s="6"/>
      <c r="ACM499" s="4"/>
      <c r="ACN499" s="4"/>
      <c r="ACO499" s="4"/>
      <c r="ACP499" s="4"/>
      <c r="ACQ499" s="4"/>
      <c r="ACR499" s="5"/>
      <c r="ACS499" s="6"/>
      <c r="ACT499" s="4"/>
      <c r="ACU499" s="4"/>
      <c r="ACV499" s="4"/>
      <c r="ACW499" s="4"/>
      <c r="ACX499" s="4"/>
      <c r="ACY499" s="5"/>
    </row>
    <row r="500" spans="1:839" x14ac:dyDescent="0.25">
      <c r="B500" s="29">
        <v>10069559</v>
      </c>
      <c r="C500" s="57">
        <v>54</v>
      </c>
      <c r="D500" t="s">
        <v>2121</v>
      </c>
      <c r="E500" s="35" t="s">
        <v>1290</v>
      </c>
      <c r="F500" s="23">
        <v>0</v>
      </c>
      <c r="I500">
        <v>1</v>
      </c>
      <c r="J500" s="19">
        <v>39936</v>
      </c>
      <c r="K500" s="19" t="s">
        <v>1221</v>
      </c>
      <c r="L500" s="19" t="s">
        <v>1222</v>
      </c>
      <c r="Y500">
        <v>1</v>
      </c>
      <c r="AF500">
        <v>1</v>
      </c>
      <c r="AN500">
        <v>1</v>
      </c>
      <c r="AZ500">
        <v>1</v>
      </c>
      <c r="LL500" s="6"/>
      <c r="LM500" s="4"/>
      <c r="LN500" s="4"/>
      <c r="LO500" s="4"/>
      <c r="LP500" s="4"/>
      <c r="LQ500" s="4"/>
      <c r="LR500" s="5"/>
      <c r="LS500" s="6" t="s">
        <v>3782</v>
      </c>
      <c r="LT500" s="4" t="s">
        <v>3427</v>
      </c>
      <c r="LU500" s="4"/>
      <c r="LV500" s="4"/>
      <c r="LW500" s="8">
        <v>39904</v>
      </c>
      <c r="LX500" s="4"/>
      <c r="LY500" s="5" t="s">
        <v>1223</v>
      </c>
      <c r="LZ500" s="6" t="s">
        <v>3512</v>
      </c>
      <c r="MA500" s="4" t="s">
        <v>3661</v>
      </c>
      <c r="MB500" s="4" t="s">
        <v>3513</v>
      </c>
      <c r="MC500" s="4"/>
      <c r="MD500" s="8">
        <v>39814</v>
      </c>
      <c r="ME500" s="4"/>
      <c r="MF500" s="4" t="s">
        <v>1061</v>
      </c>
      <c r="MG500" s="5" t="s">
        <v>1203</v>
      </c>
      <c r="MH500" s="6"/>
      <c r="MI500" s="4"/>
      <c r="MJ500" s="4"/>
      <c r="MK500" s="4"/>
      <c r="ML500" s="4"/>
      <c r="MM500" s="4"/>
      <c r="MN500" s="5"/>
      <c r="MO500" s="6"/>
      <c r="MP500" s="4"/>
      <c r="MQ500" s="4"/>
      <c r="MR500" s="4"/>
      <c r="MS500" s="4"/>
      <c r="MT500" s="4"/>
      <c r="MU500" s="5"/>
      <c r="MV500" s="6"/>
      <c r="MW500" s="4"/>
      <c r="MX500" s="4"/>
      <c r="MY500" s="4"/>
      <c r="MZ500" s="4"/>
      <c r="NA500" s="4"/>
      <c r="NB500" s="5"/>
      <c r="NC500" s="6" t="s">
        <v>3657</v>
      </c>
      <c r="ND500" s="4" t="s">
        <v>3657</v>
      </c>
      <c r="NE500" s="4" t="s">
        <v>4030</v>
      </c>
      <c r="NF500" s="7" t="s">
        <v>3912</v>
      </c>
      <c r="NG500" s="8">
        <v>39931</v>
      </c>
      <c r="NH500" s="8">
        <v>39936</v>
      </c>
      <c r="NI500" s="5" t="s">
        <v>1070</v>
      </c>
      <c r="NJ500" s="6"/>
      <c r="NK500" s="4"/>
      <c r="NL500" s="4"/>
      <c r="NM500" s="4"/>
      <c r="NN500" s="4"/>
      <c r="NO500" s="4"/>
      <c r="NP500" s="5"/>
      <c r="NQ500" s="4" t="s">
        <v>3910</v>
      </c>
      <c r="NR500" s="4" t="s">
        <v>3910</v>
      </c>
      <c r="NS500" s="4" t="s">
        <v>3911</v>
      </c>
      <c r="NT500" s="4"/>
      <c r="NU500" s="8">
        <v>39906</v>
      </c>
      <c r="NV500" s="4"/>
      <c r="NW500" s="5" t="s">
        <v>1071</v>
      </c>
      <c r="NX500" s="6" t="s">
        <v>3515</v>
      </c>
      <c r="NY500" s="4" t="s">
        <v>3516</v>
      </c>
      <c r="NZ500" s="4" t="s">
        <v>3517</v>
      </c>
      <c r="OA500" s="4"/>
      <c r="OB500" s="8">
        <v>39814</v>
      </c>
      <c r="OC500" s="4"/>
      <c r="OD500" s="5" t="s">
        <v>939</v>
      </c>
      <c r="OE500" s="6"/>
      <c r="OF500" s="4"/>
      <c r="OG500" s="4"/>
      <c r="OH500" s="4"/>
      <c r="OI500" s="4"/>
      <c r="OJ500" s="4"/>
      <c r="OK500" s="5"/>
      <c r="OL500" s="6"/>
      <c r="OM500" s="4"/>
      <c r="ON500" s="4"/>
      <c r="OO500" s="4"/>
      <c r="OP500" s="4"/>
      <c r="OQ500" s="4"/>
      <c r="OR500" s="5"/>
      <c r="OS500" s="6"/>
      <c r="OT500" s="4"/>
      <c r="OU500" s="4"/>
      <c r="OV500" s="4"/>
      <c r="OW500" s="4"/>
      <c r="OX500" s="4"/>
      <c r="OY500" s="5"/>
      <c r="OZ500" s="6" t="s">
        <v>2171</v>
      </c>
      <c r="PA500" s="4" t="s">
        <v>2171</v>
      </c>
      <c r="PB500" s="7" t="s">
        <v>4030</v>
      </c>
      <c r="PC500" s="4"/>
      <c r="PD500" s="8">
        <v>39814</v>
      </c>
      <c r="PE500" s="4"/>
      <c r="PF500" s="5" t="s">
        <v>1073</v>
      </c>
      <c r="PG500" s="6"/>
      <c r="PH500" s="4"/>
      <c r="PI500" s="4"/>
      <c r="PJ500" s="4"/>
      <c r="PK500" s="4"/>
      <c r="PL500" s="4"/>
      <c r="PM500" s="5"/>
      <c r="PN500" s="6"/>
      <c r="PO500" s="4"/>
      <c r="PP500" s="4"/>
      <c r="PQ500" s="4"/>
      <c r="PR500" s="4"/>
      <c r="PS500" s="4"/>
      <c r="PT500" s="5"/>
      <c r="PU500" s="6"/>
      <c r="PV500" s="4"/>
      <c r="PW500" s="4"/>
      <c r="PX500" s="4"/>
      <c r="PY500" s="4"/>
      <c r="PZ500" s="4"/>
      <c r="QA500" s="5"/>
      <c r="QB500" s="6" t="s">
        <v>1740</v>
      </c>
      <c r="QC500" s="4" t="s">
        <v>1742</v>
      </c>
      <c r="QD500" s="4" t="s">
        <v>3514</v>
      </c>
      <c r="QE500" s="4"/>
      <c r="QF500" s="8">
        <v>39814</v>
      </c>
      <c r="QG500" s="4"/>
      <c r="QH500" s="5" t="s">
        <v>1295</v>
      </c>
      <c r="QI500" s="6"/>
      <c r="QJ500" s="4"/>
      <c r="QK500" s="4"/>
      <c r="QL500" s="4"/>
      <c r="QM500" s="4"/>
      <c r="QN500" s="4"/>
      <c r="QO500" s="5"/>
      <c r="QP500" s="6"/>
      <c r="QQ500" s="4"/>
      <c r="QR500" s="4"/>
      <c r="QS500" s="4"/>
      <c r="QT500" s="4"/>
      <c r="QU500" s="4"/>
      <c r="QV500" s="5"/>
      <c r="QW500" s="6"/>
      <c r="QX500" s="4"/>
      <c r="QY500" s="4"/>
      <c r="QZ500" s="4"/>
      <c r="RA500" s="4"/>
      <c r="RB500" s="4"/>
      <c r="RC500" s="5"/>
      <c r="RD500" s="6"/>
      <c r="RE500" s="4"/>
      <c r="RF500" s="4"/>
      <c r="RG500" s="4"/>
      <c r="RH500" s="4"/>
      <c r="RI500" s="4"/>
      <c r="RJ500" s="5"/>
      <c r="RK500" s="6"/>
      <c r="RL500" s="4"/>
      <c r="RM500" s="4"/>
      <c r="RN500" s="4"/>
      <c r="RO500" s="4"/>
      <c r="RP500" s="4"/>
      <c r="RQ500" s="5"/>
      <c r="RR500" s="6"/>
      <c r="RS500" s="4"/>
      <c r="RT500" s="4"/>
      <c r="RU500" s="4"/>
      <c r="RV500" s="4"/>
      <c r="RW500" s="4"/>
      <c r="RX500" s="5"/>
      <c r="RY500" s="6"/>
      <c r="RZ500" s="4"/>
      <c r="SA500" s="4"/>
      <c r="SB500" s="4"/>
      <c r="SC500" s="4"/>
      <c r="SD500" s="4"/>
      <c r="SE500" s="5"/>
      <c r="SF500" s="6"/>
      <c r="SG500" s="4"/>
      <c r="SH500" s="4"/>
      <c r="SI500" s="4"/>
      <c r="SJ500" s="4"/>
      <c r="SK500" s="4"/>
      <c r="SL500" s="5"/>
      <c r="SM500" s="6"/>
      <c r="SN500" s="4"/>
      <c r="SO500" s="4"/>
      <c r="SP500" s="4"/>
      <c r="SQ500" s="4"/>
      <c r="SR500" s="4"/>
      <c r="SS500" s="5"/>
      <c r="ST500" s="6"/>
      <c r="SU500" s="4"/>
      <c r="SV500" s="4"/>
      <c r="SW500" s="4"/>
      <c r="SX500" s="4"/>
      <c r="SY500" s="4"/>
      <c r="SZ500" s="5"/>
      <c r="TA500" s="6"/>
      <c r="TB500" s="4"/>
      <c r="TC500" s="4"/>
      <c r="TD500" s="4"/>
      <c r="TE500" s="4"/>
      <c r="TF500" s="4"/>
      <c r="TG500" s="5"/>
      <c r="TH500" s="6"/>
      <c r="TI500" s="4"/>
      <c r="TJ500" s="4"/>
      <c r="TK500" s="4"/>
      <c r="TL500" s="4"/>
      <c r="TM500" s="4"/>
      <c r="TN500" s="5"/>
      <c r="TO500" s="6"/>
      <c r="TP500" s="4"/>
      <c r="TQ500" s="4"/>
      <c r="TR500" s="4"/>
      <c r="TS500" s="4"/>
      <c r="TT500" s="4"/>
      <c r="TU500" s="5"/>
      <c r="TV500" s="6"/>
      <c r="TW500" s="4"/>
      <c r="TX500" s="4"/>
      <c r="TY500" s="4"/>
      <c r="TZ500" s="4"/>
      <c r="UA500" s="4"/>
      <c r="UB500" s="5"/>
      <c r="UC500" s="6"/>
      <c r="UD500" s="4"/>
      <c r="UE500" s="4"/>
      <c r="UF500" s="4"/>
      <c r="UG500" s="4"/>
      <c r="UH500" s="4"/>
      <c r="UI500" s="5"/>
      <c r="UJ500" s="6"/>
      <c r="UK500" s="4"/>
      <c r="UL500" s="4"/>
      <c r="UM500" s="4"/>
      <c r="UN500" s="4"/>
      <c r="UO500" s="4"/>
      <c r="UP500" s="5"/>
      <c r="UQ500" s="6"/>
      <c r="UR500" s="4"/>
      <c r="US500" s="4"/>
      <c r="UT500" s="4"/>
      <c r="UU500" s="4"/>
      <c r="UV500" s="4"/>
      <c r="UW500" s="5"/>
      <c r="UX500" s="6"/>
      <c r="UY500" s="4"/>
      <c r="UZ500" s="4"/>
      <c r="VA500" s="4"/>
      <c r="VB500" s="4"/>
      <c r="VC500" s="4"/>
      <c r="VD500" s="5"/>
      <c r="VE500" s="6"/>
      <c r="VF500" s="4"/>
      <c r="VG500" s="4"/>
      <c r="VH500" s="4"/>
      <c r="VI500" s="4"/>
      <c r="VJ500" s="4"/>
      <c r="VK500" s="5"/>
      <c r="VL500" s="6"/>
      <c r="VM500" s="4"/>
      <c r="VN500" s="4"/>
      <c r="VO500" s="4"/>
      <c r="VP500" s="4"/>
      <c r="VQ500" s="4"/>
      <c r="VR500" s="5"/>
      <c r="VS500" s="6"/>
      <c r="VT500" s="4"/>
      <c r="VU500" s="4"/>
      <c r="VV500" s="4"/>
      <c r="VW500" s="4"/>
      <c r="VX500" s="4"/>
      <c r="VY500" s="5"/>
      <c r="VZ500" s="6"/>
      <c r="WA500" s="4"/>
      <c r="WB500" s="4"/>
      <c r="WC500" s="4"/>
      <c r="WD500" s="4"/>
      <c r="WE500" s="4"/>
      <c r="WF500" s="5"/>
      <c r="WG500" s="6"/>
      <c r="WH500" s="4"/>
      <c r="WI500" s="4"/>
      <c r="WJ500" s="4"/>
      <c r="WK500" s="4"/>
      <c r="WL500" s="4"/>
      <c r="WM500" s="5"/>
      <c r="WN500" s="6"/>
      <c r="WO500" s="4"/>
      <c r="WP500" s="4"/>
      <c r="WQ500" s="4"/>
      <c r="WR500" s="4"/>
      <c r="WS500" s="4"/>
      <c r="WT500" s="5"/>
      <c r="WU500" s="6"/>
      <c r="WV500" s="4"/>
      <c r="WW500" s="4"/>
      <c r="WX500" s="4"/>
      <c r="WY500" s="4"/>
      <c r="WZ500" s="4"/>
      <c r="XA500" s="5"/>
      <c r="XB500" s="6"/>
      <c r="XC500" s="4"/>
      <c r="XD500" s="4"/>
      <c r="XE500" s="4"/>
      <c r="XF500" s="4"/>
      <c r="XG500" s="4"/>
      <c r="XH500" s="5"/>
      <c r="XI500" s="6"/>
      <c r="XJ500" s="4"/>
      <c r="XK500" s="4"/>
      <c r="XL500" s="4"/>
      <c r="XM500" s="4"/>
      <c r="XN500" s="4"/>
      <c r="XO500" s="5"/>
      <c r="XP500" s="6"/>
      <c r="XQ500" s="4"/>
      <c r="XR500" s="4"/>
      <c r="XS500" s="4"/>
      <c r="XT500" s="4"/>
      <c r="XU500" s="4"/>
      <c r="XV500" s="5"/>
      <c r="XW500" s="6"/>
      <c r="XX500" s="4"/>
      <c r="XY500" s="4"/>
      <c r="XZ500" s="4"/>
      <c r="YA500" s="4"/>
      <c r="YB500" s="4"/>
      <c r="YC500" s="5"/>
      <c r="YD500" s="6"/>
      <c r="YE500" s="4"/>
      <c r="YF500" s="4"/>
      <c r="YG500" s="4"/>
      <c r="YH500" s="4"/>
      <c r="YI500" s="4"/>
      <c r="YJ500" s="5"/>
      <c r="YM500" s="4"/>
      <c r="YN500" s="4"/>
      <c r="YO500" s="4"/>
      <c r="YP500" s="4"/>
      <c r="YQ500" s="5"/>
      <c r="YR500" s="6"/>
      <c r="YS500" s="4"/>
      <c r="YT500" s="4"/>
      <c r="YU500" s="4"/>
      <c r="YV500" s="4"/>
      <c r="YW500" s="4"/>
      <c r="YX500" s="5"/>
      <c r="YY500" s="6"/>
      <c r="YZ500" s="4"/>
      <c r="ZA500" s="4"/>
      <c r="ZB500" s="4"/>
      <c r="ZC500" s="4"/>
      <c r="ZD500" s="4"/>
      <c r="ZE500" s="5"/>
      <c r="ZF500" s="6"/>
      <c r="ZG500" s="4"/>
      <c r="ZH500" s="4"/>
      <c r="ZI500" s="4"/>
      <c r="ZJ500" s="4"/>
      <c r="ZK500" s="4"/>
      <c r="ZL500" s="5"/>
      <c r="ZM500" s="6"/>
      <c r="ZN500" s="4"/>
      <c r="ZO500" s="4"/>
      <c r="ZP500" s="4"/>
      <c r="ZQ500" s="4"/>
      <c r="ZR500" s="4"/>
      <c r="ZS500" s="5"/>
      <c r="ZT500" s="6"/>
      <c r="ZU500" s="4"/>
      <c r="ZV500" s="4"/>
      <c r="ZW500" s="4"/>
      <c r="ZX500" s="4"/>
      <c r="ZY500" s="4"/>
      <c r="ZZ500" s="5"/>
      <c r="AAA500" s="6"/>
      <c r="AAB500" s="4"/>
      <c r="AAC500" s="4"/>
      <c r="AAD500" s="4"/>
      <c r="AAE500" s="4"/>
      <c r="AAF500" s="4"/>
      <c r="AAG500" s="5"/>
      <c r="AAH500" s="6"/>
      <c r="AAI500" s="4"/>
      <c r="AAJ500" s="4"/>
      <c r="AAK500" s="4"/>
      <c r="AAL500" s="4"/>
      <c r="AAM500" s="4"/>
      <c r="AAN500" s="5"/>
      <c r="AAO500" s="6"/>
      <c r="AAP500" s="4"/>
      <c r="AAQ500" s="4"/>
      <c r="AAR500" s="4"/>
      <c r="AAS500" s="4"/>
      <c r="AAT500" s="4"/>
      <c r="AAU500" s="5"/>
      <c r="AAV500" s="6"/>
      <c r="AAW500" s="4"/>
      <c r="AAX500" s="4"/>
      <c r="AAY500" s="4"/>
      <c r="AAZ500" s="4"/>
      <c r="ABA500" s="4"/>
      <c r="ABB500" s="5"/>
      <c r="ABC500" s="6"/>
      <c r="ABD500" s="4"/>
      <c r="ABE500" s="4"/>
      <c r="ABF500" s="4"/>
      <c r="ABG500" s="4"/>
      <c r="ABH500" s="4"/>
      <c r="ABI500" s="5"/>
      <c r="ABJ500" s="6" t="s">
        <v>1695</v>
      </c>
      <c r="ABK500" s="4" t="s">
        <v>1838</v>
      </c>
      <c r="ABL500" s="4"/>
      <c r="ABM500" s="4"/>
      <c r="ABN500" s="8">
        <v>39814</v>
      </c>
      <c r="ABO500" s="4"/>
      <c r="ABP500" s="5" t="s">
        <v>1143</v>
      </c>
      <c r="ABQ500" s="6"/>
      <c r="ABR500" s="4"/>
      <c r="ABS500" s="4"/>
      <c r="ABT500" s="4"/>
      <c r="ABU500" s="4"/>
      <c r="ABV500" s="4"/>
      <c r="ABW500" s="5"/>
      <c r="ABX500" s="6"/>
      <c r="ABY500" s="4"/>
      <c r="ABZ500" s="4"/>
      <c r="ACA500" s="4"/>
      <c r="ACB500" s="4"/>
      <c r="ACC500" s="4"/>
      <c r="ACD500" s="5"/>
      <c r="ACE500" s="6"/>
      <c r="ACF500" s="4"/>
      <c r="ACG500" s="4"/>
      <c r="ACH500" s="4"/>
      <c r="ACI500" s="4"/>
      <c r="ACJ500" s="4"/>
      <c r="ACK500" s="5"/>
      <c r="ACL500" s="6"/>
      <c r="ACM500" s="4"/>
      <c r="ACN500" s="4"/>
      <c r="ACO500" s="4"/>
      <c r="ACP500" s="4"/>
      <c r="ACQ500" s="4"/>
      <c r="ACR500" s="5"/>
      <c r="ACS500" s="6"/>
      <c r="ACT500" s="4"/>
      <c r="ACU500" s="4"/>
      <c r="ACV500" s="4"/>
      <c r="ACW500" s="4"/>
      <c r="ACX500" s="4"/>
      <c r="ACY500" s="5"/>
      <c r="ADZ500" s="6" t="s">
        <v>20</v>
      </c>
    </row>
    <row r="501" spans="1:839" x14ac:dyDescent="0.25">
      <c r="J501" s="12"/>
      <c r="K501" s="12"/>
      <c r="L501" s="12"/>
      <c r="LL501" s="6"/>
      <c r="LM501" s="4"/>
      <c r="LN501" s="4"/>
      <c r="LO501" s="4"/>
      <c r="LP501" s="4"/>
      <c r="LQ501" s="4"/>
      <c r="LR501" s="5"/>
      <c r="LS501" s="6"/>
      <c r="LT501" s="4"/>
      <c r="LU501" s="4"/>
      <c r="LV501" s="4"/>
      <c r="LW501" s="4"/>
      <c r="LX501" s="4"/>
      <c r="LY501" s="5"/>
      <c r="LZ501" s="6"/>
      <c r="MA501" s="4"/>
      <c r="MB501" s="4"/>
      <c r="MC501" s="4"/>
      <c r="MD501" s="8"/>
      <c r="ME501" s="4"/>
      <c r="MF501" s="4"/>
      <c r="MG501" s="5"/>
      <c r="MH501" s="6"/>
      <c r="MI501" s="4"/>
      <c r="MJ501" s="4"/>
      <c r="MK501" s="4"/>
      <c r="ML501" s="4"/>
      <c r="MM501" s="4"/>
      <c r="MN501" s="5"/>
      <c r="MO501" s="6"/>
      <c r="MP501" s="4"/>
      <c r="MQ501" s="4"/>
      <c r="MR501" s="4"/>
      <c r="MS501" s="4"/>
      <c r="MT501" s="4"/>
      <c r="MU501" s="5"/>
      <c r="MV501" s="6"/>
      <c r="MW501" s="4"/>
      <c r="MX501" s="4"/>
      <c r="MY501" s="4"/>
      <c r="MZ501" s="4"/>
      <c r="NA501" s="4"/>
      <c r="NB501" s="5"/>
      <c r="NC501" s="6" t="s">
        <v>80</v>
      </c>
      <c r="ND501" s="4" t="s">
        <v>19</v>
      </c>
      <c r="NE501" s="4"/>
      <c r="NF501" s="4"/>
      <c r="NG501" s="8">
        <v>39937</v>
      </c>
      <c r="NH501" s="4"/>
      <c r="NI501" s="5"/>
      <c r="NJ501" s="6"/>
      <c r="NK501" s="4"/>
      <c r="NL501" s="4"/>
      <c r="NM501" s="4"/>
      <c r="NN501" s="4"/>
      <c r="NO501" s="4"/>
      <c r="NP501" s="5"/>
      <c r="NQ501" s="4" t="s">
        <v>3913</v>
      </c>
      <c r="NR501" s="4" t="s">
        <v>3914</v>
      </c>
      <c r="NS501" s="4"/>
      <c r="NT501" s="4" t="s">
        <v>4029</v>
      </c>
      <c r="NU501" s="8">
        <v>30409</v>
      </c>
      <c r="NV501" s="8">
        <v>39931</v>
      </c>
      <c r="NW501" s="5" t="s">
        <v>1071</v>
      </c>
      <c r="NX501" s="6" t="s">
        <v>3428</v>
      </c>
      <c r="NY501" s="4" t="s">
        <v>3526</v>
      </c>
      <c r="NZ501" s="4" t="s">
        <v>3429</v>
      </c>
      <c r="OA501" s="4"/>
      <c r="OB501" s="8">
        <v>39814</v>
      </c>
      <c r="OC501" s="4"/>
      <c r="OD501" s="5" t="s">
        <v>1072</v>
      </c>
      <c r="OE501" s="6"/>
      <c r="OF501" s="4"/>
      <c r="OG501" s="4"/>
      <c r="OH501" s="4"/>
      <c r="OI501" s="4"/>
      <c r="OJ501" s="4"/>
      <c r="OK501" s="5"/>
      <c r="OL501" s="6"/>
      <c r="OM501" s="4"/>
      <c r="ON501" s="4"/>
      <c r="OO501" s="4"/>
      <c r="OP501" s="4"/>
      <c r="OQ501" s="4"/>
      <c r="OR501" s="5"/>
      <c r="OS501" s="6"/>
      <c r="OT501" s="4"/>
      <c r="OU501" s="4"/>
      <c r="OV501" s="4"/>
      <c r="OW501" s="4"/>
      <c r="OX501" s="4"/>
      <c r="OY501" s="5"/>
      <c r="OZ501" s="4" t="s">
        <v>3756</v>
      </c>
      <c r="PA501" s="4" t="s">
        <v>3756</v>
      </c>
      <c r="PB501" s="7"/>
      <c r="PC501" s="4"/>
      <c r="PD501" s="8">
        <v>39906</v>
      </c>
      <c r="PE501" s="4"/>
      <c r="PF501" s="5" t="s">
        <v>1074</v>
      </c>
      <c r="PG501" s="6"/>
      <c r="PH501" s="4"/>
      <c r="PI501" s="4"/>
      <c r="PJ501" s="4"/>
      <c r="PK501" s="4"/>
      <c r="PL501" s="4"/>
      <c r="PM501" s="5"/>
      <c r="PN501" s="6"/>
      <c r="PO501" s="4"/>
      <c r="PP501" s="4"/>
      <c r="PQ501" s="4"/>
      <c r="PR501" s="4"/>
      <c r="PS501" s="4"/>
      <c r="PT501" s="5"/>
      <c r="PU501" s="6"/>
      <c r="PV501" s="4"/>
      <c r="PW501" s="4"/>
      <c r="PX501" s="4"/>
      <c r="PY501" s="4"/>
      <c r="PZ501" s="4"/>
      <c r="QA501" s="5"/>
      <c r="QB501" s="15" t="s">
        <v>3656</v>
      </c>
      <c r="QC501" s="12" t="s">
        <v>3518</v>
      </c>
      <c r="QD501" s="4" t="s">
        <v>3763</v>
      </c>
      <c r="QE501" s="4"/>
      <c r="QF501" s="8">
        <v>39814</v>
      </c>
      <c r="QG501" s="4"/>
      <c r="QH501" s="5" t="s">
        <v>1010</v>
      </c>
      <c r="QI501" s="6"/>
      <c r="QJ501" s="4"/>
      <c r="QK501" s="4"/>
      <c r="QL501" s="4"/>
      <c r="QM501" s="4"/>
      <c r="QN501" s="4"/>
      <c r="QO501" s="5"/>
      <c r="QP501" s="6"/>
      <c r="QQ501" s="4"/>
      <c r="QR501" s="4"/>
      <c r="QS501" s="4"/>
      <c r="QT501" s="4"/>
      <c r="QU501" s="4"/>
      <c r="QV501" s="5"/>
      <c r="QW501" s="6"/>
      <c r="QX501" s="4"/>
      <c r="QY501" s="4"/>
      <c r="QZ501" s="4"/>
      <c r="RA501" s="4"/>
      <c r="RB501" s="4"/>
      <c r="RC501" s="5"/>
      <c r="RD501" s="6"/>
      <c r="RE501" s="4"/>
      <c r="RF501" s="4"/>
      <c r="RG501" s="4"/>
      <c r="RH501" s="4"/>
      <c r="RI501" s="4"/>
      <c r="RJ501" s="5"/>
      <c r="RK501" s="6"/>
      <c r="RL501" s="4"/>
      <c r="RM501" s="4"/>
      <c r="RN501" s="4"/>
      <c r="RO501" s="4"/>
      <c r="RP501" s="4"/>
      <c r="RQ501" s="5"/>
      <c r="RR501" s="6"/>
      <c r="RS501" s="4"/>
      <c r="RT501" s="4"/>
      <c r="RU501" s="4"/>
      <c r="RV501" s="4"/>
      <c r="RW501" s="4"/>
      <c r="RX501" s="5"/>
      <c r="RY501" s="6"/>
      <c r="RZ501" s="4"/>
      <c r="SA501" s="4"/>
      <c r="SB501" s="4"/>
      <c r="SC501" s="4"/>
      <c r="SD501" s="4"/>
      <c r="SE501" s="5"/>
      <c r="SF501" s="6"/>
      <c r="SG501" s="4"/>
      <c r="SH501" s="4"/>
      <c r="SI501" s="4"/>
      <c r="SJ501" s="4"/>
      <c r="SK501" s="4"/>
      <c r="SL501" s="5"/>
      <c r="SM501" s="6"/>
      <c r="SN501" s="4"/>
      <c r="SO501" s="4"/>
      <c r="SP501" s="4"/>
      <c r="SQ501" s="4"/>
      <c r="SR501" s="4"/>
      <c r="SS501" s="5"/>
      <c r="ST501" s="6"/>
      <c r="SU501" s="4"/>
      <c r="SV501" s="4"/>
      <c r="SW501" s="4"/>
      <c r="SX501" s="4"/>
      <c r="SY501" s="4"/>
      <c r="SZ501" s="5"/>
      <c r="TA501" s="6"/>
      <c r="TB501" s="4"/>
      <c r="TC501" s="4"/>
      <c r="TD501" s="4"/>
      <c r="TE501" s="4"/>
      <c r="TF501" s="4"/>
      <c r="TG501" s="5"/>
      <c r="TH501" s="6"/>
      <c r="TI501" s="4"/>
      <c r="TJ501" s="4"/>
      <c r="TK501" s="4"/>
      <c r="TL501" s="4"/>
      <c r="TM501" s="4"/>
      <c r="TN501" s="5"/>
      <c r="TO501" s="6"/>
      <c r="TP501" s="4"/>
      <c r="TQ501" s="4"/>
      <c r="TR501" s="4"/>
      <c r="TS501" s="4"/>
      <c r="TT501" s="4"/>
      <c r="TU501" s="5"/>
      <c r="TV501" s="6"/>
      <c r="TW501" s="4"/>
      <c r="TX501" s="4"/>
      <c r="TY501" s="4"/>
      <c r="TZ501" s="4"/>
      <c r="UA501" s="4"/>
      <c r="UB501" s="5"/>
      <c r="UC501" s="6"/>
      <c r="UD501" s="4"/>
      <c r="UE501" s="4"/>
      <c r="UF501" s="4"/>
      <c r="UG501" s="4"/>
      <c r="UH501" s="4"/>
      <c r="UI501" s="5"/>
      <c r="UJ501" s="6"/>
      <c r="UK501" s="4"/>
      <c r="UL501" s="4"/>
      <c r="UM501" s="4"/>
      <c r="UN501" s="4"/>
      <c r="UO501" s="4"/>
      <c r="UP501" s="5"/>
      <c r="UQ501" s="6"/>
      <c r="UR501" s="4"/>
      <c r="US501" s="4"/>
      <c r="UT501" s="4"/>
      <c r="UU501" s="4"/>
      <c r="UV501" s="4"/>
      <c r="UW501" s="5"/>
      <c r="UX501" s="6"/>
      <c r="UY501" s="4"/>
      <c r="UZ501" s="4"/>
      <c r="VA501" s="4"/>
      <c r="VB501" s="4"/>
      <c r="VC501" s="4"/>
      <c r="VD501" s="5"/>
      <c r="VE501" s="6"/>
      <c r="VF501" s="4"/>
      <c r="VG501" s="4"/>
      <c r="VH501" s="4"/>
      <c r="VI501" s="4"/>
      <c r="VJ501" s="4"/>
      <c r="VK501" s="5"/>
      <c r="VL501" s="6"/>
      <c r="VM501" s="4"/>
      <c r="VN501" s="4"/>
      <c r="VO501" s="4"/>
      <c r="VP501" s="4"/>
      <c r="VQ501" s="4"/>
      <c r="VR501" s="5"/>
      <c r="VS501" s="6"/>
      <c r="VT501" s="4"/>
      <c r="VU501" s="4"/>
      <c r="VV501" s="4"/>
      <c r="VW501" s="4"/>
      <c r="VX501" s="4"/>
      <c r="VY501" s="5"/>
      <c r="VZ501" s="6"/>
      <c r="WA501" s="4"/>
      <c r="WB501" s="4"/>
      <c r="WC501" s="4"/>
      <c r="WD501" s="4"/>
      <c r="WE501" s="4"/>
      <c r="WF501" s="5"/>
      <c r="WG501" s="6"/>
      <c r="WH501" s="4"/>
      <c r="WI501" s="4"/>
      <c r="WJ501" s="4"/>
      <c r="WK501" s="4"/>
      <c r="WL501" s="4"/>
      <c r="WM501" s="5"/>
      <c r="WN501" s="6"/>
      <c r="WO501" s="4"/>
      <c r="WP501" s="4"/>
      <c r="WQ501" s="4"/>
      <c r="WR501" s="4"/>
      <c r="WS501" s="4"/>
      <c r="WT501" s="5"/>
      <c r="WU501" s="6"/>
      <c r="WV501" s="4"/>
      <c r="WW501" s="4"/>
      <c r="WX501" s="4"/>
      <c r="WY501" s="4"/>
      <c r="WZ501" s="4"/>
      <c r="XA501" s="5"/>
      <c r="XB501" s="6"/>
      <c r="XC501" s="4"/>
      <c r="XD501" s="4"/>
      <c r="XE501" s="4"/>
      <c r="XF501" s="4"/>
      <c r="XG501" s="4"/>
      <c r="XH501" s="5"/>
      <c r="XI501" s="6"/>
      <c r="XJ501" s="4"/>
      <c r="XK501" s="4"/>
      <c r="XL501" s="4"/>
      <c r="XM501" s="4"/>
      <c r="XN501" s="4"/>
      <c r="XO501" s="5"/>
      <c r="XP501" s="6"/>
      <c r="XQ501" s="4"/>
      <c r="XR501" s="4"/>
      <c r="XS501" s="4"/>
      <c r="XT501" s="4"/>
      <c r="XU501" s="4"/>
      <c r="XV501" s="5"/>
      <c r="XW501" s="6"/>
      <c r="XX501" s="4"/>
      <c r="XY501" s="4"/>
      <c r="XZ501" s="4"/>
      <c r="YA501" s="4"/>
      <c r="YB501" s="4"/>
      <c r="YC501" s="5"/>
      <c r="YD501" s="6"/>
      <c r="YE501" s="4"/>
      <c r="YF501" s="4"/>
      <c r="YG501" s="4"/>
      <c r="YH501" s="4"/>
      <c r="YI501" s="4"/>
      <c r="YJ501" s="5"/>
      <c r="YK501" s="6"/>
      <c r="YL501" s="7"/>
      <c r="YM501" s="4"/>
      <c r="YN501" s="7"/>
      <c r="YO501" s="8"/>
      <c r="YP501" s="8"/>
      <c r="YQ501" s="5"/>
      <c r="YR501" s="6"/>
      <c r="YS501" s="4"/>
      <c r="YT501" s="4"/>
      <c r="YU501" s="4"/>
      <c r="YV501" s="4"/>
      <c r="YW501" s="4"/>
      <c r="YX501" s="5"/>
      <c r="YY501" s="6"/>
      <c r="YZ501" s="4"/>
      <c r="ZA501" s="4"/>
      <c r="ZB501" s="4"/>
      <c r="ZC501" s="4"/>
      <c r="ZD501" s="4"/>
      <c r="ZE501" s="5"/>
      <c r="ZF501" s="6"/>
      <c r="ZG501" s="4"/>
      <c r="ZH501" s="4"/>
      <c r="ZI501" s="4"/>
      <c r="ZJ501" s="4"/>
      <c r="ZK501" s="4"/>
      <c r="ZL501" s="5"/>
      <c r="ZM501" s="6"/>
      <c r="ZN501" s="4"/>
      <c r="ZO501" s="4"/>
      <c r="ZP501" s="4"/>
      <c r="ZQ501" s="4"/>
      <c r="ZR501" s="4"/>
      <c r="ZS501" s="5"/>
      <c r="ZT501" s="6"/>
      <c r="ZU501" s="4"/>
      <c r="ZV501" s="4"/>
      <c r="ZW501" s="4"/>
      <c r="ZX501" s="4"/>
      <c r="ZY501" s="4"/>
      <c r="ZZ501" s="5"/>
      <c r="AAA501" s="6"/>
      <c r="AAB501" s="4"/>
      <c r="AAC501" s="4"/>
      <c r="AAD501" s="4"/>
      <c r="AAE501" s="4"/>
      <c r="AAF501" s="4"/>
      <c r="AAG501" s="5"/>
      <c r="AAH501" s="6"/>
      <c r="AAI501" s="4"/>
      <c r="AAJ501" s="4"/>
      <c r="AAK501" s="4"/>
      <c r="AAL501" s="4"/>
      <c r="AAM501" s="4"/>
      <c r="AAN501" s="5"/>
      <c r="AAO501" s="6"/>
      <c r="AAP501" s="4"/>
      <c r="AAQ501" s="4"/>
      <c r="AAR501" s="4"/>
      <c r="AAS501" s="4"/>
      <c r="AAT501" s="4"/>
      <c r="AAU501" s="5"/>
      <c r="AAV501" s="6"/>
      <c r="AAW501" s="4"/>
      <c r="AAX501" s="4"/>
      <c r="AAY501" s="4"/>
      <c r="AAZ501" s="4"/>
      <c r="ABA501" s="4"/>
      <c r="ABB501" s="5"/>
      <c r="ABC501" s="6"/>
      <c r="ABD501" s="4"/>
      <c r="ABE501" s="4"/>
      <c r="ABF501" s="4"/>
      <c r="ABG501" s="4"/>
      <c r="ABH501" s="4"/>
      <c r="ABI501" s="5"/>
      <c r="ABJ501" s="6"/>
      <c r="ABK501" s="4"/>
      <c r="ABL501" s="4"/>
      <c r="ABM501" s="4"/>
      <c r="ABN501" s="4"/>
      <c r="ABO501" s="4"/>
      <c r="ABP501" s="5"/>
      <c r="ABQ501" s="6"/>
      <c r="ABR501" s="4"/>
      <c r="ABS501" s="4"/>
      <c r="ABT501" s="4"/>
      <c r="ABU501" s="4"/>
      <c r="ABV501" s="4"/>
      <c r="ABW501" s="5"/>
      <c r="ABX501" s="6"/>
      <c r="ABY501" s="4"/>
      <c r="ABZ501" s="4"/>
      <c r="ACA501" s="4"/>
      <c r="ACB501" s="4"/>
      <c r="ACC501" s="4"/>
      <c r="ACD501" s="5"/>
      <c r="ACE501" s="6"/>
      <c r="ACF501" s="4"/>
      <c r="ACG501" s="4"/>
      <c r="ACH501" s="4"/>
      <c r="ACI501" s="4"/>
      <c r="ACJ501" s="4"/>
      <c r="ACK501" s="5"/>
      <c r="ACL501" s="6"/>
      <c r="ACM501" s="4"/>
      <c r="ACN501" s="4"/>
      <c r="ACO501" s="4"/>
      <c r="ACP501" s="4"/>
      <c r="ACQ501" s="4"/>
      <c r="ACR501" s="5"/>
      <c r="ACS501" s="6"/>
      <c r="ACT501" s="4"/>
      <c r="ACU501" s="4"/>
      <c r="ACV501" s="4"/>
      <c r="ACW501" s="4"/>
      <c r="ACX501" s="4"/>
      <c r="ACY501" s="5"/>
      <c r="ADZ501" s="6" t="s">
        <v>1144</v>
      </c>
    </row>
    <row r="502" spans="1:839" x14ac:dyDescent="0.25">
      <c r="J502" s="12"/>
      <c r="K502" s="12"/>
      <c r="L502" s="12"/>
      <c r="LL502" s="6"/>
      <c r="LM502" s="4"/>
      <c r="LN502" s="4"/>
      <c r="LO502" s="4"/>
      <c r="LP502" s="4"/>
      <c r="LQ502" s="4"/>
      <c r="LR502" s="5"/>
      <c r="LS502" s="6"/>
      <c r="LT502" s="4"/>
      <c r="LU502" s="4"/>
      <c r="LV502" s="4"/>
      <c r="LW502" s="4"/>
      <c r="LX502" s="4"/>
      <c r="LY502" s="5"/>
      <c r="LZ502" s="6"/>
      <c r="MA502" s="4"/>
      <c r="MB502" s="4"/>
      <c r="MC502" s="4"/>
      <c r="MD502" s="8"/>
      <c r="ME502" s="4"/>
      <c r="MF502" s="4"/>
      <c r="MG502" s="5"/>
      <c r="MH502" s="6"/>
      <c r="MI502" s="4"/>
      <c r="MJ502" s="4"/>
      <c r="MK502" s="4"/>
      <c r="ML502" s="4"/>
      <c r="MM502" s="4"/>
      <c r="MN502" s="5"/>
      <c r="MO502" s="6"/>
      <c r="MP502" s="4"/>
      <c r="MQ502" s="4"/>
      <c r="MR502" s="4"/>
      <c r="MS502" s="4"/>
      <c r="MT502" s="4"/>
      <c r="MU502" s="5"/>
      <c r="MV502" s="6"/>
      <c r="MW502" s="4"/>
      <c r="MX502" s="4"/>
      <c r="MY502" s="4"/>
      <c r="MZ502" s="4"/>
      <c r="NA502" s="4"/>
      <c r="NB502" s="5"/>
      <c r="NC502" s="6"/>
      <c r="ND502" s="4"/>
      <c r="NE502" s="4"/>
      <c r="NF502" s="4"/>
      <c r="NG502" s="4"/>
      <c r="NH502" s="4"/>
      <c r="NI502" s="5"/>
      <c r="NJ502" s="6"/>
      <c r="NK502" s="4"/>
      <c r="NL502" s="4"/>
      <c r="NM502" s="4"/>
      <c r="NN502" s="4"/>
      <c r="NO502" s="4"/>
      <c r="NP502" s="5"/>
      <c r="NQ502" s="4"/>
      <c r="NR502" s="4"/>
      <c r="NS502" s="4"/>
      <c r="NT502" s="4"/>
      <c r="NU502" s="8"/>
      <c r="NV502" s="8"/>
      <c r="NW502" s="5"/>
      <c r="NX502" s="6"/>
      <c r="NY502" s="4"/>
      <c r="NZ502" s="4"/>
      <c r="OA502" s="4"/>
      <c r="OB502" s="8"/>
      <c r="OC502" s="4"/>
      <c r="OD502" s="5"/>
      <c r="OE502" s="6"/>
      <c r="OF502" s="4"/>
      <c r="OG502" s="4"/>
      <c r="OH502" s="4"/>
      <c r="OI502" s="4"/>
      <c r="OJ502" s="4"/>
      <c r="OK502" s="5"/>
      <c r="OL502" s="6"/>
      <c r="OM502" s="4"/>
      <c r="ON502" s="4"/>
      <c r="OO502" s="4"/>
      <c r="OP502" s="4"/>
      <c r="OQ502" s="4"/>
      <c r="OR502" s="5"/>
      <c r="OS502" s="6"/>
      <c r="OT502" s="4"/>
      <c r="OU502" s="4"/>
      <c r="OV502" s="4"/>
      <c r="OW502" s="4"/>
      <c r="OX502" s="4"/>
      <c r="OY502" s="5"/>
      <c r="OZ502" s="6"/>
      <c r="PA502" s="4"/>
      <c r="PB502" s="7"/>
      <c r="PC502" s="4"/>
      <c r="PD502" s="8"/>
      <c r="PE502" s="4"/>
      <c r="PF502" s="5"/>
      <c r="PG502" s="6"/>
      <c r="PH502" s="4"/>
      <c r="PI502" s="4"/>
      <c r="PJ502" s="4"/>
      <c r="PK502" s="4"/>
      <c r="PL502" s="4"/>
      <c r="PM502" s="5"/>
      <c r="PN502" s="6"/>
      <c r="PO502" s="4"/>
      <c r="PP502" s="4"/>
      <c r="PQ502" s="4"/>
      <c r="PR502" s="4"/>
      <c r="PS502" s="4"/>
      <c r="PT502" s="5"/>
      <c r="PU502" s="6"/>
      <c r="PV502" s="4"/>
      <c r="PW502" s="4"/>
      <c r="PX502" s="4"/>
      <c r="PY502" s="4"/>
      <c r="PZ502" s="4"/>
      <c r="QA502" s="5"/>
      <c r="QB502" s="6" t="s">
        <v>2399</v>
      </c>
      <c r="QC502" s="4" t="s">
        <v>3915</v>
      </c>
      <c r="QD502" s="4" t="s">
        <v>3916</v>
      </c>
      <c r="QE502" s="4"/>
      <c r="QF502" s="8">
        <v>39814</v>
      </c>
      <c r="QG502" s="4"/>
      <c r="QH502" s="5" t="s">
        <v>1011</v>
      </c>
      <c r="QI502" s="6"/>
      <c r="QJ502" s="4"/>
      <c r="QK502" s="4"/>
      <c r="QL502" s="4"/>
      <c r="QM502" s="4"/>
      <c r="QN502" s="4"/>
      <c r="QO502" s="5"/>
      <c r="QP502" s="6"/>
      <c r="QQ502" s="4"/>
      <c r="QR502" s="4"/>
      <c r="QS502" s="4"/>
      <c r="QT502" s="4"/>
      <c r="QU502" s="4"/>
      <c r="QV502" s="5"/>
      <c r="QW502" s="6"/>
      <c r="QX502" s="4"/>
      <c r="QY502" s="4"/>
      <c r="QZ502" s="4"/>
      <c r="RA502" s="4"/>
      <c r="RB502" s="4"/>
      <c r="RC502" s="5"/>
      <c r="RD502" s="6"/>
      <c r="RE502" s="4"/>
      <c r="RF502" s="4"/>
      <c r="RG502" s="4"/>
      <c r="RH502" s="4"/>
      <c r="RI502" s="4"/>
      <c r="RJ502" s="5"/>
      <c r="RK502" s="6"/>
      <c r="RL502" s="4"/>
      <c r="RM502" s="4"/>
      <c r="RN502" s="4"/>
      <c r="RO502" s="4"/>
      <c r="RP502" s="4"/>
      <c r="RQ502" s="5"/>
      <c r="RR502" s="6"/>
      <c r="RS502" s="4"/>
      <c r="RT502" s="4"/>
      <c r="RU502" s="4"/>
      <c r="RV502" s="4"/>
      <c r="RW502" s="4"/>
      <c r="RX502" s="5"/>
      <c r="RY502" s="6"/>
      <c r="RZ502" s="4"/>
      <c r="SA502" s="4"/>
      <c r="SB502" s="4"/>
      <c r="SC502" s="4"/>
      <c r="SD502" s="4"/>
      <c r="SE502" s="5"/>
      <c r="SF502" s="6"/>
      <c r="SG502" s="4"/>
      <c r="SH502" s="4"/>
      <c r="SI502" s="4"/>
      <c r="SJ502" s="4"/>
      <c r="SK502" s="4"/>
      <c r="SL502" s="5"/>
      <c r="SM502" s="6"/>
      <c r="SN502" s="4"/>
      <c r="SO502" s="4"/>
      <c r="SP502" s="4"/>
      <c r="SQ502" s="4"/>
      <c r="SR502" s="4"/>
      <c r="SS502" s="5"/>
      <c r="ST502" s="6"/>
      <c r="SU502" s="4"/>
      <c r="SV502" s="4"/>
      <c r="SW502" s="4"/>
      <c r="SX502" s="4"/>
      <c r="SY502" s="4"/>
      <c r="SZ502" s="5"/>
      <c r="TA502" s="6"/>
      <c r="TB502" s="4"/>
      <c r="TC502" s="4"/>
      <c r="TD502" s="4"/>
      <c r="TE502" s="4"/>
      <c r="TF502" s="4"/>
      <c r="TG502" s="5"/>
      <c r="TH502" s="6"/>
      <c r="TI502" s="4"/>
      <c r="TJ502" s="4"/>
      <c r="TK502" s="4"/>
      <c r="TL502" s="4"/>
      <c r="TM502" s="4"/>
      <c r="TN502" s="5"/>
      <c r="TO502" s="6"/>
      <c r="TP502" s="4"/>
      <c r="TQ502" s="4"/>
      <c r="TR502" s="4"/>
      <c r="TS502" s="4"/>
      <c r="TT502" s="4"/>
      <c r="TU502" s="5"/>
      <c r="TV502" s="6"/>
      <c r="TW502" s="4"/>
      <c r="TX502" s="4"/>
      <c r="TY502" s="4"/>
      <c r="TZ502" s="4"/>
      <c r="UA502" s="4"/>
      <c r="UB502" s="5"/>
      <c r="UC502" s="6"/>
      <c r="UD502" s="4"/>
      <c r="UE502" s="4"/>
      <c r="UF502" s="4"/>
      <c r="UG502" s="4"/>
      <c r="UH502" s="4"/>
      <c r="UI502" s="5"/>
      <c r="UJ502" s="6"/>
      <c r="UK502" s="4"/>
      <c r="UL502" s="4"/>
      <c r="UM502" s="4"/>
      <c r="UN502" s="4"/>
      <c r="UO502" s="4"/>
      <c r="UP502" s="5"/>
      <c r="UQ502" s="6"/>
      <c r="UR502" s="4"/>
      <c r="US502" s="4"/>
      <c r="UT502" s="4"/>
      <c r="UU502" s="4"/>
      <c r="UV502" s="4"/>
      <c r="UW502" s="5"/>
      <c r="UX502" s="6"/>
      <c r="UY502" s="4"/>
      <c r="UZ502" s="4"/>
      <c r="VA502" s="4"/>
      <c r="VB502" s="4"/>
      <c r="VC502" s="4"/>
      <c r="VD502" s="5"/>
      <c r="VE502" s="6"/>
      <c r="VF502" s="4"/>
      <c r="VG502" s="4"/>
      <c r="VH502" s="4"/>
      <c r="VI502" s="4"/>
      <c r="VJ502" s="4"/>
      <c r="VK502" s="5"/>
      <c r="VL502" s="6"/>
      <c r="VM502" s="4"/>
      <c r="VN502" s="4"/>
      <c r="VO502" s="4"/>
      <c r="VP502" s="4"/>
      <c r="VQ502" s="4"/>
      <c r="VR502" s="5"/>
      <c r="VS502" s="6"/>
      <c r="VT502" s="4"/>
      <c r="VU502" s="4"/>
      <c r="VV502" s="4"/>
      <c r="VW502" s="4"/>
      <c r="VX502" s="4"/>
      <c r="VY502" s="5"/>
      <c r="VZ502" s="6"/>
      <c r="WA502" s="4"/>
      <c r="WB502" s="4"/>
      <c r="WC502" s="4"/>
      <c r="WD502" s="4"/>
      <c r="WE502" s="4"/>
      <c r="WF502" s="5"/>
      <c r="WG502" s="6"/>
      <c r="WH502" s="4"/>
      <c r="WI502" s="4"/>
      <c r="WJ502" s="4"/>
      <c r="WK502" s="4"/>
      <c r="WL502" s="4"/>
      <c r="WM502" s="5"/>
      <c r="WN502" s="6"/>
      <c r="WO502" s="4"/>
      <c r="WP502" s="4"/>
      <c r="WQ502" s="4"/>
      <c r="WR502" s="4"/>
      <c r="WS502" s="4"/>
      <c r="WT502" s="5"/>
      <c r="WU502" s="6"/>
      <c r="WV502" s="4"/>
      <c r="WW502" s="4"/>
      <c r="WX502" s="4"/>
      <c r="WY502" s="4"/>
      <c r="WZ502" s="4"/>
      <c r="XA502" s="5"/>
      <c r="XB502" s="6"/>
      <c r="XC502" s="4"/>
      <c r="XD502" s="4"/>
      <c r="XE502" s="4"/>
      <c r="XF502" s="4"/>
      <c r="XG502" s="4"/>
      <c r="XH502" s="5"/>
      <c r="XI502" s="6"/>
      <c r="XJ502" s="4"/>
      <c r="XK502" s="4"/>
      <c r="XL502" s="4"/>
      <c r="XM502" s="4"/>
      <c r="XN502" s="4"/>
      <c r="XO502" s="5"/>
      <c r="XP502" s="6"/>
      <c r="XQ502" s="4"/>
      <c r="XR502" s="4"/>
      <c r="XS502" s="4"/>
      <c r="XT502" s="4"/>
      <c r="XU502" s="4"/>
      <c r="XV502" s="5"/>
      <c r="XW502" s="6"/>
      <c r="XX502" s="4"/>
      <c r="XY502" s="4"/>
      <c r="XZ502" s="4"/>
      <c r="YA502" s="4"/>
      <c r="YB502" s="4"/>
      <c r="YC502" s="5"/>
      <c r="YD502" s="6"/>
      <c r="YE502" s="4"/>
      <c r="YF502" s="4"/>
      <c r="YG502" s="4"/>
      <c r="YH502" s="4"/>
      <c r="YI502" s="4"/>
      <c r="YJ502" s="5"/>
      <c r="YK502" s="6"/>
      <c r="YL502" s="7"/>
      <c r="YM502" s="4"/>
      <c r="YN502" s="4"/>
      <c r="YO502" s="4"/>
      <c r="YP502" s="4"/>
      <c r="YQ502" s="5"/>
      <c r="YR502" s="6"/>
      <c r="YS502" s="4"/>
      <c r="YT502" s="4"/>
      <c r="YU502" s="4"/>
      <c r="YV502" s="4"/>
      <c r="YW502" s="4"/>
      <c r="YX502" s="5"/>
      <c r="YY502" s="6"/>
      <c r="YZ502" s="4"/>
      <c r="ZA502" s="4"/>
      <c r="ZB502" s="4"/>
      <c r="ZC502" s="4"/>
      <c r="ZD502" s="4"/>
      <c r="ZE502" s="5"/>
      <c r="ZF502" s="6"/>
      <c r="ZG502" s="4"/>
      <c r="ZH502" s="4"/>
      <c r="ZI502" s="4"/>
      <c r="ZJ502" s="4"/>
      <c r="ZK502" s="4"/>
      <c r="ZL502" s="5"/>
      <c r="ZM502" s="6"/>
      <c r="ZN502" s="4"/>
      <c r="ZO502" s="4"/>
      <c r="ZP502" s="4"/>
      <c r="ZQ502" s="4"/>
      <c r="ZR502" s="4"/>
      <c r="ZS502" s="5"/>
      <c r="ZT502" s="6"/>
      <c r="ZU502" s="4"/>
      <c r="ZV502" s="4"/>
      <c r="ZW502" s="4"/>
      <c r="ZX502" s="4"/>
      <c r="ZY502" s="4"/>
      <c r="ZZ502" s="5"/>
      <c r="AAA502" s="6"/>
      <c r="AAB502" s="4"/>
      <c r="AAC502" s="4"/>
      <c r="AAD502" s="4"/>
      <c r="AAE502" s="4"/>
      <c r="AAF502" s="4"/>
      <c r="AAG502" s="5"/>
      <c r="AAH502" s="6"/>
      <c r="AAI502" s="4"/>
      <c r="AAJ502" s="4"/>
      <c r="AAK502" s="4"/>
      <c r="AAL502" s="4"/>
      <c r="AAM502" s="4"/>
      <c r="AAN502" s="5"/>
      <c r="AAO502" s="6"/>
      <c r="AAP502" s="4"/>
      <c r="AAQ502" s="4"/>
      <c r="AAR502" s="4"/>
      <c r="AAS502" s="4"/>
      <c r="AAT502" s="4"/>
      <c r="AAU502" s="5"/>
      <c r="AAV502" s="6"/>
      <c r="AAW502" s="4"/>
      <c r="AAX502" s="4"/>
      <c r="AAY502" s="4"/>
      <c r="AAZ502" s="4"/>
      <c r="ABA502" s="4"/>
      <c r="ABB502" s="5"/>
      <c r="ABC502" s="6"/>
      <c r="ABD502" s="4"/>
      <c r="ABE502" s="4"/>
      <c r="ABF502" s="4"/>
      <c r="ABG502" s="4"/>
      <c r="ABH502" s="4"/>
      <c r="ABI502" s="5"/>
      <c r="ABJ502" s="6"/>
      <c r="ABK502" s="4"/>
      <c r="ABL502" s="4"/>
      <c r="ABM502" s="4"/>
      <c r="ABN502" s="4"/>
      <c r="ABO502" s="4"/>
      <c r="ABP502" s="5"/>
      <c r="ABQ502" s="6"/>
      <c r="ABR502" s="4"/>
      <c r="ABS502" s="4"/>
      <c r="ABT502" s="4"/>
      <c r="ABU502" s="4"/>
      <c r="ABV502" s="4"/>
      <c r="ABW502" s="5"/>
      <c r="ABX502" s="6"/>
      <c r="ABY502" s="4"/>
      <c r="ABZ502" s="4"/>
      <c r="ACA502" s="4"/>
      <c r="ACB502" s="4"/>
      <c r="ACC502" s="4"/>
      <c r="ACD502" s="5"/>
      <c r="ACE502" s="6"/>
      <c r="ACF502" s="4"/>
      <c r="ACG502" s="4"/>
      <c r="ACH502" s="4"/>
      <c r="ACI502" s="4"/>
      <c r="ACJ502" s="4"/>
      <c r="ACK502" s="5"/>
      <c r="ACL502" s="6"/>
      <c r="ACM502" s="4"/>
      <c r="ACN502" s="4"/>
      <c r="ACO502" s="4"/>
      <c r="ACP502" s="4"/>
      <c r="ACQ502" s="4"/>
      <c r="ACR502" s="5"/>
      <c r="ACS502" s="6"/>
      <c r="ACT502" s="4"/>
      <c r="ACU502" s="4"/>
      <c r="ACV502" s="4"/>
      <c r="ACW502" s="4"/>
      <c r="ACX502" s="4"/>
      <c r="ACY502" s="5"/>
      <c r="ADZ502" s="6" t="s">
        <v>1145</v>
      </c>
    </row>
    <row r="503" spans="1:839" x14ac:dyDescent="0.25">
      <c r="B503" s="29">
        <v>10098330</v>
      </c>
      <c r="C503" s="57">
        <v>79</v>
      </c>
      <c r="D503" t="s">
        <v>3730</v>
      </c>
      <c r="E503" s="35" t="s">
        <v>1290</v>
      </c>
      <c r="F503" s="23">
        <v>0</v>
      </c>
      <c r="I503">
        <v>1</v>
      </c>
      <c r="J503" s="19">
        <v>39639</v>
      </c>
      <c r="K503" s="19" t="s">
        <v>1146</v>
      </c>
      <c r="L503" s="19" t="s">
        <v>1147</v>
      </c>
      <c r="Q503">
        <v>1</v>
      </c>
      <c r="R503">
        <v>1</v>
      </c>
      <c r="S503">
        <v>1</v>
      </c>
      <c r="AF503">
        <v>1</v>
      </c>
      <c r="AL503">
        <v>1</v>
      </c>
      <c r="AN503">
        <v>1</v>
      </c>
      <c r="AY503">
        <v>1</v>
      </c>
      <c r="AZ503">
        <v>1</v>
      </c>
      <c r="DR503">
        <v>1</v>
      </c>
      <c r="EX503">
        <v>1</v>
      </c>
      <c r="LL503" s="6"/>
      <c r="LM503" s="4"/>
      <c r="LN503" s="4"/>
      <c r="LO503" s="4"/>
      <c r="LP503" s="4"/>
      <c r="LQ503" s="4"/>
      <c r="LR503" s="5"/>
      <c r="LS503" s="6"/>
      <c r="LT503" s="4"/>
      <c r="LU503" s="4"/>
      <c r="LV503" s="4"/>
      <c r="LW503" s="4"/>
      <c r="LX503" s="4"/>
      <c r="LY503" s="5"/>
      <c r="LZ503" s="6" t="s">
        <v>3775</v>
      </c>
      <c r="MA503" s="7" t="s">
        <v>4026</v>
      </c>
      <c r="MB503" s="4"/>
      <c r="MC503" s="4"/>
      <c r="MD503" s="8">
        <v>39448</v>
      </c>
      <c r="ME503" s="4"/>
      <c r="MF503" s="4" t="s">
        <v>1061</v>
      </c>
      <c r="MG503" s="5" t="s">
        <v>1203</v>
      </c>
      <c r="MH503" s="6"/>
      <c r="MI503" s="4"/>
      <c r="MJ503" s="4"/>
      <c r="MK503" s="4"/>
      <c r="ML503" s="4"/>
      <c r="MM503" s="4"/>
      <c r="MN503" s="5"/>
      <c r="MO503" s="6"/>
      <c r="MP503" s="4"/>
      <c r="MQ503" s="4"/>
      <c r="MR503" s="4"/>
      <c r="MS503" s="4"/>
      <c r="MT503" s="4"/>
      <c r="MU503" s="5"/>
      <c r="MV503" s="6"/>
      <c r="MW503" s="4"/>
      <c r="MX503" s="4"/>
      <c r="MY503" s="4"/>
      <c r="MZ503" s="4"/>
      <c r="NA503" s="4"/>
      <c r="NB503" s="5"/>
      <c r="NC503" s="6"/>
      <c r="ND503" s="4"/>
      <c r="NE503" s="4"/>
      <c r="NF503" s="4"/>
      <c r="NG503" s="4"/>
      <c r="NH503" s="4"/>
      <c r="NI503" s="5"/>
      <c r="NJ503" s="6" t="s">
        <v>2644</v>
      </c>
      <c r="NK503" s="4" t="s">
        <v>3247</v>
      </c>
      <c r="NL503" s="4"/>
      <c r="NM503" s="4"/>
      <c r="NN503" s="8">
        <v>39448</v>
      </c>
      <c r="NO503" s="4"/>
      <c r="NP503" s="5" t="s">
        <v>1148</v>
      </c>
      <c r="NQ503" s="6"/>
      <c r="NR503" s="4"/>
      <c r="NS503" s="4"/>
      <c r="NT503" s="4"/>
      <c r="NU503" s="4"/>
      <c r="NV503" s="4"/>
      <c r="NW503" s="5"/>
      <c r="NX503" s="6"/>
      <c r="NY503" s="4"/>
      <c r="NZ503" s="4"/>
      <c r="OA503" s="4"/>
      <c r="OB503" s="4"/>
      <c r="OC503" s="4"/>
      <c r="OD503" s="5"/>
      <c r="OE503" s="6"/>
      <c r="OF503" s="4"/>
      <c r="OG503" s="4"/>
      <c r="OH503" s="4"/>
      <c r="OI503" s="4"/>
      <c r="OJ503" s="4"/>
      <c r="OK503" s="5"/>
      <c r="OL503" s="6"/>
      <c r="OM503" s="4"/>
      <c r="ON503" s="4"/>
      <c r="OO503" s="4"/>
      <c r="OP503" s="4"/>
      <c r="OQ503" s="4"/>
      <c r="OR503" s="5"/>
      <c r="OS503" s="6"/>
      <c r="OT503" s="4"/>
      <c r="OU503" s="4"/>
      <c r="OV503" s="4"/>
      <c r="OW503" s="4"/>
      <c r="OX503" s="4"/>
      <c r="OY503" s="5"/>
      <c r="OZ503" s="6"/>
      <c r="PA503" s="4"/>
      <c r="PB503" s="4"/>
      <c r="PC503" s="4"/>
      <c r="PD503" s="4"/>
      <c r="PE503" s="4"/>
      <c r="PF503" s="5"/>
      <c r="PG503" s="6"/>
      <c r="PH503" s="4"/>
      <c r="PI503" s="4"/>
      <c r="PJ503" s="4"/>
      <c r="PK503" s="4"/>
      <c r="PL503" s="4"/>
      <c r="PM503" s="5"/>
      <c r="PN503" s="6"/>
      <c r="PO503" s="4"/>
      <c r="PP503" s="4"/>
      <c r="PQ503" s="4"/>
      <c r="PR503" s="4"/>
      <c r="PS503" s="4"/>
      <c r="PT503" s="5"/>
      <c r="PU503" s="6"/>
      <c r="PV503" s="4"/>
      <c r="PW503" s="4"/>
      <c r="PX503" s="4"/>
      <c r="PY503" s="4"/>
      <c r="PZ503" s="4"/>
      <c r="QA503" s="5"/>
      <c r="QB503" s="6" t="s">
        <v>3528</v>
      </c>
      <c r="QC503" s="4" t="s">
        <v>3090</v>
      </c>
      <c r="QD503" s="4" t="s">
        <v>3712</v>
      </c>
      <c r="QE503" s="4"/>
      <c r="QF503" s="8">
        <v>39448</v>
      </c>
      <c r="QG503" s="4"/>
      <c r="QH503" s="5" t="s">
        <v>1149</v>
      </c>
      <c r="QI503" s="6"/>
      <c r="QJ503" s="4"/>
      <c r="QK503" s="4"/>
      <c r="QL503" s="4"/>
      <c r="QM503" s="4"/>
      <c r="QN503" s="4"/>
      <c r="QO503" s="5"/>
      <c r="QP503" s="6"/>
      <c r="QQ503" s="4"/>
      <c r="QR503" s="4"/>
      <c r="QS503" s="4"/>
      <c r="QT503" s="4"/>
      <c r="QU503" s="4"/>
      <c r="QV503" s="5"/>
      <c r="QW503" s="6"/>
      <c r="QX503" s="4"/>
      <c r="QY503" s="4"/>
      <c r="QZ503" s="4"/>
      <c r="RA503" s="4"/>
      <c r="RB503" s="4"/>
      <c r="RC503" s="5"/>
      <c r="RD503" s="6"/>
      <c r="RE503" s="4"/>
      <c r="RF503" s="4"/>
      <c r="RG503" s="4"/>
      <c r="RH503" s="4"/>
      <c r="RI503" s="4"/>
      <c r="RJ503" s="5"/>
      <c r="RK503" s="6"/>
      <c r="RL503" s="4"/>
      <c r="RM503" s="4"/>
      <c r="RN503" s="4"/>
      <c r="RO503" s="4"/>
      <c r="RP503" s="4"/>
      <c r="RQ503" s="5"/>
      <c r="RR503" s="6"/>
      <c r="RS503" s="4"/>
      <c r="RT503" s="4"/>
      <c r="RU503" s="4"/>
      <c r="RV503" s="4"/>
      <c r="RW503" s="4"/>
      <c r="RX503" s="5"/>
      <c r="RY503" s="6"/>
      <c r="RZ503" s="4"/>
      <c r="SA503" s="4"/>
      <c r="SB503" s="4"/>
      <c r="SC503" s="4"/>
      <c r="SD503" s="4"/>
      <c r="SE503" s="5"/>
      <c r="SF503" s="6"/>
      <c r="SG503" s="4"/>
      <c r="SH503" s="4"/>
      <c r="SI503" s="4"/>
      <c r="SJ503" s="4"/>
      <c r="SK503" s="4"/>
      <c r="SL503" s="5"/>
      <c r="SM503" s="6"/>
      <c r="SN503" s="4"/>
      <c r="SO503" s="4"/>
      <c r="SP503" s="4"/>
      <c r="SQ503" s="4"/>
      <c r="SR503" s="4"/>
      <c r="SS503" s="5"/>
      <c r="ST503" s="6"/>
      <c r="SU503" s="4"/>
      <c r="SV503" s="4"/>
      <c r="SW503" s="4"/>
      <c r="SX503" s="4"/>
      <c r="SY503" s="4"/>
      <c r="SZ503" s="5"/>
      <c r="TA503" s="6"/>
      <c r="TB503" s="4"/>
      <c r="TC503" s="4"/>
      <c r="TD503" s="4"/>
      <c r="TE503" s="4"/>
      <c r="TF503" s="4"/>
      <c r="TG503" s="5"/>
      <c r="TH503" s="6"/>
      <c r="TI503" s="4"/>
      <c r="TJ503" s="4"/>
      <c r="TK503" s="4"/>
      <c r="TL503" s="4"/>
      <c r="TM503" s="4"/>
      <c r="TN503" s="5"/>
      <c r="TO503" s="6"/>
      <c r="TP503" s="4"/>
      <c r="TQ503" s="4"/>
      <c r="TR503" s="4"/>
      <c r="TS503" s="4"/>
      <c r="TT503" s="4"/>
      <c r="TU503" s="5"/>
      <c r="TV503" s="6"/>
      <c r="TW503" s="4"/>
      <c r="TX503" s="4"/>
      <c r="TY503" s="4"/>
      <c r="TZ503" s="4"/>
      <c r="UA503" s="4"/>
      <c r="UB503" s="5"/>
      <c r="UC503" s="6"/>
      <c r="UD503" s="4"/>
      <c r="UE503" s="4"/>
      <c r="UF503" s="4"/>
      <c r="UG503" s="4"/>
      <c r="UH503" s="4"/>
      <c r="UI503" s="5"/>
      <c r="UJ503" s="6"/>
      <c r="UK503" s="4"/>
      <c r="UL503" s="4"/>
      <c r="UM503" s="4"/>
      <c r="UN503" s="4"/>
      <c r="UO503" s="4"/>
      <c r="UP503" s="5"/>
      <c r="UQ503" s="6"/>
      <c r="UR503" s="4"/>
      <c r="US503" s="4"/>
      <c r="UT503" s="4"/>
      <c r="UU503" s="4"/>
      <c r="UV503" s="4"/>
      <c r="UW503" s="5"/>
      <c r="UX503" s="15" t="s">
        <v>3151</v>
      </c>
      <c r="UY503" s="12" t="s">
        <v>3151</v>
      </c>
      <c r="UZ503" s="4" t="s">
        <v>3903</v>
      </c>
      <c r="VA503" s="4"/>
      <c r="VB503" s="8">
        <v>39448</v>
      </c>
      <c r="VC503" s="4"/>
      <c r="VD503" s="5" t="s">
        <v>1149</v>
      </c>
      <c r="VE503" s="6"/>
      <c r="VF503" s="4"/>
      <c r="VG503" s="4"/>
      <c r="VH503" s="4"/>
      <c r="VI503" s="4"/>
      <c r="VJ503" s="4"/>
      <c r="VK503" s="5"/>
      <c r="VL503" s="6"/>
      <c r="VM503" s="4"/>
      <c r="VN503" s="4"/>
      <c r="VO503" s="4"/>
      <c r="VP503" s="4"/>
      <c r="VQ503" s="4"/>
      <c r="VR503" s="5"/>
      <c r="VS503" s="6"/>
      <c r="VT503" s="4"/>
      <c r="VU503" s="4"/>
      <c r="VV503" s="4"/>
      <c r="VW503" s="4"/>
      <c r="VX503" s="4"/>
      <c r="VY503" s="5"/>
      <c r="VZ503" s="6"/>
      <c r="WA503" s="4"/>
      <c r="WB503" s="4"/>
      <c r="WC503" s="4"/>
      <c r="WD503" s="4"/>
      <c r="WE503" s="4"/>
      <c r="WF503" s="5"/>
      <c r="WG503" s="6"/>
      <c r="WH503" s="4"/>
      <c r="WI503" s="4"/>
      <c r="WJ503" s="4"/>
      <c r="WK503" s="4"/>
      <c r="WL503" s="4"/>
      <c r="WM503" s="5"/>
      <c r="WN503" s="6"/>
      <c r="WO503" s="4"/>
      <c r="WP503" s="4"/>
      <c r="WQ503" s="4"/>
      <c r="WR503" s="4"/>
      <c r="WS503" s="4"/>
      <c r="WT503" s="5"/>
      <c r="WU503" s="6"/>
      <c r="WV503" s="4"/>
      <c r="WW503" s="4"/>
      <c r="WX503" s="4"/>
      <c r="WY503" s="4"/>
      <c r="WZ503" s="4"/>
      <c r="XA503" s="5"/>
      <c r="XB503" s="6"/>
      <c r="XC503" s="4"/>
      <c r="XD503" s="4"/>
      <c r="XE503" s="4"/>
      <c r="XF503" s="4"/>
      <c r="XG503" s="4"/>
      <c r="XH503" s="5"/>
      <c r="XI503" s="6"/>
      <c r="XJ503" s="4"/>
      <c r="XK503" s="4"/>
      <c r="XL503" s="4"/>
      <c r="XM503" s="4"/>
      <c r="XN503" s="4"/>
      <c r="XO503" s="5"/>
      <c r="XP503" s="6"/>
      <c r="XQ503" s="4"/>
      <c r="XR503" s="4"/>
      <c r="XS503" s="4"/>
      <c r="XT503" s="4"/>
      <c r="XU503" s="4"/>
      <c r="XV503" s="5"/>
      <c r="XW503" s="6"/>
      <c r="XX503" s="4"/>
      <c r="XY503" s="4"/>
      <c r="XZ503" s="4"/>
      <c r="YA503" s="4"/>
      <c r="YB503" s="4"/>
      <c r="YC503" s="5"/>
      <c r="YD503" s="6"/>
      <c r="YE503" s="4"/>
      <c r="YF503" s="4"/>
      <c r="YG503" s="4"/>
      <c r="YH503" s="4"/>
      <c r="YI503" s="4"/>
      <c r="YJ503" s="5"/>
      <c r="YK503" s="6"/>
      <c r="YL503" s="4"/>
      <c r="YM503" s="4"/>
      <c r="YN503" s="4"/>
      <c r="YO503" s="4"/>
      <c r="YP503" s="4"/>
      <c r="YQ503" s="5"/>
      <c r="YR503" s="6" t="s">
        <v>3829</v>
      </c>
      <c r="YS503" s="6" t="s">
        <v>3829</v>
      </c>
      <c r="YT503" s="4" t="s">
        <v>3769</v>
      </c>
      <c r="YU503" s="4"/>
      <c r="YV503" s="8">
        <v>39448</v>
      </c>
      <c r="YW503" s="4"/>
      <c r="YX503" s="5" t="s">
        <v>1150</v>
      </c>
      <c r="YY503" s="6"/>
      <c r="YZ503" s="4"/>
      <c r="ZA503" s="4"/>
      <c r="ZB503" s="4"/>
      <c r="ZC503" s="4"/>
      <c r="ZD503" s="4"/>
      <c r="ZE503" s="5"/>
      <c r="ZF503" s="6"/>
      <c r="ZG503" s="4"/>
      <c r="ZH503" s="4"/>
      <c r="ZI503" s="4"/>
      <c r="ZJ503" s="4"/>
      <c r="ZK503" s="4"/>
      <c r="ZL503" s="5"/>
      <c r="ZM503" s="6"/>
      <c r="ZN503" s="4"/>
      <c r="ZO503" s="4"/>
      <c r="ZP503" s="4"/>
      <c r="ZQ503" s="4"/>
      <c r="ZR503" s="4"/>
      <c r="ZS503" s="5"/>
      <c r="ZT503" s="6"/>
      <c r="ZU503" s="4"/>
      <c r="ZV503" s="4"/>
      <c r="ZW503" s="4"/>
      <c r="ZX503" s="4"/>
      <c r="ZY503" s="4"/>
      <c r="ZZ503" s="5"/>
      <c r="AAA503" s="6"/>
      <c r="AAB503" s="4"/>
      <c r="AAC503" s="4"/>
      <c r="AAD503" s="4"/>
      <c r="AAE503" s="4"/>
      <c r="AAF503" s="4"/>
      <c r="AAG503" s="5"/>
      <c r="AAH503" s="6"/>
      <c r="AAI503" s="4"/>
      <c r="AAJ503" s="4"/>
      <c r="AAK503" s="4"/>
      <c r="AAL503" s="4"/>
      <c r="AAM503" s="4"/>
      <c r="AAN503" s="5"/>
      <c r="AAO503" s="6"/>
      <c r="AAP503" s="4"/>
      <c r="AAQ503" s="4"/>
      <c r="AAR503" s="4"/>
      <c r="AAS503" s="4"/>
      <c r="AAT503" s="4"/>
      <c r="AAU503" s="5"/>
      <c r="AAV503" s="6"/>
      <c r="AAW503" s="4"/>
      <c r="AAX503" s="4"/>
      <c r="AAY503" s="4"/>
      <c r="AAZ503" s="4"/>
      <c r="ABA503" s="4"/>
      <c r="ABB503" s="5"/>
      <c r="ABC503" s="6"/>
      <c r="ABD503" s="4"/>
      <c r="ABE503" s="4"/>
      <c r="ABF503" s="4"/>
      <c r="ABG503" s="4"/>
      <c r="ABH503" s="4"/>
      <c r="ABI503" s="5"/>
      <c r="ABJ503" s="6"/>
      <c r="ABK503" s="4"/>
      <c r="ABL503" s="4"/>
      <c r="ABM503" s="4"/>
      <c r="ABN503" s="4"/>
      <c r="ABO503" s="4"/>
      <c r="ABP503" s="5"/>
      <c r="ABQ503" s="6" t="s">
        <v>1968</v>
      </c>
      <c r="ABR503" s="4" t="s">
        <v>2662</v>
      </c>
      <c r="ABS503" s="4"/>
      <c r="ABT503" s="4"/>
      <c r="ABU503" s="8">
        <v>39622</v>
      </c>
      <c r="ABV503" s="4"/>
      <c r="ABW503" s="5" t="s">
        <v>1151</v>
      </c>
      <c r="ABX503" s="6"/>
      <c r="ABY503" s="4"/>
      <c r="ABZ503" s="4"/>
      <c r="ACA503" s="4"/>
      <c r="ACB503" s="4"/>
      <c r="ACC503" s="4"/>
      <c r="ACD503" s="5"/>
      <c r="ACE503" s="6"/>
      <c r="ACF503" s="4"/>
      <c r="ACG503" s="4"/>
      <c r="ACH503" s="4"/>
      <c r="ACI503" s="4"/>
      <c r="ACJ503" s="4"/>
      <c r="ACK503" s="5"/>
      <c r="ACL503" s="6"/>
      <c r="ACM503" s="4"/>
      <c r="ACN503" s="4"/>
      <c r="ACO503" s="4"/>
      <c r="ACP503" s="4"/>
      <c r="ACQ503" s="4"/>
      <c r="ACR503" s="5"/>
      <c r="ACS503" s="6"/>
      <c r="ACT503" s="4"/>
      <c r="ACU503" s="4"/>
      <c r="ACV503" s="4"/>
      <c r="ACW503" s="4"/>
      <c r="ACX503" s="4"/>
      <c r="ACY503" s="5"/>
      <c r="ADZ503" s="6" t="s">
        <v>22</v>
      </c>
    </row>
    <row r="504" spans="1:839" x14ac:dyDescent="0.25">
      <c r="J504" s="12"/>
      <c r="K504" s="12"/>
      <c r="L504" s="12"/>
      <c r="LL504" s="6"/>
      <c r="LM504" s="4"/>
      <c r="LN504" s="4"/>
      <c r="LO504" s="4"/>
      <c r="LP504" s="4"/>
      <c r="LQ504" s="4"/>
      <c r="LR504" s="5"/>
      <c r="LS504" s="6"/>
      <c r="LT504" s="4"/>
      <c r="LU504" s="4"/>
      <c r="LV504" s="4"/>
      <c r="LW504" s="4"/>
      <c r="LX504" s="4"/>
      <c r="LY504" s="5"/>
      <c r="LZ504" s="6"/>
      <c r="MA504" s="4"/>
      <c r="MB504" s="4"/>
      <c r="MC504" s="4"/>
      <c r="MD504" s="4"/>
      <c r="ME504" s="4"/>
      <c r="MF504" s="4"/>
      <c r="MG504" s="5"/>
      <c r="MH504" s="6"/>
      <c r="MI504" s="4"/>
      <c r="MJ504" s="4"/>
      <c r="MK504" s="4"/>
      <c r="ML504" s="4"/>
      <c r="MM504" s="4"/>
      <c r="MN504" s="5"/>
      <c r="MO504" s="6"/>
      <c r="MP504" s="4"/>
      <c r="MQ504" s="4"/>
      <c r="MR504" s="4"/>
      <c r="MS504" s="4"/>
      <c r="MT504" s="4"/>
      <c r="MU504" s="5"/>
      <c r="MV504" s="6"/>
      <c r="MW504" s="4"/>
      <c r="MX504" s="4"/>
      <c r="MY504" s="4"/>
      <c r="MZ504" s="4"/>
      <c r="NA504" s="4"/>
      <c r="NB504" s="5"/>
      <c r="NC504" s="6"/>
      <c r="ND504" s="4"/>
      <c r="NE504" s="4"/>
      <c r="NF504" s="4"/>
      <c r="NG504" s="4"/>
      <c r="NH504" s="4"/>
      <c r="NI504" s="5"/>
      <c r="NJ504" s="6"/>
      <c r="NK504" s="4"/>
      <c r="NL504" s="4"/>
      <c r="NM504" s="4"/>
      <c r="NN504" s="8"/>
      <c r="NO504" s="4"/>
      <c r="NP504" s="5"/>
      <c r="NQ504" s="6"/>
      <c r="NR504" s="4"/>
      <c r="NS504" s="4"/>
      <c r="NT504" s="4"/>
      <c r="NU504" s="4"/>
      <c r="NV504" s="4"/>
      <c r="NW504" s="5"/>
      <c r="NX504" s="6"/>
      <c r="NY504" s="4"/>
      <c r="NZ504" s="4"/>
      <c r="OA504" s="4"/>
      <c r="OB504" s="4"/>
      <c r="OC504" s="4"/>
      <c r="OD504" s="5"/>
      <c r="OE504" s="6"/>
      <c r="OF504" s="4"/>
      <c r="OG504" s="4"/>
      <c r="OH504" s="4"/>
      <c r="OI504" s="4"/>
      <c r="OJ504" s="4"/>
      <c r="OK504" s="5"/>
      <c r="OL504" s="6"/>
      <c r="OM504" s="4"/>
      <c r="ON504" s="4"/>
      <c r="OO504" s="4"/>
      <c r="OP504" s="4"/>
      <c r="OQ504" s="4"/>
      <c r="OR504" s="5"/>
      <c r="OS504" s="6"/>
      <c r="OT504" s="4"/>
      <c r="OU504" s="4"/>
      <c r="OV504" s="4"/>
      <c r="OW504" s="4"/>
      <c r="OX504" s="4"/>
      <c r="OY504" s="5"/>
      <c r="OZ504" s="6"/>
      <c r="PA504" s="4"/>
      <c r="PB504" s="4"/>
      <c r="PC504" s="4"/>
      <c r="PD504" s="4"/>
      <c r="PE504" s="4"/>
      <c r="PF504" s="5"/>
      <c r="PG504" s="6"/>
      <c r="PH504" s="4"/>
      <c r="PI504" s="4"/>
      <c r="PJ504" s="4"/>
      <c r="PK504" s="4"/>
      <c r="PL504" s="4"/>
      <c r="PM504" s="5"/>
      <c r="PN504" s="6"/>
      <c r="PO504" s="4"/>
      <c r="PP504" s="4"/>
      <c r="PQ504" s="4"/>
      <c r="PR504" s="4"/>
      <c r="PS504" s="4"/>
      <c r="PT504" s="5"/>
      <c r="PU504" s="6"/>
      <c r="PV504" s="4"/>
      <c r="PW504" s="4"/>
      <c r="PX504" s="4"/>
      <c r="PY504" s="4"/>
      <c r="PZ504" s="4"/>
      <c r="QA504" s="5"/>
      <c r="QB504" s="15" t="s">
        <v>3827</v>
      </c>
      <c r="QC504" s="12" t="s">
        <v>3713</v>
      </c>
      <c r="QD504" s="4" t="s">
        <v>3828</v>
      </c>
      <c r="QE504" s="4"/>
      <c r="QF504" s="8">
        <v>39448</v>
      </c>
      <c r="QG504" s="4"/>
      <c r="QH504" s="5" t="s">
        <v>1476</v>
      </c>
      <c r="QI504" s="6"/>
      <c r="QJ504" s="4"/>
      <c r="QK504" s="4"/>
      <c r="QL504" s="4"/>
      <c r="QM504" s="4"/>
      <c r="QN504" s="4"/>
      <c r="QO504" s="5"/>
      <c r="QP504" s="6"/>
      <c r="QQ504" s="4"/>
      <c r="QR504" s="4"/>
      <c r="QS504" s="4"/>
      <c r="QT504" s="4"/>
      <c r="QU504" s="4"/>
      <c r="QV504" s="5"/>
      <c r="QW504" s="6"/>
      <c r="QX504" s="4"/>
      <c r="QY504" s="4"/>
      <c r="QZ504" s="4"/>
      <c r="RA504" s="4"/>
      <c r="RB504" s="4"/>
      <c r="RC504" s="5"/>
      <c r="RD504" s="6"/>
      <c r="RE504" s="4"/>
      <c r="RF504" s="4"/>
      <c r="RG504" s="4"/>
      <c r="RH504" s="4"/>
      <c r="RI504" s="4"/>
      <c r="RJ504" s="5"/>
      <c r="RK504" s="6"/>
      <c r="RL504" s="4"/>
      <c r="RM504" s="4"/>
      <c r="RN504" s="4"/>
      <c r="RO504" s="4"/>
      <c r="RP504" s="4"/>
      <c r="RQ504" s="5"/>
      <c r="RR504" s="6"/>
      <c r="RS504" s="4"/>
      <c r="RT504" s="4"/>
      <c r="RU504" s="4"/>
      <c r="RV504" s="4"/>
      <c r="RW504" s="4"/>
      <c r="RX504" s="5"/>
      <c r="RY504" s="6"/>
      <c r="RZ504" s="4"/>
      <c r="SA504" s="4"/>
      <c r="SB504" s="4"/>
      <c r="SC504" s="4"/>
      <c r="SD504" s="4"/>
      <c r="SE504" s="5"/>
      <c r="SF504" s="6"/>
      <c r="SG504" s="4"/>
      <c r="SH504" s="4"/>
      <c r="SI504" s="4"/>
      <c r="SJ504" s="4"/>
      <c r="SK504" s="4"/>
      <c r="SL504" s="5"/>
      <c r="SM504" s="6"/>
      <c r="SN504" s="4"/>
      <c r="SO504" s="4"/>
      <c r="SP504" s="4"/>
      <c r="SQ504" s="4"/>
      <c r="SR504" s="4"/>
      <c r="SS504" s="5"/>
      <c r="ST504" s="6"/>
      <c r="SU504" s="4"/>
      <c r="SV504" s="4"/>
      <c r="SW504" s="4"/>
      <c r="SX504" s="4"/>
      <c r="SY504" s="4"/>
      <c r="SZ504" s="5"/>
      <c r="TA504" s="6"/>
      <c r="TB504" s="4"/>
      <c r="TC504" s="4"/>
      <c r="TD504" s="4"/>
      <c r="TE504" s="4"/>
      <c r="TF504" s="4"/>
      <c r="TG504" s="5"/>
      <c r="TH504" s="6"/>
      <c r="TI504" s="4"/>
      <c r="TJ504" s="4"/>
      <c r="TK504" s="4"/>
      <c r="TL504" s="4"/>
      <c r="TM504" s="4"/>
      <c r="TN504" s="5"/>
      <c r="TO504" s="6"/>
      <c r="TP504" s="4"/>
      <c r="TQ504" s="4"/>
      <c r="TR504" s="4"/>
      <c r="TS504" s="4"/>
      <c r="TT504" s="4"/>
      <c r="TU504" s="5"/>
      <c r="TV504" s="6"/>
      <c r="TW504" s="4"/>
      <c r="TX504" s="4"/>
      <c r="TY504" s="4"/>
      <c r="TZ504" s="4"/>
      <c r="UA504" s="4"/>
      <c r="UB504" s="5"/>
      <c r="UC504" s="6"/>
      <c r="UD504" s="4"/>
      <c r="UE504" s="4"/>
      <c r="UF504" s="4"/>
      <c r="UG504" s="4"/>
      <c r="UH504" s="4"/>
      <c r="UI504" s="5"/>
      <c r="UJ504" s="6"/>
      <c r="UK504" s="4"/>
      <c r="UL504" s="4"/>
      <c r="UM504" s="4"/>
      <c r="UN504" s="4"/>
      <c r="UO504" s="4"/>
      <c r="UP504" s="5"/>
      <c r="UQ504" s="6"/>
      <c r="UR504" s="4"/>
      <c r="US504" s="4"/>
      <c r="UT504" s="4"/>
      <c r="UU504" s="4"/>
      <c r="UV504" s="4"/>
      <c r="UW504" s="5"/>
      <c r="UX504" s="6"/>
      <c r="UY504" s="4"/>
      <c r="UZ504" s="4"/>
      <c r="VA504" s="4"/>
      <c r="VB504" s="4"/>
      <c r="VC504" s="4"/>
      <c r="VD504" s="5"/>
      <c r="VE504" s="6"/>
      <c r="VF504" s="4"/>
      <c r="VG504" s="4"/>
      <c r="VH504" s="4"/>
      <c r="VI504" s="4"/>
      <c r="VJ504" s="4"/>
      <c r="VK504" s="5"/>
      <c r="VL504" s="6"/>
      <c r="VM504" s="4"/>
      <c r="VN504" s="4"/>
      <c r="VO504" s="4"/>
      <c r="VP504" s="4"/>
      <c r="VQ504" s="4"/>
      <c r="VR504" s="5"/>
      <c r="VS504" s="6"/>
      <c r="VT504" s="4"/>
      <c r="VU504" s="4"/>
      <c r="VV504" s="4"/>
      <c r="VW504" s="4"/>
      <c r="VX504" s="4"/>
      <c r="VY504" s="5"/>
      <c r="VZ504" s="6"/>
      <c r="WA504" s="4"/>
      <c r="WB504" s="4"/>
      <c r="WC504" s="4"/>
      <c r="WD504" s="4"/>
      <c r="WE504" s="4"/>
      <c r="WF504" s="5"/>
      <c r="WG504" s="6"/>
      <c r="WH504" s="4"/>
      <c r="WI504" s="4"/>
      <c r="WJ504" s="4"/>
      <c r="WK504" s="4"/>
      <c r="WL504" s="4"/>
      <c r="WM504" s="5"/>
      <c r="WN504" s="6"/>
      <c r="WO504" s="4"/>
      <c r="WP504" s="4"/>
      <c r="WQ504" s="4"/>
      <c r="WR504" s="4"/>
      <c r="WS504" s="4"/>
      <c r="WT504" s="5"/>
      <c r="WU504" s="6"/>
      <c r="WV504" s="4"/>
      <c r="WW504" s="4"/>
      <c r="WX504" s="4"/>
      <c r="WY504" s="4"/>
      <c r="WZ504" s="4"/>
      <c r="XA504" s="5"/>
      <c r="XB504" s="6"/>
      <c r="XC504" s="4"/>
      <c r="XD504" s="4"/>
      <c r="XE504" s="4"/>
      <c r="XF504" s="4"/>
      <c r="XG504" s="4"/>
      <c r="XH504" s="5"/>
      <c r="XI504" s="6"/>
      <c r="XJ504" s="4"/>
      <c r="XK504" s="4"/>
      <c r="XL504" s="4"/>
      <c r="XM504" s="4"/>
      <c r="XN504" s="4"/>
      <c r="XO504" s="5"/>
      <c r="XP504" s="6"/>
      <c r="XQ504" s="4"/>
      <c r="XR504" s="4"/>
      <c r="XS504" s="4"/>
      <c r="XT504" s="4"/>
      <c r="XU504" s="4"/>
      <c r="XV504" s="5"/>
      <c r="XW504" s="6"/>
      <c r="XX504" s="4"/>
      <c r="XY504" s="4"/>
      <c r="XZ504" s="4"/>
      <c r="YA504" s="4"/>
      <c r="YB504" s="4"/>
      <c r="YC504" s="5"/>
      <c r="YD504" s="6"/>
      <c r="YE504" s="4"/>
      <c r="YF504" s="4"/>
      <c r="YG504" s="4"/>
      <c r="YH504" s="4"/>
      <c r="YI504" s="4"/>
      <c r="YJ504" s="5"/>
      <c r="YK504" s="6"/>
      <c r="YL504" s="4"/>
      <c r="YM504" s="4"/>
      <c r="YN504" s="4"/>
      <c r="YO504" s="4"/>
      <c r="YP504" s="4"/>
      <c r="YQ504" s="5"/>
      <c r="YR504" s="6"/>
      <c r="YS504" s="4"/>
      <c r="YT504" s="4"/>
      <c r="YU504" s="4"/>
      <c r="YV504" s="4"/>
      <c r="YW504" s="4"/>
      <c r="YX504" s="5"/>
      <c r="YY504" s="6"/>
      <c r="YZ504" s="4"/>
      <c r="ZA504" s="4"/>
      <c r="ZB504" s="4"/>
      <c r="ZC504" s="4"/>
      <c r="ZD504" s="4"/>
      <c r="ZE504" s="5"/>
      <c r="ZF504" s="6"/>
      <c r="ZG504" s="4"/>
      <c r="ZH504" s="4"/>
      <c r="ZI504" s="4"/>
      <c r="ZJ504" s="4"/>
      <c r="ZK504" s="4"/>
      <c r="ZL504" s="5"/>
      <c r="ZM504" s="6"/>
      <c r="ZN504" s="4"/>
      <c r="ZO504" s="4"/>
      <c r="ZP504" s="4"/>
      <c r="ZQ504" s="4"/>
      <c r="ZR504" s="4"/>
      <c r="ZS504" s="5"/>
      <c r="ZT504" s="6"/>
      <c r="ZU504" s="4"/>
      <c r="ZV504" s="4"/>
      <c r="ZW504" s="4"/>
      <c r="ZX504" s="4"/>
      <c r="ZY504" s="4"/>
      <c r="ZZ504" s="5"/>
      <c r="AAA504" s="6"/>
      <c r="AAB504" s="4"/>
      <c r="AAC504" s="4"/>
      <c r="AAD504" s="4"/>
      <c r="AAE504" s="4"/>
      <c r="AAF504" s="4"/>
      <c r="AAG504" s="5"/>
      <c r="AAH504" s="6"/>
      <c r="AAI504" s="4"/>
      <c r="AAJ504" s="4"/>
      <c r="AAK504" s="4"/>
      <c r="AAL504" s="4"/>
      <c r="AAM504" s="4"/>
      <c r="AAN504" s="5"/>
      <c r="AAO504" s="6"/>
      <c r="AAP504" s="4"/>
      <c r="AAQ504" s="4"/>
      <c r="AAR504" s="4"/>
      <c r="AAS504" s="4"/>
      <c r="AAT504" s="4"/>
      <c r="AAU504" s="5"/>
      <c r="AAV504" s="6"/>
      <c r="AAW504" s="4"/>
      <c r="AAX504" s="4"/>
      <c r="AAY504" s="4"/>
      <c r="AAZ504" s="4"/>
      <c r="ABA504" s="4"/>
      <c r="ABB504" s="5"/>
      <c r="ABC504" s="6"/>
      <c r="ABD504" s="4"/>
      <c r="ABE504" s="4"/>
      <c r="ABF504" s="4"/>
      <c r="ABG504" s="4"/>
      <c r="ABH504" s="4"/>
      <c r="ABI504" s="5"/>
      <c r="ABJ504" s="6"/>
      <c r="ABK504" s="4"/>
      <c r="ABL504" s="4"/>
      <c r="ABM504" s="4"/>
      <c r="ABN504" s="4"/>
      <c r="ABO504" s="4"/>
      <c r="ABP504" s="5"/>
      <c r="ABQ504" s="6"/>
      <c r="ABR504" s="4"/>
      <c r="ABS504" s="4"/>
      <c r="ABT504" s="4"/>
      <c r="ABU504" s="8"/>
      <c r="ABV504" s="4"/>
      <c r="ABW504" s="5"/>
      <c r="ABX504" s="6"/>
      <c r="ABY504" s="4"/>
      <c r="ABZ504" s="4"/>
      <c r="ACA504" s="4"/>
      <c r="ACB504" s="4"/>
      <c r="ACC504" s="4"/>
      <c r="ACD504" s="5"/>
      <c r="ACE504" s="6"/>
      <c r="ACF504" s="4"/>
      <c r="ACG504" s="4"/>
      <c r="ACH504" s="4"/>
      <c r="ACI504" s="4"/>
      <c r="ACJ504" s="4"/>
      <c r="ACK504" s="5"/>
      <c r="ACL504" s="6"/>
      <c r="ACM504" s="4"/>
      <c r="ACN504" s="4"/>
      <c r="ACO504" s="4"/>
      <c r="ACP504" s="4"/>
      <c r="ACQ504" s="4"/>
      <c r="ACR504" s="5"/>
      <c r="ACS504" s="6"/>
      <c r="ACT504" s="4"/>
      <c r="ACU504" s="4"/>
      <c r="ACV504" s="4"/>
      <c r="ACW504" s="4"/>
      <c r="ACX504" s="4"/>
      <c r="ACY504" s="5"/>
      <c r="ADZ504" s="6" t="s">
        <v>23</v>
      </c>
    </row>
    <row r="505" spans="1:839" x14ac:dyDescent="0.25">
      <c r="J505" s="12"/>
      <c r="K505" s="12"/>
      <c r="L505" s="12"/>
      <c r="LL505" s="6"/>
      <c r="LM505" s="4"/>
      <c r="LN505" s="4"/>
      <c r="LO505" s="4"/>
      <c r="LP505" s="4"/>
      <c r="LQ505" s="4"/>
      <c r="LR505" s="5"/>
      <c r="LS505" s="6"/>
      <c r="LT505" s="4"/>
      <c r="LU505" s="4"/>
      <c r="LV505" s="4"/>
      <c r="LW505" s="4"/>
      <c r="LX505" s="4"/>
      <c r="LY505" s="5"/>
      <c r="LZ505" s="6"/>
      <c r="MA505" s="4"/>
      <c r="MB505" s="4"/>
      <c r="MC505" s="4"/>
      <c r="MD505" s="4"/>
      <c r="ME505" s="4"/>
      <c r="MF505" s="4"/>
      <c r="MG505" s="5"/>
      <c r="MH505" s="6"/>
      <c r="MI505" s="4"/>
      <c r="MJ505" s="4"/>
      <c r="MK505" s="4"/>
      <c r="ML505" s="4"/>
      <c r="MM505" s="4"/>
      <c r="MN505" s="5"/>
      <c r="MO505" s="6"/>
      <c r="MP505" s="4"/>
      <c r="MQ505" s="4"/>
      <c r="MR505" s="4"/>
      <c r="MS505" s="4"/>
      <c r="MT505" s="4"/>
      <c r="MU505" s="5"/>
      <c r="MV505" s="6"/>
      <c r="MW505" s="4"/>
      <c r="MX505" s="4"/>
      <c r="MY505" s="4"/>
      <c r="MZ505" s="4"/>
      <c r="NA505" s="4"/>
      <c r="NB505" s="5"/>
      <c r="NC505" s="6"/>
      <c r="ND505" s="4"/>
      <c r="NE505" s="4"/>
      <c r="NF505" s="4"/>
      <c r="NG505" s="4"/>
      <c r="NH505" s="4"/>
      <c r="NI505" s="5"/>
      <c r="NJ505" s="6"/>
      <c r="NK505" s="4"/>
      <c r="NL505" s="4"/>
      <c r="NM505" s="4"/>
      <c r="NN505" s="8"/>
      <c r="NO505" s="4"/>
      <c r="NP505" s="5"/>
      <c r="NQ505" s="6"/>
      <c r="NR505" s="4"/>
      <c r="NS505" s="4"/>
      <c r="NT505" s="4"/>
      <c r="NU505" s="4"/>
      <c r="NV505" s="4"/>
      <c r="NW505" s="5"/>
      <c r="NX505" s="6"/>
      <c r="NY505" s="4"/>
      <c r="NZ505" s="4"/>
      <c r="OA505" s="4"/>
      <c r="OB505" s="4"/>
      <c r="OC505" s="4"/>
      <c r="OD505" s="5"/>
      <c r="OE505" s="6"/>
      <c r="OF505" s="4"/>
      <c r="OG505" s="4"/>
      <c r="OH505" s="4"/>
      <c r="OI505" s="4"/>
      <c r="OJ505" s="4"/>
      <c r="OK505" s="5"/>
      <c r="OL505" s="6"/>
      <c r="OM505" s="4"/>
      <c r="ON505" s="4"/>
      <c r="OO505" s="4"/>
      <c r="OP505" s="4"/>
      <c r="OQ505" s="4"/>
      <c r="OR505" s="5"/>
      <c r="OS505" s="6"/>
      <c r="OT505" s="4"/>
      <c r="OU505" s="4"/>
      <c r="OV505" s="4"/>
      <c r="OW505" s="4"/>
      <c r="OX505" s="4"/>
      <c r="OY505" s="5"/>
      <c r="OZ505" s="6"/>
      <c r="PA505" s="4"/>
      <c r="PB505" s="4"/>
      <c r="PC505" s="4"/>
      <c r="PD505" s="4"/>
      <c r="PE505" s="4"/>
      <c r="PF505" s="5"/>
      <c r="PG505" s="6"/>
      <c r="PH505" s="4"/>
      <c r="PI505" s="4"/>
      <c r="PJ505" s="4"/>
      <c r="PK505" s="4"/>
      <c r="PL505" s="4"/>
      <c r="PM505" s="5"/>
      <c r="PN505" s="6"/>
      <c r="PO505" s="4"/>
      <c r="PP505" s="4"/>
      <c r="PQ505" s="4"/>
      <c r="PR505" s="4"/>
      <c r="PS505" s="4"/>
      <c r="PT505" s="5"/>
      <c r="PU505" s="6"/>
      <c r="PV505" s="4"/>
      <c r="PW505" s="4"/>
      <c r="PX505" s="4"/>
      <c r="PY505" s="4"/>
      <c r="PZ505" s="4"/>
      <c r="QA505" s="5"/>
      <c r="QB505" s="15" t="s">
        <v>3773</v>
      </c>
      <c r="QC505" s="12" t="s">
        <v>3902</v>
      </c>
      <c r="QD505" s="7" t="s">
        <v>21</v>
      </c>
      <c r="QE505" s="4"/>
      <c r="QF505" s="8">
        <v>39448</v>
      </c>
      <c r="QG505" s="4"/>
      <c r="QH505" s="5" t="s">
        <v>1476</v>
      </c>
      <c r="QI505" s="6"/>
      <c r="QJ505" s="4"/>
      <c r="QK505" s="4"/>
      <c r="QL505" s="4"/>
      <c r="QM505" s="4"/>
      <c r="QN505" s="4"/>
      <c r="QO505" s="5"/>
      <c r="QP505" s="6"/>
      <c r="QQ505" s="4"/>
      <c r="QR505" s="4"/>
      <c r="QS505" s="4"/>
      <c r="QT505" s="4"/>
      <c r="QU505" s="4"/>
      <c r="QV505" s="5"/>
      <c r="QW505" s="6"/>
      <c r="QX505" s="4"/>
      <c r="QY505" s="4"/>
      <c r="QZ505" s="4"/>
      <c r="RA505" s="4"/>
      <c r="RB505" s="4"/>
      <c r="RC505" s="5"/>
      <c r="RD505" s="6"/>
      <c r="RE505" s="4"/>
      <c r="RF505" s="4"/>
      <c r="RG505" s="4"/>
      <c r="RH505" s="4"/>
      <c r="RI505" s="4"/>
      <c r="RJ505" s="5"/>
      <c r="RK505" s="6"/>
      <c r="RL505" s="4"/>
      <c r="RM505" s="4"/>
      <c r="RN505" s="4"/>
      <c r="RO505" s="4"/>
      <c r="RP505" s="4"/>
      <c r="RQ505" s="5"/>
      <c r="RR505" s="6"/>
      <c r="RS505" s="4"/>
      <c r="RT505" s="4"/>
      <c r="RU505" s="4"/>
      <c r="RV505" s="4"/>
      <c r="RW505" s="4"/>
      <c r="RX505" s="5"/>
      <c r="RY505" s="6"/>
      <c r="RZ505" s="4"/>
      <c r="SA505" s="4"/>
      <c r="SB505" s="4"/>
      <c r="SC505" s="4"/>
      <c r="SD505" s="4"/>
      <c r="SE505" s="5"/>
      <c r="SF505" s="6"/>
      <c r="SG505" s="4"/>
      <c r="SH505" s="4"/>
      <c r="SI505" s="4"/>
      <c r="SJ505" s="4"/>
      <c r="SK505" s="4"/>
      <c r="SL505" s="5"/>
      <c r="SM505" s="6"/>
      <c r="SN505" s="4"/>
      <c r="SO505" s="4"/>
      <c r="SP505" s="4"/>
      <c r="SQ505" s="4"/>
      <c r="SR505" s="4"/>
      <c r="SS505" s="5"/>
      <c r="ST505" s="6"/>
      <c r="SU505" s="4"/>
      <c r="SV505" s="4"/>
      <c r="SW505" s="4"/>
      <c r="SX505" s="4"/>
      <c r="SY505" s="4"/>
      <c r="SZ505" s="5"/>
      <c r="TA505" s="6"/>
      <c r="TB505" s="4"/>
      <c r="TC505" s="4"/>
      <c r="TD505" s="4"/>
      <c r="TE505" s="4"/>
      <c r="TF505" s="4"/>
      <c r="TG505" s="5"/>
      <c r="TH505" s="6"/>
      <c r="TI505" s="4"/>
      <c r="TJ505" s="4"/>
      <c r="TK505" s="4"/>
      <c r="TL505" s="4"/>
      <c r="TM505" s="4"/>
      <c r="TN505" s="5"/>
      <c r="TO505" s="6"/>
      <c r="TP505" s="4"/>
      <c r="TQ505" s="4"/>
      <c r="TR505" s="4"/>
      <c r="TS505" s="4"/>
      <c r="TT505" s="4"/>
      <c r="TU505" s="5"/>
      <c r="TV505" s="6"/>
      <c r="TW505" s="4"/>
      <c r="TX505" s="4"/>
      <c r="TY505" s="4"/>
      <c r="TZ505" s="4"/>
      <c r="UA505" s="4"/>
      <c r="UB505" s="5"/>
      <c r="UC505" s="6"/>
      <c r="UD505" s="4"/>
      <c r="UE505" s="4"/>
      <c r="UF505" s="4"/>
      <c r="UG505" s="4"/>
      <c r="UH505" s="4"/>
      <c r="UI505" s="5"/>
      <c r="UJ505" s="6"/>
      <c r="UK505" s="4"/>
      <c r="UL505" s="4"/>
      <c r="UM505" s="4"/>
      <c r="UN505" s="4"/>
      <c r="UO505" s="4"/>
      <c r="UP505" s="5"/>
      <c r="UQ505" s="6"/>
      <c r="UR505" s="4"/>
      <c r="US505" s="4"/>
      <c r="UT505" s="4"/>
      <c r="UU505" s="4"/>
      <c r="UV505" s="4"/>
      <c r="UW505" s="5"/>
      <c r="UX505" s="6"/>
      <c r="UY505" s="4"/>
      <c r="UZ505" s="4"/>
      <c r="VA505" s="4"/>
      <c r="VB505" s="4"/>
      <c r="VC505" s="4"/>
      <c r="VD505" s="5"/>
      <c r="VE505" s="6"/>
      <c r="VF505" s="4"/>
      <c r="VG505" s="4"/>
      <c r="VH505" s="4"/>
      <c r="VI505" s="4"/>
      <c r="VJ505" s="4"/>
      <c r="VK505" s="5"/>
      <c r="VL505" s="6"/>
      <c r="VM505" s="4"/>
      <c r="VN505" s="4"/>
      <c r="VO505" s="4"/>
      <c r="VP505" s="4"/>
      <c r="VQ505" s="4"/>
      <c r="VR505" s="5"/>
      <c r="VS505" s="6"/>
      <c r="VT505" s="4"/>
      <c r="VU505" s="4"/>
      <c r="VV505" s="4"/>
      <c r="VW505" s="4"/>
      <c r="VX505" s="4"/>
      <c r="VY505" s="5"/>
      <c r="VZ505" s="6"/>
      <c r="WA505" s="4"/>
      <c r="WB505" s="4"/>
      <c r="WC505" s="4"/>
      <c r="WD505" s="4"/>
      <c r="WE505" s="4"/>
      <c r="WF505" s="5"/>
      <c r="WG505" s="6"/>
      <c r="WH505" s="4"/>
      <c r="WI505" s="4"/>
      <c r="WJ505" s="4"/>
      <c r="WK505" s="4"/>
      <c r="WL505" s="4"/>
      <c r="WM505" s="5"/>
      <c r="WN505" s="6"/>
      <c r="WO505" s="4"/>
      <c r="WP505" s="4"/>
      <c r="WQ505" s="4"/>
      <c r="WR505" s="4"/>
      <c r="WS505" s="4"/>
      <c r="WT505" s="5"/>
      <c r="WU505" s="6"/>
      <c r="WV505" s="4"/>
      <c r="WW505" s="4"/>
      <c r="WX505" s="4"/>
      <c r="WY505" s="4"/>
      <c r="WZ505" s="4"/>
      <c r="XA505" s="5"/>
      <c r="XB505" s="6"/>
      <c r="XC505" s="4"/>
      <c r="XD505" s="4"/>
      <c r="XE505" s="4"/>
      <c r="XF505" s="4"/>
      <c r="XG505" s="4"/>
      <c r="XH505" s="5"/>
      <c r="XI505" s="6"/>
      <c r="XJ505" s="4"/>
      <c r="XK505" s="4"/>
      <c r="XL505" s="4"/>
      <c r="XM505" s="4"/>
      <c r="XN505" s="4"/>
      <c r="XO505" s="5"/>
      <c r="XP505" s="6"/>
      <c r="XQ505" s="4"/>
      <c r="XR505" s="4"/>
      <c r="XS505" s="4"/>
      <c r="XT505" s="4"/>
      <c r="XU505" s="4"/>
      <c r="XV505" s="5"/>
      <c r="XW505" s="6"/>
      <c r="XX505" s="4"/>
      <c r="XY505" s="4"/>
      <c r="XZ505" s="4"/>
      <c r="YA505" s="4"/>
      <c r="YB505" s="4"/>
      <c r="YC505" s="5"/>
      <c r="YD505" s="6"/>
      <c r="YE505" s="4"/>
      <c r="YF505" s="4"/>
      <c r="YG505" s="4"/>
      <c r="YH505" s="4"/>
      <c r="YI505" s="4"/>
      <c r="YJ505" s="5"/>
      <c r="YK505" s="6"/>
      <c r="YL505" s="4"/>
      <c r="YM505" s="4"/>
      <c r="YN505" s="4"/>
      <c r="YO505" s="4"/>
      <c r="YP505" s="4"/>
      <c r="YQ505" s="5"/>
      <c r="YR505" s="6"/>
      <c r="YS505" s="4"/>
      <c r="YT505" s="4"/>
      <c r="YU505" s="4"/>
      <c r="YV505" s="4"/>
      <c r="YW505" s="4"/>
      <c r="YX505" s="5"/>
      <c r="YY505" s="6"/>
      <c r="YZ505" s="4"/>
      <c r="ZA505" s="4"/>
      <c r="ZB505" s="4"/>
      <c r="ZC505" s="4"/>
      <c r="ZD505" s="4"/>
      <c r="ZE505" s="5"/>
      <c r="ZF505" s="6"/>
      <c r="ZG505" s="4"/>
      <c r="ZH505" s="4"/>
      <c r="ZI505" s="4"/>
      <c r="ZJ505" s="4"/>
      <c r="ZK505" s="4"/>
      <c r="ZL505" s="5"/>
      <c r="ZM505" s="6"/>
      <c r="ZN505" s="4"/>
      <c r="ZO505" s="4"/>
      <c r="ZP505" s="4"/>
      <c r="ZQ505" s="4"/>
      <c r="ZR505" s="4"/>
      <c r="ZS505" s="5"/>
      <c r="ZT505" s="6"/>
      <c r="ZU505" s="4"/>
      <c r="ZV505" s="4"/>
      <c r="ZW505" s="4"/>
      <c r="ZX505" s="4"/>
      <c r="ZY505" s="4"/>
      <c r="ZZ505" s="5"/>
      <c r="AAA505" s="6"/>
      <c r="AAB505" s="4"/>
      <c r="AAC505" s="4"/>
      <c r="AAD505" s="4"/>
      <c r="AAE505" s="4"/>
      <c r="AAF505" s="4"/>
      <c r="AAG505" s="5"/>
      <c r="AAH505" s="6"/>
      <c r="AAI505" s="4"/>
      <c r="AAJ505" s="4"/>
      <c r="AAK505" s="4"/>
      <c r="AAL505" s="4"/>
      <c r="AAM505" s="4"/>
      <c r="AAN505" s="5"/>
      <c r="AAO505" s="6"/>
      <c r="AAP505" s="4"/>
      <c r="AAQ505" s="4"/>
      <c r="AAR505" s="4"/>
      <c r="AAS505" s="4"/>
      <c r="AAT505" s="4"/>
      <c r="AAU505" s="5"/>
      <c r="AAV505" s="6"/>
      <c r="AAW505" s="4"/>
      <c r="AAX505" s="4"/>
      <c r="AAY505" s="4"/>
      <c r="AAZ505" s="4"/>
      <c r="ABA505" s="4"/>
      <c r="ABB505" s="5"/>
      <c r="ABC505" s="6"/>
      <c r="ABD505" s="4"/>
      <c r="ABE505" s="4"/>
      <c r="ABF505" s="4"/>
      <c r="ABG505" s="4"/>
      <c r="ABH505" s="4"/>
      <c r="ABI505" s="5"/>
      <c r="ABJ505" s="6"/>
      <c r="ABK505" s="4"/>
      <c r="ABL505" s="4"/>
      <c r="ABM505" s="4"/>
      <c r="ABN505" s="4"/>
      <c r="ABO505" s="4"/>
      <c r="ABP505" s="5"/>
      <c r="ABQ505" s="6"/>
      <c r="ABR505" s="4"/>
      <c r="ABS505" s="4"/>
      <c r="ABT505" s="4"/>
      <c r="ABU505" s="8"/>
      <c r="ABV505" s="4"/>
      <c r="ABW505" s="5"/>
      <c r="ABX505" s="6"/>
      <c r="ABY505" s="4"/>
      <c r="ABZ505" s="4"/>
      <c r="ACA505" s="4"/>
      <c r="ACB505" s="4"/>
      <c r="ACC505" s="4"/>
      <c r="ACD505" s="5"/>
      <c r="ACE505" s="6"/>
      <c r="ACF505" s="4"/>
      <c r="ACG505" s="4"/>
      <c r="ACH505" s="4"/>
      <c r="ACI505" s="4"/>
      <c r="ACJ505" s="4"/>
      <c r="ACK505" s="5"/>
      <c r="ACL505" s="6"/>
      <c r="ACM505" s="4"/>
      <c r="ACN505" s="4"/>
      <c r="ACO505" s="4"/>
      <c r="ACP505" s="4"/>
      <c r="ACQ505" s="4"/>
      <c r="ACR505" s="5"/>
      <c r="ACS505" s="6"/>
      <c r="ACT505" s="4"/>
      <c r="ACU505" s="4"/>
      <c r="ACV505" s="4"/>
      <c r="ACW505" s="4"/>
      <c r="ACX505" s="4"/>
      <c r="ACY505" s="5"/>
      <c r="ADZ505" s="6" t="s">
        <v>24</v>
      </c>
    </row>
    <row r="506" spans="1:839" x14ac:dyDescent="0.25">
      <c r="J506" s="12"/>
      <c r="K506" s="12"/>
      <c r="L506" s="12"/>
      <c r="LL506" s="6"/>
      <c r="LM506" s="4"/>
      <c r="LN506" s="4"/>
      <c r="LO506" s="4"/>
      <c r="LP506" s="4"/>
      <c r="LQ506" s="4"/>
      <c r="LR506" s="5"/>
      <c r="LS506" s="6"/>
      <c r="LT506" s="4"/>
      <c r="LU506" s="4"/>
      <c r="LV506" s="4"/>
      <c r="LW506" s="4"/>
      <c r="LX506" s="4"/>
      <c r="LY506" s="5"/>
      <c r="LZ506" s="6"/>
      <c r="MA506" s="4"/>
      <c r="MB506" s="4"/>
      <c r="MC506" s="4"/>
      <c r="MD506" s="4"/>
      <c r="ME506" s="4"/>
      <c r="MF506" s="4"/>
      <c r="MG506" s="5"/>
      <c r="MH506" s="6"/>
      <c r="MI506" s="4"/>
      <c r="MJ506" s="4"/>
      <c r="MK506" s="4"/>
      <c r="ML506" s="4"/>
      <c r="MM506" s="4"/>
      <c r="MN506" s="5"/>
      <c r="MO506" s="6"/>
      <c r="MP506" s="4"/>
      <c r="MQ506" s="4"/>
      <c r="MR506" s="4"/>
      <c r="MS506" s="4"/>
      <c r="MT506" s="4"/>
      <c r="MU506" s="5"/>
      <c r="MV506" s="6"/>
      <c r="MW506" s="4"/>
      <c r="MX506" s="4"/>
      <c r="MY506" s="4"/>
      <c r="MZ506" s="4"/>
      <c r="NA506" s="4"/>
      <c r="NB506" s="5"/>
      <c r="NC506" s="6"/>
      <c r="ND506" s="4"/>
      <c r="NE506" s="4"/>
      <c r="NF506" s="4"/>
      <c r="NG506" s="4"/>
      <c r="NH506" s="4"/>
      <c r="NI506" s="5"/>
      <c r="NJ506" s="6"/>
      <c r="NK506" s="4"/>
      <c r="NL506" s="4"/>
      <c r="NM506" s="4"/>
      <c r="NN506" s="8"/>
      <c r="NO506" s="4"/>
      <c r="NP506" s="5"/>
      <c r="NQ506" s="6"/>
      <c r="NR506" s="4"/>
      <c r="NS506" s="4"/>
      <c r="NT506" s="4"/>
      <c r="NU506" s="4"/>
      <c r="NV506" s="4"/>
      <c r="NW506" s="5"/>
      <c r="NX506" s="6"/>
      <c r="NY506" s="4"/>
      <c r="NZ506" s="4"/>
      <c r="OA506" s="4"/>
      <c r="OB506" s="4"/>
      <c r="OC506" s="4"/>
      <c r="OD506" s="5"/>
      <c r="OE506" s="6"/>
      <c r="OF506" s="4"/>
      <c r="OG506" s="4"/>
      <c r="OH506" s="4"/>
      <c r="OI506" s="4"/>
      <c r="OJ506" s="4"/>
      <c r="OK506" s="5"/>
      <c r="OL506" s="6"/>
      <c r="OM506" s="4"/>
      <c r="ON506" s="4"/>
      <c r="OO506" s="4"/>
      <c r="OP506" s="4"/>
      <c r="OQ506" s="4"/>
      <c r="OR506" s="5"/>
      <c r="OS506" s="6"/>
      <c r="OT506" s="4"/>
      <c r="OU506" s="4"/>
      <c r="OV506" s="4"/>
      <c r="OW506" s="4"/>
      <c r="OX506" s="4"/>
      <c r="OY506" s="5"/>
      <c r="OZ506" s="6"/>
      <c r="PA506" s="4"/>
      <c r="PB506" s="4"/>
      <c r="PC506" s="4"/>
      <c r="PD506" s="4"/>
      <c r="PE506" s="4"/>
      <c r="PF506" s="5"/>
      <c r="PG506" s="6"/>
      <c r="PH506" s="4"/>
      <c r="PI506" s="4"/>
      <c r="PJ506" s="4"/>
      <c r="PK506" s="4"/>
      <c r="PL506" s="4"/>
      <c r="PM506" s="5"/>
      <c r="PN506" s="6"/>
      <c r="PO506" s="4"/>
      <c r="PP506" s="4"/>
      <c r="PQ506" s="4"/>
      <c r="PR506" s="4"/>
      <c r="PS506" s="4"/>
      <c r="PT506" s="5"/>
      <c r="PU506" s="6"/>
      <c r="PV506" s="4"/>
      <c r="PW506" s="4"/>
      <c r="PX506" s="4"/>
      <c r="PY506" s="4"/>
      <c r="PZ506" s="4"/>
      <c r="QA506" s="5"/>
      <c r="QB506" s="15"/>
      <c r="QC506" s="12"/>
      <c r="QD506" s="7"/>
      <c r="QE506" s="4"/>
      <c r="QF506" s="8"/>
      <c r="QG506" s="4"/>
      <c r="QH506" s="4"/>
      <c r="QI506" s="6"/>
      <c r="QJ506" s="4"/>
      <c r="QK506" s="4"/>
      <c r="QL506" s="4"/>
      <c r="QM506" s="4"/>
      <c r="QN506" s="4"/>
      <c r="QO506" s="5"/>
      <c r="QP506" s="6"/>
      <c r="QQ506" s="4"/>
      <c r="QR506" s="4"/>
      <c r="QS506" s="4"/>
      <c r="QT506" s="4"/>
      <c r="QU506" s="4"/>
      <c r="QV506" s="5"/>
      <c r="QW506" s="6"/>
      <c r="QX506" s="4"/>
      <c r="QY506" s="4"/>
      <c r="QZ506" s="4"/>
      <c r="RA506" s="4"/>
      <c r="RB506" s="4"/>
      <c r="RC506" s="5"/>
      <c r="RD506" s="6"/>
      <c r="RE506" s="4"/>
      <c r="RF506" s="4"/>
      <c r="RG506" s="4"/>
      <c r="RH506" s="4"/>
      <c r="RI506" s="4"/>
      <c r="RJ506" s="5"/>
      <c r="RK506" s="6"/>
      <c r="RL506" s="4"/>
      <c r="RM506" s="4"/>
      <c r="RN506" s="4"/>
      <c r="RO506" s="4"/>
      <c r="RP506" s="4"/>
      <c r="RQ506" s="5"/>
      <c r="RR506" s="6"/>
      <c r="RS506" s="4"/>
      <c r="RT506" s="4"/>
      <c r="RU506" s="4"/>
      <c r="RV506" s="4"/>
      <c r="RW506" s="4"/>
      <c r="RX506" s="5"/>
      <c r="RY506" s="6"/>
      <c r="RZ506" s="4"/>
      <c r="SA506" s="4"/>
      <c r="SB506" s="4"/>
      <c r="SC506" s="4"/>
      <c r="SD506" s="4"/>
      <c r="SE506" s="5"/>
      <c r="SF506" s="6"/>
      <c r="SG506" s="4"/>
      <c r="SH506" s="4"/>
      <c r="SI506" s="4"/>
      <c r="SJ506" s="4"/>
      <c r="SK506" s="4"/>
      <c r="SL506" s="5"/>
      <c r="SM506" s="6"/>
      <c r="SN506" s="4"/>
      <c r="SO506" s="4"/>
      <c r="SP506" s="4"/>
      <c r="SQ506" s="4"/>
      <c r="SR506" s="4"/>
      <c r="SS506" s="5"/>
      <c r="ST506" s="6"/>
      <c r="SU506" s="4"/>
      <c r="SV506" s="4"/>
      <c r="SW506" s="4"/>
      <c r="SX506" s="4"/>
      <c r="SY506" s="4"/>
      <c r="SZ506" s="5"/>
      <c r="TA506" s="6"/>
      <c r="TB506" s="4"/>
      <c r="TC506" s="4"/>
      <c r="TD506" s="4"/>
      <c r="TE506" s="4"/>
      <c r="TF506" s="4"/>
      <c r="TG506" s="5"/>
      <c r="TH506" s="6"/>
      <c r="TI506" s="4"/>
      <c r="TJ506" s="4"/>
      <c r="TK506" s="4"/>
      <c r="TL506" s="4"/>
      <c r="TM506" s="4"/>
      <c r="TN506" s="5"/>
      <c r="TO506" s="6"/>
      <c r="TP506" s="4"/>
      <c r="TQ506" s="4"/>
      <c r="TR506" s="4"/>
      <c r="TS506" s="4"/>
      <c r="TT506" s="4"/>
      <c r="TU506" s="5"/>
      <c r="TV506" s="6"/>
      <c r="TW506" s="4"/>
      <c r="TX506" s="4"/>
      <c r="TY506" s="4"/>
      <c r="TZ506" s="4"/>
      <c r="UA506" s="4"/>
      <c r="UB506" s="5"/>
      <c r="UC506" s="6"/>
      <c r="UD506" s="4"/>
      <c r="UE506" s="4"/>
      <c r="UF506" s="4"/>
      <c r="UG506" s="4"/>
      <c r="UH506" s="4"/>
      <c r="UI506" s="5"/>
      <c r="UJ506" s="6"/>
      <c r="UK506" s="4"/>
      <c r="UL506" s="4"/>
      <c r="UM506" s="4"/>
      <c r="UN506" s="4"/>
      <c r="UO506" s="4"/>
      <c r="UP506" s="5"/>
      <c r="UQ506" s="6"/>
      <c r="UR506" s="4"/>
      <c r="US506" s="4"/>
      <c r="UT506" s="4"/>
      <c r="UU506" s="4"/>
      <c r="UV506" s="4"/>
      <c r="UW506" s="5"/>
      <c r="UX506" s="6"/>
      <c r="UY506" s="4"/>
      <c r="UZ506" s="4"/>
      <c r="VA506" s="4"/>
      <c r="VB506" s="4"/>
      <c r="VC506" s="4"/>
      <c r="VD506" s="5"/>
      <c r="VE506" s="6"/>
      <c r="VF506" s="4"/>
      <c r="VG506" s="4"/>
      <c r="VH506" s="4"/>
      <c r="VI506" s="4"/>
      <c r="VJ506" s="4"/>
      <c r="VK506" s="5"/>
      <c r="VL506" s="6"/>
      <c r="VM506" s="4"/>
      <c r="VN506" s="4"/>
      <c r="VO506" s="4"/>
      <c r="VP506" s="4"/>
      <c r="VQ506" s="4"/>
      <c r="VR506" s="5"/>
      <c r="VS506" s="6"/>
      <c r="VT506" s="4"/>
      <c r="VU506" s="4"/>
      <c r="VV506" s="4"/>
      <c r="VW506" s="4"/>
      <c r="VX506" s="4"/>
      <c r="VY506" s="5"/>
      <c r="VZ506" s="6"/>
      <c r="WA506" s="4"/>
      <c r="WB506" s="4"/>
      <c r="WC506" s="4"/>
      <c r="WD506" s="4"/>
      <c r="WE506" s="4"/>
      <c r="WF506" s="5"/>
      <c r="WG506" s="6"/>
      <c r="WH506" s="4"/>
      <c r="WI506" s="4"/>
      <c r="WJ506" s="4"/>
      <c r="WK506" s="4"/>
      <c r="WL506" s="4"/>
      <c r="WM506" s="5"/>
      <c r="WN506" s="6"/>
      <c r="WO506" s="4"/>
      <c r="WP506" s="4"/>
      <c r="WQ506" s="4"/>
      <c r="WR506" s="4"/>
      <c r="WS506" s="4"/>
      <c r="WT506" s="5"/>
      <c r="WU506" s="6"/>
      <c r="WV506" s="4"/>
      <c r="WW506" s="4"/>
      <c r="WX506" s="4"/>
      <c r="WY506" s="4"/>
      <c r="WZ506" s="4"/>
      <c r="XA506" s="5"/>
      <c r="XB506" s="6"/>
      <c r="XC506" s="4"/>
      <c r="XD506" s="4"/>
      <c r="XE506" s="4"/>
      <c r="XF506" s="4"/>
      <c r="XG506" s="4"/>
      <c r="XH506" s="5"/>
      <c r="XI506" s="6"/>
      <c r="XJ506" s="4"/>
      <c r="XK506" s="4"/>
      <c r="XL506" s="4"/>
      <c r="XM506" s="4"/>
      <c r="XN506" s="4"/>
      <c r="XO506" s="5"/>
      <c r="XP506" s="6"/>
      <c r="XQ506" s="4"/>
      <c r="XR506" s="4"/>
      <c r="XS506" s="4"/>
      <c r="XT506" s="4"/>
      <c r="XU506" s="4"/>
      <c r="XV506" s="5"/>
      <c r="XW506" s="6"/>
      <c r="XX506" s="4"/>
      <c r="XY506" s="4"/>
      <c r="XZ506" s="4"/>
      <c r="YA506" s="4"/>
      <c r="YB506" s="4"/>
      <c r="YC506" s="5"/>
      <c r="YD506" s="6"/>
      <c r="YE506" s="4"/>
      <c r="YF506" s="4"/>
      <c r="YG506" s="4"/>
      <c r="YH506" s="4"/>
      <c r="YI506" s="4"/>
      <c r="YJ506" s="5"/>
      <c r="YK506" s="6"/>
      <c r="YL506" s="4"/>
      <c r="YM506" s="4"/>
      <c r="YN506" s="4"/>
      <c r="YO506" s="4"/>
      <c r="YP506" s="4"/>
      <c r="YQ506" s="5"/>
      <c r="YR506" s="6"/>
      <c r="YS506" s="4"/>
      <c r="YT506" s="4"/>
      <c r="YU506" s="4"/>
      <c r="YV506" s="4"/>
      <c r="YW506" s="4"/>
      <c r="YX506" s="5"/>
      <c r="YY506" s="6"/>
      <c r="YZ506" s="4"/>
      <c r="ZA506" s="4"/>
      <c r="ZB506" s="4"/>
      <c r="ZC506" s="4"/>
      <c r="ZD506" s="4"/>
      <c r="ZE506" s="5"/>
      <c r="ZF506" s="6"/>
      <c r="ZG506" s="4"/>
      <c r="ZH506" s="4"/>
      <c r="ZI506" s="4"/>
      <c r="ZJ506" s="4"/>
      <c r="ZK506" s="4"/>
      <c r="ZL506" s="5"/>
      <c r="ZM506" s="6"/>
      <c r="ZN506" s="4"/>
      <c r="ZO506" s="4"/>
      <c r="ZP506" s="4"/>
      <c r="ZQ506" s="4"/>
      <c r="ZR506" s="4"/>
      <c r="ZS506" s="5"/>
      <c r="ZT506" s="6"/>
      <c r="ZU506" s="4"/>
      <c r="ZV506" s="4"/>
      <c r="ZW506" s="4"/>
      <c r="ZX506" s="4"/>
      <c r="ZY506" s="4"/>
      <c r="ZZ506" s="5"/>
      <c r="AAA506" s="6"/>
      <c r="AAB506" s="4"/>
      <c r="AAC506" s="4"/>
      <c r="AAD506" s="4"/>
      <c r="AAE506" s="4"/>
      <c r="AAF506" s="4"/>
      <c r="AAG506" s="5"/>
      <c r="AAH506" s="6"/>
      <c r="AAI506" s="4"/>
      <c r="AAJ506" s="4"/>
      <c r="AAK506" s="4"/>
      <c r="AAL506" s="4"/>
      <c r="AAM506" s="4"/>
      <c r="AAN506" s="5"/>
      <c r="AAO506" s="6"/>
      <c r="AAP506" s="4"/>
      <c r="AAQ506" s="4"/>
      <c r="AAR506" s="4"/>
      <c r="AAS506" s="4"/>
      <c r="AAT506" s="4"/>
      <c r="AAU506" s="5"/>
      <c r="AAV506" s="6"/>
      <c r="AAW506" s="4"/>
      <c r="AAX506" s="4"/>
      <c r="AAY506" s="4"/>
      <c r="AAZ506" s="4"/>
      <c r="ABA506" s="4"/>
      <c r="ABB506" s="5"/>
      <c r="ABC506" s="6"/>
      <c r="ABD506" s="4"/>
      <c r="ABE506" s="4"/>
      <c r="ABF506" s="4"/>
      <c r="ABG506" s="4"/>
      <c r="ABH506" s="4"/>
      <c r="ABI506" s="5"/>
      <c r="ABJ506" s="6"/>
      <c r="ABK506" s="4"/>
      <c r="ABL506" s="4"/>
      <c r="ABM506" s="4"/>
      <c r="ABN506" s="4"/>
      <c r="ABO506" s="4"/>
      <c r="ABP506" s="5"/>
      <c r="ABQ506" s="6"/>
      <c r="ABR506" s="4"/>
      <c r="ABS506" s="4"/>
      <c r="ABT506" s="4"/>
      <c r="ABU506" s="8"/>
      <c r="ABV506" s="4"/>
      <c r="ABW506" s="5"/>
      <c r="ABX506" s="6"/>
      <c r="ABY506" s="4"/>
      <c r="ABZ506" s="4"/>
      <c r="ACA506" s="4"/>
      <c r="ACB506" s="4"/>
      <c r="ACC506" s="4"/>
      <c r="ACD506" s="5"/>
      <c r="ACE506" s="6"/>
      <c r="ACF506" s="4"/>
      <c r="ACG506" s="4"/>
      <c r="ACH506" s="4"/>
      <c r="ACI506" s="4"/>
      <c r="ACJ506" s="4"/>
      <c r="ACK506" s="5"/>
      <c r="ACL506" s="6"/>
      <c r="ACM506" s="4"/>
      <c r="ACN506" s="4"/>
      <c r="ACO506" s="4"/>
      <c r="ACP506" s="4"/>
      <c r="ACQ506" s="4"/>
      <c r="ACR506" s="5"/>
      <c r="ACS506" s="6"/>
      <c r="ACT506" s="4"/>
      <c r="ACU506" s="4"/>
      <c r="ACV506" s="4"/>
      <c r="ACW506" s="4"/>
      <c r="ACX506" s="4"/>
      <c r="ACY506" s="5"/>
      <c r="ADZ506" s="6" t="s">
        <v>25</v>
      </c>
    </row>
    <row r="507" spans="1:839" x14ac:dyDescent="0.25">
      <c r="J507" s="12"/>
      <c r="K507" s="12"/>
      <c r="L507" s="12"/>
      <c r="LL507" s="6"/>
      <c r="LM507" s="4"/>
      <c r="LN507" s="4"/>
      <c r="LO507" s="4"/>
      <c r="LP507" s="4"/>
      <c r="LQ507" s="4"/>
      <c r="LR507" s="5"/>
      <c r="LS507" s="6"/>
      <c r="LT507" s="4"/>
      <c r="LU507" s="4"/>
      <c r="LV507" s="4"/>
      <c r="LW507" s="4"/>
      <c r="LX507" s="4"/>
      <c r="LY507" s="5"/>
      <c r="LZ507" s="6"/>
      <c r="MA507" s="4"/>
      <c r="MB507" s="4"/>
      <c r="MC507" s="4"/>
      <c r="MD507" s="4"/>
      <c r="ME507" s="4"/>
      <c r="MF507" s="4"/>
      <c r="MG507" s="5"/>
      <c r="MH507" s="6"/>
      <c r="MI507" s="4"/>
      <c r="MJ507" s="4"/>
      <c r="MK507" s="4"/>
      <c r="ML507" s="4"/>
      <c r="MM507" s="4"/>
      <c r="MN507" s="5"/>
      <c r="MO507" s="6"/>
      <c r="MP507" s="4"/>
      <c r="MQ507" s="4"/>
      <c r="MR507" s="4"/>
      <c r="MS507" s="4"/>
      <c r="MT507" s="4"/>
      <c r="MU507" s="5"/>
      <c r="MV507" s="6"/>
      <c r="MW507" s="4"/>
      <c r="MX507" s="4"/>
      <c r="MY507" s="4"/>
      <c r="MZ507" s="4"/>
      <c r="NA507" s="4"/>
      <c r="NB507" s="5"/>
      <c r="NC507" s="6"/>
      <c r="ND507" s="4"/>
      <c r="NE507" s="4"/>
      <c r="NF507" s="4"/>
      <c r="NG507" s="4"/>
      <c r="NH507" s="4"/>
      <c r="NI507" s="5"/>
      <c r="NJ507" s="6"/>
      <c r="NK507" s="4"/>
      <c r="NL507" s="4"/>
      <c r="NM507" s="4"/>
      <c r="NN507" s="8"/>
      <c r="NO507" s="4"/>
      <c r="NP507" s="5"/>
      <c r="NQ507" s="6"/>
      <c r="NR507" s="4"/>
      <c r="NS507" s="4"/>
      <c r="NT507" s="4"/>
      <c r="NU507" s="4"/>
      <c r="NV507" s="4"/>
      <c r="NW507" s="5"/>
      <c r="NX507" s="6"/>
      <c r="NY507" s="4"/>
      <c r="NZ507" s="4"/>
      <c r="OA507" s="4"/>
      <c r="OB507" s="4"/>
      <c r="OC507" s="4"/>
      <c r="OD507" s="5"/>
      <c r="OE507" s="6"/>
      <c r="OF507" s="4"/>
      <c r="OG507" s="4"/>
      <c r="OH507" s="4"/>
      <c r="OI507" s="4"/>
      <c r="OJ507" s="4"/>
      <c r="OK507" s="5"/>
      <c r="OL507" s="6"/>
      <c r="OM507" s="4"/>
      <c r="ON507" s="4"/>
      <c r="OO507" s="4"/>
      <c r="OP507" s="4"/>
      <c r="OQ507" s="4"/>
      <c r="OR507" s="5"/>
      <c r="OS507" s="6"/>
      <c r="OT507" s="4"/>
      <c r="OU507" s="4"/>
      <c r="OV507" s="4"/>
      <c r="OW507" s="4"/>
      <c r="OX507" s="4"/>
      <c r="OY507" s="5"/>
      <c r="OZ507" s="6"/>
      <c r="PA507" s="4"/>
      <c r="PB507" s="4"/>
      <c r="PC507" s="4"/>
      <c r="PD507" s="4"/>
      <c r="PE507" s="4"/>
      <c r="PF507" s="5"/>
      <c r="PG507" s="6"/>
      <c r="PH507" s="4"/>
      <c r="PI507" s="4"/>
      <c r="PJ507" s="4"/>
      <c r="PK507" s="4"/>
      <c r="PL507" s="4"/>
      <c r="PM507" s="5"/>
      <c r="PN507" s="6"/>
      <c r="PO507" s="4"/>
      <c r="PP507" s="4"/>
      <c r="PQ507" s="4"/>
      <c r="PR507" s="4"/>
      <c r="PS507" s="4"/>
      <c r="PT507" s="5"/>
      <c r="PU507" s="6"/>
      <c r="PV507" s="4"/>
      <c r="PW507" s="4"/>
      <c r="PX507" s="4"/>
      <c r="PY507" s="4"/>
      <c r="PZ507" s="4"/>
      <c r="QA507" s="5"/>
      <c r="QB507" s="15"/>
      <c r="QC507" s="12"/>
      <c r="QD507" s="7"/>
      <c r="QE507" s="4"/>
      <c r="QF507" s="8"/>
      <c r="QG507" s="4"/>
      <c r="QH507" s="4"/>
      <c r="QI507" s="6"/>
      <c r="QJ507" s="4"/>
      <c r="QK507" s="4"/>
      <c r="QL507" s="4"/>
      <c r="QM507" s="4"/>
      <c r="QN507" s="4"/>
      <c r="QO507" s="5"/>
      <c r="QP507" s="6"/>
      <c r="QQ507" s="4"/>
      <c r="QR507" s="4"/>
      <c r="QS507" s="4"/>
      <c r="QT507" s="4"/>
      <c r="QU507" s="4"/>
      <c r="QV507" s="5"/>
      <c r="QW507" s="6"/>
      <c r="QX507" s="4"/>
      <c r="QY507" s="4"/>
      <c r="QZ507" s="4"/>
      <c r="RA507" s="4"/>
      <c r="RB507" s="4"/>
      <c r="RC507" s="5"/>
      <c r="RD507" s="6"/>
      <c r="RE507" s="4"/>
      <c r="RF507" s="4"/>
      <c r="RG507" s="4"/>
      <c r="RH507" s="4"/>
      <c r="RI507" s="4"/>
      <c r="RJ507" s="5"/>
      <c r="RK507" s="6"/>
      <c r="RL507" s="4"/>
      <c r="RM507" s="4"/>
      <c r="RN507" s="4"/>
      <c r="RO507" s="4"/>
      <c r="RP507" s="4"/>
      <c r="RQ507" s="5"/>
      <c r="RR507" s="6"/>
      <c r="RS507" s="4"/>
      <c r="RT507" s="4"/>
      <c r="RU507" s="4"/>
      <c r="RV507" s="4"/>
      <c r="RW507" s="4"/>
      <c r="RX507" s="5"/>
      <c r="RY507" s="6"/>
      <c r="RZ507" s="4"/>
      <c r="SA507" s="4"/>
      <c r="SB507" s="4"/>
      <c r="SC507" s="4"/>
      <c r="SD507" s="4"/>
      <c r="SE507" s="5"/>
      <c r="SF507" s="6"/>
      <c r="SG507" s="4"/>
      <c r="SH507" s="4"/>
      <c r="SI507" s="4"/>
      <c r="SJ507" s="4"/>
      <c r="SK507" s="4"/>
      <c r="SL507" s="5"/>
      <c r="SM507" s="6"/>
      <c r="SN507" s="4"/>
      <c r="SO507" s="4"/>
      <c r="SP507" s="4"/>
      <c r="SQ507" s="4"/>
      <c r="SR507" s="4"/>
      <c r="SS507" s="5"/>
      <c r="ST507" s="6"/>
      <c r="SU507" s="4"/>
      <c r="SV507" s="4"/>
      <c r="SW507" s="4"/>
      <c r="SX507" s="4"/>
      <c r="SY507" s="4"/>
      <c r="SZ507" s="5"/>
      <c r="TA507" s="6"/>
      <c r="TB507" s="4"/>
      <c r="TC507" s="4"/>
      <c r="TD507" s="4"/>
      <c r="TE507" s="4"/>
      <c r="TF507" s="4"/>
      <c r="TG507" s="5"/>
      <c r="TH507" s="6"/>
      <c r="TI507" s="4"/>
      <c r="TJ507" s="4"/>
      <c r="TK507" s="4"/>
      <c r="TL507" s="4"/>
      <c r="TM507" s="4"/>
      <c r="TN507" s="5"/>
      <c r="TO507" s="6"/>
      <c r="TP507" s="4"/>
      <c r="TQ507" s="4"/>
      <c r="TR507" s="4"/>
      <c r="TS507" s="4"/>
      <c r="TT507" s="4"/>
      <c r="TU507" s="5"/>
      <c r="TV507" s="6"/>
      <c r="TW507" s="4"/>
      <c r="TX507" s="4"/>
      <c r="TY507" s="4"/>
      <c r="TZ507" s="4"/>
      <c r="UA507" s="4"/>
      <c r="UB507" s="5"/>
      <c r="UC507" s="6"/>
      <c r="UD507" s="4"/>
      <c r="UE507" s="4"/>
      <c r="UF507" s="4"/>
      <c r="UG507" s="4"/>
      <c r="UH507" s="4"/>
      <c r="UI507" s="5"/>
      <c r="UJ507" s="6"/>
      <c r="UK507" s="4"/>
      <c r="UL507" s="4"/>
      <c r="UM507" s="4"/>
      <c r="UN507" s="4"/>
      <c r="UO507" s="4"/>
      <c r="UP507" s="5"/>
      <c r="UQ507" s="6"/>
      <c r="UR507" s="4"/>
      <c r="US507" s="4"/>
      <c r="UT507" s="4"/>
      <c r="UU507" s="4"/>
      <c r="UV507" s="4"/>
      <c r="UW507" s="5"/>
      <c r="UX507" s="6"/>
      <c r="UY507" s="4"/>
      <c r="UZ507" s="4"/>
      <c r="VA507" s="4"/>
      <c r="VB507" s="4"/>
      <c r="VC507" s="4"/>
      <c r="VD507" s="5"/>
      <c r="VE507" s="6"/>
      <c r="VF507" s="4"/>
      <c r="VG507" s="4"/>
      <c r="VH507" s="4"/>
      <c r="VI507" s="4"/>
      <c r="VJ507" s="4"/>
      <c r="VK507" s="5"/>
      <c r="VL507" s="6"/>
      <c r="VM507" s="4"/>
      <c r="VN507" s="4"/>
      <c r="VO507" s="4"/>
      <c r="VP507" s="4"/>
      <c r="VQ507" s="4"/>
      <c r="VR507" s="5"/>
      <c r="VS507" s="6"/>
      <c r="VT507" s="4"/>
      <c r="VU507" s="4"/>
      <c r="VV507" s="4"/>
      <c r="VW507" s="4"/>
      <c r="VX507" s="4"/>
      <c r="VY507" s="5"/>
      <c r="VZ507" s="6"/>
      <c r="WA507" s="4"/>
      <c r="WB507" s="4"/>
      <c r="WC507" s="4"/>
      <c r="WD507" s="4"/>
      <c r="WE507" s="4"/>
      <c r="WF507" s="5"/>
      <c r="WG507" s="6"/>
      <c r="WH507" s="4"/>
      <c r="WI507" s="4"/>
      <c r="WJ507" s="4"/>
      <c r="WK507" s="4"/>
      <c r="WL507" s="4"/>
      <c r="WM507" s="5"/>
      <c r="WN507" s="6"/>
      <c r="WO507" s="4"/>
      <c r="WP507" s="4"/>
      <c r="WQ507" s="4"/>
      <c r="WR507" s="4"/>
      <c r="WS507" s="4"/>
      <c r="WT507" s="5"/>
      <c r="WU507" s="6"/>
      <c r="WV507" s="4"/>
      <c r="WW507" s="4"/>
      <c r="WX507" s="4"/>
      <c r="WY507" s="4"/>
      <c r="WZ507" s="4"/>
      <c r="XA507" s="5"/>
      <c r="XB507" s="6"/>
      <c r="XC507" s="4"/>
      <c r="XD507" s="4"/>
      <c r="XE507" s="4"/>
      <c r="XF507" s="4"/>
      <c r="XG507" s="4"/>
      <c r="XH507" s="5"/>
      <c r="XI507" s="6"/>
      <c r="XJ507" s="4"/>
      <c r="XK507" s="4"/>
      <c r="XL507" s="4"/>
      <c r="XM507" s="4"/>
      <c r="XN507" s="4"/>
      <c r="XO507" s="5"/>
      <c r="XP507" s="6"/>
      <c r="XQ507" s="4"/>
      <c r="XR507" s="4"/>
      <c r="XS507" s="4"/>
      <c r="XT507" s="4"/>
      <c r="XU507" s="4"/>
      <c r="XV507" s="5"/>
      <c r="XW507" s="6"/>
      <c r="XX507" s="4"/>
      <c r="XY507" s="4"/>
      <c r="XZ507" s="4"/>
      <c r="YA507" s="4"/>
      <c r="YB507" s="4"/>
      <c r="YC507" s="5"/>
      <c r="YD507" s="6"/>
      <c r="YE507" s="4"/>
      <c r="YF507" s="4"/>
      <c r="YG507" s="4"/>
      <c r="YH507" s="4"/>
      <c r="YI507" s="4"/>
      <c r="YJ507" s="5"/>
      <c r="YK507" s="6"/>
      <c r="YL507" s="4"/>
      <c r="YM507" s="4"/>
      <c r="YN507" s="4"/>
      <c r="YO507" s="4"/>
      <c r="YP507" s="4"/>
      <c r="YQ507" s="5"/>
      <c r="YR507" s="6"/>
      <c r="YS507" s="4"/>
      <c r="YT507" s="4"/>
      <c r="YU507" s="4"/>
      <c r="YV507" s="4"/>
      <c r="YW507" s="4"/>
      <c r="YX507" s="5"/>
      <c r="YY507" s="6"/>
      <c r="YZ507" s="4"/>
      <c r="ZA507" s="4"/>
      <c r="ZB507" s="4"/>
      <c r="ZC507" s="4"/>
      <c r="ZD507" s="4"/>
      <c r="ZE507" s="5"/>
      <c r="ZF507" s="6"/>
      <c r="ZG507" s="4"/>
      <c r="ZH507" s="4"/>
      <c r="ZI507" s="4"/>
      <c r="ZJ507" s="4"/>
      <c r="ZK507" s="4"/>
      <c r="ZL507" s="5"/>
      <c r="ZM507" s="6"/>
      <c r="ZN507" s="4"/>
      <c r="ZO507" s="4"/>
      <c r="ZP507" s="4"/>
      <c r="ZQ507" s="4"/>
      <c r="ZR507" s="4"/>
      <c r="ZS507" s="5"/>
      <c r="ZT507" s="6"/>
      <c r="ZU507" s="4"/>
      <c r="ZV507" s="4"/>
      <c r="ZW507" s="4"/>
      <c r="ZX507" s="4"/>
      <c r="ZY507" s="4"/>
      <c r="ZZ507" s="5"/>
      <c r="AAA507" s="6"/>
      <c r="AAB507" s="4"/>
      <c r="AAC507" s="4"/>
      <c r="AAD507" s="4"/>
      <c r="AAE507" s="4"/>
      <c r="AAF507" s="4"/>
      <c r="AAG507" s="5"/>
      <c r="AAH507" s="6"/>
      <c r="AAI507" s="4"/>
      <c r="AAJ507" s="4"/>
      <c r="AAK507" s="4"/>
      <c r="AAL507" s="4"/>
      <c r="AAM507" s="4"/>
      <c r="AAN507" s="5"/>
      <c r="AAO507" s="6"/>
      <c r="AAP507" s="4"/>
      <c r="AAQ507" s="4"/>
      <c r="AAR507" s="4"/>
      <c r="AAS507" s="4"/>
      <c r="AAT507" s="4"/>
      <c r="AAU507" s="5"/>
      <c r="AAV507" s="6"/>
      <c r="AAW507" s="4"/>
      <c r="AAX507" s="4"/>
      <c r="AAY507" s="4"/>
      <c r="AAZ507" s="4"/>
      <c r="ABA507" s="4"/>
      <c r="ABB507" s="5"/>
      <c r="ABC507" s="6"/>
      <c r="ABD507" s="4"/>
      <c r="ABE507" s="4"/>
      <c r="ABF507" s="4"/>
      <c r="ABG507" s="4"/>
      <c r="ABH507" s="4"/>
      <c r="ABI507" s="5"/>
      <c r="ABJ507" s="6"/>
      <c r="ABK507" s="4"/>
      <c r="ABL507" s="4"/>
      <c r="ABM507" s="4"/>
      <c r="ABN507" s="4"/>
      <c r="ABO507" s="4"/>
      <c r="ABP507" s="5"/>
      <c r="ABQ507" s="6"/>
      <c r="ABR507" s="4"/>
      <c r="ABS507" s="4"/>
      <c r="ABT507" s="4"/>
      <c r="ABU507" s="8"/>
      <c r="ABV507" s="4"/>
      <c r="ABW507" s="5"/>
      <c r="ABX507" s="6"/>
      <c r="ABY507" s="4"/>
      <c r="ABZ507" s="4"/>
      <c r="ACA507" s="4"/>
      <c r="ACB507" s="4"/>
      <c r="ACC507" s="4"/>
      <c r="ACD507" s="5"/>
      <c r="ACE507" s="6"/>
      <c r="ACF507" s="4"/>
      <c r="ACG507" s="4"/>
      <c r="ACH507" s="4"/>
      <c r="ACI507" s="4"/>
      <c r="ACJ507" s="4"/>
      <c r="ACK507" s="5"/>
      <c r="ACL507" s="6"/>
      <c r="ACM507" s="4"/>
      <c r="ACN507" s="4"/>
      <c r="ACO507" s="4"/>
      <c r="ACP507" s="4"/>
      <c r="ACQ507" s="4"/>
      <c r="ACR507" s="5"/>
      <c r="ACS507" s="6"/>
      <c r="ACT507" s="4"/>
      <c r="ACU507" s="4"/>
      <c r="ACV507" s="4"/>
      <c r="ACW507" s="4"/>
      <c r="ACX507" s="4"/>
      <c r="ACY507" s="5"/>
      <c r="ADZ507" s="6" t="s">
        <v>26</v>
      </c>
    </row>
    <row r="508" spans="1:839" x14ac:dyDescent="0.25">
      <c r="B508" s="29">
        <v>11084620</v>
      </c>
      <c r="C508" s="57">
        <v>54</v>
      </c>
      <c r="D508" t="s">
        <v>3729</v>
      </c>
      <c r="E508" s="35" t="s">
        <v>92</v>
      </c>
      <c r="F508" s="23">
        <v>0</v>
      </c>
      <c r="I508">
        <v>1</v>
      </c>
      <c r="J508" s="19">
        <v>40482</v>
      </c>
      <c r="K508" s="19"/>
      <c r="L508" s="19" t="s">
        <v>988</v>
      </c>
      <c r="LL508" s="6"/>
      <c r="LM508" s="4"/>
      <c r="LN508" s="4"/>
      <c r="LO508" s="4"/>
      <c r="LP508" s="4"/>
      <c r="LQ508" s="4"/>
      <c r="LR508" s="5"/>
      <c r="LS508" s="6"/>
      <c r="LT508" s="4"/>
      <c r="LU508" s="4"/>
      <c r="LV508" s="4"/>
      <c r="LW508" s="4"/>
      <c r="LX508" s="4"/>
      <c r="LY508" s="5"/>
      <c r="LZ508" s="6" t="s">
        <v>3661</v>
      </c>
      <c r="MA508" s="7" t="s">
        <v>3661</v>
      </c>
      <c r="MB508" s="4"/>
      <c r="MC508" s="4"/>
      <c r="MD508" s="8">
        <v>40480</v>
      </c>
      <c r="ME508" s="4"/>
      <c r="MF508" s="4" t="s">
        <v>1152</v>
      </c>
      <c r="MG508" s="5" t="s">
        <v>1281</v>
      </c>
      <c r="MH508" s="6"/>
      <c r="MI508" s="4"/>
      <c r="MJ508" s="4"/>
      <c r="MK508" s="4"/>
      <c r="ML508" s="4"/>
      <c r="MM508" s="4"/>
      <c r="MN508" s="5"/>
      <c r="MO508" s="6"/>
      <c r="MP508" s="4"/>
      <c r="MQ508" s="4"/>
      <c r="MR508" s="4"/>
      <c r="MS508" s="4"/>
      <c r="MT508" s="4"/>
      <c r="MU508" s="5"/>
      <c r="MV508" s="6"/>
      <c r="MW508" s="4"/>
      <c r="MX508" s="4"/>
      <c r="MY508" s="4"/>
      <c r="MZ508" s="4"/>
      <c r="NA508" s="4"/>
      <c r="NB508" s="5"/>
      <c r="NC508" s="6"/>
      <c r="ND508" s="4"/>
      <c r="NE508" s="4"/>
      <c r="NF508" s="4"/>
      <c r="NG508" s="4"/>
      <c r="NH508" s="4"/>
      <c r="NI508" s="5"/>
      <c r="NJ508" s="6"/>
      <c r="NK508" s="4"/>
      <c r="NL508" s="4"/>
      <c r="NM508" s="4"/>
      <c r="NN508" s="4"/>
      <c r="NO508" s="4"/>
      <c r="NP508" s="5"/>
      <c r="NQ508" s="6"/>
      <c r="NR508" s="4"/>
      <c r="NS508" s="4"/>
      <c r="NT508" s="4"/>
      <c r="NU508" s="4"/>
      <c r="NV508" s="4"/>
      <c r="NW508" s="5"/>
      <c r="NX508" s="6"/>
      <c r="NY508" s="4"/>
      <c r="NZ508" s="4"/>
      <c r="OA508" s="4"/>
      <c r="OB508" s="4"/>
      <c r="OC508" s="4"/>
      <c r="OD508" s="5"/>
      <c r="OE508" s="6"/>
      <c r="OF508" s="4"/>
      <c r="OG508" s="4"/>
      <c r="OH508" s="4"/>
      <c r="OI508" s="4"/>
      <c r="OJ508" s="4"/>
      <c r="OK508" s="5"/>
      <c r="OL508" s="6"/>
      <c r="OM508" s="4"/>
      <c r="ON508" s="4"/>
      <c r="OO508" s="4"/>
      <c r="OP508" s="4"/>
      <c r="OQ508" s="4"/>
      <c r="OR508" s="5"/>
      <c r="OS508" s="6"/>
      <c r="OT508" s="4"/>
      <c r="OU508" s="4"/>
      <c r="OV508" s="4"/>
      <c r="OW508" s="4"/>
      <c r="OX508" s="4"/>
      <c r="OY508" s="5"/>
      <c r="OZ508" s="6"/>
      <c r="PA508" s="4"/>
      <c r="PB508" s="4"/>
      <c r="PC508" s="4"/>
      <c r="PD508" s="4"/>
      <c r="PE508" s="4"/>
      <c r="PF508" s="5"/>
      <c r="PG508" s="6"/>
      <c r="PH508" s="4"/>
      <c r="PI508" s="4"/>
      <c r="PJ508" s="4"/>
      <c r="PK508" s="4"/>
      <c r="PL508" s="4"/>
      <c r="PM508" s="5"/>
      <c r="PN508" s="6"/>
      <c r="PO508" s="4"/>
      <c r="PP508" s="4"/>
      <c r="PQ508" s="4"/>
      <c r="PR508" s="4"/>
      <c r="PS508" s="4"/>
      <c r="PT508" s="5"/>
      <c r="PU508" s="6"/>
      <c r="PV508" s="4"/>
      <c r="PW508" s="4"/>
      <c r="PX508" s="4"/>
      <c r="PY508" s="4"/>
      <c r="PZ508" s="4"/>
      <c r="QA508" s="5"/>
      <c r="QB508" s="6"/>
      <c r="QI508" s="6"/>
      <c r="QJ508" s="4"/>
      <c r="QK508" s="4"/>
      <c r="QL508" s="4"/>
      <c r="QM508" s="4"/>
      <c r="QN508" s="4"/>
      <c r="QO508" s="5"/>
      <c r="QP508" s="6"/>
      <c r="QQ508" s="4"/>
      <c r="QR508" s="4"/>
      <c r="QS508" s="4"/>
      <c r="QT508" s="4"/>
      <c r="QU508" s="4"/>
      <c r="QV508" s="5"/>
      <c r="QW508" s="6"/>
      <c r="QX508" s="4"/>
      <c r="QY508" s="4"/>
      <c r="QZ508" s="4"/>
      <c r="RA508" s="4"/>
      <c r="RB508" s="4"/>
      <c r="RC508" s="5"/>
      <c r="RD508" s="6"/>
      <c r="RE508" s="4"/>
      <c r="RF508" s="4"/>
      <c r="RG508" s="4"/>
      <c r="RH508" s="4"/>
      <c r="RI508" s="4"/>
      <c r="RJ508" s="5"/>
      <c r="RK508" s="6"/>
      <c r="RL508" s="4"/>
      <c r="RM508" s="4"/>
      <c r="RN508" s="4"/>
      <c r="RO508" s="4"/>
      <c r="RP508" s="4"/>
      <c r="RQ508" s="5"/>
      <c r="RR508" s="6"/>
      <c r="RS508" s="4"/>
      <c r="RT508" s="4"/>
      <c r="RU508" s="4"/>
      <c r="RV508" s="4"/>
      <c r="RW508" s="4"/>
      <c r="RX508" s="5"/>
      <c r="RY508" s="6"/>
      <c r="RZ508" s="4"/>
      <c r="SA508" s="4"/>
      <c r="SB508" s="4"/>
      <c r="SC508" s="4"/>
      <c r="SD508" s="4"/>
      <c r="SE508" s="5"/>
      <c r="SF508" s="6"/>
      <c r="SG508" s="4"/>
      <c r="SH508" s="4"/>
      <c r="SI508" s="4"/>
      <c r="SJ508" s="4"/>
      <c r="SK508" s="4"/>
      <c r="SL508" s="5"/>
      <c r="SM508" s="6"/>
      <c r="SN508" s="4"/>
      <c r="SO508" s="4"/>
      <c r="SP508" s="4"/>
      <c r="SQ508" s="4"/>
      <c r="SR508" s="4"/>
      <c r="SS508" s="5"/>
      <c r="ST508" s="6"/>
      <c r="SU508" s="4"/>
      <c r="SV508" s="4"/>
      <c r="SW508" s="4"/>
      <c r="SX508" s="4"/>
      <c r="SY508" s="4"/>
      <c r="SZ508" s="5"/>
      <c r="TA508" s="6"/>
      <c r="TB508" s="4"/>
      <c r="TC508" s="4"/>
      <c r="TD508" s="4"/>
      <c r="TE508" s="4"/>
      <c r="TF508" s="4"/>
      <c r="TG508" s="5"/>
      <c r="TH508" s="6"/>
      <c r="TI508" s="4"/>
      <c r="TJ508" s="4"/>
      <c r="TK508" s="4"/>
      <c r="TL508" s="4"/>
      <c r="TM508" s="4"/>
      <c r="TN508" s="5"/>
      <c r="TO508" s="6"/>
      <c r="TP508" s="4"/>
      <c r="TQ508" s="4"/>
      <c r="TR508" s="4"/>
      <c r="TS508" s="4"/>
      <c r="TT508" s="4"/>
      <c r="TU508" s="5"/>
      <c r="TV508" s="6"/>
      <c r="TW508" s="4"/>
      <c r="TX508" s="4"/>
      <c r="TY508" s="4"/>
      <c r="TZ508" s="4"/>
      <c r="UA508" s="4"/>
      <c r="UB508" s="5"/>
      <c r="UC508" s="6"/>
      <c r="UD508" s="4"/>
      <c r="UE508" s="4"/>
      <c r="UF508" s="4"/>
      <c r="UG508" s="4"/>
      <c r="UH508" s="4"/>
      <c r="UI508" s="5"/>
      <c r="UJ508" s="6"/>
      <c r="UK508" s="4"/>
      <c r="UL508" s="4"/>
      <c r="UM508" s="4"/>
      <c r="UN508" s="4"/>
      <c r="UO508" s="4"/>
      <c r="UP508" s="5"/>
      <c r="UQ508" s="6"/>
      <c r="UR508" s="4"/>
      <c r="US508" s="4"/>
      <c r="UT508" s="4"/>
      <c r="UU508" s="4"/>
      <c r="UV508" s="4"/>
      <c r="UW508" s="5"/>
      <c r="UX508" s="6"/>
      <c r="UY508" s="4"/>
      <c r="UZ508" s="4"/>
      <c r="VA508" s="4"/>
      <c r="VB508" s="4"/>
      <c r="VC508" s="4"/>
      <c r="VD508" s="5"/>
      <c r="VE508" s="6"/>
      <c r="VF508" s="4"/>
      <c r="VG508" s="4"/>
      <c r="VH508" s="4"/>
      <c r="VI508" s="4"/>
      <c r="VJ508" s="4"/>
      <c r="VK508" s="5"/>
      <c r="VL508" s="6"/>
      <c r="VM508" s="4"/>
      <c r="VN508" s="4"/>
      <c r="VO508" s="4"/>
      <c r="VP508" s="4"/>
      <c r="VQ508" s="4"/>
      <c r="VR508" s="5"/>
      <c r="VS508" s="6"/>
      <c r="VT508" s="4"/>
      <c r="VU508" s="4"/>
      <c r="VV508" s="4"/>
      <c r="VW508" s="4"/>
      <c r="VX508" s="4"/>
      <c r="VY508" s="5"/>
      <c r="VZ508" s="6"/>
      <c r="WA508" s="4"/>
      <c r="WB508" s="4"/>
      <c r="WC508" s="4"/>
      <c r="WD508" s="4"/>
      <c r="WE508" s="4"/>
      <c r="WF508" s="5"/>
      <c r="WG508" s="6"/>
      <c r="WH508" s="4"/>
      <c r="WI508" s="4"/>
      <c r="WJ508" s="4"/>
      <c r="WK508" s="4"/>
      <c r="WL508" s="4"/>
      <c r="WM508" s="5"/>
      <c r="WN508" s="6"/>
      <c r="WO508" s="4"/>
      <c r="WP508" s="4"/>
      <c r="WQ508" s="4"/>
      <c r="WR508" s="4"/>
      <c r="WS508" s="4"/>
      <c r="WT508" s="5"/>
      <c r="WU508" s="6"/>
      <c r="WV508" s="4"/>
      <c r="WW508" s="4"/>
      <c r="WX508" s="4"/>
      <c r="WY508" s="4"/>
      <c r="WZ508" s="4"/>
      <c r="XA508" s="5"/>
      <c r="XB508" s="6"/>
      <c r="XC508" s="4"/>
      <c r="XD508" s="4"/>
      <c r="XE508" s="4"/>
      <c r="XF508" s="4"/>
      <c r="XG508" s="4"/>
      <c r="XH508" s="5"/>
      <c r="XI508" s="6"/>
      <c r="XJ508" s="4"/>
      <c r="XK508" s="4"/>
      <c r="XL508" s="4"/>
      <c r="XM508" s="4"/>
      <c r="XN508" s="4"/>
      <c r="XO508" s="5"/>
      <c r="XP508" s="6"/>
      <c r="XQ508" s="4"/>
      <c r="XR508" s="4"/>
      <c r="XS508" s="4"/>
      <c r="XT508" s="4"/>
      <c r="XU508" s="4"/>
      <c r="XV508" s="5"/>
      <c r="XW508" s="6"/>
      <c r="XX508" s="4"/>
      <c r="XY508" s="4"/>
      <c r="XZ508" s="4"/>
      <c r="YA508" s="4"/>
      <c r="YB508" s="4"/>
      <c r="YC508" s="5"/>
      <c r="YD508" s="6"/>
      <c r="YE508" s="4"/>
      <c r="YF508" s="4"/>
      <c r="YG508" s="4"/>
      <c r="YH508" s="4"/>
      <c r="YI508" s="4"/>
      <c r="YJ508" s="5"/>
      <c r="YK508" s="6"/>
      <c r="YL508" s="4"/>
      <c r="YM508" s="4"/>
      <c r="YN508" s="4"/>
      <c r="YO508" s="20"/>
      <c r="YP508" s="4"/>
      <c r="YQ508" s="5"/>
      <c r="YR508" s="6"/>
      <c r="YS508" s="4"/>
      <c r="YT508" s="4"/>
      <c r="YU508" s="4"/>
      <c r="YV508" s="4"/>
      <c r="YW508" s="4"/>
      <c r="YX508" s="5"/>
      <c r="YY508" s="6"/>
      <c r="YZ508" s="4"/>
      <c r="ZA508" s="4"/>
      <c r="ZB508" s="4"/>
      <c r="ZC508" s="4"/>
      <c r="ZD508" s="4"/>
      <c r="ZE508" s="5"/>
      <c r="ZF508" s="6"/>
      <c r="ZG508" s="4"/>
      <c r="ZH508" s="4"/>
      <c r="ZI508" s="4"/>
      <c r="ZJ508" s="4"/>
      <c r="ZK508" s="4"/>
      <c r="ZL508" s="5"/>
      <c r="ZM508" s="6"/>
      <c r="ZN508" s="4"/>
      <c r="ZO508" s="4"/>
      <c r="ZP508" s="4"/>
      <c r="ZQ508" s="4"/>
      <c r="ZR508" s="4"/>
      <c r="ZS508" s="5"/>
      <c r="ZT508" s="6"/>
      <c r="ZU508" s="4"/>
      <c r="ZV508" s="4"/>
      <c r="ZW508" s="4"/>
      <c r="ZX508" s="4"/>
      <c r="ZY508" s="4"/>
      <c r="ZZ508" s="5"/>
      <c r="AAA508" s="6"/>
      <c r="AAB508" s="4"/>
      <c r="AAC508" s="4"/>
      <c r="AAD508" s="4"/>
      <c r="AAE508" s="4"/>
      <c r="AAF508" s="4"/>
      <c r="AAG508" s="5"/>
      <c r="AAH508" s="6"/>
      <c r="AAI508" s="4"/>
      <c r="AAJ508" s="4"/>
      <c r="AAK508" s="4"/>
      <c r="AAL508" s="4"/>
      <c r="AAM508" s="4"/>
      <c r="AAN508" s="5"/>
      <c r="AAO508" s="6"/>
      <c r="AAP508" s="4"/>
      <c r="AAQ508" s="4"/>
      <c r="AAR508" s="4"/>
      <c r="AAS508" s="4"/>
      <c r="AAT508" s="4"/>
      <c r="AAU508" s="5"/>
      <c r="AAV508" s="6"/>
      <c r="AAW508" s="4"/>
      <c r="AAX508" s="4"/>
      <c r="AAY508" s="4"/>
      <c r="AAZ508" s="4"/>
      <c r="ABA508" s="4"/>
      <c r="ABB508" s="5"/>
      <c r="ABC508" s="6"/>
      <c r="ABD508" s="4"/>
      <c r="ABE508" s="4"/>
      <c r="ABF508" s="4"/>
      <c r="ABG508" s="4"/>
      <c r="ABH508" s="4"/>
      <c r="ABI508" s="5"/>
      <c r="ABJ508" s="6"/>
      <c r="ABK508" s="4"/>
      <c r="ABL508" s="4"/>
      <c r="ABM508" s="4"/>
      <c r="ABN508" s="4"/>
      <c r="ABO508" s="4"/>
      <c r="ABP508" s="5"/>
      <c r="ABQ508" s="6"/>
      <c r="ABR508" s="4"/>
      <c r="ABS508" s="4"/>
      <c r="ABT508" s="4"/>
      <c r="ABU508" s="4"/>
      <c r="ABV508" s="4"/>
      <c r="ABW508" s="5"/>
      <c r="ABX508" s="6"/>
      <c r="ABY508" s="4"/>
      <c r="ABZ508" s="4"/>
      <c r="ACA508" s="4"/>
      <c r="ACB508" s="4"/>
      <c r="ACC508" s="4"/>
      <c r="ACD508" s="5"/>
      <c r="ACE508" s="6"/>
      <c r="ACF508" s="4"/>
      <c r="ACG508" s="4"/>
      <c r="ACH508" s="4"/>
      <c r="ACI508" s="4"/>
      <c r="ACJ508" s="4"/>
      <c r="ACK508" s="5"/>
      <c r="ACL508" s="6"/>
      <c r="ACM508" s="4"/>
      <c r="ACN508" s="4"/>
      <c r="ACO508" s="4"/>
      <c r="ACP508" s="4"/>
      <c r="ACQ508" s="4"/>
      <c r="ACR508" s="5"/>
      <c r="ACS508" s="6"/>
      <c r="ACT508" s="4"/>
      <c r="ACU508" s="4"/>
      <c r="ACV508" s="4"/>
      <c r="ACW508" s="4"/>
      <c r="ACX508" s="4"/>
      <c r="ACY508" s="5"/>
    </row>
    <row r="509" spans="1:839" x14ac:dyDescent="0.25">
      <c r="B509" s="29">
        <v>12055703</v>
      </c>
      <c r="C509" s="57">
        <v>45</v>
      </c>
      <c r="D509" t="s">
        <v>3729</v>
      </c>
      <c r="E509" t="s">
        <v>36</v>
      </c>
      <c r="F509" s="23">
        <v>1</v>
      </c>
      <c r="H509" s="23" t="s">
        <v>1283</v>
      </c>
      <c r="I509">
        <v>1</v>
      </c>
      <c r="J509" s="12"/>
      <c r="K509" s="12"/>
      <c r="L509" s="12"/>
      <c r="M509">
        <v>1</v>
      </c>
      <c r="N509" s="55">
        <v>36161</v>
      </c>
      <c r="Q509">
        <v>1</v>
      </c>
      <c r="AN509">
        <v>1</v>
      </c>
      <c r="LL509" s="6"/>
      <c r="LM509" s="4"/>
      <c r="LN509" s="4"/>
      <c r="LO509" s="4"/>
      <c r="LP509" s="4"/>
      <c r="LQ509" s="4"/>
      <c r="LR509" s="5"/>
      <c r="LS509" s="6"/>
      <c r="LT509" s="4"/>
      <c r="LU509" s="4"/>
      <c r="LV509" s="4"/>
      <c r="LW509" s="4"/>
      <c r="LX509" s="4"/>
      <c r="LY509" s="5"/>
      <c r="LZ509" s="6" t="s">
        <v>3661</v>
      </c>
      <c r="MA509" s="7" t="s">
        <v>3661</v>
      </c>
      <c r="MB509" s="4"/>
      <c r="MC509" s="4"/>
      <c r="MD509" s="4"/>
      <c r="ME509" s="4"/>
      <c r="MF509" s="4"/>
      <c r="MG509" s="5"/>
      <c r="MH509" s="6"/>
      <c r="MI509" s="4"/>
      <c r="MJ509" s="4"/>
      <c r="MK509" s="4"/>
      <c r="ML509" s="4"/>
      <c r="MM509" s="4"/>
      <c r="MN509" s="5"/>
      <c r="MO509" s="6"/>
      <c r="MP509" s="4"/>
      <c r="MQ509" s="4"/>
      <c r="MR509" s="4"/>
      <c r="MS509" s="4"/>
      <c r="MT509" s="4"/>
      <c r="MU509" s="5"/>
      <c r="MV509" s="6"/>
      <c r="MW509" s="4"/>
      <c r="MX509" s="4"/>
      <c r="MY509" s="4"/>
      <c r="MZ509" s="4"/>
      <c r="NA509" s="4"/>
      <c r="NB509" s="5"/>
      <c r="NC509" s="6" t="s">
        <v>1880</v>
      </c>
      <c r="ND509" s="4" t="s">
        <v>1880</v>
      </c>
      <c r="NE509" s="4"/>
      <c r="NF509" s="4"/>
      <c r="NG509" s="4"/>
      <c r="NH509" s="4"/>
      <c r="NI509" s="5"/>
      <c r="NJ509" s="6"/>
      <c r="NK509" s="4"/>
      <c r="NL509" s="4"/>
      <c r="NM509" s="4"/>
      <c r="NN509" s="4"/>
      <c r="NO509" s="4"/>
      <c r="NP509" s="5"/>
      <c r="NQ509" s="6"/>
      <c r="NR509" s="4"/>
      <c r="NS509" s="4"/>
      <c r="NT509" s="4"/>
      <c r="NU509" s="4"/>
      <c r="NV509" s="4"/>
      <c r="NW509" s="5"/>
      <c r="NX509" s="6"/>
      <c r="NY509" s="4"/>
      <c r="NZ509" s="4"/>
      <c r="OA509" s="4"/>
      <c r="OB509" s="4"/>
      <c r="OC509" s="4"/>
      <c r="OD509" s="5"/>
      <c r="OE509" s="6"/>
      <c r="OF509" s="4"/>
      <c r="OG509" s="4"/>
      <c r="OH509" s="4"/>
      <c r="OI509" s="4"/>
      <c r="OJ509" s="4"/>
      <c r="OK509" s="5"/>
      <c r="OL509" s="6"/>
      <c r="OM509" s="4"/>
      <c r="ON509" s="4"/>
      <c r="OO509" s="4"/>
      <c r="OP509" s="4"/>
      <c r="OQ509" s="4"/>
      <c r="OR509" s="5"/>
      <c r="OS509" s="6"/>
      <c r="OT509" s="4"/>
      <c r="OU509" s="4"/>
      <c r="OV509" s="4"/>
      <c r="OW509" s="4"/>
      <c r="OX509" s="4"/>
      <c r="OY509" s="5"/>
      <c r="OZ509" s="6"/>
      <c r="PA509" s="4"/>
      <c r="PB509" s="4"/>
      <c r="PC509" s="4"/>
      <c r="PD509" s="4"/>
      <c r="PE509" s="4"/>
      <c r="PF509" s="5"/>
      <c r="PG509" s="6"/>
      <c r="PH509" s="4"/>
      <c r="PI509" s="4"/>
      <c r="PJ509" s="4"/>
      <c r="PK509" s="4"/>
      <c r="PL509" s="4"/>
      <c r="PM509" s="5"/>
      <c r="PN509" s="6"/>
      <c r="PO509" s="4"/>
      <c r="PP509" s="4"/>
      <c r="PQ509" s="4"/>
      <c r="PR509" s="4"/>
      <c r="PS509" s="4"/>
      <c r="PT509" s="5"/>
      <c r="PU509" s="6"/>
      <c r="PV509" s="4"/>
      <c r="PW509" s="4"/>
      <c r="PX509" s="4"/>
      <c r="PY509" s="4"/>
      <c r="PZ509" s="4"/>
      <c r="QA509" s="5"/>
      <c r="QB509" s="6"/>
      <c r="QC509" s="4"/>
      <c r="QD509" s="4"/>
      <c r="QE509" s="4"/>
      <c r="QF509" s="4"/>
      <c r="QG509" s="4"/>
      <c r="QH509" s="5"/>
      <c r="QI509" s="6"/>
      <c r="QJ509" s="4"/>
      <c r="QK509" s="4"/>
      <c r="QL509" s="4"/>
      <c r="QM509" s="4"/>
      <c r="QN509" s="4"/>
      <c r="QO509" s="5"/>
      <c r="QP509" s="6"/>
      <c r="QQ509" s="4"/>
      <c r="QR509" s="4"/>
      <c r="QS509" s="4"/>
      <c r="QT509" s="4"/>
      <c r="QU509" s="4"/>
      <c r="QV509" s="5"/>
      <c r="QW509" s="6"/>
      <c r="QX509" s="4"/>
      <c r="QY509" s="4"/>
      <c r="QZ509" s="4"/>
      <c r="RA509" s="4"/>
      <c r="RB509" s="4"/>
      <c r="RC509" s="5"/>
      <c r="RD509" s="6"/>
      <c r="RE509" s="4"/>
      <c r="RF509" s="4"/>
      <c r="RG509" s="4"/>
      <c r="RH509" s="4"/>
      <c r="RI509" s="4"/>
      <c r="RJ509" s="5"/>
      <c r="RK509" s="6"/>
      <c r="RL509" s="4"/>
      <c r="RM509" s="4"/>
      <c r="RN509" s="4"/>
      <c r="RO509" s="4"/>
      <c r="RP509" s="4"/>
      <c r="RQ509" s="5"/>
      <c r="RR509" s="6"/>
      <c r="RS509" s="4"/>
      <c r="RT509" s="4"/>
      <c r="RU509" s="4"/>
      <c r="RV509" s="4"/>
      <c r="RW509" s="4"/>
      <c r="RX509" s="5"/>
      <c r="RY509" s="6"/>
      <c r="RZ509" s="4"/>
      <c r="SA509" s="4"/>
      <c r="SB509" s="4"/>
      <c r="SC509" s="4"/>
      <c r="SD509" s="4"/>
      <c r="SE509" s="5"/>
      <c r="SF509" s="6"/>
      <c r="SG509" s="4"/>
      <c r="SH509" s="4"/>
      <c r="SI509" s="4"/>
      <c r="SJ509" s="4"/>
      <c r="SK509" s="4"/>
      <c r="SL509" s="5"/>
      <c r="SM509" s="6"/>
      <c r="SN509" s="4"/>
      <c r="SO509" s="4"/>
      <c r="SP509" s="4"/>
      <c r="SQ509" s="4"/>
      <c r="SR509" s="4"/>
      <c r="SS509" s="5"/>
      <c r="ST509" s="6"/>
      <c r="SU509" s="4"/>
      <c r="SV509" s="4"/>
      <c r="SW509" s="4"/>
      <c r="SX509" s="4"/>
      <c r="SY509" s="4"/>
      <c r="SZ509" s="5"/>
      <c r="TA509" s="6"/>
      <c r="TB509" s="4"/>
      <c r="TC509" s="4"/>
      <c r="TD509" s="4"/>
      <c r="TE509" s="4"/>
      <c r="TF509" s="4"/>
      <c r="TG509" s="5"/>
      <c r="TH509" s="6"/>
      <c r="TI509" s="4"/>
      <c r="TJ509" s="4"/>
      <c r="TK509" s="4"/>
      <c r="TL509" s="4"/>
      <c r="TM509" s="4"/>
      <c r="TN509" s="5"/>
      <c r="TO509" s="6"/>
      <c r="TP509" s="4"/>
      <c r="TQ509" s="4"/>
      <c r="TR509" s="4"/>
      <c r="TS509" s="4"/>
      <c r="TT509" s="4"/>
      <c r="TU509" s="5"/>
      <c r="TV509" s="6"/>
      <c r="TW509" s="4"/>
      <c r="TX509" s="4"/>
      <c r="TY509" s="4"/>
      <c r="TZ509" s="4"/>
      <c r="UA509" s="4"/>
      <c r="UB509" s="5"/>
      <c r="UC509" s="6"/>
      <c r="UD509" s="4"/>
      <c r="UE509" s="4"/>
      <c r="UF509" s="4"/>
      <c r="UG509" s="4"/>
      <c r="UH509" s="4"/>
      <c r="UI509" s="5"/>
      <c r="UJ509" s="6"/>
      <c r="UK509" s="4"/>
      <c r="UL509" s="4"/>
      <c r="UM509" s="4"/>
      <c r="UN509" s="4"/>
      <c r="UO509" s="4"/>
      <c r="UP509" s="5"/>
      <c r="UQ509" s="6"/>
      <c r="UR509" s="4"/>
      <c r="US509" s="4"/>
      <c r="UT509" s="4"/>
      <c r="UU509" s="4"/>
      <c r="UV509" s="4"/>
      <c r="UW509" s="5"/>
      <c r="UX509" s="6"/>
      <c r="UY509" s="4"/>
      <c r="UZ509" s="4"/>
      <c r="VA509" s="4"/>
      <c r="VB509" s="4"/>
      <c r="VC509" s="4"/>
      <c r="VD509" s="5"/>
      <c r="VE509" s="6"/>
      <c r="VF509" s="4"/>
      <c r="VG509" s="4"/>
      <c r="VH509" s="4"/>
      <c r="VI509" s="4"/>
      <c r="VJ509" s="4"/>
      <c r="VK509" s="5"/>
      <c r="VL509" s="6" t="s">
        <v>3830</v>
      </c>
      <c r="VM509" s="4" t="s">
        <v>2602</v>
      </c>
      <c r="VN509" s="4"/>
      <c r="VO509" s="4"/>
      <c r="VP509" s="4"/>
      <c r="VQ509" s="4"/>
      <c r="VR509" s="5" t="s">
        <v>47</v>
      </c>
      <c r="VS509" s="6"/>
      <c r="VT509" s="4"/>
      <c r="VU509" s="4"/>
      <c r="VV509" s="4"/>
      <c r="VW509" s="4"/>
      <c r="VX509" s="4"/>
      <c r="VY509" s="5"/>
      <c r="VZ509" s="6"/>
      <c r="WA509" s="4"/>
      <c r="WB509" s="4"/>
      <c r="WC509" s="4"/>
      <c r="WD509" s="4"/>
      <c r="WE509" s="4"/>
      <c r="WF509" s="5"/>
      <c r="WG509" s="6"/>
      <c r="WH509" s="4"/>
      <c r="WI509" s="4"/>
      <c r="WJ509" s="4"/>
      <c r="WK509" s="4"/>
      <c r="WL509" s="4"/>
      <c r="WM509" s="5"/>
      <c r="WN509" s="6"/>
      <c r="WO509" s="4"/>
      <c r="WP509" s="4"/>
      <c r="WQ509" s="4"/>
      <c r="WR509" s="4"/>
      <c r="WS509" s="4"/>
      <c r="WT509" s="5"/>
      <c r="WU509" s="4" t="s">
        <v>3452</v>
      </c>
      <c r="WV509" s="4" t="s">
        <v>3452</v>
      </c>
      <c r="WW509" s="4"/>
      <c r="WX509" s="4"/>
      <c r="WY509" s="4"/>
      <c r="WZ509" s="4"/>
      <c r="XA509" s="5" t="s">
        <v>47</v>
      </c>
      <c r="XB509" s="6"/>
      <c r="XC509" s="4"/>
      <c r="XD509" s="4"/>
      <c r="XE509" s="4"/>
      <c r="XF509" s="4"/>
      <c r="XG509" s="4"/>
      <c r="XH509" s="5"/>
      <c r="XI509" s="6"/>
      <c r="XJ509" s="4"/>
      <c r="XK509" s="4"/>
      <c r="XL509" s="4"/>
      <c r="XM509" s="4"/>
      <c r="XN509" s="4"/>
      <c r="XO509" s="5"/>
      <c r="XP509" s="6"/>
      <c r="XQ509" s="4"/>
      <c r="XR509" s="4"/>
      <c r="XS509" s="4"/>
      <c r="XT509" s="4"/>
      <c r="XU509" s="4"/>
      <c r="XV509" s="5"/>
      <c r="XW509" s="6"/>
      <c r="XX509" s="4"/>
      <c r="XY509" s="4"/>
      <c r="XZ509" s="4"/>
      <c r="YA509" s="4"/>
      <c r="YB509" s="4"/>
      <c r="YC509" s="5"/>
      <c r="YD509" s="6"/>
      <c r="YE509" s="4"/>
      <c r="YF509" s="4"/>
      <c r="YG509" s="4"/>
      <c r="YH509" s="4"/>
      <c r="YI509" s="4"/>
      <c r="YJ509" s="5"/>
      <c r="YK509" s="6"/>
      <c r="YL509" s="4"/>
      <c r="YM509" s="4"/>
      <c r="YN509" s="4"/>
      <c r="YO509" s="4"/>
      <c r="YP509" s="4"/>
      <c r="YQ509" s="5"/>
      <c r="YR509" s="6"/>
      <c r="YS509" s="4"/>
      <c r="YT509" s="4"/>
      <c r="YU509" s="4"/>
      <c r="YV509" s="4"/>
      <c r="YW509" s="4"/>
      <c r="YX509" s="5"/>
      <c r="YY509" s="6"/>
      <c r="YZ509" s="4"/>
      <c r="ZA509" s="4"/>
      <c r="ZB509" s="4"/>
      <c r="ZC509" s="4"/>
      <c r="ZD509" s="4"/>
      <c r="ZE509" s="5"/>
      <c r="ZF509" s="6"/>
      <c r="ZG509" s="4"/>
      <c r="ZH509" s="4"/>
      <c r="ZI509" s="4"/>
      <c r="ZJ509" s="4"/>
      <c r="ZK509" s="4"/>
      <c r="ZL509" s="5"/>
      <c r="ZM509" s="6"/>
      <c r="ZN509" s="4"/>
      <c r="ZO509" s="4"/>
      <c r="ZP509" s="4"/>
      <c r="ZQ509" s="4"/>
      <c r="ZR509" s="4"/>
      <c r="ZS509" s="5"/>
      <c r="ZT509" s="6"/>
      <c r="ZU509" s="4"/>
      <c r="ZV509" s="4"/>
      <c r="ZW509" s="4"/>
      <c r="ZX509" s="4"/>
      <c r="ZY509" s="4"/>
      <c r="ZZ509" s="5"/>
      <c r="AAA509" s="6"/>
      <c r="AAB509" s="4"/>
      <c r="AAC509" s="4"/>
      <c r="AAD509" s="4"/>
      <c r="AAE509" s="4"/>
      <c r="AAF509" s="4"/>
      <c r="AAG509" s="5"/>
      <c r="AAH509" s="6"/>
      <c r="AAI509" s="4"/>
      <c r="AAJ509" s="4"/>
      <c r="AAK509" s="4"/>
      <c r="AAL509" s="4"/>
      <c r="AAM509" s="4"/>
      <c r="AAN509" s="5"/>
      <c r="AAO509" s="6"/>
      <c r="AAP509" s="4"/>
      <c r="AAQ509" s="4"/>
      <c r="AAR509" s="4"/>
      <c r="AAS509" s="4"/>
      <c r="AAT509" s="4"/>
      <c r="AAU509" s="5"/>
      <c r="AAV509" s="6"/>
      <c r="AAW509" s="4"/>
      <c r="AAX509" s="4"/>
      <c r="AAY509" s="4"/>
      <c r="AAZ509" s="4"/>
      <c r="ABA509" s="4"/>
      <c r="ABB509" s="5"/>
      <c r="ABC509" s="6"/>
      <c r="ABD509" s="4"/>
      <c r="ABE509" s="4"/>
      <c r="ABF509" s="4"/>
      <c r="ABG509" s="4"/>
      <c r="ABH509" s="4"/>
      <c r="ABI509" s="5"/>
      <c r="ABJ509" s="6"/>
      <c r="ABK509" s="4"/>
      <c r="ABL509" s="4"/>
      <c r="ABM509" s="4"/>
      <c r="ABN509" s="4"/>
      <c r="ABO509" s="4"/>
      <c r="ABP509" s="5"/>
      <c r="ABQ509" s="6"/>
      <c r="ABR509" s="4"/>
      <c r="ABS509" s="4"/>
      <c r="ABT509" s="4"/>
      <c r="ABU509" s="4"/>
      <c r="ABV509" s="4"/>
      <c r="ABW509" s="5"/>
      <c r="ABX509" s="6"/>
      <c r="ABY509" s="4"/>
      <c r="ABZ509" s="4"/>
      <c r="ACA509" s="4"/>
      <c r="ACB509" s="4"/>
      <c r="ACC509" s="4"/>
      <c r="ACD509" s="5"/>
      <c r="ACE509" s="6"/>
      <c r="ACF509" s="4"/>
      <c r="ACG509" s="4"/>
      <c r="ACH509" s="4"/>
      <c r="ACI509" s="4"/>
      <c r="ACJ509" s="4"/>
      <c r="ACK509" s="5"/>
      <c r="ACL509" s="6"/>
      <c r="ACM509" s="4"/>
      <c r="ACN509" s="4"/>
      <c r="ACO509" s="4"/>
      <c r="ACP509" s="4"/>
      <c r="ACQ509" s="4"/>
      <c r="ACR509" s="5"/>
      <c r="ACS509" s="6"/>
      <c r="ACT509" s="4"/>
      <c r="ACU509" s="4"/>
      <c r="ACV509" s="4"/>
      <c r="ACW509" s="4"/>
      <c r="ACX509" s="4"/>
      <c r="ACY509" s="5"/>
      <c r="ADV509" t="s">
        <v>1284</v>
      </c>
    </row>
    <row r="510" spans="1:839" x14ac:dyDescent="0.25">
      <c r="J510" s="12"/>
      <c r="K510" s="12"/>
      <c r="L510" s="12"/>
      <c r="LL510" s="6"/>
      <c r="LM510" s="4"/>
      <c r="LN510" s="4"/>
      <c r="LO510" s="4"/>
      <c r="LP510" s="4"/>
      <c r="LQ510" s="4"/>
      <c r="LR510" s="5"/>
      <c r="LS510" s="6"/>
      <c r="LT510" s="4"/>
      <c r="LU510" s="4"/>
      <c r="LV510" s="4"/>
      <c r="LW510" s="4"/>
      <c r="LX510" s="4"/>
      <c r="LY510" s="5"/>
      <c r="LZ510" s="6"/>
      <c r="MA510" s="7"/>
      <c r="MB510" s="4"/>
      <c r="MC510" s="4"/>
      <c r="MD510" s="4"/>
      <c r="ME510" s="4"/>
      <c r="MF510" s="4"/>
      <c r="MG510" s="5"/>
      <c r="MH510" s="6"/>
      <c r="MI510" s="4"/>
      <c r="MJ510" s="4"/>
      <c r="MK510" s="4"/>
      <c r="ML510" s="4"/>
      <c r="MM510" s="4"/>
      <c r="MN510" s="5"/>
      <c r="MO510" s="6"/>
      <c r="MP510" s="4"/>
      <c r="MQ510" s="4"/>
      <c r="MR510" s="4"/>
      <c r="MS510" s="4"/>
      <c r="MT510" s="4"/>
      <c r="MU510" s="5"/>
      <c r="MV510" s="6"/>
      <c r="MW510" s="4"/>
      <c r="MX510" s="4"/>
      <c r="MY510" s="4"/>
      <c r="MZ510" s="4"/>
      <c r="NA510" s="4"/>
      <c r="NB510" s="5"/>
      <c r="NC510" s="6"/>
      <c r="ND510" s="4"/>
      <c r="NE510" s="4"/>
      <c r="NF510" s="4"/>
      <c r="NG510" s="4"/>
      <c r="NH510" s="4"/>
      <c r="NI510" s="5"/>
      <c r="NJ510" s="6"/>
      <c r="NK510" s="4"/>
      <c r="NL510" s="4"/>
      <c r="NM510" s="4"/>
      <c r="NN510" s="4"/>
      <c r="NO510" s="4"/>
      <c r="NP510" s="5"/>
      <c r="NQ510" s="6"/>
      <c r="NR510" s="4"/>
      <c r="NS510" s="4"/>
      <c r="NT510" s="4"/>
      <c r="NU510" s="4"/>
      <c r="NV510" s="4"/>
      <c r="NW510" s="5"/>
      <c r="NX510" s="6"/>
      <c r="NY510" s="4"/>
      <c r="NZ510" s="4"/>
      <c r="OA510" s="4"/>
      <c r="OB510" s="4"/>
      <c r="OC510" s="4"/>
      <c r="OD510" s="5"/>
      <c r="OE510" s="6"/>
      <c r="OF510" s="4"/>
      <c r="OG510" s="4"/>
      <c r="OH510" s="4"/>
      <c r="OI510" s="4"/>
      <c r="OJ510" s="4"/>
      <c r="OK510" s="5"/>
      <c r="OL510" s="6"/>
      <c r="OM510" s="4"/>
      <c r="ON510" s="4"/>
      <c r="OO510" s="4"/>
      <c r="OP510" s="4"/>
      <c r="OQ510" s="4"/>
      <c r="OR510" s="5"/>
      <c r="OS510" s="6"/>
      <c r="OT510" s="4"/>
      <c r="OU510" s="4"/>
      <c r="OV510" s="4"/>
      <c r="OW510" s="4"/>
      <c r="OX510" s="4"/>
      <c r="OY510" s="5"/>
      <c r="OZ510" s="6"/>
      <c r="PA510" s="4"/>
      <c r="PB510" s="4"/>
      <c r="PC510" s="4"/>
      <c r="PD510" s="4"/>
      <c r="PE510" s="4"/>
      <c r="PF510" s="5"/>
      <c r="PG510" s="6"/>
      <c r="PH510" s="4"/>
      <c r="PI510" s="4"/>
      <c r="PJ510" s="4"/>
      <c r="PK510" s="4"/>
      <c r="PL510" s="4"/>
      <c r="PM510" s="5"/>
      <c r="PN510" s="6"/>
      <c r="PO510" s="4"/>
      <c r="PP510" s="4"/>
      <c r="PQ510" s="4"/>
      <c r="PR510" s="4"/>
      <c r="PS510" s="4"/>
      <c r="PT510" s="5"/>
      <c r="PU510" s="6"/>
      <c r="PV510" s="4"/>
      <c r="PW510" s="4"/>
      <c r="PX510" s="4"/>
      <c r="PY510" s="4"/>
      <c r="PZ510" s="4"/>
      <c r="QA510" s="5"/>
      <c r="QB510" s="6"/>
      <c r="QC510" s="4"/>
      <c r="QD510" s="4"/>
      <c r="QE510" s="4"/>
      <c r="QF510" s="4"/>
      <c r="QG510" s="4"/>
      <c r="QH510" s="5"/>
      <c r="QI510" s="6"/>
      <c r="QJ510" s="4"/>
      <c r="QK510" s="4"/>
      <c r="QL510" s="4"/>
      <c r="QM510" s="4"/>
      <c r="QN510" s="4"/>
      <c r="QO510" s="5"/>
      <c r="QP510" s="6"/>
      <c r="QQ510" s="4"/>
      <c r="QR510" s="4"/>
      <c r="QS510" s="4"/>
      <c r="QT510" s="4"/>
      <c r="QU510" s="4"/>
      <c r="QV510" s="5"/>
      <c r="QW510" s="6"/>
      <c r="QX510" s="4"/>
      <c r="QY510" s="4"/>
      <c r="QZ510" s="4"/>
      <c r="RA510" s="4"/>
      <c r="RB510" s="4"/>
      <c r="RC510" s="5"/>
      <c r="RD510" s="6"/>
      <c r="RE510" s="4"/>
      <c r="RF510" s="4"/>
      <c r="RG510" s="4"/>
      <c r="RH510" s="4"/>
      <c r="RI510" s="4"/>
      <c r="RJ510" s="5"/>
      <c r="RK510" s="6"/>
      <c r="RL510" s="4"/>
      <c r="RM510" s="4"/>
      <c r="RN510" s="4"/>
      <c r="RO510" s="4"/>
      <c r="RP510" s="4"/>
      <c r="RQ510" s="5"/>
      <c r="RR510" s="6"/>
      <c r="RS510" s="4"/>
      <c r="RT510" s="4"/>
      <c r="RU510" s="4"/>
      <c r="RV510" s="4"/>
      <c r="RW510" s="4"/>
      <c r="RX510" s="5"/>
      <c r="RY510" s="6"/>
      <c r="RZ510" s="4"/>
      <c r="SA510" s="4"/>
      <c r="SB510" s="4"/>
      <c r="SC510" s="4"/>
      <c r="SD510" s="4"/>
      <c r="SE510" s="5"/>
      <c r="SF510" s="6"/>
      <c r="SG510" s="4"/>
      <c r="SH510" s="4"/>
      <c r="SI510" s="4"/>
      <c r="SJ510" s="4"/>
      <c r="SK510" s="4"/>
      <c r="SL510" s="5"/>
      <c r="SM510" s="6"/>
      <c r="SN510" s="4"/>
      <c r="SO510" s="4"/>
      <c r="SP510" s="4"/>
      <c r="SQ510" s="4"/>
      <c r="SR510" s="4"/>
      <c r="SS510" s="5"/>
      <c r="ST510" s="6"/>
      <c r="SU510" s="4"/>
      <c r="SV510" s="4"/>
      <c r="SW510" s="4"/>
      <c r="SX510" s="4"/>
      <c r="SY510" s="4"/>
      <c r="SZ510" s="5"/>
      <c r="TA510" s="6"/>
      <c r="TB510" s="4"/>
      <c r="TC510" s="4"/>
      <c r="TD510" s="4"/>
      <c r="TE510" s="4"/>
      <c r="TF510" s="4"/>
      <c r="TG510" s="5"/>
      <c r="TH510" s="6"/>
      <c r="TI510" s="4"/>
      <c r="TJ510" s="4"/>
      <c r="TK510" s="4"/>
      <c r="TL510" s="4"/>
      <c r="TM510" s="4"/>
      <c r="TN510" s="5"/>
      <c r="TO510" s="6"/>
      <c r="TP510" s="4"/>
      <c r="TQ510" s="4"/>
      <c r="TR510" s="4"/>
      <c r="TS510" s="4"/>
      <c r="TT510" s="4"/>
      <c r="TU510" s="5"/>
      <c r="TV510" s="6"/>
      <c r="TW510" s="4"/>
      <c r="TX510" s="4"/>
      <c r="TY510" s="4"/>
      <c r="TZ510" s="4"/>
      <c r="UA510" s="4"/>
      <c r="UB510" s="5"/>
      <c r="UC510" s="6"/>
      <c r="UD510" s="4"/>
      <c r="UE510" s="4"/>
      <c r="UF510" s="4"/>
      <c r="UG510" s="4"/>
      <c r="UH510" s="4"/>
      <c r="UI510" s="5"/>
      <c r="UJ510" s="6"/>
      <c r="UK510" s="4"/>
      <c r="UL510" s="4"/>
      <c r="UM510" s="4"/>
      <c r="UN510" s="4"/>
      <c r="UO510" s="4"/>
      <c r="UP510" s="5"/>
      <c r="UQ510" s="6"/>
      <c r="UR510" s="4"/>
      <c r="US510" s="4"/>
      <c r="UT510" s="4"/>
      <c r="UU510" s="4"/>
      <c r="UV510" s="4"/>
      <c r="UW510" s="5"/>
      <c r="UX510" s="6"/>
      <c r="UY510" s="4"/>
      <c r="UZ510" s="4"/>
      <c r="VA510" s="4"/>
      <c r="VB510" s="4"/>
      <c r="VC510" s="4"/>
      <c r="VD510" s="5"/>
      <c r="VE510" s="6"/>
      <c r="VF510" s="4"/>
      <c r="VG510" s="4"/>
      <c r="VH510" s="4"/>
      <c r="VI510" s="4"/>
      <c r="VJ510" s="4"/>
      <c r="VK510" s="5"/>
      <c r="VL510" s="6" t="s">
        <v>46</v>
      </c>
      <c r="VM510" s="4" t="s">
        <v>45</v>
      </c>
      <c r="VN510" s="4"/>
      <c r="VO510" s="4"/>
      <c r="VP510" s="4"/>
      <c r="VQ510" s="4"/>
      <c r="VR510" s="5"/>
      <c r="VS510" s="6"/>
      <c r="VT510" s="4"/>
      <c r="VU510" s="4"/>
      <c r="VV510" s="4"/>
      <c r="VW510" s="4"/>
      <c r="VX510" s="4"/>
      <c r="VY510" s="5"/>
      <c r="VZ510" s="6"/>
      <c r="WA510" s="4"/>
      <c r="WB510" s="4"/>
      <c r="WC510" s="4"/>
      <c r="WD510" s="4"/>
      <c r="WE510" s="4"/>
      <c r="WF510" s="5"/>
      <c r="WG510" s="6"/>
      <c r="WH510" s="4"/>
      <c r="WI510" s="4"/>
      <c r="WJ510" s="4"/>
      <c r="WK510" s="4"/>
      <c r="WL510" s="4"/>
      <c r="WM510" s="5"/>
      <c r="WN510" s="6"/>
      <c r="WO510" s="4"/>
      <c r="WP510" s="4"/>
      <c r="WQ510" s="4"/>
      <c r="WR510" s="4"/>
      <c r="WS510" s="4"/>
      <c r="WT510" s="5"/>
      <c r="WU510" s="4"/>
      <c r="WV510" s="4"/>
      <c r="WW510" s="4"/>
      <c r="WX510" s="4"/>
      <c r="WY510" s="4"/>
      <c r="WZ510" s="4"/>
      <c r="XA510" s="5"/>
      <c r="XB510" s="6"/>
      <c r="XC510" s="4"/>
      <c r="XD510" s="4"/>
      <c r="XE510" s="4"/>
      <c r="XF510" s="4"/>
      <c r="XG510" s="4"/>
      <c r="XH510" s="5"/>
      <c r="XI510" s="6"/>
      <c r="XJ510" s="4"/>
      <c r="XK510" s="4"/>
      <c r="XL510" s="4"/>
      <c r="XM510" s="4"/>
      <c r="XN510" s="4"/>
      <c r="XO510" s="5"/>
      <c r="XP510" s="6"/>
      <c r="XQ510" s="4"/>
      <c r="XR510" s="4"/>
      <c r="XS510" s="4"/>
      <c r="XT510" s="4"/>
      <c r="XU510" s="4"/>
      <c r="XV510" s="5"/>
      <c r="XW510" s="6"/>
      <c r="XX510" s="4"/>
      <c r="XY510" s="4"/>
      <c r="XZ510" s="4"/>
      <c r="YA510" s="4"/>
      <c r="YB510" s="4"/>
      <c r="YC510" s="5"/>
      <c r="YD510" s="6"/>
      <c r="YE510" s="4"/>
      <c r="YF510" s="4"/>
      <c r="YG510" s="4"/>
      <c r="YH510" s="4"/>
      <c r="YI510" s="4"/>
      <c r="YJ510" s="5"/>
      <c r="YK510" s="6"/>
      <c r="YL510" s="4"/>
      <c r="YM510" s="4"/>
      <c r="YN510" s="4"/>
      <c r="YO510" s="4"/>
      <c r="YP510" s="4"/>
      <c r="YQ510" s="5"/>
      <c r="YR510" s="6"/>
      <c r="YS510" s="4"/>
      <c r="YT510" s="4"/>
      <c r="YU510" s="4"/>
      <c r="YV510" s="4"/>
      <c r="YW510" s="4"/>
      <c r="YX510" s="5"/>
      <c r="YY510" s="6"/>
      <c r="YZ510" s="4"/>
      <c r="ZA510" s="4"/>
      <c r="ZB510" s="4"/>
      <c r="ZC510" s="4"/>
      <c r="ZD510" s="4"/>
      <c r="ZE510" s="5"/>
      <c r="ZF510" s="6"/>
      <c r="ZG510" s="4"/>
      <c r="ZH510" s="4"/>
      <c r="ZI510" s="4"/>
      <c r="ZJ510" s="4"/>
      <c r="ZK510" s="4"/>
      <c r="ZL510" s="5"/>
      <c r="ZM510" s="6"/>
      <c r="ZN510" s="4"/>
      <c r="ZO510" s="4"/>
      <c r="ZP510" s="4"/>
      <c r="ZQ510" s="4"/>
      <c r="ZR510" s="4"/>
      <c r="ZS510" s="5"/>
      <c r="ZT510" s="6"/>
      <c r="ZU510" s="4"/>
      <c r="ZV510" s="4"/>
      <c r="ZW510" s="4"/>
      <c r="ZX510" s="4"/>
      <c r="ZY510" s="4"/>
      <c r="ZZ510" s="5"/>
      <c r="AAA510" s="6"/>
      <c r="AAB510" s="4"/>
      <c r="AAC510" s="4"/>
      <c r="AAD510" s="4"/>
      <c r="AAE510" s="4"/>
      <c r="AAF510" s="4"/>
      <c r="AAG510" s="5"/>
      <c r="AAH510" s="6"/>
      <c r="AAI510" s="4"/>
      <c r="AAJ510" s="4"/>
      <c r="AAK510" s="4"/>
      <c r="AAL510" s="4"/>
      <c r="AAM510" s="4"/>
      <c r="AAN510" s="5"/>
      <c r="AAO510" s="6"/>
      <c r="AAP510" s="4"/>
      <c r="AAQ510" s="4"/>
      <c r="AAR510" s="4"/>
      <c r="AAS510" s="4"/>
      <c r="AAT510" s="4"/>
      <c r="AAU510" s="5"/>
      <c r="AAV510" s="6"/>
      <c r="AAW510" s="4"/>
      <c r="AAX510" s="4"/>
      <c r="AAY510" s="4"/>
      <c r="AAZ510" s="4"/>
      <c r="ABA510" s="4"/>
      <c r="ABB510" s="5"/>
      <c r="ABC510" s="6"/>
      <c r="ABD510" s="4"/>
      <c r="ABE510" s="4"/>
      <c r="ABF510" s="4"/>
      <c r="ABG510" s="4"/>
      <c r="ABH510" s="4"/>
      <c r="ABI510" s="5"/>
      <c r="ABJ510" s="6"/>
      <c r="ABK510" s="4"/>
      <c r="ABL510" s="4"/>
      <c r="ABM510" s="4"/>
      <c r="ABN510" s="4"/>
      <c r="ABO510" s="4"/>
      <c r="ABP510" s="5"/>
      <c r="ABQ510" s="6"/>
      <c r="ABR510" s="4"/>
      <c r="ABS510" s="4"/>
      <c r="ABT510" s="4"/>
      <c r="ABU510" s="4"/>
      <c r="ABV510" s="4"/>
      <c r="ABW510" s="5"/>
      <c r="ABX510" s="6"/>
      <c r="ABY510" s="4"/>
      <c r="ABZ510" s="4"/>
      <c r="ACA510" s="4"/>
      <c r="ACB510" s="4"/>
      <c r="ACC510" s="4"/>
      <c r="ACD510" s="5"/>
      <c r="ACE510" s="6"/>
      <c r="ACF510" s="4"/>
      <c r="ACG510" s="4"/>
      <c r="ACH510" s="4"/>
      <c r="ACI510" s="4"/>
      <c r="ACJ510" s="4"/>
      <c r="ACK510" s="5"/>
      <c r="ACL510" s="6"/>
      <c r="ACM510" s="4"/>
      <c r="ACN510" s="4"/>
      <c r="ACO510" s="4"/>
      <c r="ACP510" s="4"/>
      <c r="ACQ510" s="4"/>
      <c r="ACR510" s="5"/>
      <c r="ACS510" s="6"/>
      <c r="ACT510" s="4"/>
      <c r="ACU510" s="4"/>
      <c r="ACV510" s="4"/>
      <c r="ACW510" s="4"/>
      <c r="ACX510" s="4"/>
      <c r="ACY510" s="5"/>
    </row>
    <row r="511" spans="1:839" x14ac:dyDescent="0.25">
      <c r="A511" t="s">
        <v>4258</v>
      </c>
      <c r="B511" s="29">
        <v>12061933</v>
      </c>
      <c r="C511" s="57">
        <v>31</v>
      </c>
      <c r="D511" t="s">
        <v>3729</v>
      </c>
      <c r="E511" s="35" t="s">
        <v>59</v>
      </c>
      <c r="F511" s="23">
        <v>0</v>
      </c>
      <c r="I511">
        <v>1</v>
      </c>
      <c r="J511" s="28">
        <v>36678</v>
      </c>
      <c r="K511" s="28"/>
      <c r="L511" s="28"/>
      <c r="M511">
        <v>1</v>
      </c>
      <c r="N511" s="55">
        <v>36678</v>
      </c>
      <c r="Q511">
        <v>1</v>
      </c>
      <c r="R511">
        <v>1</v>
      </c>
      <c r="W511">
        <v>1</v>
      </c>
      <c r="CI511">
        <v>1</v>
      </c>
      <c r="FA511">
        <v>1</v>
      </c>
      <c r="IC511">
        <v>1</v>
      </c>
      <c r="IW511">
        <v>1</v>
      </c>
      <c r="IZ511">
        <v>1</v>
      </c>
      <c r="JJ511">
        <v>1</v>
      </c>
      <c r="LL511" s="6"/>
      <c r="LM511" s="4"/>
      <c r="LN511" s="4"/>
      <c r="LO511" s="4"/>
      <c r="LP511" s="4"/>
      <c r="LQ511" s="4"/>
      <c r="LR511" s="5"/>
      <c r="LS511" s="6"/>
      <c r="LT511" s="4"/>
      <c r="LU511" s="4"/>
      <c r="LV511" s="4"/>
      <c r="LW511" s="4"/>
      <c r="LX511" s="4"/>
      <c r="LY511" s="5"/>
      <c r="LZ511" s="6" t="s">
        <v>3716</v>
      </c>
      <c r="MA511" s="7" t="s">
        <v>3691</v>
      </c>
      <c r="MB511" s="4"/>
      <c r="MC511" s="4"/>
      <c r="MD511" s="4"/>
      <c r="ME511" s="4"/>
      <c r="MF511" s="4"/>
      <c r="MG511" s="5"/>
      <c r="MH511" s="6"/>
      <c r="MI511" s="4"/>
      <c r="MJ511" s="4"/>
      <c r="MK511" s="4"/>
      <c r="ML511" s="4"/>
      <c r="MM511" s="4"/>
      <c r="MN511" s="5"/>
      <c r="MO511" s="6"/>
      <c r="MP511" s="4"/>
      <c r="MQ511" s="4"/>
      <c r="MR511" s="4"/>
      <c r="MS511" s="4"/>
      <c r="MT511" s="4"/>
      <c r="MU511" s="5"/>
      <c r="MV511" s="6"/>
      <c r="MW511" s="4"/>
      <c r="MX511" s="4"/>
      <c r="MY511" s="4"/>
      <c r="MZ511" s="4"/>
      <c r="NA511" s="4"/>
      <c r="NB511" s="5"/>
      <c r="NC511" s="6"/>
      <c r="ND511" s="4"/>
      <c r="NE511" s="4"/>
      <c r="NF511" s="4"/>
      <c r="NG511" s="4"/>
      <c r="NH511" s="4"/>
      <c r="NI511" s="5"/>
      <c r="NJ511" s="6"/>
      <c r="NK511" s="4"/>
      <c r="NL511" s="4"/>
      <c r="NM511" s="4"/>
      <c r="NN511" s="4"/>
      <c r="NO511" s="4"/>
      <c r="NP511" s="5"/>
      <c r="NQ511" s="6"/>
      <c r="NR511" s="4"/>
      <c r="NS511" s="4"/>
      <c r="NT511" s="4"/>
      <c r="NU511" s="4"/>
      <c r="NV511" s="4"/>
      <c r="NW511" s="5"/>
      <c r="NX511" s="6"/>
      <c r="NY511" s="4"/>
      <c r="NZ511" s="4"/>
      <c r="OA511" s="4"/>
      <c r="OB511" s="4"/>
      <c r="OC511" s="4"/>
      <c r="OD511" s="5"/>
      <c r="OE511" s="6"/>
      <c r="OF511" s="4"/>
      <c r="OG511" s="4"/>
      <c r="OH511" s="4"/>
      <c r="OI511" s="4"/>
      <c r="OJ511" s="4"/>
      <c r="OK511" s="5"/>
      <c r="OL511" s="6"/>
      <c r="OM511" s="4"/>
      <c r="ON511" s="4"/>
      <c r="OO511" s="4"/>
      <c r="OP511" s="4"/>
      <c r="OQ511" s="4"/>
      <c r="OR511" s="5"/>
      <c r="OS511" s="6"/>
      <c r="OT511" s="4"/>
      <c r="OU511" s="4"/>
      <c r="OV511" s="4"/>
      <c r="OW511" s="4"/>
      <c r="OX511" s="4"/>
      <c r="OY511" s="5"/>
      <c r="OZ511" s="6"/>
      <c r="PA511" s="4"/>
      <c r="PB511" s="4"/>
      <c r="PC511" s="4"/>
      <c r="PD511" s="4"/>
      <c r="PE511" s="4"/>
      <c r="PF511" s="5"/>
      <c r="PG511" s="6"/>
      <c r="PH511" s="4"/>
      <c r="PI511" s="4"/>
      <c r="PJ511" s="4"/>
      <c r="PK511" s="4"/>
      <c r="PL511" s="4"/>
      <c r="PM511" s="5"/>
      <c r="PN511" s="6"/>
      <c r="PO511" s="4"/>
      <c r="PP511" s="4"/>
      <c r="PQ511" s="4"/>
      <c r="PR511" s="4"/>
      <c r="PS511" s="4"/>
      <c r="PT511" s="5"/>
      <c r="PU511" s="6"/>
      <c r="PV511" s="4"/>
      <c r="PW511" s="4"/>
      <c r="PX511" s="4"/>
      <c r="PY511" s="4"/>
      <c r="PZ511" s="4"/>
      <c r="QA511" s="5"/>
      <c r="QB511" s="6"/>
      <c r="QC511" s="4"/>
      <c r="QD511" s="4"/>
      <c r="QE511" s="4"/>
      <c r="QF511" s="4"/>
      <c r="QG511" s="4"/>
      <c r="QH511" s="5"/>
      <c r="QI511" s="6"/>
      <c r="QJ511" s="4"/>
      <c r="QK511" s="4"/>
      <c r="QL511" s="4"/>
      <c r="QM511" s="4"/>
      <c r="QN511" s="4"/>
      <c r="QO511" s="5"/>
      <c r="QP511" s="6"/>
      <c r="QQ511" s="4"/>
      <c r="QR511" s="4"/>
      <c r="QS511" s="4"/>
      <c r="QT511" s="4"/>
      <c r="QU511" s="4"/>
      <c r="QV511" s="5"/>
      <c r="QW511" s="6"/>
      <c r="QX511" s="4"/>
      <c r="QY511" s="4"/>
      <c r="QZ511" s="4"/>
      <c r="RA511" s="4"/>
      <c r="RB511" s="4"/>
      <c r="RC511" s="5"/>
      <c r="RD511" s="6"/>
      <c r="RE511" s="4"/>
      <c r="RF511" s="4"/>
      <c r="RG511" s="4"/>
      <c r="RH511" s="4"/>
      <c r="RI511" s="4"/>
      <c r="RJ511" s="5"/>
      <c r="RK511" s="6"/>
      <c r="RL511" s="4"/>
      <c r="RM511" s="4"/>
      <c r="RN511" s="4"/>
      <c r="RO511" s="4"/>
      <c r="RP511" s="4"/>
      <c r="RQ511" s="5"/>
      <c r="RR511" s="6"/>
      <c r="RS511" s="4"/>
      <c r="RT511" s="4"/>
      <c r="RU511" s="4"/>
      <c r="RV511" s="4"/>
      <c r="RW511" s="4"/>
      <c r="RX511" s="5"/>
      <c r="RY511" s="6"/>
      <c r="RZ511" s="4"/>
      <c r="SA511" s="4"/>
      <c r="SB511" s="4"/>
      <c r="SC511" s="4"/>
      <c r="SD511" s="4"/>
      <c r="SE511" s="5"/>
      <c r="SF511" s="6"/>
      <c r="SG511" s="4"/>
      <c r="SH511" s="4"/>
      <c r="SI511" s="4"/>
      <c r="SJ511" s="4"/>
      <c r="SK511" s="4"/>
      <c r="SL511" s="5"/>
      <c r="SM511" s="6"/>
      <c r="SN511" s="4"/>
      <c r="SO511" s="4"/>
      <c r="SP511" s="4"/>
      <c r="SQ511" s="4"/>
      <c r="SR511" s="4"/>
      <c r="SS511" s="5"/>
      <c r="ST511" s="6"/>
      <c r="SU511" s="4"/>
      <c r="SV511" s="4"/>
      <c r="SW511" s="4"/>
      <c r="SX511" s="4"/>
      <c r="SY511" s="4"/>
      <c r="SZ511" s="5"/>
      <c r="TA511" s="6"/>
      <c r="TB511" s="4"/>
      <c r="TC511" s="4"/>
      <c r="TD511" s="4"/>
      <c r="TE511" s="4"/>
      <c r="TF511" s="4"/>
      <c r="TG511" s="5"/>
      <c r="TH511" s="6"/>
      <c r="TI511" s="4"/>
      <c r="TJ511" s="4"/>
      <c r="TK511" s="4"/>
      <c r="TL511" s="4"/>
      <c r="TM511" s="4"/>
      <c r="TN511" s="5"/>
      <c r="TO511" s="6"/>
      <c r="TP511" s="4"/>
      <c r="TQ511" s="4"/>
      <c r="TR511" s="4"/>
      <c r="TS511" s="4"/>
      <c r="TT511" s="4"/>
      <c r="TU511" s="5"/>
      <c r="TV511" s="6"/>
      <c r="TW511" s="4"/>
      <c r="TX511" s="4"/>
      <c r="TY511" s="4"/>
      <c r="TZ511" s="4"/>
      <c r="UA511" s="4"/>
      <c r="UB511" s="5"/>
      <c r="UC511" s="6"/>
      <c r="UD511" s="4"/>
      <c r="UE511" s="4"/>
      <c r="UF511" s="4"/>
      <c r="UG511" s="4"/>
      <c r="UH511" s="4"/>
      <c r="UI511" s="5"/>
      <c r="UJ511" s="6"/>
      <c r="UK511" s="4"/>
      <c r="UL511" s="4"/>
      <c r="UM511" s="4"/>
      <c r="UN511" s="4"/>
      <c r="UO511" s="4"/>
      <c r="UP511" s="5"/>
      <c r="UQ511" s="6"/>
      <c r="UR511" s="4"/>
      <c r="US511" s="4"/>
      <c r="UT511" s="4"/>
      <c r="UU511" s="4"/>
      <c r="UV511" s="4"/>
      <c r="UW511" s="5"/>
      <c r="UX511" s="6"/>
      <c r="UY511" s="4"/>
      <c r="UZ511" s="4"/>
      <c r="VA511" s="4"/>
      <c r="VB511" s="4"/>
      <c r="VC511" s="4"/>
      <c r="VD511" s="5"/>
      <c r="VE511" s="6"/>
      <c r="VF511" s="4"/>
      <c r="VG511" s="4"/>
      <c r="VH511" s="4"/>
      <c r="VI511" s="4"/>
      <c r="VJ511" s="4"/>
      <c r="VK511" s="5"/>
      <c r="VL511" s="6" t="s">
        <v>3830</v>
      </c>
      <c r="VM511" s="4" t="s">
        <v>2602</v>
      </c>
      <c r="VN511" s="4"/>
      <c r="VO511" s="4"/>
      <c r="VP511" s="4"/>
      <c r="VQ511" s="4"/>
      <c r="VR511" s="5"/>
      <c r="VS511" s="6"/>
      <c r="VT511" s="4"/>
      <c r="VU511" s="4"/>
      <c r="VV511" s="4"/>
      <c r="VW511" s="4"/>
      <c r="VX511" s="4"/>
      <c r="VY511" s="5"/>
      <c r="VZ511" s="6"/>
      <c r="WA511" s="4"/>
      <c r="WB511" s="4"/>
      <c r="WC511" s="4"/>
      <c r="WD511" s="4"/>
      <c r="WE511" s="4"/>
      <c r="WF511" s="5"/>
      <c r="WG511" s="6"/>
      <c r="WH511" s="4"/>
      <c r="WI511" s="4"/>
      <c r="WJ511" s="4"/>
      <c r="WK511" s="4"/>
      <c r="WL511" s="4"/>
      <c r="WM511" s="5"/>
      <c r="WN511" s="6"/>
      <c r="WO511" s="4"/>
      <c r="WP511" s="4"/>
      <c r="WQ511" s="4"/>
      <c r="WR511" s="4"/>
      <c r="WS511" s="4"/>
      <c r="WT511" s="5"/>
      <c r="WU511" s="4" t="s">
        <v>3452</v>
      </c>
      <c r="WV511" s="4" t="s">
        <v>3452</v>
      </c>
      <c r="WW511" s="4"/>
      <c r="WX511" s="4"/>
      <c r="WY511" s="4"/>
      <c r="WZ511" s="4"/>
      <c r="XA511" s="5"/>
      <c r="XB511" s="6"/>
      <c r="XC511" s="4"/>
      <c r="XD511" s="4"/>
      <c r="XE511" s="4"/>
      <c r="XF511" s="4"/>
      <c r="XG511" s="4"/>
      <c r="XH511" s="5"/>
      <c r="XI511" s="6"/>
      <c r="XJ511" s="4"/>
      <c r="XK511" s="4"/>
      <c r="XL511" s="4"/>
      <c r="XM511" s="4"/>
      <c r="XN511" s="4"/>
      <c r="XO511" s="5"/>
      <c r="XP511" s="6"/>
      <c r="XQ511" s="4"/>
      <c r="XR511" s="4"/>
      <c r="XS511" s="4"/>
      <c r="XT511" s="4"/>
      <c r="XU511" s="4"/>
      <c r="XV511" s="5"/>
      <c r="XW511" s="6"/>
      <c r="XX511" s="4"/>
      <c r="XY511" s="4"/>
      <c r="XZ511" s="4"/>
      <c r="YA511" s="4"/>
      <c r="YB511" s="4"/>
      <c r="YC511" s="5"/>
      <c r="YD511" s="6"/>
      <c r="YE511" s="4"/>
      <c r="YF511" s="4"/>
      <c r="YG511" s="4"/>
      <c r="YH511" s="4"/>
      <c r="YI511" s="4"/>
      <c r="YJ511" s="5"/>
      <c r="YK511" s="6"/>
      <c r="YL511" s="4"/>
      <c r="YM511" s="4"/>
      <c r="YN511" s="4"/>
      <c r="YO511" s="4"/>
      <c r="YP511" s="4"/>
      <c r="YQ511" s="5"/>
      <c r="YR511" s="6"/>
      <c r="YS511" s="4"/>
      <c r="YT511" s="4"/>
      <c r="YU511" s="4"/>
      <c r="YV511" s="4"/>
      <c r="YW511" s="4"/>
      <c r="YX511" s="5"/>
      <c r="YY511" s="6"/>
      <c r="YZ511" s="4"/>
      <c r="ZA511" s="4"/>
      <c r="ZB511" s="4"/>
      <c r="ZC511" s="4"/>
      <c r="ZD511" s="4"/>
      <c r="ZE511" s="5"/>
      <c r="ZF511" s="6"/>
      <c r="ZG511" s="4"/>
      <c r="ZH511" s="4"/>
      <c r="ZI511" s="4"/>
      <c r="ZJ511" s="4"/>
      <c r="ZK511" s="4"/>
      <c r="ZL511" s="5"/>
      <c r="ZM511" s="6"/>
      <c r="ZN511" s="4"/>
      <c r="ZO511" s="4"/>
      <c r="ZP511" s="4"/>
      <c r="ZQ511" s="4"/>
      <c r="ZR511" s="4"/>
      <c r="ZS511" s="5"/>
      <c r="ZT511" s="6"/>
      <c r="ZU511" s="4"/>
      <c r="ZV511" s="4"/>
      <c r="ZW511" s="4"/>
      <c r="ZX511" s="4"/>
      <c r="ZY511" s="4"/>
      <c r="ZZ511" s="5"/>
      <c r="AAA511" s="6"/>
      <c r="AAB511" s="4"/>
      <c r="AAC511" s="4"/>
      <c r="AAD511" s="4"/>
      <c r="AAE511" s="4"/>
      <c r="AAF511" s="4"/>
      <c r="AAG511" s="5"/>
      <c r="AAH511" s="6"/>
      <c r="AAI511" s="4"/>
      <c r="AAJ511" s="4"/>
      <c r="AAK511" s="4"/>
      <c r="AAL511" s="4"/>
      <c r="AAM511" s="4"/>
      <c r="AAN511" s="5"/>
      <c r="AAO511" s="6"/>
      <c r="AAP511" s="4"/>
      <c r="AAQ511" s="4"/>
      <c r="AAR511" s="4"/>
      <c r="AAS511" s="4"/>
      <c r="AAT511" s="4"/>
      <c r="AAU511" s="5"/>
      <c r="AAV511" s="6"/>
      <c r="AAW511" s="4"/>
      <c r="AAX511" s="4"/>
      <c r="AAY511" s="4"/>
      <c r="AAZ511" s="4"/>
      <c r="ABA511" s="4"/>
      <c r="ABB511" s="5"/>
      <c r="ABC511" s="6"/>
      <c r="ABD511" s="4"/>
      <c r="ABE511" s="4"/>
      <c r="ABF511" s="4"/>
      <c r="ABG511" s="4"/>
      <c r="ABH511" s="4"/>
      <c r="ABI511" s="5"/>
      <c r="ABJ511" s="6"/>
      <c r="ABK511" s="4"/>
      <c r="ABL511" s="4"/>
      <c r="ABM511" s="4"/>
      <c r="ABN511" s="4"/>
      <c r="ABO511" s="4"/>
      <c r="ABP511" s="5"/>
      <c r="ABQ511" s="6"/>
      <c r="ABR511" s="4"/>
      <c r="ABS511" s="4"/>
      <c r="ABT511" s="4"/>
      <c r="ABU511" s="4"/>
      <c r="ABV511" s="4"/>
      <c r="ABW511" s="5"/>
      <c r="ABX511" s="6"/>
      <c r="ABY511" s="4"/>
      <c r="ABZ511" s="4"/>
      <c r="ACA511" s="4"/>
      <c r="ACB511" s="4"/>
      <c r="ACC511" s="4"/>
      <c r="ACD511" s="5"/>
      <c r="ACE511" s="6"/>
      <c r="ACF511" s="4"/>
      <c r="ACG511" s="4"/>
      <c r="ACH511" s="4"/>
      <c r="ACI511" s="4"/>
      <c r="ACJ511" s="4"/>
      <c r="ACK511" s="5"/>
      <c r="ACL511" s="6"/>
      <c r="ACM511" s="4"/>
      <c r="ACN511" s="4"/>
      <c r="ACO511" s="4"/>
      <c r="ACP511" s="4"/>
      <c r="ACQ511" s="4"/>
      <c r="ACR511" s="5"/>
      <c r="ACS511" s="6"/>
      <c r="ACT511" s="4"/>
      <c r="ACU511" s="4"/>
      <c r="ACV511" s="4"/>
      <c r="ACW511" s="4"/>
      <c r="ACX511" s="4"/>
      <c r="ACY511" s="5"/>
      <c r="ACZ511" t="s">
        <v>1285</v>
      </c>
      <c r="ADL511" t="s">
        <v>57</v>
      </c>
      <c r="ADV511" t="s">
        <v>58</v>
      </c>
      <c r="AEC511" s="4">
        <v>2000</v>
      </c>
      <c r="AFB511" s="60" t="s">
        <v>54</v>
      </c>
      <c r="AFC511" s="62">
        <v>42.5</v>
      </c>
      <c r="AFD511" t="s">
        <v>55</v>
      </c>
      <c r="AFE511">
        <v>1412.7</v>
      </c>
      <c r="AFF511">
        <v>154.6</v>
      </c>
      <c r="AFG511" t="s">
        <v>56</v>
      </c>
    </row>
    <row r="512" spans="1:839" x14ac:dyDescent="0.25">
      <c r="J512" s="12"/>
      <c r="K512" s="12"/>
      <c r="L512" s="12"/>
      <c r="LL512" s="6"/>
      <c r="LM512" s="4"/>
      <c r="LN512" s="4"/>
      <c r="LO512" s="4"/>
      <c r="LP512" s="4"/>
      <c r="LQ512" s="4"/>
      <c r="LR512" s="5"/>
      <c r="LS512" s="6"/>
      <c r="LT512" s="4"/>
      <c r="LU512" s="4"/>
      <c r="LV512" s="4"/>
      <c r="LW512" s="4"/>
      <c r="LX512" s="4"/>
      <c r="LY512" s="5"/>
      <c r="LZ512" s="11" t="s">
        <v>3065</v>
      </c>
      <c r="MA512" s="7" t="s">
        <v>3065</v>
      </c>
      <c r="MB512" s="4"/>
      <c r="MC512" s="4"/>
      <c r="MD512" s="4"/>
      <c r="ME512" s="4"/>
      <c r="MF512" s="4"/>
      <c r="MG512" s="5"/>
      <c r="MH512" s="6"/>
      <c r="MI512" s="4"/>
      <c r="MJ512" s="4"/>
      <c r="MK512" s="4"/>
      <c r="ML512" s="4"/>
      <c r="MM512" s="4"/>
      <c r="MN512" s="5"/>
      <c r="MO512" s="6"/>
      <c r="MP512" s="4"/>
      <c r="MQ512" s="4"/>
      <c r="MR512" s="4"/>
      <c r="MS512" s="4"/>
      <c r="MT512" s="4"/>
      <c r="MU512" s="5"/>
      <c r="MV512" s="6"/>
      <c r="MW512" s="4"/>
      <c r="MX512" s="4"/>
      <c r="MY512" s="4"/>
      <c r="MZ512" s="4"/>
      <c r="NA512" s="4"/>
      <c r="NB512" s="5"/>
      <c r="NC512" s="6"/>
      <c r="ND512" s="4"/>
      <c r="NE512" s="4"/>
      <c r="NF512" s="4"/>
      <c r="NG512" s="4"/>
      <c r="NH512" s="4"/>
      <c r="NI512" s="5"/>
      <c r="NJ512" s="6"/>
      <c r="NK512" s="4"/>
      <c r="NL512" s="4"/>
      <c r="NM512" s="4"/>
      <c r="NN512" s="4"/>
      <c r="NO512" s="4"/>
      <c r="NP512" s="5"/>
      <c r="NQ512" s="6"/>
      <c r="NR512" s="4"/>
      <c r="NS512" s="4"/>
      <c r="NT512" s="4"/>
      <c r="NU512" s="4"/>
      <c r="NV512" s="4"/>
      <c r="NW512" s="5"/>
      <c r="NX512" s="6"/>
      <c r="NY512" s="4"/>
      <c r="NZ512" s="4"/>
      <c r="OA512" s="4"/>
      <c r="OB512" s="4"/>
      <c r="OC512" s="4"/>
      <c r="OD512" s="5"/>
      <c r="OE512" s="6"/>
      <c r="OF512" s="4"/>
      <c r="OG512" s="4"/>
      <c r="OH512" s="4"/>
      <c r="OI512" s="4"/>
      <c r="OJ512" s="4"/>
      <c r="OK512" s="5"/>
      <c r="OL512" s="6"/>
      <c r="OM512" s="4"/>
      <c r="ON512" s="4"/>
      <c r="OO512" s="4"/>
      <c r="OP512" s="4"/>
      <c r="OQ512" s="4"/>
      <c r="OR512" s="5"/>
      <c r="OS512" s="6"/>
      <c r="OT512" s="4"/>
      <c r="OU512" s="4"/>
      <c r="OV512" s="4"/>
      <c r="OW512" s="4"/>
      <c r="OX512" s="4"/>
      <c r="OY512" s="5"/>
      <c r="OZ512" s="6"/>
      <c r="PA512" s="4"/>
      <c r="PB512" s="4"/>
      <c r="PC512" s="4"/>
      <c r="PD512" s="4"/>
      <c r="PE512" s="4"/>
      <c r="PF512" s="5"/>
      <c r="PG512" s="6"/>
      <c r="PH512" s="4"/>
      <c r="PI512" s="4"/>
      <c r="PJ512" s="4"/>
      <c r="PK512" s="4"/>
      <c r="PL512" s="4"/>
      <c r="PM512" s="5"/>
      <c r="PN512" s="6"/>
      <c r="PO512" s="4"/>
      <c r="PP512" s="4"/>
      <c r="PQ512" s="4"/>
      <c r="PR512" s="4"/>
      <c r="PS512" s="4"/>
      <c r="PT512" s="5"/>
      <c r="PU512" s="6"/>
      <c r="PV512" s="4"/>
      <c r="PW512" s="4"/>
      <c r="PX512" s="4"/>
      <c r="PY512" s="4"/>
      <c r="PZ512" s="4"/>
      <c r="QA512" s="5"/>
      <c r="QB512" s="6"/>
      <c r="QC512" s="4"/>
      <c r="QD512" s="4"/>
      <c r="QE512" s="4"/>
      <c r="QF512" s="4"/>
      <c r="QG512" s="4"/>
      <c r="QH512" s="5"/>
      <c r="QI512" s="6"/>
      <c r="QJ512" s="4"/>
      <c r="QK512" s="4"/>
      <c r="QL512" s="4"/>
      <c r="QM512" s="4"/>
      <c r="QN512" s="4"/>
      <c r="QO512" s="5"/>
      <c r="QP512" s="6"/>
      <c r="QQ512" s="4"/>
      <c r="QR512" s="4"/>
      <c r="QS512" s="4"/>
      <c r="QT512" s="4"/>
      <c r="QU512" s="4"/>
      <c r="QV512" s="5"/>
      <c r="QW512" s="6"/>
      <c r="QX512" s="4"/>
      <c r="QY512" s="4"/>
      <c r="QZ512" s="4"/>
      <c r="RA512" s="4"/>
      <c r="RB512" s="4"/>
      <c r="RC512" s="5"/>
      <c r="RD512" s="6"/>
      <c r="RE512" s="4"/>
      <c r="RF512" s="4"/>
      <c r="RG512" s="4"/>
      <c r="RH512" s="4"/>
      <c r="RI512" s="4"/>
      <c r="RJ512" s="5"/>
      <c r="RK512" s="6"/>
      <c r="RL512" s="4"/>
      <c r="RM512" s="4"/>
      <c r="RN512" s="4"/>
      <c r="RO512" s="4"/>
      <c r="RP512" s="4"/>
      <c r="RQ512" s="5"/>
      <c r="RR512" s="6"/>
      <c r="RS512" s="4"/>
      <c r="RT512" s="4"/>
      <c r="RU512" s="4"/>
      <c r="RV512" s="4"/>
      <c r="RW512" s="4"/>
      <c r="RX512" s="5"/>
      <c r="RY512" s="6"/>
      <c r="RZ512" s="4"/>
      <c r="SA512" s="4"/>
      <c r="SB512" s="4"/>
      <c r="SC512" s="4"/>
      <c r="SD512" s="4"/>
      <c r="SE512" s="5"/>
      <c r="SF512" s="6"/>
      <c r="SG512" s="4"/>
      <c r="SH512" s="4"/>
      <c r="SI512" s="4"/>
      <c r="SJ512" s="4"/>
      <c r="SK512" s="4"/>
      <c r="SL512" s="5"/>
      <c r="SM512" s="6"/>
      <c r="SN512" s="4"/>
      <c r="SO512" s="4"/>
      <c r="SP512" s="4"/>
      <c r="SQ512" s="4"/>
      <c r="SR512" s="4"/>
      <c r="SS512" s="5"/>
      <c r="ST512" s="6"/>
      <c r="SU512" s="4"/>
      <c r="SV512" s="4"/>
      <c r="SW512" s="4"/>
      <c r="SX512" s="4"/>
      <c r="SY512" s="4"/>
      <c r="SZ512" s="5"/>
      <c r="TA512" s="6"/>
      <c r="TB512" s="4"/>
      <c r="TC512" s="4"/>
      <c r="TD512" s="4"/>
      <c r="TE512" s="4"/>
      <c r="TF512" s="4"/>
      <c r="TG512" s="5"/>
      <c r="TH512" s="6"/>
      <c r="TI512" s="4"/>
      <c r="TJ512" s="4"/>
      <c r="TK512" s="4"/>
      <c r="TL512" s="4"/>
      <c r="TM512" s="4"/>
      <c r="TN512" s="5"/>
      <c r="TO512" s="6"/>
      <c r="TP512" s="4"/>
      <c r="TQ512" s="4"/>
      <c r="TR512" s="4"/>
      <c r="TS512" s="4"/>
      <c r="TT512" s="4"/>
      <c r="TU512" s="5"/>
      <c r="TV512" s="6"/>
      <c r="TW512" s="4"/>
      <c r="TX512" s="4"/>
      <c r="TY512" s="4"/>
      <c r="TZ512" s="4"/>
      <c r="UA512" s="4"/>
      <c r="UB512" s="5"/>
      <c r="UC512" s="6"/>
      <c r="UD512" s="4"/>
      <c r="UE512" s="4"/>
      <c r="UF512" s="4"/>
      <c r="UG512" s="4"/>
      <c r="UH512" s="4"/>
      <c r="UI512" s="5"/>
      <c r="UJ512" s="6"/>
      <c r="UK512" s="4"/>
      <c r="UL512" s="4"/>
      <c r="UM512" s="4"/>
      <c r="UN512" s="4"/>
      <c r="UO512" s="4"/>
      <c r="UP512" s="5"/>
      <c r="UQ512" s="6"/>
      <c r="UR512" s="4"/>
      <c r="US512" s="4"/>
      <c r="UT512" s="4"/>
      <c r="UU512" s="4"/>
      <c r="UV512" s="4"/>
      <c r="UW512" s="5"/>
      <c r="UX512" s="6"/>
      <c r="UY512" s="4"/>
      <c r="UZ512" s="4"/>
      <c r="VA512" s="4"/>
      <c r="VB512" s="4"/>
      <c r="VC512" s="4"/>
      <c r="VD512" s="5"/>
      <c r="VE512" s="6"/>
      <c r="VF512" s="4"/>
      <c r="VG512" s="4"/>
      <c r="VH512" s="4"/>
      <c r="VI512" s="4"/>
      <c r="VJ512" s="4"/>
      <c r="VK512" s="5"/>
      <c r="VL512" s="6" t="s">
        <v>46</v>
      </c>
      <c r="VM512" s="4" t="s">
        <v>45</v>
      </c>
      <c r="VN512" s="4"/>
      <c r="VO512" s="4"/>
      <c r="VP512" s="4"/>
      <c r="VQ512" s="4"/>
      <c r="VR512" s="5"/>
      <c r="VS512" s="6"/>
      <c r="VT512" s="4"/>
      <c r="VU512" s="4"/>
      <c r="VV512" s="4"/>
      <c r="VW512" s="4"/>
      <c r="VX512" s="4"/>
      <c r="VY512" s="5"/>
      <c r="VZ512" s="6"/>
      <c r="WA512" s="4"/>
      <c r="WB512" s="4"/>
      <c r="WC512" s="4"/>
      <c r="WD512" s="4"/>
      <c r="WE512" s="4"/>
      <c r="WF512" s="5"/>
      <c r="WG512" s="6"/>
      <c r="WH512" s="4"/>
      <c r="WI512" s="4"/>
      <c r="WJ512" s="4"/>
      <c r="WK512" s="4"/>
      <c r="WL512" s="4"/>
      <c r="WM512" s="5"/>
      <c r="WN512" s="6"/>
      <c r="WO512" s="4"/>
      <c r="WP512" s="4"/>
      <c r="WQ512" s="4"/>
      <c r="WR512" s="4"/>
      <c r="WS512" s="4"/>
      <c r="WT512" s="5"/>
      <c r="WU512" s="6"/>
      <c r="WV512" s="4"/>
      <c r="WW512" s="4"/>
      <c r="WX512" s="4"/>
      <c r="WY512" s="4"/>
      <c r="WZ512" s="4"/>
      <c r="XA512" s="5"/>
      <c r="XB512" s="6"/>
      <c r="XC512" s="4"/>
      <c r="XD512" s="4"/>
      <c r="XE512" s="4"/>
      <c r="XF512" s="4"/>
      <c r="XG512" s="4"/>
      <c r="XH512" s="5"/>
      <c r="XI512" s="6"/>
      <c r="XJ512" s="4"/>
      <c r="XK512" s="4"/>
      <c r="XL512" s="4"/>
      <c r="XM512" s="4"/>
      <c r="XN512" s="4"/>
      <c r="XO512" s="5"/>
      <c r="XP512" s="6"/>
      <c r="XQ512" s="4"/>
      <c r="XR512" s="4"/>
      <c r="XS512" s="4"/>
      <c r="XT512" s="4"/>
      <c r="XU512" s="4"/>
      <c r="XV512" s="5"/>
      <c r="XW512" s="6"/>
      <c r="XX512" s="4"/>
      <c r="XY512" s="4"/>
      <c r="XZ512" s="4"/>
      <c r="YA512" s="4"/>
      <c r="YB512" s="4"/>
      <c r="YC512" s="5"/>
      <c r="YD512" s="6"/>
      <c r="YE512" s="4"/>
      <c r="YF512" s="4"/>
      <c r="YG512" s="4"/>
      <c r="YH512" s="4"/>
      <c r="YI512" s="4"/>
      <c r="YJ512" s="5"/>
      <c r="YK512" s="6"/>
      <c r="YL512" s="4"/>
      <c r="YM512" s="4"/>
      <c r="YN512" s="4"/>
      <c r="YO512" s="4"/>
      <c r="YP512" s="4"/>
      <c r="YQ512" s="5"/>
      <c r="YR512" s="6"/>
      <c r="YS512" s="4"/>
      <c r="YT512" s="4"/>
      <c r="YU512" s="4"/>
      <c r="YV512" s="4"/>
      <c r="YW512" s="4"/>
      <c r="YX512" s="5"/>
      <c r="YY512" s="6"/>
      <c r="YZ512" s="4"/>
      <c r="ZA512" s="4"/>
      <c r="ZB512" s="4"/>
      <c r="ZC512" s="4"/>
      <c r="ZD512" s="4"/>
      <c r="ZE512" s="5"/>
      <c r="ZF512" s="6"/>
      <c r="ZG512" s="4"/>
      <c r="ZH512" s="4"/>
      <c r="ZI512" s="4"/>
      <c r="ZJ512" s="4"/>
      <c r="ZK512" s="4"/>
      <c r="ZL512" s="5"/>
      <c r="ZM512" s="6"/>
      <c r="ZN512" s="4"/>
      <c r="ZO512" s="4"/>
      <c r="ZP512" s="4"/>
      <c r="ZQ512" s="4"/>
      <c r="ZR512" s="4"/>
      <c r="ZS512" s="5"/>
      <c r="ZT512" s="6"/>
      <c r="ZU512" s="4"/>
      <c r="ZV512" s="4"/>
      <c r="ZW512" s="4"/>
      <c r="ZX512" s="4"/>
      <c r="ZY512" s="4"/>
      <c r="ZZ512" s="5"/>
      <c r="AAA512" s="6"/>
      <c r="AAB512" s="4"/>
      <c r="AAC512" s="4"/>
      <c r="AAD512" s="4"/>
      <c r="AAE512" s="4"/>
      <c r="AAF512" s="4"/>
      <c r="AAG512" s="5"/>
      <c r="AAH512" s="6"/>
      <c r="AAI512" s="4"/>
      <c r="AAJ512" s="4"/>
      <c r="AAK512" s="4"/>
      <c r="AAL512" s="4"/>
      <c r="AAM512" s="4"/>
      <c r="AAN512" s="5"/>
      <c r="AAO512" s="6"/>
      <c r="AAP512" s="4"/>
      <c r="AAQ512" s="4"/>
      <c r="AAR512" s="4"/>
      <c r="AAS512" s="4"/>
      <c r="AAT512" s="4"/>
      <c r="AAU512" s="5"/>
      <c r="AAV512" s="6"/>
      <c r="AAW512" s="4"/>
      <c r="AAX512" s="4"/>
      <c r="AAY512" s="4"/>
      <c r="AAZ512" s="4"/>
      <c r="ABA512" s="4"/>
      <c r="ABB512" s="5"/>
      <c r="ABC512" s="6"/>
      <c r="ABD512" s="4"/>
      <c r="ABE512" s="4"/>
      <c r="ABF512" s="4"/>
      <c r="ABG512" s="4"/>
      <c r="ABH512" s="4"/>
      <c r="ABI512" s="5"/>
      <c r="ABJ512" s="6"/>
      <c r="ABK512" s="4"/>
      <c r="ABL512" s="4"/>
      <c r="ABM512" s="4"/>
      <c r="ABN512" s="4"/>
      <c r="ABO512" s="4"/>
      <c r="ABP512" s="5"/>
      <c r="ABQ512" s="6"/>
      <c r="ABR512" s="4"/>
      <c r="ABS512" s="4"/>
      <c r="ABT512" s="4"/>
      <c r="ABU512" s="4"/>
      <c r="ABV512" s="4"/>
      <c r="ABW512" s="5"/>
      <c r="ABX512" s="6"/>
      <c r="ABY512" s="4"/>
      <c r="ABZ512" s="4"/>
      <c r="ACA512" s="4"/>
      <c r="ACB512" s="4"/>
      <c r="ACC512" s="4"/>
      <c r="ACD512" s="5"/>
      <c r="ACE512" s="6"/>
      <c r="ACF512" s="4"/>
      <c r="ACG512" s="4"/>
      <c r="ACH512" s="4"/>
      <c r="ACI512" s="4"/>
      <c r="ACJ512" s="4"/>
      <c r="ACK512" s="5"/>
      <c r="ACL512" s="6"/>
      <c r="ACM512" s="4"/>
      <c r="ACN512" s="4"/>
      <c r="ACO512" s="4"/>
      <c r="ACP512" s="4"/>
      <c r="ACQ512" s="4"/>
      <c r="ACR512" s="5"/>
      <c r="ACS512" s="6"/>
      <c r="ACT512" s="4"/>
      <c r="ACU512" s="4"/>
      <c r="ACV512" s="4"/>
      <c r="ACW512" s="4"/>
      <c r="ACX512" s="4"/>
      <c r="ACY512" s="5"/>
    </row>
    <row r="513" spans="2:802" x14ac:dyDescent="0.25">
      <c r="B513" s="29">
        <v>12097414</v>
      </c>
      <c r="C513" s="57">
        <v>31</v>
      </c>
      <c r="D513" t="s">
        <v>3587</v>
      </c>
      <c r="E513" s="38" t="s">
        <v>313</v>
      </c>
      <c r="F513" s="23">
        <v>0</v>
      </c>
      <c r="I513">
        <v>1</v>
      </c>
      <c r="J513" s="28">
        <v>36678</v>
      </c>
      <c r="K513" s="28"/>
      <c r="L513" s="28"/>
      <c r="M513">
        <v>1</v>
      </c>
      <c r="N513" s="55">
        <v>36678</v>
      </c>
      <c r="LL513" s="6"/>
      <c r="LM513" s="4"/>
      <c r="LN513" s="4"/>
      <c r="LO513" s="4"/>
      <c r="LP513" s="4"/>
      <c r="LQ513" s="4"/>
      <c r="LR513" s="5"/>
      <c r="LS513" s="6"/>
      <c r="LT513" s="4"/>
      <c r="LU513" s="4"/>
      <c r="LV513" s="4"/>
      <c r="LW513" s="4"/>
      <c r="LX513" s="4"/>
      <c r="LY513" s="5"/>
      <c r="LZ513" s="6" t="s">
        <v>3661</v>
      </c>
      <c r="MA513" s="7" t="s">
        <v>3661</v>
      </c>
      <c r="MB513" s="4"/>
      <c r="MC513" s="4"/>
      <c r="MD513" s="4"/>
      <c r="ME513" s="4"/>
      <c r="MF513" s="4"/>
      <c r="MG513" s="5"/>
      <c r="MH513" s="6"/>
      <c r="MI513" s="4"/>
      <c r="MJ513" s="4"/>
      <c r="MK513" s="4"/>
      <c r="ML513" s="4"/>
      <c r="MM513" s="4"/>
      <c r="MN513" s="5"/>
      <c r="MO513" s="6"/>
      <c r="MP513" s="4"/>
      <c r="MQ513" s="4"/>
      <c r="MR513" s="4"/>
      <c r="MS513" s="4"/>
      <c r="MT513" s="4"/>
      <c r="MU513" s="5"/>
      <c r="MV513" s="6"/>
      <c r="MW513" s="4"/>
      <c r="MX513" s="4"/>
      <c r="MY513" s="4"/>
      <c r="MZ513" s="4"/>
      <c r="NA513" s="4"/>
      <c r="NB513" s="5"/>
      <c r="NC513" s="6"/>
      <c r="ND513" s="4"/>
      <c r="NE513" s="4"/>
      <c r="NF513" s="4"/>
      <c r="NG513" s="4"/>
      <c r="NH513" s="4"/>
      <c r="NI513" s="5"/>
      <c r="NJ513" s="6"/>
      <c r="NK513" s="4"/>
      <c r="NL513" s="4"/>
      <c r="NM513" s="4"/>
      <c r="NN513" s="4"/>
      <c r="NO513" s="4"/>
      <c r="NP513" s="5"/>
      <c r="NQ513" s="6"/>
      <c r="NR513" s="4"/>
      <c r="NS513" s="4"/>
      <c r="NT513" s="4"/>
      <c r="NU513" s="4"/>
      <c r="NV513" s="4"/>
      <c r="NW513" s="5"/>
      <c r="NX513" s="6"/>
      <c r="NY513" s="4"/>
      <c r="NZ513" s="4"/>
      <c r="OA513" s="4"/>
      <c r="OB513" s="4"/>
      <c r="OC513" s="4"/>
      <c r="OD513" s="5"/>
      <c r="OE513" s="6"/>
      <c r="OF513" s="4"/>
      <c r="OG513" s="4"/>
      <c r="OH513" s="4"/>
      <c r="OI513" s="4"/>
      <c r="OJ513" s="4"/>
      <c r="OK513" s="5"/>
      <c r="OL513" s="6"/>
      <c r="OM513" s="4"/>
      <c r="ON513" s="4"/>
      <c r="OO513" s="4"/>
      <c r="OP513" s="4"/>
      <c r="OQ513" s="4"/>
      <c r="OR513" s="5"/>
      <c r="OS513" s="6"/>
      <c r="OT513" s="4"/>
      <c r="OU513" s="4"/>
      <c r="OV513" s="4"/>
      <c r="OW513" s="4"/>
      <c r="OX513" s="4"/>
      <c r="OY513" s="5"/>
      <c r="OZ513" s="6"/>
      <c r="PA513" s="4"/>
      <c r="PB513" s="4"/>
      <c r="PC513" s="4"/>
      <c r="PD513" s="4"/>
      <c r="PE513" s="4"/>
      <c r="PF513" s="5"/>
      <c r="PG513" s="6"/>
      <c r="PH513" s="4"/>
      <c r="PI513" s="4"/>
      <c r="PJ513" s="4"/>
      <c r="PK513" s="4"/>
      <c r="PL513" s="4"/>
      <c r="PM513" s="5"/>
      <c r="PN513" s="6"/>
      <c r="PO513" s="4"/>
      <c r="PP513" s="4"/>
      <c r="PQ513" s="4"/>
      <c r="PR513" s="4"/>
      <c r="PS513" s="4"/>
      <c r="PT513" s="5"/>
      <c r="PU513" s="6"/>
      <c r="PV513" s="4"/>
      <c r="PW513" s="4"/>
      <c r="PX513" s="4"/>
      <c r="PY513" s="4"/>
      <c r="PZ513" s="4"/>
      <c r="QA513" s="5"/>
      <c r="QB513" s="6"/>
      <c r="QC513" s="4"/>
      <c r="QD513" s="4"/>
      <c r="QE513" s="4"/>
      <c r="QF513" s="4"/>
      <c r="QG513" s="4"/>
      <c r="QH513" s="5"/>
      <c r="QI513" s="6"/>
      <c r="QJ513" s="4"/>
      <c r="QK513" s="4"/>
      <c r="QL513" s="4"/>
      <c r="QM513" s="4"/>
      <c r="QN513" s="4"/>
      <c r="QO513" s="5"/>
      <c r="QP513" s="6"/>
      <c r="QQ513" s="4"/>
      <c r="QR513" s="4"/>
      <c r="QS513" s="4"/>
      <c r="QT513" s="4"/>
      <c r="QU513" s="4"/>
      <c r="QV513" s="5"/>
      <c r="QW513" s="6"/>
      <c r="QX513" s="4"/>
      <c r="QY513" s="4"/>
      <c r="QZ513" s="4"/>
      <c r="RA513" s="4"/>
      <c r="RB513" s="4"/>
      <c r="RC513" s="5"/>
      <c r="RD513" s="6"/>
      <c r="RE513" s="4"/>
      <c r="RF513" s="4"/>
      <c r="RG513" s="4"/>
      <c r="RH513" s="4"/>
      <c r="RI513" s="4"/>
      <c r="RJ513" s="5"/>
      <c r="RK513" s="6"/>
      <c r="RL513" s="4"/>
      <c r="RM513" s="4"/>
      <c r="RN513" s="4"/>
      <c r="RO513" s="4"/>
      <c r="RP513" s="4"/>
      <c r="RQ513" s="5"/>
      <c r="RR513" s="6"/>
      <c r="RS513" s="4"/>
      <c r="RT513" s="4"/>
      <c r="RU513" s="4"/>
      <c r="RV513" s="4"/>
      <c r="RW513" s="4"/>
      <c r="RX513" s="5"/>
      <c r="RY513" s="6"/>
      <c r="RZ513" s="4"/>
      <c r="SA513" s="4"/>
      <c r="SB513" s="4"/>
      <c r="SC513" s="4"/>
      <c r="SD513" s="4"/>
      <c r="SE513" s="5"/>
      <c r="SF513" s="6"/>
      <c r="SG513" s="4"/>
      <c r="SH513" s="4"/>
      <c r="SI513" s="4"/>
      <c r="SJ513" s="4"/>
      <c r="SK513" s="4"/>
      <c r="SL513" s="5"/>
      <c r="SM513" s="6"/>
      <c r="SN513" s="4"/>
      <c r="SO513" s="4"/>
      <c r="SP513" s="4"/>
      <c r="SQ513" s="4"/>
      <c r="SR513" s="4"/>
      <c r="SS513" s="5"/>
      <c r="ST513" s="6"/>
      <c r="SU513" s="4"/>
      <c r="SV513" s="4"/>
      <c r="SW513" s="4"/>
      <c r="SX513" s="4"/>
      <c r="SY513" s="4"/>
      <c r="SZ513" s="5"/>
      <c r="TA513" s="6"/>
      <c r="TB513" s="4"/>
      <c r="TC513" s="4"/>
      <c r="TD513" s="4"/>
      <c r="TE513" s="4"/>
      <c r="TF513" s="4"/>
      <c r="TG513" s="5"/>
      <c r="TH513" s="6"/>
      <c r="TI513" s="4"/>
      <c r="TJ513" s="4"/>
      <c r="TK513" s="4"/>
      <c r="TL513" s="4"/>
      <c r="TM513" s="4"/>
      <c r="TN513" s="5"/>
      <c r="TO513" s="6"/>
      <c r="TP513" s="4"/>
      <c r="TQ513" s="4"/>
      <c r="TR513" s="4"/>
      <c r="TS513" s="4"/>
      <c r="TT513" s="4"/>
      <c r="TU513" s="5"/>
      <c r="TV513" s="6"/>
      <c r="TW513" s="4"/>
      <c r="TX513" s="4"/>
      <c r="TY513" s="4"/>
      <c r="TZ513" s="4"/>
      <c r="UA513" s="4"/>
      <c r="UB513" s="5"/>
      <c r="UC513" s="6"/>
      <c r="UD513" s="4"/>
      <c r="UE513" s="4"/>
      <c r="UF513" s="4"/>
      <c r="UG513" s="4"/>
      <c r="UH513" s="4"/>
      <c r="UI513" s="5"/>
      <c r="UJ513" s="6"/>
      <c r="UK513" s="4"/>
      <c r="UL513" s="4"/>
      <c r="UM513" s="4"/>
      <c r="UN513" s="4"/>
      <c r="UO513" s="4"/>
      <c r="UP513" s="5"/>
      <c r="UQ513" s="6"/>
      <c r="UR513" s="4"/>
      <c r="US513" s="4"/>
      <c r="UT513" s="4"/>
      <c r="UU513" s="4"/>
      <c r="UV513" s="4"/>
      <c r="UW513" s="5"/>
      <c r="UX513" s="6"/>
      <c r="UY513" s="4"/>
      <c r="UZ513" s="4"/>
      <c r="VA513" s="4"/>
      <c r="VB513" s="4"/>
      <c r="VC513" s="4"/>
      <c r="VD513" s="5"/>
      <c r="VE513" s="6"/>
      <c r="VF513" s="4"/>
      <c r="VG513" s="4"/>
      <c r="VH513" s="4"/>
      <c r="VI513" s="4"/>
      <c r="VJ513" s="4"/>
      <c r="VK513" s="5"/>
      <c r="VL513" s="6"/>
      <c r="VM513" s="4"/>
      <c r="VN513" s="4"/>
      <c r="VO513" s="4"/>
      <c r="VP513" s="4"/>
      <c r="VQ513" s="4"/>
      <c r="VR513" s="5"/>
      <c r="VS513" s="6"/>
      <c r="VT513" s="4"/>
      <c r="VU513" s="4"/>
      <c r="VV513" s="4"/>
      <c r="VW513" s="4"/>
      <c r="VX513" s="4"/>
      <c r="VY513" s="5"/>
      <c r="VZ513" s="6"/>
      <c r="WA513" s="4"/>
      <c r="WB513" s="4"/>
      <c r="WC513" s="4"/>
      <c r="WD513" s="4"/>
      <c r="WE513" s="4"/>
      <c r="WF513" s="5"/>
      <c r="WG513" s="6"/>
      <c r="WH513" s="4"/>
      <c r="WI513" s="4"/>
      <c r="WJ513" s="4"/>
      <c r="WK513" s="4"/>
      <c r="WL513" s="4"/>
      <c r="WM513" s="5"/>
      <c r="WN513" s="6"/>
      <c r="WO513" s="4"/>
      <c r="WP513" s="4"/>
      <c r="WQ513" s="4"/>
      <c r="WR513" s="4"/>
      <c r="WS513" s="4"/>
      <c r="WT513" s="5"/>
      <c r="WU513" s="4" t="s">
        <v>3452</v>
      </c>
      <c r="WV513" s="4" t="s">
        <v>3452</v>
      </c>
      <c r="WW513" s="4"/>
      <c r="WX513" s="4"/>
      <c r="WY513" s="4"/>
      <c r="WZ513" s="4"/>
      <c r="XA513" s="5"/>
      <c r="XB513" s="6"/>
      <c r="XC513" s="4"/>
      <c r="XD513" s="4"/>
      <c r="XE513" s="4"/>
      <c r="XF513" s="4"/>
      <c r="XG513" s="4"/>
      <c r="XH513" s="5"/>
      <c r="XI513" s="6"/>
      <c r="XJ513" s="4"/>
      <c r="XK513" s="4"/>
      <c r="XL513" s="4"/>
      <c r="XM513" s="4"/>
      <c r="XN513" s="4"/>
      <c r="XO513" s="5"/>
      <c r="XP513" s="6"/>
      <c r="XQ513" s="4"/>
      <c r="XR513" s="4"/>
      <c r="XS513" s="4"/>
      <c r="XT513" s="4"/>
      <c r="XU513" s="4"/>
      <c r="XV513" s="5"/>
      <c r="XW513" s="6"/>
      <c r="XX513" s="4"/>
      <c r="XY513" s="4"/>
      <c r="XZ513" s="4"/>
      <c r="YA513" s="4"/>
      <c r="YB513" s="4"/>
      <c r="YC513" s="5"/>
      <c r="YD513" s="6"/>
      <c r="YE513" s="4"/>
      <c r="YF513" s="4"/>
      <c r="YG513" s="4"/>
      <c r="YH513" s="4"/>
      <c r="YI513" s="4"/>
      <c r="YJ513" s="5"/>
      <c r="YK513" s="6"/>
      <c r="YL513" s="4"/>
      <c r="YM513" s="4"/>
      <c r="YN513" s="4"/>
      <c r="YO513" s="4"/>
      <c r="YP513" s="4"/>
      <c r="YQ513" s="5"/>
      <c r="YR513" s="6"/>
      <c r="YS513" s="4"/>
      <c r="YT513" s="4"/>
      <c r="YU513" s="4"/>
      <c r="YV513" s="4"/>
      <c r="YW513" s="4"/>
      <c r="YX513" s="5"/>
      <c r="YY513" s="6"/>
      <c r="YZ513" s="4"/>
      <c r="ZA513" s="4"/>
      <c r="ZB513" s="4"/>
      <c r="ZC513" s="4"/>
      <c r="ZD513" s="4"/>
      <c r="ZE513" s="5"/>
      <c r="ZF513" s="6"/>
      <c r="ZG513" s="4"/>
      <c r="ZH513" s="4"/>
      <c r="ZI513" s="4"/>
      <c r="ZJ513" s="4"/>
      <c r="ZK513" s="4"/>
      <c r="ZL513" s="5"/>
      <c r="ZM513" s="6"/>
      <c r="ZN513" s="4"/>
      <c r="ZO513" s="4"/>
      <c r="ZP513" s="4"/>
      <c r="ZQ513" s="4"/>
      <c r="ZR513" s="4"/>
      <c r="ZS513" s="5"/>
      <c r="ZT513" s="6"/>
      <c r="ZU513" s="4"/>
      <c r="ZV513" s="4"/>
      <c r="ZW513" s="4"/>
      <c r="ZX513" s="4"/>
      <c r="ZY513" s="4"/>
      <c r="ZZ513" s="5"/>
      <c r="AAA513" s="6"/>
      <c r="AAB513" s="4"/>
      <c r="AAC513" s="4"/>
      <c r="AAD513" s="4"/>
      <c r="AAE513" s="4"/>
      <c r="AAF513" s="4"/>
      <c r="AAG513" s="5"/>
      <c r="AAH513" s="6"/>
      <c r="AAI513" s="4"/>
      <c r="AAJ513" s="4"/>
      <c r="AAK513" s="4"/>
      <c r="AAL513" s="4"/>
      <c r="AAM513" s="4"/>
      <c r="AAN513" s="5"/>
      <c r="AAO513" s="6"/>
      <c r="AAP513" s="4"/>
      <c r="AAQ513" s="4"/>
      <c r="AAR513" s="4"/>
      <c r="AAS513" s="4"/>
      <c r="AAT513" s="4"/>
      <c r="AAU513" s="5"/>
      <c r="AAV513" s="6"/>
      <c r="AAW513" s="4"/>
      <c r="AAX513" s="4"/>
      <c r="AAY513" s="4"/>
      <c r="AAZ513" s="4"/>
      <c r="ABA513" s="4"/>
      <c r="ABB513" s="5"/>
      <c r="ABC513" s="6"/>
      <c r="ABD513" s="4"/>
      <c r="ABE513" s="4"/>
      <c r="ABF513" s="4"/>
      <c r="ABG513" s="4"/>
      <c r="ABH513" s="4"/>
      <c r="ABI513" s="5"/>
      <c r="ABJ513" s="6"/>
      <c r="ABK513" s="4"/>
      <c r="ABL513" s="4"/>
      <c r="ABM513" s="4"/>
      <c r="ABN513" s="4"/>
      <c r="ABO513" s="4"/>
      <c r="ABP513" s="5"/>
      <c r="ABQ513" s="6"/>
      <c r="ABR513" s="4"/>
      <c r="ABS513" s="4"/>
      <c r="ABT513" s="4"/>
      <c r="ABU513" s="4"/>
      <c r="ABV513" s="4"/>
      <c r="ABW513" s="5"/>
      <c r="ABX513" s="6"/>
      <c r="ABY513" s="4"/>
      <c r="ABZ513" s="4"/>
      <c r="ACA513" s="4"/>
      <c r="ACB513" s="4"/>
      <c r="ACC513" s="4"/>
      <c r="ACD513" s="5"/>
      <c r="ACE513" s="6"/>
      <c r="ACF513" s="4"/>
      <c r="ACG513" s="4"/>
      <c r="ACH513" s="4"/>
      <c r="ACI513" s="4"/>
      <c r="ACJ513" s="4"/>
      <c r="ACK513" s="5"/>
      <c r="ACL513" s="6"/>
      <c r="ACM513" s="4"/>
      <c r="ACN513" s="4"/>
      <c r="ACO513" s="4"/>
      <c r="ACP513" s="4"/>
      <c r="ACQ513" s="4"/>
      <c r="ACR513" s="5"/>
      <c r="ACS513" s="6"/>
      <c r="ACT513" s="4"/>
      <c r="ACU513" s="4"/>
      <c r="ACV513" s="4"/>
      <c r="ACW513" s="4"/>
      <c r="ACX513" s="4"/>
      <c r="ACY513" s="5"/>
      <c r="ADL513" t="s">
        <v>1286</v>
      </c>
      <c r="ADV513" t="s">
        <v>1164</v>
      </c>
    </row>
    <row r="514" spans="2:802" x14ac:dyDescent="0.25">
      <c r="J514" s="12"/>
      <c r="K514" s="12"/>
      <c r="L514" s="12"/>
      <c r="LL514" s="6"/>
      <c r="LM514" s="4"/>
      <c r="LN514" s="4"/>
      <c r="LO514" s="4"/>
      <c r="LP514" s="4"/>
      <c r="LQ514" s="4"/>
      <c r="LR514" s="5"/>
      <c r="LS514" s="6"/>
      <c r="LT514" s="4"/>
      <c r="LU514" s="4"/>
      <c r="LV514" s="4"/>
      <c r="LW514" s="4"/>
      <c r="LX514" s="4"/>
      <c r="LY514" s="5"/>
      <c r="LZ514" s="11" t="s">
        <v>3065</v>
      </c>
      <c r="MA514" s="7" t="s">
        <v>3065</v>
      </c>
      <c r="MB514" s="4"/>
      <c r="MC514" s="4"/>
      <c r="MD514" s="4"/>
      <c r="ME514" s="4"/>
      <c r="MF514" s="4"/>
      <c r="MG514" s="5"/>
      <c r="MH514" s="6"/>
      <c r="MI514" s="4"/>
      <c r="MJ514" s="4"/>
      <c r="MK514" s="4"/>
      <c r="ML514" s="4"/>
      <c r="MM514" s="4"/>
      <c r="MN514" s="5"/>
      <c r="MO514" s="6"/>
      <c r="MP514" s="4"/>
      <c r="MQ514" s="4"/>
      <c r="MR514" s="4"/>
      <c r="MS514" s="4"/>
      <c r="MT514" s="4"/>
      <c r="MU514" s="5"/>
      <c r="MV514" s="6"/>
      <c r="MW514" s="4"/>
      <c r="MX514" s="4"/>
      <c r="MY514" s="4"/>
      <c r="MZ514" s="4"/>
      <c r="NA514" s="4"/>
      <c r="NB514" s="5"/>
      <c r="NC514" s="6"/>
      <c r="ND514" s="4"/>
      <c r="NE514" s="4"/>
      <c r="NF514" s="4"/>
      <c r="NG514" s="4"/>
      <c r="NH514" s="4"/>
      <c r="NI514" s="5"/>
      <c r="NJ514" s="6"/>
      <c r="NK514" s="4"/>
      <c r="NL514" s="4"/>
      <c r="NM514" s="4"/>
      <c r="NN514" s="4"/>
      <c r="NO514" s="4"/>
      <c r="NP514" s="5"/>
      <c r="NQ514" s="6"/>
      <c r="NR514" s="4"/>
      <c r="NS514" s="4"/>
      <c r="NT514" s="4"/>
      <c r="NU514" s="4"/>
      <c r="NV514" s="4"/>
      <c r="NW514" s="5"/>
      <c r="NX514" s="6"/>
      <c r="NY514" s="4"/>
      <c r="NZ514" s="4"/>
      <c r="OA514" s="4"/>
      <c r="OB514" s="4"/>
      <c r="OC514" s="4"/>
      <c r="OD514" s="5"/>
      <c r="OE514" s="6"/>
      <c r="OF514" s="4"/>
      <c r="OG514" s="4"/>
      <c r="OH514" s="4"/>
      <c r="OI514" s="4"/>
      <c r="OJ514" s="4"/>
      <c r="OK514" s="5"/>
      <c r="OL514" s="6"/>
      <c r="OM514" s="4"/>
      <c r="ON514" s="4"/>
      <c r="OO514" s="4"/>
      <c r="OP514" s="4"/>
      <c r="OQ514" s="4"/>
      <c r="OR514" s="5"/>
      <c r="OS514" s="6"/>
      <c r="OT514" s="4"/>
      <c r="OU514" s="4"/>
      <c r="OV514" s="4"/>
      <c r="OW514" s="4"/>
      <c r="OX514" s="4"/>
      <c r="OY514" s="5"/>
      <c r="OZ514" s="6"/>
      <c r="PA514" s="4"/>
      <c r="PB514" s="4"/>
      <c r="PC514" s="4"/>
      <c r="PD514" s="4"/>
      <c r="PE514" s="4"/>
      <c r="PF514" s="5"/>
      <c r="PG514" s="6"/>
      <c r="PH514" s="4"/>
      <c r="PI514" s="4"/>
      <c r="PJ514" s="4"/>
      <c r="PK514" s="4"/>
      <c r="PL514" s="4"/>
      <c r="PM514" s="5"/>
      <c r="PN514" s="6"/>
      <c r="PO514" s="4"/>
      <c r="PP514" s="4"/>
      <c r="PQ514" s="4"/>
      <c r="PR514" s="4"/>
      <c r="PS514" s="4"/>
      <c r="PT514" s="5"/>
      <c r="PU514" s="6"/>
      <c r="PV514" s="4"/>
      <c r="PW514" s="4"/>
      <c r="PX514" s="4"/>
      <c r="PY514" s="4"/>
      <c r="PZ514" s="4"/>
      <c r="QA514" s="5"/>
      <c r="QB514" s="6"/>
      <c r="QC514" s="4"/>
      <c r="QD514" s="4"/>
      <c r="QE514" s="4"/>
      <c r="QF514" s="4"/>
      <c r="QG514" s="4"/>
      <c r="QH514" s="5"/>
      <c r="QI514" s="6"/>
      <c r="QJ514" s="4"/>
      <c r="QK514" s="4"/>
      <c r="QL514" s="4"/>
      <c r="QM514" s="4"/>
      <c r="QN514" s="4"/>
      <c r="QO514" s="5"/>
      <c r="QP514" s="6"/>
      <c r="QQ514" s="4"/>
      <c r="QR514" s="4"/>
      <c r="QS514" s="4"/>
      <c r="QT514" s="4"/>
      <c r="QU514" s="4"/>
      <c r="QV514" s="5"/>
      <c r="QW514" s="6"/>
      <c r="QX514" s="4"/>
      <c r="QY514" s="4"/>
      <c r="QZ514" s="4"/>
      <c r="RA514" s="4"/>
      <c r="RB514" s="4"/>
      <c r="RC514" s="5"/>
      <c r="RD514" s="6"/>
      <c r="RE514" s="4"/>
      <c r="RF514" s="4"/>
      <c r="RG514" s="4"/>
      <c r="RH514" s="4"/>
      <c r="RI514" s="4"/>
      <c r="RJ514" s="5"/>
      <c r="RK514" s="6"/>
      <c r="RL514" s="4"/>
      <c r="RM514" s="4"/>
      <c r="RN514" s="4"/>
      <c r="RO514" s="4"/>
      <c r="RP514" s="4"/>
      <c r="RQ514" s="5"/>
      <c r="RR514" s="6"/>
      <c r="RS514" s="4"/>
      <c r="RT514" s="4"/>
      <c r="RU514" s="4"/>
      <c r="RV514" s="4"/>
      <c r="RW514" s="4"/>
      <c r="RX514" s="5"/>
      <c r="RY514" s="6"/>
      <c r="RZ514" s="4"/>
      <c r="SA514" s="4"/>
      <c r="SB514" s="4"/>
      <c r="SC514" s="4"/>
      <c r="SD514" s="4"/>
      <c r="SE514" s="5"/>
      <c r="SF514" s="6"/>
      <c r="SG514" s="4"/>
      <c r="SH514" s="4"/>
      <c r="SI514" s="4"/>
      <c r="SJ514" s="4"/>
      <c r="SK514" s="4"/>
      <c r="SL514" s="5"/>
      <c r="SM514" s="6"/>
      <c r="SN514" s="4"/>
      <c r="SO514" s="4"/>
      <c r="SP514" s="4"/>
      <c r="SQ514" s="4"/>
      <c r="SR514" s="4"/>
      <c r="SS514" s="5"/>
      <c r="ST514" s="6"/>
      <c r="SU514" s="4"/>
      <c r="SV514" s="4"/>
      <c r="SW514" s="4"/>
      <c r="SX514" s="4"/>
      <c r="SY514" s="4"/>
      <c r="SZ514" s="5"/>
      <c r="TA514" s="6"/>
      <c r="TB514" s="4"/>
      <c r="TC514" s="4"/>
      <c r="TD514" s="4"/>
      <c r="TE514" s="4"/>
      <c r="TF514" s="4"/>
      <c r="TG514" s="5"/>
      <c r="TH514" s="6"/>
      <c r="TI514" s="4"/>
      <c r="TJ514" s="4"/>
      <c r="TK514" s="4"/>
      <c r="TL514" s="4"/>
      <c r="TM514" s="4"/>
      <c r="TN514" s="5"/>
      <c r="TO514" s="6"/>
      <c r="TP514" s="4"/>
      <c r="TQ514" s="4"/>
      <c r="TR514" s="4"/>
      <c r="TS514" s="4"/>
      <c r="TT514" s="4"/>
      <c r="TU514" s="5"/>
      <c r="TV514" s="6"/>
      <c r="TW514" s="4"/>
      <c r="TX514" s="4"/>
      <c r="TY514" s="4"/>
      <c r="TZ514" s="4"/>
      <c r="UA514" s="4"/>
      <c r="UB514" s="5"/>
      <c r="UC514" s="6"/>
      <c r="UD514" s="4"/>
      <c r="UE514" s="4"/>
      <c r="UF514" s="4"/>
      <c r="UG514" s="4"/>
      <c r="UH514" s="4"/>
      <c r="UI514" s="5"/>
      <c r="UJ514" s="6"/>
      <c r="UK514" s="4"/>
      <c r="UL514" s="4"/>
      <c r="UM514" s="4"/>
      <c r="UN514" s="4"/>
      <c r="UO514" s="4"/>
      <c r="UP514" s="5"/>
      <c r="UQ514" s="6"/>
      <c r="UR514" s="4"/>
      <c r="US514" s="4"/>
      <c r="UT514" s="4"/>
      <c r="UU514" s="4"/>
      <c r="UV514" s="4"/>
      <c r="UW514" s="5"/>
      <c r="UX514" s="6"/>
      <c r="UY514" s="4"/>
      <c r="UZ514" s="4"/>
      <c r="VA514" s="4"/>
      <c r="VB514" s="4"/>
      <c r="VC514" s="4"/>
      <c r="VD514" s="5"/>
      <c r="VE514" s="6"/>
      <c r="VF514" s="4"/>
      <c r="VG514" s="4"/>
      <c r="VH514" s="4"/>
      <c r="VI514" s="4"/>
      <c r="VJ514" s="4"/>
      <c r="VK514" s="5"/>
      <c r="VL514" s="6"/>
      <c r="VM514" s="4"/>
      <c r="VN514" s="4"/>
      <c r="VO514" s="4"/>
      <c r="VP514" s="4"/>
      <c r="VQ514" s="4"/>
      <c r="VR514" s="5"/>
      <c r="VS514" s="6"/>
      <c r="VT514" s="4"/>
      <c r="VU514" s="4"/>
      <c r="VV514" s="4"/>
      <c r="VW514" s="4"/>
      <c r="VX514" s="4"/>
      <c r="VY514" s="5"/>
      <c r="VZ514" s="6"/>
      <c r="WA514" s="4"/>
      <c r="WB514" s="4"/>
      <c r="WC514" s="4"/>
      <c r="WD514" s="4"/>
      <c r="WE514" s="4"/>
      <c r="WF514" s="5"/>
      <c r="WG514" s="6"/>
      <c r="WH514" s="4"/>
      <c r="WI514" s="4"/>
      <c r="WJ514" s="4"/>
      <c r="WK514" s="4"/>
      <c r="WL514" s="4"/>
      <c r="WM514" s="5"/>
      <c r="WN514" s="6"/>
      <c r="WO514" s="4"/>
      <c r="WP514" s="4"/>
      <c r="WQ514" s="4"/>
      <c r="WR514" s="4"/>
      <c r="WS514" s="4"/>
      <c r="WT514" s="5"/>
      <c r="WU514" s="6"/>
      <c r="WV514" s="4"/>
      <c r="WW514" s="4"/>
      <c r="WX514" s="4"/>
      <c r="WY514" s="4"/>
      <c r="WZ514" s="4"/>
      <c r="XA514" s="5"/>
      <c r="XB514" s="6"/>
      <c r="XC514" s="4"/>
      <c r="XD514" s="4"/>
      <c r="XE514" s="4"/>
      <c r="XF514" s="4"/>
      <c r="XG514" s="4"/>
      <c r="XH514" s="5"/>
      <c r="XI514" s="6"/>
      <c r="XJ514" s="4"/>
      <c r="XK514" s="4"/>
      <c r="XL514" s="4"/>
      <c r="XM514" s="4"/>
      <c r="XN514" s="4"/>
      <c r="XO514" s="5"/>
      <c r="XP514" s="6"/>
      <c r="XQ514" s="4"/>
      <c r="XR514" s="4"/>
      <c r="XS514" s="4"/>
      <c r="XT514" s="4"/>
      <c r="XU514" s="4"/>
      <c r="XV514" s="5"/>
      <c r="XW514" s="6"/>
      <c r="XX514" s="4"/>
      <c r="XY514" s="4"/>
      <c r="XZ514" s="4"/>
      <c r="YA514" s="4"/>
      <c r="YB514" s="4"/>
      <c r="YC514" s="5"/>
      <c r="YD514" s="6"/>
      <c r="YE514" s="4"/>
      <c r="YF514" s="4"/>
      <c r="YG514" s="4"/>
      <c r="YH514" s="4"/>
      <c r="YI514" s="4"/>
      <c r="YJ514" s="5"/>
      <c r="YK514" s="6"/>
      <c r="YL514" s="4"/>
      <c r="YM514" s="4"/>
      <c r="YN514" s="4"/>
      <c r="YO514" s="4"/>
      <c r="YP514" s="4"/>
      <c r="YQ514" s="5"/>
      <c r="YR514" s="6"/>
      <c r="YS514" s="4"/>
      <c r="YT514" s="4"/>
      <c r="YU514" s="4"/>
      <c r="YV514" s="4"/>
      <c r="YW514" s="4"/>
      <c r="YX514" s="5"/>
      <c r="YY514" s="6"/>
      <c r="YZ514" s="4"/>
      <c r="ZA514" s="4"/>
      <c r="ZB514" s="4"/>
      <c r="ZC514" s="4"/>
      <c r="ZD514" s="4"/>
      <c r="ZE514" s="5"/>
      <c r="ZF514" s="6"/>
      <c r="ZG514" s="4"/>
      <c r="ZH514" s="4"/>
      <c r="ZI514" s="4"/>
      <c r="ZJ514" s="4"/>
      <c r="ZK514" s="4"/>
      <c r="ZL514" s="5"/>
      <c r="ZM514" s="6"/>
      <c r="ZN514" s="4"/>
      <c r="ZO514" s="4"/>
      <c r="ZP514" s="4"/>
      <c r="ZQ514" s="4"/>
      <c r="ZR514" s="4"/>
      <c r="ZS514" s="5"/>
      <c r="ZT514" s="6"/>
      <c r="ZU514" s="4"/>
      <c r="ZV514" s="4"/>
      <c r="ZW514" s="4"/>
      <c r="ZX514" s="4"/>
      <c r="ZY514" s="4"/>
      <c r="ZZ514" s="5"/>
      <c r="AAA514" s="6"/>
      <c r="AAB514" s="4"/>
      <c r="AAC514" s="4"/>
      <c r="AAD514" s="4"/>
      <c r="AAE514" s="4"/>
      <c r="AAF514" s="4"/>
      <c r="AAG514" s="5"/>
      <c r="AAH514" s="6"/>
      <c r="AAI514" s="4"/>
      <c r="AAJ514" s="4"/>
      <c r="AAK514" s="4"/>
      <c r="AAL514" s="4"/>
      <c r="AAM514" s="4"/>
      <c r="AAN514" s="5"/>
      <c r="AAO514" s="6"/>
      <c r="AAP514" s="4"/>
      <c r="AAQ514" s="4"/>
      <c r="AAR514" s="4"/>
      <c r="AAS514" s="4"/>
      <c r="AAT514" s="4"/>
      <c r="AAU514" s="5"/>
      <c r="AAV514" s="6"/>
      <c r="AAW514" s="4"/>
      <c r="AAX514" s="4"/>
      <c r="AAY514" s="4"/>
      <c r="AAZ514" s="4"/>
      <c r="ABA514" s="4"/>
      <c r="ABB514" s="5"/>
      <c r="ABC514" s="6"/>
      <c r="ABD514" s="4"/>
      <c r="ABE514" s="4"/>
      <c r="ABF514" s="4"/>
      <c r="ABG514" s="4"/>
      <c r="ABH514" s="4"/>
      <c r="ABI514" s="5"/>
      <c r="ABJ514" s="6"/>
      <c r="ABK514" s="4"/>
      <c r="ABL514" s="4"/>
      <c r="ABM514" s="4"/>
      <c r="ABN514" s="4"/>
      <c r="ABO514" s="4"/>
      <c r="ABP514" s="5"/>
      <c r="ABQ514" s="6"/>
      <c r="ABR514" s="4"/>
      <c r="ABS514" s="4"/>
      <c r="ABT514" s="4"/>
      <c r="ABU514" s="4"/>
      <c r="ABV514" s="4"/>
      <c r="ABW514" s="5"/>
      <c r="ABX514" s="6"/>
      <c r="ABY514" s="4"/>
      <c r="ABZ514" s="4"/>
      <c r="ACA514" s="4"/>
      <c r="ACB514" s="4"/>
      <c r="ACC514" s="4"/>
      <c r="ACD514" s="5"/>
      <c r="ACE514" s="6"/>
      <c r="ACF514" s="4"/>
      <c r="ACG514" s="4"/>
      <c r="ACH514" s="4"/>
      <c r="ACI514" s="4"/>
      <c r="ACJ514" s="4"/>
      <c r="ACK514" s="5"/>
      <c r="ACL514" s="6"/>
      <c r="ACM514" s="4"/>
      <c r="ACN514" s="4"/>
      <c r="ACO514" s="4"/>
      <c r="ACP514" s="4"/>
      <c r="ACQ514" s="4"/>
      <c r="ACR514" s="5"/>
      <c r="ACS514" s="6"/>
      <c r="ACT514" s="4"/>
      <c r="ACU514" s="4"/>
      <c r="ACV514" s="4"/>
      <c r="ACW514" s="4"/>
      <c r="ACX514" s="4"/>
      <c r="ACY514" s="5"/>
    </row>
    <row r="515" spans="2:802" x14ac:dyDescent="0.25">
      <c r="B515" s="49">
        <v>12098703</v>
      </c>
      <c r="C515" s="57">
        <v>45</v>
      </c>
      <c r="D515" t="s">
        <v>310</v>
      </c>
      <c r="E515" s="38" t="s">
        <v>35</v>
      </c>
      <c r="F515" s="23">
        <v>1</v>
      </c>
      <c r="J515" s="12"/>
      <c r="K515" s="12"/>
      <c r="L515" s="12"/>
      <c r="M515">
        <v>1</v>
      </c>
      <c r="N515" s="55">
        <v>36161</v>
      </c>
      <c r="LL515" s="6"/>
      <c r="LM515" s="4"/>
      <c r="LN515" s="4"/>
      <c r="LO515" s="4"/>
      <c r="LP515" s="4"/>
      <c r="LQ515" s="4"/>
      <c r="LR515" s="5"/>
      <c r="LS515" s="6"/>
      <c r="LT515" s="4"/>
      <c r="LU515" s="4"/>
      <c r="LV515" s="4"/>
      <c r="LW515" s="4"/>
      <c r="LX515" s="4"/>
      <c r="LY515" s="5"/>
      <c r="LZ515" s="6" t="s">
        <v>2983</v>
      </c>
      <c r="MA515" s="7" t="s">
        <v>2983</v>
      </c>
      <c r="MB515" s="4"/>
      <c r="MC515" s="4"/>
      <c r="MD515" s="4"/>
      <c r="ME515" s="4"/>
      <c r="MF515" s="4"/>
      <c r="MG515" s="5"/>
      <c r="MH515" s="6"/>
      <c r="MI515" s="4"/>
      <c r="MJ515" s="4"/>
      <c r="MK515" s="4"/>
      <c r="ML515" s="4"/>
      <c r="MM515" s="4"/>
      <c r="MN515" s="5"/>
      <c r="MO515" s="6"/>
      <c r="MP515" s="4"/>
      <c r="MQ515" s="4"/>
      <c r="MR515" s="4"/>
      <c r="MS515" s="4"/>
      <c r="MT515" s="4"/>
      <c r="MU515" s="5"/>
      <c r="MV515" s="6"/>
      <c r="MW515" s="4"/>
      <c r="MX515" s="4"/>
      <c r="MY515" s="4"/>
      <c r="MZ515" s="4"/>
      <c r="NA515" s="4"/>
      <c r="NB515" s="5"/>
      <c r="NC515" s="6" t="s">
        <v>2777</v>
      </c>
      <c r="ND515" s="4" t="s">
        <v>2777</v>
      </c>
      <c r="NE515" s="4"/>
      <c r="NF515" s="4"/>
      <c r="NG515" s="4"/>
      <c r="NH515" s="4"/>
      <c r="NI515" s="5"/>
      <c r="NJ515" s="6"/>
      <c r="NK515" s="4"/>
      <c r="NL515" s="4"/>
      <c r="NM515" s="4"/>
      <c r="NN515" s="4"/>
      <c r="NO515" s="4"/>
      <c r="NP515" s="5"/>
      <c r="NQ515" s="6"/>
      <c r="NR515" s="4"/>
      <c r="NS515" s="4"/>
      <c r="NT515" s="4"/>
      <c r="NU515" s="4"/>
      <c r="NV515" s="4"/>
      <c r="NW515" s="5"/>
      <c r="NX515" s="6"/>
      <c r="NY515" s="4"/>
      <c r="NZ515" s="4"/>
      <c r="OA515" s="4"/>
      <c r="OB515" s="4"/>
      <c r="OC515" s="4"/>
      <c r="OD515" s="5"/>
      <c r="OE515" s="6"/>
      <c r="OF515" s="4"/>
      <c r="OG515" s="4"/>
      <c r="OH515" s="4"/>
      <c r="OI515" s="4"/>
      <c r="OJ515" s="4"/>
      <c r="OK515" s="5"/>
      <c r="OL515" s="6"/>
      <c r="OM515" s="4"/>
      <c r="ON515" s="4"/>
      <c r="OO515" s="4"/>
      <c r="OP515" s="4"/>
      <c r="OQ515" s="4"/>
      <c r="OR515" s="5"/>
      <c r="OS515" s="6"/>
      <c r="OT515" s="4"/>
      <c r="OU515" s="4"/>
      <c r="OV515" s="4"/>
      <c r="OW515" s="4"/>
      <c r="OX515" s="4"/>
      <c r="OY515" s="5"/>
      <c r="OZ515" s="6"/>
      <c r="PA515" s="4"/>
      <c r="PB515" s="4"/>
      <c r="PC515" s="4"/>
      <c r="PD515" s="4"/>
      <c r="PE515" s="4"/>
      <c r="PF515" s="5"/>
      <c r="PG515" s="6"/>
      <c r="PH515" s="4"/>
      <c r="PI515" s="4"/>
      <c r="PJ515" s="4"/>
      <c r="PK515" s="4"/>
      <c r="PL515" s="4"/>
      <c r="PM515" s="5"/>
      <c r="PN515" s="6"/>
      <c r="PO515" s="4"/>
      <c r="PP515" s="4"/>
      <c r="PQ515" s="4"/>
      <c r="PR515" s="4"/>
      <c r="PS515" s="4"/>
      <c r="PT515" s="5"/>
      <c r="PU515" s="6"/>
      <c r="PV515" s="4"/>
      <c r="PW515" s="4"/>
      <c r="PX515" s="4"/>
      <c r="PY515" s="4"/>
      <c r="PZ515" s="4"/>
      <c r="QA515" s="5"/>
      <c r="QB515" s="6"/>
      <c r="QC515" s="4"/>
      <c r="QD515" s="4"/>
      <c r="QE515" s="4"/>
      <c r="QF515" s="4"/>
      <c r="QG515" s="4"/>
      <c r="QH515" s="5"/>
      <c r="QI515" s="6"/>
      <c r="QJ515" s="4"/>
      <c r="QK515" s="4"/>
      <c r="QL515" s="4"/>
      <c r="QM515" s="4"/>
      <c r="QN515" s="4"/>
      <c r="QO515" s="5"/>
      <c r="QP515" s="6"/>
      <c r="QQ515" s="4"/>
      <c r="QR515" s="4"/>
      <c r="QS515" s="4"/>
      <c r="QT515" s="4"/>
      <c r="QU515" s="4"/>
      <c r="QV515" s="5"/>
      <c r="QW515" s="6"/>
      <c r="QX515" s="4"/>
      <c r="QY515" s="4"/>
      <c r="QZ515" s="4"/>
      <c r="RA515" s="4"/>
      <c r="RB515" s="4"/>
      <c r="RC515" s="5"/>
      <c r="RD515" s="6"/>
      <c r="RE515" s="4"/>
      <c r="RF515" s="4"/>
      <c r="RG515" s="4"/>
      <c r="RH515" s="4"/>
      <c r="RI515" s="4"/>
      <c r="RJ515" s="5"/>
      <c r="RK515" s="6"/>
      <c r="RL515" s="4"/>
      <c r="RM515" s="4"/>
      <c r="RN515" s="4"/>
      <c r="RO515" s="4"/>
      <c r="RP515" s="4"/>
      <c r="RQ515" s="5"/>
      <c r="RR515" s="6"/>
      <c r="RS515" s="4"/>
      <c r="RT515" s="4"/>
      <c r="RU515" s="4"/>
      <c r="RV515" s="4"/>
      <c r="RW515" s="4"/>
      <c r="RX515" s="5"/>
      <c r="RY515" s="6"/>
      <c r="RZ515" s="4"/>
      <c r="SA515" s="4"/>
      <c r="SB515" s="4"/>
      <c r="SC515" s="4"/>
      <c r="SD515" s="4"/>
      <c r="SE515" s="5"/>
      <c r="SF515" s="6"/>
      <c r="SG515" s="4"/>
      <c r="SH515" s="4"/>
      <c r="SI515" s="4"/>
      <c r="SJ515" s="4"/>
      <c r="SK515" s="4"/>
      <c r="SL515" s="5"/>
      <c r="SM515" s="6"/>
      <c r="SN515" s="4"/>
      <c r="SO515" s="4"/>
      <c r="SP515" s="4"/>
      <c r="SQ515" s="4"/>
      <c r="SR515" s="4"/>
      <c r="SS515" s="5"/>
      <c r="ST515" s="6"/>
      <c r="SU515" s="4"/>
      <c r="SV515" s="4"/>
      <c r="SW515" s="4"/>
      <c r="SX515" s="4"/>
      <c r="SY515" s="4"/>
      <c r="SZ515" s="5"/>
      <c r="TA515" s="6"/>
      <c r="TB515" s="4"/>
      <c r="TC515" s="4"/>
      <c r="TD515" s="4"/>
      <c r="TE515" s="4"/>
      <c r="TF515" s="4"/>
      <c r="TG515" s="5"/>
      <c r="TH515" s="6"/>
      <c r="TI515" s="4"/>
      <c r="TJ515" s="4"/>
      <c r="TK515" s="4"/>
      <c r="TL515" s="4"/>
      <c r="TM515" s="4"/>
      <c r="TN515" s="5"/>
      <c r="TO515" s="6"/>
      <c r="TP515" s="4"/>
      <c r="TQ515" s="4"/>
      <c r="TR515" s="4"/>
      <c r="TS515" s="4"/>
      <c r="TT515" s="4"/>
      <c r="TU515" s="5"/>
      <c r="TV515" s="6"/>
      <c r="TW515" s="4"/>
      <c r="TX515" s="4"/>
      <c r="TY515" s="4"/>
      <c r="TZ515" s="4"/>
      <c r="UA515" s="4"/>
      <c r="UB515" s="5"/>
      <c r="UC515" s="6"/>
      <c r="UD515" s="4"/>
      <c r="UE515" s="4"/>
      <c r="UF515" s="4"/>
      <c r="UG515" s="4"/>
      <c r="UH515" s="4"/>
      <c r="UI515" s="5"/>
      <c r="UJ515" s="6"/>
      <c r="UK515" s="4"/>
      <c r="UL515" s="4"/>
      <c r="UM515" s="4"/>
      <c r="UN515" s="4"/>
      <c r="UO515" s="4"/>
      <c r="UP515" s="5"/>
      <c r="UQ515" s="6"/>
      <c r="UR515" s="4"/>
      <c r="US515" s="4"/>
      <c r="UT515" s="4"/>
      <c r="UU515" s="4"/>
      <c r="UV515" s="4"/>
      <c r="UW515" s="5"/>
      <c r="UX515" s="6"/>
      <c r="UY515" s="4"/>
      <c r="UZ515" s="4"/>
      <c r="VA515" s="4"/>
      <c r="VB515" s="4"/>
      <c r="VC515" s="4"/>
      <c r="VD515" s="5"/>
      <c r="VE515" s="6"/>
      <c r="VF515" s="4"/>
      <c r="VG515" s="4"/>
      <c r="VH515" s="4"/>
      <c r="VI515" s="4"/>
      <c r="VJ515" s="4"/>
      <c r="VK515" s="5"/>
      <c r="VL515" s="6"/>
      <c r="VM515" s="4"/>
      <c r="VN515" s="4"/>
      <c r="VO515" s="4"/>
      <c r="VP515" s="4"/>
      <c r="VQ515" s="4"/>
      <c r="VR515" s="5"/>
      <c r="VS515" s="6"/>
      <c r="VT515" s="4"/>
      <c r="VU515" s="4"/>
      <c r="VV515" s="4"/>
      <c r="VW515" s="4"/>
      <c r="VX515" s="4"/>
      <c r="VY515" s="5"/>
      <c r="VZ515" s="6"/>
      <c r="WA515" s="4"/>
      <c r="WB515" s="4"/>
      <c r="WC515" s="4"/>
      <c r="WD515" s="4"/>
      <c r="WE515" s="4"/>
      <c r="WF515" s="5"/>
      <c r="WG515" s="6"/>
      <c r="WH515" s="4"/>
      <c r="WI515" s="4"/>
      <c r="WJ515" s="4"/>
      <c r="WK515" s="4"/>
      <c r="WL515" s="4"/>
      <c r="WM515" s="5"/>
      <c r="WN515" s="6"/>
      <c r="WO515" s="4"/>
      <c r="WP515" s="4"/>
      <c r="WQ515" s="4"/>
      <c r="WR515" s="4"/>
      <c r="WS515" s="4"/>
      <c r="WT515" s="5"/>
      <c r="WU515" s="4" t="s">
        <v>818</v>
      </c>
      <c r="WV515" s="4" t="s">
        <v>818</v>
      </c>
      <c r="WW515" s="4"/>
      <c r="WX515" s="4"/>
      <c r="WY515" s="4"/>
      <c r="WZ515" s="4"/>
      <c r="XA515" s="5" t="s">
        <v>60</v>
      </c>
      <c r="XB515" s="6"/>
      <c r="XC515" s="4"/>
      <c r="XD515" s="4"/>
      <c r="XE515" s="4"/>
      <c r="XF515" s="4"/>
      <c r="XG515" s="4"/>
      <c r="XH515" s="5"/>
      <c r="XI515" s="6"/>
      <c r="XJ515" s="4"/>
      <c r="XK515" s="4"/>
      <c r="XL515" s="4"/>
      <c r="XM515" s="4"/>
      <c r="XN515" s="4"/>
      <c r="XO515" s="5"/>
      <c r="XP515" s="6"/>
      <c r="XQ515" s="4"/>
      <c r="XR515" s="4"/>
      <c r="XS515" s="4"/>
      <c r="XT515" s="4"/>
      <c r="XU515" s="4"/>
      <c r="XV515" s="5"/>
      <c r="XW515" s="6"/>
      <c r="XX515" s="4"/>
      <c r="XY515" s="4"/>
      <c r="XZ515" s="4"/>
      <c r="YA515" s="4"/>
      <c r="YB515" s="4"/>
      <c r="YC515" s="5"/>
      <c r="YD515" s="6"/>
      <c r="YE515" s="4"/>
      <c r="YF515" s="4"/>
      <c r="YG515" s="4"/>
      <c r="YH515" s="4"/>
      <c r="YI515" s="4"/>
      <c r="YJ515" s="5"/>
      <c r="YK515" s="6"/>
      <c r="YL515" s="4"/>
      <c r="YM515" s="4"/>
      <c r="YN515" s="4"/>
      <c r="YO515" s="4"/>
      <c r="YP515" s="4"/>
      <c r="YQ515" s="5"/>
      <c r="YR515" s="6"/>
      <c r="YS515" s="4"/>
      <c r="YT515" s="4"/>
      <c r="YU515" s="4"/>
      <c r="YV515" s="4"/>
      <c r="YW515" s="4"/>
      <c r="YX515" s="5"/>
      <c r="YY515" s="6"/>
      <c r="YZ515" s="4"/>
      <c r="ZA515" s="4"/>
      <c r="ZB515" s="4"/>
      <c r="ZC515" s="4"/>
      <c r="ZD515" s="4"/>
      <c r="ZE515" s="5"/>
      <c r="ZF515" s="6"/>
      <c r="ZG515" s="4"/>
      <c r="ZH515" s="4"/>
      <c r="ZI515" s="4"/>
      <c r="ZJ515" s="4"/>
      <c r="ZK515" s="4"/>
      <c r="ZL515" s="5"/>
      <c r="ZM515" s="6"/>
      <c r="ZN515" s="4"/>
      <c r="ZO515" s="4"/>
      <c r="ZP515" s="4"/>
      <c r="ZQ515" s="4"/>
      <c r="ZR515" s="4"/>
      <c r="ZS515" s="5"/>
      <c r="ZT515" s="6"/>
      <c r="ZU515" s="4"/>
      <c r="ZV515" s="4"/>
      <c r="ZW515" s="4"/>
      <c r="ZX515" s="4"/>
      <c r="ZY515" s="4"/>
      <c r="ZZ515" s="5"/>
      <c r="AAA515" s="6"/>
      <c r="AAB515" s="4"/>
      <c r="AAC515" s="4"/>
      <c r="AAD515" s="4"/>
      <c r="AAE515" s="4"/>
      <c r="AAF515" s="4"/>
      <c r="AAG515" s="5"/>
      <c r="AAH515" s="6"/>
      <c r="AAI515" s="4"/>
      <c r="AAJ515" s="4"/>
      <c r="AAK515" s="4"/>
      <c r="AAL515" s="4"/>
      <c r="AAM515" s="4"/>
      <c r="AAN515" s="5"/>
      <c r="AAO515" s="6"/>
      <c r="AAP515" s="4"/>
      <c r="AAQ515" s="4"/>
      <c r="AAR515" s="4"/>
      <c r="AAS515" s="4"/>
      <c r="AAT515" s="4"/>
      <c r="AAU515" s="5"/>
      <c r="AAV515" s="6"/>
      <c r="AAW515" s="4"/>
      <c r="AAX515" s="4"/>
      <c r="AAY515" s="4"/>
      <c r="AAZ515" s="4"/>
      <c r="ABA515" s="4"/>
      <c r="ABB515" s="5"/>
      <c r="ABC515" s="6"/>
      <c r="ABD515" s="4"/>
      <c r="ABE515" s="4"/>
      <c r="ABF515" s="4"/>
      <c r="ABG515" s="4"/>
      <c r="ABH515" s="4"/>
      <c r="ABI515" s="5"/>
      <c r="ABJ515" s="6"/>
      <c r="ABK515" s="4"/>
      <c r="ABL515" s="4"/>
      <c r="ABM515" s="4"/>
      <c r="ABN515" s="4"/>
      <c r="ABO515" s="4"/>
      <c r="ABP515" s="5"/>
      <c r="ABQ515" s="6"/>
      <c r="ABR515" s="4"/>
      <c r="ABS515" s="4"/>
      <c r="ABT515" s="4"/>
      <c r="ABU515" s="4"/>
      <c r="ABV515" s="4"/>
      <c r="ABW515" s="5"/>
      <c r="ABX515" s="6"/>
      <c r="ABY515" s="4"/>
      <c r="ABZ515" s="4"/>
      <c r="ACA515" s="4"/>
      <c r="ACB515" s="4"/>
      <c r="ACC515" s="4"/>
      <c r="ACD515" s="5"/>
      <c r="ACE515" s="6"/>
      <c r="ACF515" s="4"/>
      <c r="ACG515" s="4"/>
      <c r="ACH515" s="4"/>
      <c r="ACI515" s="4"/>
      <c r="ACJ515" s="4"/>
      <c r="ACK515" s="5"/>
      <c r="ACL515" s="6"/>
      <c r="ACM515" s="4"/>
      <c r="ACN515" s="4"/>
      <c r="ACO515" s="4"/>
      <c r="ACP515" s="4"/>
      <c r="ACQ515" s="4"/>
      <c r="ACR515" s="5"/>
      <c r="ACS515" s="6"/>
      <c r="ACT515" s="4"/>
      <c r="ACU515" s="4"/>
      <c r="ACV515" s="4"/>
      <c r="ACW515" s="4"/>
      <c r="ACX515" s="4"/>
      <c r="ACY515" s="5"/>
      <c r="ADL515" t="s">
        <v>311</v>
      </c>
      <c r="ADV515" t="s">
        <v>312</v>
      </c>
    </row>
    <row r="516" spans="2:802" x14ac:dyDescent="0.25">
      <c r="B516" s="29">
        <v>12111658</v>
      </c>
      <c r="C516" s="57">
        <v>49</v>
      </c>
      <c r="D516" t="s">
        <v>1781</v>
      </c>
      <c r="E516" t="s">
        <v>1166</v>
      </c>
      <c r="F516" s="23">
        <v>1</v>
      </c>
      <c r="I516">
        <v>1</v>
      </c>
      <c r="J516" s="12"/>
      <c r="K516" s="12"/>
      <c r="L516" s="12"/>
      <c r="M516">
        <v>1</v>
      </c>
      <c r="LL516" s="6"/>
      <c r="LM516" s="4"/>
      <c r="LN516" s="4"/>
      <c r="LO516" s="4"/>
      <c r="LP516" s="4"/>
      <c r="LQ516" s="4"/>
      <c r="LR516" s="5"/>
      <c r="LS516" s="6"/>
      <c r="LT516" s="4"/>
      <c r="LU516" s="4"/>
      <c r="LV516" s="4"/>
      <c r="LW516" s="4"/>
      <c r="LX516" s="4"/>
      <c r="LY516" s="5"/>
      <c r="LZ516" s="6" t="s">
        <v>2477</v>
      </c>
      <c r="MA516" s="7" t="s">
        <v>2477</v>
      </c>
      <c r="MB516" s="4"/>
      <c r="MC516" s="4"/>
      <c r="MD516" s="4"/>
      <c r="ME516" s="4"/>
      <c r="MF516" s="4"/>
      <c r="MG516" s="5" t="s">
        <v>3694</v>
      </c>
      <c r="MH516" s="6"/>
      <c r="MI516" s="4"/>
      <c r="MJ516" s="4"/>
      <c r="MK516" s="4"/>
      <c r="ML516" s="4"/>
      <c r="MM516" s="4"/>
      <c r="MN516" s="5"/>
      <c r="MO516" s="6"/>
      <c r="MP516" s="4"/>
      <c r="MQ516" s="4"/>
      <c r="MR516" s="4"/>
      <c r="MS516" s="4"/>
      <c r="MT516" s="4"/>
      <c r="MU516" s="5"/>
      <c r="MV516" s="6"/>
      <c r="MW516" s="4"/>
      <c r="MX516" s="4"/>
      <c r="MY516" s="4"/>
      <c r="MZ516" s="4"/>
      <c r="NA516" s="4"/>
      <c r="NB516" s="5"/>
      <c r="NC516" s="6" t="s">
        <v>1880</v>
      </c>
      <c r="ND516" s="4" t="s">
        <v>1880</v>
      </c>
      <c r="NE516" s="4"/>
      <c r="NF516" s="4"/>
      <c r="NG516" s="4"/>
      <c r="NH516" s="4"/>
      <c r="NI516" s="5"/>
      <c r="NJ516" s="6"/>
      <c r="NK516" s="4"/>
      <c r="NL516" s="4"/>
      <c r="NM516" s="4"/>
      <c r="NN516" s="4"/>
      <c r="NO516" s="4"/>
      <c r="NP516" s="5"/>
      <c r="NQ516" s="4" t="s">
        <v>3692</v>
      </c>
      <c r="NR516" s="4" t="s">
        <v>3692</v>
      </c>
      <c r="NS516" s="4"/>
      <c r="NT516" s="4"/>
      <c r="NU516" s="4"/>
      <c r="NV516" s="4"/>
      <c r="NW516" s="5"/>
      <c r="NX516" s="6"/>
      <c r="NY516" s="4"/>
      <c r="NZ516" s="4"/>
      <c r="OA516" s="4"/>
      <c r="OB516" s="4"/>
      <c r="OC516" s="4"/>
      <c r="OD516" s="5"/>
      <c r="OE516" s="6"/>
      <c r="OF516" s="4"/>
      <c r="OG516" s="4"/>
      <c r="OH516" s="4"/>
      <c r="OI516" s="4"/>
      <c r="OJ516" s="4"/>
      <c r="OK516" s="5"/>
      <c r="OL516" s="6"/>
      <c r="OM516" s="4"/>
      <c r="ON516" s="4"/>
      <c r="OO516" s="4"/>
      <c r="OP516" s="4"/>
      <c r="OQ516" s="4"/>
      <c r="OR516" s="5"/>
      <c r="OS516" s="6"/>
      <c r="OT516" s="4"/>
      <c r="OU516" s="4"/>
      <c r="OV516" s="4"/>
      <c r="OW516" s="4"/>
      <c r="OX516" s="4"/>
      <c r="OY516" s="5"/>
      <c r="OZ516" s="6"/>
      <c r="PA516" s="4"/>
      <c r="PB516" s="4"/>
      <c r="PC516" s="4"/>
      <c r="PD516" s="4"/>
      <c r="PE516" s="4"/>
      <c r="PF516" s="5"/>
      <c r="PG516" s="6"/>
      <c r="PH516" s="4"/>
      <c r="PI516" s="4"/>
      <c r="PJ516" s="4"/>
      <c r="PK516" s="4"/>
      <c r="PL516" s="4"/>
      <c r="PM516" s="5"/>
      <c r="PN516" s="6"/>
      <c r="PO516" s="4"/>
      <c r="PP516" s="4"/>
      <c r="PQ516" s="4"/>
      <c r="PR516" s="4"/>
      <c r="PS516" s="4"/>
      <c r="PT516" s="5"/>
      <c r="PU516" s="6"/>
      <c r="PV516" s="4"/>
      <c r="PW516" s="4"/>
      <c r="PX516" s="4"/>
      <c r="PY516" s="4"/>
      <c r="PZ516" s="4"/>
      <c r="QA516" s="5"/>
      <c r="QB516" s="6"/>
      <c r="QC516" s="4"/>
      <c r="QD516" s="4"/>
      <c r="QE516" s="4"/>
      <c r="QF516" s="4"/>
      <c r="QG516" s="4"/>
      <c r="QH516" s="5"/>
      <c r="QI516" s="6"/>
      <c r="QJ516" s="4"/>
      <c r="QK516" s="4"/>
      <c r="QL516" s="4"/>
      <c r="QM516" s="4"/>
      <c r="QN516" s="4"/>
      <c r="QO516" s="5"/>
      <c r="QP516" s="4" t="s">
        <v>3975</v>
      </c>
      <c r="QQ516" s="4" t="s">
        <v>3975</v>
      </c>
      <c r="QR516" s="4"/>
      <c r="QS516" s="4"/>
      <c r="QT516" s="4"/>
      <c r="QU516" s="4"/>
      <c r="QV516" s="5"/>
      <c r="QW516" s="6"/>
      <c r="QX516" s="4"/>
      <c r="QY516" s="4"/>
      <c r="QZ516" s="4"/>
      <c r="RA516" s="4"/>
      <c r="RB516" s="4"/>
      <c r="RC516" s="5"/>
      <c r="RD516" s="6"/>
      <c r="RE516" s="4"/>
      <c r="RF516" s="4"/>
      <c r="RG516" s="4"/>
      <c r="RH516" s="4"/>
      <c r="RI516" s="4"/>
      <c r="RJ516" s="5"/>
      <c r="RK516" s="6"/>
      <c r="RL516" s="4"/>
      <c r="RM516" s="4"/>
      <c r="RN516" s="4"/>
      <c r="RO516" s="4"/>
      <c r="RP516" s="4"/>
      <c r="RQ516" s="5"/>
      <c r="RR516" s="6"/>
      <c r="RS516" s="4"/>
      <c r="RT516" s="4"/>
      <c r="RU516" s="4"/>
      <c r="RV516" s="4"/>
      <c r="RW516" s="4"/>
      <c r="RX516" s="5"/>
      <c r="RY516" s="6"/>
      <c r="RZ516" s="4"/>
      <c r="SA516" s="4"/>
      <c r="SB516" s="4"/>
      <c r="SC516" s="4"/>
      <c r="SD516" s="4"/>
      <c r="SE516" s="5"/>
      <c r="SF516" s="6"/>
      <c r="SG516" s="4"/>
      <c r="SH516" s="4"/>
      <c r="SI516" s="4"/>
      <c r="SJ516" s="4"/>
      <c r="SK516" s="4"/>
      <c r="SL516" s="5"/>
      <c r="SM516" s="6"/>
      <c r="SN516" s="4"/>
      <c r="SO516" s="4"/>
      <c r="SP516" s="4"/>
      <c r="SQ516" s="4"/>
      <c r="SR516" s="4"/>
      <c r="SS516" s="5"/>
      <c r="ST516" s="6" t="s">
        <v>3693</v>
      </c>
      <c r="SU516" s="6" t="s">
        <v>3693</v>
      </c>
      <c r="SV516" s="4"/>
      <c r="SW516" s="4"/>
      <c r="SX516" s="4"/>
      <c r="SY516" s="4"/>
      <c r="SZ516" s="5"/>
      <c r="TA516" s="6"/>
      <c r="TB516" s="4"/>
      <c r="TC516" s="4"/>
      <c r="TD516" s="4"/>
      <c r="TE516" s="4"/>
      <c r="TF516" s="4"/>
      <c r="TG516" s="5"/>
      <c r="TH516" s="6"/>
      <c r="TI516" s="4"/>
      <c r="TJ516" s="4"/>
      <c r="TK516" s="4"/>
      <c r="TL516" s="4"/>
      <c r="TM516" s="4"/>
      <c r="TN516" s="5"/>
      <c r="TO516" s="6"/>
      <c r="TP516" s="4"/>
      <c r="TQ516" s="4"/>
      <c r="TR516" s="4"/>
      <c r="TS516" s="4"/>
      <c r="TT516" s="4"/>
      <c r="TU516" s="5"/>
      <c r="TV516" s="6"/>
      <c r="TW516" s="4"/>
      <c r="TX516" s="4"/>
      <c r="TY516" s="4"/>
      <c r="TZ516" s="4"/>
      <c r="UA516" s="4"/>
      <c r="UB516" s="5"/>
      <c r="UC516" s="6"/>
      <c r="UD516" s="4"/>
      <c r="UE516" s="4"/>
      <c r="UF516" s="4"/>
      <c r="UG516" s="4"/>
      <c r="UH516" s="4"/>
      <c r="UI516" s="5"/>
      <c r="UJ516" s="6"/>
      <c r="UK516" s="4"/>
      <c r="UL516" s="4"/>
      <c r="UM516" s="4"/>
      <c r="UN516" s="4"/>
      <c r="UO516" s="4"/>
      <c r="UP516" s="5"/>
      <c r="UQ516" s="6"/>
      <c r="UR516" s="4"/>
      <c r="US516" s="4"/>
      <c r="UT516" s="4"/>
      <c r="UU516" s="4"/>
      <c r="UV516" s="4"/>
      <c r="UW516" s="5"/>
      <c r="UX516" s="6"/>
      <c r="UY516" s="4"/>
      <c r="UZ516" s="4"/>
      <c r="VA516" s="4"/>
      <c r="VB516" s="4"/>
      <c r="VC516" s="4"/>
      <c r="VD516" s="5"/>
      <c r="VE516" s="6"/>
      <c r="VF516" s="4"/>
      <c r="VG516" s="4"/>
      <c r="VH516" s="4"/>
      <c r="VI516" s="4"/>
      <c r="VJ516" s="4"/>
      <c r="VK516" s="5"/>
      <c r="VL516" s="6"/>
      <c r="VM516" s="4"/>
      <c r="VN516" s="4"/>
      <c r="VO516" s="4"/>
      <c r="VP516" s="4"/>
      <c r="VQ516" s="4"/>
      <c r="VR516" s="5"/>
      <c r="VS516" s="6"/>
      <c r="VT516" s="4"/>
      <c r="VU516" s="4"/>
      <c r="VV516" s="4"/>
      <c r="VW516" s="4"/>
      <c r="VX516" s="4"/>
      <c r="VY516" s="5"/>
      <c r="VZ516" s="6"/>
      <c r="WA516" s="4"/>
      <c r="WB516" s="4"/>
      <c r="WC516" s="4"/>
      <c r="WD516" s="4"/>
      <c r="WE516" s="4"/>
      <c r="WF516" s="5"/>
      <c r="WG516" s="6"/>
      <c r="WH516" s="4"/>
      <c r="WI516" s="4"/>
      <c r="WJ516" s="4"/>
      <c r="WK516" s="4"/>
      <c r="WL516" s="4"/>
      <c r="WM516" s="5"/>
      <c r="WN516" s="6"/>
      <c r="WO516" s="4"/>
      <c r="WP516" s="4"/>
      <c r="WQ516" s="4"/>
      <c r="WR516" s="4"/>
      <c r="WS516" s="4"/>
      <c r="WT516" s="5"/>
      <c r="WU516" s="6"/>
      <c r="WV516" s="4"/>
      <c r="WW516" s="4"/>
      <c r="WX516" s="4"/>
      <c r="WY516" s="4"/>
      <c r="WZ516" s="4"/>
      <c r="XA516" s="5"/>
      <c r="XB516" s="6"/>
      <c r="XC516" s="4"/>
      <c r="XD516" s="4"/>
      <c r="XE516" s="4"/>
      <c r="XF516" s="4"/>
      <c r="XG516" s="4"/>
      <c r="XH516" s="5"/>
      <c r="XI516" s="6"/>
      <c r="XJ516" s="4"/>
      <c r="XK516" s="4"/>
      <c r="XL516" s="4"/>
      <c r="XM516" s="4"/>
      <c r="XN516" s="4"/>
      <c r="XO516" s="5"/>
      <c r="XP516" s="6"/>
      <c r="XQ516" s="4"/>
      <c r="XR516" s="4"/>
      <c r="XS516" s="4"/>
      <c r="XT516" s="4"/>
      <c r="XU516" s="4"/>
      <c r="XV516" s="5"/>
      <c r="XW516" s="6"/>
      <c r="XX516" s="4"/>
      <c r="XY516" s="4"/>
      <c r="XZ516" s="4"/>
      <c r="YA516" s="4"/>
      <c r="YB516" s="4"/>
      <c r="YC516" s="5"/>
      <c r="YD516" s="6"/>
      <c r="YE516" s="4"/>
      <c r="YF516" s="4"/>
      <c r="YG516" s="4"/>
      <c r="YH516" s="4"/>
      <c r="YI516" s="4"/>
      <c r="YJ516" s="5"/>
      <c r="YK516" s="6"/>
      <c r="YL516" s="4"/>
      <c r="YM516" s="4"/>
      <c r="YN516" s="4"/>
      <c r="YO516" s="4"/>
      <c r="YP516" s="4"/>
      <c r="YQ516" s="5"/>
      <c r="YR516" s="6"/>
      <c r="YS516" s="4"/>
      <c r="YT516" s="4"/>
      <c r="YU516" s="4"/>
      <c r="YV516" s="4"/>
      <c r="YW516" s="4"/>
      <c r="YX516" s="5"/>
      <c r="YY516" s="6"/>
      <c r="YZ516" s="4"/>
      <c r="ZA516" s="4"/>
      <c r="ZB516" s="4"/>
      <c r="ZC516" s="4"/>
      <c r="ZD516" s="4"/>
      <c r="ZE516" s="5"/>
      <c r="ZF516" s="6"/>
      <c r="ZG516" s="4"/>
      <c r="ZH516" s="4"/>
      <c r="ZI516" s="4"/>
      <c r="ZJ516" s="4"/>
      <c r="ZK516" s="4"/>
      <c r="ZL516" s="5"/>
      <c r="ZM516" s="6"/>
      <c r="ZN516" s="4"/>
      <c r="ZO516" s="4"/>
      <c r="ZP516" s="4"/>
      <c r="ZQ516" s="4"/>
      <c r="ZR516" s="4"/>
      <c r="ZS516" s="5"/>
      <c r="ZT516" s="6"/>
      <c r="ZU516" s="4"/>
      <c r="ZV516" s="4"/>
      <c r="ZW516" s="4"/>
      <c r="ZX516" s="4"/>
      <c r="ZY516" s="4"/>
      <c r="ZZ516" s="5"/>
      <c r="AAA516" s="6"/>
      <c r="AAB516" s="4"/>
      <c r="AAC516" s="4"/>
      <c r="AAD516" s="4"/>
      <c r="AAE516" s="4"/>
      <c r="AAF516" s="4"/>
      <c r="AAG516" s="5"/>
      <c r="AAH516" s="6"/>
      <c r="AAI516" s="4"/>
      <c r="AAJ516" s="4"/>
      <c r="AAK516" s="4"/>
      <c r="AAL516" s="4"/>
      <c r="AAM516" s="4"/>
      <c r="AAN516" s="5"/>
      <c r="AAO516" s="6"/>
      <c r="AAP516" s="4"/>
      <c r="AAQ516" s="4"/>
      <c r="AAR516" s="4"/>
      <c r="AAS516" s="4"/>
      <c r="AAT516" s="4"/>
      <c r="AAU516" s="5"/>
      <c r="AAV516" s="6"/>
      <c r="AAW516" s="4"/>
      <c r="AAX516" s="4"/>
      <c r="AAY516" s="4"/>
      <c r="AAZ516" s="4"/>
      <c r="ABA516" s="4"/>
      <c r="ABB516" s="5"/>
      <c r="ABC516" s="6"/>
      <c r="ABD516" s="4"/>
      <c r="ABE516" s="4"/>
      <c r="ABF516" s="4"/>
      <c r="ABG516" s="4"/>
      <c r="ABH516" s="4"/>
      <c r="ABI516" s="5"/>
      <c r="ABJ516" s="6"/>
      <c r="ABK516" s="4"/>
      <c r="ABL516" s="4"/>
      <c r="ABM516" s="4"/>
      <c r="ABN516" s="4"/>
      <c r="ABO516" s="4"/>
      <c r="ABP516" s="5"/>
      <c r="ABQ516" s="6" t="s">
        <v>1968</v>
      </c>
      <c r="ABR516" s="4" t="s">
        <v>2662</v>
      </c>
      <c r="ABS516" s="4"/>
      <c r="ABT516" s="4"/>
      <c r="ABU516" s="4"/>
      <c r="ABV516" s="4"/>
      <c r="ABW516" s="5"/>
      <c r="ABX516" s="6"/>
      <c r="ABY516" s="4"/>
      <c r="ABZ516" s="4"/>
      <c r="ACA516" s="4"/>
      <c r="ACB516" s="4"/>
      <c r="ACC516" s="4"/>
      <c r="ACD516" s="5"/>
      <c r="ACE516" s="6"/>
      <c r="ACF516" s="4"/>
      <c r="ACG516" s="4"/>
      <c r="ACH516" s="4"/>
      <c r="ACI516" s="4"/>
      <c r="ACJ516" s="4"/>
      <c r="ACK516" s="5"/>
      <c r="ACL516" s="6"/>
      <c r="ACM516" s="4"/>
      <c r="ACN516" s="4"/>
      <c r="ACO516" s="4"/>
      <c r="ACP516" s="4"/>
      <c r="ACQ516" s="4"/>
      <c r="ACR516" s="5"/>
      <c r="ACS516" s="6"/>
      <c r="ACT516" s="4"/>
      <c r="ACU516" s="4"/>
      <c r="ACV516" s="4"/>
      <c r="ACW516" s="4"/>
      <c r="ACX516" s="4"/>
      <c r="ACY516" s="5"/>
      <c r="ADV516" t="s">
        <v>1165</v>
      </c>
    </row>
    <row r="517" spans="2:802" x14ac:dyDescent="0.25">
      <c r="J517" s="12"/>
      <c r="K517" s="12"/>
      <c r="L517" s="12"/>
      <c r="LL517" s="6"/>
      <c r="LM517" s="4"/>
      <c r="LN517" s="4"/>
      <c r="LO517" s="4"/>
      <c r="LP517" s="4"/>
      <c r="LQ517" s="4"/>
      <c r="LR517" s="5"/>
      <c r="LS517" s="6"/>
      <c r="LT517" s="4"/>
      <c r="LU517" s="4"/>
      <c r="LV517" s="4"/>
      <c r="LW517" s="4"/>
      <c r="LX517" s="4"/>
      <c r="LY517" s="5"/>
      <c r="LZ517" s="6" t="s">
        <v>2336</v>
      </c>
      <c r="MA517" s="7" t="s">
        <v>2336</v>
      </c>
      <c r="MB517" s="4"/>
      <c r="MC517" s="4"/>
      <c r="MD517" s="4"/>
      <c r="ME517" s="4"/>
      <c r="MF517" s="4"/>
      <c r="MG517" s="5"/>
      <c r="MH517" s="6"/>
      <c r="MI517" s="4"/>
      <c r="MJ517" s="4"/>
      <c r="MK517" s="4"/>
      <c r="ML517" s="4"/>
      <c r="MM517" s="4"/>
      <c r="MN517" s="5"/>
      <c r="MO517" s="6"/>
      <c r="MP517" s="4"/>
      <c r="MQ517" s="4"/>
      <c r="MR517" s="4"/>
      <c r="MS517" s="4"/>
      <c r="MT517" s="4"/>
      <c r="MU517" s="5"/>
      <c r="MV517" s="6"/>
      <c r="MW517" s="4"/>
      <c r="MX517" s="4"/>
      <c r="MY517" s="4"/>
      <c r="MZ517" s="4"/>
      <c r="NA517" s="4"/>
      <c r="NB517" s="5"/>
      <c r="NC517" s="11" t="s">
        <v>3696</v>
      </c>
      <c r="ND517" s="7" t="s">
        <v>3971</v>
      </c>
      <c r="NE517" s="4"/>
      <c r="NF517" s="4"/>
      <c r="NG517" s="4"/>
      <c r="NH517" s="4"/>
      <c r="NI517" s="5"/>
      <c r="NJ517" s="6"/>
      <c r="NK517" s="4"/>
      <c r="NL517" s="4"/>
      <c r="NM517" s="4"/>
      <c r="NN517" s="4"/>
      <c r="NO517" s="4"/>
      <c r="NP517" s="5"/>
      <c r="NQ517" s="4" t="s">
        <v>3695</v>
      </c>
      <c r="NR517" s="4" t="s">
        <v>3695</v>
      </c>
      <c r="NS517" s="4"/>
      <c r="NT517" s="4"/>
      <c r="NU517" s="4"/>
      <c r="NV517" s="4"/>
      <c r="NW517" s="5"/>
      <c r="NX517" s="6"/>
      <c r="NY517" s="4"/>
      <c r="NZ517" s="4"/>
      <c r="OA517" s="4"/>
      <c r="OB517" s="4"/>
      <c r="OC517" s="4"/>
      <c r="OD517" s="5"/>
      <c r="OE517" s="6"/>
      <c r="OF517" s="4"/>
      <c r="OG517" s="4"/>
      <c r="OH517" s="4"/>
      <c r="OI517" s="4"/>
      <c r="OJ517" s="4"/>
      <c r="OK517" s="5"/>
      <c r="OL517" s="6"/>
      <c r="OM517" s="4"/>
      <c r="ON517" s="4"/>
      <c r="OO517" s="4"/>
      <c r="OP517" s="4"/>
      <c r="OQ517" s="4"/>
      <c r="OR517" s="5"/>
      <c r="OS517" s="6"/>
      <c r="OT517" s="4"/>
      <c r="OU517" s="4"/>
      <c r="OV517" s="4"/>
      <c r="OW517" s="4"/>
      <c r="OX517" s="4"/>
      <c r="OY517" s="5"/>
      <c r="OZ517" s="6"/>
      <c r="PA517" s="4"/>
      <c r="PB517" s="4"/>
      <c r="PC517" s="4"/>
      <c r="PD517" s="4"/>
      <c r="PE517" s="4"/>
      <c r="PF517" s="5"/>
      <c r="PG517" s="6"/>
      <c r="PH517" s="4"/>
      <c r="PI517" s="4"/>
      <c r="PJ517" s="4"/>
      <c r="PK517" s="4"/>
      <c r="PL517" s="4"/>
      <c r="PM517" s="5"/>
      <c r="PN517" s="6"/>
      <c r="PO517" s="4"/>
      <c r="PP517" s="4"/>
      <c r="PQ517" s="4"/>
      <c r="PR517" s="4"/>
      <c r="PS517" s="4"/>
      <c r="PT517" s="5"/>
      <c r="PU517" s="6"/>
      <c r="PV517" s="4"/>
      <c r="PW517" s="4"/>
      <c r="PX517" s="4"/>
      <c r="PY517" s="4"/>
      <c r="PZ517" s="4"/>
      <c r="QA517" s="5"/>
      <c r="QB517" s="6"/>
      <c r="QC517" s="4"/>
      <c r="QD517" s="4"/>
      <c r="QE517" s="4"/>
      <c r="QF517" s="4"/>
      <c r="QG517" s="4"/>
      <c r="QH517" s="5"/>
      <c r="QI517" s="6"/>
      <c r="QJ517" s="4"/>
      <c r="QK517" s="4"/>
      <c r="QL517" s="4"/>
      <c r="QM517" s="4"/>
      <c r="QN517" s="4"/>
      <c r="QO517" s="5"/>
      <c r="QP517" s="6"/>
      <c r="QQ517" s="4"/>
      <c r="QR517" s="4"/>
      <c r="QS517" s="4"/>
      <c r="QT517" s="4"/>
      <c r="QU517" s="4"/>
      <c r="QV517" s="5"/>
      <c r="QW517" s="6"/>
      <c r="QX517" s="4"/>
      <c r="QY517" s="4"/>
      <c r="QZ517" s="4"/>
      <c r="RA517" s="4"/>
      <c r="RB517" s="4"/>
      <c r="RC517" s="5"/>
      <c r="RD517" s="6"/>
      <c r="RE517" s="4"/>
      <c r="RF517" s="4"/>
      <c r="RG517" s="4"/>
      <c r="RH517" s="4"/>
      <c r="RI517" s="4"/>
      <c r="RJ517" s="5"/>
      <c r="RK517" s="6"/>
      <c r="RL517" s="4"/>
      <c r="RM517" s="4"/>
      <c r="RN517" s="4"/>
      <c r="RO517" s="4"/>
      <c r="RP517" s="4"/>
      <c r="RQ517" s="5"/>
      <c r="RR517" s="6"/>
      <c r="RS517" s="4"/>
      <c r="RT517" s="4"/>
      <c r="RU517" s="4"/>
      <c r="RV517" s="4"/>
      <c r="RW517" s="4"/>
      <c r="RX517" s="5"/>
      <c r="RY517" s="6"/>
      <c r="RZ517" s="4"/>
      <c r="SA517" s="4"/>
      <c r="SB517" s="4"/>
      <c r="SC517" s="4"/>
      <c r="SD517" s="4"/>
      <c r="SE517" s="5"/>
      <c r="SF517" s="6"/>
      <c r="SG517" s="4"/>
      <c r="SH517" s="4"/>
      <c r="SI517" s="4"/>
      <c r="SJ517" s="4"/>
      <c r="SK517" s="4"/>
      <c r="SL517" s="5"/>
      <c r="SM517" s="6"/>
      <c r="SN517" s="4"/>
      <c r="SO517" s="4"/>
      <c r="SP517" s="4"/>
      <c r="SQ517" s="4"/>
      <c r="SR517" s="4"/>
      <c r="SS517" s="5"/>
      <c r="ST517" s="6"/>
      <c r="SU517" s="4"/>
      <c r="SV517" s="4"/>
      <c r="SW517" s="4"/>
      <c r="SX517" s="4"/>
      <c r="SY517" s="4"/>
      <c r="SZ517" s="5"/>
      <c r="TA517" s="6"/>
      <c r="TB517" s="4"/>
      <c r="TC517" s="4"/>
      <c r="TD517" s="4"/>
      <c r="TE517" s="4"/>
      <c r="TF517" s="4"/>
      <c r="TG517" s="5"/>
      <c r="TH517" s="6"/>
      <c r="TI517" s="4"/>
      <c r="TJ517" s="4"/>
      <c r="TK517" s="4"/>
      <c r="TL517" s="4"/>
      <c r="TM517" s="4"/>
      <c r="TN517" s="5"/>
      <c r="TO517" s="6"/>
      <c r="TP517" s="4"/>
      <c r="TQ517" s="4"/>
      <c r="TR517" s="4"/>
      <c r="TS517" s="4"/>
      <c r="TT517" s="4"/>
      <c r="TU517" s="5"/>
      <c r="TV517" s="6"/>
      <c r="TW517" s="4"/>
      <c r="TX517" s="4"/>
      <c r="TY517" s="4"/>
      <c r="TZ517" s="4"/>
      <c r="UA517" s="4"/>
      <c r="UB517" s="5"/>
      <c r="UC517" s="6"/>
      <c r="UD517" s="4"/>
      <c r="UE517" s="4"/>
      <c r="UF517" s="4"/>
      <c r="UG517" s="4"/>
      <c r="UH517" s="4"/>
      <c r="UI517" s="5"/>
      <c r="UJ517" s="6"/>
      <c r="UK517" s="4"/>
      <c r="UL517" s="4"/>
      <c r="UM517" s="4"/>
      <c r="UN517" s="4"/>
      <c r="UO517" s="4"/>
      <c r="UP517" s="5"/>
      <c r="UQ517" s="6"/>
      <c r="UR517" s="4"/>
      <c r="US517" s="4"/>
      <c r="UT517" s="4"/>
      <c r="UU517" s="4"/>
      <c r="UV517" s="4"/>
      <c r="UW517" s="5"/>
      <c r="UX517" s="6"/>
      <c r="UY517" s="4"/>
      <c r="UZ517" s="4"/>
      <c r="VA517" s="4"/>
      <c r="VB517" s="4"/>
      <c r="VC517" s="4"/>
      <c r="VD517" s="5"/>
      <c r="VE517" s="6"/>
      <c r="VF517" s="4"/>
      <c r="VG517" s="4"/>
      <c r="VH517" s="4"/>
      <c r="VI517" s="4"/>
      <c r="VJ517" s="4"/>
      <c r="VK517" s="5"/>
      <c r="VL517" s="6"/>
      <c r="VM517" s="4"/>
      <c r="VN517" s="4"/>
      <c r="VO517" s="4"/>
      <c r="VP517" s="4"/>
      <c r="VQ517" s="4"/>
      <c r="VR517" s="5"/>
      <c r="VS517" s="6"/>
      <c r="VT517" s="4"/>
      <c r="VU517" s="4"/>
      <c r="VV517" s="4"/>
      <c r="VW517" s="4"/>
      <c r="VX517" s="4"/>
      <c r="VY517" s="5"/>
      <c r="VZ517" s="6"/>
      <c r="WA517" s="4"/>
      <c r="WB517" s="4"/>
      <c r="WC517" s="4"/>
      <c r="WD517" s="4"/>
      <c r="WE517" s="4"/>
      <c r="WF517" s="5"/>
      <c r="WG517" s="6"/>
      <c r="WH517" s="4"/>
      <c r="WI517" s="4"/>
      <c r="WJ517" s="4"/>
      <c r="WK517" s="4"/>
      <c r="WL517" s="4"/>
      <c r="WM517" s="5"/>
      <c r="WN517" s="6"/>
      <c r="WO517" s="4"/>
      <c r="WP517" s="4"/>
      <c r="WQ517" s="4"/>
      <c r="WR517" s="4"/>
      <c r="WS517" s="4"/>
      <c r="WT517" s="5"/>
      <c r="WU517" s="6"/>
      <c r="WV517" s="4"/>
      <c r="WW517" s="4"/>
      <c r="WX517" s="4"/>
      <c r="WY517" s="4"/>
      <c r="WZ517" s="4"/>
      <c r="XA517" s="5"/>
      <c r="XB517" s="6"/>
      <c r="XC517" s="4"/>
      <c r="XD517" s="4"/>
      <c r="XE517" s="4"/>
      <c r="XF517" s="4"/>
      <c r="XG517" s="4"/>
      <c r="XH517" s="5"/>
      <c r="XI517" s="6"/>
      <c r="XJ517" s="4"/>
      <c r="XK517" s="4"/>
      <c r="XL517" s="4"/>
      <c r="XM517" s="4"/>
      <c r="XN517" s="4"/>
      <c r="XO517" s="5"/>
      <c r="XP517" s="6"/>
      <c r="XQ517" s="4"/>
      <c r="XR517" s="4"/>
      <c r="XS517" s="4"/>
      <c r="XT517" s="4"/>
      <c r="XU517" s="4"/>
      <c r="XV517" s="5"/>
      <c r="XW517" s="6"/>
      <c r="XX517" s="4"/>
      <c r="XY517" s="4"/>
      <c r="XZ517" s="4"/>
      <c r="YA517" s="4"/>
      <c r="YB517" s="4"/>
      <c r="YC517" s="5"/>
      <c r="YD517" s="6"/>
      <c r="YE517" s="4"/>
      <c r="YF517" s="4"/>
      <c r="YG517" s="4"/>
      <c r="YH517" s="4"/>
      <c r="YI517" s="4"/>
      <c r="YJ517" s="5"/>
      <c r="YK517" s="6"/>
      <c r="YL517" s="4"/>
      <c r="YM517" s="4"/>
      <c r="YN517" s="4"/>
      <c r="YO517" s="4"/>
      <c r="YP517" s="4"/>
      <c r="YQ517" s="5"/>
      <c r="YR517" s="6"/>
      <c r="YS517" s="4"/>
      <c r="YT517" s="4"/>
      <c r="YU517" s="4"/>
      <c r="YV517" s="4"/>
      <c r="YW517" s="4"/>
      <c r="YX517" s="5"/>
      <c r="YY517" s="6"/>
      <c r="YZ517" s="4"/>
      <c r="ZA517" s="4"/>
      <c r="ZB517" s="4"/>
      <c r="ZC517" s="4"/>
      <c r="ZD517" s="4"/>
      <c r="ZE517" s="5"/>
      <c r="ZF517" s="6"/>
      <c r="ZG517" s="4"/>
      <c r="ZH517" s="4"/>
      <c r="ZI517" s="4"/>
      <c r="ZJ517" s="4"/>
      <c r="ZK517" s="4"/>
      <c r="ZL517" s="5"/>
      <c r="ZM517" s="6"/>
      <c r="ZN517" s="4"/>
      <c r="ZO517" s="4"/>
      <c r="ZP517" s="4"/>
      <c r="ZQ517" s="4"/>
      <c r="ZR517" s="4"/>
      <c r="ZS517" s="5"/>
      <c r="ZT517" s="6"/>
      <c r="ZU517" s="4"/>
      <c r="ZV517" s="4"/>
      <c r="ZW517" s="4"/>
      <c r="ZX517" s="4"/>
      <c r="ZY517" s="4"/>
      <c r="ZZ517" s="5"/>
      <c r="AAA517" s="6"/>
      <c r="AAB517" s="4"/>
      <c r="AAC517" s="4"/>
      <c r="AAD517" s="4"/>
      <c r="AAE517" s="4"/>
      <c r="AAF517" s="4"/>
      <c r="AAG517" s="5"/>
      <c r="AAH517" s="6"/>
      <c r="AAI517" s="4"/>
      <c r="AAJ517" s="4"/>
      <c r="AAK517" s="4"/>
      <c r="AAL517" s="4"/>
      <c r="AAM517" s="4"/>
      <c r="AAN517" s="5"/>
      <c r="AAO517" s="6"/>
      <c r="AAP517" s="4"/>
      <c r="AAQ517" s="4"/>
      <c r="AAR517" s="4"/>
      <c r="AAS517" s="4"/>
      <c r="AAT517" s="4"/>
      <c r="AAU517" s="5"/>
      <c r="AAV517" s="6"/>
      <c r="AAW517" s="4"/>
      <c r="AAX517" s="4"/>
      <c r="AAY517" s="4"/>
      <c r="AAZ517" s="4"/>
      <c r="ABA517" s="4"/>
      <c r="ABB517" s="5"/>
      <c r="ABC517" s="6"/>
      <c r="ABD517" s="4"/>
      <c r="ABE517" s="4"/>
      <c r="ABF517" s="4"/>
      <c r="ABG517" s="4"/>
      <c r="ABH517" s="4"/>
      <c r="ABI517" s="5"/>
      <c r="ABJ517" s="6"/>
      <c r="ABK517" s="4"/>
      <c r="ABL517" s="4"/>
      <c r="ABM517" s="4"/>
      <c r="ABN517" s="4"/>
      <c r="ABO517" s="4"/>
      <c r="ABP517" s="5"/>
      <c r="ABQ517" s="6"/>
      <c r="ABR517" s="4"/>
      <c r="ABS517" s="4"/>
      <c r="ABT517" s="4"/>
      <c r="ABU517" s="4"/>
      <c r="ABV517" s="4"/>
      <c r="ABW517" s="5"/>
      <c r="ABX517" s="6"/>
      <c r="ABY517" s="4"/>
      <c r="ABZ517" s="4"/>
      <c r="ACA517" s="4"/>
      <c r="ACB517" s="4"/>
      <c r="ACC517" s="4"/>
      <c r="ACD517" s="5"/>
      <c r="ACE517" s="6"/>
      <c r="ACF517" s="4"/>
      <c r="ACG517" s="4"/>
      <c r="ACH517" s="4"/>
      <c r="ACI517" s="4"/>
      <c r="ACJ517" s="4"/>
      <c r="ACK517" s="5"/>
      <c r="ACL517" s="6"/>
      <c r="ACM517" s="4"/>
      <c r="ACN517" s="4"/>
      <c r="ACO517" s="4"/>
      <c r="ACP517" s="4"/>
      <c r="ACQ517" s="4"/>
      <c r="ACR517" s="5"/>
      <c r="ACS517" s="6"/>
      <c r="ACT517" s="4"/>
      <c r="ACU517" s="4"/>
      <c r="ACV517" s="4"/>
      <c r="ACW517" s="4"/>
      <c r="ACX517" s="4"/>
      <c r="ACY517" s="5"/>
    </row>
    <row r="518" spans="2:802" x14ac:dyDescent="0.25">
      <c r="J518" s="12"/>
      <c r="K518" s="12"/>
      <c r="L518" s="12"/>
      <c r="LL518" s="6"/>
      <c r="LM518" s="4"/>
      <c r="LN518" s="4"/>
      <c r="LO518" s="4"/>
      <c r="LP518" s="4"/>
      <c r="LQ518" s="4"/>
      <c r="LR518" s="5"/>
      <c r="LS518" s="6"/>
      <c r="LT518" s="4"/>
      <c r="LU518" s="4"/>
      <c r="LV518" s="4"/>
      <c r="LW518" s="4"/>
      <c r="LX518" s="4"/>
      <c r="LY518" s="5"/>
      <c r="LZ518" s="11" t="s">
        <v>2525</v>
      </c>
      <c r="MA518" s="7" t="s">
        <v>2525</v>
      </c>
      <c r="MB518" s="4"/>
      <c r="MC518" s="4"/>
      <c r="MD518" s="4"/>
      <c r="ME518" s="4"/>
      <c r="MF518" s="4"/>
      <c r="MG518" s="5"/>
      <c r="MH518" s="6"/>
      <c r="MI518" s="4"/>
      <c r="MJ518" s="4"/>
      <c r="MK518" s="4"/>
      <c r="ML518" s="4"/>
      <c r="MM518" s="4"/>
      <c r="MN518" s="5"/>
      <c r="MO518" s="6"/>
      <c r="MP518" s="4"/>
      <c r="MQ518" s="4"/>
      <c r="MR518" s="4"/>
      <c r="MS518" s="4"/>
      <c r="MT518" s="4"/>
      <c r="MU518" s="5"/>
      <c r="MV518" s="6"/>
      <c r="MW518" s="4"/>
      <c r="MX518" s="4"/>
      <c r="MY518" s="4"/>
      <c r="MZ518" s="4"/>
      <c r="NA518" s="4"/>
      <c r="NB518" s="5"/>
      <c r="NC518" s="6" t="s">
        <v>2241</v>
      </c>
      <c r="ND518" s="4" t="s">
        <v>3972</v>
      </c>
      <c r="NE518" s="4"/>
      <c r="NF518" s="4"/>
      <c r="NG518" s="4"/>
      <c r="NH518" s="4"/>
      <c r="NI518" s="5"/>
      <c r="NJ518" s="6"/>
      <c r="NK518" s="4"/>
      <c r="NL518" s="4"/>
      <c r="NM518" s="4"/>
      <c r="NN518" s="4"/>
      <c r="NO518" s="4"/>
      <c r="NP518" s="5"/>
      <c r="NQ518" s="4"/>
      <c r="NR518" s="4"/>
      <c r="NS518" s="4"/>
      <c r="NT518" s="4"/>
      <c r="NU518" s="4"/>
      <c r="NV518" s="4"/>
      <c r="NW518" s="5"/>
      <c r="NX518" s="6"/>
      <c r="NY518" s="4"/>
      <c r="NZ518" s="4"/>
      <c r="OA518" s="4"/>
      <c r="OB518" s="4"/>
      <c r="OC518" s="4"/>
      <c r="OD518" s="5"/>
      <c r="OE518" s="6"/>
      <c r="OF518" s="4"/>
      <c r="OG518" s="4"/>
      <c r="OH518" s="4"/>
      <c r="OI518" s="4"/>
      <c r="OJ518" s="4"/>
      <c r="OK518" s="5"/>
      <c r="OL518" s="6"/>
      <c r="OM518" s="4"/>
      <c r="ON518" s="4"/>
      <c r="OO518" s="4"/>
      <c r="OP518" s="4"/>
      <c r="OQ518" s="4"/>
      <c r="OR518" s="5"/>
      <c r="OS518" s="6"/>
      <c r="OT518" s="4"/>
      <c r="OU518" s="4"/>
      <c r="OV518" s="4"/>
      <c r="OW518" s="4"/>
      <c r="OX518" s="4"/>
      <c r="OY518" s="5"/>
      <c r="OZ518" s="6"/>
      <c r="PA518" s="4"/>
      <c r="PB518" s="4"/>
      <c r="PC518" s="4"/>
      <c r="PD518" s="4"/>
      <c r="PE518" s="4"/>
      <c r="PF518" s="5"/>
      <c r="PG518" s="6"/>
      <c r="PH518" s="4"/>
      <c r="PI518" s="4"/>
      <c r="PJ518" s="4"/>
      <c r="PK518" s="4"/>
      <c r="PL518" s="4"/>
      <c r="PM518" s="5"/>
      <c r="PN518" s="6"/>
      <c r="PO518" s="4"/>
      <c r="PP518" s="4"/>
      <c r="PQ518" s="4"/>
      <c r="PR518" s="4"/>
      <c r="PS518" s="4"/>
      <c r="PT518" s="5"/>
      <c r="PU518" s="6"/>
      <c r="PV518" s="4"/>
      <c r="PW518" s="4"/>
      <c r="PX518" s="4"/>
      <c r="PY518" s="4"/>
      <c r="PZ518" s="4"/>
      <c r="QA518" s="5"/>
      <c r="QB518" s="6"/>
      <c r="QC518" s="4"/>
      <c r="QD518" s="4"/>
      <c r="QE518" s="4"/>
      <c r="QF518" s="4"/>
      <c r="QG518" s="4"/>
      <c r="QH518" s="5"/>
      <c r="QI518" s="6"/>
      <c r="QJ518" s="4"/>
      <c r="QK518" s="4"/>
      <c r="QL518" s="4"/>
      <c r="QM518" s="4"/>
      <c r="QN518" s="4"/>
      <c r="QO518" s="5"/>
      <c r="QP518" s="6"/>
      <c r="QQ518" s="4"/>
      <c r="QR518" s="4"/>
      <c r="QS518" s="4"/>
      <c r="QT518" s="4"/>
      <c r="QU518" s="4"/>
      <c r="QV518" s="5"/>
      <c r="QW518" s="6"/>
      <c r="QX518" s="4"/>
      <c r="QY518" s="4"/>
      <c r="QZ518" s="4"/>
      <c r="RA518" s="4"/>
      <c r="RB518" s="4"/>
      <c r="RC518" s="5"/>
      <c r="RD518" s="6"/>
      <c r="RE518" s="4"/>
      <c r="RF518" s="4"/>
      <c r="RG518" s="4"/>
      <c r="RH518" s="4"/>
      <c r="RI518" s="4"/>
      <c r="RJ518" s="5"/>
      <c r="RK518" s="6"/>
      <c r="RL518" s="4"/>
      <c r="RM518" s="4"/>
      <c r="RN518" s="4"/>
      <c r="RO518" s="4"/>
      <c r="RP518" s="4"/>
      <c r="RQ518" s="5"/>
      <c r="RR518" s="6"/>
      <c r="RS518" s="4"/>
      <c r="RT518" s="4"/>
      <c r="RU518" s="4"/>
      <c r="RV518" s="4"/>
      <c r="RW518" s="4"/>
      <c r="RX518" s="5"/>
      <c r="RY518" s="6"/>
      <c r="RZ518" s="4"/>
      <c r="SA518" s="4"/>
      <c r="SB518" s="4"/>
      <c r="SC518" s="4"/>
      <c r="SD518" s="4"/>
      <c r="SE518" s="5"/>
      <c r="SF518" s="6"/>
      <c r="SG518" s="4"/>
      <c r="SH518" s="4"/>
      <c r="SI518" s="4"/>
      <c r="SJ518" s="4"/>
      <c r="SK518" s="4"/>
      <c r="SL518" s="5"/>
      <c r="SM518" s="6"/>
      <c r="SN518" s="4"/>
      <c r="SO518" s="4"/>
      <c r="SP518" s="4"/>
      <c r="SQ518" s="4"/>
      <c r="SR518" s="4"/>
      <c r="SS518" s="5"/>
      <c r="ST518" s="6"/>
      <c r="SU518" s="4"/>
      <c r="SV518" s="4"/>
      <c r="SW518" s="4"/>
      <c r="SX518" s="4"/>
      <c r="SY518" s="4"/>
      <c r="SZ518" s="5"/>
      <c r="TA518" s="6"/>
      <c r="TB518" s="4"/>
      <c r="TC518" s="4"/>
      <c r="TD518" s="4"/>
      <c r="TE518" s="4"/>
      <c r="TF518" s="4"/>
      <c r="TG518" s="5"/>
      <c r="TH518" s="6"/>
      <c r="TI518" s="4"/>
      <c r="TJ518" s="4"/>
      <c r="TK518" s="4"/>
      <c r="TL518" s="4"/>
      <c r="TM518" s="4"/>
      <c r="TN518" s="5"/>
      <c r="TO518" s="6"/>
      <c r="TP518" s="4"/>
      <c r="TQ518" s="4"/>
      <c r="TR518" s="4"/>
      <c r="TS518" s="4"/>
      <c r="TT518" s="4"/>
      <c r="TU518" s="5"/>
      <c r="TV518" s="6"/>
      <c r="TW518" s="4"/>
      <c r="TX518" s="4"/>
      <c r="TY518" s="4"/>
      <c r="TZ518" s="4"/>
      <c r="UA518" s="4"/>
      <c r="UB518" s="5"/>
      <c r="UC518" s="6"/>
      <c r="UD518" s="4"/>
      <c r="UE518" s="4"/>
      <c r="UF518" s="4"/>
      <c r="UG518" s="4"/>
      <c r="UH518" s="4"/>
      <c r="UI518" s="5"/>
      <c r="UJ518" s="6"/>
      <c r="UK518" s="4"/>
      <c r="UL518" s="4"/>
      <c r="UM518" s="4"/>
      <c r="UN518" s="4"/>
      <c r="UO518" s="4"/>
      <c r="UP518" s="5"/>
      <c r="UQ518" s="6"/>
      <c r="UR518" s="4"/>
      <c r="US518" s="4"/>
      <c r="UT518" s="4"/>
      <c r="UU518" s="4"/>
      <c r="UV518" s="4"/>
      <c r="UW518" s="5"/>
      <c r="UX518" s="6"/>
      <c r="UY518" s="4"/>
      <c r="UZ518" s="4"/>
      <c r="VA518" s="4"/>
      <c r="VB518" s="4"/>
      <c r="VC518" s="4"/>
      <c r="VD518" s="5"/>
      <c r="VE518" s="6"/>
      <c r="VF518" s="4"/>
      <c r="VG518" s="4"/>
      <c r="VH518" s="4"/>
      <c r="VI518" s="4"/>
      <c r="VJ518" s="4"/>
      <c r="VK518" s="5"/>
      <c r="VL518" s="6"/>
      <c r="VM518" s="4"/>
      <c r="VN518" s="4"/>
      <c r="VO518" s="4"/>
      <c r="VP518" s="4"/>
      <c r="VQ518" s="4"/>
      <c r="VR518" s="5"/>
      <c r="VS518" s="6"/>
      <c r="VT518" s="4"/>
      <c r="VU518" s="4"/>
      <c r="VV518" s="4"/>
      <c r="VW518" s="4"/>
      <c r="VX518" s="4"/>
      <c r="VY518" s="5"/>
      <c r="VZ518" s="6"/>
      <c r="WA518" s="4"/>
      <c r="WB518" s="4"/>
      <c r="WC518" s="4"/>
      <c r="WD518" s="4"/>
      <c r="WE518" s="4"/>
      <c r="WF518" s="5"/>
      <c r="WG518" s="6"/>
      <c r="WH518" s="4"/>
      <c r="WI518" s="4"/>
      <c r="WJ518" s="4"/>
      <c r="WK518" s="4"/>
      <c r="WL518" s="4"/>
      <c r="WM518" s="5"/>
      <c r="WN518" s="6"/>
      <c r="WO518" s="4"/>
      <c r="WP518" s="4"/>
      <c r="WQ518" s="4"/>
      <c r="WR518" s="4"/>
      <c r="WS518" s="4"/>
      <c r="WT518" s="5"/>
      <c r="WU518" s="6"/>
      <c r="WV518" s="4"/>
      <c r="WW518" s="4"/>
      <c r="WX518" s="4"/>
      <c r="WY518" s="4"/>
      <c r="WZ518" s="4"/>
      <c r="XA518" s="5"/>
      <c r="XB518" s="6"/>
      <c r="XC518" s="4"/>
      <c r="XD518" s="4"/>
      <c r="XE518" s="4"/>
      <c r="XF518" s="4"/>
      <c r="XG518" s="4"/>
      <c r="XH518" s="5"/>
      <c r="XI518" s="6"/>
      <c r="XJ518" s="4"/>
      <c r="XK518" s="4"/>
      <c r="XL518" s="4"/>
      <c r="XM518" s="4"/>
      <c r="XN518" s="4"/>
      <c r="XO518" s="5"/>
      <c r="XP518" s="6"/>
      <c r="XQ518" s="4"/>
      <c r="XR518" s="4"/>
      <c r="XS518" s="4"/>
      <c r="XT518" s="4"/>
      <c r="XU518" s="4"/>
      <c r="XV518" s="5"/>
      <c r="XW518" s="6"/>
      <c r="XX518" s="4"/>
      <c r="XY518" s="4"/>
      <c r="XZ518" s="4"/>
      <c r="YA518" s="4"/>
      <c r="YB518" s="4"/>
      <c r="YC518" s="5"/>
      <c r="YD518" s="6"/>
      <c r="YE518" s="4"/>
      <c r="YF518" s="4"/>
      <c r="YG518" s="4"/>
      <c r="YH518" s="4"/>
      <c r="YI518" s="4"/>
      <c r="YJ518" s="5"/>
      <c r="YK518" s="6"/>
      <c r="YL518" s="4"/>
      <c r="YM518" s="4"/>
      <c r="YN518" s="4"/>
      <c r="YO518" s="4"/>
      <c r="YP518" s="4"/>
      <c r="YQ518" s="5"/>
      <c r="YR518" s="6"/>
      <c r="YS518" s="4"/>
      <c r="YT518" s="4"/>
      <c r="YU518" s="4"/>
      <c r="YV518" s="4"/>
      <c r="YW518" s="4"/>
      <c r="YX518" s="5"/>
      <c r="YY518" s="6"/>
      <c r="YZ518" s="4"/>
      <c r="ZA518" s="4"/>
      <c r="ZB518" s="4"/>
      <c r="ZC518" s="4"/>
      <c r="ZD518" s="4"/>
      <c r="ZE518" s="5"/>
      <c r="ZF518" s="6"/>
      <c r="ZG518" s="4"/>
      <c r="ZH518" s="4"/>
      <c r="ZI518" s="4"/>
      <c r="ZJ518" s="4"/>
      <c r="ZK518" s="4"/>
      <c r="ZL518" s="5"/>
      <c r="ZM518" s="6"/>
      <c r="ZN518" s="4"/>
      <c r="ZO518" s="4"/>
      <c r="ZP518" s="4"/>
      <c r="ZQ518" s="4"/>
      <c r="ZR518" s="4"/>
      <c r="ZS518" s="5"/>
      <c r="ZT518" s="6"/>
      <c r="ZU518" s="4"/>
      <c r="ZV518" s="4"/>
      <c r="ZW518" s="4"/>
      <c r="ZX518" s="4"/>
      <c r="ZY518" s="4"/>
      <c r="ZZ518" s="5"/>
      <c r="AAA518" s="6"/>
      <c r="AAB518" s="4"/>
      <c r="AAC518" s="4"/>
      <c r="AAD518" s="4"/>
      <c r="AAE518" s="4"/>
      <c r="AAF518" s="4"/>
      <c r="AAG518" s="5"/>
      <c r="AAH518" s="6"/>
      <c r="AAI518" s="4"/>
      <c r="AAJ518" s="4"/>
      <c r="AAK518" s="4"/>
      <c r="AAL518" s="4"/>
      <c r="AAM518" s="4"/>
      <c r="AAN518" s="5"/>
      <c r="AAO518" s="6"/>
      <c r="AAP518" s="4"/>
      <c r="AAQ518" s="4"/>
      <c r="AAR518" s="4"/>
      <c r="AAS518" s="4"/>
      <c r="AAT518" s="4"/>
      <c r="AAU518" s="5"/>
      <c r="AAV518" s="6"/>
      <c r="AAW518" s="4"/>
      <c r="AAX518" s="4"/>
      <c r="AAY518" s="4"/>
      <c r="AAZ518" s="4"/>
      <c r="ABA518" s="4"/>
      <c r="ABB518" s="5"/>
      <c r="ABC518" s="6"/>
      <c r="ABD518" s="4"/>
      <c r="ABE518" s="4"/>
      <c r="ABF518" s="4"/>
      <c r="ABG518" s="4"/>
      <c r="ABH518" s="4"/>
      <c r="ABI518" s="5"/>
      <c r="ABJ518" s="6"/>
      <c r="ABK518" s="4"/>
      <c r="ABL518" s="4"/>
      <c r="ABM518" s="4"/>
      <c r="ABN518" s="4"/>
      <c r="ABO518" s="4"/>
      <c r="ABP518" s="5"/>
      <c r="ABQ518" s="6"/>
      <c r="ABR518" s="4"/>
      <c r="ABS518" s="4"/>
      <c r="ABT518" s="4"/>
      <c r="ABU518" s="4"/>
      <c r="ABV518" s="4"/>
      <c r="ABW518" s="5"/>
      <c r="ABX518" s="6"/>
      <c r="ABY518" s="4"/>
      <c r="ABZ518" s="4"/>
      <c r="ACA518" s="4"/>
      <c r="ACB518" s="4"/>
      <c r="ACC518" s="4"/>
      <c r="ACD518" s="5"/>
      <c r="ACE518" s="6"/>
      <c r="ACF518" s="4"/>
      <c r="ACG518" s="4"/>
      <c r="ACH518" s="4"/>
      <c r="ACI518" s="4"/>
      <c r="ACJ518" s="4"/>
      <c r="ACK518" s="5"/>
      <c r="ACL518" s="6"/>
      <c r="ACM518" s="4"/>
      <c r="ACN518" s="4"/>
      <c r="ACO518" s="4"/>
      <c r="ACP518" s="4"/>
      <c r="ACQ518" s="4"/>
      <c r="ACR518" s="5"/>
      <c r="ACS518" s="6"/>
      <c r="ACT518" s="4"/>
      <c r="ACU518" s="4"/>
      <c r="ACV518" s="4"/>
      <c r="ACW518" s="4"/>
      <c r="ACX518" s="4"/>
      <c r="ACY518" s="5"/>
    </row>
    <row r="519" spans="2:802" x14ac:dyDescent="0.25">
      <c r="J519" s="12"/>
      <c r="K519" s="12"/>
      <c r="L519" s="12"/>
      <c r="LL519" s="6"/>
      <c r="LM519" s="4"/>
      <c r="LN519" s="4"/>
      <c r="LO519" s="4"/>
      <c r="LP519" s="4"/>
      <c r="LQ519" s="4"/>
      <c r="LR519" s="5"/>
      <c r="LS519" s="6"/>
      <c r="LT519" s="4"/>
      <c r="LU519" s="4"/>
      <c r="LV519" s="4"/>
      <c r="LW519" s="4"/>
      <c r="LX519" s="4"/>
      <c r="LY519" s="5"/>
      <c r="LZ519" s="11" t="s">
        <v>3661</v>
      </c>
      <c r="MA519" s="7" t="s">
        <v>3661</v>
      </c>
      <c r="MB519" s="4"/>
      <c r="MC519" s="4"/>
      <c r="MD519" s="4"/>
      <c r="ME519" s="4"/>
      <c r="MF519" s="4"/>
      <c r="MG519" s="5"/>
      <c r="MH519" s="6"/>
      <c r="MI519" s="4"/>
      <c r="MJ519" s="4"/>
      <c r="MK519" s="4"/>
      <c r="ML519" s="4"/>
      <c r="MM519" s="4"/>
      <c r="MN519" s="5"/>
      <c r="MO519" s="6"/>
      <c r="MP519" s="4"/>
      <c r="MQ519" s="4"/>
      <c r="MR519" s="4"/>
      <c r="MS519" s="4"/>
      <c r="MT519" s="4"/>
      <c r="MU519" s="5"/>
      <c r="MV519" s="6"/>
      <c r="MW519" s="4"/>
      <c r="MX519" s="4"/>
      <c r="MY519" s="4"/>
      <c r="MZ519" s="4"/>
      <c r="NA519" s="4"/>
      <c r="NB519" s="5"/>
      <c r="NC519" s="6" t="s">
        <v>3973</v>
      </c>
      <c r="ND519" s="7" t="s">
        <v>3974</v>
      </c>
      <c r="NE519" s="4"/>
      <c r="NF519" s="4"/>
      <c r="NG519" s="4"/>
      <c r="NH519" s="4"/>
      <c r="NI519" s="5"/>
      <c r="NJ519" s="6"/>
      <c r="NK519" s="4"/>
      <c r="NL519" s="4"/>
      <c r="NM519" s="4"/>
      <c r="NN519" s="4"/>
      <c r="NO519" s="4"/>
      <c r="NP519" s="5"/>
      <c r="NQ519" s="4"/>
      <c r="NR519" s="4"/>
      <c r="NS519" s="4"/>
      <c r="NT519" s="4"/>
      <c r="NU519" s="4"/>
      <c r="NV519" s="4"/>
      <c r="NW519" s="5"/>
      <c r="NX519" s="6"/>
      <c r="NY519" s="4"/>
      <c r="NZ519" s="4"/>
      <c r="OA519" s="4"/>
      <c r="OB519" s="4"/>
      <c r="OC519" s="4"/>
      <c r="OD519" s="5"/>
      <c r="OE519" s="6"/>
      <c r="OF519" s="4"/>
      <c r="OG519" s="4"/>
      <c r="OH519" s="4"/>
      <c r="OI519" s="4"/>
      <c r="OJ519" s="4"/>
      <c r="OK519" s="5"/>
      <c r="OL519" s="6"/>
      <c r="OM519" s="4"/>
      <c r="ON519" s="4"/>
      <c r="OO519" s="4"/>
      <c r="OP519" s="4"/>
      <c r="OQ519" s="4"/>
      <c r="OR519" s="5"/>
      <c r="OS519" s="6"/>
      <c r="OT519" s="4"/>
      <c r="OU519" s="4"/>
      <c r="OV519" s="4"/>
      <c r="OW519" s="4"/>
      <c r="OX519" s="4"/>
      <c r="OY519" s="5"/>
      <c r="OZ519" s="6"/>
      <c r="PA519" s="4"/>
      <c r="PB519" s="4"/>
      <c r="PC519" s="4"/>
      <c r="PD519" s="4"/>
      <c r="PE519" s="4"/>
      <c r="PF519" s="5"/>
      <c r="PG519" s="6"/>
      <c r="PH519" s="4"/>
      <c r="PI519" s="4"/>
      <c r="PJ519" s="4"/>
      <c r="PK519" s="4"/>
      <c r="PL519" s="4"/>
      <c r="PM519" s="5"/>
      <c r="PN519" s="6"/>
      <c r="PO519" s="4"/>
      <c r="PP519" s="4"/>
      <c r="PQ519" s="4"/>
      <c r="PR519" s="4"/>
      <c r="PS519" s="4"/>
      <c r="PT519" s="5"/>
      <c r="PU519" s="6"/>
      <c r="PV519" s="4"/>
      <c r="PW519" s="4"/>
      <c r="PX519" s="4"/>
      <c r="PY519" s="4"/>
      <c r="PZ519" s="4"/>
      <c r="QA519" s="5"/>
      <c r="QB519" s="6"/>
      <c r="QC519" s="4"/>
      <c r="QD519" s="4"/>
      <c r="QE519" s="4"/>
      <c r="QF519" s="4"/>
      <c r="QG519" s="4"/>
      <c r="QH519" s="5"/>
      <c r="QI519" s="6"/>
      <c r="QJ519" s="4"/>
      <c r="QK519" s="4"/>
      <c r="QL519" s="4"/>
      <c r="QM519" s="4"/>
      <c r="QN519" s="4"/>
      <c r="QO519" s="5"/>
      <c r="QP519" s="6"/>
      <c r="QQ519" s="4"/>
      <c r="QR519" s="4"/>
      <c r="QS519" s="4"/>
      <c r="QT519" s="4"/>
      <c r="QU519" s="4"/>
      <c r="QV519" s="5"/>
      <c r="QW519" s="6"/>
      <c r="QX519" s="4"/>
      <c r="QY519" s="4"/>
      <c r="QZ519" s="4"/>
      <c r="RA519" s="4"/>
      <c r="RB519" s="4"/>
      <c r="RC519" s="5"/>
      <c r="RD519" s="6"/>
      <c r="RE519" s="4"/>
      <c r="RF519" s="4"/>
      <c r="RG519" s="4"/>
      <c r="RH519" s="4"/>
      <c r="RI519" s="4"/>
      <c r="RJ519" s="5"/>
      <c r="RK519" s="6"/>
      <c r="RL519" s="4"/>
      <c r="RM519" s="4"/>
      <c r="RN519" s="4"/>
      <c r="RO519" s="4"/>
      <c r="RP519" s="4"/>
      <c r="RQ519" s="5"/>
      <c r="RR519" s="6"/>
      <c r="RS519" s="4"/>
      <c r="RT519" s="4"/>
      <c r="RU519" s="4"/>
      <c r="RV519" s="4"/>
      <c r="RW519" s="4"/>
      <c r="RX519" s="5"/>
      <c r="RY519" s="6"/>
      <c r="RZ519" s="4"/>
      <c r="SA519" s="4"/>
      <c r="SB519" s="4"/>
      <c r="SC519" s="4"/>
      <c r="SD519" s="4"/>
      <c r="SE519" s="5"/>
      <c r="SF519" s="6"/>
      <c r="SG519" s="4"/>
      <c r="SH519" s="4"/>
      <c r="SI519" s="4"/>
      <c r="SJ519" s="4"/>
      <c r="SK519" s="4"/>
      <c r="SL519" s="5"/>
      <c r="SM519" s="6"/>
      <c r="SN519" s="4"/>
      <c r="SO519" s="4"/>
      <c r="SP519" s="4"/>
      <c r="SQ519" s="4"/>
      <c r="SR519" s="4"/>
      <c r="SS519" s="5"/>
      <c r="ST519" s="6"/>
      <c r="SU519" s="4"/>
      <c r="SV519" s="4"/>
      <c r="SW519" s="4"/>
      <c r="SX519" s="4"/>
      <c r="SY519" s="4"/>
      <c r="SZ519" s="5"/>
      <c r="TA519" s="6"/>
      <c r="TB519" s="4"/>
      <c r="TC519" s="4"/>
      <c r="TD519" s="4"/>
      <c r="TE519" s="4"/>
      <c r="TF519" s="4"/>
      <c r="TG519" s="5"/>
      <c r="TH519" s="6"/>
      <c r="TI519" s="4"/>
      <c r="TJ519" s="4"/>
      <c r="TK519" s="4"/>
      <c r="TL519" s="4"/>
      <c r="TM519" s="4"/>
      <c r="TN519" s="5"/>
      <c r="TO519" s="6"/>
      <c r="TP519" s="4"/>
      <c r="TQ519" s="4"/>
      <c r="TR519" s="4"/>
      <c r="TS519" s="4"/>
      <c r="TT519" s="4"/>
      <c r="TU519" s="5"/>
      <c r="TV519" s="6"/>
      <c r="TW519" s="4"/>
      <c r="TX519" s="4"/>
      <c r="TY519" s="4"/>
      <c r="TZ519" s="4"/>
      <c r="UA519" s="4"/>
      <c r="UB519" s="5"/>
      <c r="UC519" s="6"/>
      <c r="UD519" s="4"/>
      <c r="UE519" s="4"/>
      <c r="UF519" s="4"/>
      <c r="UG519" s="4"/>
      <c r="UH519" s="4"/>
      <c r="UI519" s="5"/>
      <c r="UJ519" s="6"/>
      <c r="UK519" s="4"/>
      <c r="UL519" s="4"/>
      <c r="UM519" s="4"/>
      <c r="UN519" s="4"/>
      <c r="UO519" s="4"/>
      <c r="UP519" s="5"/>
      <c r="UQ519" s="6"/>
      <c r="UR519" s="4"/>
      <c r="US519" s="4"/>
      <c r="UT519" s="4"/>
      <c r="UU519" s="4"/>
      <c r="UV519" s="4"/>
      <c r="UW519" s="5"/>
      <c r="UX519" s="6"/>
      <c r="UY519" s="4"/>
      <c r="UZ519" s="4"/>
      <c r="VA519" s="4"/>
      <c r="VB519" s="4"/>
      <c r="VC519" s="4"/>
      <c r="VD519" s="5"/>
      <c r="VE519" s="6"/>
      <c r="VF519" s="4"/>
      <c r="VG519" s="4"/>
      <c r="VH519" s="4"/>
      <c r="VI519" s="4"/>
      <c r="VJ519" s="4"/>
      <c r="VK519" s="5"/>
      <c r="VL519" s="6"/>
      <c r="VM519" s="4"/>
      <c r="VN519" s="4"/>
      <c r="VO519" s="4"/>
      <c r="VP519" s="4"/>
      <c r="VQ519" s="4"/>
      <c r="VR519" s="5"/>
      <c r="VS519" s="6"/>
      <c r="VT519" s="4"/>
      <c r="VU519" s="4"/>
      <c r="VV519" s="4"/>
      <c r="VW519" s="4"/>
      <c r="VX519" s="4"/>
      <c r="VY519" s="5"/>
      <c r="VZ519" s="6"/>
      <c r="WA519" s="4"/>
      <c r="WB519" s="4"/>
      <c r="WC519" s="4"/>
      <c r="WD519" s="4"/>
      <c r="WE519" s="4"/>
      <c r="WF519" s="5"/>
      <c r="WG519" s="6"/>
      <c r="WH519" s="4"/>
      <c r="WI519" s="4"/>
      <c r="WJ519" s="4"/>
      <c r="WK519" s="4"/>
      <c r="WL519" s="4"/>
      <c r="WM519" s="5"/>
      <c r="WN519" s="6"/>
      <c r="WO519" s="4"/>
      <c r="WP519" s="4"/>
      <c r="WQ519" s="4"/>
      <c r="WR519" s="4"/>
      <c r="WS519" s="4"/>
      <c r="WT519" s="5"/>
      <c r="WU519" s="6"/>
      <c r="WV519" s="4"/>
      <c r="WW519" s="4"/>
      <c r="WX519" s="4"/>
      <c r="WY519" s="4"/>
      <c r="WZ519" s="4"/>
      <c r="XA519" s="5"/>
      <c r="XB519" s="6"/>
      <c r="XC519" s="4"/>
      <c r="XD519" s="4"/>
      <c r="XE519" s="4"/>
      <c r="XF519" s="4"/>
      <c r="XG519" s="4"/>
      <c r="XH519" s="5"/>
      <c r="XI519" s="6"/>
      <c r="XJ519" s="4"/>
      <c r="XK519" s="4"/>
      <c r="XL519" s="4"/>
      <c r="XM519" s="4"/>
      <c r="XN519" s="4"/>
      <c r="XO519" s="5"/>
      <c r="XP519" s="6"/>
      <c r="XQ519" s="4"/>
      <c r="XR519" s="4"/>
      <c r="XS519" s="4"/>
      <c r="XT519" s="4"/>
      <c r="XU519" s="4"/>
      <c r="XV519" s="5"/>
      <c r="XW519" s="6"/>
      <c r="XX519" s="4"/>
      <c r="XY519" s="4"/>
      <c r="XZ519" s="4"/>
      <c r="YA519" s="4"/>
      <c r="YB519" s="4"/>
      <c r="YC519" s="5"/>
      <c r="YD519" s="6"/>
      <c r="YE519" s="4"/>
      <c r="YF519" s="4"/>
      <c r="YG519" s="4"/>
      <c r="YH519" s="4"/>
      <c r="YI519" s="4"/>
      <c r="YJ519" s="5"/>
      <c r="YK519" s="6"/>
      <c r="YL519" s="4"/>
      <c r="YM519" s="4"/>
      <c r="YN519" s="4"/>
      <c r="YO519" s="4"/>
      <c r="YP519" s="4"/>
      <c r="YQ519" s="5"/>
      <c r="YR519" s="6"/>
      <c r="YS519" s="4"/>
      <c r="YT519" s="4"/>
      <c r="YU519" s="4"/>
      <c r="YV519" s="4"/>
      <c r="YW519" s="4"/>
      <c r="YX519" s="5"/>
      <c r="YY519" s="6"/>
      <c r="YZ519" s="4"/>
      <c r="ZA519" s="4"/>
      <c r="ZB519" s="4"/>
      <c r="ZC519" s="4"/>
      <c r="ZD519" s="4"/>
      <c r="ZE519" s="5"/>
      <c r="ZF519" s="6"/>
      <c r="ZG519" s="4"/>
      <c r="ZH519" s="4"/>
      <c r="ZI519" s="4"/>
      <c r="ZJ519" s="4"/>
      <c r="ZK519" s="4"/>
      <c r="ZL519" s="5"/>
      <c r="ZM519" s="6"/>
      <c r="ZN519" s="4"/>
      <c r="ZO519" s="4"/>
      <c r="ZP519" s="4"/>
      <c r="ZQ519" s="4"/>
      <c r="ZR519" s="4"/>
      <c r="ZS519" s="5"/>
      <c r="ZT519" s="6"/>
      <c r="ZU519" s="4"/>
      <c r="ZV519" s="4"/>
      <c r="ZW519" s="4"/>
      <c r="ZX519" s="4"/>
      <c r="ZY519" s="4"/>
      <c r="ZZ519" s="5"/>
      <c r="AAA519" s="6"/>
      <c r="AAB519" s="4"/>
      <c r="AAC519" s="4"/>
      <c r="AAD519" s="4"/>
      <c r="AAE519" s="4"/>
      <c r="AAF519" s="4"/>
      <c r="AAG519" s="5"/>
      <c r="AAH519" s="6"/>
      <c r="AAI519" s="4"/>
      <c r="AAJ519" s="4"/>
      <c r="AAK519" s="4"/>
      <c r="AAL519" s="4"/>
      <c r="AAM519" s="4"/>
      <c r="AAN519" s="5"/>
      <c r="AAO519" s="6"/>
      <c r="AAP519" s="4"/>
      <c r="AAQ519" s="4"/>
      <c r="AAR519" s="4"/>
      <c r="AAS519" s="4"/>
      <c r="AAT519" s="4"/>
      <c r="AAU519" s="5"/>
      <c r="AAV519" s="6"/>
      <c r="AAW519" s="4"/>
      <c r="AAX519" s="4"/>
      <c r="AAY519" s="4"/>
      <c r="AAZ519" s="4"/>
      <c r="ABA519" s="4"/>
      <c r="ABB519" s="5"/>
      <c r="ABC519" s="6"/>
      <c r="ABD519" s="4"/>
      <c r="ABE519" s="4"/>
      <c r="ABF519" s="4"/>
      <c r="ABG519" s="4"/>
      <c r="ABH519" s="4"/>
      <c r="ABI519" s="5"/>
      <c r="ABJ519" s="6"/>
      <c r="ABK519" s="4"/>
      <c r="ABL519" s="4"/>
      <c r="ABM519" s="4"/>
      <c r="ABN519" s="4"/>
      <c r="ABO519" s="4"/>
      <c r="ABP519" s="5"/>
      <c r="ABQ519" s="6"/>
      <c r="ABR519" s="4"/>
      <c r="ABS519" s="4"/>
      <c r="ABT519" s="4"/>
      <c r="ABU519" s="4"/>
      <c r="ABV519" s="4"/>
      <c r="ABW519" s="5"/>
      <c r="ABX519" s="6"/>
      <c r="ABY519" s="4"/>
      <c r="ABZ519" s="4"/>
      <c r="ACA519" s="4"/>
      <c r="ACB519" s="4"/>
      <c r="ACC519" s="4"/>
      <c r="ACD519" s="5"/>
      <c r="ACE519" s="6"/>
      <c r="ACF519" s="4"/>
      <c r="ACG519" s="4"/>
      <c r="ACH519" s="4"/>
      <c r="ACI519" s="4"/>
      <c r="ACJ519" s="4"/>
      <c r="ACK519" s="5"/>
      <c r="ACL519" s="6"/>
      <c r="ACM519" s="4"/>
      <c r="ACN519" s="4"/>
      <c r="ACO519" s="4"/>
      <c r="ACP519" s="4"/>
      <c r="ACQ519" s="4"/>
      <c r="ACR519" s="5"/>
      <c r="ACS519" s="6"/>
      <c r="ACT519" s="4"/>
      <c r="ACU519" s="4"/>
      <c r="ACV519" s="4"/>
      <c r="ACW519" s="4"/>
      <c r="ACX519" s="4"/>
      <c r="ACY519" s="5"/>
    </row>
    <row r="520" spans="2:802" x14ac:dyDescent="0.25">
      <c r="J520" s="12"/>
      <c r="K520" s="12"/>
      <c r="L520" s="12"/>
      <c r="LL520" s="6"/>
      <c r="LM520" s="4"/>
      <c r="LN520" s="4"/>
      <c r="LO520" s="4"/>
      <c r="LP520" s="4"/>
      <c r="LQ520" s="4"/>
      <c r="LR520" s="5"/>
      <c r="LS520" s="6"/>
      <c r="LT520" s="4"/>
      <c r="LU520" s="4"/>
      <c r="LV520" s="4"/>
      <c r="LW520" s="4"/>
      <c r="LX520" s="4"/>
      <c r="LY520" s="5"/>
      <c r="LZ520" s="11" t="s">
        <v>3845</v>
      </c>
      <c r="MA520" s="7" t="s">
        <v>3845</v>
      </c>
      <c r="MB520" s="4"/>
      <c r="MC520" s="4"/>
      <c r="MD520" s="4"/>
      <c r="ME520" s="4"/>
      <c r="MF520" s="4"/>
      <c r="MG520" s="5" t="s">
        <v>3846</v>
      </c>
      <c r="MH520" s="6"/>
      <c r="MI520" s="4"/>
      <c r="MJ520" s="4"/>
      <c r="MK520" s="4"/>
      <c r="ML520" s="4"/>
      <c r="MM520" s="4"/>
      <c r="MN520" s="5"/>
      <c r="MO520" s="6"/>
      <c r="MP520" s="4"/>
      <c r="MQ520" s="4"/>
      <c r="MR520" s="4"/>
      <c r="MS520" s="4"/>
      <c r="MT520" s="4"/>
      <c r="MU520" s="5"/>
      <c r="MV520" s="6"/>
      <c r="MW520" s="4"/>
      <c r="MX520" s="4"/>
      <c r="MY520" s="4"/>
      <c r="MZ520" s="4"/>
      <c r="NA520" s="4"/>
      <c r="NB520" s="5"/>
      <c r="NC520" s="6" t="s">
        <v>3842</v>
      </c>
      <c r="ND520" s="4" t="s">
        <v>3976</v>
      </c>
      <c r="NE520" s="4"/>
      <c r="NF520" s="4"/>
      <c r="NG520" s="4"/>
      <c r="NH520" s="4"/>
      <c r="NI520" s="5"/>
      <c r="NJ520" s="6"/>
      <c r="NK520" s="4"/>
      <c r="NL520" s="4"/>
      <c r="NM520" s="4"/>
      <c r="NN520" s="4"/>
      <c r="NO520" s="4"/>
      <c r="NP520" s="5"/>
      <c r="NQ520" s="4"/>
      <c r="NR520" s="4"/>
      <c r="NS520" s="4"/>
      <c r="NT520" s="4"/>
      <c r="NU520" s="4"/>
      <c r="NV520" s="4"/>
      <c r="NW520" s="5"/>
      <c r="NX520" s="6"/>
      <c r="NY520" s="4"/>
      <c r="NZ520" s="4"/>
      <c r="OA520" s="4"/>
      <c r="OB520" s="4"/>
      <c r="OC520" s="4"/>
      <c r="OD520" s="5"/>
      <c r="OE520" s="6"/>
      <c r="OF520" s="4"/>
      <c r="OG520" s="4"/>
      <c r="OH520" s="4"/>
      <c r="OI520" s="4"/>
      <c r="OJ520" s="4"/>
      <c r="OK520" s="5"/>
      <c r="OL520" s="6"/>
      <c r="OM520" s="4"/>
      <c r="ON520" s="4"/>
      <c r="OO520" s="4"/>
      <c r="OP520" s="4"/>
      <c r="OQ520" s="4"/>
      <c r="OR520" s="5"/>
      <c r="OS520" s="6"/>
      <c r="OT520" s="4"/>
      <c r="OU520" s="4"/>
      <c r="OV520" s="4"/>
      <c r="OW520" s="4"/>
      <c r="OX520" s="4"/>
      <c r="OY520" s="5"/>
      <c r="OZ520" s="6"/>
      <c r="PA520" s="4"/>
      <c r="PB520" s="4"/>
      <c r="PC520" s="4"/>
      <c r="PD520" s="4"/>
      <c r="PE520" s="4"/>
      <c r="PF520" s="5"/>
      <c r="PG520" s="6"/>
      <c r="PH520" s="4"/>
      <c r="PI520" s="4"/>
      <c r="PJ520" s="4"/>
      <c r="PK520" s="4"/>
      <c r="PL520" s="4"/>
      <c r="PM520" s="5"/>
      <c r="PN520" s="6"/>
      <c r="PO520" s="4"/>
      <c r="PP520" s="4"/>
      <c r="PQ520" s="4"/>
      <c r="PR520" s="4"/>
      <c r="PS520" s="4"/>
      <c r="PT520" s="5"/>
      <c r="PU520" s="6"/>
      <c r="PV520" s="4"/>
      <c r="PW520" s="4"/>
      <c r="PX520" s="4"/>
      <c r="PY520" s="4"/>
      <c r="PZ520" s="4"/>
      <c r="QA520" s="5"/>
      <c r="QB520" s="6"/>
      <c r="QC520" s="4"/>
      <c r="QD520" s="4"/>
      <c r="QE520" s="4"/>
      <c r="QF520" s="4"/>
      <c r="QG520" s="4"/>
      <c r="QH520" s="5"/>
      <c r="QI520" s="6"/>
      <c r="QJ520" s="4"/>
      <c r="QK520" s="4"/>
      <c r="QL520" s="4"/>
      <c r="QM520" s="4"/>
      <c r="QN520" s="4"/>
      <c r="QO520" s="5"/>
      <c r="QP520" s="6"/>
      <c r="QQ520" s="4"/>
      <c r="QR520" s="4"/>
      <c r="QS520" s="4"/>
      <c r="QT520" s="4"/>
      <c r="QU520" s="4"/>
      <c r="QV520" s="5"/>
      <c r="QW520" s="6"/>
      <c r="QX520" s="4"/>
      <c r="QY520" s="4"/>
      <c r="QZ520" s="4"/>
      <c r="RA520" s="4"/>
      <c r="RB520" s="4"/>
      <c r="RC520" s="5"/>
      <c r="RD520" s="6"/>
      <c r="RE520" s="4"/>
      <c r="RF520" s="4"/>
      <c r="RG520" s="4"/>
      <c r="RH520" s="4"/>
      <c r="RI520" s="4"/>
      <c r="RJ520" s="5"/>
      <c r="RK520" s="6"/>
      <c r="RL520" s="4"/>
      <c r="RM520" s="4"/>
      <c r="RN520" s="4"/>
      <c r="RO520" s="4"/>
      <c r="RP520" s="4"/>
      <c r="RQ520" s="5"/>
      <c r="RR520" s="6"/>
      <c r="RS520" s="4"/>
      <c r="RT520" s="4"/>
      <c r="RU520" s="4"/>
      <c r="RV520" s="4"/>
      <c r="RW520" s="4"/>
      <c r="RX520" s="5"/>
      <c r="RY520" s="6"/>
      <c r="RZ520" s="4"/>
      <c r="SA520" s="4"/>
      <c r="SB520" s="4"/>
      <c r="SC520" s="4"/>
      <c r="SD520" s="4"/>
      <c r="SE520" s="5"/>
      <c r="SF520" s="6"/>
      <c r="SG520" s="4"/>
      <c r="SH520" s="4"/>
      <c r="SI520" s="4"/>
      <c r="SJ520" s="4"/>
      <c r="SK520" s="4"/>
      <c r="SL520" s="5"/>
      <c r="SM520" s="6"/>
      <c r="SN520" s="4"/>
      <c r="SO520" s="4"/>
      <c r="SP520" s="4"/>
      <c r="SQ520" s="4"/>
      <c r="SR520" s="4"/>
      <c r="SS520" s="5"/>
      <c r="ST520" s="6"/>
      <c r="SU520" s="4"/>
      <c r="SV520" s="4"/>
      <c r="SW520" s="4"/>
      <c r="SX520" s="4"/>
      <c r="SY520" s="4"/>
      <c r="SZ520" s="5"/>
      <c r="TA520" s="6"/>
      <c r="TB520" s="4"/>
      <c r="TC520" s="4"/>
      <c r="TD520" s="4"/>
      <c r="TE520" s="4"/>
      <c r="TF520" s="4"/>
      <c r="TG520" s="5"/>
      <c r="TH520" s="6"/>
      <c r="TI520" s="4"/>
      <c r="TJ520" s="4"/>
      <c r="TK520" s="4"/>
      <c r="TL520" s="4"/>
      <c r="TM520" s="4"/>
      <c r="TN520" s="5"/>
      <c r="TO520" s="6"/>
      <c r="TP520" s="4"/>
      <c r="TQ520" s="4"/>
      <c r="TR520" s="4"/>
      <c r="TS520" s="4"/>
      <c r="TT520" s="4"/>
      <c r="TU520" s="5"/>
      <c r="TV520" s="6"/>
      <c r="TW520" s="4"/>
      <c r="TX520" s="4"/>
      <c r="TY520" s="4"/>
      <c r="TZ520" s="4"/>
      <c r="UA520" s="4"/>
      <c r="UB520" s="5"/>
      <c r="UC520" s="6"/>
      <c r="UD520" s="4"/>
      <c r="UE520" s="4"/>
      <c r="UF520" s="4"/>
      <c r="UG520" s="4"/>
      <c r="UH520" s="4"/>
      <c r="UI520" s="5"/>
      <c r="UJ520" s="6"/>
      <c r="UK520" s="4"/>
      <c r="UL520" s="4"/>
      <c r="UM520" s="4"/>
      <c r="UN520" s="4"/>
      <c r="UO520" s="4"/>
      <c r="UP520" s="5"/>
      <c r="UQ520" s="6"/>
      <c r="UR520" s="4"/>
      <c r="US520" s="4"/>
      <c r="UT520" s="4"/>
      <c r="UU520" s="4"/>
      <c r="UV520" s="4"/>
      <c r="UW520" s="5"/>
      <c r="UX520" s="6"/>
      <c r="UY520" s="4"/>
      <c r="UZ520" s="4"/>
      <c r="VA520" s="4"/>
      <c r="VB520" s="4"/>
      <c r="VC520" s="4"/>
      <c r="VD520" s="5"/>
      <c r="VE520" s="6"/>
      <c r="VF520" s="4"/>
      <c r="VG520" s="4"/>
      <c r="VH520" s="4"/>
      <c r="VI520" s="4"/>
      <c r="VJ520" s="4"/>
      <c r="VK520" s="5"/>
      <c r="VL520" s="6"/>
      <c r="VM520" s="4"/>
      <c r="VN520" s="4"/>
      <c r="VO520" s="4"/>
      <c r="VP520" s="4"/>
      <c r="VQ520" s="4"/>
      <c r="VR520" s="5"/>
      <c r="VS520" s="6"/>
      <c r="VT520" s="4"/>
      <c r="VU520" s="4"/>
      <c r="VV520" s="4"/>
      <c r="VW520" s="4"/>
      <c r="VX520" s="4"/>
      <c r="VY520" s="5"/>
      <c r="VZ520" s="6"/>
      <c r="WA520" s="4"/>
      <c r="WB520" s="4"/>
      <c r="WC520" s="4"/>
      <c r="WD520" s="4"/>
      <c r="WE520" s="4"/>
      <c r="WF520" s="5"/>
      <c r="WG520" s="6"/>
      <c r="WH520" s="4"/>
      <c r="WI520" s="4"/>
      <c r="WJ520" s="4"/>
      <c r="WK520" s="4"/>
      <c r="WL520" s="4"/>
      <c r="WM520" s="5"/>
      <c r="WN520" s="6"/>
      <c r="WO520" s="4"/>
      <c r="WP520" s="4"/>
      <c r="WQ520" s="4"/>
      <c r="WR520" s="4"/>
      <c r="WS520" s="4"/>
      <c r="WT520" s="5"/>
      <c r="WU520" s="6"/>
      <c r="WV520" s="4"/>
      <c r="WW520" s="4"/>
      <c r="WX520" s="4"/>
      <c r="WY520" s="4"/>
      <c r="WZ520" s="4"/>
      <c r="XA520" s="5"/>
      <c r="XB520" s="6"/>
      <c r="XC520" s="4"/>
      <c r="XD520" s="4"/>
      <c r="XE520" s="4"/>
      <c r="XF520" s="4"/>
      <c r="XG520" s="4"/>
      <c r="XH520" s="5"/>
      <c r="XI520" s="6"/>
      <c r="XJ520" s="4"/>
      <c r="XK520" s="4"/>
      <c r="XL520" s="4"/>
      <c r="XM520" s="4"/>
      <c r="XN520" s="4"/>
      <c r="XO520" s="5"/>
      <c r="XP520" s="6"/>
      <c r="XQ520" s="4"/>
      <c r="XR520" s="4"/>
      <c r="XS520" s="4"/>
      <c r="XT520" s="4"/>
      <c r="XU520" s="4"/>
      <c r="XV520" s="5"/>
      <c r="XW520" s="6"/>
      <c r="XX520" s="4"/>
      <c r="XY520" s="4"/>
      <c r="XZ520" s="4"/>
      <c r="YA520" s="4"/>
      <c r="YB520" s="4"/>
      <c r="YC520" s="5"/>
      <c r="YD520" s="6"/>
      <c r="YE520" s="4"/>
      <c r="YF520" s="4"/>
      <c r="YG520" s="4"/>
      <c r="YH520" s="4"/>
      <c r="YI520" s="4"/>
      <c r="YJ520" s="5"/>
      <c r="YK520" s="6"/>
      <c r="YL520" s="4"/>
      <c r="YM520" s="4"/>
      <c r="YN520" s="4"/>
      <c r="YO520" s="4"/>
      <c r="YP520" s="4"/>
      <c r="YQ520" s="5"/>
      <c r="YR520" s="6"/>
      <c r="YS520" s="4"/>
      <c r="YT520" s="4"/>
      <c r="YU520" s="4"/>
      <c r="YV520" s="4"/>
      <c r="YW520" s="4"/>
      <c r="YX520" s="5"/>
      <c r="YY520" s="6"/>
      <c r="YZ520" s="4"/>
      <c r="ZA520" s="4"/>
      <c r="ZB520" s="4"/>
      <c r="ZC520" s="4"/>
      <c r="ZD520" s="4"/>
      <c r="ZE520" s="5"/>
      <c r="ZF520" s="6"/>
      <c r="ZG520" s="4"/>
      <c r="ZH520" s="4"/>
      <c r="ZI520" s="4"/>
      <c r="ZJ520" s="4"/>
      <c r="ZK520" s="4"/>
      <c r="ZL520" s="5"/>
      <c r="ZM520" s="6"/>
      <c r="ZN520" s="4"/>
      <c r="ZO520" s="4"/>
      <c r="ZP520" s="4"/>
      <c r="ZQ520" s="4"/>
      <c r="ZR520" s="4"/>
      <c r="ZS520" s="5"/>
      <c r="ZT520" s="6"/>
      <c r="ZU520" s="4"/>
      <c r="ZV520" s="4"/>
      <c r="ZW520" s="4"/>
      <c r="ZX520" s="4"/>
      <c r="ZY520" s="4"/>
      <c r="ZZ520" s="5"/>
      <c r="AAA520" s="6"/>
      <c r="AAB520" s="4"/>
      <c r="AAC520" s="4"/>
      <c r="AAD520" s="4"/>
      <c r="AAE520" s="4"/>
      <c r="AAF520" s="4"/>
      <c r="AAG520" s="5"/>
      <c r="AAH520" s="6"/>
      <c r="AAI520" s="4"/>
      <c r="AAJ520" s="4"/>
      <c r="AAK520" s="4"/>
      <c r="AAL520" s="4"/>
      <c r="AAM520" s="4"/>
      <c r="AAN520" s="5"/>
      <c r="AAO520" s="6"/>
      <c r="AAP520" s="4"/>
      <c r="AAQ520" s="4"/>
      <c r="AAR520" s="4"/>
      <c r="AAS520" s="4"/>
      <c r="AAT520" s="4"/>
      <c r="AAU520" s="5"/>
      <c r="AAV520" s="6"/>
      <c r="AAW520" s="4"/>
      <c r="AAX520" s="4"/>
      <c r="AAY520" s="4"/>
      <c r="AAZ520" s="4"/>
      <c r="ABA520" s="4"/>
      <c r="ABB520" s="5"/>
      <c r="ABC520" s="6"/>
      <c r="ABD520" s="4"/>
      <c r="ABE520" s="4"/>
      <c r="ABF520" s="4"/>
      <c r="ABG520" s="4"/>
      <c r="ABH520" s="4"/>
      <c r="ABI520" s="5"/>
      <c r="ABJ520" s="6"/>
      <c r="ABK520" s="4"/>
      <c r="ABL520" s="4"/>
      <c r="ABM520" s="4"/>
      <c r="ABN520" s="4"/>
      <c r="ABO520" s="4"/>
      <c r="ABP520" s="5"/>
      <c r="ABQ520" s="6"/>
      <c r="ABR520" s="4"/>
      <c r="ABS520" s="4"/>
      <c r="ABT520" s="4"/>
      <c r="ABU520" s="4"/>
      <c r="ABV520" s="4"/>
      <c r="ABW520" s="5"/>
      <c r="ABX520" s="6"/>
      <c r="ABY520" s="4"/>
      <c r="ABZ520" s="4"/>
      <c r="ACA520" s="4"/>
      <c r="ACB520" s="4"/>
      <c r="ACC520" s="4"/>
      <c r="ACD520" s="5"/>
      <c r="ACE520" s="6"/>
      <c r="ACF520" s="4"/>
      <c r="ACG520" s="4"/>
      <c r="ACH520" s="4"/>
      <c r="ACI520" s="4"/>
      <c r="ACJ520" s="4"/>
      <c r="ACK520" s="5"/>
      <c r="ACL520" s="6"/>
      <c r="ACM520" s="4"/>
      <c r="ACN520" s="4"/>
      <c r="ACO520" s="4"/>
      <c r="ACP520" s="4"/>
      <c r="ACQ520" s="4"/>
      <c r="ACR520" s="5"/>
      <c r="ACS520" s="6"/>
      <c r="ACT520" s="4"/>
      <c r="ACU520" s="4"/>
      <c r="ACV520" s="4"/>
      <c r="ACW520" s="4"/>
      <c r="ACX520" s="4"/>
      <c r="ACY520" s="5"/>
    </row>
    <row r="521" spans="2:802" x14ac:dyDescent="0.25">
      <c r="J521" s="12"/>
      <c r="K521" s="12"/>
      <c r="L521" s="12"/>
      <c r="LL521" s="6"/>
      <c r="LM521" s="4"/>
      <c r="LN521" s="4"/>
      <c r="LO521" s="4"/>
      <c r="LP521" s="4"/>
      <c r="LQ521" s="4"/>
      <c r="LR521" s="5"/>
      <c r="LS521" s="6"/>
      <c r="LT521" s="4"/>
      <c r="LU521" s="4"/>
      <c r="LV521" s="4"/>
      <c r="LW521" s="4"/>
      <c r="LX521" s="4"/>
      <c r="LY521" s="5"/>
      <c r="LZ521" s="11"/>
      <c r="MA521" s="7"/>
      <c r="MB521" s="4"/>
      <c r="MC521" s="4"/>
      <c r="MD521" s="4"/>
      <c r="ME521" s="4"/>
      <c r="MF521" s="4"/>
      <c r="MG521" s="5"/>
      <c r="MH521" s="6"/>
      <c r="MI521" s="4"/>
      <c r="MJ521" s="4"/>
      <c r="MK521" s="4"/>
      <c r="ML521" s="4"/>
      <c r="MM521" s="4"/>
      <c r="MN521" s="5"/>
      <c r="MO521" s="6"/>
      <c r="MP521" s="4"/>
      <c r="MQ521" s="4"/>
      <c r="MR521" s="4"/>
      <c r="MS521" s="4"/>
      <c r="MT521" s="4"/>
      <c r="MU521" s="5"/>
      <c r="MV521" s="6"/>
      <c r="MW521" s="4"/>
      <c r="MX521" s="4"/>
      <c r="MY521" s="4"/>
      <c r="MZ521" s="4"/>
      <c r="NA521" s="4"/>
      <c r="NB521" s="5"/>
      <c r="NC521" s="6" t="s">
        <v>2147</v>
      </c>
      <c r="ND521" t="s">
        <v>2147</v>
      </c>
      <c r="NE521" s="4"/>
      <c r="NF521" s="4"/>
      <c r="NG521" s="4"/>
      <c r="NH521" s="4"/>
      <c r="NI521" s="5"/>
      <c r="NJ521" s="6"/>
      <c r="NK521" s="4"/>
      <c r="NL521" s="4"/>
      <c r="NM521" s="4"/>
      <c r="NN521" s="4"/>
      <c r="NO521" s="4"/>
      <c r="NP521" s="5"/>
      <c r="NQ521" s="4"/>
      <c r="NR521" s="4"/>
      <c r="NS521" s="4"/>
      <c r="NT521" s="4"/>
      <c r="NU521" s="4"/>
      <c r="NV521" s="4"/>
      <c r="NW521" s="5"/>
      <c r="NX521" s="6"/>
      <c r="NY521" s="4"/>
      <c r="NZ521" s="4"/>
      <c r="OA521" s="4"/>
      <c r="OB521" s="4"/>
      <c r="OC521" s="4"/>
      <c r="OD521" s="5"/>
      <c r="OE521" s="6"/>
      <c r="OF521" s="4"/>
      <c r="OG521" s="4"/>
      <c r="OH521" s="4"/>
      <c r="OI521" s="4"/>
      <c r="OJ521" s="4"/>
      <c r="OK521" s="5"/>
      <c r="OL521" s="6"/>
      <c r="OM521" s="4"/>
      <c r="ON521" s="4"/>
      <c r="OO521" s="4"/>
      <c r="OP521" s="4"/>
      <c r="OQ521" s="4"/>
      <c r="OR521" s="5"/>
      <c r="OS521" s="6"/>
      <c r="OT521" s="4"/>
      <c r="OU521" s="4"/>
      <c r="OV521" s="4"/>
      <c r="OW521" s="4"/>
      <c r="OX521" s="4"/>
      <c r="OY521" s="5"/>
      <c r="OZ521" s="6"/>
      <c r="PA521" s="4"/>
      <c r="PB521" s="4"/>
      <c r="PC521" s="4"/>
      <c r="PD521" s="4"/>
      <c r="PE521" s="4"/>
      <c r="PF521" s="5"/>
      <c r="PG521" s="6"/>
      <c r="PH521" s="4"/>
      <c r="PI521" s="4"/>
      <c r="PJ521" s="4"/>
      <c r="PK521" s="4"/>
      <c r="PL521" s="4"/>
      <c r="PM521" s="5"/>
      <c r="PN521" s="6"/>
      <c r="PO521" s="4"/>
      <c r="PP521" s="4"/>
      <c r="PQ521" s="4"/>
      <c r="PR521" s="4"/>
      <c r="PS521" s="4"/>
      <c r="PT521" s="5"/>
      <c r="PU521" s="6"/>
      <c r="PV521" s="4"/>
      <c r="PW521" s="4"/>
      <c r="PX521" s="4"/>
      <c r="PY521" s="4"/>
      <c r="PZ521" s="4"/>
      <c r="QA521" s="5"/>
      <c r="QB521" s="6"/>
      <c r="QC521" s="4"/>
      <c r="QD521" s="4"/>
      <c r="QE521" s="4"/>
      <c r="QF521" s="4"/>
      <c r="QG521" s="4"/>
      <c r="QH521" s="5"/>
      <c r="QI521" s="6"/>
      <c r="QJ521" s="4"/>
      <c r="QK521" s="4"/>
      <c r="QL521" s="4"/>
      <c r="QM521" s="4"/>
      <c r="QN521" s="4"/>
      <c r="QO521" s="5"/>
      <c r="QP521" s="6"/>
      <c r="QQ521" s="4"/>
      <c r="QR521" s="4"/>
      <c r="QS521" s="4"/>
      <c r="QT521" s="4"/>
      <c r="QU521" s="4"/>
      <c r="QV521" s="5"/>
      <c r="QW521" s="6"/>
      <c r="QX521" s="4"/>
      <c r="QY521" s="4"/>
      <c r="QZ521" s="4"/>
      <c r="RA521" s="4"/>
      <c r="RB521" s="4"/>
      <c r="RC521" s="5"/>
      <c r="RD521" s="6"/>
      <c r="RE521" s="4"/>
      <c r="RF521" s="4"/>
      <c r="RG521" s="4"/>
      <c r="RH521" s="4"/>
      <c r="RI521" s="4"/>
      <c r="RJ521" s="5"/>
      <c r="RK521" s="6"/>
      <c r="RL521" s="4"/>
      <c r="RM521" s="4"/>
      <c r="RN521" s="4"/>
      <c r="RO521" s="4"/>
      <c r="RP521" s="4"/>
      <c r="RQ521" s="5"/>
      <c r="RR521" s="6"/>
      <c r="RS521" s="4"/>
      <c r="RT521" s="4"/>
      <c r="RU521" s="4"/>
      <c r="RV521" s="4"/>
      <c r="RW521" s="4"/>
      <c r="RX521" s="5"/>
      <c r="RY521" s="6"/>
      <c r="RZ521" s="4"/>
      <c r="SA521" s="4"/>
      <c r="SB521" s="4"/>
      <c r="SC521" s="4"/>
      <c r="SD521" s="4"/>
      <c r="SE521" s="5"/>
      <c r="SF521" s="6"/>
      <c r="SG521" s="4"/>
      <c r="SH521" s="4"/>
      <c r="SI521" s="4"/>
      <c r="SJ521" s="4"/>
      <c r="SK521" s="4"/>
      <c r="SL521" s="5"/>
      <c r="SM521" s="6"/>
      <c r="SN521" s="4"/>
      <c r="SO521" s="4"/>
      <c r="SP521" s="4"/>
      <c r="SQ521" s="4"/>
      <c r="SR521" s="4"/>
      <c r="SS521" s="5"/>
      <c r="ST521" s="6"/>
      <c r="SU521" s="4"/>
      <c r="SV521" s="4"/>
      <c r="SW521" s="4"/>
      <c r="SX521" s="4"/>
      <c r="SY521" s="4"/>
      <c r="SZ521" s="5"/>
      <c r="TA521" s="6"/>
      <c r="TB521" s="4"/>
      <c r="TC521" s="4"/>
      <c r="TD521" s="4"/>
      <c r="TE521" s="4"/>
      <c r="TF521" s="4"/>
      <c r="TG521" s="5"/>
      <c r="TH521" s="6"/>
      <c r="TI521" s="4"/>
      <c r="TJ521" s="4"/>
      <c r="TK521" s="4"/>
      <c r="TL521" s="4"/>
      <c r="TM521" s="4"/>
      <c r="TN521" s="5"/>
      <c r="TO521" s="6"/>
      <c r="TP521" s="4"/>
      <c r="TQ521" s="4"/>
      <c r="TR521" s="4"/>
      <c r="TS521" s="4"/>
      <c r="TT521" s="4"/>
      <c r="TU521" s="5"/>
      <c r="TV521" s="6"/>
      <c r="TW521" s="4"/>
      <c r="TX521" s="4"/>
      <c r="TY521" s="4"/>
      <c r="TZ521" s="4"/>
      <c r="UA521" s="4"/>
      <c r="UB521" s="5"/>
      <c r="UC521" s="6"/>
      <c r="UD521" s="4"/>
      <c r="UE521" s="4"/>
      <c r="UF521" s="4"/>
      <c r="UG521" s="4"/>
      <c r="UH521" s="4"/>
      <c r="UI521" s="5"/>
      <c r="UJ521" s="6"/>
      <c r="UK521" s="4"/>
      <c r="UL521" s="4"/>
      <c r="UM521" s="4"/>
      <c r="UN521" s="4"/>
      <c r="UO521" s="4"/>
      <c r="UP521" s="5"/>
      <c r="UQ521" s="6"/>
      <c r="UR521" s="4"/>
      <c r="US521" s="4"/>
      <c r="UT521" s="4"/>
      <c r="UU521" s="4"/>
      <c r="UV521" s="4"/>
      <c r="UW521" s="5"/>
      <c r="UX521" s="6"/>
      <c r="UY521" s="4"/>
      <c r="UZ521" s="4"/>
      <c r="VA521" s="4"/>
      <c r="VB521" s="4"/>
      <c r="VC521" s="4"/>
      <c r="VD521" s="5"/>
      <c r="VE521" s="6"/>
      <c r="VF521" s="4"/>
      <c r="VG521" s="4"/>
      <c r="VH521" s="4"/>
      <c r="VI521" s="4"/>
      <c r="VJ521" s="4"/>
      <c r="VK521" s="5"/>
      <c r="VL521" s="6"/>
      <c r="VM521" s="4"/>
      <c r="VN521" s="4"/>
      <c r="VO521" s="4"/>
      <c r="VP521" s="4"/>
      <c r="VQ521" s="4"/>
      <c r="VR521" s="5"/>
      <c r="VS521" s="6"/>
      <c r="VT521" s="4"/>
      <c r="VU521" s="4"/>
      <c r="VV521" s="4"/>
      <c r="VW521" s="4"/>
      <c r="VX521" s="4"/>
      <c r="VY521" s="5"/>
      <c r="VZ521" s="6"/>
      <c r="WA521" s="4"/>
      <c r="WB521" s="4"/>
      <c r="WC521" s="4"/>
      <c r="WD521" s="4"/>
      <c r="WE521" s="4"/>
      <c r="WF521" s="5"/>
      <c r="WG521" s="6"/>
      <c r="WH521" s="4"/>
      <c r="WI521" s="4"/>
      <c r="WJ521" s="4"/>
      <c r="WK521" s="4"/>
      <c r="WL521" s="4"/>
      <c r="WM521" s="5"/>
      <c r="WN521" s="6"/>
      <c r="WO521" s="4"/>
      <c r="WP521" s="4"/>
      <c r="WQ521" s="4"/>
      <c r="WR521" s="4"/>
      <c r="WS521" s="4"/>
      <c r="WT521" s="5"/>
      <c r="WU521" s="6"/>
      <c r="WV521" s="4"/>
      <c r="WW521" s="4"/>
      <c r="WX521" s="4"/>
      <c r="WY521" s="4"/>
      <c r="WZ521" s="4"/>
      <c r="XA521" s="5"/>
      <c r="XB521" s="6"/>
      <c r="XC521" s="4"/>
      <c r="XD521" s="4"/>
      <c r="XE521" s="4"/>
      <c r="XF521" s="4"/>
      <c r="XG521" s="4"/>
      <c r="XH521" s="5"/>
      <c r="XI521" s="6"/>
      <c r="XJ521" s="4"/>
      <c r="XK521" s="4"/>
      <c r="XL521" s="4"/>
      <c r="XM521" s="4"/>
      <c r="XN521" s="4"/>
      <c r="XO521" s="5"/>
      <c r="XP521" s="6"/>
      <c r="XQ521" s="4"/>
      <c r="XR521" s="4"/>
      <c r="XS521" s="4"/>
      <c r="XT521" s="4"/>
      <c r="XU521" s="4"/>
      <c r="XV521" s="5"/>
      <c r="XW521" s="6"/>
      <c r="XX521" s="4"/>
      <c r="XY521" s="4"/>
      <c r="XZ521" s="4"/>
      <c r="YA521" s="4"/>
      <c r="YB521" s="4"/>
      <c r="YC521" s="5"/>
      <c r="YD521" s="6"/>
      <c r="YE521" s="4"/>
      <c r="YF521" s="4"/>
      <c r="YG521" s="4"/>
      <c r="YH521" s="4"/>
      <c r="YI521" s="4"/>
      <c r="YJ521" s="5"/>
      <c r="YK521" s="6"/>
      <c r="YL521" s="4"/>
      <c r="YM521" s="4"/>
      <c r="YN521" s="4"/>
      <c r="YO521" s="4"/>
      <c r="YP521" s="4"/>
      <c r="YQ521" s="5"/>
      <c r="YR521" s="6"/>
      <c r="YS521" s="4"/>
      <c r="YT521" s="4"/>
      <c r="YU521" s="4"/>
      <c r="YV521" s="4"/>
      <c r="YW521" s="4"/>
      <c r="YX521" s="5"/>
      <c r="YY521" s="6"/>
      <c r="YZ521" s="4"/>
      <c r="ZA521" s="4"/>
      <c r="ZB521" s="4"/>
      <c r="ZC521" s="4"/>
      <c r="ZD521" s="4"/>
      <c r="ZE521" s="5"/>
      <c r="ZF521" s="6"/>
      <c r="ZG521" s="4"/>
      <c r="ZH521" s="4"/>
      <c r="ZI521" s="4"/>
      <c r="ZJ521" s="4"/>
      <c r="ZK521" s="4"/>
      <c r="ZL521" s="5"/>
      <c r="ZM521" s="6"/>
      <c r="ZN521" s="4"/>
      <c r="ZO521" s="4"/>
      <c r="ZP521" s="4"/>
      <c r="ZQ521" s="4"/>
      <c r="ZR521" s="4"/>
      <c r="ZS521" s="5"/>
      <c r="ZT521" s="6"/>
      <c r="ZU521" s="4"/>
      <c r="ZV521" s="4"/>
      <c r="ZW521" s="4"/>
      <c r="ZX521" s="4"/>
      <c r="ZY521" s="4"/>
      <c r="ZZ521" s="5"/>
      <c r="AAA521" s="6"/>
      <c r="AAB521" s="4"/>
      <c r="AAC521" s="4"/>
      <c r="AAD521" s="4"/>
      <c r="AAE521" s="4"/>
      <c r="AAF521" s="4"/>
      <c r="AAG521" s="5"/>
      <c r="AAH521" s="6"/>
      <c r="AAI521" s="4"/>
      <c r="AAJ521" s="4"/>
      <c r="AAK521" s="4"/>
      <c r="AAL521" s="4"/>
      <c r="AAM521" s="4"/>
      <c r="AAN521" s="5"/>
      <c r="AAO521" s="6"/>
      <c r="AAP521" s="4"/>
      <c r="AAQ521" s="4"/>
      <c r="AAR521" s="4"/>
      <c r="AAS521" s="4"/>
      <c r="AAT521" s="4"/>
      <c r="AAU521" s="5"/>
      <c r="AAV521" s="6"/>
      <c r="AAW521" s="4"/>
      <c r="AAX521" s="4"/>
      <c r="AAY521" s="4"/>
      <c r="AAZ521" s="4"/>
      <c r="ABA521" s="4"/>
      <c r="ABB521" s="5"/>
      <c r="ABC521" s="6"/>
      <c r="ABD521" s="4"/>
      <c r="ABE521" s="4"/>
      <c r="ABF521" s="4"/>
      <c r="ABG521" s="4"/>
      <c r="ABH521" s="4"/>
      <c r="ABI521" s="5"/>
      <c r="ABJ521" s="6"/>
      <c r="ABK521" s="4"/>
      <c r="ABL521" s="4"/>
      <c r="ABM521" s="4"/>
      <c r="ABN521" s="4"/>
      <c r="ABO521" s="4"/>
      <c r="ABP521" s="5"/>
      <c r="ABQ521" s="6"/>
      <c r="ABR521" s="4"/>
      <c r="ABS521" s="4"/>
      <c r="ABT521" s="4"/>
      <c r="ABU521" s="4"/>
      <c r="ABV521" s="4"/>
      <c r="ABW521" s="5"/>
      <c r="ABX521" s="6"/>
      <c r="ABY521" s="4"/>
      <c r="ABZ521" s="4"/>
      <c r="ACA521" s="4"/>
      <c r="ACB521" s="4"/>
      <c r="ACC521" s="4"/>
      <c r="ACD521" s="5"/>
      <c r="ACE521" s="6"/>
      <c r="ACF521" s="4"/>
      <c r="ACG521" s="4"/>
      <c r="ACH521" s="4"/>
      <c r="ACI521" s="4"/>
      <c r="ACJ521" s="4"/>
      <c r="ACK521" s="5"/>
      <c r="ACL521" s="6"/>
      <c r="ACM521" s="4"/>
      <c r="ACN521" s="4"/>
      <c r="ACO521" s="4"/>
      <c r="ACP521" s="4"/>
      <c r="ACQ521" s="4"/>
      <c r="ACR521" s="5"/>
      <c r="ACS521" s="6"/>
      <c r="ACT521" s="4"/>
      <c r="ACU521" s="4"/>
      <c r="ACV521" s="4"/>
      <c r="ACW521" s="4"/>
      <c r="ACX521" s="4"/>
      <c r="ACY521" s="5"/>
    </row>
    <row r="522" spans="2:802" x14ac:dyDescent="0.25">
      <c r="J522" s="12"/>
      <c r="K522" s="12"/>
      <c r="L522" s="12"/>
      <c r="LL522" s="6"/>
      <c r="LM522" s="4"/>
      <c r="LN522" s="4"/>
      <c r="LO522" s="4"/>
      <c r="LP522" s="4"/>
      <c r="LQ522" s="4"/>
      <c r="LR522" s="5"/>
      <c r="LS522" s="6"/>
      <c r="LT522" s="4"/>
      <c r="LU522" s="4"/>
      <c r="LV522" s="4"/>
      <c r="LW522" s="4"/>
      <c r="LX522" s="4"/>
      <c r="LY522" s="5"/>
      <c r="LZ522" s="11"/>
      <c r="MA522" s="7"/>
      <c r="MB522" s="4"/>
      <c r="MC522" s="4"/>
      <c r="MD522" s="4"/>
      <c r="ME522" s="4"/>
      <c r="MF522" s="4"/>
      <c r="MG522" s="5"/>
      <c r="MH522" s="6"/>
      <c r="MI522" s="4"/>
      <c r="MJ522" s="4"/>
      <c r="MK522" s="4"/>
      <c r="ML522" s="4"/>
      <c r="MM522" s="4"/>
      <c r="MN522" s="5"/>
      <c r="MO522" s="6"/>
      <c r="MP522" s="4"/>
      <c r="MQ522" s="4"/>
      <c r="MR522" s="4"/>
      <c r="MS522" s="4"/>
      <c r="MT522" s="4"/>
      <c r="MU522" s="5"/>
      <c r="MV522" s="6"/>
      <c r="MW522" s="4"/>
      <c r="MX522" s="4"/>
      <c r="MY522" s="4"/>
      <c r="MZ522" s="4"/>
      <c r="NA522" s="4"/>
      <c r="NB522" s="5"/>
      <c r="NC522" s="6" t="s">
        <v>3843</v>
      </c>
      <c r="ND522" s="4" t="s">
        <v>3843</v>
      </c>
      <c r="NE522" s="4"/>
      <c r="NF522" s="4"/>
      <c r="NG522" s="4"/>
      <c r="NH522" s="4"/>
      <c r="NI522" s="5"/>
      <c r="NJ522" s="6"/>
      <c r="NK522" s="4"/>
      <c r="NL522" s="4"/>
      <c r="NM522" s="4"/>
      <c r="NN522" s="4"/>
      <c r="NO522" s="4"/>
      <c r="NP522" s="5"/>
      <c r="NQ522" s="4"/>
      <c r="NR522" s="4"/>
      <c r="NS522" s="4"/>
      <c r="NT522" s="4"/>
      <c r="NU522" s="4"/>
      <c r="NV522" s="4"/>
      <c r="NW522" s="5"/>
      <c r="NX522" s="6"/>
      <c r="NY522" s="4"/>
      <c r="NZ522" s="4"/>
      <c r="OA522" s="4"/>
      <c r="OB522" s="4"/>
      <c r="OC522" s="4"/>
      <c r="OD522" s="5"/>
      <c r="OE522" s="6"/>
      <c r="OF522" s="4"/>
      <c r="OG522" s="4"/>
      <c r="OH522" s="4"/>
      <c r="OI522" s="4"/>
      <c r="OJ522" s="4"/>
      <c r="OK522" s="5"/>
      <c r="OL522" s="6"/>
      <c r="OM522" s="4"/>
      <c r="ON522" s="4"/>
      <c r="OO522" s="4"/>
      <c r="OP522" s="4"/>
      <c r="OQ522" s="4"/>
      <c r="OR522" s="5"/>
      <c r="OS522" s="6"/>
      <c r="OT522" s="4"/>
      <c r="OU522" s="4"/>
      <c r="OV522" s="4"/>
      <c r="OW522" s="4"/>
      <c r="OX522" s="4"/>
      <c r="OY522" s="5"/>
      <c r="OZ522" s="6"/>
      <c r="PA522" s="4"/>
      <c r="PB522" s="4"/>
      <c r="PC522" s="4"/>
      <c r="PD522" s="4"/>
      <c r="PE522" s="4"/>
      <c r="PF522" s="5"/>
      <c r="PG522" s="6"/>
      <c r="PH522" s="4"/>
      <c r="PI522" s="4"/>
      <c r="PJ522" s="4"/>
      <c r="PK522" s="4"/>
      <c r="PL522" s="4"/>
      <c r="PM522" s="5"/>
      <c r="PN522" s="6"/>
      <c r="PO522" s="4"/>
      <c r="PP522" s="4"/>
      <c r="PQ522" s="4"/>
      <c r="PR522" s="4"/>
      <c r="PS522" s="4"/>
      <c r="PT522" s="5"/>
      <c r="PU522" s="6"/>
      <c r="PV522" s="4"/>
      <c r="PW522" s="4"/>
      <c r="PX522" s="4"/>
      <c r="PY522" s="4"/>
      <c r="PZ522" s="4"/>
      <c r="QA522" s="5"/>
      <c r="QB522" s="6"/>
      <c r="QC522" s="4"/>
      <c r="QD522" s="4"/>
      <c r="QE522" s="4"/>
      <c r="QF522" s="4"/>
      <c r="QG522" s="4"/>
      <c r="QH522" s="5"/>
      <c r="QI522" s="6"/>
      <c r="QJ522" s="4"/>
      <c r="QK522" s="4"/>
      <c r="QL522" s="4"/>
      <c r="QM522" s="4"/>
      <c r="QN522" s="4"/>
      <c r="QO522" s="5"/>
      <c r="QP522" s="6"/>
      <c r="QQ522" s="4"/>
      <c r="QR522" s="4"/>
      <c r="QS522" s="4"/>
      <c r="QT522" s="4"/>
      <c r="QU522" s="4"/>
      <c r="QV522" s="5"/>
      <c r="QW522" s="6"/>
      <c r="QX522" s="4"/>
      <c r="QY522" s="4"/>
      <c r="QZ522" s="4"/>
      <c r="RA522" s="4"/>
      <c r="RB522" s="4"/>
      <c r="RC522" s="5"/>
      <c r="RD522" s="6"/>
      <c r="RE522" s="4"/>
      <c r="RF522" s="4"/>
      <c r="RG522" s="4"/>
      <c r="RH522" s="4"/>
      <c r="RI522" s="4"/>
      <c r="RJ522" s="5"/>
      <c r="RK522" s="6"/>
      <c r="RL522" s="4"/>
      <c r="RM522" s="4"/>
      <c r="RN522" s="4"/>
      <c r="RO522" s="4"/>
      <c r="RP522" s="4"/>
      <c r="RQ522" s="5"/>
      <c r="RR522" s="6"/>
      <c r="RS522" s="4"/>
      <c r="RT522" s="4"/>
      <c r="RU522" s="4"/>
      <c r="RV522" s="4"/>
      <c r="RW522" s="4"/>
      <c r="RX522" s="5"/>
      <c r="RY522" s="6"/>
      <c r="RZ522" s="4"/>
      <c r="SA522" s="4"/>
      <c r="SB522" s="4"/>
      <c r="SC522" s="4"/>
      <c r="SD522" s="4"/>
      <c r="SE522" s="5"/>
      <c r="SF522" s="6"/>
      <c r="SG522" s="4"/>
      <c r="SH522" s="4"/>
      <c r="SI522" s="4"/>
      <c r="SJ522" s="4"/>
      <c r="SK522" s="4"/>
      <c r="SL522" s="5"/>
      <c r="SM522" s="6"/>
      <c r="SN522" s="4"/>
      <c r="SO522" s="4"/>
      <c r="SP522" s="4"/>
      <c r="SQ522" s="4"/>
      <c r="SR522" s="4"/>
      <c r="SS522" s="5"/>
      <c r="ST522" s="6"/>
      <c r="SU522" s="4"/>
      <c r="SV522" s="4"/>
      <c r="SW522" s="4"/>
      <c r="SX522" s="4"/>
      <c r="SY522" s="4"/>
      <c r="SZ522" s="5"/>
      <c r="TA522" s="6"/>
      <c r="TB522" s="4"/>
      <c r="TC522" s="4"/>
      <c r="TD522" s="4"/>
      <c r="TE522" s="4"/>
      <c r="TF522" s="4"/>
      <c r="TG522" s="5"/>
      <c r="TH522" s="6"/>
      <c r="TI522" s="4"/>
      <c r="TJ522" s="4"/>
      <c r="TK522" s="4"/>
      <c r="TL522" s="4"/>
      <c r="TM522" s="4"/>
      <c r="TN522" s="5"/>
      <c r="TO522" s="6"/>
      <c r="TP522" s="4"/>
      <c r="TQ522" s="4"/>
      <c r="TR522" s="4"/>
      <c r="TS522" s="4"/>
      <c r="TT522" s="4"/>
      <c r="TU522" s="5"/>
      <c r="TV522" s="6"/>
      <c r="TW522" s="4"/>
      <c r="TX522" s="4"/>
      <c r="TY522" s="4"/>
      <c r="TZ522" s="4"/>
      <c r="UA522" s="4"/>
      <c r="UB522" s="5"/>
      <c r="UC522" s="6"/>
      <c r="UD522" s="4"/>
      <c r="UE522" s="4"/>
      <c r="UF522" s="4"/>
      <c r="UG522" s="4"/>
      <c r="UH522" s="4"/>
      <c r="UI522" s="5"/>
      <c r="UJ522" s="6"/>
      <c r="UK522" s="4"/>
      <c r="UL522" s="4"/>
      <c r="UM522" s="4"/>
      <c r="UN522" s="4"/>
      <c r="UO522" s="4"/>
      <c r="UP522" s="5"/>
      <c r="UQ522" s="6"/>
      <c r="UR522" s="4"/>
      <c r="US522" s="4"/>
      <c r="UT522" s="4"/>
      <c r="UU522" s="4"/>
      <c r="UV522" s="4"/>
      <c r="UW522" s="5"/>
      <c r="UX522" s="6"/>
      <c r="UY522" s="4"/>
      <c r="UZ522" s="4"/>
      <c r="VA522" s="4"/>
      <c r="VB522" s="4"/>
      <c r="VC522" s="4"/>
      <c r="VD522" s="5"/>
      <c r="VE522" s="6"/>
      <c r="VF522" s="4"/>
      <c r="VG522" s="4"/>
      <c r="VH522" s="4"/>
      <c r="VI522" s="4"/>
      <c r="VJ522" s="4"/>
      <c r="VK522" s="5"/>
      <c r="VL522" s="6"/>
      <c r="VM522" s="4"/>
      <c r="VN522" s="4"/>
      <c r="VO522" s="4"/>
      <c r="VP522" s="4"/>
      <c r="VQ522" s="4"/>
      <c r="VR522" s="5"/>
      <c r="VS522" s="6"/>
      <c r="VT522" s="4"/>
      <c r="VU522" s="4"/>
      <c r="VV522" s="4"/>
      <c r="VW522" s="4"/>
      <c r="VX522" s="4"/>
      <c r="VY522" s="5"/>
      <c r="VZ522" s="6"/>
      <c r="WA522" s="4"/>
      <c r="WB522" s="4"/>
      <c r="WC522" s="4"/>
      <c r="WD522" s="4"/>
      <c r="WE522" s="4"/>
      <c r="WF522" s="5"/>
      <c r="WG522" s="6"/>
      <c r="WH522" s="4"/>
      <c r="WI522" s="4"/>
      <c r="WJ522" s="4"/>
      <c r="WK522" s="4"/>
      <c r="WL522" s="4"/>
      <c r="WM522" s="5"/>
      <c r="WN522" s="6"/>
      <c r="WO522" s="4"/>
      <c r="WP522" s="4"/>
      <c r="WQ522" s="4"/>
      <c r="WR522" s="4"/>
      <c r="WS522" s="4"/>
      <c r="WT522" s="5"/>
      <c r="WU522" s="6"/>
      <c r="WV522" s="4"/>
      <c r="WW522" s="4"/>
      <c r="WX522" s="4"/>
      <c r="WY522" s="4"/>
      <c r="WZ522" s="4"/>
      <c r="XA522" s="5"/>
      <c r="XB522" s="6"/>
      <c r="XC522" s="4"/>
      <c r="XD522" s="4"/>
      <c r="XE522" s="4"/>
      <c r="XF522" s="4"/>
      <c r="XG522" s="4"/>
      <c r="XH522" s="5"/>
      <c r="XI522" s="6"/>
      <c r="XJ522" s="4"/>
      <c r="XK522" s="4"/>
      <c r="XL522" s="4"/>
      <c r="XM522" s="4"/>
      <c r="XN522" s="4"/>
      <c r="XO522" s="5"/>
      <c r="XP522" s="6"/>
      <c r="XQ522" s="4"/>
      <c r="XR522" s="4"/>
      <c r="XS522" s="4"/>
      <c r="XT522" s="4"/>
      <c r="XU522" s="4"/>
      <c r="XV522" s="5"/>
      <c r="XW522" s="6"/>
      <c r="XX522" s="4"/>
      <c r="XY522" s="4"/>
      <c r="XZ522" s="4"/>
      <c r="YA522" s="4"/>
      <c r="YB522" s="4"/>
      <c r="YC522" s="5"/>
      <c r="YD522" s="6"/>
      <c r="YE522" s="4"/>
      <c r="YF522" s="4"/>
      <c r="YG522" s="4"/>
      <c r="YH522" s="4"/>
      <c r="YI522" s="4"/>
      <c r="YJ522" s="5"/>
      <c r="YK522" s="6"/>
      <c r="YL522" s="4"/>
      <c r="YM522" s="4"/>
      <c r="YN522" s="4"/>
      <c r="YO522" s="4"/>
      <c r="YP522" s="4"/>
      <c r="YQ522" s="5"/>
      <c r="YR522" s="6"/>
      <c r="YS522" s="4"/>
      <c r="YT522" s="4"/>
      <c r="YU522" s="4"/>
      <c r="YV522" s="4"/>
      <c r="YW522" s="4"/>
      <c r="YX522" s="5"/>
      <c r="YY522" s="6"/>
      <c r="YZ522" s="4"/>
      <c r="ZA522" s="4"/>
      <c r="ZB522" s="4"/>
      <c r="ZC522" s="4"/>
      <c r="ZD522" s="4"/>
      <c r="ZE522" s="5"/>
      <c r="ZF522" s="6"/>
      <c r="ZG522" s="4"/>
      <c r="ZH522" s="4"/>
      <c r="ZI522" s="4"/>
      <c r="ZJ522" s="4"/>
      <c r="ZK522" s="4"/>
      <c r="ZL522" s="5"/>
      <c r="ZM522" s="6"/>
      <c r="ZN522" s="4"/>
      <c r="ZO522" s="4"/>
      <c r="ZP522" s="4"/>
      <c r="ZQ522" s="4"/>
      <c r="ZR522" s="4"/>
      <c r="ZS522" s="5"/>
      <c r="ZT522" s="6"/>
      <c r="ZU522" s="4"/>
      <c r="ZV522" s="4"/>
      <c r="ZW522" s="4"/>
      <c r="ZX522" s="4"/>
      <c r="ZY522" s="4"/>
      <c r="ZZ522" s="5"/>
      <c r="AAA522" s="6"/>
      <c r="AAB522" s="4"/>
      <c r="AAC522" s="4"/>
      <c r="AAD522" s="4"/>
      <c r="AAE522" s="4"/>
      <c r="AAF522" s="4"/>
      <c r="AAG522" s="5"/>
      <c r="AAH522" s="6"/>
      <c r="AAI522" s="4"/>
      <c r="AAJ522" s="4"/>
      <c r="AAK522" s="4"/>
      <c r="AAL522" s="4"/>
      <c r="AAM522" s="4"/>
      <c r="AAN522" s="5"/>
      <c r="AAO522" s="6"/>
      <c r="AAP522" s="4"/>
      <c r="AAQ522" s="4"/>
      <c r="AAR522" s="4"/>
      <c r="AAS522" s="4"/>
      <c r="AAT522" s="4"/>
      <c r="AAU522" s="5"/>
      <c r="AAV522" s="6"/>
      <c r="AAW522" s="4"/>
      <c r="AAX522" s="4"/>
      <c r="AAY522" s="4"/>
      <c r="AAZ522" s="4"/>
      <c r="ABA522" s="4"/>
      <c r="ABB522" s="5"/>
      <c r="ABC522" s="6"/>
      <c r="ABD522" s="4"/>
      <c r="ABE522" s="4"/>
      <c r="ABF522" s="4"/>
      <c r="ABG522" s="4"/>
      <c r="ABH522" s="4"/>
      <c r="ABI522" s="5"/>
      <c r="ABJ522" s="6"/>
      <c r="ABK522" s="4"/>
      <c r="ABL522" s="4"/>
      <c r="ABM522" s="4"/>
      <c r="ABN522" s="4"/>
      <c r="ABO522" s="4"/>
      <c r="ABP522" s="5"/>
      <c r="ABQ522" s="6"/>
      <c r="ABR522" s="4"/>
      <c r="ABS522" s="4"/>
      <c r="ABT522" s="4"/>
      <c r="ABU522" s="4"/>
      <c r="ABV522" s="4"/>
      <c r="ABW522" s="5"/>
      <c r="ABX522" s="6"/>
      <c r="ABY522" s="4"/>
      <c r="ABZ522" s="4"/>
      <c r="ACA522" s="4"/>
      <c r="ACB522" s="4"/>
      <c r="ACC522" s="4"/>
      <c r="ACD522" s="5"/>
      <c r="ACE522" s="6"/>
      <c r="ACF522" s="4"/>
      <c r="ACG522" s="4"/>
      <c r="ACH522" s="4"/>
      <c r="ACI522" s="4"/>
      <c r="ACJ522" s="4"/>
      <c r="ACK522" s="5"/>
      <c r="ACL522" s="6"/>
      <c r="ACM522" s="4"/>
      <c r="ACN522" s="4"/>
      <c r="ACO522" s="4"/>
      <c r="ACP522" s="4"/>
      <c r="ACQ522" s="4"/>
      <c r="ACR522" s="5"/>
      <c r="ACS522" s="6"/>
      <c r="ACT522" s="4"/>
      <c r="ACU522" s="4"/>
      <c r="ACV522" s="4"/>
      <c r="ACW522" s="4"/>
      <c r="ACX522" s="4"/>
      <c r="ACY522" s="5"/>
    </row>
    <row r="523" spans="2:802" x14ac:dyDescent="0.25">
      <c r="J523" s="12"/>
      <c r="K523" s="12"/>
      <c r="L523" s="12"/>
      <c r="LL523" s="6"/>
      <c r="LM523" s="4"/>
      <c r="LN523" s="4"/>
      <c r="LO523" s="4"/>
      <c r="LP523" s="4"/>
      <c r="LQ523" s="4"/>
      <c r="LR523" s="5"/>
      <c r="LS523" s="6"/>
      <c r="LT523" s="4"/>
      <c r="LU523" s="4"/>
      <c r="LV523" s="4"/>
      <c r="LW523" s="4"/>
      <c r="LX523" s="4"/>
      <c r="LY523" s="5"/>
      <c r="LZ523" s="11"/>
      <c r="MA523" s="7"/>
      <c r="MB523" s="4"/>
      <c r="MC523" s="4"/>
      <c r="MD523" s="4"/>
      <c r="ME523" s="4"/>
      <c r="MF523" s="4"/>
      <c r="MG523" s="5"/>
      <c r="MH523" s="6"/>
      <c r="MI523" s="4"/>
      <c r="MJ523" s="4"/>
      <c r="MK523" s="4"/>
      <c r="ML523" s="4"/>
      <c r="MM523" s="4"/>
      <c r="MN523" s="5"/>
      <c r="MO523" s="6"/>
      <c r="MP523" s="4"/>
      <c r="MQ523" s="4"/>
      <c r="MR523" s="4"/>
      <c r="MS523" s="4"/>
      <c r="MT523" s="4"/>
      <c r="MU523" s="5"/>
      <c r="MV523" s="6"/>
      <c r="MW523" s="4"/>
      <c r="MX523" s="4"/>
      <c r="MY523" s="4"/>
      <c r="MZ523" s="4"/>
      <c r="NA523" s="4"/>
      <c r="NB523" s="5"/>
      <c r="NC523" s="15" t="s">
        <v>3844</v>
      </c>
      <c r="ND523" s="12" t="s">
        <v>1745</v>
      </c>
      <c r="NE523" s="4"/>
      <c r="NF523" s="4"/>
      <c r="NG523" s="4"/>
      <c r="NH523" s="4"/>
      <c r="NI523" s="5"/>
      <c r="NJ523" s="6"/>
      <c r="NK523" s="4"/>
      <c r="NL523" s="4"/>
      <c r="NM523" s="4"/>
      <c r="NN523" s="4"/>
      <c r="NO523" s="4"/>
      <c r="NP523" s="5"/>
      <c r="NQ523" s="4"/>
      <c r="NR523" s="4"/>
      <c r="NS523" s="4"/>
      <c r="NT523" s="4"/>
      <c r="NU523" s="4"/>
      <c r="NV523" s="4"/>
      <c r="NW523" s="5"/>
      <c r="NX523" s="6"/>
      <c r="NY523" s="4"/>
      <c r="NZ523" s="4"/>
      <c r="OA523" s="4"/>
      <c r="OB523" s="4"/>
      <c r="OC523" s="4"/>
      <c r="OD523" s="5"/>
      <c r="OE523" s="6"/>
      <c r="OF523" s="4"/>
      <c r="OG523" s="4"/>
      <c r="OH523" s="4"/>
      <c r="OI523" s="4"/>
      <c r="OJ523" s="4"/>
      <c r="OK523" s="5"/>
      <c r="OL523" s="6"/>
      <c r="OM523" s="4"/>
      <c r="ON523" s="4"/>
      <c r="OO523" s="4"/>
      <c r="OP523" s="4"/>
      <c r="OQ523" s="4"/>
      <c r="OR523" s="5"/>
      <c r="OS523" s="6"/>
      <c r="OT523" s="4"/>
      <c r="OU523" s="4"/>
      <c r="OV523" s="4"/>
      <c r="OW523" s="4"/>
      <c r="OX523" s="4"/>
      <c r="OY523" s="5"/>
      <c r="OZ523" s="6"/>
      <c r="PA523" s="4"/>
      <c r="PB523" s="4"/>
      <c r="PC523" s="4"/>
      <c r="PD523" s="4"/>
      <c r="PE523" s="4"/>
      <c r="PF523" s="5"/>
      <c r="PG523" s="6"/>
      <c r="PH523" s="4"/>
      <c r="PI523" s="4"/>
      <c r="PJ523" s="4"/>
      <c r="PK523" s="4"/>
      <c r="PL523" s="4"/>
      <c r="PM523" s="5"/>
      <c r="PN523" s="6"/>
      <c r="PO523" s="4"/>
      <c r="PP523" s="4"/>
      <c r="PQ523" s="4"/>
      <c r="PR523" s="4"/>
      <c r="PS523" s="4"/>
      <c r="PT523" s="5"/>
      <c r="PU523" s="6"/>
      <c r="PV523" s="4"/>
      <c r="PW523" s="4"/>
      <c r="PX523" s="4"/>
      <c r="PY523" s="4"/>
      <c r="PZ523" s="4"/>
      <c r="QA523" s="5"/>
      <c r="QB523" s="6"/>
      <c r="QC523" s="4"/>
      <c r="QD523" s="4"/>
      <c r="QE523" s="4"/>
      <c r="QF523" s="4"/>
      <c r="QG523" s="4"/>
      <c r="QH523" s="5"/>
      <c r="QI523" s="6"/>
      <c r="QJ523" s="4"/>
      <c r="QK523" s="4"/>
      <c r="QL523" s="4"/>
      <c r="QM523" s="4"/>
      <c r="QN523" s="4"/>
      <c r="QO523" s="5"/>
      <c r="QP523" s="6"/>
      <c r="QQ523" s="4"/>
      <c r="QR523" s="4"/>
      <c r="QS523" s="4"/>
      <c r="QT523" s="4"/>
      <c r="QU523" s="4"/>
      <c r="QV523" s="5"/>
      <c r="QW523" s="6"/>
      <c r="QX523" s="4"/>
      <c r="QY523" s="4"/>
      <c r="QZ523" s="4"/>
      <c r="RA523" s="4"/>
      <c r="RB523" s="4"/>
      <c r="RC523" s="5"/>
      <c r="RD523" s="6"/>
      <c r="RE523" s="4"/>
      <c r="RF523" s="4"/>
      <c r="RG523" s="4"/>
      <c r="RH523" s="4"/>
      <c r="RI523" s="4"/>
      <c r="RJ523" s="5"/>
      <c r="RK523" s="6"/>
      <c r="RL523" s="4"/>
      <c r="RM523" s="4"/>
      <c r="RN523" s="4"/>
      <c r="RO523" s="4"/>
      <c r="RP523" s="4"/>
      <c r="RQ523" s="5"/>
      <c r="RR523" s="6"/>
      <c r="RS523" s="4"/>
      <c r="RT523" s="4"/>
      <c r="RU523" s="4"/>
      <c r="RV523" s="4"/>
      <c r="RW523" s="4"/>
      <c r="RX523" s="5"/>
      <c r="RY523" s="6"/>
      <c r="RZ523" s="4"/>
      <c r="SA523" s="4"/>
      <c r="SB523" s="4"/>
      <c r="SC523" s="4"/>
      <c r="SD523" s="4"/>
      <c r="SE523" s="5"/>
      <c r="SF523" s="6"/>
      <c r="SG523" s="4"/>
      <c r="SH523" s="4"/>
      <c r="SI523" s="4"/>
      <c r="SJ523" s="4"/>
      <c r="SK523" s="4"/>
      <c r="SL523" s="5"/>
      <c r="SM523" s="6"/>
      <c r="SN523" s="4"/>
      <c r="SO523" s="4"/>
      <c r="SP523" s="4"/>
      <c r="SQ523" s="4"/>
      <c r="SR523" s="4"/>
      <c r="SS523" s="5"/>
      <c r="ST523" s="6"/>
      <c r="SU523" s="4"/>
      <c r="SV523" s="4"/>
      <c r="SW523" s="4"/>
      <c r="SX523" s="4"/>
      <c r="SY523" s="4"/>
      <c r="SZ523" s="5"/>
      <c r="TA523" s="6"/>
      <c r="TB523" s="4"/>
      <c r="TC523" s="4"/>
      <c r="TD523" s="4"/>
      <c r="TE523" s="4"/>
      <c r="TF523" s="4"/>
      <c r="TG523" s="5"/>
      <c r="TH523" s="6"/>
      <c r="TI523" s="4"/>
      <c r="TJ523" s="4"/>
      <c r="TK523" s="4"/>
      <c r="TL523" s="4"/>
      <c r="TM523" s="4"/>
      <c r="TN523" s="5"/>
      <c r="TO523" s="6"/>
      <c r="TP523" s="4"/>
      <c r="TQ523" s="4"/>
      <c r="TR523" s="4"/>
      <c r="TS523" s="4"/>
      <c r="TT523" s="4"/>
      <c r="TU523" s="5"/>
      <c r="TV523" s="6"/>
      <c r="TW523" s="4"/>
      <c r="TX523" s="4"/>
      <c r="TY523" s="4"/>
      <c r="TZ523" s="4"/>
      <c r="UA523" s="4"/>
      <c r="UB523" s="5"/>
      <c r="UC523" s="6"/>
      <c r="UD523" s="4"/>
      <c r="UE523" s="4"/>
      <c r="UF523" s="4"/>
      <c r="UG523" s="4"/>
      <c r="UH523" s="4"/>
      <c r="UI523" s="5"/>
      <c r="UJ523" s="6"/>
      <c r="UK523" s="4"/>
      <c r="UL523" s="4"/>
      <c r="UM523" s="4"/>
      <c r="UN523" s="4"/>
      <c r="UO523" s="4"/>
      <c r="UP523" s="5"/>
      <c r="UQ523" s="6"/>
      <c r="UR523" s="4"/>
      <c r="US523" s="4"/>
      <c r="UT523" s="4"/>
      <c r="UU523" s="4"/>
      <c r="UV523" s="4"/>
      <c r="UW523" s="5"/>
      <c r="UX523" s="6"/>
      <c r="UY523" s="4"/>
      <c r="UZ523" s="4"/>
      <c r="VA523" s="4"/>
      <c r="VB523" s="4"/>
      <c r="VC523" s="4"/>
      <c r="VD523" s="5"/>
      <c r="VE523" s="6"/>
      <c r="VF523" s="4"/>
      <c r="VG523" s="4"/>
      <c r="VH523" s="4"/>
      <c r="VI523" s="4"/>
      <c r="VJ523" s="4"/>
      <c r="VK523" s="5"/>
      <c r="VL523" s="6"/>
      <c r="VM523" s="4"/>
      <c r="VN523" s="4"/>
      <c r="VO523" s="4"/>
      <c r="VP523" s="4"/>
      <c r="VQ523" s="4"/>
      <c r="VR523" s="5"/>
      <c r="VS523" s="6"/>
      <c r="VT523" s="4"/>
      <c r="VU523" s="4"/>
      <c r="VV523" s="4"/>
      <c r="VW523" s="4"/>
      <c r="VX523" s="4"/>
      <c r="VY523" s="5"/>
      <c r="VZ523" s="6"/>
      <c r="WA523" s="4"/>
      <c r="WB523" s="4"/>
      <c r="WC523" s="4"/>
      <c r="WD523" s="4"/>
      <c r="WE523" s="4"/>
      <c r="WF523" s="5"/>
      <c r="WG523" s="6"/>
      <c r="WH523" s="4"/>
      <c r="WI523" s="4"/>
      <c r="WJ523" s="4"/>
      <c r="WK523" s="4"/>
      <c r="WL523" s="4"/>
      <c r="WM523" s="5"/>
      <c r="WN523" s="6"/>
      <c r="WO523" s="4"/>
      <c r="WP523" s="4"/>
      <c r="WQ523" s="4"/>
      <c r="WR523" s="4"/>
      <c r="WS523" s="4"/>
      <c r="WT523" s="5"/>
      <c r="WU523" s="6"/>
      <c r="WV523" s="4"/>
      <c r="WW523" s="4"/>
      <c r="WX523" s="4"/>
      <c r="WY523" s="4"/>
      <c r="WZ523" s="4"/>
      <c r="XA523" s="5"/>
      <c r="XB523" s="6"/>
      <c r="XC523" s="4"/>
      <c r="XD523" s="4"/>
      <c r="XE523" s="4"/>
      <c r="XF523" s="4"/>
      <c r="XG523" s="4"/>
      <c r="XH523" s="5"/>
      <c r="XI523" s="6"/>
      <c r="XJ523" s="4"/>
      <c r="XK523" s="4"/>
      <c r="XL523" s="4"/>
      <c r="XM523" s="4"/>
      <c r="XN523" s="4"/>
      <c r="XO523" s="5"/>
      <c r="XP523" s="6"/>
      <c r="XQ523" s="4"/>
      <c r="XR523" s="4"/>
      <c r="XS523" s="4"/>
      <c r="XT523" s="4"/>
      <c r="XU523" s="4"/>
      <c r="XV523" s="5"/>
      <c r="XW523" s="6"/>
      <c r="XX523" s="4"/>
      <c r="XY523" s="4"/>
      <c r="XZ523" s="4"/>
      <c r="YA523" s="4"/>
      <c r="YB523" s="4"/>
      <c r="YC523" s="5"/>
      <c r="YD523" s="6"/>
      <c r="YE523" s="4"/>
      <c r="YF523" s="4"/>
      <c r="YG523" s="4"/>
      <c r="YH523" s="4"/>
      <c r="YI523" s="4"/>
      <c r="YJ523" s="5"/>
      <c r="YK523" s="6"/>
      <c r="YL523" s="4"/>
      <c r="YM523" s="4"/>
      <c r="YN523" s="4"/>
      <c r="YO523" s="4"/>
      <c r="YP523" s="4"/>
      <c r="YQ523" s="5"/>
      <c r="YR523" s="6"/>
      <c r="YS523" s="4"/>
      <c r="YT523" s="4"/>
      <c r="YU523" s="4"/>
      <c r="YV523" s="4"/>
      <c r="YW523" s="4"/>
      <c r="YX523" s="5"/>
      <c r="YY523" s="6"/>
      <c r="YZ523" s="4"/>
      <c r="ZA523" s="4"/>
      <c r="ZB523" s="4"/>
      <c r="ZC523" s="4"/>
      <c r="ZD523" s="4"/>
      <c r="ZE523" s="5"/>
      <c r="ZF523" s="6"/>
      <c r="ZG523" s="4"/>
      <c r="ZH523" s="4"/>
      <c r="ZI523" s="4"/>
      <c r="ZJ523" s="4"/>
      <c r="ZK523" s="4"/>
      <c r="ZL523" s="5"/>
      <c r="ZM523" s="6"/>
      <c r="ZN523" s="4"/>
      <c r="ZO523" s="4"/>
      <c r="ZP523" s="4"/>
      <c r="ZQ523" s="4"/>
      <c r="ZR523" s="4"/>
      <c r="ZS523" s="5"/>
      <c r="ZT523" s="6"/>
      <c r="ZU523" s="4"/>
      <c r="ZV523" s="4"/>
      <c r="ZW523" s="4"/>
      <c r="ZX523" s="4"/>
      <c r="ZY523" s="4"/>
      <c r="ZZ523" s="5"/>
      <c r="AAA523" s="6"/>
      <c r="AAB523" s="4"/>
      <c r="AAC523" s="4"/>
      <c r="AAD523" s="4"/>
      <c r="AAE523" s="4"/>
      <c r="AAF523" s="4"/>
      <c r="AAG523" s="5"/>
      <c r="AAH523" s="6"/>
      <c r="AAI523" s="4"/>
      <c r="AAJ523" s="4"/>
      <c r="AAK523" s="4"/>
      <c r="AAL523" s="4"/>
      <c r="AAM523" s="4"/>
      <c r="AAN523" s="5"/>
      <c r="AAO523" s="6"/>
      <c r="AAP523" s="4"/>
      <c r="AAQ523" s="4"/>
      <c r="AAR523" s="4"/>
      <c r="AAS523" s="4"/>
      <c r="AAT523" s="4"/>
      <c r="AAU523" s="5"/>
      <c r="AAV523" s="6"/>
      <c r="AAW523" s="4"/>
      <c r="AAX523" s="4"/>
      <c r="AAY523" s="4"/>
      <c r="AAZ523" s="4"/>
      <c r="ABA523" s="4"/>
      <c r="ABB523" s="5"/>
      <c r="ABC523" s="6"/>
      <c r="ABD523" s="4"/>
      <c r="ABE523" s="4"/>
      <c r="ABF523" s="4"/>
      <c r="ABG523" s="4"/>
      <c r="ABH523" s="4"/>
      <c r="ABI523" s="5"/>
      <c r="ABJ523" s="6"/>
      <c r="ABK523" s="4"/>
      <c r="ABL523" s="4"/>
      <c r="ABM523" s="4"/>
      <c r="ABN523" s="4"/>
      <c r="ABO523" s="4"/>
      <c r="ABP523" s="5"/>
      <c r="ABQ523" s="6"/>
      <c r="ABR523" s="4"/>
      <c r="ABS523" s="4"/>
      <c r="ABT523" s="4"/>
      <c r="ABU523" s="4"/>
      <c r="ABV523" s="4"/>
      <c r="ABW523" s="5"/>
      <c r="ABX523" s="6"/>
      <c r="ABY523" s="4"/>
      <c r="ABZ523" s="4"/>
      <c r="ACA523" s="4"/>
      <c r="ACB523" s="4"/>
      <c r="ACC523" s="4"/>
      <c r="ACD523" s="5"/>
      <c r="ACE523" s="6"/>
      <c r="ACF523" s="4"/>
      <c r="ACG523" s="4"/>
      <c r="ACH523" s="4"/>
      <c r="ACI523" s="4"/>
      <c r="ACJ523" s="4"/>
      <c r="ACK523" s="5"/>
      <c r="ACL523" s="6"/>
      <c r="ACM523" s="4"/>
      <c r="ACN523" s="4"/>
      <c r="ACO523" s="4"/>
      <c r="ACP523" s="4"/>
      <c r="ACQ523" s="4"/>
      <c r="ACR523" s="5"/>
      <c r="ACS523" s="6"/>
      <c r="ACT523" s="4"/>
      <c r="ACU523" s="4"/>
      <c r="ACV523" s="4"/>
      <c r="ACW523" s="4"/>
      <c r="ACX523" s="4"/>
      <c r="ACY523" s="5"/>
    </row>
    <row r="524" spans="2:802" x14ac:dyDescent="0.25">
      <c r="J524" s="12"/>
      <c r="K524" s="12"/>
      <c r="L524" s="12"/>
      <c r="LL524" s="6"/>
      <c r="LM524" s="4"/>
      <c r="LN524" s="4"/>
      <c r="LO524" s="4"/>
      <c r="LP524" s="4"/>
      <c r="LQ524" s="4"/>
      <c r="LR524" s="5"/>
      <c r="LS524" s="6"/>
      <c r="LT524" s="4"/>
      <c r="LU524" s="4"/>
      <c r="LV524" s="4"/>
      <c r="LW524" s="4"/>
      <c r="LX524" s="4"/>
      <c r="LY524" s="5"/>
      <c r="LZ524" s="11"/>
      <c r="MA524" s="7"/>
      <c r="MB524" s="4"/>
      <c r="MC524" s="4"/>
      <c r="MD524" s="4"/>
      <c r="ME524" s="4"/>
      <c r="MF524" s="4"/>
      <c r="MG524" s="5"/>
      <c r="MH524" s="6"/>
      <c r="MI524" s="4"/>
      <c r="MJ524" s="4"/>
      <c r="MK524" s="4"/>
      <c r="ML524" s="4"/>
      <c r="MM524" s="4"/>
      <c r="MN524" s="5"/>
      <c r="MO524" s="6"/>
      <c r="MP524" s="4"/>
      <c r="MQ524" s="4"/>
      <c r="MR524" s="4"/>
      <c r="MS524" s="4"/>
      <c r="MT524" s="4"/>
      <c r="MU524" s="5"/>
      <c r="MV524" s="6"/>
      <c r="MW524" s="4"/>
      <c r="MX524" s="4"/>
      <c r="MY524" s="4"/>
      <c r="MZ524" s="4"/>
      <c r="NA524" s="4"/>
      <c r="NB524" s="5"/>
      <c r="NC524" s="6" t="s">
        <v>2875</v>
      </c>
      <c r="ND524" s="7" t="s">
        <v>3011</v>
      </c>
      <c r="NE524" s="4"/>
      <c r="NF524" s="4"/>
      <c r="NG524" s="4"/>
      <c r="NH524" s="4"/>
      <c r="NI524" s="5"/>
      <c r="NJ524" s="6"/>
      <c r="NK524" s="4"/>
      <c r="NL524" s="4"/>
      <c r="NM524" s="4"/>
      <c r="NN524" s="4"/>
      <c r="NO524" s="4"/>
      <c r="NP524" s="5"/>
      <c r="NQ524" s="4"/>
      <c r="NR524" s="4"/>
      <c r="NS524" s="4"/>
      <c r="NT524" s="4"/>
      <c r="NU524" s="4"/>
      <c r="NV524" s="4"/>
      <c r="NW524" s="5"/>
      <c r="NX524" s="6"/>
      <c r="NY524" s="4"/>
      <c r="NZ524" s="4"/>
      <c r="OA524" s="4"/>
      <c r="OB524" s="4"/>
      <c r="OC524" s="4"/>
      <c r="OD524" s="5"/>
      <c r="OE524" s="6"/>
      <c r="OF524" s="4"/>
      <c r="OG524" s="4"/>
      <c r="OH524" s="4"/>
      <c r="OI524" s="4"/>
      <c r="OJ524" s="4"/>
      <c r="OK524" s="5"/>
      <c r="OL524" s="6"/>
      <c r="OM524" s="4"/>
      <c r="ON524" s="4"/>
      <c r="OO524" s="4"/>
      <c r="OP524" s="4"/>
      <c r="OQ524" s="4"/>
      <c r="OR524" s="5"/>
      <c r="OS524" s="6"/>
      <c r="OT524" s="4"/>
      <c r="OU524" s="4"/>
      <c r="OV524" s="4"/>
      <c r="OW524" s="4"/>
      <c r="OX524" s="4"/>
      <c r="OY524" s="5"/>
      <c r="OZ524" s="6"/>
      <c r="PA524" s="4"/>
      <c r="PB524" s="4"/>
      <c r="PC524" s="4"/>
      <c r="PD524" s="4"/>
      <c r="PE524" s="4"/>
      <c r="PF524" s="5"/>
      <c r="PG524" s="6"/>
      <c r="PH524" s="4"/>
      <c r="PI524" s="4"/>
      <c r="PJ524" s="4"/>
      <c r="PK524" s="4"/>
      <c r="PL524" s="4"/>
      <c r="PM524" s="5"/>
      <c r="PN524" s="6"/>
      <c r="PO524" s="4"/>
      <c r="PP524" s="4"/>
      <c r="PQ524" s="4"/>
      <c r="PR524" s="4"/>
      <c r="PS524" s="4"/>
      <c r="PT524" s="5"/>
      <c r="PU524" s="6"/>
      <c r="PV524" s="4"/>
      <c r="PW524" s="4"/>
      <c r="PX524" s="4"/>
      <c r="PY524" s="4"/>
      <c r="PZ524" s="4"/>
      <c r="QA524" s="5"/>
      <c r="QB524" s="6"/>
      <c r="QC524" s="4"/>
      <c r="QD524" s="4"/>
      <c r="QE524" s="4"/>
      <c r="QF524" s="4"/>
      <c r="QG524" s="4"/>
      <c r="QH524" s="5"/>
      <c r="QI524" s="6"/>
      <c r="QJ524" s="4"/>
      <c r="QK524" s="4"/>
      <c r="QL524" s="4"/>
      <c r="QM524" s="4"/>
      <c r="QN524" s="4"/>
      <c r="QO524" s="5"/>
      <c r="QP524" s="6"/>
      <c r="QQ524" s="4"/>
      <c r="QR524" s="4"/>
      <c r="QS524" s="4"/>
      <c r="QT524" s="4"/>
      <c r="QU524" s="4"/>
      <c r="QV524" s="5"/>
      <c r="QW524" s="6"/>
      <c r="QX524" s="4"/>
      <c r="QY524" s="4"/>
      <c r="QZ524" s="4"/>
      <c r="RA524" s="4"/>
      <c r="RB524" s="4"/>
      <c r="RC524" s="5"/>
      <c r="RD524" s="6"/>
      <c r="RE524" s="4"/>
      <c r="RF524" s="4"/>
      <c r="RG524" s="4"/>
      <c r="RH524" s="4"/>
      <c r="RI524" s="4"/>
      <c r="RJ524" s="5"/>
      <c r="RK524" s="6"/>
      <c r="RL524" s="4"/>
      <c r="RM524" s="4"/>
      <c r="RN524" s="4"/>
      <c r="RO524" s="4"/>
      <c r="RP524" s="4"/>
      <c r="RQ524" s="5"/>
      <c r="RR524" s="6"/>
      <c r="RS524" s="4"/>
      <c r="RT524" s="4"/>
      <c r="RU524" s="4"/>
      <c r="RV524" s="4"/>
      <c r="RW524" s="4"/>
      <c r="RX524" s="5"/>
      <c r="RY524" s="6"/>
      <c r="RZ524" s="4"/>
      <c r="SA524" s="4"/>
      <c r="SB524" s="4"/>
      <c r="SC524" s="4"/>
      <c r="SD524" s="4"/>
      <c r="SE524" s="5"/>
      <c r="SF524" s="6"/>
      <c r="SG524" s="4"/>
      <c r="SH524" s="4"/>
      <c r="SI524" s="4"/>
      <c r="SJ524" s="4"/>
      <c r="SK524" s="4"/>
      <c r="SL524" s="5"/>
      <c r="SM524" s="6"/>
      <c r="SN524" s="4"/>
      <c r="SO524" s="4"/>
      <c r="SP524" s="4"/>
      <c r="SQ524" s="4"/>
      <c r="SR524" s="4"/>
      <c r="SS524" s="5"/>
      <c r="ST524" s="6"/>
      <c r="SU524" s="4"/>
      <c r="SV524" s="4"/>
      <c r="SW524" s="4"/>
      <c r="SX524" s="4"/>
      <c r="SY524" s="4"/>
      <c r="SZ524" s="5"/>
      <c r="TA524" s="6"/>
      <c r="TB524" s="4"/>
      <c r="TC524" s="4"/>
      <c r="TD524" s="4"/>
      <c r="TE524" s="4"/>
      <c r="TF524" s="4"/>
      <c r="TG524" s="5"/>
      <c r="TH524" s="6"/>
      <c r="TI524" s="4"/>
      <c r="TJ524" s="4"/>
      <c r="TK524" s="4"/>
      <c r="TL524" s="4"/>
      <c r="TM524" s="4"/>
      <c r="TN524" s="5"/>
      <c r="TO524" s="6"/>
      <c r="TP524" s="4"/>
      <c r="TQ524" s="4"/>
      <c r="TR524" s="4"/>
      <c r="TS524" s="4"/>
      <c r="TT524" s="4"/>
      <c r="TU524" s="5"/>
      <c r="TV524" s="6"/>
      <c r="TW524" s="4"/>
      <c r="TX524" s="4"/>
      <c r="TY524" s="4"/>
      <c r="TZ524" s="4"/>
      <c r="UA524" s="4"/>
      <c r="UB524" s="5"/>
      <c r="UC524" s="6"/>
      <c r="UD524" s="4"/>
      <c r="UE524" s="4"/>
      <c r="UF524" s="4"/>
      <c r="UG524" s="4"/>
      <c r="UH524" s="4"/>
      <c r="UI524" s="5"/>
      <c r="UJ524" s="6"/>
      <c r="UK524" s="4"/>
      <c r="UL524" s="4"/>
      <c r="UM524" s="4"/>
      <c r="UN524" s="4"/>
      <c r="UO524" s="4"/>
      <c r="UP524" s="5"/>
      <c r="UQ524" s="6"/>
      <c r="UR524" s="4"/>
      <c r="US524" s="4"/>
      <c r="UT524" s="4"/>
      <c r="UU524" s="4"/>
      <c r="UV524" s="4"/>
      <c r="UW524" s="5"/>
      <c r="UX524" s="6"/>
      <c r="UY524" s="4"/>
      <c r="UZ524" s="4"/>
      <c r="VA524" s="4"/>
      <c r="VB524" s="4"/>
      <c r="VC524" s="4"/>
      <c r="VD524" s="5"/>
      <c r="VE524" s="6"/>
      <c r="VF524" s="4"/>
      <c r="VG524" s="4"/>
      <c r="VH524" s="4"/>
      <c r="VI524" s="4"/>
      <c r="VJ524" s="4"/>
      <c r="VK524" s="5"/>
      <c r="VL524" s="6"/>
      <c r="VM524" s="4"/>
      <c r="VN524" s="4"/>
      <c r="VO524" s="4"/>
      <c r="VP524" s="4"/>
      <c r="VQ524" s="4"/>
      <c r="VR524" s="5"/>
      <c r="VS524" s="6"/>
      <c r="VT524" s="4"/>
      <c r="VU524" s="4"/>
      <c r="VV524" s="4"/>
      <c r="VW524" s="4"/>
      <c r="VX524" s="4"/>
      <c r="VY524" s="5"/>
      <c r="VZ524" s="6"/>
      <c r="WA524" s="4"/>
      <c r="WB524" s="4"/>
      <c r="WC524" s="4"/>
      <c r="WD524" s="4"/>
      <c r="WE524" s="4"/>
      <c r="WF524" s="5"/>
      <c r="WG524" s="6"/>
      <c r="WH524" s="4"/>
      <c r="WI524" s="4"/>
      <c r="WJ524" s="4"/>
      <c r="WK524" s="4"/>
      <c r="WL524" s="4"/>
      <c r="WM524" s="5"/>
      <c r="WN524" s="6"/>
      <c r="WO524" s="4"/>
      <c r="WP524" s="4"/>
      <c r="WQ524" s="4"/>
      <c r="WR524" s="4"/>
      <c r="WS524" s="4"/>
      <c r="WT524" s="5"/>
      <c r="WU524" s="6"/>
      <c r="WV524" s="4"/>
      <c r="WW524" s="4"/>
      <c r="WX524" s="4"/>
      <c r="WY524" s="4"/>
      <c r="WZ524" s="4"/>
      <c r="XA524" s="5"/>
      <c r="XB524" s="6"/>
      <c r="XC524" s="4"/>
      <c r="XD524" s="4"/>
      <c r="XE524" s="4"/>
      <c r="XF524" s="4"/>
      <c r="XG524" s="4"/>
      <c r="XH524" s="5"/>
      <c r="XI524" s="6"/>
      <c r="XJ524" s="4"/>
      <c r="XK524" s="4"/>
      <c r="XL524" s="4"/>
      <c r="XM524" s="4"/>
      <c r="XN524" s="4"/>
      <c r="XO524" s="5"/>
      <c r="XP524" s="6"/>
      <c r="XQ524" s="4"/>
      <c r="XR524" s="4"/>
      <c r="XS524" s="4"/>
      <c r="XT524" s="4"/>
      <c r="XU524" s="4"/>
      <c r="XV524" s="5"/>
      <c r="XW524" s="6"/>
      <c r="XX524" s="4"/>
      <c r="XY524" s="4"/>
      <c r="XZ524" s="4"/>
      <c r="YA524" s="4"/>
      <c r="YB524" s="4"/>
      <c r="YC524" s="5"/>
      <c r="YD524" s="6"/>
      <c r="YE524" s="4"/>
      <c r="YF524" s="4"/>
      <c r="YG524" s="4"/>
      <c r="YH524" s="4"/>
      <c r="YI524" s="4"/>
      <c r="YJ524" s="5"/>
      <c r="YK524" s="6"/>
      <c r="YL524" s="4"/>
      <c r="YM524" s="4"/>
      <c r="YN524" s="4"/>
      <c r="YO524" s="4"/>
      <c r="YP524" s="4"/>
      <c r="YQ524" s="5"/>
      <c r="YR524" s="6"/>
      <c r="YS524" s="4"/>
      <c r="YT524" s="4"/>
      <c r="YU524" s="4"/>
      <c r="YV524" s="4"/>
      <c r="YW524" s="4"/>
      <c r="YX524" s="5"/>
      <c r="YY524" s="6"/>
      <c r="YZ524" s="4"/>
      <c r="ZA524" s="4"/>
      <c r="ZB524" s="4"/>
      <c r="ZC524" s="4"/>
      <c r="ZD524" s="4"/>
      <c r="ZE524" s="5"/>
      <c r="ZF524" s="6"/>
      <c r="ZG524" s="4"/>
      <c r="ZH524" s="4"/>
      <c r="ZI524" s="4"/>
      <c r="ZJ524" s="4"/>
      <c r="ZK524" s="4"/>
      <c r="ZL524" s="5"/>
      <c r="ZM524" s="6"/>
      <c r="ZN524" s="4"/>
      <c r="ZO524" s="4"/>
      <c r="ZP524" s="4"/>
      <c r="ZQ524" s="4"/>
      <c r="ZR524" s="4"/>
      <c r="ZS524" s="5"/>
      <c r="ZT524" s="6"/>
      <c r="ZU524" s="4"/>
      <c r="ZV524" s="4"/>
      <c r="ZW524" s="4"/>
      <c r="ZX524" s="4"/>
      <c r="ZY524" s="4"/>
      <c r="ZZ524" s="5"/>
      <c r="AAA524" s="6"/>
      <c r="AAB524" s="4"/>
      <c r="AAC524" s="4"/>
      <c r="AAD524" s="4"/>
      <c r="AAE524" s="4"/>
      <c r="AAF524" s="4"/>
      <c r="AAG524" s="5"/>
      <c r="AAH524" s="6"/>
      <c r="AAI524" s="4"/>
      <c r="AAJ524" s="4"/>
      <c r="AAK524" s="4"/>
      <c r="AAL524" s="4"/>
      <c r="AAM524" s="4"/>
      <c r="AAN524" s="5"/>
      <c r="AAO524" s="6"/>
      <c r="AAP524" s="4"/>
      <c r="AAQ524" s="4"/>
      <c r="AAR524" s="4"/>
      <c r="AAS524" s="4"/>
      <c r="AAT524" s="4"/>
      <c r="AAU524" s="5"/>
      <c r="AAV524" s="6"/>
      <c r="AAW524" s="4"/>
      <c r="AAX524" s="4"/>
      <c r="AAY524" s="4"/>
      <c r="AAZ524" s="4"/>
      <c r="ABA524" s="4"/>
      <c r="ABB524" s="5"/>
      <c r="ABC524" s="6"/>
      <c r="ABD524" s="4"/>
      <c r="ABE524" s="4"/>
      <c r="ABF524" s="4"/>
      <c r="ABG524" s="4"/>
      <c r="ABH524" s="4"/>
      <c r="ABI524" s="5"/>
      <c r="ABJ524" s="6"/>
      <c r="ABK524" s="4"/>
      <c r="ABL524" s="4"/>
      <c r="ABM524" s="4"/>
      <c r="ABN524" s="4"/>
      <c r="ABO524" s="4"/>
      <c r="ABP524" s="5"/>
      <c r="ABQ524" s="6"/>
      <c r="ABR524" s="4"/>
      <c r="ABS524" s="4"/>
      <c r="ABT524" s="4"/>
      <c r="ABU524" s="4"/>
      <c r="ABV524" s="4"/>
      <c r="ABW524" s="5"/>
      <c r="ABX524" s="6"/>
      <c r="ABY524" s="4"/>
      <c r="ABZ524" s="4"/>
      <c r="ACA524" s="4"/>
      <c r="ACB524" s="4"/>
      <c r="ACC524" s="4"/>
      <c r="ACD524" s="5"/>
      <c r="ACE524" s="6"/>
      <c r="ACF524" s="4"/>
      <c r="ACG524" s="4"/>
      <c r="ACH524" s="4"/>
      <c r="ACI524" s="4"/>
      <c r="ACJ524" s="4"/>
      <c r="ACK524" s="5"/>
      <c r="ACL524" s="6"/>
      <c r="ACM524" s="4"/>
      <c r="ACN524" s="4"/>
      <c r="ACO524" s="4"/>
      <c r="ACP524" s="4"/>
      <c r="ACQ524" s="4"/>
      <c r="ACR524" s="5"/>
      <c r="ACS524" s="6"/>
      <c r="ACT524" s="4"/>
      <c r="ACU524" s="4"/>
      <c r="ACV524" s="4"/>
      <c r="ACW524" s="4"/>
      <c r="ACX524" s="4"/>
      <c r="ACY524" s="5"/>
    </row>
    <row r="525" spans="2:802" x14ac:dyDescent="0.25">
      <c r="B525" s="49">
        <v>12116455</v>
      </c>
      <c r="C525" s="57">
        <v>45</v>
      </c>
      <c r="D525" t="s">
        <v>681</v>
      </c>
      <c r="E525" s="38" t="s">
        <v>313</v>
      </c>
      <c r="F525" s="23">
        <v>1</v>
      </c>
      <c r="J525" s="12"/>
      <c r="K525" s="12"/>
      <c r="L525" s="12"/>
      <c r="M525">
        <v>1</v>
      </c>
      <c r="N525" s="55">
        <v>36161</v>
      </c>
      <c r="LL525" s="6"/>
      <c r="LM525" s="4"/>
      <c r="LN525" s="4"/>
      <c r="LO525" s="4"/>
      <c r="LP525" s="4"/>
      <c r="LQ525" s="4"/>
      <c r="LR525" s="5"/>
      <c r="LS525" s="6"/>
      <c r="LT525" s="4"/>
      <c r="LU525" s="4"/>
      <c r="LV525" s="4"/>
      <c r="LW525" s="4"/>
      <c r="LX525" s="4"/>
      <c r="LY525" s="5"/>
      <c r="LZ525" s="6" t="s">
        <v>2983</v>
      </c>
      <c r="MA525" s="4" t="s">
        <v>2983</v>
      </c>
      <c r="MB525" s="4"/>
      <c r="MC525" s="4"/>
      <c r="MD525" s="4"/>
      <c r="ME525" s="4"/>
      <c r="MF525" s="4"/>
      <c r="MG525" s="5"/>
      <c r="MH525" s="6"/>
      <c r="MI525" s="4"/>
      <c r="MJ525" s="4"/>
      <c r="MK525" s="4"/>
      <c r="ML525" s="4"/>
      <c r="MM525" s="4"/>
      <c r="MN525" s="5"/>
      <c r="MO525" s="6"/>
      <c r="MP525" s="4"/>
      <c r="MQ525" s="4"/>
      <c r="MR525" s="4"/>
      <c r="MS525" s="4"/>
      <c r="MT525" s="4"/>
      <c r="MU525" s="5"/>
      <c r="MV525" s="6"/>
      <c r="MW525" s="4"/>
      <c r="MX525" s="4"/>
      <c r="MY525" s="4"/>
      <c r="MZ525" s="4"/>
      <c r="NA525" s="4"/>
      <c r="NB525" s="5"/>
      <c r="NC525" s="6" t="s">
        <v>2777</v>
      </c>
      <c r="ND525" s="4" t="s">
        <v>2777</v>
      </c>
      <c r="NF525" s="4"/>
      <c r="NG525" s="4"/>
      <c r="NH525" s="4"/>
      <c r="NI525" s="5"/>
      <c r="NJ525" s="6"/>
      <c r="NK525" s="4"/>
      <c r="NL525" s="4"/>
      <c r="NM525" s="4"/>
      <c r="NN525" s="4"/>
      <c r="NO525" s="4"/>
      <c r="NP525" s="5"/>
      <c r="NQ525" s="6"/>
      <c r="NS525" s="4"/>
      <c r="NT525" s="4"/>
      <c r="NU525" s="4"/>
      <c r="NV525" s="4"/>
      <c r="NW525" s="5"/>
      <c r="NX525" s="6"/>
      <c r="NY525" s="4"/>
      <c r="NZ525" s="4"/>
      <c r="OA525" s="4"/>
      <c r="OB525" s="4"/>
      <c r="OC525" s="4"/>
      <c r="OD525" s="5"/>
      <c r="OE525" s="6"/>
      <c r="OF525" s="4"/>
      <c r="OG525" s="4"/>
      <c r="OH525" s="4"/>
      <c r="OI525" s="4"/>
      <c r="OJ525" s="4"/>
      <c r="OK525" s="5"/>
      <c r="OL525" s="6"/>
      <c r="OM525" s="4"/>
      <c r="ON525" s="4"/>
      <c r="OO525" s="4"/>
      <c r="OP525" s="4"/>
      <c r="OQ525" s="4"/>
      <c r="OR525" s="5"/>
      <c r="OS525" s="6"/>
      <c r="OT525" s="4"/>
      <c r="OU525" s="4"/>
      <c r="OV525" s="4"/>
      <c r="OW525" s="4"/>
      <c r="OX525" s="4"/>
      <c r="OY525" s="5"/>
      <c r="OZ525" s="6"/>
      <c r="PA525" s="4"/>
      <c r="PB525" s="4"/>
      <c r="PC525" s="4"/>
      <c r="PD525" s="4"/>
      <c r="PE525" s="4"/>
      <c r="PF525" s="5"/>
      <c r="PG525" s="6"/>
      <c r="PH525" s="4"/>
      <c r="PI525" s="4"/>
      <c r="PJ525" s="4"/>
      <c r="PK525" s="4"/>
      <c r="PL525" s="4"/>
      <c r="PM525" s="5"/>
      <c r="PN525" s="6"/>
      <c r="PO525" s="4"/>
      <c r="PP525" s="4"/>
      <c r="PQ525" s="4"/>
      <c r="PR525" s="4"/>
      <c r="PS525" s="4"/>
      <c r="PT525" s="5"/>
      <c r="PU525" s="6"/>
      <c r="PV525" s="4"/>
      <c r="PW525" s="4"/>
      <c r="PX525" s="4"/>
      <c r="PY525" s="4"/>
      <c r="PZ525" s="4"/>
      <c r="QA525" s="5"/>
      <c r="QB525" s="6"/>
      <c r="QC525" s="4"/>
      <c r="QD525" s="4"/>
      <c r="QE525" s="4"/>
      <c r="QF525" s="4"/>
      <c r="QG525" s="4"/>
      <c r="QH525" s="5"/>
      <c r="QI525" s="6"/>
      <c r="QJ525" s="4"/>
      <c r="QK525" s="4"/>
      <c r="QL525" s="4"/>
      <c r="QM525" s="4"/>
      <c r="QN525" s="4"/>
      <c r="QO525" s="5"/>
      <c r="QP525" s="6"/>
      <c r="QQ525" s="4"/>
      <c r="QR525" s="4"/>
      <c r="QS525" s="4"/>
      <c r="QT525" s="4"/>
      <c r="QU525" s="4"/>
      <c r="QV525" s="5"/>
      <c r="QW525" s="6"/>
      <c r="QX525" s="4"/>
      <c r="QY525" s="4"/>
      <c r="QZ525" s="4"/>
      <c r="RA525" s="4"/>
      <c r="RB525" s="4"/>
      <c r="RC525" s="5"/>
      <c r="RD525" s="6"/>
      <c r="RE525" s="4"/>
      <c r="RF525" s="4"/>
      <c r="RG525" s="4"/>
      <c r="RH525" s="4"/>
      <c r="RI525" s="4"/>
      <c r="RJ525" s="5"/>
      <c r="RK525" s="6"/>
      <c r="RL525" s="4"/>
      <c r="RM525" s="4"/>
      <c r="RN525" s="4"/>
      <c r="RO525" s="4"/>
      <c r="RP525" s="4"/>
      <c r="RQ525" s="5"/>
      <c r="RR525" s="6"/>
      <c r="RS525" s="4"/>
      <c r="RT525" s="4"/>
      <c r="RU525" s="4"/>
      <c r="RV525" s="4"/>
      <c r="RW525" s="4"/>
      <c r="RX525" s="5"/>
      <c r="RY525" s="6"/>
      <c r="RZ525" s="4"/>
      <c r="SA525" s="4"/>
      <c r="SB525" s="4"/>
      <c r="SC525" s="4"/>
      <c r="SD525" s="4"/>
      <c r="SE525" s="5"/>
      <c r="SF525" s="6"/>
      <c r="SG525" s="4"/>
      <c r="SH525" s="4"/>
      <c r="SI525" s="4"/>
      <c r="SJ525" s="4"/>
      <c r="SK525" s="4"/>
      <c r="SL525" s="5"/>
      <c r="SM525" s="6"/>
      <c r="SN525" s="4"/>
      <c r="SO525" s="4"/>
      <c r="SP525" s="4"/>
      <c r="SQ525" s="4"/>
      <c r="SR525" s="4"/>
      <c r="SS525" s="5"/>
      <c r="ST525" s="6"/>
      <c r="SU525" s="4"/>
      <c r="SV525" s="4"/>
      <c r="SW525" s="4"/>
      <c r="SX525" s="4"/>
      <c r="SY525" s="4"/>
      <c r="SZ525" s="5"/>
      <c r="TA525" s="6"/>
      <c r="TB525" s="4"/>
      <c r="TC525" s="4"/>
      <c r="TD525" s="4"/>
      <c r="TE525" s="4"/>
      <c r="TF525" s="4"/>
      <c r="TG525" s="5"/>
      <c r="TH525" s="6"/>
      <c r="TI525" s="4"/>
      <c r="TJ525" s="4"/>
      <c r="TK525" s="4"/>
      <c r="TL525" s="4"/>
      <c r="TM525" s="4"/>
      <c r="TN525" s="5"/>
      <c r="TO525" s="6"/>
      <c r="TP525" s="4"/>
      <c r="TQ525" s="4"/>
      <c r="TR525" s="4"/>
      <c r="TS525" s="4"/>
      <c r="TT525" s="4"/>
      <c r="TU525" s="5"/>
      <c r="TV525" s="6"/>
      <c r="TW525" s="4"/>
      <c r="TX525" s="4"/>
      <c r="TY525" s="4"/>
      <c r="TZ525" s="4"/>
      <c r="UA525" s="4"/>
      <c r="UB525" s="5"/>
      <c r="UC525" s="6"/>
      <c r="UD525" s="4"/>
      <c r="UE525" s="4"/>
      <c r="UF525" s="4"/>
      <c r="UG525" s="4"/>
      <c r="UH525" s="4"/>
      <c r="UI525" s="5"/>
      <c r="UJ525" s="6"/>
      <c r="UK525" s="4"/>
      <c r="UL525" s="4"/>
      <c r="UM525" s="4"/>
      <c r="UN525" s="4"/>
      <c r="UO525" s="4"/>
      <c r="UP525" s="5"/>
      <c r="UQ525" s="6"/>
      <c r="UR525" s="4"/>
      <c r="US525" s="4"/>
      <c r="UT525" s="4"/>
      <c r="UU525" s="4"/>
      <c r="UV525" s="4"/>
      <c r="UW525" s="5"/>
      <c r="UX525" s="6"/>
      <c r="UY525" s="4"/>
      <c r="UZ525" s="4"/>
      <c r="VA525" s="4"/>
      <c r="VB525" s="4"/>
      <c r="VC525" s="4"/>
      <c r="VD525" s="5"/>
      <c r="VE525" s="6"/>
      <c r="VF525" s="4"/>
      <c r="VG525" s="4"/>
      <c r="VH525" s="4"/>
      <c r="VI525" s="4"/>
      <c r="VJ525" s="4"/>
      <c r="VK525" s="5"/>
      <c r="VL525" s="6" t="s">
        <v>34</v>
      </c>
      <c r="VM525" s="4" t="s">
        <v>2602</v>
      </c>
      <c r="VN525" s="4"/>
      <c r="VO525" s="4"/>
      <c r="VP525" s="4"/>
      <c r="VQ525" s="4"/>
      <c r="VR525" s="5" t="s">
        <v>314</v>
      </c>
      <c r="VS525" s="6"/>
      <c r="VT525" s="4"/>
      <c r="VU525" s="4"/>
      <c r="VV525" s="4"/>
      <c r="VW525" s="4"/>
      <c r="VX525" s="4"/>
      <c r="VY525" s="5"/>
      <c r="VZ525" s="6"/>
      <c r="WA525" s="4"/>
      <c r="WB525" s="4"/>
      <c r="WC525" s="4"/>
      <c r="WD525" s="4"/>
      <c r="WE525" s="4"/>
      <c r="WF525" s="5"/>
      <c r="WG525" s="6"/>
      <c r="WH525" s="4"/>
      <c r="WI525" s="4"/>
      <c r="WJ525" s="4"/>
      <c r="WK525" s="4"/>
      <c r="WL525" s="4"/>
      <c r="WM525" s="5"/>
      <c r="WN525" s="6"/>
      <c r="WO525" s="4"/>
      <c r="WP525" s="4"/>
      <c r="WQ525" s="4"/>
      <c r="WR525" s="4"/>
      <c r="WS525" s="4"/>
      <c r="WT525" s="5"/>
      <c r="WU525" s="4" t="s">
        <v>818</v>
      </c>
      <c r="WV525" s="4" t="s">
        <v>818</v>
      </c>
      <c r="WW525" s="4"/>
      <c r="WX525" s="4"/>
      <c r="WY525" s="4"/>
      <c r="WZ525" s="5" t="s">
        <v>314</v>
      </c>
      <c r="XA525" s="5"/>
      <c r="XB525" s="6"/>
      <c r="XC525" s="4"/>
      <c r="XD525" s="4"/>
      <c r="XE525" s="4"/>
      <c r="XF525" s="4"/>
      <c r="XG525" s="4"/>
      <c r="XH525" s="5"/>
      <c r="XI525" s="6"/>
      <c r="XJ525" s="4"/>
      <c r="XK525" s="4"/>
      <c r="XL525" s="4"/>
      <c r="XM525" s="4"/>
      <c r="XN525" s="4"/>
      <c r="XO525" s="5"/>
      <c r="XP525" s="6"/>
      <c r="XQ525" s="4"/>
      <c r="XR525" s="4"/>
      <c r="XS525" s="4"/>
      <c r="XT525" s="4"/>
      <c r="XU525" s="4"/>
      <c r="XV525" s="5"/>
      <c r="XW525" s="6"/>
      <c r="XX525" s="4"/>
      <c r="XY525" s="4"/>
      <c r="XZ525" s="4"/>
      <c r="YA525" s="4"/>
      <c r="YB525" s="4"/>
      <c r="YC525" s="5"/>
      <c r="YD525" s="6"/>
      <c r="YE525" s="4"/>
      <c r="YF525" s="4"/>
      <c r="YG525" s="4"/>
      <c r="YH525" s="4"/>
      <c r="YI525" s="4"/>
      <c r="YJ525" s="5"/>
      <c r="YK525" s="6"/>
      <c r="YL525" s="4"/>
      <c r="YM525" s="4"/>
      <c r="YN525" s="4"/>
      <c r="YO525" s="4"/>
      <c r="YP525" s="4"/>
      <c r="YQ525" s="5"/>
      <c r="YR525" s="6"/>
      <c r="YS525" s="4"/>
      <c r="YT525" s="4"/>
      <c r="YU525" s="4"/>
      <c r="YV525" s="4"/>
      <c r="YW525" s="4"/>
      <c r="YX525" s="5"/>
      <c r="YY525" s="6"/>
      <c r="YZ525" s="4"/>
      <c r="ZA525" s="4"/>
      <c r="ZB525" s="4"/>
      <c r="ZC525" s="4"/>
      <c r="ZD525" s="4"/>
      <c r="ZE525" s="5"/>
      <c r="ZF525" s="6"/>
      <c r="ZG525" s="4"/>
      <c r="ZH525" s="4"/>
      <c r="ZI525" s="4"/>
      <c r="ZJ525" s="4"/>
      <c r="ZK525" s="4"/>
      <c r="ZL525" s="5"/>
      <c r="ZM525" s="6"/>
      <c r="ZN525" s="4"/>
      <c r="ZO525" s="4"/>
      <c r="ZP525" s="4"/>
      <c r="ZQ525" s="4"/>
      <c r="ZR525" s="4"/>
      <c r="ZS525" s="5"/>
      <c r="ZT525" s="6"/>
      <c r="ZU525" s="4"/>
      <c r="ZV525" s="4"/>
      <c r="ZW525" s="4"/>
      <c r="ZX525" s="4"/>
      <c r="ZY525" s="4"/>
      <c r="ZZ525" s="5"/>
      <c r="AAA525" s="6"/>
      <c r="AAB525" s="4"/>
      <c r="AAC525" s="4"/>
      <c r="AAD525" s="4"/>
      <c r="AAE525" s="4"/>
      <c r="AAF525" s="4"/>
      <c r="AAG525" s="5"/>
      <c r="AAH525" s="6"/>
      <c r="AAI525" s="4"/>
      <c r="AAJ525" s="4"/>
      <c r="AAK525" s="4"/>
      <c r="AAL525" s="4"/>
      <c r="AAM525" s="4"/>
      <c r="AAN525" s="5"/>
      <c r="AAO525" s="6"/>
      <c r="AAP525" s="4"/>
      <c r="AAQ525" s="4"/>
      <c r="AAR525" s="4"/>
      <c r="AAS525" s="4"/>
      <c r="AAT525" s="4"/>
      <c r="AAU525" s="5"/>
      <c r="AAV525" s="6"/>
      <c r="AAW525" s="4"/>
      <c r="AAX525" s="4"/>
      <c r="AAY525" s="4"/>
      <c r="AAZ525" s="4"/>
      <c r="ABA525" s="4"/>
      <c r="ABB525" s="5"/>
      <c r="ABC525" s="6"/>
      <c r="ABD525" s="4"/>
      <c r="ABE525" s="4"/>
      <c r="ABF525" s="4"/>
      <c r="ABG525" s="4"/>
      <c r="ABH525" s="4"/>
      <c r="ABI525" s="5"/>
      <c r="ABJ525" s="6"/>
      <c r="ABK525" s="4"/>
      <c r="ABL525" s="4"/>
      <c r="ABM525" s="4"/>
      <c r="ABN525" s="4"/>
      <c r="ABO525" s="4"/>
      <c r="ABP525" s="5"/>
      <c r="ABQ525" s="6"/>
      <c r="ABR525" s="4"/>
      <c r="ABS525" s="4"/>
      <c r="ABT525" s="4"/>
      <c r="ABU525" s="4"/>
      <c r="ABV525" s="4"/>
      <c r="ABW525" s="5"/>
      <c r="ABX525" s="6"/>
      <c r="ABY525" s="4"/>
      <c r="ABZ525" s="4"/>
      <c r="ACA525" s="4"/>
      <c r="ACB525" s="4"/>
      <c r="ACC525" s="4"/>
      <c r="ACD525" s="5"/>
      <c r="ACE525" s="6"/>
      <c r="ACF525" s="4"/>
      <c r="ACG525" s="4"/>
      <c r="ACH525" s="4"/>
      <c r="ACI525" s="4"/>
      <c r="ACJ525" s="4"/>
      <c r="ACK525" s="5"/>
      <c r="ACL525" s="6"/>
      <c r="ACM525" s="4"/>
      <c r="ACN525" s="4"/>
      <c r="ACO525" s="4"/>
      <c r="ACP525" s="4"/>
      <c r="ACQ525" s="4"/>
      <c r="ACR525" s="5"/>
      <c r="ACS525" s="6"/>
      <c r="ACT525" s="4"/>
      <c r="ACU525" s="4"/>
      <c r="ACV525" s="4"/>
      <c r="ACW525" s="4"/>
      <c r="ACX525" s="4"/>
      <c r="ACY525" s="5"/>
      <c r="ADV525" t="s">
        <v>312</v>
      </c>
    </row>
    <row r="526" spans="2:802" x14ac:dyDescent="0.25">
      <c r="C526">
        <f>AVERAGE(C4:C525)</f>
        <v>58.101910828025481</v>
      </c>
      <c r="D526" t="s">
        <v>3737</v>
      </c>
      <c r="E526">
        <f>COUNTIF(D4:D525,"f")</f>
        <v>89</v>
      </c>
      <c r="F526" s="26" t="s">
        <v>1362</v>
      </c>
      <c r="G526" s="26">
        <f>COUNTIF(F4:F525,"1")</f>
        <v>46</v>
      </c>
      <c r="H526" s="26"/>
    </row>
    <row r="527" spans="2:802" x14ac:dyDescent="0.25">
      <c r="D527" t="s">
        <v>1124</v>
      </c>
      <c r="E527">
        <f>COUNTIF(D4:D525,"m")</f>
        <v>68</v>
      </c>
      <c r="F527" s="26" t="s">
        <v>1126</v>
      </c>
      <c r="G527" s="26">
        <f>COUNTIF(F4:F525,"0")</f>
        <v>54</v>
      </c>
      <c r="H527" s="26"/>
    </row>
    <row r="528" spans="2:802" x14ac:dyDescent="0.25">
      <c r="D528" t="s">
        <v>1125</v>
      </c>
      <c r="E528">
        <f>COUNTIF(D4:D525,"u")</f>
        <v>5</v>
      </c>
      <c r="F528" s="26" t="s">
        <v>1714</v>
      </c>
      <c r="G528" s="26">
        <f>COUNTIF(F4:F525,"u")</f>
        <v>62</v>
      </c>
      <c r="H528" s="26"/>
    </row>
    <row r="529" spans="3:12" x14ac:dyDescent="0.25">
      <c r="I529" s="21"/>
      <c r="J529" s="21"/>
      <c r="K529" s="21"/>
      <c r="L529" s="21"/>
    </row>
    <row r="530" spans="3:12" x14ac:dyDescent="0.25">
      <c r="C530" s="2"/>
      <c r="D530" s="27" t="s">
        <v>1715</v>
      </c>
      <c r="E530" s="27"/>
    </row>
    <row r="532" spans="3:12" x14ac:dyDescent="0.25">
      <c r="C532" s="52"/>
      <c r="D532" t="s">
        <v>295</v>
      </c>
    </row>
    <row r="533" spans="3:12" x14ac:dyDescent="0.25">
      <c r="C533" s="53"/>
      <c r="D533" t="s">
        <v>296</v>
      </c>
    </row>
    <row r="534" spans="3:12" x14ac:dyDescent="0.25">
      <c r="C534" s="57"/>
      <c r="D534" t="s">
        <v>161</v>
      </c>
    </row>
    <row r="536" spans="3:12" x14ac:dyDescent="0.25">
      <c r="D536" t="s">
        <v>1002</v>
      </c>
    </row>
    <row r="537" spans="3:12" x14ac:dyDescent="0.25">
      <c r="D537" t="s">
        <v>1261</v>
      </c>
    </row>
    <row r="538" spans="3:12" x14ac:dyDescent="0.25">
      <c r="D538" t="s">
        <v>37</v>
      </c>
    </row>
    <row r="539" spans="3:12" x14ac:dyDescent="0.25">
      <c r="D539" t="s">
        <v>38</v>
      </c>
    </row>
    <row r="540" spans="3:12" x14ac:dyDescent="0.25">
      <c r="D540" t="s">
        <v>39</v>
      </c>
    </row>
    <row r="541" spans="3:12" x14ac:dyDescent="0.25">
      <c r="D541" t="s">
        <v>43</v>
      </c>
    </row>
    <row r="542" spans="3:12" x14ac:dyDescent="0.25">
      <c r="D542" t="s">
        <v>42</v>
      </c>
    </row>
    <row r="543" spans="3:12" x14ac:dyDescent="0.25">
      <c r="D543" t="s">
        <v>1262</v>
      </c>
      <c r="E543" t="s">
        <v>41</v>
      </c>
    </row>
    <row r="544" spans="3:12" x14ac:dyDescent="0.25">
      <c r="D544" t="s">
        <v>1263</v>
      </c>
      <c r="E544" t="s">
        <v>40</v>
      </c>
    </row>
    <row r="545" spans="2:5" x14ac:dyDescent="0.25">
      <c r="D545" t="s">
        <v>1264</v>
      </c>
      <c r="E545" t="s">
        <v>1256</v>
      </c>
    </row>
    <row r="546" spans="2:5" x14ac:dyDescent="0.25">
      <c r="D546" t="s">
        <v>4133</v>
      </c>
    </row>
    <row r="547" spans="2:5" x14ac:dyDescent="0.25">
      <c r="D547" t="s">
        <v>44</v>
      </c>
    </row>
    <row r="549" spans="2:5" x14ac:dyDescent="0.25">
      <c r="B549" s="1" t="s">
        <v>4248</v>
      </c>
    </row>
    <row r="556" spans="2:5" x14ac:dyDescent="0.25">
      <c r="B556" s="1" t="s">
        <v>4249</v>
      </c>
    </row>
    <row r="557" spans="2:5" x14ac:dyDescent="0.25">
      <c r="B557" s="1">
        <v>92900215</v>
      </c>
    </row>
  </sheetData>
  <sortState xmlns:xlrd2="http://schemas.microsoft.com/office/spreadsheetml/2017/richdata2" ref="LF771:LG835">
    <sortCondition descending="1" ref="LG771:LG835"/>
  </sortState>
  <mergeCells count="67">
    <mergeCell ref="OZ1:PF1"/>
    <mergeCell ref="PG1:PM1"/>
    <mergeCell ref="OS1:OY1"/>
    <mergeCell ref="NJ1:NP1"/>
    <mergeCell ref="LS1:LY1"/>
    <mergeCell ref="MH1:MN1"/>
    <mergeCell ref="LZ1:MG1"/>
    <mergeCell ref="MO1:MU1"/>
    <mergeCell ref="OL1:OR1"/>
    <mergeCell ref="OE1:OK1"/>
    <mergeCell ref="ACS1:ACY1"/>
    <mergeCell ref="ABQ1:ABW1"/>
    <mergeCell ref="ACL1:ACR1"/>
    <mergeCell ref="UC1:UI1"/>
    <mergeCell ref="YR1:YX1"/>
    <mergeCell ref="AAH1:AAN1"/>
    <mergeCell ref="YK1:YQ1"/>
    <mergeCell ref="VL1:VR1"/>
    <mergeCell ref="WG1:WM1"/>
    <mergeCell ref="XW1:YC1"/>
    <mergeCell ref="ABC1:ABI1"/>
    <mergeCell ref="XI1:XO1"/>
    <mergeCell ref="ACE1:ACK1"/>
    <mergeCell ref="ABX1:ACD1"/>
    <mergeCell ref="AAO1:AAU1"/>
    <mergeCell ref="ZT1:ZZ1"/>
    <mergeCell ref="ZM1:ZS1"/>
    <mergeCell ref="TA1:TG1"/>
    <mergeCell ref="WN1:WT1"/>
    <mergeCell ref="TO1:TU1"/>
    <mergeCell ref="TV1:UB1"/>
    <mergeCell ref="TH1:TN1"/>
    <mergeCell ref="XP1:XV1"/>
    <mergeCell ref="YY1:ZE1"/>
    <mergeCell ref="XB1:XH1"/>
    <mergeCell ref="I2:L2"/>
    <mergeCell ref="M2:P2"/>
    <mergeCell ref="NX1:OD1"/>
    <mergeCell ref="NC1:NI1"/>
    <mergeCell ref="AAV1:ABB1"/>
    <mergeCell ref="WU1:XA1"/>
    <mergeCell ref="YD1:YJ1"/>
    <mergeCell ref="RR1:RX1"/>
    <mergeCell ref="PU1:QA1"/>
    <mergeCell ref="QB1:QH1"/>
    <mergeCell ref="RY1:SE1"/>
    <mergeCell ref="SM1:SS1"/>
    <mergeCell ref="LL1:LR1"/>
    <mergeCell ref="MV1:NB1"/>
    <mergeCell ref="NQ1:NW1"/>
    <mergeCell ref="QI1:QO1"/>
    <mergeCell ref="ABJ1:ABP1"/>
    <mergeCell ref="VZ1:WF1"/>
    <mergeCell ref="QP1:QV1"/>
    <mergeCell ref="PN1:PT1"/>
    <mergeCell ref="RK1:RQ1"/>
    <mergeCell ref="RD1:RJ1"/>
    <mergeCell ref="QW1:RC1"/>
    <mergeCell ref="UX1:VD1"/>
    <mergeCell ref="VS1:VY1"/>
    <mergeCell ref="UQ1:UW1"/>
    <mergeCell ref="VE1:VK1"/>
    <mergeCell ref="SF1:SL1"/>
    <mergeCell ref="AAA1:AAG1"/>
    <mergeCell ref="ZF1:ZL1"/>
    <mergeCell ref="UJ1:UP1"/>
    <mergeCell ref="ST1:SZ1"/>
  </mergeCells>
  <phoneticPr fontId="1" type="noConversion"/>
  <pageMargins left="0.7" right="0.7" top="0.75" bottom="0.75" header="0.3" footer="0.3"/>
  <pageSetup paperSize="9" orientation="portrait" horizontalDpi="4294967293" verticalDpi="4294967293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2"/>
  <sheetViews>
    <sheetView workbookViewId="0">
      <selection activeCell="S38" sqref="S38"/>
    </sheetView>
  </sheetViews>
  <sheetFormatPr baseColWidth="10" defaultColWidth="8.85546875" defaultRowHeight="15" x14ac:dyDescent="0.25"/>
  <cols>
    <col min="2" max="2" width="4.140625" bestFit="1" customWidth="1"/>
    <col min="10" max="10" width="4.140625" bestFit="1" customWidth="1"/>
    <col min="17" max="17" width="10.140625" bestFit="1" customWidth="1"/>
    <col min="35" max="35" width="24.140625" bestFit="1" customWidth="1"/>
    <col min="36" max="36" width="4.140625" bestFit="1" customWidth="1"/>
    <col min="38" max="38" width="24.140625" bestFit="1" customWidth="1"/>
    <col min="39" max="39" width="4.140625" bestFit="1" customWidth="1"/>
  </cols>
  <sheetData>
    <row r="1" spans="1:32" x14ac:dyDescent="0.25">
      <c r="A1" s="25" t="s">
        <v>1453</v>
      </c>
      <c r="B1" s="23"/>
    </row>
    <row r="2" spans="1:32" x14ac:dyDescent="0.25">
      <c r="A2" s="25"/>
      <c r="B2" s="23"/>
    </row>
    <row r="3" spans="1:32" x14ac:dyDescent="0.25">
      <c r="A3" s="24" t="s">
        <v>1489</v>
      </c>
      <c r="B3" s="23"/>
      <c r="I3" s="24" t="s">
        <v>1490</v>
      </c>
      <c r="Q3" t="s">
        <v>1452</v>
      </c>
      <c r="R3" s="22">
        <f>database!C526</f>
        <v>58.101910828025481</v>
      </c>
      <c r="AB3" s="24" t="s">
        <v>1611</v>
      </c>
      <c r="AC3" s="23"/>
    </row>
    <row r="4" spans="1:32" x14ac:dyDescent="0.25">
      <c r="A4" t="s">
        <v>1000</v>
      </c>
      <c r="B4" s="23">
        <f>database!E526</f>
        <v>89</v>
      </c>
      <c r="I4" t="s">
        <v>1778</v>
      </c>
      <c r="J4" s="23">
        <f>database!G526</f>
        <v>46</v>
      </c>
      <c r="AB4" t="s">
        <v>1487</v>
      </c>
      <c r="AE4" t="s">
        <v>1488</v>
      </c>
    </row>
    <row r="5" spans="1:32" x14ac:dyDescent="0.25">
      <c r="A5" t="s">
        <v>1001</v>
      </c>
      <c r="B5" s="23">
        <f>database!E527</f>
        <v>68</v>
      </c>
      <c r="I5" t="s">
        <v>1779</v>
      </c>
      <c r="J5" s="23">
        <f>database!G527</f>
        <v>54</v>
      </c>
      <c r="AB5" t="s">
        <v>1609</v>
      </c>
      <c r="AC5">
        <v>12</v>
      </c>
      <c r="AE5" t="s">
        <v>1612</v>
      </c>
      <c r="AF5">
        <v>664</v>
      </c>
    </row>
    <row r="6" spans="1:32" x14ac:dyDescent="0.25">
      <c r="A6" t="s">
        <v>1777</v>
      </c>
      <c r="B6" s="23">
        <f>database!E528</f>
        <v>5</v>
      </c>
      <c r="I6" t="s">
        <v>1780</v>
      </c>
      <c r="J6" s="23">
        <f>database!G528</f>
        <v>62</v>
      </c>
      <c r="AB6" t="s">
        <v>1610</v>
      </c>
      <c r="AC6">
        <v>28</v>
      </c>
      <c r="AE6" t="s">
        <v>1187</v>
      </c>
      <c r="AF6">
        <v>244</v>
      </c>
    </row>
    <row r="7" spans="1:32" x14ac:dyDescent="0.25">
      <c r="A7" t="s">
        <v>1454</v>
      </c>
      <c r="B7" s="23">
        <f>SUM(B4:B6)</f>
        <v>162</v>
      </c>
      <c r="I7" t="s">
        <v>1454</v>
      </c>
      <c r="J7" s="23">
        <f>SUM(J4:J6)</f>
        <v>162</v>
      </c>
      <c r="AB7" t="s">
        <v>1612</v>
      </c>
      <c r="AC7">
        <v>664</v>
      </c>
      <c r="AE7" t="s">
        <v>1247</v>
      </c>
      <c r="AF7">
        <v>133</v>
      </c>
    </row>
    <row r="8" spans="1:32" x14ac:dyDescent="0.25">
      <c r="B8" s="23"/>
      <c r="AB8" t="s">
        <v>1613</v>
      </c>
      <c r="AC8">
        <v>1</v>
      </c>
      <c r="AE8" t="s">
        <v>1297</v>
      </c>
      <c r="AF8">
        <v>94</v>
      </c>
    </row>
    <row r="9" spans="1:32" x14ac:dyDescent="0.25">
      <c r="AB9" t="s">
        <v>1614</v>
      </c>
      <c r="AC9">
        <v>6</v>
      </c>
      <c r="AE9" t="s">
        <v>1521</v>
      </c>
      <c r="AF9">
        <v>90</v>
      </c>
    </row>
    <row r="10" spans="1:32" x14ac:dyDescent="0.25">
      <c r="AB10" t="s">
        <v>1615</v>
      </c>
      <c r="AC10">
        <v>22</v>
      </c>
      <c r="AE10" t="s">
        <v>1299</v>
      </c>
      <c r="AF10">
        <v>77</v>
      </c>
    </row>
    <row r="11" spans="1:32" x14ac:dyDescent="0.25">
      <c r="AB11" t="s">
        <v>1247</v>
      </c>
      <c r="AC11">
        <v>133</v>
      </c>
      <c r="AE11" t="s">
        <v>1310</v>
      </c>
      <c r="AF11">
        <v>57</v>
      </c>
    </row>
    <row r="12" spans="1:32" x14ac:dyDescent="0.25">
      <c r="AB12" t="s">
        <v>984</v>
      </c>
      <c r="AC12">
        <v>52</v>
      </c>
      <c r="AE12" t="s">
        <v>984</v>
      </c>
      <c r="AF12">
        <v>52</v>
      </c>
    </row>
    <row r="13" spans="1:32" x14ac:dyDescent="0.25">
      <c r="B13" s="23"/>
      <c r="AB13" t="s">
        <v>985</v>
      </c>
      <c r="AC13">
        <v>22</v>
      </c>
      <c r="AE13" t="s">
        <v>1181</v>
      </c>
      <c r="AF13">
        <v>47</v>
      </c>
    </row>
    <row r="14" spans="1:32" x14ac:dyDescent="0.25">
      <c r="A14" s="12">
        <v>103</v>
      </c>
      <c r="B14" s="12" t="s">
        <v>5</v>
      </c>
      <c r="O14" s="12" t="s">
        <v>4201</v>
      </c>
      <c r="P14" s="12">
        <v>420</v>
      </c>
      <c r="AB14" t="s">
        <v>986</v>
      </c>
      <c r="AC14">
        <v>42</v>
      </c>
      <c r="AE14" t="s">
        <v>1384</v>
      </c>
      <c r="AF14">
        <v>45</v>
      </c>
    </row>
    <row r="15" spans="1:32" x14ac:dyDescent="0.25">
      <c r="A15" s="12">
        <v>86</v>
      </c>
      <c r="B15" s="61" t="s">
        <v>6</v>
      </c>
      <c r="O15" s="12" t="s">
        <v>4118</v>
      </c>
      <c r="P15" s="12">
        <v>232</v>
      </c>
      <c r="AB15" t="s">
        <v>987</v>
      </c>
      <c r="AC15">
        <v>4</v>
      </c>
      <c r="AE15" t="s">
        <v>1182</v>
      </c>
      <c r="AF15">
        <v>44</v>
      </c>
    </row>
    <row r="16" spans="1:32" x14ac:dyDescent="0.25">
      <c r="A16" s="12">
        <v>32</v>
      </c>
      <c r="B16" s="12" t="s">
        <v>2394</v>
      </c>
      <c r="O16" s="12" t="s">
        <v>4205</v>
      </c>
      <c r="P16" s="12">
        <v>126</v>
      </c>
      <c r="AB16" t="s">
        <v>1119</v>
      </c>
      <c r="AC16">
        <v>2</v>
      </c>
      <c r="AE16" t="s">
        <v>1121</v>
      </c>
      <c r="AF16">
        <v>43</v>
      </c>
    </row>
    <row r="17" spans="1:32" x14ac:dyDescent="0.25">
      <c r="A17" s="12">
        <v>23</v>
      </c>
      <c r="B17" s="12" t="s">
        <v>4191</v>
      </c>
      <c r="O17" s="12" t="s">
        <v>4234</v>
      </c>
      <c r="P17" s="12">
        <v>83</v>
      </c>
      <c r="AB17" t="s">
        <v>1120</v>
      </c>
      <c r="AC17">
        <v>13</v>
      </c>
      <c r="AE17" t="s">
        <v>986</v>
      </c>
      <c r="AF17">
        <v>42</v>
      </c>
    </row>
    <row r="18" spans="1:32" x14ac:dyDescent="0.25">
      <c r="A18" s="12">
        <v>18</v>
      </c>
      <c r="B18" s="12" t="s">
        <v>4189</v>
      </c>
      <c r="O18" s="12" t="s">
        <v>4216</v>
      </c>
      <c r="P18" s="12">
        <v>72</v>
      </c>
      <c r="AB18" t="s">
        <v>1121</v>
      </c>
      <c r="AC18">
        <v>43</v>
      </c>
      <c r="AE18" t="s">
        <v>1298</v>
      </c>
      <c r="AF18">
        <v>33</v>
      </c>
    </row>
    <row r="19" spans="1:32" x14ac:dyDescent="0.25">
      <c r="A19" s="12">
        <v>15</v>
      </c>
      <c r="B19" s="12" t="s">
        <v>2124</v>
      </c>
      <c r="O19" s="12" t="s">
        <v>4236</v>
      </c>
      <c r="P19" s="12">
        <v>65</v>
      </c>
      <c r="AB19" t="s">
        <v>1122</v>
      </c>
      <c r="AC19">
        <v>1</v>
      </c>
      <c r="AE19" t="s">
        <v>1315</v>
      </c>
      <c r="AF19">
        <v>32</v>
      </c>
    </row>
    <row r="20" spans="1:32" x14ac:dyDescent="0.25">
      <c r="A20" s="12">
        <v>14</v>
      </c>
      <c r="B20" s="12" t="s">
        <v>2631</v>
      </c>
      <c r="O20" s="12" t="s">
        <v>4172</v>
      </c>
      <c r="P20" s="12">
        <v>57</v>
      </c>
      <c r="AB20" t="s">
        <v>1123</v>
      </c>
      <c r="AC20">
        <v>6</v>
      </c>
      <c r="AE20" t="s">
        <v>1610</v>
      </c>
      <c r="AF20">
        <v>28</v>
      </c>
    </row>
    <row r="21" spans="1:32" x14ac:dyDescent="0.25">
      <c r="A21" s="12">
        <v>13</v>
      </c>
      <c r="B21" s="12" t="s">
        <v>2059</v>
      </c>
      <c r="O21" s="12" t="s">
        <v>4206</v>
      </c>
      <c r="P21" s="12">
        <v>44</v>
      </c>
      <c r="AB21" t="s">
        <v>1384</v>
      </c>
      <c r="AC21">
        <v>45</v>
      </c>
      <c r="AE21" t="s">
        <v>1191</v>
      </c>
      <c r="AF21">
        <v>25</v>
      </c>
    </row>
    <row r="22" spans="1:32" x14ac:dyDescent="0.25">
      <c r="A22" s="12">
        <v>13</v>
      </c>
      <c r="B22" s="12" t="s">
        <v>2055</v>
      </c>
      <c r="O22" s="12" t="s">
        <v>4212</v>
      </c>
      <c r="P22" s="12">
        <v>43</v>
      </c>
      <c r="AB22" t="s">
        <v>1521</v>
      </c>
      <c r="AC22">
        <v>90</v>
      </c>
      <c r="AE22" t="s">
        <v>1050</v>
      </c>
      <c r="AF22">
        <v>24</v>
      </c>
    </row>
    <row r="23" spans="1:32" x14ac:dyDescent="0.25">
      <c r="A23" s="12">
        <v>12</v>
      </c>
      <c r="B23" s="12" t="s">
        <v>4190</v>
      </c>
      <c r="O23" s="12" t="s">
        <v>4176</v>
      </c>
      <c r="P23" s="12">
        <v>41</v>
      </c>
      <c r="AB23" t="s">
        <v>1522</v>
      </c>
      <c r="AC23">
        <v>5</v>
      </c>
      <c r="AE23" t="s">
        <v>1615</v>
      </c>
      <c r="AF23">
        <v>22</v>
      </c>
    </row>
    <row r="24" spans="1:32" x14ac:dyDescent="0.25">
      <c r="A24" s="12">
        <v>12</v>
      </c>
      <c r="B24" s="12" t="s">
        <v>2029</v>
      </c>
      <c r="O24" s="12" t="s">
        <v>4215</v>
      </c>
      <c r="P24" s="12">
        <v>40</v>
      </c>
      <c r="AB24" t="s">
        <v>1523</v>
      </c>
      <c r="AC24">
        <v>2</v>
      </c>
      <c r="AE24" t="s">
        <v>985</v>
      </c>
      <c r="AF24">
        <v>22</v>
      </c>
    </row>
    <row r="25" spans="1:32" x14ac:dyDescent="0.25">
      <c r="A25" s="12">
        <v>9</v>
      </c>
      <c r="B25" s="12" t="s">
        <v>2405</v>
      </c>
      <c r="O25" s="12" t="s">
        <v>4177</v>
      </c>
      <c r="P25" s="12">
        <v>40</v>
      </c>
      <c r="AB25" t="s">
        <v>1681</v>
      </c>
      <c r="AC25">
        <v>9</v>
      </c>
      <c r="AE25" t="s">
        <v>1423</v>
      </c>
      <c r="AF25">
        <v>16</v>
      </c>
    </row>
    <row r="26" spans="1:32" x14ac:dyDescent="0.25">
      <c r="A26" s="12">
        <v>9</v>
      </c>
      <c r="B26" s="12" t="s">
        <v>2054</v>
      </c>
      <c r="O26" s="12" t="s">
        <v>4235</v>
      </c>
      <c r="P26" s="12">
        <v>33</v>
      </c>
      <c r="AB26" t="s">
        <v>1682</v>
      </c>
      <c r="AC26">
        <v>4</v>
      </c>
      <c r="AE26" t="s">
        <v>1178</v>
      </c>
      <c r="AF26">
        <v>16</v>
      </c>
    </row>
    <row r="27" spans="1:32" x14ac:dyDescent="0.25">
      <c r="A27" s="12">
        <v>9</v>
      </c>
      <c r="B27" s="12" t="s">
        <v>2195</v>
      </c>
      <c r="O27" s="12" t="s">
        <v>4208</v>
      </c>
      <c r="P27" s="12">
        <v>32</v>
      </c>
      <c r="AB27" t="s">
        <v>1692</v>
      </c>
      <c r="AC27">
        <v>8</v>
      </c>
      <c r="AE27" t="s">
        <v>1180</v>
      </c>
      <c r="AF27">
        <v>15</v>
      </c>
    </row>
    <row r="28" spans="1:32" x14ac:dyDescent="0.25">
      <c r="A28" s="12">
        <v>7</v>
      </c>
      <c r="B28" s="12" t="s">
        <v>2312</v>
      </c>
      <c r="O28" s="12" t="s">
        <v>4180</v>
      </c>
      <c r="P28" s="12">
        <v>32</v>
      </c>
      <c r="AB28" t="s">
        <v>1127</v>
      </c>
      <c r="AC28">
        <v>3</v>
      </c>
      <c r="AE28" t="s">
        <v>1049</v>
      </c>
      <c r="AF28">
        <v>14</v>
      </c>
    </row>
    <row r="29" spans="1:32" x14ac:dyDescent="0.25">
      <c r="A29" s="12">
        <v>7</v>
      </c>
      <c r="B29" s="12" t="s">
        <v>1823</v>
      </c>
      <c r="O29" s="12" t="s">
        <v>4200</v>
      </c>
      <c r="P29" s="12">
        <v>24</v>
      </c>
      <c r="AB29" t="s">
        <v>1693</v>
      </c>
      <c r="AC29">
        <v>2</v>
      </c>
      <c r="AE29" t="s">
        <v>1120</v>
      </c>
      <c r="AF29">
        <v>13</v>
      </c>
    </row>
    <row r="30" spans="1:32" x14ac:dyDescent="0.25">
      <c r="A30" s="12">
        <v>7</v>
      </c>
      <c r="B30" s="12" t="s">
        <v>2158</v>
      </c>
      <c r="O30" s="12" t="s">
        <v>4122</v>
      </c>
      <c r="P30" s="12">
        <v>23</v>
      </c>
      <c r="AB30" t="s">
        <v>1359</v>
      </c>
      <c r="AC30">
        <v>1</v>
      </c>
      <c r="AE30" t="s">
        <v>1609</v>
      </c>
      <c r="AF30">
        <v>12</v>
      </c>
    </row>
    <row r="31" spans="1:32" x14ac:dyDescent="0.25">
      <c r="A31" s="12">
        <v>6</v>
      </c>
      <c r="B31" s="12" t="s">
        <v>2342</v>
      </c>
      <c r="O31" s="12" t="s">
        <v>4115</v>
      </c>
      <c r="P31" s="12">
        <v>21</v>
      </c>
      <c r="AB31" t="s">
        <v>1360</v>
      </c>
      <c r="AC31">
        <v>1</v>
      </c>
      <c r="AE31" t="s">
        <v>1361</v>
      </c>
      <c r="AF31">
        <v>11</v>
      </c>
    </row>
    <row r="32" spans="1:32" x14ac:dyDescent="0.25">
      <c r="A32" s="12">
        <v>5</v>
      </c>
      <c r="B32" s="12" t="s">
        <v>2313</v>
      </c>
      <c r="O32" s="12" t="s">
        <v>4204</v>
      </c>
      <c r="P32" s="12">
        <v>19</v>
      </c>
      <c r="AB32" t="s">
        <v>1361</v>
      </c>
      <c r="AC32">
        <v>11</v>
      </c>
      <c r="AE32" t="s">
        <v>1681</v>
      </c>
      <c r="AF32">
        <v>9</v>
      </c>
    </row>
    <row r="33" spans="1:32" x14ac:dyDescent="0.25">
      <c r="A33" s="12">
        <v>5</v>
      </c>
      <c r="B33" s="12" t="s">
        <v>2120</v>
      </c>
      <c r="O33" s="12" t="s">
        <v>4207</v>
      </c>
      <c r="P33" s="12">
        <v>18</v>
      </c>
      <c r="AB33" t="s">
        <v>1556</v>
      </c>
      <c r="AC33">
        <v>1</v>
      </c>
      <c r="AE33" t="s">
        <v>1179</v>
      </c>
      <c r="AF33">
        <v>9</v>
      </c>
    </row>
    <row r="34" spans="1:32" x14ac:dyDescent="0.25">
      <c r="A34" s="12">
        <v>5</v>
      </c>
      <c r="B34" s="12" t="s">
        <v>2266</v>
      </c>
      <c r="O34" s="12" t="s">
        <v>4175</v>
      </c>
      <c r="P34" s="12">
        <v>17</v>
      </c>
      <c r="AB34" t="s">
        <v>1557</v>
      </c>
      <c r="AC34">
        <v>6</v>
      </c>
      <c r="AE34" t="s">
        <v>1047</v>
      </c>
      <c r="AF34">
        <v>9</v>
      </c>
    </row>
    <row r="35" spans="1:32" x14ac:dyDescent="0.25">
      <c r="A35" s="12">
        <v>5</v>
      </c>
      <c r="B35" s="12" t="s">
        <v>2475</v>
      </c>
      <c r="O35" s="12" t="s">
        <v>4238</v>
      </c>
      <c r="P35" s="12">
        <v>15</v>
      </c>
      <c r="AB35" t="s">
        <v>1558</v>
      </c>
      <c r="AC35">
        <v>4</v>
      </c>
      <c r="AE35" t="s">
        <v>1188</v>
      </c>
      <c r="AF35">
        <v>9</v>
      </c>
    </row>
    <row r="36" spans="1:32" x14ac:dyDescent="0.25">
      <c r="A36" s="12">
        <v>5</v>
      </c>
      <c r="B36" s="12" t="s">
        <v>2343</v>
      </c>
      <c r="O36" s="12" t="s">
        <v>4231</v>
      </c>
      <c r="P36" s="12">
        <v>14</v>
      </c>
      <c r="AB36" t="s">
        <v>1422</v>
      </c>
      <c r="AC36">
        <v>6</v>
      </c>
      <c r="AE36" t="s">
        <v>1692</v>
      </c>
      <c r="AF36">
        <v>8</v>
      </c>
    </row>
    <row r="37" spans="1:32" x14ac:dyDescent="0.25">
      <c r="A37" s="12">
        <v>5</v>
      </c>
      <c r="B37" s="12" t="s">
        <v>2056</v>
      </c>
      <c r="O37" s="12" t="s">
        <v>4199</v>
      </c>
      <c r="P37" s="12">
        <v>12</v>
      </c>
      <c r="AB37" t="s">
        <v>1423</v>
      </c>
      <c r="AC37">
        <v>16</v>
      </c>
      <c r="AE37" t="s">
        <v>1296</v>
      </c>
      <c r="AF37">
        <v>7</v>
      </c>
    </row>
    <row r="38" spans="1:32" x14ac:dyDescent="0.25">
      <c r="A38" s="12">
        <v>5</v>
      </c>
      <c r="B38" s="12" t="s">
        <v>2401</v>
      </c>
      <c r="O38" s="12" t="s">
        <v>4211</v>
      </c>
      <c r="P38" s="12">
        <v>10</v>
      </c>
      <c r="AB38" t="s">
        <v>1424</v>
      </c>
      <c r="AC38">
        <v>5</v>
      </c>
      <c r="AE38" t="s">
        <v>1312</v>
      </c>
      <c r="AF38">
        <v>7</v>
      </c>
    </row>
    <row r="39" spans="1:32" x14ac:dyDescent="0.25">
      <c r="A39" s="12">
        <v>5</v>
      </c>
      <c r="B39" s="12" t="s">
        <v>2765</v>
      </c>
      <c r="O39" s="12" t="s">
        <v>4219</v>
      </c>
      <c r="P39" s="12">
        <v>10</v>
      </c>
      <c r="AB39" t="s">
        <v>1296</v>
      </c>
      <c r="AC39">
        <v>7</v>
      </c>
      <c r="AE39" t="s">
        <v>1614</v>
      </c>
      <c r="AF39">
        <v>6</v>
      </c>
    </row>
    <row r="40" spans="1:32" x14ac:dyDescent="0.25">
      <c r="A40" s="12">
        <v>4</v>
      </c>
      <c r="B40" s="12" t="s">
        <v>2341</v>
      </c>
      <c r="O40" s="12" t="s">
        <v>4226</v>
      </c>
      <c r="P40" s="12">
        <v>9</v>
      </c>
      <c r="AB40" t="s">
        <v>1297</v>
      </c>
      <c r="AC40">
        <v>94</v>
      </c>
      <c r="AE40" t="s">
        <v>1123</v>
      </c>
      <c r="AF40">
        <v>6</v>
      </c>
    </row>
    <row r="41" spans="1:32" x14ac:dyDescent="0.25">
      <c r="A41" s="12">
        <v>4</v>
      </c>
      <c r="B41" s="12" t="s">
        <v>2223</v>
      </c>
      <c r="O41" s="12" t="s">
        <v>4221</v>
      </c>
      <c r="P41" s="12">
        <v>8</v>
      </c>
      <c r="AB41" t="s">
        <v>1298</v>
      </c>
      <c r="AC41">
        <v>33</v>
      </c>
      <c r="AE41" t="s">
        <v>1557</v>
      </c>
      <c r="AF41">
        <v>6</v>
      </c>
    </row>
    <row r="42" spans="1:32" x14ac:dyDescent="0.25">
      <c r="A42" s="12">
        <v>4</v>
      </c>
      <c r="B42" s="12" t="s">
        <v>2185</v>
      </c>
      <c r="O42" s="12" t="s">
        <v>4230</v>
      </c>
      <c r="P42" s="12">
        <v>8</v>
      </c>
      <c r="AB42" t="s">
        <v>1299</v>
      </c>
      <c r="AC42">
        <v>77</v>
      </c>
      <c r="AE42" t="s">
        <v>1422</v>
      </c>
      <c r="AF42">
        <v>6</v>
      </c>
    </row>
    <row r="43" spans="1:32" x14ac:dyDescent="0.25">
      <c r="A43" s="12">
        <v>4</v>
      </c>
      <c r="B43" s="12" t="s">
        <v>2193</v>
      </c>
      <c r="O43" s="12" t="s">
        <v>4239</v>
      </c>
      <c r="P43" s="12">
        <v>8</v>
      </c>
      <c r="AB43" t="s">
        <v>1300</v>
      </c>
      <c r="AC43">
        <v>2</v>
      </c>
      <c r="AE43" t="s">
        <v>1522</v>
      </c>
      <c r="AF43">
        <v>5</v>
      </c>
    </row>
    <row r="44" spans="1:32" x14ac:dyDescent="0.25">
      <c r="A44" s="12">
        <v>4</v>
      </c>
      <c r="B44" s="12" t="s">
        <v>4194</v>
      </c>
      <c r="O44" s="12" t="s">
        <v>4114</v>
      </c>
      <c r="P44" s="12">
        <v>8</v>
      </c>
      <c r="AB44" t="s">
        <v>1178</v>
      </c>
      <c r="AC44">
        <v>16</v>
      </c>
      <c r="AE44" t="s">
        <v>1424</v>
      </c>
      <c r="AF44">
        <v>5</v>
      </c>
    </row>
    <row r="45" spans="1:32" x14ac:dyDescent="0.25">
      <c r="A45" s="12">
        <v>3</v>
      </c>
      <c r="B45" s="12" t="s">
        <v>2109</v>
      </c>
      <c r="O45" s="12" t="s">
        <v>4119</v>
      </c>
      <c r="P45" s="12">
        <v>8</v>
      </c>
      <c r="AB45" t="s">
        <v>1179</v>
      </c>
      <c r="AC45">
        <v>9</v>
      </c>
      <c r="AE45" t="s">
        <v>1189</v>
      </c>
      <c r="AF45">
        <v>5</v>
      </c>
    </row>
    <row r="46" spans="1:32" x14ac:dyDescent="0.25">
      <c r="A46" s="12">
        <v>3</v>
      </c>
      <c r="B46" s="12" t="s">
        <v>2107</v>
      </c>
      <c r="O46" s="12" t="s">
        <v>4112</v>
      </c>
      <c r="P46" s="12">
        <v>7</v>
      </c>
      <c r="AB46" t="s">
        <v>1046</v>
      </c>
      <c r="AC46">
        <v>1</v>
      </c>
      <c r="AE46" t="s">
        <v>1192</v>
      </c>
      <c r="AF46">
        <v>5</v>
      </c>
    </row>
    <row r="47" spans="1:32" x14ac:dyDescent="0.25">
      <c r="A47" s="12">
        <v>3</v>
      </c>
      <c r="B47" s="12" t="s">
        <v>2544</v>
      </c>
      <c r="O47" s="12" t="s">
        <v>4229</v>
      </c>
      <c r="P47" s="12">
        <v>6</v>
      </c>
      <c r="AB47" t="s">
        <v>1047</v>
      </c>
      <c r="AC47">
        <v>9</v>
      </c>
      <c r="AE47" t="s">
        <v>987</v>
      </c>
      <c r="AF47">
        <v>4</v>
      </c>
    </row>
    <row r="48" spans="1:32" x14ac:dyDescent="0.25">
      <c r="A48" s="12">
        <v>3</v>
      </c>
      <c r="B48" s="12" t="s">
        <v>2101</v>
      </c>
      <c r="O48" s="12" t="s">
        <v>4203</v>
      </c>
      <c r="P48" s="12">
        <v>5</v>
      </c>
      <c r="AB48" t="s">
        <v>1048</v>
      </c>
      <c r="AC48">
        <v>1</v>
      </c>
      <c r="AE48" t="s">
        <v>1682</v>
      </c>
      <c r="AF48">
        <v>4</v>
      </c>
    </row>
    <row r="49" spans="1:32" x14ac:dyDescent="0.25">
      <c r="A49" s="12">
        <v>3</v>
      </c>
      <c r="B49" s="12" t="s">
        <v>1879</v>
      </c>
      <c r="O49" s="12" t="s">
        <v>4209</v>
      </c>
      <c r="P49" s="12">
        <v>5</v>
      </c>
      <c r="AB49" t="s">
        <v>1049</v>
      </c>
      <c r="AC49">
        <v>14</v>
      </c>
      <c r="AE49" t="s">
        <v>1558</v>
      </c>
      <c r="AF49">
        <v>4</v>
      </c>
    </row>
    <row r="50" spans="1:32" x14ac:dyDescent="0.25">
      <c r="A50" s="12">
        <v>3</v>
      </c>
      <c r="B50" s="12" t="s">
        <v>2192</v>
      </c>
      <c r="O50" s="12" t="s">
        <v>4217</v>
      </c>
      <c r="P50" s="12">
        <v>5</v>
      </c>
      <c r="AB50" t="s">
        <v>1050</v>
      </c>
      <c r="AC50">
        <v>24</v>
      </c>
      <c r="AE50" t="s">
        <v>1127</v>
      </c>
      <c r="AF50">
        <v>3</v>
      </c>
    </row>
    <row r="51" spans="1:32" x14ac:dyDescent="0.25">
      <c r="A51" s="12">
        <v>3</v>
      </c>
      <c r="B51" s="12" t="s">
        <v>2554</v>
      </c>
      <c r="O51" s="12" t="s">
        <v>4232</v>
      </c>
      <c r="P51" s="12">
        <v>5</v>
      </c>
      <c r="AB51" t="s">
        <v>1051</v>
      </c>
      <c r="AC51">
        <v>3</v>
      </c>
      <c r="AE51" t="s">
        <v>1051</v>
      </c>
      <c r="AF51">
        <v>3</v>
      </c>
    </row>
    <row r="52" spans="1:32" x14ac:dyDescent="0.25">
      <c r="A52" s="12">
        <v>3</v>
      </c>
      <c r="B52" s="12" t="s">
        <v>2104</v>
      </c>
      <c r="O52" s="12" t="s">
        <v>4233</v>
      </c>
      <c r="P52" s="12">
        <v>5</v>
      </c>
      <c r="AB52" t="s">
        <v>1186</v>
      </c>
      <c r="AC52">
        <v>1</v>
      </c>
      <c r="AE52" t="s">
        <v>1119</v>
      </c>
      <c r="AF52">
        <v>2</v>
      </c>
    </row>
    <row r="53" spans="1:32" x14ac:dyDescent="0.25">
      <c r="A53" s="12">
        <v>3</v>
      </c>
      <c r="B53" s="12" t="s">
        <v>2750</v>
      </c>
      <c r="O53" s="12" t="s">
        <v>4120</v>
      </c>
      <c r="P53" s="12">
        <v>5</v>
      </c>
      <c r="AB53" t="s">
        <v>1187</v>
      </c>
      <c r="AC53">
        <v>244</v>
      </c>
      <c r="AE53" t="s">
        <v>1523</v>
      </c>
      <c r="AF53">
        <v>2</v>
      </c>
    </row>
    <row r="54" spans="1:32" x14ac:dyDescent="0.25">
      <c r="A54" s="12">
        <v>3</v>
      </c>
      <c r="B54" s="12" t="s">
        <v>1875</v>
      </c>
      <c r="O54" s="12" t="s">
        <v>4170</v>
      </c>
      <c r="P54" s="12">
        <v>5</v>
      </c>
      <c r="AB54" t="s">
        <v>1188</v>
      </c>
      <c r="AC54">
        <v>9</v>
      </c>
      <c r="AE54" t="s">
        <v>1693</v>
      </c>
      <c r="AF54">
        <v>2</v>
      </c>
    </row>
    <row r="55" spans="1:32" x14ac:dyDescent="0.25">
      <c r="A55" s="12">
        <v>3</v>
      </c>
      <c r="B55" s="12" t="s">
        <v>2039</v>
      </c>
      <c r="O55" s="12" t="s">
        <v>4174</v>
      </c>
      <c r="P55" s="12">
        <v>5</v>
      </c>
      <c r="AB55" t="s">
        <v>1189</v>
      </c>
      <c r="AC55">
        <v>5</v>
      </c>
      <c r="AE55" t="s">
        <v>1300</v>
      </c>
      <c r="AF55">
        <v>2</v>
      </c>
    </row>
    <row r="56" spans="1:32" x14ac:dyDescent="0.25">
      <c r="A56" s="12">
        <v>2</v>
      </c>
      <c r="B56" s="12" t="s">
        <v>2614</v>
      </c>
      <c r="O56" s="12" t="s">
        <v>4228</v>
      </c>
      <c r="P56" s="12">
        <v>4</v>
      </c>
      <c r="AB56" t="s">
        <v>1190</v>
      </c>
      <c r="AC56">
        <v>2</v>
      </c>
      <c r="AE56" t="s">
        <v>1190</v>
      </c>
      <c r="AF56">
        <v>2</v>
      </c>
    </row>
    <row r="57" spans="1:32" x14ac:dyDescent="0.25">
      <c r="A57" s="12">
        <v>2</v>
      </c>
      <c r="B57" s="12" t="s">
        <v>2545</v>
      </c>
      <c r="O57" s="12" t="s">
        <v>4220</v>
      </c>
      <c r="P57" s="12">
        <v>3</v>
      </c>
      <c r="AB57" t="s">
        <v>1191</v>
      </c>
      <c r="AC57">
        <v>25</v>
      </c>
      <c r="AE57" t="s">
        <v>1486</v>
      </c>
      <c r="AF57">
        <v>2</v>
      </c>
    </row>
    <row r="58" spans="1:32" x14ac:dyDescent="0.25">
      <c r="A58" s="12">
        <v>2</v>
      </c>
      <c r="B58" s="12" t="s">
        <v>4192</v>
      </c>
      <c r="O58" s="12" t="s">
        <v>4116</v>
      </c>
      <c r="P58" s="12">
        <v>3</v>
      </c>
      <c r="AB58" t="s">
        <v>1192</v>
      </c>
      <c r="AC58">
        <v>5</v>
      </c>
      <c r="AE58" t="s">
        <v>1613</v>
      </c>
      <c r="AF58">
        <v>1</v>
      </c>
    </row>
    <row r="59" spans="1:32" x14ac:dyDescent="0.25">
      <c r="A59" s="12">
        <v>2</v>
      </c>
      <c r="B59" s="12" t="s">
        <v>2191</v>
      </c>
      <c r="O59" s="12" t="s">
        <v>4222</v>
      </c>
      <c r="P59" s="12">
        <v>2</v>
      </c>
      <c r="AB59" t="s">
        <v>1309</v>
      </c>
      <c r="AC59">
        <v>1</v>
      </c>
      <c r="AE59" t="s">
        <v>1122</v>
      </c>
      <c r="AF59">
        <v>1</v>
      </c>
    </row>
    <row r="60" spans="1:32" x14ac:dyDescent="0.25">
      <c r="A60" s="12">
        <v>2</v>
      </c>
      <c r="B60" s="12" t="s">
        <v>7</v>
      </c>
      <c r="O60" s="12" t="s">
        <v>4223</v>
      </c>
      <c r="P60" s="12">
        <v>2</v>
      </c>
      <c r="AB60" t="s">
        <v>1310</v>
      </c>
      <c r="AC60">
        <v>57</v>
      </c>
      <c r="AE60" t="s">
        <v>1359</v>
      </c>
      <c r="AF60">
        <v>1</v>
      </c>
    </row>
    <row r="61" spans="1:32" x14ac:dyDescent="0.25">
      <c r="A61" s="12">
        <v>2</v>
      </c>
      <c r="B61" s="12" t="s">
        <v>2310</v>
      </c>
      <c r="O61" s="12" t="s">
        <v>4227</v>
      </c>
      <c r="P61" s="12">
        <v>2</v>
      </c>
      <c r="AB61" t="s">
        <v>1311</v>
      </c>
      <c r="AC61">
        <v>1</v>
      </c>
      <c r="AE61" t="s">
        <v>1360</v>
      </c>
      <c r="AF61">
        <v>1</v>
      </c>
    </row>
    <row r="62" spans="1:32" x14ac:dyDescent="0.25">
      <c r="A62" s="12">
        <v>2</v>
      </c>
      <c r="B62" s="12" t="s">
        <v>2122</v>
      </c>
      <c r="O62" s="12" t="s">
        <v>4237</v>
      </c>
      <c r="P62" s="12">
        <v>2</v>
      </c>
      <c r="AB62" t="s">
        <v>1312</v>
      </c>
      <c r="AC62">
        <v>7</v>
      </c>
      <c r="AE62" t="s">
        <v>1556</v>
      </c>
      <c r="AF62">
        <v>1</v>
      </c>
    </row>
    <row r="63" spans="1:32" x14ac:dyDescent="0.25">
      <c r="A63" s="12">
        <v>2</v>
      </c>
      <c r="B63" s="12" t="s">
        <v>4193</v>
      </c>
      <c r="O63" s="12" t="s">
        <v>4121</v>
      </c>
      <c r="P63" s="12">
        <v>2</v>
      </c>
      <c r="AB63" t="s">
        <v>1180</v>
      </c>
      <c r="AC63">
        <v>15</v>
      </c>
      <c r="AE63" t="s">
        <v>1046</v>
      </c>
      <c r="AF63">
        <v>1</v>
      </c>
    </row>
    <row r="64" spans="1:32" x14ac:dyDescent="0.25">
      <c r="A64" s="12">
        <v>2</v>
      </c>
      <c r="B64" s="12" t="s">
        <v>2480</v>
      </c>
      <c r="O64" s="12" t="s">
        <v>4181</v>
      </c>
      <c r="P64" s="12">
        <v>2</v>
      </c>
      <c r="AB64" t="s">
        <v>1181</v>
      </c>
      <c r="AC64">
        <v>47</v>
      </c>
      <c r="AE64" t="s">
        <v>1048</v>
      </c>
      <c r="AF64">
        <v>1</v>
      </c>
    </row>
    <row r="65" spans="1:36" x14ac:dyDescent="0.25">
      <c r="A65" s="12">
        <v>2</v>
      </c>
      <c r="B65" s="12" t="s">
        <v>2183</v>
      </c>
      <c r="O65" s="12" t="s">
        <v>4202</v>
      </c>
      <c r="P65" s="12">
        <v>1</v>
      </c>
      <c r="AB65" t="s">
        <v>1182</v>
      </c>
      <c r="AC65">
        <v>44</v>
      </c>
      <c r="AE65" t="s">
        <v>1186</v>
      </c>
      <c r="AF65">
        <v>1</v>
      </c>
    </row>
    <row r="66" spans="1:36" x14ac:dyDescent="0.25">
      <c r="A66" s="12">
        <v>2</v>
      </c>
      <c r="B66" s="12" t="s">
        <v>2315</v>
      </c>
      <c r="O66" s="12" t="s">
        <v>4210</v>
      </c>
      <c r="P66" s="12">
        <v>1</v>
      </c>
      <c r="AB66" t="s">
        <v>1183</v>
      </c>
      <c r="AC66">
        <v>1</v>
      </c>
      <c r="AE66" t="s">
        <v>1309</v>
      </c>
      <c r="AF66">
        <v>1</v>
      </c>
    </row>
    <row r="67" spans="1:36" x14ac:dyDescent="0.25">
      <c r="A67" s="12">
        <v>2</v>
      </c>
      <c r="B67" s="12" t="s">
        <v>2067</v>
      </c>
      <c r="O67" s="12" t="s">
        <v>4213</v>
      </c>
      <c r="P67" s="12">
        <v>1</v>
      </c>
      <c r="AB67" t="s">
        <v>1184</v>
      </c>
      <c r="AC67">
        <v>1</v>
      </c>
      <c r="AE67" t="s">
        <v>1311</v>
      </c>
      <c r="AF67">
        <v>1</v>
      </c>
    </row>
    <row r="68" spans="1:36" x14ac:dyDescent="0.25">
      <c r="A68" s="12">
        <v>2</v>
      </c>
      <c r="B68" s="12" t="s">
        <v>2226</v>
      </c>
      <c r="O68" s="12" t="s">
        <v>4214</v>
      </c>
      <c r="P68" s="12">
        <v>1</v>
      </c>
      <c r="AB68" t="s">
        <v>1315</v>
      </c>
      <c r="AC68">
        <v>32</v>
      </c>
      <c r="AE68" t="s">
        <v>1183</v>
      </c>
      <c r="AF68">
        <v>1</v>
      </c>
    </row>
    <row r="69" spans="1:36" x14ac:dyDescent="0.25">
      <c r="A69" s="12">
        <v>2</v>
      </c>
      <c r="B69" s="12" t="s">
        <v>2038</v>
      </c>
      <c r="O69" s="12" t="s">
        <v>4218</v>
      </c>
      <c r="P69" s="12">
        <v>1</v>
      </c>
      <c r="AB69" t="s">
        <v>1486</v>
      </c>
      <c r="AC69">
        <v>2</v>
      </c>
      <c r="AE69" t="s">
        <v>1184</v>
      </c>
      <c r="AF69">
        <v>1</v>
      </c>
    </row>
    <row r="70" spans="1:36" x14ac:dyDescent="0.25">
      <c r="A70" s="12">
        <v>2</v>
      </c>
      <c r="B70" s="12" t="s">
        <v>2413</v>
      </c>
      <c r="O70" s="12" t="s">
        <v>4224</v>
      </c>
      <c r="P70" s="12">
        <v>1</v>
      </c>
      <c r="AJ70" s="23"/>
    </row>
    <row r="71" spans="1:36" x14ac:dyDescent="0.25">
      <c r="A71" s="12">
        <v>2</v>
      </c>
      <c r="B71" s="12" t="s">
        <v>2194</v>
      </c>
      <c r="O71" s="12" t="s">
        <v>4225</v>
      </c>
      <c r="P71" s="12">
        <v>1</v>
      </c>
      <c r="AJ71" s="23"/>
    </row>
    <row r="72" spans="1:36" x14ac:dyDescent="0.25">
      <c r="A72" s="12">
        <v>2</v>
      </c>
      <c r="B72" s="12" t="s">
        <v>2270</v>
      </c>
      <c r="O72" s="12" t="s">
        <v>4113</v>
      </c>
      <c r="P72" s="12">
        <v>1</v>
      </c>
    </row>
    <row r="73" spans="1:36" x14ac:dyDescent="0.25">
      <c r="A73" s="12">
        <v>2</v>
      </c>
      <c r="B73" s="12" t="s">
        <v>2225</v>
      </c>
      <c r="O73" s="12" t="s">
        <v>4117</v>
      </c>
      <c r="P73" s="12">
        <v>1</v>
      </c>
    </row>
    <row r="74" spans="1:36" x14ac:dyDescent="0.25">
      <c r="A74" s="12">
        <v>2</v>
      </c>
      <c r="B74" s="12" t="s">
        <v>2402</v>
      </c>
      <c r="O74" s="12" t="s">
        <v>4173</v>
      </c>
      <c r="P74" s="12">
        <v>1</v>
      </c>
    </row>
    <row r="75" spans="1:36" x14ac:dyDescent="0.25">
      <c r="A75" s="12">
        <v>2</v>
      </c>
      <c r="B75" s="12" t="s">
        <v>2309</v>
      </c>
      <c r="O75" s="12" t="s">
        <v>4178</v>
      </c>
      <c r="P75" s="12">
        <v>1</v>
      </c>
    </row>
    <row r="76" spans="1:36" x14ac:dyDescent="0.25">
      <c r="A76" s="12">
        <v>2</v>
      </c>
      <c r="B76" s="12" t="s">
        <v>2222</v>
      </c>
      <c r="O76" s="12" t="s">
        <v>4240</v>
      </c>
      <c r="P76" s="12">
        <v>0</v>
      </c>
    </row>
    <row r="77" spans="1:36" x14ac:dyDescent="0.25">
      <c r="A77" s="12">
        <v>2</v>
      </c>
      <c r="B77" s="12" t="s">
        <v>2228</v>
      </c>
      <c r="O77" s="12" t="s">
        <v>4171</v>
      </c>
      <c r="P77" s="12">
        <v>0</v>
      </c>
    </row>
    <row r="78" spans="1:36" x14ac:dyDescent="0.25">
      <c r="A78" s="12">
        <v>2</v>
      </c>
      <c r="B78" s="12" t="s">
        <v>2411</v>
      </c>
      <c r="O78" s="12" t="s">
        <v>4179</v>
      </c>
      <c r="P78" s="12">
        <v>0</v>
      </c>
    </row>
    <row r="79" spans="1:36" x14ac:dyDescent="0.25">
      <c r="A79" s="12">
        <v>2</v>
      </c>
      <c r="B79" s="12" t="s">
        <v>2262</v>
      </c>
    </row>
    <row r="80" spans="1:36" x14ac:dyDescent="0.25">
      <c r="A80" s="12">
        <v>1</v>
      </c>
      <c r="B80" s="12" t="s">
        <v>2408</v>
      </c>
    </row>
    <row r="81" spans="1:2" x14ac:dyDescent="0.25">
      <c r="A81" s="12">
        <v>1</v>
      </c>
      <c r="B81" s="12" t="s">
        <v>1897</v>
      </c>
    </row>
    <row r="82" spans="1:2" x14ac:dyDescent="0.25">
      <c r="A82" s="12">
        <v>1</v>
      </c>
      <c r="B82" s="12" t="s">
        <v>2630</v>
      </c>
    </row>
    <row r="83" spans="1:2" x14ac:dyDescent="0.25">
      <c r="A83" s="12">
        <v>1</v>
      </c>
      <c r="B83" s="12" t="s">
        <v>2184</v>
      </c>
    </row>
    <row r="84" spans="1:2" x14ac:dyDescent="0.25">
      <c r="A84" s="12">
        <v>1</v>
      </c>
      <c r="B84" s="12" t="s">
        <v>1878</v>
      </c>
    </row>
    <row r="85" spans="1:2" x14ac:dyDescent="0.25">
      <c r="A85" s="12">
        <v>1</v>
      </c>
      <c r="B85" s="12" t="s">
        <v>2316</v>
      </c>
    </row>
    <row r="86" spans="1:2" x14ac:dyDescent="0.25">
      <c r="A86" s="12">
        <v>1</v>
      </c>
      <c r="B86" s="12" t="s">
        <v>2387</v>
      </c>
    </row>
    <row r="87" spans="1:2" x14ac:dyDescent="0.25">
      <c r="A87" s="12">
        <v>1</v>
      </c>
      <c r="B87" s="12" t="s">
        <v>2414</v>
      </c>
    </row>
    <row r="88" spans="1:2" x14ac:dyDescent="0.25">
      <c r="A88" s="12">
        <v>1</v>
      </c>
      <c r="B88" s="12" t="s">
        <v>2108</v>
      </c>
    </row>
    <row r="89" spans="1:2" x14ac:dyDescent="0.25">
      <c r="A89" s="12">
        <v>1</v>
      </c>
      <c r="B89" s="12" t="s">
        <v>2219</v>
      </c>
    </row>
    <row r="90" spans="1:2" x14ac:dyDescent="0.25">
      <c r="A90" s="12">
        <v>1</v>
      </c>
      <c r="B90" s="12" t="s">
        <v>1824</v>
      </c>
    </row>
    <row r="91" spans="1:2" x14ac:dyDescent="0.25">
      <c r="A91" s="12">
        <v>1</v>
      </c>
      <c r="B91" s="12" t="s">
        <v>2180</v>
      </c>
    </row>
    <row r="92" spans="1:2" x14ac:dyDescent="0.25">
      <c r="A92" s="12">
        <v>1</v>
      </c>
      <c r="B92" s="12" t="s">
        <v>2555</v>
      </c>
    </row>
    <row r="93" spans="1:2" x14ac:dyDescent="0.25">
      <c r="A93" s="12">
        <v>1</v>
      </c>
      <c r="B93" s="12" t="s">
        <v>2179</v>
      </c>
    </row>
    <row r="94" spans="1:2" x14ac:dyDescent="0.25">
      <c r="A94" s="12">
        <v>1</v>
      </c>
      <c r="B94" s="12" t="s">
        <v>2163</v>
      </c>
    </row>
    <row r="95" spans="1:2" x14ac:dyDescent="0.25">
      <c r="A95" s="12">
        <v>1</v>
      </c>
      <c r="B95" s="12" t="s">
        <v>2498</v>
      </c>
    </row>
    <row r="96" spans="1:2" x14ac:dyDescent="0.25">
      <c r="A96" s="12">
        <v>1</v>
      </c>
      <c r="B96" s="12" t="s">
        <v>2420</v>
      </c>
    </row>
    <row r="97" spans="1:2" x14ac:dyDescent="0.25">
      <c r="A97" s="12">
        <v>1</v>
      </c>
      <c r="B97" s="12" t="s">
        <v>2327</v>
      </c>
    </row>
    <row r="98" spans="1:2" x14ac:dyDescent="0.25">
      <c r="A98" s="12">
        <v>1</v>
      </c>
      <c r="B98" s="12" t="s">
        <v>2488</v>
      </c>
    </row>
    <row r="99" spans="1:2" x14ac:dyDescent="0.25">
      <c r="A99" s="12">
        <v>1</v>
      </c>
      <c r="B99" s="12" t="s">
        <v>2345</v>
      </c>
    </row>
    <row r="100" spans="1:2" x14ac:dyDescent="0.25">
      <c r="A100" s="12">
        <v>1</v>
      </c>
      <c r="B100" s="12" t="s">
        <v>2636</v>
      </c>
    </row>
    <row r="101" spans="1:2" x14ac:dyDescent="0.25">
      <c r="A101" s="12">
        <v>1</v>
      </c>
      <c r="B101" s="12" t="s">
        <v>2415</v>
      </c>
    </row>
    <row r="102" spans="1:2" x14ac:dyDescent="0.25">
      <c r="A102" s="12">
        <v>1</v>
      </c>
      <c r="B102" s="12" t="s">
        <v>2088</v>
      </c>
    </row>
    <row r="103" spans="1:2" x14ac:dyDescent="0.25">
      <c r="A103" s="12">
        <v>1</v>
      </c>
      <c r="B103" s="12" t="s">
        <v>2269</v>
      </c>
    </row>
    <row r="104" spans="1:2" x14ac:dyDescent="0.25">
      <c r="A104" s="12">
        <v>1</v>
      </c>
      <c r="B104" s="12" t="s">
        <v>1902</v>
      </c>
    </row>
    <row r="105" spans="1:2" x14ac:dyDescent="0.25">
      <c r="A105" s="12">
        <v>1</v>
      </c>
      <c r="B105" s="12" t="s">
        <v>2308</v>
      </c>
    </row>
    <row r="106" spans="1:2" x14ac:dyDescent="0.25">
      <c r="A106" s="12">
        <v>1</v>
      </c>
      <c r="B106" s="12" t="s">
        <v>2229</v>
      </c>
    </row>
    <row r="107" spans="1:2" x14ac:dyDescent="0.25">
      <c r="A107" s="12">
        <v>1</v>
      </c>
      <c r="B107" s="12" t="s">
        <v>2233</v>
      </c>
    </row>
    <row r="108" spans="1:2" x14ac:dyDescent="0.25">
      <c r="A108" s="12">
        <v>1</v>
      </c>
      <c r="B108" s="12" t="s">
        <v>4195</v>
      </c>
    </row>
    <row r="109" spans="1:2" x14ac:dyDescent="0.25">
      <c r="A109" s="12">
        <v>1</v>
      </c>
      <c r="B109" s="12" t="s">
        <v>2276</v>
      </c>
    </row>
    <row r="110" spans="1:2" x14ac:dyDescent="0.25">
      <c r="A110" s="12">
        <v>1</v>
      </c>
      <c r="B110" s="12" t="s">
        <v>2751</v>
      </c>
    </row>
    <row r="111" spans="1:2" x14ac:dyDescent="0.25">
      <c r="A111" s="12">
        <v>1</v>
      </c>
      <c r="B111" s="12" t="s">
        <v>2045</v>
      </c>
    </row>
    <row r="112" spans="1:2" x14ac:dyDescent="0.25">
      <c r="A112" s="12">
        <v>1</v>
      </c>
      <c r="B112" s="12" t="s">
        <v>2487</v>
      </c>
    </row>
    <row r="113" spans="1:2" x14ac:dyDescent="0.25">
      <c r="A113" s="12">
        <v>1</v>
      </c>
      <c r="B113" s="12" t="s">
        <v>2385</v>
      </c>
    </row>
    <row r="114" spans="1:2" x14ac:dyDescent="0.25">
      <c r="A114" s="12">
        <v>1</v>
      </c>
      <c r="B114" s="12" t="s">
        <v>2102</v>
      </c>
    </row>
    <row r="115" spans="1:2" x14ac:dyDescent="0.25">
      <c r="A115" s="12">
        <v>1</v>
      </c>
      <c r="B115" s="12" t="s">
        <v>2412</v>
      </c>
    </row>
    <row r="116" spans="1:2" x14ac:dyDescent="0.25">
      <c r="A116" s="12">
        <v>1</v>
      </c>
      <c r="B116" s="12" t="s">
        <v>2057</v>
      </c>
    </row>
    <row r="117" spans="1:2" x14ac:dyDescent="0.25">
      <c r="A117" s="12">
        <v>1</v>
      </c>
      <c r="B117" s="12" t="s">
        <v>2115</v>
      </c>
    </row>
    <row r="118" spans="1:2" x14ac:dyDescent="0.25">
      <c r="A118" s="12">
        <v>1</v>
      </c>
      <c r="B118" s="12" t="s">
        <v>2271</v>
      </c>
    </row>
    <row r="119" spans="1:2" x14ac:dyDescent="0.25">
      <c r="A119" s="12">
        <v>1</v>
      </c>
      <c r="B119" s="12" t="s">
        <v>2030</v>
      </c>
    </row>
    <row r="120" spans="1:2" x14ac:dyDescent="0.25">
      <c r="A120" s="12">
        <v>1</v>
      </c>
      <c r="B120" s="12" t="s">
        <v>2634</v>
      </c>
    </row>
    <row r="121" spans="1:2" x14ac:dyDescent="0.25">
      <c r="A121" s="12">
        <v>1</v>
      </c>
      <c r="B121" s="12" t="s">
        <v>2489</v>
      </c>
    </row>
    <row r="122" spans="1:2" x14ac:dyDescent="0.25">
      <c r="A122" s="12">
        <v>1</v>
      </c>
      <c r="B122" s="12" t="s">
        <v>2215</v>
      </c>
    </row>
    <row r="123" spans="1:2" x14ac:dyDescent="0.25">
      <c r="A123" s="12">
        <v>1</v>
      </c>
      <c r="B123" s="12" t="s">
        <v>8</v>
      </c>
    </row>
    <row r="124" spans="1:2" x14ac:dyDescent="0.25">
      <c r="A124" s="12">
        <v>1</v>
      </c>
      <c r="B124" s="12" t="s">
        <v>1896</v>
      </c>
    </row>
    <row r="125" spans="1:2" x14ac:dyDescent="0.25">
      <c r="A125" s="12">
        <v>1</v>
      </c>
      <c r="B125" s="12" t="s">
        <v>2386</v>
      </c>
    </row>
    <row r="126" spans="1:2" x14ac:dyDescent="0.25">
      <c r="A126" s="12">
        <v>1</v>
      </c>
      <c r="B126" s="12" t="s">
        <v>4197</v>
      </c>
    </row>
    <row r="127" spans="1:2" x14ac:dyDescent="0.25">
      <c r="A127" s="12">
        <v>1</v>
      </c>
      <c r="B127" s="12" t="s">
        <v>1898</v>
      </c>
    </row>
    <row r="128" spans="1:2" x14ac:dyDescent="0.25">
      <c r="A128" s="12">
        <v>1</v>
      </c>
      <c r="B128" s="12" t="s">
        <v>2046</v>
      </c>
    </row>
    <row r="129" spans="1:2" x14ac:dyDescent="0.25">
      <c r="A129" s="12">
        <v>1</v>
      </c>
      <c r="B129" s="12" t="s">
        <v>2230</v>
      </c>
    </row>
    <row r="130" spans="1:2" x14ac:dyDescent="0.25">
      <c r="A130" s="12">
        <v>1</v>
      </c>
      <c r="B130" s="12" t="s">
        <v>2190</v>
      </c>
    </row>
    <row r="131" spans="1:2" x14ac:dyDescent="0.25">
      <c r="A131" s="12">
        <v>1</v>
      </c>
      <c r="B131" s="12" t="s">
        <v>2058</v>
      </c>
    </row>
    <row r="132" spans="1:2" x14ac:dyDescent="0.25">
      <c r="A132" s="12">
        <v>1</v>
      </c>
      <c r="B132" s="12" t="s">
        <v>2490</v>
      </c>
    </row>
    <row r="133" spans="1:2" x14ac:dyDescent="0.25">
      <c r="A133" s="12">
        <v>1</v>
      </c>
      <c r="B133" s="12" t="s">
        <v>2615</v>
      </c>
    </row>
    <row r="134" spans="1:2" x14ac:dyDescent="0.25">
      <c r="A134" s="12">
        <v>1</v>
      </c>
      <c r="B134" s="12" t="s">
        <v>2040</v>
      </c>
    </row>
    <row r="135" spans="1:2" x14ac:dyDescent="0.25">
      <c r="A135" s="12">
        <v>1</v>
      </c>
      <c r="B135" s="12" t="s">
        <v>2384</v>
      </c>
    </row>
    <row r="136" spans="1:2" x14ac:dyDescent="0.25">
      <c r="A136" s="12">
        <v>1</v>
      </c>
      <c r="B136" s="12" t="s">
        <v>2344</v>
      </c>
    </row>
    <row r="137" spans="1:2" x14ac:dyDescent="0.25">
      <c r="A137" s="12">
        <v>1</v>
      </c>
      <c r="B137" s="12" t="s">
        <v>2089</v>
      </c>
    </row>
    <row r="138" spans="1:2" x14ac:dyDescent="0.25">
      <c r="A138" s="12">
        <v>1</v>
      </c>
      <c r="B138" s="12" t="s">
        <v>2406</v>
      </c>
    </row>
    <row r="139" spans="1:2" x14ac:dyDescent="0.25">
      <c r="A139" s="12">
        <v>1</v>
      </c>
      <c r="B139" s="12" t="s">
        <v>2346</v>
      </c>
    </row>
    <row r="140" spans="1:2" x14ac:dyDescent="0.25">
      <c r="A140" s="12">
        <v>1</v>
      </c>
      <c r="B140" s="12" t="s">
        <v>2277</v>
      </c>
    </row>
    <row r="141" spans="1:2" x14ac:dyDescent="0.25">
      <c r="A141" s="12">
        <v>1</v>
      </c>
      <c r="B141" s="12" t="s">
        <v>2187</v>
      </c>
    </row>
    <row r="142" spans="1:2" x14ac:dyDescent="0.25">
      <c r="A142" s="12">
        <v>1</v>
      </c>
      <c r="B142" s="12" t="s">
        <v>2099</v>
      </c>
    </row>
    <row r="143" spans="1:2" x14ac:dyDescent="0.25">
      <c r="A143" s="12">
        <v>1</v>
      </c>
      <c r="B143" s="12" t="s">
        <v>2549</v>
      </c>
    </row>
    <row r="144" spans="1:2" x14ac:dyDescent="0.25">
      <c r="A144" s="12">
        <v>1</v>
      </c>
      <c r="B144" s="12" t="s">
        <v>2393</v>
      </c>
    </row>
    <row r="145" spans="1:2" x14ac:dyDescent="0.25">
      <c r="A145" s="12">
        <v>1</v>
      </c>
      <c r="B145" s="12" t="s">
        <v>2423</v>
      </c>
    </row>
    <row r="146" spans="1:2" x14ac:dyDescent="0.25">
      <c r="A146" s="12">
        <v>1</v>
      </c>
      <c r="B146" s="12" t="s">
        <v>2263</v>
      </c>
    </row>
    <row r="147" spans="1:2" x14ac:dyDescent="0.25">
      <c r="A147" s="12">
        <v>1</v>
      </c>
      <c r="B147" s="12" t="s">
        <v>2196</v>
      </c>
    </row>
    <row r="148" spans="1:2" x14ac:dyDescent="0.25">
      <c r="A148" s="12">
        <v>1</v>
      </c>
      <c r="B148" s="12" t="s">
        <v>2198</v>
      </c>
    </row>
    <row r="149" spans="1:2" x14ac:dyDescent="0.25">
      <c r="A149" s="12">
        <v>1</v>
      </c>
      <c r="B149" s="12" t="s">
        <v>2048</v>
      </c>
    </row>
    <row r="150" spans="1:2" x14ac:dyDescent="0.25">
      <c r="A150" s="12">
        <v>1</v>
      </c>
      <c r="B150" s="12" t="s">
        <v>2232</v>
      </c>
    </row>
    <row r="151" spans="1:2" x14ac:dyDescent="0.25">
      <c r="A151" s="12">
        <v>1</v>
      </c>
      <c r="B151" s="12" t="s">
        <v>2268</v>
      </c>
    </row>
    <row r="152" spans="1:2" x14ac:dyDescent="0.25">
      <c r="A152" s="12">
        <v>1</v>
      </c>
      <c r="B152" s="12" t="s">
        <v>2278</v>
      </c>
    </row>
    <row r="153" spans="1:2" x14ac:dyDescent="0.25">
      <c r="A153" s="12">
        <v>1</v>
      </c>
      <c r="B153" s="12" t="s">
        <v>2189</v>
      </c>
    </row>
    <row r="154" spans="1:2" x14ac:dyDescent="0.25">
      <c r="A154" s="12">
        <v>1</v>
      </c>
      <c r="B154" s="12" t="s">
        <v>2267</v>
      </c>
    </row>
    <row r="155" spans="1:2" x14ac:dyDescent="0.25">
      <c r="A155" s="12">
        <v>1</v>
      </c>
      <c r="B155" s="12" t="s">
        <v>2337</v>
      </c>
    </row>
    <row r="156" spans="1:2" x14ac:dyDescent="0.25">
      <c r="A156" s="12">
        <v>1</v>
      </c>
      <c r="B156" s="12" t="s">
        <v>2337</v>
      </c>
    </row>
    <row r="157" spans="1:2" x14ac:dyDescent="0.25">
      <c r="A157" s="12">
        <v>1</v>
      </c>
      <c r="B157" s="12" t="s">
        <v>2279</v>
      </c>
    </row>
    <row r="158" spans="1:2" x14ac:dyDescent="0.25">
      <c r="A158" s="12">
        <v>1</v>
      </c>
      <c r="B158" s="12" t="s">
        <v>2188</v>
      </c>
    </row>
    <row r="159" spans="1:2" x14ac:dyDescent="0.25">
      <c r="A159" s="12">
        <v>1</v>
      </c>
      <c r="B159" s="12" t="s">
        <v>2197</v>
      </c>
    </row>
    <row r="160" spans="1:2" x14ac:dyDescent="0.25">
      <c r="A160" s="12">
        <v>1</v>
      </c>
      <c r="B160" s="12" t="s">
        <v>2635</v>
      </c>
    </row>
    <row r="161" spans="1:2" x14ac:dyDescent="0.25">
      <c r="A161" s="12">
        <v>1</v>
      </c>
      <c r="B161" s="12" t="s">
        <v>2032</v>
      </c>
    </row>
    <row r="162" spans="1:2" x14ac:dyDescent="0.25">
      <c r="A162" s="12">
        <v>1</v>
      </c>
      <c r="B162" s="12" t="s">
        <v>4198</v>
      </c>
    </row>
    <row r="163" spans="1:2" x14ac:dyDescent="0.25">
      <c r="A163" s="12">
        <v>1</v>
      </c>
      <c r="B163" s="12" t="s">
        <v>2407</v>
      </c>
    </row>
    <row r="164" spans="1:2" x14ac:dyDescent="0.25">
      <c r="A164" s="12">
        <v>1</v>
      </c>
      <c r="B164" s="12" t="s">
        <v>2566</v>
      </c>
    </row>
    <row r="165" spans="1:2" x14ac:dyDescent="0.25">
      <c r="A165" s="12">
        <v>1</v>
      </c>
      <c r="B165" s="12" t="s">
        <v>2548</v>
      </c>
    </row>
    <row r="166" spans="1:2" x14ac:dyDescent="0.25">
      <c r="A166" s="12">
        <v>1</v>
      </c>
      <c r="B166" s="12" t="s">
        <v>2049</v>
      </c>
    </row>
    <row r="167" spans="1:2" x14ac:dyDescent="0.25">
      <c r="A167" s="12">
        <v>1</v>
      </c>
      <c r="B167" s="12" t="s">
        <v>2112</v>
      </c>
    </row>
    <row r="168" spans="1:2" x14ac:dyDescent="0.25">
      <c r="A168" s="12">
        <v>1</v>
      </c>
      <c r="B168" s="12" t="s">
        <v>2199</v>
      </c>
    </row>
    <row r="169" spans="1:2" x14ac:dyDescent="0.25">
      <c r="A169" s="12">
        <v>1</v>
      </c>
      <c r="B169" s="12" t="s">
        <v>2763</v>
      </c>
    </row>
    <row r="170" spans="1:2" x14ac:dyDescent="0.25">
      <c r="A170" s="12">
        <v>1</v>
      </c>
      <c r="B170" s="12" t="s">
        <v>2764</v>
      </c>
    </row>
    <row r="171" spans="1:2" x14ac:dyDescent="0.25">
      <c r="A171" s="12">
        <v>1</v>
      </c>
      <c r="B171" s="12" t="s">
        <v>2497</v>
      </c>
    </row>
    <row r="172" spans="1:2" x14ac:dyDescent="0.25">
      <c r="A172" s="12">
        <v>1</v>
      </c>
      <c r="B172" s="12" t="s">
        <v>9</v>
      </c>
    </row>
    <row r="173" spans="1:2" x14ac:dyDescent="0.25">
      <c r="A173" s="12">
        <v>1</v>
      </c>
      <c r="B173" s="12" t="s">
        <v>2628</v>
      </c>
    </row>
    <row r="174" spans="1:2" x14ac:dyDescent="0.25">
      <c r="A174" s="12">
        <v>1</v>
      </c>
      <c r="B174" s="12" t="s">
        <v>2629</v>
      </c>
    </row>
    <row r="175" spans="1:2" x14ac:dyDescent="0.25">
      <c r="A175" s="12">
        <v>1</v>
      </c>
      <c r="B175" s="12" t="s">
        <v>2766</v>
      </c>
    </row>
    <row r="176" spans="1:2" x14ac:dyDescent="0.25">
      <c r="A176" s="12">
        <v>1</v>
      </c>
      <c r="B176" s="12" t="s">
        <v>2113</v>
      </c>
    </row>
    <row r="177" spans="1:2" x14ac:dyDescent="0.25">
      <c r="A177" s="12">
        <v>1</v>
      </c>
      <c r="B177" s="12" t="s">
        <v>2050</v>
      </c>
    </row>
    <row r="178" spans="1:2" x14ac:dyDescent="0.25">
      <c r="A178" s="12">
        <v>1</v>
      </c>
      <c r="B178" s="12" t="s">
        <v>1883</v>
      </c>
    </row>
    <row r="179" spans="1:2" x14ac:dyDescent="0.25">
      <c r="A179" s="12">
        <v>0</v>
      </c>
      <c r="B179" s="12" t="s">
        <v>2632</v>
      </c>
    </row>
    <row r="180" spans="1:2" x14ac:dyDescent="0.25">
      <c r="A180" s="12">
        <v>0</v>
      </c>
      <c r="B180" s="12" t="s">
        <v>2103</v>
      </c>
    </row>
    <row r="181" spans="1:2" x14ac:dyDescent="0.25">
      <c r="A181" s="12">
        <v>0</v>
      </c>
      <c r="B181" s="12" t="s">
        <v>2062</v>
      </c>
    </row>
    <row r="182" spans="1:2" x14ac:dyDescent="0.25">
      <c r="A182" s="12">
        <v>0</v>
      </c>
      <c r="B182" s="12" t="s">
        <v>2541</v>
      </c>
    </row>
    <row r="183" spans="1:2" x14ac:dyDescent="0.25">
      <c r="A183" s="12">
        <v>0</v>
      </c>
      <c r="B183" s="12" t="s">
        <v>2145</v>
      </c>
    </row>
    <row r="184" spans="1:2" x14ac:dyDescent="0.25">
      <c r="A184" s="12">
        <v>0</v>
      </c>
      <c r="B184" s="12" t="s">
        <v>2340</v>
      </c>
    </row>
    <row r="185" spans="1:2" x14ac:dyDescent="0.25">
      <c r="A185" s="12">
        <v>0</v>
      </c>
      <c r="B185" s="12" t="s">
        <v>2053</v>
      </c>
    </row>
    <row r="186" spans="1:2" x14ac:dyDescent="0.25">
      <c r="A186" s="12">
        <v>0</v>
      </c>
      <c r="B186" s="12" t="s">
        <v>2127</v>
      </c>
    </row>
    <row r="187" spans="1:2" x14ac:dyDescent="0.25">
      <c r="A187" s="12">
        <v>0</v>
      </c>
      <c r="B187" s="12" t="s">
        <v>2314</v>
      </c>
    </row>
    <row r="188" spans="1:2" x14ac:dyDescent="0.25">
      <c r="A188" s="12">
        <v>0</v>
      </c>
      <c r="B188" s="12" t="s">
        <v>2703</v>
      </c>
    </row>
    <row r="189" spans="1:2" x14ac:dyDescent="0.25">
      <c r="A189" s="12">
        <v>0</v>
      </c>
      <c r="B189" s="12" t="s">
        <v>1877</v>
      </c>
    </row>
    <row r="190" spans="1:2" x14ac:dyDescent="0.25">
      <c r="A190" s="12">
        <v>0</v>
      </c>
      <c r="B190" s="12" t="s">
        <v>2556</v>
      </c>
    </row>
    <row r="191" spans="1:2" x14ac:dyDescent="0.25">
      <c r="A191" s="12">
        <v>0</v>
      </c>
      <c r="B191" s="12" t="s">
        <v>2567</v>
      </c>
    </row>
    <row r="192" spans="1:2" x14ac:dyDescent="0.25">
      <c r="A192" s="12">
        <v>0</v>
      </c>
      <c r="B192" s="12" t="s">
        <v>2568</v>
      </c>
    </row>
    <row r="193" spans="1:2" x14ac:dyDescent="0.25">
      <c r="A193" s="12">
        <v>0</v>
      </c>
      <c r="B193" s="12" t="s">
        <v>2565</v>
      </c>
    </row>
    <row r="194" spans="1:2" x14ac:dyDescent="0.25">
      <c r="A194" s="12">
        <v>0</v>
      </c>
      <c r="B194" s="12" t="s">
        <v>2410</v>
      </c>
    </row>
    <row r="195" spans="1:2" x14ac:dyDescent="0.25">
      <c r="A195" s="12">
        <v>0</v>
      </c>
      <c r="B195" s="12" t="s">
        <v>2339</v>
      </c>
    </row>
    <row r="196" spans="1:2" x14ac:dyDescent="0.25">
      <c r="A196" s="12">
        <v>0</v>
      </c>
      <c r="B196" s="12" t="s">
        <v>2063</v>
      </c>
    </row>
    <row r="197" spans="1:2" x14ac:dyDescent="0.25">
      <c r="A197" s="12">
        <v>0</v>
      </c>
      <c r="B197" s="12" t="s">
        <v>2231</v>
      </c>
    </row>
    <row r="198" spans="1:2" x14ac:dyDescent="0.25">
      <c r="A198" s="12">
        <v>0</v>
      </c>
      <c r="B198" s="12" t="s">
        <v>2687</v>
      </c>
    </row>
    <row r="199" spans="1:2" x14ac:dyDescent="0.25">
      <c r="A199" s="12">
        <v>0</v>
      </c>
      <c r="B199" s="12" t="s">
        <v>2419</v>
      </c>
    </row>
    <row r="200" spans="1:2" x14ac:dyDescent="0.25">
      <c r="A200" s="12">
        <v>0</v>
      </c>
      <c r="B200" s="12" t="s">
        <v>1899</v>
      </c>
    </row>
    <row r="201" spans="1:2" x14ac:dyDescent="0.25">
      <c r="A201" s="12">
        <v>0</v>
      </c>
      <c r="B201" s="12" t="s">
        <v>1901</v>
      </c>
    </row>
    <row r="202" spans="1:2" x14ac:dyDescent="0.25">
      <c r="A202" s="12">
        <v>0</v>
      </c>
      <c r="B202" s="12" t="s">
        <v>2825</v>
      </c>
    </row>
    <row r="203" spans="1:2" x14ac:dyDescent="0.25">
      <c r="A203" s="12">
        <v>0</v>
      </c>
      <c r="B203" s="12" t="s">
        <v>2123</v>
      </c>
    </row>
    <row r="204" spans="1:2" x14ac:dyDescent="0.25">
      <c r="A204" s="12">
        <v>0</v>
      </c>
      <c r="B204" s="12" t="s">
        <v>2684</v>
      </c>
    </row>
    <row r="205" spans="1:2" x14ac:dyDescent="0.25">
      <c r="A205" s="12">
        <v>0</v>
      </c>
      <c r="B205" s="12" t="s">
        <v>2119</v>
      </c>
    </row>
    <row r="206" spans="1:2" x14ac:dyDescent="0.25">
      <c r="A206" s="12">
        <v>0</v>
      </c>
      <c r="B206" s="12" t="s">
        <v>2028</v>
      </c>
    </row>
    <row r="207" spans="1:2" x14ac:dyDescent="0.25">
      <c r="A207" s="12">
        <v>0</v>
      </c>
      <c r="B207" s="12" t="s">
        <v>2237</v>
      </c>
    </row>
    <row r="208" spans="1:2" x14ac:dyDescent="0.25">
      <c r="A208" s="12">
        <v>0</v>
      </c>
      <c r="B208" s="12" t="s">
        <v>2027</v>
      </c>
    </row>
    <row r="209" spans="1:2" x14ac:dyDescent="0.25">
      <c r="A209" s="12">
        <v>0</v>
      </c>
      <c r="B209" s="12" t="s">
        <v>2217</v>
      </c>
    </row>
    <row r="210" spans="1:2" x14ac:dyDescent="0.25">
      <c r="A210" s="12">
        <v>0</v>
      </c>
      <c r="B210" s="12" t="s">
        <v>2235</v>
      </c>
    </row>
    <row r="211" spans="1:2" x14ac:dyDescent="0.25">
      <c r="A211" s="12">
        <v>0</v>
      </c>
      <c r="B211" s="12" t="s">
        <v>2496</v>
      </c>
    </row>
    <row r="212" spans="1:2" x14ac:dyDescent="0.25">
      <c r="A212" s="12">
        <v>0</v>
      </c>
      <c r="B212" s="12" t="s">
        <v>2550</v>
      </c>
    </row>
    <row r="213" spans="1:2" x14ac:dyDescent="0.25">
      <c r="A213" s="12">
        <v>0</v>
      </c>
      <c r="B213" s="12" t="s">
        <v>2186</v>
      </c>
    </row>
    <row r="214" spans="1:2" x14ac:dyDescent="0.25">
      <c r="A214" s="12">
        <v>0</v>
      </c>
      <c r="B214" s="12" t="s">
        <v>10</v>
      </c>
    </row>
    <row r="215" spans="1:2" x14ac:dyDescent="0.25">
      <c r="A215" s="12">
        <v>0</v>
      </c>
      <c r="B215" s="12" t="s">
        <v>2140</v>
      </c>
    </row>
    <row r="216" spans="1:2" x14ac:dyDescent="0.25">
      <c r="A216" s="12">
        <v>0</v>
      </c>
      <c r="B216" s="12" t="s">
        <v>2026</v>
      </c>
    </row>
    <row r="217" spans="1:2" x14ac:dyDescent="0.25">
      <c r="A217" s="12">
        <v>0</v>
      </c>
      <c r="B217" s="12" t="s">
        <v>2388</v>
      </c>
    </row>
    <row r="218" spans="1:2" x14ac:dyDescent="0.25">
      <c r="A218" s="12">
        <v>0</v>
      </c>
      <c r="B218" s="12" t="s">
        <v>2130</v>
      </c>
    </row>
    <row r="219" spans="1:2" x14ac:dyDescent="0.25">
      <c r="A219" s="12">
        <v>0</v>
      </c>
      <c r="B219" s="12" t="s">
        <v>2474</v>
      </c>
    </row>
    <row r="220" spans="1:2" x14ac:dyDescent="0.25">
      <c r="A220" s="12">
        <v>0</v>
      </c>
      <c r="B220" s="12" t="s">
        <v>2330</v>
      </c>
    </row>
    <row r="221" spans="1:2" x14ac:dyDescent="0.25">
      <c r="A221" s="12">
        <v>0</v>
      </c>
      <c r="B221" s="12" t="s">
        <v>2036</v>
      </c>
    </row>
    <row r="222" spans="1:2" x14ac:dyDescent="0.25">
      <c r="A222" s="12">
        <v>0</v>
      </c>
      <c r="B222" s="12" t="s">
        <v>1961</v>
      </c>
    </row>
    <row r="223" spans="1:2" x14ac:dyDescent="0.25">
      <c r="A223" s="12">
        <v>0</v>
      </c>
      <c r="B223" s="12" t="s">
        <v>2633</v>
      </c>
    </row>
    <row r="224" spans="1:2" x14ac:dyDescent="0.25">
      <c r="A224" s="12">
        <v>0</v>
      </c>
      <c r="B224" s="12" t="s">
        <v>2826</v>
      </c>
    </row>
    <row r="225" spans="1:2" x14ac:dyDescent="0.25">
      <c r="A225" s="12">
        <v>0</v>
      </c>
      <c r="B225" s="12" t="s">
        <v>2162</v>
      </c>
    </row>
    <row r="226" spans="1:2" x14ac:dyDescent="0.25">
      <c r="A226" s="12">
        <v>0</v>
      </c>
      <c r="B226" s="12" t="s">
        <v>1995</v>
      </c>
    </row>
    <row r="227" spans="1:2" x14ac:dyDescent="0.25">
      <c r="A227" s="12">
        <v>0</v>
      </c>
      <c r="B227" s="12" t="s">
        <v>2321</v>
      </c>
    </row>
    <row r="228" spans="1:2" x14ac:dyDescent="0.25">
      <c r="A228" s="12">
        <v>0</v>
      </c>
      <c r="B228" s="12" t="s">
        <v>2138</v>
      </c>
    </row>
    <row r="229" spans="1:2" x14ac:dyDescent="0.25">
      <c r="A229" s="12">
        <v>0</v>
      </c>
      <c r="B229" s="12" t="s">
        <v>2274</v>
      </c>
    </row>
    <row r="230" spans="1:2" x14ac:dyDescent="0.25">
      <c r="A230" s="12">
        <v>0</v>
      </c>
      <c r="B230" s="12" t="s">
        <v>1957</v>
      </c>
    </row>
    <row r="231" spans="1:2" x14ac:dyDescent="0.25">
      <c r="A231" s="12">
        <v>0</v>
      </c>
      <c r="B231" s="12" t="s">
        <v>2096</v>
      </c>
    </row>
    <row r="232" spans="1:2" x14ac:dyDescent="0.25">
      <c r="A232" s="12">
        <v>0</v>
      </c>
      <c r="B232" s="12" t="s">
        <v>2097</v>
      </c>
    </row>
    <row r="233" spans="1:2" x14ac:dyDescent="0.25">
      <c r="A233" s="12">
        <v>0</v>
      </c>
      <c r="B233" s="12" t="s">
        <v>2424</v>
      </c>
    </row>
    <row r="234" spans="1:2" x14ac:dyDescent="0.25">
      <c r="A234" s="12">
        <v>0</v>
      </c>
      <c r="B234" s="12" t="s">
        <v>2322</v>
      </c>
    </row>
    <row r="235" spans="1:2" x14ac:dyDescent="0.25">
      <c r="A235" s="12">
        <v>0</v>
      </c>
      <c r="B235" s="12" t="s">
        <v>2176</v>
      </c>
    </row>
    <row r="236" spans="1:2" x14ac:dyDescent="0.25">
      <c r="A236" s="12">
        <v>0</v>
      </c>
      <c r="B236" s="12" t="s">
        <v>2323</v>
      </c>
    </row>
    <row r="237" spans="1:2" x14ac:dyDescent="0.25">
      <c r="A237" s="12">
        <v>0</v>
      </c>
      <c r="B237" s="12" t="s">
        <v>2035</v>
      </c>
    </row>
    <row r="238" spans="1:2" x14ac:dyDescent="0.25">
      <c r="A238" s="12">
        <v>0</v>
      </c>
      <c r="B238" s="12" t="s">
        <v>2131</v>
      </c>
    </row>
    <row r="239" spans="1:2" x14ac:dyDescent="0.25">
      <c r="A239" s="12">
        <v>0</v>
      </c>
      <c r="B239" s="12" t="s">
        <v>2421</v>
      </c>
    </row>
    <row r="240" spans="1:2" x14ac:dyDescent="0.25">
      <c r="A240" s="12">
        <v>0</v>
      </c>
      <c r="B240" s="12" t="s">
        <v>4196</v>
      </c>
    </row>
    <row r="241" spans="1:2" x14ac:dyDescent="0.25">
      <c r="A241" s="12">
        <v>0</v>
      </c>
      <c r="B241" s="12" t="s">
        <v>2823</v>
      </c>
    </row>
    <row r="242" spans="1:2" x14ac:dyDescent="0.25">
      <c r="A242" s="12">
        <v>0</v>
      </c>
      <c r="B242" s="12" t="s">
        <v>1985</v>
      </c>
    </row>
    <row r="243" spans="1:2" x14ac:dyDescent="0.25">
      <c r="A243" s="12">
        <v>0</v>
      </c>
      <c r="B243" s="12" t="s">
        <v>1960</v>
      </c>
    </row>
    <row r="244" spans="1:2" x14ac:dyDescent="0.25">
      <c r="A244" s="12">
        <v>0</v>
      </c>
      <c r="B244" s="12" t="s">
        <v>2060</v>
      </c>
    </row>
    <row r="245" spans="1:2" x14ac:dyDescent="0.25">
      <c r="A245" s="12">
        <v>0</v>
      </c>
      <c r="B245" s="12" t="s">
        <v>2618</v>
      </c>
    </row>
    <row r="246" spans="1:2" x14ac:dyDescent="0.25">
      <c r="A246" s="12">
        <v>0</v>
      </c>
      <c r="B246" s="12" t="s">
        <v>2325</v>
      </c>
    </row>
    <row r="247" spans="1:2" x14ac:dyDescent="0.25">
      <c r="A247" s="12">
        <v>0</v>
      </c>
      <c r="B247" s="12" t="s">
        <v>2126</v>
      </c>
    </row>
    <row r="248" spans="1:2" x14ac:dyDescent="0.25">
      <c r="A248" s="12">
        <v>0</v>
      </c>
      <c r="B248" s="12" t="s">
        <v>1876</v>
      </c>
    </row>
    <row r="249" spans="1:2" x14ac:dyDescent="0.25">
      <c r="A249" s="12">
        <v>0</v>
      </c>
      <c r="B249" s="12" t="s">
        <v>2540</v>
      </c>
    </row>
    <row r="250" spans="1:2" x14ac:dyDescent="0.25">
      <c r="A250" s="12">
        <v>0</v>
      </c>
      <c r="B250" s="12" t="s">
        <v>2177</v>
      </c>
    </row>
    <row r="251" spans="1:2" x14ac:dyDescent="0.25">
      <c r="A251" s="12">
        <v>0</v>
      </c>
      <c r="B251" s="12" t="s">
        <v>2619</v>
      </c>
    </row>
    <row r="252" spans="1:2" x14ac:dyDescent="0.25">
      <c r="A252" s="12">
        <v>0</v>
      </c>
      <c r="B252" s="12" t="s">
        <v>2139</v>
      </c>
    </row>
    <row r="253" spans="1:2" x14ac:dyDescent="0.25">
      <c r="A253" s="12">
        <v>0</v>
      </c>
      <c r="B253" s="12" t="s">
        <v>2425</v>
      </c>
    </row>
    <row r="254" spans="1:2" x14ac:dyDescent="0.25">
      <c r="A254" s="12">
        <v>0</v>
      </c>
      <c r="B254" s="12" t="s">
        <v>11</v>
      </c>
    </row>
    <row r="255" spans="1:2" x14ac:dyDescent="0.25">
      <c r="A255" s="12">
        <v>0</v>
      </c>
      <c r="B255" s="12" t="s">
        <v>2236</v>
      </c>
    </row>
    <row r="256" spans="1:2" x14ac:dyDescent="0.25">
      <c r="A256" s="12">
        <v>0</v>
      </c>
      <c r="B256" s="12" t="s">
        <v>2616</v>
      </c>
    </row>
    <row r="257" spans="1:2" x14ac:dyDescent="0.25">
      <c r="A257" s="12">
        <v>0</v>
      </c>
      <c r="B257" s="12" t="s">
        <v>1976</v>
      </c>
    </row>
    <row r="258" spans="1:2" x14ac:dyDescent="0.25">
      <c r="A258" s="12">
        <v>0</v>
      </c>
      <c r="B258" s="12" t="s">
        <v>2482</v>
      </c>
    </row>
    <row r="259" spans="1:2" x14ac:dyDescent="0.25">
      <c r="A259" s="12">
        <v>0</v>
      </c>
      <c r="B259" s="12" t="s">
        <v>2033</v>
      </c>
    </row>
    <row r="260" spans="1:2" x14ac:dyDescent="0.25">
      <c r="A260" s="12">
        <v>0</v>
      </c>
      <c r="B260" s="12" t="s">
        <v>2473</v>
      </c>
    </row>
    <row r="261" spans="1:2" x14ac:dyDescent="0.25">
      <c r="A261" s="12">
        <v>0</v>
      </c>
      <c r="B261" s="12" t="s">
        <v>2224</v>
      </c>
    </row>
    <row r="262" spans="1:2" x14ac:dyDescent="0.25">
      <c r="A262" s="12">
        <v>0</v>
      </c>
      <c r="B262" s="12" t="s">
        <v>2132</v>
      </c>
    </row>
    <row r="263" spans="1:2" x14ac:dyDescent="0.25">
      <c r="A263" s="12">
        <v>0</v>
      </c>
      <c r="B263" s="12" t="s">
        <v>2409</v>
      </c>
    </row>
    <row r="264" spans="1:2" x14ac:dyDescent="0.25">
      <c r="A264" s="12">
        <v>0</v>
      </c>
      <c r="B264" s="12" t="s">
        <v>2220</v>
      </c>
    </row>
    <row r="265" spans="1:2" x14ac:dyDescent="0.25">
      <c r="A265" s="12">
        <v>0</v>
      </c>
      <c r="B265" s="12" t="s">
        <v>2034</v>
      </c>
    </row>
    <row r="266" spans="1:2" x14ac:dyDescent="0.25">
      <c r="A266" s="12">
        <v>0</v>
      </c>
      <c r="B266" s="12" t="s">
        <v>12</v>
      </c>
    </row>
    <row r="267" spans="1:2" x14ac:dyDescent="0.25">
      <c r="A267" s="12">
        <v>0</v>
      </c>
      <c r="B267" s="12" t="s">
        <v>2105</v>
      </c>
    </row>
    <row r="268" spans="1:2" x14ac:dyDescent="0.25">
      <c r="A268" s="12">
        <v>0</v>
      </c>
      <c r="B268" s="12" t="s">
        <v>2324</v>
      </c>
    </row>
    <row r="269" spans="1:2" x14ac:dyDescent="0.25">
      <c r="A269" s="12">
        <v>0</v>
      </c>
      <c r="B269" s="12" t="s">
        <v>1977</v>
      </c>
    </row>
    <row r="270" spans="1:2" x14ac:dyDescent="0.25">
      <c r="A270" s="12">
        <v>0</v>
      </c>
      <c r="B270" s="12" t="s">
        <v>2178</v>
      </c>
    </row>
    <row r="271" spans="1:2" x14ac:dyDescent="0.25">
      <c r="A271" s="12">
        <v>0</v>
      </c>
      <c r="B271" s="12" t="s">
        <v>1975</v>
      </c>
    </row>
    <row r="272" spans="1:2" x14ac:dyDescent="0.25">
      <c r="A272" s="12">
        <v>0</v>
      </c>
      <c r="B272" s="12" t="s">
        <v>13</v>
      </c>
    </row>
    <row r="273" spans="1:2" x14ac:dyDescent="0.25">
      <c r="A273" s="12">
        <v>0</v>
      </c>
      <c r="B273" s="12" t="s">
        <v>2031</v>
      </c>
    </row>
    <row r="274" spans="1:2" x14ac:dyDescent="0.25">
      <c r="A274" s="12">
        <v>0</v>
      </c>
      <c r="B274" s="12" t="s">
        <v>2418</v>
      </c>
    </row>
    <row r="275" spans="1:2" x14ac:dyDescent="0.25">
      <c r="A275" s="12">
        <v>0</v>
      </c>
      <c r="B275" s="12" t="s">
        <v>2098</v>
      </c>
    </row>
    <row r="276" spans="1:2" x14ac:dyDescent="0.25">
      <c r="A276" s="12">
        <v>0</v>
      </c>
      <c r="B276" s="12" t="s">
        <v>2041</v>
      </c>
    </row>
    <row r="277" spans="1:2" x14ac:dyDescent="0.25">
      <c r="A277" s="12">
        <v>0</v>
      </c>
      <c r="B277" s="12" t="s">
        <v>2221</v>
      </c>
    </row>
    <row r="278" spans="1:2" x14ac:dyDescent="0.25">
      <c r="A278" s="12">
        <v>0</v>
      </c>
      <c r="B278" s="12" t="s">
        <v>2238</v>
      </c>
    </row>
    <row r="279" spans="1:2" x14ac:dyDescent="0.25">
      <c r="A279" s="12">
        <v>0</v>
      </c>
      <c r="B279" s="12" t="s">
        <v>2042</v>
      </c>
    </row>
    <row r="280" spans="1:2" x14ac:dyDescent="0.25">
      <c r="A280" s="12">
        <v>0</v>
      </c>
      <c r="B280" s="12" t="s">
        <v>2114</v>
      </c>
    </row>
    <row r="281" spans="1:2" x14ac:dyDescent="0.25">
      <c r="A281" s="12">
        <v>0</v>
      </c>
      <c r="B281" s="12" t="s">
        <v>2563</v>
      </c>
    </row>
    <row r="282" spans="1:2" x14ac:dyDescent="0.25">
      <c r="A282" s="12">
        <v>0</v>
      </c>
      <c r="B282" s="12" t="s">
        <v>2068</v>
      </c>
    </row>
    <row r="283" spans="1:2" x14ac:dyDescent="0.25">
      <c r="A283" s="12">
        <v>0</v>
      </c>
      <c r="B283" s="12" t="s">
        <v>2052</v>
      </c>
    </row>
    <row r="284" spans="1:2" x14ac:dyDescent="0.25">
      <c r="A284" s="12">
        <v>0</v>
      </c>
      <c r="B284" s="12" t="s">
        <v>2043</v>
      </c>
    </row>
    <row r="285" spans="1:2" x14ac:dyDescent="0.25">
      <c r="A285" s="12">
        <v>0</v>
      </c>
      <c r="B285" s="12" t="s">
        <v>1958</v>
      </c>
    </row>
    <row r="286" spans="1:2" x14ac:dyDescent="0.25">
      <c r="A286" s="12">
        <v>0</v>
      </c>
      <c r="B286" s="12" t="s">
        <v>2328</v>
      </c>
    </row>
    <row r="287" spans="1:2" x14ac:dyDescent="0.25">
      <c r="A287" s="12">
        <v>0</v>
      </c>
      <c r="B287" s="12" t="s">
        <v>2685</v>
      </c>
    </row>
    <row r="288" spans="1:2" x14ac:dyDescent="0.25">
      <c r="A288" s="12">
        <v>0</v>
      </c>
      <c r="B288" s="12" t="s">
        <v>2686</v>
      </c>
    </row>
    <row r="289" spans="1:2" x14ac:dyDescent="0.25">
      <c r="A289" s="12">
        <v>0</v>
      </c>
      <c r="B289" s="12" t="s">
        <v>2392</v>
      </c>
    </row>
    <row r="290" spans="1:2" x14ac:dyDescent="0.25">
      <c r="A290" s="12">
        <v>0</v>
      </c>
      <c r="B290" s="12" t="s">
        <v>2403</v>
      </c>
    </row>
    <row r="291" spans="1:2" x14ac:dyDescent="0.25">
      <c r="A291" s="12">
        <v>0</v>
      </c>
      <c r="B291" s="12" t="s">
        <v>2142</v>
      </c>
    </row>
    <row r="292" spans="1:2" x14ac:dyDescent="0.25">
      <c r="A292" s="12">
        <v>0</v>
      </c>
      <c r="B292" s="12" t="s">
        <v>2143</v>
      </c>
    </row>
    <row r="293" spans="1:2" x14ac:dyDescent="0.25">
      <c r="A293" s="12">
        <v>0</v>
      </c>
      <c r="B293" s="12" t="s">
        <v>2380</v>
      </c>
    </row>
    <row r="294" spans="1:2" x14ac:dyDescent="0.25">
      <c r="A294" s="12">
        <v>0</v>
      </c>
      <c r="B294" s="12" t="s">
        <v>2329</v>
      </c>
    </row>
    <row r="295" spans="1:2" x14ac:dyDescent="0.25">
      <c r="A295" s="12">
        <v>0</v>
      </c>
      <c r="B295" s="12" t="s">
        <v>2141</v>
      </c>
    </row>
    <row r="296" spans="1:2" x14ac:dyDescent="0.25">
      <c r="A296" s="12">
        <v>0</v>
      </c>
      <c r="B296" s="12" t="s">
        <v>2144</v>
      </c>
    </row>
    <row r="297" spans="1:2" x14ac:dyDescent="0.25">
      <c r="A297" s="12">
        <v>0</v>
      </c>
      <c r="B297" s="12" t="s">
        <v>1978</v>
      </c>
    </row>
    <row r="298" spans="1:2" x14ac:dyDescent="0.25">
      <c r="A298" s="12">
        <v>0</v>
      </c>
      <c r="B298" s="12" t="s">
        <v>14</v>
      </c>
    </row>
    <row r="299" spans="1:2" x14ac:dyDescent="0.25">
      <c r="A299" s="12">
        <v>0</v>
      </c>
      <c r="B299" s="12" t="s">
        <v>2214</v>
      </c>
    </row>
    <row r="300" spans="1:2" x14ac:dyDescent="0.25">
      <c r="A300" s="12">
        <v>0</v>
      </c>
      <c r="B300" s="12" t="s">
        <v>2044</v>
      </c>
    </row>
    <row r="301" spans="1:2" x14ac:dyDescent="0.25">
      <c r="A301" s="12">
        <v>0</v>
      </c>
      <c r="B301" s="12" t="s">
        <v>2218</v>
      </c>
    </row>
    <row r="302" spans="1:2" x14ac:dyDescent="0.25">
      <c r="A302" s="12">
        <v>0</v>
      </c>
      <c r="B302" s="12" t="s">
        <v>2331</v>
      </c>
    </row>
    <row r="303" spans="1:2" x14ac:dyDescent="0.25">
      <c r="A303" s="12">
        <v>0</v>
      </c>
      <c r="B303" s="12" t="s">
        <v>2752</v>
      </c>
    </row>
    <row r="304" spans="1:2" x14ac:dyDescent="0.25">
      <c r="A304" s="12">
        <v>0</v>
      </c>
      <c r="B304" s="12" t="s">
        <v>2173</v>
      </c>
    </row>
    <row r="305" spans="1:2" x14ac:dyDescent="0.25">
      <c r="A305" s="12">
        <v>0</v>
      </c>
      <c r="B305" s="12" t="s">
        <v>1962</v>
      </c>
    </row>
    <row r="306" spans="1:2" x14ac:dyDescent="0.25">
      <c r="A306" s="12">
        <v>0</v>
      </c>
      <c r="B306" s="12" t="s">
        <v>2106</v>
      </c>
    </row>
    <row r="307" spans="1:2" x14ac:dyDescent="0.25">
      <c r="A307" s="12">
        <v>0</v>
      </c>
      <c r="B307" s="12" t="s">
        <v>2129</v>
      </c>
    </row>
    <row r="308" spans="1:2" x14ac:dyDescent="0.25">
      <c r="A308" s="12">
        <v>0</v>
      </c>
      <c r="B308" s="12" t="s">
        <v>2037</v>
      </c>
    </row>
    <row r="309" spans="1:2" x14ac:dyDescent="0.25">
      <c r="A309" s="12">
        <v>0</v>
      </c>
      <c r="B309" s="12" t="s">
        <v>2061</v>
      </c>
    </row>
    <row r="310" spans="1:2" x14ac:dyDescent="0.25">
      <c r="A310" s="12">
        <v>0</v>
      </c>
      <c r="B310" s="12" t="s">
        <v>2275</v>
      </c>
    </row>
    <row r="311" spans="1:2" x14ac:dyDescent="0.25">
      <c r="A311" s="12">
        <v>0</v>
      </c>
      <c r="B311" s="12" t="s">
        <v>2174</v>
      </c>
    </row>
    <row r="312" spans="1:2" x14ac:dyDescent="0.25">
      <c r="A312" s="12">
        <v>0</v>
      </c>
      <c r="B312" s="12" t="s">
        <v>1903</v>
      </c>
    </row>
    <row r="313" spans="1:2" x14ac:dyDescent="0.25">
      <c r="A313" s="12">
        <v>0</v>
      </c>
      <c r="B313" s="12" t="s">
        <v>1959</v>
      </c>
    </row>
    <row r="314" spans="1:2" x14ac:dyDescent="0.25">
      <c r="A314" s="12">
        <v>0</v>
      </c>
      <c r="B314" s="12" t="s">
        <v>2125</v>
      </c>
    </row>
    <row r="315" spans="1:2" x14ac:dyDescent="0.25">
      <c r="A315" s="12">
        <v>0</v>
      </c>
      <c r="B315" s="12" t="s">
        <v>2481</v>
      </c>
    </row>
    <row r="316" spans="1:2" x14ac:dyDescent="0.25">
      <c r="A316" s="12">
        <v>0</v>
      </c>
      <c r="B316" s="12" t="s">
        <v>2175</v>
      </c>
    </row>
    <row r="317" spans="1:2" x14ac:dyDescent="0.25">
      <c r="A317" s="12">
        <v>0</v>
      </c>
      <c r="B317" s="12" t="s">
        <v>2564</v>
      </c>
    </row>
    <row r="318" spans="1:2" x14ac:dyDescent="0.25">
      <c r="A318" s="12">
        <v>0</v>
      </c>
      <c r="B318" s="12" t="s">
        <v>2265</v>
      </c>
    </row>
    <row r="319" spans="1:2" x14ac:dyDescent="0.25">
      <c r="A319" s="12">
        <v>0</v>
      </c>
      <c r="B319" s="12" t="s">
        <v>2485</v>
      </c>
    </row>
    <row r="320" spans="1:2" x14ac:dyDescent="0.25">
      <c r="A320" s="12">
        <v>0</v>
      </c>
      <c r="B320" s="12" t="s">
        <v>2128</v>
      </c>
    </row>
    <row r="321" spans="1:2" x14ac:dyDescent="0.25">
      <c r="A321" s="12">
        <v>0</v>
      </c>
      <c r="B321" s="12" t="s">
        <v>2137</v>
      </c>
    </row>
    <row r="322" spans="1:2" x14ac:dyDescent="0.25">
      <c r="A322" s="12">
        <v>0</v>
      </c>
      <c r="B322" s="12" t="s">
        <v>2264</v>
      </c>
    </row>
  </sheetData>
  <sortState xmlns:xlrd2="http://schemas.microsoft.com/office/spreadsheetml/2017/richdata2" columnSort="1" ref="A14:B322">
    <sortCondition descending="1" ref="A14:B14"/>
  </sortState>
  <phoneticPr fontId="1" type="noConversion"/>
  <pageMargins left="0.7" right="0.7" top="0.75" bottom="0.75" header="0.3" footer="0.3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65"/>
  <sheetViews>
    <sheetView view="pageLayout" workbookViewId="0">
      <selection activeCell="E1" sqref="E1:F65"/>
    </sheetView>
  </sheetViews>
  <sheetFormatPr baseColWidth="10" defaultRowHeight="15" x14ac:dyDescent="0.25"/>
  <sheetData>
    <row r="1" spans="2:6" x14ac:dyDescent="0.25">
      <c r="E1" t="s">
        <v>4201</v>
      </c>
      <c r="F1">
        <v>420</v>
      </c>
    </row>
    <row r="2" spans="2:6" x14ac:dyDescent="0.25">
      <c r="B2" s="23"/>
      <c r="E2" t="s">
        <v>4118</v>
      </c>
      <c r="F2">
        <v>232</v>
      </c>
    </row>
    <row r="3" spans="2:6" x14ac:dyDescent="0.25">
      <c r="E3" t="s">
        <v>4205</v>
      </c>
      <c r="F3">
        <v>126</v>
      </c>
    </row>
    <row r="4" spans="2:6" x14ac:dyDescent="0.25">
      <c r="E4" t="s">
        <v>4234</v>
      </c>
      <c r="F4">
        <v>83</v>
      </c>
    </row>
    <row r="5" spans="2:6" x14ac:dyDescent="0.25">
      <c r="E5" t="s">
        <v>4216</v>
      </c>
      <c r="F5">
        <v>72</v>
      </c>
    </row>
    <row r="6" spans="2:6" x14ac:dyDescent="0.25">
      <c r="E6" t="s">
        <v>4236</v>
      </c>
      <c r="F6">
        <v>65</v>
      </c>
    </row>
    <row r="7" spans="2:6" x14ac:dyDescent="0.25">
      <c r="E7" t="s">
        <v>4172</v>
      </c>
      <c r="F7">
        <v>57</v>
      </c>
    </row>
    <row r="8" spans="2:6" x14ac:dyDescent="0.25">
      <c r="E8" t="s">
        <v>4206</v>
      </c>
      <c r="F8">
        <v>44</v>
      </c>
    </row>
    <row r="9" spans="2:6" x14ac:dyDescent="0.25">
      <c r="E9" t="s">
        <v>4212</v>
      </c>
      <c r="F9">
        <v>43</v>
      </c>
    </row>
    <row r="10" spans="2:6" x14ac:dyDescent="0.25">
      <c r="E10" t="s">
        <v>4176</v>
      </c>
      <c r="F10">
        <v>41</v>
      </c>
    </row>
    <row r="11" spans="2:6" x14ac:dyDescent="0.25">
      <c r="E11" t="s">
        <v>4215</v>
      </c>
      <c r="F11">
        <v>40</v>
      </c>
    </row>
    <row r="12" spans="2:6" x14ac:dyDescent="0.25">
      <c r="E12" t="s">
        <v>4177</v>
      </c>
      <c r="F12">
        <v>40</v>
      </c>
    </row>
    <row r="13" spans="2:6" x14ac:dyDescent="0.25">
      <c r="E13" t="s">
        <v>4235</v>
      </c>
      <c r="F13">
        <v>33</v>
      </c>
    </row>
    <row r="14" spans="2:6" x14ac:dyDescent="0.25">
      <c r="E14" t="s">
        <v>4208</v>
      </c>
      <c r="F14">
        <v>32</v>
      </c>
    </row>
    <row r="15" spans="2:6" x14ac:dyDescent="0.25">
      <c r="E15" t="s">
        <v>4180</v>
      </c>
      <c r="F15">
        <v>32</v>
      </c>
    </row>
    <row r="16" spans="2:6" x14ac:dyDescent="0.25">
      <c r="E16" t="s">
        <v>4200</v>
      </c>
      <c r="F16">
        <v>24</v>
      </c>
    </row>
    <row r="17" spans="5:6" x14ac:dyDescent="0.25">
      <c r="E17" t="s">
        <v>4122</v>
      </c>
      <c r="F17">
        <v>23</v>
      </c>
    </row>
    <row r="18" spans="5:6" x14ac:dyDescent="0.25">
      <c r="E18" t="s">
        <v>4115</v>
      </c>
      <c r="F18">
        <v>21</v>
      </c>
    </row>
    <row r="19" spans="5:6" x14ac:dyDescent="0.25">
      <c r="E19" t="s">
        <v>4204</v>
      </c>
      <c r="F19">
        <v>19</v>
      </c>
    </row>
    <row r="20" spans="5:6" x14ac:dyDescent="0.25">
      <c r="E20" t="s">
        <v>4207</v>
      </c>
      <c r="F20">
        <v>18</v>
      </c>
    </row>
    <row r="21" spans="5:6" x14ac:dyDescent="0.25">
      <c r="E21" t="s">
        <v>4175</v>
      </c>
      <c r="F21">
        <v>17</v>
      </c>
    </row>
    <row r="22" spans="5:6" x14ac:dyDescent="0.25">
      <c r="E22" t="s">
        <v>4238</v>
      </c>
      <c r="F22">
        <v>15</v>
      </c>
    </row>
    <row r="23" spans="5:6" x14ac:dyDescent="0.25">
      <c r="E23" t="s">
        <v>4231</v>
      </c>
      <c r="F23">
        <v>14</v>
      </c>
    </row>
    <row r="24" spans="5:6" x14ac:dyDescent="0.25">
      <c r="E24" t="s">
        <v>4199</v>
      </c>
      <c r="F24">
        <v>12</v>
      </c>
    </row>
    <row r="25" spans="5:6" x14ac:dyDescent="0.25">
      <c r="E25" t="s">
        <v>4211</v>
      </c>
      <c r="F25">
        <v>10</v>
      </c>
    </row>
    <row r="26" spans="5:6" x14ac:dyDescent="0.25">
      <c r="E26" t="s">
        <v>4219</v>
      </c>
      <c r="F26">
        <v>10</v>
      </c>
    </row>
    <row r="27" spans="5:6" x14ac:dyDescent="0.25">
      <c r="E27" t="s">
        <v>4226</v>
      </c>
      <c r="F27">
        <v>9</v>
      </c>
    </row>
    <row r="28" spans="5:6" x14ac:dyDescent="0.25">
      <c r="E28" t="s">
        <v>4221</v>
      </c>
      <c r="F28">
        <v>8</v>
      </c>
    </row>
    <row r="29" spans="5:6" x14ac:dyDescent="0.25">
      <c r="E29" t="s">
        <v>4230</v>
      </c>
      <c r="F29">
        <v>8</v>
      </c>
    </row>
    <row r="30" spans="5:6" x14ac:dyDescent="0.25">
      <c r="E30" t="s">
        <v>4239</v>
      </c>
      <c r="F30">
        <v>8</v>
      </c>
    </row>
    <row r="31" spans="5:6" x14ac:dyDescent="0.25">
      <c r="E31" t="s">
        <v>4114</v>
      </c>
      <c r="F31">
        <v>8</v>
      </c>
    </row>
    <row r="32" spans="5:6" x14ac:dyDescent="0.25">
      <c r="E32" t="s">
        <v>4119</v>
      </c>
      <c r="F32">
        <v>8</v>
      </c>
    </row>
    <row r="33" spans="5:6" x14ac:dyDescent="0.25">
      <c r="E33" t="s">
        <v>4112</v>
      </c>
      <c r="F33">
        <v>7</v>
      </c>
    </row>
    <row r="34" spans="5:6" x14ac:dyDescent="0.25">
      <c r="E34" t="s">
        <v>4229</v>
      </c>
      <c r="F34">
        <v>6</v>
      </c>
    </row>
    <row r="35" spans="5:6" x14ac:dyDescent="0.25">
      <c r="E35" t="s">
        <v>4203</v>
      </c>
      <c r="F35">
        <v>5</v>
      </c>
    </row>
    <row r="36" spans="5:6" x14ac:dyDescent="0.25">
      <c r="E36" t="s">
        <v>4209</v>
      </c>
      <c r="F36">
        <v>5</v>
      </c>
    </row>
    <row r="37" spans="5:6" x14ac:dyDescent="0.25">
      <c r="E37" t="s">
        <v>4217</v>
      </c>
      <c r="F37">
        <v>5</v>
      </c>
    </row>
    <row r="38" spans="5:6" x14ac:dyDescent="0.25">
      <c r="E38" t="s">
        <v>4232</v>
      </c>
      <c r="F38">
        <v>5</v>
      </c>
    </row>
    <row r="39" spans="5:6" x14ac:dyDescent="0.25">
      <c r="E39" t="s">
        <v>4233</v>
      </c>
      <c r="F39">
        <v>5</v>
      </c>
    </row>
    <row r="40" spans="5:6" x14ac:dyDescent="0.25">
      <c r="E40" t="s">
        <v>4120</v>
      </c>
      <c r="F40">
        <v>5</v>
      </c>
    </row>
    <row r="41" spans="5:6" x14ac:dyDescent="0.25">
      <c r="E41" t="s">
        <v>4170</v>
      </c>
      <c r="F41">
        <v>5</v>
      </c>
    </row>
    <row r="42" spans="5:6" x14ac:dyDescent="0.25">
      <c r="E42" t="s">
        <v>4174</v>
      </c>
      <c r="F42">
        <v>5</v>
      </c>
    </row>
    <row r="43" spans="5:6" x14ac:dyDescent="0.25">
      <c r="E43" t="s">
        <v>4228</v>
      </c>
      <c r="F43">
        <v>4</v>
      </c>
    </row>
    <row r="44" spans="5:6" x14ac:dyDescent="0.25">
      <c r="E44" t="s">
        <v>4220</v>
      </c>
      <c r="F44">
        <v>3</v>
      </c>
    </row>
    <row r="45" spans="5:6" x14ac:dyDescent="0.25">
      <c r="E45" t="s">
        <v>4116</v>
      </c>
      <c r="F45">
        <v>3</v>
      </c>
    </row>
    <row r="46" spans="5:6" x14ac:dyDescent="0.25">
      <c r="E46" t="s">
        <v>4222</v>
      </c>
      <c r="F46">
        <v>2</v>
      </c>
    </row>
    <row r="47" spans="5:6" x14ac:dyDescent="0.25">
      <c r="E47" t="s">
        <v>4223</v>
      </c>
      <c r="F47">
        <v>2</v>
      </c>
    </row>
    <row r="48" spans="5:6" x14ac:dyDescent="0.25">
      <c r="E48" t="s">
        <v>4227</v>
      </c>
      <c r="F48">
        <v>2</v>
      </c>
    </row>
    <row r="49" spans="5:6" x14ac:dyDescent="0.25">
      <c r="E49" t="s">
        <v>4237</v>
      </c>
      <c r="F49">
        <v>2</v>
      </c>
    </row>
    <row r="50" spans="5:6" x14ac:dyDescent="0.25">
      <c r="E50" t="s">
        <v>4121</v>
      </c>
      <c r="F50">
        <v>2</v>
      </c>
    </row>
    <row r="51" spans="5:6" x14ac:dyDescent="0.25">
      <c r="E51" t="s">
        <v>4181</v>
      </c>
      <c r="F51">
        <v>2</v>
      </c>
    </row>
    <row r="52" spans="5:6" x14ac:dyDescent="0.25">
      <c r="E52" t="s">
        <v>4202</v>
      </c>
      <c r="F52">
        <v>1</v>
      </c>
    </row>
    <row r="53" spans="5:6" x14ac:dyDescent="0.25">
      <c r="E53" t="s">
        <v>4210</v>
      </c>
      <c r="F53">
        <v>1</v>
      </c>
    </row>
    <row r="54" spans="5:6" x14ac:dyDescent="0.25">
      <c r="E54" t="s">
        <v>4213</v>
      </c>
      <c r="F54">
        <v>1</v>
      </c>
    </row>
    <row r="55" spans="5:6" x14ac:dyDescent="0.25">
      <c r="E55" t="s">
        <v>4214</v>
      </c>
      <c r="F55">
        <v>1</v>
      </c>
    </row>
    <row r="56" spans="5:6" x14ac:dyDescent="0.25">
      <c r="E56" t="s">
        <v>4218</v>
      </c>
      <c r="F56">
        <v>1</v>
      </c>
    </row>
    <row r="57" spans="5:6" x14ac:dyDescent="0.25">
      <c r="E57" t="s">
        <v>4224</v>
      </c>
      <c r="F57">
        <v>1</v>
      </c>
    </row>
    <row r="58" spans="5:6" x14ac:dyDescent="0.25">
      <c r="E58" t="s">
        <v>4225</v>
      </c>
      <c r="F58">
        <v>1</v>
      </c>
    </row>
    <row r="59" spans="5:6" x14ac:dyDescent="0.25">
      <c r="E59" t="s">
        <v>4113</v>
      </c>
      <c r="F59">
        <v>1</v>
      </c>
    </row>
    <row r="60" spans="5:6" x14ac:dyDescent="0.25">
      <c r="E60" t="s">
        <v>4117</v>
      </c>
      <c r="F60">
        <v>1</v>
      </c>
    </row>
    <row r="61" spans="5:6" x14ac:dyDescent="0.25">
      <c r="E61" t="s">
        <v>4173</v>
      </c>
      <c r="F61">
        <v>1</v>
      </c>
    </row>
    <row r="62" spans="5:6" x14ac:dyDescent="0.25">
      <c r="E62" t="s">
        <v>4178</v>
      </c>
      <c r="F62">
        <v>1</v>
      </c>
    </row>
    <row r="63" spans="5:6" x14ac:dyDescent="0.25">
      <c r="E63" t="s">
        <v>4240</v>
      </c>
      <c r="F63">
        <v>0</v>
      </c>
    </row>
    <row r="64" spans="5:6" x14ac:dyDescent="0.25">
      <c r="E64" t="s">
        <v>4171</v>
      </c>
      <c r="F64">
        <v>0</v>
      </c>
    </row>
    <row r="65" spans="5:6" x14ac:dyDescent="0.25">
      <c r="E65" t="s">
        <v>4179</v>
      </c>
      <c r="F65">
        <v>0</v>
      </c>
    </row>
  </sheetData>
  <sortState xmlns:xlrd2="http://schemas.microsoft.com/office/spreadsheetml/2017/richdata2" ref="E1:F65">
    <sortCondition descending="1" ref="F1:F65"/>
  </sortState>
  <phoneticPr fontId="1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database</vt:lpstr>
      <vt:lpstr>interim analysis</vt:lpstr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Schoppmeier, Frauke     sk</dc:creator>
  <cp:lastModifiedBy>lw-r</cp:lastModifiedBy>
  <dcterms:created xsi:type="dcterms:W3CDTF">2015-09-07T08:21:57Z</dcterms:created>
  <dcterms:modified xsi:type="dcterms:W3CDTF">2022-07-06T22:20:12Z</dcterms:modified>
</cp:coreProperties>
</file>