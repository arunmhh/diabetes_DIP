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gpt_data\"/>
    </mc:Choice>
  </mc:AlternateContent>
  <xr:revisionPtr revIDLastSave="0" documentId="13_ncr:1_{45866234-6AB9-4050-BCA4-49E0F9C48D45}" xr6:coauthVersionLast="47" xr6:coauthVersionMax="47" xr10:uidLastSave="{00000000-0000-0000-0000-000000000000}"/>
  <bookViews>
    <workbookView xWindow="-108" yWindow="-108" windowWidth="23256" windowHeight="12456" activeTab="1" xr2:uid="{D325D4D3-7562-4C93-A8BD-FB4A87F52B8E}"/>
  </bookViews>
  <sheets>
    <sheet name="Sheet1" sheetId="1" r:id="rId1"/>
    <sheet name="gpt1" sheetId="2" r:id="rId2"/>
    <sheet name="gpt2" sheetId="3" r:id="rId3"/>
    <sheet name="gp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" i="1" l="1"/>
  <c r="H1" i="1"/>
  <c r="I1" i="1"/>
  <c r="J1" i="1"/>
  <c r="K1" i="1"/>
  <c r="G1" i="1"/>
</calcChain>
</file>

<file path=xl/sharedStrings.xml><?xml version="1.0" encoding="utf-8"?>
<sst xmlns="http://schemas.openxmlformats.org/spreadsheetml/2006/main" count="733" uniqueCount="334">
  <si>
    <t>GPT-360 Tage vor Krankheitsbeginn (u\l)</t>
  </si>
  <si>
    <t>GPT-275 Tage vor Krankheitsbeginn (u\l)</t>
  </si>
  <si>
    <t>GPT-185 Tage vor Krankheitsbeginn (u\l)</t>
  </si>
  <si>
    <t>GPT-167 Tage vor Krankheitsbeginn (u\l)</t>
  </si>
  <si>
    <t>GPT-164 Tage vor Krankheitsbeginn (u\l)</t>
  </si>
  <si>
    <t>GPT-122 Tage vor Krankheitsbeginn (u\l)</t>
  </si>
  <si>
    <t>GPT-114 Tage vor Krankheitsbeginn (u\l)</t>
  </si>
  <si>
    <t>GPT-107 Tage vor Krankheitsbeginn (u\l)</t>
  </si>
  <si>
    <t>GPT-105 Tage vor Krankheitsbeginn (u\l)</t>
  </si>
  <si>
    <t>GPT-97 Tage vor Krankheitsbeginn</t>
  </si>
  <si>
    <t>GPT-91 Tage vor Krankheitsbeginn</t>
  </si>
  <si>
    <t>GPT-81 Tage vor Krankheitsbeginn</t>
  </si>
  <si>
    <t>GPT-68 Tage vor Krankheitsbeginn</t>
  </si>
  <si>
    <t>GPT-62 Tage vor Krankheitsbeginn</t>
  </si>
  <si>
    <t>GPT-55 Tage vor Krankheitsbeginn</t>
  </si>
  <si>
    <t>GPT-54 Tage vor Krankheitsbeginn</t>
  </si>
  <si>
    <t>GPT-49 Tage vor Krankheitsbeginn</t>
  </si>
  <si>
    <t>GPT-43 Tage vor Krankheitsbeginn</t>
  </si>
  <si>
    <t>GPT-39 Tage vor Krankheitsbeginn</t>
  </si>
  <si>
    <t>GPT-37 Tage vor Krankheitsbeginn</t>
  </si>
  <si>
    <t>GPT-36 Tage vor Krankheitsbeginn</t>
  </si>
  <si>
    <t>GPT-35 Tage vor Krankheitsbeginn</t>
  </si>
  <si>
    <t>GPT-34 Tage vor Krankheitsbeginn</t>
  </si>
  <si>
    <t>GPT-30 Tage vor Krankheitsbeginn</t>
  </si>
  <si>
    <t>GPT-29 Tage vor Krankheitsbeginn</t>
  </si>
  <si>
    <t>GPT-28 Tage vor Krankheitsbeginn</t>
  </si>
  <si>
    <t>GPT-25 Tage vor Krankheitsbeginn</t>
  </si>
  <si>
    <t>GPT-22 Tage vor Krankheitsbeginn</t>
  </si>
  <si>
    <t>GPT-20 Tage vor Krankheitsbeginn</t>
  </si>
  <si>
    <t>GPT-19 Tage vor Krankheitsbeginn</t>
  </si>
  <si>
    <t>GPT-18 Tage vor Krankheitsbeginn (u\l)</t>
  </si>
  <si>
    <t>GPT-16 Tage vor Krankheitsbeginn</t>
  </si>
  <si>
    <t>GPT-14 Tage vor Krankheitsbeginn</t>
  </si>
  <si>
    <t>GPT-13 Tage vor Krankheitsbeginn</t>
  </si>
  <si>
    <t>GPT-12 Tage vor Krankheitsbeginn</t>
  </si>
  <si>
    <t>GPT-11 Tage vor Krankheitsbeginn</t>
  </si>
  <si>
    <t>GPT-10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</si>
  <si>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</si>
  <si>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</si>
  <si>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</si>
  <si>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</si>
  <si>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</si>
  <si>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</si>
  <si>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</si>
  <si>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</si>
  <si>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</si>
  <si>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</si>
  <si>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</si>
  <si>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</si>
  <si>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</si>
  <si>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</si>
  <si>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</si>
  <si>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</si>
  <si>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</si>
  <si>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</si>
  <si>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</si>
  <si>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</si>
  <si>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</si>
  <si>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</si>
  <si>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</si>
  <si>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</si>
  <si>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</si>
  <si>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</si>
  <si>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</si>
  <si>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</si>
  <si>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</si>
  <si>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</si>
  <si>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</si>
  <si>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</si>
  <si>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</si>
  <si>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</si>
  <si>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</si>
  <si>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</si>
  <si>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</si>
  <si>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</si>
  <si>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</si>
  <si>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</si>
  <si>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</si>
  <si>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</si>
  <si>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</si>
  <si>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</si>
  <si>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</si>
  <si>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</si>
  <si>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</si>
  <si>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</si>
  <si>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</si>
  <si>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</si>
  <si>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</si>
  <si>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</si>
  <si>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</si>
  <si>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</si>
  <si>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</si>
  <si>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</si>
  <si>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</si>
  <si>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</si>
  <si>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</si>
  <si>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</si>
  <si>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</si>
  <si>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</si>
  <si>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</si>
  <si>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</si>
  <si>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</si>
  <si>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</si>
  <si>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</si>
  <si>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</si>
  <si>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</si>
  <si>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</si>
  <si>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</si>
  <si>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</si>
  <si>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</si>
  <si>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</si>
  <si>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</si>
  <si>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</si>
  <si>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</si>
  <si>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</si>
  <si>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</si>
  <si>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</si>
  <si>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</si>
  <si>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</si>
  <si>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</si>
  <si>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</si>
  <si>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</si>
  <si>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</si>
  <si>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</si>
  <si>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</si>
  <si>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</si>
  <si>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</si>
  <si>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</si>
  <si>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</si>
  <si>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</si>
  <si>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</si>
  <si>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</si>
  <si>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Day360_From Start</t>
  </si>
  <si>
    <t>GPT Day275_From Start</t>
  </si>
  <si>
    <t>GPT Day185_From Start</t>
  </si>
  <si>
    <t>GPT Day167_From Start</t>
  </si>
  <si>
    <t>GPT Day164_From Start</t>
  </si>
  <si>
    <t>GPT Day122_From Start</t>
  </si>
  <si>
    <t>GPT Day114_From Start</t>
  </si>
  <si>
    <t>GPT Day107_From Start</t>
  </si>
  <si>
    <t>GPT Day105_From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</si>
  <si>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</si>
  <si>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</si>
  <si>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</si>
  <si>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</si>
  <si>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</si>
  <si>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Day55_From Start</t>
  </si>
  <si>
    <t>GPT Day54_From Start</t>
  </si>
  <si>
    <t>GPT Day49_From Start</t>
  </si>
  <si>
    <t>GPT Day43_From Start</t>
  </si>
  <si>
    <t>GPT Day39_From Start</t>
  </si>
  <si>
    <t>GPT Day37_From Start</t>
  </si>
  <si>
    <t>GPT Day36_From Start</t>
  </si>
  <si>
    <t>GPT Day35_From Start</t>
  </si>
  <si>
    <t>GPT Day34_From Start</t>
  </si>
  <si>
    <t>GPT Day30_From Start</t>
  </si>
  <si>
    <t>GPT Day29_From Start</t>
  </si>
  <si>
    <t>GPT Day28_From Start</t>
  </si>
  <si>
    <t>GPT Day25_From Start</t>
  </si>
  <si>
    <t>GPT Day22_From Start</t>
  </si>
  <si>
    <t>GPT Day20_From Start</t>
  </si>
  <si>
    <t>GPT Day19_From Start</t>
  </si>
  <si>
    <t>GPT Day18_From Start</t>
  </si>
  <si>
    <t>GPT Day16_From Start</t>
  </si>
  <si>
    <t>GPT Day14_From Start</t>
  </si>
  <si>
    <t>GPT Day13_From Start</t>
  </si>
  <si>
    <t>GPT Day12_From Start</t>
  </si>
  <si>
    <t>GPT Day11_From Start</t>
  </si>
  <si>
    <t>GPT Day10_From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</si>
  <si>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</si>
  <si>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</si>
  <si>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</si>
  <si>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</si>
  <si>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</si>
  <si>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</si>
  <si>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</si>
  <si>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</si>
  <si>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</si>
  <si>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</si>
  <si>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</si>
  <si>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</si>
  <si>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</si>
  <si>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</si>
  <si>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</si>
  <si>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</si>
  <si>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</si>
  <si>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</si>
  <si>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</si>
  <si>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</si>
  <si>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</si>
  <si>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</si>
  <si>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</si>
  <si>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</si>
  <si>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</si>
  <si>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</si>
  <si>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</si>
  <si>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</si>
  <si>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</si>
  <si>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</si>
  <si>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</si>
  <si>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</si>
  <si>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</si>
  <si>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</si>
  <si>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</si>
  <si>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</si>
  <si>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</si>
  <si>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</si>
  <si>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</si>
  <si>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</si>
  <si>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</si>
  <si>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</si>
  <si>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</si>
  <si>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</si>
  <si>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</si>
  <si>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</si>
  <si>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</si>
  <si>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</si>
  <si>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</si>
  <si>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</si>
  <si>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</si>
  <si>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</si>
  <si>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</si>
  <si>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</si>
  <si>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</si>
  <si>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</si>
  <si>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</si>
  <si>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</si>
  <si>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</si>
  <si>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</si>
  <si>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</si>
  <si>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</si>
  <si>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</si>
  <si>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</si>
  <si>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</si>
  <si>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</si>
  <si>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</si>
  <si>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</si>
  <si>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</si>
  <si>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</si>
  <si>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</si>
  <si>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</si>
  <si>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</si>
  <si>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</si>
  <si>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</si>
  <si>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</si>
  <si>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</si>
  <si>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</si>
  <si>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</si>
  <si>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</si>
  <si>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</si>
  <si>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</si>
  <si>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</si>
  <si>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</si>
  <si>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</si>
  <si>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</si>
  <si>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</si>
  <si>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</si>
  <si>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</si>
  <si>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</si>
  <si>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</si>
  <si>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</si>
  <si>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</si>
  <si>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</si>
  <si>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</si>
  <si>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</si>
  <si>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</si>
  <si>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</si>
  <si>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</si>
  <si>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</si>
  <si>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</si>
  <si>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</si>
  <si>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</si>
  <si>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</si>
  <si>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</si>
  <si>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</si>
  <si>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</si>
  <si>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</si>
  <si>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</si>
  <si>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</si>
  <si>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</si>
  <si>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</si>
  <si>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</si>
  <si>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</si>
  <si>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</si>
  <si>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</si>
  <si>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</si>
  <si>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</si>
  <si>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GPT_1</t>
  </si>
  <si>
    <t>GPT_2</t>
  </si>
  <si>
    <t>GPT_3</t>
  </si>
  <si>
    <t>GPT_4</t>
  </si>
  <si>
    <t>9125095=9138268</t>
  </si>
  <si>
    <t>8055349=8055749=8058506</t>
  </si>
  <si>
    <t>12118054=12311299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</si>
  <si>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</si>
  <si>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</si>
  <si>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</si>
  <si>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</si>
  <si>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</si>
  <si>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</si>
  <si>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</si>
  <si>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</si>
  <si>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</si>
  <si>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</si>
  <si>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</si>
  <si>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</si>
  <si>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</si>
  <si>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GPT_d14 (guess)</t>
  </si>
  <si>
    <t>GPT_d15</t>
  </si>
  <si>
    <t>GPT_d21 (guess)</t>
  </si>
  <si>
    <t>GPT_d21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</si>
  <si>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</si>
  <si>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</si>
  <si>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</si>
  <si>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</si>
  <si>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</si>
  <si>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</si>
  <si>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</si>
  <si>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</si>
  <si>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</si>
  <si>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</si>
  <si>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</si>
  <si>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</si>
  <si>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</si>
  <si>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</si>
  <si>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</si>
  <si>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</si>
  <si>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</si>
  <si>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</si>
  <si>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</si>
  <si>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</si>
  <si>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</si>
  <si>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GPT_d580 (guess)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</si>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</sst>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F8F8F2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82A3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474852"/>
      </right>
      <top/>
      <bottom style="medium">
        <color rgb="FF4748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0" fillId="3" borderId="2" xfId="0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4" borderId="3" xfId="0" applyFill="1" applyBorder="1"/>
    <xf numFmtId="0" fontId="4" fillId="4" borderId="3" xfId="0" applyFont="1" applyFill="1" applyBorder="1"/>
    <xf numFmtId="2" fontId="0" fillId="0" borderId="0" xfId="0" applyNumberFormat="1" applyAlignment="1">
      <alignment wrapText="1"/>
    </xf>
    <xf numFmtId="2" fontId="0" fillId="0" borderId="0" xfId="0" applyNumberFormat="1"/>
    <xf numFmtId="2" fontId="4" fillId="0" borderId="0" xfId="0" applyNumberFormat="1" applyFont="1"/>
    <xf numFmtId="2" fontId="0" fillId="5" borderId="0" xfId="0" applyNumberFormat="1" applyFill="1"/>
    <xf numFmtId="2" fontId="0" fillId="6" borderId="0" xfId="0" applyNumberFormat="1" applyFill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5" fillId="3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top"/>
    </xf>
    <xf numFmtId="0" fontId="0" fillId="4" borderId="0" xfId="0" applyFill="1"/>
    <xf numFmtId="0" fontId="0" fillId="7" borderId="0" xfId="0" applyFill="1"/>
    <xf numFmtId="0" fontId="4" fillId="0" borderId="0" xfId="0" applyFont="1"/>
    <xf numFmtId="168" fontId="0" fillId="0" borderId="0" xfId="0" applyNumberFormat="1"/>
    <xf numFmtId="0" fontId="5" fillId="4" borderId="3" xfId="0" applyFont="1" applyFill="1" applyBorder="1" applyAlignment="1">
      <alignment horizontal="left" wrapText="1"/>
    </xf>
    <xf numFmtId="0" fontId="0" fillId="8" borderId="0" xfId="0" applyFill="1"/>
    <xf numFmtId="0" fontId="1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left" wrapText="1"/>
    </xf>
    <xf numFmtId="0" fontId="0" fillId="4" borderId="2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2082-9F31-4F77-B3E2-407BBD4AE4A5}">
  <dimension ref="A1:M2"/>
  <sheetViews>
    <sheetView workbookViewId="0">
      <selection activeCell="G1" sqref="G1:K1"/>
    </sheetView>
  </sheetViews>
  <sheetFormatPr defaultRowHeight="15" x14ac:dyDescent="0.25"/>
  <sheetData>
    <row r="1" spans="1:13" ht="15.75" thickBot="1" x14ac:dyDescent="0.3">
      <c r="A1" s="1">
        <v>10.241529999999999</v>
      </c>
      <c r="B1" s="1">
        <v>10.407719999999999</v>
      </c>
      <c r="C1" s="1">
        <v>9.9989930000000005</v>
      </c>
      <c r="D1" s="1">
        <v>9.7226499999999998</v>
      </c>
      <c r="E1" s="1">
        <v>9.5685749999999992</v>
      </c>
      <c r="G1">
        <f>A1/A2</f>
        <v>1.0819623569268364</v>
      </c>
      <c r="H1">
        <f t="shared" ref="H1:K1" si="0">B1/B2</f>
        <v>0.99538065152897559</v>
      </c>
      <c r="I1">
        <f t="shared" si="0"/>
        <v>1.0712372750978676</v>
      </c>
      <c r="J1">
        <f t="shared" si="0"/>
        <v>1.0459747349763069</v>
      </c>
      <c r="K1">
        <f t="shared" si="0"/>
        <v>1.0668751601387301</v>
      </c>
      <c r="M1">
        <f>AVERAGE(G1:K1)</f>
        <v>1.0522860357337434</v>
      </c>
    </row>
    <row r="2" spans="1:13" ht="15.75" thickBot="1" x14ac:dyDescent="0.3">
      <c r="A2" s="1">
        <v>9.4656990000000008</v>
      </c>
      <c r="B2" s="1">
        <v>10.456020000000001</v>
      </c>
      <c r="C2" s="1">
        <v>9.3340599999999991</v>
      </c>
      <c r="D2" s="1">
        <v>9.2953010000000003</v>
      </c>
      <c r="E2" s="1">
        <v>8.9687859999999997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314D-D1C4-43FA-AD61-7BA65893A142}">
  <dimension ref="A2:ED451"/>
  <sheetViews>
    <sheetView tabSelected="1" workbookViewId="0">
      <selection sqref="A1:B1048576"/>
    </sheetView>
  </sheetViews>
  <sheetFormatPr defaultRowHeight="15" x14ac:dyDescent="0.25"/>
  <cols>
    <col min="2" max="2" width="11.85546875" customWidth="1"/>
    <col min="3" max="134" width="11.42578125"/>
  </cols>
  <sheetData>
    <row r="2" spans="1:134" ht="90" x14ac:dyDescent="0.25">
      <c r="A2" s="14" t="s">
        <v>264</v>
      </c>
      <c r="B2" s="14" t="s">
        <v>265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38</v>
      </c>
      <c r="AP2" s="2" t="s">
        <v>39</v>
      </c>
      <c r="AQ2" s="2" t="s">
        <v>40</v>
      </c>
      <c r="AR2" s="2" t="s">
        <v>41</v>
      </c>
      <c r="AS2" s="2" t="s">
        <v>42</v>
      </c>
      <c r="AT2" s="2" t="s">
        <v>43</v>
      </c>
      <c r="AU2" s="2" t="s">
        <v>44</v>
      </c>
      <c r="AV2" s="2" t="s">
        <v>45</v>
      </c>
      <c r="AW2" s="2" t="s">
        <v>46</v>
      </c>
      <c r="AX2" s="3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  <c r="BF2" s="2" t="s">
        <v>55</v>
      </c>
      <c r="BG2" s="2" t="s">
        <v>56</v>
      </c>
      <c r="BH2" s="2" t="s">
        <v>57</v>
      </c>
      <c r="BI2" s="2" t="s">
        <v>58</v>
      </c>
      <c r="BJ2" s="2" t="s">
        <v>59</v>
      </c>
      <c r="BK2" s="2" t="s">
        <v>60</v>
      </c>
      <c r="BL2" s="2" t="s">
        <v>61</v>
      </c>
      <c r="BM2" s="2" t="s">
        <v>62</v>
      </c>
      <c r="BN2" s="2" t="s">
        <v>63</v>
      </c>
      <c r="BO2" s="2" t="s">
        <v>64</v>
      </c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2" t="s">
        <v>75</v>
      </c>
      <c r="CA2" s="2" t="s">
        <v>76</v>
      </c>
      <c r="CB2" s="2" t="s">
        <v>77</v>
      </c>
      <c r="CC2" s="2" t="s">
        <v>78</v>
      </c>
      <c r="CD2" s="2" t="s">
        <v>79</v>
      </c>
      <c r="CE2" s="2" t="s">
        <v>80</v>
      </c>
      <c r="CF2" s="2" t="s">
        <v>81</v>
      </c>
      <c r="CG2" s="2" t="s">
        <v>82</v>
      </c>
      <c r="CH2" s="2" t="s">
        <v>83</v>
      </c>
      <c r="CI2" s="2" t="s">
        <v>84</v>
      </c>
      <c r="CJ2" s="2" t="s">
        <v>85</v>
      </c>
      <c r="CK2" s="2" t="s">
        <v>86</v>
      </c>
      <c r="CL2" s="2" t="s">
        <v>87</v>
      </c>
      <c r="CM2" s="2" t="s">
        <v>88</v>
      </c>
      <c r="CN2" s="2" t="s">
        <v>89</v>
      </c>
      <c r="CO2" s="2" t="s">
        <v>90</v>
      </c>
      <c r="CP2" s="2" t="s">
        <v>91</v>
      </c>
      <c r="CQ2" s="2" t="s">
        <v>92</v>
      </c>
      <c r="CR2" s="2" t="s">
        <v>93</v>
      </c>
      <c r="CS2" s="2" t="s">
        <v>94</v>
      </c>
      <c r="CT2" s="2" t="s">
        <v>95</v>
      </c>
      <c r="CU2" s="2" t="s">
        <v>96</v>
      </c>
      <c r="CV2" s="2" t="s">
        <v>97</v>
      </c>
      <c r="CW2" s="2" t="s">
        <v>98</v>
      </c>
      <c r="CX2" s="2" t="s">
        <v>99</v>
      </c>
      <c r="CY2" s="2" t="s">
        <v>100</v>
      </c>
      <c r="CZ2" s="2" t="s">
        <v>101</v>
      </c>
      <c r="DA2" s="2" t="s">
        <v>102</v>
      </c>
      <c r="DB2" s="2" t="s">
        <v>103</v>
      </c>
      <c r="DC2" s="2" t="s">
        <v>104</v>
      </c>
      <c r="DD2" s="2" t="s">
        <v>105</v>
      </c>
      <c r="DE2" s="2" t="s">
        <v>106</v>
      </c>
      <c r="DF2" s="2" t="s">
        <v>107</v>
      </c>
      <c r="DG2" s="2" t="s">
        <v>108</v>
      </c>
      <c r="DH2" s="2" t="s">
        <v>109</v>
      </c>
      <c r="DI2" s="2" t="s">
        <v>110</v>
      </c>
      <c r="DJ2" s="2" t="s">
        <v>111</v>
      </c>
      <c r="DK2" s="2" t="s">
        <v>112</v>
      </c>
      <c r="DL2" s="2" t="s">
        <v>113</v>
      </c>
      <c r="DM2" s="2" t="s">
        <v>114</v>
      </c>
      <c r="DN2" s="2" t="s">
        <v>115</v>
      </c>
      <c r="DO2" s="2" t="s">
        <v>116</v>
      </c>
      <c r="DP2" s="2" t="s">
        <v>117</v>
      </c>
      <c r="DQ2" s="2" t="s">
        <v>118</v>
      </c>
      <c r="DR2" s="2" t="s">
        <v>119</v>
      </c>
      <c r="DS2" s="2" t="s">
        <v>120</v>
      </c>
      <c r="DT2" s="2" t="s">
        <v>121</v>
      </c>
      <c r="DU2" s="2" t="s">
        <v>122</v>
      </c>
      <c r="DV2" s="2" t="s">
        <v>123</v>
      </c>
      <c r="DW2" s="2" t="s">
        <v>124</v>
      </c>
      <c r="DX2" s="2" t="s">
        <v>125</v>
      </c>
      <c r="DY2" s="2" t="s">
        <v>126</v>
      </c>
      <c r="DZ2" s="2" t="s">
        <v>127</v>
      </c>
      <c r="EA2" s="2" t="s">
        <v>128</v>
      </c>
      <c r="EB2" s="2" t="s">
        <v>129</v>
      </c>
      <c r="EC2" s="2" t="s">
        <v>130</v>
      </c>
      <c r="ED2" s="2" t="s">
        <v>131</v>
      </c>
    </row>
    <row r="3" spans="1:134" x14ac:dyDescent="0.25">
      <c r="A3" s="15" t="s">
        <v>266</v>
      </c>
      <c r="B3" s="16" t="s">
        <v>267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  <c r="H3" s="4" t="s">
        <v>137</v>
      </c>
      <c r="I3" s="4" t="s">
        <v>138</v>
      </c>
      <c r="J3" s="4" t="s">
        <v>139</v>
      </c>
      <c r="K3" s="4" t="s">
        <v>140</v>
      </c>
      <c r="L3" s="4" t="s">
        <v>141</v>
      </c>
      <c r="M3" s="4" t="s">
        <v>142</v>
      </c>
      <c r="N3" s="4" t="s">
        <v>143</v>
      </c>
      <c r="O3" s="4" t="s">
        <v>144</v>
      </c>
      <c r="P3" s="4" t="s">
        <v>145</v>
      </c>
      <c r="Q3" s="4" t="s">
        <v>146</v>
      </c>
      <c r="R3" s="4" t="s">
        <v>147</v>
      </c>
      <c r="S3" s="4" t="s">
        <v>148</v>
      </c>
      <c r="T3" s="4" t="s">
        <v>149</v>
      </c>
      <c r="U3" s="4" t="s">
        <v>150</v>
      </c>
      <c r="V3" s="4" t="s">
        <v>151</v>
      </c>
      <c r="W3" s="4" t="s">
        <v>152</v>
      </c>
      <c r="X3" s="4" t="s">
        <v>153</v>
      </c>
      <c r="Y3" s="4" t="s">
        <v>154</v>
      </c>
      <c r="Z3" s="4" t="s">
        <v>155</v>
      </c>
      <c r="AA3" s="4" t="s">
        <v>156</v>
      </c>
      <c r="AB3" s="4" t="s">
        <v>157</v>
      </c>
      <c r="AC3" s="4" t="s">
        <v>158</v>
      </c>
      <c r="AD3" s="4" t="s">
        <v>159</v>
      </c>
      <c r="AE3" s="4" t="s">
        <v>160</v>
      </c>
      <c r="AF3" s="4" t="s">
        <v>161</v>
      </c>
      <c r="AG3" s="4" t="s">
        <v>162</v>
      </c>
      <c r="AH3" s="4" t="s">
        <v>163</v>
      </c>
      <c r="AI3" s="4" t="s">
        <v>164</v>
      </c>
      <c r="AJ3" s="4" t="s">
        <v>165</v>
      </c>
      <c r="AK3" s="4" t="s">
        <v>166</v>
      </c>
      <c r="AL3" s="4" t="s">
        <v>167</v>
      </c>
      <c r="AM3" s="4" t="s">
        <v>168</v>
      </c>
      <c r="AN3" s="4" t="s">
        <v>169</v>
      </c>
      <c r="AO3" s="4" t="s">
        <v>170</v>
      </c>
      <c r="AP3" s="4" t="s">
        <v>171</v>
      </c>
      <c r="AQ3" s="4" t="s">
        <v>172</v>
      </c>
      <c r="AR3" s="4" t="s">
        <v>173</v>
      </c>
      <c r="AS3" s="4" t="s">
        <v>174</v>
      </c>
      <c r="AT3" s="4" t="s">
        <v>175</v>
      </c>
      <c r="AU3" s="4" t="s">
        <v>176</v>
      </c>
      <c r="AV3" s="4" t="s">
        <v>177</v>
      </c>
      <c r="AW3" s="4" t="s">
        <v>178</v>
      </c>
      <c r="AX3" s="4" t="s">
        <v>179</v>
      </c>
      <c r="AY3" s="4" t="s">
        <v>180</v>
      </c>
      <c r="AZ3" s="4" t="s">
        <v>181</v>
      </c>
      <c r="BA3" s="4" t="s">
        <v>182</v>
      </c>
      <c r="BB3" s="4" t="s">
        <v>183</v>
      </c>
      <c r="BC3" s="4" t="s">
        <v>184</v>
      </c>
      <c r="BD3" s="4" t="s">
        <v>185</v>
      </c>
      <c r="BE3" s="4" t="s">
        <v>186</v>
      </c>
      <c r="BF3" s="4" t="s">
        <v>187</v>
      </c>
      <c r="BG3" s="4" t="s">
        <v>188</v>
      </c>
      <c r="BH3" s="4" t="s">
        <v>189</v>
      </c>
      <c r="BI3" s="4" t="s">
        <v>190</v>
      </c>
      <c r="BJ3" s="4" t="s">
        <v>191</v>
      </c>
      <c r="BK3" s="4" t="s">
        <v>192</v>
      </c>
      <c r="BL3" s="4" t="s">
        <v>193</v>
      </c>
      <c r="BM3" s="4" t="s">
        <v>194</v>
      </c>
      <c r="BN3" s="4" t="s">
        <v>195</v>
      </c>
      <c r="BO3" s="4" t="s">
        <v>196</v>
      </c>
      <c r="BP3" s="4" t="s">
        <v>197</v>
      </c>
      <c r="BQ3" s="4" t="s">
        <v>198</v>
      </c>
      <c r="BR3" s="4" t="s">
        <v>199</v>
      </c>
      <c r="BS3" s="4" t="s">
        <v>200</v>
      </c>
      <c r="BT3" s="4" t="s">
        <v>201</v>
      </c>
      <c r="BU3" s="4" t="s">
        <v>202</v>
      </c>
      <c r="BV3" s="4" t="s">
        <v>203</v>
      </c>
      <c r="BW3" s="4" t="s">
        <v>204</v>
      </c>
      <c r="BX3" s="4" t="s">
        <v>205</v>
      </c>
      <c r="BY3" s="4" t="s">
        <v>206</v>
      </c>
      <c r="BZ3" s="5" t="s">
        <v>207</v>
      </c>
      <c r="CA3" s="4" t="s">
        <v>208</v>
      </c>
      <c r="CB3" s="4" t="s">
        <v>209</v>
      </c>
      <c r="CC3" s="4" t="s">
        <v>210</v>
      </c>
      <c r="CD3" s="4" t="s">
        <v>211</v>
      </c>
      <c r="CE3" s="4" t="s">
        <v>212</v>
      </c>
      <c r="CF3" s="4" t="s">
        <v>213</v>
      </c>
      <c r="CG3" s="4" t="s">
        <v>214</v>
      </c>
      <c r="CH3" s="4" t="s">
        <v>215</v>
      </c>
      <c r="CI3" s="4" t="s">
        <v>216</v>
      </c>
      <c r="CJ3" s="4" t="s">
        <v>217</v>
      </c>
      <c r="CK3" s="4" t="s">
        <v>218</v>
      </c>
      <c r="CL3" s="4" t="s">
        <v>219</v>
      </c>
      <c r="CM3" s="4" t="s">
        <v>220</v>
      </c>
      <c r="CN3" s="4" t="s">
        <v>221</v>
      </c>
      <c r="CO3" s="4" t="s">
        <v>222</v>
      </c>
      <c r="CP3" s="4" t="s">
        <v>223</v>
      </c>
      <c r="CQ3" s="4" t="s">
        <v>224</v>
      </c>
      <c r="CR3" s="4" t="s">
        <v>225</v>
      </c>
      <c r="CS3" s="4" t="s">
        <v>226</v>
      </c>
      <c r="CT3" s="4" t="s">
        <v>227</v>
      </c>
      <c r="CU3" s="4" t="s">
        <v>228</v>
      </c>
      <c r="CV3" s="4" t="s">
        <v>229</v>
      </c>
      <c r="CW3" s="4" t="s">
        <v>230</v>
      </c>
      <c r="CX3" s="4" t="s">
        <v>231</v>
      </c>
      <c r="CY3" s="4" t="s">
        <v>232</v>
      </c>
      <c r="CZ3" s="4" t="s">
        <v>233</v>
      </c>
      <c r="DA3" s="4" t="s">
        <v>234</v>
      </c>
      <c r="DB3" s="4" t="s">
        <v>235</v>
      </c>
      <c r="DC3" s="4" t="s">
        <v>236</v>
      </c>
      <c r="DD3" s="4" t="s">
        <v>237</v>
      </c>
      <c r="DE3" s="4" t="s">
        <v>238</v>
      </c>
      <c r="DF3" s="4" t="s">
        <v>239</v>
      </c>
      <c r="DG3" s="4" t="s">
        <v>240</v>
      </c>
      <c r="DH3" s="4" t="s">
        <v>241</v>
      </c>
      <c r="DI3" s="4" t="s">
        <v>242</v>
      </c>
      <c r="DJ3" s="4" t="s">
        <v>243</v>
      </c>
      <c r="DK3" s="4" t="s">
        <v>244</v>
      </c>
      <c r="DL3" s="4" t="s">
        <v>245</v>
      </c>
      <c r="DM3" s="4" t="s">
        <v>246</v>
      </c>
      <c r="DN3" s="4" t="s">
        <v>247</v>
      </c>
      <c r="DO3" s="4" t="s">
        <v>248</v>
      </c>
      <c r="DP3" s="4" t="s">
        <v>249</v>
      </c>
      <c r="DQ3" s="4" t="s">
        <v>250</v>
      </c>
      <c r="DR3" s="4" t="s">
        <v>251</v>
      </c>
      <c r="DS3" s="4" t="s">
        <v>252</v>
      </c>
      <c r="DT3" s="4" t="s">
        <v>253</v>
      </c>
      <c r="DU3" s="4" t="s">
        <v>254</v>
      </c>
      <c r="DV3" s="4" t="s">
        <v>255</v>
      </c>
      <c r="DW3" s="4" t="s">
        <v>256</v>
      </c>
      <c r="DX3" s="4" t="s">
        <v>257</v>
      </c>
      <c r="DY3" s="4" t="s">
        <v>258</v>
      </c>
      <c r="DZ3" s="4" t="s">
        <v>259</v>
      </c>
      <c r="EA3" s="4" t="s">
        <v>260</v>
      </c>
      <c r="EB3" s="4" t="s">
        <v>261</v>
      </c>
      <c r="EC3" s="4" t="s">
        <v>262</v>
      </c>
      <c r="ED3" s="4" t="s">
        <v>263</v>
      </c>
    </row>
    <row r="4" spans="1:134" x14ac:dyDescent="0.25">
      <c r="A4">
        <v>7072184</v>
      </c>
      <c r="B4" t="s">
        <v>268</v>
      </c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>
        <v>190</v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</row>
    <row r="5" spans="1:134" x14ac:dyDescent="0.25">
      <c r="A5">
        <v>9108231</v>
      </c>
      <c r="B5" t="s">
        <v>268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</row>
    <row r="6" spans="1:134" x14ac:dyDescent="0.25">
      <c r="A6">
        <v>12061933</v>
      </c>
      <c r="B6" t="s">
        <v>268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</row>
    <row r="7" spans="1:134" x14ac:dyDescent="0.25">
      <c r="A7">
        <v>95005911</v>
      </c>
      <c r="B7" t="s">
        <v>268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>
        <v>40</v>
      </c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</row>
    <row r="8" spans="1:134" x14ac:dyDescent="0.25">
      <c r="A8">
        <v>99001908</v>
      </c>
      <c r="B8" t="s">
        <v>268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</row>
    <row r="9" spans="1:134" x14ac:dyDescent="0.25">
      <c r="A9">
        <v>99004067</v>
      </c>
      <c r="B9" t="s">
        <v>268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22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</row>
    <row r="10" spans="1:134" x14ac:dyDescent="0.25">
      <c r="A10">
        <v>97002136</v>
      </c>
      <c r="B10" t="s">
        <v>268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>
        <v>44</v>
      </c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</row>
    <row r="11" spans="1:134" x14ac:dyDescent="0.25">
      <c r="A11">
        <v>1502</v>
      </c>
      <c r="B11" t="s">
        <v>268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>
        <v>82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</row>
    <row r="12" spans="1:134" x14ac:dyDescent="0.25">
      <c r="A12">
        <v>4003543</v>
      </c>
      <c r="B12" t="s">
        <v>268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6"/>
      <c r="BB12" s="6"/>
      <c r="BC12" s="6"/>
      <c r="BD12" s="6"/>
      <c r="BE12" s="7">
        <v>53</v>
      </c>
      <c r="BF12" s="7"/>
      <c r="BG12" s="7"/>
      <c r="BH12" s="6"/>
      <c r="BI12" s="7">
        <v>38</v>
      </c>
      <c r="BJ12" s="7"/>
      <c r="BK12" s="7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</row>
    <row r="13" spans="1:134" x14ac:dyDescent="0.25">
      <c r="A13">
        <v>4900261</v>
      </c>
      <c r="B13" t="s">
        <v>268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</row>
    <row r="14" spans="1:134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</row>
    <row r="15" spans="1:134" x14ac:dyDescent="0.25">
      <c r="A15">
        <v>14242856</v>
      </c>
      <c r="B15" t="s">
        <v>269</v>
      </c>
      <c r="C15" s="6"/>
      <c r="D15" s="6"/>
      <c r="E15" s="6"/>
      <c r="F15" s="6"/>
      <c r="G15" s="6"/>
      <c r="H15" s="6"/>
      <c r="I15" s="6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>
        <v>145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</row>
    <row r="16" spans="1:134" x14ac:dyDescent="0.25">
      <c r="A16">
        <v>99001183</v>
      </c>
      <c r="B16" t="s">
        <v>269</v>
      </c>
      <c r="C16" s="6"/>
      <c r="D16" s="6"/>
      <c r="E16" s="6"/>
      <c r="F16" s="6"/>
      <c r="G16" s="6"/>
      <c r="H16" s="6"/>
      <c r="I16" s="6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6"/>
      <c r="AY16" s="6"/>
      <c r="AZ16" s="6"/>
      <c r="BA16" s="6"/>
      <c r="BB16" s="6"/>
      <c r="BC16" s="6"/>
      <c r="BD16" s="6"/>
      <c r="BE16" s="6">
        <v>23</v>
      </c>
      <c r="BF16" s="6"/>
      <c r="BG16" s="6"/>
      <c r="BH16" s="6"/>
      <c r="BI16" s="6"/>
      <c r="BJ16" s="6"/>
      <c r="BK16" s="6"/>
      <c r="BL16" s="7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</row>
    <row r="17" spans="1:134" x14ac:dyDescent="0.25">
      <c r="A17">
        <v>3000983</v>
      </c>
      <c r="B17" t="s">
        <v>269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>
        <v>28</v>
      </c>
      <c r="BC17" s="7">
        <v>241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7">
        <v>264</v>
      </c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</row>
    <row r="18" spans="1:134" x14ac:dyDescent="0.25">
      <c r="A18">
        <v>10064335</v>
      </c>
      <c r="B18" t="s">
        <v>269</v>
      </c>
      <c r="C18" s="7"/>
      <c r="D18" s="7"/>
      <c r="E18" s="7"/>
      <c r="F18" s="7"/>
      <c r="G18" s="7"/>
      <c r="H18" s="7"/>
      <c r="I18" s="7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7">
        <v>52</v>
      </c>
      <c r="BI18" s="7"/>
      <c r="BJ18" s="7"/>
      <c r="BK18" s="7"/>
      <c r="BL18" s="7">
        <v>101</v>
      </c>
      <c r="BM18" s="6"/>
      <c r="BN18" s="7">
        <v>113</v>
      </c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>
        <v>32</v>
      </c>
      <c r="CA18" s="7"/>
      <c r="CB18" s="7">
        <v>32</v>
      </c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</row>
    <row r="19" spans="1:134" x14ac:dyDescent="0.25">
      <c r="A19" s="12"/>
      <c r="B19" s="12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</row>
    <row r="20" spans="1:134" x14ac:dyDescent="0.25">
      <c r="A20">
        <v>1480</v>
      </c>
      <c r="B20" t="s">
        <v>270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>
        <v>24</v>
      </c>
      <c r="AY20" s="7"/>
      <c r="AZ20" s="7"/>
      <c r="BA20" s="7"/>
      <c r="BB20" s="7"/>
      <c r="BC20" s="7">
        <v>24</v>
      </c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</row>
    <row r="21" spans="1:134" x14ac:dyDescent="0.25">
      <c r="A21">
        <v>7063959</v>
      </c>
      <c r="B21" t="s">
        <v>270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</row>
    <row r="22" spans="1:134" x14ac:dyDescent="0.25">
      <c r="A22">
        <v>1003215</v>
      </c>
      <c r="B22" t="s">
        <v>270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27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</row>
    <row r="23" spans="1:134" x14ac:dyDescent="0.25">
      <c r="A23">
        <v>99000802</v>
      </c>
      <c r="B23" t="s">
        <v>270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7">
        <v>26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</row>
    <row r="24" spans="1:134" x14ac:dyDescent="0.25">
      <c r="A24">
        <v>99000892</v>
      </c>
      <c r="B24" t="s">
        <v>270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7">
        <v>65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</row>
    <row r="25" spans="1:134" x14ac:dyDescent="0.25">
      <c r="A25">
        <v>1000192</v>
      </c>
      <c r="B25" t="s">
        <v>270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</row>
    <row r="26" spans="1:134" x14ac:dyDescent="0.25">
      <c r="A26">
        <v>1506</v>
      </c>
      <c r="B26" t="s">
        <v>270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>
        <v>28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</row>
    <row r="27" spans="1:134" x14ac:dyDescent="0.25">
      <c r="A27">
        <v>99000894</v>
      </c>
      <c r="B27" t="s">
        <v>270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7">
        <v>30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</row>
    <row r="28" spans="1:134" x14ac:dyDescent="0.25">
      <c r="A28">
        <v>99000897</v>
      </c>
      <c r="B28" t="s">
        <v>270</v>
      </c>
      <c r="C28" s="7"/>
      <c r="D28" s="7"/>
      <c r="E28" s="7"/>
      <c r="F28" s="7"/>
      <c r="G28" s="7"/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>
        <v>37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</row>
    <row r="29" spans="1:134" x14ac:dyDescent="0.25">
      <c r="A29">
        <v>99001245</v>
      </c>
      <c r="B29" t="s">
        <v>270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</row>
    <row r="30" spans="1:134" x14ac:dyDescent="0.25">
      <c r="A30">
        <v>99001902</v>
      </c>
      <c r="B30" t="s">
        <v>270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>
        <v>29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</row>
    <row r="31" spans="1:134" x14ac:dyDescent="0.25">
      <c r="A31">
        <v>99001912</v>
      </c>
      <c r="B31" t="s">
        <v>270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>
        <v>147</v>
      </c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</row>
    <row r="32" spans="1:134" x14ac:dyDescent="0.25">
      <c r="A32">
        <v>99001913</v>
      </c>
      <c r="B32" t="s">
        <v>270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>
        <v>24</v>
      </c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</row>
    <row r="33" spans="1:134" x14ac:dyDescent="0.25">
      <c r="A33">
        <v>99001937</v>
      </c>
      <c r="B33" t="s">
        <v>270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>
        <v>48</v>
      </c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</row>
    <row r="34" spans="1:134" x14ac:dyDescent="0.25">
      <c r="A34">
        <v>99001943</v>
      </c>
      <c r="B34" t="s">
        <v>270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>
        <v>27</v>
      </c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</row>
    <row r="35" spans="1:134" x14ac:dyDescent="0.25">
      <c r="A35">
        <v>99001927</v>
      </c>
      <c r="B35" t="s">
        <v>270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>
        <v>2880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</row>
    <row r="36" spans="1:134" x14ac:dyDescent="0.25">
      <c r="A36">
        <v>1505</v>
      </c>
      <c r="B36" t="s">
        <v>270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7">
        <v>32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</row>
    <row r="37" spans="1:134" x14ac:dyDescent="0.25">
      <c r="A37">
        <v>1000197</v>
      </c>
      <c r="B37" t="s">
        <v>270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  <c r="BD37" s="7">
        <v>64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</row>
    <row r="38" spans="1:134" x14ac:dyDescent="0.25">
      <c r="A38">
        <v>96018835</v>
      </c>
      <c r="B38" t="s">
        <v>270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7">
        <v>1496</v>
      </c>
      <c r="AZ38" s="7">
        <v>1029</v>
      </c>
      <c r="BA38" s="7">
        <v>630</v>
      </c>
      <c r="BB38" s="6"/>
      <c r="BC38" s="7">
        <v>356</v>
      </c>
      <c r="BD38" s="7"/>
      <c r="BE38" s="6"/>
      <c r="BF38" s="6"/>
      <c r="BG38" s="6"/>
      <c r="BH38" s="6"/>
      <c r="BI38" s="7">
        <v>18</v>
      </c>
      <c r="BJ38" s="7"/>
      <c r="BK38" s="7">
        <v>19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</row>
    <row r="39" spans="1:134" x14ac:dyDescent="0.25">
      <c r="A39">
        <v>98008326</v>
      </c>
      <c r="B39" t="s">
        <v>270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</row>
    <row r="40" spans="1:134" x14ac:dyDescent="0.25">
      <c r="A40">
        <v>99000717</v>
      </c>
      <c r="B40" t="s">
        <v>270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7">
        <v>30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</row>
    <row r="41" spans="1:134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</row>
    <row r="42" spans="1:134" x14ac:dyDescent="0.25">
      <c r="A42">
        <v>6016435</v>
      </c>
      <c r="B42" t="s">
        <v>271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</row>
    <row r="43" spans="1:134" x14ac:dyDescent="0.25">
      <c r="A43">
        <v>8045149</v>
      </c>
      <c r="B43" t="s">
        <v>271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</row>
    <row r="44" spans="1:134" x14ac:dyDescent="0.25">
      <c r="A44">
        <v>10023001</v>
      </c>
      <c r="B44" t="s">
        <v>271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</row>
    <row r="45" spans="1:134" x14ac:dyDescent="0.25">
      <c r="A45">
        <v>10027526</v>
      </c>
      <c r="B45" t="s">
        <v>271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</row>
    <row r="46" spans="1:134" x14ac:dyDescent="0.25">
      <c r="A46">
        <v>14222171</v>
      </c>
      <c r="B46" t="s">
        <v>271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</row>
    <row r="47" spans="1:134" x14ac:dyDescent="0.25">
      <c r="A47">
        <v>1006143</v>
      </c>
      <c r="B47" t="s">
        <v>271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>
        <v>17.5</v>
      </c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</row>
    <row r="48" spans="1:134" x14ac:dyDescent="0.25">
      <c r="A48">
        <v>6006917</v>
      </c>
      <c r="B48" t="s">
        <v>271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>
        <v>74</v>
      </c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</row>
    <row r="49" spans="1:134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</row>
    <row r="50" spans="1:134" x14ac:dyDescent="0.25">
      <c r="A50">
        <v>8057159</v>
      </c>
      <c r="B50" t="s">
        <v>272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>
        <v>40</v>
      </c>
      <c r="BE50" s="7"/>
      <c r="BF50" s="7">
        <v>50</v>
      </c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</row>
    <row r="51" spans="1:134" x14ac:dyDescent="0.25">
      <c r="A51">
        <v>9140312</v>
      </c>
      <c r="B51" t="s">
        <v>272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</row>
    <row r="52" spans="1:134" x14ac:dyDescent="0.25">
      <c r="A52">
        <v>12008230</v>
      </c>
      <c r="B52" t="s">
        <v>272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</row>
    <row r="53" spans="1:134" x14ac:dyDescent="0.25">
      <c r="A53" t="s">
        <v>273</v>
      </c>
      <c r="B53" t="s">
        <v>272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>
        <v>44</v>
      </c>
      <c r="BB53" s="7"/>
      <c r="BC53" s="7"/>
      <c r="BD53" s="7"/>
      <c r="BE53" s="7"/>
      <c r="BF53" s="7"/>
      <c r="BG53" s="7">
        <v>70</v>
      </c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>
        <v>36</v>
      </c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</row>
    <row r="54" spans="1:134" x14ac:dyDescent="0.25">
      <c r="A54">
        <v>13118872</v>
      </c>
      <c r="B54" t="s">
        <v>272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</row>
    <row r="55" spans="1:134" x14ac:dyDescent="0.25">
      <c r="A55">
        <v>12012030</v>
      </c>
      <c r="B55" t="s">
        <v>272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</row>
    <row r="56" spans="1:134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</row>
    <row r="57" spans="1:134" x14ac:dyDescent="0.25">
      <c r="A57">
        <v>9074418</v>
      </c>
      <c r="B57" t="s">
        <v>274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</row>
    <row r="58" spans="1:134" x14ac:dyDescent="0.25">
      <c r="A58">
        <v>1263</v>
      </c>
      <c r="B58" t="s">
        <v>274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</row>
    <row r="59" spans="1:134" x14ac:dyDescent="0.25">
      <c r="A59">
        <v>98004910</v>
      </c>
      <c r="B59" t="s">
        <v>274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>
        <v>82</v>
      </c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</row>
    <row r="60" spans="1:134" x14ac:dyDescent="0.25">
      <c r="A60">
        <v>7103068</v>
      </c>
      <c r="B60" t="s">
        <v>274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</row>
    <row r="61" spans="1:134" x14ac:dyDescent="0.25">
      <c r="A61">
        <v>11240728</v>
      </c>
      <c r="B61" t="s">
        <v>274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>
        <v>156</v>
      </c>
      <c r="AY61" s="7">
        <v>151.80000000000001</v>
      </c>
      <c r="AZ61" s="7"/>
      <c r="BA61" s="7">
        <v>161.4</v>
      </c>
      <c r="BB61" s="7"/>
      <c r="BC61" s="7"/>
      <c r="BD61" s="7">
        <v>91.8</v>
      </c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</row>
    <row r="62" spans="1:134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</row>
    <row r="63" spans="1:134" x14ac:dyDescent="0.25">
      <c r="A63">
        <v>5015869</v>
      </c>
      <c r="B63" t="s">
        <v>275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>
        <v>898</v>
      </c>
      <c r="AY63" s="7"/>
      <c r="AZ63" s="7"/>
      <c r="BA63" s="7">
        <v>774</v>
      </c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</row>
    <row r="64" spans="1:134" x14ac:dyDescent="0.25">
      <c r="A64">
        <v>5016969</v>
      </c>
      <c r="B64" t="s">
        <v>275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</row>
    <row r="65" spans="1:134" x14ac:dyDescent="0.25">
      <c r="A65">
        <v>6023231</v>
      </c>
      <c r="B65" t="s">
        <v>275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</row>
    <row r="66" spans="1:134" x14ac:dyDescent="0.25">
      <c r="A66">
        <v>6011198</v>
      </c>
      <c r="B66" t="s">
        <v>275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</row>
    <row r="67" spans="1:134" x14ac:dyDescent="0.25">
      <c r="A67">
        <v>6012681</v>
      </c>
      <c r="B67" t="s">
        <v>275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</row>
    <row r="68" spans="1:134" x14ac:dyDescent="0.25">
      <c r="A68">
        <v>6014511</v>
      </c>
      <c r="B68" t="s">
        <v>275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</row>
    <row r="69" spans="1:134" x14ac:dyDescent="0.25">
      <c r="A69">
        <v>6045127</v>
      </c>
      <c r="B69" t="s">
        <v>275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</row>
    <row r="70" spans="1:134" x14ac:dyDescent="0.25">
      <c r="A70">
        <v>7000458</v>
      </c>
      <c r="B70" t="s">
        <v>275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>
        <v>166</v>
      </c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</row>
    <row r="71" spans="1:134" x14ac:dyDescent="0.25">
      <c r="A71">
        <v>7015502</v>
      </c>
      <c r="B71" t="s">
        <v>275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>
        <v>114</v>
      </c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</row>
    <row r="72" spans="1:134" x14ac:dyDescent="0.25">
      <c r="A72">
        <v>7025847</v>
      </c>
      <c r="B72" t="s">
        <v>275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</row>
    <row r="73" spans="1:134" x14ac:dyDescent="0.25">
      <c r="A73">
        <v>7082707</v>
      </c>
      <c r="B73" t="s">
        <v>275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>
        <v>111</v>
      </c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</row>
    <row r="74" spans="1:134" x14ac:dyDescent="0.25">
      <c r="A74">
        <v>7083159</v>
      </c>
      <c r="B74" t="s">
        <v>275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>
        <v>1329.6</v>
      </c>
      <c r="BP74" s="7"/>
      <c r="BQ74" s="7"/>
      <c r="BR74" s="7"/>
      <c r="BS74" s="7"/>
      <c r="BT74" s="7"/>
      <c r="BU74" s="7"/>
      <c r="BV74" s="7"/>
      <c r="BW74" s="7">
        <v>658.2</v>
      </c>
      <c r="BX74" s="7"/>
      <c r="BY74" s="7"/>
      <c r="BZ74" s="7"/>
      <c r="CA74" s="7"/>
      <c r="CB74" s="7"/>
      <c r="CC74" s="7"/>
      <c r="CD74" s="7"/>
      <c r="CE74" s="7">
        <v>300.60000000000002</v>
      </c>
      <c r="CF74" s="7"/>
      <c r="CG74" s="7">
        <v>202.8</v>
      </c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</row>
    <row r="75" spans="1:134" x14ac:dyDescent="0.25">
      <c r="A75">
        <v>7084659</v>
      </c>
      <c r="B75" t="s">
        <v>275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>
        <v>24.6</v>
      </c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>
        <v>1489.2</v>
      </c>
      <c r="AY75" s="7"/>
      <c r="AZ75" s="7"/>
      <c r="BA75" s="7"/>
      <c r="BB75" s="7"/>
      <c r="BC75" s="7"/>
      <c r="BD75" s="7"/>
      <c r="BE75" s="7"/>
      <c r="BF75" s="7"/>
      <c r="BG75" s="7">
        <v>52.2</v>
      </c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</row>
    <row r="76" spans="1:134" x14ac:dyDescent="0.25">
      <c r="A76">
        <v>7076814</v>
      </c>
      <c r="B76" t="s">
        <v>275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</row>
    <row r="77" spans="1:134" x14ac:dyDescent="0.25">
      <c r="A77">
        <v>7076815</v>
      </c>
      <c r="B77" t="s">
        <v>275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</row>
    <row r="78" spans="1:134" x14ac:dyDescent="0.25">
      <c r="A78">
        <v>7089231</v>
      </c>
      <c r="B78" t="s">
        <v>275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>
        <v>332</v>
      </c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</row>
    <row r="79" spans="1:134" x14ac:dyDescent="0.25">
      <c r="A79">
        <v>7116004</v>
      </c>
      <c r="B79" t="s">
        <v>275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>
        <v>111</v>
      </c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</row>
    <row r="80" spans="1:134" x14ac:dyDescent="0.25">
      <c r="A80">
        <v>8003819</v>
      </c>
      <c r="B80" t="s">
        <v>275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>
        <v>80</v>
      </c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</row>
    <row r="81" spans="1:134" x14ac:dyDescent="0.25">
      <c r="A81">
        <v>8091779</v>
      </c>
      <c r="B81" t="s">
        <v>275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</row>
    <row r="82" spans="1:134" x14ac:dyDescent="0.25">
      <c r="A82">
        <v>8112522</v>
      </c>
      <c r="B82" t="s">
        <v>275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>
        <v>991</v>
      </c>
      <c r="BF82" s="7"/>
      <c r="BG82" s="7">
        <v>2315</v>
      </c>
      <c r="BH82" s="7"/>
      <c r="BI82" s="7"/>
      <c r="BJ82" s="7">
        <v>370</v>
      </c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</row>
    <row r="83" spans="1:134" x14ac:dyDescent="0.25">
      <c r="A83" t="s">
        <v>276</v>
      </c>
      <c r="B83" t="s">
        <v>275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</row>
    <row r="84" spans="1:134" x14ac:dyDescent="0.25">
      <c r="A84">
        <v>8130998</v>
      </c>
      <c r="B84" t="s">
        <v>275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>
        <v>238</v>
      </c>
      <c r="AY84" s="7">
        <v>416</v>
      </c>
      <c r="AZ84" s="7"/>
      <c r="BA84" s="7">
        <v>279</v>
      </c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</row>
    <row r="85" spans="1:134" x14ac:dyDescent="0.25">
      <c r="A85">
        <v>9002836</v>
      </c>
      <c r="B85" t="s">
        <v>275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>
        <v>24.6</v>
      </c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</row>
    <row r="86" spans="1:134" x14ac:dyDescent="0.25">
      <c r="A86">
        <v>9003331</v>
      </c>
      <c r="B86" t="s">
        <v>275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>
        <v>2323.1999999999998</v>
      </c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>
        <v>1098</v>
      </c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</row>
    <row r="87" spans="1:134" x14ac:dyDescent="0.25">
      <c r="A87">
        <v>9003370</v>
      </c>
      <c r="B87" t="s">
        <v>275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>
        <v>99</v>
      </c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</row>
    <row r="88" spans="1:134" x14ac:dyDescent="0.25">
      <c r="A88">
        <v>9016278</v>
      </c>
      <c r="B88" t="s">
        <v>275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>
        <v>792</v>
      </c>
      <c r="AY88" s="7"/>
      <c r="AZ88" s="7"/>
      <c r="BA88" s="7"/>
      <c r="BB88" s="7"/>
      <c r="BC88" s="7">
        <v>427.2</v>
      </c>
      <c r="BD88" s="7"/>
      <c r="BE88" s="7"/>
      <c r="BF88" s="7"/>
      <c r="BG88" s="7">
        <v>310.8</v>
      </c>
      <c r="BH88" s="7"/>
      <c r="BI88" s="7"/>
      <c r="BJ88" s="7"/>
      <c r="BK88" s="7">
        <v>291</v>
      </c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</row>
    <row r="89" spans="1:134" x14ac:dyDescent="0.25">
      <c r="A89">
        <v>9030684</v>
      </c>
      <c r="B89" t="s">
        <v>275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>
        <v>26.4</v>
      </c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</row>
    <row r="90" spans="1:134" x14ac:dyDescent="0.25">
      <c r="A90">
        <v>9031387</v>
      </c>
      <c r="B90" t="s">
        <v>275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>
        <v>37.200000000000003</v>
      </c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</row>
    <row r="91" spans="1:134" x14ac:dyDescent="0.25">
      <c r="A91">
        <v>9038676</v>
      </c>
      <c r="B91" t="s">
        <v>275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>
        <v>11.4</v>
      </c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</row>
    <row r="92" spans="1:134" x14ac:dyDescent="0.25">
      <c r="A92">
        <v>9039416</v>
      </c>
      <c r="B92" t="s">
        <v>275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>
        <v>22.2</v>
      </c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</row>
    <row r="93" spans="1:134" x14ac:dyDescent="0.25">
      <c r="A93">
        <v>9042861</v>
      </c>
      <c r="B93" t="s">
        <v>275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>
        <v>52.2</v>
      </c>
      <c r="BO93" s="7"/>
      <c r="BP93" s="7"/>
      <c r="BQ93" s="7">
        <v>43.2</v>
      </c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</row>
    <row r="94" spans="1:134" x14ac:dyDescent="0.25">
      <c r="A94">
        <v>9044899</v>
      </c>
      <c r="B94" t="s">
        <v>275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>
        <v>45</v>
      </c>
      <c r="AY94" s="7"/>
      <c r="AZ94" s="7">
        <v>77</v>
      </c>
      <c r="BA94" s="7"/>
      <c r="BB94" s="7"/>
      <c r="BC94" s="7">
        <v>49</v>
      </c>
      <c r="BD94" s="7"/>
      <c r="BE94" s="7"/>
      <c r="BF94" s="7">
        <v>42</v>
      </c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</row>
    <row r="95" spans="1:134" x14ac:dyDescent="0.25">
      <c r="A95">
        <v>9052398</v>
      </c>
      <c r="B95" t="s">
        <v>275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>
        <v>144.6</v>
      </c>
      <c r="AY95" s="7"/>
      <c r="AZ95" s="7">
        <v>116.4</v>
      </c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</row>
    <row r="96" spans="1:134" x14ac:dyDescent="0.25">
      <c r="A96">
        <v>9085204</v>
      </c>
      <c r="B96" t="s">
        <v>275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>
        <v>874</v>
      </c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>
        <v>70</v>
      </c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</row>
    <row r="97" spans="1:134" x14ac:dyDescent="0.25">
      <c r="A97">
        <v>9105492</v>
      </c>
      <c r="B97" t="s">
        <v>275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>
        <v>80</v>
      </c>
      <c r="AY97" s="7">
        <v>512</v>
      </c>
      <c r="AZ97" s="7">
        <v>750</v>
      </c>
      <c r="BA97" s="7">
        <v>574</v>
      </c>
      <c r="BB97" s="7"/>
      <c r="BC97" s="7"/>
      <c r="BD97" s="7"/>
      <c r="BE97" s="7">
        <v>223</v>
      </c>
      <c r="BF97" s="7"/>
      <c r="BG97" s="7"/>
      <c r="BH97" s="7"/>
      <c r="BI97" s="7">
        <v>97</v>
      </c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</row>
    <row r="98" spans="1:134" x14ac:dyDescent="0.25">
      <c r="A98">
        <v>9138470</v>
      </c>
      <c r="B98" t="s">
        <v>275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>
        <v>41.2</v>
      </c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</row>
    <row r="99" spans="1:134" x14ac:dyDescent="0.25">
      <c r="A99">
        <v>9150676</v>
      </c>
      <c r="B99" t="s">
        <v>275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>
        <v>56</v>
      </c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>
        <v>135</v>
      </c>
      <c r="DU99" s="7"/>
      <c r="DV99" s="7"/>
      <c r="DW99" s="7"/>
      <c r="DX99" s="7"/>
      <c r="DY99" s="7"/>
      <c r="DZ99" s="7"/>
      <c r="EA99" s="7"/>
      <c r="EB99" s="7"/>
      <c r="EC99" s="7"/>
      <c r="ED99" s="7">
        <v>120</v>
      </c>
    </row>
    <row r="100" spans="1:134" x14ac:dyDescent="0.25">
      <c r="A100">
        <v>10010926</v>
      </c>
      <c r="B100" t="s">
        <v>275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>
        <v>16.7</v>
      </c>
      <c r="AY100" s="7"/>
      <c r="AZ100" s="7">
        <v>18.399999999999999</v>
      </c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</row>
    <row r="101" spans="1:134" x14ac:dyDescent="0.25">
      <c r="A101" t="s">
        <v>277</v>
      </c>
      <c r="B101" t="s">
        <v>275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>
        <v>24</v>
      </c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>
        <v>224</v>
      </c>
      <c r="AY101" s="7"/>
      <c r="AZ101" s="7"/>
      <c r="BA101" s="7"/>
      <c r="BB101" s="7"/>
      <c r="BC101" s="7">
        <v>118</v>
      </c>
      <c r="BD101" s="7"/>
      <c r="BE101" s="7"/>
      <c r="BF101" s="7"/>
      <c r="BG101" s="7"/>
      <c r="BH101" s="7"/>
      <c r="BI101" s="7"/>
      <c r="BJ101" s="7"/>
      <c r="BK101" s="7">
        <v>68</v>
      </c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>
        <v>136</v>
      </c>
      <c r="CC101" s="7"/>
      <c r="CD101" s="7"/>
      <c r="CE101" s="7"/>
      <c r="CF101" s="7"/>
      <c r="CG101" s="7"/>
      <c r="CH101" s="7">
        <v>36</v>
      </c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</row>
    <row r="102" spans="1:134" x14ac:dyDescent="0.25">
      <c r="A102">
        <v>10091530</v>
      </c>
      <c r="B102" t="s">
        <v>275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>
        <v>2522.4</v>
      </c>
      <c r="BB102" s="7"/>
      <c r="BC102" s="7">
        <v>1931.4</v>
      </c>
      <c r="BD102" s="7">
        <v>1641</v>
      </c>
      <c r="BE102" s="7">
        <v>1736.4</v>
      </c>
      <c r="BF102" s="7"/>
      <c r="BG102" s="7">
        <v>1337.4</v>
      </c>
      <c r="BH102" s="7">
        <v>1390.8</v>
      </c>
      <c r="BI102" s="7"/>
      <c r="BJ102" s="7">
        <v>1276.2</v>
      </c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>
        <v>356.4</v>
      </c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</row>
    <row r="103" spans="1:134" x14ac:dyDescent="0.25">
      <c r="A103">
        <v>10102052</v>
      </c>
      <c r="B103" t="s">
        <v>275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</row>
    <row r="104" spans="1:134" x14ac:dyDescent="0.25">
      <c r="A104">
        <v>10104735</v>
      </c>
      <c r="B104" t="s">
        <v>275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>
        <v>114</v>
      </c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</row>
    <row r="105" spans="1:134" x14ac:dyDescent="0.25">
      <c r="A105">
        <v>10131550</v>
      </c>
      <c r="B105" t="s">
        <v>275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>
        <v>95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</row>
    <row r="106" spans="1:134" x14ac:dyDescent="0.25">
      <c r="A106">
        <v>10131607</v>
      </c>
      <c r="B106" t="s">
        <v>275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>
        <v>135</v>
      </c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>
        <v>56</v>
      </c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>
        <v>62</v>
      </c>
      <c r="DY106" s="7"/>
      <c r="DZ106" s="7"/>
      <c r="EA106" s="7"/>
      <c r="EB106" s="7"/>
      <c r="EC106" s="7"/>
      <c r="ED106" s="7"/>
    </row>
    <row r="107" spans="1:134" x14ac:dyDescent="0.25">
      <c r="A107">
        <v>10145202</v>
      </c>
      <c r="B107" t="s">
        <v>275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</row>
    <row r="108" spans="1:134" x14ac:dyDescent="0.25">
      <c r="A108">
        <v>10158770</v>
      </c>
      <c r="B108" t="s">
        <v>275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</row>
    <row r="109" spans="1:134" x14ac:dyDescent="0.25">
      <c r="A109">
        <v>10162949</v>
      </c>
      <c r="B109" t="s">
        <v>275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>
        <v>10.8</v>
      </c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</row>
    <row r="110" spans="1:134" x14ac:dyDescent="0.25">
      <c r="A110">
        <v>10171633</v>
      </c>
      <c r="B110" t="s">
        <v>275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>
        <v>12.6</v>
      </c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</row>
    <row r="111" spans="1:134" x14ac:dyDescent="0.25">
      <c r="A111">
        <v>11005762</v>
      </c>
      <c r="B111" t="s">
        <v>275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>
        <v>1878.6</v>
      </c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>
        <v>468.6</v>
      </c>
      <c r="BK111" s="7"/>
      <c r="BL111" s="7"/>
      <c r="BM111" s="7"/>
      <c r="BN111" s="7">
        <v>415.2</v>
      </c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</row>
    <row r="112" spans="1:134" x14ac:dyDescent="0.25">
      <c r="A112" t="s">
        <v>278</v>
      </c>
      <c r="B112" t="s">
        <v>275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>
        <v>20</v>
      </c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>
        <v>305</v>
      </c>
      <c r="AY112" s="7"/>
      <c r="AZ112" s="7"/>
      <c r="BA112" s="7"/>
      <c r="BB112" s="7">
        <v>180</v>
      </c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>
        <v>21</v>
      </c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</row>
    <row r="113" spans="1:134" x14ac:dyDescent="0.25">
      <c r="A113">
        <v>11018341</v>
      </c>
      <c r="B113" t="s">
        <v>275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</row>
    <row r="114" spans="1:134" x14ac:dyDescent="0.25">
      <c r="A114">
        <v>11021445</v>
      </c>
      <c r="B114" t="s">
        <v>275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>
        <v>469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</row>
    <row r="115" spans="1:134" x14ac:dyDescent="0.25">
      <c r="A115">
        <v>11025151</v>
      </c>
      <c r="B115" t="s">
        <v>275</v>
      </c>
      <c r="C115" s="7"/>
      <c r="D115" s="7"/>
      <c r="E115" s="7">
        <v>15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>
        <v>1700</v>
      </c>
      <c r="AZ115" s="7">
        <v>1963</v>
      </c>
      <c r="BA115" s="7">
        <v>1404</v>
      </c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>
        <v>525</v>
      </c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</row>
    <row r="116" spans="1:134" x14ac:dyDescent="0.25">
      <c r="A116">
        <v>11039110</v>
      </c>
      <c r="B116" t="s">
        <v>275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>
        <v>33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>
        <v>69</v>
      </c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>
        <v>116</v>
      </c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>
        <v>58</v>
      </c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</row>
    <row r="117" spans="1:134" x14ac:dyDescent="0.25">
      <c r="A117">
        <v>11108410</v>
      </c>
      <c r="B117" t="s">
        <v>275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>
        <v>19.5</v>
      </c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>
        <v>62.4</v>
      </c>
      <c r="BF117" s="7"/>
      <c r="BG117" s="7"/>
      <c r="BH117" s="7"/>
      <c r="BI117" s="7">
        <v>37.299999999999997</v>
      </c>
      <c r="BJ117" s="7"/>
      <c r="BK117" s="7"/>
      <c r="BL117" s="7"/>
      <c r="BM117" s="7"/>
      <c r="BN117" s="7"/>
      <c r="BO117" s="7"/>
      <c r="BP117" s="7">
        <v>22.5</v>
      </c>
      <c r="BQ117" s="7"/>
      <c r="BR117" s="7"/>
      <c r="BS117" s="7"/>
      <c r="BT117" s="7"/>
      <c r="BU117" s="7"/>
      <c r="BV117" s="7"/>
      <c r="BW117" s="7"/>
      <c r="BX117" s="7">
        <v>16.8</v>
      </c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</row>
    <row r="118" spans="1:134" x14ac:dyDescent="0.25">
      <c r="A118">
        <v>11139605</v>
      </c>
      <c r="B118" t="s">
        <v>275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>
        <v>1531.8</v>
      </c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</row>
    <row r="119" spans="1:134" x14ac:dyDescent="0.25">
      <c r="A119">
        <v>11201694</v>
      </c>
      <c r="B119" t="s">
        <v>275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>
        <v>700</v>
      </c>
      <c r="AX119" s="7">
        <v>679</v>
      </c>
      <c r="AY119" s="7"/>
      <c r="AZ119" s="7"/>
      <c r="BA119" s="7"/>
      <c r="BB119" s="7">
        <v>316</v>
      </c>
      <c r="BC119" s="7"/>
      <c r="BD119" s="7"/>
      <c r="BE119" s="7">
        <v>146</v>
      </c>
      <c r="BF119" s="7"/>
      <c r="BG119" s="7"/>
      <c r="BH119" s="7">
        <v>121</v>
      </c>
      <c r="BI119" s="7"/>
      <c r="BJ119" s="7"/>
      <c r="BK119" s="7"/>
      <c r="BL119" s="7"/>
      <c r="BM119" s="7"/>
      <c r="BN119" s="7">
        <v>63</v>
      </c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</row>
    <row r="120" spans="1:134" x14ac:dyDescent="0.25">
      <c r="A120">
        <v>11242543</v>
      </c>
      <c r="B120" t="s">
        <v>275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>
        <v>64</v>
      </c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>
        <v>69</v>
      </c>
      <c r="AX120" s="7">
        <v>65</v>
      </c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</row>
    <row r="121" spans="1:134" x14ac:dyDescent="0.25">
      <c r="A121">
        <v>11247293</v>
      </c>
      <c r="B121" t="s">
        <v>275</v>
      </c>
      <c r="C121" s="7"/>
      <c r="D121" s="7"/>
      <c r="E121" s="7"/>
      <c r="F121" s="7"/>
      <c r="G121" s="7">
        <v>34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>
        <v>124</v>
      </c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>
        <v>251</v>
      </c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>
        <v>49</v>
      </c>
      <c r="DX121" s="7"/>
      <c r="DY121" s="7"/>
      <c r="DZ121" s="7"/>
      <c r="EA121" s="7"/>
      <c r="EB121" s="7"/>
      <c r="EC121" s="7"/>
      <c r="ED121" s="7"/>
    </row>
    <row r="122" spans="1:134" x14ac:dyDescent="0.25">
      <c r="A122">
        <v>12006449</v>
      </c>
      <c r="B122" t="s">
        <v>275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>
        <v>128</v>
      </c>
      <c r="AY122" s="7"/>
      <c r="AZ122" s="7"/>
      <c r="BA122" s="7"/>
      <c r="BB122" s="7">
        <v>87</v>
      </c>
      <c r="BC122" s="7"/>
      <c r="BD122" s="7"/>
      <c r="BE122" s="7"/>
      <c r="BF122" s="7"/>
      <c r="BG122" s="7"/>
      <c r="BH122" s="7"/>
      <c r="BI122" s="7"/>
      <c r="BJ122" s="7"/>
      <c r="BK122" s="7"/>
      <c r="BL122" s="7">
        <v>40</v>
      </c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</row>
    <row r="123" spans="1:134" x14ac:dyDescent="0.25">
      <c r="A123">
        <v>12049136</v>
      </c>
      <c r="B123" t="s">
        <v>275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</row>
    <row r="124" spans="1:134" x14ac:dyDescent="0.25">
      <c r="A124">
        <v>12087508</v>
      </c>
      <c r="B124" t="s">
        <v>275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>
        <v>1720</v>
      </c>
      <c r="AY124" s="7"/>
      <c r="AZ124" s="7">
        <v>1649</v>
      </c>
      <c r="BA124" s="7">
        <v>1486</v>
      </c>
      <c r="BB124" s="7"/>
      <c r="BC124" s="7">
        <v>844</v>
      </c>
      <c r="BD124" s="7"/>
      <c r="BE124" s="7"/>
      <c r="BF124" s="7"/>
      <c r="BG124" s="7">
        <v>395</v>
      </c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</row>
    <row r="125" spans="1:134" x14ac:dyDescent="0.25">
      <c r="A125">
        <v>12229481</v>
      </c>
      <c r="B125" t="s">
        <v>275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>
        <v>1774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</row>
    <row r="126" spans="1:134" x14ac:dyDescent="0.25">
      <c r="A126">
        <v>12258821</v>
      </c>
      <c r="B126" t="s">
        <v>275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</row>
    <row r="127" spans="1:134" x14ac:dyDescent="0.25">
      <c r="A127">
        <v>12309729</v>
      </c>
      <c r="B127" t="s">
        <v>275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>
        <v>607</v>
      </c>
      <c r="AY127" s="7"/>
      <c r="AZ127" s="7"/>
      <c r="BA127" s="7"/>
      <c r="BB127" s="7"/>
      <c r="BC127" s="7"/>
      <c r="BD127" s="7"/>
      <c r="BE127" s="7">
        <v>69</v>
      </c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</row>
    <row r="128" spans="1:134" x14ac:dyDescent="0.25">
      <c r="A128" t="s">
        <v>279</v>
      </c>
      <c r="B128" t="s">
        <v>275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>
        <v>1333</v>
      </c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</row>
    <row r="129" spans="1:134" x14ac:dyDescent="0.25">
      <c r="A129">
        <v>13005942</v>
      </c>
      <c r="B129" t="s">
        <v>275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>
        <v>1693</v>
      </c>
      <c r="AY129" s="7"/>
      <c r="AZ129" s="7"/>
      <c r="BA129" s="7"/>
      <c r="BB129" s="7"/>
      <c r="BC129" s="7"/>
      <c r="BD129" s="7">
        <v>286</v>
      </c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</row>
    <row r="130" spans="1:134" x14ac:dyDescent="0.25">
      <c r="A130">
        <v>324</v>
      </c>
      <c r="B130" t="s">
        <v>275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>
        <v>33.5</v>
      </c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>
        <v>14.5</v>
      </c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</row>
    <row r="131" spans="1:134" x14ac:dyDescent="0.25">
      <c r="A131">
        <v>3909</v>
      </c>
      <c r="B131" t="s">
        <v>275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>
        <v>570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>
        <v>158</v>
      </c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</row>
    <row r="132" spans="1:134" x14ac:dyDescent="0.25">
      <c r="A132">
        <v>4663</v>
      </c>
      <c r="B132" t="s">
        <v>275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>
        <v>29.4</v>
      </c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>
        <v>82.2</v>
      </c>
      <c r="BI132" s="7"/>
      <c r="BJ132" s="7"/>
      <c r="BK132" s="7"/>
      <c r="BL132" s="7"/>
      <c r="BM132" s="7">
        <v>498.6</v>
      </c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</row>
    <row r="133" spans="1:134" x14ac:dyDescent="0.25">
      <c r="A133">
        <v>1005522</v>
      </c>
      <c r="B133" t="s">
        <v>275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>
        <v>10</v>
      </c>
      <c r="X133" s="7"/>
      <c r="Y133" s="7"/>
      <c r="Z133" s="7"/>
      <c r="AA133" s="7"/>
      <c r="AB133" s="7"/>
      <c r="AC133" s="7"/>
      <c r="AD133" s="7"/>
      <c r="AE133" s="7">
        <v>13</v>
      </c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>
        <v>63</v>
      </c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>
        <v>13</v>
      </c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</row>
    <row r="134" spans="1:134" x14ac:dyDescent="0.25">
      <c r="A134">
        <v>1007631</v>
      </c>
      <c r="B134" t="s">
        <v>275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>
        <v>50</v>
      </c>
      <c r="AZ134" s="7"/>
      <c r="BA134" s="7"/>
      <c r="BB134" s="7"/>
      <c r="BC134" s="7"/>
      <c r="BD134" s="7"/>
      <c r="BE134" s="7"/>
      <c r="BF134" s="7">
        <v>16</v>
      </c>
      <c r="BG134" s="7"/>
      <c r="BH134" s="7"/>
      <c r="BI134" s="7">
        <v>71</v>
      </c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>
        <v>27</v>
      </c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</row>
    <row r="135" spans="1:134" x14ac:dyDescent="0.25">
      <c r="A135">
        <v>1009760</v>
      </c>
      <c r="B135" t="s">
        <v>275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>
        <v>976.6</v>
      </c>
      <c r="BB135" s="7"/>
      <c r="BC135" s="7">
        <v>794.2</v>
      </c>
      <c r="BD135" s="7"/>
      <c r="BE135" s="7"/>
      <c r="BF135" s="7"/>
      <c r="BG135" s="7">
        <v>755.4</v>
      </c>
      <c r="BH135" s="7"/>
      <c r="BI135" s="7">
        <v>852.1</v>
      </c>
      <c r="BJ135" s="7"/>
      <c r="BK135" s="7"/>
      <c r="BL135" s="7"/>
      <c r="BM135" s="7">
        <v>623.29999999999995</v>
      </c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</row>
    <row r="136" spans="1:134" x14ac:dyDescent="0.25">
      <c r="A136">
        <v>2000646</v>
      </c>
      <c r="B136" t="s">
        <v>275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>
        <v>203</v>
      </c>
      <c r="AY136" s="7">
        <v>293</v>
      </c>
      <c r="AZ136" s="7"/>
      <c r="BA136" s="7"/>
      <c r="BB136" s="7"/>
      <c r="BC136" s="7"/>
      <c r="BD136" s="7"/>
      <c r="BE136" s="7"/>
      <c r="BF136" s="7">
        <v>68</v>
      </c>
      <c r="BG136" s="7">
        <v>61</v>
      </c>
      <c r="BH136" s="7">
        <v>61</v>
      </c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</row>
    <row r="137" spans="1:134" x14ac:dyDescent="0.25">
      <c r="A137">
        <v>2003761</v>
      </c>
      <c r="B137" t="s">
        <v>275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</row>
    <row r="138" spans="1:134" x14ac:dyDescent="0.25">
      <c r="A138">
        <v>2004061</v>
      </c>
      <c r="B138" t="s">
        <v>275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</row>
    <row r="139" spans="1:134" x14ac:dyDescent="0.25">
      <c r="A139">
        <v>2006469</v>
      </c>
      <c r="B139" t="s">
        <v>275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>
        <v>399</v>
      </c>
      <c r="AX139" s="7">
        <v>196</v>
      </c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</row>
    <row r="140" spans="1:134" x14ac:dyDescent="0.25">
      <c r="A140">
        <v>3005132</v>
      </c>
      <c r="B140" t="s">
        <v>275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</row>
    <row r="141" spans="1:134" x14ac:dyDescent="0.25">
      <c r="A141">
        <v>3009119</v>
      </c>
      <c r="B141" t="s">
        <v>275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>
        <v>150</v>
      </c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</row>
    <row r="142" spans="1:134" x14ac:dyDescent="0.25">
      <c r="A142">
        <v>3009936</v>
      </c>
      <c r="B142" t="s">
        <v>275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</row>
    <row r="143" spans="1:134" x14ac:dyDescent="0.25">
      <c r="A143">
        <v>3011094</v>
      </c>
      <c r="B143" t="s">
        <v>275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</row>
    <row r="144" spans="1:134" x14ac:dyDescent="0.25">
      <c r="A144">
        <v>3014643</v>
      </c>
      <c r="B144" t="s">
        <v>275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>
        <v>143</v>
      </c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>
        <v>43</v>
      </c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>
        <v>15.7</v>
      </c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</row>
    <row r="145" spans="1:134" x14ac:dyDescent="0.25">
      <c r="A145">
        <v>3016056</v>
      </c>
      <c r="B145" t="s">
        <v>275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>
        <v>147</v>
      </c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>
        <v>213</v>
      </c>
      <c r="DO145" s="7">
        <v>180</v>
      </c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</row>
    <row r="146" spans="1:134" x14ac:dyDescent="0.25">
      <c r="A146">
        <v>3900219</v>
      </c>
      <c r="B146" t="s">
        <v>275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>
        <v>19</v>
      </c>
      <c r="AO146" s="7"/>
      <c r="AP146" s="7">
        <v>19</v>
      </c>
      <c r="AQ146" s="7"/>
      <c r="AR146" s="7"/>
      <c r="AS146" s="7"/>
      <c r="AT146" s="7"/>
      <c r="AU146" s="7"/>
      <c r="AV146" s="7"/>
      <c r="AW146" s="7"/>
      <c r="AX146" s="7">
        <v>24</v>
      </c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>
        <v>28</v>
      </c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</row>
    <row r="147" spans="1:134" x14ac:dyDescent="0.25">
      <c r="A147">
        <v>4000158</v>
      </c>
      <c r="B147" t="s">
        <v>275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>
        <v>83.4</v>
      </c>
      <c r="BA147" s="7">
        <v>76.8</v>
      </c>
      <c r="BB147" s="7"/>
      <c r="BC147" s="7"/>
      <c r="BD147" s="7"/>
      <c r="BE147" s="7"/>
      <c r="BF147" s="7"/>
      <c r="BG147" s="7"/>
      <c r="BH147" s="7">
        <v>24</v>
      </c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</row>
    <row r="148" spans="1:134" x14ac:dyDescent="0.25">
      <c r="A148">
        <v>4000304</v>
      </c>
      <c r="B148" t="s">
        <v>275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>
        <v>1104</v>
      </c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</row>
    <row r="149" spans="1:134" x14ac:dyDescent="0.25">
      <c r="A149">
        <v>4001905</v>
      </c>
      <c r="B149" t="s">
        <v>275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</row>
    <row r="150" spans="1:134" x14ac:dyDescent="0.25">
      <c r="A150">
        <v>4002206</v>
      </c>
      <c r="B150" t="s">
        <v>275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>
        <v>25.8</v>
      </c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</row>
    <row r="151" spans="1:134" x14ac:dyDescent="0.25">
      <c r="A151">
        <v>4002715</v>
      </c>
      <c r="B151" t="s">
        <v>275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</row>
    <row r="152" spans="1:134" x14ac:dyDescent="0.25">
      <c r="A152">
        <v>4003924</v>
      </c>
      <c r="B152" t="s">
        <v>275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>
        <v>1276</v>
      </c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</row>
    <row r="153" spans="1:134" x14ac:dyDescent="0.25">
      <c r="A153">
        <v>4006051</v>
      </c>
      <c r="B153" t="s">
        <v>275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</row>
    <row r="154" spans="1:134" x14ac:dyDescent="0.25">
      <c r="A154">
        <v>4008140</v>
      </c>
      <c r="B154" t="s">
        <v>275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>
        <v>291</v>
      </c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</row>
    <row r="155" spans="1:134" x14ac:dyDescent="0.25">
      <c r="A155">
        <v>4009906</v>
      </c>
      <c r="B155" t="s">
        <v>275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>
        <v>32</v>
      </c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>
        <v>26</v>
      </c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>
        <v>24</v>
      </c>
      <c r="DE155" s="7"/>
      <c r="DF155" s="7"/>
      <c r="DG155" s="7"/>
      <c r="DH155" s="7"/>
      <c r="DI155" s="7"/>
      <c r="DJ155" s="7"/>
      <c r="DK155" s="7"/>
      <c r="DL155" s="7"/>
      <c r="DM155" s="7">
        <v>46</v>
      </c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</row>
    <row r="156" spans="1:134" x14ac:dyDescent="0.25">
      <c r="A156">
        <v>4011027</v>
      </c>
      <c r="B156" t="s">
        <v>275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>
        <v>23.4</v>
      </c>
      <c r="AZ156" s="7">
        <v>24</v>
      </c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</row>
    <row r="157" spans="1:134" x14ac:dyDescent="0.25">
      <c r="A157">
        <v>4011920</v>
      </c>
      <c r="B157" t="s">
        <v>275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>
        <v>625</v>
      </c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>
        <v>76</v>
      </c>
      <c r="BJ157" s="7"/>
      <c r="BK157" s="7"/>
      <c r="BL157" s="7"/>
      <c r="BM157" s="7"/>
      <c r="BN157" s="7"/>
      <c r="BO157" s="7"/>
      <c r="BP157" s="7"/>
      <c r="BQ157" s="7"/>
      <c r="BR157" s="7"/>
      <c r="BS157" s="7">
        <v>17</v>
      </c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</row>
    <row r="158" spans="1:134" x14ac:dyDescent="0.25">
      <c r="A158">
        <v>4012248</v>
      </c>
      <c r="B158" t="s">
        <v>275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>
        <v>285</v>
      </c>
      <c r="AY158" s="7">
        <v>256</v>
      </c>
      <c r="AZ158" s="7"/>
      <c r="BA158" s="7">
        <v>180</v>
      </c>
      <c r="BB158" s="7"/>
      <c r="BC158" s="7"/>
      <c r="BD158" s="7"/>
      <c r="BE158" s="7"/>
      <c r="BF158" s="7">
        <v>171</v>
      </c>
      <c r="BG158" s="7"/>
      <c r="BH158" s="7"/>
      <c r="BI158" s="7"/>
      <c r="BJ158" s="7"/>
      <c r="BK158" s="7">
        <v>86</v>
      </c>
      <c r="BL158" s="7"/>
      <c r="BM158" s="7"/>
      <c r="BN158" s="7"/>
      <c r="BO158" s="7"/>
      <c r="BP158" s="7"/>
      <c r="BQ158" s="7"/>
      <c r="BR158" s="7">
        <v>45</v>
      </c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>
        <v>33</v>
      </c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</row>
    <row r="159" spans="1:134" x14ac:dyDescent="0.25">
      <c r="A159">
        <v>4013603</v>
      </c>
      <c r="B159" t="s">
        <v>275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>
        <v>120</v>
      </c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</row>
    <row r="160" spans="1:134" x14ac:dyDescent="0.25">
      <c r="A160">
        <v>5004654</v>
      </c>
      <c r="B160" t="s">
        <v>275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>
        <v>2002</v>
      </c>
      <c r="AZ160" s="7">
        <v>2444</v>
      </c>
      <c r="BA160" s="7">
        <v>2265</v>
      </c>
      <c r="BB160" s="7">
        <v>3468</v>
      </c>
      <c r="BC160" s="7">
        <v>2847</v>
      </c>
      <c r="BD160" s="7">
        <v>2301</v>
      </c>
      <c r="BE160" s="7"/>
      <c r="BF160" s="7">
        <v>1462</v>
      </c>
      <c r="BG160" s="7"/>
      <c r="BH160" s="7">
        <v>764</v>
      </c>
      <c r="BI160" s="7"/>
      <c r="BJ160" s="7"/>
      <c r="BK160" s="7"/>
      <c r="BL160" s="7">
        <v>294</v>
      </c>
      <c r="BM160" s="7"/>
      <c r="BN160" s="7">
        <v>181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</row>
    <row r="161" spans="1:134" x14ac:dyDescent="0.25">
      <c r="A161">
        <v>5008807</v>
      </c>
      <c r="B161" t="s">
        <v>275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>
        <v>1576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>
        <v>472</v>
      </c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</row>
    <row r="162" spans="1:134" x14ac:dyDescent="0.25">
      <c r="A162">
        <v>5009400</v>
      </c>
      <c r="B162" t="s">
        <v>275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>
        <v>510</v>
      </c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</row>
    <row r="163" spans="1:134" x14ac:dyDescent="0.25">
      <c r="A163">
        <v>5016255</v>
      </c>
      <c r="B163" t="s">
        <v>275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>
        <v>42</v>
      </c>
      <c r="AU163" s="7"/>
      <c r="AV163" s="7"/>
      <c r="AW163" s="7">
        <v>206</v>
      </c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</row>
    <row r="164" spans="1:134" x14ac:dyDescent="0.25">
      <c r="A164">
        <v>6012448</v>
      </c>
      <c r="B164" t="s">
        <v>275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>
        <v>11</v>
      </c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>
        <v>115</v>
      </c>
      <c r="BA164" s="7"/>
      <c r="BB164" s="7"/>
      <c r="BC164" s="7"/>
      <c r="BD164" s="7"/>
      <c r="BE164" s="7"/>
      <c r="BF164" s="7"/>
      <c r="BG164" s="7">
        <v>68</v>
      </c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</row>
    <row r="165" spans="1:134" x14ac:dyDescent="0.25">
      <c r="A165">
        <v>7000457</v>
      </c>
      <c r="B165" t="s">
        <v>275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>
        <v>697</v>
      </c>
      <c r="AY165" s="7">
        <v>711</v>
      </c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</row>
    <row r="166" spans="1:134" x14ac:dyDescent="0.25">
      <c r="A166">
        <v>7072644</v>
      </c>
      <c r="B166" t="s">
        <v>275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</row>
    <row r="167" spans="1:134" x14ac:dyDescent="0.25">
      <c r="A167">
        <v>7126387</v>
      </c>
      <c r="B167" t="s">
        <v>275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>
        <v>379</v>
      </c>
      <c r="AO167" s="7"/>
      <c r="AP167" s="7"/>
      <c r="AQ167" s="7"/>
      <c r="AR167" s="7"/>
      <c r="AS167" s="7"/>
      <c r="AT167" s="7"/>
      <c r="AU167" s="7"/>
      <c r="AV167" s="7"/>
      <c r="AW167" s="7"/>
      <c r="AX167" s="7">
        <v>1106</v>
      </c>
      <c r="AY167" s="7"/>
      <c r="AZ167" s="7"/>
      <c r="BA167" s="7"/>
      <c r="BB167" s="7">
        <v>1111</v>
      </c>
      <c r="BC167" s="7"/>
      <c r="BD167" s="7"/>
      <c r="BE167" s="7"/>
      <c r="BF167" s="7"/>
      <c r="BG167" s="7"/>
      <c r="BH167" s="7"/>
      <c r="BI167" s="7">
        <v>913</v>
      </c>
      <c r="BJ167" s="7"/>
      <c r="BK167" s="7"/>
      <c r="BL167" s="7"/>
      <c r="BM167" s="7"/>
      <c r="BN167" s="7"/>
      <c r="BO167" s="7"/>
      <c r="BP167" s="7">
        <v>663</v>
      </c>
      <c r="BQ167" s="7"/>
      <c r="BR167" s="7"/>
      <c r="BS167" s="7"/>
      <c r="BT167" s="7"/>
      <c r="BU167" s="7"/>
      <c r="BV167" s="7"/>
      <c r="BW167" s="7">
        <v>402</v>
      </c>
      <c r="BX167" s="7"/>
      <c r="BY167" s="7"/>
      <c r="BZ167" s="7"/>
      <c r="CA167" s="7"/>
      <c r="CB167" s="7"/>
      <c r="CC167" s="7"/>
      <c r="CD167" s="7">
        <v>207</v>
      </c>
      <c r="CE167" s="7"/>
      <c r="CF167" s="7"/>
      <c r="CG167" s="7"/>
      <c r="CH167" s="7"/>
      <c r="CI167" s="7"/>
      <c r="CJ167" s="7"/>
      <c r="CK167" s="7">
        <v>103</v>
      </c>
      <c r="CL167" s="7"/>
      <c r="CM167" s="7"/>
      <c r="CN167" s="7"/>
      <c r="CO167" s="7"/>
      <c r="CP167" s="7"/>
      <c r="CQ167" s="7"/>
      <c r="CR167" s="7"/>
      <c r="CS167" s="7"/>
      <c r="CT167" s="7">
        <v>60</v>
      </c>
      <c r="CU167" s="7"/>
      <c r="CV167" s="7"/>
      <c r="CW167" s="7"/>
      <c r="CX167" s="7"/>
      <c r="CY167" s="7"/>
      <c r="CZ167" s="7">
        <v>71</v>
      </c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</row>
    <row r="168" spans="1:134" x14ac:dyDescent="0.25">
      <c r="A168">
        <v>10185935</v>
      </c>
      <c r="B168" t="s">
        <v>275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>
        <v>2915</v>
      </c>
      <c r="AY168" s="7">
        <v>2735</v>
      </c>
      <c r="AZ168" s="7">
        <v>2343</v>
      </c>
      <c r="BA168" s="7">
        <v>1901</v>
      </c>
      <c r="BB168" s="7">
        <v>1755</v>
      </c>
      <c r="BC168" s="7">
        <v>1705</v>
      </c>
      <c r="BD168" s="7">
        <v>1440</v>
      </c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</row>
    <row r="169" spans="1:134" x14ac:dyDescent="0.25">
      <c r="A169">
        <v>11061215</v>
      </c>
      <c r="B169" t="s">
        <v>275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>
        <v>555</v>
      </c>
      <c r="BC169" s="7"/>
      <c r="BD169" s="7"/>
      <c r="BE169" s="7"/>
      <c r="BF169" s="7"/>
      <c r="BG169" s="7"/>
      <c r="BH169" s="7">
        <v>530</v>
      </c>
      <c r="BI169" s="7"/>
      <c r="BJ169" s="7"/>
      <c r="BK169" s="7"/>
      <c r="BL169" s="7"/>
      <c r="BM169" s="7"/>
      <c r="BN169" s="7"/>
      <c r="BO169" s="7">
        <v>548</v>
      </c>
      <c r="BP169" s="7"/>
      <c r="BQ169" s="7"/>
      <c r="BR169" s="7"/>
      <c r="BS169" s="7"/>
      <c r="BT169" s="7"/>
      <c r="BU169" s="7"/>
      <c r="BV169" s="7"/>
      <c r="BW169" s="7">
        <v>37</v>
      </c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</row>
    <row r="170" spans="1:134" x14ac:dyDescent="0.25">
      <c r="A170">
        <v>93008468</v>
      </c>
      <c r="B170" t="s">
        <v>275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>
        <v>106</v>
      </c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>
        <v>8</v>
      </c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</row>
    <row r="171" spans="1:134" x14ac:dyDescent="0.25">
      <c r="A171">
        <v>93016155</v>
      </c>
      <c r="B171" t="s">
        <v>275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>
        <v>986</v>
      </c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>
        <v>1058</v>
      </c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>
        <v>84</v>
      </c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</row>
    <row r="172" spans="1:134" x14ac:dyDescent="0.25">
      <c r="A172">
        <v>93018845</v>
      </c>
      <c r="B172" t="s">
        <v>275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>
        <v>58</v>
      </c>
      <c r="BA172" s="7"/>
      <c r="BB172" s="7"/>
      <c r="BC172" s="7"/>
      <c r="BD172" s="7"/>
      <c r="BE172" s="7">
        <v>25</v>
      </c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</row>
    <row r="173" spans="1:134" x14ac:dyDescent="0.25">
      <c r="A173" t="s">
        <v>280</v>
      </c>
      <c r="B173" t="s">
        <v>275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>
        <v>1020</v>
      </c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</row>
    <row r="174" spans="1:134" x14ac:dyDescent="0.25">
      <c r="A174">
        <v>94006009</v>
      </c>
      <c r="B174" t="s">
        <v>275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>
        <v>284</v>
      </c>
      <c r="AY174" s="7"/>
      <c r="AZ174" s="7"/>
      <c r="BA174" s="7"/>
      <c r="BB174" s="7">
        <v>337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</row>
    <row r="175" spans="1:134" x14ac:dyDescent="0.25">
      <c r="A175">
        <v>94014126</v>
      </c>
      <c r="B175" t="s">
        <v>275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>
        <v>156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</row>
    <row r="176" spans="1:134" x14ac:dyDescent="0.25">
      <c r="A176">
        <v>94900361</v>
      </c>
      <c r="B176" t="s">
        <v>275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>
        <v>41</v>
      </c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>
        <v>10</v>
      </c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</row>
    <row r="177" spans="1:134" x14ac:dyDescent="0.25">
      <c r="A177">
        <v>94901890</v>
      </c>
      <c r="B177" t="s">
        <v>275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>
        <v>16</v>
      </c>
      <c r="AY177" s="7">
        <v>690</v>
      </c>
      <c r="AZ177" s="7">
        <v>580</v>
      </c>
      <c r="BA177" s="7"/>
      <c r="BB177" s="7"/>
      <c r="BC177" s="7"/>
      <c r="BD177" s="7">
        <v>171</v>
      </c>
      <c r="BE177" s="7"/>
      <c r="BF177" s="7">
        <v>99</v>
      </c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</row>
    <row r="178" spans="1:134" x14ac:dyDescent="0.25">
      <c r="A178">
        <v>95001046</v>
      </c>
      <c r="B178" t="s">
        <v>275</v>
      </c>
      <c r="C178" s="7"/>
      <c r="D178" s="7"/>
      <c r="E178" s="7"/>
      <c r="F178" s="7"/>
      <c r="G178" s="7"/>
      <c r="H178" s="7">
        <v>13</v>
      </c>
      <c r="I178" s="7"/>
      <c r="J178" s="7"/>
      <c r="K178" s="7"/>
      <c r="L178" s="7"/>
      <c r="M178" s="7"/>
      <c r="N178" s="7"/>
      <c r="O178" s="7"/>
      <c r="P178" s="7">
        <v>19</v>
      </c>
      <c r="Q178" s="7"/>
      <c r="R178" s="7"/>
      <c r="S178" s="7"/>
      <c r="T178" s="7">
        <v>21</v>
      </c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>
        <v>139</v>
      </c>
      <c r="BD178" s="7"/>
      <c r="BE178" s="7"/>
      <c r="BF178" s="7"/>
      <c r="BG178" s="7">
        <v>51</v>
      </c>
      <c r="BH178" s="7"/>
      <c r="BI178" s="7">
        <v>34</v>
      </c>
      <c r="BJ178" s="7"/>
      <c r="BK178" s="7"/>
      <c r="BL178" s="7"/>
      <c r="BM178" s="7"/>
      <c r="BN178" s="7"/>
      <c r="BO178" s="7">
        <v>11</v>
      </c>
      <c r="BP178" s="7"/>
      <c r="BQ178" s="7"/>
      <c r="BR178" s="7"/>
      <c r="BS178" s="7"/>
      <c r="BT178" s="7"/>
      <c r="BU178" s="7">
        <v>28</v>
      </c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>
        <v>16</v>
      </c>
      <c r="CG178" s="7"/>
      <c r="CH178" s="7"/>
      <c r="CI178" s="7"/>
      <c r="CJ178" s="7"/>
      <c r="CK178" s="7"/>
      <c r="CL178" s="7"/>
      <c r="CM178" s="7"/>
      <c r="CN178" s="7"/>
      <c r="CO178" s="7">
        <v>9</v>
      </c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</row>
    <row r="179" spans="1:134" x14ac:dyDescent="0.25">
      <c r="A179">
        <v>96004031</v>
      </c>
      <c r="B179" t="s">
        <v>275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>
        <v>117</v>
      </c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</row>
    <row r="180" spans="1:134" x14ac:dyDescent="0.25">
      <c r="A180">
        <v>97004458</v>
      </c>
      <c r="B180" t="s">
        <v>275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>
        <v>13</v>
      </c>
      <c r="AS180" s="7"/>
      <c r="AT180" s="7"/>
      <c r="AU180" s="7"/>
      <c r="AV180" s="7"/>
      <c r="AW180" s="7"/>
      <c r="AX180" s="7">
        <v>58</v>
      </c>
      <c r="AY180" s="7"/>
      <c r="AZ180" s="7"/>
      <c r="BA180" s="7"/>
      <c r="BB180" s="7"/>
      <c r="BC180" s="7"/>
      <c r="BD180" s="7"/>
      <c r="BE180" s="7"/>
      <c r="BF180" s="7">
        <v>255</v>
      </c>
      <c r="BG180" s="7">
        <v>268</v>
      </c>
      <c r="BH180" s="7"/>
      <c r="BI180" s="7"/>
      <c r="BJ180" s="7">
        <v>222</v>
      </c>
      <c r="BK180" s="7"/>
      <c r="BL180" s="7"/>
      <c r="BM180" s="7"/>
      <c r="BN180" s="7"/>
      <c r="BO180" s="7"/>
      <c r="BP180" s="7"/>
      <c r="BQ180" s="7"/>
      <c r="BR180" s="7">
        <v>60</v>
      </c>
      <c r="BS180" s="7"/>
      <c r="BT180" s="7"/>
      <c r="BU180" s="7"/>
      <c r="BV180" s="7"/>
      <c r="BW180" s="7"/>
      <c r="BX180" s="7"/>
      <c r="BY180" s="7"/>
      <c r="BZ180" s="7"/>
      <c r="CA180" s="7">
        <v>13</v>
      </c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</row>
    <row r="181" spans="1:134" x14ac:dyDescent="0.25">
      <c r="A181">
        <v>97009212</v>
      </c>
      <c r="B181" t="s">
        <v>275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>
        <v>158</v>
      </c>
      <c r="AX181" s="7">
        <v>164</v>
      </c>
      <c r="AY181" s="7"/>
      <c r="AZ181" s="7"/>
      <c r="BA181" s="7"/>
      <c r="BB181" s="7"/>
      <c r="BC181" s="7"/>
      <c r="BD181" s="7"/>
      <c r="BE181" s="7"/>
      <c r="BF181" s="7"/>
      <c r="BG181" s="7"/>
      <c r="BH181" s="7">
        <v>215</v>
      </c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</row>
    <row r="182" spans="1:134" x14ac:dyDescent="0.25">
      <c r="A182">
        <v>98006038</v>
      </c>
      <c r="B182" t="s">
        <v>275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>
        <v>250</v>
      </c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</row>
    <row r="183" spans="1:134" x14ac:dyDescent="0.25">
      <c r="A183">
        <v>98009041</v>
      </c>
      <c r="B183" t="s">
        <v>275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>
        <v>4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>
        <v>141</v>
      </c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>
        <v>5</v>
      </c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</row>
    <row r="184" spans="1:134" x14ac:dyDescent="0.25">
      <c r="A184">
        <v>99000714</v>
      </c>
      <c r="B184" t="s">
        <v>275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</row>
    <row r="185" spans="1:134" x14ac:dyDescent="0.25">
      <c r="A185">
        <v>99007116</v>
      </c>
      <c r="B185" t="s">
        <v>275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>
        <v>66</v>
      </c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</row>
    <row r="186" spans="1:134" x14ac:dyDescent="0.25">
      <c r="A186">
        <v>99901293</v>
      </c>
      <c r="B186" t="s">
        <v>275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</row>
    <row r="187" spans="1:134" x14ac:dyDescent="0.25">
      <c r="A187">
        <v>99901604</v>
      </c>
      <c r="B187" t="s">
        <v>275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>
        <v>160</v>
      </c>
      <c r="AY187" s="7"/>
      <c r="AZ187" s="7"/>
      <c r="BA187" s="7"/>
      <c r="BB187" s="7"/>
      <c r="BC187" s="7"/>
      <c r="BD187" s="7">
        <v>41</v>
      </c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</row>
    <row r="188" spans="1:134" x14ac:dyDescent="0.25">
      <c r="A188">
        <v>3017227</v>
      </c>
      <c r="B188" t="s">
        <v>275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>
        <v>193</v>
      </c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</row>
    <row r="189" spans="1:134" x14ac:dyDescent="0.25">
      <c r="A189" s="17">
        <v>2007648</v>
      </c>
      <c r="B189" t="s">
        <v>275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</row>
    <row r="190" spans="1:134" x14ac:dyDescent="0.25">
      <c r="A190" s="17">
        <v>3008510</v>
      </c>
      <c r="B190" t="s">
        <v>275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</row>
    <row r="191" spans="1:134" x14ac:dyDescent="0.25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</row>
    <row r="192" spans="1:134" x14ac:dyDescent="0.25">
      <c r="A192">
        <v>4289</v>
      </c>
      <c r="B192" t="s">
        <v>281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>
        <v>72</v>
      </c>
      <c r="AZ192" s="7">
        <v>1242</v>
      </c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</row>
    <row r="193" spans="1:134" x14ac:dyDescent="0.25">
      <c r="A193">
        <v>500245</v>
      </c>
      <c r="B193" t="s">
        <v>281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>
        <v>147</v>
      </c>
      <c r="AY193" s="7">
        <v>182</v>
      </c>
      <c r="AZ193" s="7">
        <v>381.7</v>
      </c>
      <c r="BA193" s="7">
        <v>335.2</v>
      </c>
      <c r="BB193" s="7"/>
      <c r="BC193" s="7">
        <v>225.1</v>
      </c>
      <c r="BD193" s="7"/>
      <c r="BE193" s="7"/>
      <c r="BF193" s="7"/>
      <c r="BG193" s="7">
        <v>176.5</v>
      </c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</row>
    <row r="194" spans="1:134" x14ac:dyDescent="0.25">
      <c r="A194">
        <v>2002573</v>
      </c>
      <c r="B194" t="s">
        <v>281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>
        <v>583</v>
      </c>
      <c r="BF194" s="7"/>
      <c r="BG194" s="7"/>
      <c r="BH194" s="7"/>
      <c r="BI194" s="7"/>
      <c r="BJ194" s="7">
        <v>432</v>
      </c>
      <c r="BK194" s="7"/>
      <c r="BL194" s="7"/>
      <c r="BM194" s="7"/>
      <c r="BN194" s="7">
        <v>774</v>
      </c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</row>
    <row r="195" spans="1:134" x14ac:dyDescent="0.25">
      <c r="A195">
        <v>2003539</v>
      </c>
      <c r="B195" t="s">
        <v>281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</row>
    <row r="196" spans="1:134" x14ac:dyDescent="0.25">
      <c r="A196">
        <v>2003649</v>
      </c>
      <c r="B196" t="s">
        <v>281</v>
      </c>
      <c r="C196" s="7"/>
      <c r="D196" s="7"/>
      <c r="E196" s="7"/>
      <c r="F196" s="7"/>
      <c r="G196" s="7"/>
      <c r="H196" s="7"/>
      <c r="I196" s="7"/>
      <c r="J196" s="7"/>
      <c r="K196" s="7">
        <v>65.400000000000006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>
        <v>39</v>
      </c>
      <c r="AQ196" s="7"/>
      <c r="AR196" s="7"/>
      <c r="AS196" s="7"/>
      <c r="AT196" s="7"/>
      <c r="AU196" s="7"/>
      <c r="AV196" s="7"/>
      <c r="AW196" s="7"/>
      <c r="AX196" s="7">
        <v>48.6</v>
      </c>
      <c r="AY196" s="7"/>
      <c r="AZ196" s="7"/>
      <c r="BA196" s="7"/>
      <c r="BB196" s="7"/>
      <c r="BC196" s="7"/>
      <c r="BD196" s="7"/>
      <c r="BE196" s="7">
        <v>31.8</v>
      </c>
      <c r="BF196" s="7"/>
      <c r="BG196" s="7"/>
      <c r="BH196" s="7"/>
      <c r="BI196" s="7"/>
      <c r="BJ196" s="7">
        <v>26.4</v>
      </c>
      <c r="BK196" s="7"/>
      <c r="BL196" s="7"/>
      <c r="BM196" s="7"/>
      <c r="BN196" s="7"/>
      <c r="BO196" s="7">
        <v>65.400000000000006</v>
      </c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>
        <v>39</v>
      </c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</row>
    <row r="197" spans="1:134" x14ac:dyDescent="0.25">
      <c r="A197">
        <v>2005572</v>
      </c>
      <c r="B197" t="s">
        <v>281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>
        <v>863</v>
      </c>
      <c r="AY197" s="7"/>
      <c r="AZ197" s="7">
        <v>437</v>
      </c>
      <c r="BA197" s="7"/>
      <c r="BB197" s="7"/>
      <c r="BC197" s="7">
        <v>145</v>
      </c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</row>
    <row r="198" spans="1:134" x14ac:dyDescent="0.25">
      <c r="A198">
        <v>2013117</v>
      </c>
      <c r="B198" t="s">
        <v>281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>
        <v>1280</v>
      </c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</row>
    <row r="199" spans="1:134" x14ac:dyDescent="0.25">
      <c r="A199">
        <v>3009633</v>
      </c>
      <c r="B199" t="s">
        <v>281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>
        <v>1805.4</v>
      </c>
      <c r="BM199" s="7"/>
      <c r="BN199" s="7"/>
      <c r="BO199" s="7"/>
      <c r="BP199" s="7">
        <v>665.4</v>
      </c>
      <c r="BQ199" s="7"/>
      <c r="BR199" s="7">
        <v>309</v>
      </c>
      <c r="BS199" s="7"/>
      <c r="BT199" s="7">
        <v>262.8</v>
      </c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</row>
    <row r="200" spans="1:134" x14ac:dyDescent="0.25">
      <c r="A200">
        <v>3010583</v>
      </c>
      <c r="B200" t="s">
        <v>281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9">
        <v>545</v>
      </c>
      <c r="AX200" s="7">
        <v>1004</v>
      </c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>
        <v>1004</v>
      </c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</row>
    <row r="201" spans="1:134" x14ac:dyDescent="0.25">
      <c r="A201" s="18">
        <v>3011892</v>
      </c>
      <c r="B201" t="s">
        <v>281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>
        <v>3062</v>
      </c>
      <c r="BH201" s="7"/>
      <c r="BI201" s="7"/>
      <c r="BJ201" s="7"/>
      <c r="BK201" s="7"/>
      <c r="BL201" s="7"/>
      <c r="BM201" s="7"/>
      <c r="BN201" s="7"/>
      <c r="BO201" s="7"/>
      <c r="BP201" s="7">
        <v>526</v>
      </c>
      <c r="BQ201" s="7"/>
      <c r="BR201" s="7"/>
      <c r="BS201" s="7"/>
      <c r="BT201" s="7"/>
      <c r="BU201" s="7">
        <v>248</v>
      </c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</row>
    <row r="202" spans="1:134" x14ac:dyDescent="0.25">
      <c r="A202">
        <v>4001382</v>
      </c>
      <c r="B202" t="s">
        <v>281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>
        <v>916</v>
      </c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>
        <v>138</v>
      </c>
      <c r="BM202" s="9">
        <v>119.666</v>
      </c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</row>
    <row r="203" spans="1:134" x14ac:dyDescent="0.25">
      <c r="A203">
        <v>5018675</v>
      </c>
      <c r="B203" t="s">
        <v>281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>
        <v>1701</v>
      </c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</row>
    <row r="204" spans="1:134" x14ac:dyDescent="0.25">
      <c r="A204">
        <v>6050168</v>
      </c>
      <c r="B204" t="s">
        <v>281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>
        <v>19.329999999999998</v>
      </c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</row>
    <row r="205" spans="1:134" x14ac:dyDescent="0.25">
      <c r="A205">
        <v>7003242</v>
      </c>
      <c r="B205" t="s">
        <v>281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>
        <v>88</v>
      </c>
      <c r="AV205" s="7"/>
      <c r="AW205" s="7"/>
      <c r="AX205" s="7"/>
      <c r="AY205" s="7"/>
      <c r="AZ205" s="7"/>
      <c r="BA205" s="7">
        <v>82</v>
      </c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>
        <v>25</v>
      </c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</row>
    <row r="206" spans="1:134" x14ac:dyDescent="0.25">
      <c r="A206">
        <v>12022536</v>
      </c>
      <c r="B206" t="s">
        <v>281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>
        <v>676</v>
      </c>
      <c r="AY206" s="7">
        <v>624</v>
      </c>
      <c r="AZ206" s="7"/>
      <c r="BA206" s="7">
        <v>394</v>
      </c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>
        <v>30</v>
      </c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</row>
    <row r="207" spans="1:134" x14ac:dyDescent="0.25">
      <c r="A207">
        <v>13020792</v>
      </c>
      <c r="B207" t="s">
        <v>281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9">
        <v>1607</v>
      </c>
      <c r="BF207" s="7">
        <v>1346</v>
      </c>
      <c r="BG207" s="7">
        <v>1077</v>
      </c>
      <c r="BH207" s="7">
        <v>1015</v>
      </c>
      <c r="BI207" s="7">
        <v>786</v>
      </c>
      <c r="BJ207" s="7">
        <v>663</v>
      </c>
      <c r="BK207" s="7">
        <v>614</v>
      </c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</row>
    <row r="208" spans="1:134" x14ac:dyDescent="0.25">
      <c r="A208">
        <v>97005797</v>
      </c>
      <c r="B208" t="s">
        <v>281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>
        <v>49</v>
      </c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</row>
    <row r="209" spans="1:134" x14ac:dyDescent="0.25">
      <c r="A209">
        <v>99000345</v>
      </c>
      <c r="B209" t="s">
        <v>281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>
        <v>87</v>
      </c>
      <c r="AY209" s="7"/>
      <c r="AZ209" s="7"/>
      <c r="BA209" s="7">
        <v>89</v>
      </c>
      <c r="BB209" s="7"/>
      <c r="BC209" s="7"/>
      <c r="BD209" s="7">
        <v>46</v>
      </c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</row>
    <row r="210" spans="1:134" x14ac:dyDescent="0.25">
      <c r="A210">
        <v>5006592</v>
      </c>
      <c r="B210" t="s">
        <v>281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>
        <v>175</v>
      </c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>
        <v>49</v>
      </c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>
        <v>143</v>
      </c>
      <c r="DU210" s="7"/>
      <c r="DV210" s="7"/>
      <c r="DW210" s="7"/>
      <c r="DX210" s="7"/>
      <c r="DY210" s="7">
        <v>37</v>
      </c>
      <c r="DZ210" s="7"/>
      <c r="EA210" s="7"/>
      <c r="EB210" s="7"/>
      <c r="EC210" s="7"/>
      <c r="ED210" s="7"/>
    </row>
    <row r="211" spans="1:134" x14ac:dyDescent="0.25">
      <c r="A211">
        <v>5007274</v>
      </c>
      <c r="B211" t="s">
        <v>281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>
        <v>1474</v>
      </c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>
        <v>487</v>
      </c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</row>
    <row r="212" spans="1:134" x14ac:dyDescent="0.25">
      <c r="A212">
        <v>5015851</v>
      </c>
      <c r="B212" t="s">
        <v>281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>
        <v>499.2</v>
      </c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>
        <v>67.8</v>
      </c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>
        <v>62.4</v>
      </c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>
        <v>30.6</v>
      </c>
      <c r="DK212" s="7"/>
      <c r="DL212" s="7"/>
      <c r="DM212" s="7"/>
      <c r="DN212" s="7"/>
      <c r="DO212" s="7"/>
      <c r="DP212" s="7"/>
      <c r="DQ212" s="7"/>
      <c r="DR212" s="7"/>
      <c r="DS212" s="7">
        <v>36</v>
      </c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</row>
    <row r="213" spans="1:134" x14ac:dyDescent="0.25">
      <c r="A213">
        <v>6015647</v>
      </c>
      <c r="B213" t="s">
        <v>281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>
        <v>1451</v>
      </c>
      <c r="AY213" s="7">
        <v>1218</v>
      </c>
      <c r="AZ213" s="7">
        <v>1157</v>
      </c>
      <c r="BA213" s="7">
        <v>870</v>
      </c>
      <c r="BB213" s="7">
        <v>736</v>
      </c>
      <c r="BC213" s="7"/>
      <c r="BD213" s="7">
        <v>736</v>
      </c>
      <c r="BE213" s="7">
        <v>730</v>
      </c>
      <c r="BF213" s="7"/>
      <c r="BG213" s="7">
        <v>596</v>
      </c>
      <c r="BH213" s="7"/>
      <c r="BI213" s="7"/>
      <c r="BJ213" s="7"/>
      <c r="BK213" s="7"/>
      <c r="BL213" s="7">
        <v>391</v>
      </c>
      <c r="BM213" s="7"/>
      <c r="BN213" s="7"/>
      <c r="BO213" s="7"/>
      <c r="BP213" s="7"/>
      <c r="BQ213" s="7"/>
      <c r="BR213" s="7"/>
      <c r="BS213" s="7"/>
      <c r="BT213" s="7"/>
      <c r="BU213" s="7"/>
      <c r="BV213" s="7">
        <v>111</v>
      </c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>
        <v>15</v>
      </c>
      <c r="DH213" s="7"/>
      <c r="DI213" s="7">
        <v>23</v>
      </c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</row>
    <row r="214" spans="1:134" x14ac:dyDescent="0.25">
      <c r="A214">
        <v>6056633</v>
      </c>
      <c r="B214" t="s">
        <v>281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>
        <v>88</v>
      </c>
      <c r="AV214" s="7"/>
      <c r="AW214" s="7"/>
      <c r="AX214" s="7"/>
      <c r="AY214" s="7"/>
      <c r="AZ214" s="7"/>
      <c r="BA214" s="7">
        <v>82</v>
      </c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>
        <v>25</v>
      </c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</row>
    <row r="215" spans="1:134" x14ac:dyDescent="0.25">
      <c r="A215">
        <v>7086224</v>
      </c>
      <c r="B215" t="s">
        <v>281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>
        <v>1855.8</v>
      </c>
      <c r="BI215" s="7"/>
      <c r="BJ215" s="7"/>
      <c r="BK215" s="7"/>
      <c r="BL215" s="7"/>
      <c r="BM215" s="7">
        <v>1438.8</v>
      </c>
      <c r="BN215" s="7"/>
      <c r="BO215" s="7"/>
      <c r="BP215" s="7"/>
      <c r="BQ215" s="7"/>
      <c r="BR215" s="7"/>
      <c r="BS215" s="7"/>
      <c r="BT215" s="7"/>
      <c r="BU215" s="7">
        <v>338.4</v>
      </c>
      <c r="BV215" s="7"/>
      <c r="BW215" s="7"/>
      <c r="BX215" s="7"/>
      <c r="BY215" s="7"/>
      <c r="BZ215" s="7">
        <v>187.8</v>
      </c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</row>
    <row r="216" spans="1:134" x14ac:dyDescent="0.25">
      <c r="A216">
        <v>8040959</v>
      </c>
      <c r="B216" t="s">
        <v>281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>
        <v>1375</v>
      </c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</row>
    <row r="217" spans="1:134" x14ac:dyDescent="0.25">
      <c r="A217">
        <v>8107048</v>
      </c>
      <c r="B217" t="s">
        <v>281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>
        <v>1012.2</v>
      </c>
      <c r="AY217" s="7"/>
      <c r="AZ217" s="7"/>
      <c r="BA217" s="7"/>
      <c r="BB217" s="7"/>
      <c r="BC217" s="7"/>
      <c r="BD217" s="7"/>
      <c r="BE217" s="7"/>
      <c r="BF217" s="7"/>
      <c r="BG217" s="7"/>
      <c r="BH217" s="7">
        <v>619.79999999999995</v>
      </c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</row>
    <row r="218" spans="1:134" x14ac:dyDescent="0.25">
      <c r="A218">
        <v>8124044</v>
      </c>
      <c r="B218" t="s">
        <v>281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>
        <v>392</v>
      </c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>
        <v>685</v>
      </c>
      <c r="BJ218" s="7"/>
      <c r="BK218" s="7"/>
      <c r="BL218" s="7">
        <v>924</v>
      </c>
      <c r="BM218" s="7"/>
      <c r="BN218" s="7"/>
      <c r="BO218" s="7"/>
      <c r="BP218" s="7">
        <v>742</v>
      </c>
      <c r="BQ218" s="7"/>
      <c r="BR218" s="7"/>
      <c r="BS218" s="7">
        <v>346</v>
      </c>
      <c r="BT218" s="7"/>
      <c r="BU218" s="7"/>
      <c r="BV218" s="7"/>
      <c r="BW218" s="7"/>
      <c r="BX218" s="7">
        <v>108</v>
      </c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>
        <v>685</v>
      </c>
      <c r="CN218" s="7"/>
      <c r="CO218" s="7">
        <v>924</v>
      </c>
      <c r="CP218" s="7">
        <v>826</v>
      </c>
      <c r="CQ218" s="7">
        <v>913</v>
      </c>
      <c r="CR218" s="7"/>
      <c r="CS218" s="7">
        <v>742</v>
      </c>
      <c r="CT218" s="7"/>
      <c r="CU218" s="7"/>
      <c r="CV218" s="7">
        <v>346</v>
      </c>
      <c r="CW218" s="7"/>
      <c r="CX218" s="7"/>
      <c r="CY218" s="7">
        <v>244</v>
      </c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</row>
    <row r="219" spans="1:134" x14ac:dyDescent="0.25">
      <c r="A219">
        <v>8142949</v>
      </c>
      <c r="B219" t="s">
        <v>281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>
        <v>592</v>
      </c>
      <c r="BH219" s="7"/>
      <c r="BI219" s="7">
        <v>710</v>
      </c>
      <c r="BJ219" s="7"/>
      <c r="BK219" s="7"/>
      <c r="BL219" s="7"/>
      <c r="BM219" s="7">
        <v>582</v>
      </c>
      <c r="BN219" s="7"/>
      <c r="BO219" s="7"/>
      <c r="BP219" s="7"/>
      <c r="BQ219" s="7"/>
      <c r="BR219" s="7"/>
      <c r="BS219" s="7"/>
      <c r="BT219" s="7"/>
      <c r="BU219" s="7">
        <v>149</v>
      </c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</row>
    <row r="220" spans="1:134" x14ac:dyDescent="0.25">
      <c r="A220">
        <v>9023306</v>
      </c>
      <c r="B220" t="s">
        <v>281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>
        <v>336</v>
      </c>
      <c r="BB220" s="7">
        <v>276</v>
      </c>
      <c r="BC220" s="7">
        <v>120</v>
      </c>
      <c r="BD220" s="7"/>
      <c r="BE220" s="7"/>
      <c r="BF220" s="7">
        <v>91.8</v>
      </c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</row>
    <row r="221" spans="1:134" x14ac:dyDescent="0.25">
      <c r="A221">
        <v>9034464</v>
      </c>
      <c r="B221" t="s">
        <v>281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</row>
    <row r="222" spans="1:134" x14ac:dyDescent="0.25">
      <c r="A222">
        <v>9040167</v>
      </c>
      <c r="B222" t="s">
        <v>281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</row>
    <row r="223" spans="1:134" x14ac:dyDescent="0.25">
      <c r="A223">
        <v>9054567</v>
      </c>
      <c r="B223" t="s">
        <v>281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>
        <v>1973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</row>
    <row r="224" spans="1:134" x14ac:dyDescent="0.25">
      <c r="A224">
        <v>9083682</v>
      </c>
      <c r="B224" t="s">
        <v>281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>
        <v>2410</v>
      </c>
      <c r="AY224" s="7">
        <v>2222</v>
      </c>
      <c r="AZ224" s="7"/>
      <c r="BA224" s="7"/>
      <c r="BB224" s="7"/>
      <c r="BC224" s="7"/>
      <c r="BD224" s="7"/>
      <c r="BE224" s="7"/>
      <c r="BF224" s="7"/>
      <c r="BG224" s="7"/>
      <c r="BH224" s="7"/>
      <c r="BI224" s="7">
        <v>52</v>
      </c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</row>
    <row r="225" spans="1:134" x14ac:dyDescent="0.25">
      <c r="A225">
        <v>9102044</v>
      </c>
      <c r="B225" t="s">
        <v>281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>
        <v>1668</v>
      </c>
      <c r="AY225" s="7"/>
      <c r="AZ225" s="7"/>
      <c r="BA225" s="7">
        <v>1422</v>
      </c>
      <c r="BB225" s="7"/>
      <c r="BC225" s="7"/>
      <c r="BD225" s="7"/>
      <c r="BE225" s="7"/>
      <c r="BF225" s="7"/>
      <c r="BG225" s="7"/>
      <c r="BH225" s="7"/>
      <c r="BI225" s="7"/>
      <c r="BJ225" s="7"/>
      <c r="BK225" s="7">
        <v>894</v>
      </c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>
        <v>34</v>
      </c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</row>
    <row r="226" spans="1:134" x14ac:dyDescent="0.25">
      <c r="A226">
        <v>9119854</v>
      </c>
      <c r="B226" t="s">
        <v>281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>
        <v>17</v>
      </c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>
        <v>571</v>
      </c>
      <c r="BC226" s="7"/>
      <c r="BD226" s="7">
        <v>331</v>
      </c>
      <c r="BE226" s="7">
        <v>267</v>
      </c>
      <c r="BF226" s="7"/>
      <c r="BG226" s="7"/>
      <c r="BH226" s="7"/>
      <c r="BI226" s="7">
        <v>343</v>
      </c>
      <c r="BJ226" s="7"/>
      <c r="BK226" s="7">
        <v>449</v>
      </c>
      <c r="BL226" s="7"/>
      <c r="BM226" s="7"/>
      <c r="BN226" s="7"/>
      <c r="BO226" s="7"/>
      <c r="BP226" s="7"/>
      <c r="BQ226" s="7">
        <v>360</v>
      </c>
      <c r="BR226" s="7"/>
      <c r="BS226" s="7">
        <v>305</v>
      </c>
      <c r="BT226" s="7"/>
      <c r="BU226" s="7"/>
      <c r="BV226" s="7">
        <v>23</v>
      </c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</row>
    <row r="227" spans="1:134" x14ac:dyDescent="0.25">
      <c r="A227">
        <v>9125126</v>
      </c>
      <c r="B227" t="s">
        <v>281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>
        <v>361</v>
      </c>
      <c r="BD227" s="7">
        <v>356</v>
      </c>
      <c r="BE227" s="7"/>
      <c r="BF227" s="7"/>
      <c r="BG227" s="7"/>
      <c r="BH227" s="7">
        <v>128</v>
      </c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>
        <v>22</v>
      </c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</row>
    <row r="228" spans="1:134" x14ac:dyDescent="0.25">
      <c r="A228">
        <v>9174811</v>
      </c>
      <c r="B228" t="s">
        <v>281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>
        <v>305</v>
      </c>
      <c r="AY228" s="7">
        <v>264</v>
      </c>
      <c r="AZ228" s="7"/>
      <c r="BA228" s="7"/>
      <c r="BB228" s="7"/>
      <c r="BC228" s="7"/>
      <c r="BD228" s="7"/>
      <c r="BE228" s="7"/>
      <c r="BF228" s="7"/>
      <c r="BG228" s="7">
        <v>241</v>
      </c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>
        <v>337</v>
      </c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>
        <v>59</v>
      </c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</row>
    <row r="229" spans="1:134" x14ac:dyDescent="0.25">
      <c r="A229">
        <v>10002875</v>
      </c>
      <c r="B229" t="s">
        <v>281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>
        <v>55.8</v>
      </c>
      <c r="AZ229" s="7">
        <v>47.4</v>
      </c>
      <c r="BA229" s="7">
        <v>46.2</v>
      </c>
      <c r="BB229" s="7">
        <v>45</v>
      </c>
      <c r="BC229" s="7">
        <v>46.2</v>
      </c>
      <c r="BD229" s="9">
        <v>38.4</v>
      </c>
      <c r="BE229" s="7"/>
      <c r="BF229" s="7"/>
      <c r="BG229" s="7"/>
      <c r="BH229" s="7"/>
      <c r="BI229" s="7"/>
      <c r="BJ229" s="7"/>
      <c r="BK229" s="7"/>
      <c r="BL229" s="7"/>
      <c r="BM229" s="7">
        <v>41.6</v>
      </c>
      <c r="BN229" s="7"/>
      <c r="BO229" s="7"/>
      <c r="BP229" s="7"/>
      <c r="BQ229" s="7"/>
      <c r="BR229" s="7"/>
      <c r="BS229" s="7"/>
      <c r="BT229" s="7">
        <v>46.5</v>
      </c>
      <c r="BU229" s="7"/>
      <c r="BV229" s="7"/>
      <c r="BW229" s="7"/>
      <c r="BX229" s="7"/>
      <c r="BY229" s="7">
        <v>49.8</v>
      </c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</row>
    <row r="230" spans="1:134" x14ac:dyDescent="0.25">
      <c r="A230">
        <v>10023080</v>
      </c>
      <c r="B230" t="s">
        <v>281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>
        <v>306</v>
      </c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>
        <v>38</v>
      </c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</row>
    <row r="231" spans="1:134" x14ac:dyDescent="0.25">
      <c r="A231">
        <v>10025212</v>
      </c>
      <c r="B231" t="s">
        <v>281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>
        <v>599</v>
      </c>
      <c r="BO231" s="7">
        <v>1046</v>
      </c>
      <c r="BP231" s="7"/>
      <c r="BQ231" s="7">
        <v>1584</v>
      </c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>
        <v>943</v>
      </c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>
        <v>79</v>
      </c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</row>
    <row r="232" spans="1:134" x14ac:dyDescent="0.25">
      <c r="A232">
        <v>10069407</v>
      </c>
      <c r="B232" t="s">
        <v>281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>
        <v>131</v>
      </c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>
        <v>790</v>
      </c>
      <c r="AY232" s="7"/>
      <c r="AZ232" s="7"/>
      <c r="BA232" s="7"/>
      <c r="BB232" s="7"/>
      <c r="BC232" s="7"/>
      <c r="BD232" s="7"/>
      <c r="BE232" s="7">
        <v>465</v>
      </c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>
        <v>47</v>
      </c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</row>
    <row r="233" spans="1:134" x14ac:dyDescent="0.25">
      <c r="A233">
        <v>10071135</v>
      </c>
      <c r="B233" t="s">
        <v>281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>
        <v>52.8</v>
      </c>
      <c r="BK233" s="7"/>
      <c r="BL233" s="7">
        <v>39</v>
      </c>
      <c r="BM233" s="7"/>
      <c r="BN233" s="7">
        <v>45</v>
      </c>
      <c r="BO233" s="7"/>
      <c r="BP233" s="7"/>
      <c r="BQ233" s="7"/>
      <c r="BR233" s="7">
        <v>58.8</v>
      </c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</row>
    <row r="234" spans="1:134" x14ac:dyDescent="0.25">
      <c r="A234">
        <v>10083649</v>
      </c>
      <c r="B234" t="s">
        <v>281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>
        <v>70</v>
      </c>
      <c r="AY234" s="7">
        <v>53</v>
      </c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</row>
    <row r="235" spans="1:134" x14ac:dyDescent="0.25">
      <c r="A235">
        <v>10102021</v>
      </c>
      <c r="B235" t="s">
        <v>281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</row>
    <row r="236" spans="1:134" x14ac:dyDescent="0.25">
      <c r="A236">
        <v>10123729</v>
      </c>
      <c r="B236" t="s">
        <v>281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>
        <v>107</v>
      </c>
      <c r="AY236" s="7">
        <v>155</v>
      </c>
      <c r="AZ236" s="7"/>
      <c r="BA236" s="7">
        <v>32</v>
      </c>
      <c r="BB236" s="7"/>
      <c r="BC236" s="7"/>
      <c r="BD236" s="7"/>
      <c r="BE236" s="7"/>
      <c r="BF236" s="7"/>
      <c r="BG236" s="7"/>
      <c r="BH236" s="7"/>
      <c r="BI236" s="7">
        <v>78.599999999999994</v>
      </c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>
        <v>26</v>
      </c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</row>
    <row r="237" spans="1:134" x14ac:dyDescent="0.25">
      <c r="A237">
        <v>10144736</v>
      </c>
      <c r="B237" t="s">
        <v>281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>
        <v>11</v>
      </c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>
        <v>85</v>
      </c>
      <c r="AY237" s="7">
        <v>214</v>
      </c>
      <c r="AZ237" s="7"/>
      <c r="BA237" s="7">
        <v>96</v>
      </c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</row>
    <row r="238" spans="1:134" x14ac:dyDescent="0.25">
      <c r="A238">
        <v>10157275</v>
      </c>
      <c r="B238" t="s">
        <v>281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>
        <v>401</v>
      </c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>
        <v>401</v>
      </c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>
        <v>77</v>
      </c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>
        <v>67</v>
      </c>
      <c r="DV238" s="7"/>
      <c r="DW238" s="7"/>
      <c r="DX238" s="7"/>
      <c r="DY238" s="7"/>
      <c r="DZ238" s="7">
        <v>18</v>
      </c>
      <c r="EA238" s="7"/>
      <c r="EB238" s="7"/>
      <c r="EC238" s="7"/>
      <c r="ED238" s="7"/>
    </row>
    <row r="239" spans="1:134" x14ac:dyDescent="0.25">
      <c r="A239">
        <v>10190869</v>
      </c>
      <c r="B239" t="s">
        <v>281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>
        <v>108.6</v>
      </c>
      <c r="AY239" s="7">
        <v>97.8</v>
      </c>
      <c r="AZ239" s="7"/>
      <c r="BA239" s="7">
        <v>133.80000000000001</v>
      </c>
      <c r="BB239" s="7"/>
      <c r="BC239" s="7"/>
      <c r="BD239" s="7">
        <v>253.2</v>
      </c>
      <c r="BE239" s="7"/>
      <c r="BF239" s="7">
        <v>384.6</v>
      </c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</row>
    <row r="240" spans="1:134" x14ac:dyDescent="0.25">
      <c r="A240">
        <v>11008417</v>
      </c>
      <c r="B240" t="s">
        <v>281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>
        <v>1516</v>
      </c>
      <c r="AX240" s="7">
        <v>1516</v>
      </c>
      <c r="AY240" s="7"/>
      <c r="AZ240" s="7"/>
      <c r="BA240" s="7"/>
      <c r="BB240" s="7"/>
      <c r="BC240" s="7">
        <v>1287</v>
      </c>
      <c r="BD240" s="7"/>
      <c r="BE240" s="7"/>
      <c r="BF240" s="7"/>
      <c r="BG240" s="7"/>
      <c r="BH240" s="7">
        <v>1125</v>
      </c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>
        <v>153</v>
      </c>
      <c r="CI240" s="7"/>
      <c r="CJ240" s="7">
        <v>148</v>
      </c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</row>
    <row r="241" spans="1:134" x14ac:dyDescent="0.25">
      <c r="A241">
        <v>11043926</v>
      </c>
      <c r="B241" t="s">
        <v>281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</row>
    <row r="242" spans="1:134" x14ac:dyDescent="0.25">
      <c r="A242">
        <v>11049060</v>
      </c>
      <c r="B242" t="s">
        <v>281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>
        <v>1704</v>
      </c>
      <c r="BP242" s="7">
        <v>1296</v>
      </c>
      <c r="BQ242" s="7">
        <v>1092</v>
      </c>
      <c r="BR242" s="7">
        <v>1026</v>
      </c>
      <c r="BS242" s="7"/>
      <c r="BT242" s="7"/>
      <c r="BU242" s="7">
        <v>912</v>
      </c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</row>
    <row r="243" spans="1:134" x14ac:dyDescent="0.25">
      <c r="A243">
        <v>11058012</v>
      </c>
      <c r="B243" t="s">
        <v>281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9">
        <v>1380</v>
      </c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</row>
    <row r="244" spans="1:134" x14ac:dyDescent="0.25">
      <c r="A244">
        <v>11082290</v>
      </c>
      <c r="B244" t="s">
        <v>281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>
        <v>1070</v>
      </c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>
        <v>29</v>
      </c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</row>
    <row r="245" spans="1:134" x14ac:dyDescent="0.25">
      <c r="A245">
        <v>11096431</v>
      </c>
      <c r="B245" t="s">
        <v>281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>
        <v>199.8</v>
      </c>
      <c r="AY245" s="7">
        <v>222.6</v>
      </c>
      <c r="AZ245" s="7"/>
      <c r="BA245" s="7">
        <v>199.8</v>
      </c>
      <c r="BB245" s="7"/>
      <c r="BC245" s="7"/>
      <c r="BD245" s="7"/>
      <c r="BE245" s="7">
        <v>349.2</v>
      </c>
      <c r="BF245" s="7"/>
      <c r="BG245" s="7"/>
      <c r="BH245" s="7"/>
      <c r="BI245" s="7"/>
      <c r="BJ245" s="7"/>
      <c r="BK245" s="7"/>
      <c r="BL245" s="7">
        <v>129</v>
      </c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</row>
    <row r="246" spans="1:134" x14ac:dyDescent="0.25">
      <c r="A246">
        <v>11105672</v>
      </c>
      <c r="B246" t="s">
        <v>281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>
        <v>41</v>
      </c>
      <c r="AP246" s="7"/>
      <c r="AQ246" s="7"/>
      <c r="AR246" s="7"/>
      <c r="AS246" s="7"/>
      <c r="AT246" s="7"/>
      <c r="AU246" s="7"/>
      <c r="AV246" s="7"/>
      <c r="AW246" s="7"/>
      <c r="AX246" s="7">
        <v>614</v>
      </c>
      <c r="AY246" s="7"/>
      <c r="AZ246" s="7"/>
      <c r="BA246" s="7"/>
      <c r="BB246" s="7"/>
      <c r="BC246" s="7"/>
      <c r="BD246" s="7"/>
      <c r="BE246" s="7">
        <v>1158</v>
      </c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>
        <v>190</v>
      </c>
      <c r="BT246" s="7"/>
      <c r="BU246" s="7"/>
      <c r="BV246" s="7">
        <v>69</v>
      </c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</row>
    <row r="247" spans="1:134" x14ac:dyDescent="0.25">
      <c r="A247" t="s">
        <v>282</v>
      </c>
      <c r="B247" t="s">
        <v>281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>
        <v>457</v>
      </c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>
        <v>188</v>
      </c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>
        <v>475</v>
      </c>
      <c r="DM247" s="7"/>
      <c r="DN247" s="7"/>
      <c r="DO247" s="7"/>
      <c r="DP247" s="7"/>
      <c r="DQ247" s="7">
        <v>306</v>
      </c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</row>
    <row r="248" spans="1:134" x14ac:dyDescent="0.25">
      <c r="A248">
        <v>11136262</v>
      </c>
      <c r="B248" t="s">
        <v>281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>
        <v>2545</v>
      </c>
      <c r="AY248" s="7">
        <v>2221</v>
      </c>
      <c r="AZ248" s="7"/>
      <c r="BA248" s="7">
        <v>2214</v>
      </c>
      <c r="BB248" s="7"/>
      <c r="BC248" s="7">
        <v>1996</v>
      </c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</row>
    <row r="249" spans="1:134" x14ac:dyDescent="0.25">
      <c r="A249">
        <v>11178455</v>
      </c>
      <c r="B249" t="s">
        <v>281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>
        <v>278</v>
      </c>
      <c r="AY249" s="7"/>
      <c r="AZ249" s="7">
        <v>342</v>
      </c>
      <c r="BA249" s="7"/>
      <c r="BB249" s="7">
        <v>336</v>
      </c>
      <c r="BC249" s="7"/>
      <c r="BD249" s="7"/>
      <c r="BE249" s="7"/>
      <c r="BF249" s="7"/>
      <c r="BG249" s="7"/>
      <c r="BH249" s="7"/>
      <c r="BI249" s="7">
        <v>80</v>
      </c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>
        <v>27</v>
      </c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</row>
    <row r="250" spans="1:134" x14ac:dyDescent="0.25">
      <c r="A250">
        <v>11179526</v>
      </c>
      <c r="B250" t="s">
        <v>281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>
        <v>1660</v>
      </c>
      <c r="AZ250" s="7"/>
      <c r="BA250" s="7"/>
      <c r="BB250" s="7"/>
      <c r="BC250" s="7">
        <v>1652</v>
      </c>
      <c r="BD250" s="7"/>
      <c r="BE250" s="7"/>
      <c r="BF250" s="7"/>
      <c r="BG250" s="7"/>
      <c r="BH250" s="7">
        <v>1326</v>
      </c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>
        <v>164</v>
      </c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>
        <v>36</v>
      </c>
      <c r="DW250" s="7"/>
      <c r="DX250" s="7"/>
      <c r="DY250" s="7"/>
      <c r="DZ250" s="7"/>
      <c r="EA250" s="7"/>
      <c r="EB250" s="7"/>
      <c r="EC250" s="7"/>
      <c r="ED250" s="7"/>
    </row>
    <row r="251" spans="1:134" x14ac:dyDescent="0.25">
      <c r="A251">
        <v>11187511</v>
      </c>
      <c r="B251" t="s">
        <v>281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>
        <v>1773</v>
      </c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</row>
    <row r="252" spans="1:134" x14ac:dyDescent="0.25">
      <c r="A252">
        <v>11223290</v>
      </c>
      <c r="B252" t="s">
        <v>281</v>
      </c>
      <c r="C252" s="7">
        <v>17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>
        <v>31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>
        <v>39</v>
      </c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>
        <v>10</v>
      </c>
      <c r="AX252" s="7"/>
      <c r="AY252" s="7"/>
      <c r="AZ252" s="7"/>
      <c r="BA252" s="7"/>
      <c r="BB252" s="7"/>
      <c r="BC252" s="7"/>
      <c r="BD252" s="7"/>
      <c r="BE252" s="7">
        <v>361</v>
      </c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>
        <v>237</v>
      </c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</row>
    <row r="253" spans="1:134" x14ac:dyDescent="0.25">
      <c r="A253">
        <v>11228365</v>
      </c>
      <c r="B253" t="s">
        <v>281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>
        <v>1273</v>
      </c>
      <c r="AV253" s="7"/>
      <c r="AW253" s="7"/>
      <c r="AX253" s="7">
        <v>1454</v>
      </c>
      <c r="AY253" s="7">
        <v>1527</v>
      </c>
      <c r="AZ253" s="7">
        <v>1540</v>
      </c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</row>
    <row r="254" spans="1:134" x14ac:dyDescent="0.25">
      <c r="A254">
        <v>12020246</v>
      </c>
      <c r="B254" t="s">
        <v>281</v>
      </c>
      <c r="C254" s="7"/>
      <c r="D254" s="7"/>
      <c r="E254" s="7"/>
      <c r="F254" s="7"/>
      <c r="G254" s="7"/>
      <c r="H254" s="7"/>
      <c r="I254" s="7"/>
      <c r="J254" s="7"/>
      <c r="K254" s="7"/>
      <c r="L254" s="7">
        <v>16.2</v>
      </c>
      <c r="M254" s="7"/>
      <c r="N254" s="7"/>
      <c r="O254" s="7">
        <v>16.2</v>
      </c>
      <c r="P254" s="7"/>
      <c r="Q254" s="7"/>
      <c r="R254" s="7"/>
      <c r="S254" s="7">
        <v>12</v>
      </c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>
        <v>12.6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>
        <v>100.2</v>
      </c>
      <c r="AY254" s="7"/>
      <c r="AZ254" s="7"/>
      <c r="BA254" s="7"/>
      <c r="BB254" s="7"/>
      <c r="BC254" s="7"/>
      <c r="BD254" s="7"/>
      <c r="BE254" s="7">
        <v>139.19999999999999</v>
      </c>
      <c r="BF254" s="7"/>
      <c r="BG254" s="7"/>
      <c r="BH254" s="7"/>
      <c r="BI254" s="7"/>
      <c r="BJ254" s="7"/>
      <c r="BK254" s="7"/>
      <c r="BL254" s="7"/>
      <c r="BM254" s="7">
        <v>67.2</v>
      </c>
      <c r="BN254" s="7"/>
      <c r="BO254" s="7"/>
      <c r="BP254" s="7"/>
      <c r="BQ254" s="7"/>
      <c r="BR254" s="7"/>
      <c r="BS254" s="7"/>
      <c r="BT254" s="7"/>
      <c r="BU254" s="7">
        <v>58.2</v>
      </c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>
        <v>45</v>
      </c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</row>
    <row r="255" spans="1:134" x14ac:dyDescent="0.25">
      <c r="A255">
        <v>12035138</v>
      </c>
      <c r="B255" t="s">
        <v>281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>
        <v>676</v>
      </c>
      <c r="AY255" s="7">
        <v>624</v>
      </c>
      <c r="AZ255" s="7"/>
      <c r="BA255" s="7">
        <v>394</v>
      </c>
      <c r="BB255" s="7">
        <v>304</v>
      </c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</row>
    <row r="256" spans="1:134" x14ac:dyDescent="0.25">
      <c r="A256">
        <v>12111578</v>
      </c>
      <c r="B256" t="s">
        <v>281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>
        <v>1392</v>
      </c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</row>
    <row r="257" spans="1:134" x14ac:dyDescent="0.25">
      <c r="A257">
        <v>12133434</v>
      </c>
      <c r="B257" t="s">
        <v>281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>
        <v>17.5</v>
      </c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</row>
    <row r="258" spans="1:134" x14ac:dyDescent="0.25">
      <c r="A258">
        <v>12164268</v>
      </c>
      <c r="B258" t="s">
        <v>281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>
        <v>25</v>
      </c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</row>
    <row r="259" spans="1:134" x14ac:dyDescent="0.25">
      <c r="A259">
        <v>12164269</v>
      </c>
      <c r="B259" t="s">
        <v>281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>
        <v>1694</v>
      </c>
      <c r="AY259" s="7"/>
      <c r="AZ259" s="7"/>
      <c r="BA259" s="7"/>
      <c r="BB259" s="7">
        <v>1716</v>
      </c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</row>
    <row r="260" spans="1:134" x14ac:dyDescent="0.25">
      <c r="A260">
        <v>12168562</v>
      </c>
      <c r="B260" t="s">
        <v>281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>
        <v>1419</v>
      </c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</row>
    <row r="261" spans="1:134" x14ac:dyDescent="0.25">
      <c r="A261">
        <v>12190939</v>
      </c>
      <c r="B261" t="s">
        <v>281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>
        <v>25</v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</row>
    <row r="262" spans="1:134" x14ac:dyDescent="0.25">
      <c r="A262">
        <v>12311081</v>
      </c>
      <c r="B262" t="s">
        <v>281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>
        <v>671</v>
      </c>
      <c r="AY262" s="7"/>
      <c r="AZ262" s="7"/>
      <c r="BA262" s="7"/>
      <c r="BB262" s="7"/>
      <c r="BC262" s="7"/>
      <c r="BD262" s="7">
        <v>311</v>
      </c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</row>
    <row r="263" spans="1:134" x14ac:dyDescent="0.25">
      <c r="A263">
        <v>6000832</v>
      </c>
      <c r="B263" t="s">
        <v>281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>
        <v>60</v>
      </c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</row>
    <row r="264" spans="1:134" x14ac:dyDescent="0.25">
      <c r="A264" s="17">
        <v>9030615</v>
      </c>
      <c r="B264" s="17" t="s">
        <v>281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>
        <v>121.2</v>
      </c>
      <c r="BB264" s="7"/>
      <c r="BC264" s="7"/>
      <c r="BD264" s="7"/>
      <c r="BE264" s="7"/>
      <c r="BF264" s="7"/>
      <c r="BG264" s="7">
        <v>256.8</v>
      </c>
      <c r="BH264" s="7"/>
      <c r="BI264" s="7"/>
      <c r="BJ264" s="7"/>
      <c r="BK264" s="7"/>
      <c r="BL264" s="7"/>
      <c r="BM264" s="7">
        <v>1052.4000000000001</v>
      </c>
      <c r="BN264" s="7"/>
      <c r="BO264" s="7">
        <v>626.4</v>
      </c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</row>
    <row r="265" spans="1:134" x14ac:dyDescent="0.25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</row>
    <row r="266" spans="1:134" x14ac:dyDescent="0.25">
      <c r="A266">
        <v>5281</v>
      </c>
      <c r="B266" t="s">
        <v>283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>
        <v>5300</v>
      </c>
      <c r="AX266" s="7"/>
      <c r="AY266" s="7"/>
      <c r="AZ266" s="7"/>
      <c r="BA266" s="7"/>
      <c r="BB266" s="7"/>
      <c r="BC266" s="7"/>
      <c r="BD266" s="7"/>
      <c r="BE266" s="7">
        <v>849</v>
      </c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</row>
    <row r="267" spans="1:134" x14ac:dyDescent="0.25">
      <c r="A267">
        <v>200085</v>
      </c>
      <c r="B267" t="s">
        <v>283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>
        <v>27</v>
      </c>
      <c r="AK267" s="7"/>
      <c r="AL267" s="7"/>
      <c r="AM267" s="7"/>
      <c r="AN267" s="7"/>
      <c r="AO267" s="7"/>
      <c r="AP267" s="7"/>
      <c r="AQ267" s="7"/>
      <c r="AR267" s="7">
        <v>36</v>
      </c>
      <c r="AS267" s="7">
        <v>58</v>
      </c>
      <c r="AT267" s="7"/>
      <c r="AU267" s="7"/>
      <c r="AV267" s="7"/>
      <c r="AW267" s="7">
        <v>343</v>
      </c>
      <c r="AX267" s="7">
        <v>110</v>
      </c>
      <c r="AY267" s="7">
        <v>205</v>
      </c>
      <c r="AZ267" s="7">
        <v>277</v>
      </c>
      <c r="BA267" s="7">
        <v>343</v>
      </c>
      <c r="BB267" s="7">
        <v>302</v>
      </c>
      <c r="BC267" s="7">
        <v>278</v>
      </c>
      <c r="BD267" s="7">
        <v>241</v>
      </c>
      <c r="BE267" s="7">
        <v>195</v>
      </c>
      <c r="BF267" s="7"/>
      <c r="BG267" s="7">
        <v>145</v>
      </c>
      <c r="BH267" s="7"/>
      <c r="BI267" s="7">
        <v>102</v>
      </c>
      <c r="BJ267" s="7"/>
      <c r="BK267" s="7"/>
      <c r="BL267" s="7"/>
      <c r="BM267" s="7">
        <v>48</v>
      </c>
      <c r="BN267" s="7"/>
      <c r="BO267" s="7">
        <v>29</v>
      </c>
      <c r="BP267" s="7">
        <v>23</v>
      </c>
      <c r="BQ267" s="7"/>
      <c r="BR267" s="7"/>
      <c r="BS267" s="7"/>
      <c r="BT267" s="7">
        <v>22</v>
      </c>
      <c r="BU267" s="7"/>
      <c r="BV267" s="7"/>
      <c r="BW267" s="7">
        <v>21</v>
      </c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</row>
    <row r="268" spans="1:134" x14ac:dyDescent="0.25">
      <c r="A268">
        <v>500129</v>
      </c>
      <c r="B268" t="s">
        <v>283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>
        <v>24.6</v>
      </c>
      <c r="BD268" s="7"/>
      <c r="BE268" s="7">
        <v>8.6</v>
      </c>
      <c r="BF268" s="7"/>
      <c r="BG268" s="7">
        <v>4298</v>
      </c>
      <c r="BH268" s="7"/>
      <c r="BI268" s="7">
        <v>3607</v>
      </c>
      <c r="BJ268" s="7">
        <v>2361</v>
      </c>
      <c r="BK268" s="7"/>
      <c r="BL268" s="7"/>
      <c r="BM268" s="7"/>
      <c r="BN268" s="7"/>
      <c r="BO268" s="7"/>
      <c r="BP268" s="7"/>
      <c r="BQ268" s="7">
        <v>274</v>
      </c>
      <c r="BR268" s="7"/>
      <c r="BS268" s="7"/>
      <c r="BT268" s="7"/>
      <c r="BU268" s="7"/>
      <c r="BV268" s="7"/>
      <c r="BW268" s="7"/>
      <c r="BX268" s="7"/>
      <c r="BY268" s="7"/>
      <c r="BZ268" s="7">
        <v>186</v>
      </c>
      <c r="CA268" s="7"/>
      <c r="CB268" s="7"/>
      <c r="CC268" s="7"/>
      <c r="CD268" s="7">
        <v>76</v>
      </c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>
        <v>69</v>
      </c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</row>
    <row r="269" spans="1:134" x14ac:dyDescent="0.25">
      <c r="A269" s="18">
        <v>1002033</v>
      </c>
      <c r="B269" t="s">
        <v>283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>
        <v>34</v>
      </c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>
        <v>49</v>
      </c>
      <c r="AR269" s="7"/>
      <c r="AS269" s="7"/>
      <c r="AT269" s="7"/>
      <c r="AU269" s="7"/>
      <c r="AV269" s="7"/>
      <c r="AW269" s="7"/>
      <c r="AX269" s="7">
        <v>190</v>
      </c>
      <c r="AY269" s="7"/>
      <c r="AZ269" s="7"/>
      <c r="BA269" s="7"/>
      <c r="BB269" s="7"/>
      <c r="BC269" s="7">
        <v>111</v>
      </c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>
        <v>30</v>
      </c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>
        <v>50</v>
      </c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</row>
    <row r="270" spans="1:134" x14ac:dyDescent="0.25">
      <c r="A270">
        <v>1003457</v>
      </c>
      <c r="B270" t="s">
        <v>283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>
        <v>193</v>
      </c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</row>
    <row r="271" spans="1:134" x14ac:dyDescent="0.25">
      <c r="A271">
        <v>2005223</v>
      </c>
      <c r="B271" t="s">
        <v>283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>
        <v>173.4</v>
      </c>
      <c r="AY271" s="7"/>
      <c r="AZ271" s="7">
        <v>142.80000000000001</v>
      </c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>
        <v>252</v>
      </c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</row>
    <row r="272" spans="1:134" x14ac:dyDescent="0.25">
      <c r="A272">
        <v>2006107</v>
      </c>
      <c r="B272" t="s">
        <v>283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>
        <v>523</v>
      </c>
      <c r="AY272" s="7"/>
      <c r="AZ272" s="7"/>
      <c r="BA272" s="7"/>
      <c r="BB272" s="7"/>
      <c r="BC272" s="7"/>
      <c r="BD272" s="7"/>
      <c r="BE272" s="7">
        <v>77</v>
      </c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</row>
    <row r="273" spans="1:134" x14ac:dyDescent="0.25">
      <c r="A273">
        <v>2012014</v>
      </c>
      <c r="B273" t="s">
        <v>283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>
        <v>8</v>
      </c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</row>
    <row r="274" spans="1:134" x14ac:dyDescent="0.25">
      <c r="A274">
        <v>3000152</v>
      </c>
      <c r="B274" t="s">
        <v>283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9">
        <v>47.32</v>
      </c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</row>
    <row r="275" spans="1:134" x14ac:dyDescent="0.25">
      <c r="A275">
        <v>3014566</v>
      </c>
      <c r="B275" t="s">
        <v>283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>
        <v>24</v>
      </c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</row>
    <row r="276" spans="1:134" x14ac:dyDescent="0.25">
      <c r="A276">
        <v>3015058</v>
      </c>
      <c r="B276" t="s">
        <v>283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>
        <v>7</v>
      </c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>
        <v>138</v>
      </c>
      <c r="AZ276" s="7">
        <v>110</v>
      </c>
      <c r="BA276" s="7"/>
      <c r="BB276" s="7"/>
      <c r="BC276" s="7"/>
      <c r="BD276" s="7"/>
      <c r="BE276" s="7"/>
      <c r="BF276" s="7">
        <v>47</v>
      </c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</row>
    <row r="277" spans="1:134" x14ac:dyDescent="0.25">
      <c r="A277" s="18">
        <v>4000996</v>
      </c>
      <c r="B277" t="s">
        <v>283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>
        <v>142.80000000000001</v>
      </c>
      <c r="AZ277" s="7">
        <v>129</v>
      </c>
      <c r="BA277" s="7">
        <v>112.2</v>
      </c>
      <c r="BB277" s="7"/>
      <c r="BC277" s="7"/>
      <c r="BD277" s="7"/>
      <c r="BE277" s="7">
        <v>7080</v>
      </c>
      <c r="BF277" s="7"/>
      <c r="BG277" s="7"/>
      <c r="BH277" s="7"/>
      <c r="BI277" s="7"/>
      <c r="BJ277" s="7"/>
      <c r="BK277" s="7"/>
      <c r="BL277" s="7">
        <v>40.200000000000003</v>
      </c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</row>
    <row r="278" spans="1:134" x14ac:dyDescent="0.25">
      <c r="A278">
        <v>4003768</v>
      </c>
      <c r="B278" t="s">
        <v>283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>
        <v>12</v>
      </c>
      <c r="AS278" s="7"/>
      <c r="AT278" s="7"/>
      <c r="AU278" s="7">
        <v>14</v>
      </c>
      <c r="AV278" s="7"/>
      <c r="AW278" s="7"/>
      <c r="AX278" s="7">
        <v>390</v>
      </c>
      <c r="AY278" s="7">
        <v>3135</v>
      </c>
      <c r="AZ278" s="7">
        <v>4112</v>
      </c>
      <c r="BA278" s="7">
        <v>2774</v>
      </c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</row>
    <row r="279" spans="1:134" x14ac:dyDescent="0.25">
      <c r="A279">
        <v>4006540</v>
      </c>
      <c r="B279" t="s">
        <v>283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>
        <v>2376</v>
      </c>
      <c r="BI279" s="7">
        <v>2262</v>
      </c>
      <c r="BJ279" s="7"/>
      <c r="BK279" s="7"/>
      <c r="BL279" s="7">
        <v>1722</v>
      </c>
      <c r="BM279" s="7"/>
      <c r="BN279" s="7"/>
      <c r="BO279" s="7">
        <v>1548</v>
      </c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</row>
    <row r="280" spans="1:134" x14ac:dyDescent="0.25">
      <c r="A280">
        <v>4007054</v>
      </c>
      <c r="B280" t="s">
        <v>283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>
        <v>45.8</v>
      </c>
      <c r="AY280" s="7"/>
      <c r="AZ280" s="7"/>
      <c r="BA280" s="7"/>
      <c r="BB280" s="7">
        <v>920</v>
      </c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</row>
    <row r="281" spans="1:134" x14ac:dyDescent="0.25">
      <c r="A281">
        <v>4011002</v>
      </c>
      <c r="B281" t="s">
        <v>283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>
        <v>410.4</v>
      </c>
      <c r="AY281" s="7">
        <v>505.2</v>
      </c>
      <c r="AZ281" s="7"/>
      <c r="BA281" s="7"/>
      <c r="BB281" s="7"/>
      <c r="BC281" s="7">
        <v>315</v>
      </c>
      <c r="BD281" s="7"/>
      <c r="BE281" s="7"/>
      <c r="BF281" s="7">
        <v>502.8</v>
      </c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</row>
    <row r="282" spans="1:134" x14ac:dyDescent="0.25">
      <c r="A282">
        <v>4900268</v>
      </c>
      <c r="B282" t="s">
        <v>283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9">
        <v>9593.5</v>
      </c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</row>
    <row r="283" spans="1:134" x14ac:dyDescent="0.25">
      <c r="A283">
        <v>5001097</v>
      </c>
      <c r="B283" t="s">
        <v>283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>
        <v>23</v>
      </c>
      <c r="AQ283" s="7">
        <v>22</v>
      </c>
      <c r="AR283" s="7"/>
      <c r="AS283" s="7"/>
      <c r="AT283" s="7"/>
      <c r="AU283" s="7"/>
      <c r="AV283" s="7"/>
      <c r="AW283" s="7"/>
      <c r="AX283" s="7">
        <v>58</v>
      </c>
      <c r="AY283" s="7"/>
      <c r="AZ283" s="7"/>
      <c r="BA283" s="7"/>
      <c r="BB283" s="7">
        <v>34</v>
      </c>
      <c r="BC283" s="7"/>
      <c r="BD283" s="7"/>
      <c r="BE283" s="7"/>
      <c r="BF283" s="7">
        <v>33</v>
      </c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</row>
    <row r="284" spans="1:134" x14ac:dyDescent="0.25">
      <c r="A284">
        <v>5001098</v>
      </c>
      <c r="B284" t="s">
        <v>283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>
        <v>73</v>
      </c>
      <c r="AL284" s="7"/>
      <c r="AM284" s="7"/>
      <c r="AN284" s="7"/>
      <c r="AO284" s="7">
        <v>69</v>
      </c>
      <c r="AP284" s="7">
        <v>72</v>
      </c>
      <c r="AQ284" s="7"/>
      <c r="AR284" s="7"/>
      <c r="AS284" s="7">
        <v>82</v>
      </c>
      <c r="AT284" s="7"/>
      <c r="AU284" s="7"/>
      <c r="AV284" s="7"/>
      <c r="AW284" s="7"/>
      <c r="AX284" s="7">
        <v>86</v>
      </c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</row>
    <row r="285" spans="1:134" x14ac:dyDescent="0.25">
      <c r="A285">
        <v>5006152</v>
      </c>
      <c r="B285" t="s">
        <v>283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>
        <v>27</v>
      </c>
      <c r="AV285" s="7"/>
      <c r="AW285" s="7"/>
      <c r="AX285" s="7">
        <v>1155</v>
      </c>
      <c r="AY285" s="7">
        <v>4365</v>
      </c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</row>
    <row r="286" spans="1:134" x14ac:dyDescent="0.25">
      <c r="A286">
        <v>5011824</v>
      </c>
      <c r="B286" t="s">
        <v>283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>
        <v>93</v>
      </c>
      <c r="AY286" s="7">
        <v>117</v>
      </c>
      <c r="AZ286" s="7">
        <v>96</v>
      </c>
      <c r="BA286" s="7"/>
      <c r="BB286" s="7"/>
      <c r="BC286" s="7"/>
      <c r="BD286" s="7">
        <v>81</v>
      </c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</row>
    <row r="287" spans="1:134" x14ac:dyDescent="0.25">
      <c r="A287">
        <v>5016179</v>
      </c>
      <c r="B287" t="s">
        <v>283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</row>
    <row r="288" spans="1:134" x14ac:dyDescent="0.25">
      <c r="A288">
        <v>7079011</v>
      </c>
      <c r="B288" t="s">
        <v>283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>
        <v>44.4</v>
      </c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>
        <v>37.200000000000003</v>
      </c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</row>
    <row r="289" spans="1:134" x14ac:dyDescent="0.25">
      <c r="A289">
        <v>8135416</v>
      </c>
      <c r="B289" t="s">
        <v>283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>
        <v>12</v>
      </c>
      <c r="AT289" s="10">
        <v>13</v>
      </c>
      <c r="AU289" s="7">
        <v>15</v>
      </c>
      <c r="AV289" s="7">
        <v>17</v>
      </c>
      <c r="AW289" s="7"/>
      <c r="AX289" s="10">
        <v>1290</v>
      </c>
      <c r="AY289" s="10">
        <v>990</v>
      </c>
      <c r="AZ289" s="7">
        <v>617</v>
      </c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</row>
    <row r="290" spans="1:134" x14ac:dyDescent="0.25">
      <c r="A290">
        <v>93018945</v>
      </c>
      <c r="B290" t="s">
        <v>283</v>
      </c>
      <c r="C290" s="7"/>
      <c r="D290" s="7"/>
      <c r="E290" s="7"/>
      <c r="F290" s="7">
        <v>4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>
        <v>9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>
        <v>276</v>
      </c>
      <c r="BD290" s="7"/>
      <c r="BE290" s="7"/>
      <c r="BF290" s="7"/>
      <c r="BG290" s="7"/>
      <c r="BH290" s="7">
        <v>124</v>
      </c>
      <c r="BI290" s="7"/>
      <c r="BJ290" s="7"/>
      <c r="BK290" s="7">
        <v>102</v>
      </c>
      <c r="BL290" s="7"/>
      <c r="BM290" s="7"/>
      <c r="BN290" s="7"/>
      <c r="BO290" s="7"/>
      <c r="BP290" s="7"/>
      <c r="BQ290" s="7"/>
      <c r="BR290" s="7"/>
      <c r="BS290" s="7"/>
      <c r="BT290" s="7">
        <v>184</v>
      </c>
      <c r="BU290" s="7"/>
      <c r="BV290" s="7"/>
      <c r="BW290" s="7"/>
      <c r="BX290" s="7"/>
      <c r="BY290" s="7"/>
      <c r="BZ290" s="7"/>
      <c r="CA290" s="7">
        <v>94</v>
      </c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>
        <v>30</v>
      </c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>
        <v>20</v>
      </c>
      <c r="DX290" s="7"/>
      <c r="DY290" s="7"/>
      <c r="DZ290" s="7"/>
      <c r="EA290" s="7">
        <v>41</v>
      </c>
      <c r="EB290" s="7"/>
      <c r="EC290" s="7">
        <v>11</v>
      </c>
      <c r="ED290" s="7"/>
    </row>
    <row r="291" spans="1:134" x14ac:dyDescent="0.25">
      <c r="A291">
        <v>94009028</v>
      </c>
      <c r="B291" t="s">
        <v>283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>
        <v>5000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</row>
    <row r="292" spans="1:134" x14ac:dyDescent="0.25">
      <c r="A292">
        <v>95005907</v>
      </c>
      <c r="B292" t="s">
        <v>283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>
        <v>55</v>
      </c>
      <c r="AW292" s="7"/>
      <c r="AX292" s="10">
        <v>340</v>
      </c>
      <c r="AY292" s="7">
        <v>340</v>
      </c>
      <c r="AZ292" s="7">
        <v>150</v>
      </c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</row>
    <row r="293" spans="1:134" x14ac:dyDescent="0.25">
      <c r="A293">
        <v>95900164</v>
      </c>
      <c r="B293" t="s">
        <v>283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>
        <v>5050</v>
      </c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</row>
    <row r="294" spans="1:134" x14ac:dyDescent="0.25">
      <c r="A294">
        <v>96015811</v>
      </c>
      <c r="B294" t="s">
        <v>283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>
        <v>4070</v>
      </c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</row>
    <row r="295" spans="1:134" x14ac:dyDescent="0.25">
      <c r="A295">
        <v>97001240</v>
      </c>
      <c r="B295" t="s">
        <v>283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>
        <v>51</v>
      </c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>
        <v>16</v>
      </c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</row>
    <row r="296" spans="1:134" x14ac:dyDescent="0.25">
      <c r="A296">
        <v>97005366</v>
      </c>
      <c r="B296" t="s">
        <v>283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>
        <v>36</v>
      </c>
      <c r="AP296" s="7"/>
      <c r="AQ296" s="7"/>
      <c r="AR296" s="7"/>
      <c r="AS296" s="7"/>
      <c r="AT296" s="7"/>
      <c r="AU296" s="7"/>
      <c r="AV296" s="7"/>
      <c r="AW296" s="7"/>
      <c r="AX296" s="7">
        <v>102</v>
      </c>
      <c r="AY296" s="7"/>
      <c r="AZ296" s="7"/>
      <c r="BA296" s="7"/>
      <c r="BB296" s="7"/>
      <c r="BC296" s="7"/>
      <c r="BD296" s="7"/>
      <c r="BE296" s="7"/>
      <c r="BF296" s="7">
        <v>78</v>
      </c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</row>
    <row r="297" spans="1:134" x14ac:dyDescent="0.25">
      <c r="A297">
        <v>98000595</v>
      </c>
      <c r="B297" t="s">
        <v>283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>
        <v>78</v>
      </c>
      <c r="AW297" s="7"/>
      <c r="AX297" s="7"/>
      <c r="AY297" s="7">
        <v>14</v>
      </c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</row>
    <row r="298" spans="1:134" x14ac:dyDescent="0.25">
      <c r="A298">
        <v>98002692</v>
      </c>
      <c r="B298" t="s">
        <v>283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>
        <v>144</v>
      </c>
      <c r="AY298" s="7"/>
      <c r="AZ298" s="7"/>
      <c r="BA298" s="7"/>
      <c r="BB298" s="7"/>
      <c r="BC298" s="7">
        <v>46</v>
      </c>
      <c r="BD298" s="7"/>
      <c r="BE298" s="7"/>
      <c r="BF298" s="7"/>
      <c r="BG298" s="7"/>
      <c r="BH298" s="7"/>
      <c r="BI298" s="7">
        <v>17</v>
      </c>
      <c r="BJ298" s="7"/>
      <c r="BK298" s="7"/>
      <c r="BL298" s="7"/>
      <c r="BM298" s="7"/>
      <c r="BN298" s="7"/>
      <c r="BO298" s="7"/>
      <c r="BP298" s="7">
        <v>13</v>
      </c>
      <c r="BQ298" s="7"/>
      <c r="BR298" s="7"/>
      <c r="BS298" s="7"/>
      <c r="BT298" s="7"/>
      <c r="BU298" s="7"/>
      <c r="BV298" s="7"/>
      <c r="BW298" s="7">
        <v>13</v>
      </c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</row>
    <row r="299" spans="1:134" x14ac:dyDescent="0.25">
      <c r="A299">
        <v>98005277</v>
      </c>
      <c r="B299" t="s">
        <v>283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>
        <v>23</v>
      </c>
      <c r="AY299" s="7">
        <v>55</v>
      </c>
      <c r="AZ299" s="7"/>
      <c r="BA299" s="7"/>
      <c r="BB299" s="7"/>
      <c r="BC299" s="7">
        <v>32</v>
      </c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</row>
    <row r="300" spans="1:134" x14ac:dyDescent="0.25">
      <c r="A300">
        <v>99001815</v>
      </c>
      <c r="B300" t="s">
        <v>283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>
        <v>221.4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</row>
    <row r="301" spans="1:134" x14ac:dyDescent="0.25">
      <c r="A301">
        <v>6012361</v>
      </c>
      <c r="B301" t="s">
        <v>283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>
        <v>594</v>
      </c>
      <c r="BA301" s="7">
        <v>408</v>
      </c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>
        <v>78</v>
      </c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</row>
    <row r="302" spans="1:134" x14ac:dyDescent="0.25">
      <c r="A302">
        <v>6015793</v>
      </c>
      <c r="B302" t="s">
        <v>283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>
        <v>4937</v>
      </c>
      <c r="AY302" s="7">
        <v>3826</v>
      </c>
      <c r="AZ302" s="7"/>
      <c r="BA302" s="7"/>
      <c r="BB302" s="7">
        <v>905</v>
      </c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</row>
    <row r="303" spans="1:134" x14ac:dyDescent="0.25">
      <c r="A303">
        <v>6043619</v>
      </c>
      <c r="B303" t="s">
        <v>283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>
        <v>5887.2</v>
      </c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</row>
    <row r="304" spans="1:134" x14ac:dyDescent="0.25">
      <c r="A304">
        <v>7001097</v>
      </c>
      <c r="B304" t="s">
        <v>283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>
        <v>12</v>
      </c>
      <c r="AV304" s="7">
        <v>30</v>
      </c>
      <c r="AW304" s="7"/>
      <c r="AX304" s="7">
        <v>29</v>
      </c>
      <c r="AY304" s="7">
        <v>39</v>
      </c>
      <c r="AZ304" s="7">
        <v>57</v>
      </c>
      <c r="BA304" s="7">
        <v>37</v>
      </c>
      <c r="BB304" s="7">
        <v>28</v>
      </c>
      <c r="BC304" s="7">
        <v>35</v>
      </c>
      <c r="BD304" s="7"/>
      <c r="BE304" s="7">
        <v>125</v>
      </c>
      <c r="BF304" s="7">
        <v>73</v>
      </c>
      <c r="BG304" s="7"/>
      <c r="BH304" s="7"/>
      <c r="BI304" s="7"/>
      <c r="BJ304" s="7"/>
      <c r="BK304" s="7">
        <v>47</v>
      </c>
      <c r="BL304" s="7">
        <v>64</v>
      </c>
      <c r="BM304" s="7">
        <v>59</v>
      </c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</row>
    <row r="305" spans="1:134" x14ac:dyDescent="0.25">
      <c r="A305">
        <v>7011435</v>
      </c>
      <c r="B305" t="s">
        <v>283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>
        <v>24.2</v>
      </c>
      <c r="AV305" s="7"/>
      <c r="AW305" s="7"/>
      <c r="AX305" s="7">
        <v>437</v>
      </c>
      <c r="AY305" s="7"/>
      <c r="AZ305" s="7">
        <v>367</v>
      </c>
      <c r="BA305" s="7"/>
      <c r="BB305" s="7"/>
      <c r="BC305" s="7"/>
      <c r="BD305" s="7">
        <v>257</v>
      </c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</row>
    <row r="306" spans="1:134" x14ac:dyDescent="0.25">
      <c r="A306">
        <v>7045811</v>
      </c>
      <c r="B306" t="s">
        <v>283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>
        <v>12864</v>
      </c>
      <c r="BC306" s="7"/>
      <c r="BD306" s="7"/>
      <c r="BE306" s="7"/>
      <c r="BF306" s="7"/>
      <c r="BG306" s="7"/>
      <c r="BH306" s="7"/>
      <c r="BI306" s="7">
        <v>1533</v>
      </c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</row>
    <row r="307" spans="1:134" x14ac:dyDescent="0.25">
      <c r="A307">
        <v>7071198</v>
      </c>
      <c r="B307" t="s">
        <v>283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</row>
    <row r="308" spans="1:134" x14ac:dyDescent="0.25">
      <c r="A308">
        <v>7101143</v>
      </c>
      <c r="B308" t="s">
        <v>283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>
        <v>1917.49</v>
      </c>
      <c r="AY308" s="7"/>
      <c r="AZ308" s="7">
        <v>2074.65</v>
      </c>
      <c r="BA308" s="7">
        <v>1898.18</v>
      </c>
      <c r="BB308" s="7"/>
      <c r="BC308" s="7"/>
      <c r="BD308" s="7"/>
      <c r="BE308" s="7">
        <v>1436.2</v>
      </c>
      <c r="BF308" s="7"/>
      <c r="BG308" s="7"/>
      <c r="BH308" s="7">
        <v>961.74</v>
      </c>
      <c r="BI308" s="7"/>
      <c r="BJ308" s="7">
        <v>689.06</v>
      </c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</row>
    <row r="309" spans="1:134" x14ac:dyDescent="0.25">
      <c r="A309">
        <v>8073350</v>
      </c>
      <c r="B309" t="s">
        <v>283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</row>
    <row r="310" spans="1:134" x14ac:dyDescent="0.25">
      <c r="A310">
        <v>8073645</v>
      </c>
      <c r="B310" t="s">
        <v>283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>
        <v>1197.3333333333301</v>
      </c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</row>
    <row r="311" spans="1:134" x14ac:dyDescent="0.25">
      <c r="A311" s="18">
        <v>8089666</v>
      </c>
      <c r="B311" t="s">
        <v>283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>
        <v>63</v>
      </c>
      <c r="AU311" s="7">
        <v>18</v>
      </c>
      <c r="AV311" s="7">
        <v>15</v>
      </c>
      <c r="AW311" s="7"/>
      <c r="AX311" s="9">
        <v>1851.25</v>
      </c>
      <c r="AY311" s="7">
        <v>43</v>
      </c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</row>
    <row r="312" spans="1:134" x14ac:dyDescent="0.25">
      <c r="A312">
        <v>8103536</v>
      </c>
      <c r="B312" t="s">
        <v>283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>
        <v>104</v>
      </c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</row>
    <row r="313" spans="1:134" x14ac:dyDescent="0.25">
      <c r="A313" t="s">
        <v>284</v>
      </c>
      <c r="B313" t="s">
        <v>283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>
        <v>113</v>
      </c>
      <c r="AY313" s="7"/>
      <c r="AZ313" s="7"/>
      <c r="BA313" s="7">
        <v>130</v>
      </c>
      <c r="BB313" s="7"/>
      <c r="BC313" s="7"/>
      <c r="BD313" s="7">
        <v>59</v>
      </c>
      <c r="BE313" s="7"/>
      <c r="BF313" s="7"/>
      <c r="BG313" s="7"/>
      <c r="BH313" s="7"/>
      <c r="BI313" s="7"/>
      <c r="BJ313" s="7"/>
      <c r="BK313" s="7">
        <v>27</v>
      </c>
      <c r="BL313" s="7"/>
      <c r="BM313" s="7"/>
      <c r="BN313" s="7"/>
      <c r="BO313" s="7"/>
      <c r="BP313" s="7">
        <v>50</v>
      </c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</row>
    <row r="314" spans="1:134" x14ac:dyDescent="0.25">
      <c r="A314">
        <v>9003267</v>
      </c>
      <c r="B314" t="s">
        <v>283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>
        <v>345</v>
      </c>
      <c r="AZ314" s="7"/>
      <c r="BA314" s="7">
        <v>471.6</v>
      </c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>
        <v>45.6</v>
      </c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</row>
    <row r="315" spans="1:134" x14ac:dyDescent="0.25">
      <c r="A315">
        <v>9036964</v>
      </c>
      <c r="B315" t="s">
        <v>283</v>
      </c>
      <c r="C315" s="7"/>
      <c r="D315" s="7"/>
      <c r="E315" s="7"/>
      <c r="F315" s="7"/>
      <c r="G315" s="7"/>
      <c r="H315" s="7"/>
      <c r="I315" s="7">
        <v>43.8</v>
      </c>
      <c r="J315" s="7">
        <v>57.2</v>
      </c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>
        <v>43.8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>
        <v>210</v>
      </c>
      <c r="AY315" s="7">
        <v>242</v>
      </c>
      <c r="AZ315" s="7">
        <v>273</v>
      </c>
      <c r="BA315" s="7"/>
      <c r="BB315" s="7"/>
      <c r="BC315" s="7"/>
      <c r="BD315" s="7">
        <v>170</v>
      </c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</row>
    <row r="316" spans="1:134" x14ac:dyDescent="0.25">
      <c r="A316">
        <v>9090287</v>
      </c>
      <c r="B316" t="s">
        <v>283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>
        <v>9462</v>
      </c>
      <c r="BA316" s="7">
        <v>7114</v>
      </c>
      <c r="BB316" s="7">
        <v>4107</v>
      </c>
      <c r="BC316" s="7">
        <v>2881</v>
      </c>
      <c r="BD316" s="7">
        <v>1819</v>
      </c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</row>
    <row r="317" spans="1:134" x14ac:dyDescent="0.25">
      <c r="A317">
        <v>9095148</v>
      </c>
      <c r="B317" t="s">
        <v>283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>
        <v>46</v>
      </c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</row>
    <row r="318" spans="1:134" x14ac:dyDescent="0.25">
      <c r="A318">
        <v>9104979</v>
      </c>
      <c r="B318" t="s">
        <v>283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>
        <v>215</v>
      </c>
      <c r="BB318" s="7"/>
      <c r="BC318" s="7"/>
      <c r="BD318" s="7">
        <v>109</v>
      </c>
      <c r="BE318" s="7"/>
      <c r="BF318" s="7"/>
      <c r="BG318" s="7"/>
      <c r="BH318" s="7">
        <v>297</v>
      </c>
      <c r="BI318" s="7"/>
      <c r="BJ318" s="7"/>
      <c r="BK318" s="7"/>
      <c r="BL318" s="7">
        <v>207</v>
      </c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>
        <v>68</v>
      </c>
      <c r="CM318" s="7"/>
      <c r="CN318" s="7"/>
      <c r="CO318" s="7"/>
      <c r="CP318" s="7">
        <v>38</v>
      </c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</row>
    <row r="319" spans="1:134" x14ac:dyDescent="0.25">
      <c r="A319">
        <v>9139514</v>
      </c>
      <c r="B319" t="s">
        <v>283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>
        <v>2988</v>
      </c>
      <c r="BI319" s="7"/>
      <c r="BJ319" s="7"/>
      <c r="BK319" s="7"/>
      <c r="BL319" s="7"/>
      <c r="BM319" s="7">
        <v>2666</v>
      </c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>
        <v>940</v>
      </c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>
        <v>209</v>
      </c>
      <c r="CY319" s="7"/>
      <c r="CZ319" s="7"/>
      <c r="DA319" s="7"/>
      <c r="DB319" s="7">
        <v>190</v>
      </c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</row>
    <row r="320" spans="1:134" x14ac:dyDescent="0.25">
      <c r="A320">
        <v>10020659</v>
      </c>
      <c r="B320" t="s">
        <v>283</v>
      </c>
      <c r="C320" s="7"/>
      <c r="D320" s="7">
        <v>108.6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>
        <v>120</v>
      </c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>
        <v>288.60000000000002</v>
      </c>
      <c r="AY320" s="7">
        <v>208.8</v>
      </c>
      <c r="AZ320" s="7"/>
      <c r="BA320" s="7">
        <v>157.80000000000001</v>
      </c>
      <c r="BB320" s="7"/>
      <c r="BC320" s="7"/>
      <c r="BD320" s="7"/>
      <c r="BE320" s="7"/>
      <c r="BF320" s="7">
        <v>85.2</v>
      </c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</row>
    <row r="321" spans="1:134" x14ac:dyDescent="0.25">
      <c r="A321">
        <v>10025902</v>
      </c>
      <c r="B321" t="s">
        <v>283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>
        <v>1413</v>
      </c>
      <c r="AY321" s="7">
        <v>1169.4000000000001</v>
      </c>
      <c r="AZ321" s="7"/>
      <c r="BA321" s="7"/>
      <c r="BB321" s="7"/>
      <c r="BC321" s="7"/>
      <c r="BD321" s="7">
        <v>906</v>
      </c>
      <c r="BE321" s="7">
        <v>733.8</v>
      </c>
      <c r="BF321" s="7"/>
      <c r="BG321" s="7"/>
      <c r="BH321" s="7">
        <v>395.4</v>
      </c>
      <c r="BI321" s="7"/>
      <c r="BJ321" s="7"/>
      <c r="BK321" s="7">
        <v>206.4</v>
      </c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</row>
    <row r="322" spans="1:134" x14ac:dyDescent="0.25">
      <c r="A322">
        <v>10027654</v>
      </c>
      <c r="B322" t="s">
        <v>283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>
        <v>61</v>
      </c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>
        <v>168</v>
      </c>
      <c r="AY322" s="7">
        <v>122</v>
      </c>
      <c r="AZ322" s="7">
        <v>85</v>
      </c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>
        <v>38</v>
      </c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</row>
    <row r="323" spans="1:134" x14ac:dyDescent="0.25">
      <c r="A323">
        <v>10084485</v>
      </c>
      <c r="B323" t="s">
        <v>283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>
        <v>40</v>
      </c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</row>
    <row r="324" spans="1:134" x14ac:dyDescent="0.25">
      <c r="A324">
        <v>10098420</v>
      </c>
      <c r="B324" t="s">
        <v>283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>
        <v>6950</v>
      </c>
      <c r="AY324" s="9">
        <v>6450</v>
      </c>
      <c r="AZ324" s="7"/>
      <c r="BA324" s="7">
        <v>3094</v>
      </c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</row>
    <row r="325" spans="1:134" x14ac:dyDescent="0.25">
      <c r="A325">
        <v>10129565</v>
      </c>
      <c r="B325" t="s">
        <v>283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>
        <v>2796</v>
      </c>
      <c r="AZ325" s="7">
        <v>1938</v>
      </c>
      <c r="BA325" s="7"/>
      <c r="BB325" s="7">
        <v>1104</v>
      </c>
      <c r="BC325" s="7"/>
      <c r="BD325" s="7"/>
      <c r="BE325" s="7"/>
      <c r="BF325" s="7"/>
      <c r="BG325" s="7"/>
      <c r="BH325" s="7"/>
      <c r="BI325" s="7">
        <v>214.8</v>
      </c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</row>
    <row r="326" spans="1:134" x14ac:dyDescent="0.25">
      <c r="A326">
        <v>10146828</v>
      </c>
      <c r="B326" t="s">
        <v>283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>
        <v>469</v>
      </c>
      <c r="AY326" s="7">
        <v>240</v>
      </c>
      <c r="AZ326" s="7"/>
      <c r="BA326" s="7"/>
      <c r="BB326" s="7"/>
      <c r="BC326" s="7">
        <v>81</v>
      </c>
      <c r="BD326" s="7"/>
      <c r="BE326" s="7"/>
      <c r="BF326" s="7"/>
      <c r="BG326" s="7"/>
      <c r="BH326" s="7"/>
      <c r="BI326" s="7"/>
      <c r="BJ326" s="7"/>
      <c r="BK326" s="7">
        <v>19</v>
      </c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</row>
    <row r="327" spans="1:134" x14ac:dyDescent="0.25">
      <c r="A327">
        <v>10163776</v>
      </c>
      <c r="B327" t="s">
        <v>283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>
        <v>17</v>
      </c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>
        <v>98</v>
      </c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</row>
    <row r="328" spans="1:134" x14ac:dyDescent="0.25">
      <c r="A328">
        <v>10173664</v>
      </c>
      <c r="B328" t="s">
        <v>283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>
        <v>2065.1999999999998</v>
      </c>
      <c r="BB328" s="7"/>
      <c r="BC328" s="7">
        <v>1780.2</v>
      </c>
      <c r="BD328" s="7"/>
      <c r="BE328" s="7"/>
      <c r="BF328" s="7"/>
      <c r="BG328" s="7"/>
      <c r="BH328" s="7">
        <v>1845.6</v>
      </c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</row>
    <row r="329" spans="1:134" x14ac:dyDescent="0.25">
      <c r="A329">
        <v>11000454</v>
      </c>
      <c r="B329" t="s">
        <v>283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>
        <v>189</v>
      </c>
      <c r="BI329" s="7">
        <v>178</v>
      </c>
      <c r="BJ329" s="7">
        <v>138</v>
      </c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</row>
    <row r="330" spans="1:134" x14ac:dyDescent="0.25">
      <c r="A330">
        <v>11083498</v>
      </c>
      <c r="B330" t="s">
        <v>283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>
        <v>81</v>
      </c>
      <c r="AV330" s="7"/>
      <c r="AW330" s="7"/>
      <c r="AX330" s="7"/>
      <c r="AY330" s="7"/>
      <c r="AZ330" s="7"/>
      <c r="BA330" s="7"/>
      <c r="BB330" s="7">
        <v>549.6</v>
      </c>
      <c r="BC330" s="7">
        <v>534</v>
      </c>
      <c r="BD330" s="7">
        <v>456</v>
      </c>
      <c r="BE330" s="7"/>
      <c r="BF330" s="7"/>
      <c r="BG330" s="7">
        <v>270</v>
      </c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</row>
    <row r="331" spans="1:134" x14ac:dyDescent="0.25">
      <c r="A331">
        <v>11138447</v>
      </c>
      <c r="B331" t="s">
        <v>283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>
        <v>1572</v>
      </c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</row>
    <row r="332" spans="1:134" x14ac:dyDescent="0.25">
      <c r="A332">
        <v>11144001</v>
      </c>
      <c r="B332" t="s">
        <v>283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>
        <v>24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>
        <v>112</v>
      </c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>
        <v>2445</v>
      </c>
      <c r="AZ332" s="7"/>
      <c r="BA332" s="7">
        <v>1670</v>
      </c>
      <c r="BB332" s="7"/>
      <c r="BC332" s="7"/>
      <c r="BD332" s="7"/>
      <c r="BE332" s="7">
        <v>577</v>
      </c>
      <c r="BF332" s="7"/>
      <c r="BG332" s="7"/>
      <c r="BH332" s="7"/>
      <c r="BI332" s="7">
        <v>388</v>
      </c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</row>
    <row r="333" spans="1:134" x14ac:dyDescent="0.25">
      <c r="A333" t="s">
        <v>285</v>
      </c>
      <c r="B333" t="s">
        <v>283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>
        <v>23</v>
      </c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>
        <v>56</v>
      </c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>
        <v>18</v>
      </c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</row>
    <row r="334" spans="1:134" x14ac:dyDescent="0.25">
      <c r="A334" t="s">
        <v>286</v>
      </c>
      <c r="B334" t="s">
        <v>283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>
        <v>25</v>
      </c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>
        <v>3664</v>
      </c>
      <c r="AY334" s="7"/>
      <c r="AZ334" s="7">
        <v>1869</v>
      </c>
      <c r="BA334" s="7"/>
      <c r="BB334" s="7">
        <v>977</v>
      </c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</row>
    <row r="335" spans="1:134" x14ac:dyDescent="0.25">
      <c r="A335">
        <v>12021531</v>
      </c>
      <c r="B335" t="s">
        <v>283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>
        <v>384</v>
      </c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>
        <v>224</v>
      </c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>
        <v>106</v>
      </c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>
        <v>78</v>
      </c>
      <c r="DL335" s="7"/>
      <c r="DM335" s="7"/>
      <c r="DN335" s="7"/>
      <c r="DO335" s="7"/>
      <c r="DP335" s="7"/>
      <c r="DQ335" s="7"/>
      <c r="DR335" s="7"/>
      <c r="DS335" s="7">
        <v>78</v>
      </c>
      <c r="DT335" s="7"/>
      <c r="DU335" s="7"/>
      <c r="DV335" s="7"/>
      <c r="DW335" s="7"/>
      <c r="DX335" s="7"/>
      <c r="DY335" s="7"/>
      <c r="DZ335" s="7"/>
      <c r="EA335" s="7"/>
      <c r="EB335" s="7">
        <v>14</v>
      </c>
      <c r="EC335" s="7"/>
      <c r="ED335" s="7"/>
    </row>
    <row r="336" spans="1:134" x14ac:dyDescent="0.25">
      <c r="A336">
        <v>12185514</v>
      </c>
      <c r="B336" t="s">
        <v>283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>
        <v>2162</v>
      </c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>
        <v>348</v>
      </c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>
        <v>49</v>
      </c>
      <c r="BV336" s="7"/>
      <c r="BW336" s="7"/>
      <c r="BX336" s="7"/>
      <c r="BY336" s="7"/>
      <c r="BZ336" s="7"/>
      <c r="CA336" s="7"/>
      <c r="CB336" s="7"/>
      <c r="CC336" s="7"/>
      <c r="CD336" s="7"/>
      <c r="CE336" s="7">
        <v>163</v>
      </c>
      <c r="CF336" s="7"/>
      <c r="CG336" s="7"/>
      <c r="CH336" s="7"/>
      <c r="CI336" s="7"/>
      <c r="CJ336" s="7"/>
      <c r="CK336" s="7"/>
      <c r="CL336" s="7"/>
      <c r="CM336" s="7"/>
      <c r="CN336" s="7"/>
      <c r="CO336" s="7">
        <v>64</v>
      </c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>
        <v>39</v>
      </c>
      <c r="DL336" s="7"/>
      <c r="DM336" s="7"/>
      <c r="DN336" s="7"/>
      <c r="DO336" s="7"/>
      <c r="DP336" s="7"/>
      <c r="DQ336" s="7"/>
      <c r="DR336" s="7"/>
      <c r="DS336" s="7">
        <v>47</v>
      </c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</row>
    <row r="337" spans="1:134" x14ac:dyDescent="0.25">
      <c r="A337">
        <v>12202633</v>
      </c>
      <c r="B337" t="s">
        <v>283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9">
        <v>2050</v>
      </c>
      <c r="AZ337" s="9">
        <v>1703</v>
      </c>
      <c r="BA337" s="7">
        <v>1571</v>
      </c>
      <c r="BB337" s="7">
        <v>1362</v>
      </c>
      <c r="BC337" s="7"/>
      <c r="BD337" s="7">
        <v>847</v>
      </c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</row>
    <row r="338" spans="1:134" x14ac:dyDescent="0.25">
      <c r="A338">
        <v>12325258</v>
      </c>
      <c r="B338" t="s">
        <v>283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</row>
    <row r="339" spans="1:134" x14ac:dyDescent="0.25">
      <c r="A339">
        <v>5018677</v>
      </c>
      <c r="B339" t="s">
        <v>283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>
        <v>81</v>
      </c>
      <c r="AS339" s="7"/>
      <c r="AT339" s="7"/>
      <c r="AU339" s="7"/>
      <c r="AV339" s="7"/>
      <c r="AW339" s="7"/>
      <c r="AX339" s="7">
        <v>114</v>
      </c>
      <c r="AY339" s="7"/>
      <c r="AZ339" s="7"/>
      <c r="BA339" s="7">
        <v>623</v>
      </c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>
        <v>66</v>
      </c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</row>
    <row r="340" spans="1:134" x14ac:dyDescent="0.25">
      <c r="A340">
        <v>11243521</v>
      </c>
      <c r="B340" t="s">
        <v>283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>
        <v>1084</v>
      </c>
      <c r="AX340" s="7"/>
      <c r="AY340" s="7"/>
      <c r="AZ340" s="7"/>
      <c r="BA340" s="7">
        <v>1085</v>
      </c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</row>
    <row r="341" spans="1:134" x14ac:dyDescent="0.25">
      <c r="A341" s="17">
        <v>2008127</v>
      </c>
      <c r="B341" t="s">
        <v>283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</row>
    <row r="342" spans="1:134" x14ac:dyDescent="0.25">
      <c r="A342" s="17">
        <v>6081681</v>
      </c>
      <c r="B342" t="s">
        <v>283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>
        <v>1626.6</v>
      </c>
      <c r="CV342" s="7"/>
      <c r="CW342" s="7"/>
      <c r="CX342" s="7"/>
      <c r="CY342" s="7"/>
      <c r="CZ342" s="7"/>
      <c r="DA342" s="7"/>
      <c r="DB342" s="7"/>
      <c r="DC342" s="7"/>
      <c r="DD342" s="7"/>
      <c r="DE342" s="7">
        <v>728.4</v>
      </c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</row>
    <row r="343" spans="1:134" x14ac:dyDescent="0.25">
      <c r="A343" s="19"/>
      <c r="BH343" s="11"/>
    </row>
    <row r="344" spans="1:134" x14ac:dyDescent="0.25">
      <c r="A344" s="19"/>
      <c r="BH344" s="11"/>
    </row>
    <row r="345" spans="1:134" x14ac:dyDescent="0.25">
      <c r="A345" s="19"/>
      <c r="BH345" s="11"/>
    </row>
    <row r="346" spans="1:134" x14ac:dyDescent="0.25">
      <c r="A346" s="19"/>
      <c r="BH346" s="11"/>
    </row>
    <row r="347" spans="1:134" x14ac:dyDescent="0.25">
      <c r="A347" s="19"/>
      <c r="BH347" s="11"/>
    </row>
    <row r="348" spans="1:134" x14ac:dyDescent="0.25">
      <c r="A348" s="19"/>
      <c r="BH348" s="11"/>
    </row>
    <row r="349" spans="1:134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3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</row>
    <row r="350" spans="1:134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3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</row>
    <row r="351" spans="1:134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3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</row>
    <row r="352" spans="1:134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3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</row>
    <row r="353" spans="1:134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3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</row>
    <row r="354" spans="1:134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3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</row>
    <row r="355" spans="1:134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3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</row>
    <row r="356" spans="1:134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3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</row>
    <row r="357" spans="1:134" x14ac:dyDescent="0.25">
      <c r="BH357" s="11"/>
    </row>
    <row r="358" spans="1:134" x14ac:dyDescent="0.25">
      <c r="BH358" s="11"/>
    </row>
    <row r="359" spans="1:134" x14ac:dyDescent="0.25">
      <c r="A359" s="19"/>
      <c r="BH359" s="11"/>
    </row>
    <row r="360" spans="1:134" x14ac:dyDescent="0.25">
      <c r="BH360" s="11"/>
    </row>
    <row r="361" spans="1:134" x14ac:dyDescent="0.25">
      <c r="BH361" s="11"/>
    </row>
    <row r="362" spans="1:134" x14ac:dyDescent="0.25">
      <c r="BH362" s="11"/>
    </row>
    <row r="363" spans="1:134" x14ac:dyDescent="0.25">
      <c r="BH363" s="11"/>
    </row>
    <row r="364" spans="1:134" x14ac:dyDescent="0.25">
      <c r="BH364" s="11"/>
    </row>
    <row r="365" spans="1:134" x14ac:dyDescent="0.25">
      <c r="A365" s="11"/>
      <c r="BH365" s="11"/>
    </row>
    <row r="366" spans="1:134" x14ac:dyDescent="0.25">
      <c r="BH366" s="11"/>
    </row>
    <row r="367" spans="1:134" x14ac:dyDescent="0.25">
      <c r="BH367" s="11"/>
    </row>
    <row r="368" spans="1:134" x14ac:dyDescent="0.25">
      <c r="BH368" s="11"/>
    </row>
    <row r="369" spans="60:60" x14ac:dyDescent="0.25">
      <c r="BH369" s="11"/>
    </row>
    <row r="370" spans="60:60" x14ac:dyDescent="0.25">
      <c r="BH370" s="11"/>
    </row>
    <row r="371" spans="60:60" x14ac:dyDescent="0.25">
      <c r="BH371" s="11"/>
    </row>
    <row r="372" spans="60:60" x14ac:dyDescent="0.25">
      <c r="BH372" s="11"/>
    </row>
    <row r="373" spans="60:60" x14ac:dyDescent="0.25">
      <c r="BH373" s="11"/>
    </row>
    <row r="374" spans="60:60" x14ac:dyDescent="0.25">
      <c r="BH374" s="11"/>
    </row>
    <row r="375" spans="60:60" x14ac:dyDescent="0.25">
      <c r="BH375" s="11"/>
    </row>
    <row r="376" spans="60:60" x14ac:dyDescent="0.25">
      <c r="BH376" s="11"/>
    </row>
    <row r="377" spans="60:60" x14ac:dyDescent="0.25">
      <c r="BH377" s="11"/>
    </row>
    <row r="378" spans="60:60" x14ac:dyDescent="0.25">
      <c r="BH378" s="11"/>
    </row>
    <row r="379" spans="60:60" x14ac:dyDescent="0.25">
      <c r="BH379" s="11"/>
    </row>
    <row r="380" spans="60:60" x14ac:dyDescent="0.25">
      <c r="BH380" s="11"/>
    </row>
    <row r="381" spans="60:60" x14ac:dyDescent="0.25">
      <c r="BH381" s="11"/>
    </row>
    <row r="382" spans="60:60" x14ac:dyDescent="0.25">
      <c r="BH382" s="11"/>
    </row>
    <row r="383" spans="60:60" x14ac:dyDescent="0.25">
      <c r="BH383" s="11"/>
    </row>
    <row r="384" spans="60:60" x14ac:dyDescent="0.25">
      <c r="BH384" s="11"/>
    </row>
    <row r="385" spans="60:60" x14ac:dyDescent="0.25">
      <c r="BH385" s="11"/>
    </row>
    <row r="386" spans="60:60" x14ac:dyDescent="0.25">
      <c r="BH386" s="11"/>
    </row>
    <row r="387" spans="60:60" x14ac:dyDescent="0.25">
      <c r="BH387" s="11"/>
    </row>
    <row r="388" spans="60:60" x14ac:dyDescent="0.25">
      <c r="BH388" s="11"/>
    </row>
    <row r="389" spans="60:60" x14ac:dyDescent="0.25">
      <c r="BH389" s="11"/>
    </row>
    <row r="390" spans="60:60" x14ac:dyDescent="0.25">
      <c r="BH390" s="11"/>
    </row>
    <row r="391" spans="60:60" x14ac:dyDescent="0.25">
      <c r="BH391" s="11"/>
    </row>
    <row r="392" spans="60:60" x14ac:dyDescent="0.25">
      <c r="BH392" s="11"/>
    </row>
    <row r="393" spans="60:60" x14ac:dyDescent="0.25">
      <c r="BH393" s="11"/>
    </row>
    <row r="394" spans="60:60" x14ac:dyDescent="0.25">
      <c r="BH394" s="11"/>
    </row>
    <row r="395" spans="60:60" x14ac:dyDescent="0.25">
      <c r="BH395" s="11"/>
    </row>
    <row r="396" spans="60:60" x14ac:dyDescent="0.25">
      <c r="BH396" s="11"/>
    </row>
    <row r="397" spans="60:60" x14ac:dyDescent="0.25">
      <c r="BH397" s="11"/>
    </row>
    <row r="398" spans="60:60" x14ac:dyDescent="0.25">
      <c r="BH398" s="11"/>
    </row>
    <row r="399" spans="60:60" x14ac:dyDescent="0.25">
      <c r="BH399" s="11"/>
    </row>
    <row r="400" spans="60:60" x14ac:dyDescent="0.25">
      <c r="BH400" s="11"/>
    </row>
    <row r="401" spans="1:60" x14ac:dyDescent="0.25">
      <c r="BH401" s="11"/>
    </row>
    <row r="402" spans="1:60" x14ac:dyDescent="0.25">
      <c r="BH402" s="11"/>
    </row>
    <row r="403" spans="1:60" x14ac:dyDescent="0.25">
      <c r="A403" s="19"/>
      <c r="BH403" s="11"/>
    </row>
    <row r="404" spans="1:60" x14ac:dyDescent="0.25">
      <c r="A404" s="19"/>
      <c r="BH404" s="11"/>
    </row>
    <row r="405" spans="1:60" x14ac:dyDescent="0.25">
      <c r="A405" s="19"/>
      <c r="BH405" s="11"/>
    </row>
    <row r="406" spans="1:60" x14ac:dyDescent="0.25">
      <c r="A406" s="19"/>
      <c r="BH406" s="11"/>
    </row>
    <row r="407" spans="1:60" x14ac:dyDescent="0.25">
      <c r="A407" s="19"/>
      <c r="BH407" s="11"/>
    </row>
    <row r="408" spans="1:60" x14ac:dyDescent="0.25">
      <c r="A408" s="19"/>
      <c r="BH408" s="11"/>
    </row>
    <row r="409" spans="1:60" x14ac:dyDescent="0.25">
      <c r="A409" s="19"/>
      <c r="BH409" s="11"/>
    </row>
    <row r="410" spans="1:60" x14ac:dyDescent="0.25">
      <c r="A410" s="19"/>
      <c r="BH410" s="11"/>
    </row>
    <row r="411" spans="1:60" x14ac:dyDescent="0.25">
      <c r="A411" s="19"/>
      <c r="BH411" s="11"/>
    </row>
    <row r="412" spans="1:60" x14ac:dyDescent="0.25">
      <c r="A412" s="19"/>
      <c r="BH412" s="11"/>
    </row>
    <row r="413" spans="1:60" x14ac:dyDescent="0.25">
      <c r="A413" s="19"/>
      <c r="BH413" s="11"/>
    </row>
    <row r="414" spans="1:60" x14ac:dyDescent="0.25">
      <c r="A414" s="19"/>
      <c r="BH414" s="11"/>
    </row>
    <row r="415" spans="1:60" x14ac:dyDescent="0.25">
      <c r="A415" s="19"/>
      <c r="BH415" s="11"/>
    </row>
    <row r="416" spans="1:60" x14ac:dyDescent="0.25">
      <c r="A416" s="19"/>
      <c r="BH416" s="11"/>
    </row>
    <row r="417" spans="1:60" x14ac:dyDescent="0.25">
      <c r="A417" s="19"/>
      <c r="BH417" s="11"/>
    </row>
    <row r="418" spans="1:60" x14ac:dyDescent="0.25">
      <c r="A418" s="19"/>
      <c r="BH418" s="11"/>
    </row>
    <row r="419" spans="1:60" x14ac:dyDescent="0.25">
      <c r="A419" s="19"/>
      <c r="BH419" s="11"/>
    </row>
    <row r="420" spans="1:60" x14ac:dyDescent="0.25">
      <c r="A420" s="19"/>
      <c r="BH420" s="11"/>
    </row>
    <row r="421" spans="1:60" x14ac:dyDescent="0.25">
      <c r="A421" s="19"/>
      <c r="BH421" s="11"/>
    </row>
    <row r="422" spans="1:60" x14ac:dyDescent="0.25">
      <c r="A422" s="19"/>
      <c r="BH422" s="11"/>
    </row>
    <row r="423" spans="1:60" x14ac:dyDescent="0.25">
      <c r="A423" s="19"/>
      <c r="BH423" s="11"/>
    </row>
    <row r="424" spans="1:60" x14ac:dyDescent="0.25">
      <c r="A424" s="19"/>
      <c r="BH424" s="11"/>
    </row>
    <row r="425" spans="1:60" x14ac:dyDescent="0.25">
      <c r="A425" s="19"/>
      <c r="BH425" s="11"/>
    </row>
    <row r="426" spans="1:60" x14ac:dyDescent="0.25">
      <c r="A426" s="19"/>
      <c r="BH426" s="11"/>
    </row>
    <row r="427" spans="1:60" x14ac:dyDescent="0.25">
      <c r="A427" s="19"/>
      <c r="BH427" s="11"/>
    </row>
    <row r="428" spans="1:60" x14ac:dyDescent="0.25">
      <c r="A428" s="19"/>
      <c r="BH428" s="11"/>
    </row>
    <row r="429" spans="1:60" x14ac:dyDescent="0.25">
      <c r="A429" s="19"/>
      <c r="BH429" s="11"/>
    </row>
    <row r="430" spans="1:60" x14ac:dyDescent="0.25">
      <c r="A430" s="19"/>
      <c r="BH430" s="11"/>
    </row>
    <row r="431" spans="1:60" x14ac:dyDescent="0.25">
      <c r="A431" s="19"/>
      <c r="BH431" s="11"/>
    </row>
    <row r="432" spans="1:60" x14ac:dyDescent="0.25">
      <c r="A432" s="19"/>
      <c r="BH432" s="11"/>
    </row>
    <row r="433" spans="1:60" x14ac:dyDescent="0.25">
      <c r="A433" s="19"/>
      <c r="BH433" s="11"/>
    </row>
    <row r="434" spans="1:60" x14ac:dyDescent="0.25">
      <c r="A434" s="19"/>
      <c r="BH434" s="11"/>
    </row>
    <row r="435" spans="1:60" x14ac:dyDescent="0.25">
      <c r="BH435" s="11"/>
    </row>
    <row r="436" spans="1:60" x14ac:dyDescent="0.25">
      <c r="BH436" s="11"/>
    </row>
    <row r="437" spans="1:60" x14ac:dyDescent="0.25">
      <c r="BH437" s="11"/>
    </row>
    <row r="438" spans="1:60" x14ac:dyDescent="0.25">
      <c r="BH438" s="11"/>
    </row>
    <row r="439" spans="1:60" x14ac:dyDescent="0.25">
      <c r="BH439" s="11"/>
    </row>
    <row r="440" spans="1:60" x14ac:dyDescent="0.25">
      <c r="BH440" s="11"/>
    </row>
    <row r="441" spans="1:60" x14ac:dyDescent="0.25">
      <c r="BH441" s="11"/>
    </row>
    <row r="442" spans="1:60" x14ac:dyDescent="0.25">
      <c r="BH442" s="11"/>
    </row>
    <row r="443" spans="1:60" x14ac:dyDescent="0.25">
      <c r="BH443" s="11"/>
    </row>
    <row r="444" spans="1:60" x14ac:dyDescent="0.25">
      <c r="BH444" s="11"/>
    </row>
    <row r="445" spans="1:60" x14ac:dyDescent="0.25">
      <c r="BH445" s="11"/>
    </row>
    <row r="446" spans="1:60" x14ac:dyDescent="0.25">
      <c r="BH446" s="11"/>
    </row>
    <row r="447" spans="1:60" x14ac:dyDescent="0.25">
      <c r="BH447" s="11"/>
    </row>
    <row r="448" spans="1:60" x14ac:dyDescent="0.25">
      <c r="BH448" s="11"/>
    </row>
    <row r="449" spans="60:60" x14ac:dyDescent="0.25">
      <c r="BH449" s="11"/>
    </row>
    <row r="450" spans="60:60" x14ac:dyDescent="0.25">
      <c r="BH450" s="11"/>
    </row>
    <row r="451" spans="60:60" x14ac:dyDescent="0.25">
      <c r="BH451" s="11"/>
    </row>
  </sheetData>
  <conditionalFormatting sqref="C3:ED3">
    <cfRule type="duplicateValues" dxfId="3" priority="4"/>
  </conditionalFormatting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2:B355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CA24-0CAC-49EC-B2AE-564D1E9E9FF8}">
  <dimension ref="A1:F58"/>
  <sheetViews>
    <sheetView workbookViewId="0">
      <selection sqref="A1:B1048576"/>
    </sheetView>
  </sheetViews>
  <sheetFormatPr defaultRowHeight="15" x14ac:dyDescent="0.25"/>
  <cols>
    <col min="1" max="1" width="25" bestFit="1" customWidth="1"/>
    <col min="2" max="2" width="11.140625" bestFit="1" customWidth="1"/>
  </cols>
  <sheetData>
    <row r="1" spans="1:6" ht="60" x14ac:dyDescent="0.25">
      <c r="A1" s="20" t="s">
        <v>266</v>
      </c>
      <c r="B1" s="16" t="s">
        <v>267</v>
      </c>
      <c r="C1" s="2" t="s">
        <v>287</v>
      </c>
      <c r="D1" s="2" t="s">
        <v>288</v>
      </c>
      <c r="E1" s="2" t="s">
        <v>289</v>
      </c>
      <c r="F1" s="2" t="s">
        <v>290</v>
      </c>
    </row>
    <row r="2" spans="1:6" x14ac:dyDescent="0.25">
      <c r="A2">
        <v>6010715</v>
      </c>
      <c r="B2" t="s">
        <v>275</v>
      </c>
      <c r="C2" s="7"/>
      <c r="D2" s="7"/>
      <c r="E2" s="7"/>
      <c r="F2" s="7"/>
    </row>
    <row r="3" spans="1:6" x14ac:dyDescent="0.25">
      <c r="A3">
        <v>6010719</v>
      </c>
      <c r="B3" t="s">
        <v>275</v>
      </c>
      <c r="C3" s="7"/>
      <c r="D3" s="7"/>
      <c r="E3" s="7"/>
      <c r="F3" s="7"/>
    </row>
    <row r="4" spans="1:6" x14ac:dyDescent="0.25">
      <c r="A4">
        <v>6010722</v>
      </c>
      <c r="B4" t="s">
        <v>275</v>
      </c>
      <c r="C4" s="7"/>
      <c r="D4" s="7"/>
      <c r="E4" s="7"/>
      <c r="F4" s="7"/>
    </row>
    <row r="5" spans="1:6" x14ac:dyDescent="0.25">
      <c r="A5">
        <v>8061313</v>
      </c>
      <c r="B5" t="s">
        <v>275</v>
      </c>
      <c r="C5" s="7">
        <v>2526</v>
      </c>
      <c r="D5" s="7"/>
      <c r="E5" s="7"/>
      <c r="F5" s="7"/>
    </row>
    <row r="6" spans="1:6" x14ac:dyDescent="0.25">
      <c r="A6">
        <v>8097989</v>
      </c>
      <c r="B6" t="s">
        <v>275</v>
      </c>
      <c r="C6" s="7"/>
      <c r="D6" s="7"/>
      <c r="E6" s="7"/>
      <c r="F6" s="7"/>
    </row>
    <row r="7" spans="1:6" x14ac:dyDescent="0.25">
      <c r="A7">
        <v>9013015</v>
      </c>
      <c r="B7" t="s">
        <v>275</v>
      </c>
      <c r="C7" s="7"/>
      <c r="D7" s="7"/>
      <c r="E7" s="7"/>
      <c r="F7" s="7"/>
    </row>
    <row r="8" spans="1:6" x14ac:dyDescent="0.25">
      <c r="A8">
        <v>9097281</v>
      </c>
      <c r="B8" t="s">
        <v>275</v>
      </c>
      <c r="C8" s="7">
        <v>384</v>
      </c>
      <c r="D8" s="7">
        <v>208.2</v>
      </c>
      <c r="E8" s="7"/>
      <c r="F8" s="7"/>
    </row>
    <row r="9" spans="1:6" x14ac:dyDescent="0.25">
      <c r="A9" t="s">
        <v>291</v>
      </c>
      <c r="B9" t="s">
        <v>275</v>
      </c>
      <c r="C9" s="7"/>
      <c r="D9" s="7"/>
      <c r="E9" s="7"/>
      <c r="F9" s="7"/>
    </row>
    <row r="10" spans="1:6" x14ac:dyDescent="0.25">
      <c r="A10">
        <v>10180409</v>
      </c>
      <c r="B10" t="s">
        <v>275</v>
      </c>
      <c r="C10" s="7"/>
      <c r="D10" s="7"/>
      <c r="E10" s="7"/>
      <c r="F10" s="7"/>
    </row>
    <row r="11" spans="1:6" x14ac:dyDescent="0.25">
      <c r="A11">
        <v>11084088</v>
      </c>
      <c r="B11" t="s">
        <v>275</v>
      </c>
      <c r="C11" s="7">
        <v>42</v>
      </c>
      <c r="D11" s="7">
        <v>115</v>
      </c>
      <c r="E11" s="7"/>
      <c r="F11" s="7"/>
    </row>
    <row r="12" spans="1:6" x14ac:dyDescent="0.25">
      <c r="A12">
        <v>12088753</v>
      </c>
      <c r="B12" t="s">
        <v>275</v>
      </c>
      <c r="C12" s="7"/>
      <c r="D12" s="7"/>
      <c r="E12" s="7"/>
      <c r="F12" s="7"/>
    </row>
    <row r="13" spans="1:6" x14ac:dyDescent="0.25">
      <c r="A13">
        <v>2007360</v>
      </c>
      <c r="B13" t="s">
        <v>275</v>
      </c>
      <c r="C13" s="7">
        <v>72</v>
      </c>
      <c r="D13" s="7"/>
      <c r="E13" s="7"/>
      <c r="F13" s="7"/>
    </row>
    <row r="14" spans="1:6" x14ac:dyDescent="0.25">
      <c r="A14">
        <v>2011811</v>
      </c>
      <c r="B14" t="s">
        <v>275</v>
      </c>
      <c r="C14" s="7"/>
      <c r="D14" s="7">
        <v>90</v>
      </c>
      <c r="E14" s="7"/>
      <c r="F14" s="7"/>
    </row>
    <row r="15" spans="1:6" x14ac:dyDescent="0.25">
      <c r="A15">
        <v>2012411</v>
      </c>
      <c r="B15" t="s">
        <v>275</v>
      </c>
      <c r="C15" s="7"/>
      <c r="D15" s="7"/>
      <c r="E15" s="7"/>
      <c r="F15" s="7"/>
    </row>
    <row r="16" spans="1:6" x14ac:dyDescent="0.25">
      <c r="A16">
        <v>2012826</v>
      </c>
      <c r="B16" t="s">
        <v>275</v>
      </c>
      <c r="C16" s="7">
        <v>3242</v>
      </c>
      <c r="D16" s="7">
        <v>36</v>
      </c>
      <c r="E16" s="7"/>
      <c r="F16" s="7"/>
    </row>
    <row r="17" spans="1:6" x14ac:dyDescent="0.25">
      <c r="A17">
        <v>3007918</v>
      </c>
      <c r="B17" t="s">
        <v>275</v>
      </c>
      <c r="C17" s="7">
        <v>45</v>
      </c>
      <c r="D17" s="7"/>
      <c r="E17" s="7"/>
      <c r="F17" s="7"/>
    </row>
    <row r="18" spans="1:6" x14ac:dyDescent="0.25">
      <c r="A18">
        <v>3010565</v>
      </c>
      <c r="B18" t="s">
        <v>275</v>
      </c>
      <c r="C18" s="7">
        <v>220</v>
      </c>
      <c r="D18" s="7"/>
      <c r="E18" s="7"/>
      <c r="F18" s="7"/>
    </row>
    <row r="19" spans="1:6" x14ac:dyDescent="0.25">
      <c r="A19">
        <v>4000702</v>
      </c>
      <c r="B19" t="s">
        <v>275</v>
      </c>
      <c r="C19" s="7"/>
      <c r="D19" s="7">
        <v>170</v>
      </c>
      <c r="E19" s="7"/>
      <c r="F19" s="7"/>
    </row>
    <row r="20" spans="1:6" x14ac:dyDescent="0.25">
      <c r="A20" s="18">
        <v>5002712</v>
      </c>
      <c r="B20" t="s">
        <v>275</v>
      </c>
      <c r="C20" s="7">
        <v>2940</v>
      </c>
      <c r="D20" s="7"/>
      <c r="E20" s="7"/>
      <c r="F20" s="7"/>
    </row>
    <row r="21" spans="1:6" x14ac:dyDescent="0.25">
      <c r="A21">
        <v>5006761</v>
      </c>
      <c r="B21" t="s">
        <v>275</v>
      </c>
      <c r="C21" s="7"/>
      <c r="D21" s="7"/>
      <c r="E21" s="7"/>
      <c r="F21" s="7"/>
    </row>
    <row r="22" spans="1:6" x14ac:dyDescent="0.25">
      <c r="A22">
        <v>5013211</v>
      </c>
      <c r="B22" t="s">
        <v>275</v>
      </c>
      <c r="C22" s="7"/>
      <c r="D22" s="7"/>
      <c r="E22" s="7"/>
      <c r="F22" s="7"/>
    </row>
    <row r="23" spans="1:6" x14ac:dyDescent="0.25">
      <c r="A23">
        <v>5013494</v>
      </c>
      <c r="B23" t="s">
        <v>275</v>
      </c>
      <c r="C23" s="7"/>
      <c r="D23" s="7"/>
      <c r="E23" s="7"/>
      <c r="F23" s="7"/>
    </row>
    <row r="24" spans="1:6" x14ac:dyDescent="0.25">
      <c r="A24">
        <v>6005884</v>
      </c>
      <c r="B24" t="s">
        <v>275</v>
      </c>
      <c r="C24" s="7"/>
      <c r="D24" s="7"/>
      <c r="E24" s="7"/>
      <c r="F24" s="7"/>
    </row>
    <row r="25" spans="1:6" x14ac:dyDescent="0.25">
      <c r="A25">
        <v>95003255</v>
      </c>
      <c r="B25" t="s">
        <v>275</v>
      </c>
      <c r="C25" s="7">
        <v>511</v>
      </c>
      <c r="D25" s="7"/>
      <c r="E25" s="7"/>
      <c r="F25" s="7"/>
    </row>
    <row r="26" spans="1:6" x14ac:dyDescent="0.25">
      <c r="A26">
        <v>95003777</v>
      </c>
      <c r="B26" t="s">
        <v>275</v>
      </c>
      <c r="C26" s="7">
        <v>219</v>
      </c>
      <c r="D26" s="7">
        <v>30</v>
      </c>
      <c r="E26" s="7"/>
      <c r="F26" s="7"/>
    </row>
    <row r="27" spans="1:6" x14ac:dyDescent="0.25">
      <c r="A27">
        <v>95900316</v>
      </c>
      <c r="B27" t="s">
        <v>275</v>
      </c>
      <c r="C27" s="7">
        <v>135</v>
      </c>
      <c r="D27" s="7">
        <v>186</v>
      </c>
      <c r="E27" s="7"/>
      <c r="F27" s="7"/>
    </row>
    <row r="28" spans="1:6" x14ac:dyDescent="0.25">
      <c r="A28">
        <v>96900455</v>
      </c>
      <c r="B28" t="s">
        <v>275</v>
      </c>
      <c r="C28" s="7">
        <v>912</v>
      </c>
      <c r="D28" s="7">
        <v>318</v>
      </c>
      <c r="E28" s="7"/>
      <c r="F28" s="7"/>
    </row>
    <row r="29" spans="1:6" x14ac:dyDescent="0.25">
      <c r="A29">
        <v>99002655</v>
      </c>
      <c r="B29" t="s">
        <v>275</v>
      </c>
      <c r="C29" s="7">
        <v>39</v>
      </c>
      <c r="D29" s="7"/>
      <c r="E29" s="7"/>
      <c r="F29" s="7"/>
    </row>
    <row r="30" spans="1:6" x14ac:dyDescent="0.25">
      <c r="C30" s="7"/>
      <c r="D30" s="7"/>
      <c r="E30" s="7"/>
      <c r="F30" s="7"/>
    </row>
    <row r="31" spans="1:6" x14ac:dyDescent="0.25">
      <c r="A31">
        <v>5013714</v>
      </c>
      <c r="B31" t="s">
        <v>281</v>
      </c>
      <c r="C31" s="7">
        <v>2000</v>
      </c>
      <c r="D31" s="7"/>
      <c r="E31" s="7"/>
      <c r="F31" s="7"/>
    </row>
    <row r="32" spans="1:6" x14ac:dyDescent="0.25">
      <c r="A32">
        <v>6062742</v>
      </c>
      <c r="B32" t="s">
        <v>281</v>
      </c>
      <c r="C32" s="7">
        <v>883</v>
      </c>
      <c r="D32" s="7">
        <v>367</v>
      </c>
      <c r="E32" s="7"/>
      <c r="F32" s="7"/>
    </row>
    <row r="33" spans="1:6" x14ac:dyDescent="0.25">
      <c r="A33">
        <v>6050794</v>
      </c>
      <c r="B33" t="s">
        <v>281</v>
      </c>
      <c r="C33" s="7"/>
      <c r="D33" s="7"/>
      <c r="E33" s="7"/>
      <c r="F33" s="7"/>
    </row>
    <row r="34" spans="1:6" x14ac:dyDescent="0.25">
      <c r="A34">
        <v>8051516</v>
      </c>
      <c r="B34" t="s">
        <v>281</v>
      </c>
      <c r="C34" s="7"/>
      <c r="D34" s="7"/>
      <c r="E34" s="7"/>
      <c r="F34" s="7"/>
    </row>
    <row r="35" spans="1:6" x14ac:dyDescent="0.25">
      <c r="A35">
        <v>8060785</v>
      </c>
      <c r="B35" t="s">
        <v>281</v>
      </c>
      <c r="C35" s="7"/>
      <c r="D35" s="7"/>
      <c r="E35" s="7"/>
      <c r="F35" s="7"/>
    </row>
    <row r="36" spans="1:6" x14ac:dyDescent="0.25">
      <c r="A36">
        <v>8119197</v>
      </c>
      <c r="B36" t="s">
        <v>281</v>
      </c>
      <c r="C36" s="7">
        <v>268</v>
      </c>
      <c r="D36" s="7"/>
      <c r="E36" s="7"/>
      <c r="F36" s="7"/>
    </row>
    <row r="37" spans="1:6" x14ac:dyDescent="0.25">
      <c r="A37">
        <v>10137498</v>
      </c>
      <c r="B37" t="s">
        <v>281</v>
      </c>
      <c r="C37" s="7">
        <v>59</v>
      </c>
      <c r="D37" s="7"/>
      <c r="E37" s="7"/>
      <c r="F37" s="7"/>
    </row>
    <row r="38" spans="1:6" x14ac:dyDescent="0.25">
      <c r="A38">
        <v>11011791</v>
      </c>
      <c r="B38" t="s">
        <v>281</v>
      </c>
      <c r="C38" s="7"/>
      <c r="D38" s="7"/>
      <c r="E38" s="7"/>
      <c r="F38" s="7"/>
    </row>
    <row r="39" spans="1:6" x14ac:dyDescent="0.25">
      <c r="A39">
        <v>11242475</v>
      </c>
      <c r="B39" t="s">
        <v>281</v>
      </c>
      <c r="C39" s="7"/>
      <c r="D39" s="7"/>
      <c r="E39" s="7"/>
      <c r="F39" s="7"/>
    </row>
    <row r="40" spans="1:6" x14ac:dyDescent="0.25">
      <c r="A40">
        <v>12006392</v>
      </c>
      <c r="B40" t="s">
        <v>281</v>
      </c>
      <c r="C40" s="7"/>
      <c r="D40" s="7"/>
      <c r="E40" s="7"/>
      <c r="F40" s="7"/>
    </row>
    <row r="41" spans="1:6" x14ac:dyDescent="0.25">
      <c r="A41">
        <v>13006749</v>
      </c>
      <c r="B41" t="s">
        <v>281</v>
      </c>
      <c r="C41" s="7">
        <v>78</v>
      </c>
      <c r="D41" s="7"/>
      <c r="E41" s="7"/>
      <c r="F41" s="7"/>
    </row>
    <row r="42" spans="1:6" x14ac:dyDescent="0.25">
      <c r="C42" s="7"/>
      <c r="D42" s="7"/>
      <c r="E42" s="7"/>
      <c r="F42" s="7"/>
    </row>
    <row r="43" spans="1:6" x14ac:dyDescent="0.25">
      <c r="A43">
        <v>200149</v>
      </c>
      <c r="B43" t="s">
        <v>283</v>
      </c>
      <c r="C43" s="7"/>
      <c r="D43" s="7"/>
      <c r="E43" s="7">
        <v>17.5</v>
      </c>
      <c r="F43" s="7"/>
    </row>
    <row r="44" spans="1:6" x14ac:dyDescent="0.25">
      <c r="A44">
        <v>1006310</v>
      </c>
      <c r="B44" t="s">
        <v>283</v>
      </c>
      <c r="C44" s="7">
        <v>44</v>
      </c>
      <c r="D44" s="7">
        <v>17.5</v>
      </c>
      <c r="E44" s="7"/>
      <c r="F44" s="7"/>
    </row>
    <row r="45" spans="1:6" x14ac:dyDescent="0.25">
      <c r="A45">
        <v>1007842</v>
      </c>
      <c r="B45" t="s">
        <v>283</v>
      </c>
      <c r="C45" s="7">
        <v>48</v>
      </c>
      <c r="D45" s="7">
        <v>55</v>
      </c>
      <c r="E45" s="7"/>
      <c r="F45" s="7"/>
    </row>
    <row r="46" spans="1:6" x14ac:dyDescent="0.25">
      <c r="A46">
        <v>2008127</v>
      </c>
      <c r="B46" t="s">
        <v>283</v>
      </c>
      <c r="C46" s="7"/>
      <c r="D46" s="7"/>
      <c r="E46" s="7"/>
      <c r="F46" s="7"/>
    </row>
    <row r="47" spans="1:6" x14ac:dyDescent="0.25">
      <c r="A47">
        <v>3017084</v>
      </c>
      <c r="B47" t="s">
        <v>283</v>
      </c>
      <c r="C47" s="7">
        <v>552</v>
      </c>
      <c r="D47" s="7"/>
      <c r="E47" s="7">
        <v>23</v>
      </c>
      <c r="F47" s="7"/>
    </row>
    <row r="48" spans="1:6" x14ac:dyDescent="0.25">
      <c r="A48">
        <v>4009308</v>
      </c>
      <c r="B48" t="s">
        <v>283</v>
      </c>
      <c r="C48" s="7">
        <v>358</v>
      </c>
      <c r="D48" s="7">
        <v>45</v>
      </c>
      <c r="E48" s="7"/>
      <c r="F48" s="7"/>
    </row>
    <row r="49" spans="1:6" x14ac:dyDescent="0.25">
      <c r="A49">
        <v>8012361</v>
      </c>
      <c r="B49" t="s">
        <v>283</v>
      </c>
      <c r="C49" s="7">
        <v>594</v>
      </c>
      <c r="D49" s="7">
        <v>78</v>
      </c>
      <c r="E49" s="7"/>
      <c r="F49" s="7"/>
    </row>
    <row r="50" spans="1:6" x14ac:dyDescent="0.25">
      <c r="A50" s="18" t="s">
        <v>292</v>
      </c>
      <c r="B50" t="s">
        <v>283</v>
      </c>
      <c r="C50" s="7">
        <v>9000</v>
      </c>
      <c r="D50" s="7">
        <v>175</v>
      </c>
      <c r="E50" s="7"/>
      <c r="F50" s="7"/>
    </row>
    <row r="51" spans="1:6" x14ac:dyDescent="0.25">
      <c r="A51">
        <v>7065854</v>
      </c>
      <c r="B51" t="s">
        <v>283</v>
      </c>
      <c r="C51" s="7">
        <v>2301</v>
      </c>
      <c r="D51" s="7"/>
      <c r="E51" s="7"/>
      <c r="F51" s="7"/>
    </row>
    <row r="52" spans="1:6" x14ac:dyDescent="0.25">
      <c r="A52">
        <v>7066720</v>
      </c>
      <c r="B52" t="s">
        <v>283</v>
      </c>
      <c r="C52" s="7"/>
      <c r="D52" s="7"/>
      <c r="E52" s="7"/>
      <c r="F52" s="7"/>
    </row>
    <row r="53" spans="1:6" x14ac:dyDescent="0.25">
      <c r="A53" s="21">
        <v>8065877</v>
      </c>
      <c r="B53" t="s">
        <v>283</v>
      </c>
      <c r="C53" s="7">
        <v>1400</v>
      </c>
      <c r="D53" s="7">
        <v>762</v>
      </c>
      <c r="E53" s="7">
        <v>1430</v>
      </c>
      <c r="F53" s="7"/>
    </row>
    <row r="54" spans="1:6" x14ac:dyDescent="0.25">
      <c r="A54" s="21">
        <v>8064173</v>
      </c>
      <c r="B54" t="s">
        <v>283</v>
      </c>
      <c r="C54" s="7"/>
      <c r="D54" s="7"/>
      <c r="E54" s="7"/>
      <c r="F54" s="7"/>
    </row>
    <row r="55" spans="1:6" x14ac:dyDescent="0.25">
      <c r="A55">
        <v>9109244</v>
      </c>
      <c r="B55" t="s">
        <v>283</v>
      </c>
      <c r="C55" s="7">
        <v>104</v>
      </c>
      <c r="D55" s="7"/>
      <c r="E55" s="7"/>
      <c r="F55" s="7"/>
    </row>
    <row r="56" spans="1:6" x14ac:dyDescent="0.25">
      <c r="A56">
        <v>9130880</v>
      </c>
      <c r="B56" t="s">
        <v>283</v>
      </c>
      <c r="C56" s="7">
        <v>85</v>
      </c>
      <c r="D56" s="7">
        <v>321</v>
      </c>
      <c r="E56" s="7"/>
      <c r="F56" s="7"/>
    </row>
    <row r="57" spans="1:6" x14ac:dyDescent="0.25">
      <c r="A57" t="s">
        <v>293</v>
      </c>
      <c r="B57" t="s">
        <v>283</v>
      </c>
      <c r="C57" s="7"/>
      <c r="D57" s="7">
        <v>639</v>
      </c>
      <c r="E57" s="7">
        <v>166</v>
      </c>
      <c r="F57" s="7">
        <v>286</v>
      </c>
    </row>
    <row r="58" spans="1:6" x14ac:dyDescent="0.25">
      <c r="A58">
        <v>12188410</v>
      </c>
      <c r="B58" t="s">
        <v>283</v>
      </c>
      <c r="C58" s="7">
        <v>505</v>
      </c>
      <c r="D58" s="7">
        <v>140</v>
      </c>
      <c r="E58" s="7">
        <v>17.5</v>
      </c>
      <c r="F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064A-0127-4768-A822-D9B7C15CA0F3}">
  <dimension ref="A1:AO22"/>
  <sheetViews>
    <sheetView workbookViewId="0">
      <selection sqref="A1:B1048576"/>
    </sheetView>
  </sheetViews>
  <sheetFormatPr defaultRowHeight="15" x14ac:dyDescent="0.25"/>
  <cols>
    <col min="1" max="1" width="16.5703125" bestFit="1" customWidth="1"/>
    <col min="2" max="2" width="11.140625" bestFit="1" customWidth="1"/>
  </cols>
  <sheetData>
    <row r="1" spans="1:41" ht="60" x14ac:dyDescent="0.25">
      <c r="A1" s="23" t="s">
        <v>266</v>
      </c>
      <c r="B1" s="24" t="s">
        <v>267</v>
      </c>
      <c r="C1" s="2" t="s">
        <v>294</v>
      </c>
      <c r="D1" s="2" t="s">
        <v>295</v>
      </c>
      <c r="E1" s="2" t="s">
        <v>296</v>
      </c>
      <c r="F1" s="2" t="s">
        <v>297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2" t="s">
        <v>307</v>
      </c>
      <c r="Q1" s="2" t="s">
        <v>308</v>
      </c>
      <c r="R1" s="22" t="s">
        <v>309</v>
      </c>
      <c r="S1" s="2" t="s">
        <v>310</v>
      </c>
      <c r="T1" s="2" t="s">
        <v>311</v>
      </c>
      <c r="U1" s="2" t="s">
        <v>312</v>
      </c>
      <c r="V1" s="2" t="s">
        <v>313</v>
      </c>
      <c r="W1" s="2" t="s">
        <v>314</v>
      </c>
      <c r="X1" s="2" t="s">
        <v>315</v>
      </c>
      <c r="Y1" s="2" t="s">
        <v>316</v>
      </c>
      <c r="Z1" s="2" t="s">
        <v>317</v>
      </c>
      <c r="AA1" s="2" t="s">
        <v>318</v>
      </c>
      <c r="AB1" s="2" t="s">
        <v>319</v>
      </c>
      <c r="AC1" s="2" t="s">
        <v>320</v>
      </c>
      <c r="AD1" s="2" t="s">
        <v>321</v>
      </c>
      <c r="AE1" s="2" t="s">
        <v>322</v>
      </c>
      <c r="AF1" s="2" t="s">
        <v>323</v>
      </c>
      <c r="AG1" s="2" t="s">
        <v>324</v>
      </c>
      <c r="AH1" s="2" t="s">
        <v>325</v>
      </c>
      <c r="AI1" s="2" t="s">
        <v>326</v>
      </c>
      <c r="AJ1" s="2" t="s">
        <v>327</v>
      </c>
      <c r="AK1" s="2" t="s">
        <v>328</v>
      </c>
      <c r="AL1" s="2" t="s">
        <v>329</v>
      </c>
      <c r="AM1" s="2" t="s">
        <v>330</v>
      </c>
      <c r="AN1" s="2" t="s">
        <v>331</v>
      </c>
      <c r="AO1" s="22" t="s">
        <v>332</v>
      </c>
    </row>
    <row r="2" spans="1:41" x14ac:dyDescent="0.25">
      <c r="A2">
        <v>5014014</v>
      </c>
      <c r="B2" t="s">
        <v>271</v>
      </c>
      <c r="C2" s="11"/>
      <c r="D2" s="11">
        <v>19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>
        <v>18</v>
      </c>
      <c r="AG2" s="11"/>
      <c r="AH2" s="11"/>
      <c r="AI2" s="11"/>
      <c r="AJ2" s="11"/>
      <c r="AK2" s="11"/>
      <c r="AL2" s="11"/>
      <c r="AM2" s="11">
        <v>23</v>
      </c>
      <c r="AN2" s="11"/>
      <c r="AO2" s="11"/>
    </row>
    <row r="3" spans="1:41" x14ac:dyDescent="0.25">
      <c r="A3">
        <v>6034449</v>
      </c>
      <c r="B3" t="s">
        <v>271</v>
      </c>
      <c r="C3" s="11"/>
      <c r="D3" s="11">
        <v>25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x14ac:dyDescent="0.2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x14ac:dyDescent="0.25">
      <c r="A5">
        <v>3003602</v>
      </c>
      <c r="B5" t="s">
        <v>275</v>
      </c>
      <c r="C5" s="11"/>
      <c r="D5" s="11">
        <v>16</v>
      </c>
      <c r="E5" s="11"/>
      <c r="F5" s="11"/>
      <c r="G5" s="11"/>
      <c r="H5" s="11"/>
      <c r="I5" s="11"/>
      <c r="J5" s="11"/>
      <c r="K5" s="11">
        <v>82</v>
      </c>
      <c r="L5" s="11"/>
      <c r="M5" s="11"/>
      <c r="N5" s="11"/>
      <c r="O5" s="11">
        <v>29</v>
      </c>
      <c r="P5" s="11"/>
      <c r="Q5" s="11"/>
      <c r="R5" s="11"/>
      <c r="S5" s="11"/>
      <c r="T5" s="11">
        <v>23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x14ac:dyDescent="0.25">
      <c r="A6">
        <v>3018383</v>
      </c>
      <c r="B6" t="s">
        <v>275</v>
      </c>
      <c r="C6" s="11"/>
      <c r="D6" s="11">
        <v>1174</v>
      </c>
      <c r="E6" s="11"/>
      <c r="F6" s="11"/>
      <c r="G6" s="11"/>
      <c r="H6" s="11"/>
      <c r="I6" s="11"/>
      <c r="J6" s="11"/>
      <c r="K6" s="11"/>
      <c r="L6" s="11">
        <v>603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x14ac:dyDescent="0.25">
      <c r="A7">
        <v>3900721</v>
      </c>
      <c r="B7" t="s">
        <v>275</v>
      </c>
      <c r="C7" s="11"/>
      <c r="D7" s="11">
        <v>37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95</v>
      </c>
      <c r="Y7" s="11"/>
      <c r="Z7" s="11"/>
      <c r="AA7" s="11"/>
      <c r="AB7" s="11">
        <v>51</v>
      </c>
      <c r="AC7" s="11"/>
      <c r="AD7" s="11"/>
      <c r="AE7" s="11"/>
      <c r="AF7" s="11"/>
      <c r="AG7" s="11"/>
      <c r="AH7" s="11"/>
      <c r="AI7" s="11"/>
      <c r="AJ7" s="11"/>
      <c r="AK7" s="11"/>
      <c r="AL7" s="11">
        <v>77</v>
      </c>
      <c r="AM7" s="11"/>
      <c r="AN7" s="11"/>
      <c r="AO7" s="11"/>
    </row>
    <row r="8" spans="1:41" x14ac:dyDescent="0.25">
      <c r="A8">
        <v>3900911</v>
      </c>
      <c r="B8" t="s">
        <v>275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x14ac:dyDescent="0.25">
      <c r="A9">
        <v>4004302</v>
      </c>
      <c r="B9" t="s">
        <v>275</v>
      </c>
      <c r="C9" s="11"/>
      <c r="D9" s="11">
        <v>1291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1285</v>
      </c>
      <c r="Q9" s="11"/>
      <c r="R9" s="11"/>
      <c r="S9" s="11"/>
      <c r="T9" s="11"/>
      <c r="U9" s="11"/>
      <c r="V9" s="11">
        <v>1209</v>
      </c>
      <c r="W9" s="11"/>
      <c r="X9" s="11"/>
      <c r="Y9" s="11"/>
      <c r="Z9" s="11">
        <v>816</v>
      </c>
      <c r="AA9" s="11">
        <v>206</v>
      </c>
      <c r="AB9" s="11"/>
      <c r="AC9" s="11"/>
      <c r="AD9" s="11">
        <v>42</v>
      </c>
      <c r="AE9" s="11"/>
      <c r="AF9" s="11"/>
      <c r="AG9" s="11"/>
      <c r="AH9" s="11"/>
      <c r="AI9" s="11"/>
      <c r="AJ9" s="11">
        <v>40</v>
      </c>
      <c r="AK9" s="11"/>
      <c r="AL9" s="11"/>
      <c r="AM9" s="11"/>
      <c r="AN9" s="11"/>
      <c r="AO9" s="11"/>
    </row>
    <row r="10" spans="1:41" x14ac:dyDescent="0.25">
      <c r="A10">
        <v>4004463</v>
      </c>
      <c r="B10" t="s">
        <v>275</v>
      </c>
      <c r="C10" s="11"/>
      <c r="D10" s="11">
        <v>491</v>
      </c>
      <c r="E10" s="11"/>
      <c r="F10" s="11">
        <v>708</v>
      </c>
      <c r="G10" s="11"/>
      <c r="H10" s="11"/>
      <c r="I10" s="11">
        <v>798</v>
      </c>
      <c r="J10" s="11"/>
      <c r="K10" s="11">
        <v>836</v>
      </c>
      <c r="L10" s="11">
        <v>887</v>
      </c>
      <c r="M10" s="11"/>
      <c r="N10" s="11">
        <v>636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x14ac:dyDescent="0.25">
      <c r="A11" s="18">
        <v>4013287</v>
      </c>
      <c r="B11" t="s">
        <v>275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>
        <v>79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>
        <v>79</v>
      </c>
    </row>
    <row r="12" spans="1:41" x14ac:dyDescent="0.25">
      <c r="A12">
        <v>93016241</v>
      </c>
      <c r="B12" t="s">
        <v>275</v>
      </c>
      <c r="C12" s="11">
        <v>10</v>
      </c>
      <c r="D12" s="11">
        <v>225</v>
      </c>
      <c r="E12" s="11"/>
      <c r="F12" s="11"/>
      <c r="G12" s="11">
        <v>247</v>
      </c>
      <c r="H12" s="11"/>
      <c r="I12" s="11"/>
      <c r="J12" s="11"/>
      <c r="K12" s="11">
        <v>233</v>
      </c>
      <c r="L12" s="11"/>
      <c r="M12" s="11">
        <v>178</v>
      </c>
      <c r="N12" s="11"/>
      <c r="O12" s="11">
        <v>153</v>
      </c>
      <c r="P12" s="11"/>
      <c r="Q12" s="11"/>
      <c r="R12" s="11"/>
      <c r="S12" s="11"/>
      <c r="T12" s="11"/>
      <c r="U12" s="11">
        <v>34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x14ac:dyDescent="0.25">
      <c r="A13">
        <v>95007023</v>
      </c>
      <c r="B13" t="s">
        <v>275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>
        <v>17.5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x14ac:dyDescent="0.25">
      <c r="A15">
        <v>3008204</v>
      </c>
      <c r="B15" t="s">
        <v>281</v>
      </c>
      <c r="C15" s="11"/>
      <c r="D15" s="11">
        <v>101.4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>
        <v>36</v>
      </c>
      <c r="AH15" s="11"/>
      <c r="AI15" s="11"/>
      <c r="AJ15" s="11"/>
      <c r="AK15" s="11"/>
      <c r="AL15" s="11"/>
      <c r="AM15" s="11"/>
      <c r="AN15" s="11"/>
      <c r="AO15" s="11"/>
    </row>
    <row r="16" spans="1:41" x14ac:dyDescent="0.25">
      <c r="A16">
        <v>11186565</v>
      </c>
      <c r="B16" t="s">
        <v>281</v>
      </c>
      <c r="C16" s="11"/>
      <c r="D16" s="11">
        <v>1773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354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x14ac:dyDescent="0.2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x14ac:dyDescent="0.25">
      <c r="A18" t="s">
        <v>333</v>
      </c>
      <c r="B18" t="s">
        <v>283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>
        <v>42.7</v>
      </c>
      <c r="AO18" s="11"/>
    </row>
    <row r="19" spans="1:41" x14ac:dyDescent="0.25">
      <c r="A19">
        <v>3019249</v>
      </c>
      <c r="B19" t="s">
        <v>283</v>
      </c>
      <c r="C19" s="11"/>
      <c r="D19" s="11">
        <v>1200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>
        <v>1500</v>
      </c>
      <c r="T19" s="11"/>
      <c r="U19" s="11"/>
      <c r="V19" s="11"/>
      <c r="W19" s="11">
        <v>282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x14ac:dyDescent="0.25">
      <c r="A20">
        <v>6064311</v>
      </c>
      <c r="B20" t="s">
        <v>283</v>
      </c>
      <c r="C20" s="11"/>
      <c r="D20" s="11">
        <v>625.20000000000005</v>
      </c>
      <c r="E20" s="11">
        <v>756</v>
      </c>
      <c r="F20" s="11"/>
      <c r="G20" s="11">
        <v>577.20000000000005</v>
      </c>
      <c r="H20" s="11"/>
      <c r="I20" s="11"/>
      <c r="J20" s="11">
        <v>483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x14ac:dyDescent="0.25">
      <c r="A21">
        <v>8019333</v>
      </c>
      <c r="B21" t="s">
        <v>283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x14ac:dyDescent="0.25">
      <c r="A22">
        <v>11034329</v>
      </c>
      <c r="B22" t="s">
        <v>283</v>
      </c>
      <c r="C22" s="11"/>
      <c r="D22" s="11">
        <v>54</v>
      </c>
      <c r="E22" s="11"/>
      <c r="F22" s="11"/>
      <c r="G22" s="11"/>
      <c r="H22" s="11">
        <v>73</v>
      </c>
      <c r="I22" s="11"/>
      <c r="J22" s="11"/>
      <c r="K22" s="11"/>
      <c r="L22" s="11"/>
      <c r="M22" s="11">
        <v>27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>
        <v>441</v>
      </c>
      <c r="AD22" s="11"/>
      <c r="AE22" s="11">
        <v>463</v>
      </c>
      <c r="AF22" s="11"/>
      <c r="AG22" s="11"/>
      <c r="AH22" s="11">
        <v>672</v>
      </c>
      <c r="AI22" s="11">
        <v>1045</v>
      </c>
      <c r="AJ22" s="11"/>
      <c r="AK22" s="11">
        <v>320</v>
      </c>
      <c r="AL22" s="11"/>
      <c r="AM22" s="11"/>
      <c r="AN22" s="11"/>
      <c r="AO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gpt1</vt:lpstr>
      <vt:lpstr>gpt2</vt:lpstr>
      <vt:lpstr>gpt3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Arun</dc:creator>
  <cp:lastModifiedBy>Kumar, Arun</cp:lastModifiedBy>
  <dcterms:created xsi:type="dcterms:W3CDTF">2026-06-02T16:16:02Z</dcterms:created>
  <dcterms:modified xsi:type="dcterms:W3CDTF">2026-06-02T22:01:13Z</dcterms:modified>
</cp:coreProperties>
</file>