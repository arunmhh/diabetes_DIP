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Antibodies\"/>
    </mc:Choice>
  </mc:AlternateContent>
  <xr:revisionPtr revIDLastSave="0" documentId="13_ncr:1_{557FD0F1-7489-41CB-B5B2-E29562220DB9}" xr6:coauthVersionLast="47" xr6:coauthVersionMax="47" xr10:uidLastSave="{00000000-0000-0000-0000-000000000000}"/>
  <bookViews>
    <workbookView xWindow="-120" yWindow="-120" windowWidth="29040" windowHeight="15840" tabRatio="411" activeTab="1" xr2:uid="{D7A7E335-850A-419D-B1BB-1A45361C5A34}"/>
  </bookViews>
  <sheets>
    <sheet name="Diagramms quant" sheetId="10" r:id="rId1"/>
    <sheet name="Diagramms qual" sheetId="12" r:id="rId2"/>
    <sheet name="Antibodies pos-neg" sheetId="3" r:id="rId3"/>
    <sheet name="Antibodies with titer" sheetId="2" r:id="rId4"/>
    <sheet name="Antibodies in u per ml" sheetId="1" r:id="rId5"/>
    <sheet name="Antibodies pos-neg count" sheetId="7" r:id="rId6"/>
    <sheet name="Antibodies with titer count" sheetId="8" r:id="rId7"/>
    <sheet name="Antibodies in u per ml count" sheetId="9" r:id="rId8"/>
    <sheet name="Antibodies qual count" sheetId="11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1" i="11" l="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J361" i="11"/>
  <c r="AK361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J362" i="11"/>
  <c r="AK362" i="11"/>
  <c r="C362" i="11"/>
  <c r="C361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J260" i="11"/>
  <c r="AK260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J261" i="11"/>
  <c r="AK261" i="11"/>
  <c r="C261" i="11"/>
  <c r="C260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J168" i="11"/>
  <c r="AK168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J169" i="11"/>
  <c r="AK169" i="11"/>
  <c r="C169" i="11"/>
  <c r="C168" i="11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BG351" i="2"/>
  <c r="BH351" i="2"/>
  <c r="BI351" i="2"/>
  <c r="BJ351" i="2"/>
  <c r="BK351" i="2"/>
  <c r="BL351" i="2"/>
  <c r="BM351" i="2"/>
  <c r="BN351" i="2"/>
  <c r="BO351" i="2"/>
  <c r="BP351" i="2"/>
  <c r="BQ351" i="2"/>
  <c r="BR351" i="2"/>
  <c r="BS351" i="2"/>
  <c r="BT351" i="2"/>
  <c r="BU351" i="2"/>
  <c r="BV351" i="2"/>
  <c r="BW351" i="2"/>
  <c r="BX351" i="2"/>
  <c r="BY351" i="2"/>
  <c r="BZ351" i="2"/>
  <c r="CA351" i="2"/>
  <c r="CB351" i="2"/>
  <c r="CC351" i="2"/>
  <c r="CD351" i="2"/>
  <c r="CE351" i="2"/>
  <c r="CF351" i="2"/>
  <c r="CG351" i="2"/>
  <c r="CH351" i="2"/>
  <c r="CI351" i="2"/>
  <c r="CJ351" i="2"/>
  <c r="CK351" i="2"/>
  <c r="CL351" i="2"/>
  <c r="CM351" i="2"/>
  <c r="CN351" i="2"/>
  <c r="CO351" i="2"/>
  <c r="CP351" i="2"/>
  <c r="CQ351" i="2"/>
  <c r="CR351" i="2"/>
  <c r="CS351" i="2"/>
  <c r="CT351" i="2"/>
  <c r="CU351" i="2"/>
  <c r="CV351" i="2"/>
  <c r="CW351" i="2"/>
  <c r="CX351" i="2"/>
  <c r="CY351" i="2"/>
  <c r="CZ351" i="2"/>
  <c r="DA351" i="2"/>
  <c r="DB351" i="2"/>
  <c r="DC351" i="2"/>
  <c r="C351" i="2"/>
  <c r="DC346" i="2"/>
  <c r="DB346" i="2"/>
  <c r="DA346" i="2"/>
  <c r="CZ346" i="2"/>
  <c r="CY346" i="2"/>
  <c r="CX346" i="2"/>
  <c r="CW346" i="2"/>
  <c r="CV346" i="2"/>
  <c r="CU346" i="2"/>
  <c r="CT346" i="2"/>
  <c r="CS346" i="2"/>
  <c r="CR346" i="2"/>
  <c r="CQ346" i="2"/>
  <c r="CP346" i="2"/>
  <c r="CO346" i="2"/>
  <c r="CN346" i="2"/>
  <c r="CM346" i="2"/>
  <c r="CL346" i="2"/>
  <c r="CK346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DC348" i="2"/>
  <c r="DB348" i="2"/>
  <c r="DA348" i="2"/>
  <c r="CZ348" i="2"/>
  <c r="CY348" i="2"/>
  <c r="CX348" i="2"/>
  <c r="CW348" i="2"/>
  <c r="CV348" i="2"/>
  <c r="CU348" i="2"/>
  <c r="CT348" i="2"/>
  <c r="CS348" i="2"/>
  <c r="CR348" i="2"/>
  <c r="CQ348" i="2"/>
  <c r="CP348" i="2"/>
  <c r="CO348" i="2"/>
  <c r="CN348" i="2"/>
  <c r="CM348" i="2"/>
  <c r="CL348" i="2"/>
  <c r="CK348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DB266" i="3"/>
  <c r="DC266" i="3"/>
  <c r="DD266" i="3"/>
  <c r="DE266" i="3"/>
  <c r="DF266" i="3"/>
  <c r="DG266" i="3"/>
  <c r="DH266" i="3"/>
  <c r="DI266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BG353" i="2"/>
  <c r="BH353" i="2"/>
  <c r="BI353" i="2"/>
  <c r="BJ353" i="2"/>
  <c r="BK353" i="2"/>
  <c r="BL353" i="2"/>
  <c r="BM353" i="2"/>
  <c r="BN353" i="2"/>
  <c r="BO353" i="2"/>
  <c r="BP353" i="2"/>
  <c r="BQ353" i="2"/>
  <c r="BR353" i="2"/>
  <c r="BS353" i="2"/>
  <c r="BT353" i="2"/>
  <c r="BU353" i="2"/>
  <c r="BV353" i="2"/>
  <c r="BW353" i="2"/>
  <c r="BX353" i="2"/>
  <c r="BY353" i="2"/>
  <c r="BZ353" i="2"/>
  <c r="CA353" i="2"/>
  <c r="CB353" i="2"/>
  <c r="CC353" i="2"/>
  <c r="CD353" i="2"/>
  <c r="CE353" i="2"/>
  <c r="CF353" i="2"/>
  <c r="CG353" i="2"/>
  <c r="CH353" i="2"/>
  <c r="CI353" i="2"/>
  <c r="CJ353" i="2"/>
  <c r="CK353" i="2"/>
  <c r="CL353" i="2"/>
  <c r="CM353" i="2"/>
  <c r="CN353" i="2"/>
  <c r="CO353" i="2"/>
  <c r="CP353" i="2"/>
  <c r="CQ353" i="2"/>
  <c r="CR353" i="2"/>
  <c r="CS353" i="2"/>
  <c r="CT353" i="2"/>
  <c r="CU353" i="2"/>
  <c r="CV353" i="2"/>
  <c r="CW353" i="2"/>
  <c r="CX353" i="2"/>
  <c r="CY353" i="2"/>
  <c r="CZ353" i="2"/>
  <c r="DA353" i="2"/>
  <c r="DB353" i="2"/>
  <c r="DC353" i="2"/>
  <c r="C353" i="2"/>
  <c r="DC344" i="2"/>
  <c r="DB344" i="2"/>
  <c r="DA344" i="2"/>
  <c r="CZ344" i="2"/>
  <c r="CY344" i="2"/>
  <c r="CX344" i="2"/>
  <c r="CW344" i="2"/>
  <c r="CV344" i="2"/>
  <c r="CU344" i="2"/>
  <c r="CT344" i="2"/>
  <c r="CS344" i="2"/>
  <c r="CR344" i="2"/>
  <c r="CQ344" i="2"/>
  <c r="CP344" i="2"/>
  <c r="CO344" i="2"/>
  <c r="CN344" i="2"/>
  <c r="CM344" i="2"/>
  <c r="CL344" i="2"/>
  <c r="CK344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DA266" i="2"/>
  <c r="CZ266" i="2"/>
  <c r="CY266" i="2"/>
  <c r="CX266" i="2"/>
  <c r="CW266" i="2"/>
  <c r="CV266" i="2"/>
  <c r="CU266" i="2"/>
  <c r="CT266" i="2"/>
  <c r="CS266" i="2"/>
  <c r="CR266" i="2"/>
  <c r="CQ266" i="2"/>
  <c r="CP266" i="2"/>
  <c r="CO266" i="2"/>
  <c r="CN266" i="2"/>
  <c r="CM266" i="2"/>
  <c r="CL266" i="2"/>
  <c r="CK266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DC190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CM190" i="2"/>
  <c r="CL190" i="2"/>
  <c r="CK190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DB344" i="3"/>
  <c r="DC344" i="3"/>
  <c r="DD344" i="3"/>
  <c r="DE344" i="3"/>
  <c r="DF344" i="3"/>
  <c r="DG344" i="3"/>
  <c r="DH344" i="3"/>
  <c r="DI344" i="3"/>
  <c r="DJ344" i="3"/>
  <c r="DK344" i="3"/>
  <c r="DL344" i="3"/>
  <c r="DM344" i="3"/>
  <c r="DN344" i="3"/>
  <c r="DO344" i="3"/>
  <c r="DP344" i="3"/>
  <c r="DQ344" i="3"/>
  <c r="DR344" i="3"/>
  <c r="DS344" i="3"/>
  <c r="DT344" i="3"/>
  <c r="DU344" i="3"/>
  <c r="DV344" i="3"/>
  <c r="DW344" i="3"/>
  <c r="DX344" i="3"/>
  <c r="DY344" i="3"/>
  <c r="DZ344" i="3"/>
  <c r="EA344" i="3"/>
  <c r="DA344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BT428" i="3"/>
  <c r="BU428" i="3"/>
  <c r="BV428" i="3"/>
  <c r="BW428" i="3"/>
  <c r="BX428" i="3"/>
  <c r="BY428" i="3"/>
  <c r="BZ428" i="3"/>
  <c r="CA428" i="3"/>
  <c r="CB428" i="3"/>
  <c r="CC428" i="3"/>
  <c r="CD428" i="3"/>
  <c r="CE428" i="3"/>
  <c r="CF428" i="3"/>
  <c r="CG428" i="3"/>
  <c r="CH428" i="3"/>
  <c r="CI428" i="3"/>
  <c r="CJ428" i="3"/>
  <c r="CK428" i="3"/>
  <c r="CL428" i="3"/>
  <c r="CM428" i="3"/>
  <c r="CN428" i="3"/>
  <c r="CO428" i="3"/>
  <c r="CP428" i="3"/>
  <c r="CQ428" i="3"/>
  <c r="CR428" i="3"/>
  <c r="CS428" i="3"/>
  <c r="CT428" i="3"/>
  <c r="CU428" i="3"/>
  <c r="CV428" i="3"/>
  <c r="CW428" i="3"/>
  <c r="CX428" i="3"/>
  <c r="CY428" i="3"/>
  <c r="CZ428" i="3"/>
  <c r="DA428" i="3"/>
  <c r="DB428" i="3"/>
  <c r="DC428" i="3"/>
  <c r="DD428" i="3"/>
  <c r="DE428" i="3"/>
  <c r="DF428" i="3"/>
  <c r="DG428" i="3"/>
  <c r="DH428" i="3"/>
  <c r="DI428" i="3"/>
  <c r="DJ428" i="3"/>
  <c r="DK428" i="3"/>
  <c r="DL428" i="3"/>
  <c r="DM428" i="3"/>
  <c r="DN428" i="3"/>
  <c r="DO428" i="3"/>
  <c r="DP428" i="3"/>
  <c r="DQ428" i="3"/>
  <c r="DR428" i="3"/>
  <c r="DS428" i="3"/>
  <c r="DT428" i="3"/>
  <c r="DU428" i="3"/>
  <c r="DV428" i="3"/>
  <c r="DW428" i="3"/>
  <c r="DX428" i="3"/>
  <c r="DY428" i="3"/>
  <c r="DZ428" i="3"/>
  <c r="EA428" i="3"/>
  <c r="C428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BT419" i="3"/>
  <c r="BU419" i="3"/>
  <c r="BV419" i="3"/>
  <c r="BW419" i="3"/>
  <c r="BX419" i="3"/>
  <c r="BY419" i="3"/>
  <c r="BZ419" i="3"/>
  <c r="CA419" i="3"/>
  <c r="CB419" i="3"/>
  <c r="CC419" i="3"/>
  <c r="CD419" i="3"/>
  <c r="CE419" i="3"/>
  <c r="CF419" i="3"/>
  <c r="CG419" i="3"/>
  <c r="CH419" i="3"/>
  <c r="CI419" i="3"/>
  <c r="CJ419" i="3"/>
  <c r="CK419" i="3"/>
  <c r="CL419" i="3"/>
  <c r="CM419" i="3"/>
  <c r="CN419" i="3"/>
  <c r="CO419" i="3"/>
  <c r="CP419" i="3"/>
  <c r="CQ419" i="3"/>
  <c r="CR419" i="3"/>
  <c r="CS419" i="3"/>
  <c r="CT419" i="3"/>
  <c r="CU419" i="3"/>
  <c r="CV419" i="3"/>
  <c r="CW419" i="3"/>
  <c r="CX419" i="3"/>
  <c r="CY419" i="3"/>
  <c r="CZ419" i="3"/>
  <c r="DA419" i="3"/>
  <c r="DB419" i="3"/>
  <c r="DC419" i="3"/>
  <c r="DD419" i="3"/>
  <c r="DE419" i="3"/>
  <c r="DF419" i="3"/>
  <c r="DG419" i="3"/>
  <c r="DH419" i="3"/>
  <c r="DI419" i="3"/>
  <c r="DJ419" i="3"/>
  <c r="DK419" i="3"/>
  <c r="DL419" i="3"/>
  <c r="DM419" i="3"/>
  <c r="DN419" i="3"/>
  <c r="DO419" i="3"/>
  <c r="DP419" i="3"/>
  <c r="DQ419" i="3"/>
  <c r="DR419" i="3"/>
  <c r="DS419" i="3"/>
  <c r="DT419" i="3"/>
  <c r="DU419" i="3"/>
  <c r="DV419" i="3"/>
  <c r="DW419" i="3"/>
  <c r="DX419" i="3"/>
  <c r="DY419" i="3"/>
  <c r="DZ419" i="3"/>
  <c r="EA419" i="3"/>
  <c r="C419" i="3"/>
  <c r="EA422" i="3"/>
  <c r="DZ422" i="3"/>
  <c r="DY422" i="3"/>
  <c r="DX422" i="3"/>
  <c r="DW422" i="3"/>
  <c r="DV422" i="3"/>
  <c r="DU422" i="3"/>
  <c r="DT422" i="3"/>
  <c r="DS422" i="3"/>
  <c r="DR422" i="3"/>
  <c r="DQ422" i="3"/>
  <c r="DP422" i="3"/>
  <c r="DO422" i="3"/>
  <c r="DN422" i="3"/>
  <c r="DM422" i="3"/>
  <c r="DL422" i="3"/>
  <c r="DK422" i="3"/>
  <c r="DJ422" i="3"/>
  <c r="DI422" i="3"/>
  <c r="DH422" i="3"/>
  <c r="DG422" i="3"/>
  <c r="DF422" i="3"/>
  <c r="DE422" i="3"/>
  <c r="DD422" i="3"/>
  <c r="DC422" i="3"/>
  <c r="DB422" i="3"/>
  <c r="DA422" i="3"/>
  <c r="CZ422" i="3"/>
  <c r="CY422" i="3"/>
  <c r="CX422" i="3"/>
  <c r="CW422" i="3"/>
  <c r="CV422" i="3"/>
  <c r="CU422" i="3"/>
  <c r="CT422" i="3"/>
  <c r="CS422" i="3"/>
  <c r="CR422" i="3"/>
  <c r="CQ422" i="3"/>
  <c r="CP422" i="3"/>
  <c r="CO422" i="3"/>
  <c r="CN422" i="3"/>
  <c r="CM422" i="3"/>
  <c r="CL422" i="3"/>
  <c r="CK422" i="3"/>
  <c r="CJ422" i="3"/>
  <c r="CI422" i="3"/>
  <c r="CH422" i="3"/>
  <c r="CG422" i="3"/>
  <c r="CF422" i="3"/>
  <c r="CE422" i="3"/>
  <c r="CD422" i="3"/>
  <c r="CC422" i="3"/>
  <c r="CB422" i="3"/>
  <c r="CA422" i="3"/>
  <c r="BZ422" i="3"/>
  <c r="BY422" i="3"/>
  <c r="BX422" i="3"/>
  <c r="BW422" i="3"/>
  <c r="BV422" i="3"/>
  <c r="BU422" i="3"/>
  <c r="BT422" i="3"/>
  <c r="BS422" i="3"/>
  <c r="BR422" i="3"/>
  <c r="BQ422" i="3"/>
  <c r="BP422" i="3"/>
  <c r="BO422" i="3"/>
  <c r="BN422" i="3"/>
  <c r="BM422" i="3"/>
  <c r="BL422" i="3"/>
  <c r="BK422" i="3"/>
  <c r="BJ422" i="3"/>
  <c r="BI422" i="3"/>
  <c r="BH422" i="3"/>
  <c r="BG422" i="3"/>
  <c r="BF422" i="3"/>
  <c r="BE422" i="3"/>
  <c r="BD422" i="3"/>
  <c r="BC422" i="3"/>
  <c r="BB422" i="3"/>
  <c r="BA422" i="3"/>
  <c r="AZ422" i="3"/>
  <c r="AY422" i="3"/>
  <c r="AX422" i="3"/>
  <c r="AW422" i="3"/>
  <c r="AV422" i="3"/>
  <c r="AU422" i="3"/>
  <c r="AT422" i="3"/>
  <c r="AS422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BC409" i="3"/>
  <c r="BD409" i="3"/>
  <c r="BE409" i="3"/>
  <c r="BF409" i="3"/>
  <c r="BG409" i="3"/>
  <c r="BH409" i="3"/>
  <c r="BI409" i="3"/>
  <c r="BJ409" i="3"/>
  <c r="BK409" i="3"/>
  <c r="BL409" i="3"/>
  <c r="BM409" i="3"/>
  <c r="BN409" i="3"/>
  <c r="BO409" i="3"/>
  <c r="BP409" i="3"/>
  <c r="BQ409" i="3"/>
  <c r="BR409" i="3"/>
  <c r="BS409" i="3"/>
  <c r="BT409" i="3"/>
  <c r="BU409" i="3"/>
  <c r="BV409" i="3"/>
  <c r="BW409" i="3"/>
  <c r="BX409" i="3"/>
  <c r="BY409" i="3"/>
  <c r="BZ409" i="3"/>
  <c r="CA409" i="3"/>
  <c r="CB409" i="3"/>
  <c r="CC409" i="3"/>
  <c r="CD409" i="3"/>
  <c r="CE409" i="3"/>
  <c r="CF409" i="3"/>
  <c r="CG409" i="3"/>
  <c r="CH409" i="3"/>
  <c r="CI409" i="3"/>
  <c r="CJ409" i="3"/>
  <c r="CK409" i="3"/>
  <c r="CL409" i="3"/>
  <c r="CM409" i="3"/>
  <c r="CN409" i="3"/>
  <c r="CO409" i="3"/>
  <c r="CP409" i="3"/>
  <c r="CQ409" i="3"/>
  <c r="CR409" i="3"/>
  <c r="CS409" i="3"/>
  <c r="CT409" i="3"/>
  <c r="CU409" i="3"/>
  <c r="CV409" i="3"/>
  <c r="CW409" i="3"/>
  <c r="CX409" i="3"/>
  <c r="CY409" i="3"/>
  <c r="CZ409" i="3"/>
  <c r="DA409" i="3"/>
  <c r="DB409" i="3"/>
  <c r="DC409" i="3"/>
  <c r="DD409" i="3"/>
  <c r="DE409" i="3"/>
  <c r="DF409" i="3"/>
  <c r="DG409" i="3"/>
  <c r="DH409" i="3"/>
  <c r="DI409" i="3"/>
  <c r="DJ409" i="3"/>
  <c r="DK409" i="3"/>
  <c r="DL409" i="3"/>
  <c r="DM409" i="3"/>
  <c r="DN409" i="3"/>
  <c r="DO409" i="3"/>
  <c r="DP409" i="3"/>
  <c r="DQ409" i="3"/>
  <c r="DR409" i="3"/>
  <c r="DS409" i="3"/>
  <c r="DT409" i="3"/>
  <c r="DU409" i="3"/>
  <c r="DV409" i="3"/>
  <c r="DW409" i="3"/>
  <c r="DX409" i="3"/>
  <c r="DY409" i="3"/>
  <c r="DZ409" i="3"/>
  <c r="EA409" i="3"/>
  <c r="C409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BC404" i="3"/>
  <c r="BD404" i="3"/>
  <c r="BE404" i="3"/>
  <c r="BF404" i="3"/>
  <c r="BG404" i="3"/>
  <c r="BH404" i="3"/>
  <c r="BI404" i="3"/>
  <c r="BJ404" i="3"/>
  <c r="BK404" i="3"/>
  <c r="BL404" i="3"/>
  <c r="BM404" i="3"/>
  <c r="BN404" i="3"/>
  <c r="BO404" i="3"/>
  <c r="BP404" i="3"/>
  <c r="BQ404" i="3"/>
  <c r="BR404" i="3"/>
  <c r="BS404" i="3"/>
  <c r="BT404" i="3"/>
  <c r="BU404" i="3"/>
  <c r="BV404" i="3"/>
  <c r="BW404" i="3"/>
  <c r="BX404" i="3"/>
  <c r="BY404" i="3"/>
  <c r="BZ404" i="3"/>
  <c r="CA404" i="3"/>
  <c r="CB404" i="3"/>
  <c r="CC404" i="3"/>
  <c r="CD404" i="3"/>
  <c r="CE404" i="3"/>
  <c r="CF404" i="3"/>
  <c r="CG404" i="3"/>
  <c r="CH404" i="3"/>
  <c r="CI404" i="3"/>
  <c r="CJ404" i="3"/>
  <c r="CK404" i="3"/>
  <c r="CL404" i="3"/>
  <c r="CM404" i="3"/>
  <c r="CN404" i="3"/>
  <c r="CO404" i="3"/>
  <c r="CP404" i="3"/>
  <c r="CQ404" i="3"/>
  <c r="CR404" i="3"/>
  <c r="CS404" i="3"/>
  <c r="CT404" i="3"/>
  <c r="CU404" i="3"/>
  <c r="CV404" i="3"/>
  <c r="CW404" i="3"/>
  <c r="CX404" i="3"/>
  <c r="CY404" i="3"/>
  <c r="CZ404" i="3"/>
  <c r="DA404" i="3"/>
  <c r="DB404" i="3"/>
  <c r="DC404" i="3"/>
  <c r="DD404" i="3"/>
  <c r="DE404" i="3"/>
  <c r="DF404" i="3"/>
  <c r="DG404" i="3"/>
  <c r="DH404" i="3"/>
  <c r="DI404" i="3"/>
  <c r="DJ404" i="3"/>
  <c r="DK404" i="3"/>
  <c r="DL404" i="3"/>
  <c r="DM404" i="3"/>
  <c r="DN404" i="3"/>
  <c r="DO404" i="3"/>
  <c r="DP404" i="3"/>
  <c r="DQ404" i="3"/>
  <c r="DR404" i="3"/>
  <c r="DS404" i="3"/>
  <c r="DT404" i="3"/>
  <c r="DU404" i="3"/>
  <c r="DV404" i="3"/>
  <c r="DW404" i="3"/>
  <c r="DX404" i="3"/>
  <c r="DY404" i="3"/>
  <c r="DZ404" i="3"/>
  <c r="EA404" i="3"/>
  <c r="C404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BT387" i="3"/>
  <c r="BU387" i="3"/>
  <c r="BV387" i="3"/>
  <c r="BW387" i="3"/>
  <c r="BX387" i="3"/>
  <c r="BY387" i="3"/>
  <c r="BZ387" i="3"/>
  <c r="CA387" i="3"/>
  <c r="CB387" i="3"/>
  <c r="CC387" i="3"/>
  <c r="CD387" i="3"/>
  <c r="CE387" i="3"/>
  <c r="CF387" i="3"/>
  <c r="CG387" i="3"/>
  <c r="CH387" i="3"/>
  <c r="CI387" i="3"/>
  <c r="CJ387" i="3"/>
  <c r="CK387" i="3"/>
  <c r="CL387" i="3"/>
  <c r="CM387" i="3"/>
  <c r="CN387" i="3"/>
  <c r="CO387" i="3"/>
  <c r="CP387" i="3"/>
  <c r="CQ387" i="3"/>
  <c r="CR387" i="3"/>
  <c r="CS387" i="3"/>
  <c r="CT387" i="3"/>
  <c r="CU387" i="3"/>
  <c r="CV387" i="3"/>
  <c r="CW387" i="3"/>
  <c r="CX387" i="3"/>
  <c r="CY387" i="3"/>
  <c r="CZ387" i="3"/>
  <c r="DA387" i="3"/>
  <c r="DB387" i="3"/>
  <c r="DC387" i="3"/>
  <c r="DD387" i="3"/>
  <c r="DE387" i="3"/>
  <c r="DF387" i="3"/>
  <c r="DG387" i="3"/>
  <c r="DH387" i="3"/>
  <c r="DI387" i="3"/>
  <c r="DJ387" i="3"/>
  <c r="DK387" i="3"/>
  <c r="DL387" i="3"/>
  <c r="DM387" i="3"/>
  <c r="DN387" i="3"/>
  <c r="DO387" i="3"/>
  <c r="DP387" i="3"/>
  <c r="DQ387" i="3"/>
  <c r="DR387" i="3"/>
  <c r="DS387" i="3"/>
  <c r="DT387" i="3"/>
  <c r="DU387" i="3"/>
  <c r="DV387" i="3"/>
  <c r="DW387" i="3"/>
  <c r="DX387" i="3"/>
  <c r="DY387" i="3"/>
  <c r="DZ387" i="3"/>
  <c r="EA387" i="3"/>
  <c r="C387" i="3"/>
  <c r="EA375" i="3"/>
  <c r="DZ375" i="3"/>
  <c r="DY375" i="3"/>
  <c r="DX375" i="3"/>
  <c r="DW375" i="3"/>
  <c r="DV375" i="3"/>
  <c r="DU375" i="3"/>
  <c r="DT375" i="3"/>
  <c r="DS375" i="3"/>
  <c r="DR375" i="3"/>
  <c r="DQ375" i="3"/>
  <c r="DP375" i="3"/>
  <c r="DO375" i="3"/>
  <c r="DN375" i="3"/>
  <c r="DM375" i="3"/>
  <c r="DL375" i="3"/>
  <c r="DK375" i="3"/>
  <c r="DJ375" i="3"/>
  <c r="DI375" i="3"/>
  <c r="DH375" i="3"/>
  <c r="DG375" i="3"/>
  <c r="DF375" i="3"/>
  <c r="DE375" i="3"/>
  <c r="DD375" i="3"/>
  <c r="DC375" i="3"/>
  <c r="DB375" i="3"/>
  <c r="DA375" i="3"/>
  <c r="CZ375" i="3"/>
  <c r="CY375" i="3"/>
  <c r="CX375" i="3"/>
  <c r="CW375" i="3"/>
  <c r="CV375" i="3"/>
  <c r="CU375" i="3"/>
  <c r="CT375" i="3"/>
  <c r="CS375" i="3"/>
  <c r="CR375" i="3"/>
  <c r="CQ375" i="3"/>
  <c r="CP375" i="3"/>
  <c r="CO375" i="3"/>
  <c r="CN375" i="3"/>
  <c r="CM375" i="3"/>
  <c r="CL375" i="3"/>
  <c r="CK375" i="3"/>
  <c r="CJ375" i="3"/>
  <c r="CI375" i="3"/>
  <c r="CH375" i="3"/>
  <c r="CG375" i="3"/>
  <c r="CF375" i="3"/>
  <c r="CE375" i="3"/>
  <c r="CD375" i="3"/>
  <c r="CC375" i="3"/>
  <c r="CB375" i="3"/>
  <c r="CA375" i="3"/>
  <c r="BZ375" i="3"/>
  <c r="BY375" i="3"/>
  <c r="BX375" i="3"/>
  <c r="BW375" i="3"/>
  <c r="BV375" i="3"/>
  <c r="BU375" i="3"/>
  <c r="BT375" i="3"/>
  <c r="BS375" i="3"/>
  <c r="BR375" i="3"/>
  <c r="BQ375" i="3"/>
  <c r="BP375" i="3"/>
  <c r="BO375" i="3"/>
  <c r="BN375" i="3"/>
  <c r="BM375" i="3"/>
  <c r="BL375" i="3"/>
  <c r="BK375" i="3"/>
  <c r="BJ375" i="3"/>
  <c r="BI375" i="3"/>
  <c r="BH375" i="3"/>
  <c r="BG375" i="3"/>
  <c r="BF375" i="3"/>
  <c r="BE375" i="3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R375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CZ344" i="3"/>
  <c r="CY344" i="3"/>
  <c r="CX344" i="3"/>
  <c r="CW344" i="3"/>
  <c r="CV344" i="3"/>
  <c r="CU344" i="3"/>
  <c r="CT344" i="3"/>
  <c r="CS344" i="3"/>
  <c r="CR344" i="3"/>
  <c r="CQ344" i="3"/>
  <c r="CP344" i="3"/>
  <c r="CO344" i="3"/>
  <c r="CN344" i="3"/>
  <c r="CM344" i="3"/>
  <c r="CL344" i="3"/>
  <c r="CK344" i="3"/>
  <c r="CJ344" i="3"/>
  <c r="CI344" i="3"/>
  <c r="CH344" i="3"/>
  <c r="CG344" i="3"/>
  <c r="CF344" i="3"/>
  <c r="CE344" i="3"/>
  <c r="CD344" i="3"/>
  <c r="CC344" i="3"/>
  <c r="CB344" i="3"/>
  <c r="CA344" i="3"/>
  <c r="BZ344" i="3"/>
  <c r="BY344" i="3"/>
  <c r="BX344" i="3"/>
  <c r="BW344" i="3"/>
  <c r="BV344" i="3"/>
  <c r="BU344" i="3"/>
  <c r="BT344" i="3"/>
  <c r="BS344" i="3"/>
  <c r="BR344" i="3"/>
  <c r="BQ344" i="3"/>
  <c r="BP344" i="3"/>
  <c r="BO344" i="3"/>
  <c r="BN344" i="3"/>
  <c r="BM344" i="3"/>
  <c r="BL344" i="3"/>
  <c r="BK344" i="3"/>
  <c r="BJ344" i="3"/>
  <c r="BI344" i="3"/>
  <c r="BH344" i="3"/>
  <c r="BG344" i="3"/>
  <c r="BF344" i="3"/>
  <c r="BE344" i="3"/>
  <c r="BD344" i="3"/>
  <c r="BC344" i="3"/>
  <c r="BB344" i="3"/>
  <c r="BA344" i="3"/>
  <c r="AZ344" i="3"/>
  <c r="AY344" i="3"/>
  <c r="AX344" i="3"/>
  <c r="AW344" i="3"/>
  <c r="AV344" i="3"/>
  <c r="AU344" i="3"/>
  <c r="AT344" i="3"/>
  <c r="AS344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DA266" i="3"/>
  <c r="CZ266" i="3"/>
  <c r="CY266" i="3"/>
  <c r="CX266" i="3"/>
  <c r="CW266" i="3"/>
  <c r="CV266" i="3"/>
  <c r="CU266" i="3"/>
  <c r="CT266" i="3"/>
  <c r="CS266" i="3"/>
  <c r="CR266" i="3"/>
  <c r="CQ266" i="3"/>
  <c r="CP266" i="3"/>
  <c r="CO266" i="3"/>
  <c r="CN266" i="3"/>
  <c r="CM266" i="3"/>
  <c r="CL266" i="3"/>
  <c r="CK266" i="3"/>
  <c r="CJ266" i="3"/>
  <c r="CI266" i="3"/>
  <c r="CH266" i="3"/>
  <c r="CG266" i="3"/>
  <c r="CF266" i="3"/>
  <c r="CE266" i="3"/>
  <c r="CD266" i="3"/>
  <c r="CC266" i="3"/>
  <c r="CB266" i="3"/>
  <c r="CA266" i="3"/>
  <c r="BZ266" i="3"/>
  <c r="BY266" i="3"/>
  <c r="BX266" i="3"/>
  <c r="BW266" i="3"/>
  <c r="BV266" i="3"/>
  <c r="BU266" i="3"/>
  <c r="BT266" i="3"/>
  <c r="BS266" i="3"/>
  <c r="BR266" i="3"/>
  <c r="BQ266" i="3"/>
  <c r="BP266" i="3"/>
  <c r="BO266" i="3"/>
  <c r="BN266" i="3"/>
  <c r="BM266" i="3"/>
  <c r="BL266" i="3"/>
  <c r="BK266" i="3"/>
  <c r="BJ266" i="3"/>
  <c r="BI266" i="3"/>
  <c r="BH266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DA190" i="3"/>
  <c r="CZ190" i="3"/>
  <c r="CY190" i="3"/>
  <c r="CX190" i="3"/>
  <c r="CW190" i="3"/>
  <c r="CV190" i="3"/>
  <c r="CU190" i="3"/>
  <c r="CT190" i="3"/>
  <c r="CS190" i="3"/>
  <c r="CR190" i="3"/>
  <c r="CQ190" i="3"/>
  <c r="CP190" i="3"/>
  <c r="CO190" i="3"/>
  <c r="CN190" i="3"/>
  <c r="CM190" i="3"/>
  <c r="CL190" i="3"/>
  <c r="CK190" i="3"/>
  <c r="CJ190" i="3"/>
  <c r="CI190" i="3"/>
  <c r="CH190" i="3"/>
  <c r="CG190" i="3"/>
  <c r="CF190" i="3"/>
  <c r="CE190" i="3"/>
  <c r="CD190" i="3"/>
  <c r="CC190" i="3"/>
  <c r="CB190" i="3"/>
  <c r="CA190" i="3"/>
  <c r="BZ190" i="3"/>
  <c r="BY190" i="3"/>
  <c r="BX190" i="3"/>
  <c r="BW190" i="3"/>
  <c r="BV190" i="3"/>
  <c r="BU190" i="3"/>
  <c r="BT190" i="3"/>
  <c r="BS190" i="3"/>
  <c r="BR190" i="3"/>
  <c r="BQ190" i="3"/>
  <c r="BP190" i="3"/>
  <c r="BO190" i="3"/>
  <c r="BN190" i="3"/>
  <c r="BM190" i="3"/>
  <c r="BL190" i="3"/>
  <c r="BK190" i="3"/>
  <c r="BJ190" i="3"/>
  <c r="BI190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</calcChain>
</file>

<file path=xl/sharedStrings.xml><?xml version="1.0" encoding="utf-8"?>
<sst xmlns="http://schemas.openxmlformats.org/spreadsheetml/2006/main" count="2885" uniqueCount="219">
  <si>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</si>
  <si>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</si>
  <si>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</si>
  <si>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</si>
  <si>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</si>
  <si>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</si>
  <si>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</si>
  <si>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</si>
  <si>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</si>
  <si>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</si>
  <si>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</si>
  <si>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</si>
  <si>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</si>
  <si>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</si>
  <si>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</si>
  <si>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</si>
  <si>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</si>
  <si>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</si>
  <si>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</si>
  <si>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</si>
  <si>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</si>
  <si>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</si>
  <si>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</si>
  <si>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</si>
  <si>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</si>
  <si>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Anti-IgA-Antikörper (0=negativ, 1=positiv)</t>
  </si>
  <si>
    <t>Anti-IgG-Antikörper (0=negativ, 1=positiv)</t>
  </si>
  <si>
    <t>IgG-Antikörper (Subklassen) (0=negativ, 1=positiv)</t>
  </si>
  <si>
    <t>Anti-IgM-Antikörper (0=negativ, 1=positiv)</t>
  </si>
  <si>
    <t>Anti-C3c (0=negativ, 1=positiv)</t>
  </si>
  <si>
    <t>Anti-C3d (0=negativ, 1=positiv)</t>
  </si>
  <si>
    <t>EBNA-IgG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</si>
  <si>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</si>
  <si>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</si>
  <si>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</si>
  <si>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</si>
  <si>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Epstein-Barr-IgG (0=negativ, 1=positiv)</t>
  </si>
  <si>
    <t>Cytomegalievirus (CMV) (0=negativ, 1=positiv)</t>
  </si>
  <si>
    <t>Cytomegalievirus-IgM(CMV) (0=negativ, 1=positiv)</t>
  </si>
  <si>
    <t>Cytomegalievirus-IgG(CMV)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</si>
  <si>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</si>
  <si>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</si>
  <si>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</si>
  <si>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Yersenieninfektion (0=negativ, 1=positiv)</t>
  </si>
  <si>
    <t>Syphilis (0=negativ, 1=positiv)</t>
  </si>
  <si>
    <t>Autoimmun-Antikörper (0=negativ, 1=positiv)</t>
  </si>
  <si>
    <t>ANA(Antinukleäre Antikörper)-Datum umbekannt (0=negativ (≤ 1:80), 1=positiv)</t>
  </si>
  <si>
    <t>ANC (Antineurophiler cytoplastischer Antikörper) (0=negativ, 1=positiv)</t>
  </si>
  <si>
    <t>c-ANCA (0=negativ, 1=positiv</t>
  </si>
  <si>
    <t>p-ANCA (0=negativ, 1=positiv</t>
  </si>
  <si>
    <t>ENA (Extrahierbares nukleäres Antigen) (0=negativ, 1=positiv)</t>
  </si>
  <si>
    <t>Anti-Ro (SSA(Ro)-Antikörper)-Datum unbekannt (0=negativ, 1=positiv)</t>
  </si>
  <si>
    <t>Anti-Ro-52 (SSA(Ro)-Antikörper)-Datum unbekannt (0=negativ, 1=positiv)</t>
  </si>
  <si>
    <t>SSA-Antigen (0=negativ, 1=positiv)</t>
  </si>
  <si>
    <t>Anti-La (SSB(La)-Antikörper)-Datum unbekannt (0=negativ, 1=positiv)</t>
  </si>
  <si>
    <t>SSB-Antigen (0=negativ, 1=positiv)</t>
  </si>
  <si>
    <t>SCL-Antikörper (0=negativ, 1=positiv)</t>
  </si>
  <si>
    <t>MPO-Autoantikörper (0=negativ, 1=positiv)</t>
  </si>
  <si>
    <t>Centromer-Antikörper (0=negativ, 1=positiv)</t>
  </si>
  <si>
    <t>Jo-l-Antikörper (0=negativ, 1=positiv)</t>
  </si>
  <si>
    <t>Antihistonantikörper-Datum unbekannt (0=negativ, 1=positiv)</t>
  </si>
  <si>
    <t>DsDNA-Antikörper-Datum unbekannt (0=negativ, 1=positiv)</t>
  </si>
  <si>
    <t>Anti-DNS-Doppelstrang-Antikörper (0=negativ, 1=positiv)</t>
  </si>
  <si>
    <t>Anti-glatte Muskulatur-Antikörper -Datum unbekannt(0=negativ, 1=positiv)</t>
  </si>
  <si>
    <t>RNP-Antikörper (0=negativ, 1=positiv)</t>
  </si>
  <si>
    <t>RNP-Antigen (0=negativ, 1=positiv)</t>
  </si>
  <si>
    <t>Anti-GBM-Antikörper (0=negativ, 1=positiv)</t>
  </si>
  <si>
    <t>Anti-C3d-Anikörper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</si>
  <si>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</si>
  <si>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</si>
  <si>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</si>
  <si>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</si>
  <si>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</si>
  <si>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SLA-Autoantikörper (0=negativ, 1=positiv)</t>
  </si>
  <si>
    <t>SLA-LP-Autoantikörper (0=negativ, 1=positiv)</t>
  </si>
  <si>
    <t>LKM1-Autoantikörper (0=negativ, 1=positiv)</t>
  </si>
  <si>
    <t>LKM2-Autoantikörper (0=negativ, 1=positiv)</t>
  </si>
  <si>
    <t>LC1-Autoantikörper (0=negativ, 1=positiv)</t>
  </si>
  <si>
    <t>AMA (Antimitochondrialer Autoantikörper (0=negativ, 1=positiv)</t>
  </si>
  <si>
    <t>AMA-M2 (Antimitochondrialer Autoantikörper (0=negativ, 1=positiv)</t>
  </si>
  <si>
    <t>ASMA (0=negativ, 1=positiv)</t>
  </si>
  <si>
    <t>ASM-Autoantikörper (0=negativ, 1=positiv)</t>
  </si>
  <si>
    <t>SM-Antigen (0=negativ, 1=positiv)</t>
  </si>
  <si>
    <t>SP100-Antikörper (0=negativ, 1=positiv)</t>
  </si>
  <si>
    <t>Parietalzell-Autoantikörper (PCA) (0=negativ, 1=positiv)</t>
  </si>
  <si>
    <t>Proteinkinase-Autoantikörper (0=negativ, 1=positiv)</t>
  </si>
  <si>
    <t>Myeloperoxide-IgG-Autoantikörper (0=negativ, 1=positiv)</t>
  </si>
  <si>
    <t>Lebercytosol-Antikörper (0=negativ, 1=positiv)</t>
  </si>
  <si>
    <t>zirkulierende Immunkomplexe (0=negativ, 1=positiv)</t>
  </si>
  <si>
    <t>Zytomegalievirus (0=negativ, 1=positiv)</t>
  </si>
  <si>
    <t>HIV (0=negativ, 1=positiv) -&gt; siehe zusätzlich anamnese</t>
  </si>
  <si>
    <t>HIV-Antikörper (0=negativ, 1=positiv)</t>
  </si>
  <si>
    <t>Herpes simplex Virus IgM (0=negativ, 1=positiv)</t>
  </si>
  <si>
    <t>Herpes simplex Virus IgG (0=negativ, 1=positiv)</t>
  </si>
  <si>
    <t>HHV 6 (0=negativ, 1=positiv)</t>
  </si>
  <si>
    <t>Masern IgM (0=negativ, 1=positiv)</t>
  </si>
  <si>
    <t>Röteln IgM (0=negativ, 1=positiv)</t>
  </si>
  <si>
    <t>Mycoplasmatische Antikörper (0=negativ, 1=positiv)</t>
  </si>
  <si>
    <t>Parvovirus B19 (0=negativ, 1=positiv)</t>
  </si>
  <si>
    <t>ECHO-Virus (0=negativ, 1=positiv)</t>
  </si>
  <si>
    <t>Borellien-IgM (0=negativ, 1=positiv)</t>
  </si>
  <si>
    <t>Coxsackie-Virus-Antikörper (0=negativ, 1=positiv)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</si>
  <si>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</si>
  <si>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</si>
  <si>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</si>
  <si>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</si>
  <si>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</si>
  <si>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</si>
  <si>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</si>
  <si>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</si>
  <si>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</si>
  <si>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</si>
  <si>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</si>
  <si>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</si>
  <si>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</si>
  <si>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</si>
  <si>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</si>
  <si>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</si>
  <si>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</si>
  <si>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</si>
  <si>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</si>
  <si>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</si>
  <si>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</si>
  <si>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</si>
  <si>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Anti-Leber microsomaler Antikörper (0=negativ, 1=positiv)</t>
  </si>
  <si>
    <t>Anti-Niere microsomaler Antikörper (0=negativ, 1=positiv)</t>
  </si>
  <si>
    <t>CCP-Autoantikörper (0=negativ, 1=positiv)</t>
  </si>
  <si>
    <t>HLA B51 (0=negativ, 1=positiv)</t>
  </si>
  <si>
    <t>psoriatic specific Antigen (PSA) (0=negativ, 1=positiv)</t>
  </si>
  <si>
    <t>erniedrigt -&gt; leberschaden; erhöht -&gt; bakterielle Erkrankung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</si>
  <si>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</si>
  <si>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</si>
  <si>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</si>
  <si>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</si>
  <si>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</si>
  <si>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abgelaufene Hepatitis</t>
  </si>
  <si>
    <t>akute Hepatitis</t>
  </si>
  <si>
    <t>weist aktive Infektion nach</t>
  </si>
  <si>
    <t>akute Infektion</t>
  </si>
  <si>
    <t>1:1280</t>
  </si>
  <si>
    <t>154:6</t>
  </si>
  <si>
    <t>42:5</t>
  </si>
  <si>
    <t>unter 1:80</t>
  </si>
  <si>
    <t>&gt;1:80</t>
  </si>
  <si>
    <t>1:160</t>
  </si>
  <si>
    <t>1:80</t>
  </si>
  <si>
    <t>1:10</t>
  </si>
  <si>
    <t>1:&lt;100</t>
  </si>
  <si>
    <t>&lt;20</t>
  </si>
  <si>
    <t>1:2560</t>
  </si>
  <si>
    <t>6859 IU/l</t>
  </si>
  <si>
    <t>1:320</t>
  </si>
  <si>
    <t>1:5120</t>
  </si>
  <si>
    <t>&gt;1:1500</t>
  </si>
  <si>
    <t>214 IU/L</t>
  </si>
  <si>
    <t>0 UI/l</t>
  </si>
  <si>
    <t>&gt;10IE/I</t>
  </si>
  <si>
    <t>&lt;1:80</t>
  </si>
  <si>
    <t>&lt;1:10</t>
  </si>
  <si>
    <t>Jol--Antikörper (0=negativ, 1=positiv)</t>
  </si>
  <si>
    <t>1</t>
  </si>
  <si>
    <t>0</t>
  </si>
  <si>
    <t xml:space="preserve">unter 1:80 </t>
  </si>
  <si>
    <t>with titer</t>
  </si>
  <si>
    <t>pos-neg</t>
  </si>
  <si>
    <t>in u/ml</t>
  </si>
  <si>
    <t>zählenwenn 1</t>
  </si>
  <si>
    <t>zählenwenn 0</t>
  </si>
  <si>
    <t>127</t>
  </si>
  <si>
    <t>2</t>
  </si>
  <si>
    <t>EBV (0=negativ, 1=positiv)</t>
  </si>
  <si>
    <t>CMV-PCR</t>
  </si>
  <si>
    <t>Brucellen (0=negativ, 1=positiv)</t>
  </si>
  <si>
    <t>Lues-Serologie (0=negativ, 1=positiv)</t>
  </si>
  <si>
    <t>Rheumafaktor (0=negativ, 1=positiv)</t>
  </si>
  <si>
    <t>SLA-Antigen (0=negativ, 1=positiv)</t>
  </si>
  <si>
    <t>LMA-Autoantikörper (0=negativ, 1=positiv)</t>
  </si>
  <si>
    <t>Mycoplasmen-IgM (0=negativ, 1=positiv)</t>
  </si>
  <si>
    <t>Mycoplasmen-IgG (0=negativ, 1=positiv)</t>
  </si>
  <si>
    <t>Chlamydien-AK (0=negativ, 1=positiv)</t>
  </si>
  <si>
    <t>Adenovirus</t>
  </si>
  <si>
    <t>Picomavirus</t>
  </si>
  <si>
    <t>Hepatitis G-Antikörper (0=negativ, 1=positiv)</t>
  </si>
  <si>
    <t>HBc-Ag (0=negativ, 1=positiv)</t>
  </si>
  <si>
    <t>Toxoplasmose</t>
  </si>
  <si>
    <t>Eschinokokken-serology</t>
  </si>
  <si>
    <t>Rickettsia conori IgG</t>
  </si>
  <si>
    <t>Rickettsia conori IgM</t>
  </si>
  <si>
    <t>Rickettsia typhi IgG</t>
  </si>
  <si>
    <t>Rickettsia typhi IgM</t>
  </si>
  <si>
    <t>Rickettsia tsutsugamushi IgG</t>
  </si>
  <si>
    <t>Rickettsia tsutsugamushi IgM</t>
  </si>
  <si>
    <t>Leptospiren AK</t>
  </si>
  <si>
    <t>Fasciola hepatica</t>
  </si>
  <si>
    <t>Coombs-Test</t>
  </si>
  <si>
    <t>9125095=9138268</t>
  </si>
  <si>
    <t>positiv, ausgeheilt</t>
  </si>
  <si>
    <t>8055349=8055749=8058506</t>
  </si>
  <si>
    <t>12118054=12311299</t>
  </si>
  <si>
    <t>5013780=6006554</t>
  </si>
  <si>
    <t>Mycoplasmen-Antikörper (0=negativ, 1=positiv)</t>
  </si>
  <si>
    <t>Typ B1-5 Titer angegeben</t>
  </si>
  <si>
    <t>1:40</t>
  </si>
  <si>
    <t>1:100</t>
  </si>
  <si>
    <t>unter 20</t>
  </si>
  <si>
    <t>0,4 Kn/l</t>
  </si>
  <si>
    <t>710 U/l</t>
  </si>
  <si>
    <t>2800U/l</t>
  </si>
  <si>
    <t>4,7U/l</t>
  </si>
  <si>
    <t>1,0 U/l</t>
  </si>
  <si>
    <t>1,6 U/l</t>
  </si>
  <si>
    <t>U/ml?</t>
  </si>
  <si>
    <t>1,741 mg/dl</t>
  </si>
  <si>
    <t>191 U/L</t>
  </si>
  <si>
    <t>6,5 x 10hoch9/L</t>
  </si>
  <si>
    <t>&lt;3200 U/L</t>
  </si>
  <si>
    <t>&lt;25000</t>
  </si>
  <si>
    <t>negativ</t>
  </si>
  <si>
    <t>positiv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</si>
</sst>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164" fontId="0" fillId="0" borderId="0" xfId="0" applyNumberForma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4" borderId="0" xfId="0" applyNumberFormat="1" applyFill="1"/>
    <xf numFmtId="1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4" borderId="1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0" borderId="0" xfId="0" applyFont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49" fontId="2" fillId="4" borderId="1" xfId="0" applyNumberFormat="1" applyFont="1" applyFill="1" applyBorder="1" applyAlignment="1">
      <alignment wrapText="1"/>
    </xf>
  </cellXfs>
  <cellStyles count="1">
    <cellStyle name="Stand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Amount of measurements for antibodies in pos_neg-group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'Diagramms quant'!$B$2</c:f>
              <c:strCache>
                <c:ptCount val="1"/>
                <c:pt idx="0">
                  <c:v>Leber_Diclo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quant'!$C$1:$EA$1</c:f>
              <c:strCache>
                <c:ptCount val="129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 (0=negativ, 1=positiv)</c:v>
                </c:pt>
                <c:pt idx="8">
                  <c:v>EBV-VCA-IgG (0=negativ, 1=positiv)</c:v>
                </c:pt>
                <c:pt idx="9">
                  <c:v>EBV-VCA-IgM (0=negativ, 1=positiv)</c:v>
                </c:pt>
                <c:pt idx="10">
                  <c:v>EBV-IgA (0=negativ, 1=positiv)</c:v>
                </c:pt>
                <c:pt idx="11">
                  <c:v>Epstein-Barr-IgM (0=negativ, 1=positiv)</c:v>
                </c:pt>
                <c:pt idx="12">
                  <c:v>Epstein-Barr-IgG (0=negativ, 1=positiv)</c:v>
                </c:pt>
                <c:pt idx="13">
                  <c:v>Cytomegalievirus (CMV) (0=negativ, 1=positiv)</c:v>
                </c:pt>
                <c:pt idx="14">
                  <c:v>Cytomegalievirus-IgM(CMV) (0=negativ, 1=positiv)</c:v>
                </c:pt>
                <c:pt idx="15">
                  <c:v>Cytomegalievirus-IgG(CMV) (0=negativ, 1=positiv)</c:v>
                </c:pt>
                <c:pt idx="16">
                  <c:v>CMV-PCR</c:v>
                </c:pt>
                <c:pt idx="17">
                  <c:v>Varizella-Zoster-Virus (VZV) (0=negativ, 1=positiv)</c:v>
                </c:pt>
                <c:pt idx="18">
                  <c:v>Varizella-Zoster-IgG (VZV) (0=negativ, 1=positiv)</c:v>
                </c:pt>
                <c:pt idx="19">
                  <c:v>Varizella-Zoster-IgM (VZV) (0=negativ, 1=positiv)</c:v>
                </c:pt>
                <c:pt idx="20">
                  <c:v>Yersenieninfektion (0=negativ, 1=positiv)</c:v>
                </c:pt>
                <c:pt idx="21">
                  <c:v>Syphilis (0=negativ, 1=positiv)</c:v>
                </c:pt>
                <c:pt idx="22">
                  <c:v>Autoimmun-Antikörper (0=negativ, 1=positiv)</c:v>
                </c:pt>
                <c:pt idx="23">
                  <c:v>ANA(Antinukleäre Antikörper)-Datum umbekannt (0=negativ (≤ 1:80), 1=positiv)</c:v>
                </c:pt>
                <c:pt idx="24">
                  <c:v>ANC (Antineurophiler cytoplastischer Antikörper) (0=negativ, 1=positiv)</c:v>
                </c:pt>
                <c:pt idx="25">
                  <c:v>c-ANCA (0=negativ, 1=positiv</c:v>
                </c:pt>
                <c:pt idx="26">
                  <c:v>p-ANCA (0=negativ, 1=positiv</c:v>
                </c:pt>
                <c:pt idx="27">
                  <c:v>ENA (Extrahierbares nukleäres Antigen) (0=negativ, 1=positiv)</c:v>
                </c:pt>
                <c:pt idx="28">
                  <c:v>Anti-Ro (SSA(Ro)-Antikörper)-Datum unbekannt (0=negativ, 1=positiv)</c:v>
                </c:pt>
                <c:pt idx="29">
                  <c:v>Anti-Ro-52 (SSA(Ro)-Antikörper)-Datum unbekannt (0=negativ, 1=positiv)</c:v>
                </c:pt>
                <c:pt idx="30">
                  <c:v>SSA-Antigen (0=negativ, 1=positiv)</c:v>
                </c:pt>
                <c:pt idx="31">
                  <c:v>Anti-La (SSB(La)-Antikörper)-Datum unbekannt (0=negativ, 1=positiv)</c:v>
                </c:pt>
                <c:pt idx="32">
                  <c:v>SSB-Antigen (0=negativ, 1=positiv)</c:v>
                </c:pt>
                <c:pt idx="33">
                  <c:v>SCL-Antikörper (0=negativ, 1=positiv)</c:v>
                </c:pt>
                <c:pt idx="34">
                  <c:v>MPO-Autoantikörper (0=negativ, 1=positiv)</c:v>
                </c:pt>
                <c:pt idx="35">
                  <c:v>Centromer-Antikörper (0=negativ, 1=positiv)</c:v>
                </c:pt>
                <c:pt idx="36">
                  <c:v>Jol--Antikörper (0=negativ, 1=positiv)</c:v>
                </c:pt>
                <c:pt idx="37">
                  <c:v>Brucellen (0=negativ, 1=positiv)</c:v>
                </c:pt>
                <c:pt idx="38">
                  <c:v>Lues-Serologie (0=negativ, 1=positiv)</c:v>
                </c:pt>
                <c:pt idx="39">
                  <c:v>Antihistonantikörper-Datum unbekannt (0=negativ, 1=positiv)</c:v>
                </c:pt>
                <c:pt idx="40">
                  <c:v>DsDNA-Antikörper-Datum unbekannt (0=negativ, 1=positiv)</c:v>
                </c:pt>
                <c:pt idx="41">
                  <c:v>Anti-DNS-Doppelstrang-Antikörper (0=negativ, 1=positiv)</c:v>
                </c:pt>
                <c:pt idx="42">
                  <c:v>Anti-glatte Muskulatur-Antikörper -Datum unbekannt(0=negativ, 1=positiv)</c:v>
                </c:pt>
                <c:pt idx="43">
                  <c:v>RNP-Antikörper (0=negativ, 1=positiv)</c:v>
                </c:pt>
                <c:pt idx="44">
                  <c:v>RNP-Antigen (0=negativ, 1=positiv)</c:v>
                </c:pt>
                <c:pt idx="45">
                  <c:v>Anti-GBM-Antikörper (0=negativ, 1=positiv)</c:v>
                </c:pt>
                <c:pt idx="46">
                  <c:v>Anti-C3d-Anikörper (0=negativ, 1=positiv)</c:v>
                </c:pt>
                <c:pt idx="47">
                  <c:v>Ros2-Antikörper (0=negativ, 1=positiv)</c:v>
                </c:pt>
                <c:pt idx="48">
                  <c:v>SP-Antikörper (0=negativ, 1=positiv)</c:v>
                </c:pt>
                <c:pt idx="49">
                  <c:v>PML-Antikörper (0=negativ, 1=positiv)</c:v>
                </c:pt>
                <c:pt idx="50">
                  <c:v>gp210-Antikörper (0=negativ, 1=positiv)</c:v>
                </c:pt>
                <c:pt idx="51">
                  <c:v>intrinsikfaktor-Antikörper (0=negativ, 1=positiv)</c:v>
                </c:pt>
                <c:pt idx="52">
                  <c:v>Rheumafaktor (0=negativ, 1=positiv)</c:v>
                </c:pt>
                <c:pt idx="53">
                  <c:v>SLA-Antigen (0=negativ, 1=positiv)</c:v>
                </c:pt>
                <c:pt idx="54">
                  <c:v>SLA-Autoantikörper (0=negativ, 1=positiv)</c:v>
                </c:pt>
                <c:pt idx="55">
                  <c:v>SLA-LP-Autoantikörper (0=negativ, 1=positiv)</c:v>
                </c:pt>
                <c:pt idx="56">
                  <c:v>LKM1-Autoantikörper (0=negativ, 1=positiv)</c:v>
                </c:pt>
                <c:pt idx="57">
                  <c:v>LKM2-Autoantikörper (0=negativ, 1=positiv)</c:v>
                </c:pt>
                <c:pt idx="58">
                  <c:v>LC1-Autoantikörper (0=negativ, 1=positiv)</c:v>
                </c:pt>
                <c:pt idx="59">
                  <c:v>LMA-Autoantikörper (0=negativ, 1=positiv)</c:v>
                </c:pt>
                <c:pt idx="60">
                  <c:v>AMA (Antimitochondrialer Autoantikörper (0=negativ, 1=positiv)</c:v>
                </c:pt>
                <c:pt idx="61">
                  <c:v>AMA-M2 (Antimitochondrialer Autoantikörper (0=negativ, 1=positiv)</c:v>
                </c:pt>
                <c:pt idx="62">
                  <c:v>ASMA (0=negativ, 1=positiv)</c:v>
                </c:pt>
                <c:pt idx="63">
                  <c:v>ASM-Autoantikörper (0=negativ, 1=positiv)</c:v>
                </c:pt>
                <c:pt idx="64">
                  <c:v>SM-Antigen (0=negativ, 1=positiv)</c:v>
                </c:pt>
                <c:pt idx="65">
                  <c:v>SP100-Antikörper (0=negativ, 1=positiv)</c:v>
                </c:pt>
                <c:pt idx="66">
                  <c:v>Parietalzell-Autoantikörper (PCA) (0=negativ, 1=positiv)</c:v>
                </c:pt>
                <c:pt idx="67">
                  <c:v>Proteinkinase-Autoantikörper (0=negativ, 1=positiv)</c:v>
                </c:pt>
                <c:pt idx="68">
                  <c:v>Myeloperoxide-IgG-Autoantikörper (0=negativ, 1=positiv)</c:v>
                </c:pt>
                <c:pt idx="69">
                  <c:v>Lebercytosol-Antikörper (0=negativ, 1=positiv)</c:v>
                </c:pt>
                <c:pt idx="70">
                  <c:v>zirkulierende Immunkomplexe (0=negativ, 1=positiv)</c:v>
                </c:pt>
                <c:pt idx="71">
                  <c:v>Zytomegalievirus (0=negativ, 1=positiv)</c:v>
                </c:pt>
                <c:pt idx="72">
                  <c:v>HIV (0=negativ, 1=positiv) -&gt; siehe zusätzlich anamnese</c:v>
                </c:pt>
                <c:pt idx="73">
                  <c:v>HIV-Antikörper (0=negativ, 1=positiv)</c:v>
                </c:pt>
                <c:pt idx="74">
                  <c:v>Herpes simplex Virus IgM (0=negativ, 1=positiv)</c:v>
                </c:pt>
                <c:pt idx="75">
                  <c:v>Herpes simplex Virus IgG (0=negativ, 1=positiv)</c:v>
                </c:pt>
                <c:pt idx="76">
                  <c:v>HHV 6 (0=negativ, 1=positiv)</c:v>
                </c:pt>
                <c:pt idx="77">
                  <c:v>Masern IgM (0=negativ, 1=positiv)</c:v>
                </c:pt>
                <c:pt idx="78">
                  <c:v>Röteln IgM (0=negativ, 1=positiv)</c:v>
                </c:pt>
                <c:pt idx="79">
                  <c:v>Mycoplasmatische Antikörper (0=negativ, 1=positiv)</c:v>
                </c:pt>
                <c:pt idx="80">
                  <c:v>Mycoplasmen-IgM (0=negativ, 1=positiv)</c:v>
                </c:pt>
                <c:pt idx="81">
                  <c:v>Mycoplasmen-IgG (0=negativ, 1=positiv)</c:v>
                </c:pt>
                <c:pt idx="82">
                  <c:v>Chlamydien-AK (0=negativ, 1=positiv)</c:v>
                </c:pt>
                <c:pt idx="83">
                  <c:v>Parvovirus B19 (0=negativ, 1=positiv)</c:v>
                </c:pt>
                <c:pt idx="84">
                  <c:v>Adenovirus</c:v>
                </c:pt>
                <c:pt idx="85">
                  <c:v>Picomavirus</c:v>
                </c:pt>
                <c:pt idx="86">
                  <c:v>ECHO-Virus (0=negativ, 1=positiv)</c:v>
                </c:pt>
                <c:pt idx="87">
                  <c:v>Borellien-IgM (0=negativ, 1=positiv)</c:v>
                </c:pt>
                <c:pt idx="88">
                  <c:v>Coxsackie-Virus-Antikörper (0=negativ, 1=positiv)</c:v>
                </c:pt>
                <c:pt idx="89">
                  <c:v>Hepatitis A-Antikörper (0=negativ, 1=positiv)</c:v>
                </c:pt>
                <c:pt idx="90">
                  <c:v>Hepatitis B-Antikörper (0=negativ, 1=positiv)</c:v>
                </c:pt>
                <c:pt idx="91">
                  <c:v>Hepatitis C-Antikörper (0=negativ, 1=positiv)</c:v>
                </c:pt>
                <c:pt idx="92">
                  <c:v>Hepatitis D-Antikörper (0=negativ, 1=positiv)</c:v>
                </c:pt>
                <c:pt idx="93">
                  <c:v>Hepatitis E-Antikörper (0=negativ, 1=positiv)</c:v>
                </c:pt>
                <c:pt idx="94">
                  <c:v>Hepatitis G-Antikörper (0=negativ, 1=positiv)</c:v>
                </c:pt>
                <c:pt idx="95">
                  <c:v>Anti-HAV-IgG (0=negativ, 1=positiv)</c:v>
                </c:pt>
                <c:pt idx="96">
                  <c:v>Anti-HAV-IgM (0=negativ, 1=positiv)</c:v>
                </c:pt>
                <c:pt idx="97">
                  <c:v>Anti-HCV-IgG (0=negativ, 1=positiv)</c:v>
                </c:pt>
                <c:pt idx="98">
                  <c:v>Anti-HCV-IgM (0=negativ, 1=positiv)</c:v>
                </c:pt>
                <c:pt idx="99">
                  <c:v>HCV-RNA (0=negativ, 1=positiv)</c:v>
                </c:pt>
                <c:pt idx="100">
                  <c:v>Anti-HEV-IgM (0=negativ, 1=positiv)</c:v>
                </c:pt>
                <c:pt idx="101">
                  <c:v>HBs-Antikörper (0=negativ, 1=positiv)</c:v>
                </c:pt>
                <c:pt idx="102">
                  <c:v>HBsAg (0=negativ, 1=positiv)</c:v>
                </c:pt>
                <c:pt idx="103">
                  <c:v>HBc-Antikörper (0=negativ, 1=positiv)</c:v>
                </c:pt>
                <c:pt idx="104">
                  <c:v>HBc-Ag (0=negativ, 1=positiv)</c:v>
                </c:pt>
                <c:pt idx="105">
                  <c:v>Anti-HBc-IgG (0=negativ, 1=positiv)</c:v>
                </c:pt>
                <c:pt idx="106">
                  <c:v>Anti-HBc-IgM (0=negativ, 1=positiv)</c:v>
                </c:pt>
                <c:pt idx="107">
                  <c:v>HBe antikörper (0=negativ, 1=positiv)</c:v>
                </c:pt>
                <c:pt idx="108">
                  <c:v>HBeAg (0=negativ, 1=positiv)</c:v>
                </c:pt>
                <c:pt idx="109">
                  <c:v>HBV-DNA (0=negativ, 1=positiv)</c:v>
                </c:pt>
                <c:pt idx="110">
                  <c:v>HBV-VCA-IgG (0=negativ, 1=positiv)</c:v>
                </c:pt>
                <c:pt idx="111">
                  <c:v>Hepatitis C-RNA (0=negativ, 1=positiv)</c:v>
                </c:pt>
                <c:pt idx="112">
                  <c:v>Hepatitis G-RNA (0=negativ, 1=positiv)</c:v>
                </c:pt>
                <c:pt idx="113">
                  <c:v>Anti-Leber microsomaler Antikörper (0=negativ, 1=positiv)</c:v>
                </c:pt>
                <c:pt idx="114">
                  <c:v>Anti-Niere microsomaler Antikörper (0=negativ, 1=positiv)</c:v>
                </c:pt>
                <c:pt idx="115">
                  <c:v>CCP-Autoantikörper (0=negativ, 1=positiv)</c:v>
                </c:pt>
                <c:pt idx="116">
                  <c:v>HLA B51 (0=negativ, 1=positiv)</c:v>
                </c:pt>
                <c:pt idx="117">
                  <c:v>psoriatic specific Antigen (PSA) (0=negativ, 1=positiv)</c:v>
                </c:pt>
                <c:pt idx="118">
                  <c:v>Toxoplasmose</c:v>
                </c:pt>
                <c:pt idx="119">
                  <c:v>Eschinokokken-serology</c:v>
                </c:pt>
                <c:pt idx="120">
                  <c:v>Rickettsia conori IgG</c:v>
                </c:pt>
                <c:pt idx="121">
                  <c:v>Rickettsia conori IgM</c:v>
                </c:pt>
                <c:pt idx="122">
                  <c:v>Rickettsia typhi IgG</c:v>
                </c:pt>
                <c:pt idx="123">
                  <c:v>Rickettsia typhi IgM</c:v>
                </c:pt>
                <c:pt idx="124">
                  <c:v>Rickettsia tsutsugamushi IgG</c:v>
                </c:pt>
                <c:pt idx="125">
                  <c:v>Rickettsia tsutsugamushi IgM</c:v>
                </c:pt>
                <c:pt idx="126">
                  <c:v>Leptospiren AK</c:v>
                </c:pt>
                <c:pt idx="127">
                  <c:v>Fasciola hepatica</c:v>
                </c:pt>
                <c:pt idx="128">
                  <c:v>Coombs-Test</c:v>
                </c:pt>
              </c:strCache>
            </c:strRef>
          </c:cat>
          <c:val>
            <c:numRef>
              <c:f>'Diagramms quant'!$C$2:$EA$2</c:f>
              <c:numCache>
                <c:formatCode>General</c:formatCode>
                <c:ptCount val="12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17</c:v>
                </c:pt>
                <c:pt idx="24">
                  <c:v>0</c:v>
                </c:pt>
                <c:pt idx="25">
                  <c:v>6</c:v>
                </c:pt>
                <c:pt idx="26">
                  <c:v>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9</c:v>
                </c:pt>
                <c:pt idx="61">
                  <c:v>1</c:v>
                </c:pt>
                <c:pt idx="62">
                  <c:v>2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</c:v>
                </c:pt>
                <c:pt idx="73">
                  <c:v>0</c:v>
                </c:pt>
                <c:pt idx="74">
                  <c:v>2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21</c:v>
                </c:pt>
                <c:pt idx="90">
                  <c:v>20</c:v>
                </c:pt>
                <c:pt idx="91">
                  <c:v>24</c:v>
                </c:pt>
                <c:pt idx="92">
                  <c:v>0</c:v>
                </c:pt>
                <c:pt idx="93">
                  <c:v>3</c:v>
                </c:pt>
                <c:pt idx="94">
                  <c:v>0</c:v>
                </c:pt>
                <c:pt idx="95">
                  <c:v>4</c:v>
                </c:pt>
                <c:pt idx="96">
                  <c:v>6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8</c:v>
                </c:pt>
                <c:pt idx="102">
                  <c:v>8</c:v>
                </c:pt>
                <c:pt idx="103">
                  <c:v>13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0-4261-8C63-AD92AD7ECC94}"/>
            </c:ext>
          </c:extLst>
        </c:ser>
        <c:ser>
          <c:idx val="1"/>
          <c:order val="1"/>
          <c:tx>
            <c:strRef>
              <c:f>'Diagramms quant'!$B$3</c:f>
              <c:strCache>
                <c:ptCount val="1"/>
                <c:pt idx="0">
                  <c:v>Leber_Ibu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quant'!$C$1:$EA$1</c:f>
              <c:strCache>
                <c:ptCount val="129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 (0=negativ, 1=positiv)</c:v>
                </c:pt>
                <c:pt idx="8">
                  <c:v>EBV-VCA-IgG (0=negativ, 1=positiv)</c:v>
                </c:pt>
                <c:pt idx="9">
                  <c:v>EBV-VCA-IgM (0=negativ, 1=positiv)</c:v>
                </c:pt>
                <c:pt idx="10">
                  <c:v>EBV-IgA (0=negativ, 1=positiv)</c:v>
                </c:pt>
                <c:pt idx="11">
                  <c:v>Epstein-Barr-IgM (0=negativ, 1=positiv)</c:v>
                </c:pt>
                <c:pt idx="12">
                  <c:v>Epstein-Barr-IgG (0=negativ, 1=positiv)</c:v>
                </c:pt>
                <c:pt idx="13">
                  <c:v>Cytomegalievirus (CMV) (0=negativ, 1=positiv)</c:v>
                </c:pt>
                <c:pt idx="14">
                  <c:v>Cytomegalievirus-IgM(CMV) (0=negativ, 1=positiv)</c:v>
                </c:pt>
                <c:pt idx="15">
                  <c:v>Cytomegalievirus-IgG(CMV) (0=negativ, 1=positiv)</c:v>
                </c:pt>
                <c:pt idx="16">
                  <c:v>CMV-PCR</c:v>
                </c:pt>
                <c:pt idx="17">
                  <c:v>Varizella-Zoster-Virus (VZV) (0=negativ, 1=positiv)</c:v>
                </c:pt>
                <c:pt idx="18">
                  <c:v>Varizella-Zoster-IgG (VZV) (0=negativ, 1=positiv)</c:v>
                </c:pt>
                <c:pt idx="19">
                  <c:v>Varizella-Zoster-IgM (VZV) (0=negativ, 1=positiv)</c:v>
                </c:pt>
                <c:pt idx="20">
                  <c:v>Yersenieninfektion (0=negativ, 1=positiv)</c:v>
                </c:pt>
                <c:pt idx="21">
                  <c:v>Syphilis (0=negativ, 1=positiv)</c:v>
                </c:pt>
                <c:pt idx="22">
                  <c:v>Autoimmun-Antikörper (0=negativ, 1=positiv)</c:v>
                </c:pt>
                <c:pt idx="23">
                  <c:v>ANA(Antinukleäre Antikörper)-Datum umbekannt (0=negativ (≤ 1:80), 1=positiv)</c:v>
                </c:pt>
                <c:pt idx="24">
                  <c:v>ANC (Antineurophiler cytoplastischer Antikörper) (0=negativ, 1=positiv)</c:v>
                </c:pt>
                <c:pt idx="25">
                  <c:v>c-ANCA (0=negativ, 1=positiv</c:v>
                </c:pt>
                <c:pt idx="26">
                  <c:v>p-ANCA (0=negativ, 1=positiv</c:v>
                </c:pt>
                <c:pt idx="27">
                  <c:v>ENA (Extrahierbares nukleäres Antigen) (0=negativ, 1=positiv)</c:v>
                </c:pt>
                <c:pt idx="28">
                  <c:v>Anti-Ro (SSA(Ro)-Antikörper)-Datum unbekannt (0=negativ, 1=positiv)</c:v>
                </c:pt>
                <c:pt idx="29">
                  <c:v>Anti-Ro-52 (SSA(Ro)-Antikörper)-Datum unbekannt (0=negativ, 1=positiv)</c:v>
                </c:pt>
                <c:pt idx="30">
                  <c:v>SSA-Antigen (0=negativ, 1=positiv)</c:v>
                </c:pt>
                <c:pt idx="31">
                  <c:v>Anti-La (SSB(La)-Antikörper)-Datum unbekannt (0=negativ, 1=positiv)</c:v>
                </c:pt>
                <c:pt idx="32">
                  <c:v>SSB-Antigen (0=negativ, 1=positiv)</c:v>
                </c:pt>
                <c:pt idx="33">
                  <c:v>SCL-Antikörper (0=negativ, 1=positiv)</c:v>
                </c:pt>
                <c:pt idx="34">
                  <c:v>MPO-Autoantikörper (0=negativ, 1=positiv)</c:v>
                </c:pt>
                <c:pt idx="35">
                  <c:v>Centromer-Antikörper (0=negativ, 1=positiv)</c:v>
                </c:pt>
                <c:pt idx="36">
                  <c:v>Jol--Antikörper (0=negativ, 1=positiv)</c:v>
                </c:pt>
                <c:pt idx="37">
                  <c:v>Brucellen (0=negativ, 1=positiv)</c:v>
                </c:pt>
                <c:pt idx="38">
                  <c:v>Lues-Serologie (0=negativ, 1=positiv)</c:v>
                </c:pt>
                <c:pt idx="39">
                  <c:v>Antihistonantikörper-Datum unbekannt (0=negativ, 1=positiv)</c:v>
                </c:pt>
                <c:pt idx="40">
                  <c:v>DsDNA-Antikörper-Datum unbekannt (0=negativ, 1=positiv)</c:v>
                </c:pt>
                <c:pt idx="41">
                  <c:v>Anti-DNS-Doppelstrang-Antikörper (0=negativ, 1=positiv)</c:v>
                </c:pt>
                <c:pt idx="42">
                  <c:v>Anti-glatte Muskulatur-Antikörper -Datum unbekannt(0=negativ, 1=positiv)</c:v>
                </c:pt>
                <c:pt idx="43">
                  <c:v>RNP-Antikörper (0=negativ, 1=positiv)</c:v>
                </c:pt>
                <c:pt idx="44">
                  <c:v>RNP-Antigen (0=negativ, 1=positiv)</c:v>
                </c:pt>
                <c:pt idx="45">
                  <c:v>Anti-GBM-Antikörper (0=negativ, 1=positiv)</c:v>
                </c:pt>
                <c:pt idx="46">
                  <c:v>Anti-C3d-Anikörper (0=negativ, 1=positiv)</c:v>
                </c:pt>
                <c:pt idx="47">
                  <c:v>Ros2-Antikörper (0=negativ, 1=positiv)</c:v>
                </c:pt>
                <c:pt idx="48">
                  <c:v>SP-Antikörper (0=negativ, 1=positiv)</c:v>
                </c:pt>
                <c:pt idx="49">
                  <c:v>PML-Antikörper (0=negativ, 1=positiv)</c:v>
                </c:pt>
                <c:pt idx="50">
                  <c:v>gp210-Antikörper (0=negativ, 1=positiv)</c:v>
                </c:pt>
                <c:pt idx="51">
                  <c:v>intrinsikfaktor-Antikörper (0=negativ, 1=positiv)</c:v>
                </c:pt>
                <c:pt idx="52">
                  <c:v>Rheumafaktor (0=negativ, 1=positiv)</c:v>
                </c:pt>
                <c:pt idx="53">
                  <c:v>SLA-Antigen (0=negativ, 1=positiv)</c:v>
                </c:pt>
                <c:pt idx="54">
                  <c:v>SLA-Autoantikörper (0=negativ, 1=positiv)</c:v>
                </c:pt>
                <c:pt idx="55">
                  <c:v>SLA-LP-Autoantikörper (0=negativ, 1=positiv)</c:v>
                </c:pt>
                <c:pt idx="56">
                  <c:v>LKM1-Autoantikörper (0=negativ, 1=positiv)</c:v>
                </c:pt>
                <c:pt idx="57">
                  <c:v>LKM2-Autoantikörper (0=negativ, 1=positiv)</c:v>
                </c:pt>
                <c:pt idx="58">
                  <c:v>LC1-Autoantikörper (0=negativ, 1=positiv)</c:v>
                </c:pt>
                <c:pt idx="59">
                  <c:v>LMA-Autoantikörper (0=negativ, 1=positiv)</c:v>
                </c:pt>
                <c:pt idx="60">
                  <c:v>AMA (Antimitochondrialer Autoantikörper (0=negativ, 1=positiv)</c:v>
                </c:pt>
                <c:pt idx="61">
                  <c:v>AMA-M2 (Antimitochondrialer Autoantikörper (0=negativ, 1=positiv)</c:v>
                </c:pt>
                <c:pt idx="62">
                  <c:v>ASMA (0=negativ, 1=positiv)</c:v>
                </c:pt>
                <c:pt idx="63">
                  <c:v>ASM-Autoantikörper (0=negativ, 1=positiv)</c:v>
                </c:pt>
                <c:pt idx="64">
                  <c:v>SM-Antigen (0=negativ, 1=positiv)</c:v>
                </c:pt>
                <c:pt idx="65">
                  <c:v>SP100-Antikörper (0=negativ, 1=positiv)</c:v>
                </c:pt>
                <c:pt idx="66">
                  <c:v>Parietalzell-Autoantikörper (PCA) (0=negativ, 1=positiv)</c:v>
                </c:pt>
                <c:pt idx="67">
                  <c:v>Proteinkinase-Autoantikörper (0=negativ, 1=positiv)</c:v>
                </c:pt>
                <c:pt idx="68">
                  <c:v>Myeloperoxide-IgG-Autoantikörper (0=negativ, 1=positiv)</c:v>
                </c:pt>
                <c:pt idx="69">
                  <c:v>Lebercytosol-Antikörper (0=negativ, 1=positiv)</c:v>
                </c:pt>
                <c:pt idx="70">
                  <c:v>zirkulierende Immunkomplexe (0=negativ, 1=positiv)</c:v>
                </c:pt>
                <c:pt idx="71">
                  <c:v>Zytomegalievirus (0=negativ, 1=positiv)</c:v>
                </c:pt>
                <c:pt idx="72">
                  <c:v>HIV (0=negativ, 1=positiv) -&gt; siehe zusätzlich anamnese</c:v>
                </c:pt>
                <c:pt idx="73">
                  <c:v>HIV-Antikörper (0=negativ, 1=positiv)</c:v>
                </c:pt>
                <c:pt idx="74">
                  <c:v>Herpes simplex Virus IgM (0=negativ, 1=positiv)</c:v>
                </c:pt>
                <c:pt idx="75">
                  <c:v>Herpes simplex Virus IgG (0=negativ, 1=positiv)</c:v>
                </c:pt>
                <c:pt idx="76">
                  <c:v>HHV 6 (0=negativ, 1=positiv)</c:v>
                </c:pt>
                <c:pt idx="77">
                  <c:v>Masern IgM (0=negativ, 1=positiv)</c:v>
                </c:pt>
                <c:pt idx="78">
                  <c:v>Röteln IgM (0=negativ, 1=positiv)</c:v>
                </c:pt>
                <c:pt idx="79">
                  <c:v>Mycoplasmatische Antikörper (0=negativ, 1=positiv)</c:v>
                </c:pt>
                <c:pt idx="80">
                  <c:v>Mycoplasmen-IgM (0=negativ, 1=positiv)</c:v>
                </c:pt>
                <c:pt idx="81">
                  <c:v>Mycoplasmen-IgG (0=negativ, 1=positiv)</c:v>
                </c:pt>
                <c:pt idx="82">
                  <c:v>Chlamydien-AK (0=negativ, 1=positiv)</c:v>
                </c:pt>
                <c:pt idx="83">
                  <c:v>Parvovirus B19 (0=negativ, 1=positiv)</c:v>
                </c:pt>
                <c:pt idx="84">
                  <c:v>Adenovirus</c:v>
                </c:pt>
                <c:pt idx="85">
                  <c:v>Picomavirus</c:v>
                </c:pt>
                <c:pt idx="86">
                  <c:v>ECHO-Virus (0=negativ, 1=positiv)</c:v>
                </c:pt>
                <c:pt idx="87">
                  <c:v>Borellien-IgM (0=negativ, 1=positiv)</c:v>
                </c:pt>
                <c:pt idx="88">
                  <c:v>Coxsackie-Virus-Antikörper (0=negativ, 1=positiv)</c:v>
                </c:pt>
                <c:pt idx="89">
                  <c:v>Hepatitis A-Antikörper (0=negativ, 1=positiv)</c:v>
                </c:pt>
                <c:pt idx="90">
                  <c:v>Hepatitis B-Antikörper (0=negativ, 1=positiv)</c:v>
                </c:pt>
                <c:pt idx="91">
                  <c:v>Hepatitis C-Antikörper (0=negativ, 1=positiv)</c:v>
                </c:pt>
                <c:pt idx="92">
                  <c:v>Hepatitis D-Antikörper (0=negativ, 1=positiv)</c:v>
                </c:pt>
                <c:pt idx="93">
                  <c:v>Hepatitis E-Antikörper (0=negativ, 1=positiv)</c:v>
                </c:pt>
                <c:pt idx="94">
                  <c:v>Hepatitis G-Antikörper (0=negativ, 1=positiv)</c:v>
                </c:pt>
                <c:pt idx="95">
                  <c:v>Anti-HAV-IgG (0=negativ, 1=positiv)</c:v>
                </c:pt>
                <c:pt idx="96">
                  <c:v>Anti-HAV-IgM (0=negativ, 1=positiv)</c:v>
                </c:pt>
                <c:pt idx="97">
                  <c:v>Anti-HCV-IgG (0=negativ, 1=positiv)</c:v>
                </c:pt>
                <c:pt idx="98">
                  <c:v>Anti-HCV-IgM (0=negativ, 1=positiv)</c:v>
                </c:pt>
                <c:pt idx="99">
                  <c:v>HCV-RNA (0=negativ, 1=positiv)</c:v>
                </c:pt>
                <c:pt idx="100">
                  <c:v>Anti-HEV-IgM (0=negativ, 1=positiv)</c:v>
                </c:pt>
                <c:pt idx="101">
                  <c:v>HBs-Antikörper (0=negativ, 1=positiv)</c:v>
                </c:pt>
                <c:pt idx="102">
                  <c:v>HBsAg (0=negativ, 1=positiv)</c:v>
                </c:pt>
                <c:pt idx="103">
                  <c:v>HBc-Antikörper (0=negativ, 1=positiv)</c:v>
                </c:pt>
                <c:pt idx="104">
                  <c:v>HBc-Ag (0=negativ, 1=positiv)</c:v>
                </c:pt>
                <c:pt idx="105">
                  <c:v>Anti-HBc-IgG (0=negativ, 1=positiv)</c:v>
                </c:pt>
                <c:pt idx="106">
                  <c:v>Anti-HBc-IgM (0=negativ, 1=positiv)</c:v>
                </c:pt>
                <c:pt idx="107">
                  <c:v>HBe antikörper (0=negativ, 1=positiv)</c:v>
                </c:pt>
                <c:pt idx="108">
                  <c:v>HBeAg (0=negativ, 1=positiv)</c:v>
                </c:pt>
                <c:pt idx="109">
                  <c:v>HBV-DNA (0=negativ, 1=positiv)</c:v>
                </c:pt>
                <c:pt idx="110">
                  <c:v>HBV-VCA-IgG (0=negativ, 1=positiv)</c:v>
                </c:pt>
                <c:pt idx="111">
                  <c:v>Hepatitis C-RNA (0=negativ, 1=positiv)</c:v>
                </c:pt>
                <c:pt idx="112">
                  <c:v>Hepatitis G-RNA (0=negativ, 1=positiv)</c:v>
                </c:pt>
                <c:pt idx="113">
                  <c:v>Anti-Leber microsomaler Antikörper (0=negativ, 1=positiv)</c:v>
                </c:pt>
                <c:pt idx="114">
                  <c:v>Anti-Niere microsomaler Antikörper (0=negativ, 1=positiv)</c:v>
                </c:pt>
                <c:pt idx="115">
                  <c:v>CCP-Autoantikörper (0=negativ, 1=positiv)</c:v>
                </c:pt>
                <c:pt idx="116">
                  <c:v>HLA B51 (0=negativ, 1=positiv)</c:v>
                </c:pt>
                <c:pt idx="117">
                  <c:v>psoriatic specific Antigen (PSA) (0=negativ, 1=positiv)</c:v>
                </c:pt>
                <c:pt idx="118">
                  <c:v>Toxoplasmose</c:v>
                </c:pt>
                <c:pt idx="119">
                  <c:v>Eschinokokken-serology</c:v>
                </c:pt>
                <c:pt idx="120">
                  <c:v>Rickettsia conori IgG</c:v>
                </c:pt>
                <c:pt idx="121">
                  <c:v>Rickettsia conori IgM</c:v>
                </c:pt>
                <c:pt idx="122">
                  <c:v>Rickettsia typhi IgG</c:v>
                </c:pt>
                <c:pt idx="123">
                  <c:v>Rickettsia typhi IgM</c:v>
                </c:pt>
                <c:pt idx="124">
                  <c:v>Rickettsia tsutsugamushi IgG</c:v>
                </c:pt>
                <c:pt idx="125">
                  <c:v>Rickettsia tsutsugamushi IgM</c:v>
                </c:pt>
                <c:pt idx="126">
                  <c:v>Leptospiren AK</c:v>
                </c:pt>
                <c:pt idx="127">
                  <c:v>Fasciola hepatica</c:v>
                </c:pt>
                <c:pt idx="128">
                  <c:v>Coombs-Test</c:v>
                </c:pt>
              </c:strCache>
            </c:strRef>
          </c:cat>
          <c:val>
            <c:numRef>
              <c:f>'Diagramms quant'!$C$3:$EA$3</c:f>
              <c:numCache>
                <c:formatCode>General</c:formatCode>
                <c:ptCount val="1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  <c:pt idx="24">
                  <c:v>0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21</c:v>
                </c:pt>
                <c:pt idx="90">
                  <c:v>16</c:v>
                </c:pt>
                <c:pt idx="91">
                  <c:v>21</c:v>
                </c:pt>
                <c:pt idx="92">
                  <c:v>0</c:v>
                </c:pt>
                <c:pt idx="93">
                  <c:v>3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3</c:v>
                </c:pt>
                <c:pt idx="100">
                  <c:v>1</c:v>
                </c:pt>
                <c:pt idx="101">
                  <c:v>7</c:v>
                </c:pt>
                <c:pt idx="102">
                  <c:v>10</c:v>
                </c:pt>
                <c:pt idx="103">
                  <c:v>7</c:v>
                </c:pt>
                <c:pt idx="104">
                  <c:v>0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0-4261-8C63-AD92AD7ECC94}"/>
            </c:ext>
          </c:extLst>
        </c:ser>
        <c:ser>
          <c:idx val="2"/>
          <c:order val="2"/>
          <c:tx>
            <c:strRef>
              <c:f>'Diagramms quant'!$B$4</c:f>
              <c:strCache>
                <c:ptCount val="1"/>
                <c:pt idx="0">
                  <c:v>Leber_Para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'Diagramms quant'!$C$1:$EA$1</c:f>
              <c:strCache>
                <c:ptCount val="129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 (0=negativ, 1=positiv)</c:v>
                </c:pt>
                <c:pt idx="8">
                  <c:v>EBV-VCA-IgG (0=negativ, 1=positiv)</c:v>
                </c:pt>
                <c:pt idx="9">
                  <c:v>EBV-VCA-IgM (0=negativ, 1=positiv)</c:v>
                </c:pt>
                <c:pt idx="10">
                  <c:v>EBV-IgA (0=negativ, 1=positiv)</c:v>
                </c:pt>
                <c:pt idx="11">
                  <c:v>Epstein-Barr-IgM (0=negativ, 1=positiv)</c:v>
                </c:pt>
                <c:pt idx="12">
                  <c:v>Epstein-Barr-IgG (0=negativ, 1=positiv)</c:v>
                </c:pt>
                <c:pt idx="13">
                  <c:v>Cytomegalievirus (CMV) (0=negativ, 1=positiv)</c:v>
                </c:pt>
                <c:pt idx="14">
                  <c:v>Cytomegalievirus-IgM(CMV) (0=negativ, 1=positiv)</c:v>
                </c:pt>
                <c:pt idx="15">
                  <c:v>Cytomegalievirus-IgG(CMV) (0=negativ, 1=positiv)</c:v>
                </c:pt>
                <c:pt idx="16">
                  <c:v>CMV-PCR</c:v>
                </c:pt>
                <c:pt idx="17">
                  <c:v>Varizella-Zoster-Virus (VZV) (0=negativ, 1=positiv)</c:v>
                </c:pt>
                <c:pt idx="18">
                  <c:v>Varizella-Zoster-IgG (VZV) (0=negativ, 1=positiv)</c:v>
                </c:pt>
                <c:pt idx="19">
                  <c:v>Varizella-Zoster-IgM (VZV) (0=negativ, 1=positiv)</c:v>
                </c:pt>
                <c:pt idx="20">
                  <c:v>Yersenieninfektion (0=negativ, 1=positiv)</c:v>
                </c:pt>
                <c:pt idx="21">
                  <c:v>Syphilis (0=negativ, 1=positiv)</c:v>
                </c:pt>
                <c:pt idx="22">
                  <c:v>Autoimmun-Antikörper (0=negativ, 1=positiv)</c:v>
                </c:pt>
                <c:pt idx="23">
                  <c:v>ANA(Antinukleäre Antikörper)-Datum umbekannt (0=negativ (≤ 1:80), 1=positiv)</c:v>
                </c:pt>
                <c:pt idx="24">
                  <c:v>ANC (Antineurophiler cytoplastischer Antikörper) (0=negativ, 1=positiv)</c:v>
                </c:pt>
                <c:pt idx="25">
                  <c:v>c-ANCA (0=negativ, 1=positiv</c:v>
                </c:pt>
                <c:pt idx="26">
                  <c:v>p-ANCA (0=negativ, 1=positiv</c:v>
                </c:pt>
                <c:pt idx="27">
                  <c:v>ENA (Extrahierbares nukleäres Antigen) (0=negativ, 1=positiv)</c:v>
                </c:pt>
                <c:pt idx="28">
                  <c:v>Anti-Ro (SSA(Ro)-Antikörper)-Datum unbekannt (0=negativ, 1=positiv)</c:v>
                </c:pt>
                <c:pt idx="29">
                  <c:v>Anti-Ro-52 (SSA(Ro)-Antikörper)-Datum unbekannt (0=negativ, 1=positiv)</c:v>
                </c:pt>
                <c:pt idx="30">
                  <c:v>SSA-Antigen (0=negativ, 1=positiv)</c:v>
                </c:pt>
                <c:pt idx="31">
                  <c:v>Anti-La (SSB(La)-Antikörper)-Datum unbekannt (0=negativ, 1=positiv)</c:v>
                </c:pt>
                <c:pt idx="32">
                  <c:v>SSB-Antigen (0=negativ, 1=positiv)</c:v>
                </c:pt>
                <c:pt idx="33">
                  <c:v>SCL-Antikörper (0=negativ, 1=positiv)</c:v>
                </c:pt>
                <c:pt idx="34">
                  <c:v>MPO-Autoantikörper (0=negativ, 1=positiv)</c:v>
                </c:pt>
                <c:pt idx="35">
                  <c:v>Centromer-Antikörper (0=negativ, 1=positiv)</c:v>
                </c:pt>
                <c:pt idx="36">
                  <c:v>Jol--Antikörper (0=negativ, 1=positiv)</c:v>
                </c:pt>
                <c:pt idx="37">
                  <c:v>Brucellen (0=negativ, 1=positiv)</c:v>
                </c:pt>
                <c:pt idx="38">
                  <c:v>Lues-Serologie (0=negativ, 1=positiv)</c:v>
                </c:pt>
                <c:pt idx="39">
                  <c:v>Antihistonantikörper-Datum unbekannt (0=negativ, 1=positiv)</c:v>
                </c:pt>
                <c:pt idx="40">
                  <c:v>DsDNA-Antikörper-Datum unbekannt (0=negativ, 1=positiv)</c:v>
                </c:pt>
                <c:pt idx="41">
                  <c:v>Anti-DNS-Doppelstrang-Antikörper (0=negativ, 1=positiv)</c:v>
                </c:pt>
                <c:pt idx="42">
                  <c:v>Anti-glatte Muskulatur-Antikörper -Datum unbekannt(0=negativ, 1=positiv)</c:v>
                </c:pt>
                <c:pt idx="43">
                  <c:v>RNP-Antikörper (0=negativ, 1=positiv)</c:v>
                </c:pt>
                <c:pt idx="44">
                  <c:v>RNP-Antigen (0=negativ, 1=positiv)</c:v>
                </c:pt>
                <c:pt idx="45">
                  <c:v>Anti-GBM-Antikörper (0=negativ, 1=positiv)</c:v>
                </c:pt>
                <c:pt idx="46">
                  <c:v>Anti-C3d-Anikörper (0=negativ, 1=positiv)</c:v>
                </c:pt>
                <c:pt idx="47">
                  <c:v>Ros2-Antikörper (0=negativ, 1=positiv)</c:v>
                </c:pt>
                <c:pt idx="48">
                  <c:v>SP-Antikörper (0=negativ, 1=positiv)</c:v>
                </c:pt>
                <c:pt idx="49">
                  <c:v>PML-Antikörper (0=negativ, 1=positiv)</c:v>
                </c:pt>
                <c:pt idx="50">
                  <c:v>gp210-Antikörper (0=negativ, 1=positiv)</c:v>
                </c:pt>
                <c:pt idx="51">
                  <c:v>intrinsikfaktor-Antikörper (0=negativ, 1=positiv)</c:v>
                </c:pt>
                <c:pt idx="52">
                  <c:v>Rheumafaktor (0=negativ, 1=positiv)</c:v>
                </c:pt>
                <c:pt idx="53">
                  <c:v>SLA-Antigen (0=negativ, 1=positiv)</c:v>
                </c:pt>
                <c:pt idx="54">
                  <c:v>SLA-Autoantikörper (0=negativ, 1=positiv)</c:v>
                </c:pt>
                <c:pt idx="55">
                  <c:v>SLA-LP-Autoantikörper (0=negativ, 1=positiv)</c:v>
                </c:pt>
                <c:pt idx="56">
                  <c:v>LKM1-Autoantikörper (0=negativ, 1=positiv)</c:v>
                </c:pt>
                <c:pt idx="57">
                  <c:v>LKM2-Autoantikörper (0=negativ, 1=positiv)</c:v>
                </c:pt>
                <c:pt idx="58">
                  <c:v>LC1-Autoantikörper (0=negativ, 1=positiv)</c:v>
                </c:pt>
                <c:pt idx="59">
                  <c:v>LMA-Autoantikörper (0=negativ, 1=positiv)</c:v>
                </c:pt>
                <c:pt idx="60">
                  <c:v>AMA (Antimitochondrialer Autoantikörper (0=negativ, 1=positiv)</c:v>
                </c:pt>
                <c:pt idx="61">
                  <c:v>AMA-M2 (Antimitochondrialer Autoantikörper (0=negativ, 1=positiv)</c:v>
                </c:pt>
                <c:pt idx="62">
                  <c:v>ASMA (0=negativ, 1=positiv)</c:v>
                </c:pt>
                <c:pt idx="63">
                  <c:v>ASM-Autoantikörper (0=negativ, 1=positiv)</c:v>
                </c:pt>
                <c:pt idx="64">
                  <c:v>SM-Antigen (0=negativ, 1=positiv)</c:v>
                </c:pt>
                <c:pt idx="65">
                  <c:v>SP100-Antikörper (0=negativ, 1=positiv)</c:v>
                </c:pt>
                <c:pt idx="66">
                  <c:v>Parietalzell-Autoantikörper (PCA) (0=negativ, 1=positiv)</c:v>
                </c:pt>
                <c:pt idx="67">
                  <c:v>Proteinkinase-Autoantikörper (0=negativ, 1=positiv)</c:v>
                </c:pt>
                <c:pt idx="68">
                  <c:v>Myeloperoxide-IgG-Autoantikörper (0=negativ, 1=positiv)</c:v>
                </c:pt>
                <c:pt idx="69">
                  <c:v>Lebercytosol-Antikörper (0=negativ, 1=positiv)</c:v>
                </c:pt>
                <c:pt idx="70">
                  <c:v>zirkulierende Immunkomplexe (0=negativ, 1=positiv)</c:v>
                </c:pt>
                <c:pt idx="71">
                  <c:v>Zytomegalievirus (0=negativ, 1=positiv)</c:v>
                </c:pt>
                <c:pt idx="72">
                  <c:v>HIV (0=negativ, 1=positiv) -&gt; siehe zusätzlich anamnese</c:v>
                </c:pt>
                <c:pt idx="73">
                  <c:v>HIV-Antikörper (0=negativ, 1=positiv)</c:v>
                </c:pt>
                <c:pt idx="74">
                  <c:v>Herpes simplex Virus IgM (0=negativ, 1=positiv)</c:v>
                </c:pt>
                <c:pt idx="75">
                  <c:v>Herpes simplex Virus IgG (0=negativ, 1=positiv)</c:v>
                </c:pt>
                <c:pt idx="76">
                  <c:v>HHV 6 (0=negativ, 1=positiv)</c:v>
                </c:pt>
                <c:pt idx="77">
                  <c:v>Masern IgM (0=negativ, 1=positiv)</c:v>
                </c:pt>
                <c:pt idx="78">
                  <c:v>Röteln IgM (0=negativ, 1=positiv)</c:v>
                </c:pt>
                <c:pt idx="79">
                  <c:v>Mycoplasmatische Antikörper (0=negativ, 1=positiv)</c:v>
                </c:pt>
                <c:pt idx="80">
                  <c:v>Mycoplasmen-IgM (0=negativ, 1=positiv)</c:v>
                </c:pt>
                <c:pt idx="81">
                  <c:v>Mycoplasmen-IgG (0=negativ, 1=positiv)</c:v>
                </c:pt>
                <c:pt idx="82">
                  <c:v>Chlamydien-AK (0=negativ, 1=positiv)</c:v>
                </c:pt>
                <c:pt idx="83">
                  <c:v>Parvovirus B19 (0=negativ, 1=positiv)</c:v>
                </c:pt>
                <c:pt idx="84">
                  <c:v>Adenovirus</c:v>
                </c:pt>
                <c:pt idx="85">
                  <c:v>Picomavirus</c:v>
                </c:pt>
                <c:pt idx="86">
                  <c:v>ECHO-Virus (0=negativ, 1=positiv)</c:v>
                </c:pt>
                <c:pt idx="87">
                  <c:v>Borellien-IgM (0=negativ, 1=positiv)</c:v>
                </c:pt>
                <c:pt idx="88">
                  <c:v>Coxsackie-Virus-Antikörper (0=negativ, 1=positiv)</c:v>
                </c:pt>
                <c:pt idx="89">
                  <c:v>Hepatitis A-Antikörper (0=negativ, 1=positiv)</c:v>
                </c:pt>
                <c:pt idx="90">
                  <c:v>Hepatitis B-Antikörper (0=negativ, 1=positiv)</c:v>
                </c:pt>
                <c:pt idx="91">
                  <c:v>Hepatitis C-Antikörper (0=negativ, 1=positiv)</c:v>
                </c:pt>
                <c:pt idx="92">
                  <c:v>Hepatitis D-Antikörper (0=negativ, 1=positiv)</c:v>
                </c:pt>
                <c:pt idx="93">
                  <c:v>Hepatitis E-Antikörper (0=negativ, 1=positiv)</c:v>
                </c:pt>
                <c:pt idx="94">
                  <c:v>Hepatitis G-Antikörper (0=negativ, 1=positiv)</c:v>
                </c:pt>
                <c:pt idx="95">
                  <c:v>Anti-HAV-IgG (0=negativ, 1=positiv)</c:v>
                </c:pt>
                <c:pt idx="96">
                  <c:v>Anti-HAV-IgM (0=negativ, 1=positiv)</c:v>
                </c:pt>
                <c:pt idx="97">
                  <c:v>Anti-HCV-IgG (0=negativ, 1=positiv)</c:v>
                </c:pt>
                <c:pt idx="98">
                  <c:v>Anti-HCV-IgM (0=negativ, 1=positiv)</c:v>
                </c:pt>
                <c:pt idx="99">
                  <c:v>HCV-RNA (0=negativ, 1=positiv)</c:v>
                </c:pt>
                <c:pt idx="100">
                  <c:v>Anti-HEV-IgM (0=negativ, 1=positiv)</c:v>
                </c:pt>
                <c:pt idx="101">
                  <c:v>HBs-Antikörper (0=negativ, 1=positiv)</c:v>
                </c:pt>
                <c:pt idx="102">
                  <c:v>HBsAg (0=negativ, 1=positiv)</c:v>
                </c:pt>
                <c:pt idx="103">
                  <c:v>HBc-Antikörper (0=negativ, 1=positiv)</c:v>
                </c:pt>
                <c:pt idx="104">
                  <c:v>HBc-Ag (0=negativ, 1=positiv)</c:v>
                </c:pt>
                <c:pt idx="105">
                  <c:v>Anti-HBc-IgG (0=negativ, 1=positiv)</c:v>
                </c:pt>
                <c:pt idx="106">
                  <c:v>Anti-HBc-IgM (0=negativ, 1=positiv)</c:v>
                </c:pt>
                <c:pt idx="107">
                  <c:v>HBe antikörper (0=negativ, 1=positiv)</c:v>
                </c:pt>
                <c:pt idx="108">
                  <c:v>HBeAg (0=negativ, 1=positiv)</c:v>
                </c:pt>
                <c:pt idx="109">
                  <c:v>HBV-DNA (0=negativ, 1=positiv)</c:v>
                </c:pt>
                <c:pt idx="110">
                  <c:v>HBV-VCA-IgG (0=negativ, 1=positiv)</c:v>
                </c:pt>
                <c:pt idx="111">
                  <c:v>Hepatitis C-RNA (0=negativ, 1=positiv)</c:v>
                </c:pt>
                <c:pt idx="112">
                  <c:v>Hepatitis G-RNA (0=negativ, 1=positiv)</c:v>
                </c:pt>
                <c:pt idx="113">
                  <c:v>Anti-Leber microsomaler Antikörper (0=negativ, 1=positiv)</c:v>
                </c:pt>
                <c:pt idx="114">
                  <c:v>Anti-Niere microsomaler Antikörper (0=negativ, 1=positiv)</c:v>
                </c:pt>
                <c:pt idx="115">
                  <c:v>CCP-Autoantikörper (0=negativ, 1=positiv)</c:v>
                </c:pt>
                <c:pt idx="116">
                  <c:v>HLA B51 (0=negativ, 1=positiv)</c:v>
                </c:pt>
                <c:pt idx="117">
                  <c:v>psoriatic specific Antigen (PSA) (0=negativ, 1=positiv)</c:v>
                </c:pt>
                <c:pt idx="118">
                  <c:v>Toxoplasmose</c:v>
                </c:pt>
                <c:pt idx="119">
                  <c:v>Eschinokokken-serology</c:v>
                </c:pt>
                <c:pt idx="120">
                  <c:v>Rickettsia conori IgG</c:v>
                </c:pt>
                <c:pt idx="121">
                  <c:v>Rickettsia conori IgM</c:v>
                </c:pt>
                <c:pt idx="122">
                  <c:v>Rickettsia typhi IgG</c:v>
                </c:pt>
                <c:pt idx="123">
                  <c:v>Rickettsia typhi IgM</c:v>
                </c:pt>
                <c:pt idx="124">
                  <c:v>Rickettsia tsutsugamushi IgG</c:v>
                </c:pt>
                <c:pt idx="125">
                  <c:v>Rickettsia tsutsugamushi IgM</c:v>
                </c:pt>
                <c:pt idx="126">
                  <c:v>Leptospiren AK</c:v>
                </c:pt>
                <c:pt idx="127">
                  <c:v>Fasciola hepatica</c:v>
                </c:pt>
                <c:pt idx="128">
                  <c:v>Coombs-Test</c:v>
                </c:pt>
              </c:strCache>
            </c:strRef>
          </c:cat>
          <c:val>
            <c:numRef>
              <c:f>'Diagramms quant'!$C$4:$EA$4</c:f>
              <c:numCache>
                <c:formatCode>General</c:formatCode>
                <c:ptCount val="1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12</c:v>
                </c:pt>
                <c:pt idx="12">
                  <c:v>6</c:v>
                </c:pt>
                <c:pt idx="13">
                  <c:v>9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11</c:v>
                </c:pt>
                <c:pt idx="24">
                  <c:v>1</c:v>
                </c:pt>
                <c:pt idx="25">
                  <c:v>5</c:v>
                </c:pt>
                <c:pt idx="26">
                  <c:v>5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6</c:v>
                </c:pt>
                <c:pt idx="61">
                  <c:v>2</c:v>
                </c:pt>
                <c:pt idx="62">
                  <c:v>2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3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17</c:v>
                </c:pt>
                <c:pt idx="90">
                  <c:v>15</c:v>
                </c:pt>
                <c:pt idx="91">
                  <c:v>17</c:v>
                </c:pt>
                <c:pt idx="92">
                  <c:v>1</c:v>
                </c:pt>
                <c:pt idx="93">
                  <c:v>4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4</c:v>
                </c:pt>
                <c:pt idx="102">
                  <c:v>10</c:v>
                </c:pt>
                <c:pt idx="103">
                  <c:v>4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0-4261-8C63-AD92AD7E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197903"/>
        <c:axId val="241198383"/>
      </c:barChart>
      <c:catAx>
        <c:axId val="24119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1198383"/>
        <c:crosses val="autoZero"/>
        <c:auto val="1"/>
        <c:lblAlgn val="ctr"/>
        <c:lblOffset val="100"/>
        <c:noMultiLvlLbl val="0"/>
      </c:catAx>
      <c:valAx>
        <c:axId val="2411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119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Amount of measurements for antibodies in titer-group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'Diagramms quant'!$B$43</c:f>
              <c:strCache>
                <c:ptCount val="1"/>
                <c:pt idx="0">
                  <c:v>Leber_Diclo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quant'!$C$42:$DC$42</c:f>
              <c:strCache>
                <c:ptCount val="105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Mycoplasmen-Antikörper (0=negativ, 1=positiv)</c:v>
                </c:pt>
                <c:pt idx="20">
                  <c:v>Syphilis (0=negativ, 1=positiv)</c:v>
                </c:pt>
                <c:pt idx="21">
                  <c:v>Autoimmun-Antikörper (0=negativ, 1=positiv)</c:v>
                </c:pt>
                <c:pt idx="22">
                  <c:v>ANA(Antinukleäre Antikörper)-Datum umbekannt (0=negativ (≤ 1:80), 1=positiv)</c:v>
                </c:pt>
                <c:pt idx="23">
                  <c:v>ANC (Antineurophiler cytoplastischer Antikörper) (0=negativ, 1=positiv)</c:v>
                </c:pt>
                <c:pt idx="24">
                  <c:v>c-ANCA (0=negativ, 1=positiv</c:v>
                </c:pt>
                <c:pt idx="25">
                  <c:v>p-ANCA (0=negativ, 1=positiv</c:v>
                </c:pt>
                <c:pt idx="26">
                  <c:v>ENA (Extrahierbares nukleäres Antigen) (0=negativ, 1=positiv)</c:v>
                </c:pt>
                <c:pt idx="27">
                  <c:v>Anti-Ro (SSA(Ro)-Antikörper)-Datum unbekannt (0=negativ, 1=positiv)</c:v>
                </c:pt>
                <c:pt idx="28">
                  <c:v>Anti-Ro-52 (SSA(Ro)-Antikörper)-Datum unbekannt (0=negativ, 1=positiv)</c:v>
                </c:pt>
                <c:pt idx="29">
                  <c:v>SSA-Antigen (0=negativ, 1=positiv)</c:v>
                </c:pt>
                <c:pt idx="30">
                  <c:v>Anti-La (SSB(La)-Antikörper)-Datum unbekannt (0=negativ, 1=positiv)</c:v>
                </c:pt>
                <c:pt idx="31">
                  <c:v>SSB-Antigen (0=negativ, 1=positiv)</c:v>
                </c:pt>
                <c:pt idx="32">
                  <c:v>SCL-Antikörper (0=negativ, 1=positiv)</c:v>
                </c:pt>
                <c:pt idx="33">
                  <c:v>MPO-Autoantikörper (0=negativ, 1=positiv)</c:v>
                </c:pt>
                <c:pt idx="34">
                  <c:v>Centromer-Antikörper (0=negativ, 1=positiv)</c:v>
                </c:pt>
                <c:pt idx="35">
                  <c:v>Jo-l-Antikörper (0=negativ, 1=positiv)</c:v>
                </c:pt>
                <c:pt idx="36">
                  <c:v>Antihistonantikörper-Datum unbekannt (0=negativ, 1=positiv)</c:v>
                </c:pt>
                <c:pt idx="37">
                  <c:v>DsDNA-Antikörper-Datum unbekannt (0=negativ, 1=positiv)</c:v>
                </c:pt>
                <c:pt idx="38">
                  <c:v>Anti-DNS-Doppelstrang-Antikörper (0=negativ, 1=positiv)</c:v>
                </c:pt>
                <c:pt idx="39">
                  <c:v>Anti-glatte Muskulatur-Antikörper -Datum unbekannt(0=negativ, 1=positiv)</c:v>
                </c:pt>
                <c:pt idx="40">
                  <c:v>RNP-Antikörper (0=negativ, 1=positiv)</c:v>
                </c:pt>
                <c:pt idx="41">
                  <c:v>RNP-Antigen (0=negativ, 1=positiv)</c:v>
                </c:pt>
                <c:pt idx="42">
                  <c:v>Anti-GBM-Antikörper (0=negativ, 1=positiv)</c:v>
                </c:pt>
                <c:pt idx="43">
                  <c:v>Anti-C3d-Anikörper (0=negativ, 1=positiv)</c:v>
                </c:pt>
                <c:pt idx="44">
                  <c:v>Ros2-Antikörper (0=negativ, 1=positiv)</c:v>
                </c:pt>
                <c:pt idx="45">
                  <c:v>SP-Antikörper (0=negativ, 1=positiv)</c:v>
                </c:pt>
                <c:pt idx="46">
                  <c:v>PML-Antikörper (0=negativ, 1=positiv)</c:v>
                </c:pt>
                <c:pt idx="47">
                  <c:v>gp210-Antikörper (0=negativ, 1=positiv)</c:v>
                </c:pt>
                <c:pt idx="48">
                  <c:v>intrinsikfaktor-Antikörper (0=negativ, 1=positiv)</c:v>
                </c:pt>
                <c:pt idx="49">
                  <c:v>SLA-Autoantikörper (0=negativ, 1=positiv)</c:v>
                </c:pt>
                <c:pt idx="50">
                  <c:v>SLA-LP-Autoantikörper (0=negativ, 1=positiv)</c:v>
                </c:pt>
                <c:pt idx="51">
                  <c:v>LKM1-Autoantikörper (0=negativ, 1=positiv)</c:v>
                </c:pt>
                <c:pt idx="52">
                  <c:v>LKM2-Autoantikörper (0=negativ, 1=positiv)</c:v>
                </c:pt>
                <c:pt idx="53">
                  <c:v>LC1-Autoantikörper (0=negativ, 1=positiv)</c:v>
                </c:pt>
                <c:pt idx="54">
                  <c:v>AMA (Antimitochondrialer Autoantikörper (0=negativ, 1=positiv)</c:v>
                </c:pt>
                <c:pt idx="55">
                  <c:v>AMA-M2 (Antimitochondrialer Autoantikörper (0=negativ, 1=positiv)</c:v>
                </c:pt>
                <c:pt idx="56">
                  <c:v>ASMA (0=negativ, 1=positiv)</c:v>
                </c:pt>
                <c:pt idx="57">
                  <c:v>ASM-Autoantikörper (0=negativ, 1=positiv)</c:v>
                </c:pt>
                <c:pt idx="58">
                  <c:v>SM-Antigen (0=negativ, 1=positiv)</c:v>
                </c:pt>
                <c:pt idx="59">
                  <c:v>SP100-Antikörper (0=negativ, 1=positiv)</c:v>
                </c:pt>
                <c:pt idx="60">
                  <c:v>Parietalzell-Autoantikörper (PCA) (0=negativ, 1=positiv)</c:v>
                </c:pt>
                <c:pt idx="61">
                  <c:v>Proteinkinase-Autoantikörper (0=negativ, 1=positiv)</c:v>
                </c:pt>
                <c:pt idx="62">
                  <c:v>Myeloperoxide-IgG-Autoantikörper (0=negativ, 1=positiv)</c:v>
                </c:pt>
                <c:pt idx="63">
                  <c:v>Lebercytosol-Antikörper (0=negativ, 1=positiv)</c:v>
                </c:pt>
                <c:pt idx="64">
                  <c:v>zirkulierende Immunkomplexe (0=negativ, 1=positiv)</c:v>
                </c:pt>
                <c:pt idx="65">
                  <c:v>Zytomegalievirus (0=negativ, 1=positiv)</c:v>
                </c:pt>
                <c:pt idx="66">
                  <c:v>HIV (0=negativ, 1=positiv) -&gt; siehe zusätzlich anamnese</c:v>
                </c:pt>
                <c:pt idx="67">
                  <c:v>HIV-Antikörper (0=negativ, 1=positiv)</c:v>
                </c:pt>
                <c:pt idx="68">
                  <c:v>Herpes simplex Virus IgM (0=negativ, 1=positiv)</c:v>
                </c:pt>
                <c:pt idx="69">
                  <c:v>Herpes simplex Virus IgG (0=negativ, 1=positiv)</c:v>
                </c:pt>
                <c:pt idx="70">
                  <c:v>HHV 6 (0=negativ, 1=positiv)</c:v>
                </c:pt>
                <c:pt idx="71">
                  <c:v>Masern IgM (0=negativ, 1=positiv)</c:v>
                </c:pt>
                <c:pt idx="72">
                  <c:v>Röteln IgM (0=negativ, 1=positiv)</c:v>
                </c:pt>
                <c:pt idx="73">
                  <c:v>Mycoplasmatische Antikörper (0=negativ, 1=positiv)</c:v>
                </c:pt>
                <c:pt idx="74">
                  <c:v>Parvovirus B19 (0=negativ, 1=positiv)</c:v>
                </c:pt>
                <c:pt idx="75">
                  <c:v>ECHO-Virus (0=negativ, 1=positiv)</c:v>
                </c:pt>
                <c:pt idx="76">
                  <c:v>Borellien-IgM (0=negativ, 1=positiv)</c:v>
                </c:pt>
                <c:pt idx="77">
                  <c:v>Coxsackie-Virus-Antikörper (0=negativ, 1=positiv)</c:v>
                </c:pt>
                <c:pt idx="78">
                  <c:v>Hepatitis A-Antikörper (0=negativ, 1=positiv)</c:v>
                </c:pt>
                <c:pt idx="79">
                  <c:v>Hepatitis B-Antikörper (0=negativ, 1=positiv)</c:v>
                </c:pt>
                <c:pt idx="80">
                  <c:v>Hepatitis C-Antikörper (0=negativ, 1=positiv)</c:v>
                </c:pt>
                <c:pt idx="81">
                  <c:v>Hepatitis D-Antikörper (0=negativ, 1=positiv)</c:v>
                </c:pt>
                <c:pt idx="82">
                  <c:v>Hepatitis E-Antikörper (0=negativ, 1=positiv)</c:v>
                </c:pt>
                <c:pt idx="83">
                  <c:v>Anti-HAV-IgG (0=negativ, 1=positiv)</c:v>
                </c:pt>
                <c:pt idx="84">
                  <c:v>Anti-HAV-IgM (0=negativ, 1=positiv)</c:v>
                </c:pt>
                <c:pt idx="85">
                  <c:v>Anti-HCV-IgG (0=negativ, 1=positiv)</c:v>
                </c:pt>
                <c:pt idx="86">
                  <c:v>Anti-HCV-IgM (0=negativ, 1=positiv)</c:v>
                </c:pt>
                <c:pt idx="87">
                  <c:v>HCV-RNA (0=negativ, 1=positiv)</c:v>
                </c:pt>
                <c:pt idx="88">
                  <c:v>Anti-HEV-IgM (0=negativ, 1=positiv)</c:v>
                </c:pt>
                <c:pt idx="89">
                  <c:v>HBs-Antikörper (0=negativ, 1=positiv)</c:v>
                </c:pt>
                <c:pt idx="90">
                  <c:v>HBsAg (0=negativ, 1=positiv)</c:v>
                </c:pt>
                <c:pt idx="91">
                  <c:v>HBc-Antikörper (0=negativ, 1=positiv)</c:v>
                </c:pt>
                <c:pt idx="92">
                  <c:v>Anti-HBc-IgG (0=negativ, 1=positiv)</c:v>
                </c:pt>
                <c:pt idx="93">
                  <c:v>Anti-HBc-IgM (0=negativ, 1=positiv)</c:v>
                </c:pt>
                <c:pt idx="94">
                  <c:v>HBe antikörper (0=negativ, 1=positiv)</c:v>
                </c:pt>
                <c:pt idx="95">
                  <c:v>HBeAg (0=negativ, 1=positiv)</c:v>
                </c:pt>
                <c:pt idx="96">
                  <c:v>HBV-DNA (0=negativ, 1=positiv)</c:v>
                </c:pt>
                <c:pt idx="97">
                  <c:v>HBV-VCA-IgG (0=negativ, 1=positiv)</c:v>
                </c:pt>
                <c:pt idx="98">
                  <c:v>Hepatitis C-RNA (0=negativ, 1=positiv)</c:v>
                </c:pt>
                <c:pt idx="99">
                  <c:v>Hepatitis G-RNA (0=negativ, 1=positiv)</c:v>
                </c:pt>
                <c:pt idx="100">
                  <c:v>Anti-Leber microsomaler Antikörper (0=negativ, 1=positiv)</c:v>
                </c:pt>
                <c:pt idx="101">
                  <c:v>Anti-Niere microsomaler Antikörper (0=negativ, 1=positiv)</c:v>
                </c:pt>
                <c:pt idx="102">
                  <c:v>CCP-Autoantikörper (0=negativ, 1=positiv)</c:v>
                </c:pt>
                <c:pt idx="103">
                  <c:v>HLA B51 (0=negativ, 1=positiv)</c:v>
                </c:pt>
                <c:pt idx="104">
                  <c:v>psoriatic specific Antigen (PSA) (0=negativ, 1=positiv)</c:v>
                </c:pt>
              </c:strCache>
            </c:strRef>
          </c:cat>
          <c:val>
            <c:numRef>
              <c:f>'Diagramms quant'!$C$43:$DC$43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3-4253-BFF8-77759BDFCD3F}"/>
            </c:ext>
          </c:extLst>
        </c:ser>
        <c:ser>
          <c:idx val="1"/>
          <c:order val="1"/>
          <c:tx>
            <c:strRef>
              <c:f>'Diagramms quant'!$B$44</c:f>
              <c:strCache>
                <c:ptCount val="1"/>
                <c:pt idx="0">
                  <c:v>Leber_Ibu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quant'!$C$42:$DC$42</c:f>
              <c:strCache>
                <c:ptCount val="105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Mycoplasmen-Antikörper (0=negativ, 1=positiv)</c:v>
                </c:pt>
                <c:pt idx="20">
                  <c:v>Syphilis (0=negativ, 1=positiv)</c:v>
                </c:pt>
                <c:pt idx="21">
                  <c:v>Autoimmun-Antikörper (0=negativ, 1=positiv)</c:v>
                </c:pt>
                <c:pt idx="22">
                  <c:v>ANA(Antinukleäre Antikörper)-Datum umbekannt (0=negativ (≤ 1:80), 1=positiv)</c:v>
                </c:pt>
                <c:pt idx="23">
                  <c:v>ANC (Antineurophiler cytoplastischer Antikörper) (0=negativ, 1=positiv)</c:v>
                </c:pt>
                <c:pt idx="24">
                  <c:v>c-ANCA (0=negativ, 1=positiv</c:v>
                </c:pt>
                <c:pt idx="25">
                  <c:v>p-ANCA (0=negativ, 1=positiv</c:v>
                </c:pt>
                <c:pt idx="26">
                  <c:v>ENA (Extrahierbares nukleäres Antigen) (0=negativ, 1=positiv)</c:v>
                </c:pt>
                <c:pt idx="27">
                  <c:v>Anti-Ro (SSA(Ro)-Antikörper)-Datum unbekannt (0=negativ, 1=positiv)</c:v>
                </c:pt>
                <c:pt idx="28">
                  <c:v>Anti-Ro-52 (SSA(Ro)-Antikörper)-Datum unbekannt (0=negativ, 1=positiv)</c:v>
                </c:pt>
                <c:pt idx="29">
                  <c:v>SSA-Antigen (0=negativ, 1=positiv)</c:v>
                </c:pt>
                <c:pt idx="30">
                  <c:v>Anti-La (SSB(La)-Antikörper)-Datum unbekannt (0=negativ, 1=positiv)</c:v>
                </c:pt>
                <c:pt idx="31">
                  <c:v>SSB-Antigen (0=negativ, 1=positiv)</c:v>
                </c:pt>
                <c:pt idx="32">
                  <c:v>SCL-Antikörper (0=negativ, 1=positiv)</c:v>
                </c:pt>
                <c:pt idx="33">
                  <c:v>MPO-Autoantikörper (0=negativ, 1=positiv)</c:v>
                </c:pt>
                <c:pt idx="34">
                  <c:v>Centromer-Antikörper (0=negativ, 1=positiv)</c:v>
                </c:pt>
                <c:pt idx="35">
                  <c:v>Jo-l-Antikörper (0=negativ, 1=positiv)</c:v>
                </c:pt>
                <c:pt idx="36">
                  <c:v>Antihistonantikörper-Datum unbekannt (0=negativ, 1=positiv)</c:v>
                </c:pt>
                <c:pt idx="37">
                  <c:v>DsDNA-Antikörper-Datum unbekannt (0=negativ, 1=positiv)</c:v>
                </c:pt>
                <c:pt idx="38">
                  <c:v>Anti-DNS-Doppelstrang-Antikörper (0=negativ, 1=positiv)</c:v>
                </c:pt>
                <c:pt idx="39">
                  <c:v>Anti-glatte Muskulatur-Antikörper -Datum unbekannt(0=negativ, 1=positiv)</c:v>
                </c:pt>
                <c:pt idx="40">
                  <c:v>RNP-Antikörper (0=negativ, 1=positiv)</c:v>
                </c:pt>
                <c:pt idx="41">
                  <c:v>RNP-Antigen (0=negativ, 1=positiv)</c:v>
                </c:pt>
                <c:pt idx="42">
                  <c:v>Anti-GBM-Antikörper (0=negativ, 1=positiv)</c:v>
                </c:pt>
                <c:pt idx="43">
                  <c:v>Anti-C3d-Anikörper (0=negativ, 1=positiv)</c:v>
                </c:pt>
                <c:pt idx="44">
                  <c:v>Ros2-Antikörper (0=negativ, 1=positiv)</c:v>
                </c:pt>
                <c:pt idx="45">
                  <c:v>SP-Antikörper (0=negativ, 1=positiv)</c:v>
                </c:pt>
                <c:pt idx="46">
                  <c:v>PML-Antikörper (0=negativ, 1=positiv)</c:v>
                </c:pt>
                <c:pt idx="47">
                  <c:v>gp210-Antikörper (0=negativ, 1=positiv)</c:v>
                </c:pt>
                <c:pt idx="48">
                  <c:v>intrinsikfaktor-Antikörper (0=negativ, 1=positiv)</c:v>
                </c:pt>
                <c:pt idx="49">
                  <c:v>SLA-Autoantikörper (0=negativ, 1=positiv)</c:v>
                </c:pt>
                <c:pt idx="50">
                  <c:v>SLA-LP-Autoantikörper (0=negativ, 1=positiv)</c:v>
                </c:pt>
                <c:pt idx="51">
                  <c:v>LKM1-Autoantikörper (0=negativ, 1=positiv)</c:v>
                </c:pt>
                <c:pt idx="52">
                  <c:v>LKM2-Autoantikörper (0=negativ, 1=positiv)</c:v>
                </c:pt>
                <c:pt idx="53">
                  <c:v>LC1-Autoantikörper (0=negativ, 1=positiv)</c:v>
                </c:pt>
                <c:pt idx="54">
                  <c:v>AMA (Antimitochondrialer Autoantikörper (0=negativ, 1=positiv)</c:v>
                </c:pt>
                <c:pt idx="55">
                  <c:v>AMA-M2 (Antimitochondrialer Autoantikörper (0=negativ, 1=positiv)</c:v>
                </c:pt>
                <c:pt idx="56">
                  <c:v>ASMA (0=negativ, 1=positiv)</c:v>
                </c:pt>
                <c:pt idx="57">
                  <c:v>ASM-Autoantikörper (0=negativ, 1=positiv)</c:v>
                </c:pt>
                <c:pt idx="58">
                  <c:v>SM-Antigen (0=negativ, 1=positiv)</c:v>
                </c:pt>
                <c:pt idx="59">
                  <c:v>SP100-Antikörper (0=negativ, 1=positiv)</c:v>
                </c:pt>
                <c:pt idx="60">
                  <c:v>Parietalzell-Autoantikörper (PCA) (0=negativ, 1=positiv)</c:v>
                </c:pt>
                <c:pt idx="61">
                  <c:v>Proteinkinase-Autoantikörper (0=negativ, 1=positiv)</c:v>
                </c:pt>
                <c:pt idx="62">
                  <c:v>Myeloperoxide-IgG-Autoantikörper (0=negativ, 1=positiv)</c:v>
                </c:pt>
                <c:pt idx="63">
                  <c:v>Lebercytosol-Antikörper (0=negativ, 1=positiv)</c:v>
                </c:pt>
                <c:pt idx="64">
                  <c:v>zirkulierende Immunkomplexe (0=negativ, 1=positiv)</c:v>
                </c:pt>
                <c:pt idx="65">
                  <c:v>Zytomegalievirus (0=negativ, 1=positiv)</c:v>
                </c:pt>
                <c:pt idx="66">
                  <c:v>HIV (0=negativ, 1=positiv) -&gt; siehe zusätzlich anamnese</c:v>
                </c:pt>
                <c:pt idx="67">
                  <c:v>HIV-Antikörper (0=negativ, 1=positiv)</c:v>
                </c:pt>
                <c:pt idx="68">
                  <c:v>Herpes simplex Virus IgM (0=negativ, 1=positiv)</c:v>
                </c:pt>
                <c:pt idx="69">
                  <c:v>Herpes simplex Virus IgG (0=negativ, 1=positiv)</c:v>
                </c:pt>
                <c:pt idx="70">
                  <c:v>HHV 6 (0=negativ, 1=positiv)</c:v>
                </c:pt>
                <c:pt idx="71">
                  <c:v>Masern IgM (0=negativ, 1=positiv)</c:v>
                </c:pt>
                <c:pt idx="72">
                  <c:v>Röteln IgM (0=negativ, 1=positiv)</c:v>
                </c:pt>
                <c:pt idx="73">
                  <c:v>Mycoplasmatische Antikörper (0=negativ, 1=positiv)</c:v>
                </c:pt>
                <c:pt idx="74">
                  <c:v>Parvovirus B19 (0=negativ, 1=positiv)</c:v>
                </c:pt>
                <c:pt idx="75">
                  <c:v>ECHO-Virus (0=negativ, 1=positiv)</c:v>
                </c:pt>
                <c:pt idx="76">
                  <c:v>Borellien-IgM (0=negativ, 1=positiv)</c:v>
                </c:pt>
                <c:pt idx="77">
                  <c:v>Coxsackie-Virus-Antikörper (0=negativ, 1=positiv)</c:v>
                </c:pt>
                <c:pt idx="78">
                  <c:v>Hepatitis A-Antikörper (0=negativ, 1=positiv)</c:v>
                </c:pt>
                <c:pt idx="79">
                  <c:v>Hepatitis B-Antikörper (0=negativ, 1=positiv)</c:v>
                </c:pt>
                <c:pt idx="80">
                  <c:v>Hepatitis C-Antikörper (0=negativ, 1=positiv)</c:v>
                </c:pt>
                <c:pt idx="81">
                  <c:v>Hepatitis D-Antikörper (0=negativ, 1=positiv)</c:v>
                </c:pt>
                <c:pt idx="82">
                  <c:v>Hepatitis E-Antikörper (0=negativ, 1=positiv)</c:v>
                </c:pt>
                <c:pt idx="83">
                  <c:v>Anti-HAV-IgG (0=negativ, 1=positiv)</c:v>
                </c:pt>
                <c:pt idx="84">
                  <c:v>Anti-HAV-IgM (0=negativ, 1=positiv)</c:v>
                </c:pt>
                <c:pt idx="85">
                  <c:v>Anti-HCV-IgG (0=negativ, 1=positiv)</c:v>
                </c:pt>
                <c:pt idx="86">
                  <c:v>Anti-HCV-IgM (0=negativ, 1=positiv)</c:v>
                </c:pt>
                <c:pt idx="87">
                  <c:v>HCV-RNA (0=negativ, 1=positiv)</c:v>
                </c:pt>
                <c:pt idx="88">
                  <c:v>Anti-HEV-IgM (0=negativ, 1=positiv)</c:v>
                </c:pt>
                <c:pt idx="89">
                  <c:v>HBs-Antikörper (0=negativ, 1=positiv)</c:v>
                </c:pt>
                <c:pt idx="90">
                  <c:v>HBsAg (0=negativ, 1=positiv)</c:v>
                </c:pt>
                <c:pt idx="91">
                  <c:v>HBc-Antikörper (0=negativ, 1=positiv)</c:v>
                </c:pt>
                <c:pt idx="92">
                  <c:v>Anti-HBc-IgG (0=negativ, 1=positiv)</c:v>
                </c:pt>
                <c:pt idx="93">
                  <c:v>Anti-HBc-IgM (0=negativ, 1=positiv)</c:v>
                </c:pt>
                <c:pt idx="94">
                  <c:v>HBe antikörper (0=negativ, 1=positiv)</c:v>
                </c:pt>
                <c:pt idx="95">
                  <c:v>HBeAg (0=negativ, 1=positiv)</c:v>
                </c:pt>
                <c:pt idx="96">
                  <c:v>HBV-DNA (0=negativ, 1=positiv)</c:v>
                </c:pt>
                <c:pt idx="97">
                  <c:v>HBV-VCA-IgG (0=negativ, 1=positiv)</c:v>
                </c:pt>
                <c:pt idx="98">
                  <c:v>Hepatitis C-RNA (0=negativ, 1=positiv)</c:v>
                </c:pt>
                <c:pt idx="99">
                  <c:v>Hepatitis G-RNA (0=negativ, 1=positiv)</c:v>
                </c:pt>
                <c:pt idx="100">
                  <c:v>Anti-Leber microsomaler Antikörper (0=negativ, 1=positiv)</c:v>
                </c:pt>
                <c:pt idx="101">
                  <c:v>Anti-Niere microsomaler Antikörper (0=negativ, 1=positiv)</c:v>
                </c:pt>
                <c:pt idx="102">
                  <c:v>CCP-Autoantikörper (0=negativ, 1=positiv)</c:v>
                </c:pt>
                <c:pt idx="103">
                  <c:v>HLA B51 (0=negativ, 1=positiv)</c:v>
                </c:pt>
                <c:pt idx="104">
                  <c:v>psoriatic specific Antigen (PSA) (0=negativ, 1=positiv)</c:v>
                </c:pt>
              </c:strCache>
            </c:strRef>
          </c:cat>
          <c:val>
            <c:numRef>
              <c:f>'Diagramms quant'!$C$44:$DC$44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3-4253-BFF8-77759BDFCD3F}"/>
            </c:ext>
          </c:extLst>
        </c:ser>
        <c:ser>
          <c:idx val="2"/>
          <c:order val="2"/>
          <c:tx>
            <c:strRef>
              <c:f>'Diagramms quant'!$B$45</c:f>
              <c:strCache>
                <c:ptCount val="1"/>
                <c:pt idx="0">
                  <c:v>Leber_Para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'Diagramms quant'!$C$42:$DC$42</c:f>
              <c:strCache>
                <c:ptCount val="105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Mycoplasmen-Antikörper (0=negativ, 1=positiv)</c:v>
                </c:pt>
                <c:pt idx="20">
                  <c:v>Syphilis (0=negativ, 1=positiv)</c:v>
                </c:pt>
                <c:pt idx="21">
                  <c:v>Autoimmun-Antikörper (0=negativ, 1=positiv)</c:v>
                </c:pt>
                <c:pt idx="22">
                  <c:v>ANA(Antinukleäre Antikörper)-Datum umbekannt (0=negativ (≤ 1:80), 1=positiv)</c:v>
                </c:pt>
                <c:pt idx="23">
                  <c:v>ANC (Antineurophiler cytoplastischer Antikörper) (0=negativ, 1=positiv)</c:v>
                </c:pt>
                <c:pt idx="24">
                  <c:v>c-ANCA (0=negativ, 1=positiv</c:v>
                </c:pt>
                <c:pt idx="25">
                  <c:v>p-ANCA (0=negativ, 1=positiv</c:v>
                </c:pt>
                <c:pt idx="26">
                  <c:v>ENA (Extrahierbares nukleäres Antigen) (0=negativ, 1=positiv)</c:v>
                </c:pt>
                <c:pt idx="27">
                  <c:v>Anti-Ro (SSA(Ro)-Antikörper)-Datum unbekannt (0=negativ, 1=positiv)</c:v>
                </c:pt>
                <c:pt idx="28">
                  <c:v>Anti-Ro-52 (SSA(Ro)-Antikörper)-Datum unbekannt (0=negativ, 1=positiv)</c:v>
                </c:pt>
                <c:pt idx="29">
                  <c:v>SSA-Antigen (0=negativ, 1=positiv)</c:v>
                </c:pt>
                <c:pt idx="30">
                  <c:v>Anti-La (SSB(La)-Antikörper)-Datum unbekannt (0=negativ, 1=positiv)</c:v>
                </c:pt>
                <c:pt idx="31">
                  <c:v>SSB-Antigen (0=negativ, 1=positiv)</c:v>
                </c:pt>
                <c:pt idx="32">
                  <c:v>SCL-Antikörper (0=negativ, 1=positiv)</c:v>
                </c:pt>
                <c:pt idx="33">
                  <c:v>MPO-Autoantikörper (0=negativ, 1=positiv)</c:v>
                </c:pt>
                <c:pt idx="34">
                  <c:v>Centromer-Antikörper (0=negativ, 1=positiv)</c:v>
                </c:pt>
                <c:pt idx="35">
                  <c:v>Jo-l-Antikörper (0=negativ, 1=positiv)</c:v>
                </c:pt>
                <c:pt idx="36">
                  <c:v>Antihistonantikörper-Datum unbekannt (0=negativ, 1=positiv)</c:v>
                </c:pt>
                <c:pt idx="37">
                  <c:v>DsDNA-Antikörper-Datum unbekannt (0=negativ, 1=positiv)</c:v>
                </c:pt>
                <c:pt idx="38">
                  <c:v>Anti-DNS-Doppelstrang-Antikörper (0=negativ, 1=positiv)</c:v>
                </c:pt>
                <c:pt idx="39">
                  <c:v>Anti-glatte Muskulatur-Antikörper -Datum unbekannt(0=negativ, 1=positiv)</c:v>
                </c:pt>
                <c:pt idx="40">
                  <c:v>RNP-Antikörper (0=negativ, 1=positiv)</c:v>
                </c:pt>
                <c:pt idx="41">
                  <c:v>RNP-Antigen (0=negativ, 1=positiv)</c:v>
                </c:pt>
                <c:pt idx="42">
                  <c:v>Anti-GBM-Antikörper (0=negativ, 1=positiv)</c:v>
                </c:pt>
                <c:pt idx="43">
                  <c:v>Anti-C3d-Anikörper (0=negativ, 1=positiv)</c:v>
                </c:pt>
                <c:pt idx="44">
                  <c:v>Ros2-Antikörper (0=negativ, 1=positiv)</c:v>
                </c:pt>
                <c:pt idx="45">
                  <c:v>SP-Antikörper (0=negativ, 1=positiv)</c:v>
                </c:pt>
                <c:pt idx="46">
                  <c:v>PML-Antikörper (0=negativ, 1=positiv)</c:v>
                </c:pt>
                <c:pt idx="47">
                  <c:v>gp210-Antikörper (0=negativ, 1=positiv)</c:v>
                </c:pt>
                <c:pt idx="48">
                  <c:v>intrinsikfaktor-Antikörper (0=negativ, 1=positiv)</c:v>
                </c:pt>
                <c:pt idx="49">
                  <c:v>SLA-Autoantikörper (0=negativ, 1=positiv)</c:v>
                </c:pt>
                <c:pt idx="50">
                  <c:v>SLA-LP-Autoantikörper (0=negativ, 1=positiv)</c:v>
                </c:pt>
                <c:pt idx="51">
                  <c:v>LKM1-Autoantikörper (0=negativ, 1=positiv)</c:v>
                </c:pt>
                <c:pt idx="52">
                  <c:v>LKM2-Autoantikörper (0=negativ, 1=positiv)</c:v>
                </c:pt>
                <c:pt idx="53">
                  <c:v>LC1-Autoantikörper (0=negativ, 1=positiv)</c:v>
                </c:pt>
                <c:pt idx="54">
                  <c:v>AMA (Antimitochondrialer Autoantikörper (0=negativ, 1=positiv)</c:v>
                </c:pt>
                <c:pt idx="55">
                  <c:v>AMA-M2 (Antimitochondrialer Autoantikörper (0=negativ, 1=positiv)</c:v>
                </c:pt>
                <c:pt idx="56">
                  <c:v>ASMA (0=negativ, 1=positiv)</c:v>
                </c:pt>
                <c:pt idx="57">
                  <c:v>ASM-Autoantikörper (0=negativ, 1=positiv)</c:v>
                </c:pt>
                <c:pt idx="58">
                  <c:v>SM-Antigen (0=negativ, 1=positiv)</c:v>
                </c:pt>
                <c:pt idx="59">
                  <c:v>SP100-Antikörper (0=negativ, 1=positiv)</c:v>
                </c:pt>
                <c:pt idx="60">
                  <c:v>Parietalzell-Autoantikörper (PCA) (0=negativ, 1=positiv)</c:v>
                </c:pt>
                <c:pt idx="61">
                  <c:v>Proteinkinase-Autoantikörper (0=negativ, 1=positiv)</c:v>
                </c:pt>
                <c:pt idx="62">
                  <c:v>Myeloperoxide-IgG-Autoantikörper (0=negativ, 1=positiv)</c:v>
                </c:pt>
                <c:pt idx="63">
                  <c:v>Lebercytosol-Antikörper (0=negativ, 1=positiv)</c:v>
                </c:pt>
                <c:pt idx="64">
                  <c:v>zirkulierende Immunkomplexe (0=negativ, 1=positiv)</c:v>
                </c:pt>
                <c:pt idx="65">
                  <c:v>Zytomegalievirus (0=negativ, 1=positiv)</c:v>
                </c:pt>
                <c:pt idx="66">
                  <c:v>HIV (0=negativ, 1=positiv) -&gt; siehe zusätzlich anamnese</c:v>
                </c:pt>
                <c:pt idx="67">
                  <c:v>HIV-Antikörper (0=negativ, 1=positiv)</c:v>
                </c:pt>
                <c:pt idx="68">
                  <c:v>Herpes simplex Virus IgM (0=negativ, 1=positiv)</c:v>
                </c:pt>
                <c:pt idx="69">
                  <c:v>Herpes simplex Virus IgG (0=negativ, 1=positiv)</c:v>
                </c:pt>
                <c:pt idx="70">
                  <c:v>HHV 6 (0=negativ, 1=positiv)</c:v>
                </c:pt>
                <c:pt idx="71">
                  <c:v>Masern IgM (0=negativ, 1=positiv)</c:v>
                </c:pt>
                <c:pt idx="72">
                  <c:v>Röteln IgM (0=negativ, 1=positiv)</c:v>
                </c:pt>
                <c:pt idx="73">
                  <c:v>Mycoplasmatische Antikörper (0=negativ, 1=positiv)</c:v>
                </c:pt>
                <c:pt idx="74">
                  <c:v>Parvovirus B19 (0=negativ, 1=positiv)</c:v>
                </c:pt>
                <c:pt idx="75">
                  <c:v>ECHO-Virus (0=negativ, 1=positiv)</c:v>
                </c:pt>
                <c:pt idx="76">
                  <c:v>Borellien-IgM (0=negativ, 1=positiv)</c:v>
                </c:pt>
                <c:pt idx="77">
                  <c:v>Coxsackie-Virus-Antikörper (0=negativ, 1=positiv)</c:v>
                </c:pt>
                <c:pt idx="78">
                  <c:v>Hepatitis A-Antikörper (0=negativ, 1=positiv)</c:v>
                </c:pt>
                <c:pt idx="79">
                  <c:v>Hepatitis B-Antikörper (0=negativ, 1=positiv)</c:v>
                </c:pt>
                <c:pt idx="80">
                  <c:v>Hepatitis C-Antikörper (0=negativ, 1=positiv)</c:v>
                </c:pt>
                <c:pt idx="81">
                  <c:v>Hepatitis D-Antikörper (0=negativ, 1=positiv)</c:v>
                </c:pt>
                <c:pt idx="82">
                  <c:v>Hepatitis E-Antikörper (0=negativ, 1=positiv)</c:v>
                </c:pt>
                <c:pt idx="83">
                  <c:v>Anti-HAV-IgG (0=negativ, 1=positiv)</c:v>
                </c:pt>
                <c:pt idx="84">
                  <c:v>Anti-HAV-IgM (0=negativ, 1=positiv)</c:v>
                </c:pt>
                <c:pt idx="85">
                  <c:v>Anti-HCV-IgG (0=negativ, 1=positiv)</c:v>
                </c:pt>
                <c:pt idx="86">
                  <c:v>Anti-HCV-IgM (0=negativ, 1=positiv)</c:v>
                </c:pt>
                <c:pt idx="87">
                  <c:v>HCV-RNA (0=negativ, 1=positiv)</c:v>
                </c:pt>
                <c:pt idx="88">
                  <c:v>Anti-HEV-IgM (0=negativ, 1=positiv)</c:v>
                </c:pt>
                <c:pt idx="89">
                  <c:v>HBs-Antikörper (0=negativ, 1=positiv)</c:v>
                </c:pt>
                <c:pt idx="90">
                  <c:v>HBsAg (0=negativ, 1=positiv)</c:v>
                </c:pt>
                <c:pt idx="91">
                  <c:v>HBc-Antikörper (0=negativ, 1=positiv)</c:v>
                </c:pt>
                <c:pt idx="92">
                  <c:v>Anti-HBc-IgG (0=negativ, 1=positiv)</c:v>
                </c:pt>
                <c:pt idx="93">
                  <c:v>Anti-HBc-IgM (0=negativ, 1=positiv)</c:v>
                </c:pt>
                <c:pt idx="94">
                  <c:v>HBe antikörper (0=negativ, 1=positiv)</c:v>
                </c:pt>
                <c:pt idx="95">
                  <c:v>HBeAg (0=negativ, 1=positiv)</c:v>
                </c:pt>
                <c:pt idx="96">
                  <c:v>HBV-DNA (0=negativ, 1=positiv)</c:v>
                </c:pt>
                <c:pt idx="97">
                  <c:v>HBV-VCA-IgG (0=negativ, 1=positiv)</c:v>
                </c:pt>
                <c:pt idx="98">
                  <c:v>Hepatitis C-RNA (0=negativ, 1=positiv)</c:v>
                </c:pt>
                <c:pt idx="99">
                  <c:v>Hepatitis G-RNA (0=negativ, 1=positiv)</c:v>
                </c:pt>
                <c:pt idx="100">
                  <c:v>Anti-Leber microsomaler Antikörper (0=negativ, 1=positiv)</c:v>
                </c:pt>
                <c:pt idx="101">
                  <c:v>Anti-Niere microsomaler Antikörper (0=negativ, 1=positiv)</c:v>
                </c:pt>
                <c:pt idx="102">
                  <c:v>CCP-Autoantikörper (0=negativ, 1=positiv)</c:v>
                </c:pt>
                <c:pt idx="103">
                  <c:v>HLA B51 (0=negativ, 1=positiv)</c:v>
                </c:pt>
                <c:pt idx="104">
                  <c:v>psoriatic specific Antigen (PSA) (0=negativ, 1=positiv)</c:v>
                </c:pt>
              </c:strCache>
            </c:strRef>
          </c:cat>
          <c:val>
            <c:numRef>
              <c:f>'Diagramms quant'!$C$45:$DC$45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63-4253-BFF8-77759BDF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7007"/>
        <c:axId val="6779487"/>
      </c:barChart>
      <c:catAx>
        <c:axId val="676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79487"/>
        <c:crosses val="autoZero"/>
        <c:auto val="1"/>
        <c:lblAlgn val="ctr"/>
        <c:lblOffset val="100"/>
        <c:noMultiLvlLbl val="0"/>
      </c:catAx>
      <c:valAx>
        <c:axId val="67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6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Amount of measurements for antibodies in u/ml-group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'Diagramms quant'!$B$86</c:f>
              <c:strCache>
                <c:ptCount val="1"/>
                <c:pt idx="0">
                  <c:v>Leber_Diclo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'Diagramms quant'!$C$85:$DB$85</c:f>
              <c:strCache>
                <c:ptCount val="104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ANC (Antineurophiler cytoplastischer Antikörper) (0=negativ, 1=positiv)</c:v>
                </c:pt>
                <c:pt idx="23">
                  <c:v>c-ANCA (0=negativ, 1=positiv</c:v>
                </c:pt>
                <c:pt idx="24">
                  <c:v>p-ANCA (0=negativ, 1=positiv</c:v>
                </c:pt>
                <c:pt idx="25">
                  <c:v>ENA (Extrahierbares nukleäres Antigen) (0=negativ, 1=positiv)</c:v>
                </c:pt>
                <c:pt idx="26">
                  <c:v>Anti-Ro (SSA(Ro)-Antikörper)-Datum unbekannt (0=negativ, 1=positiv)</c:v>
                </c:pt>
                <c:pt idx="27">
                  <c:v>Anti-Ro-52 (SSA(Ro)-Antikörper)-Datum unbekannt (0=negativ, 1=positiv)</c:v>
                </c:pt>
                <c:pt idx="28">
                  <c:v>SSA-Antigen (0=negativ, 1=positiv)</c:v>
                </c:pt>
                <c:pt idx="29">
                  <c:v>Anti-La (SSB(La)-Antikörper)-Datum unbekannt (0=negativ, 1=positiv)</c:v>
                </c:pt>
                <c:pt idx="30">
                  <c:v>SSB-Antigen (0=negativ, 1=positiv)</c:v>
                </c:pt>
                <c:pt idx="31">
                  <c:v>SCL-Antikörper (0=negativ, 1=positiv)</c:v>
                </c:pt>
                <c:pt idx="32">
                  <c:v>MPO-Autoantikörper (0=negativ, 1=positiv)</c:v>
                </c:pt>
                <c:pt idx="33">
                  <c:v>Centromer-Antikörper (0=negativ, 1=positiv)</c:v>
                </c:pt>
                <c:pt idx="34">
                  <c:v>Jo-l-Antikörper (0=negativ, 1=positiv)</c:v>
                </c:pt>
                <c:pt idx="35">
                  <c:v>Antihistonantikörper-Datum unbekannt (0=negativ, 1=positiv)</c:v>
                </c:pt>
                <c:pt idx="36">
                  <c:v>DsDNA-Antikörper-Datum unbekannt (0=negativ, 1=positiv)</c:v>
                </c:pt>
                <c:pt idx="37">
                  <c:v>Anti-DNS-Doppelstrang-Antikörper (0=negativ, 1=positiv)</c:v>
                </c:pt>
                <c:pt idx="38">
                  <c:v>Anti-glatte Muskulatur-Antikörper -Datum unbekannt(0=negativ, 1=positiv)</c:v>
                </c:pt>
                <c:pt idx="39">
                  <c:v>RNP-Antikörper (0=negativ, 1=positiv)</c:v>
                </c:pt>
                <c:pt idx="40">
                  <c:v>RNP-Antigen (0=negativ, 1=positiv)</c:v>
                </c:pt>
                <c:pt idx="41">
                  <c:v>Anti-GBM-Antikörper (0=negativ, 1=positiv)</c:v>
                </c:pt>
                <c:pt idx="42">
                  <c:v>Anti-C3d-Anikörper (0=negativ, 1=positiv)</c:v>
                </c:pt>
                <c:pt idx="43">
                  <c:v>Ros2-Antikörper (0=negativ, 1=positiv)</c:v>
                </c:pt>
                <c:pt idx="44">
                  <c:v>SP-Antikörper (0=negativ, 1=positiv)</c:v>
                </c:pt>
                <c:pt idx="45">
                  <c:v>PML-Antikörper (0=negativ, 1=positiv)</c:v>
                </c:pt>
                <c:pt idx="46">
                  <c:v>gp210-Antikörper (0=negativ, 1=positiv)</c:v>
                </c:pt>
                <c:pt idx="47">
                  <c:v>intrinsikfaktor-Antikörper (0=negativ, 1=positiv)</c:v>
                </c:pt>
                <c:pt idx="48">
                  <c:v>SLA-Autoantikörper (0=negativ, 1=positiv)</c:v>
                </c:pt>
                <c:pt idx="49">
                  <c:v>SLA-LP-Autoantikörper (0=negativ, 1=positiv)</c:v>
                </c:pt>
                <c:pt idx="50">
                  <c:v>LKM1-Autoantikörper (0=negativ, 1=positiv)</c:v>
                </c:pt>
                <c:pt idx="51">
                  <c:v>LKM2-Autoantikörper (0=negativ, 1=positiv)</c:v>
                </c:pt>
                <c:pt idx="52">
                  <c:v>LC1-Autoantikörper (0=negativ, 1=positiv)</c:v>
                </c:pt>
                <c:pt idx="53">
                  <c:v>AMA (Antimitochondrialer Autoantikörper (0=negativ, 1=positiv)</c:v>
                </c:pt>
                <c:pt idx="54">
                  <c:v>AMA-M2 (Antimitochondrialer Autoantikörper (0=negativ, 1=positiv)</c:v>
                </c:pt>
                <c:pt idx="55">
                  <c:v>ASMA (0=negativ, 1=positiv)</c:v>
                </c:pt>
                <c:pt idx="56">
                  <c:v>ASM-Autoantikörper (0=negativ, 1=positiv)</c:v>
                </c:pt>
                <c:pt idx="57">
                  <c:v>SM-Antigen (0=negativ, 1=positiv)</c:v>
                </c:pt>
                <c:pt idx="58">
                  <c:v>SP100-Antikörper (0=negativ, 1=positiv)</c:v>
                </c:pt>
                <c:pt idx="59">
                  <c:v>Parietalzell-Autoantikörper (PCA) (0=negativ, 1=positiv)</c:v>
                </c:pt>
                <c:pt idx="60">
                  <c:v>Proteinkinase-Autoantikörper (0=negativ, 1=positiv)</c:v>
                </c:pt>
                <c:pt idx="61">
                  <c:v>Myeloperoxide-IgG-Autoantikörper (0=negativ, 1=positiv)</c:v>
                </c:pt>
                <c:pt idx="62">
                  <c:v>Lebercytosol-Antikörper (0=negativ, 1=positiv)</c:v>
                </c:pt>
                <c:pt idx="63">
                  <c:v>zirkulierende Immunkomplexe (0=negativ, 1=positiv)</c:v>
                </c:pt>
                <c:pt idx="64">
                  <c:v>Zytomegalievirus (0=negativ, 1=positiv)</c:v>
                </c:pt>
                <c:pt idx="65">
                  <c:v>HIV (0=negativ, 1=positiv) -&gt; siehe zusätzlich anamnese</c:v>
                </c:pt>
                <c:pt idx="66">
                  <c:v>HIV-Antikörper (0=negativ, 1=positiv)</c:v>
                </c:pt>
                <c:pt idx="67">
                  <c:v>Herpes simplex Virus IgM (0=negativ, 1=positiv)</c:v>
                </c:pt>
                <c:pt idx="68">
                  <c:v>Herpes simplex Virus IgG (0=negativ, 1=positiv)</c:v>
                </c:pt>
                <c:pt idx="69">
                  <c:v>HHV 6 (0=negativ, 1=positiv)</c:v>
                </c:pt>
                <c:pt idx="70">
                  <c:v>Masern IgM (0=negativ, 1=positiv)</c:v>
                </c:pt>
                <c:pt idx="71">
                  <c:v>Röteln IgM (0=negativ, 1=positiv)</c:v>
                </c:pt>
                <c:pt idx="72">
                  <c:v>Mycoplasmatische Antikörper (0=negativ, 1=positiv)</c:v>
                </c:pt>
                <c:pt idx="73">
                  <c:v>Parvovirus B19 (0=negativ, 1=positiv)</c:v>
                </c:pt>
                <c:pt idx="74">
                  <c:v>ECHO-Virus (0=negativ, 1=positiv)</c:v>
                </c:pt>
                <c:pt idx="75">
                  <c:v>Borellien-IgM (0=negativ, 1=positiv)</c:v>
                </c:pt>
                <c:pt idx="76">
                  <c:v>Coxsackie-Virus-Antikörper (0=negativ, 1=positiv)</c:v>
                </c:pt>
                <c:pt idx="77">
                  <c:v>Hepatitis A-Antikörper (0=negativ, 1=positiv)</c:v>
                </c:pt>
                <c:pt idx="78">
                  <c:v>Hepatitis B-Antikörper (0=negativ, 1=positiv)</c:v>
                </c:pt>
                <c:pt idx="79">
                  <c:v>Hepatitis C-Antikörper (0=negativ, 1=positiv)</c:v>
                </c:pt>
                <c:pt idx="80">
                  <c:v>Hepatitis D-Antikörper (0=negativ, 1=positiv)</c:v>
                </c:pt>
                <c:pt idx="81">
                  <c:v>Hepatitis E-Antikörper (0=negativ, 1=positiv)</c:v>
                </c:pt>
                <c:pt idx="82">
                  <c:v>Anti-HAV-IgG (0=negativ, 1=positiv)</c:v>
                </c:pt>
                <c:pt idx="83">
                  <c:v>Anti-HAV-IgM (0=negativ, 1=positiv)</c:v>
                </c:pt>
                <c:pt idx="84">
                  <c:v>Anti-HCV-IgG (0=negativ, 1=positiv)</c:v>
                </c:pt>
                <c:pt idx="85">
                  <c:v>Anti-HCV-IgM (0=negativ, 1=positiv)</c:v>
                </c:pt>
                <c:pt idx="86">
                  <c:v>HCV-RNA (0=negativ, 1=positiv)</c:v>
                </c:pt>
                <c:pt idx="87">
                  <c:v>Anti-HEV-IgM (0=negativ, 1=positiv)</c:v>
                </c:pt>
                <c:pt idx="88">
                  <c:v>HBs-Antikörper (0=negativ, 1=positiv)</c:v>
                </c:pt>
                <c:pt idx="89">
                  <c:v>HBsAg (0=negativ, 1=positiv)</c:v>
                </c:pt>
                <c:pt idx="90">
                  <c:v>HBc-Antikörper (0=negativ, 1=positiv)</c:v>
                </c:pt>
                <c:pt idx="91">
                  <c:v>Anti-HBc-IgG (0=negativ, 1=positiv)</c:v>
                </c:pt>
                <c:pt idx="92">
                  <c:v>Anti-HBc-IgM (0=negativ, 1=positiv)</c:v>
                </c:pt>
                <c:pt idx="93">
                  <c:v>HBe antikörper (0=negativ, 1=positiv)</c:v>
                </c:pt>
                <c:pt idx="94">
                  <c:v>HBeAg (0=negativ, 1=positiv)</c:v>
                </c:pt>
                <c:pt idx="95">
                  <c:v>HBV-DNA (0=negativ, 1=positiv)</c:v>
                </c:pt>
                <c:pt idx="96">
                  <c:v>HBV-VCA-IgG (0=negativ, 1=positiv)</c:v>
                </c:pt>
                <c:pt idx="97">
                  <c:v>Hepatitis C-RNA (0=negativ, 1=positiv)</c:v>
                </c:pt>
                <c:pt idx="98">
                  <c:v>Hepatitis G-RNA (0=negativ, 1=positiv)</c:v>
                </c:pt>
                <c:pt idx="99">
                  <c:v>Anti-Leber microsomaler Antikörper (0=negativ, 1=positiv)</c:v>
                </c:pt>
                <c:pt idx="100">
                  <c:v>Anti-Niere microsomaler Antikörper (0=negativ, 1=positiv)</c:v>
                </c:pt>
                <c:pt idx="101">
                  <c:v>CCP-Autoantikörper (0=negativ, 1=positiv)</c:v>
                </c:pt>
                <c:pt idx="102">
                  <c:v>HLA B51 (0=negativ, 1=positiv)</c:v>
                </c:pt>
                <c:pt idx="103">
                  <c:v>psoriatic specific Antigen (PSA) (0=negativ, 1=positiv)</c:v>
                </c:pt>
              </c:strCache>
            </c:strRef>
          </c:cat>
          <c:val>
            <c:numRef>
              <c:f>'Diagramms quant'!$C$86:$DB$86</c:f>
              <c:numCache>
                <c:formatCode>General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C-49F3-9512-5F44FBCA7C22}"/>
            </c:ext>
          </c:extLst>
        </c:ser>
        <c:ser>
          <c:idx val="1"/>
          <c:order val="1"/>
          <c:tx>
            <c:strRef>
              <c:f>'Diagramms quant'!$B$87</c:f>
              <c:strCache>
                <c:ptCount val="1"/>
                <c:pt idx="0">
                  <c:v>Leber_Ibu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'Diagramms quant'!$C$85:$DB$85</c:f>
              <c:strCache>
                <c:ptCount val="104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ANC (Antineurophiler cytoplastischer Antikörper) (0=negativ, 1=positiv)</c:v>
                </c:pt>
                <c:pt idx="23">
                  <c:v>c-ANCA (0=negativ, 1=positiv</c:v>
                </c:pt>
                <c:pt idx="24">
                  <c:v>p-ANCA (0=negativ, 1=positiv</c:v>
                </c:pt>
                <c:pt idx="25">
                  <c:v>ENA (Extrahierbares nukleäres Antigen) (0=negativ, 1=positiv)</c:v>
                </c:pt>
                <c:pt idx="26">
                  <c:v>Anti-Ro (SSA(Ro)-Antikörper)-Datum unbekannt (0=negativ, 1=positiv)</c:v>
                </c:pt>
                <c:pt idx="27">
                  <c:v>Anti-Ro-52 (SSA(Ro)-Antikörper)-Datum unbekannt (0=negativ, 1=positiv)</c:v>
                </c:pt>
                <c:pt idx="28">
                  <c:v>SSA-Antigen (0=negativ, 1=positiv)</c:v>
                </c:pt>
                <c:pt idx="29">
                  <c:v>Anti-La (SSB(La)-Antikörper)-Datum unbekannt (0=negativ, 1=positiv)</c:v>
                </c:pt>
                <c:pt idx="30">
                  <c:v>SSB-Antigen (0=negativ, 1=positiv)</c:v>
                </c:pt>
                <c:pt idx="31">
                  <c:v>SCL-Antikörper (0=negativ, 1=positiv)</c:v>
                </c:pt>
                <c:pt idx="32">
                  <c:v>MPO-Autoantikörper (0=negativ, 1=positiv)</c:v>
                </c:pt>
                <c:pt idx="33">
                  <c:v>Centromer-Antikörper (0=negativ, 1=positiv)</c:v>
                </c:pt>
                <c:pt idx="34">
                  <c:v>Jo-l-Antikörper (0=negativ, 1=positiv)</c:v>
                </c:pt>
                <c:pt idx="35">
                  <c:v>Antihistonantikörper-Datum unbekannt (0=negativ, 1=positiv)</c:v>
                </c:pt>
                <c:pt idx="36">
                  <c:v>DsDNA-Antikörper-Datum unbekannt (0=negativ, 1=positiv)</c:v>
                </c:pt>
                <c:pt idx="37">
                  <c:v>Anti-DNS-Doppelstrang-Antikörper (0=negativ, 1=positiv)</c:v>
                </c:pt>
                <c:pt idx="38">
                  <c:v>Anti-glatte Muskulatur-Antikörper -Datum unbekannt(0=negativ, 1=positiv)</c:v>
                </c:pt>
                <c:pt idx="39">
                  <c:v>RNP-Antikörper (0=negativ, 1=positiv)</c:v>
                </c:pt>
                <c:pt idx="40">
                  <c:v>RNP-Antigen (0=negativ, 1=positiv)</c:v>
                </c:pt>
                <c:pt idx="41">
                  <c:v>Anti-GBM-Antikörper (0=negativ, 1=positiv)</c:v>
                </c:pt>
                <c:pt idx="42">
                  <c:v>Anti-C3d-Anikörper (0=negativ, 1=positiv)</c:v>
                </c:pt>
                <c:pt idx="43">
                  <c:v>Ros2-Antikörper (0=negativ, 1=positiv)</c:v>
                </c:pt>
                <c:pt idx="44">
                  <c:v>SP-Antikörper (0=negativ, 1=positiv)</c:v>
                </c:pt>
                <c:pt idx="45">
                  <c:v>PML-Antikörper (0=negativ, 1=positiv)</c:v>
                </c:pt>
                <c:pt idx="46">
                  <c:v>gp210-Antikörper (0=negativ, 1=positiv)</c:v>
                </c:pt>
                <c:pt idx="47">
                  <c:v>intrinsikfaktor-Antikörper (0=negativ, 1=positiv)</c:v>
                </c:pt>
                <c:pt idx="48">
                  <c:v>SLA-Autoantikörper (0=negativ, 1=positiv)</c:v>
                </c:pt>
                <c:pt idx="49">
                  <c:v>SLA-LP-Autoantikörper (0=negativ, 1=positiv)</c:v>
                </c:pt>
                <c:pt idx="50">
                  <c:v>LKM1-Autoantikörper (0=negativ, 1=positiv)</c:v>
                </c:pt>
                <c:pt idx="51">
                  <c:v>LKM2-Autoantikörper (0=negativ, 1=positiv)</c:v>
                </c:pt>
                <c:pt idx="52">
                  <c:v>LC1-Autoantikörper (0=negativ, 1=positiv)</c:v>
                </c:pt>
                <c:pt idx="53">
                  <c:v>AMA (Antimitochondrialer Autoantikörper (0=negativ, 1=positiv)</c:v>
                </c:pt>
                <c:pt idx="54">
                  <c:v>AMA-M2 (Antimitochondrialer Autoantikörper (0=negativ, 1=positiv)</c:v>
                </c:pt>
                <c:pt idx="55">
                  <c:v>ASMA (0=negativ, 1=positiv)</c:v>
                </c:pt>
                <c:pt idx="56">
                  <c:v>ASM-Autoantikörper (0=negativ, 1=positiv)</c:v>
                </c:pt>
                <c:pt idx="57">
                  <c:v>SM-Antigen (0=negativ, 1=positiv)</c:v>
                </c:pt>
                <c:pt idx="58">
                  <c:v>SP100-Antikörper (0=negativ, 1=positiv)</c:v>
                </c:pt>
                <c:pt idx="59">
                  <c:v>Parietalzell-Autoantikörper (PCA) (0=negativ, 1=positiv)</c:v>
                </c:pt>
                <c:pt idx="60">
                  <c:v>Proteinkinase-Autoantikörper (0=negativ, 1=positiv)</c:v>
                </c:pt>
                <c:pt idx="61">
                  <c:v>Myeloperoxide-IgG-Autoantikörper (0=negativ, 1=positiv)</c:v>
                </c:pt>
                <c:pt idx="62">
                  <c:v>Lebercytosol-Antikörper (0=negativ, 1=positiv)</c:v>
                </c:pt>
                <c:pt idx="63">
                  <c:v>zirkulierende Immunkomplexe (0=negativ, 1=positiv)</c:v>
                </c:pt>
                <c:pt idx="64">
                  <c:v>Zytomegalievirus (0=negativ, 1=positiv)</c:v>
                </c:pt>
                <c:pt idx="65">
                  <c:v>HIV (0=negativ, 1=positiv) -&gt; siehe zusätzlich anamnese</c:v>
                </c:pt>
                <c:pt idx="66">
                  <c:v>HIV-Antikörper (0=negativ, 1=positiv)</c:v>
                </c:pt>
                <c:pt idx="67">
                  <c:v>Herpes simplex Virus IgM (0=negativ, 1=positiv)</c:v>
                </c:pt>
                <c:pt idx="68">
                  <c:v>Herpes simplex Virus IgG (0=negativ, 1=positiv)</c:v>
                </c:pt>
                <c:pt idx="69">
                  <c:v>HHV 6 (0=negativ, 1=positiv)</c:v>
                </c:pt>
                <c:pt idx="70">
                  <c:v>Masern IgM (0=negativ, 1=positiv)</c:v>
                </c:pt>
                <c:pt idx="71">
                  <c:v>Röteln IgM (0=negativ, 1=positiv)</c:v>
                </c:pt>
                <c:pt idx="72">
                  <c:v>Mycoplasmatische Antikörper (0=negativ, 1=positiv)</c:v>
                </c:pt>
                <c:pt idx="73">
                  <c:v>Parvovirus B19 (0=negativ, 1=positiv)</c:v>
                </c:pt>
                <c:pt idx="74">
                  <c:v>ECHO-Virus (0=negativ, 1=positiv)</c:v>
                </c:pt>
                <c:pt idx="75">
                  <c:v>Borellien-IgM (0=negativ, 1=positiv)</c:v>
                </c:pt>
                <c:pt idx="76">
                  <c:v>Coxsackie-Virus-Antikörper (0=negativ, 1=positiv)</c:v>
                </c:pt>
                <c:pt idx="77">
                  <c:v>Hepatitis A-Antikörper (0=negativ, 1=positiv)</c:v>
                </c:pt>
                <c:pt idx="78">
                  <c:v>Hepatitis B-Antikörper (0=negativ, 1=positiv)</c:v>
                </c:pt>
                <c:pt idx="79">
                  <c:v>Hepatitis C-Antikörper (0=negativ, 1=positiv)</c:v>
                </c:pt>
                <c:pt idx="80">
                  <c:v>Hepatitis D-Antikörper (0=negativ, 1=positiv)</c:v>
                </c:pt>
                <c:pt idx="81">
                  <c:v>Hepatitis E-Antikörper (0=negativ, 1=positiv)</c:v>
                </c:pt>
                <c:pt idx="82">
                  <c:v>Anti-HAV-IgG (0=negativ, 1=positiv)</c:v>
                </c:pt>
                <c:pt idx="83">
                  <c:v>Anti-HAV-IgM (0=negativ, 1=positiv)</c:v>
                </c:pt>
                <c:pt idx="84">
                  <c:v>Anti-HCV-IgG (0=negativ, 1=positiv)</c:v>
                </c:pt>
                <c:pt idx="85">
                  <c:v>Anti-HCV-IgM (0=negativ, 1=positiv)</c:v>
                </c:pt>
                <c:pt idx="86">
                  <c:v>HCV-RNA (0=negativ, 1=positiv)</c:v>
                </c:pt>
                <c:pt idx="87">
                  <c:v>Anti-HEV-IgM (0=negativ, 1=positiv)</c:v>
                </c:pt>
                <c:pt idx="88">
                  <c:v>HBs-Antikörper (0=negativ, 1=positiv)</c:v>
                </c:pt>
                <c:pt idx="89">
                  <c:v>HBsAg (0=negativ, 1=positiv)</c:v>
                </c:pt>
                <c:pt idx="90">
                  <c:v>HBc-Antikörper (0=negativ, 1=positiv)</c:v>
                </c:pt>
                <c:pt idx="91">
                  <c:v>Anti-HBc-IgG (0=negativ, 1=positiv)</c:v>
                </c:pt>
                <c:pt idx="92">
                  <c:v>Anti-HBc-IgM (0=negativ, 1=positiv)</c:v>
                </c:pt>
                <c:pt idx="93">
                  <c:v>HBe antikörper (0=negativ, 1=positiv)</c:v>
                </c:pt>
                <c:pt idx="94">
                  <c:v>HBeAg (0=negativ, 1=positiv)</c:v>
                </c:pt>
                <c:pt idx="95">
                  <c:v>HBV-DNA (0=negativ, 1=positiv)</c:v>
                </c:pt>
                <c:pt idx="96">
                  <c:v>HBV-VCA-IgG (0=negativ, 1=positiv)</c:v>
                </c:pt>
                <c:pt idx="97">
                  <c:v>Hepatitis C-RNA (0=negativ, 1=positiv)</c:v>
                </c:pt>
                <c:pt idx="98">
                  <c:v>Hepatitis G-RNA (0=negativ, 1=positiv)</c:v>
                </c:pt>
                <c:pt idx="99">
                  <c:v>Anti-Leber microsomaler Antikörper (0=negativ, 1=positiv)</c:v>
                </c:pt>
                <c:pt idx="100">
                  <c:v>Anti-Niere microsomaler Antikörper (0=negativ, 1=positiv)</c:v>
                </c:pt>
                <c:pt idx="101">
                  <c:v>CCP-Autoantikörper (0=negativ, 1=positiv)</c:v>
                </c:pt>
                <c:pt idx="102">
                  <c:v>HLA B51 (0=negativ, 1=positiv)</c:v>
                </c:pt>
                <c:pt idx="103">
                  <c:v>psoriatic specific Antigen (PSA) (0=negativ, 1=positiv)</c:v>
                </c:pt>
              </c:strCache>
            </c:strRef>
          </c:cat>
          <c:val>
            <c:numRef>
              <c:f>'Diagramms quant'!$C$87:$DB$87</c:f>
              <c:numCache>
                <c:formatCode>General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C-49F3-9512-5F44FBCA7C22}"/>
            </c:ext>
          </c:extLst>
        </c:ser>
        <c:ser>
          <c:idx val="2"/>
          <c:order val="2"/>
          <c:tx>
            <c:strRef>
              <c:f>'Diagramms quant'!$B$88</c:f>
              <c:strCache>
                <c:ptCount val="1"/>
                <c:pt idx="0">
                  <c:v>Leber_Para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'Diagramms quant'!$C$85:$DB$85</c:f>
              <c:strCache>
                <c:ptCount val="104"/>
                <c:pt idx="0">
                  <c:v>Anti-IgA-Antikörper (0=negativ, 1=positiv)</c:v>
                </c:pt>
                <c:pt idx="1">
                  <c:v>Anti-IgG-Antikörper (0=negativ, 1=positiv)</c:v>
                </c:pt>
                <c:pt idx="2">
                  <c:v>IgG-Antikörper (Subklassen) (0=negativ, 1=positiv)</c:v>
                </c:pt>
                <c:pt idx="3">
                  <c:v>Anti-IgM-Antikörper (0=negativ, 1=positiv)</c:v>
                </c:pt>
                <c:pt idx="4">
                  <c:v>Anti-C3c (0=negativ, 1=positiv)</c:v>
                </c:pt>
                <c:pt idx="5">
                  <c:v>Anti-C3d (0=negativ, 1=positiv)</c:v>
                </c:pt>
                <c:pt idx="6">
                  <c:v>EBNA-IgG (0=negativ, 1=positiv)</c:v>
                </c:pt>
                <c:pt idx="7">
                  <c:v>EBV-VCA-IgG (0=negativ, 1=positiv)</c:v>
                </c:pt>
                <c:pt idx="8">
                  <c:v>EBV-VCA-IgM (0=negativ, 1=positiv)</c:v>
                </c:pt>
                <c:pt idx="9">
                  <c:v>EBV-IgA (0=negativ, 1=positiv)</c:v>
                </c:pt>
                <c:pt idx="10">
                  <c:v>Epstein-Barr-IgM (0=negativ, 1=positiv)</c:v>
                </c:pt>
                <c:pt idx="11">
                  <c:v>Epstein-Barr-IgG (0=negativ, 1=positiv)</c:v>
                </c:pt>
                <c:pt idx="12">
                  <c:v>Cytomegalievirus (CMV) (0=negativ, 1=positiv)</c:v>
                </c:pt>
                <c:pt idx="13">
                  <c:v>Cytomegalievirus-IgM(CMV) (0=negativ, 1=positiv)</c:v>
                </c:pt>
                <c:pt idx="14">
                  <c:v>Cytomegalievirus-IgG(CMV) (0=negativ, 1=positiv)</c:v>
                </c:pt>
                <c:pt idx="15">
                  <c:v>Varizella-Zoster-Virus (VZV) (0=negativ, 1=positiv)</c:v>
                </c:pt>
                <c:pt idx="16">
                  <c:v>Varizella-Zoster-IgG (VZV) (0=negativ, 1=positiv)</c:v>
                </c:pt>
                <c:pt idx="17">
                  <c:v>Varizella-Zoster-IgM (VZV) (0=negativ, 1=positiv)</c:v>
                </c:pt>
                <c:pt idx="18">
                  <c:v>Yersenieninfektion (0=negativ, 1=positiv)</c:v>
                </c:pt>
                <c:pt idx="19">
                  <c:v>Syphilis (0=negativ, 1=positiv)</c:v>
                </c:pt>
                <c:pt idx="20">
                  <c:v>Autoimmun-Antikörper (0=negativ, 1=positiv)</c:v>
                </c:pt>
                <c:pt idx="21">
                  <c:v>ANA(Antinukleäre Antikörper)-Datum umbekannt (0=negativ (≤ 1:80), 1=positiv)</c:v>
                </c:pt>
                <c:pt idx="22">
                  <c:v>ANC (Antineurophiler cytoplastischer Antikörper) (0=negativ, 1=positiv)</c:v>
                </c:pt>
                <c:pt idx="23">
                  <c:v>c-ANCA (0=negativ, 1=positiv</c:v>
                </c:pt>
                <c:pt idx="24">
                  <c:v>p-ANCA (0=negativ, 1=positiv</c:v>
                </c:pt>
                <c:pt idx="25">
                  <c:v>ENA (Extrahierbares nukleäres Antigen) (0=negativ, 1=positiv)</c:v>
                </c:pt>
                <c:pt idx="26">
                  <c:v>Anti-Ro (SSA(Ro)-Antikörper)-Datum unbekannt (0=negativ, 1=positiv)</c:v>
                </c:pt>
                <c:pt idx="27">
                  <c:v>Anti-Ro-52 (SSA(Ro)-Antikörper)-Datum unbekannt (0=negativ, 1=positiv)</c:v>
                </c:pt>
                <c:pt idx="28">
                  <c:v>SSA-Antigen (0=negativ, 1=positiv)</c:v>
                </c:pt>
                <c:pt idx="29">
                  <c:v>Anti-La (SSB(La)-Antikörper)-Datum unbekannt (0=negativ, 1=positiv)</c:v>
                </c:pt>
                <c:pt idx="30">
                  <c:v>SSB-Antigen (0=negativ, 1=positiv)</c:v>
                </c:pt>
                <c:pt idx="31">
                  <c:v>SCL-Antikörper (0=negativ, 1=positiv)</c:v>
                </c:pt>
                <c:pt idx="32">
                  <c:v>MPO-Autoantikörper (0=negativ, 1=positiv)</c:v>
                </c:pt>
                <c:pt idx="33">
                  <c:v>Centromer-Antikörper (0=negativ, 1=positiv)</c:v>
                </c:pt>
                <c:pt idx="34">
                  <c:v>Jo-l-Antikörper (0=negativ, 1=positiv)</c:v>
                </c:pt>
                <c:pt idx="35">
                  <c:v>Antihistonantikörper-Datum unbekannt (0=negativ, 1=positiv)</c:v>
                </c:pt>
                <c:pt idx="36">
                  <c:v>DsDNA-Antikörper-Datum unbekannt (0=negativ, 1=positiv)</c:v>
                </c:pt>
                <c:pt idx="37">
                  <c:v>Anti-DNS-Doppelstrang-Antikörper (0=negativ, 1=positiv)</c:v>
                </c:pt>
                <c:pt idx="38">
                  <c:v>Anti-glatte Muskulatur-Antikörper -Datum unbekannt(0=negativ, 1=positiv)</c:v>
                </c:pt>
                <c:pt idx="39">
                  <c:v>RNP-Antikörper (0=negativ, 1=positiv)</c:v>
                </c:pt>
                <c:pt idx="40">
                  <c:v>RNP-Antigen (0=negativ, 1=positiv)</c:v>
                </c:pt>
                <c:pt idx="41">
                  <c:v>Anti-GBM-Antikörper (0=negativ, 1=positiv)</c:v>
                </c:pt>
                <c:pt idx="42">
                  <c:v>Anti-C3d-Anikörper (0=negativ, 1=positiv)</c:v>
                </c:pt>
                <c:pt idx="43">
                  <c:v>Ros2-Antikörper (0=negativ, 1=positiv)</c:v>
                </c:pt>
                <c:pt idx="44">
                  <c:v>SP-Antikörper (0=negativ, 1=positiv)</c:v>
                </c:pt>
                <c:pt idx="45">
                  <c:v>PML-Antikörper (0=negativ, 1=positiv)</c:v>
                </c:pt>
                <c:pt idx="46">
                  <c:v>gp210-Antikörper (0=negativ, 1=positiv)</c:v>
                </c:pt>
                <c:pt idx="47">
                  <c:v>intrinsikfaktor-Antikörper (0=negativ, 1=positiv)</c:v>
                </c:pt>
                <c:pt idx="48">
                  <c:v>SLA-Autoantikörper (0=negativ, 1=positiv)</c:v>
                </c:pt>
                <c:pt idx="49">
                  <c:v>SLA-LP-Autoantikörper (0=negativ, 1=positiv)</c:v>
                </c:pt>
                <c:pt idx="50">
                  <c:v>LKM1-Autoantikörper (0=negativ, 1=positiv)</c:v>
                </c:pt>
                <c:pt idx="51">
                  <c:v>LKM2-Autoantikörper (0=negativ, 1=positiv)</c:v>
                </c:pt>
                <c:pt idx="52">
                  <c:v>LC1-Autoantikörper (0=negativ, 1=positiv)</c:v>
                </c:pt>
                <c:pt idx="53">
                  <c:v>AMA (Antimitochondrialer Autoantikörper (0=negativ, 1=positiv)</c:v>
                </c:pt>
                <c:pt idx="54">
                  <c:v>AMA-M2 (Antimitochondrialer Autoantikörper (0=negativ, 1=positiv)</c:v>
                </c:pt>
                <c:pt idx="55">
                  <c:v>ASMA (0=negativ, 1=positiv)</c:v>
                </c:pt>
                <c:pt idx="56">
                  <c:v>ASM-Autoantikörper (0=negativ, 1=positiv)</c:v>
                </c:pt>
                <c:pt idx="57">
                  <c:v>SM-Antigen (0=negativ, 1=positiv)</c:v>
                </c:pt>
                <c:pt idx="58">
                  <c:v>SP100-Antikörper (0=negativ, 1=positiv)</c:v>
                </c:pt>
                <c:pt idx="59">
                  <c:v>Parietalzell-Autoantikörper (PCA) (0=negativ, 1=positiv)</c:v>
                </c:pt>
                <c:pt idx="60">
                  <c:v>Proteinkinase-Autoantikörper (0=negativ, 1=positiv)</c:v>
                </c:pt>
                <c:pt idx="61">
                  <c:v>Myeloperoxide-IgG-Autoantikörper (0=negativ, 1=positiv)</c:v>
                </c:pt>
                <c:pt idx="62">
                  <c:v>Lebercytosol-Antikörper (0=negativ, 1=positiv)</c:v>
                </c:pt>
                <c:pt idx="63">
                  <c:v>zirkulierende Immunkomplexe (0=negativ, 1=positiv)</c:v>
                </c:pt>
                <c:pt idx="64">
                  <c:v>Zytomegalievirus (0=negativ, 1=positiv)</c:v>
                </c:pt>
                <c:pt idx="65">
                  <c:v>HIV (0=negativ, 1=positiv) -&gt; siehe zusätzlich anamnese</c:v>
                </c:pt>
                <c:pt idx="66">
                  <c:v>HIV-Antikörper (0=negativ, 1=positiv)</c:v>
                </c:pt>
                <c:pt idx="67">
                  <c:v>Herpes simplex Virus IgM (0=negativ, 1=positiv)</c:v>
                </c:pt>
                <c:pt idx="68">
                  <c:v>Herpes simplex Virus IgG (0=negativ, 1=positiv)</c:v>
                </c:pt>
                <c:pt idx="69">
                  <c:v>HHV 6 (0=negativ, 1=positiv)</c:v>
                </c:pt>
                <c:pt idx="70">
                  <c:v>Masern IgM (0=negativ, 1=positiv)</c:v>
                </c:pt>
                <c:pt idx="71">
                  <c:v>Röteln IgM (0=negativ, 1=positiv)</c:v>
                </c:pt>
                <c:pt idx="72">
                  <c:v>Mycoplasmatische Antikörper (0=negativ, 1=positiv)</c:v>
                </c:pt>
                <c:pt idx="73">
                  <c:v>Parvovirus B19 (0=negativ, 1=positiv)</c:v>
                </c:pt>
                <c:pt idx="74">
                  <c:v>ECHO-Virus (0=negativ, 1=positiv)</c:v>
                </c:pt>
                <c:pt idx="75">
                  <c:v>Borellien-IgM (0=negativ, 1=positiv)</c:v>
                </c:pt>
                <c:pt idx="76">
                  <c:v>Coxsackie-Virus-Antikörper (0=negativ, 1=positiv)</c:v>
                </c:pt>
                <c:pt idx="77">
                  <c:v>Hepatitis A-Antikörper (0=negativ, 1=positiv)</c:v>
                </c:pt>
                <c:pt idx="78">
                  <c:v>Hepatitis B-Antikörper (0=negativ, 1=positiv)</c:v>
                </c:pt>
                <c:pt idx="79">
                  <c:v>Hepatitis C-Antikörper (0=negativ, 1=positiv)</c:v>
                </c:pt>
                <c:pt idx="80">
                  <c:v>Hepatitis D-Antikörper (0=negativ, 1=positiv)</c:v>
                </c:pt>
                <c:pt idx="81">
                  <c:v>Hepatitis E-Antikörper (0=negativ, 1=positiv)</c:v>
                </c:pt>
                <c:pt idx="82">
                  <c:v>Anti-HAV-IgG (0=negativ, 1=positiv)</c:v>
                </c:pt>
                <c:pt idx="83">
                  <c:v>Anti-HAV-IgM (0=negativ, 1=positiv)</c:v>
                </c:pt>
                <c:pt idx="84">
                  <c:v>Anti-HCV-IgG (0=negativ, 1=positiv)</c:v>
                </c:pt>
                <c:pt idx="85">
                  <c:v>Anti-HCV-IgM (0=negativ, 1=positiv)</c:v>
                </c:pt>
                <c:pt idx="86">
                  <c:v>HCV-RNA (0=negativ, 1=positiv)</c:v>
                </c:pt>
                <c:pt idx="87">
                  <c:v>Anti-HEV-IgM (0=negativ, 1=positiv)</c:v>
                </c:pt>
                <c:pt idx="88">
                  <c:v>HBs-Antikörper (0=negativ, 1=positiv)</c:v>
                </c:pt>
                <c:pt idx="89">
                  <c:v>HBsAg (0=negativ, 1=positiv)</c:v>
                </c:pt>
                <c:pt idx="90">
                  <c:v>HBc-Antikörper (0=negativ, 1=positiv)</c:v>
                </c:pt>
                <c:pt idx="91">
                  <c:v>Anti-HBc-IgG (0=negativ, 1=positiv)</c:v>
                </c:pt>
                <c:pt idx="92">
                  <c:v>Anti-HBc-IgM (0=negativ, 1=positiv)</c:v>
                </c:pt>
                <c:pt idx="93">
                  <c:v>HBe antikörper (0=negativ, 1=positiv)</c:v>
                </c:pt>
                <c:pt idx="94">
                  <c:v>HBeAg (0=negativ, 1=positiv)</c:v>
                </c:pt>
                <c:pt idx="95">
                  <c:v>HBV-DNA (0=negativ, 1=positiv)</c:v>
                </c:pt>
                <c:pt idx="96">
                  <c:v>HBV-VCA-IgG (0=negativ, 1=positiv)</c:v>
                </c:pt>
                <c:pt idx="97">
                  <c:v>Hepatitis C-RNA (0=negativ, 1=positiv)</c:v>
                </c:pt>
                <c:pt idx="98">
                  <c:v>Hepatitis G-RNA (0=negativ, 1=positiv)</c:v>
                </c:pt>
                <c:pt idx="99">
                  <c:v>Anti-Leber microsomaler Antikörper (0=negativ, 1=positiv)</c:v>
                </c:pt>
                <c:pt idx="100">
                  <c:v>Anti-Niere microsomaler Antikörper (0=negativ, 1=positiv)</c:v>
                </c:pt>
                <c:pt idx="101">
                  <c:v>CCP-Autoantikörper (0=negativ, 1=positiv)</c:v>
                </c:pt>
                <c:pt idx="102">
                  <c:v>HLA B51 (0=negativ, 1=positiv)</c:v>
                </c:pt>
                <c:pt idx="103">
                  <c:v>psoriatic specific Antigen (PSA) (0=negativ, 1=positiv)</c:v>
                </c:pt>
              </c:strCache>
            </c:strRef>
          </c:cat>
          <c:val>
            <c:numRef>
              <c:f>'Diagramms quant'!$C$88:$DB$88</c:f>
              <c:numCache>
                <c:formatCode>General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C-49F3-9512-5F44FBCA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281199"/>
        <c:axId val="1979277839"/>
      </c:barChart>
      <c:catAx>
        <c:axId val="19792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9277839"/>
        <c:crosses val="autoZero"/>
        <c:auto val="1"/>
        <c:lblAlgn val="ctr"/>
        <c:lblOffset val="100"/>
        <c:noMultiLvlLbl val="0"/>
      </c:catAx>
      <c:valAx>
        <c:axId val="197927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92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leber_diclo positive/negative test-results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'Diagramms qual'!$B$2</c:f>
              <c:strCache>
                <c:ptCount val="1"/>
                <c:pt idx="0">
                  <c:v>negativ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'Diagramms qual'!$C$1:$AK$1</c:f>
              <c:strCache>
                <c:ptCount val="35"/>
                <c:pt idx="0">
                  <c:v>EBV-VCA-IgG (0=negativ, 1=positiv)</c:v>
                </c:pt>
                <c:pt idx="1">
                  <c:v>EBV-IgA (0=negativ, 1=positiv)</c:v>
                </c:pt>
                <c:pt idx="2">
                  <c:v>Epstein-Barr-IgM (0=negativ, 1=positiv)</c:v>
                </c:pt>
                <c:pt idx="3">
                  <c:v>Epstein-Barr-IgG (0=negativ, 1=positiv)</c:v>
                </c:pt>
                <c:pt idx="4">
                  <c:v>Cytomegalievirus (CMV) (0=negativ, 1=positiv)</c:v>
                </c:pt>
                <c:pt idx="5">
                  <c:v>Cytomegalievirus-IgM(CMV) (0=negativ, 1=positiv)</c:v>
                </c:pt>
                <c:pt idx="6">
                  <c:v>Cytomegalievirus-IgG(CMV) (0=negativ, 1=positiv)</c:v>
                </c:pt>
                <c:pt idx="7">
                  <c:v>ANA(Antinukleäre Antikörper)-Datum umbekannt (0=negativ (≤ 1:80), 1=positiv)</c:v>
                </c:pt>
                <c:pt idx="8">
                  <c:v>c-ANCA (0=negativ, 1=positiv</c:v>
                </c:pt>
                <c:pt idx="9">
                  <c:v>p-ANCA (0=negativ, 1=positiv</c:v>
                </c:pt>
                <c:pt idx="10">
                  <c:v>DsDNA-Antikörper-Datum unbekannt (0=negativ, 1=positiv)</c:v>
                </c:pt>
                <c:pt idx="11">
                  <c:v>Anti-DNS-Doppelstrang-Antikörper (0=negativ, 1=positiv)</c:v>
                </c:pt>
                <c:pt idx="12">
                  <c:v>Anti-glatte Muskulatur-Antikörper -Datum unbekannt(0=negativ, 1=positiv)</c:v>
                </c:pt>
                <c:pt idx="13">
                  <c:v>RNP-Antikörper (0=negativ, 1=positiv)</c:v>
                </c:pt>
                <c:pt idx="14">
                  <c:v>RNP-Antigen (0=negativ, 1=positiv)</c:v>
                </c:pt>
                <c:pt idx="15">
                  <c:v>SLA-Autoantikörper (0=negativ, 1=positiv)</c:v>
                </c:pt>
                <c:pt idx="16">
                  <c:v>SLA-LP-Autoantikörper (0=negativ, 1=positiv)</c:v>
                </c:pt>
                <c:pt idx="17">
                  <c:v>LKM1-Autoantikörper (0=negativ, 1=positiv)</c:v>
                </c:pt>
                <c:pt idx="18">
                  <c:v>LKM2-Autoantikörper (0=negativ, 1=positiv)</c:v>
                </c:pt>
                <c:pt idx="19">
                  <c:v>AMA (Antimitochondrialer Autoantikörper (0=negativ, 1=positiv)</c:v>
                </c:pt>
                <c:pt idx="20">
                  <c:v>AMA-M2 (Antimitochondrialer Autoantikörper (0=negativ, 1=positiv)</c:v>
                </c:pt>
                <c:pt idx="21">
                  <c:v>HIV (0=negativ, 1=positiv) -&gt; siehe zusätzlich anamnese</c:v>
                </c:pt>
                <c:pt idx="22">
                  <c:v>HIV-Antikörper (0=negativ, 1=positiv)</c:v>
                </c:pt>
                <c:pt idx="23">
                  <c:v>Herpes simplex Virus IgM (0=negativ, 1=positiv)</c:v>
                </c:pt>
                <c:pt idx="24">
                  <c:v>Herpes simplex Virus IgG (0=negativ, 1=positiv)</c:v>
                </c:pt>
                <c:pt idx="25">
                  <c:v>Hepatitis A-Antikörper (0=negativ, 1=positiv)</c:v>
                </c:pt>
                <c:pt idx="26">
                  <c:v>Hepatitis B-Antikörper (0=negativ, 1=positiv)</c:v>
                </c:pt>
                <c:pt idx="27">
                  <c:v>Hepatitis C-Antikörper (0=negativ, 1=positiv)</c:v>
                </c:pt>
                <c:pt idx="28">
                  <c:v>Hepatitis E-Antikörper (0=negativ, 1=positiv)</c:v>
                </c:pt>
                <c:pt idx="29">
                  <c:v>Anti-HAV-IgG (0=negativ, 1=positiv)</c:v>
                </c:pt>
                <c:pt idx="30">
                  <c:v>Anti-HAV-IgM (0=negativ, 1=positiv)</c:v>
                </c:pt>
                <c:pt idx="31">
                  <c:v>HCV-RNA (0=negativ, 1=positiv)</c:v>
                </c:pt>
                <c:pt idx="32">
                  <c:v>HBs-Antikörper (0=negativ, 1=positiv)</c:v>
                </c:pt>
                <c:pt idx="33">
                  <c:v>HBsAg (0=negativ, 1=positiv)</c:v>
                </c:pt>
                <c:pt idx="34">
                  <c:v>HBc-Antikörper (0=negativ, 1=positiv)</c:v>
                </c:pt>
              </c:strCache>
            </c:strRef>
          </c:cat>
          <c:val>
            <c:numRef>
              <c:f>'Diagramms qual'!$C$2:$AK$2</c:f>
              <c:numCache>
                <c:formatCode>General</c:formatCode>
                <c:ptCount val="35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  <c:pt idx="7">
                  <c:v>13</c:v>
                </c:pt>
                <c:pt idx="8">
                  <c:v>5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9</c:v>
                </c:pt>
                <c:pt idx="20">
                  <c:v>1</c:v>
                </c:pt>
                <c:pt idx="21">
                  <c:v>5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17</c:v>
                </c:pt>
                <c:pt idx="26">
                  <c:v>19</c:v>
                </c:pt>
                <c:pt idx="27">
                  <c:v>24</c:v>
                </c:pt>
                <c:pt idx="28">
                  <c:v>3</c:v>
                </c:pt>
                <c:pt idx="29">
                  <c:v>3</c:v>
                </c:pt>
                <c:pt idx="30">
                  <c:v>6</c:v>
                </c:pt>
                <c:pt idx="31">
                  <c:v>1</c:v>
                </c:pt>
                <c:pt idx="32">
                  <c:v>6</c:v>
                </c:pt>
                <c:pt idx="33">
                  <c:v>8</c:v>
                </c:pt>
                <c:pt idx="3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2-4576-8FA2-C8AC44B303B7}"/>
            </c:ext>
          </c:extLst>
        </c:ser>
        <c:ser>
          <c:idx val="1"/>
          <c:order val="1"/>
          <c:tx>
            <c:strRef>
              <c:f>'Diagramms qual'!$B$3</c:f>
              <c:strCache>
                <c:ptCount val="1"/>
                <c:pt idx="0">
                  <c:v>positiv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'Diagramms qual'!$C$1:$AK$1</c:f>
              <c:strCache>
                <c:ptCount val="35"/>
                <c:pt idx="0">
                  <c:v>EBV-VCA-IgG (0=negativ, 1=positiv)</c:v>
                </c:pt>
                <c:pt idx="1">
                  <c:v>EBV-IgA (0=negativ, 1=positiv)</c:v>
                </c:pt>
                <c:pt idx="2">
                  <c:v>Epstein-Barr-IgM (0=negativ, 1=positiv)</c:v>
                </c:pt>
                <c:pt idx="3">
                  <c:v>Epstein-Barr-IgG (0=negativ, 1=positiv)</c:v>
                </c:pt>
                <c:pt idx="4">
                  <c:v>Cytomegalievirus (CMV) (0=negativ, 1=positiv)</c:v>
                </c:pt>
                <c:pt idx="5">
                  <c:v>Cytomegalievirus-IgM(CMV) (0=negativ, 1=positiv)</c:v>
                </c:pt>
                <c:pt idx="6">
                  <c:v>Cytomegalievirus-IgG(CMV) (0=negativ, 1=positiv)</c:v>
                </c:pt>
                <c:pt idx="7">
                  <c:v>ANA(Antinukleäre Antikörper)-Datum umbekannt (0=negativ (≤ 1:80), 1=positiv)</c:v>
                </c:pt>
                <c:pt idx="8">
                  <c:v>c-ANCA (0=negativ, 1=positiv</c:v>
                </c:pt>
                <c:pt idx="9">
                  <c:v>p-ANCA (0=negativ, 1=positiv</c:v>
                </c:pt>
                <c:pt idx="10">
                  <c:v>DsDNA-Antikörper-Datum unbekannt (0=negativ, 1=positiv)</c:v>
                </c:pt>
                <c:pt idx="11">
                  <c:v>Anti-DNS-Doppelstrang-Antikörper (0=negativ, 1=positiv)</c:v>
                </c:pt>
                <c:pt idx="12">
                  <c:v>Anti-glatte Muskulatur-Antikörper -Datum unbekannt(0=negativ, 1=positiv)</c:v>
                </c:pt>
                <c:pt idx="13">
                  <c:v>RNP-Antikörper (0=negativ, 1=positiv)</c:v>
                </c:pt>
                <c:pt idx="14">
                  <c:v>RNP-Antigen (0=negativ, 1=positiv)</c:v>
                </c:pt>
                <c:pt idx="15">
                  <c:v>SLA-Autoantikörper (0=negativ, 1=positiv)</c:v>
                </c:pt>
                <c:pt idx="16">
                  <c:v>SLA-LP-Autoantikörper (0=negativ, 1=positiv)</c:v>
                </c:pt>
                <c:pt idx="17">
                  <c:v>LKM1-Autoantikörper (0=negativ, 1=positiv)</c:v>
                </c:pt>
                <c:pt idx="18">
                  <c:v>LKM2-Autoantikörper (0=negativ, 1=positiv)</c:v>
                </c:pt>
                <c:pt idx="19">
                  <c:v>AMA (Antimitochondrialer Autoantikörper (0=negativ, 1=positiv)</c:v>
                </c:pt>
                <c:pt idx="20">
                  <c:v>AMA-M2 (Antimitochondrialer Autoantikörper (0=negativ, 1=positiv)</c:v>
                </c:pt>
                <c:pt idx="21">
                  <c:v>HIV (0=negativ, 1=positiv) -&gt; siehe zusätzlich anamnese</c:v>
                </c:pt>
                <c:pt idx="22">
                  <c:v>HIV-Antikörper (0=negativ, 1=positiv)</c:v>
                </c:pt>
                <c:pt idx="23">
                  <c:v>Herpes simplex Virus IgM (0=negativ, 1=positiv)</c:v>
                </c:pt>
                <c:pt idx="24">
                  <c:v>Herpes simplex Virus IgG (0=negativ, 1=positiv)</c:v>
                </c:pt>
                <c:pt idx="25">
                  <c:v>Hepatitis A-Antikörper (0=negativ, 1=positiv)</c:v>
                </c:pt>
                <c:pt idx="26">
                  <c:v>Hepatitis B-Antikörper (0=negativ, 1=positiv)</c:v>
                </c:pt>
                <c:pt idx="27">
                  <c:v>Hepatitis C-Antikörper (0=negativ, 1=positiv)</c:v>
                </c:pt>
                <c:pt idx="28">
                  <c:v>Hepatitis E-Antikörper (0=negativ, 1=positiv)</c:v>
                </c:pt>
                <c:pt idx="29">
                  <c:v>Anti-HAV-IgG (0=negativ, 1=positiv)</c:v>
                </c:pt>
                <c:pt idx="30">
                  <c:v>Anti-HAV-IgM (0=negativ, 1=positiv)</c:v>
                </c:pt>
                <c:pt idx="31">
                  <c:v>HCV-RNA (0=negativ, 1=positiv)</c:v>
                </c:pt>
                <c:pt idx="32">
                  <c:v>HBs-Antikörper (0=negativ, 1=positiv)</c:v>
                </c:pt>
                <c:pt idx="33">
                  <c:v>HBsAg (0=negativ, 1=positiv)</c:v>
                </c:pt>
                <c:pt idx="34">
                  <c:v>HBc-Antikörper (0=negativ, 1=positiv)</c:v>
                </c:pt>
              </c:strCache>
            </c:strRef>
          </c:cat>
          <c:val>
            <c:numRef>
              <c:f>'Diagramms qual'!$C$3:$AK$3</c:f>
              <c:numCache>
                <c:formatCode>General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2-4576-8FA2-C8AC44B303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0469519"/>
        <c:axId val="1670469999"/>
      </c:barChart>
      <c:catAx>
        <c:axId val="16704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0469999"/>
        <c:crosses val="autoZero"/>
        <c:auto val="1"/>
        <c:lblAlgn val="ctr"/>
        <c:lblOffset val="100"/>
        <c:noMultiLvlLbl val="0"/>
      </c:catAx>
      <c:valAx>
        <c:axId val="16704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046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leber_ibu positive/negative test-results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'Diagramms qual'!$B$41</c:f>
              <c:strCache>
                <c:ptCount val="1"/>
                <c:pt idx="0">
                  <c:v>negativ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'Diagramms qual'!$C$40:$AK$40</c:f>
              <c:strCache>
                <c:ptCount val="35"/>
                <c:pt idx="0">
                  <c:v>EBV-VCA-IgG (0=negativ, 1=positiv)</c:v>
                </c:pt>
                <c:pt idx="1">
                  <c:v>EBV-IgA (0=negativ, 1=positiv)</c:v>
                </c:pt>
                <c:pt idx="2">
                  <c:v>Epstein-Barr-IgM (0=negativ, 1=positiv)</c:v>
                </c:pt>
                <c:pt idx="3">
                  <c:v>Epstein-Barr-IgG (0=negativ, 1=positiv)</c:v>
                </c:pt>
                <c:pt idx="4">
                  <c:v>Cytomegalievirus (CMV) (0=negativ, 1=positiv)</c:v>
                </c:pt>
                <c:pt idx="5">
                  <c:v>Cytomegalievirus-IgM(CMV) (0=negativ, 1=positiv)</c:v>
                </c:pt>
                <c:pt idx="6">
                  <c:v>Cytomegalievirus-IgG(CMV) (0=negativ, 1=positiv)</c:v>
                </c:pt>
                <c:pt idx="7">
                  <c:v>ANA(Antinukleäre Antikörper)-Datum umbekannt (0=negativ (≤ 1:80), 1=positiv)</c:v>
                </c:pt>
                <c:pt idx="8">
                  <c:v>c-ANCA (0=negativ, 1=positiv</c:v>
                </c:pt>
                <c:pt idx="9">
                  <c:v>p-ANCA (0=negativ, 1=positiv</c:v>
                </c:pt>
                <c:pt idx="10">
                  <c:v>DsDNA-Antikörper-Datum unbekannt (0=negativ, 1=positiv)</c:v>
                </c:pt>
                <c:pt idx="11">
                  <c:v>Anti-DNS-Doppelstrang-Antikörper (0=negativ, 1=positiv)</c:v>
                </c:pt>
                <c:pt idx="12">
                  <c:v>Anti-glatte Muskulatur-Antikörper -Datum unbekannt(0=negativ, 1=positiv)</c:v>
                </c:pt>
                <c:pt idx="13">
                  <c:v>RNP-Antikörper (0=negativ, 1=positiv)</c:v>
                </c:pt>
                <c:pt idx="14">
                  <c:v>RNP-Antigen (0=negativ, 1=positiv)</c:v>
                </c:pt>
                <c:pt idx="15">
                  <c:v>SLA-Autoantikörper (0=negativ, 1=positiv)</c:v>
                </c:pt>
                <c:pt idx="16">
                  <c:v>SLA-LP-Autoantikörper (0=negativ, 1=positiv)</c:v>
                </c:pt>
                <c:pt idx="17">
                  <c:v>LKM1-Autoantikörper (0=negativ, 1=positiv)</c:v>
                </c:pt>
                <c:pt idx="18">
                  <c:v>LKM2-Autoantikörper (0=negativ, 1=positiv)</c:v>
                </c:pt>
                <c:pt idx="19">
                  <c:v>AMA (Antimitochondrialer Autoantikörper (0=negativ, 1=positiv)</c:v>
                </c:pt>
                <c:pt idx="20">
                  <c:v>AMA-M2 (Antimitochondrialer Autoantikörper (0=negativ, 1=positiv)</c:v>
                </c:pt>
                <c:pt idx="21">
                  <c:v>HIV (0=negativ, 1=positiv) -&gt; siehe zusätzlich anamnese</c:v>
                </c:pt>
                <c:pt idx="22">
                  <c:v>HIV-Antikörper (0=negativ, 1=positiv)</c:v>
                </c:pt>
                <c:pt idx="23">
                  <c:v>Herpes simplex Virus IgM (0=negativ, 1=positiv)</c:v>
                </c:pt>
                <c:pt idx="24">
                  <c:v>Herpes simplex Virus IgG (0=negativ, 1=positiv)</c:v>
                </c:pt>
                <c:pt idx="25">
                  <c:v>Hepatitis A-Antikörper (0=negativ, 1=positiv)</c:v>
                </c:pt>
                <c:pt idx="26">
                  <c:v>Hepatitis B-Antikörper (0=negativ, 1=positiv)</c:v>
                </c:pt>
                <c:pt idx="27">
                  <c:v>Hepatitis C-Antikörper (0=negativ, 1=positiv)</c:v>
                </c:pt>
                <c:pt idx="28">
                  <c:v>Hepatitis E-Antikörper (0=negativ, 1=positiv)</c:v>
                </c:pt>
                <c:pt idx="29">
                  <c:v>Anti-HAV-IgG (0=negativ, 1=positiv)</c:v>
                </c:pt>
                <c:pt idx="30">
                  <c:v>Anti-HAV-IgM (0=negativ, 1=positiv)</c:v>
                </c:pt>
                <c:pt idx="31">
                  <c:v>HCV-RNA (0=negativ, 1=positiv)</c:v>
                </c:pt>
                <c:pt idx="32">
                  <c:v>HBs-Antikörper (0=negativ, 1=positiv)</c:v>
                </c:pt>
                <c:pt idx="33">
                  <c:v>HBsAg (0=negativ, 1=positiv)</c:v>
                </c:pt>
                <c:pt idx="34">
                  <c:v>HBc-Antikörper (0=negativ, 1=positiv)</c:v>
                </c:pt>
              </c:strCache>
            </c:strRef>
          </c:cat>
          <c:val>
            <c:numRef>
              <c:f>'Diagramms qual'!$C$41:$AK$41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20</c:v>
                </c:pt>
                <c:pt idx="26">
                  <c:v>16</c:v>
                </c:pt>
                <c:pt idx="27">
                  <c:v>20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6</c:v>
                </c:pt>
                <c:pt idx="33">
                  <c:v>10</c:v>
                </c:pt>
                <c:pt idx="3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2-4F15-9652-EEF5493ECB55}"/>
            </c:ext>
          </c:extLst>
        </c:ser>
        <c:ser>
          <c:idx val="1"/>
          <c:order val="1"/>
          <c:tx>
            <c:strRef>
              <c:f>'Diagramms qual'!$B$42</c:f>
              <c:strCache>
                <c:ptCount val="1"/>
                <c:pt idx="0">
                  <c:v>positiv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'Diagramms qual'!$C$40:$AK$40</c:f>
              <c:strCache>
                <c:ptCount val="35"/>
                <c:pt idx="0">
                  <c:v>EBV-VCA-IgG (0=negativ, 1=positiv)</c:v>
                </c:pt>
                <c:pt idx="1">
                  <c:v>EBV-IgA (0=negativ, 1=positiv)</c:v>
                </c:pt>
                <c:pt idx="2">
                  <c:v>Epstein-Barr-IgM (0=negativ, 1=positiv)</c:v>
                </c:pt>
                <c:pt idx="3">
                  <c:v>Epstein-Barr-IgG (0=negativ, 1=positiv)</c:v>
                </c:pt>
                <c:pt idx="4">
                  <c:v>Cytomegalievirus (CMV) (0=negativ, 1=positiv)</c:v>
                </c:pt>
                <c:pt idx="5">
                  <c:v>Cytomegalievirus-IgM(CMV) (0=negativ, 1=positiv)</c:v>
                </c:pt>
                <c:pt idx="6">
                  <c:v>Cytomegalievirus-IgG(CMV) (0=negativ, 1=positiv)</c:v>
                </c:pt>
                <c:pt idx="7">
                  <c:v>ANA(Antinukleäre Antikörper)-Datum umbekannt (0=negativ (≤ 1:80), 1=positiv)</c:v>
                </c:pt>
                <c:pt idx="8">
                  <c:v>c-ANCA (0=negativ, 1=positiv</c:v>
                </c:pt>
                <c:pt idx="9">
                  <c:v>p-ANCA (0=negativ, 1=positiv</c:v>
                </c:pt>
                <c:pt idx="10">
                  <c:v>DsDNA-Antikörper-Datum unbekannt (0=negativ, 1=positiv)</c:v>
                </c:pt>
                <c:pt idx="11">
                  <c:v>Anti-DNS-Doppelstrang-Antikörper (0=negativ, 1=positiv)</c:v>
                </c:pt>
                <c:pt idx="12">
                  <c:v>Anti-glatte Muskulatur-Antikörper -Datum unbekannt(0=negativ, 1=positiv)</c:v>
                </c:pt>
                <c:pt idx="13">
                  <c:v>RNP-Antikörper (0=negativ, 1=positiv)</c:v>
                </c:pt>
                <c:pt idx="14">
                  <c:v>RNP-Antigen (0=negativ, 1=positiv)</c:v>
                </c:pt>
                <c:pt idx="15">
                  <c:v>SLA-Autoantikörper (0=negativ, 1=positiv)</c:v>
                </c:pt>
                <c:pt idx="16">
                  <c:v>SLA-LP-Autoantikörper (0=negativ, 1=positiv)</c:v>
                </c:pt>
                <c:pt idx="17">
                  <c:v>LKM1-Autoantikörper (0=negativ, 1=positiv)</c:v>
                </c:pt>
                <c:pt idx="18">
                  <c:v>LKM2-Autoantikörper (0=negativ, 1=positiv)</c:v>
                </c:pt>
                <c:pt idx="19">
                  <c:v>AMA (Antimitochondrialer Autoantikörper (0=negativ, 1=positiv)</c:v>
                </c:pt>
                <c:pt idx="20">
                  <c:v>AMA-M2 (Antimitochondrialer Autoantikörper (0=negativ, 1=positiv)</c:v>
                </c:pt>
                <c:pt idx="21">
                  <c:v>HIV (0=negativ, 1=positiv) -&gt; siehe zusätzlich anamnese</c:v>
                </c:pt>
                <c:pt idx="22">
                  <c:v>HIV-Antikörper (0=negativ, 1=positiv)</c:v>
                </c:pt>
                <c:pt idx="23">
                  <c:v>Herpes simplex Virus IgM (0=negativ, 1=positiv)</c:v>
                </c:pt>
                <c:pt idx="24">
                  <c:v>Herpes simplex Virus IgG (0=negativ, 1=positiv)</c:v>
                </c:pt>
                <c:pt idx="25">
                  <c:v>Hepatitis A-Antikörper (0=negativ, 1=positiv)</c:v>
                </c:pt>
                <c:pt idx="26">
                  <c:v>Hepatitis B-Antikörper (0=negativ, 1=positiv)</c:v>
                </c:pt>
                <c:pt idx="27">
                  <c:v>Hepatitis C-Antikörper (0=negativ, 1=positiv)</c:v>
                </c:pt>
                <c:pt idx="28">
                  <c:v>Hepatitis E-Antikörper (0=negativ, 1=positiv)</c:v>
                </c:pt>
                <c:pt idx="29">
                  <c:v>Anti-HAV-IgG (0=negativ, 1=positiv)</c:v>
                </c:pt>
                <c:pt idx="30">
                  <c:v>Anti-HAV-IgM (0=negativ, 1=positiv)</c:v>
                </c:pt>
                <c:pt idx="31">
                  <c:v>HCV-RNA (0=negativ, 1=positiv)</c:v>
                </c:pt>
                <c:pt idx="32">
                  <c:v>HBs-Antikörper (0=negativ, 1=positiv)</c:v>
                </c:pt>
                <c:pt idx="33">
                  <c:v>HBsAg (0=negativ, 1=positiv)</c:v>
                </c:pt>
                <c:pt idx="34">
                  <c:v>HBc-Antikörper (0=negativ, 1=positiv)</c:v>
                </c:pt>
              </c:strCache>
            </c:strRef>
          </c:cat>
          <c:val>
            <c:numRef>
              <c:f>'Diagramms qual'!$C$42:$AK$42</c:f>
              <c:numCache>
                <c:formatCode>General</c:formatCode>
                <c:ptCount val="3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2-4F15-9652-EEF5493ECB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2070735"/>
        <c:axId val="1672073615"/>
      </c:barChart>
      <c:catAx>
        <c:axId val="16720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2073615"/>
        <c:crosses val="autoZero"/>
        <c:auto val="1"/>
        <c:lblAlgn val="ctr"/>
        <c:lblOffset val="100"/>
        <c:noMultiLvlLbl val="0"/>
      </c:catAx>
      <c:valAx>
        <c:axId val="16720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207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leber_para positive/negative test-results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'Diagramms qual'!$B$79</c:f>
              <c:strCache>
                <c:ptCount val="1"/>
                <c:pt idx="0">
                  <c:v>negativ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'Diagramms qual'!$C$78:$AK$78</c:f>
              <c:strCache>
                <c:ptCount val="35"/>
                <c:pt idx="0">
                  <c:v>EBV-VCA-IgG (0=negativ, 1=positiv)</c:v>
                </c:pt>
                <c:pt idx="1">
                  <c:v>EBV-IgA (0=negativ, 1=positiv)</c:v>
                </c:pt>
                <c:pt idx="2">
                  <c:v>Epstein-Barr-IgM (0=negativ, 1=positiv)</c:v>
                </c:pt>
                <c:pt idx="3">
                  <c:v>Epstein-Barr-IgG (0=negativ, 1=positiv)</c:v>
                </c:pt>
                <c:pt idx="4">
                  <c:v>Cytomegalievirus (CMV) (0=negativ, 1=positiv)</c:v>
                </c:pt>
                <c:pt idx="5">
                  <c:v>Cytomegalievirus-IgM(CMV) (0=negativ, 1=positiv)</c:v>
                </c:pt>
                <c:pt idx="6">
                  <c:v>Cytomegalievirus-IgG(CMV) (0=negativ, 1=positiv)</c:v>
                </c:pt>
                <c:pt idx="7">
                  <c:v>ANA(Antinukleäre Antikörper)-Datum umbekannt (0=negativ (≤ 1:80), 1=positiv)</c:v>
                </c:pt>
                <c:pt idx="8">
                  <c:v>c-ANCA (0=negativ, 1=positiv</c:v>
                </c:pt>
                <c:pt idx="9">
                  <c:v>p-ANCA (0=negativ, 1=positiv</c:v>
                </c:pt>
                <c:pt idx="10">
                  <c:v>DsDNA-Antikörper-Datum unbekannt (0=negativ, 1=positiv)</c:v>
                </c:pt>
                <c:pt idx="11">
                  <c:v>Anti-DNS-Doppelstrang-Antikörper (0=negativ, 1=positiv)</c:v>
                </c:pt>
                <c:pt idx="12">
                  <c:v>Anti-glatte Muskulatur-Antikörper -Datum unbekannt(0=negativ, 1=positiv)</c:v>
                </c:pt>
                <c:pt idx="13">
                  <c:v>RNP-Antikörper (0=negativ, 1=positiv)</c:v>
                </c:pt>
                <c:pt idx="14">
                  <c:v>RNP-Antigen (0=negativ, 1=positiv)</c:v>
                </c:pt>
                <c:pt idx="15">
                  <c:v>SLA-Autoantikörper (0=negativ, 1=positiv)</c:v>
                </c:pt>
                <c:pt idx="16">
                  <c:v>SLA-LP-Autoantikörper (0=negativ, 1=positiv)</c:v>
                </c:pt>
                <c:pt idx="17">
                  <c:v>LKM1-Autoantikörper (0=negativ, 1=positiv)</c:v>
                </c:pt>
                <c:pt idx="18">
                  <c:v>LKM2-Autoantikörper (0=negativ, 1=positiv)</c:v>
                </c:pt>
                <c:pt idx="19">
                  <c:v>AMA (Antimitochondrialer Autoantikörper (0=negativ, 1=positiv)</c:v>
                </c:pt>
                <c:pt idx="20">
                  <c:v>AMA-M2 (Antimitochondrialer Autoantikörper (0=negativ, 1=positiv)</c:v>
                </c:pt>
                <c:pt idx="21">
                  <c:v>HIV (0=negativ, 1=positiv) -&gt; siehe zusätzlich anamnese</c:v>
                </c:pt>
                <c:pt idx="22">
                  <c:v>HIV-Antikörper (0=negativ, 1=positiv)</c:v>
                </c:pt>
                <c:pt idx="23">
                  <c:v>Herpes simplex Virus IgM (0=negativ, 1=positiv)</c:v>
                </c:pt>
                <c:pt idx="24">
                  <c:v>Herpes simplex Virus IgG (0=negativ, 1=positiv)</c:v>
                </c:pt>
                <c:pt idx="25">
                  <c:v>Hepatitis A-Antikörper (0=negativ, 1=positiv)</c:v>
                </c:pt>
                <c:pt idx="26">
                  <c:v>Hepatitis B-Antikörper (0=negativ, 1=positiv)</c:v>
                </c:pt>
                <c:pt idx="27">
                  <c:v>Hepatitis C-Antikörper (0=negativ, 1=positiv)</c:v>
                </c:pt>
                <c:pt idx="28">
                  <c:v>Hepatitis E-Antikörper (0=negativ, 1=positiv)</c:v>
                </c:pt>
                <c:pt idx="29">
                  <c:v>Anti-HAV-IgG (0=negativ, 1=positiv)</c:v>
                </c:pt>
                <c:pt idx="30">
                  <c:v>Anti-HAV-IgM (0=negativ, 1=positiv)</c:v>
                </c:pt>
                <c:pt idx="31">
                  <c:v>HCV-RNA (0=negativ, 1=positiv)</c:v>
                </c:pt>
                <c:pt idx="32">
                  <c:v>HBs-Antikörper (0=negativ, 1=positiv)</c:v>
                </c:pt>
                <c:pt idx="33">
                  <c:v>HBsAg (0=negativ, 1=positiv)</c:v>
                </c:pt>
                <c:pt idx="34">
                  <c:v>HBc-Antikörper (0=negativ, 1=positiv)</c:v>
                </c:pt>
              </c:strCache>
            </c:strRef>
          </c:cat>
          <c:val>
            <c:numRef>
              <c:f>'Diagramms qual'!$C$79:$AK$79</c:f>
              <c:numCache>
                <c:formatCode>General</c:formatCode>
                <c:ptCount val="35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3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5</c:v>
                </c:pt>
                <c:pt idx="9">
                  <c:v>5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4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9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9-45EF-98DE-73F1E7CDE4A8}"/>
            </c:ext>
          </c:extLst>
        </c:ser>
        <c:ser>
          <c:idx val="1"/>
          <c:order val="1"/>
          <c:tx>
            <c:strRef>
              <c:f>'Diagramms qual'!$B$80</c:f>
              <c:strCache>
                <c:ptCount val="1"/>
                <c:pt idx="0">
                  <c:v>positiv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'Diagramms qual'!$C$78:$AK$78</c:f>
              <c:strCache>
                <c:ptCount val="35"/>
                <c:pt idx="0">
                  <c:v>EBV-VCA-IgG (0=negativ, 1=positiv)</c:v>
                </c:pt>
                <c:pt idx="1">
                  <c:v>EBV-IgA (0=negativ, 1=positiv)</c:v>
                </c:pt>
                <c:pt idx="2">
                  <c:v>Epstein-Barr-IgM (0=negativ, 1=positiv)</c:v>
                </c:pt>
                <c:pt idx="3">
                  <c:v>Epstein-Barr-IgG (0=negativ, 1=positiv)</c:v>
                </c:pt>
                <c:pt idx="4">
                  <c:v>Cytomegalievirus (CMV) (0=negativ, 1=positiv)</c:v>
                </c:pt>
                <c:pt idx="5">
                  <c:v>Cytomegalievirus-IgM(CMV) (0=negativ, 1=positiv)</c:v>
                </c:pt>
                <c:pt idx="6">
                  <c:v>Cytomegalievirus-IgG(CMV) (0=negativ, 1=positiv)</c:v>
                </c:pt>
                <c:pt idx="7">
                  <c:v>ANA(Antinukleäre Antikörper)-Datum umbekannt (0=negativ (≤ 1:80), 1=positiv)</c:v>
                </c:pt>
                <c:pt idx="8">
                  <c:v>c-ANCA (0=negativ, 1=positiv</c:v>
                </c:pt>
                <c:pt idx="9">
                  <c:v>p-ANCA (0=negativ, 1=positiv</c:v>
                </c:pt>
                <c:pt idx="10">
                  <c:v>DsDNA-Antikörper-Datum unbekannt (0=negativ, 1=positiv)</c:v>
                </c:pt>
                <c:pt idx="11">
                  <c:v>Anti-DNS-Doppelstrang-Antikörper (0=negativ, 1=positiv)</c:v>
                </c:pt>
                <c:pt idx="12">
                  <c:v>Anti-glatte Muskulatur-Antikörper -Datum unbekannt(0=negativ, 1=positiv)</c:v>
                </c:pt>
                <c:pt idx="13">
                  <c:v>RNP-Antikörper (0=negativ, 1=positiv)</c:v>
                </c:pt>
                <c:pt idx="14">
                  <c:v>RNP-Antigen (0=negativ, 1=positiv)</c:v>
                </c:pt>
                <c:pt idx="15">
                  <c:v>SLA-Autoantikörper (0=negativ, 1=positiv)</c:v>
                </c:pt>
                <c:pt idx="16">
                  <c:v>SLA-LP-Autoantikörper (0=negativ, 1=positiv)</c:v>
                </c:pt>
                <c:pt idx="17">
                  <c:v>LKM1-Autoantikörper (0=negativ, 1=positiv)</c:v>
                </c:pt>
                <c:pt idx="18">
                  <c:v>LKM2-Autoantikörper (0=negativ, 1=positiv)</c:v>
                </c:pt>
                <c:pt idx="19">
                  <c:v>AMA (Antimitochondrialer Autoantikörper (0=negativ, 1=positiv)</c:v>
                </c:pt>
                <c:pt idx="20">
                  <c:v>AMA-M2 (Antimitochondrialer Autoantikörper (0=negativ, 1=positiv)</c:v>
                </c:pt>
                <c:pt idx="21">
                  <c:v>HIV (0=negativ, 1=positiv) -&gt; siehe zusätzlich anamnese</c:v>
                </c:pt>
                <c:pt idx="22">
                  <c:v>HIV-Antikörper (0=negativ, 1=positiv)</c:v>
                </c:pt>
                <c:pt idx="23">
                  <c:v>Herpes simplex Virus IgM (0=negativ, 1=positiv)</c:v>
                </c:pt>
                <c:pt idx="24">
                  <c:v>Herpes simplex Virus IgG (0=negativ, 1=positiv)</c:v>
                </c:pt>
                <c:pt idx="25">
                  <c:v>Hepatitis A-Antikörper (0=negativ, 1=positiv)</c:v>
                </c:pt>
                <c:pt idx="26">
                  <c:v>Hepatitis B-Antikörper (0=negativ, 1=positiv)</c:v>
                </c:pt>
                <c:pt idx="27">
                  <c:v>Hepatitis C-Antikörper (0=negativ, 1=positiv)</c:v>
                </c:pt>
                <c:pt idx="28">
                  <c:v>Hepatitis E-Antikörper (0=negativ, 1=positiv)</c:v>
                </c:pt>
                <c:pt idx="29">
                  <c:v>Anti-HAV-IgG (0=negativ, 1=positiv)</c:v>
                </c:pt>
                <c:pt idx="30">
                  <c:v>Anti-HAV-IgM (0=negativ, 1=positiv)</c:v>
                </c:pt>
                <c:pt idx="31">
                  <c:v>HCV-RNA (0=negativ, 1=positiv)</c:v>
                </c:pt>
                <c:pt idx="32">
                  <c:v>HBs-Antikörper (0=negativ, 1=positiv)</c:v>
                </c:pt>
                <c:pt idx="33">
                  <c:v>HBsAg (0=negativ, 1=positiv)</c:v>
                </c:pt>
                <c:pt idx="34">
                  <c:v>HBc-Antikörper (0=negativ, 1=positiv)</c:v>
                </c:pt>
              </c:strCache>
            </c:strRef>
          </c:cat>
          <c:val>
            <c:numRef>
              <c:f>'Diagramms qual'!$C$80:$AK$80</c:f>
              <c:numCache>
                <c:formatCode>General</c:formatCode>
                <c:ptCount val="3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9-45EF-98DE-73F1E7CDE4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54934431"/>
        <c:axId val="1354937311"/>
      </c:barChart>
      <c:catAx>
        <c:axId val="135493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4937311"/>
        <c:crosses val="autoZero"/>
        <c:auto val="1"/>
        <c:lblAlgn val="ctr"/>
        <c:lblOffset val="100"/>
        <c:noMultiLvlLbl val="0"/>
      </c:catAx>
      <c:valAx>
        <c:axId val="13549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493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5</xdr:row>
      <xdr:rowOff>23811</xdr:rowOff>
    </xdr:from>
    <xdr:to>
      <xdr:col>41</xdr:col>
      <xdr:colOff>695325</xdr:colOff>
      <xdr:row>38</xdr:row>
      <xdr:rowOff>47624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CDE9D99-FE40-1D8C-486E-327CF3F49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46</xdr:row>
      <xdr:rowOff>42862</xdr:rowOff>
    </xdr:from>
    <xdr:to>
      <xdr:col>27</xdr:col>
      <xdr:colOff>733425</xdr:colOff>
      <xdr:row>80</xdr:row>
      <xdr:rowOff>95250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6484F40B-C015-1039-F0AC-DF16D6145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28573</xdr:colOff>
      <xdr:row>89</xdr:row>
      <xdr:rowOff>52386</xdr:rowOff>
    </xdr:from>
    <xdr:to>
      <xdr:col>40</xdr:col>
      <xdr:colOff>85724</xdr:colOff>
      <xdr:row>121</xdr:row>
      <xdr:rowOff>57150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BE842EE7-205F-3001-C36D-F499EEFD5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185737</xdr:rowOff>
    </xdr:from>
    <xdr:to>
      <xdr:col>22</xdr:col>
      <xdr:colOff>9526</xdr:colOff>
      <xdr:row>38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9733F30-1B58-5558-7606-C2A465794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43</xdr:row>
      <xdr:rowOff>4761</xdr:rowOff>
    </xdr:from>
    <xdr:to>
      <xdr:col>22</xdr:col>
      <xdr:colOff>9525</xdr:colOff>
      <xdr:row>76</xdr:row>
      <xdr:rowOff>28574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DF9DF99-942F-73C9-7574-2EA000018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752474</xdr:colOff>
      <xdr:row>80</xdr:row>
      <xdr:rowOff>185736</xdr:rowOff>
    </xdr:from>
    <xdr:to>
      <xdr:col>21</xdr:col>
      <xdr:colOff>761999</xdr:colOff>
      <xdr:row>113</xdr:row>
      <xdr:rowOff>171449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5A092DF-3ABB-1548-AE99-CC00EBAFB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6F2D-5021-48A0-9861-7A308F62D958}">
  <dimension ref="A1:EA88"/>
  <sheetViews>
    <sheetView topLeftCell="D4" zoomScaleNormal="100" workbookViewId="0">
      <selection activeCell="C89" sqref="C89"/>
    </sheetView>
  </sheetViews>
  <sheetFormatPr baseColWidth="10" defaultRowHeight="15" x14ac:dyDescent="0.25"/>
  <sheetData>
    <row r="1" spans="1:131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13" t="s">
        <v>170</v>
      </c>
      <c r="K1" s="7" t="s">
        <v>32</v>
      </c>
      <c r="L1" s="7" t="s">
        <v>33</v>
      </c>
      <c r="M1" s="7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14" t="s">
        <v>171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8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159</v>
      </c>
      <c r="AN1" s="13" t="s">
        <v>172</v>
      </c>
      <c r="AO1" s="13" t="s">
        <v>173</v>
      </c>
      <c r="AP1" s="7" t="s">
        <v>60</v>
      </c>
      <c r="AQ1" s="7" t="s">
        <v>61</v>
      </c>
      <c r="AR1" s="7" t="s">
        <v>62</v>
      </c>
      <c r="AS1" s="7" t="s">
        <v>63</v>
      </c>
      <c r="AT1" s="7" t="s">
        <v>64</v>
      </c>
      <c r="AU1" s="7" t="s">
        <v>65</v>
      </c>
      <c r="AV1" s="7" t="s">
        <v>66</v>
      </c>
      <c r="AW1" s="7" t="s">
        <v>67</v>
      </c>
      <c r="AX1" s="7" t="s">
        <v>68</v>
      </c>
      <c r="AY1" s="7" t="s">
        <v>69</v>
      </c>
      <c r="AZ1" s="7" t="s">
        <v>70</v>
      </c>
      <c r="BA1" s="7" t="s">
        <v>71</v>
      </c>
      <c r="BB1" s="7" t="s">
        <v>72</v>
      </c>
      <c r="BC1" s="13" t="s">
        <v>174</v>
      </c>
      <c r="BD1" s="13" t="s">
        <v>175</v>
      </c>
      <c r="BE1" s="7" t="s">
        <v>73</v>
      </c>
      <c r="BF1" s="7" t="s">
        <v>74</v>
      </c>
      <c r="BG1" s="7" t="s">
        <v>75</v>
      </c>
      <c r="BH1" s="7" t="s">
        <v>76</v>
      </c>
      <c r="BI1" s="7" t="s">
        <v>77</v>
      </c>
      <c r="BJ1" s="13" t="s">
        <v>176</v>
      </c>
      <c r="BK1" s="7" t="s">
        <v>78</v>
      </c>
      <c r="BL1" s="7" t="s">
        <v>79</v>
      </c>
      <c r="BM1" s="7" t="s">
        <v>80</v>
      </c>
      <c r="BN1" s="7" t="s">
        <v>81</v>
      </c>
      <c r="BO1" s="7" t="s">
        <v>82</v>
      </c>
      <c r="BP1" s="7" t="s">
        <v>83</v>
      </c>
      <c r="BQ1" s="7" t="s">
        <v>84</v>
      </c>
      <c r="BR1" s="7" t="s">
        <v>85</v>
      </c>
      <c r="BS1" s="7" t="s">
        <v>86</v>
      </c>
      <c r="BT1" s="7" t="s">
        <v>87</v>
      </c>
      <c r="BU1" s="7" t="s">
        <v>88</v>
      </c>
      <c r="BV1" s="7" t="s">
        <v>89</v>
      </c>
      <c r="BW1" s="7" t="s">
        <v>90</v>
      </c>
      <c r="BX1" s="7" t="s">
        <v>91</v>
      </c>
      <c r="BY1" s="7" t="s">
        <v>92</v>
      </c>
      <c r="BZ1" s="7" t="s">
        <v>93</v>
      </c>
      <c r="CA1" s="7" t="s">
        <v>94</v>
      </c>
      <c r="CB1" s="7" t="s">
        <v>95</v>
      </c>
      <c r="CC1" s="7" t="s">
        <v>96</v>
      </c>
      <c r="CD1" s="7" t="s">
        <v>97</v>
      </c>
      <c r="CE1" s="13" t="s">
        <v>177</v>
      </c>
      <c r="CF1" s="13" t="s">
        <v>178</v>
      </c>
      <c r="CG1" s="15" t="s">
        <v>179</v>
      </c>
      <c r="CH1" s="7" t="s">
        <v>98</v>
      </c>
      <c r="CI1" s="13" t="s">
        <v>180</v>
      </c>
      <c r="CJ1" s="13" t="s">
        <v>181</v>
      </c>
      <c r="CK1" s="7" t="s">
        <v>99</v>
      </c>
      <c r="CL1" s="7" t="s">
        <v>100</v>
      </c>
      <c r="CM1" s="7" t="s">
        <v>101</v>
      </c>
      <c r="CN1" s="7" t="s">
        <v>102</v>
      </c>
      <c r="CO1" s="7" t="s">
        <v>103</v>
      </c>
      <c r="CP1" s="7" t="s">
        <v>104</v>
      </c>
      <c r="CQ1" s="7" t="s">
        <v>105</v>
      </c>
      <c r="CR1" s="7" t="s">
        <v>106</v>
      </c>
      <c r="CS1" s="13" t="s">
        <v>182</v>
      </c>
      <c r="CT1" s="7" t="s">
        <v>107</v>
      </c>
      <c r="CU1" s="7" t="s">
        <v>108</v>
      </c>
      <c r="CV1" s="7" t="s">
        <v>109</v>
      </c>
      <c r="CW1" s="7" t="s">
        <v>110</v>
      </c>
      <c r="CX1" s="7" t="s">
        <v>111</v>
      </c>
      <c r="CY1" s="7" t="s">
        <v>112</v>
      </c>
      <c r="CZ1" s="7" t="s">
        <v>113</v>
      </c>
      <c r="DA1" s="7" t="s">
        <v>114</v>
      </c>
      <c r="DB1" s="7" t="s">
        <v>115</v>
      </c>
      <c r="DC1" s="13" t="s">
        <v>183</v>
      </c>
      <c r="DD1" s="7" t="s">
        <v>116</v>
      </c>
      <c r="DE1" s="7" t="s">
        <v>117</v>
      </c>
      <c r="DF1" s="7" t="s">
        <v>118</v>
      </c>
      <c r="DG1" s="7" t="s">
        <v>119</v>
      </c>
      <c r="DH1" s="7" t="s">
        <v>120</v>
      </c>
      <c r="DI1" s="7" t="s">
        <v>121</v>
      </c>
      <c r="DJ1" s="7" t="s">
        <v>122</v>
      </c>
      <c r="DK1" s="7" t="s">
        <v>123</v>
      </c>
      <c r="DL1" s="7" t="s">
        <v>124</v>
      </c>
      <c r="DM1" s="7" t="s">
        <v>125</v>
      </c>
      <c r="DN1" s="7" t="s">
        <v>126</v>
      </c>
      <c r="DO1" s="7" t="s">
        <v>127</v>
      </c>
      <c r="DP1" s="7" t="s">
        <v>128</v>
      </c>
      <c r="DQ1" s="16" t="s">
        <v>184</v>
      </c>
      <c r="DR1" s="16" t="s">
        <v>185</v>
      </c>
      <c r="DS1" s="16" t="s">
        <v>186</v>
      </c>
      <c r="DT1" s="16" t="s">
        <v>187</v>
      </c>
      <c r="DU1" s="16" t="s">
        <v>188</v>
      </c>
      <c r="DV1" s="16" t="s">
        <v>189</v>
      </c>
      <c r="DW1" s="16" t="s">
        <v>190</v>
      </c>
      <c r="DX1" s="16" t="s">
        <v>191</v>
      </c>
      <c r="DY1" s="16" t="s">
        <v>192</v>
      </c>
      <c r="DZ1" s="16" t="s">
        <v>193</v>
      </c>
      <c r="EA1" s="16" t="s">
        <v>194</v>
      </c>
    </row>
    <row r="2" spans="1:131" x14ac:dyDescent="0.25">
      <c r="A2" t="s">
        <v>164</v>
      </c>
      <c r="B2" t="s">
        <v>11</v>
      </c>
      <c r="C2">
        <v>1</v>
      </c>
      <c r="D2">
        <v>3</v>
      </c>
      <c r="E2">
        <v>3</v>
      </c>
      <c r="F2">
        <v>2</v>
      </c>
      <c r="G2">
        <v>1</v>
      </c>
      <c r="H2">
        <v>2</v>
      </c>
      <c r="I2">
        <v>1</v>
      </c>
      <c r="J2">
        <v>3</v>
      </c>
      <c r="K2">
        <v>4</v>
      </c>
      <c r="L2">
        <v>1</v>
      </c>
      <c r="M2">
        <v>2</v>
      </c>
      <c r="N2">
        <v>4</v>
      </c>
      <c r="O2">
        <v>3</v>
      </c>
      <c r="P2">
        <v>9</v>
      </c>
      <c r="Q2">
        <v>2</v>
      </c>
      <c r="R2">
        <v>2</v>
      </c>
      <c r="S2">
        <v>1</v>
      </c>
      <c r="T2">
        <v>2</v>
      </c>
      <c r="U2">
        <v>1</v>
      </c>
      <c r="V2">
        <v>0</v>
      </c>
      <c r="W2">
        <v>2</v>
      </c>
      <c r="X2">
        <v>0</v>
      </c>
      <c r="Y2">
        <v>3</v>
      </c>
      <c r="Z2">
        <v>17</v>
      </c>
      <c r="AA2">
        <v>0</v>
      </c>
      <c r="AB2">
        <v>6</v>
      </c>
      <c r="AC2">
        <v>7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2</v>
      </c>
      <c r="AK2">
        <v>0</v>
      </c>
      <c r="AL2">
        <v>2</v>
      </c>
      <c r="AM2">
        <v>2</v>
      </c>
      <c r="AN2">
        <v>1</v>
      </c>
      <c r="AO2">
        <v>1</v>
      </c>
      <c r="AP2">
        <v>0</v>
      </c>
      <c r="AQ2">
        <v>3</v>
      </c>
      <c r="AR2">
        <v>2</v>
      </c>
      <c r="AS2">
        <v>2</v>
      </c>
      <c r="AT2">
        <v>1</v>
      </c>
      <c r="AU2">
        <v>1</v>
      </c>
      <c r="AV2">
        <v>1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3</v>
      </c>
      <c r="BF2">
        <v>0</v>
      </c>
      <c r="BG2">
        <v>4</v>
      </c>
      <c r="BH2">
        <v>1</v>
      </c>
      <c r="BI2">
        <v>1</v>
      </c>
      <c r="BJ2">
        <v>0</v>
      </c>
      <c r="BK2">
        <v>9</v>
      </c>
      <c r="BL2">
        <v>1</v>
      </c>
      <c r="BM2">
        <v>2</v>
      </c>
      <c r="BN2">
        <v>0</v>
      </c>
      <c r="BO2">
        <v>2</v>
      </c>
      <c r="BP2">
        <v>0</v>
      </c>
      <c r="BQ2">
        <v>1</v>
      </c>
      <c r="BR2">
        <v>1</v>
      </c>
      <c r="BS2">
        <v>1</v>
      </c>
      <c r="BT2">
        <v>0</v>
      </c>
      <c r="BU2">
        <v>0</v>
      </c>
      <c r="BV2">
        <v>0</v>
      </c>
      <c r="BW2">
        <v>5</v>
      </c>
      <c r="BX2">
        <v>0</v>
      </c>
      <c r="BY2">
        <v>2</v>
      </c>
      <c r="BZ2">
        <v>2</v>
      </c>
      <c r="CA2">
        <v>0</v>
      </c>
      <c r="CB2">
        <v>0</v>
      </c>
      <c r="CC2">
        <v>0</v>
      </c>
      <c r="CD2">
        <v>2</v>
      </c>
      <c r="CE2">
        <v>2</v>
      </c>
      <c r="CF2">
        <v>2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21</v>
      </c>
      <c r="CO2">
        <v>20</v>
      </c>
      <c r="CP2">
        <v>24</v>
      </c>
      <c r="CQ2">
        <v>0</v>
      </c>
      <c r="CR2">
        <v>3</v>
      </c>
      <c r="CS2">
        <v>0</v>
      </c>
      <c r="CT2">
        <v>4</v>
      </c>
      <c r="CU2">
        <v>6</v>
      </c>
      <c r="CV2">
        <v>0</v>
      </c>
      <c r="CW2">
        <v>0</v>
      </c>
      <c r="CX2">
        <v>1</v>
      </c>
      <c r="CY2">
        <v>1</v>
      </c>
      <c r="CZ2">
        <v>8</v>
      </c>
      <c r="DA2">
        <v>8</v>
      </c>
      <c r="DB2">
        <v>13</v>
      </c>
      <c r="DC2">
        <v>0</v>
      </c>
      <c r="DD2">
        <v>0</v>
      </c>
      <c r="DE2">
        <v>0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2</v>
      </c>
      <c r="DZ2">
        <v>1</v>
      </c>
      <c r="EA2">
        <v>1</v>
      </c>
    </row>
    <row r="3" spans="1:131" x14ac:dyDescent="0.25">
      <c r="A3" t="s">
        <v>164</v>
      </c>
      <c r="B3" s="11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5</v>
      </c>
      <c r="L3">
        <v>1</v>
      </c>
      <c r="M3">
        <v>4</v>
      </c>
      <c r="N3">
        <v>8</v>
      </c>
      <c r="O3">
        <v>2</v>
      </c>
      <c r="P3">
        <v>5</v>
      </c>
      <c r="Q3">
        <v>3</v>
      </c>
      <c r="R3">
        <v>2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8</v>
      </c>
      <c r="AA3">
        <v>0</v>
      </c>
      <c r="AB3">
        <v>2</v>
      </c>
      <c r="AC3">
        <v>2</v>
      </c>
      <c r="AD3">
        <v>2</v>
      </c>
      <c r="AE3">
        <v>1</v>
      </c>
      <c r="AF3">
        <v>0</v>
      </c>
      <c r="AG3">
        <v>0</v>
      </c>
      <c r="AH3">
        <v>2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>
        <v>3</v>
      </c>
      <c r="AT3">
        <v>2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2</v>
      </c>
      <c r="BG3">
        <v>4</v>
      </c>
      <c r="BH3">
        <v>1</v>
      </c>
      <c r="BI3">
        <v>1</v>
      </c>
      <c r="BJ3">
        <v>0</v>
      </c>
      <c r="BK3">
        <v>7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2</v>
      </c>
      <c r="BY3">
        <v>2</v>
      </c>
      <c r="BZ3">
        <v>2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21</v>
      </c>
      <c r="CO3">
        <v>16</v>
      </c>
      <c r="CP3">
        <v>21</v>
      </c>
      <c r="CQ3">
        <v>0</v>
      </c>
      <c r="CR3">
        <v>3</v>
      </c>
      <c r="CS3">
        <v>0</v>
      </c>
      <c r="CT3">
        <v>1</v>
      </c>
      <c r="CU3">
        <v>1</v>
      </c>
      <c r="CV3">
        <v>0</v>
      </c>
      <c r="CW3">
        <v>0</v>
      </c>
      <c r="CX3">
        <v>3</v>
      </c>
      <c r="CY3">
        <v>1</v>
      </c>
      <c r="CZ3">
        <v>7</v>
      </c>
      <c r="DA3">
        <v>10</v>
      </c>
      <c r="DB3">
        <v>7</v>
      </c>
      <c r="DC3">
        <v>0</v>
      </c>
      <c r="DD3">
        <v>0</v>
      </c>
      <c r="DE3">
        <v>2</v>
      </c>
      <c r="DF3">
        <v>0</v>
      </c>
      <c r="DG3">
        <v>1</v>
      </c>
      <c r="DH3">
        <v>0</v>
      </c>
      <c r="DI3">
        <v>0</v>
      </c>
      <c r="DJ3">
        <v>1</v>
      </c>
      <c r="DK3">
        <v>0</v>
      </c>
      <c r="DL3">
        <v>1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</row>
    <row r="4" spans="1:131" x14ac:dyDescent="0.25">
      <c r="A4" t="s">
        <v>164</v>
      </c>
      <c r="B4" s="11" t="s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4</v>
      </c>
      <c r="L4">
        <v>1</v>
      </c>
      <c r="M4">
        <v>4</v>
      </c>
      <c r="N4">
        <v>12</v>
      </c>
      <c r="O4">
        <v>6</v>
      </c>
      <c r="P4">
        <v>9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0</v>
      </c>
      <c r="Y4">
        <v>3</v>
      </c>
      <c r="Z4">
        <v>11</v>
      </c>
      <c r="AA4">
        <v>1</v>
      </c>
      <c r="AB4">
        <v>5</v>
      </c>
      <c r="AC4">
        <v>5</v>
      </c>
      <c r="AD4">
        <v>0</v>
      </c>
      <c r="AE4">
        <v>1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2</v>
      </c>
      <c r="BE4">
        <v>2</v>
      </c>
      <c r="BF4">
        <v>3</v>
      </c>
      <c r="BG4">
        <v>3</v>
      </c>
      <c r="BH4">
        <v>1</v>
      </c>
      <c r="BI4">
        <v>0</v>
      </c>
      <c r="BJ4">
        <v>1</v>
      </c>
      <c r="BK4">
        <v>6</v>
      </c>
      <c r="BL4">
        <v>2</v>
      </c>
      <c r="BM4">
        <v>2</v>
      </c>
      <c r="BN4">
        <v>0</v>
      </c>
      <c r="BO4">
        <v>1</v>
      </c>
      <c r="BP4">
        <v>1</v>
      </c>
      <c r="BQ4">
        <v>1</v>
      </c>
      <c r="BR4">
        <v>0</v>
      </c>
      <c r="BS4">
        <v>0</v>
      </c>
      <c r="BT4">
        <v>1</v>
      </c>
      <c r="BU4">
        <v>0</v>
      </c>
      <c r="BV4">
        <v>1</v>
      </c>
      <c r="BW4">
        <v>3</v>
      </c>
      <c r="BX4">
        <v>2</v>
      </c>
      <c r="BY4">
        <v>3</v>
      </c>
      <c r="BZ4">
        <v>3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2</v>
      </c>
      <c r="CI4">
        <v>1</v>
      </c>
      <c r="CJ4">
        <v>1</v>
      </c>
      <c r="CK4">
        <v>0</v>
      </c>
      <c r="CL4">
        <v>0</v>
      </c>
      <c r="CM4">
        <v>0</v>
      </c>
      <c r="CN4">
        <v>17</v>
      </c>
      <c r="CO4">
        <v>15</v>
      </c>
      <c r="CP4">
        <v>17</v>
      </c>
      <c r="CQ4">
        <v>1</v>
      </c>
      <c r="CR4">
        <v>4</v>
      </c>
      <c r="CS4">
        <v>1</v>
      </c>
      <c r="CT4">
        <v>1</v>
      </c>
      <c r="CU4">
        <v>2</v>
      </c>
      <c r="CV4">
        <v>1</v>
      </c>
      <c r="CW4">
        <v>1</v>
      </c>
      <c r="CX4">
        <v>1</v>
      </c>
      <c r="CY4">
        <v>0</v>
      </c>
      <c r="CZ4">
        <v>4</v>
      </c>
      <c r="DA4">
        <v>10</v>
      </c>
      <c r="DB4">
        <v>4</v>
      </c>
      <c r="DC4">
        <v>2</v>
      </c>
      <c r="DD4">
        <v>1</v>
      </c>
      <c r="DE4">
        <v>2</v>
      </c>
      <c r="DF4">
        <v>0</v>
      </c>
      <c r="DG4">
        <v>0</v>
      </c>
      <c r="DH4">
        <v>2</v>
      </c>
      <c r="DI4">
        <v>1</v>
      </c>
      <c r="DJ4">
        <v>1</v>
      </c>
      <c r="DK4">
        <v>1</v>
      </c>
      <c r="DL4">
        <v>1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</row>
    <row r="42" spans="1:107" ht="120" x14ac:dyDescent="0.25">
      <c r="A42" s="1" t="s">
        <v>0</v>
      </c>
      <c r="B42" s="1" t="s">
        <v>1</v>
      </c>
      <c r="C42" s="7" t="s">
        <v>25</v>
      </c>
      <c r="D42" s="7" t="s">
        <v>26</v>
      </c>
      <c r="E42" s="7" t="s">
        <v>27</v>
      </c>
      <c r="F42" s="7" t="s">
        <v>28</v>
      </c>
      <c r="G42" s="7" t="s">
        <v>29</v>
      </c>
      <c r="H42" s="7" t="s">
        <v>30</v>
      </c>
      <c r="I42" s="7" t="s">
        <v>31</v>
      </c>
      <c r="J42" s="7" t="s">
        <v>32</v>
      </c>
      <c r="K42" s="7" t="s">
        <v>33</v>
      </c>
      <c r="L42" s="7" t="s">
        <v>34</v>
      </c>
      <c r="M42" s="8" t="s">
        <v>35</v>
      </c>
      <c r="N42" s="8" t="s">
        <v>36</v>
      </c>
      <c r="O42" s="8" t="s">
        <v>37</v>
      </c>
      <c r="P42" s="8" t="s">
        <v>38</v>
      </c>
      <c r="Q42" s="8" t="s">
        <v>39</v>
      </c>
      <c r="R42" s="8" t="s">
        <v>40</v>
      </c>
      <c r="S42" s="8" t="s">
        <v>41</v>
      </c>
      <c r="T42" s="8" t="s">
        <v>42</v>
      </c>
      <c r="U42" s="8" t="s">
        <v>43</v>
      </c>
      <c r="V42" s="21" t="s">
        <v>200</v>
      </c>
      <c r="W42" s="8" t="s">
        <v>44</v>
      </c>
      <c r="X42" s="8" t="s">
        <v>45</v>
      </c>
      <c r="Y42" s="7" t="s">
        <v>46</v>
      </c>
      <c r="Z42" s="7" t="s">
        <v>47</v>
      </c>
      <c r="AA42" s="7" t="s">
        <v>48</v>
      </c>
      <c r="AB42" s="7" t="s">
        <v>49</v>
      </c>
      <c r="AC42" s="7" t="s">
        <v>50</v>
      </c>
      <c r="AD42" s="7" t="s">
        <v>51</v>
      </c>
      <c r="AE42" s="7" t="s">
        <v>52</v>
      </c>
      <c r="AF42" s="7" t="s">
        <v>53</v>
      </c>
      <c r="AG42" s="7" t="s">
        <v>54</v>
      </c>
      <c r="AH42" s="7" t="s">
        <v>55</v>
      </c>
      <c r="AI42" s="7" t="s">
        <v>56</v>
      </c>
      <c r="AJ42" s="7" t="s">
        <v>57</v>
      </c>
      <c r="AK42" s="7" t="s">
        <v>58</v>
      </c>
      <c r="AL42" s="7" t="s">
        <v>59</v>
      </c>
      <c r="AM42" s="7" t="s">
        <v>60</v>
      </c>
      <c r="AN42" s="7" t="s">
        <v>61</v>
      </c>
      <c r="AO42" s="7" t="s">
        <v>62</v>
      </c>
      <c r="AP42" s="7" t="s">
        <v>63</v>
      </c>
      <c r="AQ42" s="7" t="s">
        <v>64</v>
      </c>
      <c r="AR42" s="7" t="s">
        <v>65</v>
      </c>
      <c r="AS42" s="7" t="s">
        <v>66</v>
      </c>
      <c r="AT42" s="7" t="s">
        <v>67</v>
      </c>
      <c r="AU42" s="7" t="s">
        <v>68</v>
      </c>
      <c r="AV42" s="7" t="s">
        <v>69</v>
      </c>
      <c r="AW42" s="7" t="s">
        <v>70</v>
      </c>
      <c r="AX42" s="7" t="s">
        <v>71</v>
      </c>
      <c r="AY42" s="7" t="s">
        <v>72</v>
      </c>
      <c r="AZ42" s="7" t="s">
        <v>73</v>
      </c>
      <c r="BA42" s="7" t="s">
        <v>74</v>
      </c>
      <c r="BB42" s="7" t="s">
        <v>75</v>
      </c>
      <c r="BC42" s="7" t="s">
        <v>76</v>
      </c>
      <c r="BD42" s="7" t="s">
        <v>77</v>
      </c>
      <c r="BE42" s="7" t="s">
        <v>78</v>
      </c>
      <c r="BF42" s="7" t="s">
        <v>79</v>
      </c>
      <c r="BG42" s="7" t="s">
        <v>80</v>
      </c>
      <c r="BH42" s="7" t="s">
        <v>81</v>
      </c>
      <c r="BI42" s="7" t="s">
        <v>82</v>
      </c>
      <c r="BJ42" s="7" t="s">
        <v>83</v>
      </c>
      <c r="BK42" s="7" t="s">
        <v>84</v>
      </c>
      <c r="BL42" s="7" t="s">
        <v>85</v>
      </c>
      <c r="BM42" s="7" t="s">
        <v>86</v>
      </c>
      <c r="BN42" s="7" t="s">
        <v>87</v>
      </c>
      <c r="BO42" s="7" t="s">
        <v>88</v>
      </c>
      <c r="BP42" s="7" t="s">
        <v>89</v>
      </c>
      <c r="BQ42" s="7" t="s">
        <v>90</v>
      </c>
      <c r="BR42" s="7" t="s">
        <v>91</v>
      </c>
      <c r="BS42" s="7" t="s">
        <v>92</v>
      </c>
      <c r="BT42" s="7" t="s">
        <v>93</v>
      </c>
      <c r="BU42" s="7" t="s">
        <v>94</v>
      </c>
      <c r="BV42" s="7" t="s">
        <v>95</v>
      </c>
      <c r="BW42" s="7" t="s">
        <v>96</v>
      </c>
      <c r="BX42" s="7" t="s">
        <v>97</v>
      </c>
      <c r="BY42" s="7" t="s">
        <v>98</v>
      </c>
      <c r="BZ42" s="7" t="s">
        <v>99</v>
      </c>
      <c r="CA42" s="7" t="s">
        <v>100</v>
      </c>
      <c r="CB42" s="13" t="s">
        <v>101</v>
      </c>
      <c r="CC42" s="7" t="s">
        <v>102</v>
      </c>
      <c r="CD42" s="7" t="s">
        <v>103</v>
      </c>
      <c r="CE42" s="7" t="s">
        <v>104</v>
      </c>
      <c r="CF42" s="7" t="s">
        <v>105</v>
      </c>
      <c r="CG42" s="7" t="s">
        <v>106</v>
      </c>
      <c r="CH42" s="7" t="s">
        <v>107</v>
      </c>
      <c r="CI42" s="7" t="s">
        <v>108</v>
      </c>
      <c r="CJ42" s="7" t="s">
        <v>109</v>
      </c>
      <c r="CK42" s="7" t="s">
        <v>110</v>
      </c>
      <c r="CL42" s="7" t="s">
        <v>111</v>
      </c>
      <c r="CM42" s="7" t="s">
        <v>112</v>
      </c>
      <c r="CN42" s="7" t="s">
        <v>113</v>
      </c>
      <c r="CO42" s="7" t="s">
        <v>114</v>
      </c>
      <c r="CP42" s="7" t="s">
        <v>115</v>
      </c>
      <c r="CQ42" s="7" t="s">
        <v>116</v>
      </c>
      <c r="CR42" s="7" t="s">
        <v>117</v>
      </c>
      <c r="CS42" s="7" t="s">
        <v>118</v>
      </c>
      <c r="CT42" s="7" t="s">
        <v>119</v>
      </c>
      <c r="CU42" s="7" t="s">
        <v>120</v>
      </c>
      <c r="CV42" s="7" t="s">
        <v>121</v>
      </c>
      <c r="CW42" s="7" t="s">
        <v>122</v>
      </c>
      <c r="CX42" s="7" t="s">
        <v>123</v>
      </c>
      <c r="CY42" s="7" t="s">
        <v>124</v>
      </c>
      <c r="CZ42" s="7" t="s">
        <v>125</v>
      </c>
      <c r="DA42" s="7" t="s">
        <v>126</v>
      </c>
      <c r="DB42" s="7" t="s">
        <v>127</v>
      </c>
      <c r="DC42" s="7" t="s">
        <v>128</v>
      </c>
    </row>
    <row r="43" spans="1:107" x14ac:dyDescent="0.25">
      <c r="A43" t="s">
        <v>163</v>
      </c>
      <c r="B43" t="s">
        <v>11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7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</row>
    <row r="44" spans="1:107" x14ac:dyDescent="0.25">
      <c r="A44" t="s">
        <v>163</v>
      </c>
      <c r="B44" s="1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</row>
    <row r="45" spans="1:107" x14ac:dyDescent="0.25">
      <c r="A45" t="s">
        <v>163</v>
      </c>
      <c r="B45" s="11" t="s">
        <v>21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</row>
    <row r="85" spans="1:106" ht="120" x14ac:dyDescent="0.25">
      <c r="A85" s="1" t="s">
        <v>0</v>
      </c>
      <c r="B85" s="1" t="s">
        <v>1</v>
      </c>
      <c r="C85" s="7" t="s">
        <v>25</v>
      </c>
      <c r="D85" s="7" t="s">
        <v>26</v>
      </c>
      <c r="E85" s="7" t="s">
        <v>27</v>
      </c>
      <c r="F85" s="7" t="s">
        <v>28</v>
      </c>
      <c r="G85" s="7" t="s">
        <v>29</v>
      </c>
      <c r="H85" s="7" t="s">
        <v>30</v>
      </c>
      <c r="I85" s="7" t="s">
        <v>31</v>
      </c>
      <c r="J85" s="7" t="s">
        <v>32</v>
      </c>
      <c r="K85" s="7" t="s">
        <v>33</v>
      </c>
      <c r="L85" s="7" t="s">
        <v>34</v>
      </c>
      <c r="M85" s="8" t="s">
        <v>35</v>
      </c>
      <c r="N85" s="14" t="s">
        <v>36</v>
      </c>
      <c r="O85" s="8" t="s">
        <v>37</v>
      </c>
      <c r="P85" s="8" t="s">
        <v>38</v>
      </c>
      <c r="Q85" s="8" t="s">
        <v>39</v>
      </c>
      <c r="R85" s="8" t="s">
        <v>40</v>
      </c>
      <c r="S85" s="14" t="s">
        <v>41</v>
      </c>
      <c r="T85" s="8" t="s">
        <v>42</v>
      </c>
      <c r="U85" s="8" t="s">
        <v>43</v>
      </c>
      <c r="V85" s="8" t="s">
        <v>44</v>
      </c>
      <c r="W85" s="8" t="s">
        <v>45</v>
      </c>
      <c r="X85" s="7" t="s">
        <v>46</v>
      </c>
      <c r="Y85" s="13" t="s">
        <v>47</v>
      </c>
      <c r="Z85" s="13" t="s">
        <v>48</v>
      </c>
      <c r="AA85" s="13" t="s">
        <v>49</v>
      </c>
      <c r="AB85" s="7" t="s">
        <v>50</v>
      </c>
      <c r="AC85" s="7" t="s">
        <v>51</v>
      </c>
      <c r="AD85" s="7" t="s">
        <v>52</v>
      </c>
      <c r="AE85" s="7" t="s">
        <v>53</v>
      </c>
      <c r="AF85" s="7" t="s">
        <v>54</v>
      </c>
      <c r="AG85" s="7" t="s">
        <v>55</v>
      </c>
      <c r="AH85" s="7" t="s">
        <v>56</v>
      </c>
      <c r="AI85" s="13" t="s">
        <v>57</v>
      </c>
      <c r="AJ85" s="7" t="s">
        <v>58</v>
      </c>
      <c r="AK85" s="7" t="s">
        <v>59</v>
      </c>
      <c r="AL85" s="7" t="s">
        <v>60</v>
      </c>
      <c r="AM85" s="7" t="s">
        <v>61</v>
      </c>
      <c r="AN85" s="7" t="s">
        <v>62</v>
      </c>
      <c r="AO85" s="7" t="s">
        <v>63</v>
      </c>
      <c r="AP85" s="7" t="s">
        <v>64</v>
      </c>
      <c r="AQ85" s="7" t="s">
        <v>65</v>
      </c>
      <c r="AR85" s="7" t="s">
        <v>66</v>
      </c>
      <c r="AS85" s="7" t="s">
        <v>67</v>
      </c>
      <c r="AT85" s="7" t="s">
        <v>68</v>
      </c>
      <c r="AU85" s="7" t="s">
        <v>69</v>
      </c>
      <c r="AV85" s="7" t="s">
        <v>70</v>
      </c>
      <c r="AW85" s="7" t="s">
        <v>71</v>
      </c>
      <c r="AX85" s="7" t="s">
        <v>72</v>
      </c>
      <c r="AY85" s="13" t="s">
        <v>73</v>
      </c>
      <c r="AZ85" s="7" t="s">
        <v>74</v>
      </c>
      <c r="BA85" s="7" t="s">
        <v>75</v>
      </c>
      <c r="BB85" s="7" t="s">
        <v>76</v>
      </c>
      <c r="BC85" s="7" t="s">
        <v>77</v>
      </c>
      <c r="BD85" s="13" t="s">
        <v>78</v>
      </c>
      <c r="BE85" s="7" t="s">
        <v>79</v>
      </c>
      <c r="BF85" s="7" t="s">
        <v>80</v>
      </c>
      <c r="BG85" s="7" t="s">
        <v>81</v>
      </c>
      <c r="BH85" s="7" t="s">
        <v>82</v>
      </c>
      <c r="BI85" s="7" t="s">
        <v>83</v>
      </c>
      <c r="BJ85" s="7" t="s">
        <v>84</v>
      </c>
      <c r="BK85" s="7" t="s">
        <v>85</v>
      </c>
      <c r="BL85" s="7" t="s">
        <v>86</v>
      </c>
      <c r="BM85" s="7" t="s">
        <v>87</v>
      </c>
      <c r="BN85" s="7" t="s">
        <v>88</v>
      </c>
      <c r="BO85" s="7" t="s">
        <v>89</v>
      </c>
      <c r="BP85" s="7" t="s">
        <v>90</v>
      </c>
      <c r="BQ85" s="7" t="s">
        <v>91</v>
      </c>
      <c r="BR85" s="7" t="s">
        <v>92</v>
      </c>
      <c r="BS85" s="7" t="s">
        <v>93</v>
      </c>
      <c r="BT85" s="7" t="s">
        <v>94</v>
      </c>
      <c r="BU85" s="7" t="s">
        <v>95</v>
      </c>
      <c r="BV85" s="7" t="s">
        <v>96</v>
      </c>
      <c r="BW85" s="7" t="s">
        <v>97</v>
      </c>
      <c r="BX85" s="7" t="s">
        <v>98</v>
      </c>
      <c r="BY85" s="7" t="s">
        <v>99</v>
      </c>
      <c r="BZ85" s="13" t="s">
        <v>100</v>
      </c>
      <c r="CA85" s="7" t="s">
        <v>101</v>
      </c>
      <c r="CB85" s="7" t="s">
        <v>102</v>
      </c>
      <c r="CC85" s="13" t="s">
        <v>103</v>
      </c>
      <c r="CD85" s="7" t="s">
        <v>104</v>
      </c>
      <c r="CE85" s="7" t="s">
        <v>105</v>
      </c>
      <c r="CF85" s="7" t="s">
        <v>106</v>
      </c>
      <c r="CG85" s="13" t="s">
        <v>107</v>
      </c>
      <c r="CH85" s="7" t="s">
        <v>108</v>
      </c>
      <c r="CI85" s="7" t="s">
        <v>109</v>
      </c>
      <c r="CJ85" s="7" t="s">
        <v>110</v>
      </c>
      <c r="CK85" s="7" t="s">
        <v>111</v>
      </c>
      <c r="CL85" s="7" t="s">
        <v>112</v>
      </c>
      <c r="CM85" s="13" t="s">
        <v>113</v>
      </c>
      <c r="CN85" s="7" t="s">
        <v>114</v>
      </c>
      <c r="CO85" s="7" t="s">
        <v>115</v>
      </c>
      <c r="CP85" s="7" t="s">
        <v>116</v>
      </c>
      <c r="CQ85" s="7" t="s">
        <v>117</v>
      </c>
      <c r="CR85" s="7" t="s">
        <v>118</v>
      </c>
      <c r="CS85" s="7" t="s">
        <v>119</v>
      </c>
      <c r="CT85" s="7" t="s">
        <v>120</v>
      </c>
      <c r="CU85" s="7" t="s">
        <v>121</v>
      </c>
      <c r="CV85" s="7" t="s">
        <v>122</v>
      </c>
      <c r="CW85" s="7" t="s">
        <v>123</v>
      </c>
      <c r="CX85" s="7" t="s">
        <v>124</v>
      </c>
      <c r="CY85" s="7" t="s">
        <v>125</v>
      </c>
      <c r="CZ85" s="7" t="s">
        <v>126</v>
      </c>
      <c r="DA85" s="7" t="s">
        <v>127</v>
      </c>
      <c r="DB85" s="7" t="s">
        <v>128</v>
      </c>
    </row>
    <row r="86" spans="1:106" x14ac:dyDescent="0.25">
      <c r="A86" t="s">
        <v>165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3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</row>
    <row r="87" spans="1:106" x14ac:dyDescent="0.25">
      <c r="A87" t="s">
        <v>165</v>
      </c>
      <c r="B87" s="11" t="s">
        <v>17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</row>
    <row r="88" spans="1:106" x14ac:dyDescent="0.25">
      <c r="A88" t="s">
        <v>165</v>
      </c>
      <c r="B88" s="11" t="s">
        <v>21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DB44-EB20-4AEB-B7CB-3959BF7670FD}">
  <dimension ref="A1:AK80"/>
  <sheetViews>
    <sheetView tabSelected="1" topLeftCell="A79" workbookViewId="0">
      <selection activeCell="B85" sqref="B85"/>
    </sheetView>
  </sheetViews>
  <sheetFormatPr baseColWidth="10" defaultRowHeight="15" x14ac:dyDescent="0.25"/>
  <sheetData>
    <row r="1" spans="1:37" ht="120" x14ac:dyDescent="0.25">
      <c r="A1" s="1" t="s">
        <v>0</v>
      </c>
      <c r="B1" s="1" t="s">
        <v>1</v>
      </c>
      <c r="C1" s="7" t="s">
        <v>32</v>
      </c>
      <c r="D1" s="7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7" t="s">
        <v>46</v>
      </c>
      <c r="K1" s="7" t="s">
        <v>48</v>
      </c>
      <c r="L1" s="7" t="s">
        <v>49</v>
      </c>
      <c r="M1" s="7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78</v>
      </c>
      <c r="W1" s="7" t="s">
        <v>79</v>
      </c>
      <c r="X1" s="7" t="s">
        <v>90</v>
      </c>
      <c r="Y1" s="7" t="s">
        <v>91</v>
      </c>
      <c r="Z1" s="7" t="s">
        <v>92</v>
      </c>
      <c r="AA1" s="7" t="s">
        <v>93</v>
      </c>
      <c r="AB1" s="7" t="s">
        <v>102</v>
      </c>
      <c r="AC1" s="7" t="s">
        <v>103</v>
      </c>
      <c r="AD1" s="7" t="s">
        <v>104</v>
      </c>
      <c r="AE1" s="7" t="s">
        <v>106</v>
      </c>
      <c r="AF1" s="7" t="s">
        <v>107</v>
      </c>
      <c r="AG1" s="7" t="s">
        <v>108</v>
      </c>
      <c r="AH1" s="7" t="s">
        <v>111</v>
      </c>
      <c r="AI1" s="7" t="s">
        <v>113</v>
      </c>
      <c r="AJ1" s="7" t="s">
        <v>114</v>
      </c>
      <c r="AK1" s="7" t="s">
        <v>115</v>
      </c>
    </row>
    <row r="2" spans="1:37" x14ac:dyDescent="0.25">
      <c r="A2" t="s">
        <v>167</v>
      </c>
      <c r="B2" t="s">
        <v>217</v>
      </c>
      <c r="C2">
        <v>2</v>
      </c>
      <c r="D2">
        <v>0</v>
      </c>
      <c r="E2">
        <v>4</v>
      </c>
      <c r="F2">
        <v>1</v>
      </c>
      <c r="G2">
        <v>8</v>
      </c>
      <c r="H2">
        <v>1</v>
      </c>
      <c r="I2">
        <v>1</v>
      </c>
      <c r="J2">
        <v>13</v>
      </c>
      <c r="K2">
        <v>5</v>
      </c>
      <c r="L2">
        <v>5</v>
      </c>
      <c r="M2">
        <v>2</v>
      </c>
      <c r="N2">
        <v>2</v>
      </c>
      <c r="O2">
        <v>2</v>
      </c>
      <c r="P2">
        <v>1</v>
      </c>
      <c r="Q2">
        <v>1</v>
      </c>
      <c r="R2">
        <v>3</v>
      </c>
      <c r="S2">
        <v>0</v>
      </c>
      <c r="T2">
        <v>4</v>
      </c>
      <c r="U2">
        <v>1</v>
      </c>
      <c r="V2">
        <v>9</v>
      </c>
      <c r="W2">
        <v>1</v>
      </c>
      <c r="X2">
        <v>5</v>
      </c>
      <c r="Y2">
        <v>0</v>
      </c>
      <c r="Z2">
        <v>2</v>
      </c>
      <c r="AA2">
        <v>1</v>
      </c>
      <c r="AB2">
        <v>17</v>
      </c>
      <c r="AC2">
        <v>19</v>
      </c>
      <c r="AD2">
        <v>24</v>
      </c>
      <c r="AE2">
        <v>3</v>
      </c>
      <c r="AF2">
        <v>3</v>
      </c>
      <c r="AG2">
        <v>6</v>
      </c>
      <c r="AH2">
        <v>1</v>
      </c>
      <c r="AI2">
        <v>6</v>
      </c>
      <c r="AJ2">
        <v>8</v>
      </c>
      <c r="AK2">
        <v>13</v>
      </c>
    </row>
    <row r="3" spans="1:37" x14ac:dyDescent="0.25">
      <c r="A3" t="s">
        <v>166</v>
      </c>
      <c r="B3" t="s">
        <v>218</v>
      </c>
      <c r="C3">
        <v>2</v>
      </c>
      <c r="D3">
        <v>2</v>
      </c>
      <c r="E3">
        <v>0</v>
      </c>
      <c r="F3">
        <v>2</v>
      </c>
      <c r="G3">
        <v>1</v>
      </c>
      <c r="H3">
        <v>1</v>
      </c>
      <c r="I3">
        <v>1</v>
      </c>
      <c r="J3">
        <v>4</v>
      </c>
      <c r="K3">
        <v>1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3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2</v>
      </c>
      <c r="AJ3">
        <v>0</v>
      </c>
      <c r="AK3">
        <v>0</v>
      </c>
    </row>
    <row r="40" spans="1:37" ht="120" x14ac:dyDescent="0.25">
      <c r="A40" s="1" t="s">
        <v>0</v>
      </c>
      <c r="B40" s="1" t="s">
        <v>1</v>
      </c>
      <c r="C40" s="7" t="s">
        <v>32</v>
      </c>
      <c r="D40" s="7" t="s">
        <v>34</v>
      </c>
      <c r="E40" s="8" t="s">
        <v>35</v>
      </c>
      <c r="F40" s="8" t="s">
        <v>36</v>
      </c>
      <c r="G40" s="8" t="s">
        <v>37</v>
      </c>
      <c r="H40" s="8" t="s">
        <v>38</v>
      </c>
      <c r="I40" s="8" t="s">
        <v>39</v>
      </c>
      <c r="J40" s="7" t="s">
        <v>46</v>
      </c>
      <c r="K40" s="7" t="s">
        <v>48</v>
      </c>
      <c r="L40" s="7" t="s">
        <v>49</v>
      </c>
      <c r="M40" s="7" t="s">
        <v>61</v>
      </c>
      <c r="N40" s="7" t="s">
        <v>62</v>
      </c>
      <c r="O40" s="7" t="s">
        <v>63</v>
      </c>
      <c r="P40" s="7" t="s">
        <v>64</v>
      </c>
      <c r="Q40" s="7" t="s">
        <v>65</v>
      </c>
      <c r="R40" s="7" t="s">
        <v>73</v>
      </c>
      <c r="S40" s="7" t="s">
        <v>74</v>
      </c>
      <c r="T40" s="7" t="s">
        <v>75</v>
      </c>
      <c r="U40" s="7" t="s">
        <v>76</v>
      </c>
      <c r="V40" s="7" t="s">
        <v>78</v>
      </c>
      <c r="W40" s="7" t="s">
        <v>79</v>
      </c>
      <c r="X40" s="7" t="s">
        <v>90</v>
      </c>
      <c r="Y40" s="7" t="s">
        <v>91</v>
      </c>
      <c r="Z40" s="7" t="s">
        <v>92</v>
      </c>
      <c r="AA40" s="7" t="s">
        <v>93</v>
      </c>
      <c r="AB40" s="7" t="s">
        <v>102</v>
      </c>
      <c r="AC40" s="7" t="s">
        <v>103</v>
      </c>
      <c r="AD40" s="7" t="s">
        <v>104</v>
      </c>
      <c r="AE40" s="7" t="s">
        <v>106</v>
      </c>
      <c r="AF40" s="7" t="s">
        <v>107</v>
      </c>
      <c r="AG40" s="7" t="s">
        <v>108</v>
      </c>
      <c r="AH40" s="7" t="s">
        <v>111</v>
      </c>
      <c r="AI40" s="7" t="s">
        <v>113</v>
      </c>
      <c r="AJ40" s="7" t="s">
        <v>114</v>
      </c>
      <c r="AK40" s="7" t="s">
        <v>115</v>
      </c>
    </row>
    <row r="41" spans="1:37" x14ac:dyDescent="0.25">
      <c r="A41" t="s">
        <v>167</v>
      </c>
      <c r="B41" t="s">
        <v>217</v>
      </c>
      <c r="C41">
        <v>2</v>
      </c>
      <c r="D41">
        <v>4</v>
      </c>
      <c r="E41">
        <v>8</v>
      </c>
      <c r="F41">
        <v>2</v>
      </c>
      <c r="G41">
        <v>4</v>
      </c>
      <c r="H41">
        <v>3</v>
      </c>
      <c r="I41">
        <v>2</v>
      </c>
      <c r="J41">
        <v>4</v>
      </c>
      <c r="K41">
        <v>2</v>
      </c>
      <c r="L41">
        <v>2</v>
      </c>
      <c r="M41">
        <v>0</v>
      </c>
      <c r="N41">
        <v>2</v>
      </c>
      <c r="O41">
        <v>3</v>
      </c>
      <c r="P41">
        <v>2</v>
      </c>
      <c r="Q41">
        <v>0</v>
      </c>
      <c r="R41">
        <v>1</v>
      </c>
      <c r="S41">
        <v>2</v>
      </c>
      <c r="T41">
        <v>4</v>
      </c>
      <c r="U41">
        <v>1</v>
      </c>
      <c r="V41">
        <v>6</v>
      </c>
      <c r="W41">
        <v>1</v>
      </c>
      <c r="X41">
        <v>2</v>
      </c>
      <c r="Y41">
        <v>2</v>
      </c>
      <c r="Z41">
        <v>2</v>
      </c>
      <c r="AA41">
        <v>2</v>
      </c>
      <c r="AB41">
        <v>20</v>
      </c>
      <c r="AC41">
        <v>16</v>
      </c>
      <c r="AD41">
        <v>20</v>
      </c>
      <c r="AE41">
        <v>2</v>
      </c>
      <c r="AF41">
        <v>1</v>
      </c>
      <c r="AG41">
        <v>1</v>
      </c>
      <c r="AH41">
        <v>2</v>
      </c>
      <c r="AI41">
        <v>6</v>
      </c>
      <c r="AJ41">
        <v>10</v>
      </c>
      <c r="AK41">
        <v>6</v>
      </c>
    </row>
    <row r="42" spans="1:37" x14ac:dyDescent="0.25">
      <c r="A42" t="s">
        <v>166</v>
      </c>
      <c r="B42" t="s">
        <v>218</v>
      </c>
      <c r="C42">
        <v>3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1</v>
      </c>
    </row>
    <row r="78" spans="1:37" ht="120" x14ac:dyDescent="0.25">
      <c r="A78" s="1" t="s">
        <v>0</v>
      </c>
      <c r="B78" s="1" t="s">
        <v>1</v>
      </c>
      <c r="C78" s="7" t="s">
        <v>32</v>
      </c>
      <c r="D78" s="7" t="s">
        <v>34</v>
      </c>
      <c r="E78" s="8" t="s">
        <v>35</v>
      </c>
      <c r="F78" s="8" t="s">
        <v>36</v>
      </c>
      <c r="G78" s="8" t="s">
        <v>37</v>
      </c>
      <c r="H78" s="8" t="s">
        <v>38</v>
      </c>
      <c r="I78" s="8" t="s">
        <v>39</v>
      </c>
      <c r="J78" s="7" t="s">
        <v>46</v>
      </c>
      <c r="K78" s="7" t="s">
        <v>48</v>
      </c>
      <c r="L78" s="7" t="s">
        <v>49</v>
      </c>
      <c r="M78" s="7" t="s">
        <v>61</v>
      </c>
      <c r="N78" s="7" t="s">
        <v>62</v>
      </c>
      <c r="O78" s="7" t="s">
        <v>63</v>
      </c>
      <c r="P78" s="7" t="s">
        <v>64</v>
      </c>
      <c r="Q78" s="7" t="s">
        <v>65</v>
      </c>
      <c r="R78" s="7" t="s">
        <v>73</v>
      </c>
      <c r="S78" s="7" t="s">
        <v>74</v>
      </c>
      <c r="T78" s="7" t="s">
        <v>75</v>
      </c>
      <c r="U78" s="7" t="s">
        <v>76</v>
      </c>
      <c r="V78" s="7" t="s">
        <v>78</v>
      </c>
      <c r="W78" s="7" t="s">
        <v>79</v>
      </c>
      <c r="X78" s="7" t="s">
        <v>90</v>
      </c>
      <c r="Y78" s="7" t="s">
        <v>91</v>
      </c>
      <c r="Z78" s="7" t="s">
        <v>92</v>
      </c>
      <c r="AA78" s="7" t="s">
        <v>93</v>
      </c>
      <c r="AB78" s="7" t="s">
        <v>102</v>
      </c>
      <c r="AC78" s="7" t="s">
        <v>103</v>
      </c>
      <c r="AD78" s="7" t="s">
        <v>104</v>
      </c>
      <c r="AE78" s="7" t="s">
        <v>106</v>
      </c>
      <c r="AF78" s="7" t="s">
        <v>107</v>
      </c>
      <c r="AG78" s="7" t="s">
        <v>108</v>
      </c>
      <c r="AH78" s="7" t="s">
        <v>111</v>
      </c>
      <c r="AI78" s="7" t="s">
        <v>113</v>
      </c>
      <c r="AJ78" s="7" t="s">
        <v>114</v>
      </c>
      <c r="AK78" s="7" t="s">
        <v>115</v>
      </c>
    </row>
    <row r="79" spans="1:37" x14ac:dyDescent="0.25">
      <c r="A79" t="s">
        <v>167</v>
      </c>
      <c r="B79" t="s">
        <v>217</v>
      </c>
      <c r="C79">
        <v>3</v>
      </c>
      <c r="D79">
        <v>4</v>
      </c>
      <c r="E79">
        <v>11</v>
      </c>
      <c r="F79">
        <v>3</v>
      </c>
      <c r="G79">
        <v>7</v>
      </c>
      <c r="H79">
        <v>0</v>
      </c>
      <c r="I79">
        <v>0</v>
      </c>
      <c r="J79">
        <v>7</v>
      </c>
      <c r="K79">
        <v>5</v>
      </c>
      <c r="L79">
        <v>5</v>
      </c>
      <c r="M79">
        <v>0</v>
      </c>
      <c r="N79">
        <v>1</v>
      </c>
      <c r="O79">
        <v>0</v>
      </c>
      <c r="P79">
        <v>0</v>
      </c>
      <c r="Q79">
        <v>0</v>
      </c>
      <c r="R79">
        <v>2</v>
      </c>
      <c r="S79">
        <v>3</v>
      </c>
      <c r="T79">
        <v>3</v>
      </c>
      <c r="U79">
        <v>1</v>
      </c>
      <c r="V79">
        <v>5</v>
      </c>
      <c r="W79">
        <v>2</v>
      </c>
      <c r="X79">
        <v>3</v>
      </c>
      <c r="Y79">
        <v>1</v>
      </c>
      <c r="Z79">
        <v>3</v>
      </c>
      <c r="AA79">
        <v>1</v>
      </c>
      <c r="AB79">
        <v>13</v>
      </c>
      <c r="AC79">
        <v>13</v>
      </c>
      <c r="AD79">
        <v>17</v>
      </c>
      <c r="AE79">
        <v>4</v>
      </c>
      <c r="AF79">
        <v>1</v>
      </c>
      <c r="AG79">
        <v>2</v>
      </c>
      <c r="AH79">
        <v>1</v>
      </c>
      <c r="AI79">
        <v>2</v>
      </c>
      <c r="AJ79">
        <v>9</v>
      </c>
      <c r="AK79">
        <v>4</v>
      </c>
    </row>
    <row r="80" spans="1:37" x14ac:dyDescent="0.25">
      <c r="A80" t="s">
        <v>166</v>
      </c>
      <c r="B80" t="s">
        <v>218</v>
      </c>
      <c r="C80">
        <v>1</v>
      </c>
      <c r="D80">
        <v>0</v>
      </c>
      <c r="E80">
        <v>1</v>
      </c>
      <c r="F80">
        <v>3</v>
      </c>
      <c r="G80">
        <v>2</v>
      </c>
      <c r="H80">
        <v>0</v>
      </c>
      <c r="I80">
        <v>1</v>
      </c>
      <c r="J80">
        <v>4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2</v>
      </c>
      <c r="AB80">
        <v>4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</v>
      </c>
      <c r="AJ80">
        <v>1</v>
      </c>
      <c r="AK80">
        <v>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3A6B-E3ED-4178-9D28-DE80DCB3EB14}">
  <dimension ref="A1:EA433"/>
  <sheetViews>
    <sheetView zoomScale="70" zoomScaleNormal="70" workbookViewId="0">
      <pane xSplit="2" ySplit="2" topLeftCell="CW230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RowHeight="15" x14ac:dyDescent="0.25"/>
  <cols>
    <col min="2" max="2" width="11.85546875" customWidth="1"/>
  </cols>
  <sheetData>
    <row r="1" spans="1:131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13" t="s">
        <v>170</v>
      </c>
      <c r="K1" s="7" t="s">
        <v>32</v>
      </c>
      <c r="L1" s="7" t="s">
        <v>33</v>
      </c>
      <c r="M1" s="7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14" t="s">
        <v>171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8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159</v>
      </c>
      <c r="AN1" s="13" t="s">
        <v>172</v>
      </c>
      <c r="AO1" s="13" t="s">
        <v>173</v>
      </c>
      <c r="AP1" s="7" t="s">
        <v>60</v>
      </c>
      <c r="AQ1" s="7" t="s">
        <v>61</v>
      </c>
      <c r="AR1" s="7" t="s">
        <v>62</v>
      </c>
      <c r="AS1" s="7" t="s">
        <v>63</v>
      </c>
      <c r="AT1" s="7" t="s">
        <v>64</v>
      </c>
      <c r="AU1" s="7" t="s">
        <v>65</v>
      </c>
      <c r="AV1" s="7" t="s">
        <v>66</v>
      </c>
      <c r="AW1" s="7" t="s">
        <v>67</v>
      </c>
      <c r="AX1" s="7" t="s">
        <v>68</v>
      </c>
      <c r="AY1" s="7" t="s">
        <v>69</v>
      </c>
      <c r="AZ1" s="7" t="s">
        <v>70</v>
      </c>
      <c r="BA1" s="7" t="s">
        <v>71</v>
      </c>
      <c r="BB1" s="7" t="s">
        <v>72</v>
      </c>
      <c r="BC1" s="13" t="s">
        <v>174</v>
      </c>
      <c r="BD1" s="13" t="s">
        <v>175</v>
      </c>
      <c r="BE1" s="7" t="s">
        <v>73</v>
      </c>
      <c r="BF1" s="7" t="s">
        <v>74</v>
      </c>
      <c r="BG1" s="7" t="s">
        <v>75</v>
      </c>
      <c r="BH1" s="7" t="s">
        <v>76</v>
      </c>
      <c r="BI1" s="7" t="s">
        <v>77</v>
      </c>
      <c r="BJ1" s="13" t="s">
        <v>176</v>
      </c>
      <c r="BK1" s="7" t="s">
        <v>78</v>
      </c>
      <c r="BL1" s="7" t="s">
        <v>79</v>
      </c>
      <c r="BM1" s="7" t="s">
        <v>80</v>
      </c>
      <c r="BN1" s="7" t="s">
        <v>81</v>
      </c>
      <c r="BO1" s="7" t="s">
        <v>82</v>
      </c>
      <c r="BP1" s="7" t="s">
        <v>83</v>
      </c>
      <c r="BQ1" s="7" t="s">
        <v>84</v>
      </c>
      <c r="BR1" s="7" t="s">
        <v>85</v>
      </c>
      <c r="BS1" s="7" t="s">
        <v>86</v>
      </c>
      <c r="BT1" s="7" t="s">
        <v>87</v>
      </c>
      <c r="BU1" s="7" t="s">
        <v>88</v>
      </c>
      <c r="BV1" s="7" t="s">
        <v>89</v>
      </c>
      <c r="BW1" s="7" t="s">
        <v>90</v>
      </c>
      <c r="BX1" s="7" t="s">
        <v>91</v>
      </c>
      <c r="BY1" s="7" t="s">
        <v>92</v>
      </c>
      <c r="BZ1" s="7" t="s">
        <v>93</v>
      </c>
      <c r="CA1" s="7" t="s">
        <v>94</v>
      </c>
      <c r="CB1" s="7" t="s">
        <v>95</v>
      </c>
      <c r="CC1" s="7" t="s">
        <v>96</v>
      </c>
      <c r="CD1" s="7" t="s">
        <v>97</v>
      </c>
      <c r="CE1" s="13" t="s">
        <v>177</v>
      </c>
      <c r="CF1" s="13" t="s">
        <v>178</v>
      </c>
      <c r="CG1" s="15" t="s">
        <v>179</v>
      </c>
      <c r="CH1" s="7" t="s">
        <v>98</v>
      </c>
      <c r="CI1" s="13" t="s">
        <v>180</v>
      </c>
      <c r="CJ1" s="13" t="s">
        <v>181</v>
      </c>
      <c r="CK1" s="7" t="s">
        <v>99</v>
      </c>
      <c r="CL1" s="7" t="s">
        <v>100</v>
      </c>
      <c r="CM1" s="7" t="s">
        <v>101</v>
      </c>
      <c r="CN1" s="7" t="s">
        <v>102</v>
      </c>
      <c r="CO1" s="7" t="s">
        <v>103</v>
      </c>
      <c r="CP1" s="7" t="s">
        <v>104</v>
      </c>
      <c r="CQ1" s="7" t="s">
        <v>105</v>
      </c>
      <c r="CR1" s="7" t="s">
        <v>106</v>
      </c>
      <c r="CS1" s="13" t="s">
        <v>182</v>
      </c>
      <c r="CT1" s="7" t="s">
        <v>107</v>
      </c>
      <c r="CU1" s="7" t="s">
        <v>108</v>
      </c>
      <c r="CV1" s="7" t="s">
        <v>109</v>
      </c>
      <c r="CW1" s="7" t="s">
        <v>110</v>
      </c>
      <c r="CX1" s="7" t="s">
        <v>111</v>
      </c>
      <c r="CY1" s="7" t="s">
        <v>112</v>
      </c>
      <c r="CZ1" s="7" t="s">
        <v>113</v>
      </c>
      <c r="DA1" s="7" t="s">
        <v>114</v>
      </c>
      <c r="DB1" s="7" t="s">
        <v>115</v>
      </c>
      <c r="DC1" s="13" t="s">
        <v>183</v>
      </c>
      <c r="DD1" s="7" t="s">
        <v>116</v>
      </c>
      <c r="DE1" s="7" t="s">
        <v>117</v>
      </c>
      <c r="DF1" s="7" t="s">
        <v>118</v>
      </c>
      <c r="DG1" s="7" t="s">
        <v>119</v>
      </c>
      <c r="DH1" s="7" t="s">
        <v>120</v>
      </c>
      <c r="DI1" s="7" t="s">
        <v>121</v>
      </c>
      <c r="DJ1" s="7" t="s">
        <v>122</v>
      </c>
      <c r="DK1" s="7" t="s">
        <v>123</v>
      </c>
      <c r="DL1" s="7" t="s">
        <v>124</v>
      </c>
      <c r="DM1" s="7" t="s">
        <v>125</v>
      </c>
      <c r="DN1" s="7" t="s">
        <v>126</v>
      </c>
      <c r="DO1" s="7" t="s">
        <v>127</v>
      </c>
      <c r="DP1" s="7" t="s">
        <v>128</v>
      </c>
      <c r="DQ1" s="16" t="s">
        <v>184</v>
      </c>
      <c r="DR1" s="16" t="s">
        <v>185</v>
      </c>
      <c r="DS1" s="16" t="s">
        <v>186</v>
      </c>
      <c r="DT1" s="16" t="s">
        <v>187</v>
      </c>
      <c r="DU1" s="16" t="s">
        <v>188</v>
      </c>
      <c r="DV1" s="16" t="s">
        <v>189</v>
      </c>
      <c r="DW1" s="16" t="s">
        <v>190</v>
      </c>
      <c r="DX1" s="16" t="s">
        <v>191</v>
      </c>
      <c r="DY1" s="16" t="s">
        <v>192</v>
      </c>
      <c r="DZ1" s="16" t="s">
        <v>193</v>
      </c>
      <c r="EA1" s="16" t="s">
        <v>194</v>
      </c>
    </row>
    <row r="2" spans="1:131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Z2" t="s">
        <v>131</v>
      </c>
      <c r="AA2" t="s">
        <v>132</v>
      </c>
      <c r="AB2" t="s">
        <v>133</v>
      </c>
      <c r="AC2" t="s">
        <v>133</v>
      </c>
      <c r="AD2" t="s">
        <v>134</v>
      </c>
      <c r="CV2" t="s">
        <v>135</v>
      </c>
      <c r="CW2" t="s">
        <v>136</v>
      </c>
      <c r="CX2" t="s">
        <v>137</v>
      </c>
      <c r="CY2" t="s">
        <v>138</v>
      </c>
    </row>
    <row r="3" spans="1:131" x14ac:dyDescent="0.25">
      <c r="A3">
        <v>7072184</v>
      </c>
      <c r="B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CD3">
        <v>0</v>
      </c>
      <c r="CT3" s="4"/>
      <c r="CU3" s="4"/>
      <c r="CV3" s="4"/>
      <c r="CW3" s="4"/>
      <c r="CX3" s="4"/>
      <c r="CY3" s="4"/>
    </row>
    <row r="4" spans="1:131" x14ac:dyDescent="0.25">
      <c r="A4">
        <v>9108231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CT4" s="4"/>
      <c r="CU4" s="4"/>
      <c r="CV4" s="4"/>
      <c r="CW4" s="4"/>
      <c r="CX4" s="4"/>
      <c r="CY4" s="4"/>
    </row>
    <row r="5" spans="1:131" x14ac:dyDescent="0.25">
      <c r="A5">
        <v>12061933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Z5">
        <v>1</v>
      </c>
      <c r="AE5">
        <v>1</v>
      </c>
      <c r="AH5">
        <v>0</v>
      </c>
      <c r="AP5">
        <v>1</v>
      </c>
      <c r="AQ5">
        <v>1</v>
      </c>
      <c r="CT5" s="4"/>
      <c r="CU5" s="4"/>
      <c r="CV5" s="4"/>
      <c r="CW5" s="4"/>
      <c r="CX5" s="4"/>
      <c r="CY5" s="4"/>
    </row>
    <row r="6" spans="1:131" x14ac:dyDescent="0.25">
      <c r="A6">
        <v>95005911</v>
      </c>
      <c r="B6" t="s">
        <v>4</v>
      </c>
    </row>
    <row r="7" spans="1:131" x14ac:dyDescent="0.25">
      <c r="A7">
        <v>99001908</v>
      </c>
      <c r="B7" t="s">
        <v>4</v>
      </c>
    </row>
    <row r="8" spans="1:131" x14ac:dyDescent="0.25">
      <c r="A8">
        <v>99004067</v>
      </c>
      <c r="B8" t="s">
        <v>4</v>
      </c>
    </row>
    <row r="9" spans="1:131" x14ac:dyDescent="0.25">
      <c r="A9">
        <v>97002136</v>
      </c>
      <c r="B9" t="s">
        <v>4</v>
      </c>
      <c r="K9">
        <v>1</v>
      </c>
      <c r="CT9">
        <v>1</v>
      </c>
    </row>
    <row r="10" spans="1:131" x14ac:dyDescent="0.25">
      <c r="A10">
        <v>1502</v>
      </c>
      <c r="B10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CT10" s="4"/>
      <c r="CU10" s="4"/>
      <c r="CV10" s="4"/>
      <c r="CW10" s="4"/>
      <c r="CX10" s="4"/>
      <c r="CY10" s="4"/>
    </row>
    <row r="11" spans="1:131" x14ac:dyDescent="0.25">
      <c r="A11">
        <v>4003543</v>
      </c>
      <c r="B11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CT11" s="4"/>
      <c r="CU11" s="4"/>
      <c r="CV11" s="4"/>
      <c r="CW11" s="4"/>
      <c r="CX11" s="4"/>
      <c r="CY11" s="4"/>
    </row>
    <row r="12" spans="1:131" x14ac:dyDescent="0.25">
      <c r="A12">
        <v>4900261</v>
      </c>
      <c r="B12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CT12" s="4"/>
      <c r="CU12" s="4"/>
      <c r="CV12" s="4"/>
      <c r="CW12" s="4"/>
      <c r="CX12" s="4"/>
      <c r="CY12" s="4"/>
    </row>
    <row r="13" spans="1:131" x14ac:dyDescent="0.25">
      <c r="C13" s="4">
        <f>COUNTA(C3:C12)</f>
        <v>0</v>
      </c>
      <c r="D13" s="4">
        <f t="shared" ref="D13:BO13" si="0">COUNTA(D3:D12)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1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4">
        <f t="shared" si="0"/>
        <v>0</v>
      </c>
      <c r="W13" s="4">
        <f t="shared" si="0"/>
        <v>0</v>
      </c>
      <c r="X13" s="4">
        <f t="shared" si="0"/>
        <v>0</v>
      </c>
      <c r="Y13" s="4">
        <f t="shared" si="0"/>
        <v>0</v>
      </c>
      <c r="Z13" s="4">
        <f t="shared" si="0"/>
        <v>1</v>
      </c>
      <c r="AA13" s="4">
        <f t="shared" si="0"/>
        <v>0</v>
      </c>
      <c r="AB13" s="4">
        <f t="shared" si="0"/>
        <v>0</v>
      </c>
      <c r="AC13" s="4">
        <f t="shared" si="0"/>
        <v>0</v>
      </c>
      <c r="AD13" s="4">
        <f t="shared" si="0"/>
        <v>0</v>
      </c>
      <c r="AE13" s="4">
        <f t="shared" si="0"/>
        <v>1</v>
      </c>
      <c r="AF13" s="4">
        <f t="shared" si="0"/>
        <v>0</v>
      </c>
      <c r="AG13" s="4">
        <f t="shared" si="0"/>
        <v>0</v>
      </c>
      <c r="AH13" s="4">
        <f t="shared" si="0"/>
        <v>1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1</v>
      </c>
      <c r="AQ13" s="4">
        <f t="shared" si="0"/>
        <v>1</v>
      </c>
      <c r="AR13" s="4">
        <f t="shared" si="0"/>
        <v>0</v>
      </c>
      <c r="AS13" s="4">
        <f t="shared" si="0"/>
        <v>0</v>
      </c>
      <c r="AT13" s="4">
        <f t="shared" si="0"/>
        <v>0</v>
      </c>
      <c r="AU13" s="4">
        <f t="shared" si="0"/>
        <v>0</v>
      </c>
      <c r="AV13" s="4">
        <f t="shared" si="0"/>
        <v>0</v>
      </c>
      <c r="AW13" s="4">
        <f t="shared" si="0"/>
        <v>0</v>
      </c>
      <c r="AX13" s="4">
        <f t="shared" si="0"/>
        <v>0</v>
      </c>
      <c r="AY13" s="4">
        <f t="shared" si="0"/>
        <v>0</v>
      </c>
      <c r="AZ13" s="4">
        <f t="shared" si="0"/>
        <v>0</v>
      </c>
      <c r="BA13" s="4">
        <f t="shared" si="0"/>
        <v>0</v>
      </c>
      <c r="BB13" s="4">
        <f t="shared" si="0"/>
        <v>0</v>
      </c>
      <c r="BC13" s="4">
        <f t="shared" si="0"/>
        <v>0</v>
      </c>
      <c r="BD13" s="4">
        <f t="shared" si="0"/>
        <v>0</v>
      </c>
      <c r="BE13" s="4">
        <f t="shared" si="0"/>
        <v>0</v>
      </c>
      <c r="BF13" s="4">
        <f t="shared" si="0"/>
        <v>0</v>
      </c>
      <c r="BG13" s="4">
        <f t="shared" si="0"/>
        <v>0</v>
      </c>
      <c r="BH13" s="4">
        <f t="shared" si="0"/>
        <v>0</v>
      </c>
      <c r="BI13" s="4">
        <f t="shared" si="0"/>
        <v>0</v>
      </c>
      <c r="BJ13" s="4">
        <f t="shared" si="0"/>
        <v>0</v>
      </c>
      <c r="BK13" s="4">
        <f t="shared" si="0"/>
        <v>0</v>
      </c>
      <c r="BL13" s="4">
        <f t="shared" si="0"/>
        <v>0</v>
      </c>
      <c r="BM13" s="4">
        <f t="shared" si="0"/>
        <v>0</v>
      </c>
      <c r="BN13" s="4">
        <f t="shared" si="0"/>
        <v>0</v>
      </c>
      <c r="BO13" s="4">
        <f t="shared" si="0"/>
        <v>0</v>
      </c>
      <c r="BP13" s="4">
        <f t="shared" ref="BP13:EA13" si="1">COUNTA(BP3:BP12)</f>
        <v>0</v>
      </c>
      <c r="BQ13" s="4">
        <f t="shared" si="1"/>
        <v>0</v>
      </c>
      <c r="BR13" s="4">
        <f t="shared" si="1"/>
        <v>0</v>
      </c>
      <c r="BS13" s="4">
        <f t="shared" si="1"/>
        <v>0</v>
      </c>
      <c r="BT13" s="4">
        <f t="shared" si="1"/>
        <v>0</v>
      </c>
      <c r="BU13" s="4">
        <f t="shared" si="1"/>
        <v>0</v>
      </c>
      <c r="BV13" s="4">
        <f t="shared" si="1"/>
        <v>0</v>
      </c>
      <c r="BW13" s="4">
        <f t="shared" si="1"/>
        <v>0</v>
      </c>
      <c r="BX13" s="4">
        <f t="shared" si="1"/>
        <v>0</v>
      </c>
      <c r="BY13" s="4">
        <f t="shared" si="1"/>
        <v>0</v>
      </c>
      <c r="BZ13" s="4">
        <f t="shared" si="1"/>
        <v>0</v>
      </c>
      <c r="CA13" s="4">
        <f t="shared" si="1"/>
        <v>0</v>
      </c>
      <c r="CB13" s="4">
        <f t="shared" si="1"/>
        <v>0</v>
      </c>
      <c r="CC13" s="4">
        <f t="shared" si="1"/>
        <v>0</v>
      </c>
      <c r="CD13" s="4">
        <f t="shared" si="1"/>
        <v>1</v>
      </c>
      <c r="CE13" s="4">
        <f t="shared" si="1"/>
        <v>0</v>
      </c>
      <c r="CF13" s="4">
        <f t="shared" si="1"/>
        <v>0</v>
      </c>
      <c r="CG13" s="4">
        <f t="shared" si="1"/>
        <v>0</v>
      </c>
      <c r="CH13" s="4">
        <f t="shared" si="1"/>
        <v>0</v>
      </c>
      <c r="CI13" s="4">
        <f t="shared" si="1"/>
        <v>0</v>
      </c>
      <c r="CJ13" s="4">
        <f t="shared" si="1"/>
        <v>0</v>
      </c>
      <c r="CK13" s="4">
        <f t="shared" si="1"/>
        <v>0</v>
      </c>
      <c r="CL13" s="4">
        <f t="shared" si="1"/>
        <v>0</v>
      </c>
      <c r="CM13" s="4">
        <f t="shared" si="1"/>
        <v>0</v>
      </c>
      <c r="CN13" s="4">
        <f t="shared" si="1"/>
        <v>0</v>
      </c>
      <c r="CO13" s="4">
        <f t="shared" si="1"/>
        <v>0</v>
      </c>
      <c r="CP13" s="4">
        <f t="shared" si="1"/>
        <v>0</v>
      </c>
      <c r="CQ13" s="4">
        <f t="shared" si="1"/>
        <v>0</v>
      </c>
      <c r="CR13" s="4">
        <f t="shared" si="1"/>
        <v>0</v>
      </c>
      <c r="CS13" s="4">
        <f t="shared" si="1"/>
        <v>0</v>
      </c>
      <c r="CT13" s="4">
        <f t="shared" si="1"/>
        <v>1</v>
      </c>
      <c r="CU13" s="4">
        <f t="shared" si="1"/>
        <v>0</v>
      </c>
      <c r="CV13" s="4">
        <f t="shared" si="1"/>
        <v>0</v>
      </c>
      <c r="CW13" s="4">
        <f t="shared" si="1"/>
        <v>0</v>
      </c>
      <c r="CX13" s="4">
        <f t="shared" si="1"/>
        <v>0</v>
      </c>
      <c r="CY13" s="4">
        <f t="shared" si="1"/>
        <v>0</v>
      </c>
      <c r="CZ13" s="4">
        <f t="shared" si="1"/>
        <v>0</v>
      </c>
      <c r="DA13" s="4">
        <f t="shared" si="1"/>
        <v>0</v>
      </c>
      <c r="DB13" s="4">
        <f t="shared" si="1"/>
        <v>0</v>
      </c>
      <c r="DC13" s="4">
        <f t="shared" si="1"/>
        <v>0</v>
      </c>
      <c r="DD13" s="4">
        <f t="shared" si="1"/>
        <v>0</v>
      </c>
      <c r="DE13" s="4">
        <f t="shared" si="1"/>
        <v>0</v>
      </c>
      <c r="DF13" s="4">
        <f t="shared" si="1"/>
        <v>0</v>
      </c>
      <c r="DG13" s="4">
        <f t="shared" si="1"/>
        <v>0</v>
      </c>
      <c r="DH13" s="4">
        <f t="shared" si="1"/>
        <v>0</v>
      </c>
      <c r="DI13" s="4">
        <f t="shared" si="1"/>
        <v>0</v>
      </c>
      <c r="DJ13" s="4">
        <f t="shared" si="1"/>
        <v>0</v>
      </c>
      <c r="DK13" s="4">
        <f t="shared" si="1"/>
        <v>0</v>
      </c>
      <c r="DL13" s="4">
        <f t="shared" si="1"/>
        <v>0</v>
      </c>
      <c r="DM13" s="4">
        <f t="shared" si="1"/>
        <v>0</v>
      </c>
      <c r="DN13" s="4">
        <f t="shared" si="1"/>
        <v>0</v>
      </c>
      <c r="DO13" s="4">
        <f t="shared" si="1"/>
        <v>0</v>
      </c>
      <c r="DP13" s="4">
        <f t="shared" si="1"/>
        <v>0</v>
      </c>
      <c r="DQ13" s="4">
        <f t="shared" si="1"/>
        <v>0</v>
      </c>
      <c r="DR13" s="4">
        <f t="shared" si="1"/>
        <v>0</v>
      </c>
      <c r="DS13" s="4">
        <f t="shared" si="1"/>
        <v>0</v>
      </c>
      <c r="DT13" s="4">
        <f t="shared" si="1"/>
        <v>0</v>
      </c>
      <c r="DU13" s="4">
        <f t="shared" si="1"/>
        <v>0</v>
      </c>
      <c r="DV13" s="4">
        <f t="shared" si="1"/>
        <v>0</v>
      </c>
      <c r="DW13" s="4">
        <f t="shared" si="1"/>
        <v>0</v>
      </c>
      <c r="DX13" s="4">
        <f t="shared" si="1"/>
        <v>0</v>
      </c>
      <c r="DY13" s="4">
        <f t="shared" si="1"/>
        <v>0</v>
      </c>
      <c r="DZ13" s="4">
        <f t="shared" si="1"/>
        <v>0</v>
      </c>
      <c r="EA13" s="4">
        <f t="shared" si="1"/>
        <v>0</v>
      </c>
    </row>
    <row r="14" spans="1:131" x14ac:dyDescent="0.25">
      <c r="A14">
        <v>14242856</v>
      </c>
      <c r="B1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CT14" s="4"/>
      <c r="CU14" s="4"/>
      <c r="CV14" s="4"/>
      <c r="CW14" s="4"/>
      <c r="CX14" s="4"/>
      <c r="CY14" s="4"/>
    </row>
    <row r="15" spans="1:131" x14ac:dyDescent="0.25">
      <c r="A15">
        <v>99001183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CT15" s="4"/>
      <c r="CU15" s="4"/>
      <c r="CV15" s="4"/>
      <c r="CW15" s="4"/>
      <c r="CX15" s="4"/>
      <c r="CY15" s="4"/>
    </row>
    <row r="16" spans="1:131" x14ac:dyDescent="0.25">
      <c r="A16">
        <v>3000983</v>
      </c>
      <c r="B16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Z16">
        <v>0</v>
      </c>
      <c r="AA16">
        <v>0</v>
      </c>
      <c r="CT16" s="4"/>
      <c r="CU16" s="4"/>
      <c r="CV16" s="4"/>
      <c r="CW16" s="4"/>
      <c r="CX16" s="4"/>
      <c r="CY16" s="4"/>
    </row>
    <row r="17" spans="1:131" x14ac:dyDescent="0.25">
      <c r="A17">
        <v>10064335</v>
      </c>
      <c r="B17" t="s">
        <v>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CD17">
        <v>1</v>
      </c>
      <c r="CT17" s="4"/>
      <c r="CU17" s="4"/>
      <c r="CV17" s="4"/>
      <c r="CW17" s="4"/>
      <c r="CX17" s="4"/>
      <c r="CY17" s="4"/>
      <c r="DP17">
        <v>1</v>
      </c>
    </row>
    <row r="18" spans="1:131" x14ac:dyDescent="0.25">
      <c r="A18" s="4"/>
      <c r="B18" s="4"/>
      <c r="C18" s="4">
        <f>COUNTA(C14:C17)</f>
        <v>0</v>
      </c>
      <c r="D18" s="4">
        <f t="shared" ref="D18:BO18" si="2">COUNTA(D14:D17)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2"/>
        <v>0</v>
      </c>
      <c r="T18" s="4">
        <f t="shared" si="2"/>
        <v>0</v>
      </c>
      <c r="U18" s="4">
        <f t="shared" si="2"/>
        <v>0</v>
      </c>
      <c r="V18" s="4">
        <f t="shared" si="2"/>
        <v>0</v>
      </c>
      <c r="W18" s="4">
        <f t="shared" si="2"/>
        <v>0</v>
      </c>
      <c r="X18" s="4">
        <f t="shared" si="2"/>
        <v>0</v>
      </c>
      <c r="Y18" s="4">
        <f t="shared" si="2"/>
        <v>0</v>
      </c>
      <c r="Z18" s="4">
        <f t="shared" si="2"/>
        <v>1</v>
      </c>
      <c r="AA18" s="4">
        <f t="shared" si="2"/>
        <v>1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  <c r="AU18" s="4">
        <f t="shared" si="2"/>
        <v>0</v>
      </c>
      <c r="AV18" s="4">
        <f t="shared" si="2"/>
        <v>0</v>
      </c>
      <c r="AW18" s="4">
        <f t="shared" si="2"/>
        <v>0</v>
      </c>
      <c r="AX18" s="4">
        <f t="shared" si="2"/>
        <v>0</v>
      </c>
      <c r="AY18" s="4">
        <f t="shared" si="2"/>
        <v>0</v>
      </c>
      <c r="AZ18" s="4">
        <f t="shared" si="2"/>
        <v>0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ref="BP18:EA18" si="3">COUNTA(BP14:BP17)</f>
        <v>0</v>
      </c>
      <c r="BQ18" s="4">
        <f t="shared" si="3"/>
        <v>0</v>
      </c>
      <c r="BR18" s="4">
        <f t="shared" si="3"/>
        <v>0</v>
      </c>
      <c r="BS18" s="4">
        <f t="shared" si="3"/>
        <v>0</v>
      </c>
      <c r="BT18" s="4">
        <f t="shared" si="3"/>
        <v>0</v>
      </c>
      <c r="BU18" s="4">
        <f t="shared" si="3"/>
        <v>0</v>
      </c>
      <c r="BV18" s="4">
        <f t="shared" si="3"/>
        <v>0</v>
      </c>
      <c r="BW18" s="4">
        <f t="shared" si="3"/>
        <v>0</v>
      </c>
      <c r="BX18" s="4">
        <f t="shared" si="3"/>
        <v>0</v>
      </c>
      <c r="BY18" s="4">
        <f t="shared" si="3"/>
        <v>0</v>
      </c>
      <c r="BZ18" s="4">
        <f t="shared" si="3"/>
        <v>0</v>
      </c>
      <c r="CA18" s="4">
        <f t="shared" si="3"/>
        <v>0</v>
      </c>
      <c r="CB18" s="4">
        <f t="shared" si="3"/>
        <v>0</v>
      </c>
      <c r="CC18" s="4">
        <f t="shared" si="3"/>
        <v>0</v>
      </c>
      <c r="CD18" s="4">
        <f t="shared" si="3"/>
        <v>1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0</v>
      </c>
      <c r="DC18" s="4">
        <f t="shared" si="3"/>
        <v>0</v>
      </c>
      <c r="DD18" s="4">
        <f t="shared" si="3"/>
        <v>0</v>
      </c>
      <c r="DE18" s="4">
        <f t="shared" si="3"/>
        <v>0</v>
      </c>
      <c r="DF18" s="4">
        <f t="shared" si="3"/>
        <v>0</v>
      </c>
      <c r="DG18" s="4">
        <f t="shared" si="3"/>
        <v>0</v>
      </c>
      <c r="DH18" s="4">
        <f t="shared" si="3"/>
        <v>0</v>
      </c>
      <c r="DI18" s="4">
        <f t="shared" si="3"/>
        <v>0</v>
      </c>
      <c r="DJ18" s="4">
        <f t="shared" si="3"/>
        <v>0</v>
      </c>
      <c r="DK18" s="4">
        <f t="shared" si="3"/>
        <v>0</v>
      </c>
      <c r="DL18" s="4">
        <f t="shared" si="3"/>
        <v>0</v>
      </c>
      <c r="DM18" s="4">
        <f t="shared" si="3"/>
        <v>0</v>
      </c>
      <c r="DN18" s="4">
        <f t="shared" si="3"/>
        <v>0</v>
      </c>
      <c r="DO18" s="4">
        <f t="shared" si="3"/>
        <v>0</v>
      </c>
      <c r="DP18" s="4">
        <f t="shared" si="3"/>
        <v>1</v>
      </c>
      <c r="DQ18" s="4">
        <f t="shared" si="3"/>
        <v>0</v>
      </c>
      <c r="DR18" s="4">
        <f t="shared" si="3"/>
        <v>0</v>
      </c>
      <c r="DS18" s="4">
        <f t="shared" si="3"/>
        <v>0</v>
      </c>
      <c r="DT18" s="4">
        <f t="shared" si="3"/>
        <v>0</v>
      </c>
      <c r="DU18" s="4">
        <f t="shared" si="3"/>
        <v>0</v>
      </c>
      <c r="DV18" s="4">
        <f t="shared" si="3"/>
        <v>0</v>
      </c>
      <c r="DW18" s="4">
        <f t="shared" si="3"/>
        <v>0</v>
      </c>
      <c r="DX18" s="4">
        <f t="shared" si="3"/>
        <v>0</v>
      </c>
      <c r="DY18" s="4">
        <f t="shared" si="3"/>
        <v>0</v>
      </c>
      <c r="DZ18" s="4">
        <f t="shared" si="3"/>
        <v>0</v>
      </c>
      <c r="EA18" s="4">
        <f t="shared" si="3"/>
        <v>0</v>
      </c>
    </row>
    <row r="19" spans="1:131" x14ac:dyDescent="0.25">
      <c r="A19">
        <v>1480</v>
      </c>
      <c r="B19" t="s">
        <v>6</v>
      </c>
    </row>
    <row r="20" spans="1:131" x14ac:dyDescent="0.25">
      <c r="A20">
        <v>7063959</v>
      </c>
      <c r="B20" t="s">
        <v>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BW20">
        <v>0</v>
      </c>
      <c r="CT20" s="4"/>
      <c r="CU20" s="4"/>
      <c r="CV20" s="4"/>
      <c r="CW20" s="4"/>
      <c r="CX20" s="4"/>
      <c r="CY20" s="4"/>
    </row>
    <row r="21" spans="1:131" x14ac:dyDescent="0.25">
      <c r="A21">
        <v>1003215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BW21">
        <v>0</v>
      </c>
      <c r="BY21">
        <v>0</v>
      </c>
      <c r="CD21">
        <v>0</v>
      </c>
      <c r="CK21">
        <v>0</v>
      </c>
      <c r="CM21">
        <v>0</v>
      </c>
      <c r="CP21">
        <v>0</v>
      </c>
      <c r="CT21" s="4"/>
      <c r="CU21" s="4"/>
      <c r="CV21" s="4"/>
      <c r="CW21" s="4"/>
      <c r="CX21" s="4"/>
      <c r="CY21" s="4"/>
      <c r="CZ21">
        <v>1</v>
      </c>
      <c r="DA21">
        <v>0</v>
      </c>
      <c r="DB21">
        <v>1</v>
      </c>
    </row>
    <row r="22" spans="1:131" x14ac:dyDescent="0.25">
      <c r="A22">
        <v>99000802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CT22" s="4"/>
      <c r="CU22" s="4"/>
      <c r="CV22" s="4"/>
      <c r="CW22" s="4"/>
      <c r="CX22" s="4"/>
      <c r="CY22" s="4"/>
    </row>
    <row r="23" spans="1:131" x14ac:dyDescent="0.25">
      <c r="A23">
        <v>99000892</v>
      </c>
      <c r="B2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CT23" s="4"/>
      <c r="CU23" s="4"/>
      <c r="CV23" s="4"/>
      <c r="CW23" s="4"/>
      <c r="CX23" s="4"/>
      <c r="CY23" s="4"/>
    </row>
    <row r="24" spans="1:131" x14ac:dyDescent="0.25">
      <c r="A24">
        <v>1000192</v>
      </c>
      <c r="B24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CT24" s="4"/>
      <c r="CU24" s="4"/>
      <c r="CV24" s="4"/>
      <c r="CW24" s="4"/>
      <c r="CX24" s="4"/>
      <c r="CY24" s="4"/>
    </row>
    <row r="25" spans="1:131" x14ac:dyDescent="0.25">
      <c r="A25">
        <v>1506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CT25" s="4"/>
      <c r="CU25" s="4"/>
      <c r="CV25" s="4"/>
      <c r="CW25" s="4"/>
      <c r="CX25" s="4"/>
      <c r="CY25" s="4"/>
    </row>
    <row r="26" spans="1:131" x14ac:dyDescent="0.25">
      <c r="A26">
        <v>99000894</v>
      </c>
      <c r="B26" t="s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CT26" s="4"/>
      <c r="CU26" s="4"/>
      <c r="CV26" s="4"/>
      <c r="CW26" s="4"/>
      <c r="CX26" s="4"/>
      <c r="CY26" s="4"/>
    </row>
    <row r="27" spans="1:131" x14ac:dyDescent="0.25">
      <c r="A27">
        <v>99000897</v>
      </c>
      <c r="B27" t="s">
        <v>6</v>
      </c>
    </row>
    <row r="28" spans="1:131" x14ac:dyDescent="0.25">
      <c r="A28">
        <v>99001245</v>
      </c>
      <c r="B28" t="s">
        <v>6</v>
      </c>
    </row>
    <row r="29" spans="1:131" x14ac:dyDescent="0.25">
      <c r="A29">
        <v>99001902</v>
      </c>
      <c r="B29" t="s">
        <v>6</v>
      </c>
    </row>
    <row r="30" spans="1:131" x14ac:dyDescent="0.25">
      <c r="A30">
        <v>99001912</v>
      </c>
      <c r="B30" t="s">
        <v>6</v>
      </c>
    </row>
    <row r="31" spans="1:131" x14ac:dyDescent="0.25">
      <c r="A31">
        <v>99001913</v>
      </c>
      <c r="B31" t="s">
        <v>6</v>
      </c>
    </row>
    <row r="32" spans="1:131" x14ac:dyDescent="0.25">
      <c r="A32">
        <v>99001937</v>
      </c>
      <c r="B32" t="s">
        <v>6</v>
      </c>
    </row>
    <row r="33" spans="1:131" x14ac:dyDescent="0.25">
      <c r="A33">
        <v>99001943</v>
      </c>
      <c r="B33" t="s">
        <v>6</v>
      </c>
    </row>
    <row r="34" spans="1:131" x14ac:dyDescent="0.25">
      <c r="A34">
        <v>99001927</v>
      </c>
      <c r="B34" t="s">
        <v>6</v>
      </c>
    </row>
    <row r="35" spans="1:131" x14ac:dyDescent="0.25">
      <c r="A35">
        <v>1505</v>
      </c>
      <c r="B35" t="s">
        <v>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>
        <v>1</v>
      </c>
      <c r="CT35" s="4"/>
      <c r="CU35" s="4"/>
      <c r="CV35" s="4"/>
      <c r="CW35" s="4"/>
      <c r="CX35" s="4"/>
      <c r="CY35" s="4"/>
    </row>
    <row r="36" spans="1:131" x14ac:dyDescent="0.25">
      <c r="A36">
        <v>1000197</v>
      </c>
      <c r="B36" t="s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CT36" s="4"/>
      <c r="CU36" s="4"/>
      <c r="CV36" s="4"/>
      <c r="CW36" s="4"/>
      <c r="CX36" s="4"/>
      <c r="CY36" s="4"/>
    </row>
    <row r="37" spans="1:131" x14ac:dyDescent="0.25">
      <c r="A37">
        <v>96018835</v>
      </c>
      <c r="B37" t="s">
        <v>6</v>
      </c>
      <c r="E37">
        <v>0</v>
      </c>
      <c r="I37" s="4"/>
      <c r="J37" s="4"/>
      <c r="K37" s="4"/>
      <c r="L37" s="4"/>
      <c r="M37" s="4"/>
      <c r="Z37">
        <v>0</v>
      </c>
      <c r="AR37">
        <v>0</v>
      </c>
      <c r="AS37">
        <v>0</v>
      </c>
      <c r="CT37" s="4"/>
      <c r="CU37" s="4"/>
      <c r="CV37" s="4"/>
      <c r="CW37" s="4"/>
      <c r="CX37" s="4"/>
      <c r="CY37" s="4"/>
    </row>
    <row r="38" spans="1:131" x14ac:dyDescent="0.25">
      <c r="A38">
        <v>98008326</v>
      </c>
      <c r="B38" t="s">
        <v>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CT38" s="4"/>
      <c r="CU38" s="4"/>
      <c r="CV38" s="4"/>
      <c r="CW38" s="4"/>
      <c r="CX38" s="4"/>
      <c r="CY38" s="4"/>
    </row>
    <row r="39" spans="1:131" x14ac:dyDescent="0.25">
      <c r="A39">
        <v>99000717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BX39">
        <v>1</v>
      </c>
      <c r="CT39" s="4"/>
      <c r="CU39" s="4"/>
      <c r="CV39" s="4"/>
      <c r="CW39" s="4"/>
      <c r="CX39" s="4"/>
      <c r="CY39" s="4"/>
    </row>
    <row r="40" spans="1:131" x14ac:dyDescent="0.25">
      <c r="C40">
        <f>COUNTA(C19:C39)</f>
        <v>0</v>
      </c>
      <c r="D40">
        <f t="shared" ref="D40:BO40" si="4">COUNTA(D19:D39)</f>
        <v>0</v>
      </c>
      <c r="E40">
        <f>COUNTA(E19:E39)</f>
        <v>1</v>
      </c>
      <c r="F40">
        <f t="shared" si="4"/>
        <v>0</v>
      </c>
      <c r="G40">
        <f t="shared" si="4"/>
        <v>0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4"/>
        <v>0</v>
      </c>
      <c r="L40">
        <f t="shared" si="4"/>
        <v>0</v>
      </c>
      <c r="M40">
        <f t="shared" si="4"/>
        <v>0</v>
      </c>
      <c r="N40">
        <f t="shared" si="4"/>
        <v>1</v>
      </c>
      <c r="O40">
        <f t="shared" si="4"/>
        <v>0</v>
      </c>
      <c r="P40">
        <f t="shared" si="4"/>
        <v>0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0</v>
      </c>
      <c r="U40">
        <f t="shared" si="4"/>
        <v>0</v>
      </c>
      <c r="V40">
        <f t="shared" si="4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1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0</v>
      </c>
      <c r="AO40">
        <f t="shared" si="4"/>
        <v>0</v>
      </c>
      <c r="AP40">
        <f t="shared" si="4"/>
        <v>0</v>
      </c>
      <c r="AQ40">
        <f t="shared" si="4"/>
        <v>0</v>
      </c>
      <c r="AR40">
        <f t="shared" si="4"/>
        <v>1</v>
      </c>
      <c r="AS40">
        <f t="shared" si="4"/>
        <v>1</v>
      </c>
      <c r="AT40">
        <f t="shared" si="4"/>
        <v>0</v>
      </c>
      <c r="AU40">
        <f t="shared" si="4"/>
        <v>0</v>
      </c>
      <c r="AV40">
        <f t="shared" si="4"/>
        <v>0</v>
      </c>
      <c r="AW40">
        <f t="shared" si="4"/>
        <v>0</v>
      </c>
      <c r="AX40">
        <f t="shared" si="4"/>
        <v>0</v>
      </c>
      <c r="AY40">
        <f t="shared" si="4"/>
        <v>0</v>
      </c>
      <c r="AZ40">
        <f t="shared" si="4"/>
        <v>0</v>
      </c>
      <c r="BA40">
        <f t="shared" si="4"/>
        <v>0</v>
      </c>
      <c r="BB40">
        <f t="shared" si="4"/>
        <v>0</v>
      </c>
      <c r="BC40">
        <f t="shared" si="4"/>
        <v>0</v>
      </c>
      <c r="BD40">
        <f t="shared" si="4"/>
        <v>0</v>
      </c>
      <c r="BE40">
        <f t="shared" si="4"/>
        <v>0</v>
      </c>
      <c r="BF40">
        <f t="shared" si="4"/>
        <v>0</v>
      </c>
      <c r="BG40">
        <f t="shared" si="4"/>
        <v>0</v>
      </c>
      <c r="BH40">
        <f t="shared" si="4"/>
        <v>0</v>
      </c>
      <c r="BI40">
        <f t="shared" si="4"/>
        <v>0</v>
      </c>
      <c r="BJ40">
        <f t="shared" si="4"/>
        <v>0</v>
      </c>
      <c r="BK40">
        <f t="shared" si="4"/>
        <v>0</v>
      </c>
      <c r="BL40">
        <f t="shared" si="4"/>
        <v>0</v>
      </c>
      <c r="BM40">
        <f t="shared" si="4"/>
        <v>0</v>
      </c>
      <c r="BN40">
        <f t="shared" si="4"/>
        <v>0</v>
      </c>
      <c r="BO40">
        <f t="shared" si="4"/>
        <v>0</v>
      </c>
      <c r="BP40">
        <f t="shared" ref="BP40:EA40" si="5">COUNTA(BP19:BP39)</f>
        <v>0</v>
      </c>
      <c r="BQ40">
        <f t="shared" si="5"/>
        <v>0</v>
      </c>
      <c r="BR40">
        <f t="shared" si="5"/>
        <v>0</v>
      </c>
      <c r="BS40">
        <f t="shared" si="5"/>
        <v>0</v>
      </c>
      <c r="BT40">
        <f t="shared" si="5"/>
        <v>0</v>
      </c>
      <c r="BU40">
        <f t="shared" si="5"/>
        <v>0</v>
      </c>
      <c r="BV40">
        <f t="shared" si="5"/>
        <v>0</v>
      </c>
      <c r="BW40">
        <f t="shared" si="5"/>
        <v>2</v>
      </c>
      <c r="BX40">
        <f t="shared" si="5"/>
        <v>1</v>
      </c>
      <c r="BY40">
        <f t="shared" si="5"/>
        <v>1</v>
      </c>
      <c r="BZ40">
        <f t="shared" si="5"/>
        <v>0</v>
      </c>
      <c r="CA40">
        <f>COUNTA(CA19:CA39)</f>
        <v>0</v>
      </c>
      <c r="CB40">
        <f t="shared" si="5"/>
        <v>0</v>
      </c>
      <c r="CC40">
        <f t="shared" si="5"/>
        <v>0</v>
      </c>
      <c r="CD40">
        <f t="shared" si="5"/>
        <v>1</v>
      </c>
      <c r="CE40">
        <f t="shared" si="5"/>
        <v>0</v>
      </c>
      <c r="CF40">
        <f t="shared" si="5"/>
        <v>0</v>
      </c>
      <c r="CG40">
        <f t="shared" si="5"/>
        <v>0</v>
      </c>
      <c r="CH40">
        <f t="shared" si="5"/>
        <v>0</v>
      </c>
      <c r="CI40">
        <f t="shared" si="5"/>
        <v>0</v>
      </c>
      <c r="CJ40">
        <f t="shared" si="5"/>
        <v>0</v>
      </c>
      <c r="CK40">
        <f t="shared" si="5"/>
        <v>1</v>
      </c>
      <c r="CL40">
        <f t="shared" si="5"/>
        <v>0</v>
      </c>
      <c r="CM40">
        <f t="shared" si="5"/>
        <v>1</v>
      </c>
      <c r="CN40">
        <f t="shared" si="5"/>
        <v>0</v>
      </c>
      <c r="CO40">
        <f t="shared" si="5"/>
        <v>0</v>
      </c>
      <c r="CP40">
        <f t="shared" si="5"/>
        <v>1</v>
      </c>
      <c r="CQ40">
        <f t="shared" si="5"/>
        <v>0</v>
      </c>
      <c r="CR40">
        <f t="shared" si="5"/>
        <v>0</v>
      </c>
      <c r="CS40">
        <f t="shared" si="5"/>
        <v>0</v>
      </c>
      <c r="CT40">
        <f t="shared" si="5"/>
        <v>0</v>
      </c>
      <c r="CU40">
        <f t="shared" si="5"/>
        <v>0</v>
      </c>
      <c r="CV40">
        <f t="shared" si="5"/>
        <v>0</v>
      </c>
      <c r="CW40">
        <f t="shared" si="5"/>
        <v>0</v>
      </c>
      <c r="CX40">
        <f t="shared" si="5"/>
        <v>0</v>
      </c>
      <c r="CY40">
        <f t="shared" si="5"/>
        <v>0</v>
      </c>
      <c r="CZ40">
        <f t="shared" si="5"/>
        <v>1</v>
      </c>
      <c r="DA40">
        <f t="shared" si="5"/>
        <v>1</v>
      </c>
      <c r="DB40">
        <f t="shared" si="5"/>
        <v>1</v>
      </c>
      <c r="DC40">
        <f t="shared" si="5"/>
        <v>0</v>
      </c>
      <c r="DD40">
        <f t="shared" si="5"/>
        <v>0</v>
      </c>
      <c r="DE40">
        <f t="shared" si="5"/>
        <v>0</v>
      </c>
      <c r="DF40">
        <f t="shared" si="5"/>
        <v>0</v>
      </c>
      <c r="DG40">
        <f t="shared" si="5"/>
        <v>0</v>
      </c>
      <c r="DH40">
        <f t="shared" si="5"/>
        <v>0</v>
      </c>
      <c r="DI40">
        <f t="shared" si="5"/>
        <v>0</v>
      </c>
      <c r="DJ40">
        <f t="shared" si="5"/>
        <v>0</v>
      </c>
      <c r="DK40">
        <f t="shared" si="5"/>
        <v>0</v>
      </c>
      <c r="DL40">
        <f t="shared" si="5"/>
        <v>0</v>
      </c>
      <c r="DM40">
        <f t="shared" si="5"/>
        <v>0</v>
      </c>
      <c r="DN40">
        <f t="shared" si="5"/>
        <v>0</v>
      </c>
      <c r="DO40">
        <f t="shared" si="5"/>
        <v>0</v>
      </c>
      <c r="DP40">
        <f t="shared" si="5"/>
        <v>0</v>
      </c>
      <c r="DQ40">
        <f t="shared" si="5"/>
        <v>0</v>
      </c>
      <c r="DR40">
        <f t="shared" si="5"/>
        <v>0</v>
      </c>
      <c r="DS40">
        <f t="shared" si="5"/>
        <v>0</v>
      </c>
      <c r="DT40">
        <f t="shared" si="5"/>
        <v>0</v>
      </c>
      <c r="DU40">
        <f t="shared" si="5"/>
        <v>0</v>
      </c>
      <c r="DV40">
        <f t="shared" si="5"/>
        <v>0</v>
      </c>
      <c r="DW40">
        <f t="shared" si="5"/>
        <v>0</v>
      </c>
      <c r="DX40">
        <f t="shared" si="5"/>
        <v>0</v>
      </c>
      <c r="DY40">
        <f t="shared" si="5"/>
        <v>0</v>
      </c>
      <c r="DZ40">
        <f t="shared" si="5"/>
        <v>0</v>
      </c>
      <c r="EA40">
        <f t="shared" si="5"/>
        <v>0</v>
      </c>
    </row>
    <row r="41" spans="1:131" x14ac:dyDescent="0.25">
      <c r="A41">
        <v>6016435</v>
      </c>
      <c r="B41" t="s">
        <v>7</v>
      </c>
    </row>
    <row r="42" spans="1:131" x14ac:dyDescent="0.25">
      <c r="A42">
        <v>8045149</v>
      </c>
      <c r="B42" t="s">
        <v>7</v>
      </c>
    </row>
    <row r="43" spans="1:131" x14ac:dyDescent="0.25">
      <c r="A43">
        <v>10023001</v>
      </c>
      <c r="B43" t="s">
        <v>7</v>
      </c>
    </row>
    <row r="44" spans="1:131" x14ac:dyDescent="0.25">
      <c r="A44">
        <v>10027526</v>
      </c>
      <c r="B44" t="s">
        <v>7</v>
      </c>
    </row>
    <row r="45" spans="1:131" x14ac:dyDescent="0.25">
      <c r="A45">
        <v>14222171</v>
      </c>
      <c r="B45" t="s">
        <v>7</v>
      </c>
    </row>
    <row r="46" spans="1:131" x14ac:dyDescent="0.25">
      <c r="A46">
        <v>1006143</v>
      </c>
      <c r="B46" t="s">
        <v>7</v>
      </c>
    </row>
    <row r="47" spans="1:131" x14ac:dyDescent="0.25">
      <c r="A47">
        <v>6006917</v>
      </c>
      <c r="B47" t="s">
        <v>7</v>
      </c>
    </row>
    <row r="48" spans="1:131" x14ac:dyDescent="0.25">
      <c r="C48">
        <f>COUNTA(C41:C47)</f>
        <v>0</v>
      </c>
      <c r="D48">
        <f t="shared" ref="D48:BO48" si="6">COUNTA(D41:D47)</f>
        <v>0</v>
      </c>
      <c r="E48">
        <f>COUNTA(E41:E47)</f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  <c r="AT48">
        <f t="shared" si="6"/>
        <v>0</v>
      </c>
      <c r="AU48">
        <f t="shared" si="6"/>
        <v>0</v>
      </c>
      <c r="AV48">
        <f t="shared" si="6"/>
        <v>0</v>
      </c>
      <c r="AW48">
        <f t="shared" si="6"/>
        <v>0</v>
      </c>
      <c r="AX48">
        <f t="shared" si="6"/>
        <v>0</v>
      </c>
      <c r="AY48">
        <f t="shared" si="6"/>
        <v>0</v>
      </c>
      <c r="AZ48">
        <f t="shared" si="6"/>
        <v>0</v>
      </c>
      <c r="BA48">
        <f t="shared" si="6"/>
        <v>0</v>
      </c>
      <c r="BB48">
        <f t="shared" si="6"/>
        <v>0</v>
      </c>
      <c r="BC48">
        <f t="shared" si="6"/>
        <v>0</v>
      </c>
      <c r="BD48">
        <f t="shared" si="6"/>
        <v>0</v>
      </c>
      <c r="BE48">
        <f t="shared" si="6"/>
        <v>0</v>
      </c>
      <c r="BF48">
        <f t="shared" si="6"/>
        <v>0</v>
      </c>
      <c r="BG48">
        <f t="shared" si="6"/>
        <v>0</v>
      </c>
      <c r="BH48">
        <f t="shared" si="6"/>
        <v>0</v>
      </c>
      <c r="BI48">
        <f t="shared" si="6"/>
        <v>0</v>
      </c>
      <c r="BJ48">
        <f t="shared" si="6"/>
        <v>0</v>
      </c>
      <c r="BK48">
        <f t="shared" si="6"/>
        <v>0</v>
      </c>
      <c r="BL48">
        <f t="shared" si="6"/>
        <v>0</v>
      </c>
      <c r="BM48">
        <f t="shared" si="6"/>
        <v>0</v>
      </c>
      <c r="BN48">
        <f t="shared" si="6"/>
        <v>0</v>
      </c>
      <c r="BO48">
        <f t="shared" si="6"/>
        <v>0</v>
      </c>
      <c r="BP48">
        <f t="shared" ref="BP48:EA48" si="7">COUNTA(BP41:BP47)</f>
        <v>0</v>
      </c>
      <c r="BQ48">
        <f t="shared" si="7"/>
        <v>0</v>
      </c>
      <c r="BR48">
        <f t="shared" si="7"/>
        <v>0</v>
      </c>
      <c r="BS48">
        <f t="shared" si="7"/>
        <v>0</v>
      </c>
      <c r="BT48">
        <f t="shared" si="7"/>
        <v>0</v>
      </c>
      <c r="BU48">
        <f t="shared" si="7"/>
        <v>0</v>
      </c>
      <c r="BV48">
        <f t="shared" si="7"/>
        <v>0</v>
      </c>
      <c r="BW48">
        <f t="shared" si="7"/>
        <v>0</v>
      </c>
      <c r="BX48">
        <f t="shared" si="7"/>
        <v>0</v>
      </c>
      <c r="BY48">
        <f t="shared" si="7"/>
        <v>0</v>
      </c>
      <c r="BZ48">
        <f t="shared" si="7"/>
        <v>0</v>
      </c>
      <c r="CA48">
        <f t="shared" si="7"/>
        <v>0</v>
      </c>
      <c r="CB48">
        <f t="shared" si="7"/>
        <v>0</v>
      </c>
      <c r="CC48">
        <f t="shared" si="7"/>
        <v>0</v>
      </c>
      <c r="CD48">
        <f t="shared" si="7"/>
        <v>0</v>
      </c>
      <c r="CE48">
        <f t="shared" si="7"/>
        <v>0</v>
      </c>
      <c r="CF48">
        <f t="shared" si="7"/>
        <v>0</v>
      </c>
      <c r="CG48">
        <f t="shared" si="7"/>
        <v>0</v>
      </c>
      <c r="CH48">
        <f t="shared" si="7"/>
        <v>0</v>
      </c>
      <c r="CI48">
        <f t="shared" si="7"/>
        <v>0</v>
      </c>
      <c r="CJ48">
        <f t="shared" si="7"/>
        <v>0</v>
      </c>
      <c r="CK48">
        <f t="shared" si="7"/>
        <v>0</v>
      </c>
      <c r="CL48">
        <f t="shared" si="7"/>
        <v>0</v>
      </c>
      <c r="CM48">
        <f t="shared" si="7"/>
        <v>0</v>
      </c>
      <c r="CN48">
        <f t="shared" si="7"/>
        <v>0</v>
      </c>
      <c r="CO48">
        <f t="shared" si="7"/>
        <v>0</v>
      </c>
      <c r="CP48">
        <f t="shared" si="7"/>
        <v>0</v>
      </c>
      <c r="CQ48">
        <f t="shared" si="7"/>
        <v>0</v>
      </c>
      <c r="CR48">
        <f t="shared" si="7"/>
        <v>0</v>
      </c>
      <c r="CS48">
        <f t="shared" si="7"/>
        <v>0</v>
      </c>
      <c r="CT48">
        <f t="shared" si="7"/>
        <v>0</v>
      </c>
      <c r="CU48">
        <f t="shared" si="7"/>
        <v>0</v>
      </c>
      <c r="CV48">
        <f t="shared" si="7"/>
        <v>0</v>
      </c>
      <c r="CW48">
        <f t="shared" si="7"/>
        <v>0</v>
      </c>
      <c r="CX48">
        <f t="shared" si="7"/>
        <v>0</v>
      </c>
      <c r="CY48">
        <f t="shared" si="7"/>
        <v>0</v>
      </c>
      <c r="CZ48">
        <f t="shared" si="7"/>
        <v>0</v>
      </c>
      <c r="DA48">
        <f t="shared" si="7"/>
        <v>0</v>
      </c>
      <c r="DB48">
        <f t="shared" si="7"/>
        <v>0</v>
      </c>
      <c r="DC48">
        <f t="shared" si="7"/>
        <v>0</v>
      </c>
      <c r="DD48">
        <f t="shared" si="7"/>
        <v>0</v>
      </c>
      <c r="DE48">
        <f t="shared" si="7"/>
        <v>0</v>
      </c>
      <c r="DF48">
        <f t="shared" si="7"/>
        <v>0</v>
      </c>
      <c r="DG48">
        <f t="shared" si="7"/>
        <v>0</v>
      </c>
      <c r="DH48">
        <f t="shared" si="7"/>
        <v>0</v>
      </c>
      <c r="DI48">
        <f t="shared" si="7"/>
        <v>0</v>
      </c>
      <c r="DJ48">
        <f t="shared" si="7"/>
        <v>0</v>
      </c>
      <c r="DK48">
        <f t="shared" si="7"/>
        <v>0</v>
      </c>
      <c r="DL48">
        <f t="shared" si="7"/>
        <v>0</v>
      </c>
      <c r="DM48">
        <f t="shared" si="7"/>
        <v>0</v>
      </c>
      <c r="DN48">
        <f t="shared" si="7"/>
        <v>0</v>
      </c>
      <c r="DO48">
        <f t="shared" si="7"/>
        <v>0</v>
      </c>
      <c r="DP48">
        <f t="shared" si="7"/>
        <v>0</v>
      </c>
      <c r="DQ48">
        <f t="shared" si="7"/>
        <v>0</v>
      </c>
      <c r="DR48">
        <f t="shared" si="7"/>
        <v>0</v>
      </c>
      <c r="DS48">
        <f t="shared" si="7"/>
        <v>0</v>
      </c>
      <c r="DT48">
        <f t="shared" si="7"/>
        <v>0</v>
      </c>
      <c r="DU48">
        <f t="shared" si="7"/>
        <v>0</v>
      </c>
      <c r="DV48">
        <f t="shared" si="7"/>
        <v>0</v>
      </c>
      <c r="DW48">
        <f t="shared" si="7"/>
        <v>0</v>
      </c>
      <c r="DX48">
        <f t="shared" si="7"/>
        <v>0</v>
      </c>
      <c r="DY48">
        <f t="shared" si="7"/>
        <v>0</v>
      </c>
      <c r="DZ48">
        <f t="shared" si="7"/>
        <v>0</v>
      </c>
      <c r="EA48">
        <f t="shared" si="7"/>
        <v>0</v>
      </c>
    </row>
    <row r="49" spans="1:131" x14ac:dyDescent="0.25">
      <c r="A49">
        <v>8057159</v>
      </c>
      <c r="B49" t="s">
        <v>8</v>
      </c>
    </row>
    <row r="50" spans="1:131" x14ac:dyDescent="0.25">
      <c r="A50">
        <v>9140312</v>
      </c>
      <c r="B50" t="s">
        <v>8</v>
      </c>
    </row>
    <row r="51" spans="1:131" x14ac:dyDescent="0.25">
      <c r="A51">
        <v>12008230</v>
      </c>
      <c r="B51" t="s">
        <v>8</v>
      </c>
      <c r="Z51">
        <v>0</v>
      </c>
      <c r="AA51">
        <v>0</v>
      </c>
      <c r="BU51">
        <v>0</v>
      </c>
      <c r="BW51">
        <v>0</v>
      </c>
      <c r="DN51">
        <v>0</v>
      </c>
      <c r="DO51">
        <v>0</v>
      </c>
    </row>
    <row r="52" spans="1:131" x14ac:dyDescent="0.25">
      <c r="A52" t="s">
        <v>9</v>
      </c>
      <c r="B52" t="s">
        <v>8</v>
      </c>
    </row>
    <row r="53" spans="1:131" x14ac:dyDescent="0.25">
      <c r="A53">
        <v>13118872</v>
      </c>
      <c r="B53" t="s">
        <v>8</v>
      </c>
    </row>
    <row r="54" spans="1:131" x14ac:dyDescent="0.25">
      <c r="A54">
        <v>12012030</v>
      </c>
      <c r="B54" t="s">
        <v>8</v>
      </c>
    </row>
    <row r="55" spans="1:131" x14ac:dyDescent="0.25">
      <c r="C55">
        <f>COUNTA(C49:C54)</f>
        <v>0</v>
      </c>
      <c r="D55">
        <f t="shared" ref="D55:BO55" si="8">COUNTA(D49:D54)</f>
        <v>0</v>
      </c>
      <c r="E55">
        <f t="shared" si="8"/>
        <v>0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0</v>
      </c>
      <c r="K55">
        <f t="shared" si="8"/>
        <v>0</v>
      </c>
      <c r="L55">
        <f t="shared" si="8"/>
        <v>0</v>
      </c>
      <c r="M55">
        <f t="shared" si="8"/>
        <v>0</v>
      </c>
      <c r="N55">
        <f t="shared" si="8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  <c r="U55">
        <f t="shared" si="8"/>
        <v>0</v>
      </c>
      <c r="V55">
        <f t="shared" si="8"/>
        <v>0</v>
      </c>
      <c r="W55">
        <f t="shared" si="8"/>
        <v>0</v>
      </c>
      <c r="X55">
        <f t="shared" si="8"/>
        <v>0</v>
      </c>
      <c r="Y55">
        <f t="shared" si="8"/>
        <v>0</v>
      </c>
      <c r="Z55">
        <f t="shared" si="8"/>
        <v>1</v>
      </c>
      <c r="AA55">
        <f t="shared" si="8"/>
        <v>1</v>
      </c>
      <c r="AB55">
        <f t="shared" si="8"/>
        <v>0</v>
      </c>
      <c r="AC55">
        <f t="shared" si="8"/>
        <v>0</v>
      </c>
      <c r="AD55">
        <f t="shared" si="8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  <c r="AI55">
        <f t="shared" si="8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8"/>
        <v>0</v>
      </c>
      <c r="AN55">
        <f t="shared" si="8"/>
        <v>0</v>
      </c>
      <c r="AO55">
        <f t="shared" si="8"/>
        <v>0</v>
      </c>
      <c r="AP55">
        <f t="shared" si="8"/>
        <v>0</v>
      </c>
      <c r="AQ55">
        <f t="shared" si="8"/>
        <v>0</v>
      </c>
      <c r="AR55">
        <f t="shared" si="8"/>
        <v>0</v>
      </c>
      <c r="AS55">
        <f t="shared" si="8"/>
        <v>0</v>
      </c>
      <c r="AT55">
        <f t="shared" si="8"/>
        <v>0</v>
      </c>
      <c r="AU55">
        <f t="shared" si="8"/>
        <v>0</v>
      </c>
      <c r="AV55">
        <f t="shared" si="8"/>
        <v>0</v>
      </c>
      <c r="AW55">
        <f t="shared" si="8"/>
        <v>0</v>
      </c>
      <c r="AX55">
        <f t="shared" si="8"/>
        <v>0</v>
      </c>
      <c r="AY55">
        <f t="shared" si="8"/>
        <v>0</v>
      </c>
      <c r="AZ55">
        <f t="shared" si="8"/>
        <v>0</v>
      </c>
      <c r="BA55">
        <f t="shared" si="8"/>
        <v>0</v>
      </c>
      <c r="BB55">
        <f t="shared" si="8"/>
        <v>0</v>
      </c>
      <c r="BC55">
        <f t="shared" si="8"/>
        <v>0</v>
      </c>
      <c r="BD55">
        <f t="shared" si="8"/>
        <v>0</v>
      </c>
      <c r="BE55">
        <f t="shared" si="8"/>
        <v>0</v>
      </c>
      <c r="BF55">
        <f t="shared" si="8"/>
        <v>0</v>
      </c>
      <c r="BG55">
        <f t="shared" si="8"/>
        <v>0</v>
      </c>
      <c r="BH55">
        <f t="shared" si="8"/>
        <v>0</v>
      </c>
      <c r="BI55">
        <f t="shared" si="8"/>
        <v>0</v>
      </c>
      <c r="BJ55">
        <f t="shared" si="8"/>
        <v>0</v>
      </c>
      <c r="BK55">
        <f t="shared" si="8"/>
        <v>0</v>
      </c>
      <c r="BL55">
        <f t="shared" si="8"/>
        <v>0</v>
      </c>
      <c r="BM55">
        <f t="shared" si="8"/>
        <v>0</v>
      </c>
      <c r="BN55">
        <f t="shared" si="8"/>
        <v>0</v>
      </c>
      <c r="BO55">
        <f t="shared" si="8"/>
        <v>0</v>
      </c>
      <c r="BP55">
        <f t="shared" ref="BP55:EA55" si="9">COUNTA(BP49:BP54)</f>
        <v>0</v>
      </c>
      <c r="BQ55">
        <f t="shared" si="9"/>
        <v>0</v>
      </c>
      <c r="BR55">
        <f t="shared" si="9"/>
        <v>0</v>
      </c>
      <c r="BS55">
        <f t="shared" si="9"/>
        <v>0</v>
      </c>
      <c r="BT55">
        <f t="shared" si="9"/>
        <v>0</v>
      </c>
      <c r="BU55">
        <f t="shared" si="9"/>
        <v>1</v>
      </c>
      <c r="BV55">
        <f t="shared" si="9"/>
        <v>0</v>
      </c>
      <c r="BW55">
        <f t="shared" si="9"/>
        <v>1</v>
      </c>
      <c r="BX55">
        <f t="shared" si="9"/>
        <v>0</v>
      </c>
      <c r="BY55">
        <f t="shared" si="9"/>
        <v>0</v>
      </c>
      <c r="BZ55">
        <f t="shared" si="9"/>
        <v>0</v>
      </c>
      <c r="CA55">
        <f t="shared" si="9"/>
        <v>0</v>
      </c>
      <c r="CB55">
        <f t="shared" si="9"/>
        <v>0</v>
      </c>
      <c r="CC55">
        <f t="shared" si="9"/>
        <v>0</v>
      </c>
      <c r="CD55">
        <f t="shared" si="9"/>
        <v>0</v>
      </c>
      <c r="CE55">
        <f t="shared" si="9"/>
        <v>0</v>
      </c>
      <c r="CF55">
        <f t="shared" si="9"/>
        <v>0</v>
      </c>
      <c r="CG55">
        <f t="shared" si="9"/>
        <v>0</v>
      </c>
      <c r="CH55">
        <f t="shared" si="9"/>
        <v>0</v>
      </c>
      <c r="CI55">
        <f t="shared" si="9"/>
        <v>0</v>
      </c>
      <c r="CJ55">
        <f t="shared" si="9"/>
        <v>0</v>
      </c>
      <c r="CK55">
        <f t="shared" si="9"/>
        <v>0</v>
      </c>
      <c r="CL55">
        <f t="shared" si="9"/>
        <v>0</v>
      </c>
      <c r="CM55">
        <f t="shared" si="9"/>
        <v>0</v>
      </c>
      <c r="CN55">
        <f t="shared" si="9"/>
        <v>0</v>
      </c>
      <c r="CO55">
        <f t="shared" si="9"/>
        <v>0</v>
      </c>
      <c r="CP55">
        <f t="shared" si="9"/>
        <v>0</v>
      </c>
      <c r="CQ55">
        <f t="shared" si="9"/>
        <v>0</v>
      </c>
      <c r="CR55">
        <f t="shared" si="9"/>
        <v>0</v>
      </c>
      <c r="CS55">
        <f t="shared" si="9"/>
        <v>0</v>
      </c>
      <c r="CT55">
        <f t="shared" si="9"/>
        <v>0</v>
      </c>
      <c r="CU55">
        <f t="shared" si="9"/>
        <v>0</v>
      </c>
      <c r="CV55">
        <f t="shared" si="9"/>
        <v>0</v>
      </c>
      <c r="CW55">
        <f t="shared" si="9"/>
        <v>0</v>
      </c>
      <c r="CX55">
        <f t="shared" si="9"/>
        <v>0</v>
      </c>
      <c r="CY55">
        <f t="shared" si="9"/>
        <v>0</v>
      </c>
      <c r="CZ55">
        <f t="shared" si="9"/>
        <v>0</v>
      </c>
      <c r="DA55">
        <f t="shared" si="9"/>
        <v>0</v>
      </c>
      <c r="DB55">
        <f t="shared" si="9"/>
        <v>0</v>
      </c>
      <c r="DC55">
        <f t="shared" si="9"/>
        <v>0</v>
      </c>
      <c r="DD55">
        <f t="shared" si="9"/>
        <v>0</v>
      </c>
      <c r="DE55">
        <f t="shared" si="9"/>
        <v>0</v>
      </c>
      <c r="DF55">
        <f t="shared" si="9"/>
        <v>0</v>
      </c>
      <c r="DG55">
        <f t="shared" si="9"/>
        <v>0</v>
      </c>
      <c r="DH55">
        <f t="shared" si="9"/>
        <v>0</v>
      </c>
      <c r="DI55">
        <f t="shared" si="9"/>
        <v>0</v>
      </c>
      <c r="DJ55">
        <f t="shared" si="9"/>
        <v>0</v>
      </c>
      <c r="DK55">
        <f t="shared" si="9"/>
        <v>0</v>
      </c>
      <c r="DL55">
        <f t="shared" si="9"/>
        <v>0</v>
      </c>
      <c r="DM55">
        <f t="shared" si="9"/>
        <v>0</v>
      </c>
      <c r="DN55">
        <f t="shared" si="9"/>
        <v>1</v>
      </c>
      <c r="DO55">
        <f t="shared" si="9"/>
        <v>1</v>
      </c>
      <c r="DP55">
        <f t="shared" si="9"/>
        <v>0</v>
      </c>
      <c r="DQ55">
        <f t="shared" si="9"/>
        <v>0</v>
      </c>
      <c r="DR55">
        <f t="shared" si="9"/>
        <v>0</v>
      </c>
      <c r="DS55">
        <f t="shared" si="9"/>
        <v>0</v>
      </c>
      <c r="DT55">
        <f t="shared" si="9"/>
        <v>0</v>
      </c>
      <c r="DU55">
        <f t="shared" si="9"/>
        <v>0</v>
      </c>
      <c r="DV55">
        <f t="shared" si="9"/>
        <v>0</v>
      </c>
      <c r="DW55">
        <f t="shared" si="9"/>
        <v>0</v>
      </c>
      <c r="DX55">
        <f t="shared" si="9"/>
        <v>0</v>
      </c>
      <c r="DY55">
        <f t="shared" si="9"/>
        <v>0</v>
      </c>
      <c r="DZ55">
        <f t="shared" si="9"/>
        <v>0</v>
      </c>
      <c r="EA55">
        <f t="shared" si="9"/>
        <v>0</v>
      </c>
    </row>
    <row r="56" spans="1:131" x14ac:dyDescent="0.25">
      <c r="A56">
        <v>9074418</v>
      </c>
      <c r="B56" t="s">
        <v>10</v>
      </c>
      <c r="K56">
        <v>0</v>
      </c>
      <c r="N56">
        <v>0</v>
      </c>
      <c r="P56">
        <v>0</v>
      </c>
      <c r="BY56">
        <v>0</v>
      </c>
      <c r="CH56">
        <v>0</v>
      </c>
      <c r="CN56">
        <v>0</v>
      </c>
      <c r="CO56">
        <v>0</v>
      </c>
      <c r="CP56">
        <v>0</v>
      </c>
    </row>
    <row r="57" spans="1:131" x14ac:dyDescent="0.25">
      <c r="A57">
        <v>1263</v>
      </c>
      <c r="B57" t="s">
        <v>10</v>
      </c>
    </row>
    <row r="58" spans="1:131" x14ac:dyDescent="0.25">
      <c r="A58">
        <v>98004910</v>
      </c>
      <c r="B58" t="s">
        <v>10</v>
      </c>
      <c r="CB58">
        <v>1</v>
      </c>
    </row>
    <row r="59" spans="1:131" x14ac:dyDescent="0.25">
      <c r="A59">
        <v>7103068</v>
      </c>
      <c r="B59" t="s">
        <v>10</v>
      </c>
      <c r="N59">
        <v>0</v>
      </c>
      <c r="P59">
        <v>0</v>
      </c>
      <c r="X59">
        <v>0</v>
      </c>
      <c r="Z59">
        <v>0</v>
      </c>
      <c r="AB59">
        <v>0</v>
      </c>
      <c r="AC59">
        <v>0</v>
      </c>
      <c r="AR59">
        <v>0</v>
      </c>
      <c r="BW59">
        <v>1</v>
      </c>
      <c r="CN59">
        <v>0</v>
      </c>
      <c r="CO59">
        <v>0</v>
      </c>
      <c r="CP59">
        <v>0</v>
      </c>
    </row>
    <row r="60" spans="1:131" x14ac:dyDescent="0.25">
      <c r="A60">
        <v>11240728</v>
      </c>
      <c r="B60" t="s">
        <v>10</v>
      </c>
    </row>
    <row r="61" spans="1:131" x14ac:dyDescent="0.25">
      <c r="C61">
        <f>COUNTA(C56:C60)</f>
        <v>0</v>
      </c>
      <c r="D61">
        <f t="shared" ref="D61:BO61" si="10">COUNTA(D56:D60)</f>
        <v>0</v>
      </c>
      <c r="E61">
        <f t="shared" si="10"/>
        <v>0</v>
      </c>
      <c r="F61">
        <f t="shared" si="10"/>
        <v>0</v>
      </c>
      <c r="G61">
        <f t="shared" si="10"/>
        <v>0</v>
      </c>
      <c r="H61">
        <f t="shared" si="10"/>
        <v>0</v>
      </c>
      <c r="I61">
        <f t="shared" si="10"/>
        <v>0</v>
      </c>
      <c r="J61">
        <f t="shared" si="10"/>
        <v>0</v>
      </c>
      <c r="K61">
        <f t="shared" si="10"/>
        <v>1</v>
      </c>
      <c r="L61">
        <f t="shared" si="10"/>
        <v>0</v>
      </c>
      <c r="M61">
        <f t="shared" si="10"/>
        <v>0</v>
      </c>
      <c r="N61">
        <f t="shared" si="10"/>
        <v>2</v>
      </c>
      <c r="O61">
        <f t="shared" si="10"/>
        <v>0</v>
      </c>
      <c r="P61">
        <f t="shared" si="10"/>
        <v>2</v>
      </c>
      <c r="Q61">
        <f t="shared" si="10"/>
        <v>0</v>
      </c>
      <c r="R61">
        <f t="shared" si="10"/>
        <v>0</v>
      </c>
      <c r="S61">
        <f t="shared" si="10"/>
        <v>0</v>
      </c>
      <c r="T61">
        <f t="shared" si="10"/>
        <v>0</v>
      </c>
      <c r="U61">
        <f t="shared" si="10"/>
        <v>0</v>
      </c>
      <c r="V61">
        <f t="shared" si="10"/>
        <v>0</v>
      </c>
      <c r="W61">
        <f t="shared" si="10"/>
        <v>0</v>
      </c>
      <c r="X61">
        <f t="shared" si="10"/>
        <v>1</v>
      </c>
      <c r="Y61">
        <f t="shared" si="10"/>
        <v>0</v>
      </c>
      <c r="Z61">
        <f t="shared" si="10"/>
        <v>1</v>
      </c>
      <c r="AA61">
        <f t="shared" si="10"/>
        <v>0</v>
      </c>
      <c r="AB61">
        <f t="shared" si="10"/>
        <v>1</v>
      </c>
      <c r="AC61">
        <f t="shared" si="10"/>
        <v>1</v>
      </c>
      <c r="AD61">
        <f t="shared" si="10"/>
        <v>0</v>
      </c>
      <c r="AE61">
        <f t="shared" si="10"/>
        <v>0</v>
      </c>
      <c r="AF61">
        <f t="shared" si="10"/>
        <v>0</v>
      </c>
      <c r="AG61">
        <f t="shared" si="10"/>
        <v>0</v>
      </c>
      <c r="AH61">
        <f t="shared" si="10"/>
        <v>0</v>
      </c>
      <c r="AI61">
        <f t="shared" si="10"/>
        <v>0</v>
      </c>
      <c r="AJ61">
        <f t="shared" si="10"/>
        <v>0</v>
      </c>
      <c r="AK61">
        <f t="shared" si="10"/>
        <v>0</v>
      </c>
      <c r="AL61">
        <f t="shared" si="10"/>
        <v>0</v>
      </c>
      <c r="AM61">
        <f t="shared" si="10"/>
        <v>0</v>
      </c>
      <c r="AN61">
        <f t="shared" si="10"/>
        <v>0</v>
      </c>
      <c r="AO61">
        <f t="shared" si="10"/>
        <v>0</v>
      </c>
      <c r="AP61">
        <f t="shared" si="10"/>
        <v>0</v>
      </c>
      <c r="AQ61">
        <f t="shared" si="10"/>
        <v>0</v>
      </c>
      <c r="AR61">
        <f t="shared" si="10"/>
        <v>1</v>
      </c>
      <c r="AS61">
        <f t="shared" si="10"/>
        <v>0</v>
      </c>
      <c r="AT61">
        <f t="shared" si="10"/>
        <v>0</v>
      </c>
      <c r="AU61">
        <f t="shared" si="10"/>
        <v>0</v>
      </c>
      <c r="AV61">
        <f t="shared" si="10"/>
        <v>0</v>
      </c>
      <c r="AW61">
        <f t="shared" si="10"/>
        <v>0</v>
      </c>
      <c r="AX61">
        <f t="shared" si="10"/>
        <v>0</v>
      </c>
      <c r="AY61">
        <f t="shared" si="10"/>
        <v>0</v>
      </c>
      <c r="AZ61">
        <f t="shared" si="10"/>
        <v>0</v>
      </c>
      <c r="BA61">
        <f t="shared" si="10"/>
        <v>0</v>
      </c>
      <c r="BB61">
        <f t="shared" si="10"/>
        <v>0</v>
      </c>
      <c r="BC61">
        <f t="shared" si="10"/>
        <v>0</v>
      </c>
      <c r="BD61">
        <f t="shared" si="10"/>
        <v>0</v>
      </c>
      <c r="BE61">
        <f t="shared" si="10"/>
        <v>0</v>
      </c>
      <c r="BF61">
        <f t="shared" si="10"/>
        <v>0</v>
      </c>
      <c r="BG61">
        <f t="shared" si="10"/>
        <v>0</v>
      </c>
      <c r="BH61">
        <f t="shared" si="10"/>
        <v>0</v>
      </c>
      <c r="BI61">
        <f t="shared" si="10"/>
        <v>0</v>
      </c>
      <c r="BJ61">
        <f t="shared" si="10"/>
        <v>0</v>
      </c>
      <c r="BK61">
        <f t="shared" si="10"/>
        <v>0</v>
      </c>
      <c r="BL61">
        <f t="shared" si="10"/>
        <v>0</v>
      </c>
      <c r="BM61">
        <f t="shared" si="10"/>
        <v>0</v>
      </c>
      <c r="BN61">
        <f t="shared" si="10"/>
        <v>0</v>
      </c>
      <c r="BO61">
        <f t="shared" si="10"/>
        <v>0</v>
      </c>
      <c r="BP61">
        <f t="shared" ref="BP61:EA61" si="11">COUNTA(BP56:BP60)</f>
        <v>0</v>
      </c>
      <c r="BQ61">
        <f t="shared" si="11"/>
        <v>0</v>
      </c>
      <c r="BR61">
        <f t="shared" si="11"/>
        <v>0</v>
      </c>
      <c r="BS61">
        <f t="shared" si="11"/>
        <v>0</v>
      </c>
      <c r="BT61">
        <f t="shared" si="11"/>
        <v>0</v>
      </c>
      <c r="BU61">
        <f t="shared" si="11"/>
        <v>0</v>
      </c>
      <c r="BV61">
        <f t="shared" si="11"/>
        <v>0</v>
      </c>
      <c r="BW61">
        <f t="shared" si="11"/>
        <v>1</v>
      </c>
      <c r="BX61">
        <f t="shared" si="11"/>
        <v>0</v>
      </c>
      <c r="BY61">
        <f t="shared" si="11"/>
        <v>1</v>
      </c>
      <c r="BZ61">
        <f t="shared" si="11"/>
        <v>0</v>
      </c>
      <c r="CA61">
        <f t="shared" si="11"/>
        <v>0</v>
      </c>
      <c r="CB61">
        <f t="shared" si="11"/>
        <v>1</v>
      </c>
      <c r="CC61">
        <f t="shared" si="11"/>
        <v>0</v>
      </c>
      <c r="CD61">
        <f t="shared" si="11"/>
        <v>0</v>
      </c>
      <c r="CE61">
        <f t="shared" si="11"/>
        <v>0</v>
      </c>
      <c r="CF61">
        <f t="shared" si="11"/>
        <v>0</v>
      </c>
      <c r="CG61">
        <f t="shared" si="11"/>
        <v>0</v>
      </c>
      <c r="CH61">
        <f t="shared" si="11"/>
        <v>1</v>
      </c>
      <c r="CI61">
        <f t="shared" si="11"/>
        <v>0</v>
      </c>
      <c r="CJ61">
        <f t="shared" si="11"/>
        <v>0</v>
      </c>
      <c r="CK61">
        <f t="shared" si="11"/>
        <v>0</v>
      </c>
      <c r="CL61">
        <f t="shared" si="11"/>
        <v>0</v>
      </c>
      <c r="CM61">
        <f t="shared" si="11"/>
        <v>0</v>
      </c>
      <c r="CN61">
        <f t="shared" si="11"/>
        <v>2</v>
      </c>
      <c r="CO61">
        <f t="shared" si="11"/>
        <v>2</v>
      </c>
      <c r="CP61">
        <f t="shared" si="11"/>
        <v>2</v>
      </c>
      <c r="CQ61">
        <f t="shared" si="11"/>
        <v>0</v>
      </c>
      <c r="CR61">
        <f t="shared" si="11"/>
        <v>0</v>
      </c>
      <c r="CS61">
        <f t="shared" si="11"/>
        <v>0</v>
      </c>
      <c r="CT61">
        <f t="shared" si="11"/>
        <v>0</v>
      </c>
      <c r="CU61">
        <f t="shared" si="11"/>
        <v>0</v>
      </c>
      <c r="CV61">
        <f t="shared" si="11"/>
        <v>0</v>
      </c>
      <c r="CW61">
        <f t="shared" si="11"/>
        <v>0</v>
      </c>
      <c r="CX61">
        <f t="shared" si="11"/>
        <v>0</v>
      </c>
      <c r="CY61">
        <f t="shared" si="11"/>
        <v>0</v>
      </c>
      <c r="CZ61">
        <f t="shared" si="11"/>
        <v>0</v>
      </c>
      <c r="DA61">
        <f t="shared" si="11"/>
        <v>0</v>
      </c>
      <c r="DB61">
        <f t="shared" si="11"/>
        <v>0</v>
      </c>
      <c r="DC61">
        <f t="shared" si="11"/>
        <v>0</v>
      </c>
      <c r="DD61">
        <f t="shared" si="11"/>
        <v>0</v>
      </c>
      <c r="DE61">
        <f t="shared" si="11"/>
        <v>0</v>
      </c>
      <c r="DF61">
        <f t="shared" si="11"/>
        <v>0</v>
      </c>
      <c r="DG61">
        <f t="shared" si="11"/>
        <v>0</v>
      </c>
      <c r="DH61">
        <f t="shared" si="11"/>
        <v>0</v>
      </c>
      <c r="DI61">
        <f t="shared" si="11"/>
        <v>0</v>
      </c>
      <c r="DJ61">
        <f t="shared" si="11"/>
        <v>0</v>
      </c>
      <c r="DK61">
        <f t="shared" si="11"/>
        <v>0</v>
      </c>
      <c r="DL61">
        <f t="shared" si="11"/>
        <v>0</v>
      </c>
      <c r="DM61">
        <f t="shared" si="11"/>
        <v>0</v>
      </c>
      <c r="DN61">
        <f t="shared" si="11"/>
        <v>0</v>
      </c>
      <c r="DO61">
        <f t="shared" si="11"/>
        <v>0</v>
      </c>
      <c r="DP61">
        <f t="shared" si="11"/>
        <v>0</v>
      </c>
      <c r="DQ61">
        <f t="shared" si="11"/>
        <v>0</v>
      </c>
      <c r="DR61">
        <f t="shared" si="11"/>
        <v>0</v>
      </c>
      <c r="DS61">
        <f t="shared" si="11"/>
        <v>0</v>
      </c>
      <c r="DT61">
        <f t="shared" si="11"/>
        <v>0</v>
      </c>
      <c r="DU61">
        <f t="shared" si="11"/>
        <v>0</v>
      </c>
      <c r="DV61">
        <f t="shared" si="11"/>
        <v>0</v>
      </c>
      <c r="DW61">
        <f t="shared" si="11"/>
        <v>0</v>
      </c>
      <c r="DX61">
        <f t="shared" si="11"/>
        <v>0</v>
      </c>
      <c r="DY61">
        <f t="shared" si="11"/>
        <v>0</v>
      </c>
      <c r="DZ61">
        <f t="shared" si="11"/>
        <v>0</v>
      </c>
      <c r="EA61">
        <f t="shared" si="11"/>
        <v>0</v>
      </c>
    </row>
    <row r="62" spans="1:131" x14ac:dyDescent="0.25">
      <c r="A62">
        <v>5015869</v>
      </c>
      <c r="B62" t="s">
        <v>11</v>
      </c>
    </row>
    <row r="63" spans="1:131" x14ac:dyDescent="0.25">
      <c r="A63">
        <v>5016969</v>
      </c>
      <c r="B63" t="s">
        <v>11</v>
      </c>
    </row>
    <row r="64" spans="1:131" x14ac:dyDescent="0.25">
      <c r="A64">
        <v>6023231</v>
      </c>
      <c r="B64" t="s">
        <v>11</v>
      </c>
    </row>
    <row r="65" spans="1:49" x14ac:dyDescent="0.25">
      <c r="A65">
        <v>6011198</v>
      </c>
      <c r="B65" t="s">
        <v>11</v>
      </c>
      <c r="D65">
        <v>1</v>
      </c>
      <c r="AW65">
        <v>1</v>
      </c>
    </row>
    <row r="66" spans="1:49" x14ac:dyDescent="0.25">
      <c r="A66">
        <v>6012681</v>
      </c>
      <c r="B66" t="s">
        <v>11</v>
      </c>
      <c r="D66" s="10"/>
      <c r="E66" s="10"/>
      <c r="F66" s="10"/>
      <c r="G66" s="10"/>
      <c r="H66" s="10"/>
    </row>
    <row r="67" spans="1:49" x14ac:dyDescent="0.25">
      <c r="A67">
        <v>6014511</v>
      </c>
      <c r="B67" t="s">
        <v>11</v>
      </c>
    </row>
    <row r="68" spans="1:49" x14ac:dyDescent="0.25">
      <c r="A68">
        <v>6045127</v>
      </c>
      <c r="B68" t="s">
        <v>11</v>
      </c>
      <c r="Z68">
        <v>0</v>
      </c>
      <c r="AB68">
        <v>0</v>
      </c>
      <c r="AC68">
        <v>0</v>
      </c>
      <c r="AQ68">
        <v>0</v>
      </c>
      <c r="AV68">
        <v>1</v>
      </c>
    </row>
    <row r="69" spans="1:49" x14ac:dyDescent="0.25">
      <c r="A69">
        <v>7000458</v>
      </c>
      <c r="B69" t="s">
        <v>11</v>
      </c>
    </row>
    <row r="70" spans="1:49" x14ac:dyDescent="0.25">
      <c r="A70">
        <v>7015502</v>
      </c>
      <c r="B70" t="s">
        <v>11</v>
      </c>
    </row>
    <row r="71" spans="1:49" x14ac:dyDescent="0.25">
      <c r="A71">
        <v>7025847</v>
      </c>
      <c r="B71" t="s">
        <v>11</v>
      </c>
    </row>
    <row r="72" spans="1:49" x14ac:dyDescent="0.25">
      <c r="A72">
        <v>7082707</v>
      </c>
      <c r="B72" t="s">
        <v>11</v>
      </c>
    </row>
    <row r="73" spans="1:49" x14ac:dyDescent="0.25">
      <c r="A73">
        <v>7083159</v>
      </c>
      <c r="B73" t="s">
        <v>11</v>
      </c>
      <c r="P73">
        <v>1</v>
      </c>
    </row>
    <row r="74" spans="1:49" x14ac:dyDescent="0.25">
      <c r="A74">
        <v>7084659</v>
      </c>
      <c r="B74" t="s">
        <v>11</v>
      </c>
    </row>
    <row r="75" spans="1:49" x14ac:dyDescent="0.25">
      <c r="A75">
        <v>7076814</v>
      </c>
      <c r="B75" t="s">
        <v>11</v>
      </c>
    </row>
    <row r="76" spans="1:49" x14ac:dyDescent="0.25">
      <c r="A76">
        <v>7076815</v>
      </c>
      <c r="B76" t="s">
        <v>11</v>
      </c>
      <c r="E76">
        <v>1</v>
      </c>
      <c r="H76">
        <v>1</v>
      </c>
    </row>
    <row r="77" spans="1:49" x14ac:dyDescent="0.25">
      <c r="A77">
        <v>7089231</v>
      </c>
      <c r="B77" t="s">
        <v>11</v>
      </c>
    </row>
    <row r="78" spans="1:49" x14ac:dyDescent="0.25">
      <c r="A78">
        <v>7116004</v>
      </c>
      <c r="B78" t="s">
        <v>11</v>
      </c>
    </row>
    <row r="79" spans="1:49" x14ac:dyDescent="0.25">
      <c r="A79">
        <v>8003819</v>
      </c>
      <c r="B79" t="s">
        <v>11</v>
      </c>
    </row>
    <row r="80" spans="1:49" x14ac:dyDescent="0.25">
      <c r="A80">
        <v>8091779</v>
      </c>
      <c r="B80" t="s">
        <v>11</v>
      </c>
    </row>
    <row r="81" spans="1:94" x14ac:dyDescent="0.25">
      <c r="A81">
        <v>8112522</v>
      </c>
      <c r="B81" t="s">
        <v>11</v>
      </c>
    </row>
    <row r="82" spans="1:94" x14ac:dyDescent="0.25">
      <c r="A82" t="s">
        <v>12</v>
      </c>
      <c r="B82" t="s">
        <v>11</v>
      </c>
    </row>
    <row r="83" spans="1:94" x14ac:dyDescent="0.25">
      <c r="A83">
        <v>8130998</v>
      </c>
      <c r="B83" t="s">
        <v>11</v>
      </c>
      <c r="CN83">
        <v>0</v>
      </c>
      <c r="CO83">
        <v>0</v>
      </c>
      <c r="CP83">
        <v>0</v>
      </c>
    </row>
    <row r="84" spans="1:94" x14ac:dyDescent="0.25">
      <c r="A84">
        <v>9002836</v>
      </c>
      <c r="B84" t="s">
        <v>11</v>
      </c>
    </row>
    <row r="85" spans="1:94" x14ac:dyDescent="0.25">
      <c r="A85">
        <v>9003331</v>
      </c>
      <c r="B85" t="s">
        <v>11</v>
      </c>
    </row>
    <row r="86" spans="1:94" x14ac:dyDescent="0.25">
      <c r="A86">
        <v>9003370</v>
      </c>
      <c r="B86" t="s">
        <v>11</v>
      </c>
    </row>
    <row r="87" spans="1:94" x14ac:dyDescent="0.25">
      <c r="A87">
        <v>9016278</v>
      </c>
      <c r="B87" t="s">
        <v>11</v>
      </c>
    </row>
    <row r="88" spans="1:94" x14ac:dyDescent="0.25">
      <c r="A88">
        <v>9030684</v>
      </c>
      <c r="B88" t="s">
        <v>11</v>
      </c>
    </row>
    <row r="89" spans="1:94" x14ac:dyDescent="0.25">
      <c r="A89">
        <v>9031387</v>
      </c>
      <c r="B89" t="s">
        <v>11</v>
      </c>
    </row>
    <row r="90" spans="1:94" x14ac:dyDescent="0.25">
      <c r="A90">
        <v>9038676</v>
      </c>
      <c r="B90" t="s">
        <v>11</v>
      </c>
    </row>
    <row r="91" spans="1:94" x14ac:dyDescent="0.25">
      <c r="A91">
        <v>9039416</v>
      </c>
      <c r="B91" t="s">
        <v>11</v>
      </c>
    </row>
    <row r="92" spans="1:94" x14ac:dyDescent="0.25">
      <c r="A92">
        <v>9042861</v>
      </c>
      <c r="B92" t="s">
        <v>11</v>
      </c>
    </row>
    <row r="93" spans="1:94" x14ac:dyDescent="0.25">
      <c r="A93">
        <v>9044899</v>
      </c>
      <c r="B93" t="s">
        <v>11</v>
      </c>
    </row>
    <row r="94" spans="1:94" x14ac:dyDescent="0.25">
      <c r="A94">
        <v>9052398</v>
      </c>
      <c r="B94" t="s">
        <v>11</v>
      </c>
    </row>
    <row r="95" spans="1:94" x14ac:dyDescent="0.25">
      <c r="A95">
        <v>9085204</v>
      </c>
      <c r="B95" t="s">
        <v>11</v>
      </c>
    </row>
    <row r="96" spans="1:94" x14ac:dyDescent="0.25">
      <c r="A96">
        <v>9105492</v>
      </c>
      <c r="B96" t="s">
        <v>11</v>
      </c>
    </row>
    <row r="97" spans="1:106" x14ac:dyDescent="0.25">
      <c r="A97">
        <v>9138470</v>
      </c>
      <c r="B97" t="s">
        <v>11</v>
      </c>
    </row>
    <row r="98" spans="1:106" x14ac:dyDescent="0.25">
      <c r="A98">
        <v>9150676</v>
      </c>
      <c r="B98" t="s">
        <v>11</v>
      </c>
    </row>
    <row r="99" spans="1:106" x14ac:dyDescent="0.25">
      <c r="A99">
        <v>10010926</v>
      </c>
      <c r="B99" t="s">
        <v>11</v>
      </c>
      <c r="D99" s="10"/>
      <c r="E99" s="10"/>
      <c r="F99" s="10"/>
      <c r="G99" s="10"/>
      <c r="H99" s="10"/>
    </row>
    <row r="100" spans="1:106" x14ac:dyDescent="0.25">
      <c r="A100" t="s">
        <v>13</v>
      </c>
      <c r="B100" t="s">
        <v>11</v>
      </c>
    </row>
    <row r="101" spans="1:106" x14ac:dyDescent="0.25">
      <c r="A101">
        <v>10091530</v>
      </c>
      <c r="B101" t="s">
        <v>11</v>
      </c>
      <c r="CN101">
        <v>0</v>
      </c>
      <c r="CO101">
        <v>0</v>
      </c>
      <c r="CP101">
        <v>0</v>
      </c>
    </row>
    <row r="102" spans="1:106" x14ac:dyDescent="0.25">
      <c r="A102">
        <v>10102052</v>
      </c>
      <c r="B102" t="s">
        <v>11</v>
      </c>
    </row>
    <row r="103" spans="1:106" x14ac:dyDescent="0.25">
      <c r="A103">
        <v>10104735</v>
      </c>
      <c r="B103" t="s">
        <v>11</v>
      </c>
      <c r="K103">
        <v>0</v>
      </c>
      <c r="P103">
        <v>0</v>
      </c>
    </row>
    <row r="104" spans="1:106" x14ac:dyDescent="0.25">
      <c r="A104">
        <v>10131550</v>
      </c>
      <c r="B104" t="s">
        <v>11</v>
      </c>
      <c r="Y104">
        <v>0</v>
      </c>
    </row>
    <row r="105" spans="1:106" x14ac:dyDescent="0.25">
      <c r="A105">
        <v>10131607</v>
      </c>
      <c r="B105" t="s">
        <v>11</v>
      </c>
    </row>
    <row r="106" spans="1:106" x14ac:dyDescent="0.25">
      <c r="A106">
        <v>10145202</v>
      </c>
      <c r="B106" t="s">
        <v>11</v>
      </c>
    </row>
    <row r="107" spans="1:106" x14ac:dyDescent="0.25">
      <c r="A107">
        <v>10158770</v>
      </c>
      <c r="B107" t="s">
        <v>11</v>
      </c>
    </row>
    <row r="108" spans="1:106" x14ac:dyDescent="0.25">
      <c r="A108">
        <v>10162949</v>
      </c>
      <c r="B108" t="s">
        <v>11</v>
      </c>
    </row>
    <row r="109" spans="1:106" x14ac:dyDescent="0.25">
      <c r="A109">
        <v>10171633</v>
      </c>
      <c r="B109" t="s">
        <v>11</v>
      </c>
    </row>
    <row r="110" spans="1:106" x14ac:dyDescent="0.25">
      <c r="A110">
        <v>11005762</v>
      </c>
      <c r="B110" t="s">
        <v>11</v>
      </c>
      <c r="Y110">
        <v>0</v>
      </c>
      <c r="Z110">
        <v>0</v>
      </c>
      <c r="AB110">
        <v>0</v>
      </c>
      <c r="AC110">
        <v>0</v>
      </c>
      <c r="CN110">
        <v>0</v>
      </c>
      <c r="CO110">
        <v>0</v>
      </c>
      <c r="CP110">
        <v>0</v>
      </c>
      <c r="DB110">
        <v>0</v>
      </c>
    </row>
    <row r="111" spans="1:106" x14ac:dyDescent="0.25">
      <c r="A111" t="s">
        <v>14</v>
      </c>
      <c r="B111" t="s">
        <v>11</v>
      </c>
    </row>
    <row r="112" spans="1:106" x14ac:dyDescent="0.25">
      <c r="A112">
        <v>11018341</v>
      </c>
      <c r="B112" t="s">
        <v>11</v>
      </c>
      <c r="N112">
        <v>0</v>
      </c>
      <c r="P112">
        <v>0</v>
      </c>
      <c r="W112">
        <v>0</v>
      </c>
      <c r="AW112">
        <v>0</v>
      </c>
    </row>
    <row r="113" spans="1:106" x14ac:dyDescent="0.25">
      <c r="A113">
        <v>11021445</v>
      </c>
      <c r="B113" t="s">
        <v>11</v>
      </c>
    </row>
    <row r="114" spans="1:106" x14ac:dyDescent="0.25">
      <c r="A114">
        <v>11025151</v>
      </c>
      <c r="B114" t="s">
        <v>11</v>
      </c>
      <c r="Z114">
        <v>0</v>
      </c>
      <c r="BK114">
        <v>0</v>
      </c>
      <c r="CN114">
        <v>0</v>
      </c>
      <c r="CO114">
        <v>0</v>
      </c>
      <c r="CP114">
        <v>0</v>
      </c>
      <c r="CR114">
        <v>0</v>
      </c>
    </row>
    <row r="115" spans="1:106" x14ac:dyDescent="0.25">
      <c r="A115">
        <v>11039110</v>
      </c>
      <c r="B115" t="s">
        <v>11</v>
      </c>
      <c r="CN115">
        <v>0</v>
      </c>
      <c r="CO115">
        <v>0</v>
      </c>
      <c r="CP115">
        <v>0</v>
      </c>
    </row>
    <row r="116" spans="1:106" x14ac:dyDescent="0.25">
      <c r="A116">
        <v>11108410</v>
      </c>
      <c r="B116" t="s">
        <v>11</v>
      </c>
    </row>
    <row r="117" spans="1:106" x14ac:dyDescent="0.25">
      <c r="A117">
        <v>11139605</v>
      </c>
      <c r="B117" t="s">
        <v>11</v>
      </c>
    </row>
    <row r="118" spans="1:106" x14ac:dyDescent="0.25">
      <c r="A118">
        <v>11201694</v>
      </c>
      <c r="B118" t="s">
        <v>11</v>
      </c>
    </row>
    <row r="119" spans="1:106" x14ac:dyDescent="0.25">
      <c r="A119">
        <v>11242543</v>
      </c>
      <c r="B119" t="s">
        <v>11</v>
      </c>
    </row>
    <row r="120" spans="1:106" x14ac:dyDescent="0.25">
      <c r="A120">
        <v>11247293</v>
      </c>
      <c r="B120" t="s">
        <v>11</v>
      </c>
    </row>
    <row r="121" spans="1:106" x14ac:dyDescent="0.25">
      <c r="A121">
        <v>12006449</v>
      </c>
      <c r="B121" t="s">
        <v>11</v>
      </c>
      <c r="CN121">
        <v>0</v>
      </c>
      <c r="CO121">
        <v>0</v>
      </c>
      <c r="CP121">
        <v>0</v>
      </c>
    </row>
    <row r="122" spans="1:106" x14ac:dyDescent="0.25">
      <c r="A122">
        <v>12049136</v>
      </c>
      <c r="B122" t="s">
        <v>11</v>
      </c>
    </row>
    <row r="123" spans="1:106" x14ac:dyDescent="0.25">
      <c r="A123">
        <v>12087508</v>
      </c>
      <c r="B123" t="s">
        <v>11</v>
      </c>
      <c r="I123" s="5">
        <v>1</v>
      </c>
      <c r="J123" s="5"/>
      <c r="K123">
        <v>1</v>
      </c>
      <c r="L123" s="5">
        <v>0</v>
      </c>
      <c r="Q123">
        <v>1</v>
      </c>
      <c r="R123">
        <v>1</v>
      </c>
      <c r="Z123">
        <v>0</v>
      </c>
      <c r="AC123">
        <v>1</v>
      </c>
      <c r="AD123">
        <v>0</v>
      </c>
      <c r="BE123">
        <v>0</v>
      </c>
      <c r="BG123">
        <v>0</v>
      </c>
      <c r="BI123">
        <v>0</v>
      </c>
      <c r="BK123">
        <v>0</v>
      </c>
      <c r="BR123">
        <v>0</v>
      </c>
      <c r="BS123">
        <v>1</v>
      </c>
      <c r="CP123">
        <v>0</v>
      </c>
      <c r="CT123">
        <v>0</v>
      </c>
      <c r="CZ123">
        <v>0</v>
      </c>
      <c r="DA123">
        <v>0</v>
      </c>
      <c r="DB123">
        <v>0</v>
      </c>
    </row>
    <row r="124" spans="1:106" x14ac:dyDescent="0.25">
      <c r="A124">
        <v>12229481</v>
      </c>
      <c r="B124" t="s">
        <v>11</v>
      </c>
    </row>
    <row r="125" spans="1:106" x14ac:dyDescent="0.25">
      <c r="A125">
        <v>12258821</v>
      </c>
      <c r="B125" t="s">
        <v>11</v>
      </c>
      <c r="Z125" s="9" t="s">
        <v>160</v>
      </c>
      <c r="BK125">
        <v>0</v>
      </c>
    </row>
    <row r="126" spans="1:106" x14ac:dyDescent="0.25">
      <c r="A126">
        <v>12309729</v>
      </c>
      <c r="B126" t="s">
        <v>11</v>
      </c>
    </row>
    <row r="127" spans="1:106" x14ac:dyDescent="0.25">
      <c r="A127" t="s">
        <v>15</v>
      </c>
      <c r="B127" t="s">
        <v>11</v>
      </c>
    </row>
    <row r="128" spans="1:106" x14ac:dyDescent="0.25">
      <c r="A128">
        <v>13005942</v>
      </c>
      <c r="B128" t="s">
        <v>11</v>
      </c>
    </row>
    <row r="129" spans="1:106" x14ac:dyDescent="0.25">
      <c r="A129">
        <v>324</v>
      </c>
      <c r="B129" t="s">
        <v>11</v>
      </c>
    </row>
    <row r="130" spans="1:106" x14ac:dyDescent="0.25">
      <c r="A130">
        <v>3909</v>
      </c>
      <c r="B130" t="s">
        <v>11</v>
      </c>
      <c r="Z130">
        <v>1</v>
      </c>
    </row>
    <row r="131" spans="1:106" x14ac:dyDescent="0.25">
      <c r="A131">
        <v>4663</v>
      </c>
      <c r="B131" t="s">
        <v>11</v>
      </c>
    </row>
    <row r="132" spans="1:106" x14ac:dyDescent="0.25">
      <c r="A132">
        <v>1005522</v>
      </c>
      <c r="B132" t="s">
        <v>11</v>
      </c>
    </row>
    <row r="133" spans="1:106" x14ac:dyDescent="0.25">
      <c r="A133">
        <v>1007631</v>
      </c>
      <c r="B133" t="s">
        <v>11</v>
      </c>
      <c r="K133">
        <v>0</v>
      </c>
      <c r="P133">
        <v>0</v>
      </c>
      <c r="Q133">
        <v>0</v>
      </c>
      <c r="R133">
        <v>0</v>
      </c>
      <c r="Z133">
        <v>0</v>
      </c>
      <c r="CM133">
        <v>0</v>
      </c>
      <c r="CN133">
        <v>0</v>
      </c>
      <c r="CO133">
        <v>0</v>
      </c>
      <c r="CP133">
        <v>0</v>
      </c>
      <c r="CR133">
        <v>0</v>
      </c>
    </row>
    <row r="134" spans="1:106" x14ac:dyDescent="0.25">
      <c r="A134">
        <v>1009760</v>
      </c>
      <c r="B134" t="s">
        <v>11</v>
      </c>
      <c r="CT134">
        <v>1</v>
      </c>
      <c r="CU134">
        <v>0</v>
      </c>
      <c r="CZ134">
        <v>0</v>
      </c>
      <c r="DB134">
        <v>0</v>
      </c>
    </row>
    <row r="135" spans="1:106" x14ac:dyDescent="0.25">
      <c r="A135">
        <v>2000646</v>
      </c>
      <c r="B135" t="s">
        <v>11</v>
      </c>
    </row>
    <row r="136" spans="1:106" x14ac:dyDescent="0.25">
      <c r="A136">
        <v>2003761</v>
      </c>
      <c r="B136" t="s">
        <v>11</v>
      </c>
    </row>
    <row r="137" spans="1:106" x14ac:dyDescent="0.25">
      <c r="A137">
        <v>2004061</v>
      </c>
      <c r="B137" t="s">
        <v>11</v>
      </c>
    </row>
    <row r="138" spans="1:106" x14ac:dyDescent="0.25">
      <c r="A138">
        <v>2006469</v>
      </c>
      <c r="B138" t="s">
        <v>11</v>
      </c>
    </row>
    <row r="139" spans="1:106" x14ac:dyDescent="0.25">
      <c r="A139">
        <v>3005132</v>
      </c>
      <c r="B139" t="s">
        <v>11</v>
      </c>
    </row>
    <row r="140" spans="1:106" x14ac:dyDescent="0.25">
      <c r="A140">
        <v>3009119</v>
      </c>
      <c r="B140" t="s">
        <v>11</v>
      </c>
    </row>
    <row r="141" spans="1:106" x14ac:dyDescent="0.25">
      <c r="A141">
        <v>3009936</v>
      </c>
      <c r="B141" t="s">
        <v>11</v>
      </c>
    </row>
    <row r="142" spans="1:106" x14ac:dyDescent="0.25">
      <c r="A142">
        <v>3011094</v>
      </c>
      <c r="B142" t="s">
        <v>11</v>
      </c>
    </row>
    <row r="143" spans="1:106" x14ac:dyDescent="0.25">
      <c r="A143">
        <v>3014643</v>
      </c>
      <c r="B143" t="s">
        <v>11</v>
      </c>
    </row>
    <row r="144" spans="1:106" x14ac:dyDescent="0.25">
      <c r="A144">
        <v>3016056</v>
      </c>
      <c r="B144" t="s">
        <v>11</v>
      </c>
    </row>
    <row r="145" spans="1:106" x14ac:dyDescent="0.25">
      <c r="A145">
        <v>3900219</v>
      </c>
      <c r="B145" t="s">
        <v>11</v>
      </c>
      <c r="CZ145">
        <v>1</v>
      </c>
      <c r="DB145">
        <v>0</v>
      </c>
    </row>
    <row r="146" spans="1:106" x14ac:dyDescent="0.25">
      <c r="A146">
        <v>4000158</v>
      </c>
      <c r="B146" t="s">
        <v>11</v>
      </c>
    </row>
    <row r="147" spans="1:106" x14ac:dyDescent="0.25">
      <c r="A147">
        <v>4000304</v>
      </c>
      <c r="B147" t="s">
        <v>11</v>
      </c>
      <c r="AB147">
        <v>0</v>
      </c>
      <c r="AC147">
        <v>0</v>
      </c>
      <c r="CN147">
        <v>0</v>
      </c>
      <c r="CO147">
        <v>0</v>
      </c>
      <c r="CP147">
        <v>0</v>
      </c>
      <c r="DA147">
        <v>0</v>
      </c>
      <c r="DB147">
        <v>0</v>
      </c>
    </row>
    <row r="148" spans="1:106" x14ac:dyDescent="0.25">
      <c r="A148">
        <v>4001905</v>
      </c>
      <c r="B148" t="s">
        <v>11</v>
      </c>
    </row>
    <row r="149" spans="1:106" x14ac:dyDescent="0.25">
      <c r="A149">
        <v>4002206</v>
      </c>
      <c r="B149" t="s">
        <v>11</v>
      </c>
    </row>
    <row r="150" spans="1:106" x14ac:dyDescent="0.25">
      <c r="A150">
        <v>4002715</v>
      </c>
      <c r="B150" t="s">
        <v>11</v>
      </c>
    </row>
    <row r="151" spans="1:106" x14ac:dyDescent="0.25">
      <c r="A151">
        <v>4003924</v>
      </c>
      <c r="B151" t="s">
        <v>11</v>
      </c>
      <c r="CN151">
        <v>0</v>
      </c>
      <c r="CO151">
        <v>0</v>
      </c>
      <c r="CP151">
        <v>0</v>
      </c>
      <c r="DA151">
        <v>0</v>
      </c>
      <c r="DB151">
        <v>0</v>
      </c>
    </row>
    <row r="152" spans="1:106" x14ac:dyDescent="0.25">
      <c r="A152">
        <v>4006051</v>
      </c>
      <c r="B152" t="s">
        <v>11</v>
      </c>
    </row>
    <row r="153" spans="1:106" x14ac:dyDescent="0.25">
      <c r="A153">
        <v>4008140</v>
      </c>
      <c r="B153" t="s">
        <v>11</v>
      </c>
      <c r="Y153">
        <v>0</v>
      </c>
      <c r="CN153">
        <v>0</v>
      </c>
      <c r="CO153">
        <v>0</v>
      </c>
      <c r="CP153">
        <v>0</v>
      </c>
      <c r="CT153">
        <v>0</v>
      </c>
      <c r="CU153">
        <v>0</v>
      </c>
    </row>
    <row r="154" spans="1:106" x14ac:dyDescent="0.25">
      <c r="A154">
        <v>4009906</v>
      </c>
      <c r="B154" t="s">
        <v>11</v>
      </c>
    </row>
    <row r="155" spans="1:106" x14ac:dyDescent="0.25">
      <c r="A155">
        <v>4011027</v>
      </c>
      <c r="B155" t="s">
        <v>11</v>
      </c>
    </row>
    <row r="156" spans="1:106" x14ac:dyDescent="0.25">
      <c r="A156">
        <v>4011920</v>
      </c>
      <c r="B156" t="s">
        <v>11</v>
      </c>
    </row>
    <row r="157" spans="1:106" x14ac:dyDescent="0.25">
      <c r="A157">
        <v>4012248</v>
      </c>
      <c r="B157" t="s">
        <v>11</v>
      </c>
    </row>
    <row r="158" spans="1:106" x14ac:dyDescent="0.25">
      <c r="A158">
        <v>4013603</v>
      </c>
      <c r="B158" t="s">
        <v>11</v>
      </c>
    </row>
    <row r="159" spans="1:106" x14ac:dyDescent="0.25">
      <c r="A159">
        <v>5004654</v>
      </c>
      <c r="B159" t="s">
        <v>11</v>
      </c>
      <c r="N159">
        <v>0</v>
      </c>
      <c r="P159">
        <v>0</v>
      </c>
      <c r="T159">
        <v>0</v>
      </c>
      <c r="Z159">
        <v>0</v>
      </c>
      <c r="BK159">
        <v>0</v>
      </c>
      <c r="CN159">
        <v>0</v>
      </c>
      <c r="CO159">
        <v>0</v>
      </c>
      <c r="CP159">
        <v>0</v>
      </c>
    </row>
    <row r="160" spans="1:106" x14ac:dyDescent="0.25">
      <c r="A160">
        <v>5008807</v>
      </c>
      <c r="B160" t="s">
        <v>11</v>
      </c>
      <c r="K160">
        <v>1</v>
      </c>
      <c r="M160">
        <v>1</v>
      </c>
      <c r="O160">
        <v>1</v>
      </c>
      <c r="P160">
        <v>0</v>
      </c>
      <c r="U160">
        <v>1</v>
      </c>
      <c r="Z160">
        <v>0</v>
      </c>
      <c r="AE160">
        <v>0</v>
      </c>
      <c r="AF160">
        <v>0</v>
      </c>
      <c r="AH160">
        <v>0</v>
      </c>
      <c r="AJ160">
        <v>0</v>
      </c>
      <c r="AL160">
        <v>0</v>
      </c>
      <c r="AM160">
        <v>0</v>
      </c>
      <c r="AQ160">
        <v>0</v>
      </c>
      <c r="AT160">
        <v>0</v>
      </c>
      <c r="BK160">
        <v>0</v>
      </c>
      <c r="BL160">
        <v>0</v>
      </c>
      <c r="BW160">
        <v>0</v>
      </c>
      <c r="CN160">
        <v>1</v>
      </c>
      <c r="CO160">
        <v>0</v>
      </c>
      <c r="CP160">
        <v>0</v>
      </c>
      <c r="CR160">
        <v>0</v>
      </c>
      <c r="CZ160">
        <v>0</v>
      </c>
      <c r="DB160">
        <v>0</v>
      </c>
    </row>
    <row r="161" spans="1:111" x14ac:dyDescent="0.25">
      <c r="A161">
        <v>5009400</v>
      </c>
      <c r="B161" t="s">
        <v>11</v>
      </c>
    </row>
    <row r="162" spans="1:111" x14ac:dyDescent="0.25">
      <c r="A162">
        <v>5016255</v>
      </c>
      <c r="B162" t="s">
        <v>11</v>
      </c>
    </row>
    <row r="163" spans="1:111" x14ac:dyDescent="0.25">
      <c r="A163">
        <v>6012448</v>
      </c>
      <c r="B163" t="s">
        <v>11</v>
      </c>
    </row>
    <row r="164" spans="1:111" x14ac:dyDescent="0.25">
      <c r="A164">
        <v>7000457</v>
      </c>
      <c r="B164" t="s">
        <v>11</v>
      </c>
    </row>
    <row r="165" spans="1:111" x14ac:dyDescent="0.25">
      <c r="A165">
        <v>7072644</v>
      </c>
      <c r="B165" t="s">
        <v>11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BW165">
        <v>0</v>
      </c>
      <c r="CO165">
        <v>0</v>
      </c>
      <c r="CP165">
        <v>0</v>
      </c>
    </row>
    <row r="166" spans="1:111" x14ac:dyDescent="0.25">
      <c r="A166">
        <v>7126387</v>
      </c>
      <c r="B166" t="s">
        <v>11</v>
      </c>
    </row>
    <row r="167" spans="1:111" x14ac:dyDescent="0.25">
      <c r="A167">
        <v>10185935</v>
      </c>
      <c r="B167" t="s">
        <v>11</v>
      </c>
      <c r="CN167">
        <v>1</v>
      </c>
      <c r="CO167">
        <v>0</v>
      </c>
      <c r="CP167">
        <v>0</v>
      </c>
      <c r="CU167">
        <v>0</v>
      </c>
      <c r="DA167">
        <v>0</v>
      </c>
      <c r="DB167">
        <v>0</v>
      </c>
      <c r="DF167">
        <v>0</v>
      </c>
      <c r="DG167">
        <v>0</v>
      </c>
    </row>
    <row r="168" spans="1:111" x14ac:dyDescent="0.25">
      <c r="A168">
        <v>11061215</v>
      </c>
      <c r="B168" t="s">
        <v>11</v>
      </c>
      <c r="Z168">
        <v>0</v>
      </c>
      <c r="AS168">
        <v>0</v>
      </c>
      <c r="BE168">
        <v>0</v>
      </c>
      <c r="BG168">
        <v>0</v>
      </c>
      <c r="BK168">
        <v>0</v>
      </c>
      <c r="BM168">
        <v>0</v>
      </c>
      <c r="CN168">
        <v>0</v>
      </c>
      <c r="CP168">
        <v>0</v>
      </c>
      <c r="CT168">
        <v>0</v>
      </c>
      <c r="CU168">
        <v>0</v>
      </c>
      <c r="CZ168">
        <v>0</v>
      </c>
      <c r="DA168">
        <v>0</v>
      </c>
      <c r="DB168">
        <v>0</v>
      </c>
    </row>
    <row r="169" spans="1:111" x14ac:dyDescent="0.25">
      <c r="A169">
        <v>93008468</v>
      </c>
      <c r="B169" t="s">
        <v>11</v>
      </c>
    </row>
    <row r="170" spans="1:111" x14ac:dyDescent="0.25">
      <c r="A170">
        <v>93016155</v>
      </c>
      <c r="B170" t="s">
        <v>11</v>
      </c>
      <c r="D170">
        <v>1</v>
      </c>
      <c r="E170">
        <v>1</v>
      </c>
      <c r="F170">
        <v>0</v>
      </c>
      <c r="M170">
        <v>1</v>
      </c>
      <c r="N170">
        <v>0</v>
      </c>
      <c r="O170" s="12" t="s">
        <v>160</v>
      </c>
      <c r="P170">
        <v>0</v>
      </c>
      <c r="T170">
        <v>0</v>
      </c>
      <c r="CN170">
        <v>0</v>
      </c>
      <c r="CP170">
        <v>0</v>
      </c>
      <c r="CZ170">
        <v>0</v>
      </c>
      <c r="DA170">
        <v>0</v>
      </c>
      <c r="DB170">
        <v>0</v>
      </c>
    </row>
    <row r="171" spans="1:111" x14ac:dyDescent="0.25">
      <c r="A171">
        <v>93018845</v>
      </c>
      <c r="B171" t="s">
        <v>11</v>
      </c>
    </row>
    <row r="172" spans="1:111" x14ac:dyDescent="0.25">
      <c r="A172" t="s">
        <v>16</v>
      </c>
      <c r="B172" t="s">
        <v>11</v>
      </c>
    </row>
    <row r="173" spans="1:111" x14ac:dyDescent="0.25">
      <c r="A173">
        <v>94006009</v>
      </c>
      <c r="B173" t="s">
        <v>11</v>
      </c>
    </row>
    <row r="174" spans="1:111" x14ac:dyDescent="0.25">
      <c r="A174">
        <v>94014126</v>
      </c>
      <c r="B174" t="s">
        <v>11</v>
      </c>
    </row>
    <row r="175" spans="1:111" x14ac:dyDescent="0.25">
      <c r="A175">
        <v>94900361</v>
      </c>
      <c r="B175" t="s">
        <v>11</v>
      </c>
    </row>
    <row r="176" spans="1:111" x14ac:dyDescent="0.25">
      <c r="A176">
        <v>94901890</v>
      </c>
      <c r="B176" t="s">
        <v>11</v>
      </c>
      <c r="CO176">
        <v>1</v>
      </c>
      <c r="CP176">
        <v>0</v>
      </c>
      <c r="CU176">
        <v>0</v>
      </c>
      <c r="CZ176" s="12" t="s">
        <v>160</v>
      </c>
      <c r="DA176">
        <v>0</v>
      </c>
      <c r="DB176" s="12" t="s">
        <v>161</v>
      </c>
      <c r="DC176" s="12"/>
    </row>
    <row r="177" spans="1:131" x14ac:dyDescent="0.25">
      <c r="A177">
        <v>95001046</v>
      </c>
      <c r="B177" t="s">
        <v>11</v>
      </c>
    </row>
    <row r="178" spans="1:131" x14ac:dyDescent="0.25">
      <c r="A178">
        <v>96004031</v>
      </c>
      <c r="B178" t="s">
        <v>11</v>
      </c>
      <c r="Z178">
        <v>1</v>
      </c>
      <c r="AR178">
        <v>0</v>
      </c>
      <c r="AS178">
        <v>0</v>
      </c>
      <c r="BK178">
        <v>0</v>
      </c>
      <c r="CL178">
        <v>0</v>
      </c>
      <c r="CN178">
        <v>1</v>
      </c>
      <c r="CP178">
        <v>0</v>
      </c>
      <c r="CZ178">
        <v>0</v>
      </c>
      <c r="DB178">
        <v>0</v>
      </c>
    </row>
    <row r="179" spans="1:131" x14ac:dyDescent="0.25">
      <c r="A179">
        <v>97004458</v>
      </c>
      <c r="B179" t="s">
        <v>11</v>
      </c>
    </row>
    <row r="180" spans="1:131" x14ac:dyDescent="0.25">
      <c r="A180">
        <v>97009212</v>
      </c>
      <c r="B180" t="s">
        <v>11</v>
      </c>
      <c r="Z180">
        <v>0</v>
      </c>
      <c r="AB180">
        <v>0</v>
      </c>
      <c r="AC180">
        <v>0</v>
      </c>
      <c r="BE180">
        <v>0</v>
      </c>
      <c r="BG180">
        <v>0</v>
      </c>
      <c r="BH180">
        <v>0</v>
      </c>
      <c r="BK180">
        <v>0</v>
      </c>
      <c r="BM180">
        <v>0</v>
      </c>
      <c r="BQ180">
        <v>0</v>
      </c>
      <c r="CO180">
        <v>0</v>
      </c>
      <c r="CP180">
        <v>0</v>
      </c>
    </row>
    <row r="181" spans="1:131" x14ac:dyDescent="0.25">
      <c r="A181">
        <v>98006038</v>
      </c>
      <c r="B181" t="s">
        <v>11</v>
      </c>
    </row>
    <row r="182" spans="1:131" x14ac:dyDescent="0.25">
      <c r="A182">
        <v>98009041</v>
      </c>
      <c r="B182" t="s">
        <v>11</v>
      </c>
    </row>
    <row r="183" spans="1:131" x14ac:dyDescent="0.25">
      <c r="A183">
        <v>99000714</v>
      </c>
      <c r="B183" t="s">
        <v>11</v>
      </c>
    </row>
    <row r="184" spans="1:131" x14ac:dyDescent="0.25">
      <c r="A184">
        <v>99007116</v>
      </c>
      <c r="B184" t="s">
        <v>11</v>
      </c>
    </row>
    <row r="185" spans="1:131" x14ac:dyDescent="0.25">
      <c r="A185">
        <v>99901293</v>
      </c>
      <c r="B185" t="s">
        <v>11</v>
      </c>
    </row>
    <row r="186" spans="1:131" x14ac:dyDescent="0.25">
      <c r="A186">
        <v>99901604</v>
      </c>
      <c r="B186" t="s">
        <v>11</v>
      </c>
      <c r="Z186">
        <v>0</v>
      </c>
    </row>
    <row r="187" spans="1:131" x14ac:dyDescent="0.25">
      <c r="A187">
        <v>3017227</v>
      </c>
      <c r="B187" t="s">
        <v>11</v>
      </c>
    </row>
    <row r="188" spans="1:131" x14ac:dyDescent="0.25">
      <c r="A188">
        <v>2007648</v>
      </c>
      <c r="B188" t="s">
        <v>11</v>
      </c>
    </row>
    <row r="189" spans="1:131" x14ac:dyDescent="0.25">
      <c r="A189">
        <v>3008510</v>
      </c>
      <c r="B189" t="s">
        <v>11</v>
      </c>
      <c r="Z189" s="12" t="s">
        <v>161</v>
      </c>
      <c r="AB189" s="12" t="s">
        <v>160</v>
      </c>
      <c r="AC189" s="12" t="s">
        <v>160</v>
      </c>
      <c r="AG189">
        <v>0</v>
      </c>
      <c r="AI189">
        <v>0</v>
      </c>
      <c r="AJ189">
        <v>0</v>
      </c>
      <c r="AL189" s="12" t="s">
        <v>160</v>
      </c>
      <c r="AM189">
        <v>0</v>
      </c>
      <c r="AQ189">
        <v>1</v>
      </c>
      <c r="AU189">
        <v>0</v>
      </c>
      <c r="BO189">
        <v>0</v>
      </c>
    </row>
    <row r="190" spans="1:131" x14ac:dyDescent="0.25">
      <c r="C190">
        <f>COUNTA(C62:C189)</f>
        <v>1</v>
      </c>
      <c r="D190">
        <f>COUNTA(D62:D189)</f>
        <v>3</v>
      </c>
      <c r="E190">
        <f>COUNTA(E62:E189)</f>
        <v>3</v>
      </c>
      <c r="F190">
        <f t="shared" ref="F190:BQ190" si="12">COUNTA(F62:F189)</f>
        <v>2</v>
      </c>
      <c r="G190">
        <f t="shared" si="12"/>
        <v>1</v>
      </c>
      <c r="H190">
        <f t="shared" si="12"/>
        <v>2</v>
      </c>
      <c r="I190">
        <f t="shared" si="12"/>
        <v>1</v>
      </c>
      <c r="J190">
        <f t="shared" si="12"/>
        <v>0</v>
      </c>
      <c r="K190">
        <f t="shared" si="12"/>
        <v>4</v>
      </c>
      <c r="L190">
        <f t="shared" si="12"/>
        <v>1</v>
      </c>
      <c r="M190">
        <f t="shared" si="12"/>
        <v>2</v>
      </c>
      <c r="N190">
        <f t="shared" si="12"/>
        <v>3</v>
      </c>
      <c r="O190">
        <f t="shared" si="12"/>
        <v>2</v>
      </c>
      <c r="P190">
        <f t="shared" si="12"/>
        <v>7</v>
      </c>
      <c r="Q190">
        <f t="shared" si="12"/>
        <v>2</v>
      </c>
      <c r="R190">
        <f t="shared" si="12"/>
        <v>2</v>
      </c>
      <c r="S190">
        <f t="shared" si="12"/>
        <v>0</v>
      </c>
      <c r="T190">
        <f t="shared" si="12"/>
        <v>2</v>
      </c>
      <c r="U190">
        <f t="shared" si="12"/>
        <v>1</v>
      </c>
      <c r="V190">
        <f t="shared" si="12"/>
        <v>0</v>
      </c>
      <c r="W190">
        <f t="shared" si="12"/>
        <v>1</v>
      </c>
      <c r="X190">
        <f t="shared" si="12"/>
        <v>0</v>
      </c>
      <c r="Y190">
        <f t="shared" si="12"/>
        <v>3</v>
      </c>
      <c r="Z190">
        <f t="shared" si="12"/>
        <v>14</v>
      </c>
      <c r="AA190">
        <f t="shared" si="12"/>
        <v>0</v>
      </c>
      <c r="AB190">
        <f t="shared" si="12"/>
        <v>5</v>
      </c>
      <c r="AC190">
        <f t="shared" si="12"/>
        <v>6</v>
      </c>
      <c r="AD190">
        <f t="shared" si="12"/>
        <v>1</v>
      </c>
      <c r="AE190">
        <f t="shared" si="12"/>
        <v>1</v>
      </c>
      <c r="AF190">
        <f t="shared" si="12"/>
        <v>1</v>
      </c>
      <c r="AG190">
        <f t="shared" si="12"/>
        <v>1</v>
      </c>
      <c r="AH190">
        <f t="shared" si="12"/>
        <v>1</v>
      </c>
      <c r="AI190">
        <f t="shared" si="12"/>
        <v>1</v>
      </c>
      <c r="AJ190">
        <f t="shared" si="12"/>
        <v>2</v>
      </c>
      <c r="AK190">
        <f t="shared" si="12"/>
        <v>0</v>
      </c>
      <c r="AL190">
        <f t="shared" si="12"/>
        <v>2</v>
      </c>
      <c r="AM190">
        <f t="shared" si="12"/>
        <v>2</v>
      </c>
      <c r="AN190">
        <f t="shared" si="12"/>
        <v>0</v>
      </c>
      <c r="AO190">
        <f t="shared" si="12"/>
        <v>0</v>
      </c>
      <c r="AP190">
        <f t="shared" si="12"/>
        <v>0</v>
      </c>
      <c r="AQ190">
        <f t="shared" si="12"/>
        <v>3</v>
      </c>
      <c r="AR190">
        <f t="shared" si="12"/>
        <v>1</v>
      </c>
      <c r="AS190">
        <f t="shared" si="12"/>
        <v>2</v>
      </c>
      <c r="AT190">
        <f t="shared" si="12"/>
        <v>1</v>
      </c>
      <c r="AU190">
        <f t="shared" si="12"/>
        <v>1</v>
      </c>
      <c r="AV190">
        <f t="shared" si="12"/>
        <v>1</v>
      </c>
      <c r="AW190">
        <f t="shared" si="12"/>
        <v>2</v>
      </c>
      <c r="AX190">
        <f t="shared" si="12"/>
        <v>0</v>
      </c>
      <c r="AY190">
        <f t="shared" si="12"/>
        <v>0</v>
      </c>
      <c r="AZ190">
        <f t="shared" si="12"/>
        <v>0</v>
      </c>
      <c r="BA190">
        <f t="shared" si="12"/>
        <v>0</v>
      </c>
      <c r="BB190">
        <f t="shared" si="12"/>
        <v>0</v>
      </c>
      <c r="BC190">
        <f t="shared" si="12"/>
        <v>0</v>
      </c>
      <c r="BD190">
        <f t="shared" si="12"/>
        <v>0</v>
      </c>
      <c r="BE190">
        <f t="shared" si="12"/>
        <v>3</v>
      </c>
      <c r="BF190">
        <f t="shared" si="12"/>
        <v>0</v>
      </c>
      <c r="BG190">
        <f t="shared" si="12"/>
        <v>3</v>
      </c>
      <c r="BH190">
        <f t="shared" si="12"/>
        <v>1</v>
      </c>
      <c r="BI190">
        <f t="shared" si="12"/>
        <v>1</v>
      </c>
      <c r="BJ190">
        <f t="shared" si="12"/>
        <v>0</v>
      </c>
      <c r="BK190">
        <f t="shared" si="12"/>
        <v>8</v>
      </c>
      <c r="BL190">
        <f t="shared" si="12"/>
        <v>1</v>
      </c>
      <c r="BM190">
        <f t="shared" si="12"/>
        <v>2</v>
      </c>
      <c r="BN190">
        <f t="shared" si="12"/>
        <v>0</v>
      </c>
      <c r="BO190">
        <f t="shared" si="12"/>
        <v>1</v>
      </c>
      <c r="BP190">
        <f t="shared" si="12"/>
        <v>0</v>
      </c>
      <c r="BQ190">
        <f t="shared" si="12"/>
        <v>1</v>
      </c>
      <c r="BR190">
        <f t="shared" ref="BR190:EA190" si="13">COUNTA(BR62:BR189)</f>
        <v>1</v>
      </c>
      <c r="BS190">
        <f t="shared" si="13"/>
        <v>1</v>
      </c>
      <c r="BT190">
        <f t="shared" si="13"/>
        <v>0</v>
      </c>
      <c r="BU190">
        <f t="shared" si="13"/>
        <v>0</v>
      </c>
      <c r="BV190">
        <f t="shared" si="13"/>
        <v>0</v>
      </c>
      <c r="BW190">
        <f t="shared" si="13"/>
        <v>2</v>
      </c>
      <c r="BX190">
        <f t="shared" si="13"/>
        <v>0</v>
      </c>
      <c r="BY190">
        <f t="shared" si="13"/>
        <v>0</v>
      </c>
      <c r="BZ190">
        <f t="shared" si="13"/>
        <v>0</v>
      </c>
      <c r="CA190">
        <f t="shared" si="13"/>
        <v>0</v>
      </c>
      <c r="CB190">
        <f t="shared" si="13"/>
        <v>0</v>
      </c>
      <c r="CC190">
        <f t="shared" si="13"/>
        <v>0</v>
      </c>
      <c r="CD190">
        <f t="shared" si="13"/>
        <v>0</v>
      </c>
      <c r="CE190">
        <f t="shared" si="13"/>
        <v>0</v>
      </c>
      <c r="CF190">
        <f t="shared" si="13"/>
        <v>0</v>
      </c>
      <c r="CG190">
        <f t="shared" si="13"/>
        <v>0</v>
      </c>
      <c r="CH190">
        <f t="shared" si="13"/>
        <v>0</v>
      </c>
      <c r="CI190">
        <f t="shared" si="13"/>
        <v>0</v>
      </c>
      <c r="CJ190">
        <f t="shared" si="13"/>
        <v>0</v>
      </c>
      <c r="CK190">
        <f t="shared" si="13"/>
        <v>0</v>
      </c>
      <c r="CL190">
        <f t="shared" si="13"/>
        <v>1</v>
      </c>
      <c r="CM190">
        <f t="shared" si="13"/>
        <v>1</v>
      </c>
      <c r="CN190">
        <f t="shared" si="13"/>
        <v>16</v>
      </c>
      <c r="CO190">
        <f t="shared" si="13"/>
        <v>16</v>
      </c>
      <c r="CP190">
        <f t="shared" si="13"/>
        <v>20</v>
      </c>
      <c r="CQ190">
        <f t="shared" si="13"/>
        <v>0</v>
      </c>
      <c r="CR190">
        <f t="shared" si="13"/>
        <v>3</v>
      </c>
      <c r="CS190">
        <f t="shared" si="13"/>
        <v>0</v>
      </c>
      <c r="CT190">
        <f t="shared" si="13"/>
        <v>4</v>
      </c>
      <c r="CU190">
        <f t="shared" si="13"/>
        <v>5</v>
      </c>
      <c r="CV190">
        <f t="shared" si="13"/>
        <v>0</v>
      </c>
      <c r="CW190">
        <f t="shared" si="13"/>
        <v>0</v>
      </c>
      <c r="CX190">
        <f t="shared" si="13"/>
        <v>0</v>
      </c>
      <c r="CY190">
        <f t="shared" si="13"/>
        <v>0</v>
      </c>
      <c r="CZ190">
        <f t="shared" si="13"/>
        <v>8</v>
      </c>
      <c r="DA190">
        <f t="shared" si="13"/>
        <v>7</v>
      </c>
      <c r="DB190">
        <f t="shared" si="13"/>
        <v>12</v>
      </c>
      <c r="DC190">
        <f t="shared" si="13"/>
        <v>0</v>
      </c>
      <c r="DD190">
        <f t="shared" si="13"/>
        <v>0</v>
      </c>
      <c r="DE190">
        <f t="shared" si="13"/>
        <v>0</v>
      </c>
      <c r="DF190">
        <f t="shared" si="13"/>
        <v>1</v>
      </c>
      <c r="DG190">
        <f t="shared" si="13"/>
        <v>1</v>
      </c>
      <c r="DH190">
        <f t="shared" si="13"/>
        <v>0</v>
      </c>
      <c r="DI190">
        <f t="shared" si="13"/>
        <v>0</v>
      </c>
      <c r="DJ190">
        <f t="shared" si="13"/>
        <v>0</v>
      </c>
      <c r="DK190">
        <f t="shared" si="13"/>
        <v>0</v>
      </c>
      <c r="DL190">
        <f t="shared" si="13"/>
        <v>0</v>
      </c>
      <c r="DM190">
        <f t="shared" si="13"/>
        <v>0</v>
      </c>
      <c r="DN190">
        <f t="shared" si="13"/>
        <v>0</v>
      </c>
      <c r="DO190">
        <f t="shared" si="13"/>
        <v>0</v>
      </c>
      <c r="DP190">
        <f t="shared" si="13"/>
        <v>0</v>
      </c>
      <c r="DQ190">
        <f t="shared" si="13"/>
        <v>0</v>
      </c>
      <c r="DR190">
        <f t="shared" si="13"/>
        <v>0</v>
      </c>
      <c r="DS190">
        <f t="shared" si="13"/>
        <v>0</v>
      </c>
      <c r="DT190">
        <f t="shared" si="13"/>
        <v>0</v>
      </c>
      <c r="DU190">
        <f t="shared" si="13"/>
        <v>0</v>
      </c>
      <c r="DV190">
        <f t="shared" si="13"/>
        <v>0</v>
      </c>
      <c r="DW190">
        <f t="shared" si="13"/>
        <v>0</v>
      </c>
      <c r="DX190">
        <f t="shared" si="13"/>
        <v>0</v>
      </c>
      <c r="DY190">
        <f t="shared" si="13"/>
        <v>0</v>
      </c>
      <c r="DZ190">
        <f t="shared" si="13"/>
        <v>0</v>
      </c>
      <c r="EA190">
        <f t="shared" si="13"/>
        <v>0</v>
      </c>
    </row>
    <row r="191" spans="1:131" x14ac:dyDescent="0.25">
      <c r="A191">
        <v>4289</v>
      </c>
      <c r="B191" t="s">
        <v>17</v>
      </c>
    </row>
    <row r="192" spans="1:131" x14ac:dyDescent="0.25">
      <c r="A192">
        <v>500245</v>
      </c>
      <c r="B192" t="s">
        <v>17</v>
      </c>
    </row>
    <row r="193" spans="1:106" x14ac:dyDescent="0.25">
      <c r="A193">
        <v>2002573</v>
      </c>
      <c r="B193" t="s">
        <v>17</v>
      </c>
    </row>
    <row r="194" spans="1:106" x14ac:dyDescent="0.25">
      <c r="A194">
        <v>2003539</v>
      </c>
      <c r="B194" t="s">
        <v>17</v>
      </c>
    </row>
    <row r="195" spans="1:106" x14ac:dyDescent="0.25">
      <c r="A195">
        <v>2003649</v>
      </c>
      <c r="B195" t="s">
        <v>17</v>
      </c>
    </row>
    <row r="196" spans="1:106" x14ac:dyDescent="0.25">
      <c r="A196">
        <v>2005572</v>
      </c>
      <c r="B196" t="s">
        <v>17</v>
      </c>
    </row>
    <row r="197" spans="1:106" x14ac:dyDescent="0.25">
      <c r="A197">
        <v>2013117</v>
      </c>
      <c r="B197" t="s">
        <v>17</v>
      </c>
    </row>
    <row r="198" spans="1:106" x14ac:dyDescent="0.25">
      <c r="A198">
        <v>3009633</v>
      </c>
      <c r="B198" t="s">
        <v>17</v>
      </c>
    </row>
    <row r="199" spans="1:106" x14ac:dyDescent="0.25">
      <c r="A199">
        <v>3010583</v>
      </c>
      <c r="B199" t="s">
        <v>17</v>
      </c>
    </row>
    <row r="200" spans="1:106" x14ac:dyDescent="0.25">
      <c r="A200" s="17">
        <v>3011892</v>
      </c>
      <c r="B200" t="s">
        <v>17</v>
      </c>
    </row>
    <row r="201" spans="1:106" x14ac:dyDescent="0.25">
      <c r="A201">
        <v>4001382</v>
      </c>
      <c r="B201" t="s">
        <v>17</v>
      </c>
    </row>
    <row r="202" spans="1:106" x14ac:dyDescent="0.25">
      <c r="A202">
        <v>5018675</v>
      </c>
      <c r="B202" t="s">
        <v>17</v>
      </c>
      <c r="CN202">
        <v>0</v>
      </c>
      <c r="CO202">
        <v>0</v>
      </c>
      <c r="CP202">
        <v>0</v>
      </c>
      <c r="CX202">
        <v>0</v>
      </c>
      <c r="DA202">
        <v>0</v>
      </c>
      <c r="DB202">
        <v>0</v>
      </c>
    </row>
    <row r="203" spans="1:106" x14ac:dyDescent="0.25">
      <c r="A203">
        <v>6050168</v>
      </c>
      <c r="B203" t="s">
        <v>17</v>
      </c>
      <c r="K203">
        <v>1</v>
      </c>
      <c r="P203">
        <v>1</v>
      </c>
      <c r="BY203">
        <v>0</v>
      </c>
      <c r="BZ203">
        <v>0</v>
      </c>
    </row>
    <row r="204" spans="1:106" x14ac:dyDescent="0.25">
      <c r="A204">
        <v>7003242</v>
      </c>
      <c r="B204" t="s">
        <v>17</v>
      </c>
    </row>
    <row r="205" spans="1:106" x14ac:dyDescent="0.25">
      <c r="A205">
        <v>12022536</v>
      </c>
      <c r="B205" t="s">
        <v>17</v>
      </c>
    </row>
    <row r="206" spans="1:106" x14ac:dyDescent="0.25">
      <c r="A206">
        <v>13020792</v>
      </c>
      <c r="B206" t="s">
        <v>17</v>
      </c>
    </row>
    <row r="207" spans="1:106" x14ac:dyDescent="0.25">
      <c r="A207">
        <v>97005797</v>
      </c>
      <c r="B207" t="s">
        <v>17</v>
      </c>
      <c r="CN207">
        <v>0</v>
      </c>
      <c r="CO207">
        <v>0</v>
      </c>
      <c r="CP207">
        <v>0</v>
      </c>
    </row>
    <row r="208" spans="1:106" x14ac:dyDescent="0.25">
      <c r="A208">
        <v>99000345</v>
      </c>
      <c r="B208" t="s">
        <v>17</v>
      </c>
    </row>
    <row r="209" spans="1:117" x14ac:dyDescent="0.25">
      <c r="A209">
        <v>5006592</v>
      </c>
      <c r="B209" t="s">
        <v>17</v>
      </c>
    </row>
    <row r="210" spans="1:117" x14ac:dyDescent="0.25">
      <c r="A210">
        <v>5007274</v>
      </c>
      <c r="B210" t="s">
        <v>17</v>
      </c>
      <c r="N210">
        <v>0</v>
      </c>
      <c r="Q210">
        <v>0</v>
      </c>
      <c r="AS210">
        <v>0</v>
      </c>
      <c r="CN210">
        <v>0</v>
      </c>
      <c r="CO210">
        <v>0</v>
      </c>
      <c r="CP210">
        <v>0</v>
      </c>
      <c r="DA210">
        <v>0</v>
      </c>
      <c r="DJ210">
        <v>0</v>
      </c>
      <c r="DL210">
        <v>0</v>
      </c>
      <c r="DM210">
        <v>0</v>
      </c>
    </row>
    <row r="211" spans="1:117" x14ac:dyDescent="0.25">
      <c r="A211">
        <v>5015851</v>
      </c>
      <c r="B211" t="s">
        <v>17</v>
      </c>
      <c r="Q211">
        <v>0</v>
      </c>
      <c r="R211">
        <v>0</v>
      </c>
      <c r="CN211">
        <v>0</v>
      </c>
      <c r="CP211">
        <v>0</v>
      </c>
      <c r="CZ211">
        <v>0</v>
      </c>
      <c r="DB211">
        <v>0</v>
      </c>
    </row>
    <row r="212" spans="1:117" x14ac:dyDescent="0.25">
      <c r="A212">
        <v>6015647</v>
      </c>
      <c r="B212" t="s">
        <v>17</v>
      </c>
      <c r="BX212">
        <v>0</v>
      </c>
      <c r="CN212">
        <v>0</v>
      </c>
      <c r="CP212">
        <v>0</v>
      </c>
      <c r="CZ212">
        <v>0</v>
      </c>
      <c r="DA212">
        <v>0</v>
      </c>
      <c r="DB212">
        <v>0</v>
      </c>
      <c r="DG212">
        <v>0</v>
      </c>
    </row>
    <row r="213" spans="1:117" x14ac:dyDescent="0.25">
      <c r="A213">
        <v>6056633</v>
      </c>
      <c r="B213" t="s">
        <v>17</v>
      </c>
    </row>
    <row r="214" spans="1:117" x14ac:dyDescent="0.25">
      <c r="A214">
        <v>7086224</v>
      </c>
      <c r="B214" t="s">
        <v>17</v>
      </c>
    </row>
    <row r="215" spans="1:117" x14ac:dyDescent="0.25">
      <c r="A215">
        <v>8040959</v>
      </c>
      <c r="B215" t="s">
        <v>17</v>
      </c>
    </row>
    <row r="216" spans="1:117" x14ac:dyDescent="0.25">
      <c r="A216">
        <v>8107048</v>
      </c>
      <c r="B216" t="s">
        <v>17</v>
      </c>
    </row>
    <row r="217" spans="1:117" x14ac:dyDescent="0.25">
      <c r="A217">
        <v>8124044</v>
      </c>
      <c r="B217" t="s">
        <v>17</v>
      </c>
      <c r="Z217">
        <v>1</v>
      </c>
      <c r="BK217">
        <v>1</v>
      </c>
      <c r="CN217">
        <v>0</v>
      </c>
    </row>
    <row r="218" spans="1:117" x14ac:dyDescent="0.25">
      <c r="A218">
        <v>8142949</v>
      </c>
      <c r="B218" t="s">
        <v>17</v>
      </c>
      <c r="Z218">
        <v>1</v>
      </c>
      <c r="CN218">
        <v>0</v>
      </c>
      <c r="CO218">
        <v>0</v>
      </c>
      <c r="CP218">
        <v>0</v>
      </c>
      <c r="CR218">
        <v>0</v>
      </c>
    </row>
    <row r="219" spans="1:117" x14ac:dyDescent="0.25">
      <c r="A219">
        <v>9023306</v>
      </c>
      <c r="B219" t="s">
        <v>17</v>
      </c>
      <c r="K219">
        <v>0</v>
      </c>
      <c r="M219">
        <v>0</v>
      </c>
      <c r="N219">
        <v>0</v>
      </c>
      <c r="P219">
        <v>0</v>
      </c>
    </row>
    <row r="220" spans="1:117" x14ac:dyDescent="0.25">
      <c r="A220">
        <v>9034464</v>
      </c>
      <c r="B220" t="s">
        <v>17</v>
      </c>
    </row>
    <row r="221" spans="1:117" x14ac:dyDescent="0.25">
      <c r="A221">
        <v>9040167</v>
      </c>
      <c r="B221" t="s">
        <v>17</v>
      </c>
    </row>
    <row r="222" spans="1:117" x14ac:dyDescent="0.25">
      <c r="A222">
        <v>9054567</v>
      </c>
      <c r="B222" t="s">
        <v>17</v>
      </c>
    </row>
    <row r="223" spans="1:117" x14ac:dyDescent="0.25">
      <c r="A223">
        <v>9083682</v>
      </c>
      <c r="B223" t="s">
        <v>17</v>
      </c>
      <c r="CN223">
        <v>0</v>
      </c>
      <c r="CO223">
        <v>0</v>
      </c>
      <c r="CP223">
        <v>0</v>
      </c>
      <c r="CT223">
        <v>0</v>
      </c>
      <c r="CU223">
        <v>0</v>
      </c>
      <c r="CZ223">
        <v>0</v>
      </c>
      <c r="DA223">
        <v>0</v>
      </c>
    </row>
    <row r="224" spans="1:117" x14ac:dyDescent="0.25">
      <c r="A224">
        <v>9102044</v>
      </c>
      <c r="B224" t="s">
        <v>17</v>
      </c>
    </row>
    <row r="225" spans="1:106" x14ac:dyDescent="0.25">
      <c r="A225">
        <v>9119854</v>
      </c>
      <c r="B225" t="s">
        <v>17</v>
      </c>
    </row>
    <row r="226" spans="1:106" x14ac:dyDescent="0.25">
      <c r="A226">
        <v>9125126</v>
      </c>
      <c r="B226" t="s">
        <v>17</v>
      </c>
    </row>
    <row r="227" spans="1:106" x14ac:dyDescent="0.25">
      <c r="A227">
        <v>9174811</v>
      </c>
      <c r="B227" t="s">
        <v>17</v>
      </c>
    </row>
    <row r="228" spans="1:106" x14ac:dyDescent="0.25">
      <c r="A228">
        <v>10002875</v>
      </c>
      <c r="B228" t="s">
        <v>17</v>
      </c>
      <c r="Z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E228">
        <v>0</v>
      </c>
      <c r="BG228">
        <v>0</v>
      </c>
      <c r="BI228">
        <v>0</v>
      </c>
      <c r="BK228">
        <v>0</v>
      </c>
      <c r="BL228">
        <v>0</v>
      </c>
      <c r="BQ228">
        <v>0</v>
      </c>
      <c r="CP228">
        <v>0</v>
      </c>
      <c r="CZ228">
        <v>0</v>
      </c>
    </row>
    <row r="229" spans="1:106" x14ac:dyDescent="0.25">
      <c r="A229">
        <v>10023080</v>
      </c>
      <c r="B229" t="s">
        <v>17</v>
      </c>
    </row>
    <row r="230" spans="1:106" x14ac:dyDescent="0.25">
      <c r="A230">
        <v>10025212</v>
      </c>
      <c r="B230" t="s">
        <v>17</v>
      </c>
      <c r="M230">
        <v>0</v>
      </c>
      <c r="N230">
        <v>0</v>
      </c>
      <c r="P230">
        <v>0</v>
      </c>
      <c r="Z230">
        <v>0</v>
      </c>
      <c r="BF230">
        <v>0</v>
      </c>
      <c r="BG230">
        <v>0</v>
      </c>
      <c r="BH230">
        <v>0</v>
      </c>
      <c r="BK230">
        <v>0</v>
      </c>
      <c r="BN230">
        <v>0</v>
      </c>
      <c r="CN230">
        <v>0</v>
      </c>
      <c r="CO230">
        <v>0</v>
      </c>
      <c r="CP230">
        <v>0</v>
      </c>
    </row>
    <row r="231" spans="1:106" x14ac:dyDescent="0.25">
      <c r="A231">
        <v>10069407</v>
      </c>
      <c r="B231" t="s">
        <v>17</v>
      </c>
    </row>
    <row r="232" spans="1:106" x14ac:dyDescent="0.25">
      <c r="A232">
        <v>10071135</v>
      </c>
      <c r="B232" t="s">
        <v>17</v>
      </c>
    </row>
    <row r="233" spans="1:106" x14ac:dyDescent="0.25">
      <c r="A233">
        <v>10083649</v>
      </c>
      <c r="B233" t="s">
        <v>17</v>
      </c>
    </row>
    <row r="234" spans="1:106" x14ac:dyDescent="0.25">
      <c r="A234">
        <v>10102021</v>
      </c>
      <c r="B234" t="s">
        <v>17</v>
      </c>
    </row>
    <row r="235" spans="1:106" x14ac:dyDescent="0.25">
      <c r="A235">
        <v>10123729</v>
      </c>
      <c r="B235" t="s">
        <v>17</v>
      </c>
    </row>
    <row r="236" spans="1:106" x14ac:dyDescent="0.25">
      <c r="A236">
        <v>10144736</v>
      </c>
      <c r="B236" t="s">
        <v>17</v>
      </c>
    </row>
    <row r="237" spans="1:106" x14ac:dyDescent="0.25">
      <c r="A237">
        <v>10157275</v>
      </c>
      <c r="B237" t="s">
        <v>17</v>
      </c>
      <c r="CN237">
        <v>0</v>
      </c>
      <c r="CO237">
        <v>0</v>
      </c>
      <c r="CP237">
        <v>0</v>
      </c>
      <c r="CR237">
        <v>0</v>
      </c>
    </row>
    <row r="238" spans="1:106" x14ac:dyDescent="0.25">
      <c r="A238">
        <v>10190869</v>
      </c>
      <c r="B238" t="s">
        <v>17</v>
      </c>
    </row>
    <row r="239" spans="1:106" x14ac:dyDescent="0.25">
      <c r="A239">
        <v>11008417</v>
      </c>
      <c r="B239" t="s">
        <v>17</v>
      </c>
      <c r="K239">
        <v>0</v>
      </c>
      <c r="N239">
        <v>0</v>
      </c>
      <c r="CN239">
        <v>0</v>
      </c>
      <c r="CO239">
        <v>0</v>
      </c>
      <c r="CP239">
        <v>0</v>
      </c>
      <c r="CR239">
        <v>1</v>
      </c>
      <c r="CX239">
        <v>1</v>
      </c>
      <c r="CY239">
        <v>1</v>
      </c>
      <c r="DA239">
        <v>0</v>
      </c>
      <c r="DB239">
        <v>0</v>
      </c>
    </row>
    <row r="240" spans="1:106" x14ac:dyDescent="0.25">
      <c r="A240">
        <v>11043926</v>
      </c>
      <c r="B240" t="s">
        <v>17</v>
      </c>
    </row>
    <row r="241" spans="1:109" x14ac:dyDescent="0.25">
      <c r="A241">
        <v>11049060</v>
      </c>
      <c r="B241" t="s">
        <v>17</v>
      </c>
      <c r="Z241">
        <v>1</v>
      </c>
      <c r="AK241">
        <v>0</v>
      </c>
      <c r="CP241">
        <v>1</v>
      </c>
      <c r="DA241">
        <v>0</v>
      </c>
    </row>
    <row r="242" spans="1:109" x14ac:dyDescent="0.25">
      <c r="A242">
        <v>11058012</v>
      </c>
      <c r="B242" t="s">
        <v>17</v>
      </c>
      <c r="CN242">
        <v>1</v>
      </c>
    </row>
    <row r="243" spans="1:109" x14ac:dyDescent="0.25">
      <c r="A243">
        <v>11082290</v>
      </c>
      <c r="B243" t="s">
        <v>17</v>
      </c>
    </row>
    <row r="244" spans="1:109" x14ac:dyDescent="0.25">
      <c r="A244">
        <v>11096431</v>
      </c>
      <c r="B244" t="s">
        <v>17</v>
      </c>
    </row>
    <row r="245" spans="1:109" x14ac:dyDescent="0.25">
      <c r="A245">
        <v>11105672</v>
      </c>
      <c r="B245" t="s">
        <v>17</v>
      </c>
    </row>
    <row r="246" spans="1:109" x14ac:dyDescent="0.25">
      <c r="A246" t="s">
        <v>18</v>
      </c>
      <c r="B246" t="s">
        <v>17</v>
      </c>
      <c r="CN246">
        <v>0</v>
      </c>
      <c r="CO246">
        <v>0</v>
      </c>
      <c r="CP246">
        <v>0</v>
      </c>
      <c r="CZ246">
        <v>1</v>
      </c>
      <c r="DA246">
        <v>0</v>
      </c>
      <c r="DB246">
        <v>1</v>
      </c>
      <c r="DE246">
        <v>0</v>
      </c>
    </row>
    <row r="247" spans="1:109" x14ac:dyDescent="0.25">
      <c r="A247">
        <v>11136262</v>
      </c>
      <c r="B247" t="s">
        <v>17</v>
      </c>
    </row>
    <row r="248" spans="1:109" x14ac:dyDescent="0.25">
      <c r="A248">
        <v>11178455</v>
      </c>
      <c r="B248" t="s">
        <v>17</v>
      </c>
      <c r="CN248">
        <v>0</v>
      </c>
      <c r="CO248">
        <v>0</v>
      </c>
      <c r="CP248">
        <v>0</v>
      </c>
    </row>
    <row r="249" spans="1:109" x14ac:dyDescent="0.25">
      <c r="A249">
        <v>11179526</v>
      </c>
      <c r="B249" t="s">
        <v>17</v>
      </c>
      <c r="CN249">
        <v>0</v>
      </c>
      <c r="CO249">
        <v>0</v>
      </c>
      <c r="CP249">
        <v>0</v>
      </c>
    </row>
    <row r="250" spans="1:109" x14ac:dyDescent="0.25">
      <c r="A250">
        <v>11187511</v>
      </c>
      <c r="B250" t="s">
        <v>17</v>
      </c>
      <c r="K250">
        <v>1</v>
      </c>
      <c r="N250">
        <v>0</v>
      </c>
      <c r="Z250">
        <v>0</v>
      </c>
      <c r="AD250">
        <v>0</v>
      </c>
      <c r="AE250">
        <v>0</v>
      </c>
      <c r="AH250">
        <v>0</v>
      </c>
      <c r="AR250">
        <v>0</v>
      </c>
      <c r="AS250">
        <v>0</v>
      </c>
      <c r="AT250">
        <v>0</v>
      </c>
      <c r="BG250">
        <v>0</v>
      </c>
      <c r="BK250">
        <v>0</v>
      </c>
      <c r="CZ250">
        <v>0</v>
      </c>
      <c r="DA250">
        <v>0</v>
      </c>
      <c r="DB250">
        <v>0</v>
      </c>
      <c r="DE250">
        <v>0</v>
      </c>
    </row>
    <row r="251" spans="1:109" x14ac:dyDescent="0.25">
      <c r="A251">
        <v>11223290</v>
      </c>
      <c r="B251" t="s">
        <v>17</v>
      </c>
      <c r="K251">
        <v>1</v>
      </c>
      <c r="L251">
        <v>0</v>
      </c>
      <c r="Z251">
        <v>0</v>
      </c>
      <c r="AD251">
        <v>0</v>
      </c>
      <c r="AH251">
        <v>0</v>
      </c>
      <c r="AR251">
        <v>0</v>
      </c>
      <c r="AS251">
        <v>0</v>
      </c>
      <c r="AT251">
        <v>0</v>
      </c>
      <c r="BF251">
        <v>0</v>
      </c>
      <c r="BK251">
        <v>0</v>
      </c>
      <c r="CP251">
        <v>0</v>
      </c>
      <c r="CX251">
        <v>0</v>
      </c>
      <c r="CZ251">
        <v>0</v>
      </c>
      <c r="DB251">
        <v>0</v>
      </c>
    </row>
    <row r="252" spans="1:109" x14ac:dyDescent="0.25">
      <c r="A252">
        <v>11228365</v>
      </c>
      <c r="B252" t="s">
        <v>17</v>
      </c>
    </row>
    <row r="253" spans="1:109" x14ac:dyDescent="0.25">
      <c r="A253">
        <v>12020246</v>
      </c>
      <c r="B253" t="s">
        <v>17</v>
      </c>
    </row>
    <row r="254" spans="1:109" x14ac:dyDescent="0.25">
      <c r="A254">
        <v>12035138</v>
      </c>
      <c r="B254" t="s">
        <v>17</v>
      </c>
    </row>
    <row r="255" spans="1:109" x14ac:dyDescent="0.25">
      <c r="A255">
        <v>12111578</v>
      </c>
      <c r="B255" t="s">
        <v>17</v>
      </c>
      <c r="CN255">
        <v>0</v>
      </c>
      <c r="CO255">
        <v>0</v>
      </c>
    </row>
    <row r="256" spans="1:109" x14ac:dyDescent="0.25">
      <c r="A256">
        <v>12133434</v>
      </c>
      <c r="B256" t="s">
        <v>17</v>
      </c>
    </row>
    <row r="257" spans="1:131" x14ac:dyDescent="0.25">
      <c r="A257">
        <v>12164268</v>
      </c>
      <c r="B257" t="s">
        <v>17</v>
      </c>
    </row>
    <row r="258" spans="1:131" x14ac:dyDescent="0.25">
      <c r="A258">
        <v>12164269</v>
      </c>
      <c r="B258" t="s">
        <v>17</v>
      </c>
      <c r="CN258">
        <v>0</v>
      </c>
      <c r="CO258">
        <v>0</v>
      </c>
      <c r="CP258">
        <v>0</v>
      </c>
    </row>
    <row r="259" spans="1:131" x14ac:dyDescent="0.25">
      <c r="A259">
        <v>12168562</v>
      </c>
      <c r="B259" t="s">
        <v>17</v>
      </c>
      <c r="I259">
        <v>0</v>
      </c>
      <c r="M259">
        <v>0</v>
      </c>
      <c r="N259">
        <v>0</v>
      </c>
      <c r="P259">
        <v>0</v>
      </c>
      <c r="CN259">
        <v>0</v>
      </c>
      <c r="CO259">
        <v>0</v>
      </c>
      <c r="CP259">
        <v>0</v>
      </c>
    </row>
    <row r="260" spans="1:131" x14ac:dyDescent="0.25">
      <c r="A260">
        <v>12190939</v>
      </c>
      <c r="B260" t="s">
        <v>17</v>
      </c>
    </row>
    <row r="261" spans="1:131" x14ac:dyDescent="0.25">
      <c r="A261">
        <v>12311081</v>
      </c>
      <c r="B261" t="s">
        <v>17</v>
      </c>
    </row>
    <row r="262" spans="1:131" x14ac:dyDescent="0.25">
      <c r="A262">
        <v>6000832</v>
      </c>
      <c r="B262" t="s">
        <v>17</v>
      </c>
      <c r="AB262">
        <v>0</v>
      </c>
      <c r="AC262">
        <v>0</v>
      </c>
      <c r="BK262">
        <v>0</v>
      </c>
      <c r="DA262">
        <v>0</v>
      </c>
    </row>
    <row r="263" spans="1:131" x14ac:dyDescent="0.25">
      <c r="A263">
        <v>9030615</v>
      </c>
      <c r="B263" t="s">
        <v>17</v>
      </c>
    </row>
    <row r="264" spans="1:131" x14ac:dyDescent="0.25">
      <c r="A264" t="s">
        <v>19</v>
      </c>
      <c r="B264" t="s">
        <v>17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T264">
        <v>0</v>
      </c>
      <c r="U264">
        <v>0</v>
      </c>
      <c r="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H264">
        <v>0</v>
      </c>
    </row>
    <row r="265" spans="1:131" x14ac:dyDescent="0.25">
      <c r="A265" t="s">
        <v>20</v>
      </c>
      <c r="B265" t="s">
        <v>17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CT265" s="4"/>
      <c r="CU265" s="4"/>
      <c r="CV265" s="4"/>
      <c r="CW265" s="4"/>
      <c r="CX265" s="4"/>
      <c r="CY265" s="4"/>
    </row>
    <row r="266" spans="1:131" x14ac:dyDescent="0.25">
      <c r="C266">
        <f>COUNTA(C191:C265)</f>
        <v>0</v>
      </c>
      <c r="D266">
        <f>COUNTA(D191:D265)</f>
        <v>0</v>
      </c>
      <c r="E266">
        <f t="shared" ref="E266:BP266" si="14">COUNTA(E191:E265)</f>
        <v>0</v>
      </c>
      <c r="F266">
        <f t="shared" si="14"/>
        <v>0</v>
      </c>
      <c r="G266">
        <f t="shared" si="14"/>
        <v>0</v>
      </c>
      <c r="H266">
        <f t="shared" si="14"/>
        <v>0</v>
      </c>
      <c r="I266">
        <f t="shared" si="14"/>
        <v>1</v>
      </c>
      <c r="J266">
        <f t="shared" si="14"/>
        <v>0</v>
      </c>
      <c r="K266">
        <f t="shared" si="14"/>
        <v>5</v>
      </c>
      <c r="L266">
        <f t="shared" si="14"/>
        <v>1</v>
      </c>
      <c r="M266">
        <f t="shared" si="14"/>
        <v>4</v>
      </c>
      <c r="N266">
        <f t="shared" si="14"/>
        <v>7</v>
      </c>
      <c r="O266">
        <f t="shared" si="14"/>
        <v>1</v>
      </c>
      <c r="P266">
        <f t="shared" si="14"/>
        <v>5</v>
      </c>
      <c r="Q266">
        <f t="shared" si="14"/>
        <v>3</v>
      </c>
      <c r="R266">
        <f t="shared" si="14"/>
        <v>2</v>
      </c>
      <c r="S266">
        <f t="shared" si="14"/>
        <v>0</v>
      </c>
      <c r="T266">
        <f t="shared" si="14"/>
        <v>1</v>
      </c>
      <c r="U266">
        <f t="shared" si="14"/>
        <v>1</v>
      </c>
      <c r="V266">
        <f t="shared" si="14"/>
        <v>1</v>
      </c>
      <c r="W266">
        <f t="shared" si="14"/>
        <v>0</v>
      </c>
      <c r="X266">
        <f t="shared" si="14"/>
        <v>0</v>
      </c>
      <c r="Y266">
        <f t="shared" si="14"/>
        <v>0</v>
      </c>
      <c r="Z266">
        <f t="shared" si="14"/>
        <v>7</v>
      </c>
      <c r="AA266">
        <f t="shared" si="14"/>
        <v>0</v>
      </c>
      <c r="AB266">
        <f t="shared" si="14"/>
        <v>1</v>
      </c>
      <c r="AC266">
        <f t="shared" si="14"/>
        <v>1</v>
      </c>
      <c r="AD266">
        <f t="shared" si="14"/>
        <v>2</v>
      </c>
      <c r="AE266">
        <f t="shared" si="14"/>
        <v>1</v>
      </c>
      <c r="AF266">
        <f t="shared" si="14"/>
        <v>0</v>
      </c>
      <c r="AG266">
        <f t="shared" si="14"/>
        <v>0</v>
      </c>
      <c r="AH266">
        <f t="shared" si="14"/>
        <v>2</v>
      </c>
      <c r="AI266">
        <f t="shared" si="14"/>
        <v>0</v>
      </c>
      <c r="AJ266">
        <f t="shared" si="14"/>
        <v>0</v>
      </c>
      <c r="AK266">
        <f t="shared" si="14"/>
        <v>1</v>
      </c>
      <c r="AL266">
        <f t="shared" si="14"/>
        <v>0</v>
      </c>
      <c r="AM266">
        <f t="shared" si="14"/>
        <v>0</v>
      </c>
      <c r="AN266">
        <f t="shared" si="14"/>
        <v>0</v>
      </c>
      <c r="AO266">
        <f t="shared" si="14"/>
        <v>0</v>
      </c>
      <c r="AP266">
        <f t="shared" si="14"/>
        <v>0</v>
      </c>
      <c r="AQ266">
        <f t="shared" si="14"/>
        <v>0</v>
      </c>
      <c r="AR266">
        <f t="shared" si="14"/>
        <v>2</v>
      </c>
      <c r="AS266">
        <f t="shared" si="14"/>
        <v>3</v>
      </c>
      <c r="AT266">
        <f t="shared" si="14"/>
        <v>2</v>
      </c>
      <c r="AU266">
        <f t="shared" si="14"/>
        <v>0</v>
      </c>
      <c r="AV266">
        <f t="shared" si="14"/>
        <v>0</v>
      </c>
      <c r="AW266">
        <f t="shared" si="14"/>
        <v>0</v>
      </c>
      <c r="AX266">
        <f t="shared" si="14"/>
        <v>1</v>
      </c>
      <c r="AY266">
        <f t="shared" si="14"/>
        <v>1</v>
      </c>
      <c r="AZ266">
        <f t="shared" si="14"/>
        <v>1</v>
      </c>
      <c r="BA266">
        <f t="shared" si="14"/>
        <v>1</v>
      </c>
      <c r="BB266">
        <f t="shared" si="14"/>
        <v>1</v>
      </c>
      <c r="BC266">
        <f t="shared" si="14"/>
        <v>0</v>
      </c>
      <c r="BD266">
        <f t="shared" si="14"/>
        <v>0</v>
      </c>
      <c r="BE266">
        <f t="shared" si="14"/>
        <v>1</v>
      </c>
      <c r="BF266">
        <f t="shared" si="14"/>
        <v>2</v>
      </c>
      <c r="BG266">
        <f t="shared" si="14"/>
        <v>3</v>
      </c>
      <c r="BH266">
        <f t="shared" si="14"/>
        <v>1</v>
      </c>
      <c r="BI266">
        <f t="shared" si="14"/>
        <v>1</v>
      </c>
      <c r="BJ266">
        <f t="shared" si="14"/>
        <v>0</v>
      </c>
      <c r="BK266">
        <f t="shared" si="14"/>
        <v>6</v>
      </c>
      <c r="BL266">
        <f t="shared" si="14"/>
        <v>1</v>
      </c>
      <c r="BM266">
        <f t="shared" si="14"/>
        <v>0</v>
      </c>
      <c r="BN266">
        <f t="shared" si="14"/>
        <v>1</v>
      </c>
      <c r="BO266">
        <f t="shared" si="14"/>
        <v>0</v>
      </c>
      <c r="BP266">
        <f t="shared" si="14"/>
        <v>0</v>
      </c>
      <c r="BQ266">
        <f t="shared" ref="BQ266:EA266" si="15">COUNTA(BQ191:BQ265)</f>
        <v>1</v>
      </c>
      <c r="BR266">
        <f t="shared" si="15"/>
        <v>0</v>
      </c>
      <c r="BS266">
        <f t="shared" si="15"/>
        <v>0</v>
      </c>
      <c r="BT266">
        <f t="shared" si="15"/>
        <v>0</v>
      </c>
      <c r="BU266">
        <f t="shared" si="15"/>
        <v>0</v>
      </c>
      <c r="BV266">
        <f t="shared" si="15"/>
        <v>0</v>
      </c>
      <c r="BW266">
        <f t="shared" si="15"/>
        <v>1</v>
      </c>
      <c r="BX266">
        <f t="shared" si="15"/>
        <v>2</v>
      </c>
      <c r="BY266">
        <f t="shared" si="15"/>
        <v>2</v>
      </c>
      <c r="BZ266">
        <f t="shared" si="15"/>
        <v>2</v>
      </c>
      <c r="CA266">
        <f t="shared" si="15"/>
        <v>1</v>
      </c>
      <c r="CB266">
        <f t="shared" si="15"/>
        <v>0</v>
      </c>
      <c r="CC266">
        <f t="shared" si="15"/>
        <v>0</v>
      </c>
      <c r="CD266">
        <f t="shared" si="15"/>
        <v>0</v>
      </c>
      <c r="CE266">
        <f t="shared" si="15"/>
        <v>0</v>
      </c>
      <c r="CF266">
        <f t="shared" si="15"/>
        <v>0</v>
      </c>
      <c r="CG266">
        <f t="shared" si="15"/>
        <v>0</v>
      </c>
      <c r="CH266">
        <f t="shared" si="15"/>
        <v>1</v>
      </c>
      <c r="CI266">
        <f t="shared" si="15"/>
        <v>0</v>
      </c>
      <c r="CJ266">
        <f t="shared" si="15"/>
        <v>0</v>
      </c>
      <c r="CK266">
        <f t="shared" si="15"/>
        <v>0</v>
      </c>
      <c r="CL266">
        <f t="shared" si="15"/>
        <v>0</v>
      </c>
      <c r="CM266">
        <f t="shared" si="15"/>
        <v>0</v>
      </c>
      <c r="CN266">
        <f t="shared" si="15"/>
        <v>18</v>
      </c>
      <c r="CO266">
        <f t="shared" si="15"/>
        <v>14</v>
      </c>
      <c r="CP266">
        <f t="shared" si="15"/>
        <v>18</v>
      </c>
      <c r="CQ266">
        <f t="shared" si="15"/>
        <v>0</v>
      </c>
      <c r="CR266">
        <f t="shared" si="15"/>
        <v>3</v>
      </c>
      <c r="CS266">
        <f t="shared" si="15"/>
        <v>0</v>
      </c>
      <c r="CT266">
        <f t="shared" si="15"/>
        <v>1</v>
      </c>
      <c r="CU266">
        <f t="shared" si="15"/>
        <v>1</v>
      </c>
      <c r="CV266">
        <f t="shared" si="15"/>
        <v>0</v>
      </c>
      <c r="CW266">
        <f t="shared" si="15"/>
        <v>0</v>
      </c>
      <c r="CX266">
        <f t="shared" si="15"/>
        <v>3</v>
      </c>
      <c r="CY266">
        <f t="shared" si="15"/>
        <v>1</v>
      </c>
      <c r="CZ266">
        <f t="shared" si="15"/>
        <v>7</v>
      </c>
      <c r="DA266">
        <f t="shared" si="15"/>
        <v>9</v>
      </c>
      <c r="DB266">
        <f t="shared" si="15"/>
        <v>7</v>
      </c>
      <c r="DC266">
        <f t="shared" si="15"/>
        <v>0</v>
      </c>
      <c r="DD266">
        <f t="shared" si="15"/>
        <v>0</v>
      </c>
      <c r="DE266">
        <f t="shared" si="15"/>
        <v>2</v>
      </c>
      <c r="DF266">
        <f t="shared" si="15"/>
        <v>0</v>
      </c>
      <c r="DG266">
        <f t="shared" si="15"/>
        <v>1</v>
      </c>
      <c r="DH266">
        <f t="shared" si="15"/>
        <v>0</v>
      </c>
      <c r="DI266">
        <f t="shared" si="15"/>
        <v>0</v>
      </c>
      <c r="DJ266">
        <f t="shared" si="15"/>
        <v>1</v>
      </c>
      <c r="DK266">
        <f t="shared" si="15"/>
        <v>0</v>
      </c>
      <c r="DL266">
        <f t="shared" si="15"/>
        <v>1</v>
      </c>
      <c r="DM266">
        <f t="shared" si="15"/>
        <v>1</v>
      </c>
      <c r="DN266">
        <f t="shared" si="15"/>
        <v>0</v>
      </c>
      <c r="DO266">
        <f t="shared" si="15"/>
        <v>0</v>
      </c>
      <c r="DP266">
        <f t="shared" si="15"/>
        <v>0</v>
      </c>
      <c r="DQ266">
        <f t="shared" si="15"/>
        <v>0</v>
      </c>
      <c r="DR266">
        <f t="shared" si="15"/>
        <v>0</v>
      </c>
      <c r="DS266">
        <f t="shared" si="15"/>
        <v>0</v>
      </c>
      <c r="DT266">
        <f t="shared" si="15"/>
        <v>0</v>
      </c>
      <c r="DU266">
        <f t="shared" si="15"/>
        <v>0</v>
      </c>
      <c r="DV266">
        <f t="shared" si="15"/>
        <v>0</v>
      </c>
      <c r="DW266">
        <f t="shared" si="15"/>
        <v>0</v>
      </c>
      <c r="DX266">
        <f t="shared" si="15"/>
        <v>0</v>
      </c>
      <c r="DY266">
        <f t="shared" si="15"/>
        <v>0</v>
      </c>
      <c r="DZ266">
        <f t="shared" si="15"/>
        <v>0</v>
      </c>
      <c r="EA266">
        <f t="shared" si="15"/>
        <v>0</v>
      </c>
    </row>
    <row r="267" spans="1:131" x14ac:dyDescent="0.25">
      <c r="A267">
        <v>5281</v>
      </c>
      <c r="B267" t="s">
        <v>21</v>
      </c>
    </row>
    <row r="268" spans="1:131" x14ac:dyDescent="0.25">
      <c r="A268">
        <v>200085</v>
      </c>
      <c r="B268" t="s">
        <v>21</v>
      </c>
      <c r="CN268">
        <v>1</v>
      </c>
      <c r="CQ268">
        <v>0</v>
      </c>
      <c r="CR268">
        <v>0</v>
      </c>
      <c r="CU268">
        <v>0</v>
      </c>
      <c r="DA268">
        <v>0</v>
      </c>
      <c r="DB268">
        <v>0</v>
      </c>
      <c r="DH268">
        <v>0</v>
      </c>
      <c r="DJ268">
        <v>0</v>
      </c>
      <c r="DK268">
        <v>0</v>
      </c>
    </row>
    <row r="269" spans="1:131" x14ac:dyDescent="0.25">
      <c r="A269">
        <v>500129</v>
      </c>
      <c r="B269" t="s">
        <v>21</v>
      </c>
    </row>
    <row r="270" spans="1:131" x14ac:dyDescent="0.25">
      <c r="A270" s="17">
        <v>1002033</v>
      </c>
      <c r="B270" t="s">
        <v>21</v>
      </c>
    </row>
    <row r="271" spans="1:131" x14ac:dyDescent="0.25">
      <c r="A271">
        <v>1003457</v>
      </c>
      <c r="B271" t="s">
        <v>21</v>
      </c>
    </row>
    <row r="272" spans="1:131" x14ac:dyDescent="0.25">
      <c r="A272">
        <v>2005223</v>
      </c>
      <c r="B272" t="s">
        <v>21</v>
      </c>
    </row>
    <row r="273" spans="1:109" x14ac:dyDescent="0.25">
      <c r="A273">
        <v>2006107</v>
      </c>
      <c r="B273" t="s">
        <v>21</v>
      </c>
    </row>
    <row r="274" spans="1:109" x14ac:dyDescent="0.25">
      <c r="A274">
        <v>2012014</v>
      </c>
      <c r="B274" t="s">
        <v>21</v>
      </c>
      <c r="I274">
        <v>1</v>
      </c>
      <c r="K274">
        <v>1</v>
      </c>
      <c r="L274">
        <v>0</v>
      </c>
      <c r="R274">
        <v>1</v>
      </c>
      <c r="U274">
        <v>1</v>
      </c>
      <c r="V274">
        <v>0</v>
      </c>
      <c r="AA274">
        <v>1</v>
      </c>
      <c r="BW274">
        <v>0</v>
      </c>
      <c r="BY274">
        <v>0</v>
      </c>
      <c r="BZ274">
        <v>1</v>
      </c>
      <c r="CP274">
        <v>0</v>
      </c>
      <c r="CT274">
        <v>0</v>
      </c>
      <c r="CZ274">
        <v>1</v>
      </c>
      <c r="DA274">
        <v>0</v>
      </c>
      <c r="DB274">
        <v>0</v>
      </c>
    </row>
    <row r="275" spans="1:109" x14ac:dyDescent="0.25">
      <c r="A275">
        <v>3000152</v>
      </c>
      <c r="B275" t="s">
        <v>21</v>
      </c>
      <c r="K275">
        <v>0</v>
      </c>
      <c r="M275">
        <v>0</v>
      </c>
      <c r="N275">
        <v>0</v>
      </c>
      <c r="P275">
        <v>0</v>
      </c>
      <c r="Z275">
        <v>0</v>
      </c>
      <c r="AB275">
        <v>0</v>
      </c>
      <c r="AC275">
        <v>0</v>
      </c>
      <c r="BE275">
        <v>0</v>
      </c>
      <c r="BG275">
        <v>0</v>
      </c>
      <c r="BH275">
        <v>0</v>
      </c>
      <c r="BK275">
        <v>0</v>
      </c>
      <c r="BM275">
        <v>0</v>
      </c>
      <c r="CN275">
        <v>1</v>
      </c>
      <c r="CP275">
        <v>0</v>
      </c>
      <c r="CU275">
        <v>0</v>
      </c>
      <c r="CX275">
        <v>0</v>
      </c>
      <c r="CZ275">
        <v>1</v>
      </c>
      <c r="DA275">
        <v>0</v>
      </c>
      <c r="DB275">
        <v>0</v>
      </c>
      <c r="DE275">
        <v>0</v>
      </c>
    </row>
    <row r="276" spans="1:109" x14ac:dyDescent="0.25">
      <c r="A276">
        <v>3014566</v>
      </c>
      <c r="B276" t="s">
        <v>21</v>
      </c>
    </row>
    <row r="277" spans="1:109" x14ac:dyDescent="0.25">
      <c r="A277">
        <v>3015058</v>
      </c>
      <c r="B277" t="s">
        <v>21</v>
      </c>
      <c r="M277">
        <v>0</v>
      </c>
      <c r="N277">
        <v>0</v>
      </c>
      <c r="CN277">
        <v>0</v>
      </c>
      <c r="CO277">
        <v>0</v>
      </c>
      <c r="CP277">
        <v>0</v>
      </c>
      <c r="CR277">
        <v>0</v>
      </c>
      <c r="CZ277">
        <v>0</v>
      </c>
    </row>
    <row r="278" spans="1:109" x14ac:dyDescent="0.25">
      <c r="A278" s="17">
        <v>4000996</v>
      </c>
      <c r="B278" t="s">
        <v>21</v>
      </c>
    </row>
    <row r="279" spans="1:109" x14ac:dyDescent="0.25">
      <c r="A279">
        <v>4003768</v>
      </c>
      <c r="B279" t="s">
        <v>21</v>
      </c>
    </row>
    <row r="280" spans="1:109" x14ac:dyDescent="0.25">
      <c r="A280">
        <v>4006540</v>
      </c>
      <c r="B280" t="s">
        <v>21</v>
      </c>
    </row>
    <row r="281" spans="1:109" x14ac:dyDescent="0.25">
      <c r="A281">
        <v>4007054</v>
      </c>
      <c r="B281" t="s">
        <v>21</v>
      </c>
    </row>
    <row r="282" spans="1:109" x14ac:dyDescent="0.25">
      <c r="A282">
        <v>4011002</v>
      </c>
      <c r="B282" t="s">
        <v>21</v>
      </c>
    </row>
    <row r="283" spans="1:109" x14ac:dyDescent="0.25">
      <c r="A283">
        <v>4900268</v>
      </c>
      <c r="B283" t="s">
        <v>21</v>
      </c>
    </row>
    <row r="284" spans="1:109" x14ac:dyDescent="0.25">
      <c r="A284">
        <v>5001097</v>
      </c>
      <c r="B284" t="s">
        <v>21</v>
      </c>
    </row>
    <row r="285" spans="1:109" x14ac:dyDescent="0.25">
      <c r="A285">
        <v>5001098</v>
      </c>
      <c r="B285" t="s">
        <v>21</v>
      </c>
    </row>
    <row r="286" spans="1:109" x14ac:dyDescent="0.25">
      <c r="A286">
        <v>5006152</v>
      </c>
      <c r="B286" t="s">
        <v>21</v>
      </c>
    </row>
    <row r="287" spans="1:109" x14ac:dyDescent="0.25">
      <c r="A287">
        <v>5011824</v>
      </c>
      <c r="B287" t="s">
        <v>21</v>
      </c>
    </row>
    <row r="288" spans="1:109" x14ac:dyDescent="0.25">
      <c r="A288">
        <v>5016179</v>
      </c>
      <c r="B288" t="s">
        <v>21</v>
      </c>
    </row>
    <row r="289" spans="1:113" x14ac:dyDescent="0.25">
      <c r="A289">
        <v>7079011</v>
      </c>
      <c r="B289" t="s">
        <v>21</v>
      </c>
    </row>
    <row r="290" spans="1:113" x14ac:dyDescent="0.25">
      <c r="A290">
        <v>8135416</v>
      </c>
      <c r="B290" t="s">
        <v>21</v>
      </c>
    </row>
    <row r="291" spans="1:113" x14ac:dyDescent="0.25">
      <c r="A291">
        <v>93018945</v>
      </c>
      <c r="B291" t="s">
        <v>21</v>
      </c>
    </row>
    <row r="292" spans="1:113" x14ac:dyDescent="0.25">
      <c r="A292">
        <v>94009028</v>
      </c>
      <c r="B292" t="s">
        <v>21</v>
      </c>
      <c r="CN292">
        <v>1</v>
      </c>
      <c r="CO292">
        <v>1</v>
      </c>
    </row>
    <row r="293" spans="1:113" x14ac:dyDescent="0.25">
      <c r="A293">
        <v>95005907</v>
      </c>
      <c r="B293" t="s">
        <v>21</v>
      </c>
    </row>
    <row r="294" spans="1:113" x14ac:dyDescent="0.25">
      <c r="A294">
        <v>95900164</v>
      </c>
      <c r="B294" t="s">
        <v>21</v>
      </c>
      <c r="DA294">
        <v>0</v>
      </c>
    </row>
    <row r="295" spans="1:113" x14ac:dyDescent="0.25">
      <c r="A295">
        <v>96015811</v>
      </c>
      <c r="B295" t="s">
        <v>21</v>
      </c>
    </row>
    <row r="296" spans="1:113" x14ac:dyDescent="0.25">
      <c r="A296">
        <v>97001240</v>
      </c>
      <c r="B296" t="s">
        <v>21</v>
      </c>
      <c r="I296">
        <v>1</v>
      </c>
      <c r="Z296">
        <v>0</v>
      </c>
      <c r="AB296">
        <v>0</v>
      </c>
      <c r="AC296">
        <v>0</v>
      </c>
      <c r="BV296">
        <v>0</v>
      </c>
      <c r="BW296">
        <v>0</v>
      </c>
      <c r="BY296">
        <v>0</v>
      </c>
      <c r="BZ296">
        <v>1</v>
      </c>
      <c r="DI296">
        <v>1</v>
      </c>
    </row>
    <row r="297" spans="1:113" x14ac:dyDescent="0.25">
      <c r="A297">
        <v>97005366</v>
      </c>
      <c r="B297" t="s">
        <v>21</v>
      </c>
    </row>
    <row r="298" spans="1:113" x14ac:dyDescent="0.25">
      <c r="A298">
        <v>98000595</v>
      </c>
      <c r="B298" t="s">
        <v>21</v>
      </c>
    </row>
    <row r="299" spans="1:113" x14ac:dyDescent="0.25">
      <c r="A299">
        <v>98002692</v>
      </c>
      <c r="B299" t="s">
        <v>21</v>
      </c>
    </row>
    <row r="300" spans="1:113" x14ac:dyDescent="0.25">
      <c r="A300">
        <v>98005277</v>
      </c>
      <c r="B300" t="s">
        <v>21</v>
      </c>
    </row>
    <row r="301" spans="1:113" x14ac:dyDescent="0.25">
      <c r="A301">
        <v>99001815</v>
      </c>
      <c r="B301" t="s">
        <v>21</v>
      </c>
    </row>
    <row r="302" spans="1:113" x14ac:dyDescent="0.25">
      <c r="A302">
        <v>6012361</v>
      </c>
      <c r="B302" t="s">
        <v>21</v>
      </c>
    </row>
    <row r="303" spans="1:113" x14ac:dyDescent="0.25">
      <c r="A303">
        <v>6015793</v>
      </c>
      <c r="B303" t="s">
        <v>21</v>
      </c>
    </row>
    <row r="304" spans="1:113" x14ac:dyDescent="0.25">
      <c r="A304">
        <v>6043619</v>
      </c>
      <c r="B304" t="s">
        <v>21</v>
      </c>
    </row>
    <row r="305" spans="1:109" x14ac:dyDescent="0.25">
      <c r="A305">
        <v>7001097</v>
      </c>
      <c r="B305" t="s">
        <v>21</v>
      </c>
    </row>
    <row r="306" spans="1:109" x14ac:dyDescent="0.25">
      <c r="A306">
        <v>7011435</v>
      </c>
      <c r="B306" t="s">
        <v>21</v>
      </c>
    </row>
    <row r="307" spans="1:109" x14ac:dyDescent="0.25">
      <c r="A307">
        <v>7045811</v>
      </c>
      <c r="B307" t="s">
        <v>21</v>
      </c>
    </row>
    <row r="308" spans="1:109" x14ac:dyDescent="0.25">
      <c r="A308">
        <v>7071198</v>
      </c>
      <c r="B308" t="s">
        <v>21</v>
      </c>
      <c r="BX308">
        <v>1</v>
      </c>
    </row>
    <row r="309" spans="1:109" x14ac:dyDescent="0.25">
      <c r="A309">
        <v>7101143</v>
      </c>
      <c r="B309" t="s">
        <v>21</v>
      </c>
    </row>
    <row r="310" spans="1:109" x14ac:dyDescent="0.25">
      <c r="A310">
        <v>8073350</v>
      </c>
      <c r="B310" t="s">
        <v>21</v>
      </c>
    </row>
    <row r="311" spans="1:109" x14ac:dyDescent="0.25">
      <c r="A311">
        <v>8073645</v>
      </c>
      <c r="B311" t="s">
        <v>21</v>
      </c>
    </row>
    <row r="312" spans="1:109" x14ac:dyDescent="0.25">
      <c r="A312" s="17">
        <v>8089666</v>
      </c>
      <c r="B312" t="s">
        <v>21</v>
      </c>
    </row>
    <row r="313" spans="1:109" x14ac:dyDescent="0.25">
      <c r="A313">
        <v>8103536</v>
      </c>
      <c r="B313" t="s">
        <v>21</v>
      </c>
      <c r="Z313">
        <v>1</v>
      </c>
    </row>
    <row r="314" spans="1:109" x14ac:dyDescent="0.25">
      <c r="A314" t="s">
        <v>22</v>
      </c>
      <c r="B314" t="s">
        <v>21</v>
      </c>
    </row>
    <row r="315" spans="1:109" x14ac:dyDescent="0.25">
      <c r="A315">
        <v>9003267</v>
      </c>
      <c r="B315" t="s">
        <v>21</v>
      </c>
      <c r="N315">
        <v>0</v>
      </c>
      <c r="P315">
        <v>0</v>
      </c>
      <c r="Y315">
        <v>0</v>
      </c>
    </row>
    <row r="316" spans="1:109" x14ac:dyDescent="0.25">
      <c r="A316">
        <v>9036964</v>
      </c>
      <c r="B316" t="s">
        <v>21</v>
      </c>
      <c r="AF316">
        <v>0</v>
      </c>
      <c r="AZ316">
        <v>0</v>
      </c>
      <c r="BA316">
        <v>0</v>
      </c>
      <c r="BF316">
        <v>0</v>
      </c>
      <c r="BG316">
        <v>0</v>
      </c>
      <c r="BL316">
        <v>0</v>
      </c>
      <c r="BP316">
        <v>0</v>
      </c>
      <c r="BQ316">
        <v>0</v>
      </c>
      <c r="BT316">
        <v>0</v>
      </c>
      <c r="CN316">
        <v>0</v>
      </c>
      <c r="CO316">
        <v>0</v>
      </c>
      <c r="CP316">
        <v>0</v>
      </c>
      <c r="CR316">
        <v>0</v>
      </c>
      <c r="CZ316">
        <v>0</v>
      </c>
      <c r="DA316">
        <v>0</v>
      </c>
      <c r="DB316">
        <v>0</v>
      </c>
    </row>
    <row r="317" spans="1:109" x14ac:dyDescent="0.25">
      <c r="A317">
        <v>9090287</v>
      </c>
      <c r="B317" t="s">
        <v>21</v>
      </c>
      <c r="CV317">
        <v>0</v>
      </c>
      <c r="CW317">
        <v>0</v>
      </c>
      <c r="DA317">
        <v>0</v>
      </c>
      <c r="DD317">
        <v>0</v>
      </c>
      <c r="DE317">
        <v>0</v>
      </c>
    </row>
    <row r="318" spans="1:109" x14ac:dyDescent="0.25">
      <c r="A318">
        <v>9095148</v>
      </c>
      <c r="B318" t="s">
        <v>21</v>
      </c>
      <c r="P318">
        <v>1</v>
      </c>
    </row>
    <row r="319" spans="1:109" x14ac:dyDescent="0.25">
      <c r="A319">
        <v>9104979</v>
      </c>
      <c r="B319" t="s">
        <v>21</v>
      </c>
    </row>
    <row r="320" spans="1:109" x14ac:dyDescent="0.25">
      <c r="A320">
        <v>9139514</v>
      </c>
      <c r="B320" t="s">
        <v>21</v>
      </c>
    </row>
    <row r="321" spans="1:117" x14ac:dyDescent="0.25">
      <c r="A321">
        <v>10020659</v>
      </c>
      <c r="B321" t="s">
        <v>21</v>
      </c>
      <c r="CN321">
        <v>0</v>
      </c>
      <c r="CO321">
        <v>0</v>
      </c>
      <c r="CP321">
        <v>0</v>
      </c>
    </row>
    <row r="322" spans="1:117" x14ac:dyDescent="0.25">
      <c r="A322">
        <v>10025902</v>
      </c>
      <c r="B322" t="s">
        <v>21</v>
      </c>
      <c r="K322">
        <v>0</v>
      </c>
      <c r="BW322">
        <v>0</v>
      </c>
      <c r="CO322">
        <v>1</v>
      </c>
    </row>
    <row r="323" spans="1:117" x14ac:dyDescent="0.25">
      <c r="A323">
        <v>10027654</v>
      </c>
      <c r="B323" t="s">
        <v>21</v>
      </c>
      <c r="N323">
        <v>0</v>
      </c>
      <c r="O323">
        <v>1</v>
      </c>
      <c r="P323">
        <v>0</v>
      </c>
      <c r="AB323">
        <v>0</v>
      </c>
      <c r="AC323">
        <v>0</v>
      </c>
      <c r="CN323">
        <v>0</v>
      </c>
      <c r="CO323">
        <v>0</v>
      </c>
      <c r="CP323">
        <v>0</v>
      </c>
    </row>
    <row r="324" spans="1:117" x14ac:dyDescent="0.25">
      <c r="A324">
        <v>10084485</v>
      </c>
      <c r="B324" t="s">
        <v>21</v>
      </c>
    </row>
    <row r="325" spans="1:117" x14ac:dyDescent="0.25">
      <c r="A325">
        <v>10098420</v>
      </c>
      <c r="B325" t="s">
        <v>21</v>
      </c>
    </row>
    <row r="326" spans="1:117" x14ac:dyDescent="0.25">
      <c r="A326">
        <v>10129565</v>
      </c>
      <c r="B326" t="s">
        <v>21</v>
      </c>
    </row>
    <row r="327" spans="1:117" x14ac:dyDescent="0.25">
      <c r="A327">
        <v>10146828</v>
      </c>
      <c r="B327" t="s">
        <v>21</v>
      </c>
    </row>
    <row r="328" spans="1:117" x14ac:dyDescent="0.25">
      <c r="A328">
        <v>10163776</v>
      </c>
      <c r="B328" t="s">
        <v>21</v>
      </c>
    </row>
    <row r="329" spans="1:117" x14ac:dyDescent="0.25">
      <c r="A329">
        <v>10173664</v>
      </c>
      <c r="B329" t="s">
        <v>21</v>
      </c>
      <c r="K329">
        <v>0</v>
      </c>
      <c r="M329">
        <v>0</v>
      </c>
      <c r="N329">
        <v>0</v>
      </c>
      <c r="Y329">
        <v>0</v>
      </c>
      <c r="CN329">
        <v>0</v>
      </c>
      <c r="CO329">
        <v>0</v>
      </c>
      <c r="CP329">
        <v>0</v>
      </c>
    </row>
    <row r="330" spans="1:117" x14ac:dyDescent="0.25">
      <c r="A330">
        <v>11000454</v>
      </c>
      <c r="B330" t="s">
        <v>21</v>
      </c>
      <c r="N330">
        <v>0</v>
      </c>
      <c r="O330">
        <v>0</v>
      </c>
      <c r="P330">
        <v>0</v>
      </c>
      <c r="T330">
        <v>0</v>
      </c>
      <c r="BK330">
        <v>1</v>
      </c>
      <c r="BL330">
        <v>0</v>
      </c>
      <c r="BY330">
        <v>0</v>
      </c>
      <c r="BZ330">
        <v>0</v>
      </c>
      <c r="CA330">
        <v>0</v>
      </c>
      <c r="CN330">
        <v>0</v>
      </c>
      <c r="CO330">
        <v>0</v>
      </c>
      <c r="CP330">
        <v>0</v>
      </c>
      <c r="CR330">
        <v>0</v>
      </c>
      <c r="DH330">
        <v>0</v>
      </c>
    </row>
    <row r="331" spans="1:117" x14ac:dyDescent="0.25">
      <c r="A331">
        <v>11083498</v>
      </c>
      <c r="B331" t="s">
        <v>21</v>
      </c>
      <c r="N331">
        <v>0</v>
      </c>
      <c r="O331">
        <v>1</v>
      </c>
      <c r="P331">
        <v>0</v>
      </c>
      <c r="BX331">
        <v>0</v>
      </c>
      <c r="CN331">
        <v>0</v>
      </c>
      <c r="CO331">
        <v>0</v>
      </c>
      <c r="CP331">
        <v>0</v>
      </c>
    </row>
    <row r="332" spans="1:117" x14ac:dyDescent="0.25">
      <c r="A332">
        <v>11138447</v>
      </c>
      <c r="B332" t="s">
        <v>21</v>
      </c>
      <c r="CN332">
        <v>0</v>
      </c>
      <c r="CO332">
        <v>0</v>
      </c>
      <c r="CP332">
        <v>0</v>
      </c>
    </row>
    <row r="333" spans="1:117" x14ac:dyDescent="0.25">
      <c r="A333">
        <v>11144001</v>
      </c>
      <c r="B333" t="s">
        <v>21</v>
      </c>
      <c r="Z333">
        <v>0</v>
      </c>
      <c r="AB333">
        <v>0</v>
      </c>
      <c r="AC333">
        <v>0</v>
      </c>
      <c r="AT333">
        <v>1</v>
      </c>
      <c r="DL333">
        <v>0</v>
      </c>
      <c r="DM333">
        <v>0</v>
      </c>
    </row>
    <row r="334" spans="1:117" x14ac:dyDescent="0.25">
      <c r="A334" t="s">
        <v>23</v>
      </c>
      <c r="B334" t="s">
        <v>21</v>
      </c>
      <c r="CN334">
        <v>0</v>
      </c>
      <c r="CO334">
        <v>0</v>
      </c>
      <c r="CP334">
        <v>0</v>
      </c>
    </row>
    <row r="335" spans="1:117" x14ac:dyDescent="0.25">
      <c r="A335" t="s">
        <v>24</v>
      </c>
      <c r="B335" t="s">
        <v>21</v>
      </c>
    </row>
    <row r="336" spans="1:117" x14ac:dyDescent="0.25">
      <c r="A336">
        <v>12021531</v>
      </c>
      <c r="B336" t="s">
        <v>21</v>
      </c>
    </row>
    <row r="337" spans="1:131" x14ac:dyDescent="0.25">
      <c r="A337">
        <v>12185514</v>
      </c>
      <c r="B337" t="s">
        <v>21</v>
      </c>
      <c r="M337">
        <v>0</v>
      </c>
      <c r="N337">
        <v>0</v>
      </c>
      <c r="Z337">
        <v>1</v>
      </c>
      <c r="AB337">
        <v>0</v>
      </c>
      <c r="AC337">
        <v>0</v>
      </c>
      <c r="AQ337">
        <v>1</v>
      </c>
      <c r="AR337">
        <v>0</v>
      </c>
      <c r="BE337">
        <v>0</v>
      </c>
      <c r="BK337">
        <v>0</v>
      </c>
      <c r="CO337">
        <v>0</v>
      </c>
      <c r="CP337">
        <v>0</v>
      </c>
    </row>
    <row r="338" spans="1:131" x14ac:dyDescent="0.25">
      <c r="A338">
        <v>12202633</v>
      </c>
      <c r="B338" t="s">
        <v>21</v>
      </c>
      <c r="Z338">
        <v>0</v>
      </c>
    </row>
    <row r="339" spans="1:131" x14ac:dyDescent="0.25">
      <c r="A339">
        <v>12325258</v>
      </c>
      <c r="B339" t="s">
        <v>21</v>
      </c>
    </row>
    <row r="340" spans="1:131" x14ac:dyDescent="0.25">
      <c r="A340">
        <v>5018677</v>
      </c>
      <c r="B340" t="s">
        <v>21</v>
      </c>
    </row>
    <row r="341" spans="1:131" x14ac:dyDescent="0.25">
      <c r="A341">
        <v>11243521</v>
      </c>
      <c r="B341" t="s">
        <v>21</v>
      </c>
    </row>
    <row r="342" spans="1:131" x14ac:dyDescent="0.25">
      <c r="A342">
        <v>2008127</v>
      </c>
      <c r="B342" t="s">
        <v>21</v>
      </c>
    </row>
    <row r="343" spans="1:131" x14ac:dyDescent="0.25">
      <c r="A343">
        <v>6081681</v>
      </c>
      <c r="B343" t="s">
        <v>21</v>
      </c>
    </row>
    <row r="344" spans="1:131" x14ac:dyDescent="0.25">
      <c r="C344">
        <f>COUNTA(C267:C343)</f>
        <v>0</v>
      </c>
      <c r="D344">
        <f>COUNTA(D267:D343)</f>
        <v>0</v>
      </c>
      <c r="E344">
        <f t="shared" ref="E344:BP344" si="16">COUNTA(E267:E343)</f>
        <v>0</v>
      </c>
      <c r="F344">
        <f t="shared" si="16"/>
        <v>0</v>
      </c>
      <c r="G344">
        <f t="shared" si="16"/>
        <v>0</v>
      </c>
      <c r="H344">
        <f t="shared" si="16"/>
        <v>0</v>
      </c>
      <c r="I344">
        <f t="shared" si="16"/>
        <v>2</v>
      </c>
      <c r="J344">
        <f t="shared" si="16"/>
        <v>0</v>
      </c>
      <c r="K344">
        <f t="shared" si="16"/>
        <v>4</v>
      </c>
      <c r="L344">
        <f t="shared" si="16"/>
        <v>1</v>
      </c>
      <c r="M344">
        <f t="shared" si="16"/>
        <v>4</v>
      </c>
      <c r="N344">
        <f t="shared" si="16"/>
        <v>8</v>
      </c>
      <c r="O344">
        <f t="shared" si="16"/>
        <v>3</v>
      </c>
      <c r="P344">
        <f t="shared" si="16"/>
        <v>6</v>
      </c>
      <c r="Q344">
        <f t="shared" si="16"/>
        <v>0</v>
      </c>
      <c r="R344">
        <f t="shared" si="16"/>
        <v>1</v>
      </c>
      <c r="S344">
        <f t="shared" si="16"/>
        <v>0</v>
      </c>
      <c r="T344">
        <f t="shared" si="16"/>
        <v>1</v>
      </c>
      <c r="U344">
        <f t="shared" si="16"/>
        <v>1</v>
      </c>
      <c r="V344">
        <f t="shared" si="16"/>
        <v>1</v>
      </c>
      <c r="W344">
        <f t="shared" si="16"/>
        <v>0</v>
      </c>
      <c r="X344">
        <f t="shared" si="16"/>
        <v>0</v>
      </c>
      <c r="Y344">
        <f t="shared" si="16"/>
        <v>2</v>
      </c>
      <c r="Z344">
        <f t="shared" si="16"/>
        <v>6</v>
      </c>
      <c r="AA344">
        <f t="shared" si="16"/>
        <v>1</v>
      </c>
      <c r="AB344">
        <f t="shared" si="16"/>
        <v>5</v>
      </c>
      <c r="AC344">
        <f t="shared" si="16"/>
        <v>5</v>
      </c>
      <c r="AD344">
        <f t="shared" si="16"/>
        <v>0</v>
      </c>
      <c r="AE344">
        <f t="shared" si="16"/>
        <v>0</v>
      </c>
      <c r="AF344">
        <f t="shared" si="16"/>
        <v>1</v>
      </c>
      <c r="AG344">
        <f t="shared" si="16"/>
        <v>0</v>
      </c>
      <c r="AH344">
        <f t="shared" si="16"/>
        <v>0</v>
      </c>
      <c r="AI344">
        <f t="shared" si="16"/>
        <v>0</v>
      </c>
      <c r="AJ344">
        <f t="shared" si="16"/>
        <v>0</v>
      </c>
      <c r="AK344">
        <f t="shared" si="16"/>
        <v>0</v>
      </c>
      <c r="AL344">
        <f t="shared" si="16"/>
        <v>0</v>
      </c>
      <c r="AM344">
        <f t="shared" si="16"/>
        <v>0</v>
      </c>
      <c r="AN344">
        <f t="shared" si="16"/>
        <v>0</v>
      </c>
      <c r="AO344">
        <f t="shared" si="16"/>
        <v>0</v>
      </c>
      <c r="AP344">
        <f t="shared" si="16"/>
        <v>0</v>
      </c>
      <c r="AQ344">
        <f t="shared" si="16"/>
        <v>1</v>
      </c>
      <c r="AR344">
        <f t="shared" si="16"/>
        <v>1</v>
      </c>
      <c r="AS344">
        <f t="shared" si="16"/>
        <v>0</v>
      </c>
      <c r="AT344">
        <f t="shared" si="16"/>
        <v>1</v>
      </c>
      <c r="AU344">
        <f t="shared" si="16"/>
        <v>0</v>
      </c>
      <c r="AV344">
        <f t="shared" si="16"/>
        <v>0</v>
      </c>
      <c r="AW344">
        <f t="shared" si="16"/>
        <v>0</v>
      </c>
      <c r="AX344">
        <f t="shared" si="16"/>
        <v>0</v>
      </c>
      <c r="AY344">
        <f t="shared" si="16"/>
        <v>0</v>
      </c>
      <c r="AZ344">
        <f t="shared" si="16"/>
        <v>1</v>
      </c>
      <c r="BA344">
        <f t="shared" si="16"/>
        <v>1</v>
      </c>
      <c r="BB344">
        <f t="shared" si="16"/>
        <v>0</v>
      </c>
      <c r="BC344">
        <f t="shared" si="16"/>
        <v>0</v>
      </c>
      <c r="BD344">
        <f t="shared" si="16"/>
        <v>0</v>
      </c>
      <c r="BE344">
        <f t="shared" si="16"/>
        <v>2</v>
      </c>
      <c r="BF344">
        <f t="shared" si="16"/>
        <v>1</v>
      </c>
      <c r="BG344">
        <f t="shared" si="16"/>
        <v>2</v>
      </c>
      <c r="BH344">
        <f t="shared" si="16"/>
        <v>1</v>
      </c>
      <c r="BI344">
        <f t="shared" si="16"/>
        <v>0</v>
      </c>
      <c r="BJ344">
        <f t="shared" si="16"/>
        <v>0</v>
      </c>
      <c r="BK344">
        <f t="shared" si="16"/>
        <v>3</v>
      </c>
      <c r="BL344">
        <f t="shared" si="16"/>
        <v>2</v>
      </c>
      <c r="BM344">
        <f t="shared" si="16"/>
        <v>1</v>
      </c>
      <c r="BN344">
        <f t="shared" si="16"/>
        <v>0</v>
      </c>
      <c r="BO344">
        <f t="shared" si="16"/>
        <v>0</v>
      </c>
      <c r="BP344">
        <f t="shared" si="16"/>
        <v>1</v>
      </c>
      <c r="BQ344">
        <f t="shared" ref="BQ344:CZ344" si="17">COUNTA(BQ267:BQ343)</f>
        <v>1</v>
      </c>
      <c r="BR344">
        <f t="shared" si="17"/>
        <v>0</v>
      </c>
      <c r="BS344">
        <f t="shared" si="17"/>
        <v>0</v>
      </c>
      <c r="BT344">
        <f t="shared" si="17"/>
        <v>1</v>
      </c>
      <c r="BU344">
        <f t="shared" si="17"/>
        <v>0</v>
      </c>
      <c r="BV344">
        <f t="shared" si="17"/>
        <v>1</v>
      </c>
      <c r="BW344">
        <f t="shared" si="17"/>
        <v>3</v>
      </c>
      <c r="BX344">
        <f t="shared" si="17"/>
        <v>2</v>
      </c>
      <c r="BY344">
        <f t="shared" si="17"/>
        <v>3</v>
      </c>
      <c r="BZ344">
        <f t="shared" si="17"/>
        <v>3</v>
      </c>
      <c r="CA344">
        <f t="shared" si="17"/>
        <v>1</v>
      </c>
      <c r="CB344">
        <f t="shared" si="17"/>
        <v>0</v>
      </c>
      <c r="CC344">
        <f t="shared" si="17"/>
        <v>0</v>
      </c>
      <c r="CD344">
        <f t="shared" si="17"/>
        <v>0</v>
      </c>
      <c r="CE344">
        <f t="shared" si="17"/>
        <v>0</v>
      </c>
      <c r="CF344">
        <f t="shared" si="17"/>
        <v>0</v>
      </c>
      <c r="CG344">
        <f t="shared" si="17"/>
        <v>0</v>
      </c>
      <c r="CH344">
        <f t="shared" si="17"/>
        <v>0</v>
      </c>
      <c r="CI344">
        <f t="shared" si="17"/>
        <v>0</v>
      </c>
      <c r="CJ344">
        <f t="shared" si="17"/>
        <v>0</v>
      </c>
      <c r="CK344">
        <f t="shared" si="17"/>
        <v>0</v>
      </c>
      <c r="CL344">
        <f t="shared" si="17"/>
        <v>0</v>
      </c>
      <c r="CM344">
        <f t="shared" si="17"/>
        <v>0</v>
      </c>
      <c r="CN344">
        <f t="shared" si="17"/>
        <v>12</v>
      </c>
      <c r="CO344">
        <f t="shared" si="17"/>
        <v>12</v>
      </c>
      <c r="CP344">
        <f t="shared" si="17"/>
        <v>12</v>
      </c>
      <c r="CQ344">
        <f t="shared" si="17"/>
        <v>1</v>
      </c>
      <c r="CR344">
        <f t="shared" si="17"/>
        <v>4</v>
      </c>
      <c r="CS344">
        <f t="shared" si="17"/>
        <v>0</v>
      </c>
      <c r="CT344">
        <f t="shared" si="17"/>
        <v>1</v>
      </c>
      <c r="CU344">
        <f t="shared" si="17"/>
        <v>2</v>
      </c>
      <c r="CV344">
        <f t="shared" si="17"/>
        <v>1</v>
      </c>
      <c r="CW344">
        <f t="shared" si="17"/>
        <v>1</v>
      </c>
      <c r="CX344">
        <f t="shared" si="17"/>
        <v>1</v>
      </c>
      <c r="CY344">
        <f t="shared" si="17"/>
        <v>0</v>
      </c>
      <c r="CZ344">
        <f t="shared" si="17"/>
        <v>4</v>
      </c>
      <c r="DA344">
        <f>COUNTA(DA267:DA343)</f>
        <v>6</v>
      </c>
      <c r="DB344">
        <f t="shared" ref="DB344:EA344" si="18">COUNTA(DB267:DB343)</f>
        <v>4</v>
      </c>
      <c r="DC344">
        <f t="shared" si="18"/>
        <v>0</v>
      </c>
      <c r="DD344">
        <f t="shared" si="18"/>
        <v>1</v>
      </c>
      <c r="DE344">
        <f t="shared" si="18"/>
        <v>2</v>
      </c>
      <c r="DF344">
        <f t="shared" si="18"/>
        <v>0</v>
      </c>
      <c r="DG344">
        <f t="shared" si="18"/>
        <v>0</v>
      </c>
      <c r="DH344">
        <f t="shared" si="18"/>
        <v>2</v>
      </c>
      <c r="DI344">
        <f t="shared" si="18"/>
        <v>1</v>
      </c>
      <c r="DJ344">
        <f t="shared" si="18"/>
        <v>1</v>
      </c>
      <c r="DK344">
        <f t="shared" si="18"/>
        <v>1</v>
      </c>
      <c r="DL344">
        <f t="shared" si="18"/>
        <v>1</v>
      </c>
      <c r="DM344">
        <f t="shared" si="18"/>
        <v>1</v>
      </c>
      <c r="DN344">
        <f t="shared" si="18"/>
        <v>0</v>
      </c>
      <c r="DO344">
        <f t="shared" si="18"/>
        <v>0</v>
      </c>
      <c r="DP344">
        <f t="shared" si="18"/>
        <v>0</v>
      </c>
      <c r="DQ344">
        <f t="shared" si="18"/>
        <v>0</v>
      </c>
      <c r="DR344">
        <f t="shared" si="18"/>
        <v>0</v>
      </c>
      <c r="DS344">
        <f t="shared" si="18"/>
        <v>0</v>
      </c>
      <c r="DT344">
        <f t="shared" si="18"/>
        <v>0</v>
      </c>
      <c r="DU344">
        <f t="shared" si="18"/>
        <v>0</v>
      </c>
      <c r="DV344">
        <f t="shared" si="18"/>
        <v>0</v>
      </c>
      <c r="DW344">
        <f t="shared" si="18"/>
        <v>0</v>
      </c>
      <c r="DX344">
        <f t="shared" si="18"/>
        <v>0</v>
      </c>
      <c r="DY344">
        <f t="shared" si="18"/>
        <v>0</v>
      </c>
      <c r="DZ344">
        <f t="shared" si="18"/>
        <v>0</v>
      </c>
      <c r="EA344">
        <f t="shared" si="18"/>
        <v>0</v>
      </c>
    </row>
    <row r="345" spans="1:131" x14ac:dyDescent="0.25">
      <c r="A345" s="6"/>
    </row>
    <row r="346" spans="1:131" x14ac:dyDescent="0.25">
      <c r="A346" s="6"/>
    </row>
    <row r="347" spans="1:131" x14ac:dyDescent="0.25">
      <c r="A347">
        <v>6010715</v>
      </c>
      <c r="B347" t="s">
        <v>11</v>
      </c>
    </row>
    <row r="348" spans="1:131" x14ac:dyDescent="0.25">
      <c r="A348">
        <v>6010719</v>
      </c>
      <c r="B348" t="s">
        <v>11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N348" s="4"/>
      <c r="CT348" s="4"/>
      <c r="CU348" s="4"/>
      <c r="CV348" s="4"/>
      <c r="CW348" s="4"/>
      <c r="CX348" s="4"/>
      <c r="CY348" s="4"/>
    </row>
    <row r="349" spans="1:131" x14ac:dyDescent="0.25">
      <c r="A349">
        <v>6010722</v>
      </c>
      <c r="B349" t="s">
        <v>11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N349" s="4"/>
      <c r="CT349" s="4"/>
      <c r="CU349" s="4"/>
      <c r="CV349" s="4"/>
      <c r="CW349" s="4"/>
      <c r="CX349" s="4"/>
      <c r="CY349" s="4"/>
    </row>
    <row r="350" spans="1:131" x14ac:dyDescent="0.25">
      <c r="A350" s="18">
        <v>8061313</v>
      </c>
      <c r="B350" t="s">
        <v>11</v>
      </c>
      <c r="C350" s="4"/>
      <c r="D350" s="4"/>
      <c r="E350" s="4"/>
      <c r="F350" s="4"/>
      <c r="G350" s="4"/>
      <c r="H350" s="4"/>
      <c r="I350" s="4"/>
      <c r="J350" s="4">
        <v>0</v>
      </c>
      <c r="K350" s="4"/>
      <c r="L350" s="4"/>
      <c r="N350" s="4">
        <v>0</v>
      </c>
      <c r="O350">
        <v>0</v>
      </c>
      <c r="S350">
        <v>0</v>
      </c>
      <c r="Z350">
        <v>0</v>
      </c>
      <c r="AB350">
        <v>0</v>
      </c>
      <c r="AC350">
        <v>0</v>
      </c>
      <c r="AN350">
        <v>0</v>
      </c>
      <c r="AO350">
        <v>0</v>
      </c>
      <c r="BC350">
        <v>0</v>
      </c>
      <c r="BG350">
        <v>0</v>
      </c>
      <c r="BK350">
        <v>0</v>
      </c>
      <c r="BO350">
        <v>1</v>
      </c>
      <c r="BW350">
        <v>0</v>
      </c>
      <c r="BY350">
        <v>0</v>
      </c>
      <c r="BZ350">
        <v>1</v>
      </c>
      <c r="CD350">
        <v>1</v>
      </c>
      <c r="CE350">
        <v>0</v>
      </c>
      <c r="CF350">
        <v>0</v>
      </c>
      <c r="CP350">
        <v>0</v>
      </c>
      <c r="CT350" s="4"/>
      <c r="CU350" s="4">
        <v>0</v>
      </c>
      <c r="CV350" s="4"/>
      <c r="CW350" s="4"/>
      <c r="CX350" s="4">
        <v>0</v>
      </c>
      <c r="CY350" s="4">
        <v>0</v>
      </c>
      <c r="DA350">
        <v>0</v>
      </c>
      <c r="DB350">
        <v>0</v>
      </c>
      <c r="DN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</row>
    <row r="351" spans="1:131" x14ac:dyDescent="0.25">
      <c r="A351" s="18">
        <v>8097989</v>
      </c>
      <c r="B351" t="s">
        <v>11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N351" s="4"/>
      <c r="CT351" s="4"/>
      <c r="CU351" s="4"/>
      <c r="CV351" s="4"/>
      <c r="CW351" s="4"/>
      <c r="CX351" s="4"/>
      <c r="CY351" s="4"/>
    </row>
    <row r="352" spans="1:131" x14ac:dyDescent="0.25">
      <c r="A352">
        <v>9013015</v>
      </c>
      <c r="B352" t="s">
        <v>11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N352" s="4"/>
      <c r="CT352" s="4"/>
      <c r="CU352" s="4"/>
      <c r="CV352" s="4"/>
      <c r="CW352" s="4"/>
      <c r="CX352" s="4"/>
      <c r="CY352" s="4"/>
    </row>
    <row r="353" spans="1:103" x14ac:dyDescent="0.25">
      <c r="A353" s="18">
        <v>9097281</v>
      </c>
      <c r="B353" t="s">
        <v>11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N353" s="4"/>
      <c r="CT353" s="4"/>
      <c r="CU353" s="4"/>
      <c r="CV353" s="4"/>
      <c r="CW353" s="4"/>
      <c r="CX353" s="4"/>
      <c r="CY353" s="4"/>
    </row>
    <row r="354" spans="1:103" x14ac:dyDescent="0.25">
      <c r="A354" t="s">
        <v>195</v>
      </c>
      <c r="B354" t="s">
        <v>11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N354" s="4"/>
      <c r="CT354" s="4"/>
      <c r="CU354" s="4"/>
      <c r="CV354" s="4"/>
      <c r="CW354" s="4"/>
      <c r="CX354" s="4"/>
      <c r="CY354" s="4"/>
    </row>
    <row r="355" spans="1:103" x14ac:dyDescent="0.25">
      <c r="A355" s="18">
        <v>10180409</v>
      </c>
      <c r="B355" t="s">
        <v>11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N355" s="4"/>
      <c r="CT355" s="4"/>
      <c r="CU355" s="4"/>
      <c r="CV355" s="4"/>
      <c r="CW355" s="4"/>
      <c r="CX355" s="4"/>
      <c r="CY355" s="4"/>
    </row>
    <row r="356" spans="1:103" x14ac:dyDescent="0.25">
      <c r="A356" s="18">
        <v>11084088</v>
      </c>
      <c r="B356" t="s">
        <v>11</v>
      </c>
    </row>
    <row r="357" spans="1:103" x14ac:dyDescent="0.25">
      <c r="A357">
        <v>12088753</v>
      </c>
      <c r="B357" t="s">
        <v>11</v>
      </c>
    </row>
    <row r="358" spans="1:103" x14ac:dyDescent="0.25">
      <c r="A358">
        <v>2007360</v>
      </c>
      <c r="B358" t="s">
        <v>11</v>
      </c>
      <c r="CN358">
        <v>0</v>
      </c>
      <c r="CO358">
        <v>0</v>
      </c>
      <c r="CP358">
        <v>0</v>
      </c>
    </row>
    <row r="359" spans="1:103" x14ac:dyDescent="0.25">
      <c r="A359" s="18">
        <v>2011811</v>
      </c>
      <c r="B359" t="s">
        <v>11</v>
      </c>
    </row>
    <row r="360" spans="1:103" x14ac:dyDescent="0.25">
      <c r="A360">
        <v>2012411</v>
      </c>
      <c r="B360" t="s">
        <v>11</v>
      </c>
    </row>
    <row r="361" spans="1:103" x14ac:dyDescent="0.25">
      <c r="A361" s="18">
        <v>2012826</v>
      </c>
      <c r="B361" t="s">
        <v>11</v>
      </c>
    </row>
    <row r="362" spans="1:103" x14ac:dyDescent="0.25">
      <c r="A362">
        <v>3007918</v>
      </c>
      <c r="B362" t="s">
        <v>11</v>
      </c>
    </row>
    <row r="363" spans="1:103" x14ac:dyDescent="0.25">
      <c r="A363">
        <v>3010565</v>
      </c>
      <c r="B363" t="s">
        <v>11</v>
      </c>
    </row>
    <row r="364" spans="1:103" x14ac:dyDescent="0.25">
      <c r="A364" s="18">
        <v>4000702</v>
      </c>
      <c r="B364" t="s">
        <v>11</v>
      </c>
    </row>
    <row r="365" spans="1:103" x14ac:dyDescent="0.25">
      <c r="A365" s="17">
        <v>5002712</v>
      </c>
      <c r="B365" t="s">
        <v>11</v>
      </c>
      <c r="J365">
        <v>1</v>
      </c>
      <c r="P365">
        <v>0</v>
      </c>
      <c r="Z365">
        <v>1</v>
      </c>
      <c r="BW365">
        <v>0</v>
      </c>
      <c r="BY365">
        <v>0</v>
      </c>
      <c r="BZ365">
        <v>0</v>
      </c>
      <c r="CN365">
        <v>0</v>
      </c>
      <c r="CO365">
        <v>0</v>
      </c>
      <c r="CP365">
        <v>0</v>
      </c>
    </row>
    <row r="366" spans="1:103" x14ac:dyDescent="0.25">
      <c r="A366">
        <v>5006761</v>
      </c>
      <c r="B366" t="s">
        <v>11</v>
      </c>
    </row>
    <row r="367" spans="1:103" x14ac:dyDescent="0.25">
      <c r="A367">
        <v>5013211</v>
      </c>
      <c r="B367" t="s">
        <v>11</v>
      </c>
    </row>
    <row r="368" spans="1:103" x14ac:dyDescent="0.25">
      <c r="A368" s="18">
        <v>5013494</v>
      </c>
      <c r="B368" t="s">
        <v>11</v>
      </c>
    </row>
    <row r="369" spans="1:131" x14ac:dyDescent="0.25">
      <c r="A369">
        <v>6005884</v>
      </c>
      <c r="B369" t="s">
        <v>11</v>
      </c>
    </row>
    <row r="370" spans="1:131" x14ac:dyDescent="0.25">
      <c r="A370">
        <v>95003255</v>
      </c>
      <c r="B370" t="s">
        <v>11</v>
      </c>
      <c r="CN370">
        <v>0</v>
      </c>
      <c r="CO370">
        <v>0</v>
      </c>
      <c r="CP370">
        <v>0</v>
      </c>
    </row>
    <row r="371" spans="1:131" x14ac:dyDescent="0.25">
      <c r="A371" s="18">
        <v>95003777</v>
      </c>
      <c r="B371" t="s">
        <v>11</v>
      </c>
      <c r="W371">
        <v>1</v>
      </c>
      <c r="Z371">
        <v>0</v>
      </c>
      <c r="AR371">
        <v>0</v>
      </c>
      <c r="CD371">
        <v>0</v>
      </c>
      <c r="CE371">
        <v>0</v>
      </c>
      <c r="CF371">
        <v>0</v>
      </c>
      <c r="CG371">
        <v>0</v>
      </c>
      <c r="CN371" t="s">
        <v>196</v>
      </c>
    </row>
    <row r="372" spans="1:131" x14ac:dyDescent="0.25">
      <c r="A372" s="18">
        <v>95900316</v>
      </c>
      <c r="B372" t="s">
        <v>11</v>
      </c>
    </row>
    <row r="373" spans="1:131" x14ac:dyDescent="0.25">
      <c r="A373" s="18">
        <v>96900455</v>
      </c>
      <c r="B373" t="s">
        <v>11</v>
      </c>
    </row>
    <row r="374" spans="1:131" x14ac:dyDescent="0.25">
      <c r="A374">
        <v>99002655</v>
      </c>
      <c r="B374" t="s">
        <v>11</v>
      </c>
    </row>
    <row r="375" spans="1:131" x14ac:dyDescent="0.25">
      <c r="C375">
        <f>COUNTA(C347:C374)</f>
        <v>0</v>
      </c>
      <c r="D375">
        <f t="shared" ref="D375:BO375" si="19">COUNTA(D347:D374)</f>
        <v>0</v>
      </c>
      <c r="E375">
        <f t="shared" si="19"/>
        <v>0</v>
      </c>
      <c r="F375">
        <f t="shared" si="19"/>
        <v>0</v>
      </c>
      <c r="G375">
        <f t="shared" si="19"/>
        <v>0</v>
      </c>
      <c r="H375">
        <f t="shared" si="19"/>
        <v>0</v>
      </c>
      <c r="I375">
        <f t="shared" si="19"/>
        <v>0</v>
      </c>
      <c r="J375">
        <f t="shared" si="19"/>
        <v>2</v>
      </c>
      <c r="K375">
        <f t="shared" si="19"/>
        <v>0</v>
      </c>
      <c r="L375">
        <f t="shared" si="19"/>
        <v>0</v>
      </c>
      <c r="M375">
        <f t="shared" si="19"/>
        <v>0</v>
      </c>
      <c r="N375">
        <f t="shared" si="19"/>
        <v>1</v>
      </c>
      <c r="O375">
        <f t="shared" si="19"/>
        <v>1</v>
      </c>
      <c r="P375">
        <f t="shared" si="19"/>
        <v>1</v>
      </c>
      <c r="Q375">
        <f t="shared" si="19"/>
        <v>0</v>
      </c>
      <c r="R375">
        <f t="shared" si="19"/>
        <v>0</v>
      </c>
      <c r="S375">
        <f t="shared" si="19"/>
        <v>1</v>
      </c>
      <c r="T375">
        <f t="shared" si="19"/>
        <v>0</v>
      </c>
      <c r="U375">
        <f t="shared" si="19"/>
        <v>0</v>
      </c>
      <c r="V375">
        <f t="shared" si="19"/>
        <v>0</v>
      </c>
      <c r="W375">
        <f t="shared" si="19"/>
        <v>1</v>
      </c>
      <c r="X375">
        <f t="shared" si="19"/>
        <v>0</v>
      </c>
      <c r="Y375">
        <f t="shared" si="19"/>
        <v>0</v>
      </c>
      <c r="Z375">
        <f t="shared" si="19"/>
        <v>3</v>
      </c>
      <c r="AA375">
        <f t="shared" si="19"/>
        <v>0</v>
      </c>
      <c r="AB375">
        <f t="shared" si="19"/>
        <v>1</v>
      </c>
      <c r="AC375">
        <f t="shared" si="19"/>
        <v>1</v>
      </c>
      <c r="AD375">
        <f t="shared" si="19"/>
        <v>0</v>
      </c>
      <c r="AE375">
        <f t="shared" si="19"/>
        <v>0</v>
      </c>
      <c r="AF375">
        <f t="shared" si="19"/>
        <v>0</v>
      </c>
      <c r="AG375">
        <f t="shared" si="19"/>
        <v>0</v>
      </c>
      <c r="AH375">
        <f t="shared" si="19"/>
        <v>0</v>
      </c>
      <c r="AI375">
        <f t="shared" si="19"/>
        <v>0</v>
      </c>
      <c r="AJ375">
        <f t="shared" si="19"/>
        <v>0</v>
      </c>
      <c r="AK375">
        <f t="shared" si="19"/>
        <v>0</v>
      </c>
      <c r="AL375">
        <f t="shared" si="19"/>
        <v>0</v>
      </c>
      <c r="AM375">
        <f t="shared" si="19"/>
        <v>0</v>
      </c>
      <c r="AN375">
        <f t="shared" si="19"/>
        <v>1</v>
      </c>
      <c r="AO375">
        <f t="shared" si="19"/>
        <v>1</v>
      </c>
      <c r="AP375">
        <f t="shared" si="19"/>
        <v>0</v>
      </c>
      <c r="AQ375">
        <f t="shared" si="19"/>
        <v>0</v>
      </c>
      <c r="AR375">
        <f t="shared" si="19"/>
        <v>1</v>
      </c>
      <c r="AS375">
        <f t="shared" si="19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19"/>
        <v>0</v>
      </c>
      <c r="AY375">
        <f t="shared" si="19"/>
        <v>0</v>
      </c>
      <c r="AZ375">
        <f t="shared" si="19"/>
        <v>0</v>
      </c>
      <c r="BA375">
        <f t="shared" si="19"/>
        <v>0</v>
      </c>
      <c r="BB375">
        <f t="shared" si="19"/>
        <v>0</v>
      </c>
      <c r="BC375">
        <f t="shared" si="19"/>
        <v>1</v>
      </c>
      <c r="BD375">
        <f t="shared" si="19"/>
        <v>0</v>
      </c>
      <c r="BE375">
        <f t="shared" si="19"/>
        <v>0</v>
      </c>
      <c r="BF375">
        <f t="shared" si="19"/>
        <v>0</v>
      </c>
      <c r="BG375">
        <f t="shared" si="19"/>
        <v>1</v>
      </c>
      <c r="BH375">
        <f t="shared" si="19"/>
        <v>0</v>
      </c>
      <c r="BI375">
        <f t="shared" si="19"/>
        <v>0</v>
      </c>
      <c r="BJ375">
        <f t="shared" si="19"/>
        <v>0</v>
      </c>
      <c r="BK375">
        <f t="shared" si="19"/>
        <v>1</v>
      </c>
      <c r="BL375">
        <f t="shared" si="19"/>
        <v>0</v>
      </c>
      <c r="BM375">
        <f t="shared" si="19"/>
        <v>0</v>
      </c>
      <c r="BN375">
        <f t="shared" si="19"/>
        <v>0</v>
      </c>
      <c r="BO375">
        <f t="shared" si="19"/>
        <v>1</v>
      </c>
      <c r="BP375">
        <f t="shared" ref="BP375:EA375" si="20">COUNTA(BP347:BP374)</f>
        <v>0</v>
      </c>
      <c r="BQ375">
        <f t="shared" si="20"/>
        <v>0</v>
      </c>
      <c r="BR375">
        <f t="shared" si="20"/>
        <v>0</v>
      </c>
      <c r="BS375">
        <f t="shared" si="20"/>
        <v>0</v>
      </c>
      <c r="BT375">
        <f t="shared" si="20"/>
        <v>0</v>
      </c>
      <c r="BU375">
        <f t="shared" si="20"/>
        <v>0</v>
      </c>
      <c r="BV375">
        <f t="shared" si="20"/>
        <v>0</v>
      </c>
      <c r="BW375">
        <f t="shared" si="20"/>
        <v>2</v>
      </c>
      <c r="BX375">
        <f t="shared" si="20"/>
        <v>0</v>
      </c>
      <c r="BY375">
        <f t="shared" si="20"/>
        <v>2</v>
      </c>
      <c r="BZ375">
        <f t="shared" si="20"/>
        <v>2</v>
      </c>
      <c r="CA375">
        <f t="shared" si="20"/>
        <v>0</v>
      </c>
      <c r="CB375">
        <f t="shared" si="20"/>
        <v>0</v>
      </c>
      <c r="CC375">
        <f t="shared" si="20"/>
        <v>0</v>
      </c>
      <c r="CD375">
        <f t="shared" si="20"/>
        <v>2</v>
      </c>
      <c r="CE375">
        <f t="shared" si="20"/>
        <v>2</v>
      </c>
      <c r="CF375">
        <f t="shared" si="20"/>
        <v>2</v>
      </c>
      <c r="CG375">
        <f t="shared" si="20"/>
        <v>1</v>
      </c>
      <c r="CH375">
        <f t="shared" si="20"/>
        <v>0</v>
      </c>
      <c r="CI375">
        <f t="shared" si="20"/>
        <v>0</v>
      </c>
      <c r="CJ375">
        <f t="shared" si="20"/>
        <v>0</v>
      </c>
      <c r="CK375">
        <f t="shared" si="20"/>
        <v>0</v>
      </c>
      <c r="CL375">
        <f t="shared" si="20"/>
        <v>0</v>
      </c>
      <c r="CM375">
        <f t="shared" si="20"/>
        <v>0</v>
      </c>
      <c r="CN375">
        <f t="shared" si="20"/>
        <v>4</v>
      </c>
      <c r="CO375">
        <f t="shared" si="20"/>
        <v>3</v>
      </c>
      <c r="CP375">
        <f t="shared" si="20"/>
        <v>4</v>
      </c>
      <c r="CQ375">
        <f t="shared" si="20"/>
        <v>0</v>
      </c>
      <c r="CR375">
        <f t="shared" si="20"/>
        <v>0</v>
      </c>
      <c r="CS375">
        <f t="shared" si="20"/>
        <v>0</v>
      </c>
      <c r="CT375">
        <f t="shared" si="20"/>
        <v>0</v>
      </c>
      <c r="CU375">
        <f t="shared" si="20"/>
        <v>1</v>
      </c>
      <c r="CV375">
        <f t="shared" si="20"/>
        <v>0</v>
      </c>
      <c r="CW375">
        <f t="shared" si="20"/>
        <v>0</v>
      </c>
      <c r="CX375">
        <f t="shared" si="20"/>
        <v>1</v>
      </c>
      <c r="CY375">
        <f t="shared" si="20"/>
        <v>1</v>
      </c>
      <c r="CZ375">
        <f t="shared" si="20"/>
        <v>0</v>
      </c>
      <c r="DA375">
        <f t="shared" si="20"/>
        <v>1</v>
      </c>
      <c r="DB375">
        <f t="shared" si="20"/>
        <v>1</v>
      </c>
      <c r="DC375">
        <f t="shared" si="20"/>
        <v>0</v>
      </c>
      <c r="DD375">
        <f t="shared" si="20"/>
        <v>0</v>
      </c>
      <c r="DE375">
        <f t="shared" si="20"/>
        <v>0</v>
      </c>
      <c r="DF375">
        <f t="shared" si="20"/>
        <v>0</v>
      </c>
      <c r="DG375">
        <f t="shared" si="20"/>
        <v>0</v>
      </c>
      <c r="DH375">
        <f t="shared" si="20"/>
        <v>0</v>
      </c>
      <c r="DI375">
        <f t="shared" si="20"/>
        <v>0</v>
      </c>
      <c r="DJ375">
        <f t="shared" si="20"/>
        <v>0</v>
      </c>
      <c r="DK375">
        <f t="shared" si="20"/>
        <v>0</v>
      </c>
      <c r="DL375">
        <f t="shared" si="20"/>
        <v>0</v>
      </c>
      <c r="DM375">
        <f t="shared" si="20"/>
        <v>0</v>
      </c>
      <c r="DN375">
        <f t="shared" si="20"/>
        <v>1</v>
      </c>
      <c r="DO375">
        <f t="shared" si="20"/>
        <v>0</v>
      </c>
      <c r="DP375">
        <f t="shared" si="20"/>
        <v>0</v>
      </c>
      <c r="DQ375">
        <f t="shared" si="20"/>
        <v>1</v>
      </c>
      <c r="DR375">
        <f t="shared" si="20"/>
        <v>1</v>
      </c>
      <c r="DS375">
        <f t="shared" si="20"/>
        <v>1</v>
      </c>
      <c r="DT375">
        <f t="shared" si="20"/>
        <v>1</v>
      </c>
      <c r="DU375">
        <f t="shared" si="20"/>
        <v>1</v>
      </c>
      <c r="DV375">
        <f t="shared" si="20"/>
        <v>1</v>
      </c>
      <c r="DW375">
        <f t="shared" si="20"/>
        <v>1</v>
      </c>
      <c r="DX375">
        <f t="shared" si="20"/>
        <v>1</v>
      </c>
      <c r="DY375">
        <f t="shared" si="20"/>
        <v>1</v>
      </c>
      <c r="DZ375">
        <f t="shared" si="20"/>
        <v>1</v>
      </c>
      <c r="EA375">
        <f t="shared" si="20"/>
        <v>1</v>
      </c>
    </row>
    <row r="376" spans="1:131" x14ac:dyDescent="0.25">
      <c r="A376">
        <v>5013714</v>
      </c>
      <c r="B376" t="s">
        <v>17</v>
      </c>
    </row>
    <row r="377" spans="1:131" x14ac:dyDescent="0.25">
      <c r="A377" s="18">
        <v>6062742</v>
      </c>
      <c r="B377" t="s">
        <v>17</v>
      </c>
      <c r="CN377">
        <v>0</v>
      </c>
      <c r="CO377">
        <v>0</v>
      </c>
      <c r="CP377">
        <v>0</v>
      </c>
    </row>
    <row r="378" spans="1:131" x14ac:dyDescent="0.25">
      <c r="A378">
        <v>6050794</v>
      </c>
      <c r="B378" t="s">
        <v>17</v>
      </c>
    </row>
    <row r="379" spans="1:131" x14ac:dyDescent="0.25">
      <c r="A379">
        <v>8051516</v>
      </c>
      <c r="B379" t="s">
        <v>17</v>
      </c>
    </row>
    <row r="380" spans="1:131" x14ac:dyDescent="0.25">
      <c r="A380">
        <v>8060785</v>
      </c>
      <c r="B380" t="s">
        <v>17</v>
      </c>
      <c r="N380">
        <v>0</v>
      </c>
      <c r="O380">
        <v>0</v>
      </c>
      <c r="S380">
        <v>0</v>
      </c>
      <c r="Z380">
        <v>1</v>
      </c>
      <c r="AB380">
        <v>0</v>
      </c>
      <c r="AC380">
        <v>0</v>
      </c>
      <c r="BG380">
        <v>0</v>
      </c>
      <c r="BK380">
        <v>0</v>
      </c>
      <c r="BW380">
        <v>0</v>
      </c>
      <c r="CN380">
        <v>0</v>
      </c>
      <c r="CO380">
        <v>0</v>
      </c>
      <c r="CP380">
        <v>0</v>
      </c>
    </row>
    <row r="381" spans="1:131" x14ac:dyDescent="0.25">
      <c r="A381">
        <v>8119197</v>
      </c>
      <c r="B381" t="s">
        <v>17</v>
      </c>
    </row>
    <row r="382" spans="1:131" x14ac:dyDescent="0.25">
      <c r="A382">
        <v>10137498</v>
      </c>
      <c r="B382" t="s">
        <v>17</v>
      </c>
    </row>
    <row r="383" spans="1:131" x14ac:dyDescent="0.25">
      <c r="A383" s="18">
        <v>11011791</v>
      </c>
      <c r="B383" t="s">
        <v>17</v>
      </c>
    </row>
    <row r="384" spans="1:131" x14ac:dyDescent="0.25">
      <c r="A384">
        <v>11242475</v>
      </c>
      <c r="B384" t="s">
        <v>17</v>
      </c>
    </row>
    <row r="385" spans="1:131" x14ac:dyDescent="0.25">
      <c r="A385" s="18">
        <v>12006392</v>
      </c>
      <c r="B385" t="s">
        <v>17</v>
      </c>
    </row>
    <row r="386" spans="1:131" x14ac:dyDescent="0.25">
      <c r="A386">
        <v>13006749</v>
      </c>
      <c r="B386" t="s">
        <v>17</v>
      </c>
      <c r="CN386">
        <v>0</v>
      </c>
      <c r="CP386">
        <v>0</v>
      </c>
      <c r="DA386">
        <v>0</v>
      </c>
    </row>
    <row r="387" spans="1:131" x14ac:dyDescent="0.25">
      <c r="C387">
        <f>COUNTA(C376:C386)</f>
        <v>0</v>
      </c>
      <c r="D387">
        <f t="shared" ref="D387:BO387" si="21">COUNTA(D376:D386)</f>
        <v>0</v>
      </c>
      <c r="E387">
        <f t="shared" si="21"/>
        <v>0</v>
      </c>
      <c r="F387">
        <f t="shared" si="21"/>
        <v>0</v>
      </c>
      <c r="G387">
        <f t="shared" si="21"/>
        <v>0</v>
      </c>
      <c r="H387">
        <f t="shared" si="21"/>
        <v>0</v>
      </c>
      <c r="I387">
        <f t="shared" si="21"/>
        <v>0</v>
      </c>
      <c r="J387">
        <f t="shared" si="21"/>
        <v>0</v>
      </c>
      <c r="K387">
        <f t="shared" si="21"/>
        <v>0</v>
      </c>
      <c r="L387">
        <f t="shared" si="21"/>
        <v>0</v>
      </c>
      <c r="M387">
        <f t="shared" si="21"/>
        <v>0</v>
      </c>
      <c r="N387">
        <f t="shared" si="21"/>
        <v>1</v>
      </c>
      <c r="O387">
        <f t="shared" si="21"/>
        <v>1</v>
      </c>
      <c r="P387">
        <f t="shared" si="21"/>
        <v>0</v>
      </c>
      <c r="Q387">
        <f t="shared" si="21"/>
        <v>0</v>
      </c>
      <c r="R387">
        <f t="shared" si="21"/>
        <v>0</v>
      </c>
      <c r="S387">
        <f t="shared" si="21"/>
        <v>1</v>
      </c>
      <c r="T387">
        <f t="shared" si="21"/>
        <v>0</v>
      </c>
      <c r="U387">
        <f t="shared" si="21"/>
        <v>0</v>
      </c>
      <c r="V387">
        <f t="shared" si="21"/>
        <v>0</v>
      </c>
      <c r="W387">
        <f t="shared" si="21"/>
        <v>0</v>
      </c>
      <c r="X387">
        <f t="shared" si="21"/>
        <v>0</v>
      </c>
      <c r="Y387">
        <f t="shared" si="21"/>
        <v>0</v>
      </c>
      <c r="Z387">
        <f t="shared" si="21"/>
        <v>1</v>
      </c>
      <c r="AA387">
        <f t="shared" si="21"/>
        <v>0</v>
      </c>
      <c r="AB387">
        <f t="shared" si="21"/>
        <v>1</v>
      </c>
      <c r="AC387">
        <f t="shared" si="21"/>
        <v>1</v>
      </c>
      <c r="AD387">
        <f t="shared" si="21"/>
        <v>0</v>
      </c>
      <c r="AE387">
        <f t="shared" si="21"/>
        <v>0</v>
      </c>
      <c r="AF387">
        <f t="shared" si="21"/>
        <v>0</v>
      </c>
      <c r="AG387">
        <f t="shared" si="21"/>
        <v>0</v>
      </c>
      <c r="AH387">
        <f t="shared" si="21"/>
        <v>0</v>
      </c>
      <c r="AI387">
        <f t="shared" si="21"/>
        <v>0</v>
      </c>
      <c r="AJ387">
        <f t="shared" si="21"/>
        <v>0</v>
      </c>
      <c r="AK387">
        <f t="shared" si="21"/>
        <v>0</v>
      </c>
      <c r="AL387">
        <f t="shared" si="21"/>
        <v>0</v>
      </c>
      <c r="AM387">
        <f t="shared" si="21"/>
        <v>0</v>
      </c>
      <c r="AN387">
        <f t="shared" si="21"/>
        <v>0</v>
      </c>
      <c r="AO387">
        <f t="shared" si="21"/>
        <v>0</v>
      </c>
      <c r="AP387">
        <f t="shared" si="21"/>
        <v>0</v>
      </c>
      <c r="AQ387">
        <f t="shared" si="21"/>
        <v>0</v>
      </c>
      <c r="AR387">
        <f t="shared" si="21"/>
        <v>0</v>
      </c>
      <c r="AS387">
        <f t="shared" si="21"/>
        <v>0</v>
      </c>
      <c r="AT387">
        <f t="shared" si="21"/>
        <v>0</v>
      </c>
      <c r="AU387">
        <f t="shared" si="21"/>
        <v>0</v>
      </c>
      <c r="AV387">
        <f t="shared" si="21"/>
        <v>0</v>
      </c>
      <c r="AW387">
        <f t="shared" si="21"/>
        <v>0</v>
      </c>
      <c r="AX387">
        <f t="shared" si="21"/>
        <v>0</v>
      </c>
      <c r="AY387">
        <f t="shared" si="21"/>
        <v>0</v>
      </c>
      <c r="AZ387">
        <f t="shared" si="21"/>
        <v>0</v>
      </c>
      <c r="BA387">
        <f t="shared" si="21"/>
        <v>0</v>
      </c>
      <c r="BB387">
        <f t="shared" si="21"/>
        <v>0</v>
      </c>
      <c r="BC387">
        <f t="shared" si="21"/>
        <v>0</v>
      </c>
      <c r="BD387">
        <f t="shared" si="21"/>
        <v>0</v>
      </c>
      <c r="BE387">
        <f t="shared" si="21"/>
        <v>0</v>
      </c>
      <c r="BF387">
        <f t="shared" si="21"/>
        <v>0</v>
      </c>
      <c r="BG387">
        <f t="shared" si="21"/>
        <v>1</v>
      </c>
      <c r="BH387">
        <f t="shared" si="21"/>
        <v>0</v>
      </c>
      <c r="BI387">
        <f t="shared" si="21"/>
        <v>0</v>
      </c>
      <c r="BJ387">
        <f t="shared" si="21"/>
        <v>0</v>
      </c>
      <c r="BK387">
        <f t="shared" si="21"/>
        <v>1</v>
      </c>
      <c r="BL387">
        <f t="shared" si="21"/>
        <v>0</v>
      </c>
      <c r="BM387">
        <f t="shared" si="21"/>
        <v>0</v>
      </c>
      <c r="BN387">
        <f t="shared" si="21"/>
        <v>0</v>
      </c>
      <c r="BO387">
        <f t="shared" si="21"/>
        <v>0</v>
      </c>
      <c r="BP387">
        <f t="shared" ref="BP387:EA387" si="22">COUNTA(BP376:BP386)</f>
        <v>0</v>
      </c>
      <c r="BQ387">
        <f t="shared" si="22"/>
        <v>0</v>
      </c>
      <c r="BR387">
        <f t="shared" si="22"/>
        <v>0</v>
      </c>
      <c r="BS387">
        <f t="shared" si="22"/>
        <v>0</v>
      </c>
      <c r="BT387">
        <f t="shared" si="22"/>
        <v>0</v>
      </c>
      <c r="BU387">
        <f t="shared" si="22"/>
        <v>0</v>
      </c>
      <c r="BV387">
        <f t="shared" si="22"/>
        <v>0</v>
      </c>
      <c r="BW387">
        <f t="shared" si="22"/>
        <v>1</v>
      </c>
      <c r="BX387">
        <f t="shared" si="22"/>
        <v>0</v>
      </c>
      <c r="BY387">
        <f t="shared" si="22"/>
        <v>0</v>
      </c>
      <c r="BZ387">
        <f t="shared" si="22"/>
        <v>0</v>
      </c>
      <c r="CA387">
        <f t="shared" si="22"/>
        <v>0</v>
      </c>
      <c r="CB387">
        <f t="shared" si="22"/>
        <v>0</v>
      </c>
      <c r="CC387">
        <f t="shared" si="22"/>
        <v>0</v>
      </c>
      <c r="CD387">
        <f t="shared" si="22"/>
        <v>0</v>
      </c>
      <c r="CE387">
        <f t="shared" si="22"/>
        <v>0</v>
      </c>
      <c r="CF387">
        <f t="shared" si="22"/>
        <v>0</v>
      </c>
      <c r="CG387">
        <f t="shared" si="22"/>
        <v>0</v>
      </c>
      <c r="CH387">
        <f t="shared" si="22"/>
        <v>0</v>
      </c>
      <c r="CI387">
        <f t="shared" si="22"/>
        <v>0</v>
      </c>
      <c r="CJ387">
        <f t="shared" si="22"/>
        <v>0</v>
      </c>
      <c r="CK387">
        <f t="shared" si="22"/>
        <v>0</v>
      </c>
      <c r="CL387">
        <f t="shared" si="22"/>
        <v>0</v>
      </c>
      <c r="CM387">
        <f t="shared" si="22"/>
        <v>0</v>
      </c>
      <c r="CN387">
        <f t="shared" si="22"/>
        <v>3</v>
      </c>
      <c r="CO387">
        <f t="shared" si="22"/>
        <v>2</v>
      </c>
      <c r="CP387">
        <f t="shared" si="22"/>
        <v>3</v>
      </c>
      <c r="CQ387">
        <f t="shared" si="22"/>
        <v>0</v>
      </c>
      <c r="CR387">
        <f t="shared" si="22"/>
        <v>0</v>
      </c>
      <c r="CS387">
        <f t="shared" si="22"/>
        <v>0</v>
      </c>
      <c r="CT387">
        <f t="shared" si="22"/>
        <v>0</v>
      </c>
      <c r="CU387">
        <f t="shared" si="22"/>
        <v>0</v>
      </c>
      <c r="CV387">
        <f t="shared" si="22"/>
        <v>0</v>
      </c>
      <c r="CW387">
        <f t="shared" si="22"/>
        <v>0</v>
      </c>
      <c r="CX387">
        <f t="shared" si="22"/>
        <v>0</v>
      </c>
      <c r="CY387">
        <f t="shared" si="22"/>
        <v>0</v>
      </c>
      <c r="CZ387">
        <f t="shared" si="22"/>
        <v>0</v>
      </c>
      <c r="DA387">
        <f t="shared" si="22"/>
        <v>1</v>
      </c>
      <c r="DB387">
        <f t="shared" si="22"/>
        <v>0</v>
      </c>
      <c r="DC387">
        <f t="shared" si="22"/>
        <v>0</v>
      </c>
      <c r="DD387">
        <f t="shared" si="22"/>
        <v>0</v>
      </c>
      <c r="DE387">
        <f t="shared" si="22"/>
        <v>0</v>
      </c>
      <c r="DF387">
        <f t="shared" si="22"/>
        <v>0</v>
      </c>
      <c r="DG387">
        <f t="shared" si="22"/>
        <v>0</v>
      </c>
      <c r="DH387">
        <f t="shared" si="22"/>
        <v>0</v>
      </c>
      <c r="DI387">
        <f t="shared" si="22"/>
        <v>0</v>
      </c>
      <c r="DJ387">
        <f t="shared" si="22"/>
        <v>0</v>
      </c>
      <c r="DK387">
        <f t="shared" si="22"/>
        <v>0</v>
      </c>
      <c r="DL387">
        <f t="shared" si="22"/>
        <v>0</v>
      </c>
      <c r="DM387">
        <f t="shared" si="22"/>
        <v>0</v>
      </c>
      <c r="DN387">
        <f t="shared" si="22"/>
        <v>0</v>
      </c>
      <c r="DO387">
        <f t="shared" si="22"/>
        <v>0</v>
      </c>
      <c r="DP387">
        <f t="shared" si="22"/>
        <v>0</v>
      </c>
      <c r="DQ387">
        <f t="shared" si="22"/>
        <v>0</v>
      </c>
      <c r="DR387">
        <f t="shared" si="22"/>
        <v>0</v>
      </c>
      <c r="DS387">
        <f t="shared" si="22"/>
        <v>0</v>
      </c>
      <c r="DT387">
        <f t="shared" si="22"/>
        <v>0</v>
      </c>
      <c r="DU387">
        <f t="shared" si="22"/>
        <v>0</v>
      </c>
      <c r="DV387">
        <f t="shared" si="22"/>
        <v>0</v>
      </c>
      <c r="DW387">
        <f t="shared" si="22"/>
        <v>0</v>
      </c>
      <c r="DX387">
        <f t="shared" si="22"/>
        <v>0</v>
      </c>
      <c r="DY387">
        <f t="shared" si="22"/>
        <v>0</v>
      </c>
      <c r="DZ387">
        <f t="shared" si="22"/>
        <v>0</v>
      </c>
      <c r="EA387">
        <f t="shared" si="22"/>
        <v>0</v>
      </c>
    </row>
    <row r="388" spans="1:131" x14ac:dyDescent="0.25">
      <c r="A388" s="18">
        <v>200149</v>
      </c>
      <c r="B388" t="s">
        <v>21</v>
      </c>
      <c r="N388">
        <v>0</v>
      </c>
      <c r="O388">
        <v>0</v>
      </c>
      <c r="CH388">
        <v>0</v>
      </c>
    </row>
    <row r="389" spans="1:131" x14ac:dyDescent="0.25">
      <c r="A389" s="18">
        <v>1006310</v>
      </c>
      <c r="B389" t="s">
        <v>21</v>
      </c>
    </row>
    <row r="390" spans="1:131" x14ac:dyDescent="0.25">
      <c r="A390" s="18">
        <v>1007842</v>
      </c>
      <c r="B390" t="s">
        <v>21</v>
      </c>
    </row>
    <row r="391" spans="1:131" x14ac:dyDescent="0.25">
      <c r="A391">
        <v>2008127</v>
      </c>
      <c r="B391" t="s">
        <v>21</v>
      </c>
    </row>
    <row r="392" spans="1:131" x14ac:dyDescent="0.25">
      <c r="A392" s="18">
        <v>3017084</v>
      </c>
      <c r="B392" t="s">
        <v>21</v>
      </c>
      <c r="N392">
        <v>1</v>
      </c>
      <c r="O392">
        <v>1</v>
      </c>
      <c r="Z392">
        <v>0</v>
      </c>
      <c r="AE392">
        <v>0</v>
      </c>
      <c r="BD392">
        <v>0</v>
      </c>
      <c r="BF392">
        <v>0</v>
      </c>
      <c r="BK392">
        <v>0</v>
      </c>
    </row>
    <row r="393" spans="1:131" x14ac:dyDescent="0.25">
      <c r="A393" s="18">
        <v>4009308</v>
      </c>
      <c r="B393" t="s">
        <v>21</v>
      </c>
      <c r="DA393">
        <v>0</v>
      </c>
    </row>
    <row r="394" spans="1:131" x14ac:dyDescent="0.25">
      <c r="A394" s="18">
        <v>8012361</v>
      </c>
      <c r="B394" t="s">
        <v>21</v>
      </c>
      <c r="CN394">
        <v>0</v>
      </c>
      <c r="CO394">
        <v>0</v>
      </c>
      <c r="CP394">
        <v>0</v>
      </c>
    </row>
    <row r="395" spans="1:131" x14ac:dyDescent="0.25">
      <c r="A395" s="19" t="s">
        <v>197</v>
      </c>
      <c r="B395" t="s">
        <v>21</v>
      </c>
    </row>
    <row r="396" spans="1:131" x14ac:dyDescent="0.25">
      <c r="A396">
        <v>7065854</v>
      </c>
      <c r="B396" t="s">
        <v>21</v>
      </c>
    </row>
    <row r="397" spans="1:131" x14ac:dyDescent="0.25">
      <c r="A397">
        <v>7066720</v>
      </c>
      <c r="B397" t="s">
        <v>21</v>
      </c>
    </row>
    <row r="398" spans="1:131" x14ac:dyDescent="0.25">
      <c r="A398" s="18">
        <v>8065877</v>
      </c>
      <c r="B398" t="s">
        <v>21</v>
      </c>
    </row>
    <row r="399" spans="1:131" x14ac:dyDescent="0.25">
      <c r="A399" s="20">
        <v>8064173</v>
      </c>
      <c r="B399" t="s">
        <v>21</v>
      </c>
    </row>
    <row r="400" spans="1:131" x14ac:dyDescent="0.25">
      <c r="A400">
        <v>9109244</v>
      </c>
      <c r="B400" t="s">
        <v>21</v>
      </c>
      <c r="P400">
        <v>0</v>
      </c>
      <c r="Z400">
        <v>1</v>
      </c>
      <c r="AF400">
        <v>1</v>
      </c>
      <c r="CH400">
        <v>0</v>
      </c>
      <c r="CI400">
        <v>0</v>
      </c>
      <c r="CJ400">
        <v>0</v>
      </c>
      <c r="CN400">
        <v>0</v>
      </c>
      <c r="CO400">
        <v>0</v>
      </c>
      <c r="CP400">
        <v>0</v>
      </c>
      <c r="CS400">
        <v>0</v>
      </c>
      <c r="DA400">
        <v>1</v>
      </c>
    </row>
    <row r="401" spans="1:131" x14ac:dyDescent="0.25">
      <c r="A401" s="18">
        <v>9130880</v>
      </c>
      <c r="B401" t="s">
        <v>21</v>
      </c>
    </row>
    <row r="402" spans="1:131" x14ac:dyDescent="0.25">
      <c r="A402" s="18" t="s">
        <v>198</v>
      </c>
      <c r="B402" t="s">
        <v>21</v>
      </c>
      <c r="N402">
        <v>0</v>
      </c>
      <c r="P402">
        <v>0</v>
      </c>
      <c r="Z402">
        <v>0</v>
      </c>
      <c r="BD402">
        <v>0</v>
      </c>
      <c r="BF402">
        <v>0</v>
      </c>
      <c r="BG402">
        <v>0</v>
      </c>
      <c r="BK402">
        <v>0</v>
      </c>
      <c r="BO402">
        <v>0</v>
      </c>
      <c r="CO402">
        <v>0</v>
      </c>
      <c r="CP402">
        <v>0</v>
      </c>
    </row>
    <row r="403" spans="1:131" x14ac:dyDescent="0.25">
      <c r="A403" s="18">
        <v>12188410</v>
      </c>
      <c r="B403" t="s">
        <v>21</v>
      </c>
      <c r="Z403">
        <v>1</v>
      </c>
      <c r="BJ403">
        <v>0</v>
      </c>
    </row>
    <row r="404" spans="1:131" x14ac:dyDescent="0.25">
      <c r="A404" s="6"/>
      <c r="C404">
        <f>COUNTA(C388:C403)</f>
        <v>0</v>
      </c>
      <c r="D404">
        <f t="shared" ref="D404:BO404" si="23">COUNTA(D388:D403)</f>
        <v>0</v>
      </c>
      <c r="E404">
        <f t="shared" si="23"/>
        <v>0</v>
      </c>
      <c r="F404">
        <f t="shared" si="23"/>
        <v>0</v>
      </c>
      <c r="G404">
        <f t="shared" si="23"/>
        <v>0</v>
      </c>
      <c r="H404">
        <f t="shared" si="23"/>
        <v>0</v>
      </c>
      <c r="I404">
        <f t="shared" si="23"/>
        <v>0</v>
      </c>
      <c r="J404">
        <f t="shared" si="23"/>
        <v>0</v>
      </c>
      <c r="K404">
        <f t="shared" si="23"/>
        <v>0</v>
      </c>
      <c r="L404">
        <f t="shared" si="23"/>
        <v>0</v>
      </c>
      <c r="M404">
        <f t="shared" si="23"/>
        <v>0</v>
      </c>
      <c r="N404">
        <f t="shared" si="23"/>
        <v>3</v>
      </c>
      <c r="O404">
        <f t="shared" si="23"/>
        <v>2</v>
      </c>
      <c r="P404">
        <f t="shared" si="23"/>
        <v>2</v>
      </c>
      <c r="Q404">
        <f t="shared" si="23"/>
        <v>0</v>
      </c>
      <c r="R404">
        <f t="shared" si="23"/>
        <v>0</v>
      </c>
      <c r="S404">
        <f t="shared" si="23"/>
        <v>0</v>
      </c>
      <c r="T404">
        <f t="shared" si="23"/>
        <v>0</v>
      </c>
      <c r="U404">
        <f t="shared" si="23"/>
        <v>0</v>
      </c>
      <c r="V404">
        <f t="shared" si="23"/>
        <v>0</v>
      </c>
      <c r="W404">
        <f t="shared" si="23"/>
        <v>0</v>
      </c>
      <c r="X404">
        <f t="shared" si="23"/>
        <v>0</v>
      </c>
      <c r="Y404">
        <f t="shared" si="23"/>
        <v>0</v>
      </c>
      <c r="Z404">
        <f t="shared" si="23"/>
        <v>4</v>
      </c>
      <c r="AA404">
        <f t="shared" si="23"/>
        <v>0</v>
      </c>
      <c r="AB404">
        <f t="shared" si="23"/>
        <v>0</v>
      </c>
      <c r="AC404">
        <f t="shared" si="23"/>
        <v>0</v>
      </c>
      <c r="AD404">
        <f t="shared" si="23"/>
        <v>0</v>
      </c>
      <c r="AE404">
        <f t="shared" si="23"/>
        <v>1</v>
      </c>
      <c r="AF404">
        <f t="shared" si="23"/>
        <v>1</v>
      </c>
      <c r="AG404">
        <f t="shared" si="23"/>
        <v>0</v>
      </c>
      <c r="AH404">
        <f t="shared" si="23"/>
        <v>0</v>
      </c>
      <c r="AI404">
        <f t="shared" si="23"/>
        <v>0</v>
      </c>
      <c r="AJ404">
        <f t="shared" si="23"/>
        <v>0</v>
      </c>
      <c r="AK404">
        <f t="shared" si="23"/>
        <v>0</v>
      </c>
      <c r="AL404">
        <f t="shared" si="23"/>
        <v>0</v>
      </c>
      <c r="AM404">
        <f t="shared" si="23"/>
        <v>0</v>
      </c>
      <c r="AN404">
        <f t="shared" si="23"/>
        <v>0</v>
      </c>
      <c r="AO404">
        <f t="shared" si="23"/>
        <v>0</v>
      </c>
      <c r="AP404">
        <f t="shared" si="23"/>
        <v>0</v>
      </c>
      <c r="AQ404">
        <f t="shared" si="23"/>
        <v>0</v>
      </c>
      <c r="AR404">
        <f t="shared" si="23"/>
        <v>0</v>
      </c>
      <c r="AS404">
        <f t="shared" si="23"/>
        <v>0</v>
      </c>
      <c r="AT404">
        <f t="shared" si="23"/>
        <v>0</v>
      </c>
      <c r="AU404">
        <f t="shared" si="23"/>
        <v>0</v>
      </c>
      <c r="AV404">
        <f t="shared" si="23"/>
        <v>0</v>
      </c>
      <c r="AW404">
        <f t="shared" si="23"/>
        <v>0</v>
      </c>
      <c r="AX404">
        <f t="shared" si="23"/>
        <v>0</v>
      </c>
      <c r="AY404">
        <f t="shared" si="23"/>
        <v>0</v>
      </c>
      <c r="AZ404">
        <f t="shared" si="23"/>
        <v>0</v>
      </c>
      <c r="BA404">
        <f t="shared" si="23"/>
        <v>0</v>
      </c>
      <c r="BB404">
        <f t="shared" si="23"/>
        <v>0</v>
      </c>
      <c r="BC404">
        <f t="shared" si="23"/>
        <v>0</v>
      </c>
      <c r="BD404">
        <f t="shared" si="23"/>
        <v>2</v>
      </c>
      <c r="BE404">
        <f t="shared" si="23"/>
        <v>0</v>
      </c>
      <c r="BF404">
        <f t="shared" si="23"/>
        <v>2</v>
      </c>
      <c r="BG404">
        <f t="shared" si="23"/>
        <v>1</v>
      </c>
      <c r="BH404">
        <f t="shared" si="23"/>
        <v>0</v>
      </c>
      <c r="BI404">
        <f t="shared" si="23"/>
        <v>0</v>
      </c>
      <c r="BJ404">
        <f t="shared" si="23"/>
        <v>1</v>
      </c>
      <c r="BK404">
        <f t="shared" si="23"/>
        <v>2</v>
      </c>
      <c r="BL404">
        <f t="shared" si="23"/>
        <v>0</v>
      </c>
      <c r="BM404">
        <f t="shared" si="23"/>
        <v>0</v>
      </c>
      <c r="BN404">
        <f t="shared" si="23"/>
        <v>0</v>
      </c>
      <c r="BO404">
        <f t="shared" si="23"/>
        <v>1</v>
      </c>
      <c r="BP404">
        <f t="shared" ref="BP404:EA404" si="24">COUNTA(BP388:BP403)</f>
        <v>0</v>
      </c>
      <c r="BQ404">
        <f t="shared" si="24"/>
        <v>0</v>
      </c>
      <c r="BR404">
        <f t="shared" si="24"/>
        <v>0</v>
      </c>
      <c r="BS404">
        <f t="shared" si="24"/>
        <v>0</v>
      </c>
      <c r="BT404">
        <f t="shared" si="24"/>
        <v>0</v>
      </c>
      <c r="BU404">
        <f t="shared" si="24"/>
        <v>0</v>
      </c>
      <c r="BV404">
        <f t="shared" si="24"/>
        <v>0</v>
      </c>
      <c r="BW404">
        <f t="shared" si="24"/>
        <v>0</v>
      </c>
      <c r="BX404">
        <f t="shared" si="24"/>
        <v>0</v>
      </c>
      <c r="BY404">
        <f t="shared" si="24"/>
        <v>0</v>
      </c>
      <c r="BZ404">
        <f t="shared" si="24"/>
        <v>0</v>
      </c>
      <c r="CA404">
        <f t="shared" si="24"/>
        <v>0</v>
      </c>
      <c r="CB404">
        <f t="shared" si="24"/>
        <v>0</v>
      </c>
      <c r="CC404">
        <f t="shared" si="24"/>
        <v>0</v>
      </c>
      <c r="CD404">
        <f t="shared" si="24"/>
        <v>0</v>
      </c>
      <c r="CE404">
        <f t="shared" si="24"/>
        <v>0</v>
      </c>
      <c r="CF404">
        <f t="shared" si="24"/>
        <v>0</v>
      </c>
      <c r="CG404">
        <f t="shared" si="24"/>
        <v>0</v>
      </c>
      <c r="CH404">
        <f t="shared" si="24"/>
        <v>2</v>
      </c>
      <c r="CI404">
        <f t="shared" si="24"/>
        <v>1</v>
      </c>
      <c r="CJ404">
        <f t="shared" si="24"/>
        <v>1</v>
      </c>
      <c r="CK404">
        <f t="shared" si="24"/>
        <v>0</v>
      </c>
      <c r="CL404">
        <f t="shared" si="24"/>
        <v>0</v>
      </c>
      <c r="CM404">
        <f t="shared" si="24"/>
        <v>0</v>
      </c>
      <c r="CN404">
        <f t="shared" si="24"/>
        <v>2</v>
      </c>
      <c r="CO404">
        <f t="shared" si="24"/>
        <v>3</v>
      </c>
      <c r="CP404">
        <f t="shared" si="24"/>
        <v>3</v>
      </c>
      <c r="CQ404">
        <f t="shared" si="24"/>
        <v>0</v>
      </c>
      <c r="CR404">
        <f t="shared" si="24"/>
        <v>0</v>
      </c>
      <c r="CS404">
        <f t="shared" si="24"/>
        <v>1</v>
      </c>
      <c r="CT404">
        <f t="shared" si="24"/>
        <v>0</v>
      </c>
      <c r="CU404">
        <f t="shared" si="24"/>
        <v>0</v>
      </c>
      <c r="CV404">
        <f t="shared" si="24"/>
        <v>0</v>
      </c>
      <c r="CW404">
        <f t="shared" si="24"/>
        <v>0</v>
      </c>
      <c r="CX404">
        <f t="shared" si="24"/>
        <v>0</v>
      </c>
      <c r="CY404">
        <f t="shared" si="24"/>
        <v>0</v>
      </c>
      <c r="CZ404">
        <f t="shared" si="24"/>
        <v>0</v>
      </c>
      <c r="DA404">
        <f t="shared" si="24"/>
        <v>2</v>
      </c>
      <c r="DB404">
        <f t="shared" si="24"/>
        <v>0</v>
      </c>
      <c r="DC404">
        <f t="shared" si="24"/>
        <v>0</v>
      </c>
      <c r="DD404">
        <f t="shared" si="24"/>
        <v>0</v>
      </c>
      <c r="DE404">
        <f t="shared" si="24"/>
        <v>0</v>
      </c>
      <c r="DF404">
        <f t="shared" si="24"/>
        <v>0</v>
      </c>
      <c r="DG404">
        <f t="shared" si="24"/>
        <v>0</v>
      </c>
      <c r="DH404">
        <f t="shared" si="24"/>
        <v>0</v>
      </c>
      <c r="DI404">
        <f t="shared" si="24"/>
        <v>0</v>
      </c>
      <c r="DJ404">
        <f t="shared" si="24"/>
        <v>0</v>
      </c>
      <c r="DK404">
        <f t="shared" si="24"/>
        <v>0</v>
      </c>
      <c r="DL404">
        <f t="shared" si="24"/>
        <v>0</v>
      </c>
      <c r="DM404">
        <f t="shared" si="24"/>
        <v>0</v>
      </c>
      <c r="DN404">
        <f t="shared" si="24"/>
        <v>0</v>
      </c>
      <c r="DO404">
        <f t="shared" si="24"/>
        <v>0</v>
      </c>
      <c r="DP404">
        <f t="shared" si="24"/>
        <v>0</v>
      </c>
      <c r="DQ404">
        <f t="shared" si="24"/>
        <v>0</v>
      </c>
      <c r="DR404">
        <f t="shared" si="24"/>
        <v>0</v>
      </c>
      <c r="DS404">
        <f t="shared" si="24"/>
        <v>0</v>
      </c>
      <c r="DT404">
        <f t="shared" si="24"/>
        <v>0</v>
      </c>
      <c r="DU404">
        <f t="shared" si="24"/>
        <v>0</v>
      </c>
      <c r="DV404">
        <f t="shared" si="24"/>
        <v>0</v>
      </c>
      <c r="DW404">
        <f t="shared" si="24"/>
        <v>0</v>
      </c>
      <c r="DX404">
        <f t="shared" si="24"/>
        <v>0</v>
      </c>
      <c r="DY404">
        <f t="shared" si="24"/>
        <v>0</v>
      </c>
      <c r="DZ404">
        <f t="shared" si="24"/>
        <v>0</v>
      </c>
      <c r="EA404">
        <f t="shared" si="24"/>
        <v>0</v>
      </c>
    </row>
    <row r="405" spans="1:131" x14ac:dyDescent="0.25">
      <c r="A405" s="6"/>
    </row>
    <row r="406" spans="1:131" x14ac:dyDescent="0.25">
      <c r="A406" s="6"/>
    </row>
    <row r="407" spans="1:131" x14ac:dyDescent="0.25">
      <c r="A407" s="18">
        <v>5014014</v>
      </c>
      <c r="B407" t="s">
        <v>7</v>
      </c>
    </row>
    <row r="408" spans="1:131" x14ac:dyDescent="0.25">
      <c r="A408" s="18">
        <v>6034449</v>
      </c>
      <c r="B408" t="s">
        <v>7</v>
      </c>
      <c r="Z408">
        <v>1</v>
      </c>
      <c r="AB408">
        <v>0</v>
      </c>
      <c r="AC408">
        <v>0</v>
      </c>
      <c r="CP408">
        <v>0</v>
      </c>
      <c r="DA408">
        <v>0</v>
      </c>
      <c r="DB408">
        <v>0</v>
      </c>
      <c r="DC408">
        <v>0</v>
      </c>
    </row>
    <row r="409" spans="1:131" x14ac:dyDescent="0.25">
      <c r="C409">
        <f>COUNTA(C407:C408)</f>
        <v>0</v>
      </c>
      <c r="D409">
        <f t="shared" ref="D409:BO409" si="25">COUNTA(D407:D408)</f>
        <v>0</v>
      </c>
      <c r="E409">
        <f t="shared" si="25"/>
        <v>0</v>
      </c>
      <c r="F409">
        <f t="shared" si="25"/>
        <v>0</v>
      </c>
      <c r="G409">
        <f t="shared" si="25"/>
        <v>0</v>
      </c>
      <c r="H409">
        <f t="shared" si="25"/>
        <v>0</v>
      </c>
      <c r="I409">
        <f t="shared" si="25"/>
        <v>0</v>
      </c>
      <c r="J409">
        <f t="shared" si="25"/>
        <v>0</v>
      </c>
      <c r="K409">
        <f t="shared" si="25"/>
        <v>0</v>
      </c>
      <c r="L409">
        <f t="shared" si="25"/>
        <v>0</v>
      </c>
      <c r="M409">
        <f t="shared" si="25"/>
        <v>0</v>
      </c>
      <c r="N409">
        <f t="shared" si="25"/>
        <v>0</v>
      </c>
      <c r="O409">
        <f t="shared" si="25"/>
        <v>0</v>
      </c>
      <c r="P409">
        <f t="shared" si="25"/>
        <v>0</v>
      </c>
      <c r="Q409">
        <f t="shared" si="25"/>
        <v>0</v>
      </c>
      <c r="R409">
        <f t="shared" si="25"/>
        <v>0</v>
      </c>
      <c r="S409">
        <f t="shared" si="25"/>
        <v>0</v>
      </c>
      <c r="T409">
        <f t="shared" si="25"/>
        <v>0</v>
      </c>
      <c r="U409">
        <f t="shared" si="25"/>
        <v>0</v>
      </c>
      <c r="V409">
        <f t="shared" si="25"/>
        <v>0</v>
      </c>
      <c r="W409">
        <f t="shared" si="25"/>
        <v>0</v>
      </c>
      <c r="X409">
        <f t="shared" si="25"/>
        <v>0</v>
      </c>
      <c r="Y409">
        <f t="shared" si="25"/>
        <v>0</v>
      </c>
      <c r="Z409">
        <f t="shared" si="25"/>
        <v>1</v>
      </c>
      <c r="AA409">
        <f t="shared" si="25"/>
        <v>0</v>
      </c>
      <c r="AB409">
        <f t="shared" si="25"/>
        <v>1</v>
      </c>
      <c r="AC409">
        <f t="shared" si="25"/>
        <v>1</v>
      </c>
      <c r="AD409">
        <f t="shared" si="25"/>
        <v>0</v>
      </c>
      <c r="AE409">
        <f t="shared" si="25"/>
        <v>0</v>
      </c>
      <c r="AF409">
        <f t="shared" si="25"/>
        <v>0</v>
      </c>
      <c r="AG409">
        <f t="shared" si="25"/>
        <v>0</v>
      </c>
      <c r="AH409">
        <f t="shared" si="25"/>
        <v>0</v>
      </c>
      <c r="AI409">
        <f t="shared" si="25"/>
        <v>0</v>
      </c>
      <c r="AJ409">
        <f t="shared" si="25"/>
        <v>0</v>
      </c>
      <c r="AK409">
        <f t="shared" si="25"/>
        <v>0</v>
      </c>
      <c r="AL409">
        <f t="shared" si="25"/>
        <v>0</v>
      </c>
      <c r="AM409">
        <f t="shared" si="25"/>
        <v>0</v>
      </c>
      <c r="AN409">
        <f t="shared" si="25"/>
        <v>0</v>
      </c>
      <c r="AO409">
        <f t="shared" si="25"/>
        <v>0</v>
      </c>
      <c r="AP409">
        <f t="shared" si="25"/>
        <v>0</v>
      </c>
      <c r="AQ409">
        <f t="shared" si="25"/>
        <v>0</v>
      </c>
      <c r="AR409">
        <f t="shared" si="25"/>
        <v>0</v>
      </c>
      <c r="AS409">
        <f t="shared" si="25"/>
        <v>0</v>
      </c>
      <c r="AT409">
        <f t="shared" si="25"/>
        <v>0</v>
      </c>
      <c r="AU409">
        <f t="shared" si="25"/>
        <v>0</v>
      </c>
      <c r="AV409">
        <f t="shared" si="25"/>
        <v>0</v>
      </c>
      <c r="AW409">
        <f t="shared" si="25"/>
        <v>0</v>
      </c>
      <c r="AX409">
        <f t="shared" si="25"/>
        <v>0</v>
      </c>
      <c r="AY409">
        <f t="shared" si="25"/>
        <v>0</v>
      </c>
      <c r="AZ409">
        <f t="shared" si="25"/>
        <v>0</v>
      </c>
      <c r="BA409">
        <f t="shared" si="25"/>
        <v>0</v>
      </c>
      <c r="BB409">
        <f t="shared" si="25"/>
        <v>0</v>
      </c>
      <c r="BC409">
        <f t="shared" si="25"/>
        <v>0</v>
      </c>
      <c r="BD409">
        <f t="shared" si="25"/>
        <v>0</v>
      </c>
      <c r="BE409">
        <f t="shared" si="25"/>
        <v>0</v>
      </c>
      <c r="BF409">
        <f t="shared" si="25"/>
        <v>0</v>
      </c>
      <c r="BG409">
        <f t="shared" si="25"/>
        <v>0</v>
      </c>
      <c r="BH409">
        <f t="shared" si="25"/>
        <v>0</v>
      </c>
      <c r="BI409">
        <f t="shared" si="25"/>
        <v>0</v>
      </c>
      <c r="BJ409">
        <f t="shared" si="25"/>
        <v>0</v>
      </c>
      <c r="BK409">
        <f t="shared" si="25"/>
        <v>0</v>
      </c>
      <c r="BL409">
        <f t="shared" si="25"/>
        <v>0</v>
      </c>
      <c r="BM409">
        <f t="shared" si="25"/>
        <v>0</v>
      </c>
      <c r="BN409">
        <f t="shared" si="25"/>
        <v>0</v>
      </c>
      <c r="BO409">
        <f t="shared" si="25"/>
        <v>0</v>
      </c>
      <c r="BP409">
        <f t="shared" ref="BP409:EA409" si="26">COUNTA(BP407:BP408)</f>
        <v>0</v>
      </c>
      <c r="BQ409">
        <f t="shared" si="26"/>
        <v>0</v>
      </c>
      <c r="BR409">
        <f t="shared" si="26"/>
        <v>0</v>
      </c>
      <c r="BS409">
        <f t="shared" si="26"/>
        <v>0</v>
      </c>
      <c r="BT409">
        <f t="shared" si="26"/>
        <v>0</v>
      </c>
      <c r="BU409">
        <f t="shared" si="26"/>
        <v>0</v>
      </c>
      <c r="BV409">
        <f t="shared" si="26"/>
        <v>0</v>
      </c>
      <c r="BW409">
        <f t="shared" si="26"/>
        <v>0</v>
      </c>
      <c r="BX409">
        <f t="shared" si="26"/>
        <v>0</v>
      </c>
      <c r="BY409">
        <f t="shared" si="26"/>
        <v>0</v>
      </c>
      <c r="BZ409">
        <f t="shared" si="26"/>
        <v>0</v>
      </c>
      <c r="CA409">
        <f t="shared" si="26"/>
        <v>0</v>
      </c>
      <c r="CB409">
        <f t="shared" si="26"/>
        <v>0</v>
      </c>
      <c r="CC409">
        <f t="shared" si="26"/>
        <v>0</v>
      </c>
      <c r="CD409">
        <f t="shared" si="26"/>
        <v>0</v>
      </c>
      <c r="CE409">
        <f t="shared" si="26"/>
        <v>0</v>
      </c>
      <c r="CF409">
        <f t="shared" si="26"/>
        <v>0</v>
      </c>
      <c r="CG409">
        <f t="shared" si="26"/>
        <v>0</v>
      </c>
      <c r="CH409">
        <f t="shared" si="26"/>
        <v>0</v>
      </c>
      <c r="CI409">
        <f t="shared" si="26"/>
        <v>0</v>
      </c>
      <c r="CJ409">
        <f t="shared" si="26"/>
        <v>0</v>
      </c>
      <c r="CK409">
        <f t="shared" si="26"/>
        <v>0</v>
      </c>
      <c r="CL409">
        <f t="shared" si="26"/>
        <v>0</v>
      </c>
      <c r="CM409">
        <f t="shared" si="26"/>
        <v>0</v>
      </c>
      <c r="CN409">
        <f t="shared" si="26"/>
        <v>0</v>
      </c>
      <c r="CO409">
        <f t="shared" si="26"/>
        <v>0</v>
      </c>
      <c r="CP409">
        <f t="shared" si="26"/>
        <v>1</v>
      </c>
      <c r="CQ409">
        <f t="shared" si="26"/>
        <v>0</v>
      </c>
      <c r="CR409">
        <f t="shared" si="26"/>
        <v>0</v>
      </c>
      <c r="CS409">
        <f t="shared" si="26"/>
        <v>0</v>
      </c>
      <c r="CT409">
        <f t="shared" si="26"/>
        <v>0</v>
      </c>
      <c r="CU409">
        <f t="shared" si="26"/>
        <v>0</v>
      </c>
      <c r="CV409">
        <f t="shared" si="26"/>
        <v>0</v>
      </c>
      <c r="CW409">
        <f t="shared" si="26"/>
        <v>0</v>
      </c>
      <c r="CX409">
        <f t="shared" si="26"/>
        <v>0</v>
      </c>
      <c r="CY409">
        <f t="shared" si="26"/>
        <v>0</v>
      </c>
      <c r="CZ409">
        <f t="shared" si="26"/>
        <v>0</v>
      </c>
      <c r="DA409">
        <f t="shared" si="26"/>
        <v>1</v>
      </c>
      <c r="DB409">
        <f t="shared" si="26"/>
        <v>1</v>
      </c>
      <c r="DC409">
        <f t="shared" si="26"/>
        <v>1</v>
      </c>
      <c r="DD409">
        <f t="shared" si="26"/>
        <v>0</v>
      </c>
      <c r="DE409">
        <f t="shared" si="26"/>
        <v>0</v>
      </c>
      <c r="DF409">
        <f t="shared" si="26"/>
        <v>0</v>
      </c>
      <c r="DG409">
        <f t="shared" si="26"/>
        <v>0</v>
      </c>
      <c r="DH409">
        <f t="shared" si="26"/>
        <v>0</v>
      </c>
      <c r="DI409">
        <f t="shared" si="26"/>
        <v>0</v>
      </c>
      <c r="DJ409">
        <f t="shared" si="26"/>
        <v>0</v>
      </c>
      <c r="DK409">
        <f t="shared" si="26"/>
        <v>0</v>
      </c>
      <c r="DL409">
        <f t="shared" si="26"/>
        <v>0</v>
      </c>
      <c r="DM409">
        <f t="shared" si="26"/>
        <v>0</v>
      </c>
      <c r="DN409">
        <f t="shared" si="26"/>
        <v>0</v>
      </c>
      <c r="DO409">
        <f t="shared" si="26"/>
        <v>0</v>
      </c>
      <c r="DP409">
        <f t="shared" si="26"/>
        <v>0</v>
      </c>
      <c r="DQ409">
        <f t="shared" si="26"/>
        <v>0</v>
      </c>
      <c r="DR409">
        <f t="shared" si="26"/>
        <v>0</v>
      </c>
      <c r="DS409">
        <f t="shared" si="26"/>
        <v>0</v>
      </c>
      <c r="DT409">
        <f t="shared" si="26"/>
        <v>0</v>
      </c>
      <c r="DU409">
        <f t="shared" si="26"/>
        <v>0</v>
      </c>
      <c r="DV409">
        <f t="shared" si="26"/>
        <v>0</v>
      </c>
      <c r="DW409">
        <f t="shared" si="26"/>
        <v>0</v>
      </c>
      <c r="DX409">
        <f t="shared" si="26"/>
        <v>0</v>
      </c>
      <c r="DY409">
        <f t="shared" si="26"/>
        <v>0</v>
      </c>
      <c r="DZ409">
        <f t="shared" si="26"/>
        <v>0</v>
      </c>
      <c r="EA409">
        <f t="shared" si="26"/>
        <v>0</v>
      </c>
    </row>
    <row r="410" spans="1:131" x14ac:dyDescent="0.25">
      <c r="A410" s="18">
        <v>3003602</v>
      </c>
      <c r="B410" t="s">
        <v>11</v>
      </c>
    </row>
    <row r="411" spans="1:131" x14ac:dyDescent="0.25">
      <c r="A411" s="18">
        <v>3018383</v>
      </c>
      <c r="B411" t="s">
        <v>11</v>
      </c>
    </row>
    <row r="412" spans="1:131" x14ac:dyDescent="0.25">
      <c r="A412" s="18">
        <v>3900721</v>
      </c>
      <c r="B412" t="s">
        <v>11</v>
      </c>
    </row>
    <row r="413" spans="1:131" x14ac:dyDescent="0.25">
      <c r="A413" s="18">
        <v>3900911</v>
      </c>
      <c r="B413" t="s">
        <v>11</v>
      </c>
    </row>
    <row r="414" spans="1:131" x14ac:dyDescent="0.25">
      <c r="A414" s="18">
        <v>4004302</v>
      </c>
      <c r="B414" t="s">
        <v>11</v>
      </c>
      <c r="J414">
        <v>0</v>
      </c>
      <c r="P414">
        <v>0</v>
      </c>
      <c r="BW414">
        <v>0</v>
      </c>
      <c r="CN414">
        <v>0</v>
      </c>
      <c r="CO414">
        <v>0</v>
      </c>
      <c r="DY414">
        <v>0</v>
      </c>
    </row>
    <row r="415" spans="1:131" x14ac:dyDescent="0.25">
      <c r="A415" s="18">
        <v>4004463</v>
      </c>
      <c r="B415" t="s">
        <v>11</v>
      </c>
    </row>
    <row r="416" spans="1:131" x14ac:dyDescent="0.25">
      <c r="A416" s="19">
        <v>4013287</v>
      </c>
      <c r="B416" t="s">
        <v>11</v>
      </c>
    </row>
    <row r="417" spans="1:131" x14ac:dyDescent="0.25">
      <c r="A417" s="18">
        <v>93016241</v>
      </c>
      <c r="B417" t="s">
        <v>11</v>
      </c>
    </row>
    <row r="418" spans="1:131" x14ac:dyDescent="0.25">
      <c r="A418" s="18">
        <v>95007023</v>
      </c>
      <c r="B418" t="s">
        <v>11</v>
      </c>
    </row>
    <row r="419" spans="1:131" x14ac:dyDescent="0.25">
      <c r="C419">
        <f>COUNTA(C410:C418)</f>
        <v>0</v>
      </c>
      <c r="D419">
        <f t="shared" ref="D419:BO419" si="27">COUNTA(D410:D418)</f>
        <v>0</v>
      </c>
      <c r="E419">
        <f t="shared" si="27"/>
        <v>0</v>
      </c>
      <c r="F419">
        <f t="shared" si="27"/>
        <v>0</v>
      </c>
      <c r="G419">
        <f t="shared" si="27"/>
        <v>0</v>
      </c>
      <c r="H419">
        <f t="shared" si="27"/>
        <v>0</v>
      </c>
      <c r="I419">
        <f t="shared" si="27"/>
        <v>0</v>
      </c>
      <c r="J419">
        <f t="shared" si="27"/>
        <v>1</v>
      </c>
      <c r="K419">
        <f t="shared" si="27"/>
        <v>0</v>
      </c>
      <c r="L419">
        <f t="shared" si="27"/>
        <v>0</v>
      </c>
      <c r="M419">
        <f t="shared" si="27"/>
        <v>0</v>
      </c>
      <c r="N419">
        <f t="shared" si="27"/>
        <v>0</v>
      </c>
      <c r="O419">
        <f t="shared" si="27"/>
        <v>0</v>
      </c>
      <c r="P419">
        <f t="shared" si="27"/>
        <v>1</v>
      </c>
      <c r="Q419">
        <f t="shared" si="27"/>
        <v>0</v>
      </c>
      <c r="R419">
        <f t="shared" si="27"/>
        <v>0</v>
      </c>
      <c r="S419">
        <f t="shared" si="27"/>
        <v>0</v>
      </c>
      <c r="T419">
        <f t="shared" si="27"/>
        <v>0</v>
      </c>
      <c r="U419">
        <f t="shared" si="27"/>
        <v>0</v>
      </c>
      <c r="V419">
        <f t="shared" si="27"/>
        <v>0</v>
      </c>
      <c r="W419">
        <f t="shared" si="27"/>
        <v>0</v>
      </c>
      <c r="X419">
        <f t="shared" si="27"/>
        <v>0</v>
      </c>
      <c r="Y419">
        <f t="shared" si="27"/>
        <v>0</v>
      </c>
      <c r="Z419">
        <f t="shared" si="27"/>
        <v>0</v>
      </c>
      <c r="AA419">
        <f t="shared" si="27"/>
        <v>0</v>
      </c>
      <c r="AB419">
        <f t="shared" si="27"/>
        <v>0</v>
      </c>
      <c r="AC419">
        <f t="shared" si="27"/>
        <v>0</v>
      </c>
      <c r="AD419">
        <f t="shared" si="27"/>
        <v>0</v>
      </c>
      <c r="AE419">
        <f t="shared" si="27"/>
        <v>0</v>
      </c>
      <c r="AF419">
        <f t="shared" si="27"/>
        <v>0</v>
      </c>
      <c r="AG419">
        <f t="shared" si="27"/>
        <v>0</v>
      </c>
      <c r="AH419">
        <f t="shared" si="27"/>
        <v>0</v>
      </c>
      <c r="AI419">
        <f t="shared" si="27"/>
        <v>0</v>
      </c>
      <c r="AJ419">
        <f t="shared" si="27"/>
        <v>0</v>
      </c>
      <c r="AK419">
        <f t="shared" si="27"/>
        <v>0</v>
      </c>
      <c r="AL419">
        <f t="shared" si="27"/>
        <v>0</v>
      </c>
      <c r="AM419">
        <f t="shared" si="27"/>
        <v>0</v>
      </c>
      <c r="AN419">
        <f t="shared" si="27"/>
        <v>0</v>
      </c>
      <c r="AO419">
        <f t="shared" si="27"/>
        <v>0</v>
      </c>
      <c r="AP419">
        <f t="shared" si="27"/>
        <v>0</v>
      </c>
      <c r="AQ419">
        <f t="shared" si="27"/>
        <v>0</v>
      </c>
      <c r="AR419">
        <f t="shared" si="27"/>
        <v>0</v>
      </c>
      <c r="AS419">
        <f t="shared" si="27"/>
        <v>0</v>
      </c>
      <c r="AT419">
        <f t="shared" si="27"/>
        <v>0</v>
      </c>
      <c r="AU419">
        <f t="shared" si="27"/>
        <v>0</v>
      </c>
      <c r="AV419">
        <f t="shared" si="27"/>
        <v>0</v>
      </c>
      <c r="AW419">
        <f t="shared" si="27"/>
        <v>0</v>
      </c>
      <c r="AX419">
        <f t="shared" si="27"/>
        <v>0</v>
      </c>
      <c r="AY419">
        <f t="shared" si="27"/>
        <v>0</v>
      </c>
      <c r="AZ419">
        <f t="shared" si="27"/>
        <v>0</v>
      </c>
      <c r="BA419">
        <f t="shared" si="27"/>
        <v>0</v>
      </c>
      <c r="BB419">
        <f t="shared" si="27"/>
        <v>0</v>
      </c>
      <c r="BC419">
        <f t="shared" si="27"/>
        <v>0</v>
      </c>
      <c r="BD419">
        <f t="shared" si="27"/>
        <v>0</v>
      </c>
      <c r="BE419">
        <f t="shared" si="27"/>
        <v>0</v>
      </c>
      <c r="BF419">
        <f t="shared" si="27"/>
        <v>0</v>
      </c>
      <c r="BG419">
        <f t="shared" si="27"/>
        <v>0</v>
      </c>
      <c r="BH419">
        <f t="shared" si="27"/>
        <v>0</v>
      </c>
      <c r="BI419">
        <f t="shared" si="27"/>
        <v>0</v>
      </c>
      <c r="BJ419">
        <f t="shared" si="27"/>
        <v>0</v>
      </c>
      <c r="BK419">
        <f t="shared" si="27"/>
        <v>0</v>
      </c>
      <c r="BL419">
        <f t="shared" si="27"/>
        <v>0</v>
      </c>
      <c r="BM419">
        <f t="shared" si="27"/>
        <v>0</v>
      </c>
      <c r="BN419">
        <f t="shared" si="27"/>
        <v>0</v>
      </c>
      <c r="BO419">
        <f t="shared" si="27"/>
        <v>0</v>
      </c>
      <c r="BP419">
        <f t="shared" ref="BP419:EA419" si="28">COUNTA(BP410:BP418)</f>
        <v>0</v>
      </c>
      <c r="BQ419">
        <f t="shared" si="28"/>
        <v>0</v>
      </c>
      <c r="BR419">
        <f t="shared" si="28"/>
        <v>0</v>
      </c>
      <c r="BS419">
        <f t="shared" si="28"/>
        <v>0</v>
      </c>
      <c r="BT419">
        <f t="shared" si="28"/>
        <v>0</v>
      </c>
      <c r="BU419">
        <f t="shared" si="28"/>
        <v>0</v>
      </c>
      <c r="BV419">
        <f t="shared" si="28"/>
        <v>0</v>
      </c>
      <c r="BW419">
        <f t="shared" si="28"/>
        <v>1</v>
      </c>
      <c r="BX419">
        <f t="shared" si="28"/>
        <v>0</v>
      </c>
      <c r="BY419">
        <f t="shared" si="28"/>
        <v>0</v>
      </c>
      <c r="BZ419">
        <f t="shared" si="28"/>
        <v>0</v>
      </c>
      <c r="CA419">
        <f t="shared" si="28"/>
        <v>0</v>
      </c>
      <c r="CB419">
        <f t="shared" si="28"/>
        <v>0</v>
      </c>
      <c r="CC419">
        <f t="shared" si="28"/>
        <v>0</v>
      </c>
      <c r="CD419">
        <f t="shared" si="28"/>
        <v>0</v>
      </c>
      <c r="CE419">
        <f t="shared" si="28"/>
        <v>0</v>
      </c>
      <c r="CF419">
        <f t="shared" si="28"/>
        <v>0</v>
      </c>
      <c r="CG419">
        <f t="shared" si="28"/>
        <v>0</v>
      </c>
      <c r="CH419">
        <f t="shared" si="28"/>
        <v>0</v>
      </c>
      <c r="CI419">
        <f t="shared" si="28"/>
        <v>0</v>
      </c>
      <c r="CJ419">
        <f t="shared" si="28"/>
        <v>0</v>
      </c>
      <c r="CK419">
        <f t="shared" si="28"/>
        <v>0</v>
      </c>
      <c r="CL419">
        <f t="shared" si="28"/>
        <v>0</v>
      </c>
      <c r="CM419">
        <f t="shared" si="28"/>
        <v>0</v>
      </c>
      <c r="CN419">
        <f t="shared" si="28"/>
        <v>1</v>
      </c>
      <c r="CO419">
        <f t="shared" si="28"/>
        <v>1</v>
      </c>
      <c r="CP419">
        <f t="shared" si="28"/>
        <v>0</v>
      </c>
      <c r="CQ419">
        <f t="shared" si="28"/>
        <v>0</v>
      </c>
      <c r="CR419">
        <f t="shared" si="28"/>
        <v>0</v>
      </c>
      <c r="CS419">
        <f t="shared" si="28"/>
        <v>0</v>
      </c>
      <c r="CT419">
        <f t="shared" si="28"/>
        <v>0</v>
      </c>
      <c r="CU419">
        <f t="shared" si="28"/>
        <v>0</v>
      </c>
      <c r="CV419">
        <f t="shared" si="28"/>
        <v>0</v>
      </c>
      <c r="CW419">
        <f t="shared" si="28"/>
        <v>0</v>
      </c>
      <c r="CX419">
        <f t="shared" si="28"/>
        <v>0</v>
      </c>
      <c r="CY419">
        <f t="shared" si="28"/>
        <v>0</v>
      </c>
      <c r="CZ419">
        <f t="shared" si="28"/>
        <v>0</v>
      </c>
      <c r="DA419">
        <f t="shared" si="28"/>
        <v>0</v>
      </c>
      <c r="DB419">
        <f t="shared" si="28"/>
        <v>0</v>
      </c>
      <c r="DC419">
        <f t="shared" si="28"/>
        <v>0</v>
      </c>
      <c r="DD419">
        <f t="shared" si="28"/>
        <v>0</v>
      </c>
      <c r="DE419">
        <f t="shared" si="28"/>
        <v>0</v>
      </c>
      <c r="DF419">
        <f t="shared" si="28"/>
        <v>0</v>
      </c>
      <c r="DG419">
        <f t="shared" si="28"/>
        <v>0</v>
      </c>
      <c r="DH419">
        <f t="shared" si="28"/>
        <v>0</v>
      </c>
      <c r="DI419">
        <f t="shared" si="28"/>
        <v>0</v>
      </c>
      <c r="DJ419">
        <f t="shared" si="28"/>
        <v>0</v>
      </c>
      <c r="DK419">
        <f t="shared" si="28"/>
        <v>0</v>
      </c>
      <c r="DL419">
        <f t="shared" si="28"/>
        <v>0</v>
      </c>
      <c r="DM419">
        <f t="shared" si="28"/>
        <v>0</v>
      </c>
      <c r="DN419">
        <f t="shared" si="28"/>
        <v>0</v>
      </c>
      <c r="DO419">
        <f t="shared" si="28"/>
        <v>0</v>
      </c>
      <c r="DP419">
        <f t="shared" si="28"/>
        <v>0</v>
      </c>
      <c r="DQ419">
        <f t="shared" si="28"/>
        <v>0</v>
      </c>
      <c r="DR419">
        <f t="shared" si="28"/>
        <v>0</v>
      </c>
      <c r="DS419">
        <f t="shared" si="28"/>
        <v>0</v>
      </c>
      <c r="DT419">
        <f t="shared" si="28"/>
        <v>0</v>
      </c>
      <c r="DU419">
        <f t="shared" si="28"/>
        <v>0</v>
      </c>
      <c r="DV419">
        <f t="shared" si="28"/>
        <v>0</v>
      </c>
      <c r="DW419">
        <f t="shared" si="28"/>
        <v>0</v>
      </c>
      <c r="DX419">
        <f t="shared" si="28"/>
        <v>0</v>
      </c>
      <c r="DY419">
        <f t="shared" si="28"/>
        <v>1</v>
      </c>
      <c r="DZ419">
        <f t="shared" si="28"/>
        <v>0</v>
      </c>
      <c r="EA419">
        <f t="shared" si="28"/>
        <v>0</v>
      </c>
    </row>
    <row r="420" spans="1:131" x14ac:dyDescent="0.25">
      <c r="A420" s="18">
        <v>3008204</v>
      </c>
      <c r="B420" t="s">
        <v>17</v>
      </c>
    </row>
    <row r="421" spans="1:131" x14ac:dyDescent="0.25">
      <c r="A421" s="18">
        <v>11186565</v>
      </c>
      <c r="B421" t="s">
        <v>17</v>
      </c>
    </row>
    <row r="422" spans="1:131" x14ac:dyDescent="0.25">
      <c r="C422">
        <f>COUNTA(C420:C421)</f>
        <v>0</v>
      </c>
      <c r="D422">
        <f t="shared" ref="D422" si="29">COUNTA(D420:D421)</f>
        <v>0</v>
      </c>
      <c r="E422">
        <f t="shared" ref="E422" si="30">COUNTA(E420:E421)</f>
        <v>0</v>
      </c>
      <c r="F422">
        <f t="shared" ref="F422" si="31">COUNTA(F420:F421)</f>
        <v>0</v>
      </c>
      <c r="G422">
        <f t="shared" ref="G422" si="32">COUNTA(G420:G421)</f>
        <v>0</v>
      </c>
      <c r="H422">
        <f t="shared" ref="H422" si="33">COUNTA(H420:H421)</f>
        <v>0</v>
      </c>
      <c r="I422">
        <f t="shared" ref="I422" si="34">COUNTA(I420:I421)</f>
        <v>0</v>
      </c>
      <c r="J422">
        <f t="shared" ref="J422" si="35">COUNTA(J420:J421)</f>
        <v>0</v>
      </c>
      <c r="K422">
        <f t="shared" ref="K422" si="36">COUNTA(K420:K421)</f>
        <v>0</v>
      </c>
      <c r="L422">
        <f t="shared" ref="L422" si="37">COUNTA(L420:L421)</f>
        <v>0</v>
      </c>
      <c r="M422">
        <f t="shared" ref="M422" si="38">COUNTA(M420:M421)</f>
        <v>0</v>
      </c>
      <c r="N422">
        <f t="shared" ref="N422" si="39">COUNTA(N420:N421)</f>
        <v>0</v>
      </c>
      <c r="O422">
        <f t="shared" ref="O422" si="40">COUNTA(O420:O421)</f>
        <v>0</v>
      </c>
      <c r="P422">
        <f t="shared" ref="P422" si="41">COUNTA(P420:P421)</f>
        <v>0</v>
      </c>
      <c r="Q422">
        <f t="shared" ref="Q422" si="42">COUNTA(Q420:Q421)</f>
        <v>0</v>
      </c>
      <c r="R422">
        <f t="shared" ref="R422" si="43">COUNTA(R420:R421)</f>
        <v>0</v>
      </c>
      <c r="S422">
        <f t="shared" ref="S422" si="44">COUNTA(S420:S421)</f>
        <v>0</v>
      </c>
      <c r="T422">
        <f t="shared" ref="T422" si="45">COUNTA(T420:T421)</f>
        <v>0</v>
      </c>
      <c r="U422">
        <f t="shared" ref="U422" si="46">COUNTA(U420:U421)</f>
        <v>0</v>
      </c>
      <c r="V422">
        <f t="shared" ref="V422" si="47">COUNTA(V420:V421)</f>
        <v>0</v>
      </c>
      <c r="W422">
        <f t="shared" ref="W422" si="48">COUNTA(W420:W421)</f>
        <v>0</v>
      </c>
      <c r="X422">
        <f t="shared" ref="X422" si="49">COUNTA(X420:X421)</f>
        <v>0</v>
      </c>
      <c r="Y422">
        <f t="shared" ref="Y422" si="50">COUNTA(Y420:Y421)</f>
        <v>0</v>
      </c>
      <c r="Z422">
        <f t="shared" ref="Z422" si="51">COUNTA(Z420:Z421)</f>
        <v>0</v>
      </c>
      <c r="AA422">
        <f t="shared" ref="AA422" si="52">COUNTA(AA420:AA421)</f>
        <v>0</v>
      </c>
      <c r="AB422">
        <f t="shared" ref="AB422" si="53">COUNTA(AB420:AB421)</f>
        <v>0</v>
      </c>
      <c r="AC422">
        <f t="shared" ref="AC422" si="54">COUNTA(AC420:AC421)</f>
        <v>0</v>
      </c>
      <c r="AD422">
        <f t="shared" ref="AD422" si="55">COUNTA(AD420:AD421)</f>
        <v>0</v>
      </c>
      <c r="AE422">
        <f t="shared" ref="AE422" si="56">COUNTA(AE420:AE421)</f>
        <v>0</v>
      </c>
      <c r="AF422">
        <f t="shared" ref="AF422" si="57">COUNTA(AF420:AF421)</f>
        <v>0</v>
      </c>
      <c r="AG422">
        <f t="shared" ref="AG422" si="58">COUNTA(AG420:AG421)</f>
        <v>0</v>
      </c>
      <c r="AH422">
        <f t="shared" ref="AH422" si="59">COUNTA(AH420:AH421)</f>
        <v>0</v>
      </c>
      <c r="AI422">
        <f t="shared" ref="AI422" si="60">COUNTA(AI420:AI421)</f>
        <v>0</v>
      </c>
      <c r="AJ422">
        <f t="shared" ref="AJ422" si="61">COUNTA(AJ420:AJ421)</f>
        <v>0</v>
      </c>
      <c r="AK422">
        <f t="shared" ref="AK422" si="62">COUNTA(AK420:AK421)</f>
        <v>0</v>
      </c>
      <c r="AL422">
        <f t="shared" ref="AL422" si="63">COUNTA(AL420:AL421)</f>
        <v>0</v>
      </c>
      <c r="AM422">
        <f t="shared" ref="AM422" si="64">COUNTA(AM420:AM421)</f>
        <v>0</v>
      </c>
      <c r="AN422">
        <f t="shared" ref="AN422" si="65">COUNTA(AN420:AN421)</f>
        <v>0</v>
      </c>
      <c r="AO422">
        <f t="shared" ref="AO422" si="66">COUNTA(AO420:AO421)</f>
        <v>0</v>
      </c>
      <c r="AP422">
        <f t="shared" ref="AP422" si="67">COUNTA(AP420:AP421)</f>
        <v>0</v>
      </c>
      <c r="AQ422">
        <f t="shared" ref="AQ422" si="68">COUNTA(AQ420:AQ421)</f>
        <v>0</v>
      </c>
      <c r="AR422">
        <f t="shared" ref="AR422" si="69">COUNTA(AR420:AR421)</f>
        <v>0</v>
      </c>
      <c r="AS422">
        <f t="shared" ref="AS422" si="70">COUNTA(AS420:AS421)</f>
        <v>0</v>
      </c>
      <c r="AT422">
        <f t="shared" ref="AT422" si="71">COUNTA(AT420:AT421)</f>
        <v>0</v>
      </c>
      <c r="AU422">
        <f t="shared" ref="AU422" si="72">COUNTA(AU420:AU421)</f>
        <v>0</v>
      </c>
      <c r="AV422">
        <f t="shared" ref="AV422" si="73">COUNTA(AV420:AV421)</f>
        <v>0</v>
      </c>
      <c r="AW422">
        <f t="shared" ref="AW422" si="74">COUNTA(AW420:AW421)</f>
        <v>0</v>
      </c>
      <c r="AX422">
        <f t="shared" ref="AX422" si="75">COUNTA(AX420:AX421)</f>
        <v>0</v>
      </c>
      <c r="AY422">
        <f t="shared" ref="AY422" si="76">COUNTA(AY420:AY421)</f>
        <v>0</v>
      </c>
      <c r="AZ422">
        <f t="shared" ref="AZ422" si="77">COUNTA(AZ420:AZ421)</f>
        <v>0</v>
      </c>
      <c r="BA422">
        <f t="shared" ref="BA422" si="78">COUNTA(BA420:BA421)</f>
        <v>0</v>
      </c>
      <c r="BB422">
        <f t="shared" ref="BB422" si="79">COUNTA(BB420:BB421)</f>
        <v>0</v>
      </c>
      <c r="BC422">
        <f t="shared" ref="BC422" si="80">COUNTA(BC420:BC421)</f>
        <v>0</v>
      </c>
      <c r="BD422">
        <f t="shared" ref="BD422" si="81">COUNTA(BD420:BD421)</f>
        <v>0</v>
      </c>
      <c r="BE422">
        <f t="shared" ref="BE422" si="82">COUNTA(BE420:BE421)</f>
        <v>0</v>
      </c>
      <c r="BF422">
        <f t="shared" ref="BF422" si="83">COUNTA(BF420:BF421)</f>
        <v>0</v>
      </c>
      <c r="BG422">
        <f t="shared" ref="BG422" si="84">COUNTA(BG420:BG421)</f>
        <v>0</v>
      </c>
      <c r="BH422">
        <f t="shared" ref="BH422" si="85">COUNTA(BH420:BH421)</f>
        <v>0</v>
      </c>
      <c r="BI422">
        <f t="shared" ref="BI422" si="86">COUNTA(BI420:BI421)</f>
        <v>0</v>
      </c>
      <c r="BJ422">
        <f t="shared" ref="BJ422" si="87">COUNTA(BJ420:BJ421)</f>
        <v>0</v>
      </c>
      <c r="BK422">
        <f t="shared" ref="BK422" si="88">COUNTA(BK420:BK421)</f>
        <v>0</v>
      </c>
      <c r="BL422">
        <f t="shared" ref="BL422" si="89">COUNTA(BL420:BL421)</f>
        <v>0</v>
      </c>
      <c r="BM422">
        <f t="shared" ref="BM422" si="90">COUNTA(BM420:BM421)</f>
        <v>0</v>
      </c>
      <c r="BN422">
        <f t="shared" ref="BN422" si="91">COUNTA(BN420:BN421)</f>
        <v>0</v>
      </c>
      <c r="BO422">
        <f t="shared" ref="BO422" si="92">COUNTA(BO420:BO421)</f>
        <v>0</v>
      </c>
      <c r="BP422">
        <f t="shared" ref="BP422" si="93">COUNTA(BP420:BP421)</f>
        <v>0</v>
      </c>
      <c r="BQ422">
        <f t="shared" ref="BQ422" si="94">COUNTA(BQ420:BQ421)</f>
        <v>0</v>
      </c>
      <c r="BR422">
        <f t="shared" ref="BR422" si="95">COUNTA(BR420:BR421)</f>
        <v>0</v>
      </c>
      <c r="BS422">
        <f t="shared" ref="BS422" si="96">COUNTA(BS420:BS421)</f>
        <v>0</v>
      </c>
      <c r="BT422">
        <f t="shared" ref="BT422" si="97">COUNTA(BT420:BT421)</f>
        <v>0</v>
      </c>
      <c r="BU422">
        <f t="shared" ref="BU422" si="98">COUNTA(BU420:BU421)</f>
        <v>0</v>
      </c>
      <c r="BV422">
        <f t="shared" ref="BV422" si="99">COUNTA(BV420:BV421)</f>
        <v>0</v>
      </c>
      <c r="BW422">
        <f t="shared" ref="BW422" si="100">COUNTA(BW420:BW421)</f>
        <v>0</v>
      </c>
      <c r="BX422">
        <f t="shared" ref="BX422" si="101">COUNTA(BX420:BX421)</f>
        <v>0</v>
      </c>
      <c r="BY422">
        <f t="shared" ref="BY422" si="102">COUNTA(BY420:BY421)</f>
        <v>0</v>
      </c>
      <c r="BZ422">
        <f t="shared" ref="BZ422" si="103">COUNTA(BZ420:BZ421)</f>
        <v>0</v>
      </c>
      <c r="CA422">
        <f t="shared" ref="CA422" si="104">COUNTA(CA420:CA421)</f>
        <v>0</v>
      </c>
      <c r="CB422">
        <f t="shared" ref="CB422" si="105">COUNTA(CB420:CB421)</f>
        <v>0</v>
      </c>
      <c r="CC422">
        <f t="shared" ref="CC422" si="106">COUNTA(CC420:CC421)</f>
        <v>0</v>
      </c>
      <c r="CD422">
        <f t="shared" ref="CD422" si="107">COUNTA(CD420:CD421)</f>
        <v>0</v>
      </c>
      <c r="CE422">
        <f t="shared" ref="CE422" si="108">COUNTA(CE420:CE421)</f>
        <v>0</v>
      </c>
      <c r="CF422">
        <f t="shared" ref="CF422" si="109">COUNTA(CF420:CF421)</f>
        <v>0</v>
      </c>
      <c r="CG422">
        <f t="shared" ref="CG422" si="110">COUNTA(CG420:CG421)</f>
        <v>0</v>
      </c>
      <c r="CH422">
        <f t="shared" ref="CH422" si="111">COUNTA(CH420:CH421)</f>
        <v>0</v>
      </c>
      <c r="CI422">
        <f t="shared" ref="CI422" si="112">COUNTA(CI420:CI421)</f>
        <v>0</v>
      </c>
      <c r="CJ422">
        <f t="shared" ref="CJ422" si="113">COUNTA(CJ420:CJ421)</f>
        <v>0</v>
      </c>
      <c r="CK422">
        <f t="shared" ref="CK422" si="114">COUNTA(CK420:CK421)</f>
        <v>0</v>
      </c>
      <c r="CL422">
        <f t="shared" ref="CL422" si="115">COUNTA(CL420:CL421)</f>
        <v>0</v>
      </c>
      <c r="CM422">
        <f t="shared" ref="CM422" si="116">COUNTA(CM420:CM421)</f>
        <v>0</v>
      </c>
      <c r="CN422">
        <f t="shared" ref="CN422" si="117">COUNTA(CN420:CN421)</f>
        <v>0</v>
      </c>
      <c r="CO422">
        <f t="shared" ref="CO422" si="118">COUNTA(CO420:CO421)</f>
        <v>0</v>
      </c>
      <c r="CP422">
        <f t="shared" ref="CP422" si="119">COUNTA(CP420:CP421)</f>
        <v>0</v>
      </c>
      <c r="CQ422">
        <f t="shared" ref="CQ422" si="120">COUNTA(CQ420:CQ421)</f>
        <v>0</v>
      </c>
      <c r="CR422">
        <f t="shared" ref="CR422" si="121">COUNTA(CR420:CR421)</f>
        <v>0</v>
      </c>
      <c r="CS422">
        <f t="shared" ref="CS422" si="122">COUNTA(CS420:CS421)</f>
        <v>0</v>
      </c>
      <c r="CT422">
        <f t="shared" ref="CT422" si="123">COUNTA(CT420:CT421)</f>
        <v>0</v>
      </c>
      <c r="CU422">
        <f t="shared" ref="CU422" si="124">COUNTA(CU420:CU421)</f>
        <v>0</v>
      </c>
      <c r="CV422">
        <f t="shared" ref="CV422" si="125">COUNTA(CV420:CV421)</f>
        <v>0</v>
      </c>
      <c r="CW422">
        <f t="shared" ref="CW422" si="126">COUNTA(CW420:CW421)</f>
        <v>0</v>
      </c>
      <c r="CX422">
        <f t="shared" ref="CX422" si="127">COUNTA(CX420:CX421)</f>
        <v>0</v>
      </c>
      <c r="CY422">
        <f t="shared" ref="CY422" si="128">COUNTA(CY420:CY421)</f>
        <v>0</v>
      </c>
      <c r="CZ422">
        <f t="shared" ref="CZ422" si="129">COUNTA(CZ420:CZ421)</f>
        <v>0</v>
      </c>
      <c r="DA422">
        <f t="shared" ref="DA422" si="130">COUNTA(DA420:DA421)</f>
        <v>0</v>
      </c>
      <c r="DB422">
        <f t="shared" ref="DB422" si="131">COUNTA(DB420:DB421)</f>
        <v>0</v>
      </c>
      <c r="DC422">
        <f t="shared" ref="DC422" si="132">COUNTA(DC420:DC421)</f>
        <v>0</v>
      </c>
      <c r="DD422">
        <f t="shared" ref="DD422" si="133">COUNTA(DD420:DD421)</f>
        <v>0</v>
      </c>
      <c r="DE422">
        <f t="shared" ref="DE422" si="134">COUNTA(DE420:DE421)</f>
        <v>0</v>
      </c>
      <c r="DF422">
        <f t="shared" ref="DF422" si="135">COUNTA(DF420:DF421)</f>
        <v>0</v>
      </c>
      <c r="DG422">
        <f t="shared" ref="DG422" si="136">COUNTA(DG420:DG421)</f>
        <v>0</v>
      </c>
      <c r="DH422">
        <f t="shared" ref="DH422" si="137">COUNTA(DH420:DH421)</f>
        <v>0</v>
      </c>
      <c r="DI422">
        <f t="shared" ref="DI422" si="138">COUNTA(DI420:DI421)</f>
        <v>0</v>
      </c>
      <c r="DJ422">
        <f t="shared" ref="DJ422" si="139">COUNTA(DJ420:DJ421)</f>
        <v>0</v>
      </c>
      <c r="DK422">
        <f t="shared" ref="DK422" si="140">COUNTA(DK420:DK421)</f>
        <v>0</v>
      </c>
      <c r="DL422">
        <f t="shared" ref="DL422" si="141">COUNTA(DL420:DL421)</f>
        <v>0</v>
      </c>
      <c r="DM422">
        <f t="shared" ref="DM422" si="142">COUNTA(DM420:DM421)</f>
        <v>0</v>
      </c>
      <c r="DN422">
        <f t="shared" ref="DN422" si="143">COUNTA(DN420:DN421)</f>
        <v>0</v>
      </c>
      <c r="DO422">
        <f t="shared" ref="DO422" si="144">COUNTA(DO420:DO421)</f>
        <v>0</v>
      </c>
      <c r="DP422">
        <f t="shared" ref="DP422" si="145">COUNTA(DP420:DP421)</f>
        <v>0</v>
      </c>
      <c r="DQ422">
        <f t="shared" ref="DQ422" si="146">COUNTA(DQ420:DQ421)</f>
        <v>0</v>
      </c>
      <c r="DR422">
        <f t="shared" ref="DR422" si="147">COUNTA(DR420:DR421)</f>
        <v>0</v>
      </c>
      <c r="DS422">
        <f t="shared" ref="DS422" si="148">COUNTA(DS420:DS421)</f>
        <v>0</v>
      </c>
      <c r="DT422">
        <f t="shared" ref="DT422" si="149">COUNTA(DT420:DT421)</f>
        <v>0</v>
      </c>
      <c r="DU422">
        <f t="shared" ref="DU422" si="150">COUNTA(DU420:DU421)</f>
        <v>0</v>
      </c>
      <c r="DV422">
        <f t="shared" ref="DV422" si="151">COUNTA(DV420:DV421)</f>
        <v>0</v>
      </c>
      <c r="DW422">
        <f t="shared" ref="DW422" si="152">COUNTA(DW420:DW421)</f>
        <v>0</v>
      </c>
      <c r="DX422">
        <f t="shared" ref="DX422" si="153">COUNTA(DX420:DX421)</f>
        <v>0</v>
      </c>
      <c r="DY422">
        <f t="shared" ref="DY422" si="154">COUNTA(DY420:DY421)</f>
        <v>0</v>
      </c>
      <c r="DZ422">
        <f t="shared" ref="DZ422" si="155">COUNTA(DZ420:DZ421)</f>
        <v>0</v>
      </c>
      <c r="EA422">
        <f t="shared" ref="EA422" si="156">COUNTA(EA420:EA421)</f>
        <v>0</v>
      </c>
    </row>
    <row r="423" spans="1:131" x14ac:dyDescent="0.25">
      <c r="A423" s="18" t="s">
        <v>199</v>
      </c>
      <c r="B423" t="s">
        <v>21</v>
      </c>
      <c r="CN423">
        <v>1</v>
      </c>
    </row>
    <row r="424" spans="1:131" x14ac:dyDescent="0.25">
      <c r="A424" s="18">
        <v>3019249</v>
      </c>
      <c r="B424" t="s">
        <v>21</v>
      </c>
      <c r="N424">
        <v>0</v>
      </c>
      <c r="O424">
        <v>0</v>
      </c>
      <c r="BM424">
        <v>0</v>
      </c>
      <c r="CN424">
        <v>0</v>
      </c>
      <c r="CP424">
        <v>0</v>
      </c>
      <c r="DA424">
        <v>0</v>
      </c>
      <c r="DC424">
        <v>0</v>
      </c>
    </row>
    <row r="425" spans="1:131" x14ac:dyDescent="0.25">
      <c r="A425" s="18">
        <v>6064311</v>
      </c>
      <c r="B425" t="s">
        <v>21</v>
      </c>
      <c r="J425">
        <v>0</v>
      </c>
      <c r="P425">
        <v>1</v>
      </c>
      <c r="Y425">
        <v>0</v>
      </c>
      <c r="Z425">
        <v>0</v>
      </c>
      <c r="BK425">
        <v>0</v>
      </c>
      <c r="CN425">
        <v>0</v>
      </c>
      <c r="CP425">
        <v>0</v>
      </c>
      <c r="DA425">
        <v>0</v>
      </c>
      <c r="DC425">
        <v>0</v>
      </c>
      <c r="DQ425">
        <v>0</v>
      </c>
    </row>
    <row r="426" spans="1:131" x14ac:dyDescent="0.25">
      <c r="A426" s="18">
        <v>8019333</v>
      </c>
      <c r="B426" t="s">
        <v>21</v>
      </c>
    </row>
    <row r="427" spans="1:131" x14ac:dyDescent="0.25">
      <c r="A427" s="18">
        <v>11034329</v>
      </c>
      <c r="B427" t="s">
        <v>21</v>
      </c>
    </row>
    <row r="428" spans="1:131" x14ac:dyDescent="0.25">
      <c r="A428" s="6"/>
      <c r="C428">
        <f>COUNTA(C423:C427)</f>
        <v>0</v>
      </c>
      <c r="D428">
        <f t="shared" ref="D428:BO428" si="157">COUNTA(D423:D427)</f>
        <v>0</v>
      </c>
      <c r="E428">
        <f t="shared" si="157"/>
        <v>0</v>
      </c>
      <c r="F428">
        <f t="shared" si="157"/>
        <v>0</v>
      </c>
      <c r="G428">
        <f t="shared" si="157"/>
        <v>0</v>
      </c>
      <c r="H428">
        <f t="shared" si="157"/>
        <v>0</v>
      </c>
      <c r="I428">
        <f t="shared" si="157"/>
        <v>0</v>
      </c>
      <c r="J428">
        <f t="shared" si="157"/>
        <v>1</v>
      </c>
      <c r="K428">
        <f t="shared" si="157"/>
        <v>0</v>
      </c>
      <c r="L428">
        <f t="shared" si="157"/>
        <v>0</v>
      </c>
      <c r="M428">
        <f t="shared" si="157"/>
        <v>0</v>
      </c>
      <c r="N428">
        <f t="shared" si="157"/>
        <v>1</v>
      </c>
      <c r="O428">
        <f t="shared" si="157"/>
        <v>1</v>
      </c>
      <c r="P428">
        <f t="shared" si="157"/>
        <v>1</v>
      </c>
      <c r="Q428">
        <f t="shared" si="157"/>
        <v>0</v>
      </c>
      <c r="R428">
        <f t="shared" si="157"/>
        <v>0</v>
      </c>
      <c r="S428">
        <f t="shared" si="157"/>
        <v>0</v>
      </c>
      <c r="T428">
        <f t="shared" si="157"/>
        <v>0</v>
      </c>
      <c r="U428">
        <f t="shared" si="157"/>
        <v>0</v>
      </c>
      <c r="V428">
        <f t="shared" si="157"/>
        <v>0</v>
      </c>
      <c r="W428">
        <f t="shared" si="157"/>
        <v>0</v>
      </c>
      <c r="X428">
        <f t="shared" si="157"/>
        <v>0</v>
      </c>
      <c r="Y428">
        <f t="shared" si="157"/>
        <v>1</v>
      </c>
      <c r="Z428">
        <f t="shared" si="157"/>
        <v>1</v>
      </c>
      <c r="AA428">
        <f t="shared" si="157"/>
        <v>0</v>
      </c>
      <c r="AB428">
        <f t="shared" si="157"/>
        <v>0</v>
      </c>
      <c r="AC428">
        <f t="shared" si="157"/>
        <v>0</v>
      </c>
      <c r="AD428">
        <f t="shared" si="157"/>
        <v>0</v>
      </c>
      <c r="AE428">
        <f t="shared" si="157"/>
        <v>0</v>
      </c>
      <c r="AF428">
        <f t="shared" si="157"/>
        <v>0</v>
      </c>
      <c r="AG428">
        <f t="shared" si="157"/>
        <v>0</v>
      </c>
      <c r="AH428">
        <f t="shared" si="157"/>
        <v>0</v>
      </c>
      <c r="AI428">
        <f t="shared" si="157"/>
        <v>0</v>
      </c>
      <c r="AJ428">
        <f t="shared" si="157"/>
        <v>0</v>
      </c>
      <c r="AK428">
        <f t="shared" si="157"/>
        <v>0</v>
      </c>
      <c r="AL428">
        <f t="shared" si="157"/>
        <v>0</v>
      </c>
      <c r="AM428">
        <f t="shared" si="157"/>
        <v>0</v>
      </c>
      <c r="AN428">
        <f t="shared" si="157"/>
        <v>0</v>
      </c>
      <c r="AO428">
        <f t="shared" si="157"/>
        <v>0</v>
      </c>
      <c r="AP428">
        <f t="shared" si="157"/>
        <v>0</v>
      </c>
      <c r="AQ428">
        <f t="shared" si="157"/>
        <v>0</v>
      </c>
      <c r="AR428">
        <f t="shared" si="157"/>
        <v>0</v>
      </c>
      <c r="AS428">
        <f t="shared" si="157"/>
        <v>0</v>
      </c>
      <c r="AT428">
        <f t="shared" si="157"/>
        <v>0</v>
      </c>
      <c r="AU428">
        <f t="shared" si="157"/>
        <v>0</v>
      </c>
      <c r="AV428">
        <f t="shared" si="157"/>
        <v>0</v>
      </c>
      <c r="AW428">
        <f t="shared" si="157"/>
        <v>0</v>
      </c>
      <c r="AX428">
        <f t="shared" si="157"/>
        <v>0</v>
      </c>
      <c r="AY428">
        <f t="shared" si="157"/>
        <v>0</v>
      </c>
      <c r="AZ428">
        <f t="shared" si="157"/>
        <v>0</v>
      </c>
      <c r="BA428">
        <f t="shared" si="157"/>
        <v>0</v>
      </c>
      <c r="BB428">
        <f t="shared" si="157"/>
        <v>0</v>
      </c>
      <c r="BC428">
        <f t="shared" si="157"/>
        <v>0</v>
      </c>
      <c r="BD428">
        <f t="shared" si="157"/>
        <v>0</v>
      </c>
      <c r="BE428">
        <f t="shared" si="157"/>
        <v>0</v>
      </c>
      <c r="BF428">
        <f t="shared" si="157"/>
        <v>0</v>
      </c>
      <c r="BG428">
        <f t="shared" si="157"/>
        <v>0</v>
      </c>
      <c r="BH428">
        <f t="shared" si="157"/>
        <v>0</v>
      </c>
      <c r="BI428">
        <f t="shared" si="157"/>
        <v>0</v>
      </c>
      <c r="BJ428">
        <f t="shared" si="157"/>
        <v>0</v>
      </c>
      <c r="BK428">
        <f t="shared" si="157"/>
        <v>1</v>
      </c>
      <c r="BL428">
        <f t="shared" si="157"/>
        <v>0</v>
      </c>
      <c r="BM428">
        <f t="shared" si="157"/>
        <v>1</v>
      </c>
      <c r="BN428">
        <f t="shared" si="157"/>
        <v>0</v>
      </c>
      <c r="BO428">
        <f t="shared" si="157"/>
        <v>0</v>
      </c>
      <c r="BP428">
        <f t="shared" ref="BP428:EA428" si="158">COUNTA(BP423:BP427)</f>
        <v>0</v>
      </c>
      <c r="BQ428">
        <f t="shared" si="158"/>
        <v>0</v>
      </c>
      <c r="BR428">
        <f t="shared" si="158"/>
        <v>0</v>
      </c>
      <c r="BS428">
        <f t="shared" si="158"/>
        <v>0</v>
      </c>
      <c r="BT428">
        <f t="shared" si="158"/>
        <v>0</v>
      </c>
      <c r="BU428">
        <f t="shared" si="158"/>
        <v>0</v>
      </c>
      <c r="BV428">
        <f t="shared" si="158"/>
        <v>0</v>
      </c>
      <c r="BW428">
        <f t="shared" si="158"/>
        <v>0</v>
      </c>
      <c r="BX428">
        <f t="shared" si="158"/>
        <v>0</v>
      </c>
      <c r="BY428">
        <f t="shared" si="158"/>
        <v>0</v>
      </c>
      <c r="BZ428">
        <f t="shared" si="158"/>
        <v>0</v>
      </c>
      <c r="CA428">
        <f t="shared" si="158"/>
        <v>0</v>
      </c>
      <c r="CB428">
        <f t="shared" si="158"/>
        <v>0</v>
      </c>
      <c r="CC428">
        <f t="shared" si="158"/>
        <v>0</v>
      </c>
      <c r="CD428">
        <f t="shared" si="158"/>
        <v>0</v>
      </c>
      <c r="CE428">
        <f t="shared" si="158"/>
        <v>0</v>
      </c>
      <c r="CF428">
        <f t="shared" si="158"/>
        <v>0</v>
      </c>
      <c r="CG428">
        <f t="shared" si="158"/>
        <v>0</v>
      </c>
      <c r="CH428">
        <f t="shared" si="158"/>
        <v>0</v>
      </c>
      <c r="CI428">
        <f t="shared" si="158"/>
        <v>0</v>
      </c>
      <c r="CJ428">
        <f t="shared" si="158"/>
        <v>0</v>
      </c>
      <c r="CK428">
        <f t="shared" si="158"/>
        <v>0</v>
      </c>
      <c r="CL428">
        <f t="shared" si="158"/>
        <v>0</v>
      </c>
      <c r="CM428">
        <f t="shared" si="158"/>
        <v>0</v>
      </c>
      <c r="CN428">
        <f t="shared" si="158"/>
        <v>3</v>
      </c>
      <c r="CO428">
        <f t="shared" si="158"/>
        <v>0</v>
      </c>
      <c r="CP428">
        <f t="shared" si="158"/>
        <v>2</v>
      </c>
      <c r="CQ428">
        <f t="shared" si="158"/>
        <v>0</v>
      </c>
      <c r="CR428">
        <f t="shared" si="158"/>
        <v>0</v>
      </c>
      <c r="CS428">
        <f t="shared" si="158"/>
        <v>0</v>
      </c>
      <c r="CT428">
        <f t="shared" si="158"/>
        <v>0</v>
      </c>
      <c r="CU428">
        <f t="shared" si="158"/>
        <v>0</v>
      </c>
      <c r="CV428">
        <f t="shared" si="158"/>
        <v>0</v>
      </c>
      <c r="CW428">
        <f t="shared" si="158"/>
        <v>0</v>
      </c>
      <c r="CX428">
        <f t="shared" si="158"/>
        <v>0</v>
      </c>
      <c r="CY428">
        <f t="shared" si="158"/>
        <v>0</v>
      </c>
      <c r="CZ428">
        <f t="shared" si="158"/>
        <v>0</v>
      </c>
      <c r="DA428">
        <f t="shared" si="158"/>
        <v>2</v>
      </c>
      <c r="DB428">
        <f t="shared" si="158"/>
        <v>0</v>
      </c>
      <c r="DC428">
        <f t="shared" si="158"/>
        <v>2</v>
      </c>
      <c r="DD428">
        <f t="shared" si="158"/>
        <v>0</v>
      </c>
      <c r="DE428">
        <f t="shared" si="158"/>
        <v>0</v>
      </c>
      <c r="DF428">
        <f t="shared" si="158"/>
        <v>0</v>
      </c>
      <c r="DG428">
        <f t="shared" si="158"/>
        <v>0</v>
      </c>
      <c r="DH428">
        <f t="shared" si="158"/>
        <v>0</v>
      </c>
      <c r="DI428">
        <f t="shared" si="158"/>
        <v>0</v>
      </c>
      <c r="DJ428">
        <f t="shared" si="158"/>
        <v>0</v>
      </c>
      <c r="DK428">
        <f t="shared" si="158"/>
        <v>0</v>
      </c>
      <c r="DL428">
        <f t="shared" si="158"/>
        <v>0</v>
      </c>
      <c r="DM428">
        <f t="shared" si="158"/>
        <v>0</v>
      </c>
      <c r="DN428">
        <f t="shared" si="158"/>
        <v>0</v>
      </c>
      <c r="DO428">
        <f t="shared" si="158"/>
        <v>0</v>
      </c>
      <c r="DP428">
        <f t="shared" si="158"/>
        <v>0</v>
      </c>
      <c r="DQ428">
        <f t="shared" si="158"/>
        <v>1</v>
      </c>
      <c r="DR428">
        <f t="shared" si="158"/>
        <v>0</v>
      </c>
      <c r="DS428">
        <f t="shared" si="158"/>
        <v>0</v>
      </c>
      <c r="DT428">
        <f t="shared" si="158"/>
        <v>0</v>
      </c>
      <c r="DU428">
        <f t="shared" si="158"/>
        <v>0</v>
      </c>
      <c r="DV428">
        <f t="shared" si="158"/>
        <v>0</v>
      </c>
      <c r="DW428">
        <f t="shared" si="158"/>
        <v>0</v>
      </c>
      <c r="DX428">
        <f t="shared" si="158"/>
        <v>0</v>
      </c>
      <c r="DY428">
        <f t="shared" si="158"/>
        <v>0</v>
      </c>
      <c r="DZ428">
        <f t="shared" si="158"/>
        <v>0</v>
      </c>
      <c r="EA428">
        <f t="shared" si="158"/>
        <v>0</v>
      </c>
    </row>
    <row r="429" spans="1:131" x14ac:dyDescent="0.25">
      <c r="A429" s="6"/>
    </row>
    <row r="430" spans="1:131" x14ac:dyDescent="0.25">
      <c r="A430" s="6"/>
    </row>
    <row r="431" spans="1:131" x14ac:dyDescent="0.25">
      <c r="A431" s="6"/>
    </row>
    <row r="432" spans="1:131" x14ac:dyDescent="0.25">
      <c r="A432" s="6"/>
    </row>
    <row r="433" spans="1:1" x14ac:dyDescent="0.25">
      <c r="A433" s="6"/>
    </row>
  </sheetData>
  <conditionalFormatting sqref="A17">
    <cfRule type="duplicateValues" dxfId="10" priority="1"/>
  </conditionalFormatting>
  <conditionalFormatting sqref="A2:B2">
    <cfRule type="duplicateValues" dxfId="9" priority="3"/>
  </conditionalFormatting>
  <conditionalFormatting sqref="B351:B354">
    <cfRule type="duplicateValues" dxfId="8" priority="2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7A9-9A6B-4D67-B2A4-3C12BE573FC4}">
  <dimension ref="A1:DC437"/>
  <sheetViews>
    <sheetView zoomScale="85" zoomScaleNormal="85" workbookViewId="0">
      <pane xSplit="2" ySplit="2" topLeftCell="C333" activePane="bottomRight" state="frozen"/>
      <selection pane="topRight" activeCell="C1" sqref="C1"/>
      <selection pane="bottomLeft" activeCell="A3" sqref="A3"/>
      <selection pane="bottomRight" activeCell="A353" sqref="A353:XFD353"/>
    </sheetView>
  </sheetViews>
  <sheetFormatPr baseColWidth="10" defaultRowHeight="15" x14ac:dyDescent="0.25"/>
  <cols>
    <col min="2" max="2" width="11.85546875" customWidth="1"/>
    <col min="22" max="22" width="11.42578125" style="12"/>
  </cols>
  <sheetData>
    <row r="1" spans="1:107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21" t="s">
        <v>200</v>
      </c>
      <c r="W1" s="8" t="s">
        <v>44</v>
      </c>
      <c r="X1" s="8" t="s">
        <v>45</v>
      </c>
      <c r="Y1" s="7" t="s">
        <v>46</v>
      </c>
      <c r="Z1" s="7" t="s">
        <v>47</v>
      </c>
      <c r="AA1" s="7" t="s">
        <v>48</v>
      </c>
      <c r="AB1" s="7" t="s">
        <v>49</v>
      </c>
      <c r="AC1" s="7" t="s">
        <v>50</v>
      </c>
      <c r="AD1" s="7" t="s">
        <v>51</v>
      </c>
      <c r="AE1" s="7" t="s">
        <v>52</v>
      </c>
      <c r="AF1" s="7" t="s">
        <v>53</v>
      </c>
      <c r="AG1" s="7" t="s">
        <v>54</v>
      </c>
      <c r="AH1" s="7" t="s">
        <v>55</v>
      </c>
      <c r="AI1" s="7" t="s">
        <v>56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  <c r="AS1" s="7" t="s">
        <v>66</v>
      </c>
      <c r="AT1" s="7" t="s">
        <v>67</v>
      </c>
      <c r="AU1" s="7" t="s">
        <v>68</v>
      </c>
      <c r="AV1" s="7" t="s">
        <v>69</v>
      </c>
      <c r="AW1" s="7" t="s">
        <v>70</v>
      </c>
      <c r="AX1" s="7" t="s">
        <v>71</v>
      </c>
      <c r="AY1" s="7" t="s">
        <v>72</v>
      </c>
      <c r="AZ1" s="7" t="s">
        <v>73</v>
      </c>
      <c r="BA1" s="7" t="s">
        <v>74</v>
      </c>
      <c r="BB1" s="7" t="s">
        <v>75</v>
      </c>
      <c r="BC1" s="7" t="s">
        <v>76</v>
      </c>
      <c r="BD1" s="7" t="s">
        <v>77</v>
      </c>
      <c r="BE1" s="7" t="s">
        <v>78</v>
      </c>
      <c r="BF1" s="7" t="s">
        <v>79</v>
      </c>
      <c r="BG1" s="7" t="s">
        <v>80</v>
      </c>
      <c r="BH1" s="7" t="s">
        <v>81</v>
      </c>
      <c r="BI1" s="7" t="s">
        <v>82</v>
      </c>
      <c r="BJ1" s="7" t="s">
        <v>83</v>
      </c>
      <c r="BK1" s="7" t="s">
        <v>84</v>
      </c>
      <c r="BL1" s="7" t="s">
        <v>85</v>
      </c>
      <c r="BM1" s="7" t="s">
        <v>86</v>
      </c>
      <c r="BN1" s="7" t="s">
        <v>87</v>
      </c>
      <c r="BO1" s="7" t="s">
        <v>88</v>
      </c>
      <c r="BP1" s="7" t="s">
        <v>89</v>
      </c>
      <c r="BQ1" s="7" t="s">
        <v>90</v>
      </c>
      <c r="BR1" s="7" t="s">
        <v>91</v>
      </c>
      <c r="BS1" s="7" t="s">
        <v>92</v>
      </c>
      <c r="BT1" s="7" t="s">
        <v>93</v>
      </c>
      <c r="BU1" s="7" t="s">
        <v>94</v>
      </c>
      <c r="BV1" s="7" t="s">
        <v>95</v>
      </c>
      <c r="BW1" s="7" t="s">
        <v>96</v>
      </c>
      <c r="BX1" s="7" t="s">
        <v>97</v>
      </c>
      <c r="BY1" s="7" t="s">
        <v>98</v>
      </c>
      <c r="BZ1" s="7" t="s">
        <v>99</v>
      </c>
      <c r="CA1" s="7" t="s">
        <v>100</v>
      </c>
      <c r="CB1" s="13" t="s">
        <v>101</v>
      </c>
      <c r="CC1" s="7" t="s">
        <v>102</v>
      </c>
      <c r="CD1" s="7" t="s">
        <v>103</v>
      </c>
      <c r="CE1" s="7" t="s">
        <v>104</v>
      </c>
      <c r="CF1" s="7" t="s">
        <v>105</v>
      </c>
      <c r="CG1" s="7" t="s">
        <v>106</v>
      </c>
      <c r="CH1" s="7" t="s">
        <v>107</v>
      </c>
      <c r="CI1" s="7" t="s">
        <v>108</v>
      </c>
      <c r="CJ1" s="7" t="s">
        <v>109</v>
      </c>
      <c r="CK1" s="7" t="s">
        <v>110</v>
      </c>
      <c r="CL1" s="7" t="s">
        <v>111</v>
      </c>
      <c r="CM1" s="7" t="s">
        <v>112</v>
      </c>
      <c r="CN1" s="7" t="s">
        <v>113</v>
      </c>
      <c r="CO1" s="7" t="s">
        <v>114</v>
      </c>
      <c r="CP1" s="7" t="s">
        <v>115</v>
      </c>
      <c r="CQ1" s="7" t="s">
        <v>116</v>
      </c>
      <c r="CR1" s="7" t="s">
        <v>117</v>
      </c>
      <c r="CS1" s="7" t="s">
        <v>118</v>
      </c>
      <c r="CT1" s="7" t="s">
        <v>119</v>
      </c>
      <c r="CU1" s="7" t="s">
        <v>120</v>
      </c>
      <c r="CV1" s="7" t="s">
        <v>121</v>
      </c>
      <c r="CW1" s="7" t="s">
        <v>122</v>
      </c>
      <c r="CX1" s="7" t="s">
        <v>123</v>
      </c>
      <c r="CY1" s="7" t="s">
        <v>124</v>
      </c>
      <c r="CZ1" s="7" t="s">
        <v>125</v>
      </c>
      <c r="DA1" s="7" t="s">
        <v>126</v>
      </c>
      <c r="DB1" s="7" t="s">
        <v>127</v>
      </c>
      <c r="DC1" s="7" t="s">
        <v>128</v>
      </c>
    </row>
    <row r="2" spans="1:107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Y2" t="s">
        <v>131</v>
      </c>
      <c r="Z2" t="s">
        <v>132</v>
      </c>
      <c r="AA2" t="s">
        <v>133</v>
      </c>
      <c r="AB2" t="s">
        <v>133</v>
      </c>
      <c r="AC2" t="s">
        <v>134</v>
      </c>
      <c r="CJ2" t="s">
        <v>135</v>
      </c>
      <c r="CK2" t="s">
        <v>136</v>
      </c>
      <c r="CL2" t="s">
        <v>137</v>
      </c>
      <c r="CM2" t="s">
        <v>138</v>
      </c>
    </row>
    <row r="3" spans="1:107" x14ac:dyDescent="0.25">
      <c r="A3">
        <v>7072184</v>
      </c>
      <c r="B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CH3" s="4"/>
      <c r="CI3" s="4"/>
      <c r="CJ3" s="4"/>
      <c r="CK3" s="4"/>
      <c r="CL3" s="4"/>
      <c r="CM3" s="4"/>
    </row>
    <row r="4" spans="1:107" x14ac:dyDescent="0.25">
      <c r="A4">
        <v>9108231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CH4" s="4"/>
      <c r="CI4" s="4"/>
      <c r="CJ4" s="4"/>
      <c r="CK4" s="4"/>
      <c r="CL4" s="4"/>
      <c r="CM4" s="4"/>
    </row>
    <row r="5" spans="1:107" x14ac:dyDescent="0.25">
      <c r="A5">
        <v>12061933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Y5" s="12" t="s">
        <v>139</v>
      </c>
      <c r="AG5" s="12" t="s">
        <v>140</v>
      </c>
      <c r="AH5" s="12"/>
      <c r="AM5" s="12" t="s">
        <v>141</v>
      </c>
      <c r="CH5" s="4"/>
      <c r="CI5" s="4"/>
      <c r="CJ5" s="4"/>
      <c r="CK5" s="4"/>
      <c r="CL5" s="4"/>
      <c r="CM5" s="4"/>
    </row>
    <row r="6" spans="1:107" x14ac:dyDescent="0.25">
      <c r="A6">
        <v>95005911</v>
      </c>
      <c r="B6" t="s">
        <v>4</v>
      </c>
    </row>
    <row r="7" spans="1:107" x14ac:dyDescent="0.25">
      <c r="A7">
        <v>99001908</v>
      </c>
      <c r="B7" t="s">
        <v>4</v>
      </c>
    </row>
    <row r="8" spans="1:107" x14ac:dyDescent="0.25">
      <c r="A8">
        <v>99004067</v>
      </c>
      <c r="B8" t="s">
        <v>4</v>
      </c>
    </row>
    <row r="9" spans="1:107" x14ac:dyDescent="0.25">
      <c r="A9">
        <v>97002136</v>
      </c>
      <c r="B9" t="s">
        <v>4</v>
      </c>
    </row>
    <row r="10" spans="1:107" x14ac:dyDescent="0.25">
      <c r="A10">
        <v>1502</v>
      </c>
      <c r="B10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CH10" s="4"/>
      <c r="CI10" s="4"/>
      <c r="CJ10" s="4"/>
      <c r="CK10" s="4"/>
      <c r="CL10" s="4"/>
      <c r="CM10" s="4"/>
    </row>
    <row r="11" spans="1:107" x14ac:dyDescent="0.25">
      <c r="A11">
        <v>4003543</v>
      </c>
      <c r="B11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CH11" s="4"/>
      <c r="CI11" s="4"/>
      <c r="CJ11" s="4"/>
      <c r="CK11" s="4"/>
      <c r="CL11" s="4"/>
      <c r="CM11" s="4"/>
    </row>
    <row r="12" spans="1:107" x14ac:dyDescent="0.25">
      <c r="A12">
        <v>4900261</v>
      </c>
      <c r="B12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CH12" s="4"/>
      <c r="CI12" s="4"/>
      <c r="CJ12" s="4"/>
      <c r="CK12" s="4"/>
      <c r="CL12" s="4"/>
      <c r="CM12" s="4"/>
    </row>
    <row r="13" spans="1:107" x14ac:dyDescent="0.25">
      <c r="C13" s="4">
        <f>COUNTA(C3:C12)</f>
        <v>0</v>
      </c>
      <c r="D13" s="4">
        <f t="shared" ref="D13:BO13" si="0">COUNTA(D3:D12)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4">
        <f t="shared" si="0"/>
        <v>0</v>
      </c>
      <c r="W13" s="4">
        <f t="shared" si="0"/>
        <v>0</v>
      </c>
      <c r="X13" s="4">
        <f t="shared" si="0"/>
        <v>0</v>
      </c>
      <c r="Y13" s="4">
        <f t="shared" si="0"/>
        <v>1</v>
      </c>
      <c r="Z13" s="4">
        <f t="shared" si="0"/>
        <v>0</v>
      </c>
      <c r="AA13" s="4">
        <f t="shared" si="0"/>
        <v>0</v>
      </c>
      <c r="AB13" s="4">
        <f t="shared" si="0"/>
        <v>0</v>
      </c>
      <c r="AC13" s="4">
        <f t="shared" si="0"/>
        <v>0</v>
      </c>
      <c r="AD13" s="4">
        <f t="shared" si="0"/>
        <v>0</v>
      </c>
      <c r="AE13" s="4">
        <f t="shared" si="0"/>
        <v>0</v>
      </c>
      <c r="AF13" s="4">
        <f t="shared" si="0"/>
        <v>0</v>
      </c>
      <c r="AG13" s="4">
        <f t="shared" si="0"/>
        <v>1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1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  <c r="AU13" s="4">
        <f t="shared" si="0"/>
        <v>0</v>
      </c>
      <c r="AV13" s="4">
        <f t="shared" si="0"/>
        <v>0</v>
      </c>
      <c r="AW13" s="4">
        <f t="shared" si="0"/>
        <v>0</v>
      </c>
      <c r="AX13" s="4">
        <f t="shared" si="0"/>
        <v>0</v>
      </c>
      <c r="AY13" s="4">
        <f t="shared" si="0"/>
        <v>0</v>
      </c>
      <c r="AZ13" s="4">
        <f t="shared" si="0"/>
        <v>0</v>
      </c>
      <c r="BA13" s="4">
        <f t="shared" si="0"/>
        <v>0</v>
      </c>
      <c r="BB13" s="4">
        <f t="shared" si="0"/>
        <v>0</v>
      </c>
      <c r="BC13" s="4">
        <f t="shared" si="0"/>
        <v>0</v>
      </c>
      <c r="BD13" s="4">
        <f t="shared" si="0"/>
        <v>0</v>
      </c>
      <c r="BE13" s="4">
        <f t="shared" si="0"/>
        <v>0</v>
      </c>
      <c r="BF13" s="4">
        <f t="shared" si="0"/>
        <v>0</v>
      </c>
      <c r="BG13" s="4">
        <f t="shared" si="0"/>
        <v>0</v>
      </c>
      <c r="BH13" s="4">
        <f t="shared" si="0"/>
        <v>0</v>
      </c>
      <c r="BI13" s="4">
        <f t="shared" si="0"/>
        <v>0</v>
      </c>
      <c r="BJ13" s="4">
        <f t="shared" si="0"/>
        <v>0</v>
      </c>
      <c r="BK13" s="4">
        <f t="shared" si="0"/>
        <v>0</v>
      </c>
      <c r="BL13" s="4">
        <f t="shared" si="0"/>
        <v>0</v>
      </c>
      <c r="BM13" s="4">
        <f t="shared" si="0"/>
        <v>0</v>
      </c>
      <c r="BN13" s="4">
        <f t="shared" si="0"/>
        <v>0</v>
      </c>
      <c r="BO13" s="4">
        <f t="shared" si="0"/>
        <v>0</v>
      </c>
      <c r="BP13" s="4">
        <f t="shared" ref="BP13:DC13" si="1">COUNTA(BP3:BP12)</f>
        <v>0</v>
      </c>
      <c r="BQ13" s="4">
        <f t="shared" si="1"/>
        <v>0</v>
      </c>
      <c r="BR13" s="4">
        <f t="shared" si="1"/>
        <v>0</v>
      </c>
      <c r="BS13" s="4">
        <f t="shared" si="1"/>
        <v>0</v>
      </c>
      <c r="BT13" s="4">
        <f t="shared" si="1"/>
        <v>0</v>
      </c>
      <c r="BU13" s="4">
        <f t="shared" si="1"/>
        <v>0</v>
      </c>
      <c r="BV13" s="4">
        <f t="shared" si="1"/>
        <v>0</v>
      </c>
      <c r="BW13" s="4">
        <f t="shared" si="1"/>
        <v>0</v>
      </c>
      <c r="BX13" s="4">
        <f t="shared" si="1"/>
        <v>0</v>
      </c>
      <c r="BY13" s="4">
        <f t="shared" si="1"/>
        <v>0</v>
      </c>
      <c r="BZ13" s="4">
        <f t="shared" si="1"/>
        <v>0</v>
      </c>
      <c r="CA13" s="4">
        <f t="shared" si="1"/>
        <v>0</v>
      </c>
      <c r="CB13" s="4">
        <f t="shared" si="1"/>
        <v>0</v>
      </c>
      <c r="CC13" s="4">
        <f t="shared" si="1"/>
        <v>0</v>
      </c>
      <c r="CD13" s="4">
        <f t="shared" si="1"/>
        <v>0</v>
      </c>
      <c r="CE13" s="4">
        <f t="shared" si="1"/>
        <v>0</v>
      </c>
      <c r="CF13" s="4">
        <f t="shared" si="1"/>
        <v>0</v>
      </c>
      <c r="CG13" s="4">
        <f t="shared" si="1"/>
        <v>0</v>
      </c>
      <c r="CH13" s="4">
        <f t="shared" si="1"/>
        <v>0</v>
      </c>
      <c r="CI13" s="4">
        <f t="shared" si="1"/>
        <v>0</v>
      </c>
      <c r="CJ13" s="4">
        <f t="shared" si="1"/>
        <v>0</v>
      </c>
      <c r="CK13" s="4">
        <f t="shared" si="1"/>
        <v>0</v>
      </c>
      <c r="CL13" s="4">
        <f t="shared" si="1"/>
        <v>0</v>
      </c>
      <c r="CM13" s="4">
        <f t="shared" si="1"/>
        <v>0</v>
      </c>
      <c r="CN13" s="4">
        <f t="shared" si="1"/>
        <v>0</v>
      </c>
      <c r="CO13" s="4">
        <f t="shared" si="1"/>
        <v>0</v>
      </c>
      <c r="CP13" s="4">
        <f t="shared" si="1"/>
        <v>0</v>
      </c>
      <c r="CQ13" s="4">
        <f t="shared" si="1"/>
        <v>0</v>
      </c>
      <c r="CR13" s="4">
        <f t="shared" si="1"/>
        <v>0</v>
      </c>
      <c r="CS13" s="4">
        <f t="shared" si="1"/>
        <v>0</v>
      </c>
      <c r="CT13" s="4">
        <f t="shared" si="1"/>
        <v>0</v>
      </c>
      <c r="CU13" s="4">
        <f t="shared" si="1"/>
        <v>0</v>
      </c>
      <c r="CV13" s="4">
        <f t="shared" si="1"/>
        <v>0</v>
      </c>
      <c r="CW13" s="4">
        <f t="shared" si="1"/>
        <v>0</v>
      </c>
      <c r="CX13" s="4">
        <f t="shared" si="1"/>
        <v>0</v>
      </c>
      <c r="CY13" s="4">
        <f t="shared" si="1"/>
        <v>0</v>
      </c>
      <c r="CZ13" s="4">
        <f t="shared" si="1"/>
        <v>0</v>
      </c>
      <c r="DA13" s="4">
        <f t="shared" si="1"/>
        <v>0</v>
      </c>
      <c r="DB13" s="4">
        <f t="shared" si="1"/>
        <v>0</v>
      </c>
      <c r="DC13" s="4">
        <f t="shared" si="1"/>
        <v>0</v>
      </c>
    </row>
    <row r="14" spans="1:107" x14ac:dyDescent="0.25">
      <c r="A14">
        <v>14242856</v>
      </c>
      <c r="B1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CH14" s="4"/>
      <c r="CI14" s="4"/>
      <c r="CJ14" s="4"/>
      <c r="CK14" s="4"/>
      <c r="CL14" s="4"/>
      <c r="CM14" s="4"/>
    </row>
    <row r="15" spans="1:107" x14ac:dyDescent="0.25">
      <c r="A15">
        <v>99001183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CH15" s="4"/>
      <c r="CI15" s="4"/>
      <c r="CJ15" s="4"/>
      <c r="CK15" s="4"/>
      <c r="CL15" s="4"/>
      <c r="CM15" s="4"/>
    </row>
    <row r="16" spans="1:107" x14ac:dyDescent="0.25">
      <c r="A16">
        <v>3000983</v>
      </c>
      <c r="B16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CH16" s="4"/>
      <c r="CI16" s="4"/>
      <c r="CJ16" s="4"/>
      <c r="CK16" s="4"/>
      <c r="CL16" s="4"/>
      <c r="CM16" s="4"/>
    </row>
    <row r="17" spans="1:107" x14ac:dyDescent="0.25">
      <c r="A17">
        <v>10064335</v>
      </c>
      <c r="B17" t="s">
        <v>5</v>
      </c>
      <c r="C17" s="4"/>
      <c r="D17" s="4"/>
      <c r="E17" s="4"/>
      <c r="F17" s="4"/>
      <c r="G17" s="4"/>
      <c r="H17" s="4"/>
      <c r="I17" s="4"/>
      <c r="J17" s="4"/>
      <c r="K17" s="4"/>
      <c r="L17" s="4"/>
      <c r="CH17" s="4"/>
      <c r="CI17" s="4"/>
      <c r="CJ17" s="4"/>
      <c r="CK17" s="4"/>
      <c r="CL17" s="4"/>
      <c r="CM17" s="4"/>
    </row>
    <row r="18" spans="1:107" x14ac:dyDescent="0.25">
      <c r="A18" s="4"/>
      <c r="B18" s="4"/>
      <c r="C18" s="4">
        <f>COUNTA(C14:C17)</f>
        <v>0</v>
      </c>
      <c r="D18" s="4">
        <f t="shared" ref="D18:BO18" si="2">COUNTA(D14:D17)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2"/>
        <v>0</v>
      </c>
      <c r="T18" s="4">
        <f t="shared" si="2"/>
        <v>0</v>
      </c>
      <c r="U18" s="4">
        <f t="shared" si="2"/>
        <v>0</v>
      </c>
      <c r="V18" s="4">
        <f t="shared" si="2"/>
        <v>0</v>
      </c>
      <c r="W18" s="4">
        <f t="shared" si="2"/>
        <v>0</v>
      </c>
      <c r="X18" s="4">
        <f t="shared" si="2"/>
        <v>0</v>
      </c>
      <c r="Y18" s="4">
        <f t="shared" si="2"/>
        <v>0</v>
      </c>
      <c r="Z18" s="4">
        <f t="shared" si="2"/>
        <v>0</v>
      </c>
      <c r="AA18" s="4">
        <f t="shared" si="2"/>
        <v>0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  <c r="AU18" s="4">
        <f t="shared" si="2"/>
        <v>0</v>
      </c>
      <c r="AV18" s="4">
        <f t="shared" si="2"/>
        <v>0</v>
      </c>
      <c r="AW18" s="4">
        <f t="shared" si="2"/>
        <v>0</v>
      </c>
      <c r="AX18" s="4">
        <f t="shared" si="2"/>
        <v>0</v>
      </c>
      <c r="AY18" s="4">
        <f t="shared" si="2"/>
        <v>0</v>
      </c>
      <c r="AZ18" s="4">
        <f t="shared" si="2"/>
        <v>0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ref="BP18:DC18" si="3">COUNTA(BP14:BP17)</f>
        <v>0</v>
      </c>
      <c r="BQ18" s="4">
        <f t="shared" si="3"/>
        <v>0</v>
      </c>
      <c r="BR18" s="4">
        <f t="shared" si="3"/>
        <v>0</v>
      </c>
      <c r="BS18" s="4">
        <f t="shared" si="3"/>
        <v>0</v>
      </c>
      <c r="BT18" s="4">
        <f t="shared" si="3"/>
        <v>0</v>
      </c>
      <c r="BU18" s="4">
        <f t="shared" si="3"/>
        <v>0</v>
      </c>
      <c r="BV18" s="4">
        <f t="shared" si="3"/>
        <v>0</v>
      </c>
      <c r="BW18" s="4">
        <f t="shared" si="3"/>
        <v>0</v>
      </c>
      <c r="BX18" s="4">
        <f t="shared" si="3"/>
        <v>0</v>
      </c>
      <c r="BY18" s="4">
        <f t="shared" si="3"/>
        <v>0</v>
      </c>
      <c r="BZ18" s="4">
        <f t="shared" si="3"/>
        <v>0</v>
      </c>
      <c r="CA18" s="4">
        <f t="shared" si="3"/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0</v>
      </c>
      <c r="DC18" s="4">
        <f t="shared" si="3"/>
        <v>0</v>
      </c>
    </row>
    <row r="19" spans="1:107" x14ac:dyDescent="0.25">
      <c r="A19">
        <v>1480</v>
      </c>
      <c r="B19" t="s">
        <v>6</v>
      </c>
    </row>
    <row r="20" spans="1:107" x14ac:dyDescent="0.25">
      <c r="A20">
        <v>7063959</v>
      </c>
      <c r="B20" t="s">
        <v>6</v>
      </c>
      <c r="C20" s="4"/>
      <c r="D20" s="4"/>
      <c r="E20" s="4"/>
      <c r="F20" s="4"/>
      <c r="G20" s="4"/>
      <c r="H20" s="4"/>
      <c r="I20" s="4"/>
      <c r="J20" s="4"/>
      <c r="K20" s="4"/>
      <c r="L20" s="4"/>
      <c r="CH20" s="4"/>
      <c r="CI20" s="4"/>
      <c r="CJ20" s="4"/>
      <c r="CK20" s="4"/>
      <c r="CL20" s="4"/>
      <c r="CM20" s="4"/>
    </row>
    <row r="21" spans="1:107" x14ac:dyDescent="0.25">
      <c r="A21">
        <v>1003215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CH21" s="4"/>
      <c r="CI21" s="4"/>
      <c r="CJ21" s="4"/>
      <c r="CK21" s="4"/>
      <c r="CL21" s="4"/>
      <c r="CM21" s="4"/>
    </row>
    <row r="22" spans="1:107" x14ac:dyDescent="0.25">
      <c r="A22">
        <v>99000802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CH22" s="4"/>
      <c r="CI22" s="4"/>
      <c r="CJ22" s="4"/>
      <c r="CK22" s="4"/>
      <c r="CL22" s="4"/>
      <c r="CM22" s="4"/>
    </row>
    <row r="23" spans="1:107" x14ac:dyDescent="0.25">
      <c r="A23">
        <v>99000892</v>
      </c>
      <c r="B2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CH23" s="4"/>
      <c r="CI23" s="4"/>
      <c r="CJ23" s="4"/>
      <c r="CK23" s="4"/>
      <c r="CL23" s="4"/>
      <c r="CM23" s="4"/>
    </row>
    <row r="24" spans="1:107" x14ac:dyDescent="0.25">
      <c r="A24">
        <v>1000192</v>
      </c>
      <c r="B24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CH24" s="4"/>
      <c r="CI24" s="4"/>
      <c r="CJ24" s="4"/>
      <c r="CK24" s="4"/>
      <c r="CL24" s="4"/>
      <c r="CM24" s="4"/>
    </row>
    <row r="25" spans="1:107" x14ac:dyDescent="0.25">
      <c r="A25">
        <v>1506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CH25" s="4"/>
      <c r="CI25" s="4"/>
      <c r="CJ25" s="4"/>
      <c r="CK25" s="4"/>
      <c r="CL25" s="4"/>
      <c r="CM25" s="4"/>
    </row>
    <row r="26" spans="1:107" x14ac:dyDescent="0.25">
      <c r="A26">
        <v>99000894</v>
      </c>
      <c r="B26" t="s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CH26" s="4"/>
      <c r="CI26" s="4"/>
      <c r="CJ26" s="4"/>
      <c r="CK26" s="4"/>
      <c r="CL26" s="4"/>
      <c r="CM26" s="4"/>
    </row>
    <row r="27" spans="1:107" x14ac:dyDescent="0.25">
      <c r="A27">
        <v>99000897</v>
      </c>
      <c r="B27" t="s">
        <v>6</v>
      </c>
    </row>
    <row r="28" spans="1:107" x14ac:dyDescent="0.25">
      <c r="A28">
        <v>99001245</v>
      </c>
      <c r="B28" t="s">
        <v>6</v>
      </c>
    </row>
    <row r="29" spans="1:107" x14ac:dyDescent="0.25">
      <c r="A29">
        <v>99001902</v>
      </c>
      <c r="B29" t="s">
        <v>6</v>
      </c>
    </row>
    <row r="30" spans="1:107" x14ac:dyDescent="0.25">
      <c r="A30">
        <v>99001912</v>
      </c>
      <c r="B30" t="s">
        <v>6</v>
      </c>
    </row>
    <row r="31" spans="1:107" x14ac:dyDescent="0.25">
      <c r="A31">
        <v>99001913</v>
      </c>
      <c r="B31" t="s">
        <v>6</v>
      </c>
    </row>
    <row r="32" spans="1:107" x14ac:dyDescent="0.25">
      <c r="A32">
        <v>99001937</v>
      </c>
      <c r="B32" t="s">
        <v>6</v>
      </c>
    </row>
    <row r="33" spans="1:107" x14ac:dyDescent="0.25">
      <c r="A33">
        <v>99001943</v>
      </c>
      <c r="B33" t="s">
        <v>6</v>
      </c>
    </row>
    <row r="34" spans="1:107" x14ac:dyDescent="0.25">
      <c r="A34">
        <v>99001927</v>
      </c>
      <c r="B34" t="s">
        <v>6</v>
      </c>
    </row>
    <row r="35" spans="1:107" x14ac:dyDescent="0.25">
      <c r="A35">
        <v>1505</v>
      </c>
      <c r="B35" t="s">
        <v>6</v>
      </c>
      <c r="C35" s="4"/>
      <c r="D35" s="4"/>
      <c r="E35" s="4"/>
      <c r="F35" s="4"/>
      <c r="G35" s="4"/>
      <c r="H35" s="4"/>
      <c r="I35" s="4"/>
      <c r="J35" s="4"/>
      <c r="K35" s="4"/>
      <c r="L35" s="4"/>
      <c r="CH35" s="4"/>
      <c r="CI35" s="4"/>
      <c r="CJ35" s="4"/>
      <c r="CK35" s="4"/>
      <c r="CL35" s="4"/>
      <c r="CM35" s="4"/>
    </row>
    <row r="36" spans="1:107" x14ac:dyDescent="0.25">
      <c r="A36">
        <v>1000197</v>
      </c>
      <c r="B36" t="s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CH36" s="4"/>
      <c r="CI36" s="4"/>
      <c r="CJ36" s="4"/>
      <c r="CK36" s="4"/>
      <c r="CL36" s="4"/>
      <c r="CM36" s="4"/>
    </row>
    <row r="37" spans="1:107" x14ac:dyDescent="0.25">
      <c r="A37">
        <v>96018835</v>
      </c>
      <c r="B37" t="s">
        <v>6</v>
      </c>
      <c r="I37" s="4"/>
      <c r="J37" s="4"/>
      <c r="K37" s="4"/>
      <c r="L37" s="4"/>
      <c r="CH37" s="4"/>
      <c r="CI37" s="4"/>
      <c r="CJ37" s="4"/>
      <c r="CK37" s="4"/>
      <c r="CL37" s="4"/>
      <c r="CM37" s="4"/>
    </row>
    <row r="38" spans="1:107" x14ac:dyDescent="0.25">
      <c r="A38">
        <v>98008326</v>
      </c>
      <c r="B38" t="s">
        <v>6</v>
      </c>
      <c r="C38" s="4"/>
      <c r="D38" s="4"/>
      <c r="E38" s="4"/>
      <c r="F38" s="4"/>
      <c r="G38" s="4"/>
      <c r="H38" s="4"/>
      <c r="I38" s="4"/>
      <c r="J38" s="4"/>
      <c r="K38" s="4"/>
      <c r="L38" s="4"/>
      <c r="CH38" s="4"/>
      <c r="CI38" s="4"/>
      <c r="CJ38" s="4"/>
      <c r="CK38" s="4"/>
      <c r="CL38" s="4"/>
      <c r="CM38" s="4"/>
    </row>
    <row r="39" spans="1:107" x14ac:dyDescent="0.25">
      <c r="A39">
        <v>99000717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CH39" s="4"/>
      <c r="CI39" s="4"/>
      <c r="CJ39" s="4"/>
      <c r="CK39" s="4"/>
      <c r="CL39" s="4"/>
      <c r="CM39" s="4"/>
    </row>
    <row r="40" spans="1:107" x14ac:dyDescent="0.25">
      <c r="C40">
        <f>COUNTA(C19:C39)</f>
        <v>0</v>
      </c>
      <c r="D40">
        <f t="shared" ref="D40:BO40" si="4">COUNTA(D19:D39)</f>
        <v>0</v>
      </c>
      <c r="E40">
        <f>COUNTA(E19:E39)</f>
        <v>0</v>
      </c>
      <c r="F40">
        <f t="shared" si="4"/>
        <v>0</v>
      </c>
      <c r="G40">
        <f t="shared" si="4"/>
        <v>0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4"/>
        <v>0</v>
      </c>
      <c r="L40">
        <f t="shared" si="4"/>
        <v>0</v>
      </c>
      <c r="M40">
        <f t="shared" si="4"/>
        <v>0</v>
      </c>
      <c r="N40">
        <f t="shared" si="4"/>
        <v>0</v>
      </c>
      <c r="O40">
        <f t="shared" si="4"/>
        <v>0</v>
      </c>
      <c r="P40">
        <f t="shared" si="4"/>
        <v>0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0</v>
      </c>
      <c r="U40">
        <f t="shared" si="4"/>
        <v>0</v>
      </c>
      <c r="V40">
        <f t="shared" si="4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0</v>
      </c>
      <c r="AO40">
        <f t="shared" si="4"/>
        <v>0</v>
      </c>
      <c r="AP40">
        <f t="shared" si="4"/>
        <v>0</v>
      </c>
      <c r="AQ40">
        <f t="shared" si="4"/>
        <v>0</v>
      </c>
      <c r="AR40">
        <f t="shared" si="4"/>
        <v>0</v>
      </c>
      <c r="AS40">
        <f t="shared" si="4"/>
        <v>0</v>
      </c>
      <c r="AT40">
        <f t="shared" si="4"/>
        <v>0</v>
      </c>
      <c r="AU40">
        <f t="shared" si="4"/>
        <v>0</v>
      </c>
      <c r="AV40">
        <f t="shared" si="4"/>
        <v>0</v>
      </c>
      <c r="AW40">
        <f t="shared" si="4"/>
        <v>0</v>
      </c>
      <c r="AX40">
        <f t="shared" si="4"/>
        <v>0</v>
      </c>
      <c r="AY40">
        <f t="shared" si="4"/>
        <v>0</v>
      </c>
      <c r="AZ40">
        <f t="shared" si="4"/>
        <v>0</v>
      </c>
      <c r="BA40">
        <f t="shared" si="4"/>
        <v>0</v>
      </c>
      <c r="BB40">
        <f t="shared" si="4"/>
        <v>0</v>
      </c>
      <c r="BC40">
        <f t="shared" si="4"/>
        <v>0</v>
      </c>
      <c r="BD40">
        <f t="shared" si="4"/>
        <v>0</v>
      </c>
      <c r="BE40">
        <f t="shared" si="4"/>
        <v>0</v>
      </c>
      <c r="BF40">
        <f t="shared" si="4"/>
        <v>0</v>
      </c>
      <c r="BG40">
        <f t="shared" si="4"/>
        <v>0</v>
      </c>
      <c r="BH40">
        <f t="shared" si="4"/>
        <v>0</v>
      </c>
      <c r="BI40">
        <f t="shared" si="4"/>
        <v>0</v>
      </c>
      <c r="BJ40">
        <f t="shared" si="4"/>
        <v>0</v>
      </c>
      <c r="BK40">
        <f t="shared" si="4"/>
        <v>0</v>
      </c>
      <c r="BL40">
        <f t="shared" si="4"/>
        <v>0</v>
      </c>
      <c r="BM40">
        <f t="shared" si="4"/>
        <v>0</v>
      </c>
      <c r="BN40">
        <f t="shared" si="4"/>
        <v>0</v>
      </c>
      <c r="BO40">
        <f t="shared" si="4"/>
        <v>0</v>
      </c>
      <c r="BP40">
        <f t="shared" ref="BP40:DC40" si="5">COUNTA(BP19:BP39)</f>
        <v>0</v>
      </c>
      <c r="BQ40">
        <f t="shared" si="5"/>
        <v>0</v>
      </c>
      <c r="BR40">
        <f t="shared" si="5"/>
        <v>0</v>
      </c>
      <c r="BS40">
        <f t="shared" si="5"/>
        <v>0</v>
      </c>
      <c r="BT40">
        <f t="shared" si="5"/>
        <v>0</v>
      </c>
      <c r="BU40">
        <f t="shared" si="5"/>
        <v>0</v>
      </c>
      <c r="BV40">
        <f t="shared" si="5"/>
        <v>0</v>
      </c>
      <c r="BW40">
        <f t="shared" si="5"/>
        <v>0</v>
      </c>
      <c r="BX40">
        <f t="shared" si="5"/>
        <v>0</v>
      </c>
      <c r="BY40">
        <f t="shared" si="5"/>
        <v>0</v>
      </c>
      <c r="BZ40">
        <f t="shared" si="5"/>
        <v>0</v>
      </c>
      <c r="CA40">
        <f>COUNTA(CA19:CA39)</f>
        <v>0</v>
      </c>
      <c r="CB40">
        <f t="shared" si="5"/>
        <v>0</v>
      </c>
      <c r="CC40">
        <f t="shared" si="5"/>
        <v>0</v>
      </c>
      <c r="CD40">
        <f t="shared" si="5"/>
        <v>0</v>
      </c>
      <c r="CE40">
        <f t="shared" si="5"/>
        <v>0</v>
      </c>
      <c r="CF40">
        <f t="shared" si="5"/>
        <v>0</v>
      </c>
      <c r="CG40">
        <f t="shared" si="5"/>
        <v>0</v>
      </c>
      <c r="CH40">
        <f t="shared" si="5"/>
        <v>0</v>
      </c>
      <c r="CI40">
        <f t="shared" si="5"/>
        <v>0</v>
      </c>
      <c r="CJ40">
        <f t="shared" si="5"/>
        <v>0</v>
      </c>
      <c r="CK40">
        <f t="shared" si="5"/>
        <v>0</v>
      </c>
      <c r="CL40">
        <f t="shared" si="5"/>
        <v>0</v>
      </c>
      <c r="CM40">
        <f t="shared" si="5"/>
        <v>0</v>
      </c>
      <c r="CN40">
        <f t="shared" si="5"/>
        <v>0</v>
      </c>
      <c r="CO40">
        <f t="shared" si="5"/>
        <v>0</v>
      </c>
      <c r="CP40">
        <f t="shared" si="5"/>
        <v>0</v>
      </c>
      <c r="CQ40">
        <f t="shared" si="5"/>
        <v>0</v>
      </c>
      <c r="CR40">
        <f t="shared" si="5"/>
        <v>0</v>
      </c>
      <c r="CS40">
        <f t="shared" si="5"/>
        <v>0</v>
      </c>
      <c r="CT40">
        <f t="shared" si="5"/>
        <v>0</v>
      </c>
      <c r="CU40">
        <f t="shared" si="5"/>
        <v>0</v>
      </c>
      <c r="CV40">
        <f t="shared" si="5"/>
        <v>0</v>
      </c>
      <c r="CW40">
        <f t="shared" si="5"/>
        <v>0</v>
      </c>
      <c r="CX40">
        <f t="shared" si="5"/>
        <v>0</v>
      </c>
      <c r="CY40">
        <f t="shared" si="5"/>
        <v>0</v>
      </c>
      <c r="CZ40">
        <f t="shared" si="5"/>
        <v>0</v>
      </c>
      <c r="DA40">
        <f t="shared" si="5"/>
        <v>0</v>
      </c>
      <c r="DB40">
        <f t="shared" si="5"/>
        <v>0</v>
      </c>
      <c r="DC40">
        <f t="shared" si="5"/>
        <v>0</v>
      </c>
    </row>
    <row r="41" spans="1:107" x14ac:dyDescent="0.25">
      <c r="A41">
        <v>6016435</v>
      </c>
      <c r="B41" t="s">
        <v>7</v>
      </c>
    </row>
    <row r="42" spans="1:107" x14ac:dyDescent="0.25">
      <c r="A42">
        <v>8045149</v>
      </c>
      <c r="B42" t="s">
        <v>7</v>
      </c>
    </row>
    <row r="43" spans="1:107" x14ac:dyDescent="0.25">
      <c r="A43">
        <v>10023001</v>
      </c>
      <c r="B43" t="s">
        <v>7</v>
      </c>
    </row>
    <row r="44" spans="1:107" x14ac:dyDescent="0.25">
      <c r="A44">
        <v>10027526</v>
      </c>
      <c r="B44" t="s">
        <v>7</v>
      </c>
    </row>
    <row r="45" spans="1:107" x14ac:dyDescent="0.25">
      <c r="A45">
        <v>14222171</v>
      </c>
      <c r="B45" t="s">
        <v>7</v>
      </c>
    </row>
    <row r="46" spans="1:107" x14ac:dyDescent="0.25">
      <c r="A46">
        <v>1006143</v>
      </c>
      <c r="B46" t="s">
        <v>7</v>
      </c>
    </row>
    <row r="47" spans="1:107" x14ac:dyDescent="0.25">
      <c r="A47">
        <v>6006917</v>
      </c>
      <c r="B47" t="s">
        <v>7</v>
      </c>
    </row>
    <row r="48" spans="1:107" x14ac:dyDescent="0.25">
      <c r="C48">
        <f>COUNTA(C41:C47)</f>
        <v>0</v>
      </c>
      <c r="D48">
        <f t="shared" ref="D48:BO48" si="6">COUNTA(D41:D47)</f>
        <v>0</v>
      </c>
      <c r="E48">
        <f>COUNTA(E41:E47)</f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  <c r="AT48">
        <f t="shared" si="6"/>
        <v>0</v>
      </c>
      <c r="AU48">
        <f t="shared" si="6"/>
        <v>0</v>
      </c>
      <c r="AV48">
        <f t="shared" si="6"/>
        <v>0</v>
      </c>
      <c r="AW48">
        <f t="shared" si="6"/>
        <v>0</v>
      </c>
      <c r="AX48">
        <f t="shared" si="6"/>
        <v>0</v>
      </c>
      <c r="AY48">
        <f t="shared" si="6"/>
        <v>0</v>
      </c>
      <c r="AZ48">
        <f t="shared" si="6"/>
        <v>0</v>
      </c>
      <c r="BA48">
        <f t="shared" si="6"/>
        <v>0</v>
      </c>
      <c r="BB48">
        <f t="shared" si="6"/>
        <v>0</v>
      </c>
      <c r="BC48">
        <f t="shared" si="6"/>
        <v>0</v>
      </c>
      <c r="BD48">
        <f t="shared" si="6"/>
        <v>0</v>
      </c>
      <c r="BE48">
        <f t="shared" si="6"/>
        <v>0</v>
      </c>
      <c r="BF48">
        <f t="shared" si="6"/>
        <v>0</v>
      </c>
      <c r="BG48">
        <f t="shared" si="6"/>
        <v>0</v>
      </c>
      <c r="BH48">
        <f t="shared" si="6"/>
        <v>0</v>
      </c>
      <c r="BI48">
        <f t="shared" si="6"/>
        <v>0</v>
      </c>
      <c r="BJ48">
        <f t="shared" si="6"/>
        <v>0</v>
      </c>
      <c r="BK48">
        <f t="shared" si="6"/>
        <v>0</v>
      </c>
      <c r="BL48">
        <f t="shared" si="6"/>
        <v>0</v>
      </c>
      <c r="BM48">
        <f t="shared" si="6"/>
        <v>0</v>
      </c>
      <c r="BN48">
        <f t="shared" si="6"/>
        <v>0</v>
      </c>
      <c r="BO48">
        <f t="shared" si="6"/>
        <v>0</v>
      </c>
      <c r="BP48">
        <f t="shared" ref="BP48:DC48" si="7">COUNTA(BP41:BP47)</f>
        <v>0</v>
      </c>
      <c r="BQ48">
        <f t="shared" si="7"/>
        <v>0</v>
      </c>
      <c r="BR48">
        <f t="shared" si="7"/>
        <v>0</v>
      </c>
      <c r="BS48">
        <f t="shared" si="7"/>
        <v>0</v>
      </c>
      <c r="BT48">
        <f t="shared" si="7"/>
        <v>0</v>
      </c>
      <c r="BU48">
        <f t="shared" si="7"/>
        <v>0</v>
      </c>
      <c r="BV48">
        <f t="shared" si="7"/>
        <v>0</v>
      </c>
      <c r="BW48">
        <f t="shared" si="7"/>
        <v>0</v>
      </c>
      <c r="BX48">
        <f t="shared" si="7"/>
        <v>0</v>
      </c>
      <c r="BY48">
        <f t="shared" si="7"/>
        <v>0</v>
      </c>
      <c r="BZ48">
        <f t="shared" si="7"/>
        <v>0</v>
      </c>
      <c r="CA48">
        <f t="shared" si="7"/>
        <v>0</v>
      </c>
      <c r="CB48">
        <f t="shared" si="7"/>
        <v>0</v>
      </c>
      <c r="CC48">
        <f t="shared" si="7"/>
        <v>0</v>
      </c>
      <c r="CD48">
        <f t="shared" si="7"/>
        <v>0</v>
      </c>
      <c r="CE48">
        <f t="shared" si="7"/>
        <v>0</v>
      </c>
      <c r="CF48">
        <f t="shared" si="7"/>
        <v>0</v>
      </c>
      <c r="CG48">
        <f t="shared" si="7"/>
        <v>0</v>
      </c>
      <c r="CH48">
        <f t="shared" si="7"/>
        <v>0</v>
      </c>
      <c r="CI48">
        <f t="shared" si="7"/>
        <v>0</v>
      </c>
      <c r="CJ48">
        <f t="shared" si="7"/>
        <v>0</v>
      </c>
      <c r="CK48">
        <f t="shared" si="7"/>
        <v>0</v>
      </c>
      <c r="CL48">
        <f t="shared" si="7"/>
        <v>0</v>
      </c>
      <c r="CM48">
        <f t="shared" si="7"/>
        <v>0</v>
      </c>
      <c r="CN48">
        <f t="shared" si="7"/>
        <v>0</v>
      </c>
      <c r="CO48">
        <f t="shared" si="7"/>
        <v>0</v>
      </c>
      <c r="CP48">
        <f t="shared" si="7"/>
        <v>0</v>
      </c>
      <c r="CQ48">
        <f t="shared" si="7"/>
        <v>0</v>
      </c>
      <c r="CR48">
        <f t="shared" si="7"/>
        <v>0</v>
      </c>
      <c r="CS48">
        <f t="shared" si="7"/>
        <v>0</v>
      </c>
      <c r="CT48">
        <f t="shared" si="7"/>
        <v>0</v>
      </c>
      <c r="CU48">
        <f t="shared" si="7"/>
        <v>0</v>
      </c>
      <c r="CV48">
        <f t="shared" si="7"/>
        <v>0</v>
      </c>
      <c r="CW48">
        <f t="shared" si="7"/>
        <v>0</v>
      </c>
      <c r="CX48">
        <f t="shared" si="7"/>
        <v>0</v>
      </c>
      <c r="CY48">
        <f t="shared" si="7"/>
        <v>0</v>
      </c>
      <c r="CZ48">
        <f t="shared" si="7"/>
        <v>0</v>
      </c>
      <c r="DA48">
        <f t="shared" si="7"/>
        <v>0</v>
      </c>
      <c r="DB48">
        <f t="shared" si="7"/>
        <v>0</v>
      </c>
      <c r="DC48">
        <f t="shared" si="7"/>
        <v>0</v>
      </c>
    </row>
    <row r="49" spans="1:107" x14ac:dyDescent="0.25">
      <c r="A49">
        <v>8057159</v>
      </c>
      <c r="B49" t="s">
        <v>8</v>
      </c>
    </row>
    <row r="50" spans="1:107" x14ac:dyDescent="0.25">
      <c r="A50">
        <v>9140312</v>
      </c>
      <c r="B50" t="s">
        <v>8</v>
      </c>
    </row>
    <row r="51" spans="1:107" x14ac:dyDescent="0.25">
      <c r="A51">
        <v>12008230</v>
      </c>
      <c r="B51" t="s">
        <v>8</v>
      </c>
    </row>
    <row r="52" spans="1:107" x14ac:dyDescent="0.25">
      <c r="A52" t="s">
        <v>9</v>
      </c>
      <c r="B52" t="s">
        <v>8</v>
      </c>
    </row>
    <row r="53" spans="1:107" x14ac:dyDescent="0.25">
      <c r="A53">
        <v>13118872</v>
      </c>
      <c r="B53" t="s">
        <v>8</v>
      </c>
    </row>
    <row r="54" spans="1:107" x14ac:dyDescent="0.25">
      <c r="A54">
        <v>12012030</v>
      </c>
      <c r="B54" t="s">
        <v>8</v>
      </c>
    </row>
    <row r="55" spans="1:107" x14ac:dyDescent="0.25">
      <c r="C55">
        <f>COUNTA(C49:C54)</f>
        <v>0</v>
      </c>
      <c r="D55">
        <f t="shared" ref="D55:BO55" si="8">COUNTA(D49:D54)</f>
        <v>0</v>
      </c>
      <c r="E55">
        <f t="shared" si="8"/>
        <v>0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0</v>
      </c>
      <c r="K55">
        <f t="shared" si="8"/>
        <v>0</v>
      </c>
      <c r="L55">
        <f t="shared" si="8"/>
        <v>0</v>
      </c>
      <c r="M55">
        <f t="shared" si="8"/>
        <v>0</v>
      </c>
      <c r="N55">
        <f t="shared" si="8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  <c r="U55">
        <f t="shared" si="8"/>
        <v>0</v>
      </c>
      <c r="V55">
        <f t="shared" si="8"/>
        <v>0</v>
      </c>
      <c r="W55">
        <f t="shared" si="8"/>
        <v>0</v>
      </c>
      <c r="X55">
        <f t="shared" si="8"/>
        <v>0</v>
      </c>
      <c r="Y55">
        <f t="shared" si="8"/>
        <v>0</v>
      </c>
      <c r="Z55">
        <f t="shared" si="8"/>
        <v>0</v>
      </c>
      <c r="AA55">
        <f t="shared" si="8"/>
        <v>0</v>
      </c>
      <c r="AB55">
        <f t="shared" si="8"/>
        <v>0</v>
      </c>
      <c r="AC55">
        <f t="shared" si="8"/>
        <v>0</v>
      </c>
      <c r="AD55">
        <f t="shared" si="8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  <c r="AI55">
        <f t="shared" si="8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8"/>
        <v>0</v>
      </c>
      <c r="AN55">
        <f t="shared" si="8"/>
        <v>0</v>
      </c>
      <c r="AO55">
        <f t="shared" si="8"/>
        <v>0</v>
      </c>
      <c r="AP55">
        <f t="shared" si="8"/>
        <v>0</v>
      </c>
      <c r="AQ55">
        <f t="shared" si="8"/>
        <v>0</v>
      </c>
      <c r="AR55">
        <f t="shared" si="8"/>
        <v>0</v>
      </c>
      <c r="AS55">
        <f t="shared" si="8"/>
        <v>0</v>
      </c>
      <c r="AT55">
        <f t="shared" si="8"/>
        <v>0</v>
      </c>
      <c r="AU55">
        <f t="shared" si="8"/>
        <v>0</v>
      </c>
      <c r="AV55">
        <f t="shared" si="8"/>
        <v>0</v>
      </c>
      <c r="AW55">
        <f t="shared" si="8"/>
        <v>0</v>
      </c>
      <c r="AX55">
        <f t="shared" si="8"/>
        <v>0</v>
      </c>
      <c r="AY55">
        <f t="shared" si="8"/>
        <v>0</v>
      </c>
      <c r="AZ55">
        <f t="shared" si="8"/>
        <v>0</v>
      </c>
      <c r="BA55">
        <f t="shared" si="8"/>
        <v>0</v>
      </c>
      <c r="BB55">
        <f t="shared" si="8"/>
        <v>0</v>
      </c>
      <c r="BC55">
        <f t="shared" si="8"/>
        <v>0</v>
      </c>
      <c r="BD55">
        <f t="shared" si="8"/>
        <v>0</v>
      </c>
      <c r="BE55">
        <f t="shared" si="8"/>
        <v>0</v>
      </c>
      <c r="BF55">
        <f t="shared" si="8"/>
        <v>0</v>
      </c>
      <c r="BG55">
        <f t="shared" si="8"/>
        <v>0</v>
      </c>
      <c r="BH55">
        <f t="shared" si="8"/>
        <v>0</v>
      </c>
      <c r="BI55">
        <f t="shared" si="8"/>
        <v>0</v>
      </c>
      <c r="BJ55">
        <f t="shared" si="8"/>
        <v>0</v>
      </c>
      <c r="BK55">
        <f t="shared" si="8"/>
        <v>0</v>
      </c>
      <c r="BL55">
        <f t="shared" si="8"/>
        <v>0</v>
      </c>
      <c r="BM55">
        <f t="shared" si="8"/>
        <v>0</v>
      </c>
      <c r="BN55">
        <f t="shared" si="8"/>
        <v>0</v>
      </c>
      <c r="BO55">
        <f t="shared" si="8"/>
        <v>0</v>
      </c>
      <c r="BP55">
        <f t="shared" ref="BP55:DC55" si="9">COUNTA(BP49:BP54)</f>
        <v>0</v>
      </c>
      <c r="BQ55">
        <f t="shared" si="9"/>
        <v>0</v>
      </c>
      <c r="BR55">
        <f t="shared" si="9"/>
        <v>0</v>
      </c>
      <c r="BS55">
        <f t="shared" si="9"/>
        <v>0</v>
      </c>
      <c r="BT55">
        <f t="shared" si="9"/>
        <v>0</v>
      </c>
      <c r="BU55">
        <f t="shared" si="9"/>
        <v>0</v>
      </c>
      <c r="BV55">
        <f t="shared" si="9"/>
        <v>0</v>
      </c>
      <c r="BW55">
        <f t="shared" si="9"/>
        <v>0</v>
      </c>
      <c r="BX55">
        <f t="shared" si="9"/>
        <v>0</v>
      </c>
      <c r="BY55">
        <f t="shared" si="9"/>
        <v>0</v>
      </c>
      <c r="BZ55">
        <f t="shared" si="9"/>
        <v>0</v>
      </c>
      <c r="CA55">
        <f t="shared" si="9"/>
        <v>0</v>
      </c>
      <c r="CB55">
        <f t="shared" si="9"/>
        <v>0</v>
      </c>
      <c r="CC55">
        <f t="shared" si="9"/>
        <v>0</v>
      </c>
      <c r="CD55">
        <f t="shared" si="9"/>
        <v>0</v>
      </c>
      <c r="CE55">
        <f t="shared" si="9"/>
        <v>0</v>
      </c>
      <c r="CF55">
        <f t="shared" si="9"/>
        <v>0</v>
      </c>
      <c r="CG55">
        <f t="shared" si="9"/>
        <v>0</v>
      </c>
      <c r="CH55">
        <f t="shared" si="9"/>
        <v>0</v>
      </c>
      <c r="CI55">
        <f t="shared" si="9"/>
        <v>0</v>
      </c>
      <c r="CJ55">
        <f t="shared" si="9"/>
        <v>0</v>
      </c>
      <c r="CK55">
        <f t="shared" si="9"/>
        <v>0</v>
      </c>
      <c r="CL55">
        <f t="shared" si="9"/>
        <v>0</v>
      </c>
      <c r="CM55">
        <f t="shared" si="9"/>
        <v>0</v>
      </c>
      <c r="CN55">
        <f t="shared" si="9"/>
        <v>0</v>
      </c>
      <c r="CO55">
        <f t="shared" si="9"/>
        <v>0</v>
      </c>
      <c r="CP55">
        <f t="shared" si="9"/>
        <v>0</v>
      </c>
      <c r="CQ55">
        <f t="shared" si="9"/>
        <v>0</v>
      </c>
      <c r="CR55">
        <f t="shared" si="9"/>
        <v>0</v>
      </c>
      <c r="CS55">
        <f t="shared" si="9"/>
        <v>0</v>
      </c>
      <c r="CT55">
        <f t="shared" si="9"/>
        <v>0</v>
      </c>
      <c r="CU55">
        <f t="shared" si="9"/>
        <v>0</v>
      </c>
      <c r="CV55">
        <f t="shared" si="9"/>
        <v>0</v>
      </c>
      <c r="CW55">
        <f t="shared" si="9"/>
        <v>0</v>
      </c>
      <c r="CX55">
        <f t="shared" si="9"/>
        <v>0</v>
      </c>
      <c r="CY55">
        <f t="shared" si="9"/>
        <v>0</v>
      </c>
      <c r="CZ55">
        <f t="shared" si="9"/>
        <v>0</v>
      </c>
      <c r="DA55">
        <f t="shared" si="9"/>
        <v>0</v>
      </c>
      <c r="DB55">
        <f t="shared" si="9"/>
        <v>0</v>
      </c>
      <c r="DC55">
        <f t="shared" si="9"/>
        <v>0</v>
      </c>
    </row>
    <row r="56" spans="1:107" x14ac:dyDescent="0.25">
      <c r="A56">
        <v>9074418</v>
      </c>
      <c r="B56" t="s">
        <v>10</v>
      </c>
    </row>
    <row r="57" spans="1:107" x14ac:dyDescent="0.25">
      <c r="A57">
        <v>1263</v>
      </c>
      <c r="B57" t="s">
        <v>10</v>
      </c>
    </row>
    <row r="58" spans="1:107" x14ac:dyDescent="0.25">
      <c r="A58">
        <v>98004910</v>
      </c>
      <c r="B58" t="s">
        <v>10</v>
      </c>
    </row>
    <row r="59" spans="1:107" x14ac:dyDescent="0.25">
      <c r="A59">
        <v>7103068</v>
      </c>
      <c r="B59" t="s">
        <v>10</v>
      </c>
    </row>
    <row r="60" spans="1:107" x14ac:dyDescent="0.25">
      <c r="A60">
        <v>11240728</v>
      </c>
      <c r="B60" t="s">
        <v>10</v>
      </c>
    </row>
    <row r="61" spans="1:107" x14ac:dyDescent="0.25">
      <c r="C61">
        <f>COUNTA(C56:C60)</f>
        <v>0</v>
      </c>
      <c r="D61">
        <f t="shared" ref="D61:BO61" si="10">COUNTA(D56:D60)</f>
        <v>0</v>
      </c>
      <c r="E61">
        <f t="shared" si="10"/>
        <v>0</v>
      </c>
      <c r="F61">
        <f t="shared" si="10"/>
        <v>0</v>
      </c>
      <c r="G61">
        <f t="shared" si="10"/>
        <v>0</v>
      </c>
      <c r="H61">
        <f t="shared" si="10"/>
        <v>0</v>
      </c>
      <c r="I61">
        <f t="shared" si="10"/>
        <v>0</v>
      </c>
      <c r="J61">
        <f t="shared" si="10"/>
        <v>0</v>
      </c>
      <c r="K61">
        <f t="shared" si="10"/>
        <v>0</v>
      </c>
      <c r="L61">
        <f t="shared" si="10"/>
        <v>0</v>
      </c>
      <c r="M61">
        <f t="shared" si="10"/>
        <v>0</v>
      </c>
      <c r="N61">
        <f t="shared" si="10"/>
        <v>0</v>
      </c>
      <c r="O61">
        <f t="shared" si="10"/>
        <v>0</v>
      </c>
      <c r="P61">
        <f t="shared" si="10"/>
        <v>0</v>
      </c>
      <c r="Q61">
        <f t="shared" si="10"/>
        <v>0</v>
      </c>
      <c r="R61">
        <f t="shared" si="10"/>
        <v>0</v>
      </c>
      <c r="S61">
        <f t="shared" si="10"/>
        <v>0</v>
      </c>
      <c r="T61">
        <f t="shared" si="10"/>
        <v>0</v>
      </c>
      <c r="U61">
        <f t="shared" si="10"/>
        <v>0</v>
      </c>
      <c r="V61">
        <f t="shared" si="10"/>
        <v>0</v>
      </c>
      <c r="W61">
        <f t="shared" si="10"/>
        <v>0</v>
      </c>
      <c r="X61">
        <f t="shared" si="10"/>
        <v>0</v>
      </c>
      <c r="Y61">
        <f t="shared" si="10"/>
        <v>0</v>
      </c>
      <c r="Z61">
        <f t="shared" si="10"/>
        <v>0</v>
      </c>
      <c r="AA61">
        <f t="shared" si="10"/>
        <v>0</v>
      </c>
      <c r="AB61">
        <f t="shared" si="10"/>
        <v>0</v>
      </c>
      <c r="AC61">
        <f t="shared" si="10"/>
        <v>0</v>
      </c>
      <c r="AD61">
        <f t="shared" si="10"/>
        <v>0</v>
      </c>
      <c r="AE61">
        <f t="shared" si="10"/>
        <v>0</v>
      </c>
      <c r="AF61">
        <f t="shared" si="10"/>
        <v>0</v>
      </c>
      <c r="AG61">
        <f t="shared" si="10"/>
        <v>0</v>
      </c>
      <c r="AH61">
        <f t="shared" si="10"/>
        <v>0</v>
      </c>
      <c r="AI61">
        <f t="shared" si="10"/>
        <v>0</v>
      </c>
      <c r="AJ61">
        <f t="shared" si="10"/>
        <v>0</v>
      </c>
      <c r="AK61">
        <f t="shared" si="10"/>
        <v>0</v>
      </c>
      <c r="AL61">
        <f t="shared" si="10"/>
        <v>0</v>
      </c>
      <c r="AM61">
        <f t="shared" si="10"/>
        <v>0</v>
      </c>
      <c r="AN61">
        <f t="shared" si="10"/>
        <v>0</v>
      </c>
      <c r="AO61">
        <f t="shared" si="10"/>
        <v>0</v>
      </c>
      <c r="AP61">
        <f t="shared" si="10"/>
        <v>0</v>
      </c>
      <c r="AQ61">
        <f t="shared" si="10"/>
        <v>0</v>
      </c>
      <c r="AR61">
        <f t="shared" si="10"/>
        <v>0</v>
      </c>
      <c r="AS61">
        <f t="shared" si="10"/>
        <v>0</v>
      </c>
      <c r="AT61">
        <f t="shared" si="10"/>
        <v>0</v>
      </c>
      <c r="AU61">
        <f t="shared" si="10"/>
        <v>0</v>
      </c>
      <c r="AV61">
        <f t="shared" si="10"/>
        <v>0</v>
      </c>
      <c r="AW61">
        <f t="shared" si="10"/>
        <v>0</v>
      </c>
      <c r="AX61">
        <f t="shared" si="10"/>
        <v>0</v>
      </c>
      <c r="AY61">
        <f t="shared" si="10"/>
        <v>0</v>
      </c>
      <c r="AZ61">
        <f t="shared" si="10"/>
        <v>0</v>
      </c>
      <c r="BA61">
        <f t="shared" si="10"/>
        <v>0</v>
      </c>
      <c r="BB61">
        <f t="shared" si="10"/>
        <v>0</v>
      </c>
      <c r="BC61">
        <f t="shared" si="10"/>
        <v>0</v>
      </c>
      <c r="BD61">
        <f t="shared" si="10"/>
        <v>0</v>
      </c>
      <c r="BE61">
        <f t="shared" si="10"/>
        <v>0</v>
      </c>
      <c r="BF61">
        <f t="shared" si="10"/>
        <v>0</v>
      </c>
      <c r="BG61">
        <f t="shared" si="10"/>
        <v>0</v>
      </c>
      <c r="BH61">
        <f t="shared" si="10"/>
        <v>0</v>
      </c>
      <c r="BI61">
        <f t="shared" si="10"/>
        <v>0</v>
      </c>
      <c r="BJ61">
        <f t="shared" si="10"/>
        <v>0</v>
      </c>
      <c r="BK61">
        <f t="shared" si="10"/>
        <v>0</v>
      </c>
      <c r="BL61">
        <f t="shared" si="10"/>
        <v>0</v>
      </c>
      <c r="BM61">
        <f t="shared" si="10"/>
        <v>0</v>
      </c>
      <c r="BN61">
        <f t="shared" si="10"/>
        <v>0</v>
      </c>
      <c r="BO61">
        <f t="shared" si="10"/>
        <v>0</v>
      </c>
      <c r="BP61">
        <f t="shared" ref="BP61:DC61" si="11">COUNTA(BP56:BP60)</f>
        <v>0</v>
      </c>
      <c r="BQ61">
        <f t="shared" si="11"/>
        <v>0</v>
      </c>
      <c r="BR61">
        <f t="shared" si="11"/>
        <v>0</v>
      </c>
      <c r="BS61">
        <f t="shared" si="11"/>
        <v>0</v>
      </c>
      <c r="BT61">
        <f t="shared" si="11"/>
        <v>0</v>
      </c>
      <c r="BU61">
        <f t="shared" si="11"/>
        <v>0</v>
      </c>
      <c r="BV61">
        <f t="shared" si="11"/>
        <v>0</v>
      </c>
      <c r="BW61">
        <f t="shared" si="11"/>
        <v>0</v>
      </c>
      <c r="BX61">
        <f t="shared" si="11"/>
        <v>0</v>
      </c>
      <c r="BY61">
        <f t="shared" si="11"/>
        <v>0</v>
      </c>
      <c r="BZ61">
        <f t="shared" si="11"/>
        <v>0</v>
      </c>
      <c r="CA61">
        <f t="shared" si="11"/>
        <v>0</v>
      </c>
      <c r="CB61">
        <f t="shared" si="11"/>
        <v>0</v>
      </c>
      <c r="CC61">
        <f t="shared" si="11"/>
        <v>0</v>
      </c>
      <c r="CD61">
        <f t="shared" si="11"/>
        <v>0</v>
      </c>
      <c r="CE61">
        <f t="shared" si="11"/>
        <v>0</v>
      </c>
      <c r="CF61">
        <f t="shared" si="11"/>
        <v>0</v>
      </c>
      <c r="CG61">
        <f t="shared" si="11"/>
        <v>0</v>
      </c>
      <c r="CH61">
        <f t="shared" si="11"/>
        <v>0</v>
      </c>
      <c r="CI61">
        <f t="shared" si="11"/>
        <v>0</v>
      </c>
      <c r="CJ61">
        <f t="shared" si="11"/>
        <v>0</v>
      </c>
      <c r="CK61">
        <f t="shared" si="11"/>
        <v>0</v>
      </c>
      <c r="CL61">
        <f t="shared" si="11"/>
        <v>0</v>
      </c>
      <c r="CM61">
        <f t="shared" si="11"/>
        <v>0</v>
      </c>
      <c r="CN61">
        <f t="shared" si="11"/>
        <v>0</v>
      </c>
      <c r="CO61">
        <f t="shared" si="11"/>
        <v>0</v>
      </c>
      <c r="CP61">
        <f t="shared" si="11"/>
        <v>0</v>
      </c>
      <c r="CQ61">
        <f t="shared" si="11"/>
        <v>0</v>
      </c>
      <c r="CR61">
        <f t="shared" si="11"/>
        <v>0</v>
      </c>
      <c r="CS61">
        <f t="shared" si="11"/>
        <v>0</v>
      </c>
      <c r="CT61">
        <f t="shared" si="11"/>
        <v>0</v>
      </c>
      <c r="CU61">
        <f t="shared" si="11"/>
        <v>0</v>
      </c>
      <c r="CV61">
        <f t="shared" si="11"/>
        <v>0</v>
      </c>
      <c r="CW61">
        <f t="shared" si="11"/>
        <v>0</v>
      </c>
      <c r="CX61">
        <f t="shared" si="11"/>
        <v>0</v>
      </c>
      <c r="CY61">
        <f t="shared" si="11"/>
        <v>0</v>
      </c>
      <c r="CZ61">
        <f t="shared" si="11"/>
        <v>0</v>
      </c>
      <c r="DA61">
        <f t="shared" si="11"/>
        <v>0</v>
      </c>
      <c r="DB61">
        <f t="shared" si="11"/>
        <v>0</v>
      </c>
      <c r="DC61">
        <f t="shared" si="11"/>
        <v>0</v>
      </c>
    </row>
    <row r="62" spans="1:107" x14ac:dyDescent="0.25">
      <c r="A62">
        <v>5015869</v>
      </c>
      <c r="B62" t="s">
        <v>11</v>
      </c>
    </row>
    <row r="63" spans="1:107" x14ac:dyDescent="0.25">
      <c r="A63">
        <v>5016969</v>
      </c>
      <c r="B63" t="s">
        <v>11</v>
      </c>
    </row>
    <row r="64" spans="1:107" x14ac:dyDescent="0.25">
      <c r="A64">
        <v>6023231</v>
      </c>
      <c r="B64" t="s">
        <v>11</v>
      </c>
    </row>
    <row r="65" spans="1:8" x14ac:dyDescent="0.25">
      <c r="A65">
        <v>6011198</v>
      </c>
      <c r="B65" t="s">
        <v>11</v>
      </c>
    </row>
    <row r="66" spans="1:8" x14ac:dyDescent="0.25">
      <c r="A66">
        <v>6012681</v>
      </c>
      <c r="B66" t="s">
        <v>11</v>
      </c>
      <c r="D66" s="10"/>
      <c r="E66" s="10"/>
      <c r="F66" s="10"/>
      <c r="G66" s="10"/>
      <c r="H66" s="10"/>
    </row>
    <row r="67" spans="1:8" x14ac:dyDescent="0.25">
      <c r="A67">
        <v>6014511</v>
      </c>
      <c r="B67" t="s">
        <v>11</v>
      </c>
    </row>
    <row r="68" spans="1:8" x14ac:dyDescent="0.25">
      <c r="A68">
        <v>6045127</v>
      </c>
      <c r="B68" t="s">
        <v>11</v>
      </c>
    </row>
    <row r="69" spans="1:8" x14ac:dyDescent="0.25">
      <c r="A69">
        <v>7000458</v>
      </c>
      <c r="B69" t="s">
        <v>11</v>
      </c>
    </row>
    <row r="70" spans="1:8" x14ac:dyDescent="0.25">
      <c r="A70">
        <v>7015502</v>
      </c>
      <c r="B70" t="s">
        <v>11</v>
      </c>
    </row>
    <row r="71" spans="1:8" x14ac:dyDescent="0.25">
      <c r="A71">
        <v>7025847</v>
      </c>
      <c r="B71" t="s">
        <v>11</v>
      </c>
    </row>
    <row r="72" spans="1:8" x14ac:dyDescent="0.25">
      <c r="A72">
        <v>7082707</v>
      </c>
      <c r="B72" t="s">
        <v>11</v>
      </c>
    </row>
    <row r="73" spans="1:8" x14ac:dyDescent="0.25">
      <c r="A73">
        <v>7083159</v>
      </c>
      <c r="B73" t="s">
        <v>11</v>
      </c>
    </row>
    <row r="74" spans="1:8" x14ac:dyDescent="0.25">
      <c r="A74">
        <v>7084659</v>
      </c>
      <c r="B74" t="s">
        <v>11</v>
      </c>
    </row>
    <row r="75" spans="1:8" x14ac:dyDescent="0.25">
      <c r="A75">
        <v>7076814</v>
      </c>
      <c r="B75" t="s">
        <v>11</v>
      </c>
    </row>
    <row r="76" spans="1:8" x14ac:dyDescent="0.25">
      <c r="A76">
        <v>7076815</v>
      </c>
      <c r="B76" t="s">
        <v>11</v>
      </c>
    </row>
    <row r="77" spans="1:8" x14ac:dyDescent="0.25">
      <c r="A77">
        <v>7089231</v>
      </c>
      <c r="B77" t="s">
        <v>11</v>
      </c>
    </row>
    <row r="78" spans="1:8" x14ac:dyDescent="0.25">
      <c r="A78">
        <v>7116004</v>
      </c>
      <c r="B78" t="s">
        <v>11</v>
      </c>
    </row>
    <row r="79" spans="1:8" x14ac:dyDescent="0.25">
      <c r="A79">
        <v>8003819</v>
      </c>
      <c r="B79" t="s">
        <v>11</v>
      </c>
    </row>
    <row r="80" spans="1:8" x14ac:dyDescent="0.25">
      <c r="A80">
        <v>8091779</v>
      </c>
      <c r="B80" t="s">
        <v>11</v>
      </c>
    </row>
    <row r="81" spans="1:2" x14ac:dyDescent="0.25">
      <c r="A81">
        <v>8112522</v>
      </c>
      <c r="B81" t="s">
        <v>11</v>
      </c>
    </row>
    <row r="82" spans="1:2" x14ac:dyDescent="0.25">
      <c r="A82" t="s">
        <v>12</v>
      </c>
      <c r="B82" t="s">
        <v>11</v>
      </c>
    </row>
    <row r="83" spans="1:2" x14ac:dyDescent="0.25">
      <c r="A83">
        <v>8130998</v>
      </c>
      <c r="B83" t="s">
        <v>11</v>
      </c>
    </row>
    <row r="84" spans="1:2" x14ac:dyDescent="0.25">
      <c r="A84">
        <v>9002836</v>
      </c>
      <c r="B84" t="s">
        <v>11</v>
      </c>
    </row>
    <row r="85" spans="1:2" x14ac:dyDescent="0.25">
      <c r="A85">
        <v>9003331</v>
      </c>
      <c r="B85" t="s">
        <v>11</v>
      </c>
    </row>
    <row r="86" spans="1:2" x14ac:dyDescent="0.25">
      <c r="A86">
        <v>9003370</v>
      </c>
      <c r="B86" t="s">
        <v>11</v>
      </c>
    </row>
    <row r="87" spans="1:2" x14ac:dyDescent="0.25">
      <c r="A87">
        <v>9016278</v>
      </c>
      <c r="B87" t="s">
        <v>11</v>
      </c>
    </row>
    <row r="88" spans="1:2" x14ac:dyDescent="0.25">
      <c r="A88">
        <v>9030684</v>
      </c>
      <c r="B88" t="s">
        <v>11</v>
      </c>
    </row>
    <row r="89" spans="1:2" x14ac:dyDescent="0.25">
      <c r="A89">
        <v>9031387</v>
      </c>
      <c r="B89" t="s">
        <v>11</v>
      </c>
    </row>
    <row r="90" spans="1:2" x14ac:dyDescent="0.25">
      <c r="A90">
        <v>9038676</v>
      </c>
      <c r="B90" t="s">
        <v>11</v>
      </c>
    </row>
    <row r="91" spans="1:2" x14ac:dyDescent="0.25">
      <c r="A91">
        <v>9039416</v>
      </c>
      <c r="B91" t="s">
        <v>11</v>
      </c>
    </row>
    <row r="92" spans="1:2" x14ac:dyDescent="0.25">
      <c r="A92">
        <v>9042861</v>
      </c>
      <c r="B92" t="s">
        <v>11</v>
      </c>
    </row>
    <row r="93" spans="1:2" x14ac:dyDescent="0.25">
      <c r="A93">
        <v>9044899</v>
      </c>
      <c r="B93" t="s">
        <v>11</v>
      </c>
    </row>
    <row r="94" spans="1:2" x14ac:dyDescent="0.25">
      <c r="A94">
        <v>9052398</v>
      </c>
      <c r="B94" t="s">
        <v>11</v>
      </c>
    </row>
    <row r="95" spans="1:2" x14ac:dyDescent="0.25">
      <c r="A95">
        <v>9085204</v>
      </c>
      <c r="B95" t="s">
        <v>11</v>
      </c>
    </row>
    <row r="96" spans="1:2" x14ac:dyDescent="0.25">
      <c r="A96">
        <v>9105492</v>
      </c>
      <c r="B96" t="s">
        <v>11</v>
      </c>
    </row>
    <row r="97" spans="1:8" x14ac:dyDescent="0.25">
      <c r="A97">
        <v>9138470</v>
      </c>
      <c r="B97" t="s">
        <v>11</v>
      </c>
    </row>
    <row r="98" spans="1:8" x14ac:dyDescent="0.25">
      <c r="A98">
        <v>9150676</v>
      </c>
      <c r="B98" t="s">
        <v>11</v>
      </c>
    </row>
    <row r="99" spans="1:8" x14ac:dyDescent="0.25">
      <c r="A99">
        <v>10010926</v>
      </c>
      <c r="B99" t="s">
        <v>11</v>
      </c>
      <c r="D99" s="10"/>
      <c r="E99" s="10"/>
      <c r="F99" s="10"/>
      <c r="G99" s="10"/>
      <c r="H99" s="10"/>
    </row>
    <row r="100" spans="1:8" x14ac:dyDescent="0.25">
      <c r="A100" t="s">
        <v>13</v>
      </c>
      <c r="B100" t="s">
        <v>11</v>
      </c>
    </row>
    <row r="101" spans="1:8" x14ac:dyDescent="0.25">
      <c r="A101">
        <v>10091530</v>
      </c>
      <c r="B101" t="s">
        <v>11</v>
      </c>
    </row>
    <row r="102" spans="1:8" x14ac:dyDescent="0.25">
      <c r="A102">
        <v>10102052</v>
      </c>
      <c r="B102" t="s">
        <v>11</v>
      </c>
    </row>
    <row r="103" spans="1:8" x14ac:dyDescent="0.25">
      <c r="A103">
        <v>10104735</v>
      </c>
      <c r="B103" t="s">
        <v>11</v>
      </c>
    </row>
    <row r="104" spans="1:8" x14ac:dyDescent="0.25">
      <c r="A104">
        <v>10131550</v>
      </c>
      <c r="B104" t="s">
        <v>11</v>
      </c>
    </row>
    <row r="105" spans="1:8" x14ac:dyDescent="0.25">
      <c r="A105">
        <v>10131607</v>
      </c>
      <c r="B105" t="s">
        <v>11</v>
      </c>
    </row>
    <row r="106" spans="1:8" x14ac:dyDescent="0.25">
      <c r="A106">
        <v>10145202</v>
      </c>
      <c r="B106" t="s">
        <v>11</v>
      </c>
    </row>
    <row r="107" spans="1:8" x14ac:dyDescent="0.25">
      <c r="A107">
        <v>10158770</v>
      </c>
      <c r="B107" t="s">
        <v>11</v>
      </c>
    </row>
    <row r="108" spans="1:8" x14ac:dyDescent="0.25">
      <c r="A108">
        <v>10162949</v>
      </c>
      <c r="B108" t="s">
        <v>11</v>
      </c>
    </row>
    <row r="109" spans="1:8" x14ac:dyDescent="0.25">
      <c r="A109">
        <v>10171633</v>
      </c>
      <c r="B109" t="s">
        <v>11</v>
      </c>
    </row>
    <row r="110" spans="1:8" x14ac:dyDescent="0.25">
      <c r="A110">
        <v>11005762</v>
      </c>
      <c r="B110" t="s">
        <v>11</v>
      </c>
    </row>
    <row r="111" spans="1:8" x14ac:dyDescent="0.25">
      <c r="A111" t="s">
        <v>14</v>
      </c>
      <c r="B111" t="s">
        <v>11</v>
      </c>
    </row>
    <row r="112" spans="1:8" x14ac:dyDescent="0.25">
      <c r="A112">
        <v>11018341</v>
      </c>
      <c r="B112" t="s">
        <v>11</v>
      </c>
    </row>
    <row r="113" spans="1:57" x14ac:dyDescent="0.25">
      <c r="A113">
        <v>11021445</v>
      </c>
      <c r="B113" t="s">
        <v>11</v>
      </c>
    </row>
    <row r="114" spans="1:57" x14ac:dyDescent="0.25">
      <c r="A114">
        <v>11025151</v>
      </c>
      <c r="B114" t="s">
        <v>11</v>
      </c>
    </row>
    <row r="115" spans="1:57" x14ac:dyDescent="0.25">
      <c r="A115">
        <v>11039110</v>
      </c>
      <c r="B115" t="s">
        <v>11</v>
      </c>
    </row>
    <row r="116" spans="1:57" x14ac:dyDescent="0.25">
      <c r="A116">
        <v>11108410</v>
      </c>
      <c r="B116" t="s">
        <v>11</v>
      </c>
    </row>
    <row r="117" spans="1:57" x14ac:dyDescent="0.25">
      <c r="A117">
        <v>11139605</v>
      </c>
      <c r="B117" t="s">
        <v>11</v>
      </c>
    </row>
    <row r="118" spans="1:57" x14ac:dyDescent="0.25">
      <c r="A118">
        <v>11201694</v>
      </c>
      <c r="B118" t="s">
        <v>11</v>
      </c>
    </row>
    <row r="119" spans="1:57" x14ac:dyDescent="0.25">
      <c r="A119">
        <v>11242543</v>
      </c>
      <c r="B119" t="s">
        <v>11</v>
      </c>
    </row>
    <row r="120" spans="1:57" x14ac:dyDescent="0.25">
      <c r="A120">
        <v>11247293</v>
      </c>
      <c r="B120" t="s">
        <v>11</v>
      </c>
    </row>
    <row r="121" spans="1:57" x14ac:dyDescent="0.25">
      <c r="A121">
        <v>12006449</v>
      </c>
      <c r="B121" t="s">
        <v>11</v>
      </c>
    </row>
    <row r="122" spans="1:57" x14ac:dyDescent="0.25">
      <c r="A122">
        <v>12049136</v>
      </c>
      <c r="B122" t="s">
        <v>11</v>
      </c>
    </row>
    <row r="123" spans="1:57" x14ac:dyDescent="0.25">
      <c r="A123">
        <v>12087508</v>
      </c>
      <c r="B123" t="s">
        <v>11</v>
      </c>
      <c r="Y123" t="s">
        <v>142</v>
      </c>
      <c r="BE123" t="s">
        <v>142</v>
      </c>
    </row>
    <row r="124" spans="1:57" x14ac:dyDescent="0.25">
      <c r="A124">
        <v>12229481</v>
      </c>
      <c r="B124" t="s">
        <v>11</v>
      </c>
    </row>
    <row r="125" spans="1:57" x14ac:dyDescent="0.25">
      <c r="A125">
        <v>12258821</v>
      </c>
      <c r="B125" t="s">
        <v>11</v>
      </c>
      <c r="Y125" s="12" t="s">
        <v>139</v>
      </c>
      <c r="BE125" s="12" t="s">
        <v>143</v>
      </c>
    </row>
    <row r="126" spans="1:57" x14ac:dyDescent="0.25">
      <c r="A126">
        <v>12309729</v>
      </c>
      <c r="B126" t="s">
        <v>11</v>
      </c>
    </row>
    <row r="127" spans="1:57" x14ac:dyDescent="0.25">
      <c r="A127" t="s">
        <v>15</v>
      </c>
      <c r="B127" t="s">
        <v>11</v>
      </c>
    </row>
    <row r="128" spans="1:57" x14ac:dyDescent="0.25">
      <c r="A128">
        <v>13005942</v>
      </c>
      <c r="B128" t="s">
        <v>11</v>
      </c>
    </row>
    <row r="129" spans="1:80" x14ac:dyDescent="0.25">
      <c r="A129">
        <v>324</v>
      </c>
      <c r="B129" t="s">
        <v>11</v>
      </c>
    </row>
    <row r="130" spans="1:80" x14ac:dyDescent="0.25">
      <c r="A130">
        <v>3909</v>
      </c>
      <c r="B130" t="s">
        <v>11</v>
      </c>
      <c r="Y130" s="12" t="s">
        <v>144</v>
      </c>
    </row>
    <row r="131" spans="1:80" x14ac:dyDescent="0.25">
      <c r="A131">
        <v>4663</v>
      </c>
      <c r="B131" t="s">
        <v>11</v>
      </c>
    </row>
    <row r="132" spans="1:80" x14ac:dyDescent="0.25">
      <c r="A132">
        <v>1005522</v>
      </c>
      <c r="B132" t="s">
        <v>11</v>
      </c>
    </row>
    <row r="133" spans="1:80" x14ac:dyDescent="0.25">
      <c r="A133">
        <v>1007631</v>
      </c>
      <c r="B133" t="s">
        <v>11</v>
      </c>
      <c r="J133">
        <v>0</v>
      </c>
      <c r="Y133" t="s">
        <v>162</v>
      </c>
      <c r="CB133" s="5" t="s">
        <v>201</v>
      </c>
    </row>
    <row r="134" spans="1:80" x14ac:dyDescent="0.25">
      <c r="A134">
        <v>1009760</v>
      </c>
      <c r="B134" t="s">
        <v>11</v>
      </c>
    </row>
    <row r="135" spans="1:80" x14ac:dyDescent="0.25">
      <c r="A135">
        <v>2000646</v>
      </c>
      <c r="B135" t="s">
        <v>11</v>
      </c>
    </row>
    <row r="136" spans="1:80" x14ac:dyDescent="0.25">
      <c r="A136">
        <v>2003761</v>
      </c>
      <c r="B136" t="s">
        <v>11</v>
      </c>
    </row>
    <row r="137" spans="1:80" x14ac:dyDescent="0.25">
      <c r="A137">
        <v>2004061</v>
      </c>
      <c r="B137" t="s">
        <v>11</v>
      </c>
    </row>
    <row r="138" spans="1:80" x14ac:dyDescent="0.25">
      <c r="A138">
        <v>2006469</v>
      </c>
      <c r="B138" t="s">
        <v>11</v>
      </c>
    </row>
    <row r="139" spans="1:80" x14ac:dyDescent="0.25">
      <c r="A139">
        <v>3005132</v>
      </c>
      <c r="B139" t="s">
        <v>11</v>
      </c>
    </row>
    <row r="140" spans="1:80" x14ac:dyDescent="0.25">
      <c r="A140">
        <v>3009119</v>
      </c>
      <c r="B140" t="s">
        <v>11</v>
      </c>
    </row>
    <row r="141" spans="1:80" x14ac:dyDescent="0.25">
      <c r="A141">
        <v>3009936</v>
      </c>
      <c r="B141" t="s">
        <v>11</v>
      </c>
    </row>
    <row r="142" spans="1:80" x14ac:dyDescent="0.25">
      <c r="A142">
        <v>3011094</v>
      </c>
      <c r="B142" t="s">
        <v>11</v>
      </c>
    </row>
    <row r="143" spans="1:80" x14ac:dyDescent="0.25">
      <c r="A143">
        <v>3014643</v>
      </c>
      <c r="B143" t="s">
        <v>11</v>
      </c>
    </row>
    <row r="144" spans="1:80" x14ac:dyDescent="0.25">
      <c r="A144">
        <v>3016056</v>
      </c>
      <c r="B144" t="s">
        <v>11</v>
      </c>
    </row>
    <row r="145" spans="1:25" x14ac:dyDescent="0.25">
      <c r="A145">
        <v>3900219</v>
      </c>
      <c r="B145" t="s">
        <v>11</v>
      </c>
    </row>
    <row r="146" spans="1:25" x14ac:dyDescent="0.25">
      <c r="A146">
        <v>4000158</v>
      </c>
      <c r="B146" t="s">
        <v>11</v>
      </c>
    </row>
    <row r="147" spans="1:25" x14ac:dyDescent="0.25">
      <c r="A147">
        <v>4000304</v>
      </c>
      <c r="B147" t="s">
        <v>11</v>
      </c>
    </row>
    <row r="148" spans="1:25" x14ac:dyDescent="0.25">
      <c r="A148">
        <v>4001905</v>
      </c>
      <c r="B148" t="s">
        <v>11</v>
      </c>
    </row>
    <row r="149" spans="1:25" x14ac:dyDescent="0.25">
      <c r="A149">
        <v>4002206</v>
      </c>
      <c r="B149" t="s">
        <v>11</v>
      </c>
    </row>
    <row r="150" spans="1:25" x14ac:dyDescent="0.25">
      <c r="A150">
        <v>4002715</v>
      </c>
      <c r="B150" t="s">
        <v>11</v>
      </c>
    </row>
    <row r="151" spans="1:25" x14ac:dyDescent="0.25">
      <c r="A151">
        <v>4003924</v>
      </c>
      <c r="B151" t="s">
        <v>11</v>
      </c>
    </row>
    <row r="152" spans="1:25" x14ac:dyDescent="0.25">
      <c r="A152">
        <v>4006051</v>
      </c>
      <c r="B152" t="s">
        <v>11</v>
      </c>
    </row>
    <row r="153" spans="1:25" x14ac:dyDescent="0.25">
      <c r="A153">
        <v>4008140</v>
      </c>
      <c r="B153" t="s">
        <v>11</v>
      </c>
    </row>
    <row r="154" spans="1:25" x14ac:dyDescent="0.25">
      <c r="A154">
        <v>4009906</v>
      </c>
      <c r="B154" t="s">
        <v>11</v>
      </c>
    </row>
    <row r="155" spans="1:25" x14ac:dyDescent="0.25">
      <c r="A155">
        <v>4011027</v>
      </c>
      <c r="B155" t="s">
        <v>11</v>
      </c>
    </row>
    <row r="156" spans="1:25" x14ac:dyDescent="0.25">
      <c r="A156">
        <v>4011920</v>
      </c>
      <c r="B156" t="s">
        <v>11</v>
      </c>
    </row>
    <row r="157" spans="1:25" x14ac:dyDescent="0.25">
      <c r="A157">
        <v>4012248</v>
      </c>
      <c r="B157" t="s">
        <v>11</v>
      </c>
    </row>
    <row r="158" spans="1:25" x14ac:dyDescent="0.25">
      <c r="A158">
        <v>4013603</v>
      </c>
      <c r="B158" t="s">
        <v>11</v>
      </c>
    </row>
    <row r="159" spans="1:25" x14ac:dyDescent="0.25">
      <c r="A159">
        <v>5004654</v>
      </c>
      <c r="B159" t="s">
        <v>11</v>
      </c>
    </row>
    <row r="160" spans="1:25" x14ac:dyDescent="0.25">
      <c r="A160">
        <v>5008807</v>
      </c>
      <c r="B160" t="s">
        <v>11</v>
      </c>
      <c r="Y160" s="12" t="s">
        <v>145</v>
      </c>
    </row>
    <row r="161" spans="1:94" x14ac:dyDescent="0.25">
      <c r="A161">
        <v>5009400</v>
      </c>
      <c r="B161" t="s">
        <v>11</v>
      </c>
    </row>
    <row r="162" spans="1:94" x14ac:dyDescent="0.25">
      <c r="A162">
        <v>5016255</v>
      </c>
      <c r="B162" t="s">
        <v>11</v>
      </c>
    </row>
    <row r="163" spans="1:94" x14ac:dyDescent="0.25">
      <c r="A163">
        <v>6012448</v>
      </c>
      <c r="B163" t="s">
        <v>11</v>
      </c>
    </row>
    <row r="164" spans="1:94" x14ac:dyDescent="0.25">
      <c r="A164">
        <v>7000457</v>
      </c>
      <c r="B164" t="s">
        <v>11</v>
      </c>
    </row>
    <row r="165" spans="1:94" x14ac:dyDescent="0.25">
      <c r="A165">
        <v>7072644</v>
      </c>
      <c r="B165" t="s">
        <v>11</v>
      </c>
      <c r="E165" s="12" t="s">
        <v>146</v>
      </c>
    </row>
    <row r="166" spans="1:94" x14ac:dyDescent="0.25">
      <c r="A166">
        <v>7126387</v>
      </c>
      <c r="B166" t="s">
        <v>11</v>
      </c>
    </row>
    <row r="167" spans="1:94" x14ac:dyDescent="0.25">
      <c r="A167">
        <v>10185935</v>
      </c>
      <c r="B167" t="s">
        <v>11</v>
      </c>
    </row>
    <row r="168" spans="1:94" x14ac:dyDescent="0.25">
      <c r="A168">
        <v>11061215</v>
      </c>
      <c r="B168" t="s">
        <v>11</v>
      </c>
      <c r="Y168" t="s">
        <v>147</v>
      </c>
      <c r="AP168" t="s">
        <v>147</v>
      </c>
      <c r="BE168" t="s">
        <v>147</v>
      </c>
    </row>
    <row r="169" spans="1:94" x14ac:dyDescent="0.25">
      <c r="A169">
        <v>93008468</v>
      </c>
      <c r="B169" t="s">
        <v>11</v>
      </c>
    </row>
    <row r="170" spans="1:94" x14ac:dyDescent="0.25">
      <c r="A170">
        <v>93016155</v>
      </c>
      <c r="B170" t="s">
        <v>11</v>
      </c>
      <c r="N170" s="12" t="s">
        <v>149</v>
      </c>
    </row>
    <row r="171" spans="1:94" x14ac:dyDescent="0.25">
      <c r="A171">
        <v>93018845</v>
      </c>
      <c r="B171" t="s">
        <v>11</v>
      </c>
    </row>
    <row r="172" spans="1:94" x14ac:dyDescent="0.25">
      <c r="A172" t="s">
        <v>16</v>
      </c>
      <c r="B172" t="s">
        <v>11</v>
      </c>
    </row>
    <row r="173" spans="1:94" x14ac:dyDescent="0.25">
      <c r="A173">
        <v>94006009</v>
      </c>
      <c r="B173" t="s">
        <v>11</v>
      </c>
    </row>
    <row r="174" spans="1:94" x14ac:dyDescent="0.25">
      <c r="A174">
        <v>94014126</v>
      </c>
      <c r="B174" t="s">
        <v>11</v>
      </c>
    </row>
    <row r="175" spans="1:94" x14ac:dyDescent="0.25">
      <c r="A175">
        <v>94900361</v>
      </c>
      <c r="B175" t="s">
        <v>11</v>
      </c>
    </row>
    <row r="176" spans="1:94" x14ac:dyDescent="0.25">
      <c r="A176">
        <v>94901890</v>
      </c>
      <c r="B176" t="s">
        <v>11</v>
      </c>
      <c r="CN176" s="12"/>
      <c r="CP176" s="12"/>
    </row>
    <row r="177" spans="1:107" x14ac:dyDescent="0.25">
      <c r="A177">
        <v>95001046</v>
      </c>
      <c r="B177" t="s">
        <v>11</v>
      </c>
    </row>
    <row r="178" spans="1:107" x14ac:dyDescent="0.25">
      <c r="A178">
        <v>96004031</v>
      </c>
      <c r="B178" t="s">
        <v>11</v>
      </c>
    </row>
    <row r="179" spans="1:107" x14ac:dyDescent="0.25">
      <c r="A179">
        <v>97004458</v>
      </c>
      <c r="B179" t="s">
        <v>11</v>
      </c>
    </row>
    <row r="180" spans="1:107" x14ac:dyDescent="0.25">
      <c r="A180">
        <v>97009212</v>
      </c>
      <c r="B180" t="s">
        <v>11</v>
      </c>
    </row>
    <row r="181" spans="1:107" x14ac:dyDescent="0.25">
      <c r="A181">
        <v>98006038</v>
      </c>
      <c r="B181" t="s">
        <v>11</v>
      </c>
    </row>
    <row r="182" spans="1:107" x14ac:dyDescent="0.25">
      <c r="A182">
        <v>98009041</v>
      </c>
      <c r="B182" t="s">
        <v>11</v>
      </c>
    </row>
    <row r="183" spans="1:107" x14ac:dyDescent="0.25">
      <c r="A183">
        <v>99000714</v>
      </c>
      <c r="B183" t="s">
        <v>11</v>
      </c>
    </row>
    <row r="184" spans="1:107" x14ac:dyDescent="0.25">
      <c r="A184">
        <v>99007116</v>
      </c>
      <c r="B184" t="s">
        <v>11</v>
      </c>
    </row>
    <row r="185" spans="1:107" x14ac:dyDescent="0.25">
      <c r="A185">
        <v>99901293</v>
      </c>
      <c r="B185" t="s">
        <v>11</v>
      </c>
    </row>
    <row r="186" spans="1:107" x14ac:dyDescent="0.25">
      <c r="A186">
        <v>99901604</v>
      </c>
      <c r="B186" t="s">
        <v>11</v>
      </c>
    </row>
    <row r="187" spans="1:107" x14ac:dyDescent="0.25">
      <c r="A187">
        <v>3017227</v>
      </c>
      <c r="B187" t="s">
        <v>11</v>
      </c>
    </row>
    <row r="188" spans="1:107" x14ac:dyDescent="0.25">
      <c r="A188">
        <v>2007648</v>
      </c>
      <c r="B188" t="s">
        <v>11</v>
      </c>
    </row>
    <row r="189" spans="1:107" x14ac:dyDescent="0.25">
      <c r="A189">
        <v>3008510</v>
      </c>
      <c r="B189" t="s">
        <v>11</v>
      </c>
      <c r="Y189" s="12" t="s">
        <v>145</v>
      </c>
      <c r="AA189" s="12" t="s">
        <v>146</v>
      </c>
      <c r="AB189" s="12" t="s">
        <v>146</v>
      </c>
      <c r="AK189" s="12" t="s">
        <v>145</v>
      </c>
    </row>
    <row r="190" spans="1:107" x14ac:dyDescent="0.25">
      <c r="C190">
        <f>COUNTA(C62:C189)</f>
        <v>0</v>
      </c>
      <c r="D190">
        <f>COUNTA(D62:D189)</f>
        <v>0</v>
      </c>
      <c r="E190">
        <f>COUNTA(E62:E189)</f>
        <v>1</v>
      </c>
      <c r="F190">
        <f t="shared" ref="F190:BQ190" si="12">COUNTA(F62:F189)</f>
        <v>0</v>
      </c>
      <c r="G190">
        <f t="shared" si="12"/>
        <v>0</v>
      </c>
      <c r="H190">
        <f t="shared" si="12"/>
        <v>0</v>
      </c>
      <c r="I190">
        <f t="shared" si="12"/>
        <v>0</v>
      </c>
      <c r="J190">
        <f t="shared" si="12"/>
        <v>1</v>
      </c>
      <c r="K190">
        <f t="shared" si="12"/>
        <v>0</v>
      </c>
      <c r="L190">
        <f t="shared" si="12"/>
        <v>0</v>
      </c>
      <c r="M190">
        <f t="shared" si="12"/>
        <v>0</v>
      </c>
      <c r="N190">
        <f t="shared" si="12"/>
        <v>1</v>
      </c>
      <c r="O190">
        <f t="shared" si="12"/>
        <v>0</v>
      </c>
      <c r="P190">
        <f t="shared" si="12"/>
        <v>0</v>
      </c>
      <c r="Q190">
        <f t="shared" si="12"/>
        <v>0</v>
      </c>
      <c r="R190">
        <f t="shared" si="12"/>
        <v>0</v>
      </c>
      <c r="S190">
        <f t="shared" si="12"/>
        <v>0</v>
      </c>
      <c r="T190">
        <f t="shared" si="12"/>
        <v>0</v>
      </c>
      <c r="U190">
        <f t="shared" si="12"/>
        <v>0</v>
      </c>
      <c r="V190">
        <f t="shared" si="12"/>
        <v>0</v>
      </c>
      <c r="W190">
        <f t="shared" si="12"/>
        <v>0</v>
      </c>
      <c r="X190">
        <f t="shared" si="12"/>
        <v>0</v>
      </c>
      <c r="Y190">
        <f t="shared" si="12"/>
        <v>7</v>
      </c>
      <c r="Z190">
        <f t="shared" si="12"/>
        <v>0</v>
      </c>
      <c r="AA190">
        <f t="shared" si="12"/>
        <v>1</v>
      </c>
      <c r="AB190">
        <f t="shared" si="12"/>
        <v>1</v>
      </c>
      <c r="AC190">
        <f t="shared" si="12"/>
        <v>0</v>
      </c>
      <c r="AD190">
        <f t="shared" si="12"/>
        <v>0</v>
      </c>
      <c r="AE190">
        <f t="shared" si="12"/>
        <v>0</v>
      </c>
      <c r="AF190">
        <f t="shared" si="12"/>
        <v>0</v>
      </c>
      <c r="AG190">
        <f t="shared" si="12"/>
        <v>0</v>
      </c>
      <c r="AH190">
        <f t="shared" si="12"/>
        <v>0</v>
      </c>
      <c r="AI190">
        <f t="shared" si="12"/>
        <v>0</v>
      </c>
      <c r="AJ190">
        <f t="shared" si="12"/>
        <v>0</v>
      </c>
      <c r="AK190">
        <f t="shared" si="12"/>
        <v>1</v>
      </c>
      <c r="AL190">
        <f t="shared" si="12"/>
        <v>0</v>
      </c>
      <c r="AM190">
        <f t="shared" si="12"/>
        <v>0</v>
      </c>
      <c r="AN190">
        <f t="shared" si="12"/>
        <v>0</v>
      </c>
      <c r="AO190">
        <f t="shared" si="12"/>
        <v>0</v>
      </c>
      <c r="AP190">
        <f t="shared" si="12"/>
        <v>1</v>
      </c>
      <c r="AQ190">
        <f t="shared" si="12"/>
        <v>0</v>
      </c>
      <c r="AR190">
        <f t="shared" si="12"/>
        <v>0</v>
      </c>
      <c r="AS190">
        <f t="shared" si="12"/>
        <v>0</v>
      </c>
      <c r="AT190">
        <f t="shared" si="12"/>
        <v>0</v>
      </c>
      <c r="AU190">
        <f t="shared" si="12"/>
        <v>0</v>
      </c>
      <c r="AV190">
        <f t="shared" si="12"/>
        <v>0</v>
      </c>
      <c r="AW190">
        <f t="shared" si="12"/>
        <v>0</v>
      </c>
      <c r="AX190">
        <f t="shared" si="12"/>
        <v>0</v>
      </c>
      <c r="AY190">
        <f t="shared" si="12"/>
        <v>0</v>
      </c>
      <c r="AZ190">
        <f t="shared" si="12"/>
        <v>0</v>
      </c>
      <c r="BA190">
        <f t="shared" si="12"/>
        <v>0</v>
      </c>
      <c r="BB190">
        <f t="shared" si="12"/>
        <v>0</v>
      </c>
      <c r="BC190">
        <f t="shared" si="12"/>
        <v>0</v>
      </c>
      <c r="BD190">
        <f t="shared" si="12"/>
        <v>0</v>
      </c>
      <c r="BE190">
        <f t="shared" si="12"/>
        <v>3</v>
      </c>
      <c r="BF190">
        <f t="shared" si="12"/>
        <v>0</v>
      </c>
      <c r="BG190">
        <f t="shared" si="12"/>
        <v>0</v>
      </c>
      <c r="BH190">
        <f t="shared" si="12"/>
        <v>0</v>
      </c>
      <c r="BI190">
        <f t="shared" si="12"/>
        <v>0</v>
      </c>
      <c r="BJ190">
        <f t="shared" si="12"/>
        <v>0</v>
      </c>
      <c r="BK190">
        <f t="shared" si="12"/>
        <v>0</v>
      </c>
      <c r="BL190">
        <f t="shared" si="12"/>
        <v>0</v>
      </c>
      <c r="BM190">
        <f t="shared" si="12"/>
        <v>0</v>
      </c>
      <c r="BN190">
        <f t="shared" si="12"/>
        <v>0</v>
      </c>
      <c r="BO190">
        <f t="shared" si="12"/>
        <v>0</v>
      </c>
      <c r="BP190">
        <f t="shared" si="12"/>
        <v>0</v>
      </c>
      <c r="BQ190">
        <f t="shared" si="12"/>
        <v>0</v>
      </c>
      <c r="BR190">
        <f t="shared" ref="BR190:DC190" si="13">COUNTA(BR62:BR189)</f>
        <v>0</v>
      </c>
      <c r="BS190">
        <f t="shared" si="13"/>
        <v>0</v>
      </c>
      <c r="BT190">
        <f t="shared" si="13"/>
        <v>0</v>
      </c>
      <c r="BU190">
        <f t="shared" si="13"/>
        <v>0</v>
      </c>
      <c r="BV190">
        <f t="shared" si="13"/>
        <v>0</v>
      </c>
      <c r="BW190">
        <f t="shared" si="13"/>
        <v>0</v>
      </c>
      <c r="BX190">
        <f t="shared" si="13"/>
        <v>0</v>
      </c>
      <c r="BY190">
        <f t="shared" si="13"/>
        <v>0</v>
      </c>
      <c r="BZ190">
        <f t="shared" si="13"/>
        <v>0</v>
      </c>
      <c r="CA190">
        <f t="shared" si="13"/>
        <v>0</v>
      </c>
      <c r="CB190">
        <f t="shared" si="13"/>
        <v>1</v>
      </c>
      <c r="CC190">
        <f t="shared" si="13"/>
        <v>0</v>
      </c>
      <c r="CD190">
        <f t="shared" si="13"/>
        <v>0</v>
      </c>
      <c r="CE190">
        <f t="shared" si="13"/>
        <v>0</v>
      </c>
      <c r="CF190">
        <f t="shared" si="13"/>
        <v>0</v>
      </c>
      <c r="CG190">
        <f t="shared" si="13"/>
        <v>0</v>
      </c>
      <c r="CH190">
        <f t="shared" si="13"/>
        <v>0</v>
      </c>
      <c r="CI190">
        <f t="shared" si="13"/>
        <v>0</v>
      </c>
      <c r="CJ190">
        <f t="shared" si="13"/>
        <v>0</v>
      </c>
      <c r="CK190">
        <f t="shared" si="13"/>
        <v>0</v>
      </c>
      <c r="CL190">
        <f t="shared" si="13"/>
        <v>0</v>
      </c>
      <c r="CM190">
        <f t="shared" si="13"/>
        <v>0</v>
      </c>
      <c r="CN190">
        <f t="shared" si="13"/>
        <v>0</v>
      </c>
      <c r="CO190">
        <f t="shared" si="13"/>
        <v>0</v>
      </c>
      <c r="CP190">
        <f t="shared" si="13"/>
        <v>0</v>
      </c>
      <c r="CQ190">
        <f t="shared" si="13"/>
        <v>0</v>
      </c>
      <c r="CR190">
        <f t="shared" si="13"/>
        <v>0</v>
      </c>
      <c r="CS190">
        <f t="shared" si="13"/>
        <v>0</v>
      </c>
      <c r="CT190">
        <f t="shared" si="13"/>
        <v>0</v>
      </c>
      <c r="CU190">
        <f t="shared" si="13"/>
        <v>0</v>
      </c>
      <c r="CV190">
        <f t="shared" si="13"/>
        <v>0</v>
      </c>
      <c r="CW190">
        <f t="shared" si="13"/>
        <v>0</v>
      </c>
      <c r="CX190">
        <f t="shared" si="13"/>
        <v>0</v>
      </c>
      <c r="CY190">
        <f t="shared" si="13"/>
        <v>0</v>
      </c>
      <c r="CZ190">
        <f t="shared" si="13"/>
        <v>0</v>
      </c>
      <c r="DA190">
        <f t="shared" si="13"/>
        <v>0</v>
      </c>
      <c r="DB190">
        <f t="shared" si="13"/>
        <v>0</v>
      </c>
      <c r="DC190">
        <f t="shared" si="13"/>
        <v>0</v>
      </c>
    </row>
    <row r="191" spans="1:107" x14ac:dyDescent="0.25">
      <c r="A191">
        <v>4289</v>
      </c>
      <c r="B191" t="s">
        <v>17</v>
      </c>
    </row>
    <row r="192" spans="1:107" x14ac:dyDescent="0.25">
      <c r="A192">
        <v>500245</v>
      </c>
      <c r="B192" t="s">
        <v>17</v>
      </c>
    </row>
    <row r="193" spans="1:2" x14ac:dyDescent="0.25">
      <c r="A193">
        <v>2002573</v>
      </c>
      <c r="B193" t="s">
        <v>17</v>
      </c>
    </row>
    <row r="194" spans="1:2" x14ac:dyDescent="0.25">
      <c r="A194">
        <v>2003539</v>
      </c>
      <c r="B194" t="s">
        <v>17</v>
      </c>
    </row>
    <row r="195" spans="1:2" x14ac:dyDescent="0.25">
      <c r="A195">
        <v>2003649</v>
      </c>
      <c r="B195" t="s">
        <v>17</v>
      </c>
    </row>
    <row r="196" spans="1:2" x14ac:dyDescent="0.25">
      <c r="A196">
        <v>2005572</v>
      </c>
      <c r="B196" t="s">
        <v>17</v>
      </c>
    </row>
    <row r="197" spans="1:2" x14ac:dyDescent="0.25">
      <c r="A197">
        <v>2013117</v>
      </c>
      <c r="B197" t="s">
        <v>17</v>
      </c>
    </row>
    <row r="198" spans="1:2" x14ac:dyDescent="0.25">
      <c r="A198">
        <v>3009633</v>
      </c>
      <c r="B198" t="s">
        <v>17</v>
      </c>
    </row>
    <row r="199" spans="1:2" x14ac:dyDescent="0.25">
      <c r="A199">
        <v>3010583</v>
      </c>
      <c r="B199" t="s">
        <v>17</v>
      </c>
    </row>
    <row r="200" spans="1:2" x14ac:dyDescent="0.25">
      <c r="A200" s="17">
        <v>3011892</v>
      </c>
      <c r="B200" t="s">
        <v>17</v>
      </c>
    </row>
    <row r="201" spans="1:2" x14ac:dyDescent="0.25">
      <c r="A201">
        <v>4001382</v>
      </c>
      <c r="B201" t="s">
        <v>17</v>
      </c>
    </row>
    <row r="202" spans="1:2" x14ac:dyDescent="0.25">
      <c r="A202">
        <v>5018675</v>
      </c>
      <c r="B202" t="s">
        <v>17</v>
      </c>
    </row>
    <row r="203" spans="1:2" x14ac:dyDescent="0.25">
      <c r="A203">
        <v>6050168</v>
      </c>
      <c r="B203" t="s">
        <v>17</v>
      </c>
    </row>
    <row r="204" spans="1:2" x14ac:dyDescent="0.25">
      <c r="A204">
        <v>7003242</v>
      </c>
      <c r="B204" t="s">
        <v>17</v>
      </c>
    </row>
    <row r="205" spans="1:2" x14ac:dyDescent="0.25">
      <c r="A205">
        <v>12022536</v>
      </c>
      <c r="B205" t="s">
        <v>17</v>
      </c>
    </row>
    <row r="206" spans="1:2" x14ac:dyDescent="0.25">
      <c r="A206">
        <v>13020792</v>
      </c>
      <c r="B206" t="s">
        <v>17</v>
      </c>
    </row>
    <row r="207" spans="1:2" x14ac:dyDescent="0.25">
      <c r="A207">
        <v>97005797</v>
      </c>
      <c r="B207" t="s">
        <v>17</v>
      </c>
    </row>
    <row r="208" spans="1:2" x14ac:dyDescent="0.25">
      <c r="A208">
        <v>99000345</v>
      </c>
      <c r="B208" t="s">
        <v>17</v>
      </c>
    </row>
    <row r="209" spans="1:2" x14ac:dyDescent="0.25">
      <c r="A209">
        <v>5006592</v>
      </c>
      <c r="B209" t="s">
        <v>17</v>
      </c>
    </row>
    <row r="210" spans="1:2" x14ac:dyDescent="0.25">
      <c r="A210">
        <v>5007274</v>
      </c>
      <c r="B210" t="s">
        <v>17</v>
      </c>
    </row>
    <row r="211" spans="1:2" x14ac:dyDescent="0.25">
      <c r="A211">
        <v>5015851</v>
      </c>
      <c r="B211" t="s">
        <v>17</v>
      </c>
    </row>
    <row r="212" spans="1:2" x14ac:dyDescent="0.25">
      <c r="A212">
        <v>6015647</v>
      </c>
      <c r="B212" t="s">
        <v>17</v>
      </c>
    </row>
    <row r="213" spans="1:2" x14ac:dyDescent="0.25">
      <c r="A213">
        <v>6056633</v>
      </c>
      <c r="B213" t="s">
        <v>17</v>
      </c>
    </row>
    <row r="214" spans="1:2" x14ac:dyDescent="0.25">
      <c r="A214">
        <v>7086224</v>
      </c>
      <c r="B214" t="s">
        <v>17</v>
      </c>
    </row>
    <row r="215" spans="1:2" x14ac:dyDescent="0.25">
      <c r="A215">
        <v>8040959</v>
      </c>
      <c r="B215" t="s">
        <v>17</v>
      </c>
    </row>
    <row r="216" spans="1:2" x14ac:dyDescent="0.25">
      <c r="A216">
        <v>8107048</v>
      </c>
      <c r="B216" t="s">
        <v>17</v>
      </c>
    </row>
    <row r="217" spans="1:2" x14ac:dyDescent="0.25">
      <c r="A217">
        <v>8124044</v>
      </c>
      <c r="B217" t="s">
        <v>17</v>
      </c>
    </row>
    <row r="218" spans="1:2" x14ac:dyDescent="0.25">
      <c r="A218">
        <v>8142949</v>
      </c>
      <c r="B218" t="s">
        <v>17</v>
      </c>
    </row>
    <row r="219" spans="1:2" x14ac:dyDescent="0.25">
      <c r="A219">
        <v>9023306</v>
      </c>
      <c r="B219" t="s">
        <v>17</v>
      </c>
    </row>
    <row r="220" spans="1:2" x14ac:dyDescent="0.25">
      <c r="A220">
        <v>9034464</v>
      </c>
      <c r="B220" t="s">
        <v>17</v>
      </c>
    </row>
    <row r="221" spans="1:2" x14ac:dyDescent="0.25">
      <c r="A221">
        <v>9040167</v>
      </c>
      <c r="B221" t="s">
        <v>17</v>
      </c>
    </row>
    <row r="222" spans="1:2" x14ac:dyDescent="0.25">
      <c r="A222">
        <v>9054567</v>
      </c>
      <c r="B222" t="s">
        <v>17</v>
      </c>
    </row>
    <row r="223" spans="1:2" x14ac:dyDescent="0.25">
      <c r="A223">
        <v>9083682</v>
      </c>
      <c r="B223" t="s">
        <v>17</v>
      </c>
    </row>
    <row r="224" spans="1:2" x14ac:dyDescent="0.25">
      <c r="A224">
        <v>9102044</v>
      </c>
      <c r="B224" t="s">
        <v>17</v>
      </c>
    </row>
    <row r="225" spans="1:57" x14ac:dyDescent="0.25">
      <c r="A225">
        <v>9119854</v>
      </c>
      <c r="B225" t="s">
        <v>17</v>
      </c>
    </row>
    <row r="226" spans="1:57" x14ac:dyDescent="0.25">
      <c r="A226">
        <v>9125126</v>
      </c>
      <c r="B226" t="s">
        <v>17</v>
      </c>
    </row>
    <row r="227" spans="1:57" x14ac:dyDescent="0.25">
      <c r="A227">
        <v>9174811</v>
      </c>
      <c r="B227" t="s">
        <v>17</v>
      </c>
    </row>
    <row r="228" spans="1:57" x14ac:dyDescent="0.25">
      <c r="A228">
        <v>10002875</v>
      </c>
      <c r="B228" t="s">
        <v>17</v>
      </c>
      <c r="Y228" s="12" t="s">
        <v>151</v>
      </c>
      <c r="BE228" s="12" t="s">
        <v>151</v>
      </c>
    </row>
    <row r="229" spans="1:57" x14ac:dyDescent="0.25">
      <c r="A229">
        <v>10023080</v>
      </c>
      <c r="B229" t="s">
        <v>17</v>
      </c>
    </row>
    <row r="230" spans="1:57" x14ac:dyDescent="0.25">
      <c r="A230">
        <v>10025212</v>
      </c>
      <c r="B230" t="s">
        <v>17</v>
      </c>
    </row>
    <row r="231" spans="1:57" x14ac:dyDescent="0.25">
      <c r="A231">
        <v>10069407</v>
      </c>
      <c r="B231" t="s">
        <v>17</v>
      </c>
    </row>
    <row r="232" spans="1:57" x14ac:dyDescent="0.25">
      <c r="A232">
        <v>10071135</v>
      </c>
      <c r="B232" t="s">
        <v>17</v>
      </c>
    </row>
    <row r="233" spans="1:57" x14ac:dyDescent="0.25">
      <c r="A233">
        <v>10083649</v>
      </c>
      <c r="B233" t="s">
        <v>17</v>
      </c>
    </row>
    <row r="234" spans="1:57" x14ac:dyDescent="0.25">
      <c r="A234">
        <v>10102021</v>
      </c>
      <c r="B234" t="s">
        <v>17</v>
      </c>
    </row>
    <row r="235" spans="1:57" x14ac:dyDescent="0.25">
      <c r="A235">
        <v>10123729</v>
      </c>
      <c r="B235" t="s">
        <v>17</v>
      </c>
    </row>
    <row r="236" spans="1:57" x14ac:dyDescent="0.25">
      <c r="A236">
        <v>10144736</v>
      </c>
      <c r="B236" t="s">
        <v>17</v>
      </c>
    </row>
    <row r="237" spans="1:57" x14ac:dyDescent="0.25">
      <c r="A237">
        <v>10157275</v>
      </c>
      <c r="B237" t="s">
        <v>17</v>
      </c>
    </row>
    <row r="238" spans="1:57" x14ac:dyDescent="0.25">
      <c r="A238">
        <v>10190869</v>
      </c>
      <c r="B238" t="s">
        <v>17</v>
      </c>
    </row>
    <row r="239" spans="1:57" x14ac:dyDescent="0.25">
      <c r="A239">
        <v>11008417</v>
      </c>
      <c r="B239" t="s">
        <v>17</v>
      </c>
    </row>
    <row r="240" spans="1:57" x14ac:dyDescent="0.25">
      <c r="A240">
        <v>11043926</v>
      </c>
      <c r="B240" t="s">
        <v>17</v>
      </c>
    </row>
    <row r="241" spans="1:81" x14ac:dyDescent="0.25">
      <c r="A241">
        <v>11049060</v>
      </c>
      <c r="B241" t="s">
        <v>17</v>
      </c>
      <c r="Y241" s="12" t="s">
        <v>152</v>
      </c>
    </row>
    <row r="242" spans="1:81" x14ac:dyDescent="0.25">
      <c r="A242">
        <v>11058012</v>
      </c>
      <c r="B242" t="s">
        <v>17</v>
      </c>
      <c r="CC242" t="s">
        <v>153</v>
      </c>
    </row>
    <row r="243" spans="1:81" x14ac:dyDescent="0.25">
      <c r="A243">
        <v>11082290</v>
      </c>
      <c r="B243" t="s">
        <v>17</v>
      </c>
    </row>
    <row r="244" spans="1:81" x14ac:dyDescent="0.25">
      <c r="A244">
        <v>11096431</v>
      </c>
      <c r="B244" t="s">
        <v>17</v>
      </c>
    </row>
    <row r="245" spans="1:81" x14ac:dyDescent="0.25">
      <c r="A245">
        <v>11105672</v>
      </c>
      <c r="B245" t="s">
        <v>17</v>
      </c>
    </row>
    <row r="246" spans="1:81" x14ac:dyDescent="0.25">
      <c r="A246" t="s">
        <v>18</v>
      </c>
      <c r="B246" t="s">
        <v>17</v>
      </c>
    </row>
    <row r="247" spans="1:81" x14ac:dyDescent="0.25">
      <c r="A247">
        <v>11136262</v>
      </c>
      <c r="B247" t="s">
        <v>17</v>
      </c>
    </row>
    <row r="248" spans="1:81" x14ac:dyDescent="0.25">
      <c r="A248">
        <v>11178455</v>
      </c>
      <c r="B248" t="s">
        <v>17</v>
      </c>
    </row>
    <row r="249" spans="1:81" x14ac:dyDescent="0.25">
      <c r="A249">
        <v>11179526</v>
      </c>
      <c r="B249" t="s">
        <v>17</v>
      </c>
    </row>
    <row r="250" spans="1:81" x14ac:dyDescent="0.25">
      <c r="A250">
        <v>11187511</v>
      </c>
      <c r="B250" t="s">
        <v>17</v>
      </c>
    </row>
    <row r="251" spans="1:81" x14ac:dyDescent="0.25">
      <c r="A251">
        <v>11223290</v>
      </c>
      <c r="B251" t="s">
        <v>17</v>
      </c>
    </row>
    <row r="252" spans="1:81" x14ac:dyDescent="0.25">
      <c r="A252">
        <v>11228365</v>
      </c>
      <c r="B252" t="s">
        <v>17</v>
      </c>
    </row>
    <row r="253" spans="1:81" x14ac:dyDescent="0.25">
      <c r="A253">
        <v>12020246</v>
      </c>
      <c r="B253" t="s">
        <v>17</v>
      </c>
    </row>
    <row r="254" spans="1:81" x14ac:dyDescent="0.25">
      <c r="A254">
        <v>12035138</v>
      </c>
      <c r="B254" t="s">
        <v>17</v>
      </c>
    </row>
    <row r="255" spans="1:81" x14ac:dyDescent="0.25">
      <c r="A255">
        <v>12111578</v>
      </c>
      <c r="B255" t="s">
        <v>17</v>
      </c>
    </row>
    <row r="256" spans="1:81" x14ac:dyDescent="0.25">
      <c r="A256">
        <v>12133434</v>
      </c>
      <c r="B256" t="s">
        <v>17</v>
      </c>
    </row>
    <row r="257" spans="1:105" x14ac:dyDescent="0.25">
      <c r="A257">
        <v>12164268</v>
      </c>
      <c r="B257" t="s">
        <v>17</v>
      </c>
    </row>
    <row r="258" spans="1:105" x14ac:dyDescent="0.25">
      <c r="A258">
        <v>12164269</v>
      </c>
      <c r="B258" t="s">
        <v>17</v>
      </c>
    </row>
    <row r="259" spans="1:105" x14ac:dyDescent="0.25">
      <c r="A259">
        <v>12168562</v>
      </c>
      <c r="B259" t="s">
        <v>17</v>
      </c>
    </row>
    <row r="260" spans="1:105" x14ac:dyDescent="0.25">
      <c r="A260">
        <v>12190939</v>
      </c>
      <c r="B260" t="s">
        <v>17</v>
      </c>
    </row>
    <row r="261" spans="1:105" x14ac:dyDescent="0.25">
      <c r="A261">
        <v>12311081</v>
      </c>
      <c r="B261" t="s">
        <v>17</v>
      </c>
    </row>
    <row r="262" spans="1:105" x14ac:dyDescent="0.25">
      <c r="A262">
        <v>6000832</v>
      </c>
      <c r="B262" t="s">
        <v>17</v>
      </c>
    </row>
    <row r="263" spans="1:105" x14ac:dyDescent="0.25">
      <c r="A263">
        <v>9030615</v>
      </c>
      <c r="B263" t="s">
        <v>17</v>
      </c>
    </row>
    <row r="264" spans="1:105" x14ac:dyDescent="0.25">
      <c r="A264" t="s">
        <v>19</v>
      </c>
      <c r="B264" t="s">
        <v>17</v>
      </c>
    </row>
    <row r="265" spans="1:105" x14ac:dyDescent="0.25">
      <c r="A265" t="s">
        <v>20</v>
      </c>
      <c r="B265" t="s">
        <v>17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CH265" s="4"/>
      <c r="CI265" s="4"/>
      <c r="CJ265" s="4"/>
      <c r="CK265" s="4"/>
      <c r="CL265" s="4"/>
      <c r="CM265" s="4"/>
    </row>
    <row r="266" spans="1:105" x14ac:dyDescent="0.25">
      <c r="C266">
        <f>COUNTA(C191:C265)</f>
        <v>0</v>
      </c>
      <c r="D266">
        <f>COUNTA(D191:D265)</f>
        <v>0</v>
      </c>
      <c r="E266">
        <f t="shared" ref="E266:BP266" si="14">COUNTA(E191:E265)</f>
        <v>0</v>
      </c>
      <c r="F266">
        <f t="shared" si="14"/>
        <v>0</v>
      </c>
      <c r="G266">
        <f t="shared" si="14"/>
        <v>0</v>
      </c>
      <c r="H266">
        <f t="shared" si="14"/>
        <v>0</v>
      </c>
      <c r="I266">
        <f t="shared" si="14"/>
        <v>0</v>
      </c>
      <c r="J266">
        <f t="shared" si="14"/>
        <v>0</v>
      </c>
      <c r="K266">
        <f t="shared" si="14"/>
        <v>0</v>
      </c>
      <c r="L266">
        <f t="shared" si="14"/>
        <v>0</v>
      </c>
      <c r="M266">
        <f t="shared" si="14"/>
        <v>0</v>
      </c>
      <c r="N266">
        <f t="shared" si="14"/>
        <v>0</v>
      </c>
      <c r="O266">
        <f t="shared" si="14"/>
        <v>0</v>
      </c>
      <c r="P266">
        <f t="shared" si="14"/>
        <v>0</v>
      </c>
      <c r="Q266">
        <f t="shared" si="14"/>
        <v>0</v>
      </c>
      <c r="R266">
        <f t="shared" si="14"/>
        <v>0</v>
      </c>
      <c r="S266">
        <f t="shared" si="14"/>
        <v>0</v>
      </c>
      <c r="T266">
        <f t="shared" si="14"/>
        <v>0</v>
      </c>
      <c r="U266">
        <f t="shared" si="14"/>
        <v>0</v>
      </c>
      <c r="V266">
        <f t="shared" si="14"/>
        <v>0</v>
      </c>
      <c r="W266">
        <f t="shared" si="14"/>
        <v>0</v>
      </c>
      <c r="X266">
        <f t="shared" si="14"/>
        <v>0</v>
      </c>
      <c r="Y266">
        <f t="shared" si="14"/>
        <v>2</v>
      </c>
      <c r="Z266">
        <f t="shared" si="14"/>
        <v>0</v>
      </c>
      <c r="AA266">
        <f t="shared" si="14"/>
        <v>0</v>
      </c>
      <c r="AB266">
        <f t="shared" si="14"/>
        <v>0</v>
      </c>
      <c r="AC266">
        <f t="shared" si="14"/>
        <v>0</v>
      </c>
      <c r="AD266">
        <f t="shared" si="14"/>
        <v>0</v>
      </c>
      <c r="AE266">
        <f t="shared" si="14"/>
        <v>0</v>
      </c>
      <c r="AF266">
        <f t="shared" si="14"/>
        <v>0</v>
      </c>
      <c r="AG266">
        <f t="shared" si="14"/>
        <v>0</v>
      </c>
      <c r="AH266">
        <f t="shared" si="14"/>
        <v>0</v>
      </c>
      <c r="AI266">
        <f t="shared" si="14"/>
        <v>0</v>
      </c>
      <c r="AJ266">
        <f t="shared" si="14"/>
        <v>0</v>
      </c>
      <c r="AK266">
        <f t="shared" si="14"/>
        <v>0</v>
      </c>
      <c r="AL266">
        <f t="shared" si="14"/>
        <v>0</v>
      </c>
      <c r="AM266">
        <f t="shared" si="14"/>
        <v>0</v>
      </c>
      <c r="AN266">
        <f t="shared" si="14"/>
        <v>0</v>
      </c>
      <c r="AO266">
        <f t="shared" si="14"/>
        <v>0</v>
      </c>
      <c r="AP266">
        <f t="shared" si="14"/>
        <v>0</v>
      </c>
      <c r="AQ266">
        <f t="shared" si="14"/>
        <v>0</v>
      </c>
      <c r="AR266">
        <f t="shared" si="14"/>
        <v>0</v>
      </c>
      <c r="AS266">
        <f t="shared" si="14"/>
        <v>0</v>
      </c>
      <c r="AT266">
        <f t="shared" si="14"/>
        <v>0</v>
      </c>
      <c r="AU266">
        <f t="shared" si="14"/>
        <v>0</v>
      </c>
      <c r="AV266">
        <f t="shared" si="14"/>
        <v>0</v>
      </c>
      <c r="AW266">
        <f t="shared" si="14"/>
        <v>0</v>
      </c>
      <c r="AX266">
        <f t="shared" si="14"/>
        <v>0</v>
      </c>
      <c r="AY266">
        <f t="shared" si="14"/>
        <v>0</v>
      </c>
      <c r="AZ266">
        <f t="shared" si="14"/>
        <v>0</v>
      </c>
      <c r="BA266">
        <f t="shared" si="14"/>
        <v>0</v>
      </c>
      <c r="BB266">
        <f t="shared" si="14"/>
        <v>0</v>
      </c>
      <c r="BC266">
        <f t="shared" si="14"/>
        <v>0</v>
      </c>
      <c r="BD266">
        <f t="shared" si="14"/>
        <v>0</v>
      </c>
      <c r="BE266">
        <f t="shared" si="14"/>
        <v>1</v>
      </c>
      <c r="BF266">
        <f t="shared" si="14"/>
        <v>0</v>
      </c>
      <c r="BG266">
        <f t="shared" si="14"/>
        <v>0</v>
      </c>
      <c r="BH266">
        <f t="shared" si="14"/>
        <v>0</v>
      </c>
      <c r="BI266">
        <f t="shared" si="14"/>
        <v>0</v>
      </c>
      <c r="BJ266">
        <f t="shared" si="14"/>
        <v>0</v>
      </c>
      <c r="BK266">
        <f t="shared" si="14"/>
        <v>0</v>
      </c>
      <c r="BL266">
        <f t="shared" si="14"/>
        <v>0</v>
      </c>
      <c r="BM266">
        <f t="shared" si="14"/>
        <v>0</v>
      </c>
      <c r="BN266">
        <f t="shared" si="14"/>
        <v>0</v>
      </c>
      <c r="BO266">
        <f t="shared" si="14"/>
        <v>0</v>
      </c>
      <c r="BP266">
        <f t="shared" si="14"/>
        <v>0</v>
      </c>
      <c r="BQ266">
        <f t="shared" ref="BQ266:DA266" si="15">COUNTA(BQ191:BQ265)</f>
        <v>0</v>
      </c>
      <c r="BR266">
        <f t="shared" si="15"/>
        <v>0</v>
      </c>
      <c r="BS266">
        <f t="shared" si="15"/>
        <v>0</v>
      </c>
      <c r="BT266">
        <f t="shared" si="15"/>
        <v>0</v>
      </c>
      <c r="BU266">
        <f t="shared" si="15"/>
        <v>0</v>
      </c>
      <c r="BV266">
        <f t="shared" si="15"/>
        <v>0</v>
      </c>
      <c r="BW266">
        <f t="shared" si="15"/>
        <v>0</v>
      </c>
      <c r="BX266">
        <f t="shared" si="15"/>
        <v>0</v>
      </c>
      <c r="BY266">
        <f t="shared" si="15"/>
        <v>0</v>
      </c>
      <c r="BZ266">
        <f t="shared" si="15"/>
        <v>0</v>
      </c>
      <c r="CA266">
        <f t="shared" si="15"/>
        <v>0</v>
      </c>
      <c r="CB266">
        <f t="shared" si="15"/>
        <v>0</v>
      </c>
      <c r="CC266">
        <f t="shared" si="15"/>
        <v>1</v>
      </c>
      <c r="CD266">
        <f t="shared" si="15"/>
        <v>0</v>
      </c>
      <c r="CE266">
        <f t="shared" si="15"/>
        <v>0</v>
      </c>
      <c r="CF266">
        <f t="shared" si="15"/>
        <v>0</v>
      </c>
      <c r="CG266">
        <f t="shared" si="15"/>
        <v>0</v>
      </c>
      <c r="CH266">
        <f t="shared" si="15"/>
        <v>0</v>
      </c>
      <c r="CI266">
        <f t="shared" si="15"/>
        <v>0</v>
      </c>
      <c r="CJ266">
        <f t="shared" si="15"/>
        <v>0</v>
      </c>
      <c r="CK266">
        <f t="shared" si="15"/>
        <v>0</v>
      </c>
      <c r="CL266">
        <f t="shared" si="15"/>
        <v>0</v>
      </c>
      <c r="CM266">
        <f t="shared" si="15"/>
        <v>0</v>
      </c>
      <c r="CN266">
        <f t="shared" si="15"/>
        <v>0</v>
      </c>
      <c r="CO266">
        <f t="shared" si="15"/>
        <v>0</v>
      </c>
      <c r="CP266">
        <f t="shared" si="15"/>
        <v>0</v>
      </c>
      <c r="CQ266">
        <f t="shared" si="15"/>
        <v>0</v>
      </c>
      <c r="CR266">
        <f t="shared" si="15"/>
        <v>0</v>
      </c>
      <c r="CS266">
        <f t="shared" si="15"/>
        <v>0</v>
      </c>
      <c r="CT266">
        <f t="shared" si="15"/>
        <v>0</v>
      </c>
      <c r="CU266">
        <f t="shared" si="15"/>
        <v>0</v>
      </c>
      <c r="CV266">
        <f t="shared" si="15"/>
        <v>0</v>
      </c>
      <c r="CW266">
        <f t="shared" si="15"/>
        <v>0</v>
      </c>
      <c r="CX266">
        <f t="shared" si="15"/>
        <v>0</v>
      </c>
      <c r="CY266">
        <f t="shared" si="15"/>
        <v>0</v>
      </c>
      <c r="CZ266">
        <f t="shared" si="15"/>
        <v>0</v>
      </c>
      <c r="DA266">
        <f t="shared" si="15"/>
        <v>0</v>
      </c>
    </row>
    <row r="267" spans="1:105" x14ac:dyDescent="0.25">
      <c r="A267">
        <v>5281</v>
      </c>
      <c r="B267" t="s">
        <v>21</v>
      </c>
    </row>
    <row r="268" spans="1:105" x14ac:dyDescent="0.25">
      <c r="A268">
        <v>200085</v>
      </c>
      <c r="B268" t="s">
        <v>21</v>
      </c>
    </row>
    <row r="269" spans="1:105" x14ac:dyDescent="0.25">
      <c r="A269">
        <v>500129</v>
      </c>
      <c r="B269" t="s">
        <v>21</v>
      </c>
    </row>
    <row r="270" spans="1:105" x14ac:dyDescent="0.25">
      <c r="A270" s="17">
        <v>1002033</v>
      </c>
      <c r="B270" t="s">
        <v>21</v>
      </c>
    </row>
    <row r="271" spans="1:105" x14ac:dyDescent="0.25">
      <c r="A271">
        <v>1003457</v>
      </c>
      <c r="B271" t="s">
        <v>21</v>
      </c>
    </row>
    <row r="272" spans="1:105" x14ac:dyDescent="0.25">
      <c r="A272">
        <v>2005223</v>
      </c>
      <c r="B272" t="s">
        <v>21</v>
      </c>
    </row>
    <row r="273" spans="1:25" x14ac:dyDescent="0.25">
      <c r="A273">
        <v>2006107</v>
      </c>
      <c r="B273" t="s">
        <v>21</v>
      </c>
    </row>
    <row r="274" spans="1:25" x14ac:dyDescent="0.25">
      <c r="A274">
        <v>2012014</v>
      </c>
      <c r="B274" t="s">
        <v>21</v>
      </c>
    </row>
    <row r="275" spans="1:25" x14ac:dyDescent="0.25">
      <c r="A275">
        <v>3000152</v>
      </c>
      <c r="B275" t="s">
        <v>21</v>
      </c>
      <c r="Y275" s="12" t="s">
        <v>145</v>
      </c>
    </row>
    <row r="276" spans="1:25" x14ac:dyDescent="0.25">
      <c r="A276">
        <v>3014566</v>
      </c>
      <c r="B276" t="s">
        <v>21</v>
      </c>
    </row>
    <row r="277" spans="1:25" x14ac:dyDescent="0.25">
      <c r="A277">
        <v>3015058</v>
      </c>
      <c r="B277" t="s">
        <v>21</v>
      </c>
    </row>
    <row r="278" spans="1:25" x14ac:dyDescent="0.25">
      <c r="A278" s="17">
        <v>4000996</v>
      </c>
      <c r="B278" t="s">
        <v>21</v>
      </c>
    </row>
    <row r="279" spans="1:25" x14ac:dyDescent="0.25">
      <c r="A279">
        <v>4003768</v>
      </c>
      <c r="B279" t="s">
        <v>21</v>
      </c>
    </row>
    <row r="280" spans="1:25" x14ac:dyDescent="0.25">
      <c r="A280">
        <v>4006540</v>
      </c>
      <c r="B280" t="s">
        <v>21</v>
      </c>
    </row>
    <row r="281" spans="1:25" x14ac:dyDescent="0.25">
      <c r="A281">
        <v>4007054</v>
      </c>
      <c r="B281" t="s">
        <v>21</v>
      </c>
    </row>
    <row r="282" spans="1:25" x14ac:dyDescent="0.25">
      <c r="A282">
        <v>4011002</v>
      </c>
      <c r="B282" t="s">
        <v>21</v>
      </c>
    </row>
    <row r="283" spans="1:25" x14ac:dyDescent="0.25">
      <c r="A283">
        <v>4900268</v>
      </c>
      <c r="B283" t="s">
        <v>21</v>
      </c>
    </row>
    <row r="284" spans="1:25" x14ac:dyDescent="0.25">
      <c r="A284">
        <v>5001097</v>
      </c>
      <c r="B284" t="s">
        <v>21</v>
      </c>
    </row>
    <row r="285" spans="1:25" x14ac:dyDescent="0.25">
      <c r="A285">
        <v>5001098</v>
      </c>
      <c r="B285" t="s">
        <v>21</v>
      </c>
    </row>
    <row r="286" spans="1:25" x14ac:dyDescent="0.25">
      <c r="A286">
        <v>5006152</v>
      </c>
      <c r="B286" t="s">
        <v>21</v>
      </c>
    </row>
    <row r="287" spans="1:25" x14ac:dyDescent="0.25">
      <c r="A287">
        <v>5011824</v>
      </c>
      <c r="B287" t="s">
        <v>21</v>
      </c>
    </row>
    <row r="288" spans="1:25" x14ac:dyDescent="0.25">
      <c r="A288">
        <v>5016179</v>
      </c>
      <c r="B288" t="s">
        <v>21</v>
      </c>
    </row>
    <row r="289" spans="1:72" x14ac:dyDescent="0.25">
      <c r="A289">
        <v>7079011</v>
      </c>
      <c r="B289" t="s">
        <v>21</v>
      </c>
    </row>
    <row r="290" spans="1:72" x14ac:dyDescent="0.25">
      <c r="A290">
        <v>8135416</v>
      </c>
      <c r="B290" t="s">
        <v>21</v>
      </c>
    </row>
    <row r="291" spans="1:72" x14ac:dyDescent="0.25">
      <c r="A291">
        <v>93018945</v>
      </c>
      <c r="B291" t="s">
        <v>21</v>
      </c>
    </row>
    <row r="292" spans="1:72" x14ac:dyDescent="0.25">
      <c r="A292">
        <v>94009028</v>
      </c>
      <c r="B292" t="s">
        <v>21</v>
      </c>
    </row>
    <row r="293" spans="1:72" x14ac:dyDescent="0.25">
      <c r="A293">
        <v>95005907</v>
      </c>
      <c r="B293" t="s">
        <v>21</v>
      </c>
    </row>
    <row r="294" spans="1:72" x14ac:dyDescent="0.25">
      <c r="A294">
        <v>95900164</v>
      </c>
      <c r="B294" t="s">
        <v>21</v>
      </c>
    </row>
    <row r="295" spans="1:72" x14ac:dyDescent="0.25">
      <c r="A295">
        <v>96015811</v>
      </c>
      <c r="B295" t="s">
        <v>21</v>
      </c>
    </row>
    <row r="296" spans="1:72" x14ac:dyDescent="0.25">
      <c r="A296">
        <v>97001240</v>
      </c>
      <c r="B296" t="s">
        <v>21</v>
      </c>
      <c r="BT296" s="12" t="s">
        <v>151</v>
      </c>
    </row>
    <row r="297" spans="1:72" x14ac:dyDescent="0.25">
      <c r="A297">
        <v>97005366</v>
      </c>
      <c r="B297" t="s">
        <v>21</v>
      </c>
    </row>
    <row r="298" spans="1:72" x14ac:dyDescent="0.25">
      <c r="A298">
        <v>98000595</v>
      </c>
      <c r="B298" t="s">
        <v>21</v>
      </c>
    </row>
    <row r="299" spans="1:72" x14ac:dyDescent="0.25">
      <c r="A299">
        <v>98002692</v>
      </c>
      <c r="B299" t="s">
        <v>21</v>
      </c>
    </row>
    <row r="300" spans="1:72" x14ac:dyDescent="0.25">
      <c r="A300">
        <v>98005277</v>
      </c>
      <c r="B300" t="s">
        <v>21</v>
      </c>
    </row>
    <row r="301" spans="1:72" x14ac:dyDescent="0.25">
      <c r="A301">
        <v>99001815</v>
      </c>
      <c r="B301" t="s">
        <v>21</v>
      </c>
    </row>
    <row r="302" spans="1:72" x14ac:dyDescent="0.25">
      <c r="A302">
        <v>6012361</v>
      </c>
      <c r="B302" t="s">
        <v>21</v>
      </c>
    </row>
    <row r="303" spans="1:72" x14ac:dyDescent="0.25">
      <c r="A303">
        <v>6015793</v>
      </c>
      <c r="B303" t="s">
        <v>21</v>
      </c>
    </row>
    <row r="304" spans="1:72" x14ac:dyDescent="0.25">
      <c r="A304">
        <v>6043619</v>
      </c>
      <c r="B304" t="s">
        <v>21</v>
      </c>
    </row>
    <row r="305" spans="1:2" x14ac:dyDescent="0.25">
      <c r="A305">
        <v>7001097</v>
      </c>
      <c r="B305" t="s">
        <v>21</v>
      </c>
    </row>
    <row r="306" spans="1:2" x14ac:dyDescent="0.25">
      <c r="A306">
        <v>7011435</v>
      </c>
      <c r="B306" t="s">
        <v>21</v>
      </c>
    </row>
    <row r="307" spans="1:2" x14ac:dyDescent="0.25">
      <c r="A307">
        <v>7045811</v>
      </c>
      <c r="B307" t="s">
        <v>21</v>
      </c>
    </row>
    <row r="308" spans="1:2" x14ac:dyDescent="0.25">
      <c r="A308">
        <v>7071198</v>
      </c>
      <c r="B308" t="s">
        <v>21</v>
      </c>
    </row>
    <row r="309" spans="1:2" x14ac:dyDescent="0.25">
      <c r="A309">
        <v>7101143</v>
      </c>
      <c r="B309" t="s">
        <v>21</v>
      </c>
    </row>
    <row r="310" spans="1:2" x14ac:dyDescent="0.25">
      <c r="A310">
        <v>8073350</v>
      </c>
      <c r="B310" t="s">
        <v>21</v>
      </c>
    </row>
    <row r="311" spans="1:2" x14ac:dyDescent="0.25">
      <c r="A311">
        <v>8073645</v>
      </c>
      <c r="B311" t="s">
        <v>21</v>
      </c>
    </row>
    <row r="312" spans="1:2" x14ac:dyDescent="0.25">
      <c r="A312" s="17">
        <v>8089666</v>
      </c>
      <c r="B312" t="s">
        <v>21</v>
      </c>
    </row>
    <row r="313" spans="1:2" x14ac:dyDescent="0.25">
      <c r="A313">
        <v>8103536</v>
      </c>
      <c r="B313" t="s">
        <v>21</v>
      </c>
    </row>
    <row r="314" spans="1:2" x14ac:dyDescent="0.25">
      <c r="A314" t="s">
        <v>22</v>
      </c>
      <c r="B314" t="s">
        <v>21</v>
      </c>
    </row>
    <row r="315" spans="1:2" x14ac:dyDescent="0.25">
      <c r="A315">
        <v>9003267</v>
      </c>
      <c r="B315" t="s">
        <v>21</v>
      </c>
    </row>
    <row r="316" spans="1:2" x14ac:dyDescent="0.25">
      <c r="A316">
        <v>9036964</v>
      </c>
      <c r="B316" t="s">
        <v>21</v>
      </c>
    </row>
    <row r="317" spans="1:2" x14ac:dyDescent="0.25">
      <c r="A317">
        <v>9090287</v>
      </c>
      <c r="B317" t="s">
        <v>21</v>
      </c>
    </row>
    <row r="318" spans="1:2" x14ac:dyDescent="0.25">
      <c r="A318">
        <v>9095148</v>
      </c>
      <c r="B318" t="s">
        <v>21</v>
      </c>
    </row>
    <row r="319" spans="1:2" x14ac:dyDescent="0.25">
      <c r="A319">
        <v>9104979</v>
      </c>
      <c r="B319" t="s">
        <v>21</v>
      </c>
    </row>
    <row r="320" spans="1:2" x14ac:dyDescent="0.25">
      <c r="A320">
        <v>9139514</v>
      </c>
      <c r="B320" t="s">
        <v>21</v>
      </c>
    </row>
    <row r="321" spans="1:25" x14ac:dyDescent="0.25">
      <c r="A321">
        <v>10020659</v>
      </c>
      <c r="B321" t="s">
        <v>21</v>
      </c>
    </row>
    <row r="322" spans="1:25" x14ac:dyDescent="0.25">
      <c r="A322">
        <v>10025902</v>
      </c>
      <c r="B322" t="s">
        <v>21</v>
      </c>
    </row>
    <row r="323" spans="1:25" x14ac:dyDescent="0.25">
      <c r="A323">
        <v>10027654</v>
      </c>
      <c r="B323" t="s">
        <v>21</v>
      </c>
    </row>
    <row r="324" spans="1:25" x14ac:dyDescent="0.25">
      <c r="A324">
        <v>10084485</v>
      </c>
      <c r="B324" t="s">
        <v>21</v>
      </c>
    </row>
    <row r="325" spans="1:25" x14ac:dyDescent="0.25">
      <c r="A325">
        <v>10098420</v>
      </c>
      <c r="B325" t="s">
        <v>21</v>
      </c>
    </row>
    <row r="326" spans="1:25" x14ac:dyDescent="0.25">
      <c r="A326">
        <v>10129565</v>
      </c>
      <c r="B326" t="s">
        <v>21</v>
      </c>
    </row>
    <row r="327" spans="1:25" x14ac:dyDescent="0.25">
      <c r="A327">
        <v>10146828</v>
      </c>
      <c r="B327" t="s">
        <v>21</v>
      </c>
    </row>
    <row r="328" spans="1:25" x14ac:dyDescent="0.25">
      <c r="A328">
        <v>10163776</v>
      </c>
      <c r="B328" t="s">
        <v>21</v>
      </c>
    </row>
    <row r="329" spans="1:25" x14ac:dyDescent="0.25">
      <c r="A329">
        <v>10173664</v>
      </c>
      <c r="B329" t="s">
        <v>21</v>
      </c>
    </row>
    <row r="330" spans="1:25" x14ac:dyDescent="0.25">
      <c r="A330">
        <v>11000454</v>
      </c>
      <c r="B330" t="s">
        <v>21</v>
      </c>
    </row>
    <row r="331" spans="1:25" x14ac:dyDescent="0.25">
      <c r="A331">
        <v>11083498</v>
      </c>
      <c r="B331" t="s">
        <v>21</v>
      </c>
    </row>
    <row r="332" spans="1:25" x14ac:dyDescent="0.25">
      <c r="A332">
        <v>11138447</v>
      </c>
      <c r="B332" t="s">
        <v>21</v>
      </c>
    </row>
    <row r="333" spans="1:25" x14ac:dyDescent="0.25">
      <c r="A333">
        <v>11144001</v>
      </c>
      <c r="B333" t="s">
        <v>21</v>
      </c>
      <c r="Y333" t="s">
        <v>157</v>
      </c>
    </row>
    <row r="334" spans="1:25" x14ac:dyDescent="0.25">
      <c r="A334" t="s">
        <v>23</v>
      </c>
      <c r="B334" t="s">
        <v>21</v>
      </c>
    </row>
    <row r="335" spans="1:25" x14ac:dyDescent="0.25">
      <c r="A335" t="s">
        <v>24</v>
      </c>
      <c r="B335" t="s">
        <v>21</v>
      </c>
    </row>
    <row r="336" spans="1:25" x14ac:dyDescent="0.25">
      <c r="A336">
        <v>12021531</v>
      </c>
      <c r="B336" t="s">
        <v>21</v>
      </c>
    </row>
    <row r="337" spans="1:107" x14ac:dyDescent="0.25">
      <c r="A337">
        <v>12185514</v>
      </c>
      <c r="B337" t="s">
        <v>21</v>
      </c>
      <c r="Y337" s="12" t="s">
        <v>152</v>
      </c>
      <c r="AA337" t="s">
        <v>158</v>
      </c>
      <c r="AB337" t="s">
        <v>158</v>
      </c>
      <c r="BE337" s="12" t="s">
        <v>157</v>
      </c>
    </row>
    <row r="338" spans="1:107" x14ac:dyDescent="0.25">
      <c r="A338">
        <v>12202633</v>
      </c>
      <c r="B338" t="s">
        <v>21</v>
      </c>
    </row>
    <row r="339" spans="1:107" x14ac:dyDescent="0.25">
      <c r="A339">
        <v>12325258</v>
      </c>
      <c r="B339" t="s">
        <v>21</v>
      </c>
    </row>
    <row r="340" spans="1:107" x14ac:dyDescent="0.25">
      <c r="A340">
        <v>5018677</v>
      </c>
      <c r="B340" t="s">
        <v>21</v>
      </c>
    </row>
    <row r="341" spans="1:107" x14ac:dyDescent="0.25">
      <c r="A341">
        <v>11243521</v>
      </c>
      <c r="B341" t="s">
        <v>21</v>
      </c>
    </row>
    <row r="342" spans="1:107" x14ac:dyDescent="0.25">
      <c r="A342">
        <v>2008127</v>
      </c>
      <c r="B342" t="s">
        <v>21</v>
      </c>
    </row>
    <row r="343" spans="1:107" x14ac:dyDescent="0.25">
      <c r="A343">
        <v>6081681</v>
      </c>
      <c r="B343" t="s">
        <v>21</v>
      </c>
    </row>
    <row r="344" spans="1:107" x14ac:dyDescent="0.25">
      <c r="C344">
        <f>COUNTA(C267:C343)</f>
        <v>0</v>
      </c>
      <c r="D344">
        <f>COUNTA(D267:D343)</f>
        <v>0</v>
      </c>
      <c r="E344">
        <f t="shared" ref="E344:BP344" si="16">COUNTA(E267:E343)</f>
        <v>0</v>
      </c>
      <c r="F344">
        <f t="shared" si="16"/>
        <v>0</v>
      </c>
      <c r="G344">
        <f t="shared" si="16"/>
        <v>0</v>
      </c>
      <c r="H344">
        <f t="shared" si="16"/>
        <v>0</v>
      </c>
      <c r="I344">
        <f t="shared" si="16"/>
        <v>0</v>
      </c>
      <c r="J344">
        <f t="shared" si="16"/>
        <v>0</v>
      </c>
      <c r="K344">
        <f t="shared" si="16"/>
        <v>0</v>
      </c>
      <c r="L344">
        <f t="shared" si="16"/>
        <v>0</v>
      </c>
      <c r="M344">
        <f t="shared" si="16"/>
        <v>0</v>
      </c>
      <c r="N344">
        <f t="shared" si="16"/>
        <v>0</v>
      </c>
      <c r="O344">
        <f t="shared" si="16"/>
        <v>0</v>
      </c>
      <c r="P344">
        <f t="shared" si="16"/>
        <v>0</v>
      </c>
      <c r="Q344">
        <f t="shared" si="16"/>
        <v>0</v>
      </c>
      <c r="R344">
        <f t="shared" si="16"/>
        <v>0</v>
      </c>
      <c r="S344">
        <f t="shared" si="16"/>
        <v>0</v>
      </c>
      <c r="T344">
        <f t="shared" si="16"/>
        <v>0</v>
      </c>
      <c r="U344">
        <f t="shared" si="16"/>
        <v>0</v>
      </c>
      <c r="V344">
        <f t="shared" si="16"/>
        <v>0</v>
      </c>
      <c r="W344">
        <f t="shared" si="16"/>
        <v>0</v>
      </c>
      <c r="X344">
        <f t="shared" si="16"/>
        <v>0</v>
      </c>
      <c r="Y344">
        <f t="shared" si="16"/>
        <v>3</v>
      </c>
      <c r="Z344">
        <f t="shared" si="16"/>
        <v>0</v>
      </c>
      <c r="AA344">
        <f t="shared" si="16"/>
        <v>1</v>
      </c>
      <c r="AB344">
        <f t="shared" si="16"/>
        <v>1</v>
      </c>
      <c r="AC344">
        <f t="shared" si="16"/>
        <v>0</v>
      </c>
      <c r="AD344">
        <f t="shared" si="16"/>
        <v>0</v>
      </c>
      <c r="AE344">
        <f t="shared" si="16"/>
        <v>0</v>
      </c>
      <c r="AF344">
        <f t="shared" si="16"/>
        <v>0</v>
      </c>
      <c r="AG344">
        <f t="shared" si="16"/>
        <v>0</v>
      </c>
      <c r="AH344">
        <f t="shared" si="16"/>
        <v>0</v>
      </c>
      <c r="AI344">
        <f t="shared" si="16"/>
        <v>0</v>
      </c>
      <c r="AJ344">
        <f t="shared" si="16"/>
        <v>0</v>
      </c>
      <c r="AK344">
        <f t="shared" si="16"/>
        <v>0</v>
      </c>
      <c r="AL344">
        <f t="shared" si="16"/>
        <v>0</v>
      </c>
      <c r="AM344">
        <f t="shared" si="16"/>
        <v>0</v>
      </c>
      <c r="AN344">
        <f t="shared" si="16"/>
        <v>0</v>
      </c>
      <c r="AO344">
        <f t="shared" si="16"/>
        <v>0</v>
      </c>
      <c r="AP344">
        <f t="shared" si="16"/>
        <v>0</v>
      </c>
      <c r="AQ344">
        <f t="shared" si="16"/>
        <v>0</v>
      </c>
      <c r="AR344">
        <f t="shared" si="16"/>
        <v>0</v>
      </c>
      <c r="AS344">
        <f t="shared" si="16"/>
        <v>0</v>
      </c>
      <c r="AT344">
        <f t="shared" si="16"/>
        <v>0</v>
      </c>
      <c r="AU344">
        <f t="shared" si="16"/>
        <v>0</v>
      </c>
      <c r="AV344">
        <f t="shared" si="16"/>
        <v>0</v>
      </c>
      <c r="AW344">
        <f t="shared" si="16"/>
        <v>0</v>
      </c>
      <c r="AX344">
        <f t="shared" si="16"/>
        <v>0</v>
      </c>
      <c r="AY344">
        <f t="shared" si="16"/>
        <v>0</v>
      </c>
      <c r="AZ344">
        <f t="shared" si="16"/>
        <v>0</v>
      </c>
      <c r="BA344">
        <f t="shared" si="16"/>
        <v>0</v>
      </c>
      <c r="BB344">
        <f t="shared" si="16"/>
        <v>0</v>
      </c>
      <c r="BC344">
        <f t="shared" si="16"/>
        <v>0</v>
      </c>
      <c r="BD344">
        <f t="shared" si="16"/>
        <v>0</v>
      </c>
      <c r="BE344">
        <f t="shared" si="16"/>
        <v>1</v>
      </c>
      <c r="BF344">
        <f t="shared" si="16"/>
        <v>0</v>
      </c>
      <c r="BG344">
        <f t="shared" si="16"/>
        <v>0</v>
      </c>
      <c r="BH344">
        <f t="shared" si="16"/>
        <v>0</v>
      </c>
      <c r="BI344">
        <f t="shared" si="16"/>
        <v>0</v>
      </c>
      <c r="BJ344">
        <f t="shared" si="16"/>
        <v>0</v>
      </c>
      <c r="BK344">
        <f t="shared" si="16"/>
        <v>0</v>
      </c>
      <c r="BL344">
        <f t="shared" si="16"/>
        <v>0</v>
      </c>
      <c r="BM344">
        <f t="shared" si="16"/>
        <v>0</v>
      </c>
      <c r="BN344">
        <f t="shared" si="16"/>
        <v>0</v>
      </c>
      <c r="BO344">
        <f t="shared" si="16"/>
        <v>0</v>
      </c>
      <c r="BP344">
        <f t="shared" si="16"/>
        <v>0</v>
      </c>
      <c r="BQ344">
        <f t="shared" ref="BQ344:CZ344" si="17">COUNTA(BQ267:BQ343)</f>
        <v>0</v>
      </c>
      <c r="BR344">
        <f t="shared" si="17"/>
        <v>0</v>
      </c>
      <c r="BS344">
        <f t="shared" si="17"/>
        <v>0</v>
      </c>
      <c r="BT344">
        <f t="shared" si="17"/>
        <v>1</v>
      </c>
      <c r="BU344">
        <f t="shared" si="17"/>
        <v>0</v>
      </c>
      <c r="BV344">
        <f t="shared" si="17"/>
        <v>0</v>
      </c>
      <c r="BW344">
        <f t="shared" si="17"/>
        <v>0</v>
      </c>
      <c r="BX344">
        <f t="shared" si="17"/>
        <v>0</v>
      </c>
      <c r="BY344">
        <f t="shared" si="17"/>
        <v>0</v>
      </c>
      <c r="BZ344">
        <f t="shared" si="17"/>
        <v>0</v>
      </c>
      <c r="CA344">
        <f t="shared" si="17"/>
        <v>0</v>
      </c>
      <c r="CB344">
        <f t="shared" si="17"/>
        <v>0</v>
      </c>
      <c r="CC344">
        <f t="shared" si="17"/>
        <v>0</v>
      </c>
      <c r="CD344">
        <f t="shared" si="17"/>
        <v>0</v>
      </c>
      <c r="CE344">
        <f t="shared" si="17"/>
        <v>0</v>
      </c>
      <c r="CF344">
        <f t="shared" si="17"/>
        <v>0</v>
      </c>
      <c r="CG344">
        <f t="shared" si="17"/>
        <v>0</v>
      </c>
      <c r="CH344">
        <f t="shared" si="17"/>
        <v>0</v>
      </c>
      <c r="CI344">
        <f t="shared" si="17"/>
        <v>0</v>
      </c>
      <c r="CJ344">
        <f t="shared" si="17"/>
        <v>0</v>
      </c>
      <c r="CK344">
        <f t="shared" si="17"/>
        <v>0</v>
      </c>
      <c r="CL344">
        <f t="shared" si="17"/>
        <v>0</v>
      </c>
      <c r="CM344">
        <f t="shared" si="17"/>
        <v>0</v>
      </c>
      <c r="CN344">
        <f t="shared" si="17"/>
        <v>0</v>
      </c>
      <c r="CO344">
        <f t="shared" si="17"/>
        <v>0</v>
      </c>
      <c r="CP344">
        <f t="shared" si="17"/>
        <v>0</v>
      </c>
      <c r="CQ344">
        <f t="shared" si="17"/>
        <v>0</v>
      </c>
      <c r="CR344">
        <f t="shared" si="17"/>
        <v>0</v>
      </c>
      <c r="CS344">
        <f t="shared" si="17"/>
        <v>0</v>
      </c>
      <c r="CT344">
        <f t="shared" si="17"/>
        <v>0</v>
      </c>
      <c r="CU344">
        <f t="shared" si="17"/>
        <v>0</v>
      </c>
      <c r="CV344">
        <f t="shared" si="17"/>
        <v>0</v>
      </c>
      <c r="CW344">
        <f t="shared" si="17"/>
        <v>0</v>
      </c>
      <c r="CX344">
        <f t="shared" si="17"/>
        <v>0</v>
      </c>
      <c r="CY344">
        <f t="shared" si="17"/>
        <v>0</v>
      </c>
      <c r="CZ344">
        <f t="shared" si="17"/>
        <v>0</v>
      </c>
      <c r="DA344">
        <f>COUNTA(DA267:DA343)</f>
        <v>0</v>
      </c>
      <c r="DB344">
        <f t="shared" ref="DB344:DC344" si="18">COUNTA(DB267:DB343)</f>
        <v>0</v>
      </c>
      <c r="DC344">
        <f t="shared" si="18"/>
        <v>0</v>
      </c>
    </row>
    <row r="345" spans="1:107" x14ac:dyDescent="0.25">
      <c r="A345" s="18">
        <v>8061313</v>
      </c>
      <c r="B345" t="s">
        <v>11</v>
      </c>
      <c r="V345" s="12" t="s">
        <v>202</v>
      </c>
      <c r="BG345" s="12" t="s">
        <v>145</v>
      </c>
    </row>
    <row r="346" spans="1:107" x14ac:dyDescent="0.25">
      <c r="C346">
        <f>COUNTA(C345)</f>
        <v>0</v>
      </c>
      <c r="D346">
        <f t="shared" ref="D346" si="19">COUNTA(D345)</f>
        <v>0</v>
      </c>
      <c r="E346">
        <f t="shared" ref="E346" si="20">COUNTA(E345)</f>
        <v>0</v>
      </c>
      <c r="F346">
        <f t="shared" ref="F346" si="21">COUNTA(F345)</f>
        <v>0</v>
      </c>
      <c r="G346">
        <f t="shared" ref="G346" si="22">COUNTA(G345)</f>
        <v>0</v>
      </c>
      <c r="H346">
        <f t="shared" ref="H346" si="23">COUNTA(H345)</f>
        <v>0</v>
      </c>
      <c r="I346">
        <f t="shared" ref="I346" si="24">COUNTA(I345)</f>
        <v>0</v>
      </c>
      <c r="J346">
        <f t="shared" ref="J346" si="25">COUNTA(J345)</f>
        <v>0</v>
      </c>
      <c r="K346">
        <f t="shared" ref="K346" si="26">COUNTA(K345)</f>
        <v>0</v>
      </c>
      <c r="L346">
        <f t="shared" ref="L346" si="27">COUNTA(L345)</f>
        <v>0</v>
      </c>
      <c r="M346">
        <f t="shared" ref="M346" si="28">COUNTA(M345)</f>
        <v>0</v>
      </c>
      <c r="N346">
        <f t="shared" ref="N346" si="29">COUNTA(N345)</f>
        <v>0</v>
      </c>
      <c r="O346">
        <f t="shared" ref="O346" si="30">COUNTA(O345)</f>
        <v>0</v>
      </c>
      <c r="P346">
        <f t="shared" ref="P346" si="31">COUNTA(P345)</f>
        <v>0</v>
      </c>
      <c r="Q346">
        <f t="shared" ref="Q346" si="32">COUNTA(Q345)</f>
        <v>0</v>
      </c>
      <c r="R346">
        <f t="shared" ref="R346" si="33">COUNTA(R345)</f>
        <v>0</v>
      </c>
      <c r="S346">
        <f t="shared" ref="S346" si="34">COUNTA(S345)</f>
        <v>0</v>
      </c>
      <c r="T346">
        <f t="shared" ref="T346" si="35">COUNTA(T345)</f>
        <v>0</v>
      </c>
      <c r="U346">
        <f t="shared" ref="U346" si="36">COUNTA(U345)</f>
        <v>0</v>
      </c>
      <c r="V346">
        <f t="shared" ref="V346" si="37">COUNTA(V345)</f>
        <v>1</v>
      </c>
      <c r="W346">
        <f t="shared" ref="W346" si="38">COUNTA(W345)</f>
        <v>0</v>
      </c>
      <c r="X346">
        <f t="shared" ref="X346" si="39">COUNTA(X345)</f>
        <v>0</v>
      </c>
      <c r="Y346">
        <f t="shared" ref="Y346" si="40">COUNTA(Y345)</f>
        <v>0</v>
      </c>
      <c r="Z346">
        <f t="shared" ref="Z346" si="41">COUNTA(Z345)</f>
        <v>0</v>
      </c>
      <c r="AA346">
        <f t="shared" ref="AA346" si="42">COUNTA(AA345)</f>
        <v>0</v>
      </c>
      <c r="AB346">
        <f t="shared" ref="AB346" si="43">COUNTA(AB345)</f>
        <v>0</v>
      </c>
      <c r="AC346">
        <f t="shared" ref="AC346" si="44">COUNTA(AC345)</f>
        <v>0</v>
      </c>
      <c r="AD346">
        <f t="shared" ref="AD346" si="45">COUNTA(AD345)</f>
        <v>0</v>
      </c>
      <c r="AE346">
        <f t="shared" ref="AE346" si="46">COUNTA(AE345)</f>
        <v>0</v>
      </c>
      <c r="AF346">
        <f t="shared" ref="AF346" si="47">COUNTA(AF345)</f>
        <v>0</v>
      </c>
      <c r="AG346">
        <f t="shared" ref="AG346" si="48">COUNTA(AG345)</f>
        <v>0</v>
      </c>
      <c r="AH346">
        <f t="shared" ref="AH346" si="49">COUNTA(AH345)</f>
        <v>0</v>
      </c>
      <c r="AI346">
        <f t="shared" ref="AI346" si="50">COUNTA(AI345)</f>
        <v>0</v>
      </c>
      <c r="AJ346">
        <f t="shared" ref="AJ346" si="51">COUNTA(AJ345)</f>
        <v>0</v>
      </c>
      <c r="AK346">
        <f t="shared" ref="AK346" si="52">COUNTA(AK345)</f>
        <v>0</v>
      </c>
      <c r="AL346">
        <f t="shared" ref="AL346" si="53">COUNTA(AL345)</f>
        <v>0</v>
      </c>
      <c r="AM346">
        <f t="shared" ref="AM346" si="54">COUNTA(AM345)</f>
        <v>0</v>
      </c>
      <c r="AN346">
        <f t="shared" ref="AN346" si="55">COUNTA(AN345)</f>
        <v>0</v>
      </c>
      <c r="AO346">
        <f t="shared" ref="AO346" si="56">COUNTA(AO345)</f>
        <v>0</v>
      </c>
      <c r="AP346">
        <f t="shared" ref="AP346" si="57">COUNTA(AP345)</f>
        <v>0</v>
      </c>
      <c r="AQ346">
        <f t="shared" ref="AQ346" si="58">COUNTA(AQ345)</f>
        <v>0</v>
      </c>
      <c r="AR346">
        <f t="shared" ref="AR346" si="59">COUNTA(AR345)</f>
        <v>0</v>
      </c>
      <c r="AS346">
        <f t="shared" ref="AS346" si="60">COUNTA(AS345)</f>
        <v>0</v>
      </c>
      <c r="AT346">
        <f t="shared" ref="AT346" si="61">COUNTA(AT345)</f>
        <v>0</v>
      </c>
      <c r="AU346">
        <f t="shared" ref="AU346" si="62">COUNTA(AU345)</f>
        <v>0</v>
      </c>
      <c r="AV346">
        <f t="shared" ref="AV346" si="63">COUNTA(AV345)</f>
        <v>0</v>
      </c>
      <c r="AW346">
        <f t="shared" ref="AW346" si="64">COUNTA(AW345)</f>
        <v>0</v>
      </c>
      <c r="AX346">
        <f t="shared" ref="AX346" si="65">COUNTA(AX345)</f>
        <v>0</v>
      </c>
      <c r="AY346">
        <f t="shared" ref="AY346" si="66">COUNTA(AY345)</f>
        <v>0</v>
      </c>
      <c r="AZ346">
        <f t="shared" ref="AZ346" si="67">COUNTA(AZ345)</f>
        <v>0</v>
      </c>
      <c r="BA346">
        <f t="shared" ref="BA346" si="68">COUNTA(BA345)</f>
        <v>0</v>
      </c>
      <c r="BB346">
        <f t="shared" ref="BB346" si="69">COUNTA(BB345)</f>
        <v>0</v>
      </c>
      <c r="BC346">
        <f t="shared" ref="BC346" si="70">COUNTA(BC345)</f>
        <v>0</v>
      </c>
      <c r="BD346">
        <f t="shared" ref="BD346" si="71">COUNTA(BD345)</f>
        <v>0</v>
      </c>
      <c r="BE346">
        <f t="shared" ref="BE346" si="72">COUNTA(BE345)</f>
        <v>0</v>
      </c>
      <c r="BF346">
        <f t="shared" ref="BF346" si="73">COUNTA(BF345)</f>
        <v>0</v>
      </c>
      <c r="BG346">
        <f t="shared" ref="BG346" si="74">COUNTA(BG345)</f>
        <v>1</v>
      </c>
      <c r="BH346">
        <f t="shared" ref="BH346" si="75">COUNTA(BH345)</f>
        <v>0</v>
      </c>
      <c r="BI346">
        <f t="shared" ref="BI346" si="76">COUNTA(BI345)</f>
        <v>0</v>
      </c>
      <c r="BJ346">
        <f t="shared" ref="BJ346" si="77">COUNTA(BJ345)</f>
        <v>0</v>
      </c>
      <c r="BK346">
        <f t="shared" ref="BK346" si="78">COUNTA(BK345)</f>
        <v>0</v>
      </c>
      <c r="BL346">
        <f t="shared" ref="BL346" si="79">COUNTA(BL345)</f>
        <v>0</v>
      </c>
      <c r="BM346">
        <f t="shared" ref="BM346" si="80">COUNTA(BM345)</f>
        <v>0</v>
      </c>
      <c r="BN346">
        <f t="shared" ref="BN346" si="81">COUNTA(BN345)</f>
        <v>0</v>
      </c>
      <c r="BO346">
        <f t="shared" ref="BO346" si="82">COUNTA(BO345)</f>
        <v>0</v>
      </c>
      <c r="BP346">
        <f t="shared" ref="BP346" si="83">COUNTA(BP345)</f>
        <v>0</v>
      </c>
      <c r="BQ346">
        <f t="shared" ref="BQ346" si="84">COUNTA(BQ345)</f>
        <v>0</v>
      </c>
      <c r="BR346">
        <f t="shared" ref="BR346" si="85">COUNTA(BR345)</f>
        <v>0</v>
      </c>
      <c r="BS346">
        <f t="shared" ref="BS346" si="86">COUNTA(BS345)</f>
        <v>0</v>
      </c>
      <c r="BT346">
        <f t="shared" ref="BT346" si="87">COUNTA(BT345)</f>
        <v>0</v>
      </c>
      <c r="BU346">
        <f t="shared" ref="BU346" si="88">COUNTA(BU345)</f>
        <v>0</v>
      </c>
      <c r="BV346">
        <f t="shared" ref="BV346" si="89">COUNTA(BV345)</f>
        <v>0</v>
      </c>
      <c r="BW346">
        <f t="shared" ref="BW346" si="90">COUNTA(BW345)</f>
        <v>0</v>
      </c>
      <c r="BX346">
        <f t="shared" ref="BX346" si="91">COUNTA(BX345)</f>
        <v>0</v>
      </c>
      <c r="BY346">
        <f t="shared" ref="BY346" si="92">COUNTA(BY345)</f>
        <v>0</v>
      </c>
      <c r="BZ346">
        <f t="shared" ref="BZ346" si="93">COUNTA(BZ345)</f>
        <v>0</v>
      </c>
      <c r="CA346">
        <f t="shared" ref="CA346" si="94">COUNTA(CA345)</f>
        <v>0</v>
      </c>
      <c r="CB346">
        <f t="shared" ref="CB346" si="95">COUNTA(CB345)</f>
        <v>0</v>
      </c>
      <c r="CC346">
        <f t="shared" ref="CC346" si="96">COUNTA(CC345)</f>
        <v>0</v>
      </c>
      <c r="CD346">
        <f t="shared" ref="CD346" si="97">COUNTA(CD345)</f>
        <v>0</v>
      </c>
      <c r="CE346">
        <f t="shared" ref="CE346" si="98">COUNTA(CE345)</f>
        <v>0</v>
      </c>
      <c r="CF346">
        <f t="shared" ref="CF346" si="99">COUNTA(CF345)</f>
        <v>0</v>
      </c>
      <c r="CG346">
        <f t="shared" ref="CG346" si="100">COUNTA(CG345)</f>
        <v>0</v>
      </c>
      <c r="CH346">
        <f t="shared" ref="CH346" si="101">COUNTA(CH345)</f>
        <v>0</v>
      </c>
      <c r="CI346">
        <f t="shared" ref="CI346" si="102">COUNTA(CI345)</f>
        <v>0</v>
      </c>
      <c r="CJ346">
        <f t="shared" ref="CJ346" si="103">COUNTA(CJ345)</f>
        <v>0</v>
      </c>
      <c r="CK346">
        <f t="shared" ref="CK346" si="104">COUNTA(CK345)</f>
        <v>0</v>
      </c>
      <c r="CL346">
        <f t="shared" ref="CL346" si="105">COUNTA(CL345)</f>
        <v>0</v>
      </c>
      <c r="CM346">
        <f t="shared" ref="CM346" si="106">COUNTA(CM345)</f>
        <v>0</v>
      </c>
      <c r="CN346">
        <f t="shared" ref="CN346" si="107">COUNTA(CN345)</f>
        <v>0</v>
      </c>
      <c r="CO346">
        <f t="shared" ref="CO346" si="108">COUNTA(CO345)</f>
        <v>0</v>
      </c>
      <c r="CP346">
        <f t="shared" ref="CP346" si="109">COUNTA(CP345)</f>
        <v>0</v>
      </c>
      <c r="CQ346">
        <f t="shared" ref="CQ346" si="110">COUNTA(CQ345)</f>
        <v>0</v>
      </c>
      <c r="CR346">
        <f t="shared" ref="CR346" si="111">COUNTA(CR345)</f>
        <v>0</v>
      </c>
      <c r="CS346">
        <f t="shared" ref="CS346" si="112">COUNTA(CS345)</f>
        <v>0</v>
      </c>
      <c r="CT346">
        <f t="shared" ref="CT346" si="113">COUNTA(CT345)</f>
        <v>0</v>
      </c>
      <c r="CU346">
        <f t="shared" ref="CU346" si="114">COUNTA(CU345)</f>
        <v>0</v>
      </c>
      <c r="CV346">
        <f t="shared" ref="CV346" si="115">COUNTA(CV345)</f>
        <v>0</v>
      </c>
      <c r="CW346">
        <f t="shared" ref="CW346" si="116">COUNTA(CW345)</f>
        <v>0</v>
      </c>
      <c r="CX346">
        <f t="shared" ref="CX346" si="117">COUNTA(CX345)</f>
        <v>0</v>
      </c>
      <c r="CY346">
        <f t="shared" ref="CY346" si="118">COUNTA(CY345)</f>
        <v>0</v>
      </c>
      <c r="CZ346">
        <f t="shared" ref="CZ346" si="119">COUNTA(CZ345)</f>
        <v>0</v>
      </c>
      <c r="DA346">
        <f t="shared" ref="DA346" si="120">COUNTA(DA345)</f>
        <v>0</v>
      </c>
      <c r="DB346">
        <f t="shared" ref="DB346" si="121">COUNTA(DB345)</f>
        <v>0</v>
      </c>
      <c r="DC346">
        <f t="shared" ref="DC346" si="122">COUNTA(DC345)</f>
        <v>0</v>
      </c>
    </row>
    <row r="347" spans="1:107" x14ac:dyDescent="0.25">
      <c r="A347">
        <v>8060785</v>
      </c>
      <c r="B347" t="s">
        <v>17</v>
      </c>
      <c r="V347"/>
      <c r="Y347" s="12" t="s">
        <v>144</v>
      </c>
    </row>
    <row r="348" spans="1:107" x14ac:dyDescent="0.25">
      <c r="C348">
        <f>COUNTA(C347)</f>
        <v>0</v>
      </c>
      <c r="D348">
        <f t="shared" ref="D348" si="123">COUNTA(D347)</f>
        <v>0</v>
      </c>
      <c r="E348">
        <f t="shared" ref="E348" si="124">COUNTA(E347)</f>
        <v>0</v>
      </c>
      <c r="F348">
        <f t="shared" ref="F348" si="125">COUNTA(F347)</f>
        <v>0</v>
      </c>
      <c r="G348">
        <f t="shared" ref="G348" si="126">COUNTA(G347)</f>
        <v>0</v>
      </c>
      <c r="H348">
        <f t="shared" ref="H348" si="127">COUNTA(H347)</f>
        <v>0</v>
      </c>
      <c r="I348">
        <f t="shared" ref="I348" si="128">COUNTA(I347)</f>
        <v>0</v>
      </c>
      <c r="J348">
        <f t="shared" ref="J348" si="129">COUNTA(J347)</f>
        <v>0</v>
      </c>
      <c r="K348">
        <f t="shared" ref="K348" si="130">COUNTA(K347)</f>
        <v>0</v>
      </c>
      <c r="L348">
        <f t="shared" ref="L348" si="131">COUNTA(L347)</f>
        <v>0</v>
      </c>
      <c r="M348">
        <f t="shared" ref="M348" si="132">COUNTA(M347)</f>
        <v>0</v>
      </c>
      <c r="N348">
        <f t="shared" ref="N348" si="133">COUNTA(N347)</f>
        <v>0</v>
      </c>
      <c r="O348">
        <f t="shared" ref="O348" si="134">COUNTA(O347)</f>
        <v>0</v>
      </c>
      <c r="P348">
        <f t="shared" ref="P348" si="135">COUNTA(P347)</f>
        <v>0</v>
      </c>
      <c r="Q348">
        <f t="shared" ref="Q348" si="136">COUNTA(Q347)</f>
        <v>0</v>
      </c>
      <c r="R348">
        <f t="shared" ref="R348" si="137">COUNTA(R347)</f>
        <v>0</v>
      </c>
      <c r="S348">
        <f t="shared" ref="S348" si="138">COUNTA(S347)</f>
        <v>0</v>
      </c>
      <c r="T348">
        <f t="shared" ref="T348" si="139">COUNTA(T347)</f>
        <v>0</v>
      </c>
      <c r="U348">
        <f t="shared" ref="U348" si="140">COUNTA(U347)</f>
        <v>0</v>
      </c>
      <c r="V348">
        <f t="shared" ref="V348" si="141">COUNTA(V347)</f>
        <v>0</v>
      </c>
      <c r="W348">
        <f t="shared" ref="W348" si="142">COUNTA(W347)</f>
        <v>0</v>
      </c>
      <c r="X348">
        <f t="shared" ref="X348" si="143">COUNTA(X347)</f>
        <v>0</v>
      </c>
      <c r="Y348">
        <f t="shared" ref="Y348" si="144">COUNTA(Y347)</f>
        <v>1</v>
      </c>
      <c r="Z348">
        <f t="shared" ref="Z348" si="145">COUNTA(Z347)</f>
        <v>0</v>
      </c>
      <c r="AA348">
        <f t="shared" ref="AA348" si="146">COUNTA(AA347)</f>
        <v>0</v>
      </c>
      <c r="AB348">
        <f t="shared" ref="AB348" si="147">COUNTA(AB347)</f>
        <v>0</v>
      </c>
      <c r="AC348">
        <f t="shared" ref="AC348" si="148">COUNTA(AC347)</f>
        <v>0</v>
      </c>
      <c r="AD348">
        <f t="shared" ref="AD348" si="149">COUNTA(AD347)</f>
        <v>0</v>
      </c>
      <c r="AE348">
        <f t="shared" ref="AE348" si="150">COUNTA(AE347)</f>
        <v>0</v>
      </c>
      <c r="AF348">
        <f t="shared" ref="AF348" si="151">COUNTA(AF347)</f>
        <v>0</v>
      </c>
      <c r="AG348">
        <f t="shared" ref="AG348" si="152">COUNTA(AG347)</f>
        <v>0</v>
      </c>
      <c r="AH348">
        <f t="shared" ref="AH348" si="153">COUNTA(AH347)</f>
        <v>0</v>
      </c>
      <c r="AI348">
        <f t="shared" ref="AI348" si="154">COUNTA(AI347)</f>
        <v>0</v>
      </c>
      <c r="AJ348">
        <f t="shared" ref="AJ348" si="155">COUNTA(AJ347)</f>
        <v>0</v>
      </c>
      <c r="AK348">
        <f t="shared" ref="AK348" si="156">COUNTA(AK347)</f>
        <v>0</v>
      </c>
      <c r="AL348">
        <f t="shared" ref="AL348" si="157">COUNTA(AL347)</f>
        <v>0</v>
      </c>
      <c r="AM348">
        <f t="shared" ref="AM348" si="158">COUNTA(AM347)</f>
        <v>0</v>
      </c>
      <c r="AN348">
        <f t="shared" ref="AN348" si="159">COUNTA(AN347)</f>
        <v>0</v>
      </c>
      <c r="AO348">
        <f t="shared" ref="AO348" si="160">COUNTA(AO347)</f>
        <v>0</v>
      </c>
      <c r="AP348">
        <f t="shared" ref="AP348" si="161">COUNTA(AP347)</f>
        <v>0</v>
      </c>
      <c r="AQ348">
        <f t="shared" ref="AQ348" si="162">COUNTA(AQ347)</f>
        <v>0</v>
      </c>
      <c r="AR348">
        <f t="shared" ref="AR348" si="163">COUNTA(AR347)</f>
        <v>0</v>
      </c>
      <c r="AS348">
        <f t="shared" ref="AS348" si="164">COUNTA(AS347)</f>
        <v>0</v>
      </c>
      <c r="AT348">
        <f t="shared" ref="AT348" si="165">COUNTA(AT347)</f>
        <v>0</v>
      </c>
      <c r="AU348">
        <f t="shared" ref="AU348" si="166">COUNTA(AU347)</f>
        <v>0</v>
      </c>
      <c r="AV348">
        <f t="shared" ref="AV348" si="167">COUNTA(AV347)</f>
        <v>0</v>
      </c>
      <c r="AW348">
        <f t="shared" ref="AW348" si="168">COUNTA(AW347)</f>
        <v>0</v>
      </c>
      <c r="AX348">
        <f t="shared" ref="AX348" si="169">COUNTA(AX347)</f>
        <v>0</v>
      </c>
      <c r="AY348">
        <f t="shared" ref="AY348" si="170">COUNTA(AY347)</f>
        <v>0</v>
      </c>
      <c r="AZ348">
        <f t="shared" ref="AZ348" si="171">COUNTA(AZ347)</f>
        <v>0</v>
      </c>
      <c r="BA348">
        <f t="shared" ref="BA348" si="172">COUNTA(BA347)</f>
        <v>0</v>
      </c>
      <c r="BB348">
        <f t="shared" ref="BB348" si="173">COUNTA(BB347)</f>
        <v>0</v>
      </c>
      <c r="BC348">
        <f t="shared" ref="BC348" si="174">COUNTA(BC347)</f>
        <v>0</v>
      </c>
      <c r="BD348">
        <f t="shared" ref="BD348" si="175">COUNTA(BD347)</f>
        <v>0</v>
      </c>
      <c r="BE348">
        <f t="shared" ref="BE348" si="176">COUNTA(BE347)</f>
        <v>0</v>
      </c>
      <c r="BF348">
        <f t="shared" ref="BF348" si="177">COUNTA(BF347)</f>
        <v>0</v>
      </c>
      <c r="BG348">
        <f t="shared" ref="BG348" si="178">COUNTA(BG347)</f>
        <v>0</v>
      </c>
      <c r="BH348">
        <f t="shared" ref="BH348" si="179">COUNTA(BH347)</f>
        <v>0</v>
      </c>
      <c r="BI348">
        <f t="shared" ref="BI348" si="180">COUNTA(BI347)</f>
        <v>0</v>
      </c>
      <c r="BJ348">
        <f t="shared" ref="BJ348" si="181">COUNTA(BJ347)</f>
        <v>0</v>
      </c>
      <c r="BK348">
        <f t="shared" ref="BK348" si="182">COUNTA(BK347)</f>
        <v>0</v>
      </c>
      <c r="BL348">
        <f t="shared" ref="BL348" si="183">COUNTA(BL347)</f>
        <v>0</v>
      </c>
      <c r="BM348">
        <f t="shared" ref="BM348" si="184">COUNTA(BM347)</f>
        <v>0</v>
      </c>
      <c r="BN348">
        <f t="shared" ref="BN348" si="185">COUNTA(BN347)</f>
        <v>0</v>
      </c>
      <c r="BO348">
        <f t="shared" ref="BO348" si="186">COUNTA(BO347)</f>
        <v>0</v>
      </c>
      <c r="BP348">
        <f t="shared" ref="BP348" si="187">COUNTA(BP347)</f>
        <v>0</v>
      </c>
      <c r="BQ348">
        <f t="shared" ref="BQ348" si="188">COUNTA(BQ347)</f>
        <v>0</v>
      </c>
      <c r="BR348">
        <f t="shared" ref="BR348" si="189">COUNTA(BR347)</f>
        <v>0</v>
      </c>
      <c r="BS348">
        <f t="shared" ref="BS348" si="190">COUNTA(BS347)</f>
        <v>0</v>
      </c>
      <c r="BT348">
        <f t="shared" ref="BT348" si="191">COUNTA(BT347)</f>
        <v>0</v>
      </c>
      <c r="BU348">
        <f t="shared" ref="BU348" si="192">COUNTA(BU347)</f>
        <v>0</v>
      </c>
      <c r="BV348">
        <f t="shared" ref="BV348" si="193">COUNTA(BV347)</f>
        <v>0</v>
      </c>
      <c r="BW348">
        <f t="shared" ref="BW348" si="194">COUNTA(BW347)</f>
        <v>0</v>
      </c>
      <c r="BX348">
        <f t="shared" ref="BX348" si="195">COUNTA(BX347)</f>
        <v>0</v>
      </c>
      <c r="BY348">
        <f t="shared" ref="BY348" si="196">COUNTA(BY347)</f>
        <v>0</v>
      </c>
      <c r="BZ348">
        <f t="shared" ref="BZ348" si="197">COUNTA(BZ347)</f>
        <v>0</v>
      </c>
      <c r="CA348">
        <f t="shared" ref="CA348" si="198">COUNTA(CA347)</f>
        <v>0</v>
      </c>
      <c r="CB348">
        <f t="shared" ref="CB348" si="199">COUNTA(CB347)</f>
        <v>0</v>
      </c>
      <c r="CC348">
        <f t="shared" ref="CC348" si="200">COUNTA(CC347)</f>
        <v>0</v>
      </c>
      <c r="CD348">
        <f t="shared" ref="CD348" si="201">COUNTA(CD347)</f>
        <v>0</v>
      </c>
      <c r="CE348">
        <f t="shared" ref="CE348" si="202">COUNTA(CE347)</f>
        <v>0</v>
      </c>
      <c r="CF348">
        <f t="shared" ref="CF348" si="203">COUNTA(CF347)</f>
        <v>0</v>
      </c>
      <c r="CG348">
        <f t="shared" ref="CG348" si="204">COUNTA(CG347)</f>
        <v>0</v>
      </c>
      <c r="CH348">
        <f t="shared" ref="CH348" si="205">COUNTA(CH347)</f>
        <v>0</v>
      </c>
      <c r="CI348">
        <f t="shared" ref="CI348" si="206">COUNTA(CI347)</f>
        <v>0</v>
      </c>
      <c r="CJ348">
        <f t="shared" ref="CJ348" si="207">COUNTA(CJ347)</f>
        <v>0</v>
      </c>
      <c r="CK348">
        <f t="shared" ref="CK348" si="208">COUNTA(CK347)</f>
        <v>0</v>
      </c>
      <c r="CL348">
        <f t="shared" ref="CL348" si="209">COUNTA(CL347)</f>
        <v>0</v>
      </c>
      <c r="CM348">
        <f t="shared" ref="CM348" si="210">COUNTA(CM347)</f>
        <v>0</v>
      </c>
      <c r="CN348">
        <f t="shared" ref="CN348" si="211">COUNTA(CN347)</f>
        <v>0</v>
      </c>
      <c r="CO348">
        <f t="shared" ref="CO348" si="212">COUNTA(CO347)</f>
        <v>0</v>
      </c>
      <c r="CP348">
        <f t="shared" ref="CP348" si="213">COUNTA(CP347)</f>
        <v>0</v>
      </c>
      <c r="CQ348">
        <f t="shared" ref="CQ348" si="214">COUNTA(CQ347)</f>
        <v>0</v>
      </c>
      <c r="CR348">
        <f t="shared" ref="CR348" si="215">COUNTA(CR347)</f>
        <v>0</v>
      </c>
      <c r="CS348">
        <f t="shared" ref="CS348" si="216">COUNTA(CS347)</f>
        <v>0</v>
      </c>
      <c r="CT348">
        <f t="shared" ref="CT348" si="217">COUNTA(CT347)</f>
        <v>0</v>
      </c>
      <c r="CU348">
        <f t="shared" ref="CU348" si="218">COUNTA(CU347)</f>
        <v>0</v>
      </c>
      <c r="CV348">
        <f t="shared" ref="CV348" si="219">COUNTA(CV347)</f>
        <v>0</v>
      </c>
      <c r="CW348">
        <f t="shared" ref="CW348" si="220">COUNTA(CW347)</f>
        <v>0</v>
      </c>
      <c r="CX348">
        <f t="shared" ref="CX348" si="221">COUNTA(CX347)</f>
        <v>0</v>
      </c>
      <c r="CY348">
        <f t="shared" ref="CY348" si="222">COUNTA(CY347)</f>
        <v>0</v>
      </c>
      <c r="CZ348">
        <f t="shared" ref="CZ348" si="223">COUNTA(CZ347)</f>
        <v>0</v>
      </c>
      <c r="DA348">
        <f t="shared" ref="DA348" si="224">COUNTA(DA347)</f>
        <v>0</v>
      </c>
      <c r="DB348">
        <f t="shared" ref="DB348" si="225">COUNTA(DB347)</f>
        <v>0</v>
      </c>
      <c r="DC348">
        <f t="shared" ref="DC348" si="226">COUNTA(DC347)</f>
        <v>0</v>
      </c>
    </row>
    <row r="349" spans="1:107" x14ac:dyDescent="0.25">
      <c r="A349" s="18">
        <v>3017084</v>
      </c>
      <c r="B349" t="s">
        <v>21</v>
      </c>
      <c r="V349"/>
      <c r="Y349" t="s">
        <v>157</v>
      </c>
      <c r="BE349" t="s">
        <v>157</v>
      </c>
    </row>
    <row r="350" spans="1:107" x14ac:dyDescent="0.25">
      <c r="A350">
        <v>9109244</v>
      </c>
      <c r="B350" t="s">
        <v>21</v>
      </c>
      <c r="Y350" s="12" t="s">
        <v>151</v>
      </c>
    </row>
    <row r="351" spans="1:107" x14ac:dyDescent="0.25">
      <c r="A351" s="6"/>
      <c r="C351">
        <f>COUNTA(C349:C350)</f>
        <v>0</v>
      </c>
      <c r="D351">
        <f t="shared" ref="D351:BO351" si="227">COUNTA(D349:D350)</f>
        <v>0</v>
      </c>
      <c r="E351">
        <f t="shared" si="227"/>
        <v>0</v>
      </c>
      <c r="F351">
        <f t="shared" si="227"/>
        <v>0</v>
      </c>
      <c r="G351">
        <f t="shared" si="227"/>
        <v>0</v>
      </c>
      <c r="H351">
        <f t="shared" si="227"/>
        <v>0</v>
      </c>
      <c r="I351">
        <f t="shared" si="227"/>
        <v>0</v>
      </c>
      <c r="J351">
        <f t="shared" si="227"/>
        <v>0</v>
      </c>
      <c r="K351">
        <f t="shared" si="227"/>
        <v>0</v>
      </c>
      <c r="L351">
        <f t="shared" si="227"/>
        <v>0</v>
      </c>
      <c r="M351">
        <f t="shared" si="227"/>
        <v>0</v>
      </c>
      <c r="N351">
        <f t="shared" si="227"/>
        <v>0</v>
      </c>
      <c r="O351">
        <f t="shared" si="227"/>
        <v>0</v>
      </c>
      <c r="P351">
        <f t="shared" si="227"/>
        <v>0</v>
      </c>
      <c r="Q351">
        <f t="shared" si="227"/>
        <v>0</v>
      </c>
      <c r="R351">
        <f t="shared" si="227"/>
        <v>0</v>
      </c>
      <c r="S351">
        <f t="shared" si="227"/>
        <v>0</v>
      </c>
      <c r="T351">
        <f t="shared" si="227"/>
        <v>0</v>
      </c>
      <c r="U351">
        <f t="shared" si="227"/>
        <v>0</v>
      </c>
      <c r="V351">
        <f t="shared" si="227"/>
        <v>0</v>
      </c>
      <c r="W351">
        <f t="shared" si="227"/>
        <v>0</v>
      </c>
      <c r="X351">
        <f t="shared" si="227"/>
        <v>0</v>
      </c>
      <c r="Y351">
        <f t="shared" si="227"/>
        <v>2</v>
      </c>
      <c r="Z351">
        <f t="shared" si="227"/>
        <v>0</v>
      </c>
      <c r="AA351">
        <f t="shared" si="227"/>
        <v>0</v>
      </c>
      <c r="AB351">
        <f t="shared" si="227"/>
        <v>0</v>
      </c>
      <c r="AC351">
        <f t="shared" si="227"/>
        <v>0</v>
      </c>
      <c r="AD351">
        <f t="shared" si="227"/>
        <v>0</v>
      </c>
      <c r="AE351">
        <f t="shared" si="227"/>
        <v>0</v>
      </c>
      <c r="AF351">
        <f t="shared" si="227"/>
        <v>0</v>
      </c>
      <c r="AG351">
        <f t="shared" si="227"/>
        <v>0</v>
      </c>
      <c r="AH351">
        <f t="shared" si="227"/>
        <v>0</v>
      </c>
      <c r="AI351">
        <f t="shared" si="227"/>
        <v>0</v>
      </c>
      <c r="AJ351">
        <f t="shared" si="227"/>
        <v>0</v>
      </c>
      <c r="AK351">
        <f t="shared" si="227"/>
        <v>0</v>
      </c>
      <c r="AL351">
        <f t="shared" si="227"/>
        <v>0</v>
      </c>
      <c r="AM351">
        <f t="shared" si="227"/>
        <v>0</v>
      </c>
      <c r="AN351">
        <f t="shared" si="227"/>
        <v>0</v>
      </c>
      <c r="AO351">
        <f t="shared" si="227"/>
        <v>0</v>
      </c>
      <c r="AP351">
        <f t="shared" si="227"/>
        <v>0</v>
      </c>
      <c r="AQ351">
        <f t="shared" si="227"/>
        <v>0</v>
      </c>
      <c r="AR351">
        <f t="shared" si="227"/>
        <v>0</v>
      </c>
      <c r="AS351">
        <f t="shared" si="227"/>
        <v>0</v>
      </c>
      <c r="AT351">
        <f t="shared" si="227"/>
        <v>0</v>
      </c>
      <c r="AU351">
        <f t="shared" si="227"/>
        <v>0</v>
      </c>
      <c r="AV351">
        <f t="shared" si="227"/>
        <v>0</v>
      </c>
      <c r="AW351">
        <f t="shared" si="227"/>
        <v>0</v>
      </c>
      <c r="AX351">
        <f t="shared" si="227"/>
        <v>0</v>
      </c>
      <c r="AY351">
        <f t="shared" si="227"/>
        <v>0</v>
      </c>
      <c r="AZ351">
        <f t="shared" si="227"/>
        <v>0</v>
      </c>
      <c r="BA351">
        <f t="shared" si="227"/>
        <v>0</v>
      </c>
      <c r="BB351">
        <f t="shared" si="227"/>
        <v>0</v>
      </c>
      <c r="BC351">
        <f t="shared" si="227"/>
        <v>0</v>
      </c>
      <c r="BD351">
        <f t="shared" si="227"/>
        <v>0</v>
      </c>
      <c r="BE351">
        <f t="shared" si="227"/>
        <v>1</v>
      </c>
      <c r="BF351">
        <f t="shared" si="227"/>
        <v>0</v>
      </c>
      <c r="BG351">
        <f t="shared" si="227"/>
        <v>0</v>
      </c>
      <c r="BH351">
        <f t="shared" si="227"/>
        <v>0</v>
      </c>
      <c r="BI351">
        <f t="shared" si="227"/>
        <v>0</v>
      </c>
      <c r="BJ351">
        <f t="shared" si="227"/>
        <v>0</v>
      </c>
      <c r="BK351">
        <f t="shared" si="227"/>
        <v>0</v>
      </c>
      <c r="BL351">
        <f t="shared" si="227"/>
        <v>0</v>
      </c>
      <c r="BM351">
        <f t="shared" si="227"/>
        <v>0</v>
      </c>
      <c r="BN351">
        <f t="shared" si="227"/>
        <v>0</v>
      </c>
      <c r="BO351">
        <f t="shared" si="227"/>
        <v>0</v>
      </c>
      <c r="BP351">
        <f t="shared" ref="BP351:DC351" si="228">COUNTA(BP349:BP350)</f>
        <v>0</v>
      </c>
      <c r="BQ351">
        <f t="shared" si="228"/>
        <v>0</v>
      </c>
      <c r="BR351">
        <f t="shared" si="228"/>
        <v>0</v>
      </c>
      <c r="BS351">
        <f t="shared" si="228"/>
        <v>0</v>
      </c>
      <c r="BT351">
        <f t="shared" si="228"/>
        <v>0</v>
      </c>
      <c r="BU351">
        <f t="shared" si="228"/>
        <v>0</v>
      </c>
      <c r="BV351">
        <f t="shared" si="228"/>
        <v>0</v>
      </c>
      <c r="BW351">
        <f t="shared" si="228"/>
        <v>0</v>
      </c>
      <c r="BX351">
        <f t="shared" si="228"/>
        <v>0</v>
      </c>
      <c r="BY351">
        <f t="shared" si="228"/>
        <v>0</v>
      </c>
      <c r="BZ351">
        <f t="shared" si="228"/>
        <v>0</v>
      </c>
      <c r="CA351">
        <f t="shared" si="228"/>
        <v>0</v>
      </c>
      <c r="CB351">
        <f t="shared" si="228"/>
        <v>0</v>
      </c>
      <c r="CC351">
        <f t="shared" si="228"/>
        <v>0</v>
      </c>
      <c r="CD351">
        <f t="shared" si="228"/>
        <v>0</v>
      </c>
      <c r="CE351">
        <f t="shared" si="228"/>
        <v>0</v>
      </c>
      <c r="CF351">
        <f t="shared" si="228"/>
        <v>0</v>
      </c>
      <c r="CG351">
        <f t="shared" si="228"/>
        <v>0</v>
      </c>
      <c r="CH351">
        <f t="shared" si="228"/>
        <v>0</v>
      </c>
      <c r="CI351">
        <f t="shared" si="228"/>
        <v>0</v>
      </c>
      <c r="CJ351">
        <f t="shared" si="228"/>
        <v>0</v>
      </c>
      <c r="CK351">
        <f t="shared" si="228"/>
        <v>0</v>
      </c>
      <c r="CL351">
        <f t="shared" si="228"/>
        <v>0</v>
      </c>
      <c r="CM351">
        <f t="shared" si="228"/>
        <v>0</v>
      </c>
      <c r="CN351">
        <f t="shared" si="228"/>
        <v>0</v>
      </c>
      <c r="CO351">
        <f t="shared" si="228"/>
        <v>0</v>
      </c>
      <c r="CP351">
        <f t="shared" si="228"/>
        <v>0</v>
      </c>
      <c r="CQ351">
        <f t="shared" si="228"/>
        <v>0</v>
      </c>
      <c r="CR351">
        <f t="shared" si="228"/>
        <v>0</v>
      </c>
      <c r="CS351">
        <f t="shared" si="228"/>
        <v>0</v>
      </c>
      <c r="CT351">
        <f t="shared" si="228"/>
        <v>0</v>
      </c>
      <c r="CU351">
        <f t="shared" si="228"/>
        <v>0</v>
      </c>
      <c r="CV351">
        <f t="shared" si="228"/>
        <v>0</v>
      </c>
      <c r="CW351">
        <f t="shared" si="228"/>
        <v>0</v>
      </c>
      <c r="CX351">
        <f t="shared" si="228"/>
        <v>0</v>
      </c>
      <c r="CY351">
        <f t="shared" si="228"/>
        <v>0</v>
      </c>
      <c r="CZ351">
        <f t="shared" si="228"/>
        <v>0</v>
      </c>
      <c r="DA351">
        <f t="shared" si="228"/>
        <v>0</v>
      </c>
      <c r="DB351">
        <f t="shared" si="228"/>
        <v>0</v>
      </c>
      <c r="DC351">
        <f t="shared" si="228"/>
        <v>0</v>
      </c>
    </row>
    <row r="352" spans="1:107" x14ac:dyDescent="0.25">
      <c r="A352" s="18">
        <v>6034449</v>
      </c>
      <c r="B352" t="s">
        <v>7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Y352" s="12" t="s">
        <v>203</v>
      </c>
      <c r="CH352" s="4"/>
      <c r="CI352" s="4"/>
      <c r="CJ352" s="4"/>
      <c r="CK352" s="4"/>
      <c r="CL352" s="4"/>
      <c r="CM352" s="4"/>
    </row>
    <row r="353" spans="1:107" x14ac:dyDescent="0.25">
      <c r="C353">
        <f>COUNTA(C352)</f>
        <v>0</v>
      </c>
      <c r="D353">
        <f t="shared" ref="D353:BO353" si="229">COUNTA(D352)</f>
        <v>0</v>
      </c>
      <c r="E353">
        <f t="shared" si="229"/>
        <v>0</v>
      </c>
      <c r="F353">
        <f t="shared" si="229"/>
        <v>0</v>
      </c>
      <c r="G353">
        <f t="shared" si="229"/>
        <v>0</v>
      </c>
      <c r="H353">
        <f t="shared" si="229"/>
        <v>0</v>
      </c>
      <c r="I353">
        <f t="shared" si="229"/>
        <v>0</v>
      </c>
      <c r="J353">
        <f t="shared" si="229"/>
        <v>0</v>
      </c>
      <c r="K353">
        <f t="shared" si="229"/>
        <v>0</v>
      </c>
      <c r="L353">
        <f t="shared" si="229"/>
        <v>0</v>
      </c>
      <c r="M353">
        <f t="shared" si="229"/>
        <v>0</v>
      </c>
      <c r="N353">
        <f t="shared" si="229"/>
        <v>0</v>
      </c>
      <c r="O353">
        <f t="shared" si="229"/>
        <v>0</v>
      </c>
      <c r="P353">
        <f t="shared" si="229"/>
        <v>0</v>
      </c>
      <c r="Q353">
        <f t="shared" si="229"/>
        <v>0</v>
      </c>
      <c r="R353">
        <f t="shared" si="229"/>
        <v>0</v>
      </c>
      <c r="S353">
        <f t="shared" si="229"/>
        <v>0</v>
      </c>
      <c r="T353">
        <f t="shared" si="229"/>
        <v>0</v>
      </c>
      <c r="U353">
        <f t="shared" si="229"/>
        <v>0</v>
      </c>
      <c r="V353">
        <f t="shared" si="229"/>
        <v>0</v>
      </c>
      <c r="W353">
        <f t="shared" si="229"/>
        <v>0</v>
      </c>
      <c r="X353">
        <f t="shared" si="229"/>
        <v>0</v>
      </c>
      <c r="Y353">
        <f t="shared" si="229"/>
        <v>1</v>
      </c>
      <c r="Z353">
        <f t="shared" si="229"/>
        <v>0</v>
      </c>
      <c r="AA353">
        <f t="shared" si="229"/>
        <v>0</v>
      </c>
      <c r="AB353">
        <f t="shared" si="229"/>
        <v>0</v>
      </c>
      <c r="AC353">
        <f t="shared" si="229"/>
        <v>0</v>
      </c>
      <c r="AD353">
        <f t="shared" si="229"/>
        <v>0</v>
      </c>
      <c r="AE353">
        <f t="shared" si="229"/>
        <v>0</v>
      </c>
      <c r="AF353">
        <f t="shared" si="229"/>
        <v>0</v>
      </c>
      <c r="AG353">
        <f t="shared" si="229"/>
        <v>0</v>
      </c>
      <c r="AH353">
        <f t="shared" si="229"/>
        <v>0</v>
      </c>
      <c r="AI353">
        <f t="shared" si="229"/>
        <v>0</v>
      </c>
      <c r="AJ353">
        <f t="shared" si="229"/>
        <v>0</v>
      </c>
      <c r="AK353">
        <f t="shared" si="229"/>
        <v>0</v>
      </c>
      <c r="AL353">
        <f t="shared" si="229"/>
        <v>0</v>
      </c>
      <c r="AM353">
        <f t="shared" si="229"/>
        <v>0</v>
      </c>
      <c r="AN353">
        <f t="shared" si="229"/>
        <v>0</v>
      </c>
      <c r="AO353">
        <f t="shared" si="229"/>
        <v>0</v>
      </c>
      <c r="AP353">
        <f t="shared" si="229"/>
        <v>0</v>
      </c>
      <c r="AQ353">
        <f t="shared" si="229"/>
        <v>0</v>
      </c>
      <c r="AR353">
        <f t="shared" si="229"/>
        <v>0</v>
      </c>
      <c r="AS353">
        <f t="shared" si="229"/>
        <v>0</v>
      </c>
      <c r="AT353">
        <f t="shared" si="229"/>
        <v>0</v>
      </c>
      <c r="AU353">
        <f t="shared" si="229"/>
        <v>0</v>
      </c>
      <c r="AV353">
        <f t="shared" si="229"/>
        <v>0</v>
      </c>
      <c r="AW353">
        <f t="shared" si="229"/>
        <v>0</v>
      </c>
      <c r="AX353">
        <f t="shared" si="229"/>
        <v>0</v>
      </c>
      <c r="AY353">
        <f t="shared" si="229"/>
        <v>0</v>
      </c>
      <c r="AZ353">
        <f t="shared" si="229"/>
        <v>0</v>
      </c>
      <c r="BA353">
        <f t="shared" si="229"/>
        <v>0</v>
      </c>
      <c r="BB353">
        <f t="shared" si="229"/>
        <v>0</v>
      </c>
      <c r="BC353">
        <f t="shared" si="229"/>
        <v>0</v>
      </c>
      <c r="BD353">
        <f t="shared" si="229"/>
        <v>0</v>
      </c>
      <c r="BE353">
        <f t="shared" si="229"/>
        <v>0</v>
      </c>
      <c r="BF353">
        <f t="shared" si="229"/>
        <v>0</v>
      </c>
      <c r="BG353">
        <f t="shared" si="229"/>
        <v>0</v>
      </c>
      <c r="BH353">
        <f t="shared" si="229"/>
        <v>0</v>
      </c>
      <c r="BI353">
        <f t="shared" si="229"/>
        <v>0</v>
      </c>
      <c r="BJ353">
        <f t="shared" si="229"/>
        <v>0</v>
      </c>
      <c r="BK353">
        <f t="shared" si="229"/>
        <v>0</v>
      </c>
      <c r="BL353">
        <f t="shared" si="229"/>
        <v>0</v>
      </c>
      <c r="BM353">
        <f t="shared" si="229"/>
        <v>0</v>
      </c>
      <c r="BN353">
        <f t="shared" si="229"/>
        <v>0</v>
      </c>
      <c r="BO353">
        <f t="shared" si="229"/>
        <v>0</v>
      </c>
      <c r="BP353">
        <f t="shared" ref="BP353:DC353" si="230">COUNTA(BP352)</f>
        <v>0</v>
      </c>
      <c r="BQ353">
        <f t="shared" si="230"/>
        <v>0</v>
      </c>
      <c r="BR353">
        <f t="shared" si="230"/>
        <v>0</v>
      </c>
      <c r="BS353">
        <f t="shared" si="230"/>
        <v>0</v>
      </c>
      <c r="BT353">
        <f t="shared" si="230"/>
        <v>0</v>
      </c>
      <c r="BU353">
        <f t="shared" si="230"/>
        <v>0</v>
      </c>
      <c r="BV353">
        <f t="shared" si="230"/>
        <v>0</v>
      </c>
      <c r="BW353">
        <f t="shared" si="230"/>
        <v>0</v>
      </c>
      <c r="BX353">
        <f t="shared" si="230"/>
        <v>0</v>
      </c>
      <c r="BY353">
        <f t="shared" si="230"/>
        <v>0</v>
      </c>
      <c r="BZ353">
        <f t="shared" si="230"/>
        <v>0</v>
      </c>
      <c r="CA353">
        <f t="shared" si="230"/>
        <v>0</v>
      </c>
      <c r="CB353">
        <f t="shared" si="230"/>
        <v>0</v>
      </c>
      <c r="CC353">
        <f t="shared" si="230"/>
        <v>0</v>
      </c>
      <c r="CD353">
        <f t="shared" si="230"/>
        <v>0</v>
      </c>
      <c r="CE353">
        <f t="shared" si="230"/>
        <v>0</v>
      </c>
      <c r="CF353">
        <f t="shared" si="230"/>
        <v>0</v>
      </c>
      <c r="CG353">
        <f t="shared" si="230"/>
        <v>0</v>
      </c>
      <c r="CH353">
        <f t="shared" si="230"/>
        <v>0</v>
      </c>
      <c r="CI353">
        <f t="shared" si="230"/>
        <v>0</v>
      </c>
      <c r="CJ353">
        <f t="shared" si="230"/>
        <v>0</v>
      </c>
      <c r="CK353">
        <f t="shared" si="230"/>
        <v>0</v>
      </c>
      <c r="CL353">
        <f t="shared" si="230"/>
        <v>0</v>
      </c>
      <c r="CM353">
        <f t="shared" si="230"/>
        <v>0</v>
      </c>
      <c r="CN353">
        <f t="shared" si="230"/>
        <v>0</v>
      </c>
      <c r="CO353">
        <f t="shared" si="230"/>
        <v>0</v>
      </c>
      <c r="CP353">
        <f t="shared" si="230"/>
        <v>0</v>
      </c>
      <c r="CQ353">
        <f t="shared" si="230"/>
        <v>0</v>
      </c>
      <c r="CR353">
        <f t="shared" si="230"/>
        <v>0</v>
      </c>
      <c r="CS353">
        <f t="shared" si="230"/>
        <v>0</v>
      </c>
      <c r="CT353">
        <f t="shared" si="230"/>
        <v>0</v>
      </c>
      <c r="CU353">
        <f t="shared" si="230"/>
        <v>0</v>
      </c>
      <c r="CV353">
        <f t="shared" si="230"/>
        <v>0</v>
      </c>
      <c r="CW353">
        <f t="shared" si="230"/>
        <v>0</v>
      </c>
      <c r="CX353">
        <f t="shared" si="230"/>
        <v>0</v>
      </c>
      <c r="CY353">
        <f t="shared" si="230"/>
        <v>0</v>
      </c>
      <c r="CZ353">
        <f t="shared" si="230"/>
        <v>0</v>
      </c>
      <c r="DA353">
        <f t="shared" si="230"/>
        <v>0</v>
      </c>
      <c r="DB353">
        <f t="shared" si="230"/>
        <v>0</v>
      </c>
      <c r="DC353">
        <f t="shared" si="230"/>
        <v>0</v>
      </c>
    </row>
    <row r="354" spans="1:107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CH354" s="4"/>
      <c r="CI354" s="4"/>
      <c r="CJ354" s="4"/>
      <c r="CK354" s="4"/>
      <c r="CL354" s="4"/>
      <c r="CM354" s="4"/>
    </row>
    <row r="355" spans="1:107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CH355" s="4"/>
      <c r="CI355" s="4"/>
      <c r="CJ355" s="4"/>
      <c r="CK355" s="4"/>
      <c r="CL355" s="4"/>
      <c r="CM355" s="4"/>
    </row>
    <row r="356" spans="1:107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CH356" s="4"/>
      <c r="CI356" s="4"/>
      <c r="CJ356" s="4"/>
      <c r="CK356" s="4"/>
      <c r="CL356" s="4"/>
      <c r="CM356" s="4"/>
    </row>
    <row r="357" spans="1:107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CH357" s="4"/>
      <c r="CI357" s="4"/>
      <c r="CJ357" s="4"/>
      <c r="CK357" s="4"/>
      <c r="CL357" s="4"/>
      <c r="CM357" s="4"/>
    </row>
    <row r="358" spans="1:107" x14ac:dyDescent="0.25">
      <c r="C358" s="4"/>
      <c r="D358" s="4"/>
      <c r="E358" s="4"/>
      <c r="F358" s="4"/>
      <c r="G358" s="4"/>
      <c r="H358" s="4"/>
      <c r="I358" s="4"/>
      <c r="J358" s="4"/>
      <c r="K358" s="4"/>
      <c r="L358" s="4"/>
      <c r="CH358" s="4"/>
      <c r="CI358" s="4"/>
      <c r="CJ358" s="4"/>
      <c r="CK358" s="4"/>
      <c r="CL358" s="4"/>
      <c r="CM358" s="4"/>
    </row>
    <row r="359" spans="1:10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CH359" s="4"/>
      <c r="CI359" s="4"/>
      <c r="CJ359" s="4"/>
      <c r="CK359" s="4"/>
      <c r="CL359" s="4"/>
      <c r="CM359" s="4"/>
    </row>
    <row r="362" spans="1:107" x14ac:dyDescent="0.25">
      <c r="A362" s="6"/>
    </row>
    <row r="368" spans="1:107" x14ac:dyDescent="0.25">
      <c r="A368" s="12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</sheetData>
  <conditionalFormatting sqref="A17">
    <cfRule type="duplicateValues" dxfId="7" priority="1"/>
  </conditionalFormatting>
  <conditionalFormatting sqref="A2:B2">
    <cfRule type="duplicateValues" dxfId="6" priority="3"/>
  </conditionalFormatting>
  <conditionalFormatting sqref="B355:B358">
    <cfRule type="duplicateValues" dxfId="5" priority="2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484D-4B3A-4612-A8CA-68938427E031}">
  <dimension ref="A1:DB431"/>
  <sheetViews>
    <sheetView zoomScale="70" zoomScaleNormal="70" workbookViewId="0">
      <pane xSplit="2" ySplit="2" topLeftCell="C165" activePane="bottomRight" state="frozen"/>
      <selection pane="topRight" activeCell="C1" sqref="C1"/>
      <selection pane="bottomLeft" activeCell="A3" sqref="A3"/>
      <selection pane="bottomRight" activeCell="A190" sqref="A190:XFD190"/>
    </sheetView>
  </sheetViews>
  <sheetFormatPr baseColWidth="10" defaultRowHeight="15" x14ac:dyDescent="0.25"/>
  <cols>
    <col min="2" max="2" width="11.85546875" customWidth="1"/>
  </cols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14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14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13" t="s">
        <v>47</v>
      </c>
      <c r="Z1" s="13" t="s">
        <v>48</v>
      </c>
      <c r="AA1" s="13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13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13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13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13" t="s">
        <v>100</v>
      </c>
      <c r="CA1" s="7" t="s">
        <v>101</v>
      </c>
      <c r="CB1" s="7" t="s">
        <v>102</v>
      </c>
      <c r="CC1" s="13" t="s">
        <v>103</v>
      </c>
      <c r="CD1" s="7" t="s">
        <v>104</v>
      </c>
      <c r="CE1" s="7" t="s">
        <v>105</v>
      </c>
      <c r="CF1" s="7" t="s">
        <v>106</v>
      </c>
      <c r="CG1" s="13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13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s="2" t="s">
        <v>2</v>
      </c>
      <c r="B2" s="3" t="s">
        <v>3</v>
      </c>
      <c r="G2" t="s">
        <v>129</v>
      </c>
      <c r="H2" t="s">
        <v>129</v>
      </c>
      <c r="I2" t="s">
        <v>130</v>
      </c>
      <c r="X2" t="s">
        <v>131</v>
      </c>
      <c r="Y2" t="s">
        <v>132</v>
      </c>
      <c r="Z2" t="s">
        <v>133</v>
      </c>
      <c r="AA2" t="s">
        <v>133</v>
      </c>
      <c r="AB2" t="s">
        <v>134</v>
      </c>
      <c r="CI2" t="s">
        <v>135</v>
      </c>
      <c r="CJ2" t="s">
        <v>136</v>
      </c>
      <c r="CK2" t="s">
        <v>137</v>
      </c>
      <c r="CL2" t="s">
        <v>138</v>
      </c>
    </row>
    <row r="3" spans="1:106" x14ac:dyDescent="0.25">
      <c r="A3">
        <v>7072184</v>
      </c>
      <c r="B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CG3" s="4"/>
      <c r="CH3" s="4"/>
      <c r="CI3" s="4"/>
      <c r="CJ3" s="4"/>
      <c r="CK3" s="4"/>
      <c r="CL3" s="4"/>
    </row>
    <row r="4" spans="1:106" x14ac:dyDescent="0.25">
      <c r="A4">
        <v>9108231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CG4" s="4"/>
      <c r="CH4" s="4"/>
      <c r="CI4" s="4"/>
      <c r="CJ4" s="4"/>
      <c r="CK4" s="4"/>
      <c r="CL4" s="4"/>
    </row>
    <row r="5" spans="1:106" x14ac:dyDescent="0.25">
      <c r="A5">
        <v>12061933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X5" s="12"/>
      <c r="AC5">
        <v>1412</v>
      </c>
      <c r="AF5" s="12"/>
      <c r="AG5" s="12"/>
      <c r="AL5" s="12"/>
      <c r="CG5" s="4"/>
      <c r="CH5" s="4"/>
      <c r="CI5" s="4"/>
      <c r="CJ5" s="4"/>
      <c r="CK5" s="4"/>
      <c r="CL5" s="4"/>
    </row>
    <row r="6" spans="1:106" x14ac:dyDescent="0.25">
      <c r="A6">
        <v>95005911</v>
      </c>
      <c r="B6" t="s">
        <v>4</v>
      </c>
    </row>
    <row r="7" spans="1:106" x14ac:dyDescent="0.25">
      <c r="A7">
        <v>99001908</v>
      </c>
      <c r="B7" t="s">
        <v>4</v>
      </c>
    </row>
    <row r="8" spans="1:106" x14ac:dyDescent="0.25">
      <c r="A8">
        <v>99004067</v>
      </c>
      <c r="B8" t="s">
        <v>4</v>
      </c>
    </row>
    <row r="9" spans="1:106" x14ac:dyDescent="0.25">
      <c r="A9">
        <v>97002136</v>
      </c>
      <c r="B9" t="s">
        <v>4</v>
      </c>
    </row>
    <row r="10" spans="1:106" x14ac:dyDescent="0.25">
      <c r="A10">
        <v>1502</v>
      </c>
      <c r="B10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CG10" s="4"/>
      <c r="CH10" s="4"/>
      <c r="CI10" s="4"/>
      <c r="CJ10" s="4"/>
      <c r="CK10" s="4"/>
      <c r="CL10" s="4"/>
    </row>
    <row r="11" spans="1:106" x14ac:dyDescent="0.25">
      <c r="A11">
        <v>4003543</v>
      </c>
      <c r="B11" t="s">
        <v>4</v>
      </c>
      <c r="C11" s="4"/>
      <c r="D11" s="4"/>
      <c r="E11" s="4"/>
      <c r="F11" s="4"/>
      <c r="G11" s="4"/>
      <c r="H11" s="4"/>
      <c r="I11" s="4"/>
      <c r="J11" s="4"/>
      <c r="K11" s="4"/>
      <c r="L11" s="4"/>
      <c r="CG11" s="4"/>
      <c r="CH11" s="4"/>
      <c r="CI11" s="4"/>
      <c r="CJ11" s="4"/>
      <c r="CK11" s="4"/>
      <c r="CL11" s="4"/>
    </row>
    <row r="12" spans="1:106" x14ac:dyDescent="0.25">
      <c r="A12">
        <v>4900261</v>
      </c>
      <c r="B12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CG12" s="4"/>
      <c r="CH12" s="4"/>
      <c r="CI12" s="4"/>
      <c r="CJ12" s="4"/>
      <c r="CK12" s="4"/>
      <c r="CL12" s="4"/>
    </row>
    <row r="13" spans="1:106" x14ac:dyDescent="0.25">
      <c r="C13" s="4">
        <f>COUNTA(C3:C12)</f>
        <v>0</v>
      </c>
      <c r="D13" s="4">
        <f t="shared" ref="D13:BO13" si="0">COUNTA(D3:D12)</f>
        <v>0</v>
      </c>
      <c r="E13" s="4">
        <f t="shared" si="0"/>
        <v>0</v>
      </c>
      <c r="F13" s="4">
        <f t="shared" si="0"/>
        <v>0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4">
        <f t="shared" si="0"/>
        <v>0</v>
      </c>
      <c r="W13" s="4">
        <f t="shared" si="0"/>
        <v>0</v>
      </c>
      <c r="X13" s="4">
        <f t="shared" si="0"/>
        <v>0</v>
      </c>
      <c r="Y13" s="4">
        <f t="shared" si="0"/>
        <v>0</v>
      </c>
      <c r="Z13" s="4">
        <f t="shared" si="0"/>
        <v>0</v>
      </c>
      <c r="AA13" s="4">
        <f t="shared" si="0"/>
        <v>0</v>
      </c>
      <c r="AB13" s="4">
        <f t="shared" si="0"/>
        <v>0</v>
      </c>
      <c r="AC13" s="4">
        <f t="shared" si="0"/>
        <v>1</v>
      </c>
      <c r="AD13" s="4">
        <f t="shared" si="0"/>
        <v>0</v>
      </c>
      <c r="AE13" s="4">
        <f t="shared" si="0"/>
        <v>0</v>
      </c>
      <c r="AF13" s="4">
        <f t="shared" si="0"/>
        <v>0</v>
      </c>
      <c r="AG13" s="4">
        <f t="shared" si="0"/>
        <v>0</v>
      </c>
      <c r="AH13" s="4">
        <f t="shared" si="0"/>
        <v>0</v>
      </c>
      <c r="AI13" s="4">
        <f t="shared" si="0"/>
        <v>0</v>
      </c>
      <c r="AJ13" s="4">
        <f t="shared" si="0"/>
        <v>0</v>
      </c>
      <c r="AK13" s="4">
        <f t="shared" si="0"/>
        <v>0</v>
      </c>
      <c r="AL13" s="4">
        <f t="shared" si="0"/>
        <v>0</v>
      </c>
      <c r="AM13" s="4">
        <f t="shared" si="0"/>
        <v>0</v>
      </c>
      <c r="AN13" s="4">
        <f t="shared" si="0"/>
        <v>0</v>
      </c>
      <c r="AO13" s="4">
        <f t="shared" si="0"/>
        <v>0</v>
      </c>
      <c r="AP13" s="4">
        <f t="shared" si="0"/>
        <v>0</v>
      </c>
      <c r="AQ13" s="4">
        <f t="shared" si="0"/>
        <v>0</v>
      </c>
      <c r="AR13" s="4">
        <f t="shared" si="0"/>
        <v>0</v>
      </c>
      <c r="AS13" s="4">
        <f t="shared" si="0"/>
        <v>0</v>
      </c>
      <c r="AT13" s="4">
        <f t="shared" si="0"/>
        <v>0</v>
      </c>
      <c r="AU13" s="4">
        <f t="shared" si="0"/>
        <v>0</v>
      </c>
      <c r="AV13" s="4">
        <f t="shared" si="0"/>
        <v>0</v>
      </c>
      <c r="AW13" s="4">
        <f t="shared" si="0"/>
        <v>0</v>
      </c>
      <c r="AX13" s="4">
        <f t="shared" si="0"/>
        <v>0</v>
      </c>
      <c r="AY13" s="4">
        <f t="shared" si="0"/>
        <v>0</v>
      </c>
      <c r="AZ13" s="4">
        <f t="shared" si="0"/>
        <v>0</v>
      </c>
      <c r="BA13" s="4">
        <f t="shared" si="0"/>
        <v>0</v>
      </c>
      <c r="BB13" s="4">
        <f t="shared" si="0"/>
        <v>0</v>
      </c>
      <c r="BC13" s="4">
        <f t="shared" si="0"/>
        <v>0</v>
      </c>
      <c r="BD13" s="4">
        <f t="shared" si="0"/>
        <v>0</v>
      </c>
      <c r="BE13" s="4">
        <f t="shared" si="0"/>
        <v>0</v>
      </c>
      <c r="BF13" s="4">
        <f t="shared" si="0"/>
        <v>0</v>
      </c>
      <c r="BG13" s="4">
        <f t="shared" si="0"/>
        <v>0</v>
      </c>
      <c r="BH13" s="4">
        <f t="shared" si="0"/>
        <v>0</v>
      </c>
      <c r="BI13" s="4">
        <f t="shared" si="0"/>
        <v>0</v>
      </c>
      <c r="BJ13" s="4">
        <f t="shared" si="0"/>
        <v>0</v>
      </c>
      <c r="BK13" s="4">
        <f t="shared" si="0"/>
        <v>0</v>
      </c>
      <c r="BL13" s="4">
        <f t="shared" si="0"/>
        <v>0</v>
      </c>
      <c r="BM13" s="4">
        <f t="shared" si="0"/>
        <v>0</v>
      </c>
      <c r="BN13" s="4">
        <f t="shared" si="0"/>
        <v>0</v>
      </c>
      <c r="BO13" s="4">
        <f t="shared" si="0"/>
        <v>0</v>
      </c>
      <c r="BP13" s="4">
        <f t="shared" ref="BP13:DB13" si="1">COUNTA(BP3:BP12)</f>
        <v>0</v>
      </c>
      <c r="BQ13" s="4">
        <f t="shared" si="1"/>
        <v>0</v>
      </c>
      <c r="BR13" s="4">
        <f t="shared" si="1"/>
        <v>0</v>
      </c>
      <c r="BS13" s="4">
        <f t="shared" si="1"/>
        <v>0</v>
      </c>
      <c r="BT13" s="4">
        <f t="shared" si="1"/>
        <v>0</v>
      </c>
      <c r="BU13" s="4">
        <f t="shared" si="1"/>
        <v>0</v>
      </c>
      <c r="BV13" s="4">
        <f t="shared" si="1"/>
        <v>0</v>
      </c>
      <c r="BW13" s="4">
        <f t="shared" si="1"/>
        <v>0</v>
      </c>
      <c r="BX13" s="4">
        <f t="shared" si="1"/>
        <v>0</v>
      </c>
      <c r="BY13" s="4">
        <f t="shared" si="1"/>
        <v>0</v>
      </c>
      <c r="BZ13" s="4">
        <f t="shared" si="1"/>
        <v>0</v>
      </c>
      <c r="CA13" s="4">
        <f t="shared" si="1"/>
        <v>0</v>
      </c>
      <c r="CB13" s="4">
        <f t="shared" si="1"/>
        <v>0</v>
      </c>
      <c r="CC13" s="4">
        <f t="shared" si="1"/>
        <v>0</v>
      </c>
      <c r="CD13" s="4">
        <f t="shared" si="1"/>
        <v>0</v>
      </c>
      <c r="CE13" s="4">
        <f t="shared" si="1"/>
        <v>0</v>
      </c>
      <c r="CF13" s="4">
        <f t="shared" si="1"/>
        <v>0</v>
      </c>
      <c r="CG13" s="4">
        <f t="shared" si="1"/>
        <v>0</v>
      </c>
      <c r="CH13" s="4">
        <f t="shared" si="1"/>
        <v>0</v>
      </c>
      <c r="CI13" s="4">
        <f t="shared" si="1"/>
        <v>0</v>
      </c>
      <c r="CJ13" s="4">
        <f t="shared" si="1"/>
        <v>0</v>
      </c>
      <c r="CK13" s="4">
        <f t="shared" si="1"/>
        <v>0</v>
      </c>
      <c r="CL13" s="4">
        <f t="shared" si="1"/>
        <v>0</v>
      </c>
      <c r="CM13" s="4">
        <f t="shared" si="1"/>
        <v>0</v>
      </c>
      <c r="CN13" s="4">
        <f t="shared" si="1"/>
        <v>0</v>
      </c>
      <c r="CO13" s="4">
        <f t="shared" si="1"/>
        <v>0</v>
      </c>
      <c r="CP13" s="4">
        <f t="shared" si="1"/>
        <v>0</v>
      </c>
      <c r="CQ13" s="4">
        <f t="shared" si="1"/>
        <v>0</v>
      </c>
      <c r="CR13" s="4">
        <f t="shared" si="1"/>
        <v>0</v>
      </c>
      <c r="CS13" s="4">
        <f t="shared" si="1"/>
        <v>0</v>
      </c>
      <c r="CT13" s="4">
        <f t="shared" si="1"/>
        <v>0</v>
      </c>
      <c r="CU13" s="4">
        <f t="shared" si="1"/>
        <v>0</v>
      </c>
      <c r="CV13" s="4">
        <f t="shared" si="1"/>
        <v>0</v>
      </c>
      <c r="CW13" s="4">
        <f t="shared" si="1"/>
        <v>0</v>
      </c>
      <c r="CX13" s="4">
        <f t="shared" si="1"/>
        <v>0</v>
      </c>
      <c r="CY13" s="4">
        <f t="shared" si="1"/>
        <v>0</v>
      </c>
      <c r="CZ13" s="4">
        <f t="shared" si="1"/>
        <v>0</v>
      </c>
      <c r="DA13" s="4">
        <f t="shared" si="1"/>
        <v>0</v>
      </c>
      <c r="DB13" s="4">
        <f t="shared" si="1"/>
        <v>0</v>
      </c>
    </row>
    <row r="14" spans="1:106" x14ac:dyDescent="0.25">
      <c r="A14">
        <v>14242856</v>
      </c>
      <c r="B1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CG14" s="4"/>
      <c r="CH14" s="4"/>
      <c r="CI14" s="4"/>
      <c r="CJ14" s="4"/>
      <c r="CK14" s="4"/>
      <c r="CL14" s="4"/>
    </row>
    <row r="15" spans="1:106" x14ac:dyDescent="0.25">
      <c r="A15">
        <v>99001183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CG15" s="4"/>
      <c r="CH15" s="4"/>
      <c r="CI15" s="4"/>
      <c r="CJ15" s="4"/>
      <c r="CK15" s="4"/>
      <c r="CL15" s="4"/>
    </row>
    <row r="16" spans="1:106" x14ac:dyDescent="0.25">
      <c r="A16">
        <v>3000983</v>
      </c>
      <c r="B16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CG16" s="4"/>
      <c r="CH16" s="4"/>
      <c r="CI16" s="4"/>
      <c r="CJ16" s="4"/>
      <c r="CK16" s="4"/>
      <c r="CL16" s="4"/>
    </row>
    <row r="17" spans="1:106" x14ac:dyDescent="0.25">
      <c r="A17">
        <v>10064335</v>
      </c>
      <c r="B17" t="s">
        <v>5</v>
      </c>
      <c r="C17" s="4"/>
      <c r="D17" s="4"/>
      <c r="E17" s="4"/>
      <c r="F17" s="4"/>
      <c r="G17" s="4"/>
      <c r="H17" s="4"/>
      <c r="I17" s="4"/>
      <c r="J17" s="4"/>
      <c r="K17" s="4"/>
      <c r="L17" s="4"/>
      <c r="CG17" s="4"/>
      <c r="CH17" s="4"/>
      <c r="CI17" s="4"/>
      <c r="CJ17" s="4"/>
      <c r="CK17" s="4"/>
      <c r="CL17" s="4"/>
    </row>
    <row r="18" spans="1:106" x14ac:dyDescent="0.25">
      <c r="A18" s="4"/>
      <c r="B18" s="4"/>
      <c r="C18" s="4">
        <f>COUNTA(C14:C17)</f>
        <v>0</v>
      </c>
      <c r="D18" s="4">
        <f t="shared" ref="D18:BO18" si="2">COUNTA(D14:D17)</f>
        <v>0</v>
      </c>
      <c r="E18" s="4">
        <f t="shared" si="2"/>
        <v>0</v>
      </c>
      <c r="F18" s="4">
        <f t="shared" si="2"/>
        <v>0</v>
      </c>
      <c r="G18" s="4">
        <f t="shared" si="2"/>
        <v>0</v>
      </c>
      <c r="H18" s="4">
        <f t="shared" si="2"/>
        <v>0</v>
      </c>
      <c r="I18" s="4">
        <f t="shared" si="2"/>
        <v>0</v>
      </c>
      <c r="J18" s="4">
        <f t="shared" si="2"/>
        <v>0</v>
      </c>
      <c r="K18" s="4">
        <f t="shared" si="2"/>
        <v>0</v>
      </c>
      <c r="L18" s="4">
        <f t="shared" si="2"/>
        <v>0</v>
      </c>
      <c r="M18" s="4">
        <f t="shared" si="2"/>
        <v>0</v>
      </c>
      <c r="N18" s="4">
        <f t="shared" si="2"/>
        <v>0</v>
      </c>
      <c r="O18" s="4">
        <f t="shared" si="2"/>
        <v>0</v>
      </c>
      <c r="P18" s="4">
        <f t="shared" si="2"/>
        <v>0</v>
      </c>
      <c r="Q18" s="4">
        <f t="shared" si="2"/>
        <v>0</v>
      </c>
      <c r="R18" s="4">
        <f t="shared" si="2"/>
        <v>0</v>
      </c>
      <c r="S18" s="4">
        <f t="shared" si="2"/>
        <v>0</v>
      </c>
      <c r="T18" s="4">
        <f t="shared" si="2"/>
        <v>0</v>
      </c>
      <c r="U18" s="4">
        <f t="shared" si="2"/>
        <v>0</v>
      </c>
      <c r="V18" s="4">
        <f t="shared" si="2"/>
        <v>0</v>
      </c>
      <c r="W18" s="4">
        <f t="shared" si="2"/>
        <v>0</v>
      </c>
      <c r="X18" s="4">
        <f t="shared" si="2"/>
        <v>0</v>
      </c>
      <c r="Y18" s="4">
        <f t="shared" si="2"/>
        <v>0</v>
      </c>
      <c r="Z18" s="4">
        <f t="shared" si="2"/>
        <v>0</v>
      </c>
      <c r="AA18" s="4">
        <f t="shared" si="2"/>
        <v>0</v>
      </c>
      <c r="AB18" s="4">
        <f t="shared" si="2"/>
        <v>0</v>
      </c>
      <c r="AC18" s="4">
        <f t="shared" si="2"/>
        <v>0</v>
      </c>
      <c r="AD18" s="4">
        <f t="shared" si="2"/>
        <v>0</v>
      </c>
      <c r="AE18" s="4">
        <f t="shared" si="2"/>
        <v>0</v>
      </c>
      <c r="AF18" s="4">
        <f t="shared" si="2"/>
        <v>0</v>
      </c>
      <c r="AG18" s="4">
        <f t="shared" si="2"/>
        <v>0</v>
      </c>
      <c r="AH18" s="4">
        <f t="shared" si="2"/>
        <v>0</v>
      </c>
      <c r="AI18" s="4">
        <f t="shared" si="2"/>
        <v>0</v>
      </c>
      <c r="AJ18" s="4">
        <f t="shared" si="2"/>
        <v>0</v>
      </c>
      <c r="AK18" s="4">
        <f t="shared" si="2"/>
        <v>0</v>
      </c>
      <c r="AL18" s="4">
        <f t="shared" si="2"/>
        <v>0</v>
      </c>
      <c r="AM18" s="4">
        <f t="shared" si="2"/>
        <v>0</v>
      </c>
      <c r="AN18" s="4">
        <f t="shared" si="2"/>
        <v>0</v>
      </c>
      <c r="AO18" s="4">
        <f t="shared" si="2"/>
        <v>0</v>
      </c>
      <c r="AP18" s="4">
        <f t="shared" si="2"/>
        <v>0</v>
      </c>
      <c r="AQ18" s="4">
        <f t="shared" si="2"/>
        <v>0</v>
      </c>
      <c r="AR18" s="4">
        <f t="shared" si="2"/>
        <v>0</v>
      </c>
      <c r="AS18" s="4">
        <f t="shared" si="2"/>
        <v>0</v>
      </c>
      <c r="AT18" s="4">
        <f t="shared" si="2"/>
        <v>0</v>
      </c>
      <c r="AU18" s="4">
        <f t="shared" si="2"/>
        <v>0</v>
      </c>
      <c r="AV18" s="4">
        <f t="shared" si="2"/>
        <v>0</v>
      </c>
      <c r="AW18" s="4">
        <f t="shared" si="2"/>
        <v>0</v>
      </c>
      <c r="AX18" s="4">
        <f t="shared" si="2"/>
        <v>0</v>
      </c>
      <c r="AY18" s="4">
        <f t="shared" si="2"/>
        <v>0</v>
      </c>
      <c r="AZ18" s="4">
        <f t="shared" si="2"/>
        <v>0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ref="BP18:DB18" si="3">COUNTA(BP14:BP17)</f>
        <v>0</v>
      </c>
      <c r="BQ18" s="4">
        <f t="shared" si="3"/>
        <v>0</v>
      </c>
      <c r="BR18" s="4">
        <f t="shared" si="3"/>
        <v>0</v>
      </c>
      <c r="BS18" s="4">
        <f t="shared" si="3"/>
        <v>0</v>
      </c>
      <c r="BT18" s="4">
        <f t="shared" si="3"/>
        <v>0</v>
      </c>
      <c r="BU18" s="4">
        <f t="shared" si="3"/>
        <v>0</v>
      </c>
      <c r="BV18" s="4">
        <f t="shared" si="3"/>
        <v>0</v>
      </c>
      <c r="BW18" s="4">
        <f t="shared" si="3"/>
        <v>0</v>
      </c>
      <c r="BX18" s="4">
        <f t="shared" si="3"/>
        <v>0</v>
      </c>
      <c r="BY18" s="4">
        <f t="shared" si="3"/>
        <v>0</v>
      </c>
      <c r="BZ18" s="4">
        <f t="shared" si="3"/>
        <v>0</v>
      </c>
      <c r="CA18" s="4">
        <f t="shared" si="3"/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0</v>
      </c>
    </row>
    <row r="19" spans="1:106" x14ac:dyDescent="0.25">
      <c r="A19">
        <v>1480</v>
      </c>
      <c r="B19" t="s">
        <v>6</v>
      </c>
    </row>
    <row r="20" spans="1:106" x14ac:dyDescent="0.25">
      <c r="A20">
        <v>7063959</v>
      </c>
      <c r="B20" t="s">
        <v>6</v>
      </c>
      <c r="C20" s="4"/>
      <c r="D20" s="4"/>
      <c r="E20" s="4"/>
      <c r="F20" s="4"/>
      <c r="G20" s="4"/>
      <c r="H20" s="4"/>
      <c r="I20" s="4"/>
      <c r="J20" s="4"/>
      <c r="K20" s="4"/>
      <c r="L20" s="4"/>
      <c r="CG20" s="4"/>
      <c r="CH20" s="4"/>
      <c r="CI20" s="4"/>
      <c r="CJ20" s="4"/>
      <c r="CK20" s="4"/>
      <c r="CL20" s="4"/>
    </row>
    <row r="21" spans="1:106" x14ac:dyDescent="0.25">
      <c r="A21">
        <v>1003215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BS21">
        <v>13000</v>
      </c>
      <c r="CG21" s="4"/>
      <c r="CH21" s="4"/>
      <c r="CI21" s="4"/>
      <c r="CJ21" s="4"/>
      <c r="CK21" s="4"/>
      <c r="CL21" s="4"/>
    </row>
    <row r="22" spans="1:106" x14ac:dyDescent="0.25">
      <c r="A22">
        <v>99000802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CG22" s="4"/>
      <c r="CH22" s="4"/>
      <c r="CI22" s="4"/>
      <c r="CJ22" s="4"/>
      <c r="CK22" s="4"/>
      <c r="CL22" s="4"/>
    </row>
    <row r="23" spans="1:106" x14ac:dyDescent="0.25">
      <c r="A23">
        <v>99000892</v>
      </c>
      <c r="B2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CG23" s="4"/>
      <c r="CH23" s="4"/>
      <c r="CI23" s="4"/>
      <c r="CJ23" s="4"/>
      <c r="CK23" s="4"/>
      <c r="CL23" s="4"/>
    </row>
    <row r="24" spans="1:106" x14ac:dyDescent="0.25">
      <c r="A24">
        <v>1000192</v>
      </c>
      <c r="B24" t="s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CG24" s="4"/>
      <c r="CH24" s="4"/>
      <c r="CI24" s="4"/>
      <c r="CJ24" s="4"/>
      <c r="CK24" s="4"/>
      <c r="CL24" s="4"/>
    </row>
    <row r="25" spans="1:106" x14ac:dyDescent="0.25">
      <c r="A25">
        <v>1506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CG25" s="4"/>
      <c r="CH25" s="4"/>
      <c r="CI25" s="4"/>
      <c r="CJ25" s="4"/>
      <c r="CK25" s="4"/>
      <c r="CL25" s="4"/>
    </row>
    <row r="26" spans="1:106" x14ac:dyDescent="0.25">
      <c r="A26">
        <v>99000894</v>
      </c>
      <c r="B26" t="s"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CG26" s="4"/>
      <c r="CH26" s="4"/>
      <c r="CI26" s="4"/>
      <c r="CJ26" s="4"/>
      <c r="CK26" s="4"/>
      <c r="CL26" s="4"/>
    </row>
    <row r="27" spans="1:106" x14ac:dyDescent="0.25">
      <c r="A27">
        <v>99000897</v>
      </c>
      <c r="B27" t="s">
        <v>6</v>
      </c>
    </row>
    <row r="28" spans="1:106" x14ac:dyDescent="0.25">
      <c r="A28">
        <v>99001245</v>
      </c>
      <c r="B28" t="s">
        <v>6</v>
      </c>
    </row>
    <row r="29" spans="1:106" x14ac:dyDescent="0.25">
      <c r="A29">
        <v>99001902</v>
      </c>
      <c r="B29" t="s">
        <v>6</v>
      </c>
    </row>
    <row r="30" spans="1:106" x14ac:dyDescent="0.25">
      <c r="A30">
        <v>99001912</v>
      </c>
      <c r="B30" t="s">
        <v>6</v>
      </c>
    </row>
    <row r="31" spans="1:106" x14ac:dyDescent="0.25">
      <c r="A31">
        <v>99001913</v>
      </c>
      <c r="B31" t="s">
        <v>6</v>
      </c>
    </row>
    <row r="32" spans="1:106" x14ac:dyDescent="0.25">
      <c r="A32">
        <v>99001937</v>
      </c>
      <c r="B32" t="s">
        <v>6</v>
      </c>
    </row>
    <row r="33" spans="1:106" x14ac:dyDescent="0.25">
      <c r="A33">
        <v>99001943</v>
      </c>
      <c r="B33" t="s">
        <v>6</v>
      </c>
    </row>
    <row r="34" spans="1:106" x14ac:dyDescent="0.25">
      <c r="A34">
        <v>99001927</v>
      </c>
      <c r="B34" t="s">
        <v>6</v>
      </c>
    </row>
    <row r="35" spans="1:106" x14ac:dyDescent="0.25">
      <c r="A35">
        <v>1505</v>
      </c>
      <c r="B35" t="s">
        <v>6</v>
      </c>
      <c r="C35" s="4"/>
      <c r="D35" s="4"/>
      <c r="E35" s="4"/>
      <c r="F35" s="4"/>
      <c r="G35" s="4"/>
      <c r="H35" s="4"/>
      <c r="I35" s="4"/>
      <c r="J35" s="4"/>
      <c r="K35" s="4"/>
      <c r="L35" s="4"/>
      <c r="CG35" s="4"/>
      <c r="CH35" s="4"/>
      <c r="CI35" s="4"/>
      <c r="CJ35" s="4"/>
      <c r="CK35" s="4"/>
      <c r="CL35" s="4"/>
    </row>
    <row r="36" spans="1:106" x14ac:dyDescent="0.25">
      <c r="A36">
        <v>1000197</v>
      </c>
      <c r="B36" t="s"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CG36" s="4"/>
      <c r="CH36" s="4"/>
      <c r="CI36" s="4"/>
      <c r="CJ36" s="4"/>
      <c r="CK36" s="4"/>
      <c r="CL36" s="4"/>
    </row>
    <row r="37" spans="1:106" x14ac:dyDescent="0.25">
      <c r="A37">
        <v>96018835</v>
      </c>
      <c r="B37" t="s">
        <v>6</v>
      </c>
      <c r="I37" s="4"/>
      <c r="J37" s="4"/>
      <c r="K37" s="4"/>
      <c r="L37" s="4"/>
      <c r="CG37" s="4"/>
      <c r="CH37" s="4"/>
      <c r="CI37" s="4"/>
      <c r="CJ37" s="4"/>
      <c r="CK37" s="4"/>
      <c r="CL37" s="4"/>
    </row>
    <row r="38" spans="1:106" x14ac:dyDescent="0.25">
      <c r="A38">
        <v>98008326</v>
      </c>
      <c r="B38" t="s">
        <v>6</v>
      </c>
      <c r="C38" s="4"/>
      <c r="D38" s="4"/>
      <c r="E38" s="4"/>
      <c r="F38" s="4"/>
      <c r="G38" s="4"/>
      <c r="H38" s="4"/>
      <c r="I38" s="4"/>
      <c r="J38" s="4"/>
      <c r="K38" s="4"/>
      <c r="L38" s="4"/>
      <c r="CG38" s="4"/>
      <c r="CH38" s="4"/>
      <c r="CI38" s="4"/>
      <c r="CJ38" s="4"/>
      <c r="CK38" s="4"/>
      <c r="CL38" s="4"/>
    </row>
    <row r="39" spans="1:106" x14ac:dyDescent="0.25">
      <c r="A39">
        <v>99000717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CG39" s="4"/>
      <c r="CH39" s="4"/>
      <c r="CI39" s="4"/>
      <c r="CJ39" s="4"/>
      <c r="CK39" s="4"/>
      <c r="CL39" s="4"/>
    </row>
    <row r="40" spans="1:106" x14ac:dyDescent="0.25">
      <c r="C40">
        <f>COUNTA(C19:C39)</f>
        <v>0</v>
      </c>
      <c r="D40">
        <f t="shared" ref="D40:BO40" si="4">COUNTA(D19:D39)</f>
        <v>0</v>
      </c>
      <c r="E40">
        <f>COUNTA(E19:E39)</f>
        <v>0</v>
      </c>
      <c r="F40">
        <f t="shared" si="4"/>
        <v>0</v>
      </c>
      <c r="G40">
        <f t="shared" si="4"/>
        <v>0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4"/>
        <v>0</v>
      </c>
      <c r="L40">
        <f t="shared" si="4"/>
        <v>0</v>
      </c>
      <c r="M40">
        <f t="shared" si="4"/>
        <v>0</v>
      </c>
      <c r="N40">
        <f t="shared" si="4"/>
        <v>0</v>
      </c>
      <c r="O40">
        <f t="shared" si="4"/>
        <v>0</v>
      </c>
      <c r="P40">
        <f t="shared" si="4"/>
        <v>0</v>
      </c>
      <c r="Q40">
        <f t="shared" si="4"/>
        <v>0</v>
      </c>
      <c r="R40">
        <f t="shared" si="4"/>
        <v>0</v>
      </c>
      <c r="S40">
        <f t="shared" si="4"/>
        <v>0</v>
      </c>
      <c r="T40">
        <f t="shared" si="4"/>
        <v>0</v>
      </c>
      <c r="U40">
        <f t="shared" si="4"/>
        <v>0</v>
      </c>
      <c r="V40">
        <f t="shared" si="4"/>
        <v>0</v>
      </c>
      <c r="W40">
        <f t="shared" si="4"/>
        <v>0</v>
      </c>
      <c r="X40">
        <f t="shared" si="4"/>
        <v>0</v>
      </c>
      <c r="Y40">
        <f t="shared" si="4"/>
        <v>0</v>
      </c>
      <c r="Z40">
        <f t="shared" si="4"/>
        <v>0</v>
      </c>
      <c r="AA40">
        <f t="shared" si="4"/>
        <v>0</v>
      </c>
      <c r="AB40">
        <f t="shared" si="4"/>
        <v>0</v>
      </c>
      <c r="AC40">
        <f t="shared" si="4"/>
        <v>0</v>
      </c>
      <c r="AD40">
        <f t="shared" si="4"/>
        <v>0</v>
      </c>
      <c r="AE40">
        <f t="shared" si="4"/>
        <v>0</v>
      </c>
      <c r="AF40">
        <f t="shared" si="4"/>
        <v>0</v>
      </c>
      <c r="AG40">
        <f t="shared" si="4"/>
        <v>0</v>
      </c>
      <c r="AH40">
        <f t="shared" si="4"/>
        <v>0</v>
      </c>
      <c r="AI40">
        <f t="shared" si="4"/>
        <v>0</v>
      </c>
      <c r="AJ40">
        <f t="shared" si="4"/>
        <v>0</v>
      </c>
      <c r="AK40">
        <f t="shared" si="4"/>
        <v>0</v>
      </c>
      <c r="AL40">
        <f t="shared" si="4"/>
        <v>0</v>
      </c>
      <c r="AM40">
        <f t="shared" si="4"/>
        <v>0</v>
      </c>
      <c r="AN40">
        <f t="shared" si="4"/>
        <v>0</v>
      </c>
      <c r="AO40">
        <f t="shared" si="4"/>
        <v>0</v>
      </c>
      <c r="AP40">
        <f t="shared" si="4"/>
        <v>0</v>
      </c>
      <c r="AQ40">
        <f t="shared" si="4"/>
        <v>0</v>
      </c>
      <c r="AR40">
        <f t="shared" si="4"/>
        <v>0</v>
      </c>
      <c r="AS40">
        <f t="shared" si="4"/>
        <v>0</v>
      </c>
      <c r="AT40">
        <f t="shared" si="4"/>
        <v>0</v>
      </c>
      <c r="AU40">
        <f t="shared" si="4"/>
        <v>0</v>
      </c>
      <c r="AV40">
        <f t="shared" si="4"/>
        <v>0</v>
      </c>
      <c r="AW40">
        <f t="shared" si="4"/>
        <v>0</v>
      </c>
      <c r="AX40">
        <f t="shared" si="4"/>
        <v>0</v>
      </c>
      <c r="AY40">
        <f t="shared" si="4"/>
        <v>0</v>
      </c>
      <c r="AZ40">
        <f t="shared" si="4"/>
        <v>0</v>
      </c>
      <c r="BA40">
        <f t="shared" si="4"/>
        <v>0</v>
      </c>
      <c r="BB40">
        <f t="shared" si="4"/>
        <v>0</v>
      </c>
      <c r="BC40">
        <f t="shared" si="4"/>
        <v>0</v>
      </c>
      <c r="BD40">
        <f t="shared" si="4"/>
        <v>0</v>
      </c>
      <c r="BE40">
        <f t="shared" si="4"/>
        <v>0</v>
      </c>
      <c r="BF40">
        <f t="shared" si="4"/>
        <v>0</v>
      </c>
      <c r="BG40">
        <f t="shared" si="4"/>
        <v>0</v>
      </c>
      <c r="BH40">
        <f t="shared" si="4"/>
        <v>0</v>
      </c>
      <c r="BI40">
        <f t="shared" si="4"/>
        <v>0</v>
      </c>
      <c r="BJ40">
        <f t="shared" si="4"/>
        <v>0</v>
      </c>
      <c r="BK40">
        <f t="shared" si="4"/>
        <v>0</v>
      </c>
      <c r="BL40">
        <f t="shared" si="4"/>
        <v>0</v>
      </c>
      <c r="BM40">
        <f t="shared" si="4"/>
        <v>0</v>
      </c>
      <c r="BN40">
        <f t="shared" si="4"/>
        <v>0</v>
      </c>
      <c r="BO40">
        <f t="shared" si="4"/>
        <v>0</v>
      </c>
      <c r="BP40">
        <f t="shared" ref="BP40:DB40" si="5">COUNTA(BP19:BP39)</f>
        <v>0</v>
      </c>
      <c r="BQ40">
        <f t="shared" si="5"/>
        <v>0</v>
      </c>
      <c r="BR40">
        <f t="shared" si="5"/>
        <v>0</v>
      </c>
      <c r="BS40">
        <f t="shared" si="5"/>
        <v>1</v>
      </c>
      <c r="BT40">
        <f t="shared" si="5"/>
        <v>0</v>
      </c>
      <c r="BU40">
        <f t="shared" si="5"/>
        <v>0</v>
      </c>
      <c r="BV40">
        <f t="shared" si="5"/>
        <v>0</v>
      </c>
      <c r="BW40">
        <f t="shared" si="5"/>
        <v>0</v>
      </c>
      <c r="BX40">
        <f t="shared" si="5"/>
        <v>0</v>
      </c>
      <c r="BY40">
        <f t="shared" si="5"/>
        <v>0</v>
      </c>
      <c r="BZ40">
        <f t="shared" si="5"/>
        <v>0</v>
      </c>
      <c r="CA40">
        <f>COUNTA(CA19:CA39)</f>
        <v>0</v>
      </c>
      <c r="CB40">
        <f t="shared" si="5"/>
        <v>0</v>
      </c>
      <c r="CC40">
        <f t="shared" si="5"/>
        <v>0</v>
      </c>
      <c r="CD40">
        <f t="shared" si="5"/>
        <v>0</v>
      </c>
      <c r="CE40">
        <f t="shared" si="5"/>
        <v>0</v>
      </c>
      <c r="CF40">
        <f t="shared" si="5"/>
        <v>0</v>
      </c>
      <c r="CG40">
        <f t="shared" si="5"/>
        <v>0</v>
      </c>
      <c r="CH40">
        <f t="shared" si="5"/>
        <v>0</v>
      </c>
      <c r="CI40">
        <f t="shared" si="5"/>
        <v>0</v>
      </c>
      <c r="CJ40">
        <f t="shared" si="5"/>
        <v>0</v>
      </c>
      <c r="CK40">
        <f t="shared" si="5"/>
        <v>0</v>
      </c>
      <c r="CL40">
        <f t="shared" si="5"/>
        <v>0</v>
      </c>
      <c r="CM40">
        <f t="shared" si="5"/>
        <v>0</v>
      </c>
      <c r="CN40">
        <f t="shared" si="5"/>
        <v>0</v>
      </c>
      <c r="CO40">
        <f t="shared" si="5"/>
        <v>0</v>
      </c>
      <c r="CP40">
        <f t="shared" si="5"/>
        <v>0</v>
      </c>
      <c r="CQ40">
        <f t="shared" si="5"/>
        <v>0</v>
      </c>
      <c r="CR40">
        <f t="shared" si="5"/>
        <v>0</v>
      </c>
      <c r="CS40">
        <f t="shared" si="5"/>
        <v>0</v>
      </c>
      <c r="CT40">
        <f t="shared" si="5"/>
        <v>0</v>
      </c>
      <c r="CU40">
        <f t="shared" si="5"/>
        <v>0</v>
      </c>
      <c r="CV40">
        <f t="shared" si="5"/>
        <v>0</v>
      </c>
      <c r="CW40">
        <f t="shared" si="5"/>
        <v>0</v>
      </c>
      <c r="CX40">
        <f t="shared" si="5"/>
        <v>0</v>
      </c>
      <c r="CY40">
        <f t="shared" si="5"/>
        <v>0</v>
      </c>
      <c r="CZ40">
        <f t="shared" si="5"/>
        <v>0</v>
      </c>
      <c r="DA40">
        <f t="shared" si="5"/>
        <v>0</v>
      </c>
      <c r="DB40">
        <f t="shared" si="5"/>
        <v>0</v>
      </c>
    </row>
    <row r="41" spans="1:106" x14ac:dyDescent="0.25">
      <c r="A41">
        <v>6016435</v>
      </c>
      <c r="B41" t="s">
        <v>7</v>
      </c>
    </row>
    <row r="42" spans="1:106" x14ac:dyDescent="0.25">
      <c r="A42">
        <v>8045149</v>
      </c>
      <c r="B42" t="s">
        <v>7</v>
      </c>
    </row>
    <row r="43" spans="1:106" x14ac:dyDescent="0.25">
      <c r="A43">
        <v>10023001</v>
      </c>
      <c r="B43" t="s">
        <v>7</v>
      </c>
    </row>
    <row r="44" spans="1:106" x14ac:dyDescent="0.25">
      <c r="A44">
        <v>10027526</v>
      </c>
      <c r="B44" t="s">
        <v>7</v>
      </c>
    </row>
    <row r="45" spans="1:106" x14ac:dyDescent="0.25">
      <c r="A45">
        <v>14222171</v>
      </c>
      <c r="B45" t="s">
        <v>7</v>
      </c>
    </row>
    <row r="46" spans="1:106" x14ac:dyDescent="0.25">
      <c r="A46">
        <v>1006143</v>
      </c>
      <c r="B46" t="s">
        <v>7</v>
      </c>
    </row>
    <row r="47" spans="1:106" x14ac:dyDescent="0.25">
      <c r="A47">
        <v>6006917</v>
      </c>
      <c r="B47" t="s">
        <v>7</v>
      </c>
    </row>
    <row r="48" spans="1:106" x14ac:dyDescent="0.25">
      <c r="C48">
        <f>COUNTA(C41:C47)</f>
        <v>0</v>
      </c>
      <c r="D48">
        <f t="shared" ref="D48:BO48" si="6">COUNTA(D41:D47)</f>
        <v>0</v>
      </c>
      <c r="E48">
        <f>COUNTA(E41:E47)</f>
        <v>0</v>
      </c>
      <c r="F48">
        <f t="shared" si="6"/>
        <v>0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  <c r="T48">
        <f t="shared" si="6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H48">
        <f t="shared" si="6"/>
        <v>0</v>
      </c>
      <c r="AI48">
        <f t="shared" si="6"/>
        <v>0</v>
      </c>
      <c r="AJ48">
        <f t="shared" si="6"/>
        <v>0</v>
      </c>
      <c r="AK48">
        <f t="shared" si="6"/>
        <v>0</v>
      </c>
      <c r="AL48">
        <f t="shared" si="6"/>
        <v>0</v>
      </c>
      <c r="AM48">
        <f t="shared" si="6"/>
        <v>0</v>
      </c>
      <c r="AN48">
        <f t="shared" si="6"/>
        <v>0</v>
      </c>
      <c r="AO48">
        <f t="shared" si="6"/>
        <v>0</v>
      </c>
      <c r="AP48">
        <f t="shared" si="6"/>
        <v>0</v>
      </c>
      <c r="AQ48">
        <f t="shared" si="6"/>
        <v>0</v>
      </c>
      <c r="AR48">
        <f t="shared" si="6"/>
        <v>0</v>
      </c>
      <c r="AS48">
        <f t="shared" si="6"/>
        <v>0</v>
      </c>
      <c r="AT48">
        <f t="shared" si="6"/>
        <v>0</v>
      </c>
      <c r="AU48">
        <f t="shared" si="6"/>
        <v>0</v>
      </c>
      <c r="AV48">
        <f t="shared" si="6"/>
        <v>0</v>
      </c>
      <c r="AW48">
        <f t="shared" si="6"/>
        <v>0</v>
      </c>
      <c r="AX48">
        <f t="shared" si="6"/>
        <v>0</v>
      </c>
      <c r="AY48">
        <f t="shared" si="6"/>
        <v>0</v>
      </c>
      <c r="AZ48">
        <f t="shared" si="6"/>
        <v>0</v>
      </c>
      <c r="BA48">
        <f t="shared" si="6"/>
        <v>0</v>
      </c>
      <c r="BB48">
        <f t="shared" si="6"/>
        <v>0</v>
      </c>
      <c r="BC48">
        <f t="shared" si="6"/>
        <v>0</v>
      </c>
      <c r="BD48">
        <f t="shared" si="6"/>
        <v>0</v>
      </c>
      <c r="BE48">
        <f t="shared" si="6"/>
        <v>0</v>
      </c>
      <c r="BF48">
        <f t="shared" si="6"/>
        <v>0</v>
      </c>
      <c r="BG48">
        <f t="shared" si="6"/>
        <v>0</v>
      </c>
      <c r="BH48">
        <f t="shared" si="6"/>
        <v>0</v>
      </c>
      <c r="BI48">
        <f t="shared" si="6"/>
        <v>0</v>
      </c>
      <c r="BJ48">
        <f t="shared" si="6"/>
        <v>0</v>
      </c>
      <c r="BK48">
        <f t="shared" si="6"/>
        <v>0</v>
      </c>
      <c r="BL48">
        <f t="shared" si="6"/>
        <v>0</v>
      </c>
      <c r="BM48">
        <f t="shared" si="6"/>
        <v>0</v>
      </c>
      <c r="BN48">
        <f t="shared" si="6"/>
        <v>0</v>
      </c>
      <c r="BO48">
        <f t="shared" si="6"/>
        <v>0</v>
      </c>
      <c r="BP48">
        <f t="shared" ref="BP48:DB48" si="7">COUNTA(BP41:BP47)</f>
        <v>0</v>
      </c>
      <c r="BQ48">
        <f t="shared" si="7"/>
        <v>0</v>
      </c>
      <c r="BR48">
        <f t="shared" si="7"/>
        <v>0</v>
      </c>
      <c r="BS48">
        <f t="shared" si="7"/>
        <v>0</v>
      </c>
      <c r="BT48">
        <f t="shared" si="7"/>
        <v>0</v>
      </c>
      <c r="BU48">
        <f t="shared" si="7"/>
        <v>0</v>
      </c>
      <c r="BV48">
        <f t="shared" si="7"/>
        <v>0</v>
      </c>
      <c r="BW48">
        <f t="shared" si="7"/>
        <v>0</v>
      </c>
      <c r="BX48">
        <f t="shared" si="7"/>
        <v>0</v>
      </c>
      <c r="BY48">
        <f t="shared" si="7"/>
        <v>0</v>
      </c>
      <c r="BZ48">
        <f t="shared" si="7"/>
        <v>0</v>
      </c>
      <c r="CA48">
        <f t="shared" si="7"/>
        <v>0</v>
      </c>
      <c r="CB48">
        <f t="shared" si="7"/>
        <v>0</v>
      </c>
      <c r="CC48">
        <f t="shared" si="7"/>
        <v>0</v>
      </c>
      <c r="CD48">
        <f t="shared" si="7"/>
        <v>0</v>
      </c>
      <c r="CE48">
        <f t="shared" si="7"/>
        <v>0</v>
      </c>
      <c r="CF48">
        <f t="shared" si="7"/>
        <v>0</v>
      </c>
      <c r="CG48">
        <f t="shared" si="7"/>
        <v>0</v>
      </c>
      <c r="CH48">
        <f t="shared" si="7"/>
        <v>0</v>
      </c>
      <c r="CI48">
        <f t="shared" si="7"/>
        <v>0</v>
      </c>
      <c r="CJ48">
        <f t="shared" si="7"/>
        <v>0</v>
      </c>
      <c r="CK48">
        <f t="shared" si="7"/>
        <v>0</v>
      </c>
      <c r="CL48">
        <f t="shared" si="7"/>
        <v>0</v>
      </c>
      <c r="CM48">
        <f t="shared" si="7"/>
        <v>0</v>
      </c>
      <c r="CN48">
        <f t="shared" si="7"/>
        <v>0</v>
      </c>
      <c r="CO48">
        <f t="shared" si="7"/>
        <v>0</v>
      </c>
      <c r="CP48">
        <f t="shared" si="7"/>
        <v>0</v>
      </c>
      <c r="CQ48">
        <f t="shared" si="7"/>
        <v>0</v>
      </c>
      <c r="CR48">
        <f t="shared" si="7"/>
        <v>0</v>
      </c>
      <c r="CS48">
        <f t="shared" si="7"/>
        <v>0</v>
      </c>
      <c r="CT48">
        <f t="shared" si="7"/>
        <v>0</v>
      </c>
      <c r="CU48">
        <f t="shared" si="7"/>
        <v>0</v>
      </c>
      <c r="CV48">
        <f t="shared" si="7"/>
        <v>0</v>
      </c>
      <c r="CW48">
        <f t="shared" si="7"/>
        <v>0</v>
      </c>
      <c r="CX48">
        <f t="shared" si="7"/>
        <v>0</v>
      </c>
      <c r="CY48">
        <f t="shared" si="7"/>
        <v>0</v>
      </c>
      <c r="CZ48">
        <f t="shared" si="7"/>
        <v>0</v>
      </c>
      <c r="DA48">
        <f t="shared" si="7"/>
        <v>0</v>
      </c>
      <c r="DB48">
        <f t="shared" si="7"/>
        <v>0</v>
      </c>
    </row>
    <row r="49" spans="1:106" x14ac:dyDescent="0.25">
      <c r="A49">
        <v>8057159</v>
      </c>
      <c r="B49" t="s">
        <v>8</v>
      </c>
    </row>
    <row r="50" spans="1:106" x14ac:dyDescent="0.25">
      <c r="A50">
        <v>9140312</v>
      </c>
      <c r="B50" t="s">
        <v>8</v>
      </c>
    </row>
    <row r="51" spans="1:106" x14ac:dyDescent="0.25">
      <c r="A51">
        <v>12008230</v>
      </c>
      <c r="B51" t="s">
        <v>8</v>
      </c>
    </row>
    <row r="52" spans="1:106" x14ac:dyDescent="0.25">
      <c r="A52" t="s">
        <v>9</v>
      </c>
      <c r="B52" t="s">
        <v>8</v>
      </c>
    </row>
    <row r="53" spans="1:106" x14ac:dyDescent="0.25">
      <c r="A53">
        <v>13118872</v>
      </c>
      <c r="B53" t="s">
        <v>8</v>
      </c>
    </row>
    <row r="54" spans="1:106" x14ac:dyDescent="0.25">
      <c r="A54">
        <v>12012030</v>
      </c>
      <c r="B54" t="s">
        <v>8</v>
      </c>
    </row>
    <row r="55" spans="1:106" x14ac:dyDescent="0.25">
      <c r="C55">
        <f>COUNTA(C49:C54)</f>
        <v>0</v>
      </c>
      <c r="D55">
        <f t="shared" ref="D55:BO55" si="8">COUNTA(D49:D54)</f>
        <v>0</v>
      </c>
      <c r="E55">
        <f t="shared" si="8"/>
        <v>0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0</v>
      </c>
      <c r="K55">
        <f t="shared" si="8"/>
        <v>0</v>
      </c>
      <c r="L55">
        <f t="shared" si="8"/>
        <v>0</v>
      </c>
      <c r="M55">
        <f t="shared" si="8"/>
        <v>0</v>
      </c>
      <c r="N55">
        <f t="shared" si="8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0</v>
      </c>
      <c r="T55">
        <f t="shared" si="8"/>
        <v>0</v>
      </c>
      <c r="U55">
        <f t="shared" si="8"/>
        <v>0</v>
      </c>
      <c r="V55">
        <f t="shared" si="8"/>
        <v>0</v>
      </c>
      <c r="W55">
        <f t="shared" si="8"/>
        <v>0</v>
      </c>
      <c r="X55">
        <f t="shared" si="8"/>
        <v>0</v>
      </c>
      <c r="Y55">
        <f t="shared" si="8"/>
        <v>0</v>
      </c>
      <c r="Z55">
        <f t="shared" si="8"/>
        <v>0</v>
      </c>
      <c r="AA55">
        <f t="shared" si="8"/>
        <v>0</v>
      </c>
      <c r="AB55">
        <f t="shared" si="8"/>
        <v>0</v>
      </c>
      <c r="AC55">
        <f t="shared" si="8"/>
        <v>0</v>
      </c>
      <c r="AD55">
        <f t="shared" si="8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  <c r="AI55">
        <f t="shared" si="8"/>
        <v>0</v>
      </c>
      <c r="AJ55">
        <f t="shared" si="8"/>
        <v>0</v>
      </c>
      <c r="AK55">
        <f t="shared" si="8"/>
        <v>0</v>
      </c>
      <c r="AL55">
        <f t="shared" si="8"/>
        <v>0</v>
      </c>
      <c r="AM55">
        <f t="shared" si="8"/>
        <v>0</v>
      </c>
      <c r="AN55">
        <f t="shared" si="8"/>
        <v>0</v>
      </c>
      <c r="AO55">
        <f t="shared" si="8"/>
        <v>0</v>
      </c>
      <c r="AP55">
        <f t="shared" si="8"/>
        <v>0</v>
      </c>
      <c r="AQ55">
        <f t="shared" si="8"/>
        <v>0</v>
      </c>
      <c r="AR55">
        <f t="shared" si="8"/>
        <v>0</v>
      </c>
      <c r="AS55">
        <f t="shared" si="8"/>
        <v>0</v>
      </c>
      <c r="AT55">
        <f t="shared" si="8"/>
        <v>0</v>
      </c>
      <c r="AU55">
        <f t="shared" si="8"/>
        <v>0</v>
      </c>
      <c r="AV55">
        <f t="shared" si="8"/>
        <v>0</v>
      </c>
      <c r="AW55">
        <f t="shared" si="8"/>
        <v>0</v>
      </c>
      <c r="AX55">
        <f t="shared" si="8"/>
        <v>0</v>
      </c>
      <c r="AY55">
        <f t="shared" si="8"/>
        <v>0</v>
      </c>
      <c r="AZ55">
        <f t="shared" si="8"/>
        <v>0</v>
      </c>
      <c r="BA55">
        <f t="shared" si="8"/>
        <v>0</v>
      </c>
      <c r="BB55">
        <f t="shared" si="8"/>
        <v>0</v>
      </c>
      <c r="BC55">
        <f t="shared" si="8"/>
        <v>0</v>
      </c>
      <c r="BD55">
        <f t="shared" si="8"/>
        <v>0</v>
      </c>
      <c r="BE55">
        <f t="shared" si="8"/>
        <v>0</v>
      </c>
      <c r="BF55">
        <f t="shared" si="8"/>
        <v>0</v>
      </c>
      <c r="BG55">
        <f t="shared" si="8"/>
        <v>0</v>
      </c>
      <c r="BH55">
        <f t="shared" si="8"/>
        <v>0</v>
      </c>
      <c r="BI55">
        <f t="shared" si="8"/>
        <v>0</v>
      </c>
      <c r="BJ55">
        <f t="shared" si="8"/>
        <v>0</v>
      </c>
      <c r="BK55">
        <f t="shared" si="8"/>
        <v>0</v>
      </c>
      <c r="BL55">
        <f t="shared" si="8"/>
        <v>0</v>
      </c>
      <c r="BM55">
        <f t="shared" si="8"/>
        <v>0</v>
      </c>
      <c r="BN55">
        <f t="shared" si="8"/>
        <v>0</v>
      </c>
      <c r="BO55">
        <f t="shared" si="8"/>
        <v>0</v>
      </c>
      <c r="BP55">
        <f t="shared" ref="BP55:DB55" si="9">COUNTA(BP49:BP54)</f>
        <v>0</v>
      </c>
      <c r="BQ55">
        <f t="shared" si="9"/>
        <v>0</v>
      </c>
      <c r="BR55">
        <f t="shared" si="9"/>
        <v>0</v>
      </c>
      <c r="BS55">
        <f t="shared" si="9"/>
        <v>0</v>
      </c>
      <c r="BT55">
        <f t="shared" si="9"/>
        <v>0</v>
      </c>
      <c r="BU55">
        <f t="shared" si="9"/>
        <v>0</v>
      </c>
      <c r="BV55">
        <f t="shared" si="9"/>
        <v>0</v>
      </c>
      <c r="BW55">
        <f t="shared" si="9"/>
        <v>0</v>
      </c>
      <c r="BX55">
        <f t="shared" si="9"/>
        <v>0</v>
      </c>
      <c r="BY55">
        <f t="shared" si="9"/>
        <v>0</v>
      </c>
      <c r="BZ55">
        <f t="shared" si="9"/>
        <v>0</v>
      </c>
      <c r="CA55">
        <f t="shared" si="9"/>
        <v>0</v>
      </c>
      <c r="CB55">
        <f t="shared" si="9"/>
        <v>0</v>
      </c>
      <c r="CC55">
        <f t="shared" si="9"/>
        <v>0</v>
      </c>
      <c r="CD55">
        <f t="shared" si="9"/>
        <v>0</v>
      </c>
      <c r="CE55">
        <f t="shared" si="9"/>
        <v>0</v>
      </c>
      <c r="CF55">
        <f t="shared" si="9"/>
        <v>0</v>
      </c>
      <c r="CG55">
        <f t="shared" si="9"/>
        <v>0</v>
      </c>
      <c r="CH55">
        <f t="shared" si="9"/>
        <v>0</v>
      </c>
      <c r="CI55">
        <f t="shared" si="9"/>
        <v>0</v>
      </c>
      <c r="CJ55">
        <f t="shared" si="9"/>
        <v>0</v>
      </c>
      <c r="CK55">
        <f t="shared" si="9"/>
        <v>0</v>
      </c>
      <c r="CL55">
        <f t="shared" si="9"/>
        <v>0</v>
      </c>
      <c r="CM55">
        <f t="shared" si="9"/>
        <v>0</v>
      </c>
      <c r="CN55">
        <f t="shared" si="9"/>
        <v>0</v>
      </c>
      <c r="CO55">
        <f t="shared" si="9"/>
        <v>0</v>
      </c>
      <c r="CP55">
        <f t="shared" si="9"/>
        <v>0</v>
      </c>
      <c r="CQ55">
        <f t="shared" si="9"/>
        <v>0</v>
      </c>
      <c r="CR55">
        <f t="shared" si="9"/>
        <v>0</v>
      </c>
      <c r="CS55">
        <f t="shared" si="9"/>
        <v>0</v>
      </c>
      <c r="CT55">
        <f t="shared" si="9"/>
        <v>0</v>
      </c>
      <c r="CU55">
        <f t="shared" si="9"/>
        <v>0</v>
      </c>
      <c r="CV55">
        <f t="shared" si="9"/>
        <v>0</v>
      </c>
      <c r="CW55">
        <f t="shared" si="9"/>
        <v>0</v>
      </c>
      <c r="CX55">
        <f t="shared" si="9"/>
        <v>0</v>
      </c>
      <c r="CY55">
        <f t="shared" si="9"/>
        <v>0</v>
      </c>
      <c r="CZ55">
        <f t="shared" si="9"/>
        <v>0</v>
      </c>
      <c r="DA55">
        <f t="shared" si="9"/>
        <v>0</v>
      </c>
      <c r="DB55">
        <f t="shared" si="9"/>
        <v>0</v>
      </c>
    </row>
    <row r="56" spans="1:106" x14ac:dyDescent="0.25">
      <c r="A56">
        <v>9074418</v>
      </c>
      <c r="B56" t="s">
        <v>10</v>
      </c>
    </row>
    <row r="57" spans="1:106" x14ac:dyDescent="0.25">
      <c r="A57">
        <v>1263</v>
      </c>
      <c r="B57" t="s">
        <v>10</v>
      </c>
    </row>
    <row r="58" spans="1:106" x14ac:dyDescent="0.25">
      <c r="A58">
        <v>98004910</v>
      </c>
      <c r="B58" t="s">
        <v>10</v>
      </c>
    </row>
    <row r="59" spans="1:106" x14ac:dyDescent="0.25">
      <c r="A59">
        <v>7103068</v>
      </c>
      <c r="B59" t="s">
        <v>10</v>
      </c>
    </row>
    <row r="60" spans="1:106" x14ac:dyDescent="0.25">
      <c r="A60">
        <v>11240728</v>
      </c>
      <c r="B60" t="s">
        <v>10</v>
      </c>
    </row>
    <row r="61" spans="1:106" x14ac:dyDescent="0.25">
      <c r="C61">
        <f>COUNTA(C56:C60)</f>
        <v>0</v>
      </c>
      <c r="D61">
        <f t="shared" ref="D61:BO61" si="10">COUNTA(D56:D60)</f>
        <v>0</v>
      </c>
      <c r="E61">
        <f t="shared" si="10"/>
        <v>0</v>
      </c>
      <c r="F61">
        <f t="shared" si="10"/>
        <v>0</v>
      </c>
      <c r="G61">
        <f t="shared" si="10"/>
        <v>0</v>
      </c>
      <c r="H61">
        <f t="shared" si="10"/>
        <v>0</v>
      </c>
      <c r="I61">
        <f t="shared" si="10"/>
        <v>0</v>
      </c>
      <c r="J61">
        <f t="shared" si="10"/>
        <v>0</v>
      </c>
      <c r="K61">
        <f t="shared" si="10"/>
        <v>0</v>
      </c>
      <c r="L61">
        <f t="shared" si="10"/>
        <v>0</v>
      </c>
      <c r="M61">
        <f t="shared" si="10"/>
        <v>0</v>
      </c>
      <c r="N61">
        <f t="shared" si="10"/>
        <v>0</v>
      </c>
      <c r="O61">
        <f t="shared" si="10"/>
        <v>0</v>
      </c>
      <c r="P61">
        <f t="shared" si="10"/>
        <v>0</v>
      </c>
      <c r="Q61">
        <f t="shared" si="10"/>
        <v>0</v>
      </c>
      <c r="R61">
        <f t="shared" si="10"/>
        <v>0</v>
      </c>
      <c r="S61">
        <f t="shared" si="10"/>
        <v>0</v>
      </c>
      <c r="T61">
        <f t="shared" si="10"/>
        <v>0</v>
      </c>
      <c r="U61">
        <f t="shared" si="10"/>
        <v>0</v>
      </c>
      <c r="V61">
        <f t="shared" si="10"/>
        <v>0</v>
      </c>
      <c r="W61">
        <f t="shared" si="10"/>
        <v>0</v>
      </c>
      <c r="X61">
        <f t="shared" si="10"/>
        <v>0</v>
      </c>
      <c r="Y61">
        <f t="shared" si="10"/>
        <v>0</v>
      </c>
      <c r="Z61">
        <f t="shared" si="10"/>
        <v>0</v>
      </c>
      <c r="AA61">
        <f t="shared" si="10"/>
        <v>0</v>
      </c>
      <c r="AB61">
        <f t="shared" si="10"/>
        <v>0</v>
      </c>
      <c r="AC61">
        <f t="shared" si="10"/>
        <v>0</v>
      </c>
      <c r="AD61">
        <f t="shared" si="10"/>
        <v>0</v>
      </c>
      <c r="AE61">
        <f t="shared" si="10"/>
        <v>0</v>
      </c>
      <c r="AF61">
        <f t="shared" si="10"/>
        <v>0</v>
      </c>
      <c r="AG61">
        <f t="shared" si="10"/>
        <v>0</v>
      </c>
      <c r="AH61">
        <f t="shared" si="10"/>
        <v>0</v>
      </c>
      <c r="AI61">
        <f t="shared" si="10"/>
        <v>0</v>
      </c>
      <c r="AJ61">
        <f t="shared" si="10"/>
        <v>0</v>
      </c>
      <c r="AK61">
        <f t="shared" si="10"/>
        <v>0</v>
      </c>
      <c r="AL61">
        <f t="shared" si="10"/>
        <v>0</v>
      </c>
      <c r="AM61">
        <f t="shared" si="10"/>
        <v>0</v>
      </c>
      <c r="AN61">
        <f t="shared" si="10"/>
        <v>0</v>
      </c>
      <c r="AO61">
        <f t="shared" si="10"/>
        <v>0</v>
      </c>
      <c r="AP61">
        <f t="shared" si="10"/>
        <v>0</v>
      </c>
      <c r="AQ61">
        <f t="shared" si="10"/>
        <v>0</v>
      </c>
      <c r="AR61">
        <f t="shared" si="10"/>
        <v>0</v>
      </c>
      <c r="AS61">
        <f t="shared" si="10"/>
        <v>0</v>
      </c>
      <c r="AT61">
        <f t="shared" si="10"/>
        <v>0</v>
      </c>
      <c r="AU61">
        <f t="shared" si="10"/>
        <v>0</v>
      </c>
      <c r="AV61">
        <f t="shared" si="10"/>
        <v>0</v>
      </c>
      <c r="AW61">
        <f t="shared" si="10"/>
        <v>0</v>
      </c>
      <c r="AX61">
        <f t="shared" si="10"/>
        <v>0</v>
      </c>
      <c r="AY61">
        <f t="shared" si="10"/>
        <v>0</v>
      </c>
      <c r="AZ61">
        <f t="shared" si="10"/>
        <v>0</v>
      </c>
      <c r="BA61">
        <f t="shared" si="10"/>
        <v>0</v>
      </c>
      <c r="BB61">
        <f t="shared" si="10"/>
        <v>0</v>
      </c>
      <c r="BC61">
        <f t="shared" si="10"/>
        <v>0</v>
      </c>
      <c r="BD61">
        <f t="shared" si="10"/>
        <v>0</v>
      </c>
      <c r="BE61">
        <f t="shared" si="10"/>
        <v>0</v>
      </c>
      <c r="BF61">
        <f t="shared" si="10"/>
        <v>0</v>
      </c>
      <c r="BG61">
        <f t="shared" si="10"/>
        <v>0</v>
      </c>
      <c r="BH61">
        <f t="shared" si="10"/>
        <v>0</v>
      </c>
      <c r="BI61">
        <f t="shared" si="10"/>
        <v>0</v>
      </c>
      <c r="BJ61">
        <f t="shared" si="10"/>
        <v>0</v>
      </c>
      <c r="BK61">
        <f t="shared" si="10"/>
        <v>0</v>
      </c>
      <c r="BL61">
        <f t="shared" si="10"/>
        <v>0</v>
      </c>
      <c r="BM61">
        <f t="shared" si="10"/>
        <v>0</v>
      </c>
      <c r="BN61">
        <f t="shared" si="10"/>
        <v>0</v>
      </c>
      <c r="BO61">
        <f t="shared" si="10"/>
        <v>0</v>
      </c>
      <c r="BP61">
        <f t="shared" ref="BP61:DB61" si="11">COUNTA(BP56:BP60)</f>
        <v>0</v>
      </c>
      <c r="BQ61">
        <f t="shared" si="11"/>
        <v>0</v>
      </c>
      <c r="BR61">
        <f t="shared" si="11"/>
        <v>0</v>
      </c>
      <c r="BS61">
        <f t="shared" si="11"/>
        <v>0</v>
      </c>
      <c r="BT61">
        <f t="shared" si="11"/>
        <v>0</v>
      </c>
      <c r="BU61">
        <f t="shared" si="11"/>
        <v>0</v>
      </c>
      <c r="BV61">
        <f t="shared" si="11"/>
        <v>0</v>
      </c>
      <c r="BW61">
        <f t="shared" si="11"/>
        <v>0</v>
      </c>
      <c r="BX61">
        <f t="shared" si="11"/>
        <v>0</v>
      </c>
      <c r="BY61">
        <f t="shared" si="11"/>
        <v>0</v>
      </c>
      <c r="BZ61">
        <f t="shared" si="11"/>
        <v>0</v>
      </c>
      <c r="CA61">
        <f t="shared" si="11"/>
        <v>0</v>
      </c>
      <c r="CB61">
        <f t="shared" si="11"/>
        <v>0</v>
      </c>
      <c r="CC61">
        <f t="shared" si="11"/>
        <v>0</v>
      </c>
      <c r="CD61">
        <f t="shared" si="11"/>
        <v>0</v>
      </c>
      <c r="CE61">
        <f t="shared" si="11"/>
        <v>0</v>
      </c>
      <c r="CF61">
        <f t="shared" si="11"/>
        <v>0</v>
      </c>
      <c r="CG61">
        <f t="shared" si="11"/>
        <v>0</v>
      </c>
      <c r="CH61">
        <f t="shared" si="11"/>
        <v>0</v>
      </c>
      <c r="CI61">
        <f t="shared" si="11"/>
        <v>0</v>
      </c>
      <c r="CJ61">
        <f t="shared" si="11"/>
        <v>0</v>
      </c>
      <c r="CK61">
        <f t="shared" si="11"/>
        <v>0</v>
      </c>
      <c r="CL61">
        <f t="shared" si="11"/>
        <v>0</v>
      </c>
      <c r="CM61">
        <f t="shared" si="11"/>
        <v>0</v>
      </c>
      <c r="CN61">
        <f t="shared" si="11"/>
        <v>0</v>
      </c>
      <c r="CO61">
        <f t="shared" si="11"/>
        <v>0</v>
      </c>
      <c r="CP61">
        <f t="shared" si="11"/>
        <v>0</v>
      </c>
      <c r="CQ61">
        <f t="shared" si="11"/>
        <v>0</v>
      </c>
      <c r="CR61">
        <f t="shared" si="11"/>
        <v>0</v>
      </c>
      <c r="CS61">
        <f t="shared" si="11"/>
        <v>0</v>
      </c>
      <c r="CT61">
        <f t="shared" si="11"/>
        <v>0</v>
      </c>
      <c r="CU61">
        <f t="shared" si="11"/>
        <v>0</v>
      </c>
      <c r="CV61">
        <f t="shared" si="11"/>
        <v>0</v>
      </c>
      <c r="CW61">
        <f t="shared" si="11"/>
        <v>0</v>
      </c>
      <c r="CX61">
        <f t="shared" si="11"/>
        <v>0</v>
      </c>
      <c r="CY61">
        <f t="shared" si="11"/>
        <v>0</v>
      </c>
      <c r="CZ61">
        <f t="shared" si="11"/>
        <v>0</v>
      </c>
      <c r="DA61">
        <f t="shared" si="11"/>
        <v>0</v>
      </c>
      <c r="DB61">
        <f t="shared" si="11"/>
        <v>0</v>
      </c>
    </row>
    <row r="62" spans="1:106" x14ac:dyDescent="0.25">
      <c r="A62">
        <v>5015869</v>
      </c>
      <c r="B62" t="s">
        <v>11</v>
      </c>
    </row>
    <row r="63" spans="1:106" x14ac:dyDescent="0.25">
      <c r="A63">
        <v>5016969</v>
      </c>
      <c r="B63" t="s">
        <v>11</v>
      </c>
    </row>
    <row r="64" spans="1:106" x14ac:dyDescent="0.25">
      <c r="A64">
        <v>6023231</v>
      </c>
      <c r="B64" t="s">
        <v>11</v>
      </c>
    </row>
    <row r="65" spans="1:8" x14ac:dyDescent="0.25">
      <c r="A65">
        <v>6011198</v>
      </c>
      <c r="B65" t="s">
        <v>11</v>
      </c>
    </row>
    <row r="66" spans="1:8" x14ac:dyDescent="0.25">
      <c r="A66">
        <v>6012681</v>
      </c>
      <c r="B66" t="s">
        <v>11</v>
      </c>
      <c r="D66" s="10"/>
      <c r="E66" s="10"/>
      <c r="F66" s="10"/>
      <c r="G66" s="10"/>
      <c r="H66" s="10"/>
    </row>
    <row r="67" spans="1:8" x14ac:dyDescent="0.25">
      <c r="A67">
        <v>6014511</v>
      </c>
      <c r="B67" t="s">
        <v>11</v>
      </c>
    </row>
    <row r="68" spans="1:8" x14ac:dyDescent="0.25">
      <c r="A68">
        <v>6045127</v>
      </c>
      <c r="B68" t="s">
        <v>11</v>
      </c>
    </row>
    <row r="69" spans="1:8" x14ac:dyDescent="0.25">
      <c r="A69">
        <v>7000458</v>
      </c>
      <c r="B69" t="s">
        <v>11</v>
      </c>
    </row>
    <row r="70" spans="1:8" x14ac:dyDescent="0.25">
      <c r="A70">
        <v>7015502</v>
      </c>
      <c r="B70" t="s">
        <v>11</v>
      </c>
    </row>
    <row r="71" spans="1:8" x14ac:dyDescent="0.25">
      <c r="A71">
        <v>7025847</v>
      </c>
      <c r="B71" t="s">
        <v>11</v>
      </c>
    </row>
    <row r="72" spans="1:8" x14ac:dyDescent="0.25">
      <c r="A72">
        <v>7082707</v>
      </c>
      <c r="B72" t="s">
        <v>11</v>
      </c>
    </row>
    <row r="73" spans="1:8" x14ac:dyDescent="0.25">
      <c r="A73">
        <v>7083159</v>
      </c>
      <c r="B73" t="s">
        <v>11</v>
      </c>
    </row>
    <row r="74" spans="1:8" x14ac:dyDescent="0.25">
      <c r="A74">
        <v>7084659</v>
      </c>
      <c r="B74" t="s">
        <v>11</v>
      </c>
    </row>
    <row r="75" spans="1:8" x14ac:dyDescent="0.25">
      <c r="A75">
        <v>7076814</v>
      </c>
      <c r="B75" t="s">
        <v>11</v>
      </c>
    </row>
    <row r="76" spans="1:8" x14ac:dyDescent="0.25">
      <c r="A76">
        <v>7076815</v>
      </c>
      <c r="B76" t="s">
        <v>11</v>
      </c>
    </row>
    <row r="77" spans="1:8" x14ac:dyDescent="0.25">
      <c r="A77">
        <v>7089231</v>
      </c>
      <c r="B77" t="s">
        <v>11</v>
      </c>
    </row>
    <row r="78" spans="1:8" x14ac:dyDescent="0.25">
      <c r="A78">
        <v>7116004</v>
      </c>
      <c r="B78" t="s">
        <v>11</v>
      </c>
    </row>
    <row r="79" spans="1:8" x14ac:dyDescent="0.25">
      <c r="A79">
        <v>8003819</v>
      </c>
      <c r="B79" t="s">
        <v>11</v>
      </c>
    </row>
    <row r="80" spans="1:8" x14ac:dyDescent="0.25">
      <c r="A80">
        <v>8091779</v>
      </c>
      <c r="B80" t="s">
        <v>11</v>
      </c>
    </row>
    <row r="81" spans="1:2" x14ac:dyDescent="0.25">
      <c r="A81">
        <v>8112522</v>
      </c>
      <c r="B81" t="s">
        <v>11</v>
      </c>
    </row>
    <row r="82" spans="1:2" x14ac:dyDescent="0.25">
      <c r="A82" t="s">
        <v>12</v>
      </c>
      <c r="B82" t="s">
        <v>11</v>
      </c>
    </row>
    <row r="83" spans="1:2" x14ac:dyDescent="0.25">
      <c r="A83">
        <v>8130998</v>
      </c>
      <c r="B83" t="s">
        <v>11</v>
      </c>
    </row>
    <row r="84" spans="1:2" x14ac:dyDescent="0.25">
      <c r="A84">
        <v>9002836</v>
      </c>
      <c r="B84" t="s">
        <v>11</v>
      </c>
    </row>
    <row r="85" spans="1:2" x14ac:dyDescent="0.25">
      <c r="A85">
        <v>9003331</v>
      </c>
      <c r="B85" t="s">
        <v>11</v>
      </c>
    </row>
    <row r="86" spans="1:2" x14ac:dyDescent="0.25">
      <c r="A86">
        <v>9003370</v>
      </c>
      <c r="B86" t="s">
        <v>11</v>
      </c>
    </row>
    <row r="87" spans="1:2" x14ac:dyDescent="0.25">
      <c r="A87">
        <v>9016278</v>
      </c>
      <c r="B87" t="s">
        <v>11</v>
      </c>
    </row>
    <row r="88" spans="1:2" x14ac:dyDescent="0.25">
      <c r="A88">
        <v>9030684</v>
      </c>
      <c r="B88" t="s">
        <v>11</v>
      </c>
    </row>
    <row r="89" spans="1:2" x14ac:dyDescent="0.25">
      <c r="A89">
        <v>9031387</v>
      </c>
      <c r="B89" t="s">
        <v>11</v>
      </c>
    </row>
    <row r="90" spans="1:2" x14ac:dyDescent="0.25">
      <c r="A90">
        <v>9038676</v>
      </c>
      <c r="B90" t="s">
        <v>11</v>
      </c>
    </row>
    <row r="91" spans="1:2" x14ac:dyDescent="0.25">
      <c r="A91">
        <v>9039416</v>
      </c>
      <c r="B91" t="s">
        <v>11</v>
      </c>
    </row>
    <row r="92" spans="1:2" x14ac:dyDescent="0.25">
      <c r="A92">
        <v>9042861</v>
      </c>
      <c r="B92" t="s">
        <v>11</v>
      </c>
    </row>
    <row r="93" spans="1:2" x14ac:dyDescent="0.25">
      <c r="A93">
        <v>9044899</v>
      </c>
      <c r="B93" t="s">
        <v>11</v>
      </c>
    </row>
    <row r="94" spans="1:2" x14ac:dyDescent="0.25">
      <c r="A94">
        <v>9052398</v>
      </c>
      <c r="B94" t="s">
        <v>11</v>
      </c>
    </row>
    <row r="95" spans="1:2" x14ac:dyDescent="0.25">
      <c r="A95">
        <v>9085204</v>
      </c>
      <c r="B95" t="s">
        <v>11</v>
      </c>
    </row>
    <row r="96" spans="1:2" x14ac:dyDescent="0.25">
      <c r="A96">
        <v>9105492</v>
      </c>
      <c r="B96" t="s">
        <v>11</v>
      </c>
    </row>
    <row r="97" spans="1:8" x14ac:dyDescent="0.25">
      <c r="A97">
        <v>9138470</v>
      </c>
      <c r="B97" t="s">
        <v>11</v>
      </c>
    </row>
    <row r="98" spans="1:8" x14ac:dyDescent="0.25">
      <c r="A98">
        <v>9150676</v>
      </c>
      <c r="B98" t="s">
        <v>11</v>
      </c>
    </row>
    <row r="99" spans="1:8" x14ac:dyDescent="0.25">
      <c r="A99">
        <v>10010926</v>
      </c>
      <c r="B99" t="s">
        <v>11</v>
      </c>
      <c r="D99" s="10"/>
      <c r="E99" s="10"/>
      <c r="F99" s="10"/>
      <c r="G99" s="10"/>
      <c r="H99" s="10"/>
    </row>
    <row r="100" spans="1:8" x14ac:dyDescent="0.25">
      <c r="A100" t="s">
        <v>13</v>
      </c>
      <c r="B100" t="s">
        <v>11</v>
      </c>
    </row>
    <row r="101" spans="1:8" x14ac:dyDescent="0.25">
      <c r="A101">
        <v>10091530</v>
      </c>
      <c r="B101" t="s">
        <v>11</v>
      </c>
    </row>
    <row r="102" spans="1:8" x14ac:dyDescent="0.25">
      <c r="A102">
        <v>10102052</v>
      </c>
      <c r="B102" t="s">
        <v>11</v>
      </c>
    </row>
    <row r="103" spans="1:8" x14ac:dyDescent="0.25">
      <c r="A103">
        <v>10104735</v>
      </c>
      <c r="B103" t="s">
        <v>11</v>
      </c>
    </row>
    <row r="104" spans="1:8" x14ac:dyDescent="0.25">
      <c r="A104">
        <v>10131550</v>
      </c>
      <c r="B104" t="s">
        <v>11</v>
      </c>
    </row>
    <row r="105" spans="1:8" x14ac:dyDescent="0.25">
      <c r="A105">
        <v>10131607</v>
      </c>
      <c r="B105" t="s">
        <v>11</v>
      </c>
    </row>
    <row r="106" spans="1:8" x14ac:dyDescent="0.25">
      <c r="A106">
        <v>10145202</v>
      </c>
      <c r="B106" t="s">
        <v>11</v>
      </c>
    </row>
    <row r="107" spans="1:8" x14ac:dyDescent="0.25">
      <c r="A107">
        <v>10158770</v>
      </c>
      <c r="B107" t="s">
        <v>11</v>
      </c>
    </row>
    <row r="108" spans="1:8" x14ac:dyDescent="0.25">
      <c r="A108">
        <v>10162949</v>
      </c>
      <c r="B108" t="s">
        <v>11</v>
      </c>
    </row>
    <row r="109" spans="1:8" x14ac:dyDescent="0.25">
      <c r="A109">
        <v>10171633</v>
      </c>
      <c r="B109" t="s">
        <v>11</v>
      </c>
    </row>
    <row r="110" spans="1:8" x14ac:dyDescent="0.25">
      <c r="A110">
        <v>11005762</v>
      </c>
      <c r="B110" t="s">
        <v>11</v>
      </c>
    </row>
    <row r="111" spans="1:8" x14ac:dyDescent="0.25">
      <c r="A111" t="s">
        <v>14</v>
      </c>
      <c r="B111" t="s">
        <v>11</v>
      </c>
    </row>
    <row r="112" spans="1:8" x14ac:dyDescent="0.25">
      <c r="A112">
        <v>11018341</v>
      </c>
      <c r="B112" t="s">
        <v>11</v>
      </c>
    </row>
    <row r="113" spans="1:64" x14ac:dyDescent="0.25">
      <c r="A113">
        <v>11021445</v>
      </c>
      <c r="B113" t="s">
        <v>11</v>
      </c>
    </row>
    <row r="114" spans="1:64" x14ac:dyDescent="0.25">
      <c r="A114">
        <v>11025151</v>
      </c>
      <c r="B114" t="s">
        <v>11</v>
      </c>
    </row>
    <row r="115" spans="1:64" x14ac:dyDescent="0.25">
      <c r="A115">
        <v>11039110</v>
      </c>
      <c r="B115" t="s">
        <v>11</v>
      </c>
    </row>
    <row r="116" spans="1:64" x14ac:dyDescent="0.25">
      <c r="A116">
        <v>11108410</v>
      </c>
      <c r="B116" t="s">
        <v>11</v>
      </c>
    </row>
    <row r="117" spans="1:64" x14ac:dyDescent="0.25">
      <c r="A117">
        <v>11139605</v>
      </c>
      <c r="B117" t="s">
        <v>11</v>
      </c>
    </row>
    <row r="118" spans="1:64" x14ac:dyDescent="0.25">
      <c r="A118">
        <v>11201694</v>
      </c>
      <c r="B118" t="s">
        <v>11</v>
      </c>
    </row>
    <row r="119" spans="1:64" x14ac:dyDescent="0.25">
      <c r="A119">
        <v>11242543</v>
      </c>
      <c r="B119" t="s">
        <v>11</v>
      </c>
    </row>
    <row r="120" spans="1:64" x14ac:dyDescent="0.25">
      <c r="A120">
        <v>11247293</v>
      </c>
      <c r="B120" t="s">
        <v>11</v>
      </c>
    </row>
    <row r="121" spans="1:64" x14ac:dyDescent="0.25">
      <c r="A121">
        <v>12006449</v>
      </c>
      <c r="B121" t="s">
        <v>11</v>
      </c>
    </row>
    <row r="122" spans="1:64" x14ac:dyDescent="0.25">
      <c r="A122">
        <v>12049136</v>
      </c>
      <c r="B122" t="s">
        <v>11</v>
      </c>
    </row>
    <row r="123" spans="1:64" x14ac:dyDescent="0.25">
      <c r="A123">
        <v>12087508</v>
      </c>
      <c r="B123" t="s">
        <v>11</v>
      </c>
      <c r="I123">
        <v>519</v>
      </c>
      <c r="J123">
        <v>225</v>
      </c>
      <c r="K123">
        <v>5</v>
      </c>
      <c r="BK123">
        <v>1.9</v>
      </c>
      <c r="BL123">
        <v>17.5</v>
      </c>
    </row>
    <row r="124" spans="1:64" x14ac:dyDescent="0.25">
      <c r="A124">
        <v>12229481</v>
      </c>
      <c r="B124" t="s">
        <v>11</v>
      </c>
    </row>
    <row r="125" spans="1:64" x14ac:dyDescent="0.25">
      <c r="A125">
        <v>12258821</v>
      </c>
      <c r="B125" t="s">
        <v>11</v>
      </c>
      <c r="X125" s="12"/>
      <c r="BD125" s="12"/>
    </row>
    <row r="126" spans="1:64" x14ac:dyDescent="0.25">
      <c r="A126">
        <v>12309729</v>
      </c>
      <c r="B126" t="s">
        <v>11</v>
      </c>
    </row>
    <row r="127" spans="1:64" x14ac:dyDescent="0.25">
      <c r="A127" t="s">
        <v>15</v>
      </c>
      <c r="B127" t="s">
        <v>11</v>
      </c>
    </row>
    <row r="128" spans="1:64" x14ac:dyDescent="0.25">
      <c r="A128">
        <v>13005942</v>
      </c>
      <c r="B128" t="s">
        <v>11</v>
      </c>
    </row>
    <row r="129" spans="1:56" x14ac:dyDescent="0.25">
      <c r="A129">
        <v>324</v>
      </c>
      <c r="B129" t="s">
        <v>11</v>
      </c>
    </row>
    <row r="130" spans="1:56" x14ac:dyDescent="0.25">
      <c r="A130">
        <v>3909</v>
      </c>
      <c r="B130" t="s">
        <v>11</v>
      </c>
      <c r="X130" s="12"/>
    </row>
    <row r="131" spans="1:56" x14ac:dyDescent="0.25">
      <c r="A131">
        <v>4663</v>
      </c>
      <c r="B131" t="s">
        <v>11</v>
      </c>
    </row>
    <row r="132" spans="1:56" x14ac:dyDescent="0.25">
      <c r="A132">
        <v>1005522</v>
      </c>
      <c r="B132" t="s">
        <v>11</v>
      </c>
    </row>
    <row r="133" spans="1:56" x14ac:dyDescent="0.25">
      <c r="A133">
        <v>1007631</v>
      </c>
      <c r="B133" t="s">
        <v>11</v>
      </c>
      <c r="P133">
        <v>0.7</v>
      </c>
      <c r="Q133">
        <v>0.1</v>
      </c>
      <c r="BD133" s="5" t="s">
        <v>204</v>
      </c>
    </row>
    <row r="134" spans="1:56" x14ac:dyDescent="0.25">
      <c r="A134">
        <v>1009760</v>
      </c>
      <c r="B134" t="s">
        <v>11</v>
      </c>
    </row>
    <row r="135" spans="1:56" x14ac:dyDescent="0.25">
      <c r="A135">
        <v>2000646</v>
      </c>
      <c r="B135" t="s">
        <v>11</v>
      </c>
    </row>
    <row r="136" spans="1:56" x14ac:dyDescent="0.25">
      <c r="A136">
        <v>2003761</v>
      </c>
      <c r="B136" t="s">
        <v>11</v>
      </c>
    </row>
    <row r="137" spans="1:56" x14ac:dyDescent="0.25">
      <c r="A137">
        <v>2004061</v>
      </c>
      <c r="B137" t="s">
        <v>11</v>
      </c>
    </row>
    <row r="138" spans="1:56" x14ac:dyDescent="0.25">
      <c r="A138">
        <v>2006469</v>
      </c>
      <c r="B138" t="s">
        <v>11</v>
      </c>
    </row>
    <row r="139" spans="1:56" x14ac:dyDescent="0.25">
      <c r="A139">
        <v>3005132</v>
      </c>
      <c r="B139" t="s">
        <v>11</v>
      </c>
    </row>
    <row r="140" spans="1:56" x14ac:dyDescent="0.25">
      <c r="A140">
        <v>3009119</v>
      </c>
      <c r="B140" t="s">
        <v>11</v>
      </c>
    </row>
    <row r="141" spans="1:56" x14ac:dyDescent="0.25">
      <c r="A141">
        <v>3009936</v>
      </c>
      <c r="B141" t="s">
        <v>11</v>
      </c>
    </row>
    <row r="142" spans="1:56" x14ac:dyDescent="0.25">
      <c r="A142">
        <v>3011094</v>
      </c>
      <c r="B142" t="s">
        <v>11</v>
      </c>
    </row>
    <row r="143" spans="1:56" x14ac:dyDescent="0.25">
      <c r="A143">
        <v>3014643</v>
      </c>
      <c r="B143" t="s">
        <v>11</v>
      </c>
    </row>
    <row r="144" spans="1:56" x14ac:dyDescent="0.25">
      <c r="A144">
        <v>3016056</v>
      </c>
      <c r="B144" t="s">
        <v>11</v>
      </c>
    </row>
    <row r="145" spans="1:91" x14ac:dyDescent="0.25">
      <c r="A145">
        <v>3900219</v>
      </c>
      <c r="B145" t="s">
        <v>11</v>
      </c>
      <c r="CM145">
        <v>716</v>
      </c>
    </row>
    <row r="146" spans="1:91" x14ac:dyDescent="0.25">
      <c r="A146">
        <v>4000158</v>
      </c>
      <c r="B146" t="s">
        <v>11</v>
      </c>
    </row>
    <row r="147" spans="1:91" x14ac:dyDescent="0.25">
      <c r="A147">
        <v>4000304</v>
      </c>
      <c r="B147" t="s">
        <v>11</v>
      </c>
      <c r="Z147" s="5" t="s">
        <v>205</v>
      </c>
      <c r="AA147" s="5" t="s">
        <v>205</v>
      </c>
    </row>
    <row r="148" spans="1:91" x14ac:dyDescent="0.25">
      <c r="A148">
        <v>4001905</v>
      </c>
      <c r="B148" t="s">
        <v>11</v>
      </c>
    </row>
    <row r="149" spans="1:91" x14ac:dyDescent="0.25">
      <c r="A149">
        <v>4002206</v>
      </c>
      <c r="B149" t="s">
        <v>11</v>
      </c>
    </row>
    <row r="150" spans="1:91" x14ac:dyDescent="0.25">
      <c r="A150">
        <v>4002715</v>
      </c>
      <c r="B150" t="s">
        <v>11</v>
      </c>
    </row>
    <row r="151" spans="1:91" x14ac:dyDescent="0.25">
      <c r="A151">
        <v>4003924</v>
      </c>
      <c r="B151" t="s">
        <v>11</v>
      </c>
    </row>
    <row r="152" spans="1:91" x14ac:dyDescent="0.25">
      <c r="A152">
        <v>4006051</v>
      </c>
      <c r="B152" t="s">
        <v>11</v>
      </c>
    </row>
    <row r="153" spans="1:91" x14ac:dyDescent="0.25">
      <c r="A153">
        <v>4008140</v>
      </c>
      <c r="B153" t="s">
        <v>11</v>
      </c>
    </row>
    <row r="154" spans="1:91" x14ac:dyDescent="0.25">
      <c r="A154">
        <v>4009906</v>
      </c>
      <c r="B154" t="s">
        <v>11</v>
      </c>
    </row>
    <row r="155" spans="1:91" x14ac:dyDescent="0.25">
      <c r="A155">
        <v>4011027</v>
      </c>
      <c r="B155" t="s">
        <v>11</v>
      </c>
    </row>
    <row r="156" spans="1:91" x14ac:dyDescent="0.25">
      <c r="A156">
        <v>4011920</v>
      </c>
      <c r="B156" t="s">
        <v>11</v>
      </c>
    </row>
    <row r="157" spans="1:91" x14ac:dyDescent="0.25">
      <c r="A157">
        <v>4012248</v>
      </c>
      <c r="B157" t="s">
        <v>11</v>
      </c>
    </row>
    <row r="158" spans="1:91" x14ac:dyDescent="0.25">
      <c r="A158">
        <v>4013603</v>
      </c>
      <c r="B158" t="s">
        <v>11</v>
      </c>
    </row>
    <row r="159" spans="1:91" x14ac:dyDescent="0.25">
      <c r="A159">
        <v>5004654</v>
      </c>
      <c r="B159" t="s">
        <v>11</v>
      </c>
    </row>
    <row r="160" spans="1:91" x14ac:dyDescent="0.25">
      <c r="A160">
        <v>5008807</v>
      </c>
      <c r="B160" t="s">
        <v>11</v>
      </c>
      <c r="N160" s="5" t="s">
        <v>206</v>
      </c>
      <c r="O160" s="5"/>
      <c r="P160" s="5"/>
      <c r="Q160" s="5"/>
      <c r="R160" s="5"/>
      <c r="S160" s="5" t="s">
        <v>207</v>
      </c>
      <c r="X160" s="12"/>
      <c r="AI160" s="5" t="s">
        <v>208</v>
      </c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 t="s">
        <v>209</v>
      </c>
      <c r="BB160" s="5"/>
      <c r="BC160" s="5"/>
      <c r="BD160" s="5"/>
      <c r="BE160" s="5" t="s">
        <v>210</v>
      </c>
    </row>
    <row r="161" spans="1:93" x14ac:dyDescent="0.25">
      <c r="A161">
        <v>5009400</v>
      </c>
      <c r="B161" t="s">
        <v>11</v>
      </c>
      <c r="AI161" t="s">
        <v>211</v>
      </c>
    </row>
    <row r="162" spans="1:93" x14ac:dyDescent="0.25">
      <c r="A162">
        <v>5016255</v>
      </c>
      <c r="B162" t="s">
        <v>11</v>
      </c>
    </row>
    <row r="163" spans="1:93" x14ac:dyDescent="0.25">
      <c r="A163">
        <v>6012448</v>
      </c>
      <c r="B163" t="s">
        <v>11</v>
      </c>
    </row>
    <row r="164" spans="1:93" x14ac:dyDescent="0.25">
      <c r="A164">
        <v>7000457</v>
      </c>
      <c r="B164" t="s">
        <v>11</v>
      </c>
    </row>
    <row r="165" spans="1:93" x14ac:dyDescent="0.25">
      <c r="A165">
        <v>7072644</v>
      </c>
      <c r="B165" t="s">
        <v>11</v>
      </c>
      <c r="E165" s="12"/>
    </row>
    <row r="166" spans="1:93" x14ac:dyDescent="0.25">
      <c r="A166">
        <v>7126387</v>
      </c>
      <c r="B166" t="s">
        <v>11</v>
      </c>
    </row>
    <row r="167" spans="1:93" x14ac:dyDescent="0.25">
      <c r="A167">
        <v>10185935</v>
      </c>
      <c r="B167" t="s">
        <v>11</v>
      </c>
    </row>
    <row r="168" spans="1:93" x14ac:dyDescent="0.25">
      <c r="A168">
        <v>11061215</v>
      </c>
      <c r="B168" t="s">
        <v>11</v>
      </c>
      <c r="AY168" s="5" t="s">
        <v>148</v>
      </c>
      <c r="CG168">
        <v>20</v>
      </c>
      <c r="CH168">
        <v>20</v>
      </c>
      <c r="CM168">
        <v>10</v>
      </c>
    </row>
    <row r="169" spans="1:93" x14ac:dyDescent="0.25">
      <c r="A169">
        <v>93008468</v>
      </c>
      <c r="B169" t="s">
        <v>11</v>
      </c>
    </row>
    <row r="170" spans="1:93" x14ac:dyDescent="0.25">
      <c r="A170">
        <v>93016155</v>
      </c>
      <c r="B170" t="s">
        <v>11</v>
      </c>
      <c r="N170" s="12"/>
    </row>
    <row r="171" spans="1:93" x14ac:dyDescent="0.25">
      <c r="A171">
        <v>93018845</v>
      </c>
      <c r="B171" t="s">
        <v>11</v>
      </c>
    </row>
    <row r="172" spans="1:93" x14ac:dyDescent="0.25">
      <c r="A172" t="s">
        <v>16</v>
      </c>
      <c r="B172" t="s">
        <v>11</v>
      </c>
    </row>
    <row r="173" spans="1:93" x14ac:dyDescent="0.25">
      <c r="A173">
        <v>94006009</v>
      </c>
      <c r="B173" t="s">
        <v>11</v>
      </c>
    </row>
    <row r="174" spans="1:93" x14ac:dyDescent="0.25">
      <c r="A174">
        <v>94014126</v>
      </c>
      <c r="B174" t="s">
        <v>11</v>
      </c>
    </row>
    <row r="175" spans="1:93" x14ac:dyDescent="0.25">
      <c r="A175">
        <v>94900361</v>
      </c>
      <c r="B175" t="s">
        <v>11</v>
      </c>
    </row>
    <row r="176" spans="1:93" x14ac:dyDescent="0.25">
      <c r="A176">
        <v>94901890</v>
      </c>
      <c r="B176" t="s">
        <v>11</v>
      </c>
      <c r="CM176" s="12" t="s">
        <v>168</v>
      </c>
      <c r="CO176" s="12" t="s">
        <v>169</v>
      </c>
    </row>
    <row r="177" spans="1:106" x14ac:dyDescent="0.25">
      <c r="A177">
        <v>95001046</v>
      </c>
      <c r="B177" t="s">
        <v>11</v>
      </c>
    </row>
    <row r="178" spans="1:106" x14ac:dyDescent="0.25">
      <c r="A178">
        <v>96004031</v>
      </c>
      <c r="B178" t="s">
        <v>11</v>
      </c>
      <c r="BZ178" s="5" t="s">
        <v>212</v>
      </c>
    </row>
    <row r="179" spans="1:106" x14ac:dyDescent="0.25">
      <c r="A179">
        <v>97004458</v>
      </c>
      <c r="B179" t="s">
        <v>11</v>
      </c>
    </row>
    <row r="180" spans="1:106" x14ac:dyDescent="0.25">
      <c r="A180">
        <v>97009212</v>
      </c>
      <c r="B180" t="s">
        <v>11</v>
      </c>
    </row>
    <row r="181" spans="1:106" x14ac:dyDescent="0.25">
      <c r="A181">
        <v>98006038</v>
      </c>
      <c r="B181" t="s">
        <v>11</v>
      </c>
    </row>
    <row r="182" spans="1:106" x14ac:dyDescent="0.25">
      <c r="A182">
        <v>98009041</v>
      </c>
      <c r="B182" t="s">
        <v>11</v>
      </c>
    </row>
    <row r="183" spans="1:106" x14ac:dyDescent="0.25">
      <c r="A183">
        <v>99000714</v>
      </c>
      <c r="B183" t="s">
        <v>11</v>
      </c>
    </row>
    <row r="184" spans="1:106" x14ac:dyDescent="0.25">
      <c r="A184">
        <v>99007116</v>
      </c>
      <c r="B184" t="s">
        <v>11</v>
      </c>
    </row>
    <row r="185" spans="1:106" x14ac:dyDescent="0.25">
      <c r="A185">
        <v>99901293</v>
      </c>
      <c r="B185" t="s">
        <v>11</v>
      </c>
    </row>
    <row r="186" spans="1:106" x14ac:dyDescent="0.25">
      <c r="A186">
        <v>99901604</v>
      </c>
      <c r="B186" t="s">
        <v>11</v>
      </c>
    </row>
    <row r="187" spans="1:106" x14ac:dyDescent="0.25">
      <c r="A187">
        <v>3017227</v>
      </c>
      <c r="B187" t="s">
        <v>11</v>
      </c>
    </row>
    <row r="188" spans="1:106" x14ac:dyDescent="0.25">
      <c r="A188">
        <v>2007648</v>
      </c>
      <c r="B188" t="s">
        <v>11</v>
      </c>
    </row>
    <row r="189" spans="1:106" x14ac:dyDescent="0.25">
      <c r="A189">
        <v>3008510</v>
      </c>
      <c r="B189" t="s">
        <v>11</v>
      </c>
      <c r="X189" s="12"/>
      <c r="Z189" s="12"/>
      <c r="AA189" s="12"/>
      <c r="AJ189" s="12"/>
      <c r="AM189">
        <v>36</v>
      </c>
    </row>
    <row r="190" spans="1:106" x14ac:dyDescent="0.25">
      <c r="C190">
        <f>COUNTA(C62:C189)</f>
        <v>0</v>
      </c>
      <c r="D190">
        <f>COUNTA(D62:D189)</f>
        <v>0</v>
      </c>
      <c r="E190">
        <f>COUNTA(E62:E189)</f>
        <v>0</v>
      </c>
      <c r="F190">
        <f t="shared" ref="F190:BQ190" si="12">COUNTA(F62:F189)</f>
        <v>0</v>
      </c>
      <c r="G190">
        <f t="shared" si="12"/>
        <v>0</v>
      </c>
      <c r="H190">
        <f t="shared" si="12"/>
        <v>0</v>
      </c>
      <c r="I190">
        <f t="shared" si="12"/>
        <v>1</v>
      </c>
      <c r="J190">
        <f t="shared" si="12"/>
        <v>1</v>
      </c>
      <c r="K190">
        <f t="shared" si="12"/>
        <v>1</v>
      </c>
      <c r="L190">
        <f t="shared" si="12"/>
        <v>0</v>
      </c>
      <c r="M190">
        <f t="shared" si="12"/>
        <v>0</v>
      </c>
      <c r="N190">
        <f t="shared" si="12"/>
        <v>1</v>
      </c>
      <c r="O190">
        <f t="shared" si="12"/>
        <v>0</v>
      </c>
      <c r="P190">
        <f t="shared" si="12"/>
        <v>1</v>
      </c>
      <c r="Q190">
        <f t="shared" si="12"/>
        <v>1</v>
      </c>
      <c r="R190">
        <f t="shared" si="12"/>
        <v>0</v>
      </c>
      <c r="S190">
        <f t="shared" si="12"/>
        <v>1</v>
      </c>
      <c r="T190">
        <f t="shared" si="12"/>
        <v>0</v>
      </c>
      <c r="U190">
        <f t="shared" si="12"/>
        <v>0</v>
      </c>
      <c r="V190">
        <f t="shared" si="12"/>
        <v>0</v>
      </c>
      <c r="W190">
        <f t="shared" si="12"/>
        <v>0</v>
      </c>
      <c r="X190">
        <f t="shared" si="12"/>
        <v>0</v>
      </c>
      <c r="Y190">
        <f t="shared" si="12"/>
        <v>0</v>
      </c>
      <c r="Z190">
        <f t="shared" si="12"/>
        <v>1</v>
      </c>
      <c r="AA190">
        <f t="shared" si="12"/>
        <v>1</v>
      </c>
      <c r="AB190">
        <f t="shared" si="12"/>
        <v>0</v>
      </c>
      <c r="AC190">
        <f t="shared" si="12"/>
        <v>0</v>
      </c>
      <c r="AD190">
        <f t="shared" si="12"/>
        <v>0</v>
      </c>
      <c r="AE190">
        <f t="shared" si="12"/>
        <v>0</v>
      </c>
      <c r="AF190">
        <f t="shared" si="12"/>
        <v>0</v>
      </c>
      <c r="AG190">
        <f t="shared" si="12"/>
        <v>0</v>
      </c>
      <c r="AH190">
        <f t="shared" si="12"/>
        <v>0</v>
      </c>
      <c r="AI190">
        <f t="shared" si="12"/>
        <v>2</v>
      </c>
      <c r="AJ190">
        <f t="shared" si="12"/>
        <v>0</v>
      </c>
      <c r="AK190">
        <f t="shared" si="12"/>
        <v>0</v>
      </c>
      <c r="AL190">
        <f t="shared" si="12"/>
        <v>0</v>
      </c>
      <c r="AM190">
        <f t="shared" si="12"/>
        <v>1</v>
      </c>
      <c r="AN190">
        <f t="shared" si="12"/>
        <v>0</v>
      </c>
      <c r="AO190">
        <f t="shared" si="12"/>
        <v>0</v>
      </c>
      <c r="AP190">
        <f t="shared" si="12"/>
        <v>0</v>
      </c>
      <c r="AQ190">
        <f t="shared" si="12"/>
        <v>0</v>
      </c>
      <c r="AR190">
        <f t="shared" si="12"/>
        <v>0</v>
      </c>
      <c r="AS190">
        <f t="shared" si="12"/>
        <v>0</v>
      </c>
      <c r="AT190">
        <f t="shared" si="12"/>
        <v>0</v>
      </c>
      <c r="AU190">
        <f t="shared" si="12"/>
        <v>0</v>
      </c>
      <c r="AV190">
        <f t="shared" si="12"/>
        <v>0</v>
      </c>
      <c r="AW190">
        <f t="shared" si="12"/>
        <v>0</v>
      </c>
      <c r="AX190">
        <f t="shared" si="12"/>
        <v>0</v>
      </c>
      <c r="AY190">
        <f t="shared" si="12"/>
        <v>1</v>
      </c>
      <c r="AZ190">
        <f t="shared" si="12"/>
        <v>0</v>
      </c>
      <c r="BA190">
        <f t="shared" si="12"/>
        <v>1</v>
      </c>
      <c r="BB190">
        <f t="shared" si="12"/>
        <v>0</v>
      </c>
      <c r="BC190">
        <f t="shared" si="12"/>
        <v>0</v>
      </c>
      <c r="BD190">
        <f t="shared" si="12"/>
        <v>1</v>
      </c>
      <c r="BE190">
        <f t="shared" si="12"/>
        <v>1</v>
      </c>
      <c r="BF190">
        <f t="shared" si="12"/>
        <v>0</v>
      </c>
      <c r="BG190">
        <f t="shared" si="12"/>
        <v>0</v>
      </c>
      <c r="BH190">
        <f t="shared" si="12"/>
        <v>0</v>
      </c>
      <c r="BI190">
        <f t="shared" si="12"/>
        <v>0</v>
      </c>
      <c r="BJ190">
        <f t="shared" si="12"/>
        <v>0</v>
      </c>
      <c r="BK190">
        <f t="shared" si="12"/>
        <v>1</v>
      </c>
      <c r="BL190">
        <f t="shared" si="12"/>
        <v>1</v>
      </c>
      <c r="BM190">
        <f t="shared" si="12"/>
        <v>0</v>
      </c>
      <c r="BN190">
        <f t="shared" si="12"/>
        <v>0</v>
      </c>
      <c r="BO190">
        <f t="shared" si="12"/>
        <v>0</v>
      </c>
      <c r="BP190">
        <f t="shared" si="12"/>
        <v>0</v>
      </c>
      <c r="BQ190">
        <f t="shared" si="12"/>
        <v>0</v>
      </c>
      <c r="BR190">
        <f t="shared" ref="BR190:DB190" si="13">COUNTA(BR62:BR189)</f>
        <v>0</v>
      </c>
      <c r="BS190">
        <f t="shared" si="13"/>
        <v>0</v>
      </c>
      <c r="BT190">
        <f t="shared" si="13"/>
        <v>0</v>
      </c>
      <c r="BU190">
        <f t="shared" si="13"/>
        <v>0</v>
      </c>
      <c r="BV190">
        <f t="shared" si="13"/>
        <v>0</v>
      </c>
      <c r="BW190">
        <f t="shared" si="13"/>
        <v>0</v>
      </c>
      <c r="BX190">
        <f t="shared" si="13"/>
        <v>0</v>
      </c>
      <c r="BY190">
        <f t="shared" si="13"/>
        <v>0</v>
      </c>
      <c r="BZ190">
        <f t="shared" si="13"/>
        <v>1</v>
      </c>
      <c r="CA190">
        <f t="shared" si="13"/>
        <v>0</v>
      </c>
      <c r="CB190">
        <f t="shared" si="13"/>
        <v>0</v>
      </c>
      <c r="CC190">
        <f t="shared" si="13"/>
        <v>0</v>
      </c>
      <c r="CD190">
        <f t="shared" si="13"/>
        <v>0</v>
      </c>
      <c r="CE190">
        <f t="shared" si="13"/>
        <v>0</v>
      </c>
      <c r="CF190">
        <f t="shared" si="13"/>
        <v>0</v>
      </c>
      <c r="CG190">
        <f t="shared" si="13"/>
        <v>1</v>
      </c>
      <c r="CH190">
        <f t="shared" si="13"/>
        <v>1</v>
      </c>
      <c r="CI190">
        <f t="shared" si="13"/>
        <v>0</v>
      </c>
      <c r="CJ190">
        <f t="shared" si="13"/>
        <v>0</v>
      </c>
      <c r="CK190">
        <f t="shared" si="13"/>
        <v>0</v>
      </c>
      <c r="CL190">
        <f t="shared" si="13"/>
        <v>0</v>
      </c>
      <c r="CM190">
        <f t="shared" si="13"/>
        <v>3</v>
      </c>
      <c r="CN190">
        <f t="shared" si="13"/>
        <v>0</v>
      </c>
      <c r="CO190">
        <f t="shared" si="13"/>
        <v>1</v>
      </c>
      <c r="CP190">
        <f t="shared" si="13"/>
        <v>0</v>
      </c>
      <c r="CQ190">
        <f t="shared" si="13"/>
        <v>0</v>
      </c>
      <c r="CR190">
        <f t="shared" si="13"/>
        <v>0</v>
      </c>
      <c r="CS190">
        <f t="shared" si="13"/>
        <v>0</v>
      </c>
      <c r="CT190">
        <f t="shared" si="13"/>
        <v>0</v>
      </c>
      <c r="CU190">
        <f t="shared" si="13"/>
        <v>0</v>
      </c>
      <c r="CV190">
        <f t="shared" si="13"/>
        <v>0</v>
      </c>
      <c r="CW190">
        <f t="shared" si="13"/>
        <v>0</v>
      </c>
      <c r="CX190">
        <f t="shared" si="13"/>
        <v>0</v>
      </c>
      <c r="CY190">
        <f t="shared" si="13"/>
        <v>0</v>
      </c>
      <c r="CZ190">
        <f t="shared" si="13"/>
        <v>0</v>
      </c>
      <c r="DA190">
        <f t="shared" si="13"/>
        <v>0</v>
      </c>
      <c r="DB190">
        <f t="shared" si="13"/>
        <v>0</v>
      </c>
    </row>
    <row r="191" spans="1:106" x14ac:dyDescent="0.25">
      <c r="A191">
        <v>4289</v>
      </c>
      <c r="B191" t="s">
        <v>17</v>
      </c>
    </row>
    <row r="192" spans="1:106" x14ac:dyDescent="0.25">
      <c r="A192">
        <v>500245</v>
      </c>
      <c r="B192" t="s">
        <v>17</v>
      </c>
    </row>
    <row r="193" spans="1:15" x14ac:dyDescent="0.25">
      <c r="A193">
        <v>2002573</v>
      </c>
      <c r="B193" t="s">
        <v>17</v>
      </c>
    </row>
    <row r="194" spans="1:15" x14ac:dyDescent="0.25">
      <c r="A194">
        <v>2003539</v>
      </c>
      <c r="B194" t="s">
        <v>17</v>
      </c>
    </row>
    <row r="195" spans="1:15" x14ac:dyDescent="0.25">
      <c r="A195">
        <v>2003649</v>
      </c>
      <c r="B195" t="s">
        <v>17</v>
      </c>
    </row>
    <row r="196" spans="1:15" x14ac:dyDescent="0.25">
      <c r="A196">
        <v>2005572</v>
      </c>
      <c r="B196" t="s">
        <v>17</v>
      </c>
    </row>
    <row r="197" spans="1:15" x14ac:dyDescent="0.25">
      <c r="A197">
        <v>2013117</v>
      </c>
      <c r="B197" t="s">
        <v>17</v>
      </c>
    </row>
    <row r="198" spans="1:15" x14ac:dyDescent="0.25">
      <c r="A198">
        <v>3009633</v>
      </c>
      <c r="B198" t="s">
        <v>17</v>
      </c>
    </row>
    <row r="199" spans="1:15" x14ac:dyDescent="0.25">
      <c r="A199">
        <v>3010583</v>
      </c>
      <c r="B199" t="s">
        <v>17</v>
      </c>
    </row>
    <row r="200" spans="1:15" x14ac:dyDescent="0.25">
      <c r="A200" s="17">
        <v>3011892</v>
      </c>
      <c r="B200" t="s">
        <v>17</v>
      </c>
    </row>
    <row r="201" spans="1:15" x14ac:dyDescent="0.25">
      <c r="A201">
        <v>4001382</v>
      </c>
      <c r="B201" t="s">
        <v>17</v>
      </c>
    </row>
    <row r="202" spans="1:15" x14ac:dyDescent="0.25">
      <c r="A202">
        <v>5018675</v>
      </c>
      <c r="B202" t="s">
        <v>17</v>
      </c>
    </row>
    <row r="203" spans="1:15" x14ac:dyDescent="0.25">
      <c r="A203">
        <v>6050168</v>
      </c>
      <c r="B203" t="s">
        <v>17</v>
      </c>
      <c r="J203">
        <v>26.1</v>
      </c>
      <c r="O203">
        <v>31</v>
      </c>
    </row>
    <row r="204" spans="1:15" x14ac:dyDescent="0.25">
      <c r="A204">
        <v>7003242</v>
      </c>
      <c r="B204" t="s">
        <v>17</v>
      </c>
    </row>
    <row r="205" spans="1:15" x14ac:dyDescent="0.25">
      <c r="A205">
        <v>12022536</v>
      </c>
      <c r="B205" t="s">
        <v>17</v>
      </c>
    </row>
    <row r="206" spans="1:15" x14ac:dyDescent="0.25">
      <c r="A206">
        <v>13020792</v>
      </c>
      <c r="B206" t="s">
        <v>17</v>
      </c>
    </row>
    <row r="207" spans="1:15" x14ac:dyDescent="0.25">
      <c r="A207">
        <v>97005797</v>
      </c>
      <c r="B207" t="s">
        <v>17</v>
      </c>
    </row>
    <row r="208" spans="1:15" x14ac:dyDescent="0.25">
      <c r="A208">
        <v>99000345</v>
      </c>
      <c r="B208" t="s">
        <v>17</v>
      </c>
    </row>
    <row r="209" spans="1:91" x14ac:dyDescent="0.25">
      <c r="A209">
        <v>5006592</v>
      </c>
      <c r="B209" t="s">
        <v>17</v>
      </c>
    </row>
    <row r="210" spans="1:91" x14ac:dyDescent="0.25">
      <c r="A210">
        <v>5007274</v>
      </c>
      <c r="B210" t="s">
        <v>17</v>
      </c>
    </row>
    <row r="211" spans="1:91" x14ac:dyDescent="0.25">
      <c r="A211">
        <v>5015851</v>
      </c>
      <c r="B211" t="s">
        <v>17</v>
      </c>
      <c r="CM211" s="5" t="s">
        <v>150</v>
      </c>
    </row>
    <row r="212" spans="1:91" x14ac:dyDescent="0.25">
      <c r="A212">
        <v>6015647</v>
      </c>
      <c r="B212" t="s">
        <v>17</v>
      </c>
    </row>
    <row r="213" spans="1:91" x14ac:dyDescent="0.25">
      <c r="A213">
        <v>6056633</v>
      </c>
      <c r="B213" t="s">
        <v>17</v>
      </c>
    </row>
    <row r="214" spans="1:91" x14ac:dyDescent="0.25">
      <c r="A214">
        <v>7086224</v>
      </c>
      <c r="B214" t="s">
        <v>17</v>
      </c>
    </row>
    <row r="215" spans="1:91" x14ac:dyDescent="0.25">
      <c r="A215">
        <v>8040959</v>
      </c>
      <c r="B215" t="s">
        <v>17</v>
      </c>
    </row>
    <row r="216" spans="1:91" x14ac:dyDescent="0.25">
      <c r="A216">
        <v>8107048</v>
      </c>
      <c r="B216" t="s">
        <v>17</v>
      </c>
    </row>
    <row r="217" spans="1:91" x14ac:dyDescent="0.25">
      <c r="A217">
        <v>8124044</v>
      </c>
      <c r="B217" t="s">
        <v>17</v>
      </c>
    </row>
    <row r="218" spans="1:91" x14ac:dyDescent="0.25">
      <c r="A218">
        <v>8142949</v>
      </c>
      <c r="B218" t="s">
        <v>17</v>
      </c>
    </row>
    <row r="219" spans="1:91" x14ac:dyDescent="0.25">
      <c r="A219">
        <v>9023306</v>
      </c>
      <c r="B219" t="s">
        <v>17</v>
      </c>
    </row>
    <row r="220" spans="1:91" x14ac:dyDescent="0.25">
      <c r="A220">
        <v>9034464</v>
      </c>
      <c r="B220" t="s">
        <v>17</v>
      </c>
    </row>
    <row r="221" spans="1:91" x14ac:dyDescent="0.25">
      <c r="A221">
        <v>9040167</v>
      </c>
      <c r="B221" t="s">
        <v>17</v>
      </c>
    </row>
    <row r="222" spans="1:91" x14ac:dyDescent="0.25">
      <c r="A222">
        <v>9054567</v>
      </c>
      <c r="B222" t="s">
        <v>17</v>
      </c>
    </row>
    <row r="223" spans="1:91" x14ac:dyDescent="0.25">
      <c r="A223">
        <v>9083682</v>
      </c>
      <c r="B223" t="s">
        <v>17</v>
      </c>
      <c r="CC223" s="5" t="s">
        <v>213</v>
      </c>
    </row>
    <row r="224" spans="1:91" x14ac:dyDescent="0.25">
      <c r="A224">
        <v>9102044</v>
      </c>
      <c r="B224" t="s">
        <v>17</v>
      </c>
    </row>
    <row r="225" spans="1:56" x14ac:dyDescent="0.25">
      <c r="A225">
        <v>9119854</v>
      </c>
      <c r="B225" t="s">
        <v>17</v>
      </c>
    </row>
    <row r="226" spans="1:56" x14ac:dyDescent="0.25">
      <c r="A226">
        <v>9125126</v>
      </c>
      <c r="B226" t="s">
        <v>17</v>
      </c>
    </row>
    <row r="227" spans="1:56" x14ac:dyDescent="0.25">
      <c r="A227">
        <v>9174811</v>
      </c>
      <c r="B227" t="s">
        <v>17</v>
      </c>
    </row>
    <row r="228" spans="1:56" x14ac:dyDescent="0.25">
      <c r="A228">
        <v>10002875</v>
      </c>
      <c r="B228" t="s">
        <v>17</v>
      </c>
      <c r="X228" s="12"/>
      <c r="BD228" s="12"/>
    </row>
    <row r="229" spans="1:56" x14ac:dyDescent="0.25">
      <c r="A229">
        <v>10023080</v>
      </c>
      <c r="B229" t="s">
        <v>17</v>
      </c>
    </row>
    <row r="230" spans="1:56" x14ac:dyDescent="0.25">
      <c r="A230">
        <v>10025212</v>
      </c>
      <c r="B230" t="s">
        <v>17</v>
      </c>
    </row>
    <row r="231" spans="1:56" x14ac:dyDescent="0.25">
      <c r="A231">
        <v>10069407</v>
      </c>
      <c r="B231" t="s">
        <v>17</v>
      </c>
    </row>
    <row r="232" spans="1:56" x14ac:dyDescent="0.25">
      <c r="A232">
        <v>10071135</v>
      </c>
      <c r="B232" t="s">
        <v>17</v>
      </c>
    </row>
    <row r="233" spans="1:56" x14ac:dyDescent="0.25">
      <c r="A233">
        <v>10083649</v>
      </c>
      <c r="B233" t="s">
        <v>17</v>
      </c>
    </row>
    <row r="234" spans="1:56" x14ac:dyDescent="0.25">
      <c r="A234">
        <v>10102021</v>
      </c>
      <c r="B234" t="s">
        <v>17</v>
      </c>
    </row>
    <row r="235" spans="1:56" x14ac:dyDescent="0.25">
      <c r="A235">
        <v>10123729</v>
      </c>
      <c r="B235" t="s">
        <v>17</v>
      </c>
    </row>
    <row r="236" spans="1:56" x14ac:dyDescent="0.25">
      <c r="A236">
        <v>10144736</v>
      </c>
      <c r="B236" t="s">
        <v>17</v>
      </c>
    </row>
    <row r="237" spans="1:56" x14ac:dyDescent="0.25">
      <c r="A237">
        <v>10157275</v>
      </c>
      <c r="B237" t="s">
        <v>17</v>
      </c>
    </row>
    <row r="238" spans="1:56" x14ac:dyDescent="0.25">
      <c r="A238">
        <v>10190869</v>
      </c>
      <c r="B238" t="s">
        <v>17</v>
      </c>
    </row>
    <row r="239" spans="1:56" x14ac:dyDescent="0.25">
      <c r="A239">
        <v>11008417</v>
      </c>
      <c r="B239" t="s">
        <v>17</v>
      </c>
    </row>
    <row r="240" spans="1:56" x14ac:dyDescent="0.25">
      <c r="A240">
        <v>11043926</v>
      </c>
      <c r="B240" t="s">
        <v>17</v>
      </c>
    </row>
    <row r="241" spans="1:35" x14ac:dyDescent="0.25">
      <c r="A241">
        <v>11049060</v>
      </c>
      <c r="B241" t="s">
        <v>17</v>
      </c>
      <c r="X241" s="12"/>
      <c r="AI241">
        <v>1.2</v>
      </c>
    </row>
    <row r="242" spans="1:35" x14ac:dyDescent="0.25">
      <c r="A242">
        <v>11058012</v>
      </c>
      <c r="B242" t="s">
        <v>17</v>
      </c>
    </row>
    <row r="243" spans="1:35" x14ac:dyDescent="0.25">
      <c r="A243">
        <v>11082290</v>
      </c>
      <c r="B243" t="s">
        <v>17</v>
      </c>
    </row>
    <row r="244" spans="1:35" x14ac:dyDescent="0.25">
      <c r="A244">
        <v>11096431</v>
      </c>
      <c r="B244" t="s">
        <v>17</v>
      </c>
    </row>
    <row r="245" spans="1:35" x14ac:dyDescent="0.25">
      <c r="A245">
        <v>11105672</v>
      </c>
      <c r="B245" t="s">
        <v>17</v>
      </c>
    </row>
    <row r="246" spans="1:35" x14ac:dyDescent="0.25">
      <c r="A246" t="s">
        <v>18</v>
      </c>
      <c r="B246" t="s">
        <v>17</v>
      </c>
    </row>
    <row r="247" spans="1:35" x14ac:dyDescent="0.25">
      <c r="A247">
        <v>11136262</v>
      </c>
      <c r="B247" t="s">
        <v>17</v>
      </c>
    </row>
    <row r="248" spans="1:35" x14ac:dyDescent="0.25">
      <c r="A248">
        <v>11178455</v>
      </c>
      <c r="B248" t="s">
        <v>17</v>
      </c>
    </row>
    <row r="249" spans="1:35" x14ac:dyDescent="0.25">
      <c r="A249">
        <v>11179526</v>
      </c>
      <c r="B249" t="s">
        <v>17</v>
      </c>
    </row>
    <row r="250" spans="1:35" x14ac:dyDescent="0.25">
      <c r="A250">
        <v>11187511</v>
      </c>
      <c r="B250" t="s">
        <v>17</v>
      </c>
    </row>
    <row r="251" spans="1:35" x14ac:dyDescent="0.25">
      <c r="A251">
        <v>11223290</v>
      </c>
      <c r="B251" t="s">
        <v>17</v>
      </c>
    </row>
    <row r="252" spans="1:35" x14ac:dyDescent="0.25">
      <c r="A252">
        <v>11228365</v>
      </c>
      <c r="B252" t="s">
        <v>17</v>
      </c>
    </row>
    <row r="253" spans="1:35" x14ac:dyDescent="0.25">
      <c r="A253">
        <v>12020246</v>
      </c>
      <c r="B253" t="s">
        <v>17</v>
      </c>
    </row>
    <row r="254" spans="1:35" x14ac:dyDescent="0.25">
      <c r="A254">
        <v>12035138</v>
      </c>
      <c r="B254" t="s">
        <v>17</v>
      </c>
    </row>
    <row r="255" spans="1:35" x14ac:dyDescent="0.25">
      <c r="A255">
        <v>12111578</v>
      </c>
      <c r="B255" t="s">
        <v>17</v>
      </c>
    </row>
    <row r="256" spans="1:35" x14ac:dyDescent="0.25">
      <c r="A256">
        <v>12133434</v>
      </c>
      <c r="B256" t="s">
        <v>17</v>
      </c>
    </row>
    <row r="257" spans="1:105" x14ac:dyDescent="0.25">
      <c r="A257">
        <v>12164268</v>
      </c>
      <c r="B257" t="s">
        <v>17</v>
      </c>
    </row>
    <row r="258" spans="1:105" x14ac:dyDescent="0.25">
      <c r="A258">
        <v>12164269</v>
      </c>
      <c r="B258" t="s">
        <v>17</v>
      </c>
    </row>
    <row r="259" spans="1:105" x14ac:dyDescent="0.25">
      <c r="A259">
        <v>12168562</v>
      </c>
      <c r="B259" t="s">
        <v>17</v>
      </c>
    </row>
    <row r="260" spans="1:105" x14ac:dyDescent="0.25">
      <c r="A260">
        <v>12190939</v>
      </c>
      <c r="B260" t="s">
        <v>17</v>
      </c>
    </row>
    <row r="261" spans="1:105" x14ac:dyDescent="0.25">
      <c r="A261">
        <v>12311081</v>
      </c>
      <c r="B261" t="s">
        <v>17</v>
      </c>
    </row>
    <row r="262" spans="1:105" x14ac:dyDescent="0.25">
      <c r="A262">
        <v>6000832</v>
      </c>
      <c r="B262" t="s">
        <v>17</v>
      </c>
    </row>
    <row r="263" spans="1:105" x14ac:dyDescent="0.25">
      <c r="A263">
        <v>9030615</v>
      </c>
      <c r="B263" t="s">
        <v>17</v>
      </c>
    </row>
    <row r="264" spans="1:105" x14ac:dyDescent="0.25">
      <c r="A264" t="s">
        <v>19</v>
      </c>
      <c r="B264" t="s">
        <v>17</v>
      </c>
    </row>
    <row r="265" spans="1:105" x14ac:dyDescent="0.25">
      <c r="A265" t="s">
        <v>20</v>
      </c>
      <c r="B265" t="s">
        <v>17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CG265" s="4"/>
      <c r="CH265" s="4"/>
      <c r="CI265" s="4"/>
      <c r="CJ265" s="4"/>
      <c r="CK265" s="4"/>
      <c r="CL265" s="4"/>
    </row>
    <row r="266" spans="1:105" x14ac:dyDescent="0.25">
      <c r="C266">
        <f>COUNTA(C191:C265)</f>
        <v>0</v>
      </c>
      <c r="D266">
        <f>COUNTA(D191:D265)</f>
        <v>0</v>
      </c>
      <c r="E266">
        <f t="shared" ref="E266:BP266" si="14">COUNTA(E191:E265)</f>
        <v>0</v>
      </c>
      <c r="F266">
        <f t="shared" si="14"/>
        <v>0</v>
      </c>
      <c r="G266">
        <f t="shared" si="14"/>
        <v>0</v>
      </c>
      <c r="H266">
        <f t="shared" si="14"/>
        <v>0</v>
      </c>
      <c r="I266">
        <f t="shared" si="14"/>
        <v>0</v>
      </c>
      <c r="J266">
        <f t="shared" si="14"/>
        <v>1</v>
      </c>
      <c r="K266">
        <f t="shared" si="14"/>
        <v>0</v>
      </c>
      <c r="L266">
        <f t="shared" si="14"/>
        <v>0</v>
      </c>
      <c r="M266">
        <f t="shared" si="14"/>
        <v>0</v>
      </c>
      <c r="N266">
        <f t="shared" si="14"/>
        <v>0</v>
      </c>
      <c r="O266">
        <f t="shared" si="14"/>
        <v>1</v>
      </c>
      <c r="P266">
        <f t="shared" si="14"/>
        <v>0</v>
      </c>
      <c r="Q266">
        <f t="shared" si="14"/>
        <v>0</v>
      </c>
      <c r="R266">
        <f t="shared" si="14"/>
        <v>0</v>
      </c>
      <c r="S266">
        <f t="shared" si="14"/>
        <v>0</v>
      </c>
      <c r="T266">
        <f t="shared" si="14"/>
        <v>0</v>
      </c>
      <c r="U266">
        <f t="shared" si="14"/>
        <v>0</v>
      </c>
      <c r="V266">
        <f t="shared" si="14"/>
        <v>0</v>
      </c>
      <c r="W266">
        <f t="shared" si="14"/>
        <v>0</v>
      </c>
      <c r="X266">
        <f t="shared" si="14"/>
        <v>0</v>
      </c>
      <c r="Y266">
        <f t="shared" si="14"/>
        <v>0</v>
      </c>
      <c r="Z266">
        <f t="shared" si="14"/>
        <v>0</v>
      </c>
      <c r="AA266">
        <f t="shared" si="14"/>
        <v>0</v>
      </c>
      <c r="AB266">
        <f t="shared" si="14"/>
        <v>0</v>
      </c>
      <c r="AC266">
        <f t="shared" si="14"/>
        <v>0</v>
      </c>
      <c r="AD266">
        <f t="shared" si="14"/>
        <v>0</v>
      </c>
      <c r="AE266">
        <f t="shared" si="14"/>
        <v>0</v>
      </c>
      <c r="AF266">
        <f t="shared" si="14"/>
        <v>0</v>
      </c>
      <c r="AG266">
        <f t="shared" si="14"/>
        <v>0</v>
      </c>
      <c r="AH266">
        <f t="shared" si="14"/>
        <v>0</v>
      </c>
      <c r="AI266">
        <f t="shared" si="14"/>
        <v>1</v>
      </c>
      <c r="AJ266">
        <f t="shared" si="14"/>
        <v>0</v>
      </c>
      <c r="AK266">
        <f t="shared" si="14"/>
        <v>0</v>
      </c>
      <c r="AL266">
        <f t="shared" si="14"/>
        <v>0</v>
      </c>
      <c r="AM266">
        <f t="shared" si="14"/>
        <v>0</v>
      </c>
      <c r="AN266">
        <f t="shared" si="14"/>
        <v>0</v>
      </c>
      <c r="AO266">
        <f t="shared" si="14"/>
        <v>0</v>
      </c>
      <c r="AP266">
        <f t="shared" si="14"/>
        <v>0</v>
      </c>
      <c r="AQ266">
        <f t="shared" si="14"/>
        <v>0</v>
      </c>
      <c r="AR266">
        <f t="shared" si="14"/>
        <v>0</v>
      </c>
      <c r="AS266">
        <f t="shared" si="14"/>
        <v>0</v>
      </c>
      <c r="AT266">
        <f t="shared" si="14"/>
        <v>0</v>
      </c>
      <c r="AU266">
        <f t="shared" si="14"/>
        <v>0</v>
      </c>
      <c r="AV266">
        <f t="shared" si="14"/>
        <v>0</v>
      </c>
      <c r="AW266">
        <f t="shared" si="14"/>
        <v>0</v>
      </c>
      <c r="AX266">
        <f t="shared" si="14"/>
        <v>0</v>
      </c>
      <c r="AY266">
        <f t="shared" si="14"/>
        <v>0</v>
      </c>
      <c r="AZ266">
        <f t="shared" si="14"/>
        <v>0</v>
      </c>
      <c r="BA266">
        <f t="shared" si="14"/>
        <v>0</v>
      </c>
      <c r="BB266">
        <f t="shared" si="14"/>
        <v>0</v>
      </c>
      <c r="BC266">
        <f t="shared" si="14"/>
        <v>0</v>
      </c>
      <c r="BD266">
        <f t="shared" si="14"/>
        <v>0</v>
      </c>
      <c r="BE266">
        <f t="shared" si="14"/>
        <v>0</v>
      </c>
      <c r="BF266">
        <f t="shared" si="14"/>
        <v>0</v>
      </c>
      <c r="BG266">
        <f t="shared" si="14"/>
        <v>0</v>
      </c>
      <c r="BH266">
        <f t="shared" si="14"/>
        <v>0</v>
      </c>
      <c r="BI266">
        <f t="shared" si="14"/>
        <v>0</v>
      </c>
      <c r="BJ266">
        <f t="shared" si="14"/>
        <v>0</v>
      </c>
      <c r="BK266">
        <f t="shared" si="14"/>
        <v>0</v>
      </c>
      <c r="BL266">
        <f t="shared" si="14"/>
        <v>0</v>
      </c>
      <c r="BM266">
        <f t="shared" si="14"/>
        <v>0</v>
      </c>
      <c r="BN266">
        <f t="shared" si="14"/>
        <v>0</v>
      </c>
      <c r="BO266">
        <f t="shared" si="14"/>
        <v>0</v>
      </c>
      <c r="BP266">
        <f t="shared" si="14"/>
        <v>0</v>
      </c>
      <c r="BQ266">
        <f t="shared" ref="BQ266:DA266" si="15">COUNTA(BQ191:BQ265)</f>
        <v>0</v>
      </c>
      <c r="BR266">
        <f t="shared" si="15"/>
        <v>0</v>
      </c>
      <c r="BS266">
        <f t="shared" si="15"/>
        <v>0</v>
      </c>
      <c r="BT266">
        <f t="shared" si="15"/>
        <v>0</v>
      </c>
      <c r="BU266">
        <f t="shared" si="15"/>
        <v>0</v>
      </c>
      <c r="BV266">
        <f t="shared" si="15"/>
        <v>0</v>
      </c>
      <c r="BW266">
        <f t="shared" si="15"/>
        <v>0</v>
      </c>
      <c r="BX266">
        <f t="shared" si="15"/>
        <v>0</v>
      </c>
      <c r="BY266">
        <f t="shared" si="15"/>
        <v>0</v>
      </c>
      <c r="BZ266">
        <f t="shared" si="15"/>
        <v>0</v>
      </c>
      <c r="CA266">
        <f t="shared" si="15"/>
        <v>0</v>
      </c>
      <c r="CB266">
        <f t="shared" si="15"/>
        <v>0</v>
      </c>
      <c r="CC266">
        <f t="shared" si="15"/>
        <v>1</v>
      </c>
      <c r="CD266">
        <f t="shared" si="15"/>
        <v>0</v>
      </c>
      <c r="CE266">
        <f t="shared" si="15"/>
        <v>0</v>
      </c>
      <c r="CF266">
        <f t="shared" si="15"/>
        <v>0</v>
      </c>
      <c r="CG266">
        <f t="shared" si="15"/>
        <v>0</v>
      </c>
      <c r="CH266">
        <f t="shared" si="15"/>
        <v>0</v>
      </c>
      <c r="CI266">
        <f t="shared" si="15"/>
        <v>0</v>
      </c>
      <c r="CJ266">
        <f t="shared" si="15"/>
        <v>0</v>
      </c>
      <c r="CK266">
        <f t="shared" si="15"/>
        <v>0</v>
      </c>
      <c r="CL266">
        <f t="shared" si="15"/>
        <v>0</v>
      </c>
      <c r="CM266">
        <f t="shared" si="15"/>
        <v>1</v>
      </c>
      <c r="CN266">
        <f t="shared" si="15"/>
        <v>0</v>
      </c>
      <c r="CO266">
        <f t="shared" si="15"/>
        <v>0</v>
      </c>
      <c r="CP266">
        <f t="shared" si="15"/>
        <v>0</v>
      </c>
      <c r="CQ266">
        <f t="shared" si="15"/>
        <v>0</v>
      </c>
      <c r="CR266">
        <f t="shared" si="15"/>
        <v>0</v>
      </c>
      <c r="CS266">
        <f t="shared" si="15"/>
        <v>0</v>
      </c>
      <c r="CT266">
        <f t="shared" si="15"/>
        <v>0</v>
      </c>
      <c r="CU266">
        <f t="shared" si="15"/>
        <v>0</v>
      </c>
      <c r="CV266">
        <f t="shared" si="15"/>
        <v>0</v>
      </c>
      <c r="CW266">
        <f t="shared" si="15"/>
        <v>0</v>
      </c>
      <c r="CX266">
        <f t="shared" si="15"/>
        <v>0</v>
      </c>
      <c r="CY266">
        <f t="shared" si="15"/>
        <v>0</v>
      </c>
      <c r="CZ266">
        <f t="shared" si="15"/>
        <v>0</v>
      </c>
      <c r="DA266">
        <f t="shared" si="15"/>
        <v>0</v>
      </c>
    </row>
    <row r="267" spans="1:105" x14ac:dyDescent="0.25">
      <c r="A267">
        <v>5281</v>
      </c>
      <c r="B267" t="s">
        <v>21</v>
      </c>
    </row>
    <row r="268" spans="1:105" x14ac:dyDescent="0.25">
      <c r="A268">
        <v>200085</v>
      </c>
      <c r="B268" t="s">
        <v>21</v>
      </c>
    </row>
    <row r="269" spans="1:105" x14ac:dyDescent="0.25">
      <c r="A269">
        <v>500129</v>
      </c>
      <c r="B269" t="s">
        <v>21</v>
      </c>
    </row>
    <row r="270" spans="1:105" x14ac:dyDescent="0.25">
      <c r="A270" s="17">
        <v>1002033</v>
      </c>
      <c r="B270" t="s">
        <v>21</v>
      </c>
    </row>
    <row r="271" spans="1:105" x14ac:dyDescent="0.25">
      <c r="A271">
        <v>1003457</v>
      </c>
      <c r="B271" t="s">
        <v>21</v>
      </c>
    </row>
    <row r="272" spans="1:105" x14ac:dyDescent="0.25">
      <c r="A272">
        <v>2005223</v>
      </c>
      <c r="B272" t="s">
        <v>21</v>
      </c>
    </row>
    <row r="273" spans="1:91" x14ac:dyDescent="0.25">
      <c r="A273">
        <v>2006107</v>
      </c>
      <c r="B273" t="s">
        <v>21</v>
      </c>
    </row>
    <row r="274" spans="1:91" x14ac:dyDescent="0.25">
      <c r="A274">
        <v>2012014</v>
      </c>
      <c r="B274" t="s">
        <v>21</v>
      </c>
      <c r="Y274" s="5" t="s">
        <v>214</v>
      </c>
      <c r="CG274" s="5" t="s">
        <v>215</v>
      </c>
      <c r="CH274" s="5"/>
      <c r="CI274" s="5"/>
      <c r="CJ274" s="5"/>
      <c r="CK274" s="5"/>
      <c r="CL274" s="5"/>
      <c r="CM274" s="5" t="s">
        <v>154</v>
      </c>
    </row>
    <row r="275" spans="1:91" x14ac:dyDescent="0.25">
      <c r="A275">
        <v>3000152</v>
      </c>
      <c r="B275" t="s">
        <v>21</v>
      </c>
      <c r="X275" s="12"/>
    </row>
    <row r="276" spans="1:91" x14ac:dyDescent="0.25">
      <c r="A276">
        <v>3014566</v>
      </c>
      <c r="B276" t="s">
        <v>21</v>
      </c>
    </row>
    <row r="277" spans="1:91" x14ac:dyDescent="0.25">
      <c r="A277">
        <v>3015058</v>
      </c>
      <c r="B277" t="s">
        <v>21</v>
      </c>
      <c r="CM277" s="5" t="s">
        <v>155</v>
      </c>
    </row>
    <row r="278" spans="1:91" x14ac:dyDescent="0.25">
      <c r="A278" s="17">
        <v>4000996</v>
      </c>
      <c r="B278" t="s">
        <v>21</v>
      </c>
    </row>
    <row r="279" spans="1:91" x14ac:dyDescent="0.25">
      <c r="A279">
        <v>4003768</v>
      </c>
      <c r="B279" t="s">
        <v>21</v>
      </c>
    </row>
    <row r="280" spans="1:91" x14ac:dyDescent="0.25">
      <c r="A280">
        <v>4006540</v>
      </c>
      <c r="B280" t="s">
        <v>21</v>
      </c>
    </row>
    <row r="281" spans="1:91" x14ac:dyDescent="0.25">
      <c r="A281">
        <v>4007054</v>
      </c>
      <c r="B281" t="s">
        <v>21</v>
      </c>
    </row>
    <row r="282" spans="1:91" x14ac:dyDescent="0.25">
      <c r="A282">
        <v>4011002</v>
      </c>
      <c r="B282" t="s">
        <v>21</v>
      </c>
    </row>
    <row r="283" spans="1:91" x14ac:dyDescent="0.25">
      <c r="A283">
        <v>4900268</v>
      </c>
      <c r="B283" t="s">
        <v>21</v>
      </c>
    </row>
    <row r="284" spans="1:91" x14ac:dyDescent="0.25">
      <c r="A284">
        <v>5001097</v>
      </c>
      <c r="B284" t="s">
        <v>21</v>
      </c>
    </row>
    <row r="285" spans="1:91" x14ac:dyDescent="0.25">
      <c r="A285">
        <v>5001098</v>
      </c>
      <c r="B285" t="s">
        <v>21</v>
      </c>
    </row>
    <row r="286" spans="1:91" x14ac:dyDescent="0.25">
      <c r="A286">
        <v>5006152</v>
      </c>
      <c r="B286" t="s">
        <v>21</v>
      </c>
    </row>
    <row r="287" spans="1:91" x14ac:dyDescent="0.25">
      <c r="A287">
        <v>5011824</v>
      </c>
      <c r="B287" t="s">
        <v>21</v>
      </c>
    </row>
    <row r="288" spans="1:91" x14ac:dyDescent="0.25">
      <c r="A288">
        <v>5016179</v>
      </c>
      <c r="B288" t="s">
        <v>21</v>
      </c>
    </row>
    <row r="289" spans="1:71" x14ac:dyDescent="0.25">
      <c r="A289">
        <v>7079011</v>
      </c>
      <c r="B289" t="s">
        <v>21</v>
      </c>
    </row>
    <row r="290" spans="1:71" x14ac:dyDescent="0.25">
      <c r="A290">
        <v>8135416</v>
      </c>
      <c r="B290" t="s">
        <v>21</v>
      </c>
    </row>
    <row r="291" spans="1:71" x14ac:dyDescent="0.25">
      <c r="A291">
        <v>93018945</v>
      </c>
      <c r="B291" t="s">
        <v>21</v>
      </c>
    </row>
    <row r="292" spans="1:71" x14ac:dyDescent="0.25">
      <c r="A292">
        <v>94009028</v>
      </c>
      <c r="B292" t="s">
        <v>21</v>
      </c>
    </row>
    <row r="293" spans="1:71" x14ac:dyDescent="0.25">
      <c r="A293">
        <v>95005907</v>
      </c>
      <c r="B293" t="s">
        <v>21</v>
      </c>
    </row>
    <row r="294" spans="1:71" x14ac:dyDescent="0.25">
      <c r="A294">
        <v>95900164</v>
      </c>
      <c r="B294" t="s">
        <v>21</v>
      </c>
    </row>
    <row r="295" spans="1:71" x14ac:dyDescent="0.25">
      <c r="A295">
        <v>96015811</v>
      </c>
      <c r="B295" t="s">
        <v>21</v>
      </c>
    </row>
    <row r="296" spans="1:71" x14ac:dyDescent="0.25">
      <c r="A296">
        <v>97001240</v>
      </c>
      <c r="B296" t="s">
        <v>21</v>
      </c>
      <c r="BS296" s="12"/>
    </row>
    <row r="297" spans="1:71" x14ac:dyDescent="0.25">
      <c r="A297">
        <v>97005366</v>
      </c>
      <c r="B297" t="s">
        <v>21</v>
      </c>
    </row>
    <row r="298" spans="1:71" x14ac:dyDescent="0.25">
      <c r="A298">
        <v>98000595</v>
      </c>
      <c r="B298" t="s">
        <v>21</v>
      </c>
    </row>
    <row r="299" spans="1:71" x14ac:dyDescent="0.25">
      <c r="A299">
        <v>98002692</v>
      </c>
      <c r="B299" t="s">
        <v>21</v>
      </c>
    </row>
    <row r="300" spans="1:71" x14ac:dyDescent="0.25">
      <c r="A300">
        <v>98005277</v>
      </c>
      <c r="B300" t="s">
        <v>21</v>
      </c>
    </row>
    <row r="301" spans="1:71" x14ac:dyDescent="0.25">
      <c r="A301">
        <v>99001815</v>
      </c>
      <c r="B301" t="s">
        <v>21</v>
      </c>
    </row>
    <row r="302" spans="1:71" x14ac:dyDescent="0.25">
      <c r="A302">
        <v>6012361</v>
      </c>
      <c r="B302" t="s">
        <v>21</v>
      </c>
    </row>
    <row r="303" spans="1:71" x14ac:dyDescent="0.25">
      <c r="A303">
        <v>6015793</v>
      </c>
      <c r="B303" t="s">
        <v>21</v>
      </c>
    </row>
    <row r="304" spans="1:71" x14ac:dyDescent="0.25">
      <c r="A304">
        <v>6043619</v>
      </c>
      <c r="B304" t="s">
        <v>21</v>
      </c>
    </row>
    <row r="305" spans="1:91" x14ac:dyDescent="0.25">
      <c r="A305">
        <v>7001097</v>
      </c>
      <c r="B305" t="s">
        <v>21</v>
      </c>
    </row>
    <row r="306" spans="1:91" x14ac:dyDescent="0.25">
      <c r="A306">
        <v>7011435</v>
      </c>
      <c r="B306" t="s">
        <v>21</v>
      </c>
    </row>
    <row r="307" spans="1:91" x14ac:dyDescent="0.25">
      <c r="A307">
        <v>7045811</v>
      </c>
      <c r="B307" t="s">
        <v>21</v>
      </c>
    </row>
    <row r="308" spans="1:91" x14ac:dyDescent="0.25">
      <c r="A308">
        <v>7071198</v>
      </c>
      <c r="B308" t="s">
        <v>21</v>
      </c>
    </row>
    <row r="309" spans="1:91" x14ac:dyDescent="0.25">
      <c r="A309">
        <v>7101143</v>
      </c>
      <c r="B309" t="s">
        <v>21</v>
      </c>
    </row>
    <row r="310" spans="1:91" x14ac:dyDescent="0.25">
      <c r="A310">
        <v>8073350</v>
      </c>
      <c r="B310" t="s">
        <v>21</v>
      </c>
    </row>
    <row r="311" spans="1:91" x14ac:dyDescent="0.25">
      <c r="A311">
        <v>8073645</v>
      </c>
      <c r="B311" t="s">
        <v>21</v>
      </c>
    </row>
    <row r="312" spans="1:91" x14ac:dyDescent="0.25">
      <c r="A312" s="17">
        <v>8089666</v>
      </c>
      <c r="B312" t="s">
        <v>21</v>
      </c>
    </row>
    <row r="313" spans="1:91" x14ac:dyDescent="0.25">
      <c r="A313">
        <v>8103536</v>
      </c>
      <c r="B313" t="s">
        <v>21</v>
      </c>
    </row>
    <row r="314" spans="1:91" x14ac:dyDescent="0.25">
      <c r="A314" t="s">
        <v>22</v>
      </c>
      <c r="B314" t="s">
        <v>21</v>
      </c>
    </row>
    <row r="315" spans="1:91" x14ac:dyDescent="0.25">
      <c r="A315">
        <v>9003267</v>
      </c>
      <c r="B315" t="s">
        <v>21</v>
      </c>
    </row>
    <row r="316" spans="1:91" x14ac:dyDescent="0.25">
      <c r="A316">
        <v>9036964</v>
      </c>
      <c r="B316" t="s">
        <v>21</v>
      </c>
      <c r="CM316" s="5" t="s">
        <v>156</v>
      </c>
    </row>
    <row r="317" spans="1:91" x14ac:dyDescent="0.25">
      <c r="A317">
        <v>9090287</v>
      </c>
      <c r="B317" t="s">
        <v>21</v>
      </c>
    </row>
    <row r="318" spans="1:91" x14ac:dyDescent="0.25">
      <c r="A318">
        <v>9095148</v>
      </c>
      <c r="B318" t="s">
        <v>21</v>
      </c>
    </row>
    <row r="319" spans="1:91" x14ac:dyDescent="0.25">
      <c r="A319">
        <v>9104979</v>
      </c>
      <c r="B319" t="s">
        <v>21</v>
      </c>
    </row>
    <row r="320" spans="1:91" x14ac:dyDescent="0.25">
      <c r="A320">
        <v>9139514</v>
      </c>
      <c r="B320" t="s">
        <v>21</v>
      </c>
    </row>
    <row r="321" spans="1:2" x14ac:dyDescent="0.25">
      <c r="A321">
        <v>10020659</v>
      </c>
      <c r="B321" t="s">
        <v>21</v>
      </c>
    </row>
    <row r="322" spans="1:2" x14ac:dyDescent="0.25">
      <c r="A322">
        <v>10025902</v>
      </c>
      <c r="B322" t="s">
        <v>21</v>
      </c>
    </row>
    <row r="323" spans="1:2" x14ac:dyDescent="0.25">
      <c r="A323">
        <v>10027654</v>
      </c>
      <c r="B323" t="s">
        <v>21</v>
      </c>
    </row>
    <row r="324" spans="1:2" x14ac:dyDescent="0.25">
      <c r="A324">
        <v>10084485</v>
      </c>
      <c r="B324" t="s">
        <v>21</v>
      </c>
    </row>
    <row r="325" spans="1:2" x14ac:dyDescent="0.25">
      <c r="A325">
        <v>10098420</v>
      </c>
      <c r="B325" t="s">
        <v>21</v>
      </c>
    </row>
    <row r="326" spans="1:2" x14ac:dyDescent="0.25">
      <c r="A326">
        <v>10129565</v>
      </c>
      <c r="B326" t="s">
        <v>21</v>
      </c>
    </row>
    <row r="327" spans="1:2" x14ac:dyDescent="0.25">
      <c r="A327">
        <v>10146828</v>
      </c>
      <c r="B327" t="s">
        <v>21</v>
      </c>
    </row>
    <row r="328" spans="1:2" x14ac:dyDescent="0.25">
      <c r="A328">
        <v>10163776</v>
      </c>
      <c r="B328" t="s">
        <v>21</v>
      </c>
    </row>
    <row r="329" spans="1:2" x14ac:dyDescent="0.25">
      <c r="A329">
        <v>10173664</v>
      </c>
      <c r="B329" t="s">
        <v>21</v>
      </c>
    </row>
    <row r="330" spans="1:2" x14ac:dyDescent="0.25">
      <c r="A330">
        <v>11000454</v>
      </c>
      <c r="B330" t="s">
        <v>21</v>
      </c>
    </row>
    <row r="331" spans="1:2" x14ac:dyDescent="0.25">
      <c r="A331">
        <v>11083498</v>
      </c>
      <c r="B331" t="s">
        <v>21</v>
      </c>
    </row>
    <row r="332" spans="1:2" x14ac:dyDescent="0.25">
      <c r="A332">
        <v>11138447</v>
      </c>
      <c r="B332" t="s">
        <v>21</v>
      </c>
    </row>
    <row r="333" spans="1:2" x14ac:dyDescent="0.25">
      <c r="A333">
        <v>11144001</v>
      </c>
      <c r="B333" t="s">
        <v>21</v>
      </c>
    </row>
    <row r="334" spans="1:2" x14ac:dyDescent="0.25">
      <c r="A334" t="s">
        <v>23</v>
      </c>
      <c r="B334" t="s">
        <v>21</v>
      </c>
    </row>
    <row r="335" spans="1:2" x14ac:dyDescent="0.25">
      <c r="A335" t="s">
        <v>24</v>
      </c>
      <c r="B335" t="s">
        <v>21</v>
      </c>
    </row>
    <row r="336" spans="1:2" x14ac:dyDescent="0.25">
      <c r="A336">
        <v>12021531</v>
      </c>
      <c r="B336" t="s">
        <v>21</v>
      </c>
    </row>
    <row r="337" spans="1:106" x14ac:dyDescent="0.25">
      <c r="A337">
        <v>12185514</v>
      </c>
      <c r="B337" t="s">
        <v>21</v>
      </c>
      <c r="X337" s="12"/>
      <c r="AM337">
        <v>0.18</v>
      </c>
      <c r="AY337">
        <v>2</v>
      </c>
      <c r="BD337" s="12"/>
    </row>
    <row r="338" spans="1:106" x14ac:dyDescent="0.25">
      <c r="A338">
        <v>12202633</v>
      </c>
      <c r="B338" t="s">
        <v>21</v>
      </c>
    </row>
    <row r="339" spans="1:106" x14ac:dyDescent="0.25">
      <c r="A339">
        <v>12325258</v>
      </c>
      <c r="B339" t="s">
        <v>21</v>
      </c>
    </row>
    <row r="340" spans="1:106" x14ac:dyDescent="0.25">
      <c r="A340">
        <v>5018677</v>
      </c>
      <c r="B340" t="s">
        <v>21</v>
      </c>
    </row>
    <row r="341" spans="1:106" x14ac:dyDescent="0.25">
      <c r="A341">
        <v>11243521</v>
      </c>
      <c r="B341" t="s">
        <v>21</v>
      </c>
    </row>
    <row r="342" spans="1:106" x14ac:dyDescent="0.25">
      <c r="A342">
        <v>2008127</v>
      </c>
      <c r="B342" t="s">
        <v>21</v>
      </c>
    </row>
    <row r="343" spans="1:106" x14ac:dyDescent="0.25">
      <c r="A343">
        <v>6081681</v>
      </c>
      <c r="B343" t="s">
        <v>21</v>
      </c>
    </row>
    <row r="344" spans="1:106" x14ac:dyDescent="0.25">
      <c r="C344">
        <f>COUNTA(C267:C343)</f>
        <v>0</v>
      </c>
      <c r="D344">
        <f>COUNTA(D267:D343)</f>
        <v>0</v>
      </c>
      <c r="E344">
        <f t="shared" ref="E344:BP344" si="16">COUNTA(E267:E343)</f>
        <v>0</v>
      </c>
      <c r="F344">
        <f t="shared" si="16"/>
        <v>0</v>
      </c>
      <c r="G344">
        <f t="shared" si="16"/>
        <v>0</v>
      </c>
      <c r="H344">
        <f t="shared" si="16"/>
        <v>0</v>
      </c>
      <c r="I344">
        <f t="shared" si="16"/>
        <v>0</v>
      </c>
      <c r="J344">
        <f t="shared" si="16"/>
        <v>0</v>
      </c>
      <c r="K344">
        <f t="shared" si="16"/>
        <v>0</v>
      </c>
      <c r="L344">
        <f t="shared" si="16"/>
        <v>0</v>
      </c>
      <c r="M344">
        <f t="shared" si="16"/>
        <v>0</v>
      </c>
      <c r="N344">
        <f t="shared" si="16"/>
        <v>0</v>
      </c>
      <c r="O344">
        <f t="shared" si="16"/>
        <v>0</v>
      </c>
      <c r="P344">
        <f t="shared" si="16"/>
        <v>0</v>
      </c>
      <c r="Q344">
        <f t="shared" si="16"/>
        <v>0</v>
      </c>
      <c r="R344">
        <f t="shared" si="16"/>
        <v>0</v>
      </c>
      <c r="S344">
        <f t="shared" si="16"/>
        <v>0</v>
      </c>
      <c r="T344">
        <f t="shared" si="16"/>
        <v>0</v>
      </c>
      <c r="U344">
        <f t="shared" si="16"/>
        <v>0</v>
      </c>
      <c r="V344">
        <f t="shared" si="16"/>
        <v>0</v>
      </c>
      <c r="W344">
        <f t="shared" si="16"/>
        <v>0</v>
      </c>
      <c r="X344">
        <f t="shared" si="16"/>
        <v>0</v>
      </c>
      <c r="Y344">
        <f t="shared" si="16"/>
        <v>1</v>
      </c>
      <c r="Z344">
        <f t="shared" si="16"/>
        <v>0</v>
      </c>
      <c r="AA344">
        <f t="shared" si="16"/>
        <v>0</v>
      </c>
      <c r="AB344">
        <f t="shared" si="16"/>
        <v>0</v>
      </c>
      <c r="AC344">
        <f t="shared" si="16"/>
        <v>0</v>
      </c>
      <c r="AD344">
        <f t="shared" si="16"/>
        <v>0</v>
      </c>
      <c r="AE344">
        <f t="shared" si="16"/>
        <v>0</v>
      </c>
      <c r="AF344">
        <f t="shared" si="16"/>
        <v>0</v>
      </c>
      <c r="AG344">
        <f t="shared" si="16"/>
        <v>0</v>
      </c>
      <c r="AH344">
        <f t="shared" si="16"/>
        <v>0</v>
      </c>
      <c r="AI344">
        <f t="shared" si="16"/>
        <v>0</v>
      </c>
      <c r="AJ344">
        <f t="shared" si="16"/>
        <v>0</v>
      </c>
      <c r="AK344">
        <f t="shared" si="16"/>
        <v>0</v>
      </c>
      <c r="AL344">
        <f t="shared" si="16"/>
        <v>0</v>
      </c>
      <c r="AM344">
        <f t="shared" si="16"/>
        <v>1</v>
      </c>
      <c r="AN344">
        <f t="shared" si="16"/>
        <v>0</v>
      </c>
      <c r="AO344">
        <f t="shared" si="16"/>
        <v>0</v>
      </c>
      <c r="AP344">
        <f t="shared" si="16"/>
        <v>0</v>
      </c>
      <c r="AQ344">
        <f t="shared" si="16"/>
        <v>0</v>
      </c>
      <c r="AR344">
        <f t="shared" si="16"/>
        <v>0</v>
      </c>
      <c r="AS344">
        <f t="shared" si="16"/>
        <v>0</v>
      </c>
      <c r="AT344">
        <f t="shared" si="16"/>
        <v>0</v>
      </c>
      <c r="AU344">
        <f t="shared" si="16"/>
        <v>0</v>
      </c>
      <c r="AV344">
        <f t="shared" si="16"/>
        <v>0</v>
      </c>
      <c r="AW344">
        <f t="shared" si="16"/>
        <v>0</v>
      </c>
      <c r="AX344">
        <f t="shared" si="16"/>
        <v>0</v>
      </c>
      <c r="AY344">
        <f t="shared" si="16"/>
        <v>1</v>
      </c>
      <c r="AZ344">
        <f t="shared" si="16"/>
        <v>0</v>
      </c>
      <c r="BA344">
        <f t="shared" si="16"/>
        <v>0</v>
      </c>
      <c r="BB344">
        <f t="shared" si="16"/>
        <v>0</v>
      </c>
      <c r="BC344">
        <f t="shared" si="16"/>
        <v>0</v>
      </c>
      <c r="BD344">
        <f t="shared" si="16"/>
        <v>0</v>
      </c>
      <c r="BE344">
        <f t="shared" si="16"/>
        <v>0</v>
      </c>
      <c r="BF344">
        <f t="shared" si="16"/>
        <v>0</v>
      </c>
      <c r="BG344">
        <f t="shared" si="16"/>
        <v>0</v>
      </c>
      <c r="BH344">
        <f t="shared" si="16"/>
        <v>0</v>
      </c>
      <c r="BI344">
        <f t="shared" si="16"/>
        <v>0</v>
      </c>
      <c r="BJ344">
        <f t="shared" si="16"/>
        <v>0</v>
      </c>
      <c r="BK344">
        <f t="shared" si="16"/>
        <v>0</v>
      </c>
      <c r="BL344">
        <f t="shared" si="16"/>
        <v>0</v>
      </c>
      <c r="BM344">
        <f t="shared" si="16"/>
        <v>0</v>
      </c>
      <c r="BN344">
        <f t="shared" si="16"/>
        <v>0</v>
      </c>
      <c r="BO344">
        <f t="shared" si="16"/>
        <v>0</v>
      </c>
      <c r="BP344">
        <f t="shared" si="16"/>
        <v>0</v>
      </c>
      <c r="BQ344">
        <f t="shared" ref="BQ344:CZ344" si="17">COUNTA(BQ267:BQ343)</f>
        <v>0</v>
      </c>
      <c r="BR344">
        <f t="shared" si="17"/>
        <v>0</v>
      </c>
      <c r="BS344">
        <f t="shared" si="17"/>
        <v>0</v>
      </c>
      <c r="BT344">
        <f t="shared" si="17"/>
        <v>0</v>
      </c>
      <c r="BU344">
        <f t="shared" si="17"/>
        <v>0</v>
      </c>
      <c r="BV344">
        <f t="shared" si="17"/>
        <v>0</v>
      </c>
      <c r="BW344">
        <f t="shared" si="17"/>
        <v>0</v>
      </c>
      <c r="BX344">
        <f t="shared" si="17"/>
        <v>0</v>
      </c>
      <c r="BY344">
        <f t="shared" si="17"/>
        <v>0</v>
      </c>
      <c r="BZ344">
        <f t="shared" si="17"/>
        <v>0</v>
      </c>
      <c r="CA344">
        <f t="shared" si="17"/>
        <v>0</v>
      </c>
      <c r="CB344">
        <f t="shared" si="17"/>
        <v>0</v>
      </c>
      <c r="CC344">
        <f t="shared" si="17"/>
        <v>0</v>
      </c>
      <c r="CD344">
        <f t="shared" si="17"/>
        <v>0</v>
      </c>
      <c r="CE344">
        <f t="shared" si="17"/>
        <v>0</v>
      </c>
      <c r="CF344">
        <f t="shared" si="17"/>
        <v>0</v>
      </c>
      <c r="CG344">
        <f t="shared" si="17"/>
        <v>1</v>
      </c>
      <c r="CH344">
        <f t="shared" si="17"/>
        <v>0</v>
      </c>
      <c r="CI344">
        <f t="shared" si="17"/>
        <v>0</v>
      </c>
      <c r="CJ344">
        <f t="shared" si="17"/>
        <v>0</v>
      </c>
      <c r="CK344">
        <f t="shared" si="17"/>
        <v>0</v>
      </c>
      <c r="CL344">
        <f t="shared" si="17"/>
        <v>0</v>
      </c>
      <c r="CM344">
        <f t="shared" si="17"/>
        <v>3</v>
      </c>
      <c r="CN344">
        <f t="shared" si="17"/>
        <v>0</v>
      </c>
      <c r="CO344">
        <f t="shared" si="17"/>
        <v>0</v>
      </c>
      <c r="CP344">
        <f t="shared" si="17"/>
        <v>0</v>
      </c>
      <c r="CQ344">
        <f t="shared" si="17"/>
        <v>0</v>
      </c>
      <c r="CR344">
        <f t="shared" si="17"/>
        <v>0</v>
      </c>
      <c r="CS344">
        <f t="shared" si="17"/>
        <v>0</v>
      </c>
      <c r="CT344">
        <f t="shared" si="17"/>
        <v>0</v>
      </c>
      <c r="CU344">
        <f t="shared" si="17"/>
        <v>0</v>
      </c>
      <c r="CV344">
        <f t="shared" si="17"/>
        <v>0</v>
      </c>
      <c r="CW344">
        <f t="shared" si="17"/>
        <v>0</v>
      </c>
      <c r="CX344">
        <f t="shared" si="17"/>
        <v>0</v>
      </c>
      <c r="CY344">
        <f t="shared" si="17"/>
        <v>0</v>
      </c>
      <c r="CZ344">
        <f t="shared" si="17"/>
        <v>0</v>
      </c>
      <c r="DA344">
        <f>COUNTA(DA267:DA343)</f>
        <v>0</v>
      </c>
      <c r="DB344">
        <f t="shared" ref="DB344" si="18">COUNTA(DB267:DB343)</f>
        <v>0</v>
      </c>
    </row>
    <row r="345" spans="1:106" x14ac:dyDescent="0.25">
      <c r="A345" s="18">
        <v>8061313</v>
      </c>
      <c r="B345" t="s">
        <v>11</v>
      </c>
      <c r="BS345">
        <v>13000</v>
      </c>
      <c r="CZ345" t="s">
        <v>216</v>
      </c>
    </row>
    <row r="346" spans="1:106" x14ac:dyDescent="0.25">
      <c r="C346">
        <f>COUNTA(C345)</f>
        <v>0</v>
      </c>
      <c r="D346">
        <f t="shared" ref="D346:BO346" si="19">COUNTA(D345)</f>
        <v>0</v>
      </c>
      <c r="E346">
        <f t="shared" si="19"/>
        <v>0</v>
      </c>
      <c r="F346">
        <f t="shared" si="19"/>
        <v>0</v>
      </c>
      <c r="G346">
        <f t="shared" si="19"/>
        <v>0</v>
      </c>
      <c r="H346">
        <f t="shared" si="19"/>
        <v>0</v>
      </c>
      <c r="I346">
        <f t="shared" si="19"/>
        <v>0</v>
      </c>
      <c r="J346">
        <f t="shared" si="19"/>
        <v>0</v>
      </c>
      <c r="K346">
        <f t="shared" si="19"/>
        <v>0</v>
      </c>
      <c r="L346">
        <f t="shared" si="19"/>
        <v>0</v>
      </c>
      <c r="M346">
        <f t="shared" si="19"/>
        <v>0</v>
      </c>
      <c r="N346">
        <f t="shared" si="19"/>
        <v>0</v>
      </c>
      <c r="O346">
        <f t="shared" si="19"/>
        <v>0</v>
      </c>
      <c r="P346">
        <f t="shared" si="19"/>
        <v>0</v>
      </c>
      <c r="Q346">
        <f t="shared" si="19"/>
        <v>0</v>
      </c>
      <c r="R346">
        <f t="shared" si="19"/>
        <v>0</v>
      </c>
      <c r="S346">
        <f t="shared" si="19"/>
        <v>0</v>
      </c>
      <c r="T346">
        <f t="shared" si="19"/>
        <v>0</v>
      </c>
      <c r="U346">
        <f t="shared" si="19"/>
        <v>0</v>
      </c>
      <c r="V346">
        <f t="shared" si="19"/>
        <v>0</v>
      </c>
      <c r="W346">
        <f t="shared" si="19"/>
        <v>0</v>
      </c>
      <c r="X346">
        <f t="shared" si="19"/>
        <v>0</v>
      </c>
      <c r="Y346">
        <f t="shared" si="19"/>
        <v>0</v>
      </c>
      <c r="Z346">
        <f t="shared" si="19"/>
        <v>0</v>
      </c>
      <c r="AA346">
        <f t="shared" si="19"/>
        <v>0</v>
      </c>
      <c r="AB346">
        <f t="shared" si="19"/>
        <v>0</v>
      </c>
      <c r="AC346">
        <f t="shared" si="19"/>
        <v>0</v>
      </c>
      <c r="AD346">
        <f t="shared" si="19"/>
        <v>0</v>
      </c>
      <c r="AE346">
        <f t="shared" si="19"/>
        <v>0</v>
      </c>
      <c r="AF346">
        <f t="shared" si="19"/>
        <v>0</v>
      </c>
      <c r="AG346">
        <f t="shared" si="19"/>
        <v>0</v>
      </c>
      <c r="AH346">
        <f t="shared" si="19"/>
        <v>0</v>
      </c>
      <c r="AI346">
        <f t="shared" si="19"/>
        <v>0</v>
      </c>
      <c r="AJ346">
        <f t="shared" si="19"/>
        <v>0</v>
      </c>
      <c r="AK346">
        <f t="shared" si="19"/>
        <v>0</v>
      </c>
      <c r="AL346">
        <f t="shared" si="19"/>
        <v>0</v>
      </c>
      <c r="AM346">
        <f t="shared" si="19"/>
        <v>0</v>
      </c>
      <c r="AN346">
        <f t="shared" si="19"/>
        <v>0</v>
      </c>
      <c r="AO346">
        <f t="shared" si="19"/>
        <v>0</v>
      </c>
      <c r="AP346">
        <f t="shared" si="19"/>
        <v>0</v>
      </c>
      <c r="AQ346">
        <f t="shared" si="19"/>
        <v>0</v>
      </c>
      <c r="AR346">
        <f t="shared" si="19"/>
        <v>0</v>
      </c>
      <c r="AS346">
        <f t="shared" si="19"/>
        <v>0</v>
      </c>
      <c r="AT346">
        <f t="shared" si="19"/>
        <v>0</v>
      </c>
      <c r="AU346">
        <f t="shared" si="19"/>
        <v>0</v>
      </c>
      <c r="AV346">
        <f t="shared" si="19"/>
        <v>0</v>
      </c>
      <c r="AW346">
        <f t="shared" si="19"/>
        <v>0</v>
      </c>
      <c r="AX346">
        <f t="shared" si="19"/>
        <v>0</v>
      </c>
      <c r="AY346">
        <f t="shared" si="19"/>
        <v>0</v>
      </c>
      <c r="AZ346">
        <f t="shared" si="19"/>
        <v>0</v>
      </c>
      <c r="BA346">
        <f t="shared" si="19"/>
        <v>0</v>
      </c>
      <c r="BB346">
        <f t="shared" si="19"/>
        <v>0</v>
      </c>
      <c r="BC346">
        <f t="shared" si="19"/>
        <v>0</v>
      </c>
      <c r="BD346">
        <f t="shared" si="19"/>
        <v>0</v>
      </c>
      <c r="BE346">
        <f t="shared" si="19"/>
        <v>0</v>
      </c>
      <c r="BF346">
        <f t="shared" si="19"/>
        <v>0</v>
      </c>
      <c r="BG346">
        <f t="shared" si="19"/>
        <v>0</v>
      </c>
      <c r="BH346">
        <f t="shared" si="19"/>
        <v>0</v>
      </c>
      <c r="BI346">
        <f t="shared" si="19"/>
        <v>0</v>
      </c>
      <c r="BJ346">
        <f t="shared" si="19"/>
        <v>0</v>
      </c>
      <c r="BK346">
        <f t="shared" si="19"/>
        <v>0</v>
      </c>
      <c r="BL346">
        <f t="shared" si="19"/>
        <v>0</v>
      </c>
      <c r="BM346">
        <f t="shared" si="19"/>
        <v>0</v>
      </c>
      <c r="BN346">
        <f t="shared" si="19"/>
        <v>0</v>
      </c>
      <c r="BO346">
        <f t="shared" si="19"/>
        <v>0</v>
      </c>
      <c r="BP346">
        <f t="shared" ref="BP346:DB346" si="20">COUNTA(BP345)</f>
        <v>0</v>
      </c>
      <c r="BQ346">
        <f t="shared" si="20"/>
        <v>0</v>
      </c>
      <c r="BR346">
        <f t="shared" si="20"/>
        <v>0</v>
      </c>
      <c r="BS346">
        <f t="shared" si="20"/>
        <v>1</v>
      </c>
      <c r="BT346">
        <f t="shared" si="20"/>
        <v>0</v>
      </c>
      <c r="BU346">
        <f t="shared" si="20"/>
        <v>0</v>
      </c>
      <c r="BV346">
        <f t="shared" si="20"/>
        <v>0</v>
      </c>
      <c r="BW346">
        <f t="shared" si="20"/>
        <v>0</v>
      </c>
      <c r="BX346">
        <f t="shared" si="20"/>
        <v>0</v>
      </c>
      <c r="BY346">
        <f t="shared" si="20"/>
        <v>0</v>
      </c>
      <c r="BZ346">
        <f t="shared" si="20"/>
        <v>0</v>
      </c>
      <c r="CA346">
        <f t="shared" si="20"/>
        <v>0</v>
      </c>
      <c r="CB346">
        <f t="shared" si="20"/>
        <v>0</v>
      </c>
      <c r="CC346">
        <f t="shared" si="20"/>
        <v>0</v>
      </c>
      <c r="CD346">
        <f t="shared" si="20"/>
        <v>0</v>
      </c>
      <c r="CE346">
        <f t="shared" si="20"/>
        <v>0</v>
      </c>
      <c r="CF346">
        <f t="shared" si="20"/>
        <v>0</v>
      </c>
      <c r="CG346">
        <f t="shared" si="20"/>
        <v>0</v>
      </c>
      <c r="CH346">
        <f t="shared" si="20"/>
        <v>0</v>
      </c>
      <c r="CI346">
        <f t="shared" si="20"/>
        <v>0</v>
      </c>
      <c r="CJ346">
        <f t="shared" si="20"/>
        <v>0</v>
      </c>
      <c r="CK346">
        <f t="shared" si="20"/>
        <v>0</v>
      </c>
      <c r="CL346">
        <f t="shared" si="20"/>
        <v>0</v>
      </c>
      <c r="CM346">
        <f t="shared" si="20"/>
        <v>0</v>
      </c>
      <c r="CN346">
        <f t="shared" si="20"/>
        <v>0</v>
      </c>
      <c r="CO346">
        <f t="shared" si="20"/>
        <v>0</v>
      </c>
      <c r="CP346">
        <f t="shared" si="20"/>
        <v>0</v>
      </c>
      <c r="CQ346">
        <f t="shared" si="20"/>
        <v>0</v>
      </c>
      <c r="CR346">
        <f t="shared" si="20"/>
        <v>0</v>
      </c>
      <c r="CS346">
        <f t="shared" si="20"/>
        <v>0</v>
      </c>
      <c r="CT346">
        <f t="shared" si="20"/>
        <v>0</v>
      </c>
      <c r="CU346">
        <f t="shared" si="20"/>
        <v>0</v>
      </c>
      <c r="CV346">
        <f t="shared" si="20"/>
        <v>0</v>
      </c>
      <c r="CW346">
        <f t="shared" si="20"/>
        <v>0</v>
      </c>
      <c r="CX346">
        <f t="shared" si="20"/>
        <v>0</v>
      </c>
      <c r="CY346">
        <f t="shared" si="20"/>
        <v>0</v>
      </c>
      <c r="CZ346">
        <f t="shared" si="20"/>
        <v>1</v>
      </c>
      <c r="DA346">
        <f t="shared" si="20"/>
        <v>0</v>
      </c>
      <c r="DB346">
        <f t="shared" si="20"/>
        <v>0</v>
      </c>
    </row>
    <row r="347" spans="1:106" x14ac:dyDescent="0.25">
      <c r="A347" s="18">
        <v>6064311</v>
      </c>
      <c r="B347" t="s">
        <v>21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O347">
        <v>147100</v>
      </c>
      <c r="CG347" s="4"/>
      <c r="CH347" s="4"/>
      <c r="CI347" s="4"/>
      <c r="CJ347" s="4"/>
      <c r="CK347" s="4"/>
      <c r="CL347" s="4"/>
    </row>
    <row r="348" spans="1:106" x14ac:dyDescent="0.25">
      <c r="C348">
        <f>COUNTA(C347)</f>
        <v>0</v>
      </c>
      <c r="D348">
        <f t="shared" ref="D348:BO348" si="21">COUNTA(D347)</f>
        <v>0</v>
      </c>
      <c r="E348">
        <f t="shared" si="21"/>
        <v>0</v>
      </c>
      <c r="F348">
        <f t="shared" si="21"/>
        <v>0</v>
      </c>
      <c r="G348">
        <f t="shared" si="21"/>
        <v>0</v>
      </c>
      <c r="H348">
        <f t="shared" si="21"/>
        <v>0</v>
      </c>
      <c r="I348">
        <f t="shared" si="21"/>
        <v>0</v>
      </c>
      <c r="J348">
        <f t="shared" si="21"/>
        <v>0</v>
      </c>
      <c r="K348">
        <f t="shared" si="21"/>
        <v>0</v>
      </c>
      <c r="L348">
        <f t="shared" si="21"/>
        <v>0</v>
      </c>
      <c r="M348">
        <f t="shared" si="21"/>
        <v>0</v>
      </c>
      <c r="N348">
        <f t="shared" si="21"/>
        <v>0</v>
      </c>
      <c r="O348">
        <f t="shared" si="21"/>
        <v>1</v>
      </c>
      <c r="P348">
        <f t="shared" si="21"/>
        <v>0</v>
      </c>
      <c r="Q348">
        <f t="shared" si="21"/>
        <v>0</v>
      </c>
      <c r="R348">
        <f t="shared" si="21"/>
        <v>0</v>
      </c>
      <c r="S348">
        <f t="shared" si="21"/>
        <v>0</v>
      </c>
      <c r="T348">
        <f t="shared" si="21"/>
        <v>0</v>
      </c>
      <c r="U348">
        <f t="shared" si="21"/>
        <v>0</v>
      </c>
      <c r="V348">
        <f t="shared" si="21"/>
        <v>0</v>
      </c>
      <c r="W348">
        <f t="shared" si="21"/>
        <v>0</v>
      </c>
      <c r="X348">
        <f t="shared" si="21"/>
        <v>0</v>
      </c>
      <c r="Y348">
        <f t="shared" si="21"/>
        <v>0</v>
      </c>
      <c r="Z348">
        <f t="shared" si="21"/>
        <v>0</v>
      </c>
      <c r="AA348">
        <f t="shared" si="21"/>
        <v>0</v>
      </c>
      <c r="AB348">
        <f t="shared" si="21"/>
        <v>0</v>
      </c>
      <c r="AC348">
        <f t="shared" si="21"/>
        <v>0</v>
      </c>
      <c r="AD348">
        <f t="shared" si="21"/>
        <v>0</v>
      </c>
      <c r="AE348">
        <f t="shared" si="21"/>
        <v>0</v>
      </c>
      <c r="AF348">
        <f t="shared" si="21"/>
        <v>0</v>
      </c>
      <c r="AG348">
        <f t="shared" si="21"/>
        <v>0</v>
      </c>
      <c r="AH348">
        <f t="shared" si="21"/>
        <v>0</v>
      </c>
      <c r="AI348">
        <f t="shared" si="21"/>
        <v>0</v>
      </c>
      <c r="AJ348">
        <f t="shared" si="21"/>
        <v>0</v>
      </c>
      <c r="AK348">
        <f t="shared" si="21"/>
        <v>0</v>
      </c>
      <c r="AL348">
        <f t="shared" si="21"/>
        <v>0</v>
      </c>
      <c r="AM348">
        <f t="shared" si="21"/>
        <v>0</v>
      </c>
      <c r="AN348">
        <f t="shared" si="21"/>
        <v>0</v>
      </c>
      <c r="AO348">
        <f t="shared" si="21"/>
        <v>0</v>
      </c>
      <c r="AP348">
        <f t="shared" si="21"/>
        <v>0</v>
      </c>
      <c r="AQ348">
        <f t="shared" si="21"/>
        <v>0</v>
      </c>
      <c r="AR348">
        <f t="shared" si="21"/>
        <v>0</v>
      </c>
      <c r="AS348">
        <f t="shared" si="21"/>
        <v>0</v>
      </c>
      <c r="AT348">
        <f t="shared" si="21"/>
        <v>0</v>
      </c>
      <c r="AU348">
        <f t="shared" si="21"/>
        <v>0</v>
      </c>
      <c r="AV348">
        <f t="shared" si="21"/>
        <v>0</v>
      </c>
      <c r="AW348">
        <f t="shared" si="21"/>
        <v>0</v>
      </c>
      <c r="AX348">
        <f t="shared" si="21"/>
        <v>0</v>
      </c>
      <c r="AY348">
        <f t="shared" si="21"/>
        <v>0</v>
      </c>
      <c r="AZ348">
        <f t="shared" si="21"/>
        <v>0</v>
      </c>
      <c r="BA348">
        <f t="shared" si="21"/>
        <v>0</v>
      </c>
      <c r="BB348">
        <f t="shared" si="21"/>
        <v>0</v>
      </c>
      <c r="BC348">
        <f t="shared" si="21"/>
        <v>0</v>
      </c>
      <c r="BD348">
        <f t="shared" si="21"/>
        <v>0</v>
      </c>
      <c r="BE348">
        <f t="shared" si="21"/>
        <v>0</v>
      </c>
      <c r="BF348">
        <f t="shared" si="21"/>
        <v>0</v>
      </c>
      <c r="BG348">
        <f t="shared" si="21"/>
        <v>0</v>
      </c>
      <c r="BH348">
        <f t="shared" si="21"/>
        <v>0</v>
      </c>
      <c r="BI348">
        <f t="shared" si="21"/>
        <v>0</v>
      </c>
      <c r="BJ348">
        <f t="shared" si="21"/>
        <v>0</v>
      </c>
      <c r="BK348">
        <f t="shared" si="21"/>
        <v>0</v>
      </c>
      <c r="BL348">
        <f t="shared" si="21"/>
        <v>0</v>
      </c>
      <c r="BM348">
        <f t="shared" si="21"/>
        <v>0</v>
      </c>
      <c r="BN348">
        <f t="shared" si="21"/>
        <v>0</v>
      </c>
      <c r="BO348">
        <f t="shared" si="21"/>
        <v>0</v>
      </c>
      <c r="BP348">
        <f t="shared" ref="BP348:DB348" si="22">COUNTA(BP347)</f>
        <v>0</v>
      </c>
      <c r="BQ348">
        <f t="shared" si="22"/>
        <v>0</v>
      </c>
      <c r="BR348">
        <f t="shared" si="22"/>
        <v>0</v>
      </c>
      <c r="BS348">
        <f t="shared" si="22"/>
        <v>0</v>
      </c>
      <c r="BT348">
        <f t="shared" si="22"/>
        <v>0</v>
      </c>
      <c r="BU348">
        <f t="shared" si="22"/>
        <v>0</v>
      </c>
      <c r="BV348">
        <f t="shared" si="22"/>
        <v>0</v>
      </c>
      <c r="BW348">
        <f t="shared" si="22"/>
        <v>0</v>
      </c>
      <c r="BX348">
        <f t="shared" si="22"/>
        <v>0</v>
      </c>
      <c r="BY348">
        <f t="shared" si="22"/>
        <v>0</v>
      </c>
      <c r="BZ348">
        <f t="shared" si="22"/>
        <v>0</v>
      </c>
      <c r="CA348">
        <f t="shared" si="22"/>
        <v>0</v>
      </c>
      <c r="CB348">
        <f t="shared" si="22"/>
        <v>0</v>
      </c>
      <c r="CC348">
        <f t="shared" si="22"/>
        <v>0</v>
      </c>
      <c r="CD348">
        <f t="shared" si="22"/>
        <v>0</v>
      </c>
      <c r="CE348">
        <f t="shared" si="22"/>
        <v>0</v>
      </c>
      <c r="CF348">
        <f t="shared" si="22"/>
        <v>0</v>
      </c>
      <c r="CG348">
        <f t="shared" si="22"/>
        <v>0</v>
      </c>
      <c r="CH348">
        <f t="shared" si="22"/>
        <v>0</v>
      </c>
      <c r="CI348">
        <f t="shared" si="22"/>
        <v>0</v>
      </c>
      <c r="CJ348">
        <f t="shared" si="22"/>
        <v>0</v>
      </c>
      <c r="CK348">
        <f t="shared" si="22"/>
        <v>0</v>
      </c>
      <c r="CL348">
        <f t="shared" si="22"/>
        <v>0</v>
      </c>
      <c r="CM348">
        <f t="shared" si="22"/>
        <v>0</v>
      </c>
      <c r="CN348">
        <f t="shared" si="22"/>
        <v>0</v>
      </c>
      <c r="CO348">
        <f t="shared" si="22"/>
        <v>0</v>
      </c>
      <c r="CP348">
        <f t="shared" si="22"/>
        <v>0</v>
      </c>
      <c r="CQ348">
        <f t="shared" si="22"/>
        <v>0</v>
      </c>
      <c r="CR348">
        <f t="shared" si="22"/>
        <v>0</v>
      </c>
      <c r="CS348">
        <f t="shared" si="22"/>
        <v>0</v>
      </c>
      <c r="CT348">
        <f t="shared" si="22"/>
        <v>0</v>
      </c>
      <c r="CU348">
        <f t="shared" si="22"/>
        <v>0</v>
      </c>
      <c r="CV348">
        <f t="shared" si="22"/>
        <v>0</v>
      </c>
      <c r="CW348">
        <f t="shared" si="22"/>
        <v>0</v>
      </c>
      <c r="CX348">
        <f t="shared" si="22"/>
        <v>0</v>
      </c>
      <c r="CY348">
        <f t="shared" si="22"/>
        <v>0</v>
      </c>
      <c r="CZ348">
        <f t="shared" si="22"/>
        <v>0</v>
      </c>
      <c r="DA348">
        <f t="shared" si="22"/>
        <v>0</v>
      </c>
      <c r="DB348">
        <f t="shared" si="22"/>
        <v>0</v>
      </c>
    </row>
    <row r="349" spans="1:106" x14ac:dyDescent="0.25">
      <c r="C349" s="4"/>
      <c r="D349" s="4"/>
      <c r="E349" s="4"/>
      <c r="F349" s="4"/>
      <c r="G349" s="4"/>
      <c r="H349" s="4"/>
      <c r="I349" s="4"/>
      <c r="J349" s="4"/>
      <c r="K349" s="4"/>
      <c r="L349" s="4"/>
      <c r="CG349" s="4"/>
      <c r="CH349" s="4"/>
      <c r="CI349" s="4"/>
      <c r="CJ349" s="4"/>
      <c r="CK349" s="4"/>
      <c r="CL349" s="4"/>
    </row>
    <row r="350" spans="1:106" x14ac:dyDescent="0.25">
      <c r="C350" s="4"/>
      <c r="D350" s="4"/>
      <c r="E350" s="4"/>
      <c r="F350" s="4"/>
      <c r="G350" s="4"/>
      <c r="H350" s="4"/>
      <c r="I350" s="4"/>
      <c r="J350" s="4"/>
      <c r="K350" s="4"/>
      <c r="L350" s="4"/>
      <c r="CG350" s="4"/>
      <c r="CH350" s="4"/>
      <c r="CI350" s="4"/>
      <c r="CJ350" s="4"/>
      <c r="CK350" s="4"/>
      <c r="CL350" s="4"/>
    </row>
    <row r="351" spans="1:106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CG351" s="4"/>
      <c r="CH351" s="4"/>
      <c r="CI351" s="4"/>
      <c r="CJ351" s="4"/>
      <c r="CK351" s="4"/>
      <c r="CL351" s="4"/>
    </row>
    <row r="352" spans="1:106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CG352" s="4"/>
      <c r="CH352" s="4"/>
      <c r="CI352" s="4"/>
      <c r="CJ352" s="4"/>
      <c r="CK352" s="4"/>
      <c r="CL352" s="4"/>
    </row>
    <row r="353" spans="1:9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CG353" s="4"/>
      <c r="CH353" s="4"/>
      <c r="CI353" s="4"/>
      <c r="CJ353" s="4"/>
      <c r="CK353" s="4"/>
      <c r="CL353" s="4"/>
    </row>
    <row r="356" spans="1:90" x14ac:dyDescent="0.25">
      <c r="A356" s="6"/>
    </row>
    <row r="362" spans="1:90" x14ac:dyDescent="0.25">
      <c r="A362" s="12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</sheetData>
  <conditionalFormatting sqref="A17">
    <cfRule type="duplicateValues" dxfId="4" priority="1"/>
  </conditionalFormatting>
  <conditionalFormatting sqref="A2:B2">
    <cfRule type="duplicateValues" dxfId="3" priority="3"/>
  </conditionalFormatting>
  <conditionalFormatting sqref="B349:B352">
    <cfRule type="duplicateValues" dxfId="2" priority="2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6D5D-0F62-4BE4-9A90-C6156F61CF66}">
  <dimension ref="A1:EA31"/>
  <sheetViews>
    <sheetView workbookViewId="0">
      <selection sqref="A1:XFD10"/>
    </sheetView>
  </sheetViews>
  <sheetFormatPr baseColWidth="10" defaultRowHeight="15" x14ac:dyDescent="0.25"/>
  <sheetData>
    <row r="1" spans="1:131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13" t="s">
        <v>170</v>
      </c>
      <c r="K1" s="7" t="s">
        <v>32</v>
      </c>
      <c r="L1" s="7" t="s">
        <v>33</v>
      </c>
      <c r="M1" s="7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14" t="s">
        <v>171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8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159</v>
      </c>
      <c r="AN1" s="13" t="s">
        <v>172</v>
      </c>
      <c r="AO1" s="13" t="s">
        <v>173</v>
      </c>
      <c r="AP1" s="7" t="s">
        <v>60</v>
      </c>
      <c r="AQ1" s="7" t="s">
        <v>61</v>
      </c>
      <c r="AR1" s="7" t="s">
        <v>62</v>
      </c>
      <c r="AS1" s="7" t="s">
        <v>63</v>
      </c>
      <c r="AT1" s="7" t="s">
        <v>64</v>
      </c>
      <c r="AU1" s="7" t="s">
        <v>65</v>
      </c>
      <c r="AV1" s="7" t="s">
        <v>66</v>
      </c>
      <c r="AW1" s="7" t="s">
        <v>67</v>
      </c>
      <c r="AX1" s="7" t="s">
        <v>68</v>
      </c>
      <c r="AY1" s="7" t="s">
        <v>69</v>
      </c>
      <c r="AZ1" s="7" t="s">
        <v>70</v>
      </c>
      <c r="BA1" s="7" t="s">
        <v>71</v>
      </c>
      <c r="BB1" s="7" t="s">
        <v>72</v>
      </c>
      <c r="BC1" s="13" t="s">
        <v>174</v>
      </c>
      <c r="BD1" s="13" t="s">
        <v>175</v>
      </c>
      <c r="BE1" s="7" t="s">
        <v>73</v>
      </c>
      <c r="BF1" s="7" t="s">
        <v>74</v>
      </c>
      <c r="BG1" s="7" t="s">
        <v>75</v>
      </c>
      <c r="BH1" s="7" t="s">
        <v>76</v>
      </c>
      <c r="BI1" s="7" t="s">
        <v>77</v>
      </c>
      <c r="BJ1" s="13" t="s">
        <v>176</v>
      </c>
      <c r="BK1" s="7" t="s">
        <v>78</v>
      </c>
      <c r="BL1" s="7" t="s">
        <v>79</v>
      </c>
      <c r="BM1" s="7" t="s">
        <v>80</v>
      </c>
      <c r="BN1" s="7" t="s">
        <v>81</v>
      </c>
      <c r="BO1" s="7" t="s">
        <v>82</v>
      </c>
      <c r="BP1" s="7" t="s">
        <v>83</v>
      </c>
      <c r="BQ1" s="7" t="s">
        <v>84</v>
      </c>
      <c r="BR1" s="7" t="s">
        <v>85</v>
      </c>
      <c r="BS1" s="7" t="s">
        <v>86</v>
      </c>
      <c r="BT1" s="7" t="s">
        <v>87</v>
      </c>
      <c r="BU1" s="7" t="s">
        <v>88</v>
      </c>
      <c r="BV1" s="7" t="s">
        <v>89</v>
      </c>
      <c r="BW1" s="7" t="s">
        <v>90</v>
      </c>
      <c r="BX1" s="7" t="s">
        <v>91</v>
      </c>
      <c r="BY1" s="7" t="s">
        <v>92</v>
      </c>
      <c r="BZ1" s="7" t="s">
        <v>93</v>
      </c>
      <c r="CA1" s="7" t="s">
        <v>94</v>
      </c>
      <c r="CB1" s="7" t="s">
        <v>95</v>
      </c>
      <c r="CC1" s="7" t="s">
        <v>96</v>
      </c>
      <c r="CD1" s="7" t="s">
        <v>97</v>
      </c>
      <c r="CE1" s="13" t="s">
        <v>177</v>
      </c>
      <c r="CF1" s="13" t="s">
        <v>178</v>
      </c>
      <c r="CG1" s="15" t="s">
        <v>179</v>
      </c>
      <c r="CH1" s="7" t="s">
        <v>98</v>
      </c>
      <c r="CI1" s="13" t="s">
        <v>180</v>
      </c>
      <c r="CJ1" s="13" t="s">
        <v>181</v>
      </c>
      <c r="CK1" s="7" t="s">
        <v>99</v>
      </c>
      <c r="CL1" s="7" t="s">
        <v>100</v>
      </c>
      <c r="CM1" s="7" t="s">
        <v>101</v>
      </c>
      <c r="CN1" s="7" t="s">
        <v>102</v>
      </c>
      <c r="CO1" s="7" t="s">
        <v>103</v>
      </c>
      <c r="CP1" s="7" t="s">
        <v>104</v>
      </c>
      <c r="CQ1" s="7" t="s">
        <v>105</v>
      </c>
      <c r="CR1" s="7" t="s">
        <v>106</v>
      </c>
      <c r="CS1" s="13" t="s">
        <v>182</v>
      </c>
      <c r="CT1" s="7" t="s">
        <v>107</v>
      </c>
      <c r="CU1" s="7" t="s">
        <v>108</v>
      </c>
      <c r="CV1" s="7" t="s">
        <v>109</v>
      </c>
      <c r="CW1" s="7" t="s">
        <v>110</v>
      </c>
      <c r="CX1" s="7" t="s">
        <v>111</v>
      </c>
      <c r="CY1" s="7" t="s">
        <v>112</v>
      </c>
      <c r="CZ1" s="7" t="s">
        <v>113</v>
      </c>
      <c r="DA1" s="7" t="s">
        <v>114</v>
      </c>
      <c r="DB1" s="7" t="s">
        <v>115</v>
      </c>
      <c r="DC1" s="13" t="s">
        <v>183</v>
      </c>
      <c r="DD1" s="7" t="s">
        <v>116</v>
      </c>
      <c r="DE1" s="7" t="s">
        <v>117</v>
      </c>
      <c r="DF1" s="7" t="s">
        <v>118</v>
      </c>
      <c r="DG1" s="7" t="s">
        <v>119</v>
      </c>
      <c r="DH1" s="7" t="s">
        <v>120</v>
      </c>
      <c r="DI1" s="7" t="s">
        <v>121</v>
      </c>
      <c r="DJ1" s="7" t="s">
        <v>122</v>
      </c>
      <c r="DK1" s="7" t="s">
        <v>123</v>
      </c>
      <c r="DL1" s="7" t="s">
        <v>124</v>
      </c>
      <c r="DM1" s="7" t="s">
        <v>125</v>
      </c>
      <c r="DN1" s="7" t="s">
        <v>126</v>
      </c>
      <c r="DO1" s="7" t="s">
        <v>127</v>
      </c>
      <c r="DP1" s="7" t="s">
        <v>128</v>
      </c>
      <c r="DQ1" s="16" t="s">
        <v>184</v>
      </c>
      <c r="DR1" s="16" t="s">
        <v>185</v>
      </c>
      <c r="DS1" s="16" t="s">
        <v>186</v>
      </c>
      <c r="DT1" s="16" t="s">
        <v>187</v>
      </c>
      <c r="DU1" s="16" t="s">
        <v>188</v>
      </c>
      <c r="DV1" s="16" t="s">
        <v>189</v>
      </c>
      <c r="DW1" s="16" t="s">
        <v>190</v>
      </c>
      <c r="DX1" s="16" t="s">
        <v>191</v>
      </c>
      <c r="DY1" s="16" t="s">
        <v>192</v>
      </c>
      <c r="DZ1" s="16" t="s">
        <v>193</v>
      </c>
      <c r="EA1" s="16" t="s">
        <v>194</v>
      </c>
    </row>
    <row r="2" spans="1:131" x14ac:dyDescent="0.25">
      <c r="A2" t="s">
        <v>164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</row>
    <row r="3" spans="1:131" x14ac:dyDescent="0.25">
      <c r="A3" t="s">
        <v>164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</row>
    <row r="4" spans="1:131" x14ac:dyDescent="0.25">
      <c r="A4" t="s">
        <v>164</v>
      </c>
      <c r="B4" t="s">
        <v>6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2</v>
      </c>
      <c r="BX4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</row>
    <row r="5" spans="1:131" x14ac:dyDescent="0.25">
      <c r="A5" t="s">
        <v>164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</row>
    <row r="6" spans="1:131" x14ac:dyDescent="0.25">
      <c r="A6" t="s">
        <v>164</v>
      </c>
      <c r="B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</row>
    <row r="7" spans="1:131" x14ac:dyDescent="0.25">
      <c r="A7" t="s">
        <v>164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</row>
    <row r="8" spans="1:131" x14ac:dyDescent="0.25">
      <c r="A8" t="s">
        <v>164</v>
      </c>
      <c r="B8" t="s">
        <v>11</v>
      </c>
      <c r="C8">
        <v>1</v>
      </c>
      <c r="D8">
        <v>3</v>
      </c>
      <c r="E8">
        <v>3</v>
      </c>
      <c r="F8">
        <v>2</v>
      </c>
      <c r="G8">
        <v>1</v>
      </c>
      <c r="H8">
        <v>2</v>
      </c>
      <c r="I8">
        <v>1</v>
      </c>
      <c r="J8">
        <v>3</v>
      </c>
      <c r="K8">
        <v>4</v>
      </c>
      <c r="L8">
        <v>1</v>
      </c>
      <c r="M8">
        <v>2</v>
      </c>
      <c r="N8">
        <v>4</v>
      </c>
      <c r="O8">
        <v>3</v>
      </c>
      <c r="P8">
        <v>9</v>
      </c>
      <c r="Q8">
        <v>2</v>
      </c>
      <c r="R8">
        <v>2</v>
      </c>
      <c r="S8">
        <v>1</v>
      </c>
      <c r="T8">
        <v>2</v>
      </c>
      <c r="U8">
        <v>1</v>
      </c>
      <c r="V8">
        <v>0</v>
      </c>
      <c r="W8">
        <v>2</v>
      </c>
      <c r="X8">
        <v>0</v>
      </c>
      <c r="Y8">
        <v>3</v>
      </c>
      <c r="Z8">
        <v>17</v>
      </c>
      <c r="AA8">
        <v>0</v>
      </c>
      <c r="AB8">
        <v>6</v>
      </c>
      <c r="AC8">
        <v>7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2</v>
      </c>
      <c r="AK8">
        <v>0</v>
      </c>
      <c r="AL8">
        <v>2</v>
      </c>
      <c r="AM8">
        <v>2</v>
      </c>
      <c r="AN8">
        <v>1</v>
      </c>
      <c r="AO8">
        <v>1</v>
      </c>
      <c r="AP8">
        <v>0</v>
      </c>
      <c r="AQ8">
        <v>3</v>
      </c>
      <c r="AR8">
        <v>2</v>
      </c>
      <c r="AS8">
        <v>2</v>
      </c>
      <c r="AT8">
        <v>1</v>
      </c>
      <c r="AU8">
        <v>1</v>
      </c>
      <c r="AV8">
        <v>1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3</v>
      </c>
      <c r="BF8">
        <v>0</v>
      </c>
      <c r="BG8">
        <v>4</v>
      </c>
      <c r="BH8">
        <v>1</v>
      </c>
      <c r="BI8">
        <v>1</v>
      </c>
      <c r="BJ8">
        <v>0</v>
      </c>
      <c r="BK8">
        <v>9</v>
      </c>
      <c r="BL8">
        <v>1</v>
      </c>
      <c r="BM8">
        <v>2</v>
      </c>
      <c r="BN8">
        <v>0</v>
      </c>
      <c r="BO8">
        <v>2</v>
      </c>
      <c r="BP8">
        <v>0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5</v>
      </c>
      <c r="BX8">
        <v>0</v>
      </c>
      <c r="BY8">
        <v>2</v>
      </c>
      <c r="BZ8">
        <v>2</v>
      </c>
      <c r="CA8">
        <v>0</v>
      </c>
      <c r="CB8">
        <v>0</v>
      </c>
      <c r="CC8">
        <v>0</v>
      </c>
      <c r="CD8">
        <v>2</v>
      </c>
      <c r="CE8">
        <v>2</v>
      </c>
      <c r="CF8">
        <v>2</v>
      </c>
      <c r="CG8">
        <v>1</v>
      </c>
      <c r="CH8">
        <v>0</v>
      </c>
      <c r="CI8">
        <v>0</v>
      </c>
      <c r="CJ8">
        <v>0</v>
      </c>
      <c r="CK8">
        <v>0</v>
      </c>
      <c r="CL8">
        <v>1</v>
      </c>
      <c r="CM8">
        <v>1</v>
      </c>
      <c r="CN8">
        <v>21</v>
      </c>
      <c r="CO8">
        <v>20</v>
      </c>
      <c r="CP8">
        <v>24</v>
      </c>
      <c r="CQ8">
        <v>0</v>
      </c>
      <c r="CR8">
        <v>3</v>
      </c>
      <c r="CS8">
        <v>0</v>
      </c>
      <c r="CT8">
        <v>4</v>
      </c>
      <c r="CU8">
        <v>6</v>
      </c>
      <c r="CV8">
        <v>0</v>
      </c>
      <c r="CW8">
        <v>0</v>
      </c>
      <c r="CX8">
        <v>1</v>
      </c>
      <c r="CY8">
        <v>1</v>
      </c>
      <c r="CZ8">
        <v>8</v>
      </c>
      <c r="DA8">
        <v>8</v>
      </c>
      <c r="DB8">
        <v>13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2</v>
      </c>
      <c r="DZ8">
        <v>1</v>
      </c>
      <c r="EA8">
        <v>1</v>
      </c>
    </row>
    <row r="9" spans="1:131" x14ac:dyDescent="0.25">
      <c r="A9" t="s">
        <v>164</v>
      </c>
      <c r="B9" s="11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5</v>
      </c>
      <c r="L9">
        <v>1</v>
      </c>
      <c r="M9">
        <v>4</v>
      </c>
      <c r="N9">
        <v>8</v>
      </c>
      <c r="O9">
        <v>2</v>
      </c>
      <c r="P9">
        <v>5</v>
      </c>
      <c r="Q9">
        <v>3</v>
      </c>
      <c r="R9">
        <v>2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8</v>
      </c>
      <c r="AA9">
        <v>0</v>
      </c>
      <c r="AB9">
        <v>2</v>
      </c>
      <c r="AC9">
        <v>2</v>
      </c>
      <c r="AD9">
        <v>2</v>
      </c>
      <c r="AE9">
        <v>1</v>
      </c>
      <c r="AF9">
        <v>0</v>
      </c>
      <c r="AG9">
        <v>0</v>
      </c>
      <c r="AH9">
        <v>2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3</v>
      </c>
      <c r="AT9">
        <v>2</v>
      </c>
      <c r="AU9">
        <v>0</v>
      </c>
      <c r="AV9">
        <v>0</v>
      </c>
      <c r="AW9">
        <v>0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1</v>
      </c>
      <c r="BF9">
        <v>2</v>
      </c>
      <c r="BG9">
        <v>4</v>
      </c>
      <c r="BH9">
        <v>1</v>
      </c>
      <c r="BI9">
        <v>1</v>
      </c>
      <c r="BJ9">
        <v>0</v>
      </c>
      <c r="BK9">
        <v>7</v>
      </c>
      <c r="BL9">
        <v>1</v>
      </c>
      <c r="BM9">
        <v>0</v>
      </c>
      <c r="BN9">
        <v>1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2</v>
      </c>
      <c r="BY9">
        <v>2</v>
      </c>
      <c r="BZ9">
        <v>2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21</v>
      </c>
      <c r="CO9">
        <v>16</v>
      </c>
      <c r="CP9">
        <v>21</v>
      </c>
      <c r="CQ9">
        <v>0</v>
      </c>
      <c r="CR9">
        <v>3</v>
      </c>
      <c r="CS9">
        <v>0</v>
      </c>
      <c r="CT9">
        <v>1</v>
      </c>
      <c r="CU9">
        <v>1</v>
      </c>
      <c r="CV9">
        <v>0</v>
      </c>
      <c r="CW9">
        <v>0</v>
      </c>
      <c r="CX9">
        <v>3</v>
      </c>
      <c r="CY9">
        <v>1</v>
      </c>
      <c r="CZ9">
        <v>7</v>
      </c>
      <c r="DA9">
        <v>10</v>
      </c>
      <c r="DB9">
        <v>7</v>
      </c>
      <c r="DC9">
        <v>0</v>
      </c>
      <c r="DD9">
        <v>0</v>
      </c>
      <c r="DE9">
        <v>2</v>
      </c>
      <c r="DF9">
        <v>0</v>
      </c>
      <c r="DG9">
        <v>1</v>
      </c>
      <c r="DH9">
        <v>0</v>
      </c>
      <c r="DI9">
        <v>0</v>
      </c>
      <c r="DJ9">
        <v>1</v>
      </c>
      <c r="DK9">
        <v>0</v>
      </c>
      <c r="DL9">
        <v>1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</row>
    <row r="10" spans="1:131" x14ac:dyDescent="0.25">
      <c r="A10" t="s">
        <v>164</v>
      </c>
      <c r="B10" s="11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1</v>
      </c>
      <c r="K10">
        <v>4</v>
      </c>
      <c r="L10">
        <v>1</v>
      </c>
      <c r="M10">
        <v>4</v>
      </c>
      <c r="N10">
        <v>12</v>
      </c>
      <c r="O10">
        <v>6</v>
      </c>
      <c r="P10">
        <v>9</v>
      </c>
      <c r="Q10">
        <v>0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3</v>
      </c>
      <c r="Z10">
        <v>11</v>
      </c>
      <c r="AA10">
        <v>1</v>
      </c>
      <c r="AB10">
        <v>5</v>
      </c>
      <c r="AC10">
        <v>5</v>
      </c>
      <c r="AD10">
        <v>0</v>
      </c>
      <c r="AE10">
        <v>1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2</v>
      </c>
      <c r="BE10">
        <v>2</v>
      </c>
      <c r="BF10">
        <v>3</v>
      </c>
      <c r="BG10">
        <v>3</v>
      </c>
      <c r="BH10">
        <v>1</v>
      </c>
      <c r="BI10">
        <v>0</v>
      </c>
      <c r="BJ10">
        <v>1</v>
      </c>
      <c r="BK10">
        <v>6</v>
      </c>
      <c r="BL10">
        <v>2</v>
      </c>
      <c r="BM10">
        <v>2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3</v>
      </c>
      <c r="BX10">
        <v>2</v>
      </c>
      <c r="BY10">
        <v>3</v>
      </c>
      <c r="BZ10">
        <v>3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17</v>
      </c>
      <c r="CO10">
        <v>15</v>
      </c>
      <c r="CP10">
        <v>17</v>
      </c>
      <c r="CQ10">
        <v>1</v>
      </c>
      <c r="CR10">
        <v>4</v>
      </c>
      <c r="CS10">
        <v>1</v>
      </c>
      <c r="CT10">
        <v>1</v>
      </c>
      <c r="CU10">
        <v>2</v>
      </c>
      <c r="CV10">
        <v>1</v>
      </c>
      <c r="CW10">
        <v>1</v>
      </c>
      <c r="CX10">
        <v>1</v>
      </c>
      <c r="CY10">
        <v>0</v>
      </c>
      <c r="CZ10">
        <v>4</v>
      </c>
      <c r="DA10">
        <v>10</v>
      </c>
      <c r="DB10">
        <v>4</v>
      </c>
      <c r="DC10">
        <v>2</v>
      </c>
      <c r="DD10">
        <v>1</v>
      </c>
      <c r="DE10">
        <v>2</v>
      </c>
      <c r="DF10">
        <v>0</v>
      </c>
      <c r="DG10">
        <v>0</v>
      </c>
      <c r="DH10">
        <v>2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</row>
    <row r="12" spans="1:131" x14ac:dyDescent="0.25">
      <c r="B12" s="11"/>
    </row>
    <row r="20" spans="2:2" x14ac:dyDescent="0.25">
      <c r="B20" s="11"/>
    </row>
    <row r="21" spans="2:2" x14ac:dyDescent="0.25">
      <c r="B21" s="11"/>
    </row>
    <row r="22" spans="2:2" x14ac:dyDescent="0.25">
      <c r="B22" s="11"/>
    </row>
    <row r="30" spans="2:2" x14ac:dyDescent="0.25">
      <c r="B30" s="11"/>
    </row>
    <row r="31" spans="2:2" x14ac:dyDescent="0.25">
      <c r="B31" s="1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CC72-02C2-42AE-94C6-074EAC346574}">
  <dimension ref="A1:DC10"/>
  <sheetViews>
    <sheetView workbookViewId="0">
      <selection sqref="A1:XFD10"/>
    </sheetView>
  </sheetViews>
  <sheetFormatPr baseColWidth="10" defaultRowHeight="15" x14ac:dyDescent="0.25"/>
  <sheetData>
    <row r="1" spans="1:107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21" t="s">
        <v>200</v>
      </c>
      <c r="W1" s="8" t="s">
        <v>44</v>
      </c>
      <c r="X1" s="8" t="s">
        <v>45</v>
      </c>
      <c r="Y1" s="7" t="s">
        <v>46</v>
      </c>
      <c r="Z1" s="7" t="s">
        <v>47</v>
      </c>
      <c r="AA1" s="7" t="s">
        <v>48</v>
      </c>
      <c r="AB1" s="7" t="s">
        <v>49</v>
      </c>
      <c r="AC1" s="7" t="s">
        <v>50</v>
      </c>
      <c r="AD1" s="7" t="s">
        <v>51</v>
      </c>
      <c r="AE1" s="7" t="s">
        <v>52</v>
      </c>
      <c r="AF1" s="7" t="s">
        <v>53</v>
      </c>
      <c r="AG1" s="7" t="s">
        <v>54</v>
      </c>
      <c r="AH1" s="7" t="s">
        <v>55</v>
      </c>
      <c r="AI1" s="7" t="s">
        <v>56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  <c r="AS1" s="7" t="s">
        <v>66</v>
      </c>
      <c r="AT1" s="7" t="s">
        <v>67</v>
      </c>
      <c r="AU1" s="7" t="s">
        <v>68</v>
      </c>
      <c r="AV1" s="7" t="s">
        <v>69</v>
      </c>
      <c r="AW1" s="7" t="s">
        <v>70</v>
      </c>
      <c r="AX1" s="7" t="s">
        <v>71</v>
      </c>
      <c r="AY1" s="7" t="s">
        <v>72</v>
      </c>
      <c r="AZ1" s="7" t="s">
        <v>73</v>
      </c>
      <c r="BA1" s="7" t="s">
        <v>74</v>
      </c>
      <c r="BB1" s="7" t="s">
        <v>75</v>
      </c>
      <c r="BC1" s="7" t="s">
        <v>76</v>
      </c>
      <c r="BD1" s="7" t="s">
        <v>77</v>
      </c>
      <c r="BE1" s="7" t="s">
        <v>78</v>
      </c>
      <c r="BF1" s="7" t="s">
        <v>79</v>
      </c>
      <c r="BG1" s="7" t="s">
        <v>80</v>
      </c>
      <c r="BH1" s="7" t="s">
        <v>81</v>
      </c>
      <c r="BI1" s="7" t="s">
        <v>82</v>
      </c>
      <c r="BJ1" s="7" t="s">
        <v>83</v>
      </c>
      <c r="BK1" s="7" t="s">
        <v>84</v>
      </c>
      <c r="BL1" s="7" t="s">
        <v>85</v>
      </c>
      <c r="BM1" s="7" t="s">
        <v>86</v>
      </c>
      <c r="BN1" s="7" t="s">
        <v>87</v>
      </c>
      <c r="BO1" s="7" t="s">
        <v>88</v>
      </c>
      <c r="BP1" s="7" t="s">
        <v>89</v>
      </c>
      <c r="BQ1" s="7" t="s">
        <v>90</v>
      </c>
      <c r="BR1" s="7" t="s">
        <v>91</v>
      </c>
      <c r="BS1" s="7" t="s">
        <v>92</v>
      </c>
      <c r="BT1" s="7" t="s">
        <v>93</v>
      </c>
      <c r="BU1" s="7" t="s">
        <v>94</v>
      </c>
      <c r="BV1" s="7" t="s">
        <v>95</v>
      </c>
      <c r="BW1" s="7" t="s">
        <v>96</v>
      </c>
      <c r="BX1" s="7" t="s">
        <v>97</v>
      </c>
      <c r="BY1" s="7" t="s">
        <v>98</v>
      </c>
      <c r="BZ1" s="7" t="s">
        <v>99</v>
      </c>
      <c r="CA1" s="7" t="s">
        <v>100</v>
      </c>
      <c r="CB1" s="13" t="s">
        <v>101</v>
      </c>
      <c r="CC1" s="7" t="s">
        <v>102</v>
      </c>
      <c r="CD1" s="7" t="s">
        <v>103</v>
      </c>
      <c r="CE1" s="7" t="s">
        <v>104</v>
      </c>
      <c r="CF1" s="7" t="s">
        <v>105</v>
      </c>
      <c r="CG1" s="7" t="s">
        <v>106</v>
      </c>
      <c r="CH1" s="7" t="s">
        <v>107</v>
      </c>
      <c r="CI1" s="7" t="s">
        <v>108</v>
      </c>
      <c r="CJ1" s="7" t="s">
        <v>109</v>
      </c>
      <c r="CK1" s="7" t="s">
        <v>110</v>
      </c>
      <c r="CL1" s="7" t="s">
        <v>111</v>
      </c>
      <c r="CM1" s="7" t="s">
        <v>112</v>
      </c>
      <c r="CN1" s="7" t="s">
        <v>113</v>
      </c>
      <c r="CO1" s="7" t="s">
        <v>114</v>
      </c>
      <c r="CP1" s="7" t="s">
        <v>115</v>
      </c>
      <c r="CQ1" s="7" t="s">
        <v>116</v>
      </c>
      <c r="CR1" s="7" t="s">
        <v>117</v>
      </c>
      <c r="CS1" s="7" t="s">
        <v>118</v>
      </c>
      <c r="CT1" s="7" t="s">
        <v>119</v>
      </c>
      <c r="CU1" s="7" t="s">
        <v>120</v>
      </c>
      <c r="CV1" s="7" t="s">
        <v>121</v>
      </c>
      <c r="CW1" s="7" t="s">
        <v>122</v>
      </c>
      <c r="CX1" s="7" t="s">
        <v>123</v>
      </c>
      <c r="CY1" s="7" t="s">
        <v>124</v>
      </c>
      <c r="CZ1" s="7" t="s">
        <v>125</v>
      </c>
      <c r="DA1" s="7" t="s">
        <v>126</v>
      </c>
      <c r="DB1" s="7" t="s">
        <v>127</v>
      </c>
      <c r="DC1" s="7" t="s">
        <v>128</v>
      </c>
    </row>
    <row r="2" spans="1:107" x14ac:dyDescent="0.25">
      <c r="A2" t="s">
        <v>163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  <row r="3" spans="1:107" x14ac:dyDescent="0.25">
      <c r="A3" t="s">
        <v>163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</row>
    <row r="4" spans="1:107" x14ac:dyDescent="0.25">
      <c r="A4" t="s">
        <v>163</v>
      </c>
      <c r="B4" t="s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</row>
    <row r="5" spans="1:107" x14ac:dyDescent="0.25">
      <c r="A5" t="s">
        <v>163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</row>
    <row r="6" spans="1:107" x14ac:dyDescent="0.25">
      <c r="A6" t="s">
        <v>163</v>
      </c>
      <c r="B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</row>
    <row r="7" spans="1:107" x14ac:dyDescent="0.25">
      <c r="A7" t="s">
        <v>163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</row>
    <row r="8" spans="1:107" x14ac:dyDescent="0.25">
      <c r="A8" t="s">
        <v>163</v>
      </c>
      <c r="B8" t="s">
        <v>11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7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</row>
    <row r="9" spans="1:107" x14ac:dyDescent="0.25">
      <c r="A9" t="s">
        <v>163</v>
      </c>
      <c r="B9" s="11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</row>
    <row r="10" spans="1:107" x14ac:dyDescent="0.25">
      <c r="A10" t="s">
        <v>163</v>
      </c>
      <c r="B10" s="11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07B5-0D9A-4D1F-8BE9-C4FF9C844FD2}">
  <dimension ref="A1:DB10"/>
  <sheetViews>
    <sheetView workbookViewId="0">
      <selection activeCell="A8" sqref="A8:XFD8"/>
    </sheetView>
  </sheetViews>
  <sheetFormatPr baseColWidth="10" defaultRowHeight="15" x14ac:dyDescent="0.25"/>
  <sheetData>
    <row r="1" spans="1:106" ht="120" x14ac:dyDescent="0.25">
      <c r="A1" s="1" t="s">
        <v>0</v>
      </c>
      <c r="B1" s="1" t="s">
        <v>1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8" t="s">
        <v>35</v>
      </c>
      <c r="N1" s="14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14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7" t="s">
        <v>46</v>
      </c>
      <c r="Y1" s="13" t="s">
        <v>47</v>
      </c>
      <c r="Z1" s="13" t="s">
        <v>48</v>
      </c>
      <c r="AA1" s="13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13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13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13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  <c r="BQ1" s="7" t="s">
        <v>91</v>
      </c>
      <c r="BR1" s="7" t="s">
        <v>92</v>
      </c>
      <c r="BS1" s="7" t="s">
        <v>93</v>
      </c>
      <c r="BT1" s="7" t="s">
        <v>94</v>
      </c>
      <c r="BU1" s="7" t="s">
        <v>95</v>
      </c>
      <c r="BV1" s="7" t="s">
        <v>96</v>
      </c>
      <c r="BW1" s="7" t="s">
        <v>97</v>
      </c>
      <c r="BX1" s="7" t="s">
        <v>98</v>
      </c>
      <c r="BY1" s="7" t="s">
        <v>99</v>
      </c>
      <c r="BZ1" s="13" t="s">
        <v>100</v>
      </c>
      <c r="CA1" s="7" t="s">
        <v>101</v>
      </c>
      <c r="CB1" s="7" t="s">
        <v>102</v>
      </c>
      <c r="CC1" s="13" t="s">
        <v>103</v>
      </c>
      <c r="CD1" s="7" t="s">
        <v>104</v>
      </c>
      <c r="CE1" s="7" t="s">
        <v>105</v>
      </c>
      <c r="CF1" s="7" t="s">
        <v>106</v>
      </c>
      <c r="CG1" s="13" t="s">
        <v>107</v>
      </c>
      <c r="CH1" s="7" t="s">
        <v>108</v>
      </c>
      <c r="CI1" s="7" t="s">
        <v>109</v>
      </c>
      <c r="CJ1" s="7" t="s">
        <v>110</v>
      </c>
      <c r="CK1" s="7" t="s">
        <v>111</v>
      </c>
      <c r="CL1" s="7" t="s">
        <v>112</v>
      </c>
      <c r="CM1" s="13" t="s">
        <v>113</v>
      </c>
      <c r="CN1" s="7" t="s">
        <v>114</v>
      </c>
      <c r="CO1" s="7" t="s">
        <v>115</v>
      </c>
      <c r="CP1" s="7" t="s">
        <v>116</v>
      </c>
      <c r="CQ1" s="7" t="s">
        <v>117</v>
      </c>
      <c r="CR1" s="7" t="s">
        <v>118</v>
      </c>
      <c r="CS1" s="7" t="s">
        <v>119</v>
      </c>
      <c r="CT1" s="7" t="s">
        <v>120</v>
      </c>
      <c r="CU1" s="7" t="s">
        <v>121</v>
      </c>
      <c r="CV1" s="7" t="s">
        <v>122</v>
      </c>
      <c r="CW1" s="7" t="s">
        <v>123</v>
      </c>
      <c r="CX1" s="7" t="s">
        <v>124</v>
      </c>
      <c r="CY1" s="7" t="s">
        <v>125</v>
      </c>
      <c r="CZ1" s="7" t="s">
        <v>126</v>
      </c>
      <c r="DA1" s="7" t="s">
        <v>127</v>
      </c>
      <c r="DB1" s="7" t="s">
        <v>128</v>
      </c>
    </row>
    <row r="2" spans="1:106" x14ac:dyDescent="0.25">
      <c r="A2" t="s">
        <v>165</v>
      </c>
      <c r="B2" t="s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25">
      <c r="A3" t="s">
        <v>165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25">
      <c r="A4" t="s">
        <v>165</v>
      </c>
      <c r="B4" t="s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</row>
    <row r="5" spans="1:106" x14ac:dyDescent="0.25">
      <c r="A5" t="s">
        <v>165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25">
      <c r="A6" t="s">
        <v>165</v>
      </c>
      <c r="B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25">
      <c r="A7" t="s">
        <v>165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25">
      <c r="A8" t="s">
        <v>165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3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</row>
    <row r="9" spans="1:106" x14ac:dyDescent="0.25">
      <c r="A9" t="s">
        <v>165</v>
      </c>
      <c r="B9" s="11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</row>
    <row r="10" spans="1:106" x14ac:dyDescent="0.25">
      <c r="A10" t="s">
        <v>165</v>
      </c>
      <c r="B10" s="11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9655-81F6-4B55-B8E0-E7721B22C5FD}">
  <dimension ref="A1:AK362"/>
  <sheetViews>
    <sheetView workbookViewId="0">
      <pane xSplit="2" ySplit="2" topLeftCell="C345" activePane="bottomRight" state="frozen"/>
      <selection pane="topRight" activeCell="C1" sqref="C1"/>
      <selection pane="bottomLeft" activeCell="A3" sqref="A3"/>
      <selection pane="bottomRight" activeCell="A361" sqref="A361:XFD362"/>
    </sheetView>
  </sheetViews>
  <sheetFormatPr baseColWidth="10" defaultRowHeight="15" x14ac:dyDescent="0.25"/>
  <cols>
    <col min="2" max="2" width="11.85546875" customWidth="1"/>
  </cols>
  <sheetData>
    <row r="1" spans="1:37" ht="120" x14ac:dyDescent="0.25">
      <c r="A1" s="1" t="s">
        <v>0</v>
      </c>
      <c r="B1" s="1" t="s">
        <v>1</v>
      </c>
      <c r="C1" s="7" t="s">
        <v>32</v>
      </c>
      <c r="D1" s="7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7" t="s">
        <v>46</v>
      </c>
      <c r="K1" s="7" t="s">
        <v>48</v>
      </c>
      <c r="L1" s="7" t="s">
        <v>49</v>
      </c>
      <c r="M1" s="7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78</v>
      </c>
      <c r="W1" s="7" t="s">
        <v>79</v>
      </c>
      <c r="X1" s="7" t="s">
        <v>90</v>
      </c>
      <c r="Y1" s="7" t="s">
        <v>91</v>
      </c>
      <c r="Z1" s="7" t="s">
        <v>92</v>
      </c>
      <c r="AA1" s="7" t="s">
        <v>93</v>
      </c>
      <c r="AB1" s="7" t="s">
        <v>102</v>
      </c>
      <c r="AC1" s="7" t="s">
        <v>103</v>
      </c>
      <c r="AD1" s="7" t="s">
        <v>104</v>
      </c>
      <c r="AE1" s="7" t="s">
        <v>106</v>
      </c>
      <c r="AF1" s="7" t="s">
        <v>107</v>
      </c>
      <c r="AG1" s="7" t="s">
        <v>108</v>
      </c>
      <c r="AH1" s="7" t="s">
        <v>111</v>
      </c>
      <c r="AI1" s="7" t="s">
        <v>113</v>
      </c>
      <c r="AJ1" s="7" t="s">
        <v>114</v>
      </c>
      <c r="AK1" s="7" t="s">
        <v>115</v>
      </c>
    </row>
    <row r="2" spans="1:37" x14ac:dyDescent="0.25">
      <c r="A2" s="2" t="s">
        <v>2</v>
      </c>
      <c r="B2" s="3" t="s">
        <v>3</v>
      </c>
      <c r="J2" t="s">
        <v>131</v>
      </c>
      <c r="K2" t="s">
        <v>133</v>
      </c>
      <c r="L2" t="s">
        <v>133</v>
      </c>
      <c r="AH2" t="s">
        <v>137</v>
      </c>
    </row>
    <row r="3" spans="1:37" x14ac:dyDescent="0.25">
      <c r="A3">
        <v>5015869</v>
      </c>
      <c r="B3" t="s">
        <v>11</v>
      </c>
    </row>
    <row r="4" spans="1:37" x14ac:dyDescent="0.25">
      <c r="A4">
        <v>5016969</v>
      </c>
      <c r="B4" t="s">
        <v>11</v>
      </c>
    </row>
    <row r="5" spans="1:37" x14ac:dyDescent="0.25">
      <c r="A5">
        <v>6023231</v>
      </c>
      <c r="B5" t="s">
        <v>11</v>
      </c>
    </row>
    <row r="6" spans="1:37" x14ac:dyDescent="0.25">
      <c r="A6">
        <v>6011198</v>
      </c>
      <c r="B6" t="s">
        <v>11</v>
      </c>
    </row>
    <row r="7" spans="1:37" x14ac:dyDescent="0.25">
      <c r="A7">
        <v>6012681</v>
      </c>
      <c r="B7" t="s">
        <v>11</v>
      </c>
    </row>
    <row r="8" spans="1:37" x14ac:dyDescent="0.25">
      <c r="A8">
        <v>6014511</v>
      </c>
      <c r="B8" t="s">
        <v>11</v>
      </c>
    </row>
    <row r="9" spans="1:37" x14ac:dyDescent="0.25">
      <c r="A9">
        <v>6045127</v>
      </c>
      <c r="B9" t="s">
        <v>11</v>
      </c>
      <c r="J9">
        <v>0</v>
      </c>
      <c r="K9">
        <v>0</v>
      </c>
      <c r="L9">
        <v>0</v>
      </c>
      <c r="M9">
        <v>0</v>
      </c>
    </row>
    <row r="10" spans="1:37" x14ac:dyDescent="0.25">
      <c r="A10">
        <v>7000458</v>
      </c>
      <c r="B10" t="s">
        <v>11</v>
      </c>
    </row>
    <row r="11" spans="1:37" x14ac:dyDescent="0.25">
      <c r="A11">
        <v>7015502</v>
      </c>
      <c r="B11" t="s">
        <v>11</v>
      </c>
    </row>
    <row r="12" spans="1:37" x14ac:dyDescent="0.25">
      <c r="A12">
        <v>7025847</v>
      </c>
      <c r="B12" t="s">
        <v>11</v>
      </c>
    </row>
    <row r="13" spans="1:37" x14ac:dyDescent="0.25">
      <c r="A13">
        <v>7082707</v>
      </c>
      <c r="B13" t="s">
        <v>11</v>
      </c>
    </row>
    <row r="14" spans="1:37" x14ac:dyDescent="0.25">
      <c r="A14">
        <v>7083159</v>
      </c>
      <c r="B14" t="s">
        <v>11</v>
      </c>
      <c r="G14">
        <v>1</v>
      </c>
    </row>
    <row r="15" spans="1:37" x14ac:dyDescent="0.25">
      <c r="A15">
        <v>7084659</v>
      </c>
      <c r="B15" t="s">
        <v>11</v>
      </c>
    </row>
    <row r="16" spans="1:37" x14ac:dyDescent="0.25">
      <c r="A16">
        <v>7076814</v>
      </c>
      <c r="B16" t="s">
        <v>11</v>
      </c>
    </row>
    <row r="17" spans="1:30" x14ac:dyDescent="0.25">
      <c r="A17">
        <v>7076815</v>
      </c>
      <c r="B17" t="s">
        <v>11</v>
      </c>
    </row>
    <row r="18" spans="1:30" x14ac:dyDescent="0.25">
      <c r="A18">
        <v>7089231</v>
      </c>
      <c r="B18" t="s">
        <v>11</v>
      </c>
    </row>
    <row r="19" spans="1:30" x14ac:dyDescent="0.25">
      <c r="A19">
        <v>7116004</v>
      </c>
      <c r="B19" t="s">
        <v>11</v>
      </c>
    </row>
    <row r="20" spans="1:30" x14ac:dyDescent="0.25">
      <c r="A20">
        <v>8003819</v>
      </c>
      <c r="B20" t="s">
        <v>11</v>
      </c>
    </row>
    <row r="21" spans="1:30" x14ac:dyDescent="0.25">
      <c r="A21">
        <v>8091779</v>
      </c>
      <c r="B21" t="s">
        <v>11</v>
      </c>
    </row>
    <row r="22" spans="1:30" x14ac:dyDescent="0.25">
      <c r="A22">
        <v>8112522</v>
      </c>
      <c r="B22" t="s">
        <v>11</v>
      </c>
    </row>
    <row r="23" spans="1:30" x14ac:dyDescent="0.25">
      <c r="A23" t="s">
        <v>12</v>
      </c>
      <c r="B23" t="s">
        <v>11</v>
      </c>
    </row>
    <row r="24" spans="1:30" x14ac:dyDescent="0.25">
      <c r="A24">
        <v>8130998</v>
      </c>
      <c r="B24" t="s">
        <v>11</v>
      </c>
      <c r="AB24">
        <v>0</v>
      </c>
      <c r="AC24">
        <v>0</v>
      </c>
      <c r="AD24">
        <v>0</v>
      </c>
    </row>
    <row r="25" spans="1:30" x14ac:dyDescent="0.25">
      <c r="A25">
        <v>9002836</v>
      </c>
      <c r="B25" t="s">
        <v>11</v>
      </c>
    </row>
    <row r="26" spans="1:30" x14ac:dyDescent="0.25">
      <c r="A26">
        <v>9003331</v>
      </c>
      <c r="B26" t="s">
        <v>11</v>
      </c>
    </row>
    <row r="27" spans="1:30" x14ac:dyDescent="0.25">
      <c r="A27">
        <v>9003370</v>
      </c>
      <c r="B27" t="s">
        <v>11</v>
      </c>
    </row>
    <row r="28" spans="1:30" x14ac:dyDescent="0.25">
      <c r="A28">
        <v>9016278</v>
      </c>
      <c r="B28" t="s">
        <v>11</v>
      </c>
    </row>
    <row r="29" spans="1:30" x14ac:dyDescent="0.25">
      <c r="A29">
        <v>9030684</v>
      </c>
      <c r="B29" t="s">
        <v>11</v>
      </c>
    </row>
    <row r="30" spans="1:30" x14ac:dyDescent="0.25">
      <c r="A30">
        <v>9031387</v>
      </c>
      <c r="B30" t="s">
        <v>11</v>
      </c>
    </row>
    <row r="31" spans="1:30" x14ac:dyDescent="0.25">
      <c r="A31">
        <v>9038676</v>
      </c>
      <c r="B31" t="s">
        <v>11</v>
      </c>
    </row>
    <row r="32" spans="1:30" x14ac:dyDescent="0.25">
      <c r="A32">
        <v>9039416</v>
      </c>
      <c r="B32" t="s">
        <v>11</v>
      </c>
    </row>
    <row r="33" spans="1:30" x14ac:dyDescent="0.25">
      <c r="A33">
        <v>9042861</v>
      </c>
      <c r="B33" t="s">
        <v>11</v>
      </c>
    </row>
    <row r="34" spans="1:30" x14ac:dyDescent="0.25">
      <c r="A34">
        <v>9044899</v>
      </c>
      <c r="B34" t="s">
        <v>11</v>
      </c>
    </row>
    <row r="35" spans="1:30" x14ac:dyDescent="0.25">
      <c r="A35">
        <v>9052398</v>
      </c>
      <c r="B35" t="s">
        <v>11</v>
      </c>
    </row>
    <row r="36" spans="1:30" x14ac:dyDescent="0.25">
      <c r="A36">
        <v>9085204</v>
      </c>
      <c r="B36" t="s">
        <v>11</v>
      </c>
    </row>
    <row r="37" spans="1:30" x14ac:dyDescent="0.25">
      <c r="A37">
        <v>9105492</v>
      </c>
      <c r="B37" t="s">
        <v>11</v>
      </c>
    </row>
    <row r="38" spans="1:30" x14ac:dyDescent="0.25">
      <c r="A38">
        <v>9138470</v>
      </c>
      <c r="B38" t="s">
        <v>11</v>
      </c>
    </row>
    <row r="39" spans="1:30" x14ac:dyDescent="0.25">
      <c r="A39">
        <v>9150676</v>
      </c>
      <c r="B39" t="s">
        <v>11</v>
      </c>
    </row>
    <row r="40" spans="1:30" x14ac:dyDescent="0.25">
      <c r="A40">
        <v>10010926</v>
      </c>
      <c r="B40" t="s">
        <v>11</v>
      </c>
    </row>
    <row r="41" spans="1:30" x14ac:dyDescent="0.25">
      <c r="A41" t="s">
        <v>13</v>
      </c>
      <c r="B41" t="s">
        <v>11</v>
      </c>
    </row>
    <row r="42" spans="1:30" x14ac:dyDescent="0.25">
      <c r="A42">
        <v>10091530</v>
      </c>
      <c r="B42" t="s">
        <v>11</v>
      </c>
      <c r="AB42">
        <v>0</v>
      </c>
      <c r="AC42">
        <v>0</v>
      </c>
      <c r="AD42">
        <v>0</v>
      </c>
    </row>
    <row r="43" spans="1:30" x14ac:dyDescent="0.25">
      <c r="A43">
        <v>10102052</v>
      </c>
      <c r="B43" t="s">
        <v>11</v>
      </c>
    </row>
    <row r="44" spans="1:30" x14ac:dyDescent="0.25">
      <c r="A44">
        <v>10104735</v>
      </c>
      <c r="B44" t="s">
        <v>11</v>
      </c>
      <c r="C44">
        <v>0</v>
      </c>
      <c r="G44">
        <v>0</v>
      </c>
    </row>
    <row r="45" spans="1:30" x14ac:dyDescent="0.25">
      <c r="A45">
        <v>10131550</v>
      </c>
      <c r="B45" t="s">
        <v>11</v>
      </c>
    </row>
    <row r="46" spans="1:30" x14ac:dyDescent="0.25">
      <c r="A46">
        <v>10131607</v>
      </c>
      <c r="B46" t="s">
        <v>11</v>
      </c>
    </row>
    <row r="47" spans="1:30" x14ac:dyDescent="0.25">
      <c r="A47">
        <v>10145202</v>
      </c>
      <c r="B47" t="s">
        <v>11</v>
      </c>
    </row>
    <row r="48" spans="1:30" x14ac:dyDescent="0.25">
      <c r="A48">
        <v>10158770</v>
      </c>
      <c r="B48" t="s">
        <v>11</v>
      </c>
    </row>
    <row r="49" spans="1:37" x14ac:dyDescent="0.25">
      <c r="A49">
        <v>10162949</v>
      </c>
      <c r="B49" t="s">
        <v>11</v>
      </c>
    </row>
    <row r="50" spans="1:37" x14ac:dyDescent="0.25">
      <c r="A50">
        <v>10171633</v>
      </c>
      <c r="B50" t="s">
        <v>11</v>
      </c>
    </row>
    <row r="51" spans="1:37" x14ac:dyDescent="0.25">
      <c r="A51">
        <v>11005762</v>
      </c>
      <c r="B51" t="s">
        <v>11</v>
      </c>
      <c r="J51">
        <v>0</v>
      </c>
      <c r="K51">
        <v>0</v>
      </c>
      <c r="L51">
        <v>0</v>
      </c>
      <c r="AB51">
        <v>0</v>
      </c>
      <c r="AC51">
        <v>0</v>
      </c>
      <c r="AD51">
        <v>0</v>
      </c>
      <c r="AK51">
        <v>0</v>
      </c>
    </row>
    <row r="52" spans="1:37" x14ac:dyDescent="0.25">
      <c r="A52" t="s">
        <v>14</v>
      </c>
      <c r="B52" t="s">
        <v>11</v>
      </c>
    </row>
    <row r="53" spans="1:37" x14ac:dyDescent="0.25">
      <c r="A53">
        <v>11018341</v>
      </c>
      <c r="B53" t="s">
        <v>11</v>
      </c>
      <c r="E53">
        <v>0</v>
      </c>
      <c r="G53">
        <v>0</v>
      </c>
    </row>
    <row r="54" spans="1:37" x14ac:dyDescent="0.25">
      <c r="A54">
        <v>11021445</v>
      </c>
      <c r="B54" t="s">
        <v>11</v>
      </c>
    </row>
    <row r="55" spans="1:37" x14ac:dyDescent="0.25">
      <c r="A55">
        <v>11025151</v>
      </c>
      <c r="B55" t="s">
        <v>11</v>
      </c>
      <c r="J55">
        <v>0</v>
      </c>
      <c r="V55">
        <v>0</v>
      </c>
      <c r="AB55">
        <v>0</v>
      </c>
      <c r="AC55">
        <v>0</v>
      </c>
      <c r="AD55">
        <v>0</v>
      </c>
      <c r="AE55">
        <v>0</v>
      </c>
    </row>
    <row r="56" spans="1:37" x14ac:dyDescent="0.25">
      <c r="A56">
        <v>11039110</v>
      </c>
      <c r="B56" t="s">
        <v>11</v>
      </c>
      <c r="AB56">
        <v>0</v>
      </c>
      <c r="AC56">
        <v>0</v>
      </c>
      <c r="AD56">
        <v>0</v>
      </c>
    </row>
    <row r="57" spans="1:37" x14ac:dyDescent="0.25">
      <c r="A57">
        <v>11108410</v>
      </c>
      <c r="B57" t="s">
        <v>11</v>
      </c>
    </row>
    <row r="58" spans="1:37" x14ac:dyDescent="0.25">
      <c r="A58">
        <v>11139605</v>
      </c>
      <c r="B58" t="s">
        <v>11</v>
      </c>
    </row>
    <row r="59" spans="1:37" x14ac:dyDescent="0.25">
      <c r="A59">
        <v>11201694</v>
      </c>
      <c r="B59" t="s">
        <v>11</v>
      </c>
    </row>
    <row r="60" spans="1:37" x14ac:dyDescent="0.25">
      <c r="A60">
        <v>11242543</v>
      </c>
      <c r="B60" t="s">
        <v>11</v>
      </c>
    </row>
    <row r="61" spans="1:37" x14ac:dyDescent="0.25">
      <c r="A61">
        <v>11247293</v>
      </c>
      <c r="B61" t="s">
        <v>11</v>
      </c>
    </row>
    <row r="62" spans="1:37" x14ac:dyDescent="0.25">
      <c r="A62">
        <v>12006449</v>
      </c>
      <c r="B62" t="s">
        <v>11</v>
      </c>
      <c r="AB62">
        <v>0</v>
      </c>
      <c r="AC62">
        <v>0</v>
      </c>
      <c r="AD62">
        <v>0</v>
      </c>
    </row>
    <row r="63" spans="1:37" x14ac:dyDescent="0.25">
      <c r="A63">
        <v>12049136</v>
      </c>
      <c r="B63" t="s">
        <v>11</v>
      </c>
    </row>
    <row r="64" spans="1:37" x14ac:dyDescent="0.25">
      <c r="A64">
        <v>12087508</v>
      </c>
      <c r="B64" t="s">
        <v>11</v>
      </c>
      <c r="C64">
        <v>1</v>
      </c>
      <c r="H64">
        <v>1</v>
      </c>
      <c r="I64">
        <v>1</v>
      </c>
      <c r="J64">
        <v>0</v>
      </c>
      <c r="L64">
        <v>1</v>
      </c>
      <c r="R64">
        <v>0</v>
      </c>
      <c r="T64">
        <v>0</v>
      </c>
      <c r="V64">
        <v>0</v>
      </c>
      <c r="AD64">
        <v>0</v>
      </c>
      <c r="AF64">
        <v>0</v>
      </c>
      <c r="AI64">
        <v>0</v>
      </c>
      <c r="AJ64">
        <v>0</v>
      </c>
      <c r="AK64">
        <v>0</v>
      </c>
    </row>
    <row r="65" spans="1:37" x14ac:dyDescent="0.25">
      <c r="A65">
        <v>12229481</v>
      </c>
      <c r="B65" t="s">
        <v>11</v>
      </c>
    </row>
    <row r="66" spans="1:37" x14ac:dyDescent="0.25">
      <c r="A66">
        <v>12258821</v>
      </c>
      <c r="B66" t="s">
        <v>11</v>
      </c>
      <c r="J66" s="9" t="s">
        <v>160</v>
      </c>
      <c r="V66">
        <v>0</v>
      </c>
    </row>
    <row r="67" spans="1:37" x14ac:dyDescent="0.25">
      <c r="A67">
        <v>12309729</v>
      </c>
      <c r="B67" t="s">
        <v>11</v>
      </c>
    </row>
    <row r="68" spans="1:37" x14ac:dyDescent="0.25">
      <c r="A68" t="s">
        <v>15</v>
      </c>
      <c r="B68" t="s">
        <v>11</v>
      </c>
    </row>
    <row r="69" spans="1:37" x14ac:dyDescent="0.25">
      <c r="A69">
        <v>13005942</v>
      </c>
      <c r="B69" t="s">
        <v>11</v>
      </c>
    </row>
    <row r="70" spans="1:37" x14ac:dyDescent="0.25">
      <c r="A70">
        <v>324</v>
      </c>
      <c r="B70" t="s">
        <v>11</v>
      </c>
    </row>
    <row r="71" spans="1:37" x14ac:dyDescent="0.25">
      <c r="A71">
        <v>3909</v>
      </c>
      <c r="B71" t="s">
        <v>11</v>
      </c>
      <c r="J71">
        <v>1</v>
      </c>
    </row>
    <row r="72" spans="1:37" x14ac:dyDescent="0.25">
      <c r="A72">
        <v>4663</v>
      </c>
      <c r="B72" t="s">
        <v>11</v>
      </c>
    </row>
    <row r="73" spans="1:37" x14ac:dyDescent="0.25">
      <c r="A73">
        <v>1005522</v>
      </c>
      <c r="B73" t="s">
        <v>11</v>
      </c>
    </row>
    <row r="74" spans="1:37" x14ac:dyDescent="0.25">
      <c r="A74">
        <v>1007631</v>
      </c>
      <c r="B74" t="s">
        <v>11</v>
      </c>
      <c r="C74">
        <v>0</v>
      </c>
      <c r="G74">
        <v>0</v>
      </c>
      <c r="H74">
        <v>0</v>
      </c>
      <c r="I74">
        <v>0</v>
      </c>
      <c r="J74">
        <v>0</v>
      </c>
      <c r="AB74">
        <v>0</v>
      </c>
      <c r="AC74">
        <v>0</v>
      </c>
      <c r="AD74">
        <v>0</v>
      </c>
      <c r="AE74">
        <v>0</v>
      </c>
    </row>
    <row r="75" spans="1:37" x14ac:dyDescent="0.25">
      <c r="A75">
        <v>1009760</v>
      </c>
      <c r="B75" t="s">
        <v>11</v>
      </c>
      <c r="AF75">
        <v>1</v>
      </c>
      <c r="AG75">
        <v>0</v>
      </c>
      <c r="AI75">
        <v>0</v>
      </c>
      <c r="AK75">
        <v>0</v>
      </c>
    </row>
    <row r="76" spans="1:37" x14ac:dyDescent="0.25">
      <c r="A76">
        <v>2000646</v>
      </c>
      <c r="B76" t="s">
        <v>11</v>
      </c>
    </row>
    <row r="77" spans="1:37" x14ac:dyDescent="0.25">
      <c r="A77">
        <v>2003761</v>
      </c>
      <c r="B77" t="s">
        <v>11</v>
      </c>
    </row>
    <row r="78" spans="1:37" x14ac:dyDescent="0.25">
      <c r="A78">
        <v>2004061</v>
      </c>
      <c r="B78" t="s">
        <v>11</v>
      </c>
    </row>
    <row r="79" spans="1:37" x14ac:dyDescent="0.25">
      <c r="A79">
        <v>2006469</v>
      </c>
      <c r="B79" t="s">
        <v>11</v>
      </c>
    </row>
    <row r="80" spans="1:37" x14ac:dyDescent="0.25">
      <c r="A80">
        <v>3005132</v>
      </c>
      <c r="B80" t="s">
        <v>11</v>
      </c>
    </row>
    <row r="81" spans="1:37" x14ac:dyDescent="0.25">
      <c r="A81">
        <v>3009119</v>
      </c>
      <c r="B81" t="s">
        <v>11</v>
      </c>
    </row>
    <row r="82" spans="1:37" x14ac:dyDescent="0.25">
      <c r="A82">
        <v>3009936</v>
      </c>
      <c r="B82" t="s">
        <v>11</v>
      </c>
    </row>
    <row r="83" spans="1:37" x14ac:dyDescent="0.25">
      <c r="A83">
        <v>3011094</v>
      </c>
      <c r="B83" t="s">
        <v>11</v>
      </c>
    </row>
    <row r="84" spans="1:37" x14ac:dyDescent="0.25">
      <c r="A84">
        <v>3014643</v>
      </c>
      <c r="B84" t="s">
        <v>11</v>
      </c>
    </row>
    <row r="85" spans="1:37" x14ac:dyDescent="0.25">
      <c r="A85">
        <v>3016056</v>
      </c>
      <c r="B85" t="s">
        <v>11</v>
      </c>
    </row>
    <row r="86" spans="1:37" x14ac:dyDescent="0.25">
      <c r="A86">
        <v>3900219</v>
      </c>
      <c r="B86" t="s">
        <v>11</v>
      </c>
      <c r="AI86">
        <v>1</v>
      </c>
      <c r="AK86">
        <v>0</v>
      </c>
    </row>
    <row r="87" spans="1:37" x14ac:dyDescent="0.25">
      <c r="A87">
        <v>4000158</v>
      </c>
      <c r="B87" t="s">
        <v>11</v>
      </c>
    </row>
    <row r="88" spans="1:37" x14ac:dyDescent="0.25">
      <c r="A88">
        <v>4000304</v>
      </c>
      <c r="B88" t="s">
        <v>11</v>
      </c>
      <c r="K88">
        <v>0</v>
      </c>
      <c r="L88">
        <v>0</v>
      </c>
      <c r="AB88">
        <v>0</v>
      </c>
      <c r="AC88">
        <v>0</v>
      </c>
      <c r="AD88">
        <v>0</v>
      </c>
      <c r="AJ88">
        <v>0</v>
      </c>
      <c r="AK88">
        <v>0</v>
      </c>
    </row>
    <row r="89" spans="1:37" x14ac:dyDescent="0.25">
      <c r="A89">
        <v>4001905</v>
      </c>
      <c r="B89" t="s">
        <v>11</v>
      </c>
    </row>
    <row r="90" spans="1:37" x14ac:dyDescent="0.25">
      <c r="A90">
        <v>4002206</v>
      </c>
      <c r="B90" t="s">
        <v>11</v>
      </c>
    </row>
    <row r="91" spans="1:37" x14ac:dyDescent="0.25">
      <c r="A91">
        <v>4002715</v>
      </c>
      <c r="B91" t="s">
        <v>11</v>
      </c>
    </row>
    <row r="92" spans="1:37" x14ac:dyDescent="0.25">
      <c r="A92">
        <v>4003924</v>
      </c>
      <c r="B92" t="s">
        <v>11</v>
      </c>
      <c r="AB92">
        <v>0</v>
      </c>
      <c r="AC92">
        <v>0</v>
      </c>
      <c r="AD92">
        <v>0</v>
      </c>
      <c r="AJ92">
        <v>0</v>
      </c>
      <c r="AK92">
        <v>0</v>
      </c>
    </row>
    <row r="93" spans="1:37" x14ac:dyDescent="0.25">
      <c r="A93">
        <v>4006051</v>
      </c>
      <c r="B93" t="s">
        <v>11</v>
      </c>
    </row>
    <row r="94" spans="1:37" x14ac:dyDescent="0.25">
      <c r="A94">
        <v>4008140</v>
      </c>
      <c r="B94" t="s">
        <v>11</v>
      </c>
      <c r="AB94">
        <v>0</v>
      </c>
      <c r="AC94">
        <v>0</v>
      </c>
      <c r="AD94">
        <v>0</v>
      </c>
      <c r="AF94">
        <v>0</v>
      </c>
      <c r="AG94">
        <v>0</v>
      </c>
    </row>
    <row r="95" spans="1:37" x14ac:dyDescent="0.25">
      <c r="A95">
        <v>4009906</v>
      </c>
      <c r="B95" t="s">
        <v>11</v>
      </c>
    </row>
    <row r="96" spans="1:37" x14ac:dyDescent="0.25">
      <c r="A96">
        <v>4011027</v>
      </c>
      <c r="B96" t="s">
        <v>11</v>
      </c>
    </row>
    <row r="97" spans="1:37" x14ac:dyDescent="0.25">
      <c r="A97">
        <v>4011920</v>
      </c>
      <c r="B97" t="s">
        <v>11</v>
      </c>
    </row>
    <row r="98" spans="1:37" x14ac:dyDescent="0.25">
      <c r="A98">
        <v>4012248</v>
      </c>
      <c r="B98" t="s">
        <v>11</v>
      </c>
    </row>
    <row r="99" spans="1:37" x14ac:dyDescent="0.25">
      <c r="A99">
        <v>4013603</v>
      </c>
      <c r="B99" t="s">
        <v>11</v>
      </c>
    </row>
    <row r="100" spans="1:37" x14ac:dyDescent="0.25">
      <c r="A100">
        <v>5004654</v>
      </c>
      <c r="B100" t="s">
        <v>11</v>
      </c>
      <c r="E100">
        <v>0</v>
      </c>
      <c r="G100">
        <v>0</v>
      </c>
      <c r="J100">
        <v>0</v>
      </c>
      <c r="V100">
        <v>0</v>
      </c>
      <c r="AB100">
        <v>0</v>
      </c>
      <c r="AC100">
        <v>0</v>
      </c>
      <c r="AD100">
        <v>0</v>
      </c>
    </row>
    <row r="101" spans="1:37" x14ac:dyDescent="0.25">
      <c r="A101">
        <v>5008807</v>
      </c>
      <c r="B101" t="s">
        <v>11</v>
      </c>
      <c r="C101">
        <v>1</v>
      </c>
      <c r="D101">
        <v>1</v>
      </c>
      <c r="F101">
        <v>1</v>
      </c>
      <c r="G101">
        <v>0</v>
      </c>
      <c r="J101">
        <v>0</v>
      </c>
      <c r="M101">
        <v>0</v>
      </c>
      <c r="P101">
        <v>0</v>
      </c>
      <c r="V101">
        <v>0</v>
      </c>
      <c r="W101">
        <v>0</v>
      </c>
      <c r="X101">
        <v>0</v>
      </c>
      <c r="AB101">
        <v>1</v>
      </c>
      <c r="AC101">
        <v>0</v>
      </c>
      <c r="AD101">
        <v>0</v>
      </c>
      <c r="AE101">
        <v>0</v>
      </c>
      <c r="AI101">
        <v>0</v>
      </c>
      <c r="AK101">
        <v>0</v>
      </c>
    </row>
    <row r="102" spans="1:37" x14ac:dyDescent="0.25">
      <c r="A102">
        <v>5009400</v>
      </c>
      <c r="B102" t="s">
        <v>11</v>
      </c>
    </row>
    <row r="103" spans="1:37" x14ac:dyDescent="0.25">
      <c r="A103">
        <v>5016255</v>
      </c>
      <c r="B103" t="s">
        <v>11</v>
      </c>
    </row>
    <row r="104" spans="1:37" x14ac:dyDescent="0.25">
      <c r="A104">
        <v>6012448</v>
      </c>
      <c r="B104" t="s">
        <v>11</v>
      </c>
    </row>
    <row r="105" spans="1:37" x14ac:dyDescent="0.25">
      <c r="A105">
        <v>7000457</v>
      </c>
      <c r="B105" t="s">
        <v>11</v>
      </c>
    </row>
    <row r="106" spans="1:37" x14ac:dyDescent="0.25">
      <c r="A106">
        <v>7072644</v>
      </c>
      <c r="B106" t="s">
        <v>11</v>
      </c>
      <c r="X106">
        <v>0</v>
      </c>
      <c r="AC106">
        <v>0</v>
      </c>
      <c r="AD106">
        <v>0</v>
      </c>
    </row>
    <row r="107" spans="1:37" x14ac:dyDescent="0.25">
      <c r="A107">
        <v>7126387</v>
      </c>
      <c r="B107" t="s">
        <v>11</v>
      </c>
    </row>
    <row r="108" spans="1:37" x14ac:dyDescent="0.25">
      <c r="A108">
        <v>10185935</v>
      </c>
      <c r="B108" t="s">
        <v>11</v>
      </c>
      <c r="AB108">
        <v>1</v>
      </c>
      <c r="AC108">
        <v>0</v>
      </c>
      <c r="AD108">
        <v>0</v>
      </c>
      <c r="AG108">
        <v>0</v>
      </c>
      <c r="AJ108">
        <v>0</v>
      </c>
      <c r="AK108">
        <v>0</v>
      </c>
    </row>
    <row r="109" spans="1:37" x14ac:dyDescent="0.25">
      <c r="A109">
        <v>11061215</v>
      </c>
      <c r="B109" t="s">
        <v>11</v>
      </c>
      <c r="J109">
        <v>0</v>
      </c>
      <c r="O109">
        <v>0</v>
      </c>
      <c r="R109">
        <v>0</v>
      </c>
      <c r="T109">
        <v>0</v>
      </c>
      <c r="V109">
        <v>0</v>
      </c>
      <c r="AB109">
        <v>0</v>
      </c>
      <c r="AD109">
        <v>0</v>
      </c>
      <c r="AF109">
        <v>0</v>
      </c>
      <c r="AG109">
        <v>0</v>
      </c>
      <c r="AI109">
        <v>0</v>
      </c>
      <c r="AJ109">
        <v>0</v>
      </c>
      <c r="AK109">
        <v>0</v>
      </c>
    </row>
    <row r="110" spans="1:37" x14ac:dyDescent="0.25">
      <c r="A110">
        <v>93008468</v>
      </c>
      <c r="B110" t="s">
        <v>11</v>
      </c>
    </row>
    <row r="111" spans="1:37" x14ac:dyDescent="0.25">
      <c r="A111">
        <v>93016155</v>
      </c>
      <c r="B111" t="s">
        <v>11</v>
      </c>
      <c r="D111">
        <v>1</v>
      </c>
      <c r="E111">
        <v>0</v>
      </c>
      <c r="F111" s="12" t="s">
        <v>160</v>
      </c>
      <c r="G111">
        <v>0</v>
      </c>
      <c r="AB111">
        <v>0</v>
      </c>
      <c r="AD111">
        <v>0</v>
      </c>
      <c r="AI111">
        <v>0</v>
      </c>
      <c r="AJ111">
        <v>0</v>
      </c>
      <c r="AK111">
        <v>0</v>
      </c>
    </row>
    <row r="112" spans="1:37" x14ac:dyDescent="0.25">
      <c r="A112">
        <v>93018845</v>
      </c>
      <c r="B112" t="s">
        <v>11</v>
      </c>
    </row>
    <row r="113" spans="1:37" x14ac:dyDescent="0.25">
      <c r="A113" t="s">
        <v>16</v>
      </c>
      <c r="B113" t="s">
        <v>11</v>
      </c>
    </row>
    <row r="114" spans="1:37" x14ac:dyDescent="0.25">
      <c r="A114">
        <v>94006009</v>
      </c>
      <c r="B114" t="s">
        <v>11</v>
      </c>
    </row>
    <row r="115" spans="1:37" x14ac:dyDescent="0.25">
      <c r="A115">
        <v>94014126</v>
      </c>
      <c r="B115" t="s">
        <v>11</v>
      </c>
    </row>
    <row r="116" spans="1:37" x14ac:dyDescent="0.25">
      <c r="A116">
        <v>94900361</v>
      </c>
      <c r="B116" t="s">
        <v>11</v>
      </c>
    </row>
    <row r="117" spans="1:37" x14ac:dyDescent="0.25">
      <c r="A117">
        <v>94901890</v>
      </c>
      <c r="B117" t="s">
        <v>11</v>
      </c>
      <c r="AC117">
        <v>1</v>
      </c>
      <c r="AD117">
        <v>0</v>
      </c>
      <c r="AG117">
        <v>0</v>
      </c>
      <c r="AI117" s="12" t="s">
        <v>160</v>
      </c>
      <c r="AJ117">
        <v>0</v>
      </c>
      <c r="AK117" s="12" t="s">
        <v>161</v>
      </c>
    </row>
    <row r="118" spans="1:37" x14ac:dyDescent="0.25">
      <c r="A118">
        <v>95001046</v>
      </c>
      <c r="B118" t="s">
        <v>11</v>
      </c>
    </row>
    <row r="119" spans="1:37" x14ac:dyDescent="0.25">
      <c r="A119">
        <v>96004031</v>
      </c>
      <c r="B119" t="s">
        <v>11</v>
      </c>
      <c r="J119">
        <v>1</v>
      </c>
      <c r="N119">
        <v>0</v>
      </c>
      <c r="O119">
        <v>0</v>
      </c>
      <c r="V119">
        <v>0</v>
      </c>
      <c r="AB119">
        <v>1</v>
      </c>
      <c r="AD119">
        <v>0</v>
      </c>
      <c r="AI119">
        <v>0</v>
      </c>
      <c r="AK119">
        <v>0</v>
      </c>
    </row>
    <row r="120" spans="1:37" x14ac:dyDescent="0.25">
      <c r="A120">
        <v>97004458</v>
      </c>
      <c r="B120" t="s">
        <v>11</v>
      </c>
    </row>
    <row r="121" spans="1:37" x14ac:dyDescent="0.25">
      <c r="A121">
        <v>97009212</v>
      </c>
      <c r="B121" t="s">
        <v>11</v>
      </c>
      <c r="J121">
        <v>0</v>
      </c>
      <c r="K121">
        <v>0</v>
      </c>
      <c r="L121">
        <v>0</v>
      </c>
      <c r="R121">
        <v>0</v>
      </c>
      <c r="T121">
        <v>0</v>
      </c>
      <c r="U121">
        <v>0</v>
      </c>
      <c r="V121">
        <v>0</v>
      </c>
      <c r="AC121">
        <v>0</v>
      </c>
      <c r="AD121">
        <v>0</v>
      </c>
    </row>
    <row r="122" spans="1:37" x14ac:dyDescent="0.25">
      <c r="A122">
        <v>98006038</v>
      </c>
      <c r="B122" t="s">
        <v>11</v>
      </c>
    </row>
    <row r="123" spans="1:37" x14ac:dyDescent="0.25">
      <c r="A123">
        <v>98009041</v>
      </c>
      <c r="B123" t="s">
        <v>11</v>
      </c>
    </row>
    <row r="124" spans="1:37" x14ac:dyDescent="0.25">
      <c r="A124">
        <v>99000714</v>
      </c>
      <c r="B124" t="s">
        <v>11</v>
      </c>
    </row>
    <row r="125" spans="1:37" x14ac:dyDescent="0.25">
      <c r="A125">
        <v>99007116</v>
      </c>
      <c r="B125" t="s">
        <v>11</v>
      </c>
    </row>
    <row r="126" spans="1:37" x14ac:dyDescent="0.25">
      <c r="A126">
        <v>99901293</v>
      </c>
      <c r="B126" t="s">
        <v>11</v>
      </c>
    </row>
    <row r="127" spans="1:37" x14ac:dyDescent="0.25">
      <c r="A127">
        <v>99901604</v>
      </c>
      <c r="B127" t="s">
        <v>11</v>
      </c>
      <c r="J127">
        <v>0</v>
      </c>
    </row>
    <row r="128" spans="1:37" x14ac:dyDescent="0.25">
      <c r="A128">
        <v>3017227</v>
      </c>
      <c r="B128" t="s">
        <v>11</v>
      </c>
    </row>
    <row r="129" spans="1:37" x14ac:dyDescent="0.25">
      <c r="A129">
        <v>2007648</v>
      </c>
      <c r="B129" t="s">
        <v>11</v>
      </c>
    </row>
    <row r="130" spans="1:37" x14ac:dyDescent="0.25">
      <c r="A130">
        <v>3008510</v>
      </c>
      <c r="B130" t="s">
        <v>11</v>
      </c>
      <c r="J130" s="12" t="s">
        <v>161</v>
      </c>
      <c r="K130" s="12" t="s">
        <v>160</v>
      </c>
      <c r="L130" s="12" t="s">
        <v>160</v>
      </c>
      <c r="M130">
        <v>1</v>
      </c>
      <c r="Q130">
        <v>0</v>
      </c>
    </row>
    <row r="131" spans="1:37" x14ac:dyDescent="0.25">
      <c r="A131">
        <v>6010715</v>
      </c>
      <c r="B131" t="s">
        <v>11</v>
      </c>
    </row>
    <row r="132" spans="1:37" x14ac:dyDescent="0.25">
      <c r="A132">
        <v>6010719</v>
      </c>
      <c r="B132" t="s">
        <v>11</v>
      </c>
      <c r="C132" s="4"/>
      <c r="E132" s="4"/>
      <c r="AF132" s="4"/>
      <c r="AG132" s="4"/>
      <c r="AH132" s="4"/>
    </row>
    <row r="133" spans="1:37" x14ac:dyDescent="0.25">
      <c r="A133">
        <v>6010722</v>
      </c>
      <c r="B133" t="s">
        <v>11</v>
      </c>
      <c r="C133" s="4"/>
      <c r="E133" s="4"/>
      <c r="AF133" s="4"/>
      <c r="AG133" s="4"/>
      <c r="AH133" s="4"/>
    </row>
    <row r="134" spans="1:37" x14ac:dyDescent="0.25">
      <c r="A134" s="18">
        <v>8061313</v>
      </c>
      <c r="B134" t="s">
        <v>11</v>
      </c>
      <c r="C134" s="4"/>
      <c r="E134" s="4">
        <v>0</v>
      </c>
      <c r="F134">
        <v>0</v>
      </c>
      <c r="J134">
        <v>0</v>
      </c>
      <c r="K134">
        <v>0</v>
      </c>
      <c r="L134">
        <v>0</v>
      </c>
      <c r="T134">
        <v>0</v>
      </c>
      <c r="V134">
        <v>0</v>
      </c>
      <c r="X134">
        <v>0</v>
      </c>
      <c r="Z134">
        <v>0</v>
      </c>
      <c r="AA134">
        <v>1</v>
      </c>
      <c r="AD134">
        <v>0</v>
      </c>
      <c r="AF134" s="4"/>
      <c r="AG134" s="4">
        <v>0</v>
      </c>
      <c r="AH134" s="4">
        <v>0</v>
      </c>
      <c r="AJ134">
        <v>0</v>
      </c>
      <c r="AK134">
        <v>0</v>
      </c>
    </row>
    <row r="135" spans="1:37" x14ac:dyDescent="0.25">
      <c r="A135" s="18">
        <v>8097989</v>
      </c>
      <c r="B135" t="s">
        <v>11</v>
      </c>
      <c r="C135" s="4"/>
      <c r="E135" s="4"/>
      <c r="AF135" s="4"/>
      <c r="AG135" s="4"/>
      <c r="AH135" s="4"/>
    </row>
    <row r="136" spans="1:37" x14ac:dyDescent="0.25">
      <c r="A136">
        <v>9013015</v>
      </c>
      <c r="B136" t="s">
        <v>11</v>
      </c>
      <c r="C136" s="4"/>
      <c r="E136" s="4"/>
      <c r="AF136" s="4"/>
      <c r="AG136" s="4"/>
      <c r="AH136" s="4"/>
    </row>
    <row r="137" spans="1:37" x14ac:dyDescent="0.25">
      <c r="A137" s="18">
        <v>9097281</v>
      </c>
      <c r="B137" t="s">
        <v>11</v>
      </c>
      <c r="C137" s="4"/>
      <c r="E137" s="4"/>
      <c r="AF137" s="4"/>
      <c r="AG137" s="4"/>
      <c r="AH137" s="4"/>
    </row>
    <row r="138" spans="1:37" x14ac:dyDescent="0.25">
      <c r="A138" t="s">
        <v>195</v>
      </c>
      <c r="B138" t="s">
        <v>11</v>
      </c>
      <c r="C138" s="4"/>
      <c r="E138" s="4"/>
      <c r="AF138" s="4"/>
      <c r="AG138" s="4"/>
      <c r="AH138" s="4"/>
    </row>
    <row r="139" spans="1:37" x14ac:dyDescent="0.25">
      <c r="A139" s="18">
        <v>10180409</v>
      </c>
      <c r="B139" t="s">
        <v>11</v>
      </c>
      <c r="C139" s="4"/>
      <c r="E139" s="4"/>
      <c r="AF139" s="4"/>
      <c r="AG139" s="4"/>
      <c r="AH139" s="4"/>
    </row>
    <row r="140" spans="1:37" x14ac:dyDescent="0.25">
      <c r="A140" s="18">
        <v>11084088</v>
      </c>
      <c r="B140" t="s">
        <v>11</v>
      </c>
    </row>
    <row r="141" spans="1:37" x14ac:dyDescent="0.25">
      <c r="A141">
        <v>12088753</v>
      </c>
      <c r="B141" t="s">
        <v>11</v>
      </c>
    </row>
    <row r="142" spans="1:37" x14ac:dyDescent="0.25">
      <c r="A142">
        <v>2007360</v>
      </c>
      <c r="B142" t="s">
        <v>11</v>
      </c>
      <c r="AB142">
        <v>0</v>
      </c>
      <c r="AC142">
        <v>0</v>
      </c>
      <c r="AD142">
        <v>0</v>
      </c>
    </row>
    <row r="143" spans="1:37" x14ac:dyDescent="0.25">
      <c r="A143" s="18">
        <v>2011811</v>
      </c>
      <c r="B143" t="s">
        <v>11</v>
      </c>
    </row>
    <row r="144" spans="1:37" x14ac:dyDescent="0.25">
      <c r="A144">
        <v>2012411</v>
      </c>
      <c r="B144" t="s">
        <v>11</v>
      </c>
    </row>
    <row r="145" spans="1:30" x14ac:dyDescent="0.25">
      <c r="A145" s="18">
        <v>2012826</v>
      </c>
      <c r="B145" t="s">
        <v>11</v>
      </c>
    </row>
    <row r="146" spans="1:30" x14ac:dyDescent="0.25">
      <c r="A146">
        <v>3007918</v>
      </c>
      <c r="B146" t="s">
        <v>11</v>
      </c>
    </row>
    <row r="147" spans="1:30" x14ac:dyDescent="0.25">
      <c r="A147">
        <v>3010565</v>
      </c>
      <c r="B147" t="s">
        <v>11</v>
      </c>
    </row>
    <row r="148" spans="1:30" x14ac:dyDescent="0.25">
      <c r="A148" s="18">
        <v>4000702</v>
      </c>
      <c r="B148" t="s">
        <v>11</v>
      </c>
    </row>
    <row r="149" spans="1:30" x14ac:dyDescent="0.25">
      <c r="A149" s="17">
        <v>5002712</v>
      </c>
      <c r="B149" t="s">
        <v>11</v>
      </c>
      <c r="G149">
        <v>0</v>
      </c>
      <c r="J149">
        <v>1</v>
      </c>
      <c r="X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>
        <v>5006761</v>
      </c>
      <c r="B150" t="s">
        <v>11</v>
      </c>
    </row>
    <row r="151" spans="1:30" x14ac:dyDescent="0.25">
      <c r="A151">
        <v>5013211</v>
      </c>
      <c r="B151" t="s">
        <v>11</v>
      </c>
    </row>
    <row r="152" spans="1:30" x14ac:dyDescent="0.25">
      <c r="A152" s="18">
        <v>5013494</v>
      </c>
      <c r="B152" t="s">
        <v>11</v>
      </c>
    </row>
    <row r="153" spans="1:30" x14ac:dyDescent="0.25">
      <c r="A153">
        <v>6005884</v>
      </c>
      <c r="B153" t="s">
        <v>11</v>
      </c>
    </row>
    <row r="154" spans="1:30" x14ac:dyDescent="0.25">
      <c r="A154">
        <v>95003255</v>
      </c>
      <c r="B154" t="s">
        <v>11</v>
      </c>
      <c r="AB154">
        <v>0</v>
      </c>
      <c r="AC154">
        <v>0</v>
      </c>
      <c r="AD154">
        <v>0</v>
      </c>
    </row>
    <row r="155" spans="1:30" x14ac:dyDescent="0.25">
      <c r="A155" s="18">
        <v>95003777</v>
      </c>
      <c r="B155" t="s">
        <v>11</v>
      </c>
      <c r="J155">
        <v>0</v>
      </c>
      <c r="N155">
        <v>0</v>
      </c>
      <c r="AB155" t="s">
        <v>196</v>
      </c>
    </row>
    <row r="156" spans="1:30" x14ac:dyDescent="0.25">
      <c r="A156" s="18">
        <v>95900316</v>
      </c>
      <c r="B156" t="s">
        <v>11</v>
      </c>
    </row>
    <row r="157" spans="1:30" x14ac:dyDescent="0.25">
      <c r="A157" s="18">
        <v>96900455</v>
      </c>
      <c r="B157" t="s">
        <v>11</v>
      </c>
    </row>
    <row r="158" spans="1:30" x14ac:dyDescent="0.25">
      <c r="A158">
        <v>99002655</v>
      </c>
      <c r="B158" t="s">
        <v>11</v>
      </c>
    </row>
    <row r="159" spans="1:30" x14ac:dyDescent="0.25">
      <c r="A159" s="18">
        <v>3003602</v>
      </c>
      <c r="B159" t="s">
        <v>11</v>
      </c>
    </row>
    <row r="160" spans="1:30" x14ac:dyDescent="0.25">
      <c r="A160" s="18">
        <v>3018383</v>
      </c>
      <c r="B160" t="s">
        <v>11</v>
      </c>
    </row>
    <row r="161" spans="1:37" x14ac:dyDescent="0.25">
      <c r="A161" s="18">
        <v>3900721</v>
      </c>
      <c r="B161" t="s">
        <v>11</v>
      </c>
    </row>
    <row r="162" spans="1:37" x14ac:dyDescent="0.25">
      <c r="A162" s="18">
        <v>3900911</v>
      </c>
      <c r="B162" t="s">
        <v>11</v>
      </c>
    </row>
    <row r="163" spans="1:37" x14ac:dyDescent="0.25">
      <c r="A163" s="18">
        <v>4004302</v>
      </c>
      <c r="B163" t="s">
        <v>11</v>
      </c>
      <c r="G163">
        <v>0</v>
      </c>
      <c r="X163">
        <v>0</v>
      </c>
      <c r="AB163">
        <v>0</v>
      </c>
      <c r="AC163">
        <v>0</v>
      </c>
    </row>
    <row r="164" spans="1:37" x14ac:dyDescent="0.25">
      <c r="A164" s="18">
        <v>4004463</v>
      </c>
      <c r="B164" t="s">
        <v>11</v>
      </c>
    </row>
    <row r="165" spans="1:37" x14ac:dyDescent="0.25">
      <c r="A165" s="19">
        <v>4013287</v>
      </c>
      <c r="B165" t="s">
        <v>11</v>
      </c>
    </row>
    <row r="166" spans="1:37" x14ac:dyDescent="0.25">
      <c r="A166" s="18">
        <v>93016241</v>
      </c>
      <c r="B166" t="s">
        <v>11</v>
      </c>
    </row>
    <row r="167" spans="1:37" x14ac:dyDescent="0.25">
      <c r="A167" s="18">
        <v>95007023</v>
      </c>
      <c r="B167" t="s">
        <v>11</v>
      </c>
    </row>
    <row r="168" spans="1:37" x14ac:dyDescent="0.25">
      <c r="A168" t="s">
        <v>167</v>
      </c>
      <c r="B168" t="s">
        <v>11</v>
      </c>
      <c r="C168">
        <f>COUNTIF(C3:C167,0)</f>
        <v>2</v>
      </c>
      <c r="D168">
        <f t="shared" ref="D168:AK168" si="0">COUNTIF(D3:D167,0)</f>
        <v>0</v>
      </c>
      <c r="E168">
        <f t="shared" si="0"/>
        <v>4</v>
      </c>
      <c r="F168">
        <f t="shared" si="0"/>
        <v>1</v>
      </c>
      <c r="G168">
        <f t="shared" si="0"/>
        <v>8</v>
      </c>
      <c r="H168">
        <f t="shared" si="0"/>
        <v>1</v>
      </c>
      <c r="I168">
        <f t="shared" si="0"/>
        <v>1</v>
      </c>
      <c r="J168">
        <f t="shared" si="0"/>
        <v>13</v>
      </c>
      <c r="K168">
        <f t="shared" si="0"/>
        <v>5</v>
      </c>
      <c r="L168">
        <f t="shared" si="0"/>
        <v>5</v>
      </c>
      <c r="M168">
        <f t="shared" si="0"/>
        <v>2</v>
      </c>
      <c r="N168">
        <f t="shared" si="0"/>
        <v>2</v>
      </c>
      <c r="O168">
        <f t="shared" si="0"/>
        <v>2</v>
      </c>
      <c r="P168">
        <f t="shared" si="0"/>
        <v>1</v>
      </c>
      <c r="Q168">
        <f t="shared" si="0"/>
        <v>1</v>
      </c>
      <c r="R168">
        <f t="shared" si="0"/>
        <v>3</v>
      </c>
      <c r="S168">
        <f t="shared" si="0"/>
        <v>0</v>
      </c>
      <c r="T168">
        <f t="shared" si="0"/>
        <v>4</v>
      </c>
      <c r="U168">
        <f t="shared" si="0"/>
        <v>1</v>
      </c>
      <c r="V168">
        <f t="shared" si="0"/>
        <v>9</v>
      </c>
      <c r="W168">
        <f t="shared" si="0"/>
        <v>1</v>
      </c>
      <c r="X168">
        <f t="shared" si="0"/>
        <v>5</v>
      </c>
      <c r="Y168">
        <f t="shared" si="0"/>
        <v>0</v>
      </c>
      <c r="Z168">
        <f t="shared" si="0"/>
        <v>2</v>
      </c>
      <c r="AA168">
        <f t="shared" si="0"/>
        <v>1</v>
      </c>
      <c r="AB168">
        <f t="shared" si="0"/>
        <v>17</v>
      </c>
      <c r="AC168">
        <f t="shared" si="0"/>
        <v>19</v>
      </c>
      <c r="AD168">
        <f t="shared" si="0"/>
        <v>24</v>
      </c>
      <c r="AE168">
        <f t="shared" si="0"/>
        <v>3</v>
      </c>
      <c r="AF168">
        <f t="shared" si="0"/>
        <v>3</v>
      </c>
      <c r="AG168">
        <f t="shared" si="0"/>
        <v>6</v>
      </c>
      <c r="AH168">
        <f t="shared" si="0"/>
        <v>1</v>
      </c>
      <c r="AI168">
        <f t="shared" si="0"/>
        <v>6</v>
      </c>
      <c r="AJ168">
        <f t="shared" si="0"/>
        <v>8</v>
      </c>
      <c r="AK168">
        <f t="shared" si="0"/>
        <v>13</v>
      </c>
    </row>
    <row r="169" spans="1:37" x14ac:dyDescent="0.25">
      <c r="A169" t="s">
        <v>166</v>
      </c>
      <c r="B169" t="s">
        <v>11</v>
      </c>
      <c r="C169">
        <f>COUNTIF(C3:C167,1)</f>
        <v>2</v>
      </c>
      <c r="D169">
        <f t="shared" ref="D169:AK169" si="1">COUNTIF(D3:D167,1)</f>
        <v>2</v>
      </c>
      <c r="E169">
        <f t="shared" si="1"/>
        <v>0</v>
      </c>
      <c r="F169">
        <f t="shared" si="1"/>
        <v>2</v>
      </c>
      <c r="G169">
        <f t="shared" si="1"/>
        <v>1</v>
      </c>
      <c r="H169">
        <f t="shared" si="1"/>
        <v>1</v>
      </c>
      <c r="I169">
        <f t="shared" si="1"/>
        <v>1</v>
      </c>
      <c r="J169">
        <f t="shared" si="1"/>
        <v>4</v>
      </c>
      <c r="K169">
        <f t="shared" si="1"/>
        <v>1</v>
      </c>
      <c r="L169">
        <f t="shared" si="1"/>
        <v>2</v>
      </c>
      <c r="M169">
        <f t="shared" si="1"/>
        <v>1</v>
      </c>
      <c r="N169">
        <f t="shared" si="1"/>
        <v>0</v>
      </c>
      <c r="O169">
        <f t="shared" si="1"/>
        <v>0</v>
      </c>
      <c r="P169">
        <f t="shared" si="1"/>
        <v>0</v>
      </c>
      <c r="Q169">
        <f t="shared" si="1"/>
        <v>0</v>
      </c>
      <c r="R169">
        <f t="shared" si="1"/>
        <v>0</v>
      </c>
      <c r="S169">
        <f t="shared" si="1"/>
        <v>0</v>
      </c>
      <c r="T169">
        <f t="shared" si="1"/>
        <v>0</v>
      </c>
      <c r="U169">
        <f t="shared" si="1"/>
        <v>0</v>
      </c>
      <c r="V169">
        <f t="shared" si="1"/>
        <v>0</v>
      </c>
      <c r="W169">
        <f t="shared" si="1"/>
        <v>0</v>
      </c>
      <c r="X169">
        <f t="shared" si="1"/>
        <v>0</v>
      </c>
      <c r="Y169">
        <f t="shared" si="1"/>
        <v>0</v>
      </c>
      <c r="Z169">
        <f t="shared" si="1"/>
        <v>0</v>
      </c>
      <c r="AA169">
        <f t="shared" si="1"/>
        <v>1</v>
      </c>
      <c r="AB169">
        <f t="shared" si="1"/>
        <v>3</v>
      </c>
      <c r="AC169">
        <f t="shared" si="1"/>
        <v>1</v>
      </c>
      <c r="AD169">
        <f t="shared" si="1"/>
        <v>0</v>
      </c>
      <c r="AE169">
        <f t="shared" si="1"/>
        <v>0</v>
      </c>
      <c r="AF169">
        <f t="shared" si="1"/>
        <v>1</v>
      </c>
      <c r="AG169">
        <f t="shared" si="1"/>
        <v>0</v>
      </c>
      <c r="AH169">
        <f t="shared" si="1"/>
        <v>0</v>
      </c>
      <c r="AI169">
        <f t="shared" si="1"/>
        <v>2</v>
      </c>
      <c r="AJ169">
        <f t="shared" si="1"/>
        <v>0</v>
      </c>
      <c r="AK169">
        <f t="shared" si="1"/>
        <v>0</v>
      </c>
    </row>
    <row r="172" spans="1:37" x14ac:dyDescent="0.25">
      <c r="A172">
        <v>4289</v>
      </c>
      <c r="B172" t="s">
        <v>17</v>
      </c>
    </row>
    <row r="173" spans="1:37" x14ac:dyDescent="0.25">
      <c r="A173">
        <v>500245</v>
      </c>
      <c r="B173" t="s">
        <v>17</v>
      </c>
    </row>
    <row r="174" spans="1:37" x14ac:dyDescent="0.25">
      <c r="A174">
        <v>2002573</v>
      </c>
      <c r="B174" t="s">
        <v>17</v>
      </c>
    </row>
    <row r="175" spans="1:37" x14ac:dyDescent="0.25">
      <c r="A175">
        <v>2003539</v>
      </c>
      <c r="B175" t="s">
        <v>17</v>
      </c>
    </row>
    <row r="176" spans="1:37" x14ac:dyDescent="0.25">
      <c r="A176">
        <v>2003649</v>
      </c>
      <c r="B176" t="s">
        <v>17</v>
      </c>
    </row>
    <row r="177" spans="1:37" x14ac:dyDescent="0.25">
      <c r="A177">
        <v>2005572</v>
      </c>
      <c r="B177" t="s">
        <v>17</v>
      </c>
    </row>
    <row r="178" spans="1:37" x14ac:dyDescent="0.25">
      <c r="A178">
        <v>2013117</v>
      </c>
      <c r="B178" t="s">
        <v>17</v>
      </c>
    </row>
    <row r="179" spans="1:37" x14ac:dyDescent="0.25">
      <c r="A179">
        <v>3009633</v>
      </c>
      <c r="B179" t="s">
        <v>17</v>
      </c>
    </row>
    <row r="180" spans="1:37" x14ac:dyDescent="0.25">
      <c r="A180">
        <v>3010583</v>
      </c>
      <c r="B180" t="s">
        <v>17</v>
      </c>
    </row>
    <row r="181" spans="1:37" x14ac:dyDescent="0.25">
      <c r="A181" s="17">
        <v>3011892</v>
      </c>
      <c r="B181" t="s">
        <v>17</v>
      </c>
    </row>
    <row r="182" spans="1:37" x14ac:dyDescent="0.25">
      <c r="A182">
        <v>4001382</v>
      </c>
      <c r="B182" t="s">
        <v>17</v>
      </c>
    </row>
    <row r="183" spans="1:37" x14ac:dyDescent="0.25">
      <c r="A183">
        <v>5018675</v>
      </c>
      <c r="B183" t="s">
        <v>17</v>
      </c>
      <c r="AB183">
        <v>0</v>
      </c>
      <c r="AC183">
        <v>0</v>
      </c>
      <c r="AD183">
        <v>0</v>
      </c>
      <c r="AH183">
        <v>0</v>
      </c>
      <c r="AJ183">
        <v>0</v>
      </c>
      <c r="AK183">
        <v>0</v>
      </c>
    </row>
    <row r="184" spans="1:37" x14ac:dyDescent="0.25">
      <c r="A184">
        <v>6050168</v>
      </c>
      <c r="B184" t="s">
        <v>17</v>
      </c>
      <c r="C184">
        <v>1</v>
      </c>
      <c r="G184">
        <v>1</v>
      </c>
      <c r="Z184">
        <v>0</v>
      </c>
      <c r="AA184">
        <v>0</v>
      </c>
    </row>
    <row r="185" spans="1:37" x14ac:dyDescent="0.25">
      <c r="A185">
        <v>7003242</v>
      </c>
      <c r="B185" t="s">
        <v>17</v>
      </c>
    </row>
    <row r="186" spans="1:37" x14ac:dyDescent="0.25">
      <c r="A186">
        <v>12022536</v>
      </c>
      <c r="B186" t="s">
        <v>17</v>
      </c>
    </row>
    <row r="187" spans="1:37" x14ac:dyDescent="0.25">
      <c r="A187">
        <v>13020792</v>
      </c>
      <c r="B187" t="s">
        <v>17</v>
      </c>
    </row>
    <row r="188" spans="1:37" x14ac:dyDescent="0.25">
      <c r="A188">
        <v>97005797</v>
      </c>
      <c r="B188" t="s">
        <v>17</v>
      </c>
      <c r="AB188">
        <v>0</v>
      </c>
      <c r="AC188">
        <v>0</v>
      </c>
      <c r="AD188">
        <v>0</v>
      </c>
    </row>
    <row r="189" spans="1:37" x14ac:dyDescent="0.25">
      <c r="A189">
        <v>99000345</v>
      </c>
      <c r="B189" t="s">
        <v>17</v>
      </c>
    </row>
    <row r="190" spans="1:37" x14ac:dyDescent="0.25">
      <c r="A190">
        <v>5006592</v>
      </c>
      <c r="B190" t="s">
        <v>17</v>
      </c>
    </row>
    <row r="191" spans="1:37" x14ac:dyDescent="0.25">
      <c r="A191">
        <v>5007274</v>
      </c>
      <c r="B191" t="s">
        <v>17</v>
      </c>
      <c r="E191">
        <v>0</v>
      </c>
      <c r="H191">
        <v>0</v>
      </c>
      <c r="O191">
        <v>0</v>
      </c>
      <c r="AB191">
        <v>0</v>
      </c>
      <c r="AC191">
        <v>0</v>
      </c>
      <c r="AD191">
        <v>0</v>
      </c>
      <c r="AJ191">
        <v>0</v>
      </c>
    </row>
    <row r="192" spans="1:37" x14ac:dyDescent="0.25">
      <c r="A192">
        <v>5015851</v>
      </c>
      <c r="B192" t="s">
        <v>17</v>
      </c>
      <c r="H192">
        <v>0</v>
      </c>
      <c r="I192">
        <v>0</v>
      </c>
      <c r="AB192">
        <v>0</v>
      </c>
      <c r="AD192">
        <v>0</v>
      </c>
      <c r="AI192">
        <v>0</v>
      </c>
      <c r="AK192">
        <v>0</v>
      </c>
    </row>
    <row r="193" spans="1:37" x14ac:dyDescent="0.25">
      <c r="A193">
        <v>6015647</v>
      </c>
      <c r="B193" t="s">
        <v>17</v>
      </c>
      <c r="Y193">
        <v>0</v>
      </c>
      <c r="AB193">
        <v>0</v>
      </c>
      <c r="AD193">
        <v>0</v>
      </c>
      <c r="AI193">
        <v>0</v>
      </c>
      <c r="AJ193">
        <v>0</v>
      </c>
      <c r="AK193">
        <v>0</v>
      </c>
    </row>
    <row r="194" spans="1:37" x14ac:dyDescent="0.25">
      <c r="A194">
        <v>6056633</v>
      </c>
      <c r="B194" t="s">
        <v>17</v>
      </c>
    </row>
    <row r="195" spans="1:37" x14ac:dyDescent="0.25">
      <c r="A195">
        <v>7086224</v>
      </c>
      <c r="B195" t="s">
        <v>17</v>
      </c>
    </row>
    <row r="196" spans="1:37" x14ac:dyDescent="0.25">
      <c r="A196">
        <v>8040959</v>
      </c>
      <c r="B196" t="s">
        <v>17</v>
      </c>
    </row>
    <row r="197" spans="1:37" x14ac:dyDescent="0.25">
      <c r="A197">
        <v>8107048</v>
      </c>
      <c r="B197" t="s">
        <v>17</v>
      </c>
    </row>
    <row r="198" spans="1:37" x14ac:dyDescent="0.25">
      <c r="A198">
        <v>8124044</v>
      </c>
      <c r="B198" t="s">
        <v>17</v>
      </c>
      <c r="J198">
        <v>1</v>
      </c>
      <c r="V198">
        <v>1</v>
      </c>
      <c r="AB198">
        <v>0</v>
      </c>
    </row>
    <row r="199" spans="1:37" x14ac:dyDescent="0.25">
      <c r="A199">
        <v>8142949</v>
      </c>
      <c r="B199" t="s">
        <v>17</v>
      </c>
      <c r="J199">
        <v>1</v>
      </c>
      <c r="AB199">
        <v>0</v>
      </c>
      <c r="AC199">
        <v>0</v>
      </c>
      <c r="AD199">
        <v>0</v>
      </c>
      <c r="AE199">
        <v>0</v>
      </c>
    </row>
    <row r="200" spans="1:37" x14ac:dyDescent="0.25">
      <c r="A200">
        <v>9023306</v>
      </c>
      <c r="B200" t="s">
        <v>17</v>
      </c>
      <c r="C200">
        <v>0</v>
      </c>
      <c r="D200">
        <v>0</v>
      </c>
      <c r="E200">
        <v>0</v>
      </c>
      <c r="G200">
        <v>0</v>
      </c>
    </row>
    <row r="201" spans="1:37" x14ac:dyDescent="0.25">
      <c r="A201">
        <v>9034464</v>
      </c>
      <c r="B201" t="s">
        <v>17</v>
      </c>
    </row>
    <row r="202" spans="1:37" x14ac:dyDescent="0.25">
      <c r="A202">
        <v>9040167</v>
      </c>
      <c r="B202" t="s">
        <v>17</v>
      </c>
    </row>
    <row r="203" spans="1:37" x14ac:dyDescent="0.25">
      <c r="A203">
        <v>9054567</v>
      </c>
      <c r="B203" t="s">
        <v>17</v>
      </c>
    </row>
    <row r="204" spans="1:37" x14ac:dyDescent="0.25">
      <c r="A204">
        <v>9083682</v>
      </c>
      <c r="B204" t="s">
        <v>17</v>
      </c>
      <c r="AB204">
        <v>0</v>
      </c>
      <c r="AC204">
        <v>0</v>
      </c>
      <c r="AD204">
        <v>0</v>
      </c>
      <c r="AF204">
        <v>0</v>
      </c>
      <c r="AG204">
        <v>0</v>
      </c>
      <c r="AI204">
        <v>0</v>
      </c>
      <c r="AJ204">
        <v>0</v>
      </c>
    </row>
    <row r="205" spans="1:37" x14ac:dyDescent="0.25">
      <c r="A205">
        <v>9102044</v>
      </c>
      <c r="B205" t="s">
        <v>17</v>
      </c>
    </row>
    <row r="206" spans="1:37" x14ac:dyDescent="0.25">
      <c r="A206">
        <v>9119854</v>
      </c>
      <c r="B206" t="s">
        <v>17</v>
      </c>
    </row>
    <row r="207" spans="1:37" x14ac:dyDescent="0.25">
      <c r="A207">
        <v>9125126</v>
      </c>
      <c r="B207" t="s">
        <v>17</v>
      </c>
    </row>
    <row r="208" spans="1:37" x14ac:dyDescent="0.25">
      <c r="A208">
        <v>9174811</v>
      </c>
      <c r="B208" t="s">
        <v>17</v>
      </c>
    </row>
    <row r="209" spans="1:37" x14ac:dyDescent="0.25">
      <c r="A209">
        <v>10002875</v>
      </c>
      <c r="B209" t="s">
        <v>17</v>
      </c>
      <c r="J209">
        <v>0</v>
      </c>
      <c r="R209">
        <v>0</v>
      </c>
      <c r="T209">
        <v>0</v>
      </c>
      <c r="V209">
        <v>0</v>
      </c>
      <c r="W209">
        <v>0</v>
      </c>
      <c r="AD209">
        <v>0</v>
      </c>
      <c r="AI209">
        <v>0</v>
      </c>
    </row>
    <row r="210" spans="1:37" x14ac:dyDescent="0.25">
      <c r="A210">
        <v>10023080</v>
      </c>
      <c r="B210" t="s">
        <v>17</v>
      </c>
    </row>
    <row r="211" spans="1:37" x14ac:dyDescent="0.25">
      <c r="A211">
        <v>10025212</v>
      </c>
      <c r="B211" t="s">
        <v>17</v>
      </c>
      <c r="D211">
        <v>0</v>
      </c>
      <c r="E211">
        <v>0</v>
      </c>
      <c r="G211">
        <v>0</v>
      </c>
      <c r="J211">
        <v>0</v>
      </c>
      <c r="S211">
        <v>0</v>
      </c>
      <c r="T211">
        <v>0</v>
      </c>
      <c r="U211">
        <v>0</v>
      </c>
      <c r="V211">
        <v>0</v>
      </c>
      <c r="AB211">
        <v>0</v>
      </c>
      <c r="AC211">
        <v>0</v>
      </c>
      <c r="AD211">
        <v>0</v>
      </c>
    </row>
    <row r="212" spans="1:37" x14ac:dyDescent="0.25">
      <c r="A212">
        <v>10069407</v>
      </c>
      <c r="B212" t="s">
        <v>17</v>
      </c>
    </row>
    <row r="213" spans="1:37" x14ac:dyDescent="0.25">
      <c r="A213">
        <v>10071135</v>
      </c>
      <c r="B213" t="s">
        <v>17</v>
      </c>
    </row>
    <row r="214" spans="1:37" x14ac:dyDescent="0.25">
      <c r="A214">
        <v>10083649</v>
      </c>
      <c r="B214" t="s">
        <v>17</v>
      </c>
    </row>
    <row r="215" spans="1:37" x14ac:dyDescent="0.25">
      <c r="A215">
        <v>10102021</v>
      </c>
      <c r="B215" t="s">
        <v>17</v>
      </c>
    </row>
    <row r="216" spans="1:37" x14ac:dyDescent="0.25">
      <c r="A216">
        <v>10123729</v>
      </c>
      <c r="B216" t="s">
        <v>17</v>
      </c>
    </row>
    <row r="217" spans="1:37" x14ac:dyDescent="0.25">
      <c r="A217">
        <v>10144736</v>
      </c>
      <c r="B217" t="s">
        <v>17</v>
      </c>
    </row>
    <row r="218" spans="1:37" x14ac:dyDescent="0.25">
      <c r="A218">
        <v>10157275</v>
      </c>
      <c r="B218" t="s">
        <v>17</v>
      </c>
      <c r="AB218">
        <v>0</v>
      </c>
      <c r="AC218">
        <v>0</v>
      </c>
      <c r="AD218">
        <v>0</v>
      </c>
      <c r="AE218">
        <v>0</v>
      </c>
    </row>
    <row r="219" spans="1:37" x14ac:dyDescent="0.25">
      <c r="A219">
        <v>10190869</v>
      </c>
      <c r="B219" t="s">
        <v>17</v>
      </c>
    </row>
    <row r="220" spans="1:37" x14ac:dyDescent="0.25">
      <c r="A220">
        <v>11008417</v>
      </c>
      <c r="B220" t="s">
        <v>17</v>
      </c>
      <c r="C220">
        <v>0</v>
      </c>
      <c r="E220">
        <v>0</v>
      </c>
      <c r="AB220">
        <v>0</v>
      </c>
      <c r="AC220">
        <v>0</v>
      </c>
      <c r="AD220">
        <v>0</v>
      </c>
      <c r="AE220">
        <v>1</v>
      </c>
      <c r="AH220">
        <v>1</v>
      </c>
      <c r="AJ220">
        <v>0</v>
      </c>
      <c r="AK220">
        <v>0</v>
      </c>
    </row>
    <row r="221" spans="1:37" x14ac:dyDescent="0.25">
      <c r="A221">
        <v>11043926</v>
      </c>
      <c r="B221" t="s">
        <v>17</v>
      </c>
    </row>
    <row r="222" spans="1:37" x14ac:dyDescent="0.25">
      <c r="A222">
        <v>11049060</v>
      </c>
      <c r="B222" t="s">
        <v>17</v>
      </c>
      <c r="J222">
        <v>1</v>
      </c>
      <c r="AD222">
        <v>1</v>
      </c>
      <c r="AJ222">
        <v>0</v>
      </c>
    </row>
    <row r="223" spans="1:37" x14ac:dyDescent="0.25">
      <c r="A223">
        <v>11058012</v>
      </c>
      <c r="B223" t="s">
        <v>17</v>
      </c>
      <c r="AB223">
        <v>1</v>
      </c>
    </row>
    <row r="224" spans="1:37" x14ac:dyDescent="0.25">
      <c r="A224">
        <v>11082290</v>
      </c>
      <c r="B224" t="s">
        <v>17</v>
      </c>
    </row>
    <row r="225" spans="1:37" x14ac:dyDescent="0.25">
      <c r="A225">
        <v>11096431</v>
      </c>
      <c r="B225" t="s">
        <v>17</v>
      </c>
    </row>
    <row r="226" spans="1:37" x14ac:dyDescent="0.25">
      <c r="A226">
        <v>11105672</v>
      </c>
      <c r="B226" t="s">
        <v>17</v>
      </c>
    </row>
    <row r="227" spans="1:37" x14ac:dyDescent="0.25">
      <c r="A227" t="s">
        <v>18</v>
      </c>
      <c r="B227" t="s">
        <v>17</v>
      </c>
      <c r="AB227">
        <v>0</v>
      </c>
      <c r="AC227">
        <v>0</v>
      </c>
      <c r="AD227">
        <v>0</v>
      </c>
      <c r="AI227">
        <v>1</v>
      </c>
      <c r="AJ227">
        <v>0</v>
      </c>
      <c r="AK227">
        <v>1</v>
      </c>
    </row>
    <row r="228" spans="1:37" x14ac:dyDescent="0.25">
      <c r="A228">
        <v>11136262</v>
      </c>
      <c r="B228" t="s">
        <v>17</v>
      </c>
    </row>
    <row r="229" spans="1:37" x14ac:dyDescent="0.25">
      <c r="A229">
        <v>11178455</v>
      </c>
      <c r="B229" t="s">
        <v>17</v>
      </c>
      <c r="AB229">
        <v>0</v>
      </c>
      <c r="AC229">
        <v>0</v>
      </c>
      <c r="AD229">
        <v>0</v>
      </c>
    </row>
    <row r="230" spans="1:37" x14ac:dyDescent="0.25">
      <c r="A230">
        <v>11179526</v>
      </c>
      <c r="B230" t="s">
        <v>17</v>
      </c>
      <c r="AB230">
        <v>0</v>
      </c>
      <c r="AC230">
        <v>0</v>
      </c>
      <c r="AD230">
        <v>0</v>
      </c>
    </row>
    <row r="231" spans="1:37" x14ac:dyDescent="0.25">
      <c r="A231">
        <v>11187511</v>
      </c>
      <c r="B231" t="s">
        <v>17</v>
      </c>
      <c r="C231">
        <v>1</v>
      </c>
      <c r="E231">
        <v>0</v>
      </c>
      <c r="J231">
        <v>0</v>
      </c>
      <c r="N231">
        <v>0</v>
      </c>
      <c r="O231">
        <v>0</v>
      </c>
      <c r="P231">
        <v>0</v>
      </c>
      <c r="T231">
        <v>0</v>
      </c>
      <c r="V231">
        <v>0</v>
      </c>
      <c r="AI231">
        <v>0</v>
      </c>
      <c r="AJ231">
        <v>0</v>
      </c>
      <c r="AK231">
        <v>0</v>
      </c>
    </row>
    <row r="232" spans="1:37" x14ac:dyDescent="0.25">
      <c r="A232">
        <v>11223290</v>
      </c>
      <c r="B232" t="s">
        <v>17</v>
      </c>
      <c r="C232">
        <v>1</v>
      </c>
      <c r="J232">
        <v>0</v>
      </c>
      <c r="N232">
        <v>0</v>
      </c>
      <c r="O232">
        <v>0</v>
      </c>
      <c r="P232">
        <v>0</v>
      </c>
      <c r="S232">
        <v>0</v>
      </c>
      <c r="V232">
        <v>0</v>
      </c>
      <c r="AD232">
        <v>0</v>
      </c>
      <c r="AH232">
        <v>0</v>
      </c>
      <c r="AI232">
        <v>0</v>
      </c>
      <c r="AK232">
        <v>0</v>
      </c>
    </row>
    <row r="233" spans="1:37" x14ac:dyDescent="0.25">
      <c r="A233">
        <v>11228365</v>
      </c>
      <c r="B233" t="s">
        <v>17</v>
      </c>
    </row>
    <row r="234" spans="1:37" x14ac:dyDescent="0.25">
      <c r="A234">
        <v>12020246</v>
      </c>
      <c r="B234" t="s">
        <v>17</v>
      </c>
    </row>
    <row r="235" spans="1:37" x14ac:dyDescent="0.25">
      <c r="A235">
        <v>12035138</v>
      </c>
      <c r="B235" t="s">
        <v>17</v>
      </c>
    </row>
    <row r="236" spans="1:37" x14ac:dyDescent="0.25">
      <c r="A236">
        <v>12111578</v>
      </c>
      <c r="B236" t="s">
        <v>17</v>
      </c>
      <c r="AB236">
        <v>0</v>
      </c>
      <c r="AC236">
        <v>0</v>
      </c>
    </row>
    <row r="237" spans="1:37" x14ac:dyDescent="0.25">
      <c r="A237">
        <v>12133434</v>
      </c>
      <c r="B237" t="s">
        <v>17</v>
      </c>
    </row>
    <row r="238" spans="1:37" x14ac:dyDescent="0.25">
      <c r="A238">
        <v>12164268</v>
      </c>
      <c r="B238" t="s">
        <v>17</v>
      </c>
    </row>
    <row r="239" spans="1:37" x14ac:dyDescent="0.25">
      <c r="A239">
        <v>12164269</v>
      </c>
      <c r="B239" t="s">
        <v>17</v>
      </c>
      <c r="AB239">
        <v>0</v>
      </c>
      <c r="AC239">
        <v>0</v>
      </c>
      <c r="AD239">
        <v>0</v>
      </c>
    </row>
    <row r="240" spans="1:37" x14ac:dyDescent="0.25">
      <c r="A240">
        <v>12168562</v>
      </c>
      <c r="B240" t="s">
        <v>17</v>
      </c>
      <c r="D240">
        <v>0</v>
      </c>
      <c r="E240">
        <v>0</v>
      </c>
      <c r="G240">
        <v>0</v>
      </c>
      <c r="AB240">
        <v>0</v>
      </c>
      <c r="AC240">
        <v>0</v>
      </c>
      <c r="AD240">
        <v>0</v>
      </c>
    </row>
    <row r="241" spans="1:36" x14ac:dyDescent="0.25">
      <c r="A241">
        <v>12190939</v>
      </c>
      <c r="B241" t="s">
        <v>17</v>
      </c>
    </row>
    <row r="242" spans="1:36" x14ac:dyDescent="0.25">
      <c r="A242">
        <v>12311081</v>
      </c>
      <c r="B242" t="s">
        <v>17</v>
      </c>
    </row>
    <row r="243" spans="1:36" x14ac:dyDescent="0.25">
      <c r="A243">
        <v>6000832</v>
      </c>
      <c r="B243" t="s">
        <v>17</v>
      </c>
      <c r="K243">
        <v>0</v>
      </c>
      <c r="L243">
        <v>0</v>
      </c>
      <c r="V243">
        <v>0</v>
      </c>
      <c r="AJ243">
        <v>0</v>
      </c>
    </row>
    <row r="244" spans="1:36" x14ac:dyDescent="0.25">
      <c r="A244">
        <v>9030615</v>
      </c>
      <c r="B244" t="s">
        <v>17</v>
      </c>
    </row>
    <row r="245" spans="1:36" x14ac:dyDescent="0.25">
      <c r="A245" t="s">
        <v>19</v>
      </c>
      <c r="B245" t="s">
        <v>17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X245">
        <v>0</v>
      </c>
      <c r="Y245">
        <v>0</v>
      </c>
      <c r="Z245">
        <v>0</v>
      </c>
      <c r="AA245">
        <v>0</v>
      </c>
    </row>
    <row r="246" spans="1:36" x14ac:dyDescent="0.25">
      <c r="A246" t="s">
        <v>20</v>
      </c>
      <c r="B246" t="s">
        <v>17</v>
      </c>
      <c r="C246" s="4"/>
      <c r="D246" s="4"/>
      <c r="AF246" s="4"/>
      <c r="AG246" s="4"/>
      <c r="AH246" s="4"/>
    </row>
    <row r="247" spans="1:36" x14ac:dyDescent="0.25">
      <c r="A247">
        <v>5013714</v>
      </c>
      <c r="B247" t="s">
        <v>17</v>
      </c>
    </row>
    <row r="248" spans="1:36" x14ac:dyDescent="0.25">
      <c r="A248" s="18">
        <v>6062742</v>
      </c>
      <c r="B248" t="s">
        <v>17</v>
      </c>
      <c r="AB248">
        <v>0</v>
      </c>
      <c r="AC248">
        <v>0</v>
      </c>
      <c r="AD248">
        <v>0</v>
      </c>
    </row>
    <row r="249" spans="1:36" x14ac:dyDescent="0.25">
      <c r="A249">
        <v>6050794</v>
      </c>
      <c r="B249" t="s">
        <v>17</v>
      </c>
    </row>
    <row r="250" spans="1:36" x14ac:dyDescent="0.25">
      <c r="A250">
        <v>8051516</v>
      </c>
      <c r="B250" t="s">
        <v>17</v>
      </c>
    </row>
    <row r="251" spans="1:36" x14ac:dyDescent="0.25">
      <c r="A251">
        <v>8060785</v>
      </c>
      <c r="B251" t="s">
        <v>17</v>
      </c>
      <c r="E251">
        <v>0</v>
      </c>
      <c r="F251">
        <v>0</v>
      </c>
      <c r="J251">
        <v>1</v>
      </c>
      <c r="K251">
        <v>0</v>
      </c>
      <c r="L251">
        <v>0</v>
      </c>
      <c r="T251">
        <v>0</v>
      </c>
      <c r="V251">
        <v>0</v>
      </c>
      <c r="X251">
        <v>0</v>
      </c>
      <c r="AB251">
        <v>0</v>
      </c>
      <c r="AC251">
        <v>0</v>
      </c>
      <c r="AD251">
        <v>0</v>
      </c>
    </row>
    <row r="252" spans="1:36" x14ac:dyDescent="0.25">
      <c r="A252">
        <v>8119197</v>
      </c>
      <c r="B252" t="s">
        <v>17</v>
      </c>
    </row>
    <row r="253" spans="1:36" x14ac:dyDescent="0.25">
      <c r="A253">
        <v>10137498</v>
      </c>
      <c r="B253" t="s">
        <v>17</v>
      </c>
    </row>
    <row r="254" spans="1:36" x14ac:dyDescent="0.25">
      <c r="A254" s="18">
        <v>11011791</v>
      </c>
      <c r="B254" t="s">
        <v>17</v>
      </c>
    </row>
    <row r="255" spans="1:36" x14ac:dyDescent="0.25">
      <c r="A255">
        <v>11242475</v>
      </c>
      <c r="B255" t="s">
        <v>17</v>
      </c>
    </row>
    <row r="256" spans="1:36" x14ac:dyDescent="0.25">
      <c r="A256" s="18">
        <v>12006392</v>
      </c>
      <c r="B256" t="s">
        <v>17</v>
      </c>
    </row>
    <row r="257" spans="1:37" x14ac:dyDescent="0.25">
      <c r="A257">
        <v>13006749</v>
      </c>
      <c r="B257" t="s">
        <v>17</v>
      </c>
      <c r="AB257">
        <v>0</v>
      </c>
      <c r="AD257">
        <v>0</v>
      </c>
      <c r="AJ257">
        <v>0</v>
      </c>
    </row>
    <row r="258" spans="1:37" ht="16.5" customHeight="1" x14ac:dyDescent="0.25">
      <c r="A258" s="18">
        <v>3008204</v>
      </c>
      <c r="B258" t="s">
        <v>17</v>
      </c>
    </row>
    <row r="259" spans="1:37" x14ac:dyDescent="0.25">
      <c r="A259" s="18">
        <v>11186565</v>
      </c>
      <c r="B259" t="s">
        <v>17</v>
      </c>
    </row>
    <row r="260" spans="1:37" x14ac:dyDescent="0.25">
      <c r="A260" t="s">
        <v>167</v>
      </c>
      <c r="B260" t="s">
        <v>17</v>
      </c>
      <c r="C260">
        <f>COUNTIF(C172:C259,0)</f>
        <v>2</v>
      </c>
      <c r="D260">
        <f t="shared" ref="D260:AK260" si="2">COUNTIF(D172:D259,0)</f>
        <v>4</v>
      </c>
      <c r="E260">
        <f t="shared" si="2"/>
        <v>8</v>
      </c>
      <c r="F260">
        <f t="shared" si="2"/>
        <v>2</v>
      </c>
      <c r="G260">
        <f t="shared" si="2"/>
        <v>4</v>
      </c>
      <c r="H260">
        <f t="shared" si="2"/>
        <v>3</v>
      </c>
      <c r="I260">
        <f t="shared" si="2"/>
        <v>2</v>
      </c>
      <c r="J260">
        <f t="shared" si="2"/>
        <v>4</v>
      </c>
      <c r="K260">
        <f t="shared" si="2"/>
        <v>2</v>
      </c>
      <c r="L260">
        <f t="shared" si="2"/>
        <v>2</v>
      </c>
      <c r="M260">
        <f t="shared" si="2"/>
        <v>0</v>
      </c>
      <c r="N260">
        <f t="shared" si="2"/>
        <v>2</v>
      </c>
      <c r="O260">
        <f t="shared" si="2"/>
        <v>3</v>
      </c>
      <c r="P260">
        <f t="shared" si="2"/>
        <v>2</v>
      </c>
      <c r="Q260">
        <f t="shared" si="2"/>
        <v>0</v>
      </c>
      <c r="R260">
        <f t="shared" si="2"/>
        <v>1</v>
      </c>
      <c r="S260">
        <f t="shared" si="2"/>
        <v>2</v>
      </c>
      <c r="T260">
        <f t="shared" si="2"/>
        <v>4</v>
      </c>
      <c r="U260">
        <f t="shared" si="2"/>
        <v>1</v>
      </c>
      <c r="V260">
        <f t="shared" si="2"/>
        <v>6</v>
      </c>
      <c r="W260">
        <f t="shared" si="2"/>
        <v>1</v>
      </c>
      <c r="X260">
        <f t="shared" si="2"/>
        <v>2</v>
      </c>
      <c r="Y260">
        <f t="shared" si="2"/>
        <v>2</v>
      </c>
      <c r="Z260">
        <f t="shared" si="2"/>
        <v>2</v>
      </c>
      <c r="AA260">
        <f t="shared" si="2"/>
        <v>2</v>
      </c>
      <c r="AB260">
        <f t="shared" si="2"/>
        <v>20</v>
      </c>
      <c r="AC260">
        <f t="shared" si="2"/>
        <v>16</v>
      </c>
      <c r="AD260">
        <f t="shared" si="2"/>
        <v>20</v>
      </c>
      <c r="AE260">
        <f t="shared" si="2"/>
        <v>2</v>
      </c>
      <c r="AF260">
        <f t="shared" si="2"/>
        <v>1</v>
      </c>
      <c r="AG260">
        <f t="shared" si="2"/>
        <v>1</v>
      </c>
      <c r="AH260">
        <f t="shared" si="2"/>
        <v>2</v>
      </c>
      <c r="AI260">
        <f t="shared" si="2"/>
        <v>6</v>
      </c>
      <c r="AJ260">
        <f t="shared" si="2"/>
        <v>10</v>
      </c>
      <c r="AK260">
        <f t="shared" si="2"/>
        <v>6</v>
      </c>
    </row>
    <row r="261" spans="1:37" x14ac:dyDescent="0.25">
      <c r="A261" t="s">
        <v>166</v>
      </c>
      <c r="B261" t="s">
        <v>17</v>
      </c>
      <c r="C261">
        <f>COUNTIF(C172:C259,1)</f>
        <v>3</v>
      </c>
      <c r="D261">
        <f t="shared" ref="D261:AK261" si="3">COUNTIF(D172:D259,1)</f>
        <v>0</v>
      </c>
      <c r="E261">
        <f t="shared" si="3"/>
        <v>0</v>
      </c>
      <c r="F261">
        <f t="shared" si="3"/>
        <v>0</v>
      </c>
      <c r="G261">
        <f t="shared" si="3"/>
        <v>1</v>
      </c>
      <c r="H261">
        <f t="shared" si="3"/>
        <v>0</v>
      </c>
      <c r="I261">
        <f t="shared" si="3"/>
        <v>0</v>
      </c>
      <c r="J261">
        <f t="shared" si="3"/>
        <v>4</v>
      </c>
      <c r="K261">
        <f t="shared" si="3"/>
        <v>0</v>
      </c>
      <c r="L261">
        <f t="shared" si="3"/>
        <v>0</v>
      </c>
      <c r="M261">
        <f t="shared" si="3"/>
        <v>0</v>
      </c>
      <c r="N261">
        <f t="shared" si="3"/>
        <v>0</v>
      </c>
      <c r="O261">
        <f t="shared" si="3"/>
        <v>0</v>
      </c>
      <c r="P261">
        <f t="shared" si="3"/>
        <v>0</v>
      </c>
      <c r="Q261">
        <f t="shared" si="3"/>
        <v>0</v>
      </c>
      <c r="R261">
        <f t="shared" si="3"/>
        <v>0</v>
      </c>
      <c r="S261">
        <f t="shared" si="3"/>
        <v>0</v>
      </c>
      <c r="T261">
        <f t="shared" si="3"/>
        <v>0</v>
      </c>
      <c r="U261">
        <f t="shared" si="3"/>
        <v>0</v>
      </c>
      <c r="V261">
        <f t="shared" si="3"/>
        <v>1</v>
      </c>
      <c r="W261">
        <f t="shared" si="3"/>
        <v>0</v>
      </c>
      <c r="X261">
        <f t="shared" si="3"/>
        <v>0</v>
      </c>
      <c r="Y261">
        <f t="shared" si="3"/>
        <v>0</v>
      </c>
      <c r="Z261">
        <f t="shared" si="3"/>
        <v>0</v>
      </c>
      <c r="AA261">
        <f t="shared" si="3"/>
        <v>0</v>
      </c>
      <c r="AB261">
        <f t="shared" si="3"/>
        <v>1</v>
      </c>
      <c r="AC261">
        <f t="shared" si="3"/>
        <v>0</v>
      </c>
      <c r="AD261">
        <f t="shared" si="3"/>
        <v>1</v>
      </c>
      <c r="AE261">
        <f t="shared" si="3"/>
        <v>1</v>
      </c>
      <c r="AF261">
        <f t="shared" si="3"/>
        <v>0</v>
      </c>
      <c r="AG261">
        <f t="shared" si="3"/>
        <v>0</v>
      </c>
      <c r="AH261">
        <f t="shared" si="3"/>
        <v>1</v>
      </c>
      <c r="AI261">
        <f t="shared" si="3"/>
        <v>1</v>
      </c>
      <c r="AJ261">
        <f t="shared" si="3"/>
        <v>0</v>
      </c>
      <c r="AK261">
        <f t="shared" si="3"/>
        <v>1</v>
      </c>
    </row>
    <row r="262" spans="1:37" x14ac:dyDescent="0.25">
      <c r="C262" s="4"/>
      <c r="D262" s="4"/>
      <c r="AF262" s="4"/>
      <c r="AG262" s="4"/>
      <c r="AH262" s="4"/>
    </row>
    <row r="263" spans="1:37" x14ac:dyDescent="0.25">
      <c r="A263">
        <v>5281</v>
      </c>
      <c r="B263" t="s">
        <v>21</v>
      </c>
    </row>
    <row r="264" spans="1:37" x14ac:dyDescent="0.25">
      <c r="A264">
        <v>200085</v>
      </c>
      <c r="B264" t="s">
        <v>21</v>
      </c>
      <c r="AB264">
        <v>1</v>
      </c>
      <c r="AE264">
        <v>0</v>
      </c>
      <c r="AG264">
        <v>0</v>
      </c>
      <c r="AJ264">
        <v>0</v>
      </c>
      <c r="AK264">
        <v>0</v>
      </c>
    </row>
    <row r="265" spans="1:37" x14ac:dyDescent="0.25">
      <c r="A265">
        <v>500129</v>
      </c>
      <c r="B265" t="s">
        <v>21</v>
      </c>
    </row>
    <row r="266" spans="1:37" x14ac:dyDescent="0.25">
      <c r="A266" s="17">
        <v>1002033</v>
      </c>
      <c r="B266" t="s">
        <v>21</v>
      </c>
    </row>
    <row r="267" spans="1:37" x14ac:dyDescent="0.25">
      <c r="A267">
        <v>1003457</v>
      </c>
      <c r="B267" t="s">
        <v>21</v>
      </c>
    </row>
    <row r="268" spans="1:37" x14ac:dyDescent="0.25">
      <c r="A268">
        <v>2005223</v>
      </c>
      <c r="B268" t="s">
        <v>21</v>
      </c>
    </row>
    <row r="269" spans="1:37" x14ac:dyDescent="0.25">
      <c r="A269">
        <v>2006107</v>
      </c>
      <c r="B269" t="s">
        <v>21</v>
      </c>
    </row>
    <row r="270" spans="1:37" x14ac:dyDescent="0.25">
      <c r="A270">
        <v>2012014</v>
      </c>
      <c r="B270" t="s">
        <v>21</v>
      </c>
      <c r="C270">
        <v>1</v>
      </c>
      <c r="I270">
        <v>1</v>
      </c>
      <c r="X270">
        <v>0</v>
      </c>
      <c r="Z270">
        <v>0</v>
      </c>
      <c r="AA270">
        <v>1</v>
      </c>
      <c r="AD270">
        <v>0</v>
      </c>
      <c r="AF270">
        <v>0</v>
      </c>
      <c r="AI270">
        <v>1</v>
      </c>
      <c r="AJ270">
        <v>0</v>
      </c>
      <c r="AK270">
        <v>0</v>
      </c>
    </row>
    <row r="271" spans="1:37" x14ac:dyDescent="0.25">
      <c r="A271">
        <v>3000152</v>
      </c>
      <c r="B271" t="s">
        <v>21</v>
      </c>
      <c r="C271">
        <v>0</v>
      </c>
      <c r="D271">
        <v>0</v>
      </c>
      <c r="E271">
        <v>0</v>
      </c>
      <c r="G271">
        <v>0</v>
      </c>
      <c r="J271">
        <v>0</v>
      </c>
      <c r="K271">
        <v>0</v>
      </c>
      <c r="L271">
        <v>0</v>
      </c>
      <c r="R271">
        <v>0</v>
      </c>
      <c r="T271">
        <v>0</v>
      </c>
      <c r="U271">
        <v>0</v>
      </c>
      <c r="V271">
        <v>0</v>
      </c>
      <c r="AB271">
        <v>1</v>
      </c>
      <c r="AD271">
        <v>0</v>
      </c>
      <c r="AG271">
        <v>0</v>
      </c>
      <c r="AH271">
        <v>0</v>
      </c>
      <c r="AI271">
        <v>1</v>
      </c>
      <c r="AJ271">
        <v>0</v>
      </c>
      <c r="AK271">
        <v>0</v>
      </c>
    </row>
    <row r="272" spans="1:37" x14ac:dyDescent="0.25">
      <c r="A272">
        <v>3014566</v>
      </c>
      <c r="B272" t="s">
        <v>21</v>
      </c>
    </row>
    <row r="273" spans="1:35" x14ac:dyDescent="0.25">
      <c r="A273">
        <v>3015058</v>
      </c>
      <c r="B273" t="s">
        <v>21</v>
      </c>
      <c r="D273">
        <v>0</v>
      </c>
      <c r="E273">
        <v>0</v>
      </c>
      <c r="AB273">
        <v>0</v>
      </c>
      <c r="AC273">
        <v>0</v>
      </c>
      <c r="AD273">
        <v>0</v>
      </c>
      <c r="AE273">
        <v>0</v>
      </c>
      <c r="AI273">
        <v>0</v>
      </c>
    </row>
    <row r="274" spans="1:35" x14ac:dyDescent="0.25">
      <c r="A274" s="17">
        <v>4000996</v>
      </c>
      <c r="B274" t="s">
        <v>21</v>
      </c>
    </row>
    <row r="275" spans="1:35" x14ac:dyDescent="0.25">
      <c r="A275">
        <v>4003768</v>
      </c>
      <c r="B275" t="s">
        <v>21</v>
      </c>
    </row>
    <row r="276" spans="1:35" x14ac:dyDescent="0.25">
      <c r="A276">
        <v>4006540</v>
      </c>
      <c r="B276" t="s">
        <v>21</v>
      </c>
    </row>
    <row r="277" spans="1:35" x14ac:dyDescent="0.25">
      <c r="A277">
        <v>4007054</v>
      </c>
      <c r="B277" t="s">
        <v>21</v>
      </c>
    </row>
    <row r="278" spans="1:35" x14ac:dyDescent="0.25">
      <c r="A278">
        <v>4011002</v>
      </c>
      <c r="B278" t="s">
        <v>21</v>
      </c>
    </row>
    <row r="279" spans="1:35" x14ac:dyDescent="0.25">
      <c r="A279">
        <v>4900268</v>
      </c>
      <c r="B279" t="s">
        <v>21</v>
      </c>
    </row>
    <row r="280" spans="1:35" x14ac:dyDescent="0.25">
      <c r="A280">
        <v>5001097</v>
      </c>
      <c r="B280" t="s">
        <v>21</v>
      </c>
    </row>
    <row r="281" spans="1:35" x14ac:dyDescent="0.25">
      <c r="A281">
        <v>5001098</v>
      </c>
      <c r="B281" t="s">
        <v>21</v>
      </c>
    </row>
    <row r="282" spans="1:35" x14ac:dyDescent="0.25">
      <c r="A282">
        <v>5006152</v>
      </c>
      <c r="B282" t="s">
        <v>21</v>
      </c>
    </row>
    <row r="283" spans="1:35" x14ac:dyDescent="0.25">
      <c r="A283">
        <v>5011824</v>
      </c>
      <c r="B283" t="s">
        <v>21</v>
      </c>
    </row>
    <row r="284" spans="1:35" x14ac:dyDescent="0.25">
      <c r="A284">
        <v>5016179</v>
      </c>
      <c r="B284" t="s">
        <v>21</v>
      </c>
    </row>
    <row r="285" spans="1:35" x14ac:dyDescent="0.25">
      <c r="A285">
        <v>7079011</v>
      </c>
      <c r="B285" t="s">
        <v>21</v>
      </c>
    </row>
    <row r="286" spans="1:35" x14ac:dyDescent="0.25">
      <c r="A286">
        <v>8135416</v>
      </c>
      <c r="B286" t="s">
        <v>21</v>
      </c>
    </row>
    <row r="287" spans="1:35" x14ac:dyDescent="0.25">
      <c r="A287">
        <v>93018945</v>
      </c>
      <c r="B287" t="s">
        <v>21</v>
      </c>
    </row>
    <row r="288" spans="1:35" x14ac:dyDescent="0.25">
      <c r="A288">
        <v>94009028</v>
      </c>
      <c r="B288" t="s">
        <v>21</v>
      </c>
      <c r="AB288">
        <v>1</v>
      </c>
      <c r="AC288">
        <v>1</v>
      </c>
    </row>
    <row r="289" spans="1:36" x14ac:dyDescent="0.25">
      <c r="A289">
        <v>95005907</v>
      </c>
      <c r="B289" t="s">
        <v>21</v>
      </c>
    </row>
    <row r="290" spans="1:36" x14ac:dyDescent="0.25">
      <c r="A290">
        <v>95900164</v>
      </c>
      <c r="B290" t="s">
        <v>21</v>
      </c>
      <c r="AJ290">
        <v>0</v>
      </c>
    </row>
    <row r="291" spans="1:36" x14ac:dyDescent="0.25">
      <c r="A291">
        <v>96015811</v>
      </c>
      <c r="B291" t="s">
        <v>21</v>
      </c>
    </row>
    <row r="292" spans="1:36" x14ac:dyDescent="0.25">
      <c r="A292">
        <v>97001240</v>
      </c>
      <c r="B292" t="s">
        <v>21</v>
      </c>
      <c r="J292">
        <v>0</v>
      </c>
      <c r="K292">
        <v>0</v>
      </c>
      <c r="L292">
        <v>0</v>
      </c>
      <c r="X292">
        <v>0</v>
      </c>
      <c r="Z292">
        <v>0</v>
      </c>
      <c r="AA292">
        <v>1</v>
      </c>
    </row>
    <row r="293" spans="1:36" x14ac:dyDescent="0.25">
      <c r="A293">
        <v>97005366</v>
      </c>
      <c r="B293" t="s">
        <v>21</v>
      </c>
    </row>
    <row r="294" spans="1:36" x14ac:dyDescent="0.25">
      <c r="A294">
        <v>98000595</v>
      </c>
      <c r="B294" t="s">
        <v>21</v>
      </c>
    </row>
    <row r="295" spans="1:36" x14ac:dyDescent="0.25">
      <c r="A295">
        <v>98002692</v>
      </c>
      <c r="B295" t="s">
        <v>21</v>
      </c>
    </row>
    <row r="296" spans="1:36" x14ac:dyDescent="0.25">
      <c r="A296">
        <v>98005277</v>
      </c>
      <c r="B296" t="s">
        <v>21</v>
      </c>
    </row>
    <row r="297" spans="1:36" x14ac:dyDescent="0.25">
      <c r="A297">
        <v>99001815</v>
      </c>
      <c r="B297" t="s">
        <v>21</v>
      </c>
    </row>
    <row r="298" spans="1:36" x14ac:dyDescent="0.25">
      <c r="A298">
        <v>6012361</v>
      </c>
      <c r="B298" t="s">
        <v>21</v>
      </c>
    </row>
    <row r="299" spans="1:36" x14ac:dyDescent="0.25">
      <c r="A299">
        <v>6015793</v>
      </c>
      <c r="B299" t="s">
        <v>21</v>
      </c>
    </row>
    <row r="300" spans="1:36" x14ac:dyDescent="0.25">
      <c r="A300">
        <v>6043619</v>
      </c>
      <c r="B300" t="s">
        <v>21</v>
      </c>
    </row>
    <row r="301" spans="1:36" x14ac:dyDescent="0.25">
      <c r="A301">
        <v>7001097</v>
      </c>
      <c r="B301" t="s">
        <v>21</v>
      </c>
    </row>
    <row r="302" spans="1:36" x14ac:dyDescent="0.25">
      <c r="A302">
        <v>7011435</v>
      </c>
      <c r="B302" t="s">
        <v>21</v>
      </c>
    </row>
    <row r="303" spans="1:36" x14ac:dyDescent="0.25">
      <c r="A303">
        <v>7045811</v>
      </c>
      <c r="B303" t="s">
        <v>21</v>
      </c>
    </row>
    <row r="304" spans="1:36" x14ac:dyDescent="0.25">
      <c r="A304">
        <v>7071198</v>
      </c>
      <c r="B304" t="s">
        <v>21</v>
      </c>
      <c r="Y304">
        <v>1</v>
      </c>
    </row>
    <row r="305" spans="1:37" x14ac:dyDescent="0.25">
      <c r="A305">
        <v>7101143</v>
      </c>
      <c r="B305" t="s">
        <v>21</v>
      </c>
    </row>
    <row r="306" spans="1:37" x14ac:dyDescent="0.25">
      <c r="A306">
        <v>8073350</v>
      </c>
      <c r="B306" t="s">
        <v>21</v>
      </c>
    </row>
    <row r="307" spans="1:37" x14ac:dyDescent="0.25">
      <c r="A307">
        <v>8073645</v>
      </c>
      <c r="B307" t="s">
        <v>21</v>
      </c>
    </row>
    <row r="308" spans="1:37" x14ac:dyDescent="0.25">
      <c r="A308" s="17">
        <v>8089666</v>
      </c>
      <c r="B308" t="s">
        <v>21</v>
      </c>
    </row>
    <row r="309" spans="1:37" x14ac:dyDescent="0.25">
      <c r="A309">
        <v>8103536</v>
      </c>
      <c r="B309" t="s">
        <v>21</v>
      </c>
      <c r="J309">
        <v>1</v>
      </c>
    </row>
    <row r="310" spans="1:37" x14ac:dyDescent="0.25">
      <c r="A310" t="s">
        <v>22</v>
      </c>
      <c r="B310" t="s">
        <v>21</v>
      </c>
    </row>
    <row r="311" spans="1:37" x14ac:dyDescent="0.25">
      <c r="A311">
        <v>9003267</v>
      </c>
      <c r="B311" t="s">
        <v>21</v>
      </c>
      <c r="E311">
        <v>0</v>
      </c>
      <c r="G311">
        <v>0</v>
      </c>
    </row>
    <row r="312" spans="1:37" x14ac:dyDescent="0.25">
      <c r="A312">
        <v>9036964</v>
      </c>
      <c r="B312" t="s">
        <v>21</v>
      </c>
      <c r="S312">
        <v>0</v>
      </c>
      <c r="T312">
        <v>0</v>
      </c>
      <c r="W312">
        <v>0</v>
      </c>
      <c r="AB312">
        <v>0</v>
      </c>
      <c r="AC312">
        <v>0</v>
      </c>
      <c r="AD312">
        <v>0</v>
      </c>
      <c r="AE312">
        <v>0</v>
      </c>
      <c r="AI312">
        <v>0</v>
      </c>
      <c r="AJ312">
        <v>0</v>
      </c>
      <c r="AK312">
        <v>0</v>
      </c>
    </row>
    <row r="313" spans="1:37" x14ac:dyDescent="0.25">
      <c r="A313">
        <v>9090287</v>
      </c>
      <c r="B313" t="s">
        <v>21</v>
      </c>
      <c r="AJ313">
        <v>0</v>
      </c>
    </row>
    <row r="314" spans="1:37" x14ac:dyDescent="0.25">
      <c r="A314">
        <v>9095148</v>
      </c>
      <c r="B314" t="s">
        <v>21</v>
      </c>
      <c r="G314">
        <v>1</v>
      </c>
    </row>
    <row r="315" spans="1:37" x14ac:dyDescent="0.25">
      <c r="A315">
        <v>9104979</v>
      </c>
      <c r="B315" t="s">
        <v>21</v>
      </c>
    </row>
    <row r="316" spans="1:37" x14ac:dyDescent="0.25">
      <c r="A316">
        <v>9139514</v>
      </c>
      <c r="B316" t="s">
        <v>21</v>
      </c>
    </row>
    <row r="317" spans="1:37" x14ac:dyDescent="0.25">
      <c r="A317">
        <v>10020659</v>
      </c>
      <c r="B317" t="s">
        <v>21</v>
      </c>
      <c r="AB317">
        <v>0</v>
      </c>
      <c r="AC317">
        <v>0</v>
      </c>
      <c r="AD317">
        <v>0</v>
      </c>
    </row>
    <row r="318" spans="1:37" x14ac:dyDescent="0.25">
      <c r="A318">
        <v>10025902</v>
      </c>
      <c r="B318" t="s">
        <v>21</v>
      </c>
      <c r="C318">
        <v>0</v>
      </c>
      <c r="X318">
        <v>0</v>
      </c>
      <c r="AC318">
        <v>1</v>
      </c>
    </row>
    <row r="319" spans="1:37" x14ac:dyDescent="0.25">
      <c r="A319">
        <v>10027654</v>
      </c>
      <c r="B319" t="s">
        <v>21</v>
      </c>
      <c r="E319">
        <v>0</v>
      </c>
      <c r="F319">
        <v>1</v>
      </c>
      <c r="G319">
        <v>0</v>
      </c>
      <c r="K319">
        <v>0</v>
      </c>
      <c r="L319">
        <v>0</v>
      </c>
      <c r="AB319">
        <v>0</v>
      </c>
      <c r="AC319">
        <v>0</v>
      </c>
      <c r="AD319">
        <v>0</v>
      </c>
    </row>
    <row r="320" spans="1:37" x14ac:dyDescent="0.25">
      <c r="A320">
        <v>10084485</v>
      </c>
      <c r="B320" t="s">
        <v>21</v>
      </c>
    </row>
    <row r="321" spans="1:31" x14ac:dyDescent="0.25">
      <c r="A321">
        <v>10098420</v>
      </c>
      <c r="B321" t="s">
        <v>21</v>
      </c>
    </row>
    <row r="322" spans="1:31" x14ac:dyDescent="0.25">
      <c r="A322">
        <v>10129565</v>
      </c>
      <c r="B322" t="s">
        <v>21</v>
      </c>
    </row>
    <row r="323" spans="1:31" x14ac:dyDescent="0.25">
      <c r="A323">
        <v>10146828</v>
      </c>
      <c r="B323" t="s">
        <v>21</v>
      </c>
    </row>
    <row r="324" spans="1:31" x14ac:dyDescent="0.25">
      <c r="A324">
        <v>10163776</v>
      </c>
      <c r="B324" t="s">
        <v>21</v>
      </c>
    </row>
    <row r="325" spans="1:31" x14ac:dyDescent="0.25">
      <c r="A325">
        <v>10173664</v>
      </c>
      <c r="B325" t="s">
        <v>21</v>
      </c>
      <c r="C325">
        <v>0</v>
      </c>
      <c r="D325">
        <v>0</v>
      </c>
      <c r="E325">
        <v>0</v>
      </c>
      <c r="AB325">
        <v>0</v>
      </c>
      <c r="AC325">
        <v>0</v>
      </c>
      <c r="AD325">
        <v>0</v>
      </c>
    </row>
    <row r="326" spans="1:31" x14ac:dyDescent="0.25">
      <c r="A326">
        <v>11000454</v>
      </c>
      <c r="B326" t="s">
        <v>21</v>
      </c>
      <c r="E326">
        <v>0</v>
      </c>
      <c r="F326">
        <v>0</v>
      </c>
      <c r="G326">
        <v>0</v>
      </c>
      <c r="V326">
        <v>1</v>
      </c>
      <c r="W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25">
      <c r="A327">
        <v>11083498</v>
      </c>
      <c r="B327" t="s">
        <v>21</v>
      </c>
      <c r="E327">
        <v>0</v>
      </c>
      <c r="F327">
        <v>1</v>
      </c>
      <c r="G327">
        <v>0</v>
      </c>
      <c r="Y327">
        <v>0</v>
      </c>
      <c r="AB327">
        <v>0</v>
      </c>
      <c r="AC327">
        <v>0</v>
      </c>
      <c r="AD327">
        <v>0</v>
      </c>
    </row>
    <row r="328" spans="1:31" x14ac:dyDescent="0.25">
      <c r="A328">
        <v>11138447</v>
      </c>
      <c r="B328" t="s">
        <v>21</v>
      </c>
      <c r="AB328">
        <v>0</v>
      </c>
      <c r="AC328">
        <v>0</v>
      </c>
      <c r="AD328">
        <v>0</v>
      </c>
    </row>
    <row r="329" spans="1:31" x14ac:dyDescent="0.25">
      <c r="A329">
        <v>11144001</v>
      </c>
      <c r="B329" t="s">
        <v>21</v>
      </c>
      <c r="J329">
        <v>0</v>
      </c>
      <c r="K329">
        <v>0</v>
      </c>
      <c r="L329">
        <v>0</v>
      </c>
      <c r="P329">
        <v>1</v>
      </c>
    </row>
    <row r="330" spans="1:31" x14ac:dyDescent="0.25">
      <c r="A330" t="s">
        <v>23</v>
      </c>
      <c r="B330" t="s">
        <v>21</v>
      </c>
      <c r="AB330">
        <v>0</v>
      </c>
      <c r="AC330">
        <v>0</v>
      </c>
      <c r="AD330">
        <v>0</v>
      </c>
    </row>
    <row r="331" spans="1:31" x14ac:dyDescent="0.25">
      <c r="A331" t="s">
        <v>24</v>
      </c>
      <c r="B331" t="s">
        <v>21</v>
      </c>
    </row>
    <row r="332" spans="1:31" x14ac:dyDescent="0.25">
      <c r="A332">
        <v>12021531</v>
      </c>
      <c r="B332" t="s">
        <v>21</v>
      </c>
    </row>
    <row r="333" spans="1:31" x14ac:dyDescent="0.25">
      <c r="A333">
        <v>12185514</v>
      </c>
      <c r="B333" t="s">
        <v>21</v>
      </c>
      <c r="D333">
        <v>0</v>
      </c>
      <c r="E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R333">
        <v>0</v>
      </c>
      <c r="V333">
        <v>0</v>
      </c>
      <c r="AC333">
        <v>0</v>
      </c>
      <c r="AD333">
        <v>0</v>
      </c>
    </row>
    <row r="334" spans="1:31" x14ac:dyDescent="0.25">
      <c r="A334">
        <v>12202633</v>
      </c>
      <c r="B334" t="s">
        <v>21</v>
      </c>
      <c r="J334">
        <v>0</v>
      </c>
    </row>
    <row r="335" spans="1:31" x14ac:dyDescent="0.25">
      <c r="A335">
        <v>12325258</v>
      </c>
      <c r="B335" t="s">
        <v>21</v>
      </c>
    </row>
    <row r="336" spans="1:31" x14ac:dyDescent="0.25">
      <c r="A336">
        <v>5018677</v>
      </c>
      <c r="B336" t="s">
        <v>21</v>
      </c>
    </row>
    <row r="337" spans="1:36" x14ac:dyDescent="0.25">
      <c r="A337">
        <v>11243521</v>
      </c>
      <c r="B337" t="s">
        <v>21</v>
      </c>
    </row>
    <row r="338" spans="1:36" x14ac:dyDescent="0.25">
      <c r="A338">
        <v>2008127</v>
      </c>
      <c r="B338" t="s">
        <v>21</v>
      </c>
    </row>
    <row r="339" spans="1:36" x14ac:dyDescent="0.25">
      <c r="A339">
        <v>6081681</v>
      </c>
      <c r="B339" t="s">
        <v>21</v>
      </c>
    </row>
    <row r="340" spans="1:36" x14ac:dyDescent="0.25">
      <c r="A340" s="18">
        <v>200149</v>
      </c>
      <c r="B340" t="s">
        <v>21</v>
      </c>
      <c r="E340">
        <v>0</v>
      </c>
      <c r="F340">
        <v>0</v>
      </c>
    </row>
    <row r="341" spans="1:36" x14ac:dyDescent="0.25">
      <c r="A341" s="18">
        <v>1006310</v>
      </c>
      <c r="B341" t="s">
        <v>21</v>
      </c>
    </row>
    <row r="342" spans="1:36" x14ac:dyDescent="0.25">
      <c r="A342" s="18">
        <v>1007842</v>
      </c>
      <c r="B342" t="s">
        <v>21</v>
      </c>
    </row>
    <row r="343" spans="1:36" x14ac:dyDescent="0.25">
      <c r="A343">
        <v>2008127</v>
      </c>
      <c r="B343" t="s">
        <v>21</v>
      </c>
    </row>
    <row r="344" spans="1:36" x14ac:dyDescent="0.25">
      <c r="A344" s="18">
        <v>3017084</v>
      </c>
      <c r="B344" t="s">
        <v>21</v>
      </c>
      <c r="E344">
        <v>1</v>
      </c>
      <c r="F344">
        <v>1</v>
      </c>
      <c r="J344">
        <v>0</v>
      </c>
      <c r="S344">
        <v>0</v>
      </c>
      <c r="V344">
        <v>0</v>
      </c>
    </row>
    <row r="345" spans="1:36" x14ac:dyDescent="0.25">
      <c r="A345" s="18">
        <v>4009308</v>
      </c>
      <c r="B345" t="s">
        <v>21</v>
      </c>
      <c r="AJ345">
        <v>0</v>
      </c>
    </row>
    <row r="346" spans="1:36" x14ac:dyDescent="0.25">
      <c r="A346" s="18">
        <v>8012361</v>
      </c>
      <c r="B346" t="s">
        <v>21</v>
      </c>
      <c r="AB346">
        <v>0</v>
      </c>
      <c r="AC346">
        <v>0</v>
      </c>
      <c r="AD346">
        <v>0</v>
      </c>
    </row>
    <row r="347" spans="1:36" x14ac:dyDescent="0.25">
      <c r="A347" s="19" t="s">
        <v>197</v>
      </c>
      <c r="B347" t="s">
        <v>21</v>
      </c>
    </row>
    <row r="348" spans="1:36" x14ac:dyDescent="0.25">
      <c r="A348">
        <v>7065854</v>
      </c>
      <c r="B348" t="s">
        <v>21</v>
      </c>
    </row>
    <row r="349" spans="1:36" x14ac:dyDescent="0.25">
      <c r="A349">
        <v>7066720</v>
      </c>
      <c r="B349" t="s">
        <v>21</v>
      </c>
    </row>
    <row r="350" spans="1:36" x14ac:dyDescent="0.25">
      <c r="A350" s="18">
        <v>8065877</v>
      </c>
      <c r="B350" t="s">
        <v>21</v>
      </c>
    </row>
    <row r="351" spans="1:36" x14ac:dyDescent="0.25">
      <c r="A351" s="20">
        <v>8064173</v>
      </c>
      <c r="B351" t="s">
        <v>21</v>
      </c>
    </row>
    <row r="352" spans="1:36" x14ac:dyDescent="0.25">
      <c r="A352">
        <v>9109244</v>
      </c>
      <c r="B352" t="s">
        <v>21</v>
      </c>
      <c r="G352">
        <v>0</v>
      </c>
      <c r="J352">
        <v>1</v>
      </c>
      <c r="AB352">
        <v>0</v>
      </c>
      <c r="AC352">
        <v>0</v>
      </c>
      <c r="AD352">
        <v>0</v>
      </c>
      <c r="AJ352">
        <v>1</v>
      </c>
    </row>
    <row r="353" spans="1:37" x14ac:dyDescent="0.25">
      <c r="A353" s="18">
        <v>9130880</v>
      </c>
      <c r="B353" t="s">
        <v>21</v>
      </c>
    </row>
    <row r="354" spans="1:37" x14ac:dyDescent="0.25">
      <c r="A354" s="18" t="s">
        <v>198</v>
      </c>
      <c r="B354" t="s">
        <v>21</v>
      </c>
      <c r="E354">
        <v>0</v>
      </c>
      <c r="G354">
        <v>0</v>
      </c>
      <c r="J354">
        <v>0</v>
      </c>
      <c r="S354">
        <v>0</v>
      </c>
      <c r="T354">
        <v>0</v>
      </c>
      <c r="V354">
        <v>0</v>
      </c>
      <c r="AC354">
        <v>0</v>
      </c>
      <c r="AD354">
        <v>0</v>
      </c>
    </row>
    <row r="355" spans="1:37" x14ac:dyDescent="0.25">
      <c r="A355" s="18">
        <v>12188410</v>
      </c>
      <c r="B355" t="s">
        <v>21</v>
      </c>
      <c r="J355">
        <v>1</v>
      </c>
    </row>
    <row r="356" spans="1:37" x14ac:dyDescent="0.25">
      <c r="A356" s="18" t="s">
        <v>199</v>
      </c>
      <c r="B356" t="s">
        <v>21</v>
      </c>
      <c r="AB356">
        <v>1</v>
      </c>
    </row>
    <row r="357" spans="1:37" x14ac:dyDescent="0.25">
      <c r="A357" s="18">
        <v>3019249</v>
      </c>
      <c r="B357" t="s">
        <v>21</v>
      </c>
      <c r="E357">
        <v>0</v>
      </c>
      <c r="F357">
        <v>0</v>
      </c>
      <c r="AB357">
        <v>0</v>
      </c>
      <c r="AD357">
        <v>0</v>
      </c>
      <c r="AJ357">
        <v>0</v>
      </c>
    </row>
    <row r="358" spans="1:37" x14ac:dyDescent="0.25">
      <c r="A358" s="18">
        <v>6064311</v>
      </c>
      <c r="B358" t="s">
        <v>21</v>
      </c>
      <c r="G358">
        <v>1</v>
      </c>
      <c r="J358">
        <v>0</v>
      </c>
      <c r="V358">
        <v>0</v>
      </c>
      <c r="AB358">
        <v>0</v>
      </c>
      <c r="AD358">
        <v>0</v>
      </c>
      <c r="AJ358">
        <v>0</v>
      </c>
    </row>
    <row r="359" spans="1:37" x14ac:dyDescent="0.25">
      <c r="A359" s="18">
        <v>8019333</v>
      </c>
      <c r="B359" t="s">
        <v>21</v>
      </c>
    </row>
    <row r="360" spans="1:37" x14ac:dyDescent="0.25">
      <c r="A360" s="18">
        <v>11034329</v>
      </c>
      <c r="B360" t="s">
        <v>21</v>
      </c>
    </row>
    <row r="361" spans="1:37" x14ac:dyDescent="0.25">
      <c r="A361" t="s">
        <v>167</v>
      </c>
      <c r="B361" t="s">
        <v>21</v>
      </c>
      <c r="C361">
        <f>COUNTIF(C263:C360,0)</f>
        <v>3</v>
      </c>
      <c r="D361">
        <f t="shared" ref="D361:AK361" si="4">COUNTIF(D263:D360,0)</f>
        <v>4</v>
      </c>
      <c r="E361">
        <f t="shared" si="4"/>
        <v>11</v>
      </c>
      <c r="F361">
        <f t="shared" si="4"/>
        <v>3</v>
      </c>
      <c r="G361">
        <f t="shared" si="4"/>
        <v>7</v>
      </c>
      <c r="H361">
        <f t="shared" si="4"/>
        <v>0</v>
      </c>
      <c r="I361">
        <f t="shared" si="4"/>
        <v>0</v>
      </c>
      <c r="J361">
        <f t="shared" si="4"/>
        <v>7</v>
      </c>
      <c r="K361">
        <f t="shared" si="4"/>
        <v>5</v>
      </c>
      <c r="L361">
        <f t="shared" si="4"/>
        <v>5</v>
      </c>
      <c r="M361">
        <f t="shared" si="4"/>
        <v>0</v>
      </c>
      <c r="N361">
        <f t="shared" si="4"/>
        <v>1</v>
      </c>
      <c r="O361">
        <f t="shared" si="4"/>
        <v>0</v>
      </c>
      <c r="P361">
        <f t="shared" si="4"/>
        <v>0</v>
      </c>
      <c r="Q361">
        <f t="shared" si="4"/>
        <v>0</v>
      </c>
      <c r="R361">
        <f t="shared" si="4"/>
        <v>2</v>
      </c>
      <c r="S361">
        <f t="shared" si="4"/>
        <v>3</v>
      </c>
      <c r="T361">
        <f t="shared" si="4"/>
        <v>3</v>
      </c>
      <c r="U361">
        <f t="shared" si="4"/>
        <v>1</v>
      </c>
      <c r="V361">
        <f t="shared" si="4"/>
        <v>5</v>
      </c>
      <c r="W361">
        <f t="shared" si="4"/>
        <v>2</v>
      </c>
      <c r="X361">
        <f t="shared" si="4"/>
        <v>3</v>
      </c>
      <c r="Y361">
        <f t="shared" si="4"/>
        <v>1</v>
      </c>
      <c r="Z361">
        <f t="shared" si="4"/>
        <v>3</v>
      </c>
      <c r="AA361">
        <f t="shared" si="4"/>
        <v>1</v>
      </c>
      <c r="AB361">
        <f t="shared" si="4"/>
        <v>13</v>
      </c>
      <c r="AC361">
        <f t="shared" si="4"/>
        <v>13</v>
      </c>
      <c r="AD361">
        <f t="shared" si="4"/>
        <v>17</v>
      </c>
      <c r="AE361">
        <f t="shared" si="4"/>
        <v>4</v>
      </c>
      <c r="AF361">
        <f t="shared" si="4"/>
        <v>1</v>
      </c>
      <c r="AG361">
        <f t="shared" si="4"/>
        <v>2</v>
      </c>
      <c r="AH361">
        <f t="shared" si="4"/>
        <v>1</v>
      </c>
      <c r="AI361">
        <f t="shared" si="4"/>
        <v>2</v>
      </c>
      <c r="AJ361">
        <f t="shared" si="4"/>
        <v>9</v>
      </c>
      <c r="AK361">
        <f t="shared" si="4"/>
        <v>4</v>
      </c>
    </row>
    <row r="362" spans="1:37" x14ac:dyDescent="0.25">
      <c r="A362" t="s">
        <v>166</v>
      </c>
      <c r="B362" t="s">
        <v>21</v>
      </c>
      <c r="C362">
        <f>COUNTIF(C263:C360,1)</f>
        <v>1</v>
      </c>
      <c r="D362">
        <f t="shared" ref="D362:AK362" si="5">COUNTIF(D263:D360,1)</f>
        <v>0</v>
      </c>
      <c r="E362">
        <f t="shared" si="5"/>
        <v>1</v>
      </c>
      <c r="F362">
        <f t="shared" si="5"/>
        <v>3</v>
      </c>
      <c r="G362">
        <f t="shared" si="5"/>
        <v>2</v>
      </c>
      <c r="H362">
        <f t="shared" si="5"/>
        <v>0</v>
      </c>
      <c r="I362">
        <f t="shared" si="5"/>
        <v>1</v>
      </c>
      <c r="J362">
        <f t="shared" si="5"/>
        <v>4</v>
      </c>
      <c r="K362">
        <f t="shared" si="5"/>
        <v>0</v>
      </c>
      <c r="L362">
        <f t="shared" si="5"/>
        <v>0</v>
      </c>
      <c r="M362">
        <f t="shared" si="5"/>
        <v>1</v>
      </c>
      <c r="N362">
        <f t="shared" si="5"/>
        <v>0</v>
      </c>
      <c r="O362">
        <f t="shared" si="5"/>
        <v>0</v>
      </c>
      <c r="P362">
        <f t="shared" si="5"/>
        <v>1</v>
      </c>
      <c r="Q362">
        <f t="shared" si="5"/>
        <v>0</v>
      </c>
      <c r="R362">
        <f t="shared" si="5"/>
        <v>0</v>
      </c>
      <c r="S362">
        <f t="shared" si="5"/>
        <v>0</v>
      </c>
      <c r="T362">
        <f t="shared" si="5"/>
        <v>0</v>
      </c>
      <c r="U362">
        <f t="shared" si="5"/>
        <v>0</v>
      </c>
      <c r="V362">
        <f t="shared" si="5"/>
        <v>1</v>
      </c>
      <c r="W362">
        <f t="shared" si="5"/>
        <v>0</v>
      </c>
      <c r="X362">
        <f t="shared" si="5"/>
        <v>0</v>
      </c>
      <c r="Y362">
        <f t="shared" si="5"/>
        <v>1</v>
      </c>
      <c r="Z362">
        <f t="shared" si="5"/>
        <v>0</v>
      </c>
      <c r="AA362">
        <f t="shared" si="5"/>
        <v>2</v>
      </c>
      <c r="AB362">
        <f t="shared" si="5"/>
        <v>4</v>
      </c>
      <c r="AC362">
        <f t="shared" si="5"/>
        <v>2</v>
      </c>
      <c r="AD362">
        <f t="shared" si="5"/>
        <v>0</v>
      </c>
      <c r="AE362">
        <f t="shared" si="5"/>
        <v>0</v>
      </c>
      <c r="AF362">
        <f t="shared" si="5"/>
        <v>0</v>
      </c>
      <c r="AG362">
        <f t="shared" si="5"/>
        <v>0</v>
      </c>
      <c r="AH362">
        <f t="shared" si="5"/>
        <v>0</v>
      </c>
      <c r="AI362">
        <f t="shared" si="5"/>
        <v>2</v>
      </c>
      <c r="AJ362">
        <f t="shared" si="5"/>
        <v>1</v>
      </c>
      <c r="AK362">
        <f t="shared" si="5"/>
        <v>0</v>
      </c>
    </row>
  </sheetData>
  <conditionalFormatting sqref="A2:B2">
    <cfRule type="duplicateValues" dxfId="1" priority="3"/>
  </conditionalFormatting>
  <conditionalFormatting sqref="B135:B138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Diagramms quant</vt:lpstr>
      <vt:lpstr>Diagramms qual</vt:lpstr>
      <vt:lpstr>Antibodies pos-neg</vt:lpstr>
      <vt:lpstr>Antibodies with titer</vt:lpstr>
      <vt:lpstr>Antibodies in u per ml</vt:lpstr>
      <vt:lpstr>Antibodies pos-neg count</vt:lpstr>
      <vt:lpstr>Antibodies with titer count</vt:lpstr>
      <vt:lpstr>Antibodies in u per ml count</vt:lpstr>
      <vt:lpstr>Antibodies qual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2024-09-19T15:49:31Z</dcterms:created>
  <dcterms:modified xsi:type="dcterms:W3CDTF">2025-09-06T18:03:56Z</dcterms:modified>
</cp:coreProperties>
</file>