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ospitalisation\"/>
    </mc:Choice>
  </mc:AlternateContent>
  <xr:revisionPtr revIDLastSave="0" documentId="13_ncr:1_{DD059C1C-7822-4C2B-B4E5-3CDAF094928F}" xr6:coauthVersionLast="47" xr6:coauthVersionMax="47" xr10:uidLastSave="{00000000-0000-0000-0000-000000000000}"/>
  <bookViews>
    <workbookView xWindow="-120" yWindow="-120" windowWidth="29040" windowHeight="15840" tabRatio="412" xr2:uid="{1C891818-EA3B-41B5-B84D-F1570D0B5D25}"/>
  </bookViews>
  <sheets>
    <sheet name="rawdata" sheetId="1" r:id="rId1"/>
    <sheet name=" diag to stat calculation" sheetId="2" r:id="rId2"/>
    <sheet name="diag to start rawdata" sheetId="3" r:id="rId3"/>
    <sheet name="duration sta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4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2" i="1"/>
  <c r="K6" i="4"/>
  <c r="K5" i="4"/>
  <c r="K4" i="4"/>
  <c r="G7" i="4"/>
  <c r="G6" i="4"/>
  <c r="G5" i="4"/>
  <c r="G4" i="4"/>
  <c r="E1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2" i="2"/>
</calcChain>
</file>

<file path=xl/sharedStrings.xml><?xml version="1.0" encoding="utf-8"?>
<sst xmlns="http://schemas.openxmlformats.org/spreadsheetml/2006/main" count="1249" uniqueCount="41">
  <si>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</si>
  <si>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</si>
  <si>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</si>
  <si>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</si>
  <si>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</si>
  <si>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</si>
  <si>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</si>
  <si>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</si>
  <si>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</si>
  <si>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</si>
  <si>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</si>
  <si>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</si>
  <si>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</si>
  <si>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</si>
  <si>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</si>
  <si>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</si>
  <si>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</si>
  <si>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</si>
  <si>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</si>
  <si>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</si>
  <si>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</si>
  <si>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Dauer der Erkrankung (Tage)</t>
  </si>
  <si>
    <t>ambulant</t>
  </si>
  <si>
    <t>stationär</t>
  </si>
  <si>
    <t>Dauer Krankenhausaufenthalt (Tage)</t>
  </si>
  <si>
    <t>Dauer Diagnose bis Entlassung (Tage)</t>
  </si>
  <si>
    <t>stationär wegen Arzneimittelreaktion</t>
  </si>
  <si>
    <t>9125095=9138268</t>
  </si>
  <si>
    <t>8055349=8055749=8058506</t>
  </si>
  <si>
    <t>12118054=12311299</t>
  </si>
  <si>
    <t>5013780=6006554</t>
  </si>
  <si>
    <t>d minus c</t>
  </si>
  <si>
    <t>na</t>
  </si>
  <si>
    <t>diclo</t>
  </si>
  <si>
    <t>ibu</t>
  </si>
  <si>
    <t>para</t>
  </si>
  <si>
    <t>Dauer Diagnose bis Aufnahme (Tage)</t>
  </si>
  <si>
    <t>all patients</t>
  </si>
  <si>
    <r>
      <rPr>
        <b/>
        <sz val="11"/>
        <color theme="1"/>
        <rFont val="Aptos Narrow"/>
        <scheme val="minor"/>
      </rPr>
      <t>average</t>
    </r>
    <r>
      <rPr>
        <sz val="11"/>
        <color theme="1"/>
        <rFont val="Aptos Narrow"/>
        <family val="2"/>
        <scheme val="minor"/>
      </rPr>
      <t xml:space="preserve"> duration hospital stay</t>
    </r>
  </si>
  <si>
    <r>
      <rPr>
        <b/>
        <sz val="11"/>
        <color theme="1"/>
        <rFont val="Aptos Narrow"/>
        <scheme val="minor"/>
      </rPr>
      <t>median</t>
    </r>
    <r>
      <rPr>
        <sz val="11"/>
        <color theme="1"/>
        <rFont val="Aptos Narrow"/>
        <family val="2"/>
        <scheme val="minor"/>
      </rPr>
      <t xml:space="preserve"> duration hospital stay</t>
    </r>
  </si>
  <si>
    <t>hospitalisation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</si>
</sst>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2" xfId="0" applyFont="1" applyFill="1" applyBorder="1"/>
    <xf numFmtId="0" fontId="0" fillId="2" borderId="3" xfId="0" applyFont="1" applyFill="1" applyBorder="1"/>
    <xf numFmtId="0" fontId="0" fillId="4" borderId="0" xfId="0" applyFill="1"/>
    <xf numFmtId="164" fontId="0" fillId="4" borderId="0" xfId="0" applyNumberFormat="1" applyFill="1"/>
    <xf numFmtId="0" fontId="0" fillId="6" borderId="0" xfId="0" applyFill="1"/>
    <xf numFmtId="0" fontId="0" fillId="7" borderId="0" xfId="0" applyFill="1"/>
    <xf numFmtId="0" fontId="3" fillId="6" borderId="0" xfId="0" applyFont="1" applyFill="1"/>
    <xf numFmtId="0" fontId="2" fillId="5" borderId="5" xfId="0" applyFont="1" applyFill="1" applyBorder="1" applyAlignment="1">
      <alignment horizontal="center" vertical="top"/>
    </xf>
    <xf numFmtId="0" fontId="1" fillId="5" borderId="6" xfId="0" applyFont="1" applyFill="1" applyBorder="1"/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0" fillId="4" borderId="5" xfId="0" applyFont="1" applyFill="1" applyBorder="1"/>
    <xf numFmtId="0" fontId="0" fillId="4" borderId="6" xfId="0" applyFont="1" applyFill="1" applyBorder="1"/>
    <xf numFmtId="0" fontId="0" fillId="2" borderId="1" xfId="0" applyFont="1" applyFill="1" applyBorder="1"/>
    <xf numFmtId="0" fontId="0" fillId="2" borderId="9" xfId="0" applyFont="1" applyFill="1" applyBorder="1"/>
    <xf numFmtId="0" fontId="0" fillId="4" borderId="10" xfId="0" applyFont="1" applyFill="1" applyBorder="1"/>
    <xf numFmtId="0" fontId="0" fillId="0" borderId="6" xfId="0" applyFont="1" applyBorder="1"/>
    <xf numFmtId="0" fontId="0" fillId="0" borderId="11" xfId="0" applyFont="1" applyBorder="1"/>
    <xf numFmtId="0" fontId="0" fillId="2" borderId="6" xfId="0" applyFont="1" applyFill="1" applyBorder="1"/>
    <xf numFmtId="0" fontId="0" fillId="2" borderId="11" xfId="0" applyFont="1" applyFill="1" applyBorder="1"/>
    <xf numFmtId="0" fontId="0" fillId="4" borderId="10" xfId="0" applyFont="1" applyFill="1" applyBorder="1" applyAlignment="1">
      <alignment wrapText="1"/>
    </xf>
    <xf numFmtId="0" fontId="0" fillId="4" borderId="6" xfId="0" applyFont="1" applyFill="1" applyBorder="1" applyAlignment="1">
      <alignment wrapText="1"/>
    </xf>
    <xf numFmtId="0" fontId="3" fillId="4" borderId="10" xfId="0" applyFont="1" applyFill="1" applyBorder="1"/>
    <xf numFmtId="0" fontId="0" fillId="4" borderId="4" xfId="0" applyFont="1" applyFill="1" applyBorder="1"/>
    <xf numFmtId="0" fontId="0" fillId="4" borderId="2" xfId="0" applyFont="1" applyFill="1" applyBorder="1"/>
    <xf numFmtId="0" fontId="2" fillId="5" borderId="1" xfId="0" applyFont="1" applyFill="1" applyBorder="1" applyAlignment="1">
      <alignment horizontal="center" vertical="top"/>
    </xf>
    <xf numFmtId="0" fontId="0" fillId="4" borderId="1" xfId="0" applyFont="1" applyFill="1" applyBorder="1"/>
    <xf numFmtId="0" fontId="3" fillId="4" borderId="6" xfId="0" applyFont="1" applyFill="1" applyBorder="1"/>
    <xf numFmtId="164" fontId="0" fillId="6" borderId="0" xfId="0" applyNumberFormat="1" applyFill="1"/>
    <xf numFmtId="0" fontId="0" fillId="0" borderId="3" xfId="0" applyFont="1" applyBorder="1"/>
    <xf numFmtId="0" fontId="1" fillId="3" borderId="7" xfId="0" applyFont="1" applyFill="1" applyBorder="1" applyAlignment="1"/>
    <xf numFmtId="0" fontId="0" fillId="0" borderId="0" xfId="0" applyAlignment="1"/>
    <xf numFmtId="0" fontId="5" fillId="0" borderId="0" xfId="0" applyFont="1"/>
  </cellXfs>
  <cellStyles count="1">
    <cellStyle name="Standard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alignment horizontal="general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886057-FCFC-43F0-B09D-91C37D7104DC}" name="Tabelle3" displayName="Tabelle3" ref="A1:J1048576" totalsRowShown="0" headerRowDxfId="14">
  <autoFilter ref="A1:J1048576" xr:uid="{39886057-FCFC-43F0-B09D-91C37D7104DC}"/>
  <tableColumns count="10">
    <tableColumn id="1" xr3:uid="{34AF60A2-FF47-421F-A2F3-A7A24AFE43A0}" name="Edited_BfArM Nummer2" dataDxfId="13"/>
    <tableColumn id="2" xr3:uid="{79CF3F85-8ACE-4672-8713-63284FD6E59D}" name="Treatment"/>
    <tableColumn id="3" xr3:uid="{5CAA2149-5AC6-4DB5-B1CC-C4880B623316}" name="Dauer der Erkrankung (Tage)"/>
    <tableColumn id="9" xr3:uid="{5E32320A-903B-40EF-9386-7B84EDBF4430}" name="hospitalisation" dataDxfId="12">
      <calculatedColumnFormula>IF(E2=1,"ambulant",IF(F2=1,"stationär","unknown"))</calculatedColumnFormula>
    </tableColumn>
    <tableColumn id="4" xr3:uid="{48EC0ADE-DD05-4D91-B6E8-8A7F345876FA}" name="ambulant"/>
    <tableColumn id="5" xr3:uid="{898A8291-39AA-4699-808B-C415148AE8BD}" name="stationär"/>
    <tableColumn id="6" xr3:uid="{1D0411FB-911D-4622-A611-DE8AAC10A3D5}" name="Dauer Krankenhausaufenthalt (Tage)"/>
    <tableColumn id="7" xr3:uid="{36659A4A-1C5F-4A67-A900-D9F0DB926691}" name="Dauer Diagnose bis Entlassung (Tage)"/>
    <tableColumn id="10" xr3:uid="{250DF552-E492-4461-A9DE-56906F334F51}" name="Dauer Diagnose bis Aufnahme (Tage)" dataDxfId="11"/>
    <tableColumn id="8" xr3:uid="{C3CF4547-D2DA-430A-B870-14B353D751FB}" name="stationär wegen Arzneimittelreak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54351F-55E5-49E8-BF34-FDE6E155494C}" name="Tabelle4" displayName="Tabelle4" ref="A1:E340" totalsRowShown="0" tableBorderDxfId="10">
  <autoFilter ref="A1:E340" xr:uid="{D054351F-55E5-49E8-BF34-FDE6E155494C}"/>
  <tableColumns count="5">
    <tableColumn id="1" xr3:uid="{C4DC75E2-92BE-4D0D-9C72-E41931CD07B6}" name="Edited_BfArM Nummer2" dataDxfId="9"/>
    <tableColumn id="2" xr3:uid="{CFEBCA04-655E-41AF-8D0C-571DBD6F675A}" name="Treatment" dataDxfId="8"/>
    <tableColumn id="3" xr3:uid="{5625E0E2-9806-46A0-8985-05D6F9C1CA7D}" name="Dauer Krankenhausaufenthalt (Tage)" dataDxfId="7"/>
    <tableColumn id="4" xr3:uid="{3387B8B4-A4D1-498D-84B9-6FA9D2768901}" name="Dauer Diagnose bis Entlassung (Tage)" dataDxfId="6"/>
    <tableColumn id="5" xr3:uid="{8D745792-967C-4A00-BC53-84B4B5673106}" name="d minus c">
      <calculatedColumnFormula>D2-C2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4EED-4DFB-4DFB-B485-6EE017F0EF34}">
  <dimension ref="A1:J431"/>
  <sheetViews>
    <sheetView tabSelected="1" zoomScaleNormal="100" workbookViewId="0">
      <selection activeCell="F10" sqref="F10"/>
    </sheetView>
  </sheetViews>
  <sheetFormatPr baseColWidth="10" defaultRowHeight="14.25"/>
  <cols>
    <col min="1" max="1" width="23.875" style="5" customWidth="1"/>
    <col min="2" max="2" width="11.875" style="3" customWidth="1"/>
    <col min="3" max="4" width="28.625" customWidth="1"/>
    <col min="7" max="7" width="35.5" customWidth="1"/>
    <col min="8" max="8" width="36.75" customWidth="1"/>
    <col min="9" max="9" width="36.25" style="32" bestFit="1" customWidth="1"/>
    <col min="10" max="10" width="35.125" customWidth="1"/>
  </cols>
  <sheetData>
    <row r="1" spans="1:10" ht="15">
      <c r="A1" s="8" t="s">
        <v>0</v>
      </c>
      <c r="B1" s="9" t="s">
        <v>1</v>
      </c>
      <c r="C1" s="10" t="s">
        <v>21</v>
      </c>
      <c r="D1" s="10" t="s">
        <v>40</v>
      </c>
      <c r="E1" s="10" t="s">
        <v>22</v>
      </c>
      <c r="F1" s="10" t="s">
        <v>23</v>
      </c>
      <c r="G1" s="10" t="s">
        <v>24</v>
      </c>
      <c r="H1" s="10" t="s">
        <v>25</v>
      </c>
      <c r="I1" s="31" t="s">
        <v>36</v>
      </c>
      <c r="J1" s="11" t="s">
        <v>26</v>
      </c>
    </row>
    <row r="2" spans="1:10">
      <c r="A2" s="12">
        <v>7072184</v>
      </c>
      <c r="B2" s="13" t="s">
        <v>2</v>
      </c>
      <c r="C2" s="14"/>
      <c r="D2" s="14" t="str">
        <f>IF(E2=1,"ambulant",IF(F2=1,"stationary","unknown"))</f>
        <v>stationary</v>
      </c>
      <c r="E2" s="14"/>
      <c r="F2" s="14">
        <v>1</v>
      </c>
      <c r="G2" s="14"/>
      <c r="H2" s="14"/>
      <c r="J2" s="15"/>
    </row>
    <row r="3" spans="1:10">
      <c r="A3" s="16">
        <v>9108231</v>
      </c>
      <c r="B3" s="13" t="s">
        <v>2</v>
      </c>
      <c r="C3" s="17"/>
      <c r="D3" s="14" t="str">
        <f t="shared" ref="D3:D66" si="0">IF(E3=1,"ambulant",IF(F3=1,"stationary","unknown"))</f>
        <v>ambulant</v>
      </c>
      <c r="E3" s="17">
        <v>1</v>
      </c>
      <c r="F3" s="17"/>
      <c r="G3" s="17"/>
      <c r="H3" s="17"/>
      <c r="J3" s="18"/>
    </row>
    <row r="4" spans="1:10">
      <c r="A4" s="16">
        <v>12061933</v>
      </c>
      <c r="B4" s="13" t="s">
        <v>2</v>
      </c>
      <c r="C4" s="19"/>
      <c r="D4" s="14" t="str">
        <f t="shared" si="0"/>
        <v>stationary</v>
      </c>
      <c r="E4" s="19"/>
      <c r="F4" s="19">
        <v>1</v>
      </c>
      <c r="G4" s="19"/>
      <c r="H4" s="19"/>
      <c r="J4" s="20"/>
    </row>
    <row r="5" spans="1:10">
      <c r="A5" s="16">
        <v>95005911</v>
      </c>
      <c r="B5" s="13" t="s">
        <v>2</v>
      </c>
      <c r="C5" s="17">
        <v>26</v>
      </c>
      <c r="D5" s="14" t="str">
        <f t="shared" si="0"/>
        <v>stationary</v>
      </c>
      <c r="E5" s="17"/>
      <c r="F5" s="17">
        <v>1</v>
      </c>
      <c r="G5" s="17">
        <v>36</v>
      </c>
      <c r="H5" s="17">
        <v>36</v>
      </c>
      <c r="I5" s="32">
        <v>0</v>
      </c>
      <c r="J5" s="18"/>
    </row>
    <row r="6" spans="1:10">
      <c r="A6" s="16">
        <v>99001908</v>
      </c>
      <c r="B6" s="13" t="s">
        <v>2</v>
      </c>
      <c r="C6" s="19">
        <v>46</v>
      </c>
      <c r="D6" s="14" t="str">
        <f t="shared" si="0"/>
        <v>stationary</v>
      </c>
      <c r="E6" s="19"/>
      <c r="F6" s="19">
        <v>1</v>
      </c>
      <c r="G6" s="19">
        <v>44</v>
      </c>
      <c r="H6" s="19">
        <v>44</v>
      </c>
      <c r="I6" s="32">
        <v>0</v>
      </c>
      <c r="J6" s="20"/>
    </row>
    <row r="7" spans="1:10">
      <c r="A7" s="16">
        <v>99004067</v>
      </c>
      <c r="B7" s="13" t="s">
        <v>2</v>
      </c>
      <c r="C7" s="17">
        <v>24</v>
      </c>
      <c r="D7" s="14" t="str">
        <f t="shared" si="0"/>
        <v>stationary</v>
      </c>
      <c r="E7" s="17"/>
      <c r="F7" s="17">
        <v>1</v>
      </c>
      <c r="G7" s="17"/>
      <c r="H7" s="17"/>
      <c r="J7" s="18"/>
    </row>
    <row r="8" spans="1:10">
      <c r="A8" s="16">
        <v>97002136</v>
      </c>
      <c r="B8" s="13" t="s">
        <v>2</v>
      </c>
      <c r="C8" s="19">
        <v>45</v>
      </c>
      <c r="D8" s="14" t="str">
        <f t="shared" si="0"/>
        <v>stationary</v>
      </c>
      <c r="E8" s="19"/>
      <c r="F8" s="19">
        <v>1</v>
      </c>
      <c r="G8" s="19"/>
      <c r="H8" s="19"/>
      <c r="J8" s="20"/>
    </row>
    <row r="9" spans="1:10">
      <c r="A9" s="16">
        <v>1502</v>
      </c>
      <c r="B9" s="13" t="s">
        <v>2</v>
      </c>
      <c r="C9" s="17">
        <v>48</v>
      </c>
      <c r="D9" s="14" t="str">
        <f t="shared" si="0"/>
        <v>stationary</v>
      </c>
      <c r="E9" s="17"/>
      <c r="F9" s="17">
        <v>1</v>
      </c>
      <c r="G9" s="17"/>
      <c r="H9" s="17"/>
      <c r="J9" s="18"/>
    </row>
    <row r="10" spans="1:10">
      <c r="A10" s="16">
        <v>4003543</v>
      </c>
      <c r="B10" s="13" t="s">
        <v>2</v>
      </c>
      <c r="C10" s="19">
        <v>21</v>
      </c>
      <c r="D10" s="14" t="str">
        <f t="shared" si="0"/>
        <v>stationary</v>
      </c>
      <c r="E10" s="19"/>
      <c r="F10" s="19">
        <v>1</v>
      </c>
      <c r="G10" s="19">
        <v>12</v>
      </c>
      <c r="H10" s="19">
        <v>12</v>
      </c>
      <c r="I10" s="32">
        <v>0</v>
      </c>
      <c r="J10" s="20"/>
    </row>
    <row r="11" spans="1:10">
      <c r="A11" s="16">
        <v>4900261</v>
      </c>
      <c r="B11" s="13" t="s">
        <v>2</v>
      </c>
      <c r="C11" s="17"/>
      <c r="D11" s="14" t="str">
        <f t="shared" si="0"/>
        <v>stationary</v>
      </c>
      <c r="E11" s="17"/>
      <c r="F11" s="17">
        <v>1</v>
      </c>
      <c r="G11" s="17"/>
      <c r="H11" s="17"/>
      <c r="J11" s="18"/>
    </row>
    <row r="12" spans="1:10">
      <c r="A12" s="16"/>
      <c r="B12" s="13"/>
      <c r="C12" s="19"/>
      <c r="D12" s="14" t="str">
        <f t="shared" si="0"/>
        <v>unknown</v>
      </c>
      <c r="E12" s="19"/>
      <c r="F12" s="19"/>
      <c r="G12" s="19"/>
      <c r="H12" s="19"/>
      <c r="J12" s="20"/>
    </row>
    <row r="13" spans="1:10">
      <c r="A13" s="16">
        <v>14242856</v>
      </c>
      <c r="B13" s="13" t="s">
        <v>3</v>
      </c>
      <c r="C13" s="17">
        <v>28</v>
      </c>
      <c r="D13" s="14" t="str">
        <f t="shared" si="0"/>
        <v>stationary</v>
      </c>
      <c r="E13" s="17"/>
      <c r="F13" s="17">
        <v>1</v>
      </c>
      <c r="G13" s="17"/>
      <c r="H13" s="17"/>
      <c r="J13" s="18"/>
    </row>
    <row r="14" spans="1:10">
      <c r="A14" s="16">
        <v>99001183</v>
      </c>
      <c r="B14" s="13" t="s">
        <v>3</v>
      </c>
      <c r="C14" s="19">
        <v>16</v>
      </c>
      <c r="D14" s="14" t="str">
        <f t="shared" si="0"/>
        <v>stationary</v>
      </c>
      <c r="E14" s="19"/>
      <c r="F14" s="19">
        <v>1</v>
      </c>
      <c r="G14" s="19">
        <v>17</v>
      </c>
      <c r="H14" s="19">
        <v>17</v>
      </c>
      <c r="I14" s="32">
        <v>0</v>
      </c>
      <c r="J14" s="20"/>
    </row>
    <row r="15" spans="1:10">
      <c r="A15" s="16">
        <v>3000983</v>
      </c>
      <c r="B15" s="13" t="s">
        <v>3</v>
      </c>
      <c r="C15" s="17"/>
      <c r="D15" s="14" t="str">
        <f t="shared" si="0"/>
        <v>stationary</v>
      </c>
      <c r="E15" s="17"/>
      <c r="F15" s="17">
        <v>1</v>
      </c>
      <c r="G15" s="17">
        <v>404</v>
      </c>
      <c r="H15" s="17">
        <v>405</v>
      </c>
      <c r="I15" s="32">
        <v>1</v>
      </c>
      <c r="J15" s="18"/>
    </row>
    <row r="16" spans="1:10">
      <c r="A16" s="16">
        <v>10064335</v>
      </c>
      <c r="B16" s="13" t="s">
        <v>3</v>
      </c>
      <c r="C16" s="19"/>
      <c r="D16" s="14" t="str">
        <f t="shared" si="0"/>
        <v>stationary</v>
      </c>
      <c r="E16" s="19"/>
      <c r="F16" s="19">
        <v>1</v>
      </c>
      <c r="G16" s="19"/>
      <c r="H16" s="19"/>
      <c r="J16" s="20"/>
    </row>
    <row r="17" spans="1:10">
      <c r="A17" s="21"/>
      <c r="B17" s="22"/>
      <c r="C17" s="17"/>
      <c r="D17" s="14" t="str">
        <f t="shared" si="0"/>
        <v>unknown</v>
      </c>
      <c r="E17" s="17"/>
      <c r="F17" s="17"/>
      <c r="G17" s="17"/>
      <c r="H17" s="17"/>
      <c r="J17" s="18"/>
    </row>
    <row r="18" spans="1:10">
      <c r="A18" s="16">
        <v>1480</v>
      </c>
      <c r="B18" s="13" t="s">
        <v>4</v>
      </c>
      <c r="C18" s="19">
        <v>14</v>
      </c>
      <c r="D18" s="14" t="str">
        <f t="shared" si="0"/>
        <v>stationary</v>
      </c>
      <c r="E18" s="19"/>
      <c r="F18" s="19">
        <v>1</v>
      </c>
      <c r="G18" s="19"/>
      <c r="H18" s="19"/>
      <c r="J18" s="20"/>
    </row>
    <row r="19" spans="1:10">
      <c r="A19" s="16">
        <v>7063959</v>
      </c>
      <c r="B19" s="13" t="s">
        <v>4</v>
      </c>
      <c r="C19" s="17">
        <v>20</v>
      </c>
      <c r="D19" s="14" t="str">
        <f t="shared" si="0"/>
        <v>stationary</v>
      </c>
      <c r="E19" s="17"/>
      <c r="F19" s="17">
        <v>1</v>
      </c>
      <c r="G19" s="17"/>
      <c r="H19" s="17"/>
      <c r="J19" s="18"/>
    </row>
    <row r="20" spans="1:10">
      <c r="A20" s="16">
        <v>1003215</v>
      </c>
      <c r="B20" s="13" t="s">
        <v>4</v>
      </c>
      <c r="C20" s="19">
        <v>22</v>
      </c>
      <c r="D20" s="14" t="str">
        <f t="shared" si="0"/>
        <v>stationary</v>
      </c>
      <c r="E20" s="19"/>
      <c r="F20" s="19">
        <v>1</v>
      </c>
      <c r="G20" s="19">
        <v>15</v>
      </c>
      <c r="H20" s="19">
        <v>22</v>
      </c>
      <c r="I20" s="32">
        <v>7</v>
      </c>
      <c r="J20" s="20"/>
    </row>
    <row r="21" spans="1:10">
      <c r="A21" s="16">
        <v>99000802</v>
      </c>
      <c r="B21" s="13" t="s">
        <v>4</v>
      </c>
      <c r="C21" s="17">
        <v>28</v>
      </c>
      <c r="D21" s="14" t="str">
        <f t="shared" si="0"/>
        <v>stationary</v>
      </c>
      <c r="E21" s="17"/>
      <c r="F21" s="17">
        <v>1</v>
      </c>
      <c r="G21" s="17"/>
      <c r="H21" s="17"/>
      <c r="J21" s="18"/>
    </row>
    <row r="22" spans="1:10">
      <c r="A22" s="16">
        <v>99000892</v>
      </c>
      <c r="B22" s="13" t="s">
        <v>4</v>
      </c>
      <c r="C22" s="19">
        <v>16</v>
      </c>
      <c r="D22" s="14" t="str">
        <f t="shared" si="0"/>
        <v>stationary</v>
      </c>
      <c r="E22" s="19"/>
      <c r="F22" s="19">
        <v>1</v>
      </c>
      <c r="G22" s="19">
        <v>16</v>
      </c>
      <c r="H22" s="19">
        <v>16</v>
      </c>
      <c r="I22" s="32">
        <v>0</v>
      </c>
      <c r="J22" s="20"/>
    </row>
    <row r="23" spans="1:10">
      <c r="A23" s="16">
        <v>1000192</v>
      </c>
      <c r="B23" s="13" t="s">
        <v>4</v>
      </c>
      <c r="C23" s="17">
        <v>20</v>
      </c>
      <c r="D23" s="14" t="str">
        <f t="shared" si="0"/>
        <v>stationary</v>
      </c>
      <c r="E23" s="17"/>
      <c r="F23" s="17">
        <v>1</v>
      </c>
      <c r="G23" s="17"/>
      <c r="H23" s="17"/>
      <c r="J23" s="18"/>
    </row>
    <row r="24" spans="1:10">
      <c r="A24" s="16">
        <v>1506</v>
      </c>
      <c r="B24" s="13" t="s">
        <v>4</v>
      </c>
      <c r="C24" s="19">
        <v>15</v>
      </c>
      <c r="D24" s="14" t="str">
        <f t="shared" si="0"/>
        <v>stationary</v>
      </c>
      <c r="E24" s="19"/>
      <c r="F24" s="19">
        <v>1</v>
      </c>
      <c r="G24" s="19"/>
      <c r="H24" s="19"/>
      <c r="J24" s="20"/>
    </row>
    <row r="25" spans="1:10">
      <c r="A25" s="16">
        <v>99000894</v>
      </c>
      <c r="B25" s="13" t="s">
        <v>4</v>
      </c>
      <c r="C25" s="17">
        <v>27</v>
      </c>
      <c r="D25" s="14" t="str">
        <f t="shared" si="0"/>
        <v>stationary</v>
      </c>
      <c r="E25" s="17"/>
      <c r="F25" s="17">
        <v>1</v>
      </c>
      <c r="G25" s="17">
        <v>45</v>
      </c>
      <c r="H25" s="17">
        <v>27</v>
      </c>
      <c r="I25" s="32">
        <v>-18</v>
      </c>
      <c r="J25" s="18"/>
    </row>
    <row r="26" spans="1:10">
      <c r="A26" s="16">
        <v>99000897</v>
      </c>
      <c r="B26" s="13" t="s">
        <v>4</v>
      </c>
      <c r="C26" s="19">
        <v>19</v>
      </c>
      <c r="D26" s="14" t="str">
        <f t="shared" si="0"/>
        <v>stationary</v>
      </c>
      <c r="E26" s="19"/>
      <c r="F26" s="19">
        <v>1</v>
      </c>
      <c r="G26" s="19">
        <v>18</v>
      </c>
      <c r="H26" s="19">
        <v>19</v>
      </c>
      <c r="I26" s="32">
        <v>1</v>
      </c>
      <c r="J26" s="20"/>
    </row>
    <row r="27" spans="1:10">
      <c r="A27" s="16">
        <v>99001245</v>
      </c>
      <c r="B27" s="13" t="s">
        <v>4</v>
      </c>
      <c r="C27" s="17">
        <v>8</v>
      </c>
      <c r="D27" s="14" t="str">
        <f t="shared" si="0"/>
        <v>stationary</v>
      </c>
      <c r="E27" s="17"/>
      <c r="F27" s="17">
        <v>1</v>
      </c>
      <c r="G27" s="17">
        <v>7</v>
      </c>
      <c r="H27" s="17">
        <v>8</v>
      </c>
      <c r="I27" s="32">
        <v>1</v>
      </c>
      <c r="J27" s="18"/>
    </row>
    <row r="28" spans="1:10">
      <c r="A28" s="16">
        <v>99001902</v>
      </c>
      <c r="B28" s="13" t="s">
        <v>4</v>
      </c>
      <c r="C28" s="19">
        <v>17</v>
      </c>
      <c r="D28" s="14" t="str">
        <f t="shared" si="0"/>
        <v>stationary</v>
      </c>
      <c r="E28" s="19"/>
      <c r="F28" s="19">
        <v>1</v>
      </c>
      <c r="G28" s="19">
        <v>15</v>
      </c>
      <c r="H28" s="19">
        <v>17</v>
      </c>
      <c r="I28" s="32">
        <v>2</v>
      </c>
      <c r="J28" s="20"/>
    </row>
    <row r="29" spans="1:10">
      <c r="A29" s="16">
        <v>99001912</v>
      </c>
      <c r="B29" s="13" t="s">
        <v>4</v>
      </c>
      <c r="C29" s="17">
        <v>35</v>
      </c>
      <c r="D29" s="14" t="str">
        <f t="shared" si="0"/>
        <v>stationary</v>
      </c>
      <c r="E29" s="17"/>
      <c r="F29" s="17">
        <v>1</v>
      </c>
      <c r="G29" s="17">
        <v>34</v>
      </c>
      <c r="H29" s="17">
        <v>35</v>
      </c>
      <c r="I29" s="32">
        <v>1</v>
      </c>
      <c r="J29" s="18"/>
    </row>
    <row r="30" spans="1:10">
      <c r="A30" s="16">
        <v>99001913</v>
      </c>
      <c r="B30" s="13" t="s">
        <v>4</v>
      </c>
      <c r="C30" s="19">
        <v>27</v>
      </c>
      <c r="D30" s="14" t="str">
        <f t="shared" si="0"/>
        <v>stationary</v>
      </c>
      <c r="E30" s="19"/>
      <c r="F30" s="19">
        <v>1</v>
      </c>
      <c r="G30" s="19">
        <v>26</v>
      </c>
      <c r="H30" s="19">
        <v>27</v>
      </c>
      <c r="I30" s="32">
        <v>1</v>
      </c>
      <c r="J30" s="20"/>
    </row>
    <row r="31" spans="1:10">
      <c r="A31" s="16">
        <v>99001937</v>
      </c>
      <c r="B31" s="13" t="s">
        <v>4</v>
      </c>
      <c r="C31" s="17">
        <v>32</v>
      </c>
      <c r="D31" s="14" t="str">
        <f t="shared" si="0"/>
        <v>stationary</v>
      </c>
      <c r="E31" s="17"/>
      <c r="F31" s="17">
        <v>1</v>
      </c>
      <c r="G31" s="17">
        <v>70</v>
      </c>
      <c r="H31" s="17">
        <v>32</v>
      </c>
      <c r="I31" s="32">
        <v>-38</v>
      </c>
      <c r="J31" s="18"/>
    </row>
    <row r="32" spans="1:10">
      <c r="A32" s="16">
        <v>99001943</v>
      </c>
      <c r="B32" s="13" t="s">
        <v>4</v>
      </c>
      <c r="C32" s="19">
        <v>35</v>
      </c>
      <c r="D32" s="14" t="str">
        <f t="shared" si="0"/>
        <v>stationary</v>
      </c>
      <c r="E32" s="19"/>
      <c r="F32" s="19">
        <v>1</v>
      </c>
      <c r="G32" s="19">
        <v>39</v>
      </c>
      <c r="H32" s="19">
        <v>35</v>
      </c>
      <c r="I32" s="32">
        <v>-4</v>
      </c>
      <c r="J32" s="20"/>
    </row>
    <row r="33" spans="1:10">
      <c r="A33" s="16">
        <v>99001927</v>
      </c>
      <c r="B33" s="13" t="s">
        <v>4</v>
      </c>
      <c r="C33" s="17">
        <v>47</v>
      </c>
      <c r="D33" s="14" t="str">
        <f t="shared" si="0"/>
        <v>stationary</v>
      </c>
      <c r="E33" s="17"/>
      <c r="F33" s="17">
        <v>1</v>
      </c>
      <c r="G33" s="17">
        <v>44</v>
      </c>
      <c r="H33" s="17">
        <v>47</v>
      </c>
      <c r="I33" s="32">
        <v>3</v>
      </c>
      <c r="J33" s="18"/>
    </row>
    <row r="34" spans="1:10">
      <c r="A34" s="16">
        <v>1505</v>
      </c>
      <c r="B34" s="13" t="s">
        <v>4</v>
      </c>
      <c r="C34" s="19">
        <v>22</v>
      </c>
      <c r="D34" s="14" t="str">
        <f t="shared" si="0"/>
        <v>stationary</v>
      </c>
      <c r="E34" s="19"/>
      <c r="F34" s="19">
        <v>1</v>
      </c>
      <c r="G34" s="19"/>
      <c r="H34" s="19"/>
      <c r="J34" s="20"/>
    </row>
    <row r="35" spans="1:10">
      <c r="A35" s="16">
        <v>1000197</v>
      </c>
      <c r="B35" s="13" t="s">
        <v>4</v>
      </c>
      <c r="C35" s="17">
        <v>17</v>
      </c>
      <c r="D35" s="14" t="str">
        <f t="shared" si="0"/>
        <v>stationary</v>
      </c>
      <c r="E35" s="17"/>
      <c r="F35" s="17">
        <v>1</v>
      </c>
      <c r="G35" s="17"/>
      <c r="H35" s="17"/>
      <c r="J35" s="18"/>
    </row>
    <row r="36" spans="1:10">
      <c r="A36" s="16">
        <v>96018835</v>
      </c>
      <c r="B36" s="13" t="s">
        <v>4</v>
      </c>
      <c r="C36" s="19">
        <v>14</v>
      </c>
      <c r="D36" s="14" t="str">
        <f t="shared" si="0"/>
        <v>stationary</v>
      </c>
      <c r="E36" s="19"/>
      <c r="F36" s="19">
        <v>1</v>
      </c>
      <c r="G36" s="19"/>
      <c r="H36" s="19"/>
      <c r="J36" s="20"/>
    </row>
    <row r="37" spans="1:10">
      <c r="A37" s="16">
        <v>98008326</v>
      </c>
      <c r="B37" s="13" t="s">
        <v>4</v>
      </c>
      <c r="C37" s="17">
        <v>43</v>
      </c>
      <c r="D37" s="14" t="str">
        <f t="shared" si="0"/>
        <v>stationary</v>
      </c>
      <c r="E37" s="17"/>
      <c r="F37" s="17">
        <v>1</v>
      </c>
      <c r="G37" s="17">
        <v>15</v>
      </c>
      <c r="H37" s="17">
        <v>25</v>
      </c>
      <c r="I37" s="32">
        <v>10</v>
      </c>
      <c r="J37" s="18"/>
    </row>
    <row r="38" spans="1:10">
      <c r="A38" s="16">
        <v>99000717</v>
      </c>
      <c r="B38" s="13" t="s">
        <v>4</v>
      </c>
      <c r="C38" s="19">
        <v>29</v>
      </c>
      <c r="D38" s="14" t="str">
        <f t="shared" si="0"/>
        <v>stationary</v>
      </c>
      <c r="E38" s="19"/>
      <c r="F38" s="19">
        <v>1</v>
      </c>
      <c r="G38" s="19"/>
      <c r="H38" s="19"/>
      <c r="J38" s="20"/>
    </row>
    <row r="39" spans="1:10">
      <c r="A39" s="16"/>
      <c r="B39" s="13"/>
      <c r="C39" s="17"/>
      <c r="D39" s="14" t="str">
        <f t="shared" si="0"/>
        <v>unknown</v>
      </c>
      <c r="E39" s="17"/>
      <c r="F39" s="17"/>
      <c r="G39" s="17"/>
      <c r="H39" s="17"/>
      <c r="J39" s="18"/>
    </row>
    <row r="40" spans="1:10">
      <c r="A40" s="16">
        <v>6016435</v>
      </c>
      <c r="B40" s="13" t="s">
        <v>5</v>
      </c>
      <c r="C40" s="19"/>
      <c r="D40" s="14" t="str">
        <f t="shared" si="0"/>
        <v>stationary</v>
      </c>
      <c r="E40" s="19"/>
      <c r="F40" s="19">
        <v>1</v>
      </c>
      <c r="G40" s="19"/>
      <c r="H40" s="19"/>
      <c r="J40" s="20"/>
    </row>
    <row r="41" spans="1:10">
      <c r="A41" s="16">
        <v>8045149</v>
      </c>
      <c r="B41" s="13" t="s">
        <v>5</v>
      </c>
      <c r="C41" s="17"/>
      <c r="D41" s="14" t="str">
        <f t="shared" si="0"/>
        <v>stationary</v>
      </c>
      <c r="E41" s="17"/>
      <c r="F41" s="17">
        <v>1</v>
      </c>
      <c r="G41" s="17"/>
      <c r="H41" s="17"/>
      <c r="J41" s="18"/>
    </row>
    <row r="42" spans="1:10">
      <c r="A42" s="16">
        <v>10023001</v>
      </c>
      <c r="B42" s="13" t="s">
        <v>5</v>
      </c>
      <c r="C42" s="19"/>
      <c r="D42" s="14" t="str">
        <f t="shared" si="0"/>
        <v>stationary</v>
      </c>
      <c r="E42" s="19"/>
      <c r="F42" s="19">
        <v>1</v>
      </c>
      <c r="G42" s="19"/>
      <c r="H42" s="19"/>
      <c r="J42" s="20"/>
    </row>
    <row r="43" spans="1:10">
      <c r="A43" s="16">
        <v>10027526</v>
      </c>
      <c r="B43" s="13" t="s">
        <v>5</v>
      </c>
      <c r="C43" s="17">
        <v>3</v>
      </c>
      <c r="D43" s="14" t="str">
        <f t="shared" si="0"/>
        <v>stationary</v>
      </c>
      <c r="E43" s="17"/>
      <c r="F43" s="17">
        <v>1</v>
      </c>
      <c r="G43" s="17">
        <v>3</v>
      </c>
      <c r="H43" s="17">
        <v>3</v>
      </c>
      <c r="I43" s="32">
        <v>0</v>
      </c>
      <c r="J43" s="18"/>
    </row>
    <row r="44" spans="1:10">
      <c r="A44" s="16">
        <v>14222171</v>
      </c>
      <c r="B44" s="13" t="s">
        <v>5</v>
      </c>
      <c r="C44" s="19">
        <v>5</v>
      </c>
      <c r="D44" s="14" t="str">
        <f t="shared" si="0"/>
        <v>stationary</v>
      </c>
      <c r="E44" s="19"/>
      <c r="F44" s="19">
        <v>1</v>
      </c>
      <c r="G44" s="19"/>
      <c r="H44" s="19"/>
      <c r="J44" s="20"/>
    </row>
    <row r="45" spans="1:10">
      <c r="A45" s="16">
        <v>1006143</v>
      </c>
      <c r="B45" s="13" t="s">
        <v>5</v>
      </c>
      <c r="C45" s="17">
        <v>6</v>
      </c>
      <c r="D45" s="14" t="str">
        <f t="shared" si="0"/>
        <v>stationary</v>
      </c>
      <c r="E45" s="17"/>
      <c r="F45" s="17">
        <v>1</v>
      </c>
      <c r="G45" s="17">
        <v>15</v>
      </c>
      <c r="H45" s="17">
        <v>15</v>
      </c>
      <c r="I45" s="32">
        <v>0</v>
      </c>
      <c r="J45" s="18"/>
    </row>
    <row r="46" spans="1:10">
      <c r="A46" s="16">
        <v>6006917</v>
      </c>
      <c r="B46" s="13" t="s">
        <v>5</v>
      </c>
      <c r="C46" s="19"/>
      <c r="D46" s="14" t="str">
        <f t="shared" si="0"/>
        <v>stationary</v>
      </c>
      <c r="E46" s="19"/>
      <c r="F46" s="19">
        <v>1</v>
      </c>
      <c r="G46" s="19"/>
      <c r="H46" s="19"/>
      <c r="J46" s="20"/>
    </row>
    <row r="47" spans="1:10">
      <c r="A47" s="16"/>
      <c r="B47" s="13"/>
      <c r="C47" s="17"/>
      <c r="D47" s="14" t="str">
        <f t="shared" si="0"/>
        <v>unknown</v>
      </c>
      <c r="E47" s="17"/>
      <c r="F47" s="17"/>
      <c r="G47" s="17"/>
      <c r="H47" s="17"/>
      <c r="J47" s="18"/>
    </row>
    <row r="48" spans="1:10">
      <c r="A48" s="16">
        <v>8057159</v>
      </c>
      <c r="B48" s="13" t="s">
        <v>6</v>
      </c>
      <c r="C48" s="19">
        <v>11</v>
      </c>
      <c r="D48" s="14" t="str">
        <f t="shared" si="0"/>
        <v>stationary</v>
      </c>
      <c r="E48" s="19"/>
      <c r="F48" s="19">
        <v>1</v>
      </c>
      <c r="G48" s="19"/>
      <c r="H48" s="19">
        <v>11</v>
      </c>
      <c r="J48" s="20"/>
    </row>
    <row r="49" spans="1:10">
      <c r="A49" s="16">
        <v>9140312</v>
      </c>
      <c r="B49" s="13" t="s">
        <v>6</v>
      </c>
      <c r="C49" s="17">
        <v>5</v>
      </c>
      <c r="D49" s="14" t="str">
        <f t="shared" si="0"/>
        <v>stationary</v>
      </c>
      <c r="E49" s="17"/>
      <c r="F49" s="17">
        <v>1</v>
      </c>
      <c r="G49" s="17"/>
      <c r="H49" s="17"/>
      <c r="J49" s="18"/>
    </row>
    <row r="50" spans="1:10">
      <c r="A50" s="16">
        <v>12008230</v>
      </c>
      <c r="B50" s="13" t="s">
        <v>6</v>
      </c>
      <c r="C50" s="19">
        <v>12</v>
      </c>
      <c r="D50" s="14" t="str">
        <f t="shared" si="0"/>
        <v>stationary</v>
      </c>
      <c r="E50" s="19"/>
      <c r="F50" s="19">
        <v>1</v>
      </c>
      <c r="G50" s="19">
        <v>12</v>
      </c>
      <c r="H50" s="19">
        <v>12</v>
      </c>
      <c r="I50" s="32">
        <v>0</v>
      </c>
      <c r="J50" s="20"/>
    </row>
    <row r="51" spans="1:10">
      <c r="A51" s="16" t="s">
        <v>7</v>
      </c>
      <c r="B51" s="13" t="s">
        <v>6</v>
      </c>
      <c r="C51" s="17">
        <v>12</v>
      </c>
      <c r="D51" s="14" t="str">
        <f t="shared" si="0"/>
        <v>stationary</v>
      </c>
      <c r="E51" s="17"/>
      <c r="F51" s="17">
        <v>1</v>
      </c>
      <c r="G51" s="17">
        <v>9</v>
      </c>
      <c r="H51" s="17">
        <v>13</v>
      </c>
      <c r="I51" s="32">
        <v>4</v>
      </c>
      <c r="J51" s="18"/>
    </row>
    <row r="52" spans="1:10">
      <c r="A52" s="16">
        <v>13118872</v>
      </c>
      <c r="B52" s="13" t="s">
        <v>6</v>
      </c>
      <c r="C52" s="19"/>
      <c r="D52" s="14" t="str">
        <f t="shared" si="0"/>
        <v>stationary</v>
      </c>
      <c r="E52" s="19"/>
      <c r="F52" s="19">
        <v>1</v>
      </c>
      <c r="G52" s="19">
        <v>32</v>
      </c>
      <c r="H52" s="19">
        <v>7</v>
      </c>
      <c r="I52" s="32">
        <v>-25</v>
      </c>
      <c r="J52" s="20"/>
    </row>
    <row r="53" spans="1:10">
      <c r="A53" s="16">
        <v>12012030</v>
      </c>
      <c r="B53" s="13" t="s">
        <v>6</v>
      </c>
      <c r="C53" s="17"/>
      <c r="D53" s="14" t="str">
        <f t="shared" si="0"/>
        <v>stationary</v>
      </c>
      <c r="E53" s="17"/>
      <c r="F53" s="17">
        <v>1</v>
      </c>
      <c r="G53" s="17">
        <v>14</v>
      </c>
      <c r="H53" s="17">
        <v>27</v>
      </c>
      <c r="I53" s="32">
        <v>13</v>
      </c>
      <c r="J53" s="18"/>
    </row>
    <row r="54" spans="1:10">
      <c r="A54" s="16"/>
      <c r="B54" s="13"/>
      <c r="C54" s="19"/>
      <c r="D54" s="14" t="str">
        <f t="shared" si="0"/>
        <v>unknown</v>
      </c>
      <c r="E54" s="19"/>
      <c r="F54" s="19"/>
      <c r="G54" s="19"/>
      <c r="H54" s="19"/>
      <c r="J54" s="20"/>
    </row>
    <row r="55" spans="1:10">
      <c r="A55" s="16">
        <v>9074418</v>
      </c>
      <c r="B55" s="13" t="s">
        <v>8</v>
      </c>
      <c r="C55" s="17">
        <v>42</v>
      </c>
      <c r="D55" s="14" t="str">
        <f t="shared" si="0"/>
        <v>stationary</v>
      </c>
      <c r="E55" s="17"/>
      <c r="F55" s="17">
        <v>1</v>
      </c>
      <c r="G55" s="17"/>
      <c r="H55" s="17">
        <v>21</v>
      </c>
      <c r="I55" s="32">
        <v>6</v>
      </c>
      <c r="J55" s="18"/>
    </row>
    <row r="56" spans="1:10">
      <c r="A56" s="16">
        <v>1263</v>
      </c>
      <c r="B56" s="13" t="s">
        <v>8</v>
      </c>
      <c r="C56" s="19">
        <v>11</v>
      </c>
      <c r="D56" s="14" t="str">
        <f t="shared" si="0"/>
        <v>stationary</v>
      </c>
      <c r="E56" s="19"/>
      <c r="F56" s="19">
        <v>1</v>
      </c>
      <c r="G56" s="19">
        <v>9</v>
      </c>
      <c r="H56" s="19">
        <v>11</v>
      </c>
      <c r="I56" s="32">
        <v>2</v>
      </c>
      <c r="J56" s="20"/>
    </row>
    <row r="57" spans="1:10">
      <c r="A57" s="16">
        <v>98004910</v>
      </c>
      <c r="B57" s="13" t="s">
        <v>8</v>
      </c>
      <c r="C57" s="17"/>
      <c r="D57" s="14" t="str">
        <f t="shared" si="0"/>
        <v>stationary</v>
      </c>
      <c r="E57" s="17"/>
      <c r="F57" s="17">
        <v>1</v>
      </c>
      <c r="G57" s="17"/>
      <c r="H57" s="17">
        <v>4</v>
      </c>
      <c r="J57" s="18"/>
    </row>
    <row r="58" spans="1:10">
      <c r="A58" s="16">
        <v>7103068</v>
      </c>
      <c r="B58" s="13" t="s">
        <v>8</v>
      </c>
      <c r="C58" s="19"/>
      <c r="D58" s="14" t="str">
        <f t="shared" si="0"/>
        <v>stationary</v>
      </c>
      <c r="E58" s="19"/>
      <c r="F58" s="19">
        <v>1</v>
      </c>
      <c r="G58" s="19"/>
      <c r="H58" s="19"/>
      <c r="J58" s="20"/>
    </row>
    <row r="59" spans="1:10">
      <c r="A59" s="16">
        <v>11240728</v>
      </c>
      <c r="B59" s="13" t="s">
        <v>8</v>
      </c>
      <c r="C59" s="17"/>
      <c r="D59" s="14" t="str">
        <f t="shared" si="0"/>
        <v>stationary</v>
      </c>
      <c r="E59" s="17"/>
      <c r="F59" s="17">
        <v>1</v>
      </c>
      <c r="G59" s="17"/>
      <c r="H59" s="17"/>
      <c r="J59" s="18"/>
    </row>
    <row r="60" spans="1:10">
      <c r="A60" s="16"/>
      <c r="B60" s="13"/>
      <c r="C60" s="19"/>
      <c r="D60" s="14" t="str">
        <f t="shared" si="0"/>
        <v>unknown</v>
      </c>
      <c r="E60" s="19"/>
      <c r="F60" s="19"/>
      <c r="G60" s="19"/>
      <c r="H60" s="19"/>
      <c r="J60" s="20"/>
    </row>
    <row r="61" spans="1:10">
      <c r="A61" s="16">
        <v>5015869</v>
      </c>
      <c r="B61" s="13" t="s">
        <v>9</v>
      </c>
      <c r="C61" s="17"/>
      <c r="D61" s="14" t="str">
        <f t="shared" si="0"/>
        <v>unknown</v>
      </c>
      <c r="E61" s="17"/>
      <c r="F61" s="17"/>
      <c r="G61" s="17"/>
      <c r="H61" s="17"/>
      <c r="J61" s="18"/>
    </row>
    <row r="62" spans="1:10">
      <c r="A62" s="16">
        <v>5016969</v>
      </c>
      <c r="B62" s="13" t="s">
        <v>9</v>
      </c>
      <c r="C62" s="19">
        <v>8</v>
      </c>
      <c r="D62" s="14" t="str">
        <f t="shared" si="0"/>
        <v>stationary</v>
      </c>
      <c r="E62" s="19"/>
      <c r="F62" s="19">
        <v>1</v>
      </c>
      <c r="G62" s="19"/>
      <c r="H62" s="19"/>
      <c r="J62" s="20">
        <v>1</v>
      </c>
    </row>
    <row r="63" spans="1:10">
      <c r="A63" s="16">
        <v>6023231</v>
      </c>
      <c r="B63" s="13" t="s">
        <v>9</v>
      </c>
      <c r="C63" s="17">
        <v>73</v>
      </c>
      <c r="D63" s="14" t="str">
        <f t="shared" si="0"/>
        <v>stationary</v>
      </c>
      <c r="E63" s="17"/>
      <c r="F63" s="17">
        <v>1</v>
      </c>
      <c r="G63" s="17"/>
      <c r="H63" s="17"/>
      <c r="J63" s="18">
        <v>1</v>
      </c>
    </row>
    <row r="64" spans="1:10">
      <c r="A64" s="16">
        <v>6011198</v>
      </c>
      <c r="B64" s="13" t="s">
        <v>9</v>
      </c>
      <c r="C64" s="19"/>
      <c r="D64" s="14" t="str">
        <f t="shared" si="0"/>
        <v>stationary</v>
      </c>
      <c r="E64" s="19"/>
      <c r="F64" s="19">
        <v>1</v>
      </c>
      <c r="G64" s="19"/>
      <c r="H64" s="19"/>
      <c r="J64" s="20">
        <v>1</v>
      </c>
    </row>
    <row r="65" spans="1:10">
      <c r="A65" s="16">
        <v>6012681</v>
      </c>
      <c r="B65" s="13" t="s">
        <v>9</v>
      </c>
      <c r="C65" s="17"/>
      <c r="D65" s="14" t="str">
        <f t="shared" si="0"/>
        <v>ambulant</v>
      </c>
      <c r="E65" s="17">
        <v>1</v>
      </c>
      <c r="F65" s="17"/>
      <c r="G65" s="17"/>
      <c r="H65" s="17"/>
      <c r="J65" s="18"/>
    </row>
    <row r="66" spans="1:10">
      <c r="A66" s="16">
        <v>6014511</v>
      </c>
      <c r="B66" s="13" t="s">
        <v>9</v>
      </c>
      <c r="C66" s="19"/>
      <c r="D66" s="14" t="str">
        <f t="shared" si="0"/>
        <v>stationary</v>
      </c>
      <c r="E66" s="19"/>
      <c r="F66" s="19">
        <v>1</v>
      </c>
      <c r="G66" s="19"/>
      <c r="H66" s="19"/>
      <c r="J66" s="20"/>
    </row>
    <row r="67" spans="1:10">
      <c r="A67" s="16">
        <v>6045127</v>
      </c>
      <c r="B67" s="13" t="s">
        <v>9</v>
      </c>
      <c r="C67" s="17">
        <v>122</v>
      </c>
      <c r="D67" s="14" t="str">
        <f t="shared" ref="D67:D130" si="1">IF(E67=1,"ambulant",IF(F67=1,"stationary","unknown"))</f>
        <v>stationary</v>
      </c>
      <c r="E67" s="17"/>
      <c r="F67" s="17">
        <v>1</v>
      </c>
      <c r="G67" s="17"/>
      <c r="H67" s="17"/>
      <c r="J67" s="18">
        <v>1</v>
      </c>
    </row>
    <row r="68" spans="1:10">
      <c r="A68" s="16">
        <v>7000458</v>
      </c>
      <c r="B68" s="13" t="s">
        <v>9</v>
      </c>
      <c r="C68" s="19">
        <v>9</v>
      </c>
      <c r="D68" s="14" t="str">
        <f t="shared" si="1"/>
        <v>ambulant</v>
      </c>
      <c r="E68" s="19">
        <v>1</v>
      </c>
      <c r="F68" s="19"/>
      <c r="G68" s="19"/>
      <c r="H68" s="19"/>
      <c r="J68" s="20"/>
    </row>
    <row r="69" spans="1:10">
      <c r="A69" s="16">
        <v>7015502</v>
      </c>
      <c r="B69" s="13" t="s">
        <v>9</v>
      </c>
      <c r="C69" s="17"/>
      <c r="D69" s="14" t="str">
        <f t="shared" si="1"/>
        <v>ambulant</v>
      </c>
      <c r="E69" s="17">
        <v>1</v>
      </c>
      <c r="F69" s="17"/>
      <c r="G69" s="17"/>
      <c r="H69" s="17"/>
      <c r="J69" s="18"/>
    </row>
    <row r="70" spans="1:10">
      <c r="A70" s="16">
        <v>7025847</v>
      </c>
      <c r="B70" s="13" t="s">
        <v>9</v>
      </c>
      <c r="C70" s="19"/>
      <c r="D70" s="14" t="str">
        <f t="shared" si="1"/>
        <v>ambulant</v>
      </c>
      <c r="E70" s="19">
        <v>1</v>
      </c>
      <c r="F70" s="19"/>
      <c r="G70" s="19"/>
      <c r="H70" s="19"/>
      <c r="J70" s="20"/>
    </row>
    <row r="71" spans="1:10">
      <c r="A71" s="16">
        <v>7082707</v>
      </c>
      <c r="B71" s="13" t="s">
        <v>9</v>
      </c>
      <c r="C71" s="17"/>
      <c r="D71" s="14" t="str">
        <f t="shared" si="1"/>
        <v>stationary</v>
      </c>
      <c r="E71" s="17"/>
      <c r="F71" s="17">
        <v>1</v>
      </c>
      <c r="G71" s="17"/>
      <c r="H71" s="17"/>
      <c r="J71" s="18"/>
    </row>
    <row r="72" spans="1:10">
      <c r="A72" s="16">
        <v>7083159</v>
      </c>
      <c r="B72" s="13" t="s">
        <v>9</v>
      </c>
      <c r="C72" s="19">
        <v>38</v>
      </c>
      <c r="D72" s="14" t="str">
        <f t="shared" si="1"/>
        <v>stationary</v>
      </c>
      <c r="E72" s="19"/>
      <c r="F72" s="19">
        <v>1</v>
      </c>
      <c r="G72" s="19"/>
      <c r="H72" s="19"/>
      <c r="J72" s="20"/>
    </row>
    <row r="73" spans="1:10">
      <c r="A73" s="16">
        <v>7084659</v>
      </c>
      <c r="B73" s="13" t="s">
        <v>9</v>
      </c>
      <c r="C73" s="17"/>
      <c r="D73" s="14" t="str">
        <f t="shared" si="1"/>
        <v>stationary</v>
      </c>
      <c r="E73" s="17"/>
      <c r="F73" s="17">
        <v>1</v>
      </c>
      <c r="G73" s="17"/>
      <c r="H73" s="17"/>
      <c r="J73" s="18"/>
    </row>
    <row r="74" spans="1:10">
      <c r="A74" s="16">
        <v>7076814</v>
      </c>
      <c r="B74" s="13" t="s">
        <v>9</v>
      </c>
      <c r="C74" s="19"/>
      <c r="D74" s="14" t="str">
        <f t="shared" si="1"/>
        <v>stationary</v>
      </c>
      <c r="E74" s="19"/>
      <c r="F74" s="19">
        <v>1</v>
      </c>
      <c r="G74" s="19"/>
      <c r="H74" s="19"/>
      <c r="J74" s="20">
        <v>1</v>
      </c>
    </row>
    <row r="75" spans="1:10">
      <c r="A75" s="16">
        <v>7076815</v>
      </c>
      <c r="B75" s="13" t="s">
        <v>9</v>
      </c>
      <c r="C75" s="17"/>
      <c r="D75" s="14" t="str">
        <f t="shared" si="1"/>
        <v>ambulant</v>
      </c>
      <c r="E75" s="17">
        <v>1</v>
      </c>
      <c r="F75" s="17"/>
      <c r="G75" s="17"/>
      <c r="H75" s="17"/>
      <c r="J75" s="18"/>
    </row>
    <row r="76" spans="1:10">
      <c r="A76" s="16">
        <v>7089231</v>
      </c>
      <c r="B76" s="13" t="s">
        <v>9</v>
      </c>
      <c r="C76" s="19"/>
      <c r="D76" s="14" t="str">
        <f t="shared" si="1"/>
        <v>ambulant</v>
      </c>
      <c r="E76" s="19">
        <v>1</v>
      </c>
      <c r="F76" s="19"/>
      <c r="G76" s="19"/>
      <c r="H76" s="19"/>
      <c r="J76" s="20"/>
    </row>
    <row r="77" spans="1:10">
      <c r="A77" s="16">
        <v>7116004</v>
      </c>
      <c r="B77" s="13" t="s">
        <v>9</v>
      </c>
      <c r="C77" s="17"/>
      <c r="D77" s="14" t="str">
        <f t="shared" si="1"/>
        <v>ambulant</v>
      </c>
      <c r="E77" s="17">
        <v>1</v>
      </c>
      <c r="F77" s="17"/>
      <c r="G77" s="17"/>
      <c r="H77" s="17"/>
      <c r="J77" s="18"/>
    </row>
    <row r="78" spans="1:10">
      <c r="A78" s="16">
        <v>8003819</v>
      </c>
      <c r="B78" s="13" t="s">
        <v>9</v>
      </c>
      <c r="C78" s="19"/>
      <c r="D78" s="14" t="str">
        <f t="shared" si="1"/>
        <v>ambulant</v>
      </c>
      <c r="E78" s="19">
        <v>1</v>
      </c>
      <c r="F78" s="19"/>
      <c r="G78" s="19"/>
      <c r="H78" s="19"/>
      <c r="J78" s="20"/>
    </row>
    <row r="79" spans="1:10">
      <c r="A79" s="16">
        <v>8091779</v>
      </c>
      <c r="B79" s="13" t="s">
        <v>9</v>
      </c>
      <c r="C79" s="17"/>
      <c r="D79" s="14" t="str">
        <f t="shared" si="1"/>
        <v>stationary</v>
      </c>
      <c r="E79" s="17"/>
      <c r="F79" s="17">
        <v>1</v>
      </c>
      <c r="G79" s="17"/>
      <c r="H79" s="17"/>
      <c r="J79" s="18">
        <v>1</v>
      </c>
    </row>
    <row r="80" spans="1:10">
      <c r="A80" s="16">
        <v>8112522</v>
      </c>
      <c r="B80" s="13" t="s">
        <v>9</v>
      </c>
      <c r="C80" s="19">
        <v>13</v>
      </c>
      <c r="D80" s="14" t="str">
        <f t="shared" si="1"/>
        <v>stationary</v>
      </c>
      <c r="E80" s="19"/>
      <c r="F80" s="19">
        <v>1</v>
      </c>
      <c r="G80" s="19"/>
      <c r="H80" s="19"/>
      <c r="J80" s="20">
        <v>1</v>
      </c>
    </row>
    <row r="81" spans="1:10">
      <c r="A81" s="16" t="s">
        <v>10</v>
      </c>
      <c r="B81" s="13" t="s">
        <v>9</v>
      </c>
      <c r="C81" s="17"/>
      <c r="D81" s="14" t="str">
        <f t="shared" si="1"/>
        <v>stationary</v>
      </c>
      <c r="E81" s="17"/>
      <c r="F81" s="17">
        <v>1</v>
      </c>
      <c r="G81" s="17"/>
      <c r="H81" s="17"/>
      <c r="J81" s="18">
        <v>1</v>
      </c>
    </row>
    <row r="82" spans="1:10">
      <c r="A82" s="16">
        <v>8130998</v>
      </c>
      <c r="B82" s="13" t="s">
        <v>9</v>
      </c>
      <c r="C82" s="19"/>
      <c r="D82" s="14" t="str">
        <f t="shared" si="1"/>
        <v>stationary</v>
      </c>
      <c r="E82" s="19"/>
      <c r="F82" s="19">
        <v>1</v>
      </c>
      <c r="G82" s="19"/>
      <c r="H82" s="19">
        <v>4</v>
      </c>
      <c r="J82" s="20">
        <v>1</v>
      </c>
    </row>
    <row r="83" spans="1:10">
      <c r="A83" s="16">
        <v>9002836</v>
      </c>
      <c r="B83" s="13" t="s">
        <v>9</v>
      </c>
      <c r="C83" s="17">
        <v>6</v>
      </c>
      <c r="D83" s="14" t="str">
        <f t="shared" si="1"/>
        <v>stationary</v>
      </c>
      <c r="E83" s="17"/>
      <c r="F83" s="17">
        <v>1</v>
      </c>
      <c r="G83" s="17"/>
      <c r="H83" s="17"/>
      <c r="J83" s="18">
        <v>1</v>
      </c>
    </row>
    <row r="84" spans="1:10">
      <c r="A84" s="16">
        <v>9003331</v>
      </c>
      <c r="B84" s="13" t="s">
        <v>9</v>
      </c>
      <c r="C84" s="19">
        <v>34</v>
      </c>
      <c r="D84" s="14" t="str">
        <f t="shared" si="1"/>
        <v>stationary</v>
      </c>
      <c r="E84" s="19"/>
      <c r="F84" s="19">
        <v>1</v>
      </c>
      <c r="G84" s="19"/>
      <c r="H84" s="19"/>
      <c r="J84" s="20">
        <v>1</v>
      </c>
    </row>
    <row r="85" spans="1:10">
      <c r="A85" s="16">
        <v>9003370</v>
      </c>
      <c r="B85" s="13" t="s">
        <v>9</v>
      </c>
      <c r="C85" s="17">
        <v>2</v>
      </c>
      <c r="D85" s="14" t="str">
        <f t="shared" si="1"/>
        <v>stationary</v>
      </c>
      <c r="E85" s="17"/>
      <c r="F85" s="17">
        <v>1</v>
      </c>
      <c r="G85" s="17"/>
      <c r="H85" s="17"/>
      <c r="J85" s="18">
        <v>1</v>
      </c>
    </row>
    <row r="86" spans="1:10">
      <c r="A86" s="16">
        <v>9016278</v>
      </c>
      <c r="B86" s="13" t="s">
        <v>9</v>
      </c>
      <c r="C86" s="19">
        <v>30</v>
      </c>
      <c r="D86" s="14" t="str">
        <f t="shared" si="1"/>
        <v>stationary</v>
      </c>
      <c r="E86" s="19"/>
      <c r="F86" s="19">
        <v>1</v>
      </c>
      <c r="G86" s="19">
        <v>17</v>
      </c>
      <c r="H86" s="19">
        <v>10</v>
      </c>
      <c r="I86" s="32">
        <v>-7</v>
      </c>
      <c r="J86" s="20">
        <v>1</v>
      </c>
    </row>
    <row r="87" spans="1:10">
      <c r="A87" s="16">
        <v>9030684</v>
      </c>
      <c r="B87" s="13" t="s">
        <v>9</v>
      </c>
      <c r="C87" s="17">
        <v>2</v>
      </c>
      <c r="D87" s="14" t="str">
        <f t="shared" si="1"/>
        <v>stationary</v>
      </c>
      <c r="E87" s="17"/>
      <c r="F87" s="17">
        <v>1</v>
      </c>
      <c r="G87" s="17"/>
      <c r="H87" s="17"/>
      <c r="J87" s="18">
        <v>1</v>
      </c>
    </row>
    <row r="88" spans="1:10">
      <c r="A88" s="16">
        <v>9031387</v>
      </c>
      <c r="B88" s="13" t="s">
        <v>9</v>
      </c>
      <c r="C88" s="19">
        <v>22</v>
      </c>
      <c r="D88" s="14" t="str">
        <f t="shared" si="1"/>
        <v>stationary</v>
      </c>
      <c r="E88" s="19"/>
      <c r="F88" s="19">
        <v>1</v>
      </c>
      <c r="G88" s="19"/>
      <c r="H88" s="19"/>
      <c r="J88" s="20">
        <v>1</v>
      </c>
    </row>
    <row r="89" spans="1:10">
      <c r="A89" s="16">
        <v>9038676</v>
      </c>
      <c r="B89" s="13" t="s">
        <v>9</v>
      </c>
      <c r="C89" s="17">
        <v>6</v>
      </c>
      <c r="D89" s="14" t="str">
        <f t="shared" si="1"/>
        <v>stationary</v>
      </c>
      <c r="E89" s="17"/>
      <c r="F89" s="17">
        <v>1</v>
      </c>
      <c r="G89" s="17"/>
      <c r="H89" s="17"/>
      <c r="J89" s="18">
        <v>1</v>
      </c>
    </row>
    <row r="90" spans="1:10">
      <c r="A90" s="16">
        <v>9039416</v>
      </c>
      <c r="B90" s="13" t="s">
        <v>9</v>
      </c>
      <c r="C90" s="19"/>
      <c r="D90" s="14" t="str">
        <f t="shared" si="1"/>
        <v>stationary</v>
      </c>
      <c r="E90" s="19"/>
      <c r="F90" s="19">
        <v>1</v>
      </c>
      <c r="G90" s="19">
        <v>11</v>
      </c>
      <c r="H90" s="19">
        <v>14</v>
      </c>
      <c r="I90" s="32">
        <v>3</v>
      </c>
      <c r="J90" s="20">
        <v>1</v>
      </c>
    </row>
    <row r="91" spans="1:10">
      <c r="A91" s="16">
        <v>9042861</v>
      </c>
      <c r="B91" s="13" t="s">
        <v>9</v>
      </c>
      <c r="C91" s="17"/>
      <c r="D91" s="14" t="str">
        <f t="shared" si="1"/>
        <v>stationary</v>
      </c>
      <c r="E91" s="17"/>
      <c r="F91" s="17">
        <v>1</v>
      </c>
      <c r="G91" s="17">
        <v>14</v>
      </c>
      <c r="H91" s="17">
        <v>17</v>
      </c>
      <c r="I91" s="32">
        <v>3</v>
      </c>
      <c r="J91" s="18">
        <v>1</v>
      </c>
    </row>
    <row r="92" spans="1:10">
      <c r="A92" s="16">
        <v>9044899</v>
      </c>
      <c r="B92" s="13" t="s">
        <v>9</v>
      </c>
      <c r="C92" s="19"/>
      <c r="D92" s="14" t="str">
        <f t="shared" si="1"/>
        <v>stationary</v>
      </c>
      <c r="E92" s="19"/>
      <c r="F92" s="19">
        <v>1</v>
      </c>
      <c r="G92" s="19">
        <v>22</v>
      </c>
      <c r="H92" s="19">
        <v>13</v>
      </c>
      <c r="I92" s="32">
        <v>-9</v>
      </c>
      <c r="J92" s="20">
        <v>1</v>
      </c>
    </row>
    <row r="93" spans="1:10">
      <c r="A93" s="16">
        <v>9052398</v>
      </c>
      <c r="B93" s="13" t="s">
        <v>9</v>
      </c>
      <c r="C93" s="17"/>
      <c r="D93" s="14" t="str">
        <f t="shared" si="1"/>
        <v>stationary</v>
      </c>
      <c r="E93" s="17"/>
      <c r="F93" s="17">
        <v>1</v>
      </c>
      <c r="G93" s="17"/>
      <c r="H93" s="17"/>
      <c r="J93" s="18">
        <v>1</v>
      </c>
    </row>
    <row r="94" spans="1:10">
      <c r="A94" s="16">
        <v>9085204</v>
      </c>
      <c r="B94" s="13" t="s">
        <v>9</v>
      </c>
      <c r="C94" s="19"/>
      <c r="D94" s="14" t="str">
        <f t="shared" si="1"/>
        <v>stationary</v>
      </c>
      <c r="E94" s="19"/>
      <c r="F94" s="19">
        <v>1</v>
      </c>
      <c r="G94" s="19">
        <v>7</v>
      </c>
      <c r="H94" s="19">
        <v>10</v>
      </c>
      <c r="I94" s="32">
        <v>3</v>
      </c>
      <c r="J94" s="20">
        <v>1</v>
      </c>
    </row>
    <row r="95" spans="1:10">
      <c r="A95" s="16">
        <v>9105492</v>
      </c>
      <c r="B95" s="13" t="s">
        <v>9</v>
      </c>
      <c r="C95" s="17"/>
      <c r="D95" s="14" t="str">
        <f t="shared" si="1"/>
        <v>stationary</v>
      </c>
      <c r="E95" s="17"/>
      <c r="F95" s="17">
        <v>1</v>
      </c>
      <c r="G95" s="17">
        <v>18</v>
      </c>
      <c r="H95" s="17">
        <v>18</v>
      </c>
      <c r="I95" s="32">
        <v>0</v>
      </c>
      <c r="J95" s="18">
        <v>1</v>
      </c>
    </row>
    <row r="96" spans="1:10">
      <c r="A96" s="16">
        <v>9138470</v>
      </c>
      <c r="B96" s="13" t="s">
        <v>9</v>
      </c>
      <c r="C96" s="19"/>
      <c r="D96" s="14" t="str">
        <f t="shared" si="1"/>
        <v>stationary</v>
      </c>
      <c r="E96" s="19"/>
      <c r="F96" s="19">
        <v>1</v>
      </c>
      <c r="G96" s="19"/>
      <c r="H96" s="19"/>
      <c r="J96" s="20">
        <v>1</v>
      </c>
    </row>
    <row r="97" spans="1:10">
      <c r="A97" s="16">
        <v>9150676</v>
      </c>
      <c r="B97" s="13" t="s">
        <v>9</v>
      </c>
      <c r="C97" s="17"/>
      <c r="D97" s="14" t="str">
        <f t="shared" si="1"/>
        <v>ambulant</v>
      </c>
      <c r="E97" s="17">
        <v>1</v>
      </c>
      <c r="F97" s="17"/>
      <c r="G97" s="17"/>
      <c r="H97" s="17"/>
      <c r="J97" s="18"/>
    </row>
    <row r="98" spans="1:10">
      <c r="A98" s="16">
        <v>10010926</v>
      </c>
      <c r="B98" s="13" t="s">
        <v>9</v>
      </c>
      <c r="C98" s="19">
        <v>4</v>
      </c>
      <c r="D98" s="14" t="str">
        <f t="shared" si="1"/>
        <v>stationary</v>
      </c>
      <c r="E98" s="19"/>
      <c r="F98" s="19">
        <v>1</v>
      </c>
      <c r="G98" s="19">
        <v>15</v>
      </c>
      <c r="H98" s="19">
        <v>15</v>
      </c>
      <c r="I98" s="32">
        <v>0</v>
      </c>
      <c r="J98" s="20">
        <v>1</v>
      </c>
    </row>
    <row r="99" spans="1:10">
      <c r="A99" s="16" t="s">
        <v>11</v>
      </c>
      <c r="B99" s="13" t="s">
        <v>9</v>
      </c>
      <c r="C99" s="17"/>
      <c r="D99" s="14" t="str">
        <f t="shared" si="1"/>
        <v>stationary</v>
      </c>
      <c r="E99" s="17"/>
      <c r="F99" s="17">
        <v>1</v>
      </c>
      <c r="G99" s="17">
        <v>109</v>
      </c>
      <c r="H99" s="17">
        <v>45</v>
      </c>
      <c r="I99" s="32">
        <v>-64</v>
      </c>
      <c r="J99" s="18"/>
    </row>
    <row r="100" spans="1:10">
      <c r="A100" s="16">
        <v>10091530</v>
      </c>
      <c r="B100" s="13" t="s">
        <v>9</v>
      </c>
      <c r="C100" s="19"/>
      <c r="D100" s="14" t="str">
        <f t="shared" si="1"/>
        <v>stationary</v>
      </c>
      <c r="E100" s="19"/>
      <c r="F100" s="19">
        <v>1</v>
      </c>
      <c r="G100" s="19"/>
      <c r="H100" s="19"/>
      <c r="I100" s="32">
        <v>3</v>
      </c>
      <c r="J100" s="20"/>
    </row>
    <row r="101" spans="1:10">
      <c r="A101" s="16">
        <v>10102052</v>
      </c>
      <c r="B101" s="13" t="s">
        <v>9</v>
      </c>
      <c r="C101" s="17"/>
      <c r="D101" s="14" t="str">
        <f t="shared" si="1"/>
        <v>stationary</v>
      </c>
      <c r="E101" s="17"/>
      <c r="F101" s="17">
        <v>1</v>
      </c>
      <c r="G101" s="17">
        <v>23</v>
      </c>
      <c r="H101" s="17">
        <v>23</v>
      </c>
      <c r="I101" s="32">
        <v>0</v>
      </c>
      <c r="J101" s="18"/>
    </row>
    <row r="102" spans="1:10">
      <c r="A102" s="16">
        <v>10104735</v>
      </c>
      <c r="B102" s="13" t="s">
        <v>9</v>
      </c>
      <c r="C102" s="19">
        <v>4</v>
      </c>
      <c r="D102" s="14" t="str">
        <f t="shared" si="1"/>
        <v>ambulant</v>
      </c>
      <c r="E102" s="19">
        <v>1</v>
      </c>
      <c r="F102" s="19"/>
      <c r="G102" s="19"/>
      <c r="H102" s="19"/>
      <c r="J102" s="20"/>
    </row>
    <row r="103" spans="1:10">
      <c r="A103" s="16">
        <v>10131550</v>
      </c>
      <c r="B103" s="13" t="s">
        <v>9</v>
      </c>
      <c r="C103" s="17">
        <v>18</v>
      </c>
      <c r="D103" s="14" t="str">
        <f t="shared" si="1"/>
        <v>stationary</v>
      </c>
      <c r="E103" s="17"/>
      <c r="F103" s="17">
        <v>1</v>
      </c>
      <c r="G103" s="17"/>
      <c r="H103" s="17"/>
      <c r="J103" s="18">
        <v>1</v>
      </c>
    </row>
    <row r="104" spans="1:10">
      <c r="A104" s="16">
        <v>10131607</v>
      </c>
      <c r="B104" s="13" t="s">
        <v>9</v>
      </c>
      <c r="C104" s="19"/>
      <c r="D104" s="14" t="str">
        <f t="shared" si="1"/>
        <v>ambulant</v>
      </c>
      <c r="E104" s="19">
        <v>1</v>
      </c>
      <c r="F104" s="19"/>
      <c r="G104" s="19"/>
      <c r="H104" s="19"/>
      <c r="J104" s="20"/>
    </row>
    <row r="105" spans="1:10">
      <c r="A105" s="16">
        <v>10145202</v>
      </c>
      <c r="B105" s="13" t="s">
        <v>9</v>
      </c>
      <c r="C105" s="17"/>
      <c r="D105" s="14" t="str">
        <f t="shared" si="1"/>
        <v>stationary</v>
      </c>
      <c r="E105" s="17"/>
      <c r="F105" s="17">
        <v>1</v>
      </c>
      <c r="G105" s="17">
        <v>21</v>
      </c>
      <c r="H105" s="17">
        <v>23</v>
      </c>
      <c r="I105" s="32">
        <v>2</v>
      </c>
      <c r="J105" s="18"/>
    </row>
    <row r="106" spans="1:10">
      <c r="A106" s="16">
        <v>10158770</v>
      </c>
      <c r="B106" s="13" t="s">
        <v>9</v>
      </c>
      <c r="C106" s="19"/>
      <c r="D106" s="14" t="str">
        <f t="shared" si="1"/>
        <v>stationary</v>
      </c>
      <c r="E106" s="19"/>
      <c r="F106" s="19">
        <v>1</v>
      </c>
      <c r="G106" s="19"/>
      <c r="H106" s="19"/>
      <c r="J106" s="20">
        <v>1</v>
      </c>
    </row>
    <row r="107" spans="1:10">
      <c r="A107" s="16">
        <v>10162949</v>
      </c>
      <c r="B107" s="13" t="s">
        <v>9</v>
      </c>
      <c r="C107" s="17">
        <v>11</v>
      </c>
      <c r="D107" s="14" t="str">
        <f t="shared" si="1"/>
        <v>stationary</v>
      </c>
      <c r="E107" s="17"/>
      <c r="F107" s="17">
        <v>1</v>
      </c>
      <c r="G107" s="17"/>
      <c r="H107" s="17"/>
      <c r="J107" s="18">
        <v>1</v>
      </c>
    </row>
    <row r="108" spans="1:10">
      <c r="A108" s="16">
        <v>10171633</v>
      </c>
      <c r="B108" s="13" t="s">
        <v>9</v>
      </c>
      <c r="C108" s="19"/>
      <c r="D108" s="14" t="str">
        <f t="shared" si="1"/>
        <v>stationary</v>
      </c>
      <c r="E108" s="19"/>
      <c r="F108" s="19">
        <v>1</v>
      </c>
      <c r="G108" s="19">
        <v>18</v>
      </c>
      <c r="H108" s="19">
        <v>23</v>
      </c>
      <c r="I108" s="32">
        <v>5</v>
      </c>
      <c r="J108" s="20">
        <v>1</v>
      </c>
    </row>
    <row r="109" spans="1:10">
      <c r="A109" s="16">
        <v>11005762</v>
      </c>
      <c r="B109" s="13" t="s">
        <v>9</v>
      </c>
      <c r="C109" s="17">
        <v>17</v>
      </c>
      <c r="D109" s="14" t="str">
        <f t="shared" si="1"/>
        <v>stationary</v>
      </c>
      <c r="E109" s="17"/>
      <c r="F109" s="17">
        <v>1</v>
      </c>
      <c r="G109" s="17"/>
      <c r="H109" s="17"/>
      <c r="J109" s="18">
        <v>1</v>
      </c>
    </row>
    <row r="110" spans="1:10">
      <c r="A110" s="16" t="s">
        <v>12</v>
      </c>
      <c r="B110" s="13" t="s">
        <v>9</v>
      </c>
      <c r="C110" s="19">
        <v>26</v>
      </c>
      <c r="D110" s="14" t="str">
        <f t="shared" si="1"/>
        <v>stationary</v>
      </c>
      <c r="E110" s="19"/>
      <c r="F110" s="19">
        <v>1</v>
      </c>
      <c r="G110" s="19">
        <v>43</v>
      </c>
      <c r="H110" s="19">
        <v>26</v>
      </c>
      <c r="I110" s="32">
        <v>-17</v>
      </c>
      <c r="J110" s="20"/>
    </row>
    <row r="111" spans="1:10">
      <c r="A111" s="16">
        <v>11018341</v>
      </c>
      <c r="B111" s="13" t="s">
        <v>9</v>
      </c>
      <c r="C111" s="17">
        <v>20</v>
      </c>
      <c r="D111" s="14" t="str">
        <f t="shared" si="1"/>
        <v>stationary</v>
      </c>
      <c r="E111" s="17"/>
      <c r="F111" s="17">
        <v>1</v>
      </c>
      <c r="G111" s="17">
        <v>20</v>
      </c>
      <c r="H111" s="17">
        <v>20</v>
      </c>
      <c r="I111" s="32">
        <v>0</v>
      </c>
      <c r="J111" s="18"/>
    </row>
    <row r="112" spans="1:10">
      <c r="A112" s="16">
        <v>11021445</v>
      </c>
      <c r="B112" s="13" t="s">
        <v>9</v>
      </c>
      <c r="C112" s="19"/>
      <c r="D112" s="14" t="str">
        <f t="shared" si="1"/>
        <v>ambulant</v>
      </c>
      <c r="E112" s="19">
        <v>1</v>
      </c>
      <c r="F112" s="19"/>
      <c r="G112" s="19"/>
      <c r="H112" s="19"/>
      <c r="J112" s="20"/>
    </row>
    <row r="113" spans="1:10">
      <c r="A113" s="16">
        <v>11025151</v>
      </c>
      <c r="B113" s="13" t="s">
        <v>9</v>
      </c>
      <c r="C113" s="17"/>
      <c r="D113" s="14" t="str">
        <f t="shared" si="1"/>
        <v>stationary</v>
      </c>
      <c r="E113" s="17"/>
      <c r="F113" s="17">
        <v>1</v>
      </c>
      <c r="G113" s="17">
        <v>29</v>
      </c>
      <c r="H113" s="17">
        <v>31</v>
      </c>
      <c r="I113" s="32">
        <v>2</v>
      </c>
      <c r="J113" s="18">
        <v>1</v>
      </c>
    </row>
    <row r="114" spans="1:10">
      <c r="A114" s="16">
        <v>11039110</v>
      </c>
      <c r="B114" s="13" t="s">
        <v>9</v>
      </c>
      <c r="C114" s="19">
        <v>58</v>
      </c>
      <c r="D114" s="14" t="str">
        <f t="shared" si="1"/>
        <v>stationary</v>
      </c>
      <c r="E114" s="19"/>
      <c r="F114" s="19">
        <v>1</v>
      </c>
      <c r="G114" s="19">
        <v>3</v>
      </c>
      <c r="H114" s="19">
        <v>1</v>
      </c>
      <c r="I114" s="32">
        <v>-2</v>
      </c>
      <c r="J114" s="20">
        <v>1</v>
      </c>
    </row>
    <row r="115" spans="1:10">
      <c r="A115" s="16">
        <v>11108410</v>
      </c>
      <c r="B115" s="13" t="s">
        <v>9</v>
      </c>
      <c r="C115" s="17">
        <v>33</v>
      </c>
      <c r="D115" s="14" t="str">
        <f t="shared" si="1"/>
        <v>stationary</v>
      </c>
      <c r="E115" s="17"/>
      <c r="F115" s="17">
        <v>1</v>
      </c>
      <c r="G115" s="17">
        <v>28</v>
      </c>
      <c r="H115" s="17">
        <v>24</v>
      </c>
      <c r="I115" s="32">
        <v>-4</v>
      </c>
      <c r="J115" s="18"/>
    </row>
    <row r="116" spans="1:10">
      <c r="A116" s="16">
        <v>11139605</v>
      </c>
      <c r="B116" s="13" t="s">
        <v>9</v>
      </c>
      <c r="C116" s="19"/>
      <c r="D116" s="14" t="str">
        <f t="shared" si="1"/>
        <v>stationary</v>
      </c>
      <c r="E116" s="19"/>
      <c r="F116" s="19">
        <v>1</v>
      </c>
      <c r="G116" s="19"/>
      <c r="H116" s="19"/>
      <c r="J116" s="20">
        <v>1</v>
      </c>
    </row>
    <row r="117" spans="1:10">
      <c r="A117" s="16">
        <v>11201694</v>
      </c>
      <c r="B117" s="13" t="s">
        <v>9</v>
      </c>
      <c r="C117" s="17">
        <v>30</v>
      </c>
      <c r="D117" s="14" t="str">
        <f t="shared" si="1"/>
        <v>stationary</v>
      </c>
      <c r="E117" s="17"/>
      <c r="F117" s="17">
        <v>1</v>
      </c>
      <c r="G117" s="17">
        <v>4</v>
      </c>
      <c r="H117" s="17">
        <v>4</v>
      </c>
      <c r="I117" s="32">
        <v>0</v>
      </c>
      <c r="J117" s="18">
        <v>1</v>
      </c>
    </row>
    <row r="118" spans="1:10">
      <c r="A118" s="16">
        <v>11242543</v>
      </c>
      <c r="B118" s="13" t="s">
        <v>9</v>
      </c>
      <c r="C118" s="19">
        <v>15</v>
      </c>
      <c r="D118" s="14" t="str">
        <f t="shared" si="1"/>
        <v>ambulant</v>
      </c>
      <c r="E118" s="19">
        <v>1</v>
      </c>
      <c r="F118" s="19"/>
      <c r="G118" s="19"/>
      <c r="H118" s="19"/>
      <c r="J118" s="20"/>
    </row>
    <row r="119" spans="1:10">
      <c r="A119" s="16">
        <v>11247293</v>
      </c>
      <c r="B119" s="13" t="s">
        <v>9</v>
      </c>
      <c r="C119" s="17">
        <v>180</v>
      </c>
      <c r="D119" s="14" t="str">
        <f t="shared" si="1"/>
        <v>ambulant</v>
      </c>
      <c r="E119" s="17">
        <v>1</v>
      </c>
      <c r="F119" s="17"/>
      <c r="G119" s="17"/>
      <c r="H119" s="17"/>
      <c r="J119" s="18"/>
    </row>
    <row r="120" spans="1:10">
      <c r="A120" s="16">
        <v>12006449</v>
      </c>
      <c r="B120" s="13" t="s">
        <v>9</v>
      </c>
      <c r="C120" s="19">
        <v>15</v>
      </c>
      <c r="D120" s="14" t="str">
        <f t="shared" si="1"/>
        <v>stationary</v>
      </c>
      <c r="E120" s="19"/>
      <c r="F120" s="19">
        <v>1</v>
      </c>
      <c r="G120" s="19">
        <v>18</v>
      </c>
      <c r="H120" s="19">
        <v>18</v>
      </c>
      <c r="I120" s="32">
        <v>0</v>
      </c>
      <c r="J120" s="20"/>
    </row>
    <row r="121" spans="1:10">
      <c r="A121" s="16">
        <v>12049136</v>
      </c>
      <c r="B121" s="13" t="s">
        <v>9</v>
      </c>
      <c r="C121" s="17">
        <v>34</v>
      </c>
      <c r="D121" s="14" t="str">
        <f t="shared" si="1"/>
        <v>ambulant</v>
      </c>
      <c r="E121" s="17">
        <v>1</v>
      </c>
      <c r="F121" s="17"/>
      <c r="G121" s="17"/>
      <c r="H121" s="17"/>
      <c r="J121" s="18"/>
    </row>
    <row r="122" spans="1:10">
      <c r="A122" s="16">
        <v>12087508</v>
      </c>
      <c r="B122" s="13" t="s">
        <v>9</v>
      </c>
      <c r="C122" s="19">
        <v>10</v>
      </c>
      <c r="D122" s="14" t="str">
        <f t="shared" si="1"/>
        <v>ambulant</v>
      </c>
      <c r="E122" s="19">
        <v>1</v>
      </c>
      <c r="F122" s="19"/>
      <c r="G122" s="19"/>
      <c r="H122" s="19"/>
      <c r="J122" s="20"/>
    </row>
    <row r="123" spans="1:10">
      <c r="A123" s="16">
        <v>12229481</v>
      </c>
      <c r="B123" s="13" t="s">
        <v>9</v>
      </c>
      <c r="C123" s="17">
        <v>14</v>
      </c>
      <c r="D123" s="14" t="str">
        <f t="shared" si="1"/>
        <v>stationary</v>
      </c>
      <c r="E123" s="17"/>
      <c r="F123" s="17">
        <v>1</v>
      </c>
      <c r="G123" s="17"/>
      <c r="H123" s="17"/>
      <c r="J123" s="18">
        <v>1</v>
      </c>
    </row>
    <row r="124" spans="1:10">
      <c r="A124" s="16">
        <v>12258821</v>
      </c>
      <c r="B124" s="13" t="s">
        <v>9</v>
      </c>
      <c r="C124" s="19"/>
      <c r="D124" s="14" t="str">
        <f t="shared" si="1"/>
        <v>ambulant</v>
      </c>
      <c r="E124" s="19">
        <v>1</v>
      </c>
      <c r="F124" s="19"/>
      <c r="G124" s="19"/>
      <c r="H124" s="19"/>
      <c r="J124" s="20"/>
    </row>
    <row r="125" spans="1:10">
      <c r="A125" s="16">
        <v>12309729</v>
      </c>
      <c r="B125" s="13" t="s">
        <v>9</v>
      </c>
      <c r="C125" s="17"/>
      <c r="D125" s="14" t="str">
        <f t="shared" si="1"/>
        <v>unknown</v>
      </c>
      <c r="E125" s="17"/>
      <c r="F125" s="17"/>
      <c r="G125" s="17"/>
      <c r="H125" s="17"/>
      <c r="J125" s="18"/>
    </row>
    <row r="126" spans="1:10">
      <c r="A126" s="16" t="s">
        <v>13</v>
      </c>
      <c r="B126" s="13" t="s">
        <v>9</v>
      </c>
      <c r="C126" s="19"/>
      <c r="D126" s="14" t="str">
        <f t="shared" si="1"/>
        <v>ambulant</v>
      </c>
      <c r="E126" s="19">
        <v>1</v>
      </c>
      <c r="F126" s="19"/>
      <c r="G126" s="19"/>
      <c r="H126" s="19"/>
      <c r="J126" s="20"/>
    </row>
    <row r="127" spans="1:10">
      <c r="A127" s="16">
        <v>13005942</v>
      </c>
      <c r="B127" s="13" t="s">
        <v>9</v>
      </c>
      <c r="C127" s="17"/>
      <c r="D127" s="14" t="str">
        <f t="shared" si="1"/>
        <v>stationary</v>
      </c>
      <c r="E127" s="17"/>
      <c r="F127" s="17">
        <v>1</v>
      </c>
      <c r="G127" s="17"/>
      <c r="H127" s="17"/>
      <c r="J127" s="18"/>
    </row>
    <row r="128" spans="1:10">
      <c r="A128" s="16">
        <v>324</v>
      </c>
      <c r="B128" s="13" t="s">
        <v>9</v>
      </c>
      <c r="C128" s="19">
        <v>33</v>
      </c>
      <c r="D128" s="14" t="str">
        <f t="shared" si="1"/>
        <v>unknown</v>
      </c>
      <c r="E128" s="19"/>
      <c r="F128" s="19"/>
      <c r="G128" s="19"/>
      <c r="H128" s="19"/>
      <c r="J128" s="20"/>
    </row>
    <row r="129" spans="1:10">
      <c r="A129" s="16">
        <v>3909</v>
      </c>
      <c r="B129" s="13" t="s">
        <v>9</v>
      </c>
      <c r="C129" s="17"/>
      <c r="D129" s="14" t="str">
        <f t="shared" si="1"/>
        <v>stationary</v>
      </c>
      <c r="E129" s="17"/>
      <c r="F129" s="17">
        <v>1</v>
      </c>
      <c r="G129" s="17"/>
      <c r="H129" s="17"/>
      <c r="J129" s="18">
        <v>1</v>
      </c>
    </row>
    <row r="130" spans="1:10">
      <c r="A130" s="16">
        <v>4663</v>
      </c>
      <c r="B130" s="13" t="s">
        <v>9</v>
      </c>
      <c r="C130" s="19"/>
      <c r="D130" s="14" t="str">
        <f t="shared" si="1"/>
        <v>stationary</v>
      </c>
      <c r="E130" s="19"/>
      <c r="F130" s="19">
        <v>1</v>
      </c>
      <c r="G130" s="19"/>
      <c r="H130" s="19"/>
      <c r="J130" s="20">
        <v>1</v>
      </c>
    </row>
    <row r="131" spans="1:10">
      <c r="A131" s="16">
        <v>1005522</v>
      </c>
      <c r="B131" s="13" t="s">
        <v>9</v>
      </c>
      <c r="C131" s="17"/>
      <c r="D131" s="14" t="str">
        <f t="shared" ref="D131:D194" si="2">IF(E131=1,"ambulant",IF(F131=1,"stationary","unknown"))</f>
        <v>stationary</v>
      </c>
      <c r="E131" s="17"/>
      <c r="F131" s="17">
        <v>1</v>
      </c>
      <c r="G131" s="17"/>
      <c r="H131" s="17"/>
      <c r="J131" s="18"/>
    </row>
    <row r="132" spans="1:10">
      <c r="A132" s="16">
        <v>1007631</v>
      </c>
      <c r="B132" s="13" t="s">
        <v>9</v>
      </c>
      <c r="C132" s="19">
        <v>5</v>
      </c>
      <c r="D132" s="14" t="str">
        <f t="shared" si="2"/>
        <v>stationary</v>
      </c>
      <c r="E132" s="19"/>
      <c r="F132" s="19">
        <v>1</v>
      </c>
      <c r="G132" s="19">
        <v>4</v>
      </c>
      <c r="H132" s="19">
        <v>5</v>
      </c>
      <c r="I132" s="32">
        <v>1</v>
      </c>
      <c r="J132" s="20">
        <v>1</v>
      </c>
    </row>
    <row r="133" spans="1:10">
      <c r="A133" s="16">
        <v>1009760</v>
      </c>
      <c r="B133" s="13" t="s">
        <v>9</v>
      </c>
      <c r="C133" s="17"/>
      <c r="D133" s="14" t="str">
        <f t="shared" si="2"/>
        <v>unknown</v>
      </c>
      <c r="E133" s="17"/>
      <c r="F133" s="17"/>
      <c r="G133" s="17"/>
      <c r="H133" s="17"/>
      <c r="J133" s="18"/>
    </row>
    <row r="134" spans="1:10">
      <c r="A134" s="16">
        <v>2000646</v>
      </c>
      <c r="B134" s="13" t="s">
        <v>9</v>
      </c>
      <c r="C134" s="19"/>
      <c r="D134" s="14" t="str">
        <f t="shared" si="2"/>
        <v>stationary</v>
      </c>
      <c r="E134" s="19"/>
      <c r="F134" s="19">
        <v>1</v>
      </c>
      <c r="G134" s="19"/>
      <c r="H134" s="19"/>
      <c r="J134" s="20">
        <v>1</v>
      </c>
    </row>
    <row r="135" spans="1:10">
      <c r="A135" s="16">
        <v>2003761</v>
      </c>
      <c r="B135" s="13" t="s">
        <v>9</v>
      </c>
      <c r="C135" s="17"/>
      <c r="D135" s="14" t="str">
        <f t="shared" si="2"/>
        <v>stationary</v>
      </c>
      <c r="E135" s="17"/>
      <c r="F135" s="17">
        <v>1</v>
      </c>
      <c r="G135" s="17"/>
      <c r="H135" s="17"/>
      <c r="J135" s="18">
        <v>1</v>
      </c>
    </row>
    <row r="136" spans="1:10">
      <c r="A136" s="16">
        <v>2004061</v>
      </c>
      <c r="B136" s="13" t="s">
        <v>9</v>
      </c>
      <c r="C136" s="19">
        <v>4</v>
      </c>
      <c r="D136" s="14" t="str">
        <f t="shared" si="2"/>
        <v>stationary</v>
      </c>
      <c r="E136" s="19"/>
      <c r="F136" s="19">
        <v>1</v>
      </c>
      <c r="G136" s="19">
        <v>4</v>
      </c>
      <c r="H136" s="19">
        <v>4</v>
      </c>
      <c r="I136" s="32">
        <v>0</v>
      </c>
      <c r="J136" s="20">
        <v>1</v>
      </c>
    </row>
    <row r="137" spans="1:10">
      <c r="A137" s="16">
        <v>2006469</v>
      </c>
      <c r="B137" s="13" t="s">
        <v>9</v>
      </c>
      <c r="C137" s="17"/>
      <c r="D137" s="14" t="str">
        <f t="shared" si="2"/>
        <v>ambulant</v>
      </c>
      <c r="E137" s="17">
        <v>1</v>
      </c>
      <c r="F137" s="17"/>
      <c r="G137" s="17"/>
      <c r="H137" s="17"/>
      <c r="J137" s="18"/>
    </row>
    <row r="138" spans="1:10">
      <c r="A138" s="16">
        <v>3005132</v>
      </c>
      <c r="B138" s="13" t="s">
        <v>9</v>
      </c>
      <c r="C138" s="19">
        <v>1</v>
      </c>
      <c r="D138" s="14" t="str">
        <f t="shared" si="2"/>
        <v>stationary</v>
      </c>
      <c r="E138" s="19"/>
      <c r="F138" s="19">
        <v>1</v>
      </c>
      <c r="G138" s="19"/>
      <c r="H138" s="19"/>
      <c r="J138" s="20">
        <v>1</v>
      </c>
    </row>
    <row r="139" spans="1:10">
      <c r="A139" s="16">
        <v>3009119</v>
      </c>
      <c r="B139" s="13" t="s">
        <v>9</v>
      </c>
      <c r="C139" s="17"/>
      <c r="D139" s="14" t="str">
        <f t="shared" si="2"/>
        <v>stationary</v>
      </c>
      <c r="E139" s="17"/>
      <c r="F139" s="17">
        <v>1</v>
      </c>
      <c r="G139" s="17"/>
      <c r="H139" s="17"/>
      <c r="J139" s="18"/>
    </row>
    <row r="140" spans="1:10">
      <c r="A140" s="16">
        <v>3009936</v>
      </c>
      <c r="B140" s="13" t="s">
        <v>9</v>
      </c>
      <c r="C140" s="19"/>
      <c r="D140" s="14" t="str">
        <f t="shared" si="2"/>
        <v>stationary</v>
      </c>
      <c r="E140" s="19"/>
      <c r="F140" s="19">
        <v>1</v>
      </c>
      <c r="G140" s="19"/>
      <c r="H140" s="19"/>
      <c r="J140" s="20"/>
    </row>
    <row r="141" spans="1:10">
      <c r="A141" s="16">
        <v>3011094</v>
      </c>
      <c r="B141" s="13" t="s">
        <v>9</v>
      </c>
      <c r="C141" s="17">
        <v>1</v>
      </c>
      <c r="D141" s="14" t="str">
        <f t="shared" si="2"/>
        <v>stationary</v>
      </c>
      <c r="E141" s="17"/>
      <c r="F141" s="17">
        <v>1</v>
      </c>
      <c r="G141" s="17"/>
      <c r="H141" s="17"/>
      <c r="J141" s="18">
        <v>1</v>
      </c>
    </row>
    <row r="142" spans="1:10">
      <c r="A142" s="16">
        <v>3014643</v>
      </c>
      <c r="B142" s="13" t="s">
        <v>9</v>
      </c>
      <c r="C142" s="19">
        <v>12</v>
      </c>
      <c r="D142" s="14" t="str">
        <f t="shared" si="2"/>
        <v>stationary</v>
      </c>
      <c r="E142" s="19"/>
      <c r="F142" s="19">
        <v>1</v>
      </c>
      <c r="G142" s="19">
        <v>4</v>
      </c>
      <c r="H142" s="19">
        <v>11</v>
      </c>
      <c r="I142" s="32">
        <v>7</v>
      </c>
      <c r="J142" s="20">
        <v>1</v>
      </c>
    </row>
    <row r="143" spans="1:10">
      <c r="A143" s="16">
        <v>3016056</v>
      </c>
      <c r="B143" s="13" t="s">
        <v>9</v>
      </c>
      <c r="C143" s="17"/>
      <c r="D143" s="14" t="str">
        <f t="shared" si="2"/>
        <v>unknown</v>
      </c>
      <c r="E143" s="17"/>
      <c r="F143" s="17"/>
      <c r="G143" s="17"/>
      <c r="H143" s="17"/>
      <c r="J143" s="18"/>
    </row>
    <row r="144" spans="1:10">
      <c r="A144" s="16">
        <v>3900219</v>
      </c>
      <c r="B144" s="13" t="s">
        <v>9</v>
      </c>
      <c r="C144" s="19">
        <v>16</v>
      </c>
      <c r="D144" s="14" t="str">
        <f t="shared" si="2"/>
        <v>stationary</v>
      </c>
      <c r="E144" s="19"/>
      <c r="F144" s="19">
        <v>1</v>
      </c>
      <c r="G144" s="19">
        <v>25</v>
      </c>
      <c r="H144" s="19">
        <v>16</v>
      </c>
      <c r="I144" s="32">
        <v>-9</v>
      </c>
      <c r="J144" s="20"/>
    </row>
    <row r="145" spans="1:10">
      <c r="A145" s="16">
        <v>4000158</v>
      </c>
      <c r="B145" s="13" t="s">
        <v>9</v>
      </c>
      <c r="C145" s="17">
        <v>11</v>
      </c>
      <c r="D145" s="14" t="str">
        <f t="shared" si="2"/>
        <v>stationary</v>
      </c>
      <c r="E145" s="17"/>
      <c r="F145" s="17">
        <v>1</v>
      </c>
      <c r="G145" s="17">
        <v>9</v>
      </c>
      <c r="H145" s="17">
        <v>11</v>
      </c>
      <c r="I145" s="32">
        <v>2</v>
      </c>
      <c r="J145" s="18">
        <v>1</v>
      </c>
    </row>
    <row r="146" spans="1:10">
      <c r="A146" s="16">
        <v>4000304</v>
      </c>
      <c r="B146" s="13" t="s">
        <v>9</v>
      </c>
      <c r="C146" s="19"/>
      <c r="D146" s="14" t="str">
        <f t="shared" si="2"/>
        <v>stationary</v>
      </c>
      <c r="E146" s="19"/>
      <c r="F146" s="19">
        <v>1</v>
      </c>
      <c r="G146" s="19"/>
      <c r="H146" s="19"/>
      <c r="J146" s="20"/>
    </row>
    <row r="147" spans="1:10">
      <c r="A147" s="16">
        <v>4001905</v>
      </c>
      <c r="B147" s="13" t="s">
        <v>9</v>
      </c>
      <c r="C147" s="17">
        <v>8</v>
      </c>
      <c r="D147" s="14" t="str">
        <f t="shared" si="2"/>
        <v>stationary</v>
      </c>
      <c r="E147" s="17"/>
      <c r="F147" s="17">
        <v>1</v>
      </c>
      <c r="G147" s="17">
        <v>4</v>
      </c>
      <c r="H147" s="17">
        <v>5</v>
      </c>
      <c r="I147" s="32">
        <v>1</v>
      </c>
      <c r="J147" s="18">
        <v>1</v>
      </c>
    </row>
    <row r="148" spans="1:10">
      <c r="A148" s="16">
        <v>4002206</v>
      </c>
      <c r="B148" s="13" t="s">
        <v>9</v>
      </c>
      <c r="C148" s="19">
        <v>8</v>
      </c>
      <c r="D148" s="14" t="str">
        <f t="shared" si="2"/>
        <v>stationary</v>
      </c>
      <c r="E148" s="19"/>
      <c r="F148" s="19">
        <v>1</v>
      </c>
      <c r="G148" s="19">
        <v>8</v>
      </c>
      <c r="H148" s="19">
        <v>8</v>
      </c>
      <c r="I148" s="32">
        <v>0</v>
      </c>
      <c r="J148" s="20">
        <v>1</v>
      </c>
    </row>
    <row r="149" spans="1:10">
      <c r="A149" s="16">
        <v>4002715</v>
      </c>
      <c r="B149" s="13" t="s">
        <v>9</v>
      </c>
      <c r="C149" s="17"/>
      <c r="D149" s="14" t="str">
        <f t="shared" si="2"/>
        <v>unknown</v>
      </c>
      <c r="E149" s="17"/>
      <c r="F149" s="17"/>
      <c r="G149" s="17"/>
      <c r="H149" s="17"/>
      <c r="J149" s="18"/>
    </row>
    <row r="150" spans="1:10">
      <c r="A150" s="16">
        <v>4003924</v>
      </c>
      <c r="B150" s="13" t="s">
        <v>9</v>
      </c>
      <c r="C150" s="19"/>
      <c r="D150" s="14" t="str">
        <f t="shared" si="2"/>
        <v>stationary</v>
      </c>
      <c r="E150" s="19"/>
      <c r="F150" s="19">
        <v>1</v>
      </c>
      <c r="G150" s="19"/>
      <c r="H150" s="19"/>
      <c r="J150" s="20">
        <v>1</v>
      </c>
    </row>
    <row r="151" spans="1:10">
      <c r="A151" s="16">
        <v>4006051</v>
      </c>
      <c r="B151" s="13" t="s">
        <v>9</v>
      </c>
      <c r="C151" s="17">
        <v>49</v>
      </c>
      <c r="D151" s="14" t="str">
        <f t="shared" si="2"/>
        <v>stationary</v>
      </c>
      <c r="E151" s="17"/>
      <c r="F151" s="17">
        <v>1</v>
      </c>
      <c r="G151" s="17"/>
      <c r="H151" s="17"/>
      <c r="J151" s="18">
        <v>1</v>
      </c>
    </row>
    <row r="152" spans="1:10">
      <c r="A152" s="16">
        <v>4008140</v>
      </c>
      <c r="B152" s="13" t="s">
        <v>9</v>
      </c>
      <c r="C152" s="19"/>
      <c r="D152" s="14" t="str">
        <f t="shared" si="2"/>
        <v>stationary</v>
      </c>
      <c r="E152" s="19"/>
      <c r="F152" s="19">
        <v>1</v>
      </c>
      <c r="G152" s="19">
        <v>12</v>
      </c>
      <c r="H152" s="19">
        <v>17</v>
      </c>
      <c r="I152" s="32">
        <v>5</v>
      </c>
      <c r="J152" s="20">
        <v>1</v>
      </c>
    </row>
    <row r="153" spans="1:10">
      <c r="A153" s="16">
        <v>4009906</v>
      </c>
      <c r="B153" s="13" t="s">
        <v>9</v>
      </c>
      <c r="C153" s="17"/>
      <c r="D153" s="14" t="str">
        <f t="shared" si="2"/>
        <v>stationary</v>
      </c>
      <c r="E153" s="17"/>
      <c r="F153" s="17">
        <v>1</v>
      </c>
      <c r="G153" s="17"/>
      <c r="H153" s="17"/>
      <c r="J153" s="18">
        <v>1</v>
      </c>
    </row>
    <row r="154" spans="1:10">
      <c r="A154" s="16">
        <v>4011027</v>
      </c>
      <c r="B154" s="13" t="s">
        <v>9</v>
      </c>
      <c r="C154" s="19">
        <v>19</v>
      </c>
      <c r="D154" s="14" t="str">
        <f t="shared" si="2"/>
        <v>stationary</v>
      </c>
      <c r="E154" s="19"/>
      <c r="F154" s="19">
        <v>1</v>
      </c>
      <c r="G154" s="19">
        <v>18</v>
      </c>
      <c r="H154" s="19">
        <v>19</v>
      </c>
      <c r="I154" s="32">
        <v>1</v>
      </c>
      <c r="J154" s="20">
        <v>1</v>
      </c>
    </row>
    <row r="155" spans="1:10">
      <c r="A155" s="16">
        <v>4011920</v>
      </c>
      <c r="B155" s="13" t="s">
        <v>9</v>
      </c>
      <c r="C155" s="17">
        <v>14</v>
      </c>
      <c r="D155" s="14" t="str">
        <f t="shared" si="2"/>
        <v>unknown</v>
      </c>
      <c r="E155" s="17"/>
      <c r="F155" s="17"/>
      <c r="G155" s="17"/>
      <c r="H155" s="17"/>
      <c r="J155" s="18"/>
    </row>
    <row r="156" spans="1:10">
      <c r="A156" s="16">
        <v>4012248</v>
      </c>
      <c r="B156" s="13" t="s">
        <v>9</v>
      </c>
      <c r="C156" s="19">
        <v>32</v>
      </c>
      <c r="D156" s="14" t="str">
        <f t="shared" si="2"/>
        <v>stationary</v>
      </c>
      <c r="E156" s="19"/>
      <c r="F156" s="19">
        <v>1</v>
      </c>
      <c r="G156" s="19">
        <v>40</v>
      </c>
      <c r="H156" s="19">
        <v>25</v>
      </c>
      <c r="I156" s="32">
        <v>-15</v>
      </c>
      <c r="J156" s="20"/>
    </row>
    <row r="157" spans="1:10">
      <c r="A157" s="16">
        <v>4013603</v>
      </c>
      <c r="B157" s="13" t="s">
        <v>9</v>
      </c>
      <c r="C157" s="17"/>
      <c r="D157" s="14" t="str">
        <f t="shared" si="2"/>
        <v>stationary</v>
      </c>
      <c r="E157" s="17"/>
      <c r="F157" s="17">
        <v>1</v>
      </c>
      <c r="G157" s="17">
        <v>6</v>
      </c>
      <c r="H157" s="17">
        <v>37</v>
      </c>
      <c r="I157" s="32">
        <v>31</v>
      </c>
      <c r="J157" s="18"/>
    </row>
    <row r="158" spans="1:10">
      <c r="A158" s="16">
        <v>5004654</v>
      </c>
      <c r="B158" s="13" t="s">
        <v>9</v>
      </c>
      <c r="C158" s="19"/>
      <c r="D158" s="14" t="str">
        <f t="shared" si="2"/>
        <v>stationary</v>
      </c>
      <c r="E158" s="19"/>
      <c r="F158" s="19">
        <v>1</v>
      </c>
      <c r="G158" s="19">
        <v>17</v>
      </c>
      <c r="H158" s="19">
        <v>17</v>
      </c>
      <c r="I158" s="32">
        <v>0</v>
      </c>
      <c r="J158" s="20">
        <v>1</v>
      </c>
    </row>
    <row r="159" spans="1:10">
      <c r="A159" s="16">
        <v>5008807</v>
      </c>
      <c r="B159" s="13" t="s">
        <v>9</v>
      </c>
      <c r="C159" s="17"/>
      <c r="D159" s="14" t="str">
        <f t="shared" si="2"/>
        <v>stationary</v>
      </c>
      <c r="E159" s="17"/>
      <c r="F159" s="17">
        <v>1</v>
      </c>
      <c r="G159" s="17">
        <v>20</v>
      </c>
      <c r="H159" s="17">
        <v>20</v>
      </c>
      <c r="I159" s="32">
        <v>0</v>
      </c>
      <c r="J159" s="18">
        <v>1</v>
      </c>
    </row>
    <row r="160" spans="1:10">
      <c r="A160" s="16">
        <v>5009400</v>
      </c>
      <c r="B160" s="13" t="s">
        <v>9</v>
      </c>
      <c r="C160" s="19">
        <v>30</v>
      </c>
      <c r="D160" s="14" t="str">
        <f t="shared" si="2"/>
        <v>stationary</v>
      </c>
      <c r="E160" s="19"/>
      <c r="F160" s="19">
        <v>1</v>
      </c>
      <c r="G160" s="19"/>
      <c r="H160" s="19"/>
      <c r="J160" s="20">
        <v>1</v>
      </c>
    </row>
    <row r="161" spans="1:10">
      <c r="A161" s="16">
        <v>5016255</v>
      </c>
      <c r="B161" s="13" t="s">
        <v>9</v>
      </c>
      <c r="C161" s="17">
        <v>48</v>
      </c>
      <c r="D161" s="14" t="str">
        <f t="shared" si="2"/>
        <v>stationary</v>
      </c>
      <c r="E161" s="17"/>
      <c r="F161" s="17">
        <v>1</v>
      </c>
      <c r="G161" s="17"/>
      <c r="H161" s="17"/>
      <c r="J161" s="18"/>
    </row>
    <row r="162" spans="1:10">
      <c r="A162" s="16">
        <v>6012448</v>
      </c>
      <c r="B162" s="13" t="s">
        <v>9</v>
      </c>
      <c r="C162" s="19">
        <v>11</v>
      </c>
      <c r="D162" s="14" t="str">
        <f t="shared" si="2"/>
        <v>stationary</v>
      </c>
      <c r="E162" s="19"/>
      <c r="F162" s="19">
        <v>1</v>
      </c>
      <c r="G162" s="19">
        <v>5</v>
      </c>
      <c r="H162" s="19">
        <v>8</v>
      </c>
      <c r="I162" s="32">
        <v>3</v>
      </c>
      <c r="J162" s="20"/>
    </row>
    <row r="163" spans="1:10">
      <c r="A163" s="16">
        <v>7000457</v>
      </c>
      <c r="B163" s="13" t="s">
        <v>9</v>
      </c>
      <c r="C163" s="17"/>
      <c r="D163" s="14" t="str">
        <f t="shared" si="2"/>
        <v>stationary</v>
      </c>
      <c r="E163" s="17"/>
      <c r="F163" s="17">
        <v>1</v>
      </c>
      <c r="G163" s="17"/>
      <c r="H163" s="17"/>
      <c r="J163" s="18"/>
    </row>
    <row r="164" spans="1:10">
      <c r="A164" s="16">
        <v>7072644</v>
      </c>
      <c r="B164" s="13" t="s">
        <v>9</v>
      </c>
      <c r="C164" s="19">
        <v>15</v>
      </c>
      <c r="D164" s="14" t="str">
        <f t="shared" si="2"/>
        <v>stationary</v>
      </c>
      <c r="E164" s="19"/>
      <c r="F164" s="19">
        <v>1</v>
      </c>
      <c r="G164" s="19">
        <v>16</v>
      </c>
      <c r="H164" s="19">
        <v>18</v>
      </c>
      <c r="I164" s="32">
        <v>2</v>
      </c>
      <c r="J164" s="20">
        <v>1</v>
      </c>
    </row>
    <row r="165" spans="1:10">
      <c r="A165" s="16">
        <v>7126387</v>
      </c>
      <c r="B165" s="13" t="s">
        <v>9</v>
      </c>
      <c r="C165" s="17"/>
      <c r="D165" s="14" t="str">
        <f t="shared" si="2"/>
        <v>stationary</v>
      </c>
      <c r="E165" s="17"/>
      <c r="F165" s="17">
        <v>1</v>
      </c>
      <c r="G165" s="17">
        <v>87</v>
      </c>
      <c r="H165" s="17">
        <v>77</v>
      </c>
      <c r="I165" s="32">
        <v>-10</v>
      </c>
      <c r="J165" s="18"/>
    </row>
    <row r="166" spans="1:10">
      <c r="A166" s="16">
        <v>10185935</v>
      </c>
      <c r="B166" s="13" t="s">
        <v>9</v>
      </c>
      <c r="C166" s="19"/>
      <c r="D166" s="14" t="str">
        <f t="shared" si="2"/>
        <v>stationary</v>
      </c>
      <c r="E166" s="19"/>
      <c r="F166" s="19">
        <v>1</v>
      </c>
      <c r="G166" s="19">
        <v>7</v>
      </c>
      <c r="H166" s="19">
        <v>8</v>
      </c>
      <c r="I166" s="32">
        <v>1</v>
      </c>
      <c r="J166" s="20">
        <v>1</v>
      </c>
    </row>
    <row r="167" spans="1:10">
      <c r="A167" s="16">
        <v>11061215</v>
      </c>
      <c r="B167" s="13" t="s">
        <v>9</v>
      </c>
      <c r="C167" s="17"/>
      <c r="D167" s="14" t="str">
        <f t="shared" si="2"/>
        <v>ambulant</v>
      </c>
      <c r="E167" s="17">
        <v>1</v>
      </c>
      <c r="F167" s="17"/>
      <c r="G167" s="17"/>
      <c r="H167" s="17"/>
      <c r="J167" s="18"/>
    </row>
    <row r="168" spans="1:10">
      <c r="A168" s="16">
        <v>93008468</v>
      </c>
      <c r="B168" s="13" t="s">
        <v>9</v>
      </c>
      <c r="C168" s="19">
        <v>49</v>
      </c>
      <c r="D168" s="14" t="str">
        <f t="shared" si="2"/>
        <v>unknown</v>
      </c>
      <c r="E168" s="19"/>
      <c r="F168" s="19"/>
      <c r="G168" s="19"/>
      <c r="H168" s="19"/>
      <c r="J168" s="20"/>
    </row>
    <row r="169" spans="1:10">
      <c r="A169" s="16">
        <v>93016155</v>
      </c>
      <c r="B169" s="13" t="s">
        <v>9</v>
      </c>
      <c r="C169" s="17">
        <v>14</v>
      </c>
      <c r="D169" s="14" t="str">
        <f t="shared" si="2"/>
        <v>stationary</v>
      </c>
      <c r="E169" s="17"/>
      <c r="F169" s="17">
        <v>1</v>
      </c>
      <c r="G169" s="17"/>
      <c r="H169" s="17"/>
      <c r="J169" s="18">
        <v>1</v>
      </c>
    </row>
    <row r="170" spans="1:10">
      <c r="A170" s="16">
        <v>93018845</v>
      </c>
      <c r="B170" s="13" t="s">
        <v>9</v>
      </c>
      <c r="C170" s="19">
        <v>7</v>
      </c>
      <c r="D170" s="14" t="str">
        <f t="shared" si="2"/>
        <v>stationary</v>
      </c>
      <c r="E170" s="19"/>
      <c r="F170" s="19">
        <v>1</v>
      </c>
      <c r="G170" s="19">
        <v>31</v>
      </c>
      <c r="H170" s="19">
        <v>15</v>
      </c>
      <c r="I170" s="32">
        <v>-16</v>
      </c>
      <c r="J170" s="20"/>
    </row>
    <row r="171" spans="1:10">
      <c r="A171" s="16" t="s">
        <v>14</v>
      </c>
      <c r="B171" s="13" t="s">
        <v>9</v>
      </c>
      <c r="C171" s="17"/>
      <c r="D171" s="14" t="str">
        <f t="shared" si="2"/>
        <v>unknown</v>
      </c>
      <c r="E171" s="17"/>
      <c r="F171" s="17"/>
      <c r="G171" s="17"/>
      <c r="H171" s="17"/>
      <c r="J171" s="18"/>
    </row>
    <row r="172" spans="1:10">
      <c r="A172" s="16">
        <v>94006009</v>
      </c>
      <c r="B172" s="13" t="s">
        <v>9</v>
      </c>
      <c r="C172" s="19"/>
      <c r="D172" s="14" t="str">
        <f t="shared" si="2"/>
        <v>unknown</v>
      </c>
      <c r="E172" s="19"/>
      <c r="F172" s="19"/>
      <c r="G172" s="19"/>
      <c r="H172" s="19"/>
      <c r="J172" s="20"/>
    </row>
    <row r="173" spans="1:10">
      <c r="A173" s="16">
        <v>94014126</v>
      </c>
      <c r="B173" s="13" t="s">
        <v>9</v>
      </c>
      <c r="C173" s="17">
        <v>13</v>
      </c>
      <c r="D173" s="14" t="str">
        <f t="shared" si="2"/>
        <v>unknown</v>
      </c>
      <c r="E173" s="17"/>
      <c r="F173" s="17"/>
      <c r="G173" s="17"/>
      <c r="H173" s="17"/>
      <c r="J173" s="18"/>
    </row>
    <row r="174" spans="1:10">
      <c r="A174" s="16">
        <v>94900361</v>
      </c>
      <c r="B174" s="13" t="s">
        <v>9</v>
      </c>
      <c r="C174" s="19">
        <v>30</v>
      </c>
      <c r="D174" s="14" t="str">
        <f t="shared" si="2"/>
        <v>unknown</v>
      </c>
      <c r="E174" s="19"/>
      <c r="F174" s="19"/>
      <c r="G174" s="19"/>
      <c r="H174" s="19"/>
      <c r="J174" s="20"/>
    </row>
    <row r="175" spans="1:10">
      <c r="A175" s="16">
        <v>94901890</v>
      </c>
      <c r="B175" s="13" t="s">
        <v>9</v>
      </c>
      <c r="C175" s="17"/>
      <c r="D175" s="14" t="str">
        <f t="shared" si="2"/>
        <v>stationary</v>
      </c>
      <c r="E175" s="17"/>
      <c r="F175" s="17">
        <v>1</v>
      </c>
      <c r="G175" s="17">
        <v>10</v>
      </c>
      <c r="H175" s="17">
        <v>10</v>
      </c>
      <c r="I175" s="32">
        <v>0</v>
      </c>
      <c r="J175" s="18">
        <v>1</v>
      </c>
    </row>
    <row r="176" spans="1:10">
      <c r="A176" s="16">
        <v>95001046</v>
      </c>
      <c r="B176" s="13" t="s">
        <v>9</v>
      </c>
      <c r="C176" s="19">
        <v>10</v>
      </c>
      <c r="D176" s="14" t="str">
        <f t="shared" si="2"/>
        <v>stationary</v>
      </c>
      <c r="E176" s="19"/>
      <c r="F176" s="19">
        <v>1</v>
      </c>
      <c r="G176" s="19"/>
      <c r="H176" s="19"/>
      <c r="J176" s="20">
        <v>1</v>
      </c>
    </row>
    <row r="177" spans="1:10">
      <c r="A177" s="16">
        <v>96004031</v>
      </c>
      <c r="B177" s="13" t="s">
        <v>9</v>
      </c>
      <c r="C177" s="17">
        <v>12</v>
      </c>
      <c r="D177" s="14" t="str">
        <f t="shared" si="2"/>
        <v>stationary</v>
      </c>
      <c r="E177" s="17"/>
      <c r="F177" s="17">
        <v>1</v>
      </c>
      <c r="G177" s="17">
        <v>12</v>
      </c>
      <c r="H177" s="17">
        <v>13</v>
      </c>
      <c r="I177" s="32">
        <v>1</v>
      </c>
      <c r="J177" s="18">
        <v>1</v>
      </c>
    </row>
    <row r="178" spans="1:10">
      <c r="A178" s="16">
        <v>97004458</v>
      </c>
      <c r="B178" s="13" t="s">
        <v>9</v>
      </c>
      <c r="C178" s="19">
        <v>21</v>
      </c>
      <c r="D178" s="14" t="str">
        <f t="shared" si="2"/>
        <v>stationary</v>
      </c>
      <c r="E178" s="19"/>
      <c r="F178" s="19">
        <v>1</v>
      </c>
      <c r="G178" s="19">
        <v>65</v>
      </c>
      <c r="H178" s="19">
        <v>51</v>
      </c>
      <c r="I178" s="32">
        <v>-14</v>
      </c>
      <c r="J178" s="20"/>
    </row>
    <row r="179" spans="1:10">
      <c r="A179" s="16">
        <v>97009212</v>
      </c>
      <c r="B179" s="13" t="s">
        <v>9</v>
      </c>
      <c r="C179" s="17">
        <v>84</v>
      </c>
      <c r="D179" s="14" t="str">
        <f t="shared" si="2"/>
        <v>stationary</v>
      </c>
      <c r="E179" s="17"/>
      <c r="F179" s="17">
        <v>1</v>
      </c>
      <c r="G179" s="17">
        <v>50</v>
      </c>
      <c r="H179" s="17">
        <v>50</v>
      </c>
      <c r="I179" s="32">
        <v>0</v>
      </c>
      <c r="J179" s="18">
        <v>1</v>
      </c>
    </row>
    <row r="180" spans="1:10">
      <c r="A180" s="16">
        <v>98006038</v>
      </c>
      <c r="B180" s="13" t="s">
        <v>9</v>
      </c>
      <c r="C180" s="19"/>
      <c r="D180" s="14" t="str">
        <f t="shared" si="2"/>
        <v>stationary</v>
      </c>
      <c r="E180" s="19"/>
      <c r="F180" s="19">
        <v>1</v>
      </c>
      <c r="G180" s="19"/>
      <c r="H180" s="19"/>
      <c r="J180" s="20"/>
    </row>
    <row r="181" spans="1:10">
      <c r="A181" s="16">
        <v>98009041</v>
      </c>
      <c r="B181" s="13" t="s">
        <v>9</v>
      </c>
      <c r="C181" s="17">
        <v>20</v>
      </c>
      <c r="D181" s="14" t="str">
        <f t="shared" si="2"/>
        <v>stationary</v>
      </c>
      <c r="E181" s="17"/>
      <c r="F181" s="17">
        <v>1</v>
      </c>
      <c r="G181" s="17">
        <v>58</v>
      </c>
      <c r="H181" s="17">
        <v>23</v>
      </c>
      <c r="I181" s="32">
        <v>-35</v>
      </c>
      <c r="J181" s="18"/>
    </row>
    <row r="182" spans="1:10">
      <c r="A182" s="16">
        <v>99000714</v>
      </c>
      <c r="B182" s="13" t="s">
        <v>9</v>
      </c>
      <c r="C182" s="19">
        <v>14</v>
      </c>
      <c r="D182" s="14" t="str">
        <f t="shared" si="2"/>
        <v>unknown</v>
      </c>
      <c r="E182" s="19"/>
      <c r="F182" s="19"/>
      <c r="G182" s="19"/>
      <c r="H182" s="19"/>
      <c r="J182" s="20"/>
    </row>
    <row r="183" spans="1:10">
      <c r="A183" s="16">
        <v>99007116</v>
      </c>
      <c r="B183" s="13" t="s">
        <v>9</v>
      </c>
      <c r="C183" s="17">
        <v>15</v>
      </c>
      <c r="D183" s="14" t="str">
        <f t="shared" si="2"/>
        <v>stationary</v>
      </c>
      <c r="E183" s="17"/>
      <c r="F183" s="17">
        <v>1</v>
      </c>
      <c r="G183" s="17">
        <v>16</v>
      </c>
      <c r="H183" s="17">
        <v>16</v>
      </c>
      <c r="I183" s="32">
        <v>0</v>
      </c>
      <c r="J183" s="18">
        <v>1</v>
      </c>
    </row>
    <row r="184" spans="1:10">
      <c r="A184" s="16">
        <v>99901293</v>
      </c>
      <c r="B184" s="13" t="s">
        <v>9</v>
      </c>
      <c r="C184" s="19">
        <v>2</v>
      </c>
      <c r="D184" s="14" t="str">
        <f t="shared" si="2"/>
        <v>stationary</v>
      </c>
      <c r="E184" s="19"/>
      <c r="F184" s="19">
        <v>1</v>
      </c>
      <c r="G184" s="19"/>
      <c r="H184" s="19"/>
      <c r="J184" s="20"/>
    </row>
    <row r="185" spans="1:10">
      <c r="A185" s="16">
        <v>99901604</v>
      </c>
      <c r="B185" s="13" t="s">
        <v>9</v>
      </c>
      <c r="C185" s="17"/>
      <c r="D185" s="14" t="str">
        <f t="shared" si="2"/>
        <v>stationary</v>
      </c>
      <c r="E185" s="17"/>
      <c r="F185" s="17">
        <v>1</v>
      </c>
      <c r="G185" s="17"/>
      <c r="H185" s="17"/>
      <c r="J185" s="18"/>
    </row>
    <row r="186" spans="1:10">
      <c r="A186" s="16">
        <v>3017227</v>
      </c>
      <c r="B186" s="13" t="s">
        <v>9</v>
      </c>
      <c r="C186" s="19">
        <v>7</v>
      </c>
      <c r="D186" s="14" t="str">
        <f t="shared" si="2"/>
        <v>stationary</v>
      </c>
      <c r="E186" s="19"/>
      <c r="F186" s="19">
        <v>1</v>
      </c>
      <c r="G186" s="19"/>
      <c r="H186" s="19"/>
      <c r="J186" s="20"/>
    </row>
    <row r="187" spans="1:10">
      <c r="A187" s="16">
        <v>2007648</v>
      </c>
      <c r="B187" s="13" t="s">
        <v>9</v>
      </c>
      <c r="C187" s="17">
        <v>14</v>
      </c>
      <c r="D187" s="14" t="str">
        <f t="shared" si="2"/>
        <v>unknown</v>
      </c>
      <c r="E187" s="17"/>
      <c r="F187" s="17"/>
      <c r="G187" s="17"/>
      <c r="H187" s="17"/>
      <c r="J187" s="18"/>
    </row>
    <row r="188" spans="1:10">
      <c r="A188" s="16">
        <v>3008510</v>
      </c>
      <c r="B188" s="13" t="s">
        <v>9</v>
      </c>
      <c r="C188" s="19"/>
      <c r="D188" s="14" t="str">
        <f t="shared" si="2"/>
        <v>stationary</v>
      </c>
      <c r="E188" s="19"/>
      <c r="F188" s="19">
        <v>1</v>
      </c>
      <c r="G188" s="19"/>
      <c r="H188" s="19"/>
      <c r="J188" s="20">
        <v>1</v>
      </c>
    </row>
    <row r="189" spans="1:10">
      <c r="A189" s="16"/>
      <c r="B189" s="13"/>
      <c r="C189" s="17"/>
      <c r="D189" s="14" t="str">
        <f t="shared" si="2"/>
        <v>unknown</v>
      </c>
      <c r="E189" s="17"/>
      <c r="F189" s="17"/>
      <c r="G189" s="17"/>
      <c r="H189" s="17"/>
      <c r="J189" s="18"/>
    </row>
    <row r="190" spans="1:10">
      <c r="A190" s="16">
        <v>4289</v>
      </c>
      <c r="B190" s="13" t="s">
        <v>15</v>
      </c>
      <c r="C190" s="19">
        <v>274</v>
      </c>
      <c r="D190" s="14" t="str">
        <f t="shared" si="2"/>
        <v>stationary</v>
      </c>
      <c r="E190" s="19"/>
      <c r="F190" s="19">
        <v>1</v>
      </c>
      <c r="G190" s="19"/>
      <c r="H190" s="19"/>
      <c r="J190" s="20">
        <v>1</v>
      </c>
    </row>
    <row r="191" spans="1:10">
      <c r="A191" s="16">
        <v>500245</v>
      </c>
      <c r="B191" s="13" t="s">
        <v>15</v>
      </c>
      <c r="C191" s="17"/>
      <c r="D191" s="14" t="str">
        <f t="shared" si="2"/>
        <v>stationary</v>
      </c>
      <c r="E191" s="17"/>
      <c r="F191" s="17">
        <v>1</v>
      </c>
      <c r="G191" s="17">
        <v>13</v>
      </c>
      <c r="H191" s="17">
        <v>13</v>
      </c>
      <c r="I191" s="32">
        <v>0</v>
      </c>
      <c r="J191" s="18">
        <v>1</v>
      </c>
    </row>
    <row r="192" spans="1:10">
      <c r="A192" s="16">
        <v>2002573</v>
      </c>
      <c r="B192" s="13" t="s">
        <v>15</v>
      </c>
      <c r="C192" s="19">
        <v>19</v>
      </c>
      <c r="D192" s="14" t="str">
        <f t="shared" si="2"/>
        <v>stationary</v>
      </c>
      <c r="E192" s="19"/>
      <c r="F192" s="19">
        <v>1</v>
      </c>
      <c r="G192" s="19">
        <v>11</v>
      </c>
      <c r="H192" s="19">
        <v>19</v>
      </c>
      <c r="I192" s="32">
        <v>8</v>
      </c>
      <c r="J192" s="20">
        <v>1</v>
      </c>
    </row>
    <row r="193" spans="1:10">
      <c r="A193" s="16">
        <v>2003539</v>
      </c>
      <c r="B193" s="13" t="s">
        <v>15</v>
      </c>
      <c r="C193" s="17"/>
      <c r="D193" s="14" t="str">
        <f t="shared" si="2"/>
        <v>stationary</v>
      </c>
      <c r="E193" s="17"/>
      <c r="F193" s="17">
        <v>1</v>
      </c>
      <c r="G193" s="17"/>
      <c r="H193" s="17"/>
      <c r="J193" s="18">
        <v>1</v>
      </c>
    </row>
    <row r="194" spans="1:10">
      <c r="A194" s="16">
        <v>2003649</v>
      </c>
      <c r="B194" s="13" t="s">
        <v>15</v>
      </c>
      <c r="C194" s="19"/>
      <c r="D194" s="14" t="str">
        <f t="shared" si="2"/>
        <v>stationary</v>
      </c>
      <c r="E194" s="19"/>
      <c r="F194" s="19">
        <v>1</v>
      </c>
      <c r="G194" s="19">
        <v>58</v>
      </c>
      <c r="H194" s="19">
        <v>58</v>
      </c>
      <c r="I194" s="32">
        <v>0</v>
      </c>
      <c r="J194" s="20">
        <v>1</v>
      </c>
    </row>
    <row r="195" spans="1:10">
      <c r="A195" s="16">
        <v>2005572</v>
      </c>
      <c r="B195" s="13" t="s">
        <v>15</v>
      </c>
      <c r="C195" s="17">
        <v>6</v>
      </c>
      <c r="D195" s="14" t="str">
        <f t="shared" ref="D195:D258" si="3">IF(E195=1,"ambulant",IF(F195=1,"stationary","unknown"))</f>
        <v>unknown</v>
      </c>
      <c r="E195" s="17"/>
      <c r="F195" s="17"/>
      <c r="G195" s="17"/>
      <c r="H195" s="17"/>
      <c r="J195" s="18"/>
    </row>
    <row r="196" spans="1:10">
      <c r="A196" s="16">
        <v>2013117</v>
      </c>
      <c r="B196" s="13" t="s">
        <v>15</v>
      </c>
      <c r="C196" s="19">
        <v>30</v>
      </c>
      <c r="D196" s="14" t="str">
        <f t="shared" si="3"/>
        <v>unknown</v>
      </c>
      <c r="E196" s="19"/>
      <c r="F196" s="19"/>
      <c r="G196" s="19"/>
      <c r="H196" s="19"/>
      <c r="J196" s="20"/>
    </row>
    <row r="197" spans="1:10">
      <c r="A197" s="16">
        <v>3009633</v>
      </c>
      <c r="B197" s="13" t="s">
        <v>15</v>
      </c>
      <c r="C197" s="17">
        <v>23</v>
      </c>
      <c r="D197" s="14" t="str">
        <f t="shared" si="3"/>
        <v>stationary</v>
      </c>
      <c r="E197" s="17"/>
      <c r="F197" s="17">
        <v>1</v>
      </c>
      <c r="G197" s="17"/>
      <c r="H197" s="17"/>
      <c r="J197" s="18">
        <v>1</v>
      </c>
    </row>
    <row r="198" spans="1:10">
      <c r="A198" s="16">
        <v>3010583</v>
      </c>
      <c r="B198" s="13" t="s">
        <v>15</v>
      </c>
      <c r="C198" s="19"/>
      <c r="D198" s="14" t="str">
        <f t="shared" si="3"/>
        <v>stationary</v>
      </c>
      <c r="E198" s="19"/>
      <c r="F198" s="19">
        <v>1</v>
      </c>
      <c r="G198" s="19"/>
      <c r="H198" s="19"/>
      <c r="J198" s="20">
        <v>1</v>
      </c>
    </row>
    <row r="199" spans="1:10">
      <c r="A199" s="23">
        <v>3011892</v>
      </c>
      <c r="B199" s="13" t="s">
        <v>15</v>
      </c>
      <c r="C199" s="17">
        <v>25</v>
      </c>
      <c r="D199" s="14" t="str">
        <f t="shared" si="3"/>
        <v>stationary</v>
      </c>
      <c r="E199" s="17"/>
      <c r="F199" s="17">
        <v>1</v>
      </c>
      <c r="G199" s="17"/>
      <c r="H199" s="17"/>
      <c r="J199" s="18">
        <v>1</v>
      </c>
    </row>
    <row r="200" spans="1:10">
      <c r="A200" s="16">
        <v>4001382</v>
      </c>
      <c r="B200" s="13" t="s">
        <v>15</v>
      </c>
      <c r="C200" s="19">
        <v>13</v>
      </c>
      <c r="D200" s="14" t="str">
        <f t="shared" si="3"/>
        <v>stationary</v>
      </c>
      <c r="E200" s="19"/>
      <c r="F200" s="19">
        <v>1</v>
      </c>
      <c r="G200" s="19"/>
      <c r="H200" s="19"/>
      <c r="J200" s="20">
        <v>1</v>
      </c>
    </row>
    <row r="201" spans="1:10">
      <c r="A201" s="16">
        <v>5018675</v>
      </c>
      <c r="B201" s="13" t="s">
        <v>15</v>
      </c>
      <c r="C201" s="17"/>
      <c r="D201" s="14" t="str">
        <f t="shared" si="3"/>
        <v>stationary</v>
      </c>
      <c r="E201" s="17"/>
      <c r="F201" s="17">
        <v>1</v>
      </c>
      <c r="G201" s="17"/>
      <c r="H201" s="17"/>
      <c r="J201" s="18"/>
    </row>
    <row r="202" spans="1:10">
      <c r="A202" s="16">
        <v>6050168</v>
      </c>
      <c r="B202" s="13" t="s">
        <v>15</v>
      </c>
      <c r="C202" s="19">
        <v>12</v>
      </c>
      <c r="D202" s="14" t="str">
        <f t="shared" si="3"/>
        <v>stationary</v>
      </c>
      <c r="E202" s="19"/>
      <c r="F202" s="19">
        <v>1</v>
      </c>
      <c r="G202" s="19">
        <v>11</v>
      </c>
      <c r="H202" s="19">
        <v>12</v>
      </c>
      <c r="I202" s="32">
        <v>1</v>
      </c>
      <c r="J202" s="20">
        <v>1</v>
      </c>
    </row>
    <row r="203" spans="1:10">
      <c r="A203" s="16">
        <v>7003242</v>
      </c>
      <c r="B203" s="13" t="s">
        <v>15</v>
      </c>
      <c r="C203" s="17"/>
      <c r="D203" s="14" t="str">
        <f t="shared" si="3"/>
        <v>unknown</v>
      </c>
      <c r="E203" s="17"/>
      <c r="F203" s="17"/>
      <c r="G203" s="17"/>
      <c r="H203" s="17"/>
      <c r="J203" s="18"/>
    </row>
    <row r="204" spans="1:10">
      <c r="A204" s="16">
        <v>12022536</v>
      </c>
      <c r="B204" s="13" t="s">
        <v>15</v>
      </c>
      <c r="C204" s="19">
        <v>36</v>
      </c>
      <c r="D204" s="14" t="str">
        <f t="shared" si="3"/>
        <v>ambulant</v>
      </c>
      <c r="E204" s="19">
        <v>1</v>
      </c>
      <c r="F204" s="19"/>
      <c r="G204" s="19"/>
      <c r="H204" s="19"/>
      <c r="J204" s="20"/>
    </row>
    <row r="205" spans="1:10">
      <c r="A205" s="16">
        <v>13020792</v>
      </c>
      <c r="B205" s="13" t="s">
        <v>15</v>
      </c>
      <c r="C205" s="17"/>
      <c r="D205" s="14" t="str">
        <f t="shared" si="3"/>
        <v>stationary</v>
      </c>
      <c r="E205" s="17"/>
      <c r="F205" s="17">
        <v>1</v>
      </c>
      <c r="G205" s="17"/>
      <c r="H205" s="17"/>
      <c r="J205" s="18"/>
    </row>
    <row r="206" spans="1:10">
      <c r="A206" s="16">
        <v>97005797</v>
      </c>
      <c r="B206" s="13" t="s">
        <v>15</v>
      </c>
      <c r="C206" s="19">
        <v>7</v>
      </c>
      <c r="D206" s="14" t="str">
        <f t="shared" si="3"/>
        <v>stationary</v>
      </c>
      <c r="E206" s="19"/>
      <c r="F206" s="19">
        <v>1</v>
      </c>
      <c r="G206" s="19">
        <v>12</v>
      </c>
      <c r="H206" s="19">
        <v>12</v>
      </c>
      <c r="I206" s="32">
        <v>0</v>
      </c>
      <c r="J206" s="20"/>
    </row>
    <row r="207" spans="1:10">
      <c r="A207" s="16">
        <v>99000345</v>
      </c>
      <c r="B207" s="13" t="s">
        <v>15</v>
      </c>
      <c r="C207" s="17">
        <v>12</v>
      </c>
      <c r="D207" s="14" t="str">
        <f t="shared" si="3"/>
        <v>stationary</v>
      </c>
      <c r="E207" s="17"/>
      <c r="F207" s="17">
        <v>1</v>
      </c>
      <c r="G207" s="17"/>
      <c r="H207" s="17"/>
      <c r="J207" s="18">
        <v>1</v>
      </c>
    </row>
    <row r="208" spans="1:10">
      <c r="A208" s="16">
        <v>5006592</v>
      </c>
      <c r="B208" s="13" t="s">
        <v>15</v>
      </c>
      <c r="C208" s="19"/>
      <c r="D208" s="14" t="str">
        <f t="shared" si="3"/>
        <v>unknown</v>
      </c>
      <c r="E208" s="19"/>
      <c r="F208" s="19"/>
      <c r="G208" s="19"/>
      <c r="H208" s="19"/>
      <c r="J208" s="20"/>
    </row>
    <row r="209" spans="1:10">
      <c r="A209" s="16">
        <v>5007274</v>
      </c>
      <c r="B209" s="13" t="s">
        <v>15</v>
      </c>
      <c r="C209" s="17"/>
      <c r="D209" s="14" t="str">
        <f t="shared" si="3"/>
        <v>stationary</v>
      </c>
      <c r="E209" s="17"/>
      <c r="F209" s="17">
        <v>1</v>
      </c>
      <c r="G209" s="17"/>
      <c r="H209" s="17"/>
      <c r="J209" s="18">
        <v>1</v>
      </c>
    </row>
    <row r="210" spans="1:10">
      <c r="A210" s="16">
        <v>5015851</v>
      </c>
      <c r="B210" s="13" t="s">
        <v>15</v>
      </c>
      <c r="C210" s="19"/>
      <c r="D210" s="14" t="str">
        <f t="shared" si="3"/>
        <v>stationary</v>
      </c>
      <c r="E210" s="19"/>
      <c r="F210" s="19">
        <v>1</v>
      </c>
      <c r="G210" s="19"/>
      <c r="H210" s="19"/>
      <c r="J210" s="20">
        <v>1</v>
      </c>
    </row>
    <row r="211" spans="1:10">
      <c r="A211" s="16">
        <v>6015647</v>
      </c>
      <c r="B211" s="13" t="s">
        <v>15</v>
      </c>
      <c r="C211" s="17"/>
      <c r="D211" s="14" t="str">
        <f t="shared" si="3"/>
        <v>stationary</v>
      </c>
      <c r="E211" s="17"/>
      <c r="F211" s="17">
        <v>1</v>
      </c>
      <c r="G211" s="17"/>
      <c r="H211" s="17"/>
      <c r="J211" s="18">
        <v>1</v>
      </c>
    </row>
    <row r="212" spans="1:10">
      <c r="A212" s="16">
        <v>6056633</v>
      </c>
      <c r="B212" s="13" t="s">
        <v>15</v>
      </c>
      <c r="C212" s="19">
        <v>18</v>
      </c>
      <c r="D212" s="14" t="str">
        <f t="shared" si="3"/>
        <v>ambulant</v>
      </c>
      <c r="E212" s="19">
        <v>1</v>
      </c>
      <c r="F212" s="19"/>
      <c r="G212" s="19"/>
      <c r="H212" s="19"/>
      <c r="J212" s="20"/>
    </row>
    <row r="213" spans="1:10">
      <c r="A213" s="16">
        <v>7086224</v>
      </c>
      <c r="B213" s="13" t="s">
        <v>15</v>
      </c>
      <c r="C213" s="17">
        <v>29</v>
      </c>
      <c r="D213" s="14" t="str">
        <f t="shared" si="3"/>
        <v>stationary</v>
      </c>
      <c r="E213" s="17"/>
      <c r="F213" s="17">
        <v>1</v>
      </c>
      <c r="G213" s="17"/>
      <c r="H213" s="17"/>
      <c r="J213" s="18"/>
    </row>
    <row r="214" spans="1:10">
      <c r="A214" s="16">
        <v>8040959</v>
      </c>
      <c r="B214" s="13" t="s">
        <v>15</v>
      </c>
      <c r="C214" s="19"/>
      <c r="D214" s="14" t="str">
        <f t="shared" si="3"/>
        <v>unknown</v>
      </c>
      <c r="E214" s="19"/>
      <c r="F214" s="19"/>
      <c r="G214" s="19"/>
      <c r="H214" s="19"/>
      <c r="J214" s="20"/>
    </row>
    <row r="215" spans="1:10">
      <c r="A215" s="16">
        <v>8107048</v>
      </c>
      <c r="B215" s="13" t="s">
        <v>15</v>
      </c>
      <c r="C215" s="17"/>
      <c r="D215" s="14" t="str">
        <f t="shared" si="3"/>
        <v>stationary</v>
      </c>
      <c r="E215" s="17"/>
      <c r="F215" s="17">
        <v>1</v>
      </c>
      <c r="G215" s="17">
        <v>12</v>
      </c>
      <c r="H215" s="17">
        <v>12</v>
      </c>
      <c r="I215" s="32">
        <v>0</v>
      </c>
      <c r="J215" s="18">
        <v>1</v>
      </c>
    </row>
    <row r="216" spans="1:10">
      <c r="A216" s="16">
        <v>8124044</v>
      </c>
      <c r="B216" s="13" t="s">
        <v>15</v>
      </c>
      <c r="C216" s="19"/>
      <c r="D216" s="14" t="str">
        <f t="shared" si="3"/>
        <v>stationary</v>
      </c>
      <c r="E216" s="19"/>
      <c r="F216" s="19">
        <v>1</v>
      </c>
      <c r="G216" s="19">
        <v>16</v>
      </c>
      <c r="H216" s="19">
        <v>27</v>
      </c>
      <c r="I216" s="32">
        <v>11</v>
      </c>
      <c r="J216" s="20">
        <v>1</v>
      </c>
    </row>
    <row r="217" spans="1:10">
      <c r="A217" s="16">
        <v>8142949</v>
      </c>
      <c r="B217" s="13" t="s">
        <v>15</v>
      </c>
      <c r="C217" s="17">
        <v>122</v>
      </c>
      <c r="D217" s="14" t="str">
        <f t="shared" si="3"/>
        <v>stationary</v>
      </c>
      <c r="E217" s="17"/>
      <c r="F217" s="17">
        <v>1</v>
      </c>
      <c r="G217" s="17"/>
      <c r="H217" s="17"/>
      <c r="J217" s="18"/>
    </row>
    <row r="218" spans="1:10">
      <c r="A218" s="16">
        <v>9023306</v>
      </c>
      <c r="B218" s="13" t="s">
        <v>15</v>
      </c>
      <c r="C218" s="19">
        <v>9</v>
      </c>
      <c r="D218" s="14" t="str">
        <f t="shared" si="3"/>
        <v>stationary</v>
      </c>
      <c r="E218" s="19"/>
      <c r="F218" s="19">
        <v>1</v>
      </c>
      <c r="G218" s="19"/>
      <c r="H218" s="19"/>
      <c r="J218" s="20">
        <v>1</v>
      </c>
    </row>
    <row r="219" spans="1:10">
      <c r="A219" s="16">
        <v>9034464</v>
      </c>
      <c r="B219" s="13" t="s">
        <v>15</v>
      </c>
      <c r="C219" s="17">
        <v>2</v>
      </c>
      <c r="D219" s="14" t="str">
        <f t="shared" si="3"/>
        <v>ambulant</v>
      </c>
      <c r="E219" s="17">
        <v>1</v>
      </c>
      <c r="F219" s="17"/>
      <c r="G219" s="17"/>
      <c r="H219" s="17"/>
      <c r="J219" s="18"/>
    </row>
    <row r="220" spans="1:10">
      <c r="A220" s="16">
        <v>9040167</v>
      </c>
      <c r="B220" s="13" t="s">
        <v>15</v>
      </c>
      <c r="C220" s="19">
        <v>31</v>
      </c>
      <c r="D220" s="14" t="str">
        <f t="shared" si="3"/>
        <v>stationary</v>
      </c>
      <c r="E220" s="19"/>
      <c r="F220" s="19">
        <v>1</v>
      </c>
      <c r="G220" s="19">
        <v>9</v>
      </c>
      <c r="H220" s="19">
        <v>7</v>
      </c>
      <c r="I220" s="32">
        <v>-2</v>
      </c>
      <c r="J220" s="20">
        <v>1</v>
      </c>
    </row>
    <row r="221" spans="1:10">
      <c r="A221" s="16">
        <v>9054567</v>
      </c>
      <c r="B221" s="13" t="s">
        <v>15</v>
      </c>
      <c r="C221" s="17"/>
      <c r="D221" s="14" t="str">
        <f t="shared" si="3"/>
        <v>ambulant</v>
      </c>
      <c r="E221" s="17">
        <v>1</v>
      </c>
      <c r="F221" s="17"/>
      <c r="G221" s="17"/>
      <c r="H221" s="17"/>
      <c r="J221" s="18"/>
    </row>
    <row r="222" spans="1:10">
      <c r="A222" s="16">
        <v>9083682</v>
      </c>
      <c r="B222" s="13" t="s">
        <v>15</v>
      </c>
      <c r="C222" s="19"/>
      <c r="D222" s="14" t="str">
        <f t="shared" si="3"/>
        <v>stationary</v>
      </c>
      <c r="E222" s="19"/>
      <c r="F222" s="19">
        <v>1</v>
      </c>
      <c r="G222" s="19">
        <v>17</v>
      </c>
      <c r="H222" s="19">
        <v>17</v>
      </c>
      <c r="I222" s="32">
        <v>0</v>
      </c>
      <c r="J222" s="20">
        <v>1</v>
      </c>
    </row>
    <row r="223" spans="1:10">
      <c r="A223" s="16">
        <v>9102044</v>
      </c>
      <c r="B223" s="13" t="s">
        <v>15</v>
      </c>
      <c r="C223" s="17">
        <v>84</v>
      </c>
      <c r="D223" s="14" t="str">
        <f t="shared" si="3"/>
        <v>stationary</v>
      </c>
      <c r="E223" s="17"/>
      <c r="F223" s="17">
        <v>1</v>
      </c>
      <c r="G223" s="17"/>
      <c r="H223" s="17"/>
      <c r="J223" s="18">
        <v>1</v>
      </c>
    </row>
    <row r="224" spans="1:10">
      <c r="A224" s="16">
        <v>9119854</v>
      </c>
      <c r="B224" s="13" t="s">
        <v>15</v>
      </c>
      <c r="C224" s="19"/>
      <c r="D224" s="14" t="str">
        <f t="shared" si="3"/>
        <v>stationary</v>
      </c>
      <c r="E224" s="19"/>
      <c r="F224" s="19">
        <v>1</v>
      </c>
      <c r="G224" s="19">
        <v>30</v>
      </c>
      <c r="H224" s="19">
        <v>25</v>
      </c>
      <c r="I224" s="32">
        <v>-5</v>
      </c>
      <c r="J224" s="20"/>
    </row>
    <row r="225" spans="1:10">
      <c r="A225" s="16">
        <v>9125126</v>
      </c>
      <c r="B225" s="13" t="s">
        <v>15</v>
      </c>
      <c r="C225" s="17">
        <v>40</v>
      </c>
      <c r="D225" s="14" t="str">
        <f t="shared" si="3"/>
        <v>stationary</v>
      </c>
      <c r="E225" s="17"/>
      <c r="F225" s="17">
        <v>1</v>
      </c>
      <c r="G225" s="17">
        <v>6</v>
      </c>
      <c r="H225" s="17">
        <v>12</v>
      </c>
      <c r="I225" s="32">
        <v>6</v>
      </c>
      <c r="J225" s="18">
        <v>1</v>
      </c>
    </row>
    <row r="226" spans="1:10">
      <c r="A226" s="16">
        <v>9174811</v>
      </c>
      <c r="B226" s="13" t="s">
        <v>15</v>
      </c>
      <c r="C226" s="19"/>
      <c r="D226" s="14" t="str">
        <f t="shared" si="3"/>
        <v>stationary</v>
      </c>
      <c r="E226" s="19"/>
      <c r="F226" s="19">
        <v>1</v>
      </c>
      <c r="G226" s="19">
        <v>2</v>
      </c>
      <c r="H226" s="19">
        <v>2</v>
      </c>
      <c r="I226" s="32">
        <v>0</v>
      </c>
      <c r="J226" s="20">
        <v>1</v>
      </c>
    </row>
    <row r="227" spans="1:10">
      <c r="A227" s="16">
        <v>10002875</v>
      </c>
      <c r="B227" s="13" t="s">
        <v>15</v>
      </c>
      <c r="C227" s="17">
        <v>23</v>
      </c>
      <c r="D227" s="14" t="str">
        <f t="shared" si="3"/>
        <v>stationary</v>
      </c>
      <c r="E227" s="17"/>
      <c r="F227" s="17">
        <v>1</v>
      </c>
      <c r="G227" s="17">
        <v>7</v>
      </c>
      <c r="H227" s="17">
        <v>7</v>
      </c>
      <c r="I227" s="32">
        <v>0</v>
      </c>
      <c r="J227" s="18">
        <v>1</v>
      </c>
    </row>
    <row r="228" spans="1:10">
      <c r="A228" s="16">
        <v>10023080</v>
      </c>
      <c r="B228" s="13" t="s">
        <v>15</v>
      </c>
      <c r="C228" s="19"/>
      <c r="D228" s="14" t="str">
        <f t="shared" si="3"/>
        <v>stationary</v>
      </c>
      <c r="E228" s="19"/>
      <c r="F228" s="19">
        <v>1</v>
      </c>
      <c r="G228" s="19">
        <v>3</v>
      </c>
      <c r="H228" s="19">
        <v>30</v>
      </c>
      <c r="I228" s="32">
        <v>27</v>
      </c>
      <c r="J228" s="20"/>
    </row>
    <row r="229" spans="1:10">
      <c r="A229" s="16">
        <v>10025212</v>
      </c>
      <c r="B229" s="13" t="s">
        <v>15</v>
      </c>
      <c r="C229" s="17"/>
      <c r="D229" s="14" t="str">
        <f t="shared" si="3"/>
        <v>stationary</v>
      </c>
      <c r="E229" s="17"/>
      <c r="F229" s="17">
        <v>1</v>
      </c>
      <c r="G229" s="17"/>
      <c r="H229" s="17"/>
      <c r="J229" s="18">
        <v>1</v>
      </c>
    </row>
    <row r="230" spans="1:10">
      <c r="A230" s="16">
        <v>10069407</v>
      </c>
      <c r="B230" s="13" t="s">
        <v>15</v>
      </c>
      <c r="C230" s="19"/>
      <c r="D230" s="14" t="str">
        <f t="shared" si="3"/>
        <v>stationary</v>
      </c>
      <c r="E230" s="19"/>
      <c r="F230" s="19">
        <v>1</v>
      </c>
      <c r="G230" s="19"/>
      <c r="H230" s="19"/>
      <c r="J230" s="20">
        <v>1</v>
      </c>
    </row>
    <row r="231" spans="1:10">
      <c r="A231" s="16">
        <v>10071135</v>
      </c>
      <c r="B231" s="13" t="s">
        <v>15</v>
      </c>
      <c r="C231" s="17">
        <v>20</v>
      </c>
      <c r="D231" s="14" t="str">
        <f t="shared" si="3"/>
        <v>stationary</v>
      </c>
      <c r="E231" s="17"/>
      <c r="F231" s="17">
        <v>1</v>
      </c>
      <c r="G231" s="17">
        <v>9</v>
      </c>
      <c r="H231" s="17">
        <v>21</v>
      </c>
      <c r="I231" s="32">
        <v>12</v>
      </c>
      <c r="J231" s="18">
        <v>1</v>
      </c>
    </row>
    <row r="232" spans="1:10">
      <c r="A232" s="16">
        <v>10083649</v>
      </c>
      <c r="B232" s="13" t="s">
        <v>15</v>
      </c>
      <c r="C232" s="19"/>
      <c r="D232" s="14" t="str">
        <f t="shared" si="3"/>
        <v>stationary</v>
      </c>
      <c r="E232" s="19"/>
      <c r="F232" s="19">
        <v>1</v>
      </c>
      <c r="G232" s="19"/>
      <c r="H232" s="19"/>
      <c r="J232" s="20">
        <v>1</v>
      </c>
    </row>
    <row r="233" spans="1:10">
      <c r="A233" s="16">
        <v>10102021</v>
      </c>
      <c r="B233" s="13" t="s">
        <v>15</v>
      </c>
      <c r="C233" s="17">
        <v>1</v>
      </c>
      <c r="D233" s="14" t="str">
        <f t="shared" si="3"/>
        <v>stationary</v>
      </c>
      <c r="E233" s="17"/>
      <c r="F233" s="17">
        <v>1</v>
      </c>
      <c r="G233" s="17"/>
      <c r="H233" s="17"/>
      <c r="J233" s="18"/>
    </row>
    <row r="234" spans="1:10">
      <c r="A234" s="16">
        <v>10123729</v>
      </c>
      <c r="B234" s="13" t="s">
        <v>15</v>
      </c>
      <c r="C234" s="19"/>
      <c r="D234" s="14" t="str">
        <f t="shared" si="3"/>
        <v>stationary</v>
      </c>
      <c r="E234" s="19"/>
      <c r="F234" s="19">
        <v>1</v>
      </c>
      <c r="G234" s="19">
        <v>23</v>
      </c>
      <c r="H234" s="19">
        <v>23</v>
      </c>
      <c r="I234" s="32">
        <v>0</v>
      </c>
      <c r="J234" s="20">
        <v>1</v>
      </c>
    </row>
    <row r="235" spans="1:10">
      <c r="A235" s="16">
        <v>10144736</v>
      </c>
      <c r="B235" s="13" t="s">
        <v>15</v>
      </c>
      <c r="C235" s="17"/>
      <c r="D235" s="14" t="str">
        <f t="shared" si="3"/>
        <v>stationary</v>
      </c>
      <c r="E235" s="17"/>
      <c r="F235" s="17">
        <v>1</v>
      </c>
      <c r="G235" s="17">
        <v>4</v>
      </c>
      <c r="H235" s="17">
        <v>4</v>
      </c>
      <c r="I235" s="32">
        <v>0</v>
      </c>
      <c r="J235" s="18">
        <v>1</v>
      </c>
    </row>
    <row r="236" spans="1:10">
      <c r="A236" s="16">
        <v>10157275</v>
      </c>
      <c r="B236" s="13" t="s">
        <v>15</v>
      </c>
      <c r="C236" s="19"/>
      <c r="D236" s="14" t="str">
        <f t="shared" si="3"/>
        <v>stationary</v>
      </c>
      <c r="E236" s="19"/>
      <c r="F236" s="19">
        <v>1</v>
      </c>
      <c r="G236" s="19"/>
      <c r="H236" s="19"/>
      <c r="J236" s="20">
        <v>1</v>
      </c>
    </row>
    <row r="237" spans="1:10">
      <c r="A237" s="16">
        <v>10190869</v>
      </c>
      <c r="B237" s="13" t="s">
        <v>15</v>
      </c>
      <c r="C237" s="17">
        <v>2</v>
      </c>
      <c r="D237" s="14" t="str">
        <f t="shared" si="3"/>
        <v>stationary</v>
      </c>
      <c r="E237" s="17"/>
      <c r="F237" s="17">
        <v>1</v>
      </c>
      <c r="G237" s="17"/>
      <c r="H237" s="17"/>
      <c r="J237" s="18">
        <v>1</v>
      </c>
    </row>
    <row r="238" spans="1:10">
      <c r="A238" s="16">
        <v>11008417</v>
      </c>
      <c r="B238" s="13" t="s">
        <v>15</v>
      </c>
      <c r="C238" s="19"/>
      <c r="D238" s="14" t="str">
        <f t="shared" si="3"/>
        <v>stationary</v>
      </c>
      <c r="E238" s="19"/>
      <c r="F238" s="19">
        <v>1</v>
      </c>
      <c r="G238" s="19">
        <v>39</v>
      </c>
      <c r="H238" s="19">
        <v>39</v>
      </c>
      <c r="I238" s="32">
        <v>0</v>
      </c>
      <c r="J238" s="20">
        <v>1</v>
      </c>
    </row>
    <row r="239" spans="1:10">
      <c r="A239" s="16">
        <v>11043926</v>
      </c>
      <c r="B239" s="13" t="s">
        <v>15</v>
      </c>
      <c r="C239" s="17">
        <v>22</v>
      </c>
      <c r="D239" s="14" t="str">
        <f t="shared" si="3"/>
        <v>stationary</v>
      </c>
      <c r="E239" s="17"/>
      <c r="F239" s="17">
        <v>1</v>
      </c>
      <c r="G239" s="17"/>
      <c r="H239" s="17"/>
      <c r="J239" s="18"/>
    </row>
    <row r="240" spans="1:10">
      <c r="A240" s="16">
        <v>11049060</v>
      </c>
      <c r="B240" s="13" t="s">
        <v>15</v>
      </c>
      <c r="C240" s="19"/>
      <c r="D240" s="14" t="str">
        <f t="shared" si="3"/>
        <v>stationary</v>
      </c>
      <c r="E240" s="19"/>
      <c r="F240" s="19">
        <v>1</v>
      </c>
      <c r="G240" s="19"/>
      <c r="H240" s="19"/>
      <c r="J240" s="20">
        <v>1</v>
      </c>
    </row>
    <row r="241" spans="1:10">
      <c r="A241" s="16">
        <v>11058012</v>
      </c>
      <c r="B241" s="13" t="s">
        <v>15</v>
      </c>
      <c r="C241" s="17">
        <v>139</v>
      </c>
      <c r="D241" s="14" t="str">
        <f t="shared" si="3"/>
        <v>stationary</v>
      </c>
      <c r="E241" s="17"/>
      <c r="F241" s="17">
        <v>1</v>
      </c>
      <c r="G241" s="17">
        <v>14</v>
      </c>
      <c r="H241" s="17"/>
      <c r="J241" s="18">
        <v>1</v>
      </c>
    </row>
    <row r="242" spans="1:10">
      <c r="A242" s="16">
        <v>11082290</v>
      </c>
      <c r="B242" s="13" t="s">
        <v>15</v>
      </c>
      <c r="C242" s="19">
        <v>28</v>
      </c>
      <c r="D242" s="14" t="str">
        <f t="shared" si="3"/>
        <v>stationary</v>
      </c>
      <c r="E242" s="19"/>
      <c r="F242" s="19">
        <v>1</v>
      </c>
      <c r="G242" s="19"/>
      <c r="H242" s="19"/>
      <c r="J242" s="20">
        <v>1</v>
      </c>
    </row>
    <row r="243" spans="1:10">
      <c r="A243" s="16">
        <v>11096431</v>
      </c>
      <c r="B243" s="13" t="s">
        <v>15</v>
      </c>
      <c r="C243" s="17">
        <v>6</v>
      </c>
      <c r="D243" s="14" t="str">
        <f t="shared" si="3"/>
        <v>ambulant</v>
      </c>
      <c r="E243" s="17">
        <v>1</v>
      </c>
      <c r="F243" s="17"/>
      <c r="G243" s="17"/>
      <c r="H243" s="17"/>
      <c r="J243" s="18"/>
    </row>
    <row r="244" spans="1:10">
      <c r="A244" s="16">
        <v>11105672</v>
      </c>
      <c r="B244" s="13" t="s">
        <v>15</v>
      </c>
      <c r="C244" s="19">
        <v>5</v>
      </c>
      <c r="D244" s="14" t="str">
        <f t="shared" si="3"/>
        <v>stationary</v>
      </c>
      <c r="E244" s="19"/>
      <c r="F244" s="19">
        <v>1</v>
      </c>
      <c r="G244" s="19">
        <v>113</v>
      </c>
      <c r="H244" s="19">
        <v>117</v>
      </c>
      <c r="I244" s="32">
        <v>4</v>
      </c>
      <c r="J244" s="20"/>
    </row>
    <row r="245" spans="1:10">
      <c r="A245" s="16" t="s">
        <v>16</v>
      </c>
      <c r="B245" s="13" t="s">
        <v>15</v>
      </c>
      <c r="C245" s="17">
        <v>8</v>
      </c>
      <c r="D245" s="14" t="str">
        <f t="shared" si="3"/>
        <v>stationary</v>
      </c>
      <c r="E245" s="17"/>
      <c r="F245" s="17">
        <v>1</v>
      </c>
      <c r="G245" s="17">
        <v>38</v>
      </c>
      <c r="H245" s="17">
        <v>38</v>
      </c>
      <c r="I245" s="32">
        <v>0</v>
      </c>
      <c r="J245" s="18">
        <v>1</v>
      </c>
    </row>
    <row r="246" spans="1:10">
      <c r="A246" s="16">
        <v>11136262</v>
      </c>
      <c r="B246" s="13" t="s">
        <v>15</v>
      </c>
      <c r="C246" s="19"/>
      <c r="D246" s="14" t="str">
        <f t="shared" si="3"/>
        <v>stationary</v>
      </c>
      <c r="E246" s="19"/>
      <c r="F246" s="19">
        <v>1</v>
      </c>
      <c r="G246" s="19"/>
      <c r="H246" s="19"/>
      <c r="J246" s="20">
        <v>1</v>
      </c>
    </row>
    <row r="247" spans="1:10">
      <c r="A247" s="16">
        <v>11178455</v>
      </c>
      <c r="B247" s="13" t="s">
        <v>15</v>
      </c>
      <c r="C247" s="17">
        <v>30</v>
      </c>
      <c r="D247" s="14" t="str">
        <f t="shared" si="3"/>
        <v>stationary</v>
      </c>
      <c r="E247" s="17"/>
      <c r="F247" s="17">
        <v>1</v>
      </c>
      <c r="G247" s="17">
        <v>4</v>
      </c>
      <c r="H247" s="17">
        <v>5</v>
      </c>
      <c r="I247" s="32">
        <v>1</v>
      </c>
      <c r="J247" s="18">
        <v>1</v>
      </c>
    </row>
    <row r="248" spans="1:10">
      <c r="A248" s="16">
        <v>11179526</v>
      </c>
      <c r="B248" s="13" t="s">
        <v>15</v>
      </c>
      <c r="C248" s="19"/>
      <c r="D248" s="14" t="str">
        <f t="shared" si="3"/>
        <v>stationary</v>
      </c>
      <c r="E248" s="19"/>
      <c r="F248" s="19">
        <v>1</v>
      </c>
      <c r="G248" s="19">
        <v>6</v>
      </c>
      <c r="H248" s="19">
        <v>7</v>
      </c>
      <c r="I248" s="32">
        <v>1</v>
      </c>
      <c r="J248" s="20">
        <v>1</v>
      </c>
    </row>
    <row r="249" spans="1:10">
      <c r="A249" s="16">
        <v>11187511</v>
      </c>
      <c r="B249" s="13" t="s">
        <v>15</v>
      </c>
      <c r="C249" s="17">
        <v>28</v>
      </c>
      <c r="D249" s="14" t="str">
        <f t="shared" si="3"/>
        <v>stationary</v>
      </c>
      <c r="E249" s="17"/>
      <c r="F249" s="17">
        <v>1</v>
      </c>
      <c r="G249" s="17"/>
      <c r="H249" s="17"/>
      <c r="J249" s="18">
        <v>1</v>
      </c>
    </row>
    <row r="250" spans="1:10">
      <c r="A250" s="16">
        <v>11223290</v>
      </c>
      <c r="B250" s="13" t="s">
        <v>15</v>
      </c>
      <c r="C250" s="19"/>
      <c r="D250" s="14" t="str">
        <f t="shared" si="3"/>
        <v>stationary</v>
      </c>
      <c r="E250" s="19"/>
      <c r="F250" s="19">
        <v>1</v>
      </c>
      <c r="G250" s="19">
        <v>4</v>
      </c>
      <c r="H250" s="19">
        <v>4</v>
      </c>
      <c r="I250" s="32">
        <v>0</v>
      </c>
      <c r="J250" s="20">
        <v>1</v>
      </c>
    </row>
    <row r="251" spans="1:10">
      <c r="A251" s="16">
        <v>11228365</v>
      </c>
      <c r="B251" s="13" t="s">
        <v>15</v>
      </c>
      <c r="C251" s="17"/>
      <c r="D251" s="14" t="str">
        <f t="shared" si="3"/>
        <v>stationary</v>
      </c>
      <c r="E251" s="17"/>
      <c r="F251" s="17">
        <v>1</v>
      </c>
      <c r="G251" s="17"/>
      <c r="H251" s="17"/>
      <c r="J251" s="18">
        <v>1</v>
      </c>
    </row>
    <row r="252" spans="1:10">
      <c r="A252" s="16">
        <v>12020246</v>
      </c>
      <c r="B252" s="13" t="s">
        <v>15</v>
      </c>
      <c r="C252" s="19"/>
      <c r="D252" s="14" t="str">
        <f t="shared" si="3"/>
        <v>ambulant</v>
      </c>
      <c r="E252" s="19">
        <v>1</v>
      </c>
      <c r="F252" s="19"/>
      <c r="G252" s="19"/>
      <c r="H252" s="19"/>
      <c r="J252" s="20"/>
    </row>
    <row r="253" spans="1:10">
      <c r="A253" s="16">
        <v>12035138</v>
      </c>
      <c r="B253" s="13" t="s">
        <v>15</v>
      </c>
      <c r="C253" s="17">
        <v>36</v>
      </c>
      <c r="D253" s="14" t="str">
        <f t="shared" si="3"/>
        <v>ambulant</v>
      </c>
      <c r="E253" s="17">
        <v>1</v>
      </c>
      <c r="F253" s="17"/>
      <c r="G253" s="17"/>
      <c r="H253" s="17"/>
      <c r="J253" s="18"/>
    </row>
    <row r="254" spans="1:10">
      <c r="A254" s="16">
        <v>12111578</v>
      </c>
      <c r="B254" s="13" t="s">
        <v>15</v>
      </c>
      <c r="C254" s="19">
        <v>14</v>
      </c>
      <c r="D254" s="14" t="str">
        <f t="shared" si="3"/>
        <v>stationary</v>
      </c>
      <c r="E254" s="19"/>
      <c r="F254" s="19">
        <v>1</v>
      </c>
      <c r="G254" s="19"/>
      <c r="H254" s="19"/>
      <c r="J254" s="20">
        <v>1</v>
      </c>
    </row>
    <row r="255" spans="1:10">
      <c r="A255" s="16">
        <v>12133434</v>
      </c>
      <c r="B255" s="13" t="s">
        <v>15</v>
      </c>
      <c r="C255" s="17"/>
      <c r="D255" s="14" t="str">
        <f t="shared" si="3"/>
        <v>ambulant</v>
      </c>
      <c r="E255" s="17">
        <v>1</v>
      </c>
      <c r="F255" s="17"/>
      <c r="G255" s="17"/>
      <c r="H255" s="17"/>
      <c r="J255" s="18"/>
    </row>
    <row r="256" spans="1:10">
      <c r="A256" s="16">
        <v>12164268</v>
      </c>
      <c r="B256" s="13" t="s">
        <v>15</v>
      </c>
      <c r="C256" s="19">
        <v>10</v>
      </c>
      <c r="D256" s="14" t="str">
        <f t="shared" si="3"/>
        <v>ambulant</v>
      </c>
      <c r="E256" s="19">
        <v>1</v>
      </c>
      <c r="F256" s="19"/>
      <c r="G256" s="19"/>
      <c r="H256" s="19"/>
      <c r="J256" s="20"/>
    </row>
    <row r="257" spans="1:10">
      <c r="A257" s="16">
        <v>12164269</v>
      </c>
      <c r="B257" s="13" t="s">
        <v>15</v>
      </c>
      <c r="C257" s="17"/>
      <c r="D257" s="14" t="str">
        <f t="shared" si="3"/>
        <v>stationary</v>
      </c>
      <c r="E257" s="17"/>
      <c r="F257" s="17">
        <v>1</v>
      </c>
      <c r="G257" s="17"/>
      <c r="H257" s="17"/>
      <c r="J257" s="18">
        <v>1</v>
      </c>
    </row>
    <row r="258" spans="1:10">
      <c r="A258" s="16">
        <v>12168562</v>
      </c>
      <c r="B258" s="13" t="s">
        <v>15</v>
      </c>
      <c r="C258" s="19"/>
      <c r="D258" s="14" t="str">
        <f t="shared" si="3"/>
        <v>ambulant</v>
      </c>
      <c r="E258" s="19">
        <v>1</v>
      </c>
      <c r="F258" s="19"/>
      <c r="G258" s="19"/>
      <c r="H258" s="19"/>
      <c r="J258" s="20"/>
    </row>
    <row r="259" spans="1:10">
      <c r="A259" s="16">
        <v>12190939</v>
      </c>
      <c r="B259" s="13" t="s">
        <v>15</v>
      </c>
      <c r="C259" s="17"/>
      <c r="D259" s="14" t="str">
        <f t="shared" ref="D259:D322" si="4">IF(E259=1,"ambulant",IF(F259=1,"stationary","unknown"))</f>
        <v>ambulant</v>
      </c>
      <c r="E259" s="17">
        <v>1</v>
      </c>
      <c r="F259" s="17"/>
      <c r="G259" s="17"/>
      <c r="H259" s="17"/>
      <c r="J259" s="18"/>
    </row>
    <row r="260" spans="1:10">
      <c r="A260" s="16">
        <v>12311081</v>
      </c>
      <c r="B260" s="13" t="s">
        <v>15</v>
      </c>
      <c r="C260" s="19"/>
      <c r="D260" s="14" t="str">
        <f t="shared" si="4"/>
        <v>stationary</v>
      </c>
      <c r="E260" s="19"/>
      <c r="F260" s="19">
        <v>1</v>
      </c>
      <c r="G260" s="19"/>
      <c r="H260" s="19"/>
      <c r="J260" s="20">
        <v>1</v>
      </c>
    </row>
    <row r="261" spans="1:10">
      <c r="A261" s="16">
        <v>6000832</v>
      </c>
      <c r="B261" s="13" t="s">
        <v>15</v>
      </c>
      <c r="C261" s="17"/>
      <c r="D261" s="14" t="str">
        <f t="shared" si="4"/>
        <v>stationary</v>
      </c>
      <c r="E261" s="17"/>
      <c r="F261" s="17">
        <v>1</v>
      </c>
      <c r="G261" s="17"/>
      <c r="H261" s="17"/>
      <c r="J261" s="18">
        <v>1</v>
      </c>
    </row>
    <row r="262" spans="1:10">
      <c r="A262" s="16">
        <v>9030615</v>
      </c>
      <c r="B262" s="13" t="s">
        <v>15</v>
      </c>
      <c r="C262" s="19">
        <v>15</v>
      </c>
      <c r="D262" s="14" t="str">
        <f t="shared" si="4"/>
        <v>stationary</v>
      </c>
      <c r="E262" s="19"/>
      <c r="F262" s="19">
        <v>1</v>
      </c>
      <c r="G262" s="19">
        <v>15</v>
      </c>
      <c r="H262" s="19">
        <v>18</v>
      </c>
      <c r="I262" s="32">
        <v>3</v>
      </c>
      <c r="J262" s="20">
        <v>1</v>
      </c>
    </row>
    <row r="263" spans="1:10">
      <c r="A263" s="16"/>
      <c r="B263" s="13"/>
      <c r="C263" s="17"/>
      <c r="D263" s="14" t="str">
        <f t="shared" si="4"/>
        <v>unknown</v>
      </c>
      <c r="E263" s="17"/>
      <c r="F263" s="17"/>
      <c r="G263" s="17"/>
      <c r="H263" s="17"/>
      <c r="J263" s="18"/>
    </row>
    <row r="264" spans="1:10">
      <c r="A264" s="16">
        <v>5281</v>
      </c>
      <c r="B264" s="13" t="s">
        <v>17</v>
      </c>
      <c r="C264" s="19"/>
      <c r="D264" s="14" t="str">
        <f t="shared" si="4"/>
        <v>stationary</v>
      </c>
      <c r="E264" s="19"/>
      <c r="F264" s="19">
        <v>1</v>
      </c>
      <c r="G264" s="19"/>
      <c r="H264" s="19"/>
      <c r="J264" s="20">
        <v>1</v>
      </c>
    </row>
    <row r="265" spans="1:10">
      <c r="A265" s="16">
        <v>200085</v>
      </c>
      <c r="B265" s="13" t="s">
        <v>17</v>
      </c>
      <c r="C265" s="17">
        <v>26</v>
      </c>
      <c r="D265" s="14" t="str">
        <f t="shared" si="4"/>
        <v>unknown</v>
      </c>
      <c r="E265" s="17"/>
      <c r="F265" s="17"/>
      <c r="G265" s="17"/>
      <c r="H265" s="17"/>
      <c r="J265" s="18"/>
    </row>
    <row r="266" spans="1:10">
      <c r="A266" s="16">
        <v>500129</v>
      </c>
      <c r="B266" s="13" t="s">
        <v>17</v>
      </c>
      <c r="C266" s="19"/>
      <c r="D266" s="14" t="str">
        <f t="shared" si="4"/>
        <v>stationary</v>
      </c>
      <c r="E266" s="19"/>
      <c r="F266" s="19">
        <v>1</v>
      </c>
      <c r="G266" s="19"/>
      <c r="H266" s="19"/>
      <c r="J266" s="20">
        <v>1</v>
      </c>
    </row>
    <row r="267" spans="1:10">
      <c r="A267" s="23">
        <v>1002033</v>
      </c>
      <c r="B267" s="13" t="s">
        <v>17</v>
      </c>
      <c r="C267" s="17"/>
      <c r="D267" s="14" t="str">
        <f t="shared" si="4"/>
        <v>stationary</v>
      </c>
      <c r="E267" s="17"/>
      <c r="F267" s="17">
        <v>1</v>
      </c>
      <c r="G267" s="17"/>
      <c r="H267" s="17"/>
      <c r="J267" s="18"/>
    </row>
    <row r="268" spans="1:10">
      <c r="A268" s="16">
        <v>1003457</v>
      </c>
      <c r="B268" s="13" t="s">
        <v>17</v>
      </c>
      <c r="C268" s="19">
        <v>35</v>
      </c>
      <c r="D268" s="14" t="str">
        <f t="shared" si="4"/>
        <v>stationary</v>
      </c>
      <c r="E268" s="19"/>
      <c r="F268" s="19">
        <v>1</v>
      </c>
      <c r="G268" s="19"/>
      <c r="H268" s="19"/>
      <c r="J268" s="20"/>
    </row>
    <row r="269" spans="1:10">
      <c r="A269" s="16">
        <v>2005223</v>
      </c>
      <c r="B269" s="13" t="s">
        <v>17</v>
      </c>
      <c r="C269" s="17">
        <v>28</v>
      </c>
      <c r="D269" s="14" t="str">
        <f t="shared" si="4"/>
        <v>stationary</v>
      </c>
      <c r="E269" s="17"/>
      <c r="F269" s="17">
        <v>1</v>
      </c>
      <c r="G269" s="17"/>
      <c r="H269" s="17"/>
      <c r="J269" s="18">
        <v>1</v>
      </c>
    </row>
    <row r="270" spans="1:10">
      <c r="A270" s="16">
        <v>2006107</v>
      </c>
      <c r="B270" s="13" t="s">
        <v>17</v>
      </c>
      <c r="C270" s="19"/>
      <c r="D270" s="14" t="str">
        <f t="shared" si="4"/>
        <v>unknown</v>
      </c>
      <c r="E270" s="19"/>
      <c r="F270" s="19"/>
      <c r="G270" s="19"/>
      <c r="H270" s="19"/>
      <c r="J270" s="20"/>
    </row>
    <row r="271" spans="1:10">
      <c r="A271" s="16">
        <v>2012014</v>
      </c>
      <c r="B271" s="13" t="s">
        <v>17</v>
      </c>
      <c r="C271" s="17">
        <v>18</v>
      </c>
      <c r="D271" s="14" t="str">
        <f t="shared" si="4"/>
        <v>unknown</v>
      </c>
      <c r="E271" s="17"/>
      <c r="F271" s="17"/>
      <c r="G271" s="17"/>
      <c r="H271" s="17"/>
      <c r="J271" s="18"/>
    </row>
    <row r="272" spans="1:10">
      <c r="A272" s="16">
        <v>3000152</v>
      </c>
      <c r="B272" s="13" t="s">
        <v>17</v>
      </c>
      <c r="C272" s="19">
        <v>10</v>
      </c>
      <c r="D272" s="14" t="str">
        <f t="shared" si="4"/>
        <v>stationary</v>
      </c>
      <c r="E272" s="19"/>
      <c r="F272" s="19">
        <v>1</v>
      </c>
      <c r="G272" s="19">
        <v>9</v>
      </c>
      <c r="H272" s="19">
        <v>9</v>
      </c>
      <c r="I272" s="32">
        <v>0</v>
      </c>
      <c r="J272" s="20"/>
    </row>
    <row r="273" spans="1:10">
      <c r="A273" s="16">
        <v>3014566</v>
      </c>
      <c r="B273" s="13" t="s">
        <v>17</v>
      </c>
      <c r="C273" s="17">
        <v>10</v>
      </c>
      <c r="D273" s="14" t="str">
        <f t="shared" si="4"/>
        <v>stationary</v>
      </c>
      <c r="E273" s="17"/>
      <c r="F273" s="17">
        <v>1</v>
      </c>
      <c r="G273" s="17"/>
      <c r="H273" s="17"/>
      <c r="J273" s="18">
        <v>1</v>
      </c>
    </row>
    <row r="274" spans="1:10">
      <c r="A274" s="16">
        <v>3015058</v>
      </c>
      <c r="B274" s="13" t="s">
        <v>17</v>
      </c>
      <c r="C274" s="19"/>
      <c r="D274" s="14" t="str">
        <f t="shared" si="4"/>
        <v>stationary</v>
      </c>
      <c r="E274" s="19"/>
      <c r="F274" s="19">
        <v>1</v>
      </c>
      <c r="G274" s="19"/>
      <c r="H274" s="19"/>
      <c r="J274" s="20"/>
    </row>
    <row r="275" spans="1:10">
      <c r="A275" s="23">
        <v>4000996</v>
      </c>
      <c r="B275" s="13" t="s">
        <v>17</v>
      </c>
      <c r="C275" s="17">
        <v>19</v>
      </c>
      <c r="D275" s="14" t="str">
        <f t="shared" si="4"/>
        <v>stationary</v>
      </c>
      <c r="E275" s="17"/>
      <c r="F275" s="17">
        <v>1</v>
      </c>
      <c r="G275" s="17"/>
      <c r="H275" s="17"/>
      <c r="J275" s="18"/>
    </row>
    <row r="276" spans="1:10">
      <c r="A276" s="16">
        <v>4003768</v>
      </c>
      <c r="B276" s="13" t="s">
        <v>17</v>
      </c>
      <c r="C276" s="19"/>
      <c r="D276" s="14" t="str">
        <f t="shared" si="4"/>
        <v>stationary</v>
      </c>
      <c r="E276" s="19"/>
      <c r="F276" s="19">
        <v>1</v>
      </c>
      <c r="G276" s="19"/>
      <c r="H276" s="19"/>
      <c r="J276" s="20">
        <v>1</v>
      </c>
    </row>
    <row r="277" spans="1:10">
      <c r="A277" s="16">
        <v>4006540</v>
      </c>
      <c r="B277" s="13" t="s">
        <v>17</v>
      </c>
      <c r="C277" s="17">
        <v>20</v>
      </c>
      <c r="D277" s="14" t="str">
        <f t="shared" si="4"/>
        <v>stationary</v>
      </c>
      <c r="E277" s="17"/>
      <c r="F277" s="17">
        <v>1</v>
      </c>
      <c r="G277" s="17">
        <v>9</v>
      </c>
      <c r="H277" s="17">
        <v>19</v>
      </c>
      <c r="I277" s="32">
        <v>10</v>
      </c>
      <c r="J277" s="18">
        <v>1</v>
      </c>
    </row>
    <row r="278" spans="1:10">
      <c r="A278" s="16">
        <v>4007054</v>
      </c>
      <c r="B278" s="13" t="s">
        <v>17</v>
      </c>
      <c r="C278" s="19">
        <v>19</v>
      </c>
      <c r="D278" s="14" t="str">
        <f t="shared" si="4"/>
        <v>stationary</v>
      </c>
      <c r="E278" s="19"/>
      <c r="F278" s="19">
        <v>1</v>
      </c>
      <c r="G278" s="19"/>
      <c r="H278" s="19"/>
      <c r="J278" s="20">
        <v>1</v>
      </c>
    </row>
    <row r="279" spans="1:10">
      <c r="A279" s="16">
        <v>4011002</v>
      </c>
      <c r="B279" s="13" t="s">
        <v>17</v>
      </c>
      <c r="C279" s="17"/>
      <c r="D279" s="14" t="str">
        <f t="shared" si="4"/>
        <v>stationary</v>
      </c>
      <c r="E279" s="17"/>
      <c r="F279" s="17">
        <v>1</v>
      </c>
      <c r="G279" s="17"/>
      <c r="H279" s="17"/>
      <c r="J279" s="18">
        <v>1</v>
      </c>
    </row>
    <row r="280" spans="1:10">
      <c r="A280" s="16">
        <v>4900268</v>
      </c>
      <c r="B280" s="13" t="s">
        <v>17</v>
      </c>
      <c r="C280" s="19"/>
      <c r="D280" s="14" t="str">
        <f t="shared" si="4"/>
        <v>stationary</v>
      </c>
      <c r="E280" s="19"/>
      <c r="F280" s="19">
        <v>1</v>
      </c>
      <c r="G280" s="19"/>
      <c r="H280" s="19"/>
      <c r="J280" s="20"/>
    </row>
    <row r="281" spans="1:10">
      <c r="A281" s="16">
        <v>5001097</v>
      </c>
      <c r="B281" s="13" t="s">
        <v>17</v>
      </c>
      <c r="C281" s="17">
        <v>7</v>
      </c>
      <c r="D281" s="14" t="str">
        <f t="shared" si="4"/>
        <v>unknown</v>
      </c>
      <c r="E281" s="17"/>
      <c r="F281" s="17"/>
      <c r="G281" s="17"/>
      <c r="H281" s="17"/>
      <c r="J281" s="18"/>
    </row>
    <row r="282" spans="1:10">
      <c r="A282" s="16">
        <v>5001098</v>
      </c>
      <c r="B282" s="13" t="s">
        <v>17</v>
      </c>
      <c r="C282" s="19"/>
      <c r="D282" s="14" t="str">
        <f t="shared" si="4"/>
        <v>unknown</v>
      </c>
      <c r="E282" s="19"/>
      <c r="F282" s="19"/>
      <c r="G282" s="19"/>
      <c r="H282" s="19"/>
      <c r="J282" s="20"/>
    </row>
    <row r="283" spans="1:10">
      <c r="A283" s="16">
        <v>5006152</v>
      </c>
      <c r="B283" s="13" t="s">
        <v>17</v>
      </c>
      <c r="C283" s="17">
        <v>3</v>
      </c>
      <c r="D283" s="14" t="str">
        <f t="shared" si="4"/>
        <v>stationary</v>
      </c>
      <c r="E283" s="17"/>
      <c r="F283" s="17">
        <v>1</v>
      </c>
      <c r="G283" s="17"/>
      <c r="H283" s="17"/>
      <c r="J283" s="18"/>
    </row>
    <row r="284" spans="1:10">
      <c r="A284" s="16">
        <v>5011824</v>
      </c>
      <c r="B284" s="13" t="s">
        <v>17</v>
      </c>
      <c r="C284" s="19"/>
      <c r="D284" s="14" t="str">
        <f t="shared" si="4"/>
        <v>unknown</v>
      </c>
      <c r="E284" s="19"/>
      <c r="F284" s="19"/>
      <c r="G284" s="19"/>
      <c r="H284" s="19"/>
      <c r="J284" s="20"/>
    </row>
    <row r="285" spans="1:10">
      <c r="A285" s="16">
        <v>5016179</v>
      </c>
      <c r="B285" s="13" t="s">
        <v>17</v>
      </c>
      <c r="C285" s="17"/>
      <c r="D285" s="14" t="str">
        <f t="shared" si="4"/>
        <v>stationary</v>
      </c>
      <c r="E285" s="17"/>
      <c r="F285" s="17">
        <v>1</v>
      </c>
      <c r="G285" s="17"/>
      <c r="H285" s="17"/>
      <c r="J285" s="18"/>
    </row>
    <row r="286" spans="1:10">
      <c r="A286" s="16">
        <v>7079011</v>
      </c>
      <c r="B286" s="13" t="s">
        <v>17</v>
      </c>
      <c r="C286" s="19">
        <v>55</v>
      </c>
      <c r="D286" s="14" t="str">
        <f t="shared" si="4"/>
        <v>stationary</v>
      </c>
      <c r="E286" s="19"/>
      <c r="F286" s="19">
        <v>1</v>
      </c>
      <c r="G286" s="19"/>
      <c r="H286" s="19"/>
      <c r="J286" s="20">
        <v>1</v>
      </c>
    </row>
    <row r="287" spans="1:10">
      <c r="A287" s="16">
        <v>8135416</v>
      </c>
      <c r="B287" s="13" t="s">
        <v>17</v>
      </c>
      <c r="C287" s="17"/>
      <c r="D287" s="14" t="str">
        <f t="shared" si="4"/>
        <v>stationary</v>
      </c>
      <c r="E287" s="17"/>
      <c r="F287" s="17">
        <v>1</v>
      </c>
      <c r="G287" s="17"/>
      <c r="H287" s="17"/>
      <c r="J287" s="18"/>
    </row>
    <row r="288" spans="1:10">
      <c r="A288" s="16">
        <v>93018945</v>
      </c>
      <c r="B288" s="13" t="s">
        <v>17</v>
      </c>
      <c r="C288" s="19"/>
      <c r="D288" s="14" t="str">
        <f t="shared" si="4"/>
        <v>unknown</v>
      </c>
      <c r="E288" s="19"/>
      <c r="F288" s="19"/>
      <c r="G288" s="19"/>
      <c r="H288" s="19"/>
      <c r="J288" s="20"/>
    </row>
    <row r="289" spans="1:10">
      <c r="A289" s="16">
        <v>94009028</v>
      </c>
      <c r="B289" s="13" t="s">
        <v>17</v>
      </c>
      <c r="C289" s="17">
        <v>4</v>
      </c>
      <c r="D289" s="14" t="str">
        <f t="shared" si="4"/>
        <v>stationary</v>
      </c>
      <c r="E289" s="17"/>
      <c r="F289" s="17">
        <v>1</v>
      </c>
      <c r="G289" s="17"/>
      <c r="H289" s="17"/>
      <c r="J289" s="18">
        <v>1</v>
      </c>
    </row>
    <row r="290" spans="1:10">
      <c r="A290" s="16">
        <v>95005907</v>
      </c>
      <c r="B290" s="13" t="s">
        <v>17</v>
      </c>
      <c r="C290" s="19"/>
      <c r="D290" s="14" t="str">
        <f t="shared" si="4"/>
        <v>unknown</v>
      </c>
      <c r="E290" s="19"/>
      <c r="F290" s="19"/>
      <c r="G290" s="19"/>
      <c r="H290" s="19"/>
      <c r="J290" s="20"/>
    </row>
    <row r="291" spans="1:10">
      <c r="A291" s="16">
        <v>95900164</v>
      </c>
      <c r="B291" s="13" t="s">
        <v>17</v>
      </c>
      <c r="C291" s="17"/>
      <c r="D291" s="14" t="str">
        <f t="shared" si="4"/>
        <v>stationary</v>
      </c>
      <c r="E291" s="17"/>
      <c r="F291" s="17">
        <v>1</v>
      </c>
      <c r="G291" s="17"/>
      <c r="H291" s="17"/>
      <c r="J291" s="18">
        <v>1</v>
      </c>
    </row>
    <row r="292" spans="1:10">
      <c r="A292" s="16">
        <v>96015811</v>
      </c>
      <c r="B292" s="13" t="s">
        <v>17</v>
      </c>
      <c r="C292" s="19">
        <v>10</v>
      </c>
      <c r="D292" s="14" t="str">
        <f t="shared" si="4"/>
        <v>stationary</v>
      </c>
      <c r="E292" s="19"/>
      <c r="F292" s="19">
        <v>1</v>
      </c>
      <c r="G292" s="19"/>
      <c r="H292" s="19"/>
      <c r="J292" s="20"/>
    </row>
    <row r="293" spans="1:10">
      <c r="A293" s="16">
        <v>97001240</v>
      </c>
      <c r="B293" s="13" t="s">
        <v>17</v>
      </c>
      <c r="C293" s="17">
        <v>14</v>
      </c>
      <c r="D293" s="14" t="str">
        <f t="shared" si="4"/>
        <v>stationary</v>
      </c>
      <c r="E293" s="17"/>
      <c r="F293" s="17">
        <v>1</v>
      </c>
      <c r="G293" s="17">
        <v>33</v>
      </c>
      <c r="H293" s="17">
        <v>5</v>
      </c>
      <c r="I293" s="32">
        <v>-28</v>
      </c>
      <c r="J293" s="18"/>
    </row>
    <row r="294" spans="1:10">
      <c r="A294" s="16">
        <v>97005366</v>
      </c>
      <c r="B294" s="13" t="s">
        <v>17</v>
      </c>
      <c r="C294" s="19"/>
      <c r="D294" s="14" t="str">
        <f t="shared" si="4"/>
        <v>stationary</v>
      </c>
      <c r="E294" s="19"/>
      <c r="F294" s="19">
        <v>1</v>
      </c>
      <c r="G294" s="19"/>
      <c r="H294" s="19"/>
      <c r="J294" s="20"/>
    </row>
    <row r="295" spans="1:10">
      <c r="A295" s="16">
        <v>98000595</v>
      </c>
      <c r="B295" s="13" t="s">
        <v>17</v>
      </c>
      <c r="C295" s="17"/>
      <c r="D295" s="14" t="str">
        <f t="shared" si="4"/>
        <v>unknown</v>
      </c>
      <c r="E295" s="17"/>
      <c r="F295" s="17"/>
      <c r="G295" s="17"/>
      <c r="H295" s="17"/>
      <c r="J295" s="18"/>
    </row>
    <row r="296" spans="1:10">
      <c r="A296" s="16">
        <v>98002692</v>
      </c>
      <c r="B296" s="13" t="s">
        <v>17</v>
      </c>
      <c r="C296" s="19">
        <v>3</v>
      </c>
      <c r="D296" s="14" t="str">
        <f t="shared" si="4"/>
        <v>unknown</v>
      </c>
      <c r="E296" s="19"/>
      <c r="F296" s="19"/>
      <c r="G296" s="19"/>
      <c r="H296" s="19"/>
      <c r="J296" s="20"/>
    </row>
    <row r="297" spans="1:10">
      <c r="A297" s="16">
        <v>98005277</v>
      </c>
      <c r="B297" s="13" t="s">
        <v>17</v>
      </c>
      <c r="C297" s="17"/>
      <c r="D297" s="14" t="str">
        <f t="shared" si="4"/>
        <v>stationary</v>
      </c>
      <c r="E297" s="17"/>
      <c r="F297" s="17">
        <v>1</v>
      </c>
      <c r="G297" s="17">
        <v>7</v>
      </c>
      <c r="H297" s="17">
        <v>7</v>
      </c>
      <c r="I297" s="32">
        <v>0</v>
      </c>
      <c r="J297" s="18">
        <v>1</v>
      </c>
    </row>
    <row r="298" spans="1:10">
      <c r="A298" s="16">
        <v>99001815</v>
      </c>
      <c r="B298" s="13" t="s">
        <v>17</v>
      </c>
      <c r="C298" s="19">
        <v>2</v>
      </c>
      <c r="D298" s="14" t="str">
        <f t="shared" si="4"/>
        <v>unknown</v>
      </c>
      <c r="E298" s="19"/>
      <c r="F298" s="19"/>
      <c r="G298" s="19"/>
      <c r="H298" s="19"/>
      <c r="J298" s="20"/>
    </row>
    <row r="299" spans="1:10">
      <c r="A299" s="16">
        <v>6012361</v>
      </c>
      <c r="B299" s="13" t="s">
        <v>17</v>
      </c>
      <c r="C299" s="17"/>
      <c r="D299" s="14" t="str">
        <f t="shared" si="4"/>
        <v>stationary</v>
      </c>
      <c r="E299" s="17"/>
      <c r="F299" s="17">
        <v>1</v>
      </c>
      <c r="G299" s="17"/>
      <c r="H299" s="17">
        <v>17</v>
      </c>
      <c r="J299" s="18">
        <v>1</v>
      </c>
    </row>
    <row r="300" spans="1:10">
      <c r="A300" s="16">
        <v>6015793</v>
      </c>
      <c r="B300" s="13" t="s">
        <v>17</v>
      </c>
      <c r="C300" s="19"/>
      <c r="D300" s="14" t="str">
        <f t="shared" si="4"/>
        <v>stationary</v>
      </c>
      <c r="E300" s="19"/>
      <c r="F300" s="19">
        <v>1</v>
      </c>
      <c r="G300" s="19"/>
      <c r="H300" s="19"/>
      <c r="J300" s="20"/>
    </row>
    <row r="301" spans="1:10">
      <c r="A301" s="16">
        <v>6043619</v>
      </c>
      <c r="B301" s="13" t="s">
        <v>17</v>
      </c>
      <c r="C301" s="17">
        <v>5</v>
      </c>
      <c r="D301" s="14" t="str">
        <f t="shared" si="4"/>
        <v>stationary</v>
      </c>
      <c r="E301" s="17"/>
      <c r="F301" s="17">
        <v>1</v>
      </c>
      <c r="G301" s="17"/>
      <c r="H301" s="17"/>
      <c r="J301" s="18"/>
    </row>
    <row r="302" spans="1:10">
      <c r="A302" s="16">
        <v>7001097</v>
      </c>
      <c r="B302" s="13" t="s">
        <v>17</v>
      </c>
      <c r="C302" s="19"/>
      <c r="D302" s="14" t="str">
        <f t="shared" si="4"/>
        <v>stationary</v>
      </c>
      <c r="E302" s="19"/>
      <c r="F302" s="19">
        <v>1</v>
      </c>
      <c r="G302" s="19"/>
      <c r="H302" s="19"/>
      <c r="J302" s="20"/>
    </row>
    <row r="303" spans="1:10">
      <c r="A303" s="16">
        <v>7011435</v>
      </c>
      <c r="B303" s="13" t="s">
        <v>17</v>
      </c>
      <c r="C303" s="17">
        <v>11</v>
      </c>
      <c r="D303" s="14" t="str">
        <f t="shared" si="4"/>
        <v>stationary</v>
      </c>
      <c r="E303" s="17"/>
      <c r="F303" s="17">
        <v>1</v>
      </c>
      <c r="G303" s="17">
        <v>11</v>
      </c>
      <c r="H303" s="17">
        <v>11</v>
      </c>
      <c r="I303" s="32">
        <v>0</v>
      </c>
      <c r="J303" s="18">
        <v>1</v>
      </c>
    </row>
    <row r="304" spans="1:10">
      <c r="A304" s="16">
        <v>7045811</v>
      </c>
      <c r="B304" s="13" t="s">
        <v>17</v>
      </c>
      <c r="C304" s="19"/>
      <c r="D304" s="14" t="str">
        <f t="shared" si="4"/>
        <v>ambulant</v>
      </c>
      <c r="E304" s="19">
        <v>1</v>
      </c>
      <c r="F304" s="19"/>
      <c r="G304" s="19"/>
      <c r="H304" s="19"/>
      <c r="J304" s="20"/>
    </row>
    <row r="305" spans="1:10">
      <c r="A305" s="16">
        <v>7071198</v>
      </c>
      <c r="B305" s="13" t="s">
        <v>17</v>
      </c>
      <c r="C305" s="17"/>
      <c r="D305" s="14" t="str">
        <f t="shared" si="4"/>
        <v>ambulant</v>
      </c>
      <c r="E305" s="17">
        <v>1</v>
      </c>
      <c r="F305" s="17"/>
      <c r="G305" s="17"/>
      <c r="H305" s="17"/>
      <c r="J305" s="18"/>
    </row>
    <row r="306" spans="1:10">
      <c r="A306" s="16">
        <v>7101143</v>
      </c>
      <c r="B306" s="13" t="s">
        <v>17</v>
      </c>
      <c r="C306" s="19"/>
      <c r="D306" s="14" t="str">
        <f t="shared" si="4"/>
        <v>stationary</v>
      </c>
      <c r="E306" s="19"/>
      <c r="F306" s="19">
        <v>1</v>
      </c>
      <c r="G306" s="19"/>
      <c r="H306" s="19"/>
      <c r="J306" s="20">
        <v>1</v>
      </c>
    </row>
    <row r="307" spans="1:10">
      <c r="A307" s="16">
        <v>8073350</v>
      </c>
      <c r="B307" s="13" t="s">
        <v>17</v>
      </c>
      <c r="C307" s="17"/>
      <c r="D307" s="14" t="str">
        <f t="shared" si="4"/>
        <v>stationary</v>
      </c>
      <c r="E307" s="17"/>
      <c r="F307" s="17">
        <v>1</v>
      </c>
      <c r="G307" s="17"/>
      <c r="H307" s="17"/>
      <c r="J307" s="18"/>
    </row>
    <row r="308" spans="1:10">
      <c r="A308" s="16">
        <v>8073645</v>
      </c>
      <c r="B308" s="13" t="s">
        <v>17</v>
      </c>
      <c r="C308" s="19"/>
      <c r="D308" s="14" t="str">
        <f t="shared" si="4"/>
        <v>ambulant</v>
      </c>
      <c r="E308" s="19">
        <v>1</v>
      </c>
      <c r="F308" s="19"/>
      <c r="G308" s="19"/>
      <c r="H308" s="19"/>
      <c r="J308" s="20"/>
    </row>
    <row r="309" spans="1:10">
      <c r="A309" s="23">
        <v>8089666</v>
      </c>
      <c r="B309" s="13" t="s">
        <v>17</v>
      </c>
      <c r="C309" s="17">
        <v>2</v>
      </c>
      <c r="D309" s="14" t="str">
        <f t="shared" si="4"/>
        <v>stationary</v>
      </c>
      <c r="E309" s="17"/>
      <c r="F309" s="17">
        <v>1</v>
      </c>
      <c r="G309" s="17"/>
      <c r="H309" s="17"/>
      <c r="J309" s="18">
        <v>1</v>
      </c>
    </row>
    <row r="310" spans="1:10">
      <c r="A310" s="16">
        <v>8103536</v>
      </c>
      <c r="B310" s="13" t="s">
        <v>17</v>
      </c>
      <c r="C310" s="19">
        <v>10</v>
      </c>
      <c r="D310" s="14" t="str">
        <f t="shared" si="4"/>
        <v>stationary</v>
      </c>
      <c r="E310" s="19"/>
      <c r="F310" s="19">
        <v>1</v>
      </c>
      <c r="G310" s="19">
        <v>1</v>
      </c>
      <c r="H310" s="19">
        <v>1</v>
      </c>
      <c r="I310" s="32">
        <v>0</v>
      </c>
      <c r="J310" s="20"/>
    </row>
    <row r="311" spans="1:10">
      <c r="A311" s="16" t="s">
        <v>18</v>
      </c>
      <c r="B311" s="13" t="s">
        <v>17</v>
      </c>
      <c r="C311" s="17">
        <v>14</v>
      </c>
      <c r="D311" s="14" t="str">
        <f t="shared" si="4"/>
        <v>stationary</v>
      </c>
      <c r="E311" s="17"/>
      <c r="F311" s="17">
        <v>1</v>
      </c>
      <c r="G311" s="17">
        <v>30</v>
      </c>
      <c r="H311" s="17">
        <v>16</v>
      </c>
      <c r="I311" s="32">
        <v>-14</v>
      </c>
      <c r="J311" s="18"/>
    </row>
    <row r="312" spans="1:10">
      <c r="A312" s="16">
        <v>9003267</v>
      </c>
      <c r="B312" s="13" t="s">
        <v>17</v>
      </c>
      <c r="C312" s="19"/>
      <c r="D312" s="14" t="str">
        <f t="shared" si="4"/>
        <v>stationary</v>
      </c>
      <c r="E312" s="19"/>
      <c r="F312" s="19">
        <v>1</v>
      </c>
      <c r="G312" s="19"/>
      <c r="H312" s="19"/>
      <c r="J312" s="20">
        <v>1</v>
      </c>
    </row>
    <row r="313" spans="1:10">
      <c r="A313" s="16">
        <v>9036964</v>
      </c>
      <c r="B313" s="13" t="s">
        <v>17</v>
      </c>
      <c r="C313" s="17">
        <v>7</v>
      </c>
      <c r="D313" s="14" t="str">
        <f t="shared" si="4"/>
        <v>stationary</v>
      </c>
      <c r="E313" s="17"/>
      <c r="F313" s="17">
        <v>1</v>
      </c>
      <c r="G313" s="17">
        <v>8</v>
      </c>
      <c r="H313" s="17">
        <v>9</v>
      </c>
      <c r="I313" s="32">
        <v>1</v>
      </c>
      <c r="J313" s="18">
        <v>1</v>
      </c>
    </row>
    <row r="314" spans="1:10">
      <c r="A314" s="16">
        <v>9090287</v>
      </c>
      <c r="B314" s="13" t="s">
        <v>17</v>
      </c>
      <c r="C314" s="19">
        <v>8</v>
      </c>
      <c r="D314" s="14" t="str">
        <f t="shared" si="4"/>
        <v>stationary</v>
      </c>
      <c r="E314" s="19"/>
      <c r="F314" s="19">
        <v>1</v>
      </c>
      <c r="G314" s="19">
        <v>6</v>
      </c>
      <c r="H314" s="19">
        <v>7</v>
      </c>
      <c r="I314" s="32">
        <v>1</v>
      </c>
      <c r="J314" s="20">
        <v>1</v>
      </c>
    </row>
    <row r="315" spans="1:10">
      <c r="A315" s="16">
        <v>9095148</v>
      </c>
      <c r="B315" s="13" t="s">
        <v>17</v>
      </c>
      <c r="C315" s="17">
        <v>5</v>
      </c>
      <c r="D315" s="14" t="str">
        <f t="shared" si="4"/>
        <v>stationary</v>
      </c>
      <c r="E315" s="17"/>
      <c r="F315" s="17">
        <v>1</v>
      </c>
      <c r="G315" s="17">
        <v>8</v>
      </c>
      <c r="H315" s="17">
        <v>12</v>
      </c>
      <c r="I315" s="32">
        <v>4</v>
      </c>
      <c r="J315" s="18">
        <v>1</v>
      </c>
    </row>
    <row r="316" spans="1:10">
      <c r="A316" s="16">
        <v>9104979</v>
      </c>
      <c r="B316" s="13" t="s">
        <v>17</v>
      </c>
      <c r="C316" s="19">
        <v>8</v>
      </c>
      <c r="D316" s="14" t="str">
        <f t="shared" si="4"/>
        <v>stationary</v>
      </c>
      <c r="E316" s="19"/>
      <c r="F316" s="19">
        <v>1</v>
      </c>
      <c r="G316" s="19"/>
      <c r="H316" s="19"/>
      <c r="J316" s="20">
        <v>1</v>
      </c>
    </row>
    <row r="317" spans="1:10">
      <c r="A317" s="16">
        <v>9139514</v>
      </c>
      <c r="B317" s="13" t="s">
        <v>17</v>
      </c>
      <c r="C317" s="17"/>
      <c r="D317" s="14" t="str">
        <f t="shared" si="4"/>
        <v>stationary</v>
      </c>
      <c r="E317" s="17"/>
      <c r="F317" s="17">
        <v>1</v>
      </c>
      <c r="G317" s="17">
        <v>22</v>
      </c>
      <c r="H317" s="17">
        <v>32</v>
      </c>
      <c r="I317" s="32">
        <v>10</v>
      </c>
      <c r="J317" s="18">
        <v>1</v>
      </c>
    </row>
    <row r="318" spans="1:10">
      <c r="A318" s="16">
        <v>10020659</v>
      </c>
      <c r="B318" s="13" t="s">
        <v>17</v>
      </c>
      <c r="C318" s="19">
        <v>9</v>
      </c>
      <c r="D318" s="14" t="str">
        <f t="shared" si="4"/>
        <v>stationary</v>
      </c>
      <c r="E318" s="19"/>
      <c r="F318" s="19">
        <v>1</v>
      </c>
      <c r="G318" s="19"/>
      <c r="H318" s="19"/>
      <c r="J318" s="20">
        <v>1</v>
      </c>
    </row>
    <row r="319" spans="1:10">
      <c r="A319" s="16">
        <v>10025902</v>
      </c>
      <c r="B319" s="13" t="s">
        <v>17</v>
      </c>
      <c r="C319" s="17">
        <v>14</v>
      </c>
      <c r="D319" s="14" t="str">
        <f t="shared" si="4"/>
        <v>stationary</v>
      </c>
      <c r="E319" s="17"/>
      <c r="F319" s="17">
        <v>1</v>
      </c>
      <c r="G319" s="17"/>
      <c r="H319" s="17"/>
      <c r="J319" s="18">
        <v>1</v>
      </c>
    </row>
    <row r="320" spans="1:10">
      <c r="A320" s="16">
        <v>10027654</v>
      </c>
      <c r="B320" s="13" t="s">
        <v>17</v>
      </c>
      <c r="C320" s="19"/>
      <c r="D320" s="14" t="str">
        <f t="shared" si="4"/>
        <v>stationary</v>
      </c>
      <c r="E320" s="19"/>
      <c r="F320" s="19">
        <v>1</v>
      </c>
      <c r="G320" s="19"/>
      <c r="H320" s="19"/>
      <c r="J320" s="20"/>
    </row>
    <row r="321" spans="1:10">
      <c r="A321" s="16">
        <v>10084485</v>
      </c>
      <c r="B321" s="13" t="s">
        <v>17</v>
      </c>
      <c r="C321" s="17"/>
      <c r="D321" s="14" t="str">
        <f t="shared" si="4"/>
        <v>stationary</v>
      </c>
      <c r="E321" s="17"/>
      <c r="F321" s="17">
        <v>1</v>
      </c>
      <c r="G321" s="17"/>
      <c r="H321" s="17"/>
      <c r="J321" s="18">
        <v>1</v>
      </c>
    </row>
    <row r="322" spans="1:10">
      <c r="A322" s="16">
        <v>10098420</v>
      </c>
      <c r="B322" s="13" t="s">
        <v>17</v>
      </c>
      <c r="C322" s="19"/>
      <c r="D322" s="14" t="str">
        <f t="shared" si="4"/>
        <v>stationary</v>
      </c>
      <c r="E322" s="19"/>
      <c r="F322" s="19">
        <v>1</v>
      </c>
      <c r="G322" s="19"/>
      <c r="H322" s="19"/>
      <c r="J322" s="20">
        <v>1</v>
      </c>
    </row>
    <row r="323" spans="1:10">
      <c r="A323" s="16">
        <v>10129565</v>
      </c>
      <c r="B323" s="13" t="s">
        <v>17</v>
      </c>
      <c r="C323" s="17">
        <v>43</v>
      </c>
      <c r="D323" s="14" t="str">
        <f t="shared" ref="D323:D386" si="5">IF(E323=1,"ambulant",IF(F323=1,"stationary","unknown"))</f>
        <v>stationary</v>
      </c>
      <c r="E323" s="17"/>
      <c r="F323" s="17">
        <v>1</v>
      </c>
      <c r="G323" s="17"/>
      <c r="H323" s="17"/>
      <c r="J323" s="18">
        <v>1</v>
      </c>
    </row>
    <row r="324" spans="1:10">
      <c r="A324" s="16">
        <v>10146828</v>
      </c>
      <c r="B324" s="13" t="s">
        <v>17</v>
      </c>
      <c r="C324" s="19"/>
      <c r="D324" s="14" t="str">
        <f t="shared" si="5"/>
        <v>stationary</v>
      </c>
      <c r="E324" s="19"/>
      <c r="F324" s="19">
        <v>1</v>
      </c>
      <c r="G324" s="19">
        <v>32</v>
      </c>
      <c r="H324" s="19">
        <v>14</v>
      </c>
      <c r="I324" s="32">
        <v>-18</v>
      </c>
      <c r="J324" s="20"/>
    </row>
    <row r="325" spans="1:10">
      <c r="A325" s="16">
        <v>10163776</v>
      </c>
      <c r="B325" s="13" t="s">
        <v>17</v>
      </c>
      <c r="C325" s="17"/>
      <c r="D325" s="14" t="str">
        <f t="shared" si="5"/>
        <v>stationary</v>
      </c>
      <c r="E325" s="17"/>
      <c r="F325" s="17">
        <v>1</v>
      </c>
      <c r="G325" s="17"/>
      <c r="H325" s="17"/>
      <c r="J325" s="18">
        <v>1</v>
      </c>
    </row>
    <row r="326" spans="1:10">
      <c r="A326" s="16">
        <v>10173664</v>
      </c>
      <c r="B326" s="13" t="s">
        <v>17</v>
      </c>
      <c r="C326" s="19"/>
      <c r="D326" s="14" t="str">
        <f t="shared" si="5"/>
        <v>stationary</v>
      </c>
      <c r="E326" s="19"/>
      <c r="F326" s="19">
        <v>1</v>
      </c>
      <c r="G326" s="19"/>
      <c r="H326" s="19"/>
      <c r="J326" s="20">
        <v>1</v>
      </c>
    </row>
    <row r="327" spans="1:10">
      <c r="A327" s="16">
        <v>11000454</v>
      </c>
      <c r="B327" s="13" t="s">
        <v>17</v>
      </c>
      <c r="C327" s="17"/>
      <c r="D327" s="14" t="str">
        <f t="shared" si="5"/>
        <v>stationary</v>
      </c>
      <c r="E327" s="17"/>
      <c r="F327" s="17">
        <v>1</v>
      </c>
      <c r="G327" s="17">
        <v>12</v>
      </c>
      <c r="H327" s="17">
        <v>12</v>
      </c>
      <c r="I327" s="32">
        <v>0</v>
      </c>
      <c r="J327" s="18">
        <v>1</v>
      </c>
    </row>
    <row r="328" spans="1:10">
      <c r="A328" s="16">
        <v>11083498</v>
      </c>
      <c r="B328" s="13" t="s">
        <v>17</v>
      </c>
      <c r="C328" s="19"/>
      <c r="D328" s="14" t="str">
        <f t="shared" si="5"/>
        <v>stationary</v>
      </c>
      <c r="E328" s="19"/>
      <c r="F328" s="19">
        <v>1</v>
      </c>
      <c r="G328" s="19">
        <v>5</v>
      </c>
      <c r="H328" s="19">
        <v>10</v>
      </c>
      <c r="I328" s="32">
        <v>5</v>
      </c>
      <c r="J328" s="20">
        <v>1</v>
      </c>
    </row>
    <row r="329" spans="1:10">
      <c r="A329" s="16">
        <v>11138447</v>
      </c>
      <c r="B329" s="13" t="s">
        <v>17</v>
      </c>
      <c r="C329" s="17">
        <v>16</v>
      </c>
      <c r="D329" s="14" t="str">
        <f t="shared" si="5"/>
        <v>stationary</v>
      </c>
      <c r="E329" s="17"/>
      <c r="F329" s="17">
        <v>1</v>
      </c>
      <c r="G329" s="17"/>
      <c r="H329" s="17"/>
      <c r="J329" s="18">
        <v>1</v>
      </c>
    </row>
    <row r="330" spans="1:10">
      <c r="A330" s="16">
        <v>11144001</v>
      </c>
      <c r="B330" s="13" t="s">
        <v>17</v>
      </c>
      <c r="C330" s="19">
        <v>17</v>
      </c>
      <c r="D330" s="14" t="str">
        <f t="shared" si="5"/>
        <v>stationary</v>
      </c>
      <c r="E330" s="19"/>
      <c r="F330" s="19">
        <v>1</v>
      </c>
      <c r="G330" s="19">
        <v>10</v>
      </c>
      <c r="H330" s="19">
        <v>10</v>
      </c>
      <c r="I330" s="32">
        <v>0</v>
      </c>
      <c r="J330" s="20">
        <v>1</v>
      </c>
    </row>
    <row r="331" spans="1:10">
      <c r="A331" s="16" t="s">
        <v>19</v>
      </c>
      <c r="B331" s="13" t="s">
        <v>17</v>
      </c>
      <c r="C331" s="17"/>
      <c r="D331" s="14" t="str">
        <f t="shared" si="5"/>
        <v>stationary</v>
      </c>
      <c r="E331" s="17"/>
      <c r="F331" s="17">
        <v>1</v>
      </c>
      <c r="G331" s="17"/>
      <c r="H331" s="17">
        <v>26</v>
      </c>
      <c r="J331" s="18"/>
    </row>
    <row r="332" spans="1:10">
      <c r="A332" s="16" t="s">
        <v>20</v>
      </c>
      <c r="B332" s="13" t="s">
        <v>17</v>
      </c>
      <c r="C332" s="19"/>
      <c r="D332" s="14" t="str">
        <f t="shared" si="5"/>
        <v>stationary</v>
      </c>
      <c r="E332" s="19"/>
      <c r="F332" s="19">
        <v>1</v>
      </c>
      <c r="G332" s="19">
        <v>16</v>
      </c>
      <c r="H332" s="19">
        <v>5</v>
      </c>
      <c r="I332" s="32">
        <v>-11</v>
      </c>
      <c r="J332" s="20"/>
    </row>
    <row r="333" spans="1:10">
      <c r="A333" s="16">
        <v>12021531</v>
      </c>
      <c r="B333" s="13" t="s">
        <v>17</v>
      </c>
      <c r="C333" s="17"/>
      <c r="D333" s="14" t="str">
        <f t="shared" si="5"/>
        <v>stationary</v>
      </c>
      <c r="E333" s="17"/>
      <c r="F333" s="17">
        <v>1</v>
      </c>
      <c r="G333" s="17"/>
      <c r="H333" s="17"/>
      <c r="J333" s="18">
        <v>1</v>
      </c>
    </row>
    <row r="334" spans="1:10">
      <c r="A334" s="16">
        <v>12185514</v>
      </c>
      <c r="B334" s="13" t="s">
        <v>17</v>
      </c>
      <c r="C334" s="19"/>
      <c r="D334" s="14" t="str">
        <f t="shared" si="5"/>
        <v>stationary</v>
      </c>
      <c r="E334" s="19"/>
      <c r="F334" s="19">
        <v>1</v>
      </c>
      <c r="G334" s="19">
        <v>12</v>
      </c>
      <c r="H334" s="19">
        <v>12</v>
      </c>
      <c r="I334" s="32">
        <v>0</v>
      </c>
      <c r="J334" s="20">
        <v>1</v>
      </c>
    </row>
    <row r="335" spans="1:10">
      <c r="A335" s="16">
        <v>12202633</v>
      </c>
      <c r="B335" s="13" t="s">
        <v>17</v>
      </c>
      <c r="C335" s="17"/>
      <c r="D335" s="14" t="str">
        <f t="shared" si="5"/>
        <v>stationary</v>
      </c>
      <c r="E335" s="17"/>
      <c r="F335" s="17">
        <v>1</v>
      </c>
      <c r="G335" s="17">
        <v>8</v>
      </c>
      <c r="H335" s="17">
        <v>8</v>
      </c>
      <c r="I335" s="32">
        <v>0</v>
      </c>
      <c r="J335" s="18"/>
    </row>
    <row r="336" spans="1:10">
      <c r="A336" s="16">
        <v>12325258</v>
      </c>
      <c r="B336" s="13" t="s">
        <v>17</v>
      </c>
      <c r="C336" s="19"/>
      <c r="D336" s="14" t="str">
        <f t="shared" si="5"/>
        <v>stationary</v>
      </c>
      <c r="E336" s="19"/>
      <c r="F336" s="19">
        <v>1</v>
      </c>
      <c r="G336" s="19"/>
      <c r="H336" s="19"/>
      <c r="J336" s="20"/>
    </row>
    <row r="337" spans="1:10">
      <c r="A337" s="16">
        <v>5018677</v>
      </c>
      <c r="B337" s="13" t="s">
        <v>17</v>
      </c>
      <c r="C337" s="17"/>
      <c r="D337" s="14" t="str">
        <f t="shared" si="5"/>
        <v>stationary</v>
      </c>
      <c r="E337" s="17"/>
      <c r="F337" s="17">
        <v>1</v>
      </c>
      <c r="G337" s="19"/>
      <c r="H337" s="19"/>
      <c r="J337" s="18"/>
    </row>
    <row r="338" spans="1:10">
      <c r="A338" s="16">
        <v>11243521</v>
      </c>
      <c r="B338" s="13" t="s">
        <v>17</v>
      </c>
      <c r="C338" s="19"/>
      <c r="D338" s="14" t="str">
        <f t="shared" si="5"/>
        <v>ambulant</v>
      </c>
      <c r="E338" s="19">
        <v>1</v>
      </c>
      <c r="F338" s="19"/>
      <c r="G338" s="19"/>
      <c r="H338" s="19"/>
      <c r="J338" s="20"/>
    </row>
    <row r="339" spans="1:10">
      <c r="A339" s="16">
        <v>2008127</v>
      </c>
      <c r="B339" s="13" t="s">
        <v>17</v>
      </c>
      <c r="C339" s="17"/>
      <c r="D339" s="14" t="str">
        <f t="shared" si="5"/>
        <v>stationary</v>
      </c>
      <c r="E339" s="17"/>
      <c r="F339" s="17">
        <v>1</v>
      </c>
      <c r="G339" s="19"/>
      <c r="H339" s="19"/>
      <c r="J339" s="18">
        <v>1</v>
      </c>
    </row>
    <row r="340" spans="1:10">
      <c r="A340" s="24">
        <v>6081681</v>
      </c>
      <c r="B340" s="25" t="s">
        <v>17</v>
      </c>
      <c r="C340" s="1">
        <v>53</v>
      </c>
      <c r="D340" s="14" t="str">
        <f t="shared" si="5"/>
        <v>stationary</v>
      </c>
      <c r="E340" s="1"/>
      <c r="F340" s="1">
        <v>1</v>
      </c>
      <c r="G340" s="19"/>
      <c r="H340" s="19"/>
      <c r="J340" s="2">
        <v>1</v>
      </c>
    </row>
    <row r="341" spans="1:10">
      <c r="A341" s="4"/>
      <c r="D341" s="14" t="str">
        <f t="shared" si="5"/>
        <v>unknown</v>
      </c>
    </row>
    <row r="342" spans="1:10">
      <c r="A342" s="5">
        <v>6010715</v>
      </c>
      <c r="B342" t="s">
        <v>9</v>
      </c>
      <c r="D342" s="14" t="str">
        <f t="shared" si="5"/>
        <v>stationary</v>
      </c>
      <c r="F342">
        <v>1</v>
      </c>
    </row>
    <row r="343" spans="1:10">
      <c r="A343" s="5">
        <v>6010719</v>
      </c>
      <c r="B343" t="s">
        <v>9</v>
      </c>
      <c r="D343" s="14" t="str">
        <f t="shared" si="5"/>
        <v>stationary</v>
      </c>
      <c r="F343">
        <v>1</v>
      </c>
    </row>
    <row r="344" spans="1:10">
      <c r="A344" s="5">
        <v>6010722</v>
      </c>
      <c r="B344" t="s">
        <v>9</v>
      </c>
      <c r="D344" s="14" t="str">
        <f t="shared" si="5"/>
        <v>stationary</v>
      </c>
      <c r="F344">
        <v>1</v>
      </c>
    </row>
    <row r="345" spans="1:10">
      <c r="A345" s="5">
        <v>8061313</v>
      </c>
      <c r="B345" t="s">
        <v>9</v>
      </c>
      <c r="C345">
        <v>100</v>
      </c>
      <c r="D345" s="14" t="str">
        <f t="shared" si="5"/>
        <v>stationary</v>
      </c>
      <c r="F345">
        <v>1</v>
      </c>
      <c r="G345">
        <v>19</v>
      </c>
    </row>
    <row r="346" spans="1:10">
      <c r="A346" s="5">
        <v>8097989</v>
      </c>
      <c r="B346" t="s">
        <v>9</v>
      </c>
      <c r="D346" s="14" t="str">
        <f t="shared" si="5"/>
        <v>unknown</v>
      </c>
    </row>
    <row r="347" spans="1:10">
      <c r="A347" s="5">
        <v>9013015</v>
      </c>
      <c r="B347" t="s">
        <v>9</v>
      </c>
      <c r="D347" s="14" t="str">
        <f t="shared" si="5"/>
        <v>stationary</v>
      </c>
      <c r="F347">
        <v>1</v>
      </c>
    </row>
    <row r="348" spans="1:10">
      <c r="A348" s="5">
        <v>9097281</v>
      </c>
      <c r="B348" t="s">
        <v>9</v>
      </c>
      <c r="D348" s="14" t="str">
        <f t="shared" si="5"/>
        <v>ambulant</v>
      </c>
      <c r="E348">
        <v>1</v>
      </c>
    </row>
    <row r="349" spans="1:10">
      <c r="A349" s="5" t="s">
        <v>27</v>
      </c>
      <c r="B349" t="s">
        <v>9</v>
      </c>
      <c r="D349" s="14" t="str">
        <f t="shared" si="5"/>
        <v>stationary</v>
      </c>
      <c r="F349">
        <v>1</v>
      </c>
    </row>
    <row r="350" spans="1:10">
      <c r="A350" s="5">
        <v>10180409</v>
      </c>
      <c r="B350" t="s">
        <v>9</v>
      </c>
      <c r="D350" s="14" t="str">
        <f t="shared" si="5"/>
        <v>ambulant</v>
      </c>
      <c r="E350">
        <v>1</v>
      </c>
    </row>
    <row r="351" spans="1:10">
      <c r="A351" s="5">
        <v>11084088</v>
      </c>
      <c r="B351" t="s">
        <v>9</v>
      </c>
      <c r="D351" s="14" t="str">
        <f t="shared" si="5"/>
        <v>ambulant</v>
      </c>
      <c r="E351">
        <v>1</v>
      </c>
    </row>
    <row r="352" spans="1:10">
      <c r="A352" s="5">
        <v>12088753</v>
      </c>
      <c r="B352" t="s">
        <v>9</v>
      </c>
      <c r="D352" s="14" t="str">
        <f t="shared" si="5"/>
        <v>stationary</v>
      </c>
      <c r="F352">
        <v>1</v>
      </c>
    </row>
    <row r="353" spans="1:7">
      <c r="A353" s="5">
        <v>2007360</v>
      </c>
      <c r="B353" t="s">
        <v>9</v>
      </c>
      <c r="D353" s="14" t="str">
        <f t="shared" si="5"/>
        <v>stationary</v>
      </c>
      <c r="F353">
        <v>1</v>
      </c>
      <c r="G353">
        <v>13</v>
      </c>
    </row>
    <row r="354" spans="1:7">
      <c r="A354" s="5">
        <v>2011811</v>
      </c>
      <c r="B354" s="6" t="s">
        <v>9</v>
      </c>
      <c r="D354" s="14" t="str">
        <f t="shared" si="5"/>
        <v>stationary</v>
      </c>
      <c r="F354">
        <v>1</v>
      </c>
    </row>
    <row r="355" spans="1:7">
      <c r="A355" s="5">
        <v>2012411</v>
      </c>
      <c r="B355" s="6" t="s">
        <v>9</v>
      </c>
      <c r="D355" s="14" t="str">
        <f t="shared" si="5"/>
        <v>unknown</v>
      </c>
    </row>
    <row r="356" spans="1:7">
      <c r="A356" s="5">
        <v>2012826</v>
      </c>
      <c r="B356" s="6" t="s">
        <v>9</v>
      </c>
      <c r="C356">
        <v>17</v>
      </c>
      <c r="D356" s="14" t="str">
        <f t="shared" si="5"/>
        <v>stationary</v>
      </c>
      <c r="F356">
        <v>1</v>
      </c>
      <c r="G356">
        <v>32</v>
      </c>
    </row>
    <row r="357" spans="1:7">
      <c r="A357" s="5">
        <v>3007918</v>
      </c>
      <c r="B357" s="6" t="s">
        <v>9</v>
      </c>
      <c r="D357" s="14" t="str">
        <f t="shared" si="5"/>
        <v>unknown</v>
      </c>
    </row>
    <row r="358" spans="1:7">
      <c r="A358" s="5">
        <v>3010565</v>
      </c>
      <c r="B358" s="6" t="s">
        <v>9</v>
      </c>
      <c r="C358">
        <v>12</v>
      </c>
      <c r="D358" s="14" t="str">
        <f t="shared" si="5"/>
        <v>stationary</v>
      </c>
      <c r="F358">
        <v>1</v>
      </c>
      <c r="G358">
        <v>6</v>
      </c>
    </row>
    <row r="359" spans="1:7">
      <c r="A359" s="5">
        <v>4000702</v>
      </c>
      <c r="B359" t="s">
        <v>9</v>
      </c>
      <c r="D359" s="14" t="str">
        <f t="shared" si="5"/>
        <v>stationary</v>
      </c>
      <c r="F359">
        <v>1</v>
      </c>
    </row>
    <row r="360" spans="1:7">
      <c r="A360" s="7">
        <v>5002712</v>
      </c>
      <c r="B360" t="s">
        <v>9</v>
      </c>
      <c r="D360" s="14" t="str">
        <f t="shared" si="5"/>
        <v>stationary</v>
      </c>
      <c r="F360">
        <v>1</v>
      </c>
    </row>
    <row r="361" spans="1:7">
      <c r="A361" s="5">
        <v>5006761</v>
      </c>
      <c r="B361" t="s">
        <v>9</v>
      </c>
      <c r="D361" s="14" t="str">
        <f t="shared" si="5"/>
        <v>stationary</v>
      </c>
      <c r="F361">
        <v>1</v>
      </c>
    </row>
    <row r="362" spans="1:7">
      <c r="A362" s="5">
        <v>5013211</v>
      </c>
      <c r="B362" t="s">
        <v>9</v>
      </c>
      <c r="C362">
        <v>21</v>
      </c>
      <c r="D362" s="14" t="str">
        <f t="shared" si="5"/>
        <v>stationary</v>
      </c>
      <c r="F362">
        <v>1</v>
      </c>
      <c r="G362">
        <v>21</v>
      </c>
    </row>
    <row r="363" spans="1:7">
      <c r="A363" s="5">
        <v>5013494</v>
      </c>
      <c r="B363" t="s">
        <v>9</v>
      </c>
      <c r="D363" s="14" t="str">
        <f t="shared" si="5"/>
        <v>stationary</v>
      </c>
      <c r="F363">
        <v>1</v>
      </c>
    </row>
    <row r="364" spans="1:7">
      <c r="A364" s="5">
        <v>6005884</v>
      </c>
      <c r="B364" t="s">
        <v>9</v>
      </c>
      <c r="D364" s="14" t="str">
        <f t="shared" si="5"/>
        <v>stationary</v>
      </c>
      <c r="F364">
        <v>1</v>
      </c>
    </row>
    <row r="365" spans="1:7">
      <c r="A365" s="5">
        <v>95003255</v>
      </c>
      <c r="B365" t="s">
        <v>9</v>
      </c>
      <c r="D365" s="14" t="str">
        <f t="shared" si="5"/>
        <v>unknown</v>
      </c>
    </row>
    <row r="366" spans="1:7">
      <c r="A366" s="5">
        <v>95003777</v>
      </c>
      <c r="B366" t="s">
        <v>9</v>
      </c>
      <c r="D366" s="14" t="str">
        <f t="shared" si="5"/>
        <v>stationary</v>
      </c>
      <c r="F366">
        <v>1</v>
      </c>
      <c r="G366">
        <v>41</v>
      </c>
    </row>
    <row r="367" spans="1:7">
      <c r="A367" s="5">
        <v>95900316</v>
      </c>
      <c r="B367" t="s">
        <v>9</v>
      </c>
      <c r="C367">
        <v>61</v>
      </c>
      <c r="D367" s="14" t="str">
        <f t="shared" si="5"/>
        <v>unknown</v>
      </c>
    </row>
    <row r="368" spans="1:7">
      <c r="A368" s="5">
        <v>96900455</v>
      </c>
      <c r="B368" t="s">
        <v>9</v>
      </c>
      <c r="D368" s="14" t="str">
        <f t="shared" si="5"/>
        <v>unknown</v>
      </c>
    </row>
    <row r="369" spans="1:7">
      <c r="A369" s="5">
        <v>99002655</v>
      </c>
      <c r="B369" t="s">
        <v>9</v>
      </c>
      <c r="C369">
        <v>42</v>
      </c>
      <c r="D369" s="14" t="str">
        <f t="shared" si="5"/>
        <v>stationary</v>
      </c>
      <c r="F369">
        <v>1</v>
      </c>
      <c r="G369">
        <v>11</v>
      </c>
    </row>
    <row r="370" spans="1:7">
      <c r="A370"/>
      <c r="B370"/>
      <c r="D370" s="14" t="str">
        <f t="shared" si="5"/>
        <v>unknown</v>
      </c>
    </row>
    <row r="371" spans="1:7">
      <c r="A371" s="5">
        <v>5013714</v>
      </c>
      <c r="B371" t="s">
        <v>15</v>
      </c>
      <c r="D371" s="14" t="str">
        <f t="shared" si="5"/>
        <v>stationary</v>
      </c>
      <c r="F371">
        <v>1</v>
      </c>
      <c r="G371">
        <v>14</v>
      </c>
    </row>
    <row r="372" spans="1:7">
      <c r="A372" s="5">
        <v>6062742</v>
      </c>
      <c r="B372" t="s">
        <v>15</v>
      </c>
      <c r="D372" s="14" t="str">
        <f t="shared" si="5"/>
        <v>stationary</v>
      </c>
      <c r="F372">
        <v>1</v>
      </c>
    </row>
    <row r="373" spans="1:7">
      <c r="A373" s="5">
        <v>6050794</v>
      </c>
      <c r="B373" t="s">
        <v>15</v>
      </c>
      <c r="C373">
        <v>36</v>
      </c>
      <c r="D373" s="14" t="str">
        <f t="shared" si="5"/>
        <v>stationary</v>
      </c>
      <c r="F373">
        <v>1</v>
      </c>
    </row>
    <row r="374" spans="1:7">
      <c r="A374" s="5">
        <v>8051516</v>
      </c>
      <c r="B374" t="s">
        <v>15</v>
      </c>
      <c r="D374" s="14" t="str">
        <f t="shared" si="5"/>
        <v>ambulant</v>
      </c>
      <c r="E374">
        <v>1</v>
      </c>
    </row>
    <row r="375" spans="1:7">
      <c r="A375" s="5">
        <v>8060785</v>
      </c>
      <c r="B375" t="s">
        <v>15</v>
      </c>
      <c r="C375">
        <v>36</v>
      </c>
      <c r="D375" s="14" t="str">
        <f t="shared" si="5"/>
        <v>stationary</v>
      </c>
      <c r="F375">
        <v>1</v>
      </c>
    </row>
    <row r="376" spans="1:7">
      <c r="A376" s="5">
        <v>8119197</v>
      </c>
      <c r="B376" t="s">
        <v>15</v>
      </c>
      <c r="D376" s="14" t="str">
        <f t="shared" si="5"/>
        <v>stationary</v>
      </c>
      <c r="F376">
        <v>1</v>
      </c>
    </row>
    <row r="377" spans="1:7">
      <c r="A377" s="5">
        <v>10137498</v>
      </c>
      <c r="B377" t="s">
        <v>15</v>
      </c>
      <c r="D377" s="14" t="str">
        <f t="shared" si="5"/>
        <v>stationary</v>
      </c>
      <c r="F377">
        <v>1</v>
      </c>
    </row>
    <row r="378" spans="1:7">
      <c r="A378" s="5">
        <v>11011791</v>
      </c>
      <c r="B378" t="s">
        <v>15</v>
      </c>
      <c r="D378" s="14" t="str">
        <f t="shared" si="5"/>
        <v>ambulant</v>
      </c>
      <c r="E378">
        <v>1</v>
      </c>
    </row>
    <row r="379" spans="1:7">
      <c r="A379" s="5">
        <v>11242475</v>
      </c>
      <c r="B379" t="s">
        <v>15</v>
      </c>
      <c r="D379" s="14" t="str">
        <f t="shared" si="5"/>
        <v>stationary</v>
      </c>
      <c r="F379">
        <v>1</v>
      </c>
    </row>
    <row r="380" spans="1:7">
      <c r="A380" s="5">
        <v>12006392</v>
      </c>
      <c r="B380" t="s">
        <v>15</v>
      </c>
      <c r="D380" s="14" t="str">
        <f t="shared" si="5"/>
        <v>stationary</v>
      </c>
      <c r="F380">
        <v>1</v>
      </c>
      <c r="G380">
        <v>14</v>
      </c>
    </row>
    <row r="381" spans="1:7">
      <c r="A381" s="5">
        <v>13006749</v>
      </c>
      <c r="B381" t="s">
        <v>15</v>
      </c>
      <c r="D381" s="14" t="str">
        <f t="shared" si="5"/>
        <v>ambulant</v>
      </c>
      <c r="E381">
        <v>1</v>
      </c>
    </row>
    <row r="382" spans="1:7">
      <c r="A382"/>
      <c r="B382"/>
      <c r="D382" s="14" t="str">
        <f t="shared" si="5"/>
        <v>unknown</v>
      </c>
    </row>
    <row r="383" spans="1:7">
      <c r="A383" s="5">
        <v>200149</v>
      </c>
      <c r="B383" t="s">
        <v>17</v>
      </c>
      <c r="D383" s="14" t="str">
        <f t="shared" si="5"/>
        <v>stationary</v>
      </c>
      <c r="F383">
        <v>1</v>
      </c>
    </row>
    <row r="384" spans="1:7">
      <c r="A384" s="5">
        <v>1006310</v>
      </c>
      <c r="B384" t="s">
        <v>17</v>
      </c>
      <c r="D384" s="14" t="str">
        <f t="shared" si="5"/>
        <v>unknown</v>
      </c>
    </row>
    <row r="385" spans="1:7">
      <c r="A385" s="5">
        <v>1007842</v>
      </c>
      <c r="B385" t="s">
        <v>17</v>
      </c>
      <c r="D385" s="14" t="str">
        <f t="shared" si="5"/>
        <v>unknown</v>
      </c>
    </row>
    <row r="386" spans="1:7">
      <c r="A386" s="5">
        <v>2008127</v>
      </c>
      <c r="B386" t="s">
        <v>17</v>
      </c>
      <c r="C386">
        <v>4</v>
      </c>
      <c r="D386" s="14" t="str">
        <f t="shared" si="5"/>
        <v>stationary</v>
      </c>
      <c r="F386">
        <v>1</v>
      </c>
    </row>
    <row r="387" spans="1:7">
      <c r="A387" s="5">
        <v>3017084</v>
      </c>
      <c r="B387" t="s">
        <v>17</v>
      </c>
      <c r="D387" s="14" t="str">
        <f t="shared" ref="D387:D420" si="6">IF(E387=1,"ambulant",IF(F387=1,"stationary","unknown"))</f>
        <v>stationary</v>
      </c>
      <c r="F387">
        <v>1</v>
      </c>
      <c r="G387">
        <v>21</v>
      </c>
    </row>
    <row r="388" spans="1:7">
      <c r="A388" s="5">
        <v>4009308</v>
      </c>
      <c r="B388" t="s">
        <v>17</v>
      </c>
      <c r="D388" s="14" t="str">
        <f t="shared" si="6"/>
        <v>stationary</v>
      </c>
      <c r="F388">
        <v>1</v>
      </c>
    </row>
    <row r="389" spans="1:7">
      <c r="A389" s="5">
        <v>8012361</v>
      </c>
      <c r="B389" t="s">
        <v>17</v>
      </c>
      <c r="D389" s="14" t="str">
        <f t="shared" si="6"/>
        <v>stationary</v>
      </c>
      <c r="F389">
        <v>1</v>
      </c>
    </row>
    <row r="390" spans="1:7">
      <c r="A390" s="7" t="s">
        <v>28</v>
      </c>
      <c r="B390" t="s">
        <v>17</v>
      </c>
      <c r="C390">
        <v>9</v>
      </c>
      <c r="D390" s="14" t="str">
        <f t="shared" si="6"/>
        <v>stationary</v>
      </c>
      <c r="F390">
        <v>1</v>
      </c>
    </row>
    <row r="391" spans="1:7">
      <c r="A391" s="5">
        <v>7065854</v>
      </c>
      <c r="B391" t="s">
        <v>17</v>
      </c>
      <c r="D391" s="14" t="str">
        <f t="shared" si="6"/>
        <v>stationary</v>
      </c>
      <c r="F391">
        <v>1</v>
      </c>
    </row>
    <row r="392" spans="1:7">
      <c r="A392" s="5">
        <v>7066720</v>
      </c>
      <c r="B392" t="s">
        <v>17</v>
      </c>
      <c r="D392" s="14" t="str">
        <f t="shared" si="6"/>
        <v>unknown</v>
      </c>
    </row>
    <row r="393" spans="1:7">
      <c r="A393" s="5">
        <v>8065877</v>
      </c>
      <c r="B393" t="s">
        <v>17</v>
      </c>
      <c r="D393" s="14" t="str">
        <f t="shared" si="6"/>
        <v>stationary</v>
      </c>
      <c r="F393">
        <v>1</v>
      </c>
    </row>
    <row r="394" spans="1:7">
      <c r="A394" s="5">
        <v>8064173</v>
      </c>
      <c r="B394" t="s">
        <v>17</v>
      </c>
      <c r="D394" s="14" t="str">
        <f t="shared" si="6"/>
        <v>stationary</v>
      </c>
      <c r="F394">
        <v>1</v>
      </c>
    </row>
    <row r="395" spans="1:7">
      <c r="A395" s="5">
        <v>9109244</v>
      </c>
      <c r="B395" t="s">
        <v>17</v>
      </c>
      <c r="C395">
        <v>28</v>
      </c>
      <c r="D395" s="14" t="str">
        <f t="shared" si="6"/>
        <v>ambulant</v>
      </c>
      <c r="E395">
        <v>1</v>
      </c>
    </row>
    <row r="396" spans="1:7">
      <c r="A396" s="5">
        <v>9130880</v>
      </c>
      <c r="B396" t="s">
        <v>17</v>
      </c>
      <c r="D396" s="14" t="str">
        <f t="shared" si="6"/>
        <v>unknown</v>
      </c>
    </row>
    <row r="397" spans="1:7">
      <c r="A397" s="5" t="s">
        <v>29</v>
      </c>
      <c r="B397" t="s">
        <v>17</v>
      </c>
      <c r="D397" s="14" t="str">
        <f t="shared" si="6"/>
        <v>stationary</v>
      </c>
      <c r="F397">
        <v>1</v>
      </c>
    </row>
    <row r="398" spans="1:7">
      <c r="A398" s="5">
        <v>12188410</v>
      </c>
      <c r="B398" t="s">
        <v>17</v>
      </c>
      <c r="D398" s="14" t="str">
        <f t="shared" si="6"/>
        <v>stationary</v>
      </c>
      <c r="F398">
        <v>1</v>
      </c>
    </row>
    <row r="399" spans="1:7">
      <c r="A399" s="3"/>
      <c r="D399" s="14" t="str">
        <f t="shared" si="6"/>
        <v>unknown</v>
      </c>
    </row>
    <row r="400" spans="1:7">
      <c r="A400" s="5">
        <v>5014014</v>
      </c>
      <c r="B400" t="s">
        <v>5</v>
      </c>
      <c r="D400" s="14" t="str">
        <f t="shared" si="6"/>
        <v>stationary</v>
      </c>
      <c r="F400">
        <v>1</v>
      </c>
      <c r="G400">
        <v>64</v>
      </c>
    </row>
    <row r="401" spans="1:7">
      <c r="A401" s="5">
        <v>6034449</v>
      </c>
      <c r="B401" t="s">
        <v>5</v>
      </c>
      <c r="C401">
        <v>18</v>
      </c>
      <c r="D401" s="14" t="str">
        <f t="shared" si="6"/>
        <v>stationary</v>
      </c>
      <c r="F401">
        <v>1</v>
      </c>
      <c r="G401">
        <v>17</v>
      </c>
    </row>
    <row r="402" spans="1:7">
      <c r="A402"/>
      <c r="B402"/>
      <c r="D402" s="14" t="str">
        <f t="shared" si="6"/>
        <v>unknown</v>
      </c>
    </row>
    <row r="403" spans="1:7">
      <c r="A403" s="5">
        <v>3003602</v>
      </c>
      <c r="B403" t="s">
        <v>9</v>
      </c>
      <c r="D403" s="14" t="str">
        <f t="shared" si="6"/>
        <v>stationary</v>
      </c>
      <c r="F403">
        <v>1</v>
      </c>
    </row>
    <row r="404" spans="1:7">
      <c r="A404" s="5">
        <v>3018383</v>
      </c>
      <c r="B404" t="s">
        <v>9</v>
      </c>
      <c r="D404" s="14" t="str">
        <f t="shared" si="6"/>
        <v>stationary</v>
      </c>
      <c r="F404">
        <v>1</v>
      </c>
      <c r="G404">
        <v>10</v>
      </c>
    </row>
    <row r="405" spans="1:7">
      <c r="A405" s="5">
        <v>3900721</v>
      </c>
      <c r="B405" t="s">
        <v>9</v>
      </c>
      <c r="D405" s="14" t="str">
        <f t="shared" si="6"/>
        <v>unknown</v>
      </c>
    </row>
    <row r="406" spans="1:7">
      <c r="A406" s="5">
        <v>3900911</v>
      </c>
      <c r="B406" t="s">
        <v>9</v>
      </c>
      <c r="D406" s="14" t="str">
        <f t="shared" si="6"/>
        <v>stationary</v>
      </c>
      <c r="F406">
        <v>1</v>
      </c>
    </row>
    <row r="407" spans="1:7">
      <c r="A407" s="5">
        <v>4004302</v>
      </c>
      <c r="B407" t="s">
        <v>9</v>
      </c>
      <c r="D407" s="14" t="str">
        <f t="shared" si="6"/>
        <v>stationary</v>
      </c>
      <c r="F407">
        <v>1</v>
      </c>
    </row>
    <row r="408" spans="1:7">
      <c r="A408" s="5">
        <v>4004463</v>
      </c>
      <c r="B408" t="s">
        <v>9</v>
      </c>
      <c r="D408" s="14" t="str">
        <f t="shared" si="6"/>
        <v>stationary</v>
      </c>
      <c r="F408">
        <v>1</v>
      </c>
    </row>
    <row r="409" spans="1:7">
      <c r="A409" s="7">
        <v>4013287</v>
      </c>
      <c r="B409" t="s">
        <v>9</v>
      </c>
      <c r="D409" s="14" t="str">
        <f t="shared" si="6"/>
        <v>ambulant</v>
      </c>
      <c r="E409">
        <v>1</v>
      </c>
    </row>
    <row r="410" spans="1:7">
      <c r="A410" s="5">
        <v>93016241</v>
      </c>
      <c r="B410" t="s">
        <v>9</v>
      </c>
      <c r="D410" s="14" t="str">
        <f t="shared" si="6"/>
        <v>unknown</v>
      </c>
    </row>
    <row r="411" spans="1:7">
      <c r="A411" s="5">
        <v>95007023</v>
      </c>
      <c r="B411" t="s">
        <v>9</v>
      </c>
      <c r="C411">
        <v>7</v>
      </c>
      <c r="D411" s="14" t="str">
        <f t="shared" si="6"/>
        <v>stationary</v>
      </c>
      <c r="F411">
        <v>1</v>
      </c>
      <c r="G411">
        <v>42</v>
      </c>
    </row>
    <row r="412" spans="1:7">
      <c r="A412"/>
      <c r="B412"/>
      <c r="D412" s="14" t="str">
        <f t="shared" si="6"/>
        <v>unknown</v>
      </c>
    </row>
    <row r="413" spans="1:7">
      <c r="A413" s="5">
        <v>3008204</v>
      </c>
      <c r="B413" t="s">
        <v>15</v>
      </c>
      <c r="D413" s="14" t="str">
        <f t="shared" si="6"/>
        <v>stationary</v>
      </c>
      <c r="F413">
        <v>1</v>
      </c>
    </row>
    <row r="414" spans="1:7">
      <c r="A414" s="5">
        <v>11186565</v>
      </c>
      <c r="B414" t="s">
        <v>15</v>
      </c>
      <c r="D414" s="14" t="str">
        <f t="shared" si="6"/>
        <v>stationary</v>
      </c>
      <c r="F414">
        <v>1</v>
      </c>
    </row>
    <row r="415" spans="1:7">
      <c r="A415"/>
      <c r="B415"/>
      <c r="D415" s="14" t="str">
        <f t="shared" si="6"/>
        <v>unknown</v>
      </c>
    </row>
    <row r="416" spans="1:7">
      <c r="A416" s="5" t="s">
        <v>30</v>
      </c>
      <c r="B416" t="s">
        <v>17</v>
      </c>
      <c r="C416">
        <v>300</v>
      </c>
      <c r="D416" s="14" t="str">
        <f t="shared" si="6"/>
        <v>ambulant</v>
      </c>
      <c r="E416">
        <v>1</v>
      </c>
    </row>
    <row r="417" spans="1:7">
      <c r="A417" s="5">
        <v>3019249</v>
      </c>
      <c r="B417" t="s">
        <v>17</v>
      </c>
      <c r="D417" s="14" t="str">
        <f t="shared" si="6"/>
        <v>stationary</v>
      </c>
      <c r="F417">
        <v>1</v>
      </c>
      <c r="G417">
        <v>14</v>
      </c>
    </row>
    <row r="418" spans="1:7">
      <c r="A418" s="5">
        <v>6064311</v>
      </c>
      <c r="B418" t="s">
        <v>17</v>
      </c>
      <c r="C418">
        <v>58</v>
      </c>
      <c r="D418" s="14" t="str">
        <f t="shared" si="6"/>
        <v>stationary</v>
      </c>
      <c r="F418">
        <v>1</v>
      </c>
    </row>
    <row r="419" spans="1:7">
      <c r="A419" s="5">
        <v>8019333</v>
      </c>
      <c r="B419" t="s">
        <v>17</v>
      </c>
      <c r="C419">
        <v>3</v>
      </c>
      <c r="D419" s="14" t="str">
        <f t="shared" si="6"/>
        <v>stationary</v>
      </c>
      <c r="F419">
        <v>1</v>
      </c>
      <c r="G419">
        <v>9</v>
      </c>
    </row>
    <row r="420" spans="1:7">
      <c r="A420" s="5">
        <v>11034329</v>
      </c>
      <c r="B420" t="s">
        <v>17</v>
      </c>
      <c r="C420">
        <v>30</v>
      </c>
      <c r="D420" s="14" t="str">
        <f t="shared" si="6"/>
        <v>ambulant</v>
      </c>
      <c r="E420">
        <v>1</v>
      </c>
    </row>
    <row r="421" spans="1:7">
      <c r="A421" s="29"/>
    </row>
    <row r="422" spans="1:7">
      <c r="A422" s="29"/>
    </row>
    <row r="423" spans="1:7">
      <c r="A423" s="29"/>
    </row>
    <row r="424" spans="1:7">
      <c r="A424" s="29"/>
    </row>
    <row r="425" spans="1:7">
      <c r="A425" s="29"/>
    </row>
    <row r="426" spans="1:7">
      <c r="A426" s="29"/>
    </row>
    <row r="427" spans="1:7">
      <c r="A427" s="29"/>
    </row>
    <row r="428" spans="1:7">
      <c r="A428" s="29"/>
    </row>
    <row r="429" spans="1:7">
      <c r="A429" s="29"/>
    </row>
    <row r="430" spans="1:7">
      <c r="A430" s="29"/>
    </row>
    <row r="431" spans="1:7">
      <c r="A431" s="29"/>
    </row>
  </sheetData>
  <conditionalFormatting sqref="A16">
    <cfRule type="duplicateValues" dxfId="5" priority="1"/>
  </conditionalFormatting>
  <conditionalFormatting sqref="A1:B1">
    <cfRule type="duplicateValues" dxfId="4" priority="3"/>
  </conditionalFormatting>
  <conditionalFormatting sqref="B349:B352">
    <cfRule type="duplicateValues" dxfId="3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BB2C-4947-4117-8858-D8267BB3E5E0}">
  <dimension ref="A1:J431"/>
  <sheetViews>
    <sheetView topLeftCell="A394" workbookViewId="0">
      <selection activeCell="I314" sqref="I314"/>
    </sheetView>
  </sheetViews>
  <sheetFormatPr baseColWidth="10" defaultRowHeight="14.25"/>
  <cols>
    <col min="1" max="1" width="23.875" style="3" customWidth="1"/>
    <col min="2" max="2" width="11.875" style="3" customWidth="1"/>
    <col min="3" max="3" width="35.5" customWidth="1"/>
    <col min="4" max="4" width="36.75" customWidth="1"/>
    <col min="5" max="5" width="11.125" customWidth="1"/>
  </cols>
  <sheetData>
    <row r="1" spans="1:10" ht="15">
      <c r="A1" s="26" t="s">
        <v>0</v>
      </c>
      <c r="B1" s="9" t="s">
        <v>1</v>
      </c>
      <c r="C1" s="10" t="s">
        <v>24</v>
      </c>
      <c r="D1" s="10" t="s">
        <v>25</v>
      </c>
      <c r="E1" t="s">
        <v>31</v>
      </c>
      <c r="H1" t="s">
        <v>33</v>
      </c>
      <c r="I1" t="s">
        <v>34</v>
      </c>
      <c r="J1" t="s">
        <v>35</v>
      </c>
    </row>
    <row r="2" spans="1:10">
      <c r="A2" s="27">
        <v>7072184</v>
      </c>
      <c r="B2" s="13" t="s">
        <v>2</v>
      </c>
      <c r="C2" s="14" t="s">
        <v>32</v>
      </c>
      <c r="D2" s="14" t="s">
        <v>32</v>
      </c>
      <c r="E2" t="e">
        <f>D2-C2</f>
        <v>#VALUE!</v>
      </c>
      <c r="H2" s="2" t="e">
        <v>#VALUE!</v>
      </c>
      <c r="I2" s="2" t="e">
        <v>#VALUE!</v>
      </c>
      <c r="J2" s="2" t="e">
        <v>#VALUE!</v>
      </c>
    </row>
    <row r="3" spans="1:10">
      <c r="A3" s="13">
        <v>9108231</v>
      </c>
      <c r="B3" s="13" t="s">
        <v>2</v>
      </c>
      <c r="C3" s="17" t="s">
        <v>32</v>
      </c>
      <c r="D3" s="17" t="s">
        <v>32</v>
      </c>
      <c r="E3" t="e">
        <f t="shared" ref="E3:E66" si="0">D3-C3</f>
        <v>#VALUE!</v>
      </c>
      <c r="H3" s="30" t="e">
        <v>#VALUE!</v>
      </c>
      <c r="I3" s="30">
        <v>0</v>
      </c>
      <c r="J3" s="30" t="e">
        <v>#VALUE!</v>
      </c>
    </row>
    <row r="4" spans="1:10">
      <c r="A4" s="13">
        <v>12061933</v>
      </c>
      <c r="B4" s="13" t="s">
        <v>2</v>
      </c>
      <c r="C4" s="19" t="s">
        <v>32</v>
      </c>
      <c r="D4" s="19" t="s">
        <v>32</v>
      </c>
      <c r="E4" t="e">
        <f t="shared" si="0"/>
        <v>#VALUE!</v>
      </c>
      <c r="H4" s="2" t="e">
        <v>#VALUE!</v>
      </c>
      <c r="I4" s="2">
        <v>1</v>
      </c>
      <c r="J4" s="2">
        <v>7</v>
      </c>
    </row>
    <row r="5" spans="1:10">
      <c r="A5" s="13">
        <v>95005911</v>
      </c>
      <c r="B5" s="13" t="s">
        <v>2</v>
      </c>
      <c r="C5" s="17">
        <v>36</v>
      </c>
      <c r="D5" s="17">
        <v>36</v>
      </c>
      <c r="E5">
        <f t="shared" si="0"/>
        <v>0</v>
      </c>
      <c r="H5" s="30">
        <v>0</v>
      </c>
      <c r="I5" s="30" t="e">
        <v>#VALUE!</v>
      </c>
      <c r="J5" s="30" t="e">
        <v>#VALUE!</v>
      </c>
    </row>
    <row r="6" spans="1:10">
      <c r="A6" s="13">
        <v>99001908</v>
      </c>
      <c r="B6" s="13" t="s">
        <v>2</v>
      </c>
      <c r="C6" s="19">
        <v>44</v>
      </c>
      <c r="D6" s="19">
        <v>44</v>
      </c>
      <c r="E6">
        <f t="shared" si="0"/>
        <v>0</v>
      </c>
      <c r="H6" s="2">
        <v>0</v>
      </c>
      <c r="I6" s="2" t="e">
        <v>#VALUE!</v>
      </c>
      <c r="J6" s="2">
        <v>0</v>
      </c>
    </row>
    <row r="7" spans="1:10">
      <c r="A7" s="13">
        <v>99004067</v>
      </c>
      <c r="B7" s="13" t="s">
        <v>2</v>
      </c>
      <c r="C7" s="17" t="s">
        <v>32</v>
      </c>
      <c r="D7" s="17" t="s">
        <v>32</v>
      </c>
      <c r="E7" t="e">
        <f t="shared" si="0"/>
        <v>#VALUE!</v>
      </c>
      <c r="H7" s="30" t="e">
        <v>#VALUE!</v>
      </c>
      <c r="I7" s="30" t="e">
        <v>#VALUE!</v>
      </c>
      <c r="J7" s="30" t="e">
        <v>#VALUE!</v>
      </c>
    </row>
    <row r="8" spans="1:10">
      <c r="A8" s="13">
        <v>97002136</v>
      </c>
      <c r="B8" s="13" t="s">
        <v>2</v>
      </c>
      <c r="C8" s="19" t="s">
        <v>32</v>
      </c>
      <c r="D8" s="19" t="s">
        <v>32</v>
      </c>
      <c r="E8" t="e">
        <f t="shared" si="0"/>
        <v>#VALUE!</v>
      </c>
      <c r="H8" s="2" t="e">
        <v>#VALUE!</v>
      </c>
      <c r="I8" s="2">
        <v>0</v>
      </c>
      <c r="J8" s="2" t="e">
        <v>#VALUE!</v>
      </c>
    </row>
    <row r="9" spans="1:10">
      <c r="A9" s="13">
        <v>1502</v>
      </c>
      <c r="B9" s="13" t="s">
        <v>2</v>
      </c>
      <c r="C9" s="17" t="s">
        <v>32</v>
      </c>
      <c r="D9" s="17" t="s">
        <v>32</v>
      </c>
      <c r="E9" t="e">
        <f t="shared" si="0"/>
        <v>#VALUE!</v>
      </c>
      <c r="H9" s="30" t="e">
        <v>#VALUE!</v>
      </c>
      <c r="I9" s="30">
        <v>4</v>
      </c>
      <c r="J9" s="30">
        <v>-18</v>
      </c>
    </row>
    <row r="10" spans="1:10">
      <c r="A10" s="13">
        <v>4003543</v>
      </c>
      <c r="B10" s="13" t="s">
        <v>2</v>
      </c>
      <c r="C10" s="19">
        <v>12</v>
      </c>
      <c r="D10" s="19">
        <v>12</v>
      </c>
      <c r="E10">
        <f t="shared" si="0"/>
        <v>0</v>
      </c>
      <c r="H10" s="2">
        <v>0</v>
      </c>
      <c r="I10" s="2">
        <v>-25</v>
      </c>
      <c r="J10" s="2">
        <v>1</v>
      </c>
    </row>
    <row r="11" spans="1:10">
      <c r="A11" s="13">
        <v>4900261</v>
      </c>
      <c r="B11" s="13" t="s">
        <v>2</v>
      </c>
      <c r="C11" s="17" t="s">
        <v>32</v>
      </c>
      <c r="D11" s="17" t="s">
        <v>32</v>
      </c>
      <c r="E11" t="e">
        <f t="shared" si="0"/>
        <v>#VALUE!</v>
      </c>
      <c r="H11" s="30" t="e">
        <v>#VALUE!</v>
      </c>
      <c r="I11" s="30">
        <v>13</v>
      </c>
      <c r="J11" s="30">
        <v>1</v>
      </c>
    </row>
    <row r="12" spans="1:10">
      <c r="A12" s="13"/>
      <c r="B12" s="13"/>
      <c r="C12" s="19" t="s">
        <v>32</v>
      </c>
      <c r="D12" s="19" t="s">
        <v>32</v>
      </c>
      <c r="E12" t="e">
        <f t="shared" si="0"/>
        <v>#VALUE!</v>
      </c>
      <c r="H12" s="2" t="e">
        <v>#VALUE!</v>
      </c>
      <c r="I12" s="2" t="e">
        <v>#VALUE!</v>
      </c>
      <c r="J12" s="2">
        <v>2</v>
      </c>
    </row>
    <row r="13" spans="1:10">
      <c r="A13" s="13">
        <v>14242856</v>
      </c>
      <c r="B13" s="13" t="s">
        <v>3</v>
      </c>
      <c r="C13" s="17" t="s">
        <v>32</v>
      </c>
      <c r="D13" s="17" t="s">
        <v>32</v>
      </c>
      <c r="E13" t="e">
        <f t="shared" si="0"/>
        <v>#VALUE!</v>
      </c>
      <c r="H13" s="30" t="e">
        <v>#VALUE!</v>
      </c>
      <c r="I13" s="30">
        <v>0</v>
      </c>
      <c r="J13" s="30">
        <v>1</v>
      </c>
    </row>
    <row r="14" spans="1:10">
      <c r="A14" s="13">
        <v>99001183</v>
      </c>
      <c r="B14" s="13" t="s">
        <v>3</v>
      </c>
      <c r="C14" s="19">
        <v>17</v>
      </c>
      <c r="D14" s="19">
        <v>17</v>
      </c>
      <c r="E14">
        <f t="shared" si="0"/>
        <v>0</v>
      </c>
      <c r="H14" s="2" t="e">
        <v>#VALUE!</v>
      </c>
      <c r="I14" s="2">
        <v>8</v>
      </c>
      <c r="J14" s="2">
        <v>1</v>
      </c>
    </row>
    <row r="15" spans="1:10">
      <c r="A15" s="13">
        <v>3000983</v>
      </c>
      <c r="B15" s="13" t="s">
        <v>3</v>
      </c>
      <c r="C15" s="17">
        <v>404</v>
      </c>
      <c r="D15" s="17">
        <v>405</v>
      </c>
      <c r="E15">
        <f t="shared" si="0"/>
        <v>1</v>
      </c>
      <c r="H15" s="30">
        <v>0</v>
      </c>
      <c r="I15" s="30" t="e">
        <v>#VALUE!</v>
      </c>
      <c r="J15" s="30">
        <v>-38</v>
      </c>
    </row>
    <row r="16" spans="1:10">
      <c r="A16" s="13">
        <v>10064335</v>
      </c>
      <c r="B16" s="13" t="s">
        <v>3</v>
      </c>
      <c r="C16" s="19" t="s">
        <v>32</v>
      </c>
      <c r="D16" s="19" t="s">
        <v>32</v>
      </c>
      <c r="E16" t="e">
        <f t="shared" si="0"/>
        <v>#VALUE!</v>
      </c>
      <c r="H16" s="2" t="e">
        <v>#VALUE!</v>
      </c>
      <c r="I16" s="2">
        <v>0</v>
      </c>
      <c r="J16" s="2">
        <v>-4</v>
      </c>
    </row>
    <row r="17" spans="1:10">
      <c r="A17" s="22"/>
      <c r="B17" s="22"/>
      <c r="C17" s="17" t="s">
        <v>32</v>
      </c>
      <c r="D17" s="17" t="s">
        <v>32</v>
      </c>
      <c r="E17" t="e">
        <f t="shared" si="0"/>
        <v>#VALUE!</v>
      </c>
      <c r="H17" s="30">
        <v>0</v>
      </c>
      <c r="I17" s="30" t="e">
        <v>#VALUE!</v>
      </c>
      <c r="J17" s="30">
        <v>3</v>
      </c>
    </row>
    <row r="18" spans="1:10">
      <c r="A18" s="13">
        <v>1480</v>
      </c>
      <c r="B18" s="13" t="s">
        <v>4</v>
      </c>
      <c r="C18" s="19" t="s">
        <v>32</v>
      </c>
      <c r="D18" s="19" t="s">
        <v>32</v>
      </c>
      <c r="E18" t="e">
        <f t="shared" si="0"/>
        <v>#VALUE!</v>
      </c>
      <c r="H18" s="2" t="e">
        <v>#VALUE!</v>
      </c>
      <c r="I18" s="2" t="e">
        <v>#VALUE!</v>
      </c>
      <c r="J18" s="2" t="e">
        <v>#VALUE!</v>
      </c>
    </row>
    <row r="19" spans="1:10">
      <c r="A19" s="13">
        <v>7063959</v>
      </c>
      <c r="B19" s="13" t="s">
        <v>4</v>
      </c>
      <c r="C19" s="17" t="s">
        <v>32</v>
      </c>
      <c r="D19" s="17" t="s">
        <v>32</v>
      </c>
      <c r="E19" t="e">
        <f t="shared" si="0"/>
        <v>#VALUE!</v>
      </c>
      <c r="H19" s="30" t="e">
        <v>#VALUE!</v>
      </c>
      <c r="I19" s="30" t="e">
        <v>#VALUE!</v>
      </c>
      <c r="J19" s="30" t="e">
        <v>#VALUE!</v>
      </c>
    </row>
    <row r="20" spans="1:10">
      <c r="A20" s="13">
        <v>1003215</v>
      </c>
      <c r="B20" s="13" t="s">
        <v>4</v>
      </c>
      <c r="C20" s="19">
        <v>15</v>
      </c>
      <c r="D20" s="19">
        <v>22</v>
      </c>
      <c r="E20">
        <f t="shared" si="0"/>
        <v>7</v>
      </c>
      <c r="H20" s="2" t="e">
        <v>#VALUE!</v>
      </c>
      <c r="I20" s="2" t="e">
        <v>#VALUE!</v>
      </c>
      <c r="J20" s="2" t="e">
        <v>#VALUE!</v>
      </c>
    </row>
    <row r="21" spans="1:10">
      <c r="A21" s="13">
        <v>99000802</v>
      </c>
      <c r="B21" s="13" t="s">
        <v>4</v>
      </c>
      <c r="C21" s="17" t="s">
        <v>32</v>
      </c>
      <c r="D21" s="17" t="s">
        <v>32</v>
      </c>
      <c r="E21" t="e">
        <f t="shared" si="0"/>
        <v>#VALUE!</v>
      </c>
      <c r="H21" s="30" t="e">
        <v>#VALUE!</v>
      </c>
      <c r="I21" s="30" t="e">
        <v>#VALUE!</v>
      </c>
      <c r="J21" s="30">
        <v>10</v>
      </c>
    </row>
    <row r="22" spans="1:10">
      <c r="A22" s="13">
        <v>99000892</v>
      </c>
      <c r="B22" s="13" t="s">
        <v>4</v>
      </c>
      <c r="C22" s="19">
        <v>16</v>
      </c>
      <c r="D22" s="19">
        <v>16</v>
      </c>
      <c r="E22">
        <f t="shared" si="0"/>
        <v>0</v>
      </c>
      <c r="H22" s="2" t="e">
        <v>#VALUE!</v>
      </c>
      <c r="I22" s="2" t="e">
        <v>#VALUE!</v>
      </c>
      <c r="J22" s="2" t="e">
        <v>#VALUE!</v>
      </c>
    </row>
    <row r="23" spans="1:10">
      <c r="A23" s="13">
        <v>1000192</v>
      </c>
      <c r="B23" s="13" t="s">
        <v>4</v>
      </c>
      <c r="C23" s="17" t="s">
        <v>32</v>
      </c>
      <c r="D23" s="17" t="s">
        <v>32</v>
      </c>
      <c r="E23" t="e">
        <f t="shared" si="0"/>
        <v>#VALUE!</v>
      </c>
      <c r="H23" s="30" t="e">
        <v>#VALUE!</v>
      </c>
      <c r="I23" s="30" t="e">
        <v>#VALUE!</v>
      </c>
      <c r="J23" s="30">
        <v>6</v>
      </c>
    </row>
    <row r="24" spans="1:10">
      <c r="A24" s="13">
        <v>1506</v>
      </c>
      <c r="B24" s="13" t="s">
        <v>4</v>
      </c>
      <c r="C24" s="19" t="s">
        <v>32</v>
      </c>
      <c r="D24" s="19" t="s">
        <v>32</v>
      </c>
      <c r="E24" t="e">
        <f t="shared" si="0"/>
        <v>#VALUE!</v>
      </c>
      <c r="H24" s="2" t="e">
        <v>#VALUE!</v>
      </c>
      <c r="I24" s="2">
        <v>1</v>
      </c>
      <c r="J24" s="2">
        <v>2</v>
      </c>
    </row>
    <row r="25" spans="1:10">
      <c r="A25" s="13">
        <v>99000894</v>
      </c>
      <c r="B25" s="13" t="s">
        <v>4</v>
      </c>
      <c r="C25" s="17">
        <v>45</v>
      </c>
      <c r="D25" s="17">
        <v>27</v>
      </c>
      <c r="E25">
        <f t="shared" si="0"/>
        <v>-18</v>
      </c>
      <c r="H25" s="30" t="e">
        <v>#VALUE!</v>
      </c>
      <c r="I25" s="30" t="e">
        <v>#VALUE!</v>
      </c>
      <c r="J25" s="30" t="e">
        <v>#VALUE!</v>
      </c>
    </row>
    <row r="26" spans="1:10">
      <c r="A26" s="13">
        <v>99000897</v>
      </c>
      <c r="B26" s="13" t="s">
        <v>4</v>
      </c>
      <c r="C26" s="19">
        <v>18</v>
      </c>
      <c r="D26" s="19">
        <v>19</v>
      </c>
      <c r="E26">
        <f t="shared" si="0"/>
        <v>1</v>
      </c>
      <c r="H26" s="2" t="e">
        <v>#VALUE!</v>
      </c>
      <c r="I26" s="2" t="e">
        <v>#VALUE!</v>
      </c>
      <c r="J26" s="2" t="e">
        <v>#VALUE!</v>
      </c>
    </row>
    <row r="27" spans="1:10">
      <c r="A27" s="13">
        <v>99001245</v>
      </c>
      <c r="B27" s="13" t="s">
        <v>4</v>
      </c>
      <c r="C27" s="17">
        <v>7</v>
      </c>
      <c r="D27" s="17">
        <v>8</v>
      </c>
      <c r="E27">
        <f t="shared" si="0"/>
        <v>1</v>
      </c>
      <c r="H27" s="30" t="e">
        <v>#VALUE!</v>
      </c>
      <c r="I27" s="30" t="e">
        <v>#VALUE!</v>
      </c>
      <c r="J27" s="30" t="e">
        <v>#VALUE!</v>
      </c>
    </row>
    <row r="28" spans="1:10">
      <c r="A28" s="13">
        <v>99001902</v>
      </c>
      <c r="B28" s="13" t="s">
        <v>4</v>
      </c>
      <c r="C28" s="19">
        <v>15</v>
      </c>
      <c r="D28" s="19">
        <v>17</v>
      </c>
      <c r="E28">
        <f t="shared" si="0"/>
        <v>2</v>
      </c>
      <c r="H28" s="2" t="e">
        <v>#VALUE!</v>
      </c>
      <c r="I28" s="2">
        <v>0</v>
      </c>
      <c r="J28" s="2" t="e">
        <v>#VALUE!</v>
      </c>
    </row>
    <row r="29" spans="1:10">
      <c r="A29" s="13">
        <v>99001912</v>
      </c>
      <c r="B29" s="13" t="s">
        <v>4</v>
      </c>
      <c r="C29" s="17">
        <v>34</v>
      </c>
      <c r="D29" s="17">
        <v>35</v>
      </c>
      <c r="E29">
        <f t="shared" si="0"/>
        <v>1</v>
      </c>
      <c r="H29" s="30" t="e">
        <v>#VALUE!</v>
      </c>
      <c r="I29" s="30" t="e">
        <v>#VALUE!</v>
      </c>
      <c r="J29" s="30" t="e">
        <v>#VALUE!</v>
      </c>
    </row>
    <row r="30" spans="1:10">
      <c r="A30" s="13">
        <v>99001913</v>
      </c>
      <c r="B30" s="13" t="s">
        <v>4</v>
      </c>
      <c r="C30" s="19">
        <v>26</v>
      </c>
      <c r="D30" s="19">
        <v>27</v>
      </c>
      <c r="E30">
        <f t="shared" si="0"/>
        <v>1</v>
      </c>
      <c r="H30" s="2" t="e">
        <v>#VALUE!</v>
      </c>
      <c r="I30" s="2" t="e">
        <v>#VALUE!</v>
      </c>
      <c r="J30" s="2" t="e">
        <v>#VALUE!</v>
      </c>
    </row>
    <row r="31" spans="1:10">
      <c r="A31" s="13">
        <v>99001937</v>
      </c>
      <c r="B31" s="13" t="s">
        <v>4</v>
      </c>
      <c r="C31" s="17">
        <v>70</v>
      </c>
      <c r="D31" s="17">
        <v>32</v>
      </c>
      <c r="E31">
        <f t="shared" si="0"/>
        <v>-38</v>
      </c>
      <c r="H31" s="30" t="e">
        <v>#VALUE!</v>
      </c>
      <c r="I31" s="30" t="e">
        <v>#VALUE!</v>
      </c>
      <c r="J31" s="30" t="e">
        <v>#VALUE!</v>
      </c>
    </row>
    <row r="32" spans="1:10">
      <c r="A32" s="13">
        <v>99001943</v>
      </c>
      <c r="B32" s="13" t="s">
        <v>4</v>
      </c>
      <c r="C32" s="19">
        <v>39</v>
      </c>
      <c r="D32" s="19">
        <v>35</v>
      </c>
      <c r="E32">
        <f t="shared" si="0"/>
        <v>-4</v>
      </c>
      <c r="H32" s="2" t="e">
        <v>#VALUE!</v>
      </c>
      <c r="I32" s="2" t="e">
        <v>#VALUE!</v>
      </c>
      <c r="J32" s="2" t="e">
        <v>#VALUE!</v>
      </c>
    </row>
    <row r="33" spans="1:10">
      <c r="A33" s="13">
        <v>99001927</v>
      </c>
      <c r="B33" s="13" t="s">
        <v>4</v>
      </c>
      <c r="C33" s="17">
        <v>44</v>
      </c>
      <c r="D33" s="17">
        <v>47</v>
      </c>
      <c r="E33">
        <f t="shared" si="0"/>
        <v>3</v>
      </c>
      <c r="H33" s="30" t="e">
        <v>#VALUE!</v>
      </c>
      <c r="I33" s="30" t="e">
        <v>#VALUE!</v>
      </c>
      <c r="J33" s="30" t="e">
        <v>#VALUE!</v>
      </c>
    </row>
    <row r="34" spans="1:10">
      <c r="A34" s="13">
        <v>1505</v>
      </c>
      <c r="B34" s="13" t="s">
        <v>4</v>
      </c>
      <c r="C34" s="19" t="s">
        <v>32</v>
      </c>
      <c r="D34" s="19" t="s">
        <v>32</v>
      </c>
      <c r="E34" t="e">
        <f t="shared" si="0"/>
        <v>#VALUE!</v>
      </c>
      <c r="H34" s="2" t="e">
        <v>#VALUE!</v>
      </c>
      <c r="I34" s="2" t="e">
        <v>#VALUE!</v>
      </c>
      <c r="J34" s="2" t="e">
        <v>#VALUE!</v>
      </c>
    </row>
    <row r="35" spans="1:10">
      <c r="A35" s="13">
        <v>1000197</v>
      </c>
      <c r="B35" s="13" t="s">
        <v>4</v>
      </c>
      <c r="C35" s="17" t="s">
        <v>32</v>
      </c>
      <c r="D35" s="17" t="s">
        <v>32</v>
      </c>
      <c r="E35" t="e">
        <f t="shared" si="0"/>
        <v>#VALUE!</v>
      </c>
      <c r="H35" s="30" t="e">
        <v>#VALUE!</v>
      </c>
      <c r="I35" s="30" t="e">
        <v>#VALUE!</v>
      </c>
      <c r="J35" s="30" t="e">
        <v>#VALUE!</v>
      </c>
    </row>
    <row r="36" spans="1:10">
      <c r="A36" s="13">
        <v>96018835</v>
      </c>
      <c r="B36" s="13" t="s">
        <v>4</v>
      </c>
      <c r="C36" s="19" t="s">
        <v>32</v>
      </c>
      <c r="D36" s="19" t="s">
        <v>32</v>
      </c>
      <c r="E36" t="e">
        <f t="shared" si="0"/>
        <v>#VALUE!</v>
      </c>
      <c r="H36" s="2" t="e">
        <v>#VALUE!</v>
      </c>
      <c r="I36" s="2" t="e">
        <v>#VALUE!</v>
      </c>
      <c r="J36" s="2">
        <v>0</v>
      </c>
    </row>
    <row r="37" spans="1:10">
      <c r="A37" s="13">
        <v>98008326</v>
      </c>
      <c r="B37" s="13" t="s">
        <v>4</v>
      </c>
      <c r="C37" s="17">
        <v>15</v>
      </c>
      <c r="D37" s="17">
        <v>25</v>
      </c>
      <c r="E37">
        <f t="shared" si="0"/>
        <v>10</v>
      </c>
      <c r="H37" s="30" t="e">
        <v>#VALUE!</v>
      </c>
      <c r="I37" s="30">
        <v>0</v>
      </c>
      <c r="J37" s="30" t="e">
        <v>#VALUE!</v>
      </c>
    </row>
    <row r="38" spans="1:10">
      <c r="A38" s="13">
        <v>99000717</v>
      </c>
      <c r="B38" s="13" t="s">
        <v>4</v>
      </c>
      <c r="C38" s="19" t="s">
        <v>32</v>
      </c>
      <c r="D38" s="19" t="s">
        <v>32</v>
      </c>
      <c r="E38" t="e">
        <f t="shared" si="0"/>
        <v>#VALUE!</v>
      </c>
      <c r="H38" s="2" t="e">
        <v>#VALUE!</v>
      </c>
      <c r="I38" s="2">
        <v>11</v>
      </c>
      <c r="J38" s="2" t="e">
        <v>#VALUE!</v>
      </c>
    </row>
    <row r="39" spans="1:10">
      <c r="A39" s="13"/>
      <c r="B39" s="13"/>
      <c r="C39" s="17" t="s">
        <v>32</v>
      </c>
      <c r="D39" s="17" t="s">
        <v>32</v>
      </c>
      <c r="E39" t="e">
        <f t="shared" si="0"/>
        <v>#VALUE!</v>
      </c>
      <c r="H39" s="30" t="e">
        <v>#VALUE!</v>
      </c>
      <c r="I39" s="30" t="e">
        <v>#VALUE!</v>
      </c>
      <c r="J39" s="30" t="e">
        <v>#VALUE!</v>
      </c>
    </row>
    <row r="40" spans="1:10">
      <c r="A40" s="13">
        <v>6016435</v>
      </c>
      <c r="B40" s="13" t="s">
        <v>5</v>
      </c>
      <c r="C40" s="19" t="s">
        <v>32</v>
      </c>
      <c r="D40" s="19" t="s">
        <v>32</v>
      </c>
      <c r="E40" t="e">
        <f t="shared" si="0"/>
        <v>#VALUE!</v>
      </c>
      <c r="H40" s="2" t="e">
        <v>#VALUE!</v>
      </c>
      <c r="I40" s="2" t="e">
        <v>#VALUE!</v>
      </c>
      <c r="J40" s="2" t="e">
        <v>#VALUE!</v>
      </c>
    </row>
    <row r="41" spans="1:10">
      <c r="A41" s="13">
        <v>8045149</v>
      </c>
      <c r="B41" s="13" t="s">
        <v>5</v>
      </c>
      <c r="C41" s="17" t="s">
        <v>32</v>
      </c>
      <c r="D41" s="17" t="s">
        <v>32</v>
      </c>
      <c r="E41" t="e">
        <f t="shared" si="0"/>
        <v>#VALUE!</v>
      </c>
      <c r="H41" s="30" t="e">
        <v>#VALUE!</v>
      </c>
      <c r="I41" s="30" t="e">
        <v>#VALUE!</v>
      </c>
      <c r="J41" s="30">
        <v>10</v>
      </c>
    </row>
    <row r="42" spans="1:10">
      <c r="A42" s="13">
        <v>10023001</v>
      </c>
      <c r="B42" s="13" t="s">
        <v>5</v>
      </c>
      <c r="C42" s="19" t="s">
        <v>32</v>
      </c>
      <c r="D42" s="19" t="s">
        <v>32</v>
      </c>
      <c r="E42" t="e">
        <f t="shared" si="0"/>
        <v>#VALUE!</v>
      </c>
      <c r="H42" s="2" t="e">
        <v>#VALUE!</v>
      </c>
      <c r="I42" s="2">
        <v>-2</v>
      </c>
      <c r="J42" s="2" t="e">
        <v>#VALUE!</v>
      </c>
    </row>
    <row r="43" spans="1:10">
      <c r="A43" s="13">
        <v>10027526</v>
      </c>
      <c r="B43" s="13" t="s">
        <v>5</v>
      </c>
      <c r="C43" s="17">
        <v>3</v>
      </c>
      <c r="D43" s="17">
        <v>3</v>
      </c>
      <c r="E43">
        <f t="shared" si="0"/>
        <v>0</v>
      </c>
      <c r="H43" s="30" t="e">
        <v>#VALUE!</v>
      </c>
      <c r="I43" s="30" t="e">
        <v>#VALUE!</v>
      </c>
      <c r="J43" s="30" t="e">
        <v>#VALUE!</v>
      </c>
    </row>
    <row r="44" spans="1:10">
      <c r="A44" s="13">
        <v>14222171</v>
      </c>
      <c r="B44" s="13" t="s">
        <v>5</v>
      </c>
      <c r="C44" s="19" t="s">
        <v>32</v>
      </c>
      <c r="D44" s="19" t="s">
        <v>32</v>
      </c>
      <c r="E44" t="e">
        <f t="shared" si="0"/>
        <v>#VALUE!</v>
      </c>
      <c r="H44" s="2">
        <v>-7</v>
      </c>
      <c r="I44" s="2">
        <v>0</v>
      </c>
      <c r="J44" s="2" t="e">
        <v>#VALUE!</v>
      </c>
    </row>
    <row r="45" spans="1:10">
      <c r="A45" s="13">
        <v>1006143</v>
      </c>
      <c r="B45" s="13" t="s">
        <v>5</v>
      </c>
      <c r="C45" s="17">
        <v>15</v>
      </c>
      <c r="D45" s="17">
        <v>15</v>
      </c>
      <c r="E45">
        <f t="shared" si="0"/>
        <v>0</v>
      </c>
      <c r="H45" s="30" t="e">
        <v>#VALUE!</v>
      </c>
      <c r="I45" s="30" t="e">
        <v>#VALUE!</v>
      </c>
      <c r="J45" s="30" t="e">
        <v>#VALUE!</v>
      </c>
    </row>
    <row r="46" spans="1:10">
      <c r="A46" s="13">
        <v>6006917</v>
      </c>
      <c r="B46" s="13" t="s">
        <v>5</v>
      </c>
      <c r="C46" s="19" t="s">
        <v>32</v>
      </c>
      <c r="D46" s="19" t="s">
        <v>32</v>
      </c>
      <c r="E46" t="e">
        <f t="shared" si="0"/>
        <v>#VALUE!</v>
      </c>
      <c r="H46" s="2" t="e">
        <v>#VALUE!</v>
      </c>
      <c r="I46" s="2">
        <v>-5</v>
      </c>
      <c r="J46" s="2" t="e">
        <v>#VALUE!</v>
      </c>
    </row>
    <row r="47" spans="1:10">
      <c r="A47" s="13"/>
      <c r="B47" s="13"/>
      <c r="C47" s="17" t="s">
        <v>32</v>
      </c>
      <c r="D47" s="17" t="s">
        <v>32</v>
      </c>
      <c r="E47" t="e">
        <f t="shared" si="0"/>
        <v>#VALUE!</v>
      </c>
      <c r="H47" s="30" t="e">
        <v>#VALUE!</v>
      </c>
      <c r="I47" s="30">
        <v>6</v>
      </c>
      <c r="J47" s="30" t="e">
        <v>#VALUE!</v>
      </c>
    </row>
    <row r="48" spans="1:10">
      <c r="A48" s="13">
        <v>8057159</v>
      </c>
      <c r="B48" s="13" t="s">
        <v>6</v>
      </c>
      <c r="C48" s="19" t="s">
        <v>32</v>
      </c>
      <c r="D48" s="19">
        <v>11</v>
      </c>
      <c r="E48" t="e">
        <f t="shared" si="0"/>
        <v>#VALUE!</v>
      </c>
      <c r="H48" s="2">
        <v>3</v>
      </c>
      <c r="I48" s="2">
        <v>0</v>
      </c>
      <c r="J48" s="2" t="e">
        <v>#VALUE!</v>
      </c>
    </row>
    <row r="49" spans="1:10">
      <c r="A49" s="13">
        <v>9140312</v>
      </c>
      <c r="B49" s="13" t="s">
        <v>6</v>
      </c>
      <c r="C49" s="17" t="s">
        <v>32</v>
      </c>
      <c r="D49" s="17" t="s">
        <v>32</v>
      </c>
      <c r="E49" t="e">
        <f t="shared" si="0"/>
        <v>#VALUE!</v>
      </c>
      <c r="H49" s="30">
        <v>3</v>
      </c>
      <c r="I49" s="30">
        <v>0</v>
      </c>
      <c r="J49" s="30" t="e">
        <v>#VALUE!</v>
      </c>
    </row>
    <row r="50" spans="1:10">
      <c r="A50" s="13">
        <v>12008230</v>
      </c>
      <c r="B50" s="13" t="s">
        <v>6</v>
      </c>
      <c r="C50" s="19">
        <v>12</v>
      </c>
      <c r="D50" s="19">
        <v>12</v>
      </c>
      <c r="E50">
        <f t="shared" si="0"/>
        <v>0</v>
      </c>
      <c r="H50" s="2">
        <v>-9</v>
      </c>
      <c r="I50" s="2">
        <v>27</v>
      </c>
      <c r="J50" s="2" t="e">
        <v>#VALUE!</v>
      </c>
    </row>
    <row r="51" spans="1:10">
      <c r="A51" s="13" t="s">
        <v>7</v>
      </c>
      <c r="B51" s="13" t="s">
        <v>6</v>
      </c>
      <c r="C51" s="17">
        <v>9</v>
      </c>
      <c r="D51" s="17">
        <v>13</v>
      </c>
      <c r="E51">
        <f t="shared" si="0"/>
        <v>4</v>
      </c>
      <c r="H51" s="30" t="e">
        <v>#VALUE!</v>
      </c>
      <c r="I51" s="30" t="e">
        <v>#VALUE!</v>
      </c>
      <c r="J51" s="30" t="e">
        <v>#VALUE!</v>
      </c>
    </row>
    <row r="52" spans="1:10">
      <c r="A52" s="13">
        <v>13118872</v>
      </c>
      <c r="B52" s="13" t="s">
        <v>6</v>
      </c>
      <c r="C52" s="19">
        <v>32</v>
      </c>
      <c r="D52" s="19">
        <v>7</v>
      </c>
      <c r="E52">
        <f t="shared" si="0"/>
        <v>-25</v>
      </c>
      <c r="H52" s="2">
        <v>3</v>
      </c>
      <c r="I52" s="2" t="e">
        <v>#VALUE!</v>
      </c>
      <c r="J52" s="2" t="e">
        <v>#VALUE!</v>
      </c>
    </row>
    <row r="53" spans="1:10">
      <c r="A53" s="13">
        <v>12012030</v>
      </c>
      <c r="B53" s="13" t="s">
        <v>6</v>
      </c>
      <c r="C53" s="17">
        <v>14</v>
      </c>
      <c r="D53" s="17">
        <v>27</v>
      </c>
      <c r="E53">
        <f t="shared" si="0"/>
        <v>13</v>
      </c>
      <c r="H53" s="30">
        <v>0</v>
      </c>
      <c r="I53" s="30">
        <v>12</v>
      </c>
      <c r="J53" s="30" t="e">
        <v>#VALUE!</v>
      </c>
    </row>
    <row r="54" spans="1:10">
      <c r="A54" s="13"/>
      <c r="B54" s="13"/>
      <c r="C54" s="19" t="s">
        <v>32</v>
      </c>
      <c r="D54" s="19" t="s">
        <v>32</v>
      </c>
      <c r="E54" t="e">
        <f t="shared" si="0"/>
        <v>#VALUE!</v>
      </c>
      <c r="H54" s="2" t="e">
        <v>#VALUE!</v>
      </c>
      <c r="I54" s="2" t="e">
        <v>#VALUE!</v>
      </c>
      <c r="J54" s="2" t="e">
        <v>#VALUE!</v>
      </c>
    </row>
    <row r="55" spans="1:10">
      <c r="A55" s="13">
        <v>9074418</v>
      </c>
      <c r="B55" s="13" t="s">
        <v>8</v>
      </c>
      <c r="C55" s="17" t="s">
        <v>32</v>
      </c>
      <c r="D55" s="17">
        <v>21</v>
      </c>
      <c r="E55">
        <v>6</v>
      </c>
      <c r="H55" s="30" t="e">
        <v>#VALUE!</v>
      </c>
      <c r="I55" s="30" t="e">
        <v>#VALUE!</v>
      </c>
      <c r="J55" s="30" t="e">
        <v>#VALUE!</v>
      </c>
    </row>
    <row r="56" spans="1:10">
      <c r="A56" s="13">
        <v>1263</v>
      </c>
      <c r="B56" s="13" t="s">
        <v>8</v>
      </c>
      <c r="C56" s="19">
        <v>9</v>
      </c>
      <c r="D56" s="19">
        <v>11</v>
      </c>
      <c r="E56">
        <f t="shared" si="0"/>
        <v>2</v>
      </c>
      <c r="H56" s="2">
        <v>0</v>
      </c>
      <c r="I56" s="2">
        <v>0</v>
      </c>
      <c r="J56" s="2" t="e">
        <v>#VALUE!</v>
      </c>
    </row>
    <row r="57" spans="1:10">
      <c r="A57" s="13">
        <v>98004910</v>
      </c>
      <c r="B57" s="13" t="s">
        <v>8</v>
      </c>
      <c r="C57" s="17" t="s">
        <v>32</v>
      </c>
      <c r="D57" s="17">
        <v>4</v>
      </c>
      <c r="E57" t="e">
        <f t="shared" si="0"/>
        <v>#VALUE!</v>
      </c>
      <c r="H57" s="30">
        <v>-64</v>
      </c>
      <c r="I57" s="30">
        <v>0</v>
      </c>
      <c r="J57" s="30">
        <v>-28</v>
      </c>
    </row>
    <row r="58" spans="1:10">
      <c r="A58" s="13">
        <v>7103068</v>
      </c>
      <c r="B58" s="13" t="s">
        <v>8</v>
      </c>
      <c r="C58" s="19" t="s">
        <v>32</v>
      </c>
      <c r="D58" s="19" t="s">
        <v>32</v>
      </c>
      <c r="E58" t="e">
        <f t="shared" si="0"/>
        <v>#VALUE!</v>
      </c>
      <c r="H58" s="2">
        <v>3</v>
      </c>
      <c r="I58" s="2" t="e">
        <v>#VALUE!</v>
      </c>
      <c r="J58" s="2" t="e">
        <v>#VALUE!</v>
      </c>
    </row>
    <row r="59" spans="1:10">
      <c r="A59" s="13">
        <v>11240728</v>
      </c>
      <c r="B59" s="13" t="s">
        <v>8</v>
      </c>
      <c r="C59" s="17" t="s">
        <v>32</v>
      </c>
      <c r="D59" s="17" t="s">
        <v>32</v>
      </c>
      <c r="E59" t="e">
        <f t="shared" si="0"/>
        <v>#VALUE!</v>
      </c>
      <c r="H59" s="30">
        <v>0</v>
      </c>
      <c r="I59" s="30" t="e">
        <v>#VALUE!</v>
      </c>
      <c r="J59" s="30" t="e">
        <v>#VALUE!</v>
      </c>
    </row>
    <row r="60" spans="1:10">
      <c r="A60" s="13"/>
      <c r="B60" s="13"/>
      <c r="C60" s="19" t="s">
        <v>32</v>
      </c>
      <c r="D60" s="19" t="s">
        <v>32</v>
      </c>
      <c r="E60" t="e">
        <f t="shared" si="0"/>
        <v>#VALUE!</v>
      </c>
      <c r="H60" s="2" t="e">
        <v>#VALUE!</v>
      </c>
      <c r="I60" s="2">
        <v>0</v>
      </c>
      <c r="J60" s="2" t="e">
        <v>#VALUE!</v>
      </c>
    </row>
    <row r="61" spans="1:10">
      <c r="A61" s="13">
        <v>5015869</v>
      </c>
      <c r="B61" s="13" t="s">
        <v>9</v>
      </c>
      <c r="C61" s="17" t="s">
        <v>32</v>
      </c>
      <c r="D61" s="17" t="s">
        <v>32</v>
      </c>
      <c r="E61" t="e">
        <f t="shared" si="0"/>
        <v>#VALUE!</v>
      </c>
      <c r="H61" s="30" t="e">
        <v>#VALUE!</v>
      </c>
      <c r="I61" s="30" t="e">
        <v>#VALUE!</v>
      </c>
      <c r="J61" s="30">
        <v>0</v>
      </c>
    </row>
    <row r="62" spans="1:10">
      <c r="A62" s="13">
        <v>5016969</v>
      </c>
      <c r="B62" s="13" t="s">
        <v>9</v>
      </c>
      <c r="C62" s="19" t="s">
        <v>32</v>
      </c>
      <c r="D62" s="19" t="s">
        <v>32</v>
      </c>
      <c r="E62" t="e">
        <f t="shared" si="0"/>
        <v>#VALUE!</v>
      </c>
      <c r="H62" s="2" t="e">
        <v>#VALUE!</v>
      </c>
      <c r="I62" s="2" t="e">
        <v>#VALUE!</v>
      </c>
      <c r="J62" s="2" t="e">
        <v>#VALUE!</v>
      </c>
    </row>
    <row r="63" spans="1:10">
      <c r="A63" s="13">
        <v>6023231</v>
      </c>
      <c r="B63" s="13" t="s">
        <v>9</v>
      </c>
      <c r="C63" s="17" t="s">
        <v>32</v>
      </c>
      <c r="D63" s="17" t="s">
        <v>32</v>
      </c>
      <c r="E63" t="e">
        <f t="shared" si="0"/>
        <v>#VALUE!</v>
      </c>
      <c r="H63" s="30">
        <v>2</v>
      </c>
      <c r="I63" s="30" t="e">
        <v>#VALUE!</v>
      </c>
      <c r="J63" s="30" t="e">
        <v>#VALUE!</v>
      </c>
    </row>
    <row r="64" spans="1:10">
      <c r="A64" s="13">
        <v>6011198</v>
      </c>
      <c r="B64" s="13" t="s">
        <v>9</v>
      </c>
      <c r="C64" s="19" t="s">
        <v>32</v>
      </c>
      <c r="D64" s="19" t="s">
        <v>32</v>
      </c>
      <c r="E64" t="e">
        <f t="shared" si="0"/>
        <v>#VALUE!</v>
      </c>
      <c r="H64" s="2" t="e">
        <v>#VALUE!</v>
      </c>
      <c r="I64" s="2" t="e">
        <v>#VALUE!</v>
      </c>
      <c r="J64" s="2" t="e">
        <v>#VALUE!</v>
      </c>
    </row>
    <row r="65" spans="1:10">
      <c r="A65" s="13">
        <v>6012681</v>
      </c>
      <c r="B65" s="13" t="s">
        <v>9</v>
      </c>
      <c r="C65" s="17" t="s">
        <v>32</v>
      </c>
      <c r="D65" s="17" t="s">
        <v>32</v>
      </c>
      <c r="E65" t="e">
        <f t="shared" si="0"/>
        <v>#VALUE!</v>
      </c>
      <c r="H65" s="30" t="e">
        <v>#VALUE!</v>
      </c>
      <c r="I65" s="30" t="e">
        <v>#VALUE!</v>
      </c>
      <c r="J65" s="30" t="e">
        <v>#VALUE!</v>
      </c>
    </row>
    <row r="66" spans="1:10">
      <c r="A66" s="13">
        <v>6014511</v>
      </c>
      <c r="B66" s="13" t="s">
        <v>9</v>
      </c>
      <c r="C66" s="19" t="s">
        <v>32</v>
      </c>
      <c r="D66" s="19" t="s">
        <v>32</v>
      </c>
      <c r="E66" t="e">
        <f t="shared" si="0"/>
        <v>#VALUE!</v>
      </c>
      <c r="H66" s="2">
        <v>5</v>
      </c>
      <c r="I66" s="2">
        <v>4</v>
      </c>
      <c r="J66" s="2" t="e">
        <v>#VALUE!</v>
      </c>
    </row>
    <row r="67" spans="1:10">
      <c r="A67" s="13">
        <v>6045127</v>
      </c>
      <c r="B67" s="13" t="s">
        <v>9</v>
      </c>
      <c r="C67" s="17" t="s">
        <v>32</v>
      </c>
      <c r="D67" s="17" t="s">
        <v>32</v>
      </c>
      <c r="E67" t="e">
        <f t="shared" ref="E67:E130" si="1">D67-C67</f>
        <v>#VALUE!</v>
      </c>
      <c r="H67" s="30" t="e">
        <v>#VALUE!</v>
      </c>
      <c r="I67" s="30">
        <v>0</v>
      </c>
      <c r="J67" s="30">
        <v>0</v>
      </c>
    </row>
    <row r="68" spans="1:10">
      <c r="A68" s="13">
        <v>7000458</v>
      </c>
      <c r="B68" s="13" t="s">
        <v>9</v>
      </c>
      <c r="C68" s="19" t="s">
        <v>32</v>
      </c>
      <c r="D68" s="19" t="s">
        <v>32</v>
      </c>
      <c r="E68" t="e">
        <f t="shared" si="1"/>
        <v>#VALUE!</v>
      </c>
      <c r="H68" s="2">
        <v>-17</v>
      </c>
      <c r="I68" s="2" t="e">
        <v>#VALUE!</v>
      </c>
      <c r="J68" s="2" t="e">
        <v>#VALUE!</v>
      </c>
    </row>
    <row r="69" spans="1:10">
      <c r="A69" s="13">
        <v>7015502</v>
      </c>
      <c r="B69" s="13" t="s">
        <v>9</v>
      </c>
      <c r="C69" s="17" t="s">
        <v>32</v>
      </c>
      <c r="D69" s="17" t="s">
        <v>32</v>
      </c>
      <c r="E69" t="e">
        <f t="shared" si="1"/>
        <v>#VALUE!</v>
      </c>
      <c r="H69" s="30">
        <v>0</v>
      </c>
      <c r="I69" s="30">
        <v>1</v>
      </c>
      <c r="J69" s="30" t="e">
        <v>#VALUE!</v>
      </c>
    </row>
    <row r="70" spans="1:10">
      <c r="A70" s="13">
        <v>7025847</v>
      </c>
      <c r="B70" s="13" t="s">
        <v>9</v>
      </c>
      <c r="C70" s="19" t="s">
        <v>32</v>
      </c>
      <c r="D70" s="19" t="s">
        <v>32</v>
      </c>
      <c r="E70" t="e">
        <f t="shared" si="1"/>
        <v>#VALUE!</v>
      </c>
      <c r="H70" s="2" t="e">
        <v>#VALUE!</v>
      </c>
      <c r="I70" s="2">
        <v>1</v>
      </c>
      <c r="J70" s="2" t="e">
        <v>#VALUE!</v>
      </c>
    </row>
    <row r="71" spans="1:10">
      <c r="A71" s="13">
        <v>7082707</v>
      </c>
      <c r="B71" s="13" t="s">
        <v>9</v>
      </c>
      <c r="C71" s="17" t="s">
        <v>32</v>
      </c>
      <c r="D71" s="17" t="s">
        <v>32</v>
      </c>
      <c r="E71" t="e">
        <f t="shared" si="1"/>
        <v>#VALUE!</v>
      </c>
      <c r="H71" s="30">
        <v>2</v>
      </c>
      <c r="I71" s="30" t="e">
        <v>#VALUE!</v>
      </c>
      <c r="J71" s="30" t="e">
        <v>#VALUE!</v>
      </c>
    </row>
    <row r="72" spans="1:10">
      <c r="A72" s="13">
        <v>7083159</v>
      </c>
      <c r="B72" s="13" t="s">
        <v>9</v>
      </c>
      <c r="C72" s="19" t="s">
        <v>32</v>
      </c>
      <c r="D72" s="19" t="s">
        <v>32</v>
      </c>
      <c r="E72" t="e">
        <f t="shared" si="1"/>
        <v>#VALUE!</v>
      </c>
      <c r="H72" s="2">
        <v>-2</v>
      </c>
      <c r="I72" s="2">
        <v>0</v>
      </c>
      <c r="J72" s="2" t="e">
        <v>#VALUE!</v>
      </c>
    </row>
    <row r="73" spans="1:10">
      <c r="A73" s="13">
        <v>7084659</v>
      </c>
      <c r="B73" s="13" t="s">
        <v>9</v>
      </c>
      <c r="C73" s="17" t="s">
        <v>32</v>
      </c>
      <c r="D73" s="17" t="s">
        <v>32</v>
      </c>
      <c r="E73" t="e">
        <f t="shared" si="1"/>
        <v>#VALUE!</v>
      </c>
      <c r="H73" s="30">
        <v>-4</v>
      </c>
      <c r="I73" s="30" t="e">
        <v>#VALUE!</v>
      </c>
      <c r="J73" s="30" t="e">
        <v>#VALUE!</v>
      </c>
    </row>
    <row r="74" spans="1:10">
      <c r="A74" s="13">
        <v>7076814</v>
      </c>
      <c r="B74" s="13" t="s">
        <v>9</v>
      </c>
      <c r="C74" s="19" t="s">
        <v>32</v>
      </c>
      <c r="D74" s="19" t="s">
        <v>32</v>
      </c>
      <c r="E74" t="e">
        <f t="shared" si="1"/>
        <v>#VALUE!</v>
      </c>
      <c r="H74" s="2" t="e">
        <v>#VALUE!</v>
      </c>
      <c r="I74" s="2" t="e">
        <v>#VALUE!</v>
      </c>
      <c r="J74" s="2">
        <v>0</v>
      </c>
    </row>
    <row r="75" spans="1:10">
      <c r="A75" s="13">
        <v>7076815</v>
      </c>
      <c r="B75" s="13" t="s">
        <v>9</v>
      </c>
      <c r="C75" s="17" t="s">
        <v>32</v>
      </c>
      <c r="D75" s="17" t="s">
        <v>32</v>
      </c>
      <c r="E75" t="e">
        <f t="shared" si="1"/>
        <v>#VALUE!</v>
      </c>
      <c r="H75" s="30">
        <v>0</v>
      </c>
      <c r="I75" s="30" t="e">
        <v>#VALUE!</v>
      </c>
      <c r="J75" s="30">
        <v>-14</v>
      </c>
    </row>
    <row r="76" spans="1:10">
      <c r="A76" s="13">
        <v>7089231</v>
      </c>
      <c r="B76" s="13" t="s">
        <v>9</v>
      </c>
      <c r="C76" s="19" t="s">
        <v>32</v>
      </c>
      <c r="D76" s="19" t="s">
        <v>32</v>
      </c>
      <c r="E76" t="e">
        <f t="shared" si="1"/>
        <v>#VALUE!</v>
      </c>
      <c r="H76" s="2" t="e">
        <v>#VALUE!</v>
      </c>
      <c r="I76" s="2" t="e">
        <v>#VALUE!</v>
      </c>
      <c r="J76" s="2" t="e">
        <v>#VALUE!</v>
      </c>
    </row>
    <row r="77" spans="1:10">
      <c r="A77" s="13">
        <v>7116004</v>
      </c>
      <c r="B77" s="13" t="s">
        <v>9</v>
      </c>
      <c r="C77" s="17" t="s">
        <v>32</v>
      </c>
      <c r="D77" s="17" t="s">
        <v>32</v>
      </c>
      <c r="E77" t="e">
        <f t="shared" si="1"/>
        <v>#VALUE!</v>
      </c>
      <c r="H77" s="30" t="e">
        <v>#VALUE!</v>
      </c>
      <c r="I77" s="30" t="e">
        <v>#VALUE!</v>
      </c>
      <c r="J77" s="30">
        <v>1</v>
      </c>
    </row>
    <row r="78" spans="1:10">
      <c r="A78" s="13">
        <v>8003819</v>
      </c>
      <c r="B78" s="13" t="s">
        <v>9</v>
      </c>
      <c r="C78" s="19" t="s">
        <v>32</v>
      </c>
      <c r="D78" s="19" t="s">
        <v>32</v>
      </c>
      <c r="E78" t="e">
        <f t="shared" si="1"/>
        <v>#VALUE!</v>
      </c>
      <c r="H78" s="2">
        <v>0</v>
      </c>
      <c r="I78" s="2" t="e">
        <v>#VALUE!</v>
      </c>
      <c r="J78" s="2">
        <v>1</v>
      </c>
    </row>
    <row r="79" spans="1:10">
      <c r="A79" s="13">
        <v>8091779</v>
      </c>
      <c r="B79" s="13" t="s">
        <v>9</v>
      </c>
      <c r="C79" s="17" t="s">
        <v>32</v>
      </c>
      <c r="D79" s="17" t="s">
        <v>32</v>
      </c>
      <c r="E79" t="e">
        <f t="shared" si="1"/>
        <v>#VALUE!</v>
      </c>
      <c r="H79" s="30" t="e">
        <v>#VALUE!</v>
      </c>
      <c r="I79" s="30" t="e">
        <v>#VALUE!</v>
      </c>
      <c r="J79" s="30">
        <v>4</v>
      </c>
    </row>
    <row r="80" spans="1:10">
      <c r="A80" s="13">
        <v>8112522</v>
      </c>
      <c r="B80" s="13" t="s">
        <v>9</v>
      </c>
      <c r="C80" s="19" t="s">
        <v>32</v>
      </c>
      <c r="D80" s="19" t="s">
        <v>32</v>
      </c>
      <c r="E80" t="e">
        <f t="shared" si="1"/>
        <v>#VALUE!</v>
      </c>
      <c r="H80" s="2" t="e">
        <v>#VALUE!</v>
      </c>
      <c r="I80" s="2" t="e">
        <v>#VALUE!</v>
      </c>
      <c r="J80" s="2" t="e">
        <v>#VALUE!</v>
      </c>
    </row>
    <row r="81" spans="1:10">
      <c r="A81" s="13" t="s">
        <v>10</v>
      </c>
      <c r="B81" s="13" t="s">
        <v>9</v>
      </c>
      <c r="C81" s="17" t="s">
        <v>32</v>
      </c>
      <c r="D81" s="17" t="s">
        <v>32</v>
      </c>
      <c r="E81" t="e">
        <f t="shared" si="1"/>
        <v>#VALUE!</v>
      </c>
      <c r="H81" s="30" t="e">
        <v>#VALUE!</v>
      </c>
      <c r="I81" s="30" t="e">
        <v>#VALUE!</v>
      </c>
      <c r="J81" s="30">
        <v>10</v>
      </c>
    </row>
    <row r="82" spans="1:10">
      <c r="A82" s="13">
        <v>8130998</v>
      </c>
      <c r="B82" s="13" t="s">
        <v>9</v>
      </c>
      <c r="C82" s="19" t="s">
        <v>32</v>
      </c>
      <c r="D82" s="19">
        <v>4</v>
      </c>
      <c r="E82" t="e">
        <f t="shared" si="1"/>
        <v>#VALUE!</v>
      </c>
      <c r="H82" s="2" t="e">
        <v>#VALUE!</v>
      </c>
      <c r="I82" s="2" t="e">
        <v>#VALUE!</v>
      </c>
      <c r="J82" s="2" t="e">
        <v>#VALUE!</v>
      </c>
    </row>
    <row r="83" spans="1:10">
      <c r="A83" s="13">
        <v>9002836</v>
      </c>
      <c r="B83" s="13" t="s">
        <v>9</v>
      </c>
      <c r="C83" s="17" t="s">
        <v>32</v>
      </c>
      <c r="D83" s="17" t="s">
        <v>32</v>
      </c>
      <c r="E83" t="e">
        <f t="shared" si="1"/>
        <v>#VALUE!</v>
      </c>
      <c r="H83" s="30" t="e">
        <v>#VALUE!</v>
      </c>
      <c r="I83" s="30" t="e">
        <v>#VALUE!</v>
      </c>
      <c r="J83" s="30" t="e">
        <v>#VALUE!</v>
      </c>
    </row>
    <row r="84" spans="1:10">
      <c r="A84" s="13">
        <v>9003331</v>
      </c>
      <c r="B84" s="13" t="s">
        <v>9</v>
      </c>
      <c r="C84" s="19" t="s">
        <v>32</v>
      </c>
      <c r="D84" s="19" t="s">
        <v>32</v>
      </c>
      <c r="E84" t="e">
        <f t="shared" si="1"/>
        <v>#VALUE!</v>
      </c>
      <c r="H84" s="2" t="e">
        <v>#VALUE!</v>
      </c>
      <c r="I84" s="2">
        <v>3</v>
      </c>
      <c r="J84" s="2" t="e">
        <v>#VALUE!</v>
      </c>
    </row>
    <row r="85" spans="1:10">
      <c r="A85" s="13">
        <v>9003370</v>
      </c>
      <c r="B85" s="13" t="s">
        <v>9</v>
      </c>
      <c r="C85" s="17" t="s">
        <v>32</v>
      </c>
      <c r="D85" s="17" t="s">
        <v>32</v>
      </c>
      <c r="E85" t="e">
        <f t="shared" si="1"/>
        <v>#VALUE!</v>
      </c>
      <c r="H85" s="30" t="e">
        <v>#VALUE!</v>
      </c>
      <c r="J85" s="30" t="e">
        <v>#VALUE!</v>
      </c>
    </row>
    <row r="86" spans="1:10">
      <c r="A86" s="13">
        <v>9016278</v>
      </c>
      <c r="B86" s="13" t="s">
        <v>9</v>
      </c>
      <c r="C86" s="19">
        <v>17</v>
      </c>
      <c r="D86" s="19">
        <v>10</v>
      </c>
      <c r="E86">
        <f t="shared" si="1"/>
        <v>-7</v>
      </c>
      <c r="H86" s="2" t="e">
        <v>#VALUE!</v>
      </c>
      <c r="J86" s="2" t="e">
        <v>#VALUE!</v>
      </c>
    </row>
    <row r="87" spans="1:10">
      <c r="A87" s="13">
        <v>9030684</v>
      </c>
      <c r="B87" s="13" t="s">
        <v>9</v>
      </c>
      <c r="C87" s="17" t="s">
        <v>32</v>
      </c>
      <c r="D87" s="17" t="s">
        <v>32</v>
      </c>
      <c r="E87" t="e">
        <f t="shared" si="1"/>
        <v>#VALUE!</v>
      </c>
      <c r="H87" s="30" t="e">
        <v>#VALUE!</v>
      </c>
      <c r="J87" s="30" t="e">
        <v>#VALUE!</v>
      </c>
    </row>
    <row r="88" spans="1:10">
      <c r="A88" s="13">
        <v>9031387</v>
      </c>
      <c r="B88" s="13" t="s">
        <v>9</v>
      </c>
      <c r="C88" s="19" t="s">
        <v>32</v>
      </c>
      <c r="D88" s="19" t="s">
        <v>32</v>
      </c>
      <c r="E88" t="e">
        <f t="shared" si="1"/>
        <v>#VALUE!</v>
      </c>
      <c r="H88" s="2" t="e">
        <v>#VALUE!</v>
      </c>
      <c r="J88" s="2">
        <v>-18</v>
      </c>
    </row>
    <row r="89" spans="1:10">
      <c r="A89" s="13">
        <v>9038676</v>
      </c>
      <c r="B89" s="13" t="s">
        <v>9</v>
      </c>
      <c r="C89" s="17" t="s">
        <v>32</v>
      </c>
      <c r="D89" s="17" t="s">
        <v>32</v>
      </c>
      <c r="E89" t="e">
        <f t="shared" si="1"/>
        <v>#VALUE!</v>
      </c>
      <c r="H89" s="30" t="e">
        <v>#VALUE!</v>
      </c>
      <c r="J89" s="30" t="e">
        <v>#VALUE!</v>
      </c>
    </row>
    <row r="90" spans="1:10">
      <c r="A90" s="13">
        <v>9039416</v>
      </c>
      <c r="B90" s="13" t="s">
        <v>9</v>
      </c>
      <c r="C90" s="19">
        <v>11</v>
      </c>
      <c r="D90" s="19">
        <v>14</v>
      </c>
      <c r="E90">
        <f t="shared" si="1"/>
        <v>3</v>
      </c>
      <c r="H90" s="2">
        <v>1</v>
      </c>
      <c r="J90" s="2" t="e">
        <v>#VALUE!</v>
      </c>
    </row>
    <row r="91" spans="1:10">
      <c r="A91" s="13">
        <v>9042861</v>
      </c>
      <c r="B91" s="13" t="s">
        <v>9</v>
      </c>
      <c r="C91" s="17">
        <v>14</v>
      </c>
      <c r="D91" s="17">
        <v>17</v>
      </c>
      <c r="E91">
        <f t="shared" si="1"/>
        <v>3</v>
      </c>
      <c r="H91" s="30" t="e">
        <v>#VALUE!</v>
      </c>
      <c r="J91" s="30">
        <v>0</v>
      </c>
    </row>
    <row r="92" spans="1:10">
      <c r="A92" s="13">
        <v>9044899</v>
      </c>
      <c r="B92" s="13" t="s">
        <v>9</v>
      </c>
      <c r="C92" s="19">
        <v>22</v>
      </c>
      <c r="D92" s="19">
        <v>13</v>
      </c>
      <c r="E92">
        <f t="shared" si="1"/>
        <v>-9</v>
      </c>
      <c r="H92" s="2" t="e">
        <v>#VALUE!</v>
      </c>
      <c r="J92" s="2">
        <v>5</v>
      </c>
    </row>
    <row r="93" spans="1:10">
      <c r="A93" s="13">
        <v>9052398</v>
      </c>
      <c r="B93" s="13" t="s">
        <v>9</v>
      </c>
      <c r="C93" s="17" t="s">
        <v>32</v>
      </c>
      <c r="D93" s="17" t="s">
        <v>32</v>
      </c>
      <c r="E93" t="e">
        <f t="shared" si="1"/>
        <v>#VALUE!</v>
      </c>
      <c r="H93" s="30" t="e">
        <v>#VALUE!</v>
      </c>
      <c r="J93" s="30" t="e">
        <v>#VALUE!</v>
      </c>
    </row>
    <row r="94" spans="1:10">
      <c r="A94" s="13">
        <v>9085204</v>
      </c>
      <c r="B94" s="13" t="s">
        <v>9</v>
      </c>
      <c r="C94" s="19">
        <v>7</v>
      </c>
      <c r="D94" s="19">
        <v>10</v>
      </c>
      <c r="E94">
        <f t="shared" si="1"/>
        <v>3</v>
      </c>
      <c r="H94" s="2">
        <v>0</v>
      </c>
      <c r="J94" s="2">
        <v>0</v>
      </c>
    </row>
    <row r="95" spans="1:10">
      <c r="A95" s="13">
        <v>9105492</v>
      </c>
      <c r="B95" s="13" t="s">
        <v>9</v>
      </c>
      <c r="C95" s="17">
        <v>18</v>
      </c>
      <c r="D95" s="17">
        <v>18</v>
      </c>
      <c r="E95">
        <f t="shared" si="1"/>
        <v>0</v>
      </c>
      <c r="H95" s="30" t="e">
        <v>#VALUE!</v>
      </c>
      <c r="J95" s="30" t="e">
        <v>#VALUE!</v>
      </c>
    </row>
    <row r="96" spans="1:10">
      <c r="A96" s="13">
        <v>9138470</v>
      </c>
      <c r="B96" s="13" t="s">
        <v>9</v>
      </c>
      <c r="C96" s="19" t="s">
        <v>32</v>
      </c>
      <c r="D96" s="19" t="s">
        <v>32</v>
      </c>
      <c r="E96" t="e">
        <f t="shared" si="1"/>
        <v>#VALUE!</v>
      </c>
      <c r="H96" s="2" t="e">
        <v>#VALUE!</v>
      </c>
      <c r="J96" s="2">
        <v>-11</v>
      </c>
    </row>
    <row r="97" spans="1:10">
      <c r="A97" s="13">
        <v>9150676</v>
      </c>
      <c r="B97" s="13" t="s">
        <v>9</v>
      </c>
      <c r="C97" s="17" t="s">
        <v>32</v>
      </c>
      <c r="D97" s="17" t="s">
        <v>32</v>
      </c>
      <c r="E97" t="e">
        <f t="shared" si="1"/>
        <v>#VALUE!</v>
      </c>
      <c r="H97" s="30" t="e">
        <v>#VALUE!</v>
      </c>
      <c r="J97" s="30" t="e">
        <v>#VALUE!</v>
      </c>
    </row>
    <row r="98" spans="1:10">
      <c r="A98" s="13">
        <v>10010926</v>
      </c>
      <c r="B98" s="13" t="s">
        <v>9</v>
      </c>
      <c r="C98" s="19">
        <v>15</v>
      </c>
      <c r="D98" s="19">
        <v>15</v>
      </c>
      <c r="E98">
        <f t="shared" si="1"/>
        <v>0</v>
      </c>
      <c r="H98" s="2" t="e">
        <v>#VALUE!</v>
      </c>
      <c r="J98" s="2">
        <v>0</v>
      </c>
    </row>
    <row r="99" spans="1:10">
      <c r="A99" s="13" t="s">
        <v>11</v>
      </c>
      <c r="B99" s="13" t="s">
        <v>9</v>
      </c>
      <c r="C99" s="17">
        <v>109</v>
      </c>
      <c r="D99" s="17">
        <v>45</v>
      </c>
      <c r="E99">
        <f t="shared" si="1"/>
        <v>-64</v>
      </c>
      <c r="H99" s="30" t="e">
        <v>#VALUE!</v>
      </c>
      <c r="J99" s="30">
        <v>0</v>
      </c>
    </row>
    <row r="100" spans="1:10">
      <c r="A100" s="13">
        <v>10091530</v>
      </c>
      <c r="B100" s="13" t="s">
        <v>9</v>
      </c>
      <c r="C100" s="19" t="s">
        <v>32</v>
      </c>
      <c r="D100" s="19" t="s">
        <v>32</v>
      </c>
      <c r="E100">
        <v>3</v>
      </c>
      <c r="H100" s="2">
        <v>7</v>
      </c>
      <c r="J100" s="2" t="e">
        <v>#VALUE!</v>
      </c>
    </row>
    <row r="101" spans="1:10">
      <c r="A101" s="13">
        <v>10102052</v>
      </c>
      <c r="B101" s="13" t="s">
        <v>9</v>
      </c>
      <c r="C101" s="17">
        <v>23</v>
      </c>
      <c r="D101" s="17">
        <v>23</v>
      </c>
      <c r="E101">
        <f t="shared" si="1"/>
        <v>0</v>
      </c>
      <c r="H101" s="30" t="e">
        <v>#VALUE!</v>
      </c>
      <c r="J101" s="30" t="e">
        <v>#VALUE!</v>
      </c>
    </row>
    <row r="102" spans="1:10">
      <c r="A102" s="13">
        <v>10104735</v>
      </c>
      <c r="B102" s="13" t="s">
        <v>9</v>
      </c>
      <c r="C102" s="19" t="s">
        <v>32</v>
      </c>
      <c r="D102" s="19" t="s">
        <v>32</v>
      </c>
      <c r="E102" t="e">
        <f t="shared" si="1"/>
        <v>#VALUE!</v>
      </c>
      <c r="H102" s="2">
        <v>-9</v>
      </c>
      <c r="J102" s="2" t="e">
        <v>#VALUE!</v>
      </c>
    </row>
    <row r="103" spans="1:10">
      <c r="A103" s="13">
        <v>10131550</v>
      </c>
      <c r="B103" s="13" t="s">
        <v>9</v>
      </c>
      <c r="C103" s="17" t="s">
        <v>32</v>
      </c>
      <c r="D103" s="17" t="s">
        <v>32</v>
      </c>
      <c r="E103" t="e">
        <f t="shared" si="1"/>
        <v>#VALUE!</v>
      </c>
      <c r="H103" s="30">
        <v>2</v>
      </c>
      <c r="J103" s="30" t="e">
        <v>#VALUE!</v>
      </c>
    </row>
    <row r="104" spans="1:10">
      <c r="A104" s="13">
        <v>10131607</v>
      </c>
      <c r="B104" s="13" t="s">
        <v>9</v>
      </c>
      <c r="C104" s="19" t="s">
        <v>32</v>
      </c>
      <c r="D104" s="19" t="s">
        <v>32</v>
      </c>
      <c r="E104" t="e">
        <f t="shared" si="1"/>
        <v>#VALUE!</v>
      </c>
      <c r="H104" s="2" t="e">
        <v>#VALUE!</v>
      </c>
      <c r="J104" s="2" t="e">
        <v>#VALUE!</v>
      </c>
    </row>
    <row r="105" spans="1:10">
      <c r="A105" s="13">
        <v>10145202</v>
      </c>
      <c r="B105" s="13" t="s">
        <v>9</v>
      </c>
      <c r="C105" s="17">
        <v>21</v>
      </c>
      <c r="D105" s="17">
        <v>23</v>
      </c>
      <c r="E105">
        <f t="shared" si="1"/>
        <v>2</v>
      </c>
      <c r="H105" s="30">
        <v>1</v>
      </c>
    </row>
    <row r="106" spans="1:10">
      <c r="A106" s="13">
        <v>10158770</v>
      </c>
      <c r="B106" s="13" t="s">
        <v>9</v>
      </c>
      <c r="C106" s="19" t="s">
        <v>32</v>
      </c>
      <c r="D106" s="19" t="s">
        <v>32</v>
      </c>
      <c r="E106" t="e">
        <f t="shared" si="1"/>
        <v>#VALUE!</v>
      </c>
      <c r="H106" s="2">
        <v>0</v>
      </c>
    </row>
    <row r="107" spans="1:10">
      <c r="A107" s="13">
        <v>10162949</v>
      </c>
      <c r="B107" s="13" t="s">
        <v>9</v>
      </c>
      <c r="C107" s="17" t="s">
        <v>32</v>
      </c>
      <c r="D107" s="17" t="s">
        <v>32</v>
      </c>
      <c r="E107" t="e">
        <f t="shared" si="1"/>
        <v>#VALUE!</v>
      </c>
      <c r="H107" s="30" t="e">
        <v>#VALUE!</v>
      </c>
    </row>
    <row r="108" spans="1:10">
      <c r="A108" s="13">
        <v>10171633</v>
      </c>
      <c r="B108" s="13" t="s">
        <v>9</v>
      </c>
      <c r="C108" s="19">
        <v>18</v>
      </c>
      <c r="D108" s="19">
        <v>23</v>
      </c>
      <c r="E108">
        <f t="shared" si="1"/>
        <v>5</v>
      </c>
      <c r="H108" s="2" t="e">
        <v>#VALUE!</v>
      </c>
    </row>
    <row r="109" spans="1:10">
      <c r="A109" s="13">
        <v>11005762</v>
      </c>
      <c r="B109" s="13" t="s">
        <v>9</v>
      </c>
      <c r="C109" s="17" t="s">
        <v>32</v>
      </c>
      <c r="D109" s="17" t="s">
        <v>32</v>
      </c>
      <c r="E109" t="e">
        <f t="shared" si="1"/>
        <v>#VALUE!</v>
      </c>
      <c r="H109" s="30" t="e">
        <v>#VALUE!</v>
      </c>
    </row>
    <row r="110" spans="1:10">
      <c r="A110" s="13" t="s">
        <v>12</v>
      </c>
      <c r="B110" s="13" t="s">
        <v>9</v>
      </c>
      <c r="C110" s="19">
        <v>43</v>
      </c>
      <c r="D110" s="19">
        <v>26</v>
      </c>
      <c r="E110">
        <f t="shared" si="1"/>
        <v>-17</v>
      </c>
      <c r="H110" s="2">
        <v>5</v>
      </c>
    </row>
    <row r="111" spans="1:10">
      <c r="A111" s="13">
        <v>11018341</v>
      </c>
      <c r="B111" s="13" t="s">
        <v>9</v>
      </c>
      <c r="C111" s="17">
        <v>20</v>
      </c>
      <c r="D111" s="17">
        <v>20</v>
      </c>
      <c r="E111">
        <f t="shared" si="1"/>
        <v>0</v>
      </c>
      <c r="H111" s="30" t="e">
        <v>#VALUE!</v>
      </c>
    </row>
    <row r="112" spans="1:10">
      <c r="A112" s="13">
        <v>11021445</v>
      </c>
      <c r="B112" s="13" t="s">
        <v>9</v>
      </c>
      <c r="C112" s="19" t="s">
        <v>32</v>
      </c>
      <c r="D112" s="19" t="s">
        <v>32</v>
      </c>
      <c r="E112" t="e">
        <f t="shared" si="1"/>
        <v>#VALUE!</v>
      </c>
      <c r="H112" s="2">
        <v>1</v>
      </c>
    </row>
    <row r="113" spans="1:8">
      <c r="A113" s="13">
        <v>11025151</v>
      </c>
      <c r="B113" s="13" t="s">
        <v>9</v>
      </c>
      <c r="C113" s="17">
        <v>29</v>
      </c>
      <c r="D113" s="17">
        <v>31</v>
      </c>
      <c r="E113">
        <f t="shared" si="1"/>
        <v>2</v>
      </c>
      <c r="H113" s="30" t="e">
        <v>#VALUE!</v>
      </c>
    </row>
    <row r="114" spans="1:8">
      <c r="A114" s="13">
        <v>11039110</v>
      </c>
      <c r="B114" s="13" t="s">
        <v>9</v>
      </c>
      <c r="C114" s="19">
        <v>3</v>
      </c>
      <c r="D114" s="19">
        <v>1</v>
      </c>
      <c r="E114">
        <f t="shared" si="1"/>
        <v>-2</v>
      </c>
      <c r="H114" s="2">
        <v>-15</v>
      </c>
    </row>
    <row r="115" spans="1:8">
      <c r="A115" s="13">
        <v>11108410</v>
      </c>
      <c r="B115" s="13" t="s">
        <v>9</v>
      </c>
      <c r="C115" s="17">
        <v>28</v>
      </c>
      <c r="D115" s="17">
        <v>24</v>
      </c>
      <c r="E115">
        <f t="shared" si="1"/>
        <v>-4</v>
      </c>
      <c r="H115" s="30">
        <v>31</v>
      </c>
    </row>
    <row r="116" spans="1:8">
      <c r="A116" s="13">
        <v>11139605</v>
      </c>
      <c r="B116" s="13" t="s">
        <v>9</v>
      </c>
      <c r="C116" s="19" t="s">
        <v>32</v>
      </c>
      <c r="D116" s="19" t="s">
        <v>32</v>
      </c>
      <c r="E116" t="e">
        <f t="shared" si="1"/>
        <v>#VALUE!</v>
      </c>
      <c r="H116" s="2">
        <v>0</v>
      </c>
    </row>
    <row r="117" spans="1:8">
      <c r="A117" s="13">
        <v>11201694</v>
      </c>
      <c r="B117" s="13" t="s">
        <v>9</v>
      </c>
      <c r="C117" s="17">
        <v>4</v>
      </c>
      <c r="D117" s="17">
        <v>4</v>
      </c>
      <c r="E117">
        <f t="shared" si="1"/>
        <v>0</v>
      </c>
      <c r="H117" s="30">
        <v>0</v>
      </c>
    </row>
    <row r="118" spans="1:8">
      <c r="A118" s="13">
        <v>11242543</v>
      </c>
      <c r="B118" s="13" t="s">
        <v>9</v>
      </c>
      <c r="C118" s="19" t="s">
        <v>32</v>
      </c>
      <c r="D118" s="19" t="s">
        <v>32</v>
      </c>
      <c r="E118" t="e">
        <f t="shared" si="1"/>
        <v>#VALUE!</v>
      </c>
      <c r="H118" s="2" t="e">
        <v>#VALUE!</v>
      </c>
    </row>
    <row r="119" spans="1:8">
      <c r="A119" s="13">
        <v>11247293</v>
      </c>
      <c r="B119" s="13" t="s">
        <v>9</v>
      </c>
      <c r="C119" s="17" t="s">
        <v>32</v>
      </c>
      <c r="D119" s="17" t="s">
        <v>32</v>
      </c>
      <c r="E119" t="e">
        <f t="shared" si="1"/>
        <v>#VALUE!</v>
      </c>
      <c r="H119" s="30" t="e">
        <v>#VALUE!</v>
      </c>
    </row>
    <row r="120" spans="1:8">
      <c r="A120" s="13">
        <v>12006449</v>
      </c>
      <c r="B120" s="13" t="s">
        <v>9</v>
      </c>
      <c r="C120" s="19">
        <v>18</v>
      </c>
      <c r="D120" s="19">
        <v>18</v>
      </c>
      <c r="E120">
        <f t="shared" si="1"/>
        <v>0</v>
      </c>
      <c r="H120" s="2">
        <v>3</v>
      </c>
    </row>
    <row r="121" spans="1:8">
      <c r="A121" s="13">
        <v>12049136</v>
      </c>
      <c r="B121" s="13" t="s">
        <v>9</v>
      </c>
      <c r="C121" s="17" t="s">
        <v>32</v>
      </c>
      <c r="D121" s="17" t="s">
        <v>32</v>
      </c>
      <c r="E121" t="e">
        <f t="shared" si="1"/>
        <v>#VALUE!</v>
      </c>
      <c r="H121" s="30" t="e">
        <v>#VALUE!</v>
      </c>
    </row>
    <row r="122" spans="1:8">
      <c r="A122" s="13">
        <v>12087508</v>
      </c>
      <c r="B122" s="13" t="s">
        <v>9</v>
      </c>
      <c r="C122" s="19" t="s">
        <v>32</v>
      </c>
      <c r="D122" s="19" t="s">
        <v>32</v>
      </c>
      <c r="E122" t="e">
        <f t="shared" si="1"/>
        <v>#VALUE!</v>
      </c>
      <c r="H122" s="2">
        <v>2</v>
      </c>
    </row>
    <row r="123" spans="1:8">
      <c r="A123" s="13">
        <v>12229481</v>
      </c>
      <c r="B123" s="13" t="s">
        <v>9</v>
      </c>
      <c r="C123" s="17" t="s">
        <v>32</v>
      </c>
      <c r="D123" s="17" t="s">
        <v>32</v>
      </c>
      <c r="E123" t="e">
        <f t="shared" si="1"/>
        <v>#VALUE!</v>
      </c>
      <c r="H123" s="30">
        <v>-10</v>
      </c>
    </row>
    <row r="124" spans="1:8">
      <c r="A124" s="13">
        <v>12258821</v>
      </c>
      <c r="B124" s="13" t="s">
        <v>9</v>
      </c>
      <c r="C124" s="19" t="s">
        <v>32</v>
      </c>
      <c r="D124" s="19" t="s">
        <v>32</v>
      </c>
      <c r="E124" t="e">
        <f t="shared" si="1"/>
        <v>#VALUE!</v>
      </c>
      <c r="H124" s="2">
        <v>1</v>
      </c>
    </row>
    <row r="125" spans="1:8">
      <c r="A125" s="13">
        <v>12309729</v>
      </c>
      <c r="B125" s="13" t="s">
        <v>9</v>
      </c>
      <c r="C125" s="17" t="s">
        <v>32</v>
      </c>
      <c r="D125" s="17" t="s">
        <v>32</v>
      </c>
      <c r="E125" t="e">
        <f t="shared" si="1"/>
        <v>#VALUE!</v>
      </c>
      <c r="H125" s="30" t="e">
        <v>#VALUE!</v>
      </c>
    </row>
    <row r="126" spans="1:8">
      <c r="A126" s="13" t="s">
        <v>13</v>
      </c>
      <c r="B126" s="13" t="s">
        <v>9</v>
      </c>
      <c r="C126" s="19" t="s">
        <v>32</v>
      </c>
      <c r="D126" s="19" t="s">
        <v>32</v>
      </c>
      <c r="E126" t="e">
        <f t="shared" si="1"/>
        <v>#VALUE!</v>
      </c>
      <c r="H126" s="2" t="e">
        <v>#VALUE!</v>
      </c>
    </row>
    <row r="127" spans="1:8">
      <c r="A127" s="13">
        <v>13005942</v>
      </c>
      <c r="B127" s="13" t="s">
        <v>9</v>
      </c>
      <c r="C127" s="17" t="s">
        <v>32</v>
      </c>
      <c r="D127" s="17" t="s">
        <v>32</v>
      </c>
      <c r="E127" t="e">
        <f t="shared" si="1"/>
        <v>#VALUE!</v>
      </c>
      <c r="H127" s="30" t="e">
        <v>#VALUE!</v>
      </c>
    </row>
    <row r="128" spans="1:8">
      <c r="A128" s="13">
        <v>324</v>
      </c>
      <c r="B128" s="13" t="s">
        <v>9</v>
      </c>
      <c r="C128" s="19" t="s">
        <v>32</v>
      </c>
      <c r="D128" s="19" t="s">
        <v>32</v>
      </c>
      <c r="E128" t="e">
        <f t="shared" si="1"/>
        <v>#VALUE!</v>
      </c>
      <c r="H128" s="2">
        <v>-16</v>
      </c>
    </row>
    <row r="129" spans="1:8">
      <c r="A129" s="13">
        <v>3909</v>
      </c>
      <c r="B129" s="13" t="s">
        <v>9</v>
      </c>
      <c r="C129" s="17" t="s">
        <v>32</v>
      </c>
      <c r="D129" s="17" t="s">
        <v>32</v>
      </c>
      <c r="E129" t="e">
        <f t="shared" si="1"/>
        <v>#VALUE!</v>
      </c>
      <c r="H129" s="30" t="e">
        <v>#VALUE!</v>
      </c>
    </row>
    <row r="130" spans="1:8">
      <c r="A130" s="13">
        <v>4663</v>
      </c>
      <c r="B130" s="13" t="s">
        <v>9</v>
      </c>
      <c r="C130" s="19" t="s">
        <v>32</v>
      </c>
      <c r="D130" s="19" t="s">
        <v>32</v>
      </c>
      <c r="E130" t="e">
        <f t="shared" si="1"/>
        <v>#VALUE!</v>
      </c>
      <c r="H130" s="2" t="e">
        <v>#VALUE!</v>
      </c>
    </row>
    <row r="131" spans="1:8">
      <c r="A131" s="13">
        <v>1005522</v>
      </c>
      <c r="B131" s="13" t="s">
        <v>9</v>
      </c>
      <c r="C131" s="17" t="s">
        <v>32</v>
      </c>
      <c r="D131" s="17" t="s">
        <v>32</v>
      </c>
      <c r="E131" t="e">
        <f t="shared" ref="E131:E194" si="2">D131-C131</f>
        <v>#VALUE!</v>
      </c>
      <c r="H131" s="30" t="e">
        <v>#VALUE!</v>
      </c>
    </row>
    <row r="132" spans="1:8">
      <c r="A132" s="13">
        <v>1007631</v>
      </c>
      <c r="B132" s="13" t="s">
        <v>9</v>
      </c>
      <c r="C132" s="19">
        <v>4</v>
      </c>
      <c r="D132" s="19">
        <v>5</v>
      </c>
      <c r="E132">
        <f t="shared" si="2"/>
        <v>1</v>
      </c>
      <c r="H132" s="2" t="e">
        <v>#VALUE!</v>
      </c>
    </row>
    <row r="133" spans="1:8">
      <c r="A133" s="13">
        <v>1009760</v>
      </c>
      <c r="B133" s="13" t="s">
        <v>9</v>
      </c>
      <c r="C133" s="17" t="s">
        <v>32</v>
      </c>
      <c r="D133" s="17" t="s">
        <v>32</v>
      </c>
      <c r="E133" t="e">
        <f t="shared" si="2"/>
        <v>#VALUE!</v>
      </c>
      <c r="H133" s="30">
        <v>0</v>
      </c>
    </row>
    <row r="134" spans="1:8">
      <c r="A134" s="13">
        <v>2000646</v>
      </c>
      <c r="B134" s="13" t="s">
        <v>9</v>
      </c>
      <c r="C134" s="19" t="s">
        <v>32</v>
      </c>
      <c r="D134" s="19" t="s">
        <v>32</v>
      </c>
      <c r="E134" t="e">
        <f t="shared" si="2"/>
        <v>#VALUE!</v>
      </c>
      <c r="H134" s="2" t="e">
        <v>#VALUE!</v>
      </c>
    </row>
    <row r="135" spans="1:8">
      <c r="A135" s="13">
        <v>2003761</v>
      </c>
      <c r="B135" s="13" t="s">
        <v>9</v>
      </c>
      <c r="C135" s="17" t="s">
        <v>32</v>
      </c>
      <c r="D135" s="17" t="s">
        <v>32</v>
      </c>
      <c r="E135" t="e">
        <f t="shared" si="2"/>
        <v>#VALUE!</v>
      </c>
      <c r="H135" s="30">
        <v>1</v>
      </c>
    </row>
    <row r="136" spans="1:8">
      <c r="A136" s="13">
        <v>2004061</v>
      </c>
      <c r="B136" s="13" t="s">
        <v>9</v>
      </c>
      <c r="C136" s="19">
        <v>4</v>
      </c>
      <c r="D136" s="19">
        <v>4</v>
      </c>
      <c r="E136">
        <f t="shared" si="2"/>
        <v>0</v>
      </c>
      <c r="H136" s="2">
        <v>-14</v>
      </c>
    </row>
    <row r="137" spans="1:8">
      <c r="A137" s="13">
        <v>2006469</v>
      </c>
      <c r="B137" s="13" t="s">
        <v>9</v>
      </c>
      <c r="C137" s="17" t="s">
        <v>32</v>
      </c>
      <c r="D137" s="17" t="s">
        <v>32</v>
      </c>
      <c r="E137" t="e">
        <f t="shared" si="2"/>
        <v>#VALUE!</v>
      </c>
      <c r="H137" s="30">
        <v>0</v>
      </c>
    </row>
    <row r="138" spans="1:8">
      <c r="A138" s="13">
        <v>3005132</v>
      </c>
      <c r="B138" s="13" t="s">
        <v>9</v>
      </c>
      <c r="C138" s="19" t="s">
        <v>32</v>
      </c>
      <c r="D138" s="19" t="s">
        <v>32</v>
      </c>
      <c r="E138" t="e">
        <f t="shared" si="2"/>
        <v>#VALUE!</v>
      </c>
      <c r="H138" s="2" t="e">
        <v>#VALUE!</v>
      </c>
    </row>
    <row r="139" spans="1:8">
      <c r="A139" s="13">
        <v>3009119</v>
      </c>
      <c r="B139" s="13" t="s">
        <v>9</v>
      </c>
      <c r="C139" s="17" t="s">
        <v>32</v>
      </c>
      <c r="D139" s="17" t="s">
        <v>32</v>
      </c>
      <c r="E139" t="e">
        <f t="shared" si="2"/>
        <v>#VALUE!</v>
      </c>
      <c r="H139" s="30">
        <v>-35</v>
      </c>
    </row>
    <row r="140" spans="1:8">
      <c r="A140" s="13">
        <v>3009936</v>
      </c>
      <c r="B140" s="13" t="s">
        <v>9</v>
      </c>
      <c r="C140" s="19" t="s">
        <v>32</v>
      </c>
      <c r="D140" s="19" t="s">
        <v>32</v>
      </c>
      <c r="E140" t="e">
        <f t="shared" si="2"/>
        <v>#VALUE!</v>
      </c>
      <c r="H140" s="2" t="e">
        <v>#VALUE!</v>
      </c>
    </row>
    <row r="141" spans="1:8">
      <c r="A141" s="13">
        <v>3011094</v>
      </c>
      <c r="B141" s="13" t="s">
        <v>9</v>
      </c>
      <c r="C141" s="17" t="s">
        <v>32</v>
      </c>
      <c r="D141" s="17" t="s">
        <v>32</v>
      </c>
      <c r="E141" t="e">
        <f t="shared" si="2"/>
        <v>#VALUE!</v>
      </c>
      <c r="H141" s="30">
        <v>0</v>
      </c>
    </row>
    <row r="142" spans="1:8">
      <c r="A142" s="13">
        <v>3014643</v>
      </c>
      <c r="B142" s="13" t="s">
        <v>9</v>
      </c>
      <c r="C142" s="19">
        <v>4</v>
      </c>
      <c r="D142" s="19">
        <v>11</v>
      </c>
      <c r="E142">
        <f t="shared" si="2"/>
        <v>7</v>
      </c>
      <c r="H142" s="2" t="e">
        <v>#VALUE!</v>
      </c>
    </row>
    <row r="143" spans="1:8">
      <c r="A143" s="13">
        <v>3016056</v>
      </c>
      <c r="B143" s="13" t="s">
        <v>9</v>
      </c>
      <c r="C143" s="17" t="s">
        <v>32</v>
      </c>
      <c r="D143" s="17" t="s">
        <v>32</v>
      </c>
      <c r="E143" t="e">
        <f t="shared" si="2"/>
        <v>#VALUE!</v>
      </c>
      <c r="H143" s="30" t="e">
        <v>#VALUE!</v>
      </c>
    </row>
    <row r="144" spans="1:8">
      <c r="A144" s="13">
        <v>3900219</v>
      </c>
      <c r="B144" s="13" t="s">
        <v>9</v>
      </c>
      <c r="C144" s="19">
        <v>25</v>
      </c>
      <c r="D144" s="19">
        <v>16</v>
      </c>
      <c r="E144">
        <f t="shared" si="2"/>
        <v>-9</v>
      </c>
      <c r="H144" s="2" t="e">
        <v>#VALUE!</v>
      </c>
    </row>
    <row r="145" spans="1:8">
      <c r="A145" s="13">
        <v>4000158</v>
      </c>
      <c r="B145" s="13" t="s">
        <v>9</v>
      </c>
      <c r="C145" s="17">
        <v>9</v>
      </c>
      <c r="D145" s="17">
        <v>11</v>
      </c>
      <c r="E145">
        <f t="shared" si="2"/>
        <v>2</v>
      </c>
      <c r="H145" s="30" t="e">
        <v>#VALUE!</v>
      </c>
    </row>
    <row r="146" spans="1:8">
      <c r="A146" s="13">
        <v>4000304</v>
      </c>
      <c r="B146" s="13" t="s">
        <v>9</v>
      </c>
      <c r="C146" s="19" t="s">
        <v>32</v>
      </c>
      <c r="D146" s="19" t="s">
        <v>32</v>
      </c>
      <c r="E146" t="e">
        <f t="shared" si="2"/>
        <v>#VALUE!</v>
      </c>
      <c r="H146" s="2" t="e">
        <v>#VALUE!</v>
      </c>
    </row>
    <row r="147" spans="1:8">
      <c r="A147" s="13">
        <v>4001905</v>
      </c>
      <c r="B147" s="13" t="s">
        <v>9</v>
      </c>
      <c r="C147" s="17">
        <v>4</v>
      </c>
      <c r="D147" s="17">
        <v>5</v>
      </c>
      <c r="E147">
        <f t="shared" si="2"/>
        <v>1</v>
      </c>
    </row>
    <row r="148" spans="1:8">
      <c r="A148" s="13">
        <v>4002206</v>
      </c>
      <c r="B148" s="13" t="s">
        <v>9</v>
      </c>
      <c r="C148" s="19">
        <v>8</v>
      </c>
      <c r="D148" s="19">
        <v>8</v>
      </c>
      <c r="E148">
        <f t="shared" si="2"/>
        <v>0</v>
      </c>
    </row>
    <row r="149" spans="1:8">
      <c r="A149" s="13">
        <v>4002715</v>
      </c>
      <c r="B149" s="13" t="s">
        <v>9</v>
      </c>
      <c r="C149" s="17" t="s">
        <v>32</v>
      </c>
      <c r="D149" s="17" t="s">
        <v>32</v>
      </c>
      <c r="E149" t="e">
        <f t="shared" si="2"/>
        <v>#VALUE!</v>
      </c>
    </row>
    <row r="150" spans="1:8">
      <c r="A150" s="13">
        <v>4003924</v>
      </c>
      <c r="B150" s="13" t="s">
        <v>9</v>
      </c>
      <c r="C150" s="19" t="s">
        <v>32</v>
      </c>
      <c r="D150" s="19" t="s">
        <v>32</v>
      </c>
      <c r="E150" t="e">
        <f t="shared" si="2"/>
        <v>#VALUE!</v>
      </c>
    </row>
    <row r="151" spans="1:8">
      <c r="A151" s="13">
        <v>4006051</v>
      </c>
      <c r="B151" s="13" t="s">
        <v>9</v>
      </c>
      <c r="C151" s="17" t="s">
        <v>32</v>
      </c>
      <c r="D151" s="17" t="s">
        <v>32</v>
      </c>
      <c r="E151" t="e">
        <f t="shared" si="2"/>
        <v>#VALUE!</v>
      </c>
    </row>
    <row r="152" spans="1:8">
      <c r="A152" s="13">
        <v>4008140</v>
      </c>
      <c r="B152" s="13" t="s">
        <v>9</v>
      </c>
      <c r="C152" s="19">
        <v>12</v>
      </c>
      <c r="D152" s="19">
        <v>17</v>
      </c>
      <c r="E152">
        <f t="shared" si="2"/>
        <v>5</v>
      </c>
    </row>
    <row r="153" spans="1:8">
      <c r="A153" s="13">
        <v>4009906</v>
      </c>
      <c r="B153" s="13" t="s">
        <v>9</v>
      </c>
      <c r="C153" s="17" t="s">
        <v>32</v>
      </c>
      <c r="D153" s="17" t="s">
        <v>32</v>
      </c>
      <c r="E153" t="e">
        <f t="shared" si="2"/>
        <v>#VALUE!</v>
      </c>
    </row>
    <row r="154" spans="1:8">
      <c r="A154" s="13">
        <v>4011027</v>
      </c>
      <c r="B154" s="13" t="s">
        <v>9</v>
      </c>
      <c r="C154" s="19">
        <v>18</v>
      </c>
      <c r="D154" s="19">
        <v>19</v>
      </c>
      <c r="E154">
        <f t="shared" si="2"/>
        <v>1</v>
      </c>
    </row>
    <row r="155" spans="1:8">
      <c r="A155" s="13">
        <v>4011920</v>
      </c>
      <c r="B155" s="13" t="s">
        <v>9</v>
      </c>
      <c r="C155" s="17" t="s">
        <v>32</v>
      </c>
      <c r="D155" s="17" t="s">
        <v>32</v>
      </c>
      <c r="E155" t="e">
        <f t="shared" si="2"/>
        <v>#VALUE!</v>
      </c>
    </row>
    <row r="156" spans="1:8">
      <c r="A156" s="13">
        <v>4012248</v>
      </c>
      <c r="B156" s="13" t="s">
        <v>9</v>
      </c>
      <c r="C156" s="19">
        <v>40</v>
      </c>
      <c r="D156" s="19">
        <v>25</v>
      </c>
      <c r="E156">
        <f t="shared" si="2"/>
        <v>-15</v>
      </c>
    </row>
    <row r="157" spans="1:8">
      <c r="A157" s="13">
        <v>4013603</v>
      </c>
      <c r="B157" s="13" t="s">
        <v>9</v>
      </c>
      <c r="C157" s="17">
        <v>6</v>
      </c>
      <c r="D157" s="17">
        <v>37</v>
      </c>
      <c r="E157">
        <f t="shared" si="2"/>
        <v>31</v>
      </c>
    </row>
    <row r="158" spans="1:8">
      <c r="A158" s="13">
        <v>5004654</v>
      </c>
      <c r="B158" s="13" t="s">
        <v>9</v>
      </c>
      <c r="C158" s="19">
        <v>17</v>
      </c>
      <c r="D158" s="19">
        <v>17</v>
      </c>
      <c r="E158">
        <f t="shared" si="2"/>
        <v>0</v>
      </c>
    </row>
    <row r="159" spans="1:8">
      <c r="A159" s="13">
        <v>5008807</v>
      </c>
      <c r="B159" s="13" t="s">
        <v>9</v>
      </c>
      <c r="C159" s="17">
        <v>20</v>
      </c>
      <c r="D159" s="17">
        <v>20</v>
      </c>
      <c r="E159">
        <f t="shared" si="2"/>
        <v>0</v>
      </c>
    </row>
    <row r="160" spans="1:8">
      <c r="A160" s="13">
        <v>5009400</v>
      </c>
      <c r="B160" s="13" t="s">
        <v>9</v>
      </c>
      <c r="C160" s="19" t="s">
        <v>32</v>
      </c>
      <c r="D160" s="19" t="s">
        <v>32</v>
      </c>
      <c r="E160" t="e">
        <f t="shared" si="2"/>
        <v>#VALUE!</v>
      </c>
    </row>
    <row r="161" spans="1:5">
      <c r="A161" s="13">
        <v>5016255</v>
      </c>
      <c r="B161" s="13" t="s">
        <v>9</v>
      </c>
      <c r="C161" s="17" t="s">
        <v>32</v>
      </c>
      <c r="D161" s="17" t="s">
        <v>32</v>
      </c>
      <c r="E161" t="e">
        <f t="shared" si="2"/>
        <v>#VALUE!</v>
      </c>
    </row>
    <row r="162" spans="1:5">
      <c r="A162" s="13">
        <v>6012448</v>
      </c>
      <c r="B162" s="13" t="s">
        <v>9</v>
      </c>
      <c r="C162" s="19">
        <v>5</v>
      </c>
      <c r="D162" s="19">
        <v>8</v>
      </c>
      <c r="E162">
        <f t="shared" si="2"/>
        <v>3</v>
      </c>
    </row>
    <row r="163" spans="1:5">
      <c r="A163" s="13">
        <v>7000457</v>
      </c>
      <c r="B163" s="13" t="s">
        <v>9</v>
      </c>
      <c r="C163" s="17" t="s">
        <v>32</v>
      </c>
      <c r="D163" s="17" t="s">
        <v>32</v>
      </c>
      <c r="E163" t="e">
        <f t="shared" si="2"/>
        <v>#VALUE!</v>
      </c>
    </row>
    <row r="164" spans="1:5">
      <c r="A164" s="13">
        <v>7072644</v>
      </c>
      <c r="B164" s="13" t="s">
        <v>9</v>
      </c>
      <c r="C164" s="19">
        <v>16</v>
      </c>
      <c r="D164" s="19">
        <v>18</v>
      </c>
      <c r="E164">
        <f t="shared" si="2"/>
        <v>2</v>
      </c>
    </row>
    <row r="165" spans="1:5">
      <c r="A165" s="13">
        <v>7126387</v>
      </c>
      <c r="B165" s="13" t="s">
        <v>9</v>
      </c>
      <c r="C165" s="17">
        <v>87</v>
      </c>
      <c r="D165" s="17">
        <v>77</v>
      </c>
      <c r="E165">
        <f t="shared" si="2"/>
        <v>-10</v>
      </c>
    </row>
    <row r="166" spans="1:5">
      <c r="A166" s="13">
        <v>10185935</v>
      </c>
      <c r="B166" s="13" t="s">
        <v>9</v>
      </c>
      <c r="C166" s="19">
        <v>7</v>
      </c>
      <c r="D166" s="19">
        <v>8</v>
      </c>
      <c r="E166">
        <f t="shared" si="2"/>
        <v>1</v>
      </c>
    </row>
    <row r="167" spans="1:5">
      <c r="A167" s="13">
        <v>11061215</v>
      </c>
      <c r="B167" s="13" t="s">
        <v>9</v>
      </c>
      <c r="C167" s="17" t="s">
        <v>32</v>
      </c>
      <c r="D167" s="17" t="s">
        <v>32</v>
      </c>
      <c r="E167" t="e">
        <f t="shared" si="2"/>
        <v>#VALUE!</v>
      </c>
    </row>
    <row r="168" spans="1:5">
      <c r="A168" s="13">
        <v>93008468</v>
      </c>
      <c r="B168" s="13" t="s">
        <v>9</v>
      </c>
      <c r="C168" s="19" t="s">
        <v>32</v>
      </c>
      <c r="D168" s="19" t="s">
        <v>32</v>
      </c>
      <c r="E168" t="e">
        <f t="shared" si="2"/>
        <v>#VALUE!</v>
      </c>
    </row>
    <row r="169" spans="1:5">
      <c r="A169" s="13">
        <v>93016155</v>
      </c>
      <c r="B169" s="13" t="s">
        <v>9</v>
      </c>
      <c r="C169" s="17" t="s">
        <v>32</v>
      </c>
      <c r="D169" s="17" t="s">
        <v>32</v>
      </c>
      <c r="E169" t="e">
        <f t="shared" si="2"/>
        <v>#VALUE!</v>
      </c>
    </row>
    <row r="170" spans="1:5">
      <c r="A170" s="13">
        <v>93018845</v>
      </c>
      <c r="B170" s="13" t="s">
        <v>9</v>
      </c>
      <c r="C170" s="19">
        <v>31</v>
      </c>
      <c r="D170" s="19">
        <v>15</v>
      </c>
      <c r="E170">
        <f t="shared" si="2"/>
        <v>-16</v>
      </c>
    </row>
    <row r="171" spans="1:5">
      <c r="A171" s="13" t="s">
        <v>14</v>
      </c>
      <c r="B171" s="13" t="s">
        <v>9</v>
      </c>
      <c r="C171" s="17" t="s">
        <v>32</v>
      </c>
      <c r="D171" s="17" t="s">
        <v>32</v>
      </c>
      <c r="E171" t="e">
        <f t="shared" si="2"/>
        <v>#VALUE!</v>
      </c>
    </row>
    <row r="172" spans="1:5">
      <c r="A172" s="13">
        <v>94006009</v>
      </c>
      <c r="B172" s="13" t="s">
        <v>9</v>
      </c>
      <c r="C172" s="19" t="s">
        <v>32</v>
      </c>
      <c r="D172" s="19" t="s">
        <v>32</v>
      </c>
      <c r="E172" t="e">
        <f t="shared" si="2"/>
        <v>#VALUE!</v>
      </c>
    </row>
    <row r="173" spans="1:5">
      <c r="A173" s="13">
        <v>94014126</v>
      </c>
      <c r="B173" s="13" t="s">
        <v>9</v>
      </c>
      <c r="C173" s="17" t="s">
        <v>32</v>
      </c>
      <c r="D173" s="17" t="s">
        <v>32</v>
      </c>
      <c r="E173" t="e">
        <f t="shared" si="2"/>
        <v>#VALUE!</v>
      </c>
    </row>
    <row r="174" spans="1:5">
      <c r="A174" s="13">
        <v>94900361</v>
      </c>
      <c r="B174" s="13" t="s">
        <v>9</v>
      </c>
      <c r="C174" s="19" t="s">
        <v>32</v>
      </c>
      <c r="D174" s="19" t="s">
        <v>32</v>
      </c>
      <c r="E174" t="e">
        <f t="shared" si="2"/>
        <v>#VALUE!</v>
      </c>
    </row>
    <row r="175" spans="1:5">
      <c r="A175" s="13">
        <v>94901890</v>
      </c>
      <c r="B175" s="13" t="s">
        <v>9</v>
      </c>
      <c r="C175" s="17">
        <v>10</v>
      </c>
      <c r="D175" s="17">
        <v>10</v>
      </c>
      <c r="E175">
        <f t="shared" si="2"/>
        <v>0</v>
      </c>
    </row>
    <row r="176" spans="1:5">
      <c r="A176" s="13">
        <v>95001046</v>
      </c>
      <c r="B176" s="13" t="s">
        <v>9</v>
      </c>
      <c r="C176" s="19" t="s">
        <v>32</v>
      </c>
      <c r="D176" s="19" t="s">
        <v>32</v>
      </c>
      <c r="E176" t="e">
        <f t="shared" si="2"/>
        <v>#VALUE!</v>
      </c>
    </row>
    <row r="177" spans="1:5">
      <c r="A177" s="13">
        <v>96004031</v>
      </c>
      <c r="B177" s="13" t="s">
        <v>9</v>
      </c>
      <c r="C177" s="17">
        <v>12</v>
      </c>
      <c r="D177" s="17">
        <v>13</v>
      </c>
      <c r="E177">
        <f t="shared" si="2"/>
        <v>1</v>
      </c>
    </row>
    <row r="178" spans="1:5">
      <c r="A178" s="13">
        <v>97004458</v>
      </c>
      <c r="B178" s="13" t="s">
        <v>9</v>
      </c>
      <c r="C178" s="19">
        <v>65</v>
      </c>
      <c r="D178" s="19">
        <v>51</v>
      </c>
      <c r="E178">
        <f t="shared" si="2"/>
        <v>-14</v>
      </c>
    </row>
    <row r="179" spans="1:5">
      <c r="A179" s="13">
        <v>97009212</v>
      </c>
      <c r="B179" s="13" t="s">
        <v>9</v>
      </c>
      <c r="C179" s="17">
        <v>50</v>
      </c>
      <c r="D179" s="17">
        <v>50</v>
      </c>
      <c r="E179">
        <f t="shared" si="2"/>
        <v>0</v>
      </c>
    </row>
    <row r="180" spans="1:5">
      <c r="A180" s="13">
        <v>98006038</v>
      </c>
      <c r="B180" s="13" t="s">
        <v>9</v>
      </c>
      <c r="C180" s="19" t="s">
        <v>32</v>
      </c>
      <c r="D180" s="19" t="s">
        <v>32</v>
      </c>
      <c r="E180" t="e">
        <f t="shared" si="2"/>
        <v>#VALUE!</v>
      </c>
    </row>
    <row r="181" spans="1:5">
      <c r="A181" s="13">
        <v>98009041</v>
      </c>
      <c r="B181" s="13" t="s">
        <v>9</v>
      </c>
      <c r="C181" s="17">
        <v>58</v>
      </c>
      <c r="D181" s="17">
        <v>23</v>
      </c>
      <c r="E181">
        <f t="shared" si="2"/>
        <v>-35</v>
      </c>
    </row>
    <row r="182" spans="1:5">
      <c r="A182" s="13">
        <v>99000714</v>
      </c>
      <c r="B182" s="13" t="s">
        <v>9</v>
      </c>
      <c r="C182" s="19" t="s">
        <v>32</v>
      </c>
      <c r="D182" s="19" t="s">
        <v>32</v>
      </c>
      <c r="E182" t="e">
        <f t="shared" si="2"/>
        <v>#VALUE!</v>
      </c>
    </row>
    <row r="183" spans="1:5">
      <c r="A183" s="13">
        <v>99007116</v>
      </c>
      <c r="B183" s="13" t="s">
        <v>9</v>
      </c>
      <c r="C183" s="17">
        <v>16</v>
      </c>
      <c r="D183" s="17">
        <v>16</v>
      </c>
      <c r="E183">
        <f t="shared" si="2"/>
        <v>0</v>
      </c>
    </row>
    <row r="184" spans="1:5">
      <c r="A184" s="13">
        <v>99901293</v>
      </c>
      <c r="B184" s="13" t="s">
        <v>9</v>
      </c>
      <c r="C184" s="19" t="s">
        <v>32</v>
      </c>
      <c r="D184" s="19" t="s">
        <v>32</v>
      </c>
      <c r="E184" t="e">
        <f t="shared" si="2"/>
        <v>#VALUE!</v>
      </c>
    </row>
    <row r="185" spans="1:5">
      <c r="A185" s="13">
        <v>99901604</v>
      </c>
      <c r="B185" s="13" t="s">
        <v>9</v>
      </c>
      <c r="C185" s="17" t="s">
        <v>32</v>
      </c>
      <c r="D185" s="17" t="s">
        <v>32</v>
      </c>
      <c r="E185" t="e">
        <f t="shared" si="2"/>
        <v>#VALUE!</v>
      </c>
    </row>
    <row r="186" spans="1:5">
      <c r="A186" s="13">
        <v>3017227</v>
      </c>
      <c r="B186" s="13" t="s">
        <v>9</v>
      </c>
      <c r="C186" s="19" t="s">
        <v>32</v>
      </c>
      <c r="D186" s="19" t="s">
        <v>32</v>
      </c>
      <c r="E186" t="e">
        <f t="shared" si="2"/>
        <v>#VALUE!</v>
      </c>
    </row>
    <row r="187" spans="1:5">
      <c r="A187" s="13">
        <v>2007648</v>
      </c>
      <c r="B187" s="13" t="s">
        <v>9</v>
      </c>
      <c r="C187" s="17" t="s">
        <v>32</v>
      </c>
      <c r="D187" s="17" t="s">
        <v>32</v>
      </c>
      <c r="E187" t="e">
        <f t="shared" si="2"/>
        <v>#VALUE!</v>
      </c>
    </row>
    <row r="188" spans="1:5">
      <c r="A188" s="13">
        <v>3008510</v>
      </c>
      <c r="B188" s="13" t="s">
        <v>9</v>
      </c>
      <c r="C188" s="19" t="s">
        <v>32</v>
      </c>
      <c r="D188" s="19" t="s">
        <v>32</v>
      </c>
      <c r="E188" t="e">
        <f t="shared" si="2"/>
        <v>#VALUE!</v>
      </c>
    </row>
    <row r="189" spans="1:5">
      <c r="A189" s="13"/>
      <c r="B189" s="13"/>
      <c r="C189" s="17" t="s">
        <v>32</v>
      </c>
      <c r="D189" s="17" t="s">
        <v>32</v>
      </c>
      <c r="E189" t="e">
        <f t="shared" si="2"/>
        <v>#VALUE!</v>
      </c>
    </row>
    <row r="190" spans="1:5">
      <c r="A190" s="13">
        <v>4289</v>
      </c>
      <c r="B190" s="13" t="s">
        <v>15</v>
      </c>
      <c r="C190" s="19" t="s">
        <v>32</v>
      </c>
      <c r="D190" s="19" t="s">
        <v>32</v>
      </c>
      <c r="E190" t="e">
        <f t="shared" si="2"/>
        <v>#VALUE!</v>
      </c>
    </row>
    <row r="191" spans="1:5">
      <c r="A191" s="13">
        <v>500245</v>
      </c>
      <c r="B191" s="13" t="s">
        <v>15</v>
      </c>
      <c r="C191" s="17">
        <v>13</v>
      </c>
      <c r="D191" s="17">
        <v>13</v>
      </c>
      <c r="E191">
        <f t="shared" si="2"/>
        <v>0</v>
      </c>
    </row>
    <row r="192" spans="1:5">
      <c r="A192" s="13">
        <v>2002573</v>
      </c>
      <c r="B192" s="13" t="s">
        <v>15</v>
      </c>
      <c r="C192" s="19">
        <v>11</v>
      </c>
      <c r="D192" s="19">
        <v>19</v>
      </c>
      <c r="E192">
        <f t="shared" si="2"/>
        <v>8</v>
      </c>
    </row>
    <row r="193" spans="1:5">
      <c r="A193" s="13">
        <v>2003539</v>
      </c>
      <c r="B193" s="13" t="s">
        <v>15</v>
      </c>
      <c r="C193" s="17" t="s">
        <v>32</v>
      </c>
      <c r="D193" s="17" t="s">
        <v>32</v>
      </c>
      <c r="E193" t="e">
        <f t="shared" si="2"/>
        <v>#VALUE!</v>
      </c>
    </row>
    <row r="194" spans="1:5">
      <c r="A194" s="13">
        <v>2003649</v>
      </c>
      <c r="B194" s="13" t="s">
        <v>15</v>
      </c>
      <c r="C194" s="19">
        <v>58</v>
      </c>
      <c r="D194" s="19">
        <v>58</v>
      </c>
      <c r="E194">
        <f t="shared" si="2"/>
        <v>0</v>
      </c>
    </row>
    <row r="195" spans="1:5">
      <c r="A195" s="13">
        <v>2005572</v>
      </c>
      <c r="B195" s="13" t="s">
        <v>15</v>
      </c>
      <c r="C195" s="17" t="s">
        <v>32</v>
      </c>
      <c r="D195" s="17" t="s">
        <v>32</v>
      </c>
      <c r="E195" t="e">
        <f t="shared" ref="E195:E258" si="3">D195-C195</f>
        <v>#VALUE!</v>
      </c>
    </row>
    <row r="196" spans="1:5">
      <c r="A196" s="13">
        <v>2013117</v>
      </c>
      <c r="B196" s="13" t="s">
        <v>15</v>
      </c>
      <c r="C196" s="19" t="s">
        <v>32</v>
      </c>
      <c r="D196" s="19" t="s">
        <v>32</v>
      </c>
      <c r="E196" t="e">
        <f t="shared" si="3"/>
        <v>#VALUE!</v>
      </c>
    </row>
    <row r="197" spans="1:5">
      <c r="A197" s="13">
        <v>3009633</v>
      </c>
      <c r="B197" s="13" t="s">
        <v>15</v>
      </c>
      <c r="C197" s="17" t="s">
        <v>32</v>
      </c>
      <c r="D197" s="17" t="s">
        <v>32</v>
      </c>
      <c r="E197" t="e">
        <f t="shared" si="3"/>
        <v>#VALUE!</v>
      </c>
    </row>
    <row r="198" spans="1:5">
      <c r="A198" s="13">
        <v>3010583</v>
      </c>
      <c r="B198" s="13" t="s">
        <v>15</v>
      </c>
      <c r="C198" s="19" t="s">
        <v>32</v>
      </c>
      <c r="D198" s="19" t="s">
        <v>32</v>
      </c>
      <c r="E198" t="e">
        <f t="shared" si="3"/>
        <v>#VALUE!</v>
      </c>
    </row>
    <row r="199" spans="1:5">
      <c r="A199" s="28">
        <v>3011892</v>
      </c>
      <c r="B199" s="13" t="s">
        <v>15</v>
      </c>
      <c r="C199" s="17" t="s">
        <v>32</v>
      </c>
      <c r="D199" s="17" t="s">
        <v>32</v>
      </c>
      <c r="E199" t="e">
        <f t="shared" si="3"/>
        <v>#VALUE!</v>
      </c>
    </row>
    <row r="200" spans="1:5">
      <c r="A200" s="13">
        <v>4001382</v>
      </c>
      <c r="B200" s="13" t="s">
        <v>15</v>
      </c>
      <c r="C200" s="19" t="s">
        <v>32</v>
      </c>
      <c r="D200" s="19" t="s">
        <v>32</v>
      </c>
      <c r="E200" t="e">
        <f t="shared" si="3"/>
        <v>#VALUE!</v>
      </c>
    </row>
    <row r="201" spans="1:5">
      <c r="A201" s="13">
        <v>5018675</v>
      </c>
      <c r="B201" s="13" t="s">
        <v>15</v>
      </c>
      <c r="C201" s="17" t="s">
        <v>32</v>
      </c>
      <c r="D201" s="17" t="s">
        <v>32</v>
      </c>
      <c r="E201" t="e">
        <f t="shared" si="3"/>
        <v>#VALUE!</v>
      </c>
    </row>
    <row r="202" spans="1:5">
      <c r="A202" s="13">
        <v>6050168</v>
      </c>
      <c r="B202" s="13" t="s">
        <v>15</v>
      </c>
      <c r="C202" s="19">
        <v>11</v>
      </c>
      <c r="D202" s="19">
        <v>12</v>
      </c>
      <c r="E202">
        <f t="shared" si="3"/>
        <v>1</v>
      </c>
    </row>
    <row r="203" spans="1:5">
      <c r="A203" s="13">
        <v>7003242</v>
      </c>
      <c r="B203" s="13" t="s">
        <v>15</v>
      </c>
      <c r="C203" s="17" t="s">
        <v>32</v>
      </c>
      <c r="D203" s="17" t="s">
        <v>32</v>
      </c>
      <c r="E203" t="e">
        <f t="shared" si="3"/>
        <v>#VALUE!</v>
      </c>
    </row>
    <row r="204" spans="1:5">
      <c r="A204" s="13">
        <v>12022536</v>
      </c>
      <c r="B204" s="13" t="s">
        <v>15</v>
      </c>
      <c r="C204" s="19" t="s">
        <v>32</v>
      </c>
      <c r="D204" s="19" t="s">
        <v>32</v>
      </c>
      <c r="E204" t="e">
        <f t="shared" si="3"/>
        <v>#VALUE!</v>
      </c>
    </row>
    <row r="205" spans="1:5">
      <c r="A205" s="13">
        <v>13020792</v>
      </c>
      <c r="B205" s="13" t="s">
        <v>15</v>
      </c>
      <c r="C205" s="17" t="s">
        <v>32</v>
      </c>
      <c r="D205" s="17" t="s">
        <v>32</v>
      </c>
      <c r="E205" t="e">
        <f t="shared" si="3"/>
        <v>#VALUE!</v>
      </c>
    </row>
    <row r="206" spans="1:5">
      <c r="A206" s="13">
        <v>97005797</v>
      </c>
      <c r="B206" s="13" t="s">
        <v>15</v>
      </c>
      <c r="C206" s="19">
        <v>12</v>
      </c>
      <c r="D206" s="19">
        <v>12</v>
      </c>
      <c r="E206">
        <f t="shared" si="3"/>
        <v>0</v>
      </c>
    </row>
    <row r="207" spans="1:5">
      <c r="A207" s="13">
        <v>99000345</v>
      </c>
      <c r="B207" s="13" t="s">
        <v>15</v>
      </c>
      <c r="C207" s="17" t="s">
        <v>32</v>
      </c>
      <c r="D207" s="17" t="s">
        <v>32</v>
      </c>
      <c r="E207" t="e">
        <f t="shared" si="3"/>
        <v>#VALUE!</v>
      </c>
    </row>
    <row r="208" spans="1:5">
      <c r="A208" s="13">
        <v>5006592</v>
      </c>
      <c r="B208" s="13" t="s">
        <v>15</v>
      </c>
      <c r="C208" s="19" t="s">
        <v>32</v>
      </c>
      <c r="D208" s="19" t="s">
        <v>32</v>
      </c>
      <c r="E208" t="e">
        <f t="shared" si="3"/>
        <v>#VALUE!</v>
      </c>
    </row>
    <row r="209" spans="1:5">
      <c r="A209" s="13">
        <v>5007274</v>
      </c>
      <c r="B209" s="13" t="s">
        <v>15</v>
      </c>
      <c r="C209" s="17" t="s">
        <v>32</v>
      </c>
      <c r="D209" s="17" t="s">
        <v>32</v>
      </c>
      <c r="E209" t="e">
        <f t="shared" si="3"/>
        <v>#VALUE!</v>
      </c>
    </row>
    <row r="210" spans="1:5">
      <c r="A210" s="13">
        <v>5015851</v>
      </c>
      <c r="B210" s="13" t="s">
        <v>15</v>
      </c>
      <c r="C210" s="19" t="s">
        <v>32</v>
      </c>
      <c r="D210" s="19" t="s">
        <v>32</v>
      </c>
      <c r="E210" t="e">
        <f t="shared" si="3"/>
        <v>#VALUE!</v>
      </c>
    </row>
    <row r="211" spans="1:5">
      <c r="A211" s="13">
        <v>6015647</v>
      </c>
      <c r="B211" s="13" t="s">
        <v>15</v>
      </c>
      <c r="C211" s="17" t="s">
        <v>32</v>
      </c>
      <c r="D211" s="17" t="s">
        <v>32</v>
      </c>
      <c r="E211" t="e">
        <f t="shared" si="3"/>
        <v>#VALUE!</v>
      </c>
    </row>
    <row r="212" spans="1:5">
      <c r="A212" s="13">
        <v>6056633</v>
      </c>
      <c r="B212" s="13" t="s">
        <v>15</v>
      </c>
      <c r="C212" s="19" t="s">
        <v>32</v>
      </c>
      <c r="D212" s="19" t="s">
        <v>32</v>
      </c>
      <c r="E212" t="e">
        <f t="shared" si="3"/>
        <v>#VALUE!</v>
      </c>
    </row>
    <row r="213" spans="1:5">
      <c r="A213" s="13">
        <v>7086224</v>
      </c>
      <c r="B213" s="13" t="s">
        <v>15</v>
      </c>
      <c r="C213" s="17" t="s">
        <v>32</v>
      </c>
      <c r="D213" s="17" t="s">
        <v>32</v>
      </c>
      <c r="E213" t="e">
        <f t="shared" si="3"/>
        <v>#VALUE!</v>
      </c>
    </row>
    <row r="214" spans="1:5">
      <c r="A214" s="13">
        <v>8040959</v>
      </c>
      <c r="B214" s="13" t="s">
        <v>15</v>
      </c>
      <c r="C214" s="19" t="s">
        <v>32</v>
      </c>
      <c r="D214" s="19" t="s">
        <v>32</v>
      </c>
      <c r="E214" t="e">
        <f t="shared" si="3"/>
        <v>#VALUE!</v>
      </c>
    </row>
    <row r="215" spans="1:5">
      <c r="A215" s="13">
        <v>8107048</v>
      </c>
      <c r="B215" s="13" t="s">
        <v>15</v>
      </c>
      <c r="C215" s="17">
        <v>12</v>
      </c>
      <c r="D215" s="17">
        <v>12</v>
      </c>
      <c r="E215">
        <f t="shared" si="3"/>
        <v>0</v>
      </c>
    </row>
    <row r="216" spans="1:5">
      <c r="A216" s="13">
        <v>8124044</v>
      </c>
      <c r="B216" s="13" t="s">
        <v>15</v>
      </c>
      <c r="C216" s="19">
        <v>16</v>
      </c>
      <c r="D216" s="19">
        <v>27</v>
      </c>
      <c r="E216">
        <f t="shared" si="3"/>
        <v>11</v>
      </c>
    </row>
    <row r="217" spans="1:5">
      <c r="A217" s="13">
        <v>8142949</v>
      </c>
      <c r="B217" s="13" t="s">
        <v>15</v>
      </c>
      <c r="C217" s="17" t="s">
        <v>32</v>
      </c>
      <c r="D217" s="17" t="s">
        <v>32</v>
      </c>
      <c r="E217" t="e">
        <f t="shared" si="3"/>
        <v>#VALUE!</v>
      </c>
    </row>
    <row r="218" spans="1:5">
      <c r="A218" s="13">
        <v>9023306</v>
      </c>
      <c r="B218" s="13" t="s">
        <v>15</v>
      </c>
      <c r="C218" s="19" t="s">
        <v>32</v>
      </c>
      <c r="D218" s="19" t="s">
        <v>32</v>
      </c>
      <c r="E218" t="e">
        <f t="shared" si="3"/>
        <v>#VALUE!</v>
      </c>
    </row>
    <row r="219" spans="1:5">
      <c r="A219" s="13">
        <v>9034464</v>
      </c>
      <c r="B219" s="13" t="s">
        <v>15</v>
      </c>
      <c r="C219" s="17" t="s">
        <v>32</v>
      </c>
      <c r="D219" s="17" t="s">
        <v>32</v>
      </c>
      <c r="E219" t="e">
        <f t="shared" si="3"/>
        <v>#VALUE!</v>
      </c>
    </row>
    <row r="220" spans="1:5">
      <c r="A220" s="13">
        <v>9040167</v>
      </c>
      <c r="B220" s="13" t="s">
        <v>15</v>
      </c>
      <c r="C220" s="19">
        <v>9</v>
      </c>
      <c r="D220" s="19">
        <v>7</v>
      </c>
      <c r="E220">
        <f t="shared" si="3"/>
        <v>-2</v>
      </c>
    </row>
    <row r="221" spans="1:5">
      <c r="A221" s="13">
        <v>9054567</v>
      </c>
      <c r="B221" s="13" t="s">
        <v>15</v>
      </c>
      <c r="C221" s="17" t="s">
        <v>32</v>
      </c>
      <c r="D221" s="17" t="s">
        <v>32</v>
      </c>
      <c r="E221" t="e">
        <f t="shared" si="3"/>
        <v>#VALUE!</v>
      </c>
    </row>
    <row r="222" spans="1:5">
      <c r="A222" s="13">
        <v>9083682</v>
      </c>
      <c r="B222" s="13" t="s">
        <v>15</v>
      </c>
      <c r="C222" s="19">
        <v>17</v>
      </c>
      <c r="D222" s="19">
        <v>17</v>
      </c>
      <c r="E222">
        <f t="shared" si="3"/>
        <v>0</v>
      </c>
    </row>
    <row r="223" spans="1:5">
      <c r="A223" s="13">
        <v>9102044</v>
      </c>
      <c r="B223" s="13" t="s">
        <v>15</v>
      </c>
      <c r="C223" s="17" t="s">
        <v>32</v>
      </c>
      <c r="D223" s="17" t="s">
        <v>32</v>
      </c>
      <c r="E223" t="e">
        <f t="shared" si="3"/>
        <v>#VALUE!</v>
      </c>
    </row>
    <row r="224" spans="1:5">
      <c r="A224" s="13">
        <v>9119854</v>
      </c>
      <c r="B224" s="13" t="s">
        <v>15</v>
      </c>
      <c r="C224" s="19">
        <v>30</v>
      </c>
      <c r="D224" s="19">
        <v>25</v>
      </c>
      <c r="E224">
        <f t="shared" si="3"/>
        <v>-5</v>
      </c>
    </row>
    <row r="225" spans="1:5">
      <c r="A225" s="13">
        <v>9125126</v>
      </c>
      <c r="B225" s="13" t="s">
        <v>15</v>
      </c>
      <c r="C225" s="17">
        <v>6</v>
      </c>
      <c r="D225" s="17">
        <v>12</v>
      </c>
      <c r="E225">
        <f t="shared" si="3"/>
        <v>6</v>
      </c>
    </row>
    <row r="226" spans="1:5">
      <c r="A226" s="13">
        <v>9174811</v>
      </c>
      <c r="B226" s="13" t="s">
        <v>15</v>
      </c>
      <c r="C226" s="19">
        <v>2</v>
      </c>
      <c r="D226" s="19">
        <v>2</v>
      </c>
      <c r="E226">
        <f t="shared" si="3"/>
        <v>0</v>
      </c>
    </row>
    <row r="227" spans="1:5">
      <c r="A227" s="13">
        <v>10002875</v>
      </c>
      <c r="B227" s="13" t="s">
        <v>15</v>
      </c>
      <c r="C227" s="17">
        <v>7</v>
      </c>
      <c r="D227" s="17">
        <v>7</v>
      </c>
      <c r="E227">
        <f t="shared" si="3"/>
        <v>0</v>
      </c>
    </row>
    <row r="228" spans="1:5">
      <c r="A228" s="13">
        <v>10023080</v>
      </c>
      <c r="B228" s="13" t="s">
        <v>15</v>
      </c>
      <c r="C228" s="19">
        <v>3</v>
      </c>
      <c r="D228" s="19">
        <v>30</v>
      </c>
      <c r="E228">
        <f t="shared" si="3"/>
        <v>27</v>
      </c>
    </row>
    <row r="229" spans="1:5">
      <c r="A229" s="13">
        <v>10025212</v>
      </c>
      <c r="B229" s="13" t="s">
        <v>15</v>
      </c>
      <c r="C229" s="17" t="s">
        <v>32</v>
      </c>
      <c r="D229" s="17" t="s">
        <v>32</v>
      </c>
      <c r="E229" t="e">
        <f t="shared" si="3"/>
        <v>#VALUE!</v>
      </c>
    </row>
    <row r="230" spans="1:5">
      <c r="A230" s="13">
        <v>10069407</v>
      </c>
      <c r="B230" s="13" t="s">
        <v>15</v>
      </c>
      <c r="C230" s="19" t="s">
        <v>32</v>
      </c>
      <c r="D230" s="19" t="s">
        <v>32</v>
      </c>
      <c r="E230" t="e">
        <f t="shared" si="3"/>
        <v>#VALUE!</v>
      </c>
    </row>
    <row r="231" spans="1:5">
      <c r="A231" s="13">
        <v>10071135</v>
      </c>
      <c r="B231" s="13" t="s">
        <v>15</v>
      </c>
      <c r="C231" s="17">
        <v>9</v>
      </c>
      <c r="D231" s="17">
        <v>21</v>
      </c>
      <c r="E231">
        <f t="shared" si="3"/>
        <v>12</v>
      </c>
    </row>
    <row r="232" spans="1:5">
      <c r="A232" s="13">
        <v>10083649</v>
      </c>
      <c r="B232" s="13" t="s">
        <v>15</v>
      </c>
      <c r="C232" s="19" t="s">
        <v>32</v>
      </c>
      <c r="D232" s="19" t="s">
        <v>32</v>
      </c>
      <c r="E232" t="e">
        <f t="shared" si="3"/>
        <v>#VALUE!</v>
      </c>
    </row>
    <row r="233" spans="1:5">
      <c r="A233" s="13">
        <v>10102021</v>
      </c>
      <c r="B233" s="13" t="s">
        <v>15</v>
      </c>
      <c r="C233" s="17" t="s">
        <v>32</v>
      </c>
      <c r="D233" s="17" t="s">
        <v>32</v>
      </c>
      <c r="E233" t="e">
        <f t="shared" si="3"/>
        <v>#VALUE!</v>
      </c>
    </row>
    <row r="234" spans="1:5">
      <c r="A234" s="13">
        <v>10123729</v>
      </c>
      <c r="B234" s="13" t="s">
        <v>15</v>
      </c>
      <c r="C234" s="19">
        <v>23</v>
      </c>
      <c r="D234" s="19">
        <v>23</v>
      </c>
      <c r="E234">
        <f t="shared" si="3"/>
        <v>0</v>
      </c>
    </row>
    <row r="235" spans="1:5">
      <c r="A235" s="13">
        <v>10144736</v>
      </c>
      <c r="B235" s="13" t="s">
        <v>15</v>
      </c>
      <c r="C235" s="17">
        <v>4</v>
      </c>
      <c r="D235" s="17">
        <v>4</v>
      </c>
      <c r="E235">
        <f t="shared" si="3"/>
        <v>0</v>
      </c>
    </row>
    <row r="236" spans="1:5">
      <c r="A236" s="13">
        <v>10157275</v>
      </c>
      <c r="B236" s="13" t="s">
        <v>15</v>
      </c>
      <c r="C236" s="19" t="s">
        <v>32</v>
      </c>
      <c r="D236" s="19" t="s">
        <v>32</v>
      </c>
      <c r="E236" t="e">
        <f t="shared" si="3"/>
        <v>#VALUE!</v>
      </c>
    </row>
    <row r="237" spans="1:5">
      <c r="A237" s="13">
        <v>10190869</v>
      </c>
      <c r="B237" s="13" t="s">
        <v>15</v>
      </c>
      <c r="C237" s="17" t="s">
        <v>32</v>
      </c>
      <c r="D237" s="17" t="s">
        <v>32</v>
      </c>
      <c r="E237" t="e">
        <f t="shared" si="3"/>
        <v>#VALUE!</v>
      </c>
    </row>
    <row r="238" spans="1:5">
      <c r="A238" s="13">
        <v>11008417</v>
      </c>
      <c r="B238" s="13" t="s">
        <v>15</v>
      </c>
      <c r="C238" s="19">
        <v>39</v>
      </c>
      <c r="D238" s="19">
        <v>39</v>
      </c>
      <c r="E238">
        <f t="shared" si="3"/>
        <v>0</v>
      </c>
    </row>
    <row r="239" spans="1:5">
      <c r="A239" s="13">
        <v>11043926</v>
      </c>
      <c r="B239" s="13" t="s">
        <v>15</v>
      </c>
      <c r="C239" s="17" t="s">
        <v>32</v>
      </c>
      <c r="D239" s="17" t="s">
        <v>32</v>
      </c>
      <c r="E239" t="e">
        <f t="shared" si="3"/>
        <v>#VALUE!</v>
      </c>
    </row>
    <row r="240" spans="1:5">
      <c r="A240" s="13">
        <v>11049060</v>
      </c>
      <c r="B240" s="13" t="s">
        <v>15</v>
      </c>
      <c r="C240" s="19" t="s">
        <v>32</v>
      </c>
      <c r="D240" s="19" t="s">
        <v>32</v>
      </c>
      <c r="E240" t="e">
        <f t="shared" si="3"/>
        <v>#VALUE!</v>
      </c>
    </row>
    <row r="241" spans="1:5">
      <c r="A241" s="13">
        <v>11058012</v>
      </c>
      <c r="B241" s="13" t="s">
        <v>15</v>
      </c>
      <c r="C241" s="17">
        <v>14</v>
      </c>
      <c r="D241" s="17" t="s">
        <v>32</v>
      </c>
      <c r="E241" t="e">
        <f t="shared" si="3"/>
        <v>#VALUE!</v>
      </c>
    </row>
    <row r="242" spans="1:5">
      <c r="A242" s="13">
        <v>11082290</v>
      </c>
      <c r="B242" s="13" t="s">
        <v>15</v>
      </c>
      <c r="C242" s="19" t="s">
        <v>32</v>
      </c>
      <c r="D242" s="19" t="s">
        <v>32</v>
      </c>
      <c r="E242" t="e">
        <f t="shared" si="3"/>
        <v>#VALUE!</v>
      </c>
    </row>
    <row r="243" spans="1:5">
      <c r="A243" s="13">
        <v>11096431</v>
      </c>
      <c r="B243" s="13" t="s">
        <v>15</v>
      </c>
      <c r="C243" s="17" t="s">
        <v>32</v>
      </c>
      <c r="D243" s="17" t="s">
        <v>32</v>
      </c>
      <c r="E243" t="e">
        <f t="shared" si="3"/>
        <v>#VALUE!</v>
      </c>
    </row>
    <row r="244" spans="1:5">
      <c r="A244" s="13">
        <v>11105672</v>
      </c>
      <c r="B244" s="13" t="s">
        <v>15</v>
      </c>
      <c r="C244" s="19">
        <v>113</v>
      </c>
      <c r="D244" s="19">
        <v>117</v>
      </c>
      <c r="E244">
        <f t="shared" si="3"/>
        <v>4</v>
      </c>
    </row>
    <row r="245" spans="1:5">
      <c r="A245" s="13" t="s">
        <v>16</v>
      </c>
      <c r="B245" s="13" t="s">
        <v>15</v>
      </c>
      <c r="C245" s="17">
        <v>38</v>
      </c>
      <c r="D245" s="17">
        <v>38</v>
      </c>
      <c r="E245">
        <f t="shared" si="3"/>
        <v>0</v>
      </c>
    </row>
    <row r="246" spans="1:5">
      <c r="A246" s="13">
        <v>11136262</v>
      </c>
      <c r="B246" s="13" t="s">
        <v>15</v>
      </c>
      <c r="C246" s="19" t="s">
        <v>32</v>
      </c>
      <c r="D246" s="19" t="s">
        <v>32</v>
      </c>
      <c r="E246" t="e">
        <f t="shared" si="3"/>
        <v>#VALUE!</v>
      </c>
    </row>
    <row r="247" spans="1:5">
      <c r="A247" s="13">
        <v>11178455</v>
      </c>
      <c r="B247" s="13" t="s">
        <v>15</v>
      </c>
      <c r="C247" s="17">
        <v>4</v>
      </c>
      <c r="D247" s="17">
        <v>5</v>
      </c>
      <c r="E247">
        <f t="shared" si="3"/>
        <v>1</v>
      </c>
    </row>
    <row r="248" spans="1:5">
      <c r="A248" s="13">
        <v>11179526</v>
      </c>
      <c r="B248" s="13" t="s">
        <v>15</v>
      </c>
      <c r="C248" s="19">
        <v>6</v>
      </c>
      <c r="D248" s="19">
        <v>7</v>
      </c>
      <c r="E248">
        <f t="shared" si="3"/>
        <v>1</v>
      </c>
    </row>
    <row r="249" spans="1:5">
      <c r="A249" s="13">
        <v>11187511</v>
      </c>
      <c r="B249" s="13" t="s">
        <v>15</v>
      </c>
      <c r="C249" s="17" t="s">
        <v>32</v>
      </c>
      <c r="D249" s="17" t="s">
        <v>32</v>
      </c>
      <c r="E249" t="e">
        <f t="shared" si="3"/>
        <v>#VALUE!</v>
      </c>
    </row>
    <row r="250" spans="1:5">
      <c r="A250" s="13">
        <v>11223290</v>
      </c>
      <c r="B250" s="13" t="s">
        <v>15</v>
      </c>
      <c r="C250" s="19">
        <v>4</v>
      </c>
      <c r="D250" s="19">
        <v>4</v>
      </c>
      <c r="E250">
        <f t="shared" si="3"/>
        <v>0</v>
      </c>
    </row>
    <row r="251" spans="1:5">
      <c r="A251" s="13">
        <v>11228365</v>
      </c>
      <c r="B251" s="13" t="s">
        <v>15</v>
      </c>
      <c r="C251" s="17" t="s">
        <v>32</v>
      </c>
      <c r="D251" s="17" t="s">
        <v>32</v>
      </c>
      <c r="E251" t="e">
        <f t="shared" si="3"/>
        <v>#VALUE!</v>
      </c>
    </row>
    <row r="252" spans="1:5">
      <c r="A252" s="13">
        <v>12020246</v>
      </c>
      <c r="B252" s="13" t="s">
        <v>15</v>
      </c>
      <c r="C252" s="19" t="s">
        <v>32</v>
      </c>
      <c r="D252" s="19" t="s">
        <v>32</v>
      </c>
      <c r="E252" t="e">
        <f t="shared" si="3"/>
        <v>#VALUE!</v>
      </c>
    </row>
    <row r="253" spans="1:5">
      <c r="A253" s="13">
        <v>12035138</v>
      </c>
      <c r="B253" s="13" t="s">
        <v>15</v>
      </c>
      <c r="C253" s="17" t="s">
        <v>32</v>
      </c>
      <c r="D253" s="17" t="s">
        <v>32</v>
      </c>
      <c r="E253" t="e">
        <f t="shared" si="3"/>
        <v>#VALUE!</v>
      </c>
    </row>
    <row r="254" spans="1:5">
      <c r="A254" s="13">
        <v>12111578</v>
      </c>
      <c r="B254" s="13" t="s">
        <v>15</v>
      </c>
      <c r="C254" s="19" t="s">
        <v>32</v>
      </c>
      <c r="D254" s="19" t="s">
        <v>32</v>
      </c>
      <c r="E254" t="e">
        <f t="shared" si="3"/>
        <v>#VALUE!</v>
      </c>
    </row>
    <row r="255" spans="1:5">
      <c r="A255" s="13">
        <v>12133434</v>
      </c>
      <c r="B255" s="13" t="s">
        <v>15</v>
      </c>
      <c r="C255" s="17" t="s">
        <v>32</v>
      </c>
      <c r="D255" s="17" t="s">
        <v>32</v>
      </c>
      <c r="E255" t="e">
        <f t="shared" si="3"/>
        <v>#VALUE!</v>
      </c>
    </row>
    <row r="256" spans="1:5">
      <c r="A256" s="13">
        <v>12164268</v>
      </c>
      <c r="B256" s="13" t="s">
        <v>15</v>
      </c>
      <c r="C256" s="19" t="s">
        <v>32</v>
      </c>
      <c r="D256" s="19" t="s">
        <v>32</v>
      </c>
      <c r="E256" t="e">
        <f t="shared" si="3"/>
        <v>#VALUE!</v>
      </c>
    </row>
    <row r="257" spans="1:5">
      <c r="A257" s="13">
        <v>12164269</v>
      </c>
      <c r="B257" s="13" t="s">
        <v>15</v>
      </c>
      <c r="C257" s="17" t="s">
        <v>32</v>
      </c>
      <c r="D257" s="17" t="s">
        <v>32</v>
      </c>
      <c r="E257" t="e">
        <f t="shared" si="3"/>
        <v>#VALUE!</v>
      </c>
    </row>
    <row r="258" spans="1:5">
      <c r="A258" s="13">
        <v>12168562</v>
      </c>
      <c r="B258" s="13" t="s">
        <v>15</v>
      </c>
      <c r="C258" s="19" t="s">
        <v>32</v>
      </c>
      <c r="D258" s="19" t="s">
        <v>32</v>
      </c>
      <c r="E258" t="e">
        <f t="shared" si="3"/>
        <v>#VALUE!</v>
      </c>
    </row>
    <row r="259" spans="1:5">
      <c r="A259" s="13">
        <v>12190939</v>
      </c>
      <c r="B259" s="13" t="s">
        <v>15</v>
      </c>
      <c r="C259" s="17" t="s">
        <v>32</v>
      </c>
      <c r="D259" s="17" t="s">
        <v>32</v>
      </c>
      <c r="E259" t="e">
        <f t="shared" ref="E259:E322" si="4">D259-C259</f>
        <v>#VALUE!</v>
      </c>
    </row>
    <row r="260" spans="1:5">
      <c r="A260" s="13">
        <v>12311081</v>
      </c>
      <c r="B260" s="13" t="s">
        <v>15</v>
      </c>
      <c r="C260" s="19" t="s">
        <v>32</v>
      </c>
      <c r="D260" s="19" t="s">
        <v>32</v>
      </c>
      <c r="E260" t="e">
        <f t="shared" si="4"/>
        <v>#VALUE!</v>
      </c>
    </row>
    <row r="261" spans="1:5">
      <c r="A261" s="13">
        <v>6000832</v>
      </c>
      <c r="B261" s="13" t="s">
        <v>15</v>
      </c>
      <c r="C261" s="17" t="s">
        <v>32</v>
      </c>
      <c r="D261" s="17" t="s">
        <v>32</v>
      </c>
      <c r="E261" t="e">
        <f t="shared" si="4"/>
        <v>#VALUE!</v>
      </c>
    </row>
    <row r="262" spans="1:5">
      <c r="A262" s="13">
        <v>9030615</v>
      </c>
      <c r="B262" s="13" t="s">
        <v>15</v>
      </c>
      <c r="C262" s="19">
        <v>15</v>
      </c>
      <c r="D262" s="19">
        <v>18</v>
      </c>
      <c r="E262">
        <f t="shared" si="4"/>
        <v>3</v>
      </c>
    </row>
    <row r="263" spans="1:5">
      <c r="A263" s="13"/>
      <c r="B263" s="13"/>
      <c r="C263" s="17" t="s">
        <v>32</v>
      </c>
      <c r="D263" s="17" t="s">
        <v>32</v>
      </c>
      <c r="E263" t="e">
        <f t="shared" si="4"/>
        <v>#VALUE!</v>
      </c>
    </row>
    <row r="264" spans="1:5">
      <c r="A264" s="13">
        <v>5281</v>
      </c>
      <c r="B264" s="13" t="s">
        <v>17</v>
      </c>
      <c r="C264" s="19" t="s">
        <v>32</v>
      </c>
      <c r="D264" s="19" t="s">
        <v>32</v>
      </c>
      <c r="E264" t="e">
        <f t="shared" si="4"/>
        <v>#VALUE!</v>
      </c>
    </row>
    <row r="265" spans="1:5">
      <c r="A265" s="13">
        <v>200085</v>
      </c>
      <c r="B265" s="13" t="s">
        <v>17</v>
      </c>
      <c r="C265" s="17" t="s">
        <v>32</v>
      </c>
      <c r="D265" s="17" t="s">
        <v>32</v>
      </c>
      <c r="E265" t="e">
        <f t="shared" si="4"/>
        <v>#VALUE!</v>
      </c>
    </row>
    <row r="266" spans="1:5">
      <c r="A266" s="13">
        <v>500129</v>
      </c>
      <c r="B266" s="13" t="s">
        <v>17</v>
      </c>
      <c r="C266" s="19" t="s">
        <v>32</v>
      </c>
      <c r="D266" s="19" t="s">
        <v>32</v>
      </c>
      <c r="E266" t="e">
        <f t="shared" si="4"/>
        <v>#VALUE!</v>
      </c>
    </row>
    <row r="267" spans="1:5">
      <c r="A267" s="28">
        <v>1002033</v>
      </c>
      <c r="B267" s="13" t="s">
        <v>17</v>
      </c>
      <c r="C267" s="17" t="s">
        <v>32</v>
      </c>
      <c r="D267" s="17" t="s">
        <v>32</v>
      </c>
      <c r="E267" t="e">
        <f t="shared" si="4"/>
        <v>#VALUE!</v>
      </c>
    </row>
    <row r="268" spans="1:5">
      <c r="A268" s="13">
        <v>1003457</v>
      </c>
      <c r="B268" s="13" t="s">
        <v>17</v>
      </c>
      <c r="C268" s="19" t="s">
        <v>32</v>
      </c>
      <c r="D268" s="19" t="s">
        <v>32</v>
      </c>
      <c r="E268" t="e">
        <f t="shared" si="4"/>
        <v>#VALUE!</v>
      </c>
    </row>
    <row r="269" spans="1:5">
      <c r="A269" s="13">
        <v>2005223</v>
      </c>
      <c r="B269" s="13" t="s">
        <v>17</v>
      </c>
      <c r="C269" s="17" t="s">
        <v>32</v>
      </c>
      <c r="D269" s="17" t="s">
        <v>32</v>
      </c>
      <c r="E269" t="e">
        <f t="shared" si="4"/>
        <v>#VALUE!</v>
      </c>
    </row>
    <row r="270" spans="1:5">
      <c r="A270" s="13">
        <v>2006107</v>
      </c>
      <c r="B270" s="13" t="s">
        <v>17</v>
      </c>
      <c r="C270" s="19" t="s">
        <v>32</v>
      </c>
      <c r="D270" s="19" t="s">
        <v>32</v>
      </c>
      <c r="E270" t="e">
        <f t="shared" si="4"/>
        <v>#VALUE!</v>
      </c>
    </row>
    <row r="271" spans="1:5">
      <c r="A271" s="13">
        <v>2012014</v>
      </c>
      <c r="B271" s="13" t="s">
        <v>17</v>
      </c>
      <c r="C271" s="17" t="s">
        <v>32</v>
      </c>
      <c r="D271" s="17" t="s">
        <v>32</v>
      </c>
      <c r="E271" t="e">
        <f t="shared" si="4"/>
        <v>#VALUE!</v>
      </c>
    </row>
    <row r="272" spans="1:5">
      <c r="A272" s="13">
        <v>3000152</v>
      </c>
      <c r="B272" s="13" t="s">
        <v>17</v>
      </c>
      <c r="C272" s="19">
        <v>9</v>
      </c>
      <c r="D272" s="19">
        <v>9</v>
      </c>
      <c r="E272">
        <f t="shared" si="4"/>
        <v>0</v>
      </c>
    </row>
    <row r="273" spans="1:5">
      <c r="A273" s="13">
        <v>3014566</v>
      </c>
      <c r="B273" s="13" t="s">
        <v>17</v>
      </c>
      <c r="C273" s="17" t="s">
        <v>32</v>
      </c>
      <c r="D273" s="17" t="s">
        <v>32</v>
      </c>
      <c r="E273" t="e">
        <f t="shared" si="4"/>
        <v>#VALUE!</v>
      </c>
    </row>
    <row r="274" spans="1:5">
      <c r="A274" s="13">
        <v>3015058</v>
      </c>
      <c r="B274" s="13" t="s">
        <v>17</v>
      </c>
      <c r="C274" s="19" t="s">
        <v>32</v>
      </c>
      <c r="D274" s="19" t="s">
        <v>32</v>
      </c>
      <c r="E274" t="e">
        <f t="shared" si="4"/>
        <v>#VALUE!</v>
      </c>
    </row>
    <row r="275" spans="1:5">
      <c r="A275" s="28">
        <v>4000996</v>
      </c>
      <c r="B275" s="13" t="s">
        <v>17</v>
      </c>
      <c r="C275" s="17" t="s">
        <v>32</v>
      </c>
      <c r="D275" s="17" t="s">
        <v>32</v>
      </c>
      <c r="E275" t="e">
        <f t="shared" si="4"/>
        <v>#VALUE!</v>
      </c>
    </row>
    <row r="276" spans="1:5">
      <c r="A276" s="13">
        <v>4003768</v>
      </c>
      <c r="B276" s="13" t="s">
        <v>17</v>
      </c>
      <c r="C276" s="19" t="s">
        <v>32</v>
      </c>
      <c r="D276" s="19" t="s">
        <v>32</v>
      </c>
      <c r="E276" t="e">
        <f t="shared" si="4"/>
        <v>#VALUE!</v>
      </c>
    </row>
    <row r="277" spans="1:5">
      <c r="A277" s="13">
        <v>4006540</v>
      </c>
      <c r="B277" s="13" t="s">
        <v>17</v>
      </c>
      <c r="C277" s="17">
        <v>9</v>
      </c>
      <c r="D277" s="17">
        <v>19</v>
      </c>
      <c r="E277">
        <f t="shared" si="4"/>
        <v>10</v>
      </c>
    </row>
    <row r="278" spans="1:5">
      <c r="A278" s="13">
        <v>4007054</v>
      </c>
      <c r="B278" s="13" t="s">
        <v>17</v>
      </c>
      <c r="C278" s="19" t="s">
        <v>32</v>
      </c>
      <c r="D278" s="19" t="s">
        <v>32</v>
      </c>
      <c r="E278" t="e">
        <f t="shared" si="4"/>
        <v>#VALUE!</v>
      </c>
    </row>
    <row r="279" spans="1:5">
      <c r="A279" s="13">
        <v>4011002</v>
      </c>
      <c r="B279" s="13" t="s">
        <v>17</v>
      </c>
      <c r="C279" s="17" t="s">
        <v>32</v>
      </c>
      <c r="D279" s="17" t="s">
        <v>32</v>
      </c>
      <c r="E279" t="e">
        <f t="shared" si="4"/>
        <v>#VALUE!</v>
      </c>
    </row>
    <row r="280" spans="1:5">
      <c r="A280" s="13">
        <v>4900268</v>
      </c>
      <c r="B280" s="13" t="s">
        <v>17</v>
      </c>
      <c r="C280" s="19" t="s">
        <v>32</v>
      </c>
      <c r="D280" s="19" t="s">
        <v>32</v>
      </c>
      <c r="E280" t="e">
        <f t="shared" si="4"/>
        <v>#VALUE!</v>
      </c>
    </row>
    <row r="281" spans="1:5">
      <c r="A281" s="13">
        <v>5001097</v>
      </c>
      <c r="B281" s="13" t="s">
        <v>17</v>
      </c>
      <c r="C281" s="17" t="s">
        <v>32</v>
      </c>
      <c r="D281" s="17" t="s">
        <v>32</v>
      </c>
      <c r="E281" t="e">
        <f t="shared" si="4"/>
        <v>#VALUE!</v>
      </c>
    </row>
    <row r="282" spans="1:5">
      <c r="A282" s="13">
        <v>5001098</v>
      </c>
      <c r="B282" s="13" t="s">
        <v>17</v>
      </c>
      <c r="C282" s="19" t="s">
        <v>32</v>
      </c>
      <c r="D282" s="19" t="s">
        <v>32</v>
      </c>
      <c r="E282" t="e">
        <f t="shared" si="4"/>
        <v>#VALUE!</v>
      </c>
    </row>
    <row r="283" spans="1:5">
      <c r="A283" s="13">
        <v>5006152</v>
      </c>
      <c r="B283" s="13" t="s">
        <v>17</v>
      </c>
      <c r="C283" s="17" t="s">
        <v>32</v>
      </c>
      <c r="D283" s="17" t="s">
        <v>32</v>
      </c>
      <c r="E283" t="e">
        <f t="shared" si="4"/>
        <v>#VALUE!</v>
      </c>
    </row>
    <row r="284" spans="1:5">
      <c r="A284" s="13">
        <v>5011824</v>
      </c>
      <c r="B284" s="13" t="s">
        <v>17</v>
      </c>
      <c r="C284" s="19" t="s">
        <v>32</v>
      </c>
      <c r="D284" s="19" t="s">
        <v>32</v>
      </c>
      <c r="E284" t="e">
        <f t="shared" si="4"/>
        <v>#VALUE!</v>
      </c>
    </row>
    <row r="285" spans="1:5">
      <c r="A285" s="13">
        <v>5016179</v>
      </c>
      <c r="B285" s="13" t="s">
        <v>17</v>
      </c>
      <c r="C285" s="17" t="s">
        <v>32</v>
      </c>
      <c r="D285" s="17" t="s">
        <v>32</v>
      </c>
      <c r="E285" t="e">
        <f t="shared" si="4"/>
        <v>#VALUE!</v>
      </c>
    </row>
    <row r="286" spans="1:5">
      <c r="A286" s="13">
        <v>7079011</v>
      </c>
      <c r="B286" s="13" t="s">
        <v>17</v>
      </c>
      <c r="C286" s="19" t="s">
        <v>32</v>
      </c>
      <c r="D286" s="19" t="s">
        <v>32</v>
      </c>
      <c r="E286" t="e">
        <f t="shared" si="4"/>
        <v>#VALUE!</v>
      </c>
    </row>
    <row r="287" spans="1:5">
      <c r="A287" s="13">
        <v>8135416</v>
      </c>
      <c r="B287" s="13" t="s">
        <v>17</v>
      </c>
      <c r="C287" s="17" t="s">
        <v>32</v>
      </c>
      <c r="D287" s="17" t="s">
        <v>32</v>
      </c>
      <c r="E287" t="e">
        <f t="shared" si="4"/>
        <v>#VALUE!</v>
      </c>
    </row>
    <row r="288" spans="1:5">
      <c r="A288" s="13">
        <v>93018945</v>
      </c>
      <c r="B288" s="13" t="s">
        <v>17</v>
      </c>
      <c r="C288" s="19" t="s">
        <v>32</v>
      </c>
      <c r="D288" s="19" t="s">
        <v>32</v>
      </c>
      <c r="E288" t="e">
        <f t="shared" si="4"/>
        <v>#VALUE!</v>
      </c>
    </row>
    <row r="289" spans="1:5">
      <c r="A289" s="13">
        <v>94009028</v>
      </c>
      <c r="B289" s="13" t="s">
        <v>17</v>
      </c>
      <c r="C289" s="17" t="s">
        <v>32</v>
      </c>
      <c r="D289" s="17" t="s">
        <v>32</v>
      </c>
      <c r="E289" t="e">
        <f t="shared" si="4"/>
        <v>#VALUE!</v>
      </c>
    </row>
    <row r="290" spans="1:5">
      <c r="A290" s="13">
        <v>95005907</v>
      </c>
      <c r="B290" s="13" t="s">
        <v>17</v>
      </c>
      <c r="C290" s="19" t="s">
        <v>32</v>
      </c>
      <c r="D290" s="19" t="s">
        <v>32</v>
      </c>
      <c r="E290" t="e">
        <f t="shared" si="4"/>
        <v>#VALUE!</v>
      </c>
    </row>
    <row r="291" spans="1:5">
      <c r="A291" s="13">
        <v>95900164</v>
      </c>
      <c r="B291" s="13" t="s">
        <v>17</v>
      </c>
      <c r="C291" s="17" t="s">
        <v>32</v>
      </c>
      <c r="D291" s="17" t="s">
        <v>32</v>
      </c>
      <c r="E291" t="e">
        <f t="shared" si="4"/>
        <v>#VALUE!</v>
      </c>
    </row>
    <row r="292" spans="1:5">
      <c r="A292" s="13">
        <v>96015811</v>
      </c>
      <c r="B292" s="13" t="s">
        <v>17</v>
      </c>
      <c r="C292" s="19" t="s">
        <v>32</v>
      </c>
      <c r="D292" s="19" t="s">
        <v>32</v>
      </c>
      <c r="E292" t="e">
        <f t="shared" si="4"/>
        <v>#VALUE!</v>
      </c>
    </row>
    <row r="293" spans="1:5">
      <c r="A293" s="13">
        <v>97001240</v>
      </c>
      <c r="B293" s="13" t="s">
        <v>17</v>
      </c>
      <c r="C293" s="17">
        <v>33</v>
      </c>
      <c r="D293" s="17">
        <v>5</v>
      </c>
      <c r="E293">
        <f t="shared" si="4"/>
        <v>-28</v>
      </c>
    </row>
    <row r="294" spans="1:5">
      <c r="A294" s="13">
        <v>97005366</v>
      </c>
      <c r="B294" s="13" t="s">
        <v>17</v>
      </c>
      <c r="C294" s="19" t="s">
        <v>32</v>
      </c>
      <c r="D294" s="19" t="s">
        <v>32</v>
      </c>
      <c r="E294" t="e">
        <f t="shared" si="4"/>
        <v>#VALUE!</v>
      </c>
    </row>
    <row r="295" spans="1:5">
      <c r="A295" s="13">
        <v>98000595</v>
      </c>
      <c r="B295" s="13" t="s">
        <v>17</v>
      </c>
      <c r="C295" s="17" t="s">
        <v>32</v>
      </c>
      <c r="D295" s="17" t="s">
        <v>32</v>
      </c>
      <c r="E295" t="e">
        <f t="shared" si="4"/>
        <v>#VALUE!</v>
      </c>
    </row>
    <row r="296" spans="1:5">
      <c r="A296" s="13">
        <v>98002692</v>
      </c>
      <c r="B296" s="13" t="s">
        <v>17</v>
      </c>
      <c r="C296" s="19" t="s">
        <v>32</v>
      </c>
      <c r="D296" s="19" t="s">
        <v>32</v>
      </c>
      <c r="E296" t="e">
        <f t="shared" si="4"/>
        <v>#VALUE!</v>
      </c>
    </row>
    <row r="297" spans="1:5">
      <c r="A297" s="13">
        <v>98005277</v>
      </c>
      <c r="B297" s="13" t="s">
        <v>17</v>
      </c>
      <c r="C297" s="17">
        <v>7</v>
      </c>
      <c r="D297" s="17">
        <v>7</v>
      </c>
      <c r="E297">
        <f t="shared" si="4"/>
        <v>0</v>
      </c>
    </row>
    <row r="298" spans="1:5">
      <c r="A298" s="13">
        <v>99001815</v>
      </c>
      <c r="B298" s="13" t="s">
        <v>17</v>
      </c>
      <c r="C298" s="19" t="s">
        <v>32</v>
      </c>
      <c r="D298" s="19" t="s">
        <v>32</v>
      </c>
      <c r="E298" t="e">
        <f t="shared" si="4"/>
        <v>#VALUE!</v>
      </c>
    </row>
    <row r="299" spans="1:5">
      <c r="A299" s="13">
        <v>6012361</v>
      </c>
      <c r="B299" s="13" t="s">
        <v>17</v>
      </c>
      <c r="C299" s="17" t="s">
        <v>32</v>
      </c>
      <c r="D299" s="17">
        <v>17</v>
      </c>
      <c r="E299" t="e">
        <f t="shared" si="4"/>
        <v>#VALUE!</v>
      </c>
    </row>
    <row r="300" spans="1:5">
      <c r="A300" s="13">
        <v>6015793</v>
      </c>
      <c r="B300" s="13" t="s">
        <v>17</v>
      </c>
      <c r="C300" s="19" t="s">
        <v>32</v>
      </c>
      <c r="D300" s="19" t="s">
        <v>32</v>
      </c>
      <c r="E300" t="e">
        <f t="shared" si="4"/>
        <v>#VALUE!</v>
      </c>
    </row>
    <row r="301" spans="1:5">
      <c r="A301" s="13">
        <v>6043619</v>
      </c>
      <c r="B301" s="13" t="s">
        <v>17</v>
      </c>
      <c r="C301" s="17" t="s">
        <v>32</v>
      </c>
      <c r="D301" s="17" t="s">
        <v>32</v>
      </c>
      <c r="E301" t="e">
        <f t="shared" si="4"/>
        <v>#VALUE!</v>
      </c>
    </row>
    <row r="302" spans="1:5">
      <c r="A302" s="13">
        <v>7001097</v>
      </c>
      <c r="B302" s="13" t="s">
        <v>17</v>
      </c>
      <c r="C302" s="19" t="s">
        <v>32</v>
      </c>
      <c r="D302" s="19" t="s">
        <v>32</v>
      </c>
      <c r="E302" t="e">
        <f t="shared" si="4"/>
        <v>#VALUE!</v>
      </c>
    </row>
    <row r="303" spans="1:5">
      <c r="A303" s="13">
        <v>7011435</v>
      </c>
      <c r="B303" s="13" t="s">
        <v>17</v>
      </c>
      <c r="C303" s="17">
        <v>11</v>
      </c>
      <c r="D303" s="17">
        <v>11</v>
      </c>
      <c r="E303">
        <f t="shared" si="4"/>
        <v>0</v>
      </c>
    </row>
    <row r="304" spans="1:5">
      <c r="A304" s="13">
        <v>7045811</v>
      </c>
      <c r="B304" s="13" t="s">
        <v>17</v>
      </c>
      <c r="C304" s="19" t="s">
        <v>32</v>
      </c>
      <c r="D304" s="19" t="s">
        <v>32</v>
      </c>
      <c r="E304" t="e">
        <f t="shared" si="4"/>
        <v>#VALUE!</v>
      </c>
    </row>
    <row r="305" spans="1:5">
      <c r="A305" s="13">
        <v>7071198</v>
      </c>
      <c r="B305" s="13" t="s">
        <v>17</v>
      </c>
      <c r="C305" s="17" t="s">
        <v>32</v>
      </c>
      <c r="D305" s="17" t="s">
        <v>32</v>
      </c>
      <c r="E305" t="e">
        <f t="shared" si="4"/>
        <v>#VALUE!</v>
      </c>
    </row>
    <row r="306" spans="1:5">
      <c r="A306" s="13">
        <v>7101143</v>
      </c>
      <c r="B306" s="13" t="s">
        <v>17</v>
      </c>
      <c r="C306" s="19" t="s">
        <v>32</v>
      </c>
      <c r="D306" s="19" t="s">
        <v>32</v>
      </c>
      <c r="E306" t="e">
        <f t="shared" si="4"/>
        <v>#VALUE!</v>
      </c>
    </row>
    <row r="307" spans="1:5">
      <c r="A307" s="13">
        <v>8073350</v>
      </c>
      <c r="B307" s="13" t="s">
        <v>17</v>
      </c>
      <c r="C307" s="17" t="s">
        <v>32</v>
      </c>
      <c r="D307" s="17" t="s">
        <v>32</v>
      </c>
      <c r="E307" t="e">
        <f t="shared" si="4"/>
        <v>#VALUE!</v>
      </c>
    </row>
    <row r="308" spans="1:5">
      <c r="A308" s="13">
        <v>8073645</v>
      </c>
      <c r="B308" s="13" t="s">
        <v>17</v>
      </c>
      <c r="C308" s="19" t="s">
        <v>32</v>
      </c>
      <c r="D308" s="19" t="s">
        <v>32</v>
      </c>
      <c r="E308" t="e">
        <f t="shared" si="4"/>
        <v>#VALUE!</v>
      </c>
    </row>
    <row r="309" spans="1:5">
      <c r="A309" s="28">
        <v>8089666</v>
      </c>
      <c r="B309" s="13" t="s">
        <v>17</v>
      </c>
      <c r="C309" s="17" t="s">
        <v>32</v>
      </c>
      <c r="D309" s="17" t="s">
        <v>32</v>
      </c>
      <c r="E309" t="e">
        <f t="shared" si="4"/>
        <v>#VALUE!</v>
      </c>
    </row>
    <row r="310" spans="1:5">
      <c r="A310" s="13">
        <v>8103536</v>
      </c>
      <c r="B310" s="13" t="s">
        <v>17</v>
      </c>
      <c r="C310" s="19">
        <v>1</v>
      </c>
      <c r="D310" s="19">
        <v>1</v>
      </c>
      <c r="E310">
        <f t="shared" si="4"/>
        <v>0</v>
      </c>
    </row>
    <row r="311" spans="1:5">
      <c r="A311" s="13" t="s">
        <v>18</v>
      </c>
      <c r="B311" s="13" t="s">
        <v>17</v>
      </c>
      <c r="C311" s="17">
        <v>30</v>
      </c>
      <c r="D311" s="17">
        <v>16</v>
      </c>
      <c r="E311">
        <f t="shared" si="4"/>
        <v>-14</v>
      </c>
    </row>
    <row r="312" spans="1:5">
      <c r="A312" s="13">
        <v>9003267</v>
      </c>
      <c r="B312" s="13" t="s">
        <v>17</v>
      </c>
      <c r="C312" s="19" t="s">
        <v>32</v>
      </c>
      <c r="D312" s="19" t="s">
        <v>32</v>
      </c>
      <c r="E312" t="e">
        <f t="shared" si="4"/>
        <v>#VALUE!</v>
      </c>
    </row>
    <row r="313" spans="1:5">
      <c r="A313" s="13">
        <v>9036964</v>
      </c>
      <c r="B313" s="13" t="s">
        <v>17</v>
      </c>
      <c r="C313" s="17">
        <v>8</v>
      </c>
      <c r="D313" s="17">
        <v>9</v>
      </c>
      <c r="E313">
        <f t="shared" si="4"/>
        <v>1</v>
      </c>
    </row>
    <row r="314" spans="1:5">
      <c r="A314" s="13">
        <v>9090287</v>
      </c>
      <c r="B314" s="13" t="s">
        <v>17</v>
      </c>
      <c r="C314" s="19">
        <v>6</v>
      </c>
      <c r="D314" s="19">
        <v>7</v>
      </c>
      <c r="E314">
        <f t="shared" si="4"/>
        <v>1</v>
      </c>
    </row>
    <row r="315" spans="1:5">
      <c r="A315" s="13">
        <v>9095148</v>
      </c>
      <c r="B315" s="13" t="s">
        <v>17</v>
      </c>
      <c r="C315" s="17">
        <v>8</v>
      </c>
      <c r="D315" s="17">
        <v>12</v>
      </c>
      <c r="E315">
        <f t="shared" si="4"/>
        <v>4</v>
      </c>
    </row>
    <row r="316" spans="1:5">
      <c r="A316" s="13">
        <v>9104979</v>
      </c>
      <c r="B316" s="13" t="s">
        <v>17</v>
      </c>
      <c r="C316" s="19" t="s">
        <v>32</v>
      </c>
      <c r="D316" s="19" t="s">
        <v>32</v>
      </c>
      <c r="E316" t="e">
        <f t="shared" si="4"/>
        <v>#VALUE!</v>
      </c>
    </row>
    <row r="317" spans="1:5">
      <c r="A317" s="13">
        <v>9139514</v>
      </c>
      <c r="B317" s="13" t="s">
        <v>17</v>
      </c>
      <c r="C317" s="17">
        <v>22</v>
      </c>
      <c r="D317" s="17">
        <v>32</v>
      </c>
      <c r="E317">
        <f t="shared" si="4"/>
        <v>10</v>
      </c>
    </row>
    <row r="318" spans="1:5">
      <c r="A318" s="13">
        <v>10020659</v>
      </c>
      <c r="B318" s="13" t="s">
        <v>17</v>
      </c>
      <c r="C318" s="19" t="s">
        <v>32</v>
      </c>
      <c r="D318" s="19" t="s">
        <v>32</v>
      </c>
      <c r="E318" t="e">
        <f t="shared" si="4"/>
        <v>#VALUE!</v>
      </c>
    </row>
    <row r="319" spans="1:5">
      <c r="A319" s="13">
        <v>10025902</v>
      </c>
      <c r="B319" s="13" t="s">
        <v>17</v>
      </c>
      <c r="C319" s="17" t="s">
        <v>32</v>
      </c>
      <c r="D319" s="17" t="s">
        <v>32</v>
      </c>
      <c r="E319" t="e">
        <f t="shared" si="4"/>
        <v>#VALUE!</v>
      </c>
    </row>
    <row r="320" spans="1:5">
      <c r="A320" s="13">
        <v>10027654</v>
      </c>
      <c r="B320" s="13" t="s">
        <v>17</v>
      </c>
      <c r="C320" s="19" t="s">
        <v>32</v>
      </c>
      <c r="D320" s="19" t="s">
        <v>32</v>
      </c>
      <c r="E320" t="e">
        <f t="shared" si="4"/>
        <v>#VALUE!</v>
      </c>
    </row>
    <row r="321" spans="1:5">
      <c r="A321" s="13">
        <v>10084485</v>
      </c>
      <c r="B321" s="13" t="s">
        <v>17</v>
      </c>
      <c r="C321" s="17" t="s">
        <v>32</v>
      </c>
      <c r="D321" s="17" t="s">
        <v>32</v>
      </c>
      <c r="E321" t="e">
        <f t="shared" si="4"/>
        <v>#VALUE!</v>
      </c>
    </row>
    <row r="322" spans="1:5">
      <c r="A322" s="13">
        <v>10098420</v>
      </c>
      <c r="B322" s="13" t="s">
        <v>17</v>
      </c>
      <c r="C322" s="19" t="s">
        <v>32</v>
      </c>
      <c r="D322" s="19" t="s">
        <v>32</v>
      </c>
      <c r="E322" t="e">
        <f t="shared" si="4"/>
        <v>#VALUE!</v>
      </c>
    </row>
    <row r="323" spans="1:5">
      <c r="A323" s="13">
        <v>10129565</v>
      </c>
      <c r="B323" s="13" t="s">
        <v>17</v>
      </c>
      <c r="C323" s="17" t="s">
        <v>32</v>
      </c>
      <c r="D323" s="17" t="s">
        <v>32</v>
      </c>
      <c r="E323" t="e">
        <f t="shared" ref="E323:E340" si="5">D323-C323</f>
        <v>#VALUE!</v>
      </c>
    </row>
    <row r="324" spans="1:5">
      <c r="A324" s="13">
        <v>10146828</v>
      </c>
      <c r="B324" s="13" t="s">
        <v>17</v>
      </c>
      <c r="C324" s="19">
        <v>32</v>
      </c>
      <c r="D324" s="19">
        <v>14</v>
      </c>
      <c r="E324">
        <f t="shared" si="5"/>
        <v>-18</v>
      </c>
    </row>
    <row r="325" spans="1:5">
      <c r="A325" s="13">
        <v>10163776</v>
      </c>
      <c r="B325" s="13" t="s">
        <v>17</v>
      </c>
      <c r="C325" s="17" t="s">
        <v>32</v>
      </c>
      <c r="D325" s="17" t="s">
        <v>32</v>
      </c>
      <c r="E325" t="e">
        <f t="shared" si="5"/>
        <v>#VALUE!</v>
      </c>
    </row>
    <row r="326" spans="1:5">
      <c r="A326" s="13">
        <v>10173664</v>
      </c>
      <c r="B326" s="13" t="s">
        <v>17</v>
      </c>
      <c r="C326" s="19" t="s">
        <v>32</v>
      </c>
      <c r="D326" s="19" t="s">
        <v>32</v>
      </c>
      <c r="E326" t="e">
        <f t="shared" si="5"/>
        <v>#VALUE!</v>
      </c>
    </row>
    <row r="327" spans="1:5">
      <c r="A327" s="13">
        <v>11000454</v>
      </c>
      <c r="B327" s="13" t="s">
        <v>17</v>
      </c>
      <c r="C327" s="17">
        <v>12</v>
      </c>
      <c r="D327" s="17">
        <v>12</v>
      </c>
      <c r="E327">
        <f t="shared" si="5"/>
        <v>0</v>
      </c>
    </row>
    <row r="328" spans="1:5">
      <c r="A328" s="13">
        <v>11083498</v>
      </c>
      <c r="B328" s="13" t="s">
        <v>17</v>
      </c>
      <c r="C328" s="19">
        <v>5</v>
      </c>
      <c r="D328" s="19">
        <v>10</v>
      </c>
      <c r="E328">
        <f t="shared" si="5"/>
        <v>5</v>
      </c>
    </row>
    <row r="329" spans="1:5">
      <c r="A329" s="13">
        <v>11138447</v>
      </c>
      <c r="B329" s="13" t="s">
        <v>17</v>
      </c>
      <c r="C329" s="17" t="s">
        <v>32</v>
      </c>
      <c r="D329" s="17" t="s">
        <v>32</v>
      </c>
      <c r="E329" t="e">
        <f t="shared" si="5"/>
        <v>#VALUE!</v>
      </c>
    </row>
    <row r="330" spans="1:5">
      <c r="A330" s="13">
        <v>11144001</v>
      </c>
      <c r="B330" s="13" t="s">
        <v>17</v>
      </c>
      <c r="C330" s="19">
        <v>10</v>
      </c>
      <c r="D330" s="19">
        <v>10</v>
      </c>
      <c r="E330">
        <f t="shared" si="5"/>
        <v>0</v>
      </c>
    </row>
    <row r="331" spans="1:5">
      <c r="A331" s="13" t="s">
        <v>19</v>
      </c>
      <c r="B331" s="13" t="s">
        <v>17</v>
      </c>
      <c r="C331" s="17" t="s">
        <v>32</v>
      </c>
      <c r="D331" s="17">
        <v>26</v>
      </c>
      <c r="E331" t="e">
        <f t="shared" si="5"/>
        <v>#VALUE!</v>
      </c>
    </row>
    <row r="332" spans="1:5">
      <c r="A332" s="13" t="s">
        <v>20</v>
      </c>
      <c r="B332" s="13" t="s">
        <v>17</v>
      </c>
      <c r="C332" s="19">
        <v>16</v>
      </c>
      <c r="D332" s="19">
        <v>5</v>
      </c>
      <c r="E332">
        <f t="shared" si="5"/>
        <v>-11</v>
      </c>
    </row>
    <row r="333" spans="1:5">
      <c r="A333" s="13">
        <v>12021531</v>
      </c>
      <c r="B333" s="13" t="s">
        <v>17</v>
      </c>
      <c r="C333" s="17" t="s">
        <v>32</v>
      </c>
      <c r="D333" s="17" t="s">
        <v>32</v>
      </c>
      <c r="E333" t="e">
        <f t="shared" si="5"/>
        <v>#VALUE!</v>
      </c>
    </row>
    <row r="334" spans="1:5">
      <c r="A334" s="13">
        <v>12185514</v>
      </c>
      <c r="B334" s="13" t="s">
        <v>17</v>
      </c>
      <c r="C334" s="19">
        <v>12</v>
      </c>
      <c r="D334" s="19">
        <v>12</v>
      </c>
      <c r="E334">
        <f t="shared" si="5"/>
        <v>0</v>
      </c>
    </row>
    <row r="335" spans="1:5">
      <c r="A335" s="13">
        <v>12202633</v>
      </c>
      <c r="B335" s="13" t="s">
        <v>17</v>
      </c>
      <c r="C335" s="17">
        <v>8</v>
      </c>
      <c r="D335" s="17">
        <v>8</v>
      </c>
      <c r="E335">
        <f t="shared" si="5"/>
        <v>0</v>
      </c>
    </row>
    <row r="336" spans="1:5">
      <c r="A336" s="13">
        <v>12325258</v>
      </c>
      <c r="B336" s="13" t="s">
        <v>17</v>
      </c>
      <c r="C336" s="19" t="s">
        <v>32</v>
      </c>
      <c r="D336" s="19" t="s">
        <v>32</v>
      </c>
      <c r="E336" t="e">
        <f t="shared" si="5"/>
        <v>#VALUE!</v>
      </c>
    </row>
    <row r="337" spans="1:5">
      <c r="A337" s="13">
        <v>5018677</v>
      </c>
      <c r="B337" s="13" t="s">
        <v>17</v>
      </c>
      <c r="C337" s="19" t="s">
        <v>32</v>
      </c>
      <c r="D337" s="19" t="s">
        <v>32</v>
      </c>
      <c r="E337" t="e">
        <f t="shared" si="5"/>
        <v>#VALUE!</v>
      </c>
    </row>
    <row r="338" spans="1:5">
      <c r="A338" s="13">
        <v>11243521</v>
      </c>
      <c r="B338" s="13" t="s">
        <v>17</v>
      </c>
      <c r="C338" s="19" t="s">
        <v>32</v>
      </c>
      <c r="D338" s="19" t="s">
        <v>32</v>
      </c>
      <c r="E338" t="e">
        <f t="shared" si="5"/>
        <v>#VALUE!</v>
      </c>
    </row>
    <row r="339" spans="1:5">
      <c r="A339" s="13">
        <v>2008127</v>
      </c>
      <c r="B339" s="13" t="s">
        <v>17</v>
      </c>
      <c r="C339" s="19" t="s">
        <v>32</v>
      </c>
      <c r="D339" s="19" t="s">
        <v>32</v>
      </c>
      <c r="E339" t="e">
        <f t="shared" si="5"/>
        <v>#VALUE!</v>
      </c>
    </row>
    <row r="340" spans="1:5">
      <c r="A340" s="25">
        <v>6081681</v>
      </c>
      <c r="B340" s="25" t="s">
        <v>17</v>
      </c>
      <c r="C340" s="19" t="s">
        <v>32</v>
      </c>
      <c r="D340" s="19" t="s">
        <v>32</v>
      </c>
      <c r="E340" t="e">
        <f t="shared" si="5"/>
        <v>#VALUE!</v>
      </c>
    </row>
    <row r="341" spans="1:5">
      <c r="A341" s="4"/>
    </row>
    <row r="342" spans="1:5">
      <c r="A342" s="5"/>
      <c r="B342"/>
    </row>
    <row r="343" spans="1:5">
      <c r="A343" s="5"/>
      <c r="B343"/>
    </row>
    <row r="344" spans="1:5">
      <c r="A344" s="5"/>
      <c r="B344"/>
    </row>
    <row r="345" spans="1:5">
      <c r="A345" s="5"/>
      <c r="B345"/>
    </row>
    <row r="346" spans="1:5">
      <c r="A346" s="5"/>
      <c r="B346"/>
    </row>
    <row r="347" spans="1:5">
      <c r="A347" s="5"/>
      <c r="B347"/>
    </row>
    <row r="348" spans="1:5">
      <c r="A348" s="5"/>
      <c r="B348"/>
    </row>
    <row r="349" spans="1:5">
      <c r="A349" s="5"/>
      <c r="B349"/>
    </row>
    <row r="350" spans="1:5">
      <c r="A350" s="5"/>
      <c r="B350"/>
    </row>
    <row r="351" spans="1:5">
      <c r="A351" s="5"/>
      <c r="B351"/>
    </row>
    <row r="352" spans="1:5">
      <c r="A352" s="5"/>
      <c r="B352"/>
    </row>
    <row r="353" spans="1:2">
      <c r="A353" s="5"/>
      <c r="B353"/>
    </row>
    <row r="354" spans="1:2">
      <c r="A354" s="5"/>
      <c r="B354" s="6"/>
    </row>
    <row r="355" spans="1:2">
      <c r="A355" s="5"/>
      <c r="B355" s="6"/>
    </row>
    <row r="356" spans="1:2">
      <c r="A356" s="5"/>
      <c r="B356" s="6"/>
    </row>
    <row r="357" spans="1:2">
      <c r="A357" s="5"/>
      <c r="B357" s="6"/>
    </row>
    <row r="358" spans="1:2">
      <c r="A358" s="5"/>
      <c r="B358" s="6"/>
    </row>
    <row r="359" spans="1:2">
      <c r="A359" s="5"/>
      <c r="B359"/>
    </row>
    <row r="360" spans="1:2">
      <c r="A360" s="7"/>
      <c r="B360"/>
    </row>
    <row r="361" spans="1:2">
      <c r="A361" s="5"/>
      <c r="B361"/>
    </row>
    <row r="362" spans="1:2">
      <c r="A362" s="5"/>
      <c r="B362"/>
    </row>
    <row r="363" spans="1:2">
      <c r="A363" s="5"/>
      <c r="B363"/>
    </row>
    <row r="364" spans="1:2">
      <c r="A364" s="5"/>
      <c r="B364"/>
    </row>
    <row r="365" spans="1:2">
      <c r="A365" s="5"/>
      <c r="B365"/>
    </row>
    <row r="366" spans="1:2">
      <c r="A366" s="5"/>
      <c r="B366"/>
    </row>
    <row r="367" spans="1:2">
      <c r="A367" s="5"/>
      <c r="B367"/>
    </row>
    <row r="368" spans="1:2">
      <c r="A368" s="5"/>
      <c r="B368"/>
    </row>
    <row r="369" spans="1:2">
      <c r="A369" s="5"/>
      <c r="B369"/>
    </row>
    <row r="370" spans="1:2">
      <c r="A370"/>
      <c r="B370"/>
    </row>
    <row r="371" spans="1:2">
      <c r="A371" s="5"/>
      <c r="B371"/>
    </row>
    <row r="372" spans="1:2">
      <c r="A372" s="5"/>
      <c r="B372"/>
    </row>
    <row r="373" spans="1:2">
      <c r="A373" s="5"/>
      <c r="B373"/>
    </row>
    <row r="374" spans="1:2">
      <c r="A374" s="5"/>
      <c r="B374"/>
    </row>
    <row r="375" spans="1:2">
      <c r="A375" s="5"/>
      <c r="B375"/>
    </row>
    <row r="376" spans="1:2">
      <c r="A376" s="5"/>
      <c r="B376"/>
    </row>
    <row r="377" spans="1:2">
      <c r="A377" s="5"/>
      <c r="B377"/>
    </row>
    <row r="378" spans="1:2">
      <c r="A378" s="5"/>
      <c r="B378"/>
    </row>
    <row r="379" spans="1:2">
      <c r="A379" s="5"/>
      <c r="B379"/>
    </row>
    <row r="380" spans="1:2">
      <c r="A380" s="5"/>
      <c r="B380"/>
    </row>
    <row r="381" spans="1:2">
      <c r="A381" s="5"/>
      <c r="B381"/>
    </row>
    <row r="382" spans="1:2">
      <c r="A382"/>
      <c r="B382"/>
    </row>
    <row r="383" spans="1:2">
      <c r="A383" s="5"/>
      <c r="B383"/>
    </row>
    <row r="384" spans="1:2">
      <c r="A384" s="5"/>
      <c r="B384"/>
    </row>
    <row r="385" spans="1:2">
      <c r="A385" s="5"/>
      <c r="B385"/>
    </row>
    <row r="386" spans="1:2">
      <c r="A386" s="5"/>
      <c r="B386"/>
    </row>
    <row r="387" spans="1:2">
      <c r="A387" s="5"/>
      <c r="B387"/>
    </row>
    <row r="388" spans="1:2">
      <c r="A388" s="5"/>
      <c r="B388"/>
    </row>
    <row r="389" spans="1:2">
      <c r="A389" s="5"/>
      <c r="B389"/>
    </row>
    <row r="390" spans="1:2">
      <c r="A390" s="7"/>
      <c r="B390"/>
    </row>
    <row r="391" spans="1:2">
      <c r="A391" s="5"/>
      <c r="B391"/>
    </row>
    <row r="392" spans="1:2">
      <c r="A392" s="5"/>
      <c r="B392"/>
    </row>
    <row r="393" spans="1:2">
      <c r="A393" s="5"/>
      <c r="B393"/>
    </row>
    <row r="394" spans="1:2">
      <c r="A394" s="5"/>
      <c r="B394"/>
    </row>
    <row r="395" spans="1:2">
      <c r="A395" s="5"/>
      <c r="B395"/>
    </row>
    <row r="396" spans="1:2">
      <c r="A396" s="5"/>
      <c r="B396"/>
    </row>
    <row r="397" spans="1:2">
      <c r="A397" s="5"/>
      <c r="B397"/>
    </row>
    <row r="398" spans="1:2">
      <c r="A398" s="5"/>
      <c r="B398"/>
    </row>
    <row r="400" spans="1:2">
      <c r="A400" s="5"/>
      <c r="B400"/>
    </row>
    <row r="401" spans="1:2">
      <c r="A401" s="5"/>
      <c r="B401"/>
    </row>
    <row r="402" spans="1:2">
      <c r="A402"/>
      <c r="B402"/>
    </row>
    <row r="403" spans="1:2">
      <c r="A403" s="5"/>
      <c r="B403"/>
    </row>
    <row r="404" spans="1:2">
      <c r="A404" s="5"/>
      <c r="B404"/>
    </row>
    <row r="405" spans="1:2">
      <c r="A405" s="5"/>
      <c r="B405"/>
    </row>
    <row r="406" spans="1:2">
      <c r="A406" s="5"/>
      <c r="B406"/>
    </row>
    <row r="407" spans="1:2">
      <c r="A407" s="5"/>
      <c r="B407"/>
    </row>
    <row r="408" spans="1:2">
      <c r="A408" s="5"/>
      <c r="B408"/>
    </row>
    <row r="409" spans="1:2">
      <c r="A409" s="7"/>
      <c r="B409"/>
    </row>
    <row r="410" spans="1:2">
      <c r="A410" s="5"/>
      <c r="B410"/>
    </row>
    <row r="411" spans="1:2">
      <c r="A411" s="5"/>
      <c r="B411"/>
    </row>
    <row r="412" spans="1:2">
      <c r="A412"/>
      <c r="B412"/>
    </row>
    <row r="413" spans="1:2">
      <c r="A413" s="5"/>
      <c r="B413"/>
    </row>
    <row r="414" spans="1:2">
      <c r="A414" s="5"/>
      <c r="B414"/>
    </row>
    <row r="415" spans="1:2">
      <c r="A415"/>
      <c r="B415"/>
    </row>
    <row r="416" spans="1:2">
      <c r="A416" s="5"/>
      <c r="B416"/>
    </row>
    <row r="417" spans="1:2">
      <c r="A417" s="5"/>
      <c r="B417"/>
    </row>
    <row r="418" spans="1:2">
      <c r="A418" s="5"/>
      <c r="B418"/>
    </row>
    <row r="419" spans="1:2">
      <c r="A419" s="5"/>
      <c r="B419"/>
    </row>
    <row r="420" spans="1:2">
      <c r="A420" s="5"/>
      <c r="B420"/>
    </row>
    <row r="421" spans="1:2">
      <c r="A421" s="4"/>
    </row>
    <row r="422" spans="1:2">
      <c r="A422" s="4"/>
    </row>
    <row r="423" spans="1:2">
      <c r="A423" s="4"/>
    </row>
    <row r="424" spans="1:2">
      <c r="A424" s="4"/>
    </row>
    <row r="425" spans="1:2">
      <c r="A425" s="4"/>
    </row>
    <row r="426" spans="1:2">
      <c r="A426" s="4"/>
    </row>
    <row r="427" spans="1:2">
      <c r="A427" s="4"/>
    </row>
    <row r="428" spans="1:2">
      <c r="A428" s="4"/>
    </row>
    <row r="429" spans="1:2">
      <c r="A429" s="4"/>
    </row>
    <row r="430" spans="1:2">
      <c r="A430" s="4"/>
    </row>
    <row r="431" spans="1:2">
      <c r="A431" s="4"/>
    </row>
  </sheetData>
  <conditionalFormatting sqref="A16">
    <cfRule type="duplicateValues" dxfId="2" priority="1"/>
  </conditionalFormatting>
  <conditionalFormatting sqref="A1:B1">
    <cfRule type="duplicateValues" dxfId="1" priority="3"/>
  </conditionalFormatting>
  <conditionalFormatting sqref="B349:B352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D532E-1EA7-4328-ADD5-F82E3C232C48}">
  <dimension ref="A1:C146"/>
  <sheetViews>
    <sheetView workbookViewId="0">
      <selection activeCell="F16" sqref="F16"/>
    </sheetView>
  </sheetViews>
  <sheetFormatPr baseColWidth="10" defaultRowHeight="14.25"/>
  <sheetData>
    <row r="1" spans="1:3">
      <c r="A1" t="s">
        <v>33</v>
      </c>
      <c r="B1" t="s">
        <v>34</v>
      </c>
      <c r="C1" t="s">
        <v>35</v>
      </c>
    </row>
    <row r="2" spans="1:3">
      <c r="A2" s="2"/>
      <c r="B2" s="2"/>
      <c r="C2" s="2"/>
    </row>
    <row r="3" spans="1:3">
      <c r="A3" s="30"/>
      <c r="B3" s="30">
        <v>0</v>
      </c>
      <c r="C3" s="30"/>
    </row>
    <row r="4" spans="1:3">
      <c r="A4" s="2"/>
      <c r="B4" s="2">
        <v>1</v>
      </c>
      <c r="C4" s="2">
        <v>7</v>
      </c>
    </row>
    <row r="5" spans="1:3">
      <c r="A5" s="30">
        <v>0</v>
      </c>
      <c r="B5" s="30"/>
      <c r="C5" s="30"/>
    </row>
    <row r="6" spans="1:3">
      <c r="A6" s="2">
        <v>0</v>
      </c>
      <c r="B6" s="2"/>
      <c r="C6" s="2">
        <v>0</v>
      </c>
    </row>
    <row r="7" spans="1:3">
      <c r="A7" s="30"/>
      <c r="B7" s="30"/>
      <c r="C7" s="30"/>
    </row>
    <row r="8" spans="1:3">
      <c r="A8" s="2"/>
      <c r="B8" s="2">
        <v>0</v>
      </c>
      <c r="C8" s="2"/>
    </row>
    <row r="9" spans="1:3">
      <c r="A9" s="30"/>
      <c r="B9" s="30">
        <v>4</v>
      </c>
      <c r="C9" s="30">
        <v>-18</v>
      </c>
    </row>
    <row r="10" spans="1:3">
      <c r="A10" s="2">
        <v>0</v>
      </c>
      <c r="B10" s="2">
        <v>-25</v>
      </c>
      <c r="C10" s="2">
        <v>1</v>
      </c>
    </row>
    <row r="11" spans="1:3">
      <c r="A11" s="30"/>
      <c r="B11" s="30">
        <v>13</v>
      </c>
      <c r="C11" s="30">
        <v>1</v>
      </c>
    </row>
    <row r="12" spans="1:3">
      <c r="A12" s="2"/>
      <c r="B12" s="2"/>
      <c r="C12" s="2">
        <v>2</v>
      </c>
    </row>
    <row r="13" spans="1:3">
      <c r="A13" s="30"/>
      <c r="B13" s="30">
        <v>0</v>
      </c>
      <c r="C13" s="30">
        <v>1</v>
      </c>
    </row>
    <row r="14" spans="1:3">
      <c r="A14" s="2"/>
      <c r="B14" s="2">
        <v>8</v>
      </c>
      <c r="C14" s="2">
        <v>1</v>
      </c>
    </row>
    <row r="15" spans="1:3">
      <c r="A15" s="30">
        <v>0</v>
      </c>
      <c r="B15" s="30"/>
      <c r="C15" s="30">
        <v>-38</v>
      </c>
    </row>
    <row r="16" spans="1:3">
      <c r="A16" s="2"/>
      <c r="B16" s="2">
        <v>0</v>
      </c>
      <c r="C16" s="2">
        <v>-4</v>
      </c>
    </row>
    <row r="17" spans="1:3">
      <c r="A17" s="30">
        <v>0</v>
      </c>
      <c r="B17" s="30"/>
      <c r="C17" s="30">
        <v>3</v>
      </c>
    </row>
    <row r="18" spans="1:3">
      <c r="A18" s="2"/>
      <c r="B18" s="2"/>
      <c r="C18" s="2"/>
    </row>
    <row r="19" spans="1:3">
      <c r="A19" s="30"/>
      <c r="B19" s="30"/>
      <c r="C19" s="30"/>
    </row>
    <row r="20" spans="1:3">
      <c r="A20" s="2"/>
      <c r="B20" s="2"/>
      <c r="C20" s="2"/>
    </row>
    <row r="21" spans="1:3">
      <c r="A21" s="30"/>
      <c r="B21" s="30"/>
      <c r="C21" s="30">
        <v>10</v>
      </c>
    </row>
    <row r="22" spans="1:3">
      <c r="A22" s="2"/>
      <c r="B22" s="2"/>
      <c r="C22" s="2"/>
    </row>
    <row r="23" spans="1:3">
      <c r="A23" s="30"/>
      <c r="B23" s="30"/>
      <c r="C23" s="30">
        <v>6</v>
      </c>
    </row>
    <row r="24" spans="1:3">
      <c r="A24" s="2"/>
      <c r="B24" s="2">
        <v>1</v>
      </c>
      <c r="C24" s="2">
        <v>2</v>
      </c>
    </row>
    <row r="25" spans="1:3">
      <c r="A25" s="30"/>
      <c r="B25" s="30"/>
      <c r="C25" s="30"/>
    </row>
    <row r="26" spans="1:3">
      <c r="A26" s="2"/>
      <c r="B26" s="2"/>
      <c r="C26" s="2"/>
    </row>
    <row r="27" spans="1:3">
      <c r="A27" s="30"/>
      <c r="B27" s="30"/>
      <c r="C27" s="30"/>
    </row>
    <row r="28" spans="1:3">
      <c r="A28" s="2"/>
      <c r="B28" s="2">
        <v>0</v>
      </c>
      <c r="C28" s="2"/>
    </row>
    <row r="29" spans="1:3">
      <c r="A29" s="30"/>
      <c r="B29" s="30"/>
      <c r="C29" s="30"/>
    </row>
    <row r="30" spans="1:3">
      <c r="A30" s="2"/>
      <c r="B30" s="2"/>
      <c r="C30" s="2"/>
    </row>
    <row r="31" spans="1:3">
      <c r="A31" s="30"/>
      <c r="B31" s="30"/>
      <c r="C31" s="30"/>
    </row>
    <row r="32" spans="1:3">
      <c r="A32" s="2"/>
      <c r="B32" s="2"/>
      <c r="C32" s="2"/>
    </row>
    <row r="33" spans="1:3">
      <c r="A33" s="30"/>
      <c r="B33" s="30"/>
      <c r="C33" s="30"/>
    </row>
    <row r="34" spans="1:3">
      <c r="A34" s="2"/>
      <c r="B34" s="2"/>
      <c r="C34" s="2"/>
    </row>
    <row r="35" spans="1:3">
      <c r="A35" s="30"/>
      <c r="B35" s="30"/>
      <c r="C35" s="30"/>
    </row>
    <row r="36" spans="1:3">
      <c r="A36" s="2"/>
      <c r="B36" s="2"/>
      <c r="C36" s="2">
        <v>0</v>
      </c>
    </row>
    <row r="37" spans="1:3">
      <c r="A37" s="30"/>
      <c r="B37" s="30">
        <v>0</v>
      </c>
      <c r="C37" s="30"/>
    </row>
    <row r="38" spans="1:3">
      <c r="A38" s="2"/>
      <c r="B38" s="2">
        <v>11</v>
      </c>
      <c r="C38" s="2"/>
    </row>
    <row r="39" spans="1:3">
      <c r="A39" s="30"/>
      <c r="B39" s="30"/>
      <c r="C39" s="30"/>
    </row>
    <row r="40" spans="1:3">
      <c r="A40" s="2"/>
      <c r="B40" s="2"/>
      <c r="C40" s="2"/>
    </row>
    <row r="41" spans="1:3">
      <c r="A41" s="30"/>
      <c r="B41" s="30"/>
      <c r="C41" s="30">
        <v>10</v>
      </c>
    </row>
    <row r="42" spans="1:3">
      <c r="A42" s="2"/>
      <c r="B42" s="2">
        <v>-2</v>
      </c>
      <c r="C42" s="2"/>
    </row>
    <row r="43" spans="1:3">
      <c r="A43" s="30"/>
      <c r="B43" s="30"/>
      <c r="C43" s="30"/>
    </row>
    <row r="44" spans="1:3">
      <c r="A44" s="2">
        <v>-7</v>
      </c>
      <c r="B44" s="2">
        <v>0</v>
      </c>
      <c r="C44" s="2"/>
    </row>
    <row r="45" spans="1:3">
      <c r="A45" s="30"/>
      <c r="B45" s="30"/>
      <c r="C45" s="30"/>
    </row>
    <row r="46" spans="1:3">
      <c r="A46" s="2"/>
      <c r="B46" s="2">
        <v>-5</v>
      </c>
      <c r="C46" s="2"/>
    </row>
    <row r="47" spans="1:3">
      <c r="A47" s="30"/>
      <c r="B47" s="30">
        <v>6</v>
      </c>
      <c r="C47" s="30"/>
    </row>
    <row r="48" spans="1:3">
      <c r="A48" s="2">
        <v>3</v>
      </c>
      <c r="B48" s="2">
        <v>0</v>
      </c>
      <c r="C48" s="2"/>
    </row>
    <row r="49" spans="1:3">
      <c r="A49" s="30">
        <v>3</v>
      </c>
      <c r="B49" s="30">
        <v>0</v>
      </c>
      <c r="C49" s="30"/>
    </row>
    <row r="50" spans="1:3">
      <c r="A50" s="2">
        <v>-9</v>
      </c>
      <c r="B50" s="2">
        <v>27</v>
      </c>
      <c r="C50" s="2"/>
    </row>
    <row r="51" spans="1:3">
      <c r="A51" s="30"/>
      <c r="B51" s="30"/>
      <c r="C51" s="30"/>
    </row>
    <row r="52" spans="1:3">
      <c r="A52" s="2">
        <v>3</v>
      </c>
      <c r="B52" s="2"/>
      <c r="C52" s="2"/>
    </row>
    <row r="53" spans="1:3">
      <c r="A53" s="30">
        <v>0</v>
      </c>
      <c r="B53" s="30">
        <v>12</v>
      </c>
      <c r="C53" s="30"/>
    </row>
    <row r="54" spans="1:3">
      <c r="A54" s="2"/>
      <c r="B54" s="2"/>
      <c r="C54" s="2"/>
    </row>
    <row r="55" spans="1:3">
      <c r="A55" s="30"/>
      <c r="B55" s="30"/>
      <c r="C55" s="30"/>
    </row>
    <row r="56" spans="1:3">
      <c r="A56" s="2">
        <v>0</v>
      </c>
      <c r="B56" s="2">
        <v>0</v>
      </c>
      <c r="C56" s="2"/>
    </row>
    <row r="57" spans="1:3">
      <c r="A57" s="30">
        <v>-64</v>
      </c>
      <c r="B57" s="30">
        <v>0</v>
      </c>
      <c r="C57" s="30">
        <v>-28</v>
      </c>
    </row>
    <row r="58" spans="1:3">
      <c r="A58" s="2">
        <v>3</v>
      </c>
      <c r="B58" s="2"/>
      <c r="C58" s="2"/>
    </row>
    <row r="59" spans="1:3">
      <c r="A59" s="30">
        <v>0</v>
      </c>
      <c r="B59" s="30"/>
      <c r="C59" s="30"/>
    </row>
    <row r="60" spans="1:3">
      <c r="A60" s="2"/>
      <c r="B60" s="2">
        <v>0</v>
      </c>
      <c r="C60" s="2"/>
    </row>
    <row r="61" spans="1:3">
      <c r="A61" s="30"/>
      <c r="B61" s="30"/>
      <c r="C61" s="30">
        <v>0</v>
      </c>
    </row>
    <row r="62" spans="1:3">
      <c r="A62" s="2"/>
      <c r="B62" s="2"/>
      <c r="C62" s="2"/>
    </row>
    <row r="63" spans="1:3">
      <c r="A63" s="30">
        <v>2</v>
      </c>
      <c r="B63" s="30"/>
      <c r="C63" s="30"/>
    </row>
    <row r="64" spans="1:3">
      <c r="A64" s="2"/>
      <c r="B64" s="2"/>
      <c r="C64" s="2"/>
    </row>
    <row r="65" spans="1:3">
      <c r="A65" s="30"/>
      <c r="B65" s="30"/>
      <c r="C65" s="30"/>
    </row>
    <row r="66" spans="1:3">
      <c r="A66" s="2">
        <v>5</v>
      </c>
      <c r="B66" s="2">
        <v>4</v>
      </c>
      <c r="C66" s="2"/>
    </row>
    <row r="67" spans="1:3">
      <c r="A67" s="30"/>
      <c r="B67" s="30">
        <v>0</v>
      </c>
      <c r="C67" s="30">
        <v>0</v>
      </c>
    </row>
    <row r="68" spans="1:3">
      <c r="A68" s="2">
        <v>-17</v>
      </c>
      <c r="B68" s="2"/>
      <c r="C68" s="2"/>
    </row>
    <row r="69" spans="1:3">
      <c r="A69" s="30">
        <v>0</v>
      </c>
      <c r="B69" s="30">
        <v>1</v>
      </c>
      <c r="C69" s="30"/>
    </row>
    <row r="70" spans="1:3">
      <c r="A70" s="2"/>
      <c r="B70" s="2">
        <v>1</v>
      </c>
      <c r="C70" s="2"/>
    </row>
    <row r="71" spans="1:3">
      <c r="A71" s="30">
        <v>2</v>
      </c>
      <c r="B71" s="30"/>
      <c r="C71" s="30"/>
    </row>
    <row r="72" spans="1:3">
      <c r="A72" s="2">
        <v>-2</v>
      </c>
      <c r="B72" s="2">
        <v>0</v>
      </c>
      <c r="C72" s="2"/>
    </row>
    <row r="73" spans="1:3">
      <c r="A73" s="30">
        <v>-4</v>
      </c>
      <c r="B73" s="30"/>
      <c r="C73" s="30"/>
    </row>
    <row r="74" spans="1:3">
      <c r="A74" s="2"/>
      <c r="B74" s="2"/>
      <c r="C74" s="2">
        <v>0</v>
      </c>
    </row>
    <row r="75" spans="1:3">
      <c r="A75" s="30">
        <v>0</v>
      </c>
      <c r="B75" s="30"/>
      <c r="C75" s="30">
        <v>-14</v>
      </c>
    </row>
    <row r="76" spans="1:3">
      <c r="A76" s="2"/>
      <c r="B76" s="2"/>
      <c r="C76" s="2"/>
    </row>
    <row r="77" spans="1:3">
      <c r="A77" s="30"/>
      <c r="B77" s="30"/>
      <c r="C77" s="30">
        <v>1</v>
      </c>
    </row>
    <row r="78" spans="1:3">
      <c r="A78" s="2">
        <v>0</v>
      </c>
      <c r="B78" s="2"/>
      <c r="C78" s="2">
        <v>1</v>
      </c>
    </row>
    <row r="79" spans="1:3">
      <c r="A79" s="30"/>
      <c r="B79" s="30"/>
      <c r="C79" s="30">
        <v>4</v>
      </c>
    </row>
    <row r="80" spans="1:3">
      <c r="A80" s="2"/>
      <c r="B80" s="2"/>
      <c r="C80" s="2"/>
    </row>
    <row r="81" spans="1:3">
      <c r="A81" s="30"/>
      <c r="B81" s="30"/>
      <c r="C81" s="30">
        <v>10</v>
      </c>
    </row>
    <row r="82" spans="1:3">
      <c r="A82" s="2"/>
      <c r="B82" s="2"/>
      <c r="C82" s="2"/>
    </row>
    <row r="83" spans="1:3">
      <c r="A83" s="30"/>
      <c r="B83" s="30"/>
      <c r="C83" s="30"/>
    </row>
    <row r="84" spans="1:3">
      <c r="A84" s="2"/>
      <c r="B84" s="2">
        <v>3</v>
      </c>
      <c r="C84" s="2"/>
    </row>
    <row r="85" spans="1:3">
      <c r="A85" s="30"/>
      <c r="C85" s="30"/>
    </row>
    <row r="86" spans="1:3">
      <c r="A86" s="2"/>
      <c r="C86" s="2"/>
    </row>
    <row r="87" spans="1:3">
      <c r="A87" s="30"/>
      <c r="C87" s="30"/>
    </row>
    <row r="88" spans="1:3">
      <c r="A88" s="2"/>
      <c r="C88" s="2">
        <v>-18</v>
      </c>
    </row>
    <row r="89" spans="1:3">
      <c r="A89" s="30"/>
      <c r="C89" s="30"/>
    </row>
    <row r="90" spans="1:3">
      <c r="A90" s="2">
        <v>1</v>
      </c>
      <c r="C90" s="2"/>
    </row>
    <row r="91" spans="1:3">
      <c r="A91" s="30"/>
      <c r="C91" s="30">
        <v>0</v>
      </c>
    </row>
    <row r="92" spans="1:3">
      <c r="A92" s="2"/>
      <c r="C92" s="2">
        <v>5</v>
      </c>
    </row>
    <row r="93" spans="1:3">
      <c r="A93" s="30"/>
      <c r="C93" s="30"/>
    </row>
    <row r="94" spans="1:3">
      <c r="A94" s="2">
        <v>0</v>
      </c>
      <c r="C94" s="2">
        <v>0</v>
      </c>
    </row>
    <row r="95" spans="1:3">
      <c r="A95" s="30"/>
      <c r="C95" s="30"/>
    </row>
    <row r="96" spans="1:3">
      <c r="A96" s="2"/>
      <c r="C96" s="2">
        <v>-11</v>
      </c>
    </row>
    <row r="97" spans="1:3">
      <c r="A97" s="30"/>
      <c r="C97" s="30"/>
    </row>
    <row r="98" spans="1:3">
      <c r="A98" s="2"/>
      <c r="C98" s="2">
        <v>0</v>
      </c>
    </row>
    <row r="99" spans="1:3">
      <c r="A99" s="30"/>
      <c r="C99" s="30">
        <v>0</v>
      </c>
    </row>
    <row r="100" spans="1:3">
      <c r="A100" s="2">
        <v>7</v>
      </c>
      <c r="C100" s="2"/>
    </row>
    <row r="101" spans="1:3">
      <c r="A101" s="30"/>
      <c r="C101" s="30"/>
    </row>
    <row r="102" spans="1:3">
      <c r="A102" s="2">
        <v>-9</v>
      </c>
      <c r="C102" s="2"/>
    </row>
    <row r="103" spans="1:3">
      <c r="A103" s="30">
        <v>2</v>
      </c>
      <c r="C103" s="30"/>
    </row>
    <row r="104" spans="1:3">
      <c r="A104" s="2"/>
      <c r="C104" s="2"/>
    </row>
    <row r="105" spans="1:3">
      <c r="A105" s="30">
        <v>1</v>
      </c>
    </row>
    <row r="106" spans="1:3">
      <c r="A106" s="2">
        <v>0</v>
      </c>
    </row>
    <row r="107" spans="1:3">
      <c r="A107" s="30"/>
    </row>
    <row r="108" spans="1:3">
      <c r="A108" s="2"/>
    </row>
    <row r="109" spans="1:3">
      <c r="A109" s="30"/>
    </row>
    <row r="110" spans="1:3">
      <c r="A110" s="2">
        <v>5</v>
      </c>
    </row>
    <row r="111" spans="1:3">
      <c r="A111" s="30"/>
    </row>
    <row r="112" spans="1:3">
      <c r="A112" s="2">
        <v>1</v>
      </c>
    </row>
    <row r="113" spans="1:1">
      <c r="A113" s="30"/>
    </row>
    <row r="114" spans="1:1">
      <c r="A114" s="2">
        <v>-15</v>
      </c>
    </row>
    <row r="115" spans="1:1">
      <c r="A115" s="30">
        <v>31</v>
      </c>
    </row>
    <row r="116" spans="1:1">
      <c r="A116" s="2">
        <v>0</v>
      </c>
    </row>
    <row r="117" spans="1:1">
      <c r="A117" s="30">
        <v>0</v>
      </c>
    </row>
    <row r="118" spans="1:1">
      <c r="A118" s="2"/>
    </row>
    <row r="119" spans="1:1">
      <c r="A119" s="30"/>
    </row>
    <row r="120" spans="1:1">
      <c r="A120" s="2">
        <v>3</v>
      </c>
    </row>
    <row r="121" spans="1:1">
      <c r="A121" s="30"/>
    </row>
    <row r="122" spans="1:1">
      <c r="A122" s="2">
        <v>2</v>
      </c>
    </row>
    <row r="123" spans="1:1">
      <c r="A123" s="30">
        <v>-10</v>
      </c>
    </row>
    <row r="124" spans="1:1">
      <c r="A124" s="2">
        <v>1</v>
      </c>
    </row>
    <row r="125" spans="1:1">
      <c r="A125" s="30"/>
    </row>
    <row r="126" spans="1:1">
      <c r="A126" s="2"/>
    </row>
    <row r="127" spans="1:1">
      <c r="A127" s="30"/>
    </row>
    <row r="128" spans="1:1">
      <c r="A128" s="2">
        <v>-16</v>
      </c>
    </row>
    <row r="129" spans="1:1">
      <c r="A129" s="30"/>
    </row>
    <row r="130" spans="1:1">
      <c r="A130" s="2"/>
    </row>
    <row r="131" spans="1:1">
      <c r="A131" s="30"/>
    </row>
    <row r="132" spans="1:1">
      <c r="A132" s="2"/>
    </row>
    <row r="133" spans="1:1">
      <c r="A133" s="30">
        <v>0</v>
      </c>
    </row>
    <row r="134" spans="1:1">
      <c r="A134" s="2"/>
    </row>
    <row r="135" spans="1:1">
      <c r="A135" s="30">
        <v>1</v>
      </c>
    </row>
    <row r="136" spans="1:1">
      <c r="A136" s="2">
        <v>-14</v>
      </c>
    </row>
    <row r="137" spans="1:1">
      <c r="A137" s="30">
        <v>0</v>
      </c>
    </row>
    <row r="138" spans="1:1">
      <c r="A138" s="2"/>
    </row>
    <row r="139" spans="1:1">
      <c r="A139" s="30">
        <v>-35</v>
      </c>
    </row>
    <row r="140" spans="1:1">
      <c r="A140" s="2"/>
    </row>
    <row r="141" spans="1:1">
      <c r="A141" s="30">
        <v>0</v>
      </c>
    </row>
    <row r="142" spans="1:1">
      <c r="A142" s="2"/>
    </row>
    <row r="143" spans="1:1">
      <c r="A143" s="30"/>
    </row>
    <row r="144" spans="1:1">
      <c r="A144" s="2"/>
    </row>
    <row r="145" spans="1:1">
      <c r="A145" s="30"/>
    </row>
    <row r="146" spans="1:1">
      <c r="A146" s="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A958-EEF2-4AC0-82B6-EFBFE670AAE1}">
  <dimension ref="A1:K419"/>
  <sheetViews>
    <sheetView workbookViewId="0">
      <selection activeCell="J3" sqref="J3:K7"/>
    </sheetView>
  </sheetViews>
  <sheetFormatPr baseColWidth="10" defaultRowHeight="14.25"/>
  <sheetData>
    <row r="1" spans="1:11">
      <c r="A1" t="s">
        <v>37</v>
      </c>
      <c r="B1" t="s">
        <v>33</v>
      </c>
      <c r="C1" t="s">
        <v>34</v>
      </c>
      <c r="D1" t="s">
        <v>35</v>
      </c>
    </row>
    <row r="3" spans="1:11" ht="15">
      <c r="C3">
        <v>17</v>
      </c>
      <c r="F3" s="33" t="s">
        <v>38</v>
      </c>
      <c r="J3" s="33" t="s">
        <v>39</v>
      </c>
    </row>
    <row r="4" spans="1:11">
      <c r="C4">
        <v>404</v>
      </c>
      <c r="D4">
        <v>15</v>
      </c>
      <c r="F4" t="s">
        <v>37</v>
      </c>
      <c r="G4">
        <f>AVERAGE(A2:A419)</f>
        <v>23.696000000000002</v>
      </c>
      <c r="J4" t="s">
        <v>37</v>
      </c>
      <c r="K4">
        <f>MEDIAN(A2:A419)</f>
        <v>15</v>
      </c>
    </row>
    <row r="5" spans="1:11">
      <c r="A5">
        <v>36</v>
      </c>
      <c r="B5">
        <v>36</v>
      </c>
      <c r="F5" t="s">
        <v>33</v>
      </c>
      <c r="G5">
        <f>AVERAGE(B2:B186)</f>
        <v>23</v>
      </c>
      <c r="J5" t="s">
        <v>33</v>
      </c>
      <c r="K5">
        <f>MEDIAN(B2:B198)</f>
        <v>17</v>
      </c>
    </row>
    <row r="6" spans="1:11">
      <c r="A6">
        <v>44</v>
      </c>
      <c r="B6">
        <v>44</v>
      </c>
      <c r="D6">
        <v>16</v>
      </c>
      <c r="F6" t="s">
        <v>34</v>
      </c>
      <c r="G6">
        <f>AVERAGE(C2:C160)</f>
        <v>30.060606060606062</v>
      </c>
      <c r="J6" t="s">
        <v>34</v>
      </c>
      <c r="K6">
        <f>MEDIAN(C2:C172)</f>
        <v>13</v>
      </c>
    </row>
    <row r="7" spans="1:11">
      <c r="F7" t="s">
        <v>35</v>
      </c>
      <c r="G7">
        <f>AVERAGE(D2:D146)</f>
        <v>18.705882352941178</v>
      </c>
      <c r="J7" t="s">
        <v>35</v>
      </c>
      <c r="K7">
        <f>MEDIAN(D2:D172)</f>
        <v>14.5</v>
      </c>
    </row>
    <row r="8" spans="1:11">
      <c r="C8">
        <v>12</v>
      </c>
    </row>
    <row r="9" spans="1:11">
      <c r="C9">
        <v>9</v>
      </c>
      <c r="D9">
        <v>45</v>
      </c>
    </row>
    <row r="10" spans="1:11">
      <c r="A10">
        <v>12</v>
      </c>
      <c r="B10">
        <v>12</v>
      </c>
      <c r="C10">
        <v>32</v>
      </c>
      <c r="D10">
        <v>18</v>
      </c>
    </row>
    <row r="11" spans="1:11">
      <c r="C11">
        <v>14</v>
      </c>
      <c r="D11">
        <v>7</v>
      </c>
    </row>
    <row r="12" spans="1:11">
      <c r="D12">
        <v>15</v>
      </c>
    </row>
    <row r="13" spans="1:11">
      <c r="C13">
        <v>13</v>
      </c>
      <c r="D13">
        <v>34</v>
      </c>
    </row>
    <row r="14" spans="1:11">
      <c r="A14">
        <v>17</v>
      </c>
      <c r="C14">
        <v>11</v>
      </c>
      <c r="D14">
        <v>26</v>
      </c>
    </row>
    <row r="15" spans="1:11">
      <c r="A15">
        <v>404</v>
      </c>
      <c r="B15">
        <v>3</v>
      </c>
      <c r="D15">
        <v>70</v>
      </c>
    </row>
    <row r="16" spans="1:11">
      <c r="C16">
        <v>58</v>
      </c>
      <c r="D16">
        <v>39</v>
      </c>
    </row>
    <row r="17" spans="1:4">
      <c r="B17">
        <v>15</v>
      </c>
      <c r="D17">
        <v>44</v>
      </c>
    </row>
    <row r="20" spans="1:4">
      <c r="A20">
        <v>15</v>
      </c>
    </row>
    <row r="21" spans="1:4">
      <c r="D21">
        <v>15</v>
      </c>
    </row>
    <row r="22" spans="1:4">
      <c r="A22">
        <v>16</v>
      </c>
    </row>
    <row r="24" spans="1:4">
      <c r="C24">
        <v>11</v>
      </c>
      <c r="D24">
        <v>9</v>
      </c>
    </row>
    <row r="25" spans="1:4">
      <c r="A25">
        <v>45</v>
      </c>
    </row>
    <row r="26" spans="1:4">
      <c r="A26">
        <v>18</v>
      </c>
    </row>
    <row r="27" spans="1:4">
      <c r="A27">
        <v>7</v>
      </c>
    </row>
    <row r="28" spans="1:4">
      <c r="A28">
        <v>15</v>
      </c>
      <c r="C28">
        <v>12</v>
      </c>
    </row>
    <row r="29" spans="1:4">
      <c r="A29">
        <v>34</v>
      </c>
    </row>
    <row r="30" spans="1:4">
      <c r="A30">
        <v>26</v>
      </c>
    </row>
    <row r="31" spans="1:4">
      <c r="A31">
        <v>70</v>
      </c>
    </row>
    <row r="32" spans="1:4">
      <c r="A32">
        <v>39</v>
      </c>
    </row>
    <row r="33" spans="1:4">
      <c r="A33">
        <v>44</v>
      </c>
    </row>
    <row r="36" spans="1:4">
      <c r="D36">
        <v>9</v>
      </c>
    </row>
    <row r="37" spans="1:4">
      <c r="A37">
        <v>15</v>
      </c>
      <c r="C37">
        <v>12</v>
      </c>
    </row>
    <row r="38" spans="1:4">
      <c r="C38">
        <v>16</v>
      </c>
    </row>
    <row r="41" spans="1:4">
      <c r="D41">
        <v>9</v>
      </c>
    </row>
    <row r="42" spans="1:4">
      <c r="C42">
        <v>9</v>
      </c>
    </row>
    <row r="43" spans="1:4">
      <c r="A43">
        <v>3</v>
      </c>
    </row>
    <row r="44" spans="1:4">
      <c r="B44">
        <v>17</v>
      </c>
      <c r="C44">
        <v>17</v>
      </c>
    </row>
    <row r="45" spans="1:4">
      <c r="A45">
        <v>15</v>
      </c>
    </row>
    <row r="46" spans="1:4">
      <c r="C46">
        <v>30</v>
      </c>
    </row>
    <row r="47" spans="1:4">
      <c r="C47">
        <v>6</v>
      </c>
    </row>
    <row r="48" spans="1:4">
      <c r="B48">
        <v>11</v>
      </c>
      <c r="C48">
        <v>2</v>
      </c>
    </row>
    <row r="49" spans="1:4">
      <c r="B49">
        <v>14</v>
      </c>
      <c r="C49">
        <v>7</v>
      </c>
    </row>
    <row r="50" spans="1:4">
      <c r="A50">
        <v>12</v>
      </c>
      <c r="B50">
        <v>22</v>
      </c>
      <c r="C50">
        <v>3</v>
      </c>
    </row>
    <row r="51" spans="1:4">
      <c r="A51">
        <v>9</v>
      </c>
    </row>
    <row r="52" spans="1:4">
      <c r="A52">
        <v>32</v>
      </c>
      <c r="B52">
        <v>7</v>
      </c>
    </row>
    <row r="53" spans="1:4">
      <c r="A53">
        <v>14</v>
      </c>
      <c r="B53">
        <v>18</v>
      </c>
      <c r="C53">
        <v>9</v>
      </c>
    </row>
    <row r="56" spans="1:4">
      <c r="A56">
        <v>9</v>
      </c>
      <c r="B56">
        <v>15</v>
      </c>
      <c r="C56">
        <v>23</v>
      </c>
    </row>
    <row r="57" spans="1:4">
      <c r="B57">
        <v>109</v>
      </c>
      <c r="C57">
        <v>4</v>
      </c>
      <c r="D57">
        <v>33</v>
      </c>
    </row>
    <row r="59" spans="1:4">
      <c r="B59">
        <v>23</v>
      </c>
    </row>
    <row r="60" spans="1:4">
      <c r="C60">
        <v>39</v>
      </c>
    </row>
    <row r="61" spans="1:4">
      <c r="D61">
        <v>7</v>
      </c>
    </row>
    <row r="63" spans="1:4">
      <c r="B63">
        <v>21</v>
      </c>
      <c r="C63">
        <v>14</v>
      </c>
    </row>
    <row r="66" spans="2:4">
      <c r="B66">
        <v>18</v>
      </c>
      <c r="C66">
        <v>113</v>
      </c>
    </row>
    <row r="67" spans="2:4">
      <c r="C67">
        <v>38</v>
      </c>
      <c r="D67">
        <v>11</v>
      </c>
    </row>
    <row r="68" spans="2:4">
      <c r="B68">
        <v>43</v>
      </c>
    </row>
    <row r="69" spans="2:4">
      <c r="B69">
        <v>20</v>
      </c>
      <c r="C69">
        <v>4</v>
      </c>
    </row>
    <row r="70" spans="2:4">
      <c r="C70">
        <v>6</v>
      </c>
    </row>
    <row r="71" spans="2:4">
      <c r="B71">
        <v>29</v>
      </c>
    </row>
    <row r="72" spans="2:4">
      <c r="B72">
        <v>3</v>
      </c>
      <c r="C72">
        <v>4</v>
      </c>
    </row>
    <row r="73" spans="2:4">
      <c r="B73">
        <v>28</v>
      </c>
    </row>
    <row r="74" spans="2:4">
      <c r="D74">
        <v>1</v>
      </c>
    </row>
    <row r="75" spans="2:4">
      <c r="B75">
        <v>4</v>
      </c>
      <c r="D75">
        <v>30</v>
      </c>
    </row>
    <row r="77" spans="2:4">
      <c r="D77">
        <v>8</v>
      </c>
    </row>
    <row r="78" spans="2:4">
      <c r="B78">
        <v>18</v>
      </c>
      <c r="D78">
        <v>6</v>
      </c>
    </row>
    <row r="79" spans="2:4">
      <c r="D79">
        <v>8</v>
      </c>
    </row>
    <row r="81" spans="1:4">
      <c r="D81">
        <v>22</v>
      </c>
    </row>
    <row r="84" spans="1:4">
      <c r="C84">
        <v>15</v>
      </c>
    </row>
    <row r="85" spans="1:4">
      <c r="C85">
        <v>14</v>
      </c>
    </row>
    <row r="86" spans="1:4">
      <c r="A86">
        <v>17</v>
      </c>
    </row>
    <row r="88" spans="1:4">
      <c r="D88">
        <v>32</v>
      </c>
    </row>
    <row r="90" spans="1:4">
      <c r="A90">
        <v>11</v>
      </c>
      <c r="B90">
        <v>4</v>
      </c>
    </row>
    <row r="91" spans="1:4">
      <c r="A91">
        <v>14</v>
      </c>
      <c r="D91">
        <v>12</v>
      </c>
    </row>
    <row r="92" spans="1:4">
      <c r="A92">
        <v>22</v>
      </c>
      <c r="D92">
        <v>5</v>
      </c>
    </row>
    <row r="94" spans="1:4">
      <c r="A94">
        <v>7</v>
      </c>
      <c r="B94">
        <v>4</v>
      </c>
      <c r="C94">
        <v>14</v>
      </c>
      <c r="D94">
        <v>10</v>
      </c>
    </row>
    <row r="95" spans="1:4">
      <c r="A95">
        <v>18</v>
      </c>
    </row>
    <row r="96" spans="1:4">
      <c r="D96">
        <v>16</v>
      </c>
    </row>
    <row r="98" spans="1:4">
      <c r="A98">
        <v>15</v>
      </c>
      <c r="D98">
        <v>12</v>
      </c>
    </row>
    <row r="99" spans="1:4">
      <c r="A99">
        <v>109</v>
      </c>
      <c r="D99">
        <v>8</v>
      </c>
    </row>
    <row r="100" spans="1:4">
      <c r="B100">
        <v>4</v>
      </c>
    </row>
    <row r="101" spans="1:4">
      <c r="A101">
        <v>23</v>
      </c>
    </row>
    <row r="102" spans="1:4">
      <c r="B102">
        <v>25</v>
      </c>
    </row>
    <row r="103" spans="1:4">
      <c r="B103">
        <v>9</v>
      </c>
    </row>
    <row r="105" spans="1:4">
      <c r="A105">
        <v>21</v>
      </c>
      <c r="B105">
        <v>4</v>
      </c>
    </row>
    <row r="106" spans="1:4">
      <c r="B106">
        <v>8</v>
      </c>
    </row>
    <row r="108" spans="1:4">
      <c r="A108">
        <v>18</v>
      </c>
    </row>
    <row r="109" spans="1:4">
      <c r="D109">
        <v>21</v>
      </c>
    </row>
    <row r="110" spans="1:4">
      <c r="A110">
        <v>43</v>
      </c>
      <c r="B110">
        <v>12</v>
      </c>
    </row>
    <row r="111" spans="1:4">
      <c r="A111">
        <v>20</v>
      </c>
    </row>
    <row r="112" spans="1:4">
      <c r="B112">
        <v>18</v>
      </c>
    </row>
    <row r="113" spans="1:4">
      <c r="A113">
        <v>29</v>
      </c>
    </row>
    <row r="114" spans="1:4">
      <c r="A114">
        <v>3</v>
      </c>
      <c r="B114">
        <v>40</v>
      </c>
    </row>
    <row r="115" spans="1:4">
      <c r="A115">
        <v>28</v>
      </c>
      <c r="B115">
        <v>6</v>
      </c>
    </row>
    <row r="116" spans="1:4">
      <c r="B116">
        <v>17</v>
      </c>
    </row>
    <row r="117" spans="1:4">
      <c r="A117">
        <v>4</v>
      </c>
      <c r="B117">
        <v>20</v>
      </c>
    </row>
    <row r="120" spans="1:4">
      <c r="A120">
        <v>18</v>
      </c>
      <c r="B120">
        <v>5</v>
      </c>
    </row>
    <row r="122" spans="1:4">
      <c r="B122">
        <v>16</v>
      </c>
      <c r="D122">
        <v>14</v>
      </c>
    </row>
    <row r="123" spans="1:4">
      <c r="B123">
        <v>87</v>
      </c>
    </row>
    <row r="124" spans="1:4">
      <c r="B124">
        <v>7</v>
      </c>
      <c r="D124">
        <v>9</v>
      </c>
    </row>
    <row r="128" spans="1:4">
      <c r="B128">
        <v>31</v>
      </c>
    </row>
    <row r="132" spans="1:2">
      <c r="A132">
        <v>4</v>
      </c>
    </row>
    <row r="133" spans="1:2">
      <c r="B133">
        <v>10</v>
      </c>
    </row>
    <row r="135" spans="1:2">
      <c r="B135">
        <v>12</v>
      </c>
    </row>
    <row r="136" spans="1:2">
      <c r="A136">
        <v>4</v>
      </c>
      <c r="B136">
        <v>65</v>
      </c>
    </row>
    <row r="137" spans="1:2">
      <c r="B137">
        <v>50</v>
      </c>
    </row>
    <row r="139" spans="1:2">
      <c r="B139">
        <v>58</v>
      </c>
    </row>
    <row r="141" spans="1:2">
      <c r="B141">
        <v>16</v>
      </c>
    </row>
    <row r="142" spans="1:2">
      <c r="A142">
        <v>4</v>
      </c>
    </row>
    <row r="144" spans="1:2">
      <c r="A144">
        <v>25</v>
      </c>
    </row>
    <row r="145" spans="1:2">
      <c r="A145">
        <v>9</v>
      </c>
    </row>
    <row r="147" spans="1:2">
      <c r="A147">
        <v>4</v>
      </c>
    </row>
    <row r="148" spans="1:2">
      <c r="A148">
        <v>8</v>
      </c>
    </row>
    <row r="150" spans="1:2">
      <c r="B150">
        <v>19</v>
      </c>
    </row>
    <row r="152" spans="1:2">
      <c r="A152">
        <v>12</v>
      </c>
    </row>
    <row r="154" spans="1:2">
      <c r="A154">
        <v>18</v>
      </c>
    </row>
    <row r="156" spans="1:2">
      <c r="A156">
        <v>40</v>
      </c>
    </row>
    <row r="157" spans="1:2">
      <c r="A157">
        <v>6</v>
      </c>
    </row>
    <row r="158" spans="1:2">
      <c r="A158">
        <v>17</v>
      </c>
      <c r="B158">
        <v>13</v>
      </c>
    </row>
    <row r="159" spans="1:2">
      <c r="A159">
        <v>20</v>
      </c>
    </row>
    <row r="161" spans="1:2">
      <c r="B161">
        <v>32</v>
      </c>
    </row>
    <row r="162" spans="1:2">
      <c r="A162">
        <v>5</v>
      </c>
    </row>
    <row r="163" spans="1:2">
      <c r="B163">
        <v>6</v>
      </c>
    </row>
    <row r="164" spans="1:2">
      <c r="A164">
        <v>16</v>
      </c>
    </row>
    <row r="165" spans="1:2">
      <c r="A165">
        <v>87</v>
      </c>
    </row>
    <row r="166" spans="1:2">
      <c r="A166">
        <v>7</v>
      </c>
    </row>
    <row r="167" spans="1:2">
      <c r="B167">
        <v>21</v>
      </c>
    </row>
    <row r="170" spans="1:2">
      <c r="A170">
        <v>31</v>
      </c>
    </row>
    <row r="171" spans="1:2">
      <c r="B171">
        <v>41</v>
      </c>
    </row>
    <row r="174" spans="1:2">
      <c r="B174">
        <v>11</v>
      </c>
    </row>
    <row r="175" spans="1:2">
      <c r="A175">
        <v>10</v>
      </c>
      <c r="B175">
        <v>64</v>
      </c>
    </row>
    <row r="176" spans="1:2">
      <c r="B176">
        <v>17</v>
      </c>
    </row>
    <row r="177" spans="1:2">
      <c r="A177">
        <v>12</v>
      </c>
    </row>
    <row r="178" spans="1:2">
      <c r="A178">
        <v>65</v>
      </c>
      <c r="B178">
        <v>10</v>
      </c>
    </row>
    <row r="179" spans="1:2">
      <c r="A179">
        <v>50</v>
      </c>
    </row>
    <row r="181" spans="1:2">
      <c r="A181">
        <v>58</v>
      </c>
    </row>
    <row r="183" spans="1:2">
      <c r="A183">
        <v>16</v>
      </c>
    </row>
    <row r="185" spans="1:2">
      <c r="B185">
        <v>42</v>
      </c>
    </row>
    <row r="191" spans="1:2">
      <c r="A191">
        <v>13</v>
      </c>
    </row>
    <row r="192" spans="1:2">
      <c r="A192">
        <v>11</v>
      </c>
    </row>
    <row r="194" spans="1:1">
      <c r="A194">
        <v>58</v>
      </c>
    </row>
    <row r="202" spans="1:1">
      <c r="A202">
        <v>11</v>
      </c>
    </row>
    <row r="206" spans="1:1">
      <c r="A206">
        <v>12</v>
      </c>
    </row>
    <row r="215" spans="1:1">
      <c r="A215">
        <v>12</v>
      </c>
    </row>
    <row r="216" spans="1:1">
      <c r="A216">
        <v>16</v>
      </c>
    </row>
    <row r="220" spans="1:1">
      <c r="A220">
        <v>9</v>
      </c>
    </row>
    <row r="222" spans="1:1">
      <c r="A222">
        <v>17</v>
      </c>
    </row>
    <row r="224" spans="1:1">
      <c r="A224">
        <v>30</v>
      </c>
    </row>
    <row r="225" spans="1:1">
      <c r="A225">
        <v>6</v>
      </c>
    </row>
    <row r="226" spans="1:1">
      <c r="A226">
        <v>2</v>
      </c>
    </row>
    <row r="227" spans="1:1">
      <c r="A227">
        <v>7</v>
      </c>
    </row>
    <row r="228" spans="1:1">
      <c r="A228">
        <v>3</v>
      </c>
    </row>
    <row r="231" spans="1:1">
      <c r="A231">
        <v>9</v>
      </c>
    </row>
    <row r="234" spans="1:1">
      <c r="A234">
        <v>23</v>
      </c>
    </row>
    <row r="235" spans="1:1">
      <c r="A235">
        <v>4</v>
      </c>
    </row>
    <row r="238" spans="1:1">
      <c r="A238">
        <v>39</v>
      </c>
    </row>
    <row r="241" spans="1:1">
      <c r="A241">
        <v>14</v>
      </c>
    </row>
    <row r="244" spans="1:1">
      <c r="A244">
        <v>113</v>
      </c>
    </row>
    <row r="245" spans="1:1">
      <c r="A245">
        <v>38</v>
      </c>
    </row>
    <row r="247" spans="1:1">
      <c r="A247">
        <v>4</v>
      </c>
    </row>
    <row r="248" spans="1:1">
      <c r="A248">
        <v>6</v>
      </c>
    </row>
    <row r="250" spans="1:1">
      <c r="A250">
        <v>4</v>
      </c>
    </row>
    <row r="262" spans="1:1">
      <c r="A262">
        <v>15</v>
      </c>
    </row>
    <row r="272" spans="1:1">
      <c r="A272">
        <v>9</v>
      </c>
    </row>
    <row r="277" spans="1:1">
      <c r="A277">
        <v>9</v>
      </c>
    </row>
    <row r="293" spans="1:1">
      <c r="A293">
        <v>33</v>
      </c>
    </row>
    <row r="297" spans="1:1">
      <c r="A297">
        <v>7</v>
      </c>
    </row>
    <row r="303" spans="1:1">
      <c r="A303">
        <v>11</v>
      </c>
    </row>
    <row r="310" spans="1:1">
      <c r="A310">
        <v>1</v>
      </c>
    </row>
    <row r="311" spans="1:1">
      <c r="A311">
        <v>30</v>
      </c>
    </row>
    <row r="313" spans="1:1">
      <c r="A313">
        <v>8</v>
      </c>
    </row>
    <row r="314" spans="1:1">
      <c r="A314">
        <v>6</v>
      </c>
    </row>
    <row r="315" spans="1:1">
      <c r="A315">
        <v>8</v>
      </c>
    </row>
    <row r="317" spans="1:1">
      <c r="A317">
        <v>22</v>
      </c>
    </row>
    <row r="324" spans="1:1">
      <c r="A324">
        <v>32</v>
      </c>
    </row>
    <row r="327" spans="1:1">
      <c r="A327">
        <v>12</v>
      </c>
    </row>
    <row r="328" spans="1:1">
      <c r="A328">
        <v>5</v>
      </c>
    </row>
    <row r="330" spans="1:1">
      <c r="A330">
        <v>10</v>
      </c>
    </row>
    <row r="332" spans="1:1">
      <c r="A332">
        <v>16</v>
      </c>
    </row>
    <row r="334" spans="1:1">
      <c r="A334">
        <v>12</v>
      </c>
    </row>
    <row r="335" spans="1:1">
      <c r="A335">
        <v>8</v>
      </c>
    </row>
    <row r="345" spans="1:1">
      <c r="A345">
        <v>19</v>
      </c>
    </row>
    <row r="353" spans="1:1">
      <c r="A353">
        <v>13</v>
      </c>
    </row>
    <row r="356" spans="1:1">
      <c r="A356">
        <v>32</v>
      </c>
    </row>
    <row r="358" spans="1:1">
      <c r="A358">
        <v>6</v>
      </c>
    </row>
    <row r="362" spans="1:1">
      <c r="A362">
        <v>21</v>
      </c>
    </row>
    <row r="366" spans="1:1">
      <c r="A366">
        <v>41</v>
      </c>
    </row>
    <row r="369" spans="1:1">
      <c r="A369">
        <v>11</v>
      </c>
    </row>
    <row r="371" spans="1:1">
      <c r="A371">
        <v>14</v>
      </c>
    </row>
    <row r="380" spans="1:1">
      <c r="A380">
        <v>14</v>
      </c>
    </row>
    <row r="387" spans="1:1">
      <c r="A387">
        <v>21</v>
      </c>
    </row>
    <row r="400" spans="1:1">
      <c r="A400">
        <v>64</v>
      </c>
    </row>
    <row r="401" spans="1:1">
      <c r="A401">
        <v>17</v>
      </c>
    </row>
    <row r="404" spans="1:1">
      <c r="A404">
        <v>10</v>
      </c>
    </row>
    <row r="411" spans="1:1">
      <c r="A411">
        <v>42</v>
      </c>
    </row>
    <row r="417" spans="1:1">
      <c r="A417">
        <v>14</v>
      </c>
    </row>
    <row r="419" spans="1:1">
      <c r="A419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rawdata</vt:lpstr>
      <vt:lpstr> diag to stat calculation</vt:lpstr>
      <vt:lpstr>diag to start rawdata</vt:lpstr>
      <vt:lpstr>duration 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2026-03-15T11:44:08Z</dcterms:created>
  <dcterms:modified xsi:type="dcterms:W3CDTF">2026-04-03T16:25:13Z</dcterms:modified>
</cp:coreProperties>
</file>