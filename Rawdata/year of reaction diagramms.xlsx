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year of reaction\"/>
    </mc:Choice>
  </mc:AlternateContent>
  <xr:revisionPtr revIDLastSave="0" documentId="13_ncr:1_{0808E5D7-7298-4B4E-9A2C-2EF3CBF40559}" xr6:coauthVersionLast="47" xr6:coauthVersionMax="47" xr10:uidLastSave="{00000000-0000-0000-0000-000000000000}"/>
  <bookViews>
    <workbookView xWindow="-120" yWindow="-120" windowWidth="29040" windowHeight="15840" xr2:uid="{9B7FE7E1-272A-411C-B084-4804448726C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9" i="1" l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B329" i="1"/>
  <c r="A329" i="1"/>
  <c r="A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B64" i="1"/>
  <c r="C64" i="1"/>
</calcChain>
</file>

<file path=xl/sharedStrings.xml><?xml version="1.0" encoding="utf-8"?>
<sst xmlns="http://schemas.openxmlformats.org/spreadsheetml/2006/main" count="350" uniqueCount="26">
  <si>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</si>
  <si>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</si>
  <si>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</si>
  <si>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</si>
  <si>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</si>
  <si>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</si>
  <si>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</si>
  <si>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</si>
  <si>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</si>
  <si>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</si>
  <si>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</si>
  <si>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</si>
  <si>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</si>
  <si>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</si>
  <si>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</si>
  <si>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</si>
  <si>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</si>
  <si>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</si>
  <si>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</si>
  <si>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</si>
  <si>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</si>
  <si>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</si>
  <si>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</si>
  <si>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</si>
  <si>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</si>
  <si>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Jahr der Erkrankung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</si>
</sst>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5" borderId="1" xfId="0" applyFill="1" applyBorder="1" applyAlignment="1">
      <alignment wrapText="1"/>
    </xf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Leber_Diclo year of reaction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Tabelle1!$A$63:$AE$63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Tabelle1!$A$64:$AE$64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7</c:v>
                </c:pt>
                <c:pt idx="13">
                  <c:v>12</c:v>
                </c:pt>
                <c:pt idx="14">
                  <c:v>9</c:v>
                </c:pt>
                <c:pt idx="15">
                  <c:v>9</c:v>
                </c:pt>
                <c:pt idx="16">
                  <c:v>7</c:v>
                </c:pt>
                <c:pt idx="17">
                  <c:v>7</c:v>
                </c:pt>
                <c:pt idx="18">
                  <c:v>12</c:v>
                </c:pt>
                <c:pt idx="19">
                  <c:v>10</c:v>
                </c:pt>
                <c:pt idx="20">
                  <c:v>14</c:v>
                </c:pt>
                <c:pt idx="21">
                  <c:v>11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2-4D35-AC5E-7BA7CEC2F7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1947792"/>
        <c:axId val="31946352"/>
      </c:barChart>
      <c:catAx>
        <c:axId val="319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46352"/>
        <c:crosses val="autoZero"/>
        <c:auto val="1"/>
        <c:lblAlgn val="ctr"/>
        <c:lblOffset val="100"/>
        <c:noMultiLvlLbl val="0"/>
      </c:catAx>
      <c:valAx>
        <c:axId val="319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194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Leber_Ibu year of reaction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Tabelle1!$A$195:$AE$195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Tabelle1!$A$196:$AE$196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8</c:v>
                </c:pt>
                <c:pt idx="19">
                  <c:v>10</c:v>
                </c:pt>
                <c:pt idx="20">
                  <c:v>11</c:v>
                </c:pt>
                <c:pt idx="21">
                  <c:v>16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4-468B-8E41-4D3FA49FFE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50875040"/>
        <c:axId val="250878400"/>
      </c:barChart>
      <c:catAx>
        <c:axId val="25087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0878400"/>
        <c:crosses val="autoZero"/>
        <c:auto val="1"/>
        <c:lblAlgn val="ctr"/>
        <c:lblOffset val="100"/>
        <c:noMultiLvlLbl val="0"/>
      </c:catAx>
      <c:valAx>
        <c:axId val="25087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5087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de-DE"/>
              <a:t>Leber_Para year of reaction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Tabelle1!$A$328:$AE$328</c:f>
              <c:numCache>
                <c:formatCode>General</c:formatCode>
                <c:ptCount val="3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</c:numCache>
            </c:numRef>
          </c:cat>
          <c:val>
            <c:numRef>
              <c:f>Tabelle1!$A$329:$AE$329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5</c:v>
                </c:pt>
                <c:pt idx="13">
                  <c:v>3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11</c:v>
                </c:pt>
                <c:pt idx="21">
                  <c:v>5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E-41F9-9407-7820495265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45667632"/>
        <c:axId val="245658032"/>
      </c:barChart>
      <c:catAx>
        <c:axId val="24566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5658032"/>
        <c:crosses val="autoZero"/>
        <c:auto val="1"/>
        <c:lblAlgn val="ctr"/>
        <c:lblOffset val="100"/>
        <c:noMultiLvlLbl val="0"/>
      </c:catAx>
      <c:valAx>
        <c:axId val="24565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566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</xdr:row>
      <xdr:rowOff>123825</xdr:rowOff>
    </xdr:from>
    <xdr:to>
      <xdr:col>16</xdr:col>
      <xdr:colOff>95250</xdr:colOff>
      <xdr:row>16</xdr:row>
      <xdr:rowOff>100012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4E06C2F-E7AA-3D2C-DE2A-33968D27D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261936</xdr:colOff>
      <xdr:row>17</xdr:row>
      <xdr:rowOff>28575</xdr:rowOff>
    </xdr:from>
    <xdr:to>
      <xdr:col>16</xdr:col>
      <xdr:colOff>95249</xdr:colOff>
      <xdr:row>32</xdr:row>
      <xdr:rowOff>142874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DFB914A-76CB-4CD6-8265-8C6C268BC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271461</xdr:colOff>
      <xdr:row>33</xdr:row>
      <xdr:rowOff>90486</xdr:rowOff>
    </xdr:from>
    <xdr:to>
      <xdr:col>16</xdr:col>
      <xdr:colOff>85724</xdr:colOff>
      <xdr:row>50</xdr:row>
      <xdr:rowOff>171449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83F0C2E-C7E3-29E8-83B5-3A6A2693C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6651-ABCC-459A-91CB-3FB39692F027}">
  <dimension ref="A2:AG498"/>
  <sheetViews>
    <sheetView tabSelected="1" workbookViewId="0">
      <selection activeCell="F35" sqref="F35"/>
    </sheetView>
  </sheetViews>
  <sheetFormatPr baseColWidth="10" defaultRowHeight="15" x14ac:dyDescent="0.25"/>
  <cols>
    <col min="2" max="2" width="11.85546875" customWidth="1"/>
  </cols>
  <sheetData>
    <row r="2" spans="1:3" ht="30" x14ac:dyDescent="0.25">
      <c r="A2" s="1" t="s">
        <v>0</v>
      </c>
      <c r="B2" s="1" t="s">
        <v>1</v>
      </c>
      <c r="C2" s="9" t="s">
        <v>25</v>
      </c>
    </row>
    <row r="3" spans="1:3" x14ac:dyDescent="0.25">
      <c r="A3" s="2" t="s">
        <v>2</v>
      </c>
      <c r="B3" s="3" t="s">
        <v>3</v>
      </c>
    </row>
    <row r="4" spans="1:3" x14ac:dyDescent="0.25">
      <c r="A4">
        <v>7072184</v>
      </c>
      <c r="B4" t="s">
        <v>4</v>
      </c>
      <c r="C4">
        <v>2002</v>
      </c>
    </row>
    <row r="5" spans="1:3" x14ac:dyDescent="0.25">
      <c r="A5">
        <v>9108231</v>
      </c>
      <c r="B5" t="s">
        <v>4</v>
      </c>
      <c r="C5">
        <v>2009</v>
      </c>
    </row>
    <row r="6" spans="1:3" x14ac:dyDescent="0.25">
      <c r="A6">
        <v>12061933</v>
      </c>
      <c r="B6" t="s">
        <v>4</v>
      </c>
      <c r="C6">
        <v>2000</v>
      </c>
    </row>
    <row r="7" spans="1:3" x14ac:dyDescent="0.25">
      <c r="A7">
        <v>95005911</v>
      </c>
      <c r="B7" t="s">
        <v>4</v>
      </c>
      <c r="C7">
        <v>1992</v>
      </c>
    </row>
    <row r="8" spans="1:3" x14ac:dyDescent="0.25">
      <c r="A8">
        <v>99001908</v>
      </c>
      <c r="B8" t="s">
        <v>4</v>
      </c>
      <c r="C8">
        <v>1994</v>
      </c>
    </row>
    <row r="9" spans="1:3" x14ac:dyDescent="0.25">
      <c r="A9">
        <v>99004067</v>
      </c>
      <c r="B9" t="s">
        <v>4</v>
      </c>
      <c r="C9">
        <v>1999</v>
      </c>
    </row>
    <row r="10" spans="1:3" x14ac:dyDescent="0.25">
      <c r="A10">
        <v>97002136</v>
      </c>
      <c r="B10" t="s">
        <v>4</v>
      </c>
      <c r="C10">
        <v>1996</v>
      </c>
    </row>
    <row r="11" spans="1:3" x14ac:dyDescent="0.25">
      <c r="A11">
        <v>1502</v>
      </c>
      <c r="B11" t="s">
        <v>4</v>
      </c>
      <c r="C11">
        <v>1999</v>
      </c>
    </row>
    <row r="12" spans="1:3" x14ac:dyDescent="0.25">
      <c r="A12">
        <v>4003543</v>
      </c>
      <c r="B12" t="s">
        <v>4</v>
      </c>
      <c r="C12">
        <v>2004</v>
      </c>
    </row>
    <row r="13" spans="1:3" x14ac:dyDescent="0.25">
      <c r="A13">
        <v>4900261</v>
      </c>
      <c r="B13" t="s">
        <v>4</v>
      </c>
      <c r="C13">
        <v>2004</v>
      </c>
    </row>
    <row r="15" spans="1:3" x14ac:dyDescent="0.25">
      <c r="A15">
        <v>14242856</v>
      </c>
      <c r="B15" t="s">
        <v>5</v>
      </c>
      <c r="C15">
        <v>2014</v>
      </c>
    </row>
    <row r="16" spans="1:3" x14ac:dyDescent="0.25">
      <c r="A16">
        <v>99001183</v>
      </c>
      <c r="B16" t="s">
        <v>5</v>
      </c>
      <c r="C16">
        <v>1995</v>
      </c>
    </row>
    <row r="17" spans="1:3" x14ac:dyDescent="0.25">
      <c r="A17">
        <v>3000983</v>
      </c>
      <c r="B17" t="s">
        <v>5</v>
      </c>
      <c r="C17">
        <v>2003</v>
      </c>
    </row>
    <row r="18" spans="1:3" x14ac:dyDescent="0.25">
      <c r="A18">
        <v>10064335</v>
      </c>
      <c r="B18" t="s">
        <v>5</v>
      </c>
      <c r="C18">
        <v>2008</v>
      </c>
    </row>
    <row r="19" spans="1:3" x14ac:dyDescent="0.25">
      <c r="A19" s="4"/>
      <c r="B19" s="4"/>
    </row>
    <row r="20" spans="1:3" x14ac:dyDescent="0.25">
      <c r="A20">
        <v>1480</v>
      </c>
      <c r="B20" t="s">
        <v>6</v>
      </c>
      <c r="C20">
        <v>1999</v>
      </c>
    </row>
    <row r="21" spans="1:3" x14ac:dyDescent="0.25">
      <c r="A21">
        <v>7063959</v>
      </c>
      <c r="B21" t="s">
        <v>6</v>
      </c>
      <c r="C21">
        <v>2007</v>
      </c>
    </row>
    <row r="22" spans="1:3" x14ac:dyDescent="0.25">
      <c r="A22">
        <v>1003215</v>
      </c>
      <c r="B22" t="s">
        <v>6</v>
      </c>
      <c r="C22">
        <v>2010</v>
      </c>
    </row>
    <row r="23" spans="1:3" x14ac:dyDescent="0.25">
      <c r="A23">
        <v>99000802</v>
      </c>
      <c r="B23" t="s">
        <v>6</v>
      </c>
      <c r="C23">
        <v>1998</v>
      </c>
    </row>
    <row r="24" spans="1:3" x14ac:dyDescent="0.25">
      <c r="A24">
        <v>99000892</v>
      </c>
      <c r="B24" t="s">
        <v>6</v>
      </c>
      <c r="C24">
        <v>1998</v>
      </c>
    </row>
    <row r="25" spans="1:3" x14ac:dyDescent="0.25">
      <c r="A25">
        <v>1000192</v>
      </c>
      <c r="B25" t="s">
        <v>6</v>
      </c>
      <c r="C25">
        <v>2000</v>
      </c>
    </row>
    <row r="26" spans="1:3" x14ac:dyDescent="0.25">
      <c r="A26">
        <v>1506</v>
      </c>
      <c r="B26" t="s">
        <v>6</v>
      </c>
      <c r="C26">
        <v>1999</v>
      </c>
    </row>
    <row r="27" spans="1:3" x14ac:dyDescent="0.25">
      <c r="A27">
        <v>99000894</v>
      </c>
      <c r="B27" t="s">
        <v>6</v>
      </c>
      <c r="C27">
        <v>1997</v>
      </c>
    </row>
    <row r="28" spans="1:3" x14ac:dyDescent="0.25">
      <c r="A28">
        <v>99000897</v>
      </c>
      <c r="B28" t="s">
        <v>6</v>
      </c>
      <c r="C28">
        <v>1997</v>
      </c>
    </row>
    <row r="29" spans="1:3" x14ac:dyDescent="0.25">
      <c r="A29">
        <v>99001245</v>
      </c>
      <c r="B29" t="s">
        <v>6</v>
      </c>
      <c r="C29">
        <v>1998</v>
      </c>
    </row>
    <row r="30" spans="1:3" x14ac:dyDescent="0.25">
      <c r="A30">
        <v>99001902</v>
      </c>
      <c r="B30" t="s">
        <v>6</v>
      </c>
      <c r="C30">
        <v>1994</v>
      </c>
    </row>
    <row r="31" spans="1:3" x14ac:dyDescent="0.25">
      <c r="A31">
        <v>99001912</v>
      </c>
      <c r="B31" t="s">
        <v>6</v>
      </c>
      <c r="C31">
        <v>1994</v>
      </c>
    </row>
    <row r="32" spans="1:3" x14ac:dyDescent="0.25">
      <c r="A32">
        <v>99001913</v>
      </c>
      <c r="B32" t="s">
        <v>6</v>
      </c>
      <c r="C32">
        <v>1995</v>
      </c>
    </row>
    <row r="33" spans="1:3" x14ac:dyDescent="0.25">
      <c r="A33">
        <v>99001937</v>
      </c>
      <c r="B33" t="s">
        <v>6</v>
      </c>
      <c r="C33">
        <v>1994</v>
      </c>
    </row>
    <row r="34" spans="1:3" x14ac:dyDescent="0.25">
      <c r="A34">
        <v>99001943</v>
      </c>
      <c r="B34" t="s">
        <v>6</v>
      </c>
      <c r="C34">
        <v>1994</v>
      </c>
    </row>
    <row r="35" spans="1:3" x14ac:dyDescent="0.25">
      <c r="A35">
        <v>99001927</v>
      </c>
      <c r="B35" t="s">
        <v>6</v>
      </c>
      <c r="C35">
        <v>1997</v>
      </c>
    </row>
    <row r="36" spans="1:3" x14ac:dyDescent="0.25">
      <c r="A36">
        <v>1505</v>
      </c>
      <c r="B36" t="s">
        <v>6</v>
      </c>
      <c r="C36">
        <v>1999</v>
      </c>
    </row>
    <row r="37" spans="1:3" x14ac:dyDescent="0.25">
      <c r="A37">
        <v>1000197</v>
      </c>
      <c r="B37" t="s">
        <v>6</v>
      </c>
      <c r="C37">
        <v>2000</v>
      </c>
    </row>
    <row r="38" spans="1:3" x14ac:dyDescent="0.25">
      <c r="A38">
        <v>96018835</v>
      </c>
      <c r="B38" t="s">
        <v>6</v>
      </c>
      <c r="C38">
        <v>1996</v>
      </c>
    </row>
    <row r="39" spans="1:3" x14ac:dyDescent="0.25">
      <c r="A39">
        <v>98008326</v>
      </c>
      <c r="B39" t="s">
        <v>6</v>
      </c>
      <c r="C39">
        <v>1996</v>
      </c>
    </row>
    <row r="40" spans="1:3" x14ac:dyDescent="0.25">
      <c r="A40">
        <v>99000717</v>
      </c>
      <c r="B40" t="s">
        <v>6</v>
      </c>
      <c r="C40">
        <v>1998</v>
      </c>
    </row>
    <row r="42" spans="1:3" x14ac:dyDescent="0.25">
      <c r="A42">
        <v>6016435</v>
      </c>
      <c r="B42" t="s">
        <v>7</v>
      </c>
      <c r="C42">
        <v>2006</v>
      </c>
    </row>
    <row r="43" spans="1:3" x14ac:dyDescent="0.25">
      <c r="A43">
        <v>8045149</v>
      </c>
      <c r="B43" t="s">
        <v>7</v>
      </c>
      <c r="C43">
        <v>2008</v>
      </c>
    </row>
    <row r="44" spans="1:3" x14ac:dyDescent="0.25">
      <c r="A44">
        <v>10023001</v>
      </c>
      <c r="B44" t="s">
        <v>7</v>
      </c>
      <c r="C44">
        <v>2010</v>
      </c>
    </row>
    <row r="45" spans="1:3" x14ac:dyDescent="0.25">
      <c r="A45">
        <v>10027526</v>
      </c>
      <c r="B45" t="s">
        <v>7</v>
      </c>
      <c r="C45">
        <v>2010</v>
      </c>
    </row>
    <row r="46" spans="1:3" x14ac:dyDescent="0.25">
      <c r="A46">
        <v>14222171</v>
      </c>
      <c r="B46" t="s">
        <v>7</v>
      </c>
      <c r="C46">
        <v>2014</v>
      </c>
    </row>
    <row r="47" spans="1:3" x14ac:dyDescent="0.25">
      <c r="A47">
        <v>1006143</v>
      </c>
      <c r="B47" t="s">
        <v>7</v>
      </c>
      <c r="C47">
        <v>2001</v>
      </c>
    </row>
    <row r="48" spans="1:3" x14ac:dyDescent="0.25">
      <c r="A48">
        <v>6006917</v>
      </c>
      <c r="B48" t="s">
        <v>7</v>
      </c>
      <c r="C48">
        <v>2006</v>
      </c>
    </row>
    <row r="50" spans="1:31" x14ac:dyDescent="0.25">
      <c r="A50">
        <v>8057159</v>
      </c>
      <c r="B50" t="s">
        <v>8</v>
      </c>
      <c r="C50">
        <v>2007</v>
      </c>
    </row>
    <row r="51" spans="1:31" x14ac:dyDescent="0.25">
      <c r="A51">
        <v>9140312</v>
      </c>
      <c r="B51" t="s">
        <v>8</v>
      </c>
      <c r="C51">
        <v>2009</v>
      </c>
    </row>
    <row r="52" spans="1:31" x14ac:dyDescent="0.25">
      <c r="A52">
        <v>12008230</v>
      </c>
      <c r="B52" t="s">
        <v>8</v>
      </c>
      <c r="C52">
        <v>2012</v>
      </c>
    </row>
    <row r="53" spans="1:31" x14ac:dyDescent="0.25">
      <c r="A53" t="s">
        <v>9</v>
      </c>
      <c r="B53" t="s">
        <v>8</v>
      </c>
      <c r="C53">
        <v>2012</v>
      </c>
    </row>
    <row r="54" spans="1:31" x14ac:dyDescent="0.25">
      <c r="A54">
        <v>13118872</v>
      </c>
      <c r="B54" t="s">
        <v>8</v>
      </c>
      <c r="C54">
        <v>2013</v>
      </c>
    </row>
    <row r="55" spans="1:31" x14ac:dyDescent="0.25">
      <c r="A55">
        <v>12012030</v>
      </c>
      <c r="B55" t="s">
        <v>8</v>
      </c>
      <c r="C55">
        <v>2011</v>
      </c>
    </row>
    <row r="57" spans="1:31" x14ac:dyDescent="0.25">
      <c r="A57">
        <v>9074418</v>
      </c>
      <c r="B57" t="s">
        <v>10</v>
      </c>
      <c r="C57">
        <v>2009</v>
      </c>
    </row>
    <row r="58" spans="1:31" x14ac:dyDescent="0.25">
      <c r="A58">
        <v>1263</v>
      </c>
      <c r="B58" t="s">
        <v>10</v>
      </c>
      <c r="C58">
        <v>2000</v>
      </c>
    </row>
    <row r="59" spans="1:31" x14ac:dyDescent="0.25">
      <c r="A59">
        <v>98004910</v>
      </c>
      <c r="B59" t="s">
        <v>10</v>
      </c>
      <c r="C59">
        <v>1998</v>
      </c>
    </row>
    <row r="60" spans="1:31" x14ac:dyDescent="0.25">
      <c r="A60">
        <v>7103068</v>
      </c>
      <c r="B60" t="s">
        <v>10</v>
      </c>
      <c r="C60">
        <v>2007</v>
      </c>
    </row>
    <row r="61" spans="1:31" x14ac:dyDescent="0.25">
      <c r="A61">
        <v>11240728</v>
      </c>
      <c r="B61" t="s">
        <v>10</v>
      </c>
      <c r="C61">
        <v>2011</v>
      </c>
    </row>
    <row r="63" spans="1:31" x14ac:dyDescent="0.25">
      <c r="A63">
        <v>1990</v>
      </c>
      <c r="B63">
        <v>1991</v>
      </c>
      <c r="C63">
        <v>1992</v>
      </c>
      <c r="D63">
        <v>1993</v>
      </c>
      <c r="E63">
        <v>1994</v>
      </c>
      <c r="F63">
        <v>1995</v>
      </c>
      <c r="G63">
        <v>1996</v>
      </c>
      <c r="H63">
        <v>1997</v>
      </c>
      <c r="I63">
        <v>1998</v>
      </c>
      <c r="J63">
        <v>1999</v>
      </c>
      <c r="K63">
        <v>2000</v>
      </c>
      <c r="L63">
        <v>2001</v>
      </c>
      <c r="M63">
        <v>2002</v>
      </c>
      <c r="N63">
        <v>2003</v>
      </c>
      <c r="O63">
        <v>2004</v>
      </c>
      <c r="P63">
        <v>2005</v>
      </c>
      <c r="Q63">
        <v>2006</v>
      </c>
      <c r="R63">
        <v>2007</v>
      </c>
      <c r="S63">
        <v>2008</v>
      </c>
      <c r="T63">
        <v>2009</v>
      </c>
      <c r="U63">
        <v>2010</v>
      </c>
      <c r="V63">
        <v>2011</v>
      </c>
      <c r="W63">
        <v>2012</v>
      </c>
      <c r="X63">
        <v>2013</v>
      </c>
      <c r="Y63">
        <v>2014</v>
      </c>
      <c r="Z63">
        <v>2015</v>
      </c>
      <c r="AA63">
        <v>2016</v>
      </c>
      <c r="AB63">
        <v>2017</v>
      </c>
      <c r="AC63">
        <v>2018</v>
      </c>
      <c r="AD63">
        <v>2019</v>
      </c>
      <c r="AE63">
        <v>2020</v>
      </c>
    </row>
    <row r="64" spans="1:31" x14ac:dyDescent="0.25">
      <c r="A64">
        <f>COUNTIF(C66:C193,1990)</f>
        <v>0</v>
      </c>
      <c r="B64">
        <f>COUNTIF(D66:D193,1991)</f>
        <v>0</v>
      </c>
      <c r="C64">
        <f>COUNTIF(E66:E193,1992)</f>
        <v>1</v>
      </c>
      <c r="D64">
        <f>COUNTIF(F66:F193,1993)</f>
        <v>3</v>
      </c>
      <c r="E64">
        <f>COUNTIF(G66:G193,1994)</f>
        <v>4</v>
      </c>
      <c r="F64">
        <f>COUNTIF(H66:H193,1995)</f>
        <v>1</v>
      </c>
      <c r="G64">
        <f>COUNTIF(I66:I193,1996)</f>
        <v>2</v>
      </c>
      <c r="H64">
        <f>COUNTIF(J66:J193,1997)</f>
        <v>2</v>
      </c>
      <c r="I64">
        <f>COUNTIF(K66:K193,1998)</f>
        <v>3</v>
      </c>
      <c r="J64">
        <f>COUNTIF(L66:L193,1999)</f>
        <v>3</v>
      </c>
      <c r="K64">
        <f>COUNTIF(M66:M193,2000)</f>
        <v>4</v>
      </c>
      <c r="L64">
        <f>COUNTIF(N66:N193,2001)</f>
        <v>3</v>
      </c>
      <c r="M64">
        <f>COUNTIF(O66:O193,2002)</f>
        <v>7</v>
      </c>
      <c r="N64">
        <f>COUNTIF(P66:P193,2003)</f>
        <v>12</v>
      </c>
      <c r="O64">
        <f>COUNTIF(Q66:Q193,2004)</f>
        <v>9</v>
      </c>
      <c r="P64">
        <f>COUNTIF(R66:R193,2005)</f>
        <v>9</v>
      </c>
      <c r="Q64">
        <f>COUNTIF(S66:S193,2006)</f>
        <v>7</v>
      </c>
      <c r="R64">
        <f>COUNTIF(T66:T193,2007)</f>
        <v>7</v>
      </c>
      <c r="S64">
        <f>COUNTIF(U66:U193,2008)</f>
        <v>12</v>
      </c>
      <c r="T64">
        <f>COUNTIF(V66:V193,2009)</f>
        <v>10</v>
      </c>
      <c r="U64">
        <f>COUNTIF(W66:W193,2010)</f>
        <v>14</v>
      </c>
      <c r="V64">
        <f>COUNTIF(X66:X193,2011)</f>
        <v>11</v>
      </c>
      <c r="W64">
        <f>COUNTIF(Y66:Y193,2012)</f>
        <v>4</v>
      </c>
      <c r="X64">
        <f>COUNTIF(Z66:Z193,2013)</f>
        <v>0</v>
      </c>
      <c r="Y64">
        <f>COUNTIF(AA66:AA193,2014)</f>
        <v>0</v>
      </c>
      <c r="Z64">
        <f>COUNTIF(AB66:AB193,2015)</f>
        <v>0</v>
      </c>
      <c r="AA64">
        <f>COUNTIF(AC66:AC193,2016)</f>
        <v>0</v>
      </c>
      <c r="AB64">
        <f>COUNTIF(AD66:AD193,2017)</f>
        <v>0</v>
      </c>
      <c r="AC64">
        <f>COUNTIF(AE66:AE193,2018)</f>
        <v>0</v>
      </c>
      <c r="AD64">
        <f>COUNTIF(AF66:AF193,2019)</f>
        <v>0</v>
      </c>
      <c r="AE64">
        <f>COUNTIF(AG66:AG193,2020)</f>
        <v>0</v>
      </c>
    </row>
    <row r="66" spans="1:33" x14ac:dyDescent="0.25">
      <c r="A66">
        <v>5015869</v>
      </c>
      <c r="B66" t="s">
        <v>11</v>
      </c>
      <c r="C66">
        <v>2005</v>
      </c>
      <c r="D66">
        <v>2005</v>
      </c>
      <c r="E66">
        <v>2005</v>
      </c>
      <c r="F66">
        <v>2005</v>
      </c>
      <c r="G66">
        <v>2005</v>
      </c>
      <c r="H66">
        <v>2005</v>
      </c>
      <c r="I66">
        <v>2005</v>
      </c>
      <c r="J66">
        <v>2005</v>
      </c>
      <c r="K66">
        <v>2005</v>
      </c>
      <c r="L66">
        <v>2005</v>
      </c>
      <c r="M66">
        <v>2005</v>
      </c>
      <c r="N66">
        <v>2005</v>
      </c>
      <c r="O66">
        <v>2005</v>
      </c>
      <c r="P66">
        <v>2005</v>
      </c>
      <c r="Q66">
        <v>2005</v>
      </c>
      <c r="R66">
        <v>2005</v>
      </c>
      <c r="S66">
        <v>2005</v>
      </c>
      <c r="T66">
        <v>2005</v>
      </c>
      <c r="U66">
        <v>2005</v>
      </c>
      <c r="V66">
        <v>2005</v>
      </c>
      <c r="W66">
        <v>2005</v>
      </c>
      <c r="X66">
        <v>2005</v>
      </c>
      <c r="Y66">
        <v>2005</v>
      </c>
      <c r="Z66">
        <v>2005</v>
      </c>
      <c r="AA66">
        <v>2005</v>
      </c>
      <c r="AB66">
        <v>2005</v>
      </c>
      <c r="AC66">
        <v>2005</v>
      </c>
      <c r="AD66">
        <v>2005</v>
      </c>
      <c r="AE66">
        <v>2005</v>
      </c>
      <c r="AF66">
        <v>2005</v>
      </c>
      <c r="AG66">
        <v>2005</v>
      </c>
    </row>
    <row r="67" spans="1:33" x14ac:dyDescent="0.25">
      <c r="A67">
        <v>5016969</v>
      </c>
      <c r="B67" t="s">
        <v>11</v>
      </c>
      <c r="C67">
        <v>2005</v>
      </c>
      <c r="D67">
        <v>2005</v>
      </c>
      <c r="E67">
        <v>2005</v>
      </c>
      <c r="F67">
        <v>2005</v>
      </c>
      <c r="G67">
        <v>2005</v>
      </c>
      <c r="H67">
        <v>2005</v>
      </c>
      <c r="I67">
        <v>2005</v>
      </c>
      <c r="J67">
        <v>2005</v>
      </c>
      <c r="K67">
        <v>2005</v>
      </c>
      <c r="L67">
        <v>2005</v>
      </c>
      <c r="M67">
        <v>2005</v>
      </c>
      <c r="N67">
        <v>2005</v>
      </c>
      <c r="O67">
        <v>2005</v>
      </c>
      <c r="P67">
        <v>2005</v>
      </c>
      <c r="Q67">
        <v>2005</v>
      </c>
      <c r="R67">
        <v>2005</v>
      </c>
      <c r="S67">
        <v>2005</v>
      </c>
      <c r="T67">
        <v>2005</v>
      </c>
      <c r="U67">
        <v>2005</v>
      </c>
      <c r="V67">
        <v>2005</v>
      </c>
      <c r="W67">
        <v>2005</v>
      </c>
      <c r="X67">
        <v>2005</v>
      </c>
      <c r="Y67">
        <v>2005</v>
      </c>
      <c r="Z67">
        <v>2005</v>
      </c>
      <c r="AA67">
        <v>2005</v>
      </c>
      <c r="AB67">
        <v>2005</v>
      </c>
      <c r="AC67">
        <v>2005</v>
      </c>
      <c r="AD67">
        <v>2005</v>
      </c>
      <c r="AE67">
        <v>2005</v>
      </c>
      <c r="AF67">
        <v>2005</v>
      </c>
      <c r="AG67">
        <v>2005</v>
      </c>
    </row>
    <row r="68" spans="1:33" x14ac:dyDescent="0.25">
      <c r="A68">
        <v>6023231</v>
      </c>
      <c r="B68" t="s">
        <v>11</v>
      </c>
      <c r="C68">
        <v>2006</v>
      </c>
      <c r="D68">
        <v>2006</v>
      </c>
      <c r="E68">
        <v>2006</v>
      </c>
      <c r="F68">
        <v>2006</v>
      </c>
      <c r="G68">
        <v>2006</v>
      </c>
      <c r="H68">
        <v>2006</v>
      </c>
      <c r="I68">
        <v>2006</v>
      </c>
      <c r="J68">
        <v>2006</v>
      </c>
      <c r="K68">
        <v>2006</v>
      </c>
      <c r="L68">
        <v>2006</v>
      </c>
      <c r="M68">
        <v>2006</v>
      </c>
      <c r="N68">
        <v>2006</v>
      </c>
      <c r="O68">
        <v>2006</v>
      </c>
      <c r="P68">
        <v>2006</v>
      </c>
      <c r="Q68">
        <v>2006</v>
      </c>
      <c r="R68">
        <v>2006</v>
      </c>
      <c r="S68">
        <v>2006</v>
      </c>
      <c r="T68">
        <v>2006</v>
      </c>
      <c r="U68">
        <v>2006</v>
      </c>
      <c r="V68">
        <v>2006</v>
      </c>
      <c r="W68">
        <v>2006</v>
      </c>
      <c r="X68">
        <v>2006</v>
      </c>
      <c r="Y68">
        <v>2006</v>
      </c>
      <c r="Z68">
        <v>2006</v>
      </c>
      <c r="AA68">
        <v>2006</v>
      </c>
      <c r="AB68">
        <v>2006</v>
      </c>
      <c r="AC68">
        <v>2006</v>
      </c>
      <c r="AD68">
        <v>2006</v>
      </c>
      <c r="AE68">
        <v>2006</v>
      </c>
      <c r="AF68">
        <v>2006</v>
      </c>
      <c r="AG68">
        <v>2006</v>
      </c>
    </row>
    <row r="69" spans="1:33" x14ac:dyDescent="0.25">
      <c r="A69">
        <v>6011198</v>
      </c>
      <c r="B69" t="s">
        <v>11</v>
      </c>
      <c r="C69">
        <v>2006</v>
      </c>
      <c r="D69">
        <v>2006</v>
      </c>
      <c r="E69">
        <v>2006</v>
      </c>
      <c r="F69">
        <v>2006</v>
      </c>
      <c r="G69">
        <v>2006</v>
      </c>
      <c r="H69">
        <v>2006</v>
      </c>
      <c r="I69">
        <v>2006</v>
      </c>
      <c r="J69">
        <v>2006</v>
      </c>
      <c r="K69">
        <v>2006</v>
      </c>
      <c r="L69">
        <v>2006</v>
      </c>
      <c r="M69">
        <v>2006</v>
      </c>
      <c r="N69">
        <v>2006</v>
      </c>
      <c r="O69">
        <v>2006</v>
      </c>
      <c r="P69">
        <v>2006</v>
      </c>
      <c r="Q69">
        <v>2006</v>
      </c>
      <c r="R69">
        <v>2006</v>
      </c>
      <c r="S69">
        <v>2006</v>
      </c>
      <c r="T69">
        <v>2006</v>
      </c>
      <c r="U69">
        <v>2006</v>
      </c>
      <c r="V69">
        <v>2006</v>
      </c>
      <c r="W69">
        <v>2006</v>
      </c>
      <c r="X69">
        <v>2006</v>
      </c>
      <c r="Y69">
        <v>2006</v>
      </c>
      <c r="Z69">
        <v>2006</v>
      </c>
      <c r="AA69">
        <v>2006</v>
      </c>
      <c r="AB69">
        <v>2006</v>
      </c>
      <c r="AC69">
        <v>2006</v>
      </c>
      <c r="AD69">
        <v>2006</v>
      </c>
      <c r="AE69">
        <v>2006</v>
      </c>
      <c r="AF69">
        <v>2006</v>
      </c>
      <c r="AG69">
        <v>2006</v>
      </c>
    </row>
    <row r="70" spans="1:33" x14ac:dyDescent="0.25">
      <c r="A70">
        <v>6012681</v>
      </c>
      <c r="B70" t="s">
        <v>11</v>
      </c>
      <c r="C70">
        <v>2005</v>
      </c>
      <c r="D70">
        <v>2005</v>
      </c>
      <c r="E70">
        <v>2005</v>
      </c>
      <c r="F70">
        <v>2005</v>
      </c>
      <c r="G70">
        <v>2005</v>
      </c>
      <c r="H70">
        <v>2005</v>
      </c>
      <c r="I70">
        <v>2005</v>
      </c>
      <c r="J70">
        <v>2005</v>
      </c>
      <c r="K70">
        <v>2005</v>
      </c>
      <c r="L70">
        <v>2005</v>
      </c>
      <c r="M70">
        <v>2005</v>
      </c>
      <c r="N70">
        <v>2005</v>
      </c>
      <c r="O70">
        <v>2005</v>
      </c>
      <c r="P70">
        <v>2005</v>
      </c>
      <c r="Q70">
        <v>2005</v>
      </c>
      <c r="R70">
        <v>2005</v>
      </c>
      <c r="S70">
        <v>2005</v>
      </c>
      <c r="T70">
        <v>2005</v>
      </c>
      <c r="U70">
        <v>2005</v>
      </c>
      <c r="V70">
        <v>2005</v>
      </c>
      <c r="W70">
        <v>2005</v>
      </c>
      <c r="X70">
        <v>2005</v>
      </c>
      <c r="Y70">
        <v>2005</v>
      </c>
      <c r="Z70">
        <v>2005</v>
      </c>
      <c r="AA70">
        <v>2005</v>
      </c>
      <c r="AB70">
        <v>2005</v>
      </c>
      <c r="AC70">
        <v>2005</v>
      </c>
      <c r="AD70">
        <v>2005</v>
      </c>
      <c r="AE70">
        <v>2005</v>
      </c>
      <c r="AF70">
        <v>2005</v>
      </c>
      <c r="AG70">
        <v>2005</v>
      </c>
    </row>
    <row r="71" spans="1:33" x14ac:dyDescent="0.25">
      <c r="A71">
        <v>6014511</v>
      </c>
      <c r="B71" t="s">
        <v>11</v>
      </c>
      <c r="C71">
        <v>2003</v>
      </c>
      <c r="D71">
        <v>2003</v>
      </c>
      <c r="E71">
        <v>2003</v>
      </c>
      <c r="F71">
        <v>2003</v>
      </c>
      <c r="G71">
        <v>2003</v>
      </c>
      <c r="H71">
        <v>2003</v>
      </c>
      <c r="I71">
        <v>2003</v>
      </c>
      <c r="J71">
        <v>2003</v>
      </c>
      <c r="K71">
        <v>2003</v>
      </c>
      <c r="L71">
        <v>2003</v>
      </c>
      <c r="M71">
        <v>2003</v>
      </c>
      <c r="N71">
        <v>2003</v>
      </c>
      <c r="O71">
        <v>2003</v>
      </c>
      <c r="P71">
        <v>2003</v>
      </c>
      <c r="Q71">
        <v>2003</v>
      </c>
      <c r="R71">
        <v>2003</v>
      </c>
      <c r="S71">
        <v>2003</v>
      </c>
      <c r="T71">
        <v>2003</v>
      </c>
      <c r="U71">
        <v>2003</v>
      </c>
      <c r="V71">
        <v>2003</v>
      </c>
      <c r="W71">
        <v>2003</v>
      </c>
      <c r="X71">
        <v>2003</v>
      </c>
      <c r="Y71">
        <v>2003</v>
      </c>
      <c r="Z71">
        <v>2003</v>
      </c>
      <c r="AA71">
        <v>2003</v>
      </c>
      <c r="AB71">
        <v>2003</v>
      </c>
      <c r="AC71">
        <v>2003</v>
      </c>
      <c r="AD71">
        <v>2003</v>
      </c>
      <c r="AE71">
        <v>2003</v>
      </c>
      <c r="AF71">
        <v>2003</v>
      </c>
      <c r="AG71">
        <v>2003</v>
      </c>
    </row>
    <row r="72" spans="1:33" x14ac:dyDescent="0.25">
      <c r="A72">
        <v>6045127</v>
      </c>
      <c r="B72" t="s">
        <v>11</v>
      </c>
      <c r="C72">
        <v>2006</v>
      </c>
      <c r="D72">
        <v>2006</v>
      </c>
      <c r="E72">
        <v>2006</v>
      </c>
      <c r="F72">
        <v>2006</v>
      </c>
      <c r="G72">
        <v>2006</v>
      </c>
      <c r="H72">
        <v>2006</v>
      </c>
      <c r="I72">
        <v>2006</v>
      </c>
      <c r="J72">
        <v>2006</v>
      </c>
      <c r="K72">
        <v>2006</v>
      </c>
      <c r="L72">
        <v>2006</v>
      </c>
      <c r="M72">
        <v>2006</v>
      </c>
      <c r="N72">
        <v>2006</v>
      </c>
      <c r="O72">
        <v>2006</v>
      </c>
      <c r="P72">
        <v>2006</v>
      </c>
      <c r="Q72">
        <v>2006</v>
      </c>
      <c r="R72">
        <v>2006</v>
      </c>
      <c r="S72">
        <v>2006</v>
      </c>
      <c r="T72">
        <v>2006</v>
      </c>
      <c r="U72">
        <v>2006</v>
      </c>
      <c r="V72">
        <v>2006</v>
      </c>
      <c r="W72">
        <v>2006</v>
      </c>
      <c r="X72">
        <v>2006</v>
      </c>
      <c r="Y72">
        <v>2006</v>
      </c>
      <c r="Z72">
        <v>2006</v>
      </c>
      <c r="AA72">
        <v>2006</v>
      </c>
      <c r="AB72">
        <v>2006</v>
      </c>
      <c r="AC72">
        <v>2006</v>
      </c>
      <c r="AD72">
        <v>2006</v>
      </c>
      <c r="AE72">
        <v>2006</v>
      </c>
      <c r="AF72">
        <v>2006</v>
      </c>
      <c r="AG72">
        <v>2006</v>
      </c>
    </row>
    <row r="73" spans="1:33" x14ac:dyDescent="0.25">
      <c r="A73">
        <v>7000458</v>
      </c>
      <c r="B73" t="s">
        <v>11</v>
      </c>
      <c r="C73">
        <v>2005</v>
      </c>
      <c r="D73">
        <v>2005</v>
      </c>
      <c r="E73">
        <v>2005</v>
      </c>
      <c r="F73">
        <v>2005</v>
      </c>
      <c r="G73">
        <v>2005</v>
      </c>
      <c r="H73">
        <v>2005</v>
      </c>
      <c r="I73">
        <v>2005</v>
      </c>
      <c r="J73">
        <v>2005</v>
      </c>
      <c r="K73">
        <v>2005</v>
      </c>
      <c r="L73">
        <v>2005</v>
      </c>
      <c r="M73">
        <v>2005</v>
      </c>
      <c r="N73">
        <v>2005</v>
      </c>
      <c r="O73">
        <v>2005</v>
      </c>
      <c r="P73">
        <v>2005</v>
      </c>
      <c r="Q73">
        <v>2005</v>
      </c>
      <c r="R73">
        <v>2005</v>
      </c>
      <c r="S73">
        <v>2005</v>
      </c>
      <c r="T73">
        <v>2005</v>
      </c>
      <c r="U73">
        <v>2005</v>
      </c>
      <c r="V73">
        <v>2005</v>
      </c>
      <c r="W73">
        <v>2005</v>
      </c>
      <c r="X73">
        <v>2005</v>
      </c>
      <c r="Y73">
        <v>2005</v>
      </c>
      <c r="Z73">
        <v>2005</v>
      </c>
      <c r="AA73">
        <v>2005</v>
      </c>
      <c r="AB73">
        <v>2005</v>
      </c>
      <c r="AC73">
        <v>2005</v>
      </c>
      <c r="AD73">
        <v>2005</v>
      </c>
      <c r="AE73">
        <v>2005</v>
      </c>
      <c r="AF73">
        <v>2005</v>
      </c>
      <c r="AG73">
        <v>2005</v>
      </c>
    </row>
    <row r="74" spans="1:33" x14ac:dyDescent="0.25">
      <c r="A74">
        <v>7015502</v>
      </c>
      <c r="B74" t="s">
        <v>11</v>
      </c>
      <c r="C74">
        <v>2007</v>
      </c>
      <c r="D74">
        <v>2007</v>
      </c>
      <c r="E74">
        <v>2007</v>
      </c>
      <c r="F74">
        <v>2007</v>
      </c>
      <c r="G74">
        <v>2007</v>
      </c>
      <c r="H74">
        <v>2007</v>
      </c>
      <c r="I74">
        <v>2007</v>
      </c>
      <c r="J74">
        <v>2007</v>
      </c>
      <c r="K74">
        <v>2007</v>
      </c>
      <c r="L74">
        <v>2007</v>
      </c>
      <c r="M74">
        <v>2007</v>
      </c>
      <c r="N74">
        <v>2007</v>
      </c>
      <c r="O74">
        <v>2007</v>
      </c>
      <c r="P74">
        <v>2007</v>
      </c>
      <c r="Q74">
        <v>2007</v>
      </c>
      <c r="R74">
        <v>2007</v>
      </c>
      <c r="S74">
        <v>2007</v>
      </c>
      <c r="T74">
        <v>2007</v>
      </c>
      <c r="U74">
        <v>2007</v>
      </c>
      <c r="V74">
        <v>2007</v>
      </c>
      <c r="W74">
        <v>2007</v>
      </c>
      <c r="X74">
        <v>2007</v>
      </c>
      <c r="Y74">
        <v>2007</v>
      </c>
      <c r="Z74">
        <v>2007</v>
      </c>
      <c r="AA74">
        <v>2007</v>
      </c>
      <c r="AB74">
        <v>2007</v>
      </c>
      <c r="AC74">
        <v>2007</v>
      </c>
      <c r="AD74">
        <v>2007</v>
      </c>
      <c r="AE74">
        <v>2007</v>
      </c>
      <c r="AF74">
        <v>2007</v>
      </c>
      <c r="AG74">
        <v>2007</v>
      </c>
    </row>
    <row r="75" spans="1:33" x14ac:dyDescent="0.25">
      <c r="A75">
        <v>7025847</v>
      </c>
      <c r="B75" t="s">
        <v>11</v>
      </c>
      <c r="C75">
        <v>2007</v>
      </c>
      <c r="D75">
        <v>2007</v>
      </c>
      <c r="E75">
        <v>2007</v>
      </c>
      <c r="F75">
        <v>2007</v>
      </c>
      <c r="G75">
        <v>2007</v>
      </c>
      <c r="H75">
        <v>2007</v>
      </c>
      <c r="I75">
        <v>2007</v>
      </c>
      <c r="J75">
        <v>2007</v>
      </c>
      <c r="K75">
        <v>2007</v>
      </c>
      <c r="L75">
        <v>2007</v>
      </c>
      <c r="M75">
        <v>2007</v>
      </c>
      <c r="N75">
        <v>2007</v>
      </c>
      <c r="O75">
        <v>2007</v>
      </c>
      <c r="P75">
        <v>2007</v>
      </c>
      <c r="Q75">
        <v>2007</v>
      </c>
      <c r="R75">
        <v>2007</v>
      </c>
      <c r="S75">
        <v>2007</v>
      </c>
      <c r="T75">
        <v>2007</v>
      </c>
      <c r="U75">
        <v>2007</v>
      </c>
      <c r="V75">
        <v>2007</v>
      </c>
      <c r="W75">
        <v>2007</v>
      </c>
      <c r="X75">
        <v>2007</v>
      </c>
      <c r="Y75">
        <v>2007</v>
      </c>
      <c r="Z75">
        <v>2007</v>
      </c>
      <c r="AA75">
        <v>2007</v>
      </c>
      <c r="AB75">
        <v>2007</v>
      </c>
      <c r="AC75">
        <v>2007</v>
      </c>
      <c r="AD75">
        <v>2007</v>
      </c>
      <c r="AE75">
        <v>2007</v>
      </c>
      <c r="AF75">
        <v>2007</v>
      </c>
      <c r="AG75">
        <v>2007</v>
      </c>
    </row>
    <row r="76" spans="1:33" x14ac:dyDescent="0.25">
      <c r="A76">
        <v>7082707</v>
      </c>
      <c r="B76" t="s">
        <v>11</v>
      </c>
      <c r="C76">
        <v>2006</v>
      </c>
      <c r="D76">
        <v>2006</v>
      </c>
      <c r="E76">
        <v>2006</v>
      </c>
      <c r="F76">
        <v>2006</v>
      </c>
      <c r="G76">
        <v>2006</v>
      </c>
      <c r="H76">
        <v>2006</v>
      </c>
      <c r="I76">
        <v>2006</v>
      </c>
      <c r="J76">
        <v>2006</v>
      </c>
      <c r="K76">
        <v>2006</v>
      </c>
      <c r="L76">
        <v>2006</v>
      </c>
      <c r="M76">
        <v>2006</v>
      </c>
      <c r="N76">
        <v>2006</v>
      </c>
      <c r="O76">
        <v>2006</v>
      </c>
      <c r="P76">
        <v>2006</v>
      </c>
      <c r="Q76">
        <v>2006</v>
      </c>
      <c r="R76">
        <v>2006</v>
      </c>
      <c r="S76">
        <v>2006</v>
      </c>
      <c r="T76">
        <v>2006</v>
      </c>
      <c r="U76">
        <v>2006</v>
      </c>
      <c r="V76">
        <v>2006</v>
      </c>
      <c r="W76">
        <v>2006</v>
      </c>
      <c r="X76">
        <v>2006</v>
      </c>
      <c r="Y76">
        <v>2006</v>
      </c>
      <c r="Z76">
        <v>2006</v>
      </c>
      <c r="AA76">
        <v>2006</v>
      </c>
      <c r="AB76">
        <v>2006</v>
      </c>
      <c r="AC76">
        <v>2006</v>
      </c>
      <c r="AD76">
        <v>2006</v>
      </c>
      <c r="AE76">
        <v>2006</v>
      </c>
      <c r="AF76">
        <v>2006</v>
      </c>
      <c r="AG76">
        <v>2006</v>
      </c>
    </row>
    <row r="77" spans="1:33" x14ac:dyDescent="0.25">
      <c r="A77">
        <v>7083159</v>
      </c>
      <c r="B77" t="s">
        <v>11</v>
      </c>
      <c r="C77">
        <v>2005</v>
      </c>
      <c r="D77">
        <v>2005</v>
      </c>
      <c r="E77">
        <v>2005</v>
      </c>
      <c r="F77">
        <v>2005</v>
      </c>
      <c r="G77">
        <v>2005</v>
      </c>
      <c r="H77">
        <v>2005</v>
      </c>
      <c r="I77">
        <v>2005</v>
      </c>
      <c r="J77">
        <v>2005</v>
      </c>
      <c r="K77">
        <v>2005</v>
      </c>
      <c r="L77">
        <v>2005</v>
      </c>
      <c r="M77">
        <v>2005</v>
      </c>
      <c r="N77">
        <v>2005</v>
      </c>
      <c r="O77">
        <v>2005</v>
      </c>
      <c r="P77">
        <v>2005</v>
      </c>
      <c r="Q77">
        <v>2005</v>
      </c>
      <c r="R77">
        <v>2005</v>
      </c>
      <c r="S77">
        <v>2005</v>
      </c>
      <c r="T77">
        <v>2005</v>
      </c>
      <c r="U77">
        <v>2005</v>
      </c>
      <c r="V77">
        <v>2005</v>
      </c>
      <c r="W77">
        <v>2005</v>
      </c>
      <c r="X77">
        <v>2005</v>
      </c>
      <c r="Y77">
        <v>2005</v>
      </c>
      <c r="Z77">
        <v>2005</v>
      </c>
      <c r="AA77">
        <v>2005</v>
      </c>
      <c r="AB77">
        <v>2005</v>
      </c>
      <c r="AC77">
        <v>2005</v>
      </c>
      <c r="AD77">
        <v>2005</v>
      </c>
      <c r="AE77">
        <v>2005</v>
      </c>
      <c r="AF77">
        <v>2005</v>
      </c>
      <c r="AG77">
        <v>2005</v>
      </c>
    </row>
    <row r="78" spans="1:33" x14ac:dyDescent="0.25">
      <c r="A78">
        <v>7084659</v>
      </c>
      <c r="B78" t="s">
        <v>11</v>
      </c>
      <c r="C78">
        <v>2006</v>
      </c>
      <c r="D78">
        <v>2006</v>
      </c>
      <c r="E78">
        <v>2006</v>
      </c>
      <c r="F78">
        <v>2006</v>
      </c>
      <c r="G78">
        <v>2006</v>
      </c>
      <c r="H78">
        <v>2006</v>
      </c>
      <c r="I78">
        <v>2006</v>
      </c>
      <c r="J78">
        <v>2006</v>
      </c>
      <c r="K78">
        <v>2006</v>
      </c>
      <c r="L78">
        <v>2006</v>
      </c>
      <c r="M78">
        <v>2006</v>
      </c>
      <c r="N78">
        <v>2006</v>
      </c>
      <c r="O78">
        <v>2006</v>
      </c>
      <c r="P78">
        <v>2006</v>
      </c>
      <c r="Q78">
        <v>2006</v>
      </c>
      <c r="R78">
        <v>2006</v>
      </c>
      <c r="S78">
        <v>2006</v>
      </c>
      <c r="T78">
        <v>2006</v>
      </c>
      <c r="U78">
        <v>2006</v>
      </c>
      <c r="V78">
        <v>2006</v>
      </c>
      <c r="W78">
        <v>2006</v>
      </c>
      <c r="X78">
        <v>2006</v>
      </c>
      <c r="Y78">
        <v>2006</v>
      </c>
      <c r="Z78">
        <v>2006</v>
      </c>
      <c r="AA78">
        <v>2006</v>
      </c>
      <c r="AB78">
        <v>2006</v>
      </c>
      <c r="AC78">
        <v>2006</v>
      </c>
      <c r="AD78">
        <v>2006</v>
      </c>
      <c r="AE78">
        <v>2006</v>
      </c>
      <c r="AF78">
        <v>2006</v>
      </c>
      <c r="AG78">
        <v>2006</v>
      </c>
    </row>
    <row r="79" spans="1:33" x14ac:dyDescent="0.25">
      <c r="A79">
        <v>7076814</v>
      </c>
      <c r="B79" t="s">
        <v>11</v>
      </c>
      <c r="C79">
        <v>2006</v>
      </c>
      <c r="D79">
        <v>2006</v>
      </c>
      <c r="E79">
        <v>2006</v>
      </c>
      <c r="F79">
        <v>2006</v>
      </c>
      <c r="G79">
        <v>2006</v>
      </c>
      <c r="H79">
        <v>2006</v>
      </c>
      <c r="I79">
        <v>2006</v>
      </c>
      <c r="J79">
        <v>2006</v>
      </c>
      <c r="K79">
        <v>2006</v>
      </c>
      <c r="L79">
        <v>2006</v>
      </c>
      <c r="M79">
        <v>2006</v>
      </c>
      <c r="N79">
        <v>2006</v>
      </c>
      <c r="O79">
        <v>2006</v>
      </c>
      <c r="P79">
        <v>2006</v>
      </c>
      <c r="Q79">
        <v>2006</v>
      </c>
      <c r="R79">
        <v>2006</v>
      </c>
      <c r="S79">
        <v>2006</v>
      </c>
      <c r="T79">
        <v>2006</v>
      </c>
      <c r="U79">
        <v>2006</v>
      </c>
      <c r="V79">
        <v>2006</v>
      </c>
      <c r="W79">
        <v>2006</v>
      </c>
      <c r="X79">
        <v>2006</v>
      </c>
      <c r="Y79">
        <v>2006</v>
      </c>
      <c r="Z79">
        <v>2006</v>
      </c>
      <c r="AA79">
        <v>2006</v>
      </c>
      <c r="AB79">
        <v>2006</v>
      </c>
      <c r="AC79">
        <v>2006</v>
      </c>
      <c r="AD79">
        <v>2006</v>
      </c>
      <c r="AE79">
        <v>2006</v>
      </c>
      <c r="AF79">
        <v>2006</v>
      </c>
      <c r="AG79">
        <v>2006</v>
      </c>
    </row>
    <row r="80" spans="1:33" x14ac:dyDescent="0.25">
      <c r="A80">
        <v>7076815</v>
      </c>
      <c r="B80" t="s">
        <v>11</v>
      </c>
      <c r="C80">
        <v>2007</v>
      </c>
      <c r="D80">
        <v>2007</v>
      </c>
      <c r="E80">
        <v>2007</v>
      </c>
      <c r="F80">
        <v>2007</v>
      </c>
      <c r="G80">
        <v>2007</v>
      </c>
      <c r="H80">
        <v>2007</v>
      </c>
      <c r="I80">
        <v>2007</v>
      </c>
      <c r="J80">
        <v>2007</v>
      </c>
      <c r="K80">
        <v>2007</v>
      </c>
      <c r="L80">
        <v>2007</v>
      </c>
      <c r="M80">
        <v>2007</v>
      </c>
      <c r="N80">
        <v>2007</v>
      </c>
      <c r="O80">
        <v>2007</v>
      </c>
      <c r="P80">
        <v>2007</v>
      </c>
      <c r="Q80">
        <v>2007</v>
      </c>
      <c r="R80">
        <v>2007</v>
      </c>
      <c r="S80">
        <v>2007</v>
      </c>
      <c r="T80">
        <v>2007</v>
      </c>
      <c r="U80">
        <v>2007</v>
      </c>
      <c r="V80">
        <v>2007</v>
      </c>
      <c r="W80">
        <v>2007</v>
      </c>
      <c r="X80">
        <v>2007</v>
      </c>
      <c r="Y80">
        <v>2007</v>
      </c>
      <c r="Z80">
        <v>2007</v>
      </c>
      <c r="AA80">
        <v>2007</v>
      </c>
      <c r="AB80">
        <v>2007</v>
      </c>
      <c r="AC80">
        <v>2007</v>
      </c>
      <c r="AD80">
        <v>2007</v>
      </c>
      <c r="AE80">
        <v>2007</v>
      </c>
      <c r="AF80">
        <v>2007</v>
      </c>
      <c r="AG80">
        <v>2007</v>
      </c>
    </row>
    <row r="81" spans="1:33" x14ac:dyDescent="0.25">
      <c r="A81">
        <v>7089231</v>
      </c>
      <c r="B81" t="s">
        <v>11</v>
      </c>
      <c r="C81">
        <v>2007</v>
      </c>
      <c r="D81">
        <v>2007</v>
      </c>
      <c r="E81">
        <v>2007</v>
      </c>
      <c r="F81">
        <v>2007</v>
      </c>
      <c r="G81">
        <v>2007</v>
      </c>
      <c r="H81">
        <v>2007</v>
      </c>
      <c r="I81">
        <v>2007</v>
      </c>
      <c r="J81">
        <v>2007</v>
      </c>
      <c r="K81">
        <v>2007</v>
      </c>
      <c r="L81">
        <v>2007</v>
      </c>
      <c r="M81">
        <v>2007</v>
      </c>
      <c r="N81">
        <v>2007</v>
      </c>
      <c r="O81">
        <v>2007</v>
      </c>
      <c r="P81">
        <v>2007</v>
      </c>
      <c r="Q81">
        <v>2007</v>
      </c>
      <c r="R81">
        <v>2007</v>
      </c>
      <c r="S81">
        <v>2007</v>
      </c>
      <c r="T81">
        <v>2007</v>
      </c>
      <c r="U81">
        <v>2007</v>
      </c>
      <c r="V81">
        <v>2007</v>
      </c>
      <c r="W81">
        <v>2007</v>
      </c>
      <c r="X81">
        <v>2007</v>
      </c>
      <c r="Y81">
        <v>2007</v>
      </c>
      <c r="Z81">
        <v>2007</v>
      </c>
      <c r="AA81">
        <v>2007</v>
      </c>
      <c r="AB81">
        <v>2007</v>
      </c>
      <c r="AC81">
        <v>2007</v>
      </c>
      <c r="AD81">
        <v>2007</v>
      </c>
      <c r="AE81">
        <v>2007</v>
      </c>
      <c r="AF81">
        <v>2007</v>
      </c>
      <c r="AG81">
        <v>2007</v>
      </c>
    </row>
    <row r="82" spans="1:33" x14ac:dyDescent="0.25">
      <c r="A82">
        <v>7116004</v>
      </c>
      <c r="B82" t="s">
        <v>11</v>
      </c>
      <c r="C82">
        <v>2007</v>
      </c>
      <c r="D82">
        <v>2007</v>
      </c>
      <c r="E82">
        <v>2007</v>
      </c>
      <c r="F82">
        <v>2007</v>
      </c>
      <c r="G82">
        <v>2007</v>
      </c>
      <c r="H82">
        <v>2007</v>
      </c>
      <c r="I82">
        <v>2007</v>
      </c>
      <c r="J82">
        <v>2007</v>
      </c>
      <c r="K82">
        <v>2007</v>
      </c>
      <c r="L82">
        <v>2007</v>
      </c>
      <c r="M82">
        <v>2007</v>
      </c>
      <c r="N82">
        <v>2007</v>
      </c>
      <c r="O82">
        <v>2007</v>
      </c>
      <c r="P82">
        <v>2007</v>
      </c>
      <c r="Q82">
        <v>2007</v>
      </c>
      <c r="R82">
        <v>2007</v>
      </c>
      <c r="S82">
        <v>2007</v>
      </c>
      <c r="T82">
        <v>2007</v>
      </c>
      <c r="U82">
        <v>2007</v>
      </c>
      <c r="V82">
        <v>2007</v>
      </c>
      <c r="W82">
        <v>2007</v>
      </c>
      <c r="X82">
        <v>2007</v>
      </c>
      <c r="Y82">
        <v>2007</v>
      </c>
      <c r="Z82">
        <v>2007</v>
      </c>
      <c r="AA82">
        <v>2007</v>
      </c>
      <c r="AB82">
        <v>2007</v>
      </c>
      <c r="AC82">
        <v>2007</v>
      </c>
      <c r="AD82">
        <v>2007</v>
      </c>
      <c r="AE82">
        <v>2007</v>
      </c>
      <c r="AF82">
        <v>2007</v>
      </c>
      <c r="AG82">
        <v>2007</v>
      </c>
    </row>
    <row r="83" spans="1:33" x14ac:dyDescent="0.25">
      <c r="A83">
        <v>8003819</v>
      </c>
      <c r="B83" t="s">
        <v>11</v>
      </c>
      <c r="C83">
        <v>2007</v>
      </c>
      <c r="D83">
        <v>2007</v>
      </c>
      <c r="E83">
        <v>2007</v>
      </c>
      <c r="F83">
        <v>2007</v>
      </c>
      <c r="G83">
        <v>2007</v>
      </c>
      <c r="H83">
        <v>2007</v>
      </c>
      <c r="I83">
        <v>2007</v>
      </c>
      <c r="J83">
        <v>2007</v>
      </c>
      <c r="K83">
        <v>2007</v>
      </c>
      <c r="L83">
        <v>2007</v>
      </c>
      <c r="M83">
        <v>2007</v>
      </c>
      <c r="N83">
        <v>2007</v>
      </c>
      <c r="O83">
        <v>2007</v>
      </c>
      <c r="P83">
        <v>2007</v>
      </c>
      <c r="Q83">
        <v>2007</v>
      </c>
      <c r="R83">
        <v>2007</v>
      </c>
      <c r="S83">
        <v>2007</v>
      </c>
      <c r="T83">
        <v>2007</v>
      </c>
      <c r="U83">
        <v>2007</v>
      </c>
      <c r="V83">
        <v>2007</v>
      </c>
      <c r="W83">
        <v>2007</v>
      </c>
      <c r="X83">
        <v>2007</v>
      </c>
      <c r="Y83">
        <v>2007</v>
      </c>
      <c r="Z83">
        <v>2007</v>
      </c>
      <c r="AA83">
        <v>2007</v>
      </c>
      <c r="AB83">
        <v>2007</v>
      </c>
      <c r="AC83">
        <v>2007</v>
      </c>
      <c r="AD83">
        <v>2007</v>
      </c>
      <c r="AE83">
        <v>2007</v>
      </c>
      <c r="AF83">
        <v>2007</v>
      </c>
      <c r="AG83">
        <v>2007</v>
      </c>
    </row>
    <row r="84" spans="1:33" x14ac:dyDescent="0.25">
      <c r="A84">
        <v>8091779</v>
      </c>
      <c r="B84" t="s">
        <v>11</v>
      </c>
      <c r="C84">
        <v>2008</v>
      </c>
      <c r="D84">
        <v>2008</v>
      </c>
      <c r="E84">
        <v>2008</v>
      </c>
      <c r="F84">
        <v>2008</v>
      </c>
      <c r="G84">
        <v>2008</v>
      </c>
      <c r="H84">
        <v>2008</v>
      </c>
      <c r="I84">
        <v>2008</v>
      </c>
      <c r="J84">
        <v>2008</v>
      </c>
      <c r="K84">
        <v>2008</v>
      </c>
      <c r="L84">
        <v>2008</v>
      </c>
      <c r="M84">
        <v>2008</v>
      </c>
      <c r="N84">
        <v>2008</v>
      </c>
      <c r="O84">
        <v>2008</v>
      </c>
      <c r="P84">
        <v>2008</v>
      </c>
      <c r="Q84">
        <v>2008</v>
      </c>
      <c r="R84">
        <v>2008</v>
      </c>
      <c r="S84">
        <v>2008</v>
      </c>
      <c r="T84">
        <v>2008</v>
      </c>
      <c r="U84">
        <v>2008</v>
      </c>
      <c r="V84">
        <v>2008</v>
      </c>
      <c r="W84">
        <v>2008</v>
      </c>
      <c r="X84">
        <v>2008</v>
      </c>
      <c r="Y84">
        <v>2008</v>
      </c>
      <c r="Z84">
        <v>2008</v>
      </c>
      <c r="AA84">
        <v>2008</v>
      </c>
      <c r="AB84">
        <v>2008</v>
      </c>
      <c r="AC84">
        <v>2008</v>
      </c>
      <c r="AD84">
        <v>2008</v>
      </c>
      <c r="AE84">
        <v>2008</v>
      </c>
      <c r="AF84">
        <v>2008</v>
      </c>
      <c r="AG84">
        <v>2008</v>
      </c>
    </row>
    <row r="85" spans="1:33" x14ac:dyDescent="0.25">
      <c r="A85">
        <v>8112522</v>
      </c>
      <c r="B85" t="s">
        <v>11</v>
      </c>
      <c r="C85">
        <v>2008</v>
      </c>
      <c r="D85">
        <v>2008</v>
      </c>
      <c r="E85">
        <v>2008</v>
      </c>
      <c r="F85">
        <v>2008</v>
      </c>
      <c r="G85">
        <v>2008</v>
      </c>
      <c r="H85">
        <v>2008</v>
      </c>
      <c r="I85">
        <v>2008</v>
      </c>
      <c r="J85">
        <v>2008</v>
      </c>
      <c r="K85">
        <v>2008</v>
      </c>
      <c r="L85">
        <v>2008</v>
      </c>
      <c r="M85">
        <v>2008</v>
      </c>
      <c r="N85">
        <v>2008</v>
      </c>
      <c r="O85">
        <v>2008</v>
      </c>
      <c r="P85">
        <v>2008</v>
      </c>
      <c r="Q85">
        <v>2008</v>
      </c>
      <c r="R85">
        <v>2008</v>
      </c>
      <c r="S85">
        <v>2008</v>
      </c>
      <c r="T85">
        <v>2008</v>
      </c>
      <c r="U85">
        <v>2008</v>
      </c>
      <c r="V85">
        <v>2008</v>
      </c>
      <c r="W85">
        <v>2008</v>
      </c>
      <c r="X85">
        <v>2008</v>
      </c>
      <c r="Y85">
        <v>2008</v>
      </c>
      <c r="Z85">
        <v>2008</v>
      </c>
      <c r="AA85">
        <v>2008</v>
      </c>
      <c r="AB85">
        <v>2008</v>
      </c>
      <c r="AC85">
        <v>2008</v>
      </c>
      <c r="AD85">
        <v>2008</v>
      </c>
      <c r="AE85">
        <v>2008</v>
      </c>
      <c r="AF85">
        <v>2008</v>
      </c>
      <c r="AG85">
        <v>2008</v>
      </c>
    </row>
    <row r="86" spans="1:33" x14ac:dyDescent="0.25">
      <c r="A86" t="s">
        <v>12</v>
      </c>
      <c r="B86" t="s">
        <v>11</v>
      </c>
      <c r="C86">
        <v>2008</v>
      </c>
      <c r="D86">
        <v>2008</v>
      </c>
      <c r="E86">
        <v>2008</v>
      </c>
      <c r="F86">
        <v>2008</v>
      </c>
      <c r="G86">
        <v>2008</v>
      </c>
      <c r="H86">
        <v>2008</v>
      </c>
      <c r="I86">
        <v>2008</v>
      </c>
      <c r="J86">
        <v>2008</v>
      </c>
      <c r="K86">
        <v>2008</v>
      </c>
      <c r="L86">
        <v>2008</v>
      </c>
      <c r="M86">
        <v>2008</v>
      </c>
      <c r="N86">
        <v>2008</v>
      </c>
      <c r="O86">
        <v>2008</v>
      </c>
      <c r="P86">
        <v>2008</v>
      </c>
      <c r="Q86">
        <v>2008</v>
      </c>
      <c r="R86">
        <v>2008</v>
      </c>
      <c r="S86">
        <v>2008</v>
      </c>
      <c r="T86">
        <v>2008</v>
      </c>
      <c r="U86">
        <v>2008</v>
      </c>
      <c r="V86">
        <v>2008</v>
      </c>
      <c r="W86">
        <v>2008</v>
      </c>
      <c r="X86">
        <v>2008</v>
      </c>
      <c r="Y86">
        <v>2008</v>
      </c>
      <c r="Z86">
        <v>2008</v>
      </c>
      <c r="AA86">
        <v>2008</v>
      </c>
      <c r="AB86">
        <v>2008</v>
      </c>
      <c r="AC86">
        <v>2008</v>
      </c>
      <c r="AD86">
        <v>2008</v>
      </c>
      <c r="AE86">
        <v>2008</v>
      </c>
      <c r="AF86">
        <v>2008</v>
      </c>
      <c r="AG86">
        <v>2008</v>
      </c>
    </row>
    <row r="87" spans="1:33" x14ac:dyDescent="0.25">
      <c r="A87">
        <v>8130998</v>
      </c>
      <c r="B87" t="s">
        <v>11</v>
      </c>
      <c r="C87">
        <v>2008</v>
      </c>
      <c r="D87">
        <v>2008</v>
      </c>
      <c r="E87">
        <v>2008</v>
      </c>
      <c r="F87">
        <v>2008</v>
      </c>
      <c r="G87">
        <v>2008</v>
      </c>
      <c r="H87">
        <v>2008</v>
      </c>
      <c r="I87">
        <v>2008</v>
      </c>
      <c r="J87">
        <v>2008</v>
      </c>
      <c r="K87">
        <v>2008</v>
      </c>
      <c r="L87">
        <v>2008</v>
      </c>
      <c r="M87">
        <v>2008</v>
      </c>
      <c r="N87">
        <v>2008</v>
      </c>
      <c r="O87">
        <v>2008</v>
      </c>
      <c r="P87">
        <v>2008</v>
      </c>
      <c r="Q87">
        <v>2008</v>
      </c>
      <c r="R87">
        <v>2008</v>
      </c>
      <c r="S87">
        <v>2008</v>
      </c>
      <c r="T87">
        <v>2008</v>
      </c>
      <c r="U87">
        <v>2008</v>
      </c>
      <c r="V87">
        <v>2008</v>
      </c>
      <c r="W87">
        <v>2008</v>
      </c>
      <c r="X87">
        <v>2008</v>
      </c>
      <c r="Y87">
        <v>2008</v>
      </c>
      <c r="Z87">
        <v>2008</v>
      </c>
      <c r="AA87">
        <v>2008</v>
      </c>
      <c r="AB87">
        <v>2008</v>
      </c>
      <c r="AC87">
        <v>2008</v>
      </c>
      <c r="AD87">
        <v>2008</v>
      </c>
      <c r="AE87">
        <v>2008</v>
      </c>
      <c r="AF87">
        <v>2008</v>
      </c>
      <c r="AG87">
        <v>2008</v>
      </c>
    </row>
    <row r="88" spans="1:33" x14ac:dyDescent="0.25">
      <c r="A88">
        <v>9002836</v>
      </c>
      <c r="B88" t="s">
        <v>11</v>
      </c>
      <c r="C88">
        <v>2008</v>
      </c>
      <c r="D88">
        <v>2008</v>
      </c>
      <c r="E88">
        <v>2008</v>
      </c>
      <c r="F88">
        <v>2008</v>
      </c>
      <c r="G88">
        <v>2008</v>
      </c>
      <c r="H88">
        <v>2008</v>
      </c>
      <c r="I88">
        <v>2008</v>
      </c>
      <c r="J88">
        <v>2008</v>
      </c>
      <c r="K88">
        <v>2008</v>
      </c>
      <c r="L88">
        <v>2008</v>
      </c>
      <c r="M88">
        <v>2008</v>
      </c>
      <c r="N88">
        <v>2008</v>
      </c>
      <c r="O88">
        <v>2008</v>
      </c>
      <c r="P88">
        <v>2008</v>
      </c>
      <c r="Q88">
        <v>2008</v>
      </c>
      <c r="R88">
        <v>2008</v>
      </c>
      <c r="S88">
        <v>2008</v>
      </c>
      <c r="T88">
        <v>2008</v>
      </c>
      <c r="U88">
        <v>2008</v>
      </c>
      <c r="V88">
        <v>2008</v>
      </c>
      <c r="W88">
        <v>2008</v>
      </c>
      <c r="X88">
        <v>2008</v>
      </c>
      <c r="Y88">
        <v>2008</v>
      </c>
      <c r="Z88">
        <v>2008</v>
      </c>
      <c r="AA88">
        <v>2008</v>
      </c>
      <c r="AB88">
        <v>2008</v>
      </c>
      <c r="AC88">
        <v>2008</v>
      </c>
      <c r="AD88">
        <v>2008</v>
      </c>
      <c r="AE88">
        <v>2008</v>
      </c>
      <c r="AF88">
        <v>2008</v>
      </c>
      <c r="AG88">
        <v>2008</v>
      </c>
    </row>
    <row r="89" spans="1:33" x14ac:dyDescent="0.25">
      <c r="A89">
        <v>9003331</v>
      </c>
      <c r="B89" t="s">
        <v>11</v>
      </c>
      <c r="C89">
        <v>2008</v>
      </c>
      <c r="D89">
        <v>2008</v>
      </c>
      <c r="E89">
        <v>2008</v>
      </c>
      <c r="F89">
        <v>2008</v>
      </c>
      <c r="G89">
        <v>2008</v>
      </c>
      <c r="H89">
        <v>2008</v>
      </c>
      <c r="I89">
        <v>2008</v>
      </c>
      <c r="J89">
        <v>2008</v>
      </c>
      <c r="K89">
        <v>2008</v>
      </c>
      <c r="L89">
        <v>2008</v>
      </c>
      <c r="M89">
        <v>2008</v>
      </c>
      <c r="N89">
        <v>2008</v>
      </c>
      <c r="O89">
        <v>2008</v>
      </c>
      <c r="P89">
        <v>2008</v>
      </c>
      <c r="Q89">
        <v>2008</v>
      </c>
      <c r="R89">
        <v>2008</v>
      </c>
      <c r="S89">
        <v>2008</v>
      </c>
      <c r="T89">
        <v>2008</v>
      </c>
      <c r="U89">
        <v>2008</v>
      </c>
      <c r="V89">
        <v>2008</v>
      </c>
      <c r="W89">
        <v>2008</v>
      </c>
      <c r="X89">
        <v>2008</v>
      </c>
      <c r="Y89">
        <v>2008</v>
      </c>
      <c r="Z89">
        <v>2008</v>
      </c>
      <c r="AA89">
        <v>2008</v>
      </c>
      <c r="AB89">
        <v>2008</v>
      </c>
      <c r="AC89">
        <v>2008</v>
      </c>
      <c r="AD89">
        <v>2008</v>
      </c>
      <c r="AE89">
        <v>2008</v>
      </c>
      <c r="AF89">
        <v>2008</v>
      </c>
      <c r="AG89">
        <v>2008</v>
      </c>
    </row>
    <row r="90" spans="1:33" x14ac:dyDescent="0.25">
      <c r="A90">
        <v>9003370</v>
      </c>
      <c r="B90" t="s">
        <v>11</v>
      </c>
      <c r="C90">
        <v>2008</v>
      </c>
      <c r="D90">
        <v>2008</v>
      </c>
      <c r="E90">
        <v>2008</v>
      </c>
      <c r="F90">
        <v>2008</v>
      </c>
      <c r="G90">
        <v>2008</v>
      </c>
      <c r="H90">
        <v>2008</v>
      </c>
      <c r="I90">
        <v>2008</v>
      </c>
      <c r="J90">
        <v>2008</v>
      </c>
      <c r="K90">
        <v>2008</v>
      </c>
      <c r="L90">
        <v>2008</v>
      </c>
      <c r="M90">
        <v>2008</v>
      </c>
      <c r="N90">
        <v>2008</v>
      </c>
      <c r="O90">
        <v>2008</v>
      </c>
      <c r="P90">
        <v>2008</v>
      </c>
      <c r="Q90">
        <v>2008</v>
      </c>
      <c r="R90">
        <v>2008</v>
      </c>
      <c r="S90">
        <v>2008</v>
      </c>
      <c r="T90">
        <v>2008</v>
      </c>
      <c r="U90">
        <v>2008</v>
      </c>
      <c r="V90">
        <v>2008</v>
      </c>
      <c r="W90">
        <v>2008</v>
      </c>
      <c r="X90">
        <v>2008</v>
      </c>
      <c r="Y90">
        <v>2008</v>
      </c>
      <c r="Z90">
        <v>2008</v>
      </c>
      <c r="AA90">
        <v>2008</v>
      </c>
      <c r="AB90">
        <v>2008</v>
      </c>
      <c r="AC90">
        <v>2008</v>
      </c>
      <c r="AD90">
        <v>2008</v>
      </c>
      <c r="AE90">
        <v>2008</v>
      </c>
      <c r="AF90">
        <v>2008</v>
      </c>
      <c r="AG90">
        <v>2008</v>
      </c>
    </row>
    <row r="91" spans="1:33" x14ac:dyDescent="0.25">
      <c r="A91">
        <v>9016278</v>
      </c>
      <c r="B91" t="s">
        <v>11</v>
      </c>
      <c r="C91">
        <v>2008</v>
      </c>
      <c r="D91">
        <v>2008</v>
      </c>
      <c r="E91">
        <v>2008</v>
      </c>
      <c r="F91">
        <v>2008</v>
      </c>
      <c r="G91">
        <v>2008</v>
      </c>
      <c r="H91">
        <v>2008</v>
      </c>
      <c r="I91">
        <v>2008</v>
      </c>
      <c r="J91">
        <v>2008</v>
      </c>
      <c r="K91">
        <v>2008</v>
      </c>
      <c r="L91">
        <v>2008</v>
      </c>
      <c r="M91">
        <v>2008</v>
      </c>
      <c r="N91">
        <v>2008</v>
      </c>
      <c r="O91">
        <v>2008</v>
      </c>
      <c r="P91">
        <v>2008</v>
      </c>
      <c r="Q91">
        <v>2008</v>
      </c>
      <c r="R91">
        <v>2008</v>
      </c>
      <c r="S91">
        <v>2008</v>
      </c>
      <c r="T91">
        <v>2008</v>
      </c>
      <c r="U91">
        <v>2008</v>
      </c>
      <c r="V91">
        <v>2008</v>
      </c>
      <c r="W91">
        <v>2008</v>
      </c>
      <c r="X91">
        <v>2008</v>
      </c>
      <c r="Y91">
        <v>2008</v>
      </c>
      <c r="Z91">
        <v>2008</v>
      </c>
      <c r="AA91">
        <v>2008</v>
      </c>
      <c r="AB91">
        <v>2008</v>
      </c>
      <c r="AC91">
        <v>2008</v>
      </c>
      <c r="AD91">
        <v>2008</v>
      </c>
      <c r="AE91">
        <v>2008</v>
      </c>
      <c r="AF91">
        <v>2008</v>
      </c>
      <c r="AG91">
        <v>2008</v>
      </c>
    </row>
    <row r="92" spans="1:33" x14ac:dyDescent="0.25">
      <c r="A92">
        <v>9030684</v>
      </c>
      <c r="B92" t="s">
        <v>11</v>
      </c>
      <c r="C92">
        <v>2008</v>
      </c>
      <c r="D92">
        <v>2008</v>
      </c>
      <c r="E92">
        <v>2008</v>
      </c>
      <c r="F92">
        <v>2008</v>
      </c>
      <c r="G92">
        <v>2008</v>
      </c>
      <c r="H92">
        <v>2008</v>
      </c>
      <c r="I92">
        <v>2008</v>
      </c>
      <c r="J92">
        <v>2008</v>
      </c>
      <c r="K92">
        <v>2008</v>
      </c>
      <c r="L92">
        <v>2008</v>
      </c>
      <c r="M92">
        <v>2008</v>
      </c>
      <c r="N92">
        <v>2008</v>
      </c>
      <c r="O92">
        <v>2008</v>
      </c>
      <c r="P92">
        <v>2008</v>
      </c>
      <c r="Q92">
        <v>2008</v>
      </c>
      <c r="R92">
        <v>2008</v>
      </c>
      <c r="S92">
        <v>2008</v>
      </c>
      <c r="T92">
        <v>2008</v>
      </c>
      <c r="U92">
        <v>2008</v>
      </c>
      <c r="V92">
        <v>2008</v>
      </c>
      <c r="W92">
        <v>2008</v>
      </c>
      <c r="X92">
        <v>2008</v>
      </c>
      <c r="Y92">
        <v>2008</v>
      </c>
      <c r="Z92">
        <v>2008</v>
      </c>
      <c r="AA92">
        <v>2008</v>
      </c>
      <c r="AB92">
        <v>2008</v>
      </c>
      <c r="AC92">
        <v>2008</v>
      </c>
      <c r="AD92">
        <v>2008</v>
      </c>
      <c r="AE92">
        <v>2008</v>
      </c>
      <c r="AF92">
        <v>2008</v>
      </c>
      <c r="AG92">
        <v>2008</v>
      </c>
    </row>
    <row r="93" spans="1:33" x14ac:dyDescent="0.25">
      <c r="A93">
        <v>9031387</v>
      </c>
      <c r="B93" t="s">
        <v>11</v>
      </c>
      <c r="C93">
        <v>2008</v>
      </c>
      <c r="D93">
        <v>2008</v>
      </c>
      <c r="E93">
        <v>2008</v>
      </c>
      <c r="F93">
        <v>2008</v>
      </c>
      <c r="G93">
        <v>2008</v>
      </c>
      <c r="H93">
        <v>2008</v>
      </c>
      <c r="I93">
        <v>2008</v>
      </c>
      <c r="J93">
        <v>2008</v>
      </c>
      <c r="K93">
        <v>2008</v>
      </c>
      <c r="L93">
        <v>2008</v>
      </c>
      <c r="M93">
        <v>2008</v>
      </c>
      <c r="N93">
        <v>2008</v>
      </c>
      <c r="O93">
        <v>2008</v>
      </c>
      <c r="P93">
        <v>2008</v>
      </c>
      <c r="Q93">
        <v>2008</v>
      </c>
      <c r="R93">
        <v>2008</v>
      </c>
      <c r="S93">
        <v>2008</v>
      </c>
      <c r="T93">
        <v>2008</v>
      </c>
      <c r="U93">
        <v>2008</v>
      </c>
      <c r="V93">
        <v>2008</v>
      </c>
      <c r="W93">
        <v>2008</v>
      </c>
      <c r="X93">
        <v>2008</v>
      </c>
      <c r="Y93">
        <v>2008</v>
      </c>
      <c r="Z93">
        <v>2008</v>
      </c>
      <c r="AA93">
        <v>2008</v>
      </c>
      <c r="AB93">
        <v>2008</v>
      </c>
      <c r="AC93">
        <v>2008</v>
      </c>
      <c r="AD93">
        <v>2008</v>
      </c>
      <c r="AE93">
        <v>2008</v>
      </c>
      <c r="AF93">
        <v>2008</v>
      </c>
      <c r="AG93">
        <v>2008</v>
      </c>
    </row>
    <row r="94" spans="1:33" x14ac:dyDescent="0.25">
      <c r="A94">
        <v>9038676</v>
      </c>
      <c r="B94" t="s">
        <v>11</v>
      </c>
      <c r="C94">
        <v>2008</v>
      </c>
      <c r="D94">
        <v>2008</v>
      </c>
      <c r="E94">
        <v>2008</v>
      </c>
      <c r="F94">
        <v>2008</v>
      </c>
      <c r="G94">
        <v>2008</v>
      </c>
      <c r="H94">
        <v>2008</v>
      </c>
      <c r="I94">
        <v>2008</v>
      </c>
      <c r="J94">
        <v>2008</v>
      </c>
      <c r="K94">
        <v>2008</v>
      </c>
      <c r="L94">
        <v>2008</v>
      </c>
      <c r="M94">
        <v>2008</v>
      </c>
      <c r="N94">
        <v>2008</v>
      </c>
      <c r="O94">
        <v>2008</v>
      </c>
      <c r="P94">
        <v>2008</v>
      </c>
      <c r="Q94">
        <v>2008</v>
      </c>
      <c r="R94">
        <v>2008</v>
      </c>
      <c r="S94">
        <v>2008</v>
      </c>
      <c r="T94">
        <v>2008</v>
      </c>
      <c r="U94">
        <v>2008</v>
      </c>
      <c r="V94">
        <v>2008</v>
      </c>
      <c r="W94">
        <v>2008</v>
      </c>
      <c r="X94">
        <v>2008</v>
      </c>
      <c r="Y94">
        <v>2008</v>
      </c>
      <c r="Z94">
        <v>2008</v>
      </c>
      <c r="AA94">
        <v>2008</v>
      </c>
      <c r="AB94">
        <v>2008</v>
      </c>
      <c r="AC94">
        <v>2008</v>
      </c>
      <c r="AD94">
        <v>2008</v>
      </c>
      <c r="AE94">
        <v>2008</v>
      </c>
      <c r="AF94">
        <v>2008</v>
      </c>
      <c r="AG94">
        <v>2008</v>
      </c>
    </row>
    <row r="95" spans="1:33" x14ac:dyDescent="0.25">
      <c r="A95">
        <v>9039416</v>
      </c>
      <c r="B95" t="s">
        <v>11</v>
      </c>
      <c r="C95">
        <v>2008</v>
      </c>
      <c r="D95">
        <v>2008</v>
      </c>
      <c r="E95">
        <v>2008</v>
      </c>
      <c r="F95">
        <v>2008</v>
      </c>
      <c r="G95">
        <v>2008</v>
      </c>
      <c r="H95">
        <v>2008</v>
      </c>
      <c r="I95">
        <v>2008</v>
      </c>
      <c r="J95">
        <v>2008</v>
      </c>
      <c r="K95">
        <v>2008</v>
      </c>
      <c r="L95">
        <v>2008</v>
      </c>
      <c r="M95">
        <v>2008</v>
      </c>
      <c r="N95">
        <v>2008</v>
      </c>
      <c r="O95">
        <v>2008</v>
      </c>
      <c r="P95">
        <v>2008</v>
      </c>
      <c r="Q95">
        <v>2008</v>
      </c>
      <c r="R95">
        <v>2008</v>
      </c>
      <c r="S95">
        <v>2008</v>
      </c>
      <c r="T95">
        <v>2008</v>
      </c>
      <c r="U95">
        <v>2008</v>
      </c>
      <c r="V95">
        <v>2008</v>
      </c>
      <c r="W95">
        <v>2008</v>
      </c>
      <c r="X95">
        <v>2008</v>
      </c>
      <c r="Y95">
        <v>2008</v>
      </c>
      <c r="Z95">
        <v>2008</v>
      </c>
      <c r="AA95">
        <v>2008</v>
      </c>
      <c r="AB95">
        <v>2008</v>
      </c>
      <c r="AC95">
        <v>2008</v>
      </c>
      <c r="AD95">
        <v>2008</v>
      </c>
      <c r="AE95">
        <v>2008</v>
      </c>
      <c r="AF95">
        <v>2008</v>
      </c>
      <c r="AG95">
        <v>2008</v>
      </c>
    </row>
    <row r="96" spans="1:33" x14ac:dyDescent="0.25">
      <c r="A96">
        <v>9042861</v>
      </c>
      <c r="B96" t="s">
        <v>11</v>
      </c>
      <c r="C96">
        <v>2009</v>
      </c>
      <c r="D96">
        <v>2009</v>
      </c>
      <c r="E96">
        <v>2009</v>
      </c>
      <c r="F96">
        <v>2009</v>
      </c>
      <c r="G96">
        <v>2009</v>
      </c>
      <c r="H96">
        <v>2009</v>
      </c>
      <c r="I96">
        <v>2009</v>
      </c>
      <c r="J96">
        <v>2009</v>
      </c>
      <c r="K96">
        <v>2009</v>
      </c>
      <c r="L96">
        <v>2009</v>
      </c>
      <c r="M96">
        <v>2009</v>
      </c>
      <c r="N96">
        <v>2009</v>
      </c>
      <c r="O96">
        <v>2009</v>
      </c>
      <c r="P96">
        <v>2009</v>
      </c>
      <c r="Q96">
        <v>2009</v>
      </c>
      <c r="R96">
        <v>2009</v>
      </c>
      <c r="S96">
        <v>2009</v>
      </c>
      <c r="T96">
        <v>2009</v>
      </c>
      <c r="U96">
        <v>2009</v>
      </c>
      <c r="V96">
        <v>2009</v>
      </c>
      <c r="W96">
        <v>2009</v>
      </c>
      <c r="X96">
        <v>2009</v>
      </c>
      <c r="Y96">
        <v>2009</v>
      </c>
      <c r="Z96">
        <v>2009</v>
      </c>
      <c r="AA96">
        <v>2009</v>
      </c>
      <c r="AB96">
        <v>2009</v>
      </c>
      <c r="AC96">
        <v>2009</v>
      </c>
      <c r="AD96">
        <v>2009</v>
      </c>
      <c r="AE96">
        <v>2009</v>
      </c>
      <c r="AF96">
        <v>2009</v>
      </c>
      <c r="AG96">
        <v>2009</v>
      </c>
    </row>
    <row r="97" spans="1:33" x14ac:dyDescent="0.25">
      <c r="A97">
        <v>9044899</v>
      </c>
      <c r="B97" t="s">
        <v>11</v>
      </c>
      <c r="C97">
        <v>2009</v>
      </c>
      <c r="D97">
        <v>2009</v>
      </c>
      <c r="E97">
        <v>2009</v>
      </c>
      <c r="F97">
        <v>2009</v>
      </c>
      <c r="G97">
        <v>2009</v>
      </c>
      <c r="H97">
        <v>2009</v>
      </c>
      <c r="I97">
        <v>2009</v>
      </c>
      <c r="J97">
        <v>2009</v>
      </c>
      <c r="K97">
        <v>2009</v>
      </c>
      <c r="L97">
        <v>2009</v>
      </c>
      <c r="M97">
        <v>2009</v>
      </c>
      <c r="N97">
        <v>2009</v>
      </c>
      <c r="O97">
        <v>2009</v>
      </c>
      <c r="P97">
        <v>2009</v>
      </c>
      <c r="Q97">
        <v>2009</v>
      </c>
      <c r="R97">
        <v>2009</v>
      </c>
      <c r="S97">
        <v>2009</v>
      </c>
      <c r="T97">
        <v>2009</v>
      </c>
      <c r="U97">
        <v>2009</v>
      </c>
      <c r="V97">
        <v>2009</v>
      </c>
      <c r="W97">
        <v>2009</v>
      </c>
      <c r="X97">
        <v>2009</v>
      </c>
      <c r="Y97">
        <v>2009</v>
      </c>
      <c r="Z97">
        <v>2009</v>
      </c>
      <c r="AA97">
        <v>2009</v>
      </c>
      <c r="AB97">
        <v>2009</v>
      </c>
      <c r="AC97">
        <v>2009</v>
      </c>
      <c r="AD97">
        <v>2009</v>
      </c>
      <c r="AE97">
        <v>2009</v>
      </c>
      <c r="AF97">
        <v>2009</v>
      </c>
      <c r="AG97">
        <v>2009</v>
      </c>
    </row>
    <row r="98" spans="1:33" x14ac:dyDescent="0.25">
      <c r="A98">
        <v>9052398</v>
      </c>
      <c r="B98" t="s">
        <v>11</v>
      </c>
      <c r="C98">
        <v>2009</v>
      </c>
      <c r="D98">
        <v>2009</v>
      </c>
      <c r="E98">
        <v>2009</v>
      </c>
      <c r="F98">
        <v>2009</v>
      </c>
      <c r="G98">
        <v>2009</v>
      </c>
      <c r="H98">
        <v>2009</v>
      </c>
      <c r="I98">
        <v>2009</v>
      </c>
      <c r="J98">
        <v>2009</v>
      </c>
      <c r="K98">
        <v>2009</v>
      </c>
      <c r="L98">
        <v>2009</v>
      </c>
      <c r="M98">
        <v>2009</v>
      </c>
      <c r="N98">
        <v>2009</v>
      </c>
      <c r="O98">
        <v>2009</v>
      </c>
      <c r="P98">
        <v>2009</v>
      </c>
      <c r="Q98">
        <v>2009</v>
      </c>
      <c r="R98">
        <v>2009</v>
      </c>
      <c r="S98">
        <v>2009</v>
      </c>
      <c r="T98">
        <v>2009</v>
      </c>
      <c r="U98">
        <v>2009</v>
      </c>
      <c r="V98">
        <v>2009</v>
      </c>
      <c r="W98">
        <v>2009</v>
      </c>
      <c r="X98">
        <v>2009</v>
      </c>
      <c r="Y98">
        <v>2009</v>
      </c>
      <c r="Z98">
        <v>2009</v>
      </c>
      <c r="AA98">
        <v>2009</v>
      </c>
      <c r="AB98">
        <v>2009</v>
      </c>
      <c r="AC98">
        <v>2009</v>
      </c>
      <c r="AD98">
        <v>2009</v>
      </c>
      <c r="AE98">
        <v>2009</v>
      </c>
      <c r="AF98">
        <v>2009</v>
      </c>
      <c r="AG98">
        <v>2009</v>
      </c>
    </row>
    <row r="99" spans="1:33" x14ac:dyDescent="0.25">
      <c r="A99">
        <v>9085204</v>
      </c>
      <c r="B99" t="s">
        <v>11</v>
      </c>
      <c r="C99">
        <v>2009</v>
      </c>
      <c r="D99">
        <v>2009</v>
      </c>
      <c r="E99">
        <v>2009</v>
      </c>
      <c r="F99">
        <v>2009</v>
      </c>
      <c r="G99">
        <v>2009</v>
      </c>
      <c r="H99">
        <v>2009</v>
      </c>
      <c r="I99">
        <v>2009</v>
      </c>
      <c r="J99">
        <v>2009</v>
      </c>
      <c r="K99">
        <v>2009</v>
      </c>
      <c r="L99">
        <v>2009</v>
      </c>
      <c r="M99">
        <v>2009</v>
      </c>
      <c r="N99">
        <v>2009</v>
      </c>
      <c r="O99">
        <v>2009</v>
      </c>
      <c r="P99">
        <v>2009</v>
      </c>
      <c r="Q99">
        <v>2009</v>
      </c>
      <c r="R99">
        <v>2009</v>
      </c>
      <c r="S99">
        <v>2009</v>
      </c>
      <c r="T99">
        <v>2009</v>
      </c>
      <c r="U99">
        <v>2009</v>
      </c>
      <c r="V99">
        <v>2009</v>
      </c>
      <c r="W99">
        <v>2009</v>
      </c>
      <c r="X99">
        <v>2009</v>
      </c>
      <c r="Y99">
        <v>2009</v>
      </c>
      <c r="Z99">
        <v>2009</v>
      </c>
      <c r="AA99">
        <v>2009</v>
      </c>
      <c r="AB99">
        <v>2009</v>
      </c>
      <c r="AC99">
        <v>2009</v>
      </c>
      <c r="AD99">
        <v>2009</v>
      </c>
      <c r="AE99">
        <v>2009</v>
      </c>
      <c r="AF99">
        <v>2009</v>
      </c>
      <c r="AG99">
        <v>2009</v>
      </c>
    </row>
    <row r="100" spans="1:33" x14ac:dyDescent="0.25">
      <c r="A100">
        <v>9105492</v>
      </c>
      <c r="B100" t="s">
        <v>11</v>
      </c>
      <c r="C100">
        <v>2009</v>
      </c>
      <c r="D100">
        <v>2009</v>
      </c>
      <c r="E100">
        <v>2009</v>
      </c>
      <c r="F100">
        <v>2009</v>
      </c>
      <c r="G100">
        <v>2009</v>
      </c>
      <c r="H100">
        <v>2009</v>
      </c>
      <c r="I100">
        <v>2009</v>
      </c>
      <c r="J100">
        <v>2009</v>
      </c>
      <c r="K100">
        <v>2009</v>
      </c>
      <c r="L100">
        <v>2009</v>
      </c>
      <c r="M100">
        <v>2009</v>
      </c>
      <c r="N100">
        <v>2009</v>
      </c>
      <c r="O100">
        <v>2009</v>
      </c>
      <c r="P100">
        <v>2009</v>
      </c>
      <c r="Q100">
        <v>2009</v>
      </c>
      <c r="R100">
        <v>2009</v>
      </c>
      <c r="S100">
        <v>2009</v>
      </c>
      <c r="T100">
        <v>2009</v>
      </c>
      <c r="U100">
        <v>2009</v>
      </c>
      <c r="V100">
        <v>2009</v>
      </c>
      <c r="W100">
        <v>2009</v>
      </c>
      <c r="X100">
        <v>2009</v>
      </c>
      <c r="Y100">
        <v>2009</v>
      </c>
      <c r="Z100">
        <v>2009</v>
      </c>
      <c r="AA100">
        <v>2009</v>
      </c>
      <c r="AB100">
        <v>2009</v>
      </c>
      <c r="AC100">
        <v>2009</v>
      </c>
      <c r="AD100">
        <v>2009</v>
      </c>
      <c r="AE100">
        <v>2009</v>
      </c>
      <c r="AF100">
        <v>2009</v>
      </c>
      <c r="AG100">
        <v>2009</v>
      </c>
    </row>
    <row r="101" spans="1:33" x14ac:dyDescent="0.25">
      <c r="A101">
        <v>9138470</v>
      </c>
      <c r="B101" t="s">
        <v>11</v>
      </c>
      <c r="C101">
        <v>2009</v>
      </c>
      <c r="D101">
        <v>2009</v>
      </c>
      <c r="E101">
        <v>2009</v>
      </c>
      <c r="F101">
        <v>2009</v>
      </c>
      <c r="G101">
        <v>2009</v>
      </c>
      <c r="H101">
        <v>2009</v>
      </c>
      <c r="I101">
        <v>2009</v>
      </c>
      <c r="J101">
        <v>2009</v>
      </c>
      <c r="K101">
        <v>2009</v>
      </c>
      <c r="L101">
        <v>2009</v>
      </c>
      <c r="M101">
        <v>2009</v>
      </c>
      <c r="N101">
        <v>2009</v>
      </c>
      <c r="O101">
        <v>2009</v>
      </c>
      <c r="P101">
        <v>2009</v>
      </c>
      <c r="Q101">
        <v>2009</v>
      </c>
      <c r="R101">
        <v>2009</v>
      </c>
      <c r="S101">
        <v>2009</v>
      </c>
      <c r="T101">
        <v>2009</v>
      </c>
      <c r="U101">
        <v>2009</v>
      </c>
      <c r="V101">
        <v>2009</v>
      </c>
      <c r="W101">
        <v>2009</v>
      </c>
      <c r="X101">
        <v>2009</v>
      </c>
      <c r="Y101">
        <v>2009</v>
      </c>
      <c r="Z101">
        <v>2009</v>
      </c>
      <c r="AA101">
        <v>2009</v>
      </c>
      <c r="AB101">
        <v>2009</v>
      </c>
      <c r="AC101">
        <v>2009</v>
      </c>
      <c r="AD101">
        <v>2009</v>
      </c>
      <c r="AE101">
        <v>2009</v>
      </c>
      <c r="AF101">
        <v>2009</v>
      </c>
      <c r="AG101">
        <v>2009</v>
      </c>
    </row>
    <row r="102" spans="1:33" x14ac:dyDescent="0.25">
      <c r="A102">
        <v>9150676</v>
      </c>
      <c r="B102" t="s">
        <v>11</v>
      </c>
      <c r="C102">
        <v>2009</v>
      </c>
      <c r="D102">
        <v>2009</v>
      </c>
      <c r="E102">
        <v>2009</v>
      </c>
      <c r="F102">
        <v>2009</v>
      </c>
      <c r="G102">
        <v>2009</v>
      </c>
      <c r="H102">
        <v>2009</v>
      </c>
      <c r="I102">
        <v>2009</v>
      </c>
      <c r="J102">
        <v>2009</v>
      </c>
      <c r="K102">
        <v>2009</v>
      </c>
      <c r="L102">
        <v>2009</v>
      </c>
      <c r="M102">
        <v>2009</v>
      </c>
      <c r="N102">
        <v>2009</v>
      </c>
      <c r="O102">
        <v>2009</v>
      </c>
      <c r="P102">
        <v>2009</v>
      </c>
      <c r="Q102">
        <v>2009</v>
      </c>
      <c r="R102">
        <v>2009</v>
      </c>
      <c r="S102">
        <v>2009</v>
      </c>
      <c r="T102">
        <v>2009</v>
      </c>
      <c r="U102">
        <v>2009</v>
      </c>
      <c r="V102">
        <v>2009</v>
      </c>
      <c r="W102">
        <v>2009</v>
      </c>
      <c r="X102">
        <v>2009</v>
      </c>
      <c r="Y102">
        <v>2009</v>
      </c>
      <c r="Z102">
        <v>2009</v>
      </c>
      <c r="AA102">
        <v>2009</v>
      </c>
      <c r="AB102">
        <v>2009</v>
      </c>
      <c r="AC102">
        <v>2009</v>
      </c>
      <c r="AD102">
        <v>2009</v>
      </c>
      <c r="AE102">
        <v>2009</v>
      </c>
      <c r="AF102">
        <v>2009</v>
      </c>
      <c r="AG102">
        <v>2009</v>
      </c>
    </row>
    <row r="103" spans="1:33" x14ac:dyDescent="0.25">
      <c r="A103">
        <v>10010926</v>
      </c>
      <c r="B103" t="s">
        <v>11</v>
      </c>
      <c r="C103">
        <v>2009</v>
      </c>
      <c r="D103">
        <v>2009</v>
      </c>
      <c r="E103">
        <v>2009</v>
      </c>
      <c r="F103">
        <v>2009</v>
      </c>
      <c r="G103">
        <v>2009</v>
      </c>
      <c r="H103">
        <v>2009</v>
      </c>
      <c r="I103">
        <v>2009</v>
      </c>
      <c r="J103">
        <v>2009</v>
      </c>
      <c r="K103">
        <v>2009</v>
      </c>
      <c r="L103">
        <v>2009</v>
      </c>
      <c r="M103">
        <v>2009</v>
      </c>
      <c r="N103">
        <v>2009</v>
      </c>
      <c r="O103">
        <v>2009</v>
      </c>
      <c r="P103">
        <v>2009</v>
      </c>
      <c r="Q103">
        <v>2009</v>
      </c>
      <c r="R103">
        <v>2009</v>
      </c>
      <c r="S103">
        <v>2009</v>
      </c>
      <c r="T103">
        <v>2009</v>
      </c>
      <c r="U103">
        <v>2009</v>
      </c>
      <c r="V103">
        <v>2009</v>
      </c>
      <c r="W103">
        <v>2009</v>
      </c>
      <c r="X103">
        <v>2009</v>
      </c>
      <c r="Y103">
        <v>2009</v>
      </c>
      <c r="Z103">
        <v>2009</v>
      </c>
      <c r="AA103">
        <v>2009</v>
      </c>
      <c r="AB103">
        <v>2009</v>
      </c>
      <c r="AC103">
        <v>2009</v>
      </c>
      <c r="AD103">
        <v>2009</v>
      </c>
      <c r="AE103">
        <v>2009</v>
      </c>
      <c r="AF103">
        <v>2009</v>
      </c>
      <c r="AG103">
        <v>2009</v>
      </c>
    </row>
    <row r="104" spans="1:33" x14ac:dyDescent="0.25">
      <c r="A104" t="s">
        <v>13</v>
      </c>
      <c r="B104" t="s">
        <v>11</v>
      </c>
      <c r="C104">
        <v>2009</v>
      </c>
      <c r="D104">
        <v>2009</v>
      </c>
      <c r="E104">
        <v>2009</v>
      </c>
      <c r="F104">
        <v>2009</v>
      </c>
      <c r="G104">
        <v>2009</v>
      </c>
      <c r="H104">
        <v>2009</v>
      </c>
      <c r="I104">
        <v>2009</v>
      </c>
      <c r="J104">
        <v>2009</v>
      </c>
      <c r="K104">
        <v>2009</v>
      </c>
      <c r="L104">
        <v>2009</v>
      </c>
      <c r="M104">
        <v>2009</v>
      </c>
      <c r="N104">
        <v>2009</v>
      </c>
      <c r="O104">
        <v>2009</v>
      </c>
      <c r="P104">
        <v>2009</v>
      </c>
      <c r="Q104">
        <v>2009</v>
      </c>
      <c r="R104">
        <v>2009</v>
      </c>
      <c r="S104">
        <v>2009</v>
      </c>
      <c r="T104">
        <v>2009</v>
      </c>
      <c r="U104">
        <v>2009</v>
      </c>
      <c r="V104">
        <v>2009</v>
      </c>
      <c r="W104">
        <v>2009</v>
      </c>
      <c r="X104">
        <v>2009</v>
      </c>
      <c r="Y104">
        <v>2009</v>
      </c>
      <c r="Z104">
        <v>2009</v>
      </c>
      <c r="AA104">
        <v>2009</v>
      </c>
      <c r="AB104">
        <v>2009</v>
      </c>
      <c r="AC104">
        <v>2009</v>
      </c>
      <c r="AD104">
        <v>2009</v>
      </c>
      <c r="AE104">
        <v>2009</v>
      </c>
      <c r="AF104">
        <v>2009</v>
      </c>
      <c r="AG104">
        <v>2009</v>
      </c>
    </row>
    <row r="105" spans="1:33" x14ac:dyDescent="0.25">
      <c r="A105">
        <v>10091530</v>
      </c>
      <c r="B105" t="s">
        <v>11</v>
      </c>
      <c r="C105">
        <v>2010</v>
      </c>
      <c r="D105">
        <v>2010</v>
      </c>
      <c r="E105">
        <v>2010</v>
      </c>
      <c r="F105">
        <v>2010</v>
      </c>
      <c r="G105">
        <v>2010</v>
      </c>
      <c r="H105">
        <v>2010</v>
      </c>
      <c r="I105">
        <v>2010</v>
      </c>
      <c r="J105">
        <v>2010</v>
      </c>
      <c r="K105">
        <v>2010</v>
      </c>
      <c r="L105">
        <v>2010</v>
      </c>
      <c r="M105">
        <v>2010</v>
      </c>
      <c r="N105">
        <v>2010</v>
      </c>
      <c r="O105">
        <v>2010</v>
      </c>
      <c r="P105">
        <v>2010</v>
      </c>
      <c r="Q105">
        <v>2010</v>
      </c>
      <c r="R105">
        <v>2010</v>
      </c>
      <c r="S105">
        <v>2010</v>
      </c>
      <c r="T105">
        <v>2010</v>
      </c>
      <c r="U105">
        <v>2010</v>
      </c>
      <c r="V105">
        <v>2010</v>
      </c>
      <c r="W105">
        <v>2010</v>
      </c>
      <c r="X105">
        <v>2010</v>
      </c>
      <c r="Y105">
        <v>2010</v>
      </c>
      <c r="Z105">
        <v>2010</v>
      </c>
      <c r="AA105">
        <v>2010</v>
      </c>
      <c r="AB105">
        <v>2010</v>
      </c>
      <c r="AC105">
        <v>2010</v>
      </c>
      <c r="AD105">
        <v>2010</v>
      </c>
      <c r="AE105">
        <v>2010</v>
      </c>
      <c r="AF105">
        <v>2010</v>
      </c>
      <c r="AG105">
        <v>2010</v>
      </c>
    </row>
    <row r="106" spans="1:33" x14ac:dyDescent="0.25">
      <c r="A106">
        <v>10102052</v>
      </c>
      <c r="B106" t="s">
        <v>11</v>
      </c>
      <c r="C106">
        <v>2009</v>
      </c>
      <c r="D106">
        <v>2009</v>
      </c>
      <c r="E106">
        <v>2009</v>
      </c>
      <c r="F106">
        <v>2009</v>
      </c>
      <c r="G106">
        <v>2009</v>
      </c>
      <c r="H106">
        <v>2009</v>
      </c>
      <c r="I106">
        <v>2009</v>
      </c>
      <c r="J106">
        <v>2009</v>
      </c>
      <c r="K106">
        <v>2009</v>
      </c>
      <c r="L106">
        <v>2009</v>
      </c>
      <c r="M106">
        <v>2009</v>
      </c>
      <c r="N106">
        <v>2009</v>
      </c>
      <c r="O106">
        <v>2009</v>
      </c>
      <c r="P106">
        <v>2009</v>
      </c>
      <c r="Q106">
        <v>2009</v>
      </c>
      <c r="R106">
        <v>2009</v>
      </c>
      <c r="S106">
        <v>2009</v>
      </c>
      <c r="T106">
        <v>2009</v>
      </c>
      <c r="U106">
        <v>2009</v>
      </c>
      <c r="V106">
        <v>2009</v>
      </c>
      <c r="W106">
        <v>2009</v>
      </c>
      <c r="X106">
        <v>2009</v>
      </c>
      <c r="Y106">
        <v>2009</v>
      </c>
      <c r="Z106">
        <v>2009</v>
      </c>
      <c r="AA106">
        <v>2009</v>
      </c>
      <c r="AB106">
        <v>2009</v>
      </c>
      <c r="AC106">
        <v>2009</v>
      </c>
      <c r="AD106">
        <v>2009</v>
      </c>
      <c r="AE106">
        <v>2009</v>
      </c>
      <c r="AF106">
        <v>2009</v>
      </c>
      <c r="AG106">
        <v>2009</v>
      </c>
    </row>
    <row r="107" spans="1:33" x14ac:dyDescent="0.25">
      <c r="A107">
        <v>10104735</v>
      </c>
      <c r="B107" t="s">
        <v>11</v>
      </c>
      <c r="C107">
        <v>2010</v>
      </c>
      <c r="D107">
        <v>2010</v>
      </c>
      <c r="E107">
        <v>2010</v>
      </c>
      <c r="F107">
        <v>2010</v>
      </c>
      <c r="G107">
        <v>2010</v>
      </c>
      <c r="H107">
        <v>2010</v>
      </c>
      <c r="I107">
        <v>2010</v>
      </c>
      <c r="J107">
        <v>2010</v>
      </c>
      <c r="K107">
        <v>2010</v>
      </c>
      <c r="L107">
        <v>2010</v>
      </c>
      <c r="M107">
        <v>2010</v>
      </c>
      <c r="N107">
        <v>2010</v>
      </c>
      <c r="O107">
        <v>2010</v>
      </c>
      <c r="P107">
        <v>2010</v>
      </c>
      <c r="Q107">
        <v>2010</v>
      </c>
      <c r="R107">
        <v>2010</v>
      </c>
      <c r="S107">
        <v>2010</v>
      </c>
      <c r="T107">
        <v>2010</v>
      </c>
      <c r="U107">
        <v>2010</v>
      </c>
      <c r="V107">
        <v>2010</v>
      </c>
      <c r="W107">
        <v>2010</v>
      </c>
      <c r="X107">
        <v>2010</v>
      </c>
      <c r="Y107">
        <v>2010</v>
      </c>
      <c r="Z107">
        <v>2010</v>
      </c>
      <c r="AA107">
        <v>2010</v>
      </c>
      <c r="AB107">
        <v>2010</v>
      </c>
      <c r="AC107">
        <v>2010</v>
      </c>
      <c r="AD107">
        <v>2010</v>
      </c>
      <c r="AE107">
        <v>2010</v>
      </c>
      <c r="AF107">
        <v>2010</v>
      </c>
      <c r="AG107">
        <v>2010</v>
      </c>
    </row>
    <row r="108" spans="1:33" x14ac:dyDescent="0.25">
      <c r="A108">
        <v>10131550</v>
      </c>
      <c r="B108" t="s">
        <v>11</v>
      </c>
      <c r="C108">
        <v>2010</v>
      </c>
      <c r="D108">
        <v>2010</v>
      </c>
      <c r="E108">
        <v>2010</v>
      </c>
      <c r="F108">
        <v>2010</v>
      </c>
      <c r="G108">
        <v>2010</v>
      </c>
      <c r="H108">
        <v>2010</v>
      </c>
      <c r="I108">
        <v>2010</v>
      </c>
      <c r="J108">
        <v>2010</v>
      </c>
      <c r="K108">
        <v>2010</v>
      </c>
      <c r="L108">
        <v>2010</v>
      </c>
      <c r="M108">
        <v>2010</v>
      </c>
      <c r="N108">
        <v>2010</v>
      </c>
      <c r="O108">
        <v>2010</v>
      </c>
      <c r="P108">
        <v>2010</v>
      </c>
      <c r="Q108">
        <v>2010</v>
      </c>
      <c r="R108">
        <v>2010</v>
      </c>
      <c r="S108">
        <v>2010</v>
      </c>
      <c r="T108">
        <v>2010</v>
      </c>
      <c r="U108">
        <v>2010</v>
      </c>
      <c r="V108">
        <v>2010</v>
      </c>
      <c r="W108">
        <v>2010</v>
      </c>
      <c r="X108">
        <v>2010</v>
      </c>
      <c r="Y108">
        <v>2010</v>
      </c>
      <c r="Z108">
        <v>2010</v>
      </c>
      <c r="AA108">
        <v>2010</v>
      </c>
      <c r="AB108">
        <v>2010</v>
      </c>
      <c r="AC108">
        <v>2010</v>
      </c>
      <c r="AD108">
        <v>2010</v>
      </c>
      <c r="AE108">
        <v>2010</v>
      </c>
      <c r="AF108">
        <v>2010</v>
      </c>
      <c r="AG108">
        <v>2010</v>
      </c>
    </row>
    <row r="109" spans="1:33" x14ac:dyDescent="0.25">
      <c r="A109">
        <v>10131607</v>
      </c>
      <c r="B109" t="s">
        <v>11</v>
      </c>
      <c r="C109">
        <v>2010</v>
      </c>
      <c r="D109">
        <v>2010</v>
      </c>
      <c r="E109">
        <v>2010</v>
      </c>
      <c r="F109">
        <v>2010</v>
      </c>
      <c r="G109">
        <v>2010</v>
      </c>
      <c r="H109">
        <v>2010</v>
      </c>
      <c r="I109">
        <v>2010</v>
      </c>
      <c r="J109">
        <v>2010</v>
      </c>
      <c r="K109">
        <v>2010</v>
      </c>
      <c r="L109">
        <v>2010</v>
      </c>
      <c r="M109">
        <v>2010</v>
      </c>
      <c r="N109">
        <v>2010</v>
      </c>
      <c r="O109">
        <v>2010</v>
      </c>
      <c r="P109">
        <v>2010</v>
      </c>
      <c r="Q109">
        <v>2010</v>
      </c>
      <c r="R109">
        <v>2010</v>
      </c>
      <c r="S109">
        <v>2010</v>
      </c>
      <c r="T109">
        <v>2010</v>
      </c>
      <c r="U109">
        <v>2010</v>
      </c>
      <c r="V109">
        <v>2010</v>
      </c>
      <c r="W109">
        <v>2010</v>
      </c>
      <c r="X109">
        <v>2010</v>
      </c>
      <c r="Y109">
        <v>2010</v>
      </c>
      <c r="Z109">
        <v>2010</v>
      </c>
      <c r="AA109">
        <v>2010</v>
      </c>
      <c r="AB109">
        <v>2010</v>
      </c>
      <c r="AC109">
        <v>2010</v>
      </c>
      <c r="AD109">
        <v>2010</v>
      </c>
      <c r="AE109">
        <v>2010</v>
      </c>
      <c r="AF109">
        <v>2010</v>
      </c>
      <c r="AG109">
        <v>2010</v>
      </c>
    </row>
    <row r="110" spans="1:33" x14ac:dyDescent="0.25">
      <c r="A110">
        <v>10145202</v>
      </c>
      <c r="B110" t="s">
        <v>11</v>
      </c>
      <c r="C110">
        <v>2010</v>
      </c>
      <c r="D110">
        <v>2010</v>
      </c>
      <c r="E110">
        <v>2010</v>
      </c>
      <c r="F110">
        <v>2010</v>
      </c>
      <c r="G110">
        <v>2010</v>
      </c>
      <c r="H110">
        <v>2010</v>
      </c>
      <c r="I110">
        <v>2010</v>
      </c>
      <c r="J110">
        <v>2010</v>
      </c>
      <c r="K110">
        <v>2010</v>
      </c>
      <c r="L110">
        <v>2010</v>
      </c>
      <c r="M110">
        <v>2010</v>
      </c>
      <c r="N110">
        <v>2010</v>
      </c>
      <c r="O110">
        <v>2010</v>
      </c>
      <c r="P110">
        <v>2010</v>
      </c>
      <c r="Q110">
        <v>2010</v>
      </c>
      <c r="R110">
        <v>2010</v>
      </c>
      <c r="S110">
        <v>2010</v>
      </c>
      <c r="T110">
        <v>2010</v>
      </c>
      <c r="U110">
        <v>2010</v>
      </c>
      <c r="V110">
        <v>2010</v>
      </c>
      <c r="W110">
        <v>2010</v>
      </c>
      <c r="X110">
        <v>2010</v>
      </c>
      <c r="Y110">
        <v>2010</v>
      </c>
      <c r="Z110">
        <v>2010</v>
      </c>
      <c r="AA110">
        <v>2010</v>
      </c>
      <c r="AB110">
        <v>2010</v>
      </c>
      <c r="AC110">
        <v>2010</v>
      </c>
      <c r="AD110">
        <v>2010</v>
      </c>
      <c r="AE110">
        <v>2010</v>
      </c>
      <c r="AF110">
        <v>2010</v>
      </c>
      <c r="AG110">
        <v>2010</v>
      </c>
    </row>
    <row r="111" spans="1:33" x14ac:dyDescent="0.25">
      <c r="A111">
        <v>10158770</v>
      </c>
      <c r="B111" t="s">
        <v>11</v>
      </c>
      <c r="C111">
        <v>2010</v>
      </c>
      <c r="D111">
        <v>2010</v>
      </c>
      <c r="E111">
        <v>2010</v>
      </c>
      <c r="F111">
        <v>2010</v>
      </c>
      <c r="G111">
        <v>2010</v>
      </c>
      <c r="H111">
        <v>2010</v>
      </c>
      <c r="I111">
        <v>2010</v>
      </c>
      <c r="J111">
        <v>2010</v>
      </c>
      <c r="K111">
        <v>2010</v>
      </c>
      <c r="L111">
        <v>2010</v>
      </c>
      <c r="M111">
        <v>2010</v>
      </c>
      <c r="N111">
        <v>2010</v>
      </c>
      <c r="O111">
        <v>2010</v>
      </c>
      <c r="P111">
        <v>2010</v>
      </c>
      <c r="Q111">
        <v>2010</v>
      </c>
      <c r="R111">
        <v>2010</v>
      </c>
      <c r="S111">
        <v>2010</v>
      </c>
      <c r="T111">
        <v>2010</v>
      </c>
      <c r="U111">
        <v>2010</v>
      </c>
      <c r="V111">
        <v>2010</v>
      </c>
      <c r="W111">
        <v>2010</v>
      </c>
      <c r="X111">
        <v>2010</v>
      </c>
      <c r="Y111">
        <v>2010</v>
      </c>
      <c r="Z111">
        <v>2010</v>
      </c>
      <c r="AA111">
        <v>2010</v>
      </c>
      <c r="AB111">
        <v>2010</v>
      </c>
      <c r="AC111">
        <v>2010</v>
      </c>
      <c r="AD111">
        <v>2010</v>
      </c>
      <c r="AE111">
        <v>2010</v>
      </c>
      <c r="AF111">
        <v>2010</v>
      </c>
      <c r="AG111">
        <v>2010</v>
      </c>
    </row>
    <row r="112" spans="1:33" x14ac:dyDescent="0.25">
      <c r="A112">
        <v>10162949</v>
      </c>
      <c r="B112" t="s">
        <v>11</v>
      </c>
      <c r="C112">
        <v>2010</v>
      </c>
      <c r="D112">
        <v>2010</v>
      </c>
      <c r="E112">
        <v>2010</v>
      </c>
      <c r="F112">
        <v>2010</v>
      </c>
      <c r="G112">
        <v>2010</v>
      </c>
      <c r="H112">
        <v>2010</v>
      </c>
      <c r="I112">
        <v>2010</v>
      </c>
      <c r="J112">
        <v>2010</v>
      </c>
      <c r="K112">
        <v>2010</v>
      </c>
      <c r="L112">
        <v>2010</v>
      </c>
      <c r="M112">
        <v>2010</v>
      </c>
      <c r="N112">
        <v>2010</v>
      </c>
      <c r="O112">
        <v>2010</v>
      </c>
      <c r="P112">
        <v>2010</v>
      </c>
      <c r="Q112">
        <v>2010</v>
      </c>
      <c r="R112">
        <v>2010</v>
      </c>
      <c r="S112">
        <v>2010</v>
      </c>
      <c r="T112">
        <v>2010</v>
      </c>
      <c r="U112">
        <v>2010</v>
      </c>
      <c r="V112">
        <v>2010</v>
      </c>
      <c r="W112">
        <v>2010</v>
      </c>
      <c r="X112">
        <v>2010</v>
      </c>
      <c r="Y112">
        <v>2010</v>
      </c>
      <c r="Z112">
        <v>2010</v>
      </c>
      <c r="AA112">
        <v>2010</v>
      </c>
      <c r="AB112">
        <v>2010</v>
      </c>
      <c r="AC112">
        <v>2010</v>
      </c>
      <c r="AD112">
        <v>2010</v>
      </c>
      <c r="AE112">
        <v>2010</v>
      </c>
      <c r="AF112">
        <v>2010</v>
      </c>
      <c r="AG112">
        <v>2010</v>
      </c>
    </row>
    <row r="113" spans="1:33" x14ac:dyDescent="0.25">
      <c r="A113">
        <v>10171633</v>
      </c>
      <c r="B113" t="s">
        <v>11</v>
      </c>
      <c r="C113">
        <v>2010</v>
      </c>
      <c r="D113">
        <v>2010</v>
      </c>
      <c r="E113">
        <v>2010</v>
      </c>
      <c r="F113">
        <v>2010</v>
      </c>
      <c r="G113">
        <v>2010</v>
      </c>
      <c r="H113">
        <v>2010</v>
      </c>
      <c r="I113">
        <v>2010</v>
      </c>
      <c r="J113">
        <v>2010</v>
      </c>
      <c r="K113">
        <v>2010</v>
      </c>
      <c r="L113">
        <v>2010</v>
      </c>
      <c r="M113">
        <v>2010</v>
      </c>
      <c r="N113">
        <v>2010</v>
      </c>
      <c r="O113">
        <v>2010</v>
      </c>
      <c r="P113">
        <v>2010</v>
      </c>
      <c r="Q113">
        <v>2010</v>
      </c>
      <c r="R113">
        <v>2010</v>
      </c>
      <c r="S113">
        <v>2010</v>
      </c>
      <c r="T113">
        <v>2010</v>
      </c>
      <c r="U113">
        <v>2010</v>
      </c>
      <c r="V113">
        <v>2010</v>
      </c>
      <c r="W113">
        <v>2010</v>
      </c>
      <c r="X113">
        <v>2010</v>
      </c>
      <c r="Y113">
        <v>2010</v>
      </c>
      <c r="Z113">
        <v>2010</v>
      </c>
      <c r="AA113">
        <v>2010</v>
      </c>
      <c r="AB113">
        <v>2010</v>
      </c>
      <c r="AC113">
        <v>2010</v>
      </c>
      <c r="AD113">
        <v>2010</v>
      </c>
      <c r="AE113">
        <v>2010</v>
      </c>
      <c r="AF113">
        <v>2010</v>
      </c>
      <c r="AG113">
        <v>2010</v>
      </c>
    </row>
    <row r="114" spans="1:33" x14ac:dyDescent="0.25">
      <c r="A114">
        <v>11005762</v>
      </c>
      <c r="B114" t="s">
        <v>11</v>
      </c>
      <c r="C114">
        <v>2010</v>
      </c>
      <c r="D114">
        <v>2010</v>
      </c>
      <c r="E114">
        <v>2010</v>
      </c>
      <c r="F114">
        <v>2010</v>
      </c>
      <c r="G114">
        <v>2010</v>
      </c>
      <c r="H114">
        <v>2010</v>
      </c>
      <c r="I114">
        <v>2010</v>
      </c>
      <c r="J114">
        <v>2010</v>
      </c>
      <c r="K114">
        <v>2010</v>
      </c>
      <c r="L114">
        <v>2010</v>
      </c>
      <c r="M114">
        <v>2010</v>
      </c>
      <c r="N114">
        <v>2010</v>
      </c>
      <c r="O114">
        <v>2010</v>
      </c>
      <c r="P114">
        <v>2010</v>
      </c>
      <c r="Q114">
        <v>2010</v>
      </c>
      <c r="R114">
        <v>2010</v>
      </c>
      <c r="S114">
        <v>2010</v>
      </c>
      <c r="T114">
        <v>2010</v>
      </c>
      <c r="U114">
        <v>2010</v>
      </c>
      <c r="V114">
        <v>2010</v>
      </c>
      <c r="W114">
        <v>2010</v>
      </c>
      <c r="X114">
        <v>2010</v>
      </c>
      <c r="Y114">
        <v>2010</v>
      </c>
      <c r="Z114">
        <v>2010</v>
      </c>
      <c r="AA114">
        <v>2010</v>
      </c>
      <c r="AB114">
        <v>2010</v>
      </c>
      <c r="AC114">
        <v>2010</v>
      </c>
      <c r="AD114">
        <v>2010</v>
      </c>
      <c r="AE114">
        <v>2010</v>
      </c>
      <c r="AF114">
        <v>2010</v>
      </c>
      <c r="AG114">
        <v>2010</v>
      </c>
    </row>
    <row r="115" spans="1:33" x14ac:dyDescent="0.25">
      <c r="A115" t="s">
        <v>14</v>
      </c>
      <c r="B115" t="s">
        <v>11</v>
      </c>
      <c r="C115">
        <v>2010</v>
      </c>
      <c r="D115">
        <v>2010</v>
      </c>
      <c r="E115">
        <v>2010</v>
      </c>
      <c r="F115">
        <v>2010</v>
      </c>
      <c r="G115">
        <v>2010</v>
      </c>
      <c r="H115">
        <v>2010</v>
      </c>
      <c r="I115">
        <v>2010</v>
      </c>
      <c r="J115">
        <v>2010</v>
      </c>
      <c r="K115">
        <v>2010</v>
      </c>
      <c r="L115">
        <v>2010</v>
      </c>
      <c r="M115">
        <v>2010</v>
      </c>
      <c r="N115">
        <v>2010</v>
      </c>
      <c r="O115">
        <v>2010</v>
      </c>
      <c r="P115">
        <v>2010</v>
      </c>
      <c r="Q115">
        <v>2010</v>
      </c>
      <c r="R115">
        <v>2010</v>
      </c>
      <c r="S115">
        <v>2010</v>
      </c>
      <c r="T115">
        <v>2010</v>
      </c>
      <c r="U115">
        <v>2010</v>
      </c>
      <c r="V115">
        <v>2010</v>
      </c>
      <c r="W115">
        <v>2010</v>
      </c>
      <c r="X115">
        <v>2010</v>
      </c>
      <c r="Y115">
        <v>2010</v>
      </c>
      <c r="Z115">
        <v>2010</v>
      </c>
      <c r="AA115">
        <v>2010</v>
      </c>
      <c r="AB115">
        <v>2010</v>
      </c>
      <c r="AC115">
        <v>2010</v>
      </c>
      <c r="AD115">
        <v>2010</v>
      </c>
      <c r="AE115">
        <v>2010</v>
      </c>
      <c r="AF115">
        <v>2010</v>
      </c>
      <c r="AG115">
        <v>2010</v>
      </c>
    </row>
    <row r="116" spans="1:33" x14ac:dyDescent="0.25">
      <c r="A116">
        <v>11018341</v>
      </c>
      <c r="B116" t="s">
        <v>11</v>
      </c>
      <c r="C116">
        <v>2010</v>
      </c>
      <c r="D116">
        <v>2010</v>
      </c>
      <c r="E116">
        <v>2010</v>
      </c>
      <c r="F116">
        <v>2010</v>
      </c>
      <c r="G116">
        <v>2010</v>
      </c>
      <c r="H116">
        <v>2010</v>
      </c>
      <c r="I116">
        <v>2010</v>
      </c>
      <c r="J116">
        <v>2010</v>
      </c>
      <c r="K116">
        <v>2010</v>
      </c>
      <c r="L116">
        <v>2010</v>
      </c>
      <c r="M116">
        <v>2010</v>
      </c>
      <c r="N116">
        <v>2010</v>
      </c>
      <c r="O116">
        <v>2010</v>
      </c>
      <c r="P116">
        <v>2010</v>
      </c>
      <c r="Q116">
        <v>2010</v>
      </c>
      <c r="R116">
        <v>2010</v>
      </c>
      <c r="S116">
        <v>2010</v>
      </c>
      <c r="T116">
        <v>2010</v>
      </c>
      <c r="U116">
        <v>2010</v>
      </c>
      <c r="V116">
        <v>2010</v>
      </c>
      <c r="W116">
        <v>2010</v>
      </c>
      <c r="X116">
        <v>2010</v>
      </c>
      <c r="Y116">
        <v>2010</v>
      </c>
      <c r="Z116">
        <v>2010</v>
      </c>
      <c r="AA116">
        <v>2010</v>
      </c>
      <c r="AB116">
        <v>2010</v>
      </c>
      <c r="AC116">
        <v>2010</v>
      </c>
      <c r="AD116">
        <v>2010</v>
      </c>
      <c r="AE116">
        <v>2010</v>
      </c>
      <c r="AF116">
        <v>2010</v>
      </c>
      <c r="AG116">
        <v>2010</v>
      </c>
    </row>
    <row r="117" spans="1:33" x14ac:dyDescent="0.25">
      <c r="A117">
        <v>11021445</v>
      </c>
      <c r="B117" t="s">
        <v>11</v>
      </c>
      <c r="C117">
        <v>2011</v>
      </c>
      <c r="D117">
        <v>2011</v>
      </c>
      <c r="E117">
        <v>2011</v>
      </c>
      <c r="F117">
        <v>2011</v>
      </c>
      <c r="G117">
        <v>2011</v>
      </c>
      <c r="H117">
        <v>2011</v>
      </c>
      <c r="I117">
        <v>2011</v>
      </c>
      <c r="J117">
        <v>2011</v>
      </c>
      <c r="K117">
        <v>2011</v>
      </c>
      <c r="L117">
        <v>2011</v>
      </c>
      <c r="M117">
        <v>2011</v>
      </c>
      <c r="N117">
        <v>2011</v>
      </c>
      <c r="O117">
        <v>2011</v>
      </c>
      <c r="P117">
        <v>2011</v>
      </c>
      <c r="Q117">
        <v>2011</v>
      </c>
      <c r="R117">
        <v>2011</v>
      </c>
      <c r="S117">
        <v>2011</v>
      </c>
      <c r="T117">
        <v>2011</v>
      </c>
      <c r="U117">
        <v>2011</v>
      </c>
      <c r="V117">
        <v>2011</v>
      </c>
      <c r="W117">
        <v>2011</v>
      </c>
      <c r="X117">
        <v>2011</v>
      </c>
      <c r="Y117">
        <v>2011</v>
      </c>
      <c r="Z117">
        <v>2011</v>
      </c>
      <c r="AA117">
        <v>2011</v>
      </c>
      <c r="AB117">
        <v>2011</v>
      </c>
      <c r="AC117">
        <v>2011</v>
      </c>
      <c r="AD117">
        <v>2011</v>
      </c>
      <c r="AE117">
        <v>2011</v>
      </c>
      <c r="AF117">
        <v>2011</v>
      </c>
      <c r="AG117">
        <v>2011</v>
      </c>
    </row>
    <row r="118" spans="1:33" x14ac:dyDescent="0.25">
      <c r="A118">
        <v>11025151</v>
      </c>
      <c r="B118" t="s">
        <v>11</v>
      </c>
      <c r="C118">
        <v>2010</v>
      </c>
      <c r="D118">
        <v>2010</v>
      </c>
      <c r="E118">
        <v>2010</v>
      </c>
      <c r="F118">
        <v>2010</v>
      </c>
      <c r="G118">
        <v>2010</v>
      </c>
      <c r="H118">
        <v>2010</v>
      </c>
      <c r="I118">
        <v>2010</v>
      </c>
      <c r="J118">
        <v>2010</v>
      </c>
      <c r="K118">
        <v>2010</v>
      </c>
      <c r="L118">
        <v>2010</v>
      </c>
      <c r="M118">
        <v>2010</v>
      </c>
      <c r="N118">
        <v>2010</v>
      </c>
      <c r="O118">
        <v>2010</v>
      </c>
      <c r="P118">
        <v>2010</v>
      </c>
      <c r="Q118">
        <v>2010</v>
      </c>
      <c r="R118">
        <v>2010</v>
      </c>
      <c r="S118">
        <v>2010</v>
      </c>
      <c r="T118">
        <v>2010</v>
      </c>
      <c r="U118">
        <v>2010</v>
      </c>
      <c r="V118">
        <v>2010</v>
      </c>
      <c r="W118">
        <v>2010</v>
      </c>
      <c r="X118">
        <v>2010</v>
      </c>
      <c r="Y118">
        <v>2010</v>
      </c>
      <c r="Z118">
        <v>2010</v>
      </c>
      <c r="AA118">
        <v>2010</v>
      </c>
      <c r="AB118">
        <v>2010</v>
      </c>
      <c r="AC118">
        <v>2010</v>
      </c>
      <c r="AD118">
        <v>2010</v>
      </c>
      <c r="AE118">
        <v>2010</v>
      </c>
      <c r="AF118">
        <v>2010</v>
      </c>
      <c r="AG118">
        <v>2010</v>
      </c>
    </row>
    <row r="119" spans="1:33" x14ac:dyDescent="0.25">
      <c r="A119">
        <v>11039110</v>
      </c>
      <c r="B119" t="s">
        <v>11</v>
      </c>
      <c r="C119">
        <v>2011</v>
      </c>
      <c r="D119">
        <v>2011</v>
      </c>
      <c r="E119">
        <v>2011</v>
      </c>
      <c r="F119">
        <v>2011</v>
      </c>
      <c r="G119">
        <v>2011</v>
      </c>
      <c r="H119">
        <v>2011</v>
      </c>
      <c r="I119">
        <v>2011</v>
      </c>
      <c r="J119">
        <v>2011</v>
      </c>
      <c r="K119">
        <v>2011</v>
      </c>
      <c r="L119">
        <v>2011</v>
      </c>
      <c r="M119">
        <v>2011</v>
      </c>
      <c r="N119">
        <v>2011</v>
      </c>
      <c r="O119">
        <v>2011</v>
      </c>
      <c r="P119">
        <v>2011</v>
      </c>
      <c r="Q119">
        <v>2011</v>
      </c>
      <c r="R119">
        <v>2011</v>
      </c>
      <c r="S119">
        <v>2011</v>
      </c>
      <c r="T119">
        <v>2011</v>
      </c>
      <c r="U119">
        <v>2011</v>
      </c>
      <c r="V119">
        <v>2011</v>
      </c>
      <c r="W119">
        <v>2011</v>
      </c>
      <c r="X119">
        <v>2011</v>
      </c>
      <c r="Y119">
        <v>2011</v>
      </c>
      <c r="Z119">
        <v>2011</v>
      </c>
      <c r="AA119">
        <v>2011</v>
      </c>
      <c r="AB119">
        <v>2011</v>
      </c>
      <c r="AC119">
        <v>2011</v>
      </c>
      <c r="AD119">
        <v>2011</v>
      </c>
      <c r="AE119">
        <v>2011</v>
      </c>
      <c r="AF119">
        <v>2011</v>
      </c>
      <c r="AG119">
        <v>2011</v>
      </c>
    </row>
    <row r="120" spans="1:33" x14ac:dyDescent="0.25">
      <c r="A120">
        <v>11108410</v>
      </c>
      <c r="B120" t="s">
        <v>11</v>
      </c>
      <c r="C120">
        <v>2010</v>
      </c>
      <c r="D120">
        <v>2010</v>
      </c>
      <c r="E120">
        <v>2010</v>
      </c>
      <c r="F120">
        <v>2010</v>
      </c>
      <c r="G120">
        <v>2010</v>
      </c>
      <c r="H120">
        <v>2010</v>
      </c>
      <c r="I120">
        <v>2010</v>
      </c>
      <c r="J120">
        <v>2010</v>
      </c>
      <c r="K120">
        <v>2010</v>
      </c>
      <c r="L120">
        <v>2010</v>
      </c>
      <c r="M120">
        <v>2010</v>
      </c>
      <c r="N120">
        <v>2010</v>
      </c>
      <c r="O120">
        <v>2010</v>
      </c>
      <c r="P120">
        <v>2010</v>
      </c>
      <c r="Q120">
        <v>2010</v>
      </c>
      <c r="R120">
        <v>2010</v>
      </c>
      <c r="S120">
        <v>2010</v>
      </c>
      <c r="T120">
        <v>2010</v>
      </c>
      <c r="U120">
        <v>2010</v>
      </c>
      <c r="V120">
        <v>2010</v>
      </c>
      <c r="W120">
        <v>2010</v>
      </c>
      <c r="X120">
        <v>2010</v>
      </c>
      <c r="Y120">
        <v>2010</v>
      </c>
      <c r="Z120">
        <v>2010</v>
      </c>
      <c r="AA120">
        <v>2010</v>
      </c>
      <c r="AB120">
        <v>2010</v>
      </c>
      <c r="AC120">
        <v>2010</v>
      </c>
      <c r="AD120">
        <v>2010</v>
      </c>
      <c r="AE120">
        <v>2010</v>
      </c>
      <c r="AF120">
        <v>2010</v>
      </c>
      <c r="AG120">
        <v>2010</v>
      </c>
    </row>
    <row r="121" spans="1:33" x14ac:dyDescent="0.25">
      <c r="A121">
        <v>11139605</v>
      </c>
      <c r="B121" t="s">
        <v>11</v>
      </c>
      <c r="C121">
        <v>2011</v>
      </c>
      <c r="D121">
        <v>2011</v>
      </c>
      <c r="E121">
        <v>2011</v>
      </c>
      <c r="F121">
        <v>2011</v>
      </c>
      <c r="G121">
        <v>2011</v>
      </c>
      <c r="H121">
        <v>2011</v>
      </c>
      <c r="I121">
        <v>2011</v>
      </c>
      <c r="J121">
        <v>2011</v>
      </c>
      <c r="K121">
        <v>2011</v>
      </c>
      <c r="L121">
        <v>2011</v>
      </c>
      <c r="M121">
        <v>2011</v>
      </c>
      <c r="N121">
        <v>2011</v>
      </c>
      <c r="O121">
        <v>2011</v>
      </c>
      <c r="P121">
        <v>2011</v>
      </c>
      <c r="Q121">
        <v>2011</v>
      </c>
      <c r="R121">
        <v>2011</v>
      </c>
      <c r="S121">
        <v>2011</v>
      </c>
      <c r="T121">
        <v>2011</v>
      </c>
      <c r="U121">
        <v>2011</v>
      </c>
      <c r="V121">
        <v>2011</v>
      </c>
      <c r="W121">
        <v>2011</v>
      </c>
      <c r="X121">
        <v>2011</v>
      </c>
      <c r="Y121">
        <v>2011</v>
      </c>
      <c r="Z121">
        <v>2011</v>
      </c>
      <c r="AA121">
        <v>2011</v>
      </c>
      <c r="AB121">
        <v>2011</v>
      </c>
      <c r="AC121">
        <v>2011</v>
      </c>
      <c r="AD121">
        <v>2011</v>
      </c>
      <c r="AE121">
        <v>2011</v>
      </c>
      <c r="AF121">
        <v>2011</v>
      </c>
      <c r="AG121">
        <v>2011</v>
      </c>
    </row>
    <row r="122" spans="1:33" x14ac:dyDescent="0.25">
      <c r="A122">
        <v>11201694</v>
      </c>
      <c r="B122" t="s">
        <v>11</v>
      </c>
      <c r="C122">
        <v>2011</v>
      </c>
      <c r="D122">
        <v>2011</v>
      </c>
      <c r="E122">
        <v>2011</v>
      </c>
      <c r="F122">
        <v>2011</v>
      </c>
      <c r="G122">
        <v>2011</v>
      </c>
      <c r="H122">
        <v>2011</v>
      </c>
      <c r="I122">
        <v>2011</v>
      </c>
      <c r="J122">
        <v>2011</v>
      </c>
      <c r="K122">
        <v>2011</v>
      </c>
      <c r="L122">
        <v>2011</v>
      </c>
      <c r="M122">
        <v>2011</v>
      </c>
      <c r="N122">
        <v>2011</v>
      </c>
      <c r="O122">
        <v>2011</v>
      </c>
      <c r="P122">
        <v>2011</v>
      </c>
      <c r="Q122">
        <v>2011</v>
      </c>
      <c r="R122">
        <v>2011</v>
      </c>
      <c r="S122">
        <v>2011</v>
      </c>
      <c r="T122">
        <v>2011</v>
      </c>
      <c r="U122">
        <v>2011</v>
      </c>
      <c r="V122">
        <v>2011</v>
      </c>
      <c r="W122">
        <v>2011</v>
      </c>
      <c r="X122">
        <v>2011</v>
      </c>
      <c r="Y122">
        <v>2011</v>
      </c>
      <c r="Z122">
        <v>2011</v>
      </c>
      <c r="AA122">
        <v>2011</v>
      </c>
      <c r="AB122">
        <v>2011</v>
      </c>
      <c r="AC122">
        <v>2011</v>
      </c>
      <c r="AD122">
        <v>2011</v>
      </c>
      <c r="AE122">
        <v>2011</v>
      </c>
      <c r="AF122">
        <v>2011</v>
      </c>
      <c r="AG122">
        <v>2011</v>
      </c>
    </row>
    <row r="123" spans="1:33" x14ac:dyDescent="0.25">
      <c r="A123">
        <v>11242543</v>
      </c>
      <c r="B123" t="s">
        <v>11</v>
      </c>
      <c r="C123">
        <v>2011</v>
      </c>
      <c r="D123">
        <v>2011</v>
      </c>
      <c r="E123">
        <v>2011</v>
      </c>
      <c r="F123">
        <v>2011</v>
      </c>
      <c r="G123">
        <v>2011</v>
      </c>
      <c r="H123">
        <v>2011</v>
      </c>
      <c r="I123">
        <v>2011</v>
      </c>
      <c r="J123">
        <v>2011</v>
      </c>
      <c r="K123">
        <v>2011</v>
      </c>
      <c r="L123">
        <v>2011</v>
      </c>
      <c r="M123">
        <v>2011</v>
      </c>
      <c r="N123">
        <v>2011</v>
      </c>
      <c r="O123">
        <v>2011</v>
      </c>
      <c r="P123">
        <v>2011</v>
      </c>
      <c r="Q123">
        <v>2011</v>
      </c>
      <c r="R123">
        <v>2011</v>
      </c>
      <c r="S123">
        <v>2011</v>
      </c>
      <c r="T123">
        <v>2011</v>
      </c>
      <c r="U123">
        <v>2011</v>
      </c>
      <c r="V123">
        <v>2011</v>
      </c>
      <c r="W123">
        <v>2011</v>
      </c>
      <c r="X123">
        <v>2011</v>
      </c>
      <c r="Y123">
        <v>2011</v>
      </c>
      <c r="Z123">
        <v>2011</v>
      </c>
      <c r="AA123">
        <v>2011</v>
      </c>
      <c r="AB123">
        <v>2011</v>
      </c>
      <c r="AC123">
        <v>2011</v>
      </c>
      <c r="AD123">
        <v>2011</v>
      </c>
      <c r="AE123">
        <v>2011</v>
      </c>
      <c r="AF123">
        <v>2011</v>
      </c>
      <c r="AG123">
        <v>2011</v>
      </c>
    </row>
    <row r="124" spans="1:33" x14ac:dyDescent="0.25">
      <c r="A124">
        <v>11247293</v>
      </c>
      <c r="B124" t="s">
        <v>11</v>
      </c>
      <c r="C124">
        <v>2011</v>
      </c>
      <c r="D124">
        <v>2011</v>
      </c>
      <c r="E124">
        <v>2011</v>
      </c>
      <c r="F124">
        <v>2011</v>
      </c>
      <c r="G124">
        <v>2011</v>
      </c>
      <c r="H124">
        <v>2011</v>
      </c>
      <c r="I124">
        <v>2011</v>
      </c>
      <c r="J124">
        <v>2011</v>
      </c>
      <c r="K124">
        <v>2011</v>
      </c>
      <c r="L124">
        <v>2011</v>
      </c>
      <c r="M124">
        <v>2011</v>
      </c>
      <c r="N124">
        <v>2011</v>
      </c>
      <c r="O124">
        <v>2011</v>
      </c>
      <c r="P124">
        <v>2011</v>
      </c>
      <c r="Q124">
        <v>2011</v>
      </c>
      <c r="R124">
        <v>2011</v>
      </c>
      <c r="S124">
        <v>2011</v>
      </c>
      <c r="T124">
        <v>2011</v>
      </c>
      <c r="U124">
        <v>2011</v>
      </c>
      <c r="V124">
        <v>2011</v>
      </c>
      <c r="W124">
        <v>2011</v>
      </c>
      <c r="X124">
        <v>2011</v>
      </c>
      <c r="Y124">
        <v>2011</v>
      </c>
      <c r="Z124">
        <v>2011</v>
      </c>
      <c r="AA124">
        <v>2011</v>
      </c>
      <c r="AB124">
        <v>2011</v>
      </c>
      <c r="AC124">
        <v>2011</v>
      </c>
      <c r="AD124">
        <v>2011</v>
      </c>
      <c r="AE124">
        <v>2011</v>
      </c>
      <c r="AF124">
        <v>2011</v>
      </c>
      <c r="AG124">
        <v>2011</v>
      </c>
    </row>
    <row r="125" spans="1:33" x14ac:dyDescent="0.25">
      <c r="A125">
        <v>12006449</v>
      </c>
      <c r="B125" t="s">
        <v>11</v>
      </c>
      <c r="C125">
        <v>2011</v>
      </c>
      <c r="D125">
        <v>2011</v>
      </c>
      <c r="E125">
        <v>2011</v>
      </c>
      <c r="F125">
        <v>2011</v>
      </c>
      <c r="G125">
        <v>2011</v>
      </c>
      <c r="H125">
        <v>2011</v>
      </c>
      <c r="I125">
        <v>2011</v>
      </c>
      <c r="J125">
        <v>2011</v>
      </c>
      <c r="K125">
        <v>2011</v>
      </c>
      <c r="L125">
        <v>2011</v>
      </c>
      <c r="M125">
        <v>2011</v>
      </c>
      <c r="N125">
        <v>2011</v>
      </c>
      <c r="O125">
        <v>2011</v>
      </c>
      <c r="P125">
        <v>2011</v>
      </c>
      <c r="Q125">
        <v>2011</v>
      </c>
      <c r="R125">
        <v>2011</v>
      </c>
      <c r="S125">
        <v>2011</v>
      </c>
      <c r="T125">
        <v>2011</v>
      </c>
      <c r="U125">
        <v>2011</v>
      </c>
      <c r="V125">
        <v>2011</v>
      </c>
      <c r="W125">
        <v>2011</v>
      </c>
      <c r="X125">
        <v>2011</v>
      </c>
      <c r="Y125">
        <v>2011</v>
      </c>
      <c r="Z125">
        <v>2011</v>
      </c>
      <c r="AA125">
        <v>2011</v>
      </c>
      <c r="AB125">
        <v>2011</v>
      </c>
      <c r="AC125">
        <v>2011</v>
      </c>
      <c r="AD125">
        <v>2011</v>
      </c>
      <c r="AE125">
        <v>2011</v>
      </c>
      <c r="AF125">
        <v>2011</v>
      </c>
      <c r="AG125">
        <v>2011</v>
      </c>
    </row>
    <row r="126" spans="1:33" x14ac:dyDescent="0.25">
      <c r="A126">
        <v>12049136</v>
      </c>
      <c r="B126" t="s">
        <v>11</v>
      </c>
      <c r="C126">
        <v>2012</v>
      </c>
      <c r="D126">
        <v>2012</v>
      </c>
      <c r="E126">
        <v>2012</v>
      </c>
      <c r="F126">
        <v>2012</v>
      </c>
      <c r="G126">
        <v>2012</v>
      </c>
      <c r="H126">
        <v>2012</v>
      </c>
      <c r="I126">
        <v>2012</v>
      </c>
      <c r="J126">
        <v>2012</v>
      </c>
      <c r="K126">
        <v>2012</v>
      </c>
      <c r="L126">
        <v>2012</v>
      </c>
      <c r="M126">
        <v>2012</v>
      </c>
      <c r="N126">
        <v>2012</v>
      </c>
      <c r="O126">
        <v>2012</v>
      </c>
      <c r="P126">
        <v>2012</v>
      </c>
      <c r="Q126">
        <v>2012</v>
      </c>
      <c r="R126">
        <v>2012</v>
      </c>
      <c r="S126">
        <v>2012</v>
      </c>
      <c r="T126">
        <v>2012</v>
      </c>
      <c r="U126">
        <v>2012</v>
      </c>
      <c r="V126">
        <v>2012</v>
      </c>
      <c r="W126">
        <v>2012</v>
      </c>
      <c r="X126">
        <v>2012</v>
      </c>
      <c r="Y126">
        <v>2012</v>
      </c>
      <c r="Z126">
        <v>2012</v>
      </c>
      <c r="AA126">
        <v>2012</v>
      </c>
      <c r="AB126">
        <v>2012</v>
      </c>
      <c r="AC126">
        <v>2012</v>
      </c>
      <c r="AD126">
        <v>2012</v>
      </c>
      <c r="AE126">
        <v>2012</v>
      </c>
      <c r="AF126">
        <v>2012</v>
      </c>
      <c r="AG126">
        <v>2012</v>
      </c>
    </row>
    <row r="127" spans="1:33" x14ac:dyDescent="0.25">
      <c r="A127">
        <v>12087508</v>
      </c>
      <c r="B127" t="s">
        <v>11</v>
      </c>
      <c r="C127">
        <v>2011</v>
      </c>
      <c r="D127">
        <v>2011</v>
      </c>
      <c r="E127">
        <v>2011</v>
      </c>
      <c r="F127">
        <v>2011</v>
      </c>
      <c r="G127">
        <v>2011</v>
      </c>
      <c r="H127">
        <v>2011</v>
      </c>
      <c r="I127">
        <v>2011</v>
      </c>
      <c r="J127">
        <v>2011</v>
      </c>
      <c r="K127">
        <v>2011</v>
      </c>
      <c r="L127">
        <v>2011</v>
      </c>
      <c r="M127">
        <v>2011</v>
      </c>
      <c r="N127">
        <v>2011</v>
      </c>
      <c r="O127">
        <v>2011</v>
      </c>
      <c r="P127">
        <v>2011</v>
      </c>
      <c r="Q127">
        <v>2011</v>
      </c>
      <c r="R127">
        <v>2011</v>
      </c>
      <c r="S127">
        <v>2011</v>
      </c>
      <c r="T127">
        <v>2011</v>
      </c>
      <c r="U127">
        <v>2011</v>
      </c>
      <c r="V127">
        <v>2011</v>
      </c>
      <c r="W127">
        <v>2011</v>
      </c>
      <c r="X127">
        <v>2011</v>
      </c>
      <c r="Y127">
        <v>2011</v>
      </c>
      <c r="Z127">
        <v>2011</v>
      </c>
      <c r="AA127">
        <v>2011</v>
      </c>
      <c r="AB127">
        <v>2011</v>
      </c>
      <c r="AC127">
        <v>2011</v>
      </c>
      <c r="AD127">
        <v>2011</v>
      </c>
      <c r="AE127">
        <v>2011</v>
      </c>
      <c r="AF127">
        <v>2011</v>
      </c>
      <c r="AG127">
        <v>2011</v>
      </c>
    </row>
    <row r="128" spans="1:33" x14ac:dyDescent="0.25">
      <c r="A128">
        <v>12229481</v>
      </c>
      <c r="B128" t="s">
        <v>11</v>
      </c>
      <c r="C128">
        <v>2011</v>
      </c>
      <c r="D128">
        <v>2011</v>
      </c>
      <c r="E128">
        <v>2011</v>
      </c>
      <c r="F128">
        <v>2011</v>
      </c>
      <c r="G128">
        <v>2011</v>
      </c>
      <c r="H128">
        <v>2011</v>
      </c>
      <c r="I128">
        <v>2011</v>
      </c>
      <c r="J128">
        <v>2011</v>
      </c>
      <c r="K128">
        <v>2011</v>
      </c>
      <c r="L128">
        <v>2011</v>
      </c>
      <c r="M128">
        <v>2011</v>
      </c>
      <c r="N128">
        <v>2011</v>
      </c>
      <c r="O128">
        <v>2011</v>
      </c>
      <c r="P128">
        <v>2011</v>
      </c>
      <c r="Q128">
        <v>2011</v>
      </c>
      <c r="R128">
        <v>2011</v>
      </c>
      <c r="S128">
        <v>2011</v>
      </c>
      <c r="T128">
        <v>2011</v>
      </c>
      <c r="U128">
        <v>2011</v>
      </c>
      <c r="V128">
        <v>2011</v>
      </c>
      <c r="W128">
        <v>2011</v>
      </c>
      <c r="X128">
        <v>2011</v>
      </c>
      <c r="Y128">
        <v>2011</v>
      </c>
      <c r="Z128">
        <v>2011</v>
      </c>
      <c r="AA128">
        <v>2011</v>
      </c>
      <c r="AB128">
        <v>2011</v>
      </c>
      <c r="AC128">
        <v>2011</v>
      </c>
      <c r="AD128">
        <v>2011</v>
      </c>
      <c r="AE128">
        <v>2011</v>
      </c>
      <c r="AF128">
        <v>2011</v>
      </c>
      <c r="AG128">
        <v>2011</v>
      </c>
    </row>
    <row r="129" spans="1:33" x14ac:dyDescent="0.25">
      <c r="A129">
        <v>12258821</v>
      </c>
      <c r="B129" t="s">
        <v>11</v>
      </c>
      <c r="C129">
        <v>2011</v>
      </c>
      <c r="D129">
        <v>2011</v>
      </c>
      <c r="E129">
        <v>2011</v>
      </c>
      <c r="F129">
        <v>2011</v>
      </c>
      <c r="G129">
        <v>2011</v>
      </c>
      <c r="H129">
        <v>2011</v>
      </c>
      <c r="I129">
        <v>2011</v>
      </c>
      <c r="J129">
        <v>2011</v>
      </c>
      <c r="K129">
        <v>2011</v>
      </c>
      <c r="L129">
        <v>2011</v>
      </c>
      <c r="M129">
        <v>2011</v>
      </c>
      <c r="N129">
        <v>2011</v>
      </c>
      <c r="O129">
        <v>2011</v>
      </c>
      <c r="P129">
        <v>2011</v>
      </c>
      <c r="Q129">
        <v>2011</v>
      </c>
      <c r="R129">
        <v>2011</v>
      </c>
      <c r="S129">
        <v>2011</v>
      </c>
      <c r="T129">
        <v>2011</v>
      </c>
      <c r="U129">
        <v>2011</v>
      </c>
      <c r="V129">
        <v>2011</v>
      </c>
      <c r="W129">
        <v>2011</v>
      </c>
      <c r="X129">
        <v>2011</v>
      </c>
      <c r="Y129">
        <v>2011</v>
      </c>
      <c r="Z129">
        <v>2011</v>
      </c>
      <c r="AA129">
        <v>2011</v>
      </c>
      <c r="AB129">
        <v>2011</v>
      </c>
      <c r="AC129">
        <v>2011</v>
      </c>
      <c r="AD129">
        <v>2011</v>
      </c>
      <c r="AE129">
        <v>2011</v>
      </c>
      <c r="AF129">
        <v>2011</v>
      </c>
      <c r="AG129">
        <v>2011</v>
      </c>
    </row>
    <row r="130" spans="1:33" x14ac:dyDescent="0.25">
      <c r="A130">
        <v>12309729</v>
      </c>
      <c r="B130" t="s">
        <v>11</v>
      </c>
      <c r="C130">
        <v>2012</v>
      </c>
      <c r="D130">
        <v>2012</v>
      </c>
      <c r="E130">
        <v>2012</v>
      </c>
      <c r="F130">
        <v>2012</v>
      </c>
      <c r="G130">
        <v>2012</v>
      </c>
      <c r="H130">
        <v>2012</v>
      </c>
      <c r="I130">
        <v>2012</v>
      </c>
      <c r="J130">
        <v>2012</v>
      </c>
      <c r="K130">
        <v>2012</v>
      </c>
      <c r="L130">
        <v>2012</v>
      </c>
      <c r="M130">
        <v>2012</v>
      </c>
      <c r="N130">
        <v>2012</v>
      </c>
      <c r="O130">
        <v>2012</v>
      </c>
      <c r="P130">
        <v>2012</v>
      </c>
      <c r="Q130">
        <v>2012</v>
      </c>
      <c r="R130">
        <v>2012</v>
      </c>
      <c r="S130">
        <v>2012</v>
      </c>
      <c r="T130">
        <v>2012</v>
      </c>
      <c r="U130">
        <v>2012</v>
      </c>
      <c r="V130">
        <v>2012</v>
      </c>
      <c r="W130">
        <v>2012</v>
      </c>
      <c r="X130">
        <v>2012</v>
      </c>
      <c r="Y130">
        <v>2012</v>
      </c>
      <c r="Z130">
        <v>2012</v>
      </c>
      <c r="AA130">
        <v>2012</v>
      </c>
      <c r="AB130">
        <v>2012</v>
      </c>
      <c r="AC130">
        <v>2012</v>
      </c>
      <c r="AD130">
        <v>2012</v>
      </c>
      <c r="AE130">
        <v>2012</v>
      </c>
      <c r="AF130">
        <v>2012</v>
      </c>
      <c r="AG130">
        <v>2012</v>
      </c>
    </row>
    <row r="131" spans="1:33" x14ac:dyDescent="0.25">
      <c r="A131" t="s">
        <v>15</v>
      </c>
      <c r="B131" t="s">
        <v>11</v>
      </c>
      <c r="C131">
        <v>2012</v>
      </c>
      <c r="D131">
        <v>2012</v>
      </c>
      <c r="E131">
        <v>2012</v>
      </c>
      <c r="F131">
        <v>2012</v>
      </c>
      <c r="G131">
        <v>2012</v>
      </c>
      <c r="H131">
        <v>2012</v>
      </c>
      <c r="I131">
        <v>2012</v>
      </c>
      <c r="J131">
        <v>2012</v>
      </c>
      <c r="K131">
        <v>2012</v>
      </c>
      <c r="L131">
        <v>2012</v>
      </c>
      <c r="M131">
        <v>2012</v>
      </c>
      <c r="N131">
        <v>2012</v>
      </c>
      <c r="O131">
        <v>2012</v>
      </c>
      <c r="P131">
        <v>2012</v>
      </c>
      <c r="Q131">
        <v>2012</v>
      </c>
      <c r="R131">
        <v>2012</v>
      </c>
      <c r="S131">
        <v>2012</v>
      </c>
      <c r="T131">
        <v>2012</v>
      </c>
      <c r="U131">
        <v>2012</v>
      </c>
      <c r="V131">
        <v>2012</v>
      </c>
      <c r="W131">
        <v>2012</v>
      </c>
      <c r="X131">
        <v>2012</v>
      </c>
      <c r="Y131">
        <v>2012</v>
      </c>
      <c r="Z131">
        <v>2012</v>
      </c>
      <c r="AA131">
        <v>2012</v>
      </c>
      <c r="AB131">
        <v>2012</v>
      </c>
      <c r="AC131">
        <v>2012</v>
      </c>
      <c r="AD131">
        <v>2012</v>
      </c>
      <c r="AE131">
        <v>2012</v>
      </c>
      <c r="AF131">
        <v>2012</v>
      </c>
      <c r="AG131">
        <v>2012</v>
      </c>
    </row>
    <row r="132" spans="1:33" x14ac:dyDescent="0.25">
      <c r="A132">
        <v>13005942</v>
      </c>
      <c r="B132" t="s">
        <v>11</v>
      </c>
      <c r="C132">
        <v>2012</v>
      </c>
      <c r="D132">
        <v>2012</v>
      </c>
      <c r="E132">
        <v>2012</v>
      </c>
      <c r="F132">
        <v>2012</v>
      </c>
      <c r="G132">
        <v>2012</v>
      </c>
      <c r="H132">
        <v>2012</v>
      </c>
      <c r="I132">
        <v>2012</v>
      </c>
      <c r="J132">
        <v>2012</v>
      </c>
      <c r="K132">
        <v>2012</v>
      </c>
      <c r="L132">
        <v>2012</v>
      </c>
      <c r="M132">
        <v>2012</v>
      </c>
      <c r="N132">
        <v>2012</v>
      </c>
      <c r="O132">
        <v>2012</v>
      </c>
      <c r="P132">
        <v>2012</v>
      </c>
      <c r="Q132">
        <v>2012</v>
      </c>
      <c r="R132">
        <v>2012</v>
      </c>
      <c r="S132">
        <v>2012</v>
      </c>
      <c r="T132">
        <v>2012</v>
      </c>
      <c r="U132">
        <v>2012</v>
      </c>
      <c r="V132">
        <v>2012</v>
      </c>
      <c r="W132">
        <v>2012</v>
      </c>
      <c r="X132">
        <v>2012</v>
      </c>
      <c r="Y132">
        <v>2012</v>
      </c>
      <c r="Z132">
        <v>2012</v>
      </c>
      <c r="AA132">
        <v>2012</v>
      </c>
      <c r="AB132">
        <v>2012</v>
      </c>
      <c r="AC132">
        <v>2012</v>
      </c>
      <c r="AD132">
        <v>2012</v>
      </c>
      <c r="AE132">
        <v>2012</v>
      </c>
      <c r="AF132">
        <v>2012</v>
      </c>
      <c r="AG132">
        <v>2012</v>
      </c>
    </row>
    <row r="133" spans="1:33" x14ac:dyDescent="0.25">
      <c r="A133">
        <v>324</v>
      </c>
      <c r="B133" t="s">
        <v>11</v>
      </c>
      <c r="C133">
        <v>1998</v>
      </c>
      <c r="D133">
        <v>1998</v>
      </c>
      <c r="E133">
        <v>1998</v>
      </c>
      <c r="F133">
        <v>1998</v>
      </c>
      <c r="G133">
        <v>1998</v>
      </c>
      <c r="H133">
        <v>1998</v>
      </c>
      <c r="I133">
        <v>1998</v>
      </c>
      <c r="J133">
        <v>1998</v>
      </c>
      <c r="K133">
        <v>1998</v>
      </c>
      <c r="L133">
        <v>1998</v>
      </c>
      <c r="M133">
        <v>1998</v>
      </c>
      <c r="N133">
        <v>1998</v>
      </c>
      <c r="O133">
        <v>1998</v>
      </c>
      <c r="P133">
        <v>1998</v>
      </c>
      <c r="Q133">
        <v>1998</v>
      </c>
      <c r="R133">
        <v>1998</v>
      </c>
      <c r="S133">
        <v>1998</v>
      </c>
      <c r="T133">
        <v>1998</v>
      </c>
      <c r="U133">
        <v>1998</v>
      </c>
      <c r="V133">
        <v>1998</v>
      </c>
      <c r="W133">
        <v>1998</v>
      </c>
      <c r="X133">
        <v>1998</v>
      </c>
      <c r="Y133">
        <v>1998</v>
      </c>
      <c r="Z133">
        <v>1998</v>
      </c>
      <c r="AA133">
        <v>1998</v>
      </c>
      <c r="AB133">
        <v>1998</v>
      </c>
      <c r="AC133">
        <v>1998</v>
      </c>
      <c r="AD133">
        <v>1998</v>
      </c>
      <c r="AE133">
        <v>1998</v>
      </c>
      <c r="AF133">
        <v>1998</v>
      </c>
      <c r="AG133">
        <v>1998</v>
      </c>
    </row>
    <row r="134" spans="1:33" x14ac:dyDescent="0.25">
      <c r="A134">
        <v>3909</v>
      </c>
      <c r="B134" t="s">
        <v>11</v>
      </c>
      <c r="C134">
        <v>2000</v>
      </c>
      <c r="D134">
        <v>2000</v>
      </c>
      <c r="E134">
        <v>2000</v>
      </c>
      <c r="F134">
        <v>2000</v>
      </c>
      <c r="G134">
        <v>2000</v>
      </c>
      <c r="H134">
        <v>2000</v>
      </c>
      <c r="I134">
        <v>2000</v>
      </c>
      <c r="J134">
        <v>2000</v>
      </c>
      <c r="K134">
        <v>2000</v>
      </c>
      <c r="L134">
        <v>2000</v>
      </c>
      <c r="M134">
        <v>2000</v>
      </c>
      <c r="N134">
        <v>2000</v>
      </c>
      <c r="O134">
        <v>2000</v>
      </c>
      <c r="P134">
        <v>2000</v>
      </c>
      <c r="Q134">
        <v>2000</v>
      </c>
      <c r="R134">
        <v>2000</v>
      </c>
      <c r="S134">
        <v>2000</v>
      </c>
      <c r="T134">
        <v>2000</v>
      </c>
      <c r="U134">
        <v>2000</v>
      </c>
      <c r="V134">
        <v>2000</v>
      </c>
      <c r="W134">
        <v>2000</v>
      </c>
      <c r="X134">
        <v>2000</v>
      </c>
      <c r="Y134">
        <v>2000</v>
      </c>
      <c r="Z134">
        <v>2000</v>
      </c>
      <c r="AA134">
        <v>2000</v>
      </c>
      <c r="AB134">
        <v>2000</v>
      </c>
      <c r="AC134">
        <v>2000</v>
      </c>
      <c r="AD134">
        <v>2000</v>
      </c>
      <c r="AE134">
        <v>2000</v>
      </c>
      <c r="AF134">
        <v>2000</v>
      </c>
      <c r="AG134">
        <v>2000</v>
      </c>
    </row>
    <row r="135" spans="1:33" x14ac:dyDescent="0.25">
      <c r="A135">
        <v>4663</v>
      </c>
      <c r="B135" t="s">
        <v>11</v>
      </c>
      <c r="C135">
        <v>2000</v>
      </c>
      <c r="D135">
        <v>2000</v>
      </c>
      <c r="E135">
        <v>2000</v>
      </c>
      <c r="F135">
        <v>2000</v>
      </c>
      <c r="G135">
        <v>2000</v>
      </c>
      <c r="H135">
        <v>2000</v>
      </c>
      <c r="I135">
        <v>2000</v>
      </c>
      <c r="J135">
        <v>2000</v>
      </c>
      <c r="K135">
        <v>2000</v>
      </c>
      <c r="L135">
        <v>2000</v>
      </c>
      <c r="M135">
        <v>2000</v>
      </c>
      <c r="N135">
        <v>2000</v>
      </c>
      <c r="O135">
        <v>2000</v>
      </c>
      <c r="P135">
        <v>2000</v>
      </c>
      <c r="Q135">
        <v>2000</v>
      </c>
      <c r="R135">
        <v>2000</v>
      </c>
      <c r="S135">
        <v>2000</v>
      </c>
      <c r="T135">
        <v>2000</v>
      </c>
      <c r="U135">
        <v>2000</v>
      </c>
      <c r="V135">
        <v>2000</v>
      </c>
      <c r="W135">
        <v>2000</v>
      </c>
      <c r="X135">
        <v>2000</v>
      </c>
      <c r="Y135">
        <v>2000</v>
      </c>
      <c r="Z135">
        <v>2000</v>
      </c>
      <c r="AA135">
        <v>2000</v>
      </c>
      <c r="AB135">
        <v>2000</v>
      </c>
      <c r="AC135">
        <v>2000</v>
      </c>
      <c r="AD135">
        <v>2000</v>
      </c>
      <c r="AE135">
        <v>2000</v>
      </c>
      <c r="AF135">
        <v>2000</v>
      </c>
      <c r="AG135">
        <v>2000</v>
      </c>
    </row>
    <row r="136" spans="1:33" x14ac:dyDescent="0.25">
      <c r="A136">
        <v>1005522</v>
      </c>
      <c r="B136" t="s">
        <v>11</v>
      </c>
      <c r="C136">
        <v>2001</v>
      </c>
      <c r="D136">
        <v>2001</v>
      </c>
      <c r="E136">
        <v>2001</v>
      </c>
      <c r="F136">
        <v>2001</v>
      </c>
      <c r="G136">
        <v>2001</v>
      </c>
      <c r="H136">
        <v>2001</v>
      </c>
      <c r="I136">
        <v>2001</v>
      </c>
      <c r="J136">
        <v>2001</v>
      </c>
      <c r="K136">
        <v>2001</v>
      </c>
      <c r="L136">
        <v>2001</v>
      </c>
      <c r="M136">
        <v>2001</v>
      </c>
      <c r="N136">
        <v>2001</v>
      </c>
      <c r="O136">
        <v>2001</v>
      </c>
      <c r="P136">
        <v>2001</v>
      </c>
      <c r="Q136">
        <v>2001</v>
      </c>
      <c r="R136">
        <v>2001</v>
      </c>
      <c r="S136">
        <v>2001</v>
      </c>
      <c r="T136">
        <v>2001</v>
      </c>
      <c r="U136">
        <v>2001</v>
      </c>
      <c r="V136">
        <v>2001</v>
      </c>
      <c r="W136">
        <v>2001</v>
      </c>
      <c r="X136">
        <v>2001</v>
      </c>
      <c r="Y136">
        <v>2001</v>
      </c>
      <c r="Z136">
        <v>2001</v>
      </c>
      <c r="AA136">
        <v>2001</v>
      </c>
      <c r="AB136">
        <v>2001</v>
      </c>
      <c r="AC136">
        <v>2001</v>
      </c>
      <c r="AD136">
        <v>2001</v>
      </c>
      <c r="AE136">
        <v>2001</v>
      </c>
      <c r="AF136">
        <v>2001</v>
      </c>
      <c r="AG136">
        <v>2001</v>
      </c>
    </row>
    <row r="137" spans="1:33" x14ac:dyDescent="0.25">
      <c r="A137">
        <v>1007631</v>
      </c>
      <c r="B137" t="s">
        <v>11</v>
      </c>
      <c r="C137">
        <v>2001</v>
      </c>
      <c r="D137">
        <v>2001</v>
      </c>
      <c r="E137">
        <v>2001</v>
      </c>
      <c r="F137">
        <v>2001</v>
      </c>
      <c r="G137">
        <v>2001</v>
      </c>
      <c r="H137">
        <v>2001</v>
      </c>
      <c r="I137">
        <v>2001</v>
      </c>
      <c r="J137">
        <v>2001</v>
      </c>
      <c r="K137">
        <v>2001</v>
      </c>
      <c r="L137">
        <v>2001</v>
      </c>
      <c r="M137">
        <v>2001</v>
      </c>
      <c r="N137">
        <v>2001</v>
      </c>
      <c r="O137">
        <v>2001</v>
      </c>
      <c r="P137">
        <v>2001</v>
      </c>
      <c r="Q137">
        <v>2001</v>
      </c>
      <c r="R137">
        <v>2001</v>
      </c>
      <c r="S137">
        <v>2001</v>
      </c>
      <c r="T137">
        <v>2001</v>
      </c>
      <c r="U137">
        <v>2001</v>
      </c>
      <c r="V137">
        <v>2001</v>
      </c>
      <c r="W137">
        <v>2001</v>
      </c>
      <c r="X137">
        <v>2001</v>
      </c>
      <c r="Y137">
        <v>2001</v>
      </c>
      <c r="Z137">
        <v>2001</v>
      </c>
      <c r="AA137">
        <v>2001</v>
      </c>
      <c r="AB137">
        <v>2001</v>
      </c>
      <c r="AC137">
        <v>2001</v>
      </c>
      <c r="AD137">
        <v>2001</v>
      </c>
      <c r="AE137">
        <v>2001</v>
      </c>
      <c r="AF137">
        <v>2001</v>
      </c>
      <c r="AG137">
        <v>2001</v>
      </c>
    </row>
    <row r="138" spans="1:33" x14ac:dyDescent="0.25">
      <c r="A138">
        <v>1009760</v>
      </c>
      <c r="B138" t="s">
        <v>11</v>
      </c>
      <c r="C138">
        <v>2001</v>
      </c>
      <c r="D138">
        <v>2001</v>
      </c>
      <c r="E138">
        <v>2001</v>
      </c>
      <c r="F138">
        <v>2001</v>
      </c>
      <c r="G138">
        <v>2001</v>
      </c>
      <c r="H138">
        <v>2001</v>
      </c>
      <c r="I138">
        <v>2001</v>
      </c>
      <c r="J138">
        <v>2001</v>
      </c>
      <c r="K138">
        <v>2001</v>
      </c>
      <c r="L138">
        <v>2001</v>
      </c>
      <c r="M138">
        <v>2001</v>
      </c>
      <c r="N138">
        <v>2001</v>
      </c>
      <c r="O138">
        <v>2001</v>
      </c>
      <c r="P138">
        <v>2001</v>
      </c>
      <c r="Q138">
        <v>2001</v>
      </c>
      <c r="R138">
        <v>2001</v>
      </c>
      <c r="S138">
        <v>2001</v>
      </c>
      <c r="T138">
        <v>2001</v>
      </c>
      <c r="U138">
        <v>2001</v>
      </c>
      <c r="V138">
        <v>2001</v>
      </c>
      <c r="W138">
        <v>2001</v>
      </c>
      <c r="X138">
        <v>2001</v>
      </c>
      <c r="Y138">
        <v>2001</v>
      </c>
      <c r="Z138">
        <v>2001</v>
      </c>
      <c r="AA138">
        <v>2001</v>
      </c>
      <c r="AB138">
        <v>2001</v>
      </c>
      <c r="AC138">
        <v>2001</v>
      </c>
      <c r="AD138">
        <v>2001</v>
      </c>
      <c r="AE138">
        <v>2001</v>
      </c>
      <c r="AF138">
        <v>2001</v>
      </c>
      <c r="AG138">
        <v>2001</v>
      </c>
    </row>
    <row r="139" spans="1:33" x14ac:dyDescent="0.25">
      <c r="A139">
        <v>2000646</v>
      </c>
      <c r="B139" t="s">
        <v>11</v>
      </c>
      <c r="C139">
        <v>2002</v>
      </c>
      <c r="D139">
        <v>2002</v>
      </c>
      <c r="E139">
        <v>2002</v>
      </c>
      <c r="F139">
        <v>2002</v>
      </c>
      <c r="G139">
        <v>2002</v>
      </c>
      <c r="H139">
        <v>2002</v>
      </c>
      <c r="I139">
        <v>2002</v>
      </c>
      <c r="J139">
        <v>2002</v>
      </c>
      <c r="K139">
        <v>2002</v>
      </c>
      <c r="L139">
        <v>2002</v>
      </c>
      <c r="M139">
        <v>2002</v>
      </c>
      <c r="N139">
        <v>2002</v>
      </c>
      <c r="O139">
        <v>2002</v>
      </c>
      <c r="P139">
        <v>2002</v>
      </c>
      <c r="Q139">
        <v>2002</v>
      </c>
      <c r="R139">
        <v>2002</v>
      </c>
      <c r="S139">
        <v>2002</v>
      </c>
      <c r="T139">
        <v>2002</v>
      </c>
      <c r="U139">
        <v>2002</v>
      </c>
      <c r="V139">
        <v>2002</v>
      </c>
      <c r="W139">
        <v>2002</v>
      </c>
      <c r="X139">
        <v>2002</v>
      </c>
      <c r="Y139">
        <v>2002</v>
      </c>
      <c r="Z139">
        <v>2002</v>
      </c>
      <c r="AA139">
        <v>2002</v>
      </c>
      <c r="AB139">
        <v>2002</v>
      </c>
      <c r="AC139">
        <v>2002</v>
      </c>
      <c r="AD139">
        <v>2002</v>
      </c>
      <c r="AE139">
        <v>2002</v>
      </c>
      <c r="AF139">
        <v>2002</v>
      </c>
      <c r="AG139">
        <v>2002</v>
      </c>
    </row>
    <row r="140" spans="1:33" x14ac:dyDescent="0.25">
      <c r="A140">
        <v>2003761</v>
      </c>
      <c r="B140" t="s">
        <v>11</v>
      </c>
      <c r="C140">
        <v>2000</v>
      </c>
      <c r="D140">
        <v>2000</v>
      </c>
      <c r="E140">
        <v>2000</v>
      </c>
      <c r="F140">
        <v>2000</v>
      </c>
      <c r="G140">
        <v>2000</v>
      </c>
      <c r="H140">
        <v>2000</v>
      </c>
      <c r="I140">
        <v>2000</v>
      </c>
      <c r="J140">
        <v>2000</v>
      </c>
      <c r="K140">
        <v>2000</v>
      </c>
      <c r="L140">
        <v>2000</v>
      </c>
      <c r="M140">
        <v>2000</v>
      </c>
      <c r="N140">
        <v>2000</v>
      </c>
      <c r="O140">
        <v>2000</v>
      </c>
      <c r="P140">
        <v>2000</v>
      </c>
      <c r="Q140">
        <v>2000</v>
      </c>
      <c r="R140">
        <v>2000</v>
      </c>
      <c r="S140">
        <v>2000</v>
      </c>
      <c r="T140">
        <v>2000</v>
      </c>
      <c r="U140">
        <v>2000</v>
      </c>
      <c r="V140">
        <v>2000</v>
      </c>
      <c r="W140">
        <v>2000</v>
      </c>
      <c r="X140">
        <v>2000</v>
      </c>
      <c r="Y140">
        <v>2000</v>
      </c>
      <c r="Z140">
        <v>2000</v>
      </c>
      <c r="AA140">
        <v>2000</v>
      </c>
      <c r="AB140">
        <v>2000</v>
      </c>
      <c r="AC140">
        <v>2000</v>
      </c>
      <c r="AD140">
        <v>2000</v>
      </c>
      <c r="AE140">
        <v>2000</v>
      </c>
      <c r="AF140">
        <v>2000</v>
      </c>
      <c r="AG140">
        <v>2000</v>
      </c>
    </row>
    <row r="141" spans="1:33" x14ac:dyDescent="0.25">
      <c r="A141">
        <v>2004061</v>
      </c>
      <c r="B141" t="s">
        <v>11</v>
      </c>
      <c r="C141">
        <v>2002</v>
      </c>
      <c r="D141">
        <v>2002</v>
      </c>
      <c r="E141">
        <v>2002</v>
      </c>
      <c r="F141">
        <v>2002</v>
      </c>
      <c r="G141">
        <v>2002</v>
      </c>
      <c r="H141">
        <v>2002</v>
      </c>
      <c r="I141">
        <v>2002</v>
      </c>
      <c r="J141">
        <v>2002</v>
      </c>
      <c r="K141">
        <v>2002</v>
      </c>
      <c r="L141">
        <v>2002</v>
      </c>
      <c r="M141">
        <v>2002</v>
      </c>
      <c r="N141">
        <v>2002</v>
      </c>
      <c r="O141">
        <v>2002</v>
      </c>
      <c r="P141">
        <v>2002</v>
      </c>
      <c r="Q141">
        <v>2002</v>
      </c>
      <c r="R141">
        <v>2002</v>
      </c>
      <c r="S141">
        <v>2002</v>
      </c>
      <c r="T141">
        <v>2002</v>
      </c>
      <c r="U141">
        <v>2002</v>
      </c>
      <c r="V141">
        <v>2002</v>
      </c>
      <c r="W141">
        <v>2002</v>
      </c>
      <c r="X141">
        <v>2002</v>
      </c>
      <c r="Y141">
        <v>2002</v>
      </c>
      <c r="Z141">
        <v>2002</v>
      </c>
      <c r="AA141">
        <v>2002</v>
      </c>
      <c r="AB141">
        <v>2002</v>
      </c>
      <c r="AC141">
        <v>2002</v>
      </c>
      <c r="AD141">
        <v>2002</v>
      </c>
      <c r="AE141">
        <v>2002</v>
      </c>
      <c r="AF141">
        <v>2002</v>
      </c>
      <c r="AG141">
        <v>2002</v>
      </c>
    </row>
    <row r="142" spans="1:33" x14ac:dyDescent="0.25">
      <c r="A142">
        <v>2006469</v>
      </c>
      <c r="B142" t="s">
        <v>11</v>
      </c>
      <c r="C142">
        <v>2002</v>
      </c>
      <c r="D142">
        <v>2002</v>
      </c>
      <c r="E142">
        <v>2002</v>
      </c>
      <c r="F142">
        <v>2002</v>
      </c>
      <c r="G142">
        <v>2002</v>
      </c>
      <c r="H142">
        <v>2002</v>
      </c>
      <c r="I142">
        <v>2002</v>
      </c>
      <c r="J142">
        <v>2002</v>
      </c>
      <c r="K142">
        <v>2002</v>
      </c>
      <c r="L142">
        <v>2002</v>
      </c>
      <c r="M142">
        <v>2002</v>
      </c>
      <c r="N142">
        <v>2002</v>
      </c>
      <c r="O142">
        <v>2002</v>
      </c>
      <c r="P142">
        <v>2002</v>
      </c>
      <c r="Q142">
        <v>2002</v>
      </c>
      <c r="R142">
        <v>2002</v>
      </c>
      <c r="S142">
        <v>2002</v>
      </c>
      <c r="T142">
        <v>2002</v>
      </c>
      <c r="U142">
        <v>2002</v>
      </c>
      <c r="V142">
        <v>2002</v>
      </c>
      <c r="W142">
        <v>2002</v>
      </c>
      <c r="X142">
        <v>2002</v>
      </c>
      <c r="Y142">
        <v>2002</v>
      </c>
      <c r="Z142">
        <v>2002</v>
      </c>
      <c r="AA142">
        <v>2002</v>
      </c>
      <c r="AB142">
        <v>2002</v>
      </c>
      <c r="AC142">
        <v>2002</v>
      </c>
      <c r="AD142">
        <v>2002</v>
      </c>
      <c r="AE142">
        <v>2002</v>
      </c>
      <c r="AF142">
        <v>2002</v>
      </c>
      <c r="AG142">
        <v>2002</v>
      </c>
    </row>
    <row r="143" spans="1:33" x14ac:dyDescent="0.25">
      <c r="A143">
        <v>3005132</v>
      </c>
      <c r="B143" t="s">
        <v>11</v>
      </c>
      <c r="C143">
        <v>2003</v>
      </c>
      <c r="D143">
        <v>2003</v>
      </c>
      <c r="E143">
        <v>2003</v>
      </c>
      <c r="F143">
        <v>2003</v>
      </c>
      <c r="G143">
        <v>2003</v>
      </c>
      <c r="H143">
        <v>2003</v>
      </c>
      <c r="I143">
        <v>2003</v>
      </c>
      <c r="J143">
        <v>2003</v>
      </c>
      <c r="K143">
        <v>2003</v>
      </c>
      <c r="L143">
        <v>2003</v>
      </c>
      <c r="M143">
        <v>2003</v>
      </c>
      <c r="N143">
        <v>2003</v>
      </c>
      <c r="O143">
        <v>2003</v>
      </c>
      <c r="P143">
        <v>2003</v>
      </c>
      <c r="Q143">
        <v>2003</v>
      </c>
      <c r="R143">
        <v>2003</v>
      </c>
      <c r="S143">
        <v>2003</v>
      </c>
      <c r="T143">
        <v>2003</v>
      </c>
      <c r="U143">
        <v>2003</v>
      </c>
      <c r="V143">
        <v>2003</v>
      </c>
      <c r="W143">
        <v>2003</v>
      </c>
      <c r="X143">
        <v>2003</v>
      </c>
      <c r="Y143">
        <v>2003</v>
      </c>
      <c r="Z143">
        <v>2003</v>
      </c>
      <c r="AA143">
        <v>2003</v>
      </c>
      <c r="AB143">
        <v>2003</v>
      </c>
      <c r="AC143">
        <v>2003</v>
      </c>
      <c r="AD143">
        <v>2003</v>
      </c>
      <c r="AE143">
        <v>2003</v>
      </c>
      <c r="AF143">
        <v>2003</v>
      </c>
      <c r="AG143">
        <v>2003</v>
      </c>
    </row>
    <row r="144" spans="1:33" x14ac:dyDescent="0.25">
      <c r="A144">
        <v>3009119</v>
      </c>
      <c r="B144" t="s">
        <v>11</v>
      </c>
      <c r="C144">
        <v>2003</v>
      </c>
      <c r="D144">
        <v>2003</v>
      </c>
      <c r="E144">
        <v>2003</v>
      </c>
      <c r="F144">
        <v>2003</v>
      </c>
      <c r="G144">
        <v>2003</v>
      </c>
      <c r="H144">
        <v>2003</v>
      </c>
      <c r="I144">
        <v>2003</v>
      </c>
      <c r="J144">
        <v>2003</v>
      </c>
      <c r="K144">
        <v>2003</v>
      </c>
      <c r="L144">
        <v>2003</v>
      </c>
      <c r="M144">
        <v>2003</v>
      </c>
      <c r="N144">
        <v>2003</v>
      </c>
      <c r="O144">
        <v>2003</v>
      </c>
      <c r="P144">
        <v>2003</v>
      </c>
      <c r="Q144">
        <v>2003</v>
      </c>
      <c r="R144">
        <v>2003</v>
      </c>
      <c r="S144">
        <v>2003</v>
      </c>
      <c r="T144">
        <v>2003</v>
      </c>
      <c r="U144">
        <v>2003</v>
      </c>
      <c r="V144">
        <v>2003</v>
      </c>
      <c r="W144">
        <v>2003</v>
      </c>
      <c r="X144">
        <v>2003</v>
      </c>
      <c r="Y144">
        <v>2003</v>
      </c>
      <c r="Z144">
        <v>2003</v>
      </c>
      <c r="AA144">
        <v>2003</v>
      </c>
      <c r="AB144">
        <v>2003</v>
      </c>
      <c r="AC144">
        <v>2003</v>
      </c>
      <c r="AD144">
        <v>2003</v>
      </c>
      <c r="AE144">
        <v>2003</v>
      </c>
      <c r="AF144">
        <v>2003</v>
      </c>
      <c r="AG144">
        <v>2003</v>
      </c>
    </row>
    <row r="145" spans="1:33" x14ac:dyDescent="0.25">
      <c r="A145">
        <v>3009936</v>
      </c>
      <c r="B145" t="s">
        <v>11</v>
      </c>
      <c r="C145">
        <v>2003</v>
      </c>
      <c r="D145">
        <v>2003</v>
      </c>
      <c r="E145">
        <v>2003</v>
      </c>
      <c r="F145">
        <v>2003</v>
      </c>
      <c r="G145">
        <v>2003</v>
      </c>
      <c r="H145">
        <v>2003</v>
      </c>
      <c r="I145">
        <v>2003</v>
      </c>
      <c r="J145">
        <v>2003</v>
      </c>
      <c r="K145">
        <v>2003</v>
      </c>
      <c r="L145">
        <v>2003</v>
      </c>
      <c r="M145">
        <v>2003</v>
      </c>
      <c r="N145">
        <v>2003</v>
      </c>
      <c r="O145">
        <v>2003</v>
      </c>
      <c r="P145">
        <v>2003</v>
      </c>
      <c r="Q145">
        <v>2003</v>
      </c>
      <c r="R145">
        <v>2003</v>
      </c>
      <c r="S145">
        <v>2003</v>
      </c>
      <c r="T145">
        <v>2003</v>
      </c>
      <c r="U145">
        <v>2003</v>
      </c>
      <c r="V145">
        <v>2003</v>
      </c>
      <c r="W145">
        <v>2003</v>
      </c>
      <c r="X145">
        <v>2003</v>
      </c>
      <c r="Y145">
        <v>2003</v>
      </c>
      <c r="Z145">
        <v>2003</v>
      </c>
      <c r="AA145">
        <v>2003</v>
      </c>
      <c r="AB145">
        <v>2003</v>
      </c>
      <c r="AC145">
        <v>2003</v>
      </c>
      <c r="AD145">
        <v>2003</v>
      </c>
      <c r="AE145">
        <v>2003</v>
      </c>
      <c r="AF145">
        <v>2003</v>
      </c>
      <c r="AG145">
        <v>2003</v>
      </c>
    </row>
    <row r="146" spans="1:33" x14ac:dyDescent="0.25">
      <c r="A146">
        <v>3011094</v>
      </c>
      <c r="B146" t="s">
        <v>11</v>
      </c>
      <c r="C146">
        <v>2003</v>
      </c>
      <c r="D146">
        <v>2003</v>
      </c>
      <c r="E146">
        <v>2003</v>
      </c>
      <c r="F146">
        <v>2003</v>
      </c>
      <c r="G146">
        <v>2003</v>
      </c>
      <c r="H146">
        <v>2003</v>
      </c>
      <c r="I146">
        <v>2003</v>
      </c>
      <c r="J146">
        <v>2003</v>
      </c>
      <c r="K146">
        <v>2003</v>
      </c>
      <c r="L146">
        <v>2003</v>
      </c>
      <c r="M146">
        <v>2003</v>
      </c>
      <c r="N146">
        <v>2003</v>
      </c>
      <c r="O146">
        <v>2003</v>
      </c>
      <c r="P146">
        <v>2003</v>
      </c>
      <c r="Q146">
        <v>2003</v>
      </c>
      <c r="R146">
        <v>2003</v>
      </c>
      <c r="S146">
        <v>2003</v>
      </c>
      <c r="T146">
        <v>2003</v>
      </c>
      <c r="U146">
        <v>2003</v>
      </c>
      <c r="V146">
        <v>2003</v>
      </c>
      <c r="W146">
        <v>2003</v>
      </c>
      <c r="X146">
        <v>2003</v>
      </c>
      <c r="Y146">
        <v>2003</v>
      </c>
      <c r="Z146">
        <v>2003</v>
      </c>
      <c r="AA146">
        <v>2003</v>
      </c>
      <c r="AB146">
        <v>2003</v>
      </c>
      <c r="AC146">
        <v>2003</v>
      </c>
      <c r="AD146">
        <v>2003</v>
      </c>
      <c r="AE146">
        <v>2003</v>
      </c>
      <c r="AF146">
        <v>2003</v>
      </c>
      <c r="AG146">
        <v>2003</v>
      </c>
    </row>
    <row r="147" spans="1:33" x14ac:dyDescent="0.25">
      <c r="A147">
        <v>3014643</v>
      </c>
      <c r="B147" t="s">
        <v>11</v>
      </c>
      <c r="C147">
        <v>2003</v>
      </c>
      <c r="D147">
        <v>2003</v>
      </c>
      <c r="E147">
        <v>2003</v>
      </c>
      <c r="F147">
        <v>2003</v>
      </c>
      <c r="G147">
        <v>2003</v>
      </c>
      <c r="H147">
        <v>2003</v>
      </c>
      <c r="I147">
        <v>2003</v>
      </c>
      <c r="J147">
        <v>2003</v>
      </c>
      <c r="K147">
        <v>2003</v>
      </c>
      <c r="L147">
        <v>2003</v>
      </c>
      <c r="M147">
        <v>2003</v>
      </c>
      <c r="N147">
        <v>2003</v>
      </c>
      <c r="O147">
        <v>2003</v>
      </c>
      <c r="P147">
        <v>2003</v>
      </c>
      <c r="Q147">
        <v>2003</v>
      </c>
      <c r="R147">
        <v>2003</v>
      </c>
      <c r="S147">
        <v>2003</v>
      </c>
      <c r="T147">
        <v>2003</v>
      </c>
      <c r="U147">
        <v>2003</v>
      </c>
      <c r="V147">
        <v>2003</v>
      </c>
      <c r="W147">
        <v>2003</v>
      </c>
      <c r="X147">
        <v>2003</v>
      </c>
      <c r="Y147">
        <v>2003</v>
      </c>
      <c r="Z147">
        <v>2003</v>
      </c>
      <c r="AA147">
        <v>2003</v>
      </c>
      <c r="AB147">
        <v>2003</v>
      </c>
      <c r="AC147">
        <v>2003</v>
      </c>
      <c r="AD147">
        <v>2003</v>
      </c>
      <c r="AE147">
        <v>2003</v>
      </c>
      <c r="AF147">
        <v>2003</v>
      </c>
      <c r="AG147">
        <v>2003</v>
      </c>
    </row>
    <row r="148" spans="1:33" x14ac:dyDescent="0.25">
      <c r="A148">
        <v>3016056</v>
      </c>
      <c r="B148" t="s">
        <v>11</v>
      </c>
      <c r="C148">
        <v>2003</v>
      </c>
      <c r="D148">
        <v>2003</v>
      </c>
      <c r="E148">
        <v>2003</v>
      </c>
      <c r="F148">
        <v>2003</v>
      </c>
      <c r="G148">
        <v>2003</v>
      </c>
      <c r="H148">
        <v>2003</v>
      </c>
      <c r="I148">
        <v>2003</v>
      </c>
      <c r="J148">
        <v>2003</v>
      </c>
      <c r="K148">
        <v>2003</v>
      </c>
      <c r="L148">
        <v>2003</v>
      </c>
      <c r="M148">
        <v>2003</v>
      </c>
      <c r="N148">
        <v>2003</v>
      </c>
      <c r="O148">
        <v>2003</v>
      </c>
      <c r="P148">
        <v>2003</v>
      </c>
      <c r="Q148">
        <v>2003</v>
      </c>
      <c r="R148">
        <v>2003</v>
      </c>
      <c r="S148">
        <v>2003</v>
      </c>
      <c r="T148">
        <v>2003</v>
      </c>
      <c r="U148">
        <v>2003</v>
      </c>
      <c r="V148">
        <v>2003</v>
      </c>
      <c r="W148">
        <v>2003</v>
      </c>
      <c r="X148">
        <v>2003</v>
      </c>
      <c r="Y148">
        <v>2003</v>
      </c>
      <c r="Z148">
        <v>2003</v>
      </c>
      <c r="AA148">
        <v>2003</v>
      </c>
      <c r="AB148">
        <v>2003</v>
      </c>
      <c r="AC148">
        <v>2003</v>
      </c>
      <c r="AD148">
        <v>2003</v>
      </c>
      <c r="AE148">
        <v>2003</v>
      </c>
      <c r="AF148">
        <v>2003</v>
      </c>
      <c r="AG148">
        <v>2003</v>
      </c>
    </row>
    <row r="149" spans="1:33" x14ac:dyDescent="0.25">
      <c r="A149">
        <v>3900219</v>
      </c>
      <c r="B149" t="s">
        <v>11</v>
      </c>
      <c r="C149">
        <v>2002</v>
      </c>
      <c r="D149">
        <v>2002</v>
      </c>
      <c r="E149">
        <v>2002</v>
      </c>
      <c r="F149">
        <v>2002</v>
      </c>
      <c r="G149">
        <v>2002</v>
      </c>
      <c r="H149">
        <v>2002</v>
      </c>
      <c r="I149">
        <v>2002</v>
      </c>
      <c r="J149">
        <v>2002</v>
      </c>
      <c r="K149">
        <v>2002</v>
      </c>
      <c r="L149">
        <v>2002</v>
      </c>
      <c r="M149">
        <v>2002</v>
      </c>
      <c r="N149">
        <v>2002</v>
      </c>
      <c r="O149">
        <v>2002</v>
      </c>
      <c r="P149">
        <v>2002</v>
      </c>
      <c r="Q149">
        <v>2002</v>
      </c>
      <c r="R149">
        <v>2002</v>
      </c>
      <c r="S149">
        <v>2002</v>
      </c>
      <c r="T149">
        <v>2002</v>
      </c>
      <c r="U149">
        <v>2002</v>
      </c>
      <c r="V149">
        <v>2002</v>
      </c>
      <c r="W149">
        <v>2002</v>
      </c>
      <c r="X149">
        <v>2002</v>
      </c>
      <c r="Y149">
        <v>2002</v>
      </c>
      <c r="Z149">
        <v>2002</v>
      </c>
      <c r="AA149">
        <v>2002</v>
      </c>
      <c r="AB149">
        <v>2002</v>
      </c>
      <c r="AC149">
        <v>2002</v>
      </c>
      <c r="AD149">
        <v>2002</v>
      </c>
      <c r="AE149">
        <v>2002</v>
      </c>
      <c r="AF149">
        <v>2002</v>
      </c>
      <c r="AG149">
        <v>2002</v>
      </c>
    </row>
    <row r="150" spans="1:33" x14ac:dyDescent="0.25">
      <c r="A150">
        <v>4000158</v>
      </c>
      <c r="B150" t="s">
        <v>11</v>
      </c>
      <c r="C150">
        <v>2003</v>
      </c>
      <c r="D150">
        <v>2003</v>
      </c>
      <c r="E150">
        <v>2003</v>
      </c>
      <c r="F150">
        <v>2003</v>
      </c>
      <c r="G150">
        <v>2003</v>
      </c>
      <c r="H150">
        <v>2003</v>
      </c>
      <c r="I150">
        <v>2003</v>
      </c>
      <c r="J150">
        <v>2003</v>
      </c>
      <c r="K150">
        <v>2003</v>
      </c>
      <c r="L150">
        <v>2003</v>
      </c>
      <c r="M150">
        <v>2003</v>
      </c>
      <c r="N150">
        <v>2003</v>
      </c>
      <c r="O150">
        <v>2003</v>
      </c>
      <c r="P150">
        <v>2003</v>
      </c>
      <c r="Q150">
        <v>2003</v>
      </c>
      <c r="R150">
        <v>2003</v>
      </c>
      <c r="S150">
        <v>2003</v>
      </c>
      <c r="T150">
        <v>2003</v>
      </c>
      <c r="U150">
        <v>2003</v>
      </c>
      <c r="V150">
        <v>2003</v>
      </c>
      <c r="W150">
        <v>2003</v>
      </c>
      <c r="X150">
        <v>2003</v>
      </c>
      <c r="Y150">
        <v>2003</v>
      </c>
      <c r="Z150">
        <v>2003</v>
      </c>
      <c r="AA150">
        <v>2003</v>
      </c>
      <c r="AB150">
        <v>2003</v>
      </c>
      <c r="AC150">
        <v>2003</v>
      </c>
      <c r="AD150">
        <v>2003</v>
      </c>
      <c r="AE150">
        <v>2003</v>
      </c>
      <c r="AF150">
        <v>2003</v>
      </c>
      <c r="AG150">
        <v>2003</v>
      </c>
    </row>
    <row r="151" spans="1:33" x14ac:dyDescent="0.25">
      <c r="A151">
        <v>4000304</v>
      </c>
      <c r="B151" t="s">
        <v>11</v>
      </c>
      <c r="C151">
        <v>2003</v>
      </c>
      <c r="D151">
        <v>2003</v>
      </c>
      <c r="E151">
        <v>2003</v>
      </c>
      <c r="F151">
        <v>2003</v>
      </c>
      <c r="G151">
        <v>2003</v>
      </c>
      <c r="H151">
        <v>2003</v>
      </c>
      <c r="I151">
        <v>2003</v>
      </c>
      <c r="J151">
        <v>2003</v>
      </c>
      <c r="K151">
        <v>2003</v>
      </c>
      <c r="L151">
        <v>2003</v>
      </c>
      <c r="M151">
        <v>2003</v>
      </c>
      <c r="N151">
        <v>2003</v>
      </c>
      <c r="O151">
        <v>2003</v>
      </c>
      <c r="P151">
        <v>2003</v>
      </c>
      <c r="Q151">
        <v>2003</v>
      </c>
      <c r="R151">
        <v>2003</v>
      </c>
      <c r="S151">
        <v>2003</v>
      </c>
      <c r="T151">
        <v>2003</v>
      </c>
      <c r="U151">
        <v>2003</v>
      </c>
      <c r="V151">
        <v>2003</v>
      </c>
      <c r="W151">
        <v>2003</v>
      </c>
      <c r="X151">
        <v>2003</v>
      </c>
      <c r="Y151">
        <v>2003</v>
      </c>
      <c r="Z151">
        <v>2003</v>
      </c>
      <c r="AA151">
        <v>2003</v>
      </c>
      <c r="AB151">
        <v>2003</v>
      </c>
      <c r="AC151">
        <v>2003</v>
      </c>
      <c r="AD151">
        <v>2003</v>
      </c>
      <c r="AE151">
        <v>2003</v>
      </c>
      <c r="AF151">
        <v>2003</v>
      </c>
      <c r="AG151">
        <v>2003</v>
      </c>
    </row>
    <row r="152" spans="1:33" x14ac:dyDescent="0.25">
      <c r="A152">
        <v>4001905</v>
      </c>
      <c r="B152" t="s">
        <v>11</v>
      </c>
      <c r="C152">
        <v>2004</v>
      </c>
      <c r="D152">
        <v>2004</v>
      </c>
      <c r="E152">
        <v>2004</v>
      </c>
      <c r="F152">
        <v>2004</v>
      </c>
      <c r="G152">
        <v>2004</v>
      </c>
      <c r="H152">
        <v>2004</v>
      </c>
      <c r="I152">
        <v>2004</v>
      </c>
      <c r="J152">
        <v>2004</v>
      </c>
      <c r="K152">
        <v>2004</v>
      </c>
      <c r="L152">
        <v>2004</v>
      </c>
      <c r="M152">
        <v>2004</v>
      </c>
      <c r="N152">
        <v>2004</v>
      </c>
      <c r="O152">
        <v>2004</v>
      </c>
      <c r="P152">
        <v>2004</v>
      </c>
      <c r="Q152">
        <v>2004</v>
      </c>
      <c r="R152">
        <v>2004</v>
      </c>
      <c r="S152">
        <v>2004</v>
      </c>
      <c r="T152">
        <v>2004</v>
      </c>
      <c r="U152">
        <v>2004</v>
      </c>
      <c r="V152">
        <v>2004</v>
      </c>
      <c r="W152">
        <v>2004</v>
      </c>
      <c r="X152">
        <v>2004</v>
      </c>
      <c r="Y152">
        <v>2004</v>
      </c>
      <c r="Z152">
        <v>2004</v>
      </c>
      <c r="AA152">
        <v>2004</v>
      </c>
      <c r="AB152">
        <v>2004</v>
      </c>
      <c r="AC152">
        <v>2004</v>
      </c>
      <c r="AD152">
        <v>2004</v>
      </c>
      <c r="AE152">
        <v>2004</v>
      </c>
      <c r="AF152">
        <v>2004</v>
      </c>
      <c r="AG152">
        <v>2004</v>
      </c>
    </row>
    <row r="153" spans="1:33" x14ac:dyDescent="0.25">
      <c r="A153">
        <v>4002206</v>
      </c>
      <c r="B153" t="s">
        <v>11</v>
      </c>
      <c r="C153">
        <v>2004</v>
      </c>
      <c r="D153">
        <v>2004</v>
      </c>
      <c r="E153">
        <v>2004</v>
      </c>
      <c r="F153">
        <v>2004</v>
      </c>
      <c r="G153">
        <v>2004</v>
      </c>
      <c r="H153">
        <v>2004</v>
      </c>
      <c r="I153">
        <v>2004</v>
      </c>
      <c r="J153">
        <v>2004</v>
      </c>
      <c r="K153">
        <v>2004</v>
      </c>
      <c r="L153">
        <v>2004</v>
      </c>
      <c r="M153">
        <v>2004</v>
      </c>
      <c r="N153">
        <v>2004</v>
      </c>
      <c r="O153">
        <v>2004</v>
      </c>
      <c r="P153">
        <v>2004</v>
      </c>
      <c r="Q153">
        <v>2004</v>
      </c>
      <c r="R153">
        <v>2004</v>
      </c>
      <c r="S153">
        <v>2004</v>
      </c>
      <c r="T153">
        <v>2004</v>
      </c>
      <c r="U153">
        <v>2004</v>
      </c>
      <c r="V153">
        <v>2004</v>
      </c>
      <c r="W153">
        <v>2004</v>
      </c>
      <c r="X153">
        <v>2004</v>
      </c>
      <c r="Y153">
        <v>2004</v>
      </c>
      <c r="Z153">
        <v>2004</v>
      </c>
      <c r="AA153">
        <v>2004</v>
      </c>
      <c r="AB153">
        <v>2004</v>
      </c>
      <c r="AC153">
        <v>2004</v>
      </c>
      <c r="AD153">
        <v>2004</v>
      </c>
      <c r="AE153">
        <v>2004</v>
      </c>
      <c r="AF153">
        <v>2004</v>
      </c>
      <c r="AG153">
        <v>2004</v>
      </c>
    </row>
    <row r="154" spans="1:33" x14ac:dyDescent="0.25">
      <c r="A154">
        <v>4002715</v>
      </c>
      <c r="B154" t="s">
        <v>11</v>
      </c>
      <c r="C154">
        <v>2004</v>
      </c>
      <c r="D154">
        <v>2004</v>
      </c>
      <c r="E154">
        <v>2004</v>
      </c>
      <c r="F154">
        <v>2004</v>
      </c>
      <c r="G154">
        <v>2004</v>
      </c>
      <c r="H154">
        <v>2004</v>
      </c>
      <c r="I154">
        <v>2004</v>
      </c>
      <c r="J154">
        <v>2004</v>
      </c>
      <c r="K154">
        <v>2004</v>
      </c>
      <c r="L154">
        <v>2004</v>
      </c>
      <c r="M154">
        <v>2004</v>
      </c>
      <c r="N154">
        <v>2004</v>
      </c>
      <c r="O154">
        <v>2004</v>
      </c>
      <c r="P154">
        <v>2004</v>
      </c>
      <c r="Q154">
        <v>2004</v>
      </c>
      <c r="R154">
        <v>2004</v>
      </c>
      <c r="S154">
        <v>2004</v>
      </c>
      <c r="T154">
        <v>2004</v>
      </c>
      <c r="U154">
        <v>2004</v>
      </c>
      <c r="V154">
        <v>2004</v>
      </c>
      <c r="W154">
        <v>2004</v>
      </c>
      <c r="X154">
        <v>2004</v>
      </c>
      <c r="Y154">
        <v>2004</v>
      </c>
      <c r="Z154">
        <v>2004</v>
      </c>
      <c r="AA154">
        <v>2004</v>
      </c>
      <c r="AB154">
        <v>2004</v>
      </c>
      <c r="AC154">
        <v>2004</v>
      </c>
      <c r="AD154">
        <v>2004</v>
      </c>
      <c r="AE154">
        <v>2004</v>
      </c>
      <c r="AF154">
        <v>2004</v>
      </c>
      <c r="AG154">
        <v>2004</v>
      </c>
    </row>
    <row r="155" spans="1:33" x14ac:dyDescent="0.25">
      <c r="A155">
        <v>4003924</v>
      </c>
      <c r="B155" t="s">
        <v>11</v>
      </c>
      <c r="C155">
        <v>2003</v>
      </c>
      <c r="D155">
        <v>2003</v>
      </c>
      <c r="E155">
        <v>2003</v>
      </c>
      <c r="F155">
        <v>2003</v>
      </c>
      <c r="G155">
        <v>2003</v>
      </c>
      <c r="H155">
        <v>2003</v>
      </c>
      <c r="I155">
        <v>2003</v>
      </c>
      <c r="J155">
        <v>2003</v>
      </c>
      <c r="K155">
        <v>2003</v>
      </c>
      <c r="L155">
        <v>2003</v>
      </c>
      <c r="M155">
        <v>2003</v>
      </c>
      <c r="N155">
        <v>2003</v>
      </c>
      <c r="O155">
        <v>2003</v>
      </c>
      <c r="P155">
        <v>2003</v>
      </c>
      <c r="Q155">
        <v>2003</v>
      </c>
      <c r="R155">
        <v>2003</v>
      </c>
      <c r="S155">
        <v>2003</v>
      </c>
      <c r="T155">
        <v>2003</v>
      </c>
      <c r="U155">
        <v>2003</v>
      </c>
      <c r="V155">
        <v>2003</v>
      </c>
      <c r="W155">
        <v>2003</v>
      </c>
      <c r="X155">
        <v>2003</v>
      </c>
      <c r="Y155">
        <v>2003</v>
      </c>
      <c r="Z155">
        <v>2003</v>
      </c>
      <c r="AA155">
        <v>2003</v>
      </c>
      <c r="AB155">
        <v>2003</v>
      </c>
      <c r="AC155">
        <v>2003</v>
      </c>
      <c r="AD155">
        <v>2003</v>
      </c>
      <c r="AE155">
        <v>2003</v>
      </c>
      <c r="AF155">
        <v>2003</v>
      </c>
      <c r="AG155">
        <v>2003</v>
      </c>
    </row>
    <row r="156" spans="1:33" x14ac:dyDescent="0.25">
      <c r="A156">
        <v>4006051</v>
      </c>
      <c r="B156" t="s">
        <v>11</v>
      </c>
      <c r="C156">
        <v>2003</v>
      </c>
      <c r="D156">
        <v>2003</v>
      </c>
      <c r="E156">
        <v>2003</v>
      </c>
      <c r="F156">
        <v>2003</v>
      </c>
      <c r="G156">
        <v>2003</v>
      </c>
      <c r="H156">
        <v>2003</v>
      </c>
      <c r="I156">
        <v>2003</v>
      </c>
      <c r="J156">
        <v>2003</v>
      </c>
      <c r="K156">
        <v>2003</v>
      </c>
      <c r="L156">
        <v>2003</v>
      </c>
      <c r="M156">
        <v>2003</v>
      </c>
      <c r="N156">
        <v>2003</v>
      </c>
      <c r="O156">
        <v>2003</v>
      </c>
      <c r="P156">
        <v>2003</v>
      </c>
      <c r="Q156">
        <v>2003</v>
      </c>
      <c r="R156">
        <v>2003</v>
      </c>
      <c r="S156">
        <v>2003</v>
      </c>
      <c r="T156">
        <v>2003</v>
      </c>
      <c r="U156">
        <v>2003</v>
      </c>
      <c r="V156">
        <v>2003</v>
      </c>
      <c r="W156">
        <v>2003</v>
      </c>
      <c r="X156">
        <v>2003</v>
      </c>
      <c r="Y156">
        <v>2003</v>
      </c>
      <c r="Z156">
        <v>2003</v>
      </c>
      <c r="AA156">
        <v>2003</v>
      </c>
      <c r="AB156">
        <v>2003</v>
      </c>
      <c r="AC156">
        <v>2003</v>
      </c>
      <c r="AD156">
        <v>2003</v>
      </c>
      <c r="AE156">
        <v>2003</v>
      </c>
      <c r="AF156">
        <v>2003</v>
      </c>
      <c r="AG156">
        <v>2003</v>
      </c>
    </row>
    <row r="157" spans="1:33" x14ac:dyDescent="0.25">
      <c r="A157">
        <v>4008140</v>
      </c>
      <c r="B157" t="s">
        <v>11</v>
      </c>
      <c r="C157">
        <v>2004</v>
      </c>
      <c r="D157">
        <v>2004</v>
      </c>
      <c r="E157">
        <v>2004</v>
      </c>
      <c r="F157">
        <v>2004</v>
      </c>
      <c r="G157">
        <v>2004</v>
      </c>
      <c r="H157">
        <v>2004</v>
      </c>
      <c r="I157">
        <v>2004</v>
      </c>
      <c r="J157">
        <v>2004</v>
      </c>
      <c r="K157">
        <v>2004</v>
      </c>
      <c r="L157">
        <v>2004</v>
      </c>
      <c r="M157">
        <v>2004</v>
      </c>
      <c r="N157">
        <v>2004</v>
      </c>
      <c r="O157">
        <v>2004</v>
      </c>
      <c r="P157">
        <v>2004</v>
      </c>
      <c r="Q157">
        <v>2004</v>
      </c>
      <c r="R157">
        <v>2004</v>
      </c>
      <c r="S157">
        <v>2004</v>
      </c>
      <c r="T157">
        <v>2004</v>
      </c>
      <c r="U157">
        <v>2004</v>
      </c>
      <c r="V157">
        <v>2004</v>
      </c>
      <c r="W157">
        <v>2004</v>
      </c>
      <c r="X157">
        <v>2004</v>
      </c>
      <c r="Y157">
        <v>2004</v>
      </c>
      <c r="Z157">
        <v>2004</v>
      </c>
      <c r="AA157">
        <v>2004</v>
      </c>
      <c r="AB157">
        <v>2004</v>
      </c>
      <c r="AC157">
        <v>2004</v>
      </c>
      <c r="AD157">
        <v>2004</v>
      </c>
      <c r="AE157">
        <v>2004</v>
      </c>
      <c r="AF157">
        <v>2004</v>
      </c>
      <c r="AG157">
        <v>2004</v>
      </c>
    </row>
    <row r="158" spans="1:33" x14ac:dyDescent="0.25">
      <c r="A158">
        <v>4009906</v>
      </c>
      <c r="B158" t="s">
        <v>11</v>
      </c>
      <c r="C158">
        <v>2004</v>
      </c>
      <c r="D158">
        <v>2004</v>
      </c>
      <c r="E158">
        <v>2004</v>
      </c>
      <c r="F158">
        <v>2004</v>
      </c>
      <c r="G158">
        <v>2004</v>
      </c>
      <c r="H158">
        <v>2004</v>
      </c>
      <c r="I158">
        <v>2004</v>
      </c>
      <c r="J158">
        <v>2004</v>
      </c>
      <c r="K158">
        <v>2004</v>
      </c>
      <c r="L158">
        <v>2004</v>
      </c>
      <c r="M158">
        <v>2004</v>
      </c>
      <c r="N158">
        <v>2004</v>
      </c>
      <c r="O158">
        <v>2004</v>
      </c>
      <c r="P158">
        <v>2004</v>
      </c>
      <c r="Q158">
        <v>2004</v>
      </c>
      <c r="R158">
        <v>2004</v>
      </c>
      <c r="S158">
        <v>2004</v>
      </c>
      <c r="T158">
        <v>2004</v>
      </c>
      <c r="U158">
        <v>2004</v>
      </c>
      <c r="V158">
        <v>2004</v>
      </c>
      <c r="W158">
        <v>2004</v>
      </c>
      <c r="X158">
        <v>2004</v>
      </c>
      <c r="Y158">
        <v>2004</v>
      </c>
      <c r="Z158">
        <v>2004</v>
      </c>
      <c r="AA158">
        <v>2004</v>
      </c>
      <c r="AB158">
        <v>2004</v>
      </c>
      <c r="AC158">
        <v>2004</v>
      </c>
      <c r="AD158">
        <v>2004</v>
      </c>
      <c r="AE158">
        <v>2004</v>
      </c>
      <c r="AF158">
        <v>2004</v>
      </c>
      <c r="AG158">
        <v>2004</v>
      </c>
    </row>
    <row r="159" spans="1:33" x14ac:dyDescent="0.25">
      <c r="A159">
        <v>4011027</v>
      </c>
      <c r="B159" t="s">
        <v>11</v>
      </c>
      <c r="C159">
        <v>2004</v>
      </c>
      <c r="D159">
        <v>2004</v>
      </c>
      <c r="E159">
        <v>2004</v>
      </c>
      <c r="F159">
        <v>2004</v>
      </c>
      <c r="G159">
        <v>2004</v>
      </c>
      <c r="H159">
        <v>2004</v>
      </c>
      <c r="I159">
        <v>2004</v>
      </c>
      <c r="J159">
        <v>2004</v>
      </c>
      <c r="K159">
        <v>2004</v>
      </c>
      <c r="L159">
        <v>2004</v>
      </c>
      <c r="M159">
        <v>2004</v>
      </c>
      <c r="N159">
        <v>2004</v>
      </c>
      <c r="O159">
        <v>2004</v>
      </c>
      <c r="P159">
        <v>2004</v>
      </c>
      <c r="Q159">
        <v>2004</v>
      </c>
      <c r="R159">
        <v>2004</v>
      </c>
      <c r="S159">
        <v>2004</v>
      </c>
      <c r="T159">
        <v>2004</v>
      </c>
      <c r="U159">
        <v>2004</v>
      </c>
      <c r="V159">
        <v>2004</v>
      </c>
      <c r="W159">
        <v>2004</v>
      </c>
      <c r="X159">
        <v>2004</v>
      </c>
      <c r="Y159">
        <v>2004</v>
      </c>
      <c r="Z159">
        <v>2004</v>
      </c>
      <c r="AA159">
        <v>2004</v>
      </c>
      <c r="AB159">
        <v>2004</v>
      </c>
      <c r="AC159">
        <v>2004</v>
      </c>
      <c r="AD159">
        <v>2004</v>
      </c>
      <c r="AE159">
        <v>2004</v>
      </c>
      <c r="AF159">
        <v>2004</v>
      </c>
      <c r="AG159">
        <v>2004</v>
      </c>
    </row>
    <row r="160" spans="1:33" x14ac:dyDescent="0.25">
      <c r="A160">
        <v>4011920</v>
      </c>
      <c r="B160" t="s">
        <v>11</v>
      </c>
      <c r="C160">
        <v>2004</v>
      </c>
      <c r="D160">
        <v>2004</v>
      </c>
      <c r="E160">
        <v>2004</v>
      </c>
      <c r="F160">
        <v>2004</v>
      </c>
      <c r="G160">
        <v>2004</v>
      </c>
      <c r="H160">
        <v>2004</v>
      </c>
      <c r="I160">
        <v>2004</v>
      </c>
      <c r="J160">
        <v>2004</v>
      </c>
      <c r="K160">
        <v>2004</v>
      </c>
      <c r="L160">
        <v>2004</v>
      </c>
      <c r="M160">
        <v>2004</v>
      </c>
      <c r="N160">
        <v>2004</v>
      </c>
      <c r="O160">
        <v>2004</v>
      </c>
      <c r="P160">
        <v>2004</v>
      </c>
      <c r="Q160">
        <v>2004</v>
      </c>
      <c r="R160">
        <v>2004</v>
      </c>
      <c r="S160">
        <v>2004</v>
      </c>
      <c r="T160">
        <v>2004</v>
      </c>
      <c r="U160">
        <v>2004</v>
      </c>
      <c r="V160">
        <v>2004</v>
      </c>
      <c r="W160">
        <v>2004</v>
      </c>
      <c r="X160">
        <v>2004</v>
      </c>
      <c r="Y160">
        <v>2004</v>
      </c>
      <c r="Z160">
        <v>2004</v>
      </c>
      <c r="AA160">
        <v>2004</v>
      </c>
      <c r="AB160">
        <v>2004</v>
      </c>
      <c r="AC160">
        <v>2004</v>
      </c>
      <c r="AD160">
        <v>2004</v>
      </c>
      <c r="AE160">
        <v>2004</v>
      </c>
      <c r="AF160">
        <v>2004</v>
      </c>
      <c r="AG160">
        <v>2004</v>
      </c>
    </row>
    <row r="161" spans="1:33" x14ac:dyDescent="0.25">
      <c r="A161">
        <v>4012248</v>
      </c>
      <c r="B161" t="s">
        <v>11</v>
      </c>
      <c r="C161">
        <v>2000</v>
      </c>
      <c r="D161">
        <v>2000</v>
      </c>
      <c r="E161">
        <v>2000</v>
      </c>
      <c r="F161">
        <v>2000</v>
      </c>
      <c r="G161">
        <v>2000</v>
      </c>
      <c r="H161">
        <v>2000</v>
      </c>
      <c r="I161">
        <v>2000</v>
      </c>
      <c r="J161">
        <v>2000</v>
      </c>
      <c r="K161">
        <v>2000</v>
      </c>
      <c r="L161">
        <v>2000</v>
      </c>
      <c r="M161">
        <v>2000</v>
      </c>
      <c r="N161">
        <v>2000</v>
      </c>
      <c r="O161">
        <v>2000</v>
      </c>
      <c r="P161">
        <v>2000</v>
      </c>
      <c r="Q161">
        <v>2000</v>
      </c>
      <c r="R161">
        <v>2000</v>
      </c>
      <c r="S161">
        <v>2000</v>
      </c>
      <c r="T161">
        <v>2000</v>
      </c>
      <c r="U161">
        <v>2000</v>
      </c>
      <c r="V161">
        <v>2000</v>
      </c>
      <c r="W161">
        <v>2000</v>
      </c>
      <c r="X161">
        <v>2000</v>
      </c>
      <c r="Y161">
        <v>2000</v>
      </c>
      <c r="Z161">
        <v>2000</v>
      </c>
      <c r="AA161">
        <v>2000</v>
      </c>
      <c r="AB161">
        <v>2000</v>
      </c>
      <c r="AC161">
        <v>2000</v>
      </c>
      <c r="AD161">
        <v>2000</v>
      </c>
      <c r="AE161">
        <v>2000</v>
      </c>
      <c r="AF161">
        <v>2000</v>
      </c>
      <c r="AG161">
        <v>2000</v>
      </c>
    </row>
    <row r="162" spans="1:33" x14ac:dyDescent="0.25">
      <c r="A162">
        <v>4013603</v>
      </c>
      <c r="B162" t="s">
        <v>11</v>
      </c>
      <c r="C162">
        <v>2004</v>
      </c>
      <c r="D162">
        <v>2004</v>
      </c>
      <c r="E162">
        <v>2004</v>
      </c>
      <c r="F162">
        <v>2004</v>
      </c>
      <c r="G162">
        <v>2004</v>
      </c>
      <c r="H162">
        <v>2004</v>
      </c>
      <c r="I162">
        <v>2004</v>
      </c>
      <c r="J162">
        <v>2004</v>
      </c>
      <c r="K162">
        <v>2004</v>
      </c>
      <c r="L162">
        <v>2004</v>
      </c>
      <c r="M162">
        <v>2004</v>
      </c>
      <c r="N162">
        <v>2004</v>
      </c>
      <c r="O162">
        <v>2004</v>
      </c>
      <c r="P162">
        <v>2004</v>
      </c>
      <c r="Q162">
        <v>2004</v>
      </c>
      <c r="R162">
        <v>2004</v>
      </c>
      <c r="S162">
        <v>2004</v>
      </c>
      <c r="T162">
        <v>2004</v>
      </c>
      <c r="U162">
        <v>2004</v>
      </c>
      <c r="V162">
        <v>2004</v>
      </c>
      <c r="W162">
        <v>2004</v>
      </c>
      <c r="X162">
        <v>2004</v>
      </c>
      <c r="Y162">
        <v>2004</v>
      </c>
      <c r="Z162">
        <v>2004</v>
      </c>
      <c r="AA162">
        <v>2004</v>
      </c>
      <c r="AB162">
        <v>2004</v>
      </c>
      <c r="AC162">
        <v>2004</v>
      </c>
      <c r="AD162">
        <v>2004</v>
      </c>
      <c r="AE162">
        <v>2004</v>
      </c>
      <c r="AF162">
        <v>2004</v>
      </c>
      <c r="AG162">
        <v>2004</v>
      </c>
    </row>
    <row r="163" spans="1:33" x14ac:dyDescent="0.25">
      <c r="A163">
        <v>5004654</v>
      </c>
      <c r="B163" t="s">
        <v>11</v>
      </c>
      <c r="C163">
        <v>2005</v>
      </c>
      <c r="D163">
        <v>2005</v>
      </c>
      <c r="E163">
        <v>2005</v>
      </c>
      <c r="F163">
        <v>2005</v>
      </c>
      <c r="G163">
        <v>2005</v>
      </c>
      <c r="H163">
        <v>2005</v>
      </c>
      <c r="I163">
        <v>2005</v>
      </c>
      <c r="J163">
        <v>2005</v>
      </c>
      <c r="K163">
        <v>2005</v>
      </c>
      <c r="L163">
        <v>2005</v>
      </c>
      <c r="M163">
        <v>2005</v>
      </c>
      <c r="N163">
        <v>2005</v>
      </c>
      <c r="O163">
        <v>2005</v>
      </c>
      <c r="P163">
        <v>2005</v>
      </c>
      <c r="Q163">
        <v>2005</v>
      </c>
      <c r="R163">
        <v>2005</v>
      </c>
      <c r="S163">
        <v>2005</v>
      </c>
      <c r="T163">
        <v>2005</v>
      </c>
      <c r="U163">
        <v>2005</v>
      </c>
      <c r="V163">
        <v>2005</v>
      </c>
      <c r="W163">
        <v>2005</v>
      </c>
      <c r="X163">
        <v>2005</v>
      </c>
      <c r="Y163">
        <v>2005</v>
      </c>
      <c r="Z163">
        <v>2005</v>
      </c>
      <c r="AA163">
        <v>2005</v>
      </c>
      <c r="AB163">
        <v>2005</v>
      </c>
      <c r="AC163">
        <v>2005</v>
      </c>
      <c r="AD163">
        <v>2005</v>
      </c>
      <c r="AE163">
        <v>2005</v>
      </c>
      <c r="AF163">
        <v>2005</v>
      </c>
      <c r="AG163">
        <v>2005</v>
      </c>
    </row>
    <row r="164" spans="1:33" x14ac:dyDescent="0.25">
      <c r="A164">
        <v>5008807</v>
      </c>
      <c r="B164" t="s">
        <v>11</v>
      </c>
      <c r="C164">
        <v>2002</v>
      </c>
      <c r="D164">
        <v>2002</v>
      </c>
      <c r="E164">
        <v>2002</v>
      </c>
      <c r="F164">
        <v>2002</v>
      </c>
      <c r="G164">
        <v>2002</v>
      </c>
      <c r="H164">
        <v>2002</v>
      </c>
      <c r="I164">
        <v>2002</v>
      </c>
      <c r="J164">
        <v>2002</v>
      </c>
      <c r="K164">
        <v>2002</v>
      </c>
      <c r="L164">
        <v>2002</v>
      </c>
      <c r="M164">
        <v>2002</v>
      </c>
      <c r="N164">
        <v>2002</v>
      </c>
      <c r="O164">
        <v>2002</v>
      </c>
      <c r="P164">
        <v>2002</v>
      </c>
      <c r="Q164">
        <v>2002</v>
      </c>
      <c r="R164">
        <v>2002</v>
      </c>
      <c r="S164">
        <v>2002</v>
      </c>
      <c r="T164">
        <v>2002</v>
      </c>
      <c r="U164">
        <v>2002</v>
      </c>
      <c r="V164">
        <v>2002</v>
      </c>
      <c r="W164">
        <v>2002</v>
      </c>
      <c r="X164">
        <v>2002</v>
      </c>
      <c r="Y164">
        <v>2002</v>
      </c>
      <c r="Z164">
        <v>2002</v>
      </c>
      <c r="AA164">
        <v>2002</v>
      </c>
      <c r="AB164">
        <v>2002</v>
      </c>
      <c r="AC164">
        <v>2002</v>
      </c>
      <c r="AD164">
        <v>2002</v>
      </c>
      <c r="AE164">
        <v>2002</v>
      </c>
      <c r="AF164">
        <v>2002</v>
      </c>
      <c r="AG164">
        <v>2002</v>
      </c>
    </row>
    <row r="165" spans="1:33" x14ac:dyDescent="0.25">
      <c r="A165">
        <v>5009400</v>
      </c>
      <c r="B165" t="s">
        <v>11</v>
      </c>
      <c r="C165">
        <v>2005</v>
      </c>
      <c r="D165">
        <v>2005</v>
      </c>
      <c r="E165">
        <v>2005</v>
      </c>
      <c r="F165">
        <v>2005</v>
      </c>
      <c r="G165">
        <v>2005</v>
      </c>
      <c r="H165">
        <v>2005</v>
      </c>
      <c r="I165">
        <v>2005</v>
      </c>
      <c r="J165">
        <v>2005</v>
      </c>
      <c r="K165">
        <v>2005</v>
      </c>
      <c r="L165">
        <v>2005</v>
      </c>
      <c r="M165">
        <v>2005</v>
      </c>
      <c r="N165">
        <v>2005</v>
      </c>
      <c r="O165">
        <v>2005</v>
      </c>
      <c r="P165">
        <v>2005</v>
      </c>
      <c r="Q165">
        <v>2005</v>
      </c>
      <c r="R165">
        <v>2005</v>
      </c>
      <c r="S165">
        <v>2005</v>
      </c>
      <c r="T165">
        <v>2005</v>
      </c>
      <c r="U165">
        <v>2005</v>
      </c>
      <c r="V165">
        <v>2005</v>
      </c>
      <c r="W165">
        <v>2005</v>
      </c>
      <c r="X165">
        <v>2005</v>
      </c>
      <c r="Y165">
        <v>2005</v>
      </c>
      <c r="Z165">
        <v>2005</v>
      </c>
      <c r="AA165">
        <v>2005</v>
      </c>
      <c r="AB165">
        <v>2005</v>
      </c>
      <c r="AC165">
        <v>2005</v>
      </c>
      <c r="AD165">
        <v>2005</v>
      </c>
      <c r="AE165">
        <v>2005</v>
      </c>
      <c r="AF165">
        <v>2005</v>
      </c>
      <c r="AG165">
        <v>2005</v>
      </c>
    </row>
    <row r="166" spans="1:33" x14ac:dyDescent="0.25">
      <c r="A166">
        <v>5016255</v>
      </c>
      <c r="B166" t="s">
        <v>11</v>
      </c>
      <c r="C166">
        <v>2004</v>
      </c>
      <c r="D166">
        <v>2004</v>
      </c>
      <c r="E166">
        <v>2004</v>
      </c>
      <c r="F166">
        <v>2004</v>
      </c>
      <c r="G166">
        <v>2004</v>
      </c>
      <c r="H166">
        <v>2004</v>
      </c>
      <c r="I166">
        <v>2004</v>
      </c>
      <c r="J166">
        <v>2004</v>
      </c>
      <c r="K166">
        <v>2004</v>
      </c>
      <c r="L166">
        <v>2004</v>
      </c>
      <c r="M166">
        <v>2004</v>
      </c>
      <c r="N166">
        <v>2004</v>
      </c>
      <c r="O166">
        <v>2004</v>
      </c>
      <c r="P166">
        <v>2004</v>
      </c>
      <c r="Q166">
        <v>2004</v>
      </c>
      <c r="R166">
        <v>2004</v>
      </c>
      <c r="S166">
        <v>2004</v>
      </c>
      <c r="T166">
        <v>2004</v>
      </c>
      <c r="U166">
        <v>2004</v>
      </c>
      <c r="V166">
        <v>2004</v>
      </c>
      <c r="W166">
        <v>2004</v>
      </c>
      <c r="X166">
        <v>2004</v>
      </c>
      <c r="Y166">
        <v>2004</v>
      </c>
      <c r="Z166">
        <v>2004</v>
      </c>
      <c r="AA166">
        <v>2004</v>
      </c>
      <c r="AB166">
        <v>2004</v>
      </c>
      <c r="AC166">
        <v>2004</v>
      </c>
      <c r="AD166">
        <v>2004</v>
      </c>
      <c r="AE166">
        <v>2004</v>
      </c>
      <c r="AF166">
        <v>2004</v>
      </c>
      <c r="AG166">
        <v>2004</v>
      </c>
    </row>
    <row r="167" spans="1:33" x14ac:dyDescent="0.25">
      <c r="A167">
        <v>6012448</v>
      </c>
      <c r="B167" t="s">
        <v>11</v>
      </c>
      <c r="C167">
        <v>2006</v>
      </c>
      <c r="D167">
        <v>2006</v>
      </c>
      <c r="E167">
        <v>2006</v>
      </c>
      <c r="F167">
        <v>2006</v>
      </c>
      <c r="G167">
        <v>2006</v>
      </c>
      <c r="H167">
        <v>2006</v>
      </c>
      <c r="I167">
        <v>2006</v>
      </c>
      <c r="J167">
        <v>2006</v>
      </c>
      <c r="K167">
        <v>2006</v>
      </c>
      <c r="L167">
        <v>2006</v>
      </c>
      <c r="M167">
        <v>2006</v>
      </c>
      <c r="N167">
        <v>2006</v>
      </c>
      <c r="O167">
        <v>2006</v>
      </c>
      <c r="P167">
        <v>2006</v>
      </c>
      <c r="Q167">
        <v>2006</v>
      </c>
      <c r="R167">
        <v>2006</v>
      </c>
      <c r="S167">
        <v>2006</v>
      </c>
      <c r="T167">
        <v>2006</v>
      </c>
      <c r="U167">
        <v>2006</v>
      </c>
      <c r="V167">
        <v>2006</v>
      </c>
      <c r="W167">
        <v>2006</v>
      </c>
      <c r="X167">
        <v>2006</v>
      </c>
      <c r="Y167">
        <v>2006</v>
      </c>
      <c r="Z167">
        <v>2006</v>
      </c>
      <c r="AA167">
        <v>2006</v>
      </c>
      <c r="AB167">
        <v>2006</v>
      </c>
      <c r="AC167">
        <v>2006</v>
      </c>
      <c r="AD167">
        <v>2006</v>
      </c>
      <c r="AE167">
        <v>2006</v>
      </c>
      <c r="AF167">
        <v>2006</v>
      </c>
      <c r="AG167">
        <v>2006</v>
      </c>
    </row>
    <row r="168" spans="1:33" x14ac:dyDescent="0.25">
      <c r="A168">
        <v>7000457</v>
      </c>
      <c r="B168" t="s">
        <v>11</v>
      </c>
      <c r="C168">
        <v>2005</v>
      </c>
      <c r="D168">
        <v>2005</v>
      </c>
      <c r="E168">
        <v>2005</v>
      </c>
      <c r="F168">
        <v>2005</v>
      </c>
      <c r="G168">
        <v>2005</v>
      </c>
      <c r="H168">
        <v>2005</v>
      </c>
      <c r="I168">
        <v>2005</v>
      </c>
      <c r="J168">
        <v>2005</v>
      </c>
      <c r="K168">
        <v>2005</v>
      </c>
      <c r="L168">
        <v>2005</v>
      </c>
      <c r="M168">
        <v>2005</v>
      </c>
      <c r="N168">
        <v>2005</v>
      </c>
      <c r="O168">
        <v>2005</v>
      </c>
      <c r="P168">
        <v>2005</v>
      </c>
      <c r="Q168">
        <v>2005</v>
      </c>
      <c r="R168">
        <v>2005</v>
      </c>
      <c r="S168">
        <v>2005</v>
      </c>
      <c r="T168">
        <v>2005</v>
      </c>
      <c r="U168">
        <v>2005</v>
      </c>
      <c r="V168">
        <v>2005</v>
      </c>
      <c r="W168">
        <v>2005</v>
      </c>
      <c r="X168">
        <v>2005</v>
      </c>
      <c r="Y168">
        <v>2005</v>
      </c>
      <c r="Z168">
        <v>2005</v>
      </c>
      <c r="AA168">
        <v>2005</v>
      </c>
      <c r="AB168">
        <v>2005</v>
      </c>
      <c r="AC168">
        <v>2005</v>
      </c>
      <c r="AD168">
        <v>2005</v>
      </c>
      <c r="AE168">
        <v>2005</v>
      </c>
      <c r="AF168">
        <v>2005</v>
      </c>
      <c r="AG168">
        <v>2005</v>
      </c>
    </row>
    <row r="169" spans="1:33" x14ac:dyDescent="0.25">
      <c r="A169">
        <v>7072644</v>
      </c>
      <c r="B169" t="s">
        <v>11</v>
      </c>
      <c r="C169">
        <v>2007</v>
      </c>
      <c r="D169">
        <v>2007</v>
      </c>
      <c r="E169">
        <v>2007</v>
      </c>
      <c r="F169">
        <v>2007</v>
      </c>
      <c r="G169">
        <v>2007</v>
      </c>
      <c r="H169">
        <v>2007</v>
      </c>
      <c r="I169">
        <v>2007</v>
      </c>
      <c r="J169">
        <v>2007</v>
      </c>
      <c r="K169">
        <v>2007</v>
      </c>
      <c r="L169">
        <v>2007</v>
      </c>
      <c r="M169">
        <v>2007</v>
      </c>
      <c r="N169">
        <v>2007</v>
      </c>
      <c r="O169">
        <v>2007</v>
      </c>
      <c r="P169">
        <v>2007</v>
      </c>
      <c r="Q169">
        <v>2007</v>
      </c>
      <c r="R169">
        <v>2007</v>
      </c>
      <c r="S169">
        <v>2007</v>
      </c>
      <c r="T169">
        <v>2007</v>
      </c>
      <c r="U169">
        <v>2007</v>
      </c>
      <c r="V169">
        <v>2007</v>
      </c>
      <c r="W169">
        <v>2007</v>
      </c>
      <c r="X169">
        <v>2007</v>
      </c>
      <c r="Y169">
        <v>2007</v>
      </c>
      <c r="Z169">
        <v>2007</v>
      </c>
      <c r="AA169">
        <v>2007</v>
      </c>
      <c r="AB169">
        <v>2007</v>
      </c>
      <c r="AC169">
        <v>2007</v>
      </c>
      <c r="AD169">
        <v>2007</v>
      </c>
      <c r="AE169">
        <v>2007</v>
      </c>
      <c r="AF169">
        <v>2007</v>
      </c>
      <c r="AG169">
        <v>2007</v>
      </c>
    </row>
    <row r="170" spans="1:33" x14ac:dyDescent="0.25">
      <c r="A170">
        <v>7126387</v>
      </c>
      <c r="B170" t="s">
        <v>11</v>
      </c>
      <c r="C170">
        <v>2005</v>
      </c>
      <c r="D170">
        <v>2005</v>
      </c>
      <c r="E170">
        <v>2005</v>
      </c>
      <c r="F170">
        <v>2005</v>
      </c>
      <c r="G170">
        <v>2005</v>
      </c>
      <c r="H170">
        <v>2005</v>
      </c>
      <c r="I170">
        <v>2005</v>
      </c>
      <c r="J170">
        <v>2005</v>
      </c>
      <c r="K170">
        <v>2005</v>
      </c>
      <c r="L170">
        <v>2005</v>
      </c>
      <c r="M170">
        <v>2005</v>
      </c>
      <c r="N170">
        <v>2005</v>
      </c>
      <c r="O170">
        <v>2005</v>
      </c>
      <c r="P170">
        <v>2005</v>
      </c>
      <c r="Q170">
        <v>2005</v>
      </c>
      <c r="R170">
        <v>2005</v>
      </c>
      <c r="S170">
        <v>2005</v>
      </c>
      <c r="T170">
        <v>2005</v>
      </c>
      <c r="U170">
        <v>2005</v>
      </c>
      <c r="V170">
        <v>2005</v>
      </c>
      <c r="W170">
        <v>2005</v>
      </c>
      <c r="X170">
        <v>2005</v>
      </c>
      <c r="Y170">
        <v>2005</v>
      </c>
      <c r="Z170">
        <v>2005</v>
      </c>
      <c r="AA170">
        <v>2005</v>
      </c>
      <c r="AB170">
        <v>2005</v>
      </c>
      <c r="AC170">
        <v>2005</v>
      </c>
      <c r="AD170">
        <v>2005</v>
      </c>
      <c r="AE170">
        <v>2005</v>
      </c>
      <c r="AF170">
        <v>2005</v>
      </c>
      <c r="AG170">
        <v>2005</v>
      </c>
    </row>
    <row r="171" spans="1:33" x14ac:dyDescent="0.25">
      <c r="A171">
        <v>10185935</v>
      </c>
      <c r="B171" t="s">
        <v>11</v>
      </c>
      <c r="C171">
        <v>2010</v>
      </c>
      <c r="D171">
        <v>2010</v>
      </c>
      <c r="E171">
        <v>2010</v>
      </c>
      <c r="F171">
        <v>2010</v>
      </c>
      <c r="G171">
        <v>2010</v>
      </c>
      <c r="H171">
        <v>2010</v>
      </c>
      <c r="I171">
        <v>2010</v>
      </c>
      <c r="J171">
        <v>2010</v>
      </c>
      <c r="K171">
        <v>2010</v>
      </c>
      <c r="L171">
        <v>2010</v>
      </c>
      <c r="M171">
        <v>2010</v>
      </c>
      <c r="N171">
        <v>2010</v>
      </c>
      <c r="O171">
        <v>2010</v>
      </c>
      <c r="P171">
        <v>2010</v>
      </c>
      <c r="Q171">
        <v>2010</v>
      </c>
      <c r="R171">
        <v>2010</v>
      </c>
      <c r="S171">
        <v>2010</v>
      </c>
      <c r="T171">
        <v>2010</v>
      </c>
      <c r="U171">
        <v>2010</v>
      </c>
      <c r="V171">
        <v>2010</v>
      </c>
      <c r="W171">
        <v>2010</v>
      </c>
      <c r="X171">
        <v>2010</v>
      </c>
      <c r="Y171">
        <v>2010</v>
      </c>
      <c r="Z171">
        <v>2010</v>
      </c>
      <c r="AA171">
        <v>2010</v>
      </c>
      <c r="AB171">
        <v>2010</v>
      </c>
      <c r="AC171">
        <v>2010</v>
      </c>
      <c r="AD171">
        <v>2010</v>
      </c>
      <c r="AE171">
        <v>2010</v>
      </c>
      <c r="AF171">
        <v>2010</v>
      </c>
      <c r="AG171">
        <v>2010</v>
      </c>
    </row>
    <row r="172" spans="1:33" x14ac:dyDescent="0.25">
      <c r="A172">
        <v>11061215</v>
      </c>
      <c r="B172" t="s">
        <v>11</v>
      </c>
      <c r="C172">
        <v>2011</v>
      </c>
      <c r="D172">
        <v>2011</v>
      </c>
      <c r="E172">
        <v>2011</v>
      </c>
      <c r="F172">
        <v>2011</v>
      </c>
      <c r="G172">
        <v>2011</v>
      </c>
      <c r="H172">
        <v>2011</v>
      </c>
      <c r="I172">
        <v>2011</v>
      </c>
      <c r="J172">
        <v>2011</v>
      </c>
      <c r="K172">
        <v>2011</v>
      </c>
      <c r="L172">
        <v>2011</v>
      </c>
      <c r="M172">
        <v>2011</v>
      </c>
      <c r="N172">
        <v>2011</v>
      </c>
      <c r="O172">
        <v>2011</v>
      </c>
      <c r="P172">
        <v>2011</v>
      </c>
      <c r="Q172">
        <v>2011</v>
      </c>
      <c r="R172">
        <v>2011</v>
      </c>
      <c r="S172">
        <v>2011</v>
      </c>
      <c r="T172">
        <v>2011</v>
      </c>
      <c r="U172">
        <v>2011</v>
      </c>
      <c r="V172">
        <v>2011</v>
      </c>
      <c r="W172">
        <v>2011</v>
      </c>
      <c r="X172">
        <v>2011</v>
      </c>
      <c r="Y172">
        <v>2011</v>
      </c>
      <c r="Z172">
        <v>2011</v>
      </c>
      <c r="AA172">
        <v>2011</v>
      </c>
      <c r="AB172">
        <v>2011</v>
      </c>
      <c r="AC172">
        <v>2011</v>
      </c>
      <c r="AD172">
        <v>2011</v>
      </c>
      <c r="AE172">
        <v>2011</v>
      </c>
      <c r="AF172">
        <v>2011</v>
      </c>
      <c r="AG172">
        <v>2011</v>
      </c>
    </row>
    <row r="173" spans="1:33" x14ac:dyDescent="0.25">
      <c r="A173">
        <v>93008468</v>
      </c>
      <c r="B173" t="s">
        <v>11</v>
      </c>
      <c r="C173">
        <v>1992</v>
      </c>
      <c r="D173">
        <v>1992</v>
      </c>
      <c r="E173">
        <v>1992</v>
      </c>
      <c r="F173">
        <v>1992</v>
      </c>
      <c r="G173">
        <v>1992</v>
      </c>
      <c r="H173">
        <v>1992</v>
      </c>
      <c r="I173">
        <v>1992</v>
      </c>
      <c r="J173">
        <v>1992</v>
      </c>
      <c r="K173">
        <v>1992</v>
      </c>
      <c r="L173">
        <v>1992</v>
      </c>
      <c r="M173">
        <v>1992</v>
      </c>
      <c r="N173">
        <v>1992</v>
      </c>
      <c r="O173">
        <v>1992</v>
      </c>
      <c r="P173">
        <v>1992</v>
      </c>
      <c r="Q173">
        <v>1992</v>
      </c>
      <c r="R173">
        <v>1992</v>
      </c>
      <c r="S173">
        <v>1992</v>
      </c>
      <c r="T173">
        <v>1992</v>
      </c>
      <c r="U173">
        <v>1992</v>
      </c>
      <c r="V173">
        <v>1992</v>
      </c>
      <c r="W173">
        <v>1992</v>
      </c>
      <c r="X173">
        <v>1992</v>
      </c>
      <c r="Y173">
        <v>1992</v>
      </c>
      <c r="Z173">
        <v>1992</v>
      </c>
      <c r="AA173">
        <v>1992</v>
      </c>
      <c r="AB173">
        <v>1992</v>
      </c>
      <c r="AC173">
        <v>1992</v>
      </c>
      <c r="AD173">
        <v>1992</v>
      </c>
      <c r="AE173">
        <v>1992</v>
      </c>
      <c r="AF173">
        <v>1992</v>
      </c>
      <c r="AG173">
        <v>1992</v>
      </c>
    </row>
    <row r="174" spans="1:33" x14ac:dyDescent="0.25">
      <c r="A174">
        <v>93016155</v>
      </c>
      <c r="B174" t="s">
        <v>11</v>
      </c>
      <c r="C174">
        <v>1993</v>
      </c>
      <c r="D174">
        <v>1993</v>
      </c>
      <c r="E174">
        <v>1993</v>
      </c>
      <c r="F174">
        <v>1993</v>
      </c>
      <c r="G174">
        <v>1993</v>
      </c>
      <c r="H174">
        <v>1993</v>
      </c>
      <c r="I174">
        <v>1993</v>
      </c>
      <c r="J174">
        <v>1993</v>
      </c>
      <c r="K174">
        <v>1993</v>
      </c>
      <c r="L174">
        <v>1993</v>
      </c>
      <c r="M174">
        <v>1993</v>
      </c>
      <c r="N174">
        <v>1993</v>
      </c>
      <c r="O174">
        <v>1993</v>
      </c>
      <c r="P174">
        <v>1993</v>
      </c>
      <c r="Q174">
        <v>1993</v>
      </c>
      <c r="R174">
        <v>1993</v>
      </c>
      <c r="S174">
        <v>1993</v>
      </c>
      <c r="T174">
        <v>1993</v>
      </c>
      <c r="U174">
        <v>1993</v>
      </c>
      <c r="V174">
        <v>1993</v>
      </c>
      <c r="W174">
        <v>1993</v>
      </c>
      <c r="X174">
        <v>1993</v>
      </c>
      <c r="Y174">
        <v>1993</v>
      </c>
      <c r="Z174">
        <v>1993</v>
      </c>
      <c r="AA174">
        <v>1993</v>
      </c>
      <c r="AB174">
        <v>1993</v>
      </c>
      <c r="AC174">
        <v>1993</v>
      </c>
      <c r="AD174">
        <v>1993</v>
      </c>
      <c r="AE174">
        <v>1993</v>
      </c>
      <c r="AF174">
        <v>1993</v>
      </c>
      <c r="AG174">
        <v>1993</v>
      </c>
    </row>
    <row r="175" spans="1:33" x14ac:dyDescent="0.25">
      <c r="A175">
        <v>93018845</v>
      </c>
      <c r="B175" t="s">
        <v>11</v>
      </c>
      <c r="C175">
        <v>1993</v>
      </c>
      <c r="D175">
        <v>1993</v>
      </c>
      <c r="E175">
        <v>1993</v>
      </c>
      <c r="F175">
        <v>1993</v>
      </c>
      <c r="G175">
        <v>1993</v>
      </c>
      <c r="H175">
        <v>1993</v>
      </c>
      <c r="I175">
        <v>1993</v>
      </c>
      <c r="J175">
        <v>1993</v>
      </c>
      <c r="K175">
        <v>1993</v>
      </c>
      <c r="L175">
        <v>1993</v>
      </c>
      <c r="M175">
        <v>1993</v>
      </c>
      <c r="N175">
        <v>1993</v>
      </c>
      <c r="O175">
        <v>1993</v>
      </c>
      <c r="P175">
        <v>1993</v>
      </c>
      <c r="Q175">
        <v>1993</v>
      </c>
      <c r="R175">
        <v>1993</v>
      </c>
      <c r="S175">
        <v>1993</v>
      </c>
      <c r="T175">
        <v>1993</v>
      </c>
      <c r="U175">
        <v>1993</v>
      </c>
      <c r="V175">
        <v>1993</v>
      </c>
      <c r="W175">
        <v>1993</v>
      </c>
      <c r="X175">
        <v>1993</v>
      </c>
      <c r="Y175">
        <v>1993</v>
      </c>
      <c r="Z175">
        <v>1993</v>
      </c>
      <c r="AA175">
        <v>1993</v>
      </c>
      <c r="AB175">
        <v>1993</v>
      </c>
      <c r="AC175">
        <v>1993</v>
      </c>
      <c r="AD175">
        <v>1993</v>
      </c>
      <c r="AE175">
        <v>1993</v>
      </c>
      <c r="AF175">
        <v>1993</v>
      </c>
      <c r="AG175">
        <v>1993</v>
      </c>
    </row>
    <row r="176" spans="1:33" x14ac:dyDescent="0.25">
      <c r="A176" t="s">
        <v>16</v>
      </c>
      <c r="B176" t="s">
        <v>11</v>
      </c>
      <c r="C176">
        <v>1994</v>
      </c>
      <c r="D176">
        <v>1994</v>
      </c>
      <c r="E176">
        <v>1994</v>
      </c>
      <c r="F176">
        <v>1994</v>
      </c>
      <c r="G176">
        <v>1994</v>
      </c>
      <c r="H176">
        <v>1994</v>
      </c>
      <c r="I176">
        <v>1994</v>
      </c>
      <c r="J176">
        <v>1994</v>
      </c>
      <c r="K176">
        <v>1994</v>
      </c>
      <c r="L176">
        <v>1994</v>
      </c>
      <c r="M176">
        <v>1994</v>
      </c>
      <c r="N176">
        <v>1994</v>
      </c>
      <c r="O176">
        <v>1994</v>
      </c>
      <c r="P176">
        <v>1994</v>
      </c>
      <c r="Q176">
        <v>1994</v>
      </c>
      <c r="R176">
        <v>1994</v>
      </c>
      <c r="S176">
        <v>1994</v>
      </c>
      <c r="T176">
        <v>1994</v>
      </c>
      <c r="U176">
        <v>1994</v>
      </c>
      <c r="V176">
        <v>1994</v>
      </c>
      <c r="W176">
        <v>1994</v>
      </c>
      <c r="X176">
        <v>1994</v>
      </c>
      <c r="Y176">
        <v>1994</v>
      </c>
      <c r="Z176">
        <v>1994</v>
      </c>
      <c r="AA176">
        <v>1994</v>
      </c>
      <c r="AB176">
        <v>1994</v>
      </c>
      <c r="AC176">
        <v>1994</v>
      </c>
      <c r="AD176">
        <v>1994</v>
      </c>
      <c r="AE176">
        <v>1994</v>
      </c>
      <c r="AF176">
        <v>1994</v>
      </c>
      <c r="AG176">
        <v>1994</v>
      </c>
    </row>
    <row r="177" spans="1:33" x14ac:dyDescent="0.25">
      <c r="A177">
        <v>94006009</v>
      </c>
      <c r="B177" t="s">
        <v>11</v>
      </c>
      <c r="C177">
        <v>1994</v>
      </c>
      <c r="D177">
        <v>1994</v>
      </c>
      <c r="E177">
        <v>1994</v>
      </c>
      <c r="F177">
        <v>1994</v>
      </c>
      <c r="G177">
        <v>1994</v>
      </c>
      <c r="H177">
        <v>1994</v>
      </c>
      <c r="I177">
        <v>1994</v>
      </c>
      <c r="J177">
        <v>1994</v>
      </c>
      <c r="K177">
        <v>1994</v>
      </c>
      <c r="L177">
        <v>1994</v>
      </c>
      <c r="M177">
        <v>1994</v>
      </c>
      <c r="N177">
        <v>1994</v>
      </c>
      <c r="O177">
        <v>1994</v>
      </c>
      <c r="P177">
        <v>1994</v>
      </c>
      <c r="Q177">
        <v>1994</v>
      </c>
      <c r="R177">
        <v>1994</v>
      </c>
      <c r="S177">
        <v>1994</v>
      </c>
      <c r="T177">
        <v>1994</v>
      </c>
      <c r="U177">
        <v>1994</v>
      </c>
      <c r="V177">
        <v>1994</v>
      </c>
      <c r="W177">
        <v>1994</v>
      </c>
      <c r="X177">
        <v>1994</v>
      </c>
      <c r="Y177">
        <v>1994</v>
      </c>
      <c r="Z177">
        <v>1994</v>
      </c>
      <c r="AA177">
        <v>1994</v>
      </c>
      <c r="AB177">
        <v>1994</v>
      </c>
      <c r="AC177">
        <v>1994</v>
      </c>
      <c r="AD177">
        <v>1994</v>
      </c>
      <c r="AE177">
        <v>1994</v>
      </c>
      <c r="AF177">
        <v>1994</v>
      </c>
      <c r="AG177">
        <v>1994</v>
      </c>
    </row>
    <row r="178" spans="1:33" x14ac:dyDescent="0.25">
      <c r="A178">
        <v>94014126</v>
      </c>
      <c r="B178" t="s">
        <v>11</v>
      </c>
      <c r="C178">
        <v>1993</v>
      </c>
      <c r="D178">
        <v>1993</v>
      </c>
      <c r="E178">
        <v>1993</v>
      </c>
      <c r="F178">
        <v>1993</v>
      </c>
      <c r="G178">
        <v>1993</v>
      </c>
      <c r="H178">
        <v>1993</v>
      </c>
      <c r="I178">
        <v>1993</v>
      </c>
      <c r="J178">
        <v>1993</v>
      </c>
      <c r="K178">
        <v>1993</v>
      </c>
      <c r="L178">
        <v>1993</v>
      </c>
      <c r="M178">
        <v>1993</v>
      </c>
      <c r="N178">
        <v>1993</v>
      </c>
      <c r="O178">
        <v>1993</v>
      </c>
      <c r="P178">
        <v>1993</v>
      </c>
      <c r="Q178">
        <v>1993</v>
      </c>
      <c r="R178">
        <v>1993</v>
      </c>
      <c r="S178">
        <v>1993</v>
      </c>
      <c r="T178">
        <v>1993</v>
      </c>
      <c r="U178">
        <v>1993</v>
      </c>
      <c r="V178">
        <v>1993</v>
      </c>
      <c r="W178">
        <v>1993</v>
      </c>
      <c r="X178">
        <v>1993</v>
      </c>
      <c r="Y178">
        <v>1993</v>
      </c>
      <c r="Z178">
        <v>1993</v>
      </c>
      <c r="AA178">
        <v>1993</v>
      </c>
      <c r="AB178">
        <v>1993</v>
      </c>
      <c r="AC178">
        <v>1993</v>
      </c>
      <c r="AD178">
        <v>1993</v>
      </c>
      <c r="AE178">
        <v>1993</v>
      </c>
      <c r="AF178">
        <v>1993</v>
      </c>
      <c r="AG178">
        <v>1993</v>
      </c>
    </row>
    <row r="179" spans="1:33" x14ac:dyDescent="0.25">
      <c r="A179">
        <v>94900361</v>
      </c>
      <c r="B179" t="s">
        <v>11</v>
      </c>
      <c r="C179">
        <v>1994</v>
      </c>
      <c r="D179">
        <v>1994</v>
      </c>
      <c r="E179">
        <v>1994</v>
      </c>
      <c r="F179">
        <v>1994</v>
      </c>
      <c r="G179">
        <v>1994</v>
      </c>
      <c r="H179">
        <v>1994</v>
      </c>
      <c r="I179">
        <v>1994</v>
      </c>
      <c r="J179">
        <v>1994</v>
      </c>
      <c r="K179">
        <v>1994</v>
      </c>
      <c r="L179">
        <v>1994</v>
      </c>
      <c r="M179">
        <v>1994</v>
      </c>
      <c r="N179">
        <v>1994</v>
      </c>
      <c r="O179">
        <v>1994</v>
      </c>
      <c r="P179">
        <v>1994</v>
      </c>
      <c r="Q179">
        <v>1994</v>
      </c>
      <c r="R179">
        <v>1994</v>
      </c>
      <c r="S179">
        <v>1994</v>
      </c>
      <c r="T179">
        <v>1994</v>
      </c>
      <c r="U179">
        <v>1994</v>
      </c>
      <c r="V179">
        <v>1994</v>
      </c>
      <c r="W179">
        <v>1994</v>
      </c>
      <c r="X179">
        <v>1994</v>
      </c>
      <c r="Y179">
        <v>1994</v>
      </c>
      <c r="Z179">
        <v>1994</v>
      </c>
      <c r="AA179">
        <v>1994</v>
      </c>
      <c r="AB179">
        <v>1994</v>
      </c>
      <c r="AC179">
        <v>1994</v>
      </c>
      <c r="AD179">
        <v>1994</v>
      </c>
      <c r="AE179">
        <v>1994</v>
      </c>
      <c r="AF179">
        <v>1994</v>
      </c>
      <c r="AG179">
        <v>1994</v>
      </c>
    </row>
    <row r="180" spans="1:33" x14ac:dyDescent="0.25">
      <c r="A180">
        <v>94901890</v>
      </c>
      <c r="B180" t="s">
        <v>11</v>
      </c>
      <c r="C180">
        <v>1994</v>
      </c>
      <c r="D180">
        <v>1994</v>
      </c>
      <c r="E180">
        <v>1994</v>
      </c>
      <c r="F180">
        <v>1994</v>
      </c>
      <c r="G180">
        <v>1994</v>
      </c>
      <c r="H180">
        <v>1994</v>
      </c>
      <c r="I180">
        <v>1994</v>
      </c>
      <c r="J180">
        <v>1994</v>
      </c>
      <c r="K180">
        <v>1994</v>
      </c>
      <c r="L180">
        <v>1994</v>
      </c>
      <c r="M180">
        <v>1994</v>
      </c>
      <c r="N180">
        <v>1994</v>
      </c>
      <c r="O180">
        <v>1994</v>
      </c>
      <c r="P180">
        <v>1994</v>
      </c>
      <c r="Q180">
        <v>1994</v>
      </c>
      <c r="R180">
        <v>1994</v>
      </c>
      <c r="S180">
        <v>1994</v>
      </c>
      <c r="T180">
        <v>1994</v>
      </c>
      <c r="U180">
        <v>1994</v>
      </c>
      <c r="V180">
        <v>1994</v>
      </c>
      <c r="W180">
        <v>1994</v>
      </c>
      <c r="X180">
        <v>1994</v>
      </c>
      <c r="Y180">
        <v>1994</v>
      </c>
      <c r="Z180">
        <v>1994</v>
      </c>
      <c r="AA180">
        <v>1994</v>
      </c>
      <c r="AB180">
        <v>1994</v>
      </c>
      <c r="AC180">
        <v>1994</v>
      </c>
      <c r="AD180">
        <v>1994</v>
      </c>
      <c r="AE180">
        <v>1994</v>
      </c>
      <c r="AF180">
        <v>1994</v>
      </c>
      <c r="AG180">
        <v>1994</v>
      </c>
    </row>
    <row r="181" spans="1:33" x14ac:dyDescent="0.25">
      <c r="A181">
        <v>95001046</v>
      </c>
      <c r="B181" t="s">
        <v>11</v>
      </c>
      <c r="C181">
        <v>1995</v>
      </c>
      <c r="D181">
        <v>1995</v>
      </c>
      <c r="E181">
        <v>1995</v>
      </c>
      <c r="F181">
        <v>1995</v>
      </c>
      <c r="G181">
        <v>1995</v>
      </c>
      <c r="H181">
        <v>1995</v>
      </c>
      <c r="I181">
        <v>1995</v>
      </c>
      <c r="J181">
        <v>1995</v>
      </c>
      <c r="K181">
        <v>1995</v>
      </c>
      <c r="L181">
        <v>1995</v>
      </c>
      <c r="M181">
        <v>1995</v>
      </c>
      <c r="N181">
        <v>1995</v>
      </c>
      <c r="O181">
        <v>1995</v>
      </c>
      <c r="P181">
        <v>1995</v>
      </c>
      <c r="Q181">
        <v>1995</v>
      </c>
      <c r="R181">
        <v>1995</v>
      </c>
      <c r="S181">
        <v>1995</v>
      </c>
      <c r="T181">
        <v>1995</v>
      </c>
      <c r="U181">
        <v>1995</v>
      </c>
      <c r="V181">
        <v>1995</v>
      </c>
      <c r="W181">
        <v>1995</v>
      </c>
      <c r="X181">
        <v>1995</v>
      </c>
      <c r="Y181">
        <v>1995</v>
      </c>
      <c r="Z181">
        <v>1995</v>
      </c>
      <c r="AA181">
        <v>1995</v>
      </c>
      <c r="AB181">
        <v>1995</v>
      </c>
      <c r="AC181">
        <v>1995</v>
      </c>
      <c r="AD181">
        <v>1995</v>
      </c>
      <c r="AE181">
        <v>1995</v>
      </c>
      <c r="AF181">
        <v>1995</v>
      </c>
      <c r="AG181">
        <v>1995</v>
      </c>
    </row>
    <row r="182" spans="1:33" x14ac:dyDescent="0.25">
      <c r="A182">
        <v>96004031</v>
      </c>
      <c r="B182" t="s">
        <v>11</v>
      </c>
      <c r="C182">
        <v>1996</v>
      </c>
      <c r="D182">
        <v>1996</v>
      </c>
      <c r="E182">
        <v>1996</v>
      </c>
      <c r="F182">
        <v>1996</v>
      </c>
      <c r="G182">
        <v>1996</v>
      </c>
      <c r="H182">
        <v>1996</v>
      </c>
      <c r="I182">
        <v>1996</v>
      </c>
      <c r="J182">
        <v>1996</v>
      </c>
      <c r="K182">
        <v>1996</v>
      </c>
      <c r="L182">
        <v>1996</v>
      </c>
      <c r="M182">
        <v>1996</v>
      </c>
      <c r="N182">
        <v>1996</v>
      </c>
      <c r="O182">
        <v>1996</v>
      </c>
      <c r="P182">
        <v>1996</v>
      </c>
      <c r="Q182">
        <v>1996</v>
      </c>
      <c r="R182">
        <v>1996</v>
      </c>
      <c r="S182">
        <v>1996</v>
      </c>
      <c r="T182">
        <v>1996</v>
      </c>
      <c r="U182">
        <v>1996</v>
      </c>
      <c r="V182">
        <v>1996</v>
      </c>
      <c r="W182">
        <v>1996</v>
      </c>
      <c r="X182">
        <v>1996</v>
      </c>
      <c r="Y182">
        <v>1996</v>
      </c>
      <c r="Z182">
        <v>1996</v>
      </c>
      <c r="AA182">
        <v>1996</v>
      </c>
      <c r="AB182">
        <v>1996</v>
      </c>
      <c r="AC182">
        <v>1996</v>
      </c>
      <c r="AD182">
        <v>1996</v>
      </c>
      <c r="AE182">
        <v>1996</v>
      </c>
      <c r="AF182">
        <v>1996</v>
      </c>
      <c r="AG182">
        <v>1996</v>
      </c>
    </row>
    <row r="183" spans="1:33" x14ac:dyDescent="0.25">
      <c r="A183">
        <v>97004458</v>
      </c>
      <c r="B183" t="s">
        <v>11</v>
      </c>
      <c r="C183">
        <v>1997</v>
      </c>
      <c r="D183">
        <v>1997</v>
      </c>
      <c r="E183">
        <v>1997</v>
      </c>
      <c r="F183">
        <v>1997</v>
      </c>
      <c r="G183">
        <v>1997</v>
      </c>
      <c r="H183">
        <v>1997</v>
      </c>
      <c r="I183">
        <v>1997</v>
      </c>
      <c r="J183">
        <v>1997</v>
      </c>
      <c r="K183">
        <v>1997</v>
      </c>
      <c r="L183">
        <v>1997</v>
      </c>
      <c r="M183">
        <v>1997</v>
      </c>
      <c r="N183">
        <v>1997</v>
      </c>
      <c r="O183">
        <v>1997</v>
      </c>
      <c r="P183">
        <v>1997</v>
      </c>
      <c r="Q183">
        <v>1997</v>
      </c>
      <c r="R183">
        <v>1997</v>
      </c>
      <c r="S183">
        <v>1997</v>
      </c>
      <c r="T183">
        <v>1997</v>
      </c>
      <c r="U183">
        <v>1997</v>
      </c>
      <c r="V183">
        <v>1997</v>
      </c>
      <c r="W183">
        <v>1997</v>
      </c>
      <c r="X183">
        <v>1997</v>
      </c>
      <c r="Y183">
        <v>1997</v>
      </c>
      <c r="Z183">
        <v>1997</v>
      </c>
      <c r="AA183">
        <v>1997</v>
      </c>
      <c r="AB183">
        <v>1997</v>
      </c>
      <c r="AC183">
        <v>1997</v>
      </c>
      <c r="AD183">
        <v>1997</v>
      </c>
      <c r="AE183">
        <v>1997</v>
      </c>
      <c r="AF183">
        <v>1997</v>
      </c>
      <c r="AG183">
        <v>1997</v>
      </c>
    </row>
    <row r="184" spans="1:33" x14ac:dyDescent="0.25">
      <c r="A184">
        <v>97009212</v>
      </c>
      <c r="B184" t="s">
        <v>11</v>
      </c>
      <c r="C184">
        <v>1996</v>
      </c>
      <c r="D184">
        <v>1996</v>
      </c>
      <c r="E184">
        <v>1996</v>
      </c>
      <c r="F184">
        <v>1996</v>
      </c>
      <c r="G184">
        <v>1996</v>
      </c>
      <c r="H184">
        <v>1996</v>
      </c>
      <c r="I184">
        <v>1996</v>
      </c>
      <c r="J184">
        <v>1996</v>
      </c>
      <c r="K184">
        <v>1996</v>
      </c>
      <c r="L184">
        <v>1996</v>
      </c>
      <c r="M184">
        <v>1996</v>
      </c>
      <c r="N184">
        <v>1996</v>
      </c>
      <c r="O184">
        <v>1996</v>
      </c>
      <c r="P184">
        <v>1996</v>
      </c>
      <c r="Q184">
        <v>1996</v>
      </c>
      <c r="R184">
        <v>1996</v>
      </c>
      <c r="S184">
        <v>1996</v>
      </c>
      <c r="T184">
        <v>1996</v>
      </c>
      <c r="U184">
        <v>1996</v>
      </c>
      <c r="V184">
        <v>1996</v>
      </c>
      <c r="W184">
        <v>1996</v>
      </c>
      <c r="X184">
        <v>1996</v>
      </c>
      <c r="Y184">
        <v>1996</v>
      </c>
      <c r="Z184">
        <v>1996</v>
      </c>
      <c r="AA184">
        <v>1996</v>
      </c>
      <c r="AB184">
        <v>1996</v>
      </c>
      <c r="AC184">
        <v>1996</v>
      </c>
      <c r="AD184">
        <v>1996</v>
      </c>
      <c r="AE184">
        <v>1996</v>
      </c>
      <c r="AF184">
        <v>1996</v>
      </c>
      <c r="AG184">
        <v>1996</v>
      </c>
    </row>
    <row r="185" spans="1:33" x14ac:dyDescent="0.25">
      <c r="A185">
        <v>98006038</v>
      </c>
      <c r="B185" t="s">
        <v>11</v>
      </c>
      <c r="C185">
        <v>1998</v>
      </c>
      <c r="D185">
        <v>1998</v>
      </c>
      <c r="E185">
        <v>1998</v>
      </c>
      <c r="F185">
        <v>1998</v>
      </c>
      <c r="G185">
        <v>1998</v>
      </c>
      <c r="H185">
        <v>1998</v>
      </c>
      <c r="I185">
        <v>1998</v>
      </c>
      <c r="J185">
        <v>1998</v>
      </c>
      <c r="K185">
        <v>1998</v>
      </c>
      <c r="L185">
        <v>1998</v>
      </c>
      <c r="M185">
        <v>1998</v>
      </c>
      <c r="N185">
        <v>1998</v>
      </c>
      <c r="O185">
        <v>1998</v>
      </c>
      <c r="P185">
        <v>1998</v>
      </c>
      <c r="Q185">
        <v>1998</v>
      </c>
      <c r="R185">
        <v>1998</v>
      </c>
      <c r="S185">
        <v>1998</v>
      </c>
      <c r="T185">
        <v>1998</v>
      </c>
      <c r="U185">
        <v>1998</v>
      </c>
      <c r="V185">
        <v>1998</v>
      </c>
      <c r="W185">
        <v>1998</v>
      </c>
      <c r="X185">
        <v>1998</v>
      </c>
      <c r="Y185">
        <v>1998</v>
      </c>
      <c r="Z185">
        <v>1998</v>
      </c>
      <c r="AA185">
        <v>1998</v>
      </c>
      <c r="AB185">
        <v>1998</v>
      </c>
      <c r="AC185">
        <v>1998</v>
      </c>
      <c r="AD185">
        <v>1998</v>
      </c>
      <c r="AE185">
        <v>1998</v>
      </c>
      <c r="AF185">
        <v>1998</v>
      </c>
      <c r="AG185">
        <v>1998</v>
      </c>
    </row>
    <row r="186" spans="1:33" x14ac:dyDescent="0.25">
      <c r="A186">
        <v>98009041</v>
      </c>
      <c r="B186" t="s">
        <v>11</v>
      </c>
      <c r="C186">
        <v>1998</v>
      </c>
      <c r="D186">
        <v>1998</v>
      </c>
      <c r="E186">
        <v>1998</v>
      </c>
      <c r="F186">
        <v>1998</v>
      </c>
      <c r="G186">
        <v>1998</v>
      </c>
      <c r="H186">
        <v>1998</v>
      </c>
      <c r="I186">
        <v>1998</v>
      </c>
      <c r="J186">
        <v>1998</v>
      </c>
      <c r="K186">
        <v>1998</v>
      </c>
      <c r="L186">
        <v>1998</v>
      </c>
      <c r="M186">
        <v>1998</v>
      </c>
      <c r="N186">
        <v>1998</v>
      </c>
      <c r="O186">
        <v>1998</v>
      </c>
      <c r="P186">
        <v>1998</v>
      </c>
      <c r="Q186">
        <v>1998</v>
      </c>
      <c r="R186">
        <v>1998</v>
      </c>
      <c r="S186">
        <v>1998</v>
      </c>
      <c r="T186">
        <v>1998</v>
      </c>
      <c r="U186">
        <v>1998</v>
      </c>
      <c r="V186">
        <v>1998</v>
      </c>
      <c r="W186">
        <v>1998</v>
      </c>
      <c r="X186">
        <v>1998</v>
      </c>
      <c r="Y186">
        <v>1998</v>
      </c>
      <c r="Z186">
        <v>1998</v>
      </c>
      <c r="AA186">
        <v>1998</v>
      </c>
      <c r="AB186">
        <v>1998</v>
      </c>
      <c r="AC186">
        <v>1998</v>
      </c>
      <c r="AD186">
        <v>1998</v>
      </c>
      <c r="AE186">
        <v>1998</v>
      </c>
      <c r="AF186">
        <v>1998</v>
      </c>
      <c r="AG186">
        <v>1998</v>
      </c>
    </row>
    <row r="187" spans="1:33" x14ac:dyDescent="0.25">
      <c r="A187">
        <v>99000714</v>
      </c>
      <c r="B187" t="s">
        <v>11</v>
      </c>
      <c r="C187">
        <v>1999</v>
      </c>
      <c r="D187">
        <v>1999</v>
      </c>
      <c r="E187">
        <v>1999</v>
      </c>
      <c r="F187">
        <v>1999</v>
      </c>
      <c r="G187">
        <v>1999</v>
      </c>
      <c r="H187">
        <v>1999</v>
      </c>
      <c r="I187">
        <v>1999</v>
      </c>
      <c r="J187">
        <v>1999</v>
      </c>
      <c r="K187">
        <v>1999</v>
      </c>
      <c r="L187">
        <v>1999</v>
      </c>
      <c r="M187">
        <v>1999</v>
      </c>
      <c r="N187">
        <v>1999</v>
      </c>
      <c r="O187">
        <v>1999</v>
      </c>
      <c r="P187">
        <v>1999</v>
      </c>
      <c r="Q187">
        <v>1999</v>
      </c>
      <c r="R187">
        <v>1999</v>
      </c>
      <c r="S187">
        <v>1999</v>
      </c>
      <c r="T187">
        <v>1999</v>
      </c>
      <c r="U187">
        <v>1999</v>
      </c>
      <c r="V187">
        <v>1999</v>
      </c>
      <c r="W187">
        <v>1999</v>
      </c>
      <c r="X187">
        <v>1999</v>
      </c>
      <c r="Y187">
        <v>1999</v>
      </c>
      <c r="Z187">
        <v>1999</v>
      </c>
      <c r="AA187">
        <v>1999</v>
      </c>
      <c r="AB187">
        <v>1999</v>
      </c>
      <c r="AC187">
        <v>1999</v>
      </c>
      <c r="AD187">
        <v>1999</v>
      </c>
      <c r="AE187">
        <v>1999</v>
      </c>
      <c r="AF187">
        <v>1999</v>
      </c>
      <c r="AG187">
        <v>1999</v>
      </c>
    </row>
    <row r="188" spans="1:33" x14ac:dyDescent="0.25">
      <c r="A188">
        <v>99007116</v>
      </c>
      <c r="B188" t="s">
        <v>11</v>
      </c>
      <c r="C188">
        <v>1999</v>
      </c>
      <c r="D188">
        <v>1999</v>
      </c>
      <c r="E188">
        <v>1999</v>
      </c>
      <c r="F188">
        <v>1999</v>
      </c>
      <c r="G188">
        <v>1999</v>
      </c>
      <c r="H188">
        <v>1999</v>
      </c>
      <c r="I188">
        <v>1999</v>
      </c>
      <c r="J188">
        <v>1999</v>
      </c>
      <c r="K188">
        <v>1999</v>
      </c>
      <c r="L188">
        <v>1999</v>
      </c>
      <c r="M188">
        <v>1999</v>
      </c>
      <c r="N188">
        <v>1999</v>
      </c>
      <c r="O188">
        <v>1999</v>
      </c>
      <c r="P188">
        <v>1999</v>
      </c>
      <c r="Q188">
        <v>1999</v>
      </c>
      <c r="R188">
        <v>1999</v>
      </c>
      <c r="S188">
        <v>1999</v>
      </c>
      <c r="T188">
        <v>1999</v>
      </c>
      <c r="U188">
        <v>1999</v>
      </c>
      <c r="V188">
        <v>1999</v>
      </c>
      <c r="W188">
        <v>1999</v>
      </c>
      <c r="X188">
        <v>1999</v>
      </c>
      <c r="Y188">
        <v>1999</v>
      </c>
      <c r="Z188">
        <v>1999</v>
      </c>
      <c r="AA188">
        <v>1999</v>
      </c>
      <c r="AB188">
        <v>1999</v>
      </c>
      <c r="AC188">
        <v>1999</v>
      </c>
      <c r="AD188">
        <v>1999</v>
      </c>
      <c r="AE188">
        <v>1999</v>
      </c>
      <c r="AF188">
        <v>1999</v>
      </c>
      <c r="AG188">
        <v>1999</v>
      </c>
    </row>
    <row r="189" spans="1:33" x14ac:dyDescent="0.25">
      <c r="A189">
        <v>99901293</v>
      </c>
      <c r="B189" t="s">
        <v>11</v>
      </c>
      <c r="C189">
        <v>1997</v>
      </c>
      <c r="D189">
        <v>1997</v>
      </c>
      <c r="E189">
        <v>1997</v>
      </c>
      <c r="F189">
        <v>1997</v>
      </c>
      <c r="G189">
        <v>1997</v>
      </c>
      <c r="H189">
        <v>1997</v>
      </c>
      <c r="I189">
        <v>1997</v>
      </c>
      <c r="J189">
        <v>1997</v>
      </c>
      <c r="K189">
        <v>1997</v>
      </c>
      <c r="L189">
        <v>1997</v>
      </c>
      <c r="M189">
        <v>1997</v>
      </c>
      <c r="N189">
        <v>1997</v>
      </c>
      <c r="O189">
        <v>1997</v>
      </c>
      <c r="P189">
        <v>1997</v>
      </c>
      <c r="Q189">
        <v>1997</v>
      </c>
      <c r="R189">
        <v>1997</v>
      </c>
      <c r="S189">
        <v>1997</v>
      </c>
      <c r="T189">
        <v>1997</v>
      </c>
      <c r="U189">
        <v>1997</v>
      </c>
      <c r="V189">
        <v>1997</v>
      </c>
      <c r="W189">
        <v>1997</v>
      </c>
      <c r="X189">
        <v>1997</v>
      </c>
      <c r="Y189">
        <v>1997</v>
      </c>
      <c r="Z189">
        <v>1997</v>
      </c>
      <c r="AA189">
        <v>1997</v>
      </c>
      <c r="AB189">
        <v>1997</v>
      </c>
      <c r="AC189">
        <v>1997</v>
      </c>
      <c r="AD189">
        <v>1997</v>
      </c>
      <c r="AE189">
        <v>1997</v>
      </c>
      <c r="AF189">
        <v>1997</v>
      </c>
      <c r="AG189">
        <v>1997</v>
      </c>
    </row>
    <row r="190" spans="1:33" x14ac:dyDescent="0.25">
      <c r="A190">
        <v>99901604</v>
      </c>
      <c r="B190" t="s">
        <v>11</v>
      </c>
      <c r="C190">
        <v>1999</v>
      </c>
      <c r="D190">
        <v>1999</v>
      </c>
      <c r="E190">
        <v>1999</v>
      </c>
      <c r="F190">
        <v>1999</v>
      </c>
      <c r="G190">
        <v>1999</v>
      </c>
      <c r="H190">
        <v>1999</v>
      </c>
      <c r="I190">
        <v>1999</v>
      </c>
      <c r="J190">
        <v>1999</v>
      </c>
      <c r="K190">
        <v>1999</v>
      </c>
      <c r="L190">
        <v>1999</v>
      </c>
      <c r="M190">
        <v>1999</v>
      </c>
      <c r="N190">
        <v>1999</v>
      </c>
      <c r="O190">
        <v>1999</v>
      </c>
      <c r="P190">
        <v>1999</v>
      </c>
      <c r="Q190">
        <v>1999</v>
      </c>
      <c r="R190">
        <v>1999</v>
      </c>
      <c r="S190">
        <v>1999</v>
      </c>
      <c r="T190">
        <v>1999</v>
      </c>
      <c r="U190">
        <v>1999</v>
      </c>
      <c r="V190">
        <v>1999</v>
      </c>
      <c r="W190">
        <v>1999</v>
      </c>
      <c r="X190">
        <v>1999</v>
      </c>
      <c r="Y190">
        <v>1999</v>
      </c>
      <c r="Z190">
        <v>1999</v>
      </c>
      <c r="AA190">
        <v>1999</v>
      </c>
      <c r="AB190">
        <v>1999</v>
      </c>
      <c r="AC190">
        <v>1999</v>
      </c>
      <c r="AD190">
        <v>1999</v>
      </c>
      <c r="AE190">
        <v>1999</v>
      </c>
      <c r="AF190">
        <v>1999</v>
      </c>
      <c r="AG190">
        <v>1999</v>
      </c>
    </row>
    <row r="191" spans="1:33" x14ac:dyDescent="0.25">
      <c r="A191">
        <v>3017227</v>
      </c>
      <c r="B191" t="s">
        <v>11</v>
      </c>
      <c r="C191">
        <v>2003</v>
      </c>
      <c r="D191">
        <v>2003</v>
      </c>
      <c r="E191">
        <v>2003</v>
      </c>
      <c r="F191">
        <v>2003</v>
      </c>
      <c r="G191">
        <v>2003</v>
      </c>
      <c r="H191">
        <v>2003</v>
      </c>
      <c r="I191">
        <v>2003</v>
      </c>
      <c r="J191">
        <v>2003</v>
      </c>
      <c r="K191">
        <v>2003</v>
      </c>
      <c r="L191">
        <v>2003</v>
      </c>
      <c r="M191">
        <v>2003</v>
      </c>
      <c r="N191">
        <v>2003</v>
      </c>
      <c r="O191">
        <v>2003</v>
      </c>
      <c r="P191">
        <v>2003</v>
      </c>
      <c r="Q191">
        <v>2003</v>
      </c>
      <c r="R191">
        <v>2003</v>
      </c>
      <c r="S191">
        <v>2003</v>
      </c>
      <c r="T191">
        <v>2003</v>
      </c>
      <c r="U191">
        <v>2003</v>
      </c>
      <c r="V191">
        <v>2003</v>
      </c>
      <c r="W191">
        <v>2003</v>
      </c>
      <c r="X191">
        <v>2003</v>
      </c>
      <c r="Y191">
        <v>2003</v>
      </c>
      <c r="Z191">
        <v>2003</v>
      </c>
      <c r="AA191">
        <v>2003</v>
      </c>
      <c r="AB191">
        <v>2003</v>
      </c>
      <c r="AC191">
        <v>2003</v>
      </c>
      <c r="AD191">
        <v>2003</v>
      </c>
      <c r="AE191">
        <v>2003</v>
      </c>
      <c r="AF191">
        <v>2003</v>
      </c>
      <c r="AG191">
        <v>2003</v>
      </c>
    </row>
    <row r="192" spans="1:33" x14ac:dyDescent="0.25">
      <c r="A192" s="5">
        <v>2007648</v>
      </c>
      <c r="B192" t="s">
        <v>11</v>
      </c>
      <c r="C192">
        <v>2002</v>
      </c>
      <c r="D192">
        <v>2002</v>
      </c>
      <c r="E192">
        <v>2002</v>
      </c>
      <c r="F192">
        <v>2002</v>
      </c>
      <c r="G192">
        <v>2002</v>
      </c>
      <c r="H192">
        <v>2002</v>
      </c>
      <c r="I192">
        <v>2002</v>
      </c>
      <c r="J192">
        <v>2002</v>
      </c>
      <c r="K192">
        <v>2002</v>
      </c>
      <c r="L192">
        <v>2002</v>
      </c>
      <c r="M192">
        <v>2002</v>
      </c>
      <c r="N192">
        <v>2002</v>
      </c>
      <c r="O192">
        <v>2002</v>
      </c>
      <c r="P192">
        <v>2002</v>
      </c>
      <c r="Q192">
        <v>2002</v>
      </c>
      <c r="R192">
        <v>2002</v>
      </c>
      <c r="S192">
        <v>2002</v>
      </c>
      <c r="T192">
        <v>2002</v>
      </c>
      <c r="U192">
        <v>2002</v>
      </c>
      <c r="V192">
        <v>2002</v>
      </c>
      <c r="W192">
        <v>2002</v>
      </c>
      <c r="X192">
        <v>2002</v>
      </c>
      <c r="Y192">
        <v>2002</v>
      </c>
      <c r="Z192">
        <v>2002</v>
      </c>
      <c r="AA192">
        <v>2002</v>
      </c>
      <c r="AB192">
        <v>2002</v>
      </c>
      <c r="AC192">
        <v>2002</v>
      </c>
      <c r="AD192">
        <v>2002</v>
      </c>
      <c r="AE192">
        <v>2002</v>
      </c>
      <c r="AF192">
        <v>2002</v>
      </c>
      <c r="AG192">
        <v>2002</v>
      </c>
    </row>
    <row r="193" spans="1:33" x14ac:dyDescent="0.25">
      <c r="A193" s="5">
        <v>3008510</v>
      </c>
      <c r="B193" t="s">
        <v>11</v>
      </c>
      <c r="C193">
        <v>2002</v>
      </c>
      <c r="D193">
        <v>2002</v>
      </c>
      <c r="E193">
        <v>2002</v>
      </c>
      <c r="F193">
        <v>2002</v>
      </c>
      <c r="G193">
        <v>2002</v>
      </c>
      <c r="H193">
        <v>2002</v>
      </c>
      <c r="I193">
        <v>2002</v>
      </c>
      <c r="J193">
        <v>2002</v>
      </c>
      <c r="K193">
        <v>2002</v>
      </c>
      <c r="L193">
        <v>2002</v>
      </c>
      <c r="M193">
        <v>2002</v>
      </c>
      <c r="N193">
        <v>2002</v>
      </c>
      <c r="O193">
        <v>2002</v>
      </c>
      <c r="P193">
        <v>2002</v>
      </c>
      <c r="Q193">
        <v>2002</v>
      </c>
      <c r="R193">
        <v>2002</v>
      </c>
      <c r="S193">
        <v>2002</v>
      </c>
      <c r="T193">
        <v>2002</v>
      </c>
      <c r="U193">
        <v>2002</v>
      </c>
      <c r="V193">
        <v>2002</v>
      </c>
      <c r="W193">
        <v>2002</v>
      </c>
      <c r="X193">
        <v>2002</v>
      </c>
      <c r="Y193">
        <v>2002</v>
      </c>
      <c r="Z193">
        <v>2002</v>
      </c>
      <c r="AA193">
        <v>2002</v>
      </c>
      <c r="AB193">
        <v>2002</v>
      </c>
      <c r="AC193">
        <v>2002</v>
      </c>
      <c r="AD193">
        <v>2002</v>
      </c>
      <c r="AE193">
        <v>2002</v>
      </c>
      <c r="AF193">
        <v>2002</v>
      </c>
      <c r="AG193">
        <v>2002</v>
      </c>
    </row>
    <row r="194" spans="1:33" x14ac:dyDescent="0.25">
      <c r="A194" s="5"/>
    </row>
    <row r="195" spans="1:33" x14ac:dyDescent="0.25">
      <c r="A195">
        <v>1990</v>
      </c>
      <c r="B195">
        <v>1991</v>
      </c>
      <c r="C195">
        <v>1992</v>
      </c>
      <c r="D195">
        <v>1993</v>
      </c>
      <c r="E195">
        <v>1994</v>
      </c>
      <c r="F195">
        <v>1995</v>
      </c>
      <c r="G195">
        <v>1996</v>
      </c>
      <c r="H195">
        <v>1997</v>
      </c>
      <c r="I195">
        <v>1998</v>
      </c>
      <c r="J195">
        <v>1999</v>
      </c>
      <c r="K195">
        <v>2000</v>
      </c>
      <c r="L195">
        <v>2001</v>
      </c>
      <c r="M195">
        <v>2002</v>
      </c>
      <c r="N195">
        <v>2003</v>
      </c>
      <c r="O195">
        <v>2004</v>
      </c>
      <c r="P195">
        <v>2005</v>
      </c>
      <c r="Q195">
        <v>2006</v>
      </c>
      <c r="R195">
        <v>2007</v>
      </c>
      <c r="S195">
        <v>2008</v>
      </c>
      <c r="T195">
        <v>2009</v>
      </c>
      <c r="U195">
        <v>2010</v>
      </c>
      <c r="V195">
        <v>2011</v>
      </c>
      <c r="W195">
        <v>2012</v>
      </c>
      <c r="X195">
        <v>2013</v>
      </c>
      <c r="Y195">
        <v>2014</v>
      </c>
      <c r="Z195">
        <v>2015</v>
      </c>
      <c r="AA195">
        <v>2016</v>
      </c>
      <c r="AB195">
        <v>2017</v>
      </c>
      <c r="AC195">
        <v>2018</v>
      </c>
      <c r="AD195">
        <v>2019</v>
      </c>
      <c r="AE195">
        <v>2020</v>
      </c>
    </row>
    <row r="196" spans="1:33" x14ac:dyDescent="0.25">
      <c r="A196">
        <f>COUNTIF(C198:C325,1990)</f>
        <v>0</v>
      </c>
      <c r="B196">
        <f>COUNTIF(D198:D325,1991)</f>
        <v>0</v>
      </c>
      <c r="C196">
        <f>COUNTIF(E198:E325,1992)</f>
        <v>0</v>
      </c>
      <c r="D196">
        <f>COUNTIF(F198:F325,1993)</f>
        <v>0</v>
      </c>
      <c r="E196">
        <f>COUNTIF(G198:G325,1994)</f>
        <v>0</v>
      </c>
      <c r="F196">
        <f>COUNTIF(H198:H325,1995)</f>
        <v>0</v>
      </c>
      <c r="G196">
        <f>COUNTIF(I198:I325,1996)</f>
        <v>1</v>
      </c>
      <c r="H196">
        <f>COUNTIF(J198:J325,1997)</f>
        <v>1</v>
      </c>
      <c r="I196">
        <f>COUNTIF(K198:K325,1998)</f>
        <v>1</v>
      </c>
      <c r="J196">
        <f>COUNTIF(L198:L325,1999)</f>
        <v>1</v>
      </c>
      <c r="K196">
        <f>COUNTIF(M198:M325,2000)</f>
        <v>1</v>
      </c>
      <c r="L196">
        <f>COUNTIF(N198:N325,2001)</f>
        <v>2</v>
      </c>
      <c r="M196">
        <f>COUNTIF(O198:O325,2002)</f>
        <v>2</v>
      </c>
      <c r="N196">
        <f>COUNTIF(P198:P325,2003)</f>
        <v>6</v>
      </c>
      <c r="O196">
        <f>COUNTIF(Q198:Q325,2004)</f>
        <v>1</v>
      </c>
      <c r="P196">
        <f>COUNTIF(R198:R325,2005)</f>
        <v>2</v>
      </c>
      <c r="Q196">
        <f>COUNTIF(S198:S325,2006)</f>
        <v>6</v>
      </c>
      <c r="R196">
        <f>COUNTIF(T198:T325,2007)</f>
        <v>3</v>
      </c>
      <c r="S196">
        <f>COUNTIF(U198:U325,2008)</f>
        <v>8</v>
      </c>
      <c r="T196">
        <f>COUNTIF(V198:V325,2009)</f>
        <v>10</v>
      </c>
      <c r="U196">
        <f>COUNTIF(W198:W325,2010)</f>
        <v>11</v>
      </c>
      <c r="V196">
        <f>COUNTIF(X198:X325,2011)</f>
        <v>16</v>
      </c>
      <c r="W196">
        <f>COUNTIF(Y198:Y325,2012)</f>
        <v>2</v>
      </c>
      <c r="X196">
        <f>COUNTIF(Z198:Z325,2013)</f>
        <v>1</v>
      </c>
      <c r="Y196">
        <f>COUNTIF(AA198:AA325,2014)</f>
        <v>0</v>
      </c>
      <c r="Z196">
        <f>COUNTIF(AB198:AB325,2015)</f>
        <v>0</v>
      </c>
      <c r="AA196">
        <f>COUNTIF(AC198:AC325,2016)</f>
        <v>0</v>
      </c>
      <c r="AB196">
        <f>COUNTIF(AD198:AD325,2017)</f>
        <v>0</v>
      </c>
      <c r="AC196">
        <f>COUNTIF(AE198:AE325,2018)</f>
        <v>0</v>
      </c>
      <c r="AD196">
        <f>COUNTIF(AF198:AF325,2019)</f>
        <v>0</v>
      </c>
      <c r="AE196">
        <f>COUNTIF(AG198:AG325,2020)</f>
        <v>0</v>
      </c>
    </row>
    <row r="198" spans="1:33" x14ac:dyDescent="0.25">
      <c r="A198">
        <v>4289</v>
      </c>
      <c r="B198" t="s">
        <v>17</v>
      </c>
      <c r="C198">
        <v>1996</v>
      </c>
      <c r="D198">
        <v>1996</v>
      </c>
      <c r="E198">
        <v>1996</v>
      </c>
      <c r="F198">
        <v>1996</v>
      </c>
      <c r="G198">
        <v>1996</v>
      </c>
      <c r="H198">
        <v>1996</v>
      </c>
      <c r="I198">
        <v>1996</v>
      </c>
      <c r="J198">
        <v>1996</v>
      </c>
      <c r="K198">
        <v>1996</v>
      </c>
      <c r="L198">
        <v>1996</v>
      </c>
      <c r="M198">
        <v>1996</v>
      </c>
      <c r="N198">
        <v>1996</v>
      </c>
      <c r="O198">
        <v>1996</v>
      </c>
      <c r="P198">
        <v>1996</v>
      </c>
      <c r="Q198">
        <v>1996</v>
      </c>
      <c r="R198">
        <v>1996</v>
      </c>
      <c r="S198">
        <v>1996</v>
      </c>
      <c r="T198">
        <v>1996</v>
      </c>
      <c r="U198">
        <v>1996</v>
      </c>
      <c r="V198">
        <v>1996</v>
      </c>
      <c r="W198">
        <v>1996</v>
      </c>
      <c r="X198">
        <v>1996</v>
      </c>
      <c r="Y198">
        <v>1996</v>
      </c>
      <c r="Z198">
        <v>1996</v>
      </c>
      <c r="AA198">
        <v>1996</v>
      </c>
      <c r="AB198">
        <v>1996</v>
      </c>
      <c r="AC198">
        <v>1996</v>
      </c>
      <c r="AD198">
        <v>1996</v>
      </c>
      <c r="AE198">
        <v>1996</v>
      </c>
      <c r="AF198">
        <v>1996</v>
      </c>
      <c r="AG198">
        <v>1996</v>
      </c>
    </row>
    <row r="199" spans="1:33" x14ac:dyDescent="0.25">
      <c r="A199">
        <v>500245</v>
      </c>
      <c r="B199" t="s">
        <v>17</v>
      </c>
      <c r="C199">
        <v>1999</v>
      </c>
      <c r="D199">
        <v>1999</v>
      </c>
      <c r="E199">
        <v>1999</v>
      </c>
      <c r="F199">
        <v>1999</v>
      </c>
      <c r="G199">
        <v>1999</v>
      </c>
      <c r="H199">
        <v>1999</v>
      </c>
      <c r="I199">
        <v>1999</v>
      </c>
      <c r="J199">
        <v>1999</v>
      </c>
      <c r="K199">
        <v>1999</v>
      </c>
      <c r="L199">
        <v>1999</v>
      </c>
      <c r="M199">
        <v>1999</v>
      </c>
      <c r="N199">
        <v>1999</v>
      </c>
      <c r="O199">
        <v>1999</v>
      </c>
      <c r="P199">
        <v>1999</v>
      </c>
      <c r="Q199">
        <v>1999</v>
      </c>
      <c r="R199">
        <v>1999</v>
      </c>
      <c r="S199">
        <v>1999</v>
      </c>
      <c r="T199">
        <v>1999</v>
      </c>
      <c r="U199">
        <v>1999</v>
      </c>
      <c r="V199">
        <v>1999</v>
      </c>
      <c r="W199">
        <v>1999</v>
      </c>
      <c r="X199">
        <v>1999</v>
      </c>
      <c r="Y199">
        <v>1999</v>
      </c>
      <c r="Z199">
        <v>1999</v>
      </c>
      <c r="AA199">
        <v>1999</v>
      </c>
      <c r="AB199">
        <v>1999</v>
      </c>
      <c r="AC199">
        <v>1999</v>
      </c>
      <c r="AD199">
        <v>1999</v>
      </c>
      <c r="AE199">
        <v>1999</v>
      </c>
      <c r="AF199">
        <v>1999</v>
      </c>
      <c r="AG199">
        <v>1999</v>
      </c>
    </row>
    <row r="200" spans="1:33" x14ac:dyDescent="0.25">
      <c r="A200">
        <v>2002573</v>
      </c>
      <c r="B200" t="s">
        <v>17</v>
      </c>
      <c r="C200">
        <v>2001</v>
      </c>
      <c r="D200">
        <v>2001</v>
      </c>
      <c r="E200">
        <v>2001</v>
      </c>
      <c r="F200">
        <v>2001</v>
      </c>
      <c r="G200">
        <v>2001</v>
      </c>
      <c r="H200">
        <v>2001</v>
      </c>
      <c r="I200">
        <v>2001</v>
      </c>
      <c r="J200">
        <v>2001</v>
      </c>
      <c r="K200">
        <v>2001</v>
      </c>
      <c r="L200">
        <v>2001</v>
      </c>
      <c r="M200">
        <v>2001</v>
      </c>
      <c r="N200">
        <v>2001</v>
      </c>
      <c r="O200">
        <v>2001</v>
      </c>
      <c r="P200">
        <v>2001</v>
      </c>
      <c r="Q200">
        <v>2001</v>
      </c>
      <c r="R200">
        <v>2001</v>
      </c>
      <c r="S200">
        <v>2001</v>
      </c>
      <c r="T200">
        <v>2001</v>
      </c>
      <c r="U200">
        <v>2001</v>
      </c>
      <c r="V200">
        <v>2001</v>
      </c>
      <c r="W200">
        <v>2001</v>
      </c>
      <c r="X200">
        <v>2001</v>
      </c>
      <c r="Y200">
        <v>2001</v>
      </c>
      <c r="Z200">
        <v>2001</v>
      </c>
      <c r="AA200">
        <v>2001</v>
      </c>
      <c r="AB200">
        <v>2001</v>
      </c>
      <c r="AC200">
        <v>2001</v>
      </c>
      <c r="AD200">
        <v>2001</v>
      </c>
      <c r="AE200">
        <v>2001</v>
      </c>
      <c r="AF200">
        <v>2001</v>
      </c>
      <c r="AG200">
        <v>2001</v>
      </c>
    </row>
    <row r="201" spans="1:33" x14ac:dyDescent="0.25">
      <c r="A201">
        <v>2003539</v>
      </c>
      <c r="B201" t="s">
        <v>17</v>
      </c>
      <c r="C201">
        <v>2002</v>
      </c>
      <c r="D201">
        <v>2002</v>
      </c>
      <c r="E201">
        <v>2002</v>
      </c>
      <c r="F201">
        <v>2002</v>
      </c>
      <c r="G201">
        <v>2002</v>
      </c>
      <c r="H201">
        <v>2002</v>
      </c>
      <c r="I201">
        <v>2002</v>
      </c>
      <c r="J201">
        <v>2002</v>
      </c>
      <c r="K201">
        <v>2002</v>
      </c>
      <c r="L201">
        <v>2002</v>
      </c>
      <c r="M201">
        <v>2002</v>
      </c>
      <c r="N201">
        <v>2002</v>
      </c>
      <c r="O201">
        <v>2002</v>
      </c>
      <c r="P201">
        <v>2002</v>
      </c>
      <c r="Q201">
        <v>2002</v>
      </c>
      <c r="R201">
        <v>2002</v>
      </c>
      <c r="S201">
        <v>2002</v>
      </c>
      <c r="T201">
        <v>2002</v>
      </c>
      <c r="U201">
        <v>2002</v>
      </c>
      <c r="V201">
        <v>2002</v>
      </c>
      <c r="W201">
        <v>2002</v>
      </c>
      <c r="X201">
        <v>2002</v>
      </c>
      <c r="Y201">
        <v>2002</v>
      </c>
      <c r="Z201">
        <v>2002</v>
      </c>
      <c r="AA201">
        <v>2002</v>
      </c>
      <c r="AB201">
        <v>2002</v>
      </c>
      <c r="AC201">
        <v>2002</v>
      </c>
      <c r="AD201">
        <v>2002</v>
      </c>
      <c r="AE201">
        <v>2002</v>
      </c>
      <c r="AF201">
        <v>2002</v>
      </c>
      <c r="AG201">
        <v>2002</v>
      </c>
    </row>
    <row r="202" spans="1:33" x14ac:dyDescent="0.25">
      <c r="A202">
        <v>2003649</v>
      </c>
      <c r="B202" t="s">
        <v>17</v>
      </c>
      <c r="C202">
        <v>2000</v>
      </c>
      <c r="D202">
        <v>2000</v>
      </c>
      <c r="E202">
        <v>2000</v>
      </c>
      <c r="F202">
        <v>2000</v>
      </c>
      <c r="G202">
        <v>2000</v>
      </c>
      <c r="H202">
        <v>2000</v>
      </c>
      <c r="I202">
        <v>2000</v>
      </c>
      <c r="J202">
        <v>2000</v>
      </c>
      <c r="K202">
        <v>2000</v>
      </c>
      <c r="L202">
        <v>2000</v>
      </c>
      <c r="M202">
        <v>2000</v>
      </c>
      <c r="N202">
        <v>2000</v>
      </c>
      <c r="O202">
        <v>2000</v>
      </c>
      <c r="P202">
        <v>2000</v>
      </c>
      <c r="Q202">
        <v>2000</v>
      </c>
      <c r="R202">
        <v>2000</v>
      </c>
      <c r="S202">
        <v>2000</v>
      </c>
      <c r="T202">
        <v>2000</v>
      </c>
      <c r="U202">
        <v>2000</v>
      </c>
      <c r="V202">
        <v>2000</v>
      </c>
      <c r="W202">
        <v>2000</v>
      </c>
      <c r="X202">
        <v>2000</v>
      </c>
      <c r="Y202">
        <v>2000</v>
      </c>
      <c r="Z202">
        <v>2000</v>
      </c>
      <c r="AA202">
        <v>2000</v>
      </c>
      <c r="AB202">
        <v>2000</v>
      </c>
      <c r="AC202">
        <v>2000</v>
      </c>
      <c r="AD202">
        <v>2000</v>
      </c>
      <c r="AE202">
        <v>2000</v>
      </c>
      <c r="AF202">
        <v>2000</v>
      </c>
      <c r="AG202">
        <v>2000</v>
      </c>
    </row>
    <row r="203" spans="1:33" x14ac:dyDescent="0.25">
      <c r="A203">
        <v>2005572</v>
      </c>
      <c r="B203" t="s">
        <v>17</v>
      </c>
      <c r="C203">
        <v>2001</v>
      </c>
      <c r="D203">
        <v>2001</v>
      </c>
      <c r="E203">
        <v>2001</v>
      </c>
      <c r="F203">
        <v>2001</v>
      </c>
      <c r="G203">
        <v>2001</v>
      </c>
      <c r="H203">
        <v>2001</v>
      </c>
      <c r="I203">
        <v>2001</v>
      </c>
      <c r="J203">
        <v>2001</v>
      </c>
      <c r="K203">
        <v>2001</v>
      </c>
      <c r="L203">
        <v>2001</v>
      </c>
      <c r="M203">
        <v>2001</v>
      </c>
      <c r="N203">
        <v>2001</v>
      </c>
      <c r="O203">
        <v>2001</v>
      </c>
      <c r="P203">
        <v>2001</v>
      </c>
      <c r="Q203">
        <v>2001</v>
      </c>
      <c r="R203">
        <v>2001</v>
      </c>
      <c r="S203">
        <v>2001</v>
      </c>
      <c r="T203">
        <v>2001</v>
      </c>
      <c r="U203">
        <v>2001</v>
      </c>
      <c r="V203">
        <v>2001</v>
      </c>
      <c r="W203">
        <v>2001</v>
      </c>
      <c r="X203">
        <v>2001</v>
      </c>
      <c r="Y203">
        <v>2001</v>
      </c>
      <c r="Z203">
        <v>2001</v>
      </c>
      <c r="AA203">
        <v>2001</v>
      </c>
      <c r="AB203">
        <v>2001</v>
      </c>
      <c r="AC203">
        <v>2001</v>
      </c>
      <c r="AD203">
        <v>2001</v>
      </c>
      <c r="AE203">
        <v>2001</v>
      </c>
      <c r="AF203">
        <v>2001</v>
      </c>
      <c r="AG203">
        <v>2001</v>
      </c>
    </row>
    <row r="204" spans="1:33" x14ac:dyDescent="0.25">
      <c r="A204">
        <v>2013117</v>
      </c>
      <c r="B204" t="s">
        <v>17</v>
      </c>
      <c r="C204">
        <v>2002</v>
      </c>
      <c r="D204">
        <v>2002</v>
      </c>
      <c r="E204">
        <v>2002</v>
      </c>
      <c r="F204">
        <v>2002</v>
      </c>
      <c r="G204">
        <v>2002</v>
      </c>
      <c r="H204">
        <v>2002</v>
      </c>
      <c r="I204">
        <v>2002</v>
      </c>
      <c r="J204">
        <v>2002</v>
      </c>
      <c r="K204">
        <v>2002</v>
      </c>
      <c r="L204">
        <v>2002</v>
      </c>
      <c r="M204">
        <v>2002</v>
      </c>
      <c r="N204">
        <v>2002</v>
      </c>
      <c r="O204">
        <v>2002</v>
      </c>
      <c r="P204">
        <v>2002</v>
      </c>
      <c r="Q204">
        <v>2002</v>
      </c>
      <c r="R204">
        <v>2002</v>
      </c>
      <c r="S204">
        <v>2002</v>
      </c>
      <c r="T204">
        <v>2002</v>
      </c>
      <c r="U204">
        <v>2002</v>
      </c>
      <c r="V204">
        <v>2002</v>
      </c>
      <c r="W204">
        <v>2002</v>
      </c>
      <c r="X204">
        <v>2002</v>
      </c>
      <c r="Y204">
        <v>2002</v>
      </c>
      <c r="Z204">
        <v>2002</v>
      </c>
      <c r="AA204">
        <v>2002</v>
      </c>
      <c r="AB204">
        <v>2002</v>
      </c>
      <c r="AC204">
        <v>2002</v>
      </c>
      <c r="AD204">
        <v>2002</v>
      </c>
      <c r="AE204">
        <v>2002</v>
      </c>
      <c r="AF204">
        <v>2002</v>
      </c>
      <c r="AG204">
        <v>2002</v>
      </c>
    </row>
    <row r="205" spans="1:33" x14ac:dyDescent="0.25">
      <c r="A205">
        <v>3009633</v>
      </c>
      <c r="B205" t="s">
        <v>17</v>
      </c>
      <c r="C205">
        <v>2003</v>
      </c>
      <c r="D205">
        <v>2003</v>
      </c>
      <c r="E205">
        <v>2003</v>
      </c>
      <c r="F205">
        <v>2003</v>
      </c>
      <c r="G205">
        <v>2003</v>
      </c>
      <c r="H205">
        <v>2003</v>
      </c>
      <c r="I205">
        <v>2003</v>
      </c>
      <c r="J205">
        <v>2003</v>
      </c>
      <c r="K205">
        <v>2003</v>
      </c>
      <c r="L205">
        <v>2003</v>
      </c>
      <c r="M205">
        <v>2003</v>
      </c>
      <c r="N205">
        <v>2003</v>
      </c>
      <c r="O205">
        <v>2003</v>
      </c>
      <c r="P205">
        <v>2003</v>
      </c>
      <c r="Q205">
        <v>2003</v>
      </c>
      <c r="R205">
        <v>2003</v>
      </c>
      <c r="S205">
        <v>2003</v>
      </c>
      <c r="T205">
        <v>2003</v>
      </c>
      <c r="U205">
        <v>2003</v>
      </c>
      <c r="V205">
        <v>2003</v>
      </c>
      <c r="W205">
        <v>2003</v>
      </c>
      <c r="X205">
        <v>2003</v>
      </c>
      <c r="Y205">
        <v>2003</v>
      </c>
      <c r="Z205">
        <v>2003</v>
      </c>
      <c r="AA205">
        <v>2003</v>
      </c>
      <c r="AB205">
        <v>2003</v>
      </c>
      <c r="AC205">
        <v>2003</v>
      </c>
      <c r="AD205">
        <v>2003</v>
      </c>
      <c r="AE205">
        <v>2003</v>
      </c>
      <c r="AF205">
        <v>2003</v>
      </c>
      <c r="AG205">
        <v>2003</v>
      </c>
    </row>
    <row r="206" spans="1:33" x14ac:dyDescent="0.25">
      <c r="A206">
        <v>3010583</v>
      </c>
      <c r="B206" t="s">
        <v>17</v>
      </c>
      <c r="C206">
        <v>2003</v>
      </c>
      <c r="D206">
        <v>2003</v>
      </c>
      <c r="E206">
        <v>2003</v>
      </c>
      <c r="F206">
        <v>2003</v>
      </c>
      <c r="G206">
        <v>2003</v>
      </c>
      <c r="H206">
        <v>2003</v>
      </c>
      <c r="I206">
        <v>2003</v>
      </c>
      <c r="J206">
        <v>2003</v>
      </c>
      <c r="K206">
        <v>2003</v>
      </c>
      <c r="L206">
        <v>2003</v>
      </c>
      <c r="M206">
        <v>2003</v>
      </c>
      <c r="N206">
        <v>2003</v>
      </c>
      <c r="O206">
        <v>2003</v>
      </c>
      <c r="P206">
        <v>2003</v>
      </c>
      <c r="Q206">
        <v>2003</v>
      </c>
      <c r="R206">
        <v>2003</v>
      </c>
      <c r="S206">
        <v>2003</v>
      </c>
      <c r="T206">
        <v>2003</v>
      </c>
      <c r="U206">
        <v>2003</v>
      </c>
      <c r="V206">
        <v>2003</v>
      </c>
      <c r="W206">
        <v>2003</v>
      </c>
      <c r="X206">
        <v>2003</v>
      </c>
      <c r="Y206">
        <v>2003</v>
      </c>
      <c r="Z206">
        <v>2003</v>
      </c>
      <c r="AA206">
        <v>2003</v>
      </c>
      <c r="AB206">
        <v>2003</v>
      </c>
      <c r="AC206">
        <v>2003</v>
      </c>
      <c r="AD206">
        <v>2003</v>
      </c>
      <c r="AE206">
        <v>2003</v>
      </c>
      <c r="AF206">
        <v>2003</v>
      </c>
      <c r="AG206">
        <v>2003</v>
      </c>
    </row>
    <row r="207" spans="1:33" x14ac:dyDescent="0.25">
      <c r="A207" s="6">
        <v>3011892</v>
      </c>
      <c r="B207" t="s">
        <v>17</v>
      </c>
      <c r="C207">
        <v>2003</v>
      </c>
      <c r="D207">
        <v>2003</v>
      </c>
      <c r="E207">
        <v>2003</v>
      </c>
      <c r="F207">
        <v>2003</v>
      </c>
      <c r="G207">
        <v>2003</v>
      </c>
      <c r="H207">
        <v>2003</v>
      </c>
      <c r="I207">
        <v>2003</v>
      </c>
      <c r="J207">
        <v>2003</v>
      </c>
      <c r="K207">
        <v>2003</v>
      </c>
      <c r="L207">
        <v>2003</v>
      </c>
      <c r="M207">
        <v>2003</v>
      </c>
      <c r="N207">
        <v>2003</v>
      </c>
      <c r="O207">
        <v>2003</v>
      </c>
      <c r="P207">
        <v>2003</v>
      </c>
      <c r="Q207">
        <v>2003</v>
      </c>
      <c r="R207">
        <v>2003</v>
      </c>
      <c r="S207">
        <v>2003</v>
      </c>
      <c r="T207">
        <v>2003</v>
      </c>
      <c r="U207">
        <v>2003</v>
      </c>
      <c r="V207">
        <v>2003</v>
      </c>
      <c r="W207">
        <v>2003</v>
      </c>
      <c r="X207">
        <v>2003</v>
      </c>
      <c r="Y207">
        <v>2003</v>
      </c>
      <c r="Z207">
        <v>2003</v>
      </c>
      <c r="AA207">
        <v>2003</v>
      </c>
      <c r="AB207">
        <v>2003</v>
      </c>
      <c r="AC207">
        <v>2003</v>
      </c>
      <c r="AD207">
        <v>2003</v>
      </c>
      <c r="AE207">
        <v>2003</v>
      </c>
      <c r="AF207">
        <v>2003</v>
      </c>
      <c r="AG207">
        <v>2003</v>
      </c>
    </row>
    <row r="208" spans="1:33" x14ac:dyDescent="0.25">
      <c r="A208">
        <v>4001382</v>
      </c>
      <c r="B208" t="s">
        <v>17</v>
      </c>
      <c r="C208">
        <v>2003</v>
      </c>
      <c r="D208">
        <v>2003</v>
      </c>
      <c r="E208">
        <v>2003</v>
      </c>
      <c r="F208">
        <v>2003</v>
      </c>
      <c r="G208">
        <v>2003</v>
      </c>
      <c r="H208">
        <v>2003</v>
      </c>
      <c r="I208">
        <v>2003</v>
      </c>
      <c r="J208">
        <v>2003</v>
      </c>
      <c r="K208">
        <v>2003</v>
      </c>
      <c r="L208">
        <v>2003</v>
      </c>
      <c r="M208">
        <v>2003</v>
      </c>
      <c r="N208">
        <v>2003</v>
      </c>
      <c r="O208">
        <v>2003</v>
      </c>
      <c r="P208">
        <v>2003</v>
      </c>
      <c r="Q208">
        <v>2003</v>
      </c>
      <c r="R208">
        <v>2003</v>
      </c>
      <c r="S208">
        <v>2003</v>
      </c>
      <c r="T208">
        <v>2003</v>
      </c>
      <c r="U208">
        <v>2003</v>
      </c>
      <c r="V208">
        <v>2003</v>
      </c>
      <c r="W208">
        <v>2003</v>
      </c>
      <c r="X208">
        <v>2003</v>
      </c>
      <c r="Y208">
        <v>2003</v>
      </c>
      <c r="Z208">
        <v>2003</v>
      </c>
      <c r="AA208">
        <v>2003</v>
      </c>
      <c r="AB208">
        <v>2003</v>
      </c>
      <c r="AC208">
        <v>2003</v>
      </c>
      <c r="AD208">
        <v>2003</v>
      </c>
      <c r="AE208">
        <v>2003</v>
      </c>
      <c r="AF208">
        <v>2003</v>
      </c>
      <c r="AG208">
        <v>2003</v>
      </c>
    </row>
    <row r="209" spans="1:33" x14ac:dyDescent="0.25">
      <c r="A209">
        <v>5018675</v>
      </c>
      <c r="B209" t="s">
        <v>17</v>
      </c>
      <c r="C209">
        <v>2004</v>
      </c>
      <c r="D209">
        <v>2004</v>
      </c>
      <c r="E209">
        <v>2004</v>
      </c>
      <c r="F209">
        <v>2004</v>
      </c>
      <c r="G209">
        <v>2004</v>
      </c>
      <c r="H209">
        <v>2004</v>
      </c>
      <c r="I209">
        <v>2004</v>
      </c>
      <c r="J209">
        <v>2004</v>
      </c>
      <c r="K209">
        <v>2004</v>
      </c>
      <c r="L209">
        <v>2004</v>
      </c>
      <c r="M209">
        <v>2004</v>
      </c>
      <c r="N209">
        <v>2004</v>
      </c>
      <c r="O209">
        <v>2004</v>
      </c>
      <c r="P209">
        <v>2004</v>
      </c>
      <c r="Q209">
        <v>2004</v>
      </c>
      <c r="R209">
        <v>2004</v>
      </c>
      <c r="S209">
        <v>2004</v>
      </c>
      <c r="T209">
        <v>2004</v>
      </c>
      <c r="U209">
        <v>2004</v>
      </c>
      <c r="V209">
        <v>2004</v>
      </c>
      <c r="W209">
        <v>2004</v>
      </c>
      <c r="X209">
        <v>2004</v>
      </c>
      <c r="Y209">
        <v>2004</v>
      </c>
      <c r="Z209">
        <v>2004</v>
      </c>
      <c r="AA209">
        <v>2004</v>
      </c>
      <c r="AB209">
        <v>2004</v>
      </c>
      <c r="AC209">
        <v>2004</v>
      </c>
      <c r="AD209">
        <v>2004</v>
      </c>
      <c r="AE209">
        <v>2004</v>
      </c>
      <c r="AF209">
        <v>2004</v>
      </c>
      <c r="AG209">
        <v>2004</v>
      </c>
    </row>
    <row r="210" spans="1:33" x14ac:dyDescent="0.25">
      <c r="A210">
        <v>6050168</v>
      </c>
      <c r="B210" t="s">
        <v>17</v>
      </c>
      <c r="C210">
        <v>2006</v>
      </c>
      <c r="D210">
        <v>2006</v>
      </c>
      <c r="E210">
        <v>2006</v>
      </c>
      <c r="F210">
        <v>2006</v>
      </c>
      <c r="G210">
        <v>2006</v>
      </c>
      <c r="H210">
        <v>2006</v>
      </c>
      <c r="I210">
        <v>2006</v>
      </c>
      <c r="J210">
        <v>2006</v>
      </c>
      <c r="K210">
        <v>2006</v>
      </c>
      <c r="L210">
        <v>2006</v>
      </c>
      <c r="M210">
        <v>2006</v>
      </c>
      <c r="N210">
        <v>2006</v>
      </c>
      <c r="O210">
        <v>2006</v>
      </c>
      <c r="P210">
        <v>2006</v>
      </c>
      <c r="Q210">
        <v>2006</v>
      </c>
      <c r="R210">
        <v>2006</v>
      </c>
      <c r="S210">
        <v>2006</v>
      </c>
      <c r="T210">
        <v>2006</v>
      </c>
      <c r="U210">
        <v>2006</v>
      </c>
      <c r="V210">
        <v>2006</v>
      </c>
      <c r="W210">
        <v>2006</v>
      </c>
      <c r="X210">
        <v>2006</v>
      </c>
      <c r="Y210">
        <v>2006</v>
      </c>
      <c r="Z210">
        <v>2006</v>
      </c>
      <c r="AA210">
        <v>2006</v>
      </c>
      <c r="AB210">
        <v>2006</v>
      </c>
      <c r="AC210">
        <v>2006</v>
      </c>
      <c r="AD210">
        <v>2006</v>
      </c>
      <c r="AE210">
        <v>2006</v>
      </c>
      <c r="AF210">
        <v>2006</v>
      </c>
      <c r="AG210">
        <v>2006</v>
      </c>
    </row>
    <row r="211" spans="1:33" x14ac:dyDescent="0.25">
      <c r="A211">
        <v>7003242</v>
      </c>
      <c r="B211" t="s">
        <v>17</v>
      </c>
      <c r="C211">
        <v>2006</v>
      </c>
      <c r="D211">
        <v>2006</v>
      </c>
      <c r="E211">
        <v>2006</v>
      </c>
      <c r="F211">
        <v>2006</v>
      </c>
      <c r="G211">
        <v>2006</v>
      </c>
      <c r="H211">
        <v>2006</v>
      </c>
      <c r="I211">
        <v>2006</v>
      </c>
      <c r="J211">
        <v>2006</v>
      </c>
      <c r="K211">
        <v>2006</v>
      </c>
      <c r="L211">
        <v>2006</v>
      </c>
      <c r="M211">
        <v>2006</v>
      </c>
      <c r="N211">
        <v>2006</v>
      </c>
      <c r="O211">
        <v>2006</v>
      </c>
      <c r="P211">
        <v>2006</v>
      </c>
      <c r="Q211">
        <v>2006</v>
      </c>
      <c r="R211">
        <v>2006</v>
      </c>
      <c r="S211">
        <v>2006</v>
      </c>
      <c r="T211">
        <v>2006</v>
      </c>
      <c r="U211">
        <v>2006</v>
      </c>
      <c r="V211">
        <v>2006</v>
      </c>
      <c r="W211">
        <v>2006</v>
      </c>
      <c r="X211">
        <v>2006</v>
      </c>
      <c r="Y211">
        <v>2006</v>
      </c>
      <c r="Z211">
        <v>2006</v>
      </c>
      <c r="AA211">
        <v>2006</v>
      </c>
      <c r="AB211">
        <v>2006</v>
      </c>
      <c r="AC211">
        <v>2006</v>
      </c>
      <c r="AD211">
        <v>2006</v>
      </c>
      <c r="AE211">
        <v>2006</v>
      </c>
      <c r="AF211">
        <v>2006</v>
      </c>
      <c r="AG211">
        <v>2006</v>
      </c>
    </row>
    <row r="212" spans="1:33" x14ac:dyDescent="0.25">
      <c r="A212">
        <v>12022536</v>
      </c>
      <c r="B212" t="s">
        <v>17</v>
      </c>
      <c r="C212">
        <v>2011</v>
      </c>
      <c r="D212">
        <v>2011</v>
      </c>
      <c r="E212">
        <v>2011</v>
      </c>
      <c r="F212">
        <v>2011</v>
      </c>
      <c r="G212">
        <v>2011</v>
      </c>
      <c r="H212">
        <v>2011</v>
      </c>
      <c r="I212">
        <v>2011</v>
      </c>
      <c r="J212">
        <v>2011</v>
      </c>
      <c r="K212">
        <v>2011</v>
      </c>
      <c r="L212">
        <v>2011</v>
      </c>
      <c r="M212">
        <v>2011</v>
      </c>
      <c r="N212">
        <v>2011</v>
      </c>
      <c r="O212">
        <v>2011</v>
      </c>
      <c r="P212">
        <v>2011</v>
      </c>
      <c r="Q212">
        <v>2011</v>
      </c>
      <c r="R212">
        <v>2011</v>
      </c>
      <c r="S212">
        <v>2011</v>
      </c>
      <c r="T212">
        <v>2011</v>
      </c>
      <c r="U212">
        <v>2011</v>
      </c>
      <c r="V212">
        <v>2011</v>
      </c>
      <c r="W212">
        <v>2011</v>
      </c>
      <c r="X212">
        <v>2011</v>
      </c>
      <c r="Y212">
        <v>2011</v>
      </c>
      <c r="Z212">
        <v>2011</v>
      </c>
      <c r="AA212">
        <v>2011</v>
      </c>
      <c r="AB212">
        <v>2011</v>
      </c>
      <c r="AC212">
        <v>2011</v>
      </c>
      <c r="AD212">
        <v>2011</v>
      </c>
      <c r="AE212">
        <v>2011</v>
      </c>
      <c r="AF212">
        <v>2011</v>
      </c>
      <c r="AG212">
        <v>2011</v>
      </c>
    </row>
    <row r="213" spans="1:33" x14ac:dyDescent="0.25">
      <c r="A213">
        <v>13020792</v>
      </c>
      <c r="B213" t="s">
        <v>17</v>
      </c>
      <c r="C213">
        <v>2013</v>
      </c>
      <c r="D213">
        <v>2013</v>
      </c>
      <c r="E213">
        <v>2013</v>
      </c>
      <c r="F213">
        <v>2013</v>
      </c>
      <c r="G213">
        <v>2013</v>
      </c>
      <c r="H213">
        <v>2013</v>
      </c>
      <c r="I213">
        <v>2013</v>
      </c>
      <c r="J213">
        <v>2013</v>
      </c>
      <c r="K213">
        <v>2013</v>
      </c>
      <c r="L213">
        <v>2013</v>
      </c>
      <c r="M213">
        <v>2013</v>
      </c>
      <c r="N213">
        <v>2013</v>
      </c>
      <c r="O213">
        <v>2013</v>
      </c>
      <c r="P213">
        <v>2013</v>
      </c>
      <c r="Q213">
        <v>2013</v>
      </c>
      <c r="R213">
        <v>2013</v>
      </c>
      <c r="S213">
        <v>2013</v>
      </c>
      <c r="T213">
        <v>2013</v>
      </c>
      <c r="U213">
        <v>2013</v>
      </c>
      <c r="V213">
        <v>2013</v>
      </c>
      <c r="W213">
        <v>2013</v>
      </c>
      <c r="X213">
        <v>2013</v>
      </c>
      <c r="Y213">
        <v>2013</v>
      </c>
      <c r="Z213">
        <v>2013</v>
      </c>
      <c r="AA213">
        <v>2013</v>
      </c>
      <c r="AB213">
        <v>2013</v>
      </c>
      <c r="AC213">
        <v>2013</v>
      </c>
      <c r="AD213">
        <v>2013</v>
      </c>
      <c r="AE213">
        <v>2013</v>
      </c>
      <c r="AF213">
        <v>2013</v>
      </c>
      <c r="AG213">
        <v>2013</v>
      </c>
    </row>
    <row r="214" spans="1:33" x14ac:dyDescent="0.25">
      <c r="A214">
        <v>97005797</v>
      </c>
      <c r="B214" t="s">
        <v>17</v>
      </c>
      <c r="C214">
        <v>1997</v>
      </c>
      <c r="D214">
        <v>1997</v>
      </c>
      <c r="E214">
        <v>1997</v>
      </c>
      <c r="F214">
        <v>1997</v>
      </c>
      <c r="G214">
        <v>1997</v>
      </c>
      <c r="H214">
        <v>1997</v>
      </c>
      <c r="I214">
        <v>1997</v>
      </c>
      <c r="J214">
        <v>1997</v>
      </c>
      <c r="K214">
        <v>1997</v>
      </c>
      <c r="L214">
        <v>1997</v>
      </c>
      <c r="M214">
        <v>1997</v>
      </c>
      <c r="N214">
        <v>1997</v>
      </c>
      <c r="O214">
        <v>1997</v>
      </c>
      <c r="P214">
        <v>1997</v>
      </c>
      <c r="Q214">
        <v>1997</v>
      </c>
      <c r="R214">
        <v>1997</v>
      </c>
      <c r="S214">
        <v>1997</v>
      </c>
      <c r="T214">
        <v>1997</v>
      </c>
      <c r="U214">
        <v>1997</v>
      </c>
      <c r="V214">
        <v>1997</v>
      </c>
      <c r="W214">
        <v>1997</v>
      </c>
      <c r="X214">
        <v>1997</v>
      </c>
      <c r="Y214">
        <v>1997</v>
      </c>
      <c r="Z214">
        <v>1997</v>
      </c>
      <c r="AA214">
        <v>1997</v>
      </c>
      <c r="AB214">
        <v>1997</v>
      </c>
      <c r="AC214">
        <v>1997</v>
      </c>
      <c r="AD214">
        <v>1997</v>
      </c>
      <c r="AE214">
        <v>1997</v>
      </c>
      <c r="AF214">
        <v>1997</v>
      </c>
      <c r="AG214">
        <v>1997</v>
      </c>
    </row>
    <row r="215" spans="1:33" x14ac:dyDescent="0.25">
      <c r="A215">
        <v>99000345</v>
      </c>
      <c r="B215" t="s">
        <v>17</v>
      </c>
      <c r="C215">
        <v>1998</v>
      </c>
      <c r="D215">
        <v>1998</v>
      </c>
      <c r="E215">
        <v>1998</v>
      </c>
      <c r="F215">
        <v>1998</v>
      </c>
      <c r="G215">
        <v>1998</v>
      </c>
      <c r="H215">
        <v>1998</v>
      </c>
      <c r="I215">
        <v>1998</v>
      </c>
      <c r="J215">
        <v>1998</v>
      </c>
      <c r="K215">
        <v>1998</v>
      </c>
      <c r="L215">
        <v>1998</v>
      </c>
      <c r="M215">
        <v>1998</v>
      </c>
      <c r="N215">
        <v>1998</v>
      </c>
      <c r="O215">
        <v>1998</v>
      </c>
      <c r="P215">
        <v>1998</v>
      </c>
      <c r="Q215">
        <v>1998</v>
      </c>
      <c r="R215">
        <v>1998</v>
      </c>
      <c r="S215">
        <v>1998</v>
      </c>
      <c r="T215">
        <v>1998</v>
      </c>
      <c r="U215">
        <v>1998</v>
      </c>
      <c r="V215">
        <v>1998</v>
      </c>
      <c r="W215">
        <v>1998</v>
      </c>
      <c r="X215">
        <v>1998</v>
      </c>
      <c r="Y215">
        <v>1998</v>
      </c>
      <c r="Z215">
        <v>1998</v>
      </c>
      <c r="AA215">
        <v>1998</v>
      </c>
      <c r="AB215">
        <v>1998</v>
      </c>
      <c r="AC215">
        <v>1998</v>
      </c>
      <c r="AD215">
        <v>1998</v>
      </c>
      <c r="AE215">
        <v>1998</v>
      </c>
      <c r="AF215">
        <v>1998</v>
      </c>
      <c r="AG215">
        <v>1998</v>
      </c>
    </row>
    <row r="216" spans="1:33" x14ac:dyDescent="0.25">
      <c r="A216">
        <v>5006592</v>
      </c>
      <c r="B216" t="s">
        <v>17</v>
      </c>
      <c r="C216">
        <v>2005</v>
      </c>
      <c r="D216">
        <v>2005</v>
      </c>
      <c r="E216">
        <v>2005</v>
      </c>
      <c r="F216">
        <v>2005</v>
      </c>
      <c r="G216">
        <v>2005</v>
      </c>
      <c r="H216">
        <v>2005</v>
      </c>
      <c r="I216">
        <v>2005</v>
      </c>
      <c r="J216">
        <v>2005</v>
      </c>
      <c r="K216">
        <v>2005</v>
      </c>
      <c r="L216">
        <v>2005</v>
      </c>
      <c r="M216">
        <v>2005</v>
      </c>
      <c r="N216">
        <v>2005</v>
      </c>
      <c r="O216">
        <v>2005</v>
      </c>
      <c r="P216">
        <v>2005</v>
      </c>
      <c r="Q216">
        <v>2005</v>
      </c>
      <c r="R216">
        <v>2005</v>
      </c>
      <c r="S216">
        <v>2005</v>
      </c>
      <c r="T216">
        <v>2005</v>
      </c>
      <c r="U216">
        <v>2005</v>
      </c>
      <c r="V216">
        <v>2005</v>
      </c>
      <c r="W216">
        <v>2005</v>
      </c>
      <c r="X216">
        <v>2005</v>
      </c>
      <c r="Y216">
        <v>2005</v>
      </c>
      <c r="Z216">
        <v>2005</v>
      </c>
      <c r="AA216">
        <v>2005</v>
      </c>
      <c r="AB216">
        <v>2005</v>
      </c>
      <c r="AC216">
        <v>2005</v>
      </c>
      <c r="AD216">
        <v>2005</v>
      </c>
      <c r="AE216">
        <v>2005</v>
      </c>
      <c r="AF216">
        <v>2005</v>
      </c>
      <c r="AG216">
        <v>2005</v>
      </c>
    </row>
    <row r="217" spans="1:33" x14ac:dyDescent="0.25">
      <c r="A217">
        <v>5007274</v>
      </c>
      <c r="B217" t="s">
        <v>17</v>
      </c>
      <c r="C217">
        <v>2003</v>
      </c>
      <c r="D217">
        <v>2003</v>
      </c>
      <c r="E217">
        <v>2003</v>
      </c>
      <c r="F217">
        <v>2003</v>
      </c>
      <c r="G217">
        <v>2003</v>
      </c>
      <c r="H217">
        <v>2003</v>
      </c>
      <c r="I217">
        <v>2003</v>
      </c>
      <c r="J217">
        <v>2003</v>
      </c>
      <c r="K217">
        <v>2003</v>
      </c>
      <c r="L217">
        <v>2003</v>
      </c>
      <c r="M217">
        <v>2003</v>
      </c>
      <c r="N217">
        <v>2003</v>
      </c>
      <c r="O217">
        <v>2003</v>
      </c>
      <c r="P217">
        <v>2003</v>
      </c>
      <c r="Q217">
        <v>2003</v>
      </c>
      <c r="R217">
        <v>2003</v>
      </c>
      <c r="S217">
        <v>2003</v>
      </c>
      <c r="T217">
        <v>2003</v>
      </c>
      <c r="U217">
        <v>2003</v>
      </c>
      <c r="V217">
        <v>2003</v>
      </c>
      <c r="W217">
        <v>2003</v>
      </c>
      <c r="X217">
        <v>2003</v>
      </c>
      <c r="Y217">
        <v>2003</v>
      </c>
      <c r="Z217">
        <v>2003</v>
      </c>
      <c r="AA217">
        <v>2003</v>
      </c>
      <c r="AB217">
        <v>2003</v>
      </c>
      <c r="AC217">
        <v>2003</v>
      </c>
      <c r="AD217">
        <v>2003</v>
      </c>
      <c r="AE217">
        <v>2003</v>
      </c>
      <c r="AF217">
        <v>2003</v>
      </c>
      <c r="AG217">
        <v>2003</v>
      </c>
    </row>
    <row r="218" spans="1:33" x14ac:dyDescent="0.25">
      <c r="A218">
        <v>5015851</v>
      </c>
      <c r="B218" t="s">
        <v>17</v>
      </c>
      <c r="C218">
        <v>2003</v>
      </c>
      <c r="D218">
        <v>2003</v>
      </c>
      <c r="E218">
        <v>2003</v>
      </c>
      <c r="F218">
        <v>2003</v>
      </c>
      <c r="G218">
        <v>2003</v>
      </c>
      <c r="H218">
        <v>2003</v>
      </c>
      <c r="I218">
        <v>2003</v>
      </c>
      <c r="J218">
        <v>2003</v>
      </c>
      <c r="K218">
        <v>2003</v>
      </c>
      <c r="L218">
        <v>2003</v>
      </c>
      <c r="M218">
        <v>2003</v>
      </c>
      <c r="N218">
        <v>2003</v>
      </c>
      <c r="O218">
        <v>2003</v>
      </c>
      <c r="P218">
        <v>2003</v>
      </c>
      <c r="Q218">
        <v>2003</v>
      </c>
      <c r="R218">
        <v>2003</v>
      </c>
      <c r="S218">
        <v>2003</v>
      </c>
      <c r="T218">
        <v>2003</v>
      </c>
      <c r="U218">
        <v>2003</v>
      </c>
      <c r="V218">
        <v>2003</v>
      </c>
      <c r="W218">
        <v>2003</v>
      </c>
      <c r="X218">
        <v>2003</v>
      </c>
      <c r="Y218">
        <v>2003</v>
      </c>
      <c r="Z218">
        <v>2003</v>
      </c>
      <c r="AA218">
        <v>2003</v>
      </c>
      <c r="AB218">
        <v>2003</v>
      </c>
      <c r="AC218">
        <v>2003</v>
      </c>
      <c r="AD218">
        <v>2003</v>
      </c>
      <c r="AE218">
        <v>2003</v>
      </c>
      <c r="AF218">
        <v>2003</v>
      </c>
      <c r="AG218">
        <v>2003</v>
      </c>
    </row>
    <row r="219" spans="1:33" x14ac:dyDescent="0.25">
      <c r="A219">
        <v>6015647</v>
      </c>
      <c r="B219" t="s">
        <v>17</v>
      </c>
      <c r="C219">
        <v>2006</v>
      </c>
      <c r="D219">
        <v>2006</v>
      </c>
      <c r="E219">
        <v>2006</v>
      </c>
      <c r="F219">
        <v>2006</v>
      </c>
      <c r="G219">
        <v>2006</v>
      </c>
      <c r="H219">
        <v>2006</v>
      </c>
      <c r="I219">
        <v>2006</v>
      </c>
      <c r="J219">
        <v>2006</v>
      </c>
      <c r="K219">
        <v>2006</v>
      </c>
      <c r="L219">
        <v>2006</v>
      </c>
      <c r="M219">
        <v>2006</v>
      </c>
      <c r="N219">
        <v>2006</v>
      </c>
      <c r="O219">
        <v>2006</v>
      </c>
      <c r="P219">
        <v>2006</v>
      </c>
      <c r="Q219">
        <v>2006</v>
      </c>
      <c r="R219">
        <v>2006</v>
      </c>
      <c r="S219">
        <v>2006</v>
      </c>
      <c r="T219">
        <v>2006</v>
      </c>
      <c r="U219">
        <v>2006</v>
      </c>
      <c r="V219">
        <v>2006</v>
      </c>
      <c r="W219">
        <v>2006</v>
      </c>
      <c r="X219">
        <v>2006</v>
      </c>
      <c r="Y219">
        <v>2006</v>
      </c>
      <c r="Z219">
        <v>2006</v>
      </c>
      <c r="AA219">
        <v>2006</v>
      </c>
      <c r="AB219">
        <v>2006</v>
      </c>
      <c r="AC219">
        <v>2006</v>
      </c>
      <c r="AD219">
        <v>2006</v>
      </c>
      <c r="AE219">
        <v>2006</v>
      </c>
      <c r="AF219">
        <v>2006</v>
      </c>
      <c r="AG219">
        <v>2006</v>
      </c>
    </row>
    <row r="220" spans="1:33" x14ac:dyDescent="0.25">
      <c r="A220">
        <v>6056633</v>
      </c>
      <c r="B220" t="s">
        <v>17</v>
      </c>
      <c r="C220">
        <v>2006</v>
      </c>
      <c r="D220">
        <v>2006</v>
      </c>
      <c r="E220">
        <v>2006</v>
      </c>
      <c r="F220">
        <v>2006</v>
      </c>
      <c r="G220">
        <v>2006</v>
      </c>
      <c r="H220">
        <v>2006</v>
      </c>
      <c r="I220">
        <v>2006</v>
      </c>
      <c r="J220">
        <v>2006</v>
      </c>
      <c r="K220">
        <v>2006</v>
      </c>
      <c r="L220">
        <v>2006</v>
      </c>
      <c r="M220">
        <v>2006</v>
      </c>
      <c r="N220">
        <v>2006</v>
      </c>
      <c r="O220">
        <v>2006</v>
      </c>
      <c r="P220">
        <v>2006</v>
      </c>
      <c r="Q220">
        <v>2006</v>
      </c>
      <c r="R220">
        <v>2006</v>
      </c>
      <c r="S220">
        <v>2006</v>
      </c>
      <c r="T220">
        <v>2006</v>
      </c>
      <c r="U220">
        <v>2006</v>
      </c>
      <c r="V220">
        <v>2006</v>
      </c>
      <c r="W220">
        <v>2006</v>
      </c>
      <c r="X220">
        <v>2006</v>
      </c>
      <c r="Y220">
        <v>2006</v>
      </c>
      <c r="Z220">
        <v>2006</v>
      </c>
      <c r="AA220">
        <v>2006</v>
      </c>
      <c r="AB220">
        <v>2006</v>
      </c>
      <c r="AC220">
        <v>2006</v>
      </c>
      <c r="AD220">
        <v>2006</v>
      </c>
      <c r="AE220">
        <v>2006</v>
      </c>
      <c r="AF220">
        <v>2006</v>
      </c>
      <c r="AG220">
        <v>2006</v>
      </c>
    </row>
    <row r="221" spans="1:33" x14ac:dyDescent="0.25">
      <c r="A221">
        <v>7086224</v>
      </c>
      <c r="B221" t="s">
        <v>17</v>
      </c>
      <c r="C221">
        <v>2006</v>
      </c>
      <c r="D221">
        <v>2006</v>
      </c>
      <c r="E221">
        <v>2006</v>
      </c>
      <c r="F221">
        <v>2006</v>
      </c>
      <c r="G221">
        <v>2006</v>
      </c>
      <c r="H221">
        <v>2006</v>
      </c>
      <c r="I221">
        <v>2006</v>
      </c>
      <c r="J221">
        <v>2006</v>
      </c>
      <c r="K221">
        <v>2006</v>
      </c>
      <c r="L221">
        <v>2006</v>
      </c>
      <c r="M221">
        <v>2006</v>
      </c>
      <c r="N221">
        <v>2006</v>
      </c>
      <c r="O221">
        <v>2006</v>
      </c>
      <c r="P221">
        <v>2006</v>
      </c>
      <c r="Q221">
        <v>2006</v>
      </c>
      <c r="R221">
        <v>2006</v>
      </c>
      <c r="S221">
        <v>2006</v>
      </c>
      <c r="T221">
        <v>2006</v>
      </c>
      <c r="U221">
        <v>2006</v>
      </c>
      <c r="V221">
        <v>2006</v>
      </c>
      <c r="W221">
        <v>2006</v>
      </c>
      <c r="X221">
        <v>2006</v>
      </c>
      <c r="Y221">
        <v>2006</v>
      </c>
      <c r="Z221">
        <v>2006</v>
      </c>
      <c r="AA221">
        <v>2006</v>
      </c>
      <c r="AB221">
        <v>2006</v>
      </c>
      <c r="AC221">
        <v>2006</v>
      </c>
      <c r="AD221">
        <v>2006</v>
      </c>
      <c r="AE221">
        <v>2006</v>
      </c>
      <c r="AF221">
        <v>2006</v>
      </c>
      <c r="AG221">
        <v>2006</v>
      </c>
    </row>
    <row r="222" spans="1:33" x14ac:dyDescent="0.25">
      <c r="A222">
        <v>8040959</v>
      </c>
      <c r="B222" t="s">
        <v>17</v>
      </c>
      <c r="C222">
        <v>2008</v>
      </c>
      <c r="D222">
        <v>2008</v>
      </c>
      <c r="E222">
        <v>2008</v>
      </c>
      <c r="F222">
        <v>2008</v>
      </c>
      <c r="G222">
        <v>2008</v>
      </c>
      <c r="H222">
        <v>2008</v>
      </c>
      <c r="I222">
        <v>2008</v>
      </c>
      <c r="J222">
        <v>2008</v>
      </c>
      <c r="K222">
        <v>2008</v>
      </c>
      <c r="L222">
        <v>2008</v>
      </c>
      <c r="M222">
        <v>2008</v>
      </c>
      <c r="N222">
        <v>2008</v>
      </c>
      <c r="O222">
        <v>2008</v>
      </c>
      <c r="P222">
        <v>2008</v>
      </c>
      <c r="Q222">
        <v>2008</v>
      </c>
      <c r="R222">
        <v>2008</v>
      </c>
      <c r="S222">
        <v>2008</v>
      </c>
      <c r="T222">
        <v>2008</v>
      </c>
      <c r="U222">
        <v>2008</v>
      </c>
      <c r="V222">
        <v>2008</v>
      </c>
      <c r="W222">
        <v>2008</v>
      </c>
      <c r="X222">
        <v>2008</v>
      </c>
      <c r="Y222">
        <v>2008</v>
      </c>
      <c r="Z222">
        <v>2008</v>
      </c>
      <c r="AA222">
        <v>2008</v>
      </c>
      <c r="AB222">
        <v>2008</v>
      </c>
      <c r="AC222">
        <v>2008</v>
      </c>
      <c r="AD222">
        <v>2008</v>
      </c>
      <c r="AE222">
        <v>2008</v>
      </c>
      <c r="AF222">
        <v>2008</v>
      </c>
      <c r="AG222">
        <v>2008</v>
      </c>
    </row>
    <row r="223" spans="1:33" x14ac:dyDescent="0.25">
      <c r="A223">
        <v>8107048</v>
      </c>
      <c r="B223" t="s">
        <v>17</v>
      </c>
      <c r="C223">
        <v>2008</v>
      </c>
      <c r="D223">
        <v>2008</v>
      </c>
      <c r="E223">
        <v>2008</v>
      </c>
      <c r="F223">
        <v>2008</v>
      </c>
      <c r="G223">
        <v>2008</v>
      </c>
      <c r="H223">
        <v>2008</v>
      </c>
      <c r="I223">
        <v>2008</v>
      </c>
      <c r="J223">
        <v>2008</v>
      </c>
      <c r="K223">
        <v>2008</v>
      </c>
      <c r="L223">
        <v>2008</v>
      </c>
      <c r="M223">
        <v>2008</v>
      </c>
      <c r="N223">
        <v>2008</v>
      </c>
      <c r="O223">
        <v>2008</v>
      </c>
      <c r="P223">
        <v>2008</v>
      </c>
      <c r="Q223">
        <v>2008</v>
      </c>
      <c r="R223">
        <v>2008</v>
      </c>
      <c r="S223">
        <v>2008</v>
      </c>
      <c r="T223">
        <v>2008</v>
      </c>
      <c r="U223">
        <v>2008</v>
      </c>
      <c r="V223">
        <v>2008</v>
      </c>
      <c r="W223">
        <v>2008</v>
      </c>
      <c r="X223">
        <v>2008</v>
      </c>
      <c r="Y223">
        <v>2008</v>
      </c>
      <c r="Z223">
        <v>2008</v>
      </c>
      <c r="AA223">
        <v>2008</v>
      </c>
      <c r="AB223">
        <v>2008</v>
      </c>
      <c r="AC223">
        <v>2008</v>
      </c>
      <c r="AD223">
        <v>2008</v>
      </c>
      <c r="AE223">
        <v>2008</v>
      </c>
      <c r="AF223">
        <v>2008</v>
      </c>
      <c r="AG223">
        <v>2008</v>
      </c>
    </row>
    <row r="224" spans="1:33" x14ac:dyDescent="0.25">
      <c r="A224">
        <v>8124044</v>
      </c>
      <c r="B224" t="s">
        <v>17</v>
      </c>
      <c r="C224">
        <v>2007</v>
      </c>
      <c r="D224">
        <v>2007</v>
      </c>
      <c r="E224">
        <v>2007</v>
      </c>
      <c r="F224">
        <v>2007</v>
      </c>
      <c r="G224">
        <v>2007</v>
      </c>
      <c r="H224">
        <v>2007</v>
      </c>
      <c r="I224">
        <v>2007</v>
      </c>
      <c r="J224">
        <v>2007</v>
      </c>
      <c r="K224">
        <v>2007</v>
      </c>
      <c r="L224">
        <v>2007</v>
      </c>
      <c r="M224">
        <v>2007</v>
      </c>
      <c r="N224">
        <v>2007</v>
      </c>
      <c r="O224">
        <v>2007</v>
      </c>
      <c r="P224">
        <v>2007</v>
      </c>
      <c r="Q224">
        <v>2007</v>
      </c>
      <c r="R224">
        <v>2007</v>
      </c>
      <c r="S224">
        <v>2007</v>
      </c>
      <c r="T224">
        <v>2007</v>
      </c>
      <c r="U224">
        <v>2007</v>
      </c>
      <c r="V224">
        <v>2007</v>
      </c>
      <c r="W224">
        <v>2007</v>
      </c>
      <c r="X224">
        <v>2007</v>
      </c>
      <c r="Y224">
        <v>2007</v>
      </c>
      <c r="Z224">
        <v>2007</v>
      </c>
      <c r="AA224">
        <v>2007</v>
      </c>
      <c r="AB224">
        <v>2007</v>
      </c>
      <c r="AC224">
        <v>2007</v>
      </c>
      <c r="AD224">
        <v>2007</v>
      </c>
      <c r="AE224">
        <v>2007</v>
      </c>
      <c r="AF224">
        <v>2007</v>
      </c>
      <c r="AG224">
        <v>2007</v>
      </c>
    </row>
    <row r="225" spans="1:33" x14ac:dyDescent="0.25">
      <c r="A225">
        <v>8142949</v>
      </c>
      <c r="B225" t="s">
        <v>17</v>
      </c>
      <c r="C225">
        <v>2008</v>
      </c>
      <c r="D225">
        <v>2008</v>
      </c>
      <c r="E225">
        <v>2008</v>
      </c>
      <c r="F225">
        <v>2008</v>
      </c>
      <c r="G225">
        <v>2008</v>
      </c>
      <c r="H225">
        <v>2008</v>
      </c>
      <c r="I225">
        <v>2008</v>
      </c>
      <c r="J225">
        <v>2008</v>
      </c>
      <c r="K225">
        <v>2008</v>
      </c>
      <c r="L225">
        <v>2008</v>
      </c>
      <c r="M225">
        <v>2008</v>
      </c>
      <c r="N225">
        <v>2008</v>
      </c>
      <c r="O225">
        <v>2008</v>
      </c>
      <c r="P225">
        <v>2008</v>
      </c>
      <c r="Q225">
        <v>2008</v>
      </c>
      <c r="R225">
        <v>2008</v>
      </c>
      <c r="S225">
        <v>2008</v>
      </c>
      <c r="T225">
        <v>2008</v>
      </c>
      <c r="U225">
        <v>2008</v>
      </c>
      <c r="V225">
        <v>2008</v>
      </c>
      <c r="W225">
        <v>2008</v>
      </c>
      <c r="X225">
        <v>2008</v>
      </c>
      <c r="Y225">
        <v>2008</v>
      </c>
      <c r="Z225">
        <v>2008</v>
      </c>
      <c r="AA225">
        <v>2008</v>
      </c>
      <c r="AB225">
        <v>2008</v>
      </c>
      <c r="AC225">
        <v>2008</v>
      </c>
      <c r="AD225">
        <v>2008</v>
      </c>
      <c r="AE225">
        <v>2008</v>
      </c>
      <c r="AF225">
        <v>2008</v>
      </c>
      <c r="AG225">
        <v>2008</v>
      </c>
    </row>
    <row r="226" spans="1:33" x14ac:dyDescent="0.25">
      <c r="A226">
        <v>9023306</v>
      </c>
      <c r="B226" t="s">
        <v>17</v>
      </c>
      <c r="C226">
        <v>2008</v>
      </c>
      <c r="D226">
        <v>2008</v>
      </c>
      <c r="E226">
        <v>2008</v>
      </c>
      <c r="F226">
        <v>2008</v>
      </c>
      <c r="G226">
        <v>2008</v>
      </c>
      <c r="H226">
        <v>2008</v>
      </c>
      <c r="I226">
        <v>2008</v>
      </c>
      <c r="J226">
        <v>2008</v>
      </c>
      <c r="K226">
        <v>2008</v>
      </c>
      <c r="L226">
        <v>2008</v>
      </c>
      <c r="M226">
        <v>2008</v>
      </c>
      <c r="N226">
        <v>2008</v>
      </c>
      <c r="O226">
        <v>2008</v>
      </c>
      <c r="P226">
        <v>2008</v>
      </c>
      <c r="Q226">
        <v>2008</v>
      </c>
      <c r="R226">
        <v>2008</v>
      </c>
      <c r="S226">
        <v>2008</v>
      </c>
      <c r="T226">
        <v>2008</v>
      </c>
      <c r="U226">
        <v>2008</v>
      </c>
      <c r="V226">
        <v>2008</v>
      </c>
      <c r="W226">
        <v>2008</v>
      </c>
      <c r="X226">
        <v>2008</v>
      </c>
      <c r="Y226">
        <v>2008</v>
      </c>
      <c r="Z226">
        <v>2008</v>
      </c>
      <c r="AA226">
        <v>2008</v>
      </c>
      <c r="AB226">
        <v>2008</v>
      </c>
      <c r="AC226">
        <v>2008</v>
      </c>
      <c r="AD226">
        <v>2008</v>
      </c>
      <c r="AE226">
        <v>2008</v>
      </c>
      <c r="AF226">
        <v>2008</v>
      </c>
      <c r="AG226">
        <v>2008</v>
      </c>
    </row>
    <row r="227" spans="1:33" x14ac:dyDescent="0.25">
      <c r="A227">
        <v>9034464</v>
      </c>
      <c r="B227" t="s">
        <v>17</v>
      </c>
      <c r="C227">
        <v>2009</v>
      </c>
      <c r="D227">
        <v>2009</v>
      </c>
      <c r="E227">
        <v>2009</v>
      </c>
      <c r="F227">
        <v>2009</v>
      </c>
      <c r="G227">
        <v>2009</v>
      </c>
      <c r="H227">
        <v>2009</v>
      </c>
      <c r="I227">
        <v>2009</v>
      </c>
      <c r="J227">
        <v>2009</v>
      </c>
      <c r="K227">
        <v>2009</v>
      </c>
      <c r="L227">
        <v>2009</v>
      </c>
      <c r="M227">
        <v>2009</v>
      </c>
      <c r="N227">
        <v>2009</v>
      </c>
      <c r="O227">
        <v>2009</v>
      </c>
      <c r="P227">
        <v>2009</v>
      </c>
      <c r="Q227">
        <v>2009</v>
      </c>
      <c r="R227">
        <v>2009</v>
      </c>
      <c r="S227">
        <v>2009</v>
      </c>
      <c r="T227">
        <v>2009</v>
      </c>
      <c r="U227">
        <v>2009</v>
      </c>
      <c r="V227">
        <v>2009</v>
      </c>
      <c r="W227">
        <v>2009</v>
      </c>
      <c r="X227">
        <v>2009</v>
      </c>
      <c r="Y227">
        <v>2009</v>
      </c>
      <c r="Z227">
        <v>2009</v>
      </c>
      <c r="AA227">
        <v>2009</v>
      </c>
      <c r="AB227">
        <v>2009</v>
      </c>
      <c r="AC227">
        <v>2009</v>
      </c>
      <c r="AD227">
        <v>2009</v>
      </c>
      <c r="AE227">
        <v>2009</v>
      </c>
      <c r="AF227">
        <v>2009</v>
      </c>
      <c r="AG227">
        <v>2009</v>
      </c>
    </row>
    <row r="228" spans="1:33" x14ac:dyDescent="0.25">
      <c r="A228">
        <v>9040167</v>
      </c>
      <c r="B228" t="s">
        <v>17</v>
      </c>
      <c r="C228">
        <v>2008</v>
      </c>
      <c r="D228">
        <v>2008</v>
      </c>
      <c r="E228">
        <v>2008</v>
      </c>
      <c r="F228">
        <v>2008</v>
      </c>
      <c r="G228">
        <v>2008</v>
      </c>
      <c r="H228">
        <v>2008</v>
      </c>
      <c r="I228">
        <v>2008</v>
      </c>
      <c r="J228">
        <v>2008</v>
      </c>
      <c r="K228">
        <v>2008</v>
      </c>
      <c r="L228">
        <v>2008</v>
      </c>
      <c r="M228">
        <v>2008</v>
      </c>
      <c r="N228">
        <v>2008</v>
      </c>
      <c r="O228">
        <v>2008</v>
      </c>
      <c r="P228">
        <v>2008</v>
      </c>
      <c r="Q228">
        <v>2008</v>
      </c>
      <c r="R228">
        <v>2008</v>
      </c>
      <c r="S228">
        <v>2008</v>
      </c>
      <c r="T228">
        <v>2008</v>
      </c>
      <c r="U228">
        <v>2008</v>
      </c>
      <c r="V228">
        <v>2008</v>
      </c>
      <c r="W228">
        <v>2008</v>
      </c>
      <c r="X228">
        <v>2008</v>
      </c>
      <c r="Y228">
        <v>2008</v>
      </c>
      <c r="Z228">
        <v>2008</v>
      </c>
      <c r="AA228">
        <v>2008</v>
      </c>
      <c r="AB228">
        <v>2008</v>
      </c>
      <c r="AC228">
        <v>2008</v>
      </c>
      <c r="AD228">
        <v>2008</v>
      </c>
      <c r="AE228">
        <v>2008</v>
      </c>
      <c r="AF228">
        <v>2008</v>
      </c>
      <c r="AG228">
        <v>2008</v>
      </c>
    </row>
    <row r="229" spans="1:33" x14ac:dyDescent="0.25">
      <c r="A229">
        <v>9054567</v>
      </c>
      <c r="B229" t="s">
        <v>17</v>
      </c>
      <c r="C229">
        <v>2009</v>
      </c>
      <c r="D229">
        <v>2009</v>
      </c>
      <c r="E229">
        <v>2009</v>
      </c>
      <c r="F229">
        <v>2009</v>
      </c>
      <c r="G229">
        <v>2009</v>
      </c>
      <c r="H229">
        <v>2009</v>
      </c>
      <c r="I229">
        <v>2009</v>
      </c>
      <c r="J229">
        <v>2009</v>
      </c>
      <c r="K229">
        <v>2009</v>
      </c>
      <c r="L229">
        <v>2009</v>
      </c>
      <c r="M229">
        <v>2009</v>
      </c>
      <c r="N229">
        <v>2009</v>
      </c>
      <c r="O229">
        <v>2009</v>
      </c>
      <c r="P229">
        <v>2009</v>
      </c>
      <c r="Q229">
        <v>2009</v>
      </c>
      <c r="R229">
        <v>2009</v>
      </c>
      <c r="S229">
        <v>2009</v>
      </c>
      <c r="T229">
        <v>2009</v>
      </c>
      <c r="U229">
        <v>2009</v>
      </c>
      <c r="V229">
        <v>2009</v>
      </c>
      <c r="W229">
        <v>2009</v>
      </c>
      <c r="X229">
        <v>2009</v>
      </c>
      <c r="Y229">
        <v>2009</v>
      </c>
      <c r="Z229">
        <v>2009</v>
      </c>
      <c r="AA229">
        <v>2009</v>
      </c>
      <c r="AB229">
        <v>2009</v>
      </c>
      <c r="AC229">
        <v>2009</v>
      </c>
      <c r="AD229">
        <v>2009</v>
      </c>
      <c r="AE229">
        <v>2009</v>
      </c>
      <c r="AF229">
        <v>2009</v>
      </c>
      <c r="AG229">
        <v>2009</v>
      </c>
    </row>
    <row r="230" spans="1:33" x14ac:dyDescent="0.25">
      <c r="A230">
        <v>9083682</v>
      </c>
      <c r="B230" t="s">
        <v>17</v>
      </c>
      <c r="C230">
        <v>2009</v>
      </c>
      <c r="D230">
        <v>2009</v>
      </c>
      <c r="E230">
        <v>2009</v>
      </c>
      <c r="F230">
        <v>2009</v>
      </c>
      <c r="G230">
        <v>2009</v>
      </c>
      <c r="H230">
        <v>2009</v>
      </c>
      <c r="I230">
        <v>2009</v>
      </c>
      <c r="J230">
        <v>2009</v>
      </c>
      <c r="K230">
        <v>2009</v>
      </c>
      <c r="L230">
        <v>2009</v>
      </c>
      <c r="M230">
        <v>2009</v>
      </c>
      <c r="N230">
        <v>2009</v>
      </c>
      <c r="O230">
        <v>2009</v>
      </c>
      <c r="P230">
        <v>2009</v>
      </c>
      <c r="Q230">
        <v>2009</v>
      </c>
      <c r="R230">
        <v>2009</v>
      </c>
      <c r="S230">
        <v>2009</v>
      </c>
      <c r="T230">
        <v>2009</v>
      </c>
      <c r="U230">
        <v>2009</v>
      </c>
      <c r="V230">
        <v>2009</v>
      </c>
      <c r="W230">
        <v>2009</v>
      </c>
      <c r="X230">
        <v>2009</v>
      </c>
      <c r="Y230">
        <v>2009</v>
      </c>
      <c r="Z230">
        <v>2009</v>
      </c>
      <c r="AA230">
        <v>2009</v>
      </c>
      <c r="AB230">
        <v>2009</v>
      </c>
      <c r="AC230">
        <v>2009</v>
      </c>
      <c r="AD230">
        <v>2009</v>
      </c>
      <c r="AE230">
        <v>2009</v>
      </c>
      <c r="AF230">
        <v>2009</v>
      </c>
      <c r="AG230">
        <v>2009</v>
      </c>
    </row>
    <row r="231" spans="1:33" x14ac:dyDescent="0.25">
      <c r="A231">
        <v>9102044</v>
      </c>
      <c r="B231" t="s">
        <v>17</v>
      </c>
      <c r="C231">
        <v>2009</v>
      </c>
      <c r="D231">
        <v>2009</v>
      </c>
      <c r="E231">
        <v>2009</v>
      </c>
      <c r="F231">
        <v>2009</v>
      </c>
      <c r="G231">
        <v>2009</v>
      </c>
      <c r="H231">
        <v>2009</v>
      </c>
      <c r="I231">
        <v>2009</v>
      </c>
      <c r="J231">
        <v>2009</v>
      </c>
      <c r="K231">
        <v>2009</v>
      </c>
      <c r="L231">
        <v>2009</v>
      </c>
      <c r="M231">
        <v>2009</v>
      </c>
      <c r="N231">
        <v>2009</v>
      </c>
      <c r="O231">
        <v>2009</v>
      </c>
      <c r="P231">
        <v>2009</v>
      </c>
      <c r="Q231">
        <v>2009</v>
      </c>
      <c r="R231">
        <v>2009</v>
      </c>
      <c r="S231">
        <v>2009</v>
      </c>
      <c r="T231">
        <v>2009</v>
      </c>
      <c r="U231">
        <v>2009</v>
      </c>
      <c r="V231">
        <v>2009</v>
      </c>
      <c r="W231">
        <v>2009</v>
      </c>
      <c r="X231">
        <v>2009</v>
      </c>
      <c r="Y231">
        <v>2009</v>
      </c>
      <c r="Z231">
        <v>2009</v>
      </c>
      <c r="AA231">
        <v>2009</v>
      </c>
      <c r="AB231">
        <v>2009</v>
      </c>
      <c r="AC231">
        <v>2009</v>
      </c>
      <c r="AD231">
        <v>2009</v>
      </c>
      <c r="AE231">
        <v>2009</v>
      </c>
      <c r="AF231">
        <v>2009</v>
      </c>
      <c r="AG231">
        <v>2009</v>
      </c>
    </row>
    <row r="232" spans="1:33" x14ac:dyDescent="0.25">
      <c r="A232">
        <v>9119854</v>
      </c>
      <c r="B232" t="s">
        <v>17</v>
      </c>
      <c r="C232">
        <v>2009</v>
      </c>
      <c r="D232">
        <v>2009</v>
      </c>
      <c r="E232">
        <v>2009</v>
      </c>
      <c r="F232">
        <v>2009</v>
      </c>
      <c r="G232">
        <v>2009</v>
      </c>
      <c r="H232">
        <v>2009</v>
      </c>
      <c r="I232">
        <v>2009</v>
      </c>
      <c r="J232">
        <v>2009</v>
      </c>
      <c r="K232">
        <v>2009</v>
      </c>
      <c r="L232">
        <v>2009</v>
      </c>
      <c r="M232">
        <v>2009</v>
      </c>
      <c r="N232">
        <v>2009</v>
      </c>
      <c r="O232">
        <v>2009</v>
      </c>
      <c r="P232">
        <v>2009</v>
      </c>
      <c r="Q232">
        <v>2009</v>
      </c>
      <c r="R232">
        <v>2009</v>
      </c>
      <c r="S232">
        <v>2009</v>
      </c>
      <c r="T232">
        <v>2009</v>
      </c>
      <c r="U232">
        <v>2009</v>
      </c>
      <c r="V232">
        <v>2009</v>
      </c>
      <c r="W232">
        <v>2009</v>
      </c>
      <c r="X232">
        <v>2009</v>
      </c>
      <c r="Y232">
        <v>2009</v>
      </c>
      <c r="Z232">
        <v>2009</v>
      </c>
      <c r="AA232">
        <v>2009</v>
      </c>
      <c r="AB232">
        <v>2009</v>
      </c>
      <c r="AC232">
        <v>2009</v>
      </c>
      <c r="AD232">
        <v>2009</v>
      </c>
      <c r="AE232">
        <v>2009</v>
      </c>
      <c r="AF232">
        <v>2009</v>
      </c>
      <c r="AG232">
        <v>2009</v>
      </c>
    </row>
    <row r="233" spans="1:33" x14ac:dyDescent="0.25">
      <c r="A233">
        <v>9125126</v>
      </c>
      <c r="B233" t="s">
        <v>17</v>
      </c>
      <c r="C233">
        <v>2009</v>
      </c>
      <c r="D233">
        <v>2009</v>
      </c>
      <c r="E233">
        <v>2009</v>
      </c>
      <c r="F233">
        <v>2009</v>
      </c>
      <c r="G233">
        <v>2009</v>
      </c>
      <c r="H233">
        <v>2009</v>
      </c>
      <c r="I233">
        <v>2009</v>
      </c>
      <c r="J233">
        <v>2009</v>
      </c>
      <c r="K233">
        <v>2009</v>
      </c>
      <c r="L233">
        <v>2009</v>
      </c>
      <c r="M233">
        <v>2009</v>
      </c>
      <c r="N233">
        <v>2009</v>
      </c>
      <c r="O233">
        <v>2009</v>
      </c>
      <c r="P233">
        <v>2009</v>
      </c>
      <c r="Q233">
        <v>2009</v>
      </c>
      <c r="R233">
        <v>2009</v>
      </c>
      <c r="S233">
        <v>2009</v>
      </c>
      <c r="T233">
        <v>2009</v>
      </c>
      <c r="U233">
        <v>2009</v>
      </c>
      <c r="V233">
        <v>2009</v>
      </c>
      <c r="W233">
        <v>2009</v>
      </c>
      <c r="X233">
        <v>2009</v>
      </c>
      <c r="Y233">
        <v>2009</v>
      </c>
      <c r="Z233">
        <v>2009</v>
      </c>
      <c r="AA233">
        <v>2009</v>
      </c>
      <c r="AB233">
        <v>2009</v>
      </c>
      <c r="AC233">
        <v>2009</v>
      </c>
      <c r="AD233">
        <v>2009</v>
      </c>
      <c r="AE233">
        <v>2009</v>
      </c>
      <c r="AF233">
        <v>2009</v>
      </c>
      <c r="AG233">
        <v>2009</v>
      </c>
    </row>
    <row r="234" spans="1:33" x14ac:dyDescent="0.25">
      <c r="A234">
        <v>9174811</v>
      </c>
      <c r="B234" t="s">
        <v>17</v>
      </c>
      <c r="C234">
        <v>2009</v>
      </c>
      <c r="D234">
        <v>2009</v>
      </c>
      <c r="E234">
        <v>2009</v>
      </c>
      <c r="F234">
        <v>2009</v>
      </c>
      <c r="G234">
        <v>2009</v>
      </c>
      <c r="H234">
        <v>2009</v>
      </c>
      <c r="I234">
        <v>2009</v>
      </c>
      <c r="J234">
        <v>2009</v>
      </c>
      <c r="K234">
        <v>2009</v>
      </c>
      <c r="L234">
        <v>2009</v>
      </c>
      <c r="M234">
        <v>2009</v>
      </c>
      <c r="N234">
        <v>2009</v>
      </c>
      <c r="O234">
        <v>2009</v>
      </c>
      <c r="P234">
        <v>2009</v>
      </c>
      <c r="Q234">
        <v>2009</v>
      </c>
      <c r="R234">
        <v>2009</v>
      </c>
      <c r="S234">
        <v>2009</v>
      </c>
      <c r="T234">
        <v>2009</v>
      </c>
      <c r="U234">
        <v>2009</v>
      </c>
      <c r="V234">
        <v>2009</v>
      </c>
      <c r="W234">
        <v>2009</v>
      </c>
      <c r="X234">
        <v>2009</v>
      </c>
      <c r="Y234">
        <v>2009</v>
      </c>
      <c r="Z234">
        <v>2009</v>
      </c>
      <c r="AA234">
        <v>2009</v>
      </c>
      <c r="AB234">
        <v>2009</v>
      </c>
      <c r="AC234">
        <v>2009</v>
      </c>
      <c r="AD234">
        <v>2009</v>
      </c>
      <c r="AE234">
        <v>2009</v>
      </c>
      <c r="AF234">
        <v>2009</v>
      </c>
      <c r="AG234">
        <v>2009</v>
      </c>
    </row>
    <row r="235" spans="1:33" x14ac:dyDescent="0.25">
      <c r="A235">
        <v>10002875</v>
      </c>
      <c r="B235" t="s">
        <v>17</v>
      </c>
      <c r="C235">
        <v>2009</v>
      </c>
      <c r="D235">
        <v>2009</v>
      </c>
      <c r="E235">
        <v>2009</v>
      </c>
      <c r="F235">
        <v>2009</v>
      </c>
      <c r="G235">
        <v>2009</v>
      </c>
      <c r="H235">
        <v>2009</v>
      </c>
      <c r="I235">
        <v>2009</v>
      </c>
      <c r="J235">
        <v>2009</v>
      </c>
      <c r="K235">
        <v>2009</v>
      </c>
      <c r="L235">
        <v>2009</v>
      </c>
      <c r="M235">
        <v>2009</v>
      </c>
      <c r="N235">
        <v>2009</v>
      </c>
      <c r="O235">
        <v>2009</v>
      </c>
      <c r="P235">
        <v>2009</v>
      </c>
      <c r="Q235">
        <v>2009</v>
      </c>
      <c r="R235">
        <v>2009</v>
      </c>
      <c r="S235">
        <v>2009</v>
      </c>
      <c r="T235">
        <v>2009</v>
      </c>
      <c r="U235">
        <v>2009</v>
      </c>
      <c r="V235">
        <v>2009</v>
      </c>
      <c r="W235">
        <v>2009</v>
      </c>
      <c r="X235">
        <v>2009</v>
      </c>
      <c r="Y235">
        <v>2009</v>
      </c>
      <c r="Z235">
        <v>2009</v>
      </c>
      <c r="AA235">
        <v>2009</v>
      </c>
      <c r="AB235">
        <v>2009</v>
      </c>
      <c r="AC235">
        <v>2009</v>
      </c>
      <c r="AD235">
        <v>2009</v>
      </c>
      <c r="AE235">
        <v>2009</v>
      </c>
      <c r="AF235">
        <v>2009</v>
      </c>
      <c r="AG235">
        <v>2009</v>
      </c>
    </row>
    <row r="236" spans="1:33" x14ac:dyDescent="0.25">
      <c r="A236">
        <v>10023080</v>
      </c>
      <c r="B236" t="s">
        <v>17</v>
      </c>
      <c r="C236">
        <v>2010</v>
      </c>
      <c r="D236">
        <v>2010</v>
      </c>
      <c r="E236">
        <v>2010</v>
      </c>
      <c r="F236">
        <v>2010</v>
      </c>
      <c r="G236">
        <v>2010</v>
      </c>
      <c r="H236">
        <v>2010</v>
      </c>
      <c r="I236">
        <v>2010</v>
      </c>
      <c r="J236">
        <v>2010</v>
      </c>
      <c r="K236">
        <v>2010</v>
      </c>
      <c r="L236">
        <v>2010</v>
      </c>
      <c r="M236">
        <v>2010</v>
      </c>
      <c r="N236">
        <v>2010</v>
      </c>
      <c r="O236">
        <v>2010</v>
      </c>
      <c r="P236">
        <v>2010</v>
      </c>
      <c r="Q236">
        <v>2010</v>
      </c>
      <c r="R236">
        <v>2010</v>
      </c>
      <c r="S236">
        <v>2010</v>
      </c>
      <c r="T236">
        <v>2010</v>
      </c>
      <c r="U236">
        <v>2010</v>
      </c>
      <c r="V236">
        <v>2010</v>
      </c>
      <c r="W236">
        <v>2010</v>
      </c>
      <c r="X236">
        <v>2010</v>
      </c>
      <c r="Y236">
        <v>2010</v>
      </c>
      <c r="Z236">
        <v>2010</v>
      </c>
      <c r="AA236">
        <v>2010</v>
      </c>
      <c r="AB236">
        <v>2010</v>
      </c>
      <c r="AC236">
        <v>2010</v>
      </c>
      <c r="AD236">
        <v>2010</v>
      </c>
      <c r="AE236">
        <v>2010</v>
      </c>
      <c r="AF236">
        <v>2010</v>
      </c>
      <c r="AG236">
        <v>2010</v>
      </c>
    </row>
    <row r="237" spans="1:33" x14ac:dyDescent="0.25">
      <c r="A237">
        <v>10025212</v>
      </c>
      <c r="B237" t="s">
        <v>17</v>
      </c>
      <c r="C237">
        <v>2009</v>
      </c>
      <c r="D237">
        <v>2009</v>
      </c>
      <c r="E237">
        <v>2009</v>
      </c>
      <c r="F237">
        <v>2009</v>
      </c>
      <c r="G237">
        <v>2009</v>
      </c>
      <c r="H237">
        <v>2009</v>
      </c>
      <c r="I237">
        <v>2009</v>
      </c>
      <c r="J237">
        <v>2009</v>
      </c>
      <c r="K237">
        <v>2009</v>
      </c>
      <c r="L237">
        <v>2009</v>
      </c>
      <c r="M237">
        <v>2009</v>
      </c>
      <c r="N237">
        <v>2009</v>
      </c>
      <c r="O237">
        <v>2009</v>
      </c>
      <c r="P237">
        <v>2009</v>
      </c>
      <c r="Q237">
        <v>2009</v>
      </c>
      <c r="R237">
        <v>2009</v>
      </c>
      <c r="S237">
        <v>2009</v>
      </c>
      <c r="T237">
        <v>2009</v>
      </c>
      <c r="U237">
        <v>2009</v>
      </c>
      <c r="V237">
        <v>2009</v>
      </c>
      <c r="W237">
        <v>2009</v>
      </c>
      <c r="X237">
        <v>2009</v>
      </c>
      <c r="Y237">
        <v>2009</v>
      </c>
      <c r="Z237">
        <v>2009</v>
      </c>
      <c r="AA237">
        <v>2009</v>
      </c>
      <c r="AB237">
        <v>2009</v>
      </c>
      <c r="AC237">
        <v>2009</v>
      </c>
      <c r="AD237">
        <v>2009</v>
      </c>
      <c r="AE237">
        <v>2009</v>
      </c>
      <c r="AF237">
        <v>2009</v>
      </c>
      <c r="AG237">
        <v>2009</v>
      </c>
    </row>
    <row r="238" spans="1:33" x14ac:dyDescent="0.25">
      <c r="A238">
        <v>10069407</v>
      </c>
      <c r="B238" t="s">
        <v>17</v>
      </c>
      <c r="C238">
        <v>2010</v>
      </c>
      <c r="D238">
        <v>2010</v>
      </c>
      <c r="E238">
        <v>2010</v>
      </c>
      <c r="F238">
        <v>2010</v>
      </c>
      <c r="G238">
        <v>2010</v>
      </c>
      <c r="H238">
        <v>2010</v>
      </c>
      <c r="I238">
        <v>2010</v>
      </c>
      <c r="J238">
        <v>2010</v>
      </c>
      <c r="K238">
        <v>2010</v>
      </c>
      <c r="L238">
        <v>2010</v>
      </c>
      <c r="M238">
        <v>2010</v>
      </c>
      <c r="N238">
        <v>2010</v>
      </c>
      <c r="O238">
        <v>2010</v>
      </c>
      <c r="P238">
        <v>2010</v>
      </c>
      <c r="Q238">
        <v>2010</v>
      </c>
      <c r="R238">
        <v>2010</v>
      </c>
      <c r="S238">
        <v>2010</v>
      </c>
      <c r="T238">
        <v>2010</v>
      </c>
      <c r="U238">
        <v>2010</v>
      </c>
      <c r="V238">
        <v>2010</v>
      </c>
      <c r="W238">
        <v>2010</v>
      </c>
      <c r="X238">
        <v>2010</v>
      </c>
      <c r="Y238">
        <v>2010</v>
      </c>
      <c r="Z238">
        <v>2010</v>
      </c>
      <c r="AA238">
        <v>2010</v>
      </c>
      <c r="AB238">
        <v>2010</v>
      </c>
      <c r="AC238">
        <v>2010</v>
      </c>
      <c r="AD238">
        <v>2010</v>
      </c>
      <c r="AE238">
        <v>2010</v>
      </c>
      <c r="AF238">
        <v>2010</v>
      </c>
      <c r="AG238">
        <v>2010</v>
      </c>
    </row>
    <row r="239" spans="1:33" x14ac:dyDescent="0.25">
      <c r="A239">
        <v>10071135</v>
      </c>
      <c r="B239" t="s">
        <v>17</v>
      </c>
      <c r="C239">
        <v>2009</v>
      </c>
      <c r="D239">
        <v>2009</v>
      </c>
      <c r="E239">
        <v>2009</v>
      </c>
      <c r="F239">
        <v>2009</v>
      </c>
      <c r="G239">
        <v>2009</v>
      </c>
      <c r="H239">
        <v>2009</v>
      </c>
      <c r="I239">
        <v>2009</v>
      </c>
      <c r="J239">
        <v>2009</v>
      </c>
      <c r="K239">
        <v>2009</v>
      </c>
      <c r="L239">
        <v>2009</v>
      </c>
      <c r="M239">
        <v>2009</v>
      </c>
      <c r="N239">
        <v>2009</v>
      </c>
      <c r="O239">
        <v>2009</v>
      </c>
      <c r="P239">
        <v>2009</v>
      </c>
      <c r="Q239">
        <v>2009</v>
      </c>
      <c r="R239">
        <v>2009</v>
      </c>
      <c r="S239">
        <v>2009</v>
      </c>
      <c r="T239">
        <v>2009</v>
      </c>
      <c r="U239">
        <v>2009</v>
      </c>
      <c r="V239">
        <v>2009</v>
      </c>
      <c r="W239">
        <v>2009</v>
      </c>
      <c r="X239">
        <v>2009</v>
      </c>
      <c r="Y239">
        <v>2009</v>
      </c>
      <c r="Z239">
        <v>2009</v>
      </c>
      <c r="AA239">
        <v>2009</v>
      </c>
      <c r="AB239">
        <v>2009</v>
      </c>
      <c r="AC239">
        <v>2009</v>
      </c>
      <c r="AD239">
        <v>2009</v>
      </c>
      <c r="AE239">
        <v>2009</v>
      </c>
      <c r="AF239">
        <v>2009</v>
      </c>
      <c r="AG239">
        <v>2009</v>
      </c>
    </row>
    <row r="240" spans="1:33" x14ac:dyDescent="0.25">
      <c r="A240">
        <v>10083649</v>
      </c>
      <c r="B240" t="s">
        <v>17</v>
      </c>
      <c r="C240">
        <v>2010</v>
      </c>
      <c r="D240">
        <v>2010</v>
      </c>
      <c r="E240">
        <v>2010</v>
      </c>
      <c r="F240">
        <v>2010</v>
      </c>
      <c r="G240">
        <v>2010</v>
      </c>
      <c r="H240">
        <v>2010</v>
      </c>
      <c r="I240">
        <v>2010</v>
      </c>
      <c r="J240">
        <v>2010</v>
      </c>
      <c r="K240">
        <v>2010</v>
      </c>
      <c r="L240">
        <v>2010</v>
      </c>
      <c r="M240">
        <v>2010</v>
      </c>
      <c r="N240">
        <v>2010</v>
      </c>
      <c r="O240">
        <v>2010</v>
      </c>
      <c r="P240">
        <v>2010</v>
      </c>
      <c r="Q240">
        <v>2010</v>
      </c>
      <c r="R240">
        <v>2010</v>
      </c>
      <c r="S240">
        <v>2010</v>
      </c>
      <c r="T240">
        <v>2010</v>
      </c>
      <c r="U240">
        <v>2010</v>
      </c>
      <c r="V240">
        <v>2010</v>
      </c>
      <c r="W240">
        <v>2010</v>
      </c>
      <c r="X240">
        <v>2010</v>
      </c>
      <c r="Y240">
        <v>2010</v>
      </c>
      <c r="Z240">
        <v>2010</v>
      </c>
      <c r="AA240">
        <v>2010</v>
      </c>
      <c r="AB240">
        <v>2010</v>
      </c>
      <c r="AC240">
        <v>2010</v>
      </c>
      <c r="AD240">
        <v>2010</v>
      </c>
      <c r="AE240">
        <v>2010</v>
      </c>
      <c r="AF240">
        <v>2010</v>
      </c>
      <c r="AG240">
        <v>2010</v>
      </c>
    </row>
    <row r="241" spans="1:33" x14ac:dyDescent="0.25">
      <c r="A241">
        <v>10102021</v>
      </c>
      <c r="B241" t="s">
        <v>17</v>
      </c>
      <c r="C241">
        <v>2010</v>
      </c>
      <c r="D241">
        <v>2010</v>
      </c>
      <c r="E241">
        <v>2010</v>
      </c>
      <c r="F241">
        <v>2010</v>
      </c>
      <c r="G241">
        <v>2010</v>
      </c>
      <c r="H241">
        <v>2010</v>
      </c>
      <c r="I241">
        <v>2010</v>
      </c>
      <c r="J241">
        <v>2010</v>
      </c>
      <c r="K241">
        <v>2010</v>
      </c>
      <c r="L241">
        <v>2010</v>
      </c>
      <c r="M241">
        <v>2010</v>
      </c>
      <c r="N241">
        <v>2010</v>
      </c>
      <c r="O241">
        <v>2010</v>
      </c>
      <c r="P241">
        <v>2010</v>
      </c>
      <c r="Q241">
        <v>2010</v>
      </c>
      <c r="R241">
        <v>2010</v>
      </c>
      <c r="S241">
        <v>2010</v>
      </c>
      <c r="T241">
        <v>2010</v>
      </c>
      <c r="U241">
        <v>2010</v>
      </c>
      <c r="V241">
        <v>2010</v>
      </c>
      <c r="W241">
        <v>2010</v>
      </c>
      <c r="X241">
        <v>2010</v>
      </c>
      <c r="Y241">
        <v>2010</v>
      </c>
      <c r="Z241">
        <v>2010</v>
      </c>
      <c r="AA241">
        <v>2010</v>
      </c>
      <c r="AB241">
        <v>2010</v>
      </c>
      <c r="AC241">
        <v>2010</v>
      </c>
      <c r="AD241">
        <v>2010</v>
      </c>
      <c r="AE241">
        <v>2010</v>
      </c>
      <c r="AF241">
        <v>2010</v>
      </c>
      <c r="AG241">
        <v>2010</v>
      </c>
    </row>
    <row r="242" spans="1:33" x14ac:dyDescent="0.25">
      <c r="A242">
        <v>10123729</v>
      </c>
      <c r="B242" t="s">
        <v>17</v>
      </c>
      <c r="C242">
        <v>2010</v>
      </c>
      <c r="D242">
        <v>2010</v>
      </c>
      <c r="E242">
        <v>2010</v>
      </c>
      <c r="F242">
        <v>2010</v>
      </c>
      <c r="G242">
        <v>2010</v>
      </c>
      <c r="H242">
        <v>2010</v>
      </c>
      <c r="I242">
        <v>2010</v>
      </c>
      <c r="J242">
        <v>2010</v>
      </c>
      <c r="K242">
        <v>2010</v>
      </c>
      <c r="L242">
        <v>2010</v>
      </c>
      <c r="M242">
        <v>2010</v>
      </c>
      <c r="N242">
        <v>2010</v>
      </c>
      <c r="O242">
        <v>2010</v>
      </c>
      <c r="P242">
        <v>2010</v>
      </c>
      <c r="Q242">
        <v>2010</v>
      </c>
      <c r="R242">
        <v>2010</v>
      </c>
      <c r="S242">
        <v>2010</v>
      </c>
      <c r="T242">
        <v>2010</v>
      </c>
      <c r="U242">
        <v>2010</v>
      </c>
      <c r="V242">
        <v>2010</v>
      </c>
      <c r="W242">
        <v>2010</v>
      </c>
      <c r="X242">
        <v>2010</v>
      </c>
      <c r="Y242">
        <v>2010</v>
      </c>
      <c r="Z242">
        <v>2010</v>
      </c>
      <c r="AA242">
        <v>2010</v>
      </c>
      <c r="AB242">
        <v>2010</v>
      </c>
      <c r="AC242">
        <v>2010</v>
      </c>
      <c r="AD242">
        <v>2010</v>
      </c>
      <c r="AE242">
        <v>2010</v>
      </c>
      <c r="AF242">
        <v>2010</v>
      </c>
      <c r="AG242">
        <v>2010</v>
      </c>
    </row>
    <row r="243" spans="1:33" x14ac:dyDescent="0.25">
      <c r="A243">
        <v>10144736</v>
      </c>
      <c r="B243" t="s">
        <v>17</v>
      </c>
      <c r="C243">
        <v>2010</v>
      </c>
      <c r="D243">
        <v>2010</v>
      </c>
      <c r="E243">
        <v>2010</v>
      </c>
      <c r="F243">
        <v>2010</v>
      </c>
      <c r="G243">
        <v>2010</v>
      </c>
      <c r="H243">
        <v>2010</v>
      </c>
      <c r="I243">
        <v>2010</v>
      </c>
      <c r="J243">
        <v>2010</v>
      </c>
      <c r="K243">
        <v>2010</v>
      </c>
      <c r="L243">
        <v>2010</v>
      </c>
      <c r="M243">
        <v>2010</v>
      </c>
      <c r="N243">
        <v>2010</v>
      </c>
      <c r="O243">
        <v>2010</v>
      </c>
      <c r="P243">
        <v>2010</v>
      </c>
      <c r="Q243">
        <v>2010</v>
      </c>
      <c r="R243">
        <v>2010</v>
      </c>
      <c r="S243">
        <v>2010</v>
      </c>
      <c r="T243">
        <v>2010</v>
      </c>
      <c r="U243">
        <v>2010</v>
      </c>
      <c r="V243">
        <v>2010</v>
      </c>
      <c r="W243">
        <v>2010</v>
      </c>
      <c r="X243">
        <v>2010</v>
      </c>
      <c r="Y243">
        <v>2010</v>
      </c>
      <c r="Z243">
        <v>2010</v>
      </c>
      <c r="AA243">
        <v>2010</v>
      </c>
      <c r="AB243">
        <v>2010</v>
      </c>
      <c r="AC243">
        <v>2010</v>
      </c>
      <c r="AD243">
        <v>2010</v>
      </c>
      <c r="AE243">
        <v>2010</v>
      </c>
      <c r="AF243">
        <v>2010</v>
      </c>
      <c r="AG243">
        <v>2010</v>
      </c>
    </row>
    <row r="244" spans="1:33" x14ac:dyDescent="0.25">
      <c r="A244">
        <v>10157275</v>
      </c>
      <c r="B244" t="s">
        <v>17</v>
      </c>
      <c r="C244">
        <v>2010</v>
      </c>
      <c r="D244">
        <v>2010</v>
      </c>
      <c r="E244">
        <v>2010</v>
      </c>
      <c r="F244">
        <v>2010</v>
      </c>
      <c r="G244">
        <v>2010</v>
      </c>
      <c r="H244">
        <v>2010</v>
      </c>
      <c r="I244">
        <v>2010</v>
      </c>
      <c r="J244">
        <v>2010</v>
      </c>
      <c r="K244">
        <v>2010</v>
      </c>
      <c r="L244">
        <v>2010</v>
      </c>
      <c r="M244">
        <v>2010</v>
      </c>
      <c r="N244">
        <v>2010</v>
      </c>
      <c r="O244">
        <v>2010</v>
      </c>
      <c r="P244">
        <v>2010</v>
      </c>
      <c r="Q244">
        <v>2010</v>
      </c>
      <c r="R244">
        <v>2010</v>
      </c>
      <c r="S244">
        <v>2010</v>
      </c>
      <c r="T244">
        <v>2010</v>
      </c>
      <c r="U244">
        <v>2010</v>
      </c>
      <c r="V244">
        <v>2010</v>
      </c>
      <c r="W244">
        <v>2010</v>
      </c>
      <c r="X244">
        <v>2010</v>
      </c>
      <c r="Y244">
        <v>2010</v>
      </c>
      <c r="Z244">
        <v>2010</v>
      </c>
      <c r="AA244">
        <v>2010</v>
      </c>
      <c r="AB244">
        <v>2010</v>
      </c>
      <c r="AC244">
        <v>2010</v>
      </c>
      <c r="AD244">
        <v>2010</v>
      </c>
      <c r="AE244">
        <v>2010</v>
      </c>
      <c r="AF244">
        <v>2010</v>
      </c>
      <c r="AG244">
        <v>2010</v>
      </c>
    </row>
    <row r="245" spans="1:33" x14ac:dyDescent="0.25">
      <c r="A245">
        <v>10190869</v>
      </c>
      <c r="B245" t="s">
        <v>17</v>
      </c>
      <c r="C245">
        <v>2010</v>
      </c>
      <c r="D245">
        <v>2010</v>
      </c>
      <c r="E245">
        <v>2010</v>
      </c>
      <c r="F245">
        <v>2010</v>
      </c>
      <c r="G245">
        <v>2010</v>
      </c>
      <c r="H245">
        <v>2010</v>
      </c>
      <c r="I245">
        <v>2010</v>
      </c>
      <c r="J245">
        <v>2010</v>
      </c>
      <c r="K245">
        <v>2010</v>
      </c>
      <c r="L245">
        <v>2010</v>
      </c>
      <c r="M245">
        <v>2010</v>
      </c>
      <c r="N245">
        <v>2010</v>
      </c>
      <c r="O245">
        <v>2010</v>
      </c>
      <c r="P245">
        <v>2010</v>
      </c>
      <c r="Q245">
        <v>2010</v>
      </c>
      <c r="R245">
        <v>2010</v>
      </c>
      <c r="S245">
        <v>2010</v>
      </c>
      <c r="T245">
        <v>2010</v>
      </c>
      <c r="U245">
        <v>2010</v>
      </c>
      <c r="V245">
        <v>2010</v>
      </c>
      <c r="W245">
        <v>2010</v>
      </c>
      <c r="X245">
        <v>2010</v>
      </c>
      <c r="Y245">
        <v>2010</v>
      </c>
      <c r="Z245">
        <v>2010</v>
      </c>
      <c r="AA245">
        <v>2010</v>
      </c>
      <c r="AB245">
        <v>2010</v>
      </c>
      <c r="AC245">
        <v>2010</v>
      </c>
      <c r="AD245">
        <v>2010</v>
      </c>
      <c r="AE245">
        <v>2010</v>
      </c>
      <c r="AF245">
        <v>2010</v>
      </c>
      <c r="AG245">
        <v>2010</v>
      </c>
    </row>
    <row r="246" spans="1:33" x14ac:dyDescent="0.25">
      <c r="A246">
        <v>11008417</v>
      </c>
      <c r="B246" t="s">
        <v>17</v>
      </c>
      <c r="C246">
        <v>2010</v>
      </c>
      <c r="D246">
        <v>2010</v>
      </c>
      <c r="E246">
        <v>2010</v>
      </c>
      <c r="F246">
        <v>2010</v>
      </c>
      <c r="G246">
        <v>2010</v>
      </c>
      <c r="H246">
        <v>2010</v>
      </c>
      <c r="I246">
        <v>2010</v>
      </c>
      <c r="J246">
        <v>2010</v>
      </c>
      <c r="K246">
        <v>2010</v>
      </c>
      <c r="L246">
        <v>2010</v>
      </c>
      <c r="M246">
        <v>2010</v>
      </c>
      <c r="N246">
        <v>2010</v>
      </c>
      <c r="O246">
        <v>2010</v>
      </c>
      <c r="P246">
        <v>2010</v>
      </c>
      <c r="Q246">
        <v>2010</v>
      </c>
      <c r="R246">
        <v>2010</v>
      </c>
      <c r="S246">
        <v>2010</v>
      </c>
      <c r="T246">
        <v>2010</v>
      </c>
      <c r="U246">
        <v>2010</v>
      </c>
      <c r="V246">
        <v>2010</v>
      </c>
      <c r="W246">
        <v>2010</v>
      </c>
      <c r="X246">
        <v>2010</v>
      </c>
      <c r="Y246">
        <v>2010</v>
      </c>
      <c r="Z246">
        <v>2010</v>
      </c>
      <c r="AA246">
        <v>2010</v>
      </c>
      <c r="AB246">
        <v>2010</v>
      </c>
      <c r="AC246">
        <v>2010</v>
      </c>
      <c r="AD246">
        <v>2010</v>
      </c>
      <c r="AE246">
        <v>2010</v>
      </c>
      <c r="AF246">
        <v>2010</v>
      </c>
      <c r="AG246">
        <v>2010</v>
      </c>
    </row>
    <row r="247" spans="1:33" x14ac:dyDescent="0.25">
      <c r="A247">
        <v>11043926</v>
      </c>
      <c r="B247" t="s">
        <v>17</v>
      </c>
      <c r="C247">
        <v>2011</v>
      </c>
      <c r="D247">
        <v>2011</v>
      </c>
      <c r="E247">
        <v>2011</v>
      </c>
      <c r="F247">
        <v>2011</v>
      </c>
      <c r="G247">
        <v>2011</v>
      </c>
      <c r="H247">
        <v>2011</v>
      </c>
      <c r="I247">
        <v>2011</v>
      </c>
      <c r="J247">
        <v>2011</v>
      </c>
      <c r="K247">
        <v>2011</v>
      </c>
      <c r="L247">
        <v>2011</v>
      </c>
      <c r="M247">
        <v>2011</v>
      </c>
      <c r="N247">
        <v>2011</v>
      </c>
      <c r="O247">
        <v>2011</v>
      </c>
      <c r="P247">
        <v>2011</v>
      </c>
      <c r="Q247">
        <v>2011</v>
      </c>
      <c r="R247">
        <v>2011</v>
      </c>
      <c r="S247">
        <v>2011</v>
      </c>
      <c r="T247">
        <v>2011</v>
      </c>
      <c r="U247">
        <v>2011</v>
      </c>
      <c r="V247">
        <v>2011</v>
      </c>
      <c r="W247">
        <v>2011</v>
      </c>
      <c r="X247">
        <v>2011</v>
      </c>
      <c r="Y247">
        <v>2011</v>
      </c>
      <c r="Z247">
        <v>2011</v>
      </c>
      <c r="AA247">
        <v>2011</v>
      </c>
      <c r="AB247">
        <v>2011</v>
      </c>
      <c r="AC247">
        <v>2011</v>
      </c>
      <c r="AD247">
        <v>2011</v>
      </c>
      <c r="AE247">
        <v>2011</v>
      </c>
      <c r="AF247">
        <v>2011</v>
      </c>
      <c r="AG247">
        <v>2011</v>
      </c>
    </row>
    <row r="248" spans="1:33" x14ac:dyDescent="0.25">
      <c r="A248">
        <v>11049060</v>
      </c>
      <c r="B248" t="s">
        <v>17</v>
      </c>
      <c r="C248">
        <v>2011</v>
      </c>
      <c r="D248">
        <v>2011</v>
      </c>
      <c r="E248">
        <v>2011</v>
      </c>
      <c r="F248">
        <v>2011</v>
      </c>
      <c r="G248">
        <v>2011</v>
      </c>
      <c r="H248">
        <v>2011</v>
      </c>
      <c r="I248">
        <v>2011</v>
      </c>
      <c r="J248">
        <v>2011</v>
      </c>
      <c r="K248">
        <v>2011</v>
      </c>
      <c r="L248">
        <v>2011</v>
      </c>
      <c r="M248">
        <v>2011</v>
      </c>
      <c r="N248">
        <v>2011</v>
      </c>
      <c r="O248">
        <v>2011</v>
      </c>
      <c r="P248">
        <v>2011</v>
      </c>
      <c r="Q248">
        <v>2011</v>
      </c>
      <c r="R248">
        <v>2011</v>
      </c>
      <c r="S248">
        <v>2011</v>
      </c>
      <c r="T248">
        <v>2011</v>
      </c>
      <c r="U248">
        <v>2011</v>
      </c>
      <c r="V248">
        <v>2011</v>
      </c>
      <c r="W248">
        <v>2011</v>
      </c>
      <c r="X248">
        <v>2011</v>
      </c>
      <c r="Y248">
        <v>2011</v>
      </c>
      <c r="Z248">
        <v>2011</v>
      </c>
      <c r="AA248">
        <v>2011</v>
      </c>
      <c r="AB248">
        <v>2011</v>
      </c>
      <c r="AC248">
        <v>2011</v>
      </c>
      <c r="AD248">
        <v>2011</v>
      </c>
      <c r="AE248">
        <v>2011</v>
      </c>
      <c r="AF248">
        <v>2011</v>
      </c>
      <c r="AG248">
        <v>2011</v>
      </c>
    </row>
    <row r="249" spans="1:33" x14ac:dyDescent="0.25">
      <c r="A249">
        <v>11058012</v>
      </c>
      <c r="B249" t="s">
        <v>17</v>
      </c>
      <c r="C249">
        <v>2010</v>
      </c>
      <c r="D249">
        <v>2010</v>
      </c>
      <c r="E249">
        <v>2010</v>
      </c>
      <c r="F249">
        <v>2010</v>
      </c>
      <c r="G249">
        <v>2010</v>
      </c>
      <c r="H249">
        <v>2010</v>
      </c>
      <c r="I249">
        <v>2010</v>
      </c>
      <c r="J249">
        <v>2010</v>
      </c>
      <c r="K249">
        <v>2010</v>
      </c>
      <c r="L249">
        <v>2010</v>
      </c>
      <c r="M249">
        <v>2010</v>
      </c>
      <c r="N249">
        <v>2010</v>
      </c>
      <c r="O249">
        <v>2010</v>
      </c>
      <c r="P249">
        <v>2010</v>
      </c>
      <c r="Q249">
        <v>2010</v>
      </c>
      <c r="R249">
        <v>2010</v>
      </c>
      <c r="S249">
        <v>2010</v>
      </c>
      <c r="T249">
        <v>2010</v>
      </c>
      <c r="U249">
        <v>2010</v>
      </c>
      <c r="V249">
        <v>2010</v>
      </c>
      <c r="W249">
        <v>2010</v>
      </c>
      <c r="X249">
        <v>2010</v>
      </c>
      <c r="Y249">
        <v>2010</v>
      </c>
      <c r="Z249">
        <v>2010</v>
      </c>
      <c r="AA249">
        <v>2010</v>
      </c>
      <c r="AB249">
        <v>2010</v>
      </c>
      <c r="AC249">
        <v>2010</v>
      </c>
      <c r="AD249">
        <v>2010</v>
      </c>
      <c r="AE249">
        <v>2010</v>
      </c>
      <c r="AF249">
        <v>2010</v>
      </c>
      <c r="AG249">
        <v>2010</v>
      </c>
    </row>
    <row r="250" spans="1:33" x14ac:dyDescent="0.25">
      <c r="A250">
        <v>11082290</v>
      </c>
      <c r="B250" t="s">
        <v>17</v>
      </c>
      <c r="C250">
        <v>2011</v>
      </c>
      <c r="D250">
        <v>2011</v>
      </c>
      <c r="E250">
        <v>2011</v>
      </c>
      <c r="F250">
        <v>2011</v>
      </c>
      <c r="G250">
        <v>2011</v>
      </c>
      <c r="H250">
        <v>2011</v>
      </c>
      <c r="I250">
        <v>2011</v>
      </c>
      <c r="J250">
        <v>2011</v>
      </c>
      <c r="K250">
        <v>2011</v>
      </c>
      <c r="L250">
        <v>2011</v>
      </c>
      <c r="M250">
        <v>2011</v>
      </c>
      <c r="N250">
        <v>2011</v>
      </c>
      <c r="O250">
        <v>2011</v>
      </c>
      <c r="P250">
        <v>2011</v>
      </c>
      <c r="Q250">
        <v>2011</v>
      </c>
      <c r="R250">
        <v>2011</v>
      </c>
      <c r="S250">
        <v>2011</v>
      </c>
      <c r="T250">
        <v>2011</v>
      </c>
      <c r="U250">
        <v>2011</v>
      </c>
      <c r="V250">
        <v>2011</v>
      </c>
      <c r="W250">
        <v>2011</v>
      </c>
      <c r="X250">
        <v>2011</v>
      </c>
      <c r="Y250">
        <v>2011</v>
      </c>
      <c r="Z250">
        <v>2011</v>
      </c>
      <c r="AA250">
        <v>2011</v>
      </c>
      <c r="AB250">
        <v>2011</v>
      </c>
      <c r="AC250">
        <v>2011</v>
      </c>
      <c r="AD250">
        <v>2011</v>
      </c>
      <c r="AE250">
        <v>2011</v>
      </c>
      <c r="AF250">
        <v>2011</v>
      </c>
      <c r="AG250">
        <v>2011</v>
      </c>
    </row>
    <row r="251" spans="1:33" x14ac:dyDescent="0.25">
      <c r="A251">
        <v>11096431</v>
      </c>
      <c r="B251" t="s">
        <v>17</v>
      </c>
      <c r="C251">
        <v>2010</v>
      </c>
      <c r="D251">
        <v>2010</v>
      </c>
      <c r="E251">
        <v>2010</v>
      </c>
      <c r="F251">
        <v>2010</v>
      </c>
      <c r="G251">
        <v>2010</v>
      </c>
      <c r="H251">
        <v>2010</v>
      </c>
      <c r="I251">
        <v>2010</v>
      </c>
      <c r="J251">
        <v>2010</v>
      </c>
      <c r="K251">
        <v>2010</v>
      </c>
      <c r="L251">
        <v>2010</v>
      </c>
      <c r="M251">
        <v>2010</v>
      </c>
      <c r="N251">
        <v>2010</v>
      </c>
      <c r="O251">
        <v>2010</v>
      </c>
      <c r="P251">
        <v>2010</v>
      </c>
      <c r="Q251">
        <v>2010</v>
      </c>
      <c r="R251">
        <v>2010</v>
      </c>
      <c r="S251">
        <v>2010</v>
      </c>
      <c r="T251">
        <v>2010</v>
      </c>
      <c r="U251">
        <v>2010</v>
      </c>
      <c r="V251">
        <v>2010</v>
      </c>
      <c r="W251">
        <v>2010</v>
      </c>
      <c r="X251">
        <v>2010</v>
      </c>
      <c r="Y251">
        <v>2010</v>
      </c>
      <c r="Z251">
        <v>2010</v>
      </c>
      <c r="AA251">
        <v>2010</v>
      </c>
      <c r="AB251">
        <v>2010</v>
      </c>
      <c r="AC251">
        <v>2010</v>
      </c>
      <c r="AD251">
        <v>2010</v>
      </c>
      <c r="AE251">
        <v>2010</v>
      </c>
      <c r="AF251">
        <v>2010</v>
      </c>
      <c r="AG251">
        <v>2010</v>
      </c>
    </row>
    <row r="252" spans="1:33" x14ac:dyDescent="0.25">
      <c r="A252">
        <v>11105672</v>
      </c>
      <c r="B252" t="s">
        <v>17</v>
      </c>
      <c r="C252">
        <v>2011</v>
      </c>
      <c r="D252">
        <v>2011</v>
      </c>
      <c r="E252">
        <v>2011</v>
      </c>
      <c r="F252">
        <v>2011</v>
      </c>
      <c r="G252">
        <v>2011</v>
      </c>
      <c r="H252">
        <v>2011</v>
      </c>
      <c r="I252">
        <v>2011</v>
      </c>
      <c r="J252">
        <v>2011</v>
      </c>
      <c r="K252">
        <v>2011</v>
      </c>
      <c r="L252">
        <v>2011</v>
      </c>
      <c r="M252">
        <v>2011</v>
      </c>
      <c r="N252">
        <v>2011</v>
      </c>
      <c r="O252">
        <v>2011</v>
      </c>
      <c r="P252">
        <v>2011</v>
      </c>
      <c r="Q252">
        <v>2011</v>
      </c>
      <c r="R252">
        <v>2011</v>
      </c>
      <c r="S252">
        <v>2011</v>
      </c>
      <c r="T252">
        <v>2011</v>
      </c>
      <c r="U252">
        <v>2011</v>
      </c>
      <c r="V252">
        <v>2011</v>
      </c>
      <c r="W252">
        <v>2011</v>
      </c>
      <c r="X252">
        <v>2011</v>
      </c>
      <c r="Y252">
        <v>2011</v>
      </c>
      <c r="Z252">
        <v>2011</v>
      </c>
      <c r="AA252">
        <v>2011</v>
      </c>
      <c r="AB252">
        <v>2011</v>
      </c>
      <c r="AC252">
        <v>2011</v>
      </c>
      <c r="AD252">
        <v>2011</v>
      </c>
      <c r="AE252">
        <v>2011</v>
      </c>
      <c r="AF252">
        <v>2011</v>
      </c>
      <c r="AG252">
        <v>2011</v>
      </c>
    </row>
    <row r="253" spans="1:33" x14ac:dyDescent="0.25">
      <c r="A253" t="s">
        <v>18</v>
      </c>
      <c r="B253" t="s">
        <v>17</v>
      </c>
      <c r="C253">
        <v>2011</v>
      </c>
      <c r="D253">
        <v>2011</v>
      </c>
      <c r="E253">
        <v>2011</v>
      </c>
      <c r="F253">
        <v>2011</v>
      </c>
      <c r="G253">
        <v>2011</v>
      </c>
      <c r="H253">
        <v>2011</v>
      </c>
      <c r="I253">
        <v>2011</v>
      </c>
      <c r="J253">
        <v>2011</v>
      </c>
      <c r="K253">
        <v>2011</v>
      </c>
      <c r="L253">
        <v>2011</v>
      </c>
      <c r="M253">
        <v>2011</v>
      </c>
      <c r="N253">
        <v>2011</v>
      </c>
      <c r="O253">
        <v>2011</v>
      </c>
      <c r="P253">
        <v>2011</v>
      </c>
      <c r="Q253">
        <v>2011</v>
      </c>
      <c r="R253">
        <v>2011</v>
      </c>
      <c r="S253">
        <v>2011</v>
      </c>
      <c r="T253">
        <v>2011</v>
      </c>
      <c r="U253">
        <v>2011</v>
      </c>
      <c r="V253">
        <v>2011</v>
      </c>
      <c r="W253">
        <v>2011</v>
      </c>
      <c r="X253">
        <v>2011</v>
      </c>
      <c r="Y253">
        <v>2011</v>
      </c>
      <c r="Z253">
        <v>2011</v>
      </c>
      <c r="AA253">
        <v>2011</v>
      </c>
      <c r="AB253">
        <v>2011</v>
      </c>
      <c r="AC253">
        <v>2011</v>
      </c>
      <c r="AD253">
        <v>2011</v>
      </c>
      <c r="AE253">
        <v>2011</v>
      </c>
      <c r="AF253">
        <v>2011</v>
      </c>
      <c r="AG253">
        <v>2011</v>
      </c>
    </row>
    <row r="254" spans="1:33" x14ac:dyDescent="0.25">
      <c r="A254">
        <v>11136262</v>
      </c>
      <c r="B254" t="s">
        <v>17</v>
      </c>
      <c r="C254">
        <v>2011</v>
      </c>
      <c r="D254">
        <v>2011</v>
      </c>
      <c r="E254">
        <v>2011</v>
      </c>
      <c r="F254">
        <v>2011</v>
      </c>
      <c r="G254">
        <v>2011</v>
      </c>
      <c r="H254">
        <v>2011</v>
      </c>
      <c r="I254">
        <v>2011</v>
      </c>
      <c r="J254">
        <v>2011</v>
      </c>
      <c r="K254">
        <v>2011</v>
      </c>
      <c r="L254">
        <v>2011</v>
      </c>
      <c r="M254">
        <v>2011</v>
      </c>
      <c r="N254">
        <v>2011</v>
      </c>
      <c r="O254">
        <v>2011</v>
      </c>
      <c r="P254">
        <v>2011</v>
      </c>
      <c r="Q254">
        <v>2011</v>
      </c>
      <c r="R254">
        <v>2011</v>
      </c>
      <c r="S254">
        <v>2011</v>
      </c>
      <c r="T254">
        <v>2011</v>
      </c>
      <c r="U254">
        <v>2011</v>
      </c>
      <c r="V254">
        <v>2011</v>
      </c>
      <c r="W254">
        <v>2011</v>
      </c>
      <c r="X254">
        <v>2011</v>
      </c>
      <c r="Y254">
        <v>2011</v>
      </c>
      <c r="Z254">
        <v>2011</v>
      </c>
      <c r="AA254">
        <v>2011</v>
      </c>
      <c r="AB254">
        <v>2011</v>
      </c>
      <c r="AC254">
        <v>2011</v>
      </c>
      <c r="AD254">
        <v>2011</v>
      </c>
      <c r="AE254">
        <v>2011</v>
      </c>
      <c r="AF254">
        <v>2011</v>
      </c>
      <c r="AG254">
        <v>2011</v>
      </c>
    </row>
    <row r="255" spans="1:33" x14ac:dyDescent="0.25">
      <c r="A255">
        <v>11178455</v>
      </c>
      <c r="B255" t="s">
        <v>17</v>
      </c>
      <c r="C255">
        <v>2011</v>
      </c>
      <c r="D255">
        <v>2011</v>
      </c>
      <c r="E255">
        <v>2011</v>
      </c>
      <c r="F255">
        <v>2011</v>
      </c>
      <c r="G255">
        <v>2011</v>
      </c>
      <c r="H255">
        <v>2011</v>
      </c>
      <c r="I255">
        <v>2011</v>
      </c>
      <c r="J255">
        <v>2011</v>
      </c>
      <c r="K255">
        <v>2011</v>
      </c>
      <c r="L255">
        <v>2011</v>
      </c>
      <c r="M255">
        <v>2011</v>
      </c>
      <c r="N255">
        <v>2011</v>
      </c>
      <c r="O255">
        <v>2011</v>
      </c>
      <c r="P255">
        <v>2011</v>
      </c>
      <c r="Q255">
        <v>2011</v>
      </c>
      <c r="R255">
        <v>2011</v>
      </c>
      <c r="S255">
        <v>2011</v>
      </c>
      <c r="T255">
        <v>2011</v>
      </c>
      <c r="U255">
        <v>2011</v>
      </c>
      <c r="V255">
        <v>2011</v>
      </c>
      <c r="W255">
        <v>2011</v>
      </c>
      <c r="X255">
        <v>2011</v>
      </c>
      <c r="Y255">
        <v>2011</v>
      </c>
      <c r="Z255">
        <v>2011</v>
      </c>
      <c r="AA255">
        <v>2011</v>
      </c>
      <c r="AB255">
        <v>2011</v>
      </c>
      <c r="AC255">
        <v>2011</v>
      </c>
      <c r="AD255">
        <v>2011</v>
      </c>
      <c r="AE255">
        <v>2011</v>
      </c>
      <c r="AF255">
        <v>2011</v>
      </c>
      <c r="AG255">
        <v>2011</v>
      </c>
    </row>
    <row r="256" spans="1:33" x14ac:dyDescent="0.25">
      <c r="A256">
        <v>11179526</v>
      </c>
      <c r="B256" t="s">
        <v>17</v>
      </c>
      <c r="C256">
        <v>2011</v>
      </c>
      <c r="D256">
        <v>2011</v>
      </c>
      <c r="E256">
        <v>2011</v>
      </c>
      <c r="F256">
        <v>2011</v>
      </c>
      <c r="G256">
        <v>2011</v>
      </c>
      <c r="H256">
        <v>2011</v>
      </c>
      <c r="I256">
        <v>2011</v>
      </c>
      <c r="J256">
        <v>2011</v>
      </c>
      <c r="K256">
        <v>2011</v>
      </c>
      <c r="L256">
        <v>2011</v>
      </c>
      <c r="M256">
        <v>2011</v>
      </c>
      <c r="N256">
        <v>2011</v>
      </c>
      <c r="O256">
        <v>2011</v>
      </c>
      <c r="P256">
        <v>2011</v>
      </c>
      <c r="Q256">
        <v>2011</v>
      </c>
      <c r="R256">
        <v>2011</v>
      </c>
      <c r="S256">
        <v>2011</v>
      </c>
      <c r="T256">
        <v>2011</v>
      </c>
      <c r="U256">
        <v>2011</v>
      </c>
      <c r="V256">
        <v>2011</v>
      </c>
      <c r="W256">
        <v>2011</v>
      </c>
      <c r="X256">
        <v>2011</v>
      </c>
      <c r="Y256">
        <v>2011</v>
      </c>
      <c r="Z256">
        <v>2011</v>
      </c>
      <c r="AA256">
        <v>2011</v>
      </c>
      <c r="AB256">
        <v>2011</v>
      </c>
      <c r="AC256">
        <v>2011</v>
      </c>
      <c r="AD256">
        <v>2011</v>
      </c>
      <c r="AE256">
        <v>2011</v>
      </c>
      <c r="AF256">
        <v>2011</v>
      </c>
      <c r="AG256">
        <v>2011</v>
      </c>
    </row>
    <row r="257" spans="1:33" x14ac:dyDescent="0.25">
      <c r="A257">
        <v>11187511</v>
      </c>
      <c r="B257" t="s">
        <v>17</v>
      </c>
      <c r="C257">
        <v>2011</v>
      </c>
      <c r="D257">
        <v>2011</v>
      </c>
      <c r="E257">
        <v>2011</v>
      </c>
      <c r="F257">
        <v>2011</v>
      </c>
      <c r="G257">
        <v>2011</v>
      </c>
      <c r="H257">
        <v>2011</v>
      </c>
      <c r="I257">
        <v>2011</v>
      </c>
      <c r="J257">
        <v>2011</v>
      </c>
      <c r="K257">
        <v>2011</v>
      </c>
      <c r="L257">
        <v>2011</v>
      </c>
      <c r="M257">
        <v>2011</v>
      </c>
      <c r="N257">
        <v>2011</v>
      </c>
      <c r="O257">
        <v>2011</v>
      </c>
      <c r="P257">
        <v>2011</v>
      </c>
      <c r="Q257">
        <v>2011</v>
      </c>
      <c r="R257">
        <v>2011</v>
      </c>
      <c r="S257">
        <v>2011</v>
      </c>
      <c r="T257">
        <v>2011</v>
      </c>
      <c r="U257">
        <v>2011</v>
      </c>
      <c r="V257">
        <v>2011</v>
      </c>
      <c r="W257">
        <v>2011</v>
      </c>
      <c r="X257">
        <v>2011</v>
      </c>
      <c r="Y257">
        <v>2011</v>
      </c>
      <c r="Z257">
        <v>2011</v>
      </c>
      <c r="AA257">
        <v>2011</v>
      </c>
      <c r="AB257">
        <v>2011</v>
      </c>
      <c r="AC257">
        <v>2011</v>
      </c>
      <c r="AD257">
        <v>2011</v>
      </c>
      <c r="AE257">
        <v>2011</v>
      </c>
      <c r="AF257">
        <v>2011</v>
      </c>
      <c r="AG257">
        <v>2011</v>
      </c>
    </row>
    <row r="258" spans="1:33" x14ac:dyDescent="0.25">
      <c r="A258">
        <v>11223290</v>
      </c>
      <c r="B258" t="s">
        <v>17</v>
      </c>
      <c r="C258">
        <v>2011</v>
      </c>
      <c r="D258">
        <v>2011</v>
      </c>
      <c r="E258">
        <v>2011</v>
      </c>
      <c r="F258">
        <v>2011</v>
      </c>
      <c r="G258">
        <v>2011</v>
      </c>
      <c r="H258">
        <v>2011</v>
      </c>
      <c r="I258">
        <v>2011</v>
      </c>
      <c r="J258">
        <v>2011</v>
      </c>
      <c r="K258">
        <v>2011</v>
      </c>
      <c r="L258">
        <v>2011</v>
      </c>
      <c r="M258">
        <v>2011</v>
      </c>
      <c r="N258">
        <v>2011</v>
      </c>
      <c r="O258">
        <v>2011</v>
      </c>
      <c r="P258">
        <v>2011</v>
      </c>
      <c r="Q258">
        <v>2011</v>
      </c>
      <c r="R258">
        <v>2011</v>
      </c>
      <c r="S258">
        <v>2011</v>
      </c>
      <c r="T258">
        <v>2011</v>
      </c>
      <c r="U258">
        <v>2011</v>
      </c>
      <c r="V258">
        <v>2011</v>
      </c>
      <c r="W258">
        <v>2011</v>
      </c>
      <c r="X258">
        <v>2011</v>
      </c>
      <c r="Y258">
        <v>2011</v>
      </c>
      <c r="Z258">
        <v>2011</v>
      </c>
      <c r="AA258">
        <v>2011</v>
      </c>
      <c r="AB258">
        <v>2011</v>
      </c>
      <c r="AC258">
        <v>2011</v>
      </c>
      <c r="AD258">
        <v>2011</v>
      </c>
      <c r="AE258">
        <v>2011</v>
      </c>
      <c r="AF258">
        <v>2011</v>
      </c>
      <c r="AG258">
        <v>2011</v>
      </c>
    </row>
    <row r="259" spans="1:33" x14ac:dyDescent="0.25">
      <c r="A259">
        <v>11228365</v>
      </c>
      <c r="B259" t="s">
        <v>17</v>
      </c>
      <c r="C259">
        <v>2011</v>
      </c>
      <c r="D259">
        <v>2011</v>
      </c>
      <c r="E259">
        <v>2011</v>
      </c>
      <c r="F259">
        <v>2011</v>
      </c>
      <c r="G259">
        <v>2011</v>
      </c>
      <c r="H259">
        <v>2011</v>
      </c>
      <c r="I259">
        <v>2011</v>
      </c>
      <c r="J259">
        <v>2011</v>
      </c>
      <c r="K259">
        <v>2011</v>
      </c>
      <c r="L259">
        <v>2011</v>
      </c>
      <c r="M259">
        <v>2011</v>
      </c>
      <c r="N259">
        <v>2011</v>
      </c>
      <c r="O259">
        <v>2011</v>
      </c>
      <c r="P259">
        <v>2011</v>
      </c>
      <c r="Q259">
        <v>2011</v>
      </c>
      <c r="R259">
        <v>2011</v>
      </c>
      <c r="S259">
        <v>2011</v>
      </c>
      <c r="T259">
        <v>2011</v>
      </c>
      <c r="U259">
        <v>2011</v>
      </c>
      <c r="V259">
        <v>2011</v>
      </c>
      <c r="W259">
        <v>2011</v>
      </c>
      <c r="X259">
        <v>2011</v>
      </c>
      <c r="Y259">
        <v>2011</v>
      </c>
      <c r="Z259">
        <v>2011</v>
      </c>
      <c r="AA259">
        <v>2011</v>
      </c>
      <c r="AB259">
        <v>2011</v>
      </c>
      <c r="AC259">
        <v>2011</v>
      </c>
      <c r="AD259">
        <v>2011</v>
      </c>
      <c r="AE259">
        <v>2011</v>
      </c>
      <c r="AF259">
        <v>2011</v>
      </c>
      <c r="AG259">
        <v>2011</v>
      </c>
    </row>
    <row r="260" spans="1:33" x14ac:dyDescent="0.25">
      <c r="A260">
        <v>12020246</v>
      </c>
      <c r="B260" t="s">
        <v>17</v>
      </c>
      <c r="C260">
        <v>2011</v>
      </c>
      <c r="D260">
        <v>2011</v>
      </c>
      <c r="E260">
        <v>2011</v>
      </c>
      <c r="F260">
        <v>2011</v>
      </c>
      <c r="G260">
        <v>2011</v>
      </c>
      <c r="H260">
        <v>2011</v>
      </c>
      <c r="I260">
        <v>2011</v>
      </c>
      <c r="J260">
        <v>2011</v>
      </c>
      <c r="K260">
        <v>2011</v>
      </c>
      <c r="L260">
        <v>2011</v>
      </c>
      <c r="M260">
        <v>2011</v>
      </c>
      <c r="N260">
        <v>2011</v>
      </c>
      <c r="O260">
        <v>2011</v>
      </c>
      <c r="P260">
        <v>2011</v>
      </c>
      <c r="Q260">
        <v>2011</v>
      </c>
      <c r="R260">
        <v>2011</v>
      </c>
      <c r="S260">
        <v>2011</v>
      </c>
      <c r="T260">
        <v>2011</v>
      </c>
      <c r="U260">
        <v>2011</v>
      </c>
      <c r="V260">
        <v>2011</v>
      </c>
      <c r="W260">
        <v>2011</v>
      </c>
      <c r="X260">
        <v>2011</v>
      </c>
      <c r="Y260">
        <v>2011</v>
      </c>
      <c r="Z260">
        <v>2011</v>
      </c>
      <c r="AA260">
        <v>2011</v>
      </c>
      <c r="AB260">
        <v>2011</v>
      </c>
      <c r="AC260">
        <v>2011</v>
      </c>
      <c r="AD260">
        <v>2011</v>
      </c>
      <c r="AE260">
        <v>2011</v>
      </c>
      <c r="AF260">
        <v>2011</v>
      </c>
      <c r="AG260">
        <v>2011</v>
      </c>
    </row>
    <row r="261" spans="1:33" x14ac:dyDescent="0.25">
      <c r="A261">
        <v>12035138</v>
      </c>
      <c r="B261" t="s">
        <v>17</v>
      </c>
      <c r="C261">
        <v>2011</v>
      </c>
      <c r="D261">
        <v>2011</v>
      </c>
      <c r="E261">
        <v>2011</v>
      </c>
      <c r="F261">
        <v>2011</v>
      </c>
      <c r="G261">
        <v>2011</v>
      </c>
      <c r="H261">
        <v>2011</v>
      </c>
      <c r="I261">
        <v>2011</v>
      </c>
      <c r="J261">
        <v>2011</v>
      </c>
      <c r="K261">
        <v>2011</v>
      </c>
      <c r="L261">
        <v>2011</v>
      </c>
      <c r="M261">
        <v>2011</v>
      </c>
      <c r="N261">
        <v>2011</v>
      </c>
      <c r="O261">
        <v>2011</v>
      </c>
      <c r="P261">
        <v>2011</v>
      </c>
      <c r="Q261">
        <v>2011</v>
      </c>
      <c r="R261">
        <v>2011</v>
      </c>
      <c r="S261">
        <v>2011</v>
      </c>
      <c r="T261">
        <v>2011</v>
      </c>
      <c r="U261">
        <v>2011</v>
      </c>
      <c r="V261">
        <v>2011</v>
      </c>
      <c r="W261">
        <v>2011</v>
      </c>
      <c r="X261">
        <v>2011</v>
      </c>
      <c r="Y261">
        <v>2011</v>
      </c>
      <c r="Z261">
        <v>2011</v>
      </c>
      <c r="AA261">
        <v>2011</v>
      </c>
      <c r="AB261">
        <v>2011</v>
      </c>
      <c r="AC261">
        <v>2011</v>
      </c>
      <c r="AD261">
        <v>2011</v>
      </c>
      <c r="AE261">
        <v>2011</v>
      </c>
      <c r="AF261">
        <v>2011</v>
      </c>
      <c r="AG261">
        <v>2011</v>
      </c>
    </row>
    <row r="262" spans="1:33" x14ac:dyDescent="0.25">
      <c r="A262">
        <v>12111578</v>
      </c>
      <c r="B262" t="s">
        <v>17</v>
      </c>
      <c r="C262">
        <v>2011</v>
      </c>
      <c r="D262">
        <v>2011</v>
      </c>
      <c r="E262">
        <v>2011</v>
      </c>
      <c r="F262">
        <v>2011</v>
      </c>
      <c r="G262">
        <v>2011</v>
      </c>
      <c r="H262">
        <v>2011</v>
      </c>
      <c r="I262">
        <v>2011</v>
      </c>
      <c r="J262">
        <v>2011</v>
      </c>
      <c r="K262">
        <v>2011</v>
      </c>
      <c r="L262">
        <v>2011</v>
      </c>
      <c r="M262">
        <v>2011</v>
      </c>
      <c r="N262">
        <v>2011</v>
      </c>
      <c r="O262">
        <v>2011</v>
      </c>
      <c r="P262">
        <v>2011</v>
      </c>
      <c r="Q262">
        <v>2011</v>
      </c>
      <c r="R262">
        <v>2011</v>
      </c>
      <c r="S262">
        <v>2011</v>
      </c>
      <c r="T262">
        <v>2011</v>
      </c>
      <c r="U262">
        <v>2011</v>
      </c>
      <c r="V262">
        <v>2011</v>
      </c>
      <c r="W262">
        <v>2011</v>
      </c>
      <c r="X262">
        <v>2011</v>
      </c>
      <c r="Y262">
        <v>2011</v>
      </c>
      <c r="Z262">
        <v>2011</v>
      </c>
      <c r="AA262">
        <v>2011</v>
      </c>
      <c r="AB262">
        <v>2011</v>
      </c>
      <c r="AC262">
        <v>2011</v>
      </c>
      <c r="AD262">
        <v>2011</v>
      </c>
      <c r="AE262">
        <v>2011</v>
      </c>
      <c r="AF262">
        <v>2011</v>
      </c>
      <c r="AG262">
        <v>2011</v>
      </c>
    </row>
    <row r="263" spans="1:33" x14ac:dyDescent="0.25">
      <c r="A263">
        <v>12133434</v>
      </c>
      <c r="B263" t="s">
        <v>17</v>
      </c>
      <c r="C263">
        <v>2012</v>
      </c>
      <c r="D263">
        <v>2012</v>
      </c>
      <c r="E263">
        <v>2012</v>
      </c>
      <c r="F263">
        <v>2012</v>
      </c>
      <c r="G263">
        <v>2012</v>
      </c>
      <c r="H263">
        <v>2012</v>
      </c>
      <c r="I263">
        <v>2012</v>
      </c>
      <c r="J263">
        <v>2012</v>
      </c>
      <c r="K263">
        <v>2012</v>
      </c>
      <c r="L263">
        <v>2012</v>
      </c>
      <c r="M263">
        <v>2012</v>
      </c>
      <c r="N263">
        <v>2012</v>
      </c>
      <c r="O263">
        <v>2012</v>
      </c>
      <c r="P263">
        <v>2012</v>
      </c>
      <c r="Q263">
        <v>2012</v>
      </c>
      <c r="R263">
        <v>2012</v>
      </c>
      <c r="S263">
        <v>2012</v>
      </c>
      <c r="T263">
        <v>2012</v>
      </c>
      <c r="U263">
        <v>2012</v>
      </c>
      <c r="V263">
        <v>2012</v>
      </c>
      <c r="W263">
        <v>2012</v>
      </c>
      <c r="X263">
        <v>2012</v>
      </c>
      <c r="Y263">
        <v>2012</v>
      </c>
      <c r="Z263">
        <v>2012</v>
      </c>
      <c r="AA263">
        <v>2012</v>
      </c>
      <c r="AB263">
        <v>2012</v>
      </c>
      <c r="AC263">
        <v>2012</v>
      </c>
      <c r="AD263">
        <v>2012</v>
      </c>
      <c r="AE263">
        <v>2012</v>
      </c>
      <c r="AF263">
        <v>2012</v>
      </c>
      <c r="AG263">
        <v>2012</v>
      </c>
    </row>
    <row r="264" spans="1:33" x14ac:dyDescent="0.25">
      <c r="A264">
        <v>12164268</v>
      </c>
      <c r="B264" t="s">
        <v>17</v>
      </c>
      <c r="C264">
        <v>2008</v>
      </c>
      <c r="D264">
        <v>2008</v>
      </c>
      <c r="E264">
        <v>2008</v>
      </c>
      <c r="F264">
        <v>2008</v>
      </c>
      <c r="G264">
        <v>2008</v>
      </c>
      <c r="H264">
        <v>2008</v>
      </c>
      <c r="I264">
        <v>2008</v>
      </c>
      <c r="J264">
        <v>2008</v>
      </c>
      <c r="K264">
        <v>2008</v>
      </c>
      <c r="L264">
        <v>2008</v>
      </c>
      <c r="M264">
        <v>2008</v>
      </c>
      <c r="N264">
        <v>2008</v>
      </c>
      <c r="O264">
        <v>2008</v>
      </c>
      <c r="P264">
        <v>2008</v>
      </c>
      <c r="Q264">
        <v>2008</v>
      </c>
      <c r="R264">
        <v>2008</v>
      </c>
      <c r="S264">
        <v>2008</v>
      </c>
      <c r="T264">
        <v>2008</v>
      </c>
      <c r="U264">
        <v>2008</v>
      </c>
      <c r="V264">
        <v>2008</v>
      </c>
      <c r="W264">
        <v>2008</v>
      </c>
      <c r="X264">
        <v>2008</v>
      </c>
      <c r="Y264">
        <v>2008</v>
      </c>
      <c r="Z264">
        <v>2008</v>
      </c>
      <c r="AA264">
        <v>2008</v>
      </c>
      <c r="AB264">
        <v>2008</v>
      </c>
      <c r="AC264">
        <v>2008</v>
      </c>
      <c r="AD264">
        <v>2008</v>
      </c>
      <c r="AE264">
        <v>2008</v>
      </c>
      <c r="AF264">
        <v>2008</v>
      </c>
      <c r="AG264">
        <v>2008</v>
      </c>
    </row>
    <row r="265" spans="1:33" x14ac:dyDescent="0.25">
      <c r="A265">
        <v>12164269</v>
      </c>
      <c r="B265" t="s">
        <v>17</v>
      </c>
      <c r="C265">
        <v>2006</v>
      </c>
      <c r="D265">
        <v>2006</v>
      </c>
      <c r="E265">
        <v>2006</v>
      </c>
      <c r="F265">
        <v>2006</v>
      </c>
      <c r="G265">
        <v>2006</v>
      </c>
      <c r="H265">
        <v>2006</v>
      </c>
      <c r="I265">
        <v>2006</v>
      </c>
      <c r="J265">
        <v>2006</v>
      </c>
      <c r="K265">
        <v>2006</v>
      </c>
      <c r="L265">
        <v>2006</v>
      </c>
      <c r="M265">
        <v>2006</v>
      </c>
      <c r="N265">
        <v>2006</v>
      </c>
      <c r="O265">
        <v>2006</v>
      </c>
      <c r="P265">
        <v>2006</v>
      </c>
      <c r="Q265">
        <v>2006</v>
      </c>
      <c r="R265">
        <v>2006</v>
      </c>
      <c r="S265">
        <v>2006</v>
      </c>
      <c r="T265">
        <v>2006</v>
      </c>
      <c r="U265">
        <v>2006</v>
      </c>
      <c r="V265">
        <v>2006</v>
      </c>
      <c r="W265">
        <v>2006</v>
      </c>
      <c r="X265">
        <v>2006</v>
      </c>
      <c r="Y265">
        <v>2006</v>
      </c>
      <c r="Z265">
        <v>2006</v>
      </c>
      <c r="AA265">
        <v>2006</v>
      </c>
      <c r="AB265">
        <v>2006</v>
      </c>
      <c r="AC265">
        <v>2006</v>
      </c>
      <c r="AD265">
        <v>2006</v>
      </c>
      <c r="AE265">
        <v>2006</v>
      </c>
      <c r="AF265">
        <v>2006</v>
      </c>
      <c r="AG265">
        <v>2006</v>
      </c>
    </row>
    <row r="266" spans="1:33" x14ac:dyDescent="0.25">
      <c r="A266">
        <v>12168562</v>
      </c>
      <c r="B266" t="s">
        <v>17</v>
      </c>
      <c r="C266">
        <v>2011</v>
      </c>
      <c r="D266">
        <v>2011</v>
      </c>
      <c r="E266">
        <v>2011</v>
      </c>
      <c r="F266">
        <v>2011</v>
      </c>
      <c r="G266">
        <v>2011</v>
      </c>
      <c r="H266">
        <v>2011</v>
      </c>
      <c r="I266">
        <v>2011</v>
      </c>
      <c r="J266">
        <v>2011</v>
      </c>
      <c r="K266">
        <v>2011</v>
      </c>
      <c r="L266">
        <v>2011</v>
      </c>
      <c r="M266">
        <v>2011</v>
      </c>
      <c r="N266">
        <v>2011</v>
      </c>
      <c r="O266">
        <v>2011</v>
      </c>
      <c r="P266">
        <v>2011</v>
      </c>
      <c r="Q266">
        <v>2011</v>
      </c>
      <c r="R266">
        <v>2011</v>
      </c>
      <c r="S266">
        <v>2011</v>
      </c>
      <c r="T266">
        <v>2011</v>
      </c>
      <c r="U266">
        <v>2011</v>
      </c>
      <c r="V266">
        <v>2011</v>
      </c>
      <c r="W266">
        <v>2011</v>
      </c>
      <c r="X266">
        <v>2011</v>
      </c>
      <c r="Y266">
        <v>2011</v>
      </c>
      <c r="Z266">
        <v>2011</v>
      </c>
      <c r="AA266">
        <v>2011</v>
      </c>
      <c r="AB266">
        <v>2011</v>
      </c>
      <c r="AC266">
        <v>2011</v>
      </c>
      <c r="AD266">
        <v>2011</v>
      </c>
      <c r="AE266">
        <v>2011</v>
      </c>
      <c r="AF266">
        <v>2011</v>
      </c>
      <c r="AG266">
        <v>2011</v>
      </c>
    </row>
    <row r="267" spans="1:33" x14ac:dyDescent="0.25">
      <c r="A267">
        <v>12190939</v>
      </c>
      <c r="B267" t="s">
        <v>17</v>
      </c>
      <c r="C267">
        <v>2008</v>
      </c>
      <c r="D267">
        <v>2008</v>
      </c>
      <c r="E267">
        <v>2008</v>
      </c>
      <c r="F267">
        <v>2008</v>
      </c>
      <c r="G267">
        <v>2008</v>
      </c>
      <c r="H267">
        <v>2008</v>
      </c>
      <c r="I267">
        <v>2008</v>
      </c>
      <c r="J267">
        <v>2008</v>
      </c>
      <c r="K267">
        <v>2008</v>
      </c>
      <c r="L267">
        <v>2008</v>
      </c>
      <c r="M267">
        <v>2008</v>
      </c>
      <c r="N267">
        <v>2008</v>
      </c>
      <c r="O267">
        <v>2008</v>
      </c>
      <c r="P267">
        <v>2008</v>
      </c>
      <c r="Q267">
        <v>2008</v>
      </c>
      <c r="R267">
        <v>2008</v>
      </c>
      <c r="S267">
        <v>2008</v>
      </c>
      <c r="T267">
        <v>2008</v>
      </c>
      <c r="U267">
        <v>2008</v>
      </c>
      <c r="V267">
        <v>2008</v>
      </c>
      <c r="W267">
        <v>2008</v>
      </c>
      <c r="X267">
        <v>2008</v>
      </c>
      <c r="Y267">
        <v>2008</v>
      </c>
      <c r="Z267">
        <v>2008</v>
      </c>
      <c r="AA267">
        <v>2008</v>
      </c>
      <c r="AB267">
        <v>2008</v>
      </c>
      <c r="AC267">
        <v>2008</v>
      </c>
      <c r="AD267">
        <v>2008</v>
      </c>
      <c r="AE267">
        <v>2008</v>
      </c>
      <c r="AF267">
        <v>2008</v>
      </c>
      <c r="AG267">
        <v>2008</v>
      </c>
    </row>
    <row r="268" spans="1:33" x14ac:dyDescent="0.25">
      <c r="A268">
        <v>12311081</v>
      </c>
      <c r="B268" t="s">
        <v>17</v>
      </c>
      <c r="C268">
        <v>2012</v>
      </c>
      <c r="D268">
        <v>2012</v>
      </c>
      <c r="E268">
        <v>2012</v>
      </c>
      <c r="F268">
        <v>2012</v>
      </c>
      <c r="G268">
        <v>2012</v>
      </c>
      <c r="H268">
        <v>2012</v>
      </c>
      <c r="I268">
        <v>2012</v>
      </c>
      <c r="J268">
        <v>2012</v>
      </c>
      <c r="K268">
        <v>2012</v>
      </c>
      <c r="L268">
        <v>2012</v>
      </c>
      <c r="M268">
        <v>2012</v>
      </c>
      <c r="N268">
        <v>2012</v>
      </c>
      <c r="O268">
        <v>2012</v>
      </c>
      <c r="P268">
        <v>2012</v>
      </c>
      <c r="Q268">
        <v>2012</v>
      </c>
      <c r="R268">
        <v>2012</v>
      </c>
      <c r="S268">
        <v>2012</v>
      </c>
      <c r="T268">
        <v>2012</v>
      </c>
      <c r="U268">
        <v>2012</v>
      </c>
      <c r="V268">
        <v>2012</v>
      </c>
      <c r="W268">
        <v>2012</v>
      </c>
      <c r="X268">
        <v>2012</v>
      </c>
      <c r="Y268">
        <v>2012</v>
      </c>
      <c r="Z268">
        <v>2012</v>
      </c>
      <c r="AA268">
        <v>2012</v>
      </c>
      <c r="AB268">
        <v>2012</v>
      </c>
      <c r="AC268">
        <v>2012</v>
      </c>
      <c r="AD268">
        <v>2012</v>
      </c>
      <c r="AE268">
        <v>2012</v>
      </c>
      <c r="AF268">
        <v>2012</v>
      </c>
      <c r="AG268">
        <v>2012</v>
      </c>
    </row>
    <row r="269" spans="1:33" x14ac:dyDescent="0.25">
      <c r="A269">
        <v>6000832</v>
      </c>
      <c r="B269" t="s">
        <v>17</v>
      </c>
      <c r="C269">
        <v>2005</v>
      </c>
      <c r="D269">
        <v>2005</v>
      </c>
      <c r="E269">
        <v>2005</v>
      </c>
      <c r="F269">
        <v>2005</v>
      </c>
      <c r="G269">
        <v>2005</v>
      </c>
      <c r="H269">
        <v>2005</v>
      </c>
      <c r="I269">
        <v>2005</v>
      </c>
      <c r="J269">
        <v>2005</v>
      </c>
      <c r="K269">
        <v>2005</v>
      </c>
      <c r="L269">
        <v>2005</v>
      </c>
      <c r="M269">
        <v>2005</v>
      </c>
      <c r="N269">
        <v>2005</v>
      </c>
      <c r="O269">
        <v>2005</v>
      </c>
      <c r="P269">
        <v>2005</v>
      </c>
      <c r="Q269">
        <v>2005</v>
      </c>
      <c r="R269">
        <v>2005</v>
      </c>
      <c r="S269">
        <v>2005</v>
      </c>
      <c r="T269">
        <v>2005</v>
      </c>
      <c r="U269">
        <v>2005</v>
      </c>
      <c r="V269">
        <v>2005</v>
      </c>
      <c r="W269">
        <v>2005</v>
      </c>
      <c r="X269">
        <v>2005</v>
      </c>
      <c r="Y269">
        <v>2005</v>
      </c>
      <c r="Z269">
        <v>2005</v>
      </c>
      <c r="AA269">
        <v>2005</v>
      </c>
      <c r="AB269">
        <v>2005</v>
      </c>
      <c r="AC269">
        <v>2005</v>
      </c>
      <c r="AD269">
        <v>2005</v>
      </c>
      <c r="AE269">
        <v>2005</v>
      </c>
      <c r="AF269">
        <v>2005</v>
      </c>
      <c r="AG269">
        <v>2005</v>
      </c>
    </row>
    <row r="270" spans="1:33" x14ac:dyDescent="0.25">
      <c r="A270" s="5">
        <v>9030615</v>
      </c>
      <c r="B270" s="5" t="s">
        <v>17</v>
      </c>
      <c r="C270">
        <v>2008</v>
      </c>
      <c r="D270">
        <v>2008</v>
      </c>
      <c r="E270">
        <v>2008</v>
      </c>
      <c r="F270">
        <v>2008</v>
      </c>
      <c r="G270">
        <v>2008</v>
      </c>
      <c r="H270">
        <v>2008</v>
      </c>
      <c r="I270">
        <v>2008</v>
      </c>
      <c r="J270">
        <v>2008</v>
      </c>
      <c r="K270">
        <v>2008</v>
      </c>
      <c r="L270">
        <v>2008</v>
      </c>
      <c r="M270">
        <v>2008</v>
      </c>
      <c r="N270">
        <v>2008</v>
      </c>
      <c r="O270">
        <v>2008</v>
      </c>
      <c r="P270">
        <v>2008</v>
      </c>
      <c r="Q270">
        <v>2008</v>
      </c>
      <c r="R270">
        <v>2008</v>
      </c>
      <c r="S270">
        <v>2008</v>
      </c>
      <c r="T270">
        <v>2008</v>
      </c>
      <c r="U270">
        <v>2008</v>
      </c>
      <c r="V270">
        <v>2008</v>
      </c>
      <c r="W270">
        <v>2008</v>
      </c>
      <c r="X270">
        <v>2008</v>
      </c>
      <c r="Y270">
        <v>2008</v>
      </c>
      <c r="Z270">
        <v>2008</v>
      </c>
      <c r="AA270">
        <v>2008</v>
      </c>
      <c r="AB270">
        <v>2008</v>
      </c>
      <c r="AC270">
        <v>2008</v>
      </c>
      <c r="AD270">
        <v>2008</v>
      </c>
      <c r="AE270">
        <v>2008</v>
      </c>
      <c r="AF270">
        <v>2008</v>
      </c>
      <c r="AG270">
        <v>2008</v>
      </c>
    </row>
    <row r="271" spans="1:33" x14ac:dyDescent="0.25">
      <c r="A271" s="5" t="s">
        <v>19</v>
      </c>
      <c r="B271" s="5" t="s">
        <v>17</v>
      </c>
      <c r="C271">
        <v>2007</v>
      </c>
      <c r="D271">
        <v>2007</v>
      </c>
      <c r="E271">
        <v>2007</v>
      </c>
      <c r="F271">
        <v>2007</v>
      </c>
      <c r="G271">
        <v>2007</v>
      </c>
      <c r="H271">
        <v>2007</v>
      </c>
      <c r="I271">
        <v>2007</v>
      </c>
      <c r="J271">
        <v>2007</v>
      </c>
      <c r="K271">
        <v>2007</v>
      </c>
      <c r="L271">
        <v>2007</v>
      </c>
      <c r="M271">
        <v>2007</v>
      </c>
      <c r="N271">
        <v>2007</v>
      </c>
      <c r="O271">
        <v>2007</v>
      </c>
      <c r="P271">
        <v>2007</v>
      </c>
      <c r="Q271">
        <v>2007</v>
      </c>
      <c r="R271">
        <v>2007</v>
      </c>
      <c r="S271">
        <v>2007</v>
      </c>
      <c r="T271">
        <v>2007</v>
      </c>
      <c r="U271">
        <v>2007</v>
      </c>
      <c r="V271">
        <v>2007</v>
      </c>
      <c r="W271">
        <v>2007</v>
      </c>
      <c r="X271">
        <v>2007</v>
      </c>
      <c r="Y271">
        <v>2007</v>
      </c>
      <c r="Z271">
        <v>2007</v>
      </c>
      <c r="AA271">
        <v>2007</v>
      </c>
      <c r="AB271">
        <v>2007</v>
      </c>
      <c r="AC271">
        <v>2007</v>
      </c>
      <c r="AD271">
        <v>2007</v>
      </c>
      <c r="AE271">
        <v>2007</v>
      </c>
      <c r="AF271">
        <v>2007</v>
      </c>
      <c r="AG271">
        <v>2007</v>
      </c>
    </row>
    <row r="272" spans="1:33" x14ac:dyDescent="0.25">
      <c r="A272" s="5" t="s">
        <v>20</v>
      </c>
      <c r="B272" s="5" t="s">
        <v>17</v>
      </c>
      <c r="C272">
        <v>2007</v>
      </c>
      <c r="D272">
        <v>2007</v>
      </c>
      <c r="E272">
        <v>2007</v>
      </c>
      <c r="F272">
        <v>2007</v>
      </c>
      <c r="G272">
        <v>2007</v>
      </c>
      <c r="H272">
        <v>2007</v>
      </c>
      <c r="I272">
        <v>2007</v>
      </c>
      <c r="J272">
        <v>2007</v>
      </c>
      <c r="K272">
        <v>2007</v>
      </c>
      <c r="L272">
        <v>2007</v>
      </c>
      <c r="M272">
        <v>2007</v>
      </c>
      <c r="N272">
        <v>2007</v>
      </c>
      <c r="O272">
        <v>2007</v>
      </c>
      <c r="P272">
        <v>2007</v>
      </c>
      <c r="Q272">
        <v>2007</v>
      </c>
      <c r="R272">
        <v>2007</v>
      </c>
      <c r="S272">
        <v>2007</v>
      </c>
      <c r="T272">
        <v>2007</v>
      </c>
      <c r="U272">
        <v>2007</v>
      </c>
      <c r="V272">
        <v>2007</v>
      </c>
      <c r="W272">
        <v>2007</v>
      </c>
      <c r="X272">
        <v>2007</v>
      </c>
      <c r="Y272">
        <v>2007</v>
      </c>
      <c r="Z272">
        <v>2007</v>
      </c>
      <c r="AA272">
        <v>2007</v>
      </c>
      <c r="AB272">
        <v>2007</v>
      </c>
      <c r="AC272">
        <v>2007</v>
      </c>
      <c r="AD272">
        <v>2007</v>
      </c>
      <c r="AE272">
        <v>2007</v>
      </c>
      <c r="AF272">
        <v>2007</v>
      </c>
      <c r="AG272">
        <v>2007</v>
      </c>
    </row>
    <row r="328" spans="1:33" x14ac:dyDescent="0.25">
      <c r="A328">
        <v>1990</v>
      </c>
      <c r="B328">
        <v>1991</v>
      </c>
      <c r="C328">
        <v>1992</v>
      </c>
      <c r="D328">
        <v>1993</v>
      </c>
      <c r="E328">
        <v>1994</v>
      </c>
      <c r="F328">
        <v>1995</v>
      </c>
      <c r="G328">
        <v>1996</v>
      </c>
      <c r="H328">
        <v>1997</v>
      </c>
      <c r="I328">
        <v>1998</v>
      </c>
      <c r="J328">
        <v>1999</v>
      </c>
      <c r="K328">
        <v>2000</v>
      </c>
      <c r="L328">
        <v>2001</v>
      </c>
      <c r="M328">
        <v>2002</v>
      </c>
      <c r="N328">
        <v>2003</v>
      </c>
      <c r="O328">
        <v>2004</v>
      </c>
      <c r="P328">
        <v>2005</v>
      </c>
      <c r="Q328">
        <v>2006</v>
      </c>
      <c r="R328">
        <v>2007</v>
      </c>
      <c r="S328">
        <v>2008</v>
      </c>
      <c r="T328">
        <v>2009</v>
      </c>
      <c r="U328">
        <v>2010</v>
      </c>
      <c r="V328">
        <v>2011</v>
      </c>
      <c r="W328">
        <v>2012</v>
      </c>
      <c r="X328">
        <v>2013</v>
      </c>
      <c r="Y328">
        <v>2014</v>
      </c>
      <c r="Z328">
        <v>2015</v>
      </c>
      <c r="AA328">
        <v>2016</v>
      </c>
      <c r="AB328">
        <v>2017</v>
      </c>
      <c r="AC328">
        <v>2018</v>
      </c>
      <c r="AD328">
        <v>2019</v>
      </c>
      <c r="AE328">
        <v>2020</v>
      </c>
    </row>
    <row r="329" spans="1:33" x14ac:dyDescent="0.25">
      <c r="A329">
        <f>COUNTIF(C331:C458,1990)</f>
        <v>0</v>
      </c>
      <c r="B329">
        <f>COUNTIF(D331:D458,1991)</f>
        <v>0</v>
      </c>
      <c r="C329">
        <f>COUNTIF(E331:E458,1992)</f>
        <v>1</v>
      </c>
      <c r="D329">
        <f>COUNTIF(F331:F458,1993)</f>
        <v>0</v>
      </c>
      <c r="E329">
        <f>COUNTIF(G331:G458,1994)</f>
        <v>1</v>
      </c>
      <c r="F329">
        <f>COUNTIF(H331:H458,1995)</f>
        <v>2</v>
      </c>
      <c r="G329">
        <f>COUNTIF(I331:I458,1996)</f>
        <v>1</v>
      </c>
      <c r="H329">
        <f>COUNTIF(J331:J458,1997)</f>
        <v>3</v>
      </c>
      <c r="I329">
        <f>COUNTIF(K331:K458,1998)</f>
        <v>2</v>
      </c>
      <c r="J329">
        <f>COUNTIF(L331:L458,1999)</f>
        <v>2</v>
      </c>
      <c r="K329">
        <f>COUNTIF(M331:M458,2000)</f>
        <v>3</v>
      </c>
      <c r="L329">
        <f>COUNTIF(N331:N458,2001)</f>
        <v>0</v>
      </c>
      <c r="M329">
        <f>COUNTIF(O331:O458,2002)</f>
        <v>5</v>
      </c>
      <c r="N329">
        <f>COUNTIF(P331:P458,2003)</f>
        <v>3</v>
      </c>
      <c r="O329">
        <f>COUNTIF(Q331:Q458,2004)</f>
        <v>8</v>
      </c>
      <c r="P329">
        <f>COUNTIF(R331:R458,2005)</f>
        <v>5</v>
      </c>
      <c r="Q329">
        <f>COUNTIF(S331:S458,2006)</f>
        <v>4</v>
      </c>
      <c r="R329">
        <f>COUNTIF(T331:T458,2007)</f>
        <v>5</v>
      </c>
      <c r="S329">
        <f>COUNTIF(U331:U458,2008)</f>
        <v>7</v>
      </c>
      <c r="T329">
        <f>COUNTIF(V331:V458,2009)</f>
        <v>5</v>
      </c>
      <c r="U329">
        <f>COUNTIF(W331:W458,2010)</f>
        <v>11</v>
      </c>
      <c r="V329">
        <f>COUNTIF(X331:X458,2011)</f>
        <v>5</v>
      </c>
      <c r="W329">
        <f>COUNTIF(Y331:Y458,2012)</f>
        <v>4</v>
      </c>
      <c r="X329">
        <f>COUNTIF(Z331:Z458,2013)</f>
        <v>0</v>
      </c>
      <c r="Y329">
        <f>COUNTIF(AA331:AA458,2014)</f>
        <v>0</v>
      </c>
      <c r="Z329">
        <f>COUNTIF(AB331:AB458,2015)</f>
        <v>0</v>
      </c>
      <c r="AA329">
        <f>COUNTIF(AC331:AC458,2016)</f>
        <v>0</v>
      </c>
      <c r="AB329">
        <f>COUNTIF(AD331:AD458,2017)</f>
        <v>0</v>
      </c>
      <c r="AC329">
        <f>COUNTIF(AE331:AE458,2018)</f>
        <v>0</v>
      </c>
      <c r="AD329">
        <f>COUNTIF(AF331:AF458,2019)</f>
        <v>0</v>
      </c>
      <c r="AE329">
        <f>COUNTIF(AG331:AG458,2020)</f>
        <v>0</v>
      </c>
    </row>
    <row r="331" spans="1:33" x14ac:dyDescent="0.25">
      <c r="A331">
        <v>5281</v>
      </c>
      <c r="B331" t="s">
        <v>21</v>
      </c>
      <c r="C331">
        <v>2004</v>
      </c>
      <c r="D331">
        <v>2004</v>
      </c>
      <c r="E331">
        <v>2004</v>
      </c>
      <c r="F331">
        <v>2004</v>
      </c>
      <c r="G331">
        <v>2004</v>
      </c>
      <c r="H331">
        <v>2004</v>
      </c>
      <c r="I331">
        <v>2004</v>
      </c>
      <c r="J331">
        <v>2004</v>
      </c>
      <c r="K331">
        <v>2004</v>
      </c>
      <c r="L331">
        <v>2004</v>
      </c>
      <c r="M331">
        <v>2004</v>
      </c>
      <c r="N331">
        <v>2004</v>
      </c>
      <c r="O331">
        <v>2004</v>
      </c>
      <c r="P331">
        <v>2004</v>
      </c>
      <c r="Q331">
        <v>2004</v>
      </c>
      <c r="R331">
        <v>2004</v>
      </c>
      <c r="S331">
        <v>2004</v>
      </c>
      <c r="T331">
        <v>2004</v>
      </c>
      <c r="U331">
        <v>2004</v>
      </c>
      <c r="V331">
        <v>2004</v>
      </c>
      <c r="W331">
        <v>2004</v>
      </c>
      <c r="X331">
        <v>2004</v>
      </c>
      <c r="Y331">
        <v>2004</v>
      </c>
      <c r="Z331">
        <v>2004</v>
      </c>
      <c r="AA331">
        <v>2004</v>
      </c>
      <c r="AB331">
        <v>2004</v>
      </c>
      <c r="AC331">
        <v>2004</v>
      </c>
      <c r="AD331">
        <v>2004</v>
      </c>
      <c r="AE331">
        <v>2004</v>
      </c>
      <c r="AF331">
        <v>2004</v>
      </c>
      <c r="AG331">
        <v>2004</v>
      </c>
    </row>
    <row r="332" spans="1:33" x14ac:dyDescent="0.25">
      <c r="A332">
        <v>200085</v>
      </c>
      <c r="B332" t="s">
        <v>21</v>
      </c>
      <c r="C332">
        <v>2000</v>
      </c>
      <c r="D332">
        <v>2000</v>
      </c>
      <c r="E332">
        <v>2000</v>
      </c>
      <c r="F332">
        <v>2000</v>
      </c>
      <c r="G332">
        <v>2000</v>
      </c>
      <c r="H332">
        <v>2000</v>
      </c>
      <c r="I332">
        <v>2000</v>
      </c>
      <c r="J332">
        <v>2000</v>
      </c>
      <c r="K332">
        <v>2000</v>
      </c>
      <c r="L332">
        <v>2000</v>
      </c>
      <c r="M332">
        <v>2000</v>
      </c>
      <c r="N332">
        <v>2000</v>
      </c>
      <c r="O332">
        <v>2000</v>
      </c>
      <c r="P332">
        <v>2000</v>
      </c>
      <c r="Q332">
        <v>2000</v>
      </c>
      <c r="R332">
        <v>2000</v>
      </c>
      <c r="S332">
        <v>2000</v>
      </c>
      <c r="T332">
        <v>2000</v>
      </c>
      <c r="U332">
        <v>2000</v>
      </c>
      <c r="V332">
        <v>2000</v>
      </c>
      <c r="W332">
        <v>2000</v>
      </c>
      <c r="X332">
        <v>2000</v>
      </c>
      <c r="Y332">
        <v>2000</v>
      </c>
      <c r="Z332">
        <v>2000</v>
      </c>
      <c r="AA332">
        <v>2000</v>
      </c>
      <c r="AB332">
        <v>2000</v>
      </c>
      <c r="AC332">
        <v>2000</v>
      </c>
      <c r="AD332">
        <v>2000</v>
      </c>
      <c r="AE332">
        <v>2000</v>
      </c>
      <c r="AF332">
        <v>2000</v>
      </c>
      <c r="AG332">
        <v>2000</v>
      </c>
    </row>
    <row r="333" spans="1:33" x14ac:dyDescent="0.25">
      <c r="A333">
        <v>500129</v>
      </c>
      <c r="B333" t="s">
        <v>21</v>
      </c>
      <c r="C333">
        <v>1999</v>
      </c>
      <c r="D333">
        <v>1999</v>
      </c>
      <c r="E333">
        <v>1999</v>
      </c>
      <c r="F333">
        <v>1999</v>
      </c>
      <c r="G333">
        <v>1999</v>
      </c>
      <c r="H333">
        <v>1999</v>
      </c>
      <c r="I333">
        <v>1999</v>
      </c>
      <c r="J333">
        <v>1999</v>
      </c>
      <c r="K333">
        <v>1999</v>
      </c>
      <c r="L333">
        <v>1999</v>
      </c>
      <c r="M333">
        <v>1999</v>
      </c>
      <c r="N333">
        <v>1999</v>
      </c>
      <c r="O333">
        <v>1999</v>
      </c>
      <c r="P333">
        <v>1999</v>
      </c>
      <c r="Q333">
        <v>1999</v>
      </c>
      <c r="R333">
        <v>1999</v>
      </c>
      <c r="S333">
        <v>1999</v>
      </c>
      <c r="T333">
        <v>1999</v>
      </c>
      <c r="U333">
        <v>1999</v>
      </c>
      <c r="V333">
        <v>1999</v>
      </c>
      <c r="W333">
        <v>1999</v>
      </c>
      <c r="X333">
        <v>1999</v>
      </c>
      <c r="Y333">
        <v>1999</v>
      </c>
      <c r="Z333">
        <v>1999</v>
      </c>
      <c r="AA333">
        <v>1999</v>
      </c>
      <c r="AB333">
        <v>1999</v>
      </c>
      <c r="AC333">
        <v>1999</v>
      </c>
      <c r="AD333">
        <v>1999</v>
      </c>
      <c r="AE333">
        <v>1999</v>
      </c>
      <c r="AF333">
        <v>1999</v>
      </c>
      <c r="AG333">
        <v>1999</v>
      </c>
    </row>
    <row r="334" spans="1:33" x14ac:dyDescent="0.25">
      <c r="A334" s="6">
        <v>1002033</v>
      </c>
      <c r="B334" t="s">
        <v>21</v>
      </c>
      <c r="C334">
        <v>2000</v>
      </c>
      <c r="D334">
        <v>2000</v>
      </c>
      <c r="E334">
        <v>2000</v>
      </c>
      <c r="F334">
        <v>2000</v>
      </c>
      <c r="G334">
        <v>2000</v>
      </c>
      <c r="H334">
        <v>2000</v>
      </c>
      <c r="I334">
        <v>2000</v>
      </c>
      <c r="J334">
        <v>2000</v>
      </c>
      <c r="K334">
        <v>2000</v>
      </c>
      <c r="L334">
        <v>2000</v>
      </c>
      <c r="M334">
        <v>2000</v>
      </c>
      <c r="N334">
        <v>2000</v>
      </c>
      <c r="O334">
        <v>2000</v>
      </c>
      <c r="P334">
        <v>2000</v>
      </c>
      <c r="Q334">
        <v>2000</v>
      </c>
      <c r="R334">
        <v>2000</v>
      </c>
      <c r="S334">
        <v>2000</v>
      </c>
      <c r="T334">
        <v>2000</v>
      </c>
      <c r="U334">
        <v>2000</v>
      </c>
      <c r="V334">
        <v>2000</v>
      </c>
      <c r="W334">
        <v>2000</v>
      </c>
      <c r="X334">
        <v>2000</v>
      </c>
      <c r="Y334">
        <v>2000</v>
      </c>
      <c r="Z334">
        <v>2000</v>
      </c>
      <c r="AA334">
        <v>2000</v>
      </c>
      <c r="AB334">
        <v>2000</v>
      </c>
      <c r="AC334">
        <v>2000</v>
      </c>
      <c r="AD334">
        <v>2000</v>
      </c>
      <c r="AE334">
        <v>2000</v>
      </c>
      <c r="AF334">
        <v>2000</v>
      </c>
      <c r="AG334">
        <v>2000</v>
      </c>
    </row>
    <row r="335" spans="1:33" x14ac:dyDescent="0.25">
      <c r="A335">
        <v>1003457</v>
      </c>
      <c r="B335" t="s">
        <v>21</v>
      </c>
      <c r="C335">
        <v>2000</v>
      </c>
      <c r="D335">
        <v>2000</v>
      </c>
      <c r="E335">
        <v>2000</v>
      </c>
      <c r="F335">
        <v>2000</v>
      </c>
      <c r="G335">
        <v>2000</v>
      </c>
      <c r="H335">
        <v>2000</v>
      </c>
      <c r="I335">
        <v>2000</v>
      </c>
      <c r="J335">
        <v>2000</v>
      </c>
      <c r="K335">
        <v>2000</v>
      </c>
      <c r="L335">
        <v>2000</v>
      </c>
      <c r="M335">
        <v>2000</v>
      </c>
      <c r="N335">
        <v>2000</v>
      </c>
      <c r="O335">
        <v>2000</v>
      </c>
      <c r="P335">
        <v>2000</v>
      </c>
      <c r="Q335">
        <v>2000</v>
      </c>
      <c r="R335">
        <v>2000</v>
      </c>
      <c r="S335">
        <v>2000</v>
      </c>
      <c r="T335">
        <v>2000</v>
      </c>
      <c r="U335">
        <v>2000</v>
      </c>
      <c r="V335">
        <v>2000</v>
      </c>
      <c r="W335">
        <v>2000</v>
      </c>
      <c r="X335">
        <v>2000</v>
      </c>
      <c r="Y335">
        <v>2000</v>
      </c>
      <c r="Z335">
        <v>2000</v>
      </c>
      <c r="AA335">
        <v>2000</v>
      </c>
      <c r="AB335">
        <v>2000</v>
      </c>
      <c r="AC335">
        <v>2000</v>
      </c>
      <c r="AD335">
        <v>2000</v>
      </c>
      <c r="AE335">
        <v>2000</v>
      </c>
      <c r="AF335">
        <v>2000</v>
      </c>
      <c r="AG335">
        <v>2000</v>
      </c>
    </row>
    <row r="336" spans="1:33" x14ac:dyDescent="0.25">
      <c r="A336">
        <v>2005223</v>
      </c>
      <c r="B336" t="s">
        <v>21</v>
      </c>
      <c r="C336">
        <v>2002</v>
      </c>
      <c r="D336">
        <v>2002</v>
      </c>
      <c r="E336">
        <v>2002</v>
      </c>
      <c r="F336">
        <v>2002</v>
      </c>
      <c r="G336">
        <v>2002</v>
      </c>
      <c r="H336">
        <v>2002</v>
      </c>
      <c r="I336">
        <v>2002</v>
      </c>
      <c r="J336">
        <v>2002</v>
      </c>
      <c r="K336">
        <v>2002</v>
      </c>
      <c r="L336">
        <v>2002</v>
      </c>
      <c r="M336">
        <v>2002</v>
      </c>
      <c r="N336">
        <v>2002</v>
      </c>
      <c r="O336">
        <v>2002</v>
      </c>
      <c r="P336">
        <v>2002</v>
      </c>
      <c r="Q336">
        <v>2002</v>
      </c>
      <c r="R336">
        <v>2002</v>
      </c>
      <c r="S336">
        <v>2002</v>
      </c>
      <c r="T336">
        <v>2002</v>
      </c>
      <c r="U336">
        <v>2002</v>
      </c>
      <c r="V336">
        <v>2002</v>
      </c>
      <c r="W336">
        <v>2002</v>
      </c>
      <c r="X336">
        <v>2002</v>
      </c>
      <c r="Y336">
        <v>2002</v>
      </c>
      <c r="Z336">
        <v>2002</v>
      </c>
      <c r="AA336">
        <v>2002</v>
      </c>
      <c r="AB336">
        <v>2002</v>
      </c>
      <c r="AC336">
        <v>2002</v>
      </c>
      <c r="AD336">
        <v>2002</v>
      </c>
      <c r="AE336">
        <v>2002</v>
      </c>
      <c r="AF336">
        <v>2002</v>
      </c>
      <c r="AG336">
        <v>2002</v>
      </c>
    </row>
    <row r="337" spans="1:33" x14ac:dyDescent="0.25">
      <c r="A337">
        <v>2006107</v>
      </c>
      <c r="B337" t="s">
        <v>21</v>
      </c>
      <c r="C337">
        <v>2002</v>
      </c>
      <c r="D337">
        <v>2002</v>
      </c>
      <c r="E337">
        <v>2002</v>
      </c>
      <c r="F337">
        <v>2002</v>
      </c>
      <c r="G337">
        <v>2002</v>
      </c>
      <c r="H337">
        <v>2002</v>
      </c>
      <c r="I337">
        <v>2002</v>
      </c>
      <c r="J337">
        <v>2002</v>
      </c>
      <c r="K337">
        <v>2002</v>
      </c>
      <c r="L337">
        <v>2002</v>
      </c>
      <c r="M337">
        <v>2002</v>
      </c>
      <c r="N337">
        <v>2002</v>
      </c>
      <c r="O337">
        <v>2002</v>
      </c>
      <c r="P337">
        <v>2002</v>
      </c>
      <c r="Q337">
        <v>2002</v>
      </c>
      <c r="R337">
        <v>2002</v>
      </c>
      <c r="S337">
        <v>2002</v>
      </c>
      <c r="T337">
        <v>2002</v>
      </c>
      <c r="U337">
        <v>2002</v>
      </c>
      <c r="V337">
        <v>2002</v>
      </c>
      <c r="W337">
        <v>2002</v>
      </c>
      <c r="X337">
        <v>2002</v>
      </c>
      <c r="Y337">
        <v>2002</v>
      </c>
      <c r="Z337">
        <v>2002</v>
      </c>
      <c r="AA337">
        <v>2002</v>
      </c>
      <c r="AB337">
        <v>2002</v>
      </c>
      <c r="AC337">
        <v>2002</v>
      </c>
      <c r="AD337">
        <v>2002</v>
      </c>
      <c r="AE337">
        <v>2002</v>
      </c>
      <c r="AF337">
        <v>2002</v>
      </c>
      <c r="AG337">
        <v>2002</v>
      </c>
    </row>
    <row r="338" spans="1:33" x14ac:dyDescent="0.25">
      <c r="A338">
        <v>2012014</v>
      </c>
      <c r="B338" t="s">
        <v>21</v>
      </c>
      <c r="C338">
        <v>2002</v>
      </c>
      <c r="D338">
        <v>2002</v>
      </c>
      <c r="E338">
        <v>2002</v>
      </c>
      <c r="F338">
        <v>2002</v>
      </c>
      <c r="G338">
        <v>2002</v>
      </c>
      <c r="H338">
        <v>2002</v>
      </c>
      <c r="I338">
        <v>2002</v>
      </c>
      <c r="J338">
        <v>2002</v>
      </c>
      <c r="K338">
        <v>2002</v>
      </c>
      <c r="L338">
        <v>2002</v>
      </c>
      <c r="M338">
        <v>2002</v>
      </c>
      <c r="N338">
        <v>2002</v>
      </c>
      <c r="O338">
        <v>2002</v>
      </c>
      <c r="P338">
        <v>2002</v>
      </c>
      <c r="Q338">
        <v>2002</v>
      </c>
      <c r="R338">
        <v>2002</v>
      </c>
      <c r="S338">
        <v>2002</v>
      </c>
      <c r="T338">
        <v>2002</v>
      </c>
      <c r="U338">
        <v>2002</v>
      </c>
      <c r="V338">
        <v>2002</v>
      </c>
      <c r="W338">
        <v>2002</v>
      </c>
      <c r="X338">
        <v>2002</v>
      </c>
      <c r="Y338">
        <v>2002</v>
      </c>
      <c r="Z338">
        <v>2002</v>
      </c>
      <c r="AA338">
        <v>2002</v>
      </c>
      <c r="AB338">
        <v>2002</v>
      </c>
      <c r="AC338">
        <v>2002</v>
      </c>
      <c r="AD338">
        <v>2002</v>
      </c>
      <c r="AE338">
        <v>2002</v>
      </c>
      <c r="AF338">
        <v>2002</v>
      </c>
      <c r="AG338">
        <v>2002</v>
      </c>
    </row>
    <row r="339" spans="1:33" x14ac:dyDescent="0.25">
      <c r="A339">
        <v>3000152</v>
      </c>
      <c r="B339" t="s">
        <v>21</v>
      </c>
      <c r="C339">
        <v>2002</v>
      </c>
      <c r="D339">
        <v>2002</v>
      </c>
      <c r="E339">
        <v>2002</v>
      </c>
      <c r="F339">
        <v>2002</v>
      </c>
      <c r="G339">
        <v>2002</v>
      </c>
      <c r="H339">
        <v>2002</v>
      </c>
      <c r="I339">
        <v>2002</v>
      </c>
      <c r="J339">
        <v>2002</v>
      </c>
      <c r="K339">
        <v>2002</v>
      </c>
      <c r="L339">
        <v>2002</v>
      </c>
      <c r="M339">
        <v>2002</v>
      </c>
      <c r="N339">
        <v>2002</v>
      </c>
      <c r="O339">
        <v>2002</v>
      </c>
      <c r="P339">
        <v>2002</v>
      </c>
      <c r="Q339">
        <v>2002</v>
      </c>
      <c r="R339">
        <v>2002</v>
      </c>
      <c r="S339">
        <v>2002</v>
      </c>
      <c r="T339">
        <v>2002</v>
      </c>
      <c r="U339">
        <v>2002</v>
      </c>
      <c r="V339">
        <v>2002</v>
      </c>
      <c r="W339">
        <v>2002</v>
      </c>
      <c r="X339">
        <v>2002</v>
      </c>
      <c r="Y339">
        <v>2002</v>
      </c>
      <c r="Z339">
        <v>2002</v>
      </c>
      <c r="AA339">
        <v>2002</v>
      </c>
      <c r="AB339">
        <v>2002</v>
      </c>
      <c r="AC339">
        <v>2002</v>
      </c>
      <c r="AD339">
        <v>2002</v>
      </c>
      <c r="AE339">
        <v>2002</v>
      </c>
      <c r="AF339">
        <v>2002</v>
      </c>
      <c r="AG339">
        <v>2002</v>
      </c>
    </row>
    <row r="340" spans="1:33" x14ac:dyDescent="0.25">
      <c r="A340">
        <v>3014566</v>
      </c>
      <c r="B340" t="s">
        <v>21</v>
      </c>
      <c r="C340">
        <v>2003</v>
      </c>
      <c r="D340">
        <v>2003</v>
      </c>
      <c r="E340">
        <v>2003</v>
      </c>
      <c r="F340">
        <v>2003</v>
      </c>
      <c r="G340">
        <v>2003</v>
      </c>
      <c r="H340">
        <v>2003</v>
      </c>
      <c r="I340">
        <v>2003</v>
      </c>
      <c r="J340">
        <v>2003</v>
      </c>
      <c r="K340">
        <v>2003</v>
      </c>
      <c r="L340">
        <v>2003</v>
      </c>
      <c r="M340">
        <v>2003</v>
      </c>
      <c r="N340">
        <v>2003</v>
      </c>
      <c r="O340">
        <v>2003</v>
      </c>
      <c r="P340">
        <v>2003</v>
      </c>
      <c r="Q340">
        <v>2003</v>
      </c>
      <c r="R340">
        <v>2003</v>
      </c>
      <c r="S340">
        <v>2003</v>
      </c>
      <c r="T340">
        <v>2003</v>
      </c>
      <c r="U340">
        <v>2003</v>
      </c>
      <c r="V340">
        <v>2003</v>
      </c>
      <c r="W340">
        <v>2003</v>
      </c>
      <c r="X340">
        <v>2003</v>
      </c>
      <c r="Y340">
        <v>2003</v>
      </c>
      <c r="Z340">
        <v>2003</v>
      </c>
      <c r="AA340">
        <v>2003</v>
      </c>
      <c r="AB340">
        <v>2003</v>
      </c>
      <c r="AC340">
        <v>2003</v>
      </c>
      <c r="AD340">
        <v>2003</v>
      </c>
      <c r="AE340">
        <v>2003</v>
      </c>
      <c r="AF340">
        <v>2003</v>
      </c>
      <c r="AG340">
        <v>2003</v>
      </c>
    </row>
    <row r="341" spans="1:33" x14ac:dyDescent="0.25">
      <c r="A341">
        <v>3015058</v>
      </c>
      <c r="B341" t="s">
        <v>21</v>
      </c>
      <c r="C341">
        <v>2003</v>
      </c>
      <c r="D341">
        <v>2003</v>
      </c>
      <c r="E341">
        <v>2003</v>
      </c>
      <c r="F341">
        <v>2003</v>
      </c>
      <c r="G341">
        <v>2003</v>
      </c>
      <c r="H341">
        <v>2003</v>
      </c>
      <c r="I341">
        <v>2003</v>
      </c>
      <c r="J341">
        <v>2003</v>
      </c>
      <c r="K341">
        <v>2003</v>
      </c>
      <c r="L341">
        <v>2003</v>
      </c>
      <c r="M341">
        <v>2003</v>
      </c>
      <c r="N341">
        <v>2003</v>
      </c>
      <c r="O341">
        <v>2003</v>
      </c>
      <c r="P341">
        <v>2003</v>
      </c>
      <c r="Q341">
        <v>2003</v>
      </c>
      <c r="R341">
        <v>2003</v>
      </c>
      <c r="S341">
        <v>2003</v>
      </c>
      <c r="T341">
        <v>2003</v>
      </c>
      <c r="U341">
        <v>2003</v>
      </c>
      <c r="V341">
        <v>2003</v>
      </c>
      <c r="W341">
        <v>2003</v>
      </c>
      <c r="X341">
        <v>2003</v>
      </c>
      <c r="Y341">
        <v>2003</v>
      </c>
      <c r="Z341">
        <v>2003</v>
      </c>
      <c r="AA341">
        <v>2003</v>
      </c>
      <c r="AB341">
        <v>2003</v>
      </c>
      <c r="AC341">
        <v>2003</v>
      </c>
      <c r="AD341">
        <v>2003</v>
      </c>
      <c r="AE341">
        <v>2003</v>
      </c>
      <c r="AF341">
        <v>2003</v>
      </c>
      <c r="AG341">
        <v>2003</v>
      </c>
    </row>
    <row r="342" spans="1:33" x14ac:dyDescent="0.25">
      <c r="A342" s="6">
        <v>4000996</v>
      </c>
      <c r="B342" t="s">
        <v>21</v>
      </c>
      <c r="C342">
        <v>2003</v>
      </c>
      <c r="D342">
        <v>2003</v>
      </c>
      <c r="E342">
        <v>2003</v>
      </c>
      <c r="F342">
        <v>2003</v>
      </c>
      <c r="G342">
        <v>2003</v>
      </c>
      <c r="H342">
        <v>2003</v>
      </c>
      <c r="I342">
        <v>2003</v>
      </c>
      <c r="J342">
        <v>2003</v>
      </c>
      <c r="K342">
        <v>2003</v>
      </c>
      <c r="L342">
        <v>2003</v>
      </c>
      <c r="M342">
        <v>2003</v>
      </c>
      <c r="N342">
        <v>2003</v>
      </c>
      <c r="O342">
        <v>2003</v>
      </c>
      <c r="P342">
        <v>2003</v>
      </c>
      <c r="Q342">
        <v>2003</v>
      </c>
      <c r="R342">
        <v>2003</v>
      </c>
      <c r="S342">
        <v>2003</v>
      </c>
      <c r="T342">
        <v>2003</v>
      </c>
      <c r="U342">
        <v>2003</v>
      </c>
      <c r="V342">
        <v>2003</v>
      </c>
      <c r="W342">
        <v>2003</v>
      </c>
      <c r="X342">
        <v>2003</v>
      </c>
      <c r="Y342">
        <v>2003</v>
      </c>
      <c r="Z342">
        <v>2003</v>
      </c>
      <c r="AA342">
        <v>2003</v>
      </c>
      <c r="AB342">
        <v>2003</v>
      </c>
      <c r="AC342">
        <v>2003</v>
      </c>
      <c r="AD342">
        <v>2003</v>
      </c>
      <c r="AE342">
        <v>2003</v>
      </c>
      <c r="AF342">
        <v>2003</v>
      </c>
      <c r="AG342">
        <v>2003</v>
      </c>
    </row>
    <row r="343" spans="1:33" x14ac:dyDescent="0.25">
      <c r="A343">
        <v>4003768</v>
      </c>
      <c r="B343" t="s">
        <v>21</v>
      </c>
      <c r="C343">
        <v>2004</v>
      </c>
      <c r="D343">
        <v>2004</v>
      </c>
      <c r="E343">
        <v>2004</v>
      </c>
      <c r="F343">
        <v>2004</v>
      </c>
      <c r="G343">
        <v>2004</v>
      </c>
      <c r="H343">
        <v>2004</v>
      </c>
      <c r="I343">
        <v>2004</v>
      </c>
      <c r="J343">
        <v>2004</v>
      </c>
      <c r="K343">
        <v>2004</v>
      </c>
      <c r="L343">
        <v>2004</v>
      </c>
      <c r="M343">
        <v>2004</v>
      </c>
      <c r="N343">
        <v>2004</v>
      </c>
      <c r="O343">
        <v>2004</v>
      </c>
      <c r="P343">
        <v>2004</v>
      </c>
      <c r="Q343">
        <v>2004</v>
      </c>
      <c r="R343">
        <v>2004</v>
      </c>
      <c r="S343">
        <v>2004</v>
      </c>
      <c r="T343">
        <v>2004</v>
      </c>
      <c r="U343">
        <v>2004</v>
      </c>
      <c r="V343">
        <v>2004</v>
      </c>
      <c r="W343">
        <v>2004</v>
      </c>
      <c r="X343">
        <v>2004</v>
      </c>
      <c r="Y343">
        <v>2004</v>
      </c>
      <c r="Z343">
        <v>2004</v>
      </c>
      <c r="AA343">
        <v>2004</v>
      </c>
      <c r="AB343">
        <v>2004</v>
      </c>
      <c r="AC343">
        <v>2004</v>
      </c>
      <c r="AD343">
        <v>2004</v>
      </c>
      <c r="AE343">
        <v>2004</v>
      </c>
      <c r="AF343">
        <v>2004</v>
      </c>
      <c r="AG343">
        <v>2004</v>
      </c>
    </row>
    <row r="344" spans="1:33" x14ac:dyDescent="0.25">
      <c r="A344">
        <v>4006540</v>
      </c>
      <c r="B344" t="s">
        <v>21</v>
      </c>
      <c r="C344">
        <v>2004</v>
      </c>
      <c r="D344">
        <v>2004</v>
      </c>
      <c r="E344">
        <v>2004</v>
      </c>
      <c r="F344">
        <v>2004</v>
      </c>
      <c r="G344">
        <v>2004</v>
      </c>
      <c r="H344">
        <v>2004</v>
      </c>
      <c r="I344">
        <v>2004</v>
      </c>
      <c r="J344">
        <v>2004</v>
      </c>
      <c r="K344">
        <v>2004</v>
      </c>
      <c r="L344">
        <v>2004</v>
      </c>
      <c r="M344">
        <v>2004</v>
      </c>
      <c r="N344">
        <v>2004</v>
      </c>
      <c r="O344">
        <v>2004</v>
      </c>
      <c r="P344">
        <v>2004</v>
      </c>
      <c r="Q344">
        <v>2004</v>
      </c>
      <c r="R344">
        <v>2004</v>
      </c>
      <c r="S344">
        <v>2004</v>
      </c>
      <c r="T344">
        <v>2004</v>
      </c>
      <c r="U344">
        <v>2004</v>
      </c>
      <c r="V344">
        <v>2004</v>
      </c>
      <c r="W344">
        <v>2004</v>
      </c>
      <c r="X344">
        <v>2004</v>
      </c>
      <c r="Y344">
        <v>2004</v>
      </c>
      <c r="Z344">
        <v>2004</v>
      </c>
      <c r="AA344">
        <v>2004</v>
      </c>
      <c r="AB344">
        <v>2004</v>
      </c>
      <c r="AC344">
        <v>2004</v>
      </c>
      <c r="AD344">
        <v>2004</v>
      </c>
      <c r="AE344">
        <v>2004</v>
      </c>
      <c r="AF344">
        <v>2004</v>
      </c>
      <c r="AG344">
        <v>2004</v>
      </c>
    </row>
    <row r="345" spans="1:33" x14ac:dyDescent="0.25">
      <c r="A345">
        <v>4007054</v>
      </c>
      <c r="B345" t="s">
        <v>21</v>
      </c>
      <c r="C345">
        <v>2004</v>
      </c>
      <c r="D345">
        <v>2004</v>
      </c>
      <c r="E345">
        <v>2004</v>
      </c>
      <c r="F345">
        <v>2004</v>
      </c>
      <c r="G345">
        <v>2004</v>
      </c>
      <c r="H345">
        <v>2004</v>
      </c>
      <c r="I345">
        <v>2004</v>
      </c>
      <c r="J345">
        <v>2004</v>
      </c>
      <c r="K345">
        <v>2004</v>
      </c>
      <c r="L345">
        <v>2004</v>
      </c>
      <c r="M345">
        <v>2004</v>
      </c>
      <c r="N345">
        <v>2004</v>
      </c>
      <c r="O345">
        <v>2004</v>
      </c>
      <c r="P345">
        <v>2004</v>
      </c>
      <c r="Q345">
        <v>2004</v>
      </c>
      <c r="R345">
        <v>2004</v>
      </c>
      <c r="S345">
        <v>2004</v>
      </c>
      <c r="T345">
        <v>2004</v>
      </c>
      <c r="U345">
        <v>2004</v>
      </c>
      <c r="V345">
        <v>2004</v>
      </c>
      <c r="W345">
        <v>2004</v>
      </c>
      <c r="X345">
        <v>2004</v>
      </c>
      <c r="Y345">
        <v>2004</v>
      </c>
      <c r="Z345">
        <v>2004</v>
      </c>
      <c r="AA345">
        <v>2004</v>
      </c>
      <c r="AB345">
        <v>2004</v>
      </c>
      <c r="AC345">
        <v>2004</v>
      </c>
      <c r="AD345">
        <v>2004</v>
      </c>
      <c r="AE345">
        <v>2004</v>
      </c>
      <c r="AF345">
        <v>2004</v>
      </c>
      <c r="AG345">
        <v>2004</v>
      </c>
    </row>
    <row r="346" spans="1:33" x14ac:dyDescent="0.25">
      <c r="A346">
        <v>4011002</v>
      </c>
      <c r="B346" t="s">
        <v>21</v>
      </c>
      <c r="C346">
        <v>2004</v>
      </c>
      <c r="D346">
        <v>2004</v>
      </c>
      <c r="E346">
        <v>2004</v>
      </c>
      <c r="F346">
        <v>2004</v>
      </c>
      <c r="G346">
        <v>2004</v>
      </c>
      <c r="H346">
        <v>2004</v>
      </c>
      <c r="I346">
        <v>2004</v>
      </c>
      <c r="J346">
        <v>2004</v>
      </c>
      <c r="K346">
        <v>2004</v>
      </c>
      <c r="L346">
        <v>2004</v>
      </c>
      <c r="M346">
        <v>2004</v>
      </c>
      <c r="N346">
        <v>2004</v>
      </c>
      <c r="O346">
        <v>2004</v>
      </c>
      <c r="P346">
        <v>2004</v>
      </c>
      <c r="Q346">
        <v>2004</v>
      </c>
      <c r="R346">
        <v>2004</v>
      </c>
      <c r="S346">
        <v>2004</v>
      </c>
      <c r="T346">
        <v>2004</v>
      </c>
      <c r="U346">
        <v>2004</v>
      </c>
      <c r="V346">
        <v>2004</v>
      </c>
      <c r="W346">
        <v>2004</v>
      </c>
      <c r="X346">
        <v>2004</v>
      </c>
      <c r="Y346">
        <v>2004</v>
      </c>
      <c r="Z346">
        <v>2004</v>
      </c>
      <c r="AA346">
        <v>2004</v>
      </c>
      <c r="AB346">
        <v>2004</v>
      </c>
      <c r="AC346">
        <v>2004</v>
      </c>
      <c r="AD346">
        <v>2004</v>
      </c>
      <c r="AE346">
        <v>2004</v>
      </c>
      <c r="AF346">
        <v>2004</v>
      </c>
      <c r="AG346">
        <v>2004</v>
      </c>
    </row>
    <row r="347" spans="1:33" x14ac:dyDescent="0.25">
      <c r="A347">
        <v>4900268</v>
      </c>
      <c r="B347" t="s">
        <v>21</v>
      </c>
      <c r="C347">
        <v>2004</v>
      </c>
      <c r="D347">
        <v>2004</v>
      </c>
      <c r="E347">
        <v>2004</v>
      </c>
      <c r="F347">
        <v>2004</v>
      </c>
      <c r="G347">
        <v>2004</v>
      </c>
      <c r="H347">
        <v>2004</v>
      </c>
      <c r="I347">
        <v>2004</v>
      </c>
      <c r="J347">
        <v>2004</v>
      </c>
      <c r="K347">
        <v>2004</v>
      </c>
      <c r="L347">
        <v>2004</v>
      </c>
      <c r="M347">
        <v>2004</v>
      </c>
      <c r="N347">
        <v>2004</v>
      </c>
      <c r="O347">
        <v>2004</v>
      </c>
      <c r="P347">
        <v>2004</v>
      </c>
      <c r="Q347">
        <v>2004</v>
      </c>
      <c r="R347">
        <v>2004</v>
      </c>
      <c r="S347">
        <v>2004</v>
      </c>
      <c r="T347">
        <v>2004</v>
      </c>
      <c r="U347">
        <v>2004</v>
      </c>
      <c r="V347">
        <v>2004</v>
      </c>
      <c r="W347">
        <v>2004</v>
      </c>
      <c r="X347">
        <v>2004</v>
      </c>
      <c r="Y347">
        <v>2004</v>
      </c>
      <c r="Z347">
        <v>2004</v>
      </c>
      <c r="AA347">
        <v>2004</v>
      </c>
      <c r="AB347">
        <v>2004</v>
      </c>
      <c r="AC347">
        <v>2004</v>
      </c>
      <c r="AD347">
        <v>2004</v>
      </c>
      <c r="AE347">
        <v>2004</v>
      </c>
      <c r="AF347">
        <v>2004</v>
      </c>
      <c r="AG347">
        <v>2004</v>
      </c>
    </row>
    <row r="348" spans="1:33" x14ac:dyDescent="0.25">
      <c r="A348">
        <v>5001097</v>
      </c>
      <c r="B348" t="s">
        <v>21</v>
      </c>
      <c r="C348">
        <v>2004</v>
      </c>
      <c r="D348">
        <v>2004</v>
      </c>
      <c r="E348">
        <v>2004</v>
      </c>
      <c r="F348">
        <v>2004</v>
      </c>
      <c r="G348">
        <v>2004</v>
      </c>
      <c r="H348">
        <v>2004</v>
      </c>
      <c r="I348">
        <v>2004</v>
      </c>
      <c r="J348">
        <v>2004</v>
      </c>
      <c r="K348">
        <v>2004</v>
      </c>
      <c r="L348">
        <v>2004</v>
      </c>
      <c r="M348">
        <v>2004</v>
      </c>
      <c r="N348">
        <v>2004</v>
      </c>
      <c r="O348">
        <v>2004</v>
      </c>
      <c r="P348">
        <v>2004</v>
      </c>
      <c r="Q348">
        <v>2004</v>
      </c>
      <c r="R348">
        <v>2004</v>
      </c>
      <c r="S348">
        <v>2004</v>
      </c>
      <c r="T348">
        <v>2004</v>
      </c>
      <c r="U348">
        <v>2004</v>
      </c>
      <c r="V348">
        <v>2004</v>
      </c>
      <c r="W348">
        <v>2004</v>
      </c>
      <c r="X348">
        <v>2004</v>
      </c>
      <c r="Y348">
        <v>2004</v>
      </c>
      <c r="Z348">
        <v>2004</v>
      </c>
      <c r="AA348">
        <v>2004</v>
      </c>
      <c r="AB348">
        <v>2004</v>
      </c>
      <c r="AC348">
        <v>2004</v>
      </c>
      <c r="AD348">
        <v>2004</v>
      </c>
      <c r="AE348">
        <v>2004</v>
      </c>
      <c r="AF348">
        <v>2004</v>
      </c>
      <c r="AG348">
        <v>2004</v>
      </c>
    </row>
    <row r="349" spans="1:33" x14ac:dyDescent="0.25">
      <c r="A349">
        <v>5001098</v>
      </c>
      <c r="B349" t="s">
        <v>21</v>
      </c>
      <c r="C349">
        <v>2004</v>
      </c>
      <c r="D349">
        <v>2004</v>
      </c>
      <c r="E349">
        <v>2004</v>
      </c>
      <c r="F349">
        <v>2004</v>
      </c>
      <c r="G349">
        <v>2004</v>
      </c>
      <c r="H349">
        <v>2004</v>
      </c>
      <c r="I349">
        <v>2004</v>
      </c>
      <c r="J349">
        <v>2004</v>
      </c>
      <c r="K349">
        <v>2004</v>
      </c>
      <c r="L349">
        <v>2004</v>
      </c>
      <c r="M349">
        <v>2004</v>
      </c>
      <c r="N349">
        <v>2004</v>
      </c>
      <c r="O349">
        <v>2004</v>
      </c>
      <c r="P349">
        <v>2004</v>
      </c>
      <c r="Q349">
        <v>2004</v>
      </c>
      <c r="R349">
        <v>2004</v>
      </c>
      <c r="S349">
        <v>2004</v>
      </c>
      <c r="T349">
        <v>2004</v>
      </c>
      <c r="U349">
        <v>2004</v>
      </c>
      <c r="V349">
        <v>2004</v>
      </c>
      <c r="W349">
        <v>2004</v>
      </c>
      <c r="X349">
        <v>2004</v>
      </c>
      <c r="Y349">
        <v>2004</v>
      </c>
      <c r="Z349">
        <v>2004</v>
      </c>
      <c r="AA349">
        <v>2004</v>
      </c>
      <c r="AB349">
        <v>2004</v>
      </c>
      <c r="AC349">
        <v>2004</v>
      </c>
      <c r="AD349">
        <v>2004</v>
      </c>
      <c r="AE349">
        <v>2004</v>
      </c>
      <c r="AF349">
        <v>2004</v>
      </c>
      <c r="AG349">
        <v>2004</v>
      </c>
    </row>
    <row r="350" spans="1:33" x14ac:dyDescent="0.25">
      <c r="A350">
        <v>5006152</v>
      </c>
      <c r="B350" t="s">
        <v>21</v>
      </c>
      <c r="C350">
        <v>2005</v>
      </c>
      <c r="D350">
        <v>2005</v>
      </c>
      <c r="E350">
        <v>2005</v>
      </c>
      <c r="F350">
        <v>2005</v>
      </c>
      <c r="G350">
        <v>2005</v>
      </c>
      <c r="H350">
        <v>2005</v>
      </c>
      <c r="I350">
        <v>2005</v>
      </c>
      <c r="J350">
        <v>2005</v>
      </c>
      <c r="K350">
        <v>2005</v>
      </c>
      <c r="L350">
        <v>2005</v>
      </c>
      <c r="M350">
        <v>2005</v>
      </c>
      <c r="N350">
        <v>2005</v>
      </c>
      <c r="O350">
        <v>2005</v>
      </c>
      <c r="P350">
        <v>2005</v>
      </c>
      <c r="Q350">
        <v>2005</v>
      </c>
      <c r="R350">
        <v>2005</v>
      </c>
      <c r="S350">
        <v>2005</v>
      </c>
      <c r="T350">
        <v>2005</v>
      </c>
      <c r="U350">
        <v>2005</v>
      </c>
      <c r="V350">
        <v>2005</v>
      </c>
      <c r="W350">
        <v>2005</v>
      </c>
      <c r="X350">
        <v>2005</v>
      </c>
      <c r="Y350">
        <v>2005</v>
      </c>
      <c r="Z350">
        <v>2005</v>
      </c>
      <c r="AA350">
        <v>2005</v>
      </c>
      <c r="AB350">
        <v>2005</v>
      </c>
      <c r="AC350">
        <v>2005</v>
      </c>
      <c r="AD350">
        <v>2005</v>
      </c>
      <c r="AE350">
        <v>2005</v>
      </c>
      <c r="AF350">
        <v>2005</v>
      </c>
      <c r="AG350">
        <v>2005</v>
      </c>
    </row>
    <row r="351" spans="1:33" x14ac:dyDescent="0.25">
      <c r="A351">
        <v>5011824</v>
      </c>
      <c r="B351" t="s">
        <v>21</v>
      </c>
      <c r="C351">
        <v>2005</v>
      </c>
      <c r="D351">
        <v>2005</v>
      </c>
      <c r="E351">
        <v>2005</v>
      </c>
      <c r="F351">
        <v>2005</v>
      </c>
      <c r="G351">
        <v>2005</v>
      </c>
      <c r="H351">
        <v>2005</v>
      </c>
      <c r="I351">
        <v>2005</v>
      </c>
      <c r="J351">
        <v>2005</v>
      </c>
      <c r="K351">
        <v>2005</v>
      </c>
      <c r="L351">
        <v>2005</v>
      </c>
      <c r="M351">
        <v>2005</v>
      </c>
      <c r="N351">
        <v>2005</v>
      </c>
      <c r="O351">
        <v>2005</v>
      </c>
      <c r="P351">
        <v>2005</v>
      </c>
      <c r="Q351">
        <v>2005</v>
      </c>
      <c r="R351">
        <v>2005</v>
      </c>
      <c r="S351">
        <v>2005</v>
      </c>
      <c r="T351">
        <v>2005</v>
      </c>
      <c r="U351">
        <v>2005</v>
      </c>
      <c r="V351">
        <v>2005</v>
      </c>
      <c r="W351">
        <v>2005</v>
      </c>
      <c r="X351">
        <v>2005</v>
      </c>
      <c r="Y351">
        <v>2005</v>
      </c>
      <c r="Z351">
        <v>2005</v>
      </c>
      <c r="AA351">
        <v>2005</v>
      </c>
      <c r="AB351">
        <v>2005</v>
      </c>
      <c r="AC351">
        <v>2005</v>
      </c>
      <c r="AD351">
        <v>2005</v>
      </c>
      <c r="AE351">
        <v>2005</v>
      </c>
      <c r="AF351">
        <v>2005</v>
      </c>
      <c r="AG351">
        <v>2005</v>
      </c>
    </row>
    <row r="352" spans="1:33" x14ac:dyDescent="0.25">
      <c r="A352">
        <v>5016179</v>
      </c>
      <c r="B352" t="s">
        <v>21</v>
      </c>
      <c r="C352">
        <v>2005</v>
      </c>
      <c r="D352">
        <v>2005</v>
      </c>
      <c r="E352">
        <v>2005</v>
      </c>
      <c r="F352">
        <v>2005</v>
      </c>
      <c r="G352">
        <v>2005</v>
      </c>
      <c r="H352">
        <v>2005</v>
      </c>
      <c r="I352">
        <v>2005</v>
      </c>
      <c r="J352">
        <v>2005</v>
      </c>
      <c r="K352">
        <v>2005</v>
      </c>
      <c r="L352">
        <v>2005</v>
      </c>
      <c r="M352">
        <v>2005</v>
      </c>
      <c r="N352">
        <v>2005</v>
      </c>
      <c r="O352">
        <v>2005</v>
      </c>
      <c r="P352">
        <v>2005</v>
      </c>
      <c r="Q352">
        <v>2005</v>
      </c>
      <c r="R352">
        <v>2005</v>
      </c>
      <c r="S352">
        <v>2005</v>
      </c>
      <c r="T352">
        <v>2005</v>
      </c>
      <c r="U352">
        <v>2005</v>
      </c>
      <c r="V352">
        <v>2005</v>
      </c>
      <c r="W352">
        <v>2005</v>
      </c>
      <c r="X352">
        <v>2005</v>
      </c>
      <c r="Y352">
        <v>2005</v>
      </c>
      <c r="Z352">
        <v>2005</v>
      </c>
      <c r="AA352">
        <v>2005</v>
      </c>
      <c r="AB352">
        <v>2005</v>
      </c>
      <c r="AC352">
        <v>2005</v>
      </c>
      <c r="AD352">
        <v>2005</v>
      </c>
      <c r="AE352">
        <v>2005</v>
      </c>
      <c r="AF352">
        <v>2005</v>
      </c>
      <c r="AG352">
        <v>2005</v>
      </c>
    </row>
    <row r="353" spans="1:33" x14ac:dyDescent="0.25">
      <c r="A353">
        <v>7079011</v>
      </c>
      <c r="B353" t="s">
        <v>21</v>
      </c>
      <c r="C353">
        <v>2006</v>
      </c>
      <c r="D353">
        <v>2006</v>
      </c>
      <c r="E353">
        <v>2006</v>
      </c>
      <c r="F353">
        <v>2006</v>
      </c>
      <c r="G353">
        <v>2006</v>
      </c>
      <c r="H353">
        <v>2006</v>
      </c>
      <c r="I353">
        <v>2006</v>
      </c>
      <c r="J353">
        <v>2006</v>
      </c>
      <c r="K353">
        <v>2006</v>
      </c>
      <c r="L353">
        <v>2006</v>
      </c>
      <c r="M353">
        <v>2006</v>
      </c>
      <c r="N353">
        <v>2006</v>
      </c>
      <c r="O353">
        <v>2006</v>
      </c>
      <c r="P353">
        <v>2006</v>
      </c>
      <c r="Q353">
        <v>2006</v>
      </c>
      <c r="R353">
        <v>2006</v>
      </c>
      <c r="S353">
        <v>2006</v>
      </c>
      <c r="T353">
        <v>2006</v>
      </c>
      <c r="U353">
        <v>2006</v>
      </c>
      <c r="V353">
        <v>2006</v>
      </c>
      <c r="W353">
        <v>2006</v>
      </c>
      <c r="X353">
        <v>2006</v>
      </c>
      <c r="Y353">
        <v>2006</v>
      </c>
      <c r="Z353">
        <v>2006</v>
      </c>
      <c r="AA353">
        <v>2006</v>
      </c>
      <c r="AB353">
        <v>2006</v>
      </c>
      <c r="AC353">
        <v>2006</v>
      </c>
      <c r="AD353">
        <v>2006</v>
      </c>
      <c r="AE353">
        <v>2006</v>
      </c>
      <c r="AF353">
        <v>2006</v>
      </c>
      <c r="AG353">
        <v>2006</v>
      </c>
    </row>
    <row r="354" spans="1:33" x14ac:dyDescent="0.25">
      <c r="A354">
        <v>8135416</v>
      </c>
      <c r="B354" t="s">
        <v>21</v>
      </c>
      <c r="C354">
        <v>2008</v>
      </c>
      <c r="D354">
        <v>2008</v>
      </c>
      <c r="E354">
        <v>2008</v>
      </c>
      <c r="F354">
        <v>2008</v>
      </c>
      <c r="G354">
        <v>2008</v>
      </c>
      <c r="H354">
        <v>2008</v>
      </c>
      <c r="I354">
        <v>2008</v>
      </c>
      <c r="J354">
        <v>2008</v>
      </c>
      <c r="K354">
        <v>2008</v>
      </c>
      <c r="L354">
        <v>2008</v>
      </c>
      <c r="M354">
        <v>2008</v>
      </c>
      <c r="N354">
        <v>2008</v>
      </c>
      <c r="O354">
        <v>2008</v>
      </c>
      <c r="P354">
        <v>2008</v>
      </c>
      <c r="Q354">
        <v>2008</v>
      </c>
      <c r="R354">
        <v>2008</v>
      </c>
      <c r="S354">
        <v>2008</v>
      </c>
      <c r="T354">
        <v>2008</v>
      </c>
      <c r="U354">
        <v>2008</v>
      </c>
      <c r="V354">
        <v>2008</v>
      </c>
      <c r="W354">
        <v>2008</v>
      </c>
      <c r="X354">
        <v>2008</v>
      </c>
      <c r="Y354">
        <v>2008</v>
      </c>
      <c r="Z354">
        <v>2008</v>
      </c>
      <c r="AA354">
        <v>2008</v>
      </c>
      <c r="AB354">
        <v>2008</v>
      </c>
      <c r="AC354">
        <v>2008</v>
      </c>
      <c r="AD354">
        <v>2008</v>
      </c>
      <c r="AE354">
        <v>2008</v>
      </c>
      <c r="AF354">
        <v>2008</v>
      </c>
      <c r="AG354">
        <v>2008</v>
      </c>
    </row>
    <row r="355" spans="1:33" x14ac:dyDescent="0.25">
      <c r="A355">
        <v>93018945</v>
      </c>
      <c r="B355" t="s">
        <v>21</v>
      </c>
      <c r="C355">
        <v>1992</v>
      </c>
      <c r="D355">
        <v>1992</v>
      </c>
      <c r="E355">
        <v>1992</v>
      </c>
      <c r="F355">
        <v>1992</v>
      </c>
      <c r="G355">
        <v>1992</v>
      </c>
      <c r="H355">
        <v>1992</v>
      </c>
      <c r="I355">
        <v>1992</v>
      </c>
      <c r="J355">
        <v>1992</v>
      </c>
      <c r="K355">
        <v>1992</v>
      </c>
      <c r="L355">
        <v>1992</v>
      </c>
      <c r="M355">
        <v>1992</v>
      </c>
      <c r="N355">
        <v>1992</v>
      </c>
      <c r="O355">
        <v>1992</v>
      </c>
      <c r="P355">
        <v>1992</v>
      </c>
      <c r="Q355">
        <v>1992</v>
      </c>
      <c r="R355">
        <v>1992</v>
      </c>
      <c r="S355">
        <v>1992</v>
      </c>
      <c r="T355">
        <v>1992</v>
      </c>
      <c r="U355">
        <v>1992</v>
      </c>
      <c r="V355">
        <v>1992</v>
      </c>
      <c r="W355">
        <v>1992</v>
      </c>
      <c r="X355">
        <v>1992</v>
      </c>
      <c r="Y355">
        <v>1992</v>
      </c>
      <c r="Z355">
        <v>1992</v>
      </c>
      <c r="AA355">
        <v>1992</v>
      </c>
      <c r="AB355">
        <v>1992</v>
      </c>
      <c r="AC355">
        <v>1992</v>
      </c>
      <c r="AD355">
        <v>1992</v>
      </c>
      <c r="AE355">
        <v>1992</v>
      </c>
      <c r="AF355">
        <v>1992</v>
      </c>
      <c r="AG355">
        <v>1992</v>
      </c>
    </row>
    <row r="356" spans="1:33" x14ac:dyDescent="0.25">
      <c r="A356">
        <v>94009028</v>
      </c>
      <c r="B356" t="s">
        <v>21</v>
      </c>
      <c r="C356">
        <v>1994</v>
      </c>
      <c r="D356">
        <v>1994</v>
      </c>
      <c r="E356">
        <v>1994</v>
      </c>
      <c r="F356">
        <v>1994</v>
      </c>
      <c r="G356">
        <v>1994</v>
      </c>
      <c r="H356">
        <v>1994</v>
      </c>
      <c r="I356">
        <v>1994</v>
      </c>
      <c r="J356">
        <v>1994</v>
      </c>
      <c r="K356">
        <v>1994</v>
      </c>
      <c r="L356">
        <v>1994</v>
      </c>
      <c r="M356">
        <v>1994</v>
      </c>
      <c r="N356">
        <v>1994</v>
      </c>
      <c r="O356">
        <v>1994</v>
      </c>
      <c r="P356">
        <v>1994</v>
      </c>
      <c r="Q356">
        <v>1994</v>
      </c>
      <c r="R356">
        <v>1994</v>
      </c>
      <c r="S356">
        <v>1994</v>
      </c>
      <c r="T356">
        <v>1994</v>
      </c>
      <c r="U356">
        <v>1994</v>
      </c>
      <c r="V356">
        <v>1994</v>
      </c>
      <c r="W356">
        <v>1994</v>
      </c>
      <c r="X356">
        <v>1994</v>
      </c>
      <c r="Y356">
        <v>1994</v>
      </c>
      <c r="Z356">
        <v>1994</v>
      </c>
      <c r="AA356">
        <v>1994</v>
      </c>
      <c r="AB356">
        <v>1994</v>
      </c>
      <c r="AC356">
        <v>1994</v>
      </c>
      <c r="AD356">
        <v>1994</v>
      </c>
      <c r="AE356">
        <v>1994</v>
      </c>
      <c r="AF356">
        <v>1994</v>
      </c>
      <c r="AG356">
        <v>1994</v>
      </c>
    </row>
    <row r="357" spans="1:33" x14ac:dyDescent="0.25">
      <c r="A357">
        <v>95005907</v>
      </c>
      <c r="B357" t="s">
        <v>21</v>
      </c>
      <c r="C357">
        <v>1995</v>
      </c>
      <c r="D357">
        <v>1995</v>
      </c>
      <c r="E357">
        <v>1995</v>
      </c>
      <c r="F357">
        <v>1995</v>
      </c>
      <c r="G357">
        <v>1995</v>
      </c>
      <c r="H357">
        <v>1995</v>
      </c>
      <c r="I357">
        <v>1995</v>
      </c>
      <c r="J357">
        <v>1995</v>
      </c>
      <c r="K357">
        <v>1995</v>
      </c>
      <c r="L357">
        <v>1995</v>
      </c>
      <c r="M357">
        <v>1995</v>
      </c>
      <c r="N357">
        <v>1995</v>
      </c>
      <c r="O357">
        <v>1995</v>
      </c>
      <c r="P357">
        <v>1995</v>
      </c>
      <c r="Q357">
        <v>1995</v>
      </c>
      <c r="R357">
        <v>1995</v>
      </c>
      <c r="S357">
        <v>1995</v>
      </c>
      <c r="T357">
        <v>1995</v>
      </c>
      <c r="U357">
        <v>1995</v>
      </c>
      <c r="V357">
        <v>1995</v>
      </c>
      <c r="W357">
        <v>1995</v>
      </c>
      <c r="X357">
        <v>1995</v>
      </c>
      <c r="Y357">
        <v>1995</v>
      </c>
      <c r="Z357">
        <v>1995</v>
      </c>
      <c r="AA357">
        <v>1995</v>
      </c>
      <c r="AB357">
        <v>1995</v>
      </c>
      <c r="AC357">
        <v>1995</v>
      </c>
      <c r="AD357">
        <v>1995</v>
      </c>
      <c r="AE357">
        <v>1995</v>
      </c>
      <c r="AF357">
        <v>1995</v>
      </c>
      <c r="AG357">
        <v>1995</v>
      </c>
    </row>
    <row r="358" spans="1:33" x14ac:dyDescent="0.25">
      <c r="A358">
        <v>95900164</v>
      </c>
      <c r="B358" t="s">
        <v>21</v>
      </c>
      <c r="C358">
        <v>1995</v>
      </c>
      <c r="D358">
        <v>1995</v>
      </c>
      <c r="E358">
        <v>1995</v>
      </c>
      <c r="F358">
        <v>1995</v>
      </c>
      <c r="G358">
        <v>1995</v>
      </c>
      <c r="H358">
        <v>1995</v>
      </c>
      <c r="I358">
        <v>1995</v>
      </c>
      <c r="J358">
        <v>1995</v>
      </c>
      <c r="K358">
        <v>1995</v>
      </c>
      <c r="L358">
        <v>1995</v>
      </c>
      <c r="M358">
        <v>1995</v>
      </c>
      <c r="N358">
        <v>1995</v>
      </c>
      <c r="O358">
        <v>1995</v>
      </c>
      <c r="P358">
        <v>1995</v>
      </c>
      <c r="Q358">
        <v>1995</v>
      </c>
      <c r="R358">
        <v>1995</v>
      </c>
      <c r="S358">
        <v>1995</v>
      </c>
      <c r="T358">
        <v>1995</v>
      </c>
      <c r="U358">
        <v>1995</v>
      </c>
      <c r="V358">
        <v>1995</v>
      </c>
      <c r="W358">
        <v>1995</v>
      </c>
      <c r="X358">
        <v>1995</v>
      </c>
      <c r="Y358">
        <v>1995</v>
      </c>
      <c r="Z358">
        <v>1995</v>
      </c>
      <c r="AA358">
        <v>1995</v>
      </c>
      <c r="AB358">
        <v>1995</v>
      </c>
      <c r="AC358">
        <v>1995</v>
      </c>
      <c r="AD358">
        <v>1995</v>
      </c>
      <c r="AE358">
        <v>1995</v>
      </c>
      <c r="AF358">
        <v>1995</v>
      </c>
      <c r="AG358">
        <v>1995</v>
      </c>
    </row>
    <row r="359" spans="1:33" x14ac:dyDescent="0.25">
      <c r="A359">
        <v>96015811</v>
      </c>
      <c r="B359" t="s">
        <v>21</v>
      </c>
      <c r="C359">
        <v>1996</v>
      </c>
      <c r="D359">
        <v>1996</v>
      </c>
      <c r="E359">
        <v>1996</v>
      </c>
      <c r="F359">
        <v>1996</v>
      </c>
      <c r="G359">
        <v>1996</v>
      </c>
      <c r="H359">
        <v>1996</v>
      </c>
      <c r="I359">
        <v>1996</v>
      </c>
      <c r="J359">
        <v>1996</v>
      </c>
      <c r="K359">
        <v>1996</v>
      </c>
      <c r="L359">
        <v>1996</v>
      </c>
      <c r="M359">
        <v>1996</v>
      </c>
      <c r="N359">
        <v>1996</v>
      </c>
      <c r="O359">
        <v>1996</v>
      </c>
      <c r="P359">
        <v>1996</v>
      </c>
      <c r="Q359">
        <v>1996</v>
      </c>
      <c r="R359">
        <v>1996</v>
      </c>
      <c r="S359">
        <v>1996</v>
      </c>
      <c r="T359">
        <v>1996</v>
      </c>
      <c r="U359">
        <v>1996</v>
      </c>
      <c r="V359">
        <v>1996</v>
      </c>
      <c r="W359">
        <v>1996</v>
      </c>
      <c r="X359">
        <v>1996</v>
      </c>
      <c r="Y359">
        <v>1996</v>
      </c>
      <c r="Z359">
        <v>1996</v>
      </c>
      <c r="AA359">
        <v>1996</v>
      </c>
      <c r="AB359">
        <v>1996</v>
      </c>
      <c r="AC359">
        <v>1996</v>
      </c>
      <c r="AD359">
        <v>1996</v>
      </c>
      <c r="AE359">
        <v>1996</v>
      </c>
      <c r="AF359">
        <v>1996</v>
      </c>
      <c r="AG359">
        <v>1996</v>
      </c>
    </row>
    <row r="360" spans="1:33" x14ac:dyDescent="0.25">
      <c r="A360">
        <v>97001240</v>
      </c>
      <c r="B360" t="s">
        <v>21</v>
      </c>
      <c r="C360">
        <v>1997</v>
      </c>
      <c r="D360">
        <v>1997</v>
      </c>
      <c r="E360">
        <v>1997</v>
      </c>
      <c r="F360">
        <v>1997</v>
      </c>
      <c r="G360">
        <v>1997</v>
      </c>
      <c r="H360">
        <v>1997</v>
      </c>
      <c r="I360">
        <v>1997</v>
      </c>
      <c r="J360">
        <v>1997</v>
      </c>
      <c r="K360">
        <v>1997</v>
      </c>
      <c r="L360">
        <v>1997</v>
      </c>
      <c r="M360">
        <v>1997</v>
      </c>
      <c r="N360">
        <v>1997</v>
      </c>
      <c r="O360">
        <v>1997</v>
      </c>
      <c r="P360">
        <v>1997</v>
      </c>
      <c r="Q360">
        <v>1997</v>
      </c>
      <c r="R360">
        <v>1997</v>
      </c>
      <c r="S360">
        <v>1997</v>
      </c>
      <c r="T360">
        <v>1997</v>
      </c>
      <c r="U360">
        <v>1997</v>
      </c>
      <c r="V360">
        <v>1997</v>
      </c>
      <c r="W360">
        <v>1997</v>
      </c>
      <c r="X360">
        <v>1997</v>
      </c>
      <c r="Y360">
        <v>1997</v>
      </c>
      <c r="Z360">
        <v>1997</v>
      </c>
      <c r="AA360">
        <v>1997</v>
      </c>
      <c r="AB360">
        <v>1997</v>
      </c>
      <c r="AC360">
        <v>1997</v>
      </c>
      <c r="AD360">
        <v>1997</v>
      </c>
      <c r="AE360">
        <v>1997</v>
      </c>
      <c r="AF360">
        <v>1997</v>
      </c>
      <c r="AG360">
        <v>1997</v>
      </c>
    </row>
    <row r="361" spans="1:33" x14ac:dyDescent="0.25">
      <c r="A361">
        <v>97005366</v>
      </c>
      <c r="B361" t="s">
        <v>21</v>
      </c>
      <c r="C361">
        <v>1997</v>
      </c>
      <c r="D361">
        <v>1997</v>
      </c>
      <c r="E361">
        <v>1997</v>
      </c>
      <c r="F361">
        <v>1997</v>
      </c>
      <c r="G361">
        <v>1997</v>
      </c>
      <c r="H361">
        <v>1997</v>
      </c>
      <c r="I361">
        <v>1997</v>
      </c>
      <c r="J361">
        <v>1997</v>
      </c>
      <c r="K361">
        <v>1997</v>
      </c>
      <c r="L361">
        <v>1997</v>
      </c>
      <c r="M361">
        <v>1997</v>
      </c>
      <c r="N361">
        <v>1997</v>
      </c>
      <c r="O361">
        <v>1997</v>
      </c>
      <c r="P361">
        <v>1997</v>
      </c>
      <c r="Q361">
        <v>1997</v>
      </c>
      <c r="R361">
        <v>1997</v>
      </c>
      <c r="S361">
        <v>1997</v>
      </c>
      <c r="T361">
        <v>1997</v>
      </c>
      <c r="U361">
        <v>1997</v>
      </c>
      <c r="V361">
        <v>1997</v>
      </c>
      <c r="W361">
        <v>1997</v>
      </c>
      <c r="X361">
        <v>1997</v>
      </c>
      <c r="Y361">
        <v>1997</v>
      </c>
      <c r="Z361">
        <v>1997</v>
      </c>
      <c r="AA361">
        <v>1997</v>
      </c>
      <c r="AB361">
        <v>1997</v>
      </c>
      <c r="AC361">
        <v>1997</v>
      </c>
      <c r="AD361">
        <v>1997</v>
      </c>
      <c r="AE361">
        <v>1997</v>
      </c>
      <c r="AF361">
        <v>1997</v>
      </c>
      <c r="AG361">
        <v>1997</v>
      </c>
    </row>
    <row r="362" spans="1:33" x14ac:dyDescent="0.25">
      <c r="A362">
        <v>98000595</v>
      </c>
      <c r="B362" t="s">
        <v>21</v>
      </c>
      <c r="C362">
        <v>1997</v>
      </c>
      <c r="D362">
        <v>1997</v>
      </c>
      <c r="E362">
        <v>1997</v>
      </c>
      <c r="F362">
        <v>1997</v>
      </c>
      <c r="G362">
        <v>1997</v>
      </c>
      <c r="H362">
        <v>1997</v>
      </c>
      <c r="I362">
        <v>1997</v>
      </c>
      <c r="J362">
        <v>1997</v>
      </c>
      <c r="K362">
        <v>1997</v>
      </c>
      <c r="L362">
        <v>1997</v>
      </c>
      <c r="M362">
        <v>1997</v>
      </c>
      <c r="N362">
        <v>1997</v>
      </c>
      <c r="O362">
        <v>1997</v>
      </c>
      <c r="P362">
        <v>1997</v>
      </c>
      <c r="Q362">
        <v>1997</v>
      </c>
      <c r="R362">
        <v>1997</v>
      </c>
      <c r="S362">
        <v>1997</v>
      </c>
      <c r="T362">
        <v>1997</v>
      </c>
      <c r="U362">
        <v>1997</v>
      </c>
      <c r="V362">
        <v>1997</v>
      </c>
      <c r="W362">
        <v>1997</v>
      </c>
      <c r="X362">
        <v>1997</v>
      </c>
      <c r="Y362">
        <v>1997</v>
      </c>
      <c r="Z362">
        <v>1997</v>
      </c>
      <c r="AA362">
        <v>1997</v>
      </c>
      <c r="AB362">
        <v>1997</v>
      </c>
      <c r="AC362">
        <v>1997</v>
      </c>
      <c r="AD362">
        <v>1997</v>
      </c>
      <c r="AE362">
        <v>1997</v>
      </c>
      <c r="AF362">
        <v>1997</v>
      </c>
      <c r="AG362">
        <v>1997</v>
      </c>
    </row>
    <row r="363" spans="1:33" x14ac:dyDescent="0.25">
      <c r="A363">
        <v>98002692</v>
      </c>
      <c r="B363" t="s">
        <v>21</v>
      </c>
      <c r="C363">
        <v>1998</v>
      </c>
      <c r="D363">
        <v>1998</v>
      </c>
      <c r="E363">
        <v>1998</v>
      </c>
      <c r="F363">
        <v>1998</v>
      </c>
      <c r="G363">
        <v>1998</v>
      </c>
      <c r="H363">
        <v>1998</v>
      </c>
      <c r="I363">
        <v>1998</v>
      </c>
      <c r="J363">
        <v>1998</v>
      </c>
      <c r="K363">
        <v>1998</v>
      </c>
      <c r="L363">
        <v>1998</v>
      </c>
      <c r="M363">
        <v>1998</v>
      </c>
      <c r="N363">
        <v>1998</v>
      </c>
      <c r="O363">
        <v>1998</v>
      </c>
      <c r="P363">
        <v>1998</v>
      </c>
      <c r="Q363">
        <v>1998</v>
      </c>
      <c r="R363">
        <v>1998</v>
      </c>
      <c r="S363">
        <v>1998</v>
      </c>
      <c r="T363">
        <v>1998</v>
      </c>
      <c r="U363">
        <v>1998</v>
      </c>
      <c r="V363">
        <v>1998</v>
      </c>
      <c r="W363">
        <v>1998</v>
      </c>
      <c r="X363">
        <v>1998</v>
      </c>
      <c r="Y363">
        <v>1998</v>
      </c>
      <c r="Z363">
        <v>1998</v>
      </c>
      <c r="AA363">
        <v>1998</v>
      </c>
      <c r="AB363">
        <v>1998</v>
      </c>
      <c r="AC363">
        <v>1998</v>
      </c>
      <c r="AD363">
        <v>1998</v>
      </c>
      <c r="AE363">
        <v>1998</v>
      </c>
      <c r="AF363">
        <v>1998</v>
      </c>
      <c r="AG363">
        <v>1998</v>
      </c>
    </row>
    <row r="364" spans="1:33" x14ac:dyDescent="0.25">
      <c r="A364">
        <v>98005277</v>
      </c>
      <c r="B364" t="s">
        <v>21</v>
      </c>
      <c r="C364">
        <v>1998</v>
      </c>
      <c r="D364">
        <v>1998</v>
      </c>
      <c r="E364">
        <v>1998</v>
      </c>
      <c r="F364">
        <v>1998</v>
      </c>
      <c r="G364">
        <v>1998</v>
      </c>
      <c r="H364">
        <v>1998</v>
      </c>
      <c r="I364">
        <v>1998</v>
      </c>
      <c r="J364">
        <v>1998</v>
      </c>
      <c r="K364">
        <v>1998</v>
      </c>
      <c r="L364">
        <v>1998</v>
      </c>
      <c r="M364">
        <v>1998</v>
      </c>
      <c r="N364">
        <v>1998</v>
      </c>
      <c r="O364">
        <v>1998</v>
      </c>
      <c r="P364">
        <v>1998</v>
      </c>
      <c r="Q364">
        <v>1998</v>
      </c>
      <c r="R364">
        <v>1998</v>
      </c>
      <c r="S364">
        <v>1998</v>
      </c>
      <c r="T364">
        <v>1998</v>
      </c>
      <c r="U364">
        <v>1998</v>
      </c>
      <c r="V364">
        <v>1998</v>
      </c>
      <c r="W364">
        <v>1998</v>
      </c>
      <c r="X364">
        <v>1998</v>
      </c>
      <c r="Y364">
        <v>1998</v>
      </c>
      <c r="Z364">
        <v>1998</v>
      </c>
      <c r="AA364">
        <v>1998</v>
      </c>
      <c r="AB364">
        <v>1998</v>
      </c>
      <c r="AC364">
        <v>1998</v>
      </c>
      <c r="AD364">
        <v>1998</v>
      </c>
      <c r="AE364">
        <v>1998</v>
      </c>
      <c r="AF364">
        <v>1998</v>
      </c>
      <c r="AG364">
        <v>1998</v>
      </c>
    </row>
    <row r="365" spans="1:33" x14ac:dyDescent="0.25">
      <c r="A365">
        <v>99001815</v>
      </c>
      <c r="B365" t="s">
        <v>21</v>
      </c>
      <c r="C365">
        <v>1999</v>
      </c>
      <c r="D365">
        <v>1999</v>
      </c>
      <c r="E365">
        <v>1999</v>
      </c>
      <c r="F365">
        <v>1999</v>
      </c>
      <c r="G365">
        <v>1999</v>
      </c>
      <c r="H365">
        <v>1999</v>
      </c>
      <c r="I365">
        <v>1999</v>
      </c>
      <c r="J365">
        <v>1999</v>
      </c>
      <c r="K365">
        <v>1999</v>
      </c>
      <c r="L365">
        <v>1999</v>
      </c>
      <c r="M365">
        <v>1999</v>
      </c>
      <c r="N365">
        <v>1999</v>
      </c>
      <c r="O365">
        <v>1999</v>
      </c>
      <c r="P365">
        <v>1999</v>
      </c>
      <c r="Q365">
        <v>1999</v>
      </c>
      <c r="R365">
        <v>1999</v>
      </c>
      <c r="S365">
        <v>1999</v>
      </c>
      <c r="T365">
        <v>1999</v>
      </c>
      <c r="U365">
        <v>1999</v>
      </c>
      <c r="V365">
        <v>1999</v>
      </c>
      <c r="W365">
        <v>1999</v>
      </c>
      <c r="X365">
        <v>1999</v>
      </c>
      <c r="Y365">
        <v>1999</v>
      </c>
      <c r="Z365">
        <v>1999</v>
      </c>
      <c r="AA365">
        <v>1999</v>
      </c>
      <c r="AB365">
        <v>1999</v>
      </c>
      <c r="AC365">
        <v>1999</v>
      </c>
      <c r="AD365">
        <v>1999</v>
      </c>
      <c r="AE365">
        <v>1999</v>
      </c>
      <c r="AF365">
        <v>1999</v>
      </c>
      <c r="AG365">
        <v>1999</v>
      </c>
    </row>
    <row r="366" spans="1:33" x14ac:dyDescent="0.25">
      <c r="A366">
        <v>6012361</v>
      </c>
      <c r="B366" t="s">
        <v>21</v>
      </c>
      <c r="C366">
        <v>2006</v>
      </c>
      <c r="D366">
        <v>2006</v>
      </c>
      <c r="E366">
        <v>2006</v>
      </c>
      <c r="F366">
        <v>2006</v>
      </c>
      <c r="G366">
        <v>2006</v>
      </c>
      <c r="H366">
        <v>2006</v>
      </c>
      <c r="I366">
        <v>2006</v>
      </c>
      <c r="J366">
        <v>2006</v>
      </c>
      <c r="K366">
        <v>2006</v>
      </c>
      <c r="L366">
        <v>2006</v>
      </c>
      <c r="M366">
        <v>2006</v>
      </c>
      <c r="N366">
        <v>2006</v>
      </c>
      <c r="O366">
        <v>2006</v>
      </c>
      <c r="P366">
        <v>2006</v>
      </c>
      <c r="Q366">
        <v>2006</v>
      </c>
      <c r="R366">
        <v>2006</v>
      </c>
      <c r="S366">
        <v>2006</v>
      </c>
      <c r="T366">
        <v>2006</v>
      </c>
      <c r="U366">
        <v>2006</v>
      </c>
      <c r="V366">
        <v>2006</v>
      </c>
      <c r="W366">
        <v>2006</v>
      </c>
      <c r="X366">
        <v>2006</v>
      </c>
      <c r="Y366">
        <v>2006</v>
      </c>
      <c r="Z366">
        <v>2006</v>
      </c>
      <c r="AA366">
        <v>2006</v>
      </c>
      <c r="AB366">
        <v>2006</v>
      </c>
      <c r="AC366">
        <v>2006</v>
      </c>
      <c r="AD366">
        <v>2006</v>
      </c>
      <c r="AE366">
        <v>2006</v>
      </c>
      <c r="AF366">
        <v>2006</v>
      </c>
      <c r="AG366">
        <v>2006</v>
      </c>
    </row>
    <row r="367" spans="1:33" x14ac:dyDescent="0.25">
      <c r="A367">
        <v>6015793</v>
      </c>
      <c r="B367" t="s">
        <v>21</v>
      </c>
      <c r="C367">
        <v>2006</v>
      </c>
      <c r="D367">
        <v>2006</v>
      </c>
      <c r="E367">
        <v>2006</v>
      </c>
      <c r="F367">
        <v>2006</v>
      </c>
      <c r="G367">
        <v>2006</v>
      </c>
      <c r="H367">
        <v>2006</v>
      </c>
      <c r="I367">
        <v>2006</v>
      </c>
      <c r="J367">
        <v>2006</v>
      </c>
      <c r="K367">
        <v>2006</v>
      </c>
      <c r="L367">
        <v>2006</v>
      </c>
      <c r="M367">
        <v>2006</v>
      </c>
      <c r="N367">
        <v>2006</v>
      </c>
      <c r="O367">
        <v>2006</v>
      </c>
      <c r="P367">
        <v>2006</v>
      </c>
      <c r="Q367">
        <v>2006</v>
      </c>
      <c r="R367">
        <v>2006</v>
      </c>
      <c r="S367">
        <v>2006</v>
      </c>
      <c r="T367">
        <v>2006</v>
      </c>
      <c r="U367">
        <v>2006</v>
      </c>
      <c r="V367">
        <v>2006</v>
      </c>
      <c r="W367">
        <v>2006</v>
      </c>
      <c r="X367">
        <v>2006</v>
      </c>
      <c r="Y367">
        <v>2006</v>
      </c>
      <c r="Z367">
        <v>2006</v>
      </c>
      <c r="AA367">
        <v>2006</v>
      </c>
      <c r="AB367">
        <v>2006</v>
      </c>
      <c r="AC367">
        <v>2006</v>
      </c>
      <c r="AD367">
        <v>2006</v>
      </c>
      <c r="AE367">
        <v>2006</v>
      </c>
      <c r="AF367">
        <v>2006</v>
      </c>
      <c r="AG367">
        <v>2006</v>
      </c>
    </row>
    <row r="368" spans="1:33" x14ac:dyDescent="0.25">
      <c r="A368">
        <v>6043619</v>
      </c>
      <c r="B368" t="s">
        <v>21</v>
      </c>
      <c r="C368">
        <v>2006</v>
      </c>
      <c r="D368">
        <v>2006</v>
      </c>
      <c r="E368">
        <v>2006</v>
      </c>
      <c r="F368">
        <v>2006</v>
      </c>
      <c r="G368">
        <v>2006</v>
      </c>
      <c r="H368">
        <v>2006</v>
      </c>
      <c r="I368">
        <v>2006</v>
      </c>
      <c r="J368">
        <v>2006</v>
      </c>
      <c r="K368">
        <v>2006</v>
      </c>
      <c r="L368">
        <v>2006</v>
      </c>
      <c r="M368">
        <v>2006</v>
      </c>
      <c r="N368">
        <v>2006</v>
      </c>
      <c r="O368">
        <v>2006</v>
      </c>
      <c r="P368">
        <v>2006</v>
      </c>
      <c r="Q368">
        <v>2006</v>
      </c>
      <c r="R368">
        <v>2006</v>
      </c>
      <c r="S368">
        <v>2006</v>
      </c>
      <c r="T368">
        <v>2006</v>
      </c>
      <c r="U368">
        <v>2006</v>
      </c>
      <c r="V368">
        <v>2006</v>
      </c>
      <c r="W368">
        <v>2006</v>
      </c>
      <c r="X368">
        <v>2006</v>
      </c>
      <c r="Y368">
        <v>2006</v>
      </c>
      <c r="Z368">
        <v>2006</v>
      </c>
      <c r="AA368">
        <v>2006</v>
      </c>
      <c r="AB368">
        <v>2006</v>
      </c>
      <c r="AC368">
        <v>2006</v>
      </c>
      <c r="AD368">
        <v>2006</v>
      </c>
      <c r="AE368">
        <v>2006</v>
      </c>
      <c r="AF368">
        <v>2006</v>
      </c>
      <c r="AG368">
        <v>2006</v>
      </c>
    </row>
    <row r="369" spans="1:33" x14ac:dyDescent="0.25">
      <c r="A369">
        <v>7001097</v>
      </c>
      <c r="B369" t="s">
        <v>21</v>
      </c>
      <c r="C369">
        <v>2007</v>
      </c>
      <c r="D369">
        <v>2007</v>
      </c>
      <c r="E369">
        <v>2007</v>
      </c>
      <c r="F369">
        <v>2007</v>
      </c>
      <c r="G369">
        <v>2007</v>
      </c>
      <c r="H369">
        <v>2007</v>
      </c>
      <c r="I369">
        <v>2007</v>
      </c>
      <c r="J369">
        <v>2007</v>
      </c>
      <c r="K369">
        <v>2007</v>
      </c>
      <c r="L369">
        <v>2007</v>
      </c>
      <c r="M369">
        <v>2007</v>
      </c>
      <c r="N369">
        <v>2007</v>
      </c>
      <c r="O369">
        <v>2007</v>
      </c>
      <c r="P369">
        <v>2007</v>
      </c>
      <c r="Q369">
        <v>2007</v>
      </c>
      <c r="R369">
        <v>2007</v>
      </c>
      <c r="S369">
        <v>2007</v>
      </c>
      <c r="T369">
        <v>2007</v>
      </c>
      <c r="U369">
        <v>2007</v>
      </c>
      <c r="V369">
        <v>2007</v>
      </c>
      <c r="W369">
        <v>2007</v>
      </c>
      <c r="X369">
        <v>2007</v>
      </c>
      <c r="Y369">
        <v>2007</v>
      </c>
      <c r="Z369">
        <v>2007</v>
      </c>
      <c r="AA369">
        <v>2007</v>
      </c>
      <c r="AB369">
        <v>2007</v>
      </c>
      <c r="AC369">
        <v>2007</v>
      </c>
      <c r="AD369">
        <v>2007</v>
      </c>
      <c r="AE369">
        <v>2007</v>
      </c>
      <c r="AF369">
        <v>2007</v>
      </c>
      <c r="AG369">
        <v>2007</v>
      </c>
    </row>
    <row r="370" spans="1:33" x14ac:dyDescent="0.25">
      <c r="A370">
        <v>7011435</v>
      </c>
      <c r="B370" t="s">
        <v>21</v>
      </c>
      <c r="C370">
        <v>2007</v>
      </c>
      <c r="D370">
        <v>2007</v>
      </c>
      <c r="E370">
        <v>2007</v>
      </c>
      <c r="F370">
        <v>2007</v>
      </c>
      <c r="G370">
        <v>2007</v>
      </c>
      <c r="H370">
        <v>2007</v>
      </c>
      <c r="I370">
        <v>2007</v>
      </c>
      <c r="J370">
        <v>2007</v>
      </c>
      <c r="K370">
        <v>2007</v>
      </c>
      <c r="L370">
        <v>2007</v>
      </c>
      <c r="M370">
        <v>2007</v>
      </c>
      <c r="N370">
        <v>2007</v>
      </c>
      <c r="O370">
        <v>2007</v>
      </c>
      <c r="P370">
        <v>2007</v>
      </c>
      <c r="Q370">
        <v>2007</v>
      </c>
      <c r="R370">
        <v>2007</v>
      </c>
      <c r="S370">
        <v>2007</v>
      </c>
      <c r="T370">
        <v>2007</v>
      </c>
      <c r="U370">
        <v>2007</v>
      </c>
      <c r="V370">
        <v>2007</v>
      </c>
      <c r="W370">
        <v>2007</v>
      </c>
      <c r="X370">
        <v>2007</v>
      </c>
      <c r="Y370">
        <v>2007</v>
      </c>
      <c r="Z370">
        <v>2007</v>
      </c>
      <c r="AA370">
        <v>2007</v>
      </c>
      <c r="AB370">
        <v>2007</v>
      </c>
      <c r="AC370">
        <v>2007</v>
      </c>
      <c r="AD370">
        <v>2007</v>
      </c>
      <c r="AE370">
        <v>2007</v>
      </c>
      <c r="AF370">
        <v>2007</v>
      </c>
      <c r="AG370">
        <v>2007</v>
      </c>
    </row>
    <row r="371" spans="1:33" x14ac:dyDescent="0.25">
      <c r="A371">
        <v>7045811</v>
      </c>
      <c r="B371" t="s">
        <v>21</v>
      </c>
      <c r="C371">
        <v>2007</v>
      </c>
      <c r="D371">
        <v>2007</v>
      </c>
      <c r="E371">
        <v>2007</v>
      </c>
      <c r="F371">
        <v>2007</v>
      </c>
      <c r="G371">
        <v>2007</v>
      </c>
      <c r="H371">
        <v>2007</v>
      </c>
      <c r="I371">
        <v>2007</v>
      </c>
      <c r="J371">
        <v>2007</v>
      </c>
      <c r="K371">
        <v>2007</v>
      </c>
      <c r="L371">
        <v>2007</v>
      </c>
      <c r="M371">
        <v>2007</v>
      </c>
      <c r="N371">
        <v>2007</v>
      </c>
      <c r="O371">
        <v>2007</v>
      </c>
      <c r="P371">
        <v>2007</v>
      </c>
      <c r="Q371">
        <v>2007</v>
      </c>
      <c r="R371">
        <v>2007</v>
      </c>
      <c r="S371">
        <v>2007</v>
      </c>
      <c r="T371">
        <v>2007</v>
      </c>
      <c r="U371">
        <v>2007</v>
      </c>
      <c r="V371">
        <v>2007</v>
      </c>
      <c r="W371">
        <v>2007</v>
      </c>
      <c r="X371">
        <v>2007</v>
      </c>
      <c r="Y371">
        <v>2007</v>
      </c>
      <c r="Z371">
        <v>2007</v>
      </c>
      <c r="AA371">
        <v>2007</v>
      </c>
      <c r="AB371">
        <v>2007</v>
      </c>
      <c r="AC371">
        <v>2007</v>
      </c>
      <c r="AD371">
        <v>2007</v>
      </c>
      <c r="AE371">
        <v>2007</v>
      </c>
      <c r="AF371">
        <v>2007</v>
      </c>
      <c r="AG371">
        <v>2007</v>
      </c>
    </row>
    <row r="372" spans="1:33" x14ac:dyDescent="0.25">
      <c r="A372">
        <v>7071198</v>
      </c>
      <c r="B372" t="s">
        <v>21</v>
      </c>
      <c r="C372">
        <v>2007</v>
      </c>
      <c r="D372">
        <v>2007</v>
      </c>
      <c r="E372">
        <v>2007</v>
      </c>
      <c r="F372">
        <v>2007</v>
      </c>
      <c r="G372">
        <v>2007</v>
      </c>
      <c r="H372">
        <v>2007</v>
      </c>
      <c r="I372">
        <v>2007</v>
      </c>
      <c r="J372">
        <v>2007</v>
      </c>
      <c r="K372">
        <v>2007</v>
      </c>
      <c r="L372">
        <v>2007</v>
      </c>
      <c r="M372">
        <v>2007</v>
      </c>
      <c r="N372">
        <v>2007</v>
      </c>
      <c r="O372">
        <v>2007</v>
      </c>
      <c r="P372">
        <v>2007</v>
      </c>
      <c r="Q372">
        <v>2007</v>
      </c>
      <c r="R372">
        <v>2007</v>
      </c>
      <c r="S372">
        <v>2007</v>
      </c>
      <c r="T372">
        <v>2007</v>
      </c>
      <c r="U372">
        <v>2007</v>
      </c>
      <c r="V372">
        <v>2007</v>
      </c>
      <c r="W372">
        <v>2007</v>
      </c>
      <c r="X372">
        <v>2007</v>
      </c>
      <c r="Y372">
        <v>2007</v>
      </c>
      <c r="Z372">
        <v>2007</v>
      </c>
      <c r="AA372">
        <v>2007</v>
      </c>
      <c r="AB372">
        <v>2007</v>
      </c>
      <c r="AC372">
        <v>2007</v>
      </c>
      <c r="AD372">
        <v>2007</v>
      </c>
      <c r="AE372">
        <v>2007</v>
      </c>
      <c r="AF372">
        <v>2007</v>
      </c>
      <c r="AG372">
        <v>2007</v>
      </c>
    </row>
    <row r="373" spans="1:33" x14ac:dyDescent="0.25">
      <c r="A373">
        <v>7101143</v>
      </c>
      <c r="B373" t="s">
        <v>21</v>
      </c>
      <c r="C373">
        <v>2007</v>
      </c>
      <c r="D373">
        <v>2007</v>
      </c>
      <c r="E373">
        <v>2007</v>
      </c>
      <c r="F373">
        <v>2007</v>
      </c>
      <c r="G373">
        <v>2007</v>
      </c>
      <c r="H373">
        <v>2007</v>
      </c>
      <c r="I373">
        <v>2007</v>
      </c>
      <c r="J373">
        <v>2007</v>
      </c>
      <c r="K373">
        <v>2007</v>
      </c>
      <c r="L373">
        <v>2007</v>
      </c>
      <c r="M373">
        <v>2007</v>
      </c>
      <c r="N373">
        <v>2007</v>
      </c>
      <c r="O373">
        <v>2007</v>
      </c>
      <c r="P373">
        <v>2007</v>
      </c>
      <c r="Q373">
        <v>2007</v>
      </c>
      <c r="R373">
        <v>2007</v>
      </c>
      <c r="S373">
        <v>2007</v>
      </c>
      <c r="T373">
        <v>2007</v>
      </c>
      <c r="U373">
        <v>2007</v>
      </c>
      <c r="V373">
        <v>2007</v>
      </c>
      <c r="W373">
        <v>2007</v>
      </c>
      <c r="X373">
        <v>2007</v>
      </c>
      <c r="Y373">
        <v>2007</v>
      </c>
      <c r="Z373">
        <v>2007</v>
      </c>
      <c r="AA373">
        <v>2007</v>
      </c>
      <c r="AB373">
        <v>2007</v>
      </c>
      <c r="AC373">
        <v>2007</v>
      </c>
      <c r="AD373">
        <v>2007</v>
      </c>
      <c r="AE373">
        <v>2007</v>
      </c>
      <c r="AF373">
        <v>2007</v>
      </c>
      <c r="AG373">
        <v>2007</v>
      </c>
    </row>
    <row r="374" spans="1:33" x14ac:dyDescent="0.25">
      <c r="A374">
        <v>8073350</v>
      </c>
      <c r="B374" t="s">
        <v>21</v>
      </c>
      <c r="C374">
        <v>2008</v>
      </c>
      <c r="D374">
        <v>2008</v>
      </c>
      <c r="E374">
        <v>2008</v>
      </c>
      <c r="F374">
        <v>2008</v>
      </c>
      <c r="G374">
        <v>2008</v>
      </c>
      <c r="H374">
        <v>2008</v>
      </c>
      <c r="I374">
        <v>2008</v>
      </c>
      <c r="J374">
        <v>2008</v>
      </c>
      <c r="K374">
        <v>2008</v>
      </c>
      <c r="L374">
        <v>2008</v>
      </c>
      <c r="M374">
        <v>2008</v>
      </c>
      <c r="N374">
        <v>2008</v>
      </c>
      <c r="O374">
        <v>2008</v>
      </c>
      <c r="P374">
        <v>2008</v>
      </c>
      <c r="Q374">
        <v>2008</v>
      </c>
      <c r="R374">
        <v>2008</v>
      </c>
      <c r="S374">
        <v>2008</v>
      </c>
      <c r="T374">
        <v>2008</v>
      </c>
      <c r="U374">
        <v>2008</v>
      </c>
      <c r="V374">
        <v>2008</v>
      </c>
      <c r="W374">
        <v>2008</v>
      </c>
      <c r="X374">
        <v>2008</v>
      </c>
      <c r="Y374">
        <v>2008</v>
      </c>
      <c r="Z374">
        <v>2008</v>
      </c>
      <c r="AA374">
        <v>2008</v>
      </c>
      <c r="AB374">
        <v>2008</v>
      </c>
      <c r="AC374">
        <v>2008</v>
      </c>
      <c r="AD374">
        <v>2008</v>
      </c>
      <c r="AE374">
        <v>2008</v>
      </c>
      <c r="AF374">
        <v>2008</v>
      </c>
      <c r="AG374">
        <v>2008</v>
      </c>
    </row>
    <row r="375" spans="1:33" x14ac:dyDescent="0.25">
      <c r="A375">
        <v>8073645</v>
      </c>
      <c r="B375" t="s">
        <v>21</v>
      </c>
      <c r="C375">
        <v>2008</v>
      </c>
      <c r="D375">
        <v>2008</v>
      </c>
      <c r="E375">
        <v>2008</v>
      </c>
      <c r="F375">
        <v>2008</v>
      </c>
      <c r="G375">
        <v>2008</v>
      </c>
      <c r="H375">
        <v>2008</v>
      </c>
      <c r="I375">
        <v>2008</v>
      </c>
      <c r="J375">
        <v>2008</v>
      </c>
      <c r="K375">
        <v>2008</v>
      </c>
      <c r="L375">
        <v>2008</v>
      </c>
      <c r="M375">
        <v>2008</v>
      </c>
      <c r="N375">
        <v>2008</v>
      </c>
      <c r="O375">
        <v>2008</v>
      </c>
      <c r="P375">
        <v>2008</v>
      </c>
      <c r="Q375">
        <v>2008</v>
      </c>
      <c r="R375">
        <v>2008</v>
      </c>
      <c r="S375">
        <v>2008</v>
      </c>
      <c r="T375">
        <v>2008</v>
      </c>
      <c r="U375">
        <v>2008</v>
      </c>
      <c r="V375">
        <v>2008</v>
      </c>
      <c r="W375">
        <v>2008</v>
      </c>
      <c r="X375">
        <v>2008</v>
      </c>
      <c r="Y375">
        <v>2008</v>
      </c>
      <c r="Z375">
        <v>2008</v>
      </c>
      <c r="AA375">
        <v>2008</v>
      </c>
      <c r="AB375">
        <v>2008</v>
      </c>
      <c r="AC375">
        <v>2008</v>
      </c>
      <c r="AD375">
        <v>2008</v>
      </c>
      <c r="AE375">
        <v>2008</v>
      </c>
      <c r="AF375">
        <v>2008</v>
      </c>
      <c r="AG375">
        <v>2008</v>
      </c>
    </row>
    <row r="376" spans="1:33" x14ac:dyDescent="0.25">
      <c r="A376" s="6">
        <v>8089666</v>
      </c>
      <c r="B376" t="s">
        <v>21</v>
      </c>
      <c r="C376">
        <v>2008</v>
      </c>
      <c r="D376">
        <v>2008</v>
      </c>
      <c r="E376">
        <v>2008</v>
      </c>
      <c r="F376">
        <v>2008</v>
      </c>
      <c r="G376">
        <v>2008</v>
      </c>
      <c r="H376">
        <v>2008</v>
      </c>
      <c r="I376">
        <v>2008</v>
      </c>
      <c r="J376">
        <v>2008</v>
      </c>
      <c r="K376">
        <v>2008</v>
      </c>
      <c r="L376">
        <v>2008</v>
      </c>
      <c r="M376">
        <v>2008</v>
      </c>
      <c r="N376">
        <v>2008</v>
      </c>
      <c r="O376">
        <v>2008</v>
      </c>
      <c r="P376">
        <v>2008</v>
      </c>
      <c r="Q376">
        <v>2008</v>
      </c>
      <c r="R376">
        <v>2008</v>
      </c>
      <c r="S376">
        <v>2008</v>
      </c>
      <c r="T376">
        <v>2008</v>
      </c>
      <c r="U376">
        <v>2008</v>
      </c>
      <c r="V376">
        <v>2008</v>
      </c>
      <c r="W376">
        <v>2008</v>
      </c>
      <c r="X376">
        <v>2008</v>
      </c>
      <c r="Y376">
        <v>2008</v>
      </c>
      <c r="Z376">
        <v>2008</v>
      </c>
      <c r="AA376">
        <v>2008</v>
      </c>
      <c r="AB376">
        <v>2008</v>
      </c>
      <c r="AC376">
        <v>2008</v>
      </c>
      <c r="AD376">
        <v>2008</v>
      </c>
      <c r="AE376">
        <v>2008</v>
      </c>
      <c r="AF376">
        <v>2008</v>
      </c>
      <c r="AG376">
        <v>2008</v>
      </c>
    </row>
    <row r="377" spans="1:33" x14ac:dyDescent="0.25">
      <c r="A377">
        <v>8103536</v>
      </c>
      <c r="B377" t="s">
        <v>21</v>
      </c>
      <c r="C377">
        <v>2008</v>
      </c>
      <c r="D377">
        <v>2008</v>
      </c>
      <c r="E377">
        <v>2008</v>
      </c>
      <c r="F377">
        <v>2008</v>
      </c>
      <c r="G377">
        <v>2008</v>
      </c>
      <c r="H377">
        <v>2008</v>
      </c>
      <c r="I377">
        <v>2008</v>
      </c>
      <c r="J377">
        <v>2008</v>
      </c>
      <c r="K377">
        <v>2008</v>
      </c>
      <c r="L377">
        <v>2008</v>
      </c>
      <c r="M377">
        <v>2008</v>
      </c>
      <c r="N377">
        <v>2008</v>
      </c>
      <c r="O377">
        <v>2008</v>
      </c>
      <c r="P377">
        <v>2008</v>
      </c>
      <c r="Q377">
        <v>2008</v>
      </c>
      <c r="R377">
        <v>2008</v>
      </c>
      <c r="S377">
        <v>2008</v>
      </c>
      <c r="T377">
        <v>2008</v>
      </c>
      <c r="U377">
        <v>2008</v>
      </c>
      <c r="V377">
        <v>2008</v>
      </c>
      <c r="W377">
        <v>2008</v>
      </c>
      <c r="X377">
        <v>2008</v>
      </c>
      <c r="Y377">
        <v>2008</v>
      </c>
      <c r="Z377">
        <v>2008</v>
      </c>
      <c r="AA377">
        <v>2008</v>
      </c>
      <c r="AB377">
        <v>2008</v>
      </c>
      <c r="AC377">
        <v>2008</v>
      </c>
      <c r="AD377">
        <v>2008</v>
      </c>
      <c r="AE377">
        <v>2008</v>
      </c>
      <c r="AF377">
        <v>2008</v>
      </c>
      <c r="AG377">
        <v>2008</v>
      </c>
    </row>
    <row r="378" spans="1:33" x14ac:dyDescent="0.25">
      <c r="A378" t="s">
        <v>22</v>
      </c>
      <c r="B378" t="s">
        <v>21</v>
      </c>
      <c r="C378">
        <v>2008</v>
      </c>
      <c r="D378">
        <v>2008</v>
      </c>
      <c r="E378">
        <v>2008</v>
      </c>
      <c r="F378">
        <v>2008</v>
      </c>
      <c r="G378">
        <v>2008</v>
      </c>
      <c r="H378">
        <v>2008</v>
      </c>
      <c r="I378">
        <v>2008</v>
      </c>
      <c r="J378">
        <v>2008</v>
      </c>
      <c r="K378">
        <v>2008</v>
      </c>
      <c r="L378">
        <v>2008</v>
      </c>
      <c r="M378">
        <v>2008</v>
      </c>
      <c r="N378">
        <v>2008</v>
      </c>
      <c r="O378">
        <v>2008</v>
      </c>
      <c r="P378">
        <v>2008</v>
      </c>
      <c r="Q378">
        <v>2008</v>
      </c>
      <c r="R378">
        <v>2008</v>
      </c>
      <c r="S378">
        <v>2008</v>
      </c>
      <c r="T378">
        <v>2008</v>
      </c>
      <c r="U378">
        <v>2008</v>
      </c>
      <c r="V378">
        <v>2008</v>
      </c>
      <c r="W378">
        <v>2008</v>
      </c>
      <c r="X378">
        <v>2008</v>
      </c>
      <c r="Y378">
        <v>2008</v>
      </c>
      <c r="Z378">
        <v>2008</v>
      </c>
      <c r="AA378">
        <v>2008</v>
      </c>
      <c r="AB378">
        <v>2008</v>
      </c>
      <c r="AC378">
        <v>2008</v>
      </c>
      <c r="AD378">
        <v>2008</v>
      </c>
      <c r="AE378">
        <v>2008</v>
      </c>
      <c r="AF378">
        <v>2008</v>
      </c>
      <c r="AG378">
        <v>2008</v>
      </c>
    </row>
    <row r="379" spans="1:33" x14ac:dyDescent="0.25">
      <c r="A379">
        <v>9003267</v>
      </c>
      <c r="B379" t="s">
        <v>21</v>
      </c>
      <c r="C379">
        <v>2008</v>
      </c>
      <c r="D379">
        <v>2008</v>
      </c>
      <c r="E379">
        <v>2008</v>
      </c>
      <c r="F379">
        <v>2008</v>
      </c>
      <c r="G379">
        <v>2008</v>
      </c>
      <c r="H379">
        <v>2008</v>
      </c>
      <c r="I379">
        <v>2008</v>
      </c>
      <c r="J379">
        <v>2008</v>
      </c>
      <c r="K379">
        <v>2008</v>
      </c>
      <c r="L379">
        <v>2008</v>
      </c>
      <c r="M379">
        <v>2008</v>
      </c>
      <c r="N379">
        <v>2008</v>
      </c>
      <c r="O379">
        <v>2008</v>
      </c>
      <c r="P379">
        <v>2008</v>
      </c>
      <c r="Q379">
        <v>2008</v>
      </c>
      <c r="R379">
        <v>2008</v>
      </c>
      <c r="S379">
        <v>2008</v>
      </c>
      <c r="T379">
        <v>2008</v>
      </c>
      <c r="U379">
        <v>2008</v>
      </c>
      <c r="V379">
        <v>2008</v>
      </c>
      <c r="W379">
        <v>2008</v>
      </c>
      <c r="X379">
        <v>2008</v>
      </c>
      <c r="Y379">
        <v>2008</v>
      </c>
      <c r="Z379">
        <v>2008</v>
      </c>
      <c r="AA379">
        <v>2008</v>
      </c>
      <c r="AB379">
        <v>2008</v>
      </c>
      <c r="AC379">
        <v>2008</v>
      </c>
      <c r="AD379">
        <v>2008</v>
      </c>
      <c r="AE379">
        <v>2008</v>
      </c>
      <c r="AF379">
        <v>2008</v>
      </c>
      <c r="AG379">
        <v>2008</v>
      </c>
    </row>
    <row r="380" spans="1:33" x14ac:dyDescent="0.25">
      <c r="A380">
        <v>9036964</v>
      </c>
      <c r="B380" t="s">
        <v>21</v>
      </c>
      <c r="C380">
        <v>2009</v>
      </c>
      <c r="D380">
        <v>2009</v>
      </c>
      <c r="E380">
        <v>2009</v>
      </c>
      <c r="F380">
        <v>2009</v>
      </c>
      <c r="G380">
        <v>2009</v>
      </c>
      <c r="H380">
        <v>2009</v>
      </c>
      <c r="I380">
        <v>2009</v>
      </c>
      <c r="J380">
        <v>2009</v>
      </c>
      <c r="K380">
        <v>2009</v>
      </c>
      <c r="L380">
        <v>2009</v>
      </c>
      <c r="M380">
        <v>2009</v>
      </c>
      <c r="N380">
        <v>2009</v>
      </c>
      <c r="O380">
        <v>2009</v>
      </c>
      <c r="P380">
        <v>2009</v>
      </c>
      <c r="Q380">
        <v>2009</v>
      </c>
      <c r="R380">
        <v>2009</v>
      </c>
      <c r="S380">
        <v>2009</v>
      </c>
      <c r="T380">
        <v>2009</v>
      </c>
      <c r="U380">
        <v>2009</v>
      </c>
      <c r="V380">
        <v>2009</v>
      </c>
      <c r="W380">
        <v>2009</v>
      </c>
      <c r="X380">
        <v>2009</v>
      </c>
      <c r="Y380">
        <v>2009</v>
      </c>
      <c r="Z380">
        <v>2009</v>
      </c>
      <c r="AA380">
        <v>2009</v>
      </c>
      <c r="AB380">
        <v>2009</v>
      </c>
      <c r="AC380">
        <v>2009</v>
      </c>
      <c r="AD380">
        <v>2009</v>
      </c>
      <c r="AE380">
        <v>2009</v>
      </c>
      <c r="AF380">
        <v>2009</v>
      </c>
      <c r="AG380">
        <v>2009</v>
      </c>
    </row>
    <row r="381" spans="1:33" x14ac:dyDescent="0.25">
      <c r="A381">
        <v>9090287</v>
      </c>
      <c r="B381" t="s">
        <v>21</v>
      </c>
      <c r="C381">
        <v>2009</v>
      </c>
      <c r="D381">
        <v>2009</v>
      </c>
      <c r="E381">
        <v>2009</v>
      </c>
      <c r="F381">
        <v>2009</v>
      </c>
      <c r="G381">
        <v>2009</v>
      </c>
      <c r="H381">
        <v>2009</v>
      </c>
      <c r="I381">
        <v>2009</v>
      </c>
      <c r="J381">
        <v>2009</v>
      </c>
      <c r="K381">
        <v>2009</v>
      </c>
      <c r="L381">
        <v>2009</v>
      </c>
      <c r="M381">
        <v>2009</v>
      </c>
      <c r="N381">
        <v>2009</v>
      </c>
      <c r="O381">
        <v>2009</v>
      </c>
      <c r="P381">
        <v>2009</v>
      </c>
      <c r="Q381">
        <v>2009</v>
      </c>
      <c r="R381">
        <v>2009</v>
      </c>
      <c r="S381">
        <v>2009</v>
      </c>
      <c r="T381">
        <v>2009</v>
      </c>
      <c r="U381">
        <v>2009</v>
      </c>
      <c r="V381">
        <v>2009</v>
      </c>
      <c r="W381">
        <v>2009</v>
      </c>
      <c r="X381">
        <v>2009</v>
      </c>
      <c r="Y381">
        <v>2009</v>
      </c>
      <c r="Z381">
        <v>2009</v>
      </c>
      <c r="AA381">
        <v>2009</v>
      </c>
      <c r="AB381">
        <v>2009</v>
      </c>
      <c r="AC381">
        <v>2009</v>
      </c>
      <c r="AD381">
        <v>2009</v>
      </c>
      <c r="AE381">
        <v>2009</v>
      </c>
      <c r="AF381">
        <v>2009</v>
      </c>
      <c r="AG381">
        <v>2009</v>
      </c>
    </row>
    <row r="382" spans="1:33" x14ac:dyDescent="0.25">
      <c r="A382">
        <v>9095148</v>
      </c>
      <c r="B382" t="s">
        <v>21</v>
      </c>
      <c r="C382">
        <v>2009</v>
      </c>
      <c r="D382">
        <v>2009</v>
      </c>
      <c r="E382">
        <v>2009</v>
      </c>
      <c r="F382">
        <v>2009</v>
      </c>
      <c r="G382">
        <v>2009</v>
      </c>
      <c r="H382">
        <v>2009</v>
      </c>
      <c r="I382">
        <v>2009</v>
      </c>
      <c r="J382">
        <v>2009</v>
      </c>
      <c r="K382">
        <v>2009</v>
      </c>
      <c r="L382">
        <v>2009</v>
      </c>
      <c r="M382">
        <v>2009</v>
      </c>
      <c r="N382">
        <v>2009</v>
      </c>
      <c r="O382">
        <v>2009</v>
      </c>
      <c r="P382">
        <v>2009</v>
      </c>
      <c r="Q382">
        <v>2009</v>
      </c>
      <c r="R382">
        <v>2009</v>
      </c>
      <c r="S382">
        <v>2009</v>
      </c>
      <c r="T382">
        <v>2009</v>
      </c>
      <c r="U382">
        <v>2009</v>
      </c>
      <c r="V382">
        <v>2009</v>
      </c>
      <c r="W382">
        <v>2009</v>
      </c>
      <c r="X382">
        <v>2009</v>
      </c>
      <c r="Y382">
        <v>2009</v>
      </c>
      <c r="Z382">
        <v>2009</v>
      </c>
      <c r="AA382">
        <v>2009</v>
      </c>
      <c r="AB382">
        <v>2009</v>
      </c>
      <c r="AC382">
        <v>2009</v>
      </c>
      <c r="AD382">
        <v>2009</v>
      </c>
      <c r="AE382">
        <v>2009</v>
      </c>
      <c r="AF382">
        <v>2009</v>
      </c>
      <c r="AG382">
        <v>2009</v>
      </c>
    </row>
    <row r="383" spans="1:33" x14ac:dyDescent="0.25">
      <c r="A383">
        <v>9104979</v>
      </c>
      <c r="B383" t="s">
        <v>21</v>
      </c>
      <c r="C383">
        <v>2009</v>
      </c>
      <c r="D383">
        <v>2009</v>
      </c>
      <c r="E383">
        <v>2009</v>
      </c>
      <c r="F383">
        <v>2009</v>
      </c>
      <c r="G383">
        <v>2009</v>
      </c>
      <c r="H383">
        <v>2009</v>
      </c>
      <c r="I383">
        <v>2009</v>
      </c>
      <c r="J383">
        <v>2009</v>
      </c>
      <c r="K383">
        <v>2009</v>
      </c>
      <c r="L383">
        <v>2009</v>
      </c>
      <c r="M383">
        <v>2009</v>
      </c>
      <c r="N383">
        <v>2009</v>
      </c>
      <c r="O383">
        <v>2009</v>
      </c>
      <c r="P383">
        <v>2009</v>
      </c>
      <c r="Q383">
        <v>2009</v>
      </c>
      <c r="R383">
        <v>2009</v>
      </c>
      <c r="S383">
        <v>2009</v>
      </c>
      <c r="T383">
        <v>2009</v>
      </c>
      <c r="U383">
        <v>2009</v>
      </c>
      <c r="V383">
        <v>2009</v>
      </c>
      <c r="W383">
        <v>2009</v>
      </c>
      <c r="X383">
        <v>2009</v>
      </c>
      <c r="Y383">
        <v>2009</v>
      </c>
      <c r="Z383">
        <v>2009</v>
      </c>
      <c r="AA383">
        <v>2009</v>
      </c>
      <c r="AB383">
        <v>2009</v>
      </c>
      <c r="AC383">
        <v>2009</v>
      </c>
      <c r="AD383">
        <v>2009</v>
      </c>
      <c r="AE383">
        <v>2009</v>
      </c>
      <c r="AF383">
        <v>2009</v>
      </c>
      <c r="AG383">
        <v>2009</v>
      </c>
    </row>
    <row r="384" spans="1:33" x14ac:dyDescent="0.25">
      <c r="A384">
        <v>9139514</v>
      </c>
      <c r="B384" t="s">
        <v>21</v>
      </c>
      <c r="C384">
        <v>2009</v>
      </c>
      <c r="D384">
        <v>2009</v>
      </c>
      <c r="E384">
        <v>2009</v>
      </c>
      <c r="F384">
        <v>2009</v>
      </c>
      <c r="G384">
        <v>2009</v>
      </c>
      <c r="H384">
        <v>2009</v>
      </c>
      <c r="I384">
        <v>2009</v>
      </c>
      <c r="J384">
        <v>2009</v>
      </c>
      <c r="K384">
        <v>2009</v>
      </c>
      <c r="L384">
        <v>2009</v>
      </c>
      <c r="M384">
        <v>2009</v>
      </c>
      <c r="N384">
        <v>2009</v>
      </c>
      <c r="O384">
        <v>2009</v>
      </c>
      <c r="P384">
        <v>2009</v>
      </c>
      <c r="Q384">
        <v>2009</v>
      </c>
      <c r="R384">
        <v>2009</v>
      </c>
      <c r="S384">
        <v>2009</v>
      </c>
      <c r="T384">
        <v>2009</v>
      </c>
      <c r="U384">
        <v>2009</v>
      </c>
      <c r="V384">
        <v>2009</v>
      </c>
      <c r="W384">
        <v>2009</v>
      </c>
      <c r="X384">
        <v>2009</v>
      </c>
      <c r="Y384">
        <v>2009</v>
      </c>
      <c r="Z384">
        <v>2009</v>
      </c>
      <c r="AA384">
        <v>2009</v>
      </c>
      <c r="AB384">
        <v>2009</v>
      </c>
      <c r="AC384">
        <v>2009</v>
      </c>
      <c r="AD384">
        <v>2009</v>
      </c>
      <c r="AE384">
        <v>2009</v>
      </c>
      <c r="AF384">
        <v>2009</v>
      </c>
      <c r="AG384">
        <v>2009</v>
      </c>
    </row>
    <row r="385" spans="1:33" x14ac:dyDescent="0.25">
      <c r="A385">
        <v>10020659</v>
      </c>
      <c r="B385" t="s">
        <v>21</v>
      </c>
      <c r="C385">
        <v>2010</v>
      </c>
      <c r="D385">
        <v>2010</v>
      </c>
      <c r="E385">
        <v>2010</v>
      </c>
      <c r="F385">
        <v>2010</v>
      </c>
      <c r="G385">
        <v>2010</v>
      </c>
      <c r="H385">
        <v>2010</v>
      </c>
      <c r="I385">
        <v>2010</v>
      </c>
      <c r="J385">
        <v>2010</v>
      </c>
      <c r="K385">
        <v>2010</v>
      </c>
      <c r="L385">
        <v>2010</v>
      </c>
      <c r="M385">
        <v>2010</v>
      </c>
      <c r="N385">
        <v>2010</v>
      </c>
      <c r="O385">
        <v>2010</v>
      </c>
      <c r="P385">
        <v>2010</v>
      </c>
      <c r="Q385">
        <v>2010</v>
      </c>
      <c r="R385">
        <v>2010</v>
      </c>
      <c r="S385">
        <v>2010</v>
      </c>
      <c r="T385">
        <v>2010</v>
      </c>
      <c r="U385">
        <v>2010</v>
      </c>
      <c r="V385">
        <v>2010</v>
      </c>
      <c r="W385">
        <v>2010</v>
      </c>
      <c r="X385">
        <v>2010</v>
      </c>
      <c r="Y385">
        <v>2010</v>
      </c>
      <c r="Z385">
        <v>2010</v>
      </c>
      <c r="AA385">
        <v>2010</v>
      </c>
      <c r="AB385">
        <v>2010</v>
      </c>
      <c r="AC385">
        <v>2010</v>
      </c>
      <c r="AD385">
        <v>2010</v>
      </c>
      <c r="AE385">
        <v>2010</v>
      </c>
      <c r="AF385">
        <v>2010</v>
      </c>
      <c r="AG385">
        <v>2010</v>
      </c>
    </row>
    <row r="386" spans="1:33" x14ac:dyDescent="0.25">
      <c r="A386">
        <v>10025902</v>
      </c>
      <c r="B386" t="s">
        <v>21</v>
      </c>
      <c r="C386">
        <v>2010</v>
      </c>
      <c r="D386">
        <v>2010</v>
      </c>
      <c r="E386">
        <v>2010</v>
      </c>
      <c r="F386">
        <v>2010</v>
      </c>
      <c r="G386">
        <v>2010</v>
      </c>
      <c r="H386">
        <v>2010</v>
      </c>
      <c r="I386">
        <v>2010</v>
      </c>
      <c r="J386">
        <v>2010</v>
      </c>
      <c r="K386">
        <v>2010</v>
      </c>
      <c r="L386">
        <v>2010</v>
      </c>
      <c r="M386">
        <v>2010</v>
      </c>
      <c r="N386">
        <v>2010</v>
      </c>
      <c r="O386">
        <v>2010</v>
      </c>
      <c r="P386">
        <v>2010</v>
      </c>
      <c r="Q386">
        <v>2010</v>
      </c>
      <c r="R386">
        <v>2010</v>
      </c>
      <c r="S386">
        <v>2010</v>
      </c>
      <c r="T386">
        <v>2010</v>
      </c>
      <c r="U386">
        <v>2010</v>
      </c>
      <c r="V386">
        <v>2010</v>
      </c>
      <c r="W386">
        <v>2010</v>
      </c>
      <c r="X386">
        <v>2010</v>
      </c>
      <c r="Y386">
        <v>2010</v>
      </c>
      <c r="Z386">
        <v>2010</v>
      </c>
      <c r="AA386">
        <v>2010</v>
      </c>
      <c r="AB386">
        <v>2010</v>
      </c>
      <c r="AC386">
        <v>2010</v>
      </c>
      <c r="AD386">
        <v>2010</v>
      </c>
      <c r="AE386">
        <v>2010</v>
      </c>
      <c r="AF386">
        <v>2010</v>
      </c>
      <c r="AG386">
        <v>2010</v>
      </c>
    </row>
    <row r="387" spans="1:33" x14ac:dyDescent="0.25">
      <c r="A387">
        <v>10027654</v>
      </c>
      <c r="B387" t="s">
        <v>21</v>
      </c>
      <c r="C387">
        <v>2010</v>
      </c>
      <c r="D387">
        <v>2010</v>
      </c>
      <c r="E387">
        <v>2010</v>
      </c>
      <c r="F387">
        <v>2010</v>
      </c>
      <c r="G387">
        <v>2010</v>
      </c>
      <c r="H387">
        <v>2010</v>
      </c>
      <c r="I387">
        <v>2010</v>
      </c>
      <c r="J387">
        <v>2010</v>
      </c>
      <c r="K387">
        <v>2010</v>
      </c>
      <c r="L387">
        <v>2010</v>
      </c>
      <c r="M387">
        <v>2010</v>
      </c>
      <c r="N387">
        <v>2010</v>
      </c>
      <c r="O387">
        <v>2010</v>
      </c>
      <c r="P387">
        <v>2010</v>
      </c>
      <c r="Q387">
        <v>2010</v>
      </c>
      <c r="R387">
        <v>2010</v>
      </c>
      <c r="S387">
        <v>2010</v>
      </c>
      <c r="T387">
        <v>2010</v>
      </c>
      <c r="U387">
        <v>2010</v>
      </c>
      <c r="V387">
        <v>2010</v>
      </c>
      <c r="W387">
        <v>2010</v>
      </c>
      <c r="X387">
        <v>2010</v>
      </c>
      <c r="Y387">
        <v>2010</v>
      </c>
      <c r="Z387">
        <v>2010</v>
      </c>
      <c r="AA387">
        <v>2010</v>
      </c>
      <c r="AB387">
        <v>2010</v>
      </c>
      <c r="AC387">
        <v>2010</v>
      </c>
      <c r="AD387">
        <v>2010</v>
      </c>
      <c r="AE387">
        <v>2010</v>
      </c>
      <c r="AF387">
        <v>2010</v>
      </c>
      <c r="AG387">
        <v>2010</v>
      </c>
    </row>
    <row r="388" spans="1:33" x14ac:dyDescent="0.25">
      <c r="A388">
        <v>10084485</v>
      </c>
      <c r="B388" t="s">
        <v>21</v>
      </c>
      <c r="C388">
        <v>2010</v>
      </c>
      <c r="D388">
        <v>2010</v>
      </c>
      <c r="E388">
        <v>2010</v>
      </c>
      <c r="F388">
        <v>2010</v>
      </c>
      <c r="G388">
        <v>2010</v>
      </c>
      <c r="H388">
        <v>2010</v>
      </c>
      <c r="I388">
        <v>2010</v>
      </c>
      <c r="J388">
        <v>2010</v>
      </c>
      <c r="K388">
        <v>2010</v>
      </c>
      <c r="L388">
        <v>2010</v>
      </c>
      <c r="M388">
        <v>2010</v>
      </c>
      <c r="N388">
        <v>2010</v>
      </c>
      <c r="O388">
        <v>2010</v>
      </c>
      <c r="P388">
        <v>2010</v>
      </c>
      <c r="Q388">
        <v>2010</v>
      </c>
      <c r="R388">
        <v>2010</v>
      </c>
      <c r="S388">
        <v>2010</v>
      </c>
      <c r="T388">
        <v>2010</v>
      </c>
      <c r="U388">
        <v>2010</v>
      </c>
      <c r="V388">
        <v>2010</v>
      </c>
      <c r="W388">
        <v>2010</v>
      </c>
      <c r="X388">
        <v>2010</v>
      </c>
      <c r="Y388">
        <v>2010</v>
      </c>
      <c r="Z388">
        <v>2010</v>
      </c>
      <c r="AA388">
        <v>2010</v>
      </c>
      <c r="AB388">
        <v>2010</v>
      </c>
      <c r="AC388">
        <v>2010</v>
      </c>
      <c r="AD388">
        <v>2010</v>
      </c>
      <c r="AE388">
        <v>2010</v>
      </c>
      <c r="AF388">
        <v>2010</v>
      </c>
      <c r="AG388">
        <v>2010</v>
      </c>
    </row>
    <row r="389" spans="1:33" x14ac:dyDescent="0.25">
      <c r="A389">
        <v>10098420</v>
      </c>
      <c r="B389" t="s">
        <v>21</v>
      </c>
      <c r="C389">
        <v>2010</v>
      </c>
      <c r="D389">
        <v>2010</v>
      </c>
      <c r="E389">
        <v>2010</v>
      </c>
      <c r="F389">
        <v>2010</v>
      </c>
      <c r="G389">
        <v>2010</v>
      </c>
      <c r="H389">
        <v>2010</v>
      </c>
      <c r="I389">
        <v>2010</v>
      </c>
      <c r="J389">
        <v>2010</v>
      </c>
      <c r="K389">
        <v>2010</v>
      </c>
      <c r="L389">
        <v>2010</v>
      </c>
      <c r="M389">
        <v>2010</v>
      </c>
      <c r="N389">
        <v>2010</v>
      </c>
      <c r="O389">
        <v>2010</v>
      </c>
      <c r="P389">
        <v>2010</v>
      </c>
      <c r="Q389">
        <v>2010</v>
      </c>
      <c r="R389">
        <v>2010</v>
      </c>
      <c r="S389">
        <v>2010</v>
      </c>
      <c r="T389">
        <v>2010</v>
      </c>
      <c r="U389">
        <v>2010</v>
      </c>
      <c r="V389">
        <v>2010</v>
      </c>
      <c r="W389">
        <v>2010</v>
      </c>
      <c r="X389">
        <v>2010</v>
      </c>
      <c r="Y389">
        <v>2010</v>
      </c>
      <c r="Z389">
        <v>2010</v>
      </c>
      <c r="AA389">
        <v>2010</v>
      </c>
      <c r="AB389">
        <v>2010</v>
      </c>
      <c r="AC389">
        <v>2010</v>
      </c>
      <c r="AD389">
        <v>2010</v>
      </c>
      <c r="AE389">
        <v>2010</v>
      </c>
      <c r="AF389">
        <v>2010</v>
      </c>
      <c r="AG389">
        <v>2010</v>
      </c>
    </row>
    <row r="390" spans="1:33" x14ac:dyDescent="0.25">
      <c r="A390">
        <v>10129565</v>
      </c>
      <c r="B390" t="s">
        <v>21</v>
      </c>
      <c r="C390">
        <v>2010</v>
      </c>
      <c r="D390">
        <v>2010</v>
      </c>
      <c r="E390">
        <v>2010</v>
      </c>
      <c r="F390">
        <v>2010</v>
      </c>
      <c r="G390">
        <v>2010</v>
      </c>
      <c r="H390">
        <v>2010</v>
      </c>
      <c r="I390">
        <v>2010</v>
      </c>
      <c r="J390">
        <v>2010</v>
      </c>
      <c r="K390">
        <v>2010</v>
      </c>
      <c r="L390">
        <v>2010</v>
      </c>
      <c r="M390">
        <v>2010</v>
      </c>
      <c r="N390">
        <v>2010</v>
      </c>
      <c r="O390">
        <v>2010</v>
      </c>
      <c r="P390">
        <v>2010</v>
      </c>
      <c r="Q390">
        <v>2010</v>
      </c>
      <c r="R390">
        <v>2010</v>
      </c>
      <c r="S390">
        <v>2010</v>
      </c>
      <c r="T390">
        <v>2010</v>
      </c>
      <c r="U390">
        <v>2010</v>
      </c>
      <c r="V390">
        <v>2010</v>
      </c>
      <c r="W390">
        <v>2010</v>
      </c>
      <c r="X390">
        <v>2010</v>
      </c>
      <c r="Y390">
        <v>2010</v>
      </c>
      <c r="Z390">
        <v>2010</v>
      </c>
      <c r="AA390">
        <v>2010</v>
      </c>
      <c r="AB390">
        <v>2010</v>
      </c>
      <c r="AC390">
        <v>2010</v>
      </c>
      <c r="AD390">
        <v>2010</v>
      </c>
      <c r="AE390">
        <v>2010</v>
      </c>
      <c r="AF390">
        <v>2010</v>
      </c>
      <c r="AG390">
        <v>2010</v>
      </c>
    </row>
    <row r="391" spans="1:33" x14ac:dyDescent="0.25">
      <c r="A391">
        <v>10146828</v>
      </c>
      <c r="B391" t="s">
        <v>21</v>
      </c>
      <c r="C391">
        <v>2010</v>
      </c>
      <c r="D391">
        <v>2010</v>
      </c>
      <c r="E391">
        <v>2010</v>
      </c>
      <c r="F391">
        <v>2010</v>
      </c>
      <c r="G391">
        <v>2010</v>
      </c>
      <c r="H391">
        <v>2010</v>
      </c>
      <c r="I391">
        <v>2010</v>
      </c>
      <c r="J391">
        <v>2010</v>
      </c>
      <c r="K391">
        <v>2010</v>
      </c>
      <c r="L391">
        <v>2010</v>
      </c>
      <c r="M391">
        <v>2010</v>
      </c>
      <c r="N391">
        <v>2010</v>
      </c>
      <c r="O391">
        <v>2010</v>
      </c>
      <c r="P391">
        <v>2010</v>
      </c>
      <c r="Q391">
        <v>2010</v>
      </c>
      <c r="R391">
        <v>2010</v>
      </c>
      <c r="S391">
        <v>2010</v>
      </c>
      <c r="T391">
        <v>2010</v>
      </c>
      <c r="U391">
        <v>2010</v>
      </c>
      <c r="V391">
        <v>2010</v>
      </c>
      <c r="W391">
        <v>2010</v>
      </c>
      <c r="X391">
        <v>2010</v>
      </c>
      <c r="Y391">
        <v>2010</v>
      </c>
      <c r="Z391">
        <v>2010</v>
      </c>
      <c r="AA391">
        <v>2010</v>
      </c>
      <c r="AB391">
        <v>2010</v>
      </c>
      <c r="AC391">
        <v>2010</v>
      </c>
      <c r="AD391">
        <v>2010</v>
      </c>
      <c r="AE391">
        <v>2010</v>
      </c>
      <c r="AF391">
        <v>2010</v>
      </c>
      <c r="AG391">
        <v>2010</v>
      </c>
    </row>
    <row r="392" spans="1:33" x14ac:dyDescent="0.25">
      <c r="A392">
        <v>10163776</v>
      </c>
      <c r="B392" t="s">
        <v>21</v>
      </c>
      <c r="C392">
        <v>2010</v>
      </c>
      <c r="D392">
        <v>2010</v>
      </c>
      <c r="E392">
        <v>2010</v>
      </c>
      <c r="F392">
        <v>2010</v>
      </c>
      <c r="G392">
        <v>2010</v>
      </c>
      <c r="H392">
        <v>2010</v>
      </c>
      <c r="I392">
        <v>2010</v>
      </c>
      <c r="J392">
        <v>2010</v>
      </c>
      <c r="K392">
        <v>2010</v>
      </c>
      <c r="L392">
        <v>2010</v>
      </c>
      <c r="M392">
        <v>2010</v>
      </c>
      <c r="N392">
        <v>2010</v>
      </c>
      <c r="O392">
        <v>2010</v>
      </c>
      <c r="P392">
        <v>2010</v>
      </c>
      <c r="Q392">
        <v>2010</v>
      </c>
      <c r="R392">
        <v>2010</v>
      </c>
      <c r="S392">
        <v>2010</v>
      </c>
      <c r="T392">
        <v>2010</v>
      </c>
      <c r="U392">
        <v>2010</v>
      </c>
      <c r="V392">
        <v>2010</v>
      </c>
      <c r="W392">
        <v>2010</v>
      </c>
      <c r="X392">
        <v>2010</v>
      </c>
      <c r="Y392">
        <v>2010</v>
      </c>
      <c r="Z392">
        <v>2010</v>
      </c>
      <c r="AA392">
        <v>2010</v>
      </c>
      <c r="AB392">
        <v>2010</v>
      </c>
      <c r="AC392">
        <v>2010</v>
      </c>
      <c r="AD392">
        <v>2010</v>
      </c>
      <c r="AE392">
        <v>2010</v>
      </c>
      <c r="AF392">
        <v>2010</v>
      </c>
      <c r="AG392">
        <v>2010</v>
      </c>
    </row>
    <row r="393" spans="1:33" x14ac:dyDescent="0.25">
      <c r="A393">
        <v>10173664</v>
      </c>
      <c r="B393" t="s">
        <v>21</v>
      </c>
      <c r="C393">
        <v>2010</v>
      </c>
      <c r="D393">
        <v>2010</v>
      </c>
      <c r="E393">
        <v>2010</v>
      </c>
      <c r="F393">
        <v>2010</v>
      </c>
      <c r="G393">
        <v>2010</v>
      </c>
      <c r="H393">
        <v>2010</v>
      </c>
      <c r="I393">
        <v>2010</v>
      </c>
      <c r="J393">
        <v>2010</v>
      </c>
      <c r="K393">
        <v>2010</v>
      </c>
      <c r="L393">
        <v>2010</v>
      </c>
      <c r="M393">
        <v>2010</v>
      </c>
      <c r="N393">
        <v>2010</v>
      </c>
      <c r="O393">
        <v>2010</v>
      </c>
      <c r="P393">
        <v>2010</v>
      </c>
      <c r="Q393">
        <v>2010</v>
      </c>
      <c r="R393">
        <v>2010</v>
      </c>
      <c r="S393">
        <v>2010</v>
      </c>
      <c r="T393">
        <v>2010</v>
      </c>
      <c r="U393">
        <v>2010</v>
      </c>
      <c r="V393">
        <v>2010</v>
      </c>
      <c r="W393">
        <v>2010</v>
      </c>
      <c r="X393">
        <v>2010</v>
      </c>
      <c r="Y393">
        <v>2010</v>
      </c>
      <c r="Z393">
        <v>2010</v>
      </c>
      <c r="AA393">
        <v>2010</v>
      </c>
      <c r="AB393">
        <v>2010</v>
      </c>
      <c r="AC393">
        <v>2010</v>
      </c>
      <c r="AD393">
        <v>2010</v>
      </c>
      <c r="AE393">
        <v>2010</v>
      </c>
      <c r="AF393">
        <v>2010</v>
      </c>
      <c r="AG393">
        <v>2010</v>
      </c>
    </row>
    <row r="394" spans="1:33" x14ac:dyDescent="0.25">
      <c r="A394">
        <v>11000454</v>
      </c>
      <c r="B394" t="s">
        <v>21</v>
      </c>
      <c r="C394">
        <v>2010</v>
      </c>
      <c r="D394">
        <v>2010</v>
      </c>
      <c r="E394">
        <v>2010</v>
      </c>
      <c r="F394">
        <v>2010</v>
      </c>
      <c r="G394">
        <v>2010</v>
      </c>
      <c r="H394">
        <v>2010</v>
      </c>
      <c r="I394">
        <v>2010</v>
      </c>
      <c r="J394">
        <v>2010</v>
      </c>
      <c r="K394">
        <v>2010</v>
      </c>
      <c r="L394">
        <v>2010</v>
      </c>
      <c r="M394">
        <v>2010</v>
      </c>
      <c r="N394">
        <v>2010</v>
      </c>
      <c r="O394">
        <v>2010</v>
      </c>
      <c r="P394">
        <v>2010</v>
      </c>
      <c r="Q394">
        <v>2010</v>
      </c>
      <c r="R394">
        <v>2010</v>
      </c>
      <c r="S394">
        <v>2010</v>
      </c>
      <c r="T394">
        <v>2010</v>
      </c>
      <c r="U394">
        <v>2010</v>
      </c>
      <c r="V394">
        <v>2010</v>
      </c>
      <c r="W394">
        <v>2010</v>
      </c>
      <c r="X394">
        <v>2010</v>
      </c>
      <c r="Y394">
        <v>2010</v>
      </c>
      <c r="Z394">
        <v>2010</v>
      </c>
      <c r="AA394">
        <v>2010</v>
      </c>
      <c r="AB394">
        <v>2010</v>
      </c>
      <c r="AC394">
        <v>2010</v>
      </c>
      <c r="AD394">
        <v>2010</v>
      </c>
      <c r="AE394">
        <v>2010</v>
      </c>
      <c r="AF394">
        <v>2010</v>
      </c>
      <c r="AG394">
        <v>2010</v>
      </c>
    </row>
    <row r="395" spans="1:33" x14ac:dyDescent="0.25">
      <c r="A395">
        <v>11083498</v>
      </c>
      <c r="B395" t="s">
        <v>21</v>
      </c>
      <c r="C395">
        <v>2011</v>
      </c>
      <c r="D395">
        <v>2011</v>
      </c>
      <c r="E395">
        <v>2011</v>
      </c>
      <c r="F395">
        <v>2011</v>
      </c>
      <c r="G395">
        <v>2011</v>
      </c>
      <c r="H395">
        <v>2011</v>
      </c>
      <c r="I395">
        <v>2011</v>
      </c>
      <c r="J395">
        <v>2011</v>
      </c>
      <c r="K395">
        <v>2011</v>
      </c>
      <c r="L395">
        <v>2011</v>
      </c>
      <c r="M395">
        <v>2011</v>
      </c>
      <c r="N395">
        <v>2011</v>
      </c>
      <c r="O395">
        <v>2011</v>
      </c>
      <c r="P395">
        <v>2011</v>
      </c>
      <c r="Q395">
        <v>2011</v>
      </c>
      <c r="R395">
        <v>2011</v>
      </c>
      <c r="S395">
        <v>2011</v>
      </c>
      <c r="T395">
        <v>2011</v>
      </c>
      <c r="U395">
        <v>2011</v>
      </c>
      <c r="V395">
        <v>2011</v>
      </c>
      <c r="W395">
        <v>2011</v>
      </c>
      <c r="X395">
        <v>2011</v>
      </c>
      <c r="Y395">
        <v>2011</v>
      </c>
      <c r="Z395">
        <v>2011</v>
      </c>
      <c r="AA395">
        <v>2011</v>
      </c>
      <c r="AB395">
        <v>2011</v>
      </c>
      <c r="AC395">
        <v>2011</v>
      </c>
      <c r="AD395">
        <v>2011</v>
      </c>
      <c r="AE395">
        <v>2011</v>
      </c>
      <c r="AF395">
        <v>2011</v>
      </c>
      <c r="AG395">
        <v>2011</v>
      </c>
    </row>
    <row r="396" spans="1:33" x14ac:dyDescent="0.25">
      <c r="A396">
        <v>11138447</v>
      </c>
      <c r="B396" t="s">
        <v>21</v>
      </c>
      <c r="C396">
        <v>2010</v>
      </c>
      <c r="D396">
        <v>2010</v>
      </c>
      <c r="E396">
        <v>2010</v>
      </c>
      <c r="F396">
        <v>2010</v>
      </c>
      <c r="G396">
        <v>2010</v>
      </c>
      <c r="H396">
        <v>2010</v>
      </c>
      <c r="I396">
        <v>2010</v>
      </c>
      <c r="J396">
        <v>2010</v>
      </c>
      <c r="K396">
        <v>2010</v>
      </c>
      <c r="L396">
        <v>2010</v>
      </c>
      <c r="M396">
        <v>2010</v>
      </c>
      <c r="N396">
        <v>2010</v>
      </c>
      <c r="O396">
        <v>2010</v>
      </c>
      <c r="P396">
        <v>2010</v>
      </c>
      <c r="Q396">
        <v>2010</v>
      </c>
      <c r="R396">
        <v>2010</v>
      </c>
      <c r="S396">
        <v>2010</v>
      </c>
      <c r="T396">
        <v>2010</v>
      </c>
      <c r="U396">
        <v>2010</v>
      </c>
      <c r="V396">
        <v>2010</v>
      </c>
      <c r="W396">
        <v>2010</v>
      </c>
      <c r="X396">
        <v>2010</v>
      </c>
      <c r="Y396">
        <v>2010</v>
      </c>
      <c r="Z396">
        <v>2010</v>
      </c>
      <c r="AA396">
        <v>2010</v>
      </c>
      <c r="AB396">
        <v>2010</v>
      </c>
      <c r="AC396">
        <v>2010</v>
      </c>
      <c r="AD396">
        <v>2010</v>
      </c>
      <c r="AE396">
        <v>2010</v>
      </c>
      <c r="AF396">
        <v>2010</v>
      </c>
      <c r="AG396">
        <v>2010</v>
      </c>
    </row>
    <row r="397" spans="1:33" x14ac:dyDescent="0.25">
      <c r="A397">
        <v>11144001</v>
      </c>
      <c r="B397" t="s">
        <v>21</v>
      </c>
      <c r="C397">
        <v>2011</v>
      </c>
      <c r="D397">
        <v>2011</v>
      </c>
      <c r="E397">
        <v>2011</v>
      </c>
      <c r="F397">
        <v>2011</v>
      </c>
      <c r="G397">
        <v>2011</v>
      </c>
      <c r="H397">
        <v>2011</v>
      </c>
      <c r="I397">
        <v>2011</v>
      </c>
      <c r="J397">
        <v>2011</v>
      </c>
      <c r="K397">
        <v>2011</v>
      </c>
      <c r="L397">
        <v>2011</v>
      </c>
      <c r="M397">
        <v>2011</v>
      </c>
      <c r="N397">
        <v>2011</v>
      </c>
      <c r="O397">
        <v>2011</v>
      </c>
      <c r="P397">
        <v>2011</v>
      </c>
      <c r="Q397">
        <v>2011</v>
      </c>
      <c r="R397">
        <v>2011</v>
      </c>
      <c r="S397">
        <v>2011</v>
      </c>
      <c r="T397">
        <v>2011</v>
      </c>
      <c r="U397">
        <v>2011</v>
      </c>
      <c r="V397">
        <v>2011</v>
      </c>
      <c r="W397">
        <v>2011</v>
      </c>
      <c r="X397">
        <v>2011</v>
      </c>
      <c r="Y397">
        <v>2011</v>
      </c>
      <c r="Z397">
        <v>2011</v>
      </c>
      <c r="AA397">
        <v>2011</v>
      </c>
      <c r="AB397">
        <v>2011</v>
      </c>
      <c r="AC397">
        <v>2011</v>
      </c>
      <c r="AD397">
        <v>2011</v>
      </c>
      <c r="AE397">
        <v>2011</v>
      </c>
      <c r="AF397">
        <v>2011</v>
      </c>
      <c r="AG397">
        <v>2011</v>
      </c>
    </row>
    <row r="398" spans="1:33" x14ac:dyDescent="0.25">
      <c r="A398" t="s">
        <v>23</v>
      </c>
      <c r="B398" t="s">
        <v>21</v>
      </c>
      <c r="C398">
        <v>2011</v>
      </c>
      <c r="D398">
        <v>2011</v>
      </c>
      <c r="E398">
        <v>2011</v>
      </c>
      <c r="F398">
        <v>2011</v>
      </c>
      <c r="G398">
        <v>2011</v>
      </c>
      <c r="H398">
        <v>2011</v>
      </c>
      <c r="I398">
        <v>2011</v>
      </c>
      <c r="J398">
        <v>2011</v>
      </c>
      <c r="K398">
        <v>2011</v>
      </c>
      <c r="L398">
        <v>2011</v>
      </c>
      <c r="M398">
        <v>2011</v>
      </c>
      <c r="N398">
        <v>2011</v>
      </c>
      <c r="O398">
        <v>2011</v>
      </c>
      <c r="P398">
        <v>2011</v>
      </c>
      <c r="Q398">
        <v>2011</v>
      </c>
      <c r="R398">
        <v>2011</v>
      </c>
      <c r="S398">
        <v>2011</v>
      </c>
      <c r="T398">
        <v>2011</v>
      </c>
      <c r="U398">
        <v>2011</v>
      </c>
      <c r="V398">
        <v>2011</v>
      </c>
      <c r="W398">
        <v>2011</v>
      </c>
      <c r="X398">
        <v>2011</v>
      </c>
      <c r="Y398">
        <v>2011</v>
      </c>
      <c r="Z398">
        <v>2011</v>
      </c>
      <c r="AA398">
        <v>2011</v>
      </c>
      <c r="AB398">
        <v>2011</v>
      </c>
      <c r="AC398">
        <v>2011</v>
      </c>
      <c r="AD398">
        <v>2011</v>
      </c>
      <c r="AE398">
        <v>2011</v>
      </c>
      <c r="AF398">
        <v>2011</v>
      </c>
      <c r="AG398">
        <v>2011</v>
      </c>
    </row>
    <row r="399" spans="1:33" x14ac:dyDescent="0.25">
      <c r="A399" t="s">
        <v>24</v>
      </c>
      <c r="B399" t="s">
        <v>21</v>
      </c>
      <c r="C399">
        <v>2011</v>
      </c>
      <c r="D399">
        <v>2011</v>
      </c>
      <c r="E399">
        <v>2011</v>
      </c>
      <c r="F399">
        <v>2011</v>
      </c>
      <c r="G399">
        <v>2011</v>
      </c>
      <c r="H399">
        <v>2011</v>
      </c>
      <c r="I399">
        <v>2011</v>
      </c>
      <c r="J399">
        <v>2011</v>
      </c>
      <c r="K399">
        <v>2011</v>
      </c>
      <c r="L399">
        <v>2011</v>
      </c>
      <c r="M399">
        <v>2011</v>
      </c>
      <c r="N399">
        <v>2011</v>
      </c>
      <c r="O399">
        <v>2011</v>
      </c>
      <c r="P399">
        <v>2011</v>
      </c>
      <c r="Q399">
        <v>2011</v>
      </c>
      <c r="R399">
        <v>2011</v>
      </c>
      <c r="S399">
        <v>2011</v>
      </c>
      <c r="T399">
        <v>2011</v>
      </c>
      <c r="U399">
        <v>2011</v>
      </c>
      <c r="V399">
        <v>2011</v>
      </c>
      <c r="W399">
        <v>2011</v>
      </c>
      <c r="X399">
        <v>2011</v>
      </c>
      <c r="Y399">
        <v>2011</v>
      </c>
      <c r="Z399">
        <v>2011</v>
      </c>
      <c r="AA399">
        <v>2011</v>
      </c>
      <c r="AB399">
        <v>2011</v>
      </c>
      <c r="AC399">
        <v>2011</v>
      </c>
      <c r="AD399">
        <v>2011</v>
      </c>
      <c r="AE399">
        <v>2011</v>
      </c>
      <c r="AF399">
        <v>2011</v>
      </c>
      <c r="AG399">
        <v>2011</v>
      </c>
    </row>
    <row r="400" spans="1:33" x14ac:dyDescent="0.25">
      <c r="A400">
        <v>12021531</v>
      </c>
      <c r="B400" t="s">
        <v>21</v>
      </c>
      <c r="C400">
        <v>2012</v>
      </c>
      <c r="D400">
        <v>2012</v>
      </c>
      <c r="E400">
        <v>2012</v>
      </c>
      <c r="F400">
        <v>2012</v>
      </c>
      <c r="G400">
        <v>2012</v>
      </c>
      <c r="H400">
        <v>2012</v>
      </c>
      <c r="I400">
        <v>2012</v>
      </c>
      <c r="J400">
        <v>2012</v>
      </c>
      <c r="K400">
        <v>2012</v>
      </c>
      <c r="L400">
        <v>2012</v>
      </c>
      <c r="M400">
        <v>2012</v>
      </c>
      <c r="N400">
        <v>2012</v>
      </c>
      <c r="O400">
        <v>2012</v>
      </c>
      <c r="P400">
        <v>2012</v>
      </c>
      <c r="Q400">
        <v>2012</v>
      </c>
      <c r="R400">
        <v>2012</v>
      </c>
      <c r="S400">
        <v>2012</v>
      </c>
      <c r="T400">
        <v>2012</v>
      </c>
      <c r="U400">
        <v>2012</v>
      </c>
      <c r="V400">
        <v>2012</v>
      </c>
      <c r="W400">
        <v>2012</v>
      </c>
      <c r="X400">
        <v>2012</v>
      </c>
      <c r="Y400">
        <v>2012</v>
      </c>
      <c r="Z400">
        <v>2012</v>
      </c>
      <c r="AA400">
        <v>2012</v>
      </c>
      <c r="AB400">
        <v>2012</v>
      </c>
      <c r="AC400">
        <v>2012</v>
      </c>
      <c r="AD400">
        <v>2012</v>
      </c>
      <c r="AE400">
        <v>2012</v>
      </c>
      <c r="AF400">
        <v>2012</v>
      </c>
      <c r="AG400">
        <v>2012</v>
      </c>
    </row>
    <row r="401" spans="1:33" x14ac:dyDescent="0.25">
      <c r="A401">
        <v>12185514</v>
      </c>
      <c r="B401" t="s">
        <v>21</v>
      </c>
      <c r="C401">
        <v>2012</v>
      </c>
      <c r="D401">
        <v>2012</v>
      </c>
      <c r="E401">
        <v>2012</v>
      </c>
      <c r="F401">
        <v>2012</v>
      </c>
      <c r="G401">
        <v>2012</v>
      </c>
      <c r="H401">
        <v>2012</v>
      </c>
      <c r="I401">
        <v>2012</v>
      </c>
      <c r="J401">
        <v>2012</v>
      </c>
      <c r="K401">
        <v>2012</v>
      </c>
      <c r="L401">
        <v>2012</v>
      </c>
      <c r="M401">
        <v>2012</v>
      </c>
      <c r="N401">
        <v>2012</v>
      </c>
      <c r="O401">
        <v>2012</v>
      </c>
      <c r="P401">
        <v>2012</v>
      </c>
      <c r="Q401">
        <v>2012</v>
      </c>
      <c r="R401">
        <v>2012</v>
      </c>
      <c r="S401">
        <v>2012</v>
      </c>
      <c r="T401">
        <v>2012</v>
      </c>
      <c r="U401">
        <v>2012</v>
      </c>
      <c r="V401">
        <v>2012</v>
      </c>
      <c r="W401">
        <v>2012</v>
      </c>
      <c r="X401">
        <v>2012</v>
      </c>
      <c r="Y401">
        <v>2012</v>
      </c>
      <c r="Z401">
        <v>2012</v>
      </c>
      <c r="AA401">
        <v>2012</v>
      </c>
      <c r="AB401">
        <v>2012</v>
      </c>
      <c r="AC401">
        <v>2012</v>
      </c>
      <c r="AD401">
        <v>2012</v>
      </c>
      <c r="AE401">
        <v>2012</v>
      </c>
      <c r="AF401">
        <v>2012</v>
      </c>
      <c r="AG401">
        <v>2012</v>
      </c>
    </row>
    <row r="402" spans="1:33" x14ac:dyDescent="0.25">
      <c r="A402">
        <v>12202633</v>
      </c>
      <c r="B402" t="s">
        <v>21</v>
      </c>
      <c r="C402">
        <v>2012</v>
      </c>
      <c r="D402">
        <v>2012</v>
      </c>
      <c r="E402">
        <v>2012</v>
      </c>
      <c r="F402">
        <v>2012</v>
      </c>
      <c r="G402">
        <v>2012</v>
      </c>
      <c r="H402">
        <v>2012</v>
      </c>
      <c r="I402">
        <v>2012</v>
      </c>
      <c r="J402">
        <v>2012</v>
      </c>
      <c r="K402">
        <v>2012</v>
      </c>
      <c r="L402">
        <v>2012</v>
      </c>
      <c r="M402">
        <v>2012</v>
      </c>
      <c r="N402">
        <v>2012</v>
      </c>
      <c r="O402">
        <v>2012</v>
      </c>
      <c r="P402">
        <v>2012</v>
      </c>
      <c r="Q402">
        <v>2012</v>
      </c>
      <c r="R402">
        <v>2012</v>
      </c>
      <c r="S402">
        <v>2012</v>
      </c>
      <c r="T402">
        <v>2012</v>
      </c>
      <c r="U402">
        <v>2012</v>
      </c>
      <c r="V402">
        <v>2012</v>
      </c>
      <c r="W402">
        <v>2012</v>
      </c>
      <c r="X402">
        <v>2012</v>
      </c>
      <c r="Y402">
        <v>2012</v>
      </c>
      <c r="Z402">
        <v>2012</v>
      </c>
      <c r="AA402">
        <v>2012</v>
      </c>
      <c r="AB402">
        <v>2012</v>
      </c>
      <c r="AC402">
        <v>2012</v>
      </c>
      <c r="AD402">
        <v>2012</v>
      </c>
      <c r="AE402">
        <v>2012</v>
      </c>
      <c r="AF402">
        <v>2012</v>
      </c>
      <c r="AG402">
        <v>2012</v>
      </c>
    </row>
    <row r="403" spans="1:33" x14ac:dyDescent="0.25">
      <c r="A403">
        <v>12325258</v>
      </c>
      <c r="B403" t="s">
        <v>21</v>
      </c>
      <c r="C403">
        <v>2012</v>
      </c>
      <c r="D403">
        <v>2012</v>
      </c>
      <c r="E403">
        <v>2012</v>
      </c>
      <c r="F403">
        <v>2012</v>
      </c>
      <c r="G403">
        <v>2012</v>
      </c>
      <c r="H403">
        <v>2012</v>
      </c>
      <c r="I403">
        <v>2012</v>
      </c>
      <c r="J403">
        <v>2012</v>
      </c>
      <c r="K403">
        <v>2012</v>
      </c>
      <c r="L403">
        <v>2012</v>
      </c>
      <c r="M403">
        <v>2012</v>
      </c>
      <c r="N403">
        <v>2012</v>
      </c>
      <c r="O403">
        <v>2012</v>
      </c>
      <c r="P403">
        <v>2012</v>
      </c>
      <c r="Q403">
        <v>2012</v>
      </c>
      <c r="R403">
        <v>2012</v>
      </c>
      <c r="S403">
        <v>2012</v>
      </c>
      <c r="T403">
        <v>2012</v>
      </c>
      <c r="U403">
        <v>2012</v>
      </c>
      <c r="V403">
        <v>2012</v>
      </c>
      <c r="W403">
        <v>2012</v>
      </c>
      <c r="X403">
        <v>2012</v>
      </c>
      <c r="Y403">
        <v>2012</v>
      </c>
      <c r="Z403">
        <v>2012</v>
      </c>
      <c r="AA403">
        <v>2012</v>
      </c>
      <c r="AB403">
        <v>2012</v>
      </c>
      <c r="AC403">
        <v>2012</v>
      </c>
      <c r="AD403">
        <v>2012</v>
      </c>
      <c r="AE403">
        <v>2012</v>
      </c>
      <c r="AF403">
        <v>2012</v>
      </c>
      <c r="AG403">
        <v>2012</v>
      </c>
    </row>
    <row r="404" spans="1:33" x14ac:dyDescent="0.25">
      <c r="A404">
        <v>5018677</v>
      </c>
      <c r="B404" t="s">
        <v>21</v>
      </c>
      <c r="C404">
        <v>2005</v>
      </c>
      <c r="D404">
        <v>2005</v>
      </c>
      <c r="E404">
        <v>2005</v>
      </c>
      <c r="F404">
        <v>2005</v>
      </c>
      <c r="G404">
        <v>2005</v>
      </c>
      <c r="H404">
        <v>2005</v>
      </c>
      <c r="I404">
        <v>2005</v>
      </c>
      <c r="J404">
        <v>2005</v>
      </c>
      <c r="K404">
        <v>2005</v>
      </c>
      <c r="L404">
        <v>2005</v>
      </c>
      <c r="M404">
        <v>2005</v>
      </c>
      <c r="N404">
        <v>2005</v>
      </c>
      <c r="O404">
        <v>2005</v>
      </c>
      <c r="P404">
        <v>2005</v>
      </c>
      <c r="Q404">
        <v>2005</v>
      </c>
      <c r="R404">
        <v>2005</v>
      </c>
      <c r="S404">
        <v>2005</v>
      </c>
      <c r="T404">
        <v>2005</v>
      </c>
      <c r="U404">
        <v>2005</v>
      </c>
      <c r="V404">
        <v>2005</v>
      </c>
      <c r="W404">
        <v>2005</v>
      </c>
      <c r="X404">
        <v>2005</v>
      </c>
      <c r="Y404">
        <v>2005</v>
      </c>
      <c r="Z404">
        <v>2005</v>
      </c>
      <c r="AA404">
        <v>2005</v>
      </c>
      <c r="AB404">
        <v>2005</v>
      </c>
      <c r="AC404">
        <v>2005</v>
      </c>
      <c r="AD404">
        <v>2005</v>
      </c>
      <c r="AE404">
        <v>2005</v>
      </c>
      <c r="AF404">
        <v>2005</v>
      </c>
      <c r="AG404">
        <v>2005</v>
      </c>
    </row>
    <row r="405" spans="1:33" x14ac:dyDescent="0.25">
      <c r="A405">
        <v>11243521</v>
      </c>
      <c r="B405" t="s">
        <v>21</v>
      </c>
      <c r="C405">
        <v>2011</v>
      </c>
      <c r="D405">
        <v>2011</v>
      </c>
      <c r="E405">
        <v>2011</v>
      </c>
      <c r="F405">
        <v>2011</v>
      </c>
      <c r="G405">
        <v>2011</v>
      </c>
      <c r="H405">
        <v>2011</v>
      </c>
      <c r="I405">
        <v>2011</v>
      </c>
      <c r="J405">
        <v>2011</v>
      </c>
      <c r="K405">
        <v>2011</v>
      </c>
      <c r="L405">
        <v>2011</v>
      </c>
      <c r="M405">
        <v>2011</v>
      </c>
      <c r="N405">
        <v>2011</v>
      </c>
      <c r="O405">
        <v>2011</v>
      </c>
      <c r="P405">
        <v>2011</v>
      </c>
      <c r="Q405">
        <v>2011</v>
      </c>
      <c r="R405">
        <v>2011</v>
      </c>
      <c r="S405">
        <v>2011</v>
      </c>
      <c r="T405">
        <v>2011</v>
      </c>
      <c r="U405">
        <v>2011</v>
      </c>
      <c r="V405">
        <v>2011</v>
      </c>
      <c r="W405">
        <v>2011</v>
      </c>
      <c r="X405">
        <v>2011</v>
      </c>
      <c r="Y405">
        <v>2011</v>
      </c>
      <c r="Z405">
        <v>2011</v>
      </c>
      <c r="AA405">
        <v>2011</v>
      </c>
      <c r="AB405">
        <v>2011</v>
      </c>
      <c r="AC405">
        <v>2011</v>
      </c>
      <c r="AD405">
        <v>2011</v>
      </c>
      <c r="AE405">
        <v>2011</v>
      </c>
      <c r="AF405">
        <v>2011</v>
      </c>
      <c r="AG405">
        <v>2011</v>
      </c>
    </row>
    <row r="406" spans="1:33" x14ac:dyDescent="0.25">
      <c r="A406" s="5">
        <v>2008127</v>
      </c>
      <c r="B406" t="s">
        <v>21</v>
      </c>
      <c r="C406">
        <v>2002</v>
      </c>
      <c r="D406">
        <v>2002</v>
      </c>
      <c r="E406">
        <v>2002</v>
      </c>
      <c r="F406">
        <v>2002</v>
      </c>
      <c r="G406">
        <v>2002</v>
      </c>
      <c r="H406">
        <v>2002</v>
      </c>
      <c r="I406">
        <v>2002</v>
      </c>
      <c r="J406">
        <v>2002</v>
      </c>
      <c r="K406">
        <v>2002</v>
      </c>
      <c r="L406">
        <v>2002</v>
      </c>
      <c r="M406">
        <v>2002</v>
      </c>
      <c r="N406">
        <v>2002</v>
      </c>
      <c r="O406">
        <v>2002</v>
      </c>
      <c r="P406">
        <v>2002</v>
      </c>
      <c r="Q406">
        <v>2002</v>
      </c>
      <c r="R406">
        <v>2002</v>
      </c>
      <c r="S406">
        <v>2002</v>
      </c>
      <c r="T406">
        <v>2002</v>
      </c>
      <c r="U406">
        <v>2002</v>
      </c>
      <c r="V406">
        <v>2002</v>
      </c>
      <c r="W406">
        <v>2002</v>
      </c>
      <c r="X406">
        <v>2002</v>
      </c>
      <c r="Y406">
        <v>2002</v>
      </c>
      <c r="Z406">
        <v>2002</v>
      </c>
      <c r="AA406">
        <v>2002</v>
      </c>
      <c r="AB406">
        <v>2002</v>
      </c>
      <c r="AC406">
        <v>2002</v>
      </c>
      <c r="AD406">
        <v>2002</v>
      </c>
      <c r="AE406">
        <v>2002</v>
      </c>
      <c r="AF406">
        <v>2002</v>
      </c>
      <c r="AG406">
        <v>2002</v>
      </c>
    </row>
    <row r="407" spans="1:33" x14ac:dyDescent="0.25">
      <c r="A407" s="5">
        <v>6081681</v>
      </c>
      <c r="B407" t="s">
        <v>21</v>
      </c>
      <c r="C407">
        <v>2005</v>
      </c>
      <c r="D407">
        <v>2005</v>
      </c>
      <c r="E407">
        <v>2005</v>
      </c>
      <c r="F407">
        <v>2005</v>
      </c>
      <c r="G407">
        <v>2005</v>
      </c>
      <c r="H407">
        <v>2005</v>
      </c>
      <c r="I407">
        <v>2005</v>
      </c>
      <c r="J407">
        <v>2005</v>
      </c>
      <c r="K407">
        <v>2005</v>
      </c>
      <c r="L407">
        <v>2005</v>
      </c>
      <c r="M407">
        <v>2005</v>
      </c>
      <c r="N407">
        <v>2005</v>
      </c>
      <c r="O407">
        <v>2005</v>
      </c>
      <c r="P407">
        <v>2005</v>
      </c>
      <c r="Q407">
        <v>2005</v>
      </c>
      <c r="R407">
        <v>2005</v>
      </c>
      <c r="S407">
        <v>2005</v>
      </c>
      <c r="T407">
        <v>2005</v>
      </c>
      <c r="U407">
        <v>2005</v>
      </c>
      <c r="V407">
        <v>2005</v>
      </c>
      <c r="W407">
        <v>2005</v>
      </c>
      <c r="X407">
        <v>2005</v>
      </c>
      <c r="Y407">
        <v>2005</v>
      </c>
      <c r="Z407">
        <v>2005</v>
      </c>
      <c r="AA407">
        <v>2005</v>
      </c>
      <c r="AB407">
        <v>2005</v>
      </c>
      <c r="AC407">
        <v>2005</v>
      </c>
      <c r="AD407">
        <v>2005</v>
      </c>
      <c r="AE407">
        <v>2005</v>
      </c>
      <c r="AF407">
        <v>2005</v>
      </c>
      <c r="AG407">
        <v>2005</v>
      </c>
    </row>
    <row r="408" spans="1:33" x14ac:dyDescent="0.25">
      <c r="A408" s="7"/>
    </row>
    <row r="409" spans="1:33" x14ac:dyDescent="0.25">
      <c r="A409" s="7"/>
    </row>
    <row r="410" spans="1:33" x14ac:dyDescent="0.25">
      <c r="A410" s="7"/>
    </row>
    <row r="411" spans="1:33" x14ac:dyDescent="0.25">
      <c r="A411" s="7"/>
    </row>
    <row r="412" spans="1:33" x14ac:dyDescent="0.25">
      <c r="A412" s="7"/>
    </row>
    <row r="420" spans="1:2" x14ac:dyDescent="0.25">
      <c r="A420" s="4"/>
      <c r="B420" s="4"/>
    </row>
    <row r="423" spans="1:2" x14ac:dyDescent="0.25">
      <c r="A423" s="7"/>
    </row>
    <row r="429" spans="1:2" x14ac:dyDescent="0.25">
      <c r="A429" s="8"/>
    </row>
    <row r="467" spans="1:1" x14ac:dyDescent="0.25">
      <c r="A467" s="7"/>
    </row>
    <row r="468" spans="1:1" x14ac:dyDescent="0.25">
      <c r="A468" s="7"/>
    </row>
    <row r="469" spans="1:1" x14ac:dyDescent="0.25">
      <c r="A469" s="7"/>
    </row>
    <row r="470" spans="1:1" x14ac:dyDescent="0.25">
      <c r="A470" s="7"/>
    </row>
    <row r="471" spans="1:1" x14ac:dyDescent="0.25">
      <c r="A471" s="7"/>
    </row>
    <row r="472" spans="1:1" x14ac:dyDescent="0.25">
      <c r="A472" s="7"/>
    </row>
    <row r="473" spans="1:1" x14ac:dyDescent="0.25">
      <c r="A473" s="7"/>
    </row>
    <row r="474" spans="1:1" x14ac:dyDescent="0.25">
      <c r="A474" s="7"/>
    </row>
    <row r="475" spans="1:1" x14ac:dyDescent="0.25">
      <c r="A475" s="7"/>
    </row>
    <row r="476" spans="1:1" x14ac:dyDescent="0.25">
      <c r="A476" s="7"/>
    </row>
    <row r="477" spans="1:1" x14ac:dyDescent="0.25">
      <c r="A477" s="7"/>
    </row>
    <row r="478" spans="1:1" x14ac:dyDescent="0.25">
      <c r="A478" s="7"/>
    </row>
    <row r="479" spans="1:1" x14ac:dyDescent="0.25">
      <c r="A479" s="7"/>
    </row>
    <row r="480" spans="1:1" x14ac:dyDescent="0.25">
      <c r="A480" s="7"/>
    </row>
    <row r="481" spans="1:1" x14ac:dyDescent="0.25">
      <c r="A481" s="7"/>
    </row>
    <row r="482" spans="1:1" x14ac:dyDescent="0.25">
      <c r="A482" s="7"/>
    </row>
    <row r="483" spans="1:1" x14ac:dyDescent="0.25">
      <c r="A483" s="7"/>
    </row>
    <row r="484" spans="1:1" x14ac:dyDescent="0.25">
      <c r="A484" s="7"/>
    </row>
    <row r="485" spans="1:1" x14ac:dyDescent="0.25">
      <c r="A485" s="7"/>
    </row>
    <row r="486" spans="1:1" x14ac:dyDescent="0.25">
      <c r="A486" s="7"/>
    </row>
    <row r="487" spans="1:1" x14ac:dyDescent="0.25">
      <c r="A487" s="7"/>
    </row>
    <row r="488" spans="1:1" x14ac:dyDescent="0.25">
      <c r="A488" s="7"/>
    </row>
    <row r="489" spans="1:1" x14ac:dyDescent="0.25">
      <c r="A489" s="7"/>
    </row>
    <row r="490" spans="1:1" x14ac:dyDescent="0.25">
      <c r="A490" s="7"/>
    </row>
    <row r="491" spans="1:1" x14ac:dyDescent="0.25">
      <c r="A491" s="7"/>
    </row>
    <row r="492" spans="1:1" x14ac:dyDescent="0.25">
      <c r="A492" s="7"/>
    </row>
    <row r="493" spans="1:1" x14ac:dyDescent="0.25">
      <c r="A493" s="7"/>
    </row>
    <row r="494" spans="1:1" x14ac:dyDescent="0.25">
      <c r="A494" s="7"/>
    </row>
    <row r="495" spans="1:1" x14ac:dyDescent="0.25">
      <c r="A495" s="7"/>
    </row>
    <row r="496" spans="1:1" x14ac:dyDescent="0.25">
      <c r="A496" s="7"/>
    </row>
    <row r="497" spans="1:1" x14ac:dyDescent="0.25">
      <c r="A497" s="7"/>
    </row>
    <row r="498" spans="1:1" x14ac:dyDescent="0.25">
      <c r="A498" s="7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416:B419">
    <cfRule type="duplicateValues" dxfId="0" priority="2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2025-03-05T22:58:51Z</dcterms:created>
  <dcterms:modified xsi:type="dcterms:W3CDTF">2025-10-02T22:15:42Z</dcterms:modified>
</cp:coreProperties>
</file>